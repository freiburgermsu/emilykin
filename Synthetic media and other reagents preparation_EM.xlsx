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OE_EERE\Reactor operation_maintenance criteria_EM\"/>
    </mc:Choice>
  </mc:AlternateContent>
  <xr:revisionPtr revIDLastSave="0" documentId="13_ncr:1_{4F991C65-748F-4216-ACF4-6CA40CD9977C}" xr6:coauthVersionLast="47" xr6:coauthVersionMax="47" xr10:uidLastSave="{00000000-0000-0000-0000-000000000000}"/>
  <bookViews>
    <workbookView xWindow="34332" yWindow="3132" windowWidth="30804" windowHeight="21360" activeTab="1" xr2:uid="{00000000-000D-0000-FFFF-FFFF00000000}"/>
  </bookViews>
  <sheets>
    <sheet name="COD+P feed (2)" sheetId="13" r:id="rId1"/>
    <sheet name="Media ingredients_conc." sheetId="1" r:id="rId2"/>
    <sheet name="acid and base feed" sheetId="5" r:id="rId3"/>
    <sheet name="dosing pump rate" sheetId="10" r:id="rId4"/>
    <sheet name="purchase" sheetId="11" r:id="rId5"/>
    <sheet name="Sheet1" sheetId="12" r:id="rId6"/>
    <sheet name="nitrate feed" sheetId="2" r:id="rId7"/>
    <sheet name="COD+P feed" sheetId="14" r:id="rId8"/>
    <sheet name="nitrite feed test" sheetId="8" r:id="rId9"/>
    <sheet name="Influent COD calculation" sheetId="3" r:id="rId10"/>
    <sheet name="Biomass storage media" sheetId="4" r:id="rId11"/>
    <sheet name="Note" sheetId="6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K10" i="1"/>
  <c r="I392" i="13"/>
  <c r="I297" i="13"/>
  <c r="I413" i="13"/>
  <c r="H413" i="13"/>
  <c r="I402" i="13"/>
  <c r="H402" i="13"/>
  <c r="H392" i="13"/>
  <c r="I380" i="13"/>
  <c r="H380" i="13"/>
  <c r="I370" i="13"/>
  <c r="H370" i="13"/>
  <c r="I360" i="13"/>
  <c r="H360" i="13"/>
  <c r="I348" i="13"/>
  <c r="H348" i="13"/>
  <c r="I339" i="13"/>
  <c r="H339" i="13"/>
  <c r="I327" i="13"/>
  <c r="H327" i="13"/>
  <c r="I317" i="13"/>
  <c r="H317" i="13"/>
  <c r="H307" i="13"/>
  <c r="I307" i="13"/>
  <c r="G171" i="13"/>
  <c r="D624" i="13"/>
  <c r="E627" i="13"/>
  <c r="E628" i="13" s="1"/>
  <c r="E629" i="13" s="1"/>
  <c r="D627" i="13"/>
  <c r="I624" i="13" s="1"/>
  <c r="B627" i="13"/>
  <c r="E625" i="13"/>
  <c r="C624" i="13"/>
  <c r="F624" i="13" s="1"/>
  <c r="D616" i="13"/>
  <c r="H616" i="13"/>
  <c r="C608" i="13"/>
  <c r="C611" i="13" s="1"/>
  <c r="C612" i="13" s="1"/>
  <c r="C613" i="13" s="1"/>
  <c r="D619" i="13"/>
  <c r="D620" i="13" s="1"/>
  <c r="D621" i="13" s="1"/>
  <c r="C619" i="13"/>
  <c r="C620" i="13" s="1"/>
  <c r="C621" i="13" s="1"/>
  <c r="B619" i="13"/>
  <c r="B620" i="13" s="1"/>
  <c r="B621" i="13" s="1"/>
  <c r="E617" i="13"/>
  <c r="E619" i="13" s="1"/>
  <c r="F616" i="13"/>
  <c r="C616" i="13"/>
  <c r="D608" i="13"/>
  <c r="D614" i="13" s="1"/>
  <c r="B611" i="13"/>
  <c r="B612" i="13" s="1"/>
  <c r="B613" i="13" s="1"/>
  <c r="E609" i="13"/>
  <c r="E611" i="13" s="1"/>
  <c r="E612" i="13" s="1"/>
  <c r="E613" i="13" s="1"/>
  <c r="C627" i="13" l="1"/>
  <c r="C628" i="13" s="1"/>
  <c r="C629" i="13" s="1"/>
  <c r="B628" i="13"/>
  <c r="B629" i="13" s="1"/>
  <c r="D628" i="13"/>
  <c r="D629" i="13" s="1"/>
  <c r="G624" i="13"/>
  <c r="G616" i="13"/>
  <c r="I616" i="13"/>
  <c r="E620" i="13"/>
  <c r="E621" i="13" s="1"/>
  <c r="D611" i="13"/>
  <c r="I608" i="13" s="1"/>
  <c r="G608" i="13"/>
  <c r="D612" i="13"/>
  <c r="D613" i="13" s="1"/>
  <c r="H608" i="13"/>
  <c r="F608" i="13"/>
  <c r="H624" i="13" l="1"/>
  <c r="I592" i="13"/>
  <c r="E601" i="13"/>
  <c r="D603" i="13" l="1"/>
  <c r="B603" i="13"/>
  <c r="E603" i="13"/>
  <c r="F600" i="13"/>
  <c r="D596" i="13"/>
  <c r="D597" i="13" s="1"/>
  <c r="B596" i="13"/>
  <c r="B597" i="13" s="1"/>
  <c r="E595" i="13"/>
  <c r="D595" i="13"/>
  <c r="B595" i="13"/>
  <c r="E593" i="13"/>
  <c r="C592" i="13"/>
  <c r="F592" i="13" s="1"/>
  <c r="D604" i="13" l="1"/>
  <c r="D605" i="13" s="1"/>
  <c r="I600" i="13"/>
  <c r="C603" i="13"/>
  <c r="C604" i="13" s="1"/>
  <c r="C605" i="13" s="1"/>
  <c r="E604" i="13"/>
  <c r="E605" i="13" s="1"/>
  <c r="B604" i="13"/>
  <c r="B605" i="13" s="1"/>
  <c r="E596" i="13"/>
  <c r="E597" i="13" s="1"/>
  <c r="C595" i="13"/>
  <c r="H600" i="13" l="1"/>
  <c r="G600" i="13"/>
  <c r="H592" i="13"/>
  <c r="C596" i="13"/>
  <c r="C597" i="13" s="1"/>
  <c r="G592" i="13"/>
  <c r="E585" i="13" l="1"/>
  <c r="E577" i="13" l="1"/>
  <c r="E581" i="13"/>
  <c r="E580" i="13"/>
  <c r="E579" i="13"/>
  <c r="B579" i="13" l="1"/>
  <c r="B9" i="2"/>
  <c r="C576" i="13" l="1"/>
  <c r="I568" i="13"/>
  <c r="H568" i="13"/>
  <c r="G568" i="13"/>
  <c r="I560" i="13"/>
  <c r="H560" i="13"/>
  <c r="G560" i="13"/>
  <c r="I552" i="13"/>
  <c r="H552" i="13"/>
  <c r="G552" i="13"/>
  <c r="I544" i="13"/>
  <c r="H544" i="13"/>
  <c r="G544" i="13"/>
  <c r="I536" i="13"/>
  <c r="H536" i="13"/>
  <c r="G536" i="13"/>
  <c r="I528" i="13"/>
  <c r="H528" i="13"/>
  <c r="G528" i="13"/>
  <c r="I520" i="13"/>
  <c r="H520" i="13"/>
  <c r="G520" i="13"/>
  <c r="I511" i="13"/>
  <c r="H511" i="13"/>
  <c r="G511" i="13"/>
  <c r="I501" i="13"/>
  <c r="H501" i="13"/>
  <c r="G501" i="13"/>
  <c r="I492" i="13"/>
  <c r="H492" i="13"/>
  <c r="G492" i="13"/>
  <c r="G307" i="13"/>
  <c r="H297" i="13"/>
  <c r="G297" i="13"/>
  <c r="G287" i="13"/>
  <c r="H287" i="13"/>
  <c r="I287" i="13"/>
  <c r="I257" i="13"/>
  <c r="H257" i="13"/>
  <c r="I267" i="13"/>
  <c r="H267" i="13"/>
  <c r="I277" i="13"/>
  <c r="H277" i="13"/>
  <c r="B588" i="13"/>
  <c r="B589" i="13" s="1"/>
  <c r="B587" i="13"/>
  <c r="B15" i="13"/>
  <c r="B14" i="13"/>
  <c r="D587" i="13"/>
  <c r="E587" i="13"/>
  <c r="E588" i="13" s="1"/>
  <c r="C584" i="13"/>
  <c r="C587" i="13" s="1"/>
  <c r="C588" i="13" s="1"/>
  <c r="C589" i="13" s="1"/>
  <c r="C568" i="13"/>
  <c r="D579" i="13"/>
  <c r="D580" i="13" s="1"/>
  <c r="D581" i="13" s="1"/>
  <c r="B580" i="13"/>
  <c r="B581" i="13" s="1"/>
  <c r="F576" i="13"/>
  <c r="E589" i="13" l="1"/>
  <c r="G584" i="13"/>
  <c r="H584" i="13"/>
  <c r="I576" i="13"/>
  <c r="D588" i="13"/>
  <c r="D589" i="13" s="1"/>
  <c r="I584" i="13"/>
  <c r="F584" i="13"/>
  <c r="C579" i="13"/>
  <c r="G576" i="13" s="1"/>
  <c r="C580" i="13" l="1"/>
  <c r="C581" i="13" s="1"/>
  <c r="H576" i="13"/>
  <c r="D571" i="13" l="1"/>
  <c r="C571" i="13" l="1"/>
  <c r="C572" i="13" s="1"/>
  <c r="C552" i="13" l="1"/>
  <c r="E571" i="13"/>
  <c r="E572" i="13" s="1"/>
  <c r="E573" i="13" s="1"/>
  <c r="D572" i="13"/>
  <c r="D573" i="13" s="1"/>
  <c r="C573" i="13"/>
  <c r="B571" i="13"/>
  <c r="B572" i="13" s="1"/>
  <c r="B573" i="13" s="1"/>
  <c r="E569" i="13"/>
  <c r="E563" i="13"/>
  <c r="E564" i="13" s="1"/>
  <c r="E565" i="13" s="1"/>
  <c r="D563" i="13"/>
  <c r="D564" i="13" s="1"/>
  <c r="D565" i="13" s="1"/>
  <c r="C563" i="13"/>
  <c r="C564" i="13" s="1"/>
  <c r="C565" i="13" s="1"/>
  <c r="B563" i="13"/>
  <c r="B564" i="13" s="1"/>
  <c r="B565" i="13" s="1"/>
  <c r="C560" i="13"/>
  <c r="F552" i="13"/>
  <c r="F544" i="13"/>
  <c r="F536" i="13"/>
  <c r="F528" i="13"/>
  <c r="E555" i="13"/>
  <c r="E556" i="13" s="1"/>
  <c r="E557" i="13" s="1"/>
  <c r="D555" i="13"/>
  <c r="D556" i="13" s="1"/>
  <c r="D557" i="13" s="1"/>
  <c r="C555" i="13"/>
  <c r="C556" i="13" s="1"/>
  <c r="C557" i="13" s="1"/>
  <c r="B555" i="13"/>
  <c r="B556" i="13" s="1"/>
  <c r="B557" i="13" s="1"/>
  <c r="F568" i="13" l="1"/>
  <c r="F560" i="13"/>
  <c r="D549" i="13" l="1"/>
  <c r="C549" i="13"/>
  <c r="B549" i="13"/>
  <c r="D548" i="13"/>
  <c r="C548" i="13"/>
  <c r="B548" i="13"/>
  <c r="E547" i="13"/>
  <c r="E548" i="13" s="1"/>
  <c r="E549" i="13" s="1"/>
  <c r="D547" i="13"/>
  <c r="C547" i="13"/>
  <c r="B547" i="13"/>
  <c r="E545" i="13"/>
  <c r="C544" i="13"/>
  <c r="E539" i="13"/>
  <c r="E540" i="13" s="1"/>
  <c r="E541" i="13" s="1"/>
  <c r="D539" i="13"/>
  <c r="D540" i="13" s="1"/>
  <c r="D541" i="13" s="1"/>
  <c r="C539" i="13"/>
  <c r="C540" i="13" s="1"/>
  <c r="C541" i="13" s="1"/>
  <c r="B539" i="13"/>
  <c r="B540" i="13" s="1"/>
  <c r="B541" i="13" s="1"/>
  <c r="E537" i="13"/>
  <c r="C536" i="13"/>
  <c r="C516" i="13"/>
  <c r="D531" i="13" l="1"/>
  <c r="D532" i="13" s="1"/>
  <c r="D533" i="13" s="1"/>
  <c r="B531" i="13"/>
  <c r="B532" i="13" s="1"/>
  <c r="B533" i="13" s="1"/>
  <c r="E529" i="13"/>
  <c r="E531" i="13" s="1"/>
  <c r="E532" i="13" s="1"/>
  <c r="E533" i="13" s="1"/>
  <c r="C528" i="13"/>
  <c r="E523" i="13"/>
  <c r="E524" i="13" s="1"/>
  <c r="E525" i="13" s="1"/>
  <c r="D523" i="13"/>
  <c r="D524" i="13" s="1"/>
  <c r="D525" i="13" s="1"/>
  <c r="C523" i="13"/>
  <c r="C524" i="13" s="1"/>
  <c r="C525" i="13" s="1"/>
  <c r="B523" i="13"/>
  <c r="B524" i="13" s="1"/>
  <c r="B525" i="13" s="1"/>
  <c r="E521" i="13"/>
  <c r="C520" i="13"/>
  <c r="C511" i="13"/>
  <c r="E512" i="13"/>
  <c r="E514" i="13" s="1"/>
  <c r="E515" i="13" s="1"/>
  <c r="E516" i="13" s="1"/>
  <c r="D515" i="13"/>
  <c r="D516" i="13" s="1"/>
  <c r="D514" i="13"/>
  <c r="B514" i="13"/>
  <c r="B515" i="13" s="1"/>
  <c r="B516" i="13" s="1"/>
  <c r="C531" i="13" l="1"/>
  <c r="C532" i="13" s="1"/>
  <c r="C533" i="13" s="1"/>
  <c r="F520" i="13"/>
  <c r="C514" i="13"/>
  <c r="C515" i="13" s="1"/>
  <c r="F511" i="13"/>
  <c r="D504" i="13" l="1"/>
  <c r="D505" i="13" s="1"/>
  <c r="D506" i="13" s="1"/>
  <c r="B504" i="13"/>
  <c r="E502" i="13"/>
  <c r="E504" i="13" s="1"/>
  <c r="E505" i="13" s="1"/>
  <c r="E506" i="13" s="1"/>
  <c r="C501" i="13"/>
  <c r="F501" i="13" s="1"/>
  <c r="B496" i="13"/>
  <c r="B495" i="13"/>
  <c r="B487" i="13"/>
  <c r="B486" i="13"/>
  <c r="D495" i="13"/>
  <c r="D496" i="13" s="1"/>
  <c r="E493" i="13"/>
  <c r="E495" i="13" s="1"/>
  <c r="E496" i="13" s="1"/>
  <c r="E497" i="13" s="1"/>
  <c r="C492" i="13"/>
  <c r="C495" i="13" s="1"/>
  <c r="C496" i="13" s="1"/>
  <c r="C497" i="13" s="1"/>
  <c r="C487" i="13"/>
  <c r="C486" i="13"/>
  <c r="G6" i="13"/>
  <c r="B6" i="13"/>
  <c r="G483" i="13"/>
  <c r="D486" i="13"/>
  <c r="D487" i="13" s="1"/>
  <c r="D488" i="13" s="1"/>
  <c r="E484" i="13"/>
  <c r="E486" i="13" s="1"/>
  <c r="E487" i="13" s="1"/>
  <c r="E488" i="13" s="1"/>
  <c r="C483" i="13"/>
  <c r="C488" i="13" s="1"/>
  <c r="D477" i="13"/>
  <c r="D478" i="13" s="1"/>
  <c r="D479" i="13" s="1"/>
  <c r="B477" i="13"/>
  <c r="E475" i="13"/>
  <c r="E477" i="13" s="1"/>
  <c r="E478" i="13" s="1"/>
  <c r="E479" i="13" s="1"/>
  <c r="C474" i="13"/>
  <c r="C477" i="13" s="1"/>
  <c r="C478" i="13" s="1"/>
  <c r="C479" i="13" s="1"/>
  <c r="E468" i="13"/>
  <c r="E466" i="13"/>
  <c r="B505" i="13" l="1"/>
  <c r="B506" i="13" s="1"/>
  <c r="C504" i="13"/>
  <c r="C505" i="13" s="1"/>
  <c r="C506" i="13" s="1"/>
  <c r="B497" i="13"/>
  <c r="F492" i="13"/>
  <c r="B478" i="13"/>
  <c r="B479" i="13" s="1"/>
  <c r="B488" i="13"/>
  <c r="F483" i="13"/>
  <c r="F474" i="13"/>
  <c r="G474" i="13"/>
  <c r="E469" i="13"/>
  <c r="E470" i="13" s="1"/>
  <c r="D468" i="13"/>
  <c r="D469" i="13" s="1"/>
  <c r="D470" i="13" s="1"/>
  <c r="C468" i="13"/>
  <c r="C469" i="13" s="1"/>
  <c r="C470" i="13" s="1"/>
  <c r="B468" i="13"/>
  <c r="B469" i="13" s="1"/>
  <c r="B470" i="13" s="1"/>
  <c r="C465" i="13"/>
  <c r="G465" i="13" s="1"/>
  <c r="E457" i="13"/>
  <c r="C446" i="13"/>
  <c r="E459" i="13"/>
  <c r="E460" i="13" s="1"/>
  <c r="E461" i="13" s="1"/>
  <c r="D459" i="13"/>
  <c r="D460" i="13" s="1"/>
  <c r="D461" i="13" s="1"/>
  <c r="B459" i="13"/>
  <c r="B460" i="13" s="1"/>
  <c r="B461" i="13" s="1"/>
  <c r="C456" i="13"/>
  <c r="F456" i="13" s="1"/>
  <c r="C435" i="13"/>
  <c r="C438" i="13" s="1"/>
  <c r="C439" i="13" s="1"/>
  <c r="C440" i="13" s="1"/>
  <c r="C449" i="13"/>
  <c r="C450" i="13" s="1"/>
  <c r="C451" i="13" s="1"/>
  <c r="D449" i="13"/>
  <c r="D450" i="13" s="1"/>
  <c r="D451" i="13" s="1"/>
  <c r="B449" i="13"/>
  <c r="B450" i="13" s="1"/>
  <c r="B451" i="13" s="1"/>
  <c r="G446" i="13"/>
  <c r="D439" i="13"/>
  <c r="D440" i="13" s="1"/>
  <c r="E438" i="13"/>
  <c r="E439" i="13" s="1"/>
  <c r="E440" i="13" s="1"/>
  <c r="D438" i="13"/>
  <c r="B438" i="13"/>
  <c r="B439" i="13" s="1"/>
  <c r="B440" i="13" s="1"/>
  <c r="G435" i="13"/>
  <c r="F435" i="13"/>
  <c r="E428" i="13"/>
  <c r="E429" i="13" s="1"/>
  <c r="E427" i="13"/>
  <c r="D427" i="13"/>
  <c r="D428" i="13" s="1"/>
  <c r="D429" i="13" s="1"/>
  <c r="C427" i="13"/>
  <c r="C428" i="13" s="1"/>
  <c r="C429" i="13" s="1"/>
  <c r="B427" i="13"/>
  <c r="B428" i="13" s="1"/>
  <c r="B429" i="13" s="1"/>
  <c r="G424" i="13"/>
  <c r="F424" i="13"/>
  <c r="D416" i="13"/>
  <c r="D417" i="13" s="1"/>
  <c r="D418" i="13" s="1"/>
  <c r="C416" i="13"/>
  <c r="C417" i="13" s="1"/>
  <c r="C418" i="13" s="1"/>
  <c r="B416" i="13"/>
  <c r="B417" i="13" s="1"/>
  <c r="B418" i="13" s="1"/>
  <c r="E416" i="13"/>
  <c r="E417" i="13" s="1"/>
  <c r="E418" i="13" s="1"/>
  <c r="G413" i="13"/>
  <c r="F413" i="13"/>
  <c r="E405" i="13"/>
  <c r="E406" i="13" s="1"/>
  <c r="E407" i="13" s="1"/>
  <c r="D405" i="13"/>
  <c r="D406" i="13" s="1"/>
  <c r="D407" i="13" s="1"/>
  <c r="C405" i="13"/>
  <c r="C406" i="13" s="1"/>
  <c r="C407" i="13" s="1"/>
  <c r="B405" i="13"/>
  <c r="B406" i="13" s="1"/>
  <c r="B407" i="13" s="1"/>
  <c r="E403" i="13"/>
  <c r="G402" i="13"/>
  <c r="F402" i="13"/>
  <c r="D396" i="13"/>
  <c r="D397" i="13" s="1"/>
  <c r="D395" i="13"/>
  <c r="C395" i="13"/>
  <c r="C396" i="13" s="1"/>
  <c r="C397" i="13" s="1"/>
  <c r="B395" i="13"/>
  <c r="B396" i="13" s="1"/>
  <c r="B397" i="13" s="1"/>
  <c r="E393" i="13"/>
  <c r="E395" i="13" s="1"/>
  <c r="E396" i="13" s="1"/>
  <c r="E397" i="13" s="1"/>
  <c r="G392" i="13"/>
  <c r="F392" i="13"/>
  <c r="E387" i="13"/>
  <c r="D383" i="13"/>
  <c r="D384" i="13" s="1"/>
  <c r="D385" i="13" s="1"/>
  <c r="C383" i="13"/>
  <c r="C384" i="13" s="1"/>
  <c r="C385" i="13" s="1"/>
  <c r="B383" i="13"/>
  <c r="B384" i="13" s="1"/>
  <c r="B385" i="13" s="1"/>
  <c r="E381" i="13"/>
  <c r="E383" i="13" s="1"/>
  <c r="E384" i="13" s="1"/>
  <c r="E385" i="13" s="1"/>
  <c r="G380" i="13"/>
  <c r="F380" i="13"/>
  <c r="F465" i="13" l="1"/>
  <c r="G456" i="13"/>
  <c r="C459" i="13"/>
  <c r="C460" i="13" s="1"/>
  <c r="C461" i="13" s="1"/>
  <c r="F446" i="13"/>
  <c r="E373" i="13"/>
  <c r="E374" i="13" s="1"/>
  <c r="E375" i="13" s="1"/>
  <c r="D373" i="13"/>
  <c r="D374" i="13" s="1"/>
  <c r="D375" i="13" s="1"/>
  <c r="C373" i="13"/>
  <c r="C374" i="13" s="1"/>
  <c r="C375" i="13" s="1"/>
  <c r="B373" i="13"/>
  <c r="B374" i="13" s="1"/>
  <c r="B375" i="13" s="1"/>
  <c r="E371" i="13"/>
  <c r="G370" i="13"/>
  <c r="F370" i="13"/>
  <c r="E361" i="13"/>
  <c r="D363" i="13" l="1"/>
  <c r="D364" i="13" s="1"/>
  <c r="D365" i="13" s="1"/>
  <c r="C363" i="13"/>
  <c r="C364" i="13" s="1"/>
  <c r="C365" i="13" s="1"/>
  <c r="B363" i="13"/>
  <c r="B364" i="13" s="1"/>
  <c r="B365" i="13" s="1"/>
  <c r="E363" i="13"/>
  <c r="E364" i="13" s="1"/>
  <c r="E365" i="13" s="1"/>
  <c r="G360" i="13"/>
  <c r="F360" i="13"/>
  <c r="B342" i="13"/>
  <c r="D351" i="13"/>
  <c r="D352" i="13" s="1"/>
  <c r="D353" i="13" s="1"/>
  <c r="E355" i="13"/>
  <c r="E351" i="13"/>
  <c r="E352" i="13" s="1"/>
  <c r="E353" i="13" s="1"/>
  <c r="E349" i="13"/>
  <c r="E340" i="13"/>
  <c r="F336" i="13"/>
  <c r="B339" i="13"/>
  <c r="B343" i="13" s="1"/>
  <c r="B344" i="13" s="1"/>
  <c r="G327" i="13"/>
  <c r="F327" i="13"/>
  <c r="E342" i="13"/>
  <c r="E343" i="13" s="1"/>
  <c r="E344" i="13" s="1"/>
  <c r="D342" i="13"/>
  <c r="D343" i="13" s="1"/>
  <c r="D344" i="13" s="1"/>
  <c r="E336" i="13"/>
  <c r="C351" i="13" l="1"/>
  <c r="C352" i="13" s="1"/>
  <c r="C353" i="13" s="1"/>
  <c r="B351" i="13"/>
  <c r="B352" i="13" s="1"/>
  <c r="B353" i="13" s="1"/>
  <c r="C339" i="13"/>
  <c r="F339" i="13" s="1"/>
  <c r="C342" i="13"/>
  <c r="C343" i="13" s="1"/>
  <c r="C344" i="13" s="1"/>
  <c r="G339" i="13"/>
  <c r="G348" i="13" l="1"/>
  <c r="F348" i="13"/>
  <c r="E335" i="13"/>
  <c r="C334" i="13"/>
  <c r="D334" i="13"/>
  <c r="E334" i="13"/>
  <c r="E330" i="13"/>
  <c r="D330" i="13"/>
  <c r="D331" i="13" s="1"/>
  <c r="D332" i="13" s="1"/>
  <c r="B330" i="13"/>
  <c r="B331" i="13" s="1"/>
  <c r="B332" i="13" s="1"/>
  <c r="C327" i="13"/>
  <c r="C330" i="13" s="1"/>
  <c r="C331" i="13" s="1"/>
  <c r="C332" i="13" s="1"/>
  <c r="E324" i="13"/>
  <c r="E320" i="13"/>
  <c r="E321" i="13" s="1"/>
  <c r="E322" i="13" s="1"/>
  <c r="D320" i="13"/>
  <c r="D321" i="13" s="1"/>
  <c r="D322" i="13" s="1"/>
  <c r="B320" i="13"/>
  <c r="B321" i="13" s="1"/>
  <c r="B322" i="13" s="1"/>
  <c r="E314" i="13"/>
  <c r="C20" i="10"/>
  <c r="B20" i="10"/>
  <c r="D310" i="13"/>
  <c r="D311" i="13" s="1"/>
  <c r="D312" i="13" s="1"/>
  <c r="E308" i="13"/>
  <c r="E310" i="13" s="1"/>
  <c r="E311" i="13" s="1"/>
  <c r="E312" i="13" s="1"/>
  <c r="B307" i="13"/>
  <c r="B310" i="13" s="1"/>
  <c r="B311" i="13" s="1"/>
  <c r="B312" i="13" s="1"/>
  <c r="E304" i="13"/>
  <c r="B334" i="13" l="1"/>
  <c r="E331" i="13"/>
  <c r="E332" i="13" s="1"/>
  <c r="C317" i="13"/>
  <c r="C320" i="13" s="1"/>
  <c r="C321" i="13" s="1"/>
  <c r="C322" i="13" s="1"/>
  <c r="F317" i="13"/>
  <c r="C307" i="13"/>
  <c r="C310" i="13" s="1"/>
  <c r="C311" i="13" s="1"/>
  <c r="C312" i="13" s="1"/>
  <c r="G317" i="13" l="1"/>
  <c r="F307" i="13"/>
  <c r="B120" i="13" l="1"/>
  <c r="D5" i="14"/>
  <c r="B6" i="14"/>
  <c r="C6" i="14"/>
  <c r="F11" i="14"/>
  <c r="G11" i="14"/>
  <c r="H11" i="14"/>
  <c r="I11" i="14"/>
  <c r="B14" i="14"/>
  <c r="B15" i="14" s="1"/>
  <c r="B16" i="14" s="1"/>
  <c r="C14" i="14"/>
  <c r="D14" i="14"/>
  <c r="E14" i="14"/>
  <c r="E15" i="14" s="1"/>
  <c r="E16" i="14" s="1"/>
  <c r="C15" i="14"/>
  <c r="C16" i="14" s="1"/>
  <c r="D15" i="14"/>
  <c r="D16" i="14" s="1"/>
  <c r="F21" i="14"/>
  <c r="G21" i="14"/>
  <c r="H21" i="14"/>
  <c r="I21" i="14"/>
  <c r="B22" i="14"/>
  <c r="B24" i="14" s="1"/>
  <c r="B25" i="14" s="1"/>
  <c r="B26" i="14" s="1"/>
  <c r="C22" i="14"/>
  <c r="D22" i="14"/>
  <c r="E22" i="14"/>
  <c r="C24" i="14"/>
  <c r="C25" i="14" s="1"/>
  <c r="C26" i="14" s="1"/>
  <c r="D24" i="14"/>
  <c r="D25" i="14" s="1"/>
  <c r="D26" i="14" s="1"/>
  <c r="E24" i="14"/>
  <c r="E25" i="14" s="1"/>
  <c r="E26" i="14" s="1"/>
  <c r="F31" i="14"/>
  <c r="G31" i="14"/>
  <c r="H31" i="14"/>
  <c r="I31" i="14"/>
  <c r="B32" i="14"/>
  <c r="C32" i="14"/>
  <c r="C34" i="14" s="1"/>
  <c r="C35" i="14" s="1"/>
  <c r="C36" i="14" s="1"/>
  <c r="D32" i="14"/>
  <c r="D34" i="14" s="1"/>
  <c r="D35" i="14" s="1"/>
  <c r="D36" i="14" s="1"/>
  <c r="E32" i="14"/>
  <c r="B34" i="14"/>
  <c r="B35" i="14" s="1"/>
  <c r="B36" i="14" s="1"/>
  <c r="E34" i="14"/>
  <c r="E35" i="14" s="1"/>
  <c r="E36" i="14" s="1"/>
  <c r="F40" i="14"/>
  <c r="G40" i="14"/>
  <c r="H40" i="14"/>
  <c r="I40" i="14"/>
  <c r="E41" i="14"/>
  <c r="E43" i="14" s="1"/>
  <c r="E44" i="14" s="1"/>
  <c r="E45" i="14" s="1"/>
  <c r="B43" i="14"/>
  <c r="B44" i="14" s="1"/>
  <c r="B45" i="14" s="1"/>
  <c r="C43" i="14"/>
  <c r="D43" i="14"/>
  <c r="D44" i="14" s="1"/>
  <c r="D45" i="14" s="1"/>
  <c r="C44" i="14"/>
  <c r="C45" i="14" s="1"/>
  <c r="F49" i="14"/>
  <c r="G49" i="14"/>
  <c r="H49" i="14"/>
  <c r="I49" i="14"/>
  <c r="E50" i="14"/>
  <c r="E52" i="14" s="1"/>
  <c r="E53" i="14" s="1"/>
  <c r="E54" i="14" s="1"/>
  <c r="B52" i="14"/>
  <c r="C52" i="14"/>
  <c r="C53" i="14" s="1"/>
  <c r="C54" i="14" s="1"/>
  <c r="D52" i="14"/>
  <c r="B53" i="14"/>
  <c r="B54" i="14" s="1"/>
  <c r="D53" i="14"/>
  <c r="D54" i="14" s="1"/>
  <c r="F58" i="14"/>
  <c r="G58" i="14"/>
  <c r="H58" i="14"/>
  <c r="I58" i="14"/>
  <c r="B59" i="14"/>
  <c r="C59" i="14"/>
  <c r="C61" i="14" s="1"/>
  <c r="C62" i="14" s="1"/>
  <c r="C63" i="14" s="1"/>
  <c r="D59" i="14"/>
  <c r="E59" i="14"/>
  <c r="B61" i="14"/>
  <c r="B62" i="14" s="1"/>
  <c r="B63" i="14" s="1"/>
  <c r="D61" i="14"/>
  <c r="D62" i="14" s="1"/>
  <c r="D63" i="14" s="1"/>
  <c r="E61" i="14"/>
  <c r="E62" i="14" s="1"/>
  <c r="E63" i="14" s="1"/>
  <c r="B67" i="14"/>
  <c r="F67" i="14" s="1"/>
  <c r="H67" i="14"/>
  <c r="I67" i="14"/>
  <c r="B68" i="14"/>
  <c r="C68" i="14"/>
  <c r="C70" i="14" s="1"/>
  <c r="C71" i="14" s="1"/>
  <c r="C72" i="14" s="1"/>
  <c r="D68" i="14"/>
  <c r="D70" i="14" s="1"/>
  <c r="D71" i="14" s="1"/>
  <c r="D72" i="14" s="1"/>
  <c r="E68" i="14"/>
  <c r="E70" i="14"/>
  <c r="E71" i="14" s="1"/>
  <c r="E72" i="14" s="1"/>
  <c r="B76" i="14"/>
  <c r="C76" i="14"/>
  <c r="F76" i="14" s="1"/>
  <c r="B77" i="14"/>
  <c r="B79" i="14" s="1"/>
  <c r="B80" i="14" s="1"/>
  <c r="B81" i="14" s="1"/>
  <c r="C77" i="14"/>
  <c r="D77" i="14"/>
  <c r="E77" i="14"/>
  <c r="E79" i="14" s="1"/>
  <c r="E80" i="14" s="1"/>
  <c r="E81" i="14" s="1"/>
  <c r="C79" i="14"/>
  <c r="C80" i="14" s="1"/>
  <c r="C81" i="14" s="1"/>
  <c r="D79" i="14"/>
  <c r="D80" i="14"/>
  <c r="D81" i="14" s="1"/>
  <c r="F85" i="14"/>
  <c r="G85" i="14"/>
  <c r="B86" i="14"/>
  <c r="C86" i="14"/>
  <c r="C88" i="14" s="1"/>
  <c r="C89" i="14" s="1"/>
  <c r="C90" i="14" s="1"/>
  <c r="D86" i="14"/>
  <c r="E86" i="14"/>
  <c r="E88" i="14" s="1"/>
  <c r="E89" i="14" s="1"/>
  <c r="E90" i="14" s="1"/>
  <c r="B88" i="14"/>
  <c r="B89" i="14" s="1"/>
  <c r="B90" i="14" s="1"/>
  <c r="D88" i="14"/>
  <c r="D89" i="14" s="1"/>
  <c r="D90" i="14" s="1"/>
  <c r="F94" i="14"/>
  <c r="G94" i="14"/>
  <c r="J94" i="14"/>
  <c r="K94" i="14"/>
  <c r="L94" i="14" s="1"/>
  <c r="B95" i="14"/>
  <c r="C95" i="14"/>
  <c r="C97" i="14" s="1"/>
  <c r="C98" i="14" s="1"/>
  <c r="C99" i="14" s="1"/>
  <c r="D95" i="14"/>
  <c r="E95" i="14"/>
  <c r="B97" i="14"/>
  <c r="B98" i="14" s="1"/>
  <c r="B99" i="14" s="1"/>
  <c r="D97" i="14"/>
  <c r="D98" i="14" s="1"/>
  <c r="D99" i="14" s="1"/>
  <c r="E97" i="14"/>
  <c r="E98" i="14" s="1"/>
  <c r="E99" i="14" s="1"/>
  <c r="B103" i="14"/>
  <c r="C103" i="14"/>
  <c r="D103" i="14"/>
  <c r="D104" i="14" s="1"/>
  <c r="B104" i="14"/>
  <c r="C104" i="14"/>
  <c r="F108" i="14"/>
  <c r="G108" i="14"/>
  <c r="J108" i="14"/>
  <c r="L108" i="14" s="1"/>
  <c r="K108" i="14"/>
  <c r="B109" i="14"/>
  <c r="C109" i="14"/>
  <c r="C111" i="14" s="1"/>
  <c r="C112" i="14" s="1"/>
  <c r="C113" i="14" s="1"/>
  <c r="D109" i="14"/>
  <c r="E109" i="14"/>
  <c r="E111" i="14" s="1"/>
  <c r="E112" i="14" s="1"/>
  <c r="E113" i="14" s="1"/>
  <c r="B111" i="14"/>
  <c r="B112" i="14" s="1"/>
  <c r="B113" i="14" s="1"/>
  <c r="D111" i="14"/>
  <c r="D112" i="14" s="1"/>
  <c r="D113" i="14" s="1"/>
  <c r="H114" i="14"/>
  <c r="I114" i="14"/>
  <c r="J114" i="14"/>
  <c r="C117" i="14"/>
  <c r="C120" i="14" s="1"/>
  <c r="C121" i="14" s="1"/>
  <c r="C122" i="14" s="1"/>
  <c r="J117" i="14"/>
  <c r="E118" i="14"/>
  <c r="B120" i="14"/>
  <c r="B121" i="14" s="1"/>
  <c r="B122" i="14" s="1"/>
  <c r="E120" i="14"/>
  <c r="E121" i="14" s="1"/>
  <c r="E122" i="14" s="1"/>
  <c r="F126" i="14"/>
  <c r="G126" i="14"/>
  <c r="J126" i="14"/>
  <c r="K126" i="14"/>
  <c r="L126" i="14"/>
  <c r="E127" i="14"/>
  <c r="E129" i="14" s="1"/>
  <c r="E130" i="14" s="1"/>
  <c r="E131" i="14" s="1"/>
  <c r="B129" i="14"/>
  <c r="C129" i="14"/>
  <c r="C130" i="14" s="1"/>
  <c r="C131" i="14" s="1"/>
  <c r="D129" i="14"/>
  <c r="B130" i="14"/>
  <c r="B131" i="14" s="1"/>
  <c r="D130" i="14"/>
  <c r="D131" i="14" s="1"/>
  <c r="C135" i="14"/>
  <c r="F135" i="14"/>
  <c r="D135" i="14" s="1"/>
  <c r="J135" i="14"/>
  <c r="B136" i="14"/>
  <c r="C136" i="14"/>
  <c r="D136" i="14"/>
  <c r="E136" i="14"/>
  <c r="E138" i="14" s="1"/>
  <c r="E139" i="14" s="1"/>
  <c r="E140" i="14" s="1"/>
  <c r="B138" i="14"/>
  <c r="B139" i="14" s="1"/>
  <c r="B140" i="14" s="1"/>
  <c r="C144" i="14"/>
  <c r="F144" i="14" s="1"/>
  <c r="F141" i="14" s="1"/>
  <c r="J144" i="14"/>
  <c r="L144" i="14" s="1"/>
  <c r="K144" i="14"/>
  <c r="B145" i="14"/>
  <c r="B147" i="14" s="1"/>
  <c r="B148" i="14" s="1"/>
  <c r="B149" i="14" s="1"/>
  <c r="I139" i="14" s="1"/>
  <c r="C145" i="14"/>
  <c r="D145" i="14"/>
  <c r="E145" i="14"/>
  <c r="E147" i="14" s="1"/>
  <c r="E148" i="14" s="1"/>
  <c r="E149" i="14" s="1"/>
  <c r="F153" i="14"/>
  <c r="G153" i="14"/>
  <c r="J153" i="14"/>
  <c r="L153" i="14" s="1"/>
  <c r="K153" i="14"/>
  <c r="B156" i="14"/>
  <c r="B157" i="14" s="1"/>
  <c r="B158" i="14" s="1"/>
  <c r="I148" i="14" s="1"/>
  <c r="C156" i="14"/>
  <c r="C157" i="14" s="1"/>
  <c r="C158" i="14" s="1"/>
  <c r="J148" i="14" s="1"/>
  <c r="D156" i="14"/>
  <c r="E156" i="14"/>
  <c r="E157" i="14" s="1"/>
  <c r="E158" i="14" s="1"/>
  <c r="B162" i="14"/>
  <c r="F162" i="14" s="1"/>
  <c r="C162" i="14"/>
  <c r="K162" i="14" s="1"/>
  <c r="D162" i="14"/>
  <c r="D165" i="14" s="1"/>
  <c r="D166" i="14" s="1"/>
  <c r="D167" i="14" s="1"/>
  <c r="G162" i="14"/>
  <c r="J162" i="14"/>
  <c r="B163" i="14"/>
  <c r="C163" i="14"/>
  <c r="D163" i="14"/>
  <c r="E163" i="14"/>
  <c r="E165" i="14" s="1"/>
  <c r="E166" i="14" s="1"/>
  <c r="E167" i="14" s="1"/>
  <c r="C165" i="14"/>
  <c r="C166" i="14" s="1"/>
  <c r="C167" i="14" s="1"/>
  <c r="B171" i="14"/>
  <c r="C171" i="14"/>
  <c r="C174" i="14" s="1"/>
  <c r="C175" i="14" s="1"/>
  <c r="C176" i="14" s="1"/>
  <c r="F171" i="14"/>
  <c r="J171" i="14"/>
  <c r="K171" i="14"/>
  <c r="B172" i="14"/>
  <c r="C172" i="14"/>
  <c r="D172" i="14"/>
  <c r="E172" i="14"/>
  <c r="B174" i="14"/>
  <c r="B175" i="14" s="1"/>
  <c r="B176" i="14" s="1"/>
  <c r="E174" i="14"/>
  <c r="E175" i="14" s="1"/>
  <c r="E176" i="14" s="1"/>
  <c r="F180" i="14"/>
  <c r="G180" i="14"/>
  <c r="J180" i="14"/>
  <c r="K180" i="14"/>
  <c r="B183" i="14"/>
  <c r="B184" i="14" s="1"/>
  <c r="B185" i="14" s="1"/>
  <c r="C183" i="14"/>
  <c r="D183" i="14"/>
  <c r="D184" i="14" s="1"/>
  <c r="D185" i="14" s="1"/>
  <c r="C184" i="14"/>
  <c r="C185" i="14"/>
  <c r="F189" i="14"/>
  <c r="G189" i="14"/>
  <c r="J189" i="14"/>
  <c r="K189" i="14"/>
  <c r="B192" i="14"/>
  <c r="C192" i="14"/>
  <c r="C193" i="14" s="1"/>
  <c r="C194" i="14" s="1"/>
  <c r="D192" i="14"/>
  <c r="B193" i="14"/>
  <c r="B194" i="14" s="1"/>
  <c r="D193" i="14"/>
  <c r="D194" i="14" s="1"/>
  <c r="F198" i="14"/>
  <c r="G198" i="14"/>
  <c r="J198" i="14"/>
  <c r="K198" i="14"/>
  <c r="B201" i="14"/>
  <c r="B202" i="14" s="1"/>
  <c r="B203" i="14" s="1"/>
  <c r="C201" i="14"/>
  <c r="C202" i="14" s="1"/>
  <c r="C203" i="14" s="1"/>
  <c r="D201" i="14"/>
  <c r="D202" i="14"/>
  <c r="D203" i="14"/>
  <c r="B207" i="14"/>
  <c r="C207" i="14" s="1"/>
  <c r="C126" i="13"/>
  <c r="C108" i="13"/>
  <c r="E298" i="13"/>
  <c r="E300" i="13" s="1"/>
  <c r="D300" i="13"/>
  <c r="D301" i="13" s="1"/>
  <c r="D302" i="13" s="1"/>
  <c r="E294" i="13"/>
  <c r="D144" i="14" l="1"/>
  <c r="D147" i="14" s="1"/>
  <c r="D138" i="14"/>
  <c r="D139" i="14" s="1"/>
  <c r="D140" i="14" s="1"/>
  <c r="G135" i="14"/>
  <c r="B165" i="14"/>
  <c r="B166" i="14" s="1"/>
  <c r="B167" i="14" s="1"/>
  <c r="D171" i="14"/>
  <c r="D174" i="14" s="1"/>
  <c r="D175" i="14" s="1"/>
  <c r="D176" i="14" s="1"/>
  <c r="K117" i="14"/>
  <c r="L117" i="14" s="1"/>
  <c r="G67" i="14"/>
  <c r="C147" i="14"/>
  <c r="C148" i="14" s="1"/>
  <c r="C149" i="14" s="1"/>
  <c r="J139" i="14" s="1"/>
  <c r="K135" i="14"/>
  <c r="L135" i="14" s="1"/>
  <c r="B70" i="14"/>
  <c r="B71" i="14" s="1"/>
  <c r="B72" i="14" s="1"/>
  <c r="C138" i="14"/>
  <c r="C139" i="14" s="1"/>
  <c r="C140" i="14" s="1"/>
  <c r="F117" i="14"/>
  <c r="D117" i="14" s="1"/>
  <c r="D120" i="14" s="1"/>
  <c r="D121" i="14" s="1"/>
  <c r="D122" i="14" s="1"/>
  <c r="G76" i="14"/>
  <c r="E301" i="13"/>
  <c r="E302" i="13" s="1"/>
  <c r="B300" i="13"/>
  <c r="B301" i="13" s="1"/>
  <c r="B302" i="13" s="1"/>
  <c r="C297" i="13"/>
  <c r="G117" i="14" l="1"/>
  <c r="D148" i="14"/>
  <c r="D149" i="14" s="1"/>
  <c r="K139" i="14" s="1"/>
  <c r="D157" i="14"/>
  <c r="D158" i="14" s="1"/>
  <c r="K148" i="14" s="1"/>
  <c r="G144" i="14"/>
  <c r="G171" i="14"/>
  <c r="F297" i="13"/>
  <c r="C300" i="13"/>
  <c r="C301" i="13" s="1"/>
  <c r="C302" i="13" s="1"/>
  <c r="E290" i="13"/>
  <c r="E291" i="13" s="1"/>
  <c r="E292" i="13" s="1"/>
  <c r="B290" i="13"/>
  <c r="B291" i="13" s="1"/>
  <c r="B292" i="13" s="1"/>
  <c r="E284" i="13"/>
  <c r="B277" i="13"/>
  <c r="C277" i="13" s="1"/>
  <c r="E280" i="13"/>
  <c r="E281" i="13" s="1"/>
  <c r="E282" i="13" s="1"/>
  <c r="E274" i="13"/>
  <c r="E270" i="13"/>
  <c r="E271" i="13" s="1"/>
  <c r="E272" i="13" s="1"/>
  <c r="D270" i="13"/>
  <c r="D271" i="13" s="1"/>
  <c r="D272" i="13" s="1"/>
  <c r="E264" i="13"/>
  <c r="E257" i="13"/>
  <c r="C287" i="13" l="1"/>
  <c r="F287" i="13" s="1"/>
  <c r="D290" i="13" s="1"/>
  <c r="D291" i="13" s="1"/>
  <c r="D292" i="13" s="1"/>
  <c r="B280" i="13"/>
  <c r="B281" i="13" s="1"/>
  <c r="B282" i="13" s="1"/>
  <c r="C280" i="13"/>
  <c r="C281" i="13" s="1"/>
  <c r="C282" i="13" s="1"/>
  <c r="F277" i="13"/>
  <c r="D277" i="13" s="1"/>
  <c r="D280" i="13" s="1"/>
  <c r="D281" i="13" s="1"/>
  <c r="D282" i="13" s="1"/>
  <c r="B270" i="13"/>
  <c r="B271" i="13" s="1"/>
  <c r="B272" i="13" s="1"/>
  <c r="C267" i="13"/>
  <c r="C270" i="13" s="1"/>
  <c r="C271" i="13" s="1"/>
  <c r="C272" i="13" s="1"/>
  <c r="C290" i="13" l="1"/>
  <c r="C291" i="13" s="1"/>
  <c r="C292" i="13" s="1"/>
  <c r="G277" i="13"/>
  <c r="G267" i="13"/>
  <c r="F267" i="13"/>
  <c r="D258" i="13" l="1"/>
  <c r="C258" i="13"/>
  <c r="E260" i="13"/>
  <c r="D257" i="13"/>
  <c r="D260" i="13" s="1"/>
  <c r="D261" i="13" s="1"/>
  <c r="D262" i="13" s="1"/>
  <c r="B257" i="13"/>
  <c r="E254" i="13"/>
  <c r="E247" i="13"/>
  <c r="E250" i="13"/>
  <c r="E251" i="13" s="1"/>
  <c r="E252" i="13" s="1"/>
  <c r="D248" i="13"/>
  <c r="C248" i="13"/>
  <c r="D247" i="13"/>
  <c r="D250" i="13" s="1"/>
  <c r="D251" i="13" s="1"/>
  <c r="D252" i="13" s="1"/>
  <c r="B247" i="13"/>
  <c r="C247" i="13" s="1"/>
  <c r="C250" i="13" s="1"/>
  <c r="C251" i="13" s="1"/>
  <c r="C252" i="13" s="1"/>
  <c r="E244" i="13"/>
  <c r="E261" i="13" l="1"/>
  <c r="E262" i="13" s="1"/>
  <c r="C257" i="13"/>
  <c r="F257" i="13" s="1"/>
  <c r="B260" i="13"/>
  <c r="B261" i="13" s="1"/>
  <c r="B262" i="13" s="1"/>
  <c r="I247" i="13"/>
  <c r="H247" i="13"/>
  <c r="F247" i="13"/>
  <c r="G247" i="13"/>
  <c r="B250" i="13"/>
  <c r="B251" i="13" s="1"/>
  <c r="B252" i="13" s="1"/>
  <c r="C260" i="13" l="1"/>
  <c r="C261" i="13" s="1"/>
  <c r="C262" i="13" s="1"/>
  <c r="G257" i="13"/>
  <c r="E227" i="13"/>
  <c r="E230" i="13" s="1"/>
  <c r="E231" i="13" s="1"/>
  <c r="E232" i="13" s="1"/>
  <c r="D237" i="13"/>
  <c r="C237" i="13"/>
  <c r="B237" i="13"/>
  <c r="E234" i="13"/>
  <c r="B230" i="13"/>
  <c r="B231" i="13" s="1"/>
  <c r="B232" i="13" s="1"/>
  <c r="D231" i="13"/>
  <c r="D232" i="13" s="1"/>
  <c r="C231" i="13"/>
  <c r="C232" i="13" s="1"/>
  <c r="D230" i="13"/>
  <c r="C230" i="13"/>
  <c r="C238" i="13"/>
  <c r="D238" i="13"/>
  <c r="E240" i="13"/>
  <c r="E241" i="13" s="1"/>
  <c r="E242" i="13" s="1"/>
  <c r="D240" i="13" l="1"/>
  <c r="D241" i="13" s="1"/>
  <c r="D242" i="13" s="1"/>
  <c r="G237" i="13"/>
  <c r="C240" i="13"/>
  <c r="C241" i="13" s="1"/>
  <c r="C242" i="13" s="1"/>
  <c r="B240" i="13"/>
  <c r="B241" i="13" s="1"/>
  <c r="B242" i="13" s="1"/>
  <c r="F237" i="13"/>
  <c r="D227" i="13"/>
  <c r="B227" i="13"/>
  <c r="C227" i="13" s="1"/>
  <c r="D228" i="13"/>
  <c r="C228" i="13"/>
  <c r="D218" i="13"/>
  <c r="D220" i="13" s="1"/>
  <c r="D221" i="13" s="1"/>
  <c r="D222" i="13" s="1"/>
  <c r="D217" i="13"/>
  <c r="E211" i="13" l="1"/>
  <c r="E212" i="13" s="1"/>
  <c r="E213" i="13" s="1"/>
  <c r="E201" i="13"/>
  <c r="E202" i="13" s="1"/>
  <c r="E203" i="13" s="1"/>
  <c r="B201" i="13"/>
  <c r="C201" i="13"/>
  <c r="D201" i="13"/>
  <c r="B202" i="13"/>
  <c r="B203" i="13" s="1"/>
  <c r="C202" i="13"/>
  <c r="C203" i="13" s="1"/>
  <c r="D202" i="13"/>
  <c r="D203" i="13" s="1"/>
  <c r="G227" i="13" l="1"/>
  <c r="F227" i="13"/>
  <c r="B208" i="13"/>
  <c r="C208" i="13" s="1"/>
  <c r="B189" i="13" l="1"/>
  <c r="B175" i="13"/>
  <c r="D180" i="13"/>
  <c r="D25" i="13"/>
  <c r="D15" i="13"/>
  <c r="D14" i="13"/>
  <c r="B180" i="13"/>
  <c r="C180" i="13" s="1"/>
  <c r="E183" i="13"/>
  <c r="E172" i="13"/>
  <c r="E174" i="13" s="1"/>
  <c r="E175" i="13" s="1"/>
  <c r="E176" i="13" s="1"/>
  <c r="C218" i="13"/>
  <c r="B218" i="13"/>
  <c r="D209" i="13"/>
  <c r="C209" i="13"/>
  <c r="B209" i="13"/>
  <c r="B171" i="13"/>
  <c r="C144" i="13"/>
  <c r="F144" i="13" s="1"/>
  <c r="E165" i="13"/>
  <c r="K148" i="13"/>
  <c r="B165" i="13"/>
  <c r="D181" i="13"/>
  <c r="C181" i="13"/>
  <c r="B181" i="13"/>
  <c r="B162" i="13"/>
  <c r="I148" i="13"/>
  <c r="C153" i="13"/>
  <c r="G153" i="13" s="1"/>
  <c r="E154" i="13"/>
  <c r="E156" i="13" s="1"/>
  <c r="E157" i="13" s="1"/>
  <c r="E158" i="13" s="1"/>
  <c r="L156" i="13" s="1"/>
  <c r="D154" i="13"/>
  <c r="D156" i="13" s="1"/>
  <c r="D157" i="13" s="1"/>
  <c r="D158" i="13" s="1"/>
  <c r="K156" i="13" s="1"/>
  <c r="C154" i="13"/>
  <c r="B154" i="13"/>
  <c r="B156" i="13" s="1"/>
  <c r="B157" i="13" s="1"/>
  <c r="B158" i="13" s="1"/>
  <c r="D34" i="13"/>
  <c r="D165" i="13"/>
  <c r="D166" i="13" s="1"/>
  <c r="B147" i="13"/>
  <c r="B148" i="13" s="1"/>
  <c r="B149" i="13" s="1"/>
  <c r="I139" i="13" s="1"/>
  <c r="C135" i="13"/>
  <c r="C138" i="13" s="1"/>
  <c r="E138" i="13"/>
  <c r="B138" i="13"/>
  <c r="B129" i="13"/>
  <c r="B130" i="13" s="1"/>
  <c r="B131" i="13" s="1"/>
  <c r="E139" i="13"/>
  <c r="E140" i="13" s="1"/>
  <c r="E129" i="13"/>
  <c r="D129" i="13"/>
  <c r="D130" i="13" s="1"/>
  <c r="D131" i="13" s="1"/>
  <c r="C129" i="13"/>
  <c r="C130" i="13" s="1"/>
  <c r="C131" i="13" s="1"/>
  <c r="D172" i="13"/>
  <c r="C172" i="13"/>
  <c r="B172" i="13"/>
  <c r="D174" i="13"/>
  <c r="D175" i="13" s="1"/>
  <c r="E163" i="13"/>
  <c r="D163" i="13"/>
  <c r="C163" i="13"/>
  <c r="B163" i="13"/>
  <c r="J162" i="13"/>
  <c r="J153" i="13"/>
  <c r="E145" i="13"/>
  <c r="E147" i="13" s="1"/>
  <c r="E148" i="13" s="1"/>
  <c r="E149" i="13" s="1"/>
  <c r="D145" i="13"/>
  <c r="C145" i="13"/>
  <c r="B145" i="13"/>
  <c r="J144" i="13"/>
  <c r="E136" i="13"/>
  <c r="D136" i="13"/>
  <c r="C136" i="13"/>
  <c r="B136" i="13"/>
  <c r="E130" i="13"/>
  <c r="E131" i="13" s="1"/>
  <c r="E127" i="13"/>
  <c r="J126" i="13"/>
  <c r="G126" i="13"/>
  <c r="F126" i="13"/>
  <c r="E120" i="13"/>
  <c r="E121" i="13" s="1"/>
  <c r="E122" i="13" s="1"/>
  <c r="B121" i="13"/>
  <c r="B122" i="13" s="1"/>
  <c r="E118" i="13"/>
  <c r="J117" i="13"/>
  <c r="C117" i="13"/>
  <c r="F117" i="13" s="1"/>
  <c r="D117" i="13" s="1"/>
  <c r="J114" i="13"/>
  <c r="I114" i="13"/>
  <c r="H114" i="13"/>
  <c r="E111" i="13"/>
  <c r="E112" i="13" s="1"/>
  <c r="E113" i="13" s="1"/>
  <c r="D111" i="13"/>
  <c r="D112" i="13" s="1"/>
  <c r="D113" i="13" s="1"/>
  <c r="E109" i="13"/>
  <c r="D109" i="13"/>
  <c r="C109" i="13"/>
  <c r="C111" i="13" s="1"/>
  <c r="C112" i="13" s="1"/>
  <c r="C113" i="13" s="1"/>
  <c r="B109" i="13"/>
  <c r="B111" i="13" s="1"/>
  <c r="B112" i="13" s="1"/>
  <c r="B113" i="13" s="1"/>
  <c r="G108" i="13"/>
  <c r="F108" i="13"/>
  <c r="B104" i="13"/>
  <c r="D103" i="13"/>
  <c r="D104" i="13" s="1"/>
  <c r="C103" i="13"/>
  <c r="C104" i="13" s="1"/>
  <c r="B103" i="13"/>
  <c r="B97" i="13"/>
  <c r="B98" i="13" s="1"/>
  <c r="B99" i="13" s="1"/>
  <c r="E95" i="13"/>
  <c r="E97" i="13" s="1"/>
  <c r="E98" i="13" s="1"/>
  <c r="E99" i="13" s="1"/>
  <c r="D95" i="13"/>
  <c r="D97" i="13" s="1"/>
  <c r="D98" i="13" s="1"/>
  <c r="D99" i="13" s="1"/>
  <c r="C95" i="13"/>
  <c r="C97" i="13" s="1"/>
  <c r="C98" i="13" s="1"/>
  <c r="C99" i="13" s="1"/>
  <c r="B95" i="13"/>
  <c r="G94" i="13"/>
  <c r="F94" i="13"/>
  <c r="E88" i="13"/>
  <c r="E89" i="13" s="1"/>
  <c r="E90" i="13" s="1"/>
  <c r="D88" i="13"/>
  <c r="D89" i="13" s="1"/>
  <c r="D90" i="13" s="1"/>
  <c r="E86" i="13"/>
  <c r="D86" i="13"/>
  <c r="C86" i="13"/>
  <c r="C88" i="13" s="1"/>
  <c r="C89" i="13" s="1"/>
  <c r="C90" i="13" s="1"/>
  <c r="B86" i="13"/>
  <c r="B88" i="13" s="1"/>
  <c r="B89" i="13" s="1"/>
  <c r="B90" i="13" s="1"/>
  <c r="G85" i="13"/>
  <c r="F85" i="13"/>
  <c r="E77" i="13"/>
  <c r="E79" i="13" s="1"/>
  <c r="E80" i="13" s="1"/>
  <c r="E81" i="13" s="1"/>
  <c r="D77" i="13"/>
  <c r="D79" i="13" s="1"/>
  <c r="D80" i="13" s="1"/>
  <c r="D81" i="13" s="1"/>
  <c r="C77" i="13"/>
  <c r="B77" i="13"/>
  <c r="C76" i="13"/>
  <c r="C79" i="13" s="1"/>
  <c r="C80" i="13" s="1"/>
  <c r="C81" i="13" s="1"/>
  <c r="B76" i="13"/>
  <c r="G76" i="13" s="1"/>
  <c r="E70" i="13"/>
  <c r="E71" i="13" s="1"/>
  <c r="E72" i="13" s="1"/>
  <c r="D70" i="13"/>
  <c r="D71" i="13" s="1"/>
  <c r="D72" i="13" s="1"/>
  <c r="C70" i="13"/>
  <c r="C71" i="13" s="1"/>
  <c r="C72" i="13" s="1"/>
  <c r="B70" i="13"/>
  <c r="B71" i="13" s="1"/>
  <c r="B72" i="13" s="1"/>
  <c r="E68" i="13"/>
  <c r="D68" i="13"/>
  <c r="C68" i="13"/>
  <c r="B68" i="13"/>
  <c r="I67" i="13"/>
  <c r="H67" i="13"/>
  <c r="G67" i="13"/>
  <c r="F67" i="13"/>
  <c r="B67" i="13"/>
  <c r="B61" i="13"/>
  <c r="B62" i="13" s="1"/>
  <c r="B63" i="13" s="1"/>
  <c r="E59" i="13"/>
  <c r="E61" i="13" s="1"/>
  <c r="E62" i="13" s="1"/>
  <c r="E63" i="13" s="1"/>
  <c r="D59" i="13"/>
  <c r="D61" i="13" s="1"/>
  <c r="D62" i="13" s="1"/>
  <c r="D63" i="13" s="1"/>
  <c r="C59" i="13"/>
  <c r="C61" i="13" s="1"/>
  <c r="C62" i="13" s="1"/>
  <c r="C63" i="13" s="1"/>
  <c r="B59" i="13"/>
  <c r="I58" i="13"/>
  <c r="H58" i="13"/>
  <c r="G58" i="13"/>
  <c r="F58" i="13"/>
  <c r="B53" i="13"/>
  <c r="B54" i="13" s="1"/>
  <c r="E52" i="13"/>
  <c r="E53" i="13" s="1"/>
  <c r="E54" i="13" s="1"/>
  <c r="D52" i="13"/>
  <c r="D53" i="13" s="1"/>
  <c r="D54" i="13" s="1"/>
  <c r="C52" i="13"/>
  <c r="C53" i="13" s="1"/>
  <c r="C54" i="13" s="1"/>
  <c r="B52" i="13"/>
  <c r="E50" i="13"/>
  <c r="I49" i="13"/>
  <c r="H49" i="13"/>
  <c r="G49" i="13"/>
  <c r="F49" i="13"/>
  <c r="B44" i="13"/>
  <c r="B45" i="13" s="1"/>
  <c r="E43" i="13"/>
  <c r="E44" i="13" s="1"/>
  <c r="E45" i="13" s="1"/>
  <c r="D43" i="13"/>
  <c r="D44" i="13" s="1"/>
  <c r="D45" i="13" s="1"/>
  <c r="C43" i="13"/>
  <c r="B43" i="13"/>
  <c r="E41" i="13"/>
  <c r="I40" i="13"/>
  <c r="H40" i="13"/>
  <c r="G40" i="13"/>
  <c r="F40" i="13"/>
  <c r="E34" i="13"/>
  <c r="E35" i="13" s="1"/>
  <c r="E36" i="13" s="1"/>
  <c r="E32" i="13"/>
  <c r="D32" i="13"/>
  <c r="D35" i="13" s="1"/>
  <c r="D36" i="13" s="1"/>
  <c r="C32" i="13"/>
  <c r="C34" i="13" s="1"/>
  <c r="C35" i="13" s="1"/>
  <c r="C36" i="13" s="1"/>
  <c r="B32" i="13"/>
  <c r="B34" i="13" s="1"/>
  <c r="B35" i="13" s="1"/>
  <c r="B36" i="13" s="1"/>
  <c r="I31" i="13"/>
  <c r="H31" i="13"/>
  <c r="G31" i="13"/>
  <c r="F31" i="13"/>
  <c r="D24" i="13"/>
  <c r="D26" i="13" s="1"/>
  <c r="C24" i="13"/>
  <c r="C25" i="13" s="1"/>
  <c r="C26" i="13" s="1"/>
  <c r="B24" i="13"/>
  <c r="B25" i="13" s="1"/>
  <c r="B26" i="13" s="1"/>
  <c r="E22" i="13"/>
  <c r="E24" i="13" s="1"/>
  <c r="E25" i="13" s="1"/>
  <c r="E26" i="13" s="1"/>
  <c r="D22" i="13"/>
  <c r="C22" i="13"/>
  <c r="B22" i="13"/>
  <c r="I21" i="13"/>
  <c r="H21" i="13"/>
  <c r="G21" i="13"/>
  <c r="F21" i="13"/>
  <c r="D16" i="13"/>
  <c r="B16" i="13"/>
  <c r="E14" i="13"/>
  <c r="E15" i="13" s="1"/>
  <c r="E16" i="13" s="1"/>
  <c r="C14" i="13"/>
  <c r="I11" i="13"/>
  <c r="H11" i="13"/>
  <c r="G11" i="13"/>
  <c r="F11" i="13"/>
  <c r="C6" i="13"/>
  <c r="J135" i="13"/>
  <c r="D5" i="13"/>
  <c r="T20" i="1"/>
  <c r="D183" i="13" l="1"/>
  <c r="D184" i="13" s="1"/>
  <c r="D185" i="13" s="1"/>
  <c r="K185" i="13" s="1"/>
  <c r="B183" i="13"/>
  <c r="B184" i="13" s="1"/>
  <c r="B185" i="13" s="1"/>
  <c r="I185" i="13" s="1"/>
  <c r="G180" i="13"/>
  <c r="J180" i="13"/>
  <c r="E184" i="13"/>
  <c r="E185" i="13" s="1"/>
  <c r="L185" i="13" s="1"/>
  <c r="J189" i="13"/>
  <c r="C147" i="13"/>
  <c r="C148" i="13" s="1"/>
  <c r="C149" i="13" s="1"/>
  <c r="J139" i="13" s="1"/>
  <c r="E166" i="13"/>
  <c r="E167" i="13" s="1"/>
  <c r="C156" i="13"/>
  <c r="C157" i="13" s="1"/>
  <c r="C158" i="13" s="1"/>
  <c r="J156" i="13" s="1"/>
  <c r="F153" i="13"/>
  <c r="J171" i="13"/>
  <c r="I156" i="13"/>
  <c r="B174" i="13"/>
  <c r="B176" i="13" s="1"/>
  <c r="D176" i="13"/>
  <c r="D167" i="13"/>
  <c r="B139" i="13"/>
  <c r="B140" i="13" s="1"/>
  <c r="C139" i="13"/>
  <c r="C140" i="13" s="1"/>
  <c r="D120" i="13"/>
  <c r="D121" i="13" s="1"/>
  <c r="D122" i="13" s="1"/>
  <c r="G117" i="13"/>
  <c r="C15" i="13"/>
  <c r="C16" i="13" s="1"/>
  <c r="K144" i="13"/>
  <c r="L144" i="13" s="1"/>
  <c r="K153" i="13"/>
  <c r="L153" i="13" s="1"/>
  <c r="B79" i="13"/>
  <c r="B80" i="13" s="1"/>
  <c r="B81" i="13" s="1"/>
  <c r="J94" i="13"/>
  <c r="L94" i="13" s="1"/>
  <c r="K126" i="13"/>
  <c r="L126" i="13" s="1"/>
  <c r="F162" i="13"/>
  <c r="B166" i="13"/>
  <c r="B167" i="13" s="1"/>
  <c r="K135" i="13"/>
  <c r="L135" i="13" s="1"/>
  <c r="C171" i="13"/>
  <c r="K117" i="13"/>
  <c r="L117" i="13" s="1"/>
  <c r="C162" i="13"/>
  <c r="C165" i="13" s="1"/>
  <c r="K94" i="13"/>
  <c r="F135" i="13"/>
  <c r="D135" i="13" s="1"/>
  <c r="D138" i="13" s="1"/>
  <c r="K108" i="13"/>
  <c r="F76" i="13"/>
  <c r="C120" i="13"/>
  <c r="C121" i="13" s="1"/>
  <c r="C122" i="13" s="1"/>
  <c r="C44" i="13"/>
  <c r="C45" i="13" s="1"/>
  <c r="J108" i="13"/>
  <c r="B16" i="10"/>
  <c r="C16" i="10"/>
  <c r="E220" i="13" l="1"/>
  <c r="E221" i="13" s="1"/>
  <c r="E222" i="13" s="1"/>
  <c r="C189" i="13"/>
  <c r="G189" i="13" s="1"/>
  <c r="C183" i="13"/>
  <c r="C184" i="13" s="1"/>
  <c r="C185" i="13" s="1"/>
  <c r="J185" i="13" s="1"/>
  <c r="K180" i="13"/>
  <c r="D192" i="13"/>
  <c r="B192" i="13"/>
  <c r="B193" i="13" s="1"/>
  <c r="B194" i="13" s="1"/>
  <c r="F180" i="13"/>
  <c r="G162" i="13"/>
  <c r="J148" i="13"/>
  <c r="C174" i="13"/>
  <c r="F141" i="13"/>
  <c r="F171" i="13"/>
  <c r="L108" i="13"/>
  <c r="D144" i="13"/>
  <c r="D139" i="13"/>
  <c r="D140" i="13" s="1"/>
  <c r="K162" i="13"/>
  <c r="C166" i="13"/>
  <c r="C167" i="13" s="1"/>
  <c r="K171" i="13"/>
  <c r="C175" i="13"/>
  <c r="C176" i="13" s="1"/>
  <c r="G135" i="13"/>
  <c r="D193" i="13" l="1"/>
  <c r="D194" i="13" s="1"/>
  <c r="J198" i="13"/>
  <c r="C198" i="13"/>
  <c r="F189" i="13"/>
  <c r="F198" i="13"/>
  <c r="D198" i="13" s="1"/>
  <c r="D208" i="13" s="1"/>
  <c r="C192" i="13"/>
  <c r="C193" i="13" s="1"/>
  <c r="C194" i="13" s="1"/>
  <c r="K189" i="13"/>
  <c r="D147" i="13"/>
  <c r="G144" i="13"/>
  <c r="C15" i="10"/>
  <c r="B15" i="10"/>
  <c r="G198" i="13" l="1"/>
  <c r="D211" i="13"/>
  <c r="K198" i="13"/>
  <c r="B217" i="13"/>
  <c r="C211" i="13"/>
  <c r="C212" i="13" s="1"/>
  <c r="C213" i="13" s="1"/>
  <c r="B211" i="13"/>
  <c r="B212" i="13" s="1"/>
  <c r="B213" i="13" s="1"/>
  <c r="F208" i="13"/>
  <c r="G208" i="13"/>
  <c r="D148" i="13"/>
  <c r="D149" i="13" s="1"/>
  <c r="K139" i="13" s="1"/>
  <c r="B14" i="10"/>
  <c r="D212" i="13" l="1"/>
  <c r="D213" i="13" s="1"/>
  <c r="C217" i="13"/>
  <c r="C220" i="13" s="1"/>
  <c r="C221" i="13" s="1"/>
  <c r="C222" i="13" s="1"/>
  <c r="B220" i="13"/>
  <c r="B221" i="13" s="1"/>
  <c r="B222" i="13" s="1"/>
  <c r="G217" i="13" l="1"/>
  <c r="F217" i="13"/>
  <c r="C13" i="10"/>
  <c r="B13" i="10"/>
  <c r="N10" i="1" l="1"/>
  <c r="C12" i="10" l="1"/>
  <c r="B12" i="10"/>
  <c r="K13" i="1" l="1"/>
  <c r="P15" i="1" s="1"/>
  <c r="C11" i="10"/>
  <c r="K31" i="10"/>
  <c r="K30" i="10"/>
  <c r="K29" i="10"/>
  <c r="K28" i="10"/>
  <c r="M25" i="10"/>
  <c r="L25" i="10"/>
  <c r="K23" i="10"/>
  <c r="K22" i="10"/>
  <c r="B11" i="10"/>
  <c r="C10" i="10"/>
  <c r="C9" i="10"/>
  <c r="B8" i="10" l="1"/>
  <c r="C13" i="5"/>
  <c r="C8" i="10"/>
  <c r="C7" i="10" l="1"/>
  <c r="B7" i="10"/>
  <c r="D5" i="10" l="1"/>
  <c r="B6" i="10"/>
  <c r="C6" i="10"/>
  <c r="C5" i="10"/>
  <c r="E5" i="10" s="1"/>
  <c r="B5" i="10"/>
  <c r="K15" i="10" l="1"/>
  <c r="K14" i="10"/>
  <c r="K13" i="10"/>
  <c r="H14" i="10"/>
  <c r="H13" i="10"/>
  <c r="K12" i="10"/>
  <c r="H12" i="10"/>
  <c r="K10" i="10"/>
  <c r="H10" i="10"/>
  <c r="T10" i="1" l="1"/>
  <c r="E9" i="1"/>
  <c r="C14" i="1"/>
  <c r="C9" i="1"/>
  <c r="C7" i="5"/>
  <c r="C13" i="1" l="1"/>
  <c r="K9" i="1" l="1"/>
  <c r="C10" i="1"/>
  <c r="E10" i="1"/>
  <c r="H13" i="1"/>
  <c r="H14" i="1"/>
  <c r="G14" i="1"/>
  <c r="F14" i="1"/>
  <c r="E14" i="1"/>
  <c r="D14" i="1"/>
  <c r="J15" i="1"/>
  <c r="K14" i="1"/>
  <c r="G13" i="1"/>
  <c r="F13" i="1"/>
  <c r="E13" i="1"/>
  <c r="E15" i="1" s="1"/>
  <c r="K7" i="10"/>
  <c r="K6" i="10"/>
  <c r="H5" i="10"/>
  <c r="C4" i="10"/>
  <c r="K5" i="10"/>
  <c r="L5" i="10" s="1"/>
  <c r="B4" i="10"/>
  <c r="C2" i="10"/>
  <c r="B3" i="10"/>
  <c r="J13" i="1" l="1"/>
  <c r="L6" i="10"/>
  <c r="B2" i="10"/>
  <c r="B212" i="2"/>
  <c r="B213" i="2" s="1"/>
  <c r="B214" i="2" s="1"/>
  <c r="C211" i="2"/>
  <c r="I203" i="2"/>
  <c r="B203" i="2"/>
  <c r="B204" i="2" s="1"/>
  <c r="B205" i="2" s="1"/>
  <c r="C202" i="2"/>
  <c r="B194" i="2" l="1"/>
  <c r="B195" i="2" s="1"/>
  <c r="B196" i="2" s="1"/>
  <c r="C193" i="2"/>
  <c r="C184" i="2" l="1"/>
  <c r="B185" i="2"/>
  <c r="B186" i="2" s="1"/>
  <c r="B187" i="2" s="1"/>
  <c r="B176" i="2"/>
  <c r="B177" i="2" s="1"/>
  <c r="B178" i="2" s="1"/>
  <c r="S10" i="1"/>
  <c r="S9" i="1"/>
  <c r="M7" i="1"/>
  <c r="S7" i="1"/>
  <c r="V6" i="1"/>
  <c r="V9" i="1" s="1"/>
  <c r="V10" i="1" s="1"/>
  <c r="V13" i="1"/>
  <c r="B167" i="2"/>
  <c r="B168" i="2" s="1"/>
  <c r="B169" i="2" s="1"/>
  <c r="B158" i="2"/>
  <c r="F7" i="2"/>
  <c r="F5" i="2"/>
  <c r="B145" i="2"/>
  <c r="B146" i="2" s="1"/>
  <c r="B147" i="2" s="1"/>
  <c r="B136" i="2"/>
  <c r="B137" i="2" s="1"/>
  <c r="B138" i="2" s="1"/>
  <c r="W6" i="1" l="1"/>
  <c r="W9" i="1" s="1"/>
  <c r="W10" i="1" s="1"/>
  <c r="B159" i="2"/>
  <c r="B160" i="2" s="1"/>
  <c r="C151" i="2"/>
  <c r="P20" i="1" l="1"/>
  <c r="P24" i="1" s="1"/>
  <c r="B127" i="2" l="1"/>
  <c r="B128" i="2" s="1"/>
  <c r="B129" i="2" s="1"/>
  <c r="B118" i="2"/>
  <c r="B119" i="2" s="1"/>
  <c r="B120" i="2" s="1"/>
  <c r="B109" i="2" l="1"/>
  <c r="B110" i="2" s="1"/>
  <c r="B111" i="2" s="1"/>
  <c r="B100" i="2"/>
  <c r="B101" i="2" s="1"/>
  <c r="B102" i="2" s="1"/>
  <c r="B91" i="2" l="1"/>
  <c r="B92" i="2" s="1"/>
  <c r="B93" i="2" s="1"/>
  <c r="B82" i="2"/>
  <c r="B83" i="2" s="1"/>
  <c r="B84" i="2" s="1"/>
  <c r="B27" i="8" l="1"/>
  <c r="B28" i="8" s="1"/>
  <c r="B29" i="8" s="1"/>
  <c r="B18" i="8"/>
  <c r="B19" i="8" s="1"/>
  <c r="B20" i="8" s="1"/>
  <c r="E4" i="6"/>
  <c r="E3" i="6"/>
  <c r="C3" i="6"/>
  <c r="E2" i="6"/>
  <c r="C2" i="6"/>
  <c r="B73" i="2"/>
  <c r="B74" i="2" s="1"/>
  <c r="B75" i="2" s="1"/>
  <c r="B9" i="8" l="1"/>
  <c r="B10" i="8" s="1"/>
  <c r="B11" i="8" l="1"/>
  <c r="B64" i="2" l="1"/>
  <c r="B65" i="2" s="1"/>
  <c r="B66" i="2" s="1"/>
  <c r="B55" i="2"/>
  <c r="B56" i="2" s="1"/>
  <c r="B57" i="2" s="1"/>
  <c r="H3" i="5" l="1"/>
  <c r="L9" i="1"/>
  <c r="L10" i="1" s="1"/>
  <c r="M9" i="1"/>
  <c r="M10" i="1" s="1"/>
  <c r="N9" i="1"/>
  <c r="O9" i="1"/>
  <c r="O10" i="1" s="1"/>
  <c r="P9" i="1"/>
  <c r="P10" i="1" s="1"/>
  <c r="Q9" i="1"/>
  <c r="Q10" i="1" s="1"/>
  <c r="R9" i="1"/>
  <c r="R10" i="1" s="1"/>
  <c r="H10" i="1"/>
  <c r="B46" i="2"/>
  <c r="B47" i="2" s="1"/>
  <c r="B48" i="2" s="1"/>
  <c r="B37" i="2" l="1"/>
  <c r="B38" i="2" s="1"/>
  <c r="B39" i="2" s="1"/>
  <c r="B27" i="2"/>
  <c r="B28" i="2" s="1"/>
  <c r="B29" i="2" s="1"/>
  <c r="B18" i="2"/>
  <c r="B19" i="2" s="1"/>
  <c r="B20" i="2" s="1"/>
  <c r="B10" i="2" l="1"/>
  <c r="B11" i="2" s="1"/>
  <c r="D10" i="1"/>
  <c r="F10" i="1"/>
  <c r="G10" i="1"/>
  <c r="C2" i="4" l="1"/>
  <c r="C6" i="4"/>
  <c r="B5" i="4"/>
  <c r="B1" i="4"/>
  <c r="H4" i="3" l="1"/>
  <c r="H3" i="3"/>
  <c r="C7" i="3"/>
  <c r="C3" i="3"/>
</calcChain>
</file>

<file path=xl/sharedStrings.xml><?xml version="1.0" encoding="utf-8"?>
<sst xmlns="http://schemas.openxmlformats.org/spreadsheetml/2006/main" count="1961" uniqueCount="313">
  <si>
    <r>
      <t>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Cl</t>
    </r>
  </si>
  <si>
    <r>
      <t>CaCl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·2H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</si>
  <si>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Yeast extract</t>
  </si>
  <si>
    <t>allylthiourea (ATU)</t>
  </si>
  <si>
    <t>EDTA</t>
  </si>
  <si>
    <r>
      <t>NaHCO</t>
    </r>
    <r>
      <rPr>
        <vertAlign val="subscript"/>
        <sz val="11"/>
        <color theme="1"/>
        <rFont val="Calibri"/>
        <family val="2"/>
        <scheme val="minor"/>
      </rPr>
      <t>3</t>
    </r>
  </si>
  <si>
    <r>
      <t>FeCl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Arial"/>
        <family val="2"/>
      </rPr>
      <t>·</t>
    </r>
    <r>
      <rPr>
        <sz val="11"/>
        <color theme="1"/>
        <rFont val="Calibri"/>
        <family val="2"/>
      </rPr>
      <t>6H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</si>
  <si>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BO</t>
    </r>
    <r>
      <rPr>
        <vertAlign val="subscript"/>
        <sz val="11"/>
        <color theme="1"/>
        <rFont val="Calibri"/>
        <family val="2"/>
        <scheme val="minor"/>
      </rPr>
      <t>3</t>
    </r>
  </si>
  <si>
    <r>
      <t>CuSO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Arial"/>
        <family val="2"/>
      </rPr>
      <t>·</t>
    </r>
    <r>
      <rPr>
        <sz val="11"/>
        <color theme="1"/>
        <rFont val="Calibri"/>
        <family val="2"/>
        <scheme val="minor"/>
      </rPr>
      <t>5H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</si>
  <si>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KI</t>
  </si>
  <si>
    <r>
      <t>MnCl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Arial"/>
        <family val="2"/>
      </rPr>
      <t>·</t>
    </r>
    <r>
      <rPr>
        <sz val="11"/>
        <color theme="1"/>
        <rFont val="Calibri"/>
        <family val="2"/>
        <scheme val="minor"/>
      </rPr>
      <t>4H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</si>
  <si>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MoO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Arial"/>
        <family val="2"/>
      </rPr>
      <t>·</t>
    </r>
    <r>
      <rPr>
        <sz val="11"/>
        <color theme="1"/>
        <rFont val="Calibri"/>
        <family val="2"/>
        <scheme val="minor"/>
      </rPr>
      <t>2H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</si>
  <si>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ZnSO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Arial"/>
        <family val="2"/>
      </rPr>
      <t>·</t>
    </r>
    <r>
      <rPr>
        <sz val="11"/>
        <color theme="1"/>
        <rFont val="Calibri"/>
        <family val="2"/>
        <scheme val="minor"/>
      </rPr>
      <t>7H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</si>
  <si>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Arial"/>
        <family val="2"/>
      </rPr>
      <t>·</t>
    </r>
    <r>
      <rPr>
        <sz val="11"/>
        <color theme="1"/>
        <rFont val="Calibri"/>
        <family val="2"/>
        <scheme val="minor"/>
      </rPr>
      <t>6H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</si>
  <si>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Category</t>
  </si>
  <si>
    <t>Chemical</t>
  </si>
  <si>
    <t>Date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</si>
  <si>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COONa+2O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2CO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NaOH+H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</si>
  <si>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M (g/mol)</t>
  </si>
  <si>
    <t>as COD</t>
  </si>
  <si>
    <r>
      <t>2CH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COONa+7O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6CO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+ 2NaOH+4H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</si>
  <si>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m (mg)</t>
  </si>
  <si>
    <r>
      <t>MgSO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 Light"/>
        <family val="2"/>
      </rPr>
      <t>·7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</si>
  <si>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Ammonium chloride</t>
  </si>
  <si>
    <t>Magnesium sulfate heptahydrate</t>
  </si>
  <si>
    <t>Calcium chloride, dihydrate</t>
  </si>
  <si>
    <t>-</t>
  </si>
  <si>
    <t>Sodium molybdate dihydrate</t>
  </si>
  <si>
    <t>Managanese(II) chloride tetrahydrate</t>
  </si>
  <si>
    <t>Copper(II) sulfate pentahydrate</t>
  </si>
  <si>
    <t>Zinc sulfate, heptahydrate</t>
  </si>
  <si>
    <t>Cobalt(II) chloride hexahydrate</t>
  </si>
  <si>
    <t>Boric acid</t>
  </si>
  <si>
    <t>Ethylenediaminetetraacetic acid</t>
  </si>
  <si>
    <t>Potassium iodide</t>
  </si>
  <si>
    <t>Iron(III) chloride hexahydrate</t>
  </si>
  <si>
    <t>COD:P ratio</t>
  </si>
  <si>
    <t>HCl</t>
  </si>
  <si>
    <t>N source -1L Amber  bottle</t>
  </si>
  <si>
    <t>10-20mg/L, do not exceed 20 mg/L in the reactor</t>
  </si>
  <si>
    <t>Total COD</t>
  </si>
  <si>
    <t>Nitrate feeding strategy:</t>
  </si>
  <si>
    <t>Ortho-P feeding strategy:</t>
  </si>
  <si>
    <t>COD feeding strategy:</t>
  </si>
  <si>
    <t>Aim COD conc.</t>
  </si>
  <si>
    <t>400mg/L</t>
  </si>
  <si>
    <t>Ratio (3:1)</t>
  </si>
  <si>
    <t>Sodium acetate needed</t>
  </si>
  <si>
    <t>Sodium propionate needed</t>
  </si>
  <si>
    <t>Test (7/20/2021)</t>
  </si>
  <si>
    <t>Note: HACH COD vial 442mg/L; LOVIBAND COD vial 409mg/L</t>
  </si>
  <si>
    <t>LOVIBAND COD vial 97mgCOD/L</t>
  </si>
  <si>
    <t>Pump flow rate (mL/mins)</t>
  </si>
  <si>
    <t>Start 10 mg/L</t>
  </si>
  <si>
    <r>
      <t>NaNO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(85)</t>
    </r>
  </si>
  <si>
    <t>Feed duration (mins)</t>
  </si>
  <si>
    <t>Weight - 1L bottle (g)</t>
  </si>
  <si>
    <t>N Conc. In 1L bottle (g/L)</t>
  </si>
  <si>
    <t>NaNO3 conc. in 1L bottle (g/L)</t>
  </si>
  <si>
    <t>Normality equals to Molarity (mol/L)</t>
  </si>
  <si>
    <t>specific gravity (like density) (g/ml)</t>
  </si>
  <si>
    <t>Caculated Molarity (mol/L)</t>
  </si>
  <si>
    <t>Volume taken from stock (mL)</t>
  </si>
  <si>
    <t>0.5mM NaNO2</t>
  </si>
  <si>
    <t>0.5mM NH4Cl</t>
  </si>
  <si>
    <t>1L</t>
  </si>
  <si>
    <t>g</t>
  </si>
  <si>
    <t>268mg</t>
  </si>
  <si>
    <t>34.5mg</t>
  </si>
  <si>
    <t>Stock conc. (g/L)</t>
  </si>
  <si>
    <t>Stock volume (mL)</t>
  </si>
  <si>
    <t>Weight (g)</t>
  </si>
  <si>
    <t>COD+P source -1L Amber  bottle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</si>
  <si>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COONa (Sodium acetate)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</si>
  <si>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COONa (Sodium propionate)</t>
    </r>
  </si>
  <si>
    <t>Carbon source (as mg/L COD)</t>
  </si>
  <si>
    <r>
      <t>P source (as mg/L PO</t>
    </r>
    <r>
      <rPr>
        <b/>
        <i/>
        <vertAlign val="subscript"/>
        <sz val="11"/>
        <color theme="1"/>
        <rFont val="Calibri"/>
        <family val="2"/>
        <scheme val="minor"/>
      </rPr>
      <t>4</t>
    </r>
    <r>
      <rPr>
        <b/>
        <i/>
        <vertAlign val="superscript"/>
        <sz val="11"/>
        <color theme="1"/>
        <rFont val="Calibri"/>
        <family val="2"/>
        <scheme val="minor"/>
      </rPr>
      <t>3-</t>
    </r>
    <r>
      <rPr>
        <b/>
        <i/>
        <sz val="11"/>
        <color theme="1"/>
        <rFont val="Calibri"/>
        <family val="2"/>
        <scheme val="minor"/>
      </rPr>
      <t>-P)</t>
    </r>
  </si>
  <si>
    <t>Note</t>
  </si>
  <si>
    <t>Conc. In 1L bottle (g/L)</t>
  </si>
  <si>
    <t>Chemical conc. in 1L bottle (g/L)</t>
  </si>
  <si>
    <t>Molar mass (g/mol)</t>
  </si>
  <si>
    <t>COD equivalent per g of C source (g)</t>
  </si>
  <si>
    <t>Stock Volume (L)</t>
  </si>
  <si>
    <t>COD1:COD2=3:1; weight three chemicals and dissolve them together to make 1L solution</t>
  </si>
  <si>
    <r>
      <rPr>
        <sz val="11"/>
        <color theme="1"/>
        <rFont val="Times New Roman"/>
        <family val="1"/>
      </rPr>
      <t>→</t>
    </r>
    <r>
      <rPr>
        <sz val="11"/>
        <color theme="1"/>
        <rFont val="Calibri"/>
        <family val="2"/>
      </rPr>
      <t xml:space="preserve"> decreased pump flow rate</t>
    </r>
  </si>
  <si>
    <t>Increase feed stock cocentrations because of decreased pump flow rate</t>
  </si>
  <si>
    <t>Target Conc. in reactor (mg/L)</t>
  </si>
  <si>
    <r>
      <rPr>
        <sz val="11"/>
        <color theme="1"/>
        <rFont val="Times New Roman"/>
        <family val="1"/>
      </rPr>
      <t>→</t>
    </r>
    <r>
      <rPr>
        <sz val="11"/>
        <color theme="1"/>
        <rFont val="Calibri"/>
        <family val="2"/>
      </rPr>
      <t xml:space="preserve"> Keep the dosing time the same as filling duration</t>
    </r>
  </si>
  <si>
    <t>Increase COD and P concentrations but keep the same COD/P ratio</t>
  </si>
  <si>
    <t>8/24/2021 (start from the cycle at 11:50)</t>
  </si>
  <si>
    <t>N Conc. In bottle (g/L)</t>
  </si>
  <si>
    <t>NaNO3 conc. in bottle (g/L)</t>
  </si>
  <si>
    <t>Decrease stock volume from 1L to250mL; decrease dosing time from 3mins to 30s</t>
  </si>
  <si>
    <t>Decrease stock volume from 250L to 100mL</t>
  </si>
  <si>
    <t>Decrease target in-reactor NO3-N concentration</t>
  </si>
  <si>
    <t>Target N Conc. in reactor (mg/L)</t>
  </si>
  <si>
    <t>Start from 10, then decrease to 5</t>
  </si>
  <si>
    <t>https://www.biorxiv.org/content/10.1101/671081v1.full</t>
  </si>
  <si>
    <t>Among these, the influent C/P ratio is particularly important since it has been correlated with EBRP performance and stability (Gu et al., 2008). The observed stoichiometric requirement of carbon for a unit amount of phosphorus to be removed has been around 10-20 mg rbCOD/mg P removed (Barnard et al., 2005; Tchobanoglous, 2003). Higher rbCOD/P ratios (40-50 mg-rbCOD/mg-P) have been seen to be associated with GAO dominated culture (Liu et al., 1997; Broughton et al., 2008; Kong et al., 2002; Schuler and Jenkins, 2003; Oehmen et al., 2007) and lower ratios (&lt;10-20 mg-rbCOD/mg-P) have been associated with PAO dominated culture. The range of rbCOD/P ratio for satisfying P removal in Water reclamation facilities was recommended as 15:1-25:1 (Randall et al., 1992; Tetreault et al., 1986).</t>
  </si>
  <si>
    <t>Increase COD concentrations to increase COD/P ratio</t>
  </si>
  <si>
    <t>`</t>
  </si>
  <si>
    <t>Target COD Conc. in reactor (mg/L)</t>
  </si>
  <si>
    <t>Sodium bicarbonate (buffer solution)</t>
  </si>
  <si>
    <r>
      <t>K2HPO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                                  (potassium phosphate dibasic)</t>
    </r>
  </si>
  <si>
    <r>
      <t>NaHCO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(as pH buffer)</t>
    </r>
  </si>
  <si>
    <r>
      <t>Increase COD concentrations and P concs but keep the ratio the same; change P source to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HPO4; begin to add NaHCO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to buffer pH</t>
    </r>
  </si>
  <si>
    <t>9/24/2021 (start from the cycle at 19:45)</t>
  </si>
  <si>
    <t>Synthetic wastewater media (without COD, P and nitrate)</t>
  </si>
  <si>
    <t>decrease COD concentrations and P concs but keep the ratio the same</t>
  </si>
  <si>
    <t>Decrease COD concentrations and P concs and decrease the ratio</t>
  </si>
  <si>
    <t>Influent Conc. (mg/L)</t>
  </si>
  <si>
    <t>Volume taken from the corrosponding stock solution (mL)</t>
  </si>
  <si>
    <t>Major component (mg/L below)</t>
  </si>
  <si>
    <t>Read me!</t>
  </si>
  <si>
    <t>Back up target in-reactr NO3-N concentration to 8 mgN/L</t>
  </si>
  <si>
    <t>NaOH</t>
  </si>
  <si>
    <t>Acid feed solution</t>
  </si>
  <si>
    <t>Purchased HCl (36%-38% wt.%) Molarity (mol/L)</t>
  </si>
  <si>
    <t>Feed solution volume (L)</t>
  </si>
  <si>
    <t>Conc.in feed bottle (mol/L)</t>
  </si>
  <si>
    <t>Purchased HCI is 36%-38% wt.%</t>
  </si>
  <si>
    <t>Base feed solution</t>
  </si>
  <si>
    <t>1. Peroidally refresh the acid/base feed if the noticed solution level is low.</t>
  </si>
  <si>
    <r>
      <t xml:space="preserve">2. HCI is the strong acid, the purchased HCI stock is kept in the "Acid cabinet" underneath the fume hood in A240. Prepare ~800mL DI water in an erlenmeyer flask and add the measured volume of stock HCI into it, then fill up with DI water to </t>
    </r>
    <r>
      <rPr>
        <b/>
        <sz val="11"/>
        <color theme="1"/>
        <rFont val="Calibri"/>
        <family val="2"/>
        <scheme val="minor"/>
      </rPr>
      <t>1L</t>
    </r>
    <r>
      <rPr>
        <sz val="11"/>
        <color theme="1"/>
        <rFont val="Calibri"/>
        <family val="2"/>
        <scheme val="minor"/>
      </rPr>
      <t xml:space="preserve">. Keep in mind: Pefrom the dilution step in the fume hood. </t>
    </r>
    <r>
      <rPr>
        <b/>
        <sz val="11"/>
        <color theme="1"/>
        <rFont val="Calibri"/>
        <family val="2"/>
        <scheme val="minor"/>
      </rPr>
      <t>Be cautious when you deal with the strong acid stock!</t>
    </r>
  </si>
  <si>
    <t>3. NaOH solids can be found in the chemical cabinet in A245.</t>
  </si>
  <si>
    <t>6. All needed checmial solids can be found in the cabinet in A245. (Most of them are kept in the nearest cabinet next the the entry door)</t>
  </si>
  <si>
    <t>Volume of influent media</t>
  </si>
  <si>
    <t>Increase target in-reactor NO3-N concentration; check pump speed (lower than before)</t>
  </si>
  <si>
    <t>10/22/2021 (start from the cycle at 21:15)</t>
  </si>
  <si>
    <t>10/25/2021 (start from the cycle at 22:55)</t>
  </si>
  <si>
    <t>check pump speed (higher than before)</t>
  </si>
  <si>
    <t>VFA1(Cmol)</t>
  </si>
  <si>
    <t>VFA2(Cmol)</t>
  </si>
  <si>
    <t>N source -100mL Amber  bottle</t>
  </si>
  <si>
    <t>11/7/2021 (start from the cycle at 18:00)</t>
  </si>
  <si>
    <r>
      <t>NaNO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(69)</t>
    </r>
  </si>
  <si>
    <t>NaNO2 conc. in bottle (g/L)</t>
  </si>
  <si>
    <r>
      <t>2. Mix all components of trace elments listed above (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species in total) to prepare 250mL trace elments stock solution.</t>
    </r>
  </si>
  <si>
    <r>
      <t xml:space="preserve">4. Store stock solutions in </t>
    </r>
    <r>
      <rPr>
        <b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Arial"/>
        <family val="2"/>
      </rPr>
      <t>°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walk-in's shelf in Wellslab </t>
    </r>
    <r>
      <rPr>
        <b/>
        <sz val="11"/>
        <color theme="1"/>
        <rFont val="Calibri"/>
        <family val="2"/>
        <scheme val="minor"/>
      </rPr>
      <t>A240</t>
    </r>
    <r>
      <rPr>
        <sz val="11"/>
        <color theme="1"/>
        <rFont val="Calibri"/>
        <family val="2"/>
        <scheme val="minor"/>
      </rPr>
      <t>.</t>
    </r>
  </si>
  <si>
    <t xml:space="preserve">5. Keep in mind to refresh those stock solutions that may not enough for your next time influent media preparation. </t>
  </si>
  <si>
    <r>
      <t xml:space="preserve">1. </t>
    </r>
    <r>
      <rPr>
        <b/>
        <sz val="11"/>
        <color rgb="FFFF0000"/>
        <rFont val="Calibri"/>
        <family val="2"/>
        <scheme val="minor"/>
      </rPr>
      <t>Important</t>
    </r>
    <r>
      <rPr>
        <sz val="11"/>
        <color theme="1"/>
        <rFont val="Calibri"/>
        <family val="2"/>
        <scheme val="minor"/>
      </rPr>
      <t xml:space="preserve">: Only start to add measured stock solutions one by one when the influent tank is filled with </t>
    </r>
    <r>
      <rPr>
        <b/>
        <sz val="11"/>
        <color theme="1"/>
        <rFont val="Calibri"/>
        <family val="2"/>
        <scheme val="minor"/>
      </rPr>
      <t>at least 30L</t>
    </r>
    <r>
      <rPr>
        <sz val="11"/>
        <color theme="1"/>
        <rFont val="Calibri"/>
        <family val="2"/>
        <scheme val="minor"/>
      </rPr>
      <t xml:space="preserve"> DI water (to minimize potential reaction among chemicals when components' concentrations are high), continue to add DI water to make sure water level hit "</t>
    </r>
    <r>
      <rPr>
        <b/>
        <sz val="11"/>
        <color theme="1"/>
        <rFont val="Calibri"/>
        <family val="2"/>
        <scheme val="minor"/>
      </rPr>
      <t>90L</t>
    </r>
    <r>
      <rPr>
        <sz val="11"/>
        <color theme="1"/>
        <rFont val="Calibri"/>
        <family val="2"/>
        <scheme val="minor"/>
      </rPr>
      <t>" marked line.</t>
    </r>
  </si>
  <si>
    <t>11/10/2021 (start from the cycle at 18:30)</t>
  </si>
  <si>
    <t>COD+P feed</t>
  </si>
  <si>
    <t>Stock volume (L)</t>
  </si>
  <si>
    <t>Volume each cycle (L)</t>
  </si>
  <si>
    <t>Cycle length (h)</t>
  </si>
  <si>
    <t>Stock duration (d)</t>
  </si>
  <si>
    <r>
      <t>NaNO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feed</t>
    </r>
  </si>
  <si>
    <t>Synthetic media</t>
  </si>
  <si>
    <t>11/22/2021 (start from the cycle at 8:30)</t>
  </si>
  <si>
    <t>12/6/2021 (start from the cycle at 8:30)</t>
  </si>
  <si>
    <t xml:space="preserve">   </t>
  </si>
  <si>
    <t xml:space="preserve">7. EDTA </t>
  </si>
  <si>
    <t>1/22/2022 (start from the cycle at 15:00)</t>
  </si>
  <si>
    <t>2/1/2022 (start from the cycle at 15:00)</t>
  </si>
  <si>
    <r>
      <t>Synthetic wastewater media (free of VFA, P, NO</t>
    </r>
    <r>
      <rPr>
        <b/>
        <i/>
        <vertAlign val="subscript"/>
        <sz val="11"/>
        <color theme="1"/>
        <rFont val="Calibri"/>
        <family val="2"/>
        <scheme val="minor"/>
      </rPr>
      <t>3</t>
    </r>
    <r>
      <rPr>
        <b/>
        <i/>
        <vertAlign val="superscript"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-N and NO</t>
    </r>
    <r>
      <rPr>
        <b/>
        <i/>
        <vertAlign val="subscript"/>
        <sz val="11"/>
        <color theme="1"/>
        <rFont val="Calibri"/>
        <family val="2"/>
        <scheme val="minor"/>
      </rPr>
      <t>2</t>
    </r>
    <r>
      <rPr>
        <b/>
        <i/>
        <vertAlign val="superscript"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-N )</t>
    </r>
  </si>
  <si>
    <t>Chemical Name</t>
  </si>
  <si>
    <t>Conc. (mg/L)</t>
  </si>
  <si>
    <t>Major components</t>
  </si>
  <si>
    <t>Trace elements solution -0.3mL per liter of synthetic medium</t>
  </si>
  <si>
    <t>2/13/2022 (start from the cycle at 15:00)</t>
  </si>
  <si>
    <t>mg of chemicals</t>
  </si>
  <si>
    <t>WSSC (mg of COD or P)</t>
  </si>
  <si>
    <t>Decreased pump flow rate ( from 7.4 to 7.0)</t>
  </si>
  <si>
    <t>increase stock volume</t>
  </si>
  <si>
    <t>Decreased pump flow rate ( from 7.0 to 6.6)</t>
  </si>
  <si>
    <t>Increased pump flow rate ( from 7.0 to 7.4)</t>
  </si>
  <si>
    <t>increase dosing concentration; Replace dosing tubing evey two weeks</t>
  </si>
  <si>
    <t>Pump flow rate (mL/min)</t>
  </si>
  <si>
    <t>Feed duration (min)</t>
  </si>
  <si>
    <t>Replace the dosing tube</t>
  </si>
  <si>
    <t>Check the pump flow rate weekly</t>
  </si>
  <si>
    <t>Decreased pump speed</t>
  </si>
  <si>
    <t>Increased pump speed</t>
  </si>
  <si>
    <t>Note: Change the conc. according to the ammonia feed subsheet</t>
  </si>
  <si>
    <t>Actual water volume correction</t>
  </si>
  <si>
    <t>HACH reading (mgN/L)</t>
  </si>
  <si>
    <t>Volume of stock added (mL)</t>
  </si>
  <si>
    <t>Actual water volume</t>
  </si>
  <si>
    <t>Correct the volume fro 12 to 11.45</t>
  </si>
  <si>
    <t>COD+P pump (mL/min)</t>
  </si>
  <si>
    <t>Nitrate pump (mLmin)</t>
  </si>
  <si>
    <t>(corrected liquid volume as 11.45L)</t>
  </si>
  <si>
    <t>Correct liquid volume to 11.45L</t>
  </si>
  <si>
    <t>Ethylenediaminetetraacetic acid (EDTA need pH adjust to 8 to dissolve it)</t>
  </si>
  <si>
    <t>Iron (II) sulfate heptahydrate</t>
  </si>
  <si>
    <t>Trace elements solution II -0.3mL per liter of synthetic medium (mg/L below)</t>
  </si>
  <si>
    <t>Stock Conc. (mg/L)</t>
  </si>
  <si>
    <t>Trace elements solution I-1 mL per liter of synthetic medium</t>
  </si>
  <si>
    <t>change to 0.03mM Fe2+</t>
  </si>
  <si>
    <t>Nickel chloride hexahydrate</t>
  </si>
  <si>
    <t>Influent conc. (mgX/L)</t>
  </si>
  <si>
    <t>mole mass (g/mol)</t>
  </si>
  <si>
    <t>Reduced dosing pump rate</t>
  </si>
  <si>
    <t>COD/N ratio</t>
  </si>
  <si>
    <t>increased dosing pump rate; reduced dosing concentration to keep the same COD:N ratio</t>
  </si>
  <si>
    <t>11/28/2022 (start from the cycle at 17:00)</t>
  </si>
  <si>
    <t>11/28/2022 (since cycle at 17:00)</t>
  </si>
  <si>
    <t>12/05/2022 (start from the cycle at 17:00)</t>
  </si>
  <si>
    <t>12/31/2022 (start from the cycle at 17:00)</t>
  </si>
  <si>
    <t>Correct liquid volume to 11.45L; keep decrease COD and P concentrations</t>
  </si>
  <si>
    <t>12/31/2022 (since cycle at 17:00)</t>
  </si>
  <si>
    <t>reduced dosing concentration to keep the same COD:N ratio</t>
  </si>
  <si>
    <t>1/3/2023 (since cycle at 17:00)</t>
  </si>
  <si>
    <t>don't neet nickel (for annamox)</t>
  </si>
  <si>
    <r>
      <t>FeSO</t>
    </r>
    <r>
      <rPr>
        <vertAlign val="subscript"/>
        <sz val="11"/>
        <color theme="2"/>
        <rFont val="Calibri"/>
        <family val="2"/>
        <scheme val="minor"/>
      </rPr>
      <t>4</t>
    </r>
    <r>
      <rPr>
        <sz val="11"/>
        <color theme="2"/>
        <rFont val="Calibri"/>
        <family val="2"/>
        <scheme val="minor"/>
      </rPr>
      <t>·7H</t>
    </r>
    <r>
      <rPr>
        <vertAlign val="subscript"/>
        <sz val="11"/>
        <color theme="2"/>
        <rFont val="Calibri"/>
        <family val="2"/>
        <scheme val="minor"/>
      </rPr>
      <t>2</t>
    </r>
    <r>
      <rPr>
        <sz val="11"/>
        <color theme="2"/>
        <rFont val="Calibri"/>
        <family val="2"/>
        <scheme val="minor"/>
      </rPr>
      <t>O</t>
    </r>
  </si>
  <si>
    <r>
      <t>Since 8/6/2022; target Fe</t>
    </r>
    <r>
      <rPr>
        <vertAlign val="superscript"/>
        <sz val="11"/>
        <color theme="2"/>
        <rFont val="Calibri"/>
        <family val="2"/>
        <scheme val="minor"/>
      </rPr>
      <t>2+</t>
    </r>
    <r>
      <rPr>
        <sz val="11"/>
        <color theme="2"/>
        <rFont val="Calibri"/>
        <family val="2"/>
        <scheme val="minor"/>
      </rPr>
      <t xml:space="preserve"> is 0.09mM in influent/Since 9/27/2022; target Fe2+ is 0.03mM</t>
    </r>
  </si>
  <si>
    <r>
      <t>NiCI</t>
    </r>
    <r>
      <rPr>
        <b/>
        <vertAlign val="subscript"/>
        <sz val="11"/>
        <color theme="2"/>
        <rFont val="Calibri"/>
        <family val="2"/>
        <scheme val="minor"/>
      </rPr>
      <t>2·</t>
    </r>
    <r>
      <rPr>
        <b/>
        <sz val="11"/>
        <color theme="2"/>
        <rFont val="Calibri"/>
        <family val="2"/>
        <scheme val="minor"/>
      </rPr>
      <t>6H</t>
    </r>
    <r>
      <rPr>
        <b/>
        <vertAlign val="subscript"/>
        <sz val="11"/>
        <color theme="2"/>
        <rFont val="Calibri"/>
        <family val="2"/>
        <scheme val="minor"/>
      </rPr>
      <t>2</t>
    </r>
    <r>
      <rPr>
        <b/>
        <sz val="11"/>
        <color theme="2"/>
        <rFont val="Calibri"/>
        <family val="2"/>
        <scheme val="minor"/>
      </rPr>
      <t>O</t>
    </r>
  </si>
  <si>
    <r>
      <t>KH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                               (Potassium phosphate monobasic)</t>
    </r>
  </si>
  <si>
    <t>NaNO2                                 (sodium nitrite)</t>
  </si>
  <si>
    <r>
      <t>N source (as mg/L NO</t>
    </r>
    <r>
      <rPr>
        <b/>
        <i/>
        <vertAlign val="subscript"/>
        <sz val="11"/>
        <color theme="1"/>
        <rFont val="Calibri"/>
        <family val="2"/>
        <scheme val="minor"/>
      </rPr>
      <t>2</t>
    </r>
    <r>
      <rPr>
        <b/>
        <i/>
        <vertAlign val="superscript"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-N)</t>
    </r>
  </si>
  <si>
    <t>N source -500 mL Amber  bottle</t>
  </si>
  <si>
    <t>COD:N ratio</t>
  </si>
  <si>
    <t>N:P ratio</t>
  </si>
  <si>
    <t>Magnesium sulfate</t>
  </si>
  <si>
    <t/>
  </si>
  <si>
    <t xml:space="preserve">purchase date </t>
  </si>
  <si>
    <t>brand</t>
  </si>
  <si>
    <t>number</t>
  </si>
  <si>
    <t>fisher chemical</t>
  </si>
  <si>
    <t>S233-3</t>
  </si>
  <si>
    <t>M63-500</t>
  </si>
  <si>
    <t xml:space="preserve">Thermo fisher scientific </t>
  </si>
  <si>
    <t>UN-NR: 3260</t>
  </si>
  <si>
    <r>
      <t>MgSO</t>
    </r>
    <r>
      <rPr>
        <vertAlign val="subscript"/>
        <sz val="11"/>
        <color theme="1"/>
        <rFont val="Times New Roman"/>
        <family val="1"/>
      </rPr>
      <t>4</t>
    </r>
  </si>
  <si>
    <r>
      <t>MgSO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·7H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</si>
  <si>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CaCl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·2H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</si>
  <si>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NaHCO</t>
    </r>
    <r>
      <rPr>
        <vertAlign val="subscript"/>
        <sz val="11"/>
        <color theme="1"/>
        <rFont val="Times New Roman"/>
        <family val="1"/>
      </rPr>
      <t>3</t>
    </r>
  </si>
  <si>
    <r>
      <t>FeCl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·6H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</si>
  <si>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BO</t>
    </r>
    <r>
      <rPr>
        <vertAlign val="subscript"/>
        <sz val="11"/>
        <color theme="1"/>
        <rFont val="Times New Roman"/>
        <family val="1"/>
      </rPr>
      <t>3</t>
    </r>
  </si>
  <si>
    <r>
      <t>CuSO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·5H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</si>
  <si>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MnCl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·4H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</si>
  <si>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Na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MoO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·2H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</si>
  <si>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ZnSO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·7H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</si>
  <si>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r>
      <t>CoCl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·6H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</si>
  <si>
    <t>chartstring</t>
  </si>
  <si>
    <t>620-8214400-60061665</t>
  </si>
  <si>
    <t>rpm</t>
  </si>
  <si>
    <r>
      <rPr>
        <sz val="11"/>
        <color rgb="FFFF0000"/>
        <rFont val="Calibri"/>
        <family val="2"/>
        <scheme val="minor"/>
      </rPr>
      <t>effluent</t>
    </r>
    <r>
      <rPr>
        <sz val="11"/>
        <color theme="1"/>
        <rFont val="Calibri"/>
        <family val="2"/>
        <scheme val="minor"/>
      </rPr>
      <t xml:space="preserve"> pump (ml/min)</t>
    </r>
  </si>
  <si>
    <r>
      <rPr>
        <sz val="11"/>
        <color rgb="FFFF0000"/>
        <rFont val="Calibri"/>
        <family val="2"/>
        <scheme val="minor"/>
      </rPr>
      <t>influent</t>
    </r>
    <r>
      <rPr>
        <sz val="11"/>
        <color theme="1"/>
        <rFont val="Calibri"/>
        <family val="2"/>
        <scheme val="minor"/>
      </rPr>
      <t xml:space="preserve"> pump (ml/min)</t>
    </r>
  </si>
  <si>
    <t>note</t>
  </si>
  <si>
    <t>add stick to end</t>
  </si>
  <si>
    <t>add 2 for safety, stick tube in then count time (include slow increase of rpm at initiation)</t>
  </si>
  <si>
    <t>stick tube in then count time (include slow increase of rpm at initiation)</t>
  </si>
  <si>
    <t>1/27/2023  4:40:00 PM increase up to 222 while wasting, only decrease to 9.5 L</t>
  </si>
  <si>
    <t>1/27/2023  5:00:00 PM Add from 9.5L to 17., increase t0 200</t>
  </si>
  <si>
    <t>Start fresh add water to 18L</t>
  </si>
  <si>
    <t>only fill to 16L</t>
  </si>
  <si>
    <t>only fill t o17 L , but realize pipe wasn’t reaching bottom of bottom, add metalbut with zip tie</t>
  </si>
  <si>
    <t>very close to target</t>
  </si>
  <si>
    <t>avg</t>
  </si>
  <si>
    <t>sodium acetate</t>
  </si>
  <si>
    <t>sigma-aldrich</t>
  </si>
  <si>
    <t xml:space="preserve">CH3CH2COONa </t>
  </si>
  <si>
    <t>Sodium propionate</t>
  </si>
  <si>
    <t xml:space="preserve">KH2PO4     </t>
  </si>
  <si>
    <t>Potassium phosphate monobasic</t>
  </si>
  <si>
    <r>
      <t>C</t>
    </r>
    <r>
      <rPr>
        <vertAlign val="subscript"/>
        <sz val="11"/>
        <color theme="1"/>
        <rFont val="timesw Roman"/>
      </rPr>
      <t>2</t>
    </r>
    <r>
      <rPr>
        <sz val="11"/>
        <color theme="1"/>
        <rFont val="timesw Roman"/>
      </rPr>
      <t>H</t>
    </r>
    <r>
      <rPr>
        <vertAlign val="subscript"/>
        <sz val="11"/>
        <color theme="1"/>
        <rFont val="timesw Roman"/>
      </rPr>
      <t>3</t>
    </r>
    <r>
      <rPr>
        <sz val="11"/>
        <color theme="1"/>
        <rFont val="timesw Roman"/>
      </rPr>
      <t>NaO</t>
    </r>
    <r>
      <rPr>
        <vertAlign val="subscript"/>
        <sz val="11"/>
        <color theme="1"/>
        <rFont val="timesw Roman"/>
      </rPr>
      <t>2</t>
    </r>
  </si>
  <si>
    <t>fisher chemicals</t>
  </si>
  <si>
    <t>10049-21-5</t>
  </si>
  <si>
    <r>
      <t>NiCI</t>
    </r>
    <r>
      <rPr>
        <vertAlign val="subscript"/>
        <sz val="11"/>
        <rFont val="Times New Roman"/>
        <family val="1"/>
      </rPr>
      <t>2·</t>
    </r>
    <r>
      <rPr>
        <sz val="11"/>
        <rFont val="Times New Roman"/>
        <family val="1"/>
      </rPr>
      <t>6H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</si>
  <si>
    <t xml:space="preserve">test from under reactor top </t>
  </si>
  <si>
    <t xml:space="preserve">Sodium Potassium Tartrate Tetrahydrate </t>
  </si>
  <si>
    <t>C4H12KNaO10</t>
  </si>
  <si>
    <t xml:space="preserve">fisher chemical </t>
  </si>
  <si>
    <t>6381-59-5</t>
  </si>
  <si>
    <t>NH4 A+ reagent</t>
  </si>
  <si>
    <t>use 12 g sodium phosphate monobasic by accident</t>
  </si>
  <si>
    <t xml:space="preserve">Brij 35  </t>
  </si>
  <si>
    <t>fisher chemical (lab chem)</t>
  </si>
  <si>
    <t>LC117921</t>
  </si>
  <si>
    <t>2/6/2023ofr 5:00 pm cycle</t>
  </si>
  <si>
    <t>NO2 A reagent</t>
  </si>
  <si>
    <t xml:space="preserve">ammonium chloride </t>
  </si>
  <si>
    <t>12125-02-9</t>
  </si>
  <si>
    <t>NO2 pH</t>
  </si>
  <si>
    <t>new influent tube miss 14 sec of influent actually,</t>
  </si>
  <si>
    <t xml:space="preserve">influent tank height </t>
  </si>
  <si>
    <t>Ethylenediaminetetraacetic acid (EDTA need pH adjust to 8 to dissolve it, 30~31 pellets of NaOH)</t>
  </si>
  <si>
    <t xml:space="preserve">caused crash </t>
  </si>
  <si>
    <r>
      <t>change the tape outside on NO</t>
    </r>
    <r>
      <rPr>
        <b/>
        <sz val="11"/>
        <color theme="1"/>
        <rFont val="Calibri"/>
        <family val="2"/>
        <scheme val="minor"/>
      </rPr>
      <t>2</t>
    </r>
  </si>
  <si>
    <t xml:space="preserve">dilute by </t>
  </si>
  <si>
    <t>3. There should be totally 6 bottles of stock solutions (6 bottles of major components and 1 bottle of mixed trace elments solution); All stock solution bottles are lablelled with corrosponding information.</t>
  </si>
  <si>
    <t xml:space="preserve">8. Adjust influent pH to 10. </t>
  </si>
  <si>
    <t>calculation error!!!</t>
  </si>
  <si>
    <r>
      <rPr>
        <sz val="11"/>
        <color rgb="FFFF3300"/>
        <rFont val="Times New Roman"/>
        <family val="1"/>
      </rPr>
      <t>→</t>
    </r>
    <r>
      <rPr>
        <sz val="11"/>
        <color rgb="FFFF3300"/>
        <rFont val="Calibri"/>
        <family val="2"/>
      </rPr>
      <t xml:space="preserve"> decreased pump flow rate</t>
    </r>
  </si>
  <si>
    <r>
      <rPr>
        <sz val="11"/>
        <color rgb="FFFF3300"/>
        <rFont val="Times New Roman"/>
        <family val="1"/>
      </rPr>
      <t>→</t>
    </r>
    <r>
      <rPr>
        <sz val="11"/>
        <color rgb="FFFF3300"/>
        <rFont val="Calibri"/>
        <family val="2"/>
      </rPr>
      <t xml:space="preserve"> Keep the dosing time the same as filling duration</t>
    </r>
  </si>
  <si>
    <r>
      <t>NaHCO</t>
    </r>
    <r>
      <rPr>
        <b/>
        <vertAlign val="subscript"/>
        <sz val="11"/>
        <color rgb="FFFF3300"/>
        <rFont val="Calibri"/>
        <family val="2"/>
        <scheme val="minor"/>
      </rPr>
      <t>3</t>
    </r>
    <r>
      <rPr>
        <b/>
        <sz val="11"/>
        <color rgb="FFFF3300"/>
        <rFont val="Calibri"/>
        <family val="2"/>
        <scheme val="minor"/>
      </rPr>
      <t xml:space="preserve"> (as pH buffer)</t>
    </r>
  </si>
  <si>
    <t>delivery address</t>
  </si>
  <si>
    <t>Room A232, Technological Institute, 2145 Sheridan Road, Evanston, IL 60208</t>
  </si>
  <si>
    <t>add water to current COD due to unfinished COD</t>
  </si>
  <si>
    <t>5/8/2023 after in cycle test</t>
  </si>
  <si>
    <t>prep new COD</t>
  </si>
  <si>
    <t>j</t>
  </si>
  <si>
    <t xml:space="preserve">mix 150 ml of old 5/31  influent </t>
  </si>
  <si>
    <t>6/6 change new tube</t>
  </si>
  <si>
    <t>average</t>
  </si>
  <si>
    <t xml:space="preserve"> q</t>
  </si>
  <si>
    <t>speed decrease immediately…</t>
  </si>
  <si>
    <t>testing COD</t>
  </si>
  <si>
    <t>GC</t>
  </si>
  <si>
    <t>got diluted</t>
  </si>
  <si>
    <t>繼續配，維持同樣情況</t>
  </si>
  <si>
    <t>dilution</t>
  </si>
  <si>
    <t>350ml to 440 ml</t>
  </si>
  <si>
    <t xml:space="preserve">additional 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</si>
  <si>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COONa (Sodium acetate) tri water</t>
    </r>
  </si>
  <si>
    <r>
      <t>MgSO</t>
    </r>
    <r>
      <rPr>
        <vertAlign val="subscript"/>
        <sz val="11"/>
        <color theme="2" tint="-9.9978637043366805E-2"/>
        <rFont val="Calibri"/>
        <family val="2"/>
        <scheme val="minor"/>
      </rPr>
      <t>4</t>
    </r>
  </si>
  <si>
    <t>9/1//2023</t>
  </si>
  <si>
    <t>change pH</t>
  </si>
  <si>
    <t>P:N ratio</t>
  </si>
  <si>
    <t>50-185-5531</t>
  </si>
  <si>
    <t>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</si>
</sst>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b/>
      <i/>
      <vertAlign val="subscript"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vertAlign val="subscript"/>
      <sz val="11"/>
      <color theme="2"/>
      <name val="Calibri"/>
      <family val="2"/>
      <scheme val="minor"/>
    </font>
    <font>
      <vertAlign val="superscript"/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vertAlign val="subscript"/>
      <sz val="11"/>
      <color theme="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bscript"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w Roman"/>
    </font>
    <font>
      <vertAlign val="subscript"/>
      <sz val="11"/>
      <color theme="1"/>
      <name val="timesw Roman"/>
    </font>
    <font>
      <sz val="11"/>
      <color rgb="FF222222"/>
      <name val="Times New Roman"/>
      <family val="1"/>
    </font>
    <font>
      <sz val="11"/>
      <name val="Times New Roman"/>
      <family val="1"/>
    </font>
    <font>
      <vertAlign val="subscript"/>
      <sz val="11"/>
      <name val="Times New Roman"/>
      <family val="1"/>
    </font>
    <font>
      <sz val="11"/>
      <color rgb="FF2B2B2B"/>
      <name val="Arial"/>
      <family val="2"/>
    </font>
    <font>
      <sz val="10"/>
      <name val="Times New Roman"/>
      <family val="1"/>
    </font>
    <font>
      <sz val="11"/>
      <color theme="4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sz val="11"/>
      <color rgb="FFFF3300"/>
      <name val="Calibri"/>
      <family val="1"/>
    </font>
    <font>
      <sz val="11"/>
      <color rgb="FFFF3300"/>
      <name val="Times New Roman"/>
      <family val="1"/>
    </font>
    <font>
      <sz val="11"/>
      <color rgb="FFFF3300"/>
      <name val="Calibri"/>
      <family val="2"/>
    </font>
    <font>
      <b/>
      <vertAlign val="subscript"/>
      <sz val="11"/>
      <color rgb="FFFF3300"/>
      <name val="Calibri"/>
      <family val="2"/>
      <scheme val="minor"/>
    </font>
    <font>
      <sz val="12"/>
      <color rgb="FF342F2E"/>
      <name val="Times New Roman"/>
      <family val="1"/>
    </font>
    <font>
      <sz val="11"/>
      <color theme="2" tint="-9.9978637043366805E-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vertAlign val="subscript"/>
      <sz val="11"/>
      <color theme="2" tint="-9.9978637043366805E-2"/>
      <name val="Calibri"/>
      <family val="2"/>
      <scheme val="minor"/>
    </font>
    <font>
      <sz val="9"/>
      <name val="Calibri"/>
      <family val="3"/>
      <charset val="136"/>
      <scheme val="minor"/>
    </font>
    <font>
      <sz val="10"/>
      <color rgb="FF2B2B2B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2" fontId="13" fillId="0" borderId="0" xfId="0" applyNumberFormat="1" applyFont="1" applyAlignment="1">
      <alignment horizontal="center" vertical="center"/>
    </xf>
    <xf numFmtId="0" fontId="14" fillId="0" borderId="0" xfId="1"/>
    <xf numFmtId="0" fontId="0" fillId="2" borderId="7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2" fontId="0" fillId="0" borderId="0" xfId="0" applyNumberFormat="1"/>
    <xf numFmtId="0" fontId="0" fillId="0" borderId="7" xfId="0" applyBorder="1"/>
    <xf numFmtId="0" fontId="2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24" fillId="0" borderId="0" xfId="0" applyFont="1"/>
    <xf numFmtId="0" fontId="7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wrapText="1"/>
    </xf>
    <xf numFmtId="0" fontId="11" fillId="0" borderId="5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wrapText="1"/>
    </xf>
    <xf numFmtId="0" fontId="27" fillId="0" borderId="0" xfId="0" applyFont="1"/>
    <xf numFmtId="0" fontId="0" fillId="9" borderId="0" xfId="0" applyFill="1" applyAlignment="1">
      <alignment wrapText="1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9" borderId="2" xfId="0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4" fontId="11" fillId="0" borderId="0" xfId="0" applyNumberFormat="1" applyFont="1"/>
    <xf numFmtId="0" fontId="30" fillId="0" borderId="0" xfId="0" applyFont="1" applyAlignment="1">
      <alignment horizontal="left" vertical="center" wrapText="1" indent="1"/>
    </xf>
    <xf numFmtId="0" fontId="31" fillId="0" borderId="0" xfId="0" applyFont="1" applyAlignment="1">
      <alignment horizontal="center" vertical="center" wrapText="1"/>
    </xf>
    <xf numFmtId="0" fontId="33" fillId="0" borderId="0" xfId="0" applyFont="1"/>
    <xf numFmtId="0" fontId="11" fillId="0" borderId="2" xfId="0" applyFont="1" applyBorder="1"/>
    <xf numFmtId="0" fontId="28" fillId="0" borderId="2" xfId="0" applyFont="1" applyBorder="1" applyAlignment="1">
      <alignment horizontal="center" vertical="center" wrapText="1"/>
    </xf>
    <xf numFmtId="9" fontId="28" fillId="0" borderId="2" xfId="0" applyNumberFormat="1" applyFont="1" applyBorder="1"/>
    <xf numFmtId="0" fontId="28" fillId="0" borderId="2" xfId="0" applyFont="1" applyBorder="1"/>
    <xf numFmtId="0" fontId="34" fillId="0" borderId="2" xfId="0" applyFont="1" applyBorder="1"/>
    <xf numFmtId="14" fontId="0" fillId="0" borderId="2" xfId="0" applyNumberFormat="1" applyBorder="1"/>
    <xf numFmtId="0" fontId="27" fillId="0" borderId="2" xfId="0" applyFont="1" applyBorder="1"/>
    <xf numFmtId="0" fontId="0" fillId="0" borderId="2" xfId="0" applyBorder="1"/>
    <xf numFmtId="0" fontId="16" fillId="5" borderId="0" xfId="0" applyFont="1" applyFill="1" applyAlignment="1">
      <alignment horizontal="center" vertical="center"/>
    </xf>
    <xf numFmtId="0" fontId="0" fillId="5" borderId="0" xfId="0" applyFill="1"/>
    <xf numFmtId="164" fontId="0" fillId="0" borderId="0" xfId="0" applyNumberFormat="1" applyAlignment="1">
      <alignment horizontal="center" vertical="center"/>
    </xf>
    <xf numFmtId="2" fontId="0" fillId="11" borderId="0" xfId="0" applyNumberFormat="1" applyFill="1"/>
    <xf numFmtId="0" fontId="0" fillId="11" borderId="0" xfId="0" applyFill="1"/>
    <xf numFmtId="2" fontId="35" fillId="0" borderId="0" xfId="0" applyNumberFormat="1" applyFont="1"/>
    <xf numFmtId="0" fontId="36" fillId="10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/>
    <xf numFmtId="14" fontId="37" fillId="0" borderId="0" xfId="0" applyNumberFormat="1" applyFont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1" fontId="37" fillId="0" borderId="0" xfId="0" applyNumberFormat="1" applyFont="1" applyAlignment="1">
      <alignment horizontal="center" vertical="center"/>
    </xf>
    <xf numFmtId="0" fontId="37" fillId="8" borderId="0" xfId="0" applyFont="1" applyFill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2" fontId="37" fillId="2" borderId="0" xfId="0" applyNumberFormat="1" applyFont="1" applyFill="1" applyAlignment="1">
      <alignment horizontal="center" vertical="center"/>
    </xf>
    <xf numFmtId="0" fontId="42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2" fillId="12" borderId="0" xfId="0" applyFont="1" applyFill="1" applyAlignment="1">
      <alignment horizontal="left" vertical="center"/>
    </xf>
    <xf numFmtId="0" fontId="0" fillId="12" borderId="0" xfId="0" applyFill="1"/>
    <xf numFmtId="0" fontId="43" fillId="0" borderId="0" xfId="0" applyFont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0" borderId="4" xfId="0" applyFont="1" applyBorder="1" applyAlignment="1">
      <alignment horizontal="center" vertical="center"/>
    </xf>
    <xf numFmtId="0" fontId="47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6" fillId="5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14" fontId="0" fillId="5" borderId="0" xfId="0" applyNumberFormat="1" applyFill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4" borderId="0" xfId="0" applyNumberFormat="1" applyFill="1"/>
    <xf numFmtId="0" fontId="2" fillId="4" borderId="0" xfId="0" applyFont="1" applyFill="1" applyAlignment="1">
      <alignment horizontal="center" vertical="center" wrapText="1"/>
    </xf>
    <xf numFmtId="2" fontId="44" fillId="4" borderId="6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3" fillId="4" borderId="7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actor%20experiments/In-cycle%20test%20(updated).xlsx" TargetMode="External"/><Relationship Id="rId2" Type="http://schemas.openxmlformats.org/officeDocument/2006/relationships/externalLinkPath" Target="file:///D:\DOE_EERE\Reactor%20experiments\In-cycle%20test%20(updated).xlsx" TargetMode="External"/><Relationship Id="rId1" Type="http://schemas.openxmlformats.org/officeDocument/2006/relationships/externalLinkPath" Target="/DOE_EERE/Reactor%20experiments/In-cycle%20test%20(updat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7-13-2023"/>
      <sheetName val="7-06-2023"/>
      <sheetName val="6-27-2023"/>
      <sheetName val="7-18-2023"/>
      <sheetName val="Daily monitoring "/>
      <sheetName val="Sheet2"/>
      <sheetName val="6-19-2023"/>
      <sheetName val="6-12-2023"/>
      <sheetName val="6-5-2023"/>
      <sheetName val="6-3-2023"/>
      <sheetName val="5-30-2023"/>
      <sheetName val="5-23-2023"/>
      <sheetName val="5-20-2023"/>
      <sheetName val="5-16-2023"/>
      <sheetName val="5-9-2023 "/>
      <sheetName val="5-8-2023 "/>
      <sheetName val="5-4-2023 "/>
      <sheetName val="5-1-2023"/>
      <sheetName val="4-25-2023 "/>
      <sheetName val="4-20-2023 "/>
      <sheetName val="4-17-2023"/>
      <sheetName val="4-10-2023"/>
      <sheetName val="4-6-2023 "/>
      <sheetName val="4-3-2023 "/>
      <sheetName val="3-31-2023 "/>
      <sheetName val="3-29-2023"/>
      <sheetName val="3-27-2023"/>
      <sheetName val="3-22-2023"/>
      <sheetName val="3-15-2023"/>
      <sheetName val="3-14-2023"/>
      <sheetName val="3-10-2023"/>
      <sheetName val="3-7-2021"/>
      <sheetName val="3-1-2023"/>
      <sheetName val="2-21-2023"/>
      <sheetName val="2-16-2023"/>
      <sheetName val="2-13-2023"/>
      <sheetName val="2-7-2023"/>
      <sheetName val="2-3-2023"/>
      <sheetName val="2-1-2023"/>
      <sheetName val="COD"/>
      <sheetName val="origina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63A63FF-BC99-B04A-87CD-0E875B662246}">
  <we:reference id="0986d9dd-94f1-4b67-978d-c4cf6e6142a8" version="23.1.0.0" store="EXCatalog" storeType="EXCatalog"/>
  <we:alternateReferences>
    <we:reference id="WA200000018" version="23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5FEE1FF-37CF-EA42-951E-83652EFD3038}">
  <we:reference id="a2a4692c-ecd3-4c3d-bc1e-2c407a976176" version="23.1.0.0" store="EXCatalog" storeType="EXCatalog"/>
  <we:alternateReferences>
    <we:reference id="WA200000019" version="23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orxiv.org/content/10.1101/671081v1.ful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biorxiv.org/content/10.1101/671081v1.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5F80-E2CF-4A7E-9F22-C5597B97AECE}">
  <sheetPr>
    <tabColor rgb="FFFF0000"/>
  </sheetPr>
  <dimension ref="A1:S629"/>
  <sheetViews>
    <sheetView topLeftCell="A252" zoomScale="108" workbookViewId="0">
      <selection activeCell="A286" sqref="A286:XFD286"/>
    </sheetView>
  </sheetViews>
  <sheetFormatPr defaultColWidth="8.85546875" defaultRowHeight="15"/>
  <cols>
    <col min="1" max="1" width="32" style="3" customWidth="1"/>
    <col min="2" max="2" width="16.42578125" style="3" customWidth="1"/>
    <col min="3" max="3" width="18.85546875" style="1" customWidth="1"/>
    <col min="4" max="4" width="32.85546875" style="1" customWidth="1"/>
    <col min="5" max="5" width="34.28515625" style="1" customWidth="1"/>
    <col min="6" max="6" width="18.85546875" style="1" customWidth="1"/>
    <col min="7" max="7" width="10.85546875" customWidth="1"/>
    <col min="8" max="9" width="12.28515625" customWidth="1"/>
  </cols>
  <sheetData>
    <row r="1" spans="1:19" ht="14.65" customHeight="1">
      <c r="A1" s="174" t="s">
        <v>14</v>
      </c>
      <c r="B1" s="173" t="s">
        <v>72</v>
      </c>
      <c r="C1" s="173"/>
      <c r="D1" s="173"/>
      <c r="E1" s="195" t="s">
        <v>211</v>
      </c>
      <c r="J1" s="194" t="s">
        <v>98</v>
      </c>
      <c r="K1" s="194"/>
      <c r="L1" s="194"/>
      <c r="M1" s="194"/>
      <c r="N1" s="194"/>
      <c r="O1" s="194"/>
      <c r="P1" s="194"/>
      <c r="Q1" s="194"/>
      <c r="R1" s="194"/>
      <c r="S1" s="29" t="s">
        <v>97</v>
      </c>
    </row>
    <row r="2" spans="1:19">
      <c r="A2" s="174"/>
      <c r="B2" s="173"/>
      <c r="C2" s="173"/>
      <c r="D2" s="173"/>
      <c r="E2" s="180"/>
      <c r="J2" s="194"/>
      <c r="K2" s="194"/>
      <c r="L2" s="194"/>
      <c r="M2" s="194"/>
      <c r="N2" s="194"/>
      <c r="O2" s="194"/>
      <c r="P2" s="194"/>
      <c r="Q2" s="194"/>
      <c r="R2" s="194"/>
    </row>
    <row r="3" spans="1:19" ht="18.75">
      <c r="B3" s="173" t="s">
        <v>75</v>
      </c>
      <c r="C3" s="173"/>
      <c r="D3" s="12" t="s">
        <v>76</v>
      </c>
      <c r="E3" s="75" t="s">
        <v>210</v>
      </c>
      <c r="G3" s="173" t="s">
        <v>75</v>
      </c>
      <c r="H3" s="173"/>
      <c r="J3" s="194"/>
      <c r="K3" s="194"/>
      <c r="L3" s="194"/>
      <c r="M3" s="194"/>
      <c r="N3" s="194"/>
      <c r="O3" s="194"/>
      <c r="P3" s="194"/>
      <c r="Q3" s="194"/>
      <c r="R3" s="194"/>
    </row>
    <row r="4" spans="1:19" ht="32.65" customHeight="1">
      <c r="A4" s="3" t="s">
        <v>15</v>
      </c>
      <c r="B4" s="13" t="s">
        <v>73</v>
      </c>
      <c r="C4" s="13" t="s">
        <v>74</v>
      </c>
      <c r="D4" s="13" t="s">
        <v>208</v>
      </c>
      <c r="E4" s="76" t="s">
        <v>209</v>
      </c>
      <c r="F4" s="13" t="s">
        <v>103</v>
      </c>
      <c r="G4" s="13" t="s">
        <v>306</v>
      </c>
      <c r="H4" s="13" t="s">
        <v>74</v>
      </c>
      <c r="J4" s="194"/>
      <c r="K4" s="194"/>
      <c r="L4" s="194"/>
      <c r="M4" s="194"/>
      <c r="N4" s="194"/>
      <c r="O4" s="194"/>
      <c r="P4" s="194"/>
      <c r="Q4" s="194"/>
      <c r="R4" s="194"/>
    </row>
    <row r="5" spans="1:19">
      <c r="A5" s="3" t="s">
        <v>80</v>
      </c>
      <c r="B5" s="1">
        <v>82</v>
      </c>
      <c r="C5" s="1">
        <v>96</v>
      </c>
      <c r="D5" s="1">
        <f>39.1+2+31+16*4</f>
        <v>136.1</v>
      </c>
      <c r="E5" s="74">
        <v>69</v>
      </c>
      <c r="F5" s="1">
        <v>174.2</v>
      </c>
      <c r="G5" s="1">
        <v>136.08000000000001</v>
      </c>
      <c r="H5" s="1">
        <v>96</v>
      </c>
      <c r="J5" s="194"/>
      <c r="K5" s="194"/>
      <c r="L5" s="194"/>
      <c r="M5" s="194"/>
      <c r="N5" s="194"/>
      <c r="O5" s="194"/>
      <c r="P5" s="194"/>
      <c r="Q5" s="194"/>
      <c r="R5" s="194"/>
    </row>
    <row r="6" spans="1:19">
      <c r="A6" s="3" t="s">
        <v>81</v>
      </c>
      <c r="B6" s="4">
        <f>'Influent COD calculation'!C3</f>
        <v>0.78048780487804881</v>
      </c>
      <c r="C6" s="4">
        <f>'Influent COD calculation'!C7</f>
        <v>1.1658165920682837</v>
      </c>
      <c r="D6" s="7"/>
      <c r="E6" s="7"/>
      <c r="G6" s="4">
        <f>2*32/G5</f>
        <v>0.47031158142269247</v>
      </c>
      <c r="H6" s="4">
        <v>1.17</v>
      </c>
      <c r="J6" s="194"/>
      <c r="K6" s="194"/>
      <c r="L6" s="194"/>
      <c r="M6" s="194"/>
      <c r="N6" s="194"/>
      <c r="O6" s="194"/>
      <c r="P6" s="194"/>
      <c r="Q6" s="194"/>
      <c r="R6" s="194"/>
    </row>
    <row r="7" spans="1:19" ht="32.25" customHeight="1">
      <c r="A7" s="3" t="s">
        <v>77</v>
      </c>
      <c r="B7" s="171" t="s">
        <v>83</v>
      </c>
      <c r="C7" s="171"/>
      <c r="D7" s="171"/>
      <c r="J7" s="194"/>
      <c r="K7" s="194"/>
      <c r="L7" s="194"/>
      <c r="M7" s="194"/>
      <c r="N7" s="194"/>
      <c r="O7" s="194"/>
      <c r="P7" s="194"/>
      <c r="Q7" s="194"/>
      <c r="R7" s="194"/>
    </row>
    <row r="8" spans="1:19">
      <c r="B8" s="1" t="s">
        <v>171</v>
      </c>
      <c r="J8" s="194"/>
      <c r="K8" s="194"/>
      <c r="L8" s="194"/>
      <c r="M8" s="194"/>
      <c r="N8" s="194"/>
      <c r="O8" s="194"/>
      <c r="P8" s="194"/>
      <c r="Q8" s="194"/>
      <c r="R8" s="194"/>
    </row>
    <row r="9" spans="1:19">
      <c r="B9" s="1"/>
      <c r="J9" s="194"/>
      <c r="K9" s="194"/>
      <c r="L9" s="194"/>
      <c r="M9" s="194"/>
      <c r="N9" s="194"/>
      <c r="O9" s="194"/>
      <c r="P9" s="194"/>
      <c r="Q9" s="194"/>
      <c r="R9" s="194"/>
    </row>
    <row r="10" spans="1:19">
      <c r="A10" s="3" t="s">
        <v>16</v>
      </c>
      <c r="B10" s="182">
        <v>44956</v>
      </c>
      <c r="C10" s="182"/>
      <c r="D10" s="182"/>
      <c r="E10" s="9">
        <v>44956</v>
      </c>
      <c r="F10" s="1" t="s">
        <v>40</v>
      </c>
      <c r="G10" s="21" t="s">
        <v>36</v>
      </c>
      <c r="H10" s="21" t="s">
        <v>212</v>
      </c>
      <c r="I10" s="21" t="s">
        <v>213</v>
      </c>
    </row>
    <row r="11" spans="1:19">
      <c r="A11" s="3" t="s">
        <v>86</v>
      </c>
      <c r="B11" s="1">
        <v>75</v>
      </c>
      <c r="C11" s="1">
        <v>25</v>
      </c>
      <c r="D11" s="1">
        <v>10</v>
      </c>
      <c r="E11" s="1">
        <v>5</v>
      </c>
      <c r="F11" s="1">
        <f>B11+C11</f>
        <v>100</v>
      </c>
      <c r="G11" s="22">
        <f>(B11+C11)/D11</f>
        <v>10</v>
      </c>
      <c r="H11" s="22">
        <f>(C11+B11)/E11</f>
        <v>20</v>
      </c>
      <c r="I11" s="22">
        <f>E11+D11</f>
        <v>15</v>
      </c>
    </row>
    <row r="12" spans="1:19">
      <c r="A12" s="1" t="s">
        <v>52</v>
      </c>
      <c r="B12" s="1">
        <v>6.5847821164393903</v>
      </c>
      <c r="C12" s="1">
        <v>6.5847821164393903</v>
      </c>
      <c r="D12" s="1">
        <v>6.5847821164393903</v>
      </c>
      <c r="E12" s="1">
        <v>7.4820824874813194</v>
      </c>
    </row>
    <row r="13" spans="1:19">
      <c r="A13" s="1" t="s">
        <v>55</v>
      </c>
      <c r="B13" s="26">
        <v>10</v>
      </c>
      <c r="C13" s="26">
        <v>10</v>
      </c>
      <c r="D13" s="26">
        <v>10</v>
      </c>
      <c r="E13" s="26">
        <v>10</v>
      </c>
      <c r="F13" s="25" t="s">
        <v>87</v>
      </c>
    </row>
    <row r="14" spans="1:19">
      <c r="A14" s="77" t="s">
        <v>78</v>
      </c>
      <c r="B14" s="77">
        <f>B11*18*0.001/(B12*B13*0.001)</f>
        <v>20.501817313432838</v>
      </c>
      <c r="C14" s="77">
        <f>C11*18*0.001/(C12*C13*0.001)</f>
        <v>6.8339391044776123</v>
      </c>
      <c r="D14" s="77">
        <f>D11*18*0.001/(D12*D13*0.001)</f>
        <v>2.7335756417910448</v>
      </c>
      <c r="E14" s="77">
        <f>E11*18*0.001/(E12*E13*0.001)</f>
        <v>1.202873667198723</v>
      </c>
    </row>
    <row r="15" spans="1:19">
      <c r="A15" s="1" t="s">
        <v>79</v>
      </c>
      <c r="B15" s="4">
        <f>(B14/$B$6)</f>
        <v>26.267953432835821</v>
      </c>
      <c r="C15" s="4">
        <f>(C14/$C$6)</f>
        <v>5.8619333014925372</v>
      </c>
      <c r="D15" s="4">
        <f>D14/31*D5</f>
        <v>12.001278866056811</v>
      </c>
      <c r="E15" s="4">
        <f>E14/14*$E$5</f>
        <v>5.9284487883365635</v>
      </c>
      <c r="G15" t="s">
        <v>267</v>
      </c>
    </row>
    <row r="16" spans="1:19">
      <c r="A16" s="23" t="s">
        <v>56</v>
      </c>
      <c r="B16" s="24">
        <f>B15</f>
        <v>26.267953432835821</v>
      </c>
      <c r="C16" s="24">
        <f>C15</f>
        <v>5.8619333014925372</v>
      </c>
      <c r="D16" s="24">
        <f>D15</f>
        <v>12.001278866056811</v>
      </c>
      <c r="E16" s="24">
        <f>E15</f>
        <v>5.9284487883365635</v>
      </c>
    </row>
    <row r="18" spans="1:9">
      <c r="A18" s="1" t="s">
        <v>77</v>
      </c>
      <c r="B18" s="177" t="s">
        <v>26</v>
      </c>
      <c r="C18" s="177"/>
      <c r="D18" s="177"/>
    </row>
    <row r="20" spans="1:9">
      <c r="A20" s="3" t="s">
        <v>16</v>
      </c>
      <c r="B20" s="182">
        <v>44960</v>
      </c>
      <c r="C20" s="182"/>
      <c r="D20" s="182"/>
      <c r="E20" s="9">
        <v>44956</v>
      </c>
      <c r="F20" s="1" t="s">
        <v>40</v>
      </c>
      <c r="G20" s="21" t="s">
        <v>36</v>
      </c>
      <c r="H20" s="21" t="s">
        <v>212</v>
      </c>
      <c r="I20" s="21" t="s">
        <v>213</v>
      </c>
    </row>
    <row r="21" spans="1:9">
      <c r="A21" s="3" t="s">
        <v>86</v>
      </c>
      <c r="B21" s="1">
        <v>75</v>
      </c>
      <c r="C21" s="1">
        <v>25</v>
      </c>
      <c r="D21" s="1">
        <v>10</v>
      </c>
      <c r="E21" s="1">
        <v>5</v>
      </c>
      <c r="F21" s="1">
        <f>B21+C21</f>
        <v>100</v>
      </c>
      <c r="G21" s="22">
        <f>(B21+C21)/D21</f>
        <v>10</v>
      </c>
      <c r="H21" s="22">
        <f>(C21+B21)/E21</f>
        <v>20</v>
      </c>
      <c r="I21" s="22">
        <f>E21+D21</f>
        <v>15</v>
      </c>
    </row>
    <row r="22" spans="1:9">
      <c r="A22" s="1" t="s">
        <v>52</v>
      </c>
      <c r="B22" s="1">
        <f>25/(3+48/60)</f>
        <v>6.5789473684210531</v>
      </c>
      <c r="C22" s="1">
        <f>25/(3+48/60)</f>
        <v>6.5789473684210531</v>
      </c>
      <c r="D22" s="1">
        <f>25/(3+48/60)</f>
        <v>6.5789473684210531</v>
      </c>
      <c r="E22" s="1">
        <f>25/(3+26/60)</f>
        <v>7.2815533980582519</v>
      </c>
      <c r="F22" s="25" t="s">
        <v>84</v>
      </c>
    </row>
    <row r="23" spans="1:9">
      <c r="A23" s="1" t="s">
        <v>55</v>
      </c>
      <c r="B23" s="26">
        <v>10</v>
      </c>
      <c r="C23" s="26">
        <v>10</v>
      </c>
      <c r="D23" s="26">
        <v>10</v>
      </c>
      <c r="E23" s="26">
        <v>10</v>
      </c>
      <c r="F23" s="25" t="s">
        <v>87</v>
      </c>
    </row>
    <row r="24" spans="1:9">
      <c r="A24" s="77" t="s">
        <v>78</v>
      </c>
      <c r="B24" s="77">
        <f>B21*18*0.001/(B22*B23*0.001)</f>
        <v>20.52</v>
      </c>
      <c r="C24" s="77">
        <f>C21*18*0.001/(C22*C23*0.001)</f>
        <v>6.839999999999999</v>
      </c>
      <c r="D24" s="77">
        <f>D21*18*0.001/(D22*D23*0.001)</f>
        <v>2.7359999999999993</v>
      </c>
      <c r="E24" s="77">
        <f>E21*18*0.001/(E22*E23*0.001)</f>
        <v>1.236</v>
      </c>
    </row>
    <row r="25" spans="1:9">
      <c r="A25" s="1" t="s">
        <v>79</v>
      </c>
      <c r="B25" s="4">
        <f>(B24/$B$6)</f>
        <v>26.291249999999998</v>
      </c>
      <c r="C25" s="4">
        <f>(C24/$C$6)</f>
        <v>5.867132142857141</v>
      </c>
      <c r="D25" s="4">
        <f>D24/31*$D$5</f>
        <v>12.011922580645159</v>
      </c>
      <c r="E25" s="4">
        <f>E24/14*$E$5</f>
        <v>6.0917142857142856</v>
      </c>
    </row>
    <row r="26" spans="1:9">
      <c r="A26" s="23" t="s">
        <v>56</v>
      </c>
      <c r="B26" s="24">
        <f>B25</f>
        <v>26.291249999999998</v>
      </c>
      <c r="C26" s="24">
        <f>C25</f>
        <v>5.867132142857141</v>
      </c>
      <c r="D26" s="24">
        <f>D25</f>
        <v>12.011922580645159</v>
      </c>
      <c r="E26" s="24">
        <f>E25</f>
        <v>6.0917142857142856</v>
      </c>
    </row>
    <row r="27" spans="1:9">
      <c r="A27" s="1" t="s">
        <v>77</v>
      </c>
      <c r="B27" s="177" t="s">
        <v>85</v>
      </c>
      <c r="C27" s="177"/>
      <c r="D27" s="177"/>
    </row>
    <row r="30" spans="1:9">
      <c r="A30" s="3" t="s">
        <v>16</v>
      </c>
      <c r="B30" s="182">
        <v>44964</v>
      </c>
      <c r="C30" s="182"/>
      <c r="D30" s="182"/>
      <c r="E30" s="9" t="s">
        <v>271</v>
      </c>
      <c r="F30" s="1" t="s">
        <v>40</v>
      </c>
      <c r="G30" s="21" t="s">
        <v>36</v>
      </c>
      <c r="H30" s="21" t="s">
        <v>212</v>
      </c>
      <c r="I30" s="21" t="s">
        <v>213</v>
      </c>
    </row>
    <row r="31" spans="1:9">
      <c r="A31" s="3" t="s">
        <v>101</v>
      </c>
      <c r="B31" s="1">
        <v>75</v>
      </c>
      <c r="C31" s="1">
        <v>25</v>
      </c>
      <c r="D31" s="1">
        <v>10</v>
      </c>
      <c r="E31" s="1">
        <v>10</v>
      </c>
      <c r="F31" s="1">
        <f>B31+C31</f>
        <v>100</v>
      </c>
      <c r="G31" s="22">
        <f>(B31+C31)/D31</f>
        <v>10</v>
      </c>
      <c r="H31" s="22">
        <f>(C31+B31)/E31</f>
        <v>10</v>
      </c>
      <c r="I31" s="22">
        <f>E31+D31</f>
        <v>20</v>
      </c>
    </row>
    <row r="32" spans="1:9">
      <c r="A32" s="1" t="s">
        <v>52</v>
      </c>
      <c r="B32" s="1">
        <f>25/(3+44/60)</f>
        <v>6.6964285714285712</v>
      </c>
      <c r="C32" s="1">
        <f>25/(3+44/60)</f>
        <v>6.6964285714285712</v>
      </c>
      <c r="D32" s="1">
        <f>25/(3+44/60)</f>
        <v>6.6964285714285712</v>
      </c>
      <c r="E32" s="1">
        <f>25/(3+27/60)</f>
        <v>7.2463768115942022</v>
      </c>
      <c r="F32" s="25" t="s">
        <v>84</v>
      </c>
    </row>
    <row r="33" spans="1:11">
      <c r="A33" s="1" t="s">
        <v>55</v>
      </c>
      <c r="B33" s="26">
        <v>10</v>
      </c>
      <c r="C33" s="26">
        <v>10</v>
      </c>
      <c r="D33" s="26">
        <v>10</v>
      </c>
      <c r="E33" s="26">
        <v>10</v>
      </c>
      <c r="F33" s="25" t="s">
        <v>87</v>
      </c>
    </row>
    <row r="34" spans="1:11">
      <c r="A34" s="1" t="s">
        <v>78</v>
      </c>
      <c r="B34" s="77">
        <f>B31*18*0.001/(B32*B33*0.001)</f>
        <v>20.160000000000004</v>
      </c>
      <c r="C34" s="77">
        <f>C31*18*0.001/(C32*C33*0.001)</f>
        <v>6.7200000000000006</v>
      </c>
      <c r="D34" s="77">
        <f>D31*18*0.001/(D32*D33*0.001)</f>
        <v>2.6880000000000002</v>
      </c>
      <c r="E34" s="77">
        <f>E31*18*0.001/(E32*E33*0.001)</f>
        <v>2.4840000000000004</v>
      </c>
    </row>
    <row r="35" spans="1:11">
      <c r="A35" s="1" t="s">
        <v>79</v>
      </c>
      <c r="B35" s="4">
        <f>(B34/$B$6)</f>
        <v>25.830000000000005</v>
      </c>
      <c r="C35" s="4">
        <f>(C34/$C$6)</f>
        <v>5.7641999999999998</v>
      </c>
      <c r="D35" s="4">
        <f>D34/31*$D$5</f>
        <v>11.801187096774193</v>
      </c>
      <c r="E35" s="4">
        <f>E34/14*$E$5</f>
        <v>12.242571428571431</v>
      </c>
      <c r="F35" s="1" t="s">
        <v>275</v>
      </c>
      <c r="G35">
        <v>7.96</v>
      </c>
    </row>
    <row r="36" spans="1:11">
      <c r="A36" s="23" t="s">
        <v>56</v>
      </c>
      <c r="B36" s="24">
        <f>B35</f>
        <v>25.830000000000005</v>
      </c>
      <c r="C36" s="24">
        <f>C35</f>
        <v>5.7641999999999998</v>
      </c>
      <c r="D36" s="24">
        <f>D35</f>
        <v>11.801187096774193</v>
      </c>
      <c r="E36" s="24">
        <f>E35</f>
        <v>12.242571428571431</v>
      </c>
    </row>
    <row r="37" spans="1:11">
      <c r="A37" s="1" t="s">
        <v>77</v>
      </c>
      <c r="B37" s="177" t="s">
        <v>88</v>
      </c>
      <c r="C37" s="177"/>
      <c r="D37" s="177"/>
    </row>
    <row r="39" spans="1:11">
      <c r="A39" s="3" t="s">
        <v>16</v>
      </c>
      <c r="B39" s="182"/>
      <c r="C39" s="182"/>
      <c r="D39" s="182"/>
      <c r="E39" s="9">
        <v>44967</v>
      </c>
      <c r="F39" s="1" t="s">
        <v>40</v>
      </c>
      <c r="G39" s="21" t="s">
        <v>36</v>
      </c>
      <c r="H39" s="21" t="s">
        <v>212</v>
      </c>
      <c r="I39" s="21" t="s">
        <v>213</v>
      </c>
      <c r="K39" t="s">
        <v>100</v>
      </c>
    </row>
    <row r="40" spans="1:11">
      <c r="A40" s="3" t="s">
        <v>101</v>
      </c>
      <c r="B40" s="1">
        <v>75</v>
      </c>
      <c r="C40" s="1">
        <v>25</v>
      </c>
      <c r="D40" s="1">
        <v>10</v>
      </c>
      <c r="E40" s="1">
        <v>10</v>
      </c>
      <c r="F40" s="1">
        <f>B40+C40</f>
        <v>100</v>
      </c>
      <c r="G40" s="22">
        <f>(B40+C40)/D40</f>
        <v>10</v>
      </c>
      <c r="H40" s="22">
        <f>(C40+B40)/E40</f>
        <v>10</v>
      </c>
      <c r="I40" s="22">
        <f>E40+D40</f>
        <v>20</v>
      </c>
    </row>
    <row r="41" spans="1:11">
      <c r="A41" s="1" t="s">
        <v>52</v>
      </c>
      <c r="B41" s="1"/>
      <c r="E41" s="1">
        <f>25/(3+12/60)</f>
        <v>7.8125</v>
      </c>
      <c r="F41" s="25" t="s">
        <v>84</v>
      </c>
    </row>
    <row r="42" spans="1:11">
      <c r="A42" s="1" t="s">
        <v>55</v>
      </c>
      <c r="B42" s="26">
        <v>10</v>
      </c>
      <c r="C42" s="26">
        <v>10</v>
      </c>
      <c r="D42" s="26">
        <v>10</v>
      </c>
      <c r="E42" s="26">
        <v>10</v>
      </c>
      <c r="F42" s="25" t="s">
        <v>87</v>
      </c>
    </row>
    <row r="43" spans="1:11">
      <c r="A43" s="1" t="s">
        <v>78</v>
      </c>
      <c r="B43" s="77" t="e">
        <f>B40*18*0.001/(B41*B42*0.001)</f>
        <v>#DIV/0!</v>
      </c>
      <c r="C43" s="77" t="e">
        <f>C40*18*0.001/(C41*C42*0.001)</f>
        <v>#DIV/0!</v>
      </c>
      <c r="D43" s="77" t="e">
        <f>D40*18*0.001/(D41*D42*0.001)</f>
        <v>#DIV/0!</v>
      </c>
      <c r="E43" s="77">
        <f>E40*18*0.001/(E41*E42*0.001)</f>
        <v>2.3039999999999998</v>
      </c>
    </row>
    <row r="44" spans="1:11">
      <c r="A44" s="1" t="s">
        <v>79</v>
      </c>
      <c r="B44" s="4" t="e">
        <f>(B43/$B$6)</f>
        <v>#DIV/0!</v>
      </c>
      <c r="C44" s="4" t="e">
        <f>(C43/$C$6)</f>
        <v>#DIV/0!</v>
      </c>
      <c r="D44" s="4" t="e">
        <f>D43/31*$D$5</f>
        <v>#DIV/0!</v>
      </c>
      <c r="E44" s="4">
        <f>E43/14*$E$5</f>
        <v>11.35542857142857</v>
      </c>
    </row>
    <row r="45" spans="1:11">
      <c r="A45" s="23" t="s">
        <v>56</v>
      </c>
      <c r="B45" s="24" t="e">
        <f>B44</f>
        <v>#DIV/0!</v>
      </c>
      <c r="C45" s="24" t="e">
        <f>C44</f>
        <v>#DIV/0!</v>
      </c>
      <c r="D45" s="24" t="e">
        <f>D44</f>
        <v>#DIV/0!</v>
      </c>
      <c r="E45" s="24">
        <f>E44</f>
        <v>11.35542857142857</v>
      </c>
    </row>
    <row r="46" spans="1:11">
      <c r="A46" s="1" t="s">
        <v>77</v>
      </c>
      <c r="B46" s="177" t="s">
        <v>99</v>
      </c>
      <c r="C46" s="177"/>
      <c r="D46" s="177"/>
    </row>
    <row r="48" spans="1:11">
      <c r="A48" s="3" t="s">
        <v>16</v>
      </c>
      <c r="B48" s="182"/>
      <c r="C48" s="182"/>
      <c r="D48" s="182"/>
      <c r="E48" s="9">
        <v>44971</v>
      </c>
      <c r="F48" s="1" t="s">
        <v>40</v>
      </c>
      <c r="G48" s="21" t="s">
        <v>36</v>
      </c>
      <c r="H48" s="21" t="s">
        <v>212</v>
      </c>
      <c r="I48" s="21" t="s">
        <v>213</v>
      </c>
    </row>
    <row r="49" spans="1:9">
      <c r="A49" s="3" t="s">
        <v>101</v>
      </c>
      <c r="B49" s="1">
        <v>75</v>
      </c>
      <c r="C49" s="1">
        <v>25</v>
      </c>
      <c r="D49" s="1">
        <v>10</v>
      </c>
      <c r="E49" s="1">
        <v>10</v>
      </c>
      <c r="F49" s="1">
        <f>B49+C49</f>
        <v>100</v>
      </c>
      <c r="G49" s="22">
        <f>(B49+C49)/D49</f>
        <v>10</v>
      </c>
      <c r="H49" s="22">
        <f>(C49+B49)/E49</f>
        <v>10</v>
      </c>
      <c r="I49" s="22">
        <f>E49+D49</f>
        <v>20</v>
      </c>
    </row>
    <row r="50" spans="1:9">
      <c r="A50" s="1" t="s">
        <v>52</v>
      </c>
      <c r="B50" s="1"/>
      <c r="E50" s="1">
        <f>25/(3+21/60)</f>
        <v>7.4626865671641793</v>
      </c>
      <c r="F50" s="25" t="s">
        <v>84</v>
      </c>
    </row>
    <row r="51" spans="1:9">
      <c r="A51" s="1" t="s">
        <v>55</v>
      </c>
      <c r="B51" s="26">
        <v>10</v>
      </c>
      <c r="C51" s="26">
        <v>10</v>
      </c>
      <c r="D51" s="26">
        <v>10</v>
      </c>
      <c r="E51" s="26">
        <v>10</v>
      </c>
      <c r="F51" s="25" t="s">
        <v>87</v>
      </c>
    </row>
    <row r="52" spans="1:9">
      <c r="A52" s="1" t="s">
        <v>78</v>
      </c>
      <c r="B52" s="77" t="e">
        <f>B49*18*0.001/(B50*B51*0.001)</f>
        <v>#DIV/0!</v>
      </c>
      <c r="C52" s="77" t="e">
        <f>C49*18*0.001/(C50*C51*0.001)</f>
        <v>#DIV/0!</v>
      </c>
      <c r="D52" s="77" t="e">
        <f>D49*18*0.001/(D50*D51*0.001)</f>
        <v>#DIV/0!</v>
      </c>
      <c r="E52" s="77">
        <f>E49*18*0.001/(E50*E51*0.001)</f>
        <v>2.4119999999999995</v>
      </c>
    </row>
    <row r="53" spans="1:9">
      <c r="A53" s="1" t="s">
        <v>79</v>
      </c>
      <c r="B53" s="4" t="e">
        <f>(B52/$B$6)</f>
        <v>#DIV/0!</v>
      </c>
      <c r="C53" s="4" t="e">
        <f>(C52/$C$6)</f>
        <v>#DIV/0!</v>
      </c>
      <c r="D53" s="4" t="e">
        <f>D52/31*$D$5</f>
        <v>#DIV/0!</v>
      </c>
      <c r="E53" s="4">
        <f>E52/14*$E$5</f>
        <v>11.887714285714281</v>
      </c>
    </row>
    <row r="54" spans="1:9">
      <c r="A54" s="23" t="s">
        <v>56</v>
      </c>
      <c r="B54" s="24" t="e">
        <f>B53</f>
        <v>#DIV/0!</v>
      </c>
      <c r="C54" s="24" t="e">
        <f>C53</f>
        <v>#DIV/0!</v>
      </c>
      <c r="D54" s="24" t="e">
        <f>D53</f>
        <v>#DIV/0!</v>
      </c>
      <c r="E54" s="24">
        <f>E53</f>
        <v>11.887714285714281</v>
      </c>
    </row>
    <row r="55" spans="1:9">
      <c r="A55" s="1" t="s">
        <v>77</v>
      </c>
      <c r="B55" s="177" t="s">
        <v>99</v>
      </c>
      <c r="C55" s="177"/>
      <c r="D55" s="177"/>
    </row>
    <row r="57" spans="1:9">
      <c r="A57" s="3" t="s">
        <v>16</v>
      </c>
      <c r="B57" s="182">
        <v>44973</v>
      </c>
      <c r="C57" s="182"/>
      <c r="D57" s="182"/>
      <c r="E57" s="9">
        <v>44973</v>
      </c>
      <c r="F57" s="1" t="s">
        <v>40</v>
      </c>
      <c r="G57" s="21" t="s">
        <v>36</v>
      </c>
      <c r="H57" s="21" t="s">
        <v>212</v>
      </c>
      <c r="I57" s="21" t="s">
        <v>213</v>
      </c>
    </row>
    <row r="58" spans="1:9">
      <c r="A58" s="3" t="s">
        <v>101</v>
      </c>
      <c r="B58" s="1">
        <v>75</v>
      </c>
      <c r="C58" s="1">
        <v>25</v>
      </c>
      <c r="D58" s="1">
        <v>10</v>
      </c>
      <c r="E58" s="1">
        <v>10</v>
      </c>
      <c r="F58" s="1">
        <f>B58+C58</f>
        <v>100</v>
      </c>
      <c r="G58" s="22">
        <f>(B58+C58)/D58</f>
        <v>10</v>
      </c>
      <c r="H58" s="22">
        <f>(C58+B58)/E58</f>
        <v>10</v>
      </c>
      <c r="I58" s="22">
        <f>E58+D58</f>
        <v>20</v>
      </c>
    </row>
    <row r="59" spans="1:9">
      <c r="A59" s="1" t="s">
        <v>52</v>
      </c>
      <c r="B59" s="1">
        <f>25/(3+39/60)</f>
        <v>6.8493150684931505</v>
      </c>
      <c r="C59" s="1">
        <f>25/(3+39/60)</f>
        <v>6.8493150684931505</v>
      </c>
      <c r="D59" s="1">
        <f>25/(3+39/60)</f>
        <v>6.8493150684931505</v>
      </c>
      <c r="E59" s="1">
        <f>25/(3+15/60)</f>
        <v>7.6923076923076925</v>
      </c>
      <c r="F59" s="25" t="s">
        <v>84</v>
      </c>
    </row>
    <row r="60" spans="1:9">
      <c r="A60" s="1" t="s">
        <v>55</v>
      </c>
      <c r="B60" s="26">
        <v>10</v>
      </c>
      <c r="C60" s="26">
        <v>10</v>
      </c>
      <c r="D60" s="26">
        <v>10</v>
      </c>
      <c r="E60" s="26">
        <v>10</v>
      </c>
      <c r="F60" s="25" t="s">
        <v>87</v>
      </c>
    </row>
    <row r="61" spans="1:9">
      <c r="A61" s="1" t="s">
        <v>78</v>
      </c>
      <c r="B61" s="77">
        <f>B58*18*0.001/(B59*B60*0.001)</f>
        <v>19.71</v>
      </c>
      <c r="C61" s="77">
        <f>C58*18*0.001/(C59*C60*0.001)</f>
        <v>6.57</v>
      </c>
      <c r="D61" s="77">
        <f>D58*18*0.001/(D59*D60*0.001)</f>
        <v>2.6280000000000001</v>
      </c>
      <c r="E61" s="77">
        <f>E58*18*0.001/(E59*E60*0.001)</f>
        <v>2.34</v>
      </c>
    </row>
    <row r="62" spans="1:9" ht="18">
      <c r="A62" s="1" t="s">
        <v>79</v>
      </c>
      <c r="B62" s="4">
        <f>(B61/$B$6)</f>
        <v>25.2534375</v>
      </c>
      <c r="C62" s="4">
        <f>(C61/$C$6)</f>
        <v>5.6355348214285712</v>
      </c>
      <c r="D62" s="4">
        <f>D61/31*$D$5</f>
        <v>11.537767741935484</v>
      </c>
      <c r="E62" s="4">
        <f>E61/14*$E$5</f>
        <v>11.532857142857141</v>
      </c>
      <c r="F62" s="184" t="s">
        <v>104</v>
      </c>
      <c r="G62" s="185"/>
    </row>
    <row r="63" spans="1:9">
      <c r="A63" s="23" t="s">
        <v>56</v>
      </c>
      <c r="B63" s="24">
        <f>B62</f>
        <v>25.2534375</v>
      </c>
      <c r="C63" s="24">
        <f>C62</f>
        <v>5.6355348214285712</v>
      </c>
      <c r="D63" s="24">
        <f>D62</f>
        <v>11.537767741935484</v>
      </c>
      <c r="E63" s="24">
        <f>E62</f>
        <v>11.532857142857141</v>
      </c>
      <c r="F63" s="186">
        <v>15.6</v>
      </c>
      <c r="G63" s="187"/>
    </row>
    <row r="64" spans="1:9" ht="27.6" customHeight="1">
      <c r="A64" s="1" t="s">
        <v>77</v>
      </c>
      <c r="B64" s="180" t="s">
        <v>105</v>
      </c>
      <c r="C64" s="180"/>
      <c r="D64" s="180"/>
      <c r="E64" s="13"/>
    </row>
    <row r="66" spans="1:9">
      <c r="A66" s="3" t="s">
        <v>16</v>
      </c>
      <c r="B66" s="182">
        <v>44978</v>
      </c>
      <c r="C66" s="182"/>
      <c r="D66" s="182"/>
      <c r="E66" s="9">
        <v>44978</v>
      </c>
      <c r="F66" s="1" t="s">
        <v>40</v>
      </c>
      <c r="G66" s="21" t="s">
        <v>36</v>
      </c>
      <c r="H66" s="21" t="s">
        <v>212</v>
      </c>
      <c r="I66" s="21" t="s">
        <v>213</v>
      </c>
    </row>
    <row r="67" spans="1:9">
      <c r="A67" s="3" t="s">
        <v>101</v>
      </c>
      <c r="B67" s="1">
        <f>C67*3</f>
        <v>112.5</v>
      </c>
      <c r="C67" s="1">
        <v>37.5</v>
      </c>
      <c r="D67" s="1">
        <v>15</v>
      </c>
      <c r="E67" s="1">
        <v>12</v>
      </c>
      <c r="F67" s="1">
        <f>B67+C67</f>
        <v>150</v>
      </c>
      <c r="G67" s="22">
        <f>(B67+C67)/D67</f>
        <v>10</v>
      </c>
      <c r="H67" s="22">
        <f>(C67+B67)/E67</f>
        <v>12.5</v>
      </c>
      <c r="I67" s="22">
        <f>E67+D67</f>
        <v>27</v>
      </c>
    </row>
    <row r="68" spans="1:9">
      <c r="A68" s="1" t="s">
        <v>52</v>
      </c>
      <c r="B68" s="1">
        <f>25/(3+58/60)</f>
        <v>6.3025210084033612</v>
      </c>
      <c r="C68" s="1">
        <f>25/(3+58/60)</f>
        <v>6.3025210084033612</v>
      </c>
      <c r="D68" s="1">
        <f>25/(3+58/60)</f>
        <v>6.3025210084033612</v>
      </c>
      <c r="E68" s="1">
        <f>25/(3+23/60)</f>
        <v>7.389162561576355</v>
      </c>
      <c r="F68" s="25" t="s">
        <v>84</v>
      </c>
    </row>
    <row r="69" spans="1:9">
      <c r="A69" s="1" t="s">
        <v>55</v>
      </c>
      <c r="B69" s="26">
        <v>10</v>
      </c>
      <c r="C69" s="26">
        <v>10</v>
      </c>
      <c r="D69" s="26">
        <v>10</v>
      </c>
      <c r="E69" s="26">
        <v>10</v>
      </c>
      <c r="F69" s="25" t="s">
        <v>87</v>
      </c>
    </row>
    <row r="70" spans="1:9">
      <c r="A70" s="1" t="s">
        <v>78</v>
      </c>
      <c r="B70" s="77">
        <f>B67*18*0.001/(B68*B69*0.001)</f>
        <v>32.130000000000003</v>
      </c>
      <c r="C70" s="77">
        <f>C67*18*0.001/(C68*C69*0.001)</f>
        <v>10.71</v>
      </c>
      <c r="D70" s="77">
        <f>D67*18*0.001/(D68*D69*0.001)</f>
        <v>4.2840000000000007</v>
      </c>
      <c r="E70" s="77">
        <f>E67*18*0.001/(E68*E69*0.001)</f>
        <v>2.9232000000000005</v>
      </c>
    </row>
    <row r="71" spans="1:9" ht="18">
      <c r="A71" s="1" t="s">
        <v>79</v>
      </c>
      <c r="B71" s="4">
        <f>(B70/$B$6)</f>
        <v>41.166562500000005</v>
      </c>
      <c r="C71" s="4">
        <f>(C70/$C$6)</f>
        <v>9.1866937499999999</v>
      </c>
      <c r="D71" s="4">
        <f>D70/31*$F$5</f>
        <v>24.073316129032261</v>
      </c>
      <c r="E71" s="4">
        <f>E70/14*$E$5</f>
        <v>14.407200000000003</v>
      </c>
      <c r="F71" s="184" t="s">
        <v>104</v>
      </c>
      <c r="G71" s="185"/>
    </row>
    <row r="72" spans="1:9">
      <c r="A72" s="23" t="s">
        <v>56</v>
      </c>
      <c r="B72" s="24">
        <f>B71</f>
        <v>41.166562500000005</v>
      </c>
      <c r="C72" s="24">
        <f>C71</f>
        <v>9.1866937499999999</v>
      </c>
      <c r="D72" s="24">
        <f>D71</f>
        <v>24.073316129032261</v>
      </c>
      <c r="E72" s="24">
        <f>E71</f>
        <v>14.407200000000003</v>
      </c>
      <c r="F72" s="186">
        <v>16</v>
      </c>
      <c r="G72" s="187"/>
    </row>
    <row r="73" spans="1:9">
      <c r="A73" s="1" t="s">
        <v>77</v>
      </c>
      <c r="B73" s="180" t="s">
        <v>108</v>
      </c>
      <c r="C73" s="180"/>
      <c r="D73" s="180"/>
      <c r="E73" s="13"/>
    </row>
    <row r="75" spans="1:9">
      <c r="A75" s="3" t="s">
        <v>16</v>
      </c>
      <c r="B75" s="182">
        <v>44981</v>
      </c>
      <c r="C75" s="182"/>
      <c r="D75" s="182"/>
      <c r="E75" s="9">
        <v>44981</v>
      </c>
      <c r="F75" s="1" t="s">
        <v>40</v>
      </c>
      <c r="G75" s="21" t="s">
        <v>36</v>
      </c>
    </row>
    <row r="76" spans="1:9">
      <c r="A76" s="3" t="s">
        <v>101</v>
      </c>
      <c r="B76" s="1">
        <f>112.5*1.5</f>
        <v>168.75</v>
      </c>
      <c r="C76" s="1">
        <f>37.5*1.5</f>
        <v>56.25</v>
      </c>
      <c r="D76" s="1">
        <v>15</v>
      </c>
      <c r="E76" s="1">
        <v>12</v>
      </c>
      <c r="F76" s="1">
        <f>B76+C76</f>
        <v>225</v>
      </c>
      <c r="G76" s="22">
        <f>(B76+C76)/D76</f>
        <v>15</v>
      </c>
      <c r="I76" s="6" t="s">
        <v>279</v>
      </c>
    </row>
    <row r="77" spans="1:9">
      <c r="A77" s="1" t="s">
        <v>52</v>
      </c>
      <c r="B77" s="1">
        <f>25/(3+49/60)</f>
        <v>6.5502183406113543</v>
      </c>
      <c r="C77" s="1">
        <f>25/(3+49/60)</f>
        <v>6.5502183406113543</v>
      </c>
      <c r="D77" s="1">
        <f>25/(3+49/60)</f>
        <v>6.5502183406113543</v>
      </c>
      <c r="E77" s="1">
        <f>25/(3+20/60)</f>
        <v>7.5</v>
      </c>
      <c r="F77" s="25" t="s">
        <v>84</v>
      </c>
    </row>
    <row r="78" spans="1:9">
      <c r="A78" s="1" t="s">
        <v>55</v>
      </c>
      <c r="B78" s="26">
        <v>10</v>
      </c>
      <c r="C78" s="26">
        <v>10</v>
      </c>
      <c r="D78" s="26">
        <v>10</v>
      </c>
      <c r="E78" s="26">
        <v>10</v>
      </c>
      <c r="F78" s="25" t="s">
        <v>87</v>
      </c>
    </row>
    <row r="79" spans="1:9">
      <c r="A79" s="1" t="s">
        <v>78</v>
      </c>
      <c r="B79" s="77">
        <f>B76*18*0.001/(B77*B78*0.001)</f>
        <v>46.372499999999988</v>
      </c>
      <c r="C79" s="77">
        <f>C76*18*0.001/(C77*C78*0.001)</f>
        <v>15.457499999999996</v>
      </c>
      <c r="D79" s="77">
        <f>D76*18*0.001/(D77*D78*0.001)</f>
        <v>4.121999999999999</v>
      </c>
      <c r="E79" s="77">
        <f>E76*18*0.001/(E77*E78*0.001)</f>
        <v>2.88</v>
      </c>
    </row>
    <row r="80" spans="1:9" ht="18">
      <c r="A80" s="1" t="s">
        <v>79</v>
      </c>
      <c r="B80" s="4">
        <f>(B79/$B$6)</f>
        <v>59.41476562499998</v>
      </c>
      <c r="C80" s="4">
        <f>(C79/$C$6)</f>
        <v>13.25894665178571</v>
      </c>
      <c r="D80" s="4">
        <f>D79/31*$F$5</f>
        <v>23.16298064516128</v>
      </c>
      <c r="E80" s="4">
        <f>E79/14*$E$5</f>
        <v>14.194285714285714</v>
      </c>
      <c r="F80" s="184" t="s">
        <v>104</v>
      </c>
      <c r="G80" s="185"/>
    </row>
    <row r="81" spans="1:12">
      <c r="A81" s="23" t="s">
        <v>56</v>
      </c>
      <c r="B81" s="24">
        <f>B80</f>
        <v>59.41476562499998</v>
      </c>
      <c r="C81" s="24">
        <f>C80</f>
        <v>13.25894665178571</v>
      </c>
      <c r="D81" s="24">
        <f>D80</f>
        <v>23.16298064516128</v>
      </c>
      <c r="E81" s="24">
        <f>E80</f>
        <v>14.194285714285714</v>
      </c>
      <c r="F81" s="186">
        <v>16</v>
      </c>
      <c r="G81" s="187"/>
    </row>
    <row r="82" spans="1:12">
      <c r="A82" s="1" t="s">
        <v>77</v>
      </c>
      <c r="B82" s="180" t="s">
        <v>109</v>
      </c>
      <c r="C82" s="180"/>
      <c r="D82" s="180"/>
      <c r="E82" s="13"/>
    </row>
    <row r="84" spans="1:12">
      <c r="A84" s="3" t="s">
        <v>16</v>
      </c>
      <c r="B84" s="182">
        <v>44985</v>
      </c>
      <c r="C84" s="182"/>
      <c r="D84" s="182"/>
      <c r="E84" s="9">
        <v>44981</v>
      </c>
      <c r="F84" s="1" t="s">
        <v>40</v>
      </c>
      <c r="G84" s="21" t="s">
        <v>36</v>
      </c>
    </row>
    <row r="85" spans="1:12">
      <c r="A85" s="3" t="s">
        <v>101</v>
      </c>
      <c r="B85" s="1">
        <v>75</v>
      </c>
      <c r="C85" s="1">
        <v>25</v>
      </c>
      <c r="D85" s="1">
        <v>10</v>
      </c>
      <c r="E85" s="1">
        <v>12</v>
      </c>
      <c r="F85" s="1">
        <f>B85+C85</f>
        <v>100</v>
      </c>
      <c r="G85" s="22">
        <f>(B85+C85)/D85</f>
        <v>10</v>
      </c>
    </row>
    <row r="86" spans="1:12">
      <c r="A86" s="1" t="s">
        <v>52</v>
      </c>
      <c r="B86" s="1">
        <f>25/(3+49/60)</f>
        <v>6.5502183406113543</v>
      </c>
      <c r="C86" s="1">
        <f>25/(3+49/60)</f>
        <v>6.5502183406113543</v>
      </c>
      <c r="D86" s="1">
        <f>25/(3+49/60)</f>
        <v>6.5502183406113543</v>
      </c>
      <c r="E86" s="1">
        <f>25/(3+20/60)</f>
        <v>7.5</v>
      </c>
      <c r="F86" s="25" t="s">
        <v>84</v>
      </c>
    </row>
    <row r="87" spans="1:12">
      <c r="A87" s="1" t="s">
        <v>55</v>
      </c>
      <c r="B87" s="26">
        <v>10</v>
      </c>
      <c r="C87" s="26">
        <v>10</v>
      </c>
      <c r="D87" s="26">
        <v>10</v>
      </c>
      <c r="E87" s="26">
        <v>10</v>
      </c>
      <c r="F87" s="25" t="s">
        <v>87</v>
      </c>
    </row>
    <row r="88" spans="1:12">
      <c r="A88" s="1" t="s">
        <v>78</v>
      </c>
      <c r="B88" s="77">
        <f>B85*18*0.001/(B86*B87*0.001)</f>
        <v>20.609999999999996</v>
      </c>
      <c r="C88" s="77">
        <f>C85*18*0.001/(C86*C87*0.001)</f>
        <v>6.8699999999999983</v>
      </c>
      <c r="D88" s="77">
        <f>D85*18*0.001/(D86*D87*0.001)</f>
        <v>2.7479999999999993</v>
      </c>
      <c r="E88" s="77">
        <f>E85*18*0.001/(E86*E87*0.001)</f>
        <v>2.88</v>
      </c>
    </row>
    <row r="89" spans="1:12" ht="18">
      <c r="A89" s="1" t="s">
        <v>79</v>
      </c>
      <c r="B89" s="4">
        <f>(B88/$B$6)</f>
        <v>26.406562499999993</v>
      </c>
      <c r="C89" s="4">
        <f>(C88/$C$6)</f>
        <v>5.8928651785714266</v>
      </c>
      <c r="D89" s="4">
        <f>D88/31*$F$5</f>
        <v>15.441987096774188</v>
      </c>
      <c r="E89" s="4">
        <f>E88/14*$E$5</f>
        <v>14.194285714285714</v>
      </c>
      <c r="F89" s="184" t="s">
        <v>104</v>
      </c>
      <c r="G89" s="185"/>
    </row>
    <row r="90" spans="1:12">
      <c r="A90" s="23" t="s">
        <v>56</v>
      </c>
      <c r="B90" s="24">
        <f>B89</f>
        <v>26.406562499999993</v>
      </c>
      <c r="C90" s="24">
        <f>C89</f>
        <v>5.8928651785714266</v>
      </c>
      <c r="D90" s="24">
        <f>D89</f>
        <v>15.441987096774188</v>
      </c>
      <c r="E90" s="24">
        <f>E89</f>
        <v>14.194285714285714</v>
      </c>
      <c r="F90" s="186">
        <v>16</v>
      </c>
      <c r="G90" s="187"/>
    </row>
    <row r="91" spans="1:12">
      <c r="A91" s="1" t="s">
        <v>77</v>
      </c>
      <c r="B91" s="177" t="s">
        <v>99</v>
      </c>
      <c r="C91" s="177"/>
      <c r="D91" s="177"/>
    </row>
    <row r="93" spans="1:12">
      <c r="A93" s="3" t="s">
        <v>16</v>
      </c>
      <c r="B93" s="182">
        <v>410233</v>
      </c>
      <c r="C93" s="182"/>
      <c r="D93" s="182"/>
      <c r="E93" s="9"/>
      <c r="F93" s="1" t="s">
        <v>40</v>
      </c>
      <c r="G93" s="21" t="s">
        <v>36</v>
      </c>
      <c r="J93" t="s">
        <v>131</v>
      </c>
      <c r="K93" t="s">
        <v>132</v>
      </c>
    </row>
    <row r="94" spans="1:12">
      <c r="A94" s="3" t="s">
        <v>101</v>
      </c>
      <c r="B94" s="1">
        <v>90</v>
      </c>
      <c r="C94" s="1">
        <v>30</v>
      </c>
      <c r="D94" s="1">
        <v>10</v>
      </c>
      <c r="E94" s="1">
        <v>12</v>
      </c>
      <c r="F94" s="1">
        <f>B94+C94</f>
        <v>120</v>
      </c>
      <c r="G94" s="22">
        <f>(B94+C94)/D94</f>
        <v>12</v>
      </c>
      <c r="J94">
        <f>(B94/$B$6)*0.001/$B$5*2</f>
        <v>2.8124999999999999E-3</v>
      </c>
      <c r="K94">
        <f>(C94/$C$6)*0.001/$C$5*3</f>
        <v>8.041573660714286E-4</v>
      </c>
      <c r="L94">
        <f>J94+K94</f>
        <v>3.6166573660714285E-3</v>
      </c>
    </row>
    <row r="95" spans="1:12">
      <c r="A95" s="1" t="s">
        <v>52</v>
      </c>
      <c r="B95" s="1">
        <f>25/(3+31/60)</f>
        <v>7.109004739336493</v>
      </c>
      <c r="C95" s="1">
        <f>25/(3+31/60)</f>
        <v>7.109004739336493</v>
      </c>
      <c r="D95" s="1">
        <f>25/(3+31/60)</f>
        <v>7.109004739336493</v>
      </c>
      <c r="E95" s="1">
        <f>25/(3+20/60)</f>
        <v>7.5</v>
      </c>
      <c r="F95" s="25" t="s">
        <v>84</v>
      </c>
    </row>
    <row r="96" spans="1:12">
      <c r="A96" s="1" t="s">
        <v>55</v>
      </c>
      <c r="B96" s="26">
        <v>10</v>
      </c>
      <c r="C96" s="26">
        <v>10</v>
      </c>
      <c r="D96" s="26">
        <v>10</v>
      </c>
      <c r="E96" s="26">
        <v>10</v>
      </c>
      <c r="F96" s="25" t="s">
        <v>87</v>
      </c>
    </row>
    <row r="97" spans="1:12">
      <c r="A97" s="1" t="s">
        <v>78</v>
      </c>
      <c r="B97" s="77">
        <f>B94*18*0.001/(B95*B96*0.001)</f>
        <v>22.788</v>
      </c>
      <c r="C97" s="77">
        <f>C94*18*0.001/(C95*C96*0.001)</f>
        <v>7.596000000000001</v>
      </c>
      <c r="D97" s="77">
        <f>D94*18*0.001/(D95*D96*0.001)</f>
        <v>2.532</v>
      </c>
      <c r="E97" s="77">
        <f>E94*18*0.001/(E95*E96*0.001)</f>
        <v>2.88</v>
      </c>
    </row>
    <row r="98" spans="1:12" ht="18">
      <c r="A98" s="1" t="s">
        <v>79</v>
      </c>
      <c r="B98" s="4">
        <f>(B97/$B$6)</f>
        <v>29.197125</v>
      </c>
      <c r="C98" s="4">
        <f>(C97/$C$6)</f>
        <v>6.5156046428571432</v>
      </c>
      <c r="D98" s="4">
        <f>D97/31*$F$5</f>
        <v>14.228206451612904</v>
      </c>
      <c r="E98" s="4">
        <f>E97/14*$E$5</f>
        <v>14.194285714285714</v>
      </c>
      <c r="F98" s="184" t="s">
        <v>104</v>
      </c>
      <c r="G98" s="185"/>
    </row>
    <row r="99" spans="1:12">
      <c r="A99" s="23" t="s">
        <v>56</v>
      </c>
      <c r="B99" s="24">
        <f>B98</f>
        <v>29.197125</v>
      </c>
      <c r="C99" s="24">
        <f>C98</f>
        <v>6.5156046428571432</v>
      </c>
      <c r="D99" s="24">
        <f>D98</f>
        <v>14.228206451612904</v>
      </c>
      <c r="E99" s="24">
        <f>E98</f>
        <v>14.194285714285714</v>
      </c>
      <c r="F99" s="186">
        <v>16</v>
      </c>
      <c r="G99" s="187"/>
    </row>
    <row r="100" spans="1:12">
      <c r="A100" s="3" t="s">
        <v>77</v>
      </c>
      <c r="B100" s="177" t="s">
        <v>99</v>
      </c>
      <c r="C100" s="177"/>
      <c r="D100" s="177"/>
    </row>
    <row r="103" spans="1:12">
      <c r="A103" s="3" t="s">
        <v>162</v>
      </c>
      <c r="B103" s="1">
        <f>B94*2.6</f>
        <v>234</v>
      </c>
      <c r="C103" s="1">
        <f>C94*2.6</f>
        <v>78</v>
      </c>
      <c r="D103" s="1">
        <f>D94*2.6</f>
        <v>26</v>
      </c>
    </row>
    <row r="104" spans="1:12">
      <c r="A104" s="3" t="s">
        <v>161</v>
      </c>
      <c r="B104" s="4">
        <f>B103/B6</f>
        <v>299.8125</v>
      </c>
      <c r="C104" s="4">
        <f>C103/C6</f>
        <v>66.905892857142845</v>
      </c>
      <c r="D104" s="4">
        <f>D103/31*F5</f>
        <v>146.1032258064516</v>
      </c>
      <c r="E104" s="4"/>
    </row>
    <row r="107" spans="1:12">
      <c r="A107" s="3" t="s">
        <v>16</v>
      </c>
      <c r="B107" s="190">
        <v>44998</v>
      </c>
      <c r="C107" s="190"/>
      <c r="D107" s="190"/>
      <c r="E107" s="9">
        <v>44998</v>
      </c>
      <c r="F107" s="1" t="s">
        <v>40</v>
      </c>
      <c r="G107" s="21" t="s">
        <v>36</v>
      </c>
      <c r="J107" t="s">
        <v>131</v>
      </c>
      <c r="K107" t="s">
        <v>132</v>
      </c>
    </row>
    <row r="108" spans="1:12">
      <c r="A108" s="3" t="s">
        <v>101</v>
      </c>
      <c r="B108" s="1">
        <v>60</v>
      </c>
      <c r="C108" s="1">
        <f>B108/3</f>
        <v>20</v>
      </c>
      <c r="D108" s="1">
        <v>6.7</v>
      </c>
      <c r="E108" s="1">
        <v>6</v>
      </c>
      <c r="F108" s="1">
        <f>B108+C108</f>
        <v>80</v>
      </c>
      <c r="G108" s="22">
        <f>(B108+C108)/D108</f>
        <v>11.940298507462686</v>
      </c>
      <c r="J108">
        <f>(B108/$B$6)*0.001/$B$5*2</f>
        <v>1.8749999999999999E-3</v>
      </c>
      <c r="K108">
        <f>(C108/$C$6)*0.001/$C$5*3</f>
        <v>5.361049107142857E-4</v>
      </c>
      <c r="L108">
        <f>J108+K108</f>
        <v>2.4111049107142855E-3</v>
      </c>
    </row>
    <row r="109" spans="1:12">
      <c r="A109" s="1" t="s">
        <v>52</v>
      </c>
      <c r="B109" s="1">
        <f>25/(3+47/60)</f>
        <v>6.607929515418502</v>
      </c>
      <c r="C109" s="1">
        <f>25/(3+47/60)</f>
        <v>6.607929515418502</v>
      </c>
      <c r="D109" s="1">
        <f>25/(3+47/60)</f>
        <v>6.607929515418502</v>
      </c>
      <c r="E109" s="1">
        <f>25/(3+46.5/60)</f>
        <v>6.6225165562913908</v>
      </c>
      <c r="F109" s="25" t="s">
        <v>84</v>
      </c>
    </row>
    <row r="110" spans="1:12">
      <c r="A110" s="1" t="s">
        <v>55</v>
      </c>
      <c r="B110" s="26">
        <v>10</v>
      </c>
      <c r="C110" s="26">
        <v>10</v>
      </c>
      <c r="D110" s="26">
        <v>10</v>
      </c>
      <c r="E110" s="26">
        <v>10</v>
      </c>
      <c r="F110" s="25" t="s">
        <v>87</v>
      </c>
    </row>
    <row r="111" spans="1:12">
      <c r="A111" s="1" t="s">
        <v>78</v>
      </c>
      <c r="B111" s="77">
        <f>B108*18*0.001/(B109*B110*0.001)</f>
        <v>16.344000000000001</v>
      </c>
      <c r="C111" s="77">
        <f>C108*18*0.001/(C109*C110*0.001)</f>
        <v>5.4479999999999995</v>
      </c>
      <c r="D111" s="77">
        <f>D108*18*0.001/(D109*D110*0.001)</f>
        <v>1.8250800000000003</v>
      </c>
      <c r="E111" s="77">
        <f>E108*18*0.001/(E109*E110*0.001)</f>
        <v>1.6308000000000002</v>
      </c>
    </row>
    <row r="112" spans="1:12" ht="18">
      <c r="A112" s="1" t="s">
        <v>79</v>
      </c>
      <c r="B112" s="4">
        <f>(B111/$B$6)</f>
        <v>20.940750000000001</v>
      </c>
      <c r="C112" s="4">
        <f>(C111/$C$6)</f>
        <v>4.6731192857142849</v>
      </c>
      <c r="D112" s="4">
        <f>D111/31*$F$5</f>
        <v>10.255772129032259</v>
      </c>
      <c r="E112" s="4">
        <f>E111/14*$E$5</f>
        <v>8.0375142857142876</v>
      </c>
      <c r="F112" s="184" t="s">
        <v>104</v>
      </c>
      <c r="G112" s="185"/>
    </row>
    <row r="113" spans="1:12">
      <c r="A113" s="23" t="s">
        <v>56</v>
      </c>
      <c r="B113" s="24">
        <f>B112</f>
        <v>20.940750000000001</v>
      </c>
      <c r="C113" s="24">
        <f>C112</f>
        <v>4.6731192857142849</v>
      </c>
      <c r="D113" s="24">
        <f>D112</f>
        <v>10.255772129032259</v>
      </c>
      <c r="E113" s="24">
        <f>E112</f>
        <v>8.0375142857142876</v>
      </c>
      <c r="F113" s="186">
        <v>16</v>
      </c>
      <c r="G113" s="187"/>
    </row>
    <row r="114" spans="1:12">
      <c r="A114" s="3" t="s">
        <v>77</v>
      </c>
      <c r="B114" s="177" t="s">
        <v>163</v>
      </c>
      <c r="C114" s="177"/>
      <c r="D114" s="177"/>
      <c r="G114" s="113" t="s">
        <v>281</v>
      </c>
      <c r="H114" s="113">
        <f>90/120</f>
        <v>0.75</v>
      </c>
      <c r="I114" s="113">
        <f>750/0.75</f>
        <v>1000</v>
      </c>
      <c r="J114">
        <f>220/0.75</f>
        <v>293.33333333333331</v>
      </c>
    </row>
    <row r="116" spans="1:12">
      <c r="A116" s="3" t="s">
        <v>16</v>
      </c>
      <c r="B116" s="182">
        <v>45000</v>
      </c>
      <c r="C116" s="182"/>
      <c r="D116" s="182"/>
      <c r="E116" s="9">
        <v>45000</v>
      </c>
      <c r="F116" s="1" t="s">
        <v>40</v>
      </c>
      <c r="G116" s="21" t="s">
        <v>36</v>
      </c>
      <c r="J116" t="s">
        <v>131</v>
      </c>
      <c r="K116" t="s">
        <v>132</v>
      </c>
    </row>
    <row r="117" spans="1:12">
      <c r="A117" s="3" t="s">
        <v>101</v>
      </c>
      <c r="B117" s="1">
        <v>46.7</v>
      </c>
      <c r="C117" s="114">
        <f>B117/3</f>
        <v>15.566666666666668</v>
      </c>
      <c r="D117" s="114">
        <f>F117/12</f>
        <v>5.1888888888888891</v>
      </c>
      <c r="E117" s="1">
        <v>6</v>
      </c>
      <c r="F117" s="1">
        <f>B117+C117</f>
        <v>62.266666666666673</v>
      </c>
      <c r="G117" s="22">
        <f>(B117+C117)/D117</f>
        <v>12</v>
      </c>
      <c r="J117">
        <f>(B117/$B$6)*0.001/$B$5*2</f>
        <v>1.459375E-3</v>
      </c>
      <c r="K117">
        <f>(C117/$C$6)*0.001/$C$5*3</f>
        <v>4.1726832217261903E-4</v>
      </c>
      <c r="L117">
        <f>J117+K117</f>
        <v>1.876643322172619E-3</v>
      </c>
    </row>
    <row r="118" spans="1:12">
      <c r="A118" s="1" t="s">
        <v>52</v>
      </c>
      <c r="B118" s="1">
        <v>6.6</v>
      </c>
      <c r="C118" s="1">
        <v>6.6</v>
      </c>
      <c r="D118" s="1">
        <v>6.6</v>
      </c>
      <c r="E118" s="1">
        <f>25/(3+46.5/60)</f>
        <v>6.6225165562913908</v>
      </c>
      <c r="F118" s="25" t="s">
        <v>84</v>
      </c>
    </row>
    <row r="119" spans="1:12">
      <c r="A119" s="1" t="s">
        <v>55</v>
      </c>
      <c r="B119" s="26">
        <v>10</v>
      </c>
      <c r="C119" s="26">
        <v>10</v>
      </c>
      <c r="D119" s="26">
        <v>10</v>
      </c>
      <c r="E119" s="26">
        <v>10</v>
      </c>
      <c r="F119" s="25" t="s">
        <v>87</v>
      </c>
    </row>
    <row r="120" spans="1:12">
      <c r="A120" s="1" t="s">
        <v>78</v>
      </c>
      <c r="B120" s="77">
        <f>B117*18*0.001/(B118*B119*0.001)</f>
        <v>12.736363636363636</v>
      </c>
      <c r="C120" s="77">
        <f>C117*18*0.001/(C118*C119*0.001)</f>
        <v>4.245454545454546</v>
      </c>
      <c r="D120" s="77">
        <f>D117*18*0.001/(D118*D119*0.001)</f>
        <v>1.4151515151515153</v>
      </c>
      <c r="E120" s="77">
        <f>E117*18*0.001/(E118*E119*0.001)</f>
        <v>1.6308000000000002</v>
      </c>
    </row>
    <row r="121" spans="1:12" ht="18">
      <c r="A121" s="1" t="s">
        <v>79</v>
      </c>
      <c r="B121" s="4">
        <f>(B120/$B$6)</f>
        <v>16.318465909090907</v>
      </c>
      <c r="C121" s="4">
        <f>(C120/$C$6)</f>
        <v>3.6416144480519481</v>
      </c>
      <c r="D121" s="4">
        <f>D120/31*$F$5</f>
        <v>7.952238514173998</v>
      </c>
      <c r="E121" s="4">
        <f>E120/14*$E$5</f>
        <v>8.0375142857142876</v>
      </c>
      <c r="F121" s="184" t="s">
        <v>104</v>
      </c>
      <c r="G121" s="185"/>
    </row>
    <row r="122" spans="1:12">
      <c r="A122" s="23" t="s">
        <v>56</v>
      </c>
      <c r="B122" s="24">
        <f>B121</f>
        <v>16.318465909090907</v>
      </c>
      <c r="C122" s="24">
        <f>C121</f>
        <v>3.6416144480519481</v>
      </c>
      <c r="D122" s="24">
        <f>D121</f>
        <v>7.952238514173998</v>
      </c>
      <c r="E122" s="24">
        <f>E121</f>
        <v>8.0375142857142876</v>
      </c>
      <c r="F122" s="186">
        <v>16</v>
      </c>
      <c r="G122" s="187"/>
    </row>
    <row r="123" spans="1:12">
      <c r="A123" s="3" t="s">
        <v>77</v>
      </c>
      <c r="B123" s="177" t="s">
        <v>165</v>
      </c>
      <c r="C123" s="177"/>
      <c r="D123" s="177"/>
    </row>
    <row r="125" spans="1:12">
      <c r="A125" s="3" t="s">
        <v>16</v>
      </c>
      <c r="B125" s="182">
        <v>45007</v>
      </c>
      <c r="C125" s="182"/>
      <c r="D125" s="182"/>
      <c r="E125" s="9">
        <v>45007</v>
      </c>
      <c r="F125" s="1" t="s">
        <v>40</v>
      </c>
      <c r="G125" s="21" t="s">
        <v>36</v>
      </c>
      <c r="J125" t="s">
        <v>131</v>
      </c>
      <c r="K125" t="s">
        <v>132</v>
      </c>
    </row>
    <row r="126" spans="1:12">
      <c r="A126" s="3" t="s">
        <v>101</v>
      </c>
      <c r="B126" s="1">
        <v>60</v>
      </c>
      <c r="C126" s="1">
        <f>B126/3</f>
        <v>20</v>
      </c>
      <c r="D126" s="1">
        <v>6.67</v>
      </c>
      <c r="E126" s="1">
        <v>4.3</v>
      </c>
      <c r="F126" s="1">
        <f>B126+C126</f>
        <v>80</v>
      </c>
      <c r="G126" s="22">
        <f>(B126+C126)/D126</f>
        <v>11.994002998500751</v>
      </c>
      <c r="J126">
        <f>(B126/$B$6)*0.001/$B$5*2</f>
        <v>1.8749999999999999E-3</v>
      </c>
      <c r="K126">
        <f>(C126/$C$6)*0.001/$C$5*3</f>
        <v>5.361049107142857E-4</v>
      </c>
      <c r="L126">
        <f>J126+K126</f>
        <v>2.4111049107142855E-3</v>
      </c>
    </row>
    <row r="127" spans="1:12">
      <c r="A127" s="1" t="s">
        <v>52</v>
      </c>
      <c r="B127" s="1">
        <v>6.6</v>
      </c>
      <c r="C127" s="1">
        <v>6.6</v>
      </c>
      <c r="D127" s="1">
        <v>6.6</v>
      </c>
      <c r="E127" s="1">
        <f>25/(3+46.5/60)</f>
        <v>6.6225165562913908</v>
      </c>
      <c r="F127" s="25" t="s">
        <v>84</v>
      </c>
    </row>
    <row r="128" spans="1:12">
      <c r="A128" s="1" t="s">
        <v>55</v>
      </c>
      <c r="B128" s="26">
        <v>10</v>
      </c>
      <c r="C128" s="26">
        <v>10</v>
      </c>
      <c r="D128" s="26">
        <v>10</v>
      </c>
      <c r="E128" s="26">
        <v>10</v>
      </c>
      <c r="F128" s="25" t="s">
        <v>87</v>
      </c>
    </row>
    <row r="129" spans="1:12">
      <c r="A129" s="1" t="s">
        <v>78</v>
      </c>
      <c r="B129" s="77">
        <f>B126*18*0.001/(B127*B128*0.001)</f>
        <v>16.363636363636363</v>
      </c>
      <c r="C129" s="77">
        <f>C126*18*0.001/(C127*C128*0.001)</f>
        <v>5.4545454545454541</v>
      </c>
      <c r="D129" s="77">
        <f>D126*18*0.001/(D127*D128*0.001)</f>
        <v>1.8190909090909091</v>
      </c>
      <c r="E129" s="77">
        <f>E126*18*0.001/(E127*E128*0.001)</f>
        <v>1.1687400000000001</v>
      </c>
    </row>
    <row r="130" spans="1:12" ht="18">
      <c r="A130" s="1" t="s">
        <v>79</v>
      </c>
      <c r="B130" s="4">
        <f>(B129/$B$6)</f>
        <v>20.96590909090909</v>
      </c>
      <c r="C130" s="4">
        <f>(C129/$C$6)</f>
        <v>4.6787337662337656</v>
      </c>
      <c r="D130" s="4">
        <f>D129/31*$F$5</f>
        <v>10.222117302052785</v>
      </c>
      <c r="E130" s="4">
        <f>E129/14*$E$5</f>
        <v>5.7602185714285721</v>
      </c>
      <c r="F130" s="184" t="s">
        <v>104</v>
      </c>
      <c r="G130" s="185"/>
    </row>
    <row r="131" spans="1:12">
      <c r="A131" s="23" t="s">
        <v>56</v>
      </c>
      <c r="B131" s="24">
        <f>B130</f>
        <v>20.96590909090909</v>
      </c>
      <c r="C131" s="24">
        <f>C130</f>
        <v>4.6787337662337656</v>
      </c>
      <c r="D131" s="24">
        <f>D130</f>
        <v>10.222117302052785</v>
      </c>
      <c r="E131" s="24">
        <f>E130</f>
        <v>5.7602185714285721</v>
      </c>
      <c r="F131" s="186">
        <v>16</v>
      </c>
      <c r="G131" s="187"/>
    </row>
    <row r="132" spans="1:12">
      <c r="A132" s="3" t="s">
        <v>77</v>
      </c>
      <c r="B132" s="177" t="s">
        <v>166</v>
      </c>
      <c r="C132" s="177"/>
      <c r="D132" s="177"/>
    </row>
    <row r="134" spans="1:12">
      <c r="A134" s="3" t="s">
        <v>16</v>
      </c>
      <c r="B134" s="182">
        <v>45020</v>
      </c>
      <c r="C134" s="182"/>
      <c r="D134" s="182"/>
      <c r="E134" s="9">
        <v>45020</v>
      </c>
      <c r="F134" s="1" t="s">
        <v>40</v>
      </c>
      <c r="G134" s="21" t="s">
        <v>36</v>
      </c>
      <c r="J134" t="s">
        <v>131</v>
      </c>
      <c r="K134" t="s">
        <v>132</v>
      </c>
    </row>
    <row r="135" spans="1:12">
      <c r="A135" s="3" t="s">
        <v>101</v>
      </c>
      <c r="B135" s="1">
        <v>29</v>
      </c>
      <c r="C135" s="1">
        <f>B135/3</f>
        <v>9.6666666666666661</v>
      </c>
      <c r="D135" s="1">
        <f>F135/15</f>
        <v>2.5777777777777775</v>
      </c>
      <c r="E135" s="1">
        <v>6.3</v>
      </c>
      <c r="F135" s="1">
        <f>B135+C135</f>
        <v>38.666666666666664</v>
      </c>
      <c r="G135" s="22">
        <f>(B135+C135)/D135</f>
        <v>15</v>
      </c>
      <c r="J135">
        <f>(B135/$B$6)*0.001/$B$5*2</f>
        <v>9.0625000000000005E-4</v>
      </c>
      <c r="K135">
        <f>(C135/$C$6)*0.001/$C$5*3</f>
        <v>2.5911737351190473E-4</v>
      </c>
      <c r="L135">
        <f>J135+K135</f>
        <v>1.1653673735119048E-3</v>
      </c>
    </row>
    <row r="136" spans="1:12">
      <c r="A136" s="1" t="s">
        <v>168</v>
      </c>
      <c r="B136" s="1">
        <f>25/(3+48.32/60)</f>
        <v>6.5697266993693058</v>
      </c>
      <c r="C136" s="1">
        <f>25/(3+48.32/60)</f>
        <v>6.5697266993693058</v>
      </c>
      <c r="D136" s="1">
        <f>25/(3+48.32/60)</f>
        <v>6.5697266993693058</v>
      </c>
      <c r="E136" s="1">
        <f>25/(3+32.72/60)</f>
        <v>7.0515231289958633</v>
      </c>
      <c r="F136" s="25" t="s">
        <v>84</v>
      </c>
    </row>
    <row r="137" spans="1:12">
      <c r="A137" s="1" t="s">
        <v>169</v>
      </c>
      <c r="B137" s="26">
        <v>10</v>
      </c>
      <c r="C137" s="26">
        <v>10</v>
      </c>
      <c r="D137" s="26">
        <v>10</v>
      </c>
      <c r="E137" s="26">
        <v>5</v>
      </c>
      <c r="F137" s="25" t="s">
        <v>87</v>
      </c>
    </row>
    <row r="138" spans="1:12">
      <c r="A138" s="1" t="s">
        <v>78</v>
      </c>
      <c r="B138" s="77">
        <f>B135*18*0.001/(B136*B137*0.001)</f>
        <v>7.9455360000000006</v>
      </c>
      <c r="C138" s="77">
        <f>C135*18*0.001/(C136*C137*0.001)</f>
        <v>2.6485120000000002</v>
      </c>
      <c r="D138" s="77">
        <f>D135*18*0.001/(D136*D137*0.001)</f>
        <v>0.70626986666666647</v>
      </c>
      <c r="E138" s="77">
        <f>E135*18*0.001/(E136*E137*0.001)</f>
        <v>3.2163263999999994</v>
      </c>
    </row>
    <row r="139" spans="1:12" ht="18">
      <c r="A139" s="1" t="s">
        <v>79</v>
      </c>
      <c r="B139" s="4">
        <f>(B138/$B$6)</f>
        <v>10.180218</v>
      </c>
      <c r="C139" s="4">
        <f>(C138/$C$6)</f>
        <v>2.2718084628571429</v>
      </c>
      <c r="D139" s="4">
        <f>D138/31*$F$5</f>
        <v>3.9687809926881705</v>
      </c>
      <c r="E139" s="4">
        <f>E138/14*$E$5</f>
        <v>15.851894399999997</v>
      </c>
      <c r="F139" s="184" t="s">
        <v>104</v>
      </c>
      <c r="G139" s="185"/>
      <c r="I139" s="44">
        <f>I140-B149</f>
        <v>1.4041680000000003</v>
      </c>
      <c r="J139" s="44">
        <f>J140-C149</f>
        <v>1.2534115657142855</v>
      </c>
      <c r="K139" s="44">
        <f>K140-D149</f>
        <v>2.2991558854193559</v>
      </c>
    </row>
    <row r="140" spans="1:12">
      <c r="A140" s="23" t="s">
        <v>56</v>
      </c>
      <c r="B140" s="24">
        <f>B139</f>
        <v>10.180218</v>
      </c>
      <c r="C140" s="24">
        <f>C139</f>
        <v>2.2718084628571429</v>
      </c>
      <c r="D140" s="24">
        <f>D139</f>
        <v>3.9687809926881705</v>
      </c>
      <c r="E140" s="24">
        <f>E139</f>
        <v>15.851894399999997</v>
      </c>
      <c r="F140" s="186">
        <v>16</v>
      </c>
      <c r="G140" s="187"/>
      <c r="I140" s="24">
        <v>14.041679999999999</v>
      </c>
      <c r="J140" s="24">
        <v>3.1335289142857139</v>
      </c>
      <c r="K140" s="24">
        <v>5.4741806795698924</v>
      </c>
    </row>
    <row r="141" spans="1:12">
      <c r="A141" s="3" t="s">
        <v>77</v>
      </c>
      <c r="B141" s="177" t="s">
        <v>170</v>
      </c>
      <c r="C141" s="177"/>
      <c r="D141" s="177"/>
      <c r="E141" s="4"/>
      <c r="F141" s="1">
        <f>F144/F135</f>
        <v>1.2413793103448276</v>
      </c>
      <c r="I141">
        <v>1.5754637837837837</v>
      </c>
      <c r="J141">
        <v>0.35157910733590736</v>
      </c>
      <c r="K141">
        <v>0.61419811636152311</v>
      </c>
    </row>
    <row r="143" spans="1:12">
      <c r="A143" s="3" t="s">
        <v>16</v>
      </c>
      <c r="B143" s="182">
        <v>45023</v>
      </c>
      <c r="C143" s="182"/>
      <c r="D143" s="182"/>
      <c r="E143" s="9">
        <v>45023</v>
      </c>
      <c r="F143" s="1" t="s">
        <v>40</v>
      </c>
      <c r="G143" s="21" t="s">
        <v>36</v>
      </c>
      <c r="J143" t="s">
        <v>131</v>
      </c>
      <c r="K143" t="s">
        <v>132</v>
      </c>
    </row>
    <row r="144" spans="1:12">
      <c r="A144" s="3" t="s">
        <v>101</v>
      </c>
      <c r="B144" s="1">
        <v>36</v>
      </c>
      <c r="C144" s="1">
        <f>B144/3</f>
        <v>12</v>
      </c>
      <c r="D144" s="1">
        <f>D135*1.2</f>
        <v>3.0933333333333328</v>
      </c>
      <c r="E144" s="1">
        <v>6.3</v>
      </c>
      <c r="F144" s="1">
        <f>B144+C144</f>
        <v>48</v>
      </c>
      <c r="G144" s="22">
        <f>(B144+C144)/D144</f>
        <v>15.517241379310347</v>
      </c>
      <c r="J144">
        <f>(B144/$B$6)*0.001/$B$5*2</f>
        <v>1.1249999999999999E-3</v>
      </c>
      <c r="K144">
        <f>(C144/$C$6)*0.001/$C$5*3</f>
        <v>3.2166294642857143E-4</v>
      </c>
      <c r="L144">
        <f>J144+K144</f>
        <v>1.4466629464285714E-3</v>
      </c>
    </row>
    <row r="145" spans="1:12">
      <c r="A145" s="1" t="s">
        <v>168</v>
      </c>
      <c r="B145" s="1">
        <f>25/(3+48.32/60)</f>
        <v>6.5697266993693058</v>
      </c>
      <c r="C145" s="1">
        <f>25/(3+48.32/60)</f>
        <v>6.5697266993693058</v>
      </c>
      <c r="D145" s="1">
        <f>25/(3+48.32/60)</f>
        <v>6.5697266993693058</v>
      </c>
      <c r="E145" s="1">
        <f>25/(3+32.72/60)</f>
        <v>7.0515231289958633</v>
      </c>
      <c r="F145" s="25" t="s">
        <v>84</v>
      </c>
    </row>
    <row r="146" spans="1:12">
      <c r="A146" s="1" t="s">
        <v>169</v>
      </c>
      <c r="B146" s="26">
        <v>10</v>
      </c>
      <c r="C146" s="26">
        <v>10</v>
      </c>
      <c r="D146" s="26">
        <v>10</v>
      </c>
      <c r="E146" s="26">
        <v>5</v>
      </c>
      <c r="F146" s="25" t="s">
        <v>87</v>
      </c>
    </row>
    <row r="147" spans="1:12">
      <c r="A147" s="1" t="s">
        <v>78</v>
      </c>
      <c r="B147" s="77">
        <f>B144*18*0.001/(B145*B146*0.001)</f>
        <v>9.8634240000000002</v>
      </c>
      <c r="C147" s="4">
        <f>C144*12*0.001/(C145*C146*0.001)</f>
        <v>2.191872</v>
      </c>
      <c r="D147" s="4">
        <f>D144*12*0.001/(D145*D146*0.001)</f>
        <v>0.56501589333333324</v>
      </c>
      <c r="E147" s="77">
        <f>E144*18*0.001/(E145*E146*0.001)</f>
        <v>3.2163263999999994</v>
      </c>
    </row>
    <row r="148" spans="1:12" ht="18">
      <c r="A148" s="1" t="s">
        <v>79</v>
      </c>
      <c r="B148" s="4">
        <f>(B147/$B$6)</f>
        <v>12.637511999999999</v>
      </c>
      <c r="C148" s="4">
        <f>(C147/$C$6)</f>
        <v>1.8801173485714284</v>
      </c>
      <c r="D148" s="4">
        <f>D147/31*$F$5</f>
        <v>3.1750247941505365</v>
      </c>
      <c r="E148" s="4">
        <f>E147/14*$E$5</f>
        <v>15.851894399999997</v>
      </c>
      <c r="F148" s="184" t="s">
        <v>104</v>
      </c>
      <c r="G148" s="185"/>
      <c r="I148" s="115">
        <f>(B158-I149)/2</f>
        <v>1.4029687500000012</v>
      </c>
      <c r="J148" s="115">
        <f>(C158-J149)/2</f>
        <v>0.31308526785714252</v>
      </c>
      <c r="K148" s="115">
        <f>(D158-K149)/2</f>
        <v>3.0909161290322578</v>
      </c>
    </row>
    <row r="149" spans="1:12">
      <c r="A149" s="23" t="s">
        <v>56</v>
      </c>
      <c r="B149" s="24">
        <f>B148</f>
        <v>12.637511999999999</v>
      </c>
      <c r="C149" s="24">
        <f>C148</f>
        <v>1.8801173485714284</v>
      </c>
      <c r="D149" s="24">
        <f>D148</f>
        <v>3.1750247941505365</v>
      </c>
      <c r="E149" s="24">
        <f>E148</f>
        <v>15.851894399999997</v>
      </c>
      <c r="F149" s="186">
        <v>16</v>
      </c>
      <c r="G149" s="187"/>
      <c r="I149" s="116">
        <v>14.4140625</v>
      </c>
      <c r="J149" s="116">
        <v>3.2166294642857141</v>
      </c>
      <c r="K149" s="116">
        <v>5.6193548387096772</v>
      </c>
      <c r="L149">
        <v>0</v>
      </c>
    </row>
    <row r="150" spans="1:12">
      <c r="A150" s="3" t="s">
        <v>77</v>
      </c>
      <c r="B150" s="177" t="s">
        <v>172</v>
      </c>
      <c r="C150" s="177"/>
      <c r="D150" s="177"/>
      <c r="F150" s="1">
        <v>1.25</v>
      </c>
    </row>
    <row r="151" spans="1:12">
      <c r="A151" s="118" t="s">
        <v>284</v>
      </c>
      <c r="B151" s="119"/>
      <c r="C151" s="120"/>
      <c r="D151" s="120"/>
      <c r="E151" s="120"/>
      <c r="F151" s="120"/>
      <c r="G151" s="121"/>
    </row>
    <row r="152" spans="1:12">
      <c r="A152" s="119" t="s">
        <v>16</v>
      </c>
      <c r="B152" s="191">
        <v>45027</v>
      </c>
      <c r="C152" s="191"/>
      <c r="D152" s="191"/>
      <c r="E152" s="122">
        <v>45027</v>
      </c>
      <c r="F152" s="120" t="s">
        <v>40</v>
      </c>
      <c r="G152" s="123" t="s">
        <v>36</v>
      </c>
      <c r="J152" t="s">
        <v>131</v>
      </c>
      <c r="K152" t="s">
        <v>132</v>
      </c>
    </row>
    <row r="153" spans="1:12">
      <c r="A153" s="119" t="s">
        <v>101</v>
      </c>
      <c r="B153" s="120">
        <v>50</v>
      </c>
      <c r="C153" s="120">
        <f>B153/3</f>
        <v>16.666666666666668</v>
      </c>
      <c r="D153" s="120">
        <v>10</v>
      </c>
      <c r="E153" s="120">
        <v>7.49</v>
      </c>
      <c r="F153" s="120">
        <f>B153+C153</f>
        <v>66.666666666666671</v>
      </c>
      <c r="G153" s="124">
        <f>(B153+C153)/D153</f>
        <v>6.666666666666667</v>
      </c>
      <c r="J153">
        <f>(B153/$B$6)*0.001/$B$5*2</f>
        <v>1.5624999999999999E-3</v>
      </c>
      <c r="K153">
        <f>(C153/$C$6)*0.001/$C$5*3</f>
        <v>4.4675409226190477E-4</v>
      </c>
      <c r="L153">
        <f>J153+K153</f>
        <v>2.0092540922619045E-3</v>
      </c>
    </row>
    <row r="154" spans="1:12">
      <c r="A154" s="120" t="s">
        <v>168</v>
      </c>
      <c r="B154" s="120">
        <f>25/(3+44/60)</f>
        <v>6.6964285714285712</v>
      </c>
      <c r="C154" s="120">
        <f>25/(3+44/60)</f>
        <v>6.6964285714285712</v>
      </c>
      <c r="D154" s="120">
        <f>25/(3+44/60)</f>
        <v>6.6964285714285712</v>
      </c>
      <c r="E154" s="120">
        <f>25/(3+27/60)</f>
        <v>7.2463768115942022</v>
      </c>
      <c r="F154" s="125" t="s">
        <v>285</v>
      </c>
      <c r="G154" s="121"/>
    </row>
    <row r="155" spans="1:12">
      <c r="A155" s="120" t="s">
        <v>169</v>
      </c>
      <c r="B155" s="126">
        <v>10</v>
      </c>
      <c r="C155" s="126">
        <v>10</v>
      </c>
      <c r="D155" s="126">
        <v>10</v>
      </c>
      <c r="E155" s="126">
        <v>10</v>
      </c>
      <c r="F155" s="125" t="s">
        <v>286</v>
      </c>
      <c r="G155" s="121"/>
    </row>
    <row r="156" spans="1:12">
      <c r="A156" s="120" t="s">
        <v>78</v>
      </c>
      <c r="B156" s="127">
        <f>B153*18*0.001/(B154*B155*0.001)</f>
        <v>13.440000000000001</v>
      </c>
      <c r="C156" s="127">
        <f>C153*18*0.001/(C154*C155*0.001)</f>
        <v>4.4799999999999995</v>
      </c>
      <c r="D156" s="127">
        <f>D153*18*0.001/(D154*D155*0.001)</f>
        <v>2.6880000000000002</v>
      </c>
      <c r="E156" s="127">
        <f>E153*18*0.001/(E154*E155*0.001)</f>
        <v>1.8605160000000003</v>
      </c>
      <c r="F156" s="120"/>
      <c r="G156" s="121"/>
      <c r="I156">
        <f>(B158-I157)/2</f>
        <v>-0.14598447761193967</v>
      </c>
      <c r="J156">
        <f>(C158-J157)/2</f>
        <v>-3.257776716417915E-2</v>
      </c>
      <c r="K156">
        <f>(D158-K157)/2</f>
        <v>5.8719596276744381</v>
      </c>
      <c r="L156">
        <f>(E158-L157)/2</f>
        <v>1.6206186058317185</v>
      </c>
    </row>
    <row r="157" spans="1:12" ht="18">
      <c r="A157" s="120" t="s">
        <v>79</v>
      </c>
      <c r="B157" s="128">
        <f>(B156/$B$6)</f>
        <v>17.220000000000002</v>
      </c>
      <c r="C157" s="128">
        <f>(C156/$C$6)</f>
        <v>3.8427999999999991</v>
      </c>
      <c r="D157" s="128">
        <f>D156/31*$D$5</f>
        <v>11.801187096774193</v>
      </c>
      <c r="E157" s="128">
        <f>E156/14*$E$5</f>
        <v>9.1696860000000004</v>
      </c>
      <c r="F157" s="188" t="s">
        <v>287</v>
      </c>
      <c r="G157" s="189"/>
      <c r="I157">
        <v>17.511968955223882</v>
      </c>
      <c r="J157">
        <v>3.9079555343283574</v>
      </c>
      <c r="K157">
        <v>5.7267841425317281E-2</v>
      </c>
      <c r="L157">
        <v>5.9284487883365635</v>
      </c>
    </row>
    <row r="158" spans="1:12">
      <c r="A158" s="129" t="s">
        <v>56</v>
      </c>
      <c r="B158" s="130">
        <f>B157</f>
        <v>17.220000000000002</v>
      </c>
      <c r="C158" s="130">
        <f>C157</f>
        <v>3.8427999999999991</v>
      </c>
      <c r="D158" s="130">
        <f>D157</f>
        <v>11.801187096774193</v>
      </c>
      <c r="E158" s="130">
        <f>E157</f>
        <v>9.1696860000000004</v>
      </c>
      <c r="F158" s="192">
        <v>16</v>
      </c>
      <c r="G158" s="193"/>
    </row>
    <row r="159" spans="1:12">
      <c r="A159" s="119" t="s">
        <v>77</v>
      </c>
      <c r="B159" s="183" t="s">
        <v>173</v>
      </c>
      <c r="C159" s="183"/>
      <c r="D159" s="183"/>
      <c r="E159" s="120"/>
      <c r="F159" s="120">
        <v>1.2</v>
      </c>
      <c r="G159" s="121"/>
    </row>
    <row r="160" spans="1:12">
      <c r="A160" s="119"/>
      <c r="B160" s="119"/>
      <c r="C160" s="120"/>
      <c r="D160" s="120"/>
      <c r="E160" s="120"/>
      <c r="F160" s="120"/>
      <c r="G160" s="121"/>
    </row>
    <row r="161" spans="1:11">
      <c r="A161" s="119" t="s">
        <v>16</v>
      </c>
      <c r="B161" s="191">
        <v>45030</v>
      </c>
      <c r="C161" s="183"/>
      <c r="D161" s="183"/>
      <c r="E161" s="122">
        <v>45030</v>
      </c>
      <c r="F161" s="120" t="s">
        <v>40</v>
      </c>
      <c r="G161" s="123" t="s">
        <v>36</v>
      </c>
      <c r="J161" t="s">
        <v>131</v>
      </c>
      <c r="K161" t="s">
        <v>132</v>
      </c>
    </row>
    <row r="162" spans="1:11">
      <c r="A162" s="119" t="s">
        <v>101</v>
      </c>
      <c r="B162" s="120">
        <f>B153*F159</f>
        <v>60</v>
      </c>
      <c r="C162" s="120">
        <f>B162/3</f>
        <v>20</v>
      </c>
      <c r="D162" s="120">
        <v>15.36</v>
      </c>
      <c r="E162" s="120">
        <v>9</v>
      </c>
      <c r="F162" s="120">
        <f>B162+C162</f>
        <v>80</v>
      </c>
      <c r="G162" s="124">
        <f>(B162+C162)/D162</f>
        <v>5.2083333333333339</v>
      </c>
      <c r="J162">
        <f>(B162/$B$6)*0.001/$B$5*2</f>
        <v>1.8749999999999999E-3</v>
      </c>
      <c r="K162">
        <f>(C162/$C$6)*0.001/$C$5*3</f>
        <v>5.361049107142857E-4</v>
      </c>
    </row>
    <row r="163" spans="1:11">
      <c r="A163" s="120" t="s">
        <v>168</v>
      </c>
      <c r="B163" s="120">
        <f>25/(3+48.32/60)</f>
        <v>6.5697266993693058</v>
      </c>
      <c r="C163" s="120">
        <f>25/(3+48.32/60)</f>
        <v>6.5697266993693058</v>
      </c>
      <c r="D163" s="120">
        <f>25/(3+48.32/60)</f>
        <v>6.5697266993693058</v>
      </c>
      <c r="E163" s="120">
        <f>25/(3+32.72/60)</f>
        <v>7.0515231289958633</v>
      </c>
      <c r="F163" s="125" t="s">
        <v>285</v>
      </c>
      <c r="G163" s="121"/>
    </row>
    <row r="164" spans="1:11">
      <c r="A164" s="120" t="s">
        <v>169</v>
      </c>
      <c r="B164" s="126">
        <v>10</v>
      </c>
      <c r="C164" s="126">
        <v>10</v>
      </c>
      <c r="D164" s="126">
        <v>10</v>
      </c>
      <c r="E164" s="126">
        <v>5</v>
      </c>
      <c r="F164" s="125" t="s">
        <v>286</v>
      </c>
      <c r="G164" s="121"/>
    </row>
    <row r="165" spans="1:11">
      <c r="A165" s="120" t="s">
        <v>78</v>
      </c>
      <c r="B165" s="127">
        <f>B162*18*0.001/(B163*B164*0.001)</f>
        <v>16.439040000000002</v>
      </c>
      <c r="C165" s="127">
        <f>C162*18*0.001/(C163*C164*0.001)</f>
        <v>5.4796800000000001</v>
      </c>
      <c r="D165" s="127">
        <f>D162*18*0.001/(D163*D164*0.001)</f>
        <v>4.2083942399999996</v>
      </c>
      <c r="E165" s="127">
        <f>E162*18*0.001/(E163*E164*0.001)</f>
        <v>4.5947519999999997</v>
      </c>
      <c r="F165" s="120"/>
      <c r="G165" s="121"/>
    </row>
    <row r="166" spans="1:11" ht="18">
      <c r="A166" s="120" t="s">
        <v>79</v>
      </c>
      <c r="B166" s="128">
        <f>(B165/$B$6)</f>
        <v>21.062520000000003</v>
      </c>
      <c r="C166" s="128">
        <f>(C165/$C$6)</f>
        <v>4.7002933714285708</v>
      </c>
      <c r="D166" s="128">
        <f>D165/31*$D$5</f>
        <v>18.476208260129031</v>
      </c>
      <c r="E166" s="128">
        <f>E165/14*$E$5</f>
        <v>22.645563428571425</v>
      </c>
      <c r="F166" s="188" t="s">
        <v>287</v>
      </c>
      <c r="G166" s="189"/>
    </row>
    <row r="167" spans="1:11">
      <c r="A167" s="129" t="s">
        <v>56</v>
      </c>
      <c r="B167" s="130">
        <f>B166</f>
        <v>21.062520000000003</v>
      </c>
      <c r="C167" s="130">
        <f>C166</f>
        <v>4.7002933714285708</v>
      </c>
      <c r="D167" s="130">
        <f>D166</f>
        <v>18.476208260129031</v>
      </c>
      <c r="E167" s="130">
        <f>E166</f>
        <v>22.645563428571425</v>
      </c>
      <c r="F167" s="192">
        <v>16</v>
      </c>
      <c r="G167" s="193"/>
    </row>
    <row r="168" spans="1:11">
      <c r="A168" s="119" t="s">
        <v>77</v>
      </c>
      <c r="B168" s="183"/>
      <c r="C168" s="183"/>
      <c r="D168" s="183"/>
      <c r="E168" s="120"/>
      <c r="F168" s="120">
        <v>1.25</v>
      </c>
      <c r="G168" s="121"/>
    </row>
    <row r="170" spans="1:11">
      <c r="A170" s="3" t="s">
        <v>16</v>
      </c>
      <c r="B170" s="182">
        <v>45032</v>
      </c>
      <c r="C170" s="182"/>
      <c r="D170" s="182"/>
      <c r="E170" s="9">
        <v>45032</v>
      </c>
      <c r="F170" s="1" t="s">
        <v>40</v>
      </c>
      <c r="G170" s="21" t="s">
        <v>36</v>
      </c>
      <c r="J170" t="s">
        <v>131</v>
      </c>
      <c r="K170" t="s">
        <v>132</v>
      </c>
    </row>
    <row r="171" spans="1:11">
      <c r="A171" s="3" t="s">
        <v>101</v>
      </c>
      <c r="B171" s="1">
        <f>B162*F168</f>
        <v>75</v>
      </c>
      <c r="C171" s="1">
        <f>B171/3</f>
        <v>25</v>
      </c>
      <c r="D171" s="1">
        <v>8.5340000000000007</v>
      </c>
      <c r="E171" s="1">
        <v>9</v>
      </c>
      <c r="F171" s="1">
        <f>B171+C171</f>
        <v>100</v>
      </c>
      <c r="G171" s="22">
        <f>(B171+C171)/D171</f>
        <v>11.717834544176235</v>
      </c>
      <c r="J171">
        <f>(B171/$B$6)*0.001/$B$5*2</f>
        <v>2.3437500000000003E-3</v>
      </c>
      <c r="K171">
        <f>(C171/$C$6)*0.001/$C$5*3</f>
        <v>6.701311383928571E-4</v>
      </c>
    </row>
    <row r="172" spans="1:11">
      <c r="A172" s="1" t="s">
        <v>168</v>
      </c>
      <c r="B172" s="1">
        <f>25/(3+48.32/60)</f>
        <v>6.5697266993693058</v>
      </c>
      <c r="C172" s="1">
        <f>25/(3+48.32/60)</f>
        <v>6.5697266993693058</v>
      </c>
      <c r="D172" s="1">
        <f>25/(3+48.32/60)</f>
        <v>6.5697266993693058</v>
      </c>
      <c r="E172" s="1">
        <f>25/(3+32.72/60)</f>
        <v>7.0515231289958633</v>
      </c>
      <c r="F172" s="25" t="s">
        <v>84</v>
      </c>
    </row>
    <row r="173" spans="1:11">
      <c r="A173" s="1" t="s">
        <v>169</v>
      </c>
      <c r="B173" s="26">
        <v>10</v>
      </c>
      <c r="C173" s="26">
        <v>10</v>
      </c>
      <c r="D173" s="26">
        <v>10</v>
      </c>
      <c r="E173" s="26">
        <v>5</v>
      </c>
      <c r="F173" s="25" t="s">
        <v>87</v>
      </c>
    </row>
    <row r="174" spans="1:11">
      <c r="A174" s="1" t="s">
        <v>78</v>
      </c>
      <c r="B174" s="77">
        <f>B171*18*0.001/(B172*B173*0.001)</f>
        <v>20.5488</v>
      </c>
      <c r="C174" s="77">
        <f>C171*18*0.001/(C172*C173*0.001)</f>
        <v>6.8496000000000006</v>
      </c>
      <c r="D174" s="77">
        <f>D171*18*0.001/(D172*D173*0.001)</f>
        <v>2.3381794560000002</v>
      </c>
      <c r="E174" s="77">
        <f>E171*18*0.001/(E172*E173*0.001)</f>
        <v>4.5947519999999997</v>
      </c>
    </row>
    <row r="175" spans="1:11" ht="18">
      <c r="A175" s="1" t="s">
        <v>79</v>
      </c>
      <c r="B175" s="4">
        <f>(B174/$B$6)</f>
        <v>26.328149999999997</v>
      </c>
      <c r="C175" s="4">
        <f>(C174/$C$6)</f>
        <v>5.8753667142857138</v>
      </c>
      <c r="D175" s="4">
        <f>D174/31*$D$5</f>
        <v>10.265362063277419</v>
      </c>
      <c r="E175" s="4">
        <f>E174/14*$E$5</f>
        <v>22.645563428571425</v>
      </c>
      <c r="F175" s="184" t="s">
        <v>104</v>
      </c>
      <c r="G175" s="185"/>
    </row>
    <row r="176" spans="1:11">
      <c r="A176" s="23" t="s">
        <v>56</v>
      </c>
      <c r="B176" s="24">
        <f>B175</f>
        <v>26.328149999999997</v>
      </c>
      <c r="C176" s="24">
        <f>C175</f>
        <v>5.8753667142857138</v>
      </c>
      <c r="D176" s="24">
        <f>D175</f>
        <v>10.265362063277419</v>
      </c>
      <c r="E176" s="24">
        <f>E175</f>
        <v>22.645563428571425</v>
      </c>
      <c r="F176" s="186">
        <v>16</v>
      </c>
      <c r="G176" s="187"/>
    </row>
    <row r="177" spans="1:12">
      <c r="A177" s="3" t="s">
        <v>77</v>
      </c>
      <c r="B177" s="177"/>
      <c r="C177" s="177"/>
      <c r="D177" s="177"/>
      <c r="F177" s="1">
        <v>1.16666</v>
      </c>
    </row>
    <row r="179" spans="1:12">
      <c r="A179" s="3" t="s">
        <v>16</v>
      </c>
      <c r="B179" s="182">
        <v>45034</v>
      </c>
      <c r="C179" s="182"/>
      <c r="D179" s="182"/>
      <c r="E179" s="9">
        <v>45035</v>
      </c>
      <c r="F179" s="1" t="s">
        <v>40</v>
      </c>
      <c r="G179" s="21" t="s">
        <v>36</v>
      </c>
      <c r="J179" t="s">
        <v>131</v>
      </c>
      <c r="K179" t="s">
        <v>132</v>
      </c>
    </row>
    <row r="180" spans="1:12">
      <c r="A180" s="3" t="s">
        <v>101</v>
      </c>
      <c r="B180" s="1">
        <f>B171*F177</f>
        <v>87.499499999999998</v>
      </c>
      <c r="C180" s="1">
        <f>B180/3</f>
        <v>29.166499999999999</v>
      </c>
      <c r="D180" s="1">
        <f>F180/15</f>
        <v>7.7777333333333329</v>
      </c>
      <c r="E180" s="1">
        <v>14.38</v>
      </c>
      <c r="F180" s="1">
        <f>B180+C180</f>
        <v>116.666</v>
      </c>
      <c r="G180" s="22">
        <f>(B180+C180)/D180</f>
        <v>15</v>
      </c>
      <c r="J180">
        <f>(B180/$B$6)*0.001/$B$5*2</f>
        <v>2.7343593750000002E-3</v>
      </c>
      <c r="K180">
        <f>(C180/$C$6)*0.001/$C$5*3</f>
        <v>7.8181519391741072E-4</v>
      </c>
    </row>
    <row r="181" spans="1:12">
      <c r="A181" s="1" t="s">
        <v>168</v>
      </c>
      <c r="B181" s="1">
        <f>25/(3+48.32/60)</f>
        <v>6.5697266993693058</v>
      </c>
      <c r="C181" s="1">
        <f>25/(3+48.32/60)</f>
        <v>6.5697266993693058</v>
      </c>
      <c r="D181" s="1">
        <f>25/(3+48.32/60)</f>
        <v>6.5697266993693058</v>
      </c>
      <c r="E181" s="1">
        <v>7.4</v>
      </c>
      <c r="F181" s="25" t="s">
        <v>84</v>
      </c>
    </row>
    <row r="182" spans="1:12">
      <c r="A182" s="1" t="s">
        <v>169</v>
      </c>
      <c r="B182" s="26">
        <v>10</v>
      </c>
      <c r="C182" s="26">
        <v>10</v>
      </c>
      <c r="D182" s="26">
        <v>10</v>
      </c>
      <c r="E182" s="26">
        <v>5</v>
      </c>
      <c r="F182" s="25" t="s">
        <v>87</v>
      </c>
    </row>
    <row r="183" spans="1:12">
      <c r="A183" s="1" t="s">
        <v>78</v>
      </c>
      <c r="B183" s="77">
        <f>B180*18*0.001/(B181*B182*0.001)</f>
        <v>23.973463008</v>
      </c>
      <c r="C183" s="77">
        <f>C180*18*0.001/(C181*C182*0.001)</f>
        <v>7.9911543359999992</v>
      </c>
      <c r="D183" s="77">
        <f>D180*18*0.001/(D181*D182*0.001)</f>
        <v>2.1309744896000002</v>
      </c>
      <c r="E183" s="77">
        <f>E180*18*0.001/(E181*E182*0.001)</f>
        <v>6.9956756756756766</v>
      </c>
    </row>
    <row r="184" spans="1:12" ht="18">
      <c r="A184" s="1" t="s">
        <v>79</v>
      </c>
      <c r="B184" s="4">
        <f>(B183/$B$6)</f>
        <v>30.715999478999997</v>
      </c>
      <c r="C184" s="4">
        <f>(C183/$C$6)</f>
        <v>6.8545553308885703</v>
      </c>
      <c r="D184" s="4">
        <f>D183/31*$D$5</f>
        <v>9.3556654204696788</v>
      </c>
      <c r="E184" s="4">
        <f>E183/14*$E$5</f>
        <v>34.478687258687259</v>
      </c>
      <c r="F184" s="184" t="s">
        <v>104</v>
      </c>
      <c r="G184" s="185"/>
      <c r="I184">
        <v>21.062520000000003</v>
      </c>
      <c r="J184">
        <v>4.7002933714285708</v>
      </c>
      <c r="K184">
        <v>18.475359793548385</v>
      </c>
      <c r="L184">
        <v>22.645563428571425</v>
      </c>
    </row>
    <row r="185" spans="1:12">
      <c r="A185" s="23" t="s">
        <v>56</v>
      </c>
      <c r="B185" s="24">
        <f>B184</f>
        <v>30.715999478999997</v>
      </c>
      <c r="C185" s="24">
        <f>C184</f>
        <v>6.8545553308885703</v>
      </c>
      <c r="D185" s="24">
        <f>D184</f>
        <v>9.3556654204696788</v>
      </c>
      <c r="E185" s="24">
        <f>E184</f>
        <v>34.478687258687259</v>
      </c>
      <c r="F185" s="186">
        <v>16</v>
      </c>
      <c r="G185" s="187"/>
      <c r="I185" s="117">
        <f>(B185-I184)*0.7</f>
        <v>6.7574356352999958</v>
      </c>
      <c r="J185" s="117">
        <f>(C185-J184)*0.7</f>
        <v>1.5079833716219995</v>
      </c>
      <c r="K185" s="117">
        <f>(D185-K184)*0.7</f>
        <v>-6.3837860611550941</v>
      </c>
      <c r="L185" s="117">
        <f>(E185-L184)*0.7</f>
        <v>8.2831866810810837</v>
      </c>
    </row>
    <row r="186" spans="1:12">
      <c r="A186" s="3" t="s">
        <v>77</v>
      </c>
      <c r="B186" s="177"/>
      <c r="C186" s="177"/>
      <c r="D186" s="177"/>
      <c r="F186" s="1">
        <v>1.21</v>
      </c>
    </row>
    <row r="188" spans="1:12">
      <c r="A188" s="3" t="s">
        <v>16</v>
      </c>
      <c r="B188" s="182">
        <v>45037</v>
      </c>
      <c r="C188" s="182"/>
      <c r="D188" s="182"/>
      <c r="E188" s="9"/>
      <c r="F188" s="1" t="s">
        <v>40</v>
      </c>
      <c r="G188" s="21" t="s">
        <v>36</v>
      </c>
      <c r="J188" t="s">
        <v>131</v>
      </c>
      <c r="K188" t="s">
        <v>132</v>
      </c>
    </row>
    <row r="189" spans="1:12">
      <c r="A189" s="3" t="s">
        <v>101</v>
      </c>
      <c r="B189" s="1">
        <f>B180*F186</f>
        <v>105.87439499999999</v>
      </c>
      <c r="C189" s="1">
        <f>B189/3</f>
        <v>35.291464999999995</v>
      </c>
      <c r="D189" s="1">
        <v>12.045</v>
      </c>
      <c r="F189" s="1">
        <f>B189+C189</f>
        <v>141.16585999999998</v>
      </c>
      <c r="G189" s="22">
        <f>(B189+C189)/D189</f>
        <v>11.719872146118719</v>
      </c>
      <c r="J189">
        <f>(B189/$B$6)*0.001/$B$5*2</f>
        <v>3.3085748437499999E-3</v>
      </c>
      <c r="K189">
        <f>(C189/$C$6)*0.001/$C$5*3</f>
        <v>9.4599638464006681E-4</v>
      </c>
    </row>
    <row r="190" spans="1:12">
      <c r="A190" s="1" t="s">
        <v>168</v>
      </c>
      <c r="B190" s="1">
        <v>6.3</v>
      </c>
      <c r="C190" s="1">
        <v>6.3</v>
      </c>
      <c r="D190" s="1">
        <v>6.3</v>
      </c>
      <c r="F190" s="25" t="s">
        <v>84</v>
      </c>
    </row>
    <row r="191" spans="1:12">
      <c r="A191" s="1" t="s">
        <v>169</v>
      </c>
      <c r="B191" s="26">
        <v>10</v>
      </c>
      <c r="C191" s="26">
        <v>10</v>
      </c>
      <c r="D191" s="26">
        <v>10</v>
      </c>
      <c r="E191" s="26"/>
      <c r="F191" s="25" t="s">
        <v>87</v>
      </c>
    </row>
    <row r="192" spans="1:12">
      <c r="A192" s="1" t="s">
        <v>78</v>
      </c>
      <c r="B192" s="77">
        <f>B189*18*0.001/(B190*B191*0.001)</f>
        <v>30.249827142857143</v>
      </c>
      <c r="C192" s="77">
        <f>C189*18*0.001/(C190*C191*0.001)</f>
        <v>10.083275714285714</v>
      </c>
      <c r="D192" s="77">
        <f>D189*18*0.001/(D190*D191*0.001)</f>
        <v>3.4414285714285713</v>
      </c>
      <c r="E192" s="77"/>
    </row>
    <row r="193" spans="1:11" ht="18">
      <c r="A193" s="1" t="s">
        <v>79</v>
      </c>
      <c r="B193" s="4">
        <f>(B192/$B$6)</f>
        <v>38.757591026785711</v>
      </c>
      <c r="C193" s="4">
        <f>(C192/$C$6)</f>
        <v>8.6491098024234674</v>
      </c>
      <c r="D193" s="4">
        <f>D192/31*$D$5</f>
        <v>15.108981566820276</v>
      </c>
      <c r="E193" s="4"/>
      <c r="F193" s="184" t="s">
        <v>104</v>
      </c>
      <c r="G193" s="185"/>
    </row>
    <row r="194" spans="1:11">
      <c r="A194" s="23" t="s">
        <v>56</v>
      </c>
      <c r="B194" s="24">
        <f>B193</f>
        <v>38.757591026785711</v>
      </c>
      <c r="C194" s="24">
        <f>C193</f>
        <v>8.6491098024234674</v>
      </c>
      <c r="D194" s="24">
        <f>D193</f>
        <v>15.108981566820276</v>
      </c>
      <c r="E194" s="24"/>
      <c r="F194" s="186">
        <v>16</v>
      </c>
      <c r="G194" s="187"/>
    </row>
    <row r="195" spans="1:11">
      <c r="A195" s="3" t="s">
        <v>77</v>
      </c>
      <c r="B195" s="177"/>
      <c r="C195" s="177"/>
      <c r="D195" s="177"/>
      <c r="F195" s="1">
        <v>1.1499999999999999</v>
      </c>
    </row>
    <row r="197" spans="1:11">
      <c r="A197" s="3" t="s">
        <v>16</v>
      </c>
      <c r="B197" s="182">
        <v>45040</v>
      </c>
      <c r="C197" s="182"/>
      <c r="D197" s="182"/>
      <c r="E197" s="9">
        <v>45040</v>
      </c>
      <c r="F197" s="1" t="s">
        <v>40</v>
      </c>
      <c r="G197" s="21" t="s">
        <v>36</v>
      </c>
      <c r="J197" t="s">
        <v>131</v>
      </c>
      <c r="K197" t="s">
        <v>132</v>
      </c>
    </row>
    <row r="198" spans="1:11">
      <c r="A198" s="3" t="s">
        <v>101</v>
      </c>
      <c r="B198" s="1">
        <v>125.62</v>
      </c>
      <c r="C198" s="1">
        <f>B198/3</f>
        <v>41.873333333333335</v>
      </c>
      <c r="D198" s="1">
        <f>F198/15</f>
        <v>11.166222222222222</v>
      </c>
      <c r="E198" s="1">
        <v>13.86</v>
      </c>
      <c r="F198" s="1">
        <f>B198+C198</f>
        <v>167.49333333333334</v>
      </c>
      <c r="G198" s="22">
        <f>(B198+C198)/D198</f>
        <v>15</v>
      </c>
      <c r="J198">
        <f>(B198/$B$6)*0.001/$B$5*2</f>
        <v>3.9256250000000003E-3</v>
      </c>
      <c r="K198">
        <f>(C198/$C$6)*0.001/$C$5*3</f>
        <v>1.1224249813988093E-3</v>
      </c>
    </row>
    <row r="199" spans="1:11">
      <c r="A199" s="1" t="s">
        <v>168</v>
      </c>
      <c r="B199" s="1">
        <v>6.5</v>
      </c>
      <c r="C199" s="1">
        <v>6.5</v>
      </c>
      <c r="D199" s="1">
        <v>6.5</v>
      </c>
      <c r="E199" s="1">
        <v>6.2</v>
      </c>
      <c r="F199" s="25" t="s">
        <v>84</v>
      </c>
    </row>
    <row r="200" spans="1:11">
      <c r="A200" s="1" t="s">
        <v>169</v>
      </c>
      <c r="B200" s="26">
        <v>10</v>
      </c>
      <c r="C200" s="26">
        <v>10</v>
      </c>
      <c r="D200" s="26">
        <v>10</v>
      </c>
      <c r="E200" s="26">
        <v>5</v>
      </c>
      <c r="F200" s="25" t="s">
        <v>87</v>
      </c>
    </row>
    <row r="201" spans="1:11">
      <c r="A201" s="1" t="s">
        <v>78</v>
      </c>
      <c r="B201" s="77">
        <f>B198*18*0.001/(B199*B200*0.001)</f>
        <v>34.787076923076917</v>
      </c>
      <c r="C201" s="77">
        <f>C198*18*0.001/(C199*C200*0.001)</f>
        <v>11.595692307692309</v>
      </c>
      <c r="D201" s="77">
        <f>D198*18*0.001/(D199*D200*0.001)</f>
        <v>3.0921846153846153</v>
      </c>
      <c r="E201" s="77">
        <f>E198*18*0.001/(E199*E200*0.001)</f>
        <v>8.047741935483872</v>
      </c>
    </row>
    <row r="202" spans="1:11" ht="18">
      <c r="A202" s="1" t="s">
        <v>79</v>
      </c>
      <c r="B202" s="4">
        <f>(B201/$B$6)</f>
        <v>44.570942307692299</v>
      </c>
      <c r="C202" s="4">
        <f>(C201/$C$6)</f>
        <v>9.9464121428571417</v>
      </c>
      <c r="D202" s="4">
        <f>D201/31*$D$5</f>
        <v>13.575687940446649</v>
      </c>
      <c r="E202" s="4">
        <f>E201/14*$E$5</f>
        <v>39.663870967741943</v>
      </c>
      <c r="F202" s="184" t="s">
        <v>104</v>
      </c>
      <c r="G202" s="185"/>
    </row>
    <row r="203" spans="1:11">
      <c r="A203" s="23" t="s">
        <v>56</v>
      </c>
      <c r="B203" s="24">
        <f>B202</f>
        <v>44.570942307692299</v>
      </c>
      <c r="C203" s="24">
        <f>C202</f>
        <v>9.9464121428571417</v>
      </c>
      <c r="D203" s="24">
        <f>D202</f>
        <v>13.575687940446649</v>
      </c>
      <c r="E203" s="24">
        <f>E202</f>
        <v>39.663870967741943</v>
      </c>
      <c r="F203" s="186">
        <v>16</v>
      </c>
      <c r="G203" s="187"/>
    </row>
    <row r="204" spans="1:11">
      <c r="A204" s="3" t="s">
        <v>77</v>
      </c>
      <c r="B204" s="177" t="s">
        <v>200</v>
      </c>
      <c r="C204" s="177"/>
      <c r="D204" s="177"/>
    </row>
    <row r="205" spans="1:11">
      <c r="A205" s="3" t="s">
        <v>77</v>
      </c>
      <c r="B205" s="177"/>
      <c r="C205" s="177"/>
      <c r="D205" s="177"/>
      <c r="F205" s="1">
        <v>1.2829999999999999</v>
      </c>
    </row>
    <row r="207" spans="1:11">
      <c r="A207" s="3" t="s">
        <v>16</v>
      </c>
      <c r="B207" s="182">
        <v>45044</v>
      </c>
      <c r="C207" s="182"/>
      <c r="D207" s="182"/>
      <c r="E207" s="9">
        <v>45043</v>
      </c>
      <c r="F207" s="1" t="s">
        <v>40</v>
      </c>
      <c r="G207" s="21" t="s">
        <v>36</v>
      </c>
    </row>
    <row r="208" spans="1:11">
      <c r="A208" s="3" t="s">
        <v>101</v>
      </c>
      <c r="B208" s="1">
        <f>B198*F205</f>
        <v>161.17045999999999</v>
      </c>
      <c r="C208" s="1">
        <f>B208/3</f>
        <v>53.723486666666666</v>
      </c>
      <c r="D208" s="1">
        <f>D198*F205</f>
        <v>14.326263111111111</v>
      </c>
      <c r="E208" s="1">
        <v>16.3</v>
      </c>
      <c r="F208" s="1">
        <f>B208+C208</f>
        <v>214.89394666666666</v>
      </c>
      <c r="G208" s="22">
        <f>(B208+C208)/D208</f>
        <v>15</v>
      </c>
    </row>
    <row r="209" spans="1:7">
      <c r="A209" s="1" t="s">
        <v>168</v>
      </c>
      <c r="B209" s="1">
        <f>25/(3+48.32/60)</f>
        <v>6.5697266993693058</v>
      </c>
      <c r="C209" s="1">
        <f>25/(3+48.32/60)</f>
        <v>6.5697266993693058</v>
      </c>
      <c r="D209" s="1">
        <f>25/(3+48.32/60)</f>
        <v>6.5697266993693058</v>
      </c>
      <c r="E209" s="1">
        <v>6.2</v>
      </c>
      <c r="F209" s="25" t="s">
        <v>84</v>
      </c>
    </row>
    <row r="210" spans="1:7">
      <c r="A210" s="1" t="s">
        <v>169</v>
      </c>
      <c r="B210" s="26">
        <v>10</v>
      </c>
      <c r="C210" s="26">
        <v>10</v>
      </c>
      <c r="D210" s="26">
        <v>10</v>
      </c>
      <c r="E210" s="26">
        <v>5</v>
      </c>
      <c r="F210" s="25" t="s">
        <v>87</v>
      </c>
    </row>
    <row r="211" spans="1:7">
      <c r="A211" s="1" t="s">
        <v>78</v>
      </c>
      <c r="B211" s="77">
        <f>B208*18*0.001/(B209*B210*0.001)</f>
        <v>44.158127312639998</v>
      </c>
      <c r="C211" s="77">
        <f>C208*18*0.001/(C209*C210*0.001)</f>
        <v>14.719375770879999</v>
      </c>
      <c r="D211" s="77">
        <f>D208*18*0.001/(D209*D210*0.001)</f>
        <v>3.9251668722346666</v>
      </c>
      <c r="E211" s="77">
        <f>E208*18*0.001/(E209*E210*0.001)</f>
        <v>9.4645161290322601</v>
      </c>
    </row>
    <row r="212" spans="1:7" ht="18">
      <c r="A212" s="1" t="s">
        <v>79</v>
      </c>
      <c r="B212" s="4">
        <f>(B211/$B$6)</f>
        <v>56.577600619319995</v>
      </c>
      <c r="C212" s="4">
        <f>(C211/$C$6)</f>
        <v>12.625807413468227</v>
      </c>
      <c r="D212" s="4">
        <f>D211/31*$D$5</f>
        <v>17.232748751972199</v>
      </c>
      <c r="E212" s="4">
        <f>E211/14*$E$5</f>
        <v>46.646543778801856</v>
      </c>
      <c r="F212" s="184" t="s">
        <v>104</v>
      </c>
      <c r="G212" s="185"/>
    </row>
    <row r="213" spans="1:7">
      <c r="A213" s="23" t="s">
        <v>56</v>
      </c>
      <c r="B213" s="24">
        <f>B212</f>
        <v>56.577600619319995</v>
      </c>
      <c r="C213" s="24">
        <f>C212</f>
        <v>12.625807413468227</v>
      </c>
      <c r="D213" s="24">
        <f>D212</f>
        <v>17.232748751972199</v>
      </c>
      <c r="E213" s="24">
        <f>E212</f>
        <v>46.646543778801856</v>
      </c>
      <c r="F213" s="186">
        <v>16</v>
      </c>
      <c r="G213" s="187"/>
    </row>
    <row r="214" spans="1:7">
      <c r="A214" s="3" t="s">
        <v>77</v>
      </c>
      <c r="B214" s="177"/>
      <c r="C214" s="177"/>
      <c r="D214" s="177"/>
      <c r="F214" s="1">
        <v>1.169</v>
      </c>
    </row>
    <row r="216" spans="1:7">
      <c r="A216" s="3" t="s">
        <v>16</v>
      </c>
      <c r="B216" s="182">
        <v>45048</v>
      </c>
      <c r="C216" s="182"/>
      <c r="D216" s="182"/>
      <c r="E216" s="9">
        <v>45048</v>
      </c>
      <c r="F216" s="1" t="s">
        <v>40</v>
      </c>
      <c r="G216" s="21" t="s">
        <v>36</v>
      </c>
    </row>
    <row r="217" spans="1:7">
      <c r="A217" s="3" t="s">
        <v>101</v>
      </c>
      <c r="B217" s="1">
        <f>B208*F214</f>
        <v>188.40826773999999</v>
      </c>
      <c r="C217" s="1">
        <f>B217/3</f>
        <v>62.802755913333328</v>
      </c>
      <c r="D217" s="1">
        <f>D208*F214</f>
        <v>16.74740157688889</v>
      </c>
      <c r="E217" s="1">
        <v>22.05</v>
      </c>
      <c r="F217" s="1">
        <f>B217+C217</f>
        <v>251.21102365333331</v>
      </c>
      <c r="G217" s="22">
        <f>(B217+C217)/D217</f>
        <v>14.999999999999998</v>
      </c>
    </row>
    <row r="218" spans="1:7">
      <c r="A218" s="1" t="s">
        <v>168</v>
      </c>
      <c r="B218" s="1">
        <f>25/(3+48.32/60)</f>
        <v>6.5697266993693058</v>
      </c>
      <c r="C218" s="1">
        <f>25/(3+48.32/60)</f>
        <v>6.5697266993693058</v>
      </c>
      <c r="D218" s="1">
        <f>25/(3+48.32/60)</f>
        <v>6.5697266993693058</v>
      </c>
      <c r="E218" s="1">
        <v>7</v>
      </c>
      <c r="F218" s="25" t="s">
        <v>84</v>
      </c>
    </row>
    <row r="219" spans="1:7">
      <c r="A219" s="1" t="s">
        <v>169</v>
      </c>
      <c r="B219" s="26">
        <v>10</v>
      </c>
      <c r="C219" s="26">
        <v>10</v>
      </c>
      <c r="D219" s="26">
        <v>10</v>
      </c>
      <c r="E219" s="26">
        <v>5</v>
      </c>
      <c r="F219" s="25" t="s">
        <v>87</v>
      </c>
    </row>
    <row r="220" spans="1:7">
      <c r="A220" s="1" t="s">
        <v>78</v>
      </c>
      <c r="B220" s="77">
        <f>B217*18*0.001/(B218*B219*0.001)</f>
        <v>51.620850828476158</v>
      </c>
      <c r="C220" s="77">
        <f>C217*18*0.001/(C218*C219*0.001)</f>
        <v>17.206950276158722</v>
      </c>
      <c r="D220" s="77">
        <f>D217*18*0.001/(D218*D219*0.001)</f>
        <v>4.5885200736423259</v>
      </c>
      <c r="E220" s="77">
        <f>E217*18*0.001/(E218*E219*0.001)</f>
        <v>11.34</v>
      </c>
    </row>
    <row r="221" spans="1:7" ht="18">
      <c r="A221" s="1" t="s">
        <v>79</v>
      </c>
      <c r="B221" s="4">
        <f>(B220/$B$6)</f>
        <v>66.139215123985082</v>
      </c>
      <c r="C221" s="4">
        <f>(C220/$C$6)</f>
        <v>14.759568866344358</v>
      </c>
      <c r="D221" s="4">
        <f>D220/31*$D$5</f>
        <v>20.145083291055499</v>
      </c>
      <c r="E221" s="4">
        <f>E220/14*$E$5</f>
        <v>55.889999999999993</v>
      </c>
      <c r="F221" s="184" t="s">
        <v>104</v>
      </c>
      <c r="G221" s="185"/>
    </row>
    <row r="222" spans="1:7">
      <c r="A222" s="23" t="s">
        <v>56</v>
      </c>
      <c r="B222" s="24">
        <f>B221</f>
        <v>66.139215123985082</v>
      </c>
      <c r="C222" s="24">
        <f>C221</f>
        <v>14.759568866344358</v>
      </c>
      <c r="D222" s="24">
        <f>D221</f>
        <v>20.145083291055499</v>
      </c>
      <c r="E222" s="24">
        <f>E221</f>
        <v>55.889999999999993</v>
      </c>
      <c r="F222" s="186">
        <v>16</v>
      </c>
      <c r="G222" s="187"/>
    </row>
    <row r="224" spans="1:7">
      <c r="A224" s="3" t="s">
        <v>77</v>
      </c>
      <c r="B224" s="177"/>
      <c r="C224" s="177"/>
      <c r="D224" s="177"/>
      <c r="F224" s="1">
        <v>0.88</v>
      </c>
    </row>
    <row r="225" spans="1:7">
      <c r="A225" s="3" t="s">
        <v>290</v>
      </c>
    </row>
    <row r="226" spans="1:7">
      <c r="A226" s="3" t="s">
        <v>16</v>
      </c>
      <c r="B226" s="182" t="s">
        <v>291</v>
      </c>
      <c r="C226" s="182"/>
      <c r="D226" s="182"/>
      <c r="E226" s="9">
        <v>45055</v>
      </c>
      <c r="F226" s="1" t="s">
        <v>40</v>
      </c>
      <c r="G226" s="21" t="s">
        <v>36</v>
      </c>
    </row>
    <row r="227" spans="1:7">
      <c r="A227" s="3" t="s">
        <v>101</v>
      </c>
      <c r="B227" s="1">
        <f>B217*F224</f>
        <v>165.79927561119999</v>
      </c>
      <c r="C227" s="1">
        <f>B227/3</f>
        <v>55.266425203733327</v>
      </c>
      <c r="D227" s="1">
        <f>D217*F224</f>
        <v>14.737713387662223</v>
      </c>
      <c r="E227" s="1">
        <f>E217*F224</f>
        <v>19.404</v>
      </c>
      <c r="F227" s="1">
        <f>B227+C227</f>
        <v>221.06570081493331</v>
      </c>
      <c r="G227" s="22">
        <f>(B227+C227)/D227</f>
        <v>14.999999999999996</v>
      </c>
    </row>
    <row r="228" spans="1:7">
      <c r="A228" s="1" t="s">
        <v>168</v>
      </c>
      <c r="B228" s="1">
        <v>6.5</v>
      </c>
      <c r="C228" s="1">
        <f>25/(3+48.32/60)</f>
        <v>6.5697266993693058</v>
      </c>
      <c r="D228" s="1">
        <f>25/(3+48.32/60)</f>
        <v>6.5697266993693058</v>
      </c>
      <c r="E228" s="1">
        <v>7.4</v>
      </c>
      <c r="F228" s="25" t="s">
        <v>84</v>
      </c>
    </row>
    <row r="229" spans="1:7">
      <c r="A229" s="1" t="s">
        <v>169</v>
      </c>
      <c r="B229" s="26">
        <v>10</v>
      </c>
      <c r="C229" s="26">
        <v>10</v>
      </c>
      <c r="D229" s="26">
        <v>10</v>
      </c>
      <c r="E229" s="26">
        <v>5</v>
      </c>
      <c r="F229" s="25" t="s">
        <v>87</v>
      </c>
    </row>
    <row r="230" spans="1:7">
      <c r="A230" s="1" t="s">
        <v>78</v>
      </c>
      <c r="B230" s="77">
        <f>B227*18*0.001/(B228*B229*0.001)</f>
        <v>45.913645553870765</v>
      </c>
      <c r="C230" s="77">
        <f>C227*18*0.001/(C228*C229*0.001)</f>
        <v>15.142116243019672</v>
      </c>
      <c r="D230" s="77">
        <f>D227*18*0.001/(D228*D229*0.001)</f>
        <v>4.0378976648052465</v>
      </c>
      <c r="E230" s="77">
        <f>E227*18*0.001/(E228*E229*0.001)</f>
        <v>9.439783783783783</v>
      </c>
    </row>
    <row r="231" spans="1:7" ht="18">
      <c r="A231" s="1" t="s">
        <v>79</v>
      </c>
      <c r="B231" s="4">
        <f>(B230/$B$6)</f>
        <v>58.826858365896918</v>
      </c>
      <c r="C231" s="4">
        <f>(C230/$C$6)</f>
        <v>12.988420602383032</v>
      </c>
      <c r="D231" s="4">
        <f>D230/31*$D$5</f>
        <v>17.727673296128838</v>
      </c>
      <c r="E231" s="4">
        <f>E230/14*$E$5</f>
        <v>46.524648648648643</v>
      </c>
      <c r="F231" s="184" t="s">
        <v>104</v>
      </c>
      <c r="G231" s="185"/>
    </row>
    <row r="232" spans="1:7">
      <c r="A232" s="23" t="s">
        <v>56</v>
      </c>
      <c r="B232" s="24">
        <f>B231</f>
        <v>58.826858365896918</v>
      </c>
      <c r="C232" s="24">
        <f>C231</f>
        <v>12.988420602383032</v>
      </c>
      <c r="D232" s="24">
        <f>D231</f>
        <v>17.727673296128838</v>
      </c>
      <c r="E232" s="24">
        <f>E231</f>
        <v>46.524648648648643</v>
      </c>
      <c r="F232" s="186">
        <v>16</v>
      </c>
      <c r="G232" s="187"/>
    </row>
    <row r="233" spans="1:7">
      <c r="B233" s="177"/>
      <c r="C233" s="177"/>
      <c r="D233" s="177"/>
    </row>
    <row r="234" spans="1:7">
      <c r="A234" s="3" t="s">
        <v>77</v>
      </c>
      <c r="B234" s="177"/>
      <c r="C234" s="177"/>
      <c r="D234" s="177"/>
      <c r="E234" s="1">
        <f>55.98*'[1]5-4-2023 '!B226</f>
        <v>0</v>
      </c>
      <c r="F234" s="1">
        <v>1</v>
      </c>
    </row>
    <row r="235" spans="1:7">
      <c r="A235" s="3" t="s">
        <v>292</v>
      </c>
      <c r="B235" s="181"/>
      <c r="C235" s="174"/>
      <c r="D235" s="174"/>
    </row>
    <row r="236" spans="1:7">
      <c r="A236" s="3" t="s">
        <v>16</v>
      </c>
      <c r="B236" s="182">
        <v>45056</v>
      </c>
      <c r="C236" s="182"/>
      <c r="D236" s="182"/>
      <c r="E236" s="9">
        <v>45056</v>
      </c>
      <c r="F236" s="1" t="s">
        <v>40</v>
      </c>
      <c r="G236" s="21" t="s">
        <v>36</v>
      </c>
    </row>
    <row r="237" spans="1:7">
      <c r="A237" s="3" t="s">
        <v>101</v>
      </c>
      <c r="B237" s="1">
        <f>B227*F234</f>
        <v>165.79927561119999</v>
      </c>
      <c r="C237" s="1">
        <f>B237/3</f>
        <v>55.266425203733327</v>
      </c>
      <c r="D237" s="1">
        <f>D227*F234</f>
        <v>14.737713387662223</v>
      </c>
      <c r="E237" s="1">
        <v>22.05</v>
      </c>
      <c r="F237" s="1">
        <f>B237+C237</f>
        <v>221.06570081493331</v>
      </c>
      <c r="G237" s="22">
        <f>(B237+C237)/D237</f>
        <v>14.999999999999996</v>
      </c>
    </row>
    <row r="238" spans="1:7">
      <c r="A238" s="1" t="s">
        <v>168</v>
      </c>
      <c r="B238" s="1">
        <v>6.5</v>
      </c>
      <c r="C238" s="1">
        <f>25/(3+48.32/60)</f>
        <v>6.5697266993693058</v>
      </c>
      <c r="D238" s="1">
        <f>25/(3+48.32/60)</f>
        <v>6.5697266993693058</v>
      </c>
      <c r="E238" s="1">
        <v>7.6</v>
      </c>
      <c r="F238" s="25" t="s">
        <v>84</v>
      </c>
    </row>
    <row r="239" spans="1:7">
      <c r="A239" s="1" t="s">
        <v>169</v>
      </c>
      <c r="B239" s="26">
        <v>10</v>
      </c>
      <c r="C239" s="26">
        <v>10</v>
      </c>
      <c r="D239" s="26">
        <v>10</v>
      </c>
      <c r="E239" s="26">
        <v>5</v>
      </c>
      <c r="F239" s="25" t="s">
        <v>87</v>
      </c>
    </row>
    <row r="240" spans="1:7">
      <c r="A240" s="1" t="s">
        <v>78</v>
      </c>
      <c r="B240" s="77">
        <f>B237*18*0.001/(B238*B239*0.001)</f>
        <v>45.913645553870765</v>
      </c>
      <c r="C240" s="77">
        <f>C237*18*0.001/(C238*C239*0.001)</f>
        <v>15.142116243019672</v>
      </c>
      <c r="D240" s="77">
        <f>D237*18*0.001/(D238*D239*0.001)</f>
        <v>4.0378976648052465</v>
      </c>
      <c r="E240" s="77">
        <f>E237*18*0.001/(E238*E239*0.001)</f>
        <v>10.444736842105264</v>
      </c>
    </row>
    <row r="241" spans="1:9" ht="18">
      <c r="A241" s="1" t="s">
        <v>79</v>
      </c>
      <c r="B241" s="4">
        <f>(B240/$B$6)</f>
        <v>58.826858365896918</v>
      </c>
      <c r="C241" s="4">
        <f>(C240/$C$6)</f>
        <v>12.988420602383032</v>
      </c>
      <c r="D241" s="4">
        <f>D240/31*$D$5</f>
        <v>17.727673296128838</v>
      </c>
      <c r="E241" s="4">
        <f>E240/14*$E$5</f>
        <v>51.477631578947374</v>
      </c>
      <c r="F241" s="132" t="s">
        <v>104</v>
      </c>
      <c r="G241" s="133"/>
    </row>
    <row r="242" spans="1:9">
      <c r="A242" s="23" t="s">
        <v>56</v>
      </c>
      <c r="B242" s="24">
        <f>B241</f>
        <v>58.826858365896918</v>
      </c>
      <c r="C242" s="24">
        <f>C241</f>
        <v>12.988420602383032</v>
      </c>
      <c r="D242" s="24">
        <f>D241</f>
        <v>17.727673296128838</v>
      </c>
      <c r="E242" s="24">
        <f>E241</f>
        <v>51.477631578947374</v>
      </c>
      <c r="F242" s="35">
        <v>16</v>
      </c>
      <c r="G242" s="36"/>
    </row>
    <row r="244" spans="1:9">
      <c r="A244" s="3" t="s">
        <v>77</v>
      </c>
      <c r="B244" s="177"/>
      <c r="C244" s="177"/>
      <c r="D244" s="177"/>
      <c r="E244" s="1">
        <f>55.98*'[1]5-4-2023 '!B236</f>
        <v>0</v>
      </c>
      <c r="F244" s="1">
        <v>1</v>
      </c>
    </row>
    <row r="245" spans="1:9">
      <c r="A245" s="3" t="s">
        <v>292</v>
      </c>
      <c r="B245" s="181"/>
      <c r="C245" s="174"/>
      <c r="D245" s="174"/>
    </row>
    <row r="246" spans="1:9">
      <c r="A246" s="3" t="s">
        <v>16</v>
      </c>
      <c r="B246" s="182">
        <v>45061</v>
      </c>
      <c r="C246" s="182"/>
      <c r="D246" s="182"/>
      <c r="E246" s="9">
        <v>45061</v>
      </c>
      <c r="F246" s="1" t="s">
        <v>40</v>
      </c>
      <c r="G246" s="21" t="s">
        <v>36</v>
      </c>
      <c r="H246" s="21" t="s">
        <v>212</v>
      </c>
      <c r="I246" s="21" t="s">
        <v>213</v>
      </c>
    </row>
    <row r="247" spans="1:9">
      <c r="A247" s="3" t="s">
        <v>101</v>
      </c>
      <c r="B247" s="1">
        <f>B237*F244</f>
        <v>165.79927561119999</v>
      </c>
      <c r="C247" s="1">
        <f>B247/3</f>
        <v>55.266425203733327</v>
      </c>
      <c r="D247" s="1">
        <f>D237*F244</f>
        <v>14.737713387662223</v>
      </c>
      <c r="E247" s="1">
        <f>E237*1.15</f>
        <v>25.357499999999998</v>
      </c>
      <c r="F247" s="1">
        <f>B247+C247</f>
        <v>221.06570081493331</v>
      </c>
      <c r="G247" s="22">
        <f>(B247+C247)/D247</f>
        <v>14.999999999999996</v>
      </c>
      <c r="H247" s="22">
        <f>(C247+B247)/E247</f>
        <v>8.7179611876144456</v>
      </c>
      <c r="I247" s="22">
        <f>E247+D247</f>
        <v>40.09521338766222</v>
      </c>
    </row>
    <row r="248" spans="1:9">
      <c r="A248" s="1" t="s">
        <v>168</v>
      </c>
      <c r="B248" s="1">
        <v>6.5</v>
      </c>
      <c r="C248" s="1">
        <f>25/(3+48.32/60)</f>
        <v>6.5697266993693058</v>
      </c>
      <c r="D248" s="1">
        <f>25/(3+48.32/60)</f>
        <v>6.5697266993693058</v>
      </c>
      <c r="E248" s="1">
        <v>7.6</v>
      </c>
      <c r="F248" s="25" t="s">
        <v>84</v>
      </c>
    </row>
    <row r="249" spans="1:9">
      <c r="A249" s="1" t="s">
        <v>169</v>
      </c>
      <c r="B249" s="26">
        <v>10</v>
      </c>
      <c r="C249" s="26">
        <v>10</v>
      </c>
      <c r="D249" s="26">
        <v>10</v>
      </c>
      <c r="E249" s="26">
        <v>5</v>
      </c>
      <c r="F249" s="25" t="s">
        <v>87</v>
      </c>
    </row>
    <row r="250" spans="1:9">
      <c r="A250" s="1" t="s">
        <v>78</v>
      </c>
      <c r="B250" s="77">
        <f>B247*18*0.001/(B248*B249*0.001)</f>
        <v>45.913645553870765</v>
      </c>
      <c r="C250" s="77">
        <f>C247*18*0.001/(C248*C249*0.001)</f>
        <v>15.142116243019672</v>
      </c>
      <c r="D250" s="77">
        <f>D247*18*0.001/(D248*D249*0.001)</f>
        <v>4.0378976648052465</v>
      </c>
      <c r="E250" s="77">
        <f>E247*18*0.001/(E248*E249*0.001)</f>
        <v>12.011447368421052</v>
      </c>
    </row>
    <row r="251" spans="1:9" ht="18">
      <c r="A251" s="1" t="s">
        <v>79</v>
      </c>
      <c r="B251" s="4">
        <f>(B250/$B$6)</f>
        <v>58.826858365896918</v>
      </c>
      <c r="C251" s="4">
        <f>(C250/$C$6)</f>
        <v>12.988420602383032</v>
      </c>
      <c r="D251" s="4">
        <f>D250/31*$D$5</f>
        <v>17.727673296128838</v>
      </c>
      <c r="E251" s="4">
        <f>E250/14*$E$5</f>
        <v>59.199276315789476</v>
      </c>
      <c r="F251" s="132" t="s">
        <v>104</v>
      </c>
      <c r="G251" s="133"/>
    </row>
    <row r="252" spans="1:9">
      <c r="A252" s="23" t="s">
        <v>56</v>
      </c>
      <c r="B252" s="24">
        <f>B251</f>
        <v>58.826858365896918</v>
      </c>
      <c r="C252" s="24">
        <f>C251</f>
        <v>12.988420602383032</v>
      </c>
      <c r="D252" s="24">
        <f>D251</f>
        <v>17.727673296128838</v>
      </c>
      <c r="E252" s="24">
        <f>E251</f>
        <v>59.199276315789476</v>
      </c>
      <c r="F252" s="35">
        <v>16</v>
      </c>
      <c r="G252" s="36"/>
    </row>
    <row r="253" spans="1:9">
      <c r="B253" s="134"/>
      <c r="C253" s="134"/>
      <c r="D253" s="134"/>
      <c r="E253" s="134"/>
    </row>
    <row r="254" spans="1:9">
      <c r="A254" s="3" t="s">
        <v>77</v>
      </c>
      <c r="B254" s="177"/>
      <c r="C254" s="177"/>
      <c r="D254" s="177"/>
      <c r="E254" s="1">
        <f>55.98*'[1]5-4-2023 '!B246</f>
        <v>0</v>
      </c>
      <c r="F254" s="1">
        <v>1</v>
      </c>
    </row>
    <row r="255" spans="1:9">
      <c r="A255" s="3" t="s">
        <v>292</v>
      </c>
      <c r="B255" s="181"/>
      <c r="C255" s="174"/>
      <c r="D255" s="174"/>
    </row>
    <row r="256" spans="1:9">
      <c r="A256" s="3" t="s">
        <v>16</v>
      </c>
      <c r="B256" s="182">
        <v>45061</v>
      </c>
      <c r="C256" s="182"/>
      <c r="D256" s="182"/>
      <c r="E256" s="9">
        <v>45065</v>
      </c>
      <c r="F256" s="1" t="s">
        <v>40</v>
      </c>
      <c r="G256" s="21" t="s">
        <v>36</v>
      </c>
      <c r="H256" s="21" t="s">
        <v>212</v>
      </c>
      <c r="I256" s="21" t="s">
        <v>310</v>
      </c>
    </row>
    <row r="257" spans="1:9">
      <c r="A257" s="3" t="s">
        <v>101</v>
      </c>
      <c r="B257" s="1">
        <f>B247*F254</f>
        <v>165.79927561119999</v>
      </c>
      <c r="C257" s="1">
        <f>B257/3</f>
        <v>55.266425203733327</v>
      </c>
      <c r="D257" s="1">
        <f>D247*F254</f>
        <v>14.737713387662223</v>
      </c>
      <c r="E257" s="1">
        <f>E247*1</f>
        <v>25.357499999999998</v>
      </c>
      <c r="F257" s="1">
        <f>B257+C257</f>
        <v>221.06570081493331</v>
      </c>
      <c r="G257" s="22">
        <f>(B257+C257)/D257</f>
        <v>14.999999999999996</v>
      </c>
      <c r="H257" s="22">
        <f>(C257+B257)/E257</f>
        <v>8.7179611876144456</v>
      </c>
      <c r="I257" s="22">
        <f>E260/D260</f>
        <v>2.9746784999318159</v>
      </c>
    </row>
    <row r="258" spans="1:9">
      <c r="A258" s="1" t="s">
        <v>168</v>
      </c>
      <c r="B258" s="1">
        <v>6.5</v>
      </c>
      <c r="C258" s="1">
        <f>25/(3+48.32/60)</f>
        <v>6.5697266993693058</v>
      </c>
      <c r="D258" s="1">
        <f>25/(3+48.32/60)</f>
        <v>6.5697266993693058</v>
      </c>
      <c r="E258" s="1">
        <v>7.6</v>
      </c>
      <c r="F258" s="25" t="s">
        <v>84</v>
      </c>
    </row>
    <row r="259" spans="1:9">
      <c r="A259" s="1" t="s">
        <v>169</v>
      </c>
      <c r="B259" s="26">
        <v>10</v>
      </c>
      <c r="C259" s="26">
        <v>10</v>
      </c>
      <c r="D259" s="26">
        <v>10</v>
      </c>
      <c r="E259" s="26">
        <v>5</v>
      </c>
      <c r="F259" s="25" t="s">
        <v>87</v>
      </c>
    </row>
    <row r="260" spans="1:9">
      <c r="A260" s="1" t="s">
        <v>78</v>
      </c>
      <c r="B260" s="77">
        <f>B257*18*0.001/(B258*B259*0.001)</f>
        <v>45.913645553870765</v>
      </c>
      <c r="C260" s="77">
        <f>C257*18*0.001/(C258*C259*0.001)</f>
        <v>15.142116243019672</v>
      </c>
      <c r="D260" s="77">
        <f>D257*18*0.001/(D258*D259*0.001)</f>
        <v>4.0378976648052465</v>
      </c>
      <c r="E260" s="77">
        <f>E257*18*0.001/(E258*E259*0.001)</f>
        <v>12.011447368421052</v>
      </c>
    </row>
    <row r="261" spans="1:9" ht="18">
      <c r="A261" s="1" t="s">
        <v>79</v>
      </c>
      <c r="B261" s="4">
        <f>(B260/$B$6)</f>
        <v>58.826858365896918</v>
      </c>
      <c r="C261" s="4">
        <f>(C260/$C$6)</f>
        <v>12.988420602383032</v>
      </c>
      <c r="D261" s="4">
        <f>D260/31*$D$5</f>
        <v>17.727673296128838</v>
      </c>
      <c r="E261" s="4">
        <f>E260/14*$E$5</f>
        <v>59.199276315789476</v>
      </c>
      <c r="F261" s="132" t="s">
        <v>104</v>
      </c>
      <c r="G261" s="133"/>
    </row>
    <row r="262" spans="1:9">
      <c r="A262" s="23" t="s">
        <v>56</v>
      </c>
      <c r="B262" s="24">
        <f>B261</f>
        <v>58.826858365896918</v>
      </c>
      <c r="C262" s="24">
        <f>C261</f>
        <v>12.988420602383032</v>
      </c>
      <c r="D262" s="24">
        <f>D261</f>
        <v>17.727673296128838</v>
      </c>
      <c r="E262" s="24">
        <f>E261</f>
        <v>59.199276315789476</v>
      </c>
      <c r="F262" s="35">
        <v>16</v>
      </c>
      <c r="G262" s="36"/>
    </row>
    <row r="264" spans="1:9">
      <c r="A264" s="3" t="s">
        <v>77</v>
      </c>
      <c r="B264" s="177"/>
      <c r="C264" s="177"/>
      <c r="D264" s="177"/>
      <c r="E264" s="1">
        <f>55.98*'[1]5-4-2023 '!B256</f>
        <v>0</v>
      </c>
      <c r="F264" s="1">
        <v>1</v>
      </c>
    </row>
    <row r="265" spans="1:9">
      <c r="A265" s="3" t="s">
        <v>292</v>
      </c>
      <c r="B265" s="181"/>
      <c r="C265" s="174"/>
      <c r="D265" s="174"/>
    </row>
    <row r="266" spans="1:9">
      <c r="A266" s="3" t="s">
        <v>16</v>
      </c>
      <c r="B266" s="182">
        <v>45066</v>
      </c>
      <c r="C266" s="182"/>
      <c r="D266" s="182"/>
      <c r="E266" s="9">
        <v>45065</v>
      </c>
      <c r="F266" s="1" t="s">
        <v>40</v>
      </c>
      <c r="G266" s="21" t="s">
        <v>36</v>
      </c>
      <c r="H266" s="21" t="s">
        <v>212</v>
      </c>
      <c r="I266" s="21" t="s">
        <v>310</v>
      </c>
    </row>
    <row r="267" spans="1:9">
      <c r="A267" s="3" t="s">
        <v>101</v>
      </c>
      <c r="B267" s="1">
        <v>145.5</v>
      </c>
      <c r="C267" s="1">
        <f>B267/3</f>
        <v>48.5</v>
      </c>
      <c r="D267" s="1">
        <v>12.785</v>
      </c>
      <c r="E267" s="1">
        <v>27.36</v>
      </c>
      <c r="F267" s="1">
        <f>B267+C267</f>
        <v>194</v>
      </c>
      <c r="G267" s="22">
        <f>(B267+C267)/D267</f>
        <v>15.174032068830661</v>
      </c>
      <c r="H267" s="22">
        <f>(C267+B267)/E267</f>
        <v>7.0906432748538011</v>
      </c>
      <c r="I267" s="22">
        <f>E270/D270</f>
        <v>2.975132825242996</v>
      </c>
    </row>
    <row r="268" spans="1:9">
      <c r="A268" s="1" t="s">
        <v>168</v>
      </c>
      <c r="B268" s="1">
        <v>5.7</v>
      </c>
      <c r="C268" s="1">
        <v>5.7</v>
      </c>
      <c r="D268" s="1">
        <v>5.7</v>
      </c>
      <c r="E268" s="1">
        <v>8.1999999999999993</v>
      </c>
      <c r="F268" s="25" t="s">
        <v>84</v>
      </c>
    </row>
    <row r="269" spans="1:9">
      <c r="A269" s="1" t="s">
        <v>169</v>
      </c>
      <c r="B269" s="26">
        <v>10</v>
      </c>
      <c r="C269" s="26">
        <v>10</v>
      </c>
      <c r="D269" s="26">
        <v>10</v>
      </c>
      <c r="E269" s="26">
        <v>5</v>
      </c>
      <c r="F269" s="25" t="s">
        <v>87</v>
      </c>
    </row>
    <row r="270" spans="1:9">
      <c r="A270" s="1" t="s">
        <v>78</v>
      </c>
      <c r="B270" s="77">
        <f>B267*18*0.001/(B268*B269*0.001)</f>
        <v>45.947368421052637</v>
      </c>
      <c r="C270" s="77">
        <f>C267*18*0.001/(C268*C269*0.001)</f>
        <v>15.315789473684211</v>
      </c>
      <c r="D270" s="77">
        <f>D267*18*0.001/(D268*D269*0.001)</f>
        <v>4.0373684210526317</v>
      </c>
      <c r="E270" s="77">
        <f>E267*18*0.001/(E268*E269*0.001)</f>
        <v>12.011707317073171</v>
      </c>
    </row>
    <row r="271" spans="1:9" ht="18">
      <c r="A271" s="1" t="s">
        <v>79</v>
      </c>
      <c r="B271" s="4">
        <f>(B270/$B$6)</f>
        <v>58.870065789473692</v>
      </c>
      <c r="C271" s="4">
        <f>(C270/$C$6)</f>
        <v>13.137391917293231</v>
      </c>
      <c r="D271" s="4">
        <f>D270/31*$D$5</f>
        <v>17.725349745331069</v>
      </c>
      <c r="E271" s="4">
        <f>E270/14*$E$5</f>
        <v>59.200557491289203</v>
      </c>
      <c r="F271" s="132" t="s">
        <v>104</v>
      </c>
      <c r="G271" s="133"/>
    </row>
    <row r="272" spans="1:9">
      <c r="A272" s="23" t="s">
        <v>56</v>
      </c>
      <c r="B272" s="24">
        <f>B271</f>
        <v>58.870065789473692</v>
      </c>
      <c r="C272" s="24">
        <f>C271</f>
        <v>13.137391917293231</v>
      </c>
      <c r="D272" s="24">
        <f>D271</f>
        <v>17.725349745331069</v>
      </c>
      <c r="E272" s="24">
        <f>E271</f>
        <v>59.200557491289203</v>
      </c>
      <c r="F272" s="35">
        <v>16</v>
      </c>
      <c r="G272" s="36"/>
    </row>
    <row r="274" spans="1:9">
      <c r="A274" s="3" t="s">
        <v>77</v>
      </c>
      <c r="B274" s="177"/>
      <c r="C274" s="177"/>
      <c r="D274" s="177"/>
      <c r="E274" s="1">
        <f>55.98*'[1]5-4-2023 '!B266</f>
        <v>0</v>
      </c>
      <c r="F274" s="1">
        <v>1.1299999999999999</v>
      </c>
    </row>
    <row r="275" spans="1:9">
      <c r="A275" s="3" t="s">
        <v>292</v>
      </c>
      <c r="B275" s="181"/>
      <c r="C275" s="174"/>
      <c r="D275" s="174"/>
    </row>
    <row r="276" spans="1:9">
      <c r="A276" s="3" t="s">
        <v>16</v>
      </c>
      <c r="B276" s="182">
        <v>45075</v>
      </c>
      <c r="C276" s="182"/>
      <c r="D276" s="182"/>
      <c r="E276" s="9">
        <v>45075</v>
      </c>
      <c r="F276" s="1" t="s">
        <v>40</v>
      </c>
      <c r="G276" s="21" t="s">
        <v>36</v>
      </c>
      <c r="H276" s="21" t="s">
        <v>212</v>
      </c>
      <c r="I276" s="21" t="s">
        <v>310</v>
      </c>
    </row>
    <row r="277" spans="1:9">
      <c r="A277" s="3" t="s">
        <v>101</v>
      </c>
      <c r="B277" s="1">
        <f>B267*F274</f>
        <v>164.41499999999999</v>
      </c>
      <c r="C277" s="1">
        <f>B277/3</f>
        <v>54.805</v>
      </c>
      <c r="D277" s="1">
        <f>F277/15</f>
        <v>14.614666666666666</v>
      </c>
      <c r="E277" s="1">
        <v>27.36</v>
      </c>
      <c r="F277" s="1">
        <f>B277+C277</f>
        <v>219.22</v>
      </c>
      <c r="G277" s="22">
        <f>(B277+C277)/D277</f>
        <v>15</v>
      </c>
      <c r="H277" s="22">
        <f>(C277+B277)/E277</f>
        <v>8.0124269005847957</v>
      </c>
      <c r="I277" s="22">
        <f>E280/D280</f>
        <v>2.867496957060621</v>
      </c>
    </row>
    <row r="278" spans="1:9">
      <c r="A278" s="1" t="s">
        <v>168</v>
      </c>
      <c r="B278" s="1">
        <v>6.28</v>
      </c>
      <c r="C278" s="1">
        <v>6.28</v>
      </c>
      <c r="D278" s="1">
        <v>6.28</v>
      </c>
      <c r="E278" s="1">
        <v>8.1999999999999993</v>
      </c>
      <c r="F278" s="25" t="s">
        <v>84</v>
      </c>
    </row>
    <row r="279" spans="1:9">
      <c r="A279" s="1" t="s">
        <v>169</v>
      </c>
      <c r="B279" s="26">
        <v>10</v>
      </c>
      <c r="C279" s="26">
        <v>10</v>
      </c>
      <c r="D279" s="26">
        <v>10</v>
      </c>
      <c r="E279" s="26">
        <v>5</v>
      </c>
      <c r="F279" s="25" t="s">
        <v>87</v>
      </c>
    </row>
    <row r="280" spans="1:9">
      <c r="A280" s="1" t="s">
        <v>78</v>
      </c>
      <c r="B280" s="77">
        <f>B277*18*0.001/(B278*B279*0.001)</f>
        <v>47.125318471337572</v>
      </c>
      <c r="C280" s="77">
        <f>C277*18*0.001/(C278*C279*0.001)</f>
        <v>15.708439490445857</v>
      </c>
      <c r="D280" s="77">
        <f>D277*18*0.001/(D278*D279*0.001)</f>
        <v>4.1889171974522288</v>
      </c>
      <c r="E280" s="77">
        <f>E277*18*0.001/(E278*E279*0.001)</f>
        <v>12.011707317073171</v>
      </c>
    </row>
    <row r="281" spans="1:9" ht="18">
      <c r="A281" s="1" t="s">
        <v>79</v>
      </c>
      <c r="B281" s="4">
        <f>(B280/$B$6)</f>
        <v>60.379314291401265</v>
      </c>
      <c r="C281" s="4">
        <f>(C280/$C$6)</f>
        <v>13.474194480777975</v>
      </c>
      <c r="D281" s="4">
        <f>D280/31*$D$5</f>
        <v>18.390697760427365</v>
      </c>
      <c r="E281" s="4">
        <f>E280/14*$E$5</f>
        <v>59.200557491289203</v>
      </c>
      <c r="F281" s="132" t="s">
        <v>104</v>
      </c>
      <c r="G281" s="133"/>
    </row>
    <row r="282" spans="1:9">
      <c r="A282" s="23" t="s">
        <v>56</v>
      </c>
      <c r="B282" s="24">
        <f>B281</f>
        <v>60.379314291401265</v>
      </c>
      <c r="C282" s="24">
        <f>C281</f>
        <v>13.474194480777975</v>
      </c>
      <c r="D282" s="24">
        <f>D281</f>
        <v>18.390697760427365</v>
      </c>
      <c r="E282" s="24">
        <f>E281</f>
        <v>59.200557491289203</v>
      </c>
      <c r="F282" s="35">
        <v>16</v>
      </c>
      <c r="G282" s="36"/>
    </row>
    <row r="284" spans="1:9">
      <c r="A284" s="3" t="s">
        <v>77</v>
      </c>
      <c r="B284" s="177"/>
      <c r="C284" s="177"/>
      <c r="D284" s="177"/>
      <c r="E284" s="1">
        <f>55.98*'[1]5-4-2023 '!B276</f>
        <v>0</v>
      </c>
      <c r="F284" s="1">
        <v>0.9</v>
      </c>
    </row>
    <row r="285" spans="1:9">
      <c r="A285" s="3" t="s">
        <v>292</v>
      </c>
      <c r="B285" s="181"/>
      <c r="C285" s="174"/>
      <c r="D285" s="174"/>
      <c r="I285" t="s">
        <v>293</v>
      </c>
    </row>
    <row r="286" spans="1:9">
      <c r="A286" s="3" t="s">
        <v>16</v>
      </c>
      <c r="B286" s="182">
        <v>45076</v>
      </c>
      <c r="C286" s="182"/>
      <c r="D286" s="182"/>
      <c r="E286" s="9">
        <v>45077</v>
      </c>
      <c r="F286" s="1" t="s">
        <v>40</v>
      </c>
      <c r="G286" s="21" t="s">
        <v>36</v>
      </c>
      <c r="H286" s="21" t="s">
        <v>212</v>
      </c>
      <c r="I286" s="21" t="s">
        <v>310</v>
      </c>
    </row>
    <row r="287" spans="1:9">
      <c r="A287" s="3" t="s">
        <v>101</v>
      </c>
      <c r="B287" s="1">
        <v>160.22999999999999</v>
      </c>
      <c r="C287" s="1">
        <f>B287/3</f>
        <v>53.41</v>
      </c>
      <c r="D287" s="1">
        <v>7.55</v>
      </c>
      <c r="E287" s="1">
        <v>29</v>
      </c>
      <c r="F287" s="1">
        <f>B287+C287</f>
        <v>213.64</v>
      </c>
      <c r="G287" s="22">
        <f>(B290+C290)/D290</f>
        <v>28.296688741721844</v>
      </c>
      <c r="H287" s="22">
        <f>(B290+C290)/E290</f>
        <v>4.44180527383367</v>
      </c>
      <c r="I287" s="22">
        <f>E290/D290</f>
        <v>6.3705378775642059</v>
      </c>
    </row>
    <row r="288" spans="1:9">
      <c r="A288" s="1" t="s">
        <v>168</v>
      </c>
      <c r="B288" s="1">
        <v>6.8</v>
      </c>
      <c r="C288" s="1">
        <v>6.8</v>
      </c>
      <c r="D288" s="1">
        <v>6.8</v>
      </c>
      <c r="E288" s="1">
        <v>8.1999999999999993</v>
      </c>
      <c r="F288" s="25" t="s">
        <v>84</v>
      </c>
    </row>
    <row r="289" spans="1:9">
      <c r="A289" s="1" t="s">
        <v>169</v>
      </c>
      <c r="B289" s="26">
        <v>10</v>
      </c>
      <c r="C289" s="26">
        <v>10</v>
      </c>
      <c r="D289" s="26">
        <v>10</v>
      </c>
      <c r="E289" s="26">
        <v>5</v>
      </c>
      <c r="F289" s="25" t="s">
        <v>87</v>
      </c>
    </row>
    <row r="290" spans="1:9">
      <c r="A290" s="1" t="s">
        <v>78</v>
      </c>
      <c r="B290" s="77">
        <f>B287*18*0.001/(B288*B289*0.001)</f>
        <v>42.413823529411758</v>
      </c>
      <c r="C290" s="77">
        <f>C287*18*0.001/(C288*C289*0.001)</f>
        <v>14.137941176470585</v>
      </c>
      <c r="D290" s="77">
        <f>D287*18*0.001/(D288*D289*0.001)</f>
        <v>1.9985294117647061</v>
      </c>
      <c r="E290" s="77">
        <f>E287*18*0.001/(E288*E289*0.001)</f>
        <v>12.731707317073171</v>
      </c>
    </row>
    <row r="291" spans="1:9" ht="18">
      <c r="A291" s="1" t="s">
        <v>79</v>
      </c>
      <c r="B291" s="4">
        <f>(B290/$B$6)</f>
        <v>54.342711397058814</v>
      </c>
      <c r="C291" s="4">
        <f>(C290/$C$6)</f>
        <v>12.127071507352937</v>
      </c>
      <c r="D291" s="4">
        <f>D290/31*$D$5</f>
        <v>8.7741888045540808</v>
      </c>
      <c r="E291" s="4">
        <f>E290/14*$E$5</f>
        <v>62.749128919860631</v>
      </c>
      <c r="F291" s="132" t="s">
        <v>104</v>
      </c>
      <c r="G291" s="133"/>
    </row>
    <row r="292" spans="1:9">
      <c r="A292" s="23" t="s">
        <v>56</v>
      </c>
      <c r="B292" s="24">
        <f>B291</f>
        <v>54.342711397058814</v>
      </c>
      <c r="C292" s="24">
        <f>C291</f>
        <v>12.127071507352937</v>
      </c>
      <c r="D292" s="24">
        <f>D291</f>
        <v>8.7741888045540808</v>
      </c>
      <c r="E292" s="24">
        <f>E291</f>
        <v>62.749128919860631</v>
      </c>
      <c r="F292" s="35">
        <v>16</v>
      </c>
      <c r="G292" s="36"/>
    </row>
    <row r="294" spans="1:9">
      <c r="A294" s="3" t="s">
        <v>77</v>
      </c>
      <c r="B294" s="177"/>
      <c r="C294" s="177"/>
      <c r="D294" s="177"/>
      <c r="E294" s="1">
        <f>55.98*'[1]5-4-2023 '!B286</f>
        <v>0</v>
      </c>
      <c r="F294" s="1">
        <v>0.9</v>
      </c>
    </row>
    <row r="295" spans="1:9">
      <c r="A295" s="3" t="s">
        <v>292</v>
      </c>
      <c r="B295" s="181"/>
      <c r="C295" s="174"/>
      <c r="D295" s="174"/>
      <c r="E295" s="1" t="s">
        <v>294</v>
      </c>
    </row>
    <row r="296" spans="1:9">
      <c r="A296" s="3" t="s">
        <v>16</v>
      </c>
      <c r="B296" s="182">
        <v>45080</v>
      </c>
      <c r="C296" s="182"/>
      <c r="D296" s="182"/>
      <c r="E296" s="9">
        <v>45080</v>
      </c>
      <c r="F296" s="1" t="s">
        <v>40</v>
      </c>
      <c r="G296" s="21" t="s">
        <v>36</v>
      </c>
      <c r="H296" s="21" t="s">
        <v>212</v>
      </c>
      <c r="I296" s="21" t="s">
        <v>213</v>
      </c>
    </row>
    <row r="297" spans="1:9">
      <c r="A297" s="3" t="s">
        <v>101</v>
      </c>
      <c r="B297" s="1">
        <v>129.66</v>
      </c>
      <c r="C297" s="1">
        <f>B297/3</f>
        <v>43.22</v>
      </c>
      <c r="D297" s="1">
        <v>4.5</v>
      </c>
      <c r="E297" s="1">
        <v>26.5</v>
      </c>
      <c r="F297" s="1">
        <f>B297+C297</f>
        <v>172.88</v>
      </c>
      <c r="G297" s="22">
        <f>(B300+C300)/D300</f>
        <v>38.417777777777779</v>
      </c>
      <c r="H297" s="22">
        <f>(B300+C300)/E300</f>
        <v>4.274196486662329</v>
      </c>
      <c r="I297" s="22">
        <f>E300/D300</f>
        <v>8.9883040935672529</v>
      </c>
    </row>
    <row r="298" spans="1:9">
      <c r="A298" s="1" t="s">
        <v>168</v>
      </c>
      <c r="B298" s="1">
        <v>5.8</v>
      </c>
      <c r="C298" s="1">
        <v>5.8</v>
      </c>
      <c r="D298" s="1">
        <v>5.8</v>
      </c>
      <c r="E298" s="1">
        <f>3.8*2</f>
        <v>7.6</v>
      </c>
      <c r="F298" s="25" t="s">
        <v>84</v>
      </c>
    </row>
    <row r="299" spans="1:9">
      <c r="A299" s="1" t="s">
        <v>169</v>
      </c>
      <c r="B299" s="26">
        <v>10</v>
      </c>
      <c r="C299" s="26">
        <v>10</v>
      </c>
      <c r="D299" s="26">
        <v>10</v>
      </c>
      <c r="E299" s="26">
        <v>5</v>
      </c>
      <c r="F299" s="25" t="s">
        <v>87</v>
      </c>
    </row>
    <row r="300" spans="1:9">
      <c r="A300" s="1" t="s">
        <v>78</v>
      </c>
      <c r="B300" s="77">
        <f>B297*18*0.001/(B298*B299*0.001)</f>
        <v>40.239310344827587</v>
      </c>
      <c r="C300" s="77">
        <f>C297*18*0.001/(C298*C299*0.001)</f>
        <v>13.413103448275862</v>
      </c>
      <c r="D300" s="77">
        <f>D297*18*0.001/(D298*D299*0.001)</f>
        <v>1.396551724137931</v>
      </c>
      <c r="E300" s="77">
        <f>E297*18*0.001/(E298*E299*0.001)</f>
        <v>12.55263157894737</v>
      </c>
    </row>
    <row r="301" spans="1:9" ht="18">
      <c r="A301" s="1" t="s">
        <v>79</v>
      </c>
      <c r="B301" s="4">
        <f>(B300/$B$6)</f>
        <v>51.556616379310341</v>
      </c>
      <c r="C301" s="4">
        <f>(C300/$C$6)</f>
        <v>11.505329002463053</v>
      </c>
      <c r="D301" s="4">
        <f>D300/31*$D$5</f>
        <v>6.1313125695216906</v>
      </c>
      <c r="E301" s="4">
        <f>E300/14*$E$5</f>
        <v>61.866541353383461</v>
      </c>
      <c r="F301" s="132" t="s">
        <v>104</v>
      </c>
      <c r="G301" s="133"/>
    </row>
    <row r="302" spans="1:9">
      <c r="A302" s="23" t="s">
        <v>56</v>
      </c>
      <c r="B302" s="24">
        <f>B301</f>
        <v>51.556616379310341</v>
      </c>
      <c r="C302" s="24">
        <f>C301</f>
        <v>11.505329002463053</v>
      </c>
      <c r="D302" s="24">
        <f>D301</f>
        <v>6.1313125695216906</v>
      </c>
      <c r="E302" s="24">
        <f>E301</f>
        <v>61.866541353383461</v>
      </c>
      <c r="F302" s="35">
        <v>16</v>
      </c>
      <c r="G302" s="36"/>
    </row>
    <row r="304" spans="1:9">
      <c r="A304" s="3" t="s">
        <v>77</v>
      </c>
      <c r="B304" s="177" t="s">
        <v>297</v>
      </c>
      <c r="C304" s="177"/>
      <c r="D304" s="177"/>
      <c r="E304" s="1">
        <f>55.98*'[1]5-4-2023 '!B296</f>
        <v>0</v>
      </c>
      <c r="F304" s="1">
        <v>0.9</v>
      </c>
    </row>
    <row r="305" spans="1:9">
      <c r="A305" s="3" t="s">
        <v>292</v>
      </c>
      <c r="B305" s="181"/>
      <c r="C305" s="174"/>
      <c r="D305" s="174"/>
      <c r="E305" s="1" t="s">
        <v>294</v>
      </c>
    </row>
    <row r="306" spans="1:9">
      <c r="A306" s="3" t="s">
        <v>16</v>
      </c>
      <c r="B306" s="182">
        <v>45080</v>
      </c>
      <c r="C306" s="182"/>
      <c r="D306" s="182"/>
      <c r="E306" s="9">
        <v>45080</v>
      </c>
      <c r="F306" s="1" t="s">
        <v>40</v>
      </c>
      <c r="G306" s="21" t="s">
        <v>36</v>
      </c>
      <c r="H306" s="21" t="s">
        <v>212</v>
      </c>
      <c r="I306" s="21" t="s">
        <v>310</v>
      </c>
    </row>
    <row r="307" spans="1:9">
      <c r="A307" s="3" t="s">
        <v>101</v>
      </c>
      <c r="B307" s="1">
        <f>B297*F304</f>
        <v>116.694</v>
      </c>
      <c r="C307" s="1">
        <f>B307/3</f>
        <v>38.898000000000003</v>
      </c>
      <c r="D307" s="1">
        <v>5</v>
      </c>
      <c r="E307" s="1">
        <v>26.5</v>
      </c>
      <c r="F307" s="1">
        <f>B307+C307</f>
        <v>155.59200000000001</v>
      </c>
      <c r="G307" s="22">
        <f>(B310+C310)/D310</f>
        <v>31.118400000000005</v>
      </c>
      <c r="H307" s="22">
        <f>(B310+C310)/E310</f>
        <v>3.4591171566476522</v>
      </c>
      <c r="I307" s="22">
        <f>E310/D310</f>
        <v>8.9960526315789497</v>
      </c>
    </row>
    <row r="308" spans="1:9">
      <c r="A308" s="1" t="s">
        <v>168</v>
      </c>
      <c r="B308" s="1">
        <v>6.45</v>
      </c>
      <c r="C308" s="1">
        <v>6.45</v>
      </c>
      <c r="D308" s="1">
        <v>6.45</v>
      </c>
      <c r="E308" s="1">
        <f>3.8*2</f>
        <v>7.6</v>
      </c>
      <c r="F308" s="25" t="s">
        <v>84</v>
      </c>
    </row>
    <row r="309" spans="1:9">
      <c r="A309" s="1" t="s">
        <v>169</v>
      </c>
      <c r="B309" s="26">
        <v>10</v>
      </c>
      <c r="C309" s="26">
        <v>10</v>
      </c>
      <c r="D309" s="26">
        <v>10</v>
      </c>
      <c r="E309" s="26">
        <v>5</v>
      </c>
      <c r="F309" s="25" t="s">
        <v>87</v>
      </c>
    </row>
    <row r="310" spans="1:9">
      <c r="A310" s="1" t="s">
        <v>78</v>
      </c>
      <c r="B310" s="77">
        <f>B307*18*0.001/(B308*B309*0.001)</f>
        <v>32.565767441860466</v>
      </c>
      <c r="C310" s="77">
        <f>C307*18*0.001/(C308*C309*0.001)</f>
        <v>10.855255813953489</v>
      </c>
      <c r="D310" s="77">
        <f>D307*18*0.001/(D308*D309*0.001)</f>
        <v>1.3953488372093021</v>
      </c>
      <c r="E310" s="77">
        <f>E307*18*0.001/(E308*E309*0.001)</f>
        <v>12.55263157894737</v>
      </c>
    </row>
    <row r="311" spans="1:9" ht="18">
      <c r="A311" s="1" t="s">
        <v>79</v>
      </c>
      <c r="B311" s="4">
        <f>(B310/$B$6)</f>
        <v>41.724889534883722</v>
      </c>
      <c r="C311" s="4">
        <f>(C310/$C$6)</f>
        <v>9.3112895182724245</v>
      </c>
      <c r="D311" s="4">
        <f>D310/31*$D$5</f>
        <v>6.1260315078769683</v>
      </c>
      <c r="E311" s="4">
        <f>E310/14*$E$5</f>
        <v>61.866541353383461</v>
      </c>
      <c r="F311" s="132" t="s">
        <v>104</v>
      </c>
      <c r="G311" s="133"/>
    </row>
    <row r="312" spans="1:9">
      <c r="A312" s="23" t="s">
        <v>56</v>
      </c>
      <c r="B312" s="24">
        <f>B311</f>
        <v>41.724889534883722</v>
      </c>
      <c r="C312" s="24">
        <f>C311</f>
        <v>9.3112895182724245</v>
      </c>
      <c r="D312" s="24">
        <f>D311</f>
        <v>6.1260315078769683</v>
      </c>
      <c r="E312" s="24">
        <f>E311</f>
        <v>61.866541353383461</v>
      </c>
      <c r="F312" s="35">
        <v>16</v>
      </c>
      <c r="G312" s="36"/>
    </row>
    <row r="314" spans="1:9">
      <c r="A314" s="3" t="s">
        <v>77</v>
      </c>
      <c r="B314" s="177"/>
      <c r="C314" s="177"/>
      <c r="D314" s="177"/>
      <c r="E314" s="1">
        <f>55.98*'[1]5-4-2023 '!B306</f>
        <v>0</v>
      </c>
      <c r="F314" s="1">
        <v>1</v>
      </c>
      <c r="H314" s="6" t="s">
        <v>298</v>
      </c>
    </row>
    <row r="315" spans="1:9">
      <c r="A315" s="3" t="s">
        <v>292</v>
      </c>
      <c r="B315" s="181"/>
      <c r="C315" s="174"/>
      <c r="D315" s="174"/>
    </row>
    <row r="316" spans="1:9">
      <c r="A316" s="3" t="s">
        <v>16</v>
      </c>
      <c r="B316" s="182">
        <v>45084</v>
      </c>
      <c r="C316" s="182"/>
      <c r="D316" s="182"/>
      <c r="E316" s="9">
        <v>45084</v>
      </c>
      <c r="F316" s="1" t="s">
        <v>40</v>
      </c>
      <c r="G316" s="21" t="s">
        <v>36</v>
      </c>
      <c r="H316" s="21" t="s">
        <v>212</v>
      </c>
      <c r="I316" s="21" t="s">
        <v>310</v>
      </c>
    </row>
    <row r="317" spans="1:9">
      <c r="A317" s="3" t="s">
        <v>101</v>
      </c>
      <c r="B317" s="1">
        <v>135</v>
      </c>
      <c r="C317" s="1">
        <f>B317/3</f>
        <v>45</v>
      </c>
      <c r="D317" s="1">
        <v>5</v>
      </c>
      <c r="E317" s="1">
        <v>26.5</v>
      </c>
      <c r="F317" s="1">
        <f>B317+C317</f>
        <v>180</v>
      </c>
      <c r="G317" s="22">
        <f>(B317+C317)/D317</f>
        <v>36</v>
      </c>
      <c r="H317" s="22">
        <f>(B320+C320)/E320</f>
        <v>3.6933962264150946</v>
      </c>
      <c r="I317" s="22">
        <f>E320/D320</f>
        <v>9.7471264367816079</v>
      </c>
    </row>
    <row r="318" spans="1:9">
      <c r="A318" s="1" t="s">
        <v>168</v>
      </c>
      <c r="B318" s="1">
        <v>8</v>
      </c>
      <c r="C318" s="1">
        <v>8</v>
      </c>
      <c r="D318" s="1">
        <v>8</v>
      </c>
      <c r="E318" s="1">
        <v>8.6999999999999993</v>
      </c>
      <c r="F318" s="25" t="s">
        <v>84</v>
      </c>
    </row>
    <row r="319" spans="1:9">
      <c r="A319" s="1" t="s">
        <v>169</v>
      </c>
      <c r="B319" s="26">
        <v>10</v>
      </c>
      <c r="C319" s="26">
        <v>10</v>
      </c>
      <c r="D319" s="26">
        <v>10</v>
      </c>
      <c r="E319" s="26">
        <v>5</v>
      </c>
      <c r="F319" s="25" t="s">
        <v>87</v>
      </c>
    </row>
    <row r="320" spans="1:9">
      <c r="A320" s="1" t="s">
        <v>78</v>
      </c>
      <c r="B320" s="77">
        <f>B317*18*0.001/(B318*B319*0.001)</f>
        <v>30.375</v>
      </c>
      <c r="C320" s="77">
        <f>C317*18*0.001/(C318*C319*0.001)</f>
        <v>10.125</v>
      </c>
      <c r="D320" s="77">
        <f>D317*18*0.001/(D318*D319*0.001)</f>
        <v>1.125</v>
      </c>
      <c r="E320" s="77">
        <f>E317*18*0.001/(E318*E319*0.001)</f>
        <v>10.96551724137931</v>
      </c>
    </row>
    <row r="321" spans="1:11" ht="18">
      <c r="A321" s="1" t="s">
        <v>79</v>
      </c>
      <c r="B321" s="4">
        <f>(B320/$B$6)</f>
        <v>38.91796875</v>
      </c>
      <c r="C321" s="4">
        <f>(C320/$C$6)</f>
        <v>8.6848995535714266</v>
      </c>
      <c r="D321" s="4">
        <f>D320/31*$D$5</f>
        <v>4.9391129032258068</v>
      </c>
      <c r="E321" s="4">
        <f>E320/14*$E$5</f>
        <v>54.044334975369452</v>
      </c>
      <c r="F321" s="132" t="s">
        <v>104</v>
      </c>
      <c r="G321" s="133"/>
    </row>
    <row r="322" spans="1:11">
      <c r="A322" s="23" t="s">
        <v>56</v>
      </c>
      <c r="B322" s="24">
        <f>B321</f>
        <v>38.91796875</v>
      </c>
      <c r="C322" s="24">
        <f>C321</f>
        <v>8.6848995535714266</v>
      </c>
      <c r="D322" s="24">
        <f>D321</f>
        <v>4.9391129032258068</v>
      </c>
      <c r="E322" s="24">
        <f>E321</f>
        <v>54.044334975369452</v>
      </c>
      <c r="F322" s="35">
        <v>16</v>
      </c>
      <c r="G322" s="36"/>
    </row>
    <row r="324" spans="1:11">
      <c r="A324" s="3" t="s">
        <v>77</v>
      </c>
      <c r="B324" s="177"/>
      <c r="C324" s="177"/>
      <c r="D324" s="177"/>
      <c r="E324" s="1">
        <f>55.98*'[1]5-4-2023 '!B316</f>
        <v>0</v>
      </c>
      <c r="F324" s="1">
        <v>1</v>
      </c>
      <c r="K324" s="113" t="s">
        <v>300</v>
      </c>
    </row>
    <row r="325" spans="1:11">
      <c r="A325" s="3" t="s">
        <v>292</v>
      </c>
      <c r="B325" s="181"/>
      <c r="C325" s="174"/>
      <c r="D325" s="174"/>
      <c r="K325" t="s">
        <v>299</v>
      </c>
    </row>
    <row r="326" spans="1:11">
      <c r="A326" s="3" t="s">
        <v>16</v>
      </c>
      <c r="B326" s="182">
        <v>45085</v>
      </c>
      <c r="C326" s="182"/>
      <c r="D326" s="182"/>
      <c r="E326" s="9">
        <v>45085</v>
      </c>
      <c r="F326" s="1" t="s">
        <v>40</v>
      </c>
      <c r="G326" s="21" t="s">
        <v>36</v>
      </c>
      <c r="H326" s="21" t="s">
        <v>212</v>
      </c>
      <c r="I326" s="21" t="s">
        <v>310</v>
      </c>
    </row>
    <row r="327" spans="1:11">
      <c r="A327" s="3" t="s">
        <v>101</v>
      </c>
      <c r="B327" s="1">
        <v>135</v>
      </c>
      <c r="C327" s="1">
        <f>B327/3</f>
        <v>45</v>
      </c>
      <c r="D327" s="1">
        <v>5</v>
      </c>
      <c r="E327" s="1">
        <v>28</v>
      </c>
      <c r="F327" s="1">
        <f>B327+C327</f>
        <v>180</v>
      </c>
      <c r="G327" s="22">
        <f>(B327+C327)/D327</f>
        <v>36</v>
      </c>
      <c r="H327" s="22">
        <f>(B330+C330)/E330</f>
        <v>3.9837662337662336</v>
      </c>
      <c r="I327" s="22">
        <f>E330/D330</f>
        <v>9.0366748166259185</v>
      </c>
    </row>
    <row r="328" spans="1:11">
      <c r="A328" s="1" t="s">
        <v>168</v>
      </c>
      <c r="B328" s="1">
        <v>6.6</v>
      </c>
      <c r="C328" s="1">
        <v>6.6</v>
      </c>
      <c r="D328" s="1">
        <v>6.6</v>
      </c>
      <c r="E328" s="1">
        <v>8.18</v>
      </c>
      <c r="F328" s="25" t="s">
        <v>84</v>
      </c>
    </row>
    <row r="329" spans="1:11">
      <c r="A329" s="1" t="s">
        <v>169</v>
      </c>
      <c r="B329" s="26">
        <v>10</v>
      </c>
      <c r="C329" s="26">
        <v>10</v>
      </c>
      <c r="D329" s="26">
        <v>10</v>
      </c>
      <c r="E329" s="26">
        <v>5</v>
      </c>
      <c r="F329" s="25" t="s">
        <v>87</v>
      </c>
    </row>
    <row r="330" spans="1:11">
      <c r="A330" s="1" t="s">
        <v>78</v>
      </c>
      <c r="B330" s="77">
        <f>B327*18*0.001/(B328*B329*0.001)</f>
        <v>36.81818181818182</v>
      </c>
      <c r="C330" s="77">
        <f>C327*18*0.001/(C328*C329*0.001)</f>
        <v>12.272727272727273</v>
      </c>
      <c r="D330" s="77">
        <f>D327*18*0.001/(D328*D329*0.001)</f>
        <v>1.3636363636363635</v>
      </c>
      <c r="E330" s="77">
        <f>E327*18*0.001/(E328*E329*0.001)</f>
        <v>12.322738386308069</v>
      </c>
    </row>
    <row r="331" spans="1:11" ht="18">
      <c r="A331" s="1" t="s">
        <v>79</v>
      </c>
      <c r="B331" s="4">
        <f>(B330/$B$6)</f>
        <v>47.173295454545453</v>
      </c>
      <c r="C331" s="4">
        <f>(C330/$C$6)</f>
        <v>10.527150974025973</v>
      </c>
      <c r="D331" s="4">
        <f>D330/31*$D$5</f>
        <v>5.9868035190615831</v>
      </c>
      <c r="E331" s="4">
        <f>E330/14*$E$5</f>
        <v>60.733496332518342</v>
      </c>
      <c r="F331" s="132" t="s">
        <v>104</v>
      </c>
      <c r="G331" s="133"/>
    </row>
    <row r="332" spans="1:11">
      <c r="A332" s="23" t="s">
        <v>56</v>
      </c>
      <c r="B332" s="24">
        <f>B331</f>
        <v>47.173295454545453</v>
      </c>
      <c r="C332" s="24">
        <f>C331</f>
        <v>10.527150974025973</v>
      </c>
      <c r="D332" s="24">
        <f>D331</f>
        <v>5.9868035190615831</v>
      </c>
      <c r="E332" s="24">
        <f>E331</f>
        <v>60.733496332518342</v>
      </c>
      <c r="F332" s="35">
        <v>16</v>
      </c>
      <c r="G332" s="36"/>
    </row>
    <row r="334" spans="1:11">
      <c r="B334" s="134">
        <f>B332-B322</f>
        <v>8.2553267045454533</v>
      </c>
      <c r="C334" s="134">
        <f>C332-C322</f>
        <v>1.8422514204545468</v>
      </c>
      <c r="D334" s="134">
        <f>D332-D322</f>
        <v>1.0476906158357764</v>
      </c>
      <c r="E334" s="134">
        <f>E332-E322</f>
        <v>6.6891613571488904</v>
      </c>
    </row>
    <row r="335" spans="1:11">
      <c r="E335" s="1">
        <f>E334/2</f>
        <v>3.3445806785744452</v>
      </c>
    </row>
    <row r="336" spans="1:11">
      <c r="A336" s="3" t="s">
        <v>77</v>
      </c>
      <c r="B336" s="177"/>
      <c r="C336" s="177"/>
      <c r="D336" s="177"/>
      <c r="E336" s="1">
        <f>55.98*'[1]5-4-2023 '!B328</f>
        <v>0</v>
      </c>
      <c r="F336" s="1">
        <f>4/5</f>
        <v>0.8</v>
      </c>
    </row>
    <row r="337" spans="1:9">
      <c r="A337" s="3" t="s">
        <v>292</v>
      </c>
      <c r="B337" s="181"/>
      <c r="C337" s="174"/>
      <c r="D337" s="174"/>
    </row>
    <row r="338" spans="1:9">
      <c r="A338" s="3" t="s">
        <v>16</v>
      </c>
      <c r="B338" s="182">
        <v>45089</v>
      </c>
      <c r="C338" s="182"/>
      <c r="D338" s="182"/>
      <c r="E338" s="9">
        <v>45089</v>
      </c>
      <c r="F338" s="1" t="s">
        <v>40</v>
      </c>
      <c r="G338" s="21" t="s">
        <v>36</v>
      </c>
      <c r="H338" s="21" t="s">
        <v>212</v>
      </c>
      <c r="I338" s="21" t="s">
        <v>310</v>
      </c>
    </row>
    <row r="339" spans="1:9">
      <c r="A339" s="3" t="s">
        <v>101</v>
      </c>
      <c r="B339" s="1">
        <f>B327*F336</f>
        <v>108</v>
      </c>
      <c r="C339" s="1">
        <f>B339/3</f>
        <v>36</v>
      </c>
      <c r="D339" s="1">
        <v>4</v>
      </c>
      <c r="E339" s="1">
        <v>15</v>
      </c>
      <c r="F339" s="1">
        <f>B339+C339</f>
        <v>144</v>
      </c>
      <c r="G339" s="22">
        <f>(B339+C339)/D339</f>
        <v>36</v>
      </c>
      <c r="H339" s="22">
        <f>(B342+C342)/E342</f>
        <v>5.9428571428571431</v>
      </c>
      <c r="I339" s="22">
        <f>E342/D342</f>
        <v>6.0576923076923075</v>
      </c>
    </row>
    <row r="340" spans="1:9">
      <c r="A340" s="1" t="s">
        <v>168</v>
      </c>
      <c r="B340" s="1">
        <v>6.3</v>
      </c>
      <c r="C340" s="1">
        <v>6.3</v>
      </c>
      <c r="D340" s="1">
        <v>6.3</v>
      </c>
      <c r="E340" s="1">
        <f>3.9*2</f>
        <v>7.8</v>
      </c>
      <c r="F340" s="25" t="s">
        <v>84</v>
      </c>
    </row>
    <row r="341" spans="1:9">
      <c r="A341" s="1" t="s">
        <v>169</v>
      </c>
      <c r="B341" s="26">
        <v>10</v>
      </c>
      <c r="C341" s="26">
        <v>10</v>
      </c>
      <c r="D341" s="26">
        <v>10</v>
      </c>
      <c r="E341" s="26">
        <v>5</v>
      </c>
      <c r="F341" s="25" t="s">
        <v>87</v>
      </c>
    </row>
    <row r="342" spans="1:9">
      <c r="A342" s="1" t="s">
        <v>78</v>
      </c>
      <c r="B342" s="77">
        <f>B339*18*0.001/(B340*B341*0.001)</f>
        <v>30.857142857142858</v>
      </c>
      <c r="C342" s="77">
        <f>C339*18*0.001/(C340*C341*0.001)</f>
        <v>10.285714285714286</v>
      </c>
      <c r="D342" s="77">
        <f>D339*18*0.001/(D340*D341*0.001)</f>
        <v>1.142857142857143</v>
      </c>
      <c r="E342" s="77">
        <f>E339*18*0.001/(E340*E341*0.001)</f>
        <v>6.9230769230769234</v>
      </c>
    </row>
    <row r="343" spans="1:9" ht="18">
      <c r="A343" s="1" t="s">
        <v>79</v>
      </c>
      <c r="B343" s="4">
        <f>(B342/$B$6)</f>
        <v>39.535714285714285</v>
      </c>
      <c r="C343" s="4">
        <f>(C342/$C$6)</f>
        <v>8.8227551020408157</v>
      </c>
      <c r="D343" s="4">
        <f>D342/31*$D$5</f>
        <v>5.0175115207373278</v>
      </c>
      <c r="E343" s="4">
        <f>E342/14*$E$5</f>
        <v>34.120879120879124</v>
      </c>
      <c r="F343" s="132" t="s">
        <v>104</v>
      </c>
      <c r="G343" s="133"/>
    </row>
    <row r="344" spans="1:9">
      <c r="A344" s="23" t="s">
        <v>56</v>
      </c>
      <c r="B344" s="24">
        <f>B343</f>
        <v>39.535714285714285</v>
      </c>
      <c r="C344" s="24">
        <f>C343</f>
        <v>8.8227551020408157</v>
      </c>
      <c r="D344" s="24">
        <f>D343</f>
        <v>5.0175115207373278</v>
      </c>
      <c r="E344" s="24">
        <f>E343</f>
        <v>34.120879120879124</v>
      </c>
      <c r="F344" s="35">
        <v>16</v>
      </c>
      <c r="G344" s="36"/>
    </row>
    <row r="345" spans="1:9">
      <c r="A345" s="3" t="s">
        <v>77</v>
      </c>
    </row>
    <row r="346" spans="1:9">
      <c r="A346" s="3" t="s">
        <v>292</v>
      </c>
    </row>
    <row r="347" spans="1:9">
      <c r="A347" s="3" t="s">
        <v>16</v>
      </c>
      <c r="B347" s="182">
        <v>45092</v>
      </c>
      <c r="C347" s="182"/>
      <c r="D347" s="182"/>
      <c r="E347" s="9">
        <v>45092</v>
      </c>
      <c r="F347" s="1" t="s">
        <v>40</v>
      </c>
      <c r="G347" s="21" t="s">
        <v>36</v>
      </c>
      <c r="H347" s="21" t="s">
        <v>212</v>
      </c>
      <c r="I347" s="21" t="s">
        <v>310</v>
      </c>
    </row>
    <row r="348" spans="1:9">
      <c r="A348" s="3" t="s">
        <v>101</v>
      </c>
      <c r="B348" s="1">
        <v>135</v>
      </c>
      <c r="C348" s="1">
        <v>45</v>
      </c>
      <c r="D348" s="1">
        <v>5</v>
      </c>
      <c r="E348" s="1">
        <v>14.76</v>
      </c>
      <c r="F348" s="1">
        <f>B348+C348</f>
        <v>180</v>
      </c>
      <c r="G348" s="22">
        <f>(B348+C348)/D348</f>
        <v>36</v>
      </c>
      <c r="H348" s="22">
        <f>(B351+C351)/E351</f>
        <v>7.6711250983477584</v>
      </c>
      <c r="I348" s="22">
        <f>E351/D351</f>
        <v>4.6929230769230772</v>
      </c>
    </row>
    <row r="349" spans="1:9">
      <c r="A349" s="1" t="s">
        <v>168</v>
      </c>
      <c r="B349" s="1">
        <v>6.2</v>
      </c>
      <c r="C349" s="1">
        <v>6.2</v>
      </c>
      <c r="D349" s="1">
        <v>6.2</v>
      </c>
      <c r="E349" s="1">
        <f>3.9*2</f>
        <v>7.8</v>
      </c>
      <c r="F349" s="25" t="s">
        <v>84</v>
      </c>
    </row>
    <row r="350" spans="1:9">
      <c r="A350" s="1" t="s">
        <v>169</v>
      </c>
      <c r="B350" s="26">
        <v>10</v>
      </c>
      <c r="C350" s="26">
        <v>10</v>
      </c>
      <c r="D350" s="26">
        <v>10</v>
      </c>
      <c r="E350" s="26">
        <v>5</v>
      </c>
      <c r="F350" s="25" t="s">
        <v>87</v>
      </c>
    </row>
    <row r="351" spans="1:9">
      <c r="A351" s="1" t="s">
        <v>78</v>
      </c>
      <c r="B351" s="77">
        <f>B348*18*0.001/(B349*B350*0.001)</f>
        <v>39.193548387096776</v>
      </c>
      <c r="C351" s="77">
        <f>C348*18*0.001/(C349*C350*0.001)</f>
        <v>13.06451612903226</v>
      </c>
      <c r="D351" s="77">
        <f>D348*18*0.001/(D349*D350*0.001)</f>
        <v>1.4516129032258065</v>
      </c>
      <c r="E351" s="77">
        <f>E348*18*0.001/(E349*E350*0.001)</f>
        <v>6.8123076923076926</v>
      </c>
    </row>
    <row r="352" spans="1:9" ht="18">
      <c r="A352" s="1" t="s">
        <v>79</v>
      </c>
      <c r="B352" s="4">
        <f>(B351/$B$6)</f>
        <v>50.216733870967744</v>
      </c>
      <c r="C352" s="4">
        <f>(C351/$C$6)</f>
        <v>11.206322004608294</v>
      </c>
      <c r="D352" s="4">
        <f>D351/31*$D$5</f>
        <v>6.3730489073881369</v>
      </c>
      <c r="E352" s="4">
        <f>E351/14*$E$5</f>
        <v>33.574945054945054</v>
      </c>
      <c r="F352" s="132" t="s">
        <v>104</v>
      </c>
      <c r="G352" s="133"/>
    </row>
    <row r="353" spans="1:9">
      <c r="A353" s="23" t="s">
        <v>56</v>
      </c>
      <c r="B353" s="24">
        <f>B352</f>
        <v>50.216733870967744</v>
      </c>
      <c r="C353" s="24">
        <f>C352</f>
        <v>11.206322004608294</v>
      </c>
      <c r="D353" s="24">
        <f>D352</f>
        <v>6.3730489073881369</v>
      </c>
      <c r="E353" s="24">
        <f>E352</f>
        <v>33.574945054945054</v>
      </c>
      <c r="F353" s="35">
        <v>16</v>
      </c>
      <c r="G353" s="36"/>
    </row>
    <row r="355" spans="1:9">
      <c r="E355" s="1">
        <f>22.75-(34.12/2)</f>
        <v>5.6900000000000013</v>
      </c>
    </row>
    <row r="357" spans="1:9">
      <c r="A357" s="3" t="s">
        <v>77</v>
      </c>
      <c r="F357" s="1" t="s">
        <v>301</v>
      </c>
    </row>
    <row r="358" spans="1:9">
      <c r="A358" s="3" t="s">
        <v>292</v>
      </c>
      <c r="F358" s="1">
        <v>0.8</v>
      </c>
    </row>
    <row r="359" spans="1:9">
      <c r="A359" s="3" t="s">
        <v>16</v>
      </c>
      <c r="B359" s="182">
        <v>45097</v>
      </c>
      <c r="C359" s="182"/>
      <c r="D359" s="182"/>
      <c r="E359" s="9">
        <v>45097</v>
      </c>
      <c r="F359" s="1" t="s">
        <v>40</v>
      </c>
      <c r="G359" s="21" t="s">
        <v>36</v>
      </c>
      <c r="H359" s="21" t="s">
        <v>212</v>
      </c>
      <c r="I359" s="21" t="s">
        <v>310</v>
      </c>
    </row>
    <row r="360" spans="1:9">
      <c r="A360" s="3" t="s">
        <v>101</v>
      </c>
      <c r="B360" s="1">
        <v>135</v>
      </c>
      <c r="C360" s="1">
        <v>45</v>
      </c>
      <c r="D360" s="1">
        <v>5</v>
      </c>
      <c r="E360" s="1">
        <v>25</v>
      </c>
      <c r="F360" s="1">
        <f>B360+C360</f>
        <v>180</v>
      </c>
      <c r="G360" s="22">
        <f>(B360+C360)/D360</f>
        <v>36</v>
      </c>
      <c r="H360" s="22">
        <f>(B363+C363)/E363</f>
        <v>4.4852459016393444</v>
      </c>
      <c r="I360" s="22">
        <f>E363/D363</f>
        <v>8.026315789473685</v>
      </c>
    </row>
    <row r="361" spans="1:9">
      <c r="A361" s="1" t="s">
        <v>168</v>
      </c>
      <c r="B361" s="1">
        <v>6.1</v>
      </c>
      <c r="C361" s="1">
        <v>6.1</v>
      </c>
      <c r="D361" s="1">
        <v>6.1</v>
      </c>
      <c r="E361" s="1">
        <f>3.8*2</f>
        <v>7.6</v>
      </c>
      <c r="F361" s="25" t="s">
        <v>84</v>
      </c>
    </row>
    <row r="362" spans="1:9">
      <c r="A362" s="1" t="s">
        <v>169</v>
      </c>
      <c r="B362" s="26">
        <v>10</v>
      </c>
      <c r="C362" s="26">
        <v>10</v>
      </c>
      <c r="D362" s="26">
        <v>10</v>
      </c>
      <c r="E362" s="26">
        <v>5</v>
      </c>
      <c r="F362" s="25" t="s">
        <v>87</v>
      </c>
    </row>
    <row r="363" spans="1:9">
      <c r="A363" s="1" t="s">
        <v>78</v>
      </c>
      <c r="B363" s="77">
        <f>B360*18*0.001/(B361*B362*0.001)</f>
        <v>39.836065573770497</v>
      </c>
      <c r="C363" s="77">
        <f>C360*18*0.001/(C361*C362*0.001)</f>
        <v>13.278688524590166</v>
      </c>
      <c r="D363" s="77">
        <f>D360*18*0.001/(D361*D362*0.001)</f>
        <v>1.4754098360655739</v>
      </c>
      <c r="E363" s="77">
        <f>E360*18*0.001/(E361*E362*0.001)</f>
        <v>11.842105263157896</v>
      </c>
    </row>
    <row r="364" spans="1:9" ht="18">
      <c r="A364" s="1" t="s">
        <v>79</v>
      </c>
      <c r="B364" s="4">
        <f>(B363/$B$6)</f>
        <v>51.039959016393446</v>
      </c>
      <c r="C364" s="4">
        <f>(C363/$C$6)</f>
        <v>11.390032201405152</v>
      </c>
      <c r="D364" s="4">
        <f>D363/31*$D$5</f>
        <v>6.4775251189846648</v>
      </c>
      <c r="E364" s="4">
        <f>E363/14*$E$5</f>
        <v>58.364661654135347</v>
      </c>
      <c r="F364" s="132" t="s">
        <v>104</v>
      </c>
      <c r="G364" s="133"/>
    </row>
    <row r="365" spans="1:9">
      <c r="A365" s="23" t="s">
        <v>56</v>
      </c>
      <c r="B365" s="24">
        <f>B364</f>
        <v>51.039959016393446</v>
      </c>
      <c r="C365" s="24">
        <f>C364</f>
        <v>11.390032201405152</v>
      </c>
      <c r="D365" s="24">
        <f>D364</f>
        <v>6.4775251189846648</v>
      </c>
      <c r="E365" s="24">
        <f>E364</f>
        <v>58.364661654135347</v>
      </c>
      <c r="F365" s="35">
        <v>16</v>
      </c>
      <c r="G365" s="36"/>
    </row>
    <row r="367" spans="1:9">
      <c r="A367" s="3" t="s">
        <v>77</v>
      </c>
    </row>
    <row r="368" spans="1:9">
      <c r="A368" s="3" t="s">
        <v>292</v>
      </c>
    </row>
    <row r="369" spans="1:9">
      <c r="A369" s="3" t="s">
        <v>16</v>
      </c>
      <c r="B369" s="182">
        <v>45100</v>
      </c>
      <c r="C369" s="182"/>
      <c r="D369" s="182"/>
      <c r="E369" s="9">
        <v>45102</v>
      </c>
      <c r="F369" s="1" t="s">
        <v>40</v>
      </c>
      <c r="G369" s="21" t="s">
        <v>36</v>
      </c>
      <c r="H369" s="21" t="s">
        <v>212</v>
      </c>
      <c r="I369" s="21" t="s">
        <v>310</v>
      </c>
    </row>
    <row r="370" spans="1:9">
      <c r="A370" s="3" t="s">
        <v>101</v>
      </c>
      <c r="B370" s="1">
        <v>135</v>
      </c>
      <c r="C370" s="1">
        <v>45</v>
      </c>
      <c r="D370" s="1">
        <v>5</v>
      </c>
      <c r="E370" s="1">
        <v>22</v>
      </c>
      <c r="F370" s="1">
        <f>B370+C370</f>
        <v>180</v>
      </c>
      <c r="G370" s="22">
        <f>(B370+C370)/D370</f>
        <v>36</v>
      </c>
      <c r="H370" s="22">
        <f>(B373+C373)/E373</f>
        <v>5.0968703427719824</v>
      </c>
      <c r="I370" s="22">
        <f>E373/D373</f>
        <v>7.0631578947368423</v>
      </c>
    </row>
    <row r="371" spans="1:9">
      <c r="A371" s="1" t="s">
        <v>168</v>
      </c>
      <c r="B371" s="1">
        <v>6.1</v>
      </c>
      <c r="C371" s="1">
        <v>6.1</v>
      </c>
      <c r="D371" s="1">
        <v>6.1</v>
      </c>
      <c r="E371" s="1">
        <f>3.8*2</f>
        <v>7.6</v>
      </c>
      <c r="F371" s="25" t="s">
        <v>84</v>
      </c>
    </row>
    <row r="372" spans="1:9">
      <c r="A372" s="1" t="s">
        <v>169</v>
      </c>
      <c r="B372" s="26">
        <v>10</v>
      </c>
      <c r="C372" s="26">
        <v>10</v>
      </c>
      <c r="D372" s="26">
        <v>10</v>
      </c>
      <c r="E372" s="26">
        <v>5</v>
      </c>
      <c r="F372" s="25" t="s">
        <v>87</v>
      </c>
    </row>
    <row r="373" spans="1:9">
      <c r="A373" s="1" t="s">
        <v>78</v>
      </c>
      <c r="B373" s="77">
        <f>B370*18*0.001/(B371*B372*0.001)</f>
        <v>39.836065573770497</v>
      </c>
      <c r="C373" s="77">
        <f>C370*18*0.001/(C371*C372*0.001)</f>
        <v>13.278688524590166</v>
      </c>
      <c r="D373" s="77">
        <f>D370*18*0.001/(D371*D372*0.001)</f>
        <v>1.4754098360655739</v>
      </c>
      <c r="E373" s="77">
        <f>E370*18*0.001/(E371*E372*0.001)</f>
        <v>10.421052631578949</v>
      </c>
    </row>
    <row r="374" spans="1:9" ht="18">
      <c r="A374" s="1" t="s">
        <v>79</v>
      </c>
      <c r="B374" s="4">
        <f>(B373/$B$6)</f>
        <v>51.039959016393446</v>
      </c>
      <c r="C374" s="4">
        <f>(C373/$C$6)</f>
        <v>11.390032201405152</v>
      </c>
      <c r="D374" s="4">
        <f>D373/31*$D$5</f>
        <v>6.4775251189846648</v>
      </c>
      <c r="E374" s="4">
        <f>E373/14*$E$5</f>
        <v>51.360902255639104</v>
      </c>
      <c r="F374" s="132" t="s">
        <v>104</v>
      </c>
      <c r="G374" s="133"/>
    </row>
    <row r="375" spans="1:9">
      <c r="A375" s="23" t="s">
        <v>56</v>
      </c>
      <c r="B375" s="24">
        <f>B374</f>
        <v>51.039959016393446</v>
      </c>
      <c r="C375" s="24">
        <f>C374</f>
        <v>11.390032201405152</v>
      </c>
      <c r="D375" s="24">
        <f>D374</f>
        <v>6.4775251189846648</v>
      </c>
      <c r="E375" s="24">
        <f>E374</f>
        <v>51.360902255639104</v>
      </c>
      <c r="F375" s="35">
        <v>16</v>
      </c>
      <c r="G375" s="36"/>
    </row>
    <row r="377" spans="1:9">
      <c r="A377" s="3" t="s">
        <v>77</v>
      </c>
    </row>
    <row r="378" spans="1:9">
      <c r="A378" s="3" t="s">
        <v>292</v>
      </c>
    </row>
    <row r="379" spans="1:9">
      <c r="A379" s="3" t="s">
        <v>16</v>
      </c>
      <c r="B379" s="182">
        <v>45100</v>
      </c>
      <c r="C379" s="182"/>
      <c r="D379" s="182"/>
      <c r="E379" s="9">
        <v>45102</v>
      </c>
      <c r="F379" s="1" t="s">
        <v>40</v>
      </c>
      <c r="G379" s="21" t="s">
        <v>36</v>
      </c>
      <c r="H379" s="21" t="s">
        <v>212</v>
      </c>
      <c r="I379" s="21" t="s">
        <v>310</v>
      </c>
    </row>
    <row r="380" spans="1:9">
      <c r="A380" s="3" t="s">
        <v>101</v>
      </c>
      <c r="B380" s="1">
        <v>135</v>
      </c>
      <c r="C380" s="1">
        <v>45</v>
      </c>
      <c r="D380" s="1">
        <v>5</v>
      </c>
      <c r="E380" s="1">
        <v>15</v>
      </c>
      <c r="F380" s="1">
        <f>B380+C380</f>
        <v>180</v>
      </c>
      <c r="G380" s="22">
        <f>(B380+C380)/D380</f>
        <v>36</v>
      </c>
      <c r="H380" s="22">
        <f>(B383+C383)/E383</f>
        <v>7.4754098360655741</v>
      </c>
      <c r="I380" s="22">
        <f>E383/D383</f>
        <v>4.8157894736842106</v>
      </c>
    </row>
    <row r="381" spans="1:9">
      <c r="A381" s="1" t="s">
        <v>168</v>
      </c>
      <c r="B381" s="1">
        <v>6.1</v>
      </c>
      <c r="C381" s="1">
        <v>6.1</v>
      </c>
      <c r="D381" s="1">
        <v>6.1</v>
      </c>
      <c r="E381" s="1">
        <f>3.8*2</f>
        <v>7.6</v>
      </c>
      <c r="F381" s="25" t="s">
        <v>84</v>
      </c>
    </row>
    <row r="382" spans="1:9">
      <c r="A382" s="1" t="s">
        <v>169</v>
      </c>
      <c r="B382" s="26">
        <v>10</v>
      </c>
      <c r="C382" s="26">
        <v>10</v>
      </c>
      <c r="D382" s="26">
        <v>10</v>
      </c>
      <c r="E382" s="26">
        <v>5</v>
      </c>
      <c r="F382" s="25" t="s">
        <v>87</v>
      </c>
    </row>
    <row r="383" spans="1:9">
      <c r="A383" s="1" t="s">
        <v>78</v>
      </c>
      <c r="B383" s="77">
        <f>B380*18*0.001/(B381*B382*0.001)</f>
        <v>39.836065573770497</v>
      </c>
      <c r="C383" s="77">
        <f>C380*18*0.001/(C381*C382*0.001)</f>
        <v>13.278688524590166</v>
      </c>
      <c r="D383" s="77">
        <f>D380*18*0.001/(D381*D382*0.001)</f>
        <v>1.4754098360655739</v>
      </c>
      <c r="E383" s="77">
        <f>E380*18*0.001/(E381*E382*0.001)</f>
        <v>7.1052631578947372</v>
      </c>
    </row>
    <row r="384" spans="1:9" ht="18">
      <c r="A384" s="1" t="s">
        <v>79</v>
      </c>
      <c r="B384" s="4">
        <f>(B383/$B$6)</f>
        <v>51.039959016393446</v>
      </c>
      <c r="C384" s="4">
        <f>(C383/$C$6)</f>
        <v>11.390032201405152</v>
      </c>
      <c r="D384" s="4">
        <f>D383/31*$D$5</f>
        <v>6.4775251189846648</v>
      </c>
      <c r="E384" s="4">
        <f>E383/14*$E$5</f>
        <v>35.018796992481207</v>
      </c>
      <c r="F384" s="132" t="s">
        <v>104</v>
      </c>
      <c r="G384" s="133"/>
    </row>
    <row r="385" spans="1:9">
      <c r="A385" s="23" t="s">
        <v>56</v>
      </c>
      <c r="B385" s="24">
        <f>B384</f>
        <v>51.039959016393446</v>
      </c>
      <c r="C385" s="24">
        <f>C384</f>
        <v>11.390032201405152</v>
      </c>
      <c r="D385" s="24">
        <f>D384</f>
        <v>6.4775251189846648</v>
      </c>
      <c r="E385" s="24">
        <f>E384</f>
        <v>35.018796992481207</v>
      </c>
      <c r="F385" s="35">
        <v>16</v>
      </c>
      <c r="G385" s="36"/>
    </row>
    <row r="387" spans="1:9">
      <c r="E387" s="1">
        <f>35.02*0.3</f>
        <v>10.506</v>
      </c>
    </row>
    <row r="389" spans="1:9">
      <c r="A389" s="3" t="s">
        <v>77</v>
      </c>
    </row>
    <row r="390" spans="1:9">
      <c r="A390" s="3" t="s">
        <v>292</v>
      </c>
    </row>
    <row r="391" spans="1:9">
      <c r="A391" s="3" t="s">
        <v>16</v>
      </c>
      <c r="B391" s="182">
        <v>45104</v>
      </c>
      <c r="C391" s="182"/>
      <c r="D391" s="182"/>
      <c r="E391" s="9">
        <v>45104</v>
      </c>
      <c r="F391" s="1" t="s">
        <v>40</v>
      </c>
      <c r="G391" s="21" t="s">
        <v>36</v>
      </c>
      <c r="H391" s="21" t="s">
        <v>212</v>
      </c>
      <c r="I391" s="21" t="s">
        <v>310</v>
      </c>
    </row>
    <row r="392" spans="1:9">
      <c r="A392" s="3" t="s">
        <v>101</v>
      </c>
      <c r="B392" s="1">
        <v>135</v>
      </c>
      <c r="C392" s="1">
        <v>45</v>
      </c>
      <c r="D392" s="1">
        <v>5</v>
      </c>
      <c r="E392" s="1">
        <v>22</v>
      </c>
      <c r="F392" s="1">
        <f>B392+C392</f>
        <v>180</v>
      </c>
      <c r="G392" s="22">
        <f>(B392+C392)/D392</f>
        <v>36</v>
      </c>
      <c r="H392" s="22">
        <f>(B395+C395)/E395</f>
        <v>5.0968703427719824</v>
      </c>
      <c r="I392" s="22">
        <f>E395/D395</f>
        <v>7.0631578947368423</v>
      </c>
    </row>
    <row r="393" spans="1:9">
      <c r="A393" s="1" t="s">
        <v>168</v>
      </c>
      <c r="B393" s="1">
        <v>6.1</v>
      </c>
      <c r="C393" s="1">
        <v>6.1</v>
      </c>
      <c r="D393" s="1">
        <v>6.1</v>
      </c>
      <c r="E393" s="1">
        <f>3.8*2</f>
        <v>7.6</v>
      </c>
      <c r="F393" s="25" t="s">
        <v>84</v>
      </c>
    </row>
    <row r="394" spans="1:9">
      <c r="A394" s="1" t="s">
        <v>169</v>
      </c>
      <c r="B394" s="26">
        <v>10</v>
      </c>
      <c r="C394" s="26">
        <v>10</v>
      </c>
      <c r="D394" s="26">
        <v>10</v>
      </c>
      <c r="E394" s="26">
        <v>5</v>
      </c>
      <c r="F394" s="25" t="s">
        <v>87</v>
      </c>
    </row>
    <row r="395" spans="1:9">
      <c r="A395" s="1" t="s">
        <v>78</v>
      </c>
      <c r="B395" s="77">
        <f>B392*18*0.001/(B393*B394*0.001)</f>
        <v>39.836065573770497</v>
      </c>
      <c r="C395" s="77">
        <f>C392*18*0.001/(C393*C394*0.001)</f>
        <v>13.278688524590166</v>
      </c>
      <c r="D395" s="77">
        <f>D392*18*0.001/(D393*D394*0.001)</f>
        <v>1.4754098360655739</v>
      </c>
      <c r="E395" s="77">
        <f>E392*18*0.001/(E393*E394*0.001)</f>
        <v>10.421052631578949</v>
      </c>
    </row>
    <row r="396" spans="1:9" ht="18">
      <c r="A396" s="1" t="s">
        <v>79</v>
      </c>
      <c r="B396" s="4">
        <f>(B395/$B$6)</f>
        <v>51.039959016393446</v>
      </c>
      <c r="C396" s="4">
        <f>(C395/$C$6)</f>
        <v>11.390032201405152</v>
      </c>
      <c r="D396" s="4">
        <f>D395/31*$D$5</f>
        <v>6.4775251189846648</v>
      </c>
      <c r="E396" s="4">
        <f>E395/14*$E$5</f>
        <v>51.360902255639104</v>
      </c>
      <c r="F396" s="132" t="s">
        <v>104</v>
      </c>
      <c r="G396" s="133"/>
    </row>
    <row r="397" spans="1:9">
      <c r="A397" s="23" t="s">
        <v>56</v>
      </c>
      <c r="B397" s="24">
        <f>B396</f>
        <v>51.039959016393446</v>
      </c>
      <c r="C397" s="24">
        <f>C396</f>
        <v>11.390032201405152</v>
      </c>
      <c r="D397" s="24">
        <f>D396</f>
        <v>6.4775251189846648</v>
      </c>
      <c r="E397" s="24">
        <f>E396</f>
        <v>51.360902255639104</v>
      </c>
      <c r="F397" s="35">
        <v>16</v>
      </c>
      <c r="G397" s="36"/>
    </row>
    <row r="399" spans="1:9">
      <c r="A399" s="3" t="s">
        <v>77</v>
      </c>
    </row>
    <row r="400" spans="1:9">
      <c r="A400" s="3" t="s">
        <v>292</v>
      </c>
    </row>
    <row r="401" spans="1:9">
      <c r="A401" s="3" t="s">
        <v>16</v>
      </c>
      <c r="B401" s="182">
        <v>45106</v>
      </c>
      <c r="C401" s="182"/>
      <c r="D401" s="182"/>
      <c r="E401" s="9"/>
      <c r="F401" s="1" t="s">
        <v>40</v>
      </c>
      <c r="G401" s="21" t="s">
        <v>36</v>
      </c>
      <c r="H401" s="21" t="s">
        <v>212</v>
      </c>
      <c r="I401" s="21" t="s">
        <v>310</v>
      </c>
    </row>
    <row r="402" spans="1:9">
      <c r="A402" s="3" t="s">
        <v>101</v>
      </c>
      <c r="B402" s="1">
        <v>135</v>
      </c>
      <c r="C402" s="1">
        <v>45</v>
      </c>
      <c r="D402" s="1">
        <v>5</v>
      </c>
      <c r="E402" s="1">
        <v>22</v>
      </c>
      <c r="F402" s="1">
        <f>B402+C402</f>
        <v>180</v>
      </c>
      <c r="G402" s="22">
        <f>(B402+C402)/D402</f>
        <v>36</v>
      </c>
      <c r="H402" s="22">
        <f>(B405+C405)/E405</f>
        <v>4.7107438016528924</v>
      </c>
      <c r="I402" s="22">
        <f>E405/D405</f>
        <v>7.6421052631578963</v>
      </c>
    </row>
    <row r="403" spans="1:9">
      <c r="A403" s="1" t="s">
        <v>168</v>
      </c>
      <c r="B403" s="1">
        <v>6.6</v>
      </c>
      <c r="C403" s="1">
        <v>6.6</v>
      </c>
      <c r="D403" s="1">
        <v>6.6</v>
      </c>
      <c r="E403" s="1">
        <f>3.8*2</f>
        <v>7.6</v>
      </c>
      <c r="F403" s="25" t="s">
        <v>84</v>
      </c>
    </row>
    <row r="404" spans="1:9">
      <c r="A404" s="1" t="s">
        <v>169</v>
      </c>
      <c r="B404" s="26">
        <v>10</v>
      </c>
      <c r="C404" s="26">
        <v>10</v>
      </c>
      <c r="D404" s="26">
        <v>10</v>
      </c>
      <c r="E404" s="26">
        <v>5</v>
      </c>
      <c r="F404" s="25" t="s">
        <v>87</v>
      </c>
    </row>
    <row r="405" spans="1:9">
      <c r="A405" s="1" t="s">
        <v>78</v>
      </c>
      <c r="B405" s="77">
        <f>B402*18*0.001/(B403*B404*0.001)</f>
        <v>36.81818181818182</v>
      </c>
      <c r="C405" s="77">
        <f>C402*18*0.001/(C403*C404*0.001)</f>
        <v>12.272727272727273</v>
      </c>
      <c r="D405" s="77">
        <f>D402*18*0.001/(D403*D404*0.001)</f>
        <v>1.3636363636363635</v>
      </c>
      <c r="E405" s="77">
        <f>E402*18*0.001/(E403*E404*0.001)</f>
        <v>10.421052631578949</v>
      </c>
    </row>
    <row r="406" spans="1:9" ht="18">
      <c r="A406" s="1" t="s">
        <v>79</v>
      </c>
      <c r="B406" s="4">
        <f>(B405/$B$6)</f>
        <v>47.173295454545453</v>
      </c>
      <c r="C406" s="4">
        <f>(C405/$C$6)</f>
        <v>10.527150974025973</v>
      </c>
      <c r="D406" s="4">
        <f>D405/31*$D$5</f>
        <v>5.9868035190615831</v>
      </c>
      <c r="E406" s="4">
        <f>E405/14*$E$5</f>
        <v>51.360902255639104</v>
      </c>
      <c r="F406" s="132" t="s">
        <v>104</v>
      </c>
      <c r="G406" s="133"/>
    </row>
    <row r="407" spans="1:9">
      <c r="A407" s="23" t="s">
        <v>56</v>
      </c>
      <c r="B407" s="24">
        <f>B406</f>
        <v>47.173295454545453</v>
      </c>
      <c r="C407" s="24">
        <f>C406</f>
        <v>10.527150974025973</v>
      </c>
      <c r="D407" s="24">
        <f>D406</f>
        <v>5.9868035190615831</v>
      </c>
      <c r="E407" s="24">
        <f>E406</f>
        <v>51.360902255639104</v>
      </c>
      <c r="F407" s="35">
        <v>16</v>
      </c>
      <c r="G407" s="36"/>
    </row>
    <row r="408" spans="1:9">
      <c r="A408" s="3" t="s">
        <v>302</v>
      </c>
      <c r="B408" s="38">
        <v>51.039959016393446</v>
      </c>
      <c r="C408" s="10">
        <v>11.390032201405152</v>
      </c>
      <c r="D408" s="10">
        <v>6.4775251189846648</v>
      </c>
    </row>
    <row r="410" spans="1:9">
      <c r="A410" s="3" t="s">
        <v>77</v>
      </c>
    </row>
    <row r="411" spans="1:9">
      <c r="A411" s="3" t="s">
        <v>292</v>
      </c>
    </row>
    <row r="412" spans="1:9">
      <c r="A412" s="3" t="s">
        <v>16</v>
      </c>
      <c r="B412" s="182">
        <v>45111</v>
      </c>
      <c r="C412" s="182"/>
      <c r="D412" s="182"/>
      <c r="E412" s="9">
        <v>45111</v>
      </c>
      <c r="F412" s="1" t="s">
        <v>40</v>
      </c>
      <c r="G412" s="21" t="s">
        <v>36</v>
      </c>
      <c r="H412" s="21" t="s">
        <v>212</v>
      </c>
      <c r="I412" s="21" t="s">
        <v>310</v>
      </c>
    </row>
    <row r="413" spans="1:9">
      <c r="A413" s="3" t="s">
        <v>101</v>
      </c>
      <c r="B413" s="1">
        <v>135</v>
      </c>
      <c r="C413" s="1">
        <v>45</v>
      </c>
      <c r="D413" s="1">
        <v>5</v>
      </c>
      <c r="E413" s="1">
        <v>20</v>
      </c>
      <c r="F413" s="1">
        <f>B413+C413</f>
        <v>180</v>
      </c>
      <c r="G413" s="22">
        <f>(B413+C413)/D413</f>
        <v>36</v>
      </c>
      <c r="H413" s="22">
        <f>(B416+C416)/E416</f>
        <v>4.9963235294117645</v>
      </c>
      <c r="I413" s="22">
        <f>E416/D416</f>
        <v>7.2052980132450335</v>
      </c>
    </row>
    <row r="414" spans="1:9">
      <c r="A414" s="1" t="s">
        <v>168</v>
      </c>
      <c r="B414" s="1">
        <v>6.8</v>
      </c>
      <c r="C414" s="1">
        <v>6.8</v>
      </c>
      <c r="D414" s="1">
        <v>6.8</v>
      </c>
      <c r="E414" s="1">
        <v>7.55</v>
      </c>
      <c r="F414" s="25" t="s">
        <v>84</v>
      </c>
    </row>
    <row r="415" spans="1:9">
      <c r="A415" s="1" t="s">
        <v>169</v>
      </c>
      <c r="B415" s="26">
        <v>10</v>
      </c>
      <c r="C415" s="26">
        <v>10</v>
      </c>
      <c r="D415" s="26">
        <v>10</v>
      </c>
      <c r="E415" s="26">
        <v>5</v>
      </c>
      <c r="F415" s="25" t="s">
        <v>87</v>
      </c>
    </row>
    <row r="416" spans="1:9">
      <c r="A416" s="1" t="s">
        <v>78</v>
      </c>
      <c r="B416" s="77">
        <f>B413*18*0.001/(B414*B415*0.001)</f>
        <v>35.735294117647058</v>
      </c>
      <c r="C416" s="77">
        <f>C413*18*0.001/(C414*C415*0.001)</f>
        <v>11.911764705882353</v>
      </c>
      <c r="D416" s="77">
        <f>D413*18*0.001/(D414*D415*0.001)</f>
        <v>1.3235294117647058</v>
      </c>
      <c r="E416" s="77">
        <f>E413*18*0.001/(E414*E415*0.001)</f>
        <v>9.5364238410596034</v>
      </c>
    </row>
    <row r="417" spans="1:7" ht="18">
      <c r="A417" s="1" t="s">
        <v>79</v>
      </c>
      <c r="B417" s="4">
        <f>(B416/$B$6)</f>
        <v>45.78584558823529</v>
      </c>
      <c r="C417" s="4">
        <f>(C416/$C$6)</f>
        <v>10.217528886554621</v>
      </c>
      <c r="D417" s="4">
        <f>D416/31*$D$5</f>
        <v>5.8107210626185957</v>
      </c>
      <c r="E417" s="4">
        <f>E416/14*$E$5</f>
        <v>47.000946073793763</v>
      </c>
      <c r="F417" s="132" t="s">
        <v>104</v>
      </c>
      <c r="G417" s="133"/>
    </row>
    <row r="418" spans="1:7">
      <c r="A418" s="23" t="s">
        <v>56</v>
      </c>
      <c r="B418" s="24">
        <f>B417</f>
        <v>45.78584558823529</v>
      </c>
      <c r="C418" s="24">
        <f>C417</f>
        <v>10.217528886554621</v>
      </c>
      <c r="D418" s="24">
        <f>D417</f>
        <v>5.8107210626185957</v>
      </c>
      <c r="E418" s="24">
        <f>E417</f>
        <v>47.000946073793763</v>
      </c>
      <c r="F418" s="35">
        <v>16</v>
      </c>
      <c r="G418" s="36"/>
    </row>
    <row r="419" spans="1:7">
      <c r="A419" s="3" t="s">
        <v>302</v>
      </c>
      <c r="B419" s="3">
        <v>51.039959016393446</v>
      </c>
      <c r="C419" s="1">
        <v>11.390032201405152</v>
      </c>
      <c r="D419" s="1">
        <v>6.4775251189846648</v>
      </c>
    </row>
    <row r="421" spans="1:7">
      <c r="A421" s="3" t="s">
        <v>77</v>
      </c>
    </row>
    <row r="422" spans="1:7">
      <c r="A422" s="3" t="s">
        <v>292</v>
      </c>
    </row>
    <row r="423" spans="1:7">
      <c r="A423" s="3" t="s">
        <v>16</v>
      </c>
      <c r="B423" s="182">
        <v>45114</v>
      </c>
      <c r="C423" s="182"/>
      <c r="D423" s="182"/>
      <c r="E423" s="9">
        <v>45111</v>
      </c>
      <c r="F423" s="1" t="s">
        <v>40</v>
      </c>
      <c r="G423" s="21" t="s">
        <v>36</v>
      </c>
    </row>
    <row r="424" spans="1:7">
      <c r="A424" s="3" t="s">
        <v>101</v>
      </c>
      <c r="B424" s="1">
        <v>135</v>
      </c>
      <c r="C424" s="1">
        <v>45</v>
      </c>
      <c r="D424" s="1">
        <v>5</v>
      </c>
      <c r="E424" s="1">
        <v>20</v>
      </c>
      <c r="F424" s="1">
        <f>B424+C424</f>
        <v>180</v>
      </c>
      <c r="G424" s="22">
        <f>(B424+C424)/D424</f>
        <v>36</v>
      </c>
    </row>
    <row r="425" spans="1:7">
      <c r="A425" s="1" t="s">
        <v>168</v>
      </c>
      <c r="B425" s="1">
        <v>6.4</v>
      </c>
      <c r="C425" s="1">
        <v>6.4</v>
      </c>
      <c r="D425" s="1">
        <v>6.4</v>
      </c>
      <c r="E425" s="1">
        <v>7.55</v>
      </c>
      <c r="F425" s="25" t="s">
        <v>84</v>
      </c>
    </row>
    <row r="426" spans="1:7">
      <c r="A426" s="1" t="s">
        <v>169</v>
      </c>
      <c r="B426" s="26">
        <v>10</v>
      </c>
      <c r="C426" s="26">
        <v>10</v>
      </c>
      <c r="D426" s="26">
        <v>10</v>
      </c>
      <c r="E426" s="26">
        <v>5</v>
      </c>
      <c r="F426" s="25" t="s">
        <v>87</v>
      </c>
    </row>
    <row r="427" spans="1:7">
      <c r="A427" s="1" t="s">
        <v>78</v>
      </c>
      <c r="B427" s="77">
        <f>B424*18*0.001/(B425*B426*0.001)</f>
        <v>37.96875</v>
      </c>
      <c r="C427" s="77">
        <f>C424*18*0.001/(C425*C426*0.001)</f>
        <v>12.65625</v>
      </c>
      <c r="D427" s="77">
        <f>D424*18*0.001/(D425*D426*0.001)</f>
        <v>1.40625</v>
      </c>
      <c r="E427" s="77">
        <f>E424*18*0.001/(E425*E426*0.001)</f>
        <v>9.5364238410596034</v>
      </c>
    </row>
    <row r="428" spans="1:7" ht="18">
      <c r="A428" s="1" t="s">
        <v>79</v>
      </c>
      <c r="B428" s="4">
        <f>(B427/$B$6)</f>
        <v>48.6474609375</v>
      </c>
      <c r="C428" s="4">
        <f>(C427/$C$6)</f>
        <v>10.856124441964285</v>
      </c>
      <c r="D428" s="4">
        <f>D427/31*$D$5</f>
        <v>6.173891129032258</v>
      </c>
      <c r="E428" s="4">
        <f>E427/14*$E$5</f>
        <v>47.000946073793763</v>
      </c>
      <c r="F428" s="132" t="s">
        <v>104</v>
      </c>
      <c r="G428" s="133"/>
    </row>
    <row r="429" spans="1:7">
      <c r="A429" s="23" t="s">
        <v>56</v>
      </c>
      <c r="B429" s="24">
        <f>B428</f>
        <v>48.6474609375</v>
      </c>
      <c r="C429" s="24">
        <f>C428</f>
        <v>10.856124441964285</v>
      </c>
      <c r="D429" s="24">
        <f>D428</f>
        <v>6.173891129032258</v>
      </c>
      <c r="E429" s="24">
        <f>E428</f>
        <v>47.000946073793763</v>
      </c>
      <c r="F429" s="35">
        <v>16</v>
      </c>
      <c r="G429" s="36"/>
    </row>
    <row r="430" spans="1:7">
      <c r="A430" s="3" t="s">
        <v>302</v>
      </c>
      <c r="B430" s="3">
        <v>51.039959016393446</v>
      </c>
      <c r="C430" s="1">
        <v>11.390032201405152</v>
      </c>
      <c r="D430" s="1">
        <v>6.4775251189846648</v>
      </c>
    </row>
    <row r="432" spans="1:7">
      <c r="A432" s="3" t="s">
        <v>77</v>
      </c>
    </row>
    <row r="433" spans="1:7">
      <c r="A433" s="3" t="s">
        <v>292</v>
      </c>
    </row>
    <row r="434" spans="1:7">
      <c r="A434" s="3" t="s">
        <v>16</v>
      </c>
      <c r="B434" s="182">
        <v>45117</v>
      </c>
      <c r="C434" s="182"/>
      <c r="D434" s="182"/>
      <c r="E434" s="9">
        <v>45117</v>
      </c>
      <c r="F434" s="1" t="s">
        <v>40</v>
      </c>
      <c r="G434" s="21" t="s">
        <v>36</v>
      </c>
    </row>
    <row r="435" spans="1:7">
      <c r="A435" s="3" t="s">
        <v>101</v>
      </c>
      <c r="B435" s="1">
        <v>135</v>
      </c>
      <c r="C435" s="1">
        <f>B435/3</f>
        <v>45</v>
      </c>
      <c r="D435" s="1">
        <v>5</v>
      </c>
      <c r="E435" s="1">
        <v>20</v>
      </c>
      <c r="F435" s="1">
        <f>B435+C435</f>
        <v>180</v>
      </c>
      <c r="G435" s="22">
        <f>(B435+C435)/D435</f>
        <v>36</v>
      </c>
    </row>
    <row r="436" spans="1:7">
      <c r="A436" s="1" t="s">
        <v>168</v>
      </c>
      <c r="B436" s="1">
        <v>6.4</v>
      </c>
      <c r="C436" s="1">
        <v>6.4</v>
      </c>
      <c r="D436" s="1">
        <v>6.4</v>
      </c>
      <c r="E436" s="1">
        <v>7.55</v>
      </c>
      <c r="F436" s="25" t="s">
        <v>84</v>
      </c>
    </row>
    <row r="437" spans="1:7">
      <c r="A437" s="1" t="s">
        <v>169</v>
      </c>
      <c r="B437" s="26">
        <v>10</v>
      </c>
      <c r="C437" s="26">
        <v>10</v>
      </c>
      <c r="D437" s="26">
        <v>10</v>
      </c>
      <c r="E437" s="26">
        <v>5</v>
      </c>
      <c r="F437" s="25" t="s">
        <v>87</v>
      </c>
    </row>
    <row r="438" spans="1:7">
      <c r="A438" s="1" t="s">
        <v>78</v>
      </c>
      <c r="B438" s="77">
        <f>B435*18*0.001/(B436*B437*0.001)</f>
        <v>37.96875</v>
      </c>
      <c r="C438" s="77">
        <f>C435*18*0.001/(C436*C437*0.001)</f>
        <v>12.65625</v>
      </c>
      <c r="D438" s="77">
        <f>D435*18*0.001/(D436*D437*0.001)</f>
        <v>1.40625</v>
      </c>
      <c r="E438" s="77">
        <f>E435*18*0.001/(E436*E437*0.001)</f>
        <v>9.5364238410596034</v>
      </c>
    </row>
    <row r="439" spans="1:7" ht="18">
      <c r="A439" s="1" t="s">
        <v>79</v>
      </c>
      <c r="B439" s="4">
        <f>(B438/$B$6)</f>
        <v>48.6474609375</v>
      </c>
      <c r="C439" s="4">
        <f>(C438/$C$6)</f>
        <v>10.856124441964285</v>
      </c>
      <c r="D439" s="4">
        <f>D438/31*$D$5</f>
        <v>6.173891129032258</v>
      </c>
      <c r="E439" s="4">
        <f>E438/14*$E$5</f>
        <v>47.000946073793763</v>
      </c>
      <c r="F439" s="132" t="s">
        <v>104</v>
      </c>
      <c r="G439" s="133"/>
    </row>
    <row r="440" spans="1:7">
      <c r="A440" s="23" t="s">
        <v>56</v>
      </c>
      <c r="B440" s="24">
        <f>B439</f>
        <v>48.6474609375</v>
      </c>
      <c r="C440" s="24">
        <f>C439</f>
        <v>10.856124441964285</v>
      </c>
      <c r="D440" s="24">
        <f>D439</f>
        <v>6.173891129032258</v>
      </c>
      <c r="E440" s="24">
        <f>E439</f>
        <v>47.000946073793763</v>
      </c>
      <c r="F440" s="35">
        <v>16</v>
      </c>
      <c r="G440" s="36"/>
    </row>
    <row r="441" spans="1:7">
      <c r="A441" s="3" t="s">
        <v>302</v>
      </c>
      <c r="B441" s="3">
        <v>51.039959016393446</v>
      </c>
      <c r="C441" s="1">
        <v>11.390032201405152</v>
      </c>
      <c r="D441" s="1">
        <v>6.4775251189846648</v>
      </c>
    </row>
    <row r="443" spans="1:7">
      <c r="A443" s="3" t="s">
        <v>77</v>
      </c>
    </row>
    <row r="444" spans="1:7">
      <c r="A444" s="3" t="s">
        <v>292</v>
      </c>
    </row>
    <row r="445" spans="1:7">
      <c r="A445" s="3" t="s">
        <v>16</v>
      </c>
      <c r="B445" s="182">
        <v>45121</v>
      </c>
      <c r="C445" s="182"/>
      <c r="D445" s="182"/>
      <c r="E445" s="9">
        <v>45121</v>
      </c>
      <c r="F445" s="1" t="s">
        <v>40</v>
      </c>
      <c r="G445" s="21" t="s">
        <v>36</v>
      </c>
    </row>
    <row r="446" spans="1:7">
      <c r="A446" s="3" t="s">
        <v>101</v>
      </c>
      <c r="B446" s="1">
        <v>150</v>
      </c>
      <c r="C446" s="1">
        <f>B446/3</f>
        <v>50</v>
      </c>
      <c r="D446" s="1">
        <v>5</v>
      </c>
      <c r="E446" s="1">
        <v>15.9</v>
      </c>
      <c r="F446" s="1">
        <f>B446+C446</f>
        <v>200</v>
      </c>
      <c r="G446" s="22">
        <f>(B446+C446)/D446</f>
        <v>40</v>
      </c>
    </row>
    <row r="447" spans="1:7">
      <c r="A447" s="1" t="s">
        <v>168</v>
      </c>
      <c r="B447" s="1">
        <v>6.1</v>
      </c>
      <c r="C447" s="1">
        <v>6.1</v>
      </c>
      <c r="D447" s="1">
        <v>6.1</v>
      </c>
      <c r="E447" s="1" t="s">
        <v>303</v>
      </c>
      <c r="F447" s="25" t="s">
        <v>84</v>
      </c>
    </row>
    <row r="448" spans="1:7">
      <c r="A448" s="1" t="s">
        <v>169</v>
      </c>
      <c r="B448" s="26">
        <v>10</v>
      </c>
      <c r="C448" s="26">
        <v>10</v>
      </c>
      <c r="D448" s="26">
        <v>10</v>
      </c>
      <c r="E448" s="26" t="s">
        <v>304</v>
      </c>
      <c r="F448" s="25" t="s">
        <v>87</v>
      </c>
    </row>
    <row r="449" spans="1:7">
      <c r="A449" s="1" t="s">
        <v>78</v>
      </c>
      <c r="B449" s="77">
        <f>B446*18*0.001/(B447*B448*0.001)</f>
        <v>44.262295081967217</v>
      </c>
      <c r="C449" s="77">
        <f>C446*18*0.001/(C447*C448*0.001)</f>
        <v>14.754098360655739</v>
      </c>
      <c r="D449" s="77">
        <f>D446*18*0.001/(D447*D448*0.001)</f>
        <v>1.4754098360655739</v>
      </c>
      <c r="E449" s="77"/>
    </row>
    <row r="450" spans="1:7" ht="18">
      <c r="A450" s="1" t="s">
        <v>79</v>
      </c>
      <c r="B450" s="4">
        <f>(B449/$B$6)</f>
        <v>56.711065573770497</v>
      </c>
      <c r="C450" s="4">
        <f>(C449/$C$6)</f>
        <v>12.655591334894613</v>
      </c>
      <c r="D450" s="4">
        <f>D449/31*$D$5</f>
        <v>6.4775251189846648</v>
      </c>
      <c r="E450" s="4"/>
      <c r="F450" s="132" t="s">
        <v>104</v>
      </c>
      <c r="G450" s="133"/>
    </row>
    <row r="451" spans="1:7">
      <c r="A451" s="23" t="s">
        <v>56</v>
      </c>
      <c r="B451" s="24">
        <f>B450</f>
        <v>56.711065573770497</v>
      </c>
      <c r="C451" s="24">
        <f>C450</f>
        <v>12.655591334894613</v>
      </c>
      <c r="D451" s="24">
        <f>D450</f>
        <v>6.4775251189846648</v>
      </c>
      <c r="E451" s="24"/>
      <c r="F451" s="35">
        <v>16</v>
      </c>
      <c r="G451" s="36"/>
    </row>
    <row r="452" spans="1:7">
      <c r="A452" s="3" t="s">
        <v>302</v>
      </c>
      <c r="B452" s="3">
        <v>51.039959016393446</v>
      </c>
      <c r="C452" s="1">
        <v>11.390032201405152</v>
      </c>
      <c r="D452" s="1">
        <v>6.4775251189846648</v>
      </c>
    </row>
    <row r="454" spans="1:7">
      <c r="A454" s="3" t="s">
        <v>292</v>
      </c>
    </row>
    <row r="455" spans="1:7">
      <c r="A455" s="3" t="s">
        <v>16</v>
      </c>
      <c r="B455" s="182">
        <v>45125</v>
      </c>
      <c r="C455" s="182"/>
      <c r="D455" s="182"/>
      <c r="E455" s="9">
        <v>45128</v>
      </c>
      <c r="F455" s="1" t="s">
        <v>40</v>
      </c>
      <c r="G455" s="21" t="s">
        <v>36</v>
      </c>
    </row>
    <row r="456" spans="1:7">
      <c r="A456" s="3" t="s">
        <v>101</v>
      </c>
      <c r="B456" s="1">
        <v>150</v>
      </c>
      <c r="C456" s="1">
        <f>B456/3</f>
        <v>50</v>
      </c>
      <c r="D456" s="1">
        <v>5</v>
      </c>
      <c r="E456" s="1">
        <v>18</v>
      </c>
      <c r="F456" s="1">
        <f>B456+C456</f>
        <v>200</v>
      </c>
      <c r="G456" s="22">
        <f>(B456+C456)/D456</f>
        <v>40</v>
      </c>
    </row>
    <row r="457" spans="1:7">
      <c r="A457" s="1" t="s">
        <v>168</v>
      </c>
      <c r="B457" s="1">
        <v>6.1</v>
      </c>
      <c r="C457" s="1">
        <v>6.1</v>
      </c>
      <c r="D457" s="1">
        <v>6.1</v>
      </c>
      <c r="E457" s="1">
        <f>3.8*2</f>
        <v>7.6</v>
      </c>
      <c r="F457" s="25" t="s">
        <v>84</v>
      </c>
    </row>
    <row r="458" spans="1:7">
      <c r="A458" s="1" t="s">
        <v>169</v>
      </c>
      <c r="B458" s="26">
        <v>10</v>
      </c>
      <c r="C458" s="26">
        <v>10</v>
      </c>
      <c r="D458" s="26">
        <v>10</v>
      </c>
      <c r="E458" s="26">
        <v>5</v>
      </c>
      <c r="F458" s="25" t="s">
        <v>87</v>
      </c>
    </row>
    <row r="459" spans="1:7">
      <c r="A459" s="1" t="s">
        <v>78</v>
      </c>
      <c r="B459" s="77">
        <f>B456*18*0.001/(B457*B458*0.001)</f>
        <v>44.262295081967217</v>
      </c>
      <c r="C459" s="77">
        <f>C456*18*0.001/(C457*C458*0.001)</f>
        <v>14.754098360655739</v>
      </c>
      <c r="D459" s="77">
        <f>D456*18*0.001/(D457*D458*0.001)</f>
        <v>1.4754098360655739</v>
      </c>
      <c r="E459" s="77">
        <f>E456*18*0.001/(E457*E458*0.001)</f>
        <v>8.526315789473685</v>
      </c>
    </row>
    <row r="460" spans="1:7" ht="18">
      <c r="A460" s="1" t="s">
        <v>79</v>
      </c>
      <c r="B460" s="4">
        <f>(B459/$B$6)</f>
        <v>56.711065573770497</v>
      </c>
      <c r="C460" s="4">
        <f>(C459/$C$6)</f>
        <v>12.655591334894613</v>
      </c>
      <c r="D460" s="4">
        <f>D459/31*$D$5</f>
        <v>6.4775251189846648</v>
      </c>
      <c r="E460" s="4">
        <f>E459/14*$E$5</f>
        <v>42.022556390977442</v>
      </c>
      <c r="F460" s="132" t="s">
        <v>104</v>
      </c>
      <c r="G460" s="133"/>
    </row>
    <row r="461" spans="1:7">
      <c r="A461" s="23" t="s">
        <v>56</v>
      </c>
      <c r="B461" s="24">
        <f>B460</f>
        <v>56.711065573770497</v>
      </c>
      <c r="C461" s="24">
        <f>C460</f>
        <v>12.655591334894613</v>
      </c>
      <c r="D461" s="24">
        <f>D460</f>
        <v>6.4775251189846648</v>
      </c>
      <c r="E461" s="24">
        <f>E460</f>
        <v>42.022556390977442</v>
      </c>
      <c r="F461" s="35">
        <v>16</v>
      </c>
      <c r="G461" s="36"/>
    </row>
    <row r="463" spans="1:7">
      <c r="A463" s="3" t="s">
        <v>292</v>
      </c>
    </row>
    <row r="464" spans="1:7">
      <c r="A464" s="3" t="s">
        <v>16</v>
      </c>
      <c r="B464" s="182">
        <v>45131</v>
      </c>
      <c r="C464" s="182"/>
      <c r="D464" s="182"/>
      <c r="E464" s="9">
        <v>45132</v>
      </c>
      <c r="F464" s="1" t="s">
        <v>40</v>
      </c>
      <c r="G464" s="21" t="s">
        <v>36</v>
      </c>
    </row>
    <row r="465" spans="1:7">
      <c r="A465" s="3" t="s">
        <v>101</v>
      </c>
      <c r="B465" s="1">
        <v>150</v>
      </c>
      <c r="C465" s="1">
        <f>B465/3</f>
        <v>50</v>
      </c>
      <c r="D465" s="1">
        <v>5</v>
      </c>
      <c r="E465" s="1">
        <v>18</v>
      </c>
      <c r="F465" s="1">
        <f>B465+C465</f>
        <v>200</v>
      </c>
      <c r="G465" s="22">
        <f>(B465+C465)/D465</f>
        <v>40</v>
      </c>
    </row>
    <row r="466" spans="1:7">
      <c r="A466" s="1" t="s">
        <v>168</v>
      </c>
      <c r="B466" s="1">
        <v>6.1</v>
      </c>
      <c r="C466" s="1">
        <v>6.1</v>
      </c>
      <c r="D466" s="1">
        <v>6.1</v>
      </c>
      <c r="E466" s="1">
        <f>3.6*2</f>
        <v>7.2</v>
      </c>
      <c r="F466" s="25" t="s">
        <v>84</v>
      </c>
    </row>
    <row r="467" spans="1:7">
      <c r="A467" s="1" t="s">
        <v>169</v>
      </c>
      <c r="B467" s="26">
        <v>10</v>
      </c>
      <c r="C467" s="26">
        <v>10</v>
      </c>
      <c r="D467" s="26">
        <v>10</v>
      </c>
      <c r="E467" s="26">
        <v>5</v>
      </c>
      <c r="F467" s="25" t="s">
        <v>87</v>
      </c>
    </row>
    <row r="468" spans="1:7">
      <c r="A468" s="1" t="s">
        <v>78</v>
      </c>
      <c r="B468" s="77">
        <f>B465*18*0.001/(B466*B467*0.001)</f>
        <v>44.262295081967217</v>
      </c>
      <c r="C468" s="77">
        <f>C465*18*0.001/(C466*C467*0.001)</f>
        <v>14.754098360655739</v>
      </c>
      <c r="D468" s="77">
        <f>D465*18*0.001/(D466*D467*0.001)</f>
        <v>1.4754098360655739</v>
      </c>
      <c r="E468" s="77">
        <f>E465*18*0.001/(E466*E467*0.001)</f>
        <v>9</v>
      </c>
    </row>
    <row r="469" spans="1:7" ht="18">
      <c r="A469" s="1" t="s">
        <v>79</v>
      </c>
      <c r="B469" s="4">
        <f>(B468/$B$6)</f>
        <v>56.711065573770497</v>
      </c>
      <c r="C469" s="4">
        <f>(C468/$C$6)</f>
        <v>12.655591334894613</v>
      </c>
      <c r="D469" s="4">
        <f>D468/31*$D$5</f>
        <v>6.4775251189846648</v>
      </c>
      <c r="E469" s="4">
        <f>E468/14*$E$5</f>
        <v>44.357142857142861</v>
      </c>
      <c r="F469" s="132" t="s">
        <v>104</v>
      </c>
      <c r="G469" s="133"/>
    </row>
    <row r="470" spans="1:7">
      <c r="A470" s="23" t="s">
        <v>56</v>
      </c>
      <c r="B470" s="24">
        <f>B469</f>
        <v>56.711065573770497</v>
      </c>
      <c r="C470" s="24">
        <f>C469</f>
        <v>12.655591334894613</v>
      </c>
      <c r="D470" s="24">
        <f>D469</f>
        <v>6.4775251189846648</v>
      </c>
      <c r="E470" s="24">
        <f>E469</f>
        <v>44.357142857142861</v>
      </c>
      <c r="F470" s="35">
        <v>16</v>
      </c>
      <c r="G470" s="36"/>
    </row>
    <row r="472" spans="1:7">
      <c r="A472" s="3" t="s">
        <v>292</v>
      </c>
    </row>
    <row r="473" spans="1:7">
      <c r="A473" s="3" t="s">
        <v>16</v>
      </c>
      <c r="B473" s="182">
        <v>45135</v>
      </c>
      <c r="C473" s="182"/>
      <c r="D473" s="182"/>
      <c r="E473" s="9">
        <v>45135</v>
      </c>
      <c r="F473" s="1" t="s">
        <v>40</v>
      </c>
      <c r="G473" s="21" t="s">
        <v>36</v>
      </c>
    </row>
    <row r="474" spans="1:7">
      <c r="A474" s="3" t="s">
        <v>101</v>
      </c>
      <c r="B474" s="1">
        <v>150</v>
      </c>
      <c r="C474" s="1">
        <f>B474/3</f>
        <v>50</v>
      </c>
      <c r="D474" s="1">
        <v>5</v>
      </c>
      <c r="E474" s="1">
        <v>18</v>
      </c>
      <c r="F474" s="1">
        <f>B474+C474</f>
        <v>200</v>
      </c>
      <c r="G474" s="22">
        <f>(B474+C474)/D474</f>
        <v>40</v>
      </c>
    </row>
    <row r="475" spans="1:7">
      <c r="A475" s="1" t="s">
        <v>168</v>
      </c>
      <c r="B475" s="1">
        <v>6.1</v>
      </c>
      <c r="C475" s="1">
        <v>6.1</v>
      </c>
      <c r="D475" s="1">
        <v>6.1</v>
      </c>
      <c r="E475" s="1">
        <f>3.6*2</f>
        <v>7.2</v>
      </c>
      <c r="F475" s="25" t="s">
        <v>84</v>
      </c>
    </row>
    <row r="476" spans="1:7">
      <c r="A476" s="1" t="s">
        <v>169</v>
      </c>
      <c r="B476" s="26">
        <v>10</v>
      </c>
      <c r="C476" s="26">
        <v>10</v>
      </c>
      <c r="D476" s="26">
        <v>10</v>
      </c>
      <c r="E476" s="26">
        <v>5</v>
      </c>
      <c r="F476" s="25" t="s">
        <v>87</v>
      </c>
    </row>
    <row r="477" spans="1:7">
      <c r="A477" s="1" t="s">
        <v>78</v>
      </c>
      <c r="B477" s="77">
        <f>B474*18*0.001/(B475*B476*0.001)</f>
        <v>44.262295081967217</v>
      </c>
      <c r="C477" s="77">
        <f>C474*18*0.001/(C475*C476*0.001)</f>
        <v>14.754098360655739</v>
      </c>
      <c r="D477" s="77">
        <f>D474*18*0.001/(D475*D476*0.001)</f>
        <v>1.4754098360655739</v>
      </c>
      <c r="E477" s="77">
        <f>E474*18*0.001/(E475*E476*0.001)</f>
        <v>9</v>
      </c>
    </row>
    <row r="478" spans="1:7" ht="18">
      <c r="A478" s="1" t="s">
        <v>79</v>
      </c>
      <c r="B478" s="4">
        <f>(B477/$B$6)</f>
        <v>56.711065573770497</v>
      </c>
      <c r="C478" s="4">
        <f>(C477/$C$6)</f>
        <v>12.655591334894613</v>
      </c>
      <c r="D478" s="4">
        <f>D477/31*$D$5</f>
        <v>6.4775251189846648</v>
      </c>
      <c r="E478" s="4">
        <f>E477/14*$E$5</f>
        <v>44.357142857142861</v>
      </c>
      <c r="F478" s="132" t="s">
        <v>104</v>
      </c>
      <c r="G478" s="133"/>
    </row>
    <row r="479" spans="1:7">
      <c r="A479" s="23" t="s">
        <v>56</v>
      </c>
      <c r="B479" s="24">
        <f>B478</f>
        <v>56.711065573770497</v>
      </c>
      <c r="C479" s="24">
        <f>C478</f>
        <v>12.655591334894613</v>
      </c>
      <c r="D479" s="24">
        <f>D478</f>
        <v>6.4775251189846648</v>
      </c>
      <c r="E479" s="24">
        <f>E478</f>
        <v>44.357142857142861</v>
      </c>
      <c r="F479" s="35">
        <v>16</v>
      </c>
      <c r="G479" s="36"/>
    </row>
    <row r="481" spans="1:9">
      <c r="A481" s="3" t="s">
        <v>292</v>
      </c>
    </row>
    <row r="482" spans="1:9">
      <c r="A482" s="3" t="s">
        <v>16</v>
      </c>
      <c r="B482" s="182">
        <v>45139</v>
      </c>
      <c r="C482" s="182"/>
      <c r="D482" s="182"/>
      <c r="E482" s="9">
        <v>45140</v>
      </c>
      <c r="F482" s="1" t="s">
        <v>40</v>
      </c>
      <c r="G482" s="21" t="s">
        <v>36</v>
      </c>
    </row>
    <row r="483" spans="1:9">
      <c r="A483" s="3" t="s">
        <v>101</v>
      </c>
      <c r="B483" s="1">
        <v>150</v>
      </c>
      <c r="C483" s="1">
        <f>B483/3</f>
        <v>50</v>
      </c>
      <c r="D483" s="1">
        <v>5</v>
      </c>
      <c r="E483" s="1">
        <v>18</v>
      </c>
      <c r="F483" s="1">
        <f>B483+C483</f>
        <v>200</v>
      </c>
      <c r="G483" s="22">
        <f>(B483+C483)/D483</f>
        <v>40</v>
      </c>
    </row>
    <row r="484" spans="1:9">
      <c r="A484" s="1" t="s">
        <v>168</v>
      </c>
      <c r="B484" s="1">
        <v>6.35</v>
      </c>
      <c r="C484" s="1">
        <v>6.35</v>
      </c>
      <c r="D484" s="1">
        <v>6.35</v>
      </c>
      <c r="E484" s="1">
        <f>3.6*2</f>
        <v>7.2</v>
      </c>
      <c r="F484" s="25" t="s">
        <v>84</v>
      </c>
    </row>
    <row r="485" spans="1:9">
      <c r="A485" s="1" t="s">
        <v>169</v>
      </c>
      <c r="B485" s="26">
        <v>10</v>
      </c>
      <c r="C485" s="26">
        <v>10</v>
      </c>
      <c r="D485" s="26">
        <v>10</v>
      </c>
      <c r="E485" s="26">
        <v>5</v>
      </c>
      <c r="F485" s="25" t="s">
        <v>87</v>
      </c>
    </row>
    <row r="486" spans="1:9">
      <c r="A486" s="1" t="s">
        <v>78</v>
      </c>
      <c r="B486" s="77">
        <f>B483*18*0.001/(B484*B485*0.001)</f>
        <v>42.519685039370081</v>
      </c>
      <c r="C486" s="77">
        <f>C483*18*0.001/(C484*C485*0.001)</f>
        <v>14.173228346456693</v>
      </c>
      <c r="D486" s="77">
        <f>D483*18*0.001/(D484*D485*0.001)</f>
        <v>1.4173228346456692</v>
      </c>
      <c r="E486" s="77">
        <f>E483*18*0.001/(E484*E485*0.001)</f>
        <v>9</v>
      </c>
    </row>
    <row r="487" spans="1:9" ht="18">
      <c r="A487" s="1" t="s">
        <v>79</v>
      </c>
      <c r="B487" s="4">
        <f>(B486/$G$6)</f>
        <v>90.407480314960651</v>
      </c>
      <c r="C487" s="4">
        <f>(C486/$C$6)</f>
        <v>12.157339707536556</v>
      </c>
      <c r="D487" s="4">
        <f>D486/31*$D$5</f>
        <v>6.22250444500889</v>
      </c>
      <c r="E487" s="4">
        <f>E486/14*$E$5</f>
        <v>44.357142857142861</v>
      </c>
      <c r="F487" s="132" t="s">
        <v>104</v>
      </c>
    </row>
    <row r="488" spans="1:9">
      <c r="A488" s="23" t="s">
        <v>56</v>
      </c>
      <c r="B488" s="24">
        <f>B487</f>
        <v>90.407480314960651</v>
      </c>
      <c r="C488" s="24">
        <f>C487</f>
        <v>12.157339707536556</v>
      </c>
      <c r="D488" s="24">
        <f>D487</f>
        <v>6.22250444500889</v>
      </c>
      <c r="E488" s="24">
        <f>E487</f>
        <v>44.357142857142861</v>
      </c>
      <c r="F488" s="35">
        <v>16</v>
      </c>
    </row>
    <row r="490" spans="1:9">
      <c r="A490" s="3" t="s">
        <v>292</v>
      </c>
    </row>
    <row r="491" spans="1:9">
      <c r="A491" s="3" t="s">
        <v>16</v>
      </c>
      <c r="B491" s="182">
        <v>45145</v>
      </c>
      <c r="C491" s="182"/>
      <c r="D491" s="182"/>
      <c r="E491" s="9">
        <v>45146</v>
      </c>
      <c r="F491" s="1" t="s">
        <v>40</v>
      </c>
      <c r="G491" s="21" t="s">
        <v>36</v>
      </c>
      <c r="H491" s="21" t="s">
        <v>212</v>
      </c>
      <c r="I491" s="21" t="s">
        <v>310</v>
      </c>
    </row>
    <row r="492" spans="1:9">
      <c r="A492" s="3" t="s">
        <v>101</v>
      </c>
      <c r="B492" s="1">
        <v>150</v>
      </c>
      <c r="C492" s="1">
        <f>B492/3</f>
        <v>50</v>
      </c>
      <c r="D492" s="1">
        <v>5</v>
      </c>
      <c r="E492" s="1">
        <v>18</v>
      </c>
      <c r="F492" s="1">
        <f>B492+C492</f>
        <v>200</v>
      </c>
      <c r="G492" s="22">
        <f>(B495+C495)/D495</f>
        <v>40</v>
      </c>
      <c r="H492" s="22">
        <f>(B495+C495)/E495</f>
        <v>6.6115702479338845</v>
      </c>
      <c r="I492" s="22">
        <f>E495/D495</f>
        <v>6.0500000000000007</v>
      </c>
    </row>
    <row r="493" spans="1:9" s="138" customFormat="1">
      <c r="A493" s="136" t="s">
        <v>168</v>
      </c>
      <c r="B493" s="136">
        <v>6.05</v>
      </c>
      <c r="C493" s="136">
        <v>6.05</v>
      </c>
      <c r="D493" s="136">
        <v>6.05</v>
      </c>
      <c r="E493" s="136">
        <f>3.6*2</f>
        <v>7.2</v>
      </c>
      <c r="F493" s="137" t="s">
        <v>84</v>
      </c>
    </row>
    <row r="494" spans="1:9">
      <c r="A494" s="1" t="s">
        <v>169</v>
      </c>
      <c r="B494" s="26">
        <v>10</v>
      </c>
      <c r="C494" s="26">
        <v>10</v>
      </c>
      <c r="D494" s="26">
        <v>10</v>
      </c>
      <c r="E494" s="26">
        <v>5</v>
      </c>
      <c r="F494" s="25" t="s">
        <v>87</v>
      </c>
    </row>
    <row r="495" spans="1:9">
      <c r="A495" s="1" t="s">
        <v>78</v>
      </c>
      <c r="B495" s="77">
        <f>B492*18*0.001/(B493*B494*0.001)</f>
        <v>44.628099173553721</v>
      </c>
      <c r="C495" s="77">
        <f>C492*18*0.001/(C493*C494*0.001)</f>
        <v>14.87603305785124</v>
      </c>
      <c r="D495" s="77">
        <f>D492*18*0.001/(D493*D494*0.001)</f>
        <v>1.4876033057851239</v>
      </c>
      <c r="E495" s="77">
        <f>E492*18*0.001/(E493*E494*0.001)</f>
        <v>9</v>
      </c>
    </row>
    <row r="496" spans="1:9" ht="18">
      <c r="A496" s="1" t="s">
        <v>79</v>
      </c>
      <c r="B496" s="4">
        <f>(B495/$G$6)</f>
        <v>94.890495867768607</v>
      </c>
      <c r="C496" s="4">
        <f>(C495/$C$6)</f>
        <v>12.760182998819362</v>
      </c>
      <c r="D496" s="4">
        <f>D495/31*$D$5</f>
        <v>6.5310583844308177</v>
      </c>
      <c r="E496" s="4">
        <f>E495/14*$E$5</f>
        <v>44.357142857142861</v>
      </c>
      <c r="F496" s="132" t="s">
        <v>104</v>
      </c>
    </row>
    <row r="497" spans="1:9">
      <c r="A497" s="23" t="s">
        <v>56</v>
      </c>
      <c r="B497" s="24">
        <f>B496</f>
        <v>94.890495867768607</v>
      </c>
      <c r="C497" s="24">
        <f>C496</f>
        <v>12.760182998819362</v>
      </c>
      <c r="D497" s="24">
        <v>6.05</v>
      </c>
      <c r="E497" s="24">
        <f>E496</f>
        <v>44.357142857142861</v>
      </c>
      <c r="F497" s="35">
        <v>16</v>
      </c>
    </row>
    <row r="499" spans="1:9">
      <c r="A499" s="3" t="s">
        <v>292</v>
      </c>
    </row>
    <row r="500" spans="1:9">
      <c r="A500" s="3" t="s">
        <v>16</v>
      </c>
      <c r="B500" s="182">
        <v>45149</v>
      </c>
      <c r="C500" s="182"/>
      <c r="D500" s="182"/>
      <c r="E500" s="9">
        <v>45149</v>
      </c>
      <c r="F500" s="1" t="s">
        <v>40</v>
      </c>
      <c r="G500" s="21" t="s">
        <v>36</v>
      </c>
      <c r="H500" s="21" t="s">
        <v>212</v>
      </c>
      <c r="I500" s="21" t="s">
        <v>310</v>
      </c>
    </row>
    <row r="501" spans="1:9">
      <c r="A501" s="3" t="s">
        <v>101</v>
      </c>
      <c r="B501" s="1">
        <v>150</v>
      </c>
      <c r="C501" s="1">
        <f>B501/3</f>
        <v>50</v>
      </c>
      <c r="D501" s="1">
        <v>6</v>
      </c>
      <c r="E501" s="1">
        <v>10</v>
      </c>
      <c r="F501" s="1">
        <f>B501+C501</f>
        <v>200</v>
      </c>
      <c r="G501" s="22">
        <f>(B504+C504)/D504</f>
        <v>33.333333333333336</v>
      </c>
      <c r="H501" s="22">
        <f>(B504+C504)/E504</f>
        <v>10.827067669172934</v>
      </c>
      <c r="I501" s="22">
        <f>E504/D504</f>
        <v>3.0787037037037033</v>
      </c>
    </row>
    <row r="502" spans="1:9">
      <c r="A502" s="136" t="s">
        <v>168</v>
      </c>
      <c r="B502" s="136">
        <v>6.65</v>
      </c>
      <c r="C502" s="136">
        <v>6.65</v>
      </c>
      <c r="D502" s="136">
        <v>6.65</v>
      </c>
      <c r="E502" s="136">
        <f>3.6*2</f>
        <v>7.2</v>
      </c>
      <c r="F502" s="137" t="s">
        <v>84</v>
      </c>
    </row>
    <row r="503" spans="1:9">
      <c r="A503" s="1" t="s">
        <v>169</v>
      </c>
      <c r="B503" s="26">
        <v>10</v>
      </c>
      <c r="C503" s="26">
        <v>10</v>
      </c>
      <c r="D503" s="26">
        <v>10</v>
      </c>
      <c r="E503" s="26">
        <v>5</v>
      </c>
      <c r="F503" s="25" t="s">
        <v>87</v>
      </c>
    </row>
    <row r="504" spans="1:9">
      <c r="A504" s="1" t="s">
        <v>78</v>
      </c>
      <c r="B504" s="77">
        <f>B501*18*0.001/(B502*B503*0.001)</f>
        <v>40.601503759398497</v>
      </c>
      <c r="C504" s="77">
        <f>C501*18*0.001/(C502*C503*0.001)</f>
        <v>13.533834586466165</v>
      </c>
      <c r="D504" s="77">
        <f>D501*18*0.001/(D502*D503*0.001)</f>
        <v>1.6240601503759398</v>
      </c>
      <c r="E504" s="77">
        <f>E501*18*0.001/(E502*E503*0.001)</f>
        <v>4.9999999999999991</v>
      </c>
    </row>
    <row r="505" spans="1:9" ht="18">
      <c r="A505" s="1" t="s">
        <v>79</v>
      </c>
      <c r="B505" s="4">
        <f>(B504/$G$6)</f>
        <v>86.328947368421069</v>
      </c>
      <c r="C505" s="4">
        <f>(C504/$C$6)</f>
        <v>11.608888292158968</v>
      </c>
      <c r="D505" s="4">
        <f>D504/31*$D$5</f>
        <v>7.1301479505214642</v>
      </c>
      <c r="E505" s="4">
        <f>E504/14*$E$5</f>
        <v>24.642857142857139</v>
      </c>
      <c r="F505" s="132" t="s">
        <v>104</v>
      </c>
    </row>
    <row r="506" spans="1:9">
      <c r="A506" s="23" t="s">
        <v>56</v>
      </c>
      <c r="B506" s="24">
        <f>B505</f>
        <v>86.328947368421069</v>
      </c>
      <c r="C506" s="24">
        <f>C505</f>
        <v>11.608888292158968</v>
      </c>
      <c r="D506" s="24">
        <f>D505</f>
        <v>7.1301479505214642</v>
      </c>
      <c r="E506" s="24">
        <f>E505</f>
        <v>24.642857142857139</v>
      </c>
      <c r="F506" s="35">
        <v>16</v>
      </c>
    </row>
    <row r="507" spans="1:9">
      <c r="A507" s="23"/>
      <c r="B507" s="24"/>
      <c r="C507" s="24"/>
      <c r="E507" s="24"/>
      <c r="F507" s="35"/>
    </row>
    <row r="509" spans="1:9">
      <c r="A509" s="3" t="s">
        <v>292</v>
      </c>
    </row>
    <row r="510" spans="1:9">
      <c r="A510" s="3" t="s">
        <v>16</v>
      </c>
      <c r="B510" s="182">
        <v>45155</v>
      </c>
      <c r="C510" s="182"/>
      <c r="D510" s="182"/>
      <c r="E510" s="9">
        <v>45153</v>
      </c>
      <c r="F510" s="1" t="s">
        <v>40</v>
      </c>
      <c r="G510" s="21" t="s">
        <v>36</v>
      </c>
      <c r="H510" s="21" t="s">
        <v>212</v>
      </c>
      <c r="I510" s="21" t="s">
        <v>310</v>
      </c>
    </row>
    <row r="511" spans="1:9">
      <c r="A511" s="3" t="s">
        <v>101</v>
      </c>
      <c r="B511" s="1">
        <v>130</v>
      </c>
      <c r="C511" s="1">
        <f>B511/3</f>
        <v>43.333333333333336</v>
      </c>
      <c r="D511" s="1">
        <v>6</v>
      </c>
      <c r="E511" s="1">
        <v>13</v>
      </c>
      <c r="F511" s="1">
        <f>B511+C511</f>
        <v>173.33333333333334</v>
      </c>
      <c r="G511" s="22">
        <f>(B514+C514)/D514</f>
        <v>28.888888888888889</v>
      </c>
      <c r="H511" s="22">
        <f>(B514+C514)/E514</f>
        <v>7.8195488721804507</v>
      </c>
      <c r="I511" s="22">
        <f>E514/D514</f>
        <v>3.6944444444444446</v>
      </c>
    </row>
    <row r="512" spans="1:9">
      <c r="A512" s="136" t="s">
        <v>168</v>
      </c>
      <c r="B512" s="136">
        <v>6.65</v>
      </c>
      <c r="C512" s="136">
        <v>6.65</v>
      </c>
      <c r="D512" s="136">
        <v>6.65</v>
      </c>
      <c r="E512" s="136">
        <f>39/5</f>
        <v>7.8</v>
      </c>
      <c r="F512" s="137" t="s">
        <v>84</v>
      </c>
    </row>
    <row r="513" spans="1:9">
      <c r="A513" s="1" t="s">
        <v>169</v>
      </c>
      <c r="B513" s="26">
        <v>10</v>
      </c>
      <c r="C513" s="26">
        <v>10</v>
      </c>
      <c r="D513" s="26">
        <v>10</v>
      </c>
      <c r="E513" s="26">
        <v>5</v>
      </c>
      <c r="F513" s="25" t="s">
        <v>87</v>
      </c>
    </row>
    <row r="514" spans="1:9">
      <c r="A514" s="1" t="s">
        <v>78</v>
      </c>
      <c r="B514" s="77">
        <f>B511*18*0.001/(B512*B513*0.001)</f>
        <v>35.187969924812023</v>
      </c>
      <c r="C514" s="77">
        <f>C511*18*0.001/(C512*C513*0.001)</f>
        <v>11.729323308270676</v>
      </c>
      <c r="D514" s="77">
        <f>D511*18*0.001/(D512*D513*0.001)</f>
        <v>1.6240601503759398</v>
      </c>
      <c r="E514" s="77">
        <f>E511*18*0.001/(E512*E513*0.001)</f>
        <v>6</v>
      </c>
    </row>
    <row r="515" spans="1:9" ht="18">
      <c r="A515" s="1" t="s">
        <v>79</v>
      </c>
      <c r="B515" s="4">
        <f>(B514/$G$6)</f>
        <v>74.818421052631578</v>
      </c>
      <c r="C515" s="4">
        <f>(C514/$C$6)</f>
        <v>10.061036519871104</v>
      </c>
      <c r="D515" s="4">
        <f>D514/31*$D$5</f>
        <v>7.1301479505214642</v>
      </c>
      <c r="E515" s="4">
        <f>E514/14*$E$5</f>
        <v>29.571428571428569</v>
      </c>
      <c r="F515" s="132" t="s">
        <v>104</v>
      </c>
    </row>
    <row r="516" spans="1:9">
      <c r="A516" s="23" t="s">
        <v>56</v>
      </c>
      <c r="B516" s="24">
        <f>B515</f>
        <v>74.818421052631578</v>
      </c>
      <c r="C516" s="24">
        <f>C515</f>
        <v>10.061036519871104</v>
      </c>
      <c r="D516" s="24">
        <f>D515</f>
        <v>7.1301479505214642</v>
      </c>
      <c r="E516" s="24">
        <f>E515</f>
        <v>29.571428571428569</v>
      </c>
      <c r="F516" s="35">
        <v>16</v>
      </c>
    </row>
    <row r="517" spans="1:9">
      <c r="A517" s="23"/>
      <c r="B517" s="24"/>
      <c r="C517" s="24"/>
      <c r="E517" s="24"/>
      <c r="F517" s="35"/>
    </row>
    <row r="518" spans="1:9">
      <c r="A518" s="3" t="s">
        <v>292</v>
      </c>
    </row>
    <row r="519" spans="1:9">
      <c r="A519" s="3" t="s">
        <v>16</v>
      </c>
      <c r="B519" s="182">
        <v>45155</v>
      </c>
      <c r="C519" s="182"/>
      <c r="D519" s="182"/>
      <c r="E519" s="9">
        <v>45155</v>
      </c>
      <c r="F519" s="1" t="s">
        <v>40</v>
      </c>
      <c r="G519" s="21" t="s">
        <v>36</v>
      </c>
      <c r="H519" s="21" t="s">
        <v>212</v>
      </c>
      <c r="I519" s="21" t="s">
        <v>310</v>
      </c>
    </row>
    <row r="520" spans="1:9">
      <c r="A520" s="3" t="s">
        <v>101</v>
      </c>
      <c r="B520" s="1">
        <v>130</v>
      </c>
      <c r="C520" s="1">
        <f>B520/3</f>
        <v>43.333333333333336</v>
      </c>
      <c r="D520" s="1">
        <v>6</v>
      </c>
      <c r="E520" s="1">
        <v>15</v>
      </c>
      <c r="F520" s="1">
        <f>B520+C520</f>
        <v>173.33333333333334</v>
      </c>
      <c r="G520" s="22">
        <f>(B523+C523)/D523</f>
        <v>28.888888888888889</v>
      </c>
      <c r="H520" s="22">
        <f>(B523+C523)/E523</f>
        <v>6.776942355889723</v>
      </c>
      <c r="I520" s="22">
        <f>E523/D523</f>
        <v>4.2628205128205137</v>
      </c>
    </row>
    <row r="521" spans="1:9">
      <c r="A521" s="136" t="s">
        <v>168</v>
      </c>
      <c r="B521" s="136">
        <v>6.65</v>
      </c>
      <c r="C521" s="136">
        <v>6.65</v>
      </c>
      <c r="D521" s="136">
        <v>6.65</v>
      </c>
      <c r="E521" s="136">
        <f>39/5</f>
        <v>7.8</v>
      </c>
      <c r="F521" s="137" t="s">
        <v>84</v>
      </c>
    </row>
    <row r="522" spans="1:9">
      <c r="A522" s="1" t="s">
        <v>169</v>
      </c>
      <c r="B522" s="26">
        <v>10</v>
      </c>
      <c r="C522" s="26">
        <v>10</v>
      </c>
      <c r="D522" s="26">
        <v>10</v>
      </c>
      <c r="E522" s="26">
        <v>5</v>
      </c>
      <c r="F522" s="25" t="s">
        <v>87</v>
      </c>
    </row>
    <row r="523" spans="1:9">
      <c r="A523" s="1" t="s">
        <v>78</v>
      </c>
      <c r="B523" s="77">
        <f>B520*18*0.001/(B521*B522*0.001)</f>
        <v>35.187969924812023</v>
      </c>
      <c r="C523" s="77">
        <f>C520*18*0.001/(C521*C522*0.001)</f>
        <v>11.729323308270676</v>
      </c>
      <c r="D523" s="77">
        <f>D520*18*0.001/(D521*D522*0.001)</f>
        <v>1.6240601503759398</v>
      </c>
      <c r="E523" s="77">
        <f>E520*18*0.001/(E521*E522*0.001)</f>
        <v>6.9230769230769234</v>
      </c>
    </row>
    <row r="524" spans="1:9" ht="18">
      <c r="A524" s="1" t="s">
        <v>79</v>
      </c>
      <c r="B524" s="4">
        <f>(B523/$G$6)</f>
        <v>74.818421052631578</v>
      </c>
      <c r="C524" s="4">
        <f>(C523/$C$6)</f>
        <v>10.061036519871104</v>
      </c>
      <c r="D524" s="4">
        <f>D523/31*$D$5</f>
        <v>7.1301479505214642</v>
      </c>
      <c r="E524" s="4">
        <f>E523/14*$E$5</f>
        <v>34.120879120879124</v>
      </c>
      <c r="F524" s="132" t="s">
        <v>104</v>
      </c>
    </row>
    <row r="525" spans="1:9">
      <c r="A525" s="23" t="s">
        <v>56</v>
      </c>
      <c r="B525" s="24">
        <f>B524</f>
        <v>74.818421052631578</v>
      </c>
      <c r="C525" s="24">
        <f>C524</f>
        <v>10.061036519871104</v>
      </c>
      <c r="D525" s="24">
        <f>D524</f>
        <v>7.1301479505214642</v>
      </c>
      <c r="E525" s="24">
        <f>E524</f>
        <v>34.120879120879124</v>
      </c>
      <c r="F525" s="35">
        <v>16</v>
      </c>
    </row>
    <row r="527" spans="1:9">
      <c r="A527" s="3" t="s">
        <v>16</v>
      </c>
      <c r="B527" s="182">
        <v>45160</v>
      </c>
      <c r="C527" s="182"/>
      <c r="D527" s="182"/>
      <c r="E527" s="9">
        <v>45160</v>
      </c>
      <c r="F527" s="1" t="s">
        <v>40</v>
      </c>
      <c r="G527" s="21" t="s">
        <v>36</v>
      </c>
      <c r="H527" s="21" t="s">
        <v>212</v>
      </c>
      <c r="I527" s="21" t="s">
        <v>310</v>
      </c>
    </row>
    <row r="528" spans="1:9">
      <c r="A528" s="3" t="s">
        <v>101</v>
      </c>
      <c r="B528" s="1">
        <v>130</v>
      </c>
      <c r="C528" s="1">
        <f>B528/3</f>
        <v>43.333333333333336</v>
      </c>
      <c r="D528" s="1">
        <v>6</v>
      </c>
      <c r="E528" s="1">
        <v>18</v>
      </c>
      <c r="F528" s="1">
        <f>B528+C528</f>
        <v>173.33333333333334</v>
      </c>
      <c r="G528" s="22">
        <f>(B531+C531)/D531</f>
        <v>28.888888888888889</v>
      </c>
      <c r="H528" s="22">
        <f>(B531+C531)/E531</f>
        <v>5.6474519632414362</v>
      </c>
      <c r="I528" s="22">
        <f>E531/D531</f>
        <v>5.1153846153846159</v>
      </c>
    </row>
    <row r="529" spans="1:9">
      <c r="A529" s="136" t="s">
        <v>168</v>
      </c>
      <c r="B529" s="136">
        <v>6.65</v>
      </c>
      <c r="C529" s="136">
        <v>6.65</v>
      </c>
      <c r="D529" s="136">
        <v>6.65</v>
      </c>
      <c r="E529" s="136">
        <f>39/5</f>
        <v>7.8</v>
      </c>
      <c r="F529" s="137" t="s">
        <v>84</v>
      </c>
    </row>
    <row r="530" spans="1:9">
      <c r="A530" s="1" t="s">
        <v>169</v>
      </c>
      <c r="B530" s="26">
        <v>10</v>
      </c>
      <c r="C530" s="26">
        <v>10</v>
      </c>
      <c r="D530" s="26">
        <v>10</v>
      </c>
      <c r="E530" s="26">
        <v>5</v>
      </c>
      <c r="F530" s="25" t="s">
        <v>87</v>
      </c>
    </row>
    <row r="531" spans="1:9">
      <c r="A531" s="1" t="s">
        <v>78</v>
      </c>
      <c r="B531" s="77">
        <f>B528*18*0.001/(B529*B530*0.001)</f>
        <v>35.187969924812023</v>
      </c>
      <c r="C531" s="77">
        <f>C528*18*0.001/(C529*C530*0.001)</f>
        <v>11.729323308270676</v>
      </c>
      <c r="D531" s="77">
        <f>D528*18*0.001/(D529*D530*0.001)</f>
        <v>1.6240601503759398</v>
      </c>
      <c r="E531" s="77">
        <f>E528*18*0.001/(E529*E530*0.001)</f>
        <v>8.3076923076923084</v>
      </c>
    </row>
    <row r="532" spans="1:9" ht="18">
      <c r="A532" s="1" t="s">
        <v>79</v>
      </c>
      <c r="B532" s="4">
        <f>(B531/$G$6)</f>
        <v>74.818421052631578</v>
      </c>
      <c r="C532" s="4">
        <f>(C531/$C$6)</f>
        <v>10.061036519871104</v>
      </c>
      <c r="D532" s="4">
        <f>D531/31*$D$5</f>
        <v>7.1301479505214642</v>
      </c>
      <c r="E532" s="4">
        <f>E531/14*$E$5</f>
        <v>40.945054945054942</v>
      </c>
      <c r="F532" s="132" t="s">
        <v>104</v>
      </c>
    </row>
    <row r="533" spans="1:9">
      <c r="A533" s="23" t="s">
        <v>56</v>
      </c>
      <c r="B533" s="24">
        <f>B532</f>
        <v>74.818421052631578</v>
      </c>
      <c r="C533" s="24">
        <f>C532</f>
        <v>10.061036519871104</v>
      </c>
      <c r="D533" s="24">
        <f>D532</f>
        <v>7.1301479505214642</v>
      </c>
      <c r="E533" s="24">
        <f>E532</f>
        <v>40.945054945054942</v>
      </c>
      <c r="F533" s="35">
        <v>16</v>
      </c>
    </row>
    <row r="535" spans="1:9">
      <c r="A535" s="3" t="s">
        <v>16</v>
      </c>
      <c r="B535" s="182">
        <v>45163</v>
      </c>
      <c r="C535" s="182"/>
      <c r="D535" s="182"/>
      <c r="E535" s="9">
        <v>45163</v>
      </c>
      <c r="F535" s="1" t="s">
        <v>40</v>
      </c>
      <c r="G535" s="21" t="s">
        <v>36</v>
      </c>
      <c r="H535" s="21" t="s">
        <v>212</v>
      </c>
      <c r="I535" s="21" t="s">
        <v>310</v>
      </c>
    </row>
    <row r="536" spans="1:9">
      <c r="A536" s="3" t="s">
        <v>101</v>
      </c>
      <c r="B536" s="1">
        <v>130</v>
      </c>
      <c r="C536" s="1">
        <f>B536/3</f>
        <v>43.333333333333336</v>
      </c>
      <c r="D536" s="1">
        <v>6</v>
      </c>
      <c r="E536" s="1">
        <v>14</v>
      </c>
      <c r="F536" s="1">
        <f>B536+C536</f>
        <v>173.33333333333334</v>
      </c>
      <c r="G536" s="22">
        <f>(B539+C539)/D539</f>
        <v>28.888888888888889</v>
      </c>
      <c r="H536" s="22">
        <f>(B539+C539)/E539</f>
        <v>7.2610096670247035</v>
      </c>
      <c r="I536" s="22">
        <f>E539/D539</f>
        <v>3.9786324786324792</v>
      </c>
    </row>
    <row r="537" spans="1:9">
      <c r="A537" s="136" t="s">
        <v>168</v>
      </c>
      <c r="B537" s="136">
        <v>6.65</v>
      </c>
      <c r="C537" s="136">
        <v>6.65</v>
      </c>
      <c r="D537" s="136">
        <v>6.65</v>
      </c>
      <c r="E537" s="136">
        <f>39/5</f>
        <v>7.8</v>
      </c>
      <c r="F537" s="137" t="s">
        <v>84</v>
      </c>
    </row>
    <row r="538" spans="1:9">
      <c r="A538" s="1" t="s">
        <v>169</v>
      </c>
      <c r="B538" s="26">
        <v>10</v>
      </c>
      <c r="C538" s="26">
        <v>10</v>
      </c>
      <c r="D538" s="26">
        <v>10</v>
      </c>
      <c r="E538" s="26">
        <v>5</v>
      </c>
      <c r="F538" s="25" t="s">
        <v>87</v>
      </c>
    </row>
    <row r="539" spans="1:9">
      <c r="A539" s="1" t="s">
        <v>78</v>
      </c>
      <c r="B539" s="77">
        <f>B536*18*0.001/(B537*B538*0.001)</f>
        <v>35.187969924812023</v>
      </c>
      <c r="C539" s="77">
        <f>C536*18*0.001/(C537*C538*0.001)</f>
        <v>11.729323308270676</v>
      </c>
      <c r="D539" s="77">
        <f>D536*18*0.001/(D537*D538*0.001)</f>
        <v>1.6240601503759398</v>
      </c>
      <c r="E539" s="77">
        <f>E536*18*0.001/(E537*E538*0.001)</f>
        <v>6.4615384615384617</v>
      </c>
    </row>
    <row r="540" spans="1:9" ht="18">
      <c r="A540" s="1" t="s">
        <v>79</v>
      </c>
      <c r="B540" s="4">
        <f>(B539/$G$6)</f>
        <v>74.818421052631578</v>
      </c>
      <c r="C540" s="4">
        <f>(C539/$C$6)</f>
        <v>10.061036519871104</v>
      </c>
      <c r="D540" s="4">
        <f>D539/31*$D$5</f>
        <v>7.1301479505214642</v>
      </c>
      <c r="E540" s="4">
        <f>E539/14*$E$5</f>
        <v>31.846153846153847</v>
      </c>
      <c r="F540" s="132" t="s">
        <v>104</v>
      </c>
    </row>
    <row r="541" spans="1:9">
      <c r="A541" s="23" t="s">
        <v>56</v>
      </c>
      <c r="B541" s="24">
        <f>B540</f>
        <v>74.818421052631578</v>
      </c>
      <c r="C541" s="24">
        <f>C540</f>
        <v>10.061036519871104</v>
      </c>
      <c r="D541" s="24">
        <f>D540</f>
        <v>7.1301479505214642</v>
      </c>
      <c r="E541" s="24">
        <f>E540</f>
        <v>31.846153846153847</v>
      </c>
      <c r="F541" s="35">
        <v>16</v>
      </c>
    </row>
    <row r="543" spans="1:9">
      <c r="A543" s="3" t="s">
        <v>16</v>
      </c>
      <c r="B543" s="182">
        <v>45163</v>
      </c>
      <c r="C543" s="182"/>
      <c r="D543" s="182"/>
      <c r="E543" s="9">
        <v>45167</v>
      </c>
      <c r="F543" s="1" t="s">
        <v>40</v>
      </c>
      <c r="G543" s="21" t="s">
        <v>36</v>
      </c>
      <c r="H543" s="21" t="s">
        <v>212</v>
      </c>
      <c r="I543" s="21" t="s">
        <v>310</v>
      </c>
    </row>
    <row r="544" spans="1:9">
      <c r="A544" s="3" t="s">
        <v>101</v>
      </c>
      <c r="B544" s="1">
        <v>130</v>
      </c>
      <c r="C544" s="1">
        <f>B544/3</f>
        <v>43.333333333333336</v>
      </c>
      <c r="D544" s="1">
        <v>6</v>
      </c>
      <c r="E544" s="1">
        <v>15</v>
      </c>
      <c r="F544" s="1">
        <f>B544+C544</f>
        <v>173.33333333333334</v>
      </c>
      <c r="G544" s="22">
        <f>(B547+C547)/D547</f>
        <v>28.888888888888889</v>
      </c>
      <c r="H544" s="22">
        <f>(B547+C547)/E547</f>
        <v>6.776942355889723</v>
      </c>
      <c r="I544" s="22">
        <f>E547/D547</f>
        <v>4.2628205128205137</v>
      </c>
    </row>
    <row r="545" spans="1:9">
      <c r="A545" s="136" t="s">
        <v>168</v>
      </c>
      <c r="B545" s="136">
        <v>6.65</v>
      </c>
      <c r="C545" s="136">
        <v>6.65</v>
      </c>
      <c r="D545" s="136">
        <v>6.65</v>
      </c>
      <c r="E545" s="136">
        <f>39/5</f>
        <v>7.8</v>
      </c>
      <c r="F545" s="137" t="s">
        <v>84</v>
      </c>
    </row>
    <row r="546" spans="1:9">
      <c r="A546" s="1" t="s">
        <v>169</v>
      </c>
      <c r="B546" s="26">
        <v>10</v>
      </c>
      <c r="C546" s="26">
        <v>10</v>
      </c>
      <c r="D546" s="26">
        <v>10</v>
      </c>
      <c r="E546" s="26">
        <v>5</v>
      </c>
      <c r="F546" s="25" t="s">
        <v>87</v>
      </c>
    </row>
    <row r="547" spans="1:9">
      <c r="A547" s="1" t="s">
        <v>78</v>
      </c>
      <c r="B547" s="77">
        <f>B544*18*0.001/(B545*B546*0.001)</f>
        <v>35.187969924812023</v>
      </c>
      <c r="C547" s="77">
        <f>C544*18*0.001/(C545*C546*0.001)</f>
        <v>11.729323308270676</v>
      </c>
      <c r="D547" s="77">
        <f>D544*18*0.001/(D545*D546*0.001)</f>
        <v>1.6240601503759398</v>
      </c>
      <c r="E547" s="77">
        <f>E544*18*0.001/(E545*E546*0.001)</f>
        <v>6.9230769230769234</v>
      </c>
    </row>
    <row r="548" spans="1:9" ht="18">
      <c r="A548" s="1" t="s">
        <v>79</v>
      </c>
      <c r="B548" s="4">
        <f>(B547/$G$6)</f>
        <v>74.818421052631578</v>
      </c>
      <c r="C548" s="4">
        <f>(C547/$C$6)</f>
        <v>10.061036519871104</v>
      </c>
      <c r="D548" s="4">
        <f>D547/31*$D$5</f>
        <v>7.1301479505214642</v>
      </c>
      <c r="E548" s="4">
        <f>E547/14*$E$5</f>
        <v>34.120879120879124</v>
      </c>
      <c r="F548" s="132" t="s">
        <v>104</v>
      </c>
    </row>
    <row r="549" spans="1:9">
      <c r="A549" s="23" t="s">
        <v>56</v>
      </c>
      <c r="B549" s="24">
        <f>B548</f>
        <v>74.818421052631578</v>
      </c>
      <c r="C549" s="24">
        <f>C548</f>
        <v>10.061036519871104</v>
      </c>
      <c r="D549" s="24">
        <f>D548</f>
        <v>7.1301479505214642</v>
      </c>
      <c r="E549" s="24">
        <f>E548</f>
        <v>34.120879120879124</v>
      </c>
      <c r="F549" s="35">
        <v>16</v>
      </c>
    </row>
    <row r="551" spans="1:9">
      <c r="A551" s="3" t="s">
        <v>16</v>
      </c>
      <c r="B551" s="182" t="s">
        <v>308</v>
      </c>
      <c r="C551" s="182"/>
      <c r="D551" s="182"/>
      <c r="E551" s="9">
        <v>45170</v>
      </c>
      <c r="F551" s="1" t="s">
        <v>40</v>
      </c>
      <c r="G551" s="21" t="s">
        <v>36</v>
      </c>
      <c r="H551" s="21" t="s">
        <v>212</v>
      </c>
      <c r="I551" s="21" t="s">
        <v>310</v>
      </c>
    </row>
    <row r="552" spans="1:9">
      <c r="A552" s="3" t="s">
        <v>101</v>
      </c>
      <c r="B552" s="1">
        <v>130</v>
      </c>
      <c r="C552" s="1">
        <f>B552/3</f>
        <v>43.333333333333336</v>
      </c>
      <c r="D552" s="1">
        <v>6</v>
      </c>
      <c r="E552" s="1">
        <v>15</v>
      </c>
      <c r="F552" s="1">
        <f>B552+C552</f>
        <v>173.33333333333334</v>
      </c>
      <c r="G552" s="22">
        <f>(B555+C555)/D555</f>
        <v>28.888888888888889</v>
      </c>
      <c r="H552" s="22">
        <f>(B555+C555)/E555</f>
        <v>7.5111111111111111</v>
      </c>
      <c r="I552" s="22">
        <f>E555/D555</f>
        <v>3.8461538461538463</v>
      </c>
    </row>
    <row r="553" spans="1:9">
      <c r="A553" s="136" t="s">
        <v>168</v>
      </c>
      <c r="B553" s="136">
        <v>6</v>
      </c>
      <c r="C553" s="136">
        <v>6</v>
      </c>
      <c r="D553" s="136">
        <v>6</v>
      </c>
      <c r="E553" s="136">
        <v>7.8</v>
      </c>
      <c r="F553" s="137" t="s">
        <v>84</v>
      </c>
    </row>
    <row r="554" spans="1:9">
      <c r="A554" s="1" t="s">
        <v>169</v>
      </c>
      <c r="B554" s="26">
        <v>10</v>
      </c>
      <c r="C554" s="26">
        <v>10</v>
      </c>
      <c r="D554" s="26">
        <v>10</v>
      </c>
      <c r="E554" s="26">
        <v>5</v>
      </c>
      <c r="F554" s="25" t="s">
        <v>87</v>
      </c>
    </row>
    <row r="555" spans="1:9">
      <c r="A555" s="1" t="s">
        <v>78</v>
      </c>
      <c r="B555" s="77">
        <f>B552*18*0.001/(B553*B554*0.001)</f>
        <v>39</v>
      </c>
      <c r="C555" s="77">
        <f>C552*18*0.001/(C553*C554*0.001)</f>
        <v>13.000000000000002</v>
      </c>
      <c r="D555" s="77">
        <f>D552*18*0.001/(D553*D554*0.001)</f>
        <v>1.8</v>
      </c>
      <c r="E555" s="77">
        <f>E552*18*0.001/(E553*E554*0.001)</f>
        <v>6.9230769230769234</v>
      </c>
    </row>
    <row r="556" spans="1:9" ht="18">
      <c r="A556" s="1" t="s">
        <v>79</v>
      </c>
      <c r="B556" s="4">
        <f>(B555/$G$6)</f>
        <v>82.923750000000013</v>
      </c>
      <c r="C556" s="4">
        <f>(C555/$C$6)</f>
        <v>11.150982142857142</v>
      </c>
      <c r="D556" s="4">
        <f>D555/31*$D$5</f>
        <v>7.9025806451612901</v>
      </c>
      <c r="E556" s="4">
        <f>E555/14*$E$5</f>
        <v>34.120879120879124</v>
      </c>
      <c r="F556" s="132" t="s">
        <v>104</v>
      </c>
    </row>
    <row r="557" spans="1:9">
      <c r="A557" s="23" t="s">
        <v>56</v>
      </c>
      <c r="B557" s="24">
        <f>B556</f>
        <v>82.923750000000013</v>
      </c>
      <c r="C557" s="24">
        <f>C556</f>
        <v>11.150982142857142</v>
      </c>
      <c r="D557" s="24">
        <f>D556</f>
        <v>7.9025806451612901</v>
      </c>
      <c r="E557" s="24">
        <f>E556</f>
        <v>34.120879120879124</v>
      </c>
      <c r="F557" s="35">
        <v>16</v>
      </c>
    </row>
    <row r="559" spans="1:9">
      <c r="A559" s="3" t="s">
        <v>16</v>
      </c>
      <c r="B559" s="182">
        <v>45175</v>
      </c>
      <c r="C559" s="182"/>
      <c r="D559" s="182"/>
      <c r="E559" s="9">
        <v>45175</v>
      </c>
      <c r="F559" s="1" t="s">
        <v>40</v>
      </c>
      <c r="G559" s="21" t="s">
        <v>36</v>
      </c>
      <c r="H559" s="21" t="s">
        <v>212</v>
      </c>
      <c r="I559" s="21" t="s">
        <v>310</v>
      </c>
    </row>
    <row r="560" spans="1:9">
      <c r="A560" s="3" t="s">
        <v>101</v>
      </c>
      <c r="B560" s="1">
        <v>130</v>
      </c>
      <c r="C560" s="1">
        <f>B560/3</f>
        <v>43.333333333333336</v>
      </c>
      <c r="D560" s="1">
        <v>6</v>
      </c>
      <c r="E560" s="1">
        <v>15</v>
      </c>
      <c r="F560" s="1">
        <f>B560+C560</f>
        <v>173.33333333333334</v>
      </c>
      <c r="G560" s="22">
        <f>(B563+C563)/D563</f>
        <v>28.888888888888893</v>
      </c>
      <c r="H560" s="22">
        <f>(B563+C563)/E563</f>
        <v>7.0222222222222221</v>
      </c>
      <c r="I560" s="22">
        <f>E563/D563</f>
        <v>4.113924050632912</v>
      </c>
    </row>
    <row r="561" spans="1:9">
      <c r="A561" s="136" t="s">
        <v>168</v>
      </c>
      <c r="B561" s="136">
        <v>6.5</v>
      </c>
      <c r="C561" s="136">
        <v>6.5</v>
      </c>
      <c r="D561" s="136">
        <v>6.5</v>
      </c>
      <c r="E561" s="136">
        <v>7.9</v>
      </c>
      <c r="F561" s="137" t="s">
        <v>84</v>
      </c>
    </row>
    <row r="562" spans="1:9">
      <c r="A562" s="1" t="s">
        <v>169</v>
      </c>
      <c r="B562" s="26">
        <v>10</v>
      </c>
      <c r="C562" s="26">
        <v>10</v>
      </c>
      <c r="D562" s="26">
        <v>10</v>
      </c>
      <c r="E562" s="26">
        <v>5</v>
      </c>
      <c r="F562" s="25" t="s">
        <v>87</v>
      </c>
    </row>
    <row r="563" spans="1:9">
      <c r="A563" s="1" t="s">
        <v>78</v>
      </c>
      <c r="B563" s="77">
        <f>B560*18*0.001/(B561*B562*0.001)</f>
        <v>36</v>
      </c>
      <c r="C563" s="77">
        <f>C560*18*0.001/(C561*C562*0.001)</f>
        <v>12</v>
      </c>
      <c r="D563" s="77">
        <f>D560*18*0.001/(D561*D562*0.001)</f>
        <v>1.6615384615384614</v>
      </c>
      <c r="E563" s="77">
        <f>E560*18*0.001/(E561*E562*0.001)</f>
        <v>6.8354430379746836</v>
      </c>
    </row>
    <row r="564" spans="1:9" ht="18">
      <c r="A564" s="1" t="s">
        <v>79</v>
      </c>
      <c r="B564" s="4">
        <f>(B563/$G$6)</f>
        <v>76.545000000000016</v>
      </c>
      <c r="C564" s="4">
        <f>(C563/$C$6)</f>
        <v>10.293214285714285</v>
      </c>
      <c r="D564" s="4">
        <f>D563/31*$D$5</f>
        <v>7.2946898263027284</v>
      </c>
      <c r="E564" s="4">
        <f>E563/14*$E$5</f>
        <v>33.688969258589509</v>
      </c>
      <c r="F564" s="132" t="s">
        <v>104</v>
      </c>
    </row>
    <row r="565" spans="1:9">
      <c r="A565" s="23" t="s">
        <v>56</v>
      </c>
      <c r="B565" s="24">
        <f>B564</f>
        <v>76.545000000000016</v>
      </c>
      <c r="C565" s="24">
        <f>C564</f>
        <v>10.293214285714285</v>
      </c>
      <c r="D565" s="24">
        <f>D564</f>
        <v>7.2946898263027284</v>
      </c>
      <c r="E565" s="24">
        <f>E564</f>
        <v>33.688969258589509</v>
      </c>
      <c r="F565" s="35">
        <v>16</v>
      </c>
    </row>
    <row r="567" spans="1:9">
      <c r="A567" s="3" t="s">
        <v>16</v>
      </c>
      <c r="B567" s="182">
        <v>45180</v>
      </c>
      <c r="C567" s="182"/>
      <c r="D567" s="182"/>
      <c r="E567" s="9">
        <v>45180</v>
      </c>
      <c r="F567" s="1" t="s">
        <v>40</v>
      </c>
      <c r="G567" s="21" t="s">
        <v>36</v>
      </c>
      <c r="H567" s="21" t="s">
        <v>212</v>
      </c>
      <c r="I567" s="21" t="s">
        <v>310</v>
      </c>
    </row>
    <row r="568" spans="1:9">
      <c r="A568" s="3" t="s">
        <v>101</v>
      </c>
      <c r="B568" s="1">
        <v>130</v>
      </c>
      <c r="C568" s="1">
        <f>B568/3</f>
        <v>43.333333333333336</v>
      </c>
      <c r="D568" s="1">
        <v>6</v>
      </c>
      <c r="E568" s="1">
        <v>15</v>
      </c>
      <c r="F568" s="1">
        <f>B568+C568</f>
        <v>173.33333333333334</v>
      </c>
      <c r="G568" s="22">
        <f>(B571+C571)/D571</f>
        <v>28.888888888888893</v>
      </c>
      <c r="H568" s="22">
        <f>(B571+C571)/E571</f>
        <v>6.9333333333333327</v>
      </c>
      <c r="I568" s="22">
        <f>E571/D571</f>
        <v>4.166666666666667</v>
      </c>
    </row>
    <row r="569" spans="1:9">
      <c r="A569" s="136" t="s">
        <v>168</v>
      </c>
      <c r="B569" s="136">
        <v>6.5</v>
      </c>
      <c r="C569" s="136">
        <v>6.5</v>
      </c>
      <c r="D569" s="136">
        <v>6.5</v>
      </c>
      <c r="E569" s="136">
        <f>39/5</f>
        <v>7.8</v>
      </c>
      <c r="F569" s="137" t="s">
        <v>84</v>
      </c>
    </row>
    <row r="570" spans="1:9">
      <c r="A570" s="1" t="s">
        <v>169</v>
      </c>
      <c r="B570" s="26">
        <v>10</v>
      </c>
      <c r="C570" s="26">
        <v>10</v>
      </c>
      <c r="D570" s="26">
        <v>10</v>
      </c>
      <c r="E570" s="26">
        <v>5</v>
      </c>
      <c r="F570" s="25" t="s">
        <v>87</v>
      </c>
    </row>
    <row r="571" spans="1:9">
      <c r="A571" s="1" t="s">
        <v>78</v>
      </c>
      <c r="B571" s="77">
        <f>B568*18*0.001/(B569*B570*0.001)</f>
        <v>36</v>
      </c>
      <c r="C571" s="77">
        <f>C568*18*0.001/(C569*C570*0.001)</f>
        <v>12</v>
      </c>
      <c r="D571" s="77">
        <f>D568*18*0.001/(D569*D570*0.001)</f>
        <v>1.6615384615384614</v>
      </c>
      <c r="E571" s="77">
        <f>E568*18*0.001/(E569*E570*0.001)</f>
        <v>6.9230769230769234</v>
      </c>
    </row>
    <row r="572" spans="1:9" ht="18">
      <c r="A572" s="1" t="s">
        <v>79</v>
      </c>
      <c r="B572" s="4">
        <f>(B571/$G$6)</f>
        <v>76.545000000000016</v>
      </c>
      <c r="C572" s="4">
        <f>(C571/$C$6)</f>
        <v>10.293214285714285</v>
      </c>
      <c r="D572" s="4">
        <f>D571/31*$D$5</f>
        <v>7.2946898263027284</v>
      </c>
      <c r="E572" s="4">
        <f>E571/14*$E$5</f>
        <v>34.120879120879124</v>
      </c>
      <c r="F572" s="132" t="s">
        <v>104</v>
      </c>
    </row>
    <row r="573" spans="1:9">
      <c r="A573" s="23" t="s">
        <v>56</v>
      </c>
      <c r="B573" s="24">
        <f>B572</f>
        <v>76.545000000000016</v>
      </c>
      <c r="C573" s="24">
        <f>C572</f>
        <v>10.293214285714285</v>
      </c>
      <c r="D573" s="24">
        <f>D572</f>
        <v>7.2946898263027284</v>
      </c>
      <c r="E573" s="24">
        <f>E572</f>
        <v>34.120879120879124</v>
      </c>
      <c r="F573" s="35">
        <v>16</v>
      </c>
    </row>
    <row r="574" spans="1:9">
      <c r="A574" s="3" t="s">
        <v>309</v>
      </c>
    </row>
    <row r="575" spans="1:9">
      <c r="A575" s="3" t="s">
        <v>16</v>
      </c>
      <c r="B575" s="182">
        <v>45184</v>
      </c>
      <c r="C575" s="182"/>
      <c r="D575" s="182"/>
      <c r="E575" s="9">
        <v>45184</v>
      </c>
      <c r="F575" s="1" t="s">
        <v>40</v>
      </c>
      <c r="G575" s="21" t="s">
        <v>36</v>
      </c>
      <c r="H575" s="21" t="s">
        <v>212</v>
      </c>
      <c r="I575" s="21" t="s">
        <v>310</v>
      </c>
    </row>
    <row r="576" spans="1:9">
      <c r="A576" s="3" t="s">
        <v>101</v>
      </c>
      <c r="B576" s="1">
        <v>138</v>
      </c>
      <c r="C576" s="1">
        <f>B576/3</f>
        <v>46</v>
      </c>
      <c r="D576" s="1">
        <v>6</v>
      </c>
      <c r="E576" s="1">
        <v>15</v>
      </c>
      <c r="F576" s="1">
        <f>B576+C576</f>
        <v>184</v>
      </c>
      <c r="G576" s="22">
        <f>(B579+C579)/D579</f>
        <v>30.666666666666668</v>
      </c>
      <c r="H576" s="22">
        <f>(B579+C579)/E579</f>
        <v>7.3204301075268807</v>
      </c>
      <c r="I576" s="22">
        <f>E579/D579</f>
        <v>4.1891891891891895</v>
      </c>
    </row>
    <row r="577" spans="1:9">
      <c r="A577" s="136" t="s">
        <v>168</v>
      </c>
      <c r="B577" s="136">
        <v>6.2</v>
      </c>
      <c r="C577" s="136">
        <v>6.2</v>
      </c>
      <c r="D577" s="136">
        <v>6.2</v>
      </c>
      <c r="E577" s="41">
        <f>3.7*2</f>
        <v>7.4</v>
      </c>
      <c r="F577" s="137" t="s">
        <v>84</v>
      </c>
    </row>
    <row r="578" spans="1:9">
      <c r="A578" s="1" t="s">
        <v>169</v>
      </c>
      <c r="B578" s="26">
        <v>10</v>
      </c>
      <c r="C578" s="26">
        <v>10</v>
      </c>
      <c r="D578" s="26">
        <v>10</v>
      </c>
      <c r="E578" s="1">
        <v>5</v>
      </c>
      <c r="F578" s="25" t="s">
        <v>87</v>
      </c>
    </row>
    <row r="579" spans="1:9">
      <c r="A579" s="1" t="s">
        <v>78</v>
      </c>
      <c r="B579" s="77">
        <f>B576*18*0.001/(B577*B578*0.001)</f>
        <v>40.064516129032256</v>
      </c>
      <c r="C579" s="77">
        <f>C576*18*0.001/(C577*C578*0.001)</f>
        <v>13.35483870967742</v>
      </c>
      <c r="D579" s="77">
        <f>D576*18*0.001/(D577*D578*0.001)</f>
        <v>1.7419354838709677</v>
      </c>
      <c r="E579" s="77">
        <f>E576*18*0.001/(E577*E578*0.001)</f>
        <v>7.2972972972972983</v>
      </c>
    </row>
    <row r="580" spans="1:9" ht="18">
      <c r="A580" s="1" t="s">
        <v>79</v>
      </c>
      <c r="B580" s="4">
        <f>(B579/$G$6)</f>
        <v>85.187177419354853</v>
      </c>
      <c r="C580" s="4">
        <f>(C579/$C$6)</f>
        <v>11.455351382488479</v>
      </c>
      <c r="D580" s="4">
        <f>D579/31*$D$5</f>
        <v>7.6476586888657643</v>
      </c>
      <c r="E580" s="4">
        <f>E579/14*$E$5</f>
        <v>35.965250965250974</v>
      </c>
      <c r="F580" s="132" t="s">
        <v>104</v>
      </c>
    </row>
    <row r="581" spans="1:9">
      <c r="A581" s="23" t="s">
        <v>56</v>
      </c>
      <c r="B581" s="24">
        <f>B580</f>
        <v>85.187177419354853</v>
      </c>
      <c r="C581" s="24">
        <f>C580</f>
        <v>11.455351382488479</v>
      </c>
      <c r="D581" s="24">
        <f>D580</f>
        <v>7.6476586888657643</v>
      </c>
      <c r="E581" s="24">
        <f>E580</f>
        <v>35.965250965250974</v>
      </c>
      <c r="F581" s="35">
        <v>16</v>
      </c>
    </row>
    <row r="583" spans="1:9">
      <c r="A583" s="3" t="s">
        <v>16</v>
      </c>
      <c r="B583" s="182">
        <v>45188</v>
      </c>
      <c r="C583" s="182"/>
      <c r="D583" s="182"/>
      <c r="E583" s="9">
        <v>45188</v>
      </c>
      <c r="F583" s="1" t="s">
        <v>40</v>
      </c>
      <c r="G583" s="21" t="s">
        <v>36</v>
      </c>
      <c r="H583" s="21" t="s">
        <v>212</v>
      </c>
      <c r="I583" s="21" t="s">
        <v>310</v>
      </c>
    </row>
    <row r="584" spans="1:9">
      <c r="A584" s="3" t="s">
        <v>101</v>
      </c>
      <c r="B584" s="1">
        <v>140</v>
      </c>
      <c r="C584" s="1">
        <f>B584/3</f>
        <v>46.666666666666664</v>
      </c>
      <c r="D584" s="1">
        <v>6</v>
      </c>
      <c r="E584" s="1">
        <v>15</v>
      </c>
      <c r="F584" s="1">
        <f>B584+C584</f>
        <v>186.66666666666666</v>
      </c>
      <c r="G584" s="22">
        <f>(B587+C587)/D587</f>
        <v>31.111111111111111</v>
      </c>
      <c r="H584" s="22">
        <f>(B587+C587)/E587</f>
        <v>7.8814814814814813</v>
      </c>
      <c r="I584" s="22">
        <f>E587/D587</f>
        <v>3.9473684210526319</v>
      </c>
    </row>
    <row r="585" spans="1:9">
      <c r="A585" s="136" t="s">
        <v>168</v>
      </c>
      <c r="B585" s="136">
        <v>6</v>
      </c>
      <c r="C585" s="136">
        <v>6</v>
      </c>
      <c r="D585" s="136">
        <v>6</v>
      </c>
      <c r="E585" s="136">
        <f>38/5</f>
        <v>7.6</v>
      </c>
      <c r="F585" s="137" t="s">
        <v>84</v>
      </c>
    </row>
    <row r="586" spans="1:9">
      <c r="A586" s="1" t="s">
        <v>169</v>
      </c>
      <c r="B586" s="26">
        <v>10</v>
      </c>
      <c r="C586" s="26">
        <v>10</v>
      </c>
      <c r="D586" s="26">
        <v>10</v>
      </c>
      <c r="E586" s="26">
        <v>5</v>
      </c>
      <c r="F586" s="25" t="s">
        <v>87</v>
      </c>
    </row>
    <row r="587" spans="1:9">
      <c r="A587" s="1" t="s">
        <v>78</v>
      </c>
      <c r="B587" s="73">
        <f>B584*18*0.001/(B585*B586*0.001)</f>
        <v>42</v>
      </c>
      <c r="C587" s="73">
        <f>C584*18*0.001/(C585*C586*0.001)</f>
        <v>14</v>
      </c>
      <c r="D587" s="73">
        <f>D584*18*0.001/(D585*D586*0.001)</f>
        <v>1.8</v>
      </c>
      <c r="E587" s="73">
        <f>E584*18*0.001/(E585*E586*0.001)</f>
        <v>7.1052631578947372</v>
      </c>
    </row>
    <row r="588" spans="1:9" ht="18">
      <c r="A588" s="1" t="s">
        <v>79</v>
      </c>
      <c r="B588" s="4">
        <f>(B587/$G$6)</f>
        <v>89.302500000000009</v>
      </c>
      <c r="C588" s="4">
        <f>(C587/$C$6)</f>
        <v>12.008749999999999</v>
      </c>
      <c r="D588" s="4">
        <f>D587/31*$D$5</f>
        <v>7.9025806451612901</v>
      </c>
      <c r="E588" s="4">
        <f>E587/14*$E$5</f>
        <v>35.018796992481207</v>
      </c>
      <c r="F588" s="132" t="s">
        <v>104</v>
      </c>
    </row>
    <row r="589" spans="1:9">
      <c r="A589" s="23" t="s">
        <v>56</v>
      </c>
      <c r="B589" s="24">
        <f>B588</f>
        <v>89.302500000000009</v>
      </c>
      <c r="C589" s="24">
        <f>C588</f>
        <v>12.008749999999999</v>
      </c>
      <c r="D589" s="24">
        <f>D588</f>
        <v>7.9025806451612901</v>
      </c>
      <c r="E589" s="24">
        <f>E588</f>
        <v>35.018796992481207</v>
      </c>
      <c r="F589" s="35">
        <v>16</v>
      </c>
    </row>
    <row r="591" spans="1:9">
      <c r="A591" s="3" t="s">
        <v>16</v>
      </c>
      <c r="B591" s="182">
        <v>45193</v>
      </c>
      <c r="C591" s="182"/>
      <c r="D591" s="182"/>
      <c r="E591" s="9">
        <v>45193</v>
      </c>
      <c r="F591" s="1" t="s">
        <v>40</v>
      </c>
      <c r="G591" s="21" t="s">
        <v>36</v>
      </c>
      <c r="H591" s="21" t="s">
        <v>212</v>
      </c>
      <c r="I591" s="21" t="s">
        <v>310</v>
      </c>
    </row>
    <row r="592" spans="1:9">
      <c r="A592" s="3" t="s">
        <v>101</v>
      </c>
      <c r="B592" s="1">
        <v>138</v>
      </c>
      <c r="C592" s="1">
        <f>B592/3</f>
        <v>46</v>
      </c>
      <c r="D592" s="1">
        <v>6</v>
      </c>
      <c r="E592" s="1">
        <v>15</v>
      </c>
      <c r="F592" s="1">
        <f>B592+C592</f>
        <v>184</v>
      </c>
      <c r="G592" s="22">
        <f>(B595+C595)/D595</f>
        <v>30.666666666666668</v>
      </c>
      <c r="H592" s="22">
        <f>(B595+C595)/E595</f>
        <v>7.7688888888888892</v>
      </c>
      <c r="I592" s="22">
        <f>E595/D595</f>
        <v>3.9473684210526319</v>
      </c>
    </row>
    <row r="593" spans="1:9">
      <c r="A593" s="136" t="s">
        <v>168</v>
      </c>
      <c r="B593" s="136">
        <v>6</v>
      </c>
      <c r="C593" s="136">
        <v>6</v>
      </c>
      <c r="D593" s="136">
        <v>6</v>
      </c>
      <c r="E593" s="136">
        <f>38/5</f>
        <v>7.6</v>
      </c>
      <c r="F593" s="137" t="s">
        <v>84</v>
      </c>
    </row>
    <row r="594" spans="1:9">
      <c r="A594" s="1" t="s">
        <v>169</v>
      </c>
      <c r="B594" s="26">
        <v>10</v>
      </c>
      <c r="C594" s="26">
        <v>10</v>
      </c>
      <c r="D594" s="26">
        <v>10</v>
      </c>
      <c r="E594" s="26">
        <v>5</v>
      </c>
      <c r="F594" s="25" t="s">
        <v>87</v>
      </c>
    </row>
    <row r="595" spans="1:9">
      <c r="A595" s="1" t="s">
        <v>78</v>
      </c>
      <c r="B595" s="73">
        <f>B592*18*0.001/(B593*B594*0.001)</f>
        <v>41.4</v>
      </c>
      <c r="C595" s="73">
        <f>C592*18*0.001/(C593*C594*0.001)</f>
        <v>13.800000000000002</v>
      </c>
      <c r="D595" s="73">
        <f>D592*18*0.001/(D593*D594*0.001)</f>
        <v>1.8</v>
      </c>
      <c r="E595" s="73">
        <f>E592*18*0.001/(E593*E594*0.001)</f>
        <v>7.1052631578947372</v>
      </c>
    </row>
    <row r="596" spans="1:9" ht="18">
      <c r="A596" s="1" t="s">
        <v>79</v>
      </c>
      <c r="B596" s="4">
        <f>(B595/$G$6)</f>
        <v>88.026750000000007</v>
      </c>
      <c r="C596" s="4">
        <f>(C595/$C$6)</f>
        <v>11.83719642857143</v>
      </c>
      <c r="D596" s="4">
        <f>D595/31*$D$5</f>
        <v>7.9025806451612901</v>
      </c>
      <c r="E596" s="4">
        <f>E595/14*$E$5</f>
        <v>35.018796992481207</v>
      </c>
      <c r="F596" s="132" t="s">
        <v>104</v>
      </c>
    </row>
    <row r="597" spans="1:9">
      <c r="A597" s="23" t="s">
        <v>56</v>
      </c>
      <c r="B597" s="24">
        <f>B596</f>
        <v>88.026750000000007</v>
      </c>
      <c r="C597" s="24">
        <f>C596</f>
        <v>11.83719642857143</v>
      </c>
      <c r="D597" s="24">
        <f>D596</f>
        <v>7.9025806451612901</v>
      </c>
      <c r="E597" s="24">
        <f>E596</f>
        <v>35.018796992481207</v>
      </c>
      <c r="F597" s="35">
        <v>16</v>
      </c>
    </row>
    <row r="599" spans="1:9">
      <c r="A599" s="3" t="s">
        <v>16</v>
      </c>
      <c r="B599" s="182"/>
      <c r="C599" s="182"/>
      <c r="D599" s="182"/>
      <c r="E599" s="9">
        <v>45196</v>
      </c>
      <c r="F599" s="1" t="s">
        <v>40</v>
      </c>
      <c r="G599" s="21" t="s">
        <v>36</v>
      </c>
      <c r="H599" s="21" t="s">
        <v>212</v>
      </c>
      <c r="I599" s="21" t="s">
        <v>310</v>
      </c>
    </row>
    <row r="600" spans="1:9">
      <c r="A600" s="3" t="s">
        <v>101</v>
      </c>
      <c r="B600" s="1"/>
      <c r="F600" s="1">
        <f>B600+C600</f>
        <v>0</v>
      </c>
      <c r="G600" s="22" t="e">
        <f>(B603+C603)/D603</f>
        <v>#DIV/0!</v>
      </c>
      <c r="H600" s="22" t="e">
        <f>(B603+C603)/E603</f>
        <v>#DIV/0!</v>
      </c>
      <c r="I600" s="22" t="e">
        <f>E603/D603</f>
        <v>#DIV/0!</v>
      </c>
    </row>
    <row r="601" spans="1:9">
      <c r="A601" s="136" t="s">
        <v>168</v>
      </c>
      <c r="B601" s="136">
        <v>6.4</v>
      </c>
      <c r="C601" s="136">
        <v>6.4</v>
      </c>
      <c r="D601" s="136">
        <v>6.4</v>
      </c>
      <c r="E601" s="136">
        <f>35/5</f>
        <v>7</v>
      </c>
      <c r="F601" s="137" t="s">
        <v>84</v>
      </c>
    </row>
    <row r="602" spans="1:9">
      <c r="A602" s="1" t="s">
        <v>169</v>
      </c>
      <c r="B602" s="26">
        <v>10</v>
      </c>
      <c r="C602" s="26">
        <v>10</v>
      </c>
      <c r="D602" s="26">
        <v>10</v>
      </c>
      <c r="E602" s="26">
        <v>5</v>
      </c>
      <c r="F602" s="25" t="s">
        <v>87</v>
      </c>
    </row>
    <row r="603" spans="1:9">
      <c r="A603" s="1" t="s">
        <v>78</v>
      </c>
      <c r="B603" s="73">
        <f>B600*18*0.001/(B601*B602*0.001)</f>
        <v>0</v>
      </c>
      <c r="C603" s="73">
        <f>C600*18*0.001/(C601*C602*0.001)</f>
        <v>0</v>
      </c>
      <c r="D603" s="73">
        <f>D600*18*0.001/(D601*D602*0.001)</f>
        <v>0</v>
      </c>
      <c r="E603" s="73">
        <f>E600*18*0.001/(E601*E602*0.001)</f>
        <v>0</v>
      </c>
    </row>
    <row r="604" spans="1:9" ht="18">
      <c r="A604" s="1" t="s">
        <v>79</v>
      </c>
      <c r="B604" s="4">
        <f>(B603/$G$6)</f>
        <v>0</v>
      </c>
      <c r="C604" s="4">
        <f>(C603/$C$6)</f>
        <v>0</v>
      </c>
      <c r="D604" s="4">
        <f>D603/31*$D$5</f>
        <v>0</v>
      </c>
      <c r="E604" s="4">
        <f>E603/14*$E$5</f>
        <v>0</v>
      </c>
      <c r="F604" s="132" t="s">
        <v>104</v>
      </c>
    </row>
    <row r="605" spans="1:9">
      <c r="A605" s="23" t="s">
        <v>56</v>
      </c>
      <c r="B605" s="24">
        <f>B604</f>
        <v>0</v>
      </c>
      <c r="C605" s="24">
        <f>C604</f>
        <v>0</v>
      </c>
      <c r="D605" s="24">
        <f>D604</f>
        <v>0</v>
      </c>
      <c r="E605" s="24">
        <f>E604</f>
        <v>0</v>
      </c>
      <c r="F605" s="35">
        <v>16</v>
      </c>
    </row>
    <row r="607" spans="1:9">
      <c r="A607" s="3" t="s">
        <v>16</v>
      </c>
      <c r="B607" s="182">
        <v>45204</v>
      </c>
      <c r="C607" s="182"/>
      <c r="D607" s="182"/>
      <c r="E607" s="9">
        <v>45204</v>
      </c>
      <c r="F607" s="1" t="s">
        <v>40</v>
      </c>
      <c r="G607" s="21" t="s">
        <v>36</v>
      </c>
      <c r="H607" s="21" t="s">
        <v>212</v>
      </c>
      <c r="I607" s="21" t="s">
        <v>213</v>
      </c>
    </row>
    <row r="608" spans="1:9">
      <c r="A608" s="3" t="s">
        <v>101</v>
      </c>
      <c r="B608" s="1">
        <v>225</v>
      </c>
      <c r="C608" s="1">
        <f>B608/3</f>
        <v>75</v>
      </c>
      <c r="D608" s="1">
        <f>6.685*4</f>
        <v>26.74</v>
      </c>
      <c r="E608" s="1">
        <v>20</v>
      </c>
      <c r="F608" s="1">
        <f>B608+C608</f>
        <v>300</v>
      </c>
      <c r="G608" s="22">
        <f>(B611+C611)/D611</f>
        <v>11.219147344801794</v>
      </c>
      <c r="H608" s="22">
        <f>(B611+C611)/E611</f>
        <v>8.9743589743589745</v>
      </c>
      <c r="I608" s="22">
        <f>E611/D611</f>
        <v>1.2501335612779141</v>
      </c>
    </row>
    <row r="609" spans="1:9">
      <c r="A609" s="136" t="s">
        <v>168</v>
      </c>
      <c r="B609" s="136">
        <v>5.85</v>
      </c>
      <c r="C609" s="136">
        <v>5.85</v>
      </c>
      <c r="D609" s="136">
        <v>5.85</v>
      </c>
      <c r="E609" s="136">
        <f>35/5</f>
        <v>7</v>
      </c>
      <c r="F609" s="137" t="s">
        <v>84</v>
      </c>
    </row>
    <row r="610" spans="1:9">
      <c r="A610" s="1" t="s">
        <v>169</v>
      </c>
      <c r="B610" s="26">
        <v>10</v>
      </c>
      <c r="C610" s="26">
        <v>10</v>
      </c>
      <c r="D610" s="26">
        <v>10</v>
      </c>
      <c r="E610" s="26">
        <v>5</v>
      </c>
      <c r="F610" s="25" t="s">
        <v>87</v>
      </c>
    </row>
    <row r="611" spans="1:9">
      <c r="A611" s="1" t="s">
        <v>78</v>
      </c>
      <c r="B611" s="73">
        <f>B608*18*0.001/(B609*B610*0.001)</f>
        <v>69.230769230769226</v>
      </c>
      <c r="C611" s="73">
        <f>C608*18*0.001/(C609*C610*0.001)</f>
        <v>23.076923076923077</v>
      </c>
      <c r="D611" s="73">
        <f>D608*18*0.001/(D609*D610*0.001)</f>
        <v>8.2276923076923083</v>
      </c>
      <c r="E611" s="73">
        <f>E608*18*0.001/(E609*E610*0.001)</f>
        <v>10.285714285714285</v>
      </c>
    </row>
    <row r="612" spans="1:9" ht="18">
      <c r="A612" s="1" t="s">
        <v>79</v>
      </c>
      <c r="B612" s="4">
        <f>(B611/$G$6)</f>
        <v>147.20192307692309</v>
      </c>
      <c r="C612" s="4">
        <f>(C611/$C$6)</f>
        <v>19.794642857142854</v>
      </c>
      <c r="D612" s="4">
        <f>D611/31*$D$5</f>
        <v>36.122223325062038</v>
      </c>
      <c r="E612" s="4">
        <f>E611/14*$E$5</f>
        <v>50.693877551020407</v>
      </c>
      <c r="F612" s="132" t="s">
        <v>104</v>
      </c>
    </row>
    <row r="613" spans="1:9">
      <c r="A613" s="23" t="s">
        <v>56</v>
      </c>
      <c r="B613" s="24">
        <f>B612</f>
        <v>147.20192307692309</v>
      </c>
      <c r="C613" s="24">
        <f>C612</f>
        <v>19.794642857142854</v>
      </c>
      <c r="D613" s="24">
        <f>D612</f>
        <v>36.122223325062038</v>
      </c>
      <c r="E613" s="24">
        <f>E612</f>
        <v>50.693877551020407</v>
      </c>
      <c r="F613" s="35">
        <v>16</v>
      </c>
    </row>
    <row r="614" spans="1:9">
      <c r="D614" s="1">
        <f>D608*2</f>
        <v>53.48</v>
      </c>
    </row>
    <row r="615" spans="1:9">
      <c r="A615" s="3" t="s">
        <v>16</v>
      </c>
      <c r="B615" s="182">
        <v>45201</v>
      </c>
      <c r="C615" s="182"/>
      <c r="D615" s="182"/>
      <c r="E615" s="9">
        <v>45201</v>
      </c>
      <c r="F615" s="1" t="s">
        <v>40</v>
      </c>
      <c r="G615" s="21" t="s">
        <v>36</v>
      </c>
      <c r="H615" s="21" t="s">
        <v>212</v>
      </c>
      <c r="I615" s="21" t="s">
        <v>213</v>
      </c>
    </row>
    <row r="616" spans="1:9">
      <c r="A616" s="3" t="s">
        <v>101</v>
      </c>
      <c r="B616" s="1">
        <v>225</v>
      </c>
      <c r="C616" s="1">
        <f>B616/3</f>
        <v>75</v>
      </c>
      <c r="D616" s="1">
        <f>6.685*2</f>
        <v>13.37</v>
      </c>
      <c r="E616" s="1">
        <v>20</v>
      </c>
      <c r="F616" s="1">
        <f>B616+C616</f>
        <v>300</v>
      </c>
      <c r="G616" s="22">
        <f>(B619+C619)/D619</f>
        <v>22.438294689603588</v>
      </c>
      <c r="H616" s="22">
        <f>(B619+C619)/E619</f>
        <v>8.9743589743589745</v>
      </c>
      <c r="I616" s="22">
        <f>E619/D619</f>
        <v>2.5002671225558282</v>
      </c>
    </row>
    <row r="617" spans="1:9">
      <c r="A617" s="136" t="s">
        <v>168</v>
      </c>
      <c r="B617" s="136">
        <v>5.85</v>
      </c>
      <c r="C617" s="136">
        <v>5.85</v>
      </c>
      <c r="D617" s="136">
        <v>5.85</v>
      </c>
      <c r="E617" s="136">
        <f>35/5</f>
        <v>7</v>
      </c>
      <c r="F617" s="137" t="s">
        <v>84</v>
      </c>
    </row>
    <row r="618" spans="1:9">
      <c r="A618" s="1" t="s">
        <v>169</v>
      </c>
      <c r="B618" s="26">
        <v>10</v>
      </c>
      <c r="C618" s="26">
        <v>10</v>
      </c>
      <c r="D618" s="26">
        <v>10</v>
      </c>
      <c r="E618" s="26">
        <v>5</v>
      </c>
      <c r="F618" s="25" t="s">
        <v>87</v>
      </c>
    </row>
    <row r="619" spans="1:9">
      <c r="A619" s="1" t="s">
        <v>78</v>
      </c>
      <c r="B619" s="73">
        <f>B616*18*0.001/(B617*B618*0.001)</f>
        <v>69.230769230769226</v>
      </c>
      <c r="C619" s="73">
        <f>C616*18*0.001/(C617*C618*0.001)</f>
        <v>23.076923076923077</v>
      </c>
      <c r="D619" s="73">
        <f>D616*18*0.001/(D617*D618*0.001)</f>
        <v>4.1138461538461542</v>
      </c>
      <c r="E619" s="73">
        <f>E616*18*0.001/(E617*E618*0.001)</f>
        <v>10.285714285714285</v>
      </c>
    </row>
    <row r="620" spans="1:9" ht="18">
      <c r="A620" s="1" t="s">
        <v>79</v>
      </c>
      <c r="B620" s="4">
        <f>(B619/$G$6)</f>
        <v>147.20192307692309</v>
      </c>
      <c r="C620" s="4">
        <f>(C619/$C$6)</f>
        <v>19.794642857142854</v>
      </c>
      <c r="D620" s="4">
        <f>D619/31*$D$5</f>
        <v>18.061111662531019</v>
      </c>
      <c r="E620" s="4">
        <f>E619/14*$E$5</f>
        <v>50.693877551020407</v>
      </c>
      <c r="F620" s="132" t="s">
        <v>104</v>
      </c>
    </row>
    <row r="621" spans="1:9">
      <c r="A621" s="23" t="s">
        <v>56</v>
      </c>
      <c r="B621" s="24">
        <f>B620</f>
        <v>147.20192307692309</v>
      </c>
      <c r="C621" s="24">
        <f>C620</f>
        <v>19.794642857142854</v>
      </c>
      <c r="D621" s="24">
        <f>D620</f>
        <v>18.061111662531019</v>
      </c>
      <c r="E621" s="24">
        <f>E620</f>
        <v>50.693877551020407</v>
      </c>
      <c r="F621" s="35">
        <v>16</v>
      </c>
    </row>
    <row r="623" spans="1:9">
      <c r="A623" s="3" t="s">
        <v>16</v>
      </c>
      <c r="B623" s="182">
        <v>45201</v>
      </c>
      <c r="C623" s="182"/>
      <c r="D623" s="182"/>
      <c r="E623" s="9">
        <v>45201</v>
      </c>
      <c r="F623" s="1" t="s">
        <v>40</v>
      </c>
      <c r="G623" s="21" t="s">
        <v>36</v>
      </c>
      <c r="H623" s="21" t="s">
        <v>212</v>
      </c>
      <c r="I623" s="21" t="s">
        <v>213</v>
      </c>
    </row>
    <row r="624" spans="1:9">
      <c r="A624" s="3" t="s">
        <v>101</v>
      </c>
      <c r="B624" s="1">
        <v>115</v>
      </c>
      <c r="C624" s="1">
        <f>B624/3</f>
        <v>38.333333333333336</v>
      </c>
      <c r="D624" s="1">
        <f>6.685</f>
        <v>6.6849999999999996</v>
      </c>
      <c r="E624" s="1">
        <v>20</v>
      </c>
      <c r="F624" s="1">
        <f>B624+C624</f>
        <v>153.33333333333334</v>
      </c>
      <c r="G624" s="22">
        <f>(B627+C627)/D627</f>
        <v>22.936923460483666</v>
      </c>
      <c r="H624" s="22">
        <f>(B627+C627)/E627</f>
        <v>4.5868945868945872</v>
      </c>
      <c r="I624" s="22">
        <f>E627/D627</f>
        <v>5.0005342451116563</v>
      </c>
    </row>
    <row r="625" spans="1:6">
      <c r="A625" s="136" t="s">
        <v>168</v>
      </c>
      <c r="B625" s="136">
        <v>5.85</v>
      </c>
      <c r="C625" s="136">
        <v>5.85</v>
      </c>
      <c r="D625" s="136">
        <v>5.85</v>
      </c>
      <c r="E625" s="136">
        <f>35/5</f>
        <v>7</v>
      </c>
      <c r="F625" s="137" t="s">
        <v>84</v>
      </c>
    </row>
    <row r="626" spans="1:6">
      <c r="A626" s="1" t="s">
        <v>169</v>
      </c>
      <c r="B626" s="26">
        <v>10</v>
      </c>
      <c r="C626" s="26">
        <v>10</v>
      </c>
      <c r="D626" s="26">
        <v>10</v>
      </c>
      <c r="E626" s="26">
        <v>5</v>
      </c>
      <c r="F626" s="25" t="s">
        <v>87</v>
      </c>
    </row>
    <row r="627" spans="1:6">
      <c r="A627" s="1" t="s">
        <v>78</v>
      </c>
      <c r="B627" s="73">
        <f>B624*18*0.001/(B625*B626*0.001)</f>
        <v>35.38461538461538</v>
      </c>
      <c r="C627" s="73">
        <f>C624*18*0.001/(C625*C626*0.001)</f>
        <v>11.794871794871796</v>
      </c>
      <c r="D627" s="73">
        <f>D624*18*0.001/(D625*D626*0.001)</f>
        <v>2.0569230769230771</v>
      </c>
      <c r="E627" s="73">
        <f>E624*18*0.001/(E625*E626*0.001)</f>
        <v>10.285714285714285</v>
      </c>
    </row>
    <row r="628" spans="1:6" ht="18">
      <c r="A628" s="1" t="s">
        <v>79</v>
      </c>
      <c r="B628" s="4">
        <f>(B627/$G$6)</f>
        <v>75.236538461538458</v>
      </c>
      <c r="C628" s="4">
        <f>(C627/$C$6)</f>
        <v>10.117261904761904</v>
      </c>
      <c r="D628" s="4">
        <f>D627/31*$D$5</f>
        <v>9.0305558312655094</v>
      </c>
      <c r="E628" s="4">
        <f>E627/14*$E$5</f>
        <v>50.693877551020407</v>
      </c>
      <c r="F628" s="132" t="s">
        <v>104</v>
      </c>
    </row>
    <row r="629" spans="1:6">
      <c r="A629" s="23" t="s">
        <v>56</v>
      </c>
      <c r="B629" s="24">
        <f>B628</f>
        <v>75.236538461538458</v>
      </c>
      <c r="C629" s="24">
        <f>C628</f>
        <v>10.117261904761904</v>
      </c>
      <c r="D629" s="24">
        <f>D628</f>
        <v>9.0305558312655094</v>
      </c>
      <c r="E629" s="24">
        <f>E628</f>
        <v>50.693877551020407</v>
      </c>
      <c r="F629" s="35">
        <v>16</v>
      </c>
    </row>
  </sheetData>
  <mergeCells count="158">
    <mergeCell ref="B615:D615"/>
    <mergeCell ref="B623:D623"/>
    <mergeCell ref="B607:D607"/>
    <mergeCell ref="B551:D551"/>
    <mergeCell ref="B559:D559"/>
    <mergeCell ref="B567:D567"/>
    <mergeCell ref="B527:D527"/>
    <mergeCell ref="B535:D535"/>
    <mergeCell ref="B510:D510"/>
    <mergeCell ref="B543:D543"/>
    <mergeCell ref="B519:D519"/>
    <mergeCell ref="B599:D599"/>
    <mergeCell ref="A1:A2"/>
    <mergeCell ref="B1:D2"/>
    <mergeCell ref="B423:D423"/>
    <mergeCell ref="B336:D336"/>
    <mergeCell ref="B324:D324"/>
    <mergeCell ref="B325:D325"/>
    <mergeCell ref="B369:D369"/>
    <mergeCell ref="B359:D359"/>
    <mergeCell ref="B161:D161"/>
    <mergeCell ref="B177:D177"/>
    <mergeCell ref="B179:D179"/>
    <mergeCell ref="B205:D205"/>
    <mergeCell ref="B93:D93"/>
    <mergeCell ref="B347:D347"/>
    <mergeCell ref="B326:D326"/>
    <mergeCell ref="B125:D125"/>
    <mergeCell ref="B337:D337"/>
    <mergeCell ref="B195:D195"/>
    <mergeCell ref="B197:D197"/>
    <mergeCell ref="B244:D244"/>
    <mergeCell ref="B233:D233"/>
    <mergeCell ref="B235:D235"/>
    <mergeCell ref="B254:D254"/>
    <mergeCell ref="B316:D316"/>
    <mergeCell ref="F63:G63"/>
    <mergeCell ref="F148:G148"/>
    <mergeCell ref="F149:G149"/>
    <mergeCell ref="B150:D150"/>
    <mergeCell ref="B64:D64"/>
    <mergeCell ref="B66:D66"/>
    <mergeCell ref="F71:G71"/>
    <mergeCell ref="F72:G72"/>
    <mergeCell ref="B100:D100"/>
    <mergeCell ref="B75:D75"/>
    <mergeCell ref="F80:G80"/>
    <mergeCell ref="F81:G81"/>
    <mergeCell ref="B82:D82"/>
    <mergeCell ref="B84:D84"/>
    <mergeCell ref="B73:D73"/>
    <mergeCell ref="F113:G113"/>
    <mergeCell ref="B114:D114"/>
    <mergeCell ref="F89:G89"/>
    <mergeCell ref="F98:G98"/>
    <mergeCell ref="F99:G99"/>
    <mergeCell ref="F90:G90"/>
    <mergeCell ref="B91:D91"/>
    <mergeCell ref="B116:D116"/>
    <mergeCell ref="B123:D123"/>
    <mergeCell ref="J1:R9"/>
    <mergeCell ref="B3:C3"/>
    <mergeCell ref="B7:D7"/>
    <mergeCell ref="F62:G62"/>
    <mergeCell ref="B10:D10"/>
    <mergeCell ref="B18:D18"/>
    <mergeCell ref="B20:D20"/>
    <mergeCell ref="B27:D27"/>
    <mergeCell ref="B30:D30"/>
    <mergeCell ref="B37:D37"/>
    <mergeCell ref="B55:D55"/>
    <mergeCell ref="B57:D57"/>
    <mergeCell ref="B39:D39"/>
    <mergeCell ref="B48:D48"/>
    <mergeCell ref="B46:D46"/>
    <mergeCell ref="E1:E2"/>
    <mergeCell ref="G3:H3"/>
    <mergeCell ref="B296:D296"/>
    <mergeCell ref="B274:D274"/>
    <mergeCell ref="B275:D275"/>
    <mergeCell ref="B276:D276"/>
    <mergeCell ref="B256:D256"/>
    <mergeCell ref="B314:D314"/>
    <mergeCell ref="B315:D315"/>
    <mergeCell ref="B265:D265"/>
    <mergeCell ref="B266:D266"/>
    <mergeCell ref="B285:D285"/>
    <mergeCell ref="B132:D132"/>
    <mergeCell ref="B379:D379"/>
    <mergeCell ref="B107:D107"/>
    <mergeCell ref="F112:G112"/>
    <mergeCell ref="F213:G213"/>
    <mergeCell ref="F130:G130"/>
    <mergeCell ref="F131:G131"/>
    <mergeCell ref="B134:D134"/>
    <mergeCell ref="F139:G139"/>
    <mergeCell ref="F140:G140"/>
    <mergeCell ref="B141:D141"/>
    <mergeCell ref="B143:D143"/>
    <mergeCell ref="B152:D152"/>
    <mergeCell ref="F157:G157"/>
    <mergeCell ref="F167:G167"/>
    <mergeCell ref="F158:G158"/>
    <mergeCell ref="B168:D168"/>
    <mergeCell ref="B170:D170"/>
    <mergeCell ref="F175:G175"/>
    <mergeCell ref="F176:G176"/>
    <mergeCell ref="F121:G121"/>
    <mergeCell ref="F122:G122"/>
    <mergeCell ref="B264:D264"/>
    <mergeCell ref="B295:D295"/>
    <mergeCell ref="B159:D159"/>
    <mergeCell ref="B188:D188"/>
    <mergeCell ref="F202:G202"/>
    <mergeCell ref="B224:D224"/>
    <mergeCell ref="B226:D226"/>
    <mergeCell ref="B236:D236"/>
    <mergeCell ref="F231:G231"/>
    <mergeCell ref="F232:G232"/>
    <mergeCell ref="B214:D214"/>
    <mergeCell ref="F184:G184"/>
    <mergeCell ref="B186:D186"/>
    <mergeCell ref="F203:G203"/>
    <mergeCell ref="B204:D204"/>
    <mergeCell ref="F166:G166"/>
    <mergeCell ref="F185:G185"/>
    <mergeCell ref="B207:D207"/>
    <mergeCell ref="F193:G193"/>
    <mergeCell ref="F212:G212"/>
    <mergeCell ref="F194:G194"/>
    <mergeCell ref="F221:G221"/>
    <mergeCell ref="F222:G222"/>
    <mergeCell ref="B216:D216"/>
    <mergeCell ref="B234:D234"/>
    <mergeCell ref="B245:D245"/>
    <mergeCell ref="B591:D591"/>
    <mergeCell ref="B575:D575"/>
    <mergeCell ref="B583:D583"/>
    <mergeCell ref="B500:D500"/>
    <mergeCell ref="B491:D491"/>
    <mergeCell ref="B482:D482"/>
    <mergeCell ref="B434:D434"/>
    <mergeCell ref="B445:D445"/>
    <mergeCell ref="B412:D412"/>
    <mergeCell ref="B246:D246"/>
    <mergeCell ref="B338:D338"/>
    <mergeCell ref="B255:D255"/>
    <mergeCell ref="B304:D304"/>
    <mergeCell ref="B305:D305"/>
    <mergeCell ref="B306:D306"/>
    <mergeCell ref="B284:D284"/>
    <mergeCell ref="B473:D473"/>
    <mergeCell ref="B464:D464"/>
    <mergeCell ref="B455:D455"/>
    <mergeCell ref="B401:D401"/>
    <mergeCell ref="B391:D391"/>
    <mergeCell ref="B286:D286"/>
    <mergeCell ref="B294:D294"/>
  </mergeCells>
  <phoneticPr fontId="46" type="noConversion"/>
  <hyperlinks>
    <hyperlink ref="S1" r:id="rId1" xr:uid="{81179E0A-0844-465E-BBFE-23A7DCB9162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X48"/>
  <sheetViews>
    <sheetView tabSelected="1" zoomScaleNormal="100" workbookViewId="0">
      <selection activeCell="F3" sqref="F3:F4"/>
    </sheetView>
  </sheetViews>
  <sheetFormatPr defaultColWidth="8.85546875" defaultRowHeight="15"/>
  <cols>
    <col min="1" max="1" width="9.42578125" bestFit="1" customWidth="1"/>
    <col min="2" max="2" width="24.140625" style="3" customWidth="1"/>
    <col min="3" max="3" width="16.28515625" style="1" customWidth="1"/>
    <col min="4" max="4" width="13" style="1" customWidth="1"/>
    <col min="5" max="5" width="12" style="1" bestFit="1" customWidth="1"/>
    <col min="6" max="6" width="18" style="1" customWidth="1"/>
    <col min="7" max="7" width="16.140625" style="1" bestFit="1" customWidth="1"/>
    <col min="8" max="9" width="11.42578125" style="1" customWidth="1"/>
    <col min="10" max="10" width="17.42578125" style="1" customWidth="1"/>
    <col min="11" max="11" width="12.42578125" style="1" customWidth="1"/>
    <col min="12" max="12" width="8.7109375" style="1" customWidth="1"/>
    <col min="13" max="13" width="12.85546875" style="1" customWidth="1"/>
    <col min="14" max="14" width="17.42578125" style="1" customWidth="1"/>
    <col min="15" max="15" width="14.7109375" style="1" customWidth="1"/>
    <col min="16" max="16" width="13.85546875" style="1" bestFit="1" customWidth="1"/>
    <col min="17" max="17" width="12.85546875" style="1" customWidth="1"/>
    <col min="18" max="19" width="12.140625" style="1" customWidth="1"/>
    <col min="20" max="21" width="29.42578125" style="1" customWidth="1"/>
    <col min="22" max="22" width="17.140625" customWidth="1"/>
    <col min="23" max="23" width="41.140625" customWidth="1"/>
  </cols>
  <sheetData>
    <row r="1" spans="1:24">
      <c r="A1" s="172" t="s">
        <v>16</v>
      </c>
      <c r="C1" s="173" t="s">
        <v>107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2"/>
      <c r="V1" s="45"/>
      <c r="W1" s="45"/>
    </row>
    <row r="2" spans="1:24">
      <c r="A2" s="172"/>
      <c r="B2" s="3" t="s">
        <v>14</v>
      </c>
      <c r="C2" s="175" t="s">
        <v>112</v>
      </c>
      <c r="D2" s="155"/>
      <c r="E2" s="155"/>
      <c r="F2" s="155"/>
      <c r="G2" s="155"/>
      <c r="H2" s="176"/>
      <c r="J2" s="1">
        <v>0.3</v>
      </c>
      <c r="K2" s="175" t="s">
        <v>186</v>
      </c>
      <c r="L2" s="155"/>
      <c r="M2" s="155"/>
      <c r="N2" s="155"/>
      <c r="O2" s="155"/>
      <c r="P2" s="155"/>
      <c r="Q2" s="155"/>
      <c r="R2" s="155"/>
      <c r="S2" s="155"/>
      <c r="T2" s="176"/>
      <c r="V2" s="166" t="s">
        <v>188</v>
      </c>
      <c r="W2" s="167"/>
    </row>
    <row r="3" spans="1:24" s="2" customFormat="1" ht="61.35" customHeight="1">
      <c r="A3" s="172"/>
      <c r="B3" s="174" t="s">
        <v>15</v>
      </c>
      <c r="C3" s="144" t="s">
        <v>214</v>
      </c>
      <c r="D3" s="13" t="s">
        <v>24</v>
      </c>
      <c r="E3" s="13" t="s">
        <v>25</v>
      </c>
      <c r="F3" s="177" t="s">
        <v>2</v>
      </c>
      <c r="G3" s="178" t="s">
        <v>3</v>
      </c>
      <c r="H3" s="32" t="s">
        <v>102</v>
      </c>
      <c r="I3" s="13"/>
      <c r="J3" s="31"/>
      <c r="K3" s="18" t="s">
        <v>35</v>
      </c>
      <c r="L3" s="13" t="s">
        <v>32</v>
      </c>
      <c r="M3" s="13" t="s">
        <v>29</v>
      </c>
      <c r="N3" s="13" t="s">
        <v>34</v>
      </c>
      <c r="O3" s="13" t="s">
        <v>28</v>
      </c>
      <c r="P3" s="13" t="s">
        <v>27</v>
      </c>
      <c r="Q3" s="13" t="s">
        <v>30</v>
      </c>
      <c r="R3" s="13" t="s">
        <v>31</v>
      </c>
      <c r="S3" s="72" t="s">
        <v>190</v>
      </c>
      <c r="T3" s="32" t="s">
        <v>278</v>
      </c>
      <c r="U3" s="13"/>
      <c r="V3" s="65" t="s">
        <v>185</v>
      </c>
      <c r="W3" s="66" t="s">
        <v>184</v>
      </c>
    </row>
    <row r="4" spans="1:24" ht="18">
      <c r="A4" s="172"/>
      <c r="B4" s="174"/>
      <c r="C4" s="139" t="s">
        <v>307</v>
      </c>
      <c r="D4" s="1" t="s">
        <v>22</v>
      </c>
      <c r="E4" s="1" t="s">
        <v>1</v>
      </c>
      <c r="F4" s="177"/>
      <c r="G4" s="178"/>
      <c r="H4" s="16" t="s">
        <v>5</v>
      </c>
      <c r="J4" s="10"/>
      <c r="K4" s="19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72" t="s">
        <v>207</v>
      </c>
      <c r="T4" s="16" t="s">
        <v>4</v>
      </c>
      <c r="V4" s="67" t="s">
        <v>205</v>
      </c>
      <c r="W4" s="68" t="s">
        <v>4</v>
      </c>
    </row>
    <row r="5" spans="1:24">
      <c r="A5" s="53"/>
      <c r="B5" s="3" t="s">
        <v>192</v>
      </c>
      <c r="C5" s="145">
        <v>120.37</v>
      </c>
      <c r="G5" s="139"/>
      <c r="H5" s="16"/>
      <c r="J5" s="10" t="s">
        <v>192</v>
      </c>
      <c r="K5" s="19"/>
      <c r="M5" s="1">
        <v>249.68</v>
      </c>
      <c r="S5" s="72">
        <v>237.69</v>
      </c>
      <c r="T5" s="16"/>
      <c r="V5" s="67"/>
      <c r="W5" s="68"/>
    </row>
    <row r="6" spans="1:24" s="215" customFormat="1">
      <c r="A6" s="202"/>
      <c r="B6" s="203" t="s">
        <v>110</v>
      </c>
      <c r="C6" s="204">
        <v>66.790000000000006</v>
      </c>
      <c r="D6" s="205">
        <v>90</v>
      </c>
      <c r="E6" s="205">
        <v>14</v>
      </c>
      <c r="F6" s="205">
        <v>1</v>
      </c>
      <c r="G6" s="206">
        <v>20</v>
      </c>
      <c r="H6" s="207">
        <v>500</v>
      </c>
      <c r="I6" s="208"/>
      <c r="J6" s="209" t="s">
        <v>187</v>
      </c>
      <c r="K6" s="210">
        <v>1500</v>
      </c>
      <c r="L6" s="205">
        <v>150</v>
      </c>
      <c r="M6" s="205">
        <v>30</v>
      </c>
      <c r="N6" s="205">
        <v>180</v>
      </c>
      <c r="O6" s="205">
        <v>120</v>
      </c>
      <c r="P6" s="205">
        <v>60</v>
      </c>
      <c r="Q6" s="205">
        <v>120</v>
      </c>
      <c r="R6" s="205">
        <v>150</v>
      </c>
      <c r="S6" s="211">
        <v>630</v>
      </c>
      <c r="T6" s="212">
        <v>15000</v>
      </c>
      <c r="U6" s="208"/>
      <c r="V6" s="213">
        <f>(0.03*278*1)/(0.001)</f>
        <v>8340</v>
      </c>
      <c r="W6" s="214">
        <f>V6</f>
        <v>8340</v>
      </c>
      <c r="X6" s="215" t="s">
        <v>189</v>
      </c>
    </row>
    <row r="7" spans="1:24" ht="17.25">
      <c r="B7" s="1"/>
      <c r="C7" s="17" t="s">
        <v>174</v>
      </c>
      <c r="D7" s="17"/>
      <c r="E7" s="17"/>
      <c r="F7" s="17"/>
      <c r="G7" s="140"/>
      <c r="J7" s="10" t="s">
        <v>191</v>
      </c>
      <c r="K7" s="54"/>
      <c r="L7" s="54"/>
      <c r="M7" s="56">
        <f>((M6*$J$2*0.001)/M5)*63.546/1</f>
        <v>2.2905879525793021E-3</v>
      </c>
      <c r="N7" s="55"/>
      <c r="O7" s="55"/>
      <c r="P7" s="55"/>
      <c r="Q7" s="55"/>
      <c r="R7" s="55"/>
      <c r="S7" s="55">
        <f>((S6*$J$2*0.001)/S5)*58.69/1</f>
        <v>4.6667550170390003E-2</v>
      </c>
      <c r="T7" s="54"/>
      <c r="V7" s="69" t="s">
        <v>206</v>
      </c>
      <c r="W7" s="69"/>
    </row>
    <row r="8" spans="1:24" s="1" customFormat="1">
      <c r="B8" s="34" t="s">
        <v>70</v>
      </c>
      <c r="C8" s="14">
        <v>1000</v>
      </c>
      <c r="D8" s="14">
        <v>1000</v>
      </c>
      <c r="E8" s="14">
        <v>250</v>
      </c>
      <c r="F8" s="14">
        <v>100</v>
      </c>
      <c r="G8" s="141">
        <v>500</v>
      </c>
      <c r="H8" s="39">
        <v>2000</v>
      </c>
      <c r="K8" s="160">
        <v>500</v>
      </c>
      <c r="L8" s="161"/>
      <c r="M8" s="161"/>
      <c r="N8" s="161"/>
      <c r="O8" s="161"/>
      <c r="P8" s="161"/>
      <c r="Q8" s="161"/>
      <c r="R8" s="161"/>
      <c r="S8" s="161"/>
      <c r="T8" s="162"/>
      <c r="V8" s="168">
        <v>100</v>
      </c>
      <c r="W8" s="168"/>
    </row>
    <row r="9" spans="1:24">
      <c r="B9" s="15" t="s">
        <v>69</v>
      </c>
      <c r="C9" s="1">
        <f>66.79</f>
        <v>66.790000000000006</v>
      </c>
      <c r="D9" s="1">
        <v>90</v>
      </c>
      <c r="E9" s="1">
        <f>14*4</f>
        <v>56</v>
      </c>
      <c r="F9" s="1">
        <v>10</v>
      </c>
      <c r="G9" s="139">
        <v>40</v>
      </c>
      <c r="H9" s="16">
        <v>65</v>
      </c>
      <c r="J9" s="1" t="s">
        <v>312</v>
      </c>
      <c r="K9" s="19">
        <f>K6*0.001</f>
        <v>1.5</v>
      </c>
      <c r="L9" s="1">
        <f t="shared" ref="L9:S9" si="0">L6*0.001</f>
        <v>0.15</v>
      </c>
      <c r="M9" s="1">
        <f t="shared" si="0"/>
        <v>0.03</v>
      </c>
      <c r="N9" s="1">
        <f t="shared" si="0"/>
        <v>0.18</v>
      </c>
      <c r="O9" s="1">
        <f t="shared" si="0"/>
        <v>0.12</v>
      </c>
      <c r="P9" s="1">
        <f t="shared" si="0"/>
        <v>0.06</v>
      </c>
      <c r="Q9" s="1">
        <f t="shared" si="0"/>
        <v>0.12</v>
      </c>
      <c r="R9" s="1">
        <f t="shared" si="0"/>
        <v>0.15</v>
      </c>
      <c r="S9" s="38">
        <f t="shared" si="0"/>
        <v>0.63</v>
      </c>
      <c r="T9" s="16">
        <v>15</v>
      </c>
      <c r="V9" s="70">
        <f>V6*0.001</f>
        <v>8.34</v>
      </c>
      <c r="W9" s="70">
        <f>W6*0.001</f>
        <v>8.34</v>
      </c>
    </row>
    <row r="10" spans="1:24">
      <c r="B10" s="20" t="s">
        <v>71</v>
      </c>
      <c r="C10" s="30">
        <f t="shared" ref="C10:H10" si="1">C8*0.001*C9</f>
        <v>66.790000000000006</v>
      </c>
      <c r="D10" s="30">
        <f t="shared" si="1"/>
        <v>90</v>
      </c>
      <c r="E10" s="30">
        <f t="shared" si="1"/>
        <v>14</v>
      </c>
      <c r="F10" s="30">
        <f t="shared" si="1"/>
        <v>1</v>
      </c>
      <c r="G10" s="142">
        <f t="shared" si="1"/>
        <v>20</v>
      </c>
      <c r="H10" s="36">
        <f t="shared" si="1"/>
        <v>130</v>
      </c>
      <c r="K10" s="35">
        <f>$K$8*0.001*K9</f>
        <v>0.75</v>
      </c>
      <c r="L10" s="30">
        <f t="shared" ref="L10:S10" si="2">$K$8*0.001*L9</f>
        <v>7.4999999999999997E-2</v>
      </c>
      <c r="M10" s="30">
        <f t="shared" si="2"/>
        <v>1.4999999999999999E-2</v>
      </c>
      <c r="N10" s="30">
        <f>$K$8*0.001*N9</f>
        <v>0.09</v>
      </c>
      <c r="O10" s="30">
        <f t="shared" si="2"/>
        <v>0.06</v>
      </c>
      <c r="P10" s="30">
        <f t="shared" si="2"/>
        <v>0.03</v>
      </c>
      <c r="Q10" s="30">
        <f t="shared" si="2"/>
        <v>0.06</v>
      </c>
      <c r="R10" s="30">
        <f t="shared" si="2"/>
        <v>7.4999999999999997E-2</v>
      </c>
      <c r="S10" s="57">
        <f t="shared" si="2"/>
        <v>0.315</v>
      </c>
      <c r="T10" s="36">
        <f>$K$8*0.001*T9</f>
        <v>7.5</v>
      </c>
      <c r="V10" s="71">
        <f>$V$8*0.001*V9</f>
        <v>0.83400000000000007</v>
      </c>
      <c r="W10" s="71">
        <f>$V$8*0.001*W9</f>
        <v>0.83400000000000007</v>
      </c>
    </row>
    <row r="11" spans="1:24">
      <c r="G11" s="139"/>
      <c r="J11" s="10"/>
      <c r="V11" s="69"/>
      <c r="W11" s="69"/>
    </row>
    <row r="12" spans="1:24" ht="42.75" customHeight="1">
      <c r="B12" s="3" t="s">
        <v>126</v>
      </c>
      <c r="C12" s="179" t="s">
        <v>111</v>
      </c>
      <c r="D12" s="180"/>
      <c r="E12" s="180"/>
      <c r="F12" s="3"/>
      <c r="G12" s="14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69"/>
      <c r="W12" s="69"/>
    </row>
    <row r="13" spans="1:24">
      <c r="B13" s="58">
        <v>160</v>
      </c>
      <c r="C13" s="143">
        <f>($C$6*$B$13*0.001/$C$9)*1000</f>
        <v>160.00000000000003</v>
      </c>
      <c r="D13" s="112">
        <f>($D$6*$B$13*0.001/$D$9)*1000</f>
        <v>160</v>
      </c>
      <c r="E13" s="112">
        <f>($E$6*$B$13*0.001/$E$9)*1000</f>
        <v>40</v>
      </c>
      <c r="F13" s="112">
        <f>($F$6*$B$13*0.001/$F$9)*1000</f>
        <v>16</v>
      </c>
      <c r="G13" s="143">
        <f>($G$6*$B$13*0.001/$G$9)*1000</f>
        <v>80</v>
      </c>
      <c r="H13" s="112">
        <f>($H$6*$B$13*0.001/$H$9)*1000</f>
        <v>1230.7692307692309</v>
      </c>
      <c r="I13" s="38">
        <v>740</v>
      </c>
      <c r="J13" s="38">
        <f>D13+E13+F13+H13+K13</f>
        <v>1494.7692307692309</v>
      </c>
      <c r="K13" s="164">
        <f>0.3*B13</f>
        <v>48</v>
      </c>
      <c r="L13" s="164"/>
      <c r="M13" s="164"/>
      <c r="N13" s="164"/>
      <c r="O13" s="164"/>
      <c r="P13" s="164"/>
      <c r="Q13" s="164"/>
      <c r="R13" s="164"/>
      <c r="S13" s="164"/>
      <c r="T13" s="164"/>
      <c r="U13" s="38"/>
      <c r="V13" s="169">
        <f>1*B13</f>
        <v>160</v>
      </c>
      <c r="W13" s="169"/>
    </row>
    <row r="14" spans="1:24">
      <c r="A14" t="s">
        <v>305</v>
      </c>
      <c r="B14" s="58">
        <v>25</v>
      </c>
      <c r="C14" s="143">
        <f>($C$6*$B$14*0.001/$C$9)*1000</f>
        <v>25</v>
      </c>
      <c r="D14" s="38">
        <f>($D$6*$B$14*0.001/$D$9)*1000</f>
        <v>25</v>
      </c>
      <c r="E14" s="38">
        <f>($E$6*$B$14*0.001/$E$9)*1000</f>
        <v>6.25</v>
      </c>
      <c r="F14" s="38">
        <f>($F$6*$B$14*0.001/$F$9)*1000</f>
        <v>2.5</v>
      </c>
      <c r="G14" s="143">
        <f>($G$6*$B$14*0.001/$G$9)*1000</f>
        <v>12.5</v>
      </c>
      <c r="H14" s="38">
        <f>($H$6*$B$14*0.001/$H$9)*1000</f>
        <v>192.30769230769232</v>
      </c>
      <c r="I14" s="43"/>
      <c r="J14" s="38"/>
      <c r="K14" s="170">
        <f>0.3*B14</f>
        <v>7.5</v>
      </c>
      <c r="L14" s="170"/>
      <c r="M14" s="170"/>
      <c r="N14" s="170"/>
      <c r="O14" s="170"/>
      <c r="P14" s="170"/>
      <c r="Q14" s="170"/>
      <c r="R14" s="170"/>
      <c r="S14" s="170"/>
      <c r="T14" s="170"/>
      <c r="U14" s="38"/>
      <c r="V14" s="69"/>
      <c r="W14" s="69"/>
    </row>
    <row r="15" spans="1:24">
      <c r="B15" s="1"/>
      <c r="C15" s="38"/>
      <c r="D15" s="38"/>
      <c r="E15" s="38">
        <f>E13/2</f>
        <v>20</v>
      </c>
      <c r="F15" s="38"/>
      <c r="G15" s="38"/>
      <c r="H15" s="38"/>
      <c r="I15" s="38"/>
      <c r="J15" s="38">
        <f>(H6/(23+1+12+48))*(1+12+48)</f>
        <v>363.09523809523813</v>
      </c>
      <c r="K15" s="38"/>
      <c r="L15" s="38"/>
      <c r="M15" s="38"/>
      <c r="N15" s="38"/>
      <c r="O15" s="38"/>
      <c r="P15" s="38">
        <f>K13/3</f>
        <v>16</v>
      </c>
      <c r="Q15" s="38"/>
      <c r="R15" s="38"/>
      <c r="S15" s="38"/>
      <c r="T15" s="38"/>
      <c r="U15" s="38"/>
      <c r="V15" s="69"/>
      <c r="W15" s="69"/>
    </row>
    <row r="16" spans="1:24">
      <c r="B16" s="1"/>
      <c r="J16" s="10"/>
      <c r="V16" s="69"/>
      <c r="W16" s="69"/>
    </row>
    <row r="17" spans="1:23">
      <c r="A17" s="40" t="s">
        <v>113</v>
      </c>
      <c r="B17" s="1"/>
      <c r="J17" s="10"/>
      <c r="V17" s="69"/>
      <c r="W17" s="69"/>
    </row>
    <row r="18" spans="1:23">
      <c r="A18" s="171" t="s">
        <v>140</v>
      </c>
      <c r="B18" s="171"/>
      <c r="C18" s="171"/>
      <c r="D18" s="171"/>
      <c r="E18" s="171"/>
      <c r="F18" s="171"/>
      <c r="G18" s="171"/>
      <c r="H18" s="171"/>
      <c r="I18" s="171"/>
      <c r="J18" s="171"/>
      <c r="S18" s="1" t="s">
        <v>204</v>
      </c>
      <c r="T18" s="1" t="s">
        <v>151</v>
      </c>
      <c r="V18" s="69"/>
      <c r="W18" s="69"/>
    </row>
    <row r="19" spans="1:23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P19" s="1">
        <v>76</v>
      </c>
      <c r="Q19" s="1">
        <v>12</v>
      </c>
    </row>
    <row r="20" spans="1:23">
      <c r="A20" s="165" t="s">
        <v>137</v>
      </c>
      <c r="B20" s="165"/>
      <c r="C20" s="165"/>
      <c r="D20" s="165"/>
      <c r="E20" s="165"/>
      <c r="F20" s="165"/>
      <c r="G20" s="165"/>
      <c r="J20" s="10"/>
      <c r="P20" s="1">
        <f>76/(Q19/Q20)</f>
        <v>16.466666666666669</v>
      </c>
      <c r="Q20" s="1">
        <v>2.6</v>
      </c>
      <c r="T20" s="1">
        <f>450*1.2</f>
        <v>540</v>
      </c>
    </row>
    <row r="21" spans="1:23">
      <c r="A21" s="165" t="s">
        <v>282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</row>
    <row r="22" spans="1:23">
      <c r="A22" s="165" t="s">
        <v>138</v>
      </c>
      <c r="B22" s="165"/>
      <c r="C22" s="165"/>
      <c r="D22" s="165"/>
    </row>
    <row r="23" spans="1:23">
      <c r="A23" s="165" t="s">
        <v>139</v>
      </c>
      <c r="B23" s="165"/>
      <c r="C23" s="165"/>
      <c r="D23" s="165"/>
      <c r="E23" s="165"/>
      <c r="F23" s="165"/>
      <c r="G23" s="165"/>
    </row>
    <row r="24" spans="1:23">
      <c r="A24" s="163" t="s">
        <v>125</v>
      </c>
      <c r="B24" s="163"/>
      <c r="C24" s="163"/>
      <c r="D24" s="163"/>
      <c r="E24" s="163"/>
      <c r="F24" s="163"/>
      <c r="G24" s="163"/>
      <c r="H24" s="163"/>
      <c r="I24" s="163"/>
      <c r="J24" s="163"/>
      <c r="O24" s="1">
        <v>12.67</v>
      </c>
      <c r="P24" s="1">
        <f>P20-O24</f>
        <v>3.7966666666666686</v>
      </c>
    </row>
    <row r="25" spans="1:23">
      <c r="A25" t="s">
        <v>152</v>
      </c>
    </row>
    <row r="26" spans="1:23">
      <c r="A26" t="s">
        <v>283</v>
      </c>
    </row>
    <row r="31" spans="1:23" ht="16.899999999999999" customHeight="1">
      <c r="A31" s="157" t="s">
        <v>155</v>
      </c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9"/>
      <c r="R31" s="47"/>
      <c r="S31" s="47"/>
      <c r="T31"/>
      <c r="U31"/>
    </row>
    <row r="32" spans="1:23">
      <c r="A32" s="51" t="s">
        <v>14</v>
      </c>
      <c r="B32" s="147" t="s">
        <v>158</v>
      </c>
      <c r="C32" s="148"/>
      <c r="D32" s="148"/>
      <c r="E32" s="148"/>
      <c r="F32" s="148"/>
      <c r="G32" s="149"/>
      <c r="H32" s="150" t="s">
        <v>159</v>
      </c>
      <c r="I32" s="151"/>
      <c r="J32" s="151"/>
      <c r="K32" s="151"/>
      <c r="L32" s="151"/>
      <c r="M32" s="151"/>
      <c r="N32" s="151"/>
      <c r="O32" s="151"/>
      <c r="P32" s="151"/>
      <c r="Q32" s="152"/>
      <c r="R32"/>
      <c r="S32"/>
      <c r="T32"/>
      <c r="U32"/>
    </row>
    <row r="33" spans="1:21" ht="60">
      <c r="A33" s="153" t="s">
        <v>156</v>
      </c>
      <c r="B33" s="48" t="s">
        <v>23</v>
      </c>
      <c r="C33" s="49" t="s">
        <v>24</v>
      </c>
      <c r="D33" s="49" t="s">
        <v>25</v>
      </c>
      <c r="E33" s="155" t="s">
        <v>2</v>
      </c>
      <c r="F33" s="155" t="s">
        <v>3</v>
      </c>
      <c r="G33" s="50" t="s">
        <v>102</v>
      </c>
      <c r="H33" s="59" t="s">
        <v>35</v>
      </c>
      <c r="I33" s="60"/>
      <c r="J33" s="60" t="s">
        <v>32</v>
      </c>
      <c r="K33" s="60" t="s">
        <v>29</v>
      </c>
      <c r="L33" s="60" t="s">
        <v>34</v>
      </c>
      <c r="M33" s="60" t="s">
        <v>28</v>
      </c>
      <c r="N33" s="60" t="s">
        <v>27</v>
      </c>
      <c r="O33" s="60" t="s">
        <v>30</v>
      </c>
      <c r="P33" s="60" t="s">
        <v>31</v>
      </c>
      <c r="Q33" s="61" t="s">
        <v>33</v>
      </c>
      <c r="R33"/>
      <c r="S33"/>
      <c r="T33"/>
      <c r="U33"/>
    </row>
    <row r="34" spans="1:21" ht="18">
      <c r="A34" s="154"/>
      <c r="B34" s="20" t="s">
        <v>0</v>
      </c>
      <c r="C34" s="17" t="s">
        <v>22</v>
      </c>
      <c r="D34" s="17" t="s">
        <v>1</v>
      </c>
      <c r="E34" s="156"/>
      <c r="F34" s="156"/>
      <c r="G34" s="33" t="s">
        <v>5</v>
      </c>
      <c r="H34" s="62" t="s">
        <v>6</v>
      </c>
      <c r="I34" s="63"/>
      <c r="J34" s="63" t="s">
        <v>7</v>
      </c>
      <c r="K34" s="63" t="s">
        <v>8</v>
      </c>
      <c r="L34" s="63" t="s">
        <v>9</v>
      </c>
      <c r="M34" s="63" t="s">
        <v>10</v>
      </c>
      <c r="N34" s="63" t="s">
        <v>11</v>
      </c>
      <c r="O34" s="63" t="s">
        <v>12</v>
      </c>
      <c r="P34" s="63" t="s">
        <v>13</v>
      </c>
      <c r="Q34" s="64" t="s">
        <v>4</v>
      </c>
      <c r="R34"/>
      <c r="S34"/>
      <c r="T34"/>
      <c r="U34"/>
    </row>
    <row r="35" spans="1:21" ht="30">
      <c r="A35" s="46" t="s">
        <v>157</v>
      </c>
      <c r="B35" s="20">
        <v>107</v>
      </c>
      <c r="C35" s="17">
        <v>90</v>
      </c>
      <c r="D35" s="17">
        <v>14</v>
      </c>
      <c r="E35" s="17">
        <v>1</v>
      </c>
      <c r="F35" s="17">
        <v>20</v>
      </c>
      <c r="G35" s="33">
        <v>200</v>
      </c>
      <c r="H35" s="62">
        <v>1500</v>
      </c>
      <c r="I35" s="63"/>
      <c r="J35" s="63">
        <v>150</v>
      </c>
      <c r="K35" s="63">
        <v>30</v>
      </c>
      <c r="L35" s="63">
        <v>180</v>
      </c>
      <c r="M35" s="63">
        <v>120</v>
      </c>
      <c r="N35" s="63">
        <v>60</v>
      </c>
      <c r="O35" s="63">
        <v>120</v>
      </c>
      <c r="P35" s="63">
        <v>150</v>
      </c>
      <c r="Q35" s="64">
        <v>10000</v>
      </c>
      <c r="R35"/>
      <c r="S35"/>
      <c r="T35"/>
      <c r="U35"/>
    </row>
    <row r="48" spans="1:21">
      <c r="O48" s="78" t="s">
        <v>215</v>
      </c>
    </row>
  </sheetData>
  <mergeCells count="26">
    <mergeCell ref="V2:W2"/>
    <mergeCell ref="V8:W8"/>
    <mergeCell ref="V13:W13"/>
    <mergeCell ref="A23:G23"/>
    <mergeCell ref="K14:T14"/>
    <mergeCell ref="A18:J19"/>
    <mergeCell ref="A1:A4"/>
    <mergeCell ref="C1:T1"/>
    <mergeCell ref="B3:B4"/>
    <mergeCell ref="K2:T2"/>
    <mergeCell ref="C2:H2"/>
    <mergeCell ref="F3:F4"/>
    <mergeCell ref="G3:G4"/>
    <mergeCell ref="C12:E12"/>
    <mergeCell ref="A31:Q31"/>
    <mergeCell ref="K8:T8"/>
    <mergeCell ref="A24:J24"/>
    <mergeCell ref="K13:T13"/>
    <mergeCell ref="A20:G20"/>
    <mergeCell ref="A21:N21"/>
    <mergeCell ref="A22:D22"/>
    <mergeCell ref="B32:G32"/>
    <mergeCell ref="H32:Q32"/>
    <mergeCell ref="A33:A34"/>
    <mergeCell ref="E33:E34"/>
    <mergeCell ref="F33:F34"/>
  </mergeCells>
  <phoneticPr fontId="4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EA97-47D5-42C6-97BD-C389DB1A2246}">
  <sheetPr>
    <tabColor theme="4"/>
  </sheetPr>
  <dimension ref="A1:H19"/>
  <sheetViews>
    <sheetView workbookViewId="0">
      <selection activeCell="C7" sqref="C7"/>
    </sheetView>
  </sheetViews>
  <sheetFormatPr defaultColWidth="8.85546875" defaultRowHeight="15"/>
  <cols>
    <col min="1" max="1" width="9.42578125" bestFit="1" customWidth="1"/>
    <col min="2" max="2" width="43.140625" style="3" customWidth="1"/>
    <col min="3" max="3" width="21.85546875" style="3" bestFit="1" customWidth="1"/>
    <col min="4" max="4" width="21.85546875" style="3" customWidth="1"/>
    <col min="5" max="5" width="11" style="1" customWidth="1"/>
    <col min="6" max="6" width="34.85546875" style="1" customWidth="1"/>
    <col min="7" max="7" width="33.140625" style="1" customWidth="1"/>
    <col min="8" max="8" width="22.28515625" customWidth="1"/>
  </cols>
  <sheetData>
    <row r="1" spans="1:8">
      <c r="A1" s="197" t="s">
        <v>16</v>
      </c>
      <c r="B1" s="174" t="s">
        <v>116</v>
      </c>
      <c r="C1" s="174"/>
      <c r="D1" s="12"/>
      <c r="E1" s="177" t="s">
        <v>120</v>
      </c>
      <c r="F1" s="177"/>
      <c r="G1" s="177"/>
    </row>
    <row r="2" spans="1:8">
      <c r="A2" s="197"/>
      <c r="B2" s="174"/>
      <c r="C2" s="174"/>
      <c r="D2" s="12"/>
      <c r="E2" s="1" t="s">
        <v>18</v>
      </c>
      <c r="F2" s="1" t="s">
        <v>60</v>
      </c>
      <c r="G2" s="1" t="s">
        <v>59</v>
      </c>
      <c r="H2" s="1" t="s">
        <v>61</v>
      </c>
    </row>
    <row r="3" spans="1:8">
      <c r="A3" s="197"/>
      <c r="B3" s="3" t="s">
        <v>15</v>
      </c>
      <c r="C3" s="3" t="s">
        <v>37</v>
      </c>
      <c r="D3" s="1"/>
      <c r="E3" s="1">
        <v>36.5</v>
      </c>
      <c r="F3" s="1">
        <v>1.19</v>
      </c>
      <c r="G3" s="10">
        <v>12.1</v>
      </c>
      <c r="H3">
        <f>F3*1000*37%/36.5</f>
        <v>12.063013698630137</v>
      </c>
    </row>
    <row r="4" spans="1:8">
      <c r="A4" s="8"/>
      <c r="B4" s="1" t="s">
        <v>117</v>
      </c>
      <c r="C4" s="1">
        <v>12.1</v>
      </c>
      <c r="D4" s="1"/>
      <c r="G4" s="10"/>
    </row>
    <row r="5" spans="1:8">
      <c r="A5" s="8"/>
      <c r="B5" s="1" t="s">
        <v>118</v>
      </c>
      <c r="C5" s="1">
        <v>2</v>
      </c>
      <c r="D5" s="1"/>
      <c r="G5" s="10"/>
    </row>
    <row r="6" spans="1:8">
      <c r="B6" s="1" t="s">
        <v>119</v>
      </c>
      <c r="C6" s="73">
        <v>0.75</v>
      </c>
      <c r="D6" s="1"/>
    </row>
    <row r="7" spans="1:8">
      <c r="B7" s="3" t="s">
        <v>62</v>
      </c>
      <c r="C7" s="41">
        <f>(C6*C5/C4)*1000</f>
        <v>123.96694214876034</v>
      </c>
      <c r="D7" s="10"/>
      <c r="E7" s="41"/>
      <c r="G7" s="10"/>
    </row>
    <row r="8" spans="1:8">
      <c r="B8" s="1"/>
    </row>
    <row r="9" spans="1:8">
      <c r="B9" s="174" t="s">
        <v>121</v>
      </c>
      <c r="C9" s="174"/>
    </row>
    <row r="10" spans="1:8">
      <c r="B10" s="3" t="s">
        <v>15</v>
      </c>
      <c r="C10" s="3" t="s">
        <v>115</v>
      </c>
    </row>
    <row r="11" spans="1:8">
      <c r="B11" s="1" t="s">
        <v>118</v>
      </c>
      <c r="C11" s="1">
        <v>1</v>
      </c>
    </row>
    <row r="12" spans="1:8">
      <c r="B12" s="1" t="s">
        <v>119</v>
      </c>
      <c r="C12" s="73">
        <v>0.5</v>
      </c>
    </row>
    <row r="13" spans="1:8">
      <c r="B13" s="3" t="s">
        <v>71</v>
      </c>
      <c r="C13" s="10">
        <f>C12*C11*(23+16+1)</f>
        <v>20</v>
      </c>
      <c r="E13" s="3"/>
    </row>
    <row r="15" spans="1:8">
      <c r="B15" s="42" t="s">
        <v>113</v>
      </c>
    </row>
    <row r="16" spans="1:8">
      <c r="B16" s="196" t="s">
        <v>122</v>
      </c>
      <c r="C16" s="196"/>
    </row>
    <row r="17" spans="2:7" ht="14.65" customHeight="1">
      <c r="B17" s="171" t="s">
        <v>123</v>
      </c>
      <c r="C17" s="171"/>
      <c r="D17" s="171"/>
      <c r="E17" s="171"/>
      <c r="F17" s="171"/>
      <c r="G17" s="171"/>
    </row>
    <row r="18" spans="2:7">
      <c r="B18" s="171"/>
      <c r="C18" s="171"/>
      <c r="D18" s="171"/>
      <c r="E18" s="171"/>
      <c r="F18" s="171"/>
      <c r="G18" s="171"/>
    </row>
    <row r="19" spans="2:7">
      <c r="B19" s="163" t="s">
        <v>124</v>
      </c>
      <c r="C19" s="163"/>
    </row>
  </sheetData>
  <mergeCells count="7">
    <mergeCell ref="B19:C19"/>
    <mergeCell ref="B9:C9"/>
    <mergeCell ref="B16:C16"/>
    <mergeCell ref="B17:G18"/>
    <mergeCell ref="A1:A3"/>
    <mergeCell ref="E1:G1"/>
    <mergeCell ref="B1:C2"/>
  </mergeCells>
  <phoneticPr fontId="4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F348-6998-42EA-B330-DBC52868A850}">
  <sheetPr>
    <tabColor rgb="FFFF6D6D"/>
  </sheetPr>
  <dimension ref="A1:M31"/>
  <sheetViews>
    <sheetView topLeftCell="A5" workbookViewId="0">
      <selection activeCell="C21" sqref="C21"/>
    </sheetView>
  </sheetViews>
  <sheetFormatPr defaultColWidth="8.85546875" defaultRowHeight="15"/>
  <cols>
    <col min="1" max="1" width="9.7109375" bestFit="1" customWidth="1"/>
    <col min="2" max="2" width="12.7109375" customWidth="1"/>
    <col min="3" max="3" width="12.42578125" customWidth="1"/>
    <col min="4" max="4" width="12.7109375" customWidth="1"/>
    <col min="5" max="5" width="12.42578125" customWidth="1"/>
    <col min="8" max="8" width="8.85546875" style="91"/>
    <col min="9" max="9" width="19.5703125" style="2" customWidth="1"/>
    <col min="11" max="11" width="8.85546875" style="91"/>
    <col min="12" max="12" width="20.28515625" style="2" customWidth="1"/>
  </cols>
  <sheetData>
    <row r="1" spans="1:13" ht="60">
      <c r="B1" s="37" t="s">
        <v>180</v>
      </c>
      <c r="C1" s="37" t="s">
        <v>181</v>
      </c>
      <c r="D1" s="37" t="s">
        <v>250</v>
      </c>
      <c r="E1" s="37" t="s">
        <v>250</v>
      </c>
      <c r="F1" s="3" t="s">
        <v>77</v>
      </c>
      <c r="G1" s="3" t="s">
        <v>237</v>
      </c>
      <c r="H1" s="89" t="s">
        <v>238</v>
      </c>
      <c r="I1" s="13" t="s">
        <v>240</v>
      </c>
      <c r="J1" s="3" t="s">
        <v>237</v>
      </c>
      <c r="K1" s="89" t="s">
        <v>239</v>
      </c>
      <c r="L1" s="13" t="s">
        <v>240</v>
      </c>
      <c r="M1" t="s">
        <v>277</v>
      </c>
    </row>
    <row r="2" spans="1:13" s="1" customFormat="1">
      <c r="A2" s="9">
        <v>44945</v>
      </c>
      <c r="B2" s="1">
        <f>100/15.26366666</f>
        <v>6.5515057572673694</v>
      </c>
      <c r="C2" s="1">
        <f>100/13.9833</f>
        <v>7.151387726788383</v>
      </c>
      <c r="H2" s="90"/>
      <c r="I2" s="13"/>
      <c r="K2" s="90"/>
      <c r="L2" s="13"/>
    </row>
    <row r="3" spans="1:13" s="1" customFormat="1">
      <c r="A3" s="9">
        <v>44945</v>
      </c>
      <c r="B3" s="1">
        <f>100/15.1146666</f>
        <v>6.6160903608684301</v>
      </c>
      <c r="H3" s="90"/>
      <c r="I3" s="13"/>
      <c r="K3" s="90"/>
      <c r="L3" s="13"/>
    </row>
    <row r="4" spans="1:13" s="1" customFormat="1">
      <c r="A4" s="9">
        <v>44946</v>
      </c>
      <c r="B4" s="1">
        <f>25/(3+56.14/60)</f>
        <v>6.3521639705259592</v>
      </c>
      <c r="C4" s="1">
        <f>25/(3+34.76/60)</f>
        <v>6.984540882845967</v>
      </c>
      <c r="G4" s="1">
        <v>160</v>
      </c>
      <c r="H4" s="90">
        <v>388</v>
      </c>
      <c r="I4" s="13"/>
      <c r="J4" s="1">
        <v>170</v>
      </c>
      <c r="K4" s="90">
        <v>360</v>
      </c>
      <c r="L4" s="13"/>
    </row>
    <row r="5" spans="1:13" s="1" customFormat="1">
      <c r="A5" s="9">
        <v>44957</v>
      </c>
      <c r="B5" s="1">
        <f>25/(3+47.12/60)</f>
        <v>6.6044381824586118</v>
      </c>
      <c r="C5" s="1">
        <f>25/(3+20.02/60)</f>
        <v>7.4992500749925002</v>
      </c>
      <c r="D5" s="1">
        <f>AVERAGE(B5:B6)</f>
        <v>6.5847821164393903</v>
      </c>
      <c r="E5" s="1">
        <f>AVERAGE(C5:C6)</f>
        <v>7.4820824874813194</v>
      </c>
      <c r="G5" s="1">
        <v>170</v>
      </c>
      <c r="H5" s="90">
        <f>810/2</f>
        <v>405</v>
      </c>
      <c r="I5" s="13"/>
      <c r="J5" s="1">
        <v>180</v>
      </c>
      <c r="K5" s="90">
        <f>775/2</f>
        <v>387.5</v>
      </c>
      <c r="L5" s="13">
        <f>K5-K4</f>
        <v>27.5</v>
      </c>
    </row>
    <row r="6" spans="1:13" s="1" customFormat="1">
      <c r="A6" s="9">
        <v>44957</v>
      </c>
      <c r="B6" s="1">
        <f>25/(4+(6.25-17.77)/60)</f>
        <v>6.5651260504201687</v>
      </c>
      <c r="C6" s="1">
        <f>25/(3+20.94/60)</f>
        <v>7.4649148999701396</v>
      </c>
      <c r="H6" s="90"/>
      <c r="I6" s="13"/>
      <c r="J6" s="1">
        <v>190</v>
      </c>
      <c r="K6" s="90">
        <f>825/2</f>
        <v>412.5</v>
      </c>
      <c r="L6" s="13">
        <f>K6-K5</f>
        <v>25</v>
      </c>
    </row>
    <row r="7" spans="1:13" s="1" customFormat="1">
      <c r="A7" s="9">
        <v>44958</v>
      </c>
      <c r="B7" s="1">
        <f>25/(3+48/60)</f>
        <v>6.5789473684210531</v>
      </c>
      <c r="C7" s="1">
        <f>25/(3+26/60)</f>
        <v>7.2815533980582519</v>
      </c>
      <c r="F7" s="1" t="s">
        <v>261</v>
      </c>
      <c r="H7" s="90"/>
      <c r="I7" s="13"/>
      <c r="J7" s="1">
        <v>187</v>
      </c>
      <c r="K7" s="90">
        <f>810/2</f>
        <v>405</v>
      </c>
      <c r="L7" s="13"/>
    </row>
    <row r="8" spans="1:13" s="1" customFormat="1">
      <c r="A8" s="9">
        <v>44963</v>
      </c>
      <c r="B8" s="1">
        <f>25/(3+44/60)</f>
        <v>6.6964285714285712</v>
      </c>
      <c r="C8" s="1">
        <f>25/(3+27/60)</f>
        <v>7.2463768115942022</v>
      </c>
      <c r="H8" s="90"/>
      <c r="I8" s="13"/>
      <c r="K8" s="90"/>
      <c r="L8" s="13"/>
    </row>
    <row r="9" spans="1:13" s="1" customFormat="1">
      <c r="A9" s="9">
        <v>44967</v>
      </c>
      <c r="C9" s="1">
        <f>25/(3+12/60)</f>
        <v>7.8125</v>
      </c>
      <c r="H9" s="90"/>
      <c r="I9" s="13"/>
      <c r="K9" s="90"/>
      <c r="L9" s="13"/>
    </row>
    <row r="10" spans="1:13" s="1" customFormat="1">
      <c r="A10" s="9">
        <v>44971</v>
      </c>
      <c r="C10" s="1">
        <f>25/(3+21/60)</f>
        <v>7.4626865671641793</v>
      </c>
      <c r="G10" s="1">
        <v>170</v>
      </c>
      <c r="H10" s="90">
        <f>829/2.5</f>
        <v>331.6</v>
      </c>
      <c r="I10" s="13" t="s">
        <v>241</v>
      </c>
      <c r="J10" s="1">
        <v>187</v>
      </c>
      <c r="K10" s="90">
        <f>760/2</f>
        <v>380</v>
      </c>
      <c r="L10" s="13"/>
    </row>
    <row r="11" spans="1:13" s="1" customFormat="1">
      <c r="A11" s="9">
        <v>44973</v>
      </c>
      <c r="B11" s="1">
        <f>25/(3+39/60)</f>
        <v>6.8493150684931505</v>
      </c>
      <c r="C11" s="1">
        <f>25/(3+15/60)</f>
        <v>7.6923076923076925</v>
      </c>
      <c r="G11" s="1">
        <v>195</v>
      </c>
      <c r="H11" s="90">
        <v>380</v>
      </c>
      <c r="I11" s="13"/>
      <c r="J11" s="1">
        <v>205</v>
      </c>
      <c r="K11" s="90">
        <v>425</v>
      </c>
      <c r="L11" s="13"/>
    </row>
    <row r="12" spans="1:13" s="1" customFormat="1">
      <c r="A12" s="9">
        <v>44978</v>
      </c>
      <c r="B12" s="1">
        <f>25/(3+58/60)</f>
        <v>6.3025210084033612</v>
      </c>
      <c r="C12" s="1">
        <f>25/(3+23/60)</f>
        <v>7.389162561576355</v>
      </c>
      <c r="G12" s="1">
        <v>210</v>
      </c>
      <c r="H12" s="90">
        <f>800/2</f>
        <v>400</v>
      </c>
      <c r="I12" s="13"/>
      <c r="J12" s="1">
        <v>196</v>
      </c>
      <c r="K12" s="90">
        <f>805/2</f>
        <v>402.5</v>
      </c>
      <c r="L12" s="13"/>
    </row>
    <row r="13" spans="1:13" s="1" customFormat="1" ht="75" customHeight="1">
      <c r="A13" s="9">
        <v>44981</v>
      </c>
      <c r="B13" s="1">
        <f>25/(3+49/60)</f>
        <v>6.5502183406113543</v>
      </c>
      <c r="C13" s="1">
        <f>25/(3+20/60)</f>
        <v>7.5</v>
      </c>
      <c r="G13" s="14">
        <v>212</v>
      </c>
      <c r="H13" s="92">
        <f>785/2</f>
        <v>392.5</v>
      </c>
      <c r="I13" s="49" t="s">
        <v>242</v>
      </c>
      <c r="J13" s="14">
        <v>196</v>
      </c>
      <c r="K13" s="92">
        <f>900/(2+10/60)</f>
        <v>415.38461538461542</v>
      </c>
      <c r="L13" s="49" t="s">
        <v>243</v>
      </c>
    </row>
    <row r="14" spans="1:13" s="1" customFormat="1">
      <c r="A14" s="9">
        <v>44991</v>
      </c>
      <c r="B14" s="1">
        <f>25/(3+31/60)</f>
        <v>7.109004739336493</v>
      </c>
      <c r="G14" s="1">
        <v>218</v>
      </c>
      <c r="H14" s="90">
        <f>830/2</f>
        <v>415</v>
      </c>
      <c r="I14" s="13"/>
      <c r="J14" s="1">
        <v>190</v>
      </c>
      <c r="K14" s="90">
        <f>780/2</f>
        <v>390</v>
      </c>
      <c r="L14" s="13"/>
    </row>
    <row r="15" spans="1:13" s="1" customFormat="1">
      <c r="A15" s="9">
        <v>44998</v>
      </c>
      <c r="B15" s="1">
        <f>25/(3+47/60)</f>
        <v>6.607929515418502</v>
      </c>
      <c r="C15" s="1">
        <f>25/(3+46.5/60)</f>
        <v>6.6225165562913908</v>
      </c>
      <c r="F15" s="1" t="s">
        <v>280</v>
      </c>
      <c r="H15" s="90"/>
      <c r="I15" s="13"/>
      <c r="J15" s="1">
        <v>193</v>
      </c>
      <c r="K15" s="90">
        <f>795/2</f>
        <v>397.5</v>
      </c>
      <c r="L15" s="13"/>
    </row>
    <row r="16" spans="1:13" s="1" customFormat="1" ht="75">
      <c r="A16" s="9">
        <v>45020</v>
      </c>
      <c r="B16" s="1">
        <f>25/(3+48.32/60)</f>
        <v>6.5697266993693058</v>
      </c>
      <c r="C16" s="1">
        <f>25/(3+32.72/60)</f>
        <v>7.0515231289958633</v>
      </c>
      <c r="G16" s="1">
        <v>222</v>
      </c>
      <c r="H16" s="90"/>
      <c r="I16" s="93" t="s">
        <v>244</v>
      </c>
      <c r="J16" s="1">
        <v>193</v>
      </c>
      <c r="K16" s="90"/>
      <c r="L16" s="93" t="s">
        <v>245</v>
      </c>
    </row>
    <row r="17" spans="1:13" s="1" customFormat="1">
      <c r="A17" s="177" t="s">
        <v>295</v>
      </c>
      <c r="B17" s="177"/>
      <c r="C17" s="177"/>
      <c r="G17" s="155" t="s">
        <v>246</v>
      </c>
      <c r="H17" s="155"/>
      <c r="I17" s="155"/>
      <c r="J17" s="155"/>
      <c r="K17" s="155"/>
      <c r="L17" s="155"/>
    </row>
    <row r="18" spans="1:13" s="1" customFormat="1">
      <c r="A18" s="135">
        <v>45083</v>
      </c>
      <c r="B18" s="1">
        <v>8.0500000000000007</v>
      </c>
      <c r="C18" s="1">
        <v>8.6999999999999993</v>
      </c>
      <c r="G18" s="1">
        <v>225</v>
      </c>
      <c r="H18" s="90"/>
      <c r="I18" s="13"/>
      <c r="J18" s="1">
        <v>200</v>
      </c>
      <c r="K18" s="90"/>
      <c r="L18" s="13" t="s">
        <v>247</v>
      </c>
    </row>
    <row r="19" spans="1:13" s="1" customFormat="1">
      <c r="A19" s="135">
        <v>45083</v>
      </c>
      <c r="B19" s="1">
        <v>7.95</v>
      </c>
      <c r="C19" s="1">
        <v>8.6999999999999993</v>
      </c>
      <c r="H19" s="90"/>
      <c r="I19" s="13"/>
      <c r="J19" s="1">
        <v>215</v>
      </c>
      <c r="K19" s="90"/>
      <c r="L19" s="1" t="s">
        <v>248</v>
      </c>
    </row>
    <row r="20" spans="1:13" s="1" customFormat="1">
      <c r="A20" s="1" t="s">
        <v>296</v>
      </c>
      <c r="B20" s="1">
        <f>AVERAGE(B18:B19)</f>
        <v>8</v>
      </c>
      <c r="C20" s="1">
        <f>AVERAGE(C18:C19)</f>
        <v>8.6999999999999993</v>
      </c>
      <c r="H20" s="90"/>
      <c r="I20" s="13"/>
      <c r="J20" s="1">
        <v>225</v>
      </c>
      <c r="K20" s="90"/>
      <c r="L20" s="13" t="s">
        <v>249</v>
      </c>
    </row>
    <row r="21" spans="1:13" s="1" customFormat="1">
      <c r="A21" s="135">
        <v>45096</v>
      </c>
      <c r="B21" s="1">
        <v>6.1</v>
      </c>
      <c r="H21" s="90"/>
      <c r="I21" s="13"/>
      <c r="J21" s="1">
        <v>335</v>
      </c>
      <c r="K21" s="90"/>
      <c r="L21" s="13"/>
    </row>
    <row r="22" spans="1:13" ht="45">
      <c r="J22" s="1">
        <v>213</v>
      </c>
      <c r="K22" s="91">
        <f>902/(1+50/60)</f>
        <v>491.99999999999994</v>
      </c>
      <c r="L22" s="2" t="s">
        <v>276</v>
      </c>
      <c r="M22">
        <v>75</v>
      </c>
    </row>
    <row r="23" spans="1:13">
      <c r="J23" s="1">
        <v>205</v>
      </c>
      <c r="K23" s="91">
        <f>560/1</f>
        <v>560</v>
      </c>
    </row>
    <row r="24" spans="1:13">
      <c r="J24" s="1">
        <v>190</v>
      </c>
      <c r="K24" s="91">
        <v>510</v>
      </c>
    </row>
    <row r="25" spans="1:13">
      <c r="J25" s="1">
        <v>170</v>
      </c>
      <c r="K25" s="91">
        <v>450</v>
      </c>
      <c r="L25" s="2">
        <f>(K24-K25)/(J24-J25)</f>
        <v>3</v>
      </c>
      <c r="M25">
        <f>50/3</f>
        <v>16.666666666666668</v>
      </c>
    </row>
    <row r="26" spans="1:13">
      <c r="J26" s="1">
        <v>154</v>
      </c>
      <c r="K26" s="91">
        <v>410</v>
      </c>
    </row>
    <row r="27" spans="1:13">
      <c r="J27" s="1">
        <v>150</v>
      </c>
      <c r="K27" s="91">
        <v>400</v>
      </c>
    </row>
    <row r="28" spans="1:13">
      <c r="J28" s="1">
        <v>170</v>
      </c>
      <c r="K28" s="91">
        <f>915/2</f>
        <v>457.5</v>
      </c>
    </row>
    <row r="29" spans="1:13">
      <c r="J29" s="1">
        <v>167</v>
      </c>
      <c r="K29" s="91">
        <f>880/2</f>
        <v>440</v>
      </c>
    </row>
    <row r="30" spans="1:13">
      <c r="J30" s="1">
        <v>168</v>
      </c>
      <c r="K30" s="91">
        <f>667/1.5</f>
        <v>444.66666666666669</v>
      </c>
    </row>
    <row r="31" spans="1:13">
      <c r="J31" s="1">
        <v>169</v>
      </c>
      <c r="K31" s="91">
        <f>670/1.5</f>
        <v>446.66666666666669</v>
      </c>
    </row>
  </sheetData>
  <mergeCells count="2">
    <mergeCell ref="G17:L17"/>
    <mergeCell ref="A17:C17"/>
  </mergeCells>
  <phoneticPr fontId="4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C7D4-0E5E-4D1B-9512-6A01EA0FCFA8}">
  <dimension ref="A1:N26"/>
  <sheetViews>
    <sheetView topLeftCell="B13" workbookViewId="0">
      <selection activeCell="G15" sqref="G15"/>
    </sheetView>
  </sheetViews>
  <sheetFormatPr defaultRowHeight="15"/>
  <cols>
    <col min="2" max="2" width="20.42578125" customWidth="1"/>
    <col min="3" max="3" width="17.140625" customWidth="1"/>
    <col min="4" max="4" width="13.140625" customWidth="1"/>
    <col min="6" max="6" width="15.7109375" customWidth="1"/>
    <col min="7" max="7" width="27" customWidth="1"/>
  </cols>
  <sheetData>
    <row r="1" spans="1:14" ht="15.75">
      <c r="A1" s="79"/>
      <c r="B1" s="79"/>
      <c r="C1" s="79"/>
      <c r="D1" s="79" t="s">
        <v>217</v>
      </c>
      <c r="E1" s="79" t="s">
        <v>218</v>
      </c>
      <c r="F1" s="79" t="s">
        <v>216</v>
      </c>
      <c r="G1" s="79" t="s">
        <v>235</v>
      </c>
      <c r="H1" s="79" t="s">
        <v>240</v>
      </c>
      <c r="M1" s="88" t="s">
        <v>288</v>
      </c>
      <c r="N1" s="131" t="s">
        <v>289</v>
      </c>
    </row>
    <row r="2" spans="1:14" ht="16.5">
      <c r="A2" s="79">
        <v>1</v>
      </c>
      <c r="B2" s="80" t="s">
        <v>214</v>
      </c>
      <c r="C2" s="80" t="s">
        <v>224</v>
      </c>
      <c r="D2" s="81"/>
      <c r="E2" s="81"/>
      <c r="F2" s="81"/>
      <c r="G2" s="79"/>
      <c r="H2" s="79"/>
    </row>
    <row r="3" spans="1:14" ht="31.5" customHeight="1">
      <c r="A3" s="79">
        <v>2</v>
      </c>
      <c r="B3" s="80" t="s">
        <v>24</v>
      </c>
      <c r="C3" s="80" t="s">
        <v>225</v>
      </c>
      <c r="D3" s="81" t="s">
        <v>219</v>
      </c>
      <c r="E3" s="81" t="s">
        <v>221</v>
      </c>
      <c r="F3" s="87">
        <v>44953</v>
      </c>
      <c r="G3" s="88" t="s">
        <v>236</v>
      </c>
      <c r="H3" s="79"/>
    </row>
    <row r="4" spans="1:14" ht="34.5" customHeight="1">
      <c r="A4" s="79">
        <v>3</v>
      </c>
      <c r="B4" s="80" t="s">
        <v>25</v>
      </c>
      <c r="C4" s="80" t="s">
        <v>226</v>
      </c>
      <c r="D4" s="81"/>
      <c r="E4" s="81"/>
      <c r="F4" s="87"/>
      <c r="G4" s="79"/>
      <c r="H4" s="79"/>
    </row>
    <row r="5" spans="1:14">
      <c r="A5" s="79">
        <v>4</v>
      </c>
      <c r="B5" s="80" t="s">
        <v>2</v>
      </c>
      <c r="C5" s="80"/>
      <c r="D5" s="81"/>
      <c r="E5" s="81"/>
      <c r="F5" s="87"/>
      <c r="G5" s="79"/>
      <c r="H5" s="79"/>
    </row>
    <row r="6" spans="1:14">
      <c r="A6" s="79">
        <v>5</v>
      </c>
      <c r="B6" s="80" t="s">
        <v>3</v>
      </c>
      <c r="C6" s="80"/>
      <c r="D6" s="81"/>
      <c r="E6" s="81"/>
      <c r="F6" s="87"/>
      <c r="G6" s="79"/>
      <c r="H6" s="79"/>
    </row>
    <row r="7" spans="1:14" ht="37.5" customHeight="1">
      <c r="A7" s="79">
        <v>6</v>
      </c>
      <c r="B7" s="82" t="s">
        <v>102</v>
      </c>
      <c r="C7" s="82" t="s">
        <v>227</v>
      </c>
      <c r="D7" s="81" t="s">
        <v>219</v>
      </c>
      <c r="E7" s="81" t="s">
        <v>220</v>
      </c>
      <c r="F7" s="87">
        <v>44953</v>
      </c>
      <c r="G7" s="88" t="s">
        <v>236</v>
      </c>
      <c r="H7" s="79"/>
    </row>
    <row r="8" spans="1:14" ht="30">
      <c r="A8" s="79">
        <v>7</v>
      </c>
      <c r="B8" s="83" t="s">
        <v>35</v>
      </c>
      <c r="C8" s="84" t="s">
        <v>228</v>
      </c>
      <c r="D8" s="81" t="s">
        <v>222</v>
      </c>
      <c r="E8" s="81" t="s">
        <v>223</v>
      </c>
      <c r="F8" s="87">
        <v>44953</v>
      </c>
      <c r="G8" s="88" t="s">
        <v>236</v>
      </c>
      <c r="H8" s="79"/>
    </row>
    <row r="9" spans="1:14" ht="16.5">
      <c r="A9" s="79">
        <v>8</v>
      </c>
      <c r="B9" s="85" t="s">
        <v>32</v>
      </c>
      <c r="C9" s="86" t="s">
        <v>229</v>
      </c>
      <c r="D9" s="81"/>
      <c r="E9" s="81"/>
      <c r="F9" s="81"/>
      <c r="G9" s="79"/>
      <c r="H9" s="79"/>
    </row>
    <row r="10" spans="1:14" ht="30">
      <c r="A10" s="79">
        <v>9</v>
      </c>
      <c r="B10" s="85" t="s">
        <v>29</v>
      </c>
      <c r="C10" s="86" t="s">
        <v>230</v>
      </c>
      <c r="D10" s="81"/>
      <c r="E10" s="81"/>
      <c r="F10" s="81"/>
      <c r="G10" s="79"/>
      <c r="H10" s="79"/>
    </row>
    <row r="11" spans="1:14">
      <c r="A11" s="79">
        <v>10</v>
      </c>
      <c r="B11" s="85" t="s">
        <v>34</v>
      </c>
      <c r="C11" s="86" t="s">
        <v>9</v>
      </c>
      <c r="D11" s="81"/>
      <c r="E11" s="81"/>
      <c r="F11" s="81"/>
      <c r="G11" s="79"/>
      <c r="H11" s="79"/>
    </row>
    <row r="12" spans="1:14" ht="30">
      <c r="A12" s="79">
        <v>11</v>
      </c>
      <c r="B12" s="85" t="s">
        <v>28</v>
      </c>
      <c r="C12" s="86" t="s">
        <v>231</v>
      </c>
      <c r="D12" s="81"/>
      <c r="E12" s="81"/>
      <c r="F12" s="81"/>
      <c r="G12" s="79"/>
      <c r="H12" s="79"/>
    </row>
    <row r="13" spans="1:14" ht="30">
      <c r="A13" s="79">
        <v>12</v>
      </c>
      <c r="B13" s="85" t="s">
        <v>27</v>
      </c>
      <c r="C13" s="86" t="s">
        <v>232</v>
      </c>
      <c r="D13" s="81"/>
      <c r="E13" s="81"/>
      <c r="F13" s="81"/>
      <c r="G13" s="79"/>
      <c r="H13" s="79"/>
    </row>
    <row r="14" spans="1:14" ht="30">
      <c r="A14" s="79">
        <v>13</v>
      </c>
      <c r="B14" s="85" t="s">
        <v>30</v>
      </c>
      <c r="C14" s="86" t="s">
        <v>233</v>
      </c>
      <c r="D14" s="81"/>
      <c r="E14" s="81"/>
      <c r="F14" s="81"/>
      <c r="G14" s="79"/>
      <c r="H14" s="79"/>
    </row>
    <row r="15" spans="1:14" ht="30">
      <c r="A15" s="79">
        <v>14</v>
      </c>
      <c r="B15" s="85" t="s">
        <v>31</v>
      </c>
      <c r="C15" s="86" t="s">
        <v>234</v>
      </c>
      <c r="D15" s="81"/>
      <c r="E15" s="81"/>
      <c r="F15" s="81"/>
      <c r="G15" s="79"/>
      <c r="H15" s="79"/>
    </row>
    <row r="16" spans="1:14" ht="30">
      <c r="A16" s="79">
        <v>15</v>
      </c>
      <c r="B16" s="102" t="s">
        <v>190</v>
      </c>
      <c r="C16" s="102" t="s">
        <v>260</v>
      </c>
      <c r="D16" s="81"/>
      <c r="E16" s="81"/>
      <c r="F16" s="81"/>
      <c r="G16" s="79"/>
      <c r="H16" s="79"/>
    </row>
    <row r="17" spans="1:8" ht="60">
      <c r="A17" s="79">
        <v>16</v>
      </c>
      <c r="B17" s="94" t="s">
        <v>184</v>
      </c>
      <c r="C17" s="95" t="s">
        <v>4</v>
      </c>
      <c r="D17" s="96"/>
      <c r="E17" s="96"/>
      <c r="F17" s="81"/>
      <c r="G17" s="79"/>
      <c r="H17" s="79"/>
    </row>
    <row r="18" spans="1:8" ht="16.5">
      <c r="A18" s="79">
        <v>17</v>
      </c>
      <c r="B18" s="97" t="s">
        <v>251</v>
      </c>
      <c r="C18" s="98" t="s">
        <v>257</v>
      </c>
      <c r="D18" s="99" t="s">
        <v>252</v>
      </c>
      <c r="E18" s="99">
        <v>241245</v>
      </c>
      <c r="F18" s="100">
        <v>44957</v>
      </c>
      <c r="G18" s="88" t="s">
        <v>236</v>
      </c>
      <c r="H18" s="79"/>
    </row>
    <row r="19" spans="1:8" ht="15.75">
      <c r="A19" s="79">
        <v>18</v>
      </c>
      <c r="B19" s="97" t="s">
        <v>254</v>
      </c>
      <c r="C19" s="99" t="s">
        <v>253</v>
      </c>
      <c r="D19" s="99" t="s">
        <v>252</v>
      </c>
      <c r="E19" s="146" t="s">
        <v>311</v>
      </c>
      <c r="F19" s="11">
        <v>44963</v>
      </c>
      <c r="G19" s="88" t="s">
        <v>236</v>
      </c>
    </row>
    <row r="20" spans="1:8" ht="30">
      <c r="A20" s="79">
        <v>19</v>
      </c>
      <c r="B20" s="97" t="s">
        <v>256</v>
      </c>
      <c r="C20" s="99" t="s">
        <v>255</v>
      </c>
      <c r="D20" s="99" t="s">
        <v>258</v>
      </c>
      <c r="E20" s="101" t="s">
        <v>259</v>
      </c>
      <c r="F20" s="11">
        <v>44957</v>
      </c>
      <c r="G20" s="88" t="s">
        <v>236</v>
      </c>
    </row>
    <row r="21" spans="1:8" s="111" customFormat="1" ht="15.75">
      <c r="A21" s="104">
        <v>20</v>
      </c>
      <c r="B21" s="105" t="s">
        <v>268</v>
      </c>
      <c r="C21" s="106">
        <v>0.3</v>
      </c>
      <c r="D21" s="107" t="s">
        <v>269</v>
      </c>
      <c r="E21" s="108" t="s">
        <v>270</v>
      </c>
      <c r="F21" s="109">
        <v>44963</v>
      </c>
      <c r="G21" s="110" t="s">
        <v>236</v>
      </c>
    </row>
    <row r="22" spans="1:8" ht="30">
      <c r="A22" s="79">
        <v>21</v>
      </c>
      <c r="B22" s="97" t="s">
        <v>262</v>
      </c>
      <c r="C22" s="103" t="s">
        <v>263</v>
      </c>
      <c r="D22" t="s">
        <v>264</v>
      </c>
      <c r="E22" s="103" t="s">
        <v>265</v>
      </c>
      <c r="F22" s="11">
        <v>44963</v>
      </c>
      <c r="G22" s="88" t="s">
        <v>236</v>
      </c>
      <c r="H22" t="s">
        <v>266</v>
      </c>
    </row>
    <row r="23" spans="1:8">
      <c r="A23" s="79">
        <v>22</v>
      </c>
    </row>
    <row r="24" spans="1:8" ht="15.75">
      <c r="A24" s="79">
        <v>23</v>
      </c>
      <c r="B24" s="97" t="s">
        <v>273</v>
      </c>
      <c r="D24" t="s">
        <v>264</v>
      </c>
      <c r="E24" t="s">
        <v>274</v>
      </c>
      <c r="F24" s="11">
        <v>44964</v>
      </c>
      <c r="G24" s="88" t="s">
        <v>236</v>
      </c>
      <c r="H24" t="s">
        <v>272</v>
      </c>
    </row>
    <row r="25" spans="1:8">
      <c r="A25" s="79">
        <v>24</v>
      </c>
    </row>
    <row r="26" spans="1:8">
      <c r="A26" s="79">
        <v>25</v>
      </c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226B-5951-4581-B7E1-6E4296F3DBD4}">
  <dimension ref="A1"/>
  <sheetViews>
    <sheetView workbookViewId="0"/>
  </sheetViews>
  <sheetFormatPr defaultRowHeight="15"/>
  <sheetData/>
  <phoneticPr fontId="4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B549-1330-453D-A0BC-E157691B8A51}">
  <dimension ref="A1:I215"/>
  <sheetViews>
    <sheetView workbookViewId="0">
      <selection activeCell="B9" sqref="B9"/>
    </sheetView>
  </sheetViews>
  <sheetFormatPr defaultColWidth="8.85546875" defaultRowHeight="15"/>
  <cols>
    <col min="1" max="1" width="30.140625" style="3" customWidth="1"/>
    <col min="2" max="2" width="36" style="3" customWidth="1"/>
    <col min="3" max="3" width="22" customWidth="1"/>
  </cols>
  <sheetData>
    <row r="1" spans="1:6">
      <c r="A1" s="174" t="s">
        <v>14</v>
      </c>
      <c r="B1" s="173" t="s">
        <v>38</v>
      </c>
      <c r="D1" t="s">
        <v>39</v>
      </c>
    </row>
    <row r="2" spans="1:6">
      <c r="A2" s="174"/>
      <c r="B2" s="173"/>
      <c r="D2" t="s">
        <v>53</v>
      </c>
    </row>
    <row r="3" spans="1:6" ht="18">
      <c r="A3" s="3" t="s">
        <v>15</v>
      </c>
      <c r="B3" s="1" t="s">
        <v>54</v>
      </c>
    </row>
    <row r="4" spans="1:6">
      <c r="B4" s="1"/>
    </row>
    <row r="5" spans="1:6">
      <c r="A5" s="3" t="s">
        <v>16</v>
      </c>
      <c r="B5" s="9">
        <v>44414</v>
      </c>
      <c r="C5" t="s">
        <v>82</v>
      </c>
      <c r="F5">
        <f>(6*2.6/14)*85</f>
        <v>94.714285714285722</v>
      </c>
    </row>
    <row r="6" spans="1:6">
      <c r="A6" s="3" t="s">
        <v>95</v>
      </c>
      <c r="B6" s="10">
        <v>100</v>
      </c>
      <c r="C6">
        <v>1</v>
      </c>
    </row>
    <row r="7" spans="1:6">
      <c r="A7" s="1" t="s">
        <v>52</v>
      </c>
      <c r="B7" s="73">
        <v>10</v>
      </c>
      <c r="C7" s="1"/>
      <c r="F7">
        <f>2.6*80/12</f>
        <v>17.333333333333332</v>
      </c>
    </row>
    <row r="8" spans="1:6">
      <c r="A8" s="1" t="s">
        <v>55</v>
      </c>
      <c r="B8" s="28">
        <v>2</v>
      </c>
      <c r="C8" s="1"/>
    </row>
    <row r="9" spans="1:6">
      <c r="A9" s="1" t="s">
        <v>90</v>
      </c>
      <c r="B9" s="1">
        <f>3*B6*0.001/(B7*B8*0.001)</f>
        <v>15</v>
      </c>
      <c r="C9" s="1"/>
    </row>
    <row r="10" spans="1:6">
      <c r="A10" s="1" t="s">
        <v>91</v>
      </c>
      <c r="B10" s="4">
        <f>(B9/14)*85</f>
        <v>91.071428571428569</v>
      </c>
      <c r="C10" s="4"/>
    </row>
    <row r="11" spans="1:6">
      <c r="A11" s="23" t="s">
        <v>71</v>
      </c>
      <c r="B11" s="24">
        <f>B10*C6</f>
        <v>91.071428571428569</v>
      </c>
      <c r="C11" s="4"/>
    </row>
    <row r="12" spans="1:6">
      <c r="A12" s="3" t="s">
        <v>77</v>
      </c>
      <c r="B12" s="1" t="s">
        <v>26</v>
      </c>
    </row>
    <row r="13" spans="1:6">
      <c r="B13" s="1"/>
    </row>
    <row r="14" spans="1:6">
      <c r="A14" s="3" t="s">
        <v>16</v>
      </c>
      <c r="B14" s="9"/>
      <c r="C14" t="s">
        <v>82</v>
      </c>
    </row>
    <row r="15" spans="1:6">
      <c r="A15" s="3" t="s">
        <v>95</v>
      </c>
      <c r="B15" s="10">
        <v>10</v>
      </c>
      <c r="C15">
        <v>0.25</v>
      </c>
    </row>
    <row r="16" spans="1:6">
      <c r="A16" s="1" t="s">
        <v>52</v>
      </c>
      <c r="B16" s="1">
        <v>10</v>
      </c>
    </row>
    <row r="17" spans="1:3">
      <c r="A17" s="1" t="s">
        <v>55</v>
      </c>
      <c r="B17" s="28">
        <v>0.5</v>
      </c>
    </row>
    <row r="18" spans="1:3">
      <c r="A18" s="1" t="s">
        <v>90</v>
      </c>
      <c r="B18" s="1">
        <f>12*B15*0.001/(B16*B17*0.001)</f>
        <v>24</v>
      </c>
    </row>
    <row r="19" spans="1:3">
      <c r="A19" s="1" t="s">
        <v>91</v>
      </c>
      <c r="B19" s="4">
        <f>(B18/14)*85</f>
        <v>145.71428571428569</v>
      </c>
    </row>
    <row r="20" spans="1:3">
      <c r="A20" s="23" t="s">
        <v>71</v>
      </c>
      <c r="B20" s="24">
        <f>B19*C15</f>
        <v>36.428571428571423</v>
      </c>
    </row>
    <row r="21" spans="1:3">
      <c r="A21" s="3" t="s">
        <v>77</v>
      </c>
      <c r="B21" s="27" t="s">
        <v>92</v>
      </c>
    </row>
    <row r="23" spans="1:3">
      <c r="A23" s="3" t="s">
        <v>16</v>
      </c>
      <c r="B23" s="9">
        <v>44431</v>
      </c>
      <c r="C23" t="s">
        <v>82</v>
      </c>
    </row>
    <row r="24" spans="1:3">
      <c r="A24" s="3" t="s">
        <v>95</v>
      </c>
      <c r="B24" s="10">
        <v>10</v>
      </c>
      <c r="C24">
        <v>0.1</v>
      </c>
    </row>
    <row r="25" spans="1:3">
      <c r="A25" s="1" t="s">
        <v>52</v>
      </c>
      <c r="B25" s="1">
        <v>9.1</v>
      </c>
    </row>
    <row r="26" spans="1:3">
      <c r="A26" s="1" t="s">
        <v>55</v>
      </c>
      <c r="B26" s="28">
        <v>0.5</v>
      </c>
    </row>
    <row r="27" spans="1:3">
      <c r="A27" s="1" t="s">
        <v>57</v>
      </c>
      <c r="B27" s="4">
        <f>12*B24*0.001/(B25*B26*0.001)</f>
        <v>26.373626373626372</v>
      </c>
    </row>
    <row r="28" spans="1:3">
      <c r="A28" s="1" t="s">
        <v>58</v>
      </c>
      <c r="B28" s="4">
        <f>(B27/14)*85</f>
        <v>160.12558869701726</v>
      </c>
    </row>
    <row r="29" spans="1:3">
      <c r="A29" s="23" t="s">
        <v>71</v>
      </c>
      <c r="B29" s="24">
        <f>B28*C24</f>
        <v>16.012558869701728</v>
      </c>
    </row>
    <row r="30" spans="1:3">
      <c r="A30" s="3" t="s">
        <v>77</v>
      </c>
      <c r="B30" s="27" t="s">
        <v>93</v>
      </c>
    </row>
    <row r="33" spans="1:3">
      <c r="A33" s="3" t="s">
        <v>16</v>
      </c>
      <c r="B33" s="9" t="s">
        <v>89</v>
      </c>
      <c r="C33" t="s">
        <v>82</v>
      </c>
    </row>
    <row r="34" spans="1:3">
      <c r="A34" s="3" t="s">
        <v>95</v>
      </c>
      <c r="B34" s="10">
        <v>5</v>
      </c>
      <c r="C34">
        <v>0.1</v>
      </c>
    </row>
    <row r="35" spans="1:3">
      <c r="A35" s="1" t="s">
        <v>52</v>
      </c>
      <c r="B35" s="1">
        <v>9.1</v>
      </c>
    </row>
    <row r="36" spans="1:3">
      <c r="A36" s="1" t="s">
        <v>55</v>
      </c>
      <c r="B36" s="28">
        <v>0.5</v>
      </c>
    </row>
    <row r="37" spans="1:3">
      <c r="A37" s="1" t="s">
        <v>90</v>
      </c>
      <c r="B37" s="4">
        <f>12*B34*0.001/(B35*B36*0.001)</f>
        <v>13.186813186813186</v>
      </c>
    </row>
    <row r="38" spans="1:3">
      <c r="A38" s="1" t="s">
        <v>91</v>
      </c>
      <c r="B38" s="4">
        <f>(B37/14)*85</f>
        <v>80.062794348508632</v>
      </c>
    </row>
    <row r="39" spans="1:3">
      <c r="A39" s="23" t="s">
        <v>71</v>
      </c>
      <c r="B39" s="24">
        <f>B38*C34</f>
        <v>8.0062794348508639</v>
      </c>
    </row>
    <row r="40" spans="1:3">
      <c r="A40" s="3" t="s">
        <v>77</v>
      </c>
      <c r="B40" s="27" t="s">
        <v>94</v>
      </c>
    </row>
    <row r="42" spans="1:3">
      <c r="A42" s="3" t="s">
        <v>16</v>
      </c>
      <c r="B42" s="9" t="s">
        <v>106</v>
      </c>
      <c r="C42" t="s">
        <v>82</v>
      </c>
    </row>
    <row r="43" spans="1:3">
      <c r="A43" s="3" t="s">
        <v>95</v>
      </c>
      <c r="B43" s="10">
        <v>8</v>
      </c>
      <c r="C43">
        <v>0.1</v>
      </c>
    </row>
    <row r="44" spans="1:3">
      <c r="A44" s="1" t="s">
        <v>52</v>
      </c>
      <c r="B44" s="1">
        <v>9.1</v>
      </c>
    </row>
    <row r="45" spans="1:3">
      <c r="A45" s="1" t="s">
        <v>55</v>
      </c>
      <c r="B45" s="28">
        <v>0.5</v>
      </c>
    </row>
    <row r="46" spans="1:3">
      <c r="A46" s="1" t="s">
        <v>90</v>
      </c>
      <c r="B46" s="4">
        <f>12*B43*0.001/(B44*B45*0.001)</f>
        <v>21.098901098901099</v>
      </c>
    </row>
    <row r="47" spans="1:3">
      <c r="A47" s="1" t="s">
        <v>91</v>
      </c>
      <c r="B47" s="4">
        <f>(B46/14)*85</f>
        <v>128.10047095761379</v>
      </c>
    </row>
    <row r="48" spans="1:3">
      <c r="A48" s="23" t="s">
        <v>71</v>
      </c>
      <c r="B48" s="24">
        <f>B47*C43</f>
        <v>12.81004709576138</v>
      </c>
    </row>
    <row r="49" spans="1:4">
      <c r="A49" s="3" t="s">
        <v>77</v>
      </c>
      <c r="B49" s="27" t="s">
        <v>114</v>
      </c>
    </row>
    <row r="51" spans="1:4">
      <c r="A51" s="3" t="s">
        <v>16</v>
      </c>
      <c r="B51" s="9" t="s">
        <v>128</v>
      </c>
      <c r="C51" t="s">
        <v>82</v>
      </c>
    </row>
    <row r="52" spans="1:4">
      <c r="A52" s="3" t="s">
        <v>95</v>
      </c>
      <c r="B52" s="10">
        <v>12</v>
      </c>
      <c r="C52">
        <v>0.1</v>
      </c>
    </row>
    <row r="53" spans="1:4">
      <c r="A53" s="1" t="s">
        <v>52</v>
      </c>
      <c r="B53" s="1">
        <v>7.4</v>
      </c>
    </row>
    <row r="54" spans="1:4">
      <c r="A54" s="1" t="s">
        <v>55</v>
      </c>
      <c r="B54" s="28">
        <v>0.5</v>
      </c>
    </row>
    <row r="55" spans="1:4">
      <c r="A55" s="1" t="s">
        <v>90</v>
      </c>
      <c r="B55" s="4">
        <f>12*B52*0.001/(B53*B54*0.001)</f>
        <v>38.918918918918919</v>
      </c>
    </row>
    <row r="56" spans="1:4">
      <c r="A56" s="1" t="s">
        <v>91</v>
      </c>
      <c r="B56" s="4">
        <f>(B55/14)*85</f>
        <v>236.29343629343632</v>
      </c>
    </row>
    <row r="57" spans="1:4">
      <c r="A57" s="23" t="s">
        <v>71</v>
      </c>
      <c r="B57" s="24">
        <f>B56*C52</f>
        <v>23.629343629343634</v>
      </c>
      <c r="D57" s="44"/>
    </row>
    <row r="58" spans="1:4">
      <c r="A58" s="3" t="s">
        <v>77</v>
      </c>
      <c r="B58" s="27" t="s">
        <v>127</v>
      </c>
    </row>
    <row r="60" spans="1:4">
      <c r="A60" s="3" t="s">
        <v>16</v>
      </c>
      <c r="B60" s="9" t="s">
        <v>129</v>
      </c>
      <c r="C60" t="s">
        <v>82</v>
      </c>
    </row>
    <row r="61" spans="1:4">
      <c r="A61" s="3" t="s">
        <v>95</v>
      </c>
      <c r="B61" s="10">
        <v>12</v>
      </c>
      <c r="C61">
        <v>0.1</v>
      </c>
    </row>
    <row r="62" spans="1:4">
      <c r="A62" s="1" t="s">
        <v>52</v>
      </c>
      <c r="B62" s="1">
        <v>8.5</v>
      </c>
    </row>
    <row r="63" spans="1:4">
      <c r="A63" s="1" t="s">
        <v>55</v>
      </c>
      <c r="B63" s="28">
        <v>0.5</v>
      </c>
    </row>
    <row r="64" spans="1:4">
      <c r="A64" s="1" t="s">
        <v>90</v>
      </c>
      <c r="B64" s="4">
        <f>12*B61*0.001/(B62*B63*0.001)</f>
        <v>33.882352941176471</v>
      </c>
    </row>
    <row r="65" spans="1:3">
      <c r="A65" s="1" t="s">
        <v>91</v>
      </c>
      <c r="B65" s="4">
        <f>(B64/14)*85</f>
        <v>205.71428571428569</v>
      </c>
    </row>
    <row r="66" spans="1:3">
      <c r="A66" s="23" t="s">
        <v>71</v>
      </c>
      <c r="B66" s="24">
        <f>B65*C61</f>
        <v>20.571428571428569</v>
      </c>
    </row>
    <row r="67" spans="1:3">
      <c r="A67" s="3" t="s">
        <v>77</v>
      </c>
      <c r="B67" s="27" t="s">
        <v>130</v>
      </c>
    </row>
    <row r="69" spans="1:3">
      <c r="A69" s="3" t="s">
        <v>16</v>
      </c>
      <c r="B69" s="9" t="s">
        <v>141</v>
      </c>
      <c r="C69" t="s">
        <v>82</v>
      </c>
    </row>
    <row r="70" spans="1:3">
      <c r="A70" s="3" t="s">
        <v>95</v>
      </c>
      <c r="B70" s="10">
        <v>15</v>
      </c>
      <c r="C70">
        <v>0.1</v>
      </c>
    </row>
    <row r="71" spans="1:3">
      <c r="A71" s="1" t="s">
        <v>52</v>
      </c>
      <c r="B71" s="1">
        <v>8.4</v>
      </c>
    </row>
    <row r="72" spans="1:3">
      <c r="A72" s="1" t="s">
        <v>55</v>
      </c>
      <c r="B72" s="28">
        <v>0.5</v>
      </c>
    </row>
    <row r="73" spans="1:3">
      <c r="A73" s="1" t="s">
        <v>90</v>
      </c>
      <c r="B73" s="4">
        <f>12*B70*0.001/(B71*B72*0.001)</f>
        <v>42.857142857142847</v>
      </c>
    </row>
    <row r="74" spans="1:3">
      <c r="A74" s="1" t="s">
        <v>91</v>
      </c>
      <c r="B74" s="4">
        <f>(B73/14)*85</f>
        <v>260.20408163265301</v>
      </c>
    </row>
    <row r="75" spans="1:3">
      <c r="A75" s="23" t="s">
        <v>71</v>
      </c>
      <c r="B75" s="24">
        <f>B74*C70</f>
        <v>26.020408163265301</v>
      </c>
    </row>
    <row r="76" spans="1:3">
      <c r="A76" s="3" t="s">
        <v>77</v>
      </c>
      <c r="B76" s="27" t="s">
        <v>130</v>
      </c>
    </row>
    <row r="78" spans="1:3">
      <c r="A78" s="3" t="s">
        <v>16</v>
      </c>
      <c r="B78" s="9" t="s">
        <v>153</v>
      </c>
      <c r="C78" t="s">
        <v>82</v>
      </c>
    </row>
    <row r="79" spans="1:3">
      <c r="A79" s="3" t="s">
        <v>95</v>
      </c>
      <c r="B79" s="10">
        <v>20</v>
      </c>
      <c r="C79">
        <v>0.1</v>
      </c>
    </row>
    <row r="80" spans="1:3">
      <c r="A80" s="1" t="s">
        <v>52</v>
      </c>
      <c r="B80" s="1">
        <v>8.4</v>
      </c>
    </row>
    <row r="81" spans="1:3">
      <c r="A81" s="1" t="s">
        <v>55</v>
      </c>
      <c r="B81" s="28">
        <v>0.5</v>
      </c>
    </row>
    <row r="82" spans="1:3">
      <c r="A82" s="1" t="s">
        <v>90</v>
      </c>
      <c r="B82" s="4">
        <f>12*B79*0.001/(B80*B81*0.001)</f>
        <v>57.142857142857132</v>
      </c>
    </row>
    <row r="83" spans="1:3">
      <c r="A83" s="1" t="s">
        <v>91</v>
      </c>
      <c r="B83" s="4">
        <f>(B82/14)*85</f>
        <v>346.93877551020404</v>
      </c>
    </row>
    <row r="84" spans="1:3">
      <c r="A84" s="23" t="s">
        <v>71</v>
      </c>
      <c r="B84" s="24">
        <f>B83*C79</f>
        <v>34.693877551020407</v>
      </c>
    </row>
    <row r="85" spans="1:3">
      <c r="A85" s="3" t="s">
        <v>77</v>
      </c>
      <c r="B85" s="27" t="s">
        <v>130</v>
      </c>
    </row>
    <row r="87" spans="1:3">
      <c r="A87" s="3" t="s">
        <v>16</v>
      </c>
      <c r="B87" s="9" t="s">
        <v>153</v>
      </c>
      <c r="C87" t="s">
        <v>82</v>
      </c>
    </row>
    <row r="88" spans="1:3">
      <c r="A88" s="3" t="s">
        <v>95</v>
      </c>
      <c r="B88" s="10">
        <v>20</v>
      </c>
      <c r="C88">
        <v>0.1</v>
      </c>
    </row>
    <row r="89" spans="1:3">
      <c r="A89" s="1" t="s">
        <v>52</v>
      </c>
      <c r="B89" s="1">
        <v>8.4</v>
      </c>
    </row>
    <row r="90" spans="1:3">
      <c r="A90" s="1" t="s">
        <v>55</v>
      </c>
      <c r="B90" s="28">
        <v>0.5</v>
      </c>
    </row>
    <row r="91" spans="1:3">
      <c r="A91" s="1" t="s">
        <v>90</v>
      </c>
      <c r="B91" s="4">
        <f>12*B88*0.001/(B89*B90*0.001)</f>
        <v>57.142857142857132</v>
      </c>
    </row>
    <row r="92" spans="1:3">
      <c r="A92" s="1" t="s">
        <v>91</v>
      </c>
      <c r="B92" s="4">
        <f>(B91/14)*85</f>
        <v>346.93877551020404</v>
      </c>
    </row>
    <row r="93" spans="1:3">
      <c r="A93" s="23" t="s">
        <v>71</v>
      </c>
      <c r="B93" s="24">
        <f>B92*C88</f>
        <v>34.693877551020407</v>
      </c>
    </row>
    <row r="94" spans="1:3">
      <c r="A94" s="3" t="s">
        <v>77</v>
      </c>
      <c r="B94" s="27" t="s">
        <v>130</v>
      </c>
    </row>
    <row r="96" spans="1:3">
      <c r="A96" s="3" t="s">
        <v>16</v>
      </c>
      <c r="B96" s="9" t="s">
        <v>154</v>
      </c>
      <c r="C96" t="s">
        <v>82</v>
      </c>
    </row>
    <row r="97" spans="1:3">
      <c r="A97" s="3" t="s">
        <v>95</v>
      </c>
      <c r="B97" s="10">
        <v>25</v>
      </c>
      <c r="C97">
        <v>0.1</v>
      </c>
    </row>
    <row r="98" spans="1:3">
      <c r="A98" s="1" t="s">
        <v>52</v>
      </c>
      <c r="B98" s="1">
        <v>8.4</v>
      </c>
    </row>
    <row r="99" spans="1:3">
      <c r="A99" s="1" t="s">
        <v>55</v>
      </c>
      <c r="B99" s="28">
        <v>1</v>
      </c>
    </row>
    <row r="100" spans="1:3">
      <c r="A100" s="1" t="s">
        <v>90</v>
      </c>
      <c r="B100" s="4">
        <f>12*B97*0.001/(B98*B99*0.001)</f>
        <v>35.714285714285708</v>
      </c>
    </row>
    <row r="101" spans="1:3">
      <c r="A101" s="1" t="s">
        <v>91</v>
      </c>
      <c r="B101" s="4">
        <f>(B100/14)*85</f>
        <v>216.8367346938775</v>
      </c>
    </row>
    <row r="102" spans="1:3">
      <c r="A102" s="23" t="s">
        <v>71</v>
      </c>
      <c r="B102" s="24">
        <f>B101*C97</f>
        <v>21.683673469387752</v>
      </c>
    </row>
    <row r="103" spans="1:3">
      <c r="A103" s="3" t="s">
        <v>77</v>
      </c>
      <c r="B103" s="27" t="s">
        <v>130</v>
      </c>
    </row>
    <row r="105" spans="1:3">
      <c r="A105" s="3" t="s">
        <v>16</v>
      </c>
      <c r="B105" s="9" t="s">
        <v>160</v>
      </c>
      <c r="C105" t="s">
        <v>82</v>
      </c>
    </row>
    <row r="106" spans="1:3">
      <c r="A106" s="3" t="s">
        <v>95</v>
      </c>
      <c r="B106" s="10">
        <v>30</v>
      </c>
      <c r="C106">
        <v>0.1</v>
      </c>
    </row>
    <row r="107" spans="1:3">
      <c r="A107" s="1" t="s">
        <v>52</v>
      </c>
      <c r="B107" s="1">
        <v>8.4</v>
      </c>
    </row>
    <row r="108" spans="1:3">
      <c r="A108" s="1" t="s">
        <v>55</v>
      </c>
      <c r="B108" s="28">
        <v>1</v>
      </c>
    </row>
    <row r="109" spans="1:3">
      <c r="A109" s="1" t="s">
        <v>90</v>
      </c>
      <c r="B109" s="4">
        <f>12*B106*0.001/(B107*B108*0.001)</f>
        <v>42.857142857142847</v>
      </c>
    </row>
    <row r="110" spans="1:3">
      <c r="A110" s="1" t="s">
        <v>91</v>
      </c>
      <c r="B110" s="4">
        <f>(B109/14)*85</f>
        <v>260.20408163265301</v>
      </c>
    </row>
    <row r="111" spans="1:3">
      <c r="A111" s="23" t="s">
        <v>71</v>
      </c>
      <c r="B111" s="24">
        <f>B110*C106</f>
        <v>26.020408163265301</v>
      </c>
    </row>
    <row r="112" spans="1:3">
      <c r="A112" s="3" t="s">
        <v>77</v>
      </c>
      <c r="B112" s="27" t="s">
        <v>130</v>
      </c>
    </row>
    <row r="114" spans="1:3">
      <c r="A114" s="3" t="s">
        <v>16</v>
      </c>
      <c r="B114" s="9">
        <v>44633</v>
      </c>
      <c r="C114" t="s">
        <v>82</v>
      </c>
    </row>
    <row r="115" spans="1:3">
      <c r="A115" s="3" t="s">
        <v>95</v>
      </c>
      <c r="B115" s="10">
        <v>30</v>
      </c>
      <c r="C115">
        <v>0.25</v>
      </c>
    </row>
    <row r="116" spans="1:3">
      <c r="A116" s="1" t="s">
        <v>52</v>
      </c>
      <c r="B116" s="1">
        <v>8.4</v>
      </c>
    </row>
    <row r="117" spans="1:3">
      <c r="A117" s="1" t="s">
        <v>55</v>
      </c>
      <c r="B117" s="28">
        <v>1</v>
      </c>
    </row>
    <row r="118" spans="1:3">
      <c r="A118" s="1" t="s">
        <v>90</v>
      </c>
      <c r="B118" s="4">
        <f>12*B115*0.001/(B116*B117*0.001)</f>
        <v>42.857142857142847</v>
      </c>
    </row>
    <row r="119" spans="1:3">
      <c r="A119" s="1" t="s">
        <v>91</v>
      </c>
      <c r="B119" s="4">
        <f>(B118/14)*85</f>
        <v>260.20408163265301</v>
      </c>
    </row>
    <row r="120" spans="1:3">
      <c r="A120" s="23" t="s">
        <v>71</v>
      </c>
      <c r="B120" s="24">
        <f>B119*C115</f>
        <v>65.051020408163254</v>
      </c>
    </row>
    <row r="121" spans="1:3">
      <c r="A121" s="3" t="s">
        <v>77</v>
      </c>
      <c r="B121" s="27" t="s">
        <v>164</v>
      </c>
    </row>
    <row r="123" spans="1:3">
      <c r="A123" s="3" t="s">
        <v>16</v>
      </c>
      <c r="B123" s="9">
        <v>44664</v>
      </c>
      <c r="C123" t="s">
        <v>82</v>
      </c>
    </row>
    <row r="124" spans="1:3">
      <c r="A124" s="3" t="s">
        <v>95</v>
      </c>
      <c r="B124" s="10">
        <v>40</v>
      </c>
      <c r="C124">
        <v>0.25</v>
      </c>
    </row>
    <row r="125" spans="1:3">
      <c r="A125" s="1" t="s">
        <v>52</v>
      </c>
      <c r="B125" s="1">
        <v>8</v>
      </c>
    </row>
    <row r="126" spans="1:3">
      <c r="A126" s="1" t="s">
        <v>55</v>
      </c>
      <c r="B126" s="28">
        <v>1</v>
      </c>
    </row>
    <row r="127" spans="1:3">
      <c r="A127" s="1" t="s">
        <v>90</v>
      </c>
      <c r="B127" s="4">
        <f>12*B124*0.001/(B125*B126*0.001)</f>
        <v>60</v>
      </c>
    </row>
    <row r="128" spans="1:3">
      <c r="A128" s="1" t="s">
        <v>91</v>
      </c>
      <c r="B128" s="4">
        <f>(B127/14)*85</f>
        <v>364.28571428571428</v>
      </c>
    </row>
    <row r="129" spans="1:3">
      <c r="A129" s="23" t="s">
        <v>71</v>
      </c>
      <c r="B129" s="24">
        <f>B128*C124</f>
        <v>91.071428571428569</v>
      </c>
    </row>
    <row r="130" spans="1:3">
      <c r="A130" s="3" t="s">
        <v>77</v>
      </c>
      <c r="B130" s="27" t="s">
        <v>167</v>
      </c>
    </row>
    <row r="132" spans="1:3">
      <c r="A132" s="3" t="s">
        <v>16</v>
      </c>
      <c r="B132" s="9">
        <v>44664</v>
      </c>
      <c r="C132" t="s">
        <v>82</v>
      </c>
    </row>
    <row r="133" spans="1:3">
      <c r="A133" s="3" t="s">
        <v>95</v>
      </c>
      <c r="B133" s="10">
        <v>40</v>
      </c>
      <c r="C133">
        <v>0.25</v>
      </c>
    </row>
    <row r="134" spans="1:3">
      <c r="A134" s="1" t="s">
        <v>52</v>
      </c>
      <c r="B134" s="1">
        <v>8</v>
      </c>
    </row>
    <row r="135" spans="1:3">
      <c r="A135" s="1" t="s">
        <v>55</v>
      </c>
      <c r="B135" s="28">
        <v>1</v>
      </c>
    </row>
    <row r="136" spans="1:3">
      <c r="A136" s="1" t="s">
        <v>90</v>
      </c>
      <c r="B136" s="4">
        <f>12*B133*0.001/(B134*B135*0.001)</f>
        <v>60</v>
      </c>
    </row>
    <row r="137" spans="1:3">
      <c r="A137" s="1" t="s">
        <v>91</v>
      </c>
      <c r="B137" s="4">
        <f>(B136/14)*85</f>
        <v>364.28571428571428</v>
      </c>
    </row>
    <row r="138" spans="1:3">
      <c r="A138" s="23" t="s">
        <v>71</v>
      </c>
      <c r="B138" s="24">
        <f>B137*C133</f>
        <v>91.071428571428569</v>
      </c>
    </row>
    <row r="139" spans="1:3">
      <c r="A139" s="3" t="s">
        <v>77</v>
      </c>
      <c r="B139" s="27" t="s">
        <v>167</v>
      </c>
    </row>
    <row r="141" spans="1:3">
      <c r="A141" s="3" t="s">
        <v>16</v>
      </c>
      <c r="B141" s="9">
        <v>44718</v>
      </c>
      <c r="C141" t="s">
        <v>82</v>
      </c>
    </row>
    <row r="142" spans="1:3">
      <c r="A142" s="3" t="s">
        <v>95</v>
      </c>
      <c r="B142" s="10">
        <v>50</v>
      </c>
      <c r="C142">
        <v>0.25</v>
      </c>
    </row>
    <row r="143" spans="1:3">
      <c r="A143" s="1" t="s">
        <v>52</v>
      </c>
      <c r="B143" s="1">
        <v>8.4</v>
      </c>
    </row>
    <row r="144" spans="1:3">
      <c r="A144" s="1" t="s">
        <v>55</v>
      </c>
      <c r="B144" s="28">
        <v>1</v>
      </c>
    </row>
    <row r="145" spans="1:3">
      <c r="A145" s="1" t="s">
        <v>90</v>
      </c>
      <c r="B145" s="4">
        <f>12*B142*0.001/(B143*B144*0.001)</f>
        <v>71.428571428571416</v>
      </c>
    </row>
    <row r="146" spans="1:3">
      <c r="A146" s="1" t="s">
        <v>91</v>
      </c>
      <c r="B146" s="4">
        <f>(B145/14)*85</f>
        <v>433.67346938775501</v>
      </c>
    </row>
    <row r="147" spans="1:3">
      <c r="A147" s="23" t="s">
        <v>71</v>
      </c>
      <c r="B147" s="24">
        <f>B146*C142</f>
        <v>108.41836734693875</v>
      </c>
    </row>
    <row r="148" spans="1:3">
      <c r="A148" s="3" t="s">
        <v>77</v>
      </c>
      <c r="B148" s="27" t="s">
        <v>167</v>
      </c>
    </row>
    <row r="149" spans="1:3">
      <c r="A149" s="198" t="s">
        <v>175</v>
      </c>
      <c r="B149" s="199"/>
      <c r="C149" s="200"/>
    </row>
    <row r="150" spans="1:3">
      <c r="A150" s="19" t="s">
        <v>177</v>
      </c>
      <c r="B150" s="1" t="s">
        <v>176</v>
      </c>
      <c r="C150" s="16" t="s">
        <v>178</v>
      </c>
    </row>
    <row r="151" spans="1:3">
      <c r="A151" s="20">
        <v>7.5</v>
      </c>
      <c r="B151" s="17">
        <v>46.8</v>
      </c>
      <c r="C151" s="52">
        <f>A151*B145/B151</f>
        <v>11.446886446886447</v>
      </c>
    </row>
    <row r="152" spans="1:3">
      <c r="A152" s="38" t="s">
        <v>179</v>
      </c>
    </row>
    <row r="154" spans="1:3">
      <c r="A154" s="3" t="s">
        <v>16</v>
      </c>
      <c r="B154" s="9">
        <v>44728</v>
      </c>
      <c r="C154" t="s">
        <v>82</v>
      </c>
    </row>
    <row r="155" spans="1:3">
      <c r="A155" s="3" t="s">
        <v>95</v>
      </c>
      <c r="B155" s="10">
        <v>40</v>
      </c>
      <c r="C155">
        <v>0.25</v>
      </c>
    </row>
    <row r="156" spans="1:3">
      <c r="A156" s="1" t="s">
        <v>52</v>
      </c>
      <c r="B156" s="1">
        <v>8.6</v>
      </c>
    </row>
    <row r="157" spans="1:3">
      <c r="A157" s="1" t="s">
        <v>55</v>
      </c>
      <c r="B157" s="28">
        <v>1</v>
      </c>
    </row>
    <row r="158" spans="1:3">
      <c r="A158" s="1" t="s">
        <v>90</v>
      </c>
      <c r="B158" s="4">
        <f>11.45*B155*0.001/(B156*B157*0.001)</f>
        <v>53.255813953488371</v>
      </c>
      <c r="C158" t="s">
        <v>182</v>
      </c>
    </row>
    <row r="159" spans="1:3">
      <c r="A159" s="1" t="s">
        <v>91</v>
      </c>
      <c r="B159" s="4">
        <f>(B158/14)*85</f>
        <v>323.33887043189367</v>
      </c>
    </row>
    <row r="160" spans="1:3">
      <c r="A160" s="23" t="s">
        <v>71</v>
      </c>
      <c r="B160" s="24">
        <f>B159*C155</f>
        <v>80.834717607973417</v>
      </c>
    </row>
    <row r="161" spans="1:3">
      <c r="A161" s="3" t="s">
        <v>77</v>
      </c>
      <c r="B161" s="27" t="s">
        <v>167</v>
      </c>
    </row>
    <row r="162" spans="1:3">
      <c r="A162" s="174"/>
      <c r="B162" s="174"/>
      <c r="C162" s="174"/>
    </row>
    <row r="163" spans="1:3">
      <c r="A163" s="3" t="s">
        <v>16</v>
      </c>
      <c r="B163" s="9">
        <v>44749</v>
      </c>
      <c r="C163" t="s">
        <v>82</v>
      </c>
    </row>
    <row r="164" spans="1:3">
      <c r="A164" s="3" t="s">
        <v>95</v>
      </c>
      <c r="B164" s="10">
        <v>50</v>
      </c>
      <c r="C164">
        <v>0.1</v>
      </c>
    </row>
    <row r="165" spans="1:3">
      <c r="A165" s="1" t="s">
        <v>52</v>
      </c>
      <c r="B165" s="1">
        <v>8</v>
      </c>
    </row>
    <row r="166" spans="1:3">
      <c r="A166" s="1" t="s">
        <v>55</v>
      </c>
      <c r="B166" s="28">
        <v>1</v>
      </c>
    </row>
    <row r="167" spans="1:3">
      <c r="A167" s="1" t="s">
        <v>90</v>
      </c>
      <c r="B167" s="4">
        <f>11.45*B164*0.001/(B165*B166*0.001)</f>
        <v>71.5625</v>
      </c>
      <c r="C167" t="s">
        <v>182</v>
      </c>
    </row>
    <row r="168" spans="1:3">
      <c r="A168" s="1" t="s">
        <v>91</v>
      </c>
      <c r="B168" s="4">
        <f>(B167/14)*85</f>
        <v>434.48660714285717</v>
      </c>
    </row>
    <row r="169" spans="1:3">
      <c r="A169" s="23" t="s">
        <v>71</v>
      </c>
      <c r="B169" s="24">
        <f>B168*C164</f>
        <v>43.448660714285722</v>
      </c>
    </row>
    <row r="170" spans="1:3">
      <c r="A170" s="3" t="s">
        <v>77</v>
      </c>
      <c r="B170" s="27" t="s">
        <v>167</v>
      </c>
    </row>
    <row r="172" spans="1:3">
      <c r="A172" s="3" t="s">
        <v>16</v>
      </c>
      <c r="B172" s="9">
        <v>44867</v>
      </c>
      <c r="C172" t="s">
        <v>82</v>
      </c>
    </row>
    <row r="173" spans="1:3">
      <c r="A173" s="3" t="s">
        <v>95</v>
      </c>
      <c r="B173" s="10">
        <v>50</v>
      </c>
      <c r="C173">
        <v>0.1</v>
      </c>
    </row>
    <row r="174" spans="1:3">
      <c r="A174" s="1" t="s">
        <v>52</v>
      </c>
      <c r="B174" s="1">
        <v>7.4</v>
      </c>
    </row>
    <row r="175" spans="1:3">
      <c r="A175" s="1" t="s">
        <v>55</v>
      </c>
      <c r="B175" s="28">
        <v>1</v>
      </c>
    </row>
    <row r="176" spans="1:3">
      <c r="A176" s="1" t="s">
        <v>90</v>
      </c>
      <c r="B176" s="4">
        <f>11.45*B173*0.001/(B174*B175*0.001)</f>
        <v>77.364864864864856</v>
      </c>
      <c r="C176" t="s">
        <v>182</v>
      </c>
    </row>
    <row r="177" spans="1:4">
      <c r="A177" s="1" t="s">
        <v>91</v>
      </c>
      <c r="B177" s="4">
        <f>(B176/14)*85</f>
        <v>469.7152509652509</v>
      </c>
    </row>
    <row r="178" spans="1:4">
      <c r="A178" s="23" t="s">
        <v>71</v>
      </c>
      <c r="B178" s="24">
        <f>B177*C173</f>
        <v>46.971525096525092</v>
      </c>
    </row>
    <row r="179" spans="1:4">
      <c r="A179" s="3" t="s">
        <v>77</v>
      </c>
      <c r="B179" s="27" t="s">
        <v>193</v>
      </c>
    </row>
    <row r="181" spans="1:4">
      <c r="A181" s="3" t="s">
        <v>16</v>
      </c>
      <c r="B181" s="9">
        <v>44877</v>
      </c>
      <c r="C181" t="s">
        <v>82</v>
      </c>
    </row>
    <row r="182" spans="1:4">
      <c r="A182" s="3" t="s">
        <v>95</v>
      </c>
      <c r="B182" s="10">
        <v>43.75</v>
      </c>
      <c r="C182">
        <v>0.1</v>
      </c>
    </row>
    <row r="183" spans="1:4">
      <c r="A183" s="1" t="s">
        <v>52</v>
      </c>
      <c r="B183" s="1">
        <v>7.6</v>
      </c>
      <c r="C183">
        <v>210</v>
      </c>
      <c r="D183" t="s">
        <v>19</v>
      </c>
    </row>
    <row r="184" spans="1:4">
      <c r="A184" s="1" t="s">
        <v>55</v>
      </c>
      <c r="B184" s="28">
        <v>1</v>
      </c>
      <c r="C184">
        <f>C183/B182</f>
        <v>4.8</v>
      </c>
      <c r="D184" t="s">
        <v>194</v>
      </c>
    </row>
    <row r="185" spans="1:4">
      <c r="A185" s="1" t="s">
        <v>90</v>
      </c>
      <c r="B185" s="4">
        <f>11.45*B182*0.001/(B183*B184*0.001)</f>
        <v>65.912828947368411</v>
      </c>
      <c r="C185" t="s">
        <v>182</v>
      </c>
    </row>
    <row r="186" spans="1:4">
      <c r="A186" s="1" t="s">
        <v>91</v>
      </c>
      <c r="B186" s="4">
        <f>(B185/14)*85</f>
        <v>400.18503289473676</v>
      </c>
    </row>
    <row r="187" spans="1:4">
      <c r="A187" s="23" t="s">
        <v>71</v>
      </c>
      <c r="B187" s="24">
        <f>B186*C182</f>
        <v>40.018503289473678</v>
      </c>
    </row>
    <row r="188" spans="1:4">
      <c r="A188" s="3" t="s">
        <v>77</v>
      </c>
      <c r="B188" s="27" t="s">
        <v>195</v>
      </c>
    </row>
    <row r="190" spans="1:4">
      <c r="A190" s="3" t="s">
        <v>16</v>
      </c>
      <c r="B190" s="9" t="s">
        <v>197</v>
      </c>
      <c r="C190" t="s">
        <v>82</v>
      </c>
    </row>
    <row r="191" spans="1:4">
      <c r="A191" s="3" t="s">
        <v>95</v>
      </c>
      <c r="B191" s="10">
        <v>37.5</v>
      </c>
      <c r="C191">
        <v>0.1</v>
      </c>
    </row>
    <row r="192" spans="1:4">
      <c r="A192" s="1" t="s">
        <v>52</v>
      </c>
      <c r="B192" s="1">
        <v>7.2</v>
      </c>
      <c r="C192">
        <v>180</v>
      </c>
      <c r="D192" t="s">
        <v>19</v>
      </c>
    </row>
    <row r="193" spans="1:9">
      <c r="A193" s="1" t="s">
        <v>55</v>
      </c>
      <c r="B193" s="28">
        <v>1</v>
      </c>
      <c r="C193">
        <f>C192/B191</f>
        <v>4.8</v>
      </c>
      <c r="D193" t="s">
        <v>194</v>
      </c>
    </row>
    <row r="194" spans="1:9">
      <c r="A194" s="1" t="s">
        <v>90</v>
      </c>
      <c r="B194" s="4">
        <f>11.45*B191*0.001/(B192*B193*0.001)</f>
        <v>59.635416666666664</v>
      </c>
      <c r="C194" t="s">
        <v>182</v>
      </c>
    </row>
    <row r="195" spans="1:9">
      <c r="A195" s="1" t="s">
        <v>91</v>
      </c>
      <c r="B195" s="4">
        <f>(B194/14)*85</f>
        <v>362.07217261904759</v>
      </c>
    </row>
    <row r="196" spans="1:9">
      <c r="A196" s="23" t="s">
        <v>71</v>
      </c>
      <c r="B196" s="24">
        <f>B195*C191</f>
        <v>36.207217261904759</v>
      </c>
    </row>
    <row r="197" spans="1:9">
      <c r="A197" s="3" t="s">
        <v>77</v>
      </c>
      <c r="B197" s="27" t="s">
        <v>202</v>
      </c>
    </row>
    <row r="199" spans="1:9">
      <c r="A199" s="3" t="s">
        <v>16</v>
      </c>
      <c r="B199" s="9" t="s">
        <v>201</v>
      </c>
      <c r="C199" t="s">
        <v>82</v>
      </c>
    </row>
    <row r="200" spans="1:9">
      <c r="A200" s="3" t="s">
        <v>95</v>
      </c>
      <c r="B200" s="10">
        <v>31.25</v>
      </c>
      <c r="C200">
        <v>0.1</v>
      </c>
    </row>
    <row r="201" spans="1:9">
      <c r="A201" s="1" t="s">
        <v>52</v>
      </c>
      <c r="B201" s="1">
        <v>7.6</v>
      </c>
      <c r="C201">
        <v>150</v>
      </c>
      <c r="D201" t="s">
        <v>19</v>
      </c>
    </row>
    <row r="202" spans="1:9">
      <c r="A202" s="1" t="s">
        <v>55</v>
      </c>
      <c r="B202" s="28">
        <v>1</v>
      </c>
      <c r="C202">
        <f>C201/B200</f>
        <v>4.8</v>
      </c>
      <c r="D202" t="s">
        <v>194</v>
      </c>
    </row>
    <row r="203" spans="1:9">
      <c r="A203" s="1" t="s">
        <v>90</v>
      </c>
      <c r="B203" s="4">
        <f>11.45*B200*0.001/(B201*B202*0.001)</f>
        <v>47.080592105263165</v>
      </c>
      <c r="C203" t="s">
        <v>182</v>
      </c>
      <c r="I203">
        <f>150/4.8</f>
        <v>31.25</v>
      </c>
    </row>
    <row r="204" spans="1:9">
      <c r="A204" s="1" t="s">
        <v>91</v>
      </c>
      <c r="B204" s="4">
        <f>(B203/14)*85</f>
        <v>285.84645206766925</v>
      </c>
    </row>
    <row r="205" spans="1:9">
      <c r="A205" s="23" t="s">
        <v>71</v>
      </c>
      <c r="B205" s="24">
        <f>B204*C200</f>
        <v>28.584645206766925</v>
      </c>
    </row>
    <row r="206" spans="1:9">
      <c r="A206" s="3" t="s">
        <v>77</v>
      </c>
      <c r="B206" s="27" t="s">
        <v>195</v>
      </c>
    </row>
    <row r="208" spans="1:9">
      <c r="A208" s="3" t="s">
        <v>16</v>
      </c>
      <c r="B208" s="9" t="s">
        <v>203</v>
      </c>
      <c r="C208" t="s">
        <v>82</v>
      </c>
    </row>
    <row r="209" spans="1:4">
      <c r="A209" s="3" t="s">
        <v>95</v>
      </c>
      <c r="B209" s="10">
        <v>31.25</v>
      </c>
      <c r="C209">
        <v>0.1</v>
      </c>
    </row>
    <row r="210" spans="1:4">
      <c r="A210" s="1" t="s">
        <v>52</v>
      </c>
      <c r="B210" s="73">
        <v>7.3</v>
      </c>
      <c r="C210">
        <v>150</v>
      </c>
      <c r="D210" t="s">
        <v>19</v>
      </c>
    </row>
    <row r="211" spans="1:4">
      <c r="A211" s="1" t="s">
        <v>55</v>
      </c>
      <c r="B211" s="28">
        <v>1</v>
      </c>
      <c r="C211">
        <f>C210/B209</f>
        <v>4.8</v>
      </c>
      <c r="D211" t="s">
        <v>194</v>
      </c>
    </row>
    <row r="212" spans="1:4">
      <c r="A212" s="1" t="s">
        <v>90</v>
      </c>
      <c r="B212" s="4">
        <f>11.45*B209*0.001/(B210*B211*0.001)</f>
        <v>49.015410958904113</v>
      </c>
      <c r="C212" t="s">
        <v>182</v>
      </c>
    </row>
    <row r="213" spans="1:4">
      <c r="A213" s="1" t="s">
        <v>91</v>
      </c>
      <c r="B213" s="4">
        <f>(B212/14)*85</f>
        <v>297.59356653620358</v>
      </c>
    </row>
    <row r="214" spans="1:4">
      <c r="A214" s="23" t="s">
        <v>71</v>
      </c>
      <c r="B214" s="24">
        <f>B213*C209</f>
        <v>29.759356653620358</v>
      </c>
    </row>
    <row r="215" spans="1:4">
      <c r="A215" s="3" t="s">
        <v>77</v>
      </c>
      <c r="B215" s="27" t="s">
        <v>195</v>
      </c>
    </row>
  </sheetData>
  <mergeCells count="4">
    <mergeCell ref="A1:A2"/>
    <mergeCell ref="B1:B2"/>
    <mergeCell ref="A149:C149"/>
    <mergeCell ref="A162:C162"/>
  </mergeCells>
  <phoneticPr fontId="46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B7C3-88A7-4421-9392-803EC73D5E91}">
  <dimension ref="A1:S207"/>
  <sheetViews>
    <sheetView topLeftCell="A193" zoomScale="108" workbookViewId="0">
      <selection activeCell="C198" sqref="C198"/>
    </sheetView>
  </sheetViews>
  <sheetFormatPr defaultColWidth="8.85546875" defaultRowHeight="15"/>
  <cols>
    <col min="1" max="1" width="32" style="3" customWidth="1"/>
    <col min="2" max="2" width="16.42578125" style="3" customWidth="1"/>
    <col min="3" max="3" width="18.85546875" style="1" customWidth="1"/>
    <col min="4" max="4" width="32.85546875" style="1" customWidth="1"/>
    <col min="5" max="5" width="25.28515625" style="1" customWidth="1"/>
    <col min="6" max="6" width="11.28515625" style="1" customWidth="1"/>
    <col min="7" max="7" width="10.85546875" customWidth="1"/>
    <col min="8" max="9" width="12.28515625" customWidth="1"/>
  </cols>
  <sheetData>
    <row r="1" spans="1:19" ht="14.65" customHeight="1">
      <c r="A1" s="174" t="s">
        <v>14</v>
      </c>
      <c r="B1" s="173" t="s">
        <v>72</v>
      </c>
      <c r="C1" s="173"/>
      <c r="D1" s="173"/>
      <c r="E1" s="195" t="s">
        <v>211</v>
      </c>
      <c r="J1" s="194" t="s">
        <v>98</v>
      </c>
      <c r="K1" s="194"/>
      <c r="L1" s="194"/>
      <c r="M1" s="194"/>
      <c r="N1" s="194"/>
      <c r="O1" s="194"/>
      <c r="P1" s="194"/>
      <c r="Q1" s="194"/>
      <c r="R1" s="194"/>
      <c r="S1" s="29" t="s">
        <v>97</v>
      </c>
    </row>
    <row r="2" spans="1:19">
      <c r="A2" s="174"/>
      <c r="B2" s="173"/>
      <c r="C2" s="173"/>
      <c r="D2" s="173"/>
      <c r="E2" s="180"/>
      <c r="J2" s="194"/>
      <c r="K2" s="194"/>
      <c r="L2" s="194"/>
      <c r="M2" s="194"/>
      <c r="N2" s="194"/>
      <c r="O2" s="194"/>
      <c r="P2" s="194"/>
      <c r="Q2" s="194"/>
      <c r="R2" s="194"/>
    </row>
    <row r="3" spans="1:19" ht="33.75">
      <c r="B3" s="173" t="s">
        <v>75</v>
      </c>
      <c r="C3" s="173"/>
      <c r="D3" s="12" t="s">
        <v>76</v>
      </c>
      <c r="E3" s="75" t="s">
        <v>210</v>
      </c>
      <c r="J3" s="194"/>
      <c r="K3" s="194"/>
      <c r="L3" s="194"/>
      <c r="M3" s="194"/>
      <c r="N3" s="194"/>
      <c r="O3" s="194"/>
      <c r="P3" s="194"/>
      <c r="Q3" s="194"/>
      <c r="R3" s="194"/>
    </row>
    <row r="4" spans="1:19" ht="32.65" customHeight="1">
      <c r="A4" s="3" t="s">
        <v>15</v>
      </c>
      <c r="B4" s="13" t="s">
        <v>73</v>
      </c>
      <c r="C4" s="13" t="s">
        <v>74</v>
      </c>
      <c r="D4" s="13" t="s">
        <v>208</v>
      </c>
      <c r="E4" s="76" t="s">
        <v>209</v>
      </c>
      <c r="F4" s="13" t="s">
        <v>103</v>
      </c>
      <c r="J4" s="194"/>
      <c r="K4" s="194"/>
      <c r="L4" s="194"/>
      <c r="M4" s="194"/>
      <c r="N4" s="194"/>
      <c r="O4" s="194"/>
      <c r="P4" s="194"/>
      <c r="Q4" s="194"/>
      <c r="R4" s="194"/>
    </row>
    <row r="5" spans="1:19">
      <c r="A5" s="3" t="s">
        <v>80</v>
      </c>
      <c r="B5" s="1">
        <v>82</v>
      </c>
      <c r="C5" s="1">
        <v>96</v>
      </c>
      <c r="D5" s="1">
        <f>39.1+2+31+16*4</f>
        <v>136.1</v>
      </c>
      <c r="E5" s="74">
        <v>69</v>
      </c>
      <c r="F5" s="1">
        <v>174.2</v>
      </c>
      <c r="J5" s="194"/>
      <c r="K5" s="194"/>
      <c r="L5" s="194"/>
      <c r="M5" s="194"/>
      <c r="N5" s="194"/>
      <c r="O5" s="194"/>
      <c r="P5" s="194"/>
      <c r="Q5" s="194"/>
      <c r="R5" s="194"/>
    </row>
    <row r="6" spans="1:19">
      <c r="A6" s="3" t="s">
        <v>81</v>
      </c>
      <c r="B6" s="4">
        <f>'Influent COD calculation'!C3</f>
        <v>0.78048780487804881</v>
      </c>
      <c r="C6" s="4">
        <f>'Influent COD calculation'!C7</f>
        <v>1.1658165920682837</v>
      </c>
      <c r="D6" s="7"/>
      <c r="E6" s="7"/>
      <c r="J6" s="194"/>
      <c r="K6" s="194"/>
      <c r="L6" s="194"/>
      <c r="M6" s="194"/>
      <c r="N6" s="194"/>
      <c r="O6" s="194"/>
      <c r="P6" s="194"/>
      <c r="Q6" s="194"/>
      <c r="R6" s="194"/>
    </row>
    <row r="7" spans="1:19" ht="32.25" customHeight="1">
      <c r="A7" s="3" t="s">
        <v>77</v>
      </c>
      <c r="B7" s="171" t="s">
        <v>83</v>
      </c>
      <c r="C7" s="171"/>
      <c r="D7" s="171"/>
      <c r="J7" s="194"/>
      <c r="K7" s="194"/>
      <c r="L7" s="194"/>
      <c r="M7" s="194"/>
      <c r="N7" s="194"/>
      <c r="O7" s="194"/>
      <c r="P7" s="194"/>
      <c r="Q7" s="194"/>
      <c r="R7" s="194"/>
    </row>
    <row r="8" spans="1:19">
      <c r="B8" s="1" t="s">
        <v>171</v>
      </c>
      <c r="J8" s="194"/>
      <c r="K8" s="194"/>
      <c r="L8" s="194"/>
      <c r="M8" s="194"/>
      <c r="N8" s="194"/>
      <c r="O8" s="194"/>
      <c r="P8" s="194"/>
      <c r="Q8" s="194"/>
      <c r="R8" s="194"/>
    </row>
    <row r="9" spans="1:19">
      <c r="B9" s="1"/>
      <c r="J9" s="194"/>
      <c r="K9" s="194"/>
      <c r="L9" s="194"/>
      <c r="M9" s="194"/>
      <c r="N9" s="194"/>
      <c r="O9" s="194"/>
      <c r="P9" s="194"/>
      <c r="Q9" s="194"/>
      <c r="R9" s="194"/>
    </row>
    <row r="10" spans="1:19">
      <c r="A10" s="3" t="s">
        <v>16</v>
      </c>
      <c r="B10" s="182">
        <v>44956</v>
      </c>
      <c r="C10" s="182"/>
      <c r="D10" s="182"/>
      <c r="E10" s="9">
        <v>44956</v>
      </c>
      <c r="F10" s="1" t="s">
        <v>40</v>
      </c>
      <c r="G10" s="21" t="s">
        <v>36</v>
      </c>
      <c r="H10" s="21" t="s">
        <v>212</v>
      </c>
      <c r="I10" s="21" t="s">
        <v>213</v>
      </c>
    </row>
    <row r="11" spans="1:19">
      <c r="A11" s="3" t="s">
        <v>86</v>
      </c>
      <c r="B11" s="1">
        <v>75</v>
      </c>
      <c r="C11" s="1">
        <v>25</v>
      </c>
      <c r="D11" s="1">
        <v>10</v>
      </c>
      <c r="E11" s="1">
        <v>5</v>
      </c>
      <c r="F11" s="1">
        <f>B11+C11</f>
        <v>100</v>
      </c>
      <c r="G11" s="22">
        <f>(B11+C11)/D11</f>
        <v>10</v>
      </c>
      <c r="H11" s="22">
        <f>(C11+B11)/E11</f>
        <v>20</v>
      </c>
      <c r="I11" s="22">
        <f>E11+D11</f>
        <v>15</v>
      </c>
    </row>
    <row r="12" spans="1:19">
      <c r="A12" s="1" t="s">
        <v>52</v>
      </c>
      <c r="B12" s="1">
        <v>6.5847821164393903</v>
      </c>
      <c r="C12" s="1">
        <v>6.5847821164393903</v>
      </c>
      <c r="D12" s="1">
        <v>6.5847821164393903</v>
      </c>
      <c r="E12" s="1">
        <v>7.4820824874813194</v>
      </c>
    </row>
    <row r="13" spans="1:19">
      <c r="A13" s="1" t="s">
        <v>55</v>
      </c>
      <c r="B13" s="26">
        <v>10</v>
      </c>
      <c r="C13" s="26">
        <v>10</v>
      </c>
      <c r="D13" s="26">
        <v>10</v>
      </c>
      <c r="E13" s="26">
        <v>10</v>
      </c>
      <c r="F13" s="25" t="s">
        <v>87</v>
      </c>
    </row>
    <row r="14" spans="1:19">
      <c r="A14" s="77" t="s">
        <v>78</v>
      </c>
      <c r="B14" s="77">
        <f>B11*18*0.001/(B12*B13*0.001)</f>
        <v>20.501817313432838</v>
      </c>
      <c r="C14" s="77">
        <f>C11*18*0.001/(C12*C13*0.001)</f>
        <v>6.8339391044776123</v>
      </c>
      <c r="D14" s="77">
        <f>D11*18*0.001/(D12*D13*0.001)</f>
        <v>2.7335756417910448</v>
      </c>
      <c r="E14" s="77">
        <f>E11*18*0.001/(E12*E13*0.001)</f>
        <v>1.202873667198723</v>
      </c>
    </row>
    <row r="15" spans="1:19">
      <c r="A15" s="1" t="s">
        <v>79</v>
      </c>
      <c r="B15" s="4">
        <f>(B14/$B$6)</f>
        <v>26.267953432835821</v>
      </c>
      <c r="C15" s="4">
        <f>(C14/$C$6)</f>
        <v>5.8619333014925372</v>
      </c>
      <c r="D15" s="4">
        <f>D14/31*D5</f>
        <v>12.001278866056811</v>
      </c>
      <c r="E15" s="4">
        <f>E14/14*$E$5</f>
        <v>5.9284487883365635</v>
      </c>
      <c r="G15" t="s">
        <v>267</v>
      </c>
    </row>
    <row r="16" spans="1:19">
      <c r="A16" s="23" t="s">
        <v>56</v>
      </c>
      <c r="B16" s="24">
        <f>B15</f>
        <v>26.267953432835821</v>
      </c>
      <c r="C16" s="24">
        <f>C15</f>
        <v>5.8619333014925372</v>
      </c>
      <c r="D16" s="24">
        <f>D15</f>
        <v>12.001278866056811</v>
      </c>
      <c r="E16" s="24">
        <f>E15</f>
        <v>5.9284487883365635</v>
      </c>
    </row>
    <row r="18" spans="1:9">
      <c r="A18" s="1" t="s">
        <v>77</v>
      </c>
      <c r="B18" s="177" t="s">
        <v>26</v>
      </c>
      <c r="C18" s="177"/>
      <c r="D18" s="177"/>
    </row>
    <row r="20" spans="1:9">
      <c r="A20" s="3" t="s">
        <v>16</v>
      </c>
      <c r="B20" s="182">
        <v>44960</v>
      </c>
      <c r="C20" s="182"/>
      <c r="D20" s="182"/>
      <c r="E20" s="9">
        <v>44956</v>
      </c>
      <c r="F20" s="1" t="s">
        <v>40</v>
      </c>
      <c r="G20" s="21" t="s">
        <v>36</v>
      </c>
      <c r="H20" s="21" t="s">
        <v>212</v>
      </c>
      <c r="I20" s="21" t="s">
        <v>213</v>
      </c>
    </row>
    <row r="21" spans="1:9">
      <c r="A21" s="3" t="s">
        <v>86</v>
      </c>
      <c r="B21" s="1">
        <v>75</v>
      </c>
      <c r="C21" s="1">
        <v>25</v>
      </c>
      <c r="D21" s="1">
        <v>10</v>
      </c>
      <c r="E21" s="1">
        <v>5</v>
      </c>
      <c r="F21" s="1">
        <f>B21+C21</f>
        <v>100</v>
      </c>
      <c r="G21" s="22">
        <f>(B21+C21)/D21</f>
        <v>10</v>
      </c>
      <c r="H21" s="22">
        <f>(C21+B21)/E21</f>
        <v>20</v>
      </c>
      <c r="I21" s="22">
        <f>E21+D21</f>
        <v>15</v>
      </c>
    </row>
    <row r="22" spans="1:9">
      <c r="A22" s="1" t="s">
        <v>52</v>
      </c>
      <c r="B22" s="1">
        <f>25/(3+48/60)</f>
        <v>6.5789473684210531</v>
      </c>
      <c r="C22" s="1">
        <f>25/(3+48/60)</f>
        <v>6.5789473684210531</v>
      </c>
      <c r="D22" s="1">
        <f>25/(3+48/60)</f>
        <v>6.5789473684210531</v>
      </c>
      <c r="E22" s="1">
        <f>25/(3+26/60)</f>
        <v>7.2815533980582519</v>
      </c>
      <c r="F22" s="25" t="s">
        <v>84</v>
      </c>
    </row>
    <row r="23" spans="1:9">
      <c r="A23" s="1" t="s">
        <v>55</v>
      </c>
      <c r="B23" s="26">
        <v>10</v>
      </c>
      <c r="C23" s="26">
        <v>10</v>
      </c>
      <c r="D23" s="26">
        <v>10</v>
      </c>
      <c r="E23" s="26">
        <v>10</v>
      </c>
      <c r="F23" s="25" t="s">
        <v>87</v>
      </c>
    </row>
    <row r="24" spans="1:9">
      <c r="A24" s="77" t="s">
        <v>78</v>
      </c>
      <c r="B24" s="77">
        <f>B21*18*0.001/(B22*B23*0.001)</f>
        <v>20.52</v>
      </c>
      <c r="C24" s="77">
        <f>C21*18*0.001/(C22*C23*0.001)</f>
        <v>6.839999999999999</v>
      </c>
      <c r="D24" s="77">
        <f>D21*18*0.001/(D22*D23*0.001)</f>
        <v>2.7359999999999993</v>
      </c>
      <c r="E24" s="77">
        <f>E21*18*0.001/(E22*E23*0.001)</f>
        <v>1.236</v>
      </c>
    </row>
    <row r="25" spans="1:9">
      <c r="A25" s="1" t="s">
        <v>79</v>
      </c>
      <c r="B25" s="4">
        <f>(B24/$B$6)</f>
        <v>26.291249999999998</v>
      </c>
      <c r="C25" s="4">
        <f>(C24/$C$6)</f>
        <v>5.867132142857141</v>
      </c>
      <c r="D25" s="4">
        <f>D24/31*$D$5</f>
        <v>12.011922580645159</v>
      </c>
      <c r="E25" s="4">
        <f>E24/14*$E$5</f>
        <v>6.0917142857142856</v>
      </c>
    </row>
    <row r="26" spans="1:9">
      <c r="A26" s="23" t="s">
        <v>56</v>
      </c>
      <c r="B26" s="24">
        <f>B25</f>
        <v>26.291249999999998</v>
      </c>
      <c r="C26" s="24">
        <f>C25</f>
        <v>5.867132142857141</v>
      </c>
      <c r="D26" s="24">
        <f>D25</f>
        <v>12.011922580645159</v>
      </c>
      <c r="E26" s="24">
        <f>E25</f>
        <v>6.0917142857142856</v>
      </c>
    </row>
    <row r="27" spans="1:9">
      <c r="A27" s="1" t="s">
        <v>77</v>
      </c>
      <c r="B27" s="177" t="s">
        <v>85</v>
      </c>
      <c r="C27" s="177"/>
      <c r="D27" s="177"/>
    </row>
    <row r="30" spans="1:9">
      <c r="A30" s="3" t="s">
        <v>16</v>
      </c>
      <c r="B30" s="182">
        <v>44964</v>
      </c>
      <c r="C30" s="182"/>
      <c r="D30" s="182"/>
      <c r="E30" s="9" t="s">
        <v>271</v>
      </c>
      <c r="F30" s="1" t="s">
        <v>40</v>
      </c>
      <c r="G30" s="21" t="s">
        <v>36</v>
      </c>
      <c r="H30" s="21" t="s">
        <v>212</v>
      </c>
      <c r="I30" s="21" t="s">
        <v>213</v>
      </c>
    </row>
    <row r="31" spans="1:9">
      <c r="A31" s="3" t="s">
        <v>101</v>
      </c>
      <c r="B31" s="1">
        <v>75</v>
      </c>
      <c r="C31" s="1">
        <v>25</v>
      </c>
      <c r="D31" s="1">
        <v>10</v>
      </c>
      <c r="E31" s="1">
        <v>10</v>
      </c>
      <c r="F31" s="1">
        <f>B31+C31</f>
        <v>100</v>
      </c>
      <c r="G31" s="22">
        <f>(B31+C31)/D31</f>
        <v>10</v>
      </c>
      <c r="H31" s="22">
        <f>(C31+B31)/E31</f>
        <v>10</v>
      </c>
      <c r="I31" s="22">
        <f>E31+D31</f>
        <v>20</v>
      </c>
    </row>
    <row r="32" spans="1:9">
      <c r="A32" s="1" t="s">
        <v>52</v>
      </c>
      <c r="B32" s="1">
        <f>25/(3+44/60)</f>
        <v>6.6964285714285712</v>
      </c>
      <c r="C32" s="1">
        <f>25/(3+44/60)</f>
        <v>6.6964285714285712</v>
      </c>
      <c r="D32" s="1">
        <f>25/(3+44/60)</f>
        <v>6.6964285714285712</v>
      </c>
      <c r="E32" s="1">
        <f>25/(3+27/60)</f>
        <v>7.2463768115942022</v>
      </c>
      <c r="F32" s="25" t="s">
        <v>84</v>
      </c>
    </row>
    <row r="33" spans="1:11">
      <c r="A33" s="1" t="s">
        <v>55</v>
      </c>
      <c r="B33" s="26">
        <v>10</v>
      </c>
      <c r="C33" s="26">
        <v>10</v>
      </c>
      <c r="D33" s="26">
        <v>10</v>
      </c>
      <c r="E33" s="26">
        <v>10</v>
      </c>
      <c r="F33" s="25" t="s">
        <v>87</v>
      </c>
    </row>
    <row r="34" spans="1:11">
      <c r="A34" s="1" t="s">
        <v>78</v>
      </c>
      <c r="B34" s="77">
        <f>B31*18*0.001/(B32*B33*0.001)</f>
        <v>20.160000000000004</v>
      </c>
      <c r="C34" s="77">
        <f>C31*18*0.001/(C32*C33*0.001)</f>
        <v>6.7200000000000006</v>
      </c>
      <c r="D34" s="77">
        <f>D31*18*0.001/(D32*D33*0.001)</f>
        <v>2.6880000000000002</v>
      </c>
      <c r="E34" s="77">
        <f>E31*18*0.001/(E32*E33*0.001)</f>
        <v>2.4840000000000004</v>
      </c>
    </row>
    <row r="35" spans="1:11">
      <c r="A35" s="1" t="s">
        <v>79</v>
      </c>
      <c r="B35" s="4">
        <f>(B34/$B$6)</f>
        <v>25.830000000000005</v>
      </c>
      <c r="C35" s="4">
        <f>(C34/$C$6)</f>
        <v>5.7641999999999998</v>
      </c>
      <c r="D35" s="4">
        <f>D34/31*$D$5</f>
        <v>11.801187096774193</v>
      </c>
      <c r="E35" s="4">
        <f>E34/14*$E$5</f>
        <v>12.242571428571431</v>
      </c>
      <c r="F35" s="1" t="s">
        <v>275</v>
      </c>
      <c r="G35">
        <v>7.96</v>
      </c>
    </row>
    <row r="36" spans="1:11">
      <c r="A36" s="23" t="s">
        <v>56</v>
      </c>
      <c r="B36" s="24">
        <f>B35</f>
        <v>25.830000000000005</v>
      </c>
      <c r="C36" s="24">
        <f>C35</f>
        <v>5.7641999999999998</v>
      </c>
      <c r="D36" s="24">
        <f>D35</f>
        <v>11.801187096774193</v>
      </c>
      <c r="E36" s="24">
        <f>E35</f>
        <v>12.242571428571431</v>
      </c>
    </row>
    <row r="37" spans="1:11">
      <c r="A37" s="1" t="s">
        <v>77</v>
      </c>
      <c r="B37" s="177" t="s">
        <v>88</v>
      </c>
      <c r="C37" s="177"/>
      <c r="D37" s="177"/>
    </row>
    <row r="39" spans="1:11">
      <c r="A39" s="3" t="s">
        <v>16</v>
      </c>
      <c r="B39" s="182"/>
      <c r="C39" s="182"/>
      <c r="D39" s="182"/>
      <c r="E39" s="9">
        <v>44967</v>
      </c>
      <c r="F39" s="1" t="s">
        <v>40</v>
      </c>
      <c r="G39" s="21" t="s">
        <v>36</v>
      </c>
      <c r="H39" s="21" t="s">
        <v>212</v>
      </c>
      <c r="I39" s="21" t="s">
        <v>213</v>
      </c>
      <c r="K39" t="s">
        <v>100</v>
      </c>
    </row>
    <row r="40" spans="1:11">
      <c r="A40" s="3" t="s">
        <v>101</v>
      </c>
      <c r="B40" s="1">
        <v>75</v>
      </c>
      <c r="C40" s="1">
        <v>25</v>
      </c>
      <c r="D40" s="1">
        <v>10</v>
      </c>
      <c r="E40" s="1">
        <v>10</v>
      </c>
      <c r="F40" s="1">
        <f>B40+C40</f>
        <v>100</v>
      </c>
      <c r="G40" s="22">
        <f>(B40+C40)/D40</f>
        <v>10</v>
      </c>
      <c r="H40" s="22">
        <f>(C40+B40)/E40</f>
        <v>10</v>
      </c>
      <c r="I40" s="22">
        <f>E40+D40</f>
        <v>20</v>
      </c>
    </row>
    <row r="41" spans="1:11">
      <c r="A41" s="1" t="s">
        <v>52</v>
      </c>
      <c r="B41" s="1"/>
      <c r="E41" s="1">
        <f>25/(3+12/60)</f>
        <v>7.8125</v>
      </c>
      <c r="F41" s="25" t="s">
        <v>84</v>
      </c>
    </row>
    <row r="42" spans="1:11">
      <c r="A42" s="1" t="s">
        <v>55</v>
      </c>
      <c r="B42" s="26">
        <v>10</v>
      </c>
      <c r="C42" s="26">
        <v>10</v>
      </c>
      <c r="D42" s="26">
        <v>10</v>
      </c>
      <c r="E42" s="26">
        <v>10</v>
      </c>
      <c r="F42" s="25" t="s">
        <v>87</v>
      </c>
    </row>
    <row r="43" spans="1:11">
      <c r="A43" s="1" t="s">
        <v>78</v>
      </c>
      <c r="B43" s="77" t="e">
        <f>B40*18*0.001/(B41*B42*0.001)</f>
        <v>#DIV/0!</v>
      </c>
      <c r="C43" s="77" t="e">
        <f>C40*18*0.001/(C41*C42*0.001)</f>
        <v>#DIV/0!</v>
      </c>
      <c r="D43" s="77" t="e">
        <f>D40*18*0.001/(D41*D42*0.001)</f>
        <v>#DIV/0!</v>
      </c>
      <c r="E43" s="77">
        <f>E40*18*0.001/(E41*E42*0.001)</f>
        <v>2.3039999999999998</v>
      </c>
    </row>
    <row r="44" spans="1:11">
      <c r="A44" s="1" t="s">
        <v>79</v>
      </c>
      <c r="B44" s="4" t="e">
        <f>(B43/$B$6)</f>
        <v>#DIV/0!</v>
      </c>
      <c r="C44" s="4" t="e">
        <f>(C43/$C$6)</f>
        <v>#DIV/0!</v>
      </c>
      <c r="D44" s="4" t="e">
        <f>D43/31*$D$5</f>
        <v>#DIV/0!</v>
      </c>
      <c r="E44" s="4">
        <f>E43/14*$E$5</f>
        <v>11.35542857142857</v>
      </c>
    </row>
    <row r="45" spans="1:11">
      <c r="A45" s="23" t="s">
        <v>56</v>
      </c>
      <c r="B45" s="24" t="e">
        <f>B44</f>
        <v>#DIV/0!</v>
      </c>
      <c r="C45" s="24" t="e">
        <f>C44</f>
        <v>#DIV/0!</v>
      </c>
      <c r="D45" s="24" t="e">
        <f>D44</f>
        <v>#DIV/0!</v>
      </c>
      <c r="E45" s="24">
        <f>E44</f>
        <v>11.35542857142857</v>
      </c>
    </row>
    <row r="46" spans="1:11">
      <c r="A46" s="1" t="s">
        <v>77</v>
      </c>
      <c r="B46" s="177" t="s">
        <v>99</v>
      </c>
      <c r="C46" s="177"/>
      <c r="D46" s="177"/>
    </row>
    <row r="48" spans="1:11">
      <c r="A48" s="3" t="s">
        <v>16</v>
      </c>
      <c r="B48" s="182"/>
      <c r="C48" s="182"/>
      <c r="D48" s="182"/>
      <c r="E48" s="9">
        <v>44971</v>
      </c>
      <c r="F48" s="1" t="s">
        <v>40</v>
      </c>
      <c r="G48" s="21" t="s">
        <v>36</v>
      </c>
      <c r="H48" s="21" t="s">
        <v>212</v>
      </c>
      <c r="I48" s="21" t="s">
        <v>213</v>
      </c>
    </row>
    <row r="49" spans="1:9">
      <c r="A49" s="3" t="s">
        <v>101</v>
      </c>
      <c r="B49" s="1">
        <v>75</v>
      </c>
      <c r="C49" s="1">
        <v>25</v>
      </c>
      <c r="D49" s="1">
        <v>10</v>
      </c>
      <c r="E49" s="1">
        <v>10</v>
      </c>
      <c r="F49" s="1">
        <f>B49+C49</f>
        <v>100</v>
      </c>
      <c r="G49" s="22">
        <f>(B49+C49)/D49</f>
        <v>10</v>
      </c>
      <c r="H49" s="22">
        <f>(C49+B49)/E49</f>
        <v>10</v>
      </c>
      <c r="I49" s="22">
        <f>E49+D49</f>
        <v>20</v>
      </c>
    </row>
    <row r="50" spans="1:9">
      <c r="A50" s="1" t="s">
        <v>52</v>
      </c>
      <c r="B50" s="1"/>
      <c r="E50" s="1">
        <f>25/(3+21/60)</f>
        <v>7.4626865671641793</v>
      </c>
      <c r="F50" s="25" t="s">
        <v>84</v>
      </c>
    </row>
    <row r="51" spans="1:9">
      <c r="A51" s="1" t="s">
        <v>55</v>
      </c>
      <c r="B51" s="26">
        <v>10</v>
      </c>
      <c r="C51" s="26">
        <v>10</v>
      </c>
      <c r="D51" s="26">
        <v>10</v>
      </c>
      <c r="E51" s="26">
        <v>10</v>
      </c>
      <c r="F51" s="25" t="s">
        <v>87</v>
      </c>
    </row>
    <row r="52" spans="1:9">
      <c r="A52" s="1" t="s">
        <v>78</v>
      </c>
      <c r="B52" s="77" t="e">
        <f>B49*18*0.001/(B50*B51*0.001)</f>
        <v>#DIV/0!</v>
      </c>
      <c r="C52" s="77" t="e">
        <f>C49*18*0.001/(C50*C51*0.001)</f>
        <v>#DIV/0!</v>
      </c>
      <c r="D52" s="77" t="e">
        <f>D49*18*0.001/(D50*D51*0.001)</f>
        <v>#DIV/0!</v>
      </c>
      <c r="E52" s="77">
        <f>E49*18*0.001/(E50*E51*0.001)</f>
        <v>2.4119999999999995</v>
      </c>
    </row>
    <row r="53" spans="1:9">
      <c r="A53" s="1" t="s">
        <v>79</v>
      </c>
      <c r="B53" s="4" t="e">
        <f>(B52/$B$6)</f>
        <v>#DIV/0!</v>
      </c>
      <c r="C53" s="4" t="e">
        <f>(C52/$C$6)</f>
        <v>#DIV/0!</v>
      </c>
      <c r="D53" s="4" t="e">
        <f>D52/31*$D$5</f>
        <v>#DIV/0!</v>
      </c>
      <c r="E53" s="4">
        <f>E52/14*$E$5</f>
        <v>11.887714285714281</v>
      </c>
    </row>
    <row r="54" spans="1:9">
      <c r="A54" s="23" t="s">
        <v>56</v>
      </c>
      <c r="B54" s="24" t="e">
        <f>B53</f>
        <v>#DIV/0!</v>
      </c>
      <c r="C54" s="24" t="e">
        <f>C53</f>
        <v>#DIV/0!</v>
      </c>
      <c r="D54" s="24" t="e">
        <f>D53</f>
        <v>#DIV/0!</v>
      </c>
      <c r="E54" s="24">
        <f>E53</f>
        <v>11.887714285714281</v>
      </c>
    </row>
    <row r="55" spans="1:9">
      <c r="A55" s="1" t="s">
        <v>77</v>
      </c>
      <c r="B55" s="177" t="s">
        <v>99</v>
      </c>
      <c r="C55" s="177"/>
      <c r="D55" s="177"/>
    </row>
    <row r="57" spans="1:9">
      <c r="A57" s="3" t="s">
        <v>16</v>
      </c>
      <c r="B57" s="182">
        <v>44973</v>
      </c>
      <c r="C57" s="182"/>
      <c r="D57" s="182"/>
      <c r="E57" s="9">
        <v>44973</v>
      </c>
      <c r="F57" s="1" t="s">
        <v>40</v>
      </c>
      <c r="G57" s="21" t="s">
        <v>36</v>
      </c>
      <c r="H57" s="21" t="s">
        <v>212</v>
      </c>
      <c r="I57" s="21" t="s">
        <v>213</v>
      </c>
    </row>
    <row r="58" spans="1:9">
      <c r="A58" s="3" t="s">
        <v>101</v>
      </c>
      <c r="B58" s="1">
        <v>75</v>
      </c>
      <c r="C58" s="1">
        <v>25</v>
      </c>
      <c r="D58" s="1">
        <v>10</v>
      </c>
      <c r="E58" s="1">
        <v>10</v>
      </c>
      <c r="F58" s="1">
        <f>B58+C58</f>
        <v>100</v>
      </c>
      <c r="G58" s="22">
        <f>(B58+C58)/D58</f>
        <v>10</v>
      </c>
      <c r="H58" s="22">
        <f>(C58+B58)/E58</f>
        <v>10</v>
      </c>
      <c r="I58" s="22">
        <f>E58+D58</f>
        <v>20</v>
      </c>
    </row>
    <row r="59" spans="1:9">
      <c r="A59" s="1" t="s">
        <v>52</v>
      </c>
      <c r="B59" s="1">
        <f>25/(3+39/60)</f>
        <v>6.8493150684931505</v>
      </c>
      <c r="C59" s="1">
        <f>25/(3+39/60)</f>
        <v>6.8493150684931505</v>
      </c>
      <c r="D59" s="1">
        <f>25/(3+39/60)</f>
        <v>6.8493150684931505</v>
      </c>
      <c r="E59" s="1">
        <f>25/(3+15/60)</f>
        <v>7.6923076923076925</v>
      </c>
      <c r="F59" s="25" t="s">
        <v>84</v>
      </c>
    </row>
    <row r="60" spans="1:9">
      <c r="A60" s="1" t="s">
        <v>55</v>
      </c>
      <c r="B60" s="26">
        <v>10</v>
      </c>
      <c r="C60" s="26">
        <v>10</v>
      </c>
      <c r="D60" s="26">
        <v>10</v>
      </c>
      <c r="E60" s="26">
        <v>10</v>
      </c>
      <c r="F60" s="25" t="s">
        <v>87</v>
      </c>
    </row>
    <row r="61" spans="1:9">
      <c r="A61" s="1" t="s">
        <v>78</v>
      </c>
      <c r="B61" s="77">
        <f>B58*18*0.001/(B59*B60*0.001)</f>
        <v>19.71</v>
      </c>
      <c r="C61" s="77">
        <f>C58*18*0.001/(C59*C60*0.001)</f>
        <v>6.57</v>
      </c>
      <c r="D61" s="77">
        <f>D58*18*0.001/(D59*D60*0.001)</f>
        <v>2.6280000000000001</v>
      </c>
      <c r="E61" s="77">
        <f>E58*18*0.001/(E59*E60*0.001)</f>
        <v>2.34</v>
      </c>
    </row>
    <row r="62" spans="1:9" ht="18">
      <c r="A62" s="1" t="s">
        <v>79</v>
      </c>
      <c r="B62" s="4">
        <f>(B61/$B$6)</f>
        <v>25.2534375</v>
      </c>
      <c r="C62" s="4">
        <f>(C61/$C$6)</f>
        <v>5.6355348214285712</v>
      </c>
      <c r="D62" s="4">
        <f>D61/31*$D$5</f>
        <v>11.537767741935484</v>
      </c>
      <c r="E62" s="4">
        <f>E61/14*$E$5</f>
        <v>11.532857142857141</v>
      </c>
      <c r="F62" s="184" t="s">
        <v>104</v>
      </c>
      <c r="G62" s="185"/>
    </row>
    <row r="63" spans="1:9">
      <c r="A63" s="23" t="s">
        <v>56</v>
      </c>
      <c r="B63" s="24">
        <f>B62</f>
        <v>25.2534375</v>
      </c>
      <c r="C63" s="24">
        <f>C62</f>
        <v>5.6355348214285712</v>
      </c>
      <c r="D63" s="24">
        <f>D62</f>
        <v>11.537767741935484</v>
      </c>
      <c r="E63" s="24">
        <f>E62</f>
        <v>11.532857142857141</v>
      </c>
      <c r="F63" s="186">
        <v>15.6</v>
      </c>
      <c r="G63" s="187"/>
    </row>
    <row r="64" spans="1:9" ht="27.6" customHeight="1">
      <c r="A64" s="1" t="s">
        <v>77</v>
      </c>
      <c r="B64" s="180" t="s">
        <v>105</v>
      </c>
      <c r="C64" s="180"/>
      <c r="D64" s="180"/>
      <c r="E64" s="13"/>
    </row>
    <row r="66" spans="1:9">
      <c r="A66" s="3" t="s">
        <v>16</v>
      </c>
      <c r="B66" s="182">
        <v>44978</v>
      </c>
      <c r="C66" s="182"/>
      <c r="D66" s="182"/>
      <c r="E66" s="9">
        <v>44978</v>
      </c>
      <c r="F66" s="1" t="s">
        <v>40</v>
      </c>
      <c r="G66" s="21" t="s">
        <v>36</v>
      </c>
      <c r="H66" s="21" t="s">
        <v>212</v>
      </c>
      <c r="I66" s="21" t="s">
        <v>213</v>
      </c>
    </row>
    <row r="67" spans="1:9">
      <c r="A67" s="3" t="s">
        <v>101</v>
      </c>
      <c r="B67" s="1">
        <f>C67*3</f>
        <v>112.5</v>
      </c>
      <c r="C67" s="1">
        <v>37.5</v>
      </c>
      <c r="D67" s="1">
        <v>15</v>
      </c>
      <c r="E67" s="1">
        <v>12</v>
      </c>
      <c r="F67" s="1">
        <f>B67+C67</f>
        <v>150</v>
      </c>
      <c r="G67" s="22">
        <f>(B67+C67)/D67</f>
        <v>10</v>
      </c>
      <c r="H67" s="22">
        <f>(C67+B67)/E67</f>
        <v>12.5</v>
      </c>
      <c r="I67" s="22">
        <f>E67+D67</f>
        <v>27</v>
      </c>
    </row>
    <row r="68" spans="1:9">
      <c r="A68" s="1" t="s">
        <v>52</v>
      </c>
      <c r="B68" s="1">
        <f>25/(3+58/60)</f>
        <v>6.3025210084033612</v>
      </c>
      <c r="C68" s="1">
        <f>25/(3+58/60)</f>
        <v>6.3025210084033612</v>
      </c>
      <c r="D68" s="1">
        <f>25/(3+58/60)</f>
        <v>6.3025210084033612</v>
      </c>
      <c r="E68" s="1">
        <f>25/(3+23/60)</f>
        <v>7.389162561576355</v>
      </c>
      <c r="F68" s="25" t="s">
        <v>84</v>
      </c>
    </row>
    <row r="69" spans="1:9">
      <c r="A69" s="1" t="s">
        <v>55</v>
      </c>
      <c r="B69" s="26">
        <v>10</v>
      </c>
      <c r="C69" s="26">
        <v>10</v>
      </c>
      <c r="D69" s="26">
        <v>10</v>
      </c>
      <c r="E69" s="26">
        <v>10</v>
      </c>
      <c r="F69" s="25" t="s">
        <v>87</v>
      </c>
    </row>
    <row r="70" spans="1:9">
      <c r="A70" s="1" t="s">
        <v>78</v>
      </c>
      <c r="B70" s="77">
        <f>B67*18*0.001/(B68*B69*0.001)</f>
        <v>32.130000000000003</v>
      </c>
      <c r="C70" s="77">
        <f>C67*18*0.001/(C68*C69*0.001)</f>
        <v>10.71</v>
      </c>
      <c r="D70" s="77">
        <f>D67*18*0.001/(D68*D69*0.001)</f>
        <v>4.2840000000000007</v>
      </c>
      <c r="E70" s="77">
        <f>E67*18*0.001/(E68*E69*0.001)</f>
        <v>2.9232000000000005</v>
      </c>
    </row>
    <row r="71" spans="1:9" ht="18">
      <c r="A71" s="1" t="s">
        <v>79</v>
      </c>
      <c r="B71" s="4">
        <f>(B70/$B$6)</f>
        <v>41.166562500000005</v>
      </c>
      <c r="C71" s="4">
        <f>(C70/$C$6)</f>
        <v>9.1866937499999999</v>
      </c>
      <c r="D71" s="4">
        <f>D70/31*$F$5</f>
        <v>24.073316129032261</v>
      </c>
      <c r="E71" s="4">
        <f>E70/14*$E$5</f>
        <v>14.407200000000003</v>
      </c>
      <c r="F71" s="184" t="s">
        <v>104</v>
      </c>
      <c r="G71" s="185"/>
    </row>
    <row r="72" spans="1:9">
      <c r="A72" s="23" t="s">
        <v>56</v>
      </c>
      <c r="B72" s="24">
        <f>B71</f>
        <v>41.166562500000005</v>
      </c>
      <c r="C72" s="24">
        <f>C71</f>
        <v>9.1866937499999999</v>
      </c>
      <c r="D72" s="24">
        <f>D71</f>
        <v>24.073316129032261</v>
      </c>
      <c r="E72" s="24">
        <f>E71</f>
        <v>14.407200000000003</v>
      </c>
      <c r="F72" s="186">
        <v>16</v>
      </c>
      <c r="G72" s="187"/>
    </row>
    <row r="73" spans="1:9">
      <c r="A73" s="1" t="s">
        <v>77</v>
      </c>
      <c r="B73" s="180" t="s">
        <v>108</v>
      </c>
      <c r="C73" s="180"/>
      <c r="D73" s="180"/>
      <c r="E73" s="13"/>
    </row>
    <row r="75" spans="1:9">
      <c r="A75" s="3" t="s">
        <v>16</v>
      </c>
      <c r="B75" s="182">
        <v>44981</v>
      </c>
      <c r="C75" s="182"/>
      <c r="D75" s="182"/>
      <c r="E75" s="9">
        <v>44981</v>
      </c>
      <c r="F75" s="1" t="s">
        <v>40</v>
      </c>
      <c r="G75" s="21" t="s">
        <v>36</v>
      </c>
    </row>
    <row r="76" spans="1:9">
      <c r="A76" s="3" t="s">
        <v>101</v>
      </c>
      <c r="B76" s="1">
        <f>112.5*1.5</f>
        <v>168.75</v>
      </c>
      <c r="C76" s="1">
        <f>37.5*1.5</f>
        <v>56.25</v>
      </c>
      <c r="D76" s="1">
        <v>15</v>
      </c>
      <c r="E76" s="1">
        <v>12</v>
      </c>
      <c r="F76" s="1">
        <f>B76+C76</f>
        <v>225</v>
      </c>
      <c r="G76" s="22">
        <f>(B76+C76)/D76</f>
        <v>15</v>
      </c>
      <c r="I76" s="6" t="s">
        <v>279</v>
      </c>
    </row>
    <row r="77" spans="1:9">
      <c r="A77" s="1" t="s">
        <v>52</v>
      </c>
      <c r="B77" s="1">
        <f>25/(3+49/60)</f>
        <v>6.5502183406113543</v>
      </c>
      <c r="C77" s="1">
        <f>25/(3+49/60)</f>
        <v>6.5502183406113543</v>
      </c>
      <c r="D77" s="1">
        <f>25/(3+49/60)</f>
        <v>6.5502183406113543</v>
      </c>
      <c r="E77" s="1">
        <f>25/(3+20/60)</f>
        <v>7.5</v>
      </c>
      <c r="F77" s="25" t="s">
        <v>84</v>
      </c>
    </row>
    <row r="78" spans="1:9">
      <c r="A78" s="1" t="s">
        <v>55</v>
      </c>
      <c r="B78" s="26">
        <v>10</v>
      </c>
      <c r="C78" s="26">
        <v>10</v>
      </c>
      <c r="D78" s="26">
        <v>10</v>
      </c>
      <c r="E78" s="26">
        <v>10</v>
      </c>
      <c r="F78" s="25" t="s">
        <v>87</v>
      </c>
    </row>
    <row r="79" spans="1:9">
      <c r="A79" s="1" t="s">
        <v>78</v>
      </c>
      <c r="B79" s="77">
        <f>B76*18*0.001/(B77*B78*0.001)</f>
        <v>46.372499999999988</v>
      </c>
      <c r="C79" s="77">
        <f>C76*18*0.001/(C77*C78*0.001)</f>
        <v>15.457499999999996</v>
      </c>
      <c r="D79" s="77">
        <f>D76*18*0.001/(D77*D78*0.001)</f>
        <v>4.121999999999999</v>
      </c>
      <c r="E79" s="77">
        <f>E76*18*0.001/(E77*E78*0.001)</f>
        <v>2.88</v>
      </c>
    </row>
    <row r="80" spans="1:9" ht="18">
      <c r="A80" s="1" t="s">
        <v>79</v>
      </c>
      <c r="B80" s="4">
        <f>(B79/$B$6)</f>
        <v>59.41476562499998</v>
      </c>
      <c r="C80" s="4">
        <f>(C79/$C$6)</f>
        <v>13.25894665178571</v>
      </c>
      <c r="D80" s="4">
        <f>D79/31*$F$5</f>
        <v>23.16298064516128</v>
      </c>
      <c r="E80" s="4">
        <f>E79/14*$E$5</f>
        <v>14.194285714285714</v>
      </c>
      <c r="F80" s="184" t="s">
        <v>104</v>
      </c>
      <c r="G80" s="185"/>
    </row>
    <row r="81" spans="1:12">
      <c r="A81" s="23" t="s">
        <v>56</v>
      </c>
      <c r="B81" s="24">
        <f>B80</f>
        <v>59.41476562499998</v>
      </c>
      <c r="C81" s="24">
        <f>C80</f>
        <v>13.25894665178571</v>
      </c>
      <c r="D81" s="24">
        <f>D80</f>
        <v>23.16298064516128</v>
      </c>
      <c r="E81" s="24">
        <f>E80</f>
        <v>14.194285714285714</v>
      </c>
      <c r="F81" s="186">
        <v>16</v>
      </c>
      <c r="G81" s="187"/>
    </row>
    <row r="82" spans="1:12">
      <c r="A82" s="1" t="s">
        <v>77</v>
      </c>
      <c r="B82" s="180" t="s">
        <v>109</v>
      </c>
      <c r="C82" s="180"/>
      <c r="D82" s="180"/>
      <c r="E82" s="13"/>
    </row>
    <row r="84" spans="1:12">
      <c r="A84" s="3" t="s">
        <v>16</v>
      </c>
      <c r="B84" s="182">
        <v>44985</v>
      </c>
      <c r="C84" s="182"/>
      <c r="D84" s="182"/>
      <c r="E84" s="9">
        <v>44981</v>
      </c>
      <c r="F84" s="1" t="s">
        <v>40</v>
      </c>
      <c r="G84" s="21" t="s">
        <v>36</v>
      </c>
    </row>
    <row r="85" spans="1:12">
      <c r="A85" s="3" t="s">
        <v>101</v>
      </c>
      <c r="B85" s="1">
        <v>75</v>
      </c>
      <c r="C85" s="1">
        <v>25</v>
      </c>
      <c r="D85" s="1">
        <v>10</v>
      </c>
      <c r="E85" s="1">
        <v>12</v>
      </c>
      <c r="F85" s="1">
        <f>B85+C85</f>
        <v>100</v>
      </c>
      <c r="G85" s="22">
        <f>(B85+C85)/D85</f>
        <v>10</v>
      </c>
    </row>
    <row r="86" spans="1:12">
      <c r="A86" s="1" t="s">
        <v>52</v>
      </c>
      <c r="B86" s="1">
        <f>25/(3+49/60)</f>
        <v>6.5502183406113543</v>
      </c>
      <c r="C86" s="1">
        <f>25/(3+49/60)</f>
        <v>6.5502183406113543</v>
      </c>
      <c r="D86" s="1">
        <f>25/(3+49/60)</f>
        <v>6.5502183406113543</v>
      </c>
      <c r="E86" s="1">
        <f>25/(3+20/60)</f>
        <v>7.5</v>
      </c>
      <c r="F86" s="25" t="s">
        <v>84</v>
      </c>
    </row>
    <row r="87" spans="1:12">
      <c r="A87" s="1" t="s">
        <v>55</v>
      </c>
      <c r="B87" s="26">
        <v>10</v>
      </c>
      <c r="C87" s="26">
        <v>10</v>
      </c>
      <c r="D87" s="26">
        <v>10</v>
      </c>
      <c r="E87" s="26">
        <v>10</v>
      </c>
      <c r="F87" s="25" t="s">
        <v>87</v>
      </c>
    </row>
    <row r="88" spans="1:12">
      <c r="A88" s="1" t="s">
        <v>78</v>
      </c>
      <c r="B88" s="4">
        <f>B85*12*0.001/(B86*B87*0.001)</f>
        <v>13.739999999999997</v>
      </c>
      <c r="C88" s="4">
        <f>C85*12*0.001/(C86*C87*0.001)</f>
        <v>4.5799999999999992</v>
      </c>
      <c r="D88" s="4">
        <f>D85*12*0.001/(D86*D87*0.001)</f>
        <v>1.8319999999999996</v>
      </c>
      <c r="E88" s="77">
        <f>E85*18*0.001/(E86*E87*0.001)</f>
        <v>2.88</v>
      </c>
    </row>
    <row r="89" spans="1:12" ht="18">
      <c r="A89" s="1" t="s">
        <v>79</v>
      </c>
      <c r="B89" s="4">
        <f>(B88/$B$6)</f>
        <v>17.604374999999994</v>
      </c>
      <c r="C89" s="4">
        <f>(C88/$C$6)</f>
        <v>3.9285767857142844</v>
      </c>
      <c r="D89" s="4">
        <f>D88/31*$F$5</f>
        <v>10.294658064516126</v>
      </c>
      <c r="E89" s="4">
        <f>E88/14*$E$5</f>
        <v>14.194285714285714</v>
      </c>
      <c r="F89" s="184" t="s">
        <v>104</v>
      </c>
      <c r="G89" s="185"/>
    </row>
    <row r="90" spans="1:12">
      <c r="A90" s="23" t="s">
        <v>56</v>
      </c>
      <c r="B90" s="24">
        <f>B89</f>
        <v>17.604374999999994</v>
      </c>
      <c r="C90" s="24">
        <f>C89</f>
        <v>3.9285767857142844</v>
      </c>
      <c r="D90" s="24">
        <f>D89</f>
        <v>10.294658064516126</v>
      </c>
      <c r="E90" s="24">
        <f>E89</f>
        <v>14.194285714285714</v>
      </c>
      <c r="F90" s="186">
        <v>16</v>
      </c>
      <c r="G90" s="187"/>
    </row>
    <row r="91" spans="1:12">
      <c r="A91" s="1" t="s">
        <v>77</v>
      </c>
      <c r="B91" s="177" t="s">
        <v>99</v>
      </c>
      <c r="C91" s="177"/>
      <c r="D91" s="177"/>
    </row>
    <row r="93" spans="1:12">
      <c r="A93" s="3" t="s">
        <v>16</v>
      </c>
      <c r="B93" s="182">
        <v>410233</v>
      </c>
      <c r="C93" s="182"/>
      <c r="D93" s="182"/>
      <c r="E93" s="9"/>
      <c r="F93" s="1" t="s">
        <v>40</v>
      </c>
      <c r="G93" s="21" t="s">
        <v>36</v>
      </c>
      <c r="J93" t="s">
        <v>131</v>
      </c>
      <c r="K93" t="s">
        <v>132</v>
      </c>
    </row>
    <row r="94" spans="1:12">
      <c r="A94" s="3" t="s">
        <v>101</v>
      </c>
      <c r="B94" s="1">
        <v>90</v>
      </c>
      <c r="C94" s="1">
        <v>30</v>
      </c>
      <c r="D94" s="1">
        <v>10</v>
      </c>
      <c r="E94" s="1">
        <v>12</v>
      </c>
      <c r="F94" s="1">
        <f>B94+C94</f>
        <v>120</v>
      </c>
      <c r="G94" s="22">
        <f>(B94+C94)/D94</f>
        <v>12</v>
      </c>
      <c r="J94">
        <f>(B94/$B$6)*0.001/$B$5*2</f>
        <v>2.8124999999999999E-3</v>
      </c>
      <c r="K94">
        <f>(C94/$C$6)*0.001/$C$5*3</f>
        <v>8.041573660714286E-4</v>
      </c>
      <c r="L94">
        <f>J94+K94</f>
        <v>3.6166573660714285E-3</v>
      </c>
    </row>
    <row r="95" spans="1:12">
      <c r="A95" s="1" t="s">
        <v>52</v>
      </c>
      <c r="B95" s="1">
        <f>25/(3+31/60)</f>
        <v>7.109004739336493</v>
      </c>
      <c r="C95" s="1">
        <f>25/(3+31/60)</f>
        <v>7.109004739336493</v>
      </c>
      <c r="D95" s="1">
        <f>25/(3+31/60)</f>
        <v>7.109004739336493</v>
      </c>
      <c r="E95" s="1">
        <f>25/(3+20/60)</f>
        <v>7.5</v>
      </c>
      <c r="F95" s="25" t="s">
        <v>84</v>
      </c>
    </row>
    <row r="96" spans="1:12">
      <c r="A96" s="1" t="s">
        <v>55</v>
      </c>
      <c r="B96" s="26">
        <v>10</v>
      </c>
      <c r="C96" s="26">
        <v>10</v>
      </c>
      <c r="D96" s="26">
        <v>10</v>
      </c>
      <c r="E96" s="26">
        <v>10</v>
      </c>
      <c r="F96" s="25" t="s">
        <v>87</v>
      </c>
    </row>
    <row r="97" spans="1:12">
      <c r="A97" s="1" t="s">
        <v>78</v>
      </c>
      <c r="B97" s="4">
        <f>B94*12*0.001/(B95*B96*0.001)</f>
        <v>15.192000000000002</v>
      </c>
      <c r="C97" s="4">
        <f>C94*12*0.001/(C95*C96*0.001)</f>
        <v>5.0640000000000001</v>
      </c>
      <c r="D97" s="4">
        <f>D94*12*0.001/(D95*D96*0.001)</f>
        <v>1.6879999999999999</v>
      </c>
      <c r="E97" s="77">
        <f>E94*18*0.001/(E95*E96*0.001)</f>
        <v>2.88</v>
      </c>
    </row>
    <row r="98" spans="1:12" ht="18">
      <c r="A98" s="1" t="s">
        <v>79</v>
      </c>
      <c r="B98" s="4">
        <f>(B97/$B$6)</f>
        <v>19.464750000000002</v>
      </c>
      <c r="C98" s="4">
        <f>(C97/$C$6)</f>
        <v>4.3437364285714279</v>
      </c>
      <c r="D98" s="4">
        <f>D97/31*$F$5</f>
        <v>9.485470967741934</v>
      </c>
      <c r="E98" s="4">
        <f>E97/14*$E$5</f>
        <v>14.194285714285714</v>
      </c>
      <c r="F98" s="184" t="s">
        <v>104</v>
      </c>
      <c r="G98" s="185"/>
    </row>
    <row r="99" spans="1:12">
      <c r="A99" s="23" t="s">
        <v>56</v>
      </c>
      <c r="B99" s="24">
        <f>B98</f>
        <v>19.464750000000002</v>
      </c>
      <c r="C99" s="24">
        <f>C98</f>
        <v>4.3437364285714279</v>
      </c>
      <c r="D99" s="24">
        <f>D98</f>
        <v>9.485470967741934</v>
      </c>
      <c r="E99" s="24">
        <f>E98</f>
        <v>14.194285714285714</v>
      </c>
      <c r="F99" s="186">
        <v>16</v>
      </c>
      <c r="G99" s="187"/>
    </row>
    <row r="100" spans="1:12">
      <c r="A100" s="3" t="s">
        <v>77</v>
      </c>
      <c r="B100" s="177" t="s">
        <v>99</v>
      </c>
      <c r="C100" s="177"/>
      <c r="D100" s="177"/>
    </row>
    <row r="103" spans="1:12">
      <c r="A103" s="3" t="s">
        <v>162</v>
      </c>
      <c r="B103" s="1">
        <f>B94*2.6</f>
        <v>234</v>
      </c>
      <c r="C103" s="1">
        <f>C94*2.6</f>
        <v>78</v>
      </c>
      <c r="D103" s="1">
        <f>D94*2.6</f>
        <v>26</v>
      </c>
    </row>
    <row r="104" spans="1:12">
      <c r="A104" s="3" t="s">
        <v>161</v>
      </c>
      <c r="B104" s="4">
        <f>B103/B6</f>
        <v>299.8125</v>
      </c>
      <c r="C104" s="4">
        <f>C103/C6</f>
        <v>66.905892857142845</v>
      </c>
      <c r="D104" s="4">
        <f>D103/31*F5</f>
        <v>146.1032258064516</v>
      </c>
      <c r="E104" s="4"/>
    </row>
    <row r="107" spans="1:12">
      <c r="A107" s="3" t="s">
        <v>16</v>
      </c>
      <c r="B107" s="182">
        <v>44998</v>
      </c>
      <c r="C107" s="182"/>
      <c r="D107" s="182"/>
      <c r="E107" s="9">
        <v>44998</v>
      </c>
      <c r="F107" s="1" t="s">
        <v>40</v>
      </c>
      <c r="G107" s="21" t="s">
        <v>36</v>
      </c>
      <c r="J107" t="s">
        <v>131</v>
      </c>
      <c r="K107" t="s">
        <v>132</v>
      </c>
    </row>
    <row r="108" spans="1:12">
      <c r="A108" s="3" t="s">
        <v>101</v>
      </c>
      <c r="B108" s="1">
        <v>90</v>
      </c>
      <c r="C108" s="1">
        <v>30</v>
      </c>
      <c r="D108" s="1">
        <v>10</v>
      </c>
      <c r="E108" s="1">
        <v>6</v>
      </c>
      <c r="F108" s="1">
        <f>B108+C108</f>
        <v>120</v>
      </c>
      <c r="G108" s="22">
        <f>(B108+C108)/D108</f>
        <v>12</v>
      </c>
      <c r="J108">
        <f>(B108/$B$6)*0.001/$B$5*2</f>
        <v>2.8124999999999999E-3</v>
      </c>
      <c r="K108">
        <f>(C108/$C$6)*0.001/$C$5*3</f>
        <v>8.041573660714286E-4</v>
      </c>
      <c r="L108">
        <f>J108+K108</f>
        <v>3.6166573660714285E-3</v>
      </c>
    </row>
    <row r="109" spans="1:12">
      <c r="A109" s="1" t="s">
        <v>52</v>
      </c>
      <c r="B109" s="1">
        <f>25/(3+47/60)</f>
        <v>6.607929515418502</v>
      </c>
      <c r="C109" s="1">
        <f>25/(3+47/60)</f>
        <v>6.607929515418502</v>
      </c>
      <c r="D109" s="1">
        <f>25/(3+47/60)</f>
        <v>6.607929515418502</v>
      </c>
      <c r="E109" s="1">
        <f>25/(3+46.5/60)</f>
        <v>6.6225165562913908</v>
      </c>
      <c r="F109" s="25" t="s">
        <v>84</v>
      </c>
    </row>
    <row r="110" spans="1:12">
      <c r="A110" s="1" t="s">
        <v>55</v>
      </c>
      <c r="B110" s="26">
        <v>10</v>
      </c>
      <c r="C110" s="26">
        <v>10</v>
      </c>
      <c r="D110" s="26">
        <v>10</v>
      </c>
      <c r="E110" s="26">
        <v>10</v>
      </c>
      <c r="F110" s="25" t="s">
        <v>87</v>
      </c>
    </row>
    <row r="111" spans="1:12">
      <c r="A111" s="1" t="s">
        <v>78</v>
      </c>
      <c r="B111" s="4">
        <f>B108*12*0.001/(B109*B110*0.001)</f>
        <v>16.344000000000001</v>
      </c>
      <c r="C111" s="4">
        <f>C108*12*0.001/(C109*C110*0.001)</f>
        <v>5.4479999999999995</v>
      </c>
      <c r="D111" s="4">
        <f>D108*12*0.001/(D109*D110*0.001)</f>
        <v>1.8159999999999998</v>
      </c>
      <c r="E111" s="77">
        <f>E108*18*0.001/(E109*E110*0.001)</f>
        <v>1.6308000000000002</v>
      </c>
    </row>
    <row r="112" spans="1:12" ht="18">
      <c r="A112" s="1" t="s">
        <v>79</v>
      </c>
      <c r="B112" s="4">
        <f>(B111/$B$6)</f>
        <v>20.940750000000001</v>
      </c>
      <c r="C112" s="4">
        <f>(C111/$C$6)</f>
        <v>4.6731192857142849</v>
      </c>
      <c r="D112" s="4">
        <f>D111/31*$F$5</f>
        <v>10.204748387096773</v>
      </c>
      <c r="E112" s="4">
        <f>E111/14*$E$5</f>
        <v>8.0375142857142876</v>
      </c>
      <c r="F112" s="184" t="s">
        <v>104</v>
      </c>
      <c r="G112" s="185"/>
    </row>
    <row r="113" spans="1:12">
      <c r="A113" s="23" t="s">
        <v>56</v>
      </c>
      <c r="B113" s="24">
        <f>B112</f>
        <v>20.940750000000001</v>
      </c>
      <c r="C113" s="24">
        <f>C112</f>
        <v>4.6731192857142849</v>
      </c>
      <c r="D113" s="24">
        <f>D112</f>
        <v>10.204748387096773</v>
      </c>
      <c r="E113" s="24">
        <f>E112</f>
        <v>8.0375142857142876</v>
      </c>
      <c r="F113" s="186">
        <v>16</v>
      </c>
      <c r="G113" s="187"/>
    </row>
    <row r="114" spans="1:12">
      <c r="A114" s="3" t="s">
        <v>77</v>
      </c>
      <c r="B114" s="177" t="s">
        <v>163</v>
      </c>
      <c r="C114" s="177"/>
      <c r="D114" s="177"/>
      <c r="G114" s="113" t="s">
        <v>281</v>
      </c>
      <c r="H114" s="113">
        <f>90/120</f>
        <v>0.75</v>
      </c>
      <c r="I114" s="113">
        <f>750/0.75</f>
        <v>1000</v>
      </c>
      <c r="J114">
        <f>220/0.75</f>
        <v>293.33333333333331</v>
      </c>
    </row>
    <row r="116" spans="1:12">
      <c r="A116" s="3" t="s">
        <v>16</v>
      </c>
      <c r="B116" s="182">
        <v>45000</v>
      </c>
      <c r="C116" s="182"/>
      <c r="D116" s="182"/>
      <c r="E116" s="9">
        <v>45000</v>
      </c>
      <c r="F116" s="1" t="s">
        <v>40</v>
      </c>
      <c r="G116" s="21" t="s">
        <v>36</v>
      </c>
      <c r="J116" t="s">
        <v>131</v>
      </c>
      <c r="K116" t="s">
        <v>132</v>
      </c>
    </row>
    <row r="117" spans="1:12">
      <c r="A117" s="3" t="s">
        <v>101</v>
      </c>
      <c r="B117" s="1">
        <v>70</v>
      </c>
      <c r="C117" s="114">
        <f>B117/3</f>
        <v>23.333333333333332</v>
      </c>
      <c r="D117" s="114">
        <f>F117/12</f>
        <v>7.7777777777777777</v>
      </c>
      <c r="E117" s="1">
        <v>6</v>
      </c>
      <c r="F117" s="1">
        <f>B117+C117</f>
        <v>93.333333333333329</v>
      </c>
      <c r="G117" s="22">
        <f>(B117+C117)/D117</f>
        <v>12</v>
      </c>
      <c r="J117">
        <f>(B117/$B$6)*0.001/$B$5*2</f>
        <v>2.1875000000000002E-3</v>
      </c>
      <c r="K117">
        <f>(C117/$C$6)*0.001/$C$5*3</f>
        <v>6.2545572916666663E-4</v>
      </c>
      <c r="L117">
        <f>J117+K117</f>
        <v>2.8129557291666669E-3</v>
      </c>
    </row>
    <row r="118" spans="1:12">
      <c r="A118" s="1" t="s">
        <v>52</v>
      </c>
      <c r="B118" s="1">
        <v>6.6</v>
      </c>
      <c r="C118" s="1">
        <v>6.6</v>
      </c>
      <c r="D118" s="1">
        <v>6.6</v>
      </c>
      <c r="E118" s="1">
        <f>25/(3+46.5/60)</f>
        <v>6.6225165562913908</v>
      </c>
      <c r="F118" s="25" t="s">
        <v>84</v>
      </c>
    </row>
    <row r="119" spans="1:12">
      <c r="A119" s="1" t="s">
        <v>55</v>
      </c>
      <c r="B119" s="26">
        <v>10</v>
      </c>
      <c r="C119" s="26">
        <v>10</v>
      </c>
      <c r="D119" s="26">
        <v>10</v>
      </c>
      <c r="E119" s="26">
        <v>10</v>
      </c>
      <c r="F119" s="25" t="s">
        <v>87</v>
      </c>
    </row>
    <row r="120" spans="1:12">
      <c r="A120" s="1" t="s">
        <v>78</v>
      </c>
      <c r="B120" s="4">
        <f>B117*12*0.001/(B118*B119*0.001)</f>
        <v>12.727272727272727</v>
      </c>
      <c r="C120" s="4">
        <f>C117*12*0.001/(C118*C119*0.001)</f>
        <v>4.2424242424242422</v>
      </c>
      <c r="D120" s="4">
        <f>D117*12*0.001/(D118*D119*0.001)</f>
        <v>1.4141414141414139</v>
      </c>
      <c r="E120" s="77">
        <f>E117*18*0.001/(E118*E119*0.001)</f>
        <v>1.6308000000000002</v>
      </c>
    </row>
    <row r="121" spans="1:12" ht="18">
      <c r="A121" s="1" t="s">
        <v>79</v>
      </c>
      <c r="B121" s="4">
        <f>(B120/$B$6)</f>
        <v>16.30681818181818</v>
      </c>
      <c r="C121" s="4">
        <f>(C120/$C$6)</f>
        <v>3.6390151515151508</v>
      </c>
      <c r="D121" s="4">
        <f>D120/31*$F$5</f>
        <v>7.9465623981752991</v>
      </c>
      <c r="E121" s="4">
        <f>E120/14*$E$5</f>
        <v>8.0375142857142876</v>
      </c>
      <c r="F121" s="184" t="s">
        <v>104</v>
      </c>
      <c r="G121" s="185"/>
    </row>
    <row r="122" spans="1:12">
      <c r="A122" s="23" t="s">
        <v>56</v>
      </c>
      <c r="B122" s="24">
        <f>B121</f>
        <v>16.30681818181818</v>
      </c>
      <c r="C122" s="24">
        <f>C121</f>
        <v>3.6390151515151508</v>
      </c>
      <c r="D122" s="24">
        <f>D121</f>
        <v>7.9465623981752991</v>
      </c>
      <c r="E122" s="24">
        <f>E121</f>
        <v>8.0375142857142876</v>
      </c>
      <c r="F122" s="186">
        <v>16</v>
      </c>
      <c r="G122" s="187"/>
    </row>
    <row r="123" spans="1:12">
      <c r="A123" s="3" t="s">
        <v>77</v>
      </c>
      <c r="B123" s="177" t="s">
        <v>165</v>
      </c>
      <c r="C123" s="177"/>
      <c r="D123" s="177"/>
    </row>
    <row r="125" spans="1:12">
      <c r="A125" s="3" t="s">
        <v>16</v>
      </c>
      <c r="B125" s="182">
        <v>45007</v>
      </c>
      <c r="C125" s="182"/>
      <c r="D125" s="182"/>
      <c r="E125" s="9">
        <v>45007</v>
      </c>
      <c r="F125" s="1" t="s">
        <v>40</v>
      </c>
      <c r="G125" s="21" t="s">
        <v>36</v>
      </c>
      <c r="J125" t="s">
        <v>131</v>
      </c>
      <c r="K125" t="s">
        <v>132</v>
      </c>
    </row>
    <row r="126" spans="1:12">
      <c r="A126" s="3" t="s">
        <v>101</v>
      </c>
      <c r="B126" s="1">
        <v>90</v>
      </c>
      <c r="C126" s="1">
        <v>30</v>
      </c>
      <c r="D126" s="1">
        <v>10</v>
      </c>
      <c r="E126" s="1">
        <v>4.3</v>
      </c>
      <c r="F126" s="1">
        <f>B126+C126</f>
        <v>120</v>
      </c>
      <c r="G126" s="22">
        <f>(B126+C126)/D126</f>
        <v>12</v>
      </c>
      <c r="J126">
        <f>(B126/$B$6)*0.001/$B$5*2</f>
        <v>2.8124999999999999E-3</v>
      </c>
      <c r="K126">
        <f>(C126/$C$6)*0.001/$C$5*3</f>
        <v>8.041573660714286E-4</v>
      </c>
      <c r="L126">
        <f>J126+K126</f>
        <v>3.6166573660714285E-3</v>
      </c>
    </row>
    <row r="127" spans="1:12">
      <c r="A127" s="1" t="s">
        <v>52</v>
      </c>
      <c r="B127" s="1">
        <v>6.6</v>
      </c>
      <c r="C127" s="1">
        <v>6.6</v>
      </c>
      <c r="D127" s="1">
        <v>6.6</v>
      </c>
      <c r="E127" s="1">
        <f>25/(3+46.5/60)</f>
        <v>6.6225165562913908</v>
      </c>
      <c r="F127" s="25" t="s">
        <v>84</v>
      </c>
    </row>
    <row r="128" spans="1:12">
      <c r="A128" s="1" t="s">
        <v>55</v>
      </c>
      <c r="B128" s="26">
        <v>10</v>
      </c>
      <c r="C128" s="26">
        <v>10</v>
      </c>
      <c r="D128" s="26">
        <v>10</v>
      </c>
      <c r="E128" s="26">
        <v>10</v>
      </c>
      <c r="F128" s="25" t="s">
        <v>87</v>
      </c>
    </row>
    <row r="129" spans="1:12">
      <c r="A129" s="1" t="s">
        <v>78</v>
      </c>
      <c r="B129" s="4">
        <f>B126*12*0.001/(B127*B128*0.001)</f>
        <v>16.363636363636363</v>
      </c>
      <c r="C129" s="4">
        <f>C126*12*0.001/(C127*C128*0.001)</f>
        <v>5.4545454545454541</v>
      </c>
      <c r="D129" s="4">
        <f>D126*12*0.001/(D127*D128*0.001)</f>
        <v>1.8181818181818181</v>
      </c>
      <c r="E129" s="77">
        <f>E126*18*0.001/(E127*E128*0.001)</f>
        <v>1.1687400000000001</v>
      </c>
    </row>
    <row r="130" spans="1:12" ht="18">
      <c r="A130" s="1" t="s">
        <v>79</v>
      </c>
      <c r="B130" s="4">
        <f>(B129/$B$6)</f>
        <v>20.96590909090909</v>
      </c>
      <c r="C130" s="4">
        <f>(C129/$C$6)</f>
        <v>4.6787337662337656</v>
      </c>
      <c r="D130" s="4">
        <f>D129/31*$F$5</f>
        <v>10.217008797653957</v>
      </c>
      <c r="E130" s="4">
        <f>E129/14*$E$5</f>
        <v>5.7602185714285721</v>
      </c>
      <c r="F130" s="184" t="s">
        <v>104</v>
      </c>
      <c r="G130" s="185"/>
    </row>
    <row r="131" spans="1:12">
      <c r="A131" s="23" t="s">
        <v>56</v>
      </c>
      <c r="B131" s="24">
        <f>B130</f>
        <v>20.96590909090909</v>
      </c>
      <c r="C131" s="24">
        <f>C130</f>
        <v>4.6787337662337656</v>
      </c>
      <c r="D131" s="24">
        <f>D130</f>
        <v>10.217008797653957</v>
      </c>
      <c r="E131" s="24">
        <f>E130</f>
        <v>5.7602185714285721</v>
      </c>
      <c r="F131" s="186">
        <v>16</v>
      </c>
      <c r="G131" s="187"/>
    </row>
    <row r="132" spans="1:12">
      <c r="A132" s="3" t="s">
        <v>77</v>
      </c>
      <c r="B132" s="177" t="s">
        <v>166</v>
      </c>
      <c r="C132" s="177"/>
      <c r="D132" s="177"/>
    </row>
    <row r="134" spans="1:12">
      <c r="A134" s="3" t="s">
        <v>16</v>
      </c>
      <c r="B134" s="182">
        <v>45020</v>
      </c>
      <c r="C134" s="182"/>
      <c r="D134" s="182"/>
      <c r="E134" s="9">
        <v>45020</v>
      </c>
      <c r="F134" s="1" t="s">
        <v>40</v>
      </c>
      <c r="G134" s="21" t="s">
        <v>36</v>
      </c>
      <c r="J134" t="s">
        <v>131</v>
      </c>
      <c r="K134" t="s">
        <v>132</v>
      </c>
    </row>
    <row r="135" spans="1:12">
      <c r="A135" s="3" t="s">
        <v>101</v>
      </c>
      <c r="B135" s="1">
        <v>50</v>
      </c>
      <c r="C135" s="1">
        <f>50/3</f>
        <v>16.666666666666668</v>
      </c>
      <c r="D135" s="1">
        <f>F135/15</f>
        <v>4.4444444444444446</v>
      </c>
      <c r="E135" s="1">
        <v>6.3</v>
      </c>
      <c r="F135" s="1">
        <f>B135+C135</f>
        <v>66.666666666666671</v>
      </c>
      <c r="G135" s="22">
        <f>(B135+C135)/D135</f>
        <v>15</v>
      </c>
      <c r="J135">
        <f>(B135/$B$6)*0.001/$B$5*2</f>
        <v>1.5624999999999999E-3</v>
      </c>
      <c r="K135">
        <f>(C135/$C$6)*0.001/$C$5*3</f>
        <v>4.4675409226190477E-4</v>
      </c>
      <c r="L135">
        <f>J135+K135</f>
        <v>2.0092540922619045E-3</v>
      </c>
    </row>
    <row r="136" spans="1:12">
      <c r="A136" s="1" t="s">
        <v>168</v>
      </c>
      <c r="B136" s="1">
        <f>25/(3+48.32/60)</f>
        <v>6.5697266993693058</v>
      </c>
      <c r="C136" s="1">
        <f>25/(3+48.32/60)</f>
        <v>6.5697266993693058</v>
      </c>
      <c r="D136" s="1">
        <f>25/(3+48.32/60)</f>
        <v>6.5697266993693058</v>
      </c>
      <c r="E136" s="1">
        <f>25/(3+32.72/60)</f>
        <v>7.0515231289958633</v>
      </c>
      <c r="F136" s="25" t="s">
        <v>84</v>
      </c>
    </row>
    <row r="137" spans="1:12">
      <c r="A137" s="1" t="s">
        <v>169</v>
      </c>
      <c r="B137" s="26">
        <v>10</v>
      </c>
      <c r="C137" s="26">
        <v>10</v>
      </c>
      <c r="D137" s="26">
        <v>10</v>
      </c>
      <c r="E137" s="26">
        <v>5</v>
      </c>
      <c r="F137" s="25" t="s">
        <v>87</v>
      </c>
    </row>
    <row r="138" spans="1:12">
      <c r="A138" s="1" t="s">
        <v>78</v>
      </c>
      <c r="B138" s="4">
        <f>B135*12*0.001/(B136*B137*0.001)</f>
        <v>9.1327999999999996</v>
      </c>
      <c r="C138" s="4">
        <f>C135*12*0.001/(C136*C137*0.001)</f>
        <v>3.0442666666666667</v>
      </c>
      <c r="D138" s="4">
        <f>D135*12*0.001/(D136*D137*0.001)</f>
        <v>0.81180444444444444</v>
      </c>
      <c r="E138" s="77">
        <f>E135*18*0.001/(E136*E137*0.001)</f>
        <v>3.2163263999999994</v>
      </c>
    </row>
    <row r="139" spans="1:12" ht="18">
      <c r="A139" s="1" t="s">
        <v>79</v>
      </c>
      <c r="B139" s="4">
        <f>(B138/$B$6)</f>
        <v>11.7014</v>
      </c>
      <c r="C139" s="4">
        <f>(C138/$C$6)</f>
        <v>2.6112740952380951</v>
      </c>
      <c r="D139" s="4">
        <f>D138/31*$F$5</f>
        <v>4.56181723297491</v>
      </c>
      <c r="E139" s="4">
        <f>E138/14*$E$5</f>
        <v>15.851894399999997</v>
      </c>
      <c r="F139" s="184" t="s">
        <v>104</v>
      </c>
      <c r="G139" s="185"/>
      <c r="I139" s="44">
        <f>I140-B149</f>
        <v>1.17014</v>
      </c>
      <c r="J139" s="44">
        <f>J140-C149</f>
        <v>0.26112740952380964</v>
      </c>
      <c r="K139" s="44">
        <f>K140-D149</f>
        <v>0</v>
      </c>
    </row>
    <row r="140" spans="1:12">
      <c r="A140" s="23" t="s">
        <v>56</v>
      </c>
      <c r="B140" s="24">
        <f>B139</f>
        <v>11.7014</v>
      </c>
      <c r="C140" s="24">
        <f>C139</f>
        <v>2.6112740952380951</v>
      </c>
      <c r="D140" s="24">
        <f>D139</f>
        <v>4.56181723297491</v>
      </c>
      <c r="E140" s="24">
        <f>E139</f>
        <v>15.851894399999997</v>
      </c>
      <c r="F140" s="186">
        <v>16</v>
      </c>
      <c r="G140" s="187"/>
      <c r="I140" s="24">
        <v>14.041679999999999</v>
      </c>
      <c r="J140" s="24">
        <v>3.1335289142857139</v>
      </c>
      <c r="K140" s="24">
        <v>5.4741806795698924</v>
      </c>
    </row>
    <row r="141" spans="1:12">
      <c r="A141" s="3" t="s">
        <v>77</v>
      </c>
      <c r="B141" s="177" t="s">
        <v>170</v>
      </c>
      <c r="C141" s="177"/>
      <c r="D141" s="177"/>
      <c r="E141" s="4"/>
      <c r="F141" s="1">
        <f>F144/F135</f>
        <v>1.0999999999999999</v>
      </c>
      <c r="I141">
        <v>1.5754637837837837</v>
      </c>
      <c r="J141">
        <v>0.35157910733590736</v>
      </c>
      <c r="K141">
        <v>0.61419811636152311</v>
      </c>
    </row>
    <row r="143" spans="1:12">
      <c r="A143" s="3" t="s">
        <v>16</v>
      </c>
      <c r="B143" s="182">
        <v>45023</v>
      </c>
      <c r="C143" s="182"/>
      <c r="D143" s="182"/>
      <c r="E143" s="9">
        <v>45023</v>
      </c>
      <c r="F143" s="1" t="s">
        <v>40</v>
      </c>
      <c r="G143" s="21" t="s">
        <v>36</v>
      </c>
      <c r="J143" t="s">
        <v>131</v>
      </c>
      <c r="K143" t="s">
        <v>132</v>
      </c>
    </row>
    <row r="144" spans="1:12">
      <c r="A144" s="3" t="s">
        <v>101</v>
      </c>
      <c r="B144" s="1">
        <v>55</v>
      </c>
      <c r="C144" s="1">
        <f>B144/3</f>
        <v>18.333333333333332</v>
      </c>
      <c r="D144" s="1">
        <f>D135*1.2</f>
        <v>5.333333333333333</v>
      </c>
      <c r="E144" s="1">
        <v>6.3</v>
      </c>
      <c r="F144" s="1">
        <f>B144+C144</f>
        <v>73.333333333333329</v>
      </c>
      <c r="G144" s="22">
        <f>(B144+C144)/D144</f>
        <v>13.75</v>
      </c>
      <c r="J144">
        <f>(B144/$B$6)*0.001/$B$5*2</f>
        <v>1.71875E-3</v>
      </c>
      <c r="K144">
        <f>(C144/$C$6)*0.001/$C$5*3</f>
        <v>4.9142950148809512E-4</v>
      </c>
      <c r="L144">
        <f>J144+K144</f>
        <v>2.210179501488095E-3</v>
      </c>
    </row>
    <row r="145" spans="1:12">
      <c r="A145" s="1" t="s">
        <v>168</v>
      </c>
      <c r="B145" s="1">
        <f>25/(3+48.32/60)</f>
        <v>6.5697266993693058</v>
      </c>
      <c r="C145" s="1">
        <f>25/(3+48.32/60)</f>
        <v>6.5697266993693058</v>
      </c>
      <c r="D145" s="1">
        <f>25/(3+48.32/60)</f>
        <v>6.5697266993693058</v>
      </c>
      <c r="E145" s="1">
        <f>25/(3+32.72/60)</f>
        <v>7.0515231289958633</v>
      </c>
      <c r="F145" s="25" t="s">
        <v>84</v>
      </c>
    </row>
    <row r="146" spans="1:12">
      <c r="A146" s="1" t="s">
        <v>169</v>
      </c>
      <c r="B146" s="26">
        <v>10</v>
      </c>
      <c r="C146" s="26">
        <v>10</v>
      </c>
      <c r="D146" s="26">
        <v>10</v>
      </c>
      <c r="E146" s="26">
        <v>5</v>
      </c>
      <c r="F146" s="25" t="s">
        <v>87</v>
      </c>
    </row>
    <row r="147" spans="1:12">
      <c r="A147" s="1" t="s">
        <v>78</v>
      </c>
      <c r="B147" s="4">
        <f>B144*12*0.001/(B145*B146*0.001)</f>
        <v>10.04608</v>
      </c>
      <c r="C147" s="4">
        <f>C144*12*0.001/(C145*C146*0.001)</f>
        <v>3.3486933333333333</v>
      </c>
      <c r="D147" s="4">
        <f>D144*12*0.001/(D145*D146*0.001)</f>
        <v>0.97416533333333333</v>
      </c>
      <c r="E147" s="77">
        <f>E144*18*0.001/(E145*E146*0.001)</f>
        <v>3.2163263999999994</v>
      </c>
    </row>
    <row r="148" spans="1:12" ht="18">
      <c r="A148" s="1" t="s">
        <v>79</v>
      </c>
      <c r="B148" s="4">
        <f>(B147/$B$6)</f>
        <v>12.87154</v>
      </c>
      <c r="C148" s="4">
        <f>(C147/$C$6)</f>
        <v>2.8724015047619043</v>
      </c>
      <c r="D148" s="4">
        <f>D147/31*$F$5</f>
        <v>5.4741806795698924</v>
      </c>
      <c r="E148" s="4">
        <f>E147/14*$E$5</f>
        <v>15.851894399999997</v>
      </c>
      <c r="F148" s="184" t="s">
        <v>104</v>
      </c>
      <c r="G148" s="185"/>
      <c r="I148" s="44">
        <f>(B158-I149)/2</f>
        <v>1.5489532276119409</v>
      </c>
      <c r="J148" s="44">
        <f>(C158-J149)/2</f>
        <v>0.34566303502132167</v>
      </c>
      <c r="K148" s="44">
        <f>(D158-K149)/2</f>
        <v>-2.7810434986421799</v>
      </c>
    </row>
    <row r="149" spans="1:12">
      <c r="A149" s="23" t="s">
        <v>56</v>
      </c>
      <c r="B149" s="24">
        <f>B148</f>
        <v>12.87154</v>
      </c>
      <c r="C149" s="24">
        <f>C148</f>
        <v>2.8724015047619043</v>
      </c>
      <c r="D149" s="24">
        <f>D148</f>
        <v>5.4741806795698924</v>
      </c>
      <c r="E149" s="24">
        <f>E148</f>
        <v>15.851894399999997</v>
      </c>
      <c r="F149" s="186">
        <v>16</v>
      </c>
      <c r="G149" s="187"/>
      <c r="I149">
        <v>14.4140625</v>
      </c>
      <c r="J149">
        <v>3.2166294642857141</v>
      </c>
      <c r="K149">
        <v>5.6193548387096772</v>
      </c>
      <c r="L149">
        <v>0</v>
      </c>
    </row>
    <row r="150" spans="1:12">
      <c r="A150" s="3" t="s">
        <v>77</v>
      </c>
      <c r="B150" s="177" t="s">
        <v>172</v>
      </c>
      <c r="C150" s="177"/>
      <c r="D150" s="177"/>
      <c r="F150" s="1">
        <v>1.25</v>
      </c>
    </row>
    <row r="152" spans="1:12">
      <c r="A152" s="3" t="s">
        <v>16</v>
      </c>
      <c r="B152" s="182">
        <v>45027</v>
      </c>
      <c r="C152" s="182"/>
      <c r="D152" s="182"/>
      <c r="E152" s="9">
        <v>45027</v>
      </c>
      <c r="F152" s="1" t="s">
        <v>40</v>
      </c>
      <c r="G152" s="21" t="s">
        <v>36</v>
      </c>
      <c r="J152" t="s">
        <v>131</v>
      </c>
      <c r="K152" t="s">
        <v>132</v>
      </c>
    </row>
    <row r="153" spans="1:12">
      <c r="A153" s="3" t="s">
        <v>101</v>
      </c>
      <c r="B153" s="1">
        <v>75</v>
      </c>
      <c r="C153" s="1">
        <v>25</v>
      </c>
      <c r="D153" s="1">
        <v>10</v>
      </c>
      <c r="E153" s="1">
        <v>5</v>
      </c>
      <c r="F153" s="1">
        <f>B153+C153</f>
        <v>100</v>
      </c>
      <c r="G153" s="22">
        <f>(B153+C153)/D153</f>
        <v>10</v>
      </c>
      <c r="J153">
        <f>(B153/$B$6)*0.001/$B$5*2</f>
        <v>2.3437500000000003E-3</v>
      </c>
      <c r="K153">
        <f>(C153/$C$6)*0.001/$C$5*3</f>
        <v>6.701311383928571E-4</v>
      </c>
      <c r="L153">
        <f>J153+K153</f>
        <v>3.0138811383928574E-3</v>
      </c>
    </row>
    <row r="154" spans="1:12">
      <c r="A154" s="1" t="s">
        <v>168</v>
      </c>
      <c r="B154" s="1">
        <v>6.5847821164393903</v>
      </c>
      <c r="C154" s="1">
        <v>6.5847821164393903</v>
      </c>
      <c r="D154" s="1">
        <v>6.5847821164393903</v>
      </c>
      <c r="E154" s="1">
        <v>7.4820824874813194</v>
      </c>
      <c r="F154" s="25" t="s">
        <v>84</v>
      </c>
    </row>
    <row r="155" spans="1:12">
      <c r="A155" s="1" t="s">
        <v>169</v>
      </c>
      <c r="B155" s="26">
        <v>10</v>
      </c>
      <c r="C155" s="26">
        <v>10</v>
      </c>
      <c r="D155" s="26">
        <v>10</v>
      </c>
      <c r="E155" s="26">
        <v>10</v>
      </c>
      <c r="F155" s="25" t="s">
        <v>87</v>
      </c>
    </row>
    <row r="156" spans="1:12">
      <c r="A156" s="1" t="s">
        <v>78</v>
      </c>
      <c r="B156" s="4">
        <f>B153*12*0.001/(B154*B155*0.001)</f>
        <v>13.667878208955225</v>
      </c>
      <c r="C156" s="4">
        <f>C153*12*0.001/(C154*C155*0.001)</f>
        <v>4.5559594029850743</v>
      </c>
      <c r="D156" s="4">
        <f>D153*12*0.001/(D154*D155*0.001)</f>
        <v>1.8223837611940297</v>
      </c>
      <c r="E156" s="77">
        <f>E153*18*0.001/(E154*E155*0.001)</f>
        <v>1.202873667198723</v>
      </c>
    </row>
    <row r="157" spans="1:12" ht="18">
      <c r="A157" s="1" t="s">
        <v>79</v>
      </c>
      <c r="B157" s="4">
        <f>(B156/$B$6)</f>
        <v>17.511968955223882</v>
      </c>
      <c r="C157" s="4">
        <f>(C156/$C$6)</f>
        <v>3.9079555343283574</v>
      </c>
      <c r="D157" s="4">
        <f>D156/31*D147</f>
        <v>5.7267841425317281E-2</v>
      </c>
      <c r="E157" s="4">
        <f>E156/14*$E$5</f>
        <v>5.9284487883365635</v>
      </c>
      <c r="F157" s="184" t="s">
        <v>104</v>
      </c>
      <c r="G157" s="185"/>
    </row>
    <row r="158" spans="1:12">
      <c r="A158" s="23" t="s">
        <v>56</v>
      </c>
      <c r="B158" s="24">
        <f>B157</f>
        <v>17.511968955223882</v>
      </c>
      <c r="C158" s="24">
        <f>C157</f>
        <v>3.9079555343283574</v>
      </c>
      <c r="D158" s="24">
        <f>D157</f>
        <v>5.7267841425317281E-2</v>
      </c>
      <c r="E158" s="24">
        <f>E157</f>
        <v>5.9284487883365635</v>
      </c>
      <c r="F158" s="186">
        <v>16</v>
      </c>
      <c r="G158" s="187"/>
    </row>
    <row r="159" spans="1:12">
      <c r="A159" s="3" t="s">
        <v>77</v>
      </c>
      <c r="B159" s="177" t="s">
        <v>173</v>
      </c>
      <c r="C159" s="177"/>
      <c r="D159" s="177"/>
      <c r="F159" s="1">
        <v>1.2</v>
      </c>
    </row>
    <row r="161" spans="1:11">
      <c r="A161" s="3" t="s">
        <v>16</v>
      </c>
      <c r="B161" s="182">
        <v>45030</v>
      </c>
      <c r="C161" s="182"/>
      <c r="D161" s="182"/>
      <c r="E161" s="9">
        <v>45030</v>
      </c>
      <c r="F161" s="1" t="s">
        <v>40</v>
      </c>
      <c r="G161" s="21" t="s">
        <v>36</v>
      </c>
      <c r="J161" t="s">
        <v>131</v>
      </c>
      <c r="K161" t="s">
        <v>132</v>
      </c>
    </row>
    <row r="162" spans="1:11">
      <c r="A162" s="3" t="s">
        <v>101</v>
      </c>
      <c r="B162" s="1">
        <f>B153*F159</f>
        <v>90</v>
      </c>
      <c r="C162" s="1">
        <f>B162/3</f>
        <v>30</v>
      </c>
      <c r="D162" s="1">
        <f>D153*F159</f>
        <v>12</v>
      </c>
      <c r="E162" s="1">
        <v>10</v>
      </c>
      <c r="F162" s="1">
        <f>B162+C162</f>
        <v>120</v>
      </c>
      <c r="G162" s="22">
        <f>(B162+C162)/D162</f>
        <v>10</v>
      </c>
      <c r="J162">
        <f>(B162/$B$6)*0.001/$B$5*2</f>
        <v>2.8124999999999999E-3</v>
      </c>
      <c r="K162">
        <f>(C162/$C$6)*0.001/$C$5*3</f>
        <v>8.041573660714286E-4</v>
      </c>
    </row>
    <row r="163" spans="1:11">
      <c r="A163" s="1" t="s">
        <v>168</v>
      </c>
      <c r="B163" s="1">
        <f>25/(3+48.32/60)</f>
        <v>6.5697266993693058</v>
      </c>
      <c r="C163" s="1">
        <f>25/(3+48.32/60)</f>
        <v>6.5697266993693058</v>
      </c>
      <c r="D163" s="1">
        <f>25/(3+48.32/60)</f>
        <v>6.5697266993693058</v>
      </c>
      <c r="E163" s="1">
        <f>25/(3+32.72/60)</f>
        <v>7.0515231289958633</v>
      </c>
      <c r="F163" s="25" t="s">
        <v>84</v>
      </c>
    </row>
    <row r="164" spans="1:11">
      <c r="A164" s="1" t="s">
        <v>169</v>
      </c>
      <c r="B164" s="26">
        <v>10</v>
      </c>
      <c r="C164" s="26">
        <v>10</v>
      </c>
      <c r="D164" s="26">
        <v>10</v>
      </c>
      <c r="E164" s="26">
        <v>5</v>
      </c>
      <c r="F164" s="25" t="s">
        <v>87</v>
      </c>
    </row>
    <row r="165" spans="1:11">
      <c r="A165" s="1" t="s">
        <v>78</v>
      </c>
      <c r="B165" s="4">
        <f>B162*11.45*0.001/(B163*B164*0.001)</f>
        <v>15.685583999999999</v>
      </c>
      <c r="C165" s="4">
        <f>C162*11.45*0.001/(C163*C164*0.001)</f>
        <v>5.2285280000000007</v>
      </c>
      <c r="D165" s="4">
        <f>D162*11.45*0.001/(D163*D164*0.001)</f>
        <v>2.0914111999999996</v>
      </c>
      <c r="E165" s="77">
        <f>E162*18*0.001/(E163*E164*0.001)</f>
        <v>5.1052799999999996</v>
      </c>
    </row>
    <row r="166" spans="1:11" ht="18">
      <c r="A166" s="1" t="s">
        <v>79</v>
      </c>
      <c r="B166" s="4">
        <f>(B165/$B$6)</f>
        <v>20.097154499999998</v>
      </c>
      <c r="C166" s="4">
        <f>(C165/$C$6)</f>
        <v>4.484863258571429</v>
      </c>
      <c r="D166" s="4">
        <f>D165/31*$F$5</f>
        <v>11.752381646451608</v>
      </c>
      <c r="E166" s="4">
        <f>E165/14*$E$5</f>
        <v>25.161737142857142</v>
      </c>
      <c r="F166" s="184" t="s">
        <v>104</v>
      </c>
      <c r="G166" s="185"/>
    </row>
    <row r="167" spans="1:11">
      <c r="A167" s="23" t="s">
        <v>56</v>
      </c>
      <c r="B167" s="24">
        <f>B166</f>
        <v>20.097154499999998</v>
      </c>
      <c r="C167" s="24">
        <f>C166</f>
        <v>4.484863258571429</v>
      </c>
      <c r="D167" s="24">
        <f>D166</f>
        <v>11.752381646451608</v>
      </c>
      <c r="E167" s="24">
        <f>E166</f>
        <v>25.161737142857142</v>
      </c>
      <c r="F167" s="186">
        <v>16</v>
      </c>
      <c r="G167" s="187"/>
    </row>
    <row r="168" spans="1:11">
      <c r="A168" s="3" t="s">
        <v>77</v>
      </c>
      <c r="B168" s="177" t="s">
        <v>183</v>
      </c>
      <c r="C168" s="177"/>
      <c r="D168" s="177"/>
      <c r="F168" s="1">
        <v>1.2</v>
      </c>
    </row>
    <row r="170" spans="1:11">
      <c r="A170" s="3" t="s">
        <v>16</v>
      </c>
      <c r="B170" s="182">
        <v>45034</v>
      </c>
      <c r="C170" s="182"/>
      <c r="D170" s="182"/>
      <c r="E170" s="9">
        <v>45033</v>
      </c>
      <c r="F170" s="1" t="s">
        <v>40</v>
      </c>
      <c r="G170" s="21" t="s">
        <v>36</v>
      </c>
      <c r="J170" t="s">
        <v>131</v>
      </c>
      <c r="K170" t="s">
        <v>132</v>
      </c>
    </row>
    <row r="171" spans="1:11">
      <c r="A171" s="3" t="s">
        <v>101</v>
      </c>
      <c r="B171" s="1">
        <f>B162*F168</f>
        <v>108</v>
      </c>
      <c r="C171" s="1">
        <f>B171/3</f>
        <v>36</v>
      </c>
      <c r="D171" s="1">
        <f>D162*F168</f>
        <v>14.399999999999999</v>
      </c>
      <c r="F171" s="1">
        <f>B171+C171</f>
        <v>144</v>
      </c>
      <c r="G171" s="22">
        <f>(B171+C171)/D171</f>
        <v>10.000000000000002</v>
      </c>
      <c r="J171">
        <f>(B171/$B$6)*0.001/$B$5*2</f>
        <v>3.375E-3</v>
      </c>
      <c r="K171">
        <f>(C171/$C$6)*0.001/$C$5*3</f>
        <v>9.6498883928571413E-4</v>
      </c>
    </row>
    <row r="172" spans="1:11">
      <c r="A172" s="1" t="s">
        <v>168</v>
      </c>
      <c r="B172" s="1">
        <f>25/(3+48.32/60)</f>
        <v>6.5697266993693058</v>
      </c>
      <c r="C172" s="1">
        <f>25/(3+48.32/60)</f>
        <v>6.5697266993693058</v>
      </c>
      <c r="D172" s="1">
        <f>25/(3+48.32/60)</f>
        <v>6.5697266993693058</v>
      </c>
      <c r="E172" s="1">
        <f>25/(3+32.72/60)</f>
        <v>7.0515231289958633</v>
      </c>
      <c r="F172" s="25" t="s">
        <v>84</v>
      </c>
    </row>
    <row r="173" spans="1:11">
      <c r="A173" s="1" t="s">
        <v>169</v>
      </c>
      <c r="B173" s="26">
        <v>10</v>
      </c>
      <c r="C173" s="26">
        <v>10</v>
      </c>
      <c r="D173" s="26">
        <v>10</v>
      </c>
      <c r="E173" s="26">
        <v>5</v>
      </c>
      <c r="F173" s="25" t="s">
        <v>87</v>
      </c>
    </row>
    <row r="174" spans="1:11">
      <c r="A174" s="1" t="s">
        <v>78</v>
      </c>
      <c r="B174" s="4">
        <f>B171*11.45*0.001/(B172*B173*0.001)</f>
        <v>18.8227008</v>
      </c>
      <c r="C174" s="4">
        <f>C171*11.45*0.001/(C172*C173*0.001)</f>
        <v>6.2742336000000005</v>
      </c>
      <c r="D174" s="4">
        <f>D171*11.45*0.001/(D172*D173*0.001)</f>
        <v>2.5096934399999995</v>
      </c>
      <c r="E174" s="77">
        <f>E171*18*0.001/(E172*E173*0.001)</f>
        <v>0</v>
      </c>
    </row>
    <row r="175" spans="1:11" ht="18">
      <c r="A175" s="1" t="s">
        <v>79</v>
      </c>
      <c r="B175" s="4">
        <f>(B174/$B$6)</f>
        <v>24.116585399999998</v>
      </c>
      <c r="C175" s="4">
        <f>(C174/$C$6)</f>
        <v>5.3818359102857141</v>
      </c>
      <c r="D175" s="4">
        <f>D174/31*$F$5</f>
        <v>14.102857975741934</v>
      </c>
      <c r="E175" s="4">
        <f>E174/14*$E$5</f>
        <v>0</v>
      </c>
      <c r="F175" s="184" t="s">
        <v>104</v>
      </c>
      <c r="G175" s="185"/>
    </row>
    <row r="176" spans="1:11">
      <c r="A176" s="23" t="s">
        <v>56</v>
      </c>
      <c r="B176" s="24">
        <f>B175</f>
        <v>24.116585399999998</v>
      </c>
      <c r="C176" s="24">
        <f>C175</f>
        <v>5.3818359102857141</v>
      </c>
      <c r="D176" s="24">
        <f>D175</f>
        <v>14.102857975741934</v>
      </c>
      <c r="E176" s="24">
        <f>E175</f>
        <v>0</v>
      </c>
      <c r="F176" s="186">
        <v>16</v>
      </c>
      <c r="G176" s="187"/>
    </row>
    <row r="177" spans="1:11">
      <c r="A177" s="3" t="s">
        <v>77</v>
      </c>
      <c r="B177" s="177" t="s">
        <v>183</v>
      </c>
      <c r="C177" s="177"/>
      <c r="D177" s="177"/>
    </row>
    <row r="179" spans="1:11">
      <c r="A179" s="3" t="s">
        <v>16</v>
      </c>
      <c r="B179" s="182" t="s">
        <v>196</v>
      </c>
      <c r="C179" s="182"/>
      <c r="D179" s="182"/>
      <c r="E179" s="9"/>
      <c r="F179" s="1" t="s">
        <v>40</v>
      </c>
      <c r="G179" s="21" t="s">
        <v>36</v>
      </c>
      <c r="J179" t="s">
        <v>131</v>
      </c>
      <c r="K179" t="s">
        <v>132</v>
      </c>
    </row>
    <row r="180" spans="1:11">
      <c r="A180" s="3" t="s">
        <v>101</v>
      </c>
      <c r="B180" s="1">
        <v>135</v>
      </c>
      <c r="C180" s="1">
        <v>45</v>
      </c>
      <c r="D180" s="1">
        <v>11.25</v>
      </c>
      <c r="F180" s="1">
        <f>B180+C180</f>
        <v>180</v>
      </c>
      <c r="G180" s="22">
        <f>(B180+C180)/D180</f>
        <v>16</v>
      </c>
      <c r="J180">
        <f>(B180/$B$6)*0.001/$B$5*2</f>
        <v>4.2187500000000003E-3</v>
      </c>
      <c r="K180">
        <f>(C180/$C$6)*0.001/$C$5*3</f>
        <v>1.2062360491071427E-3</v>
      </c>
    </row>
    <row r="181" spans="1:11">
      <c r="A181" s="1" t="s">
        <v>168</v>
      </c>
      <c r="B181" s="1">
        <v>7.4</v>
      </c>
      <c r="C181" s="1">
        <v>7.4</v>
      </c>
      <c r="D181" s="1">
        <v>7.4</v>
      </c>
      <c r="F181" s="25" t="s">
        <v>84</v>
      </c>
    </row>
    <row r="182" spans="1:11">
      <c r="A182" s="1" t="s">
        <v>169</v>
      </c>
      <c r="B182" s="26">
        <v>10</v>
      </c>
      <c r="C182" s="26">
        <v>10</v>
      </c>
      <c r="D182" s="26">
        <v>10</v>
      </c>
      <c r="E182" s="26"/>
      <c r="F182" s="25" t="s">
        <v>87</v>
      </c>
    </row>
    <row r="183" spans="1:11">
      <c r="A183" s="1" t="s">
        <v>78</v>
      </c>
      <c r="B183" s="4">
        <f>B180*11.45*0.001/(B181*B182*0.001)</f>
        <v>20.888513513513512</v>
      </c>
      <c r="C183" s="4">
        <f>C180*11.45*0.001/(C181*C182*0.001)</f>
        <v>6.9628378378378377</v>
      </c>
      <c r="D183" s="4">
        <f>D180*11.45*0.001/(D181*D182*0.001)</f>
        <v>1.7407094594594594</v>
      </c>
      <c r="E183" s="4"/>
    </row>
    <row r="184" spans="1:11" ht="18">
      <c r="A184" s="1" t="s">
        <v>79</v>
      </c>
      <c r="B184" s="4">
        <f>(B183/$B$6)</f>
        <v>26.763407939189186</v>
      </c>
      <c r="C184" s="4">
        <f>(C183/$C$6)</f>
        <v>5.9724984917953661</v>
      </c>
      <c r="D184" s="4">
        <f>D183/31*$F$5</f>
        <v>9.7816641238012192</v>
      </c>
      <c r="E184" s="4"/>
      <c r="F184" s="184" t="s">
        <v>104</v>
      </c>
      <c r="G184" s="185"/>
    </row>
    <row r="185" spans="1:11">
      <c r="A185" s="23" t="s">
        <v>56</v>
      </c>
      <c r="B185" s="24">
        <f>B184</f>
        <v>26.763407939189186</v>
      </c>
      <c r="C185" s="24">
        <f>C184</f>
        <v>5.9724984917953661</v>
      </c>
      <c r="D185" s="24">
        <f>D184</f>
        <v>9.7816641238012192</v>
      </c>
      <c r="E185" s="24"/>
      <c r="F185" s="186">
        <v>16</v>
      </c>
      <c r="G185" s="187"/>
    </row>
    <row r="186" spans="1:11">
      <c r="A186" s="3" t="s">
        <v>77</v>
      </c>
      <c r="B186" s="177" t="s">
        <v>183</v>
      </c>
      <c r="C186" s="177"/>
      <c r="D186" s="177"/>
    </row>
    <row r="188" spans="1:11">
      <c r="A188" s="3" t="s">
        <v>16</v>
      </c>
      <c r="B188" s="182" t="s">
        <v>198</v>
      </c>
      <c r="C188" s="182"/>
      <c r="D188" s="182"/>
      <c r="E188" s="9"/>
      <c r="F188" s="1" t="s">
        <v>40</v>
      </c>
      <c r="G188" s="21" t="s">
        <v>36</v>
      </c>
      <c r="J188" t="s">
        <v>131</v>
      </c>
      <c r="K188" t="s">
        <v>132</v>
      </c>
    </row>
    <row r="189" spans="1:11">
      <c r="A189" s="3" t="s">
        <v>101</v>
      </c>
      <c r="B189" s="1">
        <v>135</v>
      </c>
      <c r="C189" s="1">
        <v>45</v>
      </c>
      <c r="D189" s="1">
        <v>11.25</v>
      </c>
      <c r="F189" s="1">
        <f>B189+C189</f>
        <v>180</v>
      </c>
      <c r="G189" s="22">
        <f>(B189+C189)/D189</f>
        <v>16</v>
      </c>
      <c r="J189">
        <f>(B189/$B$6)*0.001/$B$5*2</f>
        <v>4.2187500000000003E-3</v>
      </c>
      <c r="K189">
        <f>(C189/$C$6)*0.001/$C$5*3</f>
        <v>1.2062360491071427E-3</v>
      </c>
    </row>
    <row r="190" spans="1:11">
      <c r="A190" s="1" t="s">
        <v>168</v>
      </c>
      <c r="B190" s="1">
        <v>7.2</v>
      </c>
      <c r="C190" s="1">
        <v>7.2</v>
      </c>
      <c r="D190" s="1">
        <v>7.2</v>
      </c>
      <c r="F190" s="25" t="s">
        <v>84</v>
      </c>
    </row>
    <row r="191" spans="1:11">
      <c r="A191" s="1" t="s">
        <v>169</v>
      </c>
      <c r="B191" s="26">
        <v>10</v>
      </c>
      <c r="C191" s="26">
        <v>10</v>
      </c>
      <c r="D191" s="26">
        <v>10</v>
      </c>
      <c r="E191" s="26"/>
      <c r="F191" s="25" t="s">
        <v>87</v>
      </c>
    </row>
    <row r="192" spans="1:11">
      <c r="A192" s="1" t="s">
        <v>78</v>
      </c>
      <c r="B192" s="4">
        <f>B189*11.45*0.001/(B190*B191*0.001)</f>
        <v>21.468749999999996</v>
      </c>
      <c r="C192" s="4">
        <f>C189*11.45*0.001/(C190*C191*0.001)</f>
        <v>7.1562499999999991</v>
      </c>
      <c r="D192" s="4">
        <f>D189*11.45*0.001/(D190*D191*0.001)</f>
        <v>1.7890624999999998</v>
      </c>
      <c r="E192" s="4"/>
    </row>
    <row r="193" spans="1:11" ht="18">
      <c r="A193" s="1" t="s">
        <v>79</v>
      </c>
      <c r="B193" s="4">
        <f>(B192/$B$6)</f>
        <v>27.506835937499993</v>
      </c>
      <c r="C193" s="4">
        <f>(C192/$C$6)</f>
        <v>6.1384012276785702</v>
      </c>
      <c r="D193" s="4">
        <f>D192/31*$F$5</f>
        <v>10.05337701612903</v>
      </c>
      <c r="E193" s="4"/>
      <c r="F193" s="184" t="s">
        <v>104</v>
      </c>
      <c r="G193" s="185"/>
    </row>
    <row r="194" spans="1:11">
      <c r="A194" s="23" t="s">
        <v>56</v>
      </c>
      <c r="B194" s="24">
        <f>B193</f>
        <v>27.506835937499993</v>
      </c>
      <c r="C194" s="24">
        <f>C193</f>
        <v>6.1384012276785702</v>
      </c>
      <c r="D194" s="24">
        <f>D193</f>
        <v>10.05337701612903</v>
      </c>
      <c r="E194" s="24"/>
      <c r="F194" s="186">
        <v>16</v>
      </c>
      <c r="G194" s="187"/>
    </row>
    <row r="195" spans="1:11">
      <c r="A195" s="3" t="s">
        <v>77</v>
      </c>
      <c r="B195" s="177" t="s">
        <v>183</v>
      </c>
      <c r="C195" s="177"/>
      <c r="D195" s="177"/>
    </row>
    <row r="197" spans="1:11">
      <c r="A197" s="3" t="s">
        <v>16</v>
      </c>
      <c r="B197" s="182" t="s">
        <v>199</v>
      </c>
      <c r="C197" s="182"/>
      <c r="D197" s="182"/>
      <c r="E197" s="9"/>
      <c r="F197" s="1" t="s">
        <v>40</v>
      </c>
      <c r="G197" s="21" t="s">
        <v>36</v>
      </c>
      <c r="J197" t="s">
        <v>131</v>
      </c>
      <c r="K197" t="s">
        <v>132</v>
      </c>
    </row>
    <row r="198" spans="1:11">
      <c r="A198" s="3" t="s">
        <v>101</v>
      </c>
      <c r="B198" s="1">
        <v>112.5</v>
      </c>
      <c r="C198" s="1">
        <v>37.5</v>
      </c>
      <c r="D198" s="1">
        <v>9.375</v>
      </c>
      <c r="F198" s="1">
        <f>B198+C198</f>
        <v>150</v>
      </c>
      <c r="G198" s="22">
        <f>(B198+C198)/D198</f>
        <v>16</v>
      </c>
      <c r="J198">
        <f>(B198/$B$6)*0.001/$B$5*2</f>
        <v>3.5156249999999997E-3</v>
      </c>
      <c r="K198">
        <f>(C198/$C$6)*0.001/$C$5*3</f>
        <v>1.0051967075892856E-3</v>
      </c>
    </row>
    <row r="199" spans="1:11">
      <c r="A199" s="1" t="s">
        <v>168</v>
      </c>
      <c r="B199" s="1">
        <v>7.4</v>
      </c>
      <c r="C199" s="1">
        <v>7.4</v>
      </c>
      <c r="D199" s="1">
        <v>7.4</v>
      </c>
      <c r="F199" s="25" t="s">
        <v>84</v>
      </c>
    </row>
    <row r="200" spans="1:11">
      <c r="A200" s="1" t="s">
        <v>169</v>
      </c>
      <c r="B200" s="26">
        <v>10</v>
      </c>
      <c r="C200" s="26">
        <v>10</v>
      </c>
      <c r="D200" s="26">
        <v>10</v>
      </c>
      <c r="E200" s="26"/>
      <c r="F200" s="25" t="s">
        <v>87</v>
      </c>
    </row>
    <row r="201" spans="1:11">
      <c r="A201" s="1" t="s">
        <v>78</v>
      </c>
      <c r="B201" s="4">
        <f>B198*11.45*0.001/(B199*B200*0.001)</f>
        <v>17.407094594594597</v>
      </c>
      <c r="C201" s="4">
        <f>C198*11.45*0.001/(C199*C200*0.001)</f>
        <v>5.8023648648648649</v>
      </c>
      <c r="D201" s="4">
        <f>D198*11.45*0.001/(D199*D200*0.001)</f>
        <v>1.4505912162162162</v>
      </c>
      <c r="E201" s="4"/>
    </row>
    <row r="202" spans="1:11" ht="18">
      <c r="A202" s="1" t="s">
        <v>79</v>
      </c>
      <c r="B202" s="4">
        <f>(B201/$B$6)</f>
        <v>22.302839949324326</v>
      </c>
      <c r="C202" s="4">
        <f>(C201/$C$6)</f>
        <v>4.9770820764961385</v>
      </c>
      <c r="D202" s="4">
        <f>D201/31*$F$5</f>
        <v>8.1513867698343496</v>
      </c>
      <c r="E202" s="4"/>
      <c r="F202" s="184" t="s">
        <v>104</v>
      </c>
      <c r="G202" s="185"/>
    </row>
    <row r="203" spans="1:11">
      <c r="A203" s="23" t="s">
        <v>56</v>
      </c>
      <c r="B203" s="24">
        <f>B202</f>
        <v>22.302839949324326</v>
      </c>
      <c r="C203" s="24">
        <f>C202</f>
        <v>4.9770820764961385</v>
      </c>
      <c r="D203" s="24">
        <f>D202</f>
        <v>8.1513867698343496</v>
      </c>
      <c r="E203" s="24"/>
      <c r="F203" s="186">
        <v>16</v>
      </c>
      <c r="G203" s="187"/>
    </row>
    <row r="204" spans="1:11">
      <c r="A204" s="3" t="s">
        <v>77</v>
      </c>
      <c r="B204" s="177" t="s">
        <v>200</v>
      </c>
      <c r="C204" s="177"/>
      <c r="D204" s="177"/>
    </row>
    <row r="207" spans="1:11">
      <c r="B207" s="3">
        <f>150/4</f>
        <v>37.5</v>
      </c>
      <c r="C207" s="1">
        <f>B207*3</f>
        <v>112.5</v>
      </c>
    </row>
  </sheetData>
  <mergeCells count="80">
    <mergeCell ref="B197:D197"/>
    <mergeCell ref="F202:G202"/>
    <mergeCell ref="F203:G203"/>
    <mergeCell ref="B204:D204"/>
    <mergeCell ref="B188:D188"/>
    <mergeCell ref="F193:G193"/>
    <mergeCell ref="F194:G194"/>
    <mergeCell ref="B195:D195"/>
    <mergeCell ref="B179:D179"/>
    <mergeCell ref="F184:G184"/>
    <mergeCell ref="F185:G185"/>
    <mergeCell ref="B186:D186"/>
    <mergeCell ref="B170:D170"/>
    <mergeCell ref="F175:G175"/>
    <mergeCell ref="F176:G176"/>
    <mergeCell ref="B177:D177"/>
    <mergeCell ref="F166:G166"/>
    <mergeCell ref="F167:G167"/>
    <mergeCell ref="B168:D168"/>
    <mergeCell ref="F157:G157"/>
    <mergeCell ref="F158:G158"/>
    <mergeCell ref="B159:D159"/>
    <mergeCell ref="B161:D161"/>
    <mergeCell ref="F148:G148"/>
    <mergeCell ref="F149:G149"/>
    <mergeCell ref="B150:D150"/>
    <mergeCell ref="B152:D152"/>
    <mergeCell ref="F131:G131"/>
    <mergeCell ref="B132:D132"/>
    <mergeCell ref="B134:D134"/>
    <mergeCell ref="F139:G139"/>
    <mergeCell ref="F140:G140"/>
    <mergeCell ref="B141:D141"/>
    <mergeCell ref="B143:D143"/>
    <mergeCell ref="B84:D84"/>
    <mergeCell ref="B91:D91"/>
    <mergeCell ref="F89:G89"/>
    <mergeCell ref="F90:G90"/>
    <mergeCell ref="B114:D114"/>
    <mergeCell ref="F113:G113"/>
    <mergeCell ref="F130:G130"/>
    <mergeCell ref="B107:D107"/>
    <mergeCell ref="F112:G112"/>
    <mergeCell ref="B55:D55"/>
    <mergeCell ref="B93:D93"/>
    <mergeCell ref="F98:G98"/>
    <mergeCell ref="F99:G99"/>
    <mergeCell ref="B100:D100"/>
    <mergeCell ref="F122:G122"/>
    <mergeCell ref="B57:D57"/>
    <mergeCell ref="B82:D82"/>
    <mergeCell ref="B64:D64"/>
    <mergeCell ref="B125:D125"/>
    <mergeCell ref="B116:D116"/>
    <mergeCell ref="F121:G121"/>
    <mergeCell ref="B123:D123"/>
    <mergeCell ref="J1:R9"/>
    <mergeCell ref="B18:D18"/>
    <mergeCell ref="B20:D20"/>
    <mergeCell ref="B27:D27"/>
    <mergeCell ref="B48:D48"/>
    <mergeCell ref="E1:E2"/>
    <mergeCell ref="F63:G63"/>
    <mergeCell ref="F80:G80"/>
    <mergeCell ref="F81:G81"/>
    <mergeCell ref="B66:D66"/>
    <mergeCell ref="F71:G71"/>
    <mergeCell ref="F72:G72"/>
    <mergeCell ref="B75:D75"/>
    <mergeCell ref="B73:D73"/>
    <mergeCell ref="A1:A2"/>
    <mergeCell ref="B1:D2"/>
    <mergeCell ref="B3:C3"/>
    <mergeCell ref="B10:D10"/>
    <mergeCell ref="B7:D7"/>
    <mergeCell ref="F62:G62"/>
    <mergeCell ref="B39:D39"/>
    <mergeCell ref="B46:D46"/>
    <mergeCell ref="B30:D30"/>
    <mergeCell ref="B37:D37"/>
  </mergeCells>
  <phoneticPr fontId="46" type="noConversion"/>
  <hyperlinks>
    <hyperlink ref="S1" r:id="rId1" xr:uid="{2C08806B-48A9-463E-AC9B-0E0A05376064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6028-0CB9-4560-AFCF-3EF3A1A133D6}">
  <dimension ref="A1:C30"/>
  <sheetViews>
    <sheetView workbookViewId="0">
      <selection activeCell="D18" sqref="D18"/>
    </sheetView>
  </sheetViews>
  <sheetFormatPr defaultColWidth="8.85546875" defaultRowHeight="15"/>
  <cols>
    <col min="1" max="1" width="30.140625" customWidth="1"/>
    <col min="2" max="2" width="36" customWidth="1"/>
    <col min="3" max="3" width="22" customWidth="1"/>
  </cols>
  <sheetData>
    <row r="1" spans="1:3">
      <c r="A1" s="174" t="s">
        <v>14</v>
      </c>
      <c r="B1" s="173" t="s">
        <v>133</v>
      </c>
    </row>
    <row r="2" spans="1:3">
      <c r="A2" s="174"/>
      <c r="B2" s="173"/>
    </row>
    <row r="3" spans="1:3" ht="18">
      <c r="A3" s="3" t="s">
        <v>15</v>
      </c>
      <c r="B3" s="1" t="s">
        <v>135</v>
      </c>
    </row>
    <row r="4" spans="1:3">
      <c r="A4" s="3"/>
      <c r="B4" s="1"/>
    </row>
    <row r="5" spans="1:3">
      <c r="A5" s="3" t="s">
        <v>16</v>
      </c>
      <c r="B5" s="9" t="s">
        <v>134</v>
      </c>
      <c r="C5" t="s">
        <v>82</v>
      </c>
    </row>
    <row r="6" spans="1:3">
      <c r="A6" s="3" t="s">
        <v>95</v>
      </c>
      <c r="B6" s="10">
        <v>3</v>
      </c>
      <c r="C6">
        <v>0.1</v>
      </c>
    </row>
    <row r="7" spans="1:3">
      <c r="A7" s="1" t="s">
        <v>52</v>
      </c>
      <c r="B7" s="1">
        <v>8.8000000000000007</v>
      </c>
    </row>
    <row r="8" spans="1:3">
      <c r="A8" s="1" t="s">
        <v>55</v>
      </c>
      <c r="B8" s="28">
        <v>0.5</v>
      </c>
    </row>
    <row r="9" spans="1:3">
      <c r="A9" s="1" t="s">
        <v>90</v>
      </c>
      <c r="B9" s="4">
        <f>12*B6*0.001/(B7*B8*0.001)</f>
        <v>8.1818181818181817</v>
      </c>
    </row>
    <row r="10" spans="1:3">
      <c r="A10" s="1" t="s">
        <v>136</v>
      </c>
      <c r="B10" s="4">
        <f>(B9/14)*69</f>
        <v>40.324675324675326</v>
      </c>
    </row>
    <row r="11" spans="1:3">
      <c r="A11" s="23" t="s">
        <v>71</v>
      </c>
      <c r="B11" s="24">
        <f>B10*C6</f>
        <v>4.0324675324675328</v>
      </c>
    </row>
    <row r="12" spans="1:3">
      <c r="A12" s="3" t="s">
        <v>77</v>
      </c>
      <c r="B12" s="27" t="s">
        <v>130</v>
      </c>
    </row>
    <row r="14" spans="1:3">
      <c r="A14" s="3" t="s">
        <v>16</v>
      </c>
      <c r="B14" s="9" t="s">
        <v>149</v>
      </c>
      <c r="C14" t="s">
        <v>82</v>
      </c>
    </row>
    <row r="15" spans="1:3">
      <c r="A15" s="3" t="s">
        <v>95</v>
      </c>
      <c r="B15" s="10">
        <v>10</v>
      </c>
      <c r="C15">
        <v>0.1</v>
      </c>
    </row>
    <row r="16" spans="1:3">
      <c r="A16" s="1" t="s">
        <v>52</v>
      </c>
      <c r="B16" s="1">
        <v>8.8000000000000007</v>
      </c>
    </row>
    <row r="17" spans="1:3">
      <c r="A17" s="1" t="s">
        <v>55</v>
      </c>
      <c r="B17" s="28">
        <v>0.5</v>
      </c>
    </row>
    <row r="18" spans="1:3">
      <c r="A18" s="1" t="s">
        <v>90</v>
      </c>
      <c r="B18" s="4">
        <f>12*B15*0.001/(B16*B17*0.001)</f>
        <v>27.27272727272727</v>
      </c>
    </row>
    <row r="19" spans="1:3">
      <c r="A19" s="1" t="s">
        <v>136</v>
      </c>
      <c r="B19" s="4">
        <f>(B18/14)*69</f>
        <v>134.41558441558439</v>
      </c>
    </row>
    <row r="20" spans="1:3">
      <c r="A20" s="23" t="s">
        <v>71</v>
      </c>
      <c r="B20" s="24">
        <f>B19*C15</f>
        <v>13.44155844155844</v>
      </c>
    </row>
    <row r="21" spans="1:3">
      <c r="A21" s="3" t="s">
        <v>77</v>
      </c>
      <c r="B21" s="27" t="s">
        <v>130</v>
      </c>
    </row>
    <row r="23" spans="1:3">
      <c r="A23" s="3" t="s">
        <v>16</v>
      </c>
      <c r="B23" s="9" t="s">
        <v>150</v>
      </c>
      <c r="C23" t="s">
        <v>82</v>
      </c>
    </row>
    <row r="24" spans="1:3">
      <c r="A24" s="3" t="s">
        <v>95</v>
      </c>
      <c r="B24" s="10">
        <v>15</v>
      </c>
      <c r="C24">
        <v>0.1</v>
      </c>
    </row>
    <row r="25" spans="1:3">
      <c r="A25" s="1" t="s">
        <v>52</v>
      </c>
      <c r="B25" s="1">
        <v>8.8000000000000007</v>
      </c>
    </row>
    <row r="26" spans="1:3">
      <c r="A26" s="1" t="s">
        <v>55</v>
      </c>
      <c r="B26" s="28">
        <v>0.5</v>
      </c>
    </row>
    <row r="27" spans="1:3">
      <c r="A27" s="1" t="s">
        <v>90</v>
      </c>
      <c r="B27" s="4">
        <f>12*B24*0.001/(B25*B26*0.001)</f>
        <v>40.909090909090907</v>
      </c>
    </row>
    <row r="28" spans="1:3">
      <c r="A28" s="1" t="s">
        <v>136</v>
      </c>
      <c r="B28" s="4">
        <f>(B27/14)*69</f>
        <v>201.6233766233766</v>
      </c>
    </row>
    <row r="29" spans="1:3">
      <c r="A29" s="23" t="s">
        <v>71</v>
      </c>
      <c r="B29" s="24">
        <f>B28*C24</f>
        <v>20.162337662337663</v>
      </c>
    </row>
    <row r="30" spans="1:3">
      <c r="A30" s="3" t="s">
        <v>77</v>
      </c>
      <c r="B30" s="27" t="s">
        <v>130</v>
      </c>
    </row>
  </sheetData>
  <mergeCells count="2">
    <mergeCell ref="A1:A2"/>
    <mergeCell ref="B1:B2"/>
  </mergeCells>
  <phoneticPr fontId="4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C612-28E1-4CB2-9C56-128BF0347D92}">
  <dimension ref="A1:I9"/>
  <sheetViews>
    <sheetView workbookViewId="0">
      <selection activeCell="G18" sqref="G18"/>
    </sheetView>
  </sheetViews>
  <sheetFormatPr defaultColWidth="8.85546875" defaultRowHeight="15"/>
  <cols>
    <col min="7" max="7" width="25.140625" style="1" bestFit="1" customWidth="1"/>
    <col min="8" max="8" width="8.85546875" style="4"/>
  </cols>
  <sheetData>
    <row r="1" spans="1:9" ht="18">
      <c r="B1" s="201" t="s">
        <v>17</v>
      </c>
      <c r="C1" s="201"/>
      <c r="D1" s="201"/>
      <c r="E1" s="201"/>
      <c r="G1" s="201" t="s">
        <v>49</v>
      </c>
      <c r="H1" s="201"/>
      <c r="I1" t="s">
        <v>46</v>
      </c>
    </row>
    <row r="2" spans="1:9">
      <c r="A2" t="s">
        <v>18</v>
      </c>
      <c r="B2" s="1">
        <v>82</v>
      </c>
      <c r="C2" s="1">
        <v>64</v>
      </c>
      <c r="G2" s="1" t="s">
        <v>44</v>
      </c>
      <c r="H2" s="4" t="s">
        <v>45</v>
      </c>
    </row>
    <row r="3" spans="1:9">
      <c r="A3" t="s">
        <v>21</v>
      </c>
      <c r="B3" s="1">
        <v>1</v>
      </c>
      <c r="C3" s="5">
        <f>B3*C2/B2</f>
        <v>0.78048780487804881</v>
      </c>
      <c r="D3" s="6" t="s">
        <v>19</v>
      </c>
      <c r="G3" s="1" t="s">
        <v>47</v>
      </c>
      <c r="H3" s="4">
        <f>300/C3</f>
        <v>384.375</v>
      </c>
    </row>
    <row r="4" spans="1:9">
      <c r="G4" s="1" t="s">
        <v>48</v>
      </c>
      <c r="H4" s="4">
        <f>100/C7</f>
        <v>85.776785714285708</v>
      </c>
      <c r="I4" t="s">
        <v>51</v>
      </c>
    </row>
    <row r="5" spans="1:9" ht="18">
      <c r="B5" s="201" t="s">
        <v>20</v>
      </c>
      <c r="C5" s="201"/>
      <c r="D5" s="201"/>
      <c r="E5" s="201"/>
      <c r="G5" s="1" t="s">
        <v>50</v>
      </c>
    </row>
    <row r="6" spans="1:9">
      <c r="A6" t="s">
        <v>18</v>
      </c>
      <c r="B6" s="1">
        <v>192.14</v>
      </c>
      <c r="C6" s="1">
        <v>224</v>
      </c>
    </row>
    <row r="7" spans="1:9">
      <c r="A7" t="s">
        <v>21</v>
      </c>
      <c r="B7" s="1">
        <v>1</v>
      </c>
      <c r="C7" s="5">
        <f>B7*C6/B6</f>
        <v>1.1658165920682837</v>
      </c>
      <c r="D7" s="6" t="s">
        <v>19</v>
      </c>
    </row>
    <row r="9" spans="1:9">
      <c r="G9" s="201"/>
      <c r="H9" s="201"/>
    </row>
  </sheetData>
  <mergeCells count="4">
    <mergeCell ref="B1:E1"/>
    <mergeCell ref="B5:E5"/>
    <mergeCell ref="G1:H1"/>
    <mergeCell ref="G9:H9"/>
  </mergeCells>
  <phoneticPr fontId="4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CCE4-C101-496B-A10E-D7E8441A0F91}">
  <dimension ref="A1:D6"/>
  <sheetViews>
    <sheetView workbookViewId="0">
      <selection activeCell="F17" sqref="F17"/>
    </sheetView>
  </sheetViews>
  <sheetFormatPr defaultColWidth="8.85546875" defaultRowHeight="15"/>
  <cols>
    <col min="1" max="1" width="15.42578125" customWidth="1"/>
  </cols>
  <sheetData>
    <row r="1" spans="1:4">
      <c r="A1" t="s">
        <v>63</v>
      </c>
      <c r="B1">
        <f>23+14+16*2</f>
        <v>69</v>
      </c>
      <c r="C1" t="s">
        <v>65</v>
      </c>
    </row>
    <row r="2" spans="1:4">
      <c r="B2" t="s">
        <v>66</v>
      </c>
      <c r="C2">
        <f>1*0.5*0.001*B1</f>
        <v>3.4500000000000003E-2</v>
      </c>
      <c r="D2" t="s">
        <v>68</v>
      </c>
    </row>
    <row r="5" spans="1:4">
      <c r="A5" t="s">
        <v>64</v>
      </c>
      <c r="B5">
        <f>14+4+35.5</f>
        <v>53.5</v>
      </c>
      <c r="C5" t="s">
        <v>65</v>
      </c>
    </row>
    <row r="6" spans="1:4">
      <c r="B6" t="s">
        <v>66</v>
      </c>
      <c r="C6">
        <f>1*0.5*0.001*B5</f>
        <v>2.6749999999999999E-2</v>
      </c>
      <c r="D6" t="s">
        <v>67</v>
      </c>
    </row>
  </sheetData>
  <phoneticPr fontId="4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C0F6-CFD4-4292-80B1-401BDE9EB6B6}">
  <dimension ref="A1:E22"/>
  <sheetViews>
    <sheetView workbookViewId="0">
      <selection activeCell="F12" sqref="F12"/>
    </sheetView>
  </sheetViews>
  <sheetFormatPr defaultColWidth="8.85546875" defaultRowHeight="15"/>
  <cols>
    <col min="1" max="1" width="22" style="1" customWidth="1"/>
    <col min="2" max="2" width="17.85546875" customWidth="1"/>
    <col min="3" max="3" width="18.85546875" bestFit="1" customWidth="1"/>
    <col min="4" max="4" width="13.42578125" bestFit="1" customWidth="1"/>
    <col min="5" max="5" width="15.28515625" style="44" bestFit="1" customWidth="1"/>
  </cols>
  <sheetData>
    <row r="1" spans="1:5" s="1" customFormat="1">
      <c r="B1" s="1" t="s">
        <v>143</v>
      </c>
      <c r="C1" s="1" t="s">
        <v>144</v>
      </c>
      <c r="D1" s="1" t="s">
        <v>145</v>
      </c>
      <c r="E1" s="4" t="s">
        <v>146</v>
      </c>
    </row>
    <row r="2" spans="1:5" s="1" customFormat="1">
      <c r="A2" s="1" t="s">
        <v>142</v>
      </c>
      <c r="B2" s="1">
        <v>1</v>
      </c>
      <c r="C2" s="1">
        <f>7.4*10*0.001</f>
        <v>7.3999999999999996E-2</v>
      </c>
      <c r="D2" s="1">
        <v>7.25</v>
      </c>
      <c r="E2" s="4">
        <f>(B2/C2)*7.25/24</f>
        <v>4.0822072072072073</v>
      </c>
    </row>
    <row r="3" spans="1:5" s="1" customFormat="1" ht="18">
      <c r="A3" s="1" t="s">
        <v>147</v>
      </c>
      <c r="B3" s="1">
        <v>0.1</v>
      </c>
      <c r="C3" s="1">
        <f>8.4*0.5*0.001</f>
        <v>4.2000000000000006E-3</v>
      </c>
      <c r="D3" s="1">
        <v>7.25</v>
      </c>
      <c r="E3" s="4">
        <f>(B3/C3)*7.25/24</f>
        <v>7.1924603174603163</v>
      </c>
    </row>
    <row r="4" spans="1:5" s="1" customFormat="1">
      <c r="A4" s="1" t="s">
        <v>148</v>
      </c>
      <c r="B4" s="1">
        <v>100</v>
      </c>
      <c r="C4" s="1">
        <v>6</v>
      </c>
      <c r="D4" s="1">
        <v>7.25</v>
      </c>
      <c r="E4" s="4">
        <f>(B4/C4)*7.25/24</f>
        <v>5.0347222222222223</v>
      </c>
    </row>
    <row r="5" spans="1:5" s="1" customFormat="1">
      <c r="A5" s="1" t="s">
        <v>37</v>
      </c>
      <c r="B5" s="1">
        <v>2</v>
      </c>
      <c r="C5" s="1" t="s">
        <v>26</v>
      </c>
      <c r="D5" s="1" t="s">
        <v>26</v>
      </c>
      <c r="E5" s="4">
        <v>5</v>
      </c>
    </row>
    <row r="6" spans="1:5" s="1" customFormat="1">
      <c r="A6" s="1" t="s">
        <v>115</v>
      </c>
      <c r="B6" s="1">
        <v>2</v>
      </c>
      <c r="C6" s="1" t="s">
        <v>26</v>
      </c>
      <c r="D6" s="1" t="s">
        <v>26</v>
      </c>
      <c r="E6" s="4">
        <v>5</v>
      </c>
    </row>
    <row r="7" spans="1:5" s="1" customFormat="1">
      <c r="E7" s="4"/>
    </row>
    <row r="8" spans="1:5" s="1" customFormat="1">
      <c r="E8" s="4"/>
    </row>
    <row r="9" spans="1:5" s="1" customFormat="1">
      <c r="E9" s="4"/>
    </row>
    <row r="10" spans="1:5" s="1" customFormat="1">
      <c r="E10" s="4"/>
    </row>
    <row r="11" spans="1:5" s="1" customFormat="1">
      <c r="E11" s="4"/>
    </row>
    <row r="12" spans="1:5" s="1" customFormat="1">
      <c r="E12" s="4"/>
    </row>
    <row r="20" spans="1:2">
      <c r="A20" s="1" t="s">
        <v>41</v>
      </c>
      <c r="B20" t="s">
        <v>96</v>
      </c>
    </row>
    <row r="21" spans="1:2">
      <c r="A21" s="1" t="s">
        <v>42</v>
      </c>
    </row>
    <row r="22" spans="1:2">
      <c r="A22" s="1" t="s">
        <v>43</v>
      </c>
    </row>
  </sheetData>
  <phoneticPr fontId="4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8DDC9360AADA42ADCF56D1C08BA83A" ma:contentTypeVersion="16" ma:contentTypeDescription="Create a new document." ma:contentTypeScope="" ma:versionID="2a6754fca62f945c220c9273a3095d74">
  <xsd:schema xmlns:xsd="http://www.w3.org/2001/XMLSchema" xmlns:xs="http://www.w3.org/2001/XMLSchema" xmlns:p="http://schemas.microsoft.com/office/2006/metadata/properties" xmlns:ns2="ea0878a2-f03b-4598-b6b2-9e409d94144d" xmlns:ns3="5043b417-2d5c-4ff3-930b-0fb795b7d2ac" xmlns:ns4="efce84db-8738-4c7b-9bdc-65b9500871f6" targetNamespace="http://schemas.microsoft.com/office/2006/metadata/properties" ma:root="true" ma:fieldsID="e0c068848eb28e306f00c50678f21756" ns2:_="" ns3:_="" ns4:_="">
    <xsd:import namespace="ea0878a2-f03b-4598-b6b2-9e409d94144d"/>
    <xsd:import namespace="5043b417-2d5c-4ff3-930b-0fb795b7d2ac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878a2-f03b-4598-b6b2-9e409d9414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3b417-2d5c-4ff3-930b-0fb795b7d2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c66cffa-f6c1-412f-b297-7c621db83b59}" ma:internalName="TaxCatchAll" ma:showField="CatchAllData" ma:web="5043b417-2d5c-4ff3-930b-0fb795b7d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0878a2-f03b-4598-b6b2-9e409d94144d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C078C0E5-DD5E-4B3B-82BF-FFF75EF56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06ADA9-38EA-456E-B4E7-FEA48BBE7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0878a2-f03b-4598-b6b2-9e409d94144d"/>
    <ds:schemaRef ds:uri="5043b417-2d5c-4ff3-930b-0fb795b7d2ac"/>
    <ds:schemaRef ds:uri="efce84db-8738-4c7b-9bdc-65b9500871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07BBE8-B44C-48BA-B589-F8FB56946C7B}">
  <ds:schemaRefs>
    <ds:schemaRef ds:uri="http://schemas.microsoft.com/office/2006/metadata/properties"/>
    <ds:schemaRef ds:uri="http://schemas.microsoft.com/office/infopath/2007/PartnerControls"/>
    <ds:schemaRef ds:uri="ea0878a2-f03b-4598-b6b2-9e409d94144d"/>
    <ds:schemaRef ds:uri="efce84db-8738-4c7b-9bdc-65b9500871f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COD+P feed (2)</vt:lpstr>
      <vt:lpstr>Media ingredients_conc.</vt:lpstr>
      <vt:lpstr>acid and base feed</vt:lpstr>
      <vt:lpstr>dosing pump rate</vt:lpstr>
      <vt:lpstr>purchase</vt:lpstr>
      <vt:lpstr>Sheet1</vt:lpstr>
      <vt:lpstr>nitrate feed</vt:lpstr>
      <vt:lpstr>COD+P feed</vt:lpstr>
      <vt:lpstr>nitrite feed test</vt:lpstr>
      <vt:lpstr>Influent COD calculation</vt:lpstr>
      <vt:lpstr>Biomass storage media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Jia</dc:creator>
  <cp:lastModifiedBy>Emily Karen Kin</cp:lastModifiedBy>
  <dcterms:created xsi:type="dcterms:W3CDTF">2015-06-05T18:17:20Z</dcterms:created>
  <dcterms:modified xsi:type="dcterms:W3CDTF">2026-06-02T03:46:35Z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0x010100288DDC9360AADA42ADCF56D1C08BA83A</vt:lpwstr>
  </property>
</Properties>
</file>