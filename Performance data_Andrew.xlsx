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860" yWindow="4128" windowWidth="37332" windowHeight="19476" tabRatio="600" firstSheet="0" activeTab="0" autoFilterDateGrouping="1"/>
  </bookViews>
  <sheets>
    <sheet xmlns:r="http://schemas.openxmlformats.org/officeDocument/2006/relationships" name="Daily monitoring final (3)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_xlchart.v1.0" hidden="1">'Daily monitoring final (3)'!$BD$126:$BD$190</definedName>
    <definedName name="_xlchart.v1.1" hidden="1">'Daily monitoring final (3)'!$BD$191:$BD$218</definedName>
    <definedName name="_xlchart.v1.10" hidden="1">'Daily monitoring final (3)'!#REF!</definedName>
    <definedName name="_xlchart.v1.11" hidden="1">'Daily monitoring final (3)'!#REF!</definedName>
    <definedName name="_xlchart.v1.12" hidden="1">'Daily monitoring final (3)'!#REF!</definedName>
    <definedName name="_xlchart.v1.13" hidden="1">'Daily monitoring final (3)'!#REF!</definedName>
    <definedName name="_xlchart.v1.14" hidden="1">'Daily monitoring final (3)'!#REF!</definedName>
    <definedName name="_xlchart.v1.15" hidden="1">'Daily monitoring final (3)'!#REF!</definedName>
    <definedName name="_xlchart.v1.16" hidden="1">'Daily monitoring final (3)'!#REF!</definedName>
    <definedName name="_xlchart.v1.17" hidden="1">'Daily monitoring final (3)'!#REF!</definedName>
    <definedName name="_xlchart.v1.2" hidden="1">'Daily monitoring final (3)'!$BD$66:$BD$125</definedName>
    <definedName name="_xlchart.v1.3" hidden="1">'Daily monitoring final (3)'!$BD$6:$BD$65</definedName>
    <definedName name="_xlchart.v1.4" hidden="1">'Daily monitoring final (3)'!#REF!</definedName>
    <definedName name="_xlchart.v1.5" hidden="1">'Daily monitoring final (3)'!#REF!</definedName>
    <definedName name="_xlchart.v1.6" hidden="1">'Daily monitoring final (3)'!#REF!</definedName>
    <definedName name="_xlchart.v1.7" hidden="1">'Daily monitoring final (3)'!#REF!</definedName>
    <definedName name="_xlchart.v1.8" hidden="1">'Daily monitoring final (3)'!#REF!</definedName>
    <definedName name="_xlchart.v1.9" hidden="1">'Daily monitoring final (3)'!#REF!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_ "/>
    <numFmt numFmtId="167" formatCode="[$-F400]h:mm:ss\ AM/PM"/>
  </numFmts>
  <fonts count="4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color theme="6" tint="0.3999755851924192"/>
      <sz val="11"/>
      <scheme val="minor"/>
    </font>
    <font>
      <name val="Aptos Narrow"/>
      <family val="2"/>
      <sz val="11"/>
      <scheme val="minor"/>
    </font>
    <font>
      <name val="Aptos Narrow"/>
      <family val="2"/>
      <color theme="7" tint="0.3999755851924192"/>
      <sz val="11"/>
      <scheme val="minor"/>
    </font>
    <font>
      <name val="Aptos Narrow"/>
      <family val="2"/>
      <strike val="1"/>
      <color theme="1"/>
      <sz val="11"/>
      <scheme val="minor"/>
    </font>
    <font>
      <name val="Aptos Narrow"/>
      <family val="2"/>
      <color theme="4" tint="0.7999816888943144"/>
      <sz val="11"/>
      <scheme val="minor"/>
    </font>
    <font>
      <name val="Aptos Narrow"/>
      <family val="2"/>
      <color theme="7" tint="0.7999816888943144"/>
      <sz val="11"/>
      <scheme val="minor"/>
    </font>
    <font>
      <name val="Times New Roman"/>
      <family val="1"/>
      <color theme="1"/>
      <sz val="12"/>
    </font>
    <font>
      <name val="Aptos Narrow"/>
      <family val="2"/>
      <color theme="4" tint="0.3999755851924192"/>
      <sz val="11"/>
      <scheme val="minor"/>
    </font>
    <font>
      <name val="Courier New"/>
      <family val="3"/>
      <color theme="1"/>
      <sz val="10.5"/>
    </font>
    <font>
      <name val="Aptos Narrow"/>
      <family val="2"/>
      <color theme="6"/>
      <sz val="11"/>
      <scheme val="minor"/>
    </font>
    <font>
      <name val="Aptos Narrow"/>
      <family val="2"/>
      <b val="1"/>
      <color theme="6" tint="0.5999938962981048"/>
      <sz val="11"/>
      <scheme val="minor"/>
    </font>
    <font>
      <name val="Aptos Narrow"/>
      <family val="2"/>
      <color theme="7" tint="0.5999938962981048"/>
      <sz val="11"/>
      <scheme val="minor"/>
    </font>
    <font>
      <name val="Aptos Narrow"/>
      <family val="2"/>
      <color theme="6" tint="0.5999938962981048"/>
      <sz val="11"/>
      <scheme val="minor"/>
    </font>
    <font>
      <name val="Aptos Narrow"/>
      <family val="2"/>
      <color theme="4" tint="0.5999938962981048"/>
      <sz val="11"/>
      <scheme val="minor"/>
    </font>
    <font>
      <name val="Aptos Narrow"/>
      <family val="2"/>
      <color rgb="FFCCECFF"/>
      <sz val="11"/>
      <scheme val="minor"/>
    </font>
    <font>
      <name val="Aptos Narrow"/>
      <family val="2"/>
      <color theme="9" tint="0.3999755851924192"/>
      <sz val="11"/>
      <scheme val="minor"/>
    </font>
    <font>
      <name val="Aptos Narrow"/>
      <family val="2"/>
      <b val="1"/>
      <color rgb="FFCCECFF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5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color rgb="FF6699FF"/>
      <sz val="11"/>
      <scheme val="minor"/>
    </font>
    <font>
      <name val="Aptos Narrow"/>
      <family val="2"/>
      <color theme="4"/>
      <sz val="11"/>
      <scheme val="minor"/>
    </font>
    <font>
      <name val="Aptos Narrow"/>
      <family val="2"/>
      <color rgb="FFFD8F87"/>
      <sz val="11"/>
      <scheme val="minor"/>
    </font>
    <font>
      <name val="Aptos Narrow"/>
      <family val="2"/>
      <b val="1"/>
      <color rgb="FFFD8F87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theme="8" tint="0.7999816888943144"/>
      <sz val="11"/>
      <scheme val="minor"/>
    </font>
    <font>
      <name val="Times New Roman Uni"/>
      <charset val="136"/>
      <family val="1"/>
      <color theme="1"/>
      <sz val="11"/>
    </font>
    <font>
      <name val="新細明體"/>
      <charset val="136"/>
      <family val="1"/>
      <color theme="1"/>
      <sz val="7.7"/>
    </font>
    <font>
      <name val="Tahoma"/>
      <charset val="1"/>
      <family val="2"/>
      <color theme="1"/>
      <sz val="11"/>
    </font>
    <font>
      <name val="Aptos Narrow"/>
      <charset val="136"/>
      <family val="1"/>
      <color theme="1"/>
      <sz val="11"/>
      <scheme val="minor"/>
    </font>
    <font>
      <name val="Tahoma"/>
      <charset val="1"/>
      <family val="1"/>
      <color theme="1"/>
      <sz val="11"/>
      <vertAlign val="subscript"/>
    </font>
    <font>
      <name val="Aptos Narrow"/>
      <family val="2"/>
      <b val="1"/>
      <i val="1"/>
      <color rgb="FFFF0000"/>
      <sz val="11"/>
      <scheme val="minor"/>
    </font>
    <font>
      <name val="Aptos Narrow"/>
      <family val="2"/>
      <i val="1"/>
      <color rgb="FFFF0000"/>
      <sz val="11"/>
      <scheme val="minor"/>
    </font>
    <font>
      <b val="1"/>
    </font>
  </fonts>
  <fills count="1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AC2EC"/>
        <bgColor indexed="64"/>
      </patternFill>
    </fill>
    <fill>
      <patternFill patternType="solid">
        <fgColor rgb="FFFED4D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00FFF2CC"/>
        <bgColor rgb="00FFF2CC"/>
      </patternFill>
    </fill>
  </fills>
  <borders count="2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/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/>
      <top/>
      <bottom style="thick">
        <color auto="1"/>
      </bottom>
      <diagonal/>
    </border>
    <border>
      <left/>
      <right/>
      <top/>
      <bottom style="thin">
        <color rgb="FF92D050"/>
      </bottom>
      <diagonal/>
    </border>
    <border>
      <left/>
      <right/>
      <top/>
      <bottom style="thin">
        <color rgb="FFFFFF00"/>
      </bottom>
      <diagonal/>
    </border>
    <border>
      <left/>
      <right/>
      <top/>
      <bottom style="thin">
        <color rgb="FFFFC000"/>
      </bottom>
      <diagonal/>
    </border>
    <border>
      <left/>
      <right/>
      <top/>
      <bottom style="thin">
        <color rgb="FFC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1" fillId="0" borderId="0"/>
    <xf numFmtId="9" fontId="1" fillId="0" borderId="0"/>
    <xf numFmtId="9" fontId="1" fillId="0" borderId="0"/>
  </cellStyleXfs>
  <cellXfs count="26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center" vertical="center"/>
    </xf>
    <xf numFmtId="9" fontId="0" fillId="0" borderId="0" applyAlignment="1" pivotButton="0" quotePrefix="0" xfId="2">
      <alignment horizontal="center" vertical="center"/>
    </xf>
    <xf numFmtId="9" fontId="0" fillId="0" borderId="2" applyAlignment="1" pivotButton="0" quotePrefix="0" xfId="2">
      <alignment horizontal="center" vertical="center"/>
    </xf>
    <xf numFmtId="9" fontId="0" fillId="3" borderId="0" applyAlignment="1" pivotButton="0" quotePrefix="0" xfId="2">
      <alignment horizontal="center" vertical="center"/>
    </xf>
    <xf numFmtId="9" fontId="0" fillId="3" borderId="2" applyAlignment="1" pivotButton="0" quotePrefix="0" xfId="2">
      <alignment horizontal="center" vertical="center"/>
    </xf>
    <xf numFmtId="21" fontId="0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4" fontId="0" fillId="0" borderId="0" pivotButton="0" quotePrefix="0" xfId="0"/>
    <xf numFmtId="2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9" fontId="0" fillId="0" borderId="3" applyAlignment="1" pivotButton="0" quotePrefix="0" xfId="2">
      <alignment horizontal="center" vertical="center"/>
    </xf>
    <xf numFmtId="9" fontId="0" fillId="0" borderId="5" applyAlignment="1" pivotButton="0" quotePrefix="0" xfId="2">
      <alignment horizontal="center" vertical="center"/>
    </xf>
    <xf numFmtId="0" fontId="0" fillId="0" borderId="5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2" fontId="2" fillId="0" borderId="4" applyAlignment="1" pivotButton="0" quotePrefix="0" xfId="0">
      <alignment horizontal="center" vertical="center"/>
    </xf>
    <xf numFmtId="2" fontId="2" fillId="0" borderId="3" applyAlignment="1" pivotButton="0" quotePrefix="0" xfId="0">
      <alignment horizontal="center" vertical="center"/>
    </xf>
    <xf numFmtId="2" fontId="2" fillId="0" borderId="5" applyAlignment="1" pivotButton="0" quotePrefix="0" xfId="0">
      <alignment horizontal="center" vertical="center"/>
    </xf>
    <xf numFmtId="14" fontId="3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2" fontId="10" fillId="0" borderId="0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9" fontId="0" fillId="0" borderId="6" applyAlignment="1" pivotButton="0" quotePrefix="0" xfId="2">
      <alignment horizontal="center" vertical="center"/>
    </xf>
    <xf numFmtId="9" fontId="0" fillId="0" borderId="8" applyAlignment="1" pivotButton="0" quotePrefix="0" xfId="2">
      <alignment horizontal="center" vertical="center"/>
    </xf>
    <xf numFmtId="0" fontId="0" fillId="0" borderId="8" applyAlignment="1" pivotButton="0" quotePrefix="0" xfId="0">
      <alignment horizontal="center" vertical="center"/>
    </xf>
    <xf numFmtId="1" fontId="4" fillId="0" borderId="6" applyAlignment="1" pivotButton="0" quotePrefix="0" xfId="0">
      <alignment horizontal="center" vertical="center"/>
    </xf>
    <xf numFmtId="2" fontId="0" fillId="0" borderId="8" applyAlignment="1" pivotButton="0" quotePrefix="0" xfId="0">
      <alignment horizontal="center" vertical="center"/>
    </xf>
    <xf numFmtId="2" fontId="2" fillId="0" borderId="7" applyAlignment="1" pivotButton="0" quotePrefix="0" xfId="0">
      <alignment horizontal="center" vertical="center"/>
    </xf>
    <xf numFmtId="2" fontId="2" fillId="0" borderId="6" applyAlignment="1" pivotButton="0" quotePrefix="0" xfId="0">
      <alignment horizontal="center" vertical="center"/>
    </xf>
    <xf numFmtId="2" fontId="6" fillId="0" borderId="6" applyAlignment="1" pivotButton="0" quotePrefix="0" xfId="0">
      <alignment horizontal="center" vertical="center"/>
    </xf>
    <xf numFmtId="2" fontId="10" fillId="0" borderId="6" applyAlignment="1" pivotButton="0" quotePrefix="0" xfId="0">
      <alignment horizontal="center" vertical="center"/>
    </xf>
    <xf numFmtId="14" fontId="3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9" fontId="0" fillId="0" borderId="0" applyAlignment="1" pivotButton="0" quotePrefix="0" xfId="1">
      <alignment horizontal="center" vertical="center"/>
    </xf>
    <xf numFmtId="165" fontId="11" fillId="0" borderId="0" pivotButton="0" quotePrefix="0" xfId="0"/>
    <xf numFmtId="2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9" fontId="0" fillId="3" borderId="0" applyAlignment="1" pivotButton="0" quotePrefix="0" xfId="1">
      <alignment horizontal="center" vertical="center"/>
    </xf>
    <xf numFmtId="9" fontId="7" fillId="0" borderId="0" applyAlignment="1" pivotButton="0" quotePrefix="0" xfId="2">
      <alignment horizontal="center" vertical="center"/>
    </xf>
    <xf numFmtId="0" fontId="14" fillId="0" borderId="0" applyAlignment="1" pivotButton="0" quotePrefix="0" xfId="0">
      <alignment horizontal="center" vertical="center"/>
    </xf>
    <xf numFmtId="14" fontId="3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14" fontId="15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2" fontId="9" fillId="0" borderId="0" applyAlignment="1" pivotButton="0" quotePrefix="0" xfId="0">
      <alignment horizontal="center" vertical="center"/>
    </xf>
    <xf numFmtId="14" fontId="15" fillId="0" borderId="0" applyAlignment="1" pivotButton="0" quotePrefix="0" xfId="0">
      <alignment horizontal="center" vertical="center"/>
    </xf>
    <xf numFmtId="165" fontId="11" fillId="0" borderId="3" pivotButton="0" quotePrefix="0" xfId="0"/>
    <xf numFmtId="2" fontId="0" fillId="0" borderId="4" applyAlignment="1" pivotButton="0" quotePrefix="0" xfId="0">
      <alignment horizontal="center" vertical="center"/>
    </xf>
    <xf numFmtId="164" fontId="0" fillId="0" borderId="3" pivotButton="0" quotePrefix="0" xfId="0"/>
    <xf numFmtId="0" fontId="13" fillId="0" borderId="3" applyAlignment="1" pivotButton="0" quotePrefix="0" xfId="0">
      <alignment vertical="center"/>
    </xf>
    <xf numFmtId="2" fontId="6" fillId="0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 wrapText="1"/>
    </xf>
    <xf numFmtId="2" fontId="0" fillId="6" borderId="0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14" fontId="3" fillId="7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center" vertical="center"/>
    </xf>
    <xf numFmtId="9" fontId="0" fillId="0" borderId="0" applyAlignment="1" pivotButton="0" quotePrefix="0" xfId="1">
      <alignment horizontal="center" vertical="center"/>
    </xf>
    <xf numFmtId="9" fontId="0" fillId="3" borderId="3" applyAlignment="1" pivotButton="0" quotePrefix="0" xfId="1">
      <alignment horizontal="center" vertical="center"/>
    </xf>
    <xf numFmtId="0" fontId="2" fillId="0" borderId="5" applyAlignment="1" pivotButton="0" quotePrefix="0" xfId="0">
      <alignment horizontal="center" vertical="center"/>
    </xf>
    <xf numFmtId="166" fontId="0" fillId="0" borderId="4" applyAlignment="1" pivotButton="0" quotePrefix="0" xfId="0">
      <alignment horizontal="center" vertical="center"/>
    </xf>
    <xf numFmtId="0" fontId="8" fillId="0" borderId="0" pivotButton="0" quotePrefix="0" xfId="0"/>
    <xf numFmtId="0" fontId="10" fillId="0" borderId="3" applyAlignment="1" pivotButton="0" quotePrefix="0" xfId="0">
      <alignment horizontal="center" vertical="center"/>
    </xf>
    <xf numFmtId="14" fontId="3" fillId="8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4" fontId="3" fillId="8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14" fontId="21" fillId="8" borderId="0" applyAlignment="1" pivotButton="0" quotePrefix="0" xfId="0">
      <alignment horizontal="center" vertical="center"/>
    </xf>
    <xf numFmtId="0" fontId="0" fillId="4" borderId="0" pivotButton="0" quotePrefix="0" xfId="0"/>
    <xf numFmtId="21" fontId="8" fillId="0" borderId="0" pivotButton="0" quotePrefix="0" xfId="0"/>
    <xf numFmtId="9" fontId="6" fillId="0" borderId="0" applyAlignment="1" pivotButton="0" quotePrefix="0" xfId="1">
      <alignment horizontal="center" vertical="center"/>
    </xf>
    <xf numFmtId="167" fontId="0" fillId="0" borderId="0" pivotButton="0" quotePrefix="0" xfId="0"/>
    <xf numFmtId="0" fontId="0" fillId="0" borderId="0" applyAlignment="1" pivotButton="0" quotePrefix="0" xfId="0">
      <alignment horizontal="center"/>
    </xf>
    <xf numFmtId="1" fontId="22" fillId="0" borderId="0" applyAlignment="1" pivotButton="0" quotePrefix="0" xfId="0">
      <alignment horizontal="center" vertical="center"/>
    </xf>
    <xf numFmtId="167" fontId="0" fillId="0" borderId="3" pivotButton="0" quotePrefix="0" xfId="0"/>
    <xf numFmtId="166" fontId="0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/>
    </xf>
    <xf numFmtId="14" fontId="23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14" fontId="23" fillId="0" borderId="0" applyAlignment="1" pivotButton="0" quotePrefix="0" xfId="0">
      <alignment horizontal="center" vertical="center"/>
    </xf>
    <xf numFmtId="9" fontId="0" fillId="0" borderId="3" applyAlignment="1" pivotButton="0" quotePrefix="0" xfId="1">
      <alignment horizontal="center" vertical="center"/>
    </xf>
    <xf numFmtId="0" fontId="0" fillId="0" borderId="3" pivotButton="0" quotePrefix="0" xfId="0"/>
    <xf numFmtId="14" fontId="3" fillId="0" borderId="9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 wrapText="1"/>
    </xf>
    <xf numFmtId="19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9" fontId="0" fillId="11" borderId="0" applyAlignment="1" pivotButton="0" quotePrefix="0" xfId="1">
      <alignment horizontal="center" vertical="center"/>
    </xf>
    <xf numFmtId="2" fontId="25" fillId="0" borderId="0" applyAlignment="1" pivotButton="0" quotePrefix="0" xfId="0">
      <alignment horizontal="center" vertical="center"/>
    </xf>
    <xf numFmtId="19" fontId="0" fillId="0" borderId="3" pivotButton="0" quotePrefix="0" xfId="0"/>
    <xf numFmtId="1" fontId="6" fillId="0" borderId="0" applyAlignment="1" pivotButton="0" quotePrefix="0" xfId="0">
      <alignment horizontal="center" vertical="center"/>
    </xf>
    <xf numFmtId="1" fontId="6" fillId="0" borderId="3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4" fontId="3" fillId="8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0" fontId="2" fillId="12" borderId="0" applyAlignment="1" pivotButton="0" quotePrefix="0" xfId="0">
      <alignment horizontal="center" vertical="center" wrapText="1"/>
    </xf>
    <xf numFmtId="1" fontId="10" fillId="0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14" fontId="3" fillId="13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165" fontId="11" fillId="15" borderId="0" pivotButton="0" quotePrefix="0" xfId="0"/>
    <xf numFmtId="9" fontId="0" fillId="15" borderId="0" applyAlignment="1" pivotButton="0" quotePrefix="0" xfId="2">
      <alignment horizontal="center" vertical="center"/>
    </xf>
    <xf numFmtId="9" fontId="0" fillId="15" borderId="2" applyAlignment="1" pivotButton="0" quotePrefix="0" xfId="2">
      <alignment horizontal="center" vertical="center"/>
    </xf>
    <xf numFmtId="0" fontId="0" fillId="15" borderId="2" applyAlignment="1" pivotButton="0" quotePrefix="0" xfId="0">
      <alignment horizontal="center" vertical="center"/>
    </xf>
    <xf numFmtId="2" fontId="6" fillId="15" borderId="0" applyAlignment="1" pivotButton="0" quotePrefix="0" xfId="0">
      <alignment horizontal="center" vertical="center"/>
    </xf>
    <xf numFmtId="1" fontId="6" fillId="15" borderId="0" applyAlignment="1" pivotButton="0" quotePrefix="0" xfId="0">
      <alignment horizontal="center" vertical="center"/>
    </xf>
    <xf numFmtId="166" fontId="0" fillId="15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19" fontId="0" fillId="15" borderId="0" pivotButton="0" quotePrefix="0" xfId="0"/>
    <xf numFmtId="0" fontId="0" fillId="15" borderId="0" pivotButton="0" quotePrefix="0" xfId="0"/>
    <xf numFmtId="0" fontId="26" fillId="15" borderId="0" applyAlignment="1" pivotButton="0" quotePrefix="0" xfId="0">
      <alignment horizontal="center" vertical="center"/>
    </xf>
    <xf numFmtId="2" fontId="0" fillId="15" borderId="1" applyAlignment="1" pivotButton="0" quotePrefix="0" xfId="0">
      <alignment horizontal="center" vertical="center"/>
    </xf>
    <xf numFmtId="2" fontId="0" fillId="15" borderId="0" applyAlignment="1" pivotButton="0" quotePrefix="0" xfId="0">
      <alignment horizontal="center" vertical="center"/>
    </xf>
    <xf numFmtId="2" fontId="0" fillId="15" borderId="2" applyAlignment="1" pivotButton="0" quotePrefix="0" xfId="0">
      <alignment horizontal="center" vertical="center"/>
    </xf>
    <xf numFmtId="2" fontId="2" fillId="15" borderId="1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 wrapText="1"/>
    </xf>
    <xf numFmtId="9" fontId="0" fillId="0" borderId="0" applyAlignment="1" pivotButton="0" quotePrefix="0" xfId="2">
      <alignment horizontal="center" vertical="center"/>
    </xf>
    <xf numFmtId="9" fontId="0" fillId="0" borderId="2" applyAlignment="1" pivotButton="0" quotePrefix="0" xfId="2">
      <alignment horizontal="center" vertical="center"/>
    </xf>
    <xf numFmtId="9" fontId="0" fillId="9" borderId="0" applyAlignment="1" pivotButton="0" quotePrefix="0" xfId="1">
      <alignment horizontal="center" vertical="center"/>
    </xf>
    <xf numFmtId="0" fontId="26" fillId="0" borderId="3" applyAlignment="1" pivotButton="0" quotePrefix="0" xfId="0">
      <alignment horizontal="center" vertical="center"/>
    </xf>
    <xf numFmtId="14" fontId="3" fillId="8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27" fillId="0" borderId="0" applyAlignment="1" pivotButton="0" quotePrefix="0" xfId="0">
      <alignment horizontal="center" vertical="center"/>
    </xf>
    <xf numFmtId="0" fontId="27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14" fontId="3" fillId="14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25" fillId="15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14" fontId="29" fillId="15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14" fontId="29" fillId="14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14" fontId="3" fillId="13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5" fontId="6" fillId="0" borderId="0" pivotButton="0" quotePrefix="0" xfId="0"/>
    <xf numFmtId="14" fontId="0" fillId="0" borderId="0" pivotButton="0" quotePrefix="0" xfId="0"/>
    <xf numFmtId="0" fontId="24" fillId="13" borderId="0" applyAlignment="1" pivotButton="0" quotePrefix="0" xfId="0">
      <alignment horizontal="center" vertical="center"/>
    </xf>
    <xf numFmtId="14" fontId="30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14" fontId="31" fillId="13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32" fillId="0" borderId="3" applyAlignment="1" pivotButton="0" quotePrefix="0" xfId="0">
      <alignment horizontal="center" vertical="center"/>
    </xf>
    <xf numFmtId="14" fontId="31" fillId="0" borderId="3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2" fontId="0" fillId="4" borderId="0" applyAlignment="1" pivotButton="0" quotePrefix="0" xfId="0">
      <alignment horizontal="center" vertical="center"/>
    </xf>
    <xf numFmtId="2" fontId="0" fillId="4" borderId="0" pivotButton="0" quotePrefix="0" xfId="0"/>
    <xf numFmtId="2" fontId="2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 wrapText="1"/>
    </xf>
    <xf numFmtId="2" fontId="32" fillId="0" borderId="0" applyAlignment="1" pivotButton="0" quotePrefix="0" xfId="0">
      <alignment horizontal="center" vertical="center"/>
    </xf>
    <xf numFmtId="19" fontId="2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right" vertical="center"/>
    </xf>
    <xf numFmtId="2" fontId="32" fillId="0" borderId="13" applyAlignment="1" pivotButton="0" quotePrefix="0" xfId="0">
      <alignment horizontal="center" vertical="center"/>
    </xf>
    <xf numFmtId="1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2" fontId="6" fillId="0" borderId="2" applyAlignment="1" pivotButton="0" quotePrefix="0" xfId="0">
      <alignment horizontal="center" vertical="center"/>
    </xf>
    <xf numFmtId="2" fontId="25" fillId="0" borderId="2" applyAlignment="1" pivotButton="0" quotePrefix="0" xfId="0">
      <alignment horizontal="center" vertical="center"/>
    </xf>
    <xf numFmtId="2" fontId="6" fillId="0" borderId="13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4" fontId="3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 wrapText="1"/>
    </xf>
    <xf numFmtId="165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2" fontId="31" fillId="0" borderId="1" applyAlignment="1" pivotButton="0" quotePrefix="0" xfId="0">
      <alignment horizontal="center" vertical="center"/>
    </xf>
    <xf numFmtId="2" fontId="31" fillId="0" borderId="0" applyAlignment="1" pivotButton="0" quotePrefix="0" xfId="0">
      <alignment horizontal="center" vertical="center"/>
    </xf>
    <xf numFmtId="2" fontId="31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 wrapText="1"/>
    </xf>
    <xf numFmtId="0" fontId="11" fillId="10" borderId="17" applyAlignment="1" pivotButton="0" quotePrefix="0" xfId="0">
      <alignment horizontal="center" vertical="center" wrapText="1"/>
    </xf>
    <xf numFmtId="0" fontId="11" fillId="17" borderId="0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2" fontId="3" fillId="0" borderId="0" applyAlignment="1" pivotButton="0" quotePrefix="0" xfId="0">
      <alignment horizontal="center" vertical="center" wrapText="1"/>
    </xf>
    <xf numFmtId="0" fontId="38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8" fillId="0" borderId="2" applyAlignment="1" pivotButton="0" quotePrefix="0" xfId="0">
      <alignment horizontal="center" vertical="center"/>
    </xf>
    <xf numFmtId="0" fontId="38" fillId="0" borderId="19" applyAlignment="1" pivotButton="0" quotePrefix="0" xfId="0">
      <alignment horizontal="center" vertical="center"/>
    </xf>
    <xf numFmtId="0" fontId="38" fillId="0" borderId="18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2" fontId="38" fillId="0" borderId="19" applyAlignment="1" pivotButton="0" quotePrefix="0" xfId="0">
      <alignment horizontal="center" vertical="center"/>
    </xf>
    <xf numFmtId="2" fontId="38" fillId="0" borderId="18" applyAlignment="1" pivotButton="0" quotePrefix="0" xfId="0">
      <alignment horizontal="center" vertical="center"/>
    </xf>
    <xf numFmtId="2" fontId="38" fillId="0" borderId="20" applyAlignment="1" pivotButton="0" quotePrefix="0" xfId="0">
      <alignment horizontal="center" vertical="center"/>
    </xf>
    <xf numFmtId="2" fontId="38" fillId="0" borderId="19" applyAlignment="1" pivotButton="0" quotePrefix="0" xfId="0">
      <alignment horizontal="center" vertical="center" wrapText="1"/>
    </xf>
    <xf numFmtId="2" fontId="38" fillId="0" borderId="18" applyAlignment="1" pivotButton="0" quotePrefix="0" xfId="0">
      <alignment horizontal="center" vertical="center" wrapText="1"/>
    </xf>
    <xf numFmtId="2" fontId="38" fillId="0" borderId="20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/>
    </xf>
    <xf numFmtId="14" fontId="38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 wrapText="1"/>
    </xf>
    <xf numFmtId="2" fontId="38" fillId="0" borderId="21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2" fontId="38" fillId="0" borderId="21" applyAlignment="1" pivotButton="0" quotePrefix="0" xfId="0">
      <alignment horizontal="center" vertical="center"/>
    </xf>
    <xf numFmtId="0" fontId="38" fillId="0" borderId="21" applyAlignment="1" pivotButton="0" quotePrefix="0" xfId="0">
      <alignment horizontal="center" vertical="center"/>
    </xf>
    <xf numFmtId="0" fontId="40" fillId="0" borderId="0" pivotButton="0" quotePrefix="0" xfId="0"/>
    <xf numFmtId="165" fontId="11" fillId="0" borderId="14" applyAlignment="1" pivotButton="0" quotePrefix="0" xfId="0">
      <alignment horizontal="center" vertical="center"/>
    </xf>
    <xf numFmtId="166" fontId="0" fillId="0" borderId="4" applyAlignment="1" pivotButton="0" quotePrefix="0" xfId="0">
      <alignment horizontal="center" vertical="center"/>
    </xf>
    <xf numFmtId="165" fontId="11" fillId="0" borderId="0" pivotButton="0" quotePrefix="0" xfId="0"/>
    <xf numFmtId="166" fontId="0" fillId="0" borderId="1" applyAlignment="1" pivotButton="0" quotePrefix="0" xfId="0">
      <alignment horizontal="center" vertical="center"/>
    </xf>
    <xf numFmtId="165" fontId="11" fillId="0" borderId="3" pivotButton="0" quotePrefix="0" xfId="0"/>
    <xf numFmtId="165" fontId="6" fillId="0" borderId="0" pivotButton="0" quotePrefix="0" xfId="0"/>
    <xf numFmtId="166" fontId="0" fillId="15" borderId="1" applyAlignment="1" pivotButton="0" quotePrefix="0" xfId="0">
      <alignment horizontal="center" vertical="center"/>
    </xf>
    <xf numFmtId="165" fontId="11" fillId="15" borderId="0" pivotButton="0" quotePrefix="0" xfId="0"/>
    <xf numFmtId="0" fontId="0" fillId="18" borderId="0" pivotButton="0" quotePrefix="0" xfId="0"/>
    <xf numFmtId="167" fontId="0" fillId="0" borderId="0" pivotButton="0" quotePrefix="0" xfId="0"/>
    <xf numFmtId="165" fontId="2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3" pivotButton="0" quotePrefix="0" xfId="0"/>
  </cellXfs>
  <cellStyles count="3">
    <cellStyle name="Normal" xfId="0" builtinId="0"/>
    <cellStyle name="Percent" xfId="1" builtinId="5"/>
    <cellStyle name="Percent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DOE_EERE/Reactor%20experiments/graphing%20data.xlsx" TargetMode="External" Id="rId3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DOE_EERE/Reactor%20experiments/incycletest-withoutPHA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rganizeforR_pjt2"/>
      <sheetName val="Daily monitoring final (2)"/>
      <sheetName val="PHA Spearsman (2)"/>
      <sheetName val="TSS_VSS"/>
      <sheetName val="pairwise_Utests_holm_all_vars"/>
      <sheetName val="pairwise_ttests_holm_all_vars"/>
      <sheetName val="Statistics"/>
      <sheetName val="organizeforR"/>
      <sheetName val="meanstd"/>
      <sheetName val="COD+P feed "/>
      <sheetName val="PHA Spearsman"/>
      <sheetName val="HRT_SRT"/>
    </sheetNames>
    <sheetDataSet>
      <sheetData sheetId="0"/>
      <sheetData sheetId="1">
        <row r="5">
          <cell r="D5">
            <v>0</v>
          </cell>
        </row>
        <row r="6">
          <cell r="D6">
            <v>1</v>
          </cell>
        </row>
        <row r="7">
          <cell r="D7">
            <v>2</v>
          </cell>
        </row>
        <row r="8">
          <cell r="D8">
            <v>3</v>
          </cell>
        </row>
        <row r="9">
          <cell r="D9">
            <v>4</v>
          </cell>
        </row>
        <row r="10">
          <cell r="D10">
            <v>5</v>
          </cell>
        </row>
        <row r="11">
          <cell r="D11">
            <v>6</v>
          </cell>
        </row>
        <row r="12">
          <cell r="D12">
            <v>7</v>
          </cell>
        </row>
        <row r="13">
          <cell r="D13">
            <v>8</v>
          </cell>
        </row>
        <row r="14">
          <cell r="D14">
            <v>9</v>
          </cell>
        </row>
        <row r="15">
          <cell r="D15">
            <v>10</v>
          </cell>
        </row>
        <row r="16">
          <cell r="D16">
            <v>11</v>
          </cell>
        </row>
        <row r="17">
          <cell r="D17">
            <v>12</v>
          </cell>
        </row>
        <row r="18">
          <cell r="D18">
            <v>13</v>
          </cell>
        </row>
        <row r="19">
          <cell r="D19">
            <v>14</v>
          </cell>
        </row>
        <row r="20">
          <cell r="D20">
            <v>15</v>
          </cell>
        </row>
        <row r="21">
          <cell r="D21">
            <v>16</v>
          </cell>
        </row>
        <row r="22">
          <cell r="D22">
            <v>17</v>
          </cell>
        </row>
        <row r="23">
          <cell r="D23">
            <v>18</v>
          </cell>
        </row>
        <row r="24">
          <cell r="D24">
            <v>19</v>
          </cell>
        </row>
        <row r="25">
          <cell r="D25">
            <v>20</v>
          </cell>
        </row>
        <row r="26">
          <cell r="D26">
            <v>21</v>
          </cell>
        </row>
        <row r="27">
          <cell r="D27">
            <v>22</v>
          </cell>
        </row>
        <row r="28">
          <cell r="D28">
            <v>23</v>
          </cell>
        </row>
        <row r="29">
          <cell r="D29">
            <v>24</v>
          </cell>
        </row>
        <row r="30">
          <cell r="D30">
            <v>25</v>
          </cell>
        </row>
        <row r="31">
          <cell r="D31">
            <v>26</v>
          </cell>
        </row>
        <row r="32">
          <cell r="D32">
            <v>27</v>
          </cell>
        </row>
        <row r="33">
          <cell r="D33">
            <v>28</v>
          </cell>
        </row>
        <row r="34">
          <cell r="D34">
            <v>29</v>
          </cell>
        </row>
        <row r="35">
          <cell r="D35">
            <v>30</v>
          </cell>
        </row>
        <row r="36">
          <cell r="D36">
            <v>31</v>
          </cell>
        </row>
        <row r="37">
          <cell r="D37">
            <v>32</v>
          </cell>
        </row>
        <row r="38">
          <cell r="D38">
            <v>33</v>
          </cell>
        </row>
        <row r="39">
          <cell r="D39">
            <v>34</v>
          </cell>
        </row>
        <row r="40">
          <cell r="D40">
            <v>35</v>
          </cell>
        </row>
        <row r="41">
          <cell r="D41">
            <v>36</v>
          </cell>
        </row>
        <row r="42">
          <cell r="D42">
            <v>37</v>
          </cell>
        </row>
        <row r="43">
          <cell r="D43">
            <v>38</v>
          </cell>
        </row>
        <row r="44">
          <cell r="D44">
            <v>39</v>
          </cell>
        </row>
        <row r="45">
          <cell r="D45">
            <v>40</v>
          </cell>
        </row>
        <row r="46">
          <cell r="D46">
            <v>41</v>
          </cell>
        </row>
        <row r="47">
          <cell r="D47">
            <v>42</v>
          </cell>
        </row>
        <row r="48">
          <cell r="D48">
            <v>43</v>
          </cell>
        </row>
        <row r="49">
          <cell r="D49">
            <v>44</v>
          </cell>
        </row>
        <row r="50">
          <cell r="D50">
            <v>45</v>
          </cell>
        </row>
        <row r="51">
          <cell r="D51">
            <v>46</v>
          </cell>
        </row>
        <row r="52">
          <cell r="D52">
            <v>47</v>
          </cell>
        </row>
        <row r="53">
          <cell r="D53">
            <v>48</v>
          </cell>
        </row>
        <row r="54">
          <cell r="D54">
            <v>49</v>
          </cell>
        </row>
        <row r="55">
          <cell r="D55">
            <v>50</v>
          </cell>
        </row>
        <row r="56">
          <cell r="D56">
            <v>51</v>
          </cell>
        </row>
        <row r="57">
          <cell r="D57">
            <v>52</v>
          </cell>
        </row>
        <row r="58">
          <cell r="D58">
            <v>53</v>
          </cell>
        </row>
        <row r="59">
          <cell r="D59">
            <v>54</v>
          </cell>
        </row>
        <row r="60">
          <cell r="D60">
            <v>55</v>
          </cell>
        </row>
        <row r="61">
          <cell r="D61">
            <v>56</v>
          </cell>
        </row>
        <row r="62">
          <cell r="D62">
            <v>57</v>
          </cell>
        </row>
        <row r="63">
          <cell r="D63">
            <v>58</v>
          </cell>
        </row>
        <row r="64">
          <cell r="D64">
            <v>59</v>
          </cell>
        </row>
        <row r="65">
          <cell r="D65">
            <v>60</v>
          </cell>
        </row>
        <row r="66">
          <cell r="D66">
            <v>61</v>
          </cell>
        </row>
        <row r="67">
          <cell r="D67">
            <v>62</v>
          </cell>
        </row>
        <row r="68">
          <cell r="D68">
            <v>63</v>
          </cell>
        </row>
        <row r="69">
          <cell r="D69">
            <v>64</v>
          </cell>
        </row>
        <row r="70">
          <cell r="D70">
            <v>65</v>
          </cell>
        </row>
        <row r="71">
          <cell r="D71">
            <v>66</v>
          </cell>
        </row>
        <row r="72">
          <cell r="D72">
            <v>67</v>
          </cell>
        </row>
        <row r="73">
          <cell r="D73">
            <v>68</v>
          </cell>
        </row>
        <row r="74">
          <cell r="D74">
            <v>69</v>
          </cell>
        </row>
        <row r="75">
          <cell r="D75">
            <v>70</v>
          </cell>
        </row>
        <row r="76">
          <cell r="D76">
            <v>71</v>
          </cell>
        </row>
        <row r="77">
          <cell r="D77">
            <v>72</v>
          </cell>
        </row>
        <row r="78">
          <cell r="D78">
            <v>73</v>
          </cell>
        </row>
        <row r="79">
          <cell r="D79">
            <v>74</v>
          </cell>
        </row>
        <row r="80">
          <cell r="D80">
            <v>75</v>
          </cell>
        </row>
        <row r="81">
          <cell r="D81">
            <v>76</v>
          </cell>
        </row>
        <row r="82">
          <cell r="D82">
            <v>77</v>
          </cell>
        </row>
        <row r="83">
          <cell r="D83">
            <v>78</v>
          </cell>
        </row>
        <row r="84">
          <cell r="D84">
            <v>79</v>
          </cell>
        </row>
        <row r="85">
          <cell r="D85">
            <v>80</v>
          </cell>
        </row>
        <row r="86">
          <cell r="D86">
            <v>81</v>
          </cell>
        </row>
        <row r="87">
          <cell r="D87">
            <v>82</v>
          </cell>
        </row>
        <row r="88">
          <cell r="D88">
            <v>83</v>
          </cell>
        </row>
        <row r="89">
          <cell r="D89">
            <v>84</v>
          </cell>
        </row>
        <row r="90">
          <cell r="D90">
            <v>85</v>
          </cell>
        </row>
        <row r="91">
          <cell r="D91">
            <v>86</v>
          </cell>
        </row>
        <row r="92">
          <cell r="D92">
            <v>87</v>
          </cell>
        </row>
        <row r="93">
          <cell r="D93">
            <v>88</v>
          </cell>
        </row>
        <row r="94">
          <cell r="D94">
            <v>89</v>
          </cell>
        </row>
        <row r="95">
          <cell r="D95">
            <v>90</v>
          </cell>
        </row>
        <row r="96">
          <cell r="D96">
            <v>91</v>
          </cell>
        </row>
        <row r="97">
          <cell r="D97">
            <v>92</v>
          </cell>
        </row>
        <row r="98">
          <cell r="D98">
            <v>93</v>
          </cell>
        </row>
        <row r="99">
          <cell r="D99">
            <v>94</v>
          </cell>
        </row>
        <row r="100">
          <cell r="D100">
            <v>95</v>
          </cell>
        </row>
        <row r="101">
          <cell r="D101">
            <v>96</v>
          </cell>
        </row>
        <row r="102">
          <cell r="D102">
            <v>97</v>
          </cell>
        </row>
        <row r="103">
          <cell r="D103">
            <v>98</v>
          </cell>
        </row>
        <row r="104">
          <cell r="D104">
            <v>99</v>
          </cell>
        </row>
        <row r="105">
          <cell r="D105">
            <v>100</v>
          </cell>
        </row>
        <row r="106">
          <cell r="D106">
            <v>101</v>
          </cell>
        </row>
        <row r="107">
          <cell r="D107">
            <v>102</v>
          </cell>
        </row>
        <row r="108">
          <cell r="D108">
            <v>103</v>
          </cell>
        </row>
        <row r="109">
          <cell r="D109">
            <v>104</v>
          </cell>
        </row>
        <row r="110">
          <cell r="D110">
            <v>105</v>
          </cell>
        </row>
        <row r="111">
          <cell r="D111">
            <v>106</v>
          </cell>
        </row>
        <row r="112">
          <cell r="D112">
            <v>107</v>
          </cell>
        </row>
        <row r="113">
          <cell r="D113">
            <v>108</v>
          </cell>
        </row>
        <row r="114">
          <cell r="D114">
            <v>109</v>
          </cell>
        </row>
        <row r="115">
          <cell r="D115">
            <v>110</v>
          </cell>
        </row>
        <row r="116">
          <cell r="D116">
            <v>111</v>
          </cell>
        </row>
        <row r="117">
          <cell r="D117">
            <v>112</v>
          </cell>
        </row>
        <row r="118">
          <cell r="D118">
            <v>113</v>
          </cell>
        </row>
        <row r="119">
          <cell r="D119">
            <v>114</v>
          </cell>
        </row>
        <row r="120">
          <cell r="D120">
            <v>115</v>
          </cell>
        </row>
        <row r="121">
          <cell r="D121">
            <v>116</v>
          </cell>
        </row>
        <row r="122">
          <cell r="D122">
            <v>117</v>
          </cell>
        </row>
        <row r="123">
          <cell r="D123">
            <v>118</v>
          </cell>
        </row>
        <row r="124">
          <cell r="D124">
            <v>119</v>
          </cell>
        </row>
        <row r="125">
          <cell r="D125">
            <v>120</v>
          </cell>
        </row>
        <row r="126">
          <cell r="D126">
            <v>121</v>
          </cell>
        </row>
        <row r="127">
          <cell r="D127">
            <v>122</v>
          </cell>
        </row>
        <row r="128">
          <cell r="D128">
            <v>123</v>
          </cell>
        </row>
        <row r="129">
          <cell r="D129">
            <v>124</v>
          </cell>
        </row>
        <row r="130">
          <cell r="D130">
            <v>125</v>
          </cell>
        </row>
        <row r="131">
          <cell r="D131">
            <v>126</v>
          </cell>
        </row>
        <row r="132">
          <cell r="D132">
            <v>127</v>
          </cell>
        </row>
        <row r="133">
          <cell r="D133">
            <v>128</v>
          </cell>
        </row>
        <row r="134">
          <cell r="D134">
            <v>129</v>
          </cell>
        </row>
        <row r="135">
          <cell r="D135">
            <v>130</v>
          </cell>
        </row>
        <row r="136">
          <cell r="D136">
            <v>131</v>
          </cell>
        </row>
        <row r="137">
          <cell r="D137">
            <v>132</v>
          </cell>
        </row>
        <row r="138">
          <cell r="D138">
            <v>133</v>
          </cell>
        </row>
        <row r="139">
          <cell r="D139">
            <v>134</v>
          </cell>
        </row>
        <row r="140">
          <cell r="D140">
            <v>135</v>
          </cell>
        </row>
        <row r="141">
          <cell r="D141">
            <v>136</v>
          </cell>
        </row>
        <row r="142">
          <cell r="D142">
            <v>137</v>
          </cell>
        </row>
        <row r="143">
          <cell r="D143">
            <v>138</v>
          </cell>
        </row>
        <row r="144">
          <cell r="D144">
            <v>139</v>
          </cell>
        </row>
        <row r="145">
          <cell r="D145">
            <v>140</v>
          </cell>
        </row>
        <row r="146">
          <cell r="D146">
            <v>141</v>
          </cell>
        </row>
        <row r="147">
          <cell r="D147">
            <v>142</v>
          </cell>
        </row>
        <row r="148">
          <cell r="D148">
            <v>143</v>
          </cell>
        </row>
        <row r="149">
          <cell r="D149">
            <v>144</v>
          </cell>
        </row>
        <row r="150">
          <cell r="D150">
            <v>145</v>
          </cell>
        </row>
        <row r="151">
          <cell r="D151">
            <v>146</v>
          </cell>
        </row>
        <row r="152">
          <cell r="D152">
            <v>147</v>
          </cell>
        </row>
        <row r="153">
          <cell r="D153">
            <v>148</v>
          </cell>
        </row>
        <row r="154">
          <cell r="D154">
            <v>149</v>
          </cell>
        </row>
        <row r="155">
          <cell r="D155">
            <v>150</v>
          </cell>
        </row>
        <row r="156">
          <cell r="D156">
            <v>151</v>
          </cell>
        </row>
        <row r="157">
          <cell r="D157">
            <v>152</v>
          </cell>
        </row>
        <row r="158">
          <cell r="D158">
            <v>153</v>
          </cell>
        </row>
        <row r="159">
          <cell r="D159">
            <v>154</v>
          </cell>
        </row>
        <row r="160">
          <cell r="D160">
            <v>155</v>
          </cell>
        </row>
        <row r="161">
          <cell r="D161">
            <v>156</v>
          </cell>
        </row>
        <row r="162">
          <cell r="D162">
            <v>157</v>
          </cell>
        </row>
        <row r="163">
          <cell r="D163">
            <v>158</v>
          </cell>
        </row>
        <row r="164">
          <cell r="D164">
            <v>159</v>
          </cell>
        </row>
        <row r="165">
          <cell r="D165">
            <v>160</v>
          </cell>
        </row>
        <row r="166">
          <cell r="D166">
            <v>161</v>
          </cell>
        </row>
        <row r="167">
          <cell r="D167">
            <v>162</v>
          </cell>
        </row>
        <row r="168">
          <cell r="D168">
            <v>163</v>
          </cell>
        </row>
        <row r="169">
          <cell r="D169">
            <v>164</v>
          </cell>
        </row>
        <row r="170">
          <cell r="D170">
            <v>165</v>
          </cell>
        </row>
        <row r="171">
          <cell r="D171">
            <v>166</v>
          </cell>
        </row>
        <row r="172">
          <cell r="D172">
            <v>167</v>
          </cell>
        </row>
        <row r="173">
          <cell r="D173">
            <v>168</v>
          </cell>
        </row>
        <row r="174">
          <cell r="D174">
            <v>169</v>
          </cell>
        </row>
        <row r="175">
          <cell r="D175">
            <v>170</v>
          </cell>
        </row>
        <row r="176">
          <cell r="D176">
            <v>171</v>
          </cell>
        </row>
        <row r="177">
          <cell r="D177">
            <v>172</v>
          </cell>
        </row>
        <row r="178">
          <cell r="D178">
            <v>173</v>
          </cell>
        </row>
        <row r="179">
          <cell r="D179">
            <v>174</v>
          </cell>
        </row>
        <row r="180">
          <cell r="D180">
            <v>175</v>
          </cell>
        </row>
        <row r="181">
          <cell r="D181">
            <v>176</v>
          </cell>
        </row>
        <row r="182">
          <cell r="D182">
            <v>177</v>
          </cell>
        </row>
        <row r="183">
          <cell r="D183">
            <v>178</v>
          </cell>
        </row>
        <row r="184">
          <cell r="D184">
            <v>179</v>
          </cell>
        </row>
        <row r="185">
          <cell r="D185">
            <v>180</v>
          </cell>
        </row>
        <row r="186">
          <cell r="D186">
            <v>181</v>
          </cell>
        </row>
        <row r="187">
          <cell r="D187">
            <v>182</v>
          </cell>
        </row>
        <row r="188">
          <cell r="D188">
            <v>183</v>
          </cell>
        </row>
        <row r="189">
          <cell r="D189">
            <v>184</v>
          </cell>
        </row>
        <row r="190">
          <cell r="D190">
            <v>185</v>
          </cell>
        </row>
        <row r="191">
          <cell r="D191">
            <v>186</v>
          </cell>
        </row>
        <row r="192">
          <cell r="D192">
            <v>187</v>
          </cell>
        </row>
        <row r="193">
          <cell r="D193">
            <v>188</v>
          </cell>
        </row>
        <row r="194">
          <cell r="D194">
            <v>189</v>
          </cell>
        </row>
        <row r="195">
          <cell r="D195">
            <v>190</v>
          </cell>
        </row>
        <row r="196">
          <cell r="D196">
            <v>191</v>
          </cell>
        </row>
        <row r="197">
          <cell r="D197">
            <v>192</v>
          </cell>
        </row>
        <row r="198">
          <cell r="D198">
            <v>193</v>
          </cell>
        </row>
        <row r="199">
          <cell r="D199">
            <v>194</v>
          </cell>
        </row>
        <row r="200">
          <cell r="D200">
            <v>195</v>
          </cell>
        </row>
        <row r="201">
          <cell r="D201">
            <v>196</v>
          </cell>
        </row>
        <row r="202">
          <cell r="D202">
            <v>197</v>
          </cell>
        </row>
        <row r="203">
          <cell r="D203">
            <v>198</v>
          </cell>
        </row>
        <row r="204">
          <cell r="D204">
            <v>199</v>
          </cell>
        </row>
        <row r="205">
          <cell r="D205">
            <v>200</v>
          </cell>
        </row>
        <row r="206">
          <cell r="D206">
            <v>201</v>
          </cell>
        </row>
        <row r="207">
          <cell r="D207">
            <v>202</v>
          </cell>
        </row>
        <row r="208">
          <cell r="D208">
            <v>203</v>
          </cell>
        </row>
        <row r="209">
          <cell r="D209">
            <v>204</v>
          </cell>
        </row>
        <row r="210">
          <cell r="D210">
            <v>205</v>
          </cell>
        </row>
        <row r="211">
          <cell r="D211">
            <v>206</v>
          </cell>
        </row>
        <row r="212">
          <cell r="D212">
            <v>207</v>
          </cell>
        </row>
        <row r="213">
          <cell r="D213">
            <v>208</v>
          </cell>
        </row>
        <row r="214">
          <cell r="D214">
            <v>209</v>
          </cell>
        </row>
        <row r="215">
          <cell r="D215">
            <v>210</v>
          </cell>
        </row>
        <row r="216">
          <cell r="D216">
            <v>211</v>
          </cell>
        </row>
        <row r="217">
          <cell r="D217">
            <v>212</v>
          </cell>
        </row>
        <row r="218">
          <cell r="D218">
            <v>213</v>
          </cell>
        </row>
        <row r="219">
          <cell r="D219">
            <v>214</v>
          </cell>
        </row>
        <row r="220">
          <cell r="D220">
            <v>215</v>
          </cell>
        </row>
        <row r="221">
          <cell r="D221">
            <v>216</v>
          </cell>
        </row>
        <row r="222">
          <cell r="D222">
            <v>217</v>
          </cell>
        </row>
        <row r="223">
          <cell r="D223">
            <v>218</v>
          </cell>
        </row>
        <row r="224">
          <cell r="D224">
            <v>219</v>
          </cell>
        </row>
        <row r="225">
          <cell r="D225">
            <v>220</v>
          </cell>
        </row>
        <row r="226">
          <cell r="D226">
            <v>221</v>
          </cell>
        </row>
        <row r="227">
          <cell r="D227">
            <v>222</v>
          </cell>
        </row>
        <row r="228">
          <cell r="D228">
            <v>223</v>
          </cell>
        </row>
        <row r="229">
          <cell r="D229">
            <v>224</v>
          </cell>
        </row>
        <row r="230">
          <cell r="D230">
            <v>225</v>
          </cell>
        </row>
        <row r="231">
          <cell r="D231">
            <v>226</v>
          </cell>
        </row>
        <row r="232">
          <cell r="D232">
            <v>227</v>
          </cell>
        </row>
        <row r="233">
          <cell r="D233">
            <v>228</v>
          </cell>
        </row>
        <row r="234">
          <cell r="D234">
            <v>229</v>
          </cell>
        </row>
        <row r="235">
          <cell r="D235">
            <v>230</v>
          </cell>
        </row>
        <row r="236">
          <cell r="D236">
            <v>231</v>
          </cell>
        </row>
        <row r="237">
          <cell r="D237">
            <v>232</v>
          </cell>
        </row>
        <row r="238">
          <cell r="D238">
            <v>233</v>
          </cell>
        </row>
        <row r="239">
          <cell r="D239">
            <v>234</v>
          </cell>
        </row>
        <row r="240">
          <cell r="D240">
            <v>235</v>
          </cell>
        </row>
        <row r="241">
          <cell r="D241">
            <v>236</v>
          </cell>
        </row>
        <row r="242">
          <cell r="D242">
            <v>237</v>
          </cell>
        </row>
        <row r="243">
          <cell r="D243">
            <v>238</v>
          </cell>
        </row>
        <row r="244">
          <cell r="D244">
            <v>239</v>
          </cell>
        </row>
        <row r="245">
          <cell r="D245">
            <v>240</v>
          </cell>
        </row>
        <row r="246">
          <cell r="D246">
            <v>241</v>
          </cell>
        </row>
        <row r="247">
          <cell r="D247">
            <v>242</v>
          </cell>
        </row>
        <row r="248">
          <cell r="D248">
            <v>243</v>
          </cell>
        </row>
        <row r="249">
          <cell r="D249">
            <v>244</v>
          </cell>
        </row>
        <row r="250">
          <cell r="D250">
            <v>245</v>
          </cell>
        </row>
        <row r="251">
          <cell r="D251">
            <v>246</v>
          </cell>
        </row>
        <row r="252">
          <cell r="D252">
            <v>247</v>
          </cell>
        </row>
        <row r="253">
          <cell r="D253">
            <v>248</v>
          </cell>
        </row>
        <row r="254">
          <cell r="D254">
            <v>249</v>
          </cell>
        </row>
        <row r="255">
          <cell r="D255">
            <v>250</v>
          </cell>
        </row>
        <row r="256">
          <cell r="D256">
            <v>251</v>
          </cell>
        </row>
        <row r="257">
          <cell r="D257">
            <v>252</v>
          </cell>
        </row>
        <row r="258">
          <cell r="D258">
            <v>253</v>
          </cell>
        </row>
        <row r="259">
          <cell r="D259">
            <v>254</v>
          </cell>
        </row>
        <row r="260">
          <cell r="D260">
            <v>255</v>
          </cell>
        </row>
        <row r="261">
          <cell r="D261">
            <v>256</v>
          </cell>
        </row>
        <row r="262">
          <cell r="D262">
            <v>257</v>
          </cell>
        </row>
        <row r="263">
          <cell r="D263">
            <v>258</v>
          </cell>
        </row>
        <row r="264">
          <cell r="D264">
            <v>259</v>
          </cell>
        </row>
        <row r="265">
          <cell r="D265">
            <v>260</v>
          </cell>
        </row>
        <row r="266">
          <cell r="D266">
            <v>261</v>
          </cell>
        </row>
        <row r="267">
          <cell r="D267">
            <v>262</v>
          </cell>
        </row>
        <row r="268">
          <cell r="D268">
            <v>263</v>
          </cell>
        </row>
        <row r="269">
          <cell r="D269">
            <v>264</v>
          </cell>
        </row>
        <row r="270">
          <cell r="D270">
            <v>265</v>
          </cell>
        </row>
        <row r="271">
          <cell r="D271">
            <v>266</v>
          </cell>
        </row>
        <row r="272">
          <cell r="D272">
            <v>267</v>
          </cell>
        </row>
        <row r="273">
          <cell r="D273">
            <v>268</v>
          </cell>
        </row>
        <row r="274">
          <cell r="D274">
            <v>269</v>
          </cell>
        </row>
        <row r="275">
          <cell r="D275">
            <v>270</v>
          </cell>
        </row>
        <row r="276">
          <cell r="D276">
            <v>271</v>
          </cell>
        </row>
        <row r="277">
          <cell r="D277">
            <v>272</v>
          </cell>
        </row>
        <row r="278">
          <cell r="D278">
            <v>273</v>
          </cell>
        </row>
        <row r="279">
          <cell r="D279">
            <v>274</v>
          </cell>
        </row>
        <row r="280">
          <cell r="D280">
            <v>275</v>
          </cell>
        </row>
        <row r="281">
          <cell r="D281">
            <v>276</v>
          </cell>
        </row>
        <row r="282">
          <cell r="D282">
            <v>277</v>
          </cell>
        </row>
        <row r="283">
          <cell r="D283">
            <v>278</v>
          </cell>
        </row>
        <row r="284">
          <cell r="D284">
            <v>279</v>
          </cell>
        </row>
        <row r="285">
          <cell r="D285">
            <v>280</v>
          </cell>
        </row>
        <row r="286">
          <cell r="D286">
            <v>281</v>
          </cell>
        </row>
        <row r="287">
          <cell r="D287">
            <v>282</v>
          </cell>
        </row>
        <row r="288">
          <cell r="D288">
            <v>283</v>
          </cell>
        </row>
        <row r="289">
          <cell r="D289">
            <v>284</v>
          </cell>
        </row>
        <row r="290">
          <cell r="D290">
            <v>285</v>
          </cell>
        </row>
        <row r="291">
          <cell r="D291">
            <v>286</v>
          </cell>
        </row>
        <row r="292">
          <cell r="D292">
            <v>287</v>
          </cell>
        </row>
        <row r="293">
          <cell r="D293">
            <v>288</v>
          </cell>
        </row>
        <row r="294">
          <cell r="D294">
            <v>289</v>
          </cell>
        </row>
        <row r="295">
          <cell r="D295">
            <v>290</v>
          </cell>
        </row>
        <row r="296">
          <cell r="D296">
            <v>291</v>
          </cell>
        </row>
        <row r="297">
          <cell r="D297">
            <v>292</v>
          </cell>
        </row>
        <row r="298">
          <cell r="D298">
            <v>293</v>
          </cell>
        </row>
        <row r="299">
          <cell r="D299">
            <v>294</v>
          </cell>
        </row>
        <row r="300">
          <cell r="D300">
            <v>295</v>
          </cell>
        </row>
        <row r="301">
          <cell r="D301">
            <v>296</v>
          </cell>
        </row>
        <row r="302">
          <cell r="D302">
            <v>297</v>
          </cell>
        </row>
        <row r="303">
          <cell r="D303">
            <v>298</v>
          </cell>
        </row>
        <row r="304">
          <cell r="D304">
            <v>299</v>
          </cell>
        </row>
        <row r="305">
          <cell r="D305">
            <v>300</v>
          </cell>
        </row>
        <row r="306">
          <cell r="D306">
            <v>301</v>
          </cell>
        </row>
        <row r="307">
          <cell r="D307">
            <v>302</v>
          </cell>
        </row>
        <row r="308">
          <cell r="D308">
            <v>303</v>
          </cell>
        </row>
        <row r="309">
          <cell r="D309">
            <v>304</v>
          </cell>
        </row>
        <row r="310">
          <cell r="D310">
            <v>305</v>
          </cell>
        </row>
        <row r="311">
          <cell r="D311">
            <v>306</v>
          </cell>
        </row>
        <row r="312">
          <cell r="D312">
            <v>307</v>
          </cell>
        </row>
        <row r="313">
          <cell r="D313">
            <v>308</v>
          </cell>
        </row>
        <row r="314">
          <cell r="D314">
            <v>309</v>
          </cell>
        </row>
        <row r="315">
          <cell r="D315">
            <v>310</v>
          </cell>
        </row>
        <row r="316">
          <cell r="D316">
            <v>311</v>
          </cell>
        </row>
        <row r="317">
          <cell r="D317">
            <v>312</v>
          </cell>
        </row>
        <row r="318">
          <cell r="D318">
            <v>313</v>
          </cell>
        </row>
        <row r="319">
          <cell r="D319">
            <v>314</v>
          </cell>
        </row>
        <row r="320">
          <cell r="D320">
            <v>315</v>
          </cell>
        </row>
        <row r="321">
          <cell r="D321">
            <v>316</v>
          </cell>
        </row>
        <row r="322">
          <cell r="D322">
            <v>317</v>
          </cell>
        </row>
        <row r="323">
          <cell r="D323">
            <v>318</v>
          </cell>
        </row>
        <row r="324">
          <cell r="D324">
            <v>319</v>
          </cell>
        </row>
        <row r="325">
          <cell r="D325">
            <v>320</v>
          </cell>
        </row>
        <row r="326">
          <cell r="D326">
            <v>321</v>
          </cell>
        </row>
        <row r="327">
          <cell r="D327">
            <v>322</v>
          </cell>
        </row>
        <row r="328">
          <cell r="D328">
            <v>323</v>
          </cell>
        </row>
        <row r="329">
          <cell r="D329">
            <v>324</v>
          </cell>
        </row>
        <row r="330">
          <cell r="D330">
            <v>325</v>
          </cell>
        </row>
        <row r="331">
          <cell r="D331">
            <v>326</v>
          </cell>
        </row>
        <row r="332">
          <cell r="D332">
            <v>327</v>
          </cell>
        </row>
        <row r="333">
          <cell r="D333">
            <v>328</v>
          </cell>
        </row>
        <row r="334">
          <cell r="D334">
            <v>329</v>
          </cell>
        </row>
        <row r="335">
          <cell r="D335">
            <v>330</v>
          </cell>
        </row>
        <row r="336">
          <cell r="D336">
            <v>331</v>
          </cell>
        </row>
        <row r="337">
          <cell r="D337">
            <v>332</v>
          </cell>
        </row>
        <row r="338">
          <cell r="D338">
            <v>333</v>
          </cell>
        </row>
        <row r="339">
          <cell r="D339">
            <v>334</v>
          </cell>
        </row>
        <row r="340">
          <cell r="D340">
            <v>335</v>
          </cell>
        </row>
        <row r="341">
          <cell r="D341">
            <v>336</v>
          </cell>
        </row>
        <row r="342">
          <cell r="D342">
            <v>337</v>
          </cell>
        </row>
        <row r="343">
          <cell r="D343">
            <v>338</v>
          </cell>
        </row>
        <row r="344">
          <cell r="D344">
            <v>339</v>
          </cell>
        </row>
        <row r="345">
          <cell r="D345">
            <v>340</v>
          </cell>
        </row>
        <row r="346">
          <cell r="D346">
            <v>341</v>
          </cell>
        </row>
        <row r="347">
          <cell r="D347">
            <v>342</v>
          </cell>
        </row>
        <row r="348">
          <cell r="D348">
            <v>343</v>
          </cell>
        </row>
        <row r="349">
          <cell r="D349">
            <v>344</v>
          </cell>
        </row>
        <row r="350">
          <cell r="D350">
            <v>345</v>
          </cell>
        </row>
        <row r="351">
          <cell r="D351">
            <v>346</v>
          </cell>
        </row>
        <row r="352">
          <cell r="D352">
            <v>347</v>
          </cell>
        </row>
        <row r="353">
          <cell r="D353">
            <v>348</v>
          </cell>
        </row>
        <row r="354">
          <cell r="D354">
            <v>349</v>
          </cell>
        </row>
        <row r="355">
          <cell r="D355">
            <v>350</v>
          </cell>
        </row>
        <row r="356">
          <cell r="D356">
            <v>351</v>
          </cell>
        </row>
        <row r="357">
          <cell r="D357">
            <v>352</v>
          </cell>
        </row>
        <row r="358">
          <cell r="D358">
            <v>353</v>
          </cell>
        </row>
        <row r="359">
          <cell r="D359">
            <v>354</v>
          </cell>
        </row>
        <row r="360">
          <cell r="D360">
            <v>355</v>
          </cell>
        </row>
        <row r="361">
          <cell r="D361">
            <v>356</v>
          </cell>
        </row>
        <row r="362">
          <cell r="D362">
            <v>357</v>
          </cell>
        </row>
        <row r="363">
          <cell r="D363">
            <v>358</v>
          </cell>
        </row>
        <row r="364">
          <cell r="D364">
            <v>359</v>
          </cell>
        </row>
        <row r="365">
          <cell r="D365">
            <v>360</v>
          </cell>
        </row>
        <row r="366">
          <cell r="D366">
            <v>361</v>
          </cell>
        </row>
        <row r="367">
          <cell r="D367">
            <v>362</v>
          </cell>
        </row>
        <row r="368">
          <cell r="D368">
            <v>363</v>
          </cell>
        </row>
        <row r="369">
          <cell r="D369">
            <v>364</v>
          </cell>
        </row>
        <row r="370">
          <cell r="D370">
            <v>365</v>
          </cell>
        </row>
        <row r="371">
          <cell r="D371">
            <v>366</v>
          </cell>
        </row>
        <row r="372">
          <cell r="D372">
            <v>367</v>
          </cell>
        </row>
        <row r="373">
          <cell r="D373">
            <v>368</v>
          </cell>
        </row>
        <row r="374">
          <cell r="D374">
            <v>369</v>
          </cell>
        </row>
        <row r="375">
          <cell r="D375">
            <v>370</v>
          </cell>
        </row>
        <row r="376">
          <cell r="D376">
            <v>371</v>
          </cell>
        </row>
        <row r="377">
          <cell r="D377">
            <v>372</v>
          </cell>
        </row>
        <row r="378">
          <cell r="D378">
            <v>373</v>
          </cell>
        </row>
        <row r="379">
          <cell r="D379">
            <v>374</v>
          </cell>
        </row>
        <row r="380">
          <cell r="D380">
            <v>375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98">
          <cell r="R498">
            <v>19.860627177700351</v>
          </cell>
        </row>
        <row r="499">
          <cell r="R499">
            <v>16.410149750415989</v>
          </cell>
        </row>
        <row r="502">
          <cell r="R502">
            <v>16.207888249794596</v>
          </cell>
        </row>
        <row r="507">
          <cell r="P507">
            <v>1899.9999999999545</v>
          </cell>
          <cell r="R507">
            <v>27.243759957514385</v>
          </cell>
        </row>
        <row r="516">
          <cell r="P516">
            <v>2070.0000000000273</v>
          </cell>
          <cell r="R516">
            <v>27.296703296703427</v>
          </cell>
        </row>
        <row r="521">
          <cell r="P521">
            <v>1960.0000000000364</v>
          </cell>
          <cell r="R521">
            <v>26.068965517241562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092525"/>
      <sheetName val="091725-skwierd"/>
      <sheetName val="071025-skwierd"/>
      <sheetName val="021324_good"/>
      <sheetName val="020624_good"/>
      <sheetName val="010325"/>
      <sheetName val="graph"/>
      <sheetName val="111124"/>
      <sheetName val="102224"/>
      <sheetName val="091224"/>
      <sheetName val="Daily monitoring final (2)"/>
      <sheetName val="090524_good"/>
      <sheetName val="082724_bad"/>
      <sheetName val="082024_bad"/>
      <sheetName val="plots"/>
      <sheetName val="073024"/>
      <sheetName val="072324"/>
      <sheetName val="mis07110723"/>
      <sheetName val="071624"/>
      <sheetName val="071124"/>
      <sheetName val="06262024 "/>
      <sheetName val="06212024"/>
      <sheetName val="plots (2)"/>
      <sheetName val="COD+P feed "/>
      <sheetName val="Daily monitoring final"/>
      <sheetName val="HRT_SRT"/>
      <sheetName val="TSS_VSS"/>
      <sheetName val="06112024"/>
      <sheetName val="06052024"/>
      <sheetName val="05292024"/>
      <sheetName val="05222024 "/>
      <sheetName val="05152024"/>
      <sheetName val="04172024"/>
      <sheetName val="04092024"/>
      <sheetName val="04-4-2024"/>
      <sheetName val="03-27-2024"/>
      <sheetName val="03-19-2024"/>
      <sheetName val="03-12-2024"/>
      <sheetName val="03-05-2024 "/>
      <sheetName val="02-27-2024 "/>
      <sheetName val="02-20-2024 "/>
      <sheetName val="02-13-2024"/>
      <sheetName val="02-06-2024"/>
      <sheetName val="1-30-2024"/>
      <sheetName val="1-23-2024"/>
      <sheetName val="1-16-2024"/>
      <sheetName val="1-8-2024"/>
      <sheetName val="1-3-2024"/>
      <sheetName val="12-26-2023 "/>
      <sheetName val="12-19-2023 "/>
      <sheetName val="12-07-2023"/>
      <sheetName val="in cycle -format"/>
      <sheetName val="Goa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59">
          <cell r="I59">
            <v>0</v>
          </cell>
        </row>
        <row r="61">
          <cell r="R61">
            <v>47.341772151898304</v>
          </cell>
        </row>
        <row r="73">
          <cell r="R73">
            <v>26.525955504847722</v>
          </cell>
        </row>
        <row r="76">
          <cell r="R76">
            <v>25.340309493192478</v>
          </cell>
        </row>
        <row r="80">
          <cell r="R80">
            <v>16.187050359712767</v>
          </cell>
        </row>
        <row r="88">
          <cell r="R88">
            <v>26.3437998935599</v>
          </cell>
        </row>
        <row r="93">
          <cell r="R93">
            <v>25.888761467890088</v>
          </cell>
        </row>
        <row r="101">
          <cell r="R101">
            <v>24.440421329821888</v>
          </cell>
        </row>
        <row r="107">
          <cell r="R107">
            <v>26.162790697674417</v>
          </cell>
        </row>
        <row r="108">
          <cell r="R108">
            <v>20.820011284559385</v>
          </cell>
        </row>
        <row r="115">
          <cell r="R115">
            <v>18.328784379592992</v>
          </cell>
        </row>
        <row r="118">
          <cell r="R118">
            <v>18.317982787256888</v>
          </cell>
        </row>
        <row r="122">
          <cell r="R122">
            <v>22.433234421365103</v>
          </cell>
        </row>
        <row r="125">
          <cell r="R125">
            <v>17.540924301347882</v>
          </cell>
        </row>
        <row r="129">
          <cell r="R129">
            <v>15.710415558027979</v>
          </cell>
        </row>
        <row r="136">
          <cell r="R136">
            <v>19.412556053811581</v>
          </cell>
        </row>
        <row r="138">
          <cell r="R138">
            <v>17.790697674418574</v>
          </cell>
        </row>
        <row r="143">
          <cell r="R143">
            <v>17.466539196940555</v>
          </cell>
        </row>
        <row r="150">
          <cell r="R150">
            <v>13.530664395229964</v>
          </cell>
        </row>
        <row r="157">
          <cell r="R157">
            <v>10.674418604651027</v>
          </cell>
        </row>
        <row r="164">
          <cell r="P164">
            <v>4330.0000000000182</v>
          </cell>
          <cell r="R164">
            <v>14.655885671304931</v>
          </cell>
        </row>
        <row r="165">
          <cell r="P165">
            <v>4770.0000000000273</v>
          </cell>
          <cell r="R165">
            <v>15.142857142857082</v>
          </cell>
        </row>
        <row r="172">
          <cell r="P172">
            <v>5330.0000000000182</v>
          </cell>
          <cell r="R172">
            <v>17.21267357996366</v>
          </cell>
        </row>
        <row r="179">
          <cell r="P179">
            <v>1400</v>
          </cell>
          <cell r="R179">
            <v>2.5004961301845725</v>
          </cell>
        </row>
        <row r="186">
          <cell r="P186">
            <v>4540.0000000000091</v>
          </cell>
          <cell r="R186">
            <v>14.266759776536155</v>
          </cell>
        </row>
        <row r="193">
          <cell r="P193">
            <v>3690.0000000000091</v>
          </cell>
          <cell r="R193">
            <v>14.19230769230745</v>
          </cell>
        </row>
        <row r="198">
          <cell r="P198">
            <v>2809.9999999999909</v>
          </cell>
          <cell r="R198">
            <v>15.898660966869924</v>
          </cell>
        </row>
        <row r="205">
          <cell r="P205">
            <v>2760.0000000000364</v>
          </cell>
          <cell r="R205">
            <v>15.159282314171131</v>
          </cell>
        </row>
        <row r="215">
          <cell r="P215">
            <v>2617.7777777777974</v>
          </cell>
          <cell r="R215">
            <v>16.772927905835825</v>
          </cell>
        </row>
        <row r="219">
          <cell r="P219">
            <v>2719.9999999999818</v>
          </cell>
          <cell r="R219">
            <v>16.787820600740432</v>
          </cell>
        </row>
        <row r="221">
          <cell r="P221">
            <v>2200.0000000000455</v>
          </cell>
          <cell r="R221">
            <v>16.541353383458706</v>
          </cell>
        </row>
        <row r="228">
          <cell r="P228">
            <v>1320.0000000000273</v>
          </cell>
          <cell r="R228">
            <v>14.905149051490479</v>
          </cell>
        </row>
        <row r="230">
          <cell r="P230">
            <v>1800</v>
          </cell>
          <cell r="R230">
            <v>16.605166051660376</v>
          </cell>
        </row>
        <row r="235">
          <cell r="P235">
            <v>1449.9999999999545</v>
          </cell>
          <cell r="R235">
            <v>14.974182444062361</v>
          </cell>
        </row>
        <row r="242">
          <cell r="P242">
            <v>1319.4444444444925</v>
          </cell>
          <cell r="R242">
            <v>21.852476614017071</v>
          </cell>
        </row>
        <row r="248">
          <cell r="P248">
            <v>2010.0000000000364</v>
          </cell>
          <cell r="R248">
            <v>23.147792706334364</v>
          </cell>
        </row>
        <row r="258">
          <cell r="P258">
            <v>1380.0000000000182</v>
          </cell>
          <cell r="R258">
            <v>23.10783657066391</v>
          </cell>
        </row>
        <row r="263">
          <cell r="P263">
            <v>940.00000000000909</v>
          </cell>
          <cell r="R263">
            <v>17.172783371223936</v>
          </cell>
        </row>
        <row r="269">
          <cell r="P269">
            <v>1160.0000000000364</v>
          </cell>
          <cell r="R269">
            <v>20.422535211267853</v>
          </cell>
        </row>
        <row r="270">
          <cell r="P270">
            <v>1150</v>
          </cell>
          <cell r="R270">
            <v>19.999999999997787</v>
          </cell>
        </row>
        <row r="278">
          <cell r="P278">
            <v>1500</v>
          </cell>
          <cell r="R278">
            <v>16.129032258065148</v>
          </cell>
        </row>
        <row r="283">
          <cell r="P283">
            <v>1830.0000000000637</v>
          </cell>
          <cell r="R283">
            <v>19.276685393260173</v>
          </cell>
        </row>
        <row r="290">
          <cell r="P290">
            <v>1720.0000000000273</v>
          </cell>
          <cell r="R290">
            <v>10.97094259390509</v>
          </cell>
        </row>
        <row r="291">
          <cell r="R291" t="e">
            <v>#DIV/0!</v>
          </cell>
        </row>
        <row r="292">
          <cell r="R292" t="e">
            <v>#DIV/0!</v>
          </cell>
        </row>
        <row r="293">
          <cell r="R293" t="e">
            <v>#DIV/0!</v>
          </cell>
        </row>
        <row r="294">
          <cell r="R294" t="e">
            <v>#DIV/0!</v>
          </cell>
        </row>
      </sheetData>
      <sheetData sheetId="26">
        <row r="12">
          <cell r="H12">
            <v>1940.0000000000091</v>
          </cell>
        </row>
        <row r="71">
          <cell r="H71">
            <v>2790.0000000000091</v>
          </cell>
        </row>
        <row r="80">
          <cell r="H80">
            <v>2700.0000000000455</v>
          </cell>
        </row>
        <row r="86">
          <cell r="H86">
            <v>2860.0000000000364</v>
          </cell>
        </row>
        <row r="92">
          <cell r="H92">
            <v>3009.9999999999909</v>
          </cell>
        </row>
        <row r="98">
          <cell r="H98">
            <v>2640.0000000000091</v>
          </cell>
        </row>
        <row r="104">
          <cell r="H104">
            <v>2530.0000000000182</v>
          </cell>
        </row>
        <row r="107">
          <cell r="H107">
            <v>2459.9999999999909</v>
          </cell>
        </row>
        <row r="113">
          <cell r="H113">
            <v>3880.0000000000182</v>
          </cell>
        </row>
        <row r="119">
          <cell r="H119">
            <v>3370.0000000000273</v>
          </cell>
        </row>
        <row r="122">
          <cell r="H122">
            <v>3359.9999999999909</v>
          </cell>
        </row>
        <row r="128">
          <cell r="H128">
            <v>4309.9999999999909</v>
          </cell>
        </row>
        <row r="132">
          <cell r="H132">
            <v>4319.9999999999818</v>
          </cell>
        </row>
        <row r="140">
          <cell r="H140">
            <v>4809.9999999999909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6">
          <cell r="Q6">
            <v>183.358</v>
          </cell>
        </row>
        <row r="12">
          <cell r="Q12">
            <v>105.262</v>
          </cell>
        </row>
      </sheetData>
      <sheetData sheetId="41"/>
      <sheetData sheetId="42"/>
      <sheetData sheetId="43">
        <row r="6">
          <cell r="I6">
            <v>26.8</v>
          </cell>
        </row>
        <row r="12">
          <cell r="I12">
            <v>62.47</v>
          </cell>
        </row>
        <row r="13">
          <cell r="G13">
            <v>29.7</v>
          </cell>
        </row>
        <row r="21">
          <cell r="G21">
            <v>0.83</v>
          </cell>
          <cell r="I21">
            <v>34.24</v>
          </cell>
        </row>
        <row r="27">
          <cell r="I27">
            <v>19.309999999999999</v>
          </cell>
        </row>
        <row r="28">
          <cell r="I28">
            <v>15.02</v>
          </cell>
        </row>
      </sheetData>
      <sheetData sheetId="44">
        <row r="6">
          <cell r="I6">
            <v>31.14</v>
          </cell>
        </row>
        <row r="12">
          <cell r="I12">
            <v>36.729999999999997</v>
          </cell>
        </row>
        <row r="13">
          <cell r="G13">
            <v>30.92</v>
          </cell>
        </row>
        <row r="20">
          <cell r="G20">
            <v>0.34</v>
          </cell>
        </row>
        <row r="21">
          <cell r="I21">
            <v>38.79</v>
          </cell>
        </row>
        <row r="27">
          <cell r="I27">
            <v>29</v>
          </cell>
        </row>
      </sheetData>
      <sheetData sheetId="45">
        <row r="6">
          <cell r="I6">
            <v>25.33</v>
          </cell>
          <cell r="Q6">
            <v>189.922</v>
          </cell>
        </row>
        <row r="12">
          <cell r="I12">
            <v>56.38</v>
          </cell>
          <cell r="Q12">
            <v>7.8840000000000003</v>
          </cell>
        </row>
        <row r="13">
          <cell r="G13">
            <v>27.83</v>
          </cell>
        </row>
        <row r="20">
          <cell r="I20">
            <v>40.15</v>
          </cell>
        </row>
        <row r="21">
          <cell r="G21">
            <v>8.52</v>
          </cell>
        </row>
        <row r="27">
          <cell r="I27">
            <v>28.24</v>
          </cell>
        </row>
        <row r="28">
          <cell r="I28">
            <v>25.66</v>
          </cell>
        </row>
      </sheetData>
      <sheetData sheetId="46">
        <row r="6">
          <cell r="I6">
            <v>31.83</v>
          </cell>
          <cell r="Q6">
            <v>189.922</v>
          </cell>
        </row>
        <row r="12">
          <cell r="I12">
            <v>71.22</v>
          </cell>
          <cell r="Q12">
            <v>7.8840000000000003</v>
          </cell>
        </row>
        <row r="13">
          <cell r="G13">
            <v>24.11</v>
          </cell>
        </row>
        <row r="21">
          <cell r="G21">
            <v>1.3</v>
          </cell>
          <cell r="I21">
            <v>46.25</v>
          </cell>
        </row>
        <row r="27">
          <cell r="I27">
            <v>29.19</v>
          </cell>
        </row>
        <row r="28">
          <cell r="I28">
            <v>29.25</v>
          </cell>
        </row>
        <row r="42">
          <cell r="AR42">
            <v>152.029</v>
          </cell>
        </row>
        <row r="85">
          <cell r="AR85">
            <v>34.25</v>
          </cell>
        </row>
      </sheetData>
      <sheetData sheetId="47">
        <row r="6">
          <cell r="Q6">
            <v>163.98500000000001</v>
          </cell>
        </row>
        <row r="12">
          <cell r="I12">
            <v>65.069999999999993</v>
          </cell>
          <cell r="Q12">
            <v>8.5429999999999993</v>
          </cell>
        </row>
        <row r="13">
          <cell r="G13">
            <v>20.99</v>
          </cell>
        </row>
        <row r="21">
          <cell r="G21">
            <v>0.43</v>
          </cell>
          <cell r="I21">
            <v>37.89</v>
          </cell>
        </row>
        <row r="27">
          <cell r="I27">
            <v>20.6</v>
          </cell>
        </row>
      </sheetData>
      <sheetData sheetId="48">
        <row r="6">
          <cell r="I6">
            <v>34.35</v>
          </cell>
          <cell r="Q6">
            <v>179.185</v>
          </cell>
        </row>
        <row r="12">
          <cell r="I12">
            <v>65.02</v>
          </cell>
          <cell r="Q12">
            <v>3.835</v>
          </cell>
        </row>
        <row r="13">
          <cell r="G13">
            <v>16.13</v>
          </cell>
        </row>
        <row r="20">
          <cell r="I20">
            <v>55.57</v>
          </cell>
        </row>
        <row r="21">
          <cell r="G21">
            <v>1.52</v>
          </cell>
        </row>
        <row r="27">
          <cell r="I27">
            <v>35.86</v>
          </cell>
        </row>
      </sheetData>
      <sheetData sheetId="49">
        <row r="6">
          <cell r="I6">
            <v>18.61</v>
          </cell>
          <cell r="Q6">
            <v>116.834</v>
          </cell>
        </row>
        <row r="12">
          <cell r="I12">
            <v>47.14</v>
          </cell>
          <cell r="Q12">
            <v>7.85</v>
          </cell>
        </row>
        <row r="13">
          <cell r="G13">
            <v>14.5</v>
          </cell>
        </row>
        <row r="21">
          <cell r="G21">
            <v>0.57999999999999996</v>
          </cell>
          <cell r="I21">
            <v>29.07</v>
          </cell>
        </row>
        <row r="27">
          <cell r="I27">
            <v>13.99</v>
          </cell>
        </row>
        <row r="28">
          <cell r="I28">
            <v>9.33</v>
          </cell>
        </row>
        <row r="33">
          <cell r="AR33">
            <v>4.7169999999999996</v>
          </cell>
        </row>
        <row r="34">
          <cell r="AR34">
            <v>56.688000000000002</v>
          </cell>
        </row>
        <row r="35">
          <cell r="AR35">
            <v>72.283000000000001</v>
          </cell>
        </row>
        <row r="69">
          <cell r="AR69">
            <v>3.0489999999999999</v>
          </cell>
        </row>
        <row r="70">
          <cell r="AR70">
            <v>15.438000000000001</v>
          </cell>
        </row>
        <row r="71">
          <cell r="AR71">
            <v>17.838000000000001</v>
          </cell>
        </row>
      </sheetData>
      <sheetData sheetId="50"/>
      <sheetData sheetId="51"/>
      <sheetData sheetId="5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BH881"/>
  <sheetViews>
    <sheetView tabSelected="1" zoomScale="85" zoomScaleNormal="85" workbookViewId="0">
      <pane xSplit="4" ySplit="5" topLeftCell="AG305" activePane="bottomRight" state="frozen"/>
      <selection pane="topRight" activeCell="E1" sqref="E1"/>
      <selection pane="bottomLeft" activeCell="A6" sqref="A6"/>
      <selection pane="bottomRight" activeCell="AR2" sqref="AR2:AU2"/>
    </sheetView>
  </sheetViews>
  <sheetFormatPr baseColWidth="8" defaultColWidth="9.140625" defaultRowHeight="15"/>
  <cols>
    <col width="54.85546875" customWidth="1" style="12" min="1" max="1"/>
    <col width="17.5703125" customWidth="1" style="11" min="2" max="2"/>
    <col width="7.5703125" customWidth="1" style="231" min="3" max="3"/>
    <col hidden="1" style="3" min="4" max="4"/>
    <col width="8.140625" bestFit="1" customWidth="1" style="10" min="5" max="5"/>
    <col width="9.85546875" bestFit="1" customWidth="1" style="9" min="6" max="6"/>
    <col width="8.140625" customWidth="1" style="9" min="7" max="7"/>
    <col width="9.85546875" bestFit="1" customWidth="1" style="9" min="8" max="8"/>
    <col width="6.85546875" customWidth="1" style="9" min="9" max="9"/>
    <col width="9.85546875" customWidth="1" style="8" min="10" max="10"/>
    <col width="9.85546875" customWidth="1" style="10" min="11" max="11"/>
    <col width="9.85546875" customWidth="1" style="9" min="12" max="12"/>
    <col width="9.85546875" customWidth="1" style="8" min="13" max="13"/>
    <col width="8.85546875" bestFit="1" customWidth="1" style="7" min="14" max="14"/>
    <col width="7.140625" customWidth="1" style="6" min="15" max="18"/>
    <col width="10.140625" bestFit="1" customWidth="1" style="6" min="19" max="19"/>
    <col width="7.85546875" bestFit="1" customWidth="1" style="6" min="20" max="20"/>
    <col width="7.85546875" customWidth="1" style="6" min="21" max="22"/>
    <col width="10.42578125" bestFit="1" customWidth="1" style="6" min="23" max="23"/>
    <col width="9.140625" bestFit="1" customWidth="1" style="6" min="24" max="25"/>
    <col width="10.140625" bestFit="1" customWidth="1" style="6" min="26" max="27"/>
    <col width="14.42578125" bestFit="1" customWidth="1" style="5" min="28" max="28"/>
    <col width="7.85546875" bestFit="1" customWidth="1" style="4" min="29" max="29"/>
    <col width="7.42578125" bestFit="1" customWidth="1" style="231" min="30" max="30"/>
    <col width="7.42578125" customWidth="1" style="231" min="31" max="31"/>
    <col width="7.85546875" customWidth="1" style="231" min="32" max="32"/>
    <col width="9.85546875" customWidth="1" style="231" min="33" max="33"/>
    <col width="14.85546875" customWidth="1" style="231" min="34" max="34"/>
    <col width="10" bestFit="1" customWidth="1" style="231" min="35" max="35"/>
    <col width="10" customWidth="1" style="231" min="36" max="36"/>
    <col width="14.42578125" bestFit="1" customWidth="1" style="3" min="37" max="37"/>
    <col width="6" bestFit="1" customWidth="1" style="4" min="38" max="38"/>
    <col width="7" bestFit="1" customWidth="1" style="231" min="39" max="39"/>
    <col width="14.42578125" bestFit="1" customWidth="1" style="3" min="40" max="40"/>
    <col width="14.42578125" customWidth="1" style="2" min="41" max="43"/>
    <col width="12.42578125" bestFit="1" customWidth="1" style="4" min="44" max="44"/>
    <col width="10.140625" bestFit="1" customWidth="1" style="231" min="45" max="45"/>
    <col width="19.85546875" bestFit="1" customWidth="1" style="231" min="46" max="46"/>
    <col width="10.140625" bestFit="1" customWidth="1" style="231" min="47" max="47"/>
    <col width="15.42578125" customWidth="1" style="2" min="48" max="48"/>
    <col width="14.42578125" customWidth="1" style="2" min="49" max="49"/>
    <col width="16.140625" customWidth="1" style="2" min="50" max="52"/>
    <col width="9.140625" customWidth="1" style="231" min="53" max="56"/>
    <col width="15.28515625" customWidth="1" style="231" min="57" max="57"/>
    <col width="13.7109375" customWidth="1" style="231" min="58" max="58"/>
    <col width="9.140625" customWidth="1" style="231" min="59" max="16384"/>
  </cols>
  <sheetData>
    <row r="1" ht="22.35" customFormat="1" customHeight="1" s="230">
      <c r="C1" s="245" t="n"/>
      <c r="D1" s="244" t="n"/>
      <c r="E1" s="243" t="n"/>
      <c r="F1" s="242" t="n"/>
      <c r="G1" s="246" t="inlineStr">
        <is>
          <t>Calculated Influent Assuming 9 L influent</t>
        </is>
      </c>
      <c r="H1" s="247" t="n"/>
      <c r="I1" s="247" t="n"/>
      <c r="J1" s="247" t="n"/>
      <c r="K1" s="247" t="n"/>
      <c r="L1" s="248" t="n"/>
      <c r="M1" s="246" t="inlineStr">
        <is>
          <t>Ratios-measured</t>
        </is>
      </c>
      <c r="N1" s="247" t="n"/>
      <c r="O1" s="248" t="n"/>
      <c r="P1" s="249" t="inlineStr">
        <is>
          <t>Direct measurments (Anaerobic Tank 1/initial)</t>
        </is>
      </c>
      <c r="Q1" s="247" t="n"/>
      <c r="R1" s="247" t="n"/>
      <c r="S1" s="247" t="n"/>
      <c r="T1" s="247" t="n"/>
      <c r="U1" s="247" t="n"/>
      <c r="V1" s="247" t="n"/>
      <c r="W1" s="247" t="n"/>
      <c r="X1" s="247" t="n"/>
      <c r="Y1" s="247" t="n"/>
      <c r="Z1" s="247" t="n"/>
      <c r="AA1" s="247" t="n"/>
      <c r="AB1" s="247" t="n"/>
      <c r="AC1" s="247" t="n"/>
      <c r="AD1" s="248" t="n"/>
      <c r="AE1" s="250" t="inlineStr">
        <is>
          <t>Direct measurments (Anoxic Tank)</t>
        </is>
      </c>
      <c r="AF1" s="247" t="n"/>
      <c r="AG1" s="247" t="n"/>
      <c r="AH1" s="247" t="n"/>
      <c r="AI1" s="247" t="n"/>
      <c r="AJ1" s="247" t="n"/>
      <c r="AK1" s="247" t="n"/>
      <c r="AL1" s="247" t="n"/>
      <c r="AM1" s="248" t="n"/>
      <c r="AN1" s="250" t="inlineStr">
        <is>
          <t>Direct measurments (AerobicTank)</t>
        </is>
      </c>
      <c r="AO1" s="247" t="n"/>
      <c r="AP1" s="248" t="n"/>
      <c r="AQ1" s="232" t="inlineStr">
        <is>
          <t>Sludge/SRT</t>
        </is>
      </c>
      <c r="AT1" s="232" t="inlineStr">
        <is>
          <t>Calculated Parameters</t>
        </is>
      </c>
    </row>
    <row r="2" ht="26.1" customFormat="1" customHeight="1" s="181">
      <c r="A2" s="251" t="inlineStr">
        <is>
          <t>sample_id</t>
        </is>
      </c>
      <c r="B2" s="251" t="inlineStr">
        <is>
          <t>abundance_day</t>
        </is>
      </c>
      <c r="C2" s="210" t="n"/>
      <c r="D2" s="11" t="n"/>
      <c r="E2" s="231" t="n"/>
      <c r="F2" s="216" t="n"/>
      <c r="G2" s="221" t="inlineStr">
        <is>
          <t>COD-Inf</t>
        </is>
      </c>
      <c r="H2" s="220" t="inlineStr">
        <is>
          <t>COD-Inf</t>
        </is>
      </c>
      <c r="I2" s="220" t="inlineStr">
        <is>
          <t>P-Inf</t>
        </is>
      </c>
      <c r="J2" s="220" t="inlineStr">
        <is>
          <t>P-return</t>
        </is>
      </c>
      <c r="K2" s="220" t="inlineStr">
        <is>
          <t>N-Inf</t>
        </is>
      </c>
      <c r="L2" s="219" t="inlineStr">
        <is>
          <t>N-Inf</t>
        </is>
      </c>
      <c r="M2" s="221" t="inlineStr">
        <is>
          <t>COD:P</t>
        </is>
      </c>
      <c r="N2" s="220" t="inlineStr">
        <is>
          <t>COD:N</t>
        </is>
      </c>
      <c r="O2" s="219" t="inlineStr">
        <is>
          <t>N:P</t>
        </is>
      </c>
      <c r="P2" s="228" t="inlineStr">
        <is>
          <t>P_An-1</t>
        </is>
      </c>
      <c r="Q2" s="228" t="inlineStr">
        <is>
          <t>Acetate ppm</t>
        </is>
      </c>
      <c r="R2" s="228" t="inlineStr">
        <is>
          <t>Propionate ppm</t>
        </is>
      </c>
      <c r="S2" s="228" t="inlineStr">
        <is>
          <t>Acetate ppm</t>
        </is>
      </c>
      <c r="T2" s="228" t="inlineStr">
        <is>
          <t>Propionate ppm</t>
        </is>
      </c>
      <c r="U2" s="228" t="inlineStr">
        <is>
          <t>COD_An_1</t>
        </is>
      </c>
      <c r="V2" s="228" t="inlineStr">
        <is>
          <t>P_An-2</t>
        </is>
      </c>
      <c r="W2" s="228" t="inlineStr">
        <is>
          <t>Acetate ppm</t>
        </is>
      </c>
      <c r="X2" s="228" t="inlineStr">
        <is>
          <t>Propionate ppm</t>
        </is>
      </c>
      <c r="Y2" s="228" t="inlineStr">
        <is>
          <t>COD_An_2</t>
        </is>
      </c>
      <c r="Z2" s="228" t="inlineStr">
        <is>
          <t>DO_An-1</t>
        </is>
      </c>
      <c r="AA2" s="228" t="inlineStr">
        <is>
          <t>DO_An-2</t>
        </is>
      </c>
      <c r="AB2" s="228" t="inlineStr">
        <is>
          <t>OPR_An-1</t>
        </is>
      </c>
      <c r="AC2" s="228" t="inlineStr">
        <is>
          <t>OPR_An-2</t>
        </is>
      </c>
      <c r="AD2" s="227" t="inlineStr">
        <is>
          <t>An_time</t>
        </is>
      </c>
      <c r="AE2" s="226" t="inlineStr">
        <is>
          <t>P_Ax-1</t>
        </is>
      </c>
      <c r="AF2" s="210" t="inlineStr">
        <is>
          <t>N_Ax-1</t>
        </is>
      </c>
      <c r="AG2" s="210" t="inlineStr">
        <is>
          <t>P_Ax-2</t>
        </is>
      </c>
      <c r="AH2" s="210" t="inlineStr">
        <is>
          <t>N_Ax-2</t>
        </is>
      </c>
      <c r="AI2" s="210" t="inlineStr">
        <is>
          <t>peakN2O</t>
        </is>
      </c>
      <c r="AJ2" s="210" t="inlineStr">
        <is>
          <t>pN2O_time</t>
        </is>
      </c>
      <c r="AK2" s="210" t="inlineStr">
        <is>
          <t>ORP_Ax-2</t>
        </is>
      </c>
      <c r="AL2" s="227" t="inlineStr">
        <is>
          <t>Ax_react_time</t>
        </is>
      </c>
      <c r="AM2" s="227" t="inlineStr">
        <is>
          <t>Ax_time</t>
        </is>
      </c>
      <c r="AN2" s="226" t="inlineStr">
        <is>
          <t>P_A-1</t>
        </is>
      </c>
      <c r="AO2" s="210" t="inlineStr">
        <is>
          <t>P_A-2</t>
        </is>
      </c>
      <c r="AP2" s="227" t="inlineStr">
        <is>
          <t>A_time</t>
        </is>
      </c>
      <c r="AQ2" s="220" t="inlineStr">
        <is>
          <t>MLSS</t>
        </is>
      </c>
      <c r="AR2" s="220" t="inlineStr">
        <is>
          <t>MLSS</t>
        </is>
      </c>
      <c r="AS2" s="220" t="inlineStr">
        <is>
          <t>SRT</t>
        </is>
      </c>
      <c r="AT2" s="225" t="inlineStr">
        <is>
          <t>COD removal</t>
        </is>
      </c>
      <c r="AU2" s="222" t="inlineStr">
        <is>
          <t>N removal</t>
        </is>
      </c>
      <c r="AV2" s="222" t="inlineStr">
        <is>
          <t xml:space="preserve">N to N2O conversion </t>
        </is>
      </c>
      <c r="AW2" s="222" t="inlineStr">
        <is>
          <t xml:space="preserve">P removal </t>
        </is>
      </c>
      <c r="AX2" s="224" t="inlineStr">
        <is>
          <t>Cod removal (ppm)</t>
        </is>
      </c>
      <c r="AY2" s="224" t="inlineStr">
        <is>
          <t>N removal (ppm)</t>
        </is>
      </c>
      <c r="AZ2" s="224" t="inlineStr">
        <is>
          <t>P removal (ppm)</t>
        </is>
      </c>
      <c r="BA2" s="224" t="inlineStr">
        <is>
          <t xml:space="preserve">Anoxic P removal </t>
        </is>
      </c>
      <c r="BB2" s="224" t="inlineStr">
        <is>
          <t xml:space="preserve">Aerobic P removal </t>
        </is>
      </c>
      <c r="BC2" s="223" t="inlineStr">
        <is>
          <t>COD removal</t>
        </is>
      </c>
      <c r="BD2" s="222" t="inlineStr">
        <is>
          <t>N removal</t>
        </is>
      </c>
      <c r="BE2" s="222" t="inlineStr">
        <is>
          <t xml:space="preserve">N to N2O conversion </t>
        </is>
      </c>
      <c r="BF2" s="222" t="inlineStr">
        <is>
          <t xml:space="preserve">P removal </t>
        </is>
      </c>
      <c r="BG2" s="181" t="inlineStr">
        <is>
          <t>denitrification rate</t>
        </is>
      </c>
      <c r="BH2" s="181" t="inlineStr">
        <is>
          <t>specific denitrification rates</t>
        </is>
      </c>
    </row>
    <row r="3" ht="16.5" customFormat="1" customHeight="1" s="181" thickBot="1">
      <c r="C3" s="210" t="n"/>
      <c r="D3" s="11" t="inlineStr">
        <is>
          <t>unit</t>
        </is>
      </c>
      <c r="E3" s="231" t="n"/>
      <c r="F3" s="216" t="n"/>
      <c r="G3" s="221" t="inlineStr">
        <is>
          <t>mg/L</t>
        </is>
      </c>
      <c r="H3" s="220" t="inlineStr">
        <is>
          <t>mg/L</t>
        </is>
      </c>
      <c r="I3" s="220" t="inlineStr">
        <is>
          <t>mg/L</t>
        </is>
      </c>
      <c r="J3" s="220" t="inlineStr">
        <is>
          <t>mg/L</t>
        </is>
      </c>
      <c r="K3" s="220" t="inlineStr">
        <is>
          <t>mg/L</t>
        </is>
      </c>
      <c r="L3" s="219" t="inlineStr">
        <is>
          <t>mg/L</t>
        </is>
      </c>
      <c r="M3" s="221" t="n"/>
      <c r="N3" s="220" t="n"/>
      <c r="O3" s="219" t="n"/>
      <c r="P3" s="218" t="inlineStr">
        <is>
          <t>mg/L</t>
        </is>
      </c>
      <c r="Q3" s="218" t="inlineStr">
        <is>
          <t>mg/L</t>
        </is>
      </c>
      <c r="R3" s="218" t="inlineStr">
        <is>
          <t>mg/L</t>
        </is>
      </c>
      <c r="S3" s="218" t="inlineStr">
        <is>
          <t>COD mg/L</t>
        </is>
      </c>
      <c r="T3" s="218" t="inlineStr">
        <is>
          <t>COD mg/L</t>
        </is>
      </c>
      <c r="U3" s="218" t="inlineStr">
        <is>
          <t>COD mg/L</t>
        </is>
      </c>
      <c r="V3" s="218" t="inlineStr">
        <is>
          <t>COD mg/L</t>
        </is>
      </c>
      <c r="W3" s="218" t="inlineStr">
        <is>
          <t>mg/L</t>
        </is>
      </c>
      <c r="X3" s="218" t="inlineStr">
        <is>
          <t>mg/L</t>
        </is>
      </c>
      <c r="Y3" s="218" t="inlineStr">
        <is>
          <t>COD mg/L</t>
        </is>
      </c>
      <c r="Z3" s="218" t="inlineStr">
        <is>
          <t>mg/L</t>
        </is>
      </c>
      <c r="AA3" s="218" t="inlineStr">
        <is>
          <t>mg/L</t>
        </is>
      </c>
      <c r="AB3" s="218" t="inlineStr">
        <is>
          <t>mV</t>
        </is>
      </c>
      <c r="AC3" s="218" t="inlineStr">
        <is>
          <t>mV</t>
        </is>
      </c>
      <c r="AD3" s="216" t="inlineStr">
        <is>
          <t>minutes</t>
        </is>
      </c>
      <c r="AE3" s="217" t="inlineStr">
        <is>
          <t>mg/L</t>
        </is>
      </c>
      <c r="AF3" s="181" t="inlineStr">
        <is>
          <t>mg/L</t>
        </is>
      </c>
      <c r="AG3" s="181" t="inlineStr">
        <is>
          <t>mg/L</t>
        </is>
      </c>
      <c r="AH3" s="181" t="inlineStr">
        <is>
          <t>mg/L</t>
        </is>
      </c>
      <c r="AI3" s="181" t="inlineStr">
        <is>
          <t>mg/L</t>
        </is>
      </c>
      <c r="AJ3" s="181" t="inlineStr">
        <is>
          <t>minutes</t>
        </is>
      </c>
      <c r="AK3" s="181" t="inlineStr">
        <is>
          <t>mV</t>
        </is>
      </c>
      <c r="AL3" s="216" t="inlineStr">
        <is>
          <t>minutes</t>
        </is>
      </c>
      <c r="AM3" s="216" t="inlineStr">
        <is>
          <t>minutes</t>
        </is>
      </c>
      <c r="AN3" s="217" t="inlineStr">
        <is>
          <t>mg/L</t>
        </is>
      </c>
      <c r="AO3" s="181" t="inlineStr">
        <is>
          <t>mg/L</t>
        </is>
      </c>
      <c r="AP3" s="216" t="inlineStr">
        <is>
          <t>minutes</t>
        </is>
      </c>
      <c r="AQ3" s="215" t="n"/>
      <c r="AR3" s="215" t="inlineStr">
        <is>
          <t>avg</t>
        </is>
      </c>
      <c r="AS3" s="215" t="n"/>
      <c r="AT3" s="214" t="inlineStr">
        <is>
          <t>COD%</t>
        </is>
      </c>
      <c r="AU3" s="208" t="inlineStr">
        <is>
          <t>N%</t>
        </is>
      </c>
      <c r="AV3" s="208" t="inlineStr">
        <is>
          <t>N2O%</t>
        </is>
      </c>
      <c r="AW3" s="208" t="inlineStr">
        <is>
          <t>P%</t>
        </is>
      </c>
      <c r="AX3" s="252" t="inlineStr">
        <is>
          <t>COD-ppm</t>
        </is>
      </c>
      <c r="AY3" s="252" t="inlineStr">
        <is>
          <t>N-ppn</t>
        </is>
      </c>
      <c r="AZ3" s="252" t="inlineStr">
        <is>
          <t>P-ppm</t>
        </is>
      </c>
      <c r="BA3" s="252" t="inlineStr">
        <is>
          <t>ANO-P-ppm</t>
        </is>
      </c>
      <c r="BB3" s="252" t="inlineStr">
        <is>
          <t>AER-P-ppm</t>
        </is>
      </c>
      <c r="BC3" s="209" t="inlineStr">
        <is>
          <t>COD%</t>
        </is>
      </c>
      <c r="BD3" s="208" t="inlineStr">
        <is>
          <t>N%</t>
        </is>
      </c>
      <c r="BE3" s="208" t="inlineStr">
        <is>
          <t>N2O%</t>
        </is>
      </c>
      <c r="BF3" s="208" t="inlineStr">
        <is>
          <t>P%</t>
        </is>
      </c>
      <c r="BG3" s="231" t="inlineStr">
        <is>
          <t>mg NO2–N  h−1</t>
        </is>
      </c>
      <c r="BH3" s="231" t="inlineStr">
        <is>
          <t>mg NO2–N g−1 VSS−1 h−1</t>
        </is>
      </c>
    </row>
    <row r="4" ht="18" customHeight="1" thickBot="1">
      <c r="C4" s="212" t="n"/>
      <c r="D4" s="211" t="inlineStr">
        <is>
          <t xml:space="preserve">Date </t>
        </is>
      </c>
      <c r="F4" s="3" t="inlineStr">
        <is>
          <t>day</t>
        </is>
      </c>
      <c r="G4" s="10" t="inlineStr">
        <is>
          <t>bottle</t>
        </is>
      </c>
      <c r="H4" s="9" t="inlineStr">
        <is>
          <t>measured</t>
        </is>
      </c>
      <c r="I4" s="9" t="inlineStr">
        <is>
          <t>cal</t>
        </is>
      </c>
      <c r="J4" s="9" t="inlineStr">
        <is>
          <t>bottle</t>
        </is>
      </c>
      <c r="K4" s="9" t="inlineStr">
        <is>
          <t>bottle</t>
        </is>
      </c>
      <c r="L4" s="8" t="inlineStr">
        <is>
          <t>measured</t>
        </is>
      </c>
      <c r="AU4" s="102" t="inlineStr">
        <is>
          <t xml:space="preserve">NO₂⁻-N removal </t>
        </is>
      </c>
      <c r="AV4" s="102" t="inlineStr">
        <is>
          <t xml:space="preserve">NO₂⁻-N to N₂O-N conversion </t>
        </is>
      </c>
      <c r="AW4" s="102" t="inlineStr">
        <is>
          <t xml:space="preserve">PO₄³⁻-P removal </t>
        </is>
      </c>
      <c r="AY4" s="102" t="inlineStr">
        <is>
          <t>NO₂⁻-N removal (mg/L)</t>
        </is>
      </c>
      <c r="AZ4" s="102" t="inlineStr">
        <is>
          <t>PO₄³⁻-P removal (mg/L)</t>
        </is>
      </c>
      <c r="BA4" s="102" t="n"/>
      <c r="BB4" s="102" t="n"/>
    </row>
    <row r="5" ht="15" customFormat="1" customHeight="1" s="27">
      <c r="B5" t="n">
        <v>-239</v>
      </c>
      <c r="C5" s="39" t="inlineStr">
        <is>
          <t>add new biomass from stickney ; N2O change time so is correct</t>
        </is>
      </c>
      <c r="D5" s="38" t="n">
        <v>45265</v>
      </c>
      <c r="F5" s="29" t="n">
        <v>0</v>
      </c>
      <c r="G5" s="37" t="n"/>
      <c r="H5" s="36" t="n"/>
      <c r="I5" s="36" t="n"/>
      <c r="J5" s="36" t="n"/>
      <c r="K5" s="36" t="n"/>
      <c r="L5" s="35" t="inlineStr">
        <is>
          <t>1*2</t>
        </is>
      </c>
      <c r="M5" s="37" t="n"/>
      <c r="N5" s="36" t="n"/>
      <c r="O5" s="35" t="n"/>
      <c r="P5" s="34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>
        <v>9.539999999999999</v>
      </c>
      <c r="AA5" s="33" t="n"/>
      <c r="AB5" s="33" t="n"/>
      <c r="AC5" s="33" t="n"/>
      <c r="AD5" s="74" t="n">
        <v>80</v>
      </c>
      <c r="AE5" s="32" t="n"/>
      <c r="AL5" s="27" t="n">
        <v>175</v>
      </c>
      <c r="AM5" s="29" t="n">
        <v>180</v>
      </c>
      <c r="AN5" s="32" t="n"/>
      <c r="AP5" s="253">
        <f>360-AK5-AB5</f>
        <v/>
      </c>
      <c r="AQ5" s="28" t="n"/>
      <c r="AR5" s="13">
        <f>AVERAGE(AO5:AO11)</f>
        <v/>
      </c>
      <c r="AS5" s="2">
        <f>IF(ISNUMBER([2]HRT_SRT!R59),[2]HRT_SRT!R59,"")</f>
        <v/>
      </c>
      <c r="AT5" s="31">
        <f>(E5-W5)/E5</f>
        <v/>
      </c>
      <c r="AU5" s="30">
        <f>(I5-AF5)/I5</f>
        <v/>
      </c>
      <c r="AV5" s="155">
        <f>AG5/(AD5-AF5)</f>
        <v/>
      </c>
      <c r="AW5" s="30">
        <f>(G5-AM5)/G5</f>
        <v/>
      </c>
      <c r="AX5" s="254">
        <f>IF(AND(ISNUMBER(E5),ISNUMBER(W5)),E5-W5,"")</f>
        <v/>
      </c>
      <c r="AY5" s="254">
        <f>IF(AND(ISNUMBER(I5),ISNUMBER(AF5)),I5-AF5,"")</f>
        <v/>
      </c>
      <c r="AZ5" s="254">
        <f>IF(AND(ISNUMBER(AM5),ISNUMBER(G5)),G5-AM5,"")</f>
        <v/>
      </c>
      <c r="BA5" s="254" t="n"/>
      <c r="BB5" s="254" t="n"/>
      <c r="BG5" s="6">
        <f>IF((AD5-AF5)/(AJ5/60)&lt;=0,"",(AD5-AF5)/(AJ5/60))</f>
        <v/>
      </c>
      <c r="BH5" s="6">
        <f>IF(OR(AJ5=0,AP4=0,NOT(ISNUMBER(AD5)),NOT(ISNUMBER(AF5)),NOT(ISNUMBER(AJ5)),NOT(ISNUMBER(AP4))),"",
IFERROR(IF((AD6-AF6)/(AJ6/60)/(AP5/1000)&lt;=0,"",(AD6-AF6)/(AJ6/60)/(AP5/1000)),""))</f>
        <v/>
      </c>
    </row>
    <row r="6" ht="15" customHeight="1">
      <c r="B6" t="n">
        <v>-238</v>
      </c>
      <c r="C6" s="25" t="inlineStr">
        <is>
          <t>adjust pH to fluctuate between 6.8 to 7.9</t>
        </is>
      </c>
      <c r="D6" s="11" t="n">
        <v>45266</v>
      </c>
      <c r="F6" s="3" t="n">
        <v>1</v>
      </c>
      <c r="G6" s="205">
        <f>IF(OR(S6="",S6=0),"",S6*2)</f>
        <v/>
      </c>
      <c r="H6" s="15" t="n"/>
      <c r="I6" s="15">
        <f>(N6*18.5-H6*11)/9</f>
        <v/>
      </c>
      <c r="J6" s="15">
        <f>5*4.54</f>
        <v/>
      </c>
      <c r="K6" s="15">
        <f>AD6</f>
        <v/>
      </c>
      <c r="M6" s="10">
        <f>IF(OR(E6="",G6="",E6=0,G6=0),"",E6/G6)</f>
        <v/>
      </c>
      <c r="N6" s="9">
        <f>IF(OR(E6="",I6="",E6=0,I6=0),"",E6/(I6*2))</f>
        <v/>
      </c>
      <c r="O6" s="8">
        <f>IF(OR(I6="",G6="",I6=0,G6=0),"",I6*2/G6)</f>
        <v/>
      </c>
      <c r="P6" s="7">
        <f>5*3.58</f>
        <v/>
      </c>
      <c r="U6" s="6" t="n">
        <v>34.838</v>
      </c>
      <c r="V6" s="6">
        <f>10*2.9</f>
        <v/>
      </c>
      <c r="Y6" s="6" t="n">
        <v>2.87</v>
      </c>
      <c r="Z6" s="6" t="n">
        <v>1.12</v>
      </c>
      <c r="AA6" s="6" t="n">
        <v>0.23</v>
      </c>
      <c r="AB6" s="6" t="n">
        <v>-72</v>
      </c>
      <c r="AC6" s="6" t="n">
        <v>-165</v>
      </c>
      <c r="AD6" s="5" t="n">
        <v>80</v>
      </c>
      <c r="AE6" s="7">
        <f>T6</f>
        <v/>
      </c>
      <c r="AF6" s="231" t="n">
        <v>4.49</v>
      </c>
      <c r="AG6" s="231">
        <f>10*3.48</f>
        <v/>
      </c>
      <c r="AH6" s="231" t="n">
        <v>1e-05</v>
      </c>
      <c r="AK6" s="231">
        <f>-163</f>
        <v/>
      </c>
      <c r="AL6" s="231" t="n">
        <v>175</v>
      </c>
      <c r="AM6" s="3" t="n">
        <v>180</v>
      </c>
      <c r="AN6" s="4">
        <f>AE6</f>
        <v/>
      </c>
      <c r="AO6" s="231">
        <f>5*1.39</f>
        <v/>
      </c>
      <c r="AP6" s="255">
        <f>360-AK6-AB6</f>
        <v/>
      </c>
      <c r="AQ6" s="165" t="n"/>
      <c r="AR6" s="13">
        <f>AVERAGE(AO6:AO12)</f>
        <v/>
      </c>
      <c r="AS6" s="207">
        <f>IF(ISNUMBER([2]HRT_SRT!R60),[2]HRT_SRT!R60,"")</f>
        <v/>
      </c>
      <c r="AT6" s="156">
        <f>(E6-W6)/E6</f>
        <v/>
      </c>
      <c r="AU6" s="155">
        <f>(I6-AF6)/I6</f>
        <v/>
      </c>
      <c r="AV6" s="155">
        <f>AG6/(AD6-AF6)</f>
        <v/>
      </c>
      <c r="AW6" s="155">
        <f>(G6-AM6)/G6</f>
        <v/>
      </c>
      <c r="AX6" s="254">
        <f>IF(AND(ISNUMBER(E6),ISNUMBER(W6)),E6-W6,"")</f>
        <v/>
      </c>
      <c r="AY6" s="254">
        <f>IF(AND(ISNUMBER(I6),ISNUMBER(AF6)),I6-AF6,"")</f>
        <v/>
      </c>
      <c r="AZ6" s="254">
        <f>IF(AND(ISNUMBER(AM6),ISNUMBER(G6)),G6-AM6,"")</f>
        <v/>
      </c>
      <c r="BA6" s="254">
        <f>IF(AND(ISNUMBER(AC6),ISNUMBER(AE6)),AC6-AE6,"")</f>
        <v/>
      </c>
      <c r="BB6" s="254">
        <f>IF(AND(ISNUMBER(AL6),ISNUMBER(AM6)),AL6-AM6,"")</f>
        <v/>
      </c>
      <c r="BC6" s="84">
        <f>IF(AND($E6&gt;0,$W6&gt;0),IF(($E6-$W6)/$E6&gt;0,($E6-$W6)/$E6,0),"")</f>
        <v/>
      </c>
      <c r="BD6" s="84">
        <f>IF(AND($I6&gt;0,$AF6&gt;=0),IF(($I6-$AF6)/$I6&gt;0,($I6-$AF6)/$I6,0),"")</f>
        <v/>
      </c>
      <c r="BE6" s="84">
        <f>IF(AND($AG6&gt;=0,$AD6&gt;=0,$AF6&gt;=0),IF($AG6/($AD6-$AF6)&gt;0,$AG6/($AD6-$AF6),0),"")</f>
        <v/>
      </c>
      <c r="BF6" s="84">
        <f>IF(AND($G6&gt;0,$AM6&gt;0),IF(($G6-$AM6)/$G6&gt;0,($G6-$AM6)/$G6,0),"")</f>
        <v/>
      </c>
      <c r="BG6" s="6">
        <f>IF((AD6-AF6)/(AJ6/60)&lt;=0,"",(AD6-AF6)/(AJ6/60))</f>
        <v/>
      </c>
      <c r="BH6" s="6">
        <f>IF(OR(AJ6=0,AP6=0,NOT(ISNUMBER(AD6)),NOT(ISNUMBER(AF6)),NOT(ISNUMBER(AJ6)),NOT(ISNUMBER(AP6))),"",
IFERROR(IF((AD6-AF6)/(AJ6/60)/(AP6/1000)&lt;=0,"",(AD6-AF6)/(AJ6/60)/(AP6/1000)),""))</f>
        <v/>
      </c>
    </row>
    <row r="7" ht="15" customHeight="1">
      <c r="B7" t="n">
        <v>-237</v>
      </c>
      <c r="C7" s="39" t="n"/>
      <c r="D7" s="167" t="n">
        <v>45267</v>
      </c>
      <c r="E7" s="166" t="n"/>
      <c r="F7" s="136" t="n">
        <v>2</v>
      </c>
      <c r="G7" s="205">
        <f>IF(OR(S7="",S7=0),"",S7*2)</f>
        <v/>
      </c>
      <c r="I7" s="124">
        <f>(N7*18.5-H7*11)/9</f>
        <v/>
      </c>
      <c r="J7" s="124">
        <f>5*4.54</f>
        <v/>
      </c>
      <c r="K7" s="15">
        <f>AD7</f>
        <v/>
      </c>
      <c r="M7" s="10">
        <f>IF(OR(E7="",G7="",E7=0,G7=0),"",E7/G7)</f>
        <v/>
      </c>
      <c r="N7" s="9">
        <f>IF(OR(E7="",I7="",E7=0,I7=0),"",E7/(I7*2))</f>
        <v/>
      </c>
      <c r="O7" s="8">
        <f>IF(OR(I7="",G7="",I7=0,G7=0),"",I7*2/G7)</f>
        <v/>
      </c>
      <c r="P7" s="206">
        <f>5*3.58</f>
        <v/>
      </c>
      <c r="Q7" s="124" t="n"/>
      <c r="R7" s="124" t="n"/>
      <c r="S7" s="124" t="n"/>
      <c r="T7" s="124" t="n"/>
      <c r="U7" s="124" t="n">
        <v>35.838</v>
      </c>
      <c r="V7" s="124">
        <f>10*2.9</f>
        <v/>
      </c>
      <c r="W7" s="124" t="n"/>
      <c r="X7" s="124" t="n"/>
      <c r="Y7" s="124" t="n">
        <v>2.87</v>
      </c>
      <c r="Z7" s="124" t="n">
        <v>2.06</v>
      </c>
      <c r="AA7" s="124" t="n">
        <v>0.23</v>
      </c>
      <c r="AB7" s="124" t="n">
        <v>-72</v>
      </c>
      <c r="AC7" s="124" t="n">
        <v>-165</v>
      </c>
      <c r="AD7" s="5" t="n">
        <v>80</v>
      </c>
      <c r="AE7" s="7">
        <f>T7</f>
        <v/>
      </c>
      <c r="AF7" s="168" t="n">
        <v>4.49</v>
      </c>
      <c r="AG7" s="168">
        <f>10*3.48</f>
        <v/>
      </c>
      <c r="AH7" s="168" t="n">
        <v>1e-05</v>
      </c>
      <c r="AK7" s="168">
        <f>-163</f>
        <v/>
      </c>
      <c r="AL7" s="231" t="n">
        <v>175</v>
      </c>
      <c r="AM7" s="3" t="n">
        <v>180</v>
      </c>
      <c r="AN7" s="4">
        <f>AE7</f>
        <v/>
      </c>
      <c r="AO7" s="168">
        <f>5*1.39</f>
        <v/>
      </c>
      <c r="AP7" s="255">
        <f>360-AK7-AB7</f>
        <v/>
      </c>
      <c r="AQ7" s="165" t="n">
        <v>3740.000000000009</v>
      </c>
      <c r="AR7" s="13">
        <f>AVERAGE(AO5:AO11)</f>
        <v/>
      </c>
      <c r="AS7" s="15">
        <f>IF(ISNUMBER([2]HRT_SRT!R61),[2]HRT_SRT!R61,"")</f>
        <v/>
      </c>
      <c r="AT7" s="156">
        <f>(E7-W7)/E7</f>
        <v/>
      </c>
      <c r="AU7" s="155">
        <f>(I7-AF7)/I7</f>
        <v/>
      </c>
      <c r="AV7" s="155">
        <f>AG7/(AD7-AF7)</f>
        <v/>
      </c>
      <c r="AW7" s="155">
        <f>(G7-AM7)/G7</f>
        <v/>
      </c>
      <c r="AX7" s="254">
        <f>IF(AND(ISNUMBER(E7),ISNUMBER(W7)),E7-W7,"")</f>
        <v/>
      </c>
      <c r="AY7" s="254">
        <f>IF(AND(ISNUMBER(I7),ISNUMBER(AF7)),I7-AF7,"")</f>
        <v/>
      </c>
      <c r="AZ7" s="254">
        <f>IF(AND(ISNUMBER(AM7),ISNUMBER(G7)),G7-AM7,"")</f>
        <v/>
      </c>
      <c r="BA7" s="254">
        <f>IF(AND(ISNUMBER(AC7),ISNUMBER(AE7)),AC7-AE7,"")</f>
        <v/>
      </c>
      <c r="BB7" s="254">
        <f>IF(AND(ISNUMBER(AL7),ISNUMBER(AM7)),AL7-AM7,"")</f>
        <v/>
      </c>
      <c r="BC7" s="84">
        <f>IF(AND($E7&gt;0,$W7&gt;0),IF(($E7-$W7)/$E7&gt;0,($E7-$W7)/$E7,0),"")</f>
        <v/>
      </c>
      <c r="BD7" s="84">
        <f>IF(AND($I7&gt;0,$AF7&gt;=0),IF(($I7-$AF7)/$I7&gt;0,($I7-$AF7)/$I7,0),"")</f>
        <v/>
      </c>
      <c r="BE7" s="84">
        <f>IF(AND($AG7&gt;=0,$AD7&gt;=0,$AF7&gt;=0),IF($AG7/($AD7-$AF7)&gt;0,$AG7/($AD7-$AF7),0),"")</f>
        <v/>
      </c>
      <c r="BF7" s="84">
        <f>IF(AND($G7&gt;0,$AM7&gt;0),IF(($G7-$AM7)/$G7&gt;0,($G7-$AM7)/$G7,0),"")</f>
        <v/>
      </c>
      <c r="BG7" s="6">
        <f>IF((AD7-AF7)/(AJ7/60)&lt;=0,"",(AD7-AF7)/(AJ7/60))</f>
        <v/>
      </c>
      <c r="BH7" s="6">
        <f>IF(OR(AJ7=0,AP7=0,NOT(ISNUMBER(AD7)),NOT(ISNUMBER(AF7)),NOT(ISNUMBER(AJ7)),NOT(ISNUMBER(AP7))),"",
IFERROR(IF((AD7-AF7)/(AJ7/60)/(AP7/1000)&lt;=0,"",(AD7-AF7)/(AJ7/60)/(AP7/1000)),""))</f>
        <v/>
      </c>
    </row>
    <row r="8" ht="15" customHeight="1">
      <c r="B8" t="n">
        <v>-236</v>
      </c>
      <c r="D8" s="11" t="n">
        <v>45268</v>
      </c>
      <c r="F8" s="3" t="n">
        <v>3</v>
      </c>
      <c r="G8" s="205">
        <f>IF(OR(S8="",S8=0),"",S8*2)</f>
        <v/>
      </c>
      <c r="I8" s="124" t="n">
        <v>9.049999999999999</v>
      </c>
      <c r="M8" s="10">
        <f>IF(OR(E8="",G8="",E8=0,G8=0),"",E8/G8)</f>
        <v/>
      </c>
      <c r="N8" s="9">
        <f>IF(OR(E8="",I8="",E8=0,I8=0),"",E8/(I8*2))</f>
        <v/>
      </c>
      <c r="O8" s="8">
        <f>IF(OR(I8="",G8="",I8=0,G8=0),"",I8*2/G8)</f>
        <v/>
      </c>
      <c r="Z8" s="6" t="n">
        <v>5.61</v>
      </c>
      <c r="AD8" s="5" t="n">
        <v>80</v>
      </c>
      <c r="AE8" s="7">
        <f>T8</f>
        <v/>
      </c>
      <c r="AL8" s="231" t="n">
        <v>175</v>
      </c>
      <c r="AM8" s="3" t="n">
        <v>180</v>
      </c>
      <c r="AN8" s="4">
        <f>AE8</f>
        <v/>
      </c>
      <c r="AP8" s="255">
        <f>360-AK8-AB8</f>
        <v/>
      </c>
      <c r="AQ8" s="165" t="n"/>
      <c r="AR8" s="13">
        <f>AVERAGE(AO6:AO12)</f>
        <v/>
      </c>
      <c r="AS8" s="15">
        <f>IF(ISNUMBER([2]HRT_SRT!R62),[2]HRT_SRT!R62,"")</f>
        <v/>
      </c>
      <c r="AT8" s="156">
        <f>(E8-W8)/E8</f>
        <v/>
      </c>
      <c r="AU8" s="155">
        <f>(I8-AF8)/I8</f>
        <v/>
      </c>
      <c r="AV8" s="155">
        <f>AG8/(AD8-AF8)</f>
        <v/>
      </c>
      <c r="AW8" s="155">
        <f>(G8-AM8)/G8</f>
        <v/>
      </c>
      <c r="AX8" s="254">
        <f>IF(AND(ISNUMBER(E8),ISNUMBER(W8)),E8-W8,"")</f>
        <v/>
      </c>
      <c r="AY8" s="254">
        <f>IF(AND(ISNUMBER(I8),ISNUMBER(AF8)),I8-AF8,"")</f>
        <v/>
      </c>
      <c r="AZ8" s="254">
        <f>IF(AND(ISNUMBER(AM8),ISNUMBER(G8)),G8-AM8,"")</f>
        <v/>
      </c>
      <c r="BA8" s="254">
        <f>IF(AND(ISNUMBER(AC8),ISNUMBER(AE8)),AC8-AE8,"")</f>
        <v/>
      </c>
      <c r="BB8" s="254">
        <f>IF(AND(ISNUMBER(AL8),ISNUMBER(AM8)),AL8-AM8,"")</f>
        <v/>
      </c>
      <c r="BC8" s="84">
        <f>IF(AND($E8&gt;0,$W8&gt;0),IF(($E8-$W8)/$E8&gt;0,($E8-$W8)/$E8,0),"")</f>
        <v/>
      </c>
      <c r="BD8" s="84">
        <f>IF(AND($I8&gt;0,$AF8&gt;=0),IF(($I8-$AF8)/$I8&gt;0,($I8-$AF8)/$I8,0),"")</f>
        <v/>
      </c>
      <c r="BE8" s="84">
        <f>IF(AND($AG8&gt;=0,$AD8&gt;=0,$AF8&gt;=0),IF($AG8/($AD8-$AF8)&gt;0,$AG8/($AD8-$AF8),0),"")</f>
        <v/>
      </c>
      <c r="BF8" s="84">
        <f>IF(AND($G8&gt;0,$AM8&gt;0),IF(($G8-$AM8)/$G8&gt;0,($G8-$AM8)/$G8,0),"")</f>
        <v/>
      </c>
      <c r="BG8" s="6">
        <f>IF((AD8-AF8)/(AJ8/60)&lt;=0,"",(AD8-AF8)/(AJ8/60))</f>
        <v/>
      </c>
      <c r="BH8" s="6">
        <f>IF(OR(AJ8=0,AP8=0,NOT(ISNUMBER(AD8)),NOT(ISNUMBER(AF8)),NOT(ISNUMBER(AJ8)),NOT(ISNUMBER(AP8))),"",
IFERROR(IF((AD8-AF8)/(AJ8/60)/(AP8/1000)&lt;=0,"",(AD8-AF8)/(AJ8/60)/(AP8/1000)),""))</f>
        <v/>
      </c>
    </row>
    <row r="9" ht="15" customHeight="1">
      <c r="B9" t="n">
        <v>-235</v>
      </c>
      <c r="D9" s="11" t="n">
        <v>45269</v>
      </c>
      <c r="F9" s="3" t="n">
        <v>4</v>
      </c>
      <c r="G9" s="205">
        <f>IF(OR(S9="",S9=0),"",S9*2)</f>
        <v/>
      </c>
      <c r="I9" s="124" t="n">
        <v>9.049999999999999</v>
      </c>
      <c r="M9" s="10">
        <f>IF(OR(E9="",G9="",E9=0,G9=0),"",E9/G9)</f>
        <v/>
      </c>
      <c r="N9" s="9">
        <f>IF(OR(E9="",I9="",E9=0,I9=0),"",E9/(I9*2))</f>
        <v/>
      </c>
      <c r="O9" s="8">
        <f>IF(OR(I9="",G9="",I9=0,G9=0),"",I9*2/G9)</f>
        <v/>
      </c>
      <c r="Z9" s="6" t="n">
        <v>9.49</v>
      </c>
      <c r="AD9" s="5" t="n">
        <v>80</v>
      </c>
      <c r="AE9" s="7">
        <f>T9</f>
        <v/>
      </c>
      <c r="AL9" s="231" t="n">
        <v>175</v>
      </c>
      <c r="AM9" s="3" t="n">
        <v>180</v>
      </c>
      <c r="AN9" s="4">
        <f>AE9</f>
        <v/>
      </c>
      <c r="AP9" s="255">
        <f>360-AK9-AB9</f>
        <v/>
      </c>
      <c r="AQ9" s="165" t="n"/>
      <c r="AR9" s="13">
        <f>AVERAGE(AO7:AO13)</f>
        <v/>
      </c>
      <c r="AS9" s="15">
        <f>IF(ISNUMBER([2]HRT_SRT!R63),[2]HRT_SRT!R63,"")</f>
        <v/>
      </c>
      <c r="AT9" s="156">
        <f>(E9-W9)/E9</f>
        <v/>
      </c>
      <c r="AU9" s="155">
        <f>(I9-AF9)/I9</f>
        <v/>
      </c>
      <c r="AV9" s="155">
        <f>AG9/(AD9-AF9)</f>
        <v/>
      </c>
      <c r="AW9" s="155">
        <f>(G9-AM9)/G9</f>
        <v/>
      </c>
      <c r="AX9" s="254">
        <f>IF(AND(ISNUMBER(E9),ISNUMBER(W9)),E9-W9,"")</f>
        <v/>
      </c>
      <c r="AY9" s="254">
        <f>IF(AND(ISNUMBER(I9),ISNUMBER(AF9)),I9-AF9,"")</f>
        <v/>
      </c>
      <c r="AZ9" s="254">
        <f>IF(AND(ISNUMBER(AM9),ISNUMBER(G9)),G9-AM9,"")</f>
        <v/>
      </c>
      <c r="BA9" s="254">
        <f>IF(AND(ISNUMBER(AC9),ISNUMBER(AE9)),AC9-AE9,"")</f>
        <v/>
      </c>
      <c r="BB9" s="254">
        <f>IF(AND(ISNUMBER(AL9),ISNUMBER(AM9)),AL9-AM9,"")</f>
        <v/>
      </c>
      <c r="BC9" s="84">
        <f>IF(AND($E9&gt;0,$W9&gt;0),IF(($E9-$W9)/$E9&gt;0,($E9-$W9)/$E9,0),"")</f>
        <v/>
      </c>
      <c r="BD9" s="84">
        <f>IF(AND($I9&gt;0,$AF9&gt;=0),IF(($I9-$AF9)/$I9&gt;0,($I9-$AF9)/$I9,0),"")</f>
        <v/>
      </c>
      <c r="BE9" s="84">
        <f>IF(AND($AG9&gt;=0,$AD9&gt;=0,$AF9&gt;=0),IF($AG9/($AD9-$AF9)&gt;0,$AG9/($AD9-$AF9),0),"")</f>
        <v/>
      </c>
      <c r="BF9" s="84">
        <f>IF(AND($G9&gt;0,$AM9&gt;0),IF(($G9-$AM9)/$G9&gt;0,($G9-$AM9)/$G9,0),"")</f>
        <v/>
      </c>
      <c r="BG9" s="6">
        <f>IF((AD9-AF9)/(AJ9/60)&lt;=0,"",(AD9-AF9)/(AJ9/60))</f>
        <v/>
      </c>
      <c r="BH9" s="6">
        <f>IF(OR(AJ9=0,AP9=0,NOT(ISNUMBER(AD9)),NOT(ISNUMBER(AF9)),NOT(ISNUMBER(AJ9)),NOT(ISNUMBER(AP9))),"",
IFERROR(IF((AD9-AF9)/(AJ9/60)/(AP9/1000)&lt;=0,"",(AD9-AF9)/(AJ9/60)/(AP9/1000)),""))</f>
        <v/>
      </c>
    </row>
    <row r="10" ht="15" customHeight="1">
      <c r="B10" t="n">
        <v>-234</v>
      </c>
      <c r="D10" s="11" t="n">
        <v>45270</v>
      </c>
      <c r="F10" s="3" t="n">
        <v>5</v>
      </c>
      <c r="G10" s="205">
        <f>IF(OR(S10="",S10=0),"",S10*2)</f>
        <v/>
      </c>
      <c r="I10" s="124" t="n">
        <v>9.049999999999999</v>
      </c>
      <c r="M10" s="10">
        <f>IF(OR(E10="",G10="",E10=0,G10=0),"",E10/G10)</f>
        <v/>
      </c>
      <c r="N10" s="9">
        <f>IF(OR(E10="",I10="",E10=0,I10=0),"",E10/(I10*2))</f>
        <v/>
      </c>
      <c r="O10" s="8">
        <f>IF(OR(I10="",G10="",I10=0,G10=0),"",I10*2/G10)</f>
        <v/>
      </c>
      <c r="Z10" s="6" t="n">
        <v>7.24</v>
      </c>
      <c r="AD10" s="5" t="n">
        <v>80</v>
      </c>
      <c r="AE10" s="7">
        <f>T10</f>
        <v/>
      </c>
      <c r="AL10" s="231" t="n">
        <v>175</v>
      </c>
      <c r="AM10" s="3" t="n">
        <v>180</v>
      </c>
      <c r="AN10" s="4">
        <f>AE10</f>
        <v/>
      </c>
      <c r="AP10" s="255">
        <f>360-AK10-AB10</f>
        <v/>
      </c>
      <c r="AQ10" s="165" t="n"/>
      <c r="AR10" s="13">
        <f>AVERAGE(AO8:AO14)</f>
        <v/>
      </c>
      <c r="AS10" s="15">
        <f>IF(ISNUMBER([2]HRT_SRT!R64),[2]HRT_SRT!R64,"")</f>
        <v/>
      </c>
      <c r="AT10" s="156">
        <f>(E10-W10)/E10</f>
        <v/>
      </c>
      <c r="AU10" s="155">
        <f>(I10-AF10)/I10</f>
        <v/>
      </c>
      <c r="AV10" s="155">
        <f>AG10/(AD10-AF10)</f>
        <v/>
      </c>
      <c r="AW10" s="155">
        <f>(G10-AM10)/G10</f>
        <v/>
      </c>
      <c r="AX10" s="254">
        <f>IF(AND(ISNUMBER(E10),ISNUMBER(W10)),E10-W10,"")</f>
        <v/>
      </c>
      <c r="AY10" s="254">
        <f>IF(AND(ISNUMBER(I10),ISNUMBER(AF10)),I10-AF10,"")</f>
        <v/>
      </c>
      <c r="AZ10" s="254">
        <f>IF(AND(ISNUMBER(AM10),ISNUMBER(G10)),G10-AM10,"")</f>
        <v/>
      </c>
      <c r="BA10" s="254">
        <f>IF(AND(ISNUMBER(AC10),ISNUMBER(AE10)),AC10-AE10,"")</f>
        <v/>
      </c>
      <c r="BB10" s="254">
        <f>IF(AND(ISNUMBER(AL10),ISNUMBER(AM10)),AL10-AM10,"")</f>
        <v/>
      </c>
      <c r="BC10" s="84">
        <f>IF(AND($E10&gt;0,$W10&gt;0),IF(($E10-$W10)/$E10&gt;0,($E10-$W10)/$E10,0),"")</f>
        <v/>
      </c>
      <c r="BD10" s="84">
        <f>IF(AND($I10&gt;0,$AF10&gt;=0),IF(($I10-$AF10)/$I10&gt;0,($I10-$AF10)/$I10,0),"")</f>
        <v/>
      </c>
      <c r="BE10" s="84">
        <f>IF(AND($AG10&gt;=0,$AD10&gt;=0,$AF10&gt;=0),IF($AG10/($AD10-$AF10)&gt;0,$AG10/($AD10-$AF10),0),"")</f>
        <v/>
      </c>
      <c r="BF10" s="84">
        <f>IF(AND($G10&gt;0,$AM10&gt;0),IF(($G10-$AM10)/$G10&gt;0,($G10-$AM10)/$G10,0),"")</f>
        <v/>
      </c>
      <c r="BG10" s="6">
        <f>IF((AD10-AF10)/(AJ10/60)&lt;=0,"",(AD10-AF10)/(AJ10/60))</f>
        <v/>
      </c>
      <c r="BH10" s="6">
        <f>IF(OR(AJ10=0,AP10=0,NOT(ISNUMBER(AD10)),NOT(ISNUMBER(AF10)),NOT(ISNUMBER(AJ10)),NOT(ISNUMBER(AP10))),"",
IFERROR(IF((AD10-AF10)/(AJ10/60)/(AP10/1000)&lt;=0,"",(AD10-AF10)/(AJ10/60)/(AP10/1000)),""))</f>
        <v/>
      </c>
    </row>
    <row r="11" ht="15" customHeight="1">
      <c r="B11" t="n">
        <v>-233</v>
      </c>
      <c r="C11" s="12" t="inlineStr">
        <is>
          <t>change tubing</t>
        </is>
      </c>
      <c r="D11" s="11" t="n">
        <v>45271</v>
      </c>
      <c r="F11" s="3" t="n">
        <v>6</v>
      </c>
      <c r="G11" s="205">
        <f>IF(OR(S11="",S11=0),"",S11*2)</f>
        <v/>
      </c>
      <c r="I11" s="15">
        <f>(N11*18-H11*18)/9</f>
        <v/>
      </c>
      <c r="J11" s="15">
        <f>2*0.894</f>
        <v/>
      </c>
      <c r="K11" s="15">
        <f>AD11</f>
        <v/>
      </c>
      <c r="M11" s="10">
        <f>IF(OR(E11="",G11="",E11=0,G11=0),"",E11/G11)</f>
        <v/>
      </c>
      <c r="N11" s="9">
        <f>IF(OR(E11="",I11="",E11=0,I11=0),"",E11/(I11*2))</f>
        <v/>
      </c>
      <c r="O11" s="8">
        <f>IF(OR(I11="",G11="",I11=0,G11=0),"",I11*2/G11)</f>
        <v/>
      </c>
      <c r="P11" s="7" t="n">
        <v>6.82</v>
      </c>
      <c r="U11" s="6">
        <f>11.605+49.307</f>
        <v/>
      </c>
      <c r="V11" s="6">
        <f>10*1.42</f>
        <v/>
      </c>
      <c r="Y11" s="6">
        <f>2.72</f>
        <v/>
      </c>
      <c r="Z11" s="6" t="n">
        <v>7.58</v>
      </c>
      <c r="AD11" s="5" t="n">
        <v>80</v>
      </c>
      <c r="AE11" s="7">
        <f>T11</f>
        <v/>
      </c>
      <c r="AF11" s="231">
        <f>2*4.96</f>
        <v/>
      </c>
      <c r="AG11" s="231">
        <f>10*1.18</f>
        <v/>
      </c>
      <c r="AH11" s="231" t="n">
        <v>1e-05</v>
      </c>
      <c r="AI11" s="204">
        <f>0.06-0.05</f>
        <v/>
      </c>
      <c r="AJ11" s="203" t="n">
        <v>0.3982638888888889</v>
      </c>
      <c r="AL11" s="231" t="n">
        <v>175</v>
      </c>
      <c r="AM11" s="3" t="n">
        <v>180</v>
      </c>
      <c r="AN11" s="4">
        <f>AE11</f>
        <v/>
      </c>
      <c r="AO11" s="231">
        <f>2*4.02</f>
        <v/>
      </c>
      <c r="AP11" s="255">
        <f>360-AK11-AB11</f>
        <v/>
      </c>
      <c r="AQ11" s="165" t="n"/>
      <c r="AR11" s="13">
        <f>AVERAGE(AO9:AO15)</f>
        <v/>
      </c>
      <c r="AS11" s="15">
        <f>IF(ISNUMBER([2]HRT_SRT!R65),[2]HRT_SRT!R65,"")</f>
        <v/>
      </c>
      <c r="AT11" s="156">
        <f>(E11-W11)/E11</f>
        <v/>
      </c>
      <c r="AU11" s="155">
        <f>(I11-AF11)/I11</f>
        <v/>
      </c>
      <c r="AV11" s="155">
        <f>AG11/(AD11-AF11)</f>
        <v/>
      </c>
      <c r="AW11" s="155">
        <f>(G11-AM11)/G11</f>
        <v/>
      </c>
      <c r="AX11" s="254">
        <f>IF(AND(ISNUMBER(E11),ISNUMBER(W11)),E11-W11,"")</f>
        <v/>
      </c>
      <c r="AY11" s="254">
        <f>IF(AND(ISNUMBER(I11),ISNUMBER(AF11)),I11-AF11,"")</f>
        <v/>
      </c>
      <c r="AZ11" s="254">
        <f>IF(AND(ISNUMBER(AM11),ISNUMBER(G11)),G11-AM11,"")</f>
        <v/>
      </c>
      <c r="BA11" s="254">
        <f>IF(AND(ISNUMBER(AC11),ISNUMBER(AE11)),AC11-AE11,"")</f>
        <v/>
      </c>
      <c r="BB11" s="254">
        <f>IF(AND(ISNUMBER(AL11),ISNUMBER(AM11)),AL11-AM11,"")</f>
        <v/>
      </c>
      <c r="BC11" s="84">
        <f>IF(AND($E11&gt;0,$W11&gt;0),IF(($E11-$W11)/$E11&gt;0,($E11-$W11)/$E11,0),"")</f>
        <v/>
      </c>
      <c r="BD11" s="84">
        <f>IF(AND($I11&gt;0,$AF11&gt;=0),IF(($I11-$AF11)/$I11&gt;0,($I11-$AF11)/$I11,0),"")</f>
        <v/>
      </c>
      <c r="BE11" s="84">
        <f>IF(AND($AG11&gt;=0,$AD11&gt;=0,$AF11&gt;=0),IF($AG11/($AD11-$AF11)&gt;0,$AG11/($AD11-$AF11),0),"")</f>
        <v/>
      </c>
      <c r="BF11" s="84">
        <f>IF(AND($G11&gt;0,$AM11&gt;0),IF(($G11-$AM11)/$G11&gt;0,($G11-$AM11)/$G11,0),"")</f>
        <v/>
      </c>
      <c r="BG11" s="6">
        <f>IF((AD11-AF11)/(AJ11/60)&lt;=0,"",(AD11-AF11)/(AJ11/60))</f>
        <v/>
      </c>
      <c r="BH11" s="6">
        <f>IF(OR(AJ11=0,AP11=0,NOT(ISNUMBER(AD11)),NOT(ISNUMBER(AF11)),NOT(ISNUMBER(AJ11)),NOT(ISNUMBER(AP11))),"",
IFERROR(IF((AD11-AF11)/(AJ11/60)/(AP11/1000)&lt;=0,"",(AD11-AF11)/(AJ11/60)/(AP11/1000)),""))</f>
        <v/>
      </c>
    </row>
    <row r="12" ht="15" customHeight="1">
      <c r="B12" t="n">
        <v>-232</v>
      </c>
      <c r="C12" s="12" t="inlineStr">
        <is>
          <t>pH_max set to 7.8</t>
        </is>
      </c>
      <c r="D12" s="11" t="n">
        <v>45272</v>
      </c>
      <c r="F12" s="3" t="n">
        <v>7</v>
      </c>
      <c r="G12" s="205">
        <f>IF(OR(S12="",S12=0),"",S12*2)</f>
        <v/>
      </c>
      <c r="I12" s="124" t="n">
        <v>10.064</v>
      </c>
      <c r="M12" s="10">
        <f>IF(OR(E12="",G12="",E12=0,G12=0),"",E12/G12)</f>
        <v/>
      </c>
      <c r="N12" s="9">
        <f>IF(OR(E12="",I12="",E12=0,I12=0),"",E12/(I12*2))</f>
        <v/>
      </c>
      <c r="O12" s="8">
        <f>IF(OR(I12="",G12="",I12=0,G12=0),"",I12*2/G12)</f>
        <v/>
      </c>
      <c r="Z12" s="6" t="n">
        <v>6.44</v>
      </c>
      <c r="AD12" s="5" t="n">
        <v>80</v>
      </c>
      <c r="AE12" s="7">
        <f>T12</f>
        <v/>
      </c>
      <c r="AL12" s="231" t="n">
        <v>175</v>
      </c>
      <c r="AM12" s="3" t="n">
        <v>180</v>
      </c>
      <c r="AN12" s="4">
        <f>AE12</f>
        <v/>
      </c>
      <c r="AP12" s="255">
        <f>360-AK12-AB12</f>
        <v/>
      </c>
      <c r="AQ12" s="165" t="n"/>
      <c r="AR12" s="13">
        <f>AVERAGE(AO10:AO16)</f>
        <v/>
      </c>
      <c r="AS12" s="15">
        <f>IF(ISNUMBER([2]HRT_SRT!R66),[2]HRT_SRT!R66,"")</f>
        <v/>
      </c>
      <c r="AT12" s="156">
        <f>(E12-W12)/E12</f>
        <v/>
      </c>
      <c r="AU12" s="155">
        <f>(I12-AF12)/I12</f>
        <v/>
      </c>
      <c r="AV12" s="155">
        <f>AG12/(AD12-AF12)</f>
        <v/>
      </c>
      <c r="AW12" s="155">
        <f>(G12-AM12)/G12</f>
        <v/>
      </c>
      <c r="AX12" s="254">
        <f>IF(AND(ISNUMBER(E12),ISNUMBER(W12)),E12-W12,"")</f>
        <v/>
      </c>
      <c r="AY12" s="254">
        <f>IF(AND(ISNUMBER(I12),ISNUMBER(AF12)),I12-AF12,"")</f>
        <v/>
      </c>
      <c r="AZ12" s="254">
        <f>IF(AND(ISNUMBER(AM12),ISNUMBER(G12)),G12-AM12,"")</f>
        <v/>
      </c>
      <c r="BA12" s="254">
        <f>IF(AND(ISNUMBER(AC12),ISNUMBER(AE12)),AC12-AE12,"")</f>
        <v/>
      </c>
      <c r="BB12" s="254">
        <f>IF(AND(ISNUMBER(AL12),ISNUMBER(AM12)),AL12-AM12,"")</f>
        <v/>
      </c>
      <c r="BC12" s="84">
        <f>IF(AND($E12&gt;0,$W12&gt;0),IF(($E12-$W12)/$E12&gt;0,($E12-$W12)/$E12,0),"")</f>
        <v/>
      </c>
      <c r="BD12" s="84">
        <f>IF(AND($I12&gt;0,$AF12&gt;=0),IF(($I12-$AF12)/$I12&gt;0,($I12-$AF12)/$I12,0),"")</f>
        <v/>
      </c>
      <c r="BE12" s="84">
        <f>IF(AND($AG12&gt;=0,$AD12&gt;=0,$AF12&gt;=0),IF($AG12/($AD12-$AF12)&gt;0,$AG12/($AD12-$AF12),0),"")</f>
        <v/>
      </c>
      <c r="BF12" s="84">
        <f>IF(AND($G12&gt;0,$AM12&gt;0),IF(($G12-$AM12)/$G12&gt;0,($G12-$AM12)/$G12,0),"")</f>
        <v/>
      </c>
      <c r="BG12" s="6">
        <f>IF((AD12-AF12)/(AJ12/60)&lt;=0,"",(AD12-AF12)/(AJ12/60))</f>
        <v/>
      </c>
      <c r="BH12" s="6">
        <f>IF(OR(AJ12=0,AP12=0,NOT(ISNUMBER(AD12)),NOT(ISNUMBER(AF12)),NOT(ISNUMBER(AJ12)),NOT(ISNUMBER(AP12))),"",
IFERROR(IF((AD12-AF12)/(AJ12/60)/(AP12/1000)&lt;=0,"",(AD12-AF12)/(AJ12/60)/(AP12/1000)),""))</f>
        <v/>
      </c>
    </row>
    <row r="13" ht="15" customHeight="1">
      <c r="B13" t="n">
        <v>-231</v>
      </c>
      <c r="D13" s="11" t="n">
        <v>45273</v>
      </c>
      <c r="F13" s="3" t="n">
        <v>8</v>
      </c>
      <c r="G13" s="205">
        <f>IF(OR(S13="",S13=0),"",S13*2)</f>
        <v/>
      </c>
      <c r="I13" s="124" t="n">
        <v>10.064</v>
      </c>
      <c r="M13" s="10">
        <f>IF(OR(E13="",G13="",E13=0,G13=0),"",E13/G13)</f>
        <v/>
      </c>
      <c r="N13" s="9">
        <f>IF(OR(E13="",I13="",E13=0,I13=0),"",E13/(I13*2))</f>
        <v/>
      </c>
      <c r="O13" s="8">
        <f>IF(OR(I13="",G13="",I13=0,G13=0),"",I13*2/G13)</f>
        <v/>
      </c>
      <c r="Z13" s="6" t="n">
        <v>8.08</v>
      </c>
      <c r="AD13" s="5" t="n">
        <v>80</v>
      </c>
      <c r="AE13" s="7">
        <f>T13</f>
        <v/>
      </c>
      <c r="AI13" s="204">
        <f>0.13-0.05</f>
        <v/>
      </c>
      <c r="AJ13" s="203" t="n">
        <v>0.4099537037037037</v>
      </c>
      <c r="AL13" s="231" t="n">
        <v>175</v>
      </c>
      <c r="AM13" s="3" t="n">
        <v>180</v>
      </c>
      <c r="AN13" s="4">
        <f>AE13</f>
        <v/>
      </c>
      <c r="AP13" s="255">
        <f>360-AK13-AB13</f>
        <v/>
      </c>
      <c r="AQ13" s="165" t="n"/>
      <c r="AR13" s="13">
        <f>AVERAGE(AO11:AO17)</f>
        <v/>
      </c>
      <c r="AS13" s="15">
        <f>IF(ISNUMBER([2]HRT_SRT!R67),[2]HRT_SRT!R67,"")</f>
        <v/>
      </c>
      <c r="AT13" s="156">
        <f>(E13-W13)/E13</f>
        <v/>
      </c>
      <c r="AU13" s="155">
        <f>(I13-AF13)/I13</f>
        <v/>
      </c>
      <c r="AV13" s="155">
        <f>AG13/(AD13-AF13)</f>
        <v/>
      </c>
      <c r="AW13" s="155">
        <f>(G13-AM13)/G13</f>
        <v/>
      </c>
      <c r="AX13" s="254">
        <f>IF(AND(ISNUMBER(E13),ISNUMBER(W13)),E13-W13,"")</f>
        <v/>
      </c>
      <c r="AY13" s="254">
        <f>IF(AND(ISNUMBER(I13),ISNUMBER(AF13)),I13-AF13,"")</f>
        <v/>
      </c>
      <c r="AZ13" s="254">
        <f>IF(AND(ISNUMBER(AM13),ISNUMBER(G13)),G13-AM13,"")</f>
        <v/>
      </c>
      <c r="BA13" s="254">
        <f>IF(AND(ISNUMBER(AC13),ISNUMBER(AE13)),AC13-AE13,"")</f>
        <v/>
      </c>
      <c r="BB13" s="254">
        <f>IF(AND(ISNUMBER(AL13),ISNUMBER(AM13)),AL13-AM13,"")</f>
        <v/>
      </c>
      <c r="BC13" s="84">
        <f>IF(AND($E13&gt;0,$W13&gt;0),IF(($E13-$W13)/$E13&gt;0,($E13-$W13)/$E13,0),"")</f>
        <v/>
      </c>
      <c r="BD13" s="84">
        <f>IF(AND($I13&gt;0,$AF13&gt;=0),IF(($I13-$AF13)/$I13&gt;0,($I13-$AF13)/$I13,0),"")</f>
        <v/>
      </c>
      <c r="BE13" s="84">
        <f>IF(AND($AG13&gt;=0,$AD13&gt;=0,$AF13&gt;=0),IF($AG13/($AD13-$AF13)&gt;0,$AG13/($AD13-$AF13),0),"")</f>
        <v/>
      </c>
      <c r="BF13" s="84">
        <f>IF(AND($G13&gt;0,$AM13&gt;0),IF(($G13-$AM13)/$G13&gt;0,($G13-$AM13)/$G13,0),"")</f>
        <v/>
      </c>
      <c r="BG13" s="6">
        <f>IF((AD13-AF13)/(AJ13/60)&lt;=0,"",(AD13-AF13)/(AJ13/60))</f>
        <v/>
      </c>
      <c r="BH13" s="6">
        <f>IF(OR(AJ13=0,AP13=0,NOT(ISNUMBER(AD13)),NOT(ISNUMBER(AF13)),NOT(ISNUMBER(AJ13)),NOT(ISNUMBER(AP13))),"",
IFERROR(IF((AD13-AF13)/(AJ13/60)/(AP13/1000)&lt;=0,"",(AD13-AF13)/(AJ13/60)/(AP13/1000)),""))</f>
        <v/>
      </c>
    </row>
    <row r="14" ht="15" customHeight="1">
      <c r="B14" t="n">
        <v>-230</v>
      </c>
      <c r="D14" s="11" t="n">
        <v>45274</v>
      </c>
      <c r="F14" s="3" t="n">
        <v>9</v>
      </c>
      <c r="G14" s="205">
        <f>IF(OR(S14="",S14=0),"",S14*2)</f>
        <v/>
      </c>
      <c r="I14" s="124" t="n">
        <v>10.064</v>
      </c>
      <c r="M14" s="10">
        <f>IF(OR(E14="",G14="",E14=0,G14=0),"",E14/G14)</f>
        <v/>
      </c>
      <c r="N14" s="9">
        <f>IF(OR(E14="",I14="",E14=0,I14=0),"",E14/(I14*2))</f>
        <v/>
      </c>
      <c r="O14" s="8">
        <f>IF(OR(I14="",G14="",I14=0,G14=0),"",I14*2/G14)</f>
        <v/>
      </c>
      <c r="Z14" s="6" t="n">
        <v>8.16</v>
      </c>
      <c r="AD14" s="5" t="n">
        <v>80</v>
      </c>
      <c r="AE14" s="7">
        <f>T14</f>
        <v/>
      </c>
      <c r="AL14" s="231" t="n">
        <v>175</v>
      </c>
      <c r="AM14" s="3" t="n">
        <v>180</v>
      </c>
      <c r="AN14" s="4">
        <f>AE14</f>
        <v/>
      </c>
      <c r="AP14" s="255">
        <f>360-AK14-AB14</f>
        <v/>
      </c>
      <c r="AQ14" s="165" t="n"/>
      <c r="AR14" s="13">
        <f>AVERAGE(AO12:AO18)</f>
        <v/>
      </c>
      <c r="AS14" s="15">
        <f>IF(ISNUMBER([2]HRT_SRT!R68),[2]HRT_SRT!R68,"")</f>
        <v/>
      </c>
      <c r="AT14" s="156">
        <f>(E14-W14)/E14</f>
        <v/>
      </c>
      <c r="AU14" s="155">
        <f>(I14-AF14)/I14</f>
        <v/>
      </c>
      <c r="AV14" s="155">
        <f>AG14/(AD14-AF14)</f>
        <v/>
      </c>
      <c r="AW14" s="155">
        <f>(G14-AM14)/G14</f>
        <v/>
      </c>
      <c r="AX14" s="254">
        <f>IF(AND(ISNUMBER(E14),ISNUMBER(W14)),E14-W14,"")</f>
        <v/>
      </c>
      <c r="AY14" s="254">
        <f>IF(AND(ISNUMBER(I14),ISNUMBER(AF14)),I14-AF14,"")</f>
        <v/>
      </c>
      <c r="AZ14" s="254">
        <f>IF(AND(ISNUMBER(AM14),ISNUMBER(G14)),G14-AM14,"")</f>
        <v/>
      </c>
      <c r="BA14" s="254">
        <f>IF(AND(ISNUMBER(AC14),ISNUMBER(AE14)),AC14-AE14,"")</f>
        <v/>
      </c>
      <c r="BB14" s="254">
        <f>IF(AND(ISNUMBER(AL14),ISNUMBER(AM14)),AL14-AM14,"")</f>
        <v/>
      </c>
      <c r="BC14" s="84">
        <f>IF(AND($E14&gt;0,$W14&gt;0),IF(($E14-$W14)/$E14&gt;0,($E14-$W14)/$E14,0),"")</f>
        <v/>
      </c>
      <c r="BD14" s="84">
        <f>IF(AND($I14&gt;0,$AF14&gt;=0),IF(($I14-$AF14)/$I14&gt;0,($I14-$AF14)/$I14,0),"")</f>
        <v/>
      </c>
      <c r="BE14" s="84">
        <f>IF(AND($AG14&gt;=0,$AD14&gt;=0,$AF14&gt;=0),IF($AG14/($AD14-$AF14)&gt;0,$AG14/($AD14-$AF14),0),"")</f>
        <v/>
      </c>
      <c r="BF14" s="84">
        <f>IF(AND($G14&gt;0,$AM14&gt;0),IF(($G14-$AM14)/$G14&gt;0,($G14-$AM14)/$G14,0),"")</f>
        <v/>
      </c>
      <c r="BG14" s="6">
        <f>IF((AD14-AF14)/(AJ14/60)&lt;=0,"",(AD14-AF14)/(AJ14/60))</f>
        <v/>
      </c>
      <c r="BH14" s="6">
        <f>IF(OR(AJ14=0,AP14=0,NOT(ISNUMBER(AD14)),NOT(ISNUMBER(AF14)),NOT(ISNUMBER(AJ14)),NOT(ISNUMBER(AP14))),"",
IFERROR(IF((AD14-AF14)/(AJ14/60)/(AP14/1000)&lt;=0,"",(AD14-AF14)/(AJ14/60)/(AP14/1000)),""))</f>
        <v/>
      </c>
    </row>
    <row r="15" ht="15" customHeight="1">
      <c r="B15" t="n">
        <v>-229</v>
      </c>
      <c r="D15" s="11" t="n">
        <v>45275</v>
      </c>
      <c r="F15" s="3" t="n">
        <v>10</v>
      </c>
      <c r="G15" s="205">
        <f>IF(OR(S15="",S15=0),"",S15*2)</f>
        <v/>
      </c>
      <c r="I15" s="124" t="n">
        <v>10.064</v>
      </c>
      <c r="M15" s="10">
        <f>IF(OR(E15="",G15="",E15=0,G15=0),"",E15/G15)</f>
        <v/>
      </c>
      <c r="N15" s="9">
        <f>IF(OR(E15="",I15="",E15=0,I15=0),"",E15/(I15*2))</f>
        <v/>
      </c>
      <c r="O15" s="8">
        <f>IF(OR(I15="",G15="",I15=0,G15=0),"",I15*2/G15)</f>
        <v/>
      </c>
      <c r="Z15" s="6" t="n">
        <v>6.12</v>
      </c>
      <c r="AD15" s="5" t="n">
        <v>80</v>
      </c>
      <c r="AE15" s="7">
        <f>T15</f>
        <v/>
      </c>
      <c r="AL15" s="231" t="n">
        <v>175</v>
      </c>
      <c r="AM15" s="3" t="n">
        <v>180</v>
      </c>
      <c r="AN15" s="4">
        <f>AE15</f>
        <v/>
      </c>
      <c r="AP15" s="255">
        <f>360-AK15-AB15</f>
        <v/>
      </c>
      <c r="AQ15" s="165" t="n"/>
      <c r="AR15" s="13">
        <f>AVERAGE(AO13:AO19)</f>
        <v/>
      </c>
      <c r="AS15" s="15">
        <f>IF(ISNUMBER([2]HRT_SRT!R69),[2]HRT_SRT!R69,"")</f>
        <v/>
      </c>
      <c r="AT15" s="156">
        <f>(E15-W15)/E15</f>
        <v/>
      </c>
      <c r="AU15" s="155">
        <f>(I15-AF15)/I15</f>
        <v/>
      </c>
      <c r="AV15" s="155">
        <f>AG15/(AD15-AF15)</f>
        <v/>
      </c>
      <c r="AW15" s="155">
        <f>(G15-AM15)/G15</f>
        <v/>
      </c>
      <c r="AX15" s="254">
        <f>IF(AND(ISNUMBER(E15),ISNUMBER(W15)),E15-W15,"")</f>
        <v/>
      </c>
      <c r="AY15" s="254">
        <f>IF(AND(ISNUMBER(I15),ISNUMBER(AF15)),I15-AF15,"")</f>
        <v/>
      </c>
      <c r="AZ15" s="254">
        <f>IF(AND(ISNUMBER(AM15),ISNUMBER(G15)),G15-AM15,"")</f>
        <v/>
      </c>
      <c r="BA15" s="254">
        <f>IF(AND(ISNUMBER(AC15),ISNUMBER(AE15)),AC15-AE15,"")</f>
        <v/>
      </c>
      <c r="BB15" s="254">
        <f>IF(AND(ISNUMBER(AL15),ISNUMBER(AM15)),AL15-AM15,"")</f>
        <v/>
      </c>
      <c r="BC15" s="84">
        <f>IF(AND($E15&gt;0,$W15&gt;0),IF(($E15-$W15)/$E15&gt;0,($E15-$W15)/$E15,0),"")</f>
        <v/>
      </c>
      <c r="BD15" s="84">
        <f>IF(AND($I15&gt;0,$AF15&gt;=0),IF(($I15-$AF15)/$I15&gt;0,($I15-$AF15)/$I15,0),"")</f>
        <v/>
      </c>
      <c r="BE15" s="84">
        <f>IF(AND($AG15&gt;=0,$AD15&gt;=0,$AF15&gt;=0),IF($AG15/($AD15-$AF15)&gt;0,$AG15/($AD15-$AF15),0),"")</f>
        <v/>
      </c>
      <c r="BF15" s="84">
        <f>IF(AND($G15&gt;0,$AM15&gt;0),IF(($G15-$AM15)/$G15&gt;0,($G15-$AM15)/$G15,0),"")</f>
        <v/>
      </c>
      <c r="BG15" s="6">
        <f>IF((AD15-AF15)/(AJ15/60)&lt;=0,"",(AD15-AF15)/(AJ15/60))</f>
        <v/>
      </c>
      <c r="BH15" s="6">
        <f>IF(OR(AJ15=0,AP15=0,NOT(ISNUMBER(AD15)),NOT(ISNUMBER(AF15)),NOT(ISNUMBER(AJ15)),NOT(ISNUMBER(AP15))),"",
IFERROR(IF((AD15-AF15)/(AJ15/60)/(AP15/1000)&lt;=0,"",(AD15-AF15)/(AJ15/60)/(AP15/1000)),""))</f>
        <v/>
      </c>
    </row>
    <row r="16" ht="15" customHeight="1">
      <c r="B16" t="n">
        <v>-228</v>
      </c>
      <c r="D16" s="11" t="n">
        <v>45276</v>
      </c>
      <c r="F16" s="3" t="n">
        <v>11</v>
      </c>
      <c r="G16" s="205">
        <f>IF(OR(S16="",S16=0),"",S16*2)</f>
        <v/>
      </c>
      <c r="I16" s="124" t="n">
        <v>10.064</v>
      </c>
      <c r="M16" s="10">
        <f>IF(OR(E16="",G16="",E16=0,G16=0),"",E16/G16)</f>
        <v/>
      </c>
      <c r="N16" s="9">
        <f>IF(OR(E16="",I16="",E16=0,I16=0),"",E16/(I16*2))</f>
        <v/>
      </c>
      <c r="O16" s="8">
        <f>IF(OR(I16="",G16="",I16=0,G16=0),"",I16*2/G16)</f>
        <v/>
      </c>
      <c r="Z16" s="6" t="n">
        <v>6.3</v>
      </c>
      <c r="AD16" s="5" t="n">
        <v>80</v>
      </c>
      <c r="AE16" s="7">
        <f>T16</f>
        <v/>
      </c>
      <c r="AI16" s="204" t="n"/>
      <c r="AJ16" s="203" t="n"/>
      <c r="AL16" s="231" t="n">
        <v>175</v>
      </c>
      <c r="AM16" s="3" t="n">
        <v>180</v>
      </c>
      <c r="AN16" s="4">
        <f>AE16</f>
        <v/>
      </c>
      <c r="AP16" s="255">
        <f>360-AK16-AB16</f>
        <v/>
      </c>
      <c r="AQ16" s="165" t="n"/>
      <c r="AR16" s="13">
        <f>AVERAGE(AO14:AO20)</f>
        <v/>
      </c>
      <c r="AS16" s="15">
        <f>IF(ISNUMBER([2]HRT_SRT!R70),[2]HRT_SRT!R70,"")</f>
        <v/>
      </c>
      <c r="AT16" s="156">
        <f>(E16-W16)/E16</f>
        <v/>
      </c>
      <c r="AU16" s="155">
        <f>(I16-AF16)/I16</f>
        <v/>
      </c>
      <c r="AV16" s="155">
        <f>AG16/(AD16-AF16)</f>
        <v/>
      </c>
      <c r="AW16" s="155">
        <f>(G16-AM16)/G16</f>
        <v/>
      </c>
      <c r="AX16" s="254">
        <f>IF(AND(ISNUMBER(E16),ISNUMBER(W16)),E16-W16,"")</f>
        <v/>
      </c>
      <c r="AY16" s="254">
        <f>IF(AND(ISNUMBER(I16),ISNUMBER(AF16)),I16-AF16,"")</f>
        <v/>
      </c>
      <c r="AZ16" s="254">
        <f>IF(AND(ISNUMBER(AM16),ISNUMBER(G16)),G16-AM16,"")</f>
        <v/>
      </c>
      <c r="BA16" s="254">
        <f>IF(AND(ISNUMBER(AC16),ISNUMBER(AE16)),AC16-AE16,"")</f>
        <v/>
      </c>
      <c r="BB16" s="254">
        <f>IF(AND(ISNUMBER(AL16),ISNUMBER(AM16)),AL16-AM16,"")</f>
        <v/>
      </c>
      <c r="BC16" s="84">
        <f>IF(AND($E16&gt;0,$W16&gt;0),IF(($E16-$W16)/$E16&gt;0,($E16-$W16)/$E16,0),"")</f>
        <v/>
      </c>
      <c r="BD16" s="84">
        <f>IF(AND($I16&gt;0,$AF16&gt;=0),IF(($I16-$AF16)/$I16&gt;0,($I16-$AF16)/$I16,0),"")</f>
        <v/>
      </c>
      <c r="BE16" s="84">
        <f>IF(AND($AG16&gt;=0,$AD16&gt;=0,$AF16&gt;=0),IF($AG16/($AD16-$AF16)&gt;0,$AG16/($AD16-$AF16),0),"")</f>
        <v/>
      </c>
      <c r="BF16" s="84">
        <f>IF(AND($G16&gt;0,$AM16&gt;0),IF(($G16-$AM16)/$G16&gt;0,($G16-$AM16)/$G16,0),"")</f>
        <v/>
      </c>
      <c r="BG16" s="6">
        <f>IF((AD16-AF16)/(AJ16/60)&lt;=0,"",(AD16-AF16)/(AJ16/60))</f>
        <v/>
      </c>
      <c r="BH16" s="6">
        <f>IF(OR(AJ16=0,AP16=0,NOT(ISNUMBER(AD16)),NOT(ISNUMBER(AF16)),NOT(ISNUMBER(AJ16)),NOT(ISNUMBER(AP16))),"",
IFERROR(IF((AD16-AF16)/(AJ16/60)/(AP16/1000)&lt;=0,"",(AD16-AF16)/(AJ16/60)/(AP16/1000)),""))</f>
        <v/>
      </c>
    </row>
    <row r="17" ht="15" customHeight="1">
      <c r="B17" t="n">
        <v>-227</v>
      </c>
      <c r="D17" s="11" t="n">
        <v>45277</v>
      </c>
      <c r="F17" s="3" t="n">
        <v>12</v>
      </c>
      <c r="G17" s="205">
        <f>IF(OR(S17="",S17=0),"",S17*2)</f>
        <v/>
      </c>
      <c r="I17" s="124" t="n">
        <v>10.064</v>
      </c>
      <c r="M17" s="10">
        <f>IF(OR(E17="",G17="",E17=0,G17=0),"",E17/G17)</f>
        <v/>
      </c>
      <c r="N17" s="9">
        <f>IF(OR(E17="",I17="",E17=0,I17=0),"",E17/(I17*2))</f>
        <v/>
      </c>
      <c r="O17" s="8">
        <f>IF(OR(I17="",G17="",I17=0,G17=0),"",I17*2/G17)</f>
        <v/>
      </c>
      <c r="Z17" s="6" t="n">
        <v>4.08</v>
      </c>
      <c r="AD17" s="5" t="n">
        <v>80</v>
      </c>
      <c r="AE17" s="7">
        <f>T17</f>
        <v/>
      </c>
      <c r="AI17" s="204">
        <f>0.17-0.05</f>
        <v/>
      </c>
      <c r="AJ17" s="203" t="n">
        <v>0.4241898148148148</v>
      </c>
      <c r="AL17" s="231" t="n">
        <v>175</v>
      </c>
      <c r="AM17" s="3" t="n">
        <v>180</v>
      </c>
      <c r="AN17" s="4">
        <f>AE17</f>
        <v/>
      </c>
      <c r="AP17" s="255">
        <f>360-AK17-AB17</f>
        <v/>
      </c>
      <c r="AQ17" s="165" t="n"/>
      <c r="AR17" s="13">
        <f>AVERAGE(AO15:AO21)</f>
        <v/>
      </c>
      <c r="AS17" s="15">
        <f>IF(ISNUMBER([2]HRT_SRT!R71),[2]HRT_SRT!R71,"")</f>
        <v/>
      </c>
      <c r="AT17" s="156">
        <f>(E17-W17)/E17</f>
        <v/>
      </c>
      <c r="AU17" s="155">
        <f>(I17-AF17)/I17</f>
        <v/>
      </c>
      <c r="AV17" s="155">
        <f>AG17/(AD17-AF17)</f>
        <v/>
      </c>
      <c r="AW17" s="155">
        <f>(G17-AM17)/G17</f>
        <v/>
      </c>
      <c r="AX17" s="254">
        <f>IF(AND(ISNUMBER(E17),ISNUMBER(W17)),E17-W17,"")</f>
        <v/>
      </c>
      <c r="AY17" s="254">
        <f>IF(AND(ISNUMBER(I17),ISNUMBER(AF17)),I17-AF17,"")</f>
        <v/>
      </c>
      <c r="AZ17" s="254">
        <f>IF(AND(ISNUMBER(AM17),ISNUMBER(G17)),G17-AM17,"")</f>
        <v/>
      </c>
      <c r="BA17" s="254">
        <f>IF(AND(ISNUMBER(AC17),ISNUMBER(AE17)),AC17-AE17,"")</f>
        <v/>
      </c>
      <c r="BB17" s="254">
        <f>IF(AND(ISNUMBER(AL17),ISNUMBER(AM17)),AL17-AM17,"")</f>
        <v/>
      </c>
      <c r="BC17" s="84">
        <f>IF(AND($E17&gt;0,$W17&gt;0),IF(($E17-$W17)/$E17&gt;0,($E17-$W17)/$E17,0),"")</f>
        <v/>
      </c>
      <c r="BD17" s="84">
        <f>IF(AND($I17&gt;0,$AF17&gt;=0),IF(($I17-$AF17)/$I17&gt;0,($I17-$AF17)/$I17,0),"")</f>
        <v/>
      </c>
      <c r="BE17" s="84">
        <f>IF(AND($AG17&gt;=0,$AD17&gt;=0,$AF17&gt;=0),IF($AG17/($AD17-$AF17)&gt;0,$AG17/($AD17-$AF17),0),"")</f>
        <v/>
      </c>
      <c r="BF17" s="84">
        <f>IF(AND($G17&gt;0,$AM17&gt;0),IF(($G17-$AM17)/$G17&gt;0,($G17-$AM17)/$G17,0),"")</f>
        <v/>
      </c>
      <c r="BG17" s="6">
        <f>IF((AD17-AF17)/(AJ17/60)&lt;=0,"",(AD17-AF17)/(AJ17/60))</f>
        <v/>
      </c>
      <c r="BH17" s="6">
        <f>IF(OR(AJ17=0,AP17=0,NOT(ISNUMBER(AD17)),NOT(ISNUMBER(AF17)),NOT(ISNUMBER(AJ17)),NOT(ISNUMBER(AP17))),"",
IFERROR(IF((AD17-AF17)/(AJ17/60)/(AP17/1000)&lt;=0,"",(AD17-AF17)/(AJ17/60)/(AP17/1000)),""))</f>
        <v/>
      </c>
    </row>
    <row r="18" ht="15" customHeight="1">
      <c r="B18" t="n">
        <v>-226</v>
      </c>
      <c r="D18" s="11" t="n">
        <v>45278</v>
      </c>
      <c r="F18" s="3" t="n">
        <v>13</v>
      </c>
      <c r="G18" s="205">
        <f>IF(OR(S18="",S18=0),"",S18*2)</f>
        <v/>
      </c>
      <c r="H18" s="9">
        <f>'[2]12-19-2023 '!AR71+'[2]12-19-2023 '!AR35</f>
        <v/>
      </c>
      <c r="I18" s="124">
        <f>H18*2</f>
        <v/>
      </c>
      <c r="J18" s="9" t="n">
        <v>6.71</v>
      </c>
      <c r="K18" s="15">
        <f>AD18</f>
        <v/>
      </c>
      <c r="M18" s="10">
        <f>IF(OR(E18="",G18="",E18=0,G18=0),"",E18/G18)</f>
        <v/>
      </c>
      <c r="N18" s="9">
        <f>IF(OR(E18="",I18="",E18=0,I18=0),"",E18/(I18*2))</f>
        <v/>
      </c>
      <c r="O18" s="8">
        <f>IF(OR(I18="",G18="",I18=0,G18=0),"",I18*2/G18)</f>
        <v/>
      </c>
      <c r="P18" s="7">
        <f>10*1.39</f>
        <v/>
      </c>
      <c r="U18" s="6">
        <f>'[2]12-19-2023 '!AR34+'[2]12-19-2023 '!AR70</f>
        <v/>
      </c>
      <c r="V18" s="6">
        <f>20*1.49</f>
        <v/>
      </c>
      <c r="Y18" s="6">
        <f>'[2]12-19-2023 '!AR69+'[2]12-19-2023 '!AR33</f>
        <v/>
      </c>
      <c r="Z18" s="6" t="n">
        <v>9.31</v>
      </c>
      <c r="AA18" s="6" t="n">
        <v>0.21</v>
      </c>
      <c r="AD18" s="5" t="n">
        <v>80</v>
      </c>
      <c r="AE18" s="7">
        <f>T18</f>
        <v/>
      </c>
      <c r="AF18" s="231">
        <f>2*4.71</f>
        <v/>
      </c>
      <c r="AG18" s="231">
        <f>10*1.9</f>
        <v/>
      </c>
      <c r="AH18" s="231" t="n">
        <v>1e-05</v>
      </c>
      <c r="AI18" s="204">
        <f>0.46-0.05</f>
        <v/>
      </c>
      <c r="AJ18" s="203" t="n">
        <v>0.4543981481481482</v>
      </c>
      <c r="AL18" s="231" t="n">
        <v>175</v>
      </c>
      <c r="AM18" s="3" t="n">
        <v>180</v>
      </c>
      <c r="AN18" s="4">
        <f>AE18</f>
        <v/>
      </c>
      <c r="AO18" s="231">
        <f>10*0.964</f>
        <v/>
      </c>
      <c r="AP18" s="255">
        <f>360-AK18-AB18</f>
        <v/>
      </c>
      <c r="AQ18" s="165" t="n"/>
      <c r="AR18" s="13">
        <f>AVERAGE(AO16:AO22)</f>
        <v/>
      </c>
      <c r="AS18" s="15">
        <f>IF(ISNUMBER([2]HRT_SRT!R72),[2]HRT_SRT!R72,"")</f>
        <v/>
      </c>
      <c r="AT18" s="156">
        <f>(E18-W18)/E18</f>
        <v/>
      </c>
      <c r="AU18" s="155">
        <f>(I18-AF18)/I18</f>
        <v/>
      </c>
      <c r="AV18" s="155">
        <f>AG18/(AD18-AF18)</f>
        <v/>
      </c>
      <c r="AW18" s="155">
        <f>(G18-AM18)/G18</f>
        <v/>
      </c>
      <c r="AX18" s="254">
        <f>IF(AND(ISNUMBER(E18),ISNUMBER(W18)),E18-W18,"")</f>
        <v/>
      </c>
      <c r="AY18" s="254">
        <f>IF(AND(ISNUMBER(I18),ISNUMBER(AF18)),I18-AF18,"")</f>
        <v/>
      </c>
      <c r="AZ18" s="254">
        <f>IF(AND(ISNUMBER(AM18),ISNUMBER(G18)),G18-AM18,"")</f>
        <v/>
      </c>
      <c r="BA18" s="254">
        <f>IF(AND(ISNUMBER(AC18),ISNUMBER(AE18)),AC18-AE18,"")</f>
        <v/>
      </c>
      <c r="BB18" s="254">
        <f>IF(AND(ISNUMBER(AL18),ISNUMBER(AM18)),AL18-AM18,"")</f>
        <v/>
      </c>
      <c r="BC18" s="84">
        <f>IF(AND($E18&gt;0,$W18&gt;0),IF(($E18-$W18)/$E18&gt;0,($E18-$W18)/$E18,0),"")</f>
        <v/>
      </c>
      <c r="BD18" s="84">
        <f>IF(AND($I18&gt;0,$AF18&gt;=0),IF(($I18-$AF18)/$I18&gt;0,($I18-$AF18)/$I18,0),"")</f>
        <v/>
      </c>
      <c r="BE18" s="84">
        <f>IF(AND($AG18&gt;=0,$AD18&gt;=0,$AF18&gt;=0),IF($AG18/($AD18-$AF18)&gt;0,$AG18/($AD18-$AF18),0),"")</f>
        <v/>
      </c>
      <c r="BF18" s="84">
        <f>IF(AND($G18&gt;0,$AM18&gt;0),IF(($G18-$AM18)/$G18&gt;0,($G18-$AM18)/$G18,0),"")</f>
        <v/>
      </c>
      <c r="BG18" s="6">
        <f>IF((AD18-AF18)/(AJ18/60)&lt;=0,"",(AD18-AF18)/(AJ18/60))</f>
        <v/>
      </c>
      <c r="BH18" s="6">
        <f>IF(OR(AJ18=0,AP18=0,NOT(ISNUMBER(AD18)),NOT(ISNUMBER(AF18)),NOT(ISNUMBER(AJ18)),NOT(ISNUMBER(AP18))),"",
IFERROR(IF((AD18-AF18)/(AJ18/60)/(AP18/1000)&lt;=0,"",(AD18-AF18)/(AJ18/60)/(AP18/1000)),""))</f>
        <v/>
      </c>
    </row>
    <row r="19" ht="15" customHeight="1">
      <c r="B19" t="n">
        <v>-225</v>
      </c>
      <c r="C19" s="12" t="inlineStr">
        <is>
          <t>turbid effluent</t>
        </is>
      </c>
      <c r="D19" s="167" t="n">
        <v>45279</v>
      </c>
      <c r="E19" s="166" t="n"/>
      <c r="F19" s="136" t="n">
        <v>14</v>
      </c>
      <c r="G19" s="205">
        <f>IF(OR(S19="",S19=0),"",S19*2)</f>
        <v/>
      </c>
      <c r="I19" s="9">
        <f>(N19*18-H19*18)/9</f>
        <v/>
      </c>
      <c r="J19" s="9">
        <f>'[2]12-19-2023 '!I28</f>
        <v/>
      </c>
      <c r="K19" s="15">
        <f>AD19</f>
        <v/>
      </c>
      <c r="M19" s="10">
        <f>IF(OR(E19="",G19="",E19=0,G19=0),"",E19/G19)</f>
        <v/>
      </c>
      <c r="N19" s="9">
        <f>IF(OR(E19="",I19="",E19=0,I19=0),"",E19/(I19*2))</f>
        <v/>
      </c>
      <c r="O19" s="8">
        <f>IF(OR(I19="",G19="",I19=0,G19=0),"",I19*2/G19)</f>
        <v/>
      </c>
      <c r="P19" s="6">
        <f>'[2]12-19-2023 '!I6</f>
        <v/>
      </c>
      <c r="U19" s="6">
        <f>'[2]12-19-2023 '!Q6</f>
        <v/>
      </c>
      <c r="V19" s="6">
        <f>'[2]12-19-2023 '!I12</f>
        <v/>
      </c>
      <c r="Y19" s="6">
        <f>'[2]12-19-2023 '!Q12</f>
        <v/>
      </c>
      <c r="Z19" s="6" t="n">
        <v>8.16</v>
      </c>
      <c r="AD19" s="5" t="n">
        <v>80</v>
      </c>
      <c r="AE19" s="6">
        <f>T19</f>
        <v/>
      </c>
      <c r="AF19" s="231">
        <f>'[2]12-19-2023 '!G13</f>
        <v/>
      </c>
      <c r="AG19" s="231">
        <f>'[2]12-19-2023 '!I21</f>
        <v/>
      </c>
      <c r="AH19" s="231">
        <f>'[2]12-19-2023 '!G21</f>
        <v/>
      </c>
      <c r="AI19" s="231">
        <f>1.49-0.05</f>
        <v/>
      </c>
      <c r="AJ19" s="203" t="n">
        <v>0.4868055555555555</v>
      </c>
      <c r="AL19" s="231" t="n">
        <v>175</v>
      </c>
      <c r="AM19" s="3" t="n">
        <v>180</v>
      </c>
      <c r="AN19" s="231">
        <f>AE19</f>
        <v/>
      </c>
      <c r="AO19" s="6">
        <f>'[2]12-19-2023 '!I27</f>
        <v/>
      </c>
      <c r="AP19" s="255">
        <f>360-AK19-AB19</f>
        <v/>
      </c>
      <c r="AQ19" s="165">
        <f>[2]TSS_VSS!H71</f>
        <v/>
      </c>
      <c r="AR19" s="13">
        <f>AVERAGE(AO17:AO23)</f>
        <v/>
      </c>
      <c r="AS19" s="15">
        <f>IF(ISNUMBER([2]HRT_SRT!R73),[2]HRT_SRT!R73,"")</f>
        <v/>
      </c>
      <c r="AT19" s="156">
        <f>(E19-W19)/E19</f>
        <v/>
      </c>
      <c r="AU19" s="155">
        <f>(I19-AF19)/I19</f>
        <v/>
      </c>
      <c r="AV19" s="155">
        <f>AG19/(AD19-AF19)</f>
        <v/>
      </c>
      <c r="AW19" s="155">
        <f>(G19-AM19)/G19</f>
        <v/>
      </c>
      <c r="AX19" s="254">
        <f>IF(AND(ISNUMBER(E19),ISNUMBER(W19)),E19-W19,"")</f>
        <v/>
      </c>
      <c r="AY19" s="254">
        <f>IF(AND(ISNUMBER(I19),ISNUMBER(AF19)),I19-AF19,"")</f>
        <v/>
      </c>
      <c r="AZ19" s="254">
        <f>IF(AND(ISNUMBER(AM19),ISNUMBER(G19)),G19-AM19,"")</f>
        <v/>
      </c>
      <c r="BA19" s="254">
        <f>IF(AND(ISNUMBER(AC19),ISNUMBER(AE19)),AC19-AE19,"")</f>
        <v/>
      </c>
      <c r="BB19" s="254">
        <f>IF(AND(ISNUMBER(AL19),ISNUMBER(AM19)),AL19-AM19,"")</f>
        <v/>
      </c>
      <c r="BC19" s="84">
        <f>IF(AND($E19&gt;0,$W19&gt;0),IF(($E19-$W19)/$E19&gt;0,($E19-$W19)/$E19,0),"")</f>
        <v/>
      </c>
      <c r="BD19" s="84">
        <f>IF(AND($I19&gt;0,$AF19&gt;=0),IF(($I19-$AF19)/$I19&gt;0,($I19-$AF19)/$I19,0),"")</f>
        <v/>
      </c>
      <c r="BE19" s="84">
        <f>IF(AND($AG19&gt;=0,$AD19&gt;=0,$AF19&gt;=0),IF($AG19/($AD19-$AF19)&gt;0,$AG19/($AD19-$AF19),0),"")</f>
        <v/>
      </c>
      <c r="BF19" s="84">
        <f>IF(AND($G19&gt;0,$AM19&gt;0),IF(($G19-$AM19)/$G19&gt;0,($G19-$AM19)/$G19,0),"")</f>
        <v/>
      </c>
      <c r="BG19" s="6">
        <f>IF((AD19-AF19)/(AJ19/60)&lt;=0,"",(AD19-AF19)/(AJ19/60))</f>
        <v/>
      </c>
      <c r="BH19" s="6">
        <f>IF(OR(AJ19=0,AP19=0,NOT(ISNUMBER(AD19)),NOT(ISNUMBER(AF19)),NOT(ISNUMBER(AJ19)),NOT(ISNUMBER(AP19))),"",
IFERROR(IF((AD19-AF19)/(AJ19/60)/(AP19/1000)&lt;=0,"",(AD19-AF19)/(AJ19/60)/(AP19/1000)),""))</f>
        <v/>
      </c>
    </row>
    <row r="20" ht="15" customHeight="1">
      <c r="B20" t="n">
        <v>-224</v>
      </c>
      <c r="D20" s="11" t="n">
        <v>45280</v>
      </c>
      <c r="F20" s="3" t="n">
        <v>15</v>
      </c>
      <c r="G20" s="205">
        <f>IF(OR(S20="",S20=0),"",S20*2)</f>
        <v/>
      </c>
      <c r="K20" s="15" t="n"/>
      <c r="M20" s="10">
        <f>IF(OR(E20="",G20="",E20=0,G20=0),"",E20/G20)</f>
        <v/>
      </c>
      <c r="N20" s="9">
        <f>IF(OR(E20="",I20="",E20=0,I20=0),"",E20/(I20*2))</f>
        <v/>
      </c>
      <c r="O20" s="8">
        <f>IF(OR(I20="",G20="",I20=0,G20=0),"",I20*2/G20)</f>
        <v/>
      </c>
      <c r="Z20" s="6" t="n">
        <v>8.32</v>
      </c>
      <c r="AD20" s="5" t="n">
        <v>80</v>
      </c>
      <c r="AH20" s="6" t="n"/>
      <c r="AI20" s="204" t="n">
        <v>1.23</v>
      </c>
      <c r="AJ20" s="203" t="n">
        <v>0.4744212962962963</v>
      </c>
      <c r="AL20" s="231" t="n">
        <v>175</v>
      </c>
      <c r="AM20" s="3" t="n">
        <v>180</v>
      </c>
      <c r="AP20" s="255">
        <f>360-AK20-AB20</f>
        <v/>
      </c>
      <c r="AQ20" s="165" t="n"/>
      <c r="AR20" s="13">
        <f>AVERAGE(AO18:AO24)</f>
        <v/>
      </c>
      <c r="AS20" s="15">
        <f>IF(ISNUMBER([2]HRT_SRT!R74),[2]HRT_SRT!R74,"")</f>
        <v/>
      </c>
      <c r="AT20" s="156">
        <f>(E20-W20)/E20</f>
        <v/>
      </c>
      <c r="AU20" s="155">
        <f>(I20-AF20)/I20</f>
        <v/>
      </c>
      <c r="AV20" s="155">
        <f>AG20/(AD20-AF20)</f>
        <v/>
      </c>
      <c r="AW20" s="155">
        <f>(G20-AM20)/G20</f>
        <v/>
      </c>
      <c r="AX20" s="254">
        <f>IF(AND(ISNUMBER(E20),ISNUMBER(W20)),E20-W20,"")</f>
        <v/>
      </c>
      <c r="AY20" s="254">
        <f>IF(AND(ISNUMBER(I20),ISNUMBER(AF20)),I20-AF20,"")</f>
        <v/>
      </c>
      <c r="AZ20" s="254">
        <f>IF(AND(ISNUMBER(AM20),ISNUMBER(G20)),G20-AM20,"")</f>
        <v/>
      </c>
      <c r="BA20" s="254">
        <f>IF(AND(ISNUMBER(AC20),ISNUMBER(AE20)),AC20-AE20,"")</f>
        <v/>
      </c>
      <c r="BB20" s="254">
        <f>IF(AND(ISNUMBER(AL20),ISNUMBER(AM20)),AL20-AM20,"")</f>
        <v/>
      </c>
      <c r="BC20" s="84">
        <f>IF(AND($E20&gt;0,$W20&gt;0),IF(($E20-$W20)/$E20&gt;0,($E20-$W20)/$E20,0),"")</f>
        <v/>
      </c>
      <c r="BD20" s="84">
        <f>IF(AND($I20&gt;0,$AF20&gt;=0),IF(($I20-$AF20)/$I20&gt;0,($I20-$AF20)/$I20,0),"")</f>
        <v/>
      </c>
      <c r="BE20" s="84">
        <f>IF(AND($AG20&gt;=0,$AD20&gt;=0,$AF20&gt;=0),IF($AG20/($AD20-$AF20)&gt;0,$AG20/($AD20-$AF20),0),"")</f>
        <v/>
      </c>
      <c r="BF20" s="84">
        <f>IF(AND($G20&gt;0,$AM20&gt;0),IF(($G20-$AM20)/$G20&gt;0,($G20-$AM20)/$G20,0),"")</f>
        <v/>
      </c>
      <c r="BG20" s="6">
        <f>IF((AD20-AF20)/(AJ20/60)&lt;=0,"",(AD20-AF20)/(AJ20/60))</f>
        <v/>
      </c>
      <c r="BH20" s="6">
        <f>IF(OR(AJ20=0,AP20=0,NOT(ISNUMBER(AD20)),NOT(ISNUMBER(AF20)),NOT(ISNUMBER(AJ20)),NOT(ISNUMBER(AP20))),"",
IFERROR(IF((AD20-AF20)/(AJ20/60)/(AP20/1000)&lt;=0,"",(AD20-AF20)/(AJ20/60)/(AP20/1000)),""))</f>
        <v/>
      </c>
    </row>
    <row r="21" ht="15" customHeight="1">
      <c r="B21" t="n">
        <v>-223</v>
      </c>
      <c r="D21" s="11" t="n">
        <v>45281</v>
      </c>
      <c r="F21" s="3" t="n">
        <v>16</v>
      </c>
      <c r="G21" s="205">
        <f>IF(OR(S21="",S21=0),"",S21*2)</f>
        <v/>
      </c>
      <c r="I21" s="9">
        <f>(N21*18-H21*17)/9</f>
        <v/>
      </c>
      <c r="J21" s="9">
        <f>10*0.861</f>
        <v/>
      </c>
      <c r="K21" s="15">
        <f>AD21</f>
        <v/>
      </c>
      <c r="M21" s="10">
        <f>IF(OR(E21="",G21="",E21=0,G21=0),"",E21/G21)</f>
        <v/>
      </c>
      <c r="N21" s="9">
        <f>IF(OR(E21="",I21="",E21=0,I21=0),"",E21/(I21*2))</f>
        <v/>
      </c>
      <c r="O21" s="8">
        <f>IF(OR(I21="",G21="",I21=0,G21=0),"",I21*2/G21)</f>
        <v/>
      </c>
      <c r="P21" s="7" t="n">
        <v>16.8</v>
      </c>
      <c r="U21" s="6">
        <f>82.604+18.784</f>
        <v/>
      </c>
      <c r="V21" s="6">
        <f>20*1.84</f>
        <v/>
      </c>
      <c r="Y21" s="6" t="n">
        <v>1.057</v>
      </c>
      <c r="Z21" s="6" t="n">
        <v>7.18</v>
      </c>
      <c r="AD21" s="5" t="n">
        <v>80</v>
      </c>
      <c r="AE21" s="7">
        <f>T21</f>
        <v/>
      </c>
      <c r="AF21" s="231">
        <f>2.7*5</f>
        <v/>
      </c>
      <c r="AG21" s="231">
        <f>10*2.38</f>
        <v/>
      </c>
      <c r="AH21" s="6" t="n">
        <v>0.635</v>
      </c>
      <c r="AI21" s="204" t="n">
        <v>1.84</v>
      </c>
      <c r="AJ21" s="203" t="n">
        <v>0.4866898148148148</v>
      </c>
      <c r="AL21" s="231" t="n">
        <v>175</v>
      </c>
      <c r="AM21" s="3" t="n">
        <v>180</v>
      </c>
      <c r="AN21" s="4">
        <f>AE21</f>
        <v/>
      </c>
      <c r="AO21" s="231">
        <f>10*1.27</f>
        <v/>
      </c>
      <c r="AP21" s="255">
        <f>360-AK21-AB21</f>
        <v/>
      </c>
      <c r="AQ21" s="165" t="n"/>
      <c r="AR21" s="13">
        <f>AVERAGE(AO19:AO25)</f>
        <v/>
      </c>
      <c r="AS21" s="15">
        <f>IF(ISNUMBER([2]HRT_SRT!R75),[2]HRT_SRT!R75,"")</f>
        <v/>
      </c>
      <c r="AT21" s="156">
        <f>(E21-W21)/E21</f>
        <v/>
      </c>
      <c r="AU21" s="155">
        <f>(I21-AF21)/I21</f>
        <v/>
      </c>
      <c r="AV21" s="155">
        <f>AG21/(AD21-AF21)</f>
        <v/>
      </c>
      <c r="AW21" s="155">
        <f>(G21-AM21)/G21</f>
        <v/>
      </c>
      <c r="AX21" s="254">
        <f>IF(AND(ISNUMBER(E21),ISNUMBER(W21)),E21-W21,"")</f>
        <v/>
      </c>
      <c r="AY21" s="254">
        <f>IF(AND(ISNUMBER(I21),ISNUMBER(AF21)),I21-AF21,"")</f>
        <v/>
      </c>
      <c r="AZ21" s="254">
        <f>IF(AND(ISNUMBER(AM21),ISNUMBER(G21)),G21-AM21,"")</f>
        <v/>
      </c>
      <c r="BA21" s="254">
        <f>IF(AND(ISNUMBER(AC21),ISNUMBER(AE21)),AC21-AE21,"")</f>
        <v/>
      </c>
      <c r="BB21" s="254">
        <f>IF(AND(ISNUMBER(AL21),ISNUMBER(AM21)),AL21-AM21,"")</f>
        <v/>
      </c>
      <c r="BC21" s="84">
        <f>IF(AND($E21&gt;0,$W21&gt;0),IF(($E21-$W21)/$E21&gt;0,($E21-$W21)/$E21,0),"")</f>
        <v/>
      </c>
      <c r="BD21" s="84">
        <f>IF(AND($I21&gt;0,$AF21&gt;=0),IF(($I21-$AF21)/$I21&gt;0,($I21-$AF21)/$I21,0),"")</f>
        <v/>
      </c>
      <c r="BE21" s="84">
        <f>IF(AND($AG21&gt;=0,$AD21&gt;=0,$AF21&gt;=0),IF($AG21/($AD21-$AF21)&gt;0,$AG21/($AD21-$AF21),0),"")</f>
        <v/>
      </c>
      <c r="BF21" s="84">
        <f>IF(AND($G21&gt;0,$AM21&gt;0),IF(($G21-$AM21)/$G21&gt;0,($G21-$AM21)/$G21,0),"")</f>
        <v/>
      </c>
      <c r="BG21" s="6">
        <f>IF((AD21-AF21)/(AJ21/60)&lt;=0,"",(AD21-AF21)/(AJ21/60))</f>
        <v/>
      </c>
      <c r="BH21" s="6">
        <f>IF(OR(AJ21=0,AP21=0,NOT(ISNUMBER(AD21)),NOT(ISNUMBER(AF21)),NOT(ISNUMBER(AJ21)),NOT(ISNUMBER(AP21))),"",
IFERROR(IF((AD21-AF21)/(AJ21/60)/(AP21/1000)&lt;=0,"",(AD21-AF21)/(AJ21/60)/(AP21/1000)),""))</f>
        <v/>
      </c>
    </row>
    <row r="22" ht="15" customHeight="1">
      <c r="B22" t="n">
        <v>-222</v>
      </c>
      <c r="D22" s="11" t="n">
        <v>45282</v>
      </c>
      <c r="F22" s="3" t="n">
        <v>17</v>
      </c>
      <c r="G22" s="205">
        <f>IF(OR(S22="",S22=0),"",S22*2)</f>
        <v/>
      </c>
      <c r="H22" s="9">
        <f>100.299+23.956</f>
        <v/>
      </c>
      <c r="I22" s="9">
        <f>(N22*18-H22*18)/9</f>
        <v/>
      </c>
      <c r="J22" s="9">
        <f>10*0.818</f>
        <v/>
      </c>
      <c r="K22" s="15">
        <f>AD22</f>
        <v/>
      </c>
      <c r="M22" s="10">
        <f>IF(OR(E22="",G22="",E22=0,G22=0),"",E22/G22)</f>
        <v/>
      </c>
      <c r="N22" s="9">
        <f>IF(OR(E22="",I22="",E22=0,I22=0),"",E22/(I22*2))</f>
        <v/>
      </c>
      <c r="O22" s="8">
        <f>IF(OR(I22="",G22="",I22=0,G22=0),"",I22*2/G22)</f>
        <v/>
      </c>
      <c r="P22" s="7">
        <f>10*1.73</f>
        <v/>
      </c>
      <c r="U22" s="6">
        <f>19.014+91.486</f>
        <v/>
      </c>
      <c r="V22" s="6">
        <f>20*2</f>
        <v/>
      </c>
      <c r="Y22" s="6" t="n">
        <v>1.047</v>
      </c>
      <c r="Z22" s="6" t="n">
        <v>4.54</v>
      </c>
      <c r="AD22" s="5" t="n">
        <v>80</v>
      </c>
      <c r="AE22" s="7">
        <f>T22</f>
        <v/>
      </c>
      <c r="AF22" s="231">
        <f>5*3.27</f>
        <v/>
      </c>
      <c r="AG22" s="231">
        <f>10*2.4</f>
        <v/>
      </c>
      <c r="AH22" s="231">
        <f>3.63</f>
        <v/>
      </c>
      <c r="AI22" s="204" t="n">
        <v>2.45</v>
      </c>
      <c r="AJ22" s="203" t="n">
        <v>0.4994212962962963</v>
      </c>
      <c r="AL22" s="231" t="n">
        <v>175</v>
      </c>
      <c r="AM22" s="3" t="n">
        <v>180</v>
      </c>
      <c r="AN22" s="4">
        <f>AE22</f>
        <v/>
      </c>
      <c r="AO22" s="231">
        <f>10*1.43</f>
        <v/>
      </c>
      <c r="AP22" s="255">
        <f>360-AK22-AB22</f>
        <v/>
      </c>
      <c r="AQ22" s="165" t="n"/>
      <c r="AR22" s="13">
        <f>AVERAGE(AO20:AO26)</f>
        <v/>
      </c>
      <c r="AS22" s="15">
        <f>IF(ISNUMBER([2]HRT_SRT!R76),[2]HRT_SRT!R76,"")</f>
        <v/>
      </c>
      <c r="AT22" s="156">
        <f>(E22-W22)/E22</f>
        <v/>
      </c>
      <c r="AU22" s="155">
        <f>(I22-AF22)/I22</f>
        <v/>
      </c>
      <c r="AV22" s="155">
        <f>AG22/(AD22-AF22)</f>
        <v/>
      </c>
      <c r="AW22" s="155">
        <f>(G22-AM22)/G22</f>
        <v/>
      </c>
      <c r="AX22" s="254">
        <f>IF(AND(ISNUMBER(E22),ISNUMBER(W22)),E22-W22,"")</f>
        <v/>
      </c>
      <c r="AY22" s="254">
        <f>IF(AND(ISNUMBER(I22),ISNUMBER(AF22)),I22-AF22,"")</f>
        <v/>
      </c>
      <c r="AZ22" s="254">
        <f>IF(AND(ISNUMBER(AM22),ISNUMBER(G22)),G22-AM22,"")</f>
        <v/>
      </c>
      <c r="BA22" s="254">
        <f>IF(AND(ISNUMBER(AC22),ISNUMBER(AE22)),AC22-AE22,"")</f>
        <v/>
      </c>
      <c r="BB22" s="254">
        <f>IF(AND(ISNUMBER(AL22),ISNUMBER(AM22)),AL22-AM22,"")</f>
        <v/>
      </c>
      <c r="BC22" s="84">
        <f>IF(AND($E22&gt;0,$W22&gt;0),IF(($E22-$W22)/$E22&gt;0,($E22-$W22)/$E22,0),"")</f>
        <v/>
      </c>
      <c r="BD22" s="84">
        <f>IF(AND($I22&gt;0,$AF22&gt;=0),IF(($I22-$AF22)/$I22&gt;0,($I22-$AF22)/$I22,0),"")</f>
        <v/>
      </c>
      <c r="BE22" s="84">
        <f>IF(AND($AG22&gt;=0,$AD22&gt;=0,$AF22&gt;=0),IF($AG22/($AD22-$AF22)&gt;0,$AG22/($AD22-$AF22),0),"")</f>
        <v/>
      </c>
      <c r="BF22" s="84">
        <f>IF(AND($G22&gt;0,$AM22&gt;0),IF(($G22-$AM22)/$G22&gt;0,($G22-$AM22)/$G22,0),"")</f>
        <v/>
      </c>
      <c r="BG22" s="6">
        <f>IF((AD22-AF22)/(AJ22/60)&lt;=0,"",(AD22-AF22)/(AJ22/60))</f>
        <v/>
      </c>
      <c r="BH22" s="6">
        <f>IF(OR(AJ22=0,AP22=0,NOT(ISNUMBER(AD22)),NOT(ISNUMBER(AF22)),NOT(ISNUMBER(AJ22)),NOT(ISNUMBER(AP22))),"",
IFERROR(IF((AD22-AF22)/(AJ22/60)/(AP22/1000)&lt;=0,"",(AD22-AF22)/(AJ22/60)/(AP22/1000)),""))</f>
        <v/>
      </c>
    </row>
    <row r="23" ht="15" customHeight="1">
      <c r="B23" t="n">
        <v>-221</v>
      </c>
      <c r="D23" s="11" t="n">
        <v>45283</v>
      </c>
      <c r="F23" s="3" t="n">
        <v>18</v>
      </c>
      <c r="G23" s="205">
        <f>IF(OR(S23="",S23=0),"",S23*2)</f>
        <v/>
      </c>
      <c r="I23" s="198">
        <f>(G25-G22)/3+G22</f>
        <v/>
      </c>
      <c r="K23" s="15">
        <f>AD23</f>
        <v/>
      </c>
      <c r="M23" s="10">
        <f>IF(OR(E23="",G23="",E23=0,G23=0),"",E23/G23)</f>
        <v/>
      </c>
      <c r="N23" s="9">
        <f>IF(OR(E23="",I23="",E23=0,I23=0),"",E23/(I23*2))</f>
        <v/>
      </c>
      <c r="O23" s="8">
        <f>IF(OR(I23="",G23="",I23=0,G23=0),"",I23*2/G23)</f>
        <v/>
      </c>
      <c r="AD23" s="5" t="n">
        <v>80</v>
      </c>
      <c r="AE23" s="7" t="n"/>
      <c r="AF23" s="188">
        <f>(AD25-AD22)/3+AD22</f>
        <v/>
      </c>
      <c r="AI23" s="204" t="n">
        <v>2.41</v>
      </c>
      <c r="AJ23" s="203" t="n">
        <v>0.5086805555555556</v>
      </c>
      <c r="AL23" s="231" t="n">
        <v>175</v>
      </c>
      <c r="AM23" s="3" t="n">
        <v>180</v>
      </c>
      <c r="AP23" s="255">
        <f>360-AK23-AB23</f>
        <v/>
      </c>
      <c r="AQ23" s="165" t="n"/>
      <c r="AR23" s="13">
        <f>AVERAGE(AO21:AO27)</f>
        <v/>
      </c>
      <c r="AS23" s="15">
        <f>IF(ISNUMBER([2]HRT_SRT!R77),[2]HRT_SRT!R77,"")</f>
        <v/>
      </c>
      <c r="AT23" s="156">
        <f>(E23-W23)/E23</f>
        <v/>
      </c>
      <c r="AU23" s="155">
        <f>(I23-AF23)/I23</f>
        <v/>
      </c>
      <c r="AV23" s="155">
        <f>AG23/(AD23-AF23)</f>
        <v/>
      </c>
      <c r="AW23" s="155">
        <f>(G23-AM23)/G23</f>
        <v/>
      </c>
      <c r="AX23" s="254">
        <f>IF(AND(ISNUMBER(E23),ISNUMBER(W23)),E23-W23,"")</f>
        <v/>
      </c>
      <c r="AY23" s="254">
        <f>IF(AND(ISNUMBER(I23),ISNUMBER(AF23)),I23-AF23,"")</f>
        <v/>
      </c>
      <c r="AZ23" s="254">
        <f>IF(AND(ISNUMBER(AM23),ISNUMBER(G23)),G23-AM23,"")</f>
        <v/>
      </c>
      <c r="BA23" s="254">
        <f>IF(AND(ISNUMBER(AC23),ISNUMBER(AE23)),AC23-AE23,"")</f>
        <v/>
      </c>
      <c r="BB23" s="254">
        <f>IF(AND(ISNUMBER(AL23),ISNUMBER(AM23)),AL23-AM23,"")</f>
        <v/>
      </c>
      <c r="BC23" s="84">
        <f>IF(AND($E23&gt;0,$W23&gt;0),IF(($E23-$W23)/$E23&gt;0,($E23-$W23)/$E23,0),"")</f>
        <v/>
      </c>
      <c r="BD23" s="84">
        <f>IF(AND($I23&gt;0,$AF23&gt;=0),IF(($I23-$AF23)/$I23&gt;0,($I23-$AF23)/$I23,0),"")</f>
        <v/>
      </c>
      <c r="BE23" s="84">
        <f>IF(AND($AG23&gt;=0,$AD23&gt;=0,$AF23&gt;=0),IF($AG23/($AD23-$AF23)&gt;0,$AG23/($AD23-$AF23),0),"")</f>
        <v/>
      </c>
      <c r="BF23" s="84">
        <f>IF(AND($G23&gt;0,$AM23&gt;0),IF(($G23-$AM23)/$G23&gt;0,($G23-$AM23)/$G23,0),"")</f>
        <v/>
      </c>
      <c r="BG23" s="6">
        <f>IF((AD23-AF23)/(AJ23/60)&lt;=0,"",(AD23-AF23)/(AJ23/60))</f>
        <v/>
      </c>
      <c r="BH23" s="6">
        <f>IF(OR(AJ23=0,AP23=0,NOT(ISNUMBER(AD23)),NOT(ISNUMBER(AF23)),NOT(ISNUMBER(AJ23)),NOT(ISNUMBER(AP23))),"",
IFERROR(IF((AD23-AF23)/(AJ23/60)/(AP23/1000)&lt;=0,"",(AD23-AF23)/(AJ23/60)/(AP23/1000)),""))</f>
        <v/>
      </c>
    </row>
    <row r="24" ht="15" customHeight="1">
      <c r="B24" t="n">
        <v>-220</v>
      </c>
      <c r="D24" s="11" t="n">
        <v>45284</v>
      </c>
      <c r="F24" s="3" t="n">
        <v>19</v>
      </c>
      <c r="G24" s="205">
        <f>IF(OR(S24="",S24=0),"",S24*2)</f>
        <v/>
      </c>
      <c r="I24" s="198">
        <f>(G25-G23)/3+G23</f>
        <v/>
      </c>
      <c r="K24" s="15">
        <f>AD24</f>
        <v/>
      </c>
      <c r="M24" s="10">
        <f>IF(OR(E24="",G24="",E24=0,G24=0),"",E24/G24)</f>
        <v/>
      </c>
      <c r="N24" s="9">
        <f>IF(OR(E24="",I24="",E24=0,I24=0),"",E24/(I24*2))</f>
        <v/>
      </c>
      <c r="O24" s="8">
        <f>IF(OR(I24="",G24="",I24=0,G24=0),"",I24*2/G24)</f>
        <v/>
      </c>
      <c r="AD24" s="5" t="n">
        <v>80</v>
      </c>
      <c r="AE24" s="7" t="n"/>
      <c r="AF24" s="188">
        <f>(AD25-AD23)/3+AD23</f>
        <v/>
      </c>
      <c r="AG24" s="231">
        <f>10*2.79</f>
        <v/>
      </c>
      <c r="AH24" s="231" t="n">
        <v>3.31</v>
      </c>
      <c r="AI24" s="204" t="n">
        <v>2.31</v>
      </c>
      <c r="AJ24" s="203" t="n">
        <v>0.4966435185185185</v>
      </c>
      <c r="AL24" s="231" t="n">
        <v>175</v>
      </c>
      <c r="AM24" s="3" t="n">
        <v>180</v>
      </c>
      <c r="AN24" s="4">
        <f>AE24</f>
        <v/>
      </c>
      <c r="AO24" s="231">
        <f>5*3.31</f>
        <v/>
      </c>
      <c r="AP24" s="255">
        <f>360-AK24-AB24</f>
        <v/>
      </c>
      <c r="AQ24" s="165" t="n"/>
      <c r="AR24" s="13">
        <f>AVERAGE(AO22:AO28)</f>
        <v/>
      </c>
      <c r="AS24" s="15">
        <f>IF(ISNUMBER([2]HRT_SRT!R78),[2]HRT_SRT!R78,"")</f>
        <v/>
      </c>
      <c r="AT24" s="156">
        <f>(E24-W24)/E24</f>
        <v/>
      </c>
      <c r="AU24" s="155">
        <f>(I24-AF24)/I24</f>
        <v/>
      </c>
      <c r="AV24" s="155">
        <f>AG24/(AD24-AF24)</f>
        <v/>
      </c>
      <c r="AW24" s="155">
        <f>(G24-AM24)/G24</f>
        <v/>
      </c>
      <c r="AX24" s="254">
        <f>IF(AND(ISNUMBER(E24),ISNUMBER(W24)),E24-W24,"")</f>
        <v/>
      </c>
      <c r="AY24" s="254">
        <f>IF(AND(ISNUMBER(I24),ISNUMBER(AF24)),I24-AF24,"")</f>
        <v/>
      </c>
      <c r="AZ24" s="254">
        <f>IF(AND(ISNUMBER(AM24),ISNUMBER(G24)),G24-AM24,"")</f>
        <v/>
      </c>
      <c r="BA24" s="254">
        <f>IF(AND(ISNUMBER(AC24),ISNUMBER(AE24)),AC24-AE24,"")</f>
        <v/>
      </c>
      <c r="BB24" s="254">
        <f>IF(AND(ISNUMBER(AL24),ISNUMBER(AM24)),AL24-AM24,"")</f>
        <v/>
      </c>
      <c r="BC24" s="84">
        <f>IF(AND($E24&gt;0,$W24&gt;0),IF(($E24-$W24)/$E24&gt;0,($E24-$W24)/$E24,0),"")</f>
        <v/>
      </c>
      <c r="BD24" s="84">
        <f>IF(AND($I24&gt;0,$AF24&gt;=0),IF(($I24-$AF24)/$I24&gt;0,($I24-$AF24)/$I24,0),"")</f>
        <v/>
      </c>
      <c r="BE24" s="84">
        <f>IF(AND($AG24&gt;=0,$AD24&gt;=0,$AF24&gt;=0),IF($AG24/($AD24-$AF24)&gt;0,$AG24/($AD24-$AF24),0),"")</f>
        <v/>
      </c>
      <c r="BF24" s="84">
        <f>IF(AND($G24&gt;0,$AM24&gt;0),IF(($G24-$AM24)/$G24&gt;0,($G24-$AM24)/$G24,0),"")</f>
        <v/>
      </c>
      <c r="BG24" s="6">
        <f>IF((AD24-AF24)/(AJ24/60)&lt;=0,"",(AD24-AF24)/(AJ24/60))</f>
        <v/>
      </c>
      <c r="BH24" s="6">
        <f>IF(OR(AJ24=0,AP24=0,NOT(ISNUMBER(AD24)),NOT(ISNUMBER(AF24)),NOT(ISNUMBER(AJ24)),NOT(ISNUMBER(AP24))),"",
IFERROR(IF((AD24-AF24)/(AJ24/60)/(AP24/1000)&lt;=0,"",(AD24-AF24)/(AJ24/60)/(AP24/1000)),""))</f>
        <v/>
      </c>
    </row>
    <row r="25" ht="15" customHeight="1">
      <c r="B25" t="n">
        <v>-219</v>
      </c>
      <c r="D25" s="11" t="n">
        <v>45285</v>
      </c>
      <c r="F25" s="3" t="n">
        <v>20</v>
      </c>
      <c r="G25" s="205">
        <f>IF(OR(S25="",S25=0),"",S25*2)</f>
        <v/>
      </c>
      <c r="I25" s="9">
        <f>(N25*18-H25*18)/9</f>
        <v/>
      </c>
      <c r="J25" s="9">
        <f>10*1.05</f>
        <v/>
      </c>
      <c r="K25" s="15">
        <f>AD25</f>
        <v/>
      </c>
      <c r="M25" s="10">
        <f>IF(OR(E25="",G25="",E25=0,G25=0),"",E25/G25)</f>
        <v/>
      </c>
      <c r="N25" s="9">
        <f>IF(OR(E25="",I25="",E25=0,I25=0),"",E25/(I25*2))</f>
        <v/>
      </c>
      <c r="O25" s="8">
        <f>IF(OR(I25="",G25="",I25=0,G25=0),"",I25*2/G25)</f>
        <v/>
      </c>
      <c r="P25" s="7">
        <f>10*2.07</f>
        <v/>
      </c>
      <c r="U25" s="6">
        <f>96.787+21.012</f>
        <v/>
      </c>
      <c r="V25" s="6">
        <f>20*2.31</f>
        <v/>
      </c>
      <c r="Y25" s="6">
        <f>0</f>
        <v/>
      </c>
      <c r="Z25" s="6" t="n">
        <v>5.25</v>
      </c>
      <c r="AD25" s="5" t="n">
        <v>80</v>
      </c>
      <c r="AE25" s="7">
        <f>T25</f>
        <v/>
      </c>
      <c r="AF25" s="231">
        <f>5*3.79</f>
        <v/>
      </c>
      <c r="AG25" s="231">
        <f>10*3.11</f>
        <v/>
      </c>
      <c r="AH25" s="231">
        <f>2.22</f>
        <v/>
      </c>
      <c r="AI25" s="204" t="n">
        <v>2.05</v>
      </c>
      <c r="AJ25" s="203" t="n">
        <v>0.4954861111111111</v>
      </c>
      <c r="AL25" s="231" t="n">
        <v>175</v>
      </c>
      <c r="AM25" s="3" t="n">
        <v>180</v>
      </c>
      <c r="AN25" s="4">
        <f>AE25</f>
        <v/>
      </c>
      <c r="AO25" s="231">
        <f>10*1.71</f>
        <v/>
      </c>
      <c r="AP25" s="255">
        <f>360-AK25-AB25</f>
        <v/>
      </c>
      <c r="AQ25" s="165" t="n"/>
      <c r="AR25" s="13">
        <f>AVERAGE(AO23:AO29)</f>
        <v/>
      </c>
      <c r="AS25" s="15">
        <f>IF(ISNUMBER([2]HRT_SRT!R79),[2]HRT_SRT!R79,"")</f>
        <v/>
      </c>
      <c r="AT25" s="156">
        <f>(E25-W25)/E25</f>
        <v/>
      </c>
      <c r="AU25" s="155">
        <f>(I25-AF25)/I25</f>
        <v/>
      </c>
      <c r="AV25" s="155">
        <f>AG25/(AD25-AF25)</f>
        <v/>
      </c>
      <c r="AW25" s="155">
        <f>(G25-AM25)/G25</f>
        <v/>
      </c>
      <c r="AX25" s="254">
        <f>IF(AND(ISNUMBER(E25),ISNUMBER(W25)),E25-W25,"")</f>
        <v/>
      </c>
      <c r="AY25" s="254">
        <f>IF(AND(ISNUMBER(I25),ISNUMBER(AF25)),I25-AF25,"")</f>
        <v/>
      </c>
      <c r="AZ25" s="254">
        <f>IF(AND(ISNUMBER(AM25),ISNUMBER(G25)),G25-AM25,"")</f>
        <v/>
      </c>
      <c r="BA25" s="254">
        <f>IF(AND(ISNUMBER(AC25),ISNUMBER(AE25)),AC25-AE25,"")</f>
        <v/>
      </c>
      <c r="BB25" s="254">
        <f>IF(AND(ISNUMBER(AL25),ISNUMBER(AM25)),AL25-AM25,"")</f>
        <v/>
      </c>
      <c r="BC25" s="84">
        <f>IF(AND($E25&gt;0,$W25&gt;0),IF(($E25-$W25)/$E25&gt;0,($E25-$W25)/$E25,0),"")</f>
        <v/>
      </c>
      <c r="BD25" s="84">
        <f>IF(AND($I25&gt;0,$AF25&gt;=0),IF(($I25-$AF25)/$I25&gt;0,($I25-$AF25)/$I25,0),"")</f>
        <v/>
      </c>
      <c r="BE25" s="84">
        <f>IF(AND($AG25&gt;=0,$AD25&gt;=0,$AF25&gt;=0),IF($AG25/($AD25-$AF25)&gt;0,$AG25/($AD25-$AF25),0),"")</f>
        <v/>
      </c>
      <c r="BF25" s="84">
        <f>IF(AND($G25&gt;0,$AM25&gt;0),IF(($G25-$AM25)/$G25&gt;0,($G25-$AM25)/$G25,0),"")</f>
        <v/>
      </c>
      <c r="BG25" s="6">
        <f>IF((AD25-AF25)/(AJ25/60)&lt;=0,"",(AD25-AF25)/(AJ25/60))</f>
        <v/>
      </c>
      <c r="BH25" s="6">
        <f>IF(OR(AJ25=0,AP25=0,NOT(ISNUMBER(AD25)),NOT(ISNUMBER(AF25)),NOT(ISNUMBER(AJ25)),NOT(ISNUMBER(AP25))),"",
IFERROR(IF((AD25-AF25)/(AJ25/60)/(AP25/1000)&lt;=0,"",(AD25-AF25)/(AJ25/60)/(AP25/1000)),""))</f>
        <v/>
      </c>
    </row>
    <row r="26" ht="15" customHeight="1">
      <c r="B26" t="n">
        <v>-218</v>
      </c>
      <c r="C26" s="12" t="inlineStr">
        <is>
          <t>high ORP upset</t>
        </is>
      </c>
      <c r="D26" s="167" t="n">
        <v>45286</v>
      </c>
      <c r="E26" s="166" t="n"/>
      <c r="F26" s="136" t="n">
        <v>21</v>
      </c>
      <c r="G26" s="205">
        <f>IF(OR(S26="",S26=0),"",S26*2)</f>
        <v/>
      </c>
      <c r="I26" s="9">
        <f>(N26*18-H26*10)/9</f>
        <v/>
      </c>
      <c r="J26" s="9" t="n">
        <v>38.45</v>
      </c>
      <c r="K26" s="15">
        <f>AD26</f>
        <v/>
      </c>
      <c r="M26" s="10">
        <f>IF(OR(E26="",G26="",E26=0,G26=0),"",E26/G26)</f>
        <v/>
      </c>
      <c r="N26" s="9">
        <f>IF(OR(E26="",I26="",E26=0,I26=0),"",E26/(I26*2))</f>
        <v/>
      </c>
      <c r="O26" s="8">
        <f>IF(OR(I26="",G26="",I26=0,G26=0),"",I26*2/G26)</f>
        <v/>
      </c>
      <c r="P26" s="7">
        <f>'[2]12-26-2023 '!I6</f>
        <v/>
      </c>
      <c r="U26" s="6">
        <f>'[2]12-26-2023 '!Q6</f>
        <v/>
      </c>
      <c r="V26" s="6">
        <f>'[2]12-26-2023 '!I12</f>
        <v/>
      </c>
      <c r="Y26" s="6">
        <f>'[2]12-26-2023 '!Q12</f>
        <v/>
      </c>
      <c r="Z26" s="6" t="n">
        <v>2.71</v>
      </c>
      <c r="AD26" s="5" t="n">
        <v>80</v>
      </c>
      <c r="AE26" s="7">
        <f>T26</f>
        <v/>
      </c>
      <c r="AF26" s="231">
        <f>'[2]12-26-2023 '!G13</f>
        <v/>
      </c>
      <c r="AG26" s="231">
        <f>'[2]12-26-2023 '!I20</f>
        <v/>
      </c>
      <c r="AH26" s="231">
        <f>'[2]12-26-2023 '!G21</f>
        <v/>
      </c>
      <c r="AI26" s="204" t="n">
        <v>0.36</v>
      </c>
      <c r="AJ26" s="203" t="n">
        <v>0.4763888888888889</v>
      </c>
      <c r="AL26" s="231" t="n">
        <v>175</v>
      </c>
      <c r="AM26" s="3" t="n">
        <v>180</v>
      </c>
      <c r="AN26" s="4">
        <f>AE26</f>
        <v/>
      </c>
      <c r="AO26" s="6">
        <f>'[2]12-26-2023 '!I27</f>
        <v/>
      </c>
      <c r="AP26" s="255">
        <f>360-AK26-AB26</f>
        <v/>
      </c>
      <c r="AQ26" s="165">
        <f>[2]TSS_VSS!H80</f>
        <v/>
      </c>
      <c r="AR26" s="13">
        <f>AVERAGE(AO24:AO30)</f>
        <v/>
      </c>
      <c r="AS26" s="15">
        <f>IF(ISNUMBER([2]HRT_SRT!R80),[2]HRT_SRT!R80,"")</f>
        <v/>
      </c>
      <c r="AT26" s="156">
        <f>(E26-W26)/E26</f>
        <v/>
      </c>
      <c r="AU26" s="155">
        <f>(I26-AF26)/I26</f>
        <v/>
      </c>
      <c r="AV26" s="155">
        <f>AG26/(AD26-AF26)</f>
        <v/>
      </c>
      <c r="AW26" s="155">
        <f>(G26-AM26)/G26</f>
        <v/>
      </c>
      <c r="AX26" s="254">
        <f>IF(AND(ISNUMBER(E26),ISNUMBER(W26)),E26-W26,"")</f>
        <v/>
      </c>
      <c r="AY26" s="254">
        <f>IF(AND(ISNUMBER(I26),ISNUMBER(AF26)),I26-AF26,"")</f>
        <v/>
      </c>
      <c r="AZ26" s="254">
        <f>IF(AND(ISNUMBER(AM26),ISNUMBER(G26)),G26-AM26,"")</f>
        <v/>
      </c>
      <c r="BA26" s="254">
        <f>IF(AND(ISNUMBER(AC26),ISNUMBER(AE26)),AC26-AE26,"")</f>
        <v/>
      </c>
      <c r="BB26" s="254">
        <f>IF(AND(ISNUMBER(AL26),ISNUMBER(AM26)),AL26-AM26,"")</f>
        <v/>
      </c>
      <c r="BC26" s="84">
        <f>IF(AND($E26&gt;0,$W26&gt;0),IF(($E26-$W26)/$E26&gt;0,($E26-$W26)/$E26,0),"")</f>
        <v/>
      </c>
      <c r="BD26" s="84">
        <f>IF(AND($I26&gt;0,$AF26&gt;=0),IF(($I26-$AF26)/$I26&gt;0,($I26-$AF26)/$I26,0),"")</f>
        <v/>
      </c>
      <c r="BE26" s="84">
        <f>IF(AND($AG26&gt;=0,$AD26&gt;=0,$AF26&gt;=0),IF($AG26/($AD26-$AF26)&gt;0,$AG26/($AD26-$AF26),0),"")</f>
        <v/>
      </c>
      <c r="BF26" s="84">
        <f>IF(AND($G26&gt;0,$AM26&gt;0),IF(($G26-$AM26)/$G26&gt;0,($G26-$AM26)/$G26,0),"")</f>
        <v/>
      </c>
      <c r="BG26" s="6">
        <f>IF((AD26-AF26)/(AJ26/60)&lt;=0,"",(AD26-AF26)/(AJ26/60))</f>
        <v/>
      </c>
      <c r="BH26" s="6">
        <f>IF(OR(AJ26=0,AP26=0,NOT(ISNUMBER(AD26)),NOT(ISNUMBER(AF26)),NOT(ISNUMBER(AJ26)),NOT(ISNUMBER(AP26))),"",
IFERROR(IF((AD26-AF26)/(AJ26/60)/(AP26/1000)&lt;=0,"",(AD26-AF26)/(AJ26/60)/(AP26/1000)),""))</f>
        <v/>
      </c>
    </row>
    <row r="27" ht="15" customHeight="1">
      <c r="B27" t="n">
        <v>-217</v>
      </c>
      <c r="C27" s="12" t="n">
        <v>94.40000000000001</v>
      </c>
      <c r="D27" s="11" t="n">
        <v>45287</v>
      </c>
      <c r="F27" s="3" t="n">
        <v>22</v>
      </c>
      <c r="G27" s="205">
        <f>IF(OR(S27="",S27=0),"",S27*2)</f>
        <v/>
      </c>
      <c r="H27" s="9">
        <f>152.062+33.605</f>
        <v/>
      </c>
      <c r="I27" s="9">
        <f>(N27*18-H27*13)/9</f>
        <v/>
      </c>
      <c r="J27" s="9">
        <f>2*11.5</f>
        <v/>
      </c>
      <c r="K27" s="15">
        <f>AD27</f>
        <v/>
      </c>
      <c r="M27" s="10">
        <f>IF(OR(E27="",G27="",E27=0,G27=0),"",E27/G27)</f>
        <v/>
      </c>
      <c r="N27" s="9">
        <f>IF(OR(E27="",I27="",E27=0,I27=0),"",E27/(I27*2))</f>
        <v/>
      </c>
      <c r="O27" s="8">
        <f>IF(OR(I27="",G27="",I27=0,G27=0),"",I27*2/G27)</f>
        <v/>
      </c>
      <c r="P27" s="7">
        <f>2*14.7</f>
        <v/>
      </c>
      <c r="U27" s="6">
        <f>123.26+29.129</f>
        <v/>
      </c>
      <c r="V27" s="6">
        <f>2*22.5</f>
        <v/>
      </c>
      <c r="Y27" s="6">
        <f>2.775+18.436</f>
        <v/>
      </c>
      <c r="AD27" s="5" t="n">
        <v>80</v>
      </c>
      <c r="AE27" s="7">
        <f>T27</f>
        <v/>
      </c>
      <c r="AF27" s="231">
        <f>5*3.31</f>
        <v/>
      </c>
      <c r="AG27" s="231">
        <f>2*22</f>
        <v/>
      </c>
      <c r="AH27" s="231" t="n">
        <v>1e-05</v>
      </c>
      <c r="AI27" s="204" t="n">
        <v>0.6</v>
      </c>
      <c r="AJ27" s="203" t="n">
        <v>0.4722222222222222</v>
      </c>
      <c r="AL27" s="231" t="n">
        <v>175</v>
      </c>
      <c r="AM27" s="3" t="n">
        <v>180</v>
      </c>
      <c r="AN27" s="4">
        <f>AE27</f>
        <v/>
      </c>
      <c r="AO27" s="231">
        <f>2*13.3</f>
        <v/>
      </c>
      <c r="AP27" s="255">
        <f>360-AK27-AB27</f>
        <v/>
      </c>
      <c r="AQ27" s="165" t="n"/>
      <c r="AR27" s="13">
        <f>AVERAGE(AO25:AO31)</f>
        <v/>
      </c>
      <c r="AS27" s="15">
        <f>IF(ISNUMBER([2]HRT_SRT!R81),[2]HRT_SRT!R81,"")</f>
        <v/>
      </c>
      <c r="AT27" s="156">
        <f>(E27-W27)/E27</f>
        <v/>
      </c>
      <c r="AU27" s="155">
        <f>(I27-AF27)/I27</f>
        <v/>
      </c>
      <c r="AV27" s="155">
        <f>AG27/(AD27-AF27)</f>
        <v/>
      </c>
      <c r="AW27" s="155">
        <f>(G27-AM27)/G27</f>
        <v/>
      </c>
      <c r="AX27" s="254">
        <f>IF(AND(ISNUMBER(E27),ISNUMBER(W27)),E27-W27,"")</f>
        <v/>
      </c>
      <c r="AY27" s="254">
        <f>IF(AND(ISNUMBER(I27),ISNUMBER(AF27)),I27-AF27,"")</f>
        <v/>
      </c>
      <c r="AZ27" s="254">
        <f>IF(AND(ISNUMBER(AM27),ISNUMBER(G27)),G27-AM27,"")</f>
        <v/>
      </c>
      <c r="BA27" s="254">
        <f>IF(AND(ISNUMBER(AC27),ISNUMBER(AE27)),AC27-AE27,"")</f>
        <v/>
      </c>
      <c r="BB27" s="254">
        <f>IF(AND(ISNUMBER(AL27),ISNUMBER(AM27)),AL27-AM27,"")</f>
        <v/>
      </c>
      <c r="BC27" s="84">
        <f>IF(AND($E27&gt;0,$W27&gt;0),IF(($E27-$W27)/$E27&gt;0,($E27-$W27)/$E27,0),"")</f>
        <v/>
      </c>
      <c r="BD27" s="84">
        <f>IF(AND($I27&gt;0,$AF27&gt;=0),IF(($I27-$AF27)/$I27&gt;0,($I27-$AF27)/$I27,0),"")</f>
        <v/>
      </c>
      <c r="BE27" s="84">
        <f>IF(AND($AG27&gt;=0,$AD27&gt;=0,$AF27&gt;=0),IF($AG27/($AD27-$AF27)&gt;0,$AG27/($AD27-$AF27),0),"")</f>
        <v/>
      </c>
      <c r="BF27" s="84">
        <f>IF(AND($G27&gt;0,$AM27&gt;0),IF(($G27-$AM27)/$G27&gt;0,($G27-$AM27)/$G27,0),"")</f>
        <v/>
      </c>
      <c r="BG27" s="6">
        <f>IF((AD27-AF27)/(AJ27/60)&lt;=0,"",(AD27-AF27)/(AJ27/60))</f>
        <v/>
      </c>
      <c r="BH27" s="6">
        <f>IF(OR(AJ27=0,AP27=0,NOT(ISNUMBER(AD27)),NOT(ISNUMBER(AF27)),NOT(ISNUMBER(AJ27)),NOT(ISNUMBER(AP27))),"",
IFERROR(IF((AD27-AF27)/(AJ27/60)/(AP27/1000)&lt;=0,"",(AD27-AF27)/(AJ27/60)/(AP27/1000)),""))</f>
        <v/>
      </c>
    </row>
    <row r="28" ht="15" customHeight="1">
      <c r="B28" t="n">
        <v>-216</v>
      </c>
      <c r="D28" s="11" t="n">
        <v>45288</v>
      </c>
      <c r="F28" s="3" t="n">
        <v>23</v>
      </c>
      <c r="G28" s="205">
        <f>IF(OR(S28="",S28=0),"",S28*2)</f>
        <v/>
      </c>
      <c r="K28" s="15">
        <f>AD28</f>
        <v/>
      </c>
      <c r="M28" s="10">
        <f>IF(OR(E28="",G28="",E28=0,G28=0),"",E28/G28)</f>
        <v/>
      </c>
      <c r="N28" s="9">
        <f>IF(OR(E28="",I28="",E28=0,I28=0),"",E28/(I28*2))</f>
        <v/>
      </c>
      <c r="O28" s="8">
        <f>IF(OR(I28="",G28="",I28=0,G28=0),"",I28*2/G28)</f>
        <v/>
      </c>
      <c r="AD28" s="5" t="n">
        <v>80</v>
      </c>
      <c r="AF28" s="188">
        <f>($AD$27+$AD$33)/2</f>
        <v/>
      </c>
      <c r="AI28" s="204" t="n">
        <v>1.58</v>
      </c>
      <c r="AJ28" s="203" t="n">
        <v>0.4773148148148148</v>
      </c>
      <c r="AL28" s="231" t="n">
        <v>175</v>
      </c>
      <c r="AM28" s="3" t="n">
        <v>180</v>
      </c>
      <c r="AP28" s="255">
        <f>360-AK28-AB28</f>
        <v/>
      </c>
      <c r="AQ28" s="165" t="n"/>
      <c r="AR28" s="13">
        <f>AVERAGE(AO26:AO32)</f>
        <v/>
      </c>
      <c r="AS28" s="15">
        <f>IF(ISNUMBER([2]HRT_SRT!R82),[2]HRT_SRT!R82,"")</f>
        <v/>
      </c>
      <c r="AT28" s="156">
        <f>(E28-W28)/E28</f>
        <v/>
      </c>
      <c r="AU28" s="155">
        <f>(I28-AF28)/I28</f>
        <v/>
      </c>
      <c r="AV28" s="155">
        <f>AG28/(AD28-AF28)</f>
        <v/>
      </c>
      <c r="AW28" s="155">
        <f>(G28-AM28)/G28</f>
        <v/>
      </c>
      <c r="AX28" s="254">
        <f>IF(AND(ISNUMBER(E28),ISNUMBER(W28)),E28-W28,"")</f>
        <v/>
      </c>
      <c r="AY28" s="254">
        <f>IF(AND(ISNUMBER(I28),ISNUMBER(AF28)),I28-AF28,"")</f>
        <v/>
      </c>
      <c r="AZ28" s="254">
        <f>IF(AND(ISNUMBER(AM28),ISNUMBER(G28)),G28-AM28,"")</f>
        <v/>
      </c>
      <c r="BA28" s="254">
        <f>IF(AND(ISNUMBER(AC28),ISNUMBER(AE28)),AC28-AE28,"")</f>
        <v/>
      </c>
      <c r="BB28" s="254">
        <f>IF(AND(ISNUMBER(AL28),ISNUMBER(AM28)),AL28-AM28,"")</f>
        <v/>
      </c>
      <c r="BC28" s="84">
        <f>IF(AND($E28&gt;0,$W28&gt;0),IF(($E28-$W28)/$E28&gt;0,($E28-$W28)/$E28,0),"")</f>
        <v/>
      </c>
      <c r="BD28" s="84">
        <f>IF(AND($I28&gt;0,$AF28&gt;=0),IF(($I28-$AF28)/$I28&gt;0,($I28-$AF28)/$I28,0),"")</f>
        <v/>
      </c>
      <c r="BE28" s="84">
        <f>IF(AND($AG28&gt;=0,$AD28&gt;=0,$AF28&gt;=0),IF($AG28/($AD28-$AF28)&gt;0,$AG28/($AD28-$AF28),0),"")</f>
        <v/>
      </c>
      <c r="BF28" s="84">
        <f>IF(AND($G28&gt;0,$AM28&gt;0),IF(($G28-$AM28)/$G28&gt;0,($G28-$AM28)/$G28,0),"")</f>
        <v/>
      </c>
      <c r="BG28" s="6">
        <f>IF((AD28-AF28)/(AJ28/60)&lt;=0,"",(AD28-AF28)/(AJ28/60))</f>
        <v/>
      </c>
      <c r="BH28" s="6">
        <f>IF(OR(AJ28=0,AP28=0,NOT(ISNUMBER(AD28)),NOT(ISNUMBER(AF28)),NOT(ISNUMBER(AJ28)),NOT(ISNUMBER(AP28))),"",
IFERROR(IF((AD28-AF28)/(AJ28/60)/(AP28/1000)&lt;=0,"",(AD28-AF28)/(AJ28/60)/(AP28/1000)),""))</f>
        <v/>
      </c>
    </row>
    <row r="29" ht="15" customHeight="1">
      <c r="B29" t="n">
        <v>-215</v>
      </c>
      <c r="D29" s="11" t="n">
        <v>45289</v>
      </c>
      <c r="F29" s="3" t="n">
        <v>24</v>
      </c>
      <c r="G29" s="205">
        <f>IF(OR(S29="",S29=0),"",S29*2)</f>
        <v/>
      </c>
      <c r="K29" s="15">
        <f>AD29</f>
        <v/>
      </c>
      <c r="M29" s="10">
        <f>IF(OR(E29="",G29="",E29=0,G29=0),"",E29/G29)</f>
        <v/>
      </c>
      <c r="N29" s="9">
        <f>IF(OR(E29="",I29="",E29=0,I29=0),"",E29/(I29*2))</f>
        <v/>
      </c>
      <c r="O29" s="8">
        <f>IF(OR(I29="",G29="",I29=0,G29=0),"",I29*2/G29)</f>
        <v/>
      </c>
      <c r="AD29" s="5" t="n">
        <v>80</v>
      </c>
      <c r="AF29" s="188">
        <f>($AD$27+$AD$33)/2</f>
        <v/>
      </c>
      <c r="AI29" s="204" t="n">
        <v>2.24</v>
      </c>
      <c r="AJ29" s="203" t="n">
        <v>0.4767361111111111</v>
      </c>
      <c r="AL29" s="231" t="n">
        <v>175</v>
      </c>
      <c r="AM29" s="3" t="n">
        <v>180</v>
      </c>
      <c r="AP29" s="255">
        <f>360-AK29-AB29</f>
        <v/>
      </c>
      <c r="AQ29" s="165" t="n"/>
      <c r="AR29" s="13">
        <f>AVERAGE(AO27:AO33)</f>
        <v/>
      </c>
      <c r="AS29" s="15">
        <f>IF(ISNUMBER([2]HRT_SRT!R83),[2]HRT_SRT!R83,"")</f>
        <v/>
      </c>
      <c r="AT29" s="156">
        <f>(E29-W29)/E29</f>
        <v/>
      </c>
      <c r="AU29" s="155">
        <f>(I29-AF29)/I29</f>
        <v/>
      </c>
      <c r="AV29" s="155">
        <f>AG29/(AD29-AF29)</f>
        <v/>
      </c>
      <c r="AW29" s="155">
        <f>(G29-AM29)/G29</f>
        <v/>
      </c>
      <c r="AX29" s="254">
        <f>IF(AND(ISNUMBER(E29),ISNUMBER(W29)),E29-W29,"")</f>
        <v/>
      </c>
      <c r="AY29" s="254">
        <f>IF(AND(ISNUMBER(I29),ISNUMBER(AF29)),I29-AF29,"")</f>
        <v/>
      </c>
      <c r="AZ29" s="254">
        <f>IF(AND(ISNUMBER(AM29),ISNUMBER(G29)),G29-AM29,"")</f>
        <v/>
      </c>
      <c r="BA29" s="254">
        <f>IF(AND(ISNUMBER(AC29),ISNUMBER(AE29)),AC29-AE29,"")</f>
        <v/>
      </c>
      <c r="BB29" s="254">
        <f>IF(AND(ISNUMBER(AL29),ISNUMBER(AM29)),AL29-AM29,"")</f>
        <v/>
      </c>
      <c r="BC29" s="84">
        <f>IF(AND($E29&gt;0,$W29&gt;0),IF(($E29-$W29)/$E29&gt;0,($E29-$W29)/$E29,0),"")</f>
        <v/>
      </c>
      <c r="BD29" s="84">
        <f>IF(AND($I29&gt;0,$AF29&gt;=0),IF(($I29-$AF29)/$I29&gt;0,($I29-$AF29)/$I29,0),"")</f>
        <v/>
      </c>
      <c r="BE29" s="84">
        <f>IF(AND($AG29&gt;=0,$AD29&gt;=0,$AF29&gt;=0),IF($AG29/($AD29-$AF29)&gt;0,$AG29/($AD29-$AF29),0),"")</f>
        <v/>
      </c>
      <c r="BF29" s="84">
        <f>IF(AND($G29&gt;0,$AM29&gt;0),IF(($G29-$AM29)/$G29&gt;0,($G29-$AM29)/$G29,0),"")</f>
        <v/>
      </c>
      <c r="BG29" s="6">
        <f>IF((AD29-AF29)/(AJ29/60)&lt;=0,"",(AD29-AF29)/(AJ29/60))</f>
        <v/>
      </c>
      <c r="BH29" s="6">
        <f>IF(OR(AJ29=0,AP29=0,NOT(ISNUMBER(AD29)),NOT(ISNUMBER(AF29)),NOT(ISNUMBER(AJ29)),NOT(ISNUMBER(AP29))),"",
IFERROR(IF((AD29-AF29)/(AJ29/60)/(AP29/1000)&lt;=0,"",(AD29-AF29)/(AJ29/60)/(AP29/1000)),""))</f>
        <v/>
      </c>
    </row>
    <row r="30" ht="15" customHeight="1">
      <c r="B30" t="n">
        <v>-214</v>
      </c>
      <c r="D30" s="11" t="n">
        <v>45290</v>
      </c>
      <c r="F30" s="3" t="n">
        <v>25</v>
      </c>
      <c r="G30" s="205">
        <f>IF(OR(S30="",S30=0),"",S30*2)</f>
        <v/>
      </c>
      <c r="K30" s="15">
        <f>AD30</f>
        <v/>
      </c>
      <c r="M30" s="10">
        <f>IF(OR(E30="",G30="",E30=0,G30=0),"",E30/G30)</f>
        <v/>
      </c>
      <c r="N30" s="9">
        <f>IF(OR(E30="",I30="",E30=0,I30=0),"",E30/(I30*2))</f>
        <v/>
      </c>
      <c r="O30" s="8">
        <f>IF(OR(I30="",G30="",I30=0,G30=0),"",I30*2/G30)</f>
        <v/>
      </c>
      <c r="AD30" s="5" t="n">
        <v>80</v>
      </c>
      <c r="AF30" s="188">
        <f>($AD$27+$AD$33)/2</f>
        <v/>
      </c>
      <c r="AI30" s="204" t="n">
        <v>2.61</v>
      </c>
      <c r="AJ30" s="203" t="n">
        <v>0.4842592592592593</v>
      </c>
      <c r="AL30" s="231" t="n">
        <v>175</v>
      </c>
      <c r="AM30" s="3" t="n">
        <v>180</v>
      </c>
      <c r="AP30" s="255">
        <f>360-AK30-AB30</f>
        <v/>
      </c>
      <c r="AQ30" s="165" t="n"/>
      <c r="AR30" s="13">
        <f>AVERAGE(AO28:AO34)</f>
        <v/>
      </c>
      <c r="AS30" s="15">
        <f>IF(ISNUMBER([2]HRT_SRT!R84),[2]HRT_SRT!R84,"")</f>
        <v/>
      </c>
      <c r="AT30" s="156">
        <f>(E30-W30)/E30</f>
        <v/>
      </c>
      <c r="AU30" s="155">
        <f>(I30-AF30)/I30</f>
        <v/>
      </c>
      <c r="AV30" s="155">
        <f>AG30/(AD30-AF30)</f>
        <v/>
      </c>
      <c r="AW30" s="155">
        <f>(G30-AM30)/G30</f>
        <v/>
      </c>
      <c r="AX30" s="254">
        <f>IF(AND(ISNUMBER(E30),ISNUMBER(W30)),E30-W30,"")</f>
        <v/>
      </c>
      <c r="AY30" s="254">
        <f>IF(AND(ISNUMBER(I30),ISNUMBER(AF30)),I30-AF30,"")</f>
        <v/>
      </c>
      <c r="AZ30" s="254">
        <f>IF(AND(ISNUMBER(AM30),ISNUMBER(G30)),G30-AM30,"")</f>
        <v/>
      </c>
      <c r="BA30" s="254">
        <f>IF(AND(ISNUMBER(AC30),ISNUMBER(AE30)),AC30-AE30,"")</f>
        <v/>
      </c>
      <c r="BB30" s="254">
        <f>IF(AND(ISNUMBER(AL30),ISNUMBER(AM30)),AL30-AM30,"")</f>
        <v/>
      </c>
      <c r="BC30" s="84">
        <f>IF(AND($E30&gt;0,$W30&gt;0),IF(($E30-$W30)/$E30&gt;0,($E30-$W30)/$E30,0),"")</f>
        <v/>
      </c>
      <c r="BD30" s="84">
        <f>IF(AND($I30&gt;0,$AF30&gt;=0),IF(($I30-$AF30)/$I30&gt;0,($I30-$AF30)/$I30,0),"")</f>
        <v/>
      </c>
      <c r="BE30" s="84">
        <f>IF(AND($AG30&gt;=0,$AD30&gt;=0,$AF30&gt;=0),IF($AG30/($AD30-$AF30)&gt;0,$AG30/($AD30-$AF30),0),"")</f>
        <v/>
      </c>
      <c r="BF30" s="84">
        <f>IF(AND($G30&gt;0,$AM30&gt;0),IF(($G30-$AM30)/$G30&gt;0,($G30-$AM30)/$G30,0),"")</f>
        <v/>
      </c>
      <c r="BG30" s="6">
        <f>IF((AD30-AF30)/(AJ30/60)&lt;=0,"",(AD30-AF30)/(AJ30/60))</f>
        <v/>
      </c>
      <c r="BH30" s="6">
        <f>IF(OR(AJ30=0,AP30=0,NOT(ISNUMBER(AD30)),NOT(ISNUMBER(AF30)),NOT(ISNUMBER(AJ30)),NOT(ISNUMBER(AP30))),"",
IFERROR(IF((AD30-AF30)/(AJ30/60)/(AP30/1000)&lt;=0,"",(AD30-AF30)/(AJ30/60)/(AP30/1000)),""))</f>
        <v/>
      </c>
    </row>
    <row r="31" ht="15" customHeight="1">
      <c r="B31" t="n">
        <v>-213</v>
      </c>
      <c r="D31" s="11" t="n">
        <v>45291</v>
      </c>
      <c r="F31" s="3" t="n">
        <v>26</v>
      </c>
      <c r="G31" s="205">
        <f>IF(OR(S31="",S31=0),"",S31*2)</f>
        <v/>
      </c>
      <c r="K31" s="15">
        <f>AD31</f>
        <v/>
      </c>
      <c r="M31" s="10">
        <f>IF(OR(E31="",G31="",E31=0,G31=0),"",E31/G31)</f>
        <v/>
      </c>
      <c r="N31" s="9">
        <f>IF(OR(E31="",I31="",E31=0,I31=0),"",E31/(I31*2))</f>
        <v/>
      </c>
      <c r="O31" s="8">
        <f>IF(OR(I31="",G31="",I31=0,G31=0),"",I31*2/G31)</f>
        <v/>
      </c>
      <c r="AD31" s="5" t="n">
        <v>80</v>
      </c>
      <c r="AF31" s="188">
        <f>($AD$27+$AD$33)/2</f>
        <v/>
      </c>
      <c r="AI31" s="204" t="n">
        <v>2.87</v>
      </c>
      <c r="AJ31" s="203" t="n">
        <v>0.4796296296296296</v>
      </c>
      <c r="AL31" s="231" t="n">
        <v>175</v>
      </c>
      <c r="AM31" s="3" t="n">
        <v>180</v>
      </c>
      <c r="AP31" s="255">
        <f>360-AK31-AB31</f>
        <v/>
      </c>
      <c r="AQ31" s="165" t="n"/>
      <c r="AR31" s="13">
        <f>AVERAGE(AO29:AO35)</f>
        <v/>
      </c>
      <c r="AS31" s="15">
        <f>IF(ISNUMBER([2]HRT_SRT!R85),[2]HRT_SRT!R85,"")</f>
        <v/>
      </c>
      <c r="AT31" s="156">
        <f>(E31-W31)/E31</f>
        <v/>
      </c>
      <c r="AU31" s="155">
        <f>(I31-AF31)/I31</f>
        <v/>
      </c>
      <c r="AV31" s="155">
        <f>AG31/(AD31-AF31)</f>
        <v/>
      </c>
      <c r="AW31" s="155">
        <f>(G31-AM31)/G31</f>
        <v/>
      </c>
      <c r="AX31" s="254">
        <f>IF(AND(ISNUMBER(E31),ISNUMBER(W31)),E31-W31,"")</f>
        <v/>
      </c>
      <c r="AY31" s="254">
        <f>IF(AND(ISNUMBER(I31),ISNUMBER(AF31)),I31-AF31,"")</f>
        <v/>
      </c>
      <c r="AZ31" s="254">
        <f>IF(AND(ISNUMBER(AM31),ISNUMBER(G31)),G31-AM31,"")</f>
        <v/>
      </c>
      <c r="BA31" s="254">
        <f>IF(AND(ISNUMBER(AC31),ISNUMBER(AE31)),AC31-AE31,"")</f>
        <v/>
      </c>
      <c r="BB31" s="254">
        <f>IF(AND(ISNUMBER(AL31),ISNUMBER(AM31)),AL31-AM31,"")</f>
        <v/>
      </c>
      <c r="BC31" s="84">
        <f>IF(AND($E31&gt;0,$W31&gt;0),IF(($E31-$W31)/$E31&gt;0,($E31-$W31)/$E31,0),"")</f>
        <v/>
      </c>
      <c r="BD31" s="84">
        <f>IF(AND($I31&gt;0,$AF31&gt;=0),IF(($I31-$AF31)/$I31&gt;0,($I31-$AF31)/$I31,0),"")</f>
        <v/>
      </c>
      <c r="BE31" s="84">
        <f>IF(AND($AG31&gt;=0,$AD31&gt;=0,$AF31&gt;=0),IF($AG31/($AD31-$AF31)&gt;0,$AG31/($AD31-$AF31),0),"")</f>
        <v/>
      </c>
      <c r="BF31" s="84">
        <f>IF(AND($G31&gt;0,$AM31&gt;0),IF(($G31-$AM31)/$G31&gt;0,($G31-$AM31)/$G31,0),"")</f>
        <v/>
      </c>
      <c r="BG31" s="6">
        <f>IF((AD31-AF31)/(AJ31/60)&lt;=0,"",(AD31-AF31)/(AJ31/60))</f>
        <v/>
      </c>
      <c r="BH31" s="6">
        <f>IF(OR(AJ31=0,AP31=0,NOT(ISNUMBER(AD31)),NOT(ISNUMBER(AF31)),NOT(ISNUMBER(AJ31)),NOT(ISNUMBER(AP31))),"",
IFERROR(IF((AD31-AF31)/(AJ31/60)/(AP31/1000)&lt;=0,"",(AD31-AF31)/(AJ31/60)/(AP31/1000)),""))</f>
        <v/>
      </c>
    </row>
    <row r="32" ht="15" customHeight="1">
      <c r="B32" t="n">
        <v>-212</v>
      </c>
      <c r="D32" s="11" t="n">
        <v>45292</v>
      </c>
      <c r="F32" s="3" t="n">
        <v>27</v>
      </c>
      <c r="G32" s="205">
        <f>IF(OR(S32="",S32=0),"",S32*2)</f>
        <v/>
      </c>
      <c r="K32" s="15">
        <f>AD32</f>
        <v/>
      </c>
      <c r="M32" s="10">
        <f>IF(OR(E32="",G32="",E32=0,G32=0),"",E32/G32)</f>
        <v/>
      </c>
      <c r="N32" s="9">
        <f>IF(OR(E32="",I32="",E32=0,I32=0),"",E32/(I32*2))</f>
        <v/>
      </c>
      <c r="O32" s="8">
        <f>IF(OR(I32="",G32="",I32=0,G32=0),"",I32*2/G32)</f>
        <v/>
      </c>
      <c r="AD32" s="5" t="n">
        <v>80</v>
      </c>
      <c r="AF32" s="188">
        <f>($AD$27+$AD$33)/2</f>
        <v/>
      </c>
      <c r="AI32" s="204" t="n">
        <v>3.53</v>
      </c>
      <c r="AJ32" s="203" t="n">
        <v>0.4945601851851852</v>
      </c>
      <c r="AL32" s="231" t="n">
        <v>175</v>
      </c>
      <c r="AM32" s="3" t="n">
        <v>180</v>
      </c>
      <c r="AP32" s="255">
        <f>360-AK32-AB32</f>
        <v/>
      </c>
      <c r="AQ32" s="165" t="n"/>
      <c r="AR32" s="13">
        <f>AVERAGE(AO30:AO36)</f>
        <v/>
      </c>
      <c r="AS32" s="15">
        <f>IF(ISNUMBER([2]HRT_SRT!R86),[2]HRT_SRT!R86,"")</f>
        <v/>
      </c>
      <c r="AT32" s="156">
        <f>(E32-W32)/E32</f>
        <v/>
      </c>
      <c r="AU32" s="155">
        <f>(I32-AF32)/I32</f>
        <v/>
      </c>
      <c r="AV32" s="155">
        <f>AG32/(AD32-AF32)</f>
        <v/>
      </c>
      <c r="AW32" s="155">
        <f>(G32-AM32)/G32</f>
        <v/>
      </c>
      <c r="AX32" s="254">
        <f>IF(AND(ISNUMBER(E32),ISNUMBER(W32)),E32-W32,"")</f>
        <v/>
      </c>
      <c r="AY32" s="254">
        <f>IF(AND(ISNUMBER(I32),ISNUMBER(AF32)),I32-AF32,"")</f>
        <v/>
      </c>
      <c r="AZ32" s="254">
        <f>IF(AND(ISNUMBER(AM32),ISNUMBER(G32)),G32-AM32,"")</f>
        <v/>
      </c>
      <c r="BA32" s="254">
        <f>IF(AND(ISNUMBER(AC32),ISNUMBER(AE32)),AC32-AE32,"")</f>
        <v/>
      </c>
      <c r="BB32" s="254">
        <f>IF(AND(ISNUMBER(AL32),ISNUMBER(AM32)),AL32-AM32,"")</f>
        <v/>
      </c>
      <c r="BC32" s="84">
        <f>IF(AND($E32&gt;0,$W32&gt;0),IF(($E32-$W32)/$E32&gt;0,($E32-$W32)/$E32,0),"")</f>
        <v/>
      </c>
      <c r="BD32" s="84">
        <f>IF(AND($I32&gt;0,$AF32&gt;=0),IF(($I32-$AF32)/$I32&gt;0,($I32-$AF32)/$I32,0),"")</f>
        <v/>
      </c>
      <c r="BE32" s="84">
        <f>IF(AND($AG32&gt;=0,$AD32&gt;=0,$AF32&gt;=0),IF($AG32/($AD32-$AF32)&gt;0,$AG32/($AD32-$AF32),0),"")</f>
        <v/>
      </c>
      <c r="BF32" s="84">
        <f>IF(AND($G32&gt;0,$AM32&gt;0),IF(($G32-$AM32)/$G32&gt;0,($G32-$AM32)/$G32,0),"")</f>
        <v/>
      </c>
      <c r="BG32" s="6">
        <f>IF((AD32-AF32)/(AJ32/60)&lt;=0,"",(AD32-AF32)/(AJ32/60))</f>
        <v/>
      </c>
      <c r="BH32" s="6">
        <f>IF(OR(AJ32=0,AP32=0,NOT(ISNUMBER(AD32)),NOT(ISNUMBER(AF32)),NOT(ISNUMBER(AJ32)),NOT(ISNUMBER(AP32))),"",
IFERROR(IF((AD32-AF32)/(AJ32/60)/(AP32/1000)&lt;=0,"",(AD32-AF32)/(AJ32/60)/(AP32/1000)),""))</f>
        <v/>
      </c>
    </row>
    <row r="33" ht="15" customHeight="1">
      <c r="B33" t="n">
        <v>-211</v>
      </c>
      <c r="C33" s="12" t="inlineStr">
        <is>
          <t>N2O data is zhen's</t>
        </is>
      </c>
      <c r="D33" s="11" t="n">
        <v>45293</v>
      </c>
      <c r="F33" s="3" t="n">
        <v>28</v>
      </c>
      <c r="G33" s="205">
        <f>IF(OR(S33="",S33=0),"",S33*2)</f>
        <v/>
      </c>
      <c r="H33" s="9">
        <f>29.9134+125.7853</f>
        <v/>
      </c>
      <c r="I33" s="9">
        <f>#REF!*2</f>
        <v/>
      </c>
      <c r="K33" s="15">
        <f>AD33</f>
        <v/>
      </c>
      <c r="M33" s="10">
        <f>IF(OR(E33="",G33="",E33=0,G33=0),"",E33/G33)</f>
        <v/>
      </c>
      <c r="N33" s="9">
        <f>IF(OR(E33="",I33="",E33=0,I33=0),"",E33/(I33*2))</f>
        <v/>
      </c>
      <c r="O33" s="8">
        <f>IF(OR(I33="",G33="",I33=0,G33=0),"",I33*2/G33)</f>
        <v/>
      </c>
      <c r="P33" s="7">
        <f>2*12</f>
        <v/>
      </c>
      <c r="U33" s="6">
        <f>107.023+27.2488</f>
        <v/>
      </c>
      <c r="V33" s="6">
        <f>2*25.4</f>
        <v/>
      </c>
      <c r="Y33" s="231">
        <f>3.9198+4.9139</f>
        <v/>
      </c>
      <c r="AD33" s="5" t="n">
        <v>80</v>
      </c>
      <c r="AE33" s="7">
        <f>T33</f>
        <v/>
      </c>
      <c r="AF33" s="231">
        <f>5*3.42</f>
        <v/>
      </c>
      <c r="AG33" s="231">
        <f>2*16.8</f>
        <v/>
      </c>
      <c r="AH33" s="231" t="n">
        <v>1e-05</v>
      </c>
      <c r="AI33" s="204" t="n">
        <v>4.07</v>
      </c>
      <c r="AJ33" s="203" t="n">
        <v>0.1416666666666667</v>
      </c>
      <c r="AL33" s="231" t="n">
        <v>175</v>
      </c>
      <c r="AM33" s="3" t="n">
        <v>180</v>
      </c>
      <c r="AN33" s="4">
        <f>AE33</f>
        <v/>
      </c>
      <c r="AO33" s="231">
        <f>2*9.46</f>
        <v/>
      </c>
      <c r="AP33" s="255">
        <f>360-AK33-AB33</f>
        <v/>
      </c>
      <c r="AQ33" s="165" t="n"/>
      <c r="AR33" s="13">
        <f>AVERAGE(AO31:AO37)</f>
        <v/>
      </c>
      <c r="AS33" s="15">
        <f>IF(ISNUMBER([2]HRT_SRT!R87),[2]HRT_SRT!R87,"")</f>
        <v/>
      </c>
      <c r="AT33" s="156">
        <f>(E33-W33)/E33</f>
        <v/>
      </c>
      <c r="AU33" s="155">
        <f>(I33-AF33)/I33</f>
        <v/>
      </c>
      <c r="AV33" s="155">
        <f>AG33/(AD33-AF33)</f>
        <v/>
      </c>
      <c r="AW33" s="155">
        <f>(G33-AM33)/G33</f>
        <v/>
      </c>
      <c r="AX33" s="254">
        <f>IF(AND(ISNUMBER(E33),ISNUMBER(W33)),E33-W33,"")</f>
        <v/>
      </c>
      <c r="AY33" s="254">
        <f>IF(AND(ISNUMBER(I33),ISNUMBER(AF33)),I33-AF33,"")</f>
        <v/>
      </c>
      <c r="AZ33" s="254">
        <f>IF(AND(ISNUMBER(AM33),ISNUMBER(G33)),G33-AM33,"")</f>
        <v/>
      </c>
      <c r="BA33" s="254">
        <f>IF(AND(ISNUMBER(AC33),ISNUMBER(AE33)),AC33-AE33,"")</f>
        <v/>
      </c>
      <c r="BB33" s="254">
        <f>IF(AND(ISNUMBER(AL33),ISNUMBER(AM33)),AL33-AM33,"")</f>
        <v/>
      </c>
      <c r="BC33" s="84">
        <f>IF(AND($E33&gt;0,$W33&gt;0),IF(($E33-$W33)/$E33&gt;0,($E33-$W33)/$E33,0),"")</f>
        <v/>
      </c>
      <c r="BD33" s="84">
        <f>IF(AND($I33&gt;0,$AF33&gt;=0),IF(($I33-$AF33)/$I33&gt;0,($I33-$AF33)/$I33,0),"")</f>
        <v/>
      </c>
      <c r="BE33" s="84">
        <f>IF(AND($AG33&gt;=0,$AD33&gt;=0,$AF33&gt;=0),IF($AG33/($AD33-$AF33)&gt;0,$AG33/($AD33-$AF33),0),"")</f>
        <v/>
      </c>
      <c r="BF33" s="84">
        <f>IF(AND($G33&gt;0,$AM33&gt;0),IF(($G33-$AM33)/$G33&gt;0,($G33-$AM33)/$G33,0),"")</f>
        <v/>
      </c>
      <c r="BG33" s="6">
        <f>IF((AD33-AF33)/(AJ33/60)&lt;=0,"",(AD33-AF33)/(AJ33/60))</f>
        <v/>
      </c>
      <c r="BH33" s="6">
        <f>IF(OR(AJ33=0,AP33=0,NOT(ISNUMBER(AD33)),NOT(ISNUMBER(AF33)),NOT(ISNUMBER(AJ33)),NOT(ISNUMBER(AP33))),"",
IFERROR(IF((AD33-AF33)/(AJ33/60)/(AP33/1000)&lt;=0,"",(AD33-AF33)/(AJ33/60)/(AP33/1000)),""))</f>
        <v/>
      </c>
    </row>
    <row r="34" ht="15" customHeight="1">
      <c r="B34" t="n">
        <v>-210</v>
      </c>
      <c r="C34" s="12" t="inlineStr">
        <is>
          <t>adjust wasting to 15 sec</t>
        </is>
      </c>
      <c r="D34" s="167" t="n">
        <v>45294</v>
      </c>
      <c r="E34" s="166" t="n"/>
      <c r="F34" s="136" t="n">
        <v>29</v>
      </c>
      <c r="G34" s="205">
        <f>IF(OR(S34="",S34=0),"",S34*2)</f>
        <v/>
      </c>
      <c r="I34" s="9">
        <f>(N34*18-H34*9)/9</f>
        <v/>
      </c>
      <c r="J34" s="9" t="n">
        <v>21.12</v>
      </c>
      <c r="K34" s="15">
        <f>AD34</f>
        <v/>
      </c>
      <c r="M34" s="10">
        <f>IF(OR(E34="",G34="",E34=0,G34=0),"",E34/G34)</f>
        <v/>
      </c>
      <c r="N34" s="9">
        <f>IF(OR(E34="",I34="",E34=0,I34=0),"",E34/(I34*2))</f>
        <v/>
      </c>
      <c r="O34" s="8">
        <f>IF(OR(I34="",G34="",I34=0,G34=0),"",I34*2/G34)</f>
        <v/>
      </c>
      <c r="P34" s="7" t="n">
        <v>27.75</v>
      </c>
      <c r="U34" s="6">
        <f>'[2]1-3-2024'!Q6</f>
        <v/>
      </c>
      <c r="V34" s="6">
        <f>'[2]1-3-2024'!I12</f>
        <v/>
      </c>
      <c r="Y34" s="6">
        <f>'[2]1-3-2024'!Q12</f>
        <v/>
      </c>
      <c r="AD34" s="5" t="n">
        <v>80</v>
      </c>
      <c r="AE34" s="7">
        <f>T34</f>
        <v/>
      </c>
      <c r="AF34" s="231">
        <f>'[2]1-3-2024'!G13</f>
        <v/>
      </c>
      <c r="AG34" s="231">
        <f>'[2]1-3-2024'!I21</f>
        <v/>
      </c>
      <c r="AH34" s="231">
        <f>'[2]1-3-2024'!G21</f>
        <v/>
      </c>
      <c r="AI34" s="204" t="n">
        <v>5.12</v>
      </c>
      <c r="AJ34" s="203" t="n">
        <v>0.494212962962963</v>
      </c>
      <c r="AL34" s="231" t="n">
        <v>175</v>
      </c>
      <c r="AM34" s="3" t="n">
        <v>180</v>
      </c>
      <c r="AN34" s="4">
        <f>AE34</f>
        <v/>
      </c>
      <c r="AO34" s="6">
        <f>'[2]1-3-2024'!I27</f>
        <v/>
      </c>
      <c r="AP34" s="255">
        <f>360-AK34-AB34</f>
        <v/>
      </c>
      <c r="AQ34" s="165">
        <f>[2]TSS_VSS!H86</f>
        <v/>
      </c>
      <c r="AR34" s="13">
        <f>AVERAGE(AO32:AO38)</f>
        <v/>
      </c>
      <c r="AS34" s="15">
        <f>IF(ISNUMBER([2]HRT_SRT!R88),[2]HRT_SRT!R88,"")</f>
        <v/>
      </c>
      <c r="AT34" s="156">
        <f>(E34-W34)/E34</f>
        <v/>
      </c>
      <c r="AU34" s="155">
        <f>(I34-AF34)/I34</f>
        <v/>
      </c>
      <c r="AV34" s="155">
        <f>AG34/(AD34-AF34)</f>
        <v/>
      </c>
      <c r="AW34" s="155">
        <f>(G34-AM34)/G34</f>
        <v/>
      </c>
      <c r="AX34" s="254">
        <f>IF(AND(ISNUMBER(E34),ISNUMBER(W34)),E34-W34,"")</f>
        <v/>
      </c>
      <c r="AY34" s="254">
        <f>IF(AND(ISNUMBER(I34),ISNUMBER(AF34)),I34-AF34,"")</f>
        <v/>
      </c>
      <c r="AZ34" s="254">
        <f>IF(AND(ISNUMBER(AM34),ISNUMBER(G34)),G34-AM34,"")</f>
        <v/>
      </c>
      <c r="BA34" s="254">
        <f>IF(AND(ISNUMBER(AC34),ISNUMBER(AE34)),AC34-AE34,"")</f>
        <v/>
      </c>
      <c r="BB34" s="254">
        <f>IF(AND(ISNUMBER(AL34),ISNUMBER(AM34)),AL34-AM34,"")</f>
        <v/>
      </c>
      <c r="BC34" s="84">
        <f>IF(AND($E34&gt;0,$W34&gt;0),IF(($E34-$W34)/$E34&gt;0,($E34-$W34)/$E34,0),"")</f>
        <v/>
      </c>
      <c r="BD34" s="84">
        <f>IF(AND($I34&gt;0,$AF34&gt;=0),IF(($I34-$AF34)/$I34&gt;0,($I34-$AF34)/$I34,0),"")</f>
        <v/>
      </c>
      <c r="BE34" s="84">
        <f>IF(AND($AG34&gt;=0,$AD34&gt;=0,$AF34&gt;=0),IF($AG34/($AD34-$AF34)&gt;0,$AG34/($AD34-$AF34),0),"")</f>
        <v/>
      </c>
      <c r="BF34" s="84">
        <f>IF(AND($G34&gt;0,$AM34&gt;0),IF(($G34-$AM34)/$G34&gt;0,($G34-$AM34)/$G34,0),"")</f>
        <v/>
      </c>
      <c r="BG34" s="6">
        <f>IF((AD34-AF34)/(AJ34/60)&lt;=0,"",(AD34-AF34)/(AJ34/60))</f>
        <v/>
      </c>
      <c r="BH34" s="6">
        <f>IF(OR(AJ34=0,AP34=0,NOT(ISNUMBER(AD34)),NOT(ISNUMBER(AF34)),NOT(ISNUMBER(AJ34)),NOT(ISNUMBER(AP34))),"",
IFERROR(IF((AD34-AF34)/(AJ34/60)/(AP34/1000)&lt;=0,"",(AD34-AF34)/(AJ34/60)/(AP34/1000)),""))</f>
        <v/>
      </c>
    </row>
    <row r="35" ht="15" customHeight="1">
      <c r="B35" t="n">
        <v>-209</v>
      </c>
      <c r="D35" s="11" t="n">
        <v>45295</v>
      </c>
      <c r="F35" s="3" t="n">
        <v>30</v>
      </c>
      <c r="G35" s="205">
        <f>IF(OR(S35="",S35=0),"",S35*2)</f>
        <v/>
      </c>
      <c r="K35" s="15">
        <f>AD35</f>
        <v/>
      </c>
      <c r="M35" s="10">
        <f>IF(OR(E35="",G35="",E35=0,G35=0),"",E35/G35)</f>
        <v/>
      </c>
      <c r="N35" s="9">
        <f>IF(OR(E35="",I35="",E35=0,I35=0),"",E35/(I35*2))</f>
        <v/>
      </c>
      <c r="O35" s="8">
        <f>IF(OR(I35="",G35="",I35=0,G35=0),"",I35*2/G35)</f>
        <v/>
      </c>
      <c r="AD35" s="5" t="n">
        <v>80</v>
      </c>
      <c r="AF35" s="188">
        <f>(AD34+AD36)/2</f>
        <v/>
      </c>
      <c r="AI35" s="204" t="n">
        <v>5.19</v>
      </c>
      <c r="AJ35" s="203" t="n">
        <v>0.5002314814814814</v>
      </c>
      <c r="AL35" s="231" t="n">
        <v>175</v>
      </c>
      <c r="AM35" s="3" t="n">
        <v>180</v>
      </c>
      <c r="AP35" s="255">
        <f>360-AK35-AB35</f>
        <v/>
      </c>
      <c r="AQ35" s="165" t="n"/>
      <c r="AR35" s="13">
        <f>AVERAGE(AO33:AO39)</f>
        <v/>
      </c>
      <c r="AS35" s="15">
        <f>IF(ISNUMBER([2]HRT_SRT!R89),[2]HRT_SRT!R89,"")</f>
        <v/>
      </c>
      <c r="AT35" s="156">
        <f>(E35-W35)/E35</f>
        <v/>
      </c>
      <c r="AU35" s="155">
        <f>(I35-AF35)/I35</f>
        <v/>
      </c>
      <c r="AV35" s="155">
        <f>AG35/(AD35-AF35)</f>
        <v/>
      </c>
      <c r="AW35" s="155">
        <f>(G35-AM35)/G35</f>
        <v/>
      </c>
      <c r="AX35" s="254">
        <f>IF(AND(ISNUMBER(E35),ISNUMBER(W35)),E35-W35,"")</f>
        <v/>
      </c>
      <c r="AY35" s="254">
        <f>IF(AND(ISNUMBER(I35),ISNUMBER(AF35)),I35-AF35,"")</f>
        <v/>
      </c>
      <c r="AZ35" s="254">
        <f>IF(AND(ISNUMBER(AM35),ISNUMBER(G35)),G35-AM35,"")</f>
        <v/>
      </c>
      <c r="BA35" s="254">
        <f>IF(AND(ISNUMBER(AC35),ISNUMBER(AE35)),AC35-AE35,"")</f>
        <v/>
      </c>
      <c r="BB35" s="254">
        <f>IF(AND(ISNUMBER(AL35),ISNUMBER(AM35)),AL35-AM35,"")</f>
        <v/>
      </c>
      <c r="BC35" s="84">
        <f>IF(AND($E35&gt;0,$W35&gt;0),IF(($E35-$W35)/$E35&gt;0,($E35-$W35)/$E35,0),"")</f>
        <v/>
      </c>
      <c r="BD35" s="84">
        <f>IF(AND($I35&gt;0,$AF35&gt;=0),IF(($I35-$AF35)/$I35&gt;0,($I35-$AF35)/$I35,0),"")</f>
        <v/>
      </c>
      <c r="BE35" s="84">
        <f>IF(AND($AG35&gt;=0,$AD35&gt;=0,$AF35&gt;=0),IF($AG35/($AD35-$AF35)&gt;0,$AG35/($AD35-$AF35),0),"")</f>
        <v/>
      </c>
      <c r="BF35" s="84">
        <f>IF(AND($G35&gt;0,$AM35&gt;0),IF(($G35-$AM35)/$G35&gt;0,($G35-$AM35)/$G35,0),"")</f>
        <v/>
      </c>
      <c r="BG35" s="6">
        <f>IF((AD35-AF35)/(AJ35/60)&lt;=0,"",(AD35-AF35)/(AJ35/60))</f>
        <v/>
      </c>
      <c r="BH35" s="6">
        <f>IF(OR(AJ35=0,AP35=0,NOT(ISNUMBER(AD35)),NOT(ISNUMBER(AF35)),NOT(ISNUMBER(AJ35)),NOT(ISNUMBER(AP35))),"",
IFERROR(IF((AD35-AF35)/(AJ35/60)/(AP35/1000)&lt;=0,"",(AD35-AF35)/(AJ35/60)/(AP35/1000)),""))</f>
        <v/>
      </c>
    </row>
    <row r="36" ht="15" customHeight="1">
      <c r="B36" t="n">
        <v>-208</v>
      </c>
      <c r="D36" s="11" t="n">
        <v>45296</v>
      </c>
      <c r="F36" s="3" t="n">
        <v>31</v>
      </c>
      <c r="G36" s="205">
        <f>IF(OR(S36="",S36=0),"",S36*2)</f>
        <v/>
      </c>
      <c r="I36" s="9">
        <f>(N36*18-H36*9)/9</f>
        <v/>
      </c>
      <c r="J36" s="9">
        <f>2*5.18</f>
        <v/>
      </c>
      <c r="K36" s="15">
        <f>AD36</f>
        <v/>
      </c>
      <c r="M36" s="10">
        <f>IF(OR(E36="",G36="",E36=0,G36=0),"",E36/G36)</f>
        <v/>
      </c>
      <c r="N36" s="9">
        <f>IF(OR(E36="",I36="",E36=0,I36=0),"",E36/(I36*2))</f>
        <v/>
      </c>
      <c r="O36" s="8">
        <f>IF(OR(I36="",G36="",I36=0,G36=0),"",I36*2/G36)</f>
        <v/>
      </c>
      <c r="P36" s="7">
        <f>2*11</f>
        <v/>
      </c>
      <c r="V36" s="6">
        <f>2*23.6</f>
        <v/>
      </c>
      <c r="Z36" s="6" t="n">
        <v>2.77</v>
      </c>
      <c r="AD36" s="5" t="n">
        <v>80</v>
      </c>
      <c r="AE36" s="7">
        <f>T36</f>
        <v/>
      </c>
      <c r="AF36" s="231">
        <f>5*4.04</f>
        <v/>
      </c>
      <c r="AG36" s="231">
        <f>2*14.8</f>
        <v/>
      </c>
      <c r="AH36" s="231" t="n">
        <v>0.249</v>
      </c>
      <c r="AI36" s="204" t="n">
        <v>5.89</v>
      </c>
      <c r="AJ36" s="203" t="n">
        <v>0.5052083333333334</v>
      </c>
      <c r="AL36" s="231" t="n">
        <v>175</v>
      </c>
      <c r="AM36" s="3" t="n">
        <v>180</v>
      </c>
      <c r="AN36" s="4">
        <f>AE36</f>
        <v/>
      </c>
      <c r="AO36" s="231">
        <f>2*5.1</f>
        <v/>
      </c>
      <c r="AP36" s="255">
        <f>360-AK36-AB36</f>
        <v/>
      </c>
      <c r="AQ36" s="165" t="n"/>
      <c r="AR36" s="13">
        <f>AVERAGE(AO34:AO40)</f>
        <v/>
      </c>
      <c r="AS36" s="15">
        <f>IF(ISNUMBER([2]HRT_SRT!R90),[2]HRT_SRT!R90,"")</f>
        <v/>
      </c>
      <c r="AT36" s="156">
        <f>(E36-W36)/E36</f>
        <v/>
      </c>
      <c r="AU36" s="155">
        <f>(I36-AF36)/I36</f>
        <v/>
      </c>
      <c r="AV36" s="155">
        <f>AG36/(AD36-AF36)</f>
        <v/>
      </c>
      <c r="AW36" s="155">
        <f>(G36-AM36)/G36</f>
        <v/>
      </c>
      <c r="AX36" s="254">
        <f>IF(AND(ISNUMBER(E36),ISNUMBER(W36)),E36-W36,"")</f>
        <v/>
      </c>
      <c r="AY36" s="254">
        <f>IF(AND(ISNUMBER(I36),ISNUMBER(AF36)),I36-AF36,"")</f>
        <v/>
      </c>
      <c r="AZ36" s="254">
        <f>IF(AND(ISNUMBER(AM36),ISNUMBER(G36)),G36-AM36,"")</f>
        <v/>
      </c>
      <c r="BA36" s="254">
        <f>IF(AND(ISNUMBER(AC36),ISNUMBER(AE36)),AC36-AE36,"")</f>
        <v/>
      </c>
      <c r="BB36" s="254">
        <f>IF(AND(ISNUMBER(AL36),ISNUMBER(AM36)),AL36-AM36,"")</f>
        <v/>
      </c>
      <c r="BC36" s="84">
        <f>IF(AND($E36&gt;0,$W36&gt;0),IF(($E36-$W36)/$E36&gt;0,($E36-$W36)/$E36,0),"")</f>
        <v/>
      </c>
      <c r="BD36" s="84">
        <f>IF(AND($I36&gt;0,$AF36&gt;=0),IF(($I36-$AF36)/$I36&gt;0,($I36-$AF36)/$I36,0),"")</f>
        <v/>
      </c>
      <c r="BE36" s="84">
        <f>IF(AND($AG36&gt;=0,$AD36&gt;=0,$AF36&gt;=0),IF($AG36/($AD36-$AF36)&gt;0,$AG36/($AD36-$AF36),0),"")</f>
        <v/>
      </c>
      <c r="BF36" s="84">
        <f>IF(AND($G36&gt;0,$AM36&gt;0),IF(($G36-$AM36)/$G36&gt;0,($G36-$AM36)/$G36,0),"")</f>
        <v/>
      </c>
      <c r="BG36" s="6">
        <f>IF((AD36-AF36)/(AJ36/60)&lt;=0,"",(AD36-AF36)/(AJ36/60))</f>
        <v/>
      </c>
      <c r="BH36" s="6">
        <f>IF(OR(AJ36=0,AP36=0,NOT(ISNUMBER(AD36)),NOT(ISNUMBER(AF36)),NOT(ISNUMBER(AJ36)),NOT(ISNUMBER(AP36))),"",
IFERROR(IF((AD36-AF36)/(AJ36/60)/(AP36/1000)&lt;=0,"",(AD36-AF36)/(AJ36/60)/(AP36/1000)),""))</f>
        <v/>
      </c>
    </row>
    <row r="37" ht="15" customHeight="1">
      <c r="B37" t="n">
        <v>-207</v>
      </c>
      <c r="C37" s="12" t="inlineStr">
        <is>
          <t>baby granules formation occurred over weekend</t>
        </is>
      </c>
      <c r="D37" s="11" t="n">
        <v>45297</v>
      </c>
      <c r="F37" s="3" t="n">
        <v>32</v>
      </c>
      <c r="G37" s="205">
        <f>IF(OR(S37="",S37=0),"",S37*2)</f>
        <v/>
      </c>
      <c r="K37" s="15">
        <f>AD37</f>
        <v/>
      </c>
      <c r="M37" s="10">
        <f>IF(OR(E37="",G37="",E37=0,G37=0),"",E37/G37)</f>
        <v/>
      </c>
      <c r="N37" s="9">
        <f>IF(OR(E37="",I37="",E37=0,I37=0),"",E37/(I37*2))</f>
        <v/>
      </c>
      <c r="O37" s="8">
        <f>IF(OR(I37="",G37="",I37=0,G37=0),"",I37*2/G37)</f>
        <v/>
      </c>
      <c r="AD37" s="5" t="n">
        <v>80</v>
      </c>
      <c r="AF37" s="188">
        <f>AD36</f>
        <v/>
      </c>
      <c r="AI37" s="204" t="n">
        <v>6.59</v>
      </c>
      <c r="AJ37" s="203" t="n">
        <v>0.5052083333333334</v>
      </c>
      <c r="AL37" s="231" t="n">
        <v>175</v>
      </c>
      <c r="AM37" s="3" t="n">
        <v>180</v>
      </c>
      <c r="AP37" s="255">
        <f>360-AK37-AB37</f>
        <v/>
      </c>
      <c r="AQ37" s="165" t="n"/>
      <c r="AR37" s="13">
        <f>AVERAGE(AO35:AO41)</f>
        <v/>
      </c>
      <c r="AS37" s="15">
        <f>IF(ISNUMBER([2]HRT_SRT!R91),[2]HRT_SRT!R91,"")</f>
        <v/>
      </c>
      <c r="AT37" s="156">
        <f>(E37-W37)/E37</f>
        <v/>
      </c>
      <c r="AU37" s="155">
        <f>(I37-AF37)/I37</f>
        <v/>
      </c>
      <c r="AV37" s="155">
        <f>AG37/(AD37-AF37)</f>
        <v/>
      </c>
      <c r="AW37" s="155">
        <f>(G37-AM37)/G37</f>
        <v/>
      </c>
      <c r="AX37" s="254">
        <f>IF(AND(ISNUMBER(E37),ISNUMBER(W37)),E37-W37,"")</f>
        <v/>
      </c>
      <c r="AY37" s="254">
        <f>IF(AND(ISNUMBER(I37),ISNUMBER(AF37)),I37-AF37,"")</f>
        <v/>
      </c>
      <c r="AZ37" s="254">
        <f>IF(AND(ISNUMBER(AM37),ISNUMBER(G37)),G37-AM37,"")</f>
        <v/>
      </c>
      <c r="BA37" s="254">
        <f>IF(AND(ISNUMBER(AC37),ISNUMBER(AE37)),AC37-AE37,"")</f>
        <v/>
      </c>
      <c r="BB37" s="254">
        <f>IF(AND(ISNUMBER(AL37),ISNUMBER(AM37)),AL37-AM37,"")</f>
        <v/>
      </c>
      <c r="BC37" s="84">
        <f>IF(AND($E37&gt;0,$W37&gt;0),IF(($E37-$W37)/$E37&gt;0,($E37-$W37)/$E37,0),"")</f>
        <v/>
      </c>
      <c r="BD37" s="84">
        <f>IF(AND($I37&gt;0,$AF37&gt;=0),IF(($I37-$AF37)/$I37&gt;0,($I37-$AF37)/$I37,0),"")</f>
        <v/>
      </c>
      <c r="BE37" s="84">
        <f>IF(AND($AG37&gt;=0,$AD37&gt;=0,$AF37&gt;=0),IF($AG37/($AD37-$AF37)&gt;0,$AG37/($AD37-$AF37),0),"")</f>
        <v/>
      </c>
      <c r="BF37" s="84">
        <f>IF(AND($G37&gt;0,$AM37&gt;0),IF(($G37-$AM37)/$G37&gt;0,($G37-$AM37)/$G37,0),"")</f>
        <v/>
      </c>
      <c r="BG37" s="6">
        <f>IF((AD37-AF37)/(AJ37/60)&lt;=0,"",(AD37-AF37)/(AJ37/60))</f>
        <v/>
      </c>
      <c r="BH37" s="6">
        <f>IF(OR(AJ37=0,AP37=0,NOT(ISNUMBER(AD37)),NOT(ISNUMBER(AF37)),NOT(ISNUMBER(AJ37)),NOT(ISNUMBER(AP37))),"",
IFERROR(IF((AD37-AF37)/(AJ37/60)/(AP37/1000)&lt;=0,"",(AD37-AF37)/(AJ37/60)/(AP37/1000)),""))</f>
        <v/>
      </c>
    </row>
    <row r="38" ht="15" customHeight="1">
      <c r="B38" t="n">
        <v>-206</v>
      </c>
      <c r="D38" s="11" t="n">
        <v>45298</v>
      </c>
      <c r="F38" s="3" t="n">
        <v>33</v>
      </c>
      <c r="G38" s="205">
        <f>IF(OR(S38="",S38=0),"",S38*2)</f>
        <v/>
      </c>
      <c r="K38" s="15">
        <f>AD38</f>
        <v/>
      </c>
      <c r="M38" s="10">
        <f>IF(OR(E38="",G38="",E38=0,G38=0),"",E38/G38)</f>
        <v/>
      </c>
      <c r="N38" s="9">
        <f>IF(OR(E38="",I38="",E38=0,I38=0),"",E38/(I38*2))</f>
        <v/>
      </c>
      <c r="O38" s="8">
        <f>IF(OR(I38="",G38="",I38=0,G38=0),"",I38*2/G38)</f>
        <v/>
      </c>
      <c r="AD38" s="5" t="n">
        <v>80</v>
      </c>
      <c r="AF38" s="188">
        <f>AD36</f>
        <v/>
      </c>
      <c r="AI38" s="204" t="n">
        <v>6.81</v>
      </c>
      <c r="AJ38" s="203" t="n">
        <v>0.5046296296296297</v>
      </c>
      <c r="AL38" s="231" t="n">
        <v>175</v>
      </c>
      <c r="AM38" s="3" t="n">
        <v>180</v>
      </c>
      <c r="AP38" s="255">
        <f>360-AK38-AB38</f>
        <v/>
      </c>
      <c r="AQ38" s="165" t="n"/>
      <c r="AR38" s="13">
        <f>AVERAGE(AO36:AO42)</f>
        <v/>
      </c>
      <c r="AS38" s="15">
        <f>IF(ISNUMBER([2]HRT_SRT!R92),[2]HRT_SRT!R92,"")</f>
        <v/>
      </c>
      <c r="AT38" s="156">
        <f>(E38-W38)/E38</f>
        <v/>
      </c>
      <c r="AU38" s="155">
        <f>(I38-AF38)/I38</f>
        <v/>
      </c>
      <c r="AV38" s="155">
        <f>AG38/(AD38-AF38)</f>
        <v/>
      </c>
      <c r="AW38" s="155">
        <f>(G38-AM38)/G38</f>
        <v/>
      </c>
      <c r="AX38" s="254">
        <f>IF(AND(ISNUMBER(E38),ISNUMBER(W38)),E38-W38,"")</f>
        <v/>
      </c>
      <c r="AY38" s="254">
        <f>IF(AND(ISNUMBER(I38),ISNUMBER(AF38)),I38-AF38,"")</f>
        <v/>
      </c>
      <c r="AZ38" s="254">
        <f>IF(AND(ISNUMBER(AM38),ISNUMBER(G38)),G38-AM38,"")</f>
        <v/>
      </c>
      <c r="BA38" s="254">
        <f>IF(AND(ISNUMBER(AC38),ISNUMBER(AE38)),AC38-AE38,"")</f>
        <v/>
      </c>
      <c r="BB38" s="254">
        <f>IF(AND(ISNUMBER(AL38),ISNUMBER(AM38)),AL38-AM38,"")</f>
        <v/>
      </c>
      <c r="BC38" s="84">
        <f>IF(AND($E38&gt;0,$W38&gt;0),IF(($E38-$W38)/$E38&gt;0,($E38-$W38)/$E38,0),"")</f>
        <v/>
      </c>
      <c r="BD38" s="84">
        <f>IF(AND($I38&gt;0,$AF38&gt;=0),IF(($I38-$AF38)/$I38&gt;0,($I38-$AF38)/$I38,0),"")</f>
        <v/>
      </c>
      <c r="BE38" s="84">
        <f>IF(AND($AG38&gt;=0,$AD38&gt;=0,$AF38&gt;=0),IF($AG38/($AD38-$AF38)&gt;0,$AG38/($AD38-$AF38),0),"")</f>
        <v/>
      </c>
      <c r="BF38" s="84">
        <f>IF(AND($G38&gt;0,$AM38&gt;0),IF(($G38-$AM38)/$G38&gt;0,($G38-$AM38)/$G38,0),"")</f>
        <v/>
      </c>
      <c r="BG38" s="6">
        <f>IF((AD38-AF38)/(AJ38/60)&lt;=0,"",(AD38-AF38)/(AJ38/60))</f>
        <v/>
      </c>
      <c r="BH38" s="6">
        <f>IF(OR(AJ38=0,AP38=0,NOT(ISNUMBER(AD38)),NOT(ISNUMBER(AF38)),NOT(ISNUMBER(AJ38)),NOT(ISNUMBER(AP38))),"",
IFERROR(IF((AD38-AF38)/(AJ38/60)/(AP38/1000)&lt;=0,"",(AD38-AF38)/(AJ38/60)/(AP38/1000)),""))</f>
        <v/>
      </c>
    </row>
    <row r="39" ht="15" customHeight="1">
      <c r="B39" t="n">
        <v>-205</v>
      </c>
      <c r="C39" s="12" t="inlineStr">
        <is>
          <t xml:space="preserve">very obvious clear effluent </t>
        </is>
      </c>
      <c r="D39" s="167" t="n">
        <v>45299</v>
      </c>
      <c r="E39" s="166" t="n"/>
      <c r="F39" s="136" t="n">
        <v>34</v>
      </c>
      <c r="G39" s="205">
        <f>IF(OR(S39="",S39=0),"",S39*2)</f>
        <v/>
      </c>
      <c r="H39" s="9">
        <f>'[2]1-8-2024'!$AR$42+'[2]1-8-2024'!$AR$85</f>
        <v/>
      </c>
      <c r="I39" s="9">
        <f>(N39*18-H39*9)/9</f>
        <v/>
      </c>
      <c r="J39" s="9">
        <f>'[2]1-8-2024'!$I$28</f>
        <v/>
      </c>
      <c r="K39" s="15">
        <f>AD39</f>
        <v/>
      </c>
      <c r="M39" s="10">
        <f>IF(OR(E39="",G39="",E39=0,G39=0),"",E39/G39)</f>
        <v/>
      </c>
      <c r="N39" s="9">
        <f>IF(OR(E39="",I39="",E39=0,I39=0),"",E39/(I39*2))</f>
        <v/>
      </c>
      <c r="O39" s="8">
        <f>IF(OR(I39="",G39="",I39=0,G39=0),"",I39*2/G39)</f>
        <v/>
      </c>
      <c r="P39" s="7">
        <f>'[2]1-8-2024'!$I$6</f>
        <v/>
      </c>
      <c r="U39" s="6">
        <f>'[2]1-8-2024'!$Q$6</f>
        <v/>
      </c>
      <c r="V39" s="6">
        <f>'[2]1-8-2024'!$I$12</f>
        <v/>
      </c>
      <c r="Y39" s="6">
        <f>'[2]1-8-2024'!$Q$12</f>
        <v/>
      </c>
      <c r="Z39" s="6" t="n">
        <v>4.92</v>
      </c>
      <c r="AD39" s="5" t="n">
        <v>80</v>
      </c>
      <c r="AE39" s="7">
        <f>T39</f>
        <v/>
      </c>
      <c r="AF39" s="231">
        <f>'[2]1-8-2024'!G13</f>
        <v/>
      </c>
      <c r="AG39" s="231">
        <f>'[2]1-8-2024'!$I$21</f>
        <v/>
      </c>
      <c r="AH39" s="231">
        <f>'[2]1-8-2024'!G21</f>
        <v/>
      </c>
      <c r="AI39" s="204" t="n">
        <v>6.74</v>
      </c>
      <c r="AJ39" s="203" t="n">
        <v>0.5078703703703704</v>
      </c>
      <c r="AL39" s="231" t="n">
        <v>175</v>
      </c>
      <c r="AM39" s="3" t="n">
        <v>180</v>
      </c>
      <c r="AN39" s="4">
        <f>AE39</f>
        <v/>
      </c>
      <c r="AO39" s="6">
        <f>'[2]1-8-2024'!$I$27</f>
        <v/>
      </c>
      <c r="AP39" s="255">
        <f>360-AK39-AB39</f>
        <v/>
      </c>
      <c r="AQ39" s="165">
        <f>[2]TSS_VSS!H92</f>
        <v/>
      </c>
      <c r="AR39" s="13">
        <f>AVERAGE(AO37:AO43)</f>
        <v/>
      </c>
      <c r="AS39" s="15">
        <f>IF(ISNUMBER([2]HRT_SRT!R93),[2]HRT_SRT!R93,"")</f>
        <v/>
      </c>
      <c r="AT39" s="156">
        <f>(E39-W39)/E39</f>
        <v/>
      </c>
      <c r="AU39" s="155">
        <f>(I39-AF39)/I39</f>
        <v/>
      </c>
      <c r="AV39" s="155">
        <f>AG39/(AD39-AF39)</f>
        <v/>
      </c>
      <c r="AW39" s="155">
        <f>(G39-AM39)/G39</f>
        <v/>
      </c>
      <c r="AX39" s="254">
        <f>IF(AND(ISNUMBER(E39),ISNUMBER(W39)),E39-W39,"")</f>
        <v/>
      </c>
      <c r="AY39" s="254">
        <f>IF(AND(ISNUMBER(I39),ISNUMBER(AF39)),I39-AF39,"")</f>
        <v/>
      </c>
      <c r="AZ39" s="254">
        <f>IF(AND(ISNUMBER(AM39),ISNUMBER(G39)),G39-AM39,"")</f>
        <v/>
      </c>
      <c r="BA39" s="254">
        <f>IF(AND(ISNUMBER(AC39),ISNUMBER(AE39)),AC39-AE39,"")</f>
        <v/>
      </c>
      <c r="BB39" s="254">
        <f>IF(AND(ISNUMBER(AL39),ISNUMBER(AM39)),AL39-AM39,"")</f>
        <v/>
      </c>
      <c r="BC39" s="123">
        <f>IF(AND($E39&gt;0,$W39&gt;0),IF(($E39-$W39)/$E39&gt;0,($E39-$W39)/$E39,0),"")</f>
        <v/>
      </c>
      <c r="BD39" s="123">
        <f>IF(AND($I39&gt;0,$AF39&gt;=0),IF(($I39-$AF39)/$I39&gt;0,($I39-$AF39)/$I39,0),"")</f>
        <v/>
      </c>
      <c r="BE39" s="123">
        <f>IF(AND($AG39&gt;=0,$AD39&gt;=0,$AF39&gt;=0),IF($AG39/($AD39-$AF39)&gt;0,$AG39/($AD39-$AF39),0),"")</f>
        <v/>
      </c>
      <c r="BF39" s="123">
        <f>IF(AND($G39&gt;0,$AM39&gt;0),IF(($G39-$AM39)/$G39&gt;0,($G39-$AM39)/$G39,0),"")</f>
        <v/>
      </c>
      <c r="BG39" s="6">
        <f>IF((AD39-AF39)/(AJ39/60)&lt;=0,"",(AD39-AF39)/(AJ39/60))</f>
        <v/>
      </c>
      <c r="BH39" s="6">
        <f>IF(OR(AJ39=0,AP39=0,NOT(ISNUMBER(AD39)),NOT(ISNUMBER(AF39)),NOT(ISNUMBER(AJ39)),NOT(ISNUMBER(AP39))),"",
IFERROR(IF((AD39-AF39)/(AJ39/60)/(AP39/1000)&lt;=0,"",(AD39-AF39)/(AJ39/60)/(AP39/1000)),""))</f>
        <v/>
      </c>
    </row>
    <row r="40" ht="15" customHeight="1">
      <c r="B40" t="n">
        <v>-204</v>
      </c>
      <c r="D40" s="11" t="n">
        <v>45300</v>
      </c>
      <c r="F40" s="3" t="n">
        <v>35</v>
      </c>
      <c r="G40" s="205">
        <f>IF(OR(S40="",S40=0),"",S40*2)</f>
        <v/>
      </c>
      <c r="I40" s="71" t="n">
        <v>34.41</v>
      </c>
      <c r="K40" s="15">
        <f>AD40</f>
        <v/>
      </c>
      <c r="M40" s="10">
        <f>IF(OR(E40="",G40="",E40=0,G40=0),"",E40/G40)</f>
        <v/>
      </c>
      <c r="N40" s="9">
        <f>IF(OR(E40="",I40="",E40=0,I40=0),"",E40/(I40*2))</f>
        <v/>
      </c>
      <c r="O40" s="8">
        <f>IF(OR(I40="",G40="",I40=0,G40=0),"",I40*2/G40)</f>
        <v/>
      </c>
      <c r="AD40" s="5" t="n">
        <v>80</v>
      </c>
      <c r="AE40" s="4">
        <f>5*10.9</f>
        <v/>
      </c>
      <c r="AF40" s="231">
        <f>5*4.75</f>
        <v/>
      </c>
      <c r="AG40" s="231">
        <f>5*6.54</f>
        <v/>
      </c>
      <c r="AH40" s="231" t="n">
        <v>2.35</v>
      </c>
      <c r="AI40" s="204" t="n">
        <v>7.21</v>
      </c>
      <c r="AJ40" s="203" t="n">
        <v>0.5115740740740741</v>
      </c>
      <c r="AL40" s="231" t="n">
        <v>175</v>
      </c>
      <c r="AM40" s="3" t="n">
        <v>180</v>
      </c>
      <c r="AN40" s="4">
        <f>AE40</f>
        <v/>
      </c>
      <c r="AO40" s="231">
        <f>5*4.14</f>
        <v/>
      </c>
      <c r="AP40" s="255">
        <f>360-AK40-AB40</f>
        <v/>
      </c>
      <c r="AQ40" s="165" t="n"/>
      <c r="AR40" s="13">
        <f>AVERAGE(AO38:AO44)</f>
        <v/>
      </c>
      <c r="AS40" s="15">
        <f>IF(ISNUMBER([2]HRT_SRT!R94),[2]HRT_SRT!R94,"")</f>
        <v/>
      </c>
      <c r="AT40" s="156">
        <f>(E40-W40)/E40</f>
        <v/>
      </c>
      <c r="AU40" s="155">
        <f>(I40-AF40)/I40</f>
        <v/>
      </c>
      <c r="AV40" s="155">
        <f>AG40/(AD40-AF40)</f>
        <v/>
      </c>
      <c r="AW40" s="155">
        <f>(G40-AM40)/G40</f>
        <v/>
      </c>
      <c r="AX40" s="254">
        <f>IF(AND(ISNUMBER(E40),ISNUMBER(W40)),E40-W40,"")</f>
        <v/>
      </c>
      <c r="AY40" s="254">
        <f>IF(AND(ISNUMBER(I40),ISNUMBER(AF40)),I40-AF40,"")</f>
        <v/>
      </c>
      <c r="AZ40" s="254">
        <f>IF(AND(ISNUMBER(AM40),ISNUMBER(G40)),G40-AM40,"")</f>
        <v/>
      </c>
      <c r="BA40" s="254">
        <f>IF(AND(ISNUMBER(AC40),ISNUMBER(AE40)),AC40-AE40,"")</f>
        <v/>
      </c>
      <c r="BB40" s="254">
        <f>IF(AND(ISNUMBER(AL40),ISNUMBER(AM40)),AL40-AM40,"")</f>
        <v/>
      </c>
      <c r="BC40" s="123">
        <f>IF(AND($E40&gt;0,$W40&gt;0),IF(($E40-$W40)/$E40&gt;0,($E40-$W40)/$E40,0),"")</f>
        <v/>
      </c>
      <c r="BD40" s="123">
        <f>IF(AND($I40&gt;0,$AF40&gt;=0),IF(($I40-$AF40)/$I40&gt;0,($I40-$AF40)/$I40,0),"")</f>
        <v/>
      </c>
      <c r="BE40" s="123">
        <f>IF(AND($AG40&gt;=0,$AD40&gt;=0,$AF40&gt;=0),IF($AG40/($AD40-$AF40)&gt;0,$AG40/($AD40-$AF40),0),"")</f>
        <v/>
      </c>
      <c r="BF40" s="123">
        <f>IF(AND($G40&gt;0,$AM40&gt;0),IF(($G40-$AM40)/$G40&gt;0,($G40-$AM40)/$G40,0),"")</f>
        <v/>
      </c>
      <c r="BG40" s="6">
        <f>IF((AD40-AF40)/(AJ40/60)&lt;=0,"",(AD40-AF40)/(AJ40/60))</f>
        <v/>
      </c>
      <c r="BH40" s="6">
        <f>IF(OR(AJ40=0,AP40=0,NOT(ISNUMBER(AD40)),NOT(ISNUMBER(AF40)),NOT(ISNUMBER(AJ40)),NOT(ISNUMBER(AP40))),"",
IFERROR(IF((AD40-AF40)/(AJ40/60)/(AP40/1000)&lt;=0,"",(AD40-AF40)/(AJ40/60)/(AP40/1000)),""))</f>
        <v/>
      </c>
    </row>
    <row r="41" ht="15" customHeight="1">
      <c r="B41" t="n">
        <v>-203</v>
      </c>
      <c r="C41" s="12" t="inlineStr">
        <is>
          <t>adjust wasting to 22 sec</t>
        </is>
      </c>
      <c r="D41" s="11" t="n">
        <v>45301</v>
      </c>
      <c r="F41" s="3" t="n">
        <v>36</v>
      </c>
      <c r="G41" s="205">
        <f>IF(OR(S41="",S41=0),"",S41*2)</f>
        <v/>
      </c>
      <c r="I41" s="71" t="n">
        <v>34.41</v>
      </c>
      <c r="K41" s="15">
        <f>AD41</f>
        <v/>
      </c>
      <c r="M41" s="10">
        <f>IF(OR(E41="",G41="",E41=0,G41=0),"",E41/G41)</f>
        <v/>
      </c>
      <c r="N41" s="9">
        <f>IF(OR(E41="",I41="",E41=0,I41=0),"",E41/(I41*2))</f>
        <v/>
      </c>
      <c r="O41" s="8">
        <f>IF(OR(I41="",G41="",I41=0,G41=0),"",I41*2/G41)</f>
        <v/>
      </c>
      <c r="AD41" s="5" t="n">
        <v>80</v>
      </c>
      <c r="AE41" s="4">
        <f>5*12</f>
        <v/>
      </c>
      <c r="AF41" s="231">
        <f>5*5.06</f>
        <v/>
      </c>
      <c r="AG41" s="231">
        <f>5*7.93</f>
        <v/>
      </c>
      <c r="AH41" s="231" t="n">
        <v>3.2</v>
      </c>
      <c r="AI41" t="n">
        <v>8.289999999999999</v>
      </c>
      <c r="AJ41" s="119" t="n">
        <v>0.5188657407407408</v>
      </c>
      <c r="AL41" s="231" t="n">
        <v>175</v>
      </c>
      <c r="AM41" s="3" t="n">
        <v>180</v>
      </c>
      <c r="AN41" s="4">
        <f>AE41</f>
        <v/>
      </c>
      <c r="AO41" s="231">
        <f>5*4.79</f>
        <v/>
      </c>
      <c r="AP41" s="255">
        <f>360-AK41-AB41</f>
        <v/>
      </c>
      <c r="AQ41" s="165" t="n"/>
      <c r="AR41" s="13">
        <f>AVERAGE(AO39:AO45)</f>
        <v/>
      </c>
      <c r="AS41" s="15">
        <f>IF(ISNUMBER([2]HRT_SRT!R95),[2]HRT_SRT!R95,"")</f>
        <v/>
      </c>
      <c r="AT41" s="156">
        <f>(E41-W41)/E41</f>
        <v/>
      </c>
      <c r="AU41" s="155">
        <f>(I41-AF41)/I41</f>
        <v/>
      </c>
      <c r="AV41" s="155">
        <f>AG41/(AD41-AF41)</f>
        <v/>
      </c>
      <c r="AW41" s="155">
        <f>(G41-AM41)/G41</f>
        <v/>
      </c>
      <c r="AX41" s="254">
        <f>IF(AND(ISNUMBER(E41),ISNUMBER(W41)),E41-W41,"")</f>
        <v/>
      </c>
      <c r="AY41" s="254">
        <f>IF(AND(ISNUMBER(I41),ISNUMBER(AF41)),I41-AF41,"")</f>
        <v/>
      </c>
      <c r="AZ41" s="254">
        <f>IF(AND(ISNUMBER(AM41),ISNUMBER(G41)),G41-AM41,"")</f>
        <v/>
      </c>
      <c r="BA41" s="254">
        <f>IF(AND(ISNUMBER(AC41),ISNUMBER(AE41)),AC41-AE41,"")</f>
        <v/>
      </c>
      <c r="BB41" s="254">
        <f>IF(AND(ISNUMBER(AL41),ISNUMBER(AM41)),AL41-AM41,"")</f>
        <v/>
      </c>
      <c r="BC41" s="123">
        <f>IF(AND($E41&gt;0,$W41&gt;0),IF(($E41-$W41)/$E41&gt;0,($E41-$W41)/$E41,0),"")</f>
        <v/>
      </c>
      <c r="BD41" s="123">
        <f>IF(AND($I41&gt;0,$AF41&gt;=0),IF(($I41-$AF41)/$I41&gt;0,($I41-$AF41)/$I41,0),"")</f>
        <v/>
      </c>
      <c r="BE41" s="123">
        <f>IF(AND($AG41&gt;=0,$AD41&gt;=0,$AF41&gt;=0),IF($AG41/($AD41-$AF41)&gt;0,$AG41/($AD41-$AF41),0),"")</f>
        <v/>
      </c>
      <c r="BF41" s="123">
        <f>IF(AND($G41&gt;0,$AM41&gt;0),IF(($G41-$AM41)/$G41&gt;0,($G41-$AM41)/$G41,0),"")</f>
        <v/>
      </c>
      <c r="BG41" s="6">
        <f>IF((AD41-AF41)/(AJ41/60)&lt;=0,"",(AD41-AF41)/(AJ41/60))</f>
        <v/>
      </c>
      <c r="BH41" s="6">
        <f>IF(OR(AJ41=0,AP41=0,NOT(ISNUMBER(AD41)),NOT(ISNUMBER(AF41)),NOT(ISNUMBER(AJ41)),NOT(ISNUMBER(AP41))),"",
IFERROR(IF((AD41-AF41)/(AJ41/60)/(AP41/1000)&lt;=0,"",(AD41-AF41)/(AJ41/60)/(AP41/1000)),""))</f>
        <v/>
      </c>
    </row>
    <row r="42" ht="15" customHeight="1">
      <c r="B42" t="n">
        <v>-202</v>
      </c>
      <c r="D42" s="11" t="n">
        <v>45302</v>
      </c>
      <c r="F42" s="3" t="n">
        <v>37</v>
      </c>
      <c r="G42" s="205">
        <f>IF(OR(S42="",S42=0),"",S42*2)</f>
        <v/>
      </c>
      <c r="I42" s="71">
        <f>(G41+G43)/2</f>
        <v/>
      </c>
      <c r="K42" s="15">
        <f>AD42</f>
        <v/>
      </c>
      <c r="M42" s="10">
        <f>IF(OR(E42="",G42="",E42=0,G42=0),"",E42/G42)</f>
        <v/>
      </c>
      <c r="N42" s="9">
        <f>IF(OR(E42="",I42="",E42=0,I42=0),"",E42/(I42*2))</f>
        <v/>
      </c>
      <c r="O42" s="8">
        <f>IF(OR(I42="",G42="",I42=0,G42=0),"",I42*2/G42)</f>
        <v/>
      </c>
      <c r="U42" s="6">
        <f>#REF!</f>
        <v/>
      </c>
      <c r="Z42" s="6" t="n">
        <v>3.94</v>
      </c>
      <c r="AD42" s="5" t="n">
        <v>80</v>
      </c>
      <c r="AF42" s="188" t="n">
        <v>25.35</v>
      </c>
      <c r="AH42" s="231" t="n">
        <v>4.09</v>
      </c>
      <c r="AI42" t="n">
        <v>8.619999999999999</v>
      </c>
      <c r="AJ42" s="119" t="n">
        <v>0.5189814814814815</v>
      </c>
      <c r="AL42" s="231" t="n">
        <v>175</v>
      </c>
      <c r="AM42" s="3" t="n">
        <v>180</v>
      </c>
      <c r="AO42" s="231">
        <f>2*11.3</f>
        <v/>
      </c>
      <c r="AP42" s="255">
        <f>360-AK42-AB42</f>
        <v/>
      </c>
      <c r="AQ42" s="165" t="n"/>
      <c r="AR42" s="13">
        <f>AVERAGE(AO40:AO46)</f>
        <v/>
      </c>
      <c r="AS42" s="15">
        <f>IF(ISNUMBER([2]HRT_SRT!R96),[2]HRT_SRT!R96,"")</f>
        <v/>
      </c>
      <c r="AT42" s="156">
        <f>(E42-W42)/E42</f>
        <v/>
      </c>
      <c r="AU42" s="155">
        <f>(I42-AF42)/I42</f>
        <v/>
      </c>
      <c r="AV42" s="155">
        <f>AG42/(AD42-AF42)</f>
        <v/>
      </c>
      <c r="AW42" s="155">
        <f>(G42-AM42)/G42</f>
        <v/>
      </c>
      <c r="AX42" s="254">
        <f>IF(AND(ISNUMBER(E42),ISNUMBER(W42)),E42-W42,"")</f>
        <v/>
      </c>
      <c r="AY42" s="254">
        <f>IF(AND(ISNUMBER(I42),ISNUMBER(AF42)),I42-AF42,"")</f>
        <v/>
      </c>
      <c r="AZ42" s="254">
        <f>IF(AND(ISNUMBER(AM42),ISNUMBER(G42)),G42-AM42,"")</f>
        <v/>
      </c>
      <c r="BA42" s="254">
        <f>IF(AND(ISNUMBER(AC42),ISNUMBER(AE42)),AC42-AE42,"")</f>
        <v/>
      </c>
      <c r="BB42" s="254">
        <f>IF(AND(ISNUMBER(AL42),ISNUMBER(AM42)),AL42-AM42,"")</f>
        <v/>
      </c>
      <c r="BC42" s="123">
        <f>IF(AND($E42&gt;0,$W42&gt;0),IF(($E42-$W42)/$E42&gt;0,($E42-$W42)/$E42,0),"")</f>
        <v/>
      </c>
      <c r="BD42" s="123">
        <f>IF(AND($I42&gt;0,$AF42&gt;=0),IF(($I42-$AF42)/$I42&gt;0,($I42-$AF42)/$I42,0),"")</f>
        <v/>
      </c>
      <c r="BE42" s="123">
        <f>IF(AND($AG42&gt;=0,$AD42&gt;=0,$AF42&gt;=0),IF($AG42/($AD42-$AF42)&gt;0,$AG42/($AD42-$AF42),0),"")</f>
        <v/>
      </c>
      <c r="BF42" s="123">
        <f>IF(AND($G42&gt;0,$AM42&gt;0),IF(($G42-$AM42)/$G42&gt;0,($G42-$AM42)/$G42,0),"")</f>
        <v/>
      </c>
      <c r="BG42" s="6">
        <f>IF((AD42-AF42)/(AJ42/60)&lt;=0,"",(AD42-AF42)/(AJ42/60))</f>
        <v/>
      </c>
      <c r="BH42" s="6">
        <f>IF(OR(AJ42=0,AP42=0,NOT(ISNUMBER(AD42)),NOT(ISNUMBER(AF42)),NOT(ISNUMBER(AJ42)),NOT(ISNUMBER(AP42))),"",
IFERROR(IF((AD42-AF42)/(AJ42/60)/(AP42/1000)&lt;=0,"",(AD42-AF42)/(AJ42/60)/(AP42/1000)),""))</f>
        <v/>
      </c>
    </row>
    <row r="43" ht="15" customHeight="1">
      <c r="B43" t="n">
        <v>-201</v>
      </c>
      <c r="D43" s="11" t="n">
        <v>45303</v>
      </c>
      <c r="F43" s="3" t="n">
        <v>38</v>
      </c>
      <c r="G43" s="205">
        <f>IF(OR(S43="",S43=0),"",S43*2)</f>
        <v/>
      </c>
      <c r="I43" s="198" t="n">
        <v>26</v>
      </c>
      <c r="K43" s="15">
        <f>AD43</f>
        <v/>
      </c>
      <c r="M43" s="10">
        <f>IF(OR(E43="",G43="",E43=0,G43=0),"",E43/G43)</f>
        <v/>
      </c>
      <c r="N43" s="9">
        <f>IF(OR(E43="",I43="",E43=0,I43=0),"",E43/(I43*2))</f>
        <v/>
      </c>
      <c r="O43" s="8">
        <f>IF(OR(I43="",G43="",I43=0,G43=0),"",I43*2/G43)</f>
        <v/>
      </c>
      <c r="U43" s="6">
        <f>#REF!</f>
        <v/>
      </c>
      <c r="Y43" s="6">
        <f>2.323+1.869</f>
        <v/>
      </c>
      <c r="Z43" s="6" t="n">
        <v>7.34</v>
      </c>
      <c r="AD43" s="5" t="n">
        <v>80</v>
      </c>
      <c r="AE43" s="4">
        <f>25*2.57</f>
        <v/>
      </c>
      <c r="AF43" s="231">
        <f>5*5.08</f>
        <v/>
      </c>
      <c r="AG43" s="231">
        <f>25*1.78</f>
        <v/>
      </c>
      <c r="AH43" s="231" t="n">
        <v>5.03</v>
      </c>
      <c r="AI43" t="n">
        <v>7.53</v>
      </c>
      <c r="AJ43" s="119" t="n">
        <v>0.5186342592592592</v>
      </c>
      <c r="AL43" s="231" t="n">
        <v>175</v>
      </c>
      <c r="AM43" s="3" t="n">
        <v>180</v>
      </c>
      <c r="AN43" s="4">
        <f>AE43</f>
        <v/>
      </c>
      <c r="AO43" s="231">
        <f>25*1.18</f>
        <v/>
      </c>
      <c r="AP43" s="255">
        <f>360-AK43-AB43</f>
        <v/>
      </c>
      <c r="AQ43" s="165" t="n"/>
      <c r="AR43" s="13">
        <f>AVERAGE(AO41:AO47)</f>
        <v/>
      </c>
      <c r="AS43" s="15">
        <f>IF(ISNUMBER([2]HRT_SRT!R97),[2]HRT_SRT!R97,"")</f>
        <v/>
      </c>
      <c r="AT43" s="156">
        <f>(E43-W43)/E43</f>
        <v/>
      </c>
      <c r="AU43" s="155">
        <f>(I43-AF43)/I43</f>
        <v/>
      </c>
      <c r="AV43" s="155">
        <f>AG43/(AD43-AF43)</f>
        <v/>
      </c>
      <c r="AW43" s="155">
        <f>(G43-AM43)/G43</f>
        <v/>
      </c>
      <c r="AX43" s="254">
        <f>IF(AND(ISNUMBER(E43),ISNUMBER(W43)),E43-W43,"")</f>
        <v/>
      </c>
      <c r="AY43" s="254">
        <f>IF(AND(ISNUMBER(I43),ISNUMBER(AF43)),I43-AF43,"")</f>
        <v/>
      </c>
      <c r="AZ43" s="254">
        <f>IF(AND(ISNUMBER(AM43),ISNUMBER(G43)),G43-AM43,"")</f>
        <v/>
      </c>
      <c r="BA43" s="254">
        <f>IF(AND(ISNUMBER(AC43),ISNUMBER(AE43)),AC43-AE43,"")</f>
        <v/>
      </c>
      <c r="BB43" s="254">
        <f>IF(AND(ISNUMBER(AL43),ISNUMBER(AM43)),AL43-AM43,"")</f>
        <v/>
      </c>
      <c r="BC43" s="123">
        <f>IF(AND($E43&gt;0,$W43&gt;0),IF(($E43-$W43)/$E43&gt;0,($E43-$W43)/$E43,0),"")</f>
        <v/>
      </c>
      <c r="BD43" s="123">
        <f>IF(AND($I43&gt;0,$AF43&gt;=0),IF(($I43-$AF43)/$I43&gt;0,($I43-$AF43)/$I43,0),"")</f>
        <v/>
      </c>
      <c r="BE43" s="123">
        <f>IF(AND($AG43&gt;=0,$AD43&gt;=0,$AF43&gt;=0),IF($AG43/($AD43-$AF43)&gt;0,$AG43/($AD43-$AF43),0),"")</f>
        <v/>
      </c>
      <c r="BF43" s="123">
        <f>IF(AND($G43&gt;0,$AM43&gt;0),IF(($G43-$AM43)/$G43&gt;0,($G43-$AM43)/$G43,0),"")</f>
        <v/>
      </c>
      <c r="BG43" s="6">
        <f>IF((AD43-AF43)/(AJ43/60)&lt;=0,"",(AD43-AF43)/(AJ43/60))</f>
        <v/>
      </c>
      <c r="BH43" s="6">
        <f>IF(OR(AJ43=0,AP43=0,NOT(ISNUMBER(AD43)),NOT(ISNUMBER(AF43)),NOT(ISNUMBER(AJ43)),NOT(ISNUMBER(AP43))),"",
IFERROR(IF((AD43-AF43)/(AJ43/60)/(AP43/1000)&lt;=0,"",(AD43-AF43)/(AJ43/60)/(AP43/1000)),""))</f>
        <v/>
      </c>
    </row>
    <row r="44" ht="15" customHeight="1">
      <c r="B44" t="n">
        <v>-200</v>
      </c>
      <c r="D44" s="11" t="n">
        <v>45304</v>
      </c>
      <c r="F44" s="3" t="n">
        <v>39</v>
      </c>
      <c r="G44" s="205">
        <f>IF(OR(S44="",S44=0),"",S44*2)</f>
        <v/>
      </c>
      <c r="I44" s="198" t="n">
        <v>26</v>
      </c>
      <c r="K44" s="15">
        <f>AD44</f>
        <v/>
      </c>
      <c r="M44" s="10">
        <f>IF(OR(E44="",G44="",E44=0,G44=0),"",E44/G44)</f>
        <v/>
      </c>
      <c r="N44" s="9">
        <f>IF(OR(E44="",I44="",E44=0,I44=0),"",E44/(I44*2))</f>
        <v/>
      </c>
      <c r="O44" s="8">
        <f>IF(OR(I44="",G44="",I44=0,G44=0),"",I44*2/G44)</f>
        <v/>
      </c>
      <c r="AD44" s="5" t="n">
        <v>80</v>
      </c>
      <c r="AF44" s="188">
        <f>(AD47-AD43)/3+AD43</f>
        <v/>
      </c>
      <c r="AI44" t="n">
        <v>8.449999999999999</v>
      </c>
      <c r="AJ44" s="119" t="n">
        <v>0.51875</v>
      </c>
      <c r="AL44" s="231" t="n">
        <v>175</v>
      </c>
      <c r="AM44" s="3" t="n">
        <v>180</v>
      </c>
      <c r="AP44" s="255">
        <f>360-AK44-AB44</f>
        <v/>
      </c>
      <c r="AQ44" s="165" t="n"/>
      <c r="AR44" s="13">
        <f>AVERAGE(AO42:AO48)</f>
        <v/>
      </c>
      <c r="AS44" s="15">
        <f>IF(ISNUMBER([2]HRT_SRT!R98),[2]HRT_SRT!R98,"")</f>
        <v/>
      </c>
      <c r="AT44" s="156">
        <f>(E44-W44)/E44</f>
        <v/>
      </c>
      <c r="AU44" s="155">
        <f>(I44-AF44)/I44</f>
        <v/>
      </c>
      <c r="AV44" s="155">
        <f>AG44/(AD44-AF44)</f>
        <v/>
      </c>
      <c r="AW44" s="155">
        <f>(G44-AM44)/G44</f>
        <v/>
      </c>
      <c r="AX44" s="254">
        <f>IF(AND(ISNUMBER(E44),ISNUMBER(W44)),E44-W44,"")</f>
        <v/>
      </c>
      <c r="AY44" s="254">
        <f>IF(AND(ISNUMBER(I44),ISNUMBER(AF44)),I44-AF44,"")</f>
        <v/>
      </c>
      <c r="AZ44" s="254">
        <f>IF(AND(ISNUMBER(AM44),ISNUMBER(G44)),G44-AM44,"")</f>
        <v/>
      </c>
      <c r="BA44" s="254">
        <f>IF(AND(ISNUMBER(AC44),ISNUMBER(AE44)),AC44-AE44,"")</f>
        <v/>
      </c>
      <c r="BB44" s="254">
        <f>IF(AND(ISNUMBER(AL44),ISNUMBER(AM44)),AL44-AM44,"")</f>
        <v/>
      </c>
      <c r="BC44" s="123">
        <f>IF(AND($E44&gt;0,$W44&gt;0),IF(($E44-$W44)/$E44&gt;0,($E44-$W44)/$E44,0),"")</f>
        <v/>
      </c>
      <c r="BD44" s="123">
        <f>IF(AND($I44&gt;0,$AF44&gt;=0),IF(($I44-$AF44)/$I44&gt;0,($I44-$AF44)/$I44,0),"")</f>
        <v/>
      </c>
      <c r="BE44" s="123">
        <f>IF(AND($AG44&gt;=0,$AD44&gt;=0,$AF44&gt;=0),IF($AG44/($AD44-$AF44)&gt;0,$AG44/($AD44-$AF44),0),"")</f>
        <v/>
      </c>
      <c r="BF44" s="123">
        <f>IF(AND($G44&gt;0,$AM44&gt;0),IF(($G44-$AM44)/$G44&gt;0,($G44-$AM44)/$G44,0),"")</f>
        <v/>
      </c>
      <c r="BG44" s="6">
        <f>IF((AD44-AF44)/(AJ44/60)&lt;=0,"",(AD44-AF44)/(AJ44/60))</f>
        <v/>
      </c>
      <c r="BH44" s="6">
        <f>IF(OR(AJ44=0,AP44=0,NOT(ISNUMBER(AD44)),NOT(ISNUMBER(AF44)),NOT(ISNUMBER(AJ44)),NOT(ISNUMBER(AP44))),"",
IFERROR(IF((AD44-AF44)/(AJ44/60)/(AP44/1000)&lt;=0,"",(AD44-AF44)/(AJ44/60)/(AP44/1000)),""))</f>
        <v/>
      </c>
    </row>
    <row r="45" ht="15" customHeight="1">
      <c r="B45" t="n">
        <v>-199</v>
      </c>
      <c r="D45" s="11" t="n">
        <v>45305</v>
      </c>
      <c r="F45" s="3" t="n">
        <v>40</v>
      </c>
      <c r="G45" s="205">
        <f>IF(OR(S45="",S45=0),"",S45*2)</f>
        <v/>
      </c>
      <c r="I45" s="198" t="n">
        <v>26</v>
      </c>
      <c r="K45" s="15">
        <f>AD45</f>
        <v/>
      </c>
      <c r="M45" s="10">
        <f>IF(OR(E45="",G45="",E45=0,G45=0),"",E45/G45)</f>
        <v/>
      </c>
      <c r="N45" s="9">
        <f>IF(OR(E45="",I45="",E45=0,I45=0),"",E45/(I45*2))</f>
        <v/>
      </c>
      <c r="O45" s="8">
        <f>IF(OR(I45="",G45="",I45=0,G45=0),"",I45*2/G45)</f>
        <v/>
      </c>
      <c r="AD45" s="5" t="n">
        <v>80</v>
      </c>
      <c r="AF45" s="188">
        <f>(AD47-AD44)/3+AD44</f>
        <v/>
      </c>
      <c r="AI45" t="n">
        <v>7.32</v>
      </c>
      <c r="AJ45" s="119" t="n">
        <v>0.5188657407407408</v>
      </c>
      <c r="AL45" s="231" t="n">
        <v>175</v>
      </c>
      <c r="AM45" s="3" t="n">
        <v>180</v>
      </c>
      <c r="AP45" s="255">
        <f>360-AK45-AB45</f>
        <v/>
      </c>
      <c r="AQ45" s="165" t="n"/>
      <c r="AR45" s="13">
        <f>AVERAGE(AO43:AO49)</f>
        <v/>
      </c>
      <c r="AS45" s="15">
        <f>IF(ISNUMBER([2]HRT_SRT!R99),[2]HRT_SRT!R99,"")</f>
        <v/>
      </c>
      <c r="AT45" s="156">
        <f>(E45-W45)/E45</f>
        <v/>
      </c>
      <c r="AU45" s="155">
        <f>(I45-AF45)/I45</f>
        <v/>
      </c>
      <c r="AV45" s="155">
        <f>AG45/(AD45-AF45)</f>
        <v/>
      </c>
      <c r="AW45" s="155">
        <f>(G45-AM45)/G45</f>
        <v/>
      </c>
      <c r="AX45" s="254">
        <f>IF(AND(ISNUMBER(E45),ISNUMBER(W45)),E45-W45,"")</f>
        <v/>
      </c>
      <c r="AY45" s="254">
        <f>IF(AND(ISNUMBER(I45),ISNUMBER(AF45)),I45-AF45,"")</f>
        <v/>
      </c>
      <c r="AZ45" s="254">
        <f>IF(AND(ISNUMBER(AM45),ISNUMBER(G45)),G45-AM45,"")</f>
        <v/>
      </c>
      <c r="BA45" s="254">
        <f>IF(AND(ISNUMBER(AC45),ISNUMBER(AE45)),AC45-AE45,"")</f>
        <v/>
      </c>
      <c r="BB45" s="254">
        <f>IF(AND(ISNUMBER(AL45),ISNUMBER(AM45)),AL45-AM45,"")</f>
        <v/>
      </c>
      <c r="BC45" s="123">
        <f>IF(AND($E45&gt;0,$W45&gt;0),IF(($E45-$W45)/$E45&gt;0,($E45-$W45)/$E45,0),"")</f>
        <v/>
      </c>
      <c r="BD45" s="123">
        <f>IF(AND($I45&gt;0,$AF45&gt;=0),IF(($I45-$AF45)/$I45&gt;0,($I45-$AF45)/$I45,0),"")</f>
        <v/>
      </c>
      <c r="BE45" s="123">
        <f>IF(AND($AG45&gt;=0,$AD45&gt;=0,$AF45&gt;=0),IF($AG45/($AD45-$AF45)&gt;0,$AG45/($AD45-$AF45),0),"")</f>
        <v/>
      </c>
      <c r="BF45" s="123">
        <f>IF(AND($G45&gt;0,$AM45&gt;0),IF(($G45-$AM45)/$G45&gt;0,($G45-$AM45)/$G45,0),"")</f>
        <v/>
      </c>
      <c r="BG45" s="6">
        <f>IF((AD45-AF45)/(AJ45/60)&lt;=0,"",(AD45-AF45)/(AJ45/60))</f>
        <v/>
      </c>
      <c r="BH45" s="6">
        <f>IF(OR(AJ45=0,AP45=0,NOT(ISNUMBER(AD45)),NOT(ISNUMBER(AF45)),NOT(ISNUMBER(AJ45)),NOT(ISNUMBER(AP45))),"",
IFERROR(IF((AD45-AF45)/(AJ45/60)/(AP45/1000)&lt;=0,"",(AD45-AF45)/(AJ45/60)/(AP45/1000)),""))</f>
        <v/>
      </c>
    </row>
    <row r="46" ht="15" customHeight="1">
      <c r="B46" t="n">
        <v>-198</v>
      </c>
      <c r="D46" s="11" t="n">
        <v>45306</v>
      </c>
      <c r="F46" s="3" t="n">
        <v>41</v>
      </c>
      <c r="G46" s="205">
        <f>IF(OR(S46="",S46=0),"",S46*2)</f>
        <v/>
      </c>
      <c r="I46" s="198" t="n">
        <v>26</v>
      </c>
      <c r="K46" s="15">
        <f>AD46</f>
        <v/>
      </c>
      <c r="M46" s="10">
        <f>IF(OR(E46="",G46="",E46=0,G46=0),"",E46/G46)</f>
        <v/>
      </c>
      <c r="N46" s="9">
        <f>IF(OR(E46="",I46="",E46=0,I46=0),"",E46/(I46*2))</f>
        <v/>
      </c>
      <c r="O46" s="8">
        <f>IF(OR(I46="",G46="",I46=0,G46=0),"",I46*2/G46)</f>
        <v/>
      </c>
      <c r="AD46" s="5" t="n">
        <v>80</v>
      </c>
      <c r="AF46" s="188">
        <f>(AD47-AD45)/3+AD45</f>
        <v/>
      </c>
      <c r="AI46" t="n">
        <v>7.58</v>
      </c>
      <c r="AJ46" s="119" t="n">
        <v>0.5189814814814815</v>
      </c>
      <c r="AL46" s="231" t="n">
        <v>175</v>
      </c>
      <c r="AM46" s="3" t="n">
        <v>180</v>
      </c>
      <c r="AP46" s="255">
        <f>360-AK46-AB46</f>
        <v/>
      </c>
      <c r="AQ46" s="165" t="n"/>
      <c r="AR46" s="13">
        <f>AVERAGE(AO44:AO50)</f>
        <v/>
      </c>
      <c r="AS46" s="15">
        <f>IF(ISNUMBER([2]HRT_SRT!R100),[2]HRT_SRT!R100,"")</f>
        <v/>
      </c>
      <c r="AT46" s="156">
        <f>(E46-W46)/E46</f>
        <v/>
      </c>
      <c r="AU46" s="155">
        <f>(I46-AF46)/I46</f>
        <v/>
      </c>
      <c r="AV46" s="155">
        <f>AG46/(AD46-AF46)</f>
        <v/>
      </c>
      <c r="AW46" s="155">
        <f>(G46-AM46)/G46</f>
        <v/>
      </c>
      <c r="AX46" s="254">
        <f>IF(AND(ISNUMBER(E46),ISNUMBER(W46)),E46-W46,"")</f>
        <v/>
      </c>
      <c r="AY46" s="254">
        <f>IF(AND(ISNUMBER(I46),ISNUMBER(AF46)),I46-AF46,"")</f>
        <v/>
      </c>
      <c r="AZ46" s="254">
        <f>IF(AND(ISNUMBER(AM46),ISNUMBER(G46)),G46-AM46,"")</f>
        <v/>
      </c>
      <c r="BA46" s="254">
        <f>IF(AND(ISNUMBER(AC46),ISNUMBER(AE46)),AC46-AE46,"")</f>
        <v/>
      </c>
      <c r="BB46" s="254">
        <f>IF(AND(ISNUMBER(AL46),ISNUMBER(AM46)),AL46-AM46,"")</f>
        <v/>
      </c>
      <c r="BC46" s="123">
        <f>IF(AND($E46&gt;0,$W46&gt;0),IF(($E46-$W46)/$E46&gt;0,($E46-$W46)/$E46,0),"")</f>
        <v/>
      </c>
      <c r="BD46" s="123">
        <f>IF(AND($I46&gt;0,$AF46&gt;=0),IF(($I46-$AF46)/$I46&gt;0,($I46-$AF46)/$I46,0),"")</f>
        <v/>
      </c>
      <c r="BE46" s="123">
        <f>IF(AND($AG46&gt;=0,$AD46&gt;=0,$AF46&gt;=0),IF($AG46/($AD46-$AF46)&gt;0,$AG46/($AD46-$AF46),0),"")</f>
        <v/>
      </c>
      <c r="BF46" s="123">
        <f>IF(AND($G46&gt;0,$AM46&gt;0),IF(($G46-$AM46)/$G46&gt;0,($G46-$AM46)/$G46,0),"")</f>
        <v/>
      </c>
      <c r="BG46" s="6">
        <f>IF((AD46-AF46)/(AJ46/60)&lt;=0,"",(AD46-AF46)/(AJ46/60))</f>
        <v/>
      </c>
      <c r="BH46" s="6">
        <f>IF(OR(AJ46=0,AP46=0,NOT(ISNUMBER(AD46)),NOT(ISNUMBER(AF46)),NOT(ISNUMBER(AJ46)),NOT(ISNUMBER(AP46))),"",
IFERROR(IF((AD46-AF46)/(AJ46/60)/(AP46/1000)&lt;=0,"",(AD46-AF46)/(AJ46/60)/(AP46/1000)),""))</f>
        <v/>
      </c>
    </row>
    <row r="47" ht="15" customHeight="1">
      <c r="B47" t="n">
        <v>-197</v>
      </c>
      <c r="D47" s="167" t="n">
        <v>45307</v>
      </c>
      <c r="E47" s="166" t="n"/>
      <c r="F47" s="136" t="n">
        <v>42</v>
      </c>
      <c r="G47" s="205">
        <f>IF(OR(S47="",S47=0),"",S47*2)</f>
        <v/>
      </c>
      <c r="I47" s="9">
        <f>(N47*18-H47*9)/9</f>
        <v/>
      </c>
      <c r="J47" s="9">
        <f>'[2]1-16-2024'!I28</f>
        <v/>
      </c>
      <c r="K47" s="15">
        <f>AD47</f>
        <v/>
      </c>
      <c r="M47" s="10">
        <f>IF(OR(E47="",G47="",E47=0,G47=0),"",E47/G47)</f>
        <v/>
      </c>
      <c r="N47" s="9">
        <f>IF(OR(E47="",I47="",E47=0,I47=0),"",E47/(I47*2))</f>
        <v/>
      </c>
      <c r="O47" s="8">
        <f>IF(OR(I47="",G47="",I47=0,G47=0),"",I47*2/G47)</f>
        <v/>
      </c>
      <c r="P47" s="7">
        <f>'[2]1-16-2024'!I6</f>
        <v/>
      </c>
      <c r="U47" s="6">
        <f>'[2]1-16-2024'!Q6</f>
        <v/>
      </c>
      <c r="V47" s="6">
        <f>'[2]1-16-2024'!I12</f>
        <v/>
      </c>
      <c r="Y47" s="6">
        <f>'[2]1-16-2024'!Q12</f>
        <v/>
      </c>
      <c r="Z47" s="6" t="n">
        <v>7.82</v>
      </c>
      <c r="AD47" s="5" t="n">
        <v>80</v>
      </c>
      <c r="AE47" s="7">
        <f>T47</f>
        <v/>
      </c>
      <c r="AF47" s="231">
        <f>'[2]1-16-2024'!G13</f>
        <v/>
      </c>
      <c r="AG47" s="231">
        <f>'[2]1-16-2024'!I20</f>
        <v/>
      </c>
      <c r="AH47" s="231">
        <f>'[2]1-16-2024'!G21</f>
        <v/>
      </c>
      <c r="AI47" t="n">
        <v>7.36</v>
      </c>
      <c r="AJ47" s="119" t="n">
        <v>0.5185185185185185</v>
      </c>
      <c r="AL47" s="231" t="n">
        <v>175</v>
      </c>
      <c r="AM47" s="3" t="n">
        <v>180</v>
      </c>
      <c r="AN47" s="4">
        <f>AE47</f>
        <v/>
      </c>
      <c r="AO47" s="6">
        <f>'[2]1-16-2024'!I27</f>
        <v/>
      </c>
      <c r="AP47" s="255">
        <f>360-AK47-AB47</f>
        <v/>
      </c>
      <c r="AQ47" s="165">
        <f>[2]TSS_VSS!H98</f>
        <v/>
      </c>
      <c r="AR47" s="13">
        <f>AVERAGE(AO45:AO51)</f>
        <v/>
      </c>
      <c r="AS47" s="15">
        <f>IF(ISNUMBER([2]HRT_SRT!R101),[2]HRT_SRT!R101,"")</f>
        <v/>
      </c>
      <c r="AT47" s="156">
        <f>(E47-W47)/E47</f>
        <v/>
      </c>
      <c r="AU47" s="155">
        <f>(I47-AF47)/I47</f>
        <v/>
      </c>
      <c r="AV47" s="155">
        <f>AG47/(AD47-AF47)</f>
        <v/>
      </c>
      <c r="AW47" s="155">
        <f>(G47-AM47)/G47</f>
        <v/>
      </c>
      <c r="AX47" s="254">
        <f>IF(AND(ISNUMBER(E47),ISNUMBER(W47)),E47-W47,"")</f>
        <v/>
      </c>
      <c r="AY47" s="254">
        <f>IF(AND(ISNUMBER(I47),ISNUMBER(AF47)),I47-AF47,"")</f>
        <v/>
      </c>
      <c r="AZ47" s="254">
        <f>IF(AND(ISNUMBER(AM47),ISNUMBER(G47)),G47-AM47,"")</f>
        <v/>
      </c>
      <c r="BA47" s="254">
        <f>IF(AND(ISNUMBER(AC47),ISNUMBER(AE47)),AC47-AE47,"")</f>
        <v/>
      </c>
      <c r="BB47" s="254">
        <f>IF(AND(ISNUMBER(AL47),ISNUMBER(AM47)),AL47-AM47,"")</f>
        <v/>
      </c>
      <c r="BC47" s="123">
        <f>IF(AND($E47&gt;0,$W47&gt;0),IF(($E47-$W47)/$E47&gt;0,($E47-$W47)/$E47,0),"")</f>
        <v/>
      </c>
      <c r="BD47" s="123">
        <f>IF(AND($I47&gt;0,$AF47&gt;=0),IF(($I47-$AF47)/$I47&gt;0,($I47-$AF47)/$I47,0),"")</f>
        <v/>
      </c>
      <c r="BE47" s="123">
        <f>IF(AND($AG47&gt;=0,$AD47&gt;=0,$AF47&gt;=0),IF($AG47/($AD47-$AF47)&gt;0,$AG47/($AD47-$AF47),0),"")</f>
        <v/>
      </c>
      <c r="BF47" s="123">
        <f>IF(AND($G47&gt;0,$AM47&gt;0),IF(($G47-$AM47)/$G47&gt;0,($G47-$AM47)/$G47,0),"")</f>
        <v/>
      </c>
      <c r="BG47" s="6">
        <f>IF((AD47-AF47)/(AJ47/60)&lt;=0,"",(AD47-AF47)/(AJ47/60))</f>
        <v/>
      </c>
      <c r="BH47" s="6">
        <f>IF(OR(AJ47=0,AP47=0,NOT(ISNUMBER(AD47)),NOT(ISNUMBER(AF47)),NOT(ISNUMBER(AJ47)),NOT(ISNUMBER(AP47))),"",
IFERROR(IF((AD47-AF47)/(AJ47/60)/(AP47/1000)&lt;=0,"",(AD47-AF47)/(AJ47/60)/(AP47/1000)),""))</f>
        <v/>
      </c>
    </row>
    <row r="48" ht="15.75" customHeight="1">
      <c r="B48" t="n">
        <v>-196</v>
      </c>
      <c r="D48" s="11" t="n">
        <v>45308</v>
      </c>
      <c r="F48" s="3" t="n">
        <v>43</v>
      </c>
      <c r="G48" s="205">
        <f>IF(OR(S48="",S48=0),"",S48*2)</f>
        <v/>
      </c>
      <c r="I48" s="202" t="n">
        <v>26</v>
      </c>
      <c r="K48" s="15">
        <f>AD48</f>
        <v/>
      </c>
      <c r="M48" s="10">
        <f>IF(OR(E48="",G48="",E48=0,G48=0),"",E48/G48)</f>
        <v/>
      </c>
      <c r="N48" s="9">
        <f>IF(OR(E48="",I48="",E48=0,I48=0),"",E48/(I48*2))</f>
        <v/>
      </c>
      <c r="O48" s="8">
        <f>IF(OR(I48="",G48="",I48=0,G48=0),"",I48*2/G48)</f>
        <v/>
      </c>
      <c r="AD48" s="5" t="n">
        <v>80</v>
      </c>
      <c r="AE48" s="4">
        <f>25*2.26</f>
        <v/>
      </c>
      <c r="AF48" s="231">
        <f>5*5.16</f>
        <v/>
      </c>
      <c r="AG48" s="231">
        <f>25*1.56</f>
        <v/>
      </c>
      <c r="AH48" s="231">
        <f>2*4.47</f>
        <v/>
      </c>
      <c r="AI48" s="201" t="n">
        <v>6.04</v>
      </c>
      <c r="AJ48" s="119" t="n">
        <v>0.5188657407407408</v>
      </c>
      <c r="AL48" s="231" t="n">
        <v>175</v>
      </c>
      <c r="AM48" s="3" t="n">
        <v>180</v>
      </c>
      <c r="AN48" s="4">
        <f>AE48</f>
        <v/>
      </c>
      <c r="AO48" s="231">
        <f>25*1.08</f>
        <v/>
      </c>
      <c r="AP48" s="255">
        <f>360-AK48-AB48</f>
        <v/>
      </c>
      <c r="AQ48" s="165" t="n"/>
      <c r="AR48" s="13">
        <f>AVERAGE(AO46:AO52)</f>
        <v/>
      </c>
      <c r="AS48" s="15">
        <f>IF(ISNUMBER([2]HRT_SRT!R102),[2]HRT_SRT!R102,"")</f>
        <v/>
      </c>
      <c r="AT48" s="156">
        <f>(E48-W48)/E48</f>
        <v/>
      </c>
      <c r="AU48" s="155">
        <f>(I48-AF48)/I48</f>
        <v/>
      </c>
      <c r="AV48" s="155">
        <f>AG48/(AD48-AF48)</f>
        <v/>
      </c>
      <c r="AW48" s="155">
        <f>(G48-AM48)/G48</f>
        <v/>
      </c>
      <c r="AX48" s="254">
        <f>IF(AND(ISNUMBER(E48),ISNUMBER(W48)),E48-W48,"")</f>
        <v/>
      </c>
      <c r="AY48" s="254">
        <f>IF(AND(ISNUMBER(I48),ISNUMBER(AF48)),I48-AF48,"")</f>
        <v/>
      </c>
      <c r="AZ48" s="254">
        <f>IF(AND(ISNUMBER(AM48),ISNUMBER(G48)),G48-AM48,"")</f>
        <v/>
      </c>
      <c r="BA48" s="254">
        <f>IF(AND(ISNUMBER(AC48),ISNUMBER(AE48)),AC48-AE48,"")</f>
        <v/>
      </c>
      <c r="BB48" s="254">
        <f>IF(AND(ISNUMBER(AL48),ISNUMBER(AM48)),AL48-AM48,"")</f>
        <v/>
      </c>
      <c r="BC48" s="123">
        <f>IF(AND($E48&gt;0,$W48&gt;0),IF(($E48-$W48)/$E48&gt;0,($E48-$W48)/$E48,0),"")</f>
        <v/>
      </c>
      <c r="BD48" s="123">
        <f>IF(AND($I48&gt;0,$AF48&gt;=0),IF(($I48-$AF48)/$I48&gt;0,($I48-$AF48)/$I48,0),"")</f>
        <v/>
      </c>
      <c r="BE48" s="123">
        <f>IF(AND($AG48&gt;=0,$AD48&gt;=0,$AF48&gt;=0),IF($AG48/($AD48-$AF48)&gt;0,$AG48/($AD48-$AF48),0),"")</f>
        <v/>
      </c>
      <c r="BF48" s="123">
        <f>IF(AND($G48&gt;0,$AM48&gt;0),IF(($G48-$AM48)/$G48&gt;0,($G48-$AM48)/$G48,0),"")</f>
        <v/>
      </c>
      <c r="BG48" s="6">
        <f>IF((AD48-AF48)/(AJ48/60)&lt;=0,"",(AD48-AF48)/(AJ48/60))</f>
        <v/>
      </c>
      <c r="BH48" s="6">
        <f>IF(OR(AJ48=0,AP48=0,NOT(ISNUMBER(AD48)),NOT(ISNUMBER(AF48)),NOT(ISNUMBER(AJ48)),NOT(ISNUMBER(AP48))),"",
IFERROR(IF((AD48-AF48)/(AJ48/60)/(AP48/1000)&lt;=0,"",(AD48-AF48)/(AJ48/60)/(AP48/1000)),""))</f>
        <v/>
      </c>
    </row>
    <row r="49" ht="15.75" customHeight="1">
      <c r="B49" t="n">
        <v>-195</v>
      </c>
      <c r="D49" s="11" t="n">
        <v>45309</v>
      </c>
      <c r="F49" s="3" t="n">
        <v>44</v>
      </c>
      <c r="G49" s="205">
        <f>IF(OR(S49="",S49=0),"",S49*2)</f>
        <v/>
      </c>
      <c r="I49" s="198" t="n">
        <v>26</v>
      </c>
      <c r="K49" s="15">
        <f>AD49</f>
        <v/>
      </c>
      <c r="M49" s="10">
        <f>IF(OR(E49="",G49="",E49=0,G49=0),"",E49/G49)</f>
        <v/>
      </c>
      <c r="N49" s="9">
        <f>IF(OR(E49="",I49="",E49=0,I49=0),"",E49/(I49*2))</f>
        <v/>
      </c>
      <c r="O49" s="8">
        <f>IF(OR(I49="",G49="",I49=0,G49=0),"",I49*2/G49)</f>
        <v/>
      </c>
      <c r="AD49" s="5" t="n">
        <v>80</v>
      </c>
      <c r="AF49" s="26" t="n">
        <v>25</v>
      </c>
      <c r="AG49" s="231">
        <f>25*0.994</f>
        <v/>
      </c>
      <c r="AH49" s="231">
        <f>2*6.56</f>
        <v/>
      </c>
      <c r="AI49" s="201" t="n">
        <v>3.87</v>
      </c>
      <c r="AJ49" s="119" t="n">
        <v>0.5186342592592592</v>
      </c>
      <c r="AL49" s="231" t="n">
        <v>175</v>
      </c>
      <c r="AM49" s="3" t="n">
        <v>180</v>
      </c>
      <c r="AN49" s="4">
        <f>AE49</f>
        <v/>
      </c>
      <c r="AO49" s="231">
        <f>25*0.786</f>
        <v/>
      </c>
      <c r="AP49" s="255">
        <f>360-AK49-AB49</f>
        <v/>
      </c>
      <c r="AQ49" s="165" t="n"/>
      <c r="AR49" s="13">
        <f>AVERAGE(AO47:AO53)</f>
        <v/>
      </c>
      <c r="AS49" s="15">
        <f>IF(ISNUMBER([2]HRT_SRT!R103),[2]HRT_SRT!R103,"")</f>
        <v/>
      </c>
      <c r="AT49" s="156">
        <f>(E49-W49)/E49</f>
        <v/>
      </c>
      <c r="AU49" s="155">
        <f>(I49-AF49)/I49</f>
        <v/>
      </c>
      <c r="AV49" s="155">
        <f>AG49/(AD49-AF49)</f>
        <v/>
      </c>
      <c r="AW49" s="155">
        <f>(G49-AM49)/G49</f>
        <v/>
      </c>
      <c r="AX49" s="254">
        <f>IF(AND(ISNUMBER(E49),ISNUMBER(W49)),E49-W49,"")</f>
        <v/>
      </c>
      <c r="AY49" s="254">
        <f>IF(AND(ISNUMBER(I49),ISNUMBER(AF49)),I49-AF49,"")</f>
        <v/>
      </c>
      <c r="AZ49" s="254">
        <f>IF(AND(ISNUMBER(AM49),ISNUMBER(G49)),G49-AM49,"")</f>
        <v/>
      </c>
      <c r="BA49" s="254">
        <f>IF(AND(ISNUMBER(AC49),ISNUMBER(AE49)),AC49-AE49,"")</f>
        <v/>
      </c>
      <c r="BB49" s="254">
        <f>IF(AND(ISNUMBER(AL49),ISNUMBER(AM49)),AL49-AM49,"")</f>
        <v/>
      </c>
      <c r="BC49" s="123">
        <f>IF(AND($E49&gt;0,$W49&gt;0),IF(($E49-$W49)/$E49&gt;0,($E49-$W49)/$E49,0),"")</f>
        <v/>
      </c>
      <c r="BD49" s="123">
        <f>IF(AND($I49&gt;0,$AF49&gt;=0),IF(($I49-$AF49)/$I49&gt;0,($I49-$AF49)/$I49,0),"")</f>
        <v/>
      </c>
      <c r="BE49" s="123">
        <f>IF(AND($AG49&gt;=0,$AD49&gt;=0,$AF49&gt;=0),IF($AG49/($AD49-$AF49)&gt;0,$AG49/($AD49-$AF49),0),"")</f>
        <v/>
      </c>
      <c r="BF49" s="123">
        <f>IF(AND($G49&gt;0,$AM49&gt;0),IF(($G49-$AM49)/$G49&gt;0,($G49-$AM49)/$G49,0),"")</f>
        <v/>
      </c>
      <c r="BG49" s="6">
        <f>IF((AD49-AF49)/(AJ49/60)&lt;=0,"",(AD49-AF49)/(AJ49/60))</f>
        <v/>
      </c>
      <c r="BH49" s="6">
        <f>IF(OR(AJ49=0,AP49=0,NOT(ISNUMBER(AD49)),NOT(ISNUMBER(AF49)),NOT(ISNUMBER(AJ49)),NOT(ISNUMBER(AP49))),"",
IFERROR(IF((AD49-AF49)/(AJ49/60)/(AP49/1000)&lt;=0,"",(AD49-AF49)/(AJ49/60)/(AP49/1000)),""))</f>
        <v/>
      </c>
    </row>
    <row r="50" ht="15.75" customHeight="1">
      <c r="B50" t="n">
        <v>-194</v>
      </c>
      <c r="D50" s="11" t="n">
        <v>45310</v>
      </c>
      <c r="F50" s="3" t="n">
        <v>45</v>
      </c>
      <c r="G50" s="205">
        <f>IF(OR(S50="",S50=0),"",S50*2)</f>
        <v/>
      </c>
      <c r="I50" s="198" t="n">
        <v>26</v>
      </c>
      <c r="K50" s="15">
        <f>AD50</f>
        <v/>
      </c>
      <c r="M50" s="10">
        <f>IF(OR(E50="",G50="",E50=0,G50=0),"",E50/G50)</f>
        <v/>
      </c>
      <c r="N50" s="9">
        <f>IF(OR(E50="",I50="",E50=0,I50=0),"",E50/(I50*2))</f>
        <v/>
      </c>
      <c r="O50" s="8">
        <f>IF(OR(I50="",G50="",I50=0,G50=0),"",I50*2/G50)</f>
        <v/>
      </c>
      <c r="AD50" s="5" t="n">
        <v>80</v>
      </c>
      <c r="AE50" s="4">
        <f>25*2.4</f>
        <v/>
      </c>
      <c r="AF50" s="165">
        <f>5*4.69</f>
        <v/>
      </c>
      <c r="AG50" s="231">
        <f>25*1.76</f>
        <v/>
      </c>
      <c r="AH50" s="231">
        <f>2*4.87</f>
        <v/>
      </c>
      <c r="AI50" t="n">
        <v>5.3</v>
      </c>
      <c r="AJ50" s="119" t="n">
        <v>0.5190972222222222</v>
      </c>
      <c r="AL50" s="231" t="n">
        <v>175</v>
      </c>
      <c r="AM50" s="3" t="n">
        <v>180</v>
      </c>
      <c r="AN50" s="4">
        <f>AE50</f>
        <v/>
      </c>
      <c r="AO50" s="231">
        <f>12.5*2.36</f>
        <v/>
      </c>
      <c r="AP50" s="255">
        <f>360-AK50-AB50</f>
        <v/>
      </c>
      <c r="AQ50" s="165" t="n"/>
      <c r="AR50" s="13">
        <f>AVERAGE(AO48:AO54)</f>
        <v/>
      </c>
      <c r="AS50" s="15">
        <f>IF(ISNUMBER([2]HRT_SRT!R104),[2]HRT_SRT!R104,"")</f>
        <v/>
      </c>
      <c r="AT50" s="156">
        <f>(E50-W50)/E50</f>
        <v/>
      </c>
      <c r="AU50" s="155">
        <f>(I50-AF50)/I50</f>
        <v/>
      </c>
      <c r="AV50" s="155">
        <f>AG50/(AD50-AF50)</f>
        <v/>
      </c>
      <c r="AW50" s="155">
        <f>(G50-AM50)/G50</f>
        <v/>
      </c>
      <c r="AX50" s="254">
        <f>IF(AND(ISNUMBER(E50),ISNUMBER(W50)),E50-W50,"")</f>
        <v/>
      </c>
      <c r="AY50" s="254">
        <f>IF(AND(ISNUMBER(I50),ISNUMBER(AF50)),I50-AF50,"")</f>
        <v/>
      </c>
      <c r="AZ50" s="254">
        <f>IF(AND(ISNUMBER(AM50),ISNUMBER(G50)),G50-AM50,"")</f>
        <v/>
      </c>
      <c r="BA50" s="254">
        <f>IF(AND(ISNUMBER(AC50),ISNUMBER(AE50)),AC50-AE50,"")</f>
        <v/>
      </c>
      <c r="BB50" s="254">
        <f>IF(AND(ISNUMBER(AL50),ISNUMBER(AM50)),AL50-AM50,"")</f>
        <v/>
      </c>
      <c r="BC50" s="123">
        <f>IF(AND($E50&gt;0,$W50&gt;0),IF(($E50-$W50)/$E50&gt;0,($E50-$W50)/$E50,0),"")</f>
        <v/>
      </c>
      <c r="BD50" s="123">
        <f>IF(AND($I50&gt;0,$AF50&gt;=0),IF(($I50-$AF50)/$I50&gt;0,($I50-$AF50)/$I50,0),"")</f>
        <v/>
      </c>
      <c r="BE50" s="123">
        <f>IF(AND($AG50&gt;=0,$AD50&gt;=0,$AF50&gt;=0),IF($AG50/($AD50-$AF50)&gt;0,$AG50/($AD50-$AF50),0),"")</f>
        <v/>
      </c>
      <c r="BF50" s="123">
        <f>IF(AND($G50&gt;0,$AM50&gt;0),IF(($G50-$AM50)/$G50&gt;0,($G50-$AM50)/$G50,0),"")</f>
        <v/>
      </c>
      <c r="BG50" s="6">
        <f>IF((AD50-AF50)/(AJ50/60)&lt;=0,"",(AD50-AF50)/(AJ50/60))</f>
        <v/>
      </c>
      <c r="BH50" s="6">
        <f>IF(OR(AJ50=0,AP50=0,NOT(ISNUMBER(AD50)),NOT(ISNUMBER(AF50)),NOT(ISNUMBER(AJ50)),NOT(ISNUMBER(AP50))),"",
IFERROR(IF((AD50-AF50)/(AJ50/60)/(AP50/1000)&lt;=0,"",(AD50-AF50)/(AJ50/60)/(AP50/1000)),""))</f>
        <v/>
      </c>
    </row>
    <row r="51" ht="15.75" customHeight="1">
      <c r="B51" t="n">
        <v>-193</v>
      </c>
      <c r="D51" s="11" t="n">
        <v>45311</v>
      </c>
      <c r="F51" s="3" t="n">
        <v>46</v>
      </c>
      <c r="G51" s="205">
        <f>IF(OR(S51="",S51=0),"",S51*2)</f>
        <v/>
      </c>
      <c r="K51" s="15">
        <f>AD51</f>
        <v/>
      </c>
      <c r="M51" s="10">
        <f>IF(OR(E51="",G51="",E51=0,G51=0),"",E51/G51)</f>
        <v/>
      </c>
      <c r="N51" s="9">
        <f>IF(OR(E51="",I51="",E51=0,I51=0),"",E51/(I51*2))</f>
        <v/>
      </c>
      <c r="O51" s="8">
        <f>IF(OR(I51="",G51="",I51=0,G51=0),"",I51*2/G51)</f>
        <v/>
      </c>
      <c r="AD51" s="5" t="n">
        <v>80</v>
      </c>
      <c r="AF51" s="26" t="n">
        <v>25</v>
      </c>
      <c r="AI51" t="n">
        <v>6.14</v>
      </c>
      <c r="AJ51" s="119" t="n">
        <v>0.5193287037037037</v>
      </c>
      <c r="AL51" s="231" t="n">
        <v>175</v>
      </c>
      <c r="AM51" s="3" t="n">
        <v>180</v>
      </c>
      <c r="AP51" s="255">
        <f>360-AK51-AB51</f>
        <v/>
      </c>
      <c r="AQ51" s="165" t="n"/>
      <c r="AR51" s="13">
        <f>AVERAGE(AO49:AO55)</f>
        <v/>
      </c>
      <c r="AS51" s="15">
        <f>IF(ISNUMBER([2]HRT_SRT!R105),[2]HRT_SRT!R105,"")</f>
        <v/>
      </c>
      <c r="AT51" s="156">
        <f>(E51-W51)/E51</f>
        <v/>
      </c>
      <c r="AU51" s="155">
        <f>(I51-AF51)/I51</f>
        <v/>
      </c>
      <c r="AV51" s="155">
        <f>AG51/(AD51-AF51)</f>
        <v/>
      </c>
      <c r="AW51" s="155">
        <f>(G51-AM51)/G51</f>
        <v/>
      </c>
      <c r="AX51" s="254">
        <f>IF(AND(ISNUMBER(E51),ISNUMBER(W51)),E51-W51,"")</f>
        <v/>
      </c>
      <c r="AY51" s="254">
        <f>IF(AND(ISNUMBER(I51),ISNUMBER(AF51)),I51-AF51,"")</f>
        <v/>
      </c>
      <c r="AZ51" s="254">
        <f>IF(AND(ISNUMBER(AM51),ISNUMBER(G51)),G51-AM51,"")</f>
        <v/>
      </c>
      <c r="BA51" s="254">
        <f>IF(AND(ISNUMBER(AC51),ISNUMBER(AE51)),AC51-AE51,"")</f>
        <v/>
      </c>
      <c r="BB51" s="254">
        <f>IF(AND(ISNUMBER(AL51),ISNUMBER(AM51)),AL51-AM51,"")</f>
        <v/>
      </c>
      <c r="BC51" s="123">
        <f>IF(AND($E51&gt;0,$W51&gt;0),IF(($E51-$W51)/$E51&gt;0,($E51-$W51)/$E51,0),"")</f>
        <v/>
      </c>
      <c r="BD51" s="123">
        <f>IF(AND($I51&gt;0,$AF51&gt;=0),IF(($I51-$AF51)/$I51&gt;0,($I51-$AF51)/$I51,0),"")</f>
        <v/>
      </c>
      <c r="BE51" s="123">
        <f>IF(AND($AG51&gt;=0,$AD51&gt;=0,$AF51&gt;=0),IF($AG51/($AD51-$AF51)&gt;0,$AG51/($AD51-$AF51),0),"")</f>
        <v/>
      </c>
      <c r="BF51" s="123">
        <f>IF(AND($G51&gt;0,$AM51&gt;0),IF(($G51-$AM51)/$G51&gt;0,($G51-$AM51)/$G51,0),"")</f>
        <v/>
      </c>
      <c r="BG51" s="6">
        <f>IF((AD51-AF51)/(AJ51/60)&lt;=0,"",(AD51-AF51)/(AJ51/60))</f>
        <v/>
      </c>
      <c r="BH51" s="6">
        <f>IF(OR(AJ51=0,AP51=0,NOT(ISNUMBER(AD51)),NOT(ISNUMBER(AF51)),NOT(ISNUMBER(AJ51)),NOT(ISNUMBER(AP51))),"",
IFERROR(IF((AD51-AF51)/(AJ51/60)/(AP51/1000)&lt;=0,"",(AD51-AF51)/(AJ51/60)/(AP51/1000)),""))</f>
        <v/>
      </c>
    </row>
    <row r="52" ht="15.75" customHeight="1">
      <c r="B52" t="n">
        <v>-192</v>
      </c>
      <c r="C52" s="12" t="inlineStr">
        <is>
          <t xml:space="preserve">ORP abnormality  prediction: NO2 weird dosing </t>
        </is>
      </c>
      <c r="D52" s="11" t="n">
        <v>45312</v>
      </c>
      <c r="F52" s="3" t="n">
        <v>47</v>
      </c>
      <c r="G52" s="205">
        <f>IF(OR(S52="",S52=0),"",S52*2)</f>
        <v/>
      </c>
      <c r="I52" s="198" t="n">
        <v>26</v>
      </c>
      <c r="K52" s="15">
        <f>AD52</f>
        <v/>
      </c>
      <c r="M52" s="10">
        <f>IF(OR(E52="",G52="",E52=0,G52=0),"",E52/G52)</f>
        <v/>
      </c>
      <c r="N52" s="9">
        <f>IF(OR(E52="",I52="",E52=0,I52=0),"",E52/(I52*2))</f>
        <v/>
      </c>
      <c r="O52" s="8">
        <f>IF(OR(I52="",G52="",I52=0,G52=0),"",I52*2/G52)</f>
        <v/>
      </c>
      <c r="P52" s="6" t="n"/>
      <c r="AD52" s="6" t="n">
        <v>80</v>
      </c>
      <c r="AE52" s="231" t="n"/>
      <c r="AF52" s="26" t="n">
        <v>25</v>
      </c>
      <c r="AI52" s="200" t="n">
        <v>2.93</v>
      </c>
      <c r="AJ52" s="199" t="n">
        <v>0.4092592592592593</v>
      </c>
      <c r="AL52" s="231" t="n">
        <v>175</v>
      </c>
      <c r="AM52" s="3" t="n">
        <v>180</v>
      </c>
      <c r="AN52" s="231" t="n"/>
      <c r="AP52" s="255">
        <f>360-AK52-AB52</f>
        <v/>
      </c>
      <c r="AQ52" s="165" t="n"/>
      <c r="AR52" s="13">
        <f>AVERAGE(AO50:AO56)</f>
        <v/>
      </c>
      <c r="AS52" s="15">
        <f>IF(ISNUMBER([2]HRT_SRT!R106),[2]HRT_SRT!R106,"")</f>
        <v/>
      </c>
      <c r="AT52" s="156">
        <f>(E52-W52)/E52</f>
        <v/>
      </c>
      <c r="AU52" s="155">
        <f>(I52-AF52)/I52</f>
        <v/>
      </c>
      <c r="AV52" s="155">
        <f>AG52/(AD52-AF52)</f>
        <v/>
      </c>
      <c r="AW52" s="155">
        <f>(G52-AM52)/G52</f>
        <v/>
      </c>
      <c r="AX52" s="254">
        <f>IF(AND(ISNUMBER(E52),ISNUMBER(W52)),E52-W52,"")</f>
        <v/>
      </c>
      <c r="AY52" s="254">
        <f>IF(AND(ISNUMBER(I52),ISNUMBER(AF52)),I52-AF52,"")</f>
        <v/>
      </c>
      <c r="AZ52" s="254">
        <f>IF(AND(ISNUMBER(AM52),ISNUMBER(G52)),G52-AM52,"")</f>
        <v/>
      </c>
      <c r="BA52" s="254">
        <f>IF(AND(ISNUMBER(AC52),ISNUMBER(AE52)),AC52-AE52,"")</f>
        <v/>
      </c>
      <c r="BB52" s="254">
        <f>IF(AND(ISNUMBER(AL52),ISNUMBER(AM52)),AL52-AM52,"")</f>
        <v/>
      </c>
      <c r="BC52" s="123">
        <f>IF(AND($E52&gt;0,$W52&gt;0),IF(($E52-$W52)/$E52&gt;0,($E52-$W52)/$E52,0),"")</f>
        <v/>
      </c>
      <c r="BD52" s="123">
        <f>IF(AND($I52&gt;0,$AF52&gt;=0),IF(($I52-$AF52)/$I52&gt;0,($I52-$AF52)/$I52,0),"")</f>
        <v/>
      </c>
      <c r="BE52" s="123">
        <f>IF(AND($AG52&gt;=0,$AD52&gt;=0,$AF52&gt;=0),IF($AG52/($AD52-$AF52)&gt;0,$AG52/($AD52-$AF52),0),"")</f>
        <v/>
      </c>
      <c r="BF52" s="123">
        <f>IF(AND($G52&gt;0,$AM52&gt;0),IF(($G52-$AM52)/$G52&gt;0,($G52-$AM52)/$G52,0),"")</f>
        <v/>
      </c>
      <c r="BG52" s="6">
        <f>IF((AD52-AF52)/(AJ52/60)&lt;=0,"",(AD52-AF52)/(AJ52/60))</f>
        <v/>
      </c>
      <c r="BH52" s="6">
        <f>IF(OR(AJ52=0,AP52=0,NOT(ISNUMBER(AD52)),NOT(ISNUMBER(AF52)),NOT(ISNUMBER(AJ52)),NOT(ISNUMBER(AP52))),"",
IFERROR(IF((AD52-AF52)/(AJ52/60)/(AP52/1000)&lt;=0,"",(AD52-AF52)/(AJ52/60)/(AP52/1000)),""))</f>
        <v/>
      </c>
    </row>
    <row r="53" ht="15.75" customHeight="1">
      <c r="B53" t="n">
        <v>-191</v>
      </c>
      <c r="C53" s="25" t="inlineStr">
        <is>
          <t>COD left over cause PAO unable to activate</t>
        </is>
      </c>
      <c r="D53" s="11" t="n">
        <v>45313</v>
      </c>
      <c r="F53" s="3" t="n">
        <v>48</v>
      </c>
      <c r="G53" s="205">
        <f>IF(OR(S53="",S53=0),"",S53*2)</f>
        <v/>
      </c>
      <c r="I53" s="198" t="n">
        <v>26</v>
      </c>
      <c r="K53" s="15">
        <f>AD53</f>
        <v/>
      </c>
      <c r="M53" s="10">
        <f>IF(OR(E53="",G53="",E53=0,G53=0),"",E53/G53)</f>
        <v/>
      </c>
      <c r="N53" s="9">
        <f>IF(OR(E53="",I53="",E53=0,I53=0),"",E53/(I53*2))</f>
        <v/>
      </c>
      <c r="O53" s="8">
        <f>IF(OR(I53="",G53="",I53=0,G53=0),"",I53*2/G53)</f>
        <v/>
      </c>
      <c r="P53" s="6">
        <f>20*1.55</f>
        <v/>
      </c>
      <c r="Q53" s="6" t="n">
        <v>149.362</v>
      </c>
      <c r="R53" s="6" t="n">
        <v>35.318</v>
      </c>
      <c r="S53" s="6">
        <f>O53*1.067</f>
        <v/>
      </c>
      <c r="T53" s="6">
        <f>P53*1.514</f>
        <v/>
      </c>
      <c r="U53" s="23">
        <f>P53*1.514+O53*1.067</f>
        <v/>
      </c>
      <c r="V53" s="6">
        <f>20*1.6</f>
        <v/>
      </c>
      <c r="W53" s="6">
        <f>130.4*1.067</f>
        <v/>
      </c>
      <c r="X53" s="6">
        <f>21.679*1.514</f>
        <v/>
      </c>
      <c r="Y53" s="23">
        <f>U53*1.067+V53*1.514</f>
        <v/>
      </c>
      <c r="Z53" s="6" t="n">
        <v>6.23</v>
      </c>
      <c r="AD53" s="6" t="n">
        <v>80</v>
      </c>
      <c r="AE53" s="6">
        <f>T53</f>
        <v/>
      </c>
      <c r="AF53" s="231">
        <f>5*5.38</f>
        <v/>
      </c>
      <c r="AG53" s="231">
        <f>20*1.56</f>
        <v/>
      </c>
      <c r="AH53" s="231" t="n">
        <v>0</v>
      </c>
      <c r="AI53" t="n">
        <v>0.04</v>
      </c>
      <c r="AJ53" s="119" t="n">
        <v>0.5208333333333334</v>
      </c>
      <c r="AL53" s="231" t="n">
        <v>175</v>
      </c>
      <c r="AM53" s="3" t="n">
        <v>180</v>
      </c>
      <c r="AN53" s="231">
        <f>AE53</f>
        <v/>
      </c>
      <c r="AO53" s="231">
        <f>10*2.97</f>
        <v/>
      </c>
      <c r="AP53" s="255">
        <f>360-AK53-AB53</f>
        <v/>
      </c>
      <c r="AQ53" s="165">
        <f>[2]TSS_VSS!H104</f>
        <v/>
      </c>
      <c r="AR53" s="13">
        <f>AVERAGE(AO51:AO57)</f>
        <v/>
      </c>
      <c r="AS53" s="15">
        <f>IF(ISNUMBER([2]HRT_SRT!R107),[2]HRT_SRT!R107,"")</f>
        <v/>
      </c>
      <c r="AT53" s="156">
        <f>(E53-W53)/E53</f>
        <v/>
      </c>
      <c r="AU53" s="155">
        <f>(I53-AF53)/I53</f>
        <v/>
      </c>
      <c r="AV53" s="155">
        <f>AG53/(AD53-AF53)</f>
        <v/>
      </c>
      <c r="AW53" s="155">
        <f>(G53-AM53)/G53</f>
        <v/>
      </c>
      <c r="AX53" s="254">
        <f>IF(AND(ISNUMBER(E53),ISNUMBER(W53)),E53-W53,"")</f>
        <v/>
      </c>
      <c r="AY53" s="254">
        <f>IF(AND(ISNUMBER(I53),ISNUMBER(AF53)),I53-AF53,"")</f>
        <v/>
      </c>
      <c r="AZ53" s="254">
        <f>IF(AND(ISNUMBER(AM53),ISNUMBER(G53)),G53-AM53,"")</f>
        <v/>
      </c>
      <c r="BA53" s="254">
        <f>IF(AND(ISNUMBER(AC53),ISNUMBER(AE53)),AC53-AE53,"")</f>
        <v/>
      </c>
      <c r="BB53" s="254">
        <f>IF(AND(ISNUMBER(AL53),ISNUMBER(AM53)),AL53-AM53,"")</f>
        <v/>
      </c>
      <c r="BC53" s="123" t="n"/>
      <c r="BD53" s="123">
        <f>IF(AND($I53&gt;0,$AF53&gt;=0),IF(($I53-$AF53)/$I53&gt;0,($I53-$AF53)/$I53,0),"")</f>
        <v/>
      </c>
      <c r="BE53" s="123">
        <f>IF(AND($AG53&gt;=0,$AD53&gt;=0,$AF53&gt;=0),IF($AG53/($AD53-$AF53)&gt;0,$AG53/($AD53-$AF53),0),"")</f>
        <v/>
      </c>
      <c r="BF53" s="123">
        <f>IF(AND($G53&gt;0,$AM53&gt;0),IF(($G53-$AM53)/$G53&gt;0,($G53-$AM53)/$G53,0),"")</f>
        <v/>
      </c>
      <c r="BG53" s="6">
        <f>IF((AD53-AF53)/(AJ53/60)&lt;=0,"",(AD53-AF53)/(AJ53/60))</f>
        <v/>
      </c>
      <c r="BH53" s="6">
        <f>IF(OR(AJ53=0,AP53=0,NOT(ISNUMBER(AD53)),NOT(ISNUMBER(AF53)),NOT(ISNUMBER(AJ53)),NOT(ISNUMBER(AP53))),"",
IFERROR(IF((AD53-AF53)/(AJ53/60)/(AP53/1000)&lt;=0,"",(AD53-AF53)/(AJ53/60)/(AP53/1000)),""))</f>
        <v/>
      </c>
    </row>
    <row r="54" ht="15.75" customHeight="1">
      <c r="B54" t="n">
        <v>-190</v>
      </c>
      <c r="C54" s="197" t="inlineStr">
        <is>
          <t>did 2 cycle half COD test</t>
        </is>
      </c>
      <c r="D54" s="11" t="n">
        <v>45314</v>
      </c>
      <c r="F54" s="3" t="n">
        <v>49</v>
      </c>
      <c r="G54" s="205">
        <f>IF(OR(S54="",S54=0),"",S54*2)</f>
        <v/>
      </c>
      <c r="I54" s="198" t="n">
        <v>26</v>
      </c>
      <c r="K54" s="15">
        <f>AD54</f>
        <v/>
      </c>
      <c r="M54" s="10">
        <f>IF(OR(E54="",G54="",E54=0,G54=0),"",E54/G54)</f>
        <v/>
      </c>
      <c r="N54" s="9">
        <f>IF(OR(E54="",I54="",E54=0,I54=0),"",E54/(I54*2))</f>
        <v/>
      </c>
      <c r="O54" s="8">
        <f>IF(OR(I54="",G54="",I54=0,G54=0),"",I54*2/G54)</f>
        <v/>
      </c>
      <c r="P54" s="6">
        <f>'[2]1-23-2024'!I6</f>
        <v/>
      </c>
      <c r="Q54" s="6" t="n">
        <v>129.777</v>
      </c>
      <c r="R54" s="6" t="n">
        <v>30.646</v>
      </c>
      <c r="S54" s="6">
        <f>O54*1.067</f>
        <v/>
      </c>
      <c r="T54" s="6">
        <f>P54*1.514</f>
        <v/>
      </c>
      <c r="U54" s="23">
        <f>P54*1.514+O54*1.067</f>
        <v/>
      </c>
      <c r="V54" s="6">
        <f>'[2]1-23-2024'!I12</f>
        <v/>
      </c>
      <c r="W54" s="6">
        <f>116.082*1.067</f>
        <v/>
      </c>
      <c r="X54" s="6" t="n">
        <v>5.727</v>
      </c>
      <c r="Y54" s="23">
        <f>U54*1.067+V54*1.514</f>
        <v/>
      </c>
      <c r="AD54" s="6" t="n">
        <v>80</v>
      </c>
      <c r="AE54" s="6">
        <f>T54</f>
        <v/>
      </c>
      <c r="AF54" s="231">
        <f>'[2]1-23-2024'!G13</f>
        <v/>
      </c>
      <c r="AG54" s="231">
        <f>'[2]1-23-2024'!I21</f>
        <v/>
      </c>
      <c r="AH54" s="231">
        <f>'[2]1-23-2024'!G20</f>
        <v/>
      </c>
      <c r="AI54" t="n">
        <v>0.06</v>
      </c>
      <c r="AJ54" s="119" t="n">
        <v>0.5208333333333334</v>
      </c>
      <c r="AL54" s="231" t="n">
        <v>175</v>
      </c>
      <c r="AM54" s="3" t="n">
        <v>180</v>
      </c>
      <c r="AN54" s="231">
        <f>'[2]1-23-2024'!I21</f>
        <v/>
      </c>
      <c r="AO54" s="6">
        <f>'[2]1-23-2024'!I27</f>
        <v/>
      </c>
      <c r="AP54" s="255">
        <f>360-AK54-AB54</f>
        <v/>
      </c>
      <c r="AQ54" s="165">
        <f>[2]TSS_VSS!H107</f>
        <v/>
      </c>
      <c r="AR54" s="13">
        <f>AVERAGE(AO52:AO58)</f>
        <v/>
      </c>
      <c r="AS54" s="15">
        <f>IF(ISNUMBER([2]HRT_SRT!R108),[2]HRT_SRT!R108,"")</f>
        <v/>
      </c>
      <c r="AT54" s="156">
        <f>(E54-W54)/E54</f>
        <v/>
      </c>
      <c r="AU54" s="155">
        <f>(I54-AF54)/I54</f>
        <v/>
      </c>
      <c r="AV54" s="155">
        <f>AG54/(AD54-AF54)</f>
        <v/>
      </c>
      <c r="AW54" s="155">
        <f>(G54-AM54)/G54</f>
        <v/>
      </c>
      <c r="AX54" s="254">
        <f>IF(AND(ISNUMBER(E54),ISNUMBER(W54)),E54-W54,"")</f>
        <v/>
      </c>
      <c r="AY54" s="254">
        <f>IF(AND(ISNUMBER(I54),ISNUMBER(AF54)),I54-AF54,"")</f>
        <v/>
      </c>
      <c r="AZ54" s="254">
        <f>IF(AND(ISNUMBER(AM54),ISNUMBER(G54)),G54-AM54,"")</f>
        <v/>
      </c>
      <c r="BA54" s="254">
        <f>IF(AND(ISNUMBER(AC54),ISNUMBER(AE54)),AC54-AE54,"")</f>
        <v/>
      </c>
      <c r="BB54" s="254">
        <f>IF(AND(ISNUMBER(AL54),ISNUMBER(AM54)),AL54-AM54,"")</f>
        <v/>
      </c>
      <c r="BC54" s="123" t="n"/>
      <c r="BD54" s="123">
        <f>IF(AND($I54&gt;0,$AF54&gt;=0),IF(($I54-$AF54)/$I54&gt;0,($I54-$AF54)/$I54,0),"")</f>
        <v/>
      </c>
      <c r="BE54" s="123">
        <f>IF(AND($AG54&gt;=0,$AD54&gt;=0,$AF54&gt;=0),IF($AG54/($AD54-$AF54)&gt;0,$AG54/($AD54-$AF54),0),"")</f>
        <v/>
      </c>
      <c r="BF54" s="123">
        <f>IF(AND($G54&gt;0,$AM54&gt;0),IF(($G54-$AM54)/$G54&gt;0,($G54-$AM54)/$G54,0),"")</f>
        <v/>
      </c>
      <c r="BG54" s="6">
        <f>IF((AD54-AF54)/(AJ54/60)&lt;=0,"",(AD54-AF54)/(AJ54/60))</f>
        <v/>
      </c>
      <c r="BH54" s="6">
        <f>IF(OR(AJ54=0,AP54=0,NOT(ISNUMBER(AD54)),NOT(ISNUMBER(AF54)),NOT(ISNUMBER(AJ54)),NOT(ISNUMBER(AP54))),"",
IFERROR(IF((AD54-AF54)/(AJ54/60)/(AP54/1000)&lt;=0,"",(AD54-AF54)/(AJ54/60)/(AP54/1000)),""))</f>
        <v/>
      </c>
    </row>
    <row r="55" ht="15.75" customFormat="1" customHeight="1" s="67">
      <c r="B55" t="n">
        <v>-189</v>
      </c>
      <c r="C55" s="197" t="inlineStr">
        <is>
          <t xml:space="preserve">some P activity retrun </t>
        </is>
      </c>
      <c r="D55" s="167" t="n">
        <v>45315</v>
      </c>
      <c r="E55" s="166" t="n"/>
      <c r="F55" s="136" t="n">
        <v>50</v>
      </c>
      <c r="G55" s="205">
        <f>IF(OR(S55="",S55=0),"",S55*2)</f>
        <v/>
      </c>
      <c r="H55" s="196" t="n"/>
      <c r="I55" s="195">
        <f>#REF!</f>
        <v/>
      </c>
      <c r="J55" s="98" t="n"/>
      <c r="K55" s="15">
        <f>AD55</f>
        <v/>
      </c>
      <c r="L55" s="8" t="n"/>
      <c r="M55" s="10">
        <f>IF(OR(E55="",G55="",E55=0,G55=0),"",E55/G55)</f>
        <v/>
      </c>
      <c r="N55" s="9">
        <f>IF(OR(E55="",I55="",E55=0,I55=0),"",E55/(I55*2))</f>
        <v/>
      </c>
      <c r="O55" s="8">
        <f>IF(OR(I55="",G55="",I55=0,G55=0),"",I55*2/G55)</f>
        <v/>
      </c>
      <c r="P55" s="194">
        <f>20*0.703</f>
        <v/>
      </c>
      <c r="Q55" s="194" t="n">
        <v>106.041</v>
      </c>
      <c r="R55" s="194" t="n">
        <v>24.063</v>
      </c>
      <c r="S55" s="6">
        <f>O55*1.067</f>
        <v/>
      </c>
      <c r="T55" s="6">
        <f>P55*1.514</f>
        <v/>
      </c>
      <c r="U55" s="23">
        <f>P55*1.514+O55*1.067</f>
        <v/>
      </c>
      <c r="V55" s="194">
        <f>20*1.46</f>
        <v/>
      </c>
      <c r="W55" s="194">
        <f>35.817*1.067</f>
        <v/>
      </c>
      <c r="X55" s="194" t="n">
        <v>1.363</v>
      </c>
      <c r="Y55" s="23">
        <f>U55*1.067+V55*1.514</f>
        <v/>
      </c>
      <c r="Z55" s="194" t="n">
        <v>0.98</v>
      </c>
      <c r="AA55" s="194" t="n"/>
      <c r="AB55" s="194" t="n"/>
      <c r="AC55" s="194" t="n"/>
      <c r="AD55" s="194" t="n">
        <v>80</v>
      </c>
      <c r="AE55" s="194">
        <f>T55</f>
        <v/>
      </c>
      <c r="AF55" s="67">
        <f>5*5</f>
        <v/>
      </c>
      <c r="AG55" s="67">
        <f>20*0.863</f>
        <v/>
      </c>
      <c r="AH55" s="67" t="n">
        <v>0</v>
      </c>
      <c r="AI55" t="n">
        <v>0.06</v>
      </c>
      <c r="AJ55" s="119" t="n">
        <v>0.5208333333333334</v>
      </c>
      <c r="AL55" s="231" t="n">
        <v>175</v>
      </c>
      <c r="AM55" s="3" t="n">
        <v>180</v>
      </c>
      <c r="AN55" s="67">
        <f>AE55</f>
        <v/>
      </c>
      <c r="AO55" s="67">
        <f>10*0.887</f>
        <v/>
      </c>
      <c r="AP55" s="255">
        <f>360-AK55-AB55</f>
        <v/>
      </c>
      <c r="AQ55" s="193" t="n"/>
      <c r="AR55" s="13">
        <f>AVERAGE(AO53:AO59)</f>
        <v/>
      </c>
      <c r="AS55" s="15">
        <f>IF(ISNUMBER([2]HRT_SRT!R109),[2]HRT_SRT!R109,"")</f>
        <v/>
      </c>
      <c r="AT55" s="156">
        <f>(E55-W55)/E55</f>
        <v/>
      </c>
      <c r="AU55" s="155">
        <f>(I55-AF55)/I55</f>
        <v/>
      </c>
      <c r="AV55" s="155">
        <f>AG55/(AD55-AF55)</f>
        <v/>
      </c>
      <c r="AW55" s="155">
        <f>(G55-AM55)/G55</f>
        <v/>
      </c>
      <c r="AX55" s="254">
        <f>IF(AND(ISNUMBER(E55),ISNUMBER(W55)),E55-W55,"")</f>
        <v/>
      </c>
      <c r="AY55" s="254">
        <f>IF(AND(ISNUMBER(I55),ISNUMBER(AF55)),I55-AF55,"")</f>
        <v/>
      </c>
      <c r="AZ55" s="254">
        <f>IF(AND(ISNUMBER(AM55),ISNUMBER(G55)),G55-AM55,"")</f>
        <v/>
      </c>
      <c r="BA55" s="254">
        <f>IF(AND(ISNUMBER(AC55),ISNUMBER(AE55)),AC55-AE55,"")</f>
        <v/>
      </c>
      <c r="BB55" s="254">
        <f>IF(AND(ISNUMBER(AL55),ISNUMBER(AM55)),AL55-AM55,"")</f>
        <v/>
      </c>
      <c r="BC55" s="123" t="n"/>
      <c r="BD55" s="123">
        <f>IF(AND($I55&gt;0,$AF55&gt;=0),IF(($I55-$AF55)/$I55&gt;0,($I55-$AF55)/$I55,0),"")</f>
        <v/>
      </c>
      <c r="BE55" s="123">
        <f>IF(AND($AG55&gt;=0,$AD55&gt;=0,$AF55&gt;=0),IF($AG55/($AD55-$AF55)&gt;0,$AG55/($AD55-$AF55),0),"")</f>
        <v/>
      </c>
      <c r="BF55" s="123">
        <f>IF(AND($G55&gt;0,$AM55&gt;0),IF(($G55-$AM55)/$G55&gt;0,($G55-$AM55)/$G55,0),"")</f>
        <v/>
      </c>
      <c r="BG55" s="6">
        <f>IF((AD55-AF55)/(AJ55/60)&lt;=0,"",(AD55-AF55)/(AJ55/60))</f>
        <v/>
      </c>
      <c r="BH55" s="6">
        <f>IF(OR(AJ55=0,AP55=0,NOT(ISNUMBER(AD55)),NOT(ISNUMBER(AF55)),NOT(ISNUMBER(AJ55)),NOT(ISNUMBER(AP55))),"",
IFERROR(IF((AD55-AF55)/(AJ55/60)/(AP55/1000)&lt;=0,"",(AD55-AF55)/(AJ55/60)/(AP55/1000)),""))</f>
        <v/>
      </c>
    </row>
    <row r="56" ht="15.75" customHeight="1">
      <c r="B56" t="n">
        <v>-188</v>
      </c>
      <c r="C56" s="12" t="inlineStr">
        <is>
          <t xml:space="preserve">more P activity return </t>
        </is>
      </c>
      <c r="D56" s="11" t="n">
        <v>45316</v>
      </c>
      <c r="F56" s="3" t="n">
        <v>51</v>
      </c>
      <c r="G56" s="205">
        <f>IF(OR(S56="",S56=0),"",S56*2)</f>
        <v/>
      </c>
      <c r="I56" s="9">
        <f>(N56*18-H56*18)/9</f>
        <v/>
      </c>
      <c r="J56">
        <f>10*0.81</f>
        <v/>
      </c>
      <c r="K56" s="15">
        <f>AD56</f>
        <v/>
      </c>
      <c r="M56" s="10">
        <f>IF(OR(E56="",G56="",E56=0,G56=0),"",E56/G56)</f>
        <v/>
      </c>
      <c r="N56" s="9">
        <f>IF(OR(E56="",I56="",E56=0,I56=0),"",E56/(I56*2))</f>
        <v/>
      </c>
      <c r="O56" s="8">
        <f>IF(OR(I56="",G56="",I56=0,G56=0),"",I56*2/G56)</f>
        <v/>
      </c>
      <c r="P56" s="6">
        <f>20*1.08</f>
        <v/>
      </c>
      <c r="Q56" s="6" t="n">
        <v>148.02</v>
      </c>
      <c r="R56" s="6" t="n">
        <v>34.422</v>
      </c>
      <c r="S56" s="6">
        <f>O56*1.067</f>
        <v/>
      </c>
      <c r="T56" s="6">
        <f>P56*1.514</f>
        <v/>
      </c>
      <c r="U56" s="23">
        <f>P56*1.514+O56*1.067</f>
        <v/>
      </c>
      <c r="V56" s="6">
        <f>20*2.16</f>
        <v/>
      </c>
      <c r="W56" s="6">
        <f>18.332*1.067</f>
        <v/>
      </c>
      <c r="X56" s="6" t="n">
        <v>1.353</v>
      </c>
      <c r="Y56" s="23">
        <f>U56*1.067+V56*1.514</f>
        <v/>
      </c>
      <c r="Z56" s="6" t="n">
        <v>0.79</v>
      </c>
      <c r="AD56" s="6" t="n">
        <v>80</v>
      </c>
      <c r="AE56" s="6">
        <f>T56</f>
        <v/>
      </c>
      <c r="AF56" s="231">
        <f>5*4.5</f>
        <v/>
      </c>
      <c r="AG56" s="231">
        <f>20*1.34</f>
        <v/>
      </c>
      <c r="AH56" s="231" t="n">
        <v>0</v>
      </c>
      <c r="AI56" t="n">
        <v>3.75</v>
      </c>
      <c r="AJ56" s="119" t="n">
        <v>0.4810185185185185</v>
      </c>
      <c r="AL56" s="231" t="n">
        <v>175</v>
      </c>
      <c r="AM56" s="3" t="n">
        <v>180</v>
      </c>
      <c r="AN56" s="231">
        <f>AE56</f>
        <v/>
      </c>
      <c r="AO56" s="231">
        <f>5*3.58</f>
        <v/>
      </c>
      <c r="AP56" s="255">
        <f>360-AK56-AB56</f>
        <v/>
      </c>
      <c r="AQ56" s="165" t="n"/>
      <c r="AR56" s="13">
        <f>AVERAGE(AO54:AO60)</f>
        <v/>
      </c>
      <c r="AS56" s="15">
        <f>IF(ISNUMBER([2]HRT_SRT!R110),[2]HRT_SRT!R110,"")</f>
        <v/>
      </c>
      <c r="AT56" s="156">
        <f>(E56-W56)/E56</f>
        <v/>
      </c>
      <c r="AU56" s="155">
        <f>(I56-AF56)/I56</f>
        <v/>
      </c>
      <c r="AV56" s="155">
        <f>AG56/(AD56-AF56)</f>
        <v/>
      </c>
      <c r="AW56" s="155">
        <f>(G56-AM56)/G56</f>
        <v/>
      </c>
      <c r="AX56" s="254">
        <f>IF(AND(ISNUMBER(E56),ISNUMBER(W56)),E56-W56,"")</f>
        <v/>
      </c>
      <c r="AY56" s="254">
        <f>IF(AND(ISNUMBER(I56),ISNUMBER(AF56)),I56-AF56,"")</f>
        <v/>
      </c>
      <c r="AZ56" s="254">
        <f>IF(AND(ISNUMBER(AM56),ISNUMBER(G56)),G56-AM56,"")</f>
        <v/>
      </c>
      <c r="BA56" s="254">
        <f>IF(AND(ISNUMBER(AC56),ISNUMBER(AE56)),AC56-AE56,"")</f>
        <v/>
      </c>
      <c r="BB56" s="254">
        <f>IF(AND(ISNUMBER(AL56),ISNUMBER(AM56)),AL56-AM56,"")</f>
        <v/>
      </c>
      <c r="BC56" s="123">
        <f>IF(AND($E56&gt;0,$W56&gt;0),IF(($E56-$W56)/$E56&gt;0,($E56-$W56)/$E56,0),"")</f>
        <v/>
      </c>
      <c r="BD56" s="123">
        <f>IF(AND($I56&gt;0,$AF56&gt;=0),IF(($I56-$AF56)/$I56&gt;0,($I56-$AF56)/$I56,0),"")</f>
        <v/>
      </c>
      <c r="BE56" s="123">
        <f>IF(AND($AG56&gt;=0,$AD56&gt;=0,$AF56&gt;=0),IF($AG56/($AD56-$AF56)&gt;0,$AG56/($AD56-$AF56),0),"")</f>
        <v/>
      </c>
      <c r="BF56" s="123">
        <f>IF(AND($G56&gt;0,$AM56&gt;0),IF(($G56-$AM56)/$G56&gt;0,($G56-$AM56)/$G56,0),"")</f>
        <v/>
      </c>
      <c r="BG56" s="6">
        <f>IF((AD56-AF56)/(AJ56/60)&lt;=0,"",(AD56-AF56)/(AJ56/60))</f>
        <v/>
      </c>
      <c r="BH56" s="6">
        <f>IF(OR(AJ56=0,AP56=0,NOT(ISNUMBER(AD56)),NOT(ISNUMBER(AF56)),NOT(ISNUMBER(AJ56)),NOT(ISNUMBER(AP56))),"",
IFERROR(IF((AD56-AF56)/(AJ56/60)/(AP56/1000)&lt;=0,"",(AD56-AF56)/(AJ56/60)/(AP56/1000)),""))</f>
        <v/>
      </c>
    </row>
    <row r="57" ht="15.75" customHeight="1">
      <c r="B57" t="n">
        <v>-187</v>
      </c>
      <c r="D57" s="11" t="n">
        <v>45317</v>
      </c>
      <c r="F57" s="3" t="n">
        <v>52</v>
      </c>
      <c r="G57" s="205">
        <f>IF(OR(S57="",S57=0),"",S57*2)</f>
        <v/>
      </c>
      <c r="I57" s="15">
        <f>2*12.9</f>
        <v/>
      </c>
      <c r="K57" s="15">
        <f>AD57</f>
        <v/>
      </c>
      <c r="M57" s="10">
        <f>IF(OR(E57="",G57="",E57=0,G57=0),"",E57/G57)</f>
        <v/>
      </c>
      <c r="N57" s="9">
        <f>IF(OR(E57="",I57="",E57=0,I57=0),"",E57/(I57*2))</f>
        <v/>
      </c>
      <c r="O57" s="8">
        <f>IF(OR(I57="",G57="",I57=0,G57=0),"",I57*2/G57)</f>
        <v/>
      </c>
      <c r="P57" s="6" t="n"/>
      <c r="Q57" s="6" t="n">
        <v>127.259</v>
      </c>
      <c r="R57" s="6" t="n">
        <v>30.857</v>
      </c>
      <c r="S57" s="6">
        <f>O57*1.067</f>
        <v/>
      </c>
      <c r="T57" s="6">
        <f>P57*1.514</f>
        <v/>
      </c>
      <c r="U57" s="23">
        <f>P57*1.514+O57*1.067</f>
        <v/>
      </c>
      <c r="W57" s="6">
        <f>1.24*1.067</f>
        <v/>
      </c>
      <c r="Y57" s="23">
        <f>U57*1.067+V57*1.514</f>
        <v/>
      </c>
      <c r="Z57" s="6" t="n">
        <v>3.82</v>
      </c>
      <c r="AD57" s="6" t="n">
        <v>80</v>
      </c>
      <c r="AE57" s="231">
        <f>20*2.42</f>
        <v/>
      </c>
      <c r="AF57" s="231">
        <f>5*4.18</f>
        <v/>
      </c>
      <c r="AG57" s="231">
        <f>20*1.3</f>
        <v/>
      </c>
      <c r="AH57" s="168" t="n">
        <v>0.001</v>
      </c>
      <c r="AI57" t="n">
        <v>4.74</v>
      </c>
      <c r="AJ57" s="119" t="n">
        <v>0.4920138888888889</v>
      </c>
      <c r="AL57" s="231" t="n">
        <v>175</v>
      </c>
      <c r="AM57" s="3" t="n">
        <v>180</v>
      </c>
      <c r="AN57" s="231">
        <f>AE57</f>
        <v/>
      </c>
      <c r="AO57" s="231">
        <f>5*3.59</f>
        <v/>
      </c>
      <c r="AP57" s="255">
        <f>360-AK57-AB57</f>
        <v/>
      </c>
      <c r="AQ57" s="165" t="n"/>
      <c r="AR57" s="13">
        <f>AVERAGE(AO55:AO61)</f>
        <v/>
      </c>
      <c r="AS57" s="15">
        <f>IF(ISNUMBER([2]HRT_SRT!R111),[2]HRT_SRT!R111,"")</f>
        <v/>
      </c>
      <c r="AT57" s="156">
        <f>(E57-W57)/E57</f>
        <v/>
      </c>
      <c r="AU57" s="155">
        <f>(I57-AF57)/I57</f>
        <v/>
      </c>
      <c r="AV57" s="155">
        <f>AG57/(AD57-AF57)</f>
        <v/>
      </c>
      <c r="AW57" s="155">
        <f>(G57-AM57)/G57</f>
        <v/>
      </c>
      <c r="AX57" s="254">
        <f>IF(AND(ISNUMBER(E57),ISNUMBER(W57)),E57-W57,"")</f>
        <v/>
      </c>
      <c r="AY57" s="254">
        <f>IF(AND(ISNUMBER(I57),ISNUMBER(AF57)),I57-AF57,"")</f>
        <v/>
      </c>
      <c r="AZ57" s="254">
        <f>IF(AND(ISNUMBER(AM57),ISNUMBER(G57)),G57-AM57,"")</f>
        <v/>
      </c>
      <c r="BA57" s="254">
        <f>IF(AND(ISNUMBER(AC57),ISNUMBER(AE57)),AC57-AE57,"")</f>
        <v/>
      </c>
      <c r="BB57" s="254">
        <f>IF(AND(ISNUMBER(AL57),ISNUMBER(AM57)),AL57-AM57,"")</f>
        <v/>
      </c>
      <c r="BC57" s="123">
        <f>IF(AND($E57&gt;0,$W57&gt;0),IF(($E57-$W57)/$E57&gt;0,($E57-$W57)/$E57,0),"")</f>
        <v/>
      </c>
      <c r="BD57" s="123">
        <f>IF(AND($I57&gt;0,$AF57&gt;=0),IF(($I57-$AF57)/$I57&gt;0,($I57-$AF57)/$I57,0),"")</f>
        <v/>
      </c>
      <c r="BE57" s="123">
        <f>IF(AND($AG57&gt;=0,$AD57&gt;=0,$AF57&gt;=0),IF($AG57/($AD57-$AF57)&gt;0,$AG57/($AD57-$AF57),0),"")</f>
        <v/>
      </c>
      <c r="BF57" s="123">
        <f>IF(AND($G57&gt;0,$AM57&gt;0),IF(($G57-$AM57)/$G57&gt;0,($G57-$AM57)/$G57,0),"")</f>
        <v/>
      </c>
      <c r="BG57" s="6">
        <f>IF((AD57-AF57)/(AJ57/60)&lt;=0,"",(AD57-AF57)/(AJ57/60))</f>
        <v/>
      </c>
      <c r="BH57" s="6">
        <f>IF(OR(AJ57=0,AP57=0,NOT(ISNUMBER(AD57)),NOT(ISNUMBER(AF57)),NOT(ISNUMBER(AJ57)),NOT(ISNUMBER(AP57))),"",
IFERROR(IF((AD57-AF57)/(AJ57/60)/(AP57/1000)&lt;=0,"",(AD57-AF57)/(AJ57/60)/(AP57/1000)),""))</f>
        <v/>
      </c>
    </row>
    <row r="58" ht="15.75" customHeight="1">
      <c r="B58" t="n">
        <v>-186</v>
      </c>
      <c r="D58" s="11" t="n">
        <v>45318</v>
      </c>
      <c r="F58" s="3" t="n">
        <v>53</v>
      </c>
      <c r="G58" s="205">
        <f>IF(OR(S58="",S58=0),"",S58*2)</f>
        <v/>
      </c>
      <c r="K58" s="15">
        <f>AD58</f>
        <v/>
      </c>
      <c r="M58" s="10">
        <f>IF(OR(E58="",G58="",E58=0,G58=0),"",E58/G58)</f>
        <v/>
      </c>
      <c r="N58" s="9">
        <f>IF(OR(E58="",I58="",E58=0,I58=0),"",E58/(I58*2))</f>
        <v/>
      </c>
      <c r="O58" s="8">
        <f>IF(OR(I58="",G58="",I58=0,G58=0),"",I58*2/G58)</f>
        <v/>
      </c>
      <c r="P58" s="6" t="n"/>
      <c r="Z58" s="6" t="n">
        <v>0.25</v>
      </c>
      <c r="AD58" s="6" t="n">
        <v>80</v>
      </c>
      <c r="AE58" s="231" t="n"/>
      <c r="AF58" s="188">
        <f>(AD60-AD57)/3+AD57</f>
        <v/>
      </c>
      <c r="AI58" t="n">
        <v>4.8</v>
      </c>
      <c r="AJ58" s="119" t="n">
        <v>0.4913194444444444</v>
      </c>
      <c r="AL58" s="231" t="n">
        <v>175</v>
      </c>
      <c r="AM58" s="3" t="n">
        <v>180</v>
      </c>
      <c r="AN58" s="231" t="n"/>
      <c r="AP58" s="255">
        <f>360-AK58-AB58</f>
        <v/>
      </c>
      <c r="AQ58" s="165" t="n"/>
      <c r="AR58" s="13">
        <f>AVERAGE(AO56:AO62)</f>
        <v/>
      </c>
      <c r="AS58" s="15">
        <f>IF(ISNUMBER([2]HRT_SRT!R112),[2]HRT_SRT!R112,"")</f>
        <v/>
      </c>
      <c r="AT58" s="156">
        <f>(E58-W58)/E58</f>
        <v/>
      </c>
      <c r="AU58" s="155">
        <f>(I58-AF58)/I58</f>
        <v/>
      </c>
      <c r="AV58" s="155">
        <f>AG58/(AD58-AF58)</f>
        <v/>
      </c>
      <c r="AW58" s="155">
        <f>(G58-AM58)/G58</f>
        <v/>
      </c>
      <c r="AX58" s="254">
        <f>IF(AND(ISNUMBER(E58),ISNUMBER(W58)),E58-W58,"")</f>
        <v/>
      </c>
      <c r="AY58" s="254">
        <f>IF(AND(ISNUMBER(I58),ISNUMBER(AF58)),I58-AF58,"")</f>
        <v/>
      </c>
      <c r="AZ58" s="254">
        <f>IF(AND(ISNUMBER(AM58),ISNUMBER(G58)),G58-AM58,"")</f>
        <v/>
      </c>
      <c r="BA58" s="254">
        <f>IF(AND(ISNUMBER(AC58),ISNUMBER(AE58)),AC58-AE58,"")</f>
        <v/>
      </c>
      <c r="BB58" s="254">
        <f>IF(AND(ISNUMBER(AL58),ISNUMBER(AM58)),AL58-AM58,"")</f>
        <v/>
      </c>
      <c r="BC58" s="123">
        <f>IF(AND($E58&gt;0,$W58&gt;0),IF(($E58-$W58)/$E58&gt;0,($E58-$W58)/$E58,0),"")</f>
        <v/>
      </c>
      <c r="BD58" s="123">
        <f>IF(AND($I58&gt;0,$AF58&gt;=0),IF(($I58-$AF58)/$I58&gt;0,($I58-$AF58)/$I58,0),"")</f>
        <v/>
      </c>
      <c r="BE58" s="123">
        <f>IF(AND($AG58&gt;=0,$AD58&gt;=0,$AF58&gt;=0),IF($AG58/($AD58-$AF58)&gt;0,$AG58/($AD58-$AF58),0),"")</f>
        <v/>
      </c>
      <c r="BF58" s="123">
        <f>IF(AND($G58&gt;0,$AM58&gt;0),IF(($G58-$AM58)/$G58&gt;0,($G58-$AM58)/$G58,0),"")</f>
        <v/>
      </c>
      <c r="BG58" s="6">
        <f>IF((AD58-AF58)/(AJ58/60)&lt;=0,"",(AD58-AF58)/(AJ58/60))</f>
        <v/>
      </c>
      <c r="BH58" s="6">
        <f>IF(OR(AJ58=0,AP58=0,NOT(ISNUMBER(AD58)),NOT(ISNUMBER(AF58)),NOT(ISNUMBER(AJ58)),NOT(ISNUMBER(AP58))),"",
IFERROR(IF((AD58-AF58)/(AJ58/60)/(AP58/1000)&lt;=0,"",(AD58-AF58)/(AJ58/60)/(AP58/1000)),""))</f>
        <v/>
      </c>
    </row>
    <row r="59" ht="30" customHeight="1">
      <c r="B59" t="n">
        <v>-185</v>
      </c>
      <c r="C59" s="12" t="inlineStr">
        <is>
          <t xml:space="preserve">weird weekend upset, weird cycle happened Sunday morning </t>
        </is>
      </c>
      <c r="D59" s="11" t="n">
        <v>45319</v>
      </c>
      <c r="F59" s="3" t="n">
        <v>54</v>
      </c>
      <c r="G59" s="205">
        <f>IF(OR(S59="",S59=0),"",S59*2)</f>
        <v/>
      </c>
      <c r="K59" s="15">
        <f>AD59</f>
        <v/>
      </c>
      <c r="M59" s="10">
        <f>IF(OR(E59="",G59="",E59=0,G59=0),"",E59/G59)</f>
        <v/>
      </c>
      <c r="N59" s="9">
        <f>IF(OR(E59="",I59="",E59=0,I59=0),"",E59/(I59*2))</f>
        <v/>
      </c>
      <c r="O59" s="8">
        <f>IF(OR(I59="",G59="",I59=0,G59=0),"",I59*2/G59)</f>
        <v/>
      </c>
      <c r="P59" s="6" t="n"/>
      <c r="Z59" s="6" t="n">
        <v>0.25</v>
      </c>
      <c r="AD59" s="6" t="n">
        <v>80</v>
      </c>
      <c r="AE59" s="231" t="n"/>
      <c r="AF59" s="188">
        <f>(AD60-AD58)/3+AD58</f>
        <v/>
      </c>
      <c r="AI59" t="n">
        <v>0.07000000000000001</v>
      </c>
      <c r="AJ59" s="119" t="n">
        <v>0.5208333333333334</v>
      </c>
      <c r="AL59" s="231" t="n">
        <v>175</v>
      </c>
      <c r="AM59" s="3" t="n">
        <v>180</v>
      </c>
      <c r="AN59" s="231" t="n"/>
      <c r="AP59" s="255">
        <f>360-AK59-AB59</f>
        <v/>
      </c>
      <c r="AQ59" s="165" t="n"/>
      <c r="AR59" s="13">
        <f>AVERAGE(AO57:AO63)</f>
        <v/>
      </c>
      <c r="AS59" s="15">
        <f>IF(ISNUMBER([2]HRT_SRT!R113),[2]HRT_SRT!R113,"")</f>
        <v/>
      </c>
      <c r="AT59" s="156">
        <f>(E59-W59)/E59</f>
        <v/>
      </c>
      <c r="AU59" s="155">
        <f>(I59-AF59)/I59</f>
        <v/>
      </c>
      <c r="AV59" s="155">
        <f>AG59/(AD59-AF59)</f>
        <v/>
      </c>
      <c r="AW59" s="155">
        <f>(G59-AM59)/G59</f>
        <v/>
      </c>
      <c r="AX59" s="254">
        <f>IF(AND(ISNUMBER(E59),ISNUMBER(W59)),E59-W59,"")</f>
        <v/>
      </c>
      <c r="AY59" s="254">
        <f>IF(AND(ISNUMBER(I59),ISNUMBER(AF59)),I59-AF59,"")</f>
        <v/>
      </c>
      <c r="AZ59" s="254">
        <f>IF(AND(ISNUMBER(AM59),ISNUMBER(G59)),G59-AM59,"")</f>
        <v/>
      </c>
      <c r="BA59" s="254">
        <f>IF(AND(ISNUMBER(AC59),ISNUMBER(AE59)),AC59-AE59,"")</f>
        <v/>
      </c>
      <c r="BB59" s="254">
        <f>IF(AND(ISNUMBER(AL59),ISNUMBER(AM59)),AL59-AM59,"")</f>
        <v/>
      </c>
      <c r="BC59" s="123">
        <f>IF(AND($E59&gt;0,$W59&gt;0),IF(($E59-$W59)/$E59&gt;0,($E59-$W59)/$E59,0),"")</f>
        <v/>
      </c>
      <c r="BD59" s="123">
        <f>IF(AND($I59&gt;0,$AF59&gt;=0),IF(($I59-$AF59)/$I59&gt;0,($I59-$AF59)/$I59,0),"")</f>
        <v/>
      </c>
      <c r="BE59" s="123">
        <f>IF(AND($AG59&gt;=0,$AD59&gt;=0,$AF59&gt;=0),IF($AG59/($AD59-$AF59)&gt;0,$AG59/($AD59-$AF59),0),"")</f>
        <v/>
      </c>
      <c r="BF59" s="123">
        <f>IF(AND($G59&gt;0,$AM59&gt;0),IF(($G59-$AM59)/$G59&gt;0,($G59-$AM59)/$G59,0),"")</f>
        <v/>
      </c>
      <c r="BG59" s="6">
        <f>IF((AD59-AF59)/(AJ59/60)&lt;=0,"",(AD59-AF59)/(AJ59/60))</f>
        <v/>
      </c>
      <c r="BH59" s="6">
        <f>IF(OR(AJ59=0,AP59=0,NOT(ISNUMBER(AD59)),NOT(ISNUMBER(AF59)),NOT(ISNUMBER(AJ59)),NOT(ISNUMBER(AP59))),"",
IFERROR(IF((AD59-AF59)/(AJ59/60)/(AP59/1000)&lt;=0,"",(AD59-AF59)/(AJ59/60)/(AP59/1000)),""))</f>
        <v/>
      </c>
    </row>
    <row r="60" ht="15.75" customHeight="1">
      <c r="B60" t="n">
        <v>-184</v>
      </c>
      <c r="C60" s="12" t="inlineStr">
        <is>
          <t xml:space="preserve">after night cycle start producing </t>
        </is>
      </c>
      <c r="D60" s="11" t="n">
        <v>45320</v>
      </c>
      <c r="F60" s="3" t="n">
        <v>55</v>
      </c>
      <c r="G60" s="205">
        <f>IF(OR(S60="",S60=0),"",S60*2)</f>
        <v/>
      </c>
      <c r="I60" s="6">
        <f>15.4*2</f>
        <v/>
      </c>
      <c r="K60" s="15">
        <f>AD60</f>
        <v/>
      </c>
      <c r="M60" s="10">
        <f>IF(OR(E60="",G60="",E60=0,G60=0),"",E60/G60)</f>
        <v/>
      </c>
      <c r="N60" s="9">
        <f>IF(OR(E60="",I60="",E60=0,I60=0),"",E60/(I60*2))</f>
        <v/>
      </c>
      <c r="O60" s="8">
        <f>IF(OR(I60="",G60="",I60=0,G60=0),"",I60*2/G60)</f>
        <v/>
      </c>
      <c r="P60" s="6">
        <f>10*2.9</f>
        <v/>
      </c>
      <c r="V60" s="6">
        <f>25*2.06</f>
        <v/>
      </c>
      <c r="Z60" s="6" t="n">
        <v>0.25</v>
      </c>
      <c r="AD60" s="6" t="n">
        <v>80</v>
      </c>
      <c r="AE60" s="6">
        <f>T60</f>
        <v/>
      </c>
      <c r="AF60" s="231">
        <f>5*4.96</f>
        <v/>
      </c>
      <c r="AG60" s="231">
        <f>37.7</f>
        <v/>
      </c>
      <c r="AH60" s="168" t="n">
        <v>0.001</v>
      </c>
      <c r="AI60" t="n">
        <v>0.08</v>
      </c>
      <c r="AJ60" s="119" t="n">
        <v>0.5208333333333334</v>
      </c>
      <c r="AL60" s="231" t="n">
        <v>175</v>
      </c>
      <c r="AM60" s="3" t="n">
        <v>180</v>
      </c>
      <c r="AN60" s="231">
        <f>AE60</f>
        <v/>
      </c>
      <c r="AO60" s="231">
        <f>16.8</f>
        <v/>
      </c>
      <c r="AP60" s="255">
        <f>360-AK60-AB60</f>
        <v/>
      </c>
      <c r="AQ60" s="165" t="n"/>
      <c r="AR60" s="13">
        <f>AVERAGE(AO58:AO64)</f>
        <v/>
      </c>
      <c r="AS60" s="15">
        <f>IF(ISNUMBER([2]HRT_SRT!R114),[2]HRT_SRT!R114,"")</f>
        <v/>
      </c>
      <c r="AT60" s="156">
        <f>(E60-W60)/E60</f>
        <v/>
      </c>
      <c r="AU60" s="155">
        <f>(I60-AF60)/I60</f>
        <v/>
      </c>
      <c r="AV60" s="155">
        <f>AG60/(AD60-AF60)</f>
        <v/>
      </c>
      <c r="AW60" s="155">
        <f>(G60-AM60)/G60</f>
        <v/>
      </c>
      <c r="AX60" s="254">
        <f>IF(AND(ISNUMBER(E60),ISNUMBER(W60)),E60-W60,"")</f>
        <v/>
      </c>
      <c r="AY60" s="254">
        <f>IF(AND(ISNUMBER(I60),ISNUMBER(AF60)),I60-AF60,"")</f>
        <v/>
      </c>
      <c r="AZ60" s="254">
        <f>IF(AND(ISNUMBER(AM60),ISNUMBER(G60)),G60-AM60,"")</f>
        <v/>
      </c>
      <c r="BA60" s="254">
        <f>IF(AND(ISNUMBER(AC60),ISNUMBER(AE60)),AC60-AE60,"")</f>
        <v/>
      </c>
      <c r="BB60" s="254">
        <f>IF(AND(ISNUMBER(AL60),ISNUMBER(AM60)),AL60-AM60,"")</f>
        <v/>
      </c>
      <c r="BC60" s="123">
        <f>IF(AND($E60&gt;0,$W60&gt;0),IF(($E60-$W60)/$E60&gt;0,($E60-$W60)/$E60,0),"")</f>
        <v/>
      </c>
      <c r="BD60" s="123">
        <f>IF(AND($I60&gt;0,$AF60&gt;=0),IF(($I60-$AF60)/$I60&gt;0,($I60-$AF60)/$I60,0),"")</f>
        <v/>
      </c>
      <c r="BE60" s="123">
        <f>IF(AND($AG60&gt;=0,$AD60&gt;=0,$AF60&gt;=0),IF($AG60/($AD60-$AF60)&gt;0,$AG60/($AD60-$AF60),0),"")</f>
        <v/>
      </c>
      <c r="BF60" s="123">
        <f>IF(AND($G60&gt;0,$AM60&gt;0),IF(($G60-$AM60)/$G60&gt;0,($G60-$AM60)/$G60,0),"")</f>
        <v/>
      </c>
      <c r="BG60" s="6">
        <f>IF((AD60-AF60)/(AJ60/60)&lt;=0,"",(AD60-AF60)/(AJ60/60))</f>
        <v/>
      </c>
      <c r="BH60" s="6">
        <f>IF(OR(AJ60=0,AP60=0,NOT(ISNUMBER(AD60)),NOT(ISNUMBER(AF60)),NOT(ISNUMBER(AJ60)),NOT(ISNUMBER(AP60))),"",
IFERROR(IF((AD60-AF60)/(AJ60/60)/(AP60/1000)&lt;=0,"",(AD60-AF60)/(AJ60/60)/(AP60/1000)),""))</f>
        <v/>
      </c>
    </row>
    <row r="61" ht="15.75" customHeight="1">
      <c r="B61" t="n">
        <v>-183</v>
      </c>
      <c r="D61" s="167" t="n">
        <v>45321</v>
      </c>
      <c r="E61" s="166" t="n"/>
      <c r="F61" s="136" t="n">
        <v>56</v>
      </c>
      <c r="G61" s="205">
        <f>IF(OR(S61="",S61=0),"",S61*2)</f>
        <v/>
      </c>
      <c r="I61" s="192">
        <f>(N61*18-H61*18)/9</f>
        <v/>
      </c>
      <c r="J61">
        <f>'[2]1-30-2024'!I28</f>
        <v/>
      </c>
      <c r="K61" s="15">
        <f>AD61</f>
        <v/>
      </c>
      <c r="M61" s="10">
        <f>IF(OR(E61="",G61="",E61=0,G61=0),"",E61/G61)</f>
        <v/>
      </c>
      <c r="N61" s="9">
        <f>IF(OR(E61="",I61="",E61=0,I61=0),"",E61/(I61*2))</f>
        <v/>
      </c>
      <c r="O61" s="8">
        <f>IF(OR(I61="",G61="",I61=0,G61=0),"",I61*2/G61)</f>
        <v/>
      </c>
      <c r="P61" s="6">
        <f>'[2]1-30-2024'!I6</f>
        <v/>
      </c>
      <c r="Q61" s="6" t="n">
        <v>132.867</v>
      </c>
      <c r="R61" s="6" t="n">
        <v>28.698</v>
      </c>
      <c r="S61" s="6">
        <f>O61*1.067</f>
        <v/>
      </c>
      <c r="T61" s="6">
        <f>P61*1.514</f>
        <v/>
      </c>
      <c r="U61" s="23">
        <f>P61*1.514+O61*1.067</f>
        <v/>
      </c>
      <c r="V61" s="6">
        <f>'[2]1-30-2024'!I12</f>
        <v/>
      </c>
      <c r="W61" s="6">
        <f>1.067*1.067</f>
        <v/>
      </c>
      <c r="X61" s="6" t="n">
        <v>0.246</v>
      </c>
      <c r="Y61" s="23">
        <f>U61*1.067+V61*1.514</f>
        <v/>
      </c>
      <c r="Z61" s="6" t="n">
        <v>0.57</v>
      </c>
      <c r="AA61" s="6" t="n">
        <v>0.2</v>
      </c>
      <c r="AB61" s="6" t="n">
        <v>-95.59999999999999</v>
      </c>
      <c r="AC61" s="6" t="n">
        <v>-181</v>
      </c>
      <c r="AD61" s="6" t="n">
        <v>80</v>
      </c>
      <c r="AE61" s="6">
        <f>T61</f>
        <v/>
      </c>
      <c r="AF61" s="231">
        <f>'[2]1-30-2024'!G13</f>
        <v/>
      </c>
      <c r="AG61" s="231">
        <f>'[2]1-30-2024'!I21</f>
        <v/>
      </c>
      <c r="AH61" s="231">
        <f>'[2]1-30-2024'!G21</f>
        <v/>
      </c>
      <c r="AI61" t="n">
        <v>5.13</v>
      </c>
      <c r="AJ61" s="119" t="n">
        <v>0.4806712962962963</v>
      </c>
      <c r="AK61" s="231" t="n">
        <v>-168.6</v>
      </c>
      <c r="AL61" s="231" t="n">
        <v>175</v>
      </c>
      <c r="AM61" s="3" t="n">
        <v>180</v>
      </c>
      <c r="AN61" s="231">
        <f>AE61</f>
        <v/>
      </c>
      <c r="AO61" s="6">
        <f>'[2]1-30-2024'!I27</f>
        <v/>
      </c>
      <c r="AP61" s="255">
        <f>360-AK61-AB61</f>
        <v/>
      </c>
      <c r="AQ61" s="165">
        <f>[2]TSS_VSS!H113</f>
        <v/>
      </c>
      <c r="AR61" s="13">
        <f>AVERAGE(AO59:AO65)</f>
        <v/>
      </c>
      <c r="AS61" s="15">
        <f>IF(ISNUMBER([2]HRT_SRT!R115),[2]HRT_SRT!R115,"")</f>
        <v/>
      </c>
      <c r="AT61" s="156">
        <f>(E61-W61)/E61</f>
        <v/>
      </c>
      <c r="AU61" s="155">
        <f>(I61-AF61)/I61</f>
        <v/>
      </c>
      <c r="AV61" s="155">
        <f>AG61/(AD61-AF61)</f>
        <v/>
      </c>
      <c r="AW61" s="155">
        <f>(G61-AM61)/G61</f>
        <v/>
      </c>
      <c r="AX61" s="254">
        <f>IF(AND(ISNUMBER(E61),ISNUMBER(W61)),E61-W61,"")</f>
        <v/>
      </c>
      <c r="AY61" s="254">
        <f>IF(AND(ISNUMBER(I61),ISNUMBER(AF61)),I61-AF61,"")</f>
        <v/>
      </c>
      <c r="AZ61" s="254">
        <f>IF(AND(ISNUMBER(AM61),ISNUMBER(G61)),G61-AM61,"")</f>
        <v/>
      </c>
      <c r="BA61" s="254">
        <f>IF(AND(ISNUMBER(AC61),ISNUMBER(AE61)),AC61-AE61,"")</f>
        <v/>
      </c>
      <c r="BB61" s="254">
        <f>IF(AND(ISNUMBER(AL61),ISNUMBER(AM61)),AL61-AM61,"")</f>
        <v/>
      </c>
      <c r="BC61" s="123">
        <f>IF(AND($E61&gt;0,$W61&gt;0),IF(($E61-$W61)/$E61&gt;0,($E61-$W61)/$E61,0),"")</f>
        <v/>
      </c>
      <c r="BD61" s="123">
        <f>IF(AND($I61&gt;0,$AF61&gt;=0),IF(($I61-$AF61)/$I61&gt;0,($I61-$AF61)/$I61,0),"")</f>
        <v/>
      </c>
      <c r="BE61" s="123">
        <f>IF(AND($AG61&gt;=0,$AD61&gt;=0,$AF61&gt;=0),IF($AG61/($AD61-$AF61)&gt;0,$AG61/($AD61-$AF61),0),"")</f>
        <v/>
      </c>
      <c r="BF61" s="123">
        <f>IF(AND($G61&gt;0,$AM61&gt;0),IF(($G61-$AM61)/$G61&gt;0,($G61-$AM61)/$G61,0),"")</f>
        <v/>
      </c>
      <c r="BG61" s="6">
        <f>IF((AD61-AF61)/(AJ61/60)&lt;=0,"",(AD61-AF61)/(AJ61/60))</f>
        <v/>
      </c>
      <c r="BH61" s="6">
        <f>IF(OR(AJ61=0,AP61=0,NOT(ISNUMBER(AD61)),NOT(ISNUMBER(AF61)),NOT(ISNUMBER(AJ61)),NOT(ISNUMBER(AP61))),"",
IFERROR(IF((AD61-AF61)/(AJ61/60)/(AP61/1000)&lt;=0,"",(AD61-AF61)/(AJ61/60)/(AP61/1000)),""))</f>
        <v/>
      </c>
    </row>
    <row r="62" ht="15.75" customHeight="1">
      <c r="B62" t="n">
        <v>-182</v>
      </c>
      <c r="D62" s="11" t="n">
        <v>45322</v>
      </c>
      <c r="F62" s="3" t="n">
        <v>57</v>
      </c>
      <c r="G62" s="205">
        <f>IF(OR(S62="",S62=0),"",S62*2)</f>
        <v/>
      </c>
      <c r="I62" s="15">
        <f>(N62*18-H62*18)/9</f>
        <v/>
      </c>
      <c r="J62">
        <f>10*1.03</f>
        <v/>
      </c>
      <c r="K62" s="15">
        <f>AD62</f>
        <v/>
      </c>
      <c r="M62" s="10">
        <f>IF(OR(E62="",G62="",E62=0,G62=0),"",E62/G62)</f>
        <v/>
      </c>
      <c r="N62" s="9">
        <f>IF(OR(E62="",I62="",E62=0,I62=0),"",E62/(I62*2))</f>
        <v/>
      </c>
      <c r="O62" s="8">
        <f>IF(OR(I62="",G62="",I62=0,G62=0),"",I62*2/G62)</f>
        <v/>
      </c>
      <c r="P62" s="7">
        <f>10*2.38</f>
        <v/>
      </c>
      <c r="V62" s="6">
        <f>20*2.62</f>
        <v/>
      </c>
      <c r="Z62" s="6" t="n">
        <v>0.26</v>
      </c>
      <c r="AA62" s="6" t="n">
        <v>0.23</v>
      </c>
      <c r="AB62" s="6" t="n">
        <v>-97</v>
      </c>
      <c r="AC62" s="6" t="n">
        <v>-181</v>
      </c>
      <c r="AD62" s="5" t="n">
        <v>80</v>
      </c>
      <c r="AE62" s="7">
        <f>T62</f>
        <v/>
      </c>
      <c r="AF62" s="231">
        <f>5*5.05</f>
        <v/>
      </c>
      <c r="AG62" s="231">
        <f>10*2.75</f>
        <v/>
      </c>
      <c r="AH62" s="168" t="n">
        <v>0.001</v>
      </c>
      <c r="AI62" t="n">
        <v>5.34</v>
      </c>
      <c r="AJ62" s="119" t="n">
        <v>0.4795138888888889</v>
      </c>
      <c r="AK62" s="231" t="n">
        <v>-178</v>
      </c>
      <c r="AL62" s="231" t="n">
        <v>175</v>
      </c>
      <c r="AM62" s="3" t="n">
        <v>180</v>
      </c>
      <c r="AN62" s="4">
        <f>AE62</f>
        <v/>
      </c>
      <c r="AO62" s="231">
        <f>10*1.63</f>
        <v/>
      </c>
      <c r="AP62" s="255">
        <f>360-AK62-AB62</f>
        <v/>
      </c>
      <c r="AQ62" s="165" t="n"/>
      <c r="AR62" s="13">
        <f>AVERAGE(AO60:AO66)</f>
        <v/>
      </c>
      <c r="AS62" s="15">
        <f>IF(ISNUMBER([2]HRT_SRT!R116),[2]HRT_SRT!R116,"")</f>
        <v/>
      </c>
      <c r="AT62" s="156">
        <f>(E62-W62)/E62</f>
        <v/>
      </c>
      <c r="AU62" s="155">
        <f>(I62-AF62)/I62</f>
        <v/>
      </c>
      <c r="AV62" s="155">
        <f>AG62/(AD62-AF62)</f>
        <v/>
      </c>
      <c r="AW62" s="155">
        <f>(G62-AM62)/G62</f>
        <v/>
      </c>
      <c r="AX62" s="254">
        <f>IF(AND(ISNUMBER(E62),ISNUMBER(W62)),E62-W62,"")</f>
        <v/>
      </c>
      <c r="AY62" s="254">
        <f>IF(AND(ISNUMBER(I62),ISNUMBER(AF62)),I62-AF62,"")</f>
        <v/>
      </c>
      <c r="AZ62" s="254">
        <f>IF(AND(ISNUMBER(AM62),ISNUMBER(G62)),G62-AM62,"")</f>
        <v/>
      </c>
      <c r="BA62" s="254">
        <f>IF(AND(ISNUMBER(AC62),ISNUMBER(AE62)),AC62-AE62,"")</f>
        <v/>
      </c>
      <c r="BB62" s="254">
        <f>IF(AND(ISNUMBER(AL62),ISNUMBER(AM62)),AL62-AM62,"")</f>
        <v/>
      </c>
      <c r="BC62" s="123">
        <f>IF(AND($E62&gt;0,$W62&gt;0),IF(($E62-$W62)/$E62&gt;0,($E62-$W62)/$E62,0),"")</f>
        <v/>
      </c>
      <c r="BD62" s="123">
        <f>IF(AND($I62&gt;0,$AF62&gt;=0),IF(($I62-$AF62)/$I62&gt;0,($I62-$AF62)/$I62,0),"")</f>
        <v/>
      </c>
      <c r="BE62" s="123">
        <f>IF(AND($AG62&gt;=0,$AD62&gt;=0,$AF62&gt;=0),IF($AG62/($AD62-$AF62)&gt;0,$AG62/($AD62-$AF62),0),"")</f>
        <v/>
      </c>
      <c r="BF62" s="123">
        <f>IF(AND($G62&gt;0,$AM62&gt;0),IF(($G62-$AM62)/$G62&gt;0,($G62-$AM62)/$G62,0),"")</f>
        <v/>
      </c>
      <c r="BG62" s="6">
        <f>IF((AD62-AF62)/(AJ62/60)&lt;=0,"",(AD62-AF62)/(AJ62/60))</f>
        <v/>
      </c>
      <c r="BH62" s="6">
        <f>IF(OR(AJ62=0,AP62=0,NOT(ISNUMBER(AD62)),NOT(ISNUMBER(AF62)),NOT(ISNUMBER(AJ62)),NOT(ISNUMBER(AP62))),"",
IFERROR(IF((AD62-AF62)/(AJ62/60)/(AP62/1000)&lt;=0,"",(AD62-AF62)/(AJ62/60)/(AP62/1000)),""))</f>
        <v/>
      </c>
    </row>
    <row r="63" ht="15.75" customHeight="1">
      <c r="B63" t="n">
        <v>-181</v>
      </c>
      <c r="C63" s="12" t="inlineStr">
        <is>
          <t xml:space="preserve">batch test, had funcky cycle in morning </t>
        </is>
      </c>
      <c r="D63" s="11" t="n">
        <v>45323</v>
      </c>
      <c r="F63" s="3" t="n">
        <v>58</v>
      </c>
      <c r="G63" s="205">
        <f>IF(OR(S63="",S63=0),"",S63*2)</f>
        <v/>
      </c>
      <c r="I63" s="163">
        <f>(N63*18-H63*10)/9</f>
        <v/>
      </c>
      <c r="J63" s="164" t="n">
        <v>12.5</v>
      </c>
      <c r="K63" s="15">
        <f>AD63</f>
        <v/>
      </c>
      <c r="M63" s="10">
        <f>IF(OR(E63="",G63="",E63=0,G63=0),"",E63/G63)</f>
        <v/>
      </c>
      <c r="N63" s="9">
        <f>IF(OR(E63="",I63="",E63=0,I63=0),"",E63/(I63*2))</f>
        <v/>
      </c>
      <c r="O63" s="8">
        <f>IF(OR(I63="",G63="",I63=0,G63=0),"",I63*2/G63)</f>
        <v/>
      </c>
      <c r="P63" s="7" t="n">
        <v>21.6</v>
      </c>
      <c r="Z63" s="6" t="n">
        <v>0.41</v>
      </c>
      <c r="AD63" s="5" t="n">
        <v>80</v>
      </c>
      <c r="AJ63" s="119" t="n">
        <v>0.4652777777777778</v>
      </c>
      <c r="AL63" s="231" t="n">
        <v>175</v>
      </c>
      <c r="AM63" s="3" t="n">
        <v>180</v>
      </c>
      <c r="AO63" s="162">
        <f>13</f>
        <v/>
      </c>
      <c r="AP63" s="255">
        <f>360-AK63-AB63</f>
        <v/>
      </c>
      <c r="AQ63" s="165" t="n"/>
      <c r="AR63" s="13">
        <f>AVERAGE(AO61:AO67)</f>
        <v/>
      </c>
      <c r="AS63" s="15">
        <f>IF(ISNUMBER([2]HRT_SRT!R117),[2]HRT_SRT!R117,"")</f>
        <v/>
      </c>
      <c r="AT63" s="156">
        <f>(E63-W63)/E63</f>
        <v/>
      </c>
      <c r="AU63" s="155">
        <f>(I63-AF63)/I63</f>
        <v/>
      </c>
      <c r="AV63" s="155">
        <f>AG63/(AD63-AF63)</f>
        <v/>
      </c>
      <c r="AW63" s="155">
        <f>(G63-AM63)/G63</f>
        <v/>
      </c>
      <c r="AX63" s="254">
        <f>IF(AND(ISNUMBER(E63),ISNUMBER(W63)),E63-W63,"")</f>
        <v/>
      </c>
      <c r="AY63" s="254">
        <f>IF(AND(ISNUMBER(I63),ISNUMBER(AF63)),I63-AF63,"")</f>
        <v/>
      </c>
      <c r="AZ63" s="254">
        <f>IF(AND(ISNUMBER(AM63),ISNUMBER(G63)),G63-AM63,"")</f>
        <v/>
      </c>
      <c r="BA63" s="254">
        <f>IF(AND(ISNUMBER(AC63),ISNUMBER(AE63)),AC63-AE63,"")</f>
        <v/>
      </c>
      <c r="BB63" s="254">
        <f>IF(AND(ISNUMBER(AL63),ISNUMBER(AM63)),AL63-AM63,"")</f>
        <v/>
      </c>
      <c r="BC63" s="123">
        <f>IF(AND($E63&gt;0,$W63&gt;0),IF(($E63-$W63)/$E63&gt;0,($E63-$W63)/$E63,0),"")</f>
        <v/>
      </c>
      <c r="BD63" s="123">
        <f>IF(AND($I63&gt;0,$AF63&gt;=0),IF(($I63-$AF63)/$I63&gt;0,($I63-$AF63)/$I63,0),"")</f>
        <v/>
      </c>
      <c r="BE63" s="123" t="n"/>
      <c r="BF63" s="123">
        <f>IF(AND($G63&gt;0,$AM63&gt;0),IF(($G63-$AM63)/$G63&gt;0,($G63-$AM63)/$G63,0),"")</f>
        <v/>
      </c>
      <c r="BG63" s="6">
        <f>IF((AD63-AF63)/(AJ63/60)&lt;=0,"",(AD63-AF63)/(AJ63/60))</f>
        <v/>
      </c>
      <c r="BH63" s="6">
        <f>IF(OR(AJ63=0,AP63=0,NOT(ISNUMBER(AD63)),NOT(ISNUMBER(AF63)),NOT(ISNUMBER(AJ63)),NOT(ISNUMBER(AP63))),"",
IFERROR(IF((AD63-AF63)/(AJ63/60)/(AP63/1000)&lt;=0,"",(AD63-AF63)/(AJ63/60)/(AP63/1000)),""))</f>
        <v/>
      </c>
    </row>
    <row r="64" ht="15.75" customHeight="1">
      <c r="B64" t="n">
        <v>-180</v>
      </c>
      <c r="D64" s="11" t="n">
        <v>45324</v>
      </c>
      <c r="F64" s="3" t="n">
        <v>59</v>
      </c>
      <c r="G64" s="205">
        <f>IF(OR(S64="",S64=0),"",S64*2)</f>
        <v/>
      </c>
      <c r="I64" s="15">
        <f>(N64*18-H64*18)/9</f>
        <v/>
      </c>
      <c r="J64">
        <f>10*1.29</f>
        <v/>
      </c>
      <c r="K64" s="15">
        <f>AD64</f>
        <v/>
      </c>
      <c r="M64" s="10">
        <f>IF(OR(E64="",G64="",E64=0,G64=0),"",E64/G64)</f>
        <v/>
      </c>
      <c r="N64" s="9">
        <f>IF(OR(E64="",I64="",E64=0,I64=0),"",E64/(I64*2))</f>
        <v/>
      </c>
      <c r="O64" s="8">
        <f>IF(OR(I64="",G64="",I64=0,G64=0),"",I64*2/G64)</f>
        <v/>
      </c>
      <c r="P64" s="7">
        <f>25.6</f>
        <v/>
      </c>
      <c r="V64" s="6">
        <f>20*2.69</f>
        <v/>
      </c>
      <c r="Z64" s="6" t="n">
        <v>0.25</v>
      </c>
      <c r="AD64" s="5" t="n">
        <v>80</v>
      </c>
      <c r="AE64" s="7">
        <f>T64</f>
        <v/>
      </c>
      <c r="AF64" s="231">
        <f>5*4.86</f>
        <v/>
      </c>
      <c r="AG64" s="231">
        <f>10*2.911</f>
        <v/>
      </c>
      <c r="AH64" s="168" t="n">
        <v>0.001</v>
      </c>
      <c r="AI64" t="n">
        <v>6.14</v>
      </c>
      <c r="AJ64" s="119" t="n">
        <v>0.4787037037037037</v>
      </c>
      <c r="AL64" s="231" t="n">
        <v>175</v>
      </c>
      <c r="AM64" s="3" t="n">
        <v>180</v>
      </c>
      <c r="AN64" s="4">
        <f>AE64</f>
        <v/>
      </c>
      <c r="AO64" s="231">
        <f>20.3</f>
        <v/>
      </c>
      <c r="AP64" s="255">
        <f>360-AK64-AB64</f>
        <v/>
      </c>
      <c r="AQ64" s="165">
        <f>[2]TSS_VSS!H119</f>
        <v/>
      </c>
      <c r="AR64" s="13">
        <f>AVERAGE(AO62:AO68)</f>
        <v/>
      </c>
      <c r="AS64" s="15">
        <f>IF(ISNUMBER([2]HRT_SRT!R118),[2]HRT_SRT!R118,"")</f>
        <v/>
      </c>
      <c r="AT64" s="156">
        <f>(E64-W64)/E64</f>
        <v/>
      </c>
      <c r="AU64" s="155">
        <f>(I64-AF64)/I64</f>
        <v/>
      </c>
      <c r="AV64" s="155">
        <f>AG64/(AD64-AF64)</f>
        <v/>
      </c>
      <c r="AW64" s="155">
        <f>(G64-AM64)/G64</f>
        <v/>
      </c>
      <c r="AX64" s="254">
        <f>IF(AND(ISNUMBER(E64),ISNUMBER(W64)),E64-W64,"")</f>
        <v/>
      </c>
      <c r="AY64" s="254">
        <f>IF(AND(ISNUMBER(I64),ISNUMBER(AF64)),I64-AF64,"")</f>
        <v/>
      </c>
      <c r="AZ64" s="254">
        <f>IF(AND(ISNUMBER(AM64),ISNUMBER(G64)),G64-AM64,"")</f>
        <v/>
      </c>
      <c r="BA64" s="254">
        <f>IF(AND(ISNUMBER(AC64),ISNUMBER(AE64)),AC64-AE64,"")</f>
        <v/>
      </c>
      <c r="BB64" s="254">
        <f>IF(AND(ISNUMBER(AL64),ISNUMBER(AM64)),AL64-AM64,"")</f>
        <v/>
      </c>
      <c r="BC64" s="123">
        <f>IF(AND($E64&gt;0,$W64&gt;0),IF(($E64-$W64)/$E64&gt;0,($E64-$W64)/$E64,0),"")</f>
        <v/>
      </c>
      <c r="BD64" s="123">
        <f>IF(AND($I64&gt;0,$AF64&gt;=0),IF(($I64-$AF64)/$I64&gt;0,($I64-$AF64)/$I64,0),"")</f>
        <v/>
      </c>
      <c r="BE64" s="123">
        <f>IF(AND($AG64&gt;=0,$AD64&gt;=0,$AF64&gt;=0),IF($AG64/($AD64-$AF64)&gt;0,$AG64/($AD64-$AF64),0),"")</f>
        <v/>
      </c>
      <c r="BF64" s="123">
        <f>IF(AND($G64&gt;0,$AM64&gt;0),IF(($G64-$AM64)/$G64&gt;0,($G64-$AM64)/$G64,0),"")</f>
        <v/>
      </c>
      <c r="BG64" s="6">
        <f>IF((AD64-AF64)/(AJ64/60)&lt;=0,"",(AD64-AF64)/(AJ64/60))</f>
        <v/>
      </c>
      <c r="BH64" s="6">
        <f>IF(OR(AJ64=0,AP64=0,NOT(ISNUMBER(AD64)),NOT(ISNUMBER(AF64)),NOT(ISNUMBER(AJ64)),NOT(ISNUMBER(AP64))),"",
IFERROR(IF((AD64-AF64)/(AJ64/60)/(AP64/1000)&lt;=0,"",(AD64-AF64)/(AJ64/60)/(AP64/1000)),""))</f>
        <v/>
      </c>
    </row>
    <row r="65" ht="15.75" customFormat="1" customHeight="1" s="27">
      <c r="B65" t="n">
        <v>-179</v>
      </c>
      <c r="C65" s="39" t="inlineStr">
        <is>
          <t>pH upset to 8.6 for 3 cycles form Friday afternoon</t>
        </is>
      </c>
      <c r="D65" s="191" t="n">
        <v>45325</v>
      </c>
      <c r="E65" s="28" t="n"/>
      <c r="F65" s="29" t="n">
        <v>60</v>
      </c>
      <c r="G65" s="205">
        <f>IF(OR(S65="",S65=0),"",S65*2)</f>
        <v/>
      </c>
      <c r="H65" s="36" t="n"/>
      <c r="I65" s="116" t="n"/>
      <c r="J65" s="116" t="n"/>
      <c r="K65" s="15">
        <f>AD65</f>
        <v/>
      </c>
      <c r="L65" s="35" t="n"/>
      <c r="M65" s="10">
        <f>IF(OR(E65="",G65="",E65=0,G65=0),"",E65/G65)</f>
        <v/>
      </c>
      <c r="N65" s="9">
        <f>IF(OR(E65="",I65="",E65=0,I65=0),"",E65/(I65*2))</f>
        <v/>
      </c>
      <c r="O65" s="8">
        <f>IF(OR(I65="",G65="",I65=0,G65=0),"",I65*2/G65)</f>
        <v/>
      </c>
      <c r="P65" s="34" t="n"/>
      <c r="Q65" s="33" t="n"/>
      <c r="R65" s="33" t="n"/>
      <c r="S65" s="33" t="n"/>
      <c r="T65" s="33" t="n"/>
      <c r="U65" s="33" t="n"/>
      <c r="V65" s="33" t="n"/>
      <c r="W65" s="33" t="n"/>
      <c r="X65" s="33" t="n"/>
      <c r="Y65" s="33" t="n"/>
      <c r="Z65" s="33" t="n">
        <v>1.03</v>
      </c>
      <c r="AA65" s="33" t="n"/>
      <c r="AB65" s="33" t="n"/>
      <c r="AC65" s="33" t="n"/>
      <c r="AD65" s="74" t="n">
        <v>80</v>
      </c>
      <c r="AE65" s="32" t="n"/>
      <c r="AF65" s="190">
        <f>(AD64-AD67)/2+AD64</f>
        <v/>
      </c>
      <c r="AG65" s="27">
        <f>25*1.78</f>
        <v/>
      </c>
      <c r="AH65" s="177" t="n">
        <v>0.001</v>
      </c>
      <c r="AI65" s="116" t="n">
        <v>1.95</v>
      </c>
      <c r="AJ65" s="125" t="n">
        <v>0.4346064814814815</v>
      </c>
      <c r="AL65" s="231" t="n">
        <v>175</v>
      </c>
      <c r="AM65" s="29" t="n">
        <v>180</v>
      </c>
      <c r="AN65" s="32">
        <f>AE65</f>
        <v/>
      </c>
      <c r="AO65" s="27">
        <f>25*1.18</f>
        <v/>
      </c>
      <c r="AP65" s="253">
        <f>360-AK65-AB65</f>
        <v/>
      </c>
      <c r="AQ65" s="189" t="n"/>
      <c r="AR65" s="13">
        <f>AVERAGE(AO63:AO69)</f>
        <v/>
      </c>
      <c r="AS65" s="77">
        <f>IF(ISNUMBER([2]HRT_SRT!R119),[2]HRT_SRT!R119,"")</f>
        <v/>
      </c>
      <c r="AT65" s="31">
        <f>(E65-W65)/E65</f>
        <v/>
      </c>
      <c r="AU65" s="30">
        <f>(I65-AF65)/I65</f>
        <v/>
      </c>
      <c r="AV65" s="30">
        <f>AG65/(AD65-AF65)</f>
        <v/>
      </c>
      <c r="AW65" s="30">
        <f>(G65-AM65)/G65</f>
        <v/>
      </c>
      <c r="AX65" s="256">
        <f>IF(AND(ISNUMBER(E65),ISNUMBER(W65)),E65-W65,"")</f>
        <v/>
      </c>
      <c r="AY65" s="256">
        <f>IF(AND(ISNUMBER(I65),ISNUMBER(AF65)),I65-AF65,"")</f>
        <v/>
      </c>
      <c r="AZ65" s="256">
        <f>IF(AND(ISNUMBER(AM65),ISNUMBER(G65)),G65-AM65,"")</f>
        <v/>
      </c>
      <c r="BA65" s="254">
        <f>IF(AND(ISNUMBER(AC65),ISNUMBER(AE65)),AC65-AE65,"")</f>
        <v/>
      </c>
      <c r="BB65" s="254">
        <f>IF(AND(ISNUMBER(AL65),ISNUMBER(AM65)),AL65-AM65,"")</f>
        <v/>
      </c>
      <c r="BC65" s="123">
        <f>IF(AND($E65&gt;0,$W65&gt;0),IF(($E65-$W65)/$E65&gt;0,($E65-$W65)/$E65,0),"")</f>
        <v/>
      </c>
      <c r="BD65" s="123">
        <f>IF(AND($I65&gt;0,$AF65&gt;=0),IF(($I65-$AF65)/$I65&gt;0,($I65-$AF65)/$I65,0),"")</f>
        <v/>
      </c>
      <c r="BE65" s="123">
        <f>IF(AND($AG65&gt;=0,$AD65&gt;=0,$AF65&gt;=0),IF($AG65/($AD65-$AF65)&gt;0,$AG65/($AD65-$AF65),0),"")</f>
        <v/>
      </c>
      <c r="BF65" s="123">
        <f>IF(AND($G65&gt;0,$AM65&gt;0),IF(($G65-$AM65)/$G65&gt;0,($G65-$AM65)/$G65,0),"")</f>
        <v/>
      </c>
      <c r="BG65" s="6">
        <f>IF((AD65-AF65)/(AJ65/60)&lt;=0,"",(AD65-AF65)/(AJ65/60))</f>
        <v/>
      </c>
      <c r="BH65" s="6">
        <f>IF(OR(AJ65=0,AP65=0,NOT(ISNUMBER(AD65)),NOT(ISNUMBER(AF65)),NOT(ISNUMBER(AJ65)),NOT(ISNUMBER(AP65))),"",
IFERROR(IF((AD65-AF65)/(AJ65/60)/(AP65/1000)&lt;=0,"",(AD65-AF65)/(AJ65/60)/(AP65/1000)),""))</f>
        <v/>
      </c>
    </row>
    <row r="66" ht="15.75" customHeight="1">
      <c r="B66" t="n">
        <v>-178</v>
      </c>
      <c r="D66" s="187" t="n">
        <v>45326</v>
      </c>
      <c r="E66" s="186" t="n"/>
      <c r="F66" s="3" t="n">
        <v>61</v>
      </c>
      <c r="G66" s="205">
        <f>IF(OR(S66="",S66=0),"",S66*2)</f>
        <v/>
      </c>
      <c r="K66" s="15">
        <f>AD66</f>
        <v/>
      </c>
      <c r="M66" s="10">
        <f>IF(OR(E66="",G66="",E66=0,G66=0),"",E66/G66)</f>
        <v/>
      </c>
      <c r="N66" s="9">
        <f>IF(OR(E66="",I66="",E66=0,I66=0),"",E66/(I66*2))</f>
        <v/>
      </c>
      <c r="O66" s="8">
        <f>IF(OR(I66="",G66="",I66=0,G66=0),"",I66*2/G66)</f>
        <v/>
      </c>
      <c r="S66" s="6">
        <f>O66*1.067</f>
        <v/>
      </c>
      <c r="T66" s="6">
        <f>P66*1.514</f>
        <v/>
      </c>
      <c r="U66" s="23">
        <f>P66*1.514+O66*1.067</f>
        <v/>
      </c>
      <c r="Z66" s="6" t="n">
        <v>0.25</v>
      </c>
      <c r="AD66" s="5" t="n">
        <v>80</v>
      </c>
      <c r="AF66" s="188">
        <f>(AD65-AD67)/2+AD65</f>
        <v/>
      </c>
      <c r="AI66" t="n">
        <v>0.08</v>
      </c>
      <c r="AJ66" s="119" t="n">
        <v>0.5208333333333334</v>
      </c>
      <c r="AL66" s="231" t="n">
        <v>175</v>
      </c>
      <c r="AM66" s="3" t="n">
        <v>180</v>
      </c>
      <c r="AP66" s="255">
        <f>360-AK66-AB66</f>
        <v/>
      </c>
      <c r="AQ66" s="165" t="n"/>
      <c r="AR66" s="13">
        <f>AVERAGE(AO64:AO70)</f>
        <v/>
      </c>
      <c r="AS66" s="15">
        <f>IF(ISNUMBER([2]HRT_SRT!R120),[2]HRT_SRT!R120,"")</f>
        <v/>
      </c>
      <c r="AT66" s="156">
        <f>(E66-W66)/E66</f>
        <v/>
      </c>
      <c r="AU66" s="155">
        <f>(I66-AF66)/I66</f>
        <v/>
      </c>
      <c r="AV66" s="155">
        <f>AG66/(AD66-AF66)</f>
        <v/>
      </c>
      <c r="AW66" s="155">
        <f>(G66-AM66)/G66</f>
        <v/>
      </c>
      <c r="AX66" s="254">
        <f>IF(AND(ISNUMBER(E66),ISNUMBER(W66)),E66-W66,"")</f>
        <v/>
      </c>
      <c r="AY66" s="254">
        <f>IF(AND(ISNUMBER(I66),ISNUMBER(AF66)),I66-AF66,"")</f>
        <v/>
      </c>
      <c r="AZ66" s="254">
        <f>IF(AND(ISNUMBER(AM66),ISNUMBER(G66)),G66-AM66,"")</f>
        <v/>
      </c>
      <c r="BA66" s="254">
        <f>IF(AND(ISNUMBER(AC66),ISNUMBER(AE66)),AC66-AE66,"")</f>
        <v/>
      </c>
      <c r="BB66" s="254">
        <f>IF(AND(ISNUMBER(AL66),ISNUMBER(AM66)),AL66-AM66,"")</f>
        <v/>
      </c>
      <c r="BC66" s="84">
        <f>IF(AND($E66&gt;0,$W66&gt;0),IF(($E66-$W66)/$E66&gt;0,($E66-$W66)/$E66,0),"")</f>
        <v/>
      </c>
      <c r="BD66" s="84">
        <f>IF(AND($I66&gt;0,$AF66&gt;=0),IF(($I66-$AF66)/$I66&gt;0,($I66-$AF66)/$I66,0),"")</f>
        <v/>
      </c>
      <c r="BE66" s="84">
        <f>IF(AND($AG66&gt;=0,$AD66&gt;=0,$AF66&gt;=0),IF($AG66/($AD66-$AF66)&gt;0,$AG66/($AD66-$AF66),0),"")</f>
        <v/>
      </c>
      <c r="BF66" s="84">
        <f>IF(AND($G66&gt;0,$AM66&gt;0),IF(($G66-$AM66)/$G66&gt;0,($G66-$AM66)/$G66,0),"")</f>
        <v/>
      </c>
      <c r="BG66" s="6">
        <f>IF((AD66-AF66)/(AJ66/60)&lt;=0,"",(AD66-AF66)/(AJ66/60))</f>
        <v/>
      </c>
      <c r="BH66" s="6">
        <f>IF(OR(AJ66=0,AP66=0,NOT(ISNUMBER(AD66)),NOT(ISNUMBER(AF66)),NOT(ISNUMBER(AJ66)),NOT(ISNUMBER(AP66))),"",
IFERROR(IF((AD66-AF66)/(AJ66/60)/(AP66/1000)&lt;=0,"",(AD66-AF66)/(AJ66/60)/(AP66/1000)),""))</f>
        <v/>
      </c>
    </row>
    <row r="67" ht="15.75" customHeight="1">
      <c r="B67" t="n">
        <v>-177</v>
      </c>
      <c r="D67" s="187" t="n">
        <v>45327</v>
      </c>
      <c r="E67" s="186" t="n"/>
      <c r="F67" s="3" t="n">
        <v>62</v>
      </c>
      <c r="G67" s="205">
        <f>IF(OR(S67="",S67=0),"",S67*2)</f>
        <v/>
      </c>
      <c r="I67" s="15">
        <f>(N67*18-H67*18)/9</f>
        <v/>
      </c>
      <c r="J67">
        <f>10*2.4</f>
        <v/>
      </c>
      <c r="K67" s="15">
        <f>AD67</f>
        <v/>
      </c>
      <c r="M67" s="10">
        <f>IF(OR(E67="",G67="",E67=0,G67=0),"",E67/G67)</f>
        <v/>
      </c>
      <c r="N67" s="9">
        <f>IF(OR(E67="",I67="",E67=0,I67=0),"",E67/(I67*2))</f>
        <v/>
      </c>
      <c r="O67" s="8">
        <f>IF(OR(I67="",G67="",I67=0,G67=0),"",I67*2/G67)</f>
        <v/>
      </c>
      <c r="P67" s="7">
        <f>40</f>
        <v/>
      </c>
      <c r="Q67" s="6" t="n">
        <v>138.046</v>
      </c>
      <c r="R67" s="6" t="n">
        <v>31.274</v>
      </c>
      <c r="U67" s="6">
        <f>138.046+31.274</f>
        <v/>
      </c>
      <c r="V67" s="6">
        <f>20*2.56</f>
        <v/>
      </c>
      <c r="W67" s="6" t="n">
        <v>24.591</v>
      </c>
      <c r="Y67" s="23">
        <f>U67*1.067+V67*1.514</f>
        <v/>
      </c>
      <c r="Z67" s="6" t="n">
        <v>1.11</v>
      </c>
      <c r="AA67" s="6" t="n">
        <v>0.24</v>
      </c>
      <c r="AB67" s="6" t="n">
        <v>-131</v>
      </c>
      <c r="AC67" s="6" t="n">
        <v>-185</v>
      </c>
      <c r="AD67" s="5" t="n">
        <v>80</v>
      </c>
      <c r="AE67" s="7">
        <f>T67</f>
        <v/>
      </c>
      <c r="AF67" s="231">
        <f>5*4.5</f>
        <v/>
      </c>
      <c r="AG67" s="231">
        <f>10*5.11</f>
        <v/>
      </c>
      <c r="AH67" s="168" t="n">
        <v>0.001</v>
      </c>
      <c r="AI67" t="n">
        <v>0.08</v>
      </c>
      <c r="AJ67" s="119" t="n">
        <v>0.5208333333333334</v>
      </c>
      <c r="AK67" s="231" t="n">
        <v>-187</v>
      </c>
      <c r="AL67" s="231" t="n">
        <v>175</v>
      </c>
      <c r="AM67" s="3" t="n">
        <v>180</v>
      </c>
      <c r="AN67" s="4">
        <f>AE67</f>
        <v/>
      </c>
      <c r="AO67" s="231">
        <f>37.9</f>
        <v/>
      </c>
      <c r="AP67" s="255">
        <f>360-AK67-AB67</f>
        <v/>
      </c>
      <c r="AQ67" s="165" t="n"/>
      <c r="AR67" s="13">
        <f>AVERAGE(AO65:AO71)</f>
        <v/>
      </c>
      <c r="AS67" s="15">
        <f>IF(ISNUMBER([2]HRT_SRT!R121),[2]HRT_SRT!R121,"")</f>
        <v/>
      </c>
      <c r="AT67" s="156">
        <f>(E67-W67)/E67</f>
        <v/>
      </c>
      <c r="AU67" s="155">
        <f>(I67-AF67)/I67</f>
        <v/>
      </c>
      <c r="AV67" s="155">
        <f>AG67/(AD67-AF67)</f>
        <v/>
      </c>
      <c r="AW67" s="155">
        <f>(G67-AM67)/G67</f>
        <v/>
      </c>
      <c r="AX67" s="254">
        <f>IF(AND(ISNUMBER(E67),ISNUMBER(W67)),E67-W67,"")</f>
        <v/>
      </c>
      <c r="AY67" s="254">
        <f>IF(AND(ISNUMBER(I67),ISNUMBER(AF67)),I67-AF67,"")</f>
        <v/>
      </c>
      <c r="AZ67" s="254">
        <f>IF(AND(ISNUMBER(AM67),ISNUMBER(G67)),G67-AM67,"")</f>
        <v/>
      </c>
      <c r="BA67" s="254">
        <f>IF(AND(ISNUMBER(AC67),ISNUMBER(AE67)),AC67-AE67,"")</f>
        <v/>
      </c>
      <c r="BB67" s="254">
        <f>IF(AND(ISNUMBER(AL67),ISNUMBER(AM67)),AL67-AM67,"")</f>
        <v/>
      </c>
      <c r="BC67" s="84">
        <f>IF(AND($E67&gt;0,$W67&gt;0),IF(($E67-$W67)/$E67&gt;0,($E67-$W67)/$E67,0),"")</f>
        <v/>
      </c>
      <c r="BD67" s="84">
        <f>IF(AND($I67&gt;0,$AF67&gt;=0),IF(($I67-$AF67)/$I67&gt;0,($I67-$AF67)/$I67,0),"")</f>
        <v/>
      </c>
      <c r="BE67" s="84">
        <f>IF(AND($AG67&gt;=0,$AD67&gt;=0,$AF67&gt;=0),IF($AG67/($AD67-$AF67)&gt;0,$AG67/($AD67-$AF67),0),"")</f>
        <v/>
      </c>
      <c r="BF67" s="84">
        <f>IF(AND($G67&gt;0,$AM67&gt;0),IF(($G67-$AM67)/$G67&gt;0,($G67-$AM67)/$G67,0),"")</f>
        <v/>
      </c>
      <c r="BG67" s="6">
        <f>IF((AD67-AF67)/(AJ67/60)&lt;=0,"",(AD67-AF67)/(AJ67/60))</f>
        <v/>
      </c>
      <c r="BH67" s="6">
        <f>IF(OR(AJ67=0,AP67=0,NOT(ISNUMBER(AD67)),NOT(ISNUMBER(AF67)),NOT(ISNUMBER(AJ67)),NOT(ISNUMBER(AP67))),"",
IFERROR(IF((AD67-AF67)/(AJ67/60)/(AP67/1000)&lt;=0,"",(AD67-AF67)/(AJ67/60)/(AP67/1000)),""))</f>
        <v/>
      </c>
    </row>
    <row r="68" ht="15.75" customHeight="1">
      <c r="B68" t="n">
        <v>-176</v>
      </c>
      <c r="D68" s="187" t="n">
        <v>45328</v>
      </c>
      <c r="E68" s="186" t="n"/>
      <c r="F68" s="3" t="n">
        <v>63</v>
      </c>
      <c r="G68" s="205">
        <f>IF(OR(S68="",S68=0),"",S68*2)</f>
        <v/>
      </c>
      <c r="I68" s="163">
        <f>G69</f>
        <v/>
      </c>
      <c r="J68">
        <f>26.9</f>
        <v/>
      </c>
      <c r="K68" s="15">
        <f>AD68</f>
        <v/>
      </c>
      <c r="M68" s="10">
        <f>IF(OR(E68="",G68="",E68=0,G68=0),"",E68/G68)</f>
        <v/>
      </c>
      <c r="N68" s="9">
        <f>IF(OR(E68="",I68="",E68=0,I68=0),"",E68/(I68*2))</f>
        <v/>
      </c>
      <c r="O68" s="8">
        <f>IF(OR(I68="",G68="",I68=0,G68=0),"",I68*2/G68)</f>
        <v/>
      </c>
      <c r="P68" s="7" t="n">
        <v>31.6</v>
      </c>
      <c r="V68" s="6">
        <f>20*2.06</f>
        <v/>
      </c>
      <c r="Z68" s="6" t="n">
        <v>1.48</v>
      </c>
      <c r="AA68" s="6" t="n">
        <v>0.28</v>
      </c>
      <c r="AB68" s="6" t="n">
        <v>-135.7</v>
      </c>
      <c r="AC68" s="6" t="n">
        <v>-177</v>
      </c>
      <c r="AD68" s="5" t="n">
        <v>80</v>
      </c>
      <c r="AE68" s="7">
        <f>T68</f>
        <v/>
      </c>
      <c r="AF68" s="231">
        <f>5*4.13</f>
        <v/>
      </c>
      <c r="AG68" s="231">
        <f>40.1</f>
        <v/>
      </c>
      <c r="AH68" s="168" t="n">
        <v>0.001</v>
      </c>
      <c r="AI68" s="231" t="n">
        <v>0.09</v>
      </c>
      <c r="AJ68" s="119" t="n">
        <v>0.5208333333333334</v>
      </c>
      <c r="AK68" s="231" t="n">
        <v>-179.5</v>
      </c>
      <c r="AL68" s="231" t="n">
        <v>175</v>
      </c>
      <c r="AM68" s="3" t="n">
        <v>180</v>
      </c>
      <c r="AN68" s="4">
        <f>AE68</f>
        <v/>
      </c>
      <c r="AO68" s="231">
        <f>26.2</f>
        <v/>
      </c>
      <c r="AP68" s="255">
        <f>360-AK68-AB68</f>
        <v/>
      </c>
      <c r="AQ68" s="165">
        <f>[2]TSS_VSS!H122</f>
        <v/>
      </c>
      <c r="AR68" s="13">
        <f>AVERAGE(AO66:AO72)</f>
        <v/>
      </c>
      <c r="AS68" s="15">
        <f>IF(ISNUMBER([2]HRT_SRT!R122),[2]HRT_SRT!R122,"")</f>
        <v/>
      </c>
      <c r="AT68" s="156">
        <f>(E68-W68)/E68</f>
        <v/>
      </c>
      <c r="AU68" s="155">
        <f>(I68-AF68)/I68</f>
        <v/>
      </c>
      <c r="AV68" s="155">
        <f>AG68/(AD68-AF68)</f>
        <v/>
      </c>
      <c r="AW68" s="155">
        <f>(G68-AM68)/G68</f>
        <v/>
      </c>
      <c r="AX68" s="254">
        <f>IF(AND(ISNUMBER(E68),ISNUMBER(W68)),E68-W68,"")</f>
        <v/>
      </c>
      <c r="AY68" s="254">
        <f>IF(AND(ISNUMBER(I68),ISNUMBER(AF68)),I68-AF68,"")</f>
        <v/>
      </c>
      <c r="AZ68" s="254">
        <f>IF(AND(ISNUMBER(AM68),ISNUMBER(G68)),G68-AM68,"")</f>
        <v/>
      </c>
      <c r="BA68" s="254">
        <f>IF(AND(ISNUMBER(AC68),ISNUMBER(AE68)),AC68-AE68,"")</f>
        <v/>
      </c>
      <c r="BB68" s="254">
        <f>IF(AND(ISNUMBER(AL68),ISNUMBER(AM68)),AL68-AM68,"")</f>
        <v/>
      </c>
      <c r="BC68" s="84">
        <f>IF(AND($E68&gt;0,$W68&gt;0),IF(($E68-$W68)/$E68&gt;0,($E68-$W68)/$E68,0),"")</f>
        <v/>
      </c>
      <c r="BD68" s="84">
        <f>IF(AND($I68&gt;0,$AF68&gt;=0),IF(($I68-$AF68)/$I68&gt;0,($I68-$AF68)/$I68,0),"")</f>
        <v/>
      </c>
      <c r="BE68" s="84">
        <f>IF(AND($AG68&gt;=0,$AD68&gt;=0,$AF68&gt;=0),IF($AG68/($AD68-$AF68)&gt;0,$AG68/($AD68-$AF68),0),"")</f>
        <v/>
      </c>
      <c r="BF68" s="84">
        <f>IF(AND($G68&gt;0,$AM68&gt;0),IF(($G68-$AM68)/$G68&gt;0,($G68-$AM68)/$G68,0),"")</f>
        <v/>
      </c>
      <c r="BG68" s="6">
        <f>IF((AD68-AF68)/(AJ68/60)&lt;=0,"",(AD68-AF68)/(AJ68/60))</f>
        <v/>
      </c>
      <c r="BH68" s="6">
        <f>IF(OR(AJ68=0,AP68=0,NOT(ISNUMBER(AD68)),NOT(ISNUMBER(AF68)),NOT(ISNUMBER(AJ68)),NOT(ISNUMBER(AP68))),"",
IFERROR(IF((AD68-AF68)/(AJ68/60)/(AP68/1000)&lt;=0,"",(AD68-AF68)/(AJ68/60)/(AP68/1000)),""))</f>
        <v/>
      </c>
    </row>
    <row r="69" ht="15.75" customHeight="1">
      <c r="B69" t="n">
        <v>-175</v>
      </c>
      <c r="D69" s="187" t="n">
        <v>45329</v>
      </c>
      <c r="E69" s="186" t="n"/>
      <c r="F69" s="3" t="n">
        <v>64</v>
      </c>
      <c r="G69" s="205">
        <f>IF(OR(S69="",S69=0),"",S69*2)</f>
        <v/>
      </c>
      <c r="I69" s="15">
        <f>(N69*18-H69*18)/9</f>
        <v/>
      </c>
      <c r="J69" t="n">
        <v>14.8</v>
      </c>
      <c r="K69" s="15">
        <f>AD69</f>
        <v/>
      </c>
      <c r="M69" s="10">
        <f>IF(OR(E69="",G69="",E69=0,G69=0),"",E69/G69)</f>
        <v/>
      </c>
      <c r="N69" s="9">
        <f>IF(OR(E69="",I69="",E69=0,I69=0),"",E69/(I69*2))</f>
        <v/>
      </c>
      <c r="O69" s="8">
        <f>IF(OR(I69="",G69="",I69=0,G69=0),"",I69*2/G69)</f>
        <v/>
      </c>
      <c r="P69" s="7" t="n">
        <v>29.1</v>
      </c>
      <c r="Q69" s="6">
        <f>2*(75.381)</f>
        <v/>
      </c>
      <c r="R69" s="6">
        <f>2*15.267</f>
        <v/>
      </c>
      <c r="S69" s="6">
        <f>O69*1.067</f>
        <v/>
      </c>
      <c r="T69" s="6">
        <f>P69*1.514</f>
        <v/>
      </c>
      <c r="U69" s="23">
        <f>P69*1.514+O69*1.067</f>
        <v/>
      </c>
      <c r="V69" s="6">
        <f>20*2.01</f>
        <v/>
      </c>
      <c r="Z69" s="6" t="n">
        <v>0.8</v>
      </c>
      <c r="AA69" s="6" t="n">
        <v>0.24</v>
      </c>
      <c r="AB69" s="6" t="n">
        <v>-129</v>
      </c>
      <c r="AC69" s="6" t="n">
        <v>-188</v>
      </c>
      <c r="AD69" s="5" t="n">
        <v>80</v>
      </c>
      <c r="AE69" s="7">
        <f>T69</f>
        <v/>
      </c>
      <c r="AF69" s="231">
        <f>5*4.36</f>
        <v/>
      </c>
      <c r="AG69" s="231">
        <f>39.1</f>
        <v/>
      </c>
      <c r="AH69" s="168" t="n">
        <v>0.001</v>
      </c>
      <c r="AI69" t="n">
        <v>0.09</v>
      </c>
      <c r="AJ69" s="119" t="n">
        <v>0.5208333333333334</v>
      </c>
      <c r="AK69" s="231" t="n">
        <v>-194</v>
      </c>
      <c r="AL69" s="231" t="n">
        <v>175</v>
      </c>
      <c r="AM69" s="3" t="n">
        <v>180</v>
      </c>
      <c r="AN69" s="4">
        <f>AE69</f>
        <v/>
      </c>
      <c r="AO69" s="231">
        <f>24.2</f>
        <v/>
      </c>
      <c r="AP69" s="255">
        <f>360-AK69-AB69</f>
        <v/>
      </c>
      <c r="AQ69" s="165" t="n"/>
      <c r="AR69" s="13">
        <f>AVERAGE(AO67:AO73)</f>
        <v/>
      </c>
      <c r="AS69" s="15">
        <f>IF(ISNUMBER([2]HRT_SRT!R123),[2]HRT_SRT!R123,"")</f>
        <v/>
      </c>
      <c r="AT69" s="156">
        <f>(E69-W69)/E69</f>
        <v/>
      </c>
      <c r="AU69" s="155">
        <f>(I69-AF69)/I69</f>
        <v/>
      </c>
      <c r="AV69" s="155">
        <f>AG69/(AD69-AF69)</f>
        <v/>
      </c>
      <c r="AW69" s="155">
        <f>(G69-AM69)/G69</f>
        <v/>
      </c>
      <c r="AX69" s="254">
        <f>IF(AND(ISNUMBER(E69),ISNUMBER(W69)),E69-W69,"")</f>
        <v/>
      </c>
      <c r="AY69" s="254">
        <f>IF(AND(ISNUMBER(I69),ISNUMBER(AF69)),I69-AF69,"")</f>
        <v/>
      </c>
      <c r="AZ69" s="254">
        <f>IF(AND(ISNUMBER(AM69),ISNUMBER(G69)),G69-AM69,"")</f>
        <v/>
      </c>
      <c r="BA69" s="254">
        <f>IF(AND(ISNUMBER(AC69),ISNUMBER(AE69)),AC69-AE69,"")</f>
        <v/>
      </c>
      <c r="BB69" s="254">
        <f>IF(AND(ISNUMBER(AL69),ISNUMBER(AM69)),AL69-AM69,"")</f>
        <v/>
      </c>
      <c r="BC69" s="84">
        <f>IF(AND($E69&gt;0,$W69&gt;0),IF(($E69-$W69)/$E69&gt;0,($E69-$W69)/$E69,0),"")</f>
        <v/>
      </c>
      <c r="BD69" s="84">
        <f>IF(AND($I69&gt;0,$AF69&gt;=0),IF(($I69-$AF69)/$I69&gt;0,($I69-$AF69)/$I69,0),"")</f>
        <v/>
      </c>
      <c r="BE69" s="84">
        <f>IF(AND($AG69&gt;=0,$AD69&gt;=0,$AF69&gt;=0),IF($AG69/($AD69-$AF69)&gt;0,$AG69/($AD69-$AF69),0),"")</f>
        <v/>
      </c>
      <c r="BF69" s="84">
        <f>IF(AND($G69&gt;0,$AM69&gt;0),IF(($G69-$AM69)/$G69&gt;0,($G69-$AM69)/$G69,0),"")</f>
        <v/>
      </c>
      <c r="BG69" s="6">
        <f>IF((AD69-AF69)/(AJ69/60)&lt;=0,"",(AD69-AF69)/(AJ69/60))</f>
        <v/>
      </c>
      <c r="BH69" s="6">
        <f>IF(OR(AJ69=0,AP69=0,NOT(ISNUMBER(AD69)),NOT(ISNUMBER(AF69)),NOT(ISNUMBER(AJ69)),NOT(ISNUMBER(AP69))),"",
IFERROR(IF((AD69-AF69)/(AJ69/60)/(AP69/1000)&lt;=0,"",(AD69-AF69)/(AJ69/60)/(AP69/1000)),""))</f>
        <v/>
      </c>
    </row>
    <row r="70" ht="15.75" customHeight="1">
      <c r="B70" t="n">
        <v>-174</v>
      </c>
      <c r="C70" s="12" t="inlineStr">
        <is>
          <t>fixing effluent height and wasting/ remeasure the L height</t>
        </is>
      </c>
      <c r="D70" s="187" t="n">
        <v>45330</v>
      </c>
      <c r="E70" s="186" t="n"/>
      <c r="F70" s="3" t="n">
        <v>65</v>
      </c>
      <c r="G70" s="205">
        <f>IF(OR(S70="",S70=0),"",S70*2)</f>
        <v/>
      </c>
      <c r="I70" s="15">
        <f>(N70*18-H70*18)/9</f>
        <v/>
      </c>
      <c r="J70" s="6">
        <f>10*1.5</f>
        <v/>
      </c>
      <c r="K70" s="15">
        <f>AD70</f>
        <v/>
      </c>
      <c r="M70" s="10">
        <f>IF(OR(E70="",G70="",E70=0,G70=0),"",E70/G70)</f>
        <v/>
      </c>
      <c r="N70" s="9">
        <f>IF(OR(E70="",I70="",E70=0,I70=0),"",E70/(I70*2))</f>
        <v/>
      </c>
      <c r="O70" s="8">
        <f>IF(OR(I70="",G70="",I70=0,G70=0),"",I70*2/G70)</f>
        <v/>
      </c>
      <c r="P70" s="6">
        <f>10*2.74</f>
        <v/>
      </c>
      <c r="V70" s="6">
        <f>20*1.8</f>
        <v/>
      </c>
      <c r="Z70" s="6" t="n">
        <v>0.26</v>
      </c>
      <c r="AD70" s="5" t="n">
        <v>80</v>
      </c>
      <c r="AE70" s="7">
        <f>T70</f>
        <v/>
      </c>
      <c r="AF70" s="231">
        <f>5*4.43</f>
        <v/>
      </c>
      <c r="AG70" s="231">
        <f>10*3.6</f>
        <v/>
      </c>
      <c r="AH70" s="168" t="n">
        <v>0.001</v>
      </c>
      <c r="AI70" t="n">
        <v>0.09</v>
      </c>
      <c r="AJ70" s="119" t="n">
        <v>0.5208333333333334</v>
      </c>
      <c r="AL70" s="231" t="n">
        <v>175</v>
      </c>
      <c r="AM70" s="3" t="n">
        <v>180</v>
      </c>
      <c r="AN70" s="4">
        <f>AE70</f>
        <v/>
      </c>
      <c r="AO70" s="231">
        <f>10*2.16</f>
        <v/>
      </c>
      <c r="AP70" s="255">
        <f>360-AK70-AB70</f>
        <v/>
      </c>
      <c r="AQ70" s="165" t="n"/>
      <c r="AR70" s="13">
        <f>AVERAGE(AO68:AO74)</f>
        <v/>
      </c>
      <c r="AS70" s="15">
        <f>IF(ISNUMBER([2]HRT_SRT!R124),[2]HRT_SRT!R124,"")</f>
        <v/>
      </c>
      <c r="AT70" s="156">
        <f>(E70-W70)/E70</f>
        <v/>
      </c>
      <c r="AU70" s="155">
        <f>(I70-AF70)/I70</f>
        <v/>
      </c>
      <c r="AV70" s="155">
        <f>AG70/(AD70-AF70)</f>
        <v/>
      </c>
      <c r="AW70" s="155">
        <f>(G70-AM70)/G70</f>
        <v/>
      </c>
      <c r="AX70" s="254">
        <f>IF(AND(ISNUMBER(E70),ISNUMBER(W70)),E70-W70,"")</f>
        <v/>
      </c>
      <c r="AY70" s="254">
        <f>IF(AND(ISNUMBER(I70),ISNUMBER(AF70)),I70-AF70,"")</f>
        <v/>
      </c>
      <c r="AZ70" s="254">
        <f>IF(AND(ISNUMBER(AM70),ISNUMBER(G70)),G70-AM70,"")</f>
        <v/>
      </c>
      <c r="BA70" s="254">
        <f>IF(AND(ISNUMBER(AC70),ISNUMBER(AE70)),AC70-AE70,"")</f>
        <v/>
      </c>
      <c r="BB70" s="254">
        <f>IF(AND(ISNUMBER(AL70),ISNUMBER(AM70)),AL70-AM70,"")</f>
        <v/>
      </c>
      <c r="BC70" s="84">
        <f>IF(AND($E70&gt;0,$W70&gt;0),IF(($E70-$W70)/$E70&gt;0,($E70-$W70)/$E70,0),"")</f>
        <v/>
      </c>
      <c r="BD70" s="84">
        <f>IF(AND($I70&gt;0,$AF70&gt;=0),IF(($I70-$AF70)/$I70&gt;0,($I70-$AF70)/$I70,0),"")</f>
        <v/>
      </c>
      <c r="BE70" s="84">
        <f>IF(AND($AG70&gt;=0,$AD70&gt;=0,$AF70&gt;=0),IF($AG70/($AD70-$AF70)&gt;0,$AG70/($AD70-$AF70),0),"")</f>
        <v/>
      </c>
      <c r="BF70" s="84">
        <f>IF(AND($G70&gt;0,$AM70&gt;0),IF(($G70-$AM70)/$G70&gt;0,($G70-$AM70)/$G70,0),"")</f>
        <v/>
      </c>
      <c r="BG70" s="6">
        <f>IF((AD70-AF70)/(AJ70/60)&lt;=0,"",(AD70-AF70)/(AJ70/60))</f>
        <v/>
      </c>
      <c r="BH70" s="6">
        <f>IF(OR(AJ70=0,AP70=0,NOT(ISNUMBER(AD70)),NOT(ISNUMBER(AF70)),NOT(ISNUMBER(AJ70)),NOT(ISNUMBER(AP70))),"",
IFERROR(IF((AD70-AF70)/(AJ70/60)/(AP70/1000)&lt;=0,"",(AD70-AF70)/(AJ70/60)/(AP70/1000)),""))</f>
        <v/>
      </c>
    </row>
    <row r="71" ht="15.75" customHeight="1">
      <c r="B71" t="n">
        <v>-173</v>
      </c>
      <c r="C71" s="12" t="inlineStr">
        <is>
          <t>deep scrubs/ adjust wasting to 25 sec</t>
        </is>
      </c>
      <c r="D71" s="187" t="n">
        <v>45331</v>
      </c>
      <c r="E71" s="186" t="n"/>
      <c r="F71" s="3" t="n">
        <v>66</v>
      </c>
      <c r="G71" s="205">
        <f>IF(OR(S71="",S71=0),"",S71*2)</f>
        <v/>
      </c>
      <c r="I71" s="15">
        <f>(N71*18-H71*18)/9</f>
        <v/>
      </c>
      <c r="J71" t="n">
        <v>14.5</v>
      </c>
      <c r="K71" s="15">
        <f>AD71</f>
        <v/>
      </c>
      <c r="M71" s="10">
        <f>IF(OR(E71="",G71="",E71=0,G71=0),"",E71/G71)</f>
        <v/>
      </c>
      <c r="N71" s="9">
        <f>IF(OR(E71="",I71="",E71=0,I71=0),"",E71/(I71*2))</f>
        <v/>
      </c>
      <c r="O71" s="8">
        <f>IF(OR(I71="",G71="",I71=0,G71=0),"",I71*2/G71)</f>
        <v/>
      </c>
      <c r="P71" s="7" t="n">
        <v>28</v>
      </c>
      <c r="Q71" s="6">
        <f>67.594*2</f>
        <v/>
      </c>
      <c r="R71" s="6">
        <f>15.578*2</f>
        <v/>
      </c>
      <c r="S71" s="6">
        <f>O71*1.067</f>
        <v/>
      </c>
      <c r="T71" s="6">
        <f>P71*1.514</f>
        <v/>
      </c>
      <c r="U71" s="23">
        <f>P71*1.514+O71*1.067</f>
        <v/>
      </c>
      <c r="V71" s="6">
        <f>20*1.63</f>
        <v/>
      </c>
      <c r="Z71" s="6" t="n">
        <v>0.45</v>
      </c>
      <c r="AD71" s="5" t="n">
        <v>80</v>
      </c>
      <c r="AE71" s="7">
        <f>T71</f>
        <v/>
      </c>
      <c r="AF71" s="231">
        <f>5*4.34</f>
        <v/>
      </c>
      <c r="AG71" s="231" t="n">
        <v>35.1</v>
      </c>
      <c r="AH71" s="168" t="n">
        <v>0.001</v>
      </c>
      <c r="AI71" t="n">
        <v>0.08</v>
      </c>
      <c r="AJ71" s="119" t="n">
        <v>0.5208333333333334</v>
      </c>
      <c r="AL71" s="231" t="n">
        <v>175</v>
      </c>
      <c r="AM71" s="3" t="n">
        <v>180</v>
      </c>
      <c r="AN71" s="4">
        <f>AE71</f>
        <v/>
      </c>
      <c r="AO71" s="231" t="n">
        <v>26.1</v>
      </c>
      <c r="AP71" s="255">
        <f>360-AK71-AB71</f>
        <v/>
      </c>
      <c r="AQ71" s="165">
        <f>[2]TSS_VSS!H128</f>
        <v/>
      </c>
      <c r="AR71" s="13">
        <f>AVERAGE(AO69:AO75)</f>
        <v/>
      </c>
      <c r="AS71" s="15">
        <f>IF(ISNUMBER([2]HRT_SRT!R125),[2]HRT_SRT!R125,"")</f>
        <v/>
      </c>
      <c r="AT71" s="156">
        <f>(E71-W71)/E71</f>
        <v/>
      </c>
      <c r="AU71" s="155">
        <f>(I71-AF71)/I71</f>
        <v/>
      </c>
      <c r="AV71" s="155">
        <f>AG71/(AD71-AF71)</f>
        <v/>
      </c>
      <c r="AW71" s="155">
        <f>(G71-AM71)/G71</f>
        <v/>
      </c>
      <c r="AX71" s="254">
        <f>IF(AND(ISNUMBER(E71),ISNUMBER(W71)),E71-W71,"")</f>
        <v/>
      </c>
      <c r="AY71" s="254">
        <f>IF(AND(ISNUMBER(I71),ISNUMBER(AF71)),I71-AF71,"")</f>
        <v/>
      </c>
      <c r="AZ71" s="254">
        <f>IF(AND(ISNUMBER(AM71),ISNUMBER(G71)),G71-AM71,"")</f>
        <v/>
      </c>
      <c r="BA71" s="254">
        <f>IF(AND(ISNUMBER(AC71),ISNUMBER(AE71)),AC71-AE71,"")</f>
        <v/>
      </c>
      <c r="BB71" s="254">
        <f>IF(AND(ISNUMBER(AL71),ISNUMBER(AM71)),AL71-AM71,"")</f>
        <v/>
      </c>
      <c r="BC71" s="84">
        <f>IF(AND($E71&gt;0,$W71&gt;0),IF(($E71-$W71)/$E71&gt;0,($E71-$W71)/$E71,0),"")</f>
        <v/>
      </c>
      <c r="BD71" s="84">
        <f>IF(AND($I71&gt;0,$AF71&gt;=0),IF(($I71-$AF71)/$I71&gt;0,($I71-$AF71)/$I71,0),"")</f>
        <v/>
      </c>
      <c r="BE71" s="84">
        <f>IF(AND($AG71&gt;=0,$AD71&gt;=0,$AF71&gt;=0),IF($AG71/($AD71-$AF71)&gt;0,$AG71/($AD71-$AF71),0),"")</f>
        <v/>
      </c>
      <c r="BF71" s="84">
        <f>IF(AND($G71&gt;0,$AM71&gt;0),IF(($G71-$AM71)/$G71&gt;0,($G71-$AM71)/$G71,0),"")</f>
        <v/>
      </c>
      <c r="BG71" s="6">
        <f>IF((AD71-AF71)/(AJ71/60)&lt;=0,"",(AD71-AF71)/(AJ71/60))</f>
        <v/>
      </c>
      <c r="BH71" s="6">
        <f>IF(OR(AJ71=0,AP71=0,NOT(ISNUMBER(AD71)),NOT(ISNUMBER(AF71)),NOT(ISNUMBER(AJ71)),NOT(ISNUMBER(AP71))),"",
IFERROR(IF((AD71-AF71)/(AJ71/60)/(AP71/1000)&lt;=0,"",(AD71-AF71)/(AJ71/60)/(AP71/1000)),""))</f>
        <v/>
      </c>
    </row>
    <row r="72" ht="15.75" customHeight="1">
      <c r="B72" t="n">
        <v>-172</v>
      </c>
      <c r="D72" s="187" t="n">
        <v>45332</v>
      </c>
      <c r="E72" s="186" t="n"/>
      <c r="F72" s="3" t="n">
        <v>67</v>
      </c>
      <c r="G72" s="205">
        <f>IF(OR(S72="",S72=0),"",S72*2)</f>
        <v/>
      </c>
      <c r="J72" t="n">
        <v>15</v>
      </c>
      <c r="K72" s="15">
        <f>AD72</f>
        <v/>
      </c>
      <c r="M72" s="10">
        <f>IF(OR(E72="",G72="",E72=0,G72=0),"",E72/G72)</f>
        <v/>
      </c>
      <c r="N72" s="9">
        <f>IF(OR(E72="",I72="",E72=0,I72=0),"",E72/(I72*2))</f>
        <v/>
      </c>
      <c r="O72" s="8">
        <f>IF(OR(I72="",G72="",I72=0,G72=0),"",I72*2/G72)</f>
        <v/>
      </c>
      <c r="P72" s="7">
        <f>28</f>
        <v/>
      </c>
      <c r="V72" s="6">
        <f>20*1.65</f>
        <v/>
      </c>
      <c r="Z72" s="6" t="n">
        <v>0.26</v>
      </c>
      <c r="AD72" s="5" t="n">
        <v>80</v>
      </c>
      <c r="AE72" s="7">
        <f>T72</f>
        <v/>
      </c>
      <c r="AF72" s="231">
        <f>5*4.47</f>
        <v/>
      </c>
      <c r="AH72" s="168" t="n">
        <v>0.001</v>
      </c>
      <c r="AI72" t="n">
        <v>0.09</v>
      </c>
      <c r="AJ72" s="119" t="n">
        <v>0.5208333333333334</v>
      </c>
      <c r="AL72" s="231" t="n">
        <v>175</v>
      </c>
      <c r="AM72" s="3" t="n">
        <v>180</v>
      </c>
      <c r="AO72" s="231" t="n">
        <v>25.1</v>
      </c>
      <c r="AP72" s="255">
        <f>360-AK72-AB72</f>
        <v/>
      </c>
      <c r="AQ72" s="165" t="n"/>
      <c r="AR72" s="13">
        <f>AVERAGE(AO70:AO76)</f>
        <v/>
      </c>
      <c r="AS72" s="15">
        <f>IF(ISNUMBER([2]HRT_SRT!R126),[2]HRT_SRT!R126,"")</f>
        <v/>
      </c>
      <c r="AT72" s="156">
        <f>(E72-W72)/E72</f>
        <v/>
      </c>
      <c r="AU72" s="155">
        <f>(I72-AF72)/I72</f>
        <v/>
      </c>
      <c r="AV72" s="155">
        <f>AG72/(AD72-AF72)</f>
        <v/>
      </c>
      <c r="AW72" s="155">
        <f>(G72-AM72)/G72</f>
        <v/>
      </c>
      <c r="AX72" s="254">
        <f>IF(AND(ISNUMBER(E72),ISNUMBER(W72)),E72-W72,"")</f>
        <v/>
      </c>
      <c r="AY72" s="254">
        <f>IF(AND(ISNUMBER(I72),ISNUMBER(AF72)),I72-AF72,"")</f>
        <v/>
      </c>
      <c r="AZ72" s="254">
        <f>IF(AND(ISNUMBER(AM72),ISNUMBER(G72)),G72-AM72,"")</f>
        <v/>
      </c>
      <c r="BA72" s="254">
        <f>IF(AND(ISNUMBER(AC72),ISNUMBER(AE72)),AC72-AE72,"")</f>
        <v/>
      </c>
      <c r="BB72" s="254">
        <f>IF(AND(ISNUMBER(AL72),ISNUMBER(AM72)),AL72-AM72,"")</f>
        <v/>
      </c>
      <c r="BC72" s="84">
        <f>IF(AND($E72&gt;0,$W72&gt;0),IF(($E72-$W72)/$E72&gt;0,($E72-$W72)/$E72,0),"")</f>
        <v/>
      </c>
      <c r="BD72" s="84">
        <f>IF(AND($I72&gt;0,$AF72&gt;=0),IF(($I72-$AF72)/$I72&gt;0,($I72-$AF72)/$I72,0),"")</f>
        <v/>
      </c>
      <c r="BE72" s="84">
        <f>IF(AND($AG72&gt;=0,$AD72&gt;=0,$AF72&gt;=0),IF($AG72/($AD72-$AF72)&gt;0,$AG72/($AD72-$AF72),0),"")</f>
        <v/>
      </c>
      <c r="BF72" s="84">
        <f>IF(AND($G72&gt;0,$AM72&gt;0),IF(($G72-$AM72)/$G72&gt;0,($G72-$AM72)/$G72,0),"")</f>
        <v/>
      </c>
      <c r="BG72" s="6">
        <f>IF((AD72-AF72)/(AJ72/60)&lt;=0,"",(AD72-AF72)/(AJ72/60))</f>
        <v/>
      </c>
      <c r="BH72" s="6">
        <f>IF(OR(AJ72=0,AP72=0,NOT(ISNUMBER(AD72)),NOT(ISNUMBER(AF72)),NOT(ISNUMBER(AJ72)),NOT(ISNUMBER(AP72))),"",
IFERROR(IF((AD72-AF72)/(AJ72/60)/(AP72/1000)&lt;=0,"",(AD72-AF72)/(AJ72/60)/(AP72/1000)),""))</f>
        <v/>
      </c>
    </row>
    <row r="73" ht="15.75" customHeight="1">
      <c r="B73" t="n">
        <v>-171</v>
      </c>
      <c r="D73" s="187" t="n">
        <v>45333</v>
      </c>
      <c r="E73" s="186" t="n"/>
      <c r="F73" s="3" t="n">
        <v>68</v>
      </c>
      <c r="G73" s="205">
        <f>IF(OR(S73="",S73=0),"",S73*2)</f>
        <v/>
      </c>
      <c r="K73" s="15">
        <f>AD73</f>
        <v/>
      </c>
      <c r="M73" s="10">
        <f>IF(OR(E73="",G73="",E73=0,G73=0),"",E73/G73)</f>
        <v/>
      </c>
      <c r="N73" s="9">
        <f>IF(OR(E73="",I73="",E73=0,I73=0),"",E73/(I73*2))</f>
        <v/>
      </c>
      <c r="O73" s="8">
        <f>IF(OR(I73="",G73="",I73=0,G73=0),"",I73*2/G73)</f>
        <v/>
      </c>
      <c r="Z73" s="6" t="n">
        <v>0.26</v>
      </c>
      <c r="AD73" s="5" t="n">
        <v>80</v>
      </c>
      <c r="AI73" t="n">
        <v>0.09</v>
      </c>
      <c r="AJ73" s="119" t="n">
        <v>0.5208333333333334</v>
      </c>
      <c r="AL73" s="231" t="n">
        <v>175</v>
      </c>
      <c r="AM73" s="3" t="n">
        <v>180</v>
      </c>
      <c r="AP73" s="255">
        <f>360-AK73-AB73</f>
        <v/>
      </c>
      <c r="AQ73" s="165" t="n"/>
      <c r="AR73" s="13">
        <f>AVERAGE(AO71:AO77)</f>
        <v/>
      </c>
      <c r="AS73" s="15">
        <f>IF(ISNUMBER([2]HRT_SRT!R127),[2]HRT_SRT!R127,"")</f>
        <v/>
      </c>
      <c r="AT73" s="156">
        <f>(E73-W73)/E73</f>
        <v/>
      </c>
      <c r="AU73" s="155">
        <f>(I73-AF73)/I73</f>
        <v/>
      </c>
      <c r="AV73" s="155">
        <f>AG73/(AD73-AF73)</f>
        <v/>
      </c>
      <c r="AW73" s="155">
        <f>(G73-AM73)/G73</f>
        <v/>
      </c>
      <c r="AX73" s="254">
        <f>IF(AND(ISNUMBER(E73),ISNUMBER(W73)),E73-W73,"")</f>
        <v/>
      </c>
      <c r="AY73" s="254">
        <f>IF(AND(ISNUMBER(I73),ISNUMBER(AF73)),I73-AF73,"")</f>
        <v/>
      </c>
      <c r="AZ73" s="254">
        <f>IF(AND(ISNUMBER(AM73),ISNUMBER(G73)),G73-AM73,"")</f>
        <v/>
      </c>
      <c r="BA73" s="254">
        <f>IF(AND(ISNUMBER(AC73),ISNUMBER(AE73)),AC73-AE73,"")</f>
        <v/>
      </c>
      <c r="BB73" s="254">
        <f>IF(AND(ISNUMBER(AL73),ISNUMBER(AM73)),AL73-AM73,"")</f>
        <v/>
      </c>
      <c r="BC73" s="84">
        <f>IF(AND($E73&gt;0,$W73&gt;0),IF(($E73-$W73)/$E73&gt;0,($E73-$W73)/$E73,0),"")</f>
        <v/>
      </c>
      <c r="BD73" s="84">
        <f>IF(AND($I73&gt;0,$AF73&gt;=0),IF(($I73-$AF73)/$I73&gt;0,($I73-$AF73)/$I73,0),"")</f>
        <v/>
      </c>
      <c r="BE73" s="84">
        <f>IF(AND($AG73&gt;=0,$AD73&gt;=0,$AF73&gt;=0),IF($AG73/($AD73-$AF73)&gt;0,$AG73/($AD73-$AF73),0),"")</f>
        <v/>
      </c>
      <c r="BF73" s="84">
        <f>IF(AND($G73&gt;0,$AM73&gt;0),IF(($G73-$AM73)/$G73&gt;0,($G73-$AM73)/$G73,0),"")</f>
        <v/>
      </c>
      <c r="BG73" s="6">
        <f>IF((AD73-AF73)/(AJ73/60)&lt;=0,"",(AD73-AF73)/(AJ73/60))</f>
        <v/>
      </c>
      <c r="BH73" s="6">
        <f>IF(OR(AJ73=0,AP73=0,NOT(ISNUMBER(AD73)),NOT(ISNUMBER(AF73)),NOT(ISNUMBER(AJ73)),NOT(ISNUMBER(AP73))),"",
IFERROR(IF((AD73-AF73)/(AJ73/60)/(AP73/1000)&lt;=0,"",(AD73-AF73)/(AJ73/60)/(AP73/1000)),""))</f>
        <v/>
      </c>
    </row>
    <row r="74" ht="15.75" customHeight="1">
      <c r="B74" t="n">
        <v>-170</v>
      </c>
      <c r="D74" s="187" t="n">
        <v>45334</v>
      </c>
      <c r="E74" s="186" t="n"/>
      <c r="F74" s="3" t="n">
        <v>69</v>
      </c>
      <c r="G74" s="205">
        <f>IF(OR(S74="",S74=0),"",S74*2)</f>
        <v/>
      </c>
      <c r="K74" s="15">
        <f>AD74</f>
        <v/>
      </c>
      <c r="M74" s="10">
        <f>IF(OR(E74="",G74="",E74=0,G74=0),"",E74/G74)</f>
        <v/>
      </c>
      <c r="N74" s="9">
        <f>IF(OR(E74="",I74="",E74=0,I74=0),"",E74/(I74*2))</f>
        <v/>
      </c>
      <c r="O74" s="8">
        <f>IF(OR(I74="",G74="",I74=0,G74=0),"",I74*2/G74)</f>
        <v/>
      </c>
      <c r="Y74" s="6">
        <f>37.061+1.48</f>
        <v/>
      </c>
      <c r="Z74" s="6" t="n">
        <v>0.47</v>
      </c>
      <c r="AD74" s="5" t="n">
        <v>80</v>
      </c>
      <c r="AI74" t="n">
        <v>0.09</v>
      </c>
      <c r="AJ74" s="119" t="n">
        <v>0.5208333333333334</v>
      </c>
      <c r="AL74" s="231" t="n">
        <v>175</v>
      </c>
      <c r="AM74" s="3" t="n">
        <v>180</v>
      </c>
      <c r="AP74" s="255">
        <f>360-AK74-AB74</f>
        <v/>
      </c>
      <c r="AQ74" s="165" t="n"/>
      <c r="AR74" s="13">
        <f>AVERAGE(AO72:AO78)</f>
        <v/>
      </c>
      <c r="AS74" s="15">
        <f>IF(ISNUMBER([2]HRT_SRT!R128),[2]HRT_SRT!R128,"")</f>
        <v/>
      </c>
      <c r="AT74" s="156">
        <f>(E74-W74)/E74</f>
        <v/>
      </c>
      <c r="AU74" s="155">
        <f>(I74-AF74)/I74</f>
        <v/>
      </c>
      <c r="AV74" s="155">
        <f>AG74/(AD74-AF74)</f>
        <v/>
      </c>
      <c r="AW74" s="155">
        <f>(G74-AM74)/G74</f>
        <v/>
      </c>
      <c r="AX74" s="254">
        <f>IF(AND(ISNUMBER(E74),ISNUMBER(W74)),E74-W74,"")</f>
        <v/>
      </c>
      <c r="AY74" s="254">
        <f>IF(AND(ISNUMBER(I74),ISNUMBER(AF74)),I74-AF74,"")</f>
        <v/>
      </c>
      <c r="AZ74" s="254">
        <f>IF(AND(ISNUMBER(AM74),ISNUMBER(G74)),G74-AM74,"")</f>
        <v/>
      </c>
      <c r="BA74" s="254">
        <f>IF(AND(ISNUMBER(AC74),ISNUMBER(AE74)),AC74-AE74,"")</f>
        <v/>
      </c>
      <c r="BB74" s="254">
        <f>IF(AND(ISNUMBER(AL74),ISNUMBER(AM74)),AL74-AM74,"")</f>
        <v/>
      </c>
      <c r="BC74" s="84">
        <f>IF(AND($E74&gt;0,$W74&gt;0),IF(($E74-$W74)/$E74&gt;0,($E74-$W74)/$E74,0),"")</f>
        <v/>
      </c>
      <c r="BD74" s="84">
        <f>IF(AND($I74&gt;0,$AF74&gt;=0),IF(($I74-$AF74)/$I74&gt;0,($I74-$AF74)/$I74,0),"")</f>
        <v/>
      </c>
      <c r="BE74" s="84">
        <f>IF(AND($AG74&gt;=0,$AD74&gt;=0,$AF74&gt;=0),IF($AG74/($AD74-$AF74)&gt;0,$AG74/($AD74-$AF74),0),"")</f>
        <v/>
      </c>
      <c r="BF74" s="84">
        <f>IF(AND($G74&gt;0,$AM74&gt;0),IF(($G74-$AM74)/$G74&gt;0,($G74-$AM74)/$G74,0),"")</f>
        <v/>
      </c>
      <c r="BG74" s="6">
        <f>IF((AD74-AF74)/(AJ74/60)&lt;=0,"",(AD74-AF74)/(AJ74/60))</f>
        <v/>
      </c>
      <c r="BH74" s="6">
        <f>IF(OR(AJ74=0,AP74=0,NOT(ISNUMBER(AD74)),NOT(ISNUMBER(AF74)),NOT(ISNUMBER(AJ74)),NOT(ISNUMBER(AP74))),"",
IFERROR(IF((AD74-AF74)/(AJ74/60)/(AP74/1000)&lt;=0,"",(AD74-AF74)/(AJ74/60)/(AP74/1000)),""))</f>
        <v/>
      </c>
    </row>
    <row r="75" ht="15.75" customHeight="1">
      <c r="B75" t="n">
        <v>-169</v>
      </c>
      <c r="D75" s="134" t="n">
        <v>45335</v>
      </c>
      <c r="E75" s="133" t="n"/>
      <c r="F75" s="3" t="n">
        <v>70</v>
      </c>
      <c r="G75" s="205">
        <f>IF(OR(S75="",S75=0),"",S75*2)</f>
        <v/>
      </c>
      <c r="I75" s="15">
        <f>(N75*18-H75*18)/9</f>
        <v/>
      </c>
      <c r="J75" t="n">
        <v>11.3</v>
      </c>
      <c r="K75" s="15">
        <f>AD75</f>
        <v/>
      </c>
      <c r="M75" s="10">
        <f>IF(OR(E75="",G75="",E75=0,G75=0),"",E75/G75)</f>
        <v/>
      </c>
      <c r="N75" s="9">
        <f>IF(OR(E75="",I75="",E75=0,I75=0),"",E75/(I75*2))</f>
        <v/>
      </c>
      <c r="O75" s="8">
        <f>IF(OR(I75="",G75="",I75=0,G75=0),"",I75*2/G75)</f>
        <v/>
      </c>
      <c r="P75" s="7">
        <f>23.1</f>
        <v/>
      </c>
      <c r="Q75" s="6" t="n">
        <v>118.932</v>
      </c>
      <c r="R75" s="6" t="n">
        <v>26.892</v>
      </c>
      <c r="S75" s="6">
        <f>O75*1.067</f>
        <v/>
      </c>
      <c r="T75" s="6">
        <f>P75*1.514</f>
        <v/>
      </c>
      <c r="U75" s="23">
        <f>P75*1.514+O75*1.067</f>
        <v/>
      </c>
      <c r="V75" s="6">
        <f>2*19.5</f>
        <v/>
      </c>
      <c r="W75" s="6" t="n">
        <v>2.015</v>
      </c>
      <c r="X75" s="6" t="n">
        <v>1.663</v>
      </c>
      <c r="Y75" s="23">
        <f>U75*1.067+V75*1.514</f>
        <v/>
      </c>
      <c r="Z75" s="6" t="n">
        <v>0.6</v>
      </c>
      <c r="AD75" s="5" t="n">
        <v>80</v>
      </c>
      <c r="AE75" s="7">
        <f>T75</f>
        <v/>
      </c>
      <c r="AF75" s="231">
        <f>5*4.5</f>
        <v/>
      </c>
      <c r="AG75" s="231">
        <f>28.7</f>
        <v/>
      </c>
      <c r="AH75" s="168" t="n">
        <v>0.001</v>
      </c>
      <c r="AI75" t="n">
        <v>0.09</v>
      </c>
      <c r="AJ75" s="119" t="n">
        <v>0.5208333333333334</v>
      </c>
      <c r="AL75" s="231" t="n">
        <v>175</v>
      </c>
      <c r="AM75" s="3" t="n">
        <v>180</v>
      </c>
      <c r="AN75" s="4">
        <f>AE75</f>
        <v/>
      </c>
      <c r="AO75" s="231">
        <f>17.1</f>
        <v/>
      </c>
      <c r="AP75" s="255">
        <f>360-AK75-AB75</f>
        <v/>
      </c>
      <c r="AQ75" s="165">
        <f>[2]TSS_VSS!H132</f>
        <v/>
      </c>
      <c r="AR75" s="13">
        <f>AVERAGE(AO73:AO79)</f>
        <v/>
      </c>
      <c r="AS75" s="15">
        <f>IF(ISNUMBER([2]HRT_SRT!R129),[2]HRT_SRT!R129,"")</f>
        <v/>
      </c>
      <c r="AT75" s="156">
        <f>(E75-W75)/E75</f>
        <v/>
      </c>
      <c r="AU75" s="155">
        <f>(I75-AF75)/I75</f>
        <v/>
      </c>
      <c r="AV75" s="155">
        <f>AG75/(AD75-AF75)</f>
        <v/>
      </c>
      <c r="AW75" s="155">
        <f>(G75-AM75)/G75</f>
        <v/>
      </c>
      <c r="AX75" s="254">
        <f>IF(AND(ISNUMBER(E75),ISNUMBER(W75)),E75-W75,"")</f>
        <v/>
      </c>
      <c r="AY75" s="254">
        <f>IF(AND(ISNUMBER(I75),ISNUMBER(AF75)),I75-AF75,"")</f>
        <v/>
      </c>
      <c r="AZ75" s="254">
        <f>IF(AND(ISNUMBER(AM75),ISNUMBER(G75)),G75-AM75,"")</f>
        <v/>
      </c>
      <c r="BA75" s="254">
        <f>IF(AND(ISNUMBER(AC75),ISNUMBER(AE75)),AC75-AE75,"")</f>
        <v/>
      </c>
      <c r="BB75" s="254">
        <f>IF(AND(ISNUMBER(AL75),ISNUMBER(AM75)),AL75-AM75,"")</f>
        <v/>
      </c>
      <c r="BC75" s="84">
        <f>IF(AND($E75&gt;0,$W75&gt;0),IF(($E75-$W75)/$E75&gt;0,($E75-$W75)/$E75,0),"")</f>
        <v/>
      </c>
      <c r="BD75" s="84">
        <f>IF(AND($I75&gt;0,$AF75&gt;=0),IF(($I75-$AF75)/$I75&gt;0,($I75-$AF75)/$I75,0),"")</f>
        <v/>
      </c>
      <c r="BE75" s="84">
        <f>IF(AND($AG75&gt;=0,$AD75&gt;=0,$AF75&gt;=0),IF($AG75/($AD75-$AF75)&gt;0,$AG75/($AD75-$AF75),0),"")</f>
        <v/>
      </c>
      <c r="BF75" s="84">
        <f>IF(AND($G75&gt;0,$AM75&gt;0),IF(($G75-$AM75)/$G75&gt;0,($G75-$AM75)/$G75,0),"")</f>
        <v/>
      </c>
      <c r="BG75" s="6">
        <f>IF((AD75-AF75)/(AJ75/60)&lt;=0,"",(AD75-AF75)/(AJ75/60))</f>
        <v/>
      </c>
      <c r="BH75" s="6">
        <f>IF(OR(AJ75=0,AP75=0,NOT(ISNUMBER(AD75)),NOT(ISNUMBER(AF75)),NOT(ISNUMBER(AJ75)),NOT(ISNUMBER(AP75))),"",
IFERROR(IF((AD75-AF75)/(AJ75/60)/(AP75/1000)&lt;=0,"",(AD75-AF75)/(AJ75/60)/(AP75/1000)),""))</f>
        <v/>
      </c>
    </row>
    <row r="76" ht="15.75" customHeight="1">
      <c r="B76" t="n">
        <v>-168</v>
      </c>
      <c r="D76" s="134" t="n">
        <v>45336</v>
      </c>
      <c r="E76" s="133" t="n"/>
      <c r="F76" s="3" t="n">
        <v>71</v>
      </c>
      <c r="G76" s="205">
        <f>IF(OR(S76="",S76=0),"",S76*2)</f>
        <v/>
      </c>
      <c r="I76" s="15">
        <f>(N76*18-H76*18)/9</f>
        <v/>
      </c>
      <c r="J76" t="n">
        <v>7.54</v>
      </c>
      <c r="K76" s="15">
        <f>AD76</f>
        <v/>
      </c>
      <c r="M76" s="10">
        <f>IF(OR(E76="",G76="",E76=0,G76=0),"",E76/G76)</f>
        <v/>
      </c>
      <c r="N76" s="9">
        <f>IF(OR(E76="",I76="",E76=0,I76=0),"",E76/(I76*2))</f>
        <v/>
      </c>
      <c r="O76" s="8">
        <f>IF(OR(I76="",G76="",I76=0,G76=0),"",I76*2/G76)</f>
        <v/>
      </c>
      <c r="P76" s="7" t="n">
        <v>20.1</v>
      </c>
      <c r="Q76" s="6" t="n">
        <v>119.787</v>
      </c>
      <c r="R76" s="6" t="n">
        <v>27.184</v>
      </c>
      <c r="S76" s="6">
        <f>O76*1.067</f>
        <v/>
      </c>
      <c r="T76" s="6">
        <f>P76*1.514</f>
        <v/>
      </c>
      <c r="U76" s="23">
        <f>P76*1.514+O76*1.067</f>
        <v/>
      </c>
      <c r="V76" s="6">
        <f>20*1.65</f>
        <v/>
      </c>
      <c r="W76" s="6" t="n">
        <v>1.519</v>
      </c>
      <c r="X76" s="6" t="n">
        <v>1.234</v>
      </c>
      <c r="Y76" s="23">
        <f>U76*1.067+V76*1.514</f>
        <v/>
      </c>
      <c r="Z76" s="6" t="n">
        <v>0.68</v>
      </c>
      <c r="AD76" s="5" t="n">
        <v>80</v>
      </c>
      <c r="AE76" s="7">
        <f>T76</f>
        <v/>
      </c>
      <c r="AF76" s="6">
        <f>5*4.35</f>
        <v/>
      </c>
      <c r="AG76" s="231" t="n">
        <v>25.1</v>
      </c>
      <c r="AH76" s="168" t="n">
        <v>0.001</v>
      </c>
      <c r="AI76" t="n">
        <v>0.09</v>
      </c>
      <c r="AJ76" s="119" t="n">
        <v>0.5208333333333334</v>
      </c>
      <c r="AL76" s="231" t="n">
        <v>175</v>
      </c>
      <c r="AM76" s="3" t="n">
        <v>180</v>
      </c>
      <c r="AN76" s="4">
        <f>AE76</f>
        <v/>
      </c>
      <c r="AO76" s="231">
        <f>13.6</f>
        <v/>
      </c>
      <c r="AP76" s="255">
        <f>360-AK76-AB76</f>
        <v/>
      </c>
      <c r="AQ76" s="165" t="n"/>
      <c r="AR76" s="13">
        <f>AVERAGE(AO74:AO80)</f>
        <v/>
      </c>
      <c r="AS76" s="15">
        <f>IF(ISNUMBER([2]HRT_SRT!R130),[2]HRT_SRT!R130,"")</f>
        <v/>
      </c>
      <c r="AT76" s="156">
        <f>(E76-W76)/E76</f>
        <v/>
      </c>
      <c r="AU76" s="155">
        <f>(I76-AF76)/I76</f>
        <v/>
      </c>
      <c r="AV76" s="155">
        <f>AG76/(AD76-AF76)</f>
        <v/>
      </c>
      <c r="AW76" s="155">
        <f>(G76-AM76)/G76</f>
        <v/>
      </c>
      <c r="AX76" s="254">
        <f>IF(AND(ISNUMBER(E76),ISNUMBER(W76)),E76-W76,"")</f>
        <v/>
      </c>
      <c r="AY76" s="254">
        <f>IF(AND(ISNUMBER(I76),ISNUMBER(AF76)),I76-AF76,"")</f>
        <v/>
      </c>
      <c r="AZ76" s="254">
        <f>IF(AND(ISNUMBER(AM76),ISNUMBER(G76)),G76-AM76,"")</f>
        <v/>
      </c>
      <c r="BA76" s="254">
        <f>IF(AND(ISNUMBER(AC76),ISNUMBER(AE76)),AC76-AE76,"")</f>
        <v/>
      </c>
      <c r="BB76" s="254">
        <f>IF(AND(ISNUMBER(AL76),ISNUMBER(AM76)),AL76-AM76,"")</f>
        <v/>
      </c>
      <c r="BC76" s="84">
        <f>IF(AND($E76&gt;0,$W76&gt;0),IF(($E76-$W76)/$E76&gt;0,($E76-$W76)/$E76,0),"")</f>
        <v/>
      </c>
      <c r="BD76" s="84">
        <f>IF(AND($I76&gt;0,$AF76&gt;=0),IF(($I76-$AF76)/$I76&gt;0,($I76-$AF76)/$I76,0),"")</f>
        <v/>
      </c>
      <c r="BE76" s="84">
        <f>IF(AND($AG76&gt;=0,$AD76&gt;=0,$AF76&gt;=0),IF($AG76/($AD76-$AF76)&gt;0,$AG76/($AD76-$AF76),0),"")</f>
        <v/>
      </c>
      <c r="BF76" s="84">
        <f>IF(AND($G76&gt;0,$AM76&gt;0),IF(($G76-$AM76)/$G76&gt;0,($G76-$AM76)/$G76,0),"")</f>
        <v/>
      </c>
      <c r="BG76" s="6">
        <f>IF((AD76-AF76)/(AJ76/60)&lt;=0,"",(AD76-AF76)/(AJ76/60))</f>
        <v/>
      </c>
      <c r="BH76" s="6">
        <f>IF(OR(AJ76=0,AP76=0,NOT(ISNUMBER(AD76)),NOT(ISNUMBER(AF76)),NOT(ISNUMBER(AJ76)),NOT(ISNUMBER(AP76))),"",
IFERROR(IF((AD76-AF76)/(AJ76/60)/(AP76/1000)&lt;=0,"",(AD76-AF76)/(AJ76/60)/(AP76/1000)),""))</f>
        <v/>
      </c>
    </row>
    <row r="77" ht="15.75" customHeight="1">
      <c r="B77" t="n">
        <v>-167</v>
      </c>
      <c r="D77" s="134" t="n">
        <v>45337</v>
      </c>
      <c r="E77" s="133" t="n"/>
      <c r="F77" s="3" t="n">
        <v>72</v>
      </c>
      <c r="G77" s="205">
        <f>IF(OR(S77="",S77=0),"",S77*2)</f>
        <v/>
      </c>
      <c r="I77" s="15">
        <f>(N77*18-H77*18)/9</f>
        <v/>
      </c>
      <c r="J77">
        <f>9.36</f>
        <v/>
      </c>
      <c r="K77" s="15">
        <f>AD77</f>
        <v/>
      </c>
      <c r="M77" s="10">
        <f>IF(OR(E77="",G77="",E77=0,G77=0),"",E77/G77)</f>
        <v/>
      </c>
      <c r="N77" s="9">
        <f>IF(OR(E77="",I77="",E77=0,I77=0),"",E77/(I77*2))</f>
        <v/>
      </c>
      <c r="O77" s="8">
        <f>IF(OR(I77="",G77="",I77=0,G77=0),"",I77*2/G77)</f>
        <v/>
      </c>
      <c r="P77" s="7" t="n">
        <v>25.1</v>
      </c>
      <c r="Q77" s="6" t="n">
        <v>127.258</v>
      </c>
      <c r="R77" s="6" t="n">
        <v>25.272</v>
      </c>
      <c r="S77" s="6">
        <f>O77*1.067</f>
        <v/>
      </c>
      <c r="T77" s="6">
        <f>P77*1.514</f>
        <v/>
      </c>
      <c r="U77" s="23">
        <f>P77*1.514+O77*1.067</f>
        <v/>
      </c>
      <c r="V77" s="6">
        <f>20*1.78</f>
        <v/>
      </c>
      <c r="Z77" s="6" t="n">
        <v>0.28</v>
      </c>
      <c r="AD77" s="5" t="n">
        <v>80</v>
      </c>
      <c r="AE77" s="7">
        <f>T77</f>
        <v/>
      </c>
      <c r="AF77" s="231">
        <f>5*4.38</f>
        <v/>
      </c>
      <c r="AG77" s="231">
        <f>36.4</f>
        <v/>
      </c>
      <c r="AH77" s="168" t="n">
        <v>0.001</v>
      </c>
      <c r="AI77" t="n">
        <v>0.1</v>
      </c>
      <c r="AJ77" s="119" t="n">
        <v>0.5208333333333334</v>
      </c>
      <c r="AL77" s="231" t="n">
        <v>175</v>
      </c>
      <c r="AM77" s="3" t="n">
        <v>180</v>
      </c>
      <c r="AN77" s="4">
        <f>AE77</f>
        <v/>
      </c>
      <c r="AO77" s="231">
        <f>26.2</f>
        <v/>
      </c>
      <c r="AP77" s="255">
        <f>360-AK77-AB77</f>
        <v/>
      </c>
      <c r="AQ77" s="165" t="n"/>
      <c r="AR77" s="13">
        <f>AVERAGE(AO75:AO81)</f>
        <v/>
      </c>
      <c r="AS77" s="15">
        <f>IF(ISNUMBER([2]HRT_SRT!R131),[2]HRT_SRT!R131,"")</f>
        <v/>
      </c>
      <c r="AT77" s="156">
        <f>(E77-W77)/E77</f>
        <v/>
      </c>
      <c r="AU77" s="155">
        <f>(I77-AF77)/I77</f>
        <v/>
      </c>
      <c r="AV77" s="155">
        <f>AG77/(AD77-AF77)</f>
        <v/>
      </c>
      <c r="AW77" s="155">
        <f>(G77-AM77)/G77</f>
        <v/>
      </c>
      <c r="AX77" s="254">
        <f>IF(AND(ISNUMBER(E77),ISNUMBER(W77)),E77-W77,"")</f>
        <v/>
      </c>
      <c r="AY77" s="254">
        <f>IF(AND(ISNUMBER(I77),ISNUMBER(AF77)),I77-AF77,"")</f>
        <v/>
      </c>
      <c r="AZ77" s="254">
        <f>IF(AND(ISNUMBER(AM77),ISNUMBER(G77)),G77-AM77,"")</f>
        <v/>
      </c>
      <c r="BA77" s="254">
        <f>IF(AND(ISNUMBER(AC77),ISNUMBER(AE77)),AC77-AE77,"")</f>
        <v/>
      </c>
      <c r="BB77" s="254">
        <f>IF(AND(ISNUMBER(AL77),ISNUMBER(AM77)),AL77-AM77,"")</f>
        <v/>
      </c>
      <c r="BC77" s="84">
        <f>IF(AND($E77&gt;0,$W77&gt;0),IF(($E77-$W77)/$E77&gt;0,($E77-$W77)/$E77,0),"")</f>
        <v/>
      </c>
      <c r="BD77" s="84">
        <f>IF(AND($I77&gt;0,$AF77&gt;=0),IF(($I77-$AF77)/$I77&gt;0,($I77-$AF77)/$I77,0),"")</f>
        <v/>
      </c>
      <c r="BE77" s="84">
        <f>IF(AND($AG77&gt;=0,$AD77&gt;=0,$AF77&gt;=0),IF($AG77/($AD77-$AF77)&gt;0,$AG77/($AD77-$AF77),0),"")</f>
        <v/>
      </c>
      <c r="BF77" s="84">
        <f>IF(AND($G77&gt;0,$AM77&gt;0),IF(($G77-$AM77)/$G77&gt;0,($G77-$AM77)/$G77,0),"")</f>
        <v/>
      </c>
      <c r="BG77" s="6">
        <f>IF((AD77-AF77)/(AJ77/60)&lt;=0,"",(AD77-AF77)/(AJ77/60))</f>
        <v/>
      </c>
      <c r="BH77" s="6">
        <f>IF(OR(AJ77=0,AP77=0,NOT(ISNUMBER(AD77)),NOT(ISNUMBER(AF77)),NOT(ISNUMBER(AJ77)),NOT(ISNUMBER(AP77))),"",
IFERROR(IF((AD77-AF77)/(AJ77/60)/(AP77/1000)&lt;=0,"",(AD77-AF77)/(AJ77/60)/(AP77/1000)),""))</f>
        <v/>
      </c>
    </row>
    <row r="78" ht="15.75" customHeight="1">
      <c r="B78" t="n">
        <v>-166</v>
      </c>
      <c r="D78" s="134" t="n">
        <v>45338</v>
      </c>
      <c r="E78" s="133" t="n"/>
      <c r="F78" s="3" t="n">
        <v>73</v>
      </c>
      <c r="G78" s="205">
        <f>IF(OR(S78="",S78=0),"",S78*2)</f>
        <v/>
      </c>
      <c r="I78" s="124">
        <f>G77</f>
        <v/>
      </c>
      <c r="K78" s="15" t="n"/>
      <c r="M78" s="10">
        <f>IF(OR(E78="",G78="",E78=0,G78=0),"",E78/G78)</f>
        <v/>
      </c>
      <c r="N78" s="9">
        <f>IF(OR(E78="",I78="",E78=0,I78=0),"",E78/(I78*2))</f>
        <v/>
      </c>
      <c r="O78" s="8">
        <f>IF(OR(I78="",G78="",I78=0,G78=0),"",I78*2/G78)</f>
        <v/>
      </c>
      <c r="Z78" s="6" t="n">
        <v>0.27</v>
      </c>
      <c r="AD78" s="5" t="n">
        <v>80</v>
      </c>
      <c r="AI78" t="n">
        <v>0.09</v>
      </c>
      <c r="AJ78" s="119" t="n">
        <v>0.5208333333333334</v>
      </c>
      <c r="AL78" s="231" t="n">
        <v>175</v>
      </c>
      <c r="AM78" s="3" t="n">
        <v>180</v>
      </c>
      <c r="AO78" s="231" t="n">
        <v>29.1</v>
      </c>
      <c r="AP78" s="255">
        <f>360-AK78-AB78</f>
        <v/>
      </c>
      <c r="AQ78" s="165" t="n"/>
      <c r="AR78" s="13">
        <f>AVERAGE(AO76:AO82)</f>
        <v/>
      </c>
      <c r="AS78" s="15">
        <f>IF(ISNUMBER([2]HRT_SRT!R132),[2]HRT_SRT!R132,"")</f>
        <v/>
      </c>
      <c r="AT78" s="156">
        <f>(E78-W78)/E78</f>
        <v/>
      </c>
      <c r="AU78" s="155">
        <f>(I78-AF78)/I78</f>
        <v/>
      </c>
      <c r="AV78" s="155">
        <f>AG78/(AD78-AF78)</f>
        <v/>
      </c>
      <c r="AW78" s="155">
        <f>(G78-AM78)/G78</f>
        <v/>
      </c>
      <c r="AX78" s="254">
        <f>IF(AND(ISNUMBER(E78),ISNUMBER(W78)),E78-W78,"")</f>
        <v/>
      </c>
      <c r="AY78" s="254">
        <f>IF(AND(ISNUMBER(I78),ISNUMBER(AF78)),I78-AF78,"")</f>
        <v/>
      </c>
      <c r="AZ78" s="254">
        <f>IF(AND(ISNUMBER(AM78),ISNUMBER(G78)),G78-AM78,"")</f>
        <v/>
      </c>
      <c r="BA78" s="254">
        <f>IF(AND(ISNUMBER(AC78),ISNUMBER(AE78)),AC78-AE78,"")</f>
        <v/>
      </c>
      <c r="BB78" s="254">
        <f>IF(AND(ISNUMBER(AL78),ISNUMBER(AM78)),AL78-AM78,"")</f>
        <v/>
      </c>
      <c r="BC78" s="84">
        <f>IF(AND($E78&gt;0,$W78&gt;0),IF(($E78-$W78)/$E78&gt;0,($E78-$W78)/$E78,0),"")</f>
        <v/>
      </c>
      <c r="BD78" s="84">
        <f>IF(AND($I78&gt;0,$AF78&gt;=0),IF(($I78-$AF78)/$I78&gt;0,($I78-$AF78)/$I78,0),"")</f>
        <v/>
      </c>
      <c r="BE78" s="84">
        <f>IF(AND($AG78&gt;=0,$AD78&gt;=0,$AF78&gt;=0),IF($AG78/($AD78-$AF78)&gt;0,$AG78/($AD78-$AF78),0),"")</f>
        <v/>
      </c>
      <c r="BF78" s="84">
        <f>IF(AND($G78&gt;0,$AM78&gt;0),IF(($G78-$AM78)/$G78&gt;0,($G78-$AM78)/$G78,0),"")</f>
        <v/>
      </c>
      <c r="BG78" s="6">
        <f>IF((AD78-AF78)/(AJ78/60)&lt;=0,"",(AD78-AF78)/(AJ78/60))</f>
        <v/>
      </c>
      <c r="BH78" s="6">
        <f>IF(OR(AJ78=0,AP78=0,NOT(ISNUMBER(AD78)),NOT(ISNUMBER(AF78)),NOT(ISNUMBER(AJ78)),NOT(ISNUMBER(AP78))),"",
IFERROR(IF((AD78-AF78)/(AJ78/60)/(AP78/1000)&lt;=0,"",(AD78-AF78)/(AJ78/60)/(AP78/1000)),""))</f>
        <v/>
      </c>
    </row>
    <row r="79" ht="15.75" customHeight="1">
      <c r="B79" t="n">
        <v>-165</v>
      </c>
      <c r="D79" s="134" t="n">
        <v>45339</v>
      </c>
      <c r="E79" s="133" t="n"/>
      <c r="F79" s="3" t="n">
        <v>74</v>
      </c>
      <c r="G79" s="205">
        <f>IF(OR(S79="",S79=0),"",S79*2)</f>
        <v/>
      </c>
      <c r="K79" s="15" t="n"/>
      <c r="M79" s="10">
        <f>IF(OR(E79="",G79="",E79=0,G79=0),"",E79/G79)</f>
        <v/>
      </c>
      <c r="N79" s="9">
        <f>IF(OR(E79="",I79="",E79=0,I79=0),"",E79/(I79*2))</f>
        <v/>
      </c>
      <c r="O79" s="8">
        <f>IF(OR(I79="",G79="",I79=0,G79=0),"",I79*2/G79)</f>
        <v/>
      </c>
      <c r="Z79" s="6" t="n">
        <v>0.28</v>
      </c>
      <c r="AD79" s="5" t="n">
        <v>80</v>
      </c>
      <c r="AI79" t="n">
        <v>0.08</v>
      </c>
      <c r="AJ79" s="119" t="n">
        <v>0.5208333333333334</v>
      </c>
      <c r="AL79" s="231" t="n">
        <v>175</v>
      </c>
      <c r="AM79" s="3" t="n">
        <v>180</v>
      </c>
      <c r="AP79" s="255">
        <f>360-AK79-AB79</f>
        <v/>
      </c>
      <c r="AQ79" s="165" t="n"/>
      <c r="AR79" s="13">
        <f>AVERAGE(AO77:AO83)</f>
        <v/>
      </c>
      <c r="AS79" s="15">
        <f>IF(ISNUMBER([2]HRT_SRT!R133),[2]HRT_SRT!R133,"")</f>
        <v/>
      </c>
      <c r="AT79" s="156">
        <f>(E79-W79)/E79</f>
        <v/>
      </c>
      <c r="AU79" s="155">
        <f>(I79-AF79)/I79</f>
        <v/>
      </c>
      <c r="AV79" s="155">
        <f>AG79/(AD79-AF79)</f>
        <v/>
      </c>
      <c r="AW79" s="155">
        <f>(G79-AM79)/G79</f>
        <v/>
      </c>
      <c r="AX79" s="254">
        <f>IF(AND(ISNUMBER(E79),ISNUMBER(W79)),E79-W79,"")</f>
        <v/>
      </c>
      <c r="AY79" s="254">
        <f>IF(AND(ISNUMBER(I79),ISNUMBER(AF79)),I79-AF79,"")</f>
        <v/>
      </c>
      <c r="AZ79" s="254">
        <f>IF(AND(ISNUMBER(AM79),ISNUMBER(G79)),G79-AM79,"")</f>
        <v/>
      </c>
      <c r="BA79" s="254">
        <f>IF(AND(ISNUMBER(AC79),ISNUMBER(AE79)),AC79-AE79,"")</f>
        <v/>
      </c>
      <c r="BB79" s="254">
        <f>IF(AND(ISNUMBER(AL79),ISNUMBER(AM79)),AL79-AM79,"")</f>
        <v/>
      </c>
      <c r="BC79" s="84">
        <f>IF(AND($E79&gt;0,$W79&gt;0),IF(($E79-$W79)/$E79&gt;0,($E79-$W79)/$E79,0),"")</f>
        <v/>
      </c>
      <c r="BD79" s="84">
        <f>IF(AND($I79&gt;0,$AF79&gt;=0),IF(($I79-$AF79)/$I79&gt;0,($I79-$AF79)/$I79,0),"")</f>
        <v/>
      </c>
      <c r="BE79" s="84">
        <f>IF(AND($AG79&gt;=0,$AD79&gt;=0,$AF79&gt;=0),IF($AG79/($AD79-$AF79)&gt;0,$AG79/($AD79-$AF79),0),"")</f>
        <v/>
      </c>
      <c r="BF79" s="84">
        <f>IF(AND($G79&gt;0,$AM79&gt;0),IF(($G79-$AM79)/$G79&gt;0,($G79-$AM79)/$G79,0),"")</f>
        <v/>
      </c>
      <c r="BG79" s="6">
        <f>IF((AD79-AF79)/(AJ79/60)&lt;=0,"",(AD79-AF79)/(AJ79/60))</f>
        <v/>
      </c>
      <c r="BH79" s="6">
        <f>IF(OR(AJ79=0,AP79=0,NOT(ISNUMBER(AD79)),NOT(ISNUMBER(AF79)),NOT(ISNUMBER(AJ79)),NOT(ISNUMBER(AP79))),"",
IFERROR(IF((AD79-AF79)/(AJ79/60)/(AP79/1000)&lt;=0,"",(AD79-AF79)/(AJ79/60)/(AP79/1000)),""))</f>
        <v/>
      </c>
    </row>
    <row r="80" ht="15.75" customHeight="1">
      <c r="B80" t="n">
        <v>-164</v>
      </c>
      <c r="D80" s="134" t="n">
        <v>45340</v>
      </c>
      <c r="E80" s="133" t="n"/>
      <c r="F80" s="3" t="n">
        <v>75</v>
      </c>
      <c r="G80" s="205">
        <f>IF(OR(S80="",S80=0),"",S80*2)</f>
        <v/>
      </c>
      <c r="J80" s="15" t="n"/>
      <c r="K80" s="15" t="n"/>
      <c r="M80" s="10">
        <f>IF(OR(E80="",G80="",E80=0,G80=0),"",E80/G80)</f>
        <v/>
      </c>
      <c r="N80" s="9">
        <f>IF(OR(E80="",I80="",E80=0,I80=0),"",E80/(I80*2))</f>
        <v/>
      </c>
      <c r="O80" s="8">
        <f>IF(OR(I80="",G80="",I80=0,G80=0),"",I80*2/G80)</f>
        <v/>
      </c>
      <c r="Z80" s="6" t="n">
        <v>0.28</v>
      </c>
      <c r="AD80" s="5" t="n">
        <v>80</v>
      </c>
      <c r="AI80" t="n">
        <v>0.09</v>
      </c>
      <c r="AJ80" s="119" t="n">
        <v>0.5208333333333334</v>
      </c>
      <c r="AL80" s="231" t="n">
        <v>175</v>
      </c>
      <c r="AM80" s="3" t="n">
        <v>180</v>
      </c>
      <c r="AP80" s="255">
        <f>360-AK80-AB80</f>
        <v/>
      </c>
      <c r="AQ80" s="165" t="n"/>
      <c r="AR80" s="13">
        <f>AVERAGE(AO78:AO84)</f>
        <v/>
      </c>
      <c r="AS80" s="15">
        <f>IF(ISNUMBER([2]HRT_SRT!R134),[2]HRT_SRT!R134,"")</f>
        <v/>
      </c>
      <c r="AT80" s="156">
        <f>(E80-W80)/E80</f>
        <v/>
      </c>
      <c r="AU80" s="155">
        <f>(I80-AF80)/I80</f>
        <v/>
      </c>
      <c r="AV80" s="155">
        <f>AG80/(AD80-AF80)</f>
        <v/>
      </c>
      <c r="AW80" s="155">
        <f>(G80-AM80)/G80</f>
        <v/>
      </c>
      <c r="AX80" s="254">
        <f>IF(AND(ISNUMBER(E80),ISNUMBER(W80)),E80-W80,"")</f>
        <v/>
      </c>
      <c r="AY80" s="254">
        <f>IF(AND(ISNUMBER(I80),ISNUMBER(AF80)),I80-AF80,"")</f>
        <v/>
      </c>
      <c r="AZ80" s="254">
        <f>IF(AND(ISNUMBER(AM80),ISNUMBER(G80)),G80-AM80,"")</f>
        <v/>
      </c>
      <c r="BA80" s="254">
        <f>IF(AND(ISNUMBER(AC80),ISNUMBER(AE80)),AC80-AE80,"")</f>
        <v/>
      </c>
      <c r="BB80" s="254">
        <f>IF(AND(ISNUMBER(AL80),ISNUMBER(AM80)),AL80-AM80,"")</f>
        <v/>
      </c>
      <c r="BC80" s="84">
        <f>IF(AND($E80&gt;0,$W80&gt;0),IF(($E80-$W80)/$E80&gt;0,($E80-$W80)/$E80,0),"")</f>
        <v/>
      </c>
      <c r="BD80" s="84">
        <f>IF(AND($I80&gt;0,$AF80&gt;=0),IF(($I80-$AF80)/$I80&gt;0,($I80-$AF80)/$I80,0),"")</f>
        <v/>
      </c>
      <c r="BE80" s="84">
        <f>IF(AND($AG80&gt;=0,$AD80&gt;=0,$AF80&gt;=0),IF($AG80/($AD80-$AF80)&gt;0,$AG80/($AD80-$AF80),0),"")</f>
        <v/>
      </c>
      <c r="BF80" s="84">
        <f>IF(AND($G80&gt;0,$AM80&gt;0),IF(($G80-$AM80)/$G80&gt;0,($G80-$AM80)/$G80,0),"")</f>
        <v/>
      </c>
      <c r="BG80" s="6">
        <f>IF((AD80-AF80)/(AJ80/60)&lt;=0,"",(AD80-AF80)/(AJ80/60))</f>
        <v/>
      </c>
      <c r="BH80" s="6">
        <f>IF(OR(AJ80=0,AP80=0,NOT(ISNUMBER(AD80)),NOT(ISNUMBER(AF80)),NOT(ISNUMBER(AJ80)),NOT(ISNUMBER(AP80))),"",
IFERROR(IF((AD80-AF80)/(AJ80/60)/(AP80/1000)&lt;=0,"",(AD80-AF80)/(AJ80/60)/(AP80/1000)),""))</f>
        <v/>
      </c>
    </row>
    <row r="81" ht="15.75" customHeight="1">
      <c r="B81" t="n">
        <v>-163</v>
      </c>
      <c r="D81" s="134" t="n">
        <v>45341</v>
      </c>
      <c r="E81" s="133" t="n"/>
      <c r="F81" s="3" t="n">
        <v>76</v>
      </c>
      <c r="G81" s="205">
        <f>IF(OR(S81="",S81=0),"",S81*2)</f>
        <v/>
      </c>
      <c r="I81" s="124">
        <f>G82</f>
        <v/>
      </c>
      <c r="J81" s="15" t="n"/>
      <c r="K81" s="15" t="n"/>
      <c r="M81" s="10">
        <f>IF(OR(E81="",G81="",E81=0,G81=0),"",E81/G81)</f>
        <v/>
      </c>
      <c r="N81" s="9">
        <f>IF(OR(E81="",I81="",E81=0,I81=0),"",E81/(I81*2))</f>
        <v/>
      </c>
      <c r="O81" s="8">
        <f>IF(OR(I81="",G81="",I81=0,G81=0),"",I81*2/G81)</f>
        <v/>
      </c>
      <c r="Z81" s="6" t="n">
        <v>0.27</v>
      </c>
      <c r="AD81" s="5" t="n">
        <v>80</v>
      </c>
      <c r="AI81" t="n">
        <v>0.08</v>
      </c>
      <c r="AJ81" s="119" t="n">
        <v>0.5208333333333334</v>
      </c>
      <c r="AL81" s="231" t="n">
        <v>175</v>
      </c>
      <c r="AM81" s="3" t="n">
        <v>180</v>
      </c>
      <c r="AO81" s="231" t="n">
        <v>25.4</v>
      </c>
      <c r="AP81" s="255">
        <f>360-AK81-AB81</f>
        <v/>
      </c>
      <c r="AQ81" s="165" t="n"/>
      <c r="AR81" s="13">
        <f>AVERAGE(AO79:AO85)</f>
        <v/>
      </c>
      <c r="AS81" s="15">
        <f>IF(ISNUMBER([2]HRT_SRT!R135),[2]HRT_SRT!R135,"")</f>
        <v/>
      </c>
      <c r="AT81" s="156">
        <f>(E81-W81)/E81</f>
        <v/>
      </c>
      <c r="AU81" s="155">
        <f>(I81-AF81)/I81</f>
        <v/>
      </c>
      <c r="AV81" s="155">
        <f>AG81/(AD81-AF81)</f>
        <v/>
      </c>
      <c r="AW81" s="155">
        <f>(G81-AM81)/G81</f>
        <v/>
      </c>
      <c r="AX81" s="254">
        <f>IF(AND(ISNUMBER(E81),ISNUMBER(W81)),E81-W81,"")</f>
        <v/>
      </c>
      <c r="AY81" s="254">
        <f>IF(AND(ISNUMBER(I81),ISNUMBER(AF81)),I81-AF81,"")</f>
        <v/>
      </c>
      <c r="AZ81" s="254">
        <f>IF(AND(ISNUMBER(AM81),ISNUMBER(G81)),G81-AM81,"")</f>
        <v/>
      </c>
      <c r="BA81" s="254">
        <f>IF(AND(ISNUMBER(AC81),ISNUMBER(AE81)),AC81-AE81,"")</f>
        <v/>
      </c>
      <c r="BB81" s="254">
        <f>IF(AND(ISNUMBER(AL81),ISNUMBER(AM81)),AL81-AM81,"")</f>
        <v/>
      </c>
      <c r="BC81" s="84">
        <f>IF(AND($E81&gt;0,$W81&gt;0),IF(($E81-$W81)/$E81&gt;0,($E81-$W81)/$E81,0),"")</f>
        <v/>
      </c>
      <c r="BD81" s="84">
        <f>IF(AND($I81&gt;0,$AF81&gt;=0),IF(($I81-$AF81)/$I81&gt;0,($I81-$AF81)/$I81,0),"")</f>
        <v/>
      </c>
      <c r="BE81" s="84">
        <f>IF(AND($AG81&gt;=0,$AD81&gt;=0,$AF81&gt;=0),IF($AG81/($AD81-$AF81)&gt;0,$AG81/($AD81-$AF81),0),"")</f>
        <v/>
      </c>
      <c r="BF81" s="84">
        <f>IF(AND($G81&gt;0,$AM81&gt;0),IF(($G81-$AM81)/$G81&gt;0,($G81-$AM81)/$G81,0),"")</f>
        <v/>
      </c>
      <c r="BG81" s="6">
        <f>IF((AD81-AF81)/(AJ81/60)&lt;=0,"",(AD81-AF81)/(AJ81/60))</f>
        <v/>
      </c>
      <c r="BH81" s="6">
        <f>IF(OR(AJ81=0,AP81=0,NOT(ISNUMBER(AD81)),NOT(ISNUMBER(AF81)),NOT(ISNUMBER(AJ81)),NOT(ISNUMBER(AP81))),"",
IFERROR(IF((AD81-AF81)/(AJ81/60)/(AP81/1000)&lt;=0,"",(AD81-AF81)/(AJ81/60)/(AP81/1000)),""))</f>
        <v/>
      </c>
    </row>
    <row r="82" ht="15.75" customHeight="1">
      <c r="B82" t="n">
        <v>-162</v>
      </c>
      <c r="C82" s="12" t="inlineStr">
        <is>
          <t>cut to half COD</t>
        </is>
      </c>
      <c r="D82" s="187" t="n">
        <v>45342</v>
      </c>
      <c r="E82" s="186" t="n"/>
      <c r="F82" s="3" t="n">
        <v>77</v>
      </c>
      <c r="G82" s="205">
        <f>IF(OR(S82="",S82=0),"",S82*2)</f>
        <v/>
      </c>
      <c r="I82" s="15">
        <f>(N82*18-H82*18)/9</f>
        <v/>
      </c>
      <c r="J82" s="15" t="n">
        <v>17.6</v>
      </c>
      <c r="K82" s="15">
        <f>AD82</f>
        <v/>
      </c>
      <c r="M82" s="10">
        <f>IF(OR(E82="",G82="",E82=0,G82=0),"",E82/G82)</f>
        <v/>
      </c>
      <c r="N82" s="9">
        <f>IF(OR(E82="",I82="",E82=0,I82=0),"",E82/(I82*2))</f>
        <v/>
      </c>
      <c r="O82" s="8">
        <f>IF(OR(I82="",G82="",I82=0,G82=0),"",I82*2/G82)</f>
        <v/>
      </c>
      <c r="P82" s="7" t="n">
        <v>33.3</v>
      </c>
      <c r="U82" s="6">
        <f>'[2]02-20-2024 '!Q6</f>
        <v/>
      </c>
      <c r="V82" s="6">
        <f>36.3</f>
        <v/>
      </c>
      <c r="Y82" s="6">
        <f>'[2]02-20-2024 '!Q12</f>
        <v/>
      </c>
      <c r="Z82" s="6" t="n">
        <v>0.28</v>
      </c>
      <c r="AD82" s="5" t="n">
        <v>80</v>
      </c>
      <c r="AE82" s="7">
        <f>T82</f>
        <v/>
      </c>
      <c r="AF82" s="231">
        <f>5*4.71</f>
        <v/>
      </c>
      <c r="AG82" s="231">
        <f>35.6</f>
        <v/>
      </c>
      <c r="AH82" s="168" t="n">
        <v>0.001</v>
      </c>
      <c r="AI82" t="n">
        <v>0.08</v>
      </c>
      <c r="AJ82" s="119" t="n">
        <v>0.5208333333333334</v>
      </c>
      <c r="AL82" s="231" t="n">
        <v>175</v>
      </c>
      <c r="AM82" s="3" t="n">
        <v>180</v>
      </c>
      <c r="AN82" s="4">
        <f>AE82</f>
        <v/>
      </c>
      <c r="AO82" s="231">
        <f>32.6</f>
        <v/>
      </c>
      <c r="AP82" s="255">
        <f>360-AK82-AB82</f>
        <v/>
      </c>
      <c r="AQ82" s="165">
        <f>[2]TSS_VSS!H140</f>
        <v/>
      </c>
      <c r="AR82" s="13">
        <f>AVERAGE(AO80:AO86)</f>
        <v/>
      </c>
      <c r="AS82" s="15">
        <f>IF(ISNUMBER([2]HRT_SRT!R136),[2]HRT_SRT!R136,"")</f>
        <v/>
      </c>
      <c r="AT82" s="156">
        <f>(E82-W82)/E82</f>
        <v/>
      </c>
      <c r="AU82" s="155">
        <f>(I82-AF82)/I82</f>
        <v/>
      </c>
      <c r="AV82" s="155">
        <f>AG82/(AD82-AF82)</f>
        <v/>
      </c>
      <c r="AW82" s="155">
        <f>(G82-AM82)/G82</f>
        <v/>
      </c>
      <c r="AX82" s="254">
        <f>IF(AND(ISNUMBER(E82),ISNUMBER(W82)),E82-W82,"")</f>
        <v/>
      </c>
      <c r="AY82" s="254">
        <f>IF(AND(ISNUMBER(I82),ISNUMBER(AF82)),I82-AF82,"")</f>
        <v/>
      </c>
      <c r="AZ82" s="254">
        <f>IF(AND(ISNUMBER(AM82),ISNUMBER(G82)),G82-AM82,"")</f>
        <v/>
      </c>
      <c r="BA82" s="254">
        <f>IF(AND(ISNUMBER(AC82),ISNUMBER(AE82)),AC82-AE82,"")</f>
        <v/>
      </c>
      <c r="BB82" s="254">
        <f>IF(AND(ISNUMBER(AL82),ISNUMBER(AM82)),AL82-AM82,"")</f>
        <v/>
      </c>
      <c r="BC82" s="84">
        <f>IF(AND($E82&gt;0,$W82&gt;0),IF(($E82-$W82)/$E82&gt;0,($E82-$W82)/$E82,0),"")</f>
        <v/>
      </c>
      <c r="BD82" s="84">
        <f>IF(AND($I82&gt;0,$AF82&gt;=0),IF(($I82-$AF82)/$I82&gt;0,($I82-$AF82)/$I82,0),"")</f>
        <v/>
      </c>
      <c r="BE82" s="84">
        <f>IF(AND($AG82&gt;=0,$AD82&gt;=0,$AF82&gt;=0),IF($AG82/($AD82-$AF82)&gt;0,$AG82/($AD82-$AF82),0),"")</f>
        <v/>
      </c>
      <c r="BF82" s="84">
        <f>IF(AND($G82&gt;0,$AM82&gt;0),IF(($G82-$AM82)/$G82&gt;0,($G82-$AM82)/$G82,0),"")</f>
        <v/>
      </c>
      <c r="BG82" s="6">
        <f>IF((AD82-AF82)/(AJ82/60)&lt;=0,"",(AD82-AF82)/(AJ82/60))</f>
        <v/>
      </c>
      <c r="BH82" s="6">
        <f>IF(OR(AJ82=0,AP82=0,NOT(ISNUMBER(AD82)),NOT(ISNUMBER(AF82)),NOT(ISNUMBER(AJ82)),NOT(ISNUMBER(AP82))),"",
IFERROR(IF((AD82-AF82)/(AJ82/60)/(AP82/1000)&lt;=0,"",(AD82-AF82)/(AJ82/60)/(AP82/1000)),""))</f>
        <v/>
      </c>
    </row>
    <row r="83" ht="15.75" customHeight="1">
      <c r="B83" t="n">
        <v>-161</v>
      </c>
      <c r="C83" s="12" t="inlineStr">
        <is>
          <t>weird high ORP influent/ clear out half MLSS</t>
        </is>
      </c>
      <c r="D83" s="185" t="n">
        <v>45343</v>
      </c>
      <c r="E83" s="184" t="n"/>
      <c r="F83" s="3" t="n">
        <v>78</v>
      </c>
      <c r="G83" s="205">
        <f>IF(OR(S83="",S83=0),"",S83*2)</f>
        <v/>
      </c>
      <c r="I83" s="15">
        <f>(N83*18-H83*18)/9</f>
        <v/>
      </c>
      <c r="J83" s="15">
        <f>10.8</f>
        <v/>
      </c>
      <c r="K83" s="15">
        <f>AD83</f>
        <v/>
      </c>
      <c r="M83" s="10">
        <f>IF(OR(E83="",G83="",E83=0,G83=0),"",E83/G83)</f>
        <v/>
      </c>
      <c r="N83" s="9">
        <f>IF(OR(E83="",I83="",E83=0,I83=0),"",E83/(I83*2))</f>
        <v/>
      </c>
      <c r="O83" s="8">
        <f>IF(OR(I83="",G83="",I83=0,G83=0),"",I83*2/G83)</f>
        <v/>
      </c>
      <c r="P83" s="7">
        <f>17.6</f>
        <v/>
      </c>
      <c r="Q83" s="6" t="n">
        <v>108.815</v>
      </c>
      <c r="R83" s="6" t="n">
        <v>15.811</v>
      </c>
      <c r="S83" s="6">
        <f>O83*1.067</f>
        <v/>
      </c>
      <c r="T83" s="6">
        <f>P83*1.514</f>
        <v/>
      </c>
      <c r="U83" s="23">
        <f>P83*1.514+O83*1.067</f>
        <v/>
      </c>
      <c r="V83" s="6">
        <f>20.4</f>
        <v/>
      </c>
      <c r="W83" s="6" t="n">
        <v>1.569</v>
      </c>
      <c r="X83" s="6" t="n">
        <v>0.985</v>
      </c>
      <c r="Y83" s="23">
        <f>U83*1.067+V83*1.514</f>
        <v/>
      </c>
      <c r="Z83" s="6" t="n">
        <v>0.88</v>
      </c>
      <c r="AD83" s="5" t="n">
        <v>80</v>
      </c>
      <c r="AE83" s="7">
        <f>T83</f>
        <v/>
      </c>
      <c r="AF83" s="231">
        <f>5*4.88</f>
        <v/>
      </c>
      <c r="AG83" s="231">
        <f>21.7</f>
        <v/>
      </c>
      <c r="AH83" s="168" t="n">
        <v>0.001</v>
      </c>
      <c r="AI83" t="n">
        <v>0.09</v>
      </c>
      <c r="AJ83" s="119" t="n">
        <v>0.5208333333333334</v>
      </c>
      <c r="AL83" s="231" t="n">
        <v>175</v>
      </c>
      <c r="AM83" s="3" t="n">
        <v>180</v>
      </c>
      <c r="AN83" s="4">
        <f>AE83</f>
        <v/>
      </c>
      <c r="AO83" s="231">
        <f>15.3</f>
        <v/>
      </c>
      <c r="AP83" s="255">
        <f>360-AK83-AB83</f>
        <v/>
      </c>
      <c r="AQ83" s="165" t="n"/>
      <c r="AR83" s="13">
        <f>AVERAGE(AO81:AO87)</f>
        <v/>
      </c>
      <c r="AS83" s="15">
        <f>IF(ISNUMBER([2]HRT_SRT!R137),[2]HRT_SRT!R137,"")</f>
        <v/>
      </c>
      <c r="AT83" s="156">
        <f>(E83-W83)/E83</f>
        <v/>
      </c>
      <c r="AU83" s="155">
        <f>(I83-AF83)/I83</f>
        <v/>
      </c>
      <c r="AV83" s="155">
        <f>AG83/(AD83-AF83)</f>
        <v/>
      </c>
      <c r="AW83" s="155">
        <f>(G83-AM83)/G83</f>
        <v/>
      </c>
      <c r="AX83" s="254">
        <f>IF(AND(ISNUMBER(E83),ISNUMBER(W83)),E83-W83,"")</f>
        <v/>
      </c>
      <c r="AY83" s="254">
        <f>IF(AND(ISNUMBER(I83),ISNUMBER(AF83)),I83-AF83,"")</f>
        <v/>
      </c>
      <c r="AZ83" s="254">
        <f>IF(AND(ISNUMBER(AM83),ISNUMBER(G83)),G83-AM83,"")</f>
        <v/>
      </c>
      <c r="BA83" s="254">
        <f>IF(AND(ISNUMBER(AC83),ISNUMBER(AE83)),AC83-AE83,"")</f>
        <v/>
      </c>
      <c r="BB83" s="254">
        <f>IF(AND(ISNUMBER(AL83),ISNUMBER(AM83)),AL83-AM83,"")</f>
        <v/>
      </c>
      <c r="BC83" s="84">
        <f>IF(AND($E83&gt;0,$W83&gt;0),IF(($E83-$W83)/$E83&gt;0,($E83-$W83)/$E83,0),"")</f>
        <v/>
      </c>
      <c r="BD83" s="84">
        <f>IF(AND($I83&gt;0,$AF83&gt;=0),IF(($I83-$AF83)/$I83&gt;0,($I83-$AF83)/$I83,0),"")</f>
        <v/>
      </c>
      <c r="BE83" s="84">
        <f>IF(AND($AG83&gt;=0,$AD83&gt;=0,$AF83&gt;=0),IF($AG83/($AD83-$AF83)&gt;0,$AG83/($AD83-$AF83),0),"")</f>
        <v/>
      </c>
      <c r="BF83" s="84">
        <f>IF(AND($G83&gt;0,$AM83&gt;0),IF(($G83-$AM83)/$G83&gt;0,($G83-$AM83)/$G83,0),"")</f>
        <v/>
      </c>
      <c r="BG83" s="6">
        <f>IF((AD83-AF83)/(AJ83/60)&lt;=0,"",(AD83-AF83)/(AJ83/60))</f>
        <v/>
      </c>
      <c r="BH83" s="6">
        <f>IF(OR(AJ83=0,AP83=0,NOT(ISNUMBER(AD83)),NOT(ISNUMBER(AF83)),NOT(ISNUMBER(AJ83)),NOT(ISNUMBER(AP83))),"",
IFERROR(IF((AD83-AF83)/(AJ83/60)/(AP83/1000)&lt;=0,"",(AD83-AF83)/(AJ83/60)/(AP83/1000)),""))</f>
        <v/>
      </c>
    </row>
    <row r="84" ht="15.75" customHeight="1">
      <c r="B84" t="n">
        <v>-160</v>
      </c>
      <c r="D84" s="185" t="n">
        <v>45344</v>
      </c>
      <c r="E84" s="184" t="n"/>
      <c r="F84" s="3" t="n">
        <v>79</v>
      </c>
      <c r="G84" s="205">
        <f>IF(OR(S84="",S84=0),"",S84*2)</f>
        <v/>
      </c>
      <c r="I84" s="15">
        <f>(N84*18-H84*18)/9</f>
        <v/>
      </c>
      <c r="J84" s="15">
        <f>2*1.7</f>
        <v/>
      </c>
      <c r="K84" s="15">
        <f>AD84</f>
        <v/>
      </c>
      <c r="M84" s="10">
        <f>IF(OR(E84="",G84="",E84=0,G84=0),"",E84/G84)</f>
        <v/>
      </c>
      <c r="N84" s="9">
        <f>IF(OR(E84="",I84="",E84=0,I84=0),"",E84/(I84*2))</f>
        <v/>
      </c>
      <c r="O84" s="8">
        <f>IF(OR(I84="",G84="",I84=0,G84=0),"",I84*2/G84)</f>
        <v/>
      </c>
      <c r="P84" s="7">
        <f>9.4</f>
        <v/>
      </c>
      <c r="Q84" s="6" t="n">
        <v>68.967</v>
      </c>
      <c r="R84" s="6" t="n">
        <v>26.189</v>
      </c>
      <c r="S84" s="6">
        <f>O84*1.067</f>
        <v/>
      </c>
      <c r="T84" s="6">
        <f>P84*1.514</f>
        <v/>
      </c>
      <c r="U84" s="23">
        <f>P84*1.514+O84*1.067</f>
        <v/>
      </c>
      <c r="V84" s="6" t="n">
        <v>13.4</v>
      </c>
      <c r="W84" s="6" t="n">
        <v>1.632</v>
      </c>
      <c r="X84" s="6" t="n">
        <v>1.083</v>
      </c>
      <c r="Y84" s="23">
        <f>U84*1.067+V84*1.514</f>
        <v/>
      </c>
      <c r="Z84" s="6" t="n">
        <v>2.8</v>
      </c>
      <c r="AD84" s="5" t="n">
        <v>80</v>
      </c>
      <c r="AE84" s="7">
        <f>T84</f>
        <v/>
      </c>
      <c r="AF84" s="231">
        <f>5*4.67</f>
        <v/>
      </c>
      <c r="AG84" s="231">
        <f>10.2</f>
        <v/>
      </c>
      <c r="AH84" s="231" t="n">
        <v>0.243</v>
      </c>
      <c r="AI84" t="n">
        <v>0.08</v>
      </c>
      <c r="AJ84" s="119" t="n">
        <v>0.5208333333333334</v>
      </c>
      <c r="AL84" s="231" t="n">
        <v>175</v>
      </c>
      <c r="AM84" s="3" t="n">
        <v>180</v>
      </c>
      <c r="AN84" s="4">
        <f>AE84</f>
        <v/>
      </c>
      <c r="AO84" s="231">
        <f>2*2.33</f>
        <v/>
      </c>
      <c r="AP84" s="255">
        <f>360-AK84-AB84</f>
        <v/>
      </c>
      <c r="AQ84" s="165" t="n">
        <v>2890.000000000055</v>
      </c>
      <c r="AR84" s="13">
        <f>AVERAGE(AO82:AO88)</f>
        <v/>
      </c>
      <c r="AS84" s="15">
        <f>IF(ISNUMBER([2]HRT_SRT!R138),[2]HRT_SRT!R138,"")</f>
        <v/>
      </c>
      <c r="AT84" s="156">
        <f>(E84-W84)/E84</f>
        <v/>
      </c>
      <c r="AU84" s="155">
        <f>(I84-AF84)/I84</f>
        <v/>
      </c>
      <c r="AV84" s="155">
        <f>AG84/(AD84-AF84)</f>
        <v/>
      </c>
      <c r="AW84" s="155">
        <f>(G84-AM84)/G84</f>
        <v/>
      </c>
      <c r="AX84" s="254">
        <f>IF(AND(ISNUMBER(E84),ISNUMBER(W84)),E84-W84,"")</f>
        <v/>
      </c>
      <c r="AY84" s="254">
        <f>IF(AND(ISNUMBER(I84),ISNUMBER(AF84)),I84-AF84,"")</f>
        <v/>
      </c>
      <c r="AZ84" s="254">
        <f>IF(AND(ISNUMBER(AM84),ISNUMBER(G84)),G84-AM84,"")</f>
        <v/>
      </c>
      <c r="BA84" s="254">
        <f>IF(AND(ISNUMBER(AC84),ISNUMBER(AE84)),AC84-AE84,"")</f>
        <v/>
      </c>
      <c r="BB84" s="254">
        <f>IF(AND(ISNUMBER(AL84),ISNUMBER(AM84)),AL84-AM84,"")</f>
        <v/>
      </c>
      <c r="BC84" s="84">
        <f>IF(AND($E84&gt;0,$W84&gt;0),IF(($E84-$W84)/$E84&gt;0,($E84-$W84)/$E84,0),"")</f>
        <v/>
      </c>
      <c r="BD84" s="84">
        <f>IF(AND($I84&gt;0,$AF84&gt;=0),IF(($I84-$AF84)/$I84&gt;0,($I84-$AF84)/$I84,0),"")</f>
        <v/>
      </c>
      <c r="BE84" s="84">
        <f>IF(AND($AG84&gt;=0,$AD84&gt;=0,$AF84&gt;=0),IF($AG84/($AD84-$AF84)&gt;0,$AG84/($AD84-$AF84),0),"")</f>
        <v/>
      </c>
      <c r="BF84" s="84">
        <f>IF(AND($G84&gt;0,$AM84&gt;0),IF(($G84-$AM84)/$G84&gt;0,($G84-$AM84)/$G84,0),"")</f>
        <v/>
      </c>
      <c r="BG84" s="6">
        <f>IF((AD84-AF84)/(AJ84/60)&lt;=0,"",(AD84-AF84)/(AJ84/60))</f>
        <v/>
      </c>
      <c r="BH84" s="6">
        <f>IF(OR(AJ84=0,AP84=0,NOT(ISNUMBER(AD84)),NOT(ISNUMBER(AF84)),NOT(ISNUMBER(AJ84)),NOT(ISNUMBER(AP84))),"",
IFERROR(IF((AD84-AF84)/(AJ84/60)/(AP84/1000)&lt;=0,"",(AD84-AF84)/(AJ84/60)/(AP84/1000)),""))</f>
        <v/>
      </c>
    </row>
    <row r="85" ht="15.75" customHeight="1">
      <c r="B85" t="n">
        <v>-159</v>
      </c>
      <c r="D85" s="185" t="n">
        <v>45345</v>
      </c>
      <c r="E85" s="184" t="n"/>
      <c r="F85" s="3" t="n">
        <v>80</v>
      </c>
      <c r="G85" s="205">
        <f>IF(OR(S85="",S85=0),"",S85*2)</f>
        <v/>
      </c>
      <c r="I85" s="15">
        <f>(N85*18-H85*18)/9</f>
        <v/>
      </c>
      <c r="J85" s="15" t="n">
        <v>8.6</v>
      </c>
      <c r="K85" s="15">
        <f>AD85</f>
        <v/>
      </c>
      <c r="M85" s="10">
        <f>IF(OR(E85="",G85="",E85=0,G85=0),"",E85/G85)</f>
        <v/>
      </c>
      <c r="N85" s="9">
        <f>IF(OR(E85="",I85="",E85=0,I85=0),"",E85/(I85*2))</f>
        <v/>
      </c>
      <c r="O85" s="8">
        <f>IF(OR(I85="",G85="",I85=0,G85=0),"",I85*2/G85)</f>
        <v/>
      </c>
      <c r="P85" s="7" t="n">
        <v>21.7</v>
      </c>
      <c r="Q85" s="6" t="n">
        <v>125.867</v>
      </c>
      <c r="R85" s="6" t="n">
        <v>29.059</v>
      </c>
      <c r="S85" s="6">
        <f>O85*1.067</f>
        <v/>
      </c>
      <c r="T85" s="6">
        <f>P85*1.514</f>
        <v/>
      </c>
      <c r="U85" s="23">
        <f>P85*1.514+O85*1.067</f>
        <v/>
      </c>
      <c r="V85" s="6" t="n">
        <v>26.8</v>
      </c>
      <c r="W85" s="6" t="n">
        <v>1.538</v>
      </c>
      <c r="X85" s="6" t="n">
        <v>2.038</v>
      </c>
      <c r="Y85" s="23">
        <f>U85*1.067+V85*1.514</f>
        <v/>
      </c>
      <c r="Z85" s="6" t="n">
        <v>0.86</v>
      </c>
      <c r="AD85" s="5" t="n">
        <v>80</v>
      </c>
      <c r="AE85" s="7">
        <f>T85</f>
        <v/>
      </c>
      <c r="AF85" s="231">
        <f>5*5.16</f>
        <v/>
      </c>
      <c r="AG85" s="231" t="n">
        <v>26.6</v>
      </c>
      <c r="AH85" s="231" t="n">
        <v>0.0007</v>
      </c>
      <c r="AI85" t="n">
        <v>0.09</v>
      </c>
      <c r="AJ85" s="119" t="n">
        <v>0.5208333333333334</v>
      </c>
      <c r="AL85" s="231" t="n">
        <v>175</v>
      </c>
      <c r="AM85" s="3" t="n">
        <v>180</v>
      </c>
      <c r="AN85" s="4">
        <f>AE85</f>
        <v/>
      </c>
      <c r="AO85" s="231">
        <f>5*4.68</f>
        <v/>
      </c>
      <c r="AP85" s="255">
        <f>360-AK85-AB85</f>
        <v/>
      </c>
      <c r="AQ85" s="165" t="n"/>
      <c r="AR85" s="13">
        <f>AVERAGE(AO83:AO89)</f>
        <v/>
      </c>
      <c r="AS85" s="15">
        <f>IF(ISNUMBER([2]HRT_SRT!R139),[2]HRT_SRT!R139,"")</f>
        <v/>
      </c>
      <c r="AT85" s="156">
        <f>(E85-W85)/E85</f>
        <v/>
      </c>
      <c r="AU85" s="155">
        <f>(I85-AF85)/I85</f>
        <v/>
      </c>
      <c r="AV85" s="155">
        <f>AG85/(AD85-AF85)</f>
        <v/>
      </c>
      <c r="AW85" s="155">
        <f>(G85-AM85)/G85</f>
        <v/>
      </c>
      <c r="AX85" s="254">
        <f>IF(AND(ISNUMBER(E85),ISNUMBER(W85)),E85-W85,"")</f>
        <v/>
      </c>
      <c r="AY85" s="254">
        <f>IF(AND(ISNUMBER(I85),ISNUMBER(AF85)),I85-AF85,"")</f>
        <v/>
      </c>
      <c r="AZ85" s="254">
        <f>IF(AND(ISNUMBER(AM85),ISNUMBER(G85)),G85-AM85,"")</f>
        <v/>
      </c>
      <c r="BA85" s="254">
        <f>IF(AND(ISNUMBER(AC85),ISNUMBER(AE85)),AC85-AE85,"")</f>
        <v/>
      </c>
      <c r="BB85" s="254">
        <f>IF(AND(ISNUMBER(AL85),ISNUMBER(AM85)),AL85-AM85,"")</f>
        <v/>
      </c>
      <c r="BC85" s="84">
        <f>IF(AND($E85&gt;0,$W85&gt;0),IF(($E85-$W85)/$E85&gt;0,($E85-$W85)/$E85,0),"")</f>
        <v/>
      </c>
      <c r="BD85" s="84">
        <f>IF(AND($I85&gt;0,$AF85&gt;=0),IF(($I85-$AF85)/$I85&gt;0,($I85-$AF85)/$I85,0),"")</f>
        <v/>
      </c>
      <c r="BE85" s="84">
        <f>IF(AND($AG85&gt;=0,$AD85&gt;=0,$AF85&gt;=0),IF($AG85/($AD85-$AF85)&gt;0,$AG85/($AD85-$AF85),0),"")</f>
        <v/>
      </c>
      <c r="BF85" s="84">
        <f>IF(AND($G85&gt;0,$AM85&gt;0),IF(($G85-$AM85)/$G85&gt;0,($G85-$AM85)/$G85,0),"")</f>
        <v/>
      </c>
      <c r="BG85" s="6">
        <f>IF((AD85-AF85)/(AJ85/60)&lt;=0,"",(AD85-AF85)/(AJ85/60))</f>
        <v/>
      </c>
      <c r="BH85" s="6">
        <f>IF(OR(AJ85=0,AP85=0,NOT(ISNUMBER(AD85)),NOT(ISNUMBER(AF85)),NOT(ISNUMBER(AJ85)),NOT(ISNUMBER(AP85))),"",
IFERROR(IF((AD85-AF85)/(AJ85/60)/(AP85/1000)&lt;=0,"",(AD85-AF85)/(AJ85/60)/(AP85/1000)),""))</f>
        <v/>
      </c>
    </row>
    <row r="86" ht="15.75" customHeight="1">
      <c r="B86" t="n">
        <v>-158</v>
      </c>
      <c r="D86" s="185" t="n">
        <v>45346</v>
      </c>
      <c r="E86" s="184" t="n"/>
      <c r="F86" s="3" t="n">
        <v>81</v>
      </c>
      <c r="G86" s="205">
        <f>IF(OR(S86="",S86=0),"",S86*2)</f>
        <v/>
      </c>
      <c r="I86" s="15">
        <f>(N86*18-H86*18)/9</f>
        <v/>
      </c>
      <c r="J86" s="15" t="n">
        <v>13.2</v>
      </c>
      <c r="K86" s="15">
        <f>AD86</f>
        <v/>
      </c>
      <c r="M86" s="10">
        <f>IF(OR(E86="",G86="",E86=0,G86=0),"",E86/G86)</f>
        <v/>
      </c>
      <c r="N86" s="9">
        <f>IF(OR(E86="",I86="",E86=0,I86=0),"",E86/(I86*2))</f>
        <v/>
      </c>
      <c r="O86" s="8">
        <f>IF(OR(I86="",G86="",I86=0,G86=0),"",I86*2/G86)</f>
        <v/>
      </c>
      <c r="P86" s="7">
        <f>26.6</f>
        <v/>
      </c>
      <c r="Q86" s="6" t="n">
        <v>137.362</v>
      </c>
      <c r="R86" s="6" t="n">
        <v>31.923</v>
      </c>
      <c r="S86" s="6">
        <f>O86*1.067</f>
        <v/>
      </c>
      <c r="T86" s="6">
        <f>P86*1.514</f>
        <v/>
      </c>
      <c r="U86" s="23">
        <f>P86*1.514+O86*1.067</f>
        <v/>
      </c>
      <c r="V86" s="6" t="n">
        <v>30.3</v>
      </c>
      <c r="W86" s="6" t="n">
        <v>3.135</v>
      </c>
      <c r="X86" s="6" t="n">
        <v>2.2</v>
      </c>
      <c r="Y86" s="23">
        <f>U86*1.067+V86*1.514</f>
        <v/>
      </c>
      <c r="Z86" s="6" t="n">
        <v>5.48</v>
      </c>
      <c r="AD86" s="5" t="n">
        <v>80</v>
      </c>
      <c r="AE86" s="7">
        <f>T86</f>
        <v/>
      </c>
      <c r="AF86" s="231">
        <f>5*4.88</f>
        <v/>
      </c>
      <c r="AG86" s="231">
        <f>30.7</f>
        <v/>
      </c>
      <c r="AH86" s="168" t="n">
        <v>0.001</v>
      </c>
      <c r="AI86" t="n">
        <v>0.09</v>
      </c>
      <c r="AJ86" s="119" t="n">
        <v>0.5208333333333334</v>
      </c>
      <c r="AL86" s="231" t="n">
        <v>175</v>
      </c>
      <c r="AM86" s="3" t="n">
        <v>180</v>
      </c>
      <c r="AN86" s="4">
        <f>AE86</f>
        <v/>
      </c>
      <c r="AO86" s="231">
        <f>23.7</f>
        <v/>
      </c>
      <c r="AP86" s="255">
        <f>360-AK86-AB86</f>
        <v/>
      </c>
      <c r="AQ86" s="165" t="n"/>
      <c r="AR86" s="13">
        <f>AVERAGE(AO84:AO90)</f>
        <v/>
      </c>
      <c r="AS86" s="15">
        <f>IF(ISNUMBER([2]HRT_SRT!R140),[2]HRT_SRT!R140,"")</f>
        <v/>
      </c>
      <c r="AT86" s="156">
        <f>(E86-W86)/E86</f>
        <v/>
      </c>
      <c r="AU86" s="155">
        <f>(I86-AF86)/I86</f>
        <v/>
      </c>
      <c r="AV86" s="155">
        <f>AG86/(AD86-AF86)</f>
        <v/>
      </c>
      <c r="AW86" s="155">
        <f>(G86-AM86)/G86</f>
        <v/>
      </c>
      <c r="AX86" s="254">
        <f>IF(AND(ISNUMBER(E86),ISNUMBER(W86)),E86-W86,"")</f>
        <v/>
      </c>
      <c r="AY86" s="254">
        <f>IF(AND(ISNUMBER(I86),ISNUMBER(AF86)),I86-AF86,"")</f>
        <v/>
      </c>
      <c r="AZ86" s="254">
        <f>IF(AND(ISNUMBER(AM86),ISNUMBER(G86)),G86-AM86,"")</f>
        <v/>
      </c>
      <c r="BA86" s="254">
        <f>IF(AND(ISNUMBER(AC86),ISNUMBER(AE86)),AC86-AE86,"")</f>
        <v/>
      </c>
      <c r="BB86" s="254">
        <f>IF(AND(ISNUMBER(AL86),ISNUMBER(AM86)),AL86-AM86,"")</f>
        <v/>
      </c>
      <c r="BC86" s="84">
        <f>IF(AND($E86&gt;0,$W86&gt;0),IF(($E86-$W86)/$E86&gt;0,($E86-$W86)/$E86,0),"")</f>
        <v/>
      </c>
      <c r="BD86" s="84">
        <f>IF(AND($I86&gt;0,$AF86&gt;=0),IF(($I86-$AF86)/$I86&gt;0,($I86-$AF86)/$I86,0),"")</f>
        <v/>
      </c>
      <c r="BE86" s="84">
        <f>IF(AND($AG86&gt;=0,$AD86&gt;=0,$AF86&gt;=0),IF($AG86/($AD86-$AF86)&gt;0,$AG86/($AD86-$AF86),0),"")</f>
        <v/>
      </c>
      <c r="BF86" s="84">
        <f>IF(AND($G86&gt;0,$AM86&gt;0),IF(($G86-$AM86)/$G86&gt;0,($G86-$AM86)/$G86,0),"")</f>
        <v/>
      </c>
      <c r="BG86" s="6">
        <f>IF((AD86-AF86)/(AJ86/60)&lt;=0,"",(AD86-AF86)/(AJ86/60))</f>
        <v/>
      </c>
      <c r="BH86" s="6">
        <f>IF(OR(AJ86=0,AP86=0,NOT(ISNUMBER(AD86)),NOT(ISNUMBER(AF86)),NOT(ISNUMBER(AJ86)),NOT(ISNUMBER(AP86))),"",
IFERROR(IF((AD86-AF86)/(AJ86/60)/(AP86/1000)&lt;=0,"",(AD86-AF86)/(AJ86/60)/(AP86/1000)),""))</f>
        <v/>
      </c>
    </row>
    <row r="87" ht="15.75" customHeight="1">
      <c r="B87" t="n">
        <v>-157</v>
      </c>
      <c r="D87" s="134" t="n">
        <v>45347</v>
      </c>
      <c r="E87" s="133" t="n"/>
      <c r="F87" s="3" t="n">
        <v>82</v>
      </c>
      <c r="G87" s="205">
        <f>IF(OR(S87="",S87=0),"",S87*2)</f>
        <v/>
      </c>
      <c r="K87" s="15">
        <f>AD87</f>
        <v/>
      </c>
      <c r="M87" s="10">
        <f>IF(OR(E87="",G87="",E87=0,G87=0),"",E87/G87)</f>
        <v/>
      </c>
      <c r="N87" s="9">
        <f>IF(OR(E87="",I87="",E87=0,I87=0),"",E87/(I87*2))</f>
        <v/>
      </c>
      <c r="O87" s="8">
        <f>IF(OR(I87="",G87="",I87=0,G87=0),"",I87*2/G87)</f>
        <v/>
      </c>
      <c r="Z87" s="6" t="n">
        <v>0.5600000000000001</v>
      </c>
      <c r="AD87" s="5" t="n">
        <v>80</v>
      </c>
      <c r="AF87" s="168">
        <f>(AD86+AD88)/2</f>
        <v/>
      </c>
      <c r="AI87" t="n">
        <v>0.08</v>
      </c>
      <c r="AJ87" s="119" t="n">
        <v>0.5208333333333334</v>
      </c>
      <c r="AL87" s="231" t="n">
        <v>175</v>
      </c>
      <c r="AM87" s="3" t="n">
        <v>180</v>
      </c>
      <c r="AP87" s="255">
        <f>360-AK87-AB87</f>
        <v/>
      </c>
      <c r="AQ87" s="165" t="n"/>
      <c r="AR87" s="13">
        <f>AVERAGE(AO85:AO91)</f>
        <v/>
      </c>
      <c r="AS87" s="15">
        <f>IF(ISNUMBER([2]HRT_SRT!R141),[2]HRT_SRT!R141,"")</f>
        <v/>
      </c>
      <c r="AT87" s="156">
        <f>(E87-W87)/E87</f>
        <v/>
      </c>
      <c r="AU87" s="155">
        <f>(I87-AF87)/I87</f>
        <v/>
      </c>
      <c r="AV87" s="155">
        <f>AG87/(AD87-AF87)</f>
        <v/>
      </c>
      <c r="AW87" s="155">
        <f>(G87-AM87)/G87</f>
        <v/>
      </c>
      <c r="AX87" s="254">
        <f>IF(AND(ISNUMBER(E87),ISNUMBER(W87)),E87-W87,"")</f>
        <v/>
      </c>
      <c r="AY87" s="254">
        <f>IF(AND(ISNUMBER(I87),ISNUMBER(AF87)),I87-AF87,"")</f>
        <v/>
      </c>
      <c r="AZ87" s="254">
        <f>IF(AND(ISNUMBER(AM87),ISNUMBER(G87)),G87-AM87,"")</f>
        <v/>
      </c>
      <c r="BA87" s="254">
        <f>IF(AND(ISNUMBER(AC87),ISNUMBER(AE87)),AC87-AE87,"")</f>
        <v/>
      </c>
      <c r="BB87" s="254">
        <f>IF(AND(ISNUMBER(AL87),ISNUMBER(AM87)),AL87-AM87,"")</f>
        <v/>
      </c>
      <c r="BC87" s="84">
        <f>IF(AND($E87&gt;0,$W87&gt;0),IF(($E87-$W87)/$E87&gt;0,($E87-$W87)/$E87,0),"")</f>
        <v/>
      </c>
      <c r="BD87" s="84">
        <f>IF(AND($I87&gt;0,$AF87&gt;=0),IF(($I87-$AF87)/$I87&gt;0,($I87-$AF87)/$I87,0),"")</f>
        <v/>
      </c>
      <c r="BE87" s="84">
        <f>IF(AND($AG87&gt;=0,$AD87&gt;=0,$AF87&gt;=0),IF($AG87/($AD87-$AF87)&gt;0,$AG87/($AD87-$AF87),0),"")</f>
        <v/>
      </c>
      <c r="BF87" s="84">
        <f>IF(AND($G87&gt;0,$AM87&gt;0),IF(($G87-$AM87)/$G87&gt;0,($G87-$AM87)/$G87,0),"")</f>
        <v/>
      </c>
      <c r="BG87" s="6">
        <f>IF((AD87-AF87)/(AJ87/60)&lt;=0,"",(AD87-AF87)/(AJ87/60))</f>
        <v/>
      </c>
      <c r="BH87" s="6">
        <f>IF(OR(AJ87=0,AP87=0,NOT(ISNUMBER(AD87)),NOT(ISNUMBER(AF87)),NOT(ISNUMBER(AJ87)),NOT(ISNUMBER(AP87))),"",
IFERROR(IF((AD87-AF87)/(AJ87/60)/(AP87/1000)&lt;=0,"",(AD87-AF87)/(AJ87/60)/(AP87/1000)),""))</f>
        <v/>
      </c>
    </row>
    <row r="88" ht="15.75" customHeight="1">
      <c r="B88" t="n">
        <v>-156</v>
      </c>
      <c r="D88" s="134" t="n">
        <v>45348</v>
      </c>
      <c r="E88" s="133" t="n"/>
      <c r="F88" s="3" t="n">
        <v>83</v>
      </c>
      <c r="G88" s="205">
        <f>IF(OR(S88="",S88=0),"",S88*2)</f>
        <v/>
      </c>
      <c r="I88" s="124" t="n">
        <v>30.4</v>
      </c>
      <c r="K88" s="15">
        <f>AD88</f>
        <v/>
      </c>
      <c r="M88" s="10">
        <f>IF(OR(E88="",G88="",E88=0,G88=0),"",E88/G88)</f>
        <v/>
      </c>
      <c r="N88" s="9">
        <f>IF(OR(E88="",I88="",E88=0,I88=0),"",E88/(I88*2))</f>
        <v/>
      </c>
      <c r="O88" s="8">
        <f>IF(OR(I88="",G88="",I88=0,G88=0),"",I88*2/G88)</f>
        <v/>
      </c>
      <c r="Z88" s="6" t="n">
        <v>0.28</v>
      </c>
      <c r="AD88" s="5" t="n">
        <v>80</v>
      </c>
      <c r="AE88" s="4" t="n">
        <v>27.7</v>
      </c>
      <c r="AF88" s="231">
        <f>4*5</f>
        <v/>
      </c>
      <c r="AG88" s="231" t="n">
        <v>30.1</v>
      </c>
      <c r="AH88" s="168" t="n">
        <v>0.001</v>
      </c>
      <c r="AI88" t="n">
        <v>0.09</v>
      </c>
      <c r="AJ88" s="119" t="n">
        <v>0.5208333333333334</v>
      </c>
      <c r="AL88" s="231" t="n">
        <v>175</v>
      </c>
      <c r="AM88" s="3" t="n">
        <v>180</v>
      </c>
      <c r="AN88" s="4" t="n">
        <v>30.1</v>
      </c>
      <c r="AO88" s="231" t="n">
        <v>27.2</v>
      </c>
      <c r="AP88" s="255">
        <f>360-AK88-AB88</f>
        <v/>
      </c>
      <c r="AQ88" s="165" t="n"/>
      <c r="AR88" s="13">
        <f>AVERAGE(AO86:AO92)</f>
        <v/>
      </c>
      <c r="AS88" s="15">
        <f>IF(ISNUMBER([2]HRT_SRT!R142),[2]HRT_SRT!R142,"")</f>
        <v/>
      </c>
      <c r="AT88" s="156">
        <f>(E88-W88)/E88</f>
        <v/>
      </c>
      <c r="AU88" s="155">
        <f>(I88-AF88)/I88</f>
        <v/>
      </c>
      <c r="AV88" s="155">
        <f>AG88/(AD88-AF88)</f>
        <v/>
      </c>
      <c r="AW88" s="155">
        <f>(G88-AM88)/G88</f>
        <v/>
      </c>
      <c r="AX88" s="254">
        <f>IF(AND(ISNUMBER(E88),ISNUMBER(W88)),E88-W88,"")</f>
        <v/>
      </c>
      <c r="AY88" s="254">
        <f>IF(AND(ISNUMBER(I88),ISNUMBER(AF88)),I88-AF88,"")</f>
        <v/>
      </c>
      <c r="AZ88" s="254">
        <f>IF(AND(ISNUMBER(AM88),ISNUMBER(G88)),G88-AM88,"")</f>
        <v/>
      </c>
      <c r="BA88" s="254">
        <f>IF(AND(ISNUMBER(AC88),ISNUMBER(AE88)),AC88-AE88,"")</f>
        <v/>
      </c>
      <c r="BB88" s="254">
        <f>IF(AND(ISNUMBER(AL88),ISNUMBER(AM88)),AL88-AM88,"")</f>
        <v/>
      </c>
      <c r="BC88" s="84">
        <f>IF(AND($E88&gt;0,$W88&gt;0),IF(($E88-$W88)/$E88&gt;0,($E88-$W88)/$E88,0),"")</f>
        <v/>
      </c>
      <c r="BD88" s="84">
        <f>IF(AND($I88&gt;0,$AF88&gt;=0),IF(($I88-$AF88)/$I88&gt;0,($I88-$AF88)/$I88,0),"")</f>
        <v/>
      </c>
      <c r="BE88" s="84">
        <f>IF(AND($AG88&gt;=0,$AD88&gt;=0,$AF88&gt;=0),IF($AG88/($AD88-$AF88)&gt;0,$AG88/($AD88-$AF88),0),"")</f>
        <v/>
      </c>
      <c r="BF88" s="84">
        <f>IF(AND($G88&gt;0,$AM88&gt;0),IF(($G88-$AM88)/$G88&gt;0,($G88-$AM88)/$G88,0),"")</f>
        <v/>
      </c>
      <c r="BG88" s="6">
        <f>IF((AD88-AF88)/(AJ88/60)&lt;=0,"",(AD88-AF88)/(AJ88/60))</f>
        <v/>
      </c>
      <c r="BH88" s="6">
        <f>IF(OR(AJ88=0,AP88=0,NOT(ISNUMBER(AD88)),NOT(ISNUMBER(AF88)),NOT(ISNUMBER(AJ88)),NOT(ISNUMBER(AP88))),"",
IFERROR(IF((AD88-AF88)/(AJ88/60)/(AP88/1000)&lt;=0,"",(AD88-AF88)/(AJ88/60)/(AP88/1000)),""))</f>
        <v/>
      </c>
    </row>
    <row r="89" ht="15.75" customHeight="1">
      <c r="B89" t="n">
        <v>-155</v>
      </c>
      <c r="D89" s="134" t="n">
        <v>45349</v>
      </c>
      <c r="E89" s="133" t="n"/>
      <c r="F89" s="3" t="n">
        <v>84</v>
      </c>
      <c r="G89" s="205">
        <f>IF(OR(S89="",S89=0),"",S89*2)</f>
        <v/>
      </c>
      <c r="I89" s="15">
        <f>(N89*18-H89*18)/9</f>
        <v/>
      </c>
      <c r="J89" s="9" t="n">
        <v>12</v>
      </c>
      <c r="K89" s="15">
        <f>AD89</f>
        <v/>
      </c>
      <c r="M89" s="10">
        <f>IF(OR(E89="",G89="",E89=0,G89=0),"",E89/G89)</f>
        <v/>
      </c>
      <c r="N89" s="9">
        <f>IF(OR(E89="",I89="",E89=0,I89=0),"",E89/(I89*2))</f>
        <v/>
      </c>
      <c r="O89" s="8">
        <f>IF(OR(I89="",G89="",I89=0,G89=0),"",I89*2/G89)</f>
        <v/>
      </c>
      <c r="P89" s="7" t="n">
        <v>27.2</v>
      </c>
      <c r="Q89" s="6" t="n">
        <v>129.163</v>
      </c>
      <c r="R89" s="6" t="n">
        <v>28.396</v>
      </c>
      <c r="S89" s="6">
        <f>O89*1.067</f>
        <v/>
      </c>
      <c r="T89" s="6">
        <f>P89*1.514</f>
        <v/>
      </c>
      <c r="U89" s="23">
        <f>P89*1.514+O89*1.067</f>
        <v/>
      </c>
      <c r="V89" s="6" t="n">
        <v>29</v>
      </c>
      <c r="Y89" s="6">
        <f>2.426+3.542</f>
        <v/>
      </c>
      <c r="Z89" s="6" t="n">
        <v>0.29</v>
      </c>
      <c r="AD89" s="5" t="n">
        <v>80</v>
      </c>
      <c r="AE89" s="7">
        <f>T89</f>
        <v/>
      </c>
      <c r="AF89" s="231">
        <f>5*4.9</f>
        <v/>
      </c>
      <c r="AG89" s="231" t="n">
        <v>28.6</v>
      </c>
      <c r="AH89" s="168" t="n">
        <v>0.001</v>
      </c>
      <c r="AI89" t="n">
        <v>0.1</v>
      </c>
      <c r="AJ89" s="119" t="n">
        <v>0.5208333333333334</v>
      </c>
      <c r="AL89" s="231" t="n">
        <v>175</v>
      </c>
      <c r="AM89" s="3" t="n">
        <v>180</v>
      </c>
      <c r="AN89" s="4">
        <f>AE89</f>
        <v/>
      </c>
      <c r="AO89" s="231">
        <f>26.8</f>
        <v/>
      </c>
      <c r="AP89" s="255">
        <f>360-AK89-AB89</f>
        <v/>
      </c>
      <c r="AQ89" s="257" t="n">
        <v>4060.000000000036</v>
      </c>
      <c r="AR89" s="13">
        <f>AVERAGE(AO87:AO93)</f>
        <v/>
      </c>
      <c r="AS89" s="15">
        <f>IF(ISNUMBER([2]HRT_SRT!R143),[2]HRT_SRT!R143,"")</f>
        <v/>
      </c>
      <c r="AT89" s="156">
        <f>(E89-W89)/E89</f>
        <v/>
      </c>
      <c r="AU89" s="155">
        <f>(I89-AF89)/I89</f>
        <v/>
      </c>
      <c r="AV89" s="155">
        <f>AG89/(AD89-AF89)</f>
        <v/>
      </c>
      <c r="AW89" s="155">
        <f>(G89-AM89)/G89</f>
        <v/>
      </c>
      <c r="AX89" s="254">
        <f>IF(AND(ISNUMBER(E89),ISNUMBER(W89)),E89-W89,"")</f>
        <v/>
      </c>
      <c r="AY89" s="254">
        <f>IF(AND(ISNUMBER(I89),ISNUMBER(AF89)),I89-AF89,"")</f>
        <v/>
      </c>
      <c r="AZ89" s="254">
        <f>IF(AND(ISNUMBER(AM89),ISNUMBER(G89)),G89-AM89,"")</f>
        <v/>
      </c>
      <c r="BA89" s="254">
        <f>IF(AND(ISNUMBER(AC89),ISNUMBER(AE89)),AC89-AE89,"")</f>
        <v/>
      </c>
      <c r="BB89" s="254">
        <f>IF(AND(ISNUMBER(AL89),ISNUMBER(AM89)),AL89-AM89,"")</f>
        <v/>
      </c>
      <c r="BC89" s="84">
        <f>IF(AND($E89&gt;0,$W89&gt;0),IF(($E89-$W89)/$E89&gt;0,($E89-$W89)/$E89,0),"")</f>
        <v/>
      </c>
      <c r="BD89" s="84">
        <f>IF(AND($I89&gt;0,$AF89&gt;=0),IF(($I89-$AF89)/$I89&gt;0,($I89-$AF89)/$I89,0),"")</f>
        <v/>
      </c>
      <c r="BE89" s="84">
        <f>IF(AND($AG89&gt;=0,$AD89&gt;=0,$AF89&gt;=0),IF($AG89/($AD89-$AF89)&gt;0,$AG89/($AD89-$AF89),0),"")</f>
        <v/>
      </c>
      <c r="BF89" s="84">
        <f>IF(AND($G89&gt;0,$AM89&gt;0),IF(($G89-$AM89)/$G89&gt;0,($G89-$AM89)/$G89,0),"")</f>
        <v/>
      </c>
      <c r="BG89" s="6">
        <f>IF((AD89-AF89)/(AJ89/60)&lt;=0,"",(AD89-AF89)/(AJ89/60))</f>
        <v/>
      </c>
      <c r="BH89" s="6">
        <f>IF(OR(AJ89=0,AP89=0,NOT(ISNUMBER(AD89)),NOT(ISNUMBER(AF89)),NOT(ISNUMBER(AJ89)),NOT(ISNUMBER(AP89))),"",
IFERROR(IF((AD89-AF89)/(AJ89/60)/(AP89/1000)&lt;=0,"",(AD89-AF89)/(AJ89/60)/(AP89/1000)),""))</f>
        <v/>
      </c>
    </row>
    <row r="90" ht="15.75" customHeight="1">
      <c r="B90" t="n">
        <v>-154</v>
      </c>
      <c r="D90" s="134" t="n">
        <v>45350</v>
      </c>
      <c r="E90" s="133" t="n"/>
      <c r="F90" s="3" t="n">
        <v>85</v>
      </c>
      <c r="G90" s="205">
        <f>IF(OR(S90="",S90=0),"",S90*2)</f>
        <v/>
      </c>
      <c r="I90" s="15">
        <f>(N90*18-H90*18)/9</f>
        <v/>
      </c>
      <c r="J90" s="9" t="n">
        <v>13.5</v>
      </c>
      <c r="K90" s="15">
        <f>AD90</f>
        <v/>
      </c>
      <c r="M90" s="10">
        <f>IF(OR(E90="",G90="",E90=0,G90=0),"",E90/G90)</f>
        <v/>
      </c>
      <c r="N90" s="9">
        <f>IF(OR(E90="",I90="",E90=0,I90=0),"",E90/(I90*2))</f>
        <v/>
      </c>
      <c r="O90" s="8">
        <f>IF(OR(I90="",G90="",I90=0,G90=0),"",I90*2/G90)</f>
        <v/>
      </c>
      <c r="P90" s="7" t="n">
        <v>26.7</v>
      </c>
      <c r="Z90" s="6" t="n">
        <v>1.67</v>
      </c>
      <c r="AD90" s="5" t="n">
        <v>80</v>
      </c>
      <c r="AF90" s="168">
        <f>(AD89+AD91)/2</f>
        <v/>
      </c>
      <c r="AG90" s="231" t="n">
        <v>26.6</v>
      </c>
      <c r="AH90" s="231" t="n">
        <v>0.108</v>
      </c>
      <c r="AI90" t="n">
        <v>0.1</v>
      </c>
      <c r="AJ90" s="119" t="n">
        <v>0.5208333333333334</v>
      </c>
      <c r="AL90" s="231" t="n">
        <v>175</v>
      </c>
      <c r="AM90" s="3" t="n">
        <v>180</v>
      </c>
      <c r="AN90" s="4">
        <f>AE90</f>
        <v/>
      </c>
      <c r="AO90" s="231" t="n">
        <v>24.2</v>
      </c>
      <c r="AP90" s="255">
        <f>360-AK90-AB90</f>
        <v/>
      </c>
      <c r="AQ90" s="257" t="n"/>
      <c r="AR90" s="13">
        <f>AVERAGE(AO88:AO94)</f>
        <v/>
      </c>
      <c r="AS90" s="15">
        <f>IF(ISNUMBER([2]HRT_SRT!R144),[2]HRT_SRT!R144,"")</f>
        <v/>
      </c>
      <c r="AT90" s="156">
        <f>(E90-W90)/E90</f>
        <v/>
      </c>
      <c r="AU90" s="155">
        <f>(I90-AF90)/I90</f>
        <v/>
      </c>
      <c r="AV90" s="155">
        <f>AG90/(AD90-AF90)</f>
        <v/>
      </c>
      <c r="AW90" s="155">
        <f>(G90-AM90)/G90</f>
        <v/>
      </c>
      <c r="AX90" s="254">
        <f>IF(AND(ISNUMBER(E90),ISNUMBER(W90)),E90-W90,"")</f>
        <v/>
      </c>
      <c r="AY90" s="254">
        <f>IF(AND(ISNUMBER(I90),ISNUMBER(AF90)),I90-AF90,"")</f>
        <v/>
      </c>
      <c r="AZ90" s="254">
        <f>IF(AND(ISNUMBER(AM90),ISNUMBER(G90)),G90-AM90,"")</f>
        <v/>
      </c>
      <c r="BA90" s="254">
        <f>IF(AND(ISNUMBER(AC90),ISNUMBER(AE90)),AC90-AE90,"")</f>
        <v/>
      </c>
      <c r="BB90" s="254">
        <f>IF(AND(ISNUMBER(AL90),ISNUMBER(AM90)),AL90-AM90,"")</f>
        <v/>
      </c>
      <c r="BC90" s="84">
        <f>IF(AND($E90&gt;0,$W90&gt;0),IF(($E90-$W90)/$E90&gt;0,($E90-$W90)/$E90,0),"")</f>
        <v/>
      </c>
      <c r="BD90" s="84">
        <f>IF(AND($I90&gt;0,$AF90&gt;=0),IF(($I90-$AF90)/$I90&gt;0,($I90-$AF90)/$I90,0),"")</f>
        <v/>
      </c>
      <c r="BE90" s="84">
        <f>IF(AND($AG90&gt;=0,$AD90&gt;=0,$AF90&gt;=0),IF($AG90/($AD90-$AF90)&gt;0,$AG90/($AD90-$AF90),0),"")</f>
        <v/>
      </c>
      <c r="BF90" s="84">
        <f>IF(AND($G90&gt;0,$AM90&gt;0),IF(($G90-$AM90)/$G90&gt;0,($G90-$AM90)/$G90,0),"")</f>
        <v/>
      </c>
      <c r="BG90" s="6">
        <f>IF((AD90-AF90)/(AJ90/60)&lt;=0,"",(AD90-AF90)/(AJ90/60))</f>
        <v/>
      </c>
      <c r="BH90" s="6">
        <f>IF(OR(AJ90=0,AP90=0,NOT(ISNUMBER(AD90)),NOT(ISNUMBER(AF90)),NOT(ISNUMBER(AJ90)),NOT(ISNUMBER(AP90))),"",
IFERROR(IF((AD90-AF90)/(AJ90/60)/(AP90/1000)&lt;=0,"",(AD90-AF90)/(AJ90/60)/(AP90/1000)),""))</f>
        <v/>
      </c>
    </row>
    <row r="91" ht="15.75" customHeight="1">
      <c r="B91" t="n">
        <v>-153</v>
      </c>
      <c r="D91" s="134" t="n">
        <v>45351</v>
      </c>
      <c r="E91" s="133" t="n"/>
      <c r="F91" s="3" t="n">
        <v>86</v>
      </c>
      <c r="G91" s="205">
        <f>IF(OR(S91="",S91=0),"",S91*2)</f>
        <v/>
      </c>
      <c r="I91" s="15">
        <f>(N91*18-H91*18)/9</f>
        <v/>
      </c>
      <c r="J91" s="9" t="n">
        <v>12.3</v>
      </c>
      <c r="K91" s="15">
        <f>AD91</f>
        <v/>
      </c>
      <c r="M91" s="10">
        <f>IF(OR(E91="",G91="",E91=0,G91=0),"",E91/G91)</f>
        <v/>
      </c>
      <c r="N91" s="9">
        <f>IF(OR(E91="",I91="",E91=0,I91=0),"",E91/(I91*2))</f>
        <v/>
      </c>
      <c r="O91" s="8">
        <f>IF(OR(I91="",G91="",I91=0,G91=0),"",I91*2/G91)</f>
        <v/>
      </c>
      <c r="P91" s="7" t="n">
        <v>24.1</v>
      </c>
      <c r="V91" s="6" t="n">
        <v>27.1</v>
      </c>
      <c r="Z91" s="6" t="n">
        <v>2.33</v>
      </c>
      <c r="AD91" s="5" t="n">
        <v>80</v>
      </c>
      <c r="AE91" s="7">
        <f>T91</f>
        <v/>
      </c>
      <c r="AF91" s="231">
        <f>5*5.2</f>
        <v/>
      </c>
      <c r="AG91" s="231" t="n">
        <v>22.9</v>
      </c>
      <c r="AH91" s="168" t="n">
        <v>0.001</v>
      </c>
      <c r="AI91" t="n">
        <v>0.09</v>
      </c>
      <c r="AJ91" s="119" t="n">
        <v>0.5208333333333334</v>
      </c>
      <c r="AL91" s="231" t="n">
        <v>175</v>
      </c>
      <c r="AM91" s="3" t="n">
        <v>180</v>
      </c>
      <c r="AN91" s="4">
        <f>AE91</f>
        <v/>
      </c>
      <c r="AO91" s="231" t="n">
        <v>20.5</v>
      </c>
      <c r="AP91" s="255">
        <f>360-AK91-AB91</f>
        <v/>
      </c>
      <c r="AQ91" s="257" t="n"/>
      <c r="AR91" s="13">
        <f>AVERAGE(AO89:AO95)</f>
        <v/>
      </c>
      <c r="AS91" s="15">
        <f>IF(ISNUMBER([2]HRT_SRT!R145),[2]HRT_SRT!R145,"")</f>
        <v/>
      </c>
      <c r="AT91" s="156">
        <f>(E91-W91)/E91</f>
        <v/>
      </c>
      <c r="AU91" s="155">
        <f>(I91-AF91)/I91</f>
        <v/>
      </c>
      <c r="AV91" s="155">
        <f>AG91/(AD91-AF91)</f>
        <v/>
      </c>
      <c r="AW91" s="155">
        <f>(G91-AM91)/G91</f>
        <v/>
      </c>
      <c r="AX91" s="254">
        <f>IF(AND(ISNUMBER(E91),ISNUMBER(W91)),E91-W91,"")</f>
        <v/>
      </c>
      <c r="AY91" s="254">
        <f>IF(AND(ISNUMBER(I91),ISNUMBER(AF91)),I91-AF91,"")</f>
        <v/>
      </c>
      <c r="AZ91" s="254">
        <f>IF(AND(ISNUMBER(AM91),ISNUMBER(G91)),G91-AM91,"")</f>
        <v/>
      </c>
      <c r="BA91" s="254">
        <f>IF(AND(ISNUMBER(AC91),ISNUMBER(AE91)),AC91-AE91,"")</f>
        <v/>
      </c>
      <c r="BB91" s="254">
        <f>IF(AND(ISNUMBER(AL91),ISNUMBER(AM91)),AL91-AM91,"")</f>
        <v/>
      </c>
      <c r="BC91" s="84">
        <f>IF(AND($E91&gt;0,$W91&gt;0),IF(($E91-$W91)/$E91&gt;0,($E91-$W91)/$E91,0),"")</f>
        <v/>
      </c>
      <c r="BD91" s="84">
        <f>IF(AND($I91&gt;0,$AF91&gt;=0),IF(($I91-$AF91)/$I91&gt;0,($I91-$AF91)/$I91,0),"")</f>
        <v/>
      </c>
      <c r="BE91" s="84">
        <f>IF(AND($AG91&gt;=0,$AD91&gt;=0,$AF91&gt;=0),IF($AG91/($AD91-$AF91)&gt;0,$AG91/($AD91-$AF91),0),"")</f>
        <v/>
      </c>
      <c r="BF91" s="84">
        <f>IF(AND($G91&gt;0,$AM91&gt;0),IF(($G91-$AM91)/$G91&gt;0,($G91-$AM91)/$G91,0),"")</f>
        <v/>
      </c>
      <c r="BG91" s="6">
        <f>IF((AD91-AF91)/(AJ91/60)&lt;=0,"",(AD91-AF91)/(AJ91/60))</f>
        <v/>
      </c>
      <c r="BH91" s="6">
        <f>IF(OR(AJ91=0,AP91=0,NOT(ISNUMBER(AD91)),NOT(ISNUMBER(AF91)),NOT(ISNUMBER(AJ91)),NOT(ISNUMBER(AP91))),"",
IFERROR(IF((AD91-AF91)/(AJ91/60)/(AP91/1000)&lt;=0,"",(AD91-AF91)/(AJ91/60)/(AP91/1000)),""))</f>
        <v/>
      </c>
    </row>
    <row r="92" ht="15.75" customHeight="1">
      <c r="B92" t="n">
        <v>-152</v>
      </c>
      <c r="D92" s="134" t="n">
        <v>45352</v>
      </c>
      <c r="E92" s="133" t="n"/>
      <c r="F92" s="3" t="n">
        <v>87</v>
      </c>
      <c r="G92" s="205">
        <f>IF(OR(S92="",S92=0),"",S92*2)</f>
        <v/>
      </c>
      <c r="K92" s="15">
        <f>AD92</f>
        <v/>
      </c>
      <c r="M92" s="10">
        <f>IF(OR(E92="",G92="",E92=0,G92=0),"",E92/G92)</f>
        <v/>
      </c>
      <c r="N92" s="9">
        <f>IF(OR(E92="",I92="",E92=0,I92=0),"",E92/(I92*2))</f>
        <v/>
      </c>
      <c r="O92" s="8">
        <f>IF(OR(I92="",G92="",I92=0,G92=0),"",I92*2/G92)</f>
        <v/>
      </c>
      <c r="Z92" s="6" t="n">
        <v>1.03</v>
      </c>
      <c r="AD92" s="5" t="n">
        <v>80</v>
      </c>
      <c r="AF92" s="168">
        <f>(AD91*2/3+AD95*1/3)</f>
        <v/>
      </c>
      <c r="AI92" t="n">
        <v>0.18</v>
      </c>
      <c r="AJ92" s="119" t="n">
        <v>0.5265046296296296</v>
      </c>
      <c r="AL92" s="231" t="n">
        <v>175</v>
      </c>
      <c r="AM92" s="3" t="n">
        <v>180</v>
      </c>
      <c r="AP92" s="255">
        <f>360-AK92-AB92</f>
        <v/>
      </c>
      <c r="AQ92" s="257" t="n"/>
      <c r="AR92" s="13">
        <f>AVERAGE(AO90:AO96)</f>
        <v/>
      </c>
      <c r="AS92" s="15">
        <f>IF(ISNUMBER([2]HRT_SRT!R146),[2]HRT_SRT!R146,"")</f>
        <v/>
      </c>
      <c r="AT92" s="156">
        <f>(E92-W92)/E92</f>
        <v/>
      </c>
      <c r="AU92" s="155">
        <f>(I92-AF92)/I92</f>
        <v/>
      </c>
      <c r="AV92" s="155">
        <f>AG92/(AD92-AF92)</f>
        <v/>
      </c>
      <c r="AW92" s="155">
        <f>(G92-AM92)/G92</f>
        <v/>
      </c>
      <c r="AX92" s="254">
        <f>IF(AND(ISNUMBER(E92),ISNUMBER(W92)),E92-W92,"")</f>
        <v/>
      </c>
      <c r="AY92" s="254">
        <f>IF(AND(ISNUMBER(I92),ISNUMBER(AF92)),I92-AF92,"")</f>
        <v/>
      </c>
      <c r="AZ92" s="254">
        <f>IF(AND(ISNUMBER(AM92),ISNUMBER(G92)),G92-AM92,"")</f>
        <v/>
      </c>
      <c r="BA92" s="254">
        <f>IF(AND(ISNUMBER(AC92),ISNUMBER(AE92)),AC92-AE92,"")</f>
        <v/>
      </c>
      <c r="BB92" s="254">
        <f>IF(AND(ISNUMBER(AL92),ISNUMBER(AM92)),AL92-AM92,"")</f>
        <v/>
      </c>
      <c r="BC92" s="84">
        <f>IF(AND($E92&gt;0,$W92&gt;0),IF(($E92-$W92)/$E92&gt;0,($E92-$W92)/$E92,0),"")</f>
        <v/>
      </c>
      <c r="BD92" s="84">
        <f>IF(AND($I92&gt;0,$AF92&gt;=0),IF(($I92-$AF92)/$I92&gt;0,($I92-$AF92)/$I92,0),"")</f>
        <v/>
      </c>
      <c r="BE92" s="84">
        <f>IF(AND($AG92&gt;=0,$AD92&gt;=0,$AF92&gt;=0),IF($AG92/($AD92-$AF92)&gt;0,$AG92/($AD92-$AF92),0),"")</f>
        <v/>
      </c>
      <c r="BF92" s="84">
        <f>IF(AND($G92&gt;0,$AM92&gt;0),IF(($G92-$AM92)/$G92&gt;0,($G92-$AM92)/$G92,0),"")</f>
        <v/>
      </c>
      <c r="BG92" s="6">
        <f>IF((AD92-AF92)/(AJ92/60)&lt;=0,"",(AD92-AF92)/(AJ92/60))</f>
        <v/>
      </c>
      <c r="BH92" s="6">
        <f>IF(OR(AJ92=0,AP92=0,NOT(ISNUMBER(AD92)),NOT(ISNUMBER(AF92)),NOT(ISNUMBER(AJ92)),NOT(ISNUMBER(AP92))),"",
IFERROR(IF((AD92-AF92)/(AJ92/60)/(AP92/1000)&lt;=0,"",(AD92-AF92)/(AJ92/60)/(AP92/1000)),""))</f>
        <v/>
      </c>
    </row>
    <row r="93" ht="15.75" customHeight="1">
      <c r="B93" t="n">
        <v>-151</v>
      </c>
      <c r="D93" s="134" t="n">
        <v>45353</v>
      </c>
      <c r="E93" s="133" t="n"/>
      <c r="F93" s="3" t="n">
        <v>88</v>
      </c>
      <c r="G93" s="205">
        <f>IF(OR(S93="",S93=0),"",S93*2)</f>
        <v/>
      </c>
      <c r="K93" s="15">
        <f>AD93</f>
        <v/>
      </c>
      <c r="M93" s="10">
        <f>IF(OR(E93="",G93="",E93=0,G93=0),"",E93/G93)</f>
        <v/>
      </c>
      <c r="N93" s="9">
        <f>IF(OR(E93="",I93="",E93=0,I93=0),"",E93/(I93*2))</f>
        <v/>
      </c>
      <c r="O93" s="8">
        <f>IF(OR(I93="",G93="",I93=0,G93=0),"",I93*2/G93)</f>
        <v/>
      </c>
      <c r="Z93" s="6" t="n">
        <v>0.28</v>
      </c>
      <c r="AD93" s="5" t="n">
        <v>80</v>
      </c>
      <c r="AF93" s="168">
        <f>(AD92*1/2+AD95*1/2)</f>
        <v/>
      </c>
      <c r="AI93" t="n">
        <v>0.11</v>
      </c>
      <c r="AJ93" s="119" t="n">
        <v>0.5266203703703703</v>
      </c>
      <c r="AL93" s="231" t="n">
        <v>175</v>
      </c>
      <c r="AM93" s="3" t="n">
        <v>180</v>
      </c>
      <c r="AP93" s="255">
        <f>360-AK93-AB93</f>
        <v/>
      </c>
      <c r="AQ93" s="257" t="n"/>
      <c r="AR93" s="13">
        <f>AVERAGE(AO91:AO97)</f>
        <v/>
      </c>
      <c r="AS93" s="15">
        <f>IF(ISNUMBER([2]HRT_SRT!R147),[2]HRT_SRT!R147,"")</f>
        <v/>
      </c>
      <c r="AT93" s="156">
        <f>(E93-W93)/E93</f>
        <v/>
      </c>
      <c r="AU93" s="155">
        <f>(I93-AF93)/I93</f>
        <v/>
      </c>
      <c r="AV93" s="155">
        <f>AG93/(AD93-AF93)</f>
        <v/>
      </c>
      <c r="AW93" s="155">
        <f>(G93-AM93)/G93</f>
        <v/>
      </c>
      <c r="AX93" s="254">
        <f>IF(AND(ISNUMBER(E93),ISNUMBER(W93)),E93-W93,"")</f>
        <v/>
      </c>
      <c r="AY93" s="254">
        <f>IF(AND(ISNUMBER(I93),ISNUMBER(AF93)),I93-AF93,"")</f>
        <v/>
      </c>
      <c r="AZ93" s="254">
        <f>IF(AND(ISNUMBER(AM93),ISNUMBER(G93)),G93-AM93,"")</f>
        <v/>
      </c>
      <c r="BA93" s="254">
        <f>IF(AND(ISNUMBER(AC93),ISNUMBER(AE93)),AC93-AE93,"")</f>
        <v/>
      </c>
      <c r="BB93" s="254">
        <f>IF(AND(ISNUMBER(AL93),ISNUMBER(AM93)),AL93-AM93,"")</f>
        <v/>
      </c>
      <c r="BC93" s="84">
        <f>IF(AND($E93&gt;0,$W93&gt;0),IF(($E93-$W93)/$E93&gt;0,($E93-$W93)/$E93,0),"")</f>
        <v/>
      </c>
      <c r="BD93" s="84">
        <f>IF(AND($I93&gt;0,$AF93&gt;=0),IF(($I93-$AF93)/$I93&gt;0,($I93-$AF93)/$I93,0),"")</f>
        <v/>
      </c>
      <c r="BE93" s="84">
        <f>IF(AND($AG93&gt;=0,$AD93&gt;=0,$AF93&gt;=0),IF($AG93/($AD93-$AF93)&gt;0,$AG93/($AD93-$AF93),0),"")</f>
        <v/>
      </c>
      <c r="BF93" s="84">
        <f>IF(AND($G93&gt;0,$AM93&gt;0),IF(($G93-$AM93)/$G93&gt;0,($G93-$AM93)/$G93,0),"")</f>
        <v/>
      </c>
      <c r="BG93" s="6">
        <f>IF((AD93-AF93)/(AJ93/60)&lt;=0,"",(AD93-AF93)/(AJ93/60))</f>
        <v/>
      </c>
      <c r="BH93" s="6">
        <f>IF(OR(AJ93=0,AP93=0,NOT(ISNUMBER(AD93)),NOT(ISNUMBER(AF93)),NOT(ISNUMBER(AJ93)),NOT(ISNUMBER(AP93))),"",
IFERROR(IF((AD93-AF93)/(AJ93/60)/(AP93/1000)&lt;=0,"",(AD93-AF93)/(AJ93/60)/(AP93/1000)),""))</f>
        <v/>
      </c>
    </row>
    <row r="94" ht="15.75" customHeight="1">
      <c r="B94" t="n">
        <v>-150</v>
      </c>
      <c r="C94" s="12" t="inlineStr">
        <is>
          <t>saw high Orp peal when switch into AER PHASE</t>
        </is>
      </c>
      <c r="D94" s="134" t="n">
        <v>45354</v>
      </c>
      <c r="E94" s="133" t="n"/>
      <c r="F94" s="3" t="n">
        <v>89</v>
      </c>
      <c r="G94" s="205">
        <f>IF(OR(S94="",S94=0),"",S94*2)</f>
        <v/>
      </c>
      <c r="K94" s="15">
        <f>AD94</f>
        <v/>
      </c>
      <c r="M94" s="10">
        <f>IF(OR(E94="",G94="",E94=0,G94=0),"",E94/G94)</f>
        <v/>
      </c>
      <c r="N94" s="9">
        <f>IF(OR(E94="",I94="",E94=0,I94=0),"",E94/(I94*2))</f>
        <v/>
      </c>
      <c r="O94" s="8">
        <f>IF(OR(I94="",G94="",I94=0,G94=0),"",I94*2/G94)</f>
        <v/>
      </c>
      <c r="Z94" s="6" t="n">
        <v>0.26</v>
      </c>
      <c r="AD94" s="5" t="n">
        <v>80</v>
      </c>
      <c r="AF94" s="168">
        <f>(AD93*1/3+AD95*2/3)</f>
        <v/>
      </c>
      <c r="AI94" t="n">
        <v>0.23</v>
      </c>
      <c r="AJ94" s="119" t="n">
        <v>0.5206018518518518</v>
      </c>
      <c r="AL94" s="231" t="n">
        <v>175</v>
      </c>
      <c r="AM94" s="3" t="n">
        <v>180</v>
      </c>
      <c r="AO94" s="231" t="n">
        <v>27.2</v>
      </c>
      <c r="AP94" s="255">
        <f>360-AK94-AB94</f>
        <v/>
      </c>
      <c r="AQ94" s="257" t="n"/>
      <c r="AR94" s="13">
        <f>AVERAGE(AO92:AO98)</f>
        <v/>
      </c>
      <c r="AS94" s="15">
        <f>IF(ISNUMBER([2]HRT_SRT!R148),[2]HRT_SRT!R148,"")</f>
        <v/>
      </c>
      <c r="AT94" s="156">
        <f>(E94-W94)/E94</f>
        <v/>
      </c>
      <c r="AU94" s="155">
        <f>(I94-AF94)/I94</f>
        <v/>
      </c>
      <c r="AV94" s="155">
        <f>AG94/(AD94-AF94)</f>
        <v/>
      </c>
      <c r="AW94" s="155">
        <f>(G94-AM94)/G94</f>
        <v/>
      </c>
      <c r="AX94" s="254">
        <f>IF(AND(ISNUMBER(E94),ISNUMBER(W94)),E94-W94,"")</f>
        <v/>
      </c>
      <c r="AY94" s="254">
        <f>IF(AND(ISNUMBER(I94),ISNUMBER(AF94)),I94-AF94,"")</f>
        <v/>
      </c>
      <c r="AZ94" s="254">
        <f>IF(AND(ISNUMBER(AM94),ISNUMBER(G94)),G94-AM94,"")</f>
        <v/>
      </c>
      <c r="BA94" s="254">
        <f>IF(AND(ISNUMBER(AC94),ISNUMBER(AE94)),AC94-AE94,"")</f>
        <v/>
      </c>
      <c r="BB94" s="254">
        <f>IF(AND(ISNUMBER(AL94),ISNUMBER(AM94)),AL94-AM94,"")</f>
        <v/>
      </c>
      <c r="BC94" s="84">
        <f>IF(AND($E94&gt;0,$W94&gt;0),IF(($E94-$W94)/$E94&gt;0,($E94-$W94)/$E94,0),"")</f>
        <v/>
      </c>
      <c r="BD94" s="84">
        <f>IF(AND($I94&gt;0,$AF94&gt;=0),IF(($I94-$AF94)/$I94&gt;0,($I94-$AF94)/$I94,0),"")</f>
        <v/>
      </c>
      <c r="BE94" s="84">
        <f>IF(AND($AG94&gt;=0,$AD94&gt;=0,$AF94&gt;=0),IF($AG94/($AD94-$AF94)&gt;0,$AG94/($AD94-$AF94),0),"")</f>
        <v/>
      </c>
      <c r="BF94" s="84">
        <f>IF(AND($G94&gt;0,$AM94&gt;0),IF(($G94-$AM94)/$G94&gt;0,($G94-$AM94)/$G94,0),"")</f>
        <v/>
      </c>
      <c r="BG94" s="6">
        <f>IF((AD94-AF94)/(AJ94/60)&lt;=0,"",(AD94-AF94)/(AJ94/60))</f>
        <v/>
      </c>
      <c r="BH94" s="6">
        <f>IF(OR(AJ94=0,AP94=0,NOT(ISNUMBER(AD94)),NOT(ISNUMBER(AF94)),NOT(ISNUMBER(AJ94)),NOT(ISNUMBER(AP94))),"",
IFERROR(IF((AD94-AF94)/(AJ94/60)/(AP94/1000)&lt;=0,"",(AD94-AF94)/(AJ94/60)/(AP94/1000)),""))</f>
        <v/>
      </c>
    </row>
    <row r="95" ht="15.75" customHeight="1">
      <c r="B95" t="n">
        <v>-149</v>
      </c>
      <c r="D95" s="134" t="n">
        <v>45355</v>
      </c>
      <c r="E95" s="133" t="n"/>
      <c r="F95" s="3" t="n">
        <v>90</v>
      </c>
      <c r="G95" s="205">
        <f>IF(OR(S95="",S95=0),"",S95*2)</f>
        <v/>
      </c>
      <c r="I95" s="15">
        <f>(N95*18-H95*18)/9</f>
        <v/>
      </c>
      <c r="J95" s="9" t="n">
        <v>13.7</v>
      </c>
      <c r="K95" s="15">
        <f>AD95</f>
        <v/>
      </c>
      <c r="M95" s="10">
        <f>IF(OR(E95="",G95="",E95=0,G95=0),"",E95/G95)</f>
        <v/>
      </c>
      <c r="N95" s="9">
        <f>IF(OR(E95="",I95="",E95=0,I95=0),"",E95/(I95*2))</f>
        <v/>
      </c>
      <c r="O95" s="8">
        <f>IF(OR(I95="",G95="",I95=0,G95=0),"",I95*2/G95)</f>
        <v/>
      </c>
      <c r="P95" s="7" t="n">
        <v>26.6</v>
      </c>
      <c r="Q95" s="6" t="n">
        <v>142.039</v>
      </c>
      <c r="R95" s="6" t="n">
        <v>31.322</v>
      </c>
      <c r="S95" s="6">
        <f>O95*1.067</f>
        <v/>
      </c>
      <c r="T95" s="6">
        <f>P95*1.514</f>
        <v/>
      </c>
      <c r="U95" s="23">
        <f>P95*1.514+O95*1.067</f>
        <v/>
      </c>
      <c r="V95" s="6" t="n">
        <v>28.4</v>
      </c>
      <c r="Y95" s="6" t="n">
        <v>0.33</v>
      </c>
      <c r="Z95" s="6" t="n">
        <v>2.04</v>
      </c>
      <c r="AD95" s="5" t="n">
        <v>80</v>
      </c>
      <c r="AE95" s="7">
        <f>T95</f>
        <v/>
      </c>
      <c r="AF95" s="231">
        <f>5*4.91</f>
        <v/>
      </c>
      <c r="AH95" s="168" t="n">
        <v>0.001</v>
      </c>
      <c r="AI95" t="n">
        <v>0.1</v>
      </c>
      <c r="AJ95" s="119" t="n">
        <v>0.5208333333333334</v>
      </c>
      <c r="AL95" s="231" t="n">
        <v>175</v>
      </c>
      <c r="AM95" s="3" t="n">
        <v>180</v>
      </c>
      <c r="AO95" s="231" t="n">
        <v>24.1</v>
      </c>
      <c r="AP95" s="255">
        <f>360-AK95-AB95</f>
        <v/>
      </c>
      <c r="AQ95" s="257" t="n"/>
      <c r="AR95" s="13">
        <f>AVERAGE(AO93:AO99)</f>
        <v/>
      </c>
      <c r="AS95" s="15">
        <f>IF(ISNUMBER([2]HRT_SRT!R149),[2]HRT_SRT!R149,"")</f>
        <v/>
      </c>
      <c r="AT95" s="156">
        <f>(E95-W95)/E95</f>
        <v/>
      </c>
      <c r="AU95" s="155">
        <f>(I95-AF95)/I95</f>
        <v/>
      </c>
      <c r="AV95" s="155">
        <f>AG95/(AD95-AF95)</f>
        <v/>
      </c>
      <c r="AW95" s="155">
        <f>(G95-AM95)/G95</f>
        <v/>
      </c>
      <c r="AX95" s="254">
        <f>IF(AND(ISNUMBER(E95),ISNUMBER(W95)),E95-W95,"")</f>
        <v/>
      </c>
      <c r="AY95" s="254">
        <f>IF(AND(ISNUMBER(I95),ISNUMBER(AF95)),I95-AF95,"")</f>
        <v/>
      </c>
      <c r="AZ95" s="254">
        <f>IF(AND(ISNUMBER(AM95),ISNUMBER(G95)),G95-AM95,"")</f>
        <v/>
      </c>
      <c r="BA95" s="254">
        <f>IF(AND(ISNUMBER(AC95),ISNUMBER(AE95)),AC95-AE95,"")</f>
        <v/>
      </c>
      <c r="BB95" s="254">
        <f>IF(AND(ISNUMBER(AL95),ISNUMBER(AM95)),AL95-AM95,"")</f>
        <v/>
      </c>
      <c r="BC95" s="84">
        <f>IF(AND($E95&gt;0,$W95&gt;0),IF(($E95-$W95)/$E95&gt;0,($E95-$W95)/$E95,0),"")</f>
        <v/>
      </c>
      <c r="BD95" s="84">
        <f>IF(AND($I95&gt;0,$AF95&gt;=0),IF(($I95-$AF95)/$I95&gt;0,($I95-$AF95)/$I95,0),"")</f>
        <v/>
      </c>
      <c r="BE95" s="84">
        <f>IF(AND($AG95&gt;=0,$AD95&gt;=0,$AF95&gt;=0),IF($AG95/($AD95-$AF95)&gt;0,$AG95/($AD95-$AF95),0),"")</f>
        <v/>
      </c>
      <c r="BF95" s="84">
        <f>IF(AND($G95&gt;0,$AM95&gt;0),IF(($G95-$AM95)/$G95&gt;0,($G95-$AM95)/$G95,0),"")</f>
        <v/>
      </c>
      <c r="BG95" s="6">
        <f>IF((AD95-AF95)/(AJ95/60)&lt;=0,"",(AD95-AF95)/(AJ95/60))</f>
        <v/>
      </c>
      <c r="BH95" s="6">
        <f>IF(OR(AJ95=0,AP95=0,NOT(ISNUMBER(AD95)),NOT(ISNUMBER(AF95)),NOT(ISNUMBER(AJ95)),NOT(ISNUMBER(AP95))),"",
IFERROR(IF((AD95-AF95)/(AJ95/60)/(AP95/1000)&lt;=0,"",(AD95-AF95)/(AJ95/60)/(AP95/1000)),""))</f>
        <v/>
      </c>
    </row>
    <row r="96" ht="15.75" customHeight="1">
      <c r="B96" t="n">
        <v>-148</v>
      </c>
      <c r="C96" s="112" t="n"/>
      <c r="D96" s="134" t="n">
        <v>45356</v>
      </c>
      <c r="E96" s="133" t="n"/>
      <c r="F96" s="3" t="n">
        <v>91</v>
      </c>
      <c r="G96" s="205">
        <f>IF(OR(S96="",S96=0),"",S96*2)</f>
        <v/>
      </c>
      <c r="I96" s="15">
        <f>(N96*18-H96*18)/9</f>
        <v/>
      </c>
      <c r="J96" s="9" t="n">
        <v>8.880000000000001</v>
      </c>
      <c r="K96" s="15">
        <f>AD96</f>
        <v/>
      </c>
      <c r="M96" s="10">
        <f>IF(OR(E96="",G96="",E96=0,G96=0),"",E96/G96)</f>
        <v/>
      </c>
      <c r="N96" s="9">
        <f>IF(OR(E96="",I96="",E96=0,I96=0),"",E96/(I96*2))</f>
        <v/>
      </c>
      <c r="O96" s="8">
        <f>IF(OR(I96="",G96="",I96=0,G96=0),"",I96*2/G96)</f>
        <v/>
      </c>
      <c r="P96" s="7" t="n">
        <v>23.3</v>
      </c>
      <c r="Q96" s="6" t="n">
        <v>131.687</v>
      </c>
      <c r="R96" s="6" t="n">
        <v>29.137</v>
      </c>
      <c r="S96" s="6">
        <f>O96*1.067</f>
        <v/>
      </c>
      <c r="T96" s="6">
        <f>P96*1.514</f>
        <v/>
      </c>
      <c r="U96" s="23">
        <f>P96*1.514+O96*1.067</f>
        <v/>
      </c>
      <c r="V96" s="6" t="n">
        <v>27.1</v>
      </c>
      <c r="Y96" s="6">
        <f>0.88+0.495</f>
        <v/>
      </c>
      <c r="Z96" s="6" t="n">
        <v>3.66</v>
      </c>
      <c r="AD96" s="5" t="n">
        <v>80</v>
      </c>
      <c r="AE96" s="7">
        <f>T96</f>
        <v/>
      </c>
      <c r="AF96" s="231">
        <f>5*4.9</f>
        <v/>
      </c>
      <c r="AG96" s="231" t="n">
        <v>23.7</v>
      </c>
      <c r="AH96" s="168" t="n">
        <v>0.001</v>
      </c>
      <c r="AI96" s="231" t="n">
        <v>0.1</v>
      </c>
      <c r="AJ96" s="119" t="n">
        <v>0.5214120370370371</v>
      </c>
      <c r="AL96" s="231" t="n">
        <v>175</v>
      </c>
      <c r="AM96" s="3" t="n">
        <v>180</v>
      </c>
      <c r="AN96" s="4">
        <f>AE96</f>
        <v/>
      </c>
      <c r="AO96" s="231">
        <f>19.6</f>
        <v/>
      </c>
      <c r="AP96" s="255">
        <f>360-AK96-AB96</f>
        <v/>
      </c>
      <c r="AQ96" s="257" t="n">
        <v>3530.000000000018</v>
      </c>
      <c r="AR96" s="13">
        <f>AVERAGE(AO94:AO100)</f>
        <v/>
      </c>
      <c r="AS96" s="15">
        <f>IF(ISNUMBER([2]HRT_SRT!R150),[2]HRT_SRT!R150,"")</f>
        <v/>
      </c>
      <c r="AT96" s="156">
        <f>(E96-W96)/E96</f>
        <v/>
      </c>
      <c r="AU96" s="155">
        <f>(I96-AF96)/I96</f>
        <v/>
      </c>
      <c r="AV96" s="155">
        <f>AG96/(AD96-AF96)</f>
        <v/>
      </c>
      <c r="AW96" s="155">
        <f>(G96-AM96)/G96</f>
        <v/>
      </c>
      <c r="AX96" s="254">
        <f>IF(AND(ISNUMBER(E96),ISNUMBER(W96)),E96-W96,"")</f>
        <v/>
      </c>
      <c r="AY96" s="254">
        <f>IF(AND(ISNUMBER(I96),ISNUMBER(AF96)),I96-AF96,"")</f>
        <v/>
      </c>
      <c r="AZ96" s="254">
        <f>IF(AND(ISNUMBER(AM96),ISNUMBER(G96)),G96-AM96,"")</f>
        <v/>
      </c>
      <c r="BA96" s="254">
        <f>IF(AND(ISNUMBER(AC96),ISNUMBER(AE96)),AC96-AE96,"")</f>
        <v/>
      </c>
      <c r="BB96" s="254">
        <f>IF(AND(ISNUMBER(AL96),ISNUMBER(AM96)),AL96-AM96,"")</f>
        <v/>
      </c>
      <c r="BC96" s="84">
        <f>IF(AND($E96&gt;0,$W96&gt;0),IF(($E96-$W96)/$E96&gt;0,($E96-$W96)/$E96,0),"")</f>
        <v/>
      </c>
      <c r="BD96" s="84">
        <f>IF(AND($I96&gt;0,$AF96&gt;=0),IF(($I96-$AF96)/$I96&gt;0,($I96-$AF96)/$I96,0),"")</f>
        <v/>
      </c>
      <c r="BE96" s="84">
        <f>IF(AND($AG96&gt;=0,$AD96&gt;=0,$AF96&gt;=0),IF($AG96/($AD96-$AF96)&gt;0,$AG96/($AD96-$AF96),0),"")</f>
        <v/>
      </c>
      <c r="BF96" s="84">
        <f>IF(AND($G96&gt;0,$AM96&gt;0),IF(($G96-$AM96)/$G96&gt;0,($G96-$AM96)/$G96,0),"")</f>
        <v/>
      </c>
      <c r="BG96" s="6">
        <f>IF((AD96-AF96)/(AJ96/60)&lt;=0,"",(AD96-AF96)/(AJ96/60))</f>
        <v/>
      </c>
      <c r="BH96" s="6">
        <f>IF(OR(AJ96=0,AP96=0,NOT(ISNUMBER(AD96)),NOT(ISNUMBER(AF96)),NOT(ISNUMBER(AJ96)),NOT(ISNUMBER(AP96))),"",
IFERROR(IF((AD96-AF96)/(AJ96/60)/(AP96/1000)&lt;=0,"",(AD96-AF96)/(AJ96/60)/(AP96/1000)),""))</f>
        <v/>
      </c>
    </row>
    <row r="97" ht="15.75" customHeight="1">
      <c r="B97" t="n">
        <v>-147</v>
      </c>
      <c r="D97" s="134" t="n">
        <v>45357</v>
      </c>
      <c r="E97" s="133" t="n"/>
      <c r="F97" s="3" t="n">
        <v>92</v>
      </c>
      <c r="G97" s="205">
        <f>IF(OR(S97="",S97=0),"",S97*2)</f>
        <v/>
      </c>
      <c r="I97" s="15">
        <f>(N97*18-H97*18)/9</f>
        <v/>
      </c>
      <c r="J97" s="9" t="n">
        <v>10.1</v>
      </c>
      <c r="K97" s="15">
        <f>AD97</f>
        <v/>
      </c>
      <c r="M97" s="10">
        <f>IF(OR(E97="",G97="",E97=0,G97=0),"",E97/G97)</f>
        <v/>
      </c>
      <c r="N97" s="9">
        <f>IF(OR(E97="",I97="",E97=0,I97=0),"",E97/(I97*2))</f>
        <v/>
      </c>
      <c r="O97" s="8">
        <f>IF(OR(I97="",G97="",I97=0,G97=0),"",I97*2/G97)</f>
        <v/>
      </c>
      <c r="P97" s="7" t="n">
        <v>25</v>
      </c>
      <c r="Q97" s="6" t="n">
        <v>135.725</v>
      </c>
      <c r="R97" s="6" t="n">
        <v>29.841</v>
      </c>
      <c r="S97" s="6">
        <f>O97*1.067</f>
        <v/>
      </c>
      <c r="T97" s="6">
        <f>P97*1.514</f>
        <v/>
      </c>
      <c r="U97" s="23">
        <f>P97*1.514+O97*1.067</f>
        <v/>
      </c>
      <c r="V97" s="6" t="n">
        <v>30.3</v>
      </c>
      <c r="Y97" s="6">
        <f>0.105</f>
        <v/>
      </c>
      <c r="Z97" s="6" t="n">
        <v>1.42</v>
      </c>
      <c r="AD97" s="5" t="n">
        <v>80</v>
      </c>
      <c r="AE97" s="7">
        <f>T97</f>
        <v/>
      </c>
      <c r="AF97" s="231">
        <f>5*5.19</f>
        <v/>
      </c>
      <c r="AG97" s="231" t="n">
        <v>25.3</v>
      </c>
      <c r="AH97" s="231" t="n">
        <v>2.3</v>
      </c>
      <c r="AI97" t="n">
        <v>0.11</v>
      </c>
      <c r="AJ97" s="119" t="n">
        <v>0.5212962962962963</v>
      </c>
      <c r="AL97" s="231" t="n">
        <v>175</v>
      </c>
      <c r="AM97" s="3" t="n">
        <v>180</v>
      </c>
      <c r="AN97" s="4">
        <f>AE97</f>
        <v/>
      </c>
      <c r="AO97" s="231" t="n">
        <v>20.4</v>
      </c>
      <c r="AP97" s="255">
        <f>360-AK97-AB97</f>
        <v/>
      </c>
      <c r="AQ97" s="257" t="n"/>
      <c r="AR97" s="13">
        <f>AVERAGE(AO95:AO101)</f>
        <v/>
      </c>
      <c r="AS97" s="15">
        <f>IF(ISNUMBER([2]HRT_SRT!R151),[2]HRT_SRT!R151,"")</f>
        <v/>
      </c>
      <c r="AT97" s="156">
        <f>(E97-W97)/E97</f>
        <v/>
      </c>
      <c r="AU97" s="155">
        <f>(I97-AF97)/I97</f>
        <v/>
      </c>
      <c r="AV97" s="155">
        <f>AG97/(AD97-AF97)</f>
        <v/>
      </c>
      <c r="AW97" s="155">
        <f>(G97-AM97)/G97</f>
        <v/>
      </c>
      <c r="AX97" s="254">
        <f>IF(AND(ISNUMBER(E97),ISNUMBER(W97)),E97-W97,"")</f>
        <v/>
      </c>
      <c r="AY97" s="254">
        <f>IF(AND(ISNUMBER(I97),ISNUMBER(AF97)),I97-AF97,"")</f>
        <v/>
      </c>
      <c r="AZ97" s="254">
        <f>IF(AND(ISNUMBER(AM97),ISNUMBER(G97)),G97-AM97,"")</f>
        <v/>
      </c>
      <c r="BA97" s="254">
        <f>IF(AND(ISNUMBER(AC97),ISNUMBER(AE97)),AC97-AE97,"")</f>
        <v/>
      </c>
      <c r="BB97" s="254">
        <f>IF(AND(ISNUMBER(AL97),ISNUMBER(AM97)),AL97-AM97,"")</f>
        <v/>
      </c>
      <c r="BC97" s="84">
        <f>IF(AND($E97&gt;0,$W97&gt;0),IF(($E97-$W97)/$E97&gt;0,($E97-$W97)/$E97,0),"")</f>
        <v/>
      </c>
      <c r="BD97" s="84">
        <f>IF(AND($I97&gt;0,$AF97&gt;=0),IF(($I97-$AF97)/$I97&gt;0,($I97-$AF97)/$I97,0),"")</f>
        <v/>
      </c>
      <c r="BE97" s="84">
        <f>IF(AND($AG97&gt;=0,$AD97&gt;=0,$AF97&gt;=0),IF($AG97/($AD97-$AF97)&gt;0,$AG97/($AD97-$AF97),0),"")</f>
        <v/>
      </c>
      <c r="BF97" s="84">
        <f>IF(AND($G97&gt;0,$AM97&gt;0),IF(($G97-$AM97)/$G97&gt;0,($G97-$AM97)/$G97,0),"")</f>
        <v/>
      </c>
      <c r="BG97" s="6">
        <f>IF((AD97-AF97)/(AJ97/60)&lt;=0,"",(AD97-AF97)/(AJ97/60))</f>
        <v/>
      </c>
      <c r="BH97" s="6">
        <f>IF(OR(AJ97=0,AP97=0,NOT(ISNUMBER(AD97)),NOT(ISNUMBER(AF97)),NOT(ISNUMBER(AJ97)),NOT(ISNUMBER(AP97))),"",
IFERROR(IF((AD97-AF97)/(AJ97/60)/(AP97/1000)&lt;=0,"",(AD97-AF97)/(AJ97/60)/(AP97/1000)),""))</f>
        <v/>
      </c>
    </row>
    <row r="98" ht="15.75" customHeight="1">
      <c r="B98" t="n">
        <v>-146</v>
      </c>
      <c r="D98" s="134" t="n">
        <v>45358</v>
      </c>
      <c r="E98" s="133" t="n"/>
      <c r="F98" s="3" t="n">
        <v>93</v>
      </c>
      <c r="G98" s="205">
        <f>IF(OR(S98="",S98=0),"",S98*2)</f>
        <v/>
      </c>
      <c r="K98" s="15">
        <f>AD98</f>
        <v/>
      </c>
      <c r="M98" s="10">
        <f>IF(OR(E98="",G98="",E98=0,G98=0),"",E98/G98)</f>
        <v/>
      </c>
      <c r="N98" s="9">
        <f>IF(OR(E98="",I98="",E98=0,I98=0),"",E98/(I98*2))</f>
        <v/>
      </c>
      <c r="O98" s="8">
        <f>IF(OR(I98="",G98="",I98=0,G98=0),"",I98*2/G98)</f>
        <v/>
      </c>
      <c r="Z98" s="6" t="n">
        <v>8.359999999999999</v>
      </c>
      <c r="AD98" s="5" t="n">
        <v>80</v>
      </c>
      <c r="AF98" s="168">
        <f>(AD97+AD99)/2</f>
        <v/>
      </c>
      <c r="AI98" t="n">
        <v>2.32</v>
      </c>
      <c r="AJ98" s="183" t="n">
        <v>45358</v>
      </c>
      <c r="AL98" s="231" t="n">
        <v>175</v>
      </c>
      <c r="AM98" s="3" t="n">
        <v>180</v>
      </c>
      <c r="AP98" s="255">
        <f>360-AK98-AB98</f>
        <v/>
      </c>
      <c r="AQ98" s="257" t="n"/>
      <c r="AR98" s="13">
        <f>AVERAGE(AO96:AO102)</f>
        <v/>
      </c>
      <c r="AS98" s="15">
        <f>IF(ISNUMBER([2]HRT_SRT!R152),[2]HRT_SRT!R152,"")</f>
        <v/>
      </c>
      <c r="AT98" s="156">
        <f>(E98-W98)/E98</f>
        <v/>
      </c>
      <c r="AU98" s="155">
        <f>(I98-AF98)/I98</f>
        <v/>
      </c>
      <c r="AV98" s="155">
        <f>AG98/(AD98-AF98)</f>
        <v/>
      </c>
      <c r="AW98" s="155">
        <f>(G98-AM98)/G98</f>
        <v/>
      </c>
      <c r="AX98" s="254">
        <f>IF(AND(ISNUMBER(E98),ISNUMBER(W98)),E98-W98,"")</f>
        <v/>
      </c>
      <c r="AY98" s="254">
        <f>IF(AND(ISNUMBER(I98),ISNUMBER(AF98)),I98-AF98,"")</f>
        <v/>
      </c>
      <c r="AZ98" s="254">
        <f>IF(AND(ISNUMBER(AM98),ISNUMBER(G98)),G98-AM98,"")</f>
        <v/>
      </c>
      <c r="BA98" s="254">
        <f>IF(AND(ISNUMBER(AC98),ISNUMBER(AE98)),AC98-AE98,"")</f>
        <v/>
      </c>
      <c r="BB98" s="254">
        <f>IF(AND(ISNUMBER(AL98),ISNUMBER(AM98)),AL98-AM98,"")</f>
        <v/>
      </c>
      <c r="BC98" s="84">
        <f>IF(AND($E98&gt;0,$W98&gt;0),IF(($E98-$W98)/$E98&gt;0,($E98-$W98)/$E98,0),"")</f>
        <v/>
      </c>
      <c r="BD98" s="84">
        <f>IF(AND($I98&gt;0,$AF98&gt;=0),IF(($I98-$AF98)/$I98&gt;0,($I98-$AF98)/$I98,0),"")</f>
        <v/>
      </c>
      <c r="BE98" s="84">
        <f>IF(AND($AG98&gt;=0,$AD98&gt;=0,$AF98&gt;=0),IF($AG98/($AD98-$AF98)&gt;0,$AG98/($AD98-$AF98),0),"")</f>
        <v/>
      </c>
      <c r="BF98" s="84">
        <f>IF(AND($G98&gt;0,$AM98&gt;0),IF(($G98-$AM98)/$G98&gt;0,($G98-$AM98)/$G98,0),"")</f>
        <v/>
      </c>
      <c r="BG98" s="6">
        <f>IF((AD98-AF98)/(AJ98/60)&lt;=0,"",(AD98-AF98)/(AJ98/60))</f>
        <v/>
      </c>
      <c r="BH98" s="6">
        <f>IF(OR(AJ98=0,AP98=0,NOT(ISNUMBER(AD98)),NOT(ISNUMBER(AF98)),NOT(ISNUMBER(AJ98)),NOT(ISNUMBER(AP98))),"",
IFERROR(IF((AD98-AF98)/(AJ98/60)/(AP98/1000)&lt;=0,"",(AD98-AF98)/(AJ98/60)/(AP98/1000)),""))</f>
        <v/>
      </c>
    </row>
    <row r="99" ht="15.75" customHeight="1">
      <c r="B99" t="n">
        <v>-145</v>
      </c>
      <c r="C99" s="12" t="inlineStr">
        <is>
          <t>switch new bottle COD</t>
        </is>
      </c>
      <c r="D99" s="134" t="n">
        <v>45359</v>
      </c>
      <c r="E99" s="133" t="n"/>
      <c r="F99" s="3" t="n">
        <v>94</v>
      </c>
      <c r="G99" s="205">
        <f>IF(OR(S99="",S99=0),"",S99*2)</f>
        <v/>
      </c>
      <c r="I99" s="15">
        <f>(N99*18-H99*18)/9</f>
        <v/>
      </c>
      <c r="J99" s="9" t="n">
        <v>15.4</v>
      </c>
      <c r="K99" s="15">
        <f>AD99</f>
        <v/>
      </c>
      <c r="M99" s="10">
        <f>IF(OR(E99="",G99="",E99=0,G99=0),"",E99/G99)</f>
        <v/>
      </c>
      <c r="N99" s="9">
        <f>IF(OR(E99="",I99="",E99=0,I99=0),"",E99/(I99*2))</f>
        <v/>
      </c>
      <c r="O99" s="8">
        <f>IF(OR(I99="",G99="",I99=0,G99=0),"",I99*2/G99)</f>
        <v/>
      </c>
      <c r="P99" s="7" t="n">
        <v>27.4</v>
      </c>
      <c r="Q99" s="6" t="n">
        <v>136.729</v>
      </c>
      <c r="R99" s="6" t="n">
        <v>29.727</v>
      </c>
      <c r="S99" s="6">
        <f>O99*1.067</f>
        <v/>
      </c>
      <c r="T99" s="6">
        <f>P99*1.514</f>
        <v/>
      </c>
      <c r="U99" s="23">
        <f>P99*1.514+O99*1.067</f>
        <v/>
      </c>
      <c r="V99" s="6" t="n">
        <v>32.4</v>
      </c>
      <c r="Y99" s="6" t="n">
        <v>0.08500000000000001</v>
      </c>
      <c r="Z99" s="6" t="n">
        <v>0.28</v>
      </c>
      <c r="AD99" s="5" t="n">
        <v>80</v>
      </c>
      <c r="AE99" s="7">
        <f>T99</f>
        <v/>
      </c>
      <c r="AF99" s="231">
        <f>5*4.77</f>
        <v/>
      </c>
      <c r="AG99" s="231" t="n">
        <v>32.5</v>
      </c>
      <c r="AH99" s="168" t="n">
        <v>0.001</v>
      </c>
      <c r="AI99" t="n">
        <v>0.1</v>
      </c>
      <c r="AJ99" s="119" t="n">
        <v>0.5222222222222223</v>
      </c>
      <c r="AL99" s="231" t="n">
        <v>175</v>
      </c>
      <c r="AM99" s="3" t="n">
        <v>180</v>
      </c>
      <c r="AN99" s="4">
        <f>AE99</f>
        <v/>
      </c>
      <c r="AO99" s="231" t="n">
        <v>29</v>
      </c>
      <c r="AP99" s="255">
        <f>360-AK99-AB99</f>
        <v/>
      </c>
      <c r="AQ99" s="257" t="n"/>
      <c r="AR99" s="13">
        <f>AVERAGE(AO97:AO103)</f>
        <v/>
      </c>
      <c r="AS99" s="15">
        <f>IF(ISNUMBER([2]HRT_SRT!R153),[2]HRT_SRT!R153,"")</f>
        <v/>
      </c>
      <c r="AT99" s="156">
        <f>(E99-W99)/E99</f>
        <v/>
      </c>
      <c r="AU99" s="155">
        <f>(I99-AF99)/I99</f>
        <v/>
      </c>
      <c r="AV99" s="155">
        <f>AG99/(AD99-AF99)</f>
        <v/>
      </c>
      <c r="AW99" s="155">
        <f>(G99-AM99)/G99</f>
        <v/>
      </c>
      <c r="AX99" s="254">
        <f>IF(AND(ISNUMBER(E99),ISNUMBER(W99)),E99-W99,"")</f>
        <v/>
      </c>
      <c r="AY99" s="254">
        <f>IF(AND(ISNUMBER(I99),ISNUMBER(AF99)),I99-AF99,"")</f>
        <v/>
      </c>
      <c r="AZ99" s="254">
        <f>IF(AND(ISNUMBER(AM99),ISNUMBER(G99)),G99-AM99,"")</f>
        <v/>
      </c>
      <c r="BA99" s="254">
        <f>IF(AND(ISNUMBER(AC99),ISNUMBER(AE99)),AC99-AE99,"")</f>
        <v/>
      </c>
      <c r="BB99" s="254">
        <f>IF(AND(ISNUMBER(AL99),ISNUMBER(AM99)),AL99-AM99,"")</f>
        <v/>
      </c>
      <c r="BC99" s="123">
        <f>IF(AND($E99&gt;0,$W99&gt;0),IF(($E99-$W99)/$E99&gt;0,($E99-$W99)/$E99,0),"")</f>
        <v/>
      </c>
      <c r="BD99" s="123">
        <f>IF(AND($I99&gt;0,$AF99&gt;=0),IF(($I99-$AF99)/$I99&gt;0,($I99-$AF99)/$I99,0),"")</f>
        <v/>
      </c>
      <c r="BE99" s="123">
        <f>IF(AND($AG99&gt;=0,$AD99&gt;=0,$AF99&gt;=0),IF($AG99/($AD99-$AF99)&gt;0,$AG99/($AD99-$AF99),0),"")</f>
        <v/>
      </c>
      <c r="BF99" s="123">
        <f>IF(AND($G99&gt;0,$AM99&gt;0),IF(($G99-$AM99)/$G99&gt;0,($G99-$AM99)/$G99,0),"")</f>
        <v/>
      </c>
      <c r="BG99" s="6">
        <f>IF((AD99-AF99)/(AJ99/60)&lt;=0,"",(AD99-AF99)/(AJ99/60))</f>
        <v/>
      </c>
      <c r="BH99" s="6">
        <f>IF(OR(AJ99=0,AP99=0,NOT(ISNUMBER(AD99)),NOT(ISNUMBER(AF99)),NOT(ISNUMBER(AJ99)),NOT(ISNUMBER(AP99))),"",
IFERROR(IF((AD99-AF99)/(AJ99/60)/(AP99/1000)&lt;=0,"",(AD99-AF99)/(AJ99/60)/(AP99/1000)),""))</f>
        <v/>
      </c>
    </row>
    <row r="100" ht="15.75" customHeight="1">
      <c r="B100" t="n">
        <v>-144</v>
      </c>
      <c r="D100" s="134" t="n">
        <v>45360</v>
      </c>
      <c r="E100" s="133" t="n"/>
      <c r="F100" s="3" t="n">
        <v>95</v>
      </c>
      <c r="G100" s="205">
        <f>IF(OR(S100="",S100=0),"",S100*2)</f>
        <v/>
      </c>
      <c r="K100" s="15">
        <f>AD100</f>
        <v/>
      </c>
      <c r="M100" s="10">
        <f>IF(OR(E100="",G100="",E100=0,G100=0),"",E100/G100)</f>
        <v/>
      </c>
      <c r="N100" s="9">
        <f>IF(OR(E100="",I100="",E100=0,I100=0),"",E100/(I100*2))</f>
        <v/>
      </c>
      <c r="O100" s="8">
        <f>IF(OR(I100="",G100="",I100=0,G100=0),"",I100*2/G100)</f>
        <v/>
      </c>
      <c r="Z100" s="6" t="n">
        <v>0.28</v>
      </c>
      <c r="AD100" s="5" t="n">
        <v>80</v>
      </c>
      <c r="AF100" s="168">
        <f>(AD99*2/3+AD102*1/3)</f>
        <v/>
      </c>
      <c r="AI100" s="231" t="n">
        <v>0.11</v>
      </c>
      <c r="AJ100" s="119" t="n">
        <v>0.4012731481481481</v>
      </c>
      <c r="AL100" s="231" t="n">
        <v>175</v>
      </c>
      <c r="AM100" s="3" t="n">
        <v>180</v>
      </c>
      <c r="AP100" s="255">
        <f>360-AK100-AB100</f>
        <v/>
      </c>
      <c r="AQ100" s="257" t="n"/>
      <c r="AR100" s="13">
        <f>AVERAGE(AO98:AO104)</f>
        <v/>
      </c>
      <c r="AS100" s="15">
        <f>IF(ISNUMBER([2]HRT_SRT!R154),[2]HRT_SRT!R154,"")</f>
        <v/>
      </c>
      <c r="AT100" s="156">
        <f>(E100-W100)/E100</f>
        <v/>
      </c>
      <c r="AU100" s="155">
        <f>(I100-AF100)/I100</f>
        <v/>
      </c>
      <c r="AV100" s="155">
        <f>AG100/(AD100-AF100)</f>
        <v/>
      </c>
      <c r="AW100" s="155">
        <f>(G100-AM100)/G100</f>
        <v/>
      </c>
      <c r="AX100" s="254">
        <f>IF(AND(ISNUMBER(E100),ISNUMBER(W100)),E100-W100,"")</f>
        <v/>
      </c>
      <c r="AY100" s="254">
        <f>IF(AND(ISNUMBER(I100),ISNUMBER(AF100)),I100-AF100,"")</f>
        <v/>
      </c>
      <c r="AZ100" s="254">
        <f>IF(AND(ISNUMBER(AM100),ISNUMBER(G100)),G100-AM100,"")</f>
        <v/>
      </c>
      <c r="BA100" s="254">
        <f>IF(AND(ISNUMBER(AC100),ISNUMBER(AE100)),AC100-AE100,"")</f>
        <v/>
      </c>
      <c r="BB100" s="254">
        <f>IF(AND(ISNUMBER(AL100),ISNUMBER(AM100)),AL100-AM100,"")</f>
        <v/>
      </c>
      <c r="BC100" s="123">
        <f>IF(AND($E100&gt;0,$W100&gt;0),IF(($E100-$W100)/$E100&gt;0,($E100-$W100)/$E100,0),"")</f>
        <v/>
      </c>
      <c r="BD100" s="123">
        <f>IF(AND($I100&gt;0,$AF100&gt;=0),IF(($I100-$AF100)/$I100&gt;0,($I100-$AF100)/$I100,0),"")</f>
        <v/>
      </c>
      <c r="BE100" s="123">
        <f>IF(AND($AG100&gt;=0,$AD100&gt;=0,$AF100&gt;=0),IF($AG100/($AD100-$AF100)&gt;0,$AG100/($AD100-$AF100),0),"")</f>
        <v/>
      </c>
      <c r="BF100" s="123">
        <f>IF(AND($G100&gt;0,$AM100&gt;0),IF(($G100-$AM100)/$G100&gt;0,($G100-$AM100)/$G100,0),"")</f>
        <v/>
      </c>
      <c r="BG100" s="6">
        <f>IF((AD100-AF100)/(AJ100/60)&lt;=0,"",(AD100-AF100)/(AJ100/60))</f>
        <v/>
      </c>
      <c r="BH100" s="6">
        <f>IF(OR(AJ100=0,AP100=0,NOT(ISNUMBER(AD100)),NOT(ISNUMBER(AF100)),NOT(ISNUMBER(AJ100)),NOT(ISNUMBER(AP100))),"",
IFERROR(IF((AD100-AF100)/(AJ100/60)/(AP100/1000)&lt;=0,"",(AD100-AF100)/(AJ100/60)/(AP100/1000)),""))</f>
        <v/>
      </c>
    </row>
    <row r="101" ht="15.75" customHeight="1">
      <c r="B101" t="n">
        <v>-143</v>
      </c>
      <c r="C101" s="12" t="inlineStr">
        <is>
          <t>day light saving, clock time -1</t>
        </is>
      </c>
      <c r="D101" s="134" t="n">
        <v>45361</v>
      </c>
      <c r="E101" s="133" t="n"/>
      <c r="F101" s="3" t="n">
        <v>96</v>
      </c>
      <c r="G101" s="205">
        <f>IF(OR(S101="",S101=0),"",S101*2)</f>
        <v/>
      </c>
      <c r="K101" s="15">
        <f>AD101</f>
        <v/>
      </c>
      <c r="M101" s="10">
        <f>IF(OR(E101="",G101="",E101=0,G101=0),"",E101/G101)</f>
        <v/>
      </c>
      <c r="N101" s="9">
        <f>IF(OR(E101="",I101="",E101=0,I101=0),"",E101/(I101*2))</f>
        <v/>
      </c>
      <c r="O101" s="8">
        <f>IF(OR(I101="",G101="",I101=0,G101=0),"",I101*2/G101)</f>
        <v/>
      </c>
      <c r="Z101" s="6" t="n">
        <v>0.29</v>
      </c>
      <c r="AD101" s="5" t="n">
        <v>80</v>
      </c>
      <c r="AF101" s="168">
        <f>(AD100*1/3+AD102*2/3)</f>
        <v/>
      </c>
      <c r="AI101" s="231" t="n">
        <v>0.12</v>
      </c>
      <c r="AJ101" s="119" t="n">
        <v>0.3953703703703704</v>
      </c>
      <c r="AL101" s="231" t="n">
        <v>175</v>
      </c>
      <c r="AM101" s="3" t="n">
        <v>180</v>
      </c>
      <c r="AP101" s="255">
        <f>360-AK101-AB101</f>
        <v/>
      </c>
      <c r="AQ101" s="257" t="n"/>
      <c r="AR101" s="13">
        <f>AVERAGE(AO99:AO105)</f>
        <v/>
      </c>
      <c r="AS101" s="15">
        <f>IF(ISNUMBER([2]HRT_SRT!R155),[2]HRT_SRT!R155,"")</f>
        <v/>
      </c>
      <c r="AT101" s="156">
        <f>(E101-W101)/E101</f>
        <v/>
      </c>
      <c r="AU101" s="155">
        <f>(I101-AF101)/I101</f>
        <v/>
      </c>
      <c r="AV101" s="155">
        <f>AG101/(AD101-AF101)</f>
        <v/>
      </c>
      <c r="AW101" s="155">
        <f>(G101-AM101)/G101</f>
        <v/>
      </c>
      <c r="AX101" s="254">
        <f>IF(AND(ISNUMBER(E101),ISNUMBER(W101)),E101-W101,"")</f>
        <v/>
      </c>
      <c r="AY101" s="254">
        <f>IF(AND(ISNUMBER(I101),ISNUMBER(AF101)),I101-AF101,"")</f>
        <v/>
      </c>
      <c r="AZ101" s="254">
        <f>IF(AND(ISNUMBER(AM101),ISNUMBER(G101)),G101-AM101,"")</f>
        <v/>
      </c>
      <c r="BA101" s="254">
        <f>IF(AND(ISNUMBER(AC101),ISNUMBER(AE101)),AC101-AE101,"")</f>
        <v/>
      </c>
      <c r="BB101" s="254">
        <f>IF(AND(ISNUMBER(AL101),ISNUMBER(AM101)),AL101-AM101,"")</f>
        <v/>
      </c>
      <c r="BC101" s="123">
        <f>IF(AND($E101&gt;0,$W101&gt;0),IF(($E101-$W101)/$E101&gt;0,($E101-$W101)/$E101,0),"")</f>
        <v/>
      </c>
      <c r="BD101" s="123">
        <f>IF(AND($I101&gt;0,$AF101&gt;=0),IF(($I101-$AF101)/$I101&gt;0,($I101-$AF101)/$I101,0),"")</f>
        <v/>
      </c>
      <c r="BE101" s="123">
        <f>IF(AND($AG101&gt;=0,$AD101&gt;=0,$AF101&gt;=0),IF($AG101/($AD101-$AF101)&gt;0,$AG101/($AD101-$AF101),0),"")</f>
        <v/>
      </c>
      <c r="BF101" s="123">
        <f>IF(AND($G101&gt;0,$AM101&gt;0),IF(($G101-$AM101)/$G101&gt;0,($G101-$AM101)/$G101,0),"")</f>
        <v/>
      </c>
      <c r="BG101" s="6">
        <f>IF((AD101-AF101)/(AJ101/60)&lt;=0,"",(AD101-AF101)/(AJ101/60))</f>
        <v/>
      </c>
      <c r="BH101" s="6">
        <f>IF(OR(AJ101=0,AP101=0,NOT(ISNUMBER(AD101)),NOT(ISNUMBER(AF101)),NOT(ISNUMBER(AJ101)),NOT(ISNUMBER(AP101))),"",
IFERROR(IF((AD101-AF101)/(AJ101/60)/(AP101/1000)&lt;=0,"",(AD101-AF101)/(AJ101/60)/(AP101/1000)),""))</f>
        <v/>
      </c>
    </row>
    <row r="102" ht="15.75" customHeight="1">
      <c r="B102" t="n">
        <v>-142</v>
      </c>
      <c r="C102" s="25" t="inlineStr">
        <is>
          <t>Added a bunch of stored biomass</t>
        </is>
      </c>
      <c r="D102" s="134" t="n">
        <v>45362</v>
      </c>
      <c r="E102" s="133" t="n"/>
      <c r="F102" s="3" t="n">
        <v>97</v>
      </c>
      <c r="G102" s="205">
        <f>IF(OR(S102="",S102=0),"",S102*2)</f>
        <v/>
      </c>
      <c r="I102" s="9">
        <f>#REF!</f>
        <v/>
      </c>
      <c r="K102" s="15">
        <f>AD102</f>
        <v/>
      </c>
      <c r="M102" s="10">
        <f>IF(OR(E102="",G102="",E102=0,G102=0),"",E102/G102)</f>
        <v/>
      </c>
      <c r="N102" s="9">
        <f>IF(OR(E102="",I102="",E102=0,I102=0),"",E102/(I102*2))</f>
        <v/>
      </c>
      <c r="O102" s="8">
        <f>IF(OR(I102="",G102="",I102=0,G102=0),"",I102*2/G102)</f>
        <v/>
      </c>
      <c r="P102" s="7" t="n">
        <v>29.2</v>
      </c>
      <c r="V102" s="6" t="n">
        <v>33.1</v>
      </c>
      <c r="Z102" s="6" t="n">
        <v>1.09</v>
      </c>
      <c r="AD102" s="5" t="n">
        <v>80</v>
      </c>
      <c r="AE102" s="7">
        <f>T102</f>
        <v/>
      </c>
      <c r="AF102" s="231">
        <f>5*5.16</f>
        <v/>
      </c>
      <c r="AG102" s="231" t="n">
        <v>32.8</v>
      </c>
      <c r="AH102" s="168" t="n">
        <v>0.001</v>
      </c>
      <c r="AI102" s="231" t="n">
        <v>0.14</v>
      </c>
      <c r="AJ102" s="119" t="n">
        <v>0.3991898148148148</v>
      </c>
      <c r="AL102" s="231" t="n">
        <v>175</v>
      </c>
      <c r="AM102" s="3" t="n">
        <v>180</v>
      </c>
      <c r="AN102" s="4">
        <f>AE102</f>
        <v/>
      </c>
      <c r="AO102" s="231" t="n">
        <v>30.5</v>
      </c>
      <c r="AP102" s="255">
        <f>360-AK102-AB102</f>
        <v/>
      </c>
      <c r="AQ102" s="257" t="n"/>
      <c r="AR102" s="13">
        <f>AVERAGE(AO100:AO106)</f>
        <v/>
      </c>
      <c r="AS102" s="15">
        <f>IF(ISNUMBER([2]HRT_SRT!R156),[2]HRT_SRT!R156,"")</f>
        <v/>
      </c>
      <c r="AT102" s="156">
        <f>(E102-W102)/E102</f>
        <v/>
      </c>
      <c r="AU102" s="155">
        <f>(I102-AF102)/I102</f>
        <v/>
      </c>
      <c r="AV102" s="155">
        <f>AG102/(AD102-AF102)</f>
        <v/>
      </c>
      <c r="AW102" s="155">
        <f>(G102-AM102)/G102</f>
        <v/>
      </c>
      <c r="AX102" s="254">
        <f>IF(AND(ISNUMBER(E102),ISNUMBER(W102)),E102-W102,"")</f>
        <v/>
      </c>
      <c r="AY102" s="254">
        <f>IF(AND(ISNUMBER(I102),ISNUMBER(AF102)),I102-AF102,"")</f>
        <v/>
      </c>
      <c r="AZ102" s="254">
        <f>IF(AND(ISNUMBER(AM102),ISNUMBER(G102)),G102-AM102,"")</f>
        <v/>
      </c>
      <c r="BA102" s="254">
        <f>IF(AND(ISNUMBER(AC102),ISNUMBER(AE102)),AC102-AE102,"")</f>
        <v/>
      </c>
      <c r="BB102" s="254">
        <f>IF(AND(ISNUMBER(AL102),ISNUMBER(AM102)),AL102-AM102,"")</f>
        <v/>
      </c>
      <c r="BC102" s="123">
        <f>IF(AND($E102&gt;0,$W102&gt;0),IF(($E102-$W102)/$E102&gt;0,($E102-$W102)/$E102,0),"")</f>
        <v/>
      </c>
      <c r="BD102" s="123">
        <f>IF(AND($I102&gt;0,$AF102&gt;=0),IF(($I102-$AF102)/$I102&gt;0,($I102-$AF102)/$I102,0),"")</f>
        <v/>
      </c>
      <c r="BE102" s="123">
        <f>IF(AND($AG102&gt;=0,$AD102&gt;=0,$AF102&gt;=0),IF($AG102/($AD102-$AF102)&gt;0,$AG102/($AD102-$AF102),0),"")</f>
        <v/>
      </c>
      <c r="BF102" s="123">
        <f>IF(AND($G102&gt;0,$AM102&gt;0),IF(($G102-$AM102)/$G102&gt;0,($G102-$AM102)/$G102,0),"")</f>
        <v/>
      </c>
      <c r="BG102" s="6">
        <f>IF((AD102-AF102)/(AJ102/60)&lt;=0,"",(AD102-AF102)/(AJ102/60))</f>
        <v/>
      </c>
      <c r="BH102" s="6">
        <f>IF(OR(AJ102=0,AP102=0,NOT(ISNUMBER(AD102)),NOT(ISNUMBER(AF102)),NOT(ISNUMBER(AJ102)),NOT(ISNUMBER(AP102))),"",
IFERROR(IF((AD102-AF102)/(AJ102/60)/(AP102/1000)&lt;=0,"",(AD102-AF102)/(AJ102/60)/(AP102/1000)),""))</f>
        <v/>
      </c>
    </row>
    <row r="103" ht="15.75" customHeight="1">
      <c r="B103" t="n">
        <v>-141</v>
      </c>
      <c r="C103" s="12" t="inlineStr">
        <is>
          <t>was 9:30</t>
        </is>
      </c>
      <c r="D103" s="134" t="n">
        <v>45363</v>
      </c>
      <c r="E103" s="133" t="n"/>
      <c r="F103" s="3" t="n">
        <v>98</v>
      </c>
      <c r="G103" s="205">
        <f>IF(OR(S103="",S103=0),"",S103*2)</f>
        <v/>
      </c>
      <c r="I103" s="15">
        <f>(N103*18-H103*18)/9</f>
        <v/>
      </c>
      <c r="J103" s="9" t="n">
        <v>11</v>
      </c>
      <c r="K103" s="15">
        <f>AD103</f>
        <v/>
      </c>
      <c r="M103" s="10">
        <f>IF(OR(E103="",G103="",E103=0,G103=0),"",E103/G103)</f>
        <v/>
      </c>
      <c r="N103" s="9">
        <f>IF(OR(E103="",I103="",E103=0,I103=0),"",E103/(I103*2))</f>
        <v/>
      </c>
      <c r="O103" s="8">
        <f>IF(OR(I103="",G103="",I103=0,G103=0),"",I103*2/G103)</f>
        <v/>
      </c>
      <c r="P103" s="7" t="n">
        <v>23.8</v>
      </c>
      <c r="V103" s="6" t="n">
        <v>26.2</v>
      </c>
      <c r="Z103" s="6" t="n">
        <v>1.37</v>
      </c>
      <c r="AD103" s="5" t="n">
        <v>80</v>
      </c>
      <c r="AE103" s="7">
        <f>T103</f>
        <v/>
      </c>
      <c r="AF103" s="231">
        <f>5*5.37</f>
        <v/>
      </c>
      <c r="AG103" s="231" t="n">
        <v>23.8</v>
      </c>
      <c r="AI103" s="231" t="n">
        <v>0.08</v>
      </c>
      <c r="AJ103" s="119" t="n">
        <v>0.3988425925925926</v>
      </c>
      <c r="AL103" s="231" t="n">
        <v>175</v>
      </c>
      <c r="AM103" s="3" t="n">
        <v>180</v>
      </c>
      <c r="AN103" s="4">
        <f>AE103</f>
        <v/>
      </c>
      <c r="AO103" s="231" t="n">
        <v>19.4</v>
      </c>
      <c r="AP103" s="255">
        <f>360-AK103-AB103</f>
        <v/>
      </c>
      <c r="AQ103" s="257" t="n">
        <v>4589.999999999964</v>
      </c>
      <c r="AR103" s="13">
        <f>AVERAGE(AO101:AO107)</f>
        <v/>
      </c>
      <c r="AS103" s="15">
        <f>IF(ISNUMBER([2]HRT_SRT!R157),[2]HRT_SRT!R157,"")</f>
        <v/>
      </c>
      <c r="AT103" s="156">
        <f>(E103-W103)/E103</f>
        <v/>
      </c>
      <c r="AU103" s="155">
        <f>(I103-AF103)/I103</f>
        <v/>
      </c>
      <c r="AV103" s="155">
        <f>AG103/(AD103-AF103)</f>
        <v/>
      </c>
      <c r="AW103" s="155">
        <f>(G103-AM103)/G103</f>
        <v/>
      </c>
      <c r="AX103" s="254">
        <f>IF(AND(ISNUMBER(E103),ISNUMBER(W103)),E103-W103,"")</f>
        <v/>
      </c>
      <c r="AY103" s="254">
        <f>IF(AND(ISNUMBER(I103),ISNUMBER(AF103)),I103-AF103,"")</f>
        <v/>
      </c>
      <c r="AZ103" s="254">
        <f>IF(AND(ISNUMBER(AM103),ISNUMBER(G103)),G103-AM103,"")</f>
        <v/>
      </c>
      <c r="BA103" s="254">
        <f>IF(AND(ISNUMBER(AC103),ISNUMBER(AE103)),AC103-AE103,"")</f>
        <v/>
      </c>
      <c r="BB103" s="254">
        <f>IF(AND(ISNUMBER(AL103),ISNUMBER(AM103)),AL103-AM103,"")</f>
        <v/>
      </c>
      <c r="BC103" s="123">
        <f>IF(AND($E103&gt;0,$W103&gt;0),IF(($E103-$W103)/$E103&gt;0,($E103-$W103)/$E103,0),"")</f>
        <v/>
      </c>
      <c r="BD103" s="123">
        <f>IF(AND($I103&gt;0,$AF103&gt;=0),IF(($I103-$AF103)/$I103&gt;0,($I103-$AF103)/$I103,0),"")</f>
        <v/>
      </c>
      <c r="BE103" s="123">
        <f>IF(AND($AG103&gt;=0,$AD103&gt;=0,$AF103&gt;=0),IF($AG103/($AD103-$AF103)&gt;0,$AG103/($AD103-$AF103),0),"")</f>
        <v/>
      </c>
      <c r="BF103" s="123">
        <f>IF(AND($G103&gt;0,$AM103&gt;0),IF(($G103-$AM103)/$G103&gt;0,($G103-$AM103)/$G103,0),"")</f>
        <v/>
      </c>
      <c r="BG103" s="6">
        <f>IF((AD103-AF103)/(AJ103/60)&lt;=0,"",(AD103-AF103)/(AJ103/60))</f>
        <v/>
      </c>
      <c r="BH103" s="6">
        <f>IF(OR(AJ103=0,AP103=0,NOT(ISNUMBER(AD103)),NOT(ISNUMBER(AF103)),NOT(ISNUMBER(AJ103)),NOT(ISNUMBER(AP103))),"",
IFERROR(IF((AD103-AF103)/(AJ103/60)/(AP103/1000)&lt;=0,"",(AD103-AF103)/(AJ103/60)/(AP103/1000)),""))</f>
        <v/>
      </c>
    </row>
    <row r="104" ht="15.75" customHeight="1">
      <c r="B104" t="n">
        <v>-140</v>
      </c>
      <c r="D104" s="134" t="n">
        <v>45364</v>
      </c>
      <c r="E104" s="133" t="n"/>
      <c r="F104" s="3" t="n">
        <v>99</v>
      </c>
      <c r="G104" s="205">
        <f>IF(OR(S104="",S104=0),"",S104*2)</f>
        <v/>
      </c>
      <c r="I104" s="124" t="n">
        <v>25.6</v>
      </c>
      <c r="K104" s="15">
        <f>AD104</f>
        <v/>
      </c>
      <c r="M104" s="10">
        <f>IF(OR(E104="",G104="",E104=0,G104=0),"",E104/G104)</f>
        <v/>
      </c>
      <c r="N104" s="9">
        <f>IF(OR(E104="",I104="",E104=0,I104=0),"",E104/(I104*2))</f>
        <v/>
      </c>
      <c r="O104" s="8">
        <f>IF(OR(I104="",G104="",I104=0,G104=0),"",I104*2/G104)</f>
        <v/>
      </c>
      <c r="Z104" s="6" t="n">
        <v>0.36</v>
      </c>
      <c r="AD104" s="5" t="n">
        <v>80</v>
      </c>
      <c r="AF104" s="168">
        <f>(AD103*2/3+AD106*1/3)</f>
        <v/>
      </c>
      <c r="AI104" s="231" t="n">
        <v>8.76</v>
      </c>
      <c r="AJ104" s="119" t="n">
        <v>0.5741898148148148</v>
      </c>
      <c r="AL104" s="231" t="n">
        <v>175</v>
      </c>
      <c r="AM104" s="3" t="n">
        <v>180</v>
      </c>
      <c r="AO104" s="231" t="n">
        <v>19.3</v>
      </c>
      <c r="AP104" s="255">
        <f>360-AK104-AB104</f>
        <v/>
      </c>
      <c r="AQ104" s="165" t="n"/>
      <c r="AR104" s="13">
        <f>AVERAGE(AO102:AO108)</f>
        <v/>
      </c>
      <c r="AS104" s="15">
        <f>IF(ISNUMBER([2]HRT_SRT!R158),[2]HRT_SRT!R158,"")</f>
        <v/>
      </c>
      <c r="AT104" s="156">
        <f>(E104-W104)/E104</f>
        <v/>
      </c>
      <c r="AU104" s="155">
        <f>(I104-AF104)/I104</f>
        <v/>
      </c>
      <c r="AV104" s="155">
        <f>AG104/(AD104-AF104)</f>
        <v/>
      </c>
      <c r="AW104" s="155">
        <f>(G104-AM104)/G104</f>
        <v/>
      </c>
      <c r="AX104" s="254">
        <f>IF(AND(ISNUMBER(E104),ISNUMBER(W104)),E104-W104,"")</f>
        <v/>
      </c>
      <c r="AY104" s="254">
        <f>IF(AND(ISNUMBER(I104),ISNUMBER(AF104)),I104-AF104,"")</f>
        <v/>
      </c>
      <c r="AZ104" s="254">
        <f>IF(AND(ISNUMBER(AM104),ISNUMBER(G104)),G104-AM104,"")</f>
        <v/>
      </c>
      <c r="BA104" s="254">
        <f>IF(AND(ISNUMBER(AC104),ISNUMBER(AE104)),AC104-AE104,"")</f>
        <v/>
      </c>
      <c r="BB104" s="254">
        <f>IF(AND(ISNUMBER(AL104),ISNUMBER(AM104)),AL104-AM104,"")</f>
        <v/>
      </c>
      <c r="BC104" s="123">
        <f>IF(AND($E104&gt;0,$W104&gt;0),IF(($E104-$W104)/$E104&gt;0,($E104-$W104)/$E104,0),"")</f>
        <v/>
      </c>
      <c r="BD104" s="123">
        <f>IF(AND($I104&gt;0,$AF104&gt;=0),IF(($I104-$AF104)/$I104&gt;0,($I104-$AF104)/$I104,0),"")</f>
        <v/>
      </c>
      <c r="BE104" s="123">
        <f>IF(AND($AG104&gt;=0,$AD104&gt;=0,$AF104&gt;=0),IF($AG104/($AD104-$AF104)&gt;0,$AG104/($AD104-$AF104),0),"")</f>
        <v/>
      </c>
      <c r="BF104" s="123">
        <f>IF(AND($G104&gt;0,$AM104&gt;0),IF(($G104-$AM104)/$G104&gt;0,($G104-$AM104)/$G104,0),"")</f>
        <v/>
      </c>
      <c r="BG104" s="6">
        <f>IF((AD104-AF104)/(AJ104/60)&lt;=0,"",(AD104-AF104)/(AJ104/60))</f>
        <v/>
      </c>
      <c r="BH104" s="6">
        <f>IF(OR(AJ104=0,AP104=0,NOT(ISNUMBER(AD104)),NOT(ISNUMBER(AF104)),NOT(ISNUMBER(AJ104)),NOT(ISNUMBER(AP104))),"",
IFERROR(IF((AD104-AF104)/(AJ104/60)/(AP104/1000)&lt;=0,"",(AD104-AF104)/(AJ104/60)/(AP104/1000)),""))</f>
        <v/>
      </c>
    </row>
    <row r="105" ht="15.75" customHeight="1">
      <c r="B105" t="n">
        <v>-139</v>
      </c>
      <c r="D105" s="134" t="n">
        <v>45365</v>
      </c>
      <c r="E105" s="133" t="n"/>
      <c r="F105" s="3" t="n">
        <v>100</v>
      </c>
      <c r="G105" s="205">
        <f>IF(OR(S105="",S105=0),"",S105*2)</f>
        <v/>
      </c>
      <c r="H105" s="2" t="n"/>
      <c r="I105" s="2" t="n"/>
      <c r="J105" s="2" t="n"/>
      <c r="K105" s="15">
        <f>AD105</f>
        <v/>
      </c>
      <c r="M105" s="10">
        <f>IF(OR(E105="",G105="",E105=0,G105=0),"",E105/G105)</f>
        <v/>
      </c>
      <c r="N105" s="9">
        <f>IF(OR(E105="",I105="",E105=0,I105=0),"",E105/(I105*2))</f>
        <v/>
      </c>
      <c r="O105" s="8">
        <f>IF(OR(I105="",G105="",I105=0,G105=0),"",I105*2/G105)</f>
        <v/>
      </c>
      <c r="Q105" s="6" t="n">
        <v>137.348</v>
      </c>
      <c r="R105" s="6" t="n">
        <v>31.317</v>
      </c>
      <c r="S105" s="6">
        <f>O105*1.067</f>
        <v/>
      </c>
      <c r="T105" s="6">
        <f>P105*1.514</f>
        <v/>
      </c>
      <c r="U105" s="23">
        <f>P105*1.514+O105*1.067</f>
        <v/>
      </c>
      <c r="Y105" s="6">
        <f>2.104+1.017</f>
        <v/>
      </c>
      <c r="Z105" s="6" t="n">
        <v>0.43</v>
      </c>
      <c r="AD105" s="5" t="n">
        <v>80</v>
      </c>
      <c r="AF105" s="168">
        <f>(AD104*1/3+AD106*2/3)</f>
        <v/>
      </c>
      <c r="AI105" s="231" t="n">
        <v>3.45</v>
      </c>
      <c r="AJ105" s="119" t="n">
        <v>0.5700231481481481</v>
      </c>
      <c r="AL105" s="231" t="n">
        <v>175</v>
      </c>
      <c r="AM105" s="3" t="n">
        <v>180</v>
      </c>
      <c r="AP105" s="255">
        <f>360-AK105-AB105</f>
        <v/>
      </c>
      <c r="AQ105" s="165" t="n"/>
      <c r="AR105" s="13">
        <f>AVERAGE(AO103:AO109)</f>
        <v/>
      </c>
      <c r="AS105" s="15">
        <f>IF(ISNUMBER([2]HRT_SRT!R159),[2]HRT_SRT!R159,"")</f>
        <v/>
      </c>
      <c r="AT105" s="156">
        <f>(E105-W105)/E105</f>
        <v/>
      </c>
      <c r="AU105" s="155">
        <f>(I105-AF105)/I105</f>
        <v/>
      </c>
      <c r="AV105" s="155">
        <f>AG105/(AD105-AF105)</f>
        <v/>
      </c>
      <c r="AW105" s="155">
        <f>(G105-AM105)/G105</f>
        <v/>
      </c>
      <c r="AX105" s="254">
        <f>IF(AND(ISNUMBER(E105),ISNUMBER(W105)),E105-W105,"")</f>
        <v/>
      </c>
      <c r="AY105" s="254">
        <f>IF(AND(ISNUMBER(I105),ISNUMBER(AF105)),I105-AF105,"")</f>
        <v/>
      </c>
      <c r="AZ105" s="254">
        <f>IF(AND(ISNUMBER(AM105),ISNUMBER(G105)),G105-AM105,"")</f>
        <v/>
      </c>
      <c r="BA105" s="254">
        <f>IF(AND(ISNUMBER(AC105),ISNUMBER(AE105)),AC105-AE105,"")</f>
        <v/>
      </c>
      <c r="BB105" s="254">
        <f>IF(AND(ISNUMBER(AL105),ISNUMBER(AM105)),AL105-AM105,"")</f>
        <v/>
      </c>
      <c r="BC105" s="123">
        <f>IF(AND($E105&gt;0,$W105&gt;0),IF(($E105-$W105)/$E105&gt;0,($E105-$W105)/$E105,0),"")</f>
        <v/>
      </c>
      <c r="BD105" s="123">
        <f>IF(AND($I105&gt;0,$AF105&gt;=0),IF(($I105-$AF105)/$I105&gt;0,($I105-$AF105)/$I105,0),"")</f>
        <v/>
      </c>
      <c r="BE105" s="123">
        <f>IF(AND($AG105&gt;=0,$AD105&gt;=0,$AF105&gt;=0),IF($AG105/($AD105-$AF105)&gt;0,$AG105/($AD105-$AF105),0),"")</f>
        <v/>
      </c>
      <c r="BF105" s="123">
        <f>IF(AND($G105&gt;0,$AM105&gt;0),IF(($G105-$AM105)/$G105&gt;0,($G105-$AM105)/$G105,0),"")</f>
        <v/>
      </c>
      <c r="BG105" s="6">
        <f>IF((AD105-AF105)/(AJ105/60)&lt;=0,"",(AD105-AF105)/(AJ105/60))</f>
        <v/>
      </c>
      <c r="BH105" s="6">
        <f>IF(OR(AJ105=0,AP105=0,NOT(ISNUMBER(AD105)),NOT(ISNUMBER(AF105)),NOT(ISNUMBER(AJ105)),NOT(ISNUMBER(AP105))),"",
IFERROR(IF((AD105-AF105)/(AJ105/60)/(AP105/1000)&lt;=0,"",(AD105-AF105)/(AJ105/60)/(AP105/1000)),""))</f>
        <v/>
      </c>
    </row>
    <row r="106" ht="15.75" customHeight="1">
      <c r="B106" t="n">
        <v>-138</v>
      </c>
      <c r="C106" s="12" t="inlineStr">
        <is>
          <t>back to 8:10</t>
        </is>
      </c>
      <c r="D106" s="134" t="n">
        <v>45366</v>
      </c>
      <c r="E106" s="133" t="n"/>
      <c r="F106" s="3" t="n">
        <v>101</v>
      </c>
      <c r="G106" s="205">
        <f>IF(OR(S106="",S106=0),"",S106*2)</f>
        <v/>
      </c>
      <c r="H106" s="231" t="n"/>
      <c r="I106" s="15">
        <f>(N106*18-H106*18)/9</f>
        <v/>
      </c>
      <c r="J106" s="231" t="n">
        <v>8.779999999999999</v>
      </c>
      <c r="K106" s="15">
        <f>AD106</f>
        <v/>
      </c>
      <c r="M106" s="10">
        <f>IF(OR(E106="",G106="",E106=0,G106=0),"",E106/G106)</f>
        <v/>
      </c>
      <c r="N106" s="9">
        <f>IF(OR(E106="",I106="",E106=0,I106=0),"",E106/(I106*2))</f>
        <v/>
      </c>
      <c r="O106" s="8">
        <f>IF(OR(I106="",G106="",I106=0,G106=0),"",I106*2/G106)</f>
        <v/>
      </c>
      <c r="P106" s="7" t="n">
        <v>21.6</v>
      </c>
      <c r="Q106" s="6" t="n">
        <v>115.965</v>
      </c>
      <c r="R106" s="6" t="n">
        <v>26.976</v>
      </c>
      <c r="S106" s="6">
        <f>O106*1.067</f>
        <v/>
      </c>
      <c r="T106" s="6">
        <f>P106*1.514</f>
        <v/>
      </c>
      <c r="U106" s="23">
        <f>P106*1.514+O106*1.067</f>
        <v/>
      </c>
      <c r="V106" s="6" t="n">
        <v>28.2</v>
      </c>
      <c r="Y106" s="6">
        <f>1.998+0.841</f>
        <v/>
      </c>
      <c r="Z106" s="6" t="n">
        <v>4.21</v>
      </c>
      <c r="AD106" s="5" t="n">
        <v>80</v>
      </c>
      <c r="AE106" s="7">
        <f>T106</f>
        <v/>
      </c>
      <c r="AF106" s="231">
        <f>5*5.1</f>
        <v/>
      </c>
      <c r="AG106" s="231" t="n">
        <v>20.7</v>
      </c>
      <c r="AH106" s="231" t="n">
        <v>2.01</v>
      </c>
      <c r="AI106" s="231" t="n">
        <v>1.94</v>
      </c>
      <c r="AJ106" s="119" t="n">
        <v>0.4298611111111111</v>
      </c>
      <c r="AL106" s="231" t="n">
        <v>175</v>
      </c>
      <c r="AM106" s="3" t="n">
        <v>180</v>
      </c>
      <c r="AN106" s="4">
        <f>AE106</f>
        <v/>
      </c>
      <c r="AO106" s="231" t="n">
        <v>15.8</v>
      </c>
      <c r="AP106" s="255">
        <f>360-AK106-AB106</f>
        <v/>
      </c>
      <c r="AQ106" s="165" t="n"/>
      <c r="AR106" s="13">
        <f>AVERAGE(AO104:AO110)</f>
        <v/>
      </c>
      <c r="AS106" s="15">
        <f>IF(ISNUMBER([2]HRT_SRT!R160),[2]HRT_SRT!R160,"")</f>
        <v/>
      </c>
      <c r="AT106" s="156">
        <f>(E106-W106)/E106</f>
        <v/>
      </c>
      <c r="AU106" s="155">
        <f>(I106-AF106)/I106</f>
        <v/>
      </c>
      <c r="AV106" s="155">
        <f>AG106/(AD106-AF106)</f>
        <v/>
      </c>
      <c r="AW106" s="155">
        <f>(G106-AM106)/G106</f>
        <v/>
      </c>
      <c r="AX106" s="254">
        <f>IF(AND(ISNUMBER(E106),ISNUMBER(W106)),E106-W106,"")</f>
        <v/>
      </c>
      <c r="AY106" s="254">
        <f>IF(AND(ISNUMBER(I106),ISNUMBER(AF106)),I106-AF106,"")</f>
        <v/>
      </c>
      <c r="AZ106" s="254">
        <f>IF(AND(ISNUMBER(AM106),ISNUMBER(G106)),G106-AM106,"")</f>
        <v/>
      </c>
      <c r="BA106" s="254">
        <f>IF(AND(ISNUMBER(AC106),ISNUMBER(AE106)),AC106-AE106,"")</f>
        <v/>
      </c>
      <c r="BB106" s="254">
        <f>IF(AND(ISNUMBER(AL106),ISNUMBER(AM106)),AL106-AM106,"")</f>
        <v/>
      </c>
      <c r="BC106" s="123">
        <f>IF(AND($E106&gt;0,$W106&gt;0),IF(($E106-$W106)/$E106&gt;0,($E106-$W106)/$E106,0),"")</f>
        <v/>
      </c>
      <c r="BD106" s="123">
        <f>IF(AND($I106&gt;0,$AF106&gt;=0),IF(($I106-$AF106)/$I106&gt;0,($I106-$AF106)/$I106,0),"")</f>
        <v/>
      </c>
      <c r="BE106" s="123">
        <f>IF(AND($AG106&gt;=0,$AD106&gt;=0,$AF106&gt;=0),IF($AG106/($AD106-$AF106)&gt;0,$AG106/($AD106-$AF106),0),"")</f>
        <v/>
      </c>
      <c r="BF106" s="123">
        <f>IF(AND($G106&gt;0,$AM106&gt;0),IF(($G106-$AM106)/$G106&gt;0,($G106-$AM106)/$G106,0),"")</f>
        <v/>
      </c>
      <c r="BG106" s="6">
        <f>IF((AD106-AF106)/(AJ106/60)&lt;=0,"",(AD106-AF106)/(AJ106/60))</f>
        <v/>
      </c>
      <c r="BH106" s="6">
        <f>IF(OR(AJ106=0,AP106=0,NOT(ISNUMBER(AD106)),NOT(ISNUMBER(AF106)),NOT(ISNUMBER(AJ106)),NOT(ISNUMBER(AP106))),"",
IFERROR(IF((AD106-AF106)/(AJ106/60)/(AP106/1000)&lt;=0,"",(AD106-AF106)/(AJ106/60)/(AP106/1000)),""))</f>
        <v/>
      </c>
    </row>
    <row r="107" ht="15.75" customHeight="1">
      <c r="B107" t="n">
        <v>-137</v>
      </c>
      <c r="D107" s="134" t="n">
        <v>45367</v>
      </c>
      <c r="E107" s="133" t="n"/>
      <c r="F107" s="3" t="n">
        <v>102</v>
      </c>
      <c r="G107" s="205">
        <f>IF(OR(S107="",S107=0),"",S107*2)</f>
        <v/>
      </c>
      <c r="H107" s="2" t="n"/>
      <c r="I107" s="2" t="n"/>
      <c r="J107" s="2" t="n"/>
      <c r="K107" s="15">
        <f>AD107</f>
        <v/>
      </c>
      <c r="M107" s="10">
        <f>IF(OR(E107="",G107="",E107=0,G107=0),"",E107/G107)</f>
        <v/>
      </c>
      <c r="N107" s="9">
        <f>IF(OR(E107="",I107="",E107=0,I107=0),"",E107/(I107*2))</f>
        <v/>
      </c>
      <c r="O107" s="8">
        <f>IF(OR(I107="",G107="",I107=0,G107=0),"",I107*2/G107)</f>
        <v/>
      </c>
      <c r="Z107" s="6" t="n">
        <v>1.3</v>
      </c>
      <c r="AD107" s="5" t="n">
        <v>80</v>
      </c>
      <c r="AF107" s="168">
        <f>(AD106*2/3+AD109*1/3)</f>
        <v/>
      </c>
      <c r="AI107" s="231" t="n">
        <v>0.12</v>
      </c>
      <c r="AJ107" s="119" t="n">
        <v>0.9793981481481482</v>
      </c>
      <c r="AL107" s="231" t="n">
        <v>175</v>
      </c>
      <c r="AM107" s="3" t="n">
        <v>180</v>
      </c>
      <c r="AP107" s="255">
        <f>360-AK107-AB107</f>
        <v/>
      </c>
      <c r="AR107" s="13">
        <f>AVERAGE(AO105:AO111)</f>
        <v/>
      </c>
      <c r="AS107" s="15">
        <f>IF(ISNUMBER([2]HRT_SRT!R161),[2]HRT_SRT!R161,"")</f>
        <v/>
      </c>
      <c r="AT107" s="156">
        <f>(E107-W107)/E107</f>
        <v/>
      </c>
      <c r="AU107" s="155">
        <f>(I107-AF107)/I107</f>
        <v/>
      </c>
      <c r="AV107" s="155">
        <f>AG107/(AD107-AF107)</f>
        <v/>
      </c>
      <c r="AW107" s="155">
        <f>(G107-AM107)/G107</f>
        <v/>
      </c>
      <c r="AX107" s="254">
        <f>IF(AND(ISNUMBER(E107),ISNUMBER(W107)),E107-W107,"")</f>
        <v/>
      </c>
      <c r="AY107" s="254">
        <f>IF(AND(ISNUMBER(I107),ISNUMBER(AF107)),I107-AF107,"")</f>
        <v/>
      </c>
      <c r="AZ107" s="254">
        <f>IF(AND(ISNUMBER(AM107),ISNUMBER(G107)),G107-AM107,"")</f>
        <v/>
      </c>
      <c r="BA107" s="254">
        <f>IF(AND(ISNUMBER(AC107),ISNUMBER(AE107)),AC107-AE107,"")</f>
        <v/>
      </c>
      <c r="BB107" s="254">
        <f>IF(AND(ISNUMBER(AL107),ISNUMBER(AM107)),AL107-AM107,"")</f>
        <v/>
      </c>
      <c r="BC107" s="123">
        <f>IF(AND($E107&gt;0,$W107&gt;0),IF(($E107-$W107)/$E107&gt;0,($E107-$W107)/$E107,0),"")</f>
        <v/>
      </c>
      <c r="BD107" s="123">
        <f>IF(AND($I107&gt;0,$AF107&gt;=0),IF(($I107-$AF107)/$I107&gt;0,($I107-$AF107)/$I107,0),"")</f>
        <v/>
      </c>
      <c r="BE107" s="123">
        <f>IF(AND($AG107&gt;=0,$AD107&gt;=0,$AF107&gt;=0),IF($AG107/($AD107-$AF107)&gt;0,$AG107/($AD107-$AF107),0),"")</f>
        <v/>
      </c>
      <c r="BF107" s="123">
        <f>IF(AND($G107&gt;0,$AM107&gt;0),IF(($G107-$AM107)/$G107&gt;0,($G107-$AM107)/$G107,0),"")</f>
        <v/>
      </c>
      <c r="BG107" s="6">
        <f>IF((AD107-AF107)/(AJ107/60)&lt;=0,"",(AD107-AF107)/(AJ107/60))</f>
        <v/>
      </c>
      <c r="BH107" s="6">
        <f>IF(OR(AJ107=0,AP107=0,NOT(ISNUMBER(AD107)),NOT(ISNUMBER(AF107)),NOT(ISNUMBER(AJ107)),NOT(ISNUMBER(AP107))),"",
IFERROR(IF((AD107-AF107)/(AJ107/60)/(AP107/1000)&lt;=0,"",(AD107-AF107)/(AJ107/60)/(AP107/1000)),""))</f>
        <v/>
      </c>
    </row>
    <row r="108" ht="15.75" customHeight="1">
      <c r="B108" t="n">
        <v>-136</v>
      </c>
      <c r="D108" s="134" t="n">
        <v>45368</v>
      </c>
      <c r="E108" s="133" t="n"/>
      <c r="F108" s="3" t="n">
        <v>103</v>
      </c>
      <c r="G108" s="205">
        <f>IF(OR(S108="",S108=0),"",S108*2)</f>
        <v/>
      </c>
      <c r="K108" s="15">
        <f>AD108</f>
        <v/>
      </c>
      <c r="M108" s="10">
        <f>IF(OR(E108="",G108="",E108=0,G108=0),"",E108/G108)</f>
        <v/>
      </c>
      <c r="N108" s="9">
        <f>IF(OR(E108="",I108="",E108=0,I108=0),"",E108/(I108*2))</f>
        <v/>
      </c>
      <c r="O108" s="8">
        <f>IF(OR(I108="",G108="",I108=0,G108=0),"",I108*2/G108)</f>
        <v/>
      </c>
      <c r="Z108" s="6" t="n">
        <v>0.41</v>
      </c>
      <c r="AD108" s="5" t="n">
        <v>80</v>
      </c>
      <c r="AF108" s="168">
        <f>(AD107*1/3+AD109*2/3)</f>
        <v/>
      </c>
      <c r="AI108" t="n">
        <v>0.12</v>
      </c>
      <c r="AJ108" s="119" t="n">
        <v>0.9793981481481482</v>
      </c>
      <c r="AL108" s="231" t="n">
        <v>175</v>
      </c>
      <c r="AM108" s="3" t="n">
        <v>180</v>
      </c>
      <c r="AO108" s="231" t="n">
        <v>20.2</v>
      </c>
      <c r="AP108" s="255">
        <f>360-AK108-AB108</f>
        <v/>
      </c>
      <c r="AR108" s="13">
        <f>AVERAGE(AO106:AO112)</f>
        <v/>
      </c>
      <c r="AS108" s="15">
        <f>IF(ISNUMBER([2]HRT_SRT!R162),[2]HRT_SRT!R162,"")</f>
        <v/>
      </c>
      <c r="AT108" s="156">
        <f>(E108-W108)/E108</f>
        <v/>
      </c>
      <c r="AU108" s="155">
        <f>(I108-AF108)/I108</f>
        <v/>
      </c>
      <c r="AV108" s="155">
        <f>AG108/(AD108-AF108)</f>
        <v/>
      </c>
      <c r="AW108" s="155">
        <f>(G108-AM108)/G108</f>
        <v/>
      </c>
      <c r="AX108" s="254">
        <f>IF(AND(ISNUMBER(E108),ISNUMBER(W108)),E108-W108,"")</f>
        <v/>
      </c>
      <c r="AY108" s="254">
        <f>IF(AND(ISNUMBER(I108),ISNUMBER(AF108)),I108-AF108,"")</f>
        <v/>
      </c>
      <c r="AZ108" s="254">
        <f>IF(AND(ISNUMBER(AM108),ISNUMBER(G108)),G108-AM108,"")</f>
        <v/>
      </c>
      <c r="BA108" s="254">
        <f>IF(AND(ISNUMBER(AC108),ISNUMBER(AE108)),AC108-AE108,"")</f>
        <v/>
      </c>
      <c r="BB108" s="254">
        <f>IF(AND(ISNUMBER(AL108),ISNUMBER(AM108)),AL108-AM108,"")</f>
        <v/>
      </c>
      <c r="BC108" s="123">
        <f>IF(AND($E108&gt;0,$W108&gt;0),IF(($E108-$W108)/$E108&gt;0,($E108-$W108)/$E108,0),"")</f>
        <v/>
      </c>
      <c r="BD108" s="123">
        <f>IF(AND($I108&gt;0,$AF108&gt;=0),IF(($I108-$AF108)/$I108&gt;0,($I108-$AF108)/$I108,0),"")</f>
        <v/>
      </c>
      <c r="BE108" s="123">
        <f>IF(AND($AG108&gt;=0,$AD108&gt;=0,$AF108&gt;=0),IF($AG108/($AD108-$AF108)&gt;0,$AG108/($AD108-$AF108),0),"")</f>
        <v/>
      </c>
      <c r="BF108" s="123">
        <f>IF(AND($G108&gt;0,$AM108&gt;0),IF(($G108-$AM108)/$G108&gt;0,($G108-$AM108)/$G108,0),"")</f>
        <v/>
      </c>
      <c r="BG108" s="6">
        <f>IF((AD108-AF108)/(AJ108/60)&lt;=0,"",(AD108-AF108)/(AJ108/60))</f>
        <v/>
      </c>
      <c r="BH108" s="6">
        <f>IF(OR(AJ108=0,AP108=0,NOT(ISNUMBER(AD108)),NOT(ISNUMBER(AF108)),NOT(ISNUMBER(AJ108)),NOT(ISNUMBER(AP108))),"",
IFERROR(IF((AD108-AF108)/(AJ108/60)/(AP108/1000)&lt;=0,"",(AD108-AF108)/(AJ108/60)/(AP108/1000)),""))</f>
        <v/>
      </c>
    </row>
    <row r="109" ht="15.75" customHeight="1">
      <c r="B109" t="n">
        <v>-135</v>
      </c>
      <c r="D109" s="134" t="n">
        <v>45369</v>
      </c>
      <c r="E109" s="133" t="n"/>
      <c r="F109" s="3" t="n">
        <v>104</v>
      </c>
      <c r="G109" s="205">
        <f>IF(OR(S109="",S109=0),"",S109*2)</f>
        <v/>
      </c>
      <c r="I109" s="15">
        <f>(N109*18-H109*18)/9</f>
        <v/>
      </c>
      <c r="J109" s="15" t="n">
        <v>14.7</v>
      </c>
      <c r="K109" s="15">
        <f>AD109</f>
        <v/>
      </c>
      <c r="M109" s="10">
        <f>IF(OR(E109="",G109="",E109=0,G109=0),"",E109/G109)</f>
        <v/>
      </c>
      <c r="N109" s="9">
        <f>IF(OR(E109="",I109="",E109=0,I109=0),"",E109/(I109*2))</f>
        <v/>
      </c>
      <c r="O109" s="8">
        <f>IF(OR(I109="",G109="",I109=0,G109=0),"",I109*2/G109)</f>
        <v/>
      </c>
      <c r="P109" s="7" t="n">
        <v>26.4</v>
      </c>
      <c r="Q109" s="6" t="n">
        <v>120.086</v>
      </c>
      <c r="R109" s="6" t="n">
        <v>26.666</v>
      </c>
      <c r="S109" s="6">
        <f>O109*1.067</f>
        <v/>
      </c>
      <c r="T109" s="6">
        <f>P109*1.514</f>
        <v/>
      </c>
      <c r="U109" s="23">
        <f>P109*1.514+O109*1.067</f>
        <v/>
      </c>
      <c r="V109" s="6" t="n">
        <v>34.1</v>
      </c>
      <c r="Y109" s="6">
        <f>0.682+1.027</f>
        <v/>
      </c>
      <c r="Z109" s="6" t="n">
        <v>4.13</v>
      </c>
      <c r="AD109" s="5" t="n">
        <v>80</v>
      </c>
      <c r="AE109" s="7">
        <f>T109</f>
        <v/>
      </c>
      <c r="AF109" s="231">
        <f>5*4.66</f>
        <v/>
      </c>
      <c r="AG109" s="231" t="n">
        <v>34.1</v>
      </c>
      <c r="AH109" s="231" t="n">
        <v>0</v>
      </c>
      <c r="AI109" t="n">
        <v>0.1</v>
      </c>
      <c r="AJ109" s="119" t="n">
        <v>0.9793981481481482</v>
      </c>
      <c r="AL109" s="231" t="n">
        <v>175</v>
      </c>
      <c r="AM109" s="3" t="n">
        <v>180</v>
      </c>
      <c r="AN109" s="4">
        <f>AE109</f>
        <v/>
      </c>
      <c r="AO109" s="231" t="n">
        <v>28.5</v>
      </c>
      <c r="AP109" s="255">
        <f>360-AK109-AB109</f>
        <v/>
      </c>
      <c r="AR109" s="13">
        <f>AVERAGE(AO107:AO113)</f>
        <v/>
      </c>
      <c r="AS109" s="15">
        <f>IF(ISNUMBER([2]HRT_SRT!R163),[2]HRT_SRT!R163,"")</f>
        <v/>
      </c>
      <c r="AT109" s="156">
        <f>(E109-W109)/E109</f>
        <v/>
      </c>
      <c r="AU109" s="155">
        <f>(I109-AF109)/I109</f>
        <v/>
      </c>
      <c r="AV109" s="155">
        <f>AG109/(AD109-AF109)</f>
        <v/>
      </c>
      <c r="AW109" s="155">
        <f>(G109-AM109)/G109</f>
        <v/>
      </c>
      <c r="AX109" s="254">
        <f>IF(AND(ISNUMBER(E109),ISNUMBER(W109)),E109-W109,"")</f>
        <v/>
      </c>
      <c r="AY109" s="254">
        <f>IF(AND(ISNUMBER(I109),ISNUMBER(AF109)),I109-AF109,"")</f>
        <v/>
      </c>
      <c r="AZ109" s="254">
        <f>IF(AND(ISNUMBER(AM109),ISNUMBER(G109)),G109-AM109,"")</f>
        <v/>
      </c>
      <c r="BA109" s="254">
        <f>IF(AND(ISNUMBER(AC109),ISNUMBER(AE109)),AC109-AE109,"")</f>
        <v/>
      </c>
      <c r="BB109" s="254">
        <f>IF(AND(ISNUMBER(AL109),ISNUMBER(AM109)),AL109-AM109,"")</f>
        <v/>
      </c>
      <c r="BC109" s="123">
        <f>IF(AND($E109&gt;0,$W109&gt;0),IF(($E109-$W109)/$E109&gt;0,($E109-$W109)/$E109,0),"")</f>
        <v/>
      </c>
      <c r="BD109" s="123">
        <f>IF(AND($I109&gt;0,$AF109&gt;=0),IF(($I109-$AF109)/$I109&gt;0,($I109-$AF109)/$I109,0),"")</f>
        <v/>
      </c>
      <c r="BE109" s="123">
        <f>IF(AND($AG109&gt;=0,$AD109&gt;=0,$AF109&gt;=0),IF($AG109/($AD109-$AF109)&gt;0,$AG109/($AD109-$AF109),0),"")</f>
        <v/>
      </c>
      <c r="BF109" s="123">
        <f>IF(AND($G109&gt;0,$AM109&gt;0),IF(($G109-$AM109)/$G109&gt;0,($G109-$AM109)/$G109,0),"")</f>
        <v/>
      </c>
      <c r="BG109" s="6">
        <f>IF((AD109-AF109)/(AJ109/60)&lt;=0,"",(AD109-AF109)/(AJ109/60))</f>
        <v/>
      </c>
      <c r="BH109" s="6">
        <f>IF(OR(AJ109=0,AP109=0,NOT(ISNUMBER(AD109)),NOT(ISNUMBER(AF109)),NOT(ISNUMBER(AJ109)),NOT(ISNUMBER(AP109))),"",
IFERROR(IF((AD109-AF109)/(AJ109/60)/(AP109/1000)&lt;=0,"",(AD109-AF109)/(AJ109/60)/(AP109/1000)),""))</f>
        <v/>
      </c>
    </row>
    <row r="110" ht="15.75" customHeight="1">
      <c r="B110" t="n">
        <v>-134</v>
      </c>
      <c r="D110" s="134" t="n">
        <v>45370</v>
      </c>
      <c r="E110" s="133" t="n"/>
      <c r="F110" s="3" t="n">
        <v>105</v>
      </c>
      <c r="G110" s="205">
        <f>IF(OR(S110="",S110=0),"",S110*2)</f>
        <v/>
      </c>
      <c r="I110" s="15">
        <f>(N110*18-H110*18)/9</f>
        <v/>
      </c>
      <c r="J110" s="15" t="n">
        <v>17.4</v>
      </c>
      <c r="K110" s="15">
        <f>AD110</f>
        <v/>
      </c>
      <c r="M110" s="10">
        <f>IF(OR(E110="",G110="",E110=0,G110=0),"",E110/G110)</f>
        <v/>
      </c>
      <c r="N110" s="9">
        <f>IF(OR(E110="",I110="",E110=0,I110=0),"",E110/(I110*2))</f>
        <v/>
      </c>
      <c r="O110" s="8">
        <f>IF(OR(I110="",G110="",I110=0,G110=0),"",I110*2/G110)</f>
        <v/>
      </c>
      <c r="P110" s="7" t="n">
        <v>30.9</v>
      </c>
      <c r="Q110" s="6" t="n">
        <v>123.11</v>
      </c>
      <c r="R110" s="6" t="n">
        <v>27.922</v>
      </c>
      <c r="S110" s="6">
        <f>O110*1.067</f>
        <v/>
      </c>
      <c r="T110" s="6">
        <f>P110*1.514</f>
        <v/>
      </c>
      <c r="U110" s="23">
        <f>P110*1.514+O110*1.067</f>
        <v/>
      </c>
      <c r="V110" s="6" t="n">
        <v>37</v>
      </c>
      <c r="Y110" s="6">
        <f>0.654+0.941</f>
        <v/>
      </c>
      <c r="Z110" s="6" t="n">
        <v>0.52</v>
      </c>
      <c r="AD110" s="5" t="n">
        <v>80</v>
      </c>
      <c r="AE110" s="7">
        <f>T110</f>
        <v/>
      </c>
      <c r="AF110" s="231">
        <f>5*4.64</f>
        <v/>
      </c>
      <c r="AG110" s="231" t="n">
        <v>37.9</v>
      </c>
      <c r="AH110" s="231" t="n">
        <v>0</v>
      </c>
      <c r="AI110" t="n">
        <v>0.09</v>
      </c>
      <c r="AJ110" s="119" t="n">
        <v>0.9793981481481482</v>
      </c>
      <c r="AL110" s="231" t="n">
        <v>175</v>
      </c>
      <c r="AM110" s="3" t="n">
        <v>180</v>
      </c>
      <c r="AN110" s="4">
        <f>AE110</f>
        <v/>
      </c>
      <c r="AO110" s="231" t="n">
        <v>34.6</v>
      </c>
      <c r="AP110" s="255">
        <f>360-AK110-AB110</f>
        <v/>
      </c>
      <c r="AQ110" s="165">
        <f>[2]HRT_SRT!P164</f>
        <v/>
      </c>
      <c r="AR110" s="13">
        <f>AVERAGE(AO108:AO114)</f>
        <v/>
      </c>
      <c r="AS110" s="15">
        <f>IF(ISNUMBER([2]HRT_SRT!R164),[2]HRT_SRT!R164,"")</f>
        <v/>
      </c>
      <c r="AT110" s="156">
        <f>(E110-W110)/E110</f>
        <v/>
      </c>
      <c r="AU110" s="155">
        <f>(I110-AF110)/I110</f>
        <v/>
      </c>
      <c r="AV110" s="155">
        <f>AG110/(AD110-AF110)</f>
        <v/>
      </c>
      <c r="AW110" s="155">
        <f>(G110-AM110)/G110</f>
        <v/>
      </c>
      <c r="AX110" s="254">
        <f>IF(AND(ISNUMBER(E110),ISNUMBER(W110)),E110-W110,"")</f>
        <v/>
      </c>
      <c r="AY110" s="254">
        <f>IF(AND(ISNUMBER(I110),ISNUMBER(AF110)),I110-AF110,"")</f>
        <v/>
      </c>
      <c r="AZ110" s="254">
        <f>IF(AND(ISNUMBER(AM110),ISNUMBER(G110)),G110-AM110,"")</f>
        <v/>
      </c>
      <c r="BA110" s="254">
        <f>IF(AND(ISNUMBER(AC110),ISNUMBER(AE110)),AC110-AE110,"")</f>
        <v/>
      </c>
      <c r="BB110" s="254">
        <f>IF(AND(ISNUMBER(AL110),ISNUMBER(AM110)),AL110-AM110,"")</f>
        <v/>
      </c>
      <c r="BC110" s="123">
        <f>IF(AND($E110&gt;0,$W110&gt;0),IF(($E110-$W110)/$E110&gt;0,($E110-$W110)/$E110,0),"")</f>
        <v/>
      </c>
      <c r="BD110" s="123">
        <f>IF(AND($I110&gt;0,$AF110&gt;=0),IF(($I110-$AF110)/$I110&gt;0,($I110-$AF110)/$I110,0),"")</f>
        <v/>
      </c>
      <c r="BE110" s="123">
        <f>IF(AND($AG110&gt;=0,$AD110&gt;=0,$AF110&gt;=0),IF($AG110/($AD110-$AF110)&gt;0,$AG110/($AD110-$AF110),0),"")</f>
        <v/>
      </c>
      <c r="BF110" s="123">
        <f>IF(AND($G110&gt;0,$AM110&gt;0),IF(($G110-$AM110)/$G110&gt;0,($G110-$AM110)/$G110,0),"")</f>
        <v/>
      </c>
      <c r="BG110" s="6">
        <f>IF((AD110-AF110)/(AJ110/60)&lt;=0,"",(AD110-AF110)/(AJ110/60))</f>
        <v/>
      </c>
      <c r="BH110" s="6">
        <f>IF(OR(AJ110=0,AP110=0,NOT(ISNUMBER(AD110)),NOT(ISNUMBER(AF110)),NOT(ISNUMBER(AJ110)),NOT(ISNUMBER(AP110))),"",
IFERROR(IF((AD110-AF110)/(AJ110/60)/(AP110/1000)&lt;=0,"",(AD110-AF110)/(AJ110/60)/(AP110/1000)),""))</f>
        <v/>
      </c>
    </row>
    <row r="111" ht="15.75" customHeight="1">
      <c r="B111" t="n">
        <v>-133</v>
      </c>
      <c r="C111" s="12" t="inlineStr">
        <is>
          <t xml:space="preserve">2 high pH 9 cycles , aicd tubing fell out </t>
        </is>
      </c>
      <c r="D111" s="134" t="n">
        <v>45371</v>
      </c>
      <c r="E111" s="133" t="n"/>
      <c r="F111" s="3" t="n">
        <v>106</v>
      </c>
      <c r="G111" s="205">
        <f>IF(OR(S111="",S111=0),"",S111*2)</f>
        <v/>
      </c>
      <c r="I111" s="15">
        <f>(N111*18-H111*18)/9</f>
        <v/>
      </c>
      <c r="J111" s="15" t="n">
        <v>17.5</v>
      </c>
      <c r="K111" s="15">
        <f>AD111</f>
        <v/>
      </c>
      <c r="M111" s="10">
        <f>IF(OR(E111="",G111="",E111=0,G111=0),"",E111/G111)</f>
        <v/>
      </c>
      <c r="N111" s="9">
        <f>IF(OR(E111="",I111="",E111=0,I111=0),"",E111/(I111*2))</f>
        <v/>
      </c>
      <c r="O111" s="8">
        <f>IF(OR(I111="",G111="",I111=0,G111=0),"",I111*2/G111)</f>
        <v/>
      </c>
      <c r="P111" s="7" t="n">
        <v>29.6</v>
      </c>
      <c r="Q111" s="6" t="n">
        <v>125.641</v>
      </c>
      <c r="R111" s="6" t="n">
        <v>26.55</v>
      </c>
      <c r="S111" s="6">
        <f>O111*1.067</f>
        <v/>
      </c>
      <c r="T111" s="6">
        <f>P111*1.514</f>
        <v/>
      </c>
      <c r="U111" s="23">
        <f>P111*1.514+O111*1.067</f>
        <v/>
      </c>
      <c r="V111" s="6" t="n">
        <v>55.5</v>
      </c>
      <c r="Y111" s="6" t="n">
        <v>3.219</v>
      </c>
      <c r="Z111" s="6" t="n">
        <v>0.57</v>
      </c>
      <c r="AD111" s="5" t="n">
        <v>80</v>
      </c>
      <c r="AE111" s="7">
        <f>T111</f>
        <v/>
      </c>
      <c r="AF111" s="231">
        <f>20.7</f>
        <v/>
      </c>
      <c r="AG111" s="231" t="n">
        <v>31.7</v>
      </c>
      <c r="AH111" s="231" t="n">
        <v>0</v>
      </c>
      <c r="AI111" t="n">
        <v>0.09</v>
      </c>
      <c r="AJ111" s="119" t="n">
        <v>0.9793981481481482</v>
      </c>
      <c r="AL111" s="231" t="n">
        <v>175</v>
      </c>
      <c r="AM111" s="3" t="n">
        <v>180</v>
      </c>
      <c r="AN111" s="4">
        <f>AE111</f>
        <v/>
      </c>
      <c r="AO111" s="231" t="n">
        <v>25.2</v>
      </c>
      <c r="AP111" s="255">
        <f>360-AK111-AB111</f>
        <v/>
      </c>
      <c r="AQ111" s="165">
        <f>[2]HRT_SRT!P165</f>
        <v/>
      </c>
      <c r="AR111" s="13">
        <f>AVERAGE(AO109:AO115)</f>
        <v/>
      </c>
      <c r="AS111" s="15">
        <f>IF(ISNUMBER([2]HRT_SRT!R165),[2]HRT_SRT!R165,"")</f>
        <v/>
      </c>
      <c r="AT111" s="156">
        <f>(E111-W111)/E111</f>
        <v/>
      </c>
      <c r="AU111" s="155">
        <f>(I111-AF111)/I111</f>
        <v/>
      </c>
      <c r="AV111" s="155">
        <f>AG111/(AD111-AF111)</f>
        <v/>
      </c>
      <c r="AW111" s="155">
        <f>(G111-AM111)/G111</f>
        <v/>
      </c>
      <c r="AX111" s="254">
        <f>IF(AND(ISNUMBER(E111),ISNUMBER(W111)),E111-W111,"")</f>
        <v/>
      </c>
      <c r="AY111" s="254">
        <f>IF(AND(ISNUMBER(I111),ISNUMBER(AF111)),I111-AF111,"")</f>
        <v/>
      </c>
      <c r="AZ111" s="254">
        <f>IF(AND(ISNUMBER(AM111),ISNUMBER(G111)),G111-AM111,"")</f>
        <v/>
      </c>
      <c r="BA111" s="254">
        <f>IF(AND(ISNUMBER(AC111),ISNUMBER(AE111)),AC111-AE111,"")</f>
        <v/>
      </c>
      <c r="BB111" s="254">
        <f>IF(AND(ISNUMBER(AL111),ISNUMBER(AM111)),AL111-AM111,"")</f>
        <v/>
      </c>
      <c r="BC111" s="123">
        <f>IF(AND($E111&gt;0,$W111&gt;0),IF(($E111-$W111)/$E111&gt;0,($E111-$W111)/$E111,0),"")</f>
        <v/>
      </c>
      <c r="BD111" s="123">
        <f>IF(AND($I111&gt;0,$AF111&gt;=0),IF(($I111-$AF111)/$I111&gt;0,($I111-$AF111)/$I111,0),"")</f>
        <v/>
      </c>
      <c r="BE111" s="123">
        <f>IF(AND($AG111&gt;=0,$AD111&gt;=0,$AF111&gt;=0),IF($AG111/($AD111-$AF111)&gt;0,$AG111/($AD111-$AF111),0),"")</f>
        <v/>
      </c>
      <c r="BF111" s="123">
        <f>IF(AND($G111&gt;0,$AM111&gt;0),IF(($G111-$AM111)/$G111&gt;0,($G111-$AM111)/$G111,0),"")</f>
        <v/>
      </c>
      <c r="BG111" s="6">
        <f>IF((AD111-AF111)/(AJ111/60)&lt;=0,"",(AD111-AF111)/(AJ111/60))</f>
        <v/>
      </c>
      <c r="BH111" s="6">
        <f>IF(OR(AJ111=0,AP111=0,NOT(ISNUMBER(AD111)),NOT(ISNUMBER(AF111)),NOT(ISNUMBER(AJ111)),NOT(ISNUMBER(AP111))),"",
IFERROR(IF((AD111-AF111)/(AJ111/60)/(AP111/1000)&lt;=0,"",(AD111-AF111)/(AJ111/60)/(AP111/1000)),""))</f>
        <v/>
      </c>
    </row>
    <row r="112" ht="15.75" customHeight="1">
      <c r="B112" t="n">
        <v>-132</v>
      </c>
      <c r="D112" s="134" t="n">
        <v>45372</v>
      </c>
      <c r="E112" s="133" t="n"/>
      <c r="F112" s="3" t="n">
        <v>107</v>
      </c>
      <c r="G112" s="205">
        <f>IF(OR(S112="",S112=0),"",S112*2)</f>
        <v/>
      </c>
      <c r="K112" s="15">
        <f>AD112</f>
        <v/>
      </c>
      <c r="M112" s="10">
        <f>IF(OR(E112="",G112="",E112=0,G112=0),"",E112/G112)</f>
        <v/>
      </c>
      <c r="N112" s="9">
        <f>IF(OR(E112="",I112="",E112=0,I112=0),"",E112/(I112*2))</f>
        <v/>
      </c>
      <c r="O112" s="8">
        <f>IF(OR(I112="",G112="",I112=0,G112=0),"",I112*2/G112)</f>
        <v/>
      </c>
      <c r="Z112" s="6" t="n">
        <v>0.28</v>
      </c>
      <c r="AD112" s="5" t="n">
        <v>80</v>
      </c>
      <c r="AF112" s="168">
        <f>(AD111+AD113)/2</f>
        <v/>
      </c>
      <c r="AI112" t="n">
        <v>0.09</v>
      </c>
      <c r="AJ112" s="119" t="n">
        <v>0.9793981481481482</v>
      </c>
      <c r="AL112" s="231" t="n">
        <v>175</v>
      </c>
      <c r="AM112" s="3" t="n">
        <v>180</v>
      </c>
      <c r="AP112" s="255">
        <f>360-AK112-AB112</f>
        <v/>
      </c>
      <c r="AQ112" s="165" t="n"/>
      <c r="AR112" s="13">
        <f>AVERAGE(AO110:AO116)</f>
        <v/>
      </c>
      <c r="AS112" s="15">
        <f>IF(ISNUMBER([2]HRT_SRT!R166),[2]HRT_SRT!R166,"")</f>
        <v/>
      </c>
      <c r="AT112" s="156">
        <f>(E112-W112)/E112</f>
        <v/>
      </c>
      <c r="AU112" s="155">
        <f>(I112-AF112)/I112</f>
        <v/>
      </c>
      <c r="AV112" s="155">
        <f>AG112/(AD112-AF112)</f>
        <v/>
      </c>
      <c r="AW112" s="155">
        <f>(G112-AM112)/G112</f>
        <v/>
      </c>
      <c r="AX112" s="254">
        <f>IF(AND(ISNUMBER(E112),ISNUMBER(W112)),E112-W112,"")</f>
        <v/>
      </c>
      <c r="AY112" s="254">
        <f>IF(AND(ISNUMBER(I112),ISNUMBER(AF112)),I112-AF112,"")</f>
        <v/>
      </c>
      <c r="AZ112" s="254">
        <f>IF(AND(ISNUMBER(AM112),ISNUMBER(G112)),G112-AM112,"")</f>
        <v/>
      </c>
      <c r="BA112" s="254">
        <f>IF(AND(ISNUMBER(AC112),ISNUMBER(AE112)),AC112-AE112,"")</f>
        <v/>
      </c>
      <c r="BB112" s="254">
        <f>IF(AND(ISNUMBER(AL112),ISNUMBER(AM112)),AL112-AM112,"")</f>
        <v/>
      </c>
      <c r="BC112" s="123">
        <f>IF(AND($E112&gt;0,$W112&gt;0),IF(($E112-$W112)/$E112&gt;0,($E112-$W112)/$E112,0),"")</f>
        <v/>
      </c>
      <c r="BD112" s="123">
        <f>IF(AND($I112&gt;0,$AF112&gt;=0),IF(($I112-$AF112)/$I112&gt;0,($I112-$AF112)/$I112,0),"")</f>
        <v/>
      </c>
      <c r="BE112" s="123">
        <f>IF(AND($AG112&gt;=0,$AD112&gt;=0,$AF112&gt;=0),IF($AG112/($AD112-$AF112)&gt;0,$AG112/($AD112-$AF112),0),"")</f>
        <v/>
      </c>
      <c r="BF112" s="123">
        <f>IF(AND($G112&gt;0,$AM112&gt;0),IF(($G112-$AM112)/$G112&gt;0,($G112-$AM112)/$G112,0),"")</f>
        <v/>
      </c>
      <c r="BG112" s="6">
        <f>IF((AD112-AF112)/(AJ112/60)&lt;=0,"",(AD112-AF112)/(AJ112/60))</f>
        <v/>
      </c>
      <c r="BH112" s="6">
        <f>IF(OR(AJ112=0,AP112=0,NOT(ISNUMBER(AD112)),NOT(ISNUMBER(AF112)),NOT(ISNUMBER(AJ112)),NOT(ISNUMBER(AP112))),"",
IFERROR(IF((AD112-AF112)/(AJ112/60)/(AP112/1000)&lt;=0,"",(AD112-AF112)/(AJ112/60)/(AP112/1000)),""))</f>
        <v/>
      </c>
    </row>
    <row r="113" ht="15.75" customHeight="1">
      <c r="B113" t="n">
        <v>-131</v>
      </c>
      <c r="C113" s="12" t="inlineStr">
        <is>
          <t>decrease COD to 140</t>
        </is>
      </c>
      <c r="D113" s="134" t="n">
        <v>45373</v>
      </c>
      <c r="E113" s="133" t="n"/>
      <c r="F113" s="3" t="n">
        <v>108</v>
      </c>
      <c r="G113" s="205">
        <f>IF(OR(S113="",S113=0),"",S113*2)</f>
        <v/>
      </c>
      <c r="I113" s="15">
        <f>2*10*1.26</f>
        <v/>
      </c>
      <c r="K113" s="15">
        <f>AD113</f>
        <v/>
      </c>
      <c r="M113" s="10">
        <f>IF(OR(E113="",G113="",E113=0,G113=0),"",E113/G113)</f>
        <v/>
      </c>
      <c r="N113" s="9">
        <f>IF(OR(E113="",I113="",E113=0,I113=0),"",E113/(I113*2))</f>
        <v/>
      </c>
      <c r="O113" s="8">
        <f>IF(OR(I113="",G113="",I113=0,G113=0),"",I113*2/G113)</f>
        <v/>
      </c>
      <c r="V113" s="6" t="n">
        <v>24.3</v>
      </c>
      <c r="Y113" t="n">
        <v>45.857</v>
      </c>
      <c r="Z113" s="6" t="n">
        <v>0.29</v>
      </c>
      <c r="AD113" s="5" t="n">
        <v>80</v>
      </c>
      <c r="AE113" s="7">
        <f>T113</f>
        <v/>
      </c>
      <c r="AF113" s="231">
        <f>5*4.99</f>
        <v/>
      </c>
      <c r="AG113" s="231" t="n">
        <v>23.9</v>
      </c>
      <c r="AH113" s="231" t="n">
        <v>0</v>
      </c>
      <c r="AI113" t="n">
        <v>0.09</v>
      </c>
      <c r="AJ113" s="119" t="n">
        <v>0.9793981481481482</v>
      </c>
      <c r="AL113" s="231" t="n">
        <v>175</v>
      </c>
      <c r="AM113" s="3" t="n">
        <v>180</v>
      </c>
      <c r="AN113" s="4">
        <f>AE113</f>
        <v/>
      </c>
      <c r="AO113" s="231" t="n">
        <v>21.3</v>
      </c>
      <c r="AP113" s="255">
        <f>360-AK113-AB113</f>
        <v/>
      </c>
      <c r="AQ113" s="165" t="n"/>
      <c r="AR113" s="13">
        <f>AVERAGE(AO111:AO117)</f>
        <v/>
      </c>
      <c r="AS113" s="15">
        <f>IF(ISNUMBER([2]HRT_SRT!R167),[2]HRT_SRT!R167,"")</f>
        <v/>
      </c>
      <c r="AT113" s="156">
        <f>(E113-W113)/E113</f>
        <v/>
      </c>
      <c r="AU113" s="155">
        <f>(I113-AF113)/I113</f>
        <v/>
      </c>
      <c r="AV113" s="155">
        <f>AG113/(AD113-AF113)</f>
        <v/>
      </c>
      <c r="AW113" s="155">
        <f>(G113-AM113)/G113</f>
        <v/>
      </c>
      <c r="AX113" s="254">
        <f>IF(AND(ISNUMBER(E113),ISNUMBER(W113)),E113-W113,"")</f>
        <v/>
      </c>
      <c r="AY113" s="254">
        <f>IF(AND(ISNUMBER(I113),ISNUMBER(AF113)),I113-AF113,"")</f>
        <v/>
      </c>
      <c r="AZ113" s="254">
        <f>IF(AND(ISNUMBER(AM113),ISNUMBER(G113)),G113-AM113,"")</f>
        <v/>
      </c>
      <c r="BA113" s="254">
        <f>IF(AND(ISNUMBER(AC113),ISNUMBER(AE113)),AC113-AE113,"")</f>
        <v/>
      </c>
      <c r="BB113" s="254">
        <f>IF(AND(ISNUMBER(AL113),ISNUMBER(AM113)),AL113-AM113,"")</f>
        <v/>
      </c>
      <c r="BC113" s="123">
        <f>IF(AND($E113&gt;0,$W113&gt;0),IF(($E113-$W113)/$E113&gt;0,($E113-$W113)/$E113,0),"")</f>
        <v/>
      </c>
      <c r="BD113" s="123">
        <f>IF(AND($I113&gt;0,$AF113&gt;=0),IF(($I113-$AF113)/$I113&gt;0,($I113-$AF113)/$I113,0),"")</f>
        <v/>
      </c>
      <c r="BE113" s="123">
        <f>IF(AND($AG113&gt;=0,$AD113&gt;=0,$AF113&gt;=0),IF($AG113/($AD113-$AF113)&gt;0,$AG113/($AD113-$AF113),0),"")</f>
        <v/>
      </c>
      <c r="BF113" s="123">
        <f>IF(AND($G113&gt;0,$AM113&gt;0),IF(($G113-$AM113)/$G113&gt;0,($G113-$AM113)/$G113,0),"")</f>
        <v/>
      </c>
      <c r="BG113" s="6">
        <f>IF((AD113-AF113)/(AJ113/60)&lt;=0,"",(AD113-AF113)/(AJ113/60))</f>
        <v/>
      </c>
      <c r="BH113" s="6">
        <f>IF(OR(AJ113=0,AP113=0,NOT(ISNUMBER(AD113)),NOT(ISNUMBER(AF113)),NOT(ISNUMBER(AJ113)),NOT(ISNUMBER(AP113))),"",
IFERROR(IF((AD113-AF113)/(AJ113/60)/(AP113/1000)&lt;=0,"",(AD113-AF113)/(AJ113/60)/(AP113/1000)),""))</f>
        <v/>
      </c>
    </row>
    <row r="114" ht="15.75" customHeight="1">
      <c r="B114" t="n">
        <v>-130</v>
      </c>
      <c r="D114" s="134" t="n">
        <v>45374</v>
      </c>
      <c r="E114" s="133" t="n"/>
      <c r="F114" s="3" t="n">
        <v>109</v>
      </c>
      <c r="G114" s="205">
        <f>IF(OR(S114="",S114=0),"",S114*2)</f>
        <v/>
      </c>
      <c r="I114" s="15" t="n"/>
      <c r="J114" s="15" t="n"/>
      <c r="K114" s="15">
        <f>AD114</f>
        <v/>
      </c>
      <c r="M114" s="10">
        <f>IF(OR(E114="",G114="",E114=0,G114=0),"",E114/G114)</f>
        <v/>
      </c>
      <c r="N114" s="9">
        <f>IF(OR(E114="",I114="",E114=0,I114=0),"",E114/(I114*2))</f>
        <v/>
      </c>
      <c r="O114" s="8">
        <f>IF(OR(I114="",G114="",I114=0,G114=0),"",I114*2/G114)</f>
        <v/>
      </c>
      <c r="Z114" s="6" t="n">
        <v>0.29</v>
      </c>
      <c r="AD114" s="5" t="n">
        <v>80</v>
      </c>
      <c r="AF114" s="168">
        <f>(AD113*2/3+AD116*1/3)</f>
        <v/>
      </c>
      <c r="AI114" t="n">
        <v>0.08</v>
      </c>
      <c r="AJ114" s="119" t="n">
        <v>0.9793981481481482</v>
      </c>
      <c r="AL114" s="231" t="n">
        <v>175</v>
      </c>
      <c r="AM114" s="3" t="n">
        <v>180</v>
      </c>
      <c r="AP114" s="255">
        <f>360-AK114-AB114</f>
        <v/>
      </c>
      <c r="AQ114" s="165" t="n"/>
      <c r="AR114" s="13">
        <f>AVERAGE(AO112:AO118)</f>
        <v/>
      </c>
      <c r="AS114" s="15">
        <f>IF(ISNUMBER([2]HRT_SRT!R168),[2]HRT_SRT!R168,"")</f>
        <v/>
      </c>
      <c r="AT114" s="156">
        <f>(E114-W114)/E114</f>
        <v/>
      </c>
      <c r="AU114" s="155">
        <f>(I114-AF114)/I114</f>
        <v/>
      </c>
      <c r="AV114" s="155">
        <f>AG114/(AD114-AF114)</f>
        <v/>
      </c>
      <c r="AW114" s="155">
        <f>(G114-AM114)/G114</f>
        <v/>
      </c>
      <c r="AX114" s="254">
        <f>IF(AND(ISNUMBER(E114),ISNUMBER(W114)),E114-W114,"")</f>
        <v/>
      </c>
      <c r="AY114" s="254">
        <f>IF(AND(ISNUMBER(I114),ISNUMBER(AF114)),I114-AF114,"")</f>
        <v/>
      </c>
      <c r="AZ114" s="254">
        <f>IF(AND(ISNUMBER(AM114),ISNUMBER(G114)),G114-AM114,"")</f>
        <v/>
      </c>
      <c r="BA114" s="254">
        <f>IF(AND(ISNUMBER(AC114),ISNUMBER(AE114)),AC114-AE114,"")</f>
        <v/>
      </c>
      <c r="BB114" s="254">
        <f>IF(AND(ISNUMBER(AL114),ISNUMBER(AM114)),AL114-AM114,"")</f>
        <v/>
      </c>
      <c r="BC114" s="123">
        <f>IF(AND($E114&gt;0,$W114&gt;0),IF(($E114-$W114)/$E114&gt;0,($E114-$W114)/$E114,0),"")</f>
        <v/>
      </c>
      <c r="BD114" s="123">
        <f>IF(AND($I114&gt;0,$AF114&gt;=0),IF(($I114-$AF114)/$I114&gt;0,($I114-$AF114)/$I114,0),"")</f>
        <v/>
      </c>
      <c r="BE114" s="123">
        <f>IF(AND($AG114&gt;=0,$AD114&gt;=0,$AF114&gt;=0),IF($AG114/($AD114-$AF114)&gt;0,$AG114/($AD114-$AF114),0),"")</f>
        <v/>
      </c>
      <c r="BF114" s="123">
        <f>IF(AND($G114&gt;0,$AM114&gt;0),IF(($G114-$AM114)/$G114&gt;0,($G114-$AM114)/$G114,0),"")</f>
        <v/>
      </c>
      <c r="BG114" s="6">
        <f>IF((AD114-AF114)/(AJ114/60)&lt;=0,"",(AD114-AF114)/(AJ114/60))</f>
        <v/>
      </c>
      <c r="BH114" s="6">
        <f>IF(OR(AJ114=0,AP114=0,NOT(ISNUMBER(AD114)),NOT(ISNUMBER(AF114)),NOT(ISNUMBER(AJ114)),NOT(ISNUMBER(AP114))),"",
IFERROR(IF((AD114-AF114)/(AJ114/60)/(AP114/1000)&lt;=0,"",(AD114-AF114)/(AJ114/60)/(AP114/1000)),""))</f>
        <v/>
      </c>
    </row>
    <row r="115" ht="15.75" customHeight="1">
      <c r="B115" t="n">
        <v>-129</v>
      </c>
      <c r="D115" s="134" t="n">
        <v>45375</v>
      </c>
      <c r="E115" s="133" t="n"/>
      <c r="F115" s="3" t="n">
        <v>110</v>
      </c>
      <c r="G115" s="205">
        <f>IF(OR(S115="",S115=0),"",S115*2)</f>
        <v/>
      </c>
      <c r="I115" s="15" t="n"/>
      <c r="J115" s="15" t="n"/>
      <c r="K115" s="15">
        <f>AD115</f>
        <v/>
      </c>
      <c r="M115" s="10">
        <f>IF(OR(E115="",G115="",E115=0,G115=0),"",E115/G115)</f>
        <v/>
      </c>
      <c r="N115" s="9">
        <f>IF(OR(E115="",I115="",E115=0,I115=0),"",E115/(I115*2))</f>
        <v/>
      </c>
      <c r="O115" s="8">
        <f>IF(OR(I115="",G115="",I115=0,G115=0),"",I115*2/G115)</f>
        <v/>
      </c>
      <c r="Z115" s="6" t="n">
        <v>0.29</v>
      </c>
      <c r="AD115" s="5" t="n">
        <v>80</v>
      </c>
      <c r="AF115" s="168">
        <f>(AD114*1/3+AD116*2/3)</f>
        <v/>
      </c>
      <c r="AI115" t="n">
        <v>0.09</v>
      </c>
      <c r="AJ115" s="119" t="n">
        <v>0.9793981481481482</v>
      </c>
      <c r="AL115" s="231" t="n">
        <v>175</v>
      </c>
      <c r="AM115" s="3" t="n">
        <v>180</v>
      </c>
      <c r="AP115" s="255">
        <f>360-AK115-AB115</f>
        <v/>
      </c>
      <c r="AQ115" s="165" t="n"/>
      <c r="AR115" s="13">
        <f>AVERAGE(AO113:AO119)</f>
        <v/>
      </c>
      <c r="AS115" s="15">
        <f>IF(ISNUMBER([2]HRT_SRT!R169),[2]HRT_SRT!R169,"")</f>
        <v/>
      </c>
      <c r="AT115" s="156">
        <f>(E115-W115)/E115</f>
        <v/>
      </c>
      <c r="AU115" s="155">
        <f>(I115-AF115)/I115</f>
        <v/>
      </c>
      <c r="AV115" s="155">
        <f>AG115/(AD115-AF115)</f>
        <v/>
      </c>
      <c r="AW115" s="155">
        <f>(G115-AM115)/G115</f>
        <v/>
      </c>
      <c r="AX115" s="254">
        <f>IF(AND(ISNUMBER(E115),ISNUMBER(W115)),E115-W115,"")</f>
        <v/>
      </c>
      <c r="AY115" s="254">
        <f>IF(AND(ISNUMBER(I115),ISNUMBER(AF115)),I115-AF115,"")</f>
        <v/>
      </c>
      <c r="AZ115" s="254">
        <f>IF(AND(ISNUMBER(AM115),ISNUMBER(G115)),G115-AM115,"")</f>
        <v/>
      </c>
      <c r="BA115" s="254">
        <f>IF(AND(ISNUMBER(AC115),ISNUMBER(AE115)),AC115-AE115,"")</f>
        <v/>
      </c>
      <c r="BB115" s="254">
        <f>IF(AND(ISNUMBER(AL115),ISNUMBER(AM115)),AL115-AM115,"")</f>
        <v/>
      </c>
      <c r="BC115" s="123">
        <f>IF(AND($E115&gt;0,$W115&gt;0),IF(($E115-$W115)/$E115&gt;0,($E115-$W115)/$E115,0),"")</f>
        <v/>
      </c>
      <c r="BD115" s="123">
        <f>IF(AND($I115&gt;0,$AF115&gt;=0),IF(($I115-$AF115)/$I115&gt;0,($I115-$AF115)/$I115,0),"")</f>
        <v/>
      </c>
      <c r="BE115" s="123">
        <f>IF(AND($AG115&gt;=0,$AD115&gt;=0,$AF115&gt;=0),IF($AG115/($AD115-$AF115)&gt;0,$AG115/($AD115-$AF115),0),"")</f>
        <v/>
      </c>
      <c r="BF115" s="123">
        <f>IF(AND($G115&gt;0,$AM115&gt;0),IF(($G115-$AM115)/$G115&gt;0,($G115-$AM115)/$G115,0),"")</f>
        <v/>
      </c>
      <c r="BG115" s="6">
        <f>IF((AD115-AF115)/(AJ115/60)&lt;=0,"",(AD115-AF115)/(AJ115/60))</f>
        <v/>
      </c>
      <c r="BH115" s="6">
        <f>IF(OR(AJ115=0,AP115=0,NOT(ISNUMBER(AD115)),NOT(ISNUMBER(AF115)),NOT(ISNUMBER(AJ115)),NOT(ISNUMBER(AP115))),"",
IFERROR(IF((AD115-AF115)/(AJ115/60)/(AP115/1000)&lt;=0,"",(AD115-AF115)/(AJ115/60)/(AP115/1000)),""))</f>
        <v/>
      </c>
    </row>
    <row r="116" ht="15.75" customHeight="1">
      <c r="B116" t="n">
        <v>-128</v>
      </c>
      <c r="C116" s="12" t="inlineStr">
        <is>
          <t>prodution of N2O in ana phase, return COD back to 200 ppm</t>
        </is>
      </c>
      <c r="D116" s="134" t="n">
        <v>45376</v>
      </c>
      <c r="E116" s="133" t="n"/>
      <c r="F116" s="3" t="n">
        <v>111</v>
      </c>
      <c r="G116" s="205">
        <f>IF(OR(S116="",S116=0),"",S116*2)</f>
        <v/>
      </c>
      <c r="I116" s="15">
        <f>2*10*0.847</f>
        <v/>
      </c>
      <c r="J116" s="15" t="n"/>
      <c r="K116" s="15">
        <f>AD116</f>
        <v/>
      </c>
      <c r="M116" s="10">
        <f>IF(OR(E116="",G116="",E116=0,G116=0),"",E116/G116)</f>
        <v/>
      </c>
      <c r="N116" s="9">
        <f>IF(OR(E116="",I116="",E116=0,I116=0),"",E116/(I116*2))</f>
        <v/>
      </c>
      <c r="O116" s="8">
        <f>IF(OR(I116="",G116="",I116=0,G116=0),"",I116*2/G116)</f>
        <v/>
      </c>
      <c r="V116" s="6" t="n">
        <v>20.9</v>
      </c>
      <c r="Z116" s="6" t="n">
        <v>0.29</v>
      </c>
      <c r="AD116" s="5" t="n">
        <v>80</v>
      </c>
      <c r="AE116" s="7">
        <f>T116</f>
        <v/>
      </c>
      <c r="AF116" s="231">
        <f>5*5.58</f>
        <v/>
      </c>
      <c r="AG116" s="231" t="n">
        <v>11.4</v>
      </c>
      <c r="AH116" s="231" t="n">
        <v>0</v>
      </c>
      <c r="AI116" t="n">
        <v>2.02</v>
      </c>
      <c r="AJ116" s="119" t="n">
        <v>0.4052083333333333</v>
      </c>
      <c r="AL116" s="231" t="n">
        <v>175</v>
      </c>
      <c r="AM116" s="3" t="n">
        <v>180</v>
      </c>
      <c r="AN116" s="4">
        <f>AE116</f>
        <v/>
      </c>
      <c r="AO116" s="231" t="n">
        <v>7.65</v>
      </c>
      <c r="AP116" s="255">
        <f>360-AK116-AB116</f>
        <v/>
      </c>
      <c r="AQ116" s="165" t="n"/>
      <c r="AR116" s="13">
        <f>AVERAGE(AO114:AO120)</f>
        <v/>
      </c>
      <c r="AS116" s="15">
        <f>IF(ISNUMBER([2]HRT_SRT!R170),[2]HRT_SRT!R170,"")</f>
        <v/>
      </c>
      <c r="AT116" s="156">
        <f>(E116-W116)/E116</f>
        <v/>
      </c>
      <c r="AU116" s="155">
        <f>(I116-AF116)/I116</f>
        <v/>
      </c>
      <c r="AV116" s="155">
        <f>AG116/(AD116-AF116)</f>
        <v/>
      </c>
      <c r="AW116" s="155">
        <f>(G116-AM116)/G116</f>
        <v/>
      </c>
      <c r="AX116" s="254">
        <f>IF(AND(ISNUMBER(E116),ISNUMBER(W116)),E116-W116,"")</f>
        <v/>
      </c>
      <c r="AY116" s="254">
        <f>IF(AND(ISNUMBER(I116),ISNUMBER(AF116)),I116-AF116,"")</f>
        <v/>
      </c>
      <c r="AZ116" s="254">
        <f>IF(AND(ISNUMBER(AM116),ISNUMBER(G116)),G116-AM116,"")</f>
        <v/>
      </c>
      <c r="BA116" s="254">
        <f>IF(AND(ISNUMBER(AC116),ISNUMBER(AE116)),AC116-AE116,"")</f>
        <v/>
      </c>
      <c r="BB116" s="254">
        <f>IF(AND(ISNUMBER(AL116),ISNUMBER(AM116)),AL116-AM116,"")</f>
        <v/>
      </c>
      <c r="BC116" s="123">
        <f>IF(AND($E116&gt;0,$W116&gt;0),IF(($E116-$W116)/$E116&gt;0,($E116-$W116)/$E116,0),"")</f>
        <v/>
      </c>
      <c r="BD116" s="123">
        <f>IF(AND($I116&gt;0,$AF116&gt;=0),IF(($I116-$AF116)/$I116&gt;0,($I116-$AF116)/$I116,0),"")</f>
        <v/>
      </c>
      <c r="BE116" s="123">
        <f>IF(AND($AG116&gt;=0,$AD116&gt;=0,$AF116&gt;=0),IF($AG116/($AD116-$AF116)&gt;0,$AG116/($AD116-$AF116),0),"")</f>
        <v/>
      </c>
      <c r="BF116" s="123">
        <f>IF(AND($G116&gt;0,$AM116&gt;0),IF(($G116-$AM116)/$G116&gt;0,($G116-$AM116)/$G116,0),"")</f>
        <v/>
      </c>
      <c r="BG116" s="6">
        <f>IF((AD116-AF116)/(AJ116/60)&lt;=0,"",(AD116-AF116)/(AJ116/60))</f>
        <v/>
      </c>
      <c r="BH116" s="6">
        <f>IF(OR(AJ116=0,AP116=0,NOT(ISNUMBER(AD116)),NOT(ISNUMBER(AF116)),NOT(ISNUMBER(AJ116)),NOT(ISNUMBER(AP116))),"",
IFERROR(IF((AD116-AF116)/(AJ116/60)/(AP116/1000)&lt;=0,"",(AD116-AF116)/(AJ116/60)/(AP116/1000)),""))</f>
        <v/>
      </c>
    </row>
    <row r="117" ht="15.75" customHeight="1">
      <c r="B117" t="n">
        <v>-127</v>
      </c>
      <c r="D117" s="134" t="n">
        <v>45377</v>
      </c>
      <c r="E117" s="133" t="n"/>
      <c r="F117" s="3" t="n">
        <v>112</v>
      </c>
      <c r="G117" s="205">
        <f>IF(OR(S117="",S117=0),"",S117*2)</f>
        <v/>
      </c>
      <c r="I117" s="15" t="n"/>
      <c r="J117" s="15" t="n"/>
      <c r="K117" s="15">
        <f>AD117</f>
        <v/>
      </c>
      <c r="M117" s="10">
        <f>IF(OR(E117="",G117="",E117=0,G117=0),"",E117/G117)</f>
        <v/>
      </c>
      <c r="N117" s="9">
        <f>IF(OR(E117="",I117="",E117=0,I117=0),"",E117/(I117*2))</f>
        <v/>
      </c>
      <c r="O117" s="8">
        <f>IF(OR(I117="",G117="",I117=0,G117=0),"",I117*2/G117)</f>
        <v/>
      </c>
      <c r="Z117" s="6" t="n">
        <v>0.3</v>
      </c>
      <c r="AD117" s="5" t="n">
        <v>80</v>
      </c>
      <c r="AF117" s="168">
        <f>(AD116+AD118)/2</f>
        <v/>
      </c>
      <c r="AI117" t="n">
        <v>0.09</v>
      </c>
      <c r="AJ117" s="119" t="n">
        <v>0.9793981481481482</v>
      </c>
      <c r="AL117" s="231" t="n">
        <v>175</v>
      </c>
      <c r="AM117" s="3" t="n">
        <v>180</v>
      </c>
      <c r="AP117" s="255">
        <f>360-AK117-AB117</f>
        <v/>
      </c>
      <c r="AQ117" s="165" t="n"/>
      <c r="AR117" s="13">
        <f>AVERAGE(AO115:AO121)</f>
        <v/>
      </c>
      <c r="AS117" s="15">
        <f>IF(ISNUMBER([2]HRT_SRT!R171),[2]HRT_SRT!R171,"")</f>
        <v/>
      </c>
      <c r="AT117" s="156">
        <f>(E117-W117)/E117</f>
        <v/>
      </c>
      <c r="AU117" s="155">
        <f>(I117-AF117)/I117</f>
        <v/>
      </c>
      <c r="AV117" s="155">
        <f>AG117/(AD117-AF117)</f>
        <v/>
      </c>
      <c r="AW117" s="155">
        <f>(G117-AM117)/G117</f>
        <v/>
      </c>
      <c r="AX117" s="254">
        <f>IF(AND(ISNUMBER(E117),ISNUMBER(W117)),E117-W117,"")</f>
        <v/>
      </c>
      <c r="AY117" s="254">
        <f>IF(AND(ISNUMBER(I117),ISNUMBER(AF117)),I117-AF117,"")</f>
        <v/>
      </c>
      <c r="AZ117" s="254">
        <f>IF(AND(ISNUMBER(AM117),ISNUMBER(G117)),G117-AM117,"")</f>
        <v/>
      </c>
      <c r="BA117" s="254">
        <f>IF(AND(ISNUMBER(AC117),ISNUMBER(AE117)),AC117-AE117,"")</f>
        <v/>
      </c>
      <c r="BB117" s="254">
        <f>IF(AND(ISNUMBER(AL117),ISNUMBER(AM117)),AL117-AM117,"")</f>
        <v/>
      </c>
      <c r="BC117" s="123">
        <f>IF(AND($E117&gt;0,$W117&gt;0),IF(($E117-$W117)/$E117&gt;0,($E117-$W117)/$E117,0),"")</f>
        <v/>
      </c>
      <c r="BD117" s="123">
        <f>IF(AND($I117&gt;0,$AF117&gt;=0),IF(($I117-$AF117)/$I117&gt;0,($I117-$AF117)/$I117,0),"")</f>
        <v/>
      </c>
      <c r="BE117" s="123">
        <f>IF(AND($AG117&gt;=0,$AD117&gt;=0,$AF117&gt;=0),IF($AG117/($AD117-$AF117)&gt;0,$AG117/($AD117-$AF117),0),"")</f>
        <v/>
      </c>
      <c r="BF117" s="123">
        <f>IF(AND($G117&gt;0,$AM117&gt;0),IF(($G117-$AM117)/$G117&gt;0,($G117-$AM117)/$G117,0),"")</f>
        <v/>
      </c>
      <c r="BG117" s="6">
        <f>IF((AD117-AF117)/(AJ117/60)&lt;=0,"",(AD117-AF117)/(AJ117/60))</f>
        <v/>
      </c>
      <c r="BH117" s="6">
        <f>IF(OR(AJ117=0,AP117=0,NOT(ISNUMBER(AD117)),NOT(ISNUMBER(AF117)),NOT(ISNUMBER(AJ117)),NOT(ISNUMBER(AP117))),"",
IFERROR(IF((AD117-AF117)/(AJ117/60)/(AP117/1000)&lt;=0,"",(AD117-AF117)/(AJ117/60)/(AP117/1000)),""))</f>
        <v/>
      </c>
    </row>
    <row r="118" ht="15.75" customHeight="1">
      <c r="B118" t="n">
        <v>-126</v>
      </c>
      <c r="D118" s="134" t="n">
        <v>45378</v>
      </c>
      <c r="E118" s="133" t="n"/>
      <c r="F118" s="3" t="n">
        <v>113</v>
      </c>
      <c r="G118" s="205">
        <f>IF(OR(S118="",S118=0),"",S118*2)</f>
        <v/>
      </c>
      <c r="I118" s="15">
        <f>(N118*18-H118*18)/9</f>
        <v/>
      </c>
      <c r="J118" s="15" t="n">
        <v>22.2</v>
      </c>
      <c r="K118" s="15">
        <f>AD118</f>
        <v/>
      </c>
      <c r="M118" s="10">
        <f>IF(OR(E118="",G118="",E118=0,G118=0),"",E118/G118)</f>
        <v/>
      </c>
      <c r="N118" s="9">
        <f>IF(OR(E118="",I118="",E118=0,I118=0),"",E118/(I118*2))</f>
        <v/>
      </c>
      <c r="O118" s="8">
        <f>IF(OR(I118="",G118="",I118=0,G118=0),"",I118*2/G118)</f>
        <v/>
      </c>
      <c r="P118" s="7" t="n">
        <v>32.6</v>
      </c>
      <c r="Q118" s="6" t="n">
        <v>133.709</v>
      </c>
      <c r="R118" s="6" t="n">
        <v>28.519</v>
      </c>
      <c r="S118" s="6">
        <f>O118*1.067</f>
        <v/>
      </c>
      <c r="T118" s="6">
        <f>P118*1.514</f>
        <v/>
      </c>
      <c r="U118" s="23">
        <f>P118*1.514+O118*1.067</f>
        <v/>
      </c>
      <c r="V118" s="6" t="n">
        <v>39.5</v>
      </c>
      <c r="Y118" s="6" t="n">
        <v>0</v>
      </c>
      <c r="Z118" s="6" t="n">
        <v>0.49</v>
      </c>
      <c r="AD118" s="5" t="n">
        <v>80</v>
      </c>
      <c r="AE118" s="7">
        <f>T118</f>
        <v/>
      </c>
      <c r="AF118" s="231">
        <f>5*5.8</f>
        <v/>
      </c>
      <c r="AG118" s="231" t="n">
        <v>40.2</v>
      </c>
      <c r="AH118" s="231" t="n">
        <v>0</v>
      </c>
      <c r="AI118" t="n">
        <v>0.08</v>
      </c>
      <c r="AJ118" s="119" t="n">
        <v>0.9793981481481482</v>
      </c>
      <c r="AL118" s="231" t="n">
        <v>175</v>
      </c>
      <c r="AM118" s="3" t="n">
        <v>180</v>
      </c>
      <c r="AN118" s="4">
        <f>AE118</f>
        <v/>
      </c>
      <c r="AO118" s="231" t="n">
        <v>38.4</v>
      </c>
      <c r="AP118" s="255">
        <f>360-AK118-AB118</f>
        <v/>
      </c>
      <c r="AQ118" s="165">
        <f>[2]HRT_SRT!P172</f>
        <v/>
      </c>
      <c r="AR118" s="13">
        <f>AVERAGE(AO116:AO122)</f>
        <v/>
      </c>
      <c r="AS118" s="15">
        <f>IF(ISNUMBER([2]HRT_SRT!R172),[2]HRT_SRT!R172,"")</f>
        <v/>
      </c>
      <c r="AT118" s="156">
        <f>(E118-W118)/E118</f>
        <v/>
      </c>
      <c r="AU118" s="155">
        <f>(I118-AF118)/I118</f>
        <v/>
      </c>
      <c r="AV118" s="155">
        <f>AG118/(AD118-AF118)</f>
        <v/>
      </c>
      <c r="AW118" s="155">
        <f>(G118-AM118)/G118</f>
        <v/>
      </c>
      <c r="AX118" s="254">
        <f>IF(AND(ISNUMBER(E118),ISNUMBER(W118)),E118-W118,"")</f>
        <v/>
      </c>
      <c r="AY118" s="254">
        <f>IF(AND(ISNUMBER(I118),ISNUMBER(AF118)),I118-AF118,"")</f>
        <v/>
      </c>
      <c r="AZ118" s="254">
        <f>IF(AND(ISNUMBER(AM118),ISNUMBER(G118)),G118-AM118,"")</f>
        <v/>
      </c>
      <c r="BA118" s="254">
        <f>IF(AND(ISNUMBER(AC118),ISNUMBER(AE118)),AC118-AE118,"")</f>
        <v/>
      </c>
      <c r="BB118" s="254">
        <f>IF(AND(ISNUMBER(AL118),ISNUMBER(AM118)),AL118-AM118,"")</f>
        <v/>
      </c>
      <c r="BC118" s="123">
        <f>IF(AND($E118&gt;0,$W118&gt;0),IF(($E118-$W118)/$E118&gt;0,($E118-$W118)/$E118,0),"")</f>
        <v/>
      </c>
      <c r="BD118" s="123">
        <f>IF(AND($I118&gt;0,$AF118&gt;=0),IF(($I118-$AF118)/$I118&gt;0,($I118-$AF118)/$I118,0),"")</f>
        <v/>
      </c>
      <c r="BE118" s="123">
        <f>IF(AND($AG118&gt;=0,$AD118&gt;=0,$AF118&gt;=0),IF($AG118/($AD118-$AF118)&gt;0,$AG118/($AD118-$AF118),0),"")</f>
        <v/>
      </c>
      <c r="BF118" s="123">
        <f>IF(AND($G118&gt;0,$AM118&gt;0),IF(($G118-$AM118)/$G118&gt;0,($G118-$AM118)/$G118,0),"")</f>
        <v/>
      </c>
      <c r="BG118" s="6">
        <f>IF((AD118-AF118)/(AJ118/60)&lt;=0,"",(AD118-AF118)/(AJ118/60))</f>
        <v/>
      </c>
      <c r="BH118" s="6">
        <f>IF(OR(AJ118=0,AP118=0,NOT(ISNUMBER(AD118)),NOT(ISNUMBER(AF118)),NOT(ISNUMBER(AJ118)),NOT(ISNUMBER(AP118))),"",
IFERROR(IF((AD118-AF118)/(AJ118/60)/(AP118/1000)&lt;=0,"",(AD118-AF118)/(AJ118/60)/(AP118/1000)),""))</f>
        <v/>
      </c>
    </row>
    <row r="119" ht="15.75" customHeight="1">
      <c r="B119" t="n">
        <v>-125</v>
      </c>
      <c r="C119" s="180" t="n">
        <v>0.08</v>
      </c>
      <c r="D119" s="134" t="n">
        <v>45379</v>
      </c>
      <c r="E119" s="133" t="n"/>
      <c r="F119" s="3" t="n">
        <v>114</v>
      </c>
      <c r="G119" s="205">
        <f>IF(OR(S119="",S119=0),"",S119*2)</f>
        <v/>
      </c>
      <c r="I119" s="15">
        <f>2*13.6</f>
        <v/>
      </c>
      <c r="J119" s="15" t="n"/>
      <c r="K119" s="15">
        <f>AD119</f>
        <v/>
      </c>
      <c r="M119" s="10">
        <f>IF(OR(E119="",G119="",E119=0,G119=0),"",E119/G119)</f>
        <v/>
      </c>
      <c r="N119" s="9">
        <f>IF(OR(E119="",I119="",E119=0,I119=0),"",E119/(I119*2))</f>
        <v/>
      </c>
      <c r="O119" s="8">
        <f>IF(OR(I119="",G119="",I119=0,G119=0),"",I119*2/G119)</f>
        <v/>
      </c>
      <c r="Q119" s="6" t="n">
        <v>133.709</v>
      </c>
      <c r="R119" s="6" t="n">
        <v>31.863</v>
      </c>
      <c r="S119" s="6">
        <f>O119*1.067</f>
        <v/>
      </c>
      <c r="T119" s="6">
        <f>P119*1.514</f>
        <v/>
      </c>
      <c r="U119" s="23">
        <f>P119*1.514+O119*1.067</f>
        <v/>
      </c>
      <c r="Y119" s="6">
        <f>0.857+0.665</f>
        <v/>
      </c>
      <c r="Z119" s="6" t="n">
        <v>0.3</v>
      </c>
      <c r="AD119" s="5" t="n">
        <v>80</v>
      </c>
      <c r="AE119" s="4" t="n">
        <v>31.3</v>
      </c>
      <c r="AF119" s="231">
        <f>5*4.55</f>
        <v/>
      </c>
      <c r="AG119" s="231" t="n">
        <v>24.7</v>
      </c>
      <c r="AH119" s="231" t="n">
        <v>0</v>
      </c>
      <c r="AI119" t="n">
        <v>0.08</v>
      </c>
      <c r="AJ119" s="119" t="n">
        <v>0.9793981481481482</v>
      </c>
      <c r="AL119" s="231" t="n">
        <v>175</v>
      </c>
      <c r="AM119" s="3" t="n">
        <v>180</v>
      </c>
      <c r="AN119" s="4">
        <f>AE119</f>
        <v/>
      </c>
      <c r="AO119" s="231" t="n">
        <v>21.3</v>
      </c>
      <c r="AP119" s="255">
        <f>360-AK119-AB119</f>
        <v/>
      </c>
      <c r="AQ119" s="165" t="n"/>
      <c r="AR119" s="13">
        <f>AVERAGE(AO117:AO123)</f>
        <v/>
      </c>
      <c r="AS119" s="15">
        <f>IF(ISNUMBER([2]HRT_SRT!R173),[2]HRT_SRT!R173,"")</f>
        <v/>
      </c>
      <c r="AT119" s="156">
        <f>(E119-W119)/E119</f>
        <v/>
      </c>
      <c r="AU119" s="155">
        <f>(I119-AF119)/I119</f>
        <v/>
      </c>
      <c r="AV119" s="155">
        <f>AG119/(AD119-AF119)</f>
        <v/>
      </c>
      <c r="AW119" s="155">
        <f>(G119-AM119)/G119</f>
        <v/>
      </c>
      <c r="AX119" s="254">
        <f>IF(AND(ISNUMBER(E119),ISNUMBER(W119)),E119-W119,"")</f>
        <v/>
      </c>
      <c r="AY119" s="254">
        <f>IF(AND(ISNUMBER(I119),ISNUMBER(AF119)),I119-AF119,"")</f>
        <v/>
      </c>
      <c r="AZ119" s="254">
        <f>IF(AND(ISNUMBER(AM119),ISNUMBER(G119)),G119-AM119,"")</f>
        <v/>
      </c>
      <c r="BA119" s="254">
        <f>IF(AND(ISNUMBER(AC119),ISNUMBER(AE119)),AC119-AE119,"")</f>
        <v/>
      </c>
      <c r="BB119" s="254">
        <f>IF(AND(ISNUMBER(AL119),ISNUMBER(AM119)),AL119-AM119,"")</f>
        <v/>
      </c>
      <c r="BC119" s="123">
        <f>IF(AND($E119&gt;0,$W119&gt;0),IF(($E119-$W119)/$E119&gt;0,($E119-$W119)/$E119,0),"")</f>
        <v/>
      </c>
      <c r="BD119" s="123">
        <f>IF(AND($I119&gt;0,$AF119&gt;=0),IF(($I119-$AF119)/$I119&gt;0,($I119-$AF119)/$I119,0),"")</f>
        <v/>
      </c>
      <c r="BE119" s="123">
        <f>IF(AND($AG119&gt;=0,$AD119&gt;=0,$AF119&gt;=0),IF($AG119/($AD119-$AF119)&gt;0,$AG119/($AD119-$AF119),0),"")</f>
        <v/>
      </c>
      <c r="BF119" s="123">
        <f>IF(AND($G119&gt;0,$AM119&gt;0),IF(($G119-$AM119)/$G119&gt;0,($G119-$AM119)/$G119,0),"")</f>
        <v/>
      </c>
      <c r="BG119" s="6">
        <f>IF((AD119-AF119)/(AJ119/60)&lt;=0,"",(AD119-AF119)/(AJ119/60))</f>
        <v/>
      </c>
      <c r="BH119" s="6">
        <f>IF(OR(AJ119=0,AP119=0,NOT(ISNUMBER(AD119)),NOT(ISNUMBER(AF119)),NOT(ISNUMBER(AJ119)),NOT(ISNUMBER(AP119))),"",
IFERROR(IF((AD119-AF119)/(AJ119/60)/(AP119/1000)&lt;=0,"",(AD119-AF119)/(AJ119/60)/(AP119/1000)),""))</f>
        <v/>
      </c>
    </row>
    <row r="120" ht="15.75" customHeight="1">
      <c r="B120" t="n">
        <v>-124</v>
      </c>
      <c r="D120" s="134" t="n">
        <v>45380</v>
      </c>
      <c r="E120" s="133" t="n"/>
      <c r="F120" s="3" t="n">
        <v>115</v>
      </c>
      <c r="G120" s="205">
        <f>IF(OR(S120="",S120=0),"",S120*2)</f>
        <v/>
      </c>
      <c r="I120" s="15">
        <f>2*9.67</f>
        <v/>
      </c>
      <c r="J120" s="15" t="n"/>
      <c r="K120" s="15">
        <f>AD120</f>
        <v/>
      </c>
      <c r="M120" s="10">
        <f>IF(OR(E120="",G120="",E120=0,G120=0),"",E120/G120)</f>
        <v/>
      </c>
      <c r="N120" s="9">
        <f>IF(OR(E120="",I120="",E120=0,I120=0),"",E120/(I120*2))</f>
        <v/>
      </c>
      <c r="O120" s="8">
        <f>IF(OR(I120="",G120="",I120=0,G120=0),"",I120*2/G120)</f>
        <v/>
      </c>
      <c r="Q120" s="6" t="n">
        <v>139.522</v>
      </c>
      <c r="R120" s="6" t="n">
        <v>32.71</v>
      </c>
      <c r="S120" s="6">
        <f>O120*1.067</f>
        <v/>
      </c>
      <c r="T120" s="6">
        <f>P120*1.514</f>
        <v/>
      </c>
      <c r="U120" s="23">
        <f>P120*1.514+O120*1.067</f>
        <v/>
      </c>
      <c r="Y120" s="6">
        <f>0.808+0.654</f>
        <v/>
      </c>
      <c r="Z120" s="6" t="n">
        <v>0.29</v>
      </c>
      <c r="AD120" s="5" t="n">
        <v>80</v>
      </c>
      <c r="AE120" s="4" t="n">
        <v>35.6</v>
      </c>
      <c r="AF120" s="168" t="n">
        <v>25</v>
      </c>
      <c r="AG120" s="231" t="n">
        <v>30.6</v>
      </c>
      <c r="AI120" t="n">
        <v>0.09</v>
      </c>
      <c r="AJ120" s="119" t="n">
        <v>0.9793981481481482</v>
      </c>
      <c r="AL120" s="231" t="n">
        <v>175</v>
      </c>
      <c r="AM120" s="3" t="n">
        <v>180</v>
      </c>
      <c r="AN120" s="4">
        <f>AE120</f>
        <v/>
      </c>
      <c r="AO120" s="231" t="n">
        <v>17.3</v>
      </c>
      <c r="AP120" s="255">
        <f>360-AK120-AB120</f>
        <v/>
      </c>
      <c r="AQ120" s="165" t="n"/>
      <c r="AR120" s="13">
        <f>AVERAGE(AO118:AO124)</f>
        <v/>
      </c>
      <c r="AS120" s="15">
        <f>IF(ISNUMBER([2]HRT_SRT!R174),[2]HRT_SRT!R174,"")</f>
        <v/>
      </c>
      <c r="AT120" s="156">
        <f>(E120-W120)/E120</f>
        <v/>
      </c>
      <c r="AU120" s="155">
        <f>(I120-AF120)/I120</f>
        <v/>
      </c>
      <c r="AV120" s="155">
        <f>AG120/(AD120-AF120)</f>
        <v/>
      </c>
      <c r="AW120" s="155">
        <f>(G120-AM120)/G120</f>
        <v/>
      </c>
      <c r="AX120" s="254">
        <f>IF(AND(ISNUMBER(E120),ISNUMBER(W120)),E120-W120,"")</f>
        <v/>
      </c>
      <c r="AY120" s="254">
        <f>IF(AND(ISNUMBER(I120),ISNUMBER(AF120)),I120-AF120,"")</f>
        <v/>
      </c>
      <c r="AZ120" s="254">
        <f>IF(AND(ISNUMBER(AM120),ISNUMBER(G120)),G120-AM120,"")</f>
        <v/>
      </c>
      <c r="BA120" s="254">
        <f>IF(AND(ISNUMBER(AC120),ISNUMBER(AE120)),AC120-AE120,"")</f>
        <v/>
      </c>
      <c r="BB120" s="254">
        <f>IF(AND(ISNUMBER(AL120),ISNUMBER(AM120)),AL120-AM120,"")</f>
        <v/>
      </c>
      <c r="BC120" s="123">
        <f>IF(AND($E120&gt;0,$W120&gt;0),IF(($E120-$W120)/$E120&gt;0,($E120-$W120)/$E120,0),"")</f>
        <v/>
      </c>
      <c r="BD120" s="123">
        <f>IF(AND($I120&gt;0,$AF120&gt;=0),IF(($I120-$AF120)/$I120&gt;0,($I120-$AF120)/$I120,0),"")</f>
        <v/>
      </c>
      <c r="BE120" s="123">
        <f>IF(AND($AG120&gt;=0,$AD120&gt;=0,$AF120&gt;=0),IF($AG120/($AD120-$AF120)&gt;0,$AG120/($AD120-$AF120),0),"")</f>
        <v/>
      </c>
      <c r="BF120" s="123">
        <f>IF(AND($G120&gt;0,$AM120&gt;0),IF(($G120-$AM120)/$G120&gt;0,($G120-$AM120)/$G120,0),"")</f>
        <v/>
      </c>
      <c r="BG120" s="6">
        <f>IF((AD120-AF120)/(AJ120/60)&lt;=0,"",(AD120-AF120)/(AJ120/60))</f>
        <v/>
      </c>
      <c r="BH120" s="6">
        <f>IF(OR(AJ120=0,AP120=0,NOT(ISNUMBER(AD120)),NOT(ISNUMBER(AF120)),NOT(ISNUMBER(AJ120)),NOT(ISNUMBER(AP120))),"",
IFERROR(IF((AD120-AF120)/(AJ120/60)/(AP120/1000)&lt;=0,"",(AD120-AF120)/(AJ120/60)/(AP120/1000)),""))</f>
        <v/>
      </c>
    </row>
    <row r="121" ht="15.75" customHeight="1">
      <c r="B121" t="n">
        <v>-123</v>
      </c>
      <c r="D121" s="134" t="n">
        <v>45381</v>
      </c>
      <c r="E121" s="133" t="n"/>
      <c r="F121" s="3" t="n">
        <v>116</v>
      </c>
      <c r="G121" s="205">
        <f>IF(OR(S121="",S121=0),"",S121*2)</f>
        <v/>
      </c>
      <c r="I121" s="15" t="n"/>
      <c r="J121" s="15" t="n"/>
      <c r="K121" s="15">
        <f>AD121</f>
        <v/>
      </c>
      <c r="M121" s="10">
        <f>IF(OR(E121="",G121="",E121=0,G121=0),"",E121/G121)</f>
        <v/>
      </c>
      <c r="N121" s="9">
        <f>IF(OR(E121="",I121="",E121=0,I121=0),"",E121/(I121*2))</f>
        <v/>
      </c>
      <c r="O121" s="8">
        <f>IF(OR(I121="",G121="",I121=0,G121=0),"",I121*2/G121)</f>
        <v/>
      </c>
      <c r="Z121" s="6" t="n">
        <v>0.31</v>
      </c>
      <c r="AD121" s="5" t="n">
        <v>80</v>
      </c>
      <c r="AF121" s="168" t="n">
        <v>25</v>
      </c>
      <c r="AI121" t="n">
        <v>0.08</v>
      </c>
      <c r="AJ121" s="119" t="n">
        <v>0.9793981481481482</v>
      </c>
      <c r="AL121" s="231" t="n">
        <v>175</v>
      </c>
      <c r="AM121" s="3" t="n">
        <v>180</v>
      </c>
      <c r="AP121" s="255">
        <f>360-AK121-AB121</f>
        <v/>
      </c>
      <c r="AQ121" s="165" t="n"/>
      <c r="AR121" s="13">
        <f>AVERAGE(AO119:AO125)</f>
        <v/>
      </c>
      <c r="AS121" s="15">
        <f>IF(ISNUMBER([2]HRT_SRT!R175),[2]HRT_SRT!R175,"")</f>
        <v/>
      </c>
      <c r="AT121" s="156">
        <f>(E121-W121)/E121</f>
        <v/>
      </c>
      <c r="AU121" s="155">
        <f>(I121-AF121)/I121</f>
        <v/>
      </c>
      <c r="AV121" s="155">
        <f>AG121/(AD121-AF121)</f>
        <v/>
      </c>
      <c r="AW121" s="155">
        <f>(G121-AM121)/G121</f>
        <v/>
      </c>
      <c r="AX121" s="254">
        <f>IF(AND(ISNUMBER(E121),ISNUMBER(W121)),E121-W121,"")</f>
        <v/>
      </c>
      <c r="AY121" s="254">
        <f>IF(AND(ISNUMBER(I121),ISNUMBER(AF121)),I121-AF121,"")</f>
        <v/>
      </c>
      <c r="AZ121" s="254">
        <f>IF(AND(ISNUMBER(AM121),ISNUMBER(G121)),G121-AM121,"")</f>
        <v/>
      </c>
      <c r="BA121" s="254">
        <f>IF(AND(ISNUMBER(AC121),ISNUMBER(AE121)),AC121-AE121,"")</f>
        <v/>
      </c>
      <c r="BB121" s="254">
        <f>IF(AND(ISNUMBER(AL121),ISNUMBER(AM121)),AL121-AM121,"")</f>
        <v/>
      </c>
      <c r="BC121" s="123">
        <f>IF(AND($E121&gt;0,$W121&gt;0),IF(($E121-$W121)/$E121&gt;0,($E121-$W121)/$E121,0),"")</f>
        <v/>
      </c>
      <c r="BD121" s="123">
        <f>IF(AND($I121&gt;0,$AF121&gt;=0),IF(($I121-$AF121)/$I121&gt;0,($I121-$AF121)/$I121,0),"")</f>
        <v/>
      </c>
      <c r="BE121" s="123">
        <f>IF(AND($AG121&gt;=0,$AD121&gt;=0,$AF121&gt;=0),IF($AG121/($AD121-$AF121)&gt;0,$AG121/($AD121-$AF121),0),"")</f>
        <v/>
      </c>
      <c r="BF121" s="123">
        <f>IF(AND($G121&gt;0,$AM121&gt;0),IF(($G121-$AM121)/$G121&gt;0,($G121-$AM121)/$G121,0),"")</f>
        <v/>
      </c>
      <c r="BG121" s="6">
        <f>IF((AD121-AF121)/(AJ121/60)&lt;=0,"",(AD121-AF121)/(AJ121/60))</f>
        <v/>
      </c>
      <c r="BH121" s="6">
        <f>IF(OR(AJ121=0,AP121=0,NOT(ISNUMBER(AD121)),NOT(ISNUMBER(AF121)),NOT(ISNUMBER(AJ121)),NOT(ISNUMBER(AP121))),"",
IFERROR(IF((AD121-AF121)/(AJ121/60)/(AP121/1000)&lt;=0,"",(AD121-AF121)/(AJ121/60)/(AP121/1000)),""))</f>
        <v/>
      </c>
    </row>
    <row r="122" ht="15.75" customHeight="1">
      <c r="B122" t="n">
        <v>-122</v>
      </c>
      <c r="D122" s="134" t="n">
        <v>45382</v>
      </c>
      <c r="E122" s="133" t="n"/>
      <c r="F122" s="3" t="n">
        <v>117</v>
      </c>
      <c r="G122" s="205">
        <f>IF(OR(S122="",S122=0),"",S122*2)</f>
        <v/>
      </c>
      <c r="I122" s="15" t="n"/>
      <c r="J122" s="15" t="n"/>
      <c r="K122" s="15">
        <f>AD122</f>
        <v/>
      </c>
      <c r="M122" s="10">
        <f>IF(OR(E122="",G122="",E122=0,G122=0),"",E122/G122)</f>
        <v/>
      </c>
      <c r="N122" s="9">
        <f>IF(OR(E122="",I122="",E122=0,I122=0),"",E122/(I122*2))</f>
        <v/>
      </c>
      <c r="O122" s="8">
        <f>IF(OR(I122="",G122="",I122=0,G122=0),"",I122*2/G122)</f>
        <v/>
      </c>
      <c r="Z122" s="6" t="n">
        <v>0.29</v>
      </c>
      <c r="AD122" s="5" t="n">
        <v>80</v>
      </c>
      <c r="AF122" s="168" t="n">
        <v>25</v>
      </c>
      <c r="AI122" t="n">
        <v>0.11</v>
      </c>
      <c r="AJ122" s="119" t="n">
        <v>0.3540509259259259</v>
      </c>
      <c r="AL122" s="231" t="n">
        <v>175</v>
      </c>
      <c r="AM122" s="3" t="n">
        <v>180</v>
      </c>
      <c r="AP122" s="255">
        <f>360-AK122-AB122</f>
        <v/>
      </c>
      <c r="AQ122" s="165" t="n"/>
      <c r="AR122" s="13">
        <f>AVERAGE(AO120:AO126)</f>
        <v/>
      </c>
      <c r="AS122" s="15">
        <f>IF(ISNUMBER([2]HRT_SRT!R176),[2]HRT_SRT!R176,"")</f>
        <v/>
      </c>
      <c r="AT122" s="156">
        <f>(E122-W122)/E122</f>
        <v/>
      </c>
      <c r="AU122" s="155">
        <f>(I122-AF122)/I122</f>
        <v/>
      </c>
      <c r="AV122" s="155">
        <f>AG122/(AD122-AF122)</f>
        <v/>
      </c>
      <c r="AW122" s="155">
        <f>(G122-AM122)/G122</f>
        <v/>
      </c>
      <c r="AX122" s="254">
        <f>IF(AND(ISNUMBER(E122),ISNUMBER(W122)),E122-W122,"")</f>
        <v/>
      </c>
      <c r="AY122" s="254">
        <f>IF(AND(ISNUMBER(I122),ISNUMBER(AF122)),I122-AF122,"")</f>
        <v/>
      </c>
      <c r="AZ122" s="254">
        <f>IF(AND(ISNUMBER(AM122),ISNUMBER(G122)),G122-AM122,"")</f>
        <v/>
      </c>
      <c r="BA122" s="254">
        <f>IF(AND(ISNUMBER(AC122),ISNUMBER(AE122)),AC122-AE122,"")</f>
        <v/>
      </c>
      <c r="BB122" s="254">
        <f>IF(AND(ISNUMBER(AL122),ISNUMBER(AM122)),AL122-AM122,"")</f>
        <v/>
      </c>
      <c r="BC122" s="123">
        <f>IF(AND($E122&gt;0,$W122&gt;0),IF(($E122-$W122)/$E122&gt;0,($E122-$W122)/$E122,0),"")</f>
        <v/>
      </c>
      <c r="BD122" s="123">
        <f>IF(AND($I122&gt;0,$AF122&gt;=0),IF(($I122-$AF122)/$I122&gt;0,($I122-$AF122)/$I122,0),"")</f>
        <v/>
      </c>
      <c r="BE122" s="123">
        <f>IF(AND($AG122&gt;=0,$AD122&gt;=0,$AF122&gt;=0),IF($AG122/($AD122-$AF122)&gt;0,$AG122/($AD122-$AF122),0),"")</f>
        <v/>
      </c>
      <c r="BF122" s="123">
        <f>IF(AND($G122&gt;0,$AM122&gt;0),IF(($G122-$AM122)/$G122&gt;0,($G122-$AM122)/$G122,0),"")</f>
        <v/>
      </c>
      <c r="BG122" s="6">
        <f>IF((AD122-AF122)/(AJ122/60)&lt;=0,"",(AD122-AF122)/(AJ122/60))</f>
        <v/>
      </c>
      <c r="BH122" s="6">
        <f>IF(OR(AJ122=0,AP122=0,NOT(ISNUMBER(AD122)),NOT(ISNUMBER(AF122)),NOT(ISNUMBER(AJ122)),NOT(ISNUMBER(AP122))),"",
IFERROR(IF((AD122-AF122)/(AJ122/60)/(AP122/1000)&lt;=0,"",(AD122-AF122)/(AJ122/60)/(AP122/1000)),""))</f>
        <v/>
      </c>
    </row>
    <row r="123" ht="15.75" customHeight="1">
      <c r="B123" t="n">
        <v>-121</v>
      </c>
      <c r="D123" s="134" t="n">
        <v>45383</v>
      </c>
      <c r="E123" s="133" t="n"/>
      <c r="F123" s="3" t="n">
        <v>118</v>
      </c>
      <c r="G123" s="205">
        <f>IF(OR(S123="",S123=0),"",S123*2)</f>
        <v/>
      </c>
      <c r="I123" s="15" t="n"/>
      <c r="J123" s="15" t="n"/>
      <c r="K123" s="15">
        <f>AD123</f>
        <v/>
      </c>
      <c r="M123" s="10">
        <f>IF(OR(E123="",G123="",E123=0,G123=0),"",E123/G123)</f>
        <v/>
      </c>
      <c r="N123" s="9">
        <f>IF(OR(E123="",I123="",E123=0,I123=0),"",E123/(I123*2))</f>
        <v/>
      </c>
      <c r="O123" s="8">
        <f>IF(OR(I123="",G123="",I123=0,G123=0),"",I123*2/G123)</f>
        <v/>
      </c>
      <c r="Z123" s="6" t="n">
        <v>0.42</v>
      </c>
      <c r="AD123" s="5" t="n">
        <v>80</v>
      </c>
      <c r="AF123" s="168" t="n">
        <v>25</v>
      </c>
      <c r="AI123" t="n">
        <v>0.08</v>
      </c>
      <c r="AJ123" s="119" t="n">
        <v>0.9793981481481482</v>
      </c>
      <c r="AL123" s="231" t="n">
        <v>175</v>
      </c>
      <c r="AM123" s="3" t="n">
        <v>180</v>
      </c>
      <c r="AP123" s="255">
        <f>360-AK123-AB123</f>
        <v/>
      </c>
      <c r="AQ123" s="165" t="n"/>
      <c r="AR123" s="13">
        <f>AVERAGE(AO121:AO127)</f>
        <v/>
      </c>
      <c r="AS123" s="15">
        <f>IF(ISNUMBER([2]HRT_SRT!R177),[2]HRT_SRT!R177,"")</f>
        <v/>
      </c>
      <c r="AT123" s="156">
        <f>(E123-W123)/E123</f>
        <v/>
      </c>
      <c r="AU123" s="155">
        <f>(I123-AF123)/I123</f>
        <v/>
      </c>
      <c r="AV123" s="155">
        <f>AG123/(AD123-AF123)</f>
        <v/>
      </c>
      <c r="AW123" s="155">
        <f>(G123-AM123)/G123</f>
        <v/>
      </c>
      <c r="AX123" s="254">
        <f>IF(AND(ISNUMBER(E123),ISNUMBER(W123)),E123-W123,"")</f>
        <v/>
      </c>
      <c r="AY123" s="254">
        <f>IF(AND(ISNUMBER(I123),ISNUMBER(AF123)),I123-AF123,"")</f>
        <v/>
      </c>
      <c r="AZ123" s="254">
        <f>IF(AND(ISNUMBER(AM123),ISNUMBER(G123)),G123-AM123,"")</f>
        <v/>
      </c>
      <c r="BA123" s="254">
        <f>IF(AND(ISNUMBER(AC123),ISNUMBER(AE123)),AC123-AE123,"")</f>
        <v/>
      </c>
      <c r="BB123" s="254">
        <f>IF(AND(ISNUMBER(AL123),ISNUMBER(AM123)),AL123-AM123,"")</f>
        <v/>
      </c>
      <c r="BC123" s="123">
        <f>IF(AND($E123&gt;0,$W123&gt;0),IF(($E123-$W123)/$E123&gt;0,($E123-$W123)/$E123,0),"")</f>
        <v/>
      </c>
      <c r="BD123" s="123">
        <f>IF(AND($I123&gt;0,$AF123&gt;=0),IF(($I123-$AF123)/$I123&gt;0,($I123-$AF123)/$I123,0),"")</f>
        <v/>
      </c>
      <c r="BE123" s="123">
        <f>IF(AND($AG123&gt;=0,$AD123&gt;=0,$AF123&gt;=0),IF($AG123/($AD123-$AF123)&gt;0,$AG123/($AD123-$AF123),0),"")</f>
        <v/>
      </c>
      <c r="BF123" s="123">
        <f>IF(AND($G123&gt;0,$AM123&gt;0),IF(($G123-$AM123)/$G123&gt;0,($G123-$AM123)/$G123,0),"")</f>
        <v/>
      </c>
      <c r="BG123" s="6">
        <f>IF((AD123-AF123)/(AJ123/60)&lt;=0,"",(AD123-AF123)/(AJ123/60))</f>
        <v/>
      </c>
      <c r="BH123" s="6">
        <f>IF(OR(AJ123=0,AP123=0,NOT(ISNUMBER(AD123)),NOT(ISNUMBER(AF123)),NOT(ISNUMBER(AJ123)),NOT(ISNUMBER(AP123))),"",
IFERROR(IF((AD123-AF123)/(AJ123/60)/(AP123/1000)&lt;=0,"",(AD123-AF123)/(AJ123/60)/(AP123/1000)),""))</f>
        <v/>
      </c>
    </row>
    <row r="124" ht="15.75" customHeight="1">
      <c r="B124" t="n">
        <v>-120</v>
      </c>
      <c r="C124" s="12" t="inlineStr">
        <is>
          <t xml:space="preserve">mixer got shut off by air stone wrapping around the mixer </t>
        </is>
      </c>
      <c r="D124" s="134" t="n">
        <v>45384</v>
      </c>
      <c r="E124" s="133" t="n"/>
      <c r="F124" s="3" t="n">
        <v>119</v>
      </c>
      <c r="G124" s="205">
        <f>IF(OR(S124="",S124=0),"",S124*2)</f>
        <v/>
      </c>
      <c r="I124" s="15">
        <f>(N124*18-H124*18)/9</f>
        <v/>
      </c>
      <c r="J124" s="15" t="n">
        <v>10.5</v>
      </c>
      <c r="K124" s="15">
        <f>AD124</f>
        <v/>
      </c>
      <c r="M124" s="10">
        <f>IF(OR(E124="",G124="",E124=0,G124=0),"",E124/G124)</f>
        <v/>
      </c>
      <c r="N124" s="9">
        <f>IF(OR(E124="",I124="",E124=0,I124=0),"",E124/(I124*2))</f>
        <v/>
      </c>
      <c r="O124" s="8">
        <f>IF(OR(I124="",G124="",I124=0,G124=0),"",I124*2/G124)</f>
        <v/>
      </c>
      <c r="P124" s="7" t="n">
        <v>20.8</v>
      </c>
      <c r="Q124" s="6" t="n">
        <v>162.646</v>
      </c>
      <c r="R124" s="6" t="n">
        <v>34.396</v>
      </c>
      <c r="S124" s="6">
        <f>O124*1.067</f>
        <v/>
      </c>
      <c r="T124" s="6">
        <f>P124*1.514</f>
        <v/>
      </c>
      <c r="U124" s="23">
        <f>P124*1.514+O124*1.067</f>
        <v/>
      </c>
      <c r="Z124" s="6" t="n">
        <v>0.3</v>
      </c>
      <c r="AD124" s="5" t="n">
        <v>80</v>
      </c>
      <c r="AF124" s="168" t="n">
        <v>25</v>
      </c>
      <c r="AG124" s="231" t="n">
        <v>24.8</v>
      </c>
      <c r="AH124" s="231" t="n">
        <v>0</v>
      </c>
      <c r="AI124" t="n">
        <v>0.06</v>
      </c>
      <c r="AJ124" s="119" t="n">
        <v>0.9793981481481482</v>
      </c>
      <c r="AL124" s="231" t="n">
        <v>175</v>
      </c>
      <c r="AM124" s="3" t="n">
        <v>180</v>
      </c>
      <c r="AN124" s="4">
        <f>AE124</f>
        <v/>
      </c>
      <c r="AO124" s="231" t="n">
        <v>19.9</v>
      </c>
      <c r="AP124" s="255">
        <f>360-AK124-AB124</f>
        <v/>
      </c>
      <c r="AQ124" s="165" t="n"/>
      <c r="AR124" s="13">
        <f>AVERAGE(AO122:AO128)</f>
        <v/>
      </c>
      <c r="AS124" s="15">
        <f>IF(ISNUMBER([2]HRT_SRT!R178),[2]HRT_SRT!R178,"")</f>
        <v/>
      </c>
      <c r="AT124" s="156">
        <f>(E124-W124)/E124</f>
        <v/>
      </c>
      <c r="AU124" s="155">
        <f>(I124-AF124)/I124</f>
        <v/>
      </c>
      <c r="AV124" s="155">
        <f>AG124/(AD124-AF124)</f>
        <v/>
      </c>
      <c r="AW124" s="155">
        <f>(G124-AM124)/G124</f>
        <v/>
      </c>
      <c r="AX124" s="254">
        <f>IF(AND(ISNUMBER(E124),ISNUMBER(W124)),E124-W124,"")</f>
        <v/>
      </c>
      <c r="AY124" s="254">
        <f>IF(AND(ISNUMBER(I124),ISNUMBER(AF124)),I124-AF124,"")</f>
        <v/>
      </c>
      <c r="AZ124" s="254">
        <f>IF(AND(ISNUMBER(AM124),ISNUMBER(G124)),G124-AM124,"")</f>
        <v/>
      </c>
      <c r="BA124" s="254">
        <f>IF(AND(ISNUMBER(AC124),ISNUMBER(AE124)),AC124-AE124,"")</f>
        <v/>
      </c>
      <c r="BB124" s="254">
        <f>IF(AND(ISNUMBER(AL124),ISNUMBER(AM124)),AL124-AM124,"")</f>
        <v/>
      </c>
      <c r="BC124" s="123">
        <f>IF(AND($E124&gt;0,$W124&gt;0),IF(($E124-$W124)/$E124&gt;0,($E124-$W124)/$E124,0),"")</f>
        <v/>
      </c>
      <c r="BD124" s="123">
        <f>IF(AND($I124&gt;0,$AF124&gt;=0),IF(($I124-$AF124)/$I124&gt;0,($I124-$AF124)/$I124,0),"")</f>
        <v/>
      </c>
      <c r="BE124" s="123">
        <f>IF(AND($AG124&gt;=0,$AD124&gt;=0,$AF124&gt;=0),IF($AG124/($AD124-$AF124)&gt;0,$AG124/($AD124-$AF124),0),"")</f>
        <v/>
      </c>
      <c r="BF124" s="123">
        <f>IF(AND($G124&gt;0,$AM124&gt;0),IF(($G124-$AM124)/$G124&gt;0,($G124-$AM124)/$G124,0),"")</f>
        <v/>
      </c>
      <c r="BG124" s="6">
        <f>IF((AD124-AF124)/(AJ124/60)&lt;=0,"",(AD124-AF124)/(AJ124/60))</f>
        <v/>
      </c>
      <c r="BH124" s="6">
        <f>IF(OR(AJ124=0,AP124=0,NOT(ISNUMBER(AD124)),NOT(ISNUMBER(AF124)),NOT(ISNUMBER(AJ124)),NOT(ISNUMBER(AP124))),"",
IFERROR(IF((AD124-AF124)/(AJ124/60)/(AP124/1000)&lt;=0,"",(AD124-AF124)/(AJ124/60)/(AP124/1000)),""))</f>
        <v/>
      </c>
    </row>
    <row r="125" ht="15.75" customFormat="1" customHeight="1" s="27">
      <c r="B125" t="n">
        <v>-119</v>
      </c>
      <c r="C125" s="179" t="inlineStr">
        <is>
          <t>couldn't finish COD</t>
        </is>
      </c>
      <c r="D125" s="178" t="n">
        <v>45385</v>
      </c>
      <c r="E125" s="133" t="n"/>
      <c r="F125" s="29" t="n">
        <v>120</v>
      </c>
      <c r="G125" s="205">
        <f>IF(OR(S125="",S125=0),"",S125*2)</f>
        <v/>
      </c>
      <c r="H125" s="36" t="n"/>
      <c r="I125" s="36" t="n"/>
      <c r="J125" s="36" t="n"/>
      <c r="K125" s="15">
        <f>AD125</f>
        <v/>
      </c>
      <c r="L125" s="35" t="n"/>
      <c r="M125" s="10">
        <f>IF(OR(E125="",G125="",E125=0,G125=0),"",E125/G125)</f>
        <v/>
      </c>
      <c r="N125" s="9">
        <f>IF(OR(E125="",I125="",E125=0,I125=0),"",E125/(I125*2))</f>
        <v/>
      </c>
      <c r="O125" s="8">
        <f>IF(OR(I125="",G125="",I125=0,G125=0),"",I125*2/G125)</f>
        <v/>
      </c>
      <c r="P125" s="34" t="n"/>
      <c r="Q125" s="33" t="n"/>
      <c r="R125" s="33" t="n"/>
      <c r="S125" s="33" t="n"/>
      <c r="T125" s="33" t="n"/>
      <c r="U125" s="33" t="n"/>
      <c r="V125" s="33" t="n"/>
      <c r="W125" s="33" t="n"/>
      <c r="X125" s="33" t="n"/>
      <c r="Y125" s="33" t="n"/>
      <c r="Z125" s="33" t="n">
        <v>0.33</v>
      </c>
      <c r="AA125" s="33" t="n"/>
      <c r="AB125" s="33" t="n"/>
      <c r="AC125" s="33" t="n"/>
      <c r="AD125" s="74" t="n">
        <v>80</v>
      </c>
      <c r="AE125" s="32" t="n"/>
      <c r="AF125" s="177" t="n">
        <v>25</v>
      </c>
      <c r="AI125" s="116" t="n">
        <v>0.06</v>
      </c>
      <c r="AJ125" s="125" t="n">
        <v>0.9793981481481482</v>
      </c>
      <c r="AL125" s="27" t="n">
        <v>175</v>
      </c>
      <c r="AM125" s="29" t="n">
        <v>180</v>
      </c>
      <c r="AN125" s="32" t="n"/>
      <c r="AP125" s="253">
        <f>360-AK125-AB125</f>
        <v/>
      </c>
      <c r="AQ125" s="176">
        <f>[2]HRT_SRT!P179</f>
        <v/>
      </c>
      <c r="AR125" s="13">
        <f>AVERAGE(AO123:AO129)</f>
        <v/>
      </c>
      <c r="AS125" s="77">
        <f>IF(ISNUMBER([2]HRT_SRT!R179),[2]HRT_SRT!R179,"")</f>
        <v/>
      </c>
      <c r="AT125" s="156">
        <f>(E125-W125)/E125</f>
        <v/>
      </c>
      <c r="AU125" s="155">
        <f>(I125-AF125)/I125</f>
        <v/>
      </c>
      <c r="AV125" s="155">
        <f>AG125/(AD125-AF125)</f>
        <v/>
      </c>
      <c r="AW125" s="155">
        <f>(G125-AM125)/G125</f>
        <v/>
      </c>
      <c r="AX125" s="254">
        <f>IF(AND(ISNUMBER(E125),ISNUMBER(W125)),E125-W125,"")</f>
        <v/>
      </c>
      <c r="AY125" s="254">
        <f>IF(AND(ISNUMBER(I125),ISNUMBER(AF125)),I125-AF125,"")</f>
        <v/>
      </c>
      <c r="AZ125" s="254">
        <f>IF(AND(ISNUMBER(AM125),ISNUMBER(G125)),G125-AM125,"")</f>
        <v/>
      </c>
      <c r="BA125" s="254">
        <f>IF(AND(ISNUMBER(AC125),ISNUMBER(AE125)),AC125-AE125,"")</f>
        <v/>
      </c>
      <c r="BB125" s="254">
        <f>IF(AND(ISNUMBER(AL125),ISNUMBER(AM125)),AL125-AM125,"")</f>
        <v/>
      </c>
      <c r="BC125" s="123">
        <f>IF(AND($E125&gt;0,$W125&gt;0),IF(($E125-$W125)/$E125&gt;0,($E125-$W125)/$E125,0),"")</f>
        <v/>
      </c>
      <c r="BD125" s="123">
        <f>IF(AND($I125&gt;0,$AF125&gt;=0),IF(($I125-$AF125)/$I125&gt;0,($I125-$AF125)/$I125,0),"")</f>
        <v/>
      </c>
      <c r="BE125" s="123">
        <f>IF(AND($AG125&gt;=0,$AD125&gt;=0,$AF125&gt;=0),IF($AG125/($AD125-$AF125)&gt;0,$AG125/($AD125-$AF125),0),"")</f>
        <v/>
      </c>
      <c r="BF125" s="123">
        <f>IF(AND($G125&gt;0,$AM125&gt;0),IF(($G125-$AM125)/$G125&gt;0,($G125-$AM125)/$G125,0),"")</f>
        <v/>
      </c>
      <c r="BG125" s="6">
        <f>IF((AD125-AF125)/(AJ125/60)&lt;=0,"",(AD125-AF125)/(AJ125/60))</f>
        <v/>
      </c>
      <c r="BH125" s="6">
        <f>IF(OR(AJ125=0,AP125=0,NOT(ISNUMBER(AD125)),NOT(ISNUMBER(AF125)),NOT(ISNUMBER(AJ125)),NOT(ISNUMBER(AP125))),"",
IFERROR(IF((AD125-AF125)/(AJ125/60)/(AP125/1000)&lt;=0,"",(AD125-AF125)/(AJ125/60)/(AP125/1000)),""))</f>
        <v/>
      </c>
    </row>
    <row r="126" ht="15.75" customHeight="1">
      <c r="B126" t="n">
        <v>-118</v>
      </c>
      <c r="C126" s="12" t="inlineStr">
        <is>
          <t>start on 120 ppm COD</t>
        </is>
      </c>
      <c r="D126" s="11" t="n">
        <v>45386</v>
      </c>
      <c r="F126" s="3" t="n">
        <v>121</v>
      </c>
      <c r="G126" s="205">
        <f>IF(OR(S126="",S126=0),"",S126*2)</f>
        <v/>
      </c>
      <c r="K126" s="15">
        <f>AD126</f>
        <v/>
      </c>
      <c r="M126" s="10">
        <f>IF(OR(E126="",G126="",E126=0,G126=0),"",E126/G126)</f>
        <v/>
      </c>
      <c r="N126" s="9">
        <f>IF(OR(E126="",I126="",E126=0,I126=0),"",E126/(I126*2))</f>
        <v/>
      </c>
      <c r="O126" s="8">
        <f>IF(OR(I126="",G126="",I126=0,G126=0),"",I126*2/G126)</f>
        <v/>
      </c>
      <c r="Q126" s="6" t="n">
        <v>174.348</v>
      </c>
      <c r="R126" s="6" t="n">
        <v>33.494</v>
      </c>
      <c r="S126" s="6">
        <f>O126*1.067</f>
        <v/>
      </c>
      <c r="T126" s="6">
        <f>P126*1.514</f>
        <v/>
      </c>
      <c r="U126" s="23">
        <f>P126*1.514+O126*1.067</f>
        <v/>
      </c>
      <c r="Y126" s="6">
        <f>0.687+84.128</f>
        <v/>
      </c>
      <c r="AD126" s="5" t="n">
        <v>80</v>
      </c>
      <c r="AF126" s="168" t="n">
        <v>25</v>
      </c>
      <c r="AI126" t="n">
        <v>0.06</v>
      </c>
      <c r="AJ126" s="119" t="n">
        <v>0.9793981481481482</v>
      </c>
      <c r="AL126" s="231" t="n">
        <v>175</v>
      </c>
      <c r="AM126" s="3" t="n">
        <v>180</v>
      </c>
      <c r="AP126" s="255">
        <f>360-AK126-AB126</f>
        <v/>
      </c>
      <c r="AQ126" s="165" t="n"/>
      <c r="AR126" s="13">
        <f>AVERAGE(AO124:AO130)</f>
        <v/>
      </c>
      <c r="AS126" s="15">
        <f>IF(ISNUMBER([2]HRT_SRT!R180),[2]HRT_SRT!R180,"")</f>
        <v/>
      </c>
      <c r="AT126" s="156">
        <f>(E126-W126)/E126</f>
        <v/>
      </c>
      <c r="AU126" s="155">
        <f>(I126-AF126)/I126</f>
        <v/>
      </c>
      <c r="AV126" s="155">
        <f>AG126/(AD126-AF126)</f>
        <v/>
      </c>
      <c r="AW126" s="155">
        <f>(G126-AM126)/G126</f>
        <v/>
      </c>
      <c r="AX126" s="254">
        <f>IF(AND(ISNUMBER(E126),ISNUMBER(W126)),E126-W126,"")</f>
        <v/>
      </c>
      <c r="AY126" s="254">
        <f>IF(AND(ISNUMBER(I126),ISNUMBER(AF126)),I126-AF126,"")</f>
        <v/>
      </c>
      <c r="AZ126" s="254">
        <f>IF(AND(ISNUMBER(AM126),ISNUMBER(G126)),G126-AM126,"")</f>
        <v/>
      </c>
      <c r="BA126" s="254">
        <f>IF(AND(ISNUMBER(AC126),ISNUMBER(AE126)),AC126-AE126,"")</f>
        <v/>
      </c>
      <c r="BB126" s="254">
        <f>IF(AND(ISNUMBER(AL126),ISNUMBER(AM126)),AL126-AM126,"")</f>
        <v/>
      </c>
      <c r="BC126" s="84">
        <f>IF(AND($E126&gt;0,$W126&gt;0),IF(($E126-$W126)/$E126&gt;0,($E126-$W126)/$E126,0),#N/A)</f>
        <v/>
      </c>
      <c r="BD126" s="84">
        <f>IF(AND($I126&gt;0,$AF126&gt;=0),IF(($I126-$AF126)/$I126&gt;0,($I126-$AF126)/$I126,0),#N/A)</f>
        <v/>
      </c>
      <c r="BE126" s="84">
        <f>IF(AND($AG126&gt;=0,$AD126&gt;=0,$AF126&gt;=0),IF($AG126/($AD126-$AF126)&gt;0,$AG126/($AD126-$AF126),0),#N/A)</f>
        <v/>
      </c>
      <c r="BF126" s="84">
        <f>IF(AND($G126&gt;0,$AM126&gt;0),IF(($G126-$AM126)/$G126&gt;0,($G126-$AM126)/$G126,0),"")</f>
        <v/>
      </c>
      <c r="BG126" s="6">
        <f>IF((AD126-AF126)/(AJ126/60)&lt;=0,"",(AD126-AF126)/(AJ126/60))</f>
        <v/>
      </c>
      <c r="BH126" s="6">
        <f>IF(OR(AJ126=0,AP126=0,NOT(ISNUMBER(AD126)),NOT(ISNUMBER(AF126)),NOT(ISNUMBER(AJ126)),NOT(ISNUMBER(AP126))),"",
IFERROR(IF((AD126-AF126)/(AJ126/60)/(AP126/1000)&lt;=0,"",(AD126-AF126)/(AJ126/60)/(AP126/1000)),""))</f>
        <v/>
      </c>
    </row>
    <row r="127" ht="15.75" customHeight="1">
      <c r="B127" t="n">
        <v>-117</v>
      </c>
      <c r="D127" s="11" t="n">
        <v>45387</v>
      </c>
      <c r="F127" s="3" t="n">
        <v>122</v>
      </c>
      <c r="G127" s="205">
        <f>IF(OR(S127="",S127=0),"",S127*2)</f>
        <v/>
      </c>
      <c r="I127" s="15">
        <f>(N127*18-H127*18)/9</f>
        <v/>
      </c>
      <c r="J127" s="15" t="n">
        <v>5.51</v>
      </c>
      <c r="K127" s="15">
        <f>AD127</f>
        <v/>
      </c>
      <c r="M127" s="10">
        <f>IF(OR(E127="",G127="",E127=0,G127=0),"",E127/G127)</f>
        <v/>
      </c>
      <c r="N127" s="9">
        <f>IF(OR(E127="",I127="",E127=0,I127=0),"",E127/(I127*2))</f>
        <v/>
      </c>
      <c r="O127" s="8">
        <f>IF(OR(I127="",G127="",I127=0,G127=0),"",I127*2/G127)</f>
        <v/>
      </c>
      <c r="P127" s="7" t="n">
        <v>16.1</v>
      </c>
      <c r="Q127" s="6" t="n">
        <v>80.268</v>
      </c>
      <c r="R127" s="6" t="n">
        <v>14.658</v>
      </c>
      <c r="S127" s="6">
        <f>O127*1.067</f>
        <v/>
      </c>
      <c r="T127" s="6">
        <f>P127*1.514</f>
        <v/>
      </c>
      <c r="U127" s="23">
        <f>P127*1.514+O127*1.067</f>
        <v/>
      </c>
      <c r="V127" s="6" t="n">
        <v>18.9</v>
      </c>
      <c r="Y127" s="6">
        <f>8.725</f>
        <v/>
      </c>
      <c r="Z127" s="6" t="n">
        <v>4.08</v>
      </c>
      <c r="AD127" s="5" t="n">
        <v>80</v>
      </c>
      <c r="AE127" s="7">
        <f>T127</f>
        <v/>
      </c>
      <c r="AF127" s="231">
        <f>5*4.69</f>
        <v/>
      </c>
      <c r="AG127" s="231" t="n">
        <v>15.9</v>
      </c>
      <c r="AH127" s="231" t="n">
        <v>0</v>
      </c>
      <c r="AI127" t="n">
        <v>0.08</v>
      </c>
      <c r="AJ127" s="119" t="n">
        <v>0.3577546296296296</v>
      </c>
      <c r="AL127" s="231" t="n">
        <v>175</v>
      </c>
      <c r="AM127" s="3" t="n">
        <v>180</v>
      </c>
      <c r="AN127" s="4">
        <f>AE127</f>
        <v/>
      </c>
      <c r="AO127" s="231" t="n">
        <v>13.4</v>
      </c>
      <c r="AP127" s="255">
        <f>360-AK127-AB127</f>
        <v/>
      </c>
      <c r="AQ127" s="165" t="n"/>
      <c r="AR127" s="13">
        <f>AVERAGE(AO125:AO131)</f>
        <v/>
      </c>
      <c r="AS127" s="15">
        <f>IF(ISNUMBER([2]HRT_SRT!R181),[2]HRT_SRT!R181,"")</f>
        <v/>
      </c>
      <c r="AT127" s="156">
        <f>(E127-W127)/E127</f>
        <v/>
      </c>
      <c r="AU127" s="155">
        <f>(I127-AF127)/I127</f>
        <v/>
      </c>
      <c r="AV127" s="155">
        <f>AG127/(AD127-AF127)</f>
        <v/>
      </c>
      <c r="AW127" s="155">
        <f>(G127-AM127)/G127</f>
        <v/>
      </c>
      <c r="AX127" s="254">
        <f>IF(AND(ISNUMBER(E127),ISNUMBER(W127)),E127-W127,"")</f>
        <v/>
      </c>
      <c r="AY127" s="254">
        <f>IF(AND(ISNUMBER(I127),ISNUMBER(AF127)),I127-AF127,"")</f>
        <v/>
      </c>
      <c r="AZ127" s="254">
        <f>IF(AND(ISNUMBER(AM127),ISNUMBER(G127)),G127-AM127,"")</f>
        <v/>
      </c>
      <c r="BA127" s="254">
        <f>IF(AND(ISNUMBER(AC127),ISNUMBER(AE127)),AC127-AE127,"")</f>
        <v/>
      </c>
      <c r="BB127" s="254">
        <f>IF(AND(ISNUMBER(AL127),ISNUMBER(AM127)),AL127-AM127,"")</f>
        <v/>
      </c>
      <c r="BC127" s="84">
        <f>IF(AND($E127&gt;0,$W127&gt;0),IF(($E127-$W127)/$E127&gt;0,($E127-$W127)/$E127,0),"")</f>
        <v/>
      </c>
      <c r="BD127" s="84">
        <f>IF(AND($I127&gt;0,$AF127&gt;=0),IF(($I127-$AF127)/$I127&gt;0,($I127-$AF127)/$I127,0),"")</f>
        <v/>
      </c>
      <c r="BE127" s="84">
        <f>IF(AND($AG127&gt;=0,$AD127&gt;=0,$AF127&gt;=0),IF($AG127/($AD127-$AF127)&gt;0,$AG127/($AD127-$AF127),0),"")</f>
        <v/>
      </c>
      <c r="BF127" s="84">
        <f>IF(AND($G127&gt;0,$AM127&gt;0),IF(($G127-$AM127)/$G127&gt;0,($G127-$AM127)/$G127,0),"")</f>
        <v/>
      </c>
      <c r="BG127" s="6">
        <f>IF((AD127-AF127)/(AJ127/60)&lt;=0,"",(AD127-AF127)/(AJ127/60))</f>
        <v/>
      </c>
      <c r="BH127" s="6">
        <f>IF(OR(AJ127=0,AP127=0,NOT(ISNUMBER(AD127)),NOT(ISNUMBER(AF127)),NOT(ISNUMBER(AJ127)),NOT(ISNUMBER(AP127))),"",
IFERROR(IF((AD127-AF127)/(AJ127/60)/(AP127/1000)&lt;=0,"",(AD127-AF127)/(AJ127/60)/(AP127/1000)),""))</f>
        <v/>
      </c>
    </row>
    <row r="128" ht="15.75" customHeight="1">
      <c r="B128" t="n">
        <v>-116</v>
      </c>
      <c r="D128" s="11" t="n">
        <v>45388</v>
      </c>
      <c r="F128" s="3" t="n">
        <v>123</v>
      </c>
      <c r="G128" s="205">
        <f>IF(OR(S128="",S128=0),"",S128*2)</f>
        <v/>
      </c>
      <c r="J128" s="15" t="n"/>
      <c r="K128" s="15">
        <f>AD128</f>
        <v/>
      </c>
      <c r="M128" s="10">
        <f>IF(OR(E128="",G128="",E128=0,G128=0),"",E128/G128)</f>
        <v/>
      </c>
      <c r="N128" s="9">
        <f>IF(OR(E128="",I128="",E128=0,I128=0),"",E128/(I128*2))</f>
        <v/>
      </c>
      <c r="O128" s="8">
        <f>IF(OR(I128="",G128="",I128=0,G128=0),"",I128*2/G128)</f>
        <v/>
      </c>
      <c r="AD128" s="5" t="n">
        <v>80</v>
      </c>
      <c r="AF128" s="168">
        <f>(AD127+AD129)/2</f>
        <v/>
      </c>
      <c r="AI128" t="n">
        <v>0.15</v>
      </c>
      <c r="AJ128" s="119" t="n">
        <v>0.3641203703703704</v>
      </c>
      <c r="AL128" s="231" t="n">
        <v>175</v>
      </c>
      <c r="AM128" s="3" t="n">
        <v>180</v>
      </c>
      <c r="AP128" s="255">
        <f>360-AK128-AB128</f>
        <v/>
      </c>
      <c r="AQ128" s="165" t="n"/>
      <c r="AR128" s="13">
        <f>AVERAGE(AO126:AO132)</f>
        <v/>
      </c>
      <c r="AS128" s="15">
        <f>IF(ISNUMBER([2]HRT_SRT!R182),[2]HRT_SRT!R182,"")</f>
        <v/>
      </c>
      <c r="AT128" s="156">
        <f>(E128-W128)/E128</f>
        <v/>
      </c>
      <c r="AU128" s="155">
        <f>(I128-AF128)/I128</f>
        <v/>
      </c>
      <c r="AV128" s="155">
        <f>AG128/(AD128-AF128)</f>
        <v/>
      </c>
      <c r="AW128" s="155">
        <f>(G128-AM128)/G128</f>
        <v/>
      </c>
      <c r="AX128" s="254">
        <f>IF(AND(ISNUMBER(E128),ISNUMBER(W128)),E128-W128,"")</f>
        <v/>
      </c>
      <c r="AY128" s="254">
        <f>IF(AND(ISNUMBER(I128),ISNUMBER(AF128)),I128-AF128,"")</f>
        <v/>
      </c>
      <c r="AZ128" s="254">
        <f>IF(AND(ISNUMBER(AM128),ISNUMBER(G128)),G128-AM128,"")</f>
        <v/>
      </c>
      <c r="BA128" s="254">
        <f>IF(AND(ISNUMBER(AC128),ISNUMBER(AE128)),AC128-AE128,"")</f>
        <v/>
      </c>
      <c r="BB128" s="254">
        <f>IF(AND(ISNUMBER(AL128),ISNUMBER(AM128)),AL128-AM128,"")</f>
        <v/>
      </c>
      <c r="BC128" s="84">
        <f>IF(AND($E128&gt;0,$W128&gt;0),IF(($E128-$W128)/$E128&gt;0,($E128-$W128)/$E128,0),"")</f>
        <v/>
      </c>
      <c r="BD128" s="84">
        <f>IF(AND($I128&gt;0,$AF128&gt;=0),IF(($I128-$AF128)/$I128&gt;0,($I128-$AF128)/$I128,0),"")</f>
        <v/>
      </c>
      <c r="BE128" s="84">
        <f>IF(AND($AG128&gt;=0,$AD128&gt;=0,$AF128&gt;=0),IF($AG128/($AD128-$AF128)&gt;0,$AG128/($AD128-$AF128),0),"")</f>
        <v/>
      </c>
      <c r="BF128" s="84">
        <f>IF(AND($G128&gt;0,$AM128&gt;0),IF(($G128-$AM128)/$G128&gt;0,($G128-$AM128)/$G128,0),"")</f>
        <v/>
      </c>
      <c r="BG128" s="6">
        <f>IF((AD128-AF128)/(AJ128/60)&lt;=0,"",(AD128-AF128)/(AJ128/60))</f>
        <v/>
      </c>
      <c r="BH128" s="6">
        <f>IF(OR(AJ128=0,AP128=0,NOT(ISNUMBER(AD128)),NOT(ISNUMBER(AF128)),NOT(ISNUMBER(AJ128)),NOT(ISNUMBER(AP128))),"",
IFERROR(IF((AD128-AF128)/(AJ128/60)/(AP128/1000)&lt;=0,"",(AD128-AF128)/(AJ128/60)/(AP128/1000)),""))</f>
        <v/>
      </c>
    </row>
    <row r="129" ht="15.75" customHeight="1">
      <c r="B129" t="n">
        <v>-115</v>
      </c>
      <c r="C129" s="12" t="inlineStr">
        <is>
          <t xml:space="preserve">aerobic aphse ORP didn’t go up </t>
        </is>
      </c>
      <c r="D129" s="11" t="n">
        <v>45389</v>
      </c>
      <c r="F129" s="3" t="n">
        <v>124</v>
      </c>
      <c r="G129" s="205">
        <f>IF(OR(S129="",S129=0),"",S129*2)</f>
        <v/>
      </c>
      <c r="I129" s="15">
        <f>(N129*18-H129*18)/9</f>
        <v/>
      </c>
      <c r="J129" s="15">
        <f>4.16*10/2</f>
        <v/>
      </c>
      <c r="K129" s="15">
        <f>AD129</f>
        <v/>
      </c>
      <c r="M129" s="10">
        <f>IF(OR(E129="",G129="",E129=0,G129=0),"",E129/G129)</f>
        <v/>
      </c>
      <c r="N129" s="9">
        <f>IF(OR(E129="",I129="",E129=0,I129=0),"",E129/(I129*2))</f>
        <v/>
      </c>
      <c r="O129" s="8">
        <f>IF(OR(I129="",G129="",I129=0,G129=0),"",I129*2/G129)</f>
        <v/>
      </c>
      <c r="P129" s="7" t="n">
        <v>34.4</v>
      </c>
      <c r="V129" s="6" t="n">
        <v>41.7</v>
      </c>
      <c r="AD129" s="5" t="n">
        <v>80</v>
      </c>
      <c r="AE129" s="7">
        <f>T129</f>
        <v/>
      </c>
      <c r="AF129" s="231">
        <f>5*5.18</f>
        <v/>
      </c>
      <c r="AG129" s="231" t="n">
        <v>42.4</v>
      </c>
      <c r="AH129" s="231" t="n">
        <v>0</v>
      </c>
      <c r="AI129" t="n">
        <v>1.86</v>
      </c>
      <c r="AJ129" s="119" t="n">
        <v>0.4122685185185185</v>
      </c>
      <c r="AL129" s="231" t="n">
        <v>175</v>
      </c>
      <c r="AM129" s="3" t="n">
        <v>180</v>
      </c>
      <c r="AN129" s="4">
        <f>AE129</f>
        <v/>
      </c>
      <c r="AO129" s="231" t="n">
        <v>41.6</v>
      </c>
      <c r="AP129" s="255">
        <f>360-AK129-AB129</f>
        <v/>
      </c>
      <c r="AQ129" s="165" t="n"/>
      <c r="AR129" s="13">
        <f>AVERAGE(AO127:AO133)</f>
        <v/>
      </c>
      <c r="AS129" s="15">
        <f>IF(ISNUMBER([2]HRT_SRT!R183),[2]HRT_SRT!R183,"")</f>
        <v/>
      </c>
      <c r="AT129" s="156">
        <f>(E129-W129)/E129</f>
        <v/>
      </c>
      <c r="AU129" s="155">
        <f>(I129-AF129)/I129</f>
        <v/>
      </c>
      <c r="AV129" s="155">
        <f>AG129/(AD129-AF129)</f>
        <v/>
      </c>
      <c r="AW129" s="155">
        <f>(G129-AM129)/G129</f>
        <v/>
      </c>
      <c r="AX129" s="254">
        <f>IF(AND(ISNUMBER(E129),ISNUMBER(W129)),E129-W129,"")</f>
        <v/>
      </c>
      <c r="AY129" s="254">
        <f>IF(AND(ISNUMBER(I129),ISNUMBER(AF129)),I129-AF129,"")</f>
        <v/>
      </c>
      <c r="AZ129" s="254">
        <f>IF(AND(ISNUMBER(AM129),ISNUMBER(G129)),G129-AM129,"")</f>
        <v/>
      </c>
      <c r="BA129" s="254">
        <f>IF(AND(ISNUMBER(AC129),ISNUMBER(AE129)),AC129-AE129,"")</f>
        <v/>
      </c>
      <c r="BB129" s="254">
        <f>IF(AND(ISNUMBER(AL129),ISNUMBER(AM129)),AL129-AM129,"")</f>
        <v/>
      </c>
      <c r="BC129" s="84">
        <f>IF(AND($E129&gt;0,$W129&gt;0),IF(($E129-$W129)/$E129&gt;0,($E129-$W129)/$E129,0),"")</f>
        <v/>
      </c>
      <c r="BD129" s="84">
        <f>IF(AND($I129&gt;0,$AF129&gt;=0),IF(($I129-$AF129)/$I129&gt;0,($I129-$AF129)/$I129,0),"")</f>
        <v/>
      </c>
      <c r="BE129" s="84">
        <f>IF(AND($AG129&gt;=0,$AD129&gt;=0,$AF129&gt;=0),IF($AG129/($AD129-$AF129)&gt;0,$AG129/($AD129-$AF129),0),"")</f>
        <v/>
      </c>
      <c r="BF129" s="84">
        <f>IF(AND($G129&gt;0,$AM129&gt;0),IF(($G129-$AM129)/$G129&gt;0,($G129-$AM129)/$G129,0),"")</f>
        <v/>
      </c>
      <c r="BG129" s="6">
        <f>IF((AD129-AF129)/(AJ129/60)&lt;=0,"",(AD129-AF129)/(AJ129/60))</f>
        <v/>
      </c>
      <c r="BH129" s="6">
        <f>IF(OR(AJ129=0,AP129=0,NOT(ISNUMBER(AD129)),NOT(ISNUMBER(AF129)),NOT(ISNUMBER(AJ129)),NOT(ISNUMBER(AP129))),"",
IFERROR(IF((AD129-AF129)/(AJ129/60)/(AP129/1000)&lt;=0,"",(AD129-AF129)/(AJ129/60)/(AP129/1000)),""))</f>
        <v/>
      </c>
    </row>
    <row r="130" ht="15.75" customHeight="1">
      <c r="B130" t="n">
        <v>-114</v>
      </c>
      <c r="D130" s="11" t="n">
        <v>45390</v>
      </c>
      <c r="F130" s="3" t="n">
        <v>125</v>
      </c>
      <c r="G130" s="205">
        <f>IF(OR(S130="",S130=0),"",S130*2)</f>
        <v/>
      </c>
      <c r="J130" s="15" t="n"/>
      <c r="K130" s="15">
        <f>AD130</f>
        <v/>
      </c>
      <c r="M130" s="10">
        <f>IF(OR(E130="",G130="",E130=0,G130=0),"",E130/G130)</f>
        <v/>
      </c>
      <c r="N130" s="9">
        <f>IF(OR(E130="",I130="",E130=0,I130=0),"",E130/(I130*2))</f>
        <v/>
      </c>
      <c r="O130" s="8">
        <f>IF(OR(I130="",G130="",I130=0,G130=0),"",I130*2/G130)</f>
        <v/>
      </c>
      <c r="Q130" s="6" t="n">
        <v>123.404</v>
      </c>
      <c r="R130" s="6" t="n">
        <v>21.404</v>
      </c>
      <c r="S130" s="6">
        <f>O130*1.067</f>
        <v/>
      </c>
      <c r="T130" s="6">
        <f>P130*1.514</f>
        <v/>
      </c>
      <c r="U130" s="23">
        <f>P130*1.514+O130*1.067</f>
        <v/>
      </c>
      <c r="Y130" s="6">
        <f>3.488+3.751</f>
        <v/>
      </c>
      <c r="AD130" s="5" t="n">
        <v>80</v>
      </c>
      <c r="AF130" s="168">
        <f>(AD129+AD131)/2</f>
        <v/>
      </c>
      <c r="AI130" t="n">
        <v>0.27</v>
      </c>
      <c r="AJ130" s="119" t="n">
        <v>0.3581018518518518</v>
      </c>
      <c r="AL130" s="231" t="n">
        <v>175</v>
      </c>
      <c r="AM130" s="3" t="n">
        <v>180</v>
      </c>
      <c r="AP130" s="255">
        <f>360-AK130-AB130</f>
        <v/>
      </c>
      <c r="AQ130" s="165" t="n"/>
      <c r="AR130" s="13">
        <f>AVERAGE(AO128:AO134)</f>
        <v/>
      </c>
      <c r="AS130" s="15">
        <f>IF(ISNUMBER([2]HRT_SRT!R184),[2]HRT_SRT!R184,"")</f>
        <v/>
      </c>
      <c r="AT130" s="156">
        <f>(E130-W130)/E130</f>
        <v/>
      </c>
      <c r="AU130" s="155">
        <f>(I130-AF130)/I130</f>
        <v/>
      </c>
      <c r="AV130" s="155">
        <f>AG130/(AD130-AF130)</f>
        <v/>
      </c>
      <c r="AW130" s="155">
        <f>(G130-AM130)/G130</f>
        <v/>
      </c>
      <c r="AX130" s="254">
        <f>IF(AND(ISNUMBER(E130),ISNUMBER(W130)),E130-W130,"")</f>
        <v/>
      </c>
      <c r="AY130" s="254">
        <f>IF(AND(ISNUMBER(I130),ISNUMBER(AF130)),I130-AF130,"")</f>
        <v/>
      </c>
      <c r="AZ130" s="254">
        <f>IF(AND(ISNUMBER(AM130),ISNUMBER(G130)),G130-AM130,"")</f>
        <v/>
      </c>
      <c r="BA130" s="254">
        <f>IF(AND(ISNUMBER(AC130),ISNUMBER(AE130)),AC130-AE130,"")</f>
        <v/>
      </c>
      <c r="BB130" s="254">
        <f>IF(AND(ISNUMBER(AL130),ISNUMBER(AM130)),AL130-AM130,"")</f>
        <v/>
      </c>
      <c r="BC130" s="84">
        <f>IF(AND($E130&gt;0,$W130&gt;0),IF(($E130-$W130)/$E130&gt;0,($E130-$W130)/$E130,0),"")</f>
        <v/>
      </c>
      <c r="BD130" s="84">
        <f>IF(AND($I130&gt;0,$AF130&gt;=0),IF(($I130-$AF130)/$I130&gt;0,($I130-$AF130)/$I130,0),"")</f>
        <v/>
      </c>
      <c r="BE130" s="84">
        <f>IF(AND($AG130&gt;=0,$AD130&gt;=0,$AF130&gt;=0),IF($AG130/($AD130-$AF130)&gt;0,$AG130/($AD130-$AF130),0),"")</f>
        <v/>
      </c>
      <c r="BF130" s="84">
        <f>IF(AND($G130&gt;0,$AM130&gt;0),IF(($G130-$AM130)/$G130&gt;0,($G130-$AM130)/$G130,0),"")</f>
        <v/>
      </c>
      <c r="BG130" s="6">
        <f>IF((AD130-AF130)/(AJ130/60)&lt;=0,"",(AD130-AF130)/(AJ130/60))</f>
        <v/>
      </c>
      <c r="BH130" s="6">
        <f>IF(OR(AJ130=0,AP130=0,NOT(ISNUMBER(AD130)),NOT(ISNUMBER(AF130)),NOT(ISNUMBER(AJ130)),NOT(ISNUMBER(AP130))),"",
IFERROR(IF((AD130-AF130)/(AJ130/60)/(AP130/1000)&lt;=0,"",(AD130-AF130)/(AJ130/60)/(AP130/1000)),""))</f>
        <v/>
      </c>
    </row>
    <row r="131" ht="15.75" customHeight="1">
      <c r="B131" t="n">
        <v>-113</v>
      </c>
      <c r="D131" s="11" t="n">
        <v>45391</v>
      </c>
      <c r="F131" s="3" t="n">
        <v>126</v>
      </c>
      <c r="G131" s="205">
        <f>IF(OR(S131="",S131=0),"",S131*2)</f>
        <v/>
      </c>
      <c r="I131" s="15">
        <f>#REF!</f>
        <v/>
      </c>
      <c r="J131" s="15" t="n">
        <v>7.36</v>
      </c>
      <c r="K131" s="15">
        <f>AD131</f>
        <v/>
      </c>
      <c r="M131" s="10">
        <f>IF(OR(E131="",G131="",E131=0,G131=0),"",E131/G131)</f>
        <v/>
      </c>
      <c r="N131" s="9">
        <f>IF(OR(E131="",I131="",E131=0,I131=0),"",E131/(I131*2))</f>
        <v/>
      </c>
      <c r="O131" s="8">
        <f>IF(OR(I131="",G131="",I131=0,G131=0),"",I131*2/G131)</f>
        <v/>
      </c>
      <c r="P131" s="7" t="n">
        <v>23.3</v>
      </c>
      <c r="Q131" s="6" t="n">
        <v>147.711</v>
      </c>
      <c r="R131" s="6" t="n">
        <v>24.97</v>
      </c>
      <c r="S131" s="6">
        <f>O131*1.067</f>
        <v/>
      </c>
      <c r="T131" s="6">
        <f>P131*1.514</f>
        <v/>
      </c>
      <c r="U131" s="23">
        <f>P131*1.514+O131*1.067</f>
        <v/>
      </c>
      <c r="V131" s="6" t="n">
        <v>32.6</v>
      </c>
      <c r="Y131" s="6">
        <f>3.491+3.69</f>
        <v/>
      </c>
      <c r="AD131" s="5" t="n">
        <v>80</v>
      </c>
      <c r="AE131" s="7">
        <f>T131</f>
        <v/>
      </c>
      <c r="AF131" s="231">
        <f>5*5.79</f>
        <v/>
      </c>
      <c r="AG131" s="231" t="n">
        <v>17.7</v>
      </c>
      <c r="AH131" s="231" t="n">
        <v>0</v>
      </c>
      <c r="AI131" t="n">
        <v>0.64</v>
      </c>
      <c r="AJ131" s="119" t="n">
        <v>0.3945601851851852</v>
      </c>
      <c r="AL131" s="231" t="n">
        <v>175</v>
      </c>
      <c r="AM131" s="3" t="n">
        <v>180</v>
      </c>
      <c r="AN131" s="4">
        <f>AE131</f>
        <v/>
      </c>
      <c r="AO131" s="231" t="n">
        <v>12.6</v>
      </c>
      <c r="AP131" s="255">
        <f>360-AK131-AB131</f>
        <v/>
      </c>
      <c r="AQ131" s="165" t="n"/>
      <c r="AR131" s="13">
        <f>AVERAGE(AO129:AO135)</f>
        <v/>
      </c>
      <c r="AS131" s="15">
        <f>IF(ISNUMBER([2]HRT_SRT!R185),[2]HRT_SRT!R185,"")</f>
        <v/>
      </c>
      <c r="AT131" s="156">
        <f>(E131-W131)/E131</f>
        <v/>
      </c>
      <c r="AU131" s="155">
        <f>(I131-AF131)/I131</f>
        <v/>
      </c>
      <c r="AV131" s="155">
        <f>AG131/(AD131-AF131)</f>
        <v/>
      </c>
      <c r="AW131" s="155">
        <f>(G131-AM131)/G131</f>
        <v/>
      </c>
      <c r="AX131" s="254">
        <f>IF(AND(ISNUMBER(E131),ISNUMBER(W131)),E131-W131,"")</f>
        <v/>
      </c>
      <c r="AY131" s="254">
        <f>IF(AND(ISNUMBER(I131),ISNUMBER(AF131)),I131-AF131,"")</f>
        <v/>
      </c>
      <c r="AZ131" s="254">
        <f>IF(AND(ISNUMBER(AM131),ISNUMBER(G131)),G131-AM131,"")</f>
        <v/>
      </c>
      <c r="BA131" s="254">
        <f>IF(AND(ISNUMBER(AC131),ISNUMBER(AE131)),AC131-AE131,"")</f>
        <v/>
      </c>
      <c r="BB131" s="254">
        <f>IF(AND(ISNUMBER(AL131),ISNUMBER(AM131)),AL131-AM131,"")</f>
        <v/>
      </c>
      <c r="BC131" s="84">
        <f>IF(AND($E131&gt;0,$W131&gt;0),IF(($E131-$W131)/$E131&gt;0,($E131-$W131)/$E131,0),"")</f>
        <v/>
      </c>
      <c r="BD131" s="84">
        <f>IF(AND($I131&gt;0,$AF131&gt;=0),IF(($I131-$AF131)/$I131&gt;0,($I131-$AF131)/$I131,0),"")</f>
        <v/>
      </c>
      <c r="BE131" s="84">
        <f>IF(AND($AG131&gt;=0,$AD131&gt;=0,$AF131&gt;=0),IF($AG131/($AD131-$AF131)&gt;0,$AG131/($AD131-$AF131),0),"")</f>
        <v/>
      </c>
      <c r="BF131" s="84">
        <f>IF(AND($G131&gt;0,$AM131&gt;0),IF(($G131-$AM131)/$G131&gt;0,($G131-$AM131)/$G131,0),"")</f>
        <v/>
      </c>
      <c r="BG131" s="6">
        <f>IF((AD131-AF131)/(AJ131/60)&lt;=0,"",(AD131-AF131)/(AJ131/60))</f>
        <v/>
      </c>
      <c r="BH131" s="6">
        <f>IF(OR(AJ131=0,AP131=0,NOT(ISNUMBER(AD131)),NOT(ISNUMBER(AF131)),NOT(ISNUMBER(AJ131)),NOT(ISNUMBER(AP131))),"",
IFERROR(IF((AD131-AF131)/(AJ131/60)/(AP131/1000)&lt;=0,"",(AD131-AF131)/(AJ131/60)/(AP131/1000)),""))</f>
        <v/>
      </c>
    </row>
    <row r="132" ht="15.75" customHeight="1">
      <c r="B132" t="n">
        <v>-112</v>
      </c>
      <c r="C132" s="12" t="inlineStr">
        <is>
          <t xml:space="preserve">ORP had a drop </t>
        </is>
      </c>
      <c r="D132" s="167" t="n">
        <v>45392</v>
      </c>
      <c r="E132" s="166" t="n"/>
      <c r="F132" s="136" t="n">
        <v>127</v>
      </c>
      <c r="G132" s="205">
        <f>IF(OR(S132="",S132=0),"",S132*2)</f>
        <v/>
      </c>
      <c r="I132" s="15">
        <f>(N132*18-H132*18)/9</f>
        <v/>
      </c>
      <c r="J132" s="15" t="n">
        <v>18.1</v>
      </c>
      <c r="K132" s="15">
        <f>AD132</f>
        <v/>
      </c>
      <c r="M132" s="10">
        <f>IF(OR(E132="",G132="",E132=0,G132=0),"",E132/G132)</f>
        <v/>
      </c>
      <c r="N132" s="9">
        <f>IF(OR(E132="",I132="",E132=0,I132=0),"",E132/(I132*2))</f>
        <v/>
      </c>
      <c r="O132" s="8">
        <f>IF(OR(I132="",G132="",I132=0,G132=0),"",I132*2/G132)</f>
        <v/>
      </c>
      <c r="P132" s="7" t="n">
        <v>29.6</v>
      </c>
      <c r="Q132" s="6" t="n">
        <v>70.789</v>
      </c>
      <c r="R132" s="6" t="n">
        <v>14.639</v>
      </c>
      <c r="S132" s="6">
        <f>O132*1.067</f>
        <v/>
      </c>
      <c r="T132" s="6">
        <f>P132*1.514</f>
        <v/>
      </c>
      <c r="U132" s="23">
        <f>P132*1.514+O132*1.067</f>
        <v/>
      </c>
      <c r="V132" s="6" t="n">
        <v>31.6</v>
      </c>
      <c r="Y132" s="6">
        <f>29.186</f>
        <v/>
      </c>
      <c r="AD132" s="5" t="n">
        <v>80</v>
      </c>
      <c r="AE132" s="7">
        <f>T132</f>
        <v/>
      </c>
      <c r="AF132" s="231">
        <f>5*4.84</f>
        <v/>
      </c>
      <c r="AG132" s="231" t="n">
        <v>32.7</v>
      </c>
      <c r="AH132" s="231" t="n">
        <v>0</v>
      </c>
      <c r="AI132" t="n">
        <v>0.83</v>
      </c>
      <c r="AJ132" s="119" t="n">
        <v>0.3583333333333333</v>
      </c>
      <c r="AL132" s="231" t="n">
        <v>175</v>
      </c>
      <c r="AM132" s="3" t="n">
        <v>180</v>
      </c>
      <c r="AN132" s="4">
        <f>AE132</f>
        <v/>
      </c>
      <c r="AO132" s="231" t="n">
        <v>28.5</v>
      </c>
      <c r="AP132" s="255">
        <f>360-AK132-AB132</f>
        <v/>
      </c>
      <c r="AQ132" s="165">
        <f>[2]HRT_SRT!P186</f>
        <v/>
      </c>
      <c r="AR132" s="13">
        <f>AVERAGE(AO130:AO136)</f>
        <v/>
      </c>
      <c r="AS132" s="15">
        <f>IF(ISNUMBER([2]HRT_SRT!R186),[2]HRT_SRT!R186,"")</f>
        <v/>
      </c>
      <c r="AT132" s="156">
        <f>(E132-W132)/E132</f>
        <v/>
      </c>
      <c r="AU132" s="155">
        <f>(I132-AF132)/I132</f>
        <v/>
      </c>
      <c r="AV132" s="155">
        <f>AG132/(AD132-AF132)</f>
        <v/>
      </c>
      <c r="AW132" s="155">
        <f>(G132-AM132)/G132</f>
        <v/>
      </c>
      <c r="AX132" s="254">
        <f>IF(AND(ISNUMBER(E132),ISNUMBER(W132)),E132-W132,"")</f>
        <v/>
      </c>
      <c r="AY132" s="254">
        <f>IF(AND(ISNUMBER(I132),ISNUMBER(AF132)),I132-AF132,"")</f>
        <v/>
      </c>
      <c r="AZ132" s="254">
        <f>IF(AND(ISNUMBER(AM132),ISNUMBER(G132)),G132-AM132,"")</f>
        <v/>
      </c>
      <c r="BA132" s="254">
        <f>IF(AND(ISNUMBER(AC132),ISNUMBER(AE132)),AC132-AE132,"")</f>
        <v/>
      </c>
      <c r="BB132" s="254">
        <f>IF(AND(ISNUMBER(AL132),ISNUMBER(AM132)),AL132-AM132,"")</f>
        <v/>
      </c>
      <c r="BC132" s="84">
        <f>IF(AND($E132&gt;0,$W132&gt;0),IF(($E132-$W132)/$E132&gt;0,($E132-$W132)/$E132,0),"")</f>
        <v/>
      </c>
      <c r="BD132" s="84">
        <f>IF(AND($I132&gt;0,$AF132&gt;=0),IF(($I132-$AF132)/$I132&gt;0,($I132-$AF132)/$I132,0),"")</f>
        <v/>
      </c>
      <c r="BE132" s="84">
        <f>IF(AND($AG132&gt;=0,$AD132&gt;=0,$AF132&gt;=0),IF($AG132/($AD132-$AF132)&gt;0,$AG132/($AD132-$AF132),0),"")</f>
        <v/>
      </c>
      <c r="BF132" s="84">
        <f>IF(AND($G132&gt;0,$AM132&gt;0),IF(($G132-$AM132)/$G132&gt;0,($G132-$AM132)/$G132,0),"")</f>
        <v/>
      </c>
      <c r="BG132" s="6">
        <f>IF((AD132-AF132)/(AJ132/60)&lt;=0,"",(AD132-AF132)/(AJ132/60))</f>
        <v/>
      </c>
      <c r="BH132" s="6">
        <f>IF(OR(AJ132=0,AP132=0,NOT(ISNUMBER(AD132)),NOT(ISNUMBER(AF132)),NOT(ISNUMBER(AJ132)),NOT(ISNUMBER(AP132))),"",
IFERROR(IF((AD132-AF132)/(AJ132/60)/(AP132/1000)&lt;=0,"",(AD132-AF132)/(AJ132/60)/(AP132/1000)),""))</f>
        <v/>
      </c>
    </row>
    <row r="133" ht="15.75" customHeight="1">
      <c r="B133" t="n">
        <v>-111</v>
      </c>
      <c r="D133" s="11" t="n">
        <v>45393</v>
      </c>
      <c r="F133" s="3" t="n">
        <v>128</v>
      </c>
      <c r="G133" s="205">
        <f>IF(OR(S133="",S133=0),"",S133*2)</f>
        <v/>
      </c>
      <c r="I133" s="163">
        <f>G132</f>
        <v/>
      </c>
      <c r="J133" s="15" t="n"/>
      <c r="K133" s="15">
        <f>AD133</f>
        <v/>
      </c>
      <c r="M133" s="10">
        <f>IF(OR(E133="",G133="",E133=0,G133=0),"",E133/G133)</f>
        <v/>
      </c>
      <c r="N133" s="9">
        <f>IF(OR(E133="",I133="",E133=0,I133=0),"",E133/(I133*2))</f>
        <v/>
      </c>
      <c r="O133" s="8">
        <f>IF(OR(I133="",G133="",I133=0,G133=0),"",I133*2/G133)</f>
        <v/>
      </c>
      <c r="V133" s="6" t="n">
        <v>27.5</v>
      </c>
      <c r="Y133" s="6">
        <f>0.146+0.152</f>
        <v/>
      </c>
      <c r="AD133" s="5" t="n">
        <v>80</v>
      </c>
      <c r="AE133" s="7">
        <f>T133</f>
        <v/>
      </c>
      <c r="AF133" s="231">
        <f>5*5.1</f>
        <v/>
      </c>
      <c r="AG133" s="231" t="n">
        <v>15</v>
      </c>
      <c r="AH133" s="231" t="n">
        <v>0</v>
      </c>
      <c r="AI133" t="n">
        <v>1.69</v>
      </c>
      <c r="AJ133" s="119" t="n">
        <v>0.3945601851851852</v>
      </c>
      <c r="AL133" s="231" t="n">
        <v>175</v>
      </c>
      <c r="AM133" s="3" t="n">
        <v>180</v>
      </c>
      <c r="AN133" s="4">
        <f>AE133</f>
        <v/>
      </c>
      <c r="AO133" s="231" t="n">
        <v>10.8</v>
      </c>
      <c r="AP133" s="255">
        <f>360-AK133-AB133</f>
        <v/>
      </c>
      <c r="AQ133" s="165" t="n"/>
      <c r="AR133" s="13">
        <f>AVERAGE(AO131:AO137)</f>
        <v/>
      </c>
      <c r="AS133" s="15">
        <f>IF(ISNUMBER([2]HRT_SRT!R187),[2]HRT_SRT!R187,"")</f>
        <v/>
      </c>
      <c r="AT133" s="156">
        <f>(E133-W133)/E133</f>
        <v/>
      </c>
      <c r="AU133" s="155">
        <f>(I133-AF133)/I133</f>
        <v/>
      </c>
      <c r="AV133" s="155">
        <f>AG133/(AD133-AF133)</f>
        <v/>
      </c>
      <c r="AW133" s="155">
        <f>(G133-AM133)/G133</f>
        <v/>
      </c>
      <c r="AX133" s="254">
        <f>IF(AND(ISNUMBER(E133),ISNUMBER(W133)),E133-W133,"")</f>
        <v/>
      </c>
      <c r="AY133" s="254">
        <f>IF(AND(ISNUMBER(I133),ISNUMBER(AF133)),I133-AF133,"")</f>
        <v/>
      </c>
      <c r="AZ133" s="254">
        <f>IF(AND(ISNUMBER(AM133),ISNUMBER(G133)),G133-AM133,"")</f>
        <v/>
      </c>
      <c r="BA133" s="254">
        <f>IF(AND(ISNUMBER(AC133),ISNUMBER(AE133)),AC133-AE133,"")</f>
        <v/>
      </c>
      <c r="BB133" s="254">
        <f>IF(AND(ISNUMBER(AL133),ISNUMBER(AM133)),AL133-AM133,"")</f>
        <v/>
      </c>
      <c r="BC133" s="84">
        <f>IF(AND($E133&gt;0,$W133&gt;0),IF(($E133-$W133)/$E133&gt;0,($E133-$W133)/$E133,0),"")</f>
        <v/>
      </c>
      <c r="BD133" s="84">
        <f>IF(AND($I133&gt;0,$AF133&gt;=0),IF(($I133-$AF133)/$I133&gt;0,($I133-$AF133)/$I133,0),"")</f>
        <v/>
      </c>
      <c r="BE133" s="84">
        <f>IF(AND($AG133&gt;=0,$AD133&gt;=0,$AF133&gt;=0),IF($AG133/($AD133-$AF133)&gt;0,$AG133/($AD133-$AF133),0),"")</f>
        <v/>
      </c>
      <c r="BF133" s="84">
        <f>IF(AND($G133&gt;0,$AM133&gt;0),IF(($G133-$AM133)/$G133&gt;0,($G133-$AM133)/$G133,0),"")</f>
        <v/>
      </c>
      <c r="BG133" s="6">
        <f>IF((AD133-AF133)/(AJ133/60)&lt;=0,"",(AD133-AF133)/(AJ133/60))</f>
        <v/>
      </c>
      <c r="BH133" s="6">
        <f>IF(OR(AJ133=0,AP133=0,NOT(ISNUMBER(AD133)),NOT(ISNUMBER(AF133)),NOT(ISNUMBER(AJ133)),NOT(ISNUMBER(AP133))),"",
IFERROR(IF((AD133-AF133)/(AJ133/60)/(AP133/1000)&lt;=0,"",(AD133-AF133)/(AJ133/60)/(AP133/1000)),""))</f>
        <v/>
      </c>
    </row>
    <row r="134" ht="15.75" customHeight="1">
      <c r="B134" t="n">
        <v>-110</v>
      </c>
      <c r="D134" s="11" t="n">
        <v>45394</v>
      </c>
      <c r="F134" s="3" t="n">
        <v>129</v>
      </c>
      <c r="G134" s="205">
        <f>IF(OR(S134="",S134=0),"",S134*2)</f>
        <v/>
      </c>
      <c r="I134" s="15">
        <f>(N134*18-H134*18)/9</f>
        <v/>
      </c>
      <c r="J134" s="15" t="n">
        <v>6.51</v>
      </c>
      <c r="K134" s="15">
        <f>AD134</f>
        <v/>
      </c>
      <c r="M134" s="10">
        <f>IF(OR(E134="",G134="",E134=0,G134=0),"",E134/G134)</f>
        <v/>
      </c>
      <c r="N134" s="9">
        <f>IF(OR(E134="",I134="",E134=0,I134=0),"",E134/(I134*2))</f>
        <v/>
      </c>
      <c r="O134" s="8">
        <f>IF(OR(I134="",G134="",I134=0,G134=0),"",I134*2/G134)</f>
        <v/>
      </c>
      <c r="P134" s="7" t="n">
        <v>19.3</v>
      </c>
      <c r="Q134" s="6" t="n">
        <v>81.967</v>
      </c>
      <c r="R134" s="6" t="n">
        <v>26.55</v>
      </c>
      <c r="S134" s="6">
        <f>O134*1.067</f>
        <v/>
      </c>
      <c r="T134" s="6">
        <f>P134*1.514</f>
        <v/>
      </c>
      <c r="U134" s="23">
        <f>P134*1.514+O134*1.067</f>
        <v/>
      </c>
      <c r="V134" s="6" t="n">
        <v>32.3</v>
      </c>
      <c r="Y134" s="6">
        <f>0.144+0.023</f>
        <v/>
      </c>
      <c r="AD134" s="5" t="n">
        <v>80</v>
      </c>
      <c r="AE134" s="7">
        <f>T134</f>
        <v/>
      </c>
      <c r="AF134" s="231">
        <f>5*5.1</f>
        <v/>
      </c>
      <c r="AG134" s="231" t="n">
        <v>15.7</v>
      </c>
      <c r="AH134" s="231" t="n">
        <v>0.08</v>
      </c>
      <c r="AI134" t="n">
        <v>3.41</v>
      </c>
      <c r="AJ134" s="119" t="n">
        <v>0.4244212962962963</v>
      </c>
      <c r="AL134" s="231" t="n">
        <v>175</v>
      </c>
      <c r="AM134" s="3" t="n">
        <v>180</v>
      </c>
      <c r="AN134" s="4">
        <f>AE134</f>
        <v/>
      </c>
      <c r="AO134" s="231" t="n">
        <v>10.4</v>
      </c>
      <c r="AP134" s="255">
        <f>360-AK134-AB134</f>
        <v/>
      </c>
      <c r="AQ134" s="165" t="n"/>
      <c r="AR134" s="13">
        <f>AVERAGE(AO132:AO138)</f>
        <v/>
      </c>
      <c r="AS134" s="15">
        <f>IF(ISNUMBER([2]HRT_SRT!R188),[2]HRT_SRT!R188,"")</f>
        <v/>
      </c>
      <c r="AT134" s="156">
        <f>(E134-W134)/E134</f>
        <v/>
      </c>
      <c r="AU134" s="155">
        <f>(I134-AF134)/I134</f>
        <v/>
      </c>
      <c r="AV134" s="155">
        <f>AG134/(AD134-AF134)</f>
        <v/>
      </c>
      <c r="AW134" s="155">
        <f>(G134-AM134)/G134</f>
        <v/>
      </c>
      <c r="AX134" s="254">
        <f>IF(AND(ISNUMBER(E134),ISNUMBER(W134)),E134-W134,"")</f>
        <v/>
      </c>
      <c r="AY134" s="254">
        <f>IF(AND(ISNUMBER(I134),ISNUMBER(AF134)),I134-AF134,"")</f>
        <v/>
      </c>
      <c r="AZ134" s="254">
        <f>IF(AND(ISNUMBER(AM134),ISNUMBER(G134)),G134-AM134,"")</f>
        <v/>
      </c>
      <c r="BA134" s="254">
        <f>IF(AND(ISNUMBER(AC134),ISNUMBER(AE134)),AC134-AE134,"")</f>
        <v/>
      </c>
      <c r="BB134" s="254">
        <f>IF(AND(ISNUMBER(AL134),ISNUMBER(AM134)),AL134-AM134,"")</f>
        <v/>
      </c>
      <c r="BC134" s="84">
        <f>IF(AND($E134&gt;0,$W134&gt;0),IF(($E134-$W134)/$E134&gt;0,($E134-$W134)/$E134,0),"")</f>
        <v/>
      </c>
      <c r="BD134" s="84">
        <f>IF(AND($I134&gt;0,$AF134&gt;=0),IF(($I134-$AF134)/$I134&gt;0,($I134-$AF134)/$I134,0),"")</f>
        <v/>
      </c>
      <c r="BE134" s="84">
        <f>IF(AND($AG134&gt;=0,$AD134&gt;=0,$AF134&gt;=0),IF($AG134/($AD134-$AF134)&gt;0,$AG134/($AD134-$AF134),0),"")</f>
        <v/>
      </c>
      <c r="BF134" s="84">
        <f>IF(AND($G134&gt;0,$AM134&gt;0),IF(($G134-$AM134)/$G134&gt;0,($G134-$AM134)/$G134,0),"")</f>
        <v/>
      </c>
      <c r="BG134" s="6">
        <f>IF((AD134-AF134)/(AJ134/60)&lt;=0,"",(AD134-AF134)/(AJ134/60))</f>
        <v/>
      </c>
      <c r="BH134" s="6">
        <f>IF(OR(AJ134=0,AP134=0,NOT(ISNUMBER(AD134)),NOT(ISNUMBER(AF134)),NOT(ISNUMBER(AJ134)),NOT(ISNUMBER(AP134))),"",
IFERROR(IF((AD134-AF134)/(AJ134/60)/(AP134/1000)&lt;=0,"",(AD134-AF134)/(AJ134/60)/(AP134/1000)),""))</f>
        <v/>
      </c>
    </row>
    <row r="135" ht="15.75" customHeight="1">
      <c r="B135" t="n">
        <v>-109</v>
      </c>
      <c r="D135" s="11" t="n">
        <v>45395</v>
      </c>
      <c r="F135" s="3" t="n">
        <v>130</v>
      </c>
      <c r="G135" s="205">
        <f>IF(OR(S135="",S135=0),"",S135*2)</f>
        <v/>
      </c>
      <c r="K135" s="15">
        <f>AD135</f>
        <v/>
      </c>
      <c r="M135" s="10">
        <f>IF(OR(E135="",G135="",E135=0,G135=0),"",E135/G135)</f>
        <v/>
      </c>
      <c r="N135" s="9">
        <f>IF(OR(E135="",I135="",E135=0,I135=0),"",E135/(I135*2))</f>
        <v/>
      </c>
      <c r="O135" s="8">
        <f>IF(OR(I135="",G135="",I135=0,G135=0),"",I135*2/G135)</f>
        <v/>
      </c>
      <c r="AD135" s="5" t="n">
        <v>80</v>
      </c>
      <c r="AF135" s="168">
        <f>(AD134*2/3+AD137*1/3)</f>
        <v/>
      </c>
      <c r="AI135" t="n">
        <v>2.8</v>
      </c>
      <c r="AJ135" s="119" t="n">
        <v>0.4326388888888889</v>
      </c>
      <c r="AL135" s="231" t="n">
        <v>175</v>
      </c>
      <c r="AM135" s="3" t="n">
        <v>180</v>
      </c>
      <c r="AP135" s="255">
        <f>360-AK135-AB135</f>
        <v/>
      </c>
      <c r="AQ135" s="165" t="n"/>
      <c r="AR135" s="13">
        <f>AVERAGE(AO133:AO139)</f>
        <v/>
      </c>
      <c r="AS135" s="15">
        <f>IF(ISNUMBER([2]HRT_SRT!R189),[2]HRT_SRT!R189,"")</f>
        <v/>
      </c>
      <c r="AT135" s="156">
        <f>(E135-W135)/E135</f>
        <v/>
      </c>
      <c r="AU135" s="155">
        <f>(I135-AF135)/I135</f>
        <v/>
      </c>
      <c r="AV135" s="155">
        <f>AG135/(AD135-AF135)</f>
        <v/>
      </c>
      <c r="AW135" s="155">
        <f>(G135-AM135)/G135</f>
        <v/>
      </c>
      <c r="AX135" s="254">
        <f>IF(AND(ISNUMBER(E135),ISNUMBER(W135)),E135-W135,"")</f>
        <v/>
      </c>
      <c r="AY135" s="254">
        <f>IF(AND(ISNUMBER(I135),ISNUMBER(AF135)),I135-AF135,"")</f>
        <v/>
      </c>
      <c r="AZ135" s="254">
        <f>IF(AND(ISNUMBER(AM135),ISNUMBER(G135)),G135-AM135,"")</f>
        <v/>
      </c>
      <c r="BA135" s="254">
        <f>IF(AND(ISNUMBER(AC135),ISNUMBER(AE135)),AC135-AE135,"")</f>
        <v/>
      </c>
      <c r="BB135" s="254">
        <f>IF(AND(ISNUMBER(AL135),ISNUMBER(AM135)),AL135-AM135,"")</f>
        <v/>
      </c>
      <c r="BC135" s="84">
        <f>IF(AND($E135&gt;0,$W135&gt;0),IF(($E135-$W135)/$E135&gt;0,($E135-$W135)/$E135,0),"")</f>
        <v/>
      </c>
      <c r="BD135" s="84">
        <f>IF(AND($I135&gt;0,$AF135&gt;=0),IF(($I135-$AF135)/$I135&gt;0,($I135-$AF135)/$I135,0),"")</f>
        <v/>
      </c>
      <c r="BE135" s="84">
        <f>IF(AND($AG135&gt;=0,$AD135&gt;=0,$AF135&gt;=0),IF($AG135/($AD135-$AF135)&gt;0,$AG135/($AD135-$AF135),0),"")</f>
        <v/>
      </c>
      <c r="BF135" s="84">
        <f>IF(AND($G135&gt;0,$AM135&gt;0),IF(($G135-$AM135)/$G135&gt;0,($G135-$AM135)/$G135,0),"")</f>
        <v/>
      </c>
      <c r="BG135" s="6">
        <f>IF((AD135-AF135)/(AJ135/60)&lt;=0,"",(AD135-AF135)/(AJ135/60))</f>
        <v/>
      </c>
      <c r="BH135" s="6">
        <f>IF(OR(AJ135=0,AP135=0,NOT(ISNUMBER(AD135)),NOT(ISNUMBER(AF135)),NOT(ISNUMBER(AJ135)),NOT(ISNUMBER(AP135))),"",
IFERROR(IF((AD135-AF135)/(AJ135/60)/(AP135/1000)&lt;=0,"",(AD135-AF135)/(AJ135/60)/(AP135/1000)),""))</f>
        <v/>
      </c>
    </row>
    <row r="136" ht="15.75" customHeight="1">
      <c r="B136" t="n">
        <v>-108</v>
      </c>
      <c r="C136" s="12" t="inlineStr">
        <is>
          <t xml:space="preserve">ORP abnormality  prediction during anoxic phase… </t>
        </is>
      </c>
      <c r="D136" s="11" t="n">
        <v>45396</v>
      </c>
      <c r="F136" s="3" t="n">
        <v>131</v>
      </c>
      <c r="G136" s="205">
        <f>IF(OR(S136="",S136=0),"",S136*2)</f>
        <v/>
      </c>
      <c r="K136" s="15">
        <f>AD136</f>
        <v/>
      </c>
      <c r="M136" s="10">
        <f>IF(OR(E136="",G136="",E136=0,G136=0),"",E136/G136)</f>
        <v/>
      </c>
      <c r="N136" s="9">
        <f>IF(OR(E136="",I136="",E136=0,I136=0),"",E136/(I136*2))</f>
        <v/>
      </c>
      <c r="O136" s="8">
        <f>IF(OR(I136="",G136="",I136=0,G136=0),"",I136*2/G136)</f>
        <v/>
      </c>
      <c r="AD136" s="5" t="n">
        <v>80</v>
      </c>
      <c r="AF136" s="168">
        <f>(AD135*1/3+AD137*2/3)</f>
        <v/>
      </c>
      <c r="AI136" t="n">
        <v>2.72</v>
      </c>
      <c r="AJ136" s="119" t="n">
        <v>0.4399305555555555</v>
      </c>
      <c r="AL136" s="231" t="n">
        <v>175</v>
      </c>
      <c r="AM136" s="3" t="n">
        <v>180</v>
      </c>
      <c r="AP136" s="255">
        <f>360-AK136-AB136</f>
        <v/>
      </c>
      <c r="AQ136" s="165" t="n"/>
      <c r="AR136" s="13">
        <f>AVERAGE(AO134:AO140)</f>
        <v/>
      </c>
      <c r="AS136" s="15">
        <f>IF(ISNUMBER([2]HRT_SRT!R190),[2]HRT_SRT!R190,"")</f>
        <v/>
      </c>
      <c r="AT136" s="156">
        <f>(E136-W136)/E136</f>
        <v/>
      </c>
      <c r="AU136" s="155">
        <f>(I136-AF136)/I136</f>
        <v/>
      </c>
      <c r="AV136" s="155">
        <f>AG136/(AD136-AF136)</f>
        <v/>
      </c>
      <c r="AW136" s="155">
        <f>(G136-AM136)/G136</f>
        <v/>
      </c>
      <c r="AX136" s="254">
        <f>IF(AND(ISNUMBER(E136),ISNUMBER(W136)),E136-W136,"")</f>
        <v/>
      </c>
      <c r="AY136" s="254">
        <f>IF(AND(ISNUMBER(I136),ISNUMBER(AF136)),I136-AF136,"")</f>
        <v/>
      </c>
      <c r="AZ136" s="254">
        <f>IF(AND(ISNUMBER(AM136),ISNUMBER(G136)),G136-AM136,"")</f>
        <v/>
      </c>
      <c r="BA136" s="254">
        <f>IF(AND(ISNUMBER(AC136),ISNUMBER(AE136)),AC136-AE136,"")</f>
        <v/>
      </c>
      <c r="BB136" s="254">
        <f>IF(AND(ISNUMBER(AL136),ISNUMBER(AM136)),AL136-AM136,"")</f>
        <v/>
      </c>
      <c r="BC136" s="84">
        <f>IF(AND($E136&gt;0,$W136&gt;0),IF(($E136-$W136)/$E136&gt;0,($E136-$W136)/$E136,0),"")</f>
        <v/>
      </c>
      <c r="BD136" s="84">
        <f>IF(AND($I136&gt;0,$AF136&gt;=0),IF(($I136-$AF136)/$I136&gt;0,($I136-$AF136)/$I136,0),"")</f>
        <v/>
      </c>
      <c r="BE136" s="84">
        <f>IF(AND($AG136&gt;=0,$AD136&gt;=0,$AF136&gt;=0),IF($AG136/($AD136-$AF136)&gt;0,$AG136/($AD136-$AF136),0),"")</f>
        <v/>
      </c>
      <c r="BF136" s="84">
        <f>IF(AND($G136&gt;0,$AM136&gt;0),IF(($G136-$AM136)/$G136&gt;0,($G136-$AM136)/$G136,0),"")</f>
        <v/>
      </c>
      <c r="BG136" s="6">
        <f>IF((AD136-AF136)/(AJ136/60)&lt;=0,"",(AD136-AF136)/(AJ136/60))</f>
        <v/>
      </c>
      <c r="BH136" s="6">
        <f>IF(OR(AJ136=0,AP136=0,NOT(ISNUMBER(AD136)),NOT(ISNUMBER(AF136)),NOT(ISNUMBER(AJ136)),NOT(ISNUMBER(AP136))),"",
IFERROR(IF((AD136-AF136)/(AJ136/60)/(AP136/1000)&lt;=0,"",(AD136-AF136)/(AJ136/60)/(AP136/1000)),""))</f>
        <v/>
      </c>
    </row>
    <row r="137" ht="30" customHeight="1">
      <c r="B137" t="n">
        <v>-107</v>
      </c>
      <c r="C137" s="12" t="inlineStr">
        <is>
          <t xml:space="preserve">when reaction starts in ANA. There is a little bit of N2O production </t>
        </is>
      </c>
      <c r="D137" s="11" t="n">
        <v>45397</v>
      </c>
      <c r="F137" s="3" t="n">
        <v>132</v>
      </c>
      <c r="G137" s="205">
        <f>IF(OR(S137="",S137=0),"",S137*2)</f>
        <v/>
      </c>
      <c r="I137" s="15">
        <f>(N137*18-H137*18)/9</f>
        <v/>
      </c>
      <c r="J137" s="15" t="n">
        <v>24.9</v>
      </c>
      <c r="K137" s="15">
        <f>AD137</f>
        <v/>
      </c>
      <c r="M137" s="10">
        <f>IF(OR(E137="",G137="",E137=0,G137=0),"",E137/G137)</f>
        <v/>
      </c>
      <c r="N137" s="9">
        <f>IF(OR(E137="",I137="",E137=0,I137=0),"",E137/(I137*2))</f>
        <v/>
      </c>
      <c r="O137" s="8">
        <f>IF(OR(I137="",G137="",I137=0,G137=0),"",I137*2/G137)</f>
        <v/>
      </c>
      <c r="P137" s="7" t="n">
        <v>35.7</v>
      </c>
      <c r="Q137" s="6" t="n">
        <v>68.89400000000001</v>
      </c>
      <c r="R137" s="6" t="n">
        <v>12.713</v>
      </c>
      <c r="S137" s="6">
        <f>O137*1.067</f>
        <v/>
      </c>
      <c r="T137" s="6">
        <f>P137*1.514</f>
        <v/>
      </c>
      <c r="U137" s="23">
        <f>P137*1.514+O137*1.067</f>
        <v/>
      </c>
      <c r="V137" s="6" t="n">
        <v>44.8</v>
      </c>
      <c r="Y137" s="6">
        <f>0.174+0.432</f>
        <v/>
      </c>
      <c r="AD137" s="5" t="n">
        <v>80</v>
      </c>
      <c r="AE137" s="7">
        <f>T137</f>
        <v/>
      </c>
      <c r="AF137" s="231">
        <f>5*5.63</f>
        <v/>
      </c>
      <c r="AG137" s="231" t="n">
        <v>48.8</v>
      </c>
      <c r="AH137" s="231" t="n">
        <v>0</v>
      </c>
      <c r="AI137" t="n">
        <v>0.36</v>
      </c>
      <c r="AL137" s="231" t="n">
        <v>175</v>
      </c>
      <c r="AM137" s="3" t="n">
        <v>180</v>
      </c>
      <c r="AN137" s="4">
        <f>AE137</f>
        <v/>
      </c>
      <c r="AO137" s="231" t="n">
        <v>45</v>
      </c>
      <c r="AP137" s="255">
        <f>360-AK137-AB137</f>
        <v/>
      </c>
      <c r="AQ137" s="165" t="n"/>
      <c r="AR137" s="13">
        <f>AVERAGE(AO135:AO141)</f>
        <v/>
      </c>
      <c r="AS137" s="15">
        <f>IF(ISNUMBER([2]HRT_SRT!R191),[2]HRT_SRT!R191,"")</f>
        <v/>
      </c>
      <c r="AT137" s="156">
        <f>(E137-W137)/E137</f>
        <v/>
      </c>
      <c r="AU137" s="155">
        <f>(I137-AF137)/I137</f>
        <v/>
      </c>
      <c r="AV137" s="155">
        <f>AG137/(AD137-AF137)</f>
        <v/>
      </c>
      <c r="AW137" s="155">
        <f>(G137-AM137)/G137</f>
        <v/>
      </c>
      <c r="AX137" s="254">
        <f>IF(AND(ISNUMBER(E137),ISNUMBER(W137)),E137-W137,"")</f>
        <v/>
      </c>
      <c r="AY137" s="254">
        <f>IF(AND(ISNUMBER(I137),ISNUMBER(AF137)),I137-AF137,"")</f>
        <v/>
      </c>
      <c r="AZ137" s="254">
        <f>IF(AND(ISNUMBER(AM137),ISNUMBER(G137)),G137-AM137,"")</f>
        <v/>
      </c>
      <c r="BA137" s="254">
        <f>IF(AND(ISNUMBER(AC137),ISNUMBER(AE137)),AC137-AE137,"")</f>
        <v/>
      </c>
      <c r="BB137" s="254">
        <f>IF(AND(ISNUMBER(AL137),ISNUMBER(AM137)),AL137-AM137,"")</f>
        <v/>
      </c>
      <c r="BC137" s="84">
        <f>IF(AND($E137&gt;0,$W137&gt;0),IF(($E137-$W137)/$E137&gt;0,($E137-$W137)/$E137,0),"")</f>
        <v/>
      </c>
      <c r="BD137" s="84">
        <f>IF(AND($I137&gt;0,$AF137&gt;=0),IF(($I137-$AF137)/$I137&gt;0,($I137-$AF137)/$I137,0),"")</f>
        <v/>
      </c>
      <c r="BE137" s="84">
        <f>IF(AND($AG137&gt;=0,$AD137&gt;=0,$AF137&gt;=0),IF($AG137/($AD137-$AF137)&gt;0,$AG137/($AD137-$AF137),0),"")</f>
        <v/>
      </c>
      <c r="BF137" s="84">
        <f>IF(AND($G137&gt;0,$AM137&gt;0),IF(($G137-$AM137)/$G137&gt;0,($G137-$AM137)/$G137,0),"")</f>
        <v/>
      </c>
      <c r="BG137" s="6">
        <f>IF((AD137-AF137)/(AJ137/60)&lt;=0,"",(AD137-AF137)/(AJ137/60))</f>
        <v/>
      </c>
      <c r="BH137" s="6">
        <f>IF(OR(AJ137=0,AP137=0,NOT(ISNUMBER(AD137)),NOT(ISNUMBER(AF137)),NOT(ISNUMBER(AJ137)),NOT(ISNUMBER(AP137))),"",
IFERROR(IF((AD137-AF137)/(AJ137/60)/(AP137/1000)&lt;=0,"",(AD137-AF137)/(AJ137/60)/(AP137/1000)),""))</f>
        <v/>
      </c>
    </row>
    <row r="138" ht="15.75" customHeight="1">
      <c r="B138" t="n">
        <v>-106</v>
      </c>
      <c r="D138" s="11" t="n">
        <v>45398</v>
      </c>
      <c r="F138" s="3" t="n">
        <v>133</v>
      </c>
      <c r="G138" s="205">
        <f>IF(OR(S138="",S138=0),"",S138*2)</f>
        <v/>
      </c>
      <c r="I138" s="15">
        <f>(N138*18-H138*18)/9</f>
        <v/>
      </c>
      <c r="J138" s="9" t="n">
        <v>8.720000000000001</v>
      </c>
      <c r="K138" s="15">
        <f>AD138</f>
        <v/>
      </c>
      <c r="M138" s="10">
        <f>IF(OR(E138="",G138="",E138=0,G138=0),"",E138/G138)</f>
        <v/>
      </c>
      <c r="N138" s="9">
        <f>IF(OR(E138="",I138="",E138=0,I138=0),"",E138/(I138*2))</f>
        <v/>
      </c>
      <c r="O138" s="8">
        <f>IF(OR(I138="",G138="",I138=0,G138=0),"",I138*2/G138)</f>
        <v/>
      </c>
      <c r="P138" s="7" t="n">
        <v>22.5</v>
      </c>
      <c r="Q138" s="6" t="n">
        <v>93.938</v>
      </c>
      <c r="R138" s="6" t="n">
        <v>18.396</v>
      </c>
      <c r="S138" s="6">
        <f>O138*1.067</f>
        <v/>
      </c>
      <c r="T138" s="6">
        <f>P138*1.514</f>
        <v/>
      </c>
      <c r="U138" s="23">
        <f>P138*1.514+O138*1.067</f>
        <v/>
      </c>
      <c r="V138" s="6" t="n">
        <v>33.3</v>
      </c>
      <c r="Y138" s="6" t="n">
        <v>0</v>
      </c>
      <c r="AD138" s="5" t="n">
        <v>80</v>
      </c>
      <c r="AE138" s="7">
        <f>T138</f>
        <v/>
      </c>
      <c r="AF138" s="231">
        <f>5*5.08</f>
        <v/>
      </c>
      <c r="AG138" s="231" t="n">
        <v>19.1</v>
      </c>
      <c r="AH138" s="231" t="n">
        <v>0</v>
      </c>
      <c r="AI138" t="n">
        <v>1.74</v>
      </c>
      <c r="AJ138" s="119" t="n">
        <v>0.3994212962962963</v>
      </c>
      <c r="AL138" s="231" t="n">
        <v>175</v>
      </c>
      <c r="AM138" s="3" t="n">
        <v>180</v>
      </c>
      <c r="AN138" s="4">
        <f>AE138</f>
        <v/>
      </c>
      <c r="AO138" s="231" t="n">
        <v>13</v>
      </c>
      <c r="AP138" s="255">
        <f>360-AK138-AB138</f>
        <v/>
      </c>
      <c r="AQ138" s="165" t="n"/>
      <c r="AR138" s="13">
        <f>AVERAGE(AO136:AO142)</f>
        <v/>
      </c>
      <c r="AS138" s="15">
        <f>IF(ISNUMBER([2]HRT_SRT!R192),[2]HRT_SRT!R192,"")</f>
        <v/>
      </c>
      <c r="AT138" s="156">
        <f>(E138-W138)/E138</f>
        <v/>
      </c>
      <c r="AU138" s="155">
        <f>(I138-AF138)/I138</f>
        <v/>
      </c>
      <c r="AV138" s="155">
        <f>AG138/(AD138-AF138)</f>
        <v/>
      </c>
      <c r="AW138" s="155">
        <f>(G138-AM138)/G138</f>
        <v/>
      </c>
      <c r="AX138" s="254">
        <f>IF(AND(ISNUMBER(E138),ISNUMBER(W138)),E138-W138,"")</f>
        <v/>
      </c>
      <c r="AY138" s="254">
        <f>IF(AND(ISNUMBER(I138),ISNUMBER(AF138)),I138-AF138,"")</f>
        <v/>
      </c>
      <c r="AZ138" s="254">
        <f>IF(AND(ISNUMBER(AM138),ISNUMBER(G138)),G138-AM138,"")</f>
        <v/>
      </c>
      <c r="BA138" s="254">
        <f>IF(AND(ISNUMBER(AC138),ISNUMBER(AE138)),AC138-AE138,"")</f>
        <v/>
      </c>
      <c r="BB138" s="254">
        <f>IF(AND(ISNUMBER(AL138),ISNUMBER(AM138)),AL138-AM138,"")</f>
        <v/>
      </c>
      <c r="BC138" s="84">
        <f>IF(AND($E138&gt;0,$W138&gt;0),IF(($E138-$W138)/$E138&gt;0,($E138-$W138)/$E138,0),"")</f>
        <v/>
      </c>
      <c r="BD138" s="84">
        <f>IF(AND($I138&gt;0,$AF138&gt;=0),IF(($I138-$AF138)/$I138&gt;0,($I138-$AF138)/$I138,0),"")</f>
        <v/>
      </c>
      <c r="BE138" s="84">
        <f>IF(AND($AG138&gt;=0,$AD138&gt;=0,$AF138&gt;=0),IF($AG138/($AD138-$AF138)&gt;0,$AG138/($AD138-$AF138),0),"")</f>
        <v/>
      </c>
      <c r="BF138" s="84">
        <f>IF(AND($G138&gt;0,$AM138&gt;0),IF(($G138-$AM138)/$G138&gt;0,($G138-$AM138)/$G138,0),"")</f>
        <v/>
      </c>
      <c r="BG138" s="6">
        <f>IF((AD138-AF138)/(AJ138/60)&lt;=0,"",(AD138-AF138)/(AJ138/60))</f>
        <v/>
      </c>
      <c r="BH138" s="6">
        <f>IF(OR(AJ138=0,AP138=0,NOT(ISNUMBER(AD138)),NOT(ISNUMBER(AF138)),NOT(ISNUMBER(AJ138)),NOT(ISNUMBER(AP138))),"",
IFERROR(IF((AD138-AF138)/(AJ138/60)/(AP138/1000)&lt;=0,"",(AD138-AF138)/(AJ138/60)/(AP138/1000)),""))</f>
        <v/>
      </c>
    </row>
    <row r="139" ht="15.75" customHeight="1">
      <c r="B139" t="n">
        <v>-105</v>
      </c>
      <c r="D139" s="167" t="n">
        <v>45399</v>
      </c>
      <c r="E139" s="166" t="n"/>
      <c r="F139" s="136" t="n">
        <v>134</v>
      </c>
      <c r="G139" s="205">
        <f>IF(OR(S139="",S139=0),"",S139*2)</f>
        <v/>
      </c>
      <c r="I139" s="15">
        <f>(N139*18-H139*18)/9</f>
        <v/>
      </c>
      <c r="J139" s="9" t="n">
        <v>8.880000000000001</v>
      </c>
      <c r="K139" s="15">
        <f>AD139</f>
        <v/>
      </c>
      <c r="M139" s="10">
        <f>IF(OR(E139="",G139="",E139=0,G139=0),"",E139/G139)</f>
        <v/>
      </c>
      <c r="N139" s="9">
        <f>IF(OR(E139="",I139="",E139=0,I139=0),"",E139/(I139*2))</f>
        <v/>
      </c>
      <c r="O139" s="8">
        <f>IF(OR(I139="",G139="",I139=0,G139=0),"",I139*2/G139)</f>
        <v/>
      </c>
      <c r="P139" s="7" t="n">
        <v>21.7</v>
      </c>
      <c r="Q139" s="6" t="n">
        <v>87.712</v>
      </c>
      <c r="R139" s="6" t="n">
        <v>39.286</v>
      </c>
      <c r="S139" s="6">
        <f>O139*1.067</f>
        <v/>
      </c>
      <c r="T139" s="6">
        <f>P139*1.514</f>
        <v/>
      </c>
      <c r="U139" s="23">
        <f>P139*1.514+O139*1.067</f>
        <v/>
      </c>
      <c r="V139" s="6" t="n">
        <v>33.2</v>
      </c>
      <c r="Y139" s="6" t="n">
        <v>0</v>
      </c>
      <c r="Z139" s="6" t="n">
        <v>5.7</v>
      </c>
      <c r="AD139" s="5" t="n">
        <v>80</v>
      </c>
      <c r="AE139" s="7">
        <f>T139</f>
        <v/>
      </c>
      <c r="AF139" s="231">
        <f>5*5.49</f>
        <v/>
      </c>
      <c r="AG139" s="231" t="n">
        <v>20.3</v>
      </c>
      <c r="AH139" s="231">
        <f>2*3.19</f>
        <v/>
      </c>
      <c r="AI139" t="n">
        <v>3.64</v>
      </c>
      <c r="AJ139" s="119" t="n">
        <v>0.4484953703703703</v>
      </c>
      <c r="AL139" s="231" t="n">
        <v>175</v>
      </c>
      <c r="AM139" s="3" t="n">
        <v>180</v>
      </c>
      <c r="AN139" s="4">
        <f>AE139</f>
        <v/>
      </c>
      <c r="AO139" s="231" t="n">
        <v>14.9</v>
      </c>
      <c r="AP139" s="255">
        <f>360-AK139-AB139</f>
        <v/>
      </c>
      <c r="AQ139" s="165">
        <f>[2]HRT_SRT!P193</f>
        <v/>
      </c>
      <c r="AR139" s="13">
        <f>AVERAGE(AO137:AO143)</f>
        <v/>
      </c>
      <c r="AS139" s="15">
        <f>IF(ISNUMBER([2]HRT_SRT!R193),[2]HRT_SRT!R193,"")</f>
        <v/>
      </c>
      <c r="AT139" s="156">
        <f>(E139-W139)/E139</f>
        <v/>
      </c>
      <c r="AU139" s="155">
        <f>(I139-AF139)/I139</f>
        <v/>
      </c>
      <c r="AV139" s="155">
        <f>AG139/(AD139-AF139)</f>
        <v/>
      </c>
      <c r="AW139" s="155">
        <f>(G139-AM139)/G139</f>
        <v/>
      </c>
      <c r="AX139" s="254">
        <f>IF(AND(ISNUMBER(E139),ISNUMBER(W139)),E139-W139,"")</f>
        <v/>
      </c>
      <c r="AY139" s="254">
        <f>IF(AND(ISNUMBER(I139),ISNUMBER(AF139)),I139-AF139,"")</f>
        <v/>
      </c>
      <c r="AZ139" s="254">
        <f>IF(AND(ISNUMBER(AM139),ISNUMBER(G139)),G139-AM139,"")</f>
        <v/>
      </c>
      <c r="BA139" s="254">
        <f>IF(AND(ISNUMBER(AC139),ISNUMBER(AE139)),AC139-AE139,"")</f>
        <v/>
      </c>
      <c r="BB139" s="254">
        <f>IF(AND(ISNUMBER(AL139),ISNUMBER(AM139)),AL139-AM139,"")</f>
        <v/>
      </c>
      <c r="BC139" s="84">
        <f>IF(AND($E139&gt;0,$W139&gt;0),IF(($E139-$W139)/$E139&gt;0,($E139-$W139)/$E139,0),"")</f>
        <v/>
      </c>
      <c r="BD139" s="84">
        <f>IF(AND($I139&gt;0,$AF139&gt;=0),IF(($I139-$AF139)/$I139&gt;0,($I139-$AF139)/$I139,0),"")</f>
        <v/>
      </c>
      <c r="BE139" s="84">
        <f>IF(AND($AG139&gt;=0,$AD139&gt;=0,$AF139&gt;=0),IF($AG139/($AD139-$AF139)&gt;0,$AG139/($AD139-$AF139),0),"")</f>
        <v/>
      </c>
      <c r="BF139" s="84">
        <f>IF(AND($G139&gt;0,$AM139&gt;0),IF(($G139-$AM139)/$G139&gt;0,($G139-$AM139)/$G139,0),"")</f>
        <v/>
      </c>
      <c r="BG139" s="6">
        <f>IF((AD139-AF139)/(AJ139/60)&lt;=0,"",(AD139-AF139)/(AJ139/60))</f>
        <v/>
      </c>
      <c r="BH139" s="6">
        <f>IF(OR(AJ139=0,AP139=0,NOT(ISNUMBER(AD139)),NOT(ISNUMBER(AF139)),NOT(ISNUMBER(AJ139)),NOT(ISNUMBER(AP139))),"",
IFERROR(IF((AD139-AF139)/(AJ139/60)/(AP139/1000)&lt;=0,"",(AD139-AF139)/(AJ139/60)/(AP139/1000)),""))</f>
        <v/>
      </c>
    </row>
    <row r="140" ht="45" customHeight="1">
      <c r="B140" t="n">
        <v>-104</v>
      </c>
      <c r="C140" s="12" t="inlineStr">
        <is>
          <t>frothing, then super low pH (to 6 instance), NaoH shut off for 1 hour. Though the pH climb back up itself. Did a influent wash, decrease NO2 by half : 8.18 at 7:28:00 PM</t>
        </is>
      </c>
      <c r="D140" s="11" t="n">
        <v>45400</v>
      </c>
      <c r="F140" s="3" t="n">
        <v>135</v>
      </c>
      <c r="G140" s="205">
        <f>IF(OR(S140="",S140=0),"",S140*2)</f>
        <v/>
      </c>
      <c r="K140" s="15">
        <f>AD140</f>
        <v/>
      </c>
      <c r="M140" s="10">
        <f>IF(OR(E140="",G140="",E140=0,G140=0),"",E140/G140)</f>
        <v/>
      </c>
      <c r="N140" s="9">
        <f>IF(OR(E140="",I140="",E140=0,I140=0),"",E140/(I140*2))</f>
        <v/>
      </c>
      <c r="O140" s="8">
        <f>IF(OR(I140="",G140="",I140=0,G140=0),"",I140*2/G140)</f>
        <v/>
      </c>
      <c r="Z140" s="6" t="n">
        <v>7.64</v>
      </c>
      <c r="AD140" s="5" t="n">
        <v>80</v>
      </c>
      <c r="AE140" s="4" t="n">
        <v>33.6</v>
      </c>
      <c r="AF140" s="231">
        <f>5*5.25</f>
        <v/>
      </c>
      <c r="AG140" s="231" t="n">
        <v>64</v>
      </c>
      <c r="AH140" s="231">
        <f>2*4.87</f>
        <v/>
      </c>
      <c r="AI140" t="n">
        <v>3.88</v>
      </c>
      <c r="AJ140" s="119" t="n">
        <v>0.4782407407407407</v>
      </c>
      <c r="AL140" s="231" t="n">
        <v>175</v>
      </c>
      <c r="AM140" s="3" t="n">
        <v>180</v>
      </c>
      <c r="AN140" s="4">
        <f>AE140</f>
        <v/>
      </c>
      <c r="AO140" s="231" t="n">
        <v>60.5</v>
      </c>
      <c r="AP140" s="255">
        <f>360-AK140-AB140</f>
        <v/>
      </c>
      <c r="AQ140" s="165" t="n"/>
      <c r="AR140" s="13">
        <f>AVERAGE(AO138:AO144)</f>
        <v/>
      </c>
      <c r="AS140" s="15">
        <f>IF(ISNUMBER([2]HRT_SRT!R194),[2]HRT_SRT!R194,"")</f>
        <v/>
      </c>
      <c r="AT140" s="156">
        <f>(E140-W140)/E140</f>
        <v/>
      </c>
      <c r="AU140" s="155">
        <f>(I140-AF140)/I140</f>
        <v/>
      </c>
      <c r="AV140" s="155">
        <f>AG140/(AD140-AF140)</f>
        <v/>
      </c>
      <c r="AW140" s="155">
        <f>(G140-AM140)/G140</f>
        <v/>
      </c>
      <c r="AX140" s="254">
        <f>IF(AND(ISNUMBER(E140),ISNUMBER(W140)),E140-W140,"")</f>
        <v/>
      </c>
      <c r="AY140" s="254">
        <f>IF(AND(ISNUMBER(I140),ISNUMBER(AF140)),I140-AF140,"")</f>
        <v/>
      </c>
      <c r="AZ140" s="254">
        <f>IF(AND(ISNUMBER(AM140),ISNUMBER(G140)),G140-AM140,"")</f>
        <v/>
      </c>
      <c r="BA140" s="254">
        <f>IF(AND(ISNUMBER(AC140),ISNUMBER(AE140)),AC140-AE140,"")</f>
        <v/>
      </c>
      <c r="BB140" s="254">
        <f>IF(AND(ISNUMBER(AL140),ISNUMBER(AM140)),AL140-AM140,"")</f>
        <v/>
      </c>
      <c r="BC140" s="84">
        <f>IF(AND($E140&gt;0,$W140&gt;0),IF(($E140-$W140)/$E140&gt;0,($E140-$W140)/$E140,0),"")</f>
        <v/>
      </c>
      <c r="BD140" s="84">
        <f>IF(AND($I140&gt;0,$AF140&gt;=0),IF(($I140-$AF140)/$I140&gt;0,($I140-$AF140)/$I140,0),"")</f>
        <v/>
      </c>
      <c r="BE140" s="84">
        <f>IF(AND($AG140&gt;=0,$AD140&gt;=0,$AF140&gt;=0),IF($AG140/($AD140-$AF140)&gt;0,$AG140/($AD140-$AF140),0),"")</f>
        <v/>
      </c>
      <c r="BF140" s="84">
        <f>IF(AND($G140&gt;0,$AM140&gt;0),IF(($G140-$AM140)/$G140&gt;0,($G140-$AM140)/$G140,0),"")</f>
        <v/>
      </c>
      <c r="BG140" s="6">
        <f>IF((AD140-AF140)/(AJ140/60)&lt;=0,"",(AD140-AF140)/(AJ140/60))</f>
        <v/>
      </c>
      <c r="BH140" s="6">
        <f>IF(OR(AJ140=0,AP140=0,NOT(ISNUMBER(AD140)),NOT(ISNUMBER(AF140)),NOT(ISNUMBER(AJ140)),NOT(ISNUMBER(AP140))),"",
IFERROR(IF((AD140-AF140)/(AJ140/60)/(AP140/1000)&lt;=0,"",(AD140-AF140)/(AJ140/60)/(AP140/1000)),""))</f>
        <v/>
      </c>
    </row>
    <row r="141" ht="15.75" customFormat="1" customHeight="1" s="137">
      <c r="B141" t="n">
        <v>-103</v>
      </c>
      <c r="C141" s="154" t="inlineStr">
        <is>
          <t xml:space="preserve">the COD/N bottles got switched </t>
        </is>
      </c>
      <c r="D141" s="173" t="n">
        <v>45401</v>
      </c>
      <c r="E141" s="172" t="n"/>
      <c r="F141" s="145" t="n">
        <v>136</v>
      </c>
      <c r="G141" s="205">
        <f>IF(OR(S141="",S141=0),"",S141*2)</f>
        <v/>
      </c>
      <c r="H141" s="153" t="n"/>
      <c r="I141" s="153" t="n"/>
      <c r="J141" s="153" t="n"/>
      <c r="K141" s="15">
        <f>AD141</f>
        <v/>
      </c>
      <c r="L141" s="152" t="n"/>
      <c r="M141" s="10">
        <f>IF(OR(E141="",G141="",E141=0,G141=0),"",E141/G141)</f>
        <v/>
      </c>
      <c r="N141" s="9">
        <f>IF(OR(E141="",I141="",E141=0,I141=0),"",E141/(I141*2))</f>
        <v/>
      </c>
      <c r="O141" s="8">
        <f>IF(OR(I141="",G141="",I141=0,G141=0),"",I141*2/G141)</f>
        <v/>
      </c>
      <c r="P141" s="151" t="n"/>
      <c r="Q141" s="150" t="n"/>
      <c r="R141" s="150" t="n"/>
      <c r="S141" s="150" t="n"/>
      <c r="T141" s="150" t="n"/>
      <c r="U141" s="150" t="n"/>
      <c r="V141" s="150" t="n"/>
      <c r="W141" s="150" t="n"/>
      <c r="X141" s="150" t="n"/>
      <c r="Y141" s="150" t="n"/>
      <c r="Z141" s="150" t="n">
        <v>4.9</v>
      </c>
      <c r="AA141" s="150" t="n"/>
      <c r="AB141" s="150" t="n"/>
      <c r="AC141" s="150" t="n"/>
      <c r="AD141" s="149" t="n">
        <v>80</v>
      </c>
      <c r="AE141" s="141" t="n"/>
      <c r="AI141" s="147" t="n">
        <v>0.82</v>
      </c>
      <c r="AJ141" s="146" t="n">
        <v>0.4290509259259259</v>
      </c>
      <c r="AL141" s="170" t="n">
        <v>175</v>
      </c>
      <c r="AM141" s="145" t="n">
        <v>180</v>
      </c>
      <c r="AN141" s="141" t="n"/>
      <c r="AP141" s="258">
        <f>360-AK141-AB141</f>
        <v/>
      </c>
      <c r="AQ141" s="169" t="n"/>
      <c r="AR141" s="13">
        <f>AVERAGE(AO139:AO145)</f>
        <v/>
      </c>
      <c r="AS141" s="142">
        <f>IF(ISNUMBER([2]HRT_SRT!R195),[2]HRT_SRT!R195,"")</f>
        <v/>
      </c>
      <c r="AT141" s="156">
        <f>(E141-W141)/E141</f>
        <v/>
      </c>
      <c r="AU141" s="155">
        <f>(I141-AF141)/I141</f>
        <v/>
      </c>
      <c r="AV141" s="155">
        <f>AG141/(AD141-AF141)</f>
        <v/>
      </c>
      <c r="AW141" s="155">
        <f>(G141-AM141)/G141</f>
        <v/>
      </c>
      <c r="AX141" s="254">
        <f>IF(AND(ISNUMBER(E141),ISNUMBER(W141)),E141-W141,"")</f>
        <v/>
      </c>
      <c r="AY141" s="254">
        <f>IF(AND(ISNUMBER(I141),ISNUMBER(AF141)),I141-AF141,"")</f>
        <v/>
      </c>
      <c r="AZ141" s="254">
        <f>IF(AND(ISNUMBER(AM141),ISNUMBER(G141)),G141-AM141,"")</f>
        <v/>
      </c>
      <c r="BA141" s="254">
        <f>IF(AND(ISNUMBER(AC141),ISNUMBER(AE141)),AC141-AE141,"")</f>
        <v/>
      </c>
      <c r="BB141" s="254">
        <f>IF(AND(ISNUMBER(AL141),ISNUMBER(AM141)),AL141-AM141,"")</f>
        <v/>
      </c>
      <c r="BC141" s="84">
        <f>IF(AND($E141&gt;0,$W141&gt;0),IF(($E141-$W141)/$E141&gt;0,($E141-$W141)/$E141,0),"")</f>
        <v/>
      </c>
      <c r="BD141" s="84">
        <f>IF(AND($I141&gt;0,$AF141&gt;=0),IF(($I141-$AF141)/$I141&gt;0,($I141-$AF141)/$I141,0),"")</f>
        <v/>
      </c>
      <c r="BE141" s="84">
        <f>IF(AND($AG141&gt;=0,$AD141&gt;=0,$AF141&gt;=0),IF($AG141/($AD141-$AF141)&gt;0,$AG141/($AD141-$AF141),0),"")</f>
        <v/>
      </c>
      <c r="BF141" s="84">
        <f>IF(AND($G141&gt;0,$AM141&gt;0),IF(($G141-$AM141)/$G141&gt;0,($G141-$AM141)/$G141,0),"")</f>
        <v/>
      </c>
      <c r="BG141" s="6">
        <f>IF((AD141-AF141)/(AJ141/60)&lt;=0,"",(AD141-AF141)/(AJ141/60))</f>
        <v/>
      </c>
      <c r="BH141" s="6">
        <f>IF(OR(AJ141=0,AP141=0,NOT(ISNUMBER(AD141)),NOT(ISNUMBER(AF141)),NOT(ISNUMBER(AJ141)),NOT(ISNUMBER(AP141))),"",
IFERROR(IF((AD141-AF141)/(AJ141/60)/(AP141/1000)&lt;=0,"",(AD141-AF141)/(AJ141/60)/(AP141/1000)),""))</f>
        <v/>
      </c>
    </row>
    <row r="142" ht="15.75" customFormat="1" customHeight="1" s="137">
      <c r="B142" t="n">
        <v>-102</v>
      </c>
      <c r="C142" s="154" t="inlineStr">
        <is>
          <t xml:space="preserve">the COD/N bottles got switched </t>
        </is>
      </c>
      <c r="D142" s="173" t="n">
        <v>45402</v>
      </c>
      <c r="E142" s="172" t="n"/>
      <c r="F142" s="145" t="n">
        <v>137</v>
      </c>
      <c r="G142" s="205">
        <f>IF(OR(S142="",S142=0),"",S142*2)</f>
        <v/>
      </c>
      <c r="H142" s="153" t="n"/>
      <c r="I142" s="153" t="n"/>
      <c r="J142" s="153" t="n"/>
      <c r="K142" s="15">
        <f>AD142</f>
        <v/>
      </c>
      <c r="L142" s="152" t="n"/>
      <c r="M142" s="10">
        <f>IF(OR(E142="",G142="",E142=0,G142=0),"",E142/G142)</f>
        <v/>
      </c>
      <c r="N142" s="9">
        <f>IF(OR(E142="",I142="",E142=0,I142=0),"",E142/(I142*2))</f>
        <v/>
      </c>
      <c r="O142" s="8">
        <f>IF(OR(I142="",G142="",I142=0,G142=0),"",I142*2/G142)</f>
        <v/>
      </c>
      <c r="P142" s="151" t="n"/>
      <c r="Q142" s="150" t="n"/>
      <c r="R142" s="150" t="n"/>
      <c r="S142" s="150" t="n"/>
      <c r="T142" s="150" t="n"/>
      <c r="U142" s="150" t="n"/>
      <c r="V142" s="150" t="n"/>
      <c r="W142" s="150" t="n"/>
      <c r="X142" s="150" t="n"/>
      <c r="Y142" s="150" t="n"/>
      <c r="Z142" s="150" t="n"/>
      <c r="AA142" s="150" t="n"/>
      <c r="AB142" s="150" t="n"/>
      <c r="AC142" s="150" t="n"/>
      <c r="AD142" s="149" t="n">
        <v>80</v>
      </c>
      <c r="AE142" s="141" t="n"/>
      <c r="AL142" s="170" t="n">
        <v>175</v>
      </c>
      <c r="AM142" s="145" t="n">
        <v>180</v>
      </c>
      <c r="AN142" s="141" t="n"/>
      <c r="AP142" s="258">
        <f>360-AK142-AB142</f>
        <v/>
      </c>
      <c r="AQ142" s="169" t="n"/>
      <c r="AR142" s="13">
        <f>AVERAGE(AO140:AO146)</f>
        <v/>
      </c>
      <c r="AS142" s="142">
        <f>IF(ISNUMBER([2]HRT_SRT!R196),[2]HRT_SRT!R196,"")</f>
        <v/>
      </c>
      <c r="AT142" s="156">
        <f>(E142-W142)/E142</f>
        <v/>
      </c>
      <c r="AU142" s="155">
        <f>(I142-AF142)/I142</f>
        <v/>
      </c>
      <c r="AV142" s="155">
        <f>AG142/(AD142-AF142)</f>
        <v/>
      </c>
      <c r="AW142" s="155">
        <f>(G142-AM142)/G142</f>
        <v/>
      </c>
      <c r="AX142" s="254">
        <f>IF(AND(ISNUMBER(E142),ISNUMBER(W142)),E142-W142,"")</f>
        <v/>
      </c>
      <c r="AY142" s="254">
        <f>IF(AND(ISNUMBER(I142),ISNUMBER(AF142)),I142-AF142,"")</f>
        <v/>
      </c>
      <c r="AZ142" s="254">
        <f>IF(AND(ISNUMBER(AM142),ISNUMBER(G142)),G142-AM142,"")</f>
        <v/>
      </c>
      <c r="BA142" s="254">
        <f>IF(AND(ISNUMBER(AC142),ISNUMBER(AE142)),AC142-AE142,"")</f>
        <v/>
      </c>
      <c r="BB142" s="254">
        <f>IF(AND(ISNUMBER(AL142),ISNUMBER(AM142)),AL142-AM142,"")</f>
        <v/>
      </c>
      <c r="BC142" s="84">
        <f>IF(AND($E142&gt;0,$W142&gt;0),IF(($E142-$W142)/$E142&gt;0,($E142-$W142)/$E142,0),"")</f>
        <v/>
      </c>
      <c r="BD142" s="84">
        <f>IF(AND($I142&gt;0,$AF142&gt;=0),IF(($I142-$AF142)/$I142&gt;0,($I142-$AF142)/$I142,0),"")</f>
        <v/>
      </c>
      <c r="BE142" s="84">
        <f>IF(AND($AG142&gt;=0,$AD142&gt;=0,$AF142&gt;=0),IF($AG142/($AD142-$AF142)&gt;0,$AG142/($AD142-$AF142),0),"")</f>
        <v/>
      </c>
      <c r="BF142" s="84">
        <f>IF(AND($G142&gt;0,$AM142&gt;0),IF(($G142-$AM142)/$G142&gt;0,($G142-$AM142)/$G142,0),"")</f>
        <v/>
      </c>
      <c r="BG142" s="6">
        <f>IF((AD142-AF142)/(AJ142/60)&lt;=0,"",(AD142-AF142)/(AJ142/60))</f>
        <v/>
      </c>
      <c r="BH142" s="6">
        <f>IF(OR(AJ142=0,AP142=0,NOT(ISNUMBER(AD142)),NOT(ISNUMBER(AF142)),NOT(ISNUMBER(AJ142)),NOT(ISNUMBER(AP142))),"",
IFERROR(IF((AD142-AF142)/(AJ142/60)/(AP142/1000)&lt;=0,"",(AD142-AF142)/(AJ142/60)/(AP142/1000)),""))</f>
        <v/>
      </c>
    </row>
    <row r="143" ht="15.75" customFormat="1" customHeight="1" s="137">
      <c r="B143" t="n">
        <v>-101</v>
      </c>
      <c r="C143" s="154" t="inlineStr">
        <is>
          <t xml:space="preserve">the COD/N bottles got switched </t>
        </is>
      </c>
      <c r="D143" s="173" t="n">
        <v>45403</v>
      </c>
      <c r="E143" s="172" t="n"/>
      <c r="F143" s="145" t="n">
        <v>138</v>
      </c>
      <c r="G143" s="205">
        <f>IF(OR(S143="",S143=0),"",S143*2)</f>
        <v/>
      </c>
      <c r="H143" s="153" t="n"/>
      <c r="I143" s="153" t="n"/>
      <c r="J143" s="153" t="n"/>
      <c r="K143" s="15">
        <f>AD143</f>
        <v/>
      </c>
      <c r="L143" s="152" t="n"/>
      <c r="M143" s="10">
        <f>IF(OR(E143="",G143="",E143=0,G143=0),"",E143/G143)</f>
        <v/>
      </c>
      <c r="N143" s="9">
        <f>IF(OR(E143="",I143="",E143=0,I143=0),"",E143/(I143*2))</f>
        <v/>
      </c>
      <c r="O143" s="8">
        <f>IF(OR(I143="",G143="",I143=0,G143=0),"",I143*2/G143)</f>
        <v/>
      </c>
      <c r="P143" s="151" t="n"/>
      <c r="Q143" s="150" t="n"/>
      <c r="R143" s="150" t="n"/>
      <c r="S143" s="150" t="n"/>
      <c r="T143" s="150" t="n"/>
      <c r="U143" s="150" t="n"/>
      <c r="V143" s="150" t="n"/>
      <c r="W143" s="150" t="n"/>
      <c r="X143" s="150" t="n"/>
      <c r="Y143" s="150" t="n"/>
      <c r="Z143" s="150" t="n">
        <v>9.77</v>
      </c>
      <c r="AA143" s="150" t="n"/>
      <c r="AB143" s="150" t="n"/>
      <c r="AC143" s="150" t="n"/>
      <c r="AD143" s="149" t="n">
        <v>80</v>
      </c>
      <c r="AE143" s="141" t="n"/>
      <c r="AL143" s="170" t="n">
        <v>175</v>
      </c>
      <c r="AM143" s="145" t="n">
        <v>180</v>
      </c>
      <c r="AN143" s="141" t="n"/>
      <c r="AP143" s="258">
        <f>360-AK143-AB143</f>
        <v/>
      </c>
      <c r="AQ143" s="169" t="n"/>
      <c r="AR143" s="13">
        <f>AVERAGE(AO141:AO147)</f>
        <v/>
      </c>
      <c r="AS143" s="142">
        <f>IF(ISNUMBER([2]HRT_SRT!R197),[2]HRT_SRT!R197,"")</f>
        <v/>
      </c>
      <c r="AT143" s="156">
        <f>(E143-W143)/E143</f>
        <v/>
      </c>
      <c r="AU143" s="155">
        <f>(I143-AF143)/I143</f>
        <v/>
      </c>
      <c r="AV143" s="155">
        <f>AG143/(AD143-AF143)</f>
        <v/>
      </c>
      <c r="AW143" s="155">
        <f>(G143-AM143)/G143</f>
        <v/>
      </c>
      <c r="AX143" s="254">
        <f>IF(AND(ISNUMBER(E143),ISNUMBER(W143)),E143-W143,"")</f>
        <v/>
      </c>
      <c r="AY143" s="254">
        <f>IF(AND(ISNUMBER(I143),ISNUMBER(AF143)),I143-AF143,"")</f>
        <v/>
      </c>
      <c r="AZ143" s="254">
        <f>IF(AND(ISNUMBER(AM143),ISNUMBER(G143)),G143-AM143,"")</f>
        <v/>
      </c>
      <c r="BA143" s="254">
        <f>IF(AND(ISNUMBER(AC143),ISNUMBER(AE143)),AC143-AE143,"")</f>
        <v/>
      </c>
      <c r="BB143" s="254">
        <f>IF(AND(ISNUMBER(AL143),ISNUMBER(AM143)),AL143-AM143,"")</f>
        <v/>
      </c>
      <c r="BC143" s="84">
        <f>IF(AND($E143&gt;0,$W143&gt;0),IF(($E143-$W143)/$E143&gt;0,($E143-$W143)/$E143,0),"")</f>
        <v/>
      </c>
      <c r="BD143" s="84">
        <f>IF(AND($I143&gt;0,$AF143&gt;=0),IF(($I143-$AF143)/$I143&gt;0,($I143-$AF143)/$I143,0),"")</f>
        <v/>
      </c>
      <c r="BE143" s="84">
        <f>IF(AND($AG143&gt;=0,$AD143&gt;=0,$AF143&gt;=0),IF($AG143/($AD143-$AF143)&gt;0,$AG143/($AD143-$AF143),0),"")</f>
        <v/>
      </c>
      <c r="BF143" s="84">
        <f>IF(AND($G143&gt;0,$AM143&gt;0),IF(($G143-$AM143)/$G143&gt;0,($G143-$AM143)/$G143,0),"")</f>
        <v/>
      </c>
      <c r="BG143" s="6">
        <f>IF((AD143-AF143)/(AJ143/60)&lt;=0,"",(AD143-AF143)/(AJ143/60))</f>
        <v/>
      </c>
      <c r="BH143" s="6">
        <f>IF(OR(AJ143=0,AP143=0,NOT(ISNUMBER(AD143)),NOT(ISNUMBER(AF143)),NOT(ISNUMBER(AJ143)),NOT(ISNUMBER(AP143))),"",
IFERROR(IF((AD143-AF143)/(AJ143/60)/(AP143/1000)&lt;=0,"",(AD143-AF143)/(AJ143/60)/(AP143/1000)),""))</f>
        <v/>
      </c>
    </row>
    <row r="144" ht="15.75" customFormat="1" customHeight="1" s="137">
      <c r="B144" t="n">
        <v>-100</v>
      </c>
      <c r="C144" s="154" t="inlineStr">
        <is>
          <t xml:space="preserve">the COD/N bottles got switched </t>
        </is>
      </c>
      <c r="D144" s="175" t="n">
        <v>45404</v>
      </c>
      <c r="E144" s="174" t="n"/>
      <c r="F144" s="136" t="n">
        <v>139</v>
      </c>
      <c r="G144" s="205">
        <f>IF(OR(S144="",S144=0),"",S144*2)</f>
        <v/>
      </c>
      <c r="H144" s="153" t="n"/>
      <c r="I144" s="153" t="n"/>
      <c r="J144" s="153" t="n">
        <v>9.99</v>
      </c>
      <c r="K144" s="15">
        <f>AD144</f>
        <v/>
      </c>
      <c r="L144" s="152" t="n"/>
      <c r="M144" s="10">
        <f>IF(OR(E144="",G144="",E144=0,G144=0),"",E144/G144)</f>
        <v/>
      </c>
      <c r="N144" s="9">
        <f>IF(OR(E144="",I144="",E144=0,I144=0),"",E144/(I144*2))</f>
        <v/>
      </c>
      <c r="O144" s="8">
        <f>IF(OR(I144="",G144="",I144=0,G144=0),"",I144*2/G144)</f>
        <v/>
      </c>
      <c r="P144" s="151" t="n">
        <v>20.2</v>
      </c>
      <c r="Q144" s="150" t="n"/>
      <c r="R144" s="150" t="n"/>
      <c r="S144" s="150" t="n"/>
      <c r="T144" s="150" t="n"/>
      <c r="U144" s="150" t="n"/>
      <c r="V144" s="150" t="n">
        <v>14.3</v>
      </c>
      <c r="W144" s="150" t="n"/>
      <c r="X144" s="150" t="n"/>
      <c r="Y144" s="150" t="n"/>
      <c r="Z144" s="150" t="n">
        <v>8.24</v>
      </c>
      <c r="AA144" s="150" t="n"/>
      <c r="AB144" s="150" t="n"/>
      <c r="AC144" s="150" t="n"/>
      <c r="AD144" s="149" t="n">
        <v>80</v>
      </c>
      <c r="AE144" s="141" t="n">
        <v>33.6</v>
      </c>
      <c r="AF144" s="137">
        <f>5*1.74</f>
        <v/>
      </c>
      <c r="AG144" s="137" t="n">
        <v>30.2</v>
      </c>
      <c r="AH144" s="137" t="n">
        <v>22.9</v>
      </c>
      <c r="AL144" s="170" t="n">
        <v>175</v>
      </c>
      <c r="AM144" s="145" t="n">
        <v>180</v>
      </c>
      <c r="AN144" s="141" t="n"/>
      <c r="AP144" s="258">
        <f>360-AK144-AB144</f>
        <v/>
      </c>
      <c r="AQ144" s="169">
        <f>[2]HRT_SRT!P198</f>
        <v/>
      </c>
      <c r="AR144" s="13">
        <f>AVERAGE(AO142:AO148)</f>
        <v/>
      </c>
      <c r="AS144" s="142">
        <f>IF(ISNUMBER([2]HRT_SRT!R198),[2]HRT_SRT!R198,"")</f>
        <v/>
      </c>
      <c r="AT144" s="156">
        <f>(E144-W144)/E144</f>
        <v/>
      </c>
      <c r="AU144" s="155">
        <f>(I144-AF144)/I144</f>
        <v/>
      </c>
      <c r="AV144" s="155">
        <f>AG144/(AD144-AF144)</f>
        <v/>
      </c>
      <c r="AW144" s="155">
        <f>(G144-AM144)/G144</f>
        <v/>
      </c>
      <c r="AX144" s="254">
        <f>IF(AND(ISNUMBER(E144),ISNUMBER(W144)),E144-W144,"")</f>
        <v/>
      </c>
      <c r="AY144" s="254">
        <f>IF(AND(ISNUMBER(I144),ISNUMBER(AF144)),I144-AF144,"")</f>
        <v/>
      </c>
      <c r="AZ144" s="254">
        <f>IF(AND(ISNUMBER(AM144),ISNUMBER(G144)),G144-AM144,"")</f>
        <v/>
      </c>
      <c r="BA144" s="254">
        <f>IF(AND(ISNUMBER(AC144),ISNUMBER(AE144)),AC144-AE144,"")</f>
        <v/>
      </c>
      <c r="BB144" s="254">
        <f>IF(AND(ISNUMBER(AL144),ISNUMBER(AM144)),AL144-AM144,"")</f>
        <v/>
      </c>
      <c r="BC144" s="84">
        <f>IF(AND($E144&gt;0,$W144&gt;0),IF(($E144-$W144)/$E144&gt;0,($E144-$W144)/$E144,0),"")</f>
        <v/>
      </c>
      <c r="BD144" s="84">
        <f>IF(AND($I144&gt;0,$AF144&gt;=0),IF(($I144-$AF144)/$I144&gt;0,($I144-$AF144)/$I144,0),"")</f>
        <v/>
      </c>
      <c r="BE144" s="84">
        <f>IF(AND($AG144&gt;=0,$AD144&gt;=0,$AF144&gt;=0),IF($AG144/($AD144-$AF144)&gt;0,$AG144/($AD144-$AF144),0),"")</f>
        <v/>
      </c>
      <c r="BF144" s="84">
        <f>IF(AND($G144&gt;0,$AM144&gt;0),IF(($G144-$AM144)/$G144&gt;0,($G144-$AM144)/$G144,0),"")</f>
        <v/>
      </c>
      <c r="BG144" s="6">
        <f>IF((AD144-AF144)/(AJ144/60)&lt;=0,"",(AD144-AF144)/(AJ144/60))</f>
        <v/>
      </c>
      <c r="BH144" s="6">
        <f>IF(OR(AJ144=0,AP144=0,NOT(ISNUMBER(AD144)),NOT(ISNUMBER(AF144)),NOT(ISNUMBER(AJ144)),NOT(ISNUMBER(AP144))),"",
IFERROR(IF((AD144-AF144)/(AJ144/60)/(AP144/1000)&lt;=0,"",(AD144-AF144)/(AJ144/60)/(AP144/1000)),""))</f>
        <v/>
      </c>
    </row>
    <row r="145" ht="15.75" customFormat="1" customHeight="1" s="137">
      <c r="B145" t="n">
        <v>-99</v>
      </c>
      <c r="C145" s="154" t="inlineStr">
        <is>
          <t>the COD/N bottles got switched back</t>
        </is>
      </c>
      <c r="D145" s="173" t="n">
        <v>45405</v>
      </c>
      <c r="E145" s="172" t="n"/>
      <c r="F145" s="145" t="n">
        <v>140</v>
      </c>
      <c r="G145" s="205">
        <f>IF(OR(S145="",S145=0),"",S145*2)</f>
        <v/>
      </c>
      <c r="H145" s="153" t="n"/>
      <c r="I145" s="153" t="n"/>
      <c r="J145" s="153" t="n"/>
      <c r="K145" s="15">
        <f>AD145</f>
        <v/>
      </c>
      <c r="L145" s="152" t="n"/>
      <c r="M145" s="10">
        <f>IF(OR(E145="",G145="",E145=0,G145=0),"",E145/G145)</f>
        <v/>
      </c>
      <c r="N145" s="9">
        <f>IF(OR(E145="",I145="",E145=0,I145=0),"",E145/(I145*2))</f>
        <v/>
      </c>
      <c r="O145" s="8">
        <f>IF(OR(I145="",G145="",I145=0,G145=0),"",I145*2/G145)</f>
        <v/>
      </c>
      <c r="P145" s="151" t="n"/>
      <c r="Q145" s="150" t="n"/>
      <c r="R145" s="150" t="n"/>
      <c r="S145" s="150" t="n"/>
      <c r="T145" s="150" t="n"/>
      <c r="U145" s="150" t="n"/>
      <c r="V145" s="150" t="n"/>
      <c r="W145" s="150" t="n"/>
      <c r="X145" s="150" t="n"/>
      <c r="Y145" s="150" t="n"/>
      <c r="Z145" s="150" t="n">
        <v>8.710000000000001</v>
      </c>
      <c r="AA145" s="150" t="n"/>
      <c r="AB145" s="150" t="n"/>
      <c r="AC145" s="150" t="n"/>
      <c r="AD145" s="149" t="n">
        <v>80</v>
      </c>
      <c r="AE145" s="141" t="n"/>
      <c r="AF145" s="171">
        <f>5*5.73</f>
        <v/>
      </c>
      <c r="AI145" s="147" t="n">
        <v>2.27</v>
      </c>
      <c r="AJ145" s="146" t="n">
        <v>0.4771990740740741</v>
      </c>
      <c r="AL145" s="170" t="n">
        <v>175</v>
      </c>
      <c r="AM145" s="145" t="n">
        <v>180</v>
      </c>
      <c r="AN145" s="141" t="n"/>
      <c r="AP145" s="258">
        <f>360-AK145-AB145</f>
        <v/>
      </c>
      <c r="AQ145" s="169" t="n"/>
      <c r="AR145" s="13">
        <f>AVERAGE(AO143:AO149)</f>
        <v/>
      </c>
      <c r="AS145" s="142">
        <f>IF(ISNUMBER([2]HRT_SRT!R199),[2]HRT_SRT!R199,"")</f>
        <v/>
      </c>
      <c r="AT145" s="156">
        <f>(E145-W145)/E145</f>
        <v/>
      </c>
      <c r="AU145" s="155">
        <f>(I145-AF145)/I145</f>
        <v/>
      </c>
      <c r="AV145" s="155">
        <f>AG145/(AD145-AF145)</f>
        <v/>
      </c>
      <c r="AW145" s="155">
        <f>(G145-AM145)/G145</f>
        <v/>
      </c>
      <c r="AX145" s="254">
        <f>IF(AND(ISNUMBER(E145),ISNUMBER(W145)),E145-W145,"")</f>
        <v/>
      </c>
      <c r="AY145" s="254">
        <f>IF(AND(ISNUMBER(I145),ISNUMBER(AF145)),I145-AF145,"")</f>
        <v/>
      </c>
      <c r="AZ145" s="254">
        <f>IF(AND(ISNUMBER(AM145),ISNUMBER(G145)),G145-AM145,"")</f>
        <v/>
      </c>
      <c r="BA145" s="254">
        <f>IF(AND(ISNUMBER(AC145),ISNUMBER(AE145)),AC145-AE145,"")</f>
        <v/>
      </c>
      <c r="BB145" s="254">
        <f>IF(AND(ISNUMBER(AL145),ISNUMBER(AM145)),AL145-AM145,"")</f>
        <v/>
      </c>
      <c r="BC145" s="84">
        <f>IF(AND($E145&gt;0,$W145&gt;0),IF(($E145-$W145)/$E145&gt;0,($E145-$W145)/$E145,0),"")</f>
        <v/>
      </c>
      <c r="BD145" s="84">
        <f>IF(AND($I145&gt;0,$AF145&gt;=0),IF(($I145-$AF145)/$I145&gt;0,($I145-$AF145)/$I145,0),"")</f>
        <v/>
      </c>
      <c r="BE145" s="84">
        <f>IF(AND($AG145&gt;=0,$AD145&gt;=0,$AF145&gt;=0),IF($AG145/($AD145-$AF145)&gt;0,$AG145/($AD145-$AF145),0),"")</f>
        <v/>
      </c>
      <c r="BF145" s="84">
        <f>IF(AND($G145&gt;0,$AM145&gt;0),IF(($G145-$AM145)/$G145&gt;0,($G145-$AM145)/$G145,0),"")</f>
        <v/>
      </c>
      <c r="BG145" s="6">
        <f>IF((AD145-AF145)/(AJ145/60)&lt;=0,"",(AD145-AF145)/(AJ145/60))</f>
        <v/>
      </c>
      <c r="BH145" s="6">
        <f>IF(OR(AJ145=0,AP145=0,NOT(ISNUMBER(AD145)),NOT(ISNUMBER(AF145)),NOT(ISNUMBER(AJ145)),NOT(ISNUMBER(AP145))),"",
IFERROR(IF((AD145-AF145)/(AJ145/60)/(AP145/1000)&lt;=0,"",(AD145-AF145)/(AJ145/60)/(AP145/1000)),""))</f>
        <v/>
      </c>
    </row>
    <row r="146" ht="15.75" customHeight="1">
      <c r="B146" t="n">
        <v>-98</v>
      </c>
      <c r="D146" s="11" t="n">
        <v>45406</v>
      </c>
      <c r="F146" s="3" t="n">
        <v>141</v>
      </c>
      <c r="G146" s="205">
        <f>IF(OR(S146="",S146=0),"",S146*2)</f>
        <v/>
      </c>
      <c r="K146" s="15">
        <f>AD146</f>
        <v/>
      </c>
      <c r="M146" s="10">
        <f>IF(OR(E146="",G146="",E146=0,G146=0),"",E146/G146)</f>
        <v/>
      </c>
      <c r="N146" s="9">
        <f>IF(OR(E146="",I146="",E146=0,I146=0),"",E146/(I146*2))</f>
        <v/>
      </c>
      <c r="O146" s="8">
        <f>IF(OR(I146="",G146="",I146=0,G146=0),"",I146*2/G146)</f>
        <v/>
      </c>
      <c r="Z146" s="6" t="n">
        <v>8.32</v>
      </c>
      <c r="AD146" s="5" t="n">
        <v>80</v>
      </c>
      <c r="AF146" s="168">
        <f>5*5.73</f>
        <v/>
      </c>
      <c r="AI146" t="n">
        <v>2</v>
      </c>
      <c r="AJ146" s="119" t="n">
        <v>0.4770833333333334</v>
      </c>
      <c r="AL146" s="231" t="n">
        <v>175</v>
      </c>
      <c r="AM146" s="3" t="n">
        <v>180</v>
      </c>
      <c r="AP146" s="255">
        <f>360-AK146-AB146</f>
        <v/>
      </c>
      <c r="AQ146" s="165" t="n"/>
      <c r="AR146" s="13">
        <f>AVERAGE(AO144:AO150)</f>
        <v/>
      </c>
      <c r="AS146" s="15">
        <f>IF(ISNUMBER([2]HRT_SRT!R200),[2]HRT_SRT!R200,"")</f>
        <v/>
      </c>
      <c r="AT146" s="156">
        <f>(E146-W146)/E146</f>
        <v/>
      </c>
      <c r="AU146" s="155">
        <f>(I146-AF146)/I146</f>
        <v/>
      </c>
      <c r="AV146" s="155">
        <f>AG146/(AD146-AF146)</f>
        <v/>
      </c>
      <c r="AW146" s="155">
        <f>(G146-AM146)/G146</f>
        <v/>
      </c>
      <c r="AX146" s="254">
        <f>IF(AND(ISNUMBER(E146),ISNUMBER(W146)),E146-W146,"")</f>
        <v/>
      </c>
      <c r="AY146" s="254">
        <f>IF(AND(ISNUMBER(I146),ISNUMBER(AF146)),I146-AF146,"")</f>
        <v/>
      </c>
      <c r="AZ146" s="254">
        <f>IF(AND(ISNUMBER(AM146),ISNUMBER(G146)),G146-AM146,"")</f>
        <v/>
      </c>
      <c r="BA146" s="254">
        <f>IF(AND(ISNUMBER(AC146),ISNUMBER(AE146)),AC146-AE146,"")</f>
        <v/>
      </c>
      <c r="BB146" s="254">
        <f>IF(AND(ISNUMBER(AL146),ISNUMBER(AM146)),AL146-AM146,"")</f>
        <v/>
      </c>
      <c r="BC146" s="84">
        <f>IF(AND($E146&gt;0,$W146&gt;0),IF(($E146-$W146)/$E146&gt;0,($E146-$W146)/$E146,0),"")</f>
        <v/>
      </c>
      <c r="BD146" s="84">
        <f>IF(AND($I146&gt;0,$AF146&gt;=0),IF(($I146-$AF146)/$I146&gt;0,($I146-$AF146)/$I146,0),"")</f>
        <v/>
      </c>
      <c r="BE146" s="84">
        <f>IF(AND($AG146&gt;=0,$AD146&gt;=0,$AF146&gt;=0),IF($AG146/($AD146-$AF146)&gt;0,$AG146/($AD146-$AF146),0),"")</f>
        <v/>
      </c>
      <c r="BF146" s="84">
        <f>IF(AND($G146&gt;0,$AM146&gt;0),IF(($G146-$AM146)/$G146&gt;0,($G146-$AM146)/$G146,0),"")</f>
        <v/>
      </c>
      <c r="BG146" s="6">
        <f>IF((AD146-AF146)/(AJ146/60)&lt;=0,"",(AD146-AF146)/(AJ146/60))</f>
        <v/>
      </c>
      <c r="BH146" s="6">
        <f>IF(OR(AJ146=0,AP146=0,NOT(ISNUMBER(AD146)),NOT(ISNUMBER(AF146)),NOT(ISNUMBER(AJ146)),NOT(ISNUMBER(AP146))),"",
IFERROR(IF((AD146-AF146)/(AJ146/60)/(AP146/1000)&lt;=0,"",(AD146-AF146)/(AJ146/60)/(AP146/1000)),""))</f>
        <v/>
      </c>
    </row>
    <row r="147" ht="15.75" customHeight="1">
      <c r="B147" t="n">
        <v>-97</v>
      </c>
      <c r="D147" s="11" t="n">
        <v>45407</v>
      </c>
      <c r="F147" s="3" t="n">
        <v>142</v>
      </c>
      <c r="G147" s="205">
        <f>IF(OR(S147="",S147=0),"",S147*2)</f>
        <v/>
      </c>
      <c r="K147" s="15">
        <f>AD147</f>
        <v/>
      </c>
      <c r="M147" s="10">
        <f>IF(OR(E147="",G147="",E147=0,G147=0),"",E147/G147)</f>
        <v/>
      </c>
      <c r="N147" s="9">
        <f>IF(OR(E147="",I147="",E147=0,I147=0),"",E147/(I147*2))</f>
        <v/>
      </c>
      <c r="O147" s="8">
        <f>IF(OR(I147="",G147="",I147=0,G147=0),"",I147*2/G147)</f>
        <v/>
      </c>
      <c r="Z147" s="6" t="n">
        <v>7.13</v>
      </c>
      <c r="AD147" s="5" t="n">
        <v>80</v>
      </c>
      <c r="AF147" s="168">
        <f>5*5.73</f>
        <v/>
      </c>
      <c r="AI147" t="n">
        <v>2.43</v>
      </c>
      <c r="AJ147" s="119" t="n">
        <v>0.4695601851851852</v>
      </c>
      <c r="AL147" s="231" t="n">
        <v>175</v>
      </c>
      <c r="AM147" s="3" t="n">
        <v>180</v>
      </c>
      <c r="AP147" s="255">
        <f>360-AK147-AB147</f>
        <v/>
      </c>
      <c r="AQ147" s="165" t="n"/>
      <c r="AR147" s="13">
        <f>AVERAGE(AO145:AO151)</f>
        <v/>
      </c>
      <c r="AS147" s="15">
        <f>IF(ISNUMBER([2]HRT_SRT!R201),[2]HRT_SRT!R201,"")</f>
        <v/>
      </c>
      <c r="AT147" s="156">
        <f>(E147-W147)/E147</f>
        <v/>
      </c>
      <c r="AU147" s="155">
        <f>(I147-AF147)/I147</f>
        <v/>
      </c>
      <c r="AV147" s="155">
        <f>AG147/(AD147-AF147)</f>
        <v/>
      </c>
      <c r="AW147" s="155">
        <f>(G147-AM147)/G147</f>
        <v/>
      </c>
      <c r="AX147" s="254">
        <f>IF(AND(ISNUMBER(E147),ISNUMBER(W147)),E147-W147,"")</f>
        <v/>
      </c>
      <c r="AY147" s="254">
        <f>IF(AND(ISNUMBER(I147),ISNUMBER(AF147)),I147-AF147,"")</f>
        <v/>
      </c>
      <c r="AZ147" s="254">
        <f>IF(AND(ISNUMBER(AM147),ISNUMBER(G147)),G147-AM147,"")</f>
        <v/>
      </c>
      <c r="BA147" s="254">
        <f>IF(AND(ISNUMBER(AC147),ISNUMBER(AE147)),AC147-AE147,"")</f>
        <v/>
      </c>
      <c r="BB147" s="254">
        <f>IF(AND(ISNUMBER(AL147),ISNUMBER(AM147)),AL147-AM147,"")</f>
        <v/>
      </c>
      <c r="BC147" s="84">
        <f>IF(AND($E147&gt;0,$W147&gt;0),IF(($E147-$W147)/$E147&gt;0,($E147-$W147)/$E147,0),"")</f>
        <v/>
      </c>
      <c r="BD147" s="84">
        <f>IF(AND($I147&gt;0,$AF147&gt;=0),IF(($I147-$AF147)/$I147&gt;0,($I147-$AF147)/$I147,0),"")</f>
        <v/>
      </c>
      <c r="BE147" s="84">
        <f>IF(AND($AG147&gt;=0,$AD147&gt;=0,$AF147&gt;=0),IF($AG147/($AD147-$AF147)&gt;0,$AG147/($AD147-$AF147),0),"")</f>
        <v/>
      </c>
      <c r="BF147" s="84">
        <f>IF(AND($G147&gt;0,$AM147&gt;0),IF(($G147-$AM147)/$G147&gt;0,($G147-$AM147)/$G147,0),"")</f>
        <v/>
      </c>
      <c r="BG147" s="6">
        <f>IF((AD147-AF147)/(AJ147/60)&lt;=0,"",(AD147-AF147)/(AJ147/60))</f>
        <v/>
      </c>
      <c r="BH147" s="6">
        <f>IF(OR(AJ147=0,AP147=0,NOT(ISNUMBER(AD147)),NOT(ISNUMBER(AF147)),NOT(ISNUMBER(AJ147)),NOT(ISNUMBER(AP147))),"",
IFERROR(IF((AD147-AF147)/(AJ147/60)/(AP147/1000)&lt;=0,"",(AD147-AF147)/(AJ147/60)/(AP147/1000)),""))</f>
        <v/>
      </c>
    </row>
    <row r="148" ht="15.75" customHeight="1">
      <c r="B148" t="n">
        <v>-96</v>
      </c>
      <c r="D148" s="11" t="n">
        <v>45408</v>
      </c>
      <c r="F148" s="3" t="n">
        <v>143</v>
      </c>
      <c r="G148" s="205">
        <f>IF(OR(S148="",S148=0),"",S148*2)</f>
        <v/>
      </c>
      <c r="K148" s="15">
        <f>AD148</f>
        <v/>
      </c>
      <c r="M148" s="10">
        <f>IF(OR(E148="",G148="",E148=0,G148=0),"",E148/G148)</f>
        <v/>
      </c>
      <c r="N148" s="9">
        <f>IF(OR(E148="",I148="",E148=0,I148=0),"",E148/(I148*2))</f>
        <v/>
      </c>
      <c r="O148" s="8">
        <f>IF(OR(I148="",G148="",I148=0,G148=0),"",I148*2/G148)</f>
        <v/>
      </c>
      <c r="Q148" s="6" t="n">
        <v>70.43600000000001</v>
      </c>
      <c r="R148" s="6" t="n">
        <v>19.363</v>
      </c>
      <c r="S148" s="6">
        <f>O148*1.067</f>
        <v/>
      </c>
      <c r="T148" s="6">
        <f>P148*1.514</f>
        <v/>
      </c>
      <c r="U148" s="23">
        <f>P148*1.514+O148*1.067</f>
        <v/>
      </c>
      <c r="Y148">
        <f>6.141+6.181</f>
        <v/>
      </c>
      <c r="Z148" s="6" t="n">
        <v>5.19</v>
      </c>
      <c r="AD148" s="5" t="n">
        <v>80</v>
      </c>
      <c r="AF148" s="168">
        <f>5*5.73</f>
        <v/>
      </c>
      <c r="AI148" t="n">
        <v>3.81</v>
      </c>
      <c r="AJ148" s="119" t="n">
        <v>0.4773148148148148</v>
      </c>
      <c r="AL148" s="231" t="n">
        <v>175</v>
      </c>
      <c r="AM148" s="3" t="n">
        <v>180</v>
      </c>
      <c r="AP148" s="255">
        <f>360-AK148-AB148</f>
        <v/>
      </c>
      <c r="AQ148" s="165" t="n"/>
      <c r="AR148" s="13">
        <f>AVERAGE(AO146:AO152)</f>
        <v/>
      </c>
      <c r="AS148" s="15">
        <f>IF(ISNUMBER([2]HRT_SRT!R202),[2]HRT_SRT!R202,"")</f>
        <v/>
      </c>
      <c r="AT148" s="156">
        <f>(E148-W148)/E148</f>
        <v/>
      </c>
      <c r="AU148" s="155">
        <f>(I148-AF148)/I148</f>
        <v/>
      </c>
      <c r="AV148" s="155">
        <f>AG148/(AD148-AF148)</f>
        <v/>
      </c>
      <c r="AW148" s="155">
        <f>(G148-AM148)/G148</f>
        <v/>
      </c>
      <c r="AX148" s="254">
        <f>IF(AND(ISNUMBER(E148),ISNUMBER(W148)),E148-W148,"")</f>
        <v/>
      </c>
      <c r="AY148" s="254">
        <f>IF(AND(ISNUMBER(I148),ISNUMBER(AF148)),I148-AF148,"")</f>
        <v/>
      </c>
      <c r="AZ148" s="254">
        <f>IF(AND(ISNUMBER(AM148),ISNUMBER(G148)),G148-AM148,"")</f>
        <v/>
      </c>
      <c r="BA148" s="254">
        <f>IF(AND(ISNUMBER(AC148),ISNUMBER(AE148)),AC148-AE148,"")</f>
        <v/>
      </c>
      <c r="BB148" s="254">
        <f>IF(AND(ISNUMBER(AL148),ISNUMBER(AM148)),AL148-AM148,"")</f>
        <v/>
      </c>
      <c r="BC148" s="84">
        <f>IF(AND($E148&gt;0,$W148&gt;0),IF(($E148-$W148)/$E148&gt;0,($E148-$W148)/$E148,0),"")</f>
        <v/>
      </c>
      <c r="BD148" s="84">
        <f>IF(AND($I148&gt;0,$AF148&gt;=0),IF(($I148-$AF148)/$I148&gt;0,($I148-$AF148)/$I148,0),"")</f>
        <v/>
      </c>
      <c r="BE148" s="84">
        <f>IF(AND($AG148&gt;=0,$AD148&gt;=0,$AF148&gt;=0),IF($AG148/($AD148-$AF148)&gt;0,$AG148/($AD148-$AF148),0),"")</f>
        <v/>
      </c>
      <c r="BF148" s="84">
        <f>IF(AND($G148&gt;0,$AM148&gt;0),IF(($G148-$AM148)/$G148&gt;0,($G148-$AM148)/$G148,0),"")</f>
        <v/>
      </c>
      <c r="BG148" s="6">
        <f>IF((AD148-AF148)/(AJ148/60)&lt;=0,"",(AD148-AF148)/(AJ148/60))</f>
        <v/>
      </c>
      <c r="BH148" s="6">
        <f>IF(OR(AJ148=0,AP148=0,NOT(ISNUMBER(AD148)),NOT(ISNUMBER(AF148)),NOT(ISNUMBER(AJ148)),NOT(ISNUMBER(AP148))),"",
IFERROR(IF((AD148-AF148)/(AJ148/60)/(AP148/1000)&lt;=0,"",(AD148-AF148)/(AJ148/60)/(AP148/1000)),""))</f>
        <v/>
      </c>
    </row>
    <row r="149" ht="15.75" customHeight="1">
      <c r="B149" t="n">
        <v>-95</v>
      </c>
      <c r="D149" s="11" t="n">
        <v>45409</v>
      </c>
      <c r="F149" s="3" t="n">
        <v>144</v>
      </c>
      <c r="G149" s="205">
        <f>IF(OR(S149="",S149=0),"",S149*2)</f>
        <v/>
      </c>
      <c r="K149" s="15">
        <f>AD149</f>
        <v/>
      </c>
      <c r="M149" s="10">
        <f>IF(OR(E149="",G149="",E149=0,G149=0),"",E149/G149)</f>
        <v/>
      </c>
      <c r="N149" s="9">
        <f>IF(OR(E149="",I149="",E149=0,I149=0),"",E149/(I149*2))</f>
        <v/>
      </c>
      <c r="O149" s="8">
        <f>IF(OR(I149="",G149="",I149=0,G149=0),"",I149*2/G149)</f>
        <v/>
      </c>
      <c r="AD149" s="5" t="n">
        <v>80</v>
      </c>
      <c r="AF149" s="168">
        <f>5*5.73</f>
        <v/>
      </c>
      <c r="AI149" t="n">
        <v>0.07000000000000001</v>
      </c>
      <c r="AJ149" s="119" t="n">
        <v>0.4791666666666667</v>
      </c>
      <c r="AL149" s="231" t="n">
        <v>175</v>
      </c>
      <c r="AM149" s="3" t="n">
        <v>180</v>
      </c>
      <c r="AP149" s="255">
        <f>360-AK149-AB149</f>
        <v/>
      </c>
      <c r="AQ149" s="165" t="n"/>
      <c r="AR149" s="13">
        <f>AVERAGE(AO147:AO153)</f>
        <v/>
      </c>
      <c r="AS149" s="15">
        <f>IF(ISNUMBER([2]HRT_SRT!R203),[2]HRT_SRT!R203,"")</f>
        <v/>
      </c>
      <c r="AT149" s="156">
        <f>(E149-W149)/E149</f>
        <v/>
      </c>
      <c r="AU149" s="155">
        <f>(I149-AF149)/I149</f>
        <v/>
      </c>
      <c r="AV149" s="155">
        <f>AG149/(AD149-AF149)</f>
        <v/>
      </c>
      <c r="AW149" s="155">
        <f>(G149-AM149)/G149</f>
        <v/>
      </c>
      <c r="AX149" s="254">
        <f>IF(AND(ISNUMBER(E149),ISNUMBER(W149)),E149-W149,"")</f>
        <v/>
      </c>
      <c r="AY149" s="254">
        <f>IF(AND(ISNUMBER(I149),ISNUMBER(AF149)),I149-AF149,"")</f>
        <v/>
      </c>
      <c r="AZ149" s="254">
        <f>IF(AND(ISNUMBER(AM149),ISNUMBER(G149)),G149-AM149,"")</f>
        <v/>
      </c>
      <c r="BA149" s="254">
        <f>IF(AND(ISNUMBER(AC149),ISNUMBER(AE149)),AC149-AE149,"")</f>
        <v/>
      </c>
      <c r="BB149" s="254">
        <f>IF(AND(ISNUMBER(AL149),ISNUMBER(AM149)),AL149-AM149,"")</f>
        <v/>
      </c>
      <c r="BC149" s="84">
        <f>IF(AND($E149&gt;0,$W149&gt;0),IF(($E149-$W149)/$E149&gt;0,($E149-$W149)/$E149,0),"")</f>
        <v/>
      </c>
      <c r="BD149" s="84">
        <f>IF(AND($I149&gt;0,$AF149&gt;=0),IF(($I149-$AF149)/$I149&gt;0,($I149-$AF149)/$I149,0),"")</f>
        <v/>
      </c>
      <c r="BE149" s="84">
        <f>IF(AND($AG149&gt;=0,$AD149&gt;=0,$AF149&gt;=0),IF($AG149/($AD149-$AF149)&gt;0,$AG149/($AD149-$AF149),0),"")</f>
        <v/>
      </c>
      <c r="BF149" s="84">
        <f>IF(AND($G149&gt;0,$AM149&gt;0),IF(($G149-$AM149)/$G149&gt;0,($G149-$AM149)/$G149,0),"")</f>
        <v/>
      </c>
      <c r="BG149" s="6">
        <f>IF((AD149-AF149)/(AJ149/60)&lt;=0,"",(AD149-AF149)/(AJ149/60))</f>
        <v/>
      </c>
      <c r="BH149" s="6">
        <f>IF(OR(AJ149=0,AP149=0,NOT(ISNUMBER(AD149)),NOT(ISNUMBER(AF149)),NOT(ISNUMBER(AJ149)),NOT(ISNUMBER(AP149))),"",
IFERROR(IF((AD149-AF149)/(AJ149/60)/(AP149/1000)&lt;=0,"",(AD149-AF149)/(AJ149/60)/(AP149/1000)),""))</f>
        <v/>
      </c>
    </row>
    <row r="150" ht="15.75" customHeight="1">
      <c r="B150" t="n">
        <v>-94</v>
      </c>
      <c r="D150" s="11" t="n">
        <v>45410</v>
      </c>
      <c r="F150" s="3" t="n">
        <v>145</v>
      </c>
      <c r="G150" s="205">
        <f>IF(OR(S150="",S150=0),"",S150*2)</f>
        <v/>
      </c>
      <c r="K150" s="15">
        <f>AD150</f>
        <v/>
      </c>
      <c r="M150" s="10">
        <f>IF(OR(E150="",G150="",E150=0,G150=0),"",E150/G150)</f>
        <v/>
      </c>
      <c r="N150" s="9">
        <f>IF(OR(E150="",I150="",E150=0,I150=0),"",E150/(I150*2))</f>
        <v/>
      </c>
      <c r="O150" s="8">
        <f>IF(OR(I150="",G150="",I150=0,G150=0),"",I150*2/G150)</f>
        <v/>
      </c>
      <c r="AD150" s="5" t="n">
        <v>80</v>
      </c>
      <c r="AF150" s="168">
        <f>5*5.73</f>
        <v/>
      </c>
      <c r="AI150" t="n">
        <v>0.58</v>
      </c>
      <c r="AJ150" s="119" t="n">
        <v>0.4087962962962963</v>
      </c>
      <c r="AL150" s="231" t="n">
        <v>175</v>
      </c>
      <c r="AM150" s="3" t="n">
        <v>180</v>
      </c>
      <c r="AP150" s="255">
        <f>360-AK150-AB150</f>
        <v/>
      </c>
      <c r="AQ150" s="165" t="n"/>
      <c r="AR150" s="13">
        <f>AVERAGE(AO148:AO154)</f>
        <v/>
      </c>
      <c r="AS150" s="15">
        <f>IF(ISNUMBER([2]HRT_SRT!R204),[2]HRT_SRT!R204,"")</f>
        <v/>
      </c>
      <c r="AT150" s="156">
        <f>(E150-W150)/E150</f>
        <v/>
      </c>
      <c r="AU150" s="155">
        <f>(I150-AF150)/I150</f>
        <v/>
      </c>
      <c r="AV150" s="155">
        <f>AG150/(AD150-AF150)</f>
        <v/>
      </c>
      <c r="AW150" s="155">
        <f>(G150-AM150)/G150</f>
        <v/>
      </c>
      <c r="AX150" s="254">
        <f>IF(AND(ISNUMBER(E150),ISNUMBER(W150)),E150-W150,"")</f>
        <v/>
      </c>
      <c r="AY150" s="254">
        <f>IF(AND(ISNUMBER(I150),ISNUMBER(AF150)),I150-AF150,"")</f>
        <v/>
      </c>
      <c r="AZ150" s="254">
        <f>IF(AND(ISNUMBER(AM150),ISNUMBER(G150)),G150-AM150,"")</f>
        <v/>
      </c>
      <c r="BA150" s="254">
        <f>IF(AND(ISNUMBER(AC150),ISNUMBER(AE150)),AC150-AE150,"")</f>
        <v/>
      </c>
      <c r="BB150" s="254">
        <f>IF(AND(ISNUMBER(AL150),ISNUMBER(AM150)),AL150-AM150,"")</f>
        <v/>
      </c>
      <c r="BC150" s="84">
        <f>IF(AND($E150&gt;0,$W150&gt;0),IF(($E150-$W150)/$E150&gt;0,($E150-$W150)/$E150,0),"")</f>
        <v/>
      </c>
      <c r="BD150" s="84">
        <f>IF(AND($I150&gt;0,$AF150&gt;=0),IF(($I150-$AF150)/$I150&gt;0,($I150-$AF150)/$I150,0),"")</f>
        <v/>
      </c>
      <c r="BE150" s="84">
        <f>IF(AND($AG150&gt;=0,$AD150&gt;=0,$AF150&gt;=0),IF($AG150/($AD150-$AF150)&gt;0,$AG150/($AD150-$AF150),0),"")</f>
        <v/>
      </c>
      <c r="BF150" s="84">
        <f>IF(AND($G150&gt;0,$AM150&gt;0),IF(($G150-$AM150)/$G150&gt;0,($G150-$AM150)/$G150,0),"")</f>
        <v/>
      </c>
      <c r="BG150" s="6">
        <f>IF((AD150-AF150)/(AJ150/60)&lt;=0,"",(AD150-AF150)/(AJ150/60))</f>
        <v/>
      </c>
      <c r="BH150" s="6">
        <f>IF(OR(AJ150=0,AP150=0,NOT(ISNUMBER(AD150)),NOT(ISNUMBER(AF150)),NOT(ISNUMBER(AJ150)),NOT(ISNUMBER(AP150))),"",
IFERROR(IF((AD150-AF150)/(AJ150/60)/(AP150/1000)&lt;=0,"",(AD150-AF150)/(AJ150/60)/(AP150/1000)),""))</f>
        <v/>
      </c>
    </row>
    <row r="151" ht="15.75" customHeight="1">
      <c r="B151" t="n">
        <v>-93</v>
      </c>
      <c r="D151" s="167" t="n">
        <v>45411</v>
      </c>
      <c r="E151" s="166" t="n"/>
      <c r="F151" s="136" t="n">
        <v>146</v>
      </c>
      <c r="G151" s="205">
        <f>IF(OR(S151="",S151=0),"",S151*2)</f>
        <v/>
      </c>
      <c r="I151" s="15">
        <f>(N151*18-H151*18)/9</f>
        <v/>
      </c>
      <c r="J151" s="9" t="n">
        <v>20.6</v>
      </c>
      <c r="K151" s="15">
        <f>AD151</f>
        <v/>
      </c>
      <c r="M151" s="10">
        <f>IF(OR(E151="",G151="",E151=0,G151=0),"",E151/G151)</f>
        <v/>
      </c>
      <c r="N151" s="9">
        <f>IF(OR(E151="",I151="",E151=0,I151=0),"",E151/(I151*2))</f>
        <v/>
      </c>
      <c r="O151" s="8">
        <f>IF(OR(I151="",G151="",I151=0,G151=0),"",I151*2/G151)</f>
        <v/>
      </c>
      <c r="P151" s="7" t="n">
        <v>33.4</v>
      </c>
      <c r="Q151" s="6" t="n">
        <v>72.581</v>
      </c>
      <c r="R151" s="6" t="n">
        <v>13.843</v>
      </c>
      <c r="S151" s="6">
        <f>O151*1.067</f>
        <v/>
      </c>
      <c r="T151" s="6">
        <f>P151*1.514</f>
        <v/>
      </c>
      <c r="U151" s="23">
        <f>P151*1.514+O151*1.067</f>
        <v/>
      </c>
      <c r="V151" s="6" t="n">
        <v>37.2</v>
      </c>
      <c r="Y151" s="6" t="n">
        <v>0</v>
      </c>
      <c r="AD151" s="5" t="n">
        <v>80</v>
      </c>
      <c r="AE151" s="7">
        <f>T151</f>
        <v/>
      </c>
      <c r="AF151" s="231">
        <f>5*5.73</f>
        <v/>
      </c>
      <c r="AG151" s="231" t="n">
        <v>39.2</v>
      </c>
      <c r="AH151" s="231">
        <f>0</f>
        <v/>
      </c>
      <c r="AI151" t="n">
        <v>0.08</v>
      </c>
      <c r="AJ151" s="119" t="n">
        <v>0.4791666666666667</v>
      </c>
      <c r="AL151" s="231" t="n">
        <v>175</v>
      </c>
      <c r="AM151" s="3" t="n">
        <v>180</v>
      </c>
      <c r="AN151" s="4">
        <f>AE151</f>
        <v/>
      </c>
      <c r="AO151" s="231" t="n">
        <v>34.2</v>
      </c>
      <c r="AP151" s="255">
        <f>360-AK151-AB151</f>
        <v/>
      </c>
      <c r="AQ151" s="165">
        <f>[2]HRT_SRT!P205</f>
        <v/>
      </c>
      <c r="AR151" s="13">
        <f>AVERAGE(AO149:AO155)</f>
        <v/>
      </c>
      <c r="AS151" s="15">
        <f>IF(ISNUMBER([2]HRT_SRT!R205),[2]HRT_SRT!R205,"")</f>
        <v/>
      </c>
      <c r="AT151" s="156">
        <f>(E151-W151)/E151</f>
        <v/>
      </c>
      <c r="AU151" s="155">
        <f>(I151-AF151)/I151</f>
        <v/>
      </c>
      <c r="AV151" s="155">
        <f>AG151/(AD151-AF151)</f>
        <v/>
      </c>
      <c r="AW151" s="155">
        <f>(G151-AM151)/G151</f>
        <v/>
      </c>
      <c r="AX151" s="254">
        <f>IF(AND(ISNUMBER(E151),ISNUMBER(W151)),E151-W151,"")</f>
        <v/>
      </c>
      <c r="AY151" s="254">
        <f>IF(AND(ISNUMBER(I151),ISNUMBER(AF151)),I151-AF151,"")</f>
        <v/>
      </c>
      <c r="AZ151" s="254">
        <f>IF(AND(ISNUMBER(AM151),ISNUMBER(G151)),G151-AM151,"")</f>
        <v/>
      </c>
      <c r="BA151" s="254">
        <f>IF(AND(ISNUMBER(AC151),ISNUMBER(AE151)),AC151-AE151,"")</f>
        <v/>
      </c>
      <c r="BB151" s="254">
        <f>IF(AND(ISNUMBER(AL151),ISNUMBER(AM151)),AL151-AM151,"")</f>
        <v/>
      </c>
      <c r="BC151" s="84">
        <f>IF(AND($E151&gt;0,$W151&gt;0),IF(($E151-$W151)/$E151&gt;0,($E151-$W151)/$E151,0),"")</f>
        <v/>
      </c>
      <c r="BD151" s="84">
        <f>IF(AND($I151&gt;0,$AF151&gt;=0),IF(($I151-$AF151)/$I151&gt;0,($I151-$AF151)/$I151,0),"")</f>
        <v/>
      </c>
      <c r="BE151" s="84">
        <f>IF(AND($AG151&gt;=0,$AD151&gt;=0,$AF151&gt;=0),IF($AG151/($AD151-$AF151)&gt;0,$AG151/($AD151-$AF151),0),"")</f>
        <v/>
      </c>
      <c r="BF151" s="84">
        <f>IF(AND($G151&gt;0,$AM151&gt;0),IF(($G151-$AM151)/$G151&gt;0,($G151-$AM151)/$G151,0),"")</f>
        <v/>
      </c>
      <c r="BG151" s="6">
        <f>IF((AD151-AF151)/(AJ151/60)&lt;=0,"",(AD151-AF151)/(AJ151/60))</f>
        <v/>
      </c>
      <c r="BH151" s="6">
        <f>IF(OR(AJ151=0,AP151=0,NOT(ISNUMBER(AD151)),NOT(ISNUMBER(AF151)),NOT(ISNUMBER(AJ151)),NOT(ISNUMBER(AP151))),"",
IFERROR(IF((AD151-AF151)/(AJ151/60)/(AP151/1000)&lt;=0,"",(AD151-AF151)/(AJ151/60)/(AP151/1000)),""))</f>
        <v/>
      </c>
    </row>
    <row r="152" ht="15.75" customHeight="1">
      <c r="B152" t="n">
        <v>-92</v>
      </c>
      <c r="C152" s="12" t="inlineStr">
        <is>
          <t xml:space="preserve">Ph  drop at AnA stage </t>
        </is>
      </c>
      <c r="D152" s="11" t="n">
        <v>45412</v>
      </c>
      <c r="F152" s="3" t="n">
        <v>147</v>
      </c>
      <c r="G152" s="205">
        <f>IF(OR(S152="",S152=0),"",S152*2)</f>
        <v/>
      </c>
      <c r="K152" s="15">
        <f>AD152</f>
        <v/>
      </c>
      <c r="M152" s="10">
        <f>IF(OR(E152="",G152="",E152=0,G152=0),"",E152/G152)</f>
        <v/>
      </c>
      <c r="N152" s="9">
        <f>IF(OR(E152="",I152="",E152=0,I152=0),"",E152/(I152*2))</f>
        <v/>
      </c>
      <c r="O152" s="8">
        <f>IF(OR(I152="",G152="",I152=0,G152=0),"",I152*2/G152)</f>
        <v/>
      </c>
      <c r="Z152" s="6" t="n">
        <v>4.15</v>
      </c>
      <c r="AD152" s="5" t="n">
        <v>80</v>
      </c>
      <c r="AF152" s="168" t="n">
        <v>28.64</v>
      </c>
      <c r="AI152" t="n">
        <v>0.08</v>
      </c>
      <c r="AJ152" s="119" t="n">
        <v>0.4791666666666667</v>
      </c>
      <c r="AL152" s="231" t="n">
        <v>175</v>
      </c>
      <c r="AM152" s="3" t="n">
        <v>180</v>
      </c>
      <c r="AP152" s="255">
        <f>360-AK152-AB152</f>
        <v/>
      </c>
      <c r="AQ152" s="165" t="n"/>
      <c r="AR152" s="13">
        <f>AVERAGE(AO150:AO156)</f>
        <v/>
      </c>
      <c r="AS152" s="15">
        <f>IF(ISNUMBER([2]HRT_SRT!R206),[2]HRT_SRT!R206,"")</f>
        <v/>
      </c>
      <c r="AT152" s="156">
        <f>(E152-W152)/E152</f>
        <v/>
      </c>
      <c r="AU152" s="155">
        <f>(I152-AF152)/I152</f>
        <v/>
      </c>
      <c r="AV152" s="155">
        <f>AG152/(AD152-AF152)</f>
        <v/>
      </c>
      <c r="AW152" s="155">
        <f>(G152-AM152)/G152</f>
        <v/>
      </c>
      <c r="AX152" s="254">
        <f>IF(AND(ISNUMBER(E152),ISNUMBER(W152)),E152-W152,"")</f>
        <v/>
      </c>
      <c r="AY152" s="254">
        <f>IF(AND(ISNUMBER(I152),ISNUMBER(AF152)),I152-AF152,"")</f>
        <v/>
      </c>
      <c r="AZ152" s="254">
        <f>IF(AND(ISNUMBER(AM152),ISNUMBER(G152)),G152-AM152,"")</f>
        <v/>
      </c>
      <c r="BA152" s="254">
        <f>IF(AND(ISNUMBER(AC152),ISNUMBER(AE152)),AC152-AE152,"")</f>
        <v/>
      </c>
      <c r="BB152" s="254">
        <f>IF(AND(ISNUMBER(AL152),ISNUMBER(AM152)),AL152-AM152,"")</f>
        <v/>
      </c>
      <c r="BC152" s="84">
        <f>IF(AND($E152&gt;0,$W152&gt;0),IF(($E152-$W152)/$E152&gt;0,($E152-$W152)/$E152,0),"")</f>
        <v/>
      </c>
      <c r="BD152" s="84">
        <f>IF(AND($I152&gt;0,$AF152&gt;=0),IF(($I152-$AF152)/$I152&gt;0,($I152-$AF152)/$I152,0),"")</f>
        <v/>
      </c>
      <c r="BE152" s="84">
        <f>IF(AND($AG152&gt;=0,$AD152&gt;=0,$AF152&gt;=0),IF($AG152/($AD152-$AF152)&gt;0,$AG152/($AD152-$AF152),0),"")</f>
        <v/>
      </c>
      <c r="BF152" s="84">
        <f>IF(AND($G152&gt;0,$AM152&gt;0),IF(($G152-$AM152)/$G152&gt;0,($G152-$AM152)/$G152,0),"")</f>
        <v/>
      </c>
      <c r="BG152" s="6">
        <f>IF((AD152-AF152)/(AJ152/60)&lt;=0,"",(AD152-AF152)/(AJ152/60))</f>
        <v/>
      </c>
      <c r="BH152" s="6">
        <f>IF(OR(AJ152=0,AP152=0,NOT(ISNUMBER(AD152)),NOT(ISNUMBER(AF152)),NOT(ISNUMBER(AJ152)),NOT(ISNUMBER(AP152))),"",
IFERROR(IF((AD152-AF152)/(AJ152/60)/(AP152/1000)&lt;=0,"",(AD152-AF152)/(AJ152/60)/(AP152/1000)),""))</f>
        <v/>
      </c>
    </row>
    <row r="153" ht="15.75" customHeight="1">
      <c r="B153" t="n">
        <v>-91</v>
      </c>
      <c r="D153" s="11" t="n">
        <v>45413</v>
      </c>
      <c r="F153" s="3" t="n">
        <v>148</v>
      </c>
      <c r="G153" s="205">
        <f>IF(OR(S153="",S153=0),"",S153*2)</f>
        <v/>
      </c>
      <c r="K153" s="15">
        <f>AD153</f>
        <v/>
      </c>
      <c r="M153" s="10">
        <f>IF(OR(E153="",G153="",E153=0,G153=0),"",E153/G153)</f>
        <v/>
      </c>
      <c r="N153" s="9">
        <f>IF(OR(E153="",I153="",E153=0,I153=0),"",E153/(I153*2))</f>
        <v/>
      </c>
      <c r="O153" s="8">
        <f>IF(OR(I153="",G153="",I153=0,G153=0),"",I153*2/G153)</f>
        <v/>
      </c>
      <c r="AD153" s="5" t="n">
        <v>80</v>
      </c>
      <c r="AF153" s="168" t="n">
        <v>28.63</v>
      </c>
      <c r="AI153" t="n">
        <v>3.95</v>
      </c>
      <c r="AJ153" s="119" t="n">
        <v>0.4731481481481482</v>
      </c>
      <c r="AL153" s="231" t="n">
        <v>175</v>
      </c>
      <c r="AM153" s="3" t="n">
        <v>180</v>
      </c>
      <c r="AP153" s="255">
        <f>360-AK153-AB153</f>
        <v/>
      </c>
      <c r="AQ153" s="165" t="n"/>
      <c r="AR153" s="13">
        <f>AVERAGE(AO151:AO157)</f>
        <v/>
      </c>
      <c r="AS153" s="15">
        <f>IF(ISNUMBER([2]HRT_SRT!R207),[2]HRT_SRT!R207,"")</f>
        <v/>
      </c>
      <c r="AT153" s="156">
        <f>(E153-W153)/E153</f>
        <v/>
      </c>
      <c r="AU153" s="155">
        <f>(I153-AF153)/I153</f>
        <v/>
      </c>
      <c r="AV153" s="155">
        <f>AG153/(AD153-AF153)</f>
        <v/>
      </c>
      <c r="AW153" s="155">
        <f>(G153-AM153)/G153</f>
        <v/>
      </c>
      <c r="AX153" s="254">
        <f>IF(AND(ISNUMBER(E153),ISNUMBER(W153)),E153-W153,"")</f>
        <v/>
      </c>
      <c r="AY153" s="254">
        <f>IF(AND(ISNUMBER(I153),ISNUMBER(AF153)),I153-AF153,"")</f>
        <v/>
      </c>
      <c r="AZ153" s="254">
        <f>IF(AND(ISNUMBER(AM153),ISNUMBER(G153)),G153-AM153,"")</f>
        <v/>
      </c>
      <c r="BA153" s="254">
        <f>IF(AND(ISNUMBER(AC153),ISNUMBER(AE153)),AC153-AE153,"")</f>
        <v/>
      </c>
      <c r="BB153" s="254">
        <f>IF(AND(ISNUMBER(AL153),ISNUMBER(AM153)),AL153-AM153,"")</f>
        <v/>
      </c>
      <c r="BC153" s="84">
        <f>IF(AND($E153&gt;0,$W153&gt;0),IF(($E153-$W153)/$E153&gt;0,($E153-$W153)/$E153,0),"")</f>
        <v/>
      </c>
      <c r="BD153" s="84">
        <f>IF(AND($I153&gt;0,$AF153&gt;=0),IF(($I153-$AF153)/$I153&gt;0,($I153-$AF153)/$I153,0),"")</f>
        <v/>
      </c>
      <c r="BE153" s="84">
        <f>IF(AND($AG153&gt;=0,$AD153&gt;=0,$AF153&gt;=0),IF($AG153/($AD153-$AF153)&gt;0,$AG153/($AD153-$AF153),0),"")</f>
        <v/>
      </c>
      <c r="BF153" s="84">
        <f>IF(AND($G153&gt;0,$AM153&gt;0),IF(($G153-$AM153)/$G153&gt;0,($G153-$AM153)/$G153,0),"")</f>
        <v/>
      </c>
      <c r="BG153" s="6">
        <f>IF((AD153-AF153)/(AJ153/60)&lt;=0,"",(AD153-AF153)/(AJ153/60))</f>
        <v/>
      </c>
      <c r="BH153" s="6">
        <f>IF(OR(AJ153=0,AP153=0,NOT(ISNUMBER(AD153)),NOT(ISNUMBER(AF153)),NOT(ISNUMBER(AJ153)),NOT(ISNUMBER(AP153))),"",
IFERROR(IF((AD153-AF153)/(AJ153/60)/(AP153/1000)&lt;=0,"",(AD153-AF153)/(AJ153/60)/(AP153/1000)),""))</f>
        <v/>
      </c>
    </row>
    <row r="154" ht="15.75" customHeight="1">
      <c r="B154" t="n">
        <v>-90</v>
      </c>
      <c r="D154" s="11" t="n">
        <v>45414</v>
      </c>
      <c r="F154" s="3" t="n">
        <v>149</v>
      </c>
      <c r="G154" s="205">
        <f>IF(OR(S154="",S154=0),"",S154*2)</f>
        <v/>
      </c>
      <c r="I154" s="15">
        <f>(N154*18-H154*18)/9</f>
        <v/>
      </c>
      <c r="J154" s="9" t="n">
        <v>10.4</v>
      </c>
      <c r="K154" s="15">
        <f>AD154</f>
        <v/>
      </c>
      <c r="M154" s="10">
        <f>IF(OR(E154="",G154="",E154=0,G154=0),"",E154/G154)</f>
        <v/>
      </c>
      <c r="N154" s="9">
        <f>IF(OR(E154="",I154="",E154=0,I154=0),"",E154/(I154*2))</f>
        <v/>
      </c>
      <c r="O154" s="8">
        <f>IF(OR(I154="",G154="",I154=0,G154=0),"",I154*2/G154)</f>
        <v/>
      </c>
      <c r="P154" s="7" t="n">
        <v>22.2</v>
      </c>
      <c r="Q154" s="6" t="n">
        <v>70.01000000000001</v>
      </c>
      <c r="R154" s="6" t="n">
        <v>13.261</v>
      </c>
      <c r="S154" s="6">
        <f>O154*1.067</f>
        <v/>
      </c>
      <c r="T154" s="6">
        <f>P154*1.514</f>
        <v/>
      </c>
      <c r="U154" s="23">
        <f>P154*1.514+O154*1.067</f>
        <v/>
      </c>
      <c r="V154" s="6" t="n">
        <v>32.5</v>
      </c>
      <c r="Y154" s="6" t="n">
        <v>0</v>
      </c>
      <c r="AD154" s="5" t="n">
        <v>80</v>
      </c>
      <c r="AE154" s="7">
        <f>T154</f>
        <v/>
      </c>
      <c r="AF154" s="231">
        <f>5*5.72</f>
        <v/>
      </c>
      <c r="AG154" s="231" t="n">
        <v>22.4</v>
      </c>
      <c r="AH154" s="231" t="n">
        <v>0</v>
      </c>
      <c r="AI154" t="n">
        <v>4.55</v>
      </c>
      <c r="AJ154" s="119" t="n">
        <v>0.4770833333333334</v>
      </c>
      <c r="AL154" s="231" t="n">
        <v>175</v>
      </c>
      <c r="AM154" s="3" t="n">
        <v>180</v>
      </c>
      <c r="AN154" s="4">
        <f>AE154</f>
        <v/>
      </c>
      <c r="AO154" s="231">
        <f>19.2</f>
        <v/>
      </c>
      <c r="AP154" s="255">
        <f>360-AK154-AB154</f>
        <v/>
      </c>
      <c r="AQ154" s="165" t="n"/>
      <c r="AR154" s="13">
        <f>AVERAGE(AO152:AO158)</f>
        <v/>
      </c>
      <c r="AS154" s="15">
        <f>IF(ISNUMBER([2]HRT_SRT!R208),[2]HRT_SRT!R208,"")</f>
        <v/>
      </c>
      <c r="AT154" s="156">
        <f>(E154-W154)/E154</f>
        <v/>
      </c>
      <c r="AU154" s="155">
        <f>(I154-AF154)/I154</f>
        <v/>
      </c>
      <c r="AV154" s="155">
        <f>AG154/(AD154-AF154)</f>
        <v/>
      </c>
      <c r="AW154" s="155">
        <f>(G154-AM154)/G154</f>
        <v/>
      </c>
      <c r="AX154" s="254">
        <f>IF(AND(ISNUMBER(E154),ISNUMBER(W154)),E154-W154,"")</f>
        <v/>
      </c>
      <c r="AY154" s="254">
        <f>IF(AND(ISNUMBER(I154),ISNUMBER(AF154)),I154-AF154,"")</f>
        <v/>
      </c>
      <c r="AZ154" s="254">
        <f>IF(AND(ISNUMBER(AM154),ISNUMBER(G154)),G154-AM154,"")</f>
        <v/>
      </c>
      <c r="BA154" s="254">
        <f>IF(AND(ISNUMBER(AC154),ISNUMBER(AE154)),AC154-AE154,"")</f>
        <v/>
      </c>
      <c r="BB154" s="254">
        <f>IF(AND(ISNUMBER(AL154),ISNUMBER(AM154)),AL154-AM154,"")</f>
        <v/>
      </c>
      <c r="BC154" s="84">
        <f>IF(AND($E154&gt;0,$W154&gt;0),IF(($E154-$W154)/$E154&gt;0,($E154-$W154)/$E154,0),"")</f>
        <v/>
      </c>
      <c r="BD154" s="84">
        <f>IF(AND($I154&gt;0,$AF154&gt;=0),IF(($I154-$AF154)/$I154&gt;0,($I154-$AF154)/$I154,0),"")</f>
        <v/>
      </c>
      <c r="BE154" s="84">
        <f>IF(AND($AG154&gt;=0,$AD154&gt;=0,$AF154&gt;=0),IF($AG154/($AD154-$AF154)&gt;0,$AG154/($AD154-$AF154),0),"")</f>
        <v/>
      </c>
      <c r="BF154" s="84">
        <f>IF(AND($G154&gt;0,$AM154&gt;0),IF(($G154-$AM154)/$G154&gt;0,($G154-$AM154)/$G154,0),"")</f>
        <v/>
      </c>
      <c r="BG154" s="6">
        <f>IF((AD154-AF154)/(AJ154/60)&lt;=0,"",(AD154-AF154)/(AJ154/60))</f>
        <v/>
      </c>
      <c r="BH154" s="6">
        <f>IF(OR(AJ154=0,AP154=0,NOT(ISNUMBER(AD154)),NOT(ISNUMBER(AF154)),NOT(ISNUMBER(AJ154)),NOT(ISNUMBER(AP154))),"",
IFERROR(IF((AD154-AF154)/(AJ154/60)/(AP154/1000)&lt;=0,"",(AD154-AF154)/(AJ154/60)/(AP154/1000)),""))</f>
        <v/>
      </c>
    </row>
    <row r="155" ht="15.75" customHeight="1">
      <c r="B155" t="n">
        <v>-89</v>
      </c>
      <c r="D155" s="11" t="n">
        <v>45415</v>
      </c>
      <c r="F155" s="3" t="n">
        <v>150</v>
      </c>
      <c r="G155" s="205">
        <f>IF(OR(S155="",S155=0),"",S155*2)</f>
        <v/>
      </c>
      <c r="I155" s="15">
        <f>(N155*18-H155*18)/9</f>
        <v/>
      </c>
      <c r="J155" s="9" t="n">
        <v>22.1</v>
      </c>
      <c r="K155" s="15">
        <f>AD155</f>
        <v/>
      </c>
      <c r="M155" s="10">
        <f>IF(OR(E155="",G155="",E155=0,G155=0),"",E155/G155)</f>
        <v/>
      </c>
      <c r="N155" s="9">
        <f>IF(OR(E155="",I155="",E155=0,I155=0),"",E155/(I155*2))</f>
        <v/>
      </c>
      <c r="O155" s="8">
        <f>IF(OR(I155="",G155="",I155=0,G155=0),"",I155*2/G155)</f>
        <v/>
      </c>
      <c r="P155" s="7" t="n">
        <v>34</v>
      </c>
      <c r="Q155" s="6" t="n">
        <v>81.69199999999999</v>
      </c>
      <c r="R155" s="6" t="n">
        <v>16.225</v>
      </c>
      <c r="S155" s="6">
        <f>O155*1.067</f>
        <v/>
      </c>
      <c r="T155" s="6">
        <f>P155*1.514</f>
        <v/>
      </c>
      <c r="U155" s="23">
        <f>P155*1.514+O155*1.067</f>
        <v/>
      </c>
      <c r="V155" s="6" t="n">
        <v>42.6</v>
      </c>
      <c r="Y155" s="6" t="n">
        <v>0</v>
      </c>
      <c r="Z155" s="6" t="n">
        <v>6.85</v>
      </c>
      <c r="AD155" s="5" t="n">
        <v>80</v>
      </c>
      <c r="AE155" s="7">
        <f>T155</f>
        <v/>
      </c>
      <c r="AF155" s="231">
        <f>5*5.05</f>
        <v/>
      </c>
      <c r="AG155" s="231" t="n">
        <v>40.8</v>
      </c>
      <c r="AH155" s="231" t="n">
        <v>0</v>
      </c>
      <c r="AI155" t="n">
        <v>0.1</v>
      </c>
      <c r="AJ155" s="119" t="n">
        <v>0.4791666666666667</v>
      </c>
      <c r="AL155" s="231" t="n">
        <v>175</v>
      </c>
      <c r="AM155" s="3" t="n">
        <v>180</v>
      </c>
      <c r="AN155" s="4">
        <f>AE155</f>
        <v/>
      </c>
      <c r="AO155" s="231" t="n">
        <v>30.5</v>
      </c>
      <c r="AP155" s="255">
        <f>360-AK155-AB155</f>
        <v/>
      </c>
      <c r="AQ155" s="165" t="n"/>
      <c r="AR155" s="13">
        <f>AVERAGE(AO153:AO159)</f>
        <v/>
      </c>
      <c r="AS155" s="15">
        <f>IF(ISNUMBER([2]HRT_SRT!R209),[2]HRT_SRT!R209,"")</f>
        <v/>
      </c>
      <c r="AT155" s="156">
        <f>(E155-W155)/E155</f>
        <v/>
      </c>
      <c r="AU155" s="155">
        <f>(I155-AF155)/I155</f>
        <v/>
      </c>
      <c r="AV155" s="155">
        <f>AG155/(AD155-AF155)</f>
        <v/>
      </c>
      <c r="AW155" s="155">
        <f>(G155-AM155)/G155</f>
        <v/>
      </c>
      <c r="AX155" s="254">
        <f>IF(AND(ISNUMBER(E155),ISNUMBER(W155)),E155-W155,"")</f>
        <v/>
      </c>
      <c r="AY155" s="254">
        <f>IF(AND(ISNUMBER(I155),ISNUMBER(AF155)),I155-AF155,"")</f>
        <v/>
      </c>
      <c r="AZ155" s="254">
        <f>IF(AND(ISNUMBER(AM155),ISNUMBER(G155)),G155-AM155,"")</f>
        <v/>
      </c>
      <c r="BA155" s="254">
        <f>IF(AND(ISNUMBER(AC155),ISNUMBER(AE155)),AC155-AE155,"")</f>
        <v/>
      </c>
      <c r="BB155" s="254">
        <f>IF(AND(ISNUMBER(AL155),ISNUMBER(AM155)),AL155-AM155,"")</f>
        <v/>
      </c>
      <c r="BC155" s="84">
        <f>IF(AND($E155&gt;0,$W155&gt;0),IF(($E155-$W155)/$E155&gt;0,($E155-$W155)/$E155,0),"")</f>
        <v/>
      </c>
      <c r="BD155" s="84">
        <f>IF(AND($I155&gt;0,$AF155&gt;=0),IF(($I155-$AF155)/$I155&gt;0,($I155-$AF155)/$I155,0),"")</f>
        <v/>
      </c>
      <c r="BE155" s="84">
        <f>IF(AND($AG155&gt;=0,$AD155&gt;=0,$AF155&gt;=0),IF($AG155/($AD155-$AF155)&gt;0,$AG155/($AD155-$AF155),0),"")</f>
        <v/>
      </c>
      <c r="BF155" s="84">
        <f>IF(AND($G155&gt;0,$AM155&gt;0),IF(($G155-$AM155)/$G155&gt;0,($G155-$AM155)/$G155,0),"")</f>
        <v/>
      </c>
      <c r="BG155" s="6">
        <f>IF((AD155-AF155)/(AJ155/60)&lt;=0,"",(AD155-AF155)/(AJ155/60))</f>
        <v/>
      </c>
      <c r="BH155" s="6">
        <f>IF(OR(AJ155=0,AP155=0,NOT(ISNUMBER(AD155)),NOT(ISNUMBER(AF155)),NOT(ISNUMBER(AJ155)),NOT(ISNUMBER(AP155))),"",
IFERROR(IF((AD155-AF155)/(AJ155/60)/(AP155/1000)&lt;=0,"",(AD155-AF155)/(AJ155/60)/(AP155/1000)),""))</f>
        <v/>
      </c>
    </row>
    <row r="156" ht="15.75" customHeight="1">
      <c r="B156" t="n">
        <v>-88</v>
      </c>
      <c r="D156" s="11" t="n">
        <v>45416</v>
      </c>
      <c r="F156" s="3" t="n">
        <v>151</v>
      </c>
      <c r="G156" s="205">
        <f>IF(OR(S156="",S156=0),"",S156*2)</f>
        <v/>
      </c>
      <c r="I156" s="9">
        <f>23.7</f>
        <v/>
      </c>
      <c r="K156" s="15">
        <f>AD156</f>
        <v/>
      </c>
      <c r="M156" s="10">
        <f>IF(OR(E156="",G156="",E156=0,G156=0),"",E156/G156)</f>
        <v/>
      </c>
      <c r="N156" s="9">
        <f>IF(OR(E156="",I156="",E156=0,I156=0),"",E156/(I156*2))</f>
        <v/>
      </c>
      <c r="O156" s="8">
        <f>IF(OR(I156="",G156="",I156=0,G156=0),"",I156*2/G156)</f>
        <v/>
      </c>
      <c r="Z156" s="6" t="n">
        <v>8.19</v>
      </c>
      <c r="AD156" s="5" t="n">
        <v>80</v>
      </c>
      <c r="AF156" s="168" t="n">
        <v>26</v>
      </c>
      <c r="AI156" t="n">
        <v>3.13</v>
      </c>
      <c r="AJ156" s="119" t="n">
        <v>0.7870370370370371</v>
      </c>
      <c r="AL156" s="231" t="n">
        <v>175</v>
      </c>
      <c r="AM156" s="3" t="n">
        <v>180</v>
      </c>
      <c r="AO156" s="231" t="n">
        <v>12.2</v>
      </c>
      <c r="AP156" s="255">
        <f>360-AK156-AB156</f>
        <v/>
      </c>
      <c r="AQ156" s="165" t="n"/>
      <c r="AR156" s="13">
        <f>AVERAGE(AO154:AO160)</f>
        <v/>
      </c>
      <c r="AS156" s="15">
        <f>IF(ISNUMBER([2]HRT_SRT!R210),[2]HRT_SRT!R210,"")</f>
        <v/>
      </c>
      <c r="AT156" s="156">
        <f>(E156-W156)/E156</f>
        <v/>
      </c>
      <c r="AU156" s="155">
        <f>(I156-AF156)/I156</f>
        <v/>
      </c>
      <c r="AV156" s="155">
        <f>AG156/(AD156-AF156)</f>
        <v/>
      </c>
      <c r="AW156" s="155">
        <f>(G156-AM156)/G156</f>
        <v/>
      </c>
      <c r="AX156" s="254">
        <f>IF(AND(ISNUMBER(E156),ISNUMBER(W156)),E156-W156,"")</f>
        <v/>
      </c>
      <c r="AY156" s="254">
        <f>IF(AND(ISNUMBER(I156),ISNUMBER(AF156)),I156-AF156,"")</f>
        <v/>
      </c>
      <c r="AZ156" s="254">
        <f>IF(AND(ISNUMBER(AM156),ISNUMBER(G156)),G156-AM156,"")</f>
        <v/>
      </c>
      <c r="BA156" s="254">
        <f>IF(AND(ISNUMBER(AC156),ISNUMBER(AE156)),AC156-AE156,"")</f>
        <v/>
      </c>
      <c r="BB156" s="254">
        <f>IF(AND(ISNUMBER(AL156),ISNUMBER(AM156)),AL156-AM156,"")</f>
        <v/>
      </c>
      <c r="BC156" s="84">
        <f>IF(AND($E156&gt;0,$W156&gt;0),IF(($E156-$W156)/$E156&gt;0,($E156-$W156)/$E156,0),"")</f>
        <v/>
      </c>
      <c r="BD156" s="84">
        <f>IF(AND($I156&gt;0,$AF156&gt;=0),IF(($I156-$AF156)/$I156&gt;0,($I156-$AF156)/$I156,0),"")</f>
        <v/>
      </c>
      <c r="BE156" s="84">
        <f>IF(AND($AG156&gt;=0,$AD156&gt;=0,$AF156&gt;=0),IF($AG156/($AD156-$AF156)&gt;0,$AG156/($AD156-$AF156),0),"")</f>
        <v/>
      </c>
      <c r="BF156" s="84">
        <f>IF(AND($G156&gt;0,$AM156&gt;0),IF(($G156-$AM156)/$G156&gt;0,($G156-$AM156)/$G156,0),"")</f>
        <v/>
      </c>
      <c r="BG156" s="6">
        <f>IF((AD156-AF156)/(AJ156/60)&lt;=0,"",(AD156-AF156)/(AJ156/60))</f>
        <v/>
      </c>
      <c r="BH156" s="6">
        <f>IF(OR(AJ156=0,AP156=0,NOT(ISNUMBER(AD156)),NOT(ISNUMBER(AF156)),NOT(ISNUMBER(AJ156)),NOT(ISNUMBER(AP156))),"",
IFERROR(IF((AD156-AF156)/(AJ156/60)/(AP156/1000)&lt;=0,"",(AD156-AF156)/(AJ156/60)/(AP156/1000)),""))</f>
        <v/>
      </c>
    </row>
    <row r="157" ht="15.75" customHeight="1">
      <c r="B157" t="n">
        <v>-87</v>
      </c>
      <c r="D157" s="11" t="n">
        <v>45417</v>
      </c>
      <c r="F157" s="3" t="n">
        <v>152</v>
      </c>
      <c r="G157" s="205">
        <f>IF(OR(S157="",S157=0),"",S157*2)</f>
        <v/>
      </c>
      <c r="I157" s="9">
        <f>23.7</f>
        <v/>
      </c>
      <c r="K157" s="15">
        <f>AD157</f>
        <v/>
      </c>
      <c r="M157" s="10">
        <f>IF(OR(E157="",G157="",E157=0,G157=0),"",E157/G157)</f>
        <v/>
      </c>
      <c r="N157" s="9">
        <f>IF(OR(E157="",I157="",E157=0,I157=0),"",E157/(I157*2))</f>
        <v/>
      </c>
      <c r="O157" s="8">
        <f>IF(OR(I157="",G157="",I157=0,G157=0),"",I157*2/G157)</f>
        <v/>
      </c>
      <c r="Z157" s="6" t="n">
        <v>4.98</v>
      </c>
      <c r="AD157" s="5" t="n">
        <v>80</v>
      </c>
      <c r="AF157" s="168" t="n">
        <v>27</v>
      </c>
      <c r="AI157" t="n">
        <v>4.33</v>
      </c>
      <c r="AJ157" s="119" t="n">
        <v>0.4770833333333334</v>
      </c>
      <c r="AL157" s="231" t="n">
        <v>175</v>
      </c>
      <c r="AM157" s="3" t="n">
        <v>180</v>
      </c>
      <c r="AO157" s="231">
        <f>5*3.08</f>
        <v/>
      </c>
      <c r="AP157" s="255">
        <f>360-AK157-AB157</f>
        <v/>
      </c>
      <c r="AQ157" s="165" t="n"/>
      <c r="AR157" s="13">
        <f>AVERAGE(AO155:AO161)</f>
        <v/>
      </c>
      <c r="AS157" s="15">
        <f>IF(ISNUMBER([2]HRT_SRT!R211),[2]HRT_SRT!R211,"")</f>
        <v/>
      </c>
      <c r="AT157" s="156">
        <f>(E157-W157)/E157</f>
        <v/>
      </c>
      <c r="AU157" s="155">
        <f>(I157-AF157)/I157</f>
        <v/>
      </c>
      <c r="AV157" s="155">
        <f>AG157/(AD157-AF157)</f>
        <v/>
      </c>
      <c r="AW157" s="155">
        <f>(G157-AM157)/G157</f>
        <v/>
      </c>
      <c r="AX157" s="254">
        <f>IF(AND(ISNUMBER(E157),ISNUMBER(W157)),E157-W157,"")</f>
        <v/>
      </c>
      <c r="AY157" s="254">
        <f>IF(AND(ISNUMBER(I157),ISNUMBER(AF157)),I157-AF157,"")</f>
        <v/>
      </c>
      <c r="AZ157" s="254">
        <f>IF(AND(ISNUMBER(AM157),ISNUMBER(G157)),G157-AM157,"")</f>
        <v/>
      </c>
      <c r="BA157" s="254">
        <f>IF(AND(ISNUMBER(AC157),ISNUMBER(AE157)),AC157-AE157,"")</f>
        <v/>
      </c>
      <c r="BB157" s="254">
        <f>IF(AND(ISNUMBER(AL157),ISNUMBER(AM157)),AL157-AM157,"")</f>
        <v/>
      </c>
      <c r="BC157" s="84">
        <f>IF(AND($E157&gt;0,$W157&gt;0),IF(($E157-$W157)/$E157&gt;0,($E157-$W157)/$E157,0),"")</f>
        <v/>
      </c>
      <c r="BD157" s="84">
        <f>IF(AND($I157&gt;0,$AF157&gt;=0),IF(($I157-$AF157)/$I157&gt;0,($I157-$AF157)/$I157,0),"")</f>
        <v/>
      </c>
      <c r="BE157" s="84">
        <f>IF(AND($AG157&gt;=0,$AD157&gt;=0,$AF157&gt;=0),IF($AG157/($AD157-$AF157)&gt;0,$AG157/($AD157-$AF157),0),"")</f>
        <v/>
      </c>
      <c r="BF157" s="84">
        <f>IF(AND($G157&gt;0,$AM157&gt;0),IF(($G157-$AM157)/$G157&gt;0,($G157-$AM157)/$G157,0),"")</f>
        <v/>
      </c>
      <c r="BG157" s="6">
        <f>IF((AD157-AF157)/(AJ157/60)&lt;=0,"",(AD157-AF157)/(AJ157/60))</f>
        <v/>
      </c>
      <c r="BH157" s="6">
        <f>IF(OR(AJ157=0,AP157=0,NOT(ISNUMBER(AD157)),NOT(ISNUMBER(AF157)),NOT(ISNUMBER(AJ157)),NOT(ISNUMBER(AP157))),"",
IFERROR(IF((AD157-AF157)/(AJ157/60)/(AP157/1000)&lt;=0,"",(AD157-AF157)/(AJ157/60)/(AP157/1000)),""))</f>
        <v/>
      </c>
    </row>
    <row r="158" ht="15.75" customHeight="1">
      <c r="B158" t="n">
        <v>-86</v>
      </c>
      <c r="C158" s="12" t="inlineStr">
        <is>
          <t xml:space="preserve">mixer shut down at 2 am </t>
        </is>
      </c>
      <c r="D158" s="11" t="n">
        <v>45418</v>
      </c>
      <c r="F158" s="3" t="n">
        <v>153</v>
      </c>
      <c r="G158" s="205">
        <f>IF(OR(S158="",S158=0),"",S158*2)</f>
        <v/>
      </c>
      <c r="K158" s="15">
        <f>AD158</f>
        <v/>
      </c>
      <c r="M158" s="10">
        <f>IF(OR(E158="",G158="",E158=0,G158=0),"",E158/G158)</f>
        <v/>
      </c>
      <c r="N158" s="9">
        <f>IF(OR(E158="",I158="",E158=0,I158=0),"",E158/(I158*2))</f>
        <v/>
      </c>
      <c r="O158" s="8">
        <f>IF(OR(I158="",G158="",I158=0,G158=0),"",I158*2/G158)</f>
        <v/>
      </c>
      <c r="Z158" s="6" t="n">
        <v>8.35</v>
      </c>
      <c r="AD158" s="5" t="n">
        <v>80</v>
      </c>
      <c r="AF158" s="168" t="n">
        <v>28</v>
      </c>
      <c r="AI158" t="n">
        <v>0.09</v>
      </c>
      <c r="AJ158" s="119" t="n">
        <v>0.4791666666666667</v>
      </c>
      <c r="AL158" s="231" t="n">
        <v>175</v>
      </c>
      <c r="AM158" s="3" t="n">
        <v>180</v>
      </c>
      <c r="AP158" s="255">
        <f>360-AK158-AB158</f>
        <v/>
      </c>
      <c r="AQ158" s="165" t="n"/>
      <c r="AR158" s="13">
        <f>AVERAGE(AO156:AO162)</f>
        <v/>
      </c>
      <c r="AS158" s="15">
        <f>IF(ISNUMBER([2]HRT_SRT!R212),[2]HRT_SRT!R212,"")</f>
        <v/>
      </c>
      <c r="AT158" s="156">
        <f>(E158-W158)/E158</f>
        <v/>
      </c>
      <c r="AU158" s="155">
        <f>(I158-AF158)/I158</f>
        <v/>
      </c>
      <c r="AV158" s="155">
        <f>AG158/(AD158-AF158)</f>
        <v/>
      </c>
      <c r="AW158" s="155" t="n"/>
      <c r="AX158" s="254">
        <f>IF(AND(ISNUMBER(E158),ISNUMBER(W158)),E158-W158,"")</f>
        <v/>
      </c>
      <c r="AY158" s="254">
        <f>IF(AND(ISNUMBER(I158),ISNUMBER(AF158)),I158-AF158,"")</f>
        <v/>
      </c>
      <c r="AZ158" s="254">
        <f>IF(AND(ISNUMBER(AM158),ISNUMBER(G158)),G158-AM158,"")</f>
        <v/>
      </c>
      <c r="BA158" s="254">
        <f>IF(AND(ISNUMBER(AC158),ISNUMBER(AE158)),AC158-AE158,"")</f>
        <v/>
      </c>
      <c r="BB158" s="254">
        <f>IF(AND(ISNUMBER(AL158),ISNUMBER(AM158)),AL158-AM158,"")</f>
        <v/>
      </c>
      <c r="BC158" s="84">
        <f>IF(AND($E158&gt;0,$W158&gt;0),IF(($E158-$W158)/$E158&gt;0,($E158-$W158)/$E158,0),"")</f>
        <v/>
      </c>
      <c r="BD158" s="84">
        <f>IF(AND($I158&gt;0,$AF158&gt;=0),IF(($I158-$AF158)/$I158&gt;0,($I158-$AF158)/$I158,0),"")</f>
        <v/>
      </c>
      <c r="BE158" s="84">
        <f>IF(AND($AG158&gt;=0,$AD158&gt;=0,$AF158&gt;=0),IF($AG158/($AD158-$AF158)&gt;0,$AG158/($AD158-$AF158),0),"")</f>
        <v/>
      </c>
      <c r="BF158" s="84">
        <f>IF(AND($G158&gt;0,$AM158&gt;0),IF(($G158-$AM158)/$G158&gt;0,($G158-$AM158)/$G158,0),"")</f>
        <v/>
      </c>
      <c r="BG158" s="6">
        <f>IF((AD158-AF158)/(AJ158/60)&lt;=0,"",(AD158-AF158)/(AJ158/60))</f>
        <v/>
      </c>
      <c r="BH158" s="6">
        <f>IF(OR(AJ158=0,AP158=0,NOT(ISNUMBER(AD158)),NOT(ISNUMBER(AF158)),NOT(ISNUMBER(AJ158)),NOT(ISNUMBER(AP158))),"",
IFERROR(IF((AD158-AF158)/(AJ158/60)/(AP158/1000)&lt;=0,"",(AD158-AF158)/(AJ158/60)/(AP158/1000)),""))</f>
        <v/>
      </c>
    </row>
    <row r="159" ht="15.75" customHeight="1">
      <c r="B159" t="n">
        <v>-85</v>
      </c>
      <c r="D159" s="11" t="n">
        <v>45419</v>
      </c>
      <c r="F159" s="3" t="n">
        <v>154</v>
      </c>
      <c r="G159" s="205">
        <f>IF(OR(S159="",S159=0),"",S159*2)</f>
        <v/>
      </c>
      <c r="I159" s="15">
        <f>(N159*18-H159*18)/9</f>
        <v/>
      </c>
      <c r="J159" s="9" t="n">
        <v>11.1</v>
      </c>
      <c r="K159" s="15">
        <f>AD159</f>
        <v/>
      </c>
      <c r="M159" s="10">
        <f>IF(OR(E159="",G159="",E159=0,G159=0),"",E159/G159)</f>
        <v/>
      </c>
      <c r="N159" s="9">
        <f>IF(OR(E159="",I159="",E159=0,I159=0),"",E159/(I159*2))</f>
        <v/>
      </c>
      <c r="O159" s="8">
        <f>IF(OR(I159="",G159="",I159=0,G159=0),"",I159*2/G159)</f>
        <v/>
      </c>
      <c r="P159" s="7" t="n">
        <v>25.2</v>
      </c>
      <c r="Q159" s="6" t="n">
        <v>100.272</v>
      </c>
      <c r="R159" s="6" t="n">
        <v>21.125</v>
      </c>
      <c r="S159" s="6">
        <f>O159*1.067</f>
        <v/>
      </c>
      <c r="T159" s="6">
        <f>P159*1.514</f>
        <v/>
      </c>
      <c r="U159" s="23">
        <f>P159*1.514+O159*1.067</f>
        <v/>
      </c>
      <c r="V159" s="6" t="n">
        <v>38.2</v>
      </c>
      <c r="Y159">
        <f>2.039+1.677</f>
        <v/>
      </c>
      <c r="Z159" s="6" t="n">
        <v>8.48</v>
      </c>
      <c r="AD159" s="5" t="n">
        <v>80</v>
      </c>
      <c r="AE159" s="7">
        <f>T159</f>
        <v/>
      </c>
      <c r="AF159" s="231">
        <f>5*5.69</f>
        <v/>
      </c>
      <c r="AG159" s="231" t="n">
        <v>26.2</v>
      </c>
      <c r="AH159" s="231">
        <f>2*4.61</f>
        <v/>
      </c>
      <c r="AI159" t="n">
        <v>2.59</v>
      </c>
      <c r="AJ159" s="119" t="n">
        <v>0.4765046296296296</v>
      </c>
      <c r="AL159" s="231" t="n">
        <v>175</v>
      </c>
      <c r="AM159" s="3" t="n">
        <v>180</v>
      </c>
      <c r="AN159" s="4">
        <f>AE159</f>
        <v/>
      </c>
      <c r="AO159" s="231">
        <f>22.5</f>
        <v/>
      </c>
      <c r="AP159" s="255">
        <f>360-AK159-AB159</f>
        <v/>
      </c>
      <c r="AQ159" s="165" t="n"/>
      <c r="AR159" s="13">
        <f>AVERAGE(AO157:AO163)</f>
        <v/>
      </c>
      <c r="AS159" s="15">
        <f>IF(ISNUMBER([2]HRT_SRT!R213),[2]HRT_SRT!R213,"")</f>
        <v/>
      </c>
      <c r="AT159" s="156">
        <f>(E159-W159)/E159</f>
        <v/>
      </c>
      <c r="AU159" s="155">
        <f>(I159-AF159)/I159</f>
        <v/>
      </c>
      <c r="AV159" s="155">
        <f>AG159/(AD159-AF159)</f>
        <v/>
      </c>
      <c r="AW159" s="155">
        <f>(G159-AM159)/G159</f>
        <v/>
      </c>
      <c r="AX159" s="254">
        <f>IF(AND(ISNUMBER(E159),ISNUMBER(W159)),E159-W159,"")</f>
        <v/>
      </c>
      <c r="AY159" s="254">
        <f>IF(AND(ISNUMBER(I159),ISNUMBER(AF159)),I159-AF159,"")</f>
        <v/>
      </c>
      <c r="AZ159" s="254">
        <f>IF(AND(ISNUMBER(AM159),ISNUMBER(G159)),G159-AM159,"")</f>
        <v/>
      </c>
      <c r="BA159" s="254">
        <f>IF(AND(ISNUMBER(AC159),ISNUMBER(AE159)),AC159-AE159,"")</f>
        <v/>
      </c>
      <c r="BB159" s="254">
        <f>IF(AND(ISNUMBER(AL159),ISNUMBER(AM159)),AL159-AM159,"")</f>
        <v/>
      </c>
      <c r="BC159" s="84">
        <f>IF(AND($E159&gt;0,$W159&gt;0),IF(($E159-$W159)/$E159&gt;0,($E159-$W159)/$E159,0),"")</f>
        <v/>
      </c>
      <c r="BD159" s="84">
        <f>IF(AND($I159&gt;0,$AF159&gt;=0),IF(($I159-$AF159)/$I159&gt;0,($I159-$AF159)/$I159,0),"")</f>
        <v/>
      </c>
      <c r="BE159" s="84">
        <f>IF(AND($AG159&gt;=0,$AD159&gt;=0,$AF159&gt;=0),IF($AG159/($AD159-$AF159)&gt;0,$AG159/($AD159-$AF159),0),"")</f>
        <v/>
      </c>
      <c r="BF159" s="84">
        <f>IF(AND($G159&gt;0,$AM159&gt;0),IF(($G159-$AM159)/$G159&gt;0,($G159-$AM159)/$G159,0),"")</f>
        <v/>
      </c>
      <c r="BG159" s="6">
        <f>IF((AD159-AF159)/(AJ159/60)&lt;=0,"",(AD159-AF159)/(AJ159/60))</f>
        <v/>
      </c>
      <c r="BH159" s="6">
        <f>IF(OR(AJ159=0,AP159=0,NOT(ISNUMBER(AD159)),NOT(ISNUMBER(AF159)),NOT(ISNUMBER(AJ159)),NOT(ISNUMBER(AP159))),"",
IFERROR(IF((AD159-AF159)/(AJ159/60)/(AP159/1000)&lt;=0,"",(AD159-AF159)/(AJ159/60)/(AP159/1000)),""))</f>
        <v/>
      </c>
    </row>
    <row r="160" ht="15.75" customHeight="1">
      <c r="B160" t="n">
        <v>-84</v>
      </c>
      <c r="D160" s="167" t="n">
        <v>45420</v>
      </c>
      <c r="E160" s="166" t="n"/>
      <c r="F160" s="136" t="n">
        <v>155</v>
      </c>
      <c r="G160" s="205">
        <f>IF(OR(S160="",S160=0),"",S160*2)</f>
        <v/>
      </c>
      <c r="I160" s="15">
        <f>(N160*17-H160*17)/9</f>
        <v/>
      </c>
      <c r="J160" s="9" t="n">
        <v>15.3</v>
      </c>
      <c r="K160" s="15">
        <f>AD160</f>
        <v/>
      </c>
      <c r="M160" s="10">
        <f>IF(OR(E160="",G160="",E160=0,G160=0),"",E160/G160)</f>
        <v/>
      </c>
      <c r="N160" s="9">
        <f>IF(OR(E160="",I160="",E160=0,I160=0),"",E160/(I160*2))</f>
        <v/>
      </c>
      <c r="O160" s="8">
        <f>IF(OR(I160="",G160="",I160=0,G160=0),"",I160*2/G160)</f>
        <v/>
      </c>
      <c r="P160" s="7" t="n">
        <v>29.6</v>
      </c>
      <c r="Q160" s="6" t="n">
        <v>86.279</v>
      </c>
      <c r="R160" s="6" t="n">
        <v>18.634</v>
      </c>
      <c r="S160" s="6">
        <f>O160*1.067</f>
        <v/>
      </c>
      <c r="T160" s="6">
        <f>P160*1.514</f>
        <v/>
      </c>
      <c r="U160" s="23">
        <f>P160*1.514+O160*1.067</f>
        <v/>
      </c>
      <c r="V160" s="6" t="n">
        <v>41</v>
      </c>
      <c r="Y160">
        <f>3.755+4.036</f>
        <v/>
      </c>
      <c r="Z160" s="6" t="n">
        <v>7.06</v>
      </c>
      <c r="AD160" s="5" t="n">
        <v>80</v>
      </c>
      <c r="AE160" s="7">
        <f>T160</f>
        <v/>
      </c>
      <c r="AF160" s="231">
        <f>5*5.06</f>
        <v/>
      </c>
      <c r="AG160" s="231" t="n">
        <v>30.9</v>
      </c>
      <c r="AH160" s="231">
        <f>2*4.34</f>
        <v/>
      </c>
      <c r="AI160" t="n">
        <v>2.57</v>
      </c>
      <c r="AJ160" s="119" t="n">
        <v>0.4782407407407407</v>
      </c>
      <c r="AL160" s="231" t="n">
        <v>175</v>
      </c>
      <c r="AM160" s="3" t="n">
        <v>180</v>
      </c>
      <c r="AN160" s="4">
        <f>AE160</f>
        <v/>
      </c>
      <c r="AO160" s="231" t="n">
        <v>27.1</v>
      </c>
      <c r="AP160" s="255">
        <f>360-AK160-AB160</f>
        <v/>
      </c>
      <c r="AQ160" s="165" t="n"/>
      <c r="AR160" s="13">
        <f>AVERAGE(AO158:AO164)</f>
        <v/>
      </c>
      <c r="AS160" s="15">
        <f>IF(ISNUMBER([2]HRT_SRT!R214),[2]HRT_SRT!R214,"")</f>
        <v/>
      </c>
      <c r="AT160" s="156">
        <f>(E160-W160)/E160</f>
        <v/>
      </c>
      <c r="AU160" s="155">
        <f>(I160-AF160)/I160</f>
        <v/>
      </c>
      <c r="AV160" s="155">
        <f>AG160/(AD160-AF160)</f>
        <v/>
      </c>
      <c r="AW160" s="155">
        <f>(G160-AM160)/G160</f>
        <v/>
      </c>
      <c r="AX160" s="254">
        <f>IF(AND(ISNUMBER(E160),ISNUMBER(W160)),E160-W160,"")</f>
        <v/>
      </c>
      <c r="AY160" s="254">
        <f>IF(AND(ISNUMBER(I160),ISNUMBER(AF160)),I160-AF160,"")</f>
        <v/>
      </c>
      <c r="AZ160" s="254">
        <f>IF(AND(ISNUMBER(AM160),ISNUMBER(G160)),G160-AM160,"")</f>
        <v/>
      </c>
      <c r="BA160" s="254">
        <f>IF(AND(ISNUMBER(AC160),ISNUMBER(AE160)),AC160-AE160,"")</f>
        <v/>
      </c>
      <c r="BB160" s="254">
        <f>IF(AND(ISNUMBER(AL160),ISNUMBER(AM160)),AL160-AM160,"")</f>
        <v/>
      </c>
      <c r="BC160" s="84">
        <f>IF(AND($E160&gt;0,$W160&gt;0),IF(($E160-$W160)/$E160&gt;0,($E160-$W160)/$E160,0),"")</f>
        <v/>
      </c>
      <c r="BD160" s="84">
        <f>IF(AND($I160&gt;0,$AF160&gt;=0),IF(($I160-$AF160)/$I160&gt;0,($I160-$AF160)/$I160,0),"")</f>
        <v/>
      </c>
      <c r="BE160" s="84">
        <f>IF(AND($AG160&gt;=0,$AD160&gt;=0,$AF160&gt;=0),IF($AG160/($AD160-$AF160)&gt;0,$AG160/($AD160-$AF160),0),"")</f>
        <v/>
      </c>
      <c r="BF160" s="84">
        <f>IF(AND($G160&gt;0,$AM160&gt;0),IF(($G160-$AM160)/$G160&gt;0,($G160-$AM160)/$G160,0),"")</f>
        <v/>
      </c>
      <c r="BG160" s="6">
        <f>IF((AD160-AF160)/(AJ160/60)&lt;=0,"",(AD160-AF160)/(AJ160/60))</f>
        <v/>
      </c>
      <c r="BH160" s="6">
        <f>IF(OR(AJ160=0,AP160=0,NOT(ISNUMBER(AD160)),NOT(ISNUMBER(AF160)),NOT(ISNUMBER(AJ160)),NOT(ISNUMBER(AP160))),"",
IFERROR(IF((AD160-AF160)/(AJ160/60)/(AP160/1000)&lt;=0,"",(AD160-AF160)/(AJ160/60)/(AP160/1000)),""))</f>
        <v/>
      </c>
    </row>
    <row r="161" ht="15.75" customHeight="1">
      <c r="B161" t="n">
        <v>-83</v>
      </c>
      <c r="C161" s="12" t="inlineStr">
        <is>
          <t xml:space="preserve">bacteria frothing </t>
        </is>
      </c>
      <c r="D161" s="11" t="n">
        <v>45421</v>
      </c>
      <c r="F161" s="3" t="n">
        <v>156</v>
      </c>
      <c r="G161" s="205">
        <f>IF(OR(S161="",S161=0),"",S161*2)</f>
        <v/>
      </c>
      <c r="I161" s="15">
        <f>(N161*19-H161*19)/9</f>
        <v/>
      </c>
      <c r="J161" s="9" t="n">
        <v>12.9</v>
      </c>
      <c r="K161" s="15">
        <f>AD161</f>
        <v/>
      </c>
      <c r="M161" s="10">
        <f>IF(OR(E161="",G161="",E161=0,G161=0),"",E161/G161)</f>
        <v/>
      </c>
      <c r="N161" s="9">
        <f>IF(OR(E161="",I161="",E161=0,I161=0),"",E161/(I161*2))</f>
        <v/>
      </c>
      <c r="O161" s="8">
        <f>IF(OR(I161="",G161="",I161=0,G161=0),"",I161*2/G161)</f>
        <v/>
      </c>
      <c r="P161" s="7" t="n">
        <v>26.3</v>
      </c>
      <c r="Q161" s="6" t="n">
        <v>93.727</v>
      </c>
      <c r="R161" s="6" t="n">
        <v>20.682</v>
      </c>
      <c r="S161" s="6">
        <f>O161*1.067</f>
        <v/>
      </c>
      <c r="T161" s="6">
        <f>P161*1.514</f>
        <v/>
      </c>
      <c r="U161" s="23">
        <f>P161*1.514+O161*1.067</f>
        <v/>
      </c>
      <c r="V161" s="6" t="n">
        <v>40.3</v>
      </c>
      <c r="Y161">
        <f>3.756+4.005</f>
        <v/>
      </c>
      <c r="Z161" s="6" t="n">
        <v>8.73</v>
      </c>
      <c r="AD161" s="5" t="n">
        <v>80</v>
      </c>
      <c r="AE161" s="7">
        <f>T161</f>
        <v/>
      </c>
      <c r="AF161" s="231">
        <f>5*4.51</f>
        <v/>
      </c>
      <c r="AG161" s="231" t="n">
        <v>28.5</v>
      </c>
      <c r="AH161" s="231">
        <f>2*4.18</f>
        <v/>
      </c>
      <c r="AI161" t="n">
        <v>2.65</v>
      </c>
      <c r="AJ161" s="119" t="n">
        <v>0.4775462962962963</v>
      </c>
      <c r="AL161" s="231" t="n">
        <v>175</v>
      </c>
      <c r="AM161" s="3" t="n">
        <v>180</v>
      </c>
      <c r="AN161" s="4">
        <f>AE161</f>
        <v/>
      </c>
      <c r="AO161" s="231" t="n">
        <v>25.2</v>
      </c>
      <c r="AP161" s="255">
        <f>360-AK161-AB161</f>
        <v/>
      </c>
      <c r="AQ161" s="126">
        <f>[2]HRT_SRT!P215</f>
        <v/>
      </c>
      <c r="AR161" s="13">
        <f>AVERAGE(AO159:AO165)</f>
        <v/>
      </c>
      <c r="AS161" s="15">
        <f>IF(ISNUMBER([2]HRT_SRT!R215),[2]HRT_SRT!R215,"")</f>
        <v/>
      </c>
      <c r="AT161" s="156">
        <f>(E161-W161)/E161</f>
        <v/>
      </c>
      <c r="AU161" s="155">
        <f>(I161-AF161)/I161</f>
        <v/>
      </c>
      <c r="AV161" s="155">
        <f>AG161/(AD161-AF161)</f>
        <v/>
      </c>
      <c r="AW161" s="155">
        <f>(G161-AM161)/G161</f>
        <v/>
      </c>
      <c r="AX161" s="254">
        <f>IF(AND(ISNUMBER(E161),ISNUMBER(W161)),E161-W161,"")</f>
        <v/>
      </c>
      <c r="AY161" s="254">
        <f>IF(AND(ISNUMBER(I161),ISNUMBER(AF161)),I161-AF161,"")</f>
        <v/>
      </c>
      <c r="AZ161" s="254">
        <f>IF(AND(ISNUMBER(AM161),ISNUMBER(G161)),G161-AM161,"")</f>
        <v/>
      </c>
      <c r="BA161" s="254">
        <f>IF(AND(ISNUMBER(AC161),ISNUMBER(AE161)),AC161-AE161,"")</f>
        <v/>
      </c>
      <c r="BB161" s="254">
        <f>IF(AND(ISNUMBER(AL161),ISNUMBER(AM161)),AL161-AM161,"")</f>
        <v/>
      </c>
      <c r="BC161" s="84">
        <f>IF(AND($E161&gt;0,$W161&gt;0),IF(($E161-$W161)/$E161&gt;0,($E161-$W161)/$E161,0),"")</f>
        <v/>
      </c>
      <c r="BD161" s="84">
        <f>IF(AND($I161&gt;0,$AF161&gt;=0),IF(($I161-$AF161)/$I161&gt;0,($I161-$AF161)/$I161,0),"")</f>
        <v/>
      </c>
      <c r="BE161" s="84">
        <f>IF(AND($AG161&gt;=0,$AD161&gt;=0,$AF161&gt;=0),IF($AG161/($AD161-$AF161)&gt;0,$AG161/($AD161-$AF161),0),"")</f>
        <v/>
      </c>
      <c r="BF161" s="84">
        <f>IF(AND($G161&gt;0,$AM161&gt;0),IF(($G161-$AM161)/$G161&gt;0,($G161-$AM161)/$G161,0),"")</f>
        <v/>
      </c>
      <c r="BG161" s="6">
        <f>IF((AD161-AF161)/(AJ161/60)&lt;=0,"",(AD161-AF161)/(AJ161/60))</f>
        <v/>
      </c>
      <c r="BH161" s="6">
        <f>IF(OR(AJ161=0,AP161=0,NOT(ISNUMBER(AD161)),NOT(ISNUMBER(AF161)),NOT(ISNUMBER(AJ161)),NOT(ISNUMBER(AP161))),"",
IFERROR(IF((AD161-AF161)/(AJ161/60)/(AP161/1000)&lt;=0,"",(AD161-AF161)/(AJ161/60)/(AP161/1000)),""))</f>
        <v/>
      </c>
    </row>
    <row r="162" ht="15.75" customHeight="1">
      <c r="B162" t="n">
        <v>-82</v>
      </c>
      <c r="D162" s="11" t="n">
        <v>45422</v>
      </c>
      <c r="F162" s="3" t="n">
        <v>157</v>
      </c>
      <c r="G162" s="205">
        <f>IF(OR(S162="",S162=0),"",S162*2)</f>
        <v/>
      </c>
      <c r="I162" s="15">
        <f>(N162*18-H162*18)/9</f>
        <v/>
      </c>
      <c r="J162" s="9" t="n">
        <v>13.8</v>
      </c>
      <c r="K162" s="15">
        <f>AD162</f>
        <v/>
      </c>
      <c r="M162" s="10">
        <f>IF(OR(E162="",G162="",E162=0,G162=0),"",E162/G162)</f>
        <v/>
      </c>
      <c r="N162" s="9">
        <f>IF(OR(E162="",I162="",E162=0,I162=0),"",E162/(I162*2))</f>
        <v/>
      </c>
      <c r="O162" s="8">
        <f>IF(OR(I162="",G162="",I162=0,G162=0),"",I162*2/G162)</f>
        <v/>
      </c>
      <c r="P162" s="7" t="n">
        <v>27.5</v>
      </c>
      <c r="V162" s="6" t="n">
        <v>39</v>
      </c>
      <c r="Z162" s="6" t="n">
        <v>7.95</v>
      </c>
      <c r="AD162" s="5" t="n">
        <v>80</v>
      </c>
      <c r="AE162" s="7">
        <f>T162</f>
        <v/>
      </c>
      <c r="AF162" s="165">
        <f>5*4.88</f>
        <v/>
      </c>
      <c r="AH162" s="162" t="n">
        <v>8.300000000000001</v>
      </c>
      <c r="AI162" t="n">
        <v>2.94</v>
      </c>
      <c r="AJ162" s="119" t="n">
        <v>0.4769675925925926</v>
      </c>
      <c r="AL162" s="231" t="n">
        <v>175</v>
      </c>
      <c r="AM162" s="3" t="n">
        <v>180</v>
      </c>
      <c r="AO162" s="231" t="n">
        <v>26.1</v>
      </c>
      <c r="AP162" s="255">
        <f>360-AK162-AB162</f>
        <v/>
      </c>
      <c r="AQ162" s="126" t="n"/>
      <c r="AR162" s="13">
        <f>AVERAGE(AO160:AO166)</f>
        <v/>
      </c>
      <c r="AS162" s="15">
        <f>IF(ISNUMBER([2]HRT_SRT!R216),[2]HRT_SRT!R216,"")</f>
        <v/>
      </c>
      <c r="AT162" s="156">
        <f>(E162-W162)/E162</f>
        <v/>
      </c>
      <c r="AU162" s="155">
        <f>(I162-AF162)/I162</f>
        <v/>
      </c>
      <c r="AV162" s="155">
        <f>AG162/(AD162-AF162)</f>
        <v/>
      </c>
      <c r="AW162" s="155">
        <f>(G162-AM162)/G162</f>
        <v/>
      </c>
      <c r="AX162" s="254">
        <f>IF(AND(ISNUMBER(E162),ISNUMBER(W162)),E162-W162,"")</f>
        <v/>
      </c>
      <c r="AY162" s="254">
        <f>IF(AND(ISNUMBER(I162),ISNUMBER(AF162)),I162-AF162,"")</f>
        <v/>
      </c>
      <c r="AZ162" s="254">
        <f>IF(AND(ISNUMBER(AM162),ISNUMBER(G162)),G162-AM162,"")</f>
        <v/>
      </c>
      <c r="BA162" s="254">
        <f>IF(AND(ISNUMBER(AC162),ISNUMBER(AE162)),AC162-AE162,"")</f>
        <v/>
      </c>
      <c r="BB162" s="254">
        <f>IF(AND(ISNUMBER(AL162),ISNUMBER(AM162)),AL162-AM162,"")</f>
        <v/>
      </c>
      <c r="BC162" s="84">
        <f>IF(AND($E162&gt;0,$W162&gt;0),IF(($E162-$W162)/$E162&gt;0,($E162-$W162)/$E162,0),"")</f>
        <v/>
      </c>
      <c r="BD162" s="84">
        <f>IF(AND($I162&gt;0,$AF162&gt;=0),IF(($I162-$AF162)/$I162&gt;0,($I162-$AF162)/$I162,0),"")</f>
        <v/>
      </c>
      <c r="BE162" s="84">
        <f>IF(AND($AG162&gt;=0,$AD162&gt;=0,$AF162&gt;=0),IF($AG162/($AD162-$AF162)&gt;0,$AG162/($AD162-$AF162),0),"")</f>
        <v/>
      </c>
      <c r="BF162" s="84">
        <f>IF(AND($G162&gt;0,$AM162&gt;0),IF(($G162-$AM162)/$G162&gt;0,($G162-$AM162)/$G162,0),"")</f>
        <v/>
      </c>
      <c r="BG162" s="6">
        <f>IF((AD162-AF162)/(AJ162/60)&lt;=0,"",(AD162-AF162)/(AJ162/60))</f>
        <v/>
      </c>
      <c r="BH162" s="6">
        <f>IF(OR(AJ162=0,AP162=0,NOT(ISNUMBER(AD162)),NOT(ISNUMBER(AF162)),NOT(ISNUMBER(AJ162)),NOT(ISNUMBER(AP162))),"",
IFERROR(IF((AD162-AF162)/(AJ162/60)/(AP162/1000)&lt;=0,"",(AD162-AF162)/(AJ162/60)/(AP162/1000)),""))</f>
        <v/>
      </c>
    </row>
    <row r="163" ht="15.75" customHeight="1">
      <c r="B163" t="n">
        <v>-81</v>
      </c>
      <c r="D163" s="11" t="n">
        <v>45423</v>
      </c>
      <c r="F163" s="3" t="n">
        <v>158</v>
      </c>
      <c r="G163" s="205">
        <f>IF(OR(S163="",S163=0),"",S163*2)</f>
        <v/>
      </c>
      <c r="K163" s="15">
        <f>AD163</f>
        <v/>
      </c>
      <c r="M163" s="10">
        <f>IF(OR(E163="",G163="",E163=0,G163=0),"",E163/G163)</f>
        <v/>
      </c>
      <c r="N163" s="9">
        <f>IF(OR(E163="",I163="",E163=0,I163=0),"",E163/(I163*2))</f>
        <v/>
      </c>
      <c r="O163" s="8">
        <f>IF(OR(I163="",G163="",I163=0,G163=0),"",I163*2/G163)</f>
        <v/>
      </c>
      <c r="Z163" s="6" t="n">
        <v>4.78</v>
      </c>
      <c r="AD163" s="5" t="n">
        <v>80</v>
      </c>
      <c r="AF163" s="162">
        <f>25</f>
        <v/>
      </c>
      <c r="AH163" s="162" t="n">
        <v>8.300000000000001</v>
      </c>
      <c r="AI163" t="n">
        <v>2.52</v>
      </c>
      <c r="AJ163" s="119" t="n">
        <v>0.4775462962962963</v>
      </c>
      <c r="AL163" s="231" t="n">
        <v>175</v>
      </c>
      <c r="AM163" s="3" t="n">
        <v>180</v>
      </c>
      <c r="AP163" s="255">
        <f>360-AK163-AB163</f>
        <v/>
      </c>
      <c r="AQ163" s="126" t="n"/>
      <c r="AR163" s="13">
        <f>AVERAGE(AO161:AO167)</f>
        <v/>
      </c>
      <c r="AS163" s="15">
        <f>IF(ISNUMBER([2]HRT_SRT!R217),[2]HRT_SRT!R217,"")</f>
        <v/>
      </c>
      <c r="AT163" s="156">
        <f>(E163-W163)/E163</f>
        <v/>
      </c>
      <c r="AU163" s="155">
        <f>(I163-AF163)/I163</f>
        <v/>
      </c>
      <c r="AV163" s="155">
        <f>AG163/(AD163-AF163)</f>
        <v/>
      </c>
      <c r="AW163" s="155" t="n"/>
      <c r="AX163" s="254">
        <f>IF(AND(ISNUMBER(E163),ISNUMBER(W163)),E163-W163,"")</f>
        <v/>
      </c>
      <c r="AY163" s="254">
        <f>IF(AND(ISNUMBER(I163),ISNUMBER(AF163)),I163-AF163,"")</f>
        <v/>
      </c>
      <c r="AZ163" s="254">
        <f>IF(AND(ISNUMBER(AM163),ISNUMBER(G163)),G163-AM163,"")</f>
        <v/>
      </c>
      <c r="BA163" s="254">
        <f>IF(AND(ISNUMBER(AC163),ISNUMBER(AE163)),AC163-AE163,"")</f>
        <v/>
      </c>
      <c r="BB163" s="254">
        <f>IF(AND(ISNUMBER(AL163),ISNUMBER(AM163)),AL163-AM163,"")</f>
        <v/>
      </c>
      <c r="BC163" s="84">
        <f>IF(AND($E163&gt;0,$W163&gt;0),IF(($E163-$W163)/$E163&gt;0,($E163-$W163)/$E163,0),"")</f>
        <v/>
      </c>
      <c r="BD163" s="84">
        <f>IF(AND($I163&gt;0,$AF163&gt;=0),IF(($I163-$AF163)/$I163&gt;0,($I163-$AF163)/$I163,0),"")</f>
        <v/>
      </c>
      <c r="BE163" s="84">
        <f>IF(AND($AG163&gt;=0,$AD163&gt;=0,$AF163&gt;=0),IF($AG163/($AD163-$AF163)&gt;0,$AG163/($AD163-$AF163),0),"")</f>
        <v/>
      </c>
      <c r="BF163" s="84">
        <f>IF(AND($G163&gt;0,$AM163&gt;0),IF(($G163-$AM163)/$G163&gt;0,($G163-$AM163)/$G163,0),"")</f>
        <v/>
      </c>
      <c r="BG163" s="6">
        <f>IF((AD163-AF163)/(AJ163/60)&lt;=0,"",(AD163-AF163)/(AJ163/60))</f>
        <v/>
      </c>
      <c r="BH163" s="6">
        <f>IF(OR(AJ163=0,AP163=0,NOT(ISNUMBER(AD163)),NOT(ISNUMBER(AF163)),NOT(ISNUMBER(AJ163)),NOT(ISNUMBER(AP163))),"",
IFERROR(IF((AD163-AF163)/(AJ163/60)/(AP163/1000)&lt;=0,"",(AD163-AF163)/(AJ163/60)/(AP163/1000)),""))</f>
        <v/>
      </c>
    </row>
    <row r="164" ht="15.75" customHeight="1">
      <c r="B164" t="n">
        <v>-80</v>
      </c>
      <c r="D164" s="11" t="n">
        <v>45424</v>
      </c>
      <c r="F164" s="3" t="n">
        <v>159</v>
      </c>
      <c r="G164" s="205">
        <f>IF(OR(S164="",S164=0),"",S164*2)</f>
        <v/>
      </c>
      <c r="K164" s="15">
        <f>AD164</f>
        <v/>
      </c>
      <c r="M164" s="10">
        <f>IF(OR(E164="",G164="",E164=0,G164=0),"",E164/G164)</f>
        <v/>
      </c>
      <c r="N164" s="9">
        <f>IF(OR(E164="",I164="",E164=0,I164=0),"",E164/(I164*2))</f>
        <v/>
      </c>
      <c r="O164" s="8">
        <f>IF(OR(I164="",G164="",I164=0,G164=0),"",I164*2/G164)</f>
        <v/>
      </c>
      <c r="AD164" s="5" t="n">
        <v>80</v>
      </c>
      <c r="AF164" s="162">
        <f>25</f>
        <v/>
      </c>
      <c r="AH164" s="162" t="n">
        <v>8.300000000000001</v>
      </c>
      <c r="AI164" t="n">
        <v>2.36</v>
      </c>
      <c r="AJ164" s="119" t="n">
        <v>0.4783564814814815</v>
      </c>
      <c r="AL164" s="231" t="n">
        <v>175</v>
      </c>
      <c r="AM164" s="3" t="n">
        <v>180</v>
      </c>
      <c r="AP164" s="255">
        <f>360-AK164-AB164</f>
        <v/>
      </c>
      <c r="AQ164" s="126" t="n"/>
      <c r="AR164" s="13">
        <f>AVERAGE(AO162:AO168)</f>
        <v/>
      </c>
      <c r="AS164" s="15">
        <f>IF(ISNUMBER([2]HRT_SRT!R218),[2]HRT_SRT!R218,"")</f>
        <v/>
      </c>
      <c r="AT164" s="156">
        <f>(E164-W164)/E164</f>
        <v/>
      </c>
      <c r="AU164" s="155">
        <f>(I164-AF164)/I164</f>
        <v/>
      </c>
      <c r="AV164" s="155">
        <f>AG164/(AD164-AF164)</f>
        <v/>
      </c>
      <c r="AW164" s="155" t="n"/>
      <c r="AX164" s="254">
        <f>IF(AND(ISNUMBER(E164),ISNUMBER(W164)),E164-W164,"")</f>
        <v/>
      </c>
      <c r="AY164" s="254">
        <f>IF(AND(ISNUMBER(I164),ISNUMBER(AF164)),I164-AF164,"")</f>
        <v/>
      </c>
      <c r="AZ164" s="254">
        <f>IF(AND(ISNUMBER(AM164),ISNUMBER(G164)),G164-AM164,"")</f>
        <v/>
      </c>
      <c r="BA164" s="254">
        <f>IF(AND(ISNUMBER(AC164),ISNUMBER(AE164)),AC164-AE164,"")</f>
        <v/>
      </c>
      <c r="BB164" s="254">
        <f>IF(AND(ISNUMBER(AL164),ISNUMBER(AM164)),AL164-AM164,"")</f>
        <v/>
      </c>
      <c r="BC164" s="84">
        <f>IF(AND($E164&gt;0,$W164&gt;0),IF(($E164-$W164)/$E164&gt;0,($E164-$W164)/$E164,0),"")</f>
        <v/>
      </c>
      <c r="BD164" s="84">
        <f>IF(AND($I164&gt;0,$AF164&gt;=0),IF(($I164-$AF164)/$I164&gt;0,($I164-$AF164)/$I164,0),"")</f>
        <v/>
      </c>
      <c r="BE164" s="84">
        <f>IF(AND($AG164&gt;=0,$AD164&gt;=0,$AF164&gt;=0),IF($AG164/($AD164-$AF164)&gt;0,$AG164/($AD164-$AF164),0),"")</f>
        <v/>
      </c>
      <c r="BF164" s="84">
        <f>IF(AND($G164&gt;0,$AM164&gt;0),IF(($G164-$AM164)/$G164&gt;0,($G164-$AM164)/$G164,0),"")</f>
        <v/>
      </c>
      <c r="BG164" s="6">
        <f>IF((AD164-AF164)/(AJ164/60)&lt;=0,"",(AD164-AF164)/(AJ164/60))</f>
        <v/>
      </c>
      <c r="BH164" s="6">
        <f>IF(OR(AJ164=0,AP164=0,NOT(ISNUMBER(AD164)),NOT(ISNUMBER(AF164)),NOT(ISNUMBER(AJ164)),NOT(ISNUMBER(AP164))),"",
IFERROR(IF((AD164-AF164)/(AJ164/60)/(AP164/1000)&lt;=0,"",(AD164-AF164)/(AJ164/60)/(AP164/1000)),""))</f>
        <v/>
      </c>
    </row>
    <row r="165" ht="15.75" customHeight="1">
      <c r="B165" t="n">
        <v>-79</v>
      </c>
      <c r="D165" s="11" t="n">
        <v>45425</v>
      </c>
      <c r="F165" s="3" t="n">
        <v>160</v>
      </c>
      <c r="G165" s="205">
        <f>IF(OR(S165="",S165=0),"",S165*2)</f>
        <v/>
      </c>
      <c r="I165" s="15">
        <f>(N165*17.8-H165*17.8)/9</f>
        <v/>
      </c>
      <c r="J165" s="9" t="n">
        <v>22.4</v>
      </c>
      <c r="K165" s="15">
        <f>AD165</f>
        <v/>
      </c>
      <c r="M165" s="10">
        <f>IF(OR(E165="",G165="",E165=0,G165=0),"",E165/G165)</f>
        <v/>
      </c>
      <c r="N165" s="9">
        <f>IF(OR(E165="",I165="",E165=0,I165=0),"",E165/(I165*2))</f>
        <v/>
      </c>
      <c r="O165" s="8">
        <f>IF(OR(I165="",G165="",I165=0,G165=0),"",I165*2/G165)</f>
        <v/>
      </c>
      <c r="P165" s="7" t="n">
        <v>36.4</v>
      </c>
      <c r="V165" s="6" t="n">
        <v>46.7</v>
      </c>
      <c r="Z165" s="6" t="n">
        <v>5.8</v>
      </c>
      <c r="AD165" s="5" t="n">
        <v>80</v>
      </c>
      <c r="AE165" s="4" t="n">
        <v>46.7</v>
      </c>
      <c r="AF165" s="231">
        <f>5*5.01</f>
        <v/>
      </c>
      <c r="AG165" s="231" t="n">
        <v>49.2</v>
      </c>
      <c r="AH165" s="231" t="n">
        <v>0</v>
      </c>
      <c r="AI165" s="231" t="n">
        <v>0</v>
      </c>
      <c r="AJ165" s="119" t="n">
        <v>0.4783564814814815</v>
      </c>
      <c r="AL165" s="231" t="n">
        <v>175</v>
      </c>
      <c r="AM165" s="3" t="n">
        <v>180</v>
      </c>
      <c r="AN165" s="4">
        <f>AE165</f>
        <v/>
      </c>
      <c r="AO165" s="231" t="n">
        <v>41.4</v>
      </c>
      <c r="AP165" s="255">
        <f>360-AK165-AB165</f>
        <v/>
      </c>
      <c r="AQ165" s="126">
        <f>[2]HRT_SRT!P219</f>
        <v/>
      </c>
      <c r="AR165" s="13">
        <f>AVERAGE(AO163:AO169)</f>
        <v/>
      </c>
      <c r="AS165" s="15">
        <f>IF(ISNUMBER([2]HRT_SRT!R219),[2]HRT_SRT!R219,"")</f>
        <v/>
      </c>
      <c r="AT165" s="156">
        <f>(E165-W165)/E165</f>
        <v/>
      </c>
      <c r="AU165" s="155">
        <f>(I165-AF165)/I165</f>
        <v/>
      </c>
      <c r="AV165" s="155">
        <f>AG165/(AD165-AF165)</f>
        <v/>
      </c>
      <c r="AW165" s="155">
        <f>(G165-AM165)/G165</f>
        <v/>
      </c>
      <c r="AX165" s="254">
        <f>IF(AND(ISNUMBER(E165),ISNUMBER(W165)),E165-W165,"")</f>
        <v/>
      </c>
      <c r="AY165" s="254">
        <f>IF(AND(ISNUMBER(I165),ISNUMBER(AF165)),I165-AF165,"")</f>
        <v/>
      </c>
      <c r="AZ165" s="254">
        <f>IF(AND(ISNUMBER(AM165),ISNUMBER(G165)),G165-AM165,"")</f>
        <v/>
      </c>
      <c r="BA165" s="254">
        <f>IF(AND(ISNUMBER(AC165),ISNUMBER(AE165)),AC165-AE165,"")</f>
        <v/>
      </c>
      <c r="BB165" s="254">
        <f>IF(AND(ISNUMBER(AL165),ISNUMBER(AM165)),AL165-AM165,"")</f>
        <v/>
      </c>
      <c r="BC165" s="84">
        <f>IF(AND($E165&gt;0,$W165&gt;0),IF(($E165-$W165)/$E165&gt;0,($E165-$W165)/$E165,0),"")</f>
        <v/>
      </c>
      <c r="BD165" s="84">
        <f>IF(AND($I165&gt;0,$AF165&gt;=0),IF(($I165-$AF165)/$I165&gt;0,($I165-$AF165)/$I165,0),"")</f>
        <v/>
      </c>
      <c r="BE165" s="84">
        <f>IF(AND($AG165&gt;=0,$AD165&gt;=0,$AF165&gt;=0),IF($AG165/($AD165-$AF165)&gt;0,$AG165/($AD165-$AF165),0),"")</f>
        <v/>
      </c>
      <c r="BF165" s="84">
        <f>IF(AND($G165&gt;0,$AM165&gt;0),IF(($G165-$AM165)/$G165&gt;0,($G165-$AM165)/$G165,0),"")</f>
        <v/>
      </c>
      <c r="BG165" s="6">
        <f>IF((AD165-AF165)/(AJ165/60)&lt;=0,"",(AD165-AF165)/(AJ165/60))</f>
        <v/>
      </c>
      <c r="BH165" s="6">
        <f>IF(OR(AJ165=0,AP165=0,NOT(ISNUMBER(AD165)),NOT(ISNUMBER(AF165)),NOT(ISNUMBER(AJ165)),NOT(ISNUMBER(AP165))),"",
IFERROR(IF((AD165-AF165)/(AJ165/60)/(AP165/1000)&lt;=0,"",(AD165-AF165)/(AJ165/60)/(AP165/1000)),""))</f>
        <v/>
      </c>
    </row>
    <row r="166" ht="15.75" customHeight="1">
      <c r="B166" t="n">
        <v>-78</v>
      </c>
      <c r="D166" s="94" t="n">
        <v>45426</v>
      </c>
      <c r="E166" s="128" t="n"/>
      <c r="F166" s="3" t="n">
        <v>161</v>
      </c>
      <c r="G166" s="205">
        <f>IF(OR(S166="",S166=0),"",S166*2)</f>
        <v/>
      </c>
      <c r="I166" s="15">
        <f>(N166*18-H166*18)/9</f>
        <v/>
      </c>
      <c r="J166" s="6" t="n">
        <v>8.949999999999999</v>
      </c>
      <c r="K166" s="15">
        <f>AD166</f>
        <v/>
      </c>
      <c r="M166" s="10">
        <f>IF(OR(E166="",G166="",E166=0,G166=0),"",E166/G166)</f>
        <v/>
      </c>
      <c r="N166" s="9">
        <f>IF(OR(E166="",I166="",E166=0,I166=0),"",E166/(I166*2))</f>
        <v/>
      </c>
      <c r="O166" s="8">
        <f>IF(OR(I166="",G166="",I166=0,G166=0),"",I166*2/G166)</f>
        <v/>
      </c>
      <c r="P166" s="7" t="n">
        <v>21.9</v>
      </c>
      <c r="Q166" s="6" t="n">
        <v>92.749</v>
      </c>
      <c r="R166" s="6" t="n">
        <v>19.355</v>
      </c>
      <c r="S166" s="6">
        <f>O166*1.067</f>
        <v/>
      </c>
      <c r="T166" s="6">
        <f>P166*1.514</f>
        <v/>
      </c>
      <c r="U166" s="23">
        <f>P166*1.514+O166*1.067</f>
        <v/>
      </c>
      <c r="V166" s="6" t="n">
        <v>32.8</v>
      </c>
      <c r="Y166" s="6">
        <f>0.592+0.586</f>
        <v/>
      </c>
      <c r="Z166" s="6" t="n">
        <v>6.47</v>
      </c>
      <c r="AD166" s="5" t="n">
        <v>80</v>
      </c>
      <c r="AE166" s="7">
        <f>T166</f>
        <v/>
      </c>
      <c r="AF166" s="231">
        <f>5*5.38</f>
        <v/>
      </c>
      <c r="AG166" s="231" t="n">
        <v>20.2</v>
      </c>
      <c r="AH166" s="231">
        <f>2*2.92</f>
        <v/>
      </c>
      <c r="AI166" t="n">
        <v>0.78</v>
      </c>
      <c r="AJ166" s="119" t="n">
        <v>0.4487268518518518</v>
      </c>
      <c r="AL166" s="231" t="n">
        <v>175</v>
      </c>
      <c r="AM166" s="3" t="n">
        <v>180</v>
      </c>
      <c r="AN166" s="4">
        <f>AE166</f>
        <v/>
      </c>
      <c r="AO166" s="231" t="n">
        <v>16</v>
      </c>
      <c r="AP166" s="255">
        <f>360-AK166-AB166</f>
        <v/>
      </c>
      <c r="AQ166" s="126" t="n"/>
      <c r="AR166" s="13">
        <f>AVERAGE(AO164:AO170)</f>
        <v/>
      </c>
      <c r="AS166" s="15">
        <f>IF(ISNUMBER([2]HRT_SRT!R220),[2]HRT_SRT!R220,"")</f>
        <v/>
      </c>
      <c r="AT166" s="156">
        <f>(E166-W166)/E166</f>
        <v/>
      </c>
      <c r="AU166" s="155">
        <f>(I166-AF166)/I166</f>
        <v/>
      </c>
      <c r="AV166" s="155">
        <f>AG166/(AD166-AF166)</f>
        <v/>
      </c>
      <c r="AW166" s="155">
        <f>(G166-AM166)/G166</f>
        <v/>
      </c>
      <c r="AX166" s="254">
        <f>IF(AND(ISNUMBER(E166),ISNUMBER(W166)),E166-W166,"")</f>
        <v/>
      </c>
      <c r="AY166" s="254">
        <f>IF(AND(ISNUMBER(I166),ISNUMBER(AF166)),I166-AF166,"")</f>
        <v/>
      </c>
      <c r="AZ166" s="254">
        <f>IF(AND(ISNUMBER(AM166),ISNUMBER(G166)),G166-AM166,"")</f>
        <v/>
      </c>
      <c r="BA166" s="254">
        <f>IF(AND(ISNUMBER(AC166),ISNUMBER(AE166)),AC166-AE166,"")</f>
        <v/>
      </c>
      <c r="BB166" s="254">
        <f>IF(AND(ISNUMBER(AL166),ISNUMBER(AM166)),AL166-AM166,"")</f>
        <v/>
      </c>
      <c r="BC166" s="123">
        <f>IF(AND($E166&gt;0,$W166&gt;0),IF(($E166-$W166)/$E166&gt;0,($E166-$W166)/$E166,0),"")</f>
        <v/>
      </c>
      <c r="BD166" s="123">
        <f>IF(AND($I166&gt;0,$AF166&gt;=0),IF(($I166-$AF166)/$I166&gt;0,($I166-$AF166)/$I166,0),"")</f>
        <v/>
      </c>
      <c r="BE166" s="123">
        <f>IF(AND($AG166&gt;=0,$AD166&gt;=0,$AF166&gt;=0),IF($AG166/($AD166-$AF166)&gt;0,$AG166/($AD166-$AF166),0),"")</f>
        <v/>
      </c>
      <c r="BF166" s="123">
        <f>IF(AND($G166&gt;0,$AM166&gt;0),IF(($G166-$AM166)/$G166&gt;0,($G166-$AM166)/$G166,0),"")</f>
        <v/>
      </c>
      <c r="BG166" s="6">
        <f>IF((AD166-AF166)/(AJ166/60)&lt;=0,"",(AD166-AF166)/(AJ166/60))</f>
        <v/>
      </c>
      <c r="BH166" s="6">
        <f>IF(OR(AJ166=0,AP166=0,NOT(ISNUMBER(AD166)),NOT(ISNUMBER(AF166)),NOT(ISNUMBER(AJ166)),NOT(ISNUMBER(AP166))),"",
IFERROR(IF((AD166-AF166)/(AJ166/60)/(AP166/1000)&lt;=0,"",(AD166-AF166)/(AJ166/60)/(AP166/1000)),""))</f>
        <v/>
      </c>
    </row>
    <row r="167" ht="13.35" customHeight="1">
      <c r="B167" t="n">
        <v>-77</v>
      </c>
      <c r="C167" s="112" t="n"/>
      <c r="D167" s="94" t="n">
        <v>45427</v>
      </c>
      <c r="E167" s="128" t="n"/>
      <c r="F167" s="136" t="n">
        <v>162</v>
      </c>
      <c r="G167" s="205">
        <f>IF(OR(S167="",S167=0),"",S167*2)</f>
        <v/>
      </c>
      <c r="I167" s="15">
        <f>(N167*19-H167*19)/9</f>
        <v/>
      </c>
      <c r="J167" s="6" t="n">
        <v>9.58</v>
      </c>
      <c r="K167" s="15">
        <f>AD167</f>
        <v/>
      </c>
      <c r="M167" s="10">
        <f>IF(OR(E167="",G167="",E167=0,G167=0),"",E167/G167)</f>
        <v/>
      </c>
      <c r="N167" s="9">
        <f>IF(OR(E167="",I167="",E167=0,I167=0),"",E167/(I167*2))</f>
        <v/>
      </c>
      <c r="O167" s="8">
        <f>IF(OR(I167="",G167="",I167=0,G167=0),"",I167*2/G167)</f>
        <v/>
      </c>
      <c r="P167" s="7" t="n">
        <v>21.7</v>
      </c>
      <c r="Q167" s="6" t="n">
        <v>80.839</v>
      </c>
      <c r="R167" s="6" t="n">
        <v>15.879</v>
      </c>
      <c r="S167" s="6">
        <f>O167*1.067</f>
        <v/>
      </c>
      <c r="T167" s="6">
        <f>P167*1.514</f>
        <v/>
      </c>
      <c r="U167" s="23">
        <f>P167*1.514+O167*1.067</f>
        <v/>
      </c>
      <c r="V167" s="6" t="n">
        <v>32.3</v>
      </c>
      <c r="Y167" s="6" t="n">
        <v>0</v>
      </c>
      <c r="AD167" s="5" t="n">
        <v>80</v>
      </c>
      <c r="AE167" s="7">
        <f>T167</f>
        <v/>
      </c>
      <c r="AF167" s="231">
        <f>5*4.96</f>
        <v/>
      </c>
      <c r="AG167" s="231" t="n">
        <v>21.7</v>
      </c>
      <c r="AH167" s="231">
        <f>2*4.96</f>
        <v/>
      </c>
      <c r="AI167" s="67" t="n">
        <v>2.74</v>
      </c>
      <c r="AJ167" s="119" t="n">
        <v>0.4775462962962963</v>
      </c>
      <c r="AL167" s="231" t="n">
        <v>175</v>
      </c>
      <c r="AM167" s="3" t="n">
        <v>180</v>
      </c>
      <c r="AN167" s="4">
        <f>AE167</f>
        <v/>
      </c>
      <c r="AO167" s="231" t="n">
        <v>19</v>
      </c>
      <c r="AP167" s="255">
        <f>360-AK167-AB167</f>
        <v/>
      </c>
      <c r="AQ167" s="126">
        <f>[2]HRT_SRT!P221</f>
        <v/>
      </c>
      <c r="AR167" s="13">
        <f>AVERAGE(AO165:AO171)</f>
        <v/>
      </c>
      <c r="AS167" s="15">
        <f>IF(ISNUMBER([2]HRT_SRT!R221),[2]HRT_SRT!R221,"")</f>
        <v/>
      </c>
      <c r="AT167" s="156">
        <f>(E167-W167)/E167</f>
        <v/>
      </c>
      <c r="AU167" s="155">
        <f>(I167-AF167)/I167</f>
        <v/>
      </c>
      <c r="AV167" s="155">
        <f>AG167/(AD167-AF167)</f>
        <v/>
      </c>
      <c r="AW167" s="155">
        <f>(G167-AM167)/G167</f>
        <v/>
      </c>
      <c r="AX167" s="254">
        <f>IF(AND(ISNUMBER(E167),ISNUMBER(W167)),E167-W167,"")</f>
        <v/>
      </c>
      <c r="AY167" s="254">
        <f>IF(AND(ISNUMBER(I167),ISNUMBER(AF167)),I167-AF167,"")</f>
        <v/>
      </c>
      <c r="AZ167" s="254">
        <f>IF(AND(ISNUMBER(AM167),ISNUMBER(G167)),G167-AM167,"")</f>
        <v/>
      </c>
      <c r="BA167" s="254">
        <f>IF(AND(ISNUMBER(AC167),ISNUMBER(AE167)),AC167-AE167,"")</f>
        <v/>
      </c>
      <c r="BB167" s="254">
        <f>IF(AND(ISNUMBER(AL167),ISNUMBER(AM167)),AL167-AM167,"")</f>
        <v/>
      </c>
      <c r="BC167" s="123">
        <f>IF(AND($E167&gt;0,$W167&gt;0),IF(($E167-$W167)/$E167&gt;0,($E167-$W167)/$E167,0),"")</f>
        <v/>
      </c>
      <c r="BD167" s="123">
        <f>IF(AND($I167&gt;0,$AF167&gt;=0),IF(($I167-$AF167)/$I167&gt;0,($I167-$AF167)/$I167,0),"")</f>
        <v/>
      </c>
      <c r="BE167" s="123">
        <f>IF(AND($AG167&gt;=0,$AD167&gt;=0,$AF167&gt;=0),IF($AG167/($AD167-$AF167)&gt;0,$AG167/($AD167-$AF167),0),"")</f>
        <v/>
      </c>
      <c r="BF167" s="123">
        <f>IF(AND($G167&gt;0,$AM167&gt;0),IF(($G167-$AM167)/$G167&gt;0,($G167-$AM167)/$G167,0),"")</f>
        <v/>
      </c>
      <c r="BG167" s="6">
        <f>IF((AD167-AF167)/(AJ167/60)&lt;=0,"",(AD167-AF167)/(AJ167/60))</f>
        <v/>
      </c>
      <c r="BH167" s="6">
        <f>IF(OR(AJ167=0,AP167=0,NOT(ISNUMBER(AD167)),NOT(ISNUMBER(AF167)),NOT(ISNUMBER(AJ167)),NOT(ISNUMBER(AP167))),"",
IFERROR(IF((AD167-AF167)/(AJ167/60)/(AP167/1000)&lt;=0,"",(AD167-AF167)/(AJ167/60)/(AP167/1000)),""))</f>
        <v/>
      </c>
    </row>
    <row r="168" ht="15.75" customHeight="1">
      <c r="B168" t="n">
        <v>-76</v>
      </c>
      <c r="D168" s="94" t="n">
        <v>45428</v>
      </c>
      <c r="E168" s="128" t="n"/>
      <c r="F168" s="3" t="n">
        <v>163</v>
      </c>
      <c r="G168" s="205">
        <f>IF(OR(S168="",S168=0),"",S168*2)</f>
        <v/>
      </c>
      <c r="I168" s="15">
        <f>(N168*19-H168*19)/9</f>
        <v/>
      </c>
      <c r="J168" s="9">
        <f>26.2/2</f>
        <v/>
      </c>
      <c r="K168" s="15">
        <f>AD168</f>
        <v/>
      </c>
      <c r="M168" s="10">
        <f>IF(OR(E168="",G168="",E168=0,G168=0),"",E168/G168)</f>
        <v/>
      </c>
      <c r="N168" s="9">
        <f>IF(OR(E168="",I168="",E168=0,I168=0),"",E168/(I168*2))</f>
        <v/>
      </c>
      <c r="O168" s="8">
        <f>IF(OR(I168="",G168="",I168=0,G168=0),"",I168*2/G168)</f>
        <v/>
      </c>
      <c r="P168" s="7" t="n">
        <v>32.9</v>
      </c>
      <c r="Q168" s="6" t="n">
        <v>51.12</v>
      </c>
      <c r="R168" s="6" t="n">
        <v>15.722</v>
      </c>
      <c r="S168" s="6">
        <f>O168*1.067</f>
        <v/>
      </c>
      <c r="T168" s="6">
        <f>P168*1.514</f>
        <v/>
      </c>
      <c r="U168" s="23">
        <f>P168*1.514+O168*1.067</f>
        <v/>
      </c>
      <c r="Y168" s="6" t="n">
        <v>0</v>
      </c>
      <c r="Z168" s="6" t="n">
        <v>7.74</v>
      </c>
      <c r="AD168" s="5" t="n">
        <v>80</v>
      </c>
      <c r="AE168" s="7">
        <f>T168</f>
        <v/>
      </c>
      <c r="AF168" s="162">
        <f>5*4.96</f>
        <v/>
      </c>
      <c r="AG168" s="231" t="n">
        <v>28.9</v>
      </c>
      <c r="AH168" s="231">
        <f>5*3.02</f>
        <v/>
      </c>
      <c r="AI168" s="98" t="n">
        <v>1.61</v>
      </c>
      <c r="AJ168" s="119" t="n">
        <v>0.4771990740740741</v>
      </c>
      <c r="AL168" s="231" t="n">
        <v>175</v>
      </c>
      <c r="AM168" s="3" t="n">
        <v>180</v>
      </c>
      <c r="AN168" s="4">
        <f>AE168</f>
        <v/>
      </c>
      <c r="AO168" s="231" t="n">
        <v>26.2</v>
      </c>
      <c r="AP168" s="255">
        <f>360-AK168-AB168</f>
        <v/>
      </c>
      <c r="AQ168" s="126" t="n"/>
      <c r="AR168" s="13">
        <f>AVERAGE(AO166:AO172)</f>
        <v/>
      </c>
      <c r="AS168" s="15">
        <f>IF(ISNUMBER([2]HRT_SRT!R222),[2]HRT_SRT!R222,"")</f>
        <v/>
      </c>
      <c r="AT168" s="156">
        <f>(E168-W168)/E168</f>
        <v/>
      </c>
      <c r="AU168" s="155">
        <f>(I168-AF168)/I168</f>
        <v/>
      </c>
      <c r="AV168" s="155">
        <f>AG168/(AD168-AF168)</f>
        <v/>
      </c>
      <c r="AW168" s="155">
        <f>(G168-AM168)/G168</f>
        <v/>
      </c>
      <c r="AX168" s="254">
        <f>IF(AND(ISNUMBER(E168),ISNUMBER(W168)),E168-W168,"")</f>
        <v/>
      </c>
      <c r="AY168" s="254">
        <f>IF(AND(ISNUMBER(I168),ISNUMBER(AF168)),I168-AF168,"")</f>
        <v/>
      </c>
      <c r="AZ168" s="254">
        <f>IF(AND(ISNUMBER(AM168),ISNUMBER(G168)),G168-AM168,"")</f>
        <v/>
      </c>
      <c r="BA168" s="254">
        <f>IF(AND(ISNUMBER(AC168),ISNUMBER(AE168)),AC168-AE168,"")</f>
        <v/>
      </c>
      <c r="BB168" s="254">
        <f>IF(AND(ISNUMBER(AL168),ISNUMBER(AM168)),AL168-AM168,"")</f>
        <v/>
      </c>
      <c r="BC168" s="123">
        <f>IF(AND($E168&gt;0,$W168&gt;0),IF(($E168-$W168)/$E168&gt;0,($E168-$W168)/$E168,0),"")</f>
        <v/>
      </c>
      <c r="BD168" s="123">
        <f>IF(AND($I168&gt;0,$AF168&gt;=0),IF(($I168-$AF168)/$I168&gt;0,($I168-$AF168)/$I168,0),"")</f>
        <v/>
      </c>
      <c r="BE168" s="123">
        <f>IF(AND($AG168&gt;=0,$AD168&gt;=0,$AF168&gt;=0),IF($AG168/($AD168-$AF168)&gt;0,$AG168/($AD168-$AF168),0),"")</f>
        <v/>
      </c>
      <c r="BF168" s="123">
        <f>IF(AND($G168&gt;0,$AM168&gt;0),IF(($G168-$AM168)/$G168&gt;0,($G168-$AM168)/$G168,0),"")</f>
        <v/>
      </c>
      <c r="BG168" s="6">
        <f>IF((AD168-AF168)/(AJ168/60)&lt;=0,"",(AD168-AF168)/(AJ168/60))</f>
        <v/>
      </c>
      <c r="BH168" s="6">
        <f>IF(OR(AJ168=0,AP168=0,NOT(ISNUMBER(AD168)),NOT(ISNUMBER(AF168)),NOT(ISNUMBER(AJ168)),NOT(ISNUMBER(AP168))),"",
IFERROR(IF((AD168-AF168)/(AJ168/60)/(AP168/1000)&lt;=0,"",(AD168-AF168)/(AJ168/60)/(AP168/1000)),""))</f>
        <v/>
      </c>
    </row>
    <row r="169" ht="15.75" customHeight="1">
      <c r="B169" t="n">
        <v>-75</v>
      </c>
      <c r="D169" s="94" t="n">
        <v>45429</v>
      </c>
      <c r="E169" s="128" t="n"/>
      <c r="F169" s="3" t="n">
        <v>164</v>
      </c>
      <c r="G169" s="205">
        <f>IF(OR(S169="",S169=0),"",S169*2)</f>
        <v/>
      </c>
      <c r="I169" s="15">
        <f>(N169*19-H169*19)/9</f>
        <v/>
      </c>
      <c r="J169" s="9" t="n">
        <v>19.4</v>
      </c>
      <c r="K169" s="15">
        <f>AD169</f>
        <v/>
      </c>
      <c r="M169" s="10">
        <f>IF(OR(E169="",G169="",E169=0,G169=0),"",E169/G169)</f>
        <v/>
      </c>
      <c r="N169" s="9">
        <f>IF(OR(E169="",I169="",E169=0,I169=0),"",E169/(I169*2))</f>
        <v/>
      </c>
      <c r="O169" s="8">
        <f>IF(OR(I169="",G169="",I169=0,G169=0),"",I169*2/G169)</f>
        <v/>
      </c>
      <c r="P169" s="7" t="n">
        <v>31.8</v>
      </c>
      <c r="Q169" s="6" t="n">
        <v>73.193</v>
      </c>
      <c r="R169" s="6" t="n">
        <v>20.83</v>
      </c>
      <c r="S169" s="6">
        <f>O169*1.067</f>
        <v/>
      </c>
      <c r="T169" s="6">
        <f>P169*1.514</f>
        <v/>
      </c>
      <c r="U169" s="23">
        <f>P169*1.514+O169*1.067</f>
        <v/>
      </c>
      <c r="V169" s="6" t="n">
        <v>38.5</v>
      </c>
      <c r="Y169">
        <f>5.719+5.629</f>
        <v/>
      </c>
      <c r="AD169" s="5" t="n">
        <v>80</v>
      </c>
      <c r="AE169" s="7">
        <f>T169</f>
        <v/>
      </c>
      <c r="AF169" s="231">
        <f>5*5.46</f>
        <v/>
      </c>
      <c r="AG169" s="231" t="n">
        <v>31.1</v>
      </c>
      <c r="AH169" s="231">
        <f>5*3.3</f>
        <v/>
      </c>
      <c r="AI169" s="98" t="n">
        <v>1.28</v>
      </c>
      <c r="AJ169" s="119" t="n">
        <v>0.4775462962962963</v>
      </c>
      <c r="AL169" s="231" t="n">
        <v>175</v>
      </c>
      <c r="AM169" s="3" t="n">
        <v>180</v>
      </c>
      <c r="AN169" s="4">
        <f>AE169</f>
        <v/>
      </c>
      <c r="AO169" s="231" t="n">
        <v>30</v>
      </c>
      <c r="AP169" s="255">
        <f>360-AK169-AB169</f>
        <v/>
      </c>
      <c r="AQ169" s="126" t="n"/>
      <c r="AR169" s="13">
        <f>AVERAGE(AO167:AO173)</f>
        <v/>
      </c>
      <c r="AS169" s="15">
        <f>IF(ISNUMBER([2]HRT_SRT!R223),[2]HRT_SRT!R223,"")</f>
        <v/>
      </c>
      <c r="AT169" s="156">
        <f>(E169-W169)/E169</f>
        <v/>
      </c>
      <c r="AU169" s="155">
        <f>(I169-AF169)/I169</f>
        <v/>
      </c>
      <c r="AV169" s="155">
        <f>AG169/(AD169-AF169)</f>
        <v/>
      </c>
      <c r="AW169" s="155">
        <f>(G169-AM169)/G169</f>
        <v/>
      </c>
      <c r="AX169" s="254">
        <f>IF(AND(ISNUMBER(E169),ISNUMBER(W169)),E169-W169,"")</f>
        <v/>
      </c>
      <c r="AY169" s="254">
        <f>IF(AND(ISNUMBER(I169),ISNUMBER(AF169)),I169-AF169,"")</f>
        <v/>
      </c>
      <c r="AZ169" s="254">
        <f>IF(AND(ISNUMBER(AM169),ISNUMBER(G169)),G169-AM169,"")</f>
        <v/>
      </c>
      <c r="BA169" s="254">
        <f>IF(AND(ISNUMBER(AC169),ISNUMBER(AE169)),AC169-AE169,"")</f>
        <v/>
      </c>
      <c r="BB169" s="254">
        <f>IF(AND(ISNUMBER(AL169),ISNUMBER(AM169)),AL169-AM169,"")</f>
        <v/>
      </c>
      <c r="BC169" s="123">
        <f>IF(AND($E169&gt;0,$W169&gt;0),IF(($E169-$W169)/$E169&gt;0,($E169-$W169)/$E169,0),"")</f>
        <v/>
      </c>
      <c r="BD169" s="123">
        <f>IF(AND($I169&gt;0,$AF169&gt;=0),IF(($I169-$AF169)/$I169&gt;0,($I169-$AF169)/$I169,0),"")</f>
        <v/>
      </c>
      <c r="BE169" s="123">
        <f>IF(AND($AG169&gt;=0,$AD169&gt;=0,$AF169&gt;=0),IF($AG169/($AD169-$AF169)&gt;0,$AG169/($AD169-$AF169),0),"")</f>
        <v/>
      </c>
      <c r="BF169" s="123">
        <f>IF(AND($G169&gt;0,$AM169&gt;0),IF(($G169-$AM169)/$G169&gt;0,($G169-$AM169)/$G169,0),"")</f>
        <v/>
      </c>
      <c r="BG169" s="6">
        <f>IF((AD169-AF169)/(AJ169/60)&lt;=0,"",(AD169-AF169)/(AJ169/60))</f>
        <v/>
      </c>
      <c r="BH169" s="6">
        <f>IF(OR(AJ169=0,AP169=0,NOT(ISNUMBER(AD169)),NOT(ISNUMBER(AF169)),NOT(ISNUMBER(AJ169)),NOT(ISNUMBER(AP169))),"",
IFERROR(IF((AD169-AF169)/(AJ169/60)/(AP169/1000)&lt;=0,"",(AD169-AF169)/(AJ169/60)/(AP169/1000)),""))</f>
        <v/>
      </c>
    </row>
    <row r="170" ht="15.75" customHeight="1">
      <c r="B170" t="n">
        <v>-74</v>
      </c>
      <c r="D170" s="94" t="n">
        <v>45430</v>
      </c>
      <c r="E170" s="128" t="n"/>
      <c r="F170" s="3" t="n">
        <v>165</v>
      </c>
      <c r="G170" s="205">
        <f>IF(OR(S170="",S170=0),"",S170*2)</f>
        <v/>
      </c>
      <c r="I170" s="15">
        <f>(N170*19-H170*19)/9</f>
        <v/>
      </c>
      <c r="J170" s="9">
        <f>AM170/2</f>
        <v/>
      </c>
      <c r="K170" s="15">
        <f>AD170</f>
        <v/>
      </c>
      <c r="M170" s="10">
        <f>IF(OR(E170="",G170="",E170=0,G170=0),"",E170/G170)</f>
        <v/>
      </c>
      <c r="N170" s="9">
        <f>IF(OR(E170="",I170="",E170=0,I170=0),"",E170/(I170*2))</f>
        <v/>
      </c>
      <c r="O170" s="8">
        <f>IF(OR(I170="",G170="",I170=0,G170=0),"",I170*2/G170)</f>
        <v/>
      </c>
      <c r="P170" s="7" t="n">
        <v>30.9</v>
      </c>
      <c r="Z170" s="6" t="n">
        <v>5.93</v>
      </c>
      <c r="AD170" s="5" t="n">
        <v>80</v>
      </c>
      <c r="AF170" s="162">
        <f>(AD169*2/3+AD172*1/3)</f>
        <v/>
      </c>
      <c r="AI170" s="98" t="n">
        <v>1.23</v>
      </c>
      <c r="AJ170" s="119" t="n">
        <v>0.4775462962962963</v>
      </c>
      <c r="AL170" s="231" t="n">
        <v>175</v>
      </c>
      <c r="AM170" s="3" t="n">
        <v>180</v>
      </c>
      <c r="AO170" s="231" t="n">
        <v>28.7</v>
      </c>
      <c r="AP170" s="255">
        <f>360-AK170-AB170</f>
        <v/>
      </c>
      <c r="AQ170" s="126" t="n"/>
      <c r="AR170" s="13">
        <f>AVERAGE(AO168:AO174)</f>
        <v/>
      </c>
      <c r="AS170" s="15">
        <f>IF(ISNUMBER([2]HRT_SRT!R224),[2]HRT_SRT!R224,"")</f>
        <v/>
      </c>
      <c r="AT170" s="156" t="n"/>
      <c r="AU170" s="155">
        <f>(I170-AF170)/I170</f>
        <v/>
      </c>
      <c r="AV170" s="155">
        <f>AG170/(AD170-AF170)</f>
        <v/>
      </c>
      <c r="AW170" s="155">
        <f>(G170-AM170)/G170</f>
        <v/>
      </c>
      <c r="AX170" s="254">
        <f>IF(AND(ISNUMBER(E170),ISNUMBER(W170)),E170-W170,"")</f>
        <v/>
      </c>
      <c r="AY170" s="254">
        <f>IF(AND(ISNUMBER(I170),ISNUMBER(AF170)),I170-AF170,"")</f>
        <v/>
      </c>
      <c r="AZ170" s="254">
        <f>IF(AND(ISNUMBER(AM170),ISNUMBER(G170)),G170-AM170,"")</f>
        <v/>
      </c>
      <c r="BA170" s="254">
        <f>IF(AND(ISNUMBER(AC170),ISNUMBER(AE170)),AC170-AE170,"")</f>
        <v/>
      </c>
      <c r="BB170" s="254">
        <f>IF(AND(ISNUMBER(AL170),ISNUMBER(AM170)),AL170-AM170,"")</f>
        <v/>
      </c>
      <c r="BC170" s="123">
        <f>IF(AND($E170&gt;0,$W170&gt;0),IF(($E170-$W170)/$E170&gt;0,($E170-$W170)/$E170,0),"")</f>
        <v/>
      </c>
      <c r="BD170" s="123">
        <f>IF(AND($I170&gt;0,$AF170&gt;=0),IF(($I170-$AF170)/$I170&gt;0,($I170-$AF170)/$I170,0),"")</f>
        <v/>
      </c>
      <c r="BE170" s="123">
        <f>IF(AND($AG170&gt;=0,$AD170&gt;=0,$AF170&gt;=0),IF($AG170/($AD170-$AF170)&gt;0,$AG170/($AD170-$AF170),0),"")</f>
        <v/>
      </c>
      <c r="BF170" s="123">
        <f>IF(AND($G170&gt;0,$AM170&gt;0),IF(($G170-$AM170)/$G170&gt;0,($G170-$AM170)/$G170,0),"")</f>
        <v/>
      </c>
      <c r="BG170" s="6">
        <f>IF((AD170-AF170)/(AJ170/60)&lt;=0,"",(AD170-AF170)/(AJ170/60))</f>
        <v/>
      </c>
      <c r="BH170" s="6">
        <f>IF(OR(AJ170=0,AP170=0,NOT(ISNUMBER(AD170)),NOT(ISNUMBER(AF170)),NOT(ISNUMBER(AJ170)),NOT(ISNUMBER(AP170))),"",
IFERROR(IF((AD170-AF170)/(AJ170/60)/(AP170/1000)&lt;=0,"",(AD170-AF170)/(AJ170/60)/(AP170/1000)),""))</f>
        <v/>
      </c>
    </row>
    <row r="171" ht="15.75" customHeight="1">
      <c r="B171" t="n">
        <v>-73</v>
      </c>
      <c r="D171" s="94" t="n">
        <v>45431</v>
      </c>
      <c r="E171" s="128" t="n"/>
      <c r="F171" s="3" t="n">
        <v>166</v>
      </c>
      <c r="G171" s="205">
        <f>IF(OR(S171="",S171=0),"",S171*2)</f>
        <v/>
      </c>
      <c r="I171" s="163" t="n">
        <v>26.17777777777779</v>
      </c>
      <c r="K171" s="15">
        <f>AD171</f>
        <v/>
      </c>
      <c r="M171" s="10">
        <f>IF(OR(E171="",G171="",E171=0,G171=0),"",E171/G171)</f>
        <v/>
      </c>
      <c r="N171" s="9">
        <f>IF(OR(E171="",I171="",E171=0,I171=0),"",E171/(I171*2))</f>
        <v/>
      </c>
      <c r="O171" s="8">
        <f>IF(OR(I171="",G171="",I171=0,G171=0),"",I171*2/G171)</f>
        <v/>
      </c>
      <c r="Z171" s="6" t="n">
        <v>8.02</v>
      </c>
      <c r="AD171" s="5" t="n">
        <v>80</v>
      </c>
      <c r="AF171" s="162">
        <f>(AD169*1/3+AD172*2/3)</f>
        <v/>
      </c>
      <c r="AH171" s="231">
        <f>5*2.73</f>
        <v/>
      </c>
      <c r="AI171" s="98" t="n">
        <v>1.19</v>
      </c>
      <c r="AJ171" s="119" t="n">
        <v>0.4775462962962963</v>
      </c>
      <c r="AL171" s="231" t="n">
        <v>175</v>
      </c>
      <c r="AM171" s="3" t="n">
        <v>180</v>
      </c>
      <c r="AO171" s="231" t="n">
        <v>20.7</v>
      </c>
      <c r="AP171" s="255">
        <f>360-AK171-AB171</f>
        <v/>
      </c>
      <c r="AQ171" s="126" t="n"/>
      <c r="AR171" s="13">
        <f>AVERAGE(AO169:AO175)</f>
        <v/>
      </c>
      <c r="AS171" s="15">
        <f>IF(ISNUMBER([2]HRT_SRT!R225),[2]HRT_SRT!R225,"")</f>
        <v/>
      </c>
      <c r="AT171" s="156" t="n"/>
      <c r="AU171" s="155">
        <f>(I171-AF171)/I171</f>
        <v/>
      </c>
      <c r="AV171" s="155">
        <f>AG171/(AD171-AF171)</f>
        <v/>
      </c>
      <c r="AW171" s="155">
        <f>(G171-AM171)/G171</f>
        <v/>
      </c>
      <c r="AX171" s="254">
        <f>IF(AND(ISNUMBER(E171),ISNUMBER(W171)),E171-W171,"")</f>
        <v/>
      </c>
      <c r="AY171" s="254">
        <f>IF(AND(ISNUMBER(I171),ISNUMBER(AF171)),I171-AF171,"")</f>
        <v/>
      </c>
      <c r="AZ171" s="254">
        <f>IF(AND(ISNUMBER(AM171),ISNUMBER(G171)),G171-AM171,"")</f>
        <v/>
      </c>
      <c r="BA171" s="254">
        <f>IF(AND(ISNUMBER(AC171),ISNUMBER(AE171)),AC171-AE171,"")</f>
        <v/>
      </c>
      <c r="BB171" s="254">
        <f>IF(AND(ISNUMBER(AL171),ISNUMBER(AM171)),AL171-AM171,"")</f>
        <v/>
      </c>
      <c r="BC171" s="123">
        <f>IF(AND($E171&gt;0,$W171&gt;0),IF(($E171-$W171)/$E171&gt;0,($E171-$W171)/$E171,0),"")</f>
        <v/>
      </c>
      <c r="BD171" s="123">
        <f>IF(AND($I171&gt;0,$AF171&gt;=0),IF(($I171-$AF171)/$I171&gt;0,($I171-$AF171)/$I171,0),"")</f>
        <v/>
      </c>
      <c r="BE171" s="123">
        <f>IF(AND($AG171&gt;=0,$AD171&gt;=0,$AF171&gt;=0),IF($AG171/($AD171-$AF171)&gt;0,$AG171/($AD171-$AF171),0),"")</f>
        <v/>
      </c>
      <c r="BF171" s="123">
        <f>IF(AND($G171&gt;0,$AM171&gt;0),IF(($G171-$AM171)/$G171&gt;0,($G171-$AM171)/$G171,0),"")</f>
        <v/>
      </c>
      <c r="BG171" s="6">
        <f>IF((AD171-AF171)/(AJ171/60)&lt;=0,"",(AD171-AF171)/(AJ171/60))</f>
        <v/>
      </c>
      <c r="BH171" s="6">
        <f>IF(OR(AJ171=0,AP171=0,NOT(ISNUMBER(AD171)),NOT(ISNUMBER(AF171)),NOT(ISNUMBER(AJ171)),NOT(ISNUMBER(AP171))),"",
IFERROR(IF((AD171-AF171)/(AJ171/60)/(AP171/1000)&lt;=0,"",(AD171-AF171)/(AJ171/60)/(AP171/1000)),""))</f>
        <v/>
      </c>
    </row>
    <row r="172" ht="15.75" customHeight="1">
      <c r="B172" t="n">
        <v>-72</v>
      </c>
      <c r="D172" s="94" t="n">
        <v>45432</v>
      </c>
      <c r="E172" s="128" t="n"/>
      <c r="F172" s="3" t="n">
        <v>167</v>
      </c>
      <c r="G172" s="205">
        <f>IF(OR(S172="",S172=0),"",S172*2)</f>
        <v/>
      </c>
      <c r="I172" s="15">
        <f>(N172*19-H172*19)/9</f>
        <v/>
      </c>
      <c r="J172" s="9" t="n">
        <v>23</v>
      </c>
      <c r="K172" s="15">
        <f>AD172</f>
        <v/>
      </c>
      <c r="M172" s="10">
        <f>IF(OR(E172="",G172="",E172=0,G172=0),"",E172/G172)</f>
        <v/>
      </c>
      <c r="N172" s="9">
        <f>IF(OR(E172="",I172="",E172=0,I172=0),"",E172/(I172*2))</f>
        <v/>
      </c>
      <c r="O172" s="8">
        <f>IF(OR(I172="",G172="",I172=0,G172=0),"",I172*2/G172)</f>
        <v/>
      </c>
      <c r="P172" s="7" t="n">
        <v>36.8</v>
      </c>
      <c r="Q172" s="6" t="n">
        <v>70.434</v>
      </c>
      <c r="R172" s="6" t="n">
        <v>16.18</v>
      </c>
      <c r="S172" s="6">
        <f>O172*1.067</f>
        <v/>
      </c>
      <c r="T172" s="6">
        <f>P172*1.514</f>
        <v/>
      </c>
      <c r="U172" s="23">
        <f>P172*1.514+O172*1.067</f>
        <v/>
      </c>
      <c r="V172" s="6" t="n">
        <v>39</v>
      </c>
      <c r="Y172" s="6">
        <f>1.063+0.762</f>
        <v/>
      </c>
      <c r="AD172" s="5" t="n">
        <v>80</v>
      </c>
      <c r="AE172" s="7">
        <f>T172</f>
        <v/>
      </c>
      <c r="AF172" s="231">
        <f>5*4.97</f>
        <v/>
      </c>
      <c r="AG172" s="231" t="n">
        <v>31.4</v>
      </c>
      <c r="AH172" s="231">
        <f>5*2.79</f>
        <v/>
      </c>
      <c r="AI172" s="98" t="n">
        <v>1.41</v>
      </c>
      <c r="AJ172" s="119" t="n">
        <v>0.4784722222222222</v>
      </c>
      <c r="AL172" s="231" t="n">
        <v>175</v>
      </c>
      <c r="AM172" s="3" t="n">
        <v>180</v>
      </c>
      <c r="AN172" s="4">
        <f>AE172</f>
        <v/>
      </c>
      <c r="AO172" s="231" t="n">
        <v>30.6</v>
      </c>
      <c r="AP172" s="255">
        <f>360-AK172-AB172</f>
        <v/>
      </c>
      <c r="AQ172" s="126" t="n"/>
      <c r="AR172" s="13">
        <f>AVERAGE(AO170:AO176)</f>
        <v/>
      </c>
      <c r="AS172" s="15">
        <f>IF(ISNUMBER([2]HRT_SRT!R226),[2]HRT_SRT!R226,"")</f>
        <v/>
      </c>
      <c r="AT172" s="156">
        <f>(E172-W172)/E172</f>
        <v/>
      </c>
      <c r="AU172" s="155">
        <f>(I172-AF172)/I172</f>
        <v/>
      </c>
      <c r="AV172" s="155">
        <f>AG172/(AD172-AF172)</f>
        <v/>
      </c>
      <c r="AW172" s="155">
        <f>(G172-AM172)/G172</f>
        <v/>
      </c>
      <c r="AX172" s="254">
        <f>IF(AND(ISNUMBER(E172),ISNUMBER(W172)),E172-W172,"")</f>
        <v/>
      </c>
      <c r="AY172" s="254">
        <f>IF(AND(ISNUMBER(I172),ISNUMBER(AF172)),I172-AF172,"")</f>
        <v/>
      </c>
      <c r="AZ172" s="254">
        <f>IF(AND(ISNUMBER(AM172),ISNUMBER(G172)),G172-AM172,"")</f>
        <v/>
      </c>
      <c r="BA172" s="254">
        <f>IF(AND(ISNUMBER(AC172),ISNUMBER(AE172)),AC172-AE172,"")</f>
        <v/>
      </c>
      <c r="BB172" s="254">
        <f>IF(AND(ISNUMBER(AL172),ISNUMBER(AM172)),AL172-AM172,"")</f>
        <v/>
      </c>
      <c r="BC172" s="157">
        <f>IF(AND($E172&gt;0,$W172&gt;0),IF(($E172-$W172)/$E172&gt;0,($E172-$W172)/$E172,0),"")</f>
        <v/>
      </c>
      <c r="BD172" s="157">
        <f>IF(AND($I172&gt;0,$AF172&gt;=0),IF(($I172-$AF172)/$I172&gt;0,($I172-$AF172)/$I172,0),"")</f>
        <v/>
      </c>
      <c r="BE172" s="157">
        <f>IF(AND($AG172&gt;=0,$AD172&gt;=0,$AF172&gt;=0),IF($AG172/($AD172-$AF172)&gt;0,$AG172/($AD172-$AF172),0),"")</f>
        <v/>
      </c>
      <c r="BF172" s="157">
        <f>IF(AND($G172&gt;0,$AM172&gt;0),IF(($G172-$AM172)/$G172&gt;0,($G172-$AM172)/$G172,0),"")</f>
        <v/>
      </c>
      <c r="BG172" s="6">
        <f>IF((AD172-AF172)/(AJ172/60)&lt;=0,"",(AD172-AF172)/(AJ172/60))</f>
        <v/>
      </c>
      <c r="BH172" s="6">
        <f>IF(OR(AJ172=0,AP172=0,NOT(ISNUMBER(AD172)),NOT(ISNUMBER(AF172)),NOT(ISNUMBER(AJ172)),NOT(ISNUMBER(AP172))),"",
IFERROR(IF((AD172-AF172)/(AJ172/60)/(AP172/1000)&lt;=0,"",(AD172-AF172)/(AJ172/60)/(AP172/1000)),""))</f>
        <v/>
      </c>
    </row>
    <row r="173" ht="15.75" customHeight="1">
      <c r="B173" t="n">
        <v>-71</v>
      </c>
      <c r="D173" s="94" t="n">
        <v>45433</v>
      </c>
      <c r="E173" s="128" t="n"/>
      <c r="F173" s="3" t="n">
        <v>168</v>
      </c>
      <c r="G173" s="205">
        <f>IF(OR(S173="",S173=0),"",S173*2)</f>
        <v/>
      </c>
      <c r="I173" s="15">
        <f>(N173*18-H173*18)/9</f>
        <v/>
      </c>
      <c r="J173" s="9" t="n">
        <v>23.9</v>
      </c>
      <c r="K173" s="15">
        <f>AD173</f>
        <v/>
      </c>
      <c r="M173" s="10">
        <f>IF(OR(E173="",G173="",E173=0,G173=0),"",E173/G173)</f>
        <v/>
      </c>
      <c r="N173" s="9">
        <f>IF(OR(E173="",I173="",E173=0,I173=0),"",E173/(I173*2))</f>
        <v/>
      </c>
      <c r="O173" s="8">
        <f>IF(OR(I173="",G173="",I173=0,G173=0),"",I173*2/G173)</f>
        <v/>
      </c>
      <c r="P173" s="7" t="n">
        <v>37.6</v>
      </c>
      <c r="U173" s="164">
        <f>(S172+S174)/2</f>
        <v/>
      </c>
      <c r="V173" s="6" t="n">
        <v>48.6</v>
      </c>
      <c r="Y173" s="6">
        <f>0.737+0.973</f>
        <v/>
      </c>
      <c r="Z173" s="6" t="n">
        <v>8.58</v>
      </c>
      <c r="AD173" s="5" t="n">
        <v>80</v>
      </c>
      <c r="AE173" s="7">
        <f>T173</f>
        <v/>
      </c>
      <c r="AF173" s="231">
        <f>5*5.04</f>
        <v/>
      </c>
      <c r="AG173" s="231" t="n">
        <v>40.3</v>
      </c>
      <c r="AH173" s="231">
        <f>5*2.56</f>
        <v/>
      </c>
      <c r="AI173" s="98" t="n">
        <v>2.68</v>
      </c>
      <c r="AJ173" s="119" t="n">
        <v>0.4780092592592592</v>
      </c>
      <c r="AL173" s="231" t="n">
        <v>175</v>
      </c>
      <c r="AM173" s="3" t="n">
        <v>180</v>
      </c>
      <c r="AN173" s="4">
        <f>AE173</f>
        <v/>
      </c>
      <c r="AO173" s="231" t="n">
        <v>37.2</v>
      </c>
      <c r="AP173" s="255">
        <f>360-AK173-AB173</f>
        <v/>
      </c>
      <c r="AQ173" s="126" t="n"/>
      <c r="AR173" s="13">
        <f>AVERAGE(AO171:AO177)</f>
        <v/>
      </c>
      <c r="AS173" s="15">
        <f>IF(ISNUMBER([2]HRT_SRT!R227),[2]HRT_SRT!R227,"")</f>
        <v/>
      </c>
      <c r="AT173" s="156">
        <f>(E173-W173)/E173</f>
        <v/>
      </c>
      <c r="AU173" s="155">
        <f>(I173-AF173)/I173</f>
        <v/>
      </c>
      <c r="AV173" s="155">
        <f>AG173/(AD173-AF173)</f>
        <v/>
      </c>
      <c r="AW173" s="155">
        <f>(G173-AM173)/G173</f>
        <v/>
      </c>
      <c r="AX173" s="254">
        <f>IF(AND(ISNUMBER(E173),ISNUMBER(W173)),E173-W173,"")</f>
        <v/>
      </c>
      <c r="AY173" s="254">
        <f>IF(AND(ISNUMBER(I173),ISNUMBER(AF173)),I173-AF173,"")</f>
        <v/>
      </c>
      <c r="AZ173" s="254">
        <f>IF(AND(ISNUMBER(AM173),ISNUMBER(G173)),G173-AM173,"")</f>
        <v/>
      </c>
      <c r="BA173" s="254">
        <f>IF(AND(ISNUMBER(AC173),ISNUMBER(AE173)),AC173-AE173,"")</f>
        <v/>
      </c>
      <c r="BB173" s="254">
        <f>IF(AND(ISNUMBER(AL173),ISNUMBER(AM173)),AL173-AM173,"")</f>
        <v/>
      </c>
      <c r="BC173" s="157">
        <f>IF(AND($E173&gt;0,$W173&gt;0),IF(($E173-$W173)/$E173&gt;0,($E173-$W173)/$E173,0),"")</f>
        <v/>
      </c>
      <c r="BD173" s="157">
        <f>IF(AND($I173&gt;0,$AF173&gt;=0),IF(($I173-$AF173)/$I173&gt;0,($I173-$AF173)/$I173,0),"")</f>
        <v/>
      </c>
      <c r="BE173" s="157">
        <f>IF(AND($AG173&gt;=0,$AD173&gt;=0,$AF173&gt;=0),IF($AG173/($AD173-$AF173)&gt;0,$AG173/($AD173-$AF173),0),"")</f>
        <v/>
      </c>
      <c r="BF173" s="157">
        <f>IF(AND($G173&gt;0,$AM173&gt;0),IF(($G173-$AM173)/$G173&gt;0,($G173-$AM173)/$G173,0),"")</f>
        <v/>
      </c>
      <c r="BG173" s="6">
        <f>IF((AD173-AF173)/(AJ173/60)&lt;=0,"",(AD173-AF173)/(AJ173/60))</f>
        <v/>
      </c>
      <c r="BH173" s="6">
        <f>IF(OR(AJ173=0,AP173=0,NOT(ISNUMBER(AD173)),NOT(ISNUMBER(AF173)),NOT(ISNUMBER(AJ173)),NOT(ISNUMBER(AP173))),"",
IFERROR(IF((AD173-AF173)/(AJ173/60)/(AP173/1000)&lt;=0,"",(AD173-AF173)/(AJ173/60)/(AP173/1000)),""))</f>
        <v/>
      </c>
    </row>
    <row r="174" ht="15.75" customHeight="1">
      <c r="B174" t="n">
        <v>-70</v>
      </c>
      <c r="C174" s="12" t="inlineStr">
        <is>
          <t>incycle test</t>
        </is>
      </c>
      <c r="D174" s="94" t="n">
        <v>45434</v>
      </c>
      <c r="E174" s="128" t="n"/>
      <c r="F174" s="136" t="n">
        <v>169</v>
      </c>
      <c r="G174" s="205">
        <f>IF(OR(S174="",S174=0),"",S174*2)</f>
        <v/>
      </c>
      <c r="I174" s="15">
        <f>(N174*18-H174*18)/9</f>
        <v/>
      </c>
      <c r="J174" s="15" t="n">
        <v>16.8</v>
      </c>
      <c r="K174" s="15">
        <f>AD174</f>
        <v/>
      </c>
      <c r="M174" s="10">
        <f>IF(OR(E174="",G174="",E174=0,G174=0),"",E174/G174)</f>
        <v/>
      </c>
      <c r="N174" s="9">
        <f>IF(OR(E174="",I174="",E174=0,I174=0),"",E174/(I174*2))</f>
        <v/>
      </c>
      <c r="O174" s="8">
        <f>IF(OR(I174="",G174="",I174=0,G174=0),"",I174*2/G174)</f>
        <v/>
      </c>
      <c r="P174" s="7" t="n">
        <v>29.7</v>
      </c>
      <c r="Q174" s="6" t="n">
        <v>85.23399999999999</v>
      </c>
      <c r="R174" s="6" t="n">
        <v>18.05</v>
      </c>
      <c r="S174" s="6">
        <f>O174*1.067</f>
        <v/>
      </c>
      <c r="T174" s="6">
        <f>P174*1.514</f>
        <v/>
      </c>
      <c r="U174" s="23">
        <f>P174*1.514+O174*1.067</f>
        <v/>
      </c>
      <c r="V174" s="6" t="n">
        <v>42.9</v>
      </c>
      <c r="Y174" s="6" t="n">
        <v>0</v>
      </c>
      <c r="Z174" s="6" t="n">
        <v>6.03</v>
      </c>
      <c r="AD174" s="5" t="n">
        <v>80</v>
      </c>
      <c r="AE174" s="7">
        <f>T174</f>
        <v/>
      </c>
      <c r="AF174" s="231">
        <f>5*4.96</f>
        <v/>
      </c>
      <c r="AG174" s="231" t="n">
        <v>31.2</v>
      </c>
      <c r="AH174" s="231">
        <f>5*2.25</f>
        <v/>
      </c>
      <c r="AI174" s="98" t="n">
        <v>3.33</v>
      </c>
      <c r="AJ174" s="119" t="n">
        <v>0.478125</v>
      </c>
      <c r="AL174" s="231" t="n">
        <v>175</v>
      </c>
      <c r="AM174" s="3" t="n">
        <v>180</v>
      </c>
      <c r="AN174" s="4">
        <f>AE174</f>
        <v/>
      </c>
      <c r="AO174" s="231" t="n">
        <v>28.2</v>
      </c>
      <c r="AP174" s="255">
        <f>360-AK174-AB174</f>
        <v/>
      </c>
      <c r="AQ174" s="126">
        <f>[2]HRT_SRT!P228</f>
        <v/>
      </c>
      <c r="AR174" s="13">
        <f>AVERAGE(AO172:AO178)</f>
        <v/>
      </c>
      <c r="AS174" s="15">
        <f>IF(ISNUMBER([2]HRT_SRT!R228),[2]HRT_SRT!R228,"")</f>
        <v/>
      </c>
      <c r="AT174" s="156">
        <f>(E174-W174)/E174</f>
        <v/>
      </c>
      <c r="AU174" s="155">
        <f>(I174-AF174)/I174</f>
        <v/>
      </c>
      <c r="AV174" s="155">
        <f>AG174/(AD174-AF174)</f>
        <v/>
      </c>
      <c r="AW174" s="155">
        <f>(G174-AM174)/G174</f>
        <v/>
      </c>
      <c r="AX174" s="254">
        <f>IF(AND(ISNUMBER(E174),ISNUMBER(W174)),E174-W174,"")</f>
        <v/>
      </c>
      <c r="AY174" s="254">
        <f>IF(AND(ISNUMBER(I174),ISNUMBER(AF174)),I174-AF174,"")</f>
        <v/>
      </c>
      <c r="AZ174" s="254">
        <f>IF(AND(ISNUMBER(AM174),ISNUMBER(G174)),G174-AM174,"")</f>
        <v/>
      </c>
      <c r="BA174" s="254">
        <f>IF(AND(ISNUMBER(AC174),ISNUMBER(AE174)),AC174-AE174,"")</f>
        <v/>
      </c>
      <c r="BB174" s="254">
        <f>IF(AND(ISNUMBER(AL174),ISNUMBER(AM174)),AL174-AM174,"")</f>
        <v/>
      </c>
      <c r="BC174" s="157">
        <f>IF(AND($E174&gt;0,$W174&gt;0),IF(($E174-$W174)/$E174&gt;0,($E174-$W174)/$E174,0),"")</f>
        <v/>
      </c>
      <c r="BD174" s="157">
        <f>IF(AND($I174&gt;0,$AF174&gt;=0),IF(($I174-$AF174)/$I174&gt;0,($I174-$AF174)/$I174,0),"")</f>
        <v/>
      </c>
      <c r="BE174" s="157">
        <f>IF(AND($AG174&gt;=0,$AD174&gt;=0,$AF174&gt;=0),IF($AG174/($AD174-$AF174)&gt;0,$AG174/($AD174-$AF174),0),"")</f>
        <v/>
      </c>
      <c r="BF174" s="157">
        <f>IF(AND($G174&gt;0,$AM174&gt;0),IF(($G174-$AM174)/$G174&gt;0,($G174-$AM174)/$G174,0),"")</f>
        <v/>
      </c>
      <c r="BG174" s="6">
        <f>IF((AD174-AF174)/(AJ174/60)&lt;=0,"",(AD174-AF174)/(AJ174/60))</f>
        <v/>
      </c>
      <c r="BH174" s="6">
        <f>IF(OR(AJ174=0,AP174=0,NOT(ISNUMBER(AD174)),NOT(ISNUMBER(AF174)),NOT(ISNUMBER(AJ174)),NOT(ISNUMBER(AP174))),"",
IFERROR(IF((AD174-AF174)/(AJ174/60)/(AP174/1000)&lt;=0,"",(AD174-AF174)/(AJ174/60)/(AP174/1000)),""))</f>
        <v/>
      </c>
    </row>
    <row r="175" ht="15.75" customHeight="1">
      <c r="B175" t="n">
        <v>-69</v>
      </c>
      <c r="D175" s="94" t="n">
        <v>45435</v>
      </c>
      <c r="E175" s="128" t="n"/>
      <c r="F175" s="3" t="n">
        <v>170</v>
      </c>
      <c r="G175" s="205">
        <f>IF(OR(S175="",S175=0),"",S175*2)</f>
        <v/>
      </c>
      <c r="I175" s="163">
        <f>25.8*65/63</f>
        <v/>
      </c>
      <c r="J175" s="15">
        <f>AM175/2</f>
        <v/>
      </c>
      <c r="K175" s="15">
        <f>AD175</f>
        <v/>
      </c>
      <c r="M175" s="10">
        <f>IF(OR(E175="",G175="",E175=0,G175=0),"",E175/G175)</f>
        <v/>
      </c>
      <c r="N175" s="9">
        <f>IF(OR(E175="",I175="",E175=0,I175=0),"",E175/(I175*2))</f>
        <v/>
      </c>
      <c r="O175" s="8">
        <f>IF(OR(I175="",G175="",I175=0,G175=0),"",I175*2/G175)</f>
        <v/>
      </c>
      <c r="P175" s="7" t="n">
        <v>38.1</v>
      </c>
      <c r="V175" s="6" t="n">
        <v>57.1</v>
      </c>
      <c r="Z175" s="6" t="n">
        <v>7.19</v>
      </c>
      <c r="AD175" s="5" t="n">
        <v>80</v>
      </c>
      <c r="AE175" s="7">
        <f>T175</f>
        <v/>
      </c>
      <c r="AF175" s="231">
        <f>5*5.12</f>
        <v/>
      </c>
      <c r="AG175" s="231" t="n">
        <v>39.1</v>
      </c>
      <c r="AH175" s="231">
        <f>5*2.05</f>
        <v/>
      </c>
      <c r="AI175" s="98" t="n">
        <v>3.96</v>
      </c>
      <c r="AJ175" s="119" t="n">
        <v>0.4782407407407407</v>
      </c>
      <c r="AL175" s="231" t="n">
        <v>175</v>
      </c>
      <c r="AM175" s="3" t="n">
        <v>180</v>
      </c>
      <c r="AN175" s="4">
        <f>AE175</f>
        <v/>
      </c>
      <c r="AO175" s="231" t="n">
        <v>36.4</v>
      </c>
      <c r="AP175" s="255">
        <f>360-AK175-AB175</f>
        <v/>
      </c>
      <c r="AQ175" s="126" t="n"/>
      <c r="AR175" s="13">
        <f>AVERAGE(AO173:AO179)</f>
        <v/>
      </c>
      <c r="AS175" s="15">
        <f>IF(ISNUMBER([2]HRT_SRT!R229),[2]HRT_SRT!R229,"")</f>
        <v/>
      </c>
      <c r="AT175" s="156" t="n"/>
      <c r="AU175" s="155">
        <f>(I175-AF175)/I175</f>
        <v/>
      </c>
      <c r="AV175" s="155">
        <f>AG175/(AD175-AF175)</f>
        <v/>
      </c>
      <c r="AW175" s="155">
        <f>(G175-AM175)/G175</f>
        <v/>
      </c>
      <c r="AX175" s="254">
        <f>IF(AND(ISNUMBER(E175),ISNUMBER(W175)),E175-W175,"")</f>
        <v/>
      </c>
      <c r="AY175" s="254">
        <f>IF(AND(ISNUMBER(I175),ISNUMBER(AF175)),I175-AF175,"")</f>
        <v/>
      </c>
      <c r="AZ175" s="254">
        <f>IF(AND(ISNUMBER(AM175),ISNUMBER(G175)),G175-AM175,"")</f>
        <v/>
      </c>
      <c r="BA175" s="254">
        <f>IF(AND(ISNUMBER(AC175),ISNUMBER(AE175)),AC175-AE175,"")</f>
        <v/>
      </c>
      <c r="BB175" s="254">
        <f>IF(AND(ISNUMBER(AL175),ISNUMBER(AM175)),AL175-AM175,"")</f>
        <v/>
      </c>
      <c r="BC175" s="157">
        <f>IF(AND($E175&gt;0,$W175&gt;0),IF(($E175-$W175)/$E175&gt;0,($E175-$W175)/$E175,0),"")</f>
        <v/>
      </c>
      <c r="BD175" s="157">
        <f>IF(AND($I175&gt;0,$AF175&gt;=0),IF(($I175-$AF175)/$I175&gt;0,($I175-$AF175)/$I175,0),"")</f>
        <v/>
      </c>
      <c r="BE175" s="157">
        <f>IF(AND($AG175&gt;=0,$AD175&gt;=0,$AF175&gt;=0),IF($AG175/($AD175-$AF175)&gt;0,$AG175/($AD175-$AF175),0),"")</f>
        <v/>
      </c>
      <c r="BF175" s="157">
        <f>IF(AND($G175&gt;0,$AM175&gt;0),IF(($G175-$AM175)/$G175&gt;0,($G175-$AM175)/$G175,0),"")</f>
        <v/>
      </c>
      <c r="BG175" s="6">
        <f>IF((AD175-AF175)/(AJ175/60)&lt;=0,"",(AD175-AF175)/(AJ175/60))</f>
        <v/>
      </c>
      <c r="BH175" s="6">
        <f>IF(OR(AJ175=0,AP175=0,NOT(ISNUMBER(AD175)),NOT(ISNUMBER(AF175)),NOT(ISNUMBER(AJ175)),NOT(ISNUMBER(AP175))),"",
IFERROR(IF((AD175-AF175)/(AJ175/60)/(AP175/1000)&lt;=0,"",(AD175-AF175)/(AJ175/60)/(AP175/1000)),""))</f>
        <v/>
      </c>
    </row>
    <row r="176" ht="15.75" customHeight="1">
      <c r="B176" t="n">
        <v>-68</v>
      </c>
      <c r="C176" s="12" t="inlineStr">
        <is>
          <t>batch test both</t>
        </is>
      </c>
      <c r="D176" s="94" t="n">
        <v>45436</v>
      </c>
      <c r="E176" s="128" t="n"/>
      <c r="F176" s="3" t="n">
        <v>171</v>
      </c>
      <c r="G176" s="205">
        <f>IF(OR(S176="",S176=0),"",S176*2)</f>
        <v/>
      </c>
      <c r="I176" s="15" t="n"/>
      <c r="J176" s="15" t="n"/>
      <c r="K176" s="15">
        <f>AD176</f>
        <v/>
      </c>
      <c r="M176" s="10">
        <f>IF(OR(E176="",G176="",E176=0,G176=0),"",E176/G176)</f>
        <v/>
      </c>
      <c r="N176" s="9">
        <f>IF(OR(E176="",I176="",E176=0,I176=0),"",E176/(I176*2))</f>
        <v/>
      </c>
      <c r="O176" s="8">
        <f>IF(OR(I176="",G176="",I176=0,G176=0),"",I176*2/G176)</f>
        <v/>
      </c>
      <c r="Z176" s="6" t="n">
        <v>8.34</v>
      </c>
      <c r="AD176" s="5" t="n">
        <v>80</v>
      </c>
      <c r="AF176" s="162">
        <f>($AD$175*4/5+$AD$180*1/5)</f>
        <v/>
      </c>
      <c r="AH176" s="162">
        <f>($AF$175*4/5+$AF$180*1/5)</f>
        <v/>
      </c>
      <c r="AI176" s="98" t="n">
        <v>2.66</v>
      </c>
      <c r="AJ176" s="119" t="n">
        <v>0.4778935185185185</v>
      </c>
      <c r="AL176" s="231" t="n">
        <v>175</v>
      </c>
      <c r="AM176" s="3" t="n">
        <v>180</v>
      </c>
      <c r="AP176" s="255">
        <f>360-AK176-AB176</f>
        <v/>
      </c>
      <c r="AQ176" s="126">
        <f>[2]HRT_SRT!P230</f>
        <v/>
      </c>
      <c r="AR176" s="13">
        <f>AVERAGE(AO174:AO180)</f>
        <v/>
      </c>
      <c r="AS176" s="15">
        <f>IF(ISNUMBER([2]HRT_SRT!R230),[2]HRT_SRT!R230,"")</f>
        <v/>
      </c>
      <c r="AT176" s="156" t="n"/>
      <c r="AU176" s="155">
        <f>(I176-AF176)/I176</f>
        <v/>
      </c>
      <c r="AV176" s="155">
        <f>AG176/(AD176-AF176)</f>
        <v/>
      </c>
      <c r="AW176" s="155" t="n"/>
      <c r="AX176" s="254">
        <f>IF(AND(ISNUMBER(E176),ISNUMBER(W176)),E176-W176,"")</f>
        <v/>
      </c>
      <c r="AY176" s="254">
        <f>IF(AND(ISNUMBER(I176),ISNUMBER(AF176)),I176-AF176,"")</f>
        <v/>
      </c>
      <c r="AZ176" s="254">
        <f>IF(AND(ISNUMBER(AM176),ISNUMBER(G176)),G176-AM176,"")</f>
        <v/>
      </c>
      <c r="BA176" s="254">
        <f>IF(AND(ISNUMBER(AC176),ISNUMBER(AE176)),AC176-AE176,"")</f>
        <v/>
      </c>
      <c r="BB176" s="254">
        <f>IF(AND(ISNUMBER(AL176),ISNUMBER(AM176)),AL176-AM176,"")</f>
        <v/>
      </c>
      <c r="BC176" s="157">
        <f>IF(AND($E176&gt;0,$W176&gt;0),IF(($E176-$W176)/$E176&gt;0,($E176-$W176)/$E176,0),"")</f>
        <v/>
      </c>
      <c r="BD176" s="157">
        <f>IF(AND($I176&gt;0,$AF176&gt;=0),IF(($I176-$AF176)/$I176&gt;0,($I176-$AF176)/$I176,0),"")</f>
        <v/>
      </c>
      <c r="BE176" s="157">
        <f>IF(AND($AG176&gt;=0,$AD176&gt;=0,$AF176&gt;=0),IF($AG176/($AD176-$AF176)&gt;0,$AG176/($AD176-$AF176),0),"")</f>
        <v/>
      </c>
      <c r="BF176" s="157">
        <f>IF(AND($G176&gt;0,$AM176&gt;0),IF(($G176-$AM176)/$G176&gt;0,($G176-$AM176)/$G176,0),"")</f>
        <v/>
      </c>
      <c r="BG176" s="6">
        <f>IF((AD176-AF176)/(AJ176/60)&lt;=0,"",(AD176-AF176)/(AJ176/60))</f>
        <v/>
      </c>
      <c r="BH176" s="6">
        <f>IF(OR(AJ176=0,AP176=0,NOT(ISNUMBER(AD176)),NOT(ISNUMBER(AF176)),NOT(ISNUMBER(AJ176)),NOT(ISNUMBER(AP176))),"",
IFERROR(IF((AD176-AF176)/(AJ176/60)/(AP176/1000)&lt;=0,"",(AD176-AF176)/(AJ176/60)/(AP176/1000)),""))</f>
        <v/>
      </c>
    </row>
    <row r="177" ht="15.75" customHeight="1">
      <c r="B177" t="n">
        <v>-67</v>
      </c>
      <c r="D177" s="94" t="n">
        <v>45437</v>
      </c>
      <c r="E177" s="128" t="n"/>
      <c r="F177" s="3" t="n">
        <v>172</v>
      </c>
      <c r="G177" s="205">
        <f>IF(OR(S177="",S177=0),"",S177*2)</f>
        <v/>
      </c>
      <c r="I177" s="15" t="n"/>
      <c r="J177" s="15" t="n"/>
      <c r="K177" s="15">
        <f>AD177</f>
        <v/>
      </c>
      <c r="M177" s="10">
        <f>IF(OR(E177="",G177="",E177=0,G177=0),"",E177/G177)</f>
        <v/>
      </c>
      <c r="N177" s="9">
        <f>IF(OR(E177="",I177="",E177=0,I177=0),"",E177/(I177*2))</f>
        <v/>
      </c>
      <c r="O177" s="8">
        <f>IF(OR(I177="",G177="",I177=0,G177=0),"",I177*2/G177)</f>
        <v/>
      </c>
      <c r="Z177" s="6" t="n">
        <v>7.64</v>
      </c>
      <c r="AD177" s="5" t="n">
        <v>80</v>
      </c>
      <c r="AF177" s="162">
        <f>($AD$175*3/5+$AD$180*2/5)</f>
        <v/>
      </c>
      <c r="AH177" s="162">
        <f>($AF$175*3/5+$AF$180*2/5)</f>
        <v/>
      </c>
      <c r="AI177" s="98" t="n">
        <v>3.21</v>
      </c>
      <c r="AJ177" s="119" t="n">
        <v>0.4778935185185185</v>
      </c>
      <c r="AL177" s="231" t="n">
        <v>175</v>
      </c>
      <c r="AM177" s="3" t="n">
        <v>180</v>
      </c>
      <c r="AP177" s="255">
        <f>360-AK177-AB177</f>
        <v/>
      </c>
      <c r="AQ177" s="126" t="n"/>
      <c r="AR177" s="13">
        <f>AVERAGE(AO175:AO181)</f>
        <v/>
      </c>
      <c r="AS177" s="15">
        <f>IF(ISNUMBER([2]HRT_SRT!R231),[2]HRT_SRT!R231,"")</f>
        <v/>
      </c>
      <c r="AT177" s="156" t="n"/>
      <c r="AU177" s="155">
        <f>(I177-AF177)/I177</f>
        <v/>
      </c>
      <c r="AV177" s="155">
        <f>AG177/(AD177-AF177)</f>
        <v/>
      </c>
      <c r="AW177" s="155" t="n"/>
      <c r="AX177" s="254">
        <f>IF(AND(ISNUMBER(E177),ISNUMBER(W177)),E177-W177,"")</f>
        <v/>
      </c>
      <c r="AY177" s="254">
        <f>IF(AND(ISNUMBER(I177),ISNUMBER(AF177)),I177-AF177,"")</f>
        <v/>
      </c>
      <c r="AZ177" s="254">
        <f>IF(AND(ISNUMBER(AM177),ISNUMBER(G177)),G177-AM177,"")</f>
        <v/>
      </c>
      <c r="BA177" s="254">
        <f>IF(AND(ISNUMBER(AC177),ISNUMBER(AE177)),AC177-AE177,"")</f>
        <v/>
      </c>
      <c r="BB177" s="254">
        <f>IF(AND(ISNUMBER(AL177),ISNUMBER(AM177)),AL177-AM177,"")</f>
        <v/>
      </c>
      <c r="BC177" s="157">
        <f>IF(AND($E177&gt;0,$W177&gt;0),IF(($E177-$W177)/$E177&gt;0,($E177-$W177)/$E177,0),"")</f>
        <v/>
      </c>
      <c r="BD177" s="157">
        <f>IF(AND($I177&gt;0,$AF177&gt;=0),IF(($I177-$AF177)/$I177&gt;0,($I177-$AF177)/$I177,0),"")</f>
        <v/>
      </c>
      <c r="BE177" s="157">
        <f>IF(AND($AG177&gt;=0,$AD177&gt;=0,$AF177&gt;=0),IF($AG177/($AD177-$AF177)&gt;0,$AG177/($AD177-$AF177),0),"")</f>
        <v/>
      </c>
      <c r="BF177" s="157">
        <f>IF(AND($G177&gt;0,$AM177&gt;0),IF(($G177-$AM177)/$G177&gt;0,($G177-$AM177)/$G177,0),"")</f>
        <v/>
      </c>
      <c r="BG177" s="6">
        <f>IF((AD177-AF177)/(AJ177/60)&lt;=0,"",(AD177-AF177)/(AJ177/60))</f>
        <v/>
      </c>
      <c r="BH177" s="6">
        <f>IF(OR(AJ177=0,AP177=0,NOT(ISNUMBER(AD177)),NOT(ISNUMBER(AF177)),NOT(ISNUMBER(AJ177)),NOT(ISNUMBER(AP177))),"",
IFERROR(IF((AD177-AF177)/(AJ177/60)/(AP177/1000)&lt;=0,"",(AD177-AF177)/(AJ177/60)/(AP177/1000)),""))</f>
        <v/>
      </c>
    </row>
    <row r="178" ht="15.75" customHeight="1">
      <c r="B178" t="n">
        <v>-66</v>
      </c>
      <c r="D178" s="94" t="n">
        <v>45438</v>
      </c>
      <c r="E178" s="128" t="n"/>
      <c r="F178" s="3" t="n">
        <v>173</v>
      </c>
      <c r="G178" s="205">
        <f>IF(OR(S178="",S178=0),"",S178*2)</f>
        <v/>
      </c>
      <c r="I178" s="15" t="n"/>
      <c r="J178" s="15" t="n"/>
      <c r="K178" s="15">
        <f>AD178</f>
        <v/>
      </c>
      <c r="M178" s="10">
        <f>IF(OR(E178="",G178="",E178=0,G178=0),"",E178/G178)</f>
        <v/>
      </c>
      <c r="N178" s="9">
        <f>IF(OR(E178="",I178="",E178=0,I178=0),"",E178/(I178*2))</f>
        <v/>
      </c>
      <c r="O178" s="8">
        <f>IF(OR(I178="",G178="",I178=0,G178=0),"",I178*2/G178)</f>
        <v/>
      </c>
      <c r="Z178" s="6" t="n">
        <v>6.66</v>
      </c>
      <c r="AD178" s="5" t="n">
        <v>80</v>
      </c>
      <c r="AF178" s="162">
        <f>($AD$175*2/5+$AD$180*3/5)</f>
        <v/>
      </c>
      <c r="AH178" s="162">
        <f>($AF$175*2/5+$AF$180*3/5)</f>
        <v/>
      </c>
      <c r="AI178" s="98" t="n">
        <v>2.75</v>
      </c>
      <c r="AJ178" s="119" t="n">
        <v>0.4774305555555556</v>
      </c>
      <c r="AL178" s="231" t="n">
        <v>175</v>
      </c>
      <c r="AM178" s="3" t="n">
        <v>180</v>
      </c>
      <c r="AP178" s="255">
        <f>360-AK178-AB178</f>
        <v/>
      </c>
      <c r="AQ178" s="126" t="n"/>
      <c r="AR178" s="13">
        <f>AVERAGE(AO176:AO182)</f>
        <v/>
      </c>
      <c r="AS178" s="15">
        <f>IF(ISNUMBER([2]HRT_SRT!R232),[2]HRT_SRT!R232,"")</f>
        <v/>
      </c>
      <c r="AT178" s="156" t="n"/>
      <c r="AU178" s="155">
        <f>(I178-AF178)/I178</f>
        <v/>
      </c>
      <c r="AV178" s="155">
        <f>AG178/(AD178-AF178)</f>
        <v/>
      </c>
      <c r="AW178" s="155" t="n"/>
      <c r="AX178" s="254">
        <f>IF(AND(ISNUMBER(E178),ISNUMBER(W178)),E178-W178,"")</f>
        <v/>
      </c>
      <c r="AY178" s="254">
        <f>IF(AND(ISNUMBER(I178),ISNUMBER(AF178)),I178-AF178,"")</f>
        <v/>
      </c>
      <c r="AZ178" s="254">
        <f>IF(AND(ISNUMBER(AM178),ISNUMBER(G178)),G178-AM178,"")</f>
        <v/>
      </c>
      <c r="BA178" s="254">
        <f>IF(AND(ISNUMBER(AC178),ISNUMBER(AE178)),AC178-AE178,"")</f>
        <v/>
      </c>
      <c r="BB178" s="254">
        <f>IF(AND(ISNUMBER(AL178),ISNUMBER(AM178)),AL178-AM178,"")</f>
        <v/>
      </c>
      <c r="BC178" s="157">
        <f>IF(AND($E178&gt;0,$W178&gt;0),IF(($E178-$W178)/$E178&gt;0,($E178-$W178)/$E178,0),"")</f>
        <v/>
      </c>
      <c r="BD178" s="157">
        <f>IF(AND($I178&gt;0,$AF178&gt;=0),IF(($I178-$AF178)/$I178&gt;0,($I178-$AF178)/$I178,0),"")</f>
        <v/>
      </c>
      <c r="BE178" s="157">
        <f>IF(AND($AG178&gt;=0,$AD178&gt;=0,$AF178&gt;=0),IF($AG178/($AD178-$AF178)&gt;0,$AG178/($AD178-$AF178),0),"")</f>
        <v/>
      </c>
      <c r="BF178" s="157">
        <f>IF(AND($G178&gt;0,$AM178&gt;0),IF(($G178-$AM178)/$G178&gt;0,($G178-$AM178)/$G178,0),"")</f>
        <v/>
      </c>
      <c r="BG178" s="6">
        <f>IF((AD178-AF178)/(AJ178/60)&lt;=0,"",(AD178-AF178)/(AJ178/60))</f>
        <v/>
      </c>
      <c r="BH178" s="6">
        <f>IF(OR(AJ178=0,AP178=0,NOT(ISNUMBER(AD178)),NOT(ISNUMBER(AF178)),NOT(ISNUMBER(AJ178)),NOT(ISNUMBER(AP178))),"",
IFERROR(IF((AD178-AF178)/(AJ178/60)/(AP178/1000)&lt;=0,"",(AD178-AF178)/(AJ178/60)/(AP178/1000)),""))</f>
        <v/>
      </c>
    </row>
    <row r="179" ht="15.75" customHeight="1">
      <c r="B179" t="n">
        <v>-65</v>
      </c>
      <c r="D179" s="94" t="n">
        <v>45439</v>
      </c>
      <c r="E179" s="128" t="n"/>
      <c r="F179" s="3" t="n">
        <v>174</v>
      </c>
      <c r="G179" s="205">
        <f>IF(OR(S179="",S179=0),"",S179*2)</f>
        <v/>
      </c>
      <c r="I179" s="15" t="n"/>
      <c r="J179" s="15" t="n"/>
      <c r="K179" s="15">
        <f>AD179</f>
        <v/>
      </c>
      <c r="M179" s="10">
        <f>IF(OR(E179="",G179="",E179=0,G179=0),"",E179/G179)</f>
        <v/>
      </c>
      <c r="N179" s="9">
        <f>IF(OR(E179="",I179="",E179=0,I179=0),"",E179/(I179*2))</f>
        <v/>
      </c>
      <c r="O179" s="8">
        <f>IF(OR(I179="",G179="",I179=0,G179=0),"",I179*2/G179)</f>
        <v/>
      </c>
      <c r="AD179" s="5" t="n">
        <v>80</v>
      </c>
      <c r="AF179" s="162">
        <f>($AD$175*1/5+$AD$180*4/5)</f>
        <v/>
      </c>
      <c r="AH179" s="162">
        <f>($AF$175*1/5+$AF$180*4/5)</f>
        <v/>
      </c>
      <c r="AI179" s="98" t="n">
        <v>3.17</v>
      </c>
      <c r="AJ179" s="119" t="n">
        <v>0.4777777777777778</v>
      </c>
      <c r="AL179" s="231" t="n">
        <v>175</v>
      </c>
      <c r="AM179" s="3" t="n">
        <v>180</v>
      </c>
      <c r="AP179" s="255">
        <f>360-AK179-AB179</f>
        <v/>
      </c>
      <c r="AQ179" s="126" t="n"/>
      <c r="AR179" s="13">
        <f>AVERAGE(AO177:AO183)</f>
        <v/>
      </c>
      <c r="AS179" s="15">
        <f>IF(ISNUMBER([2]HRT_SRT!R233),[2]HRT_SRT!R233,"")</f>
        <v/>
      </c>
      <c r="AT179" s="156" t="n"/>
      <c r="AU179" s="155">
        <f>(I179-AF179)/I179</f>
        <v/>
      </c>
      <c r="AV179" s="155">
        <f>AG179/(AD179-AF179)</f>
        <v/>
      </c>
      <c r="AW179" s="155" t="n"/>
      <c r="AX179" s="254">
        <f>IF(AND(ISNUMBER(E179),ISNUMBER(W179)),E179-W179,"")</f>
        <v/>
      </c>
      <c r="AY179" s="254">
        <f>IF(AND(ISNUMBER(I179),ISNUMBER(AF179)),I179-AF179,"")</f>
        <v/>
      </c>
      <c r="AZ179" s="254">
        <f>IF(AND(ISNUMBER(AM179),ISNUMBER(G179)),G179-AM179,"")</f>
        <v/>
      </c>
      <c r="BA179" s="254">
        <f>IF(AND(ISNUMBER(AC179),ISNUMBER(AE179)),AC179-AE179,"")</f>
        <v/>
      </c>
      <c r="BB179" s="254">
        <f>IF(AND(ISNUMBER(AL179),ISNUMBER(AM179)),AL179-AM179,"")</f>
        <v/>
      </c>
      <c r="BC179" s="157">
        <f>IF(AND($E179&gt;0,$W179&gt;0),IF(($E179-$W179)/$E179&gt;0,($E179-$W179)/$E179,0),"")</f>
        <v/>
      </c>
      <c r="BD179" s="157">
        <f>IF(AND($I179&gt;0,$AF179&gt;=0),IF(($I179-$AF179)/$I179&gt;0,($I179-$AF179)/$I179,0),"")</f>
        <v/>
      </c>
      <c r="BE179" s="157">
        <f>IF(AND($AG179&gt;=0,$AD179&gt;=0,$AF179&gt;=0),IF($AG179/($AD179-$AF179)&gt;0,$AG179/($AD179-$AF179),0),"")</f>
        <v/>
      </c>
      <c r="BF179" s="157">
        <f>IF(AND($G179&gt;0,$AM179&gt;0),IF(($G179-$AM179)/$G179&gt;0,($G179-$AM179)/$G179,0),"")</f>
        <v/>
      </c>
      <c r="BG179" s="6">
        <f>IF((AD179-AF179)/(AJ179/60)&lt;=0,"",(AD179-AF179)/(AJ179/60))</f>
        <v/>
      </c>
      <c r="BH179" s="6">
        <f>IF(OR(AJ179=0,AP179=0,NOT(ISNUMBER(AD179)),NOT(ISNUMBER(AF179)),NOT(ISNUMBER(AJ179)),NOT(ISNUMBER(AP179))),"",
IFERROR(IF((AD179-AF179)/(AJ179/60)/(AP179/1000)&lt;=0,"",(AD179-AF179)/(AJ179/60)/(AP179/1000)),""))</f>
        <v/>
      </c>
    </row>
    <row r="180" ht="15.75" customHeight="1">
      <c r="B180" t="n">
        <v>-64</v>
      </c>
      <c r="C180" s="12" t="inlineStr">
        <is>
          <t>batch aerobic</t>
        </is>
      </c>
      <c r="D180" s="94" t="n">
        <v>45440</v>
      </c>
      <c r="E180" s="128" t="n"/>
      <c r="F180" s="3" t="n">
        <v>175</v>
      </c>
      <c r="G180" s="205">
        <f>IF(OR(S180="",S180=0),"",S180*2)</f>
        <v/>
      </c>
      <c r="I180" s="15">
        <f>(N180*17-H180*17)/9</f>
        <v/>
      </c>
      <c r="J180" s="15" t="n">
        <v>7.75</v>
      </c>
      <c r="K180" s="15">
        <f>AD180</f>
        <v/>
      </c>
      <c r="M180" s="10">
        <f>IF(OR(E180="",G180="",E180=0,G180=0),"",E180/G180)</f>
        <v/>
      </c>
      <c r="N180" s="9">
        <f>IF(OR(E180="",I180="",E180=0,I180=0),"",E180/(I180*2))</f>
        <v/>
      </c>
      <c r="O180" s="8">
        <f>IF(OR(I180="",G180="",I180=0,G180=0),"",I180*2/G180)</f>
        <v/>
      </c>
      <c r="P180" s="7" t="n">
        <v>18.3</v>
      </c>
      <c r="Q180" s="6" t="n">
        <v>60.322</v>
      </c>
      <c r="R180" s="6" t="n">
        <v>13.759</v>
      </c>
      <c r="S180" s="6">
        <f>O180*1.067</f>
        <v/>
      </c>
      <c r="T180" s="6">
        <f>P180*1.514</f>
        <v/>
      </c>
      <c r="U180" s="23">
        <f>P180*1.514+O180*1.067</f>
        <v/>
      </c>
      <c r="V180" s="6" t="n">
        <v>29.7</v>
      </c>
      <c r="Y180">
        <f>0.409+0.651</f>
        <v/>
      </c>
      <c r="Z180" s="6" t="n">
        <v>9.23</v>
      </c>
      <c r="AD180" s="5" t="n">
        <v>80</v>
      </c>
      <c r="AE180" s="7">
        <f>T180</f>
        <v/>
      </c>
      <c r="AF180" s="231">
        <f>5*5.29</f>
        <v/>
      </c>
      <c r="AG180" s="231" t="n">
        <v>18.4</v>
      </c>
      <c r="AH180" s="231">
        <f>5*2.38</f>
        <v/>
      </c>
      <c r="AI180" s="98" t="n">
        <v>2.84</v>
      </c>
      <c r="AJ180" s="119" t="n">
        <v>0.4773148148148148</v>
      </c>
      <c r="AL180" s="231" t="n">
        <v>175</v>
      </c>
      <c r="AM180" s="3" t="n">
        <v>180</v>
      </c>
      <c r="AN180" s="4">
        <f>AE180</f>
        <v/>
      </c>
      <c r="AO180" s="231" t="n">
        <v>15.9</v>
      </c>
      <c r="AP180" s="255">
        <f>360-AK180-AB180</f>
        <v/>
      </c>
      <c r="AQ180" s="126" t="n"/>
      <c r="AR180" s="13">
        <f>AVERAGE(AO178:AO184)</f>
        <v/>
      </c>
      <c r="AS180" s="15">
        <f>IF(ISNUMBER([2]HRT_SRT!R234),[2]HRT_SRT!R234,"")</f>
        <v/>
      </c>
      <c r="AT180" s="156">
        <f>(E180-W180)/E180</f>
        <v/>
      </c>
      <c r="AU180" s="155">
        <f>(I180-AF180)/I180</f>
        <v/>
      </c>
      <c r="AV180" s="155">
        <f>AG180/(AD180-AF180)</f>
        <v/>
      </c>
      <c r="AW180" s="155">
        <f>(G180-AM180)/G180</f>
        <v/>
      </c>
      <c r="AX180" s="254">
        <f>IF(AND(ISNUMBER(E180),ISNUMBER(W180)),E180-W180,"")</f>
        <v/>
      </c>
      <c r="AY180" s="254">
        <f>IF(AND(ISNUMBER(I180),ISNUMBER(AF180)),I180-AF180,"")</f>
        <v/>
      </c>
      <c r="AZ180" s="254">
        <f>IF(AND(ISNUMBER(AM180),ISNUMBER(G180)),G180-AM180,"")</f>
        <v/>
      </c>
      <c r="BA180" s="254">
        <f>IF(AND(ISNUMBER(AC180),ISNUMBER(AE180)),AC180-AE180,"")</f>
        <v/>
      </c>
      <c r="BB180" s="254">
        <f>IF(AND(ISNUMBER(AL180),ISNUMBER(AM180)),AL180-AM180,"")</f>
        <v/>
      </c>
      <c r="BC180" s="123">
        <f>IF(AND($E180&gt;0,$W180&gt;0),IF(($E180-$W180)/$E180&gt;0,($E180-$W180)/$E180,0),"")</f>
        <v/>
      </c>
      <c r="BD180" s="123">
        <f>IF(AND($I180&gt;0,$AF180&gt;=0),IF(($I180-$AF180)/$I180&gt;0,($I180-$AF180)/$I180,0),"")</f>
        <v/>
      </c>
      <c r="BE180" s="123">
        <f>IF(AND($AG180&gt;=0,$AD180&gt;=0,$AF180&gt;=0),IF($AG180/($AD180-$AF180)&gt;0,$AG180/($AD180-$AF180),0),"")</f>
        <v/>
      </c>
      <c r="BF180" s="123">
        <f>IF(AND($G180&gt;0,$AM180&gt;0),IF(($G180-$AM180)/$G180&gt;0,($G180-$AM180)/$G180,0),"")</f>
        <v/>
      </c>
      <c r="BG180" s="6">
        <f>IF((AD180-AF180)/(AJ180/60)&lt;=0,"",(AD180-AF180)/(AJ180/60))</f>
        <v/>
      </c>
      <c r="BH180" s="6">
        <f>IF(OR(AJ180=0,AP180=0,NOT(ISNUMBER(AD180)),NOT(ISNUMBER(AF180)),NOT(ISNUMBER(AJ180)),NOT(ISNUMBER(AP180))),"",
IFERROR(IF((AD180-AF180)/(AJ180/60)/(AP180/1000)&lt;=0,"",(AD180-AF180)/(AJ180/60)/(AP180/1000)),""))</f>
        <v/>
      </c>
    </row>
    <row r="181" ht="15.75" customHeight="1">
      <c r="B181" t="n">
        <v>-63</v>
      </c>
      <c r="C181" s="12" t="inlineStr">
        <is>
          <t xml:space="preserve">in cycletest/ removal of a lot of biomass </t>
        </is>
      </c>
      <c r="D181" s="94" t="n">
        <v>45441</v>
      </c>
      <c r="E181" s="128" t="n"/>
      <c r="F181" s="136" t="n">
        <v>176</v>
      </c>
      <c r="G181" s="205">
        <f>IF(OR(S181="",S181=0),"",S181*2)</f>
        <v/>
      </c>
      <c r="I181" s="15">
        <f>(N181*18-H181*18)/9</f>
        <v/>
      </c>
      <c r="J181" s="15" t="n">
        <v>8.210000000000001</v>
      </c>
      <c r="K181" s="15">
        <f>AD181</f>
        <v/>
      </c>
      <c r="M181" s="10">
        <f>IF(OR(E181="",G181="",E181=0,G181=0),"",E181/G181)</f>
        <v/>
      </c>
      <c r="N181" s="9">
        <f>IF(OR(E181="",I181="",E181=0,I181=0),"",E181/(I181*2))</f>
        <v/>
      </c>
      <c r="O181" s="8">
        <f>IF(OR(I181="",G181="",I181=0,G181=0),"",I181*2/G181)</f>
        <v/>
      </c>
      <c r="P181" s="7" t="n">
        <v>20.1</v>
      </c>
      <c r="Q181" s="6" t="n">
        <v>104.189</v>
      </c>
      <c r="R181" s="6" t="n">
        <v>19.999</v>
      </c>
      <c r="S181" s="6">
        <f>O181*1.067</f>
        <v/>
      </c>
      <c r="T181" s="6">
        <f>P181*1.514</f>
        <v/>
      </c>
      <c r="U181" s="23">
        <f>P181*1.514+O181*1.067</f>
        <v/>
      </c>
      <c r="V181" s="6" t="n">
        <v>34.3</v>
      </c>
      <c r="Y181" t="n">
        <v>0</v>
      </c>
      <c r="AD181" s="5" t="n">
        <v>80</v>
      </c>
      <c r="AE181" s="7">
        <f>T181</f>
        <v/>
      </c>
      <c r="AF181" s="231">
        <f>5*5.28</f>
        <v/>
      </c>
      <c r="AG181" s="231" t="n">
        <v>20.6</v>
      </c>
      <c r="AH181" s="231">
        <f>5*2.31</f>
        <v/>
      </c>
      <c r="AI181" s="67" t="n">
        <v>2.9</v>
      </c>
      <c r="AL181" s="231" t="n">
        <v>175</v>
      </c>
      <c r="AM181" s="3" t="n">
        <v>180</v>
      </c>
      <c r="AN181" s="4">
        <f>AE181</f>
        <v/>
      </c>
      <c r="AO181" s="231" t="n">
        <v>18.7</v>
      </c>
      <c r="AP181" s="255">
        <f>360-AK181-AB181</f>
        <v/>
      </c>
      <c r="AQ181" s="126">
        <f>[2]HRT_SRT!P235</f>
        <v/>
      </c>
      <c r="AR181" s="13">
        <f>AVERAGE(AO179:AO185)</f>
        <v/>
      </c>
      <c r="AS181" s="15">
        <f>IF(ISNUMBER([2]HRT_SRT!R235),[2]HRT_SRT!R235,"")</f>
        <v/>
      </c>
      <c r="AT181" s="156">
        <f>(E181-W181)/E181</f>
        <v/>
      </c>
      <c r="AU181" s="155">
        <f>(I181-AF181)/I181</f>
        <v/>
      </c>
      <c r="AV181" s="155">
        <f>AG181/(AD181-AF181)</f>
        <v/>
      </c>
      <c r="AW181" s="155">
        <f>(G181-AM181)/G181</f>
        <v/>
      </c>
      <c r="AX181" s="254">
        <f>IF(AND(ISNUMBER(E181),ISNUMBER(W181)),E181-W181,"")</f>
        <v/>
      </c>
      <c r="AY181" s="254">
        <f>IF(AND(ISNUMBER(I181),ISNUMBER(AF181)),I181-AF181,"")</f>
        <v/>
      </c>
      <c r="AZ181" s="254">
        <f>IF(AND(ISNUMBER(AM181),ISNUMBER(G181)),G181-AM181,"")</f>
        <v/>
      </c>
      <c r="BA181" s="254">
        <f>IF(AND(ISNUMBER(AC181),ISNUMBER(AE181)),AC181-AE181,"")</f>
        <v/>
      </c>
      <c r="BB181" s="254">
        <f>IF(AND(ISNUMBER(AL181),ISNUMBER(AM181)),AL181-AM181,"")</f>
        <v/>
      </c>
      <c r="BC181" s="123">
        <f>IF(AND($E181&gt;0,$W181&gt;0),IF(($E181-$W181)/$E181&gt;0,($E181-$W181)/$E181,0),"")</f>
        <v/>
      </c>
      <c r="BD181" s="123">
        <f>IF(AND($I181&gt;0,$AF181&gt;=0),IF(($I181-$AF181)/$I181&gt;0,($I181-$AF181)/$I181,0),"")</f>
        <v/>
      </c>
      <c r="BE181" s="123">
        <f>IF(AND($AG181&gt;=0,$AD181&gt;=0,$AF181&gt;=0),IF($AG181/($AD181-$AF181)&gt;0,$AG181/($AD181-$AF181),0),"")</f>
        <v/>
      </c>
      <c r="BF181" s="123">
        <f>IF(AND($G181&gt;0,$AM181&gt;0),IF(($G181-$AM181)/$G181&gt;0,($G181-$AM181)/$G181,0),"")</f>
        <v/>
      </c>
      <c r="BG181" s="6">
        <f>IF((AD181-AF181)/(AJ181/60)&lt;=0,"",(AD181-AF181)/(AJ181/60))</f>
        <v/>
      </c>
      <c r="BH181" s="6">
        <f>IF(OR(AJ181=0,AP181=0,NOT(ISNUMBER(AD181)),NOT(ISNUMBER(AF181)),NOT(ISNUMBER(AJ181)),NOT(ISNUMBER(AP181))),"",
IFERROR(IF((AD181-AF181)/(AJ181/60)/(AP181/1000)&lt;=0,"",(AD181-AF181)/(AJ181/60)/(AP181/1000)),""))</f>
        <v/>
      </c>
    </row>
    <row r="182" ht="15.75" customHeight="1">
      <c r="B182" t="n">
        <v>-62</v>
      </c>
      <c r="D182" s="94" t="n">
        <v>45442</v>
      </c>
      <c r="E182" s="128" t="n"/>
      <c r="F182" s="3" t="n">
        <v>177</v>
      </c>
      <c r="G182" s="205">
        <f>IF(OR(S182="",S182=0),"",S182*2)</f>
        <v/>
      </c>
      <c r="I182" s="15">
        <f>(N182*18-H182*18)/9</f>
        <v/>
      </c>
      <c r="J182" s="15" t="n">
        <v>13.2</v>
      </c>
      <c r="K182" s="15">
        <f>AD182</f>
        <v/>
      </c>
      <c r="M182" s="10">
        <f>IF(OR(E182="",G182="",E182=0,G182=0),"",E182/G182)</f>
        <v/>
      </c>
      <c r="N182" s="9">
        <f>IF(OR(E182="",I182="",E182=0,I182=0),"",E182/(I182*2))</f>
        <v/>
      </c>
      <c r="O182" s="8">
        <f>IF(OR(I182="",G182="",I182=0,G182=0),"",I182*2/G182)</f>
        <v/>
      </c>
      <c r="P182" s="7" t="n">
        <v>23.4</v>
      </c>
      <c r="AD182" s="5" t="n">
        <v>80</v>
      </c>
      <c r="AF182" s="162">
        <f>($AD$181*6/7+$AD$188 *1/7)</f>
        <v/>
      </c>
      <c r="AG182" s="231" t="n">
        <v>26.1</v>
      </c>
      <c r="AH182" s="231">
        <f>5*1.81</f>
        <v/>
      </c>
      <c r="AI182" s="67" t="n"/>
      <c r="AL182" s="231" t="n">
        <v>175</v>
      </c>
      <c r="AM182" s="3" t="n">
        <v>180</v>
      </c>
      <c r="AN182" s="4">
        <f>AE182</f>
        <v/>
      </c>
      <c r="AO182" s="231" t="n">
        <v>22.4</v>
      </c>
      <c r="AP182" s="255">
        <f>360-AK182-AB182</f>
        <v/>
      </c>
      <c r="AQ182" s="126" t="n"/>
      <c r="AR182" s="13">
        <f>AVERAGE(AO180:AO186)</f>
        <v/>
      </c>
      <c r="AS182" s="15">
        <f>IF(ISNUMBER([2]HRT_SRT!R236),[2]HRT_SRT!R236,"")</f>
        <v/>
      </c>
      <c r="AT182" s="156" t="n"/>
      <c r="AU182" s="155">
        <f>(I182-AF182)/I182</f>
        <v/>
      </c>
      <c r="AV182" s="155">
        <f>AG182/(AD182-AF182)</f>
        <v/>
      </c>
      <c r="AW182" s="155">
        <f>(G182-AM182)/G182</f>
        <v/>
      </c>
      <c r="AX182" s="254">
        <f>IF(AND(ISNUMBER(E182),ISNUMBER(W182)),E182-W182,"")</f>
        <v/>
      </c>
      <c r="AY182" s="254">
        <f>IF(AND(ISNUMBER(I182),ISNUMBER(AF182)),I182-AF182,"")</f>
        <v/>
      </c>
      <c r="AZ182" s="254">
        <f>IF(AND(ISNUMBER(AM182),ISNUMBER(G182)),G182-AM182,"")</f>
        <v/>
      </c>
      <c r="BA182" s="254">
        <f>IF(AND(ISNUMBER(AC182),ISNUMBER(AE182)),AC182-AE182,"")</f>
        <v/>
      </c>
      <c r="BB182" s="254">
        <f>IF(AND(ISNUMBER(AL182),ISNUMBER(AM182)),AL182-AM182,"")</f>
        <v/>
      </c>
      <c r="BC182" s="157">
        <f>IF(AND($E182&gt;0,$W182&gt;0),IF(($E182-$W182)/$E182&gt;0,($E182-$W182)/$E182,0),"")</f>
        <v/>
      </c>
      <c r="BD182" s="157">
        <f>IF(AND($I182&gt;0,$AF182&gt;=0),IF(($I182-$AF182)/$I182&gt;0,($I182-$AF182)/$I182,0),"")</f>
        <v/>
      </c>
      <c r="BE182" s="157">
        <f>IF(AND($AG182&gt;=0,$AD182&gt;=0,$AF182&gt;=0),IF($AG182/($AD182-$AF182)&gt;0,$AG182/($AD182-$AF182),0),"")</f>
        <v/>
      </c>
      <c r="BF182" s="157">
        <f>IF(AND($G182&gt;0,$AM182&gt;0),IF(($G182-$AM182)/$G182&gt;0,($G182-$AM182)/$G182,0),"")</f>
        <v/>
      </c>
      <c r="BG182" s="6">
        <f>IF((AD182-AF182)/(AJ182/60)&lt;=0,"",(AD182-AF182)/(AJ182/60))</f>
        <v/>
      </c>
      <c r="BH182" s="6">
        <f>IF(OR(AJ182=0,AP182=0,NOT(ISNUMBER(AD182)),NOT(ISNUMBER(AF182)),NOT(ISNUMBER(AJ182)),NOT(ISNUMBER(AP182))),"",
IFERROR(IF((AD182-AF182)/(AJ182/60)/(AP182/1000)&lt;=0,"",(AD182-AF182)/(AJ182/60)/(AP182/1000)),""))</f>
        <v/>
      </c>
    </row>
    <row r="183" ht="15.75" customHeight="1">
      <c r="B183" t="n">
        <v>-61</v>
      </c>
      <c r="D183" s="94" t="n">
        <v>45443</v>
      </c>
      <c r="E183" s="128" t="n"/>
      <c r="F183" s="3" t="n">
        <v>178</v>
      </c>
      <c r="G183" s="205">
        <f>IF(OR(S183="",S183=0),"",S183*2)</f>
        <v/>
      </c>
      <c r="J183" s="15" t="n"/>
      <c r="K183" s="15">
        <f>AD183</f>
        <v/>
      </c>
      <c r="M183" s="10">
        <f>IF(OR(E183="",G183="",E183=0,G183=0),"",E183/G183)</f>
        <v/>
      </c>
      <c r="N183" s="9">
        <f>IF(OR(E183="",I183="",E183=0,I183=0),"",E183/(I183*2))</f>
        <v/>
      </c>
      <c r="O183" s="8">
        <f>IF(OR(I183="",G183="",I183=0,G183=0),"",I183*2/G183)</f>
        <v/>
      </c>
      <c r="Z183" s="6" t="n">
        <v>6.45</v>
      </c>
      <c r="AD183" s="5" t="n">
        <v>80</v>
      </c>
      <c r="AF183" s="162">
        <f>($AD$181*5/7+$AD$188 *2/7)</f>
        <v/>
      </c>
      <c r="AH183" s="162">
        <f>($AF$182*6/7+$AF$188*1/7)</f>
        <v/>
      </c>
      <c r="AI183" s="67" t="n"/>
      <c r="AL183" s="231" t="n">
        <v>175</v>
      </c>
      <c r="AM183" s="3" t="n">
        <v>180</v>
      </c>
      <c r="AP183" s="255">
        <f>360-AK183-AB183</f>
        <v/>
      </c>
      <c r="AQ183" s="126" t="n"/>
      <c r="AR183" s="13">
        <f>AVERAGE(AO181:AO187)</f>
        <v/>
      </c>
      <c r="AS183" s="15">
        <f>IF(ISNUMBER([2]HRT_SRT!R237),[2]HRT_SRT!R237,"")</f>
        <v/>
      </c>
      <c r="AT183" s="156" t="n"/>
      <c r="AU183" s="155">
        <f>(I183-AF183)/I183</f>
        <v/>
      </c>
      <c r="AV183" s="155">
        <f>AG183/(AD183-AF183)</f>
        <v/>
      </c>
      <c r="AW183" s="155" t="n"/>
      <c r="AX183" s="254">
        <f>IF(AND(ISNUMBER(E183),ISNUMBER(W183)),E183-W183,"")</f>
        <v/>
      </c>
      <c r="AY183" s="254">
        <f>IF(AND(ISNUMBER(I183),ISNUMBER(AF183)),I183-AF183,"")</f>
        <v/>
      </c>
      <c r="AZ183" s="254">
        <f>IF(AND(ISNUMBER(AM183),ISNUMBER(G183)),G183-AM183,"")</f>
        <v/>
      </c>
      <c r="BA183" s="254">
        <f>IF(AND(ISNUMBER(AC183),ISNUMBER(AE183)),AC183-AE183,"")</f>
        <v/>
      </c>
      <c r="BB183" s="254">
        <f>IF(AND(ISNUMBER(AL183),ISNUMBER(AM183)),AL183-AM183,"")</f>
        <v/>
      </c>
      <c r="BC183" s="157">
        <f>IF(AND($E183&gt;0,$W183&gt;0),IF(($E183-$W183)/$E183&gt;0,($E183-$W183)/$E183,0),"")</f>
        <v/>
      </c>
      <c r="BD183" s="157">
        <f>IF(AND($I183&gt;0,$AF183&gt;=0),IF(($I183-$AF183)/$I183&gt;0,($I183-$AF183)/$I183,0),"")</f>
        <v/>
      </c>
      <c r="BE183" s="157">
        <f>IF(AND($AG183&gt;=0,$AD183&gt;=0,$AF183&gt;=0),IF($AG183/($AD183-$AF183)&gt;0,$AG183/($AD183-$AF183),0),"")</f>
        <v/>
      </c>
      <c r="BF183" s="157">
        <f>IF(AND($G183&gt;0,$AM183&gt;0),IF(($G183-$AM183)/$G183&gt;0,($G183-$AM183)/$G183,0),"")</f>
        <v/>
      </c>
      <c r="BG183" s="6">
        <f>IF((AD183-AF183)/(AJ183/60)&lt;=0,"",(AD183-AF183)/(AJ183/60))</f>
        <v/>
      </c>
      <c r="BH183" s="6">
        <f>IF(OR(AJ183=0,AP183=0,NOT(ISNUMBER(AD183)),NOT(ISNUMBER(AF183)),NOT(ISNUMBER(AJ183)),NOT(ISNUMBER(AP183))),"",
IFERROR(IF((AD183-AF183)/(AJ183/60)/(AP183/1000)&lt;=0,"",(AD183-AF183)/(AJ183/60)/(AP183/1000)),""))</f>
        <v/>
      </c>
    </row>
    <row r="184" ht="15.75" customHeight="1">
      <c r="B184" t="n">
        <v>-60</v>
      </c>
      <c r="D184" s="94" t="n">
        <v>45444</v>
      </c>
      <c r="E184" s="128" t="n"/>
      <c r="F184" s="3" t="n">
        <v>179</v>
      </c>
      <c r="G184" s="205">
        <f>IF(OR(S184="",S184=0),"",S184*2)</f>
        <v/>
      </c>
      <c r="K184" s="15">
        <f>AD184</f>
        <v/>
      </c>
      <c r="M184" s="10">
        <f>IF(OR(E184="",G184="",E184=0,G184=0),"",E184/G184)</f>
        <v/>
      </c>
      <c r="N184" s="9">
        <f>IF(OR(E184="",I184="",E184=0,I184=0),"",E184/(I184*2))</f>
        <v/>
      </c>
      <c r="O184" s="8">
        <f>IF(OR(I184="",G184="",I184=0,G184=0),"",I184*2/G184)</f>
        <v/>
      </c>
      <c r="AD184" s="5" t="n">
        <v>80</v>
      </c>
      <c r="AF184" s="162">
        <f>($AD$181*4/7+$AD$188 *3/7)</f>
        <v/>
      </c>
      <c r="AH184" s="162">
        <f>($AF$182*5/7+$AF$188*2/7)</f>
        <v/>
      </c>
      <c r="AI184" s="67" t="n"/>
      <c r="AL184" s="231" t="n">
        <v>175</v>
      </c>
      <c r="AM184" s="3" t="n">
        <v>180</v>
      </c>
      <c r="AP184" s="255">
        <f>360-AK184-AB184</f>
        <v/>
      </c>
      <c r="AQ184" s="126" t="n"/>
      <c r="AR184" s="13">
        <f>AVERAGE(AO182:AO188)</f>
        <v/>
      </c>
      <c r="AS184" s="15">
        <f>IF(ISNUMBER([2]HRT_SRT!R238),[2]HRT_SRT!R238,"")</f>
        <v/>
      </c>
      <c r="AT184" s="156" t="n"/>
      <c r="AU184" s="155">
        <f>(I184-AF184)/I184</f>
        <v/>
      </c>
      <c r="AV184" s="155">
        <f>AG184/(AD184-AF184)</f>
        <v/>
      </c>
      <c r="AW184" s="155" t="n"/>
      <c r="AX184" s="254">
        <f>IF(AND(ISNUMBER(E184),ISNUMBER(W184)),E184-W184,"")</f>
        <v/>
      </c>
      <c r="AY184" s="254">
        <f>IF(AND(ISNUMBER(I184),ISNUMBER(AF184)),I184-AF184,"")</f>
        <v/>
      </c>
      <c r="AZ184" s="254">
        <f>IF(AND(ISNUMBER(AM184),ISNUMBER(G184)),G184-AM184,"")</f>
        <v/>
      </c>
      <c r="BA184" s="254">
        <f>IF(AND(ISNUMBER(AC184),ISNUMBER(AE184)),AC184-AE184,"")</f>
        <v/>
      </c>
      <c r="BB184" s="254">
        <f>IF(AND(ISNUMBER(AL184),ISNUMBER(AM184)),AL184-AM184,"")</f>
        <v/>
      </c>
      <c r="BC184" s="157">
        <f>IF(AND($E184&gt;0,$W184&gt;0),IF(($E184-$W184)/$E184&gt;0,($E184-$W184)/$E184,0),"")</f>
        <v/>
      </c>
      <c r="BD184" s="157">
        <f>IF(AND($I184&gt;0,$AF184&gt;=0),IF(($I184-$AF184)/$I184&gt;0,($I184-$AF184)/$I184,0),"")</f>
        <v/>
      </c>
      <c r="BE184" s="157">
        <f>IF(AND($AG184&gt;=0,$AD184&gt;=0,$AF184&gt;=0),IF($AG184/($AD184-$AF184)&gt;0,$AG184/($AD184-$AF184),0),"")</f>
        <v/>
      </c>
      <c r="BF184" s="157">
        <f>IF(AND($G184&gt;0,$AM184&gt;0),IF(($G184-$AM184)/$G184&gt;0,($G184-$AM184)/$G184,0),"")</f>
        <v/>
      </c>
      <c r="BG184" s="6">
        <f>IF((AD184-AF184)/(AJ184/60)&lt;=0,"",(AD184-AF184)/(AJ184/60))</f>
        <v/>
      </c>
      <c r="BH184" s="6">
        <f>IF(OR(AJ184=0,AP184=0,NOT(ISNUMBER(AD184)),NOT(ISNUMBER(AF184)),NOT(ISNUMBER(AJ184)),NOT(ISNUMBER(AP184))),"",
IFERROR(IF((AD184-AF184)/(AJ184/60)/(AP184/1000)&lt;=0,"",(AD184-AF184)/(AJ184/60)/(AP184/1000)),""))</f>
        <v/>
      </c>
    </row>
    <row r="185" ht="15.75" customHeight="1">
      <c r="B185" t="n">
        <v>-59</v>
      </c>
      <c r="D185" s="94" t="n">
        <v>45445</v>
      </c>
      <c r="E185" s="128" t="n"/>
      <c r="F185" s="3" t="n">
        <v>180</v>
      </c>
      <c r="G185" s="205">
        <f>IF(OR(S185="",S185=0),"",S185*2)</f>
        <v/>
      </c>
      <c r="K185" s="15">
        <f>AD185</f>
        <v/>
      </c>
      <c r="M185" s="10">
        <f>IF(OR(E185="",G185="",E185=0,G185=0),"",E185/G185)</f>
        <v/>
      </c>
      <c r="N185" s="9">
        <f>IF(OR(E185="",I185="",E185=0,I185=0),"",E185/(I185*2))</f>
        <v/>
      </c>
      <c r="O185" s="8">
        <f>IF(OR(I185="",G185="",I185=0,G185=0),"",I185*2/G185)</f>
        <v/>
      </c>
      <c r="P185" s="6" t="n"/>
      <c r="AD185" s="5" t="n">
        <v>80</v>
      </c>
      <c r="AE185" s="231" t="n"/>
      <c r="AF185" s="162">
        <f>($AD$181*3/7+$AD$188 *4/7)</f>
        <v/>
      </c>
      <c r="AH185" s="162">
        <f>($AF$182*4/7+$AF$188*3/7)</f>
        <v/>
      </c>
      <c r="AI185" s="98" t="n">
        <v>3.74</v>
      </c>
      <c r="AJ185" s="119" t="n">
        <v>0.8116898148148148</v>
      </c>
      <c r="AL185" s="231" t="n">
        <v>175</v>
      </c>
      <c r="AM185" s="3" t="n">
        <v>180</v>
      </c>
      <c r="AN185" s="231" t="n"/>
      <c r="AP185" s="255">
        <f>360-AK185-AB185</f>
        <v/>
      </c>
      <c r="AQ185" s="126" t="n"/>
      <c r="AR185" s="13">
        <f>AVERAGE(AO183:AO189)</f>
        <v/>
      </c>
      <c r="AS185" s="15">
        <f>IF(ISNUMBER([2]HRT_SRT!R239),[2]HRT_SRT!R239,"")</f>
        <v/>
      </c>
      <c r="AT185" s="156" t="n"/>
      <c r="AU185" s="155">
        <f>(I185-AF185)/I185</f>
        <v/>
      </c>
      <c r="AV185" s="155">
        <f>AG185/(AD185-AF185)</f>
        <v/>
      </c>
      <c r="AW185" s="155" t="n"/>
      <c r="AX185" s="254">
        <f>IF(AND(ISNUMBER(E185),ISNUMBER(W185)),E185-W185,"")</f>
        <v/>
      </c>
      <c r="AY185" s="254">
        <f>IF(AND(ISNUMBER(I185),ISNUMBER(AF185)),I185-AF185,"")</f>
        <v/>
      </c>
      <c r="AZ185" s="254">
        <f>IF(AND(ISNUMBER(AM185),ISNUMBER(G185)),G185-AM185,"")</f>
        <v/>
      </c>
      <c r="BA185" s="254">
        <f>IF(AND(ISNUMBER(AC185),ISNUMBER(AE185)),AC185-AE185,"")</f>
        <v/>
      </c>
      <c r="BB185" s="254">
        <f>IF(AND(ISNUMBER(AL185),ISNUMBER(AM185)),AL185-AM185,"")</f>
        <v/>
      </c>
      <c r="BC185" s="157">
        <f>IF(AND($E185&gt;0,$W185&gt;0),IF(($E185-$W185)/$E185&gt;0,($E185-$W185)/$E185,0),"")</f>
        <v/>
      </c>
      <c r="BD185" s="157">
        <f>IF(AND($I185&gt;0,$AF185&gt;=0),IF(($I185-$AF185)/$I185&gt;0,($I185-$AF185)/$I185,0),"")</f>
        <v/>
      </c>
      <c r="BE185" s="157">
        <f>IF(AND($AG185&gt;=0,$AD185&gt;=0,$AF185&gt;=0),IF($AG185/($AD185-$AF185)&gt;0,$AG185/($AD185-$AF185),0),"")</f>
        <v/>
      </c>
      <c r="BF185" s="157">
        <f>IF(AND($G185&gt;0,$AM185&gt;0),IF(($G185-$AM185)/$G185&gt;0,($G185-$AM185)/$G185,0),"")</f>
        <v/>
      </c>
      <c r="BG185" s="6">
        <f>IF((AD185-AF185)/(AJ185/60)&lt;=0,"",(AD185-AF185)/(AJ185/60))</f>
        <v/>
      </c>
      <c r="BH185" s="6">
        <f>IF(OR(AJ185=0,AP185=0,NOT(ISNUMBER(AD185)),NOT(ISNUMBER(AF185)),NOT(ISNUMBER(AJ185)),NOT(ISNUMBER(AP185))),"",
IFERROR(IF((AD185-AF185)/(AJ185/60)/(AP185/1000)&lt;=0,"",(AD185-AF185)/(AJ185/60)/(AP185/1000)),""))</f>
        <v/>
      </c>
    </row>
    <row r="186" ht="15.75" customHeight="1">
      <c r="B186" t="n">
        <v>-58</v>
      </c>
      <c r="D186" s="94" t="n">
        <v>45446</v>
      </c>
      <c r="E186" s="128" t="n"/>
      <c r="F186" s="3" t="n">
        <v>181</v>
      </c>
      <c r="G186" s="205">
        <f>IF(OR(S186="",S186=0),"",S186*2)</f>
        <v/>
      </c>
      <c r="K186" s="15">
        <f>AD186</f>
        <v/>
      </c>
      <c r="M186" s="10">
        <f>IF(OR(E186="",G186="",E186=0,G186=0),"",E186/G186)</f>
        <v/>
      </c>
      <c r="N186" s="9">
        <f>IF(OR(E186="",I186="",E186=0,I186=0),"",E186/(I186*2))</f>
        <v/>
      </c>
      <c r="O186" s="8">
        <f>IF(OR(I186="",G186="",I186=0,G186=0),"",I186*2/G186)</f>
        <v/>
      </c>
      <c r="AD186" s="5" t="n">
        <v>80</v>
      </c>
      <c r="AF186" s="162">
        <f>($AD$181*2/7+$AD$188 *5/7)</f>
        <v/>
      </c>
      <c r="AH186" s="162">
        <f>($AF$182*2/7+$AF$188*5/7)</f>
        <v/>
      </c>
      <c r="AI186" s="98" t="n">
        <v>3.79</v>
      </c>
      <c r="AJ186" s="119" t="n">
        <v>0.4778935185185185</v>
      </c>
      <c r="AL186" s="231" t="n">
        <v>175</v>
      </c>
      <c r="AM186" s="3" t="n">
        <v>180</v>
      </c>
      <c r="AP186" s="255">
        <f>360-AK186-AB186</f>
        <v/>
      </c>
      <c r="AQ186" s="126" t="n"/>
      <c r="AR186" s="13">
        <f>AVERAGE(AO184:AO190)</f>
        <v/>
      </c>
      <c r="AS186" s="15">
        <f>IF(ISNUMBER([2]HRT_SRT!R240),[2]HRT_SRT!R240,"")</f>
        <v/>
      </c>
      <c r="AT186" s="156" t="n"/>
      <c r="AU186" s="155">
        <f>(I186-AF186)/I186</f>
        <v/>
      </c>
      <c r="AV186" s="155">
        <f>AG186/(AD186-AF186)</f>
        <v/>
      </c>
      <c r="AW186" s="155" t="n"/>
      <c r="AX186" s="254">
        <f>IF(AND(ISNUMBER(E186),ISNUMBER(W186)),E186-W186,"")</f>
        <v/>
      </c>
      <c r="AY186" s="254">
        <f>IF(AND(ISNUMBER(I186),ISNUMBER(AF186)),I186-AF186,"")</f>
        <v/>
      </c>
      <c r="AZ186" s="254">
        <f>IF(AND(ISNUMBER(AM186),ISNUMBER(G186)),G186-AM186,"")</f>
        <v/>
      </c>
      <c r="BA186" s="254">
        <f>IF(AND(ISNUMBER(AC186),ISNUMBER(AE186)),AC186-AE186,"")</f>
        <v/>
      </c>
      <c r="BB186" s="254">
        <f>IF(AND(ISNUMBER(AL186),ISNUMBER(AM186)),AL186-AM186,"")</f>
        <v/>
      </c>
      <c r="BC186" s="157">
        <f>IF(AND($E186&gt;0,$W186&gt;0),IF(($E186-$W186)/$E186&gt;0,($E186-$W186)/$E186,0),"")</f>
        <v/>
      </c>
      <c r="BD186" s="157">
        <f>IF(AND($I186&gt;0,$AF186&gt;=0),IF(($I186-$AF186)/$I186&gt;0,($I186-$AF186)/$I186,0),"")</f>
        <v/>
      </c>
      <c r="BE186" s="157">
        <f>IF(AND($AG186&gt;=0,$AD186&gt;=0,$AF186&gt;=0),IF($AG186/($AD186-$AF186)&gt;0,$AG186/($AD186-$AF186),0),"")</f>
        <v/>
      </c>
      <c r="BF186" s="157">
        <f>IF(AND($G186&gt;0,$AM186&gt;0),IF(($G186-$AM186)/$G186&gt;0,($G186-$AM186)/$G186,0),"")</f>
        <v/>
      </c>
      <c r="BG186" s="6">
        <f>IF((AD186-AF186)/(AJ186/60)&lt;=0,"",(AD186-AF186)/(AJ186/60))</f>
        <v/>
      </c>
      <c r="BH186" s="6">
        <f>IF(OR(AJ186=0,AP186=0,NOT(ISNUMBER(AD186)),NOT(ISNUMBER(AF186)),NOT(ISNUMBER(AJ186)),NOT(ISNUMBER(AP186))),"",
IFERROR(IF((AD186-AF186)/(AJ186/60)/(AP186/1000)&lt;=0,"",(AD186-AF186)/(AJ186/60)/(AP186/1000)),""))</f>
        <v/>
      </c>
    </row>
    <row r="187" ht="15.75" customHeight="1">
      <c r="B187" t="n">
        <v>-57</v>
      </c>
      <c r="D187" s="94" t="n">
        <v>45447</v>
      </c>
      <c r="E187" s="128" t="n"/>
      <c r="F187" s="3" t="n">
        <v>182</v>
      </c>
      <c r="G187" s="205">
        <f>IF(OR(S187="",S187=0),"",S187*2)</f>
        <v/>
      </c>
      <c r="K187" s="15">
        <f>AD187</f>
        <v/>
      </c>
      <c r="M187" s="10">
        <f>IF(OR(E187="",G187="",E187=0,G187=0),"",E187/G187)</f>
        <v/>
      </c>
      <c r="N187" s="9">
        <f>IF(OR(E187="",I187="",E187=0,I187=0),"",E187/(I187*2))</f>
        <v/>
      </c>
      <c r="O187" s="8">
        <f>IF(OR(I187="",G187="",I187=0,G187=0),"",I187*2/G187)</f>
        <v/>
      </c>
      <c r="AD187" s="5" t="n">
        <v>80</v>
      </c>
      <c r="AF187" s="162">
        <f>($AD$181*1/7+$AD$188 *6/7)</f>
        <v/>
      </c>
      <c r="AH187" s="162">
        <f>($AF$182*1/7+$AF$188*6/7)</f>
        <v/>
      </c>
      <c r="AI187" s="98" t="n">
        <v>4.73</v>
      </c>
      <c r="AJ187" s="119" t="n">
        <v>0.4780092592592592</v>
      </c>
      <c r="AL187" s="231" t="n">
        <v>175</v>
      </c>
      <c r="AM187" s="3" t="n">
        <v>180</v>
      </c>
      <c r="AP187" s="255">
        <f>360-AK187-AB187</f>
        <v/>
      </c>
      <c r="AQ187" s="126" t="n"/>
      <c r="AR187" s="13">
        <f>AVERAGE(AO185:AO191)</f>
        <v/>
      </c>
      <c r="AS187" s="15">
        <f>IF(ISNUMBER([2]HRT_SRT!R241),[2]HRT_SRT!R241,"")</f>
        <v/>
      </c>
      <c r="AT187" s="156" t="n"/>
      <c r="AU187" s="155">
        <f>(I187-AF187)/I187</f>
        <v/>
      </c>
      <c r="AV187" s="155">
        <f>AG187/(AD187-AF187)</f>
        <v/>
      </c>
      <c r="AW187" s="155" t="n"/>
      <c r="AX187" s="254">
        <f>IF(AND(ISNUMBER(E187),ISNUMBER(W187)),E187-W187,"")</f>
        <v/>
      </c>
      <c r="AY187" s="254">
        <f>IF(AND(ISNUMBER(I187),ISNUMBER(AF187)),I187-AF187,"")</f>
        <v/>
      </c>
      <c r="AZ187" s="254">
        <f>IF(AND(ISNUMBER(AM187),ISNUMBER(G187)),G187-AM187,"")</f>
        <v/>
      </c>
      <c r="BA187" s="254">
        <f>IF(AND(ISNUMBER(AC187),ISNUMBER(AE187)),AC187-AE187,"")</f>
        <v/>
      </c>
      <c r="BB187" s="254">
        <f>IF(AND(ISNUMBER(AL187),ISNUMBER(AM187)),AL187-AM187,"")</f>
        <v/>
      </c>
      <c r="BC187" s="157">
        <f>IF(AND($E187&gt;0,$W187&gt;0),IF(($E187-$W187)/$E187&gt;0,($E187-$W187)/$E187,0),"")</f>
        <v/>
      </c>
      <c r="BD187" s="157">
        <f>IF(AND($I187&gt;0,$AF187&gt;=0),IF(($I187-$AF187)/$I187&gt;0,($I187-$AF187)/$I187,0),"")</f>
        <v/>
      </c>
      <c r="BE187" s="157">
        <f>IF(AND($AG187&gt;=0,$AD187&gt;=0,$AF187&gt;=0),IF($AG187/($AD187-$AF187)&gt;0,$AG187/($AD187-$AF187),0),"")</f>
        <v/>
      </c>
      <c r="BF187" s="157">
        <f>IF(AND($G187&gt;0,$AM187&gt;0),IF(($G187-$AM187)/$G187&gt;0,($G187-$AM187)/$G187,0),"")</f>
        <v/>
      </c>
      <c r="BG187" s="6">
        <f>IF((AD187-AF187)/(AJ187/60)&lt;=0,"",(AD187-AF187)/(AJ187/60))</f>
        <v/>
      </c>
      <c r="BH187" s="6">
        <f>IF(OR(AJ187=0,AP187=0,NOT(ISNUMBER(AD187)),NOT(ISNUMBER(AF187)),NOT(ISNUMBER(AJ187)),NOT(ISNUMBER(AP187))),"",
IFERROR(IF((AD187-AF187)/(AJ187/60)/(AP187/1000)&lt;=0,"",(AD187-AF187)/(AJ187/60)/(AP187/1000)),""))</f>
        <v/>
      </c>
    </row>
    <row r="188" ht="15.75" customHeight="1">
      <c r="B188" t="n">
        <v>-56</v>
      </c>
      <c r="C188" s="121" t="n">
        <v>0.08400000000000001</v>
      </c>
      <c r="D188" s="94" t="n">
        <v>45448</v>
      </c>
      <c r="E188" s="128" t="n"/>
      <c r="F188" s="161" t="n">
        <v>183</v>
      </c>
      <c r="G188" s="205">
        <f>IF(OR(S188="",S188=0),"",S188*2)</f>
        <v/>
      </c>
      <c r="I188" s="15">
        <f>(N188*18-H188*18)/9</f>
        <v/>
      </c>
      <c r="J188" s="15" t="n">
        <v>16.9</v>
      </c>
      <c r="K188" s="15">
        <f>AD188</f>
        <v/>
      </c>
      <c r="M188" s="10">
        <f>IF(OR(E188="",G188="",E188=0,G188=0),"",E188/G188)</f>
        <v/>
      </c>
      <c r="N188" s="9">
        <f>IF(OR(E188="",I188="",E188=0,I188=0),"",E188/(I188*2))</f>
        <v/>
      </c>
      <c r="O188" s="8">
        <f>IF(OR(I188="",G188="",I188=0,G188=0),"",I188*2/G188)</f>
        <v/>
      </c>
      <c r="P188" s="7" t="n">
        <v>27.6</v>
      </c>
      <c r="Q188" s="6" t="n">
        <v>78.05500000000001</v>
      </c>
      <c r="R188" s="6" t="n">
        <v>17.907</v>
      </c>
      <c r="S188" s="6">
        <f>O188*1.067</f>
        <v/>
      </c>
      <c r="T188" s="6">
        <f>P188*1.514</f>
        <v/>
      </c>
      <c r="U188" s="23">
        <f>P188*1.514+O188*1.067</f>
        <v/>
      </c>
      <c r="V188" s="6" t="n">
        <v>34</v>
      </c>
      <c r="Y188" s="6">
        <f>0.737+0.997</f>
        <v/>
      </c>
      <c r="Z188" s="6" t="n">
        <v>9.01</v>
      </c>
      <c r="AD188" s="5" t="n">
        <v>80</v>
      </c>
      <c r="AE188" s="7">
        <f>T188</f>
        <v/>
      </c>
      <c r="AF188" s="231">
        <f>5*4.72</f>
        <v/>
      </c>
      <c r="AG188" s="231" t="n">
        <v>25.4</v>
      </c>
      <c r="AH188" s="231">
        <f>5*2.28</f>
        <v/>
      </c>
      <c r="AI188" s="98" t="n">
        <v>2.27</v>
      </c>
      <c r="AJ188" s="119" t="n">
        <v>0.477662037037037</v>
      </c>
      <c r="AL188" s="231" t="n">
        <v>175</v>
      </c>
      <c r="AM188" s="3" t="n">
        <v>180</v>
      </c>
      <c r="AN188" s="4">
        <f>AE188</f>
        <v/>
      </c>
      <c r="AO188" s="231" t="n">
        <v>24.7</v>
      </c>
      <c r="AP188" s="255">
        <f>360-AK188-AB188</f>
        <v/>
      </c>
      <c r="AQ188" s="126">
        <f>[2]HRT_SRT!P242</f>
        <v/>
      </c>
      <c r="AR188" s="13">
        <f>AVERAGE(AO186:AO192)</f>
        <v/>
      </c>
      <c r="AS188" s="15">
        <f>IF(ISNUMBER([2]HRT_SRT!R242),[2]HRT_SRT!R242,"")</f>
        <v/>
      </c>
      <c r="AT188" s="156">
        <f>(E188-W188)/E188</f>
        <v/>
      </c>
      <c r="AU188" s="155">
        <f>(I188-AF188)/I188</f>
        <v/>
      </c>
      <c r="AV188" s="155">
        <f>AG188/(AD188-AF188)</f>
        <v/>
      </c>
      <c r="AW188" s="155">
        <f>(G188-AM188)/G188</f>
        <v/>
      </c>
      <c r="AX188" s="254">
        <f>IF(AND(ISNUMBER(E188),ISNUMBER(W188)),E188-W188,"")</f>
        <v/>
      </c>
      <c r="AY188" s="254">
        <f>IF(AND(ISNUMBER(I188),ISNUMBER(AF188)),I188-AF188,"")</f>
        <v/>
      </c>
      <c r="AZ188" s="254">
        <f>IF(AND(ISNUMBER(AM188),ISNUMBER(G188)),G188-AM188,"")</f>
        <v/>
      </c>
      <c r="BA188" s="254">
        <f>IF(AND(ISNUMBER(AC188),ISNUMBER(AE188)),AC188-AE188,"")</f>
        <v/>
      </c>
      <c r="BB188" s="254">
        <f>IF(AND(ISNUMBER(AL188),ISNUMBER(AM188)),AL188-AM188,"")</f>
        <v/>
      </c>
      <c r="BC188" s="157">
        <f>IF(AND($E188&gt;0,$W188&gt;0),IF(($E188-$W188)/$E188&gt;0,($E188-$W188)/$E188,0),"")</f>
        <v/>
      </c>
      <c r="BD188" s="157">
        <f>IF(AND($I188&gt;0,$AF188&gt;=0),IF(($I188-$AF188)/$I188&gt;0,($I188-$AF188)/$I188,0),"")</f>
        <v/>
      </c>
      <c r="BE188" s="157">
        <f>IF(AND($AG188&gt;=0,$AD188&gt;=0,$AF188&gt;=0),IF($AG188/($AD188-$AF188)&gt;0,$AG188/($AD188-$AF188),0),"")</f>
        <v/>
      </c>
      <c r="BF188" s="157">
        <f>IF(AND($G188&gt;0,$AM188&gt;0),IF(($G188-$AM188)/$G188&gt;0,($G188-$AM188)/$G188,0),"")</f>
        <v/>
      </c>
      <c r="BG188" s="6">
        <f>IF((AD188-AF188)/(AJ188/60)&lt;=0,"",(AD188-AF188)/(AJ188/60))</f>
        <v/>
      </c>
      <c r="BH188" s="6">
        <f>IF(OR(AJ188=0,AP188=0,NOT(ISNUMBER(AD188)),NOT(ISNUMBER(AF188)),NOT(ISNUMBER(AJ188)),NOT(ISNUMBER(AP188))),"",
IFERROR(IF((AD188-AF188)/(AJ188/60)/(AP188/1000)&lt;=0,"",(AD188-AF188)/(AJ188/60)/(AP188/1000)),""))</f>
        <v/>
      </c>
    </row>
    <row r="189" ht="15.75" customHeight="1">
      <c r="B189" t="n">
        <v>-55</v>
      </c>
      <c r="D189" s="94" t="n">
        <v>45449</v>
      </c>
      <c r="E189" s="128" t="n"/>
      <c r="F189" s="3" t="n">
        <v>184</v>
      </c>
      <c r="G189" s="205">
        <f>IF(OR(S189="",S189=0),"",S189*2)</f>
        <v/>
      </c>
      <c r="I189" s="15">
        <f>(N189*18-H189*18)/9</f>
        <v/>
      </c>
      <c r="K189" s="15">
        <f>AD189</f>
        <v/>
      </c>
      <c r="M189" s="10">
        <f>IF(OR(E189="",G189="",E189=0,G189=0),"",E189/G189)</f>
        <v/>
      </c>
      <c r="N189" s="9">
        <f>IF(OR(E189="",I189="",E189=0,I189=0),"",E189/(I189*2))</f>
        <v/>
      </c>
      <c r="O189" s="8">
        <f>IF(OR(I189="",G189="",I189=0,G189=0),"",I189*2/G189)</f>
        <v/>
      </c>
      <c r="Z189" s="6" t="n">
        <v>8.720000000000001</v>
      </c>
      <c r="AD189" s="5" t="n">
        <v>80</v>
      </c>
      <c r="AF189" s="135">
        <f>AD188</f>
        <v/>
      </c>
      <c r="AH189" s="135">
        <f>5*2.28</f>
        <v/>
      </c>
      <c r="AI189" s="98" t="n">
        <v>3.44</v>
      </c>
      <c r="AJ189" s="119" t="n">
        <v>0.4688657407407407</v>
      </c>
      <c r="AL189" s="231" t="n">
        <v>175</v>
      </c>
      <c r="AM189" s="3" t="n">
        <v>180</v>
      </c>
      <c r="AP189" s="255">
        <f>360-AK189-AB189</f>
        <v/>
      </c>
      <c r="AQ189" s="126" t="n"/>
      <c r="AR189" s="13">
        <f>AVERAGE(AO187:AO193)</f>
        <v/>
      </c>
      <c r="AS189" s="15">
        <f>IF(ISNUMBER([2]HRT_SRT!R243),[2]HRT_SRT!R243,"")</f>
        <v/>
      </c>
      <c r="AT189" s="156" t="n"/>
      <c r="AU189" s="155">
        <f>(I189-AF189)/I189</f>
        <v/>
      </c>
      <c r="AV189" s="155">
        <f>AG189/(AD189-AF189)</f>
        <v/>
      </c>
      <c r="AW189" s="155" t="n"/>
      <c r="AX189" s="254">
        <f>IF(AND(ISNUMBER(E189),ISNUMBER(W189)),E189-W189,"")</f>
        <v/>
      </c>
      <c r="AY189" s="254">
        <f>IF(AND(ISNUMBER(I189),ISNUMBER(AF189)),I189-AF189,"")</f>
        <v/>
      </c>
      <c r="AZ189" s="254">
        <f>IF(AND(ISNUMBER(AM189),ISNUMBER(G189)),G189-AM189,"")</f>
        <v/>
      </c>
      <c r="BA189" s="254">
        <f>IF(AND(ISNUMBER(AC189),ISNUMBER(AE189)),AC189-AE189,"")</f>
        <v/>
      </c>
      <c r="BB189" s="254">
        <f>IF(AND(ISNUMBER(AL189),ISNUMBER(AM189)),AL189-AM189,"")</f>
        <v/>
      </c>
      <c r="BC189" s="157">
        <f>IF(AND($E189&gt;0,$W189&gt;0),IF(($E189-$W189)/$E189&gt;0,($E189-$W189)/$E189,0),"")</f>
        <v/>
      </c>
      <c r="BD189" s="157">
        <f>IF(AND($I189&gt;0,$AF189&gt;=0),IF(($I189-$AF189)/$I189&gt;0,($I189-$AF189)/$I189,0),"")</f>
        <v/>
      </c>
      <c r="BE189" s="157">
        <f>IF(AND($AG189&gt;=0,$AD189&gt;=0,$AF189&gt;=0),IF($AG189/($AD189-$AF189)&gt;0,$AG189/($AD189-$AF189),0),"")</f>
        <v/>
      </c>
      <c r="BF189" s="157">
        <f>IF(AND($G189&gt;0,$AM189&gt;0),IF(($G189-$AM189)/$G189&gt;0,($G189-$AM189)/$G189,0),"")</f>
        <v/>
      </c>
      <c r="BG189" s="6">
        <f>IF((AD189-AF189)/(AJ189/60)&lt;=0,"",(AD189-AF189)/(AJ189/60))</f>
        <v/>
      </c>
      <c r="BH189" s="6">
        <f>IF(OR(AJ189=0,AP189=0,NOT(ISNUMBER(AD189)),NOT(ISNUMBER(AF189)),NOT(ISNUMBER(AJ189)),NOT(ISNUMBER(AP189))),"",
IFERROR(IF((AD189-AF189)/(AJ189/60)/(AP189/1000)&lt;=0,"",(AD189-AF189)/(AJ189/60)/(AP189/1000)),""))</f>
        <v/>
      </c>
    </row>
    <row r="190" ht="15.75" customFormat="1" customHeight="1" s="27">
      <c r="B190" t="n">
        <v>-54</v>
      </c>
      <c r="C190" s="160" t="n"/>
      <c r="D190" s="159" t="n">
        <v>45450</v>
      </c>
      <c r="E190" s="128" t="n"/>
      <c r="F190" s="29" t="n">
        <v>185</v>
      </c>
      <c r="G190" s="205">
        <f>IF(OR(S190="",S190=0),"",S190*2)</f>
        <v/>
      </c>
      <c r="H190" s="36" t="n"/>
      <c r="I190" s="36" t="n"/>
      <c r="J190" s="36" t="n"/>
      <c r="K190" s="15">
        <f>AD190</f>
        <v/>
      </c>
      <c r="L190" s="35" t="n"/>
      <c r="M190" s="10">
        <f>IF(OR(E190="",G190="",E190=0,G190=0),"",E190/G190)</f>
        <v/>
      </c>
      <c r="N190" s="9">
        <f>IF(OR(E190="",I190="",E190=0,I190=0),"",E190/(I190*2))</f>
        <v/>
      </c>
      <c r="O190" s="8">
        <f>IF(OR(I190="",G190="",I190=0,G190=0),"",I190*2/G190)</f>
        <v/>
      </c>
      <c r="P190" s="34" t="n"/>
      <c r="Q190" s="33" t="n"/>
      <c r="R190" s="33" t="n"/>
      <c r="S190" s="33" t="n"/>
      <c r="T190" s="33" t="n"/>
      <c r="U190" s="33" t="n"/>
      <c r="V190" s="33" t="n"/>
      <c r="W190" s="33" t="n"/>
      <c r="X190" s="33" t="n"/>
      <c r="Y190" s="33" t="n"/>
      <c r="Z190" s="33" t="n"/>
      <c r="AA190" s="33" t="n"/>
      <c r="AB190" s="33" t="n"/>
      <c r="AC190" s="33" t="n"/>
      <c r="AD190" s="74" t="n">
        <v>80</v>
      </c>
      <c r="AE190" s="32" t="n"/>
      <c r="AF190" s="158">
        <f>AD189</f>
        <v/>
      </c>
      <c r="AH190" s="158">
        <f>5*2.28</f>
        <v/>
      </c>
      <c r="AI190" s="116" t="n">
        <v>0.02</v>
      </c>
      <c r="AJ190" s="125" t="n">
        <v>0.4793981481481481</v>
      </c>
      <c r="AL190" s="27" t="n">
        <v>175</v>
      </c>
      <c r="AM190" s="29" t="n">
        <v>180</v>
      </c>
      <c r="AN190" s="32" t="n"/>
      <c r="AP190" s="253">
        <f>360-AK190-AB190</f>
        <v/>
      </c>
      <c r="AQ190" s="127" t="n"/>
      <c r="AR190" s="13">
        <f>AVERAGE(AO188:AO194)</f>
        <v/>
      </c>
      <c r="AS190" s="77">
        <f>IF(ISNUMBER([2]HRT_SRT!R244),[2]HRT_SRT!R244,"")</f>
        <v/>
      </c>
      <c r="AT190" s="156" t="n"/>
      <c r="AU190" s="155">
        <f>(I190-AF190)/I190</f>
        <v/>
      </c>
      <c r="AV190" s="155">
        <f>AG190/(AD190-AF190)</f>
        <v/>
      </c>
      <c r="AW190" s="155" t="n"/>
      <c r="AX190" s="254">
        <f>IF(AND(ISNUMBER(E190),ISNUMBER(W190)),E190-W190,"")</f>
        <v/>
      </c>
      <c r="AY190" s="254">
        <f>IF(AND(ISNUMBER(I190),ISNUMBER(AF190)),I190-AF190,"")</f>
        <v/>
      </c>
      <c r="AZ190" s="254">
        <f>IF(AND(ISNUMBER(AM190),ISNUMBER(G190)),G190-AM190,"")</f>
        <v/>
      </c>
      <c r="BA190" s="254">
        <f>IF(AND(ISNUMBER(AC190),ISNUMBER(AE190)),AC190-AE190,"")</f>
        <v/>
      </c>
      <c r="BB190" s="254">
        <f>IF(AND(ISNUMBER(AL190),ISNUMBER(AM190)),AL190-AM190,"")</f>
        <v/>
      </c>
      <c r="BC190" s="157">
        <f>IF(AND($E190&gt;0,$W190&gt;0),IF(($E190-$W190)/$E190&gt;0,($E190-$W190)/$E190,0),"")</f>
        <v/>
      </c>
      <c r="BD190" s="157">
        <f>IF(AND($I190&gt;0,$AF190&gt;=0),IF(($I190-$AF190)/$I190&gt;0,($I190-$AF190)/$I190,0),"")</f>
        <v/>
      </c>
      <c r="BE190" s="157">
        <f>IF(AND($AG190&gt;=0,$AD190&gt;=0,$AF190&gt;=0),IF($AG190/($AD190-$AF190)&gt;0,$AG190/($AD190-$AF190),0),"")</f>
        <v/>
      </c>
      <c r="BF190" s="157">
        <f>IF(AND($G190&gt;0,$AM190&gt;0),IF(($G190-$AM190)/$G190&gt;0,($G190-$AM190)/$G190,0),"")</f>
        <v/>
      </c>
      <c r="BG190" s="6">
        <f>IF((AD190-AF190)/(AJ190/60)&lt;=0,"",(AD190-AF190)/(AJ190/60))</f>
        <v/>
      </c>
      <c r="BH190" s="6">
        <f>IF(OR(AJ190=0,AP190=0,NOT(ISNUMBER(AD190)),NOT(ISNUMBER(AF190)),NOT(ISNUMBER(AJ190)),NOT(ISNUMBER(AP190))),"",
IFERROR(IF((AD190-AF190)/(AJ190/60)/(AP190/1000)&lt;=0,"",(AD190-AF190)/(AJ190/60)/(AP190/1000)),""))</f>
        <v/>
      </c>
    </row>
    <row r="191" ht="15.75" customHeight="1">
      <c r="B191" t="n">
        <v>-53</v>
      </c>
      <c r="C191" s="12" t="inlineStr">
        <is>
          <t>II</t>
        </is>
      </c>
      <c r="D191" s="134" t="n">
        <v>45451</v>
      </c>
      <c r="E191" s="133" t="n"/>
      <c r="F191" s="3" t="n">
        <v>186</v>
      </c>
      <c r="G191" s="205">
        <f>IF(OR(S191="",S191=0),"",S191*2)</f>
        <v/>
      </c>
      <c r="K191" s="15">
        <f>AD191</f>
        <v/>
      </c>
      <c r="M191" s="10">
        <f>IF(OR(E191="",G191="",E191=0,G191=0),"",E191/G191)</f>
        <v/>
      </c>
      <c r="N191" s="9">
        <f>IF(OR(E191="",I191="",E191=0,I191=0),"",E191/(I191*2))</f>
        <v/>
      </c>
      <c r="O191" s="8">
        <f>IF(OR(I191="",G191="",I191=0,G191=0),"",I191*2/G191)</f>
        <v/>
      </c>
      <c r="AD191" s="5" t="n">
        <v>80</v>
      </c>
      <c r="AF191" s="135">
        <f>15</f>
        <v/>
      </c>
      <c r="AH191" s="135" t="n">
        <v>0</v>
      </c>
      <c r="AI191" t="n">
        <v>1</v>
      </c>
      <c r="AJ191" s="119" t="n">
        <v>0.4005787037037037</v>
      </c>
      <c r="AM191" s="3" t="n">
        <v>180</v>
      </c>
      <c r="AP191" s="255">
        <f>360-AK191-AB191</f>
        <v/>
      </c>
      <c r="AQ191" s="126" t="n"/>
      <c r="AR191" s="13">
        <f>AVERAGE(AO189:AO195)</f>
        <v/>
      </c>
      <c r="AS191" s="15">
        <f>IF(ISNUMBER([2]HRT_SRT!R245),[2]HRT_SRT!R245,"")</f>
        <v/>
      </c>
      <c r="AT191" s="156">
        <f>(E191-W191)/E191</f>
        <v/>
      </c>
      <c r="AU191" s="155">
        <f>(I191-AF191)/I191</f>
        <v/>
      </c>
      <c r="AV191" s="155">
        <f>AG191/(AD191-AF191)</f>
        <v/>
      </c>
      <c r="AW191" s="155">
        <f>(G191-AM191)/G191</f>
        <v/>
      </c>
      <c r="AX191" s="254">
        <f>IF(AND(ISNUMBER(E191),ISNUMBER(W191)),E191-W191,"")</f>
        <v/>
      </c>
      <c r="AY191" s="254">
        <f>IF(AND(ISNUMBER(I191),ISNUMBER(AF191)),I191-AF191,"")</f>
        <v/>
      </c>
      <c r="AZ191" s="254">
        <f>IF(AND(ISNUMBER(AM191),ISNUMBER(G191)),G191-AM191,"")</f>
        <v/>
      </c>
      <c r="BA191" s="254">
        <f>IF(AND(ISNUMBER(AC191),ISNUMBER(AE191)),AC191-AE191,"")</f>
        <v/>
      </c>
      <c r="BB191" s="254">
        <f>IF(AND(ISNUMBER(AL191),ISNUMBER(AM191)),AL191-AM191,"")</f>
        <v/>
      </c>
      <c r="BC191" s="84">
        <f>IF(AND($E191&gt;0,$W191&gt;0),IF(($E191-$W191)/$E191&gt;0,($E191-$W191)/$E191,0),"")</f>
        <v/>
      </c>
      <c r="BD191" s="84">
        <f>IF(AND($I191&gt;0,$AF191&gt;=0),IF(($I191-$AF191)/$I191&gt;0,($I191-$AF191)/$I191,0),"")</f>
        <v/>
      </c>
      <c r="BE191" s="84">
        <f>IF(AND($AG191&gt;=0,$AD191&gt;=0,$AF191&gt;=0),IF($AG191/($AD191-$AF191)&gt;0,$AG191/($AD191-$AF191),0),"")</f>
        <v/>
      </c>
      <c r="BF191" s="84">
        <f>IF(AND($G191&gt;0,$AM191&gt;0),IF(($G191-$AM191)/$G191&gt;0,($G191-$AM191)/$G191,0),"")</f>
        <v/>
      </c>
      <c r="BG191" s="6">
        <f>IF((AD191-AF191)/(AJ191/60)&lt;=0,"",(AD191-AF191)/(AJ191/60))</f>
        <v/>
      </c>
      <c r="BH191" s="6">
        <f>IF(OR(AJ191=0,AP191=0,NOT(ISNUMBER(AD191)),NOT(ISNUMBER(AF191)),NOT(ISNUMBER(AJ191)),NOT(ISNUMBER(AP191))),"",
IFERROR(IF((AD191-AF191)/(AJ191/60)/(AP191/1000)&lt;=0,"",(AD191-AF191)/(AJ191/60)/(AP191/1000)),""))</f>
        <v/>
      </c>
    </row>
    <row r="192" ht="15.75" customHeight="1">
      <c r="B192" t="n">
        <v>-52</v>
      </c>
      <c r="D192" s="134" t="n">
        <v>45452</v>
      </c>
      <c r="E192" s="133" t="n"/>
      <c r="F192" s="3" t="n">
        <v>187</v>
      </c>
      <c r="G192" s="205">
        <f>IF(OR(S192="",S192=0),"",S192*2)</f>
        <v/>
      </c>
      <c r="K192" s="15">
        <f>AD192</f>
        <v/>
      </c>
      <c r="M192" s="10">
        <f>IF(OR(E192="",G192="",E192=0,G192=0),"",E192/G192)</f>
        <v/>
      </c>
      <c r="N192" s="9">
        <f>IF(OR(E192="",I192="",E192=0,I192=0),"",E192/(I192*2))</f>
        <v/>
      </c>
      <c r="O192" s="8">
        <f>IF(OR(I192="",G192="",I192=0,G192=0),"",I192*2/G192)</f>
        <v/>
      </c>
      <c r="AD192" s="5" t="n">
        <v>80</v>
      </c>
      <c r="AF192" s="135">
        <f>15</f>
        <v/>
      </c>
      <c r="AH192" s="135" t="n">
        <v>0</v>
      </c>
      <c r="AI192" t="n">
        <v>1.29</v>
      </c>
      <c r="AJ192" s="119" t="n">
        <v>0.4038194444444445</v>
      </c>
      <c r="AM192" s="3" t="n">
        <v>180</v>
      </c>
      <c r="AP192" s="255">
        <f>360-AK192-AB192</f>
        <v/>
      </c>
      <c r="AQ192" s="126" t="n"/>
      <c r="AR192" s="13">
        <f>AVERAGE(AO190:AO196)</f>
        <v/>
      </c>
      <c r="AS192" s="15">
        <f>IF(ISNUMBER([2]HRT_SRT!R246),[2]HRT_SRT!R246,"")</f>
        <v/>
      </c>
      <c r="AT192" s="156">
        <f>(E192-W192)/E192</f>
        <v/>
      </c>
      <c r="AU192" s="155">
        <f>(I192-AF192)/I192</f>
        <v/>
      </c>
      <c r="AV192" s="155">
        <f>AG192/(AD192-AF192)</f>
        <v/>
      </c>
      <c r="AW192" s="155">
        <f>(G192-AM192)/G192</f>
        <v/>
      </c>
      <c r="AX192" s="254">
        <f>IF(AND(ISNUMBER(E192),ISNUMBER(W192)),E192-W192,"")</f>
        <v/>
      </c>
      <c r="AY192" s="254">
        <f>IF(AND(ISNUMBER(I192),ISNUMBER(AF192)),I192-AF192,"")</f>
        <v/>
      </c>
      <c r="AZ192" s="254">
        <f>IF(AND(ISNUMBER(AM192),ISNUMBER(G192)),G192-AM192,"")</f>
        <v/>
      </c>
      <c r="BA192" s="254">
        <f>IF(AND(ISNUMBER(AC192),ISNUMBER(AE192)),AC192-AE192,"")</f>
        <v/>
      </c>
      <c r="BB192" s="254">
        <f>IF(AND(ISNUMBER(AL192),ISNUMBER(AM192)),AL192-AM192,"")</f>
        <v/>
      </c>
      <c r="BC192" s="84">
        <f>IF(AND($E192&gt;0,$W192&gt;0),IF(($E192-$W192)/$E192&gt;0,($E192-$W192)/$E192,0),"")</f>
        <v/>
      </c>
      <c r="BD192" s="84">
        <f>IF(AND($I192&gt;0,$AF192&gt;=0),IF(($I192-$AF192)/$I192&gt;0,($I192-$AF192)/$I192,0),"")</f>
        <v/>
      </c>
      <c r="BE192" s="84">
        <f>IF(AND($AG192&gt;=0,$AD192&gt;=0,$AF192&gt;=0),IF($AG192/($AD192-$AF192)&gt;0,$AG192/($AD192-$AF192),0),"")</f>
        <v/>
      </c>
      <c r="BF192" s="84">
        <f>IF(AND($G192&gt;0,$AM192&gt;0),IF(($G192-$AM192)/$G192&gt;0,($G192-$AM192)/$G192,0),"")</f>
        <v/>
      </c>
      <c r="BG192" s="6">
        <f>IF((AD192-AF192)/(AJ192/60)&lt;=0,"",(AD192-AF192)/(AJ192/60))</f>
        <v/>
      </c>
      <c r="BH192" s="6">
        <f>IF(OR(AJ192=0,AP192=0,NOT(ISNUMBER(AD192)),NOT(ISNUMBER(AF192)),NOT(ISNUMBER(AJ192)),NOT(ISNUMBER(AP192))),"",
IFERROR(IF((AD192-AF192)/(AJ192/60)/(AP192/1000)&lt;=0,"",(AD192-AF192)/(AJ192/60)/(AP192/1000)),""))</f>
        <v/>
      </c>
    </row>
    <row r="193" ht="15.75" customHeight="1">
      <c r="B193" t="n">
        <v>-51</v>
      </c>
      <c r="D193" s="134" t="n">
        <v>45453</v>
      </c>
      <c r="E193" s="133" t="n"/>
      <c r="F193" s="3" t="n">
        <v>188</v>
      </c>
      <c r="G193" s="205">
        <f>IF(OR(S193="",S193=0),"",S193*2)</f>
        <v/>
      </c>
      <c r="I193" s="15">
        <f>(N193*18-H193*18)/9</f>
        <v/>
      </c>
      <c r="J193" s="15" t="n">
        <v>25.2</v>
      </c>
      <c r="K193" s="15">
        <f>AD193</f>
        <v/>
      </c>
      <c r="M193" s="10">
        <f>IF(OR(E193="",G193="",E193=0,G193=0),"",E193/G193)</f>
        <v/>
      </c>
      <c r="N193" s="9">
        <f>IF(OR(E193="",I193="",E193=0,I193=0),"",E193/(I193*2))</f>
        <v/>
      </c>
      <c r="O193" s="8">
        <f>IF(OR(I193="",G193="",I193=0,G193=0),"",I193*2/G193)</f>
        <v/>
      </c>
      <c r="P193" s="7" t="n">
        <v>37.4</v>
      </c>
      <c r="Q193" s="6" t="n">
        <v>74.36799999999999</v>
      </c>
      <c r="R193" s="6" t="n">
        <v>14.954</v>
      </c>
      <c r="S193" s="6">
        <f>O193*1.067</f>
        <v/>
      </c>
      <c r="T193" s="6">
        <f>P193*1.514</f>
        <v/>
      </c>
      <c r="U193" s="23">
        <f>P193*1.514+O193*1.067</f>
        <v/>
      </c>
      <c r="V193" s="6" t="n">
        <v>53.5</v>
      </c>
      <c r="Y193">
        <f>2.669+1.57</f>
        <v/>
      </c>
      <c r="Z193" s="6" t="n">
        <v>7.88</v>
      </c>
      <c r="AD193" s="5" t="n">
        <v>80</v>
      </c>
      <c r="AE193" s="7">
        <f>T193</f>
        <v/>
      </c>
      <c r="AF193" s="231">
        <f>5*3.1</f>
        <v/>
      </c>
      <c r="AG193" s="231" t="n">
        <v>38.4</v>
      </c>
      <c r="AH193" s="231" t="n">
        <v>0</v>
      </c>
      <c r="AI193" t="n">
        <v>2.94</v>
      </c>
      <c r="AJ193" s="119" t="n">
        <v>0.425462962962963</v>
      </c>
      <c r="AM193" s="3" t="n">
        <v>180</v>
      </c>
      <c r="AN193" s="4">
        <f>AE193</f>
        <v/>
      </c>
      <c r="AO193" s="231" t="n">
        <v>34.4</v>
      </c>
      <c r="AP193" s="255">
        <f>360-AK193-AB193</f>
        <v/>
      </c>
      <c r="AQ193" s="126" t="n"/>
      <c r="AR193" s="13">
        <f>AVERAGE(AO191:AO197)</f>
        <v/>
      </c>
      <c r="AS193" s="15">
        <f>IF(ISNUMBER([2]HRT_SRT!R247),[2]HRT_SRT!R247,"")</f>
        <v/>
      </c>
      <c r="AT193" s="156">
        <f>(E193-W193)/E193</f>
        <v/>
      </c>
      <c r="AU193" s="155">
        <f>(I193-AF193)/I193</f>
        <v/>
      </c>
      <c r="AV193" s="155">
        <f>AG193/(AD193-AF193)</f>
        <v/>
      </c>
      <c r="AW193" s="155">
        <f>(G193-AM193)/G193</f>
        <v/>
      </c>
      <c r="AX193" s="254">
        <f>IF(AND(ISNUMBER(E193),ISNUMBER(W193)),E193-W193,"")</f>
        <v/>
      </c>
      <c r="AY193" s="254">
        <f>IF(AND(ISNUMBER(I193),ISNUMBER(AF193)),I193-AF193,"")</f>
        <v/>
      </c>
      <c r="AZ193" s="254">
        <f>IF(AND(ISNUMBER(AM193),ISNUMBER(G193)),G193-AM193,"")</f>
        <v/>
      </c>
      <c r="BA193" s="254">
        <f>IF(AND(ISNUMBER(AC193),ISNUMBER(AE193)),AC193-AE193,"")</f>
        <v/>
      </c>
      <c r="BB193" s="254">
        <f>IF(AND(ISNUMBER(AL193),ISNUMBER(AM193)),AL193-AM193,"")</f>
        <v/>
      </c>
      <c r="BC193" s="84">
        <f>IF(AND($E193&gt;0,$W193&gt;0),IF(($E193-$W193)/$E193&gt;0,($E193-$W193)/$E193,0),"")</f>
        <v/>
      </c>
      <c r="BD193" s="84">
        <f>IF(AND($I193&gt;0,$AF193&gt;=0),IF(($I193-$AF193)/$I193&gt;0,($I193-$AF193)/$I193,0),"")</f>
        <v/>
      </c>
      <c r="BE193" s="84">
        <f>IF(AND($AG193&gt;=0,$AD193&gt;=0,$AF193&gt;=0),IF($AG193/($AD193-$AF193)&gt;0,$AG193/($AD193-$AF193),0),"")</f>
        <v/>
      </c>
      <c r="BF193" s="84">
        <f>IF(AND($G193&gt;0,$AM193&gt;0),IF(($G193-$AM193)/$G193&gt;0,($G193-$AM193)/$G193,0),"")</f>
        <v/>
      </c>
      <c r="BG193" s="6">
        <f>IF((AD193-AF193)/(AJ193/60)&lt;=0,"",(AD193-AF193)/(AJ193/60))</f>
        <v/>
      </c>
      <c r="BH193" s="6">
        <f>IF(OR(AJ193=0,AP193=0,NOT(ISNUMBER(AD193)),NOT(ISNUMBER(AF193)),NOT(ISNUMBER(AJ193)),NOT(ISNUMBER(AP193))),"",
IFERROR(IF((AD193-AF193)/(AJ193/60)/(AP193/1000)&lt;=0,"",(AD193-AF193)/(AJ193/60)/(AP193/1000)),""))</f>
        <v/>
      </c>
    </row>
    <row r="194" ht="15.75" customHeight="1">
      <c r="B194" t="n">
        <v>-50</v>
      </c>
      <c r="D194" s="134" t="n">
        <v>45454</v>
      </c>
      <c r="E194" s="133" t="n"/>
      <c r="F194" s="136" t="n">
        <v>189</v>
      </c>
      <c r="G194" s="205">
        <f>IF(OR(S194="",S194=0),"",S194*2)</f>
        <v/>
      </c>
      <c r="I194" s="15">
        <f>(N194*18-H194*18)/9</f>
        <v/>
      </c>
      <c r="J194" s="15" t="n">
        <v>27.7</v>
      </c>
      <c r="K194" s="15">
        <f>AD194</f>
        <v/>
      </c>
      <c r="M194" s="10">
        <f>IF(OR(E194="",G194="",E194=0,G194=0),"",E194/G194)</f>
        <v/>
      </c>
      <c r="N194" s="9">
        <f>IF(OR(E194="",I194="",E194=0,I194=0),"",E194/(I194*2))</f>
        <v/>
      </c>
      <c r="O194" s="8">
        <f>IF(OR(I194="",G194="",I194=0,G194=0),"",I194*2/G194)</f>
        <v/>
      </c>
      <c r="P194" s="7" t="n">
        <v>39.7</v>
      </c>
      <c r="Q194" s="6" t="n">
        <v>77.622</v>
      </c>
      <c r="R194" s="6" t="n">
        <v>18.298</v>
      </c>
      <c r="S194" s="6">
        <f>O194*1.067</f>
        <v/>
      </c>
      <c r="T194" s="6">
        <f>P194*1.514</f>
        <v/>
      </c>
      <c r="U194" s="23">
        <f>P194*1.514+O194*1.067</f>
        <v/>
      </c>
      <c r="V194" s="6" t="n">
        <v>52</v>
      </c>
      <c r="Y194">
        <f>1.9+1.535</f>
        <v/>
      </c>
      <c r="Z194" s="6" t="n">
        <v>6.58</v>
      </c>
      <c r="AD194" s="5" t="n">
        <v>80</v>
      </c>
      <c r="AE194" s="7">
        <f>T194</f>
        <v/>
      </c>
      <c r="AF194" s="231">
        <f>5*2.79</f>
        <v/>
      </c>
      <c r="AG194" s="231" t="n">
        <v>40.2</v>
      </c>
      <c r="AH194" s="231" t="n">
        <v>0</v>
      </c>
      <c r="AI194" t="n">
        <v>2.38</v>
      </c>
      <c r="AJ194" s="119" t="n">
        <v>0.416087962962963</v>
      </c>
      <c r="AM194" s="3" t="n">
        <v>180</v>
      </c>
      <c r="AN194" s="4">
        <f>AE194</f>
        <v/>
      </c>
      <c r="AO194" s="231" t="n">
        <v>46</v>
      </c>
      <c r="AP194" s="255">
        <f>360-AK194-AB194</f>
        <v/>
      </c>
      <c r="AQ194" s="126">
        <f>[2]HRT_SRT!P248</f>
        <v/>
      </c>
      <c r="AR194" s="13">
        <f>AVERAGE(AO192:AO198)</f>
        <v/>
      </c>
      <c r="AS194" s="15">
        <f>IF(ISNUMBER([2]HRT_SRT!R248),[2]HRT_SRT!R248,"")</f>
        <v/>
      </c>
      <c r="AT194" s="156">
        <f>(E194-W194)/E194</f>
        <v/>
      </c>
      <c r="AU194" s="155">
        <f>(I194-AF194)/I194</f>
        <v/>
      </c>
      <c r="AV194" s="155">
        <f>AG194/(AD194-AF194)</f>
        <v/>
      </c>
      <c r="AW194" s="155">
        <f>(G194-AM194)/G194</f>
        <v/>
      </c>
      <c r="AX194" s="254">
        <f>IF(AND(ISNUMBER(E194),ISNUMBER(W194)),E194-W194,"")</f>
        <v/>
      </c>
      <c r="AY194" s="254">
        <f>IF(AND(ISNUMBER(I194),ISNUMBER(AF194)),I194-AF194,"")</f>
        <v/>
      </c>
      <c r="AZ194" s="254">
        <f>IF(AND(ISNUMBER(AM194),ISNUMBER(G194)),G194-AM194,"")</f>
        <v/>
      </c>
      <c r="BA194" s="254">
        <f>IF(AND(ISNUMBER(AC194),ISNUMBER(AE194)),AC194-AE194,"")</f>
        <v/>
      </c>
      <c r="BB194" s="254">
        <f>IF(AND(ISNUMBER(AL194),ISNUMBER(AM194)),AL194-AM194,"")</f>
        <v/>
      </c>
      <c r="BC194" s="84">
        <f>IF(AND($E194&gt;0,$W194&gt;0),IF(($E194-$W194)/$E194&gt;0,($E194-$W194)/$E194,0),"")</f>
        <v/>
      </c>
      <c r="BD194" s="84">
        <f>IF(AND($I194&gt;0,$AF194&gt;=0),IF(($I194-$AF194)/$I194&gt;0,($I194-$AF194)/$I194,0),"")</f>
        <v/>
      </c>
      <c r="BE194" s="84">
        <f>IF(AND($AG194&gt;=0,$AD194&gt;=0,$AF194&gt;=0),IF($AG194/($AD194-$AF194)&gt;0,$AG194/($AD194-$AF194),0),"")</f>
        <v/>
      </c>
      <c r="BF194" s="84">
        <f>IF(AND($G194&gt;0,$AM194&gt;0),IF(($G194-$AM194)/$G194&gt;0,($G194-$AM194)/$G194,0),"")</f>
        <v/>
      </c>
      <c r="BG194" s="6">
        <f>IF((AD194-AF194)/(AJ194/60)&lt;=0,"",(AD194-AF194)/(AJ194/60))</f>
        <v/>
      </c>
      <c r="BH194" s="6">
        <f>IF(OR(AJ194=0,AP194=0,NOT(ISNUMBER(AD194)),NOT(ISNUMBER(AF194)),NOT(ISNUMBER(AJ194)),NOT(ISNUMBER(AP194))),"",
IFERROR(IF((AD194-AF194)/(AJ194/60)/(AP194/1000)&lt;=0,"",(AD194-AF194)/(AJ194/60)/(AP194/1000)),""))</f>
        <v/>
      </c>
    </row>
    <row r="195" ht="15.75" customFormat="1" customHeight="1" s="137">
      <c r="B195" t="n">
        <v>-49</v>
      </c>
      <c r="C195" s="154" t="inlineStr">
        <is>
          <t xml:space="preserve">weird no COD testing to prove it </t>
        </is>
      </c>
      <c r="D195" s="134" t="n">
        <v>45455</v>
      </c>
      <c r="E195" s="133" t="n"/>
      <c r="F195" s="145" t="n">
        <v>190</v>
      </c>
      <c r="G195" s="205">
        <f>IF(OR(S195="",S195=0),"",S195*2)</f>
        <v/>
      </c>
      <c r="H195" s="153" t="n"/>
      <c r="I195" s="153" t="n"/>
      <c r="J195" s="153" t="n"/>
      <c r="K195" s="15">
        <f>AD195</f>
        <v/>
      </c>
      <c r="L195" s="152" t="n"/>
      <c r="M195" s="10">
        <f>IF(OR(E195="",G195="",E195=0,G195=0),"",E195/G195)</f>
        <v/>
      </c>
      <c r="N195" s="9">
        <f>IF(OR(E195="",I195="",E195=0,I195=0),"",E195/(I195*2))</f>
        <v/>
      </c>
      <c r="O195" s="8">
        <f>IF(OR(I195="",G195="",I195=0,G195=0),"",I195*2/G195)</f>
        <v/>
      </c>
      <c r="P195" s="151" t="n"/>
      <c r="Q195" s="150" t="n"/>
      <c r="R195" s="150" t="n"/>
      <c r="S195" s="150" t="n"/>
      <c r="T195" s="150" t="n"/>
      <c r="U195" s="150" t="n"/>
      <c r="V195" s="150" t="n"/>
      <c r="W195" s="150" t="n"/>
      <c r="X195" s="150" t="n"/>
      <c r="Y195" s="150" t="n"/>
      <c r="Z195" s="150" t="n">
        <v>8.630000000000001</v>
      </c>
      <c r="AA195" s="150" t="n"/>
      <c r="AB195" s="150" t="n"/>
      <c r="AC195" s="150" t="n"/>
      <c r="AD195" s="149" t="n">
        <v>80</v>
      </c>
      <c r="AE195" s="141" t="n"/>
      <c r="AF195" s="148">
        <f>(AD194+AD196)/2</f>
        <v/>
      </c>
      <c r="AH195" s="148" t="n">
        <v>0</v>
      </c>
      <c r="AI195" s="147" t="n">
        <v>2.63</v>
      </c>
      <c r="AJ195" s="146" t="n">
        <v>0.4337962962962963</v>
      </c>
      <c r="AM195" s="145" t="n">
        <v>180</v>
      </c>
      <c r="AN195" s="141" t="n"/>
      <c r="AP195" s="258">
        <f>360-AK195-AB195</f>
        <v/>
      </c>
      <c r="AQ195" s="143" t="n"/>
      <c r="AR195" s="13">
        <f>AVERAGE(AO193:AO199)</f>
        <v/>
      </c>
      <c r="AS195" s="142">
        <f>IF(ISNUMBER([2]HRT_SRT!R249),[2]HRT_SRT!R249,"")</f>
        <v/>
      </c>
      <c r="AT195" s="140">
        <f>(E195-W195)/E195</f>
        <v/>
      </c>
      <c r="AU195" s="139">
        <f>(I195-AF195)/I195</f>
        <v/>
      </c>
      <c r="AV195" s="139">
        <f>AG195/(AD195-AF195)</f>
        <v/>
      </c>
      <c r="AW195" s="139">
        <f>(G195-AM195)/G195</f>
        <v/>
      </c>
      <c r="AX195" s="259">
        <f>IF(AND(ISNUMBER(E195),ISNUMBER(W195)),E195-W195,"")</f>
        <v/>
      </c>
      <c r="AY195" s="259">
        <f>IF(AND(ISNUMBER(I195),ISNUMBER(AF195)),I195-AF195,"")</f>
        <v/>
      </c>
      <c r="AZ195" s="259">
        <f>IF(AND(ISNUMBER(AM195),ISNUMBER(G195)),G195-AM195,"")</f>
        <v/>
      </c>
      <c r="BA195" s="254">
        <f>IF(AND(ISNUMBER(AC195),ISNUMBER(AE195)),AC195-AE195,"")</f>
        <v/>
      </c>
      <c r="BB195" s="254">
        <f>IF(AND(ISNUMBER(AL195),ISNUMBER(AM195)),AL195-AM195,"")</f>
        <v/>
      </c>
      <c r="BC195" s="84">
        <f>IF(AND($E195&gt;0,$W195&gt;0),IF(($E195-$W195)/$E195&gt;0,($E195-$W195)/$E195,0),"")</f>
        <v/>
      </c>
      <c r="BD195" s="84">
        <f>IF(AND($I195&gt;0,$AF195&gt;=0),IF(($I195-$AF195)/$I195&gt;0,($I195-$AF195)/$I195,0),"")</f>
        <v/>
      </c>
      <c r="BE195" s="84">
        <f>IF(AND($AG195&gt;=0,$AD195&gt;=0,$AF195&gt;=0),IF($AG195/($AD195-$AF195)&gt;0,$AG195/($AD195-$AF195),0),"")</f>
        <v/>
      </c>
      <c r="BF195" s="84">
        <f>IF(AND($G195&gt;0,$AM195&gt;0),IF(($G195-$AM195)/$G195&gt;0,($G195-$AM195)/$G195,0),"")</f>
        <v/>
      </c>
      <c r="BG195" s="6">
        <f>IF((AD195-AF195)/(AJ195/60)&lt;=0,"",(AD195-AF195)/(AJ195/60))</f>
        <v/>
      </c>
      <c r="BH195" s="6">
        <f>IF(OR(AJ195=0,AP195=0,NOT(ISNUMBER(AD195)),NOT(ISNUMBER(AF195)),NOT(ISNUMBER(AJ195)),NOT(ISNUMBER(AP195))),"",
IFERROR(IF((AD195-AF195)/(AJ195/60)/(AP195/1000)&lt;=0,"",(AD195-AF195)/(AJ195/60)/(AP195/1000)),""))</f>
        <v/>
      </c>
    </row>
    <row r="196" ht="15.75" customFormat="1" customHeight="1" s="137">
      <c r="B196" t="n">
        <v>-48</v>
      </c>
      <c r="C196" s="154" t="n"/>
      <c r="D196" s="134" t="n">
        <v>45456</v>
      </c>
      <c r="E196" s="133" t="n"/>
      <c r="F196" s="145" t="n">
        <v>191</v>
      </c>
      <c r="G196" s="205">
        <f>IF(OR(S196="",S196=0),"",S196*2)</f>
        <v/>
      </c>
      <c r="H196" s="153" t="n"/>
      <c r="I196" s="142">
        <f>(N196*18-H196*18)/9</f>
        <v/>
      </c>
      <c r="J196" s="142" t="n">
        <v>48.2</v>
      </c>
      <c r="K196" s="15">
        <f>AD196</f>
        <v/>
      </c>
      <c r="L196" s="152" t="n"/>
      <c r="M196" s="10">
        <f>IF(OR(E196="",G196="",E196=0,G196=0),"",E196/G196)</f>
        <v/>
      </c>
      <c r="N196" s="9">
        <f>IF(OR(E196="",I196="",E196=0,I196=0),"",E196/(I196*2))</f>
        <v/>
      </c>
      <c r="O196" s="8">
        <f>IF(OR(I196="",G196="",I196=0,G196=0),"",I196*2/G196)</f>
        <v/>
      </c>
      <c r="P196" s="151" t="n">
        <v>53.7</v>
      </c>
      <c r="Q196" s="150" t="n"/>
      <c r="R196" s="150" t="n"/>
      <c r="S196" s="150" t="n"/>
      <c r="T196" s="150" t="n"/>
      <c r="U196" s="150" t="n"/>
      <c r="V196" s="150" t="n">
        <v>58</v>
      </c>
      <c r="W196" s="150" t="n"/>
      <c r="X196" s="150" t="n"/>
      <c r="Y196" s="150" t="n"/>
      <c r="Z196" s="150" t="n">
        <v>0.14</v>
      </c>
      <c r="AA196" s="150" t="n"/>
      <c r="AB196" s="150" t="n"/>
      <c r="AC196" s="150" t="n"/>
      <c r="AD196" s="149" t="n">
        <v>80</v>
      </c>
      <c r="AE196" s="151">
        <f>T196</f>
        <v/>
      </c>
      <c r="AF196" s="137">
        <f>5*3.21</f>
        <v/>
      </c>
      <c r="AG196" s="137" t="n">
        <v>48</v>
      </c>
      <c r="AH196" s="137" t="n">
        <v>0</v>
      </c>
      <c r="AI196" s="147" t="n"/>
      <c r="AJ196" s="146" t="n">
        <v>0.4791666666666667</v>
      </c>
      <c r="AM196" s="145" t="n">
        <v>180</v>
      </c>
      <c r="AN196" s="141">
        <f>AE196</f>
        <v/>
      </c>
      <c r="AO196" s="137" t="n">
        <v>31.3</v>
      </c>
      <c r="AP196" s="258">
        <f>360-AK196-AB196</f>
        <v/>
      </c>
      <c r="AQ196" s="143" t="n"/>
      <c r="AR196" s="13">
        <f>AVERAGE(AO194:AO200)</f>
        <v/>
      </c>
      <c r="AS196" s="142">
        <f>IF(ISNUMBER([2]HRT_SRT!R250),[2]HRT_SRT!R250,"")</f>
        <v/>
      </c>
      <c r="AT196" s="140">
        <f>(E196-W196)/E196</f>
        <v/>
      </c>
      <c r="AU196" s="139">
        <f>(I196-AF196)/I196</f>
        <v/>
      </c>
      <c r="AV196" s="139">
        <f>AG196/(AD196-AF196)</f>
        <v/>
      </c>
      <c r="AW196" s="139">
        <f>(G196-AM196)/G196</f>
        <v/>
      </c>
      <c r="AX196" s="259">
        <f>IF(AND(ISNUMBER(E196),ISNUMBER(W196)),E196-W196,"")</f>
        <v/>
      </c>
      <c r="AY196" s="259">
        <f>IF(AND(ISNUMBER(I196),ISNUMBER(AF196)),I196-AF196,"")</f>
        <v/>
      </c>
      <c r="AZ196" s="259">
        <f>IF(AND(ISNUMBER(AM196),ISNUMBER(G196)),G196-AM196,"")</f>
        <v/>
      </c>
      <c r="BA196" s="254">
        <f>IF(AND(ISNUMBER(AC196),ISNUMBER(AE196)),AC196-AE196,"")</f>
        <v/>
      </c>
      <c r="BB196" s="254">
        <f>IF(AND(ISNUMBER(AL196),ISNUMBER(AM196)),AL196-AM196,"")</f>
        <v/>
      </c>
      <c r="BC196" s="84">
        <f>IF(AND($E196&gt;0,$W196&gt;0),IF(($E196-$W196)/$E196&gt;0,($E196-$W196)/$E196,0),"")</f>
        <v/>
      </c>
      <c r="BD196" s="84">
        <f>IF(AND($I196&gt;0,$AF196&gt;=0),IF(($I196-$AF196)/$I196&gt;0,($I196-$AF196)/$I196,0),"")</f>
        <v/>
      </c>
      <c r="BE196" s="84">
        <f>IF(AND($AG196&gt;=0,$AD196&gt;=0,$AF196&gt;=0),IF($AG196/($AD196-$AF196)&gt;0,$AG196/($AD196-$AF196),0),"")</f>
        <v/>
      </c>
      <c r="BF196" s="84">
        <f>IF(AND($G196&gt;0,$AM196&gt;0),IF(($G196-$AM196)/$G196&gt;0,($G196-$AM196)/$G196,0),"")</f>
        <v/>
      </c>
      <c r="BG196" s="6">
        <f>IF((AD196-AF196)/(AJ196/60)&lt;=0,"",(AD196-AF196)/(AJ196/60))</f>
        <v/>
      </c>
      <c r="BH196" s="6">
        <f>IF(OR(AJ196=0,AP196=0,NOT(ISNUMBER(AD196)),NOT(ISNUMBER(AF196)),NOT(ISNUMBER(AJ196)),NOT(ISNUMBER(AP196))),"",
IFERROR(IF((AD196-AF196)/(AJ196/60)/(AP196/1000)&lt;=0,"",(AD196-AF196)/(AJ196/60)/(AP196/1000)),""))</f>
        <v/>
      </c>
    </row>
    <row r="197" ht="15.75" customFormat="1" customHeight="1" s="137">
      <c r="B197" t="n">
        <v>-47</v>
      </c>
      <c r="C197" s="154" t="n"/>
      <c r="D197" s="134" t="n">
        <v>45457</v>
      </c>
      <c r="E197" s="133" t="n"/>
      <c r="F197" s="145" t="n">
        <v>192</v>
      </c>
      <c r="G197" s="205">
        <f>IF(OR(S197="",S197=0),"",S197*2)</f>
        <v/>
      </c>
      <c r="H197" s="153" t="n"/>
      <c r="I197" s="142">
        <f>(N197*18-H197*18)/9</f>
        <v/>
      </c>
      <c r="J197" s="142" t="n">
        <v>5.225</v>
      </c>
      <c r="K197" s="15">
        <f>AD197</f>
        <v/>
      </c>
      <c r="L197" s="152" t="n"/>
      <c r="M197" s="10">
        <f>IF(OR(E197="",G197="",E197=0,G197=0),"",E197/G197)</f>
        <v/>
      </c>
      <c r="N197" s="9">
        <f>IF(OR(E197="",I197="",E197=0,I197=0),"",E197/(I197*2))</f>
        <v/>
      </c>
      <c r="O197" s="8">
        <f>IF(OR(I197="",G197="",I197=0,G197=0),"",I197*2/G197)</f>
        <v/>
      </c>
      <c r="P197" s="151" t="n">
        <v>9.68</v>
      </c>
      <c r="Q197" s="150" t="n"/>
      <c r="R197" s="150" t="n"/>
      <c r="S197" s="150" t="n"/>
      <c r="T197" s="150" t="n"/>
      <c r="U197" s="150" t="n"/>
      <c r="V197" s="150" t="n">
        <v>14.6</v>
      </c>
      <c r="W197" s="150" t="n"/>
      <c r="X197" s="150" t="n"/>
      <c r="Y197" s="150" t="n"/>
      <c r="Z197" s="150" t="n">
        <v>6.33</v>
      </c>
      <c r="AA197" s="150" t="n"/>
      <c r="AB197" s="150" t="n"/>
      <c r="AC197" s="150" t="n"/>
      <c r="AD197" s="149" t="n">
        <v>80</v>
      </c>
      <c r="AE197" s="151">
        <f>T197</f>
        <v/>
      </c>
      <c r="AF197" s="148">
        <f>(AD196*2/3+AD200*1/3)</f>
        <v/>
      </c>
      <c r="AG197" s="137" t="n">
        <v>8.109999999999999</v>
      </c>
      <c r="AH197" s="148" t="n">
        <v>0</v>
      </c>
      <c r="AI197" s="147" t="n">
        <v>3.37</v>
      </c>
      <c r="AJ197" s="146" t="n">
        <v>0.4395833333333333</v>
      </c>
      <c r="AM197" s="145" t="n">
        <v>180</v>
      </c>
      <c r="AN197" s="141">
        <f>AE197</f>
        <v/>
      </c>
      <c r="AO197" s="137" t="n">
        <v>6.35</v>
      </c>
      <c r="AP197" s="258">
        <f>360-AK197-AB197</f>
        <v/>
      </c>
      <c r="AQ197" s="143" t="n"/>
      <c r="AR197" s="13">
        <f>AVERAGE(AO195:AO201)</f>
        <v/>
      </c>
      <c r="AS197" s="142">
        <f>IF(ISNUMBER([2]HRT_SRT!R251),[2]HRT_SRT!R251,"")</f>
        <v/>
      </c>
      <c r="AT197" s="140">
        <f>(E197-W197)/E197</f>
        <v/>
      </c>
      <c r="AU197" s="139">
        <f>(I197-AF197)/I197</f>
        <v/>
      </c>
      <c r="AV197" s="139">
        <f>AG197/(AD197-AF197)</f>
        <v/>
      </c>
      <c r="AW197" s="139">
        <f>(G197-AM197)/G197</f>
        <v/>
      </c>
      <c r="AX197" s="259">
        <f>IF(AND(ISNUMBER(E197),ISNUMBER(W197)),E197-W197,"")</f>
        <v/>
      </c>
      <c r="AY197" s="259">
        <f>IF(AND(ISNUMBER(I197),ISNUMBER(AF197)),I197-AF197,"")</f>
        <v/>
      </c>
      <c r="AZ197" s="259">
        <f>IF(AND(ISNUMBER(AM197),ISNUMBER(G197)),G197-AM197,"")</f>
        <v/>
      </c>
      <c r="BA197" s="254">
        <f>IF(AND(ISNUMBER(AC197),ISNUMBER(AE197)),AC197-AE197,"")</f>
        <v/>
      </c>
      <c r="BB197" s="254">
        <f>IF(AND(ISNUMBER(AL197),ISNUMBER(AM197)),AL197-AM197,"")</f>
        <v/>
      </c>
      <c r="BC197" s="84">
        <f>IF(AND($E197&gt;0,$W197&gt;0),IF(($E197-$W197)/$E197&gt;0,($E197-$W197)/$E197,0),"")</f>
        <v/>
      </c>
      <c r="BD197" s="84">
        <f>IF(AND($I197&gt;0,$AF197&gt;=0),IF(($I197-$AF197)/$I197&gt;0,($I197-$AF197)/$I197,0),"")</f>
        <v/>
      </c>
      <c r="BE197" s="84">
        <f>IF(AND($AG197&gt;=0,$AD197&gt;=0,$AF197&gt;=0),IF($AG197/($AD197-$AF197)&gt;0,$AG197/($AD197-$AF197),0),"")</f>
        <v/>
      </c>
      <c r="BF197" s="84">
        <f>IF(AND($G197&gt;0,$AM197&gt;0),IF(($G197-$AM197)/$G197&gt;0,($G197-$AM197)/$G197,0),"")</f>
        <v/>
      </c>
      <c r="BG197" s="6">
        <f>IF((AD197-AF197)/(AJ197/60)&lt;=0,"",(AD197-AF197)/(AJ197/60))</f>
        <v/>
      </c>
      <c r="BH197" s="6">
        <f>IF(OR(AJ197=0,AP197=0,NOT(ISNUMBER(AD197)),NOT(ISNUMBER(AF197)),NOT(ISNUMBER(AJ197)),NOT(ISNUMBER(AP197))),"",
IFERROR(IF((AD197-AF197)/(AJ197/60)/(AP197/1000)&lt;=0,"",(AD197-AF197)/(AJ197/60)/(AP197/1000)),""))</f>
        <v/>
      </c>
    </row>
    <row r="198" ht="15.75" customFormat="1" customHeight="1" s="137">
      <c r="B198" t="n">
        <v>-46</v>
      </c>
      <c r="C198" s="154" t="n"/>
      <c r="D198" s="134" t="n">
        <v>45458</v>
      </c>
      <c r="E198" s="133" t="n"/>
      <c r="F198" s="145" t="n">
        <v>193</v>
      </c>
      <c r="G198" s="205">
        <f>IF(OR(S198="",S198=0),"",S198*2)</f>
        <v/>
      </c>
      <c r="H198" s="153" t="n"/>
      <c r="I198" s="153" t="n"/>
      <c r="J198" s="153" t="n"/>
      <c r="K198" s="15">
        <f>AD198</f>
        <v/>
      </c>
      <c r="L198" s="152" t="n"/>
      <c r="M198" s="10">
        <f>IF(OR(E198="",G198="",E198=0,G198=0),"",E198/G198)</f>
        <v/>
      </c>
      <c r="N198" s="9">
        <f>IF(OR(E198="",I198="",E198=0,I198=0),"",E198/(I198*2))</f>
        <v/>
      </c>
      <c r="O198" s="8">
        <f>IF(OR(I198="",G198="",I198=0,G198=0),"",I198*2/G198)</f>
        <v/>
      </c>
      <c r="P198" s="151" t="n"/>
      <c r="Q198" s="150" t="n"/>
      <c r="R198" s="150" t="n"/>
      <c r="S198" s="150" t="n"/>
      <c r="T198" s="150" t="n"/>
      <c r="U198" s="150" t="n"/>
      <c r="V198" s="150" t="n"/>
      <c r="W198" s="150" t="n"/>
      <c r="X198" s="150" t="n"/>
      <c r="Y198" s="150" t="n"/>
      <c r="Z198" s="150" t="n"/>
      <c r="AA198" s="150" t="n"/>
      <c r="AB198" s="150" t="n"/>
      <c r="AC198" s="150" t="n"/>
      <c r="AD198" s="149" t="n">
        <v>80</v>
      </c>
      <c r="AE198" s="141" t="n"/>
      <c r="AF198" s="148">
        <f>(AD196+AD200)/2</f>
        <v/>
      </c>
      <c r="AH198" s="148" t="n">
        <v>0</v>
      </c>
      <c r="AI198" s="147" t="n">
        <v>2.47</v>
      </c>
      <c r="AJ198" s="146" t="n">
        <v>0.4674768518518518</v>
      </c>
      <c r="AM198" s="145" t="n">
        <v>180</v>
      </c>
      <c r="AN198" s="141" t="n"/>
      <c r="AP198" s="258">
        <f>360-AK198-AB198</f>
        <v/>
      </c>
      <c r="AQ198" s="143" t="n"/>
      <c r="AR198" s="13">
        <f>AVERAGE(AO196:AO202)</f>
        <v/>
      </c>
      <c r="AS198" s="142">
        <f>IF(ISNUMBER([2]HRT_SRT!R252),[2]HRT_SRT!R252,"")</f>
        <v/>
      </c>
      <c r="AT198" s="140">
        <f>(E198-W198)/E198</f>
        <v/>
      </c>
      <c r="AU198" s="139">
        <f>(I198-AF198)/I198</f>
        <v/>
      </c>
      <c r="AV198" s="139">
        <f>AG198/(AD198-AF198)</f>
        <v/>
      </c>
      <c r="AW198" s="139">
        <f>(G198-AM198)/G198</f>
        <v/>
      </c>
      <c r="AX198" s="259">
        <f>IF(AND(ISNUMBER(E198),ISNUMBER(W198)),E198-W198,"")</f>
        <v/>
      </c>
      <c r="AY198" s="259">
        <f>IF(AND(ISNUMBER(I198),ISNUMBER(AF198)),I198-AF198,"")</f>
        <v/>
      </c>
      <c r="AZ198" s="259">
        <f>IF(AND(ISNUMBER(AM198),ISNUMBER(G198)),G198-AM198,"")</f>
        <v/>
      </c>
      <c r="BA198" s="254">
        <f>IF(AND(ISNUMBER(AC198),ISNUMBER(AE198)),AC198-AE198,"")</f>
        <v/>
      </c>
      <c r="BB198" s="254">
        <f>IF(AND(ISNUMBER(AL198),ISNUMBER(AM198)),AL198-AM198,"")</f>
        <v/>
      </c>
      <c r="BC198" s="84">
        <f>IF(AND($E198&gt;0,$W198&gt;0),IF(($E198-$W198)/$E198&gt;0,($E198-$W198)/$E198,0),"")</f>
        <v/>
      </c>
      <c r="BD198" s="84">
        <f>IF(AND($I198&gt;0,$AF198&gt;=0),IF(($I198-$AF198)/$I198&gt;0,($I198-$AF198)/$I198,0),"")</f>
        <v/>
      </c>
      <c r="BE198" s="84">
        <f>IF(AND($AG198&gt;=0,$AD198&gt;=0,$AF198&gt;=0),IF($AG198/($AD198-$AF198)&gt;0,$AG198/($AD198-$AF198),0),"")</f>
        <v/>
      </c>
      <c r="BF198" s="84">
        <f>IF(AND($G198&gt;0,$AM198&gt;0),IF(($G198-$AM198)/$G198&gt;0,($G198-$AM198)/$G198,0),"")</f>
        <v/>
      </c>
      <c r="BG198" s="6">
        <f>IF((AD198-AF198)/(AJ198/60)&lt;=0,"",(AD198-AF198)/(AJ198/60))</f>
        <v/>
      </c>
      <c r="BH198" s="6">
        <f>IF(OR(AJ198=0,AP198=0,NOT(ISNUMBER(AD198)),NOT(ISNUMBER(AF198)),NOT(ISNUMBER(AJ198)),NOT(ISNUMBER(AP198))),"",
IFERROR(IF((AD198-AF198)/(AJ198/60)/(AP198/1000)&lt;=0,"",(AD198-AF198)/(AJ198/60)/(AP198/1000)),""))</f>
        <v/>
      </c>
    </row>
    <row r="199" ht="15.75" customFormat="1" customHeight="1" s="137">
      <c r="B199" t="n">
        <v>-45</v>
      </c>
      <c r="C199" s="154" t="n"/>
      <c r="D199" s="134" t="n">
        <v>45459</v>
      </c>
      <c r="E199" s="133" t="n"/>
      <c r="F199" s="145" t="n">
        <v>194</v>
      </c>
      <c r="G199" s="205">
        <f>IF(OR(S199="",S199=0),"",S199*2)</f>
        <v/>
      </c>
      <c r="H199" s="153" t="n"/>
      <c r="I199" s="153" t="n"/>
      <c r="J199" s="153" t="n"/>
      <c r="K199" s="15">
        <f>AD199</f>
        <v/>
      </c>
      <c r="L199" s="152" t="n"/>
      <c r="M199" s="10">
        <f>IF(OR(E199="",G199="",E199=0,G199=0),"",E199/G199)</f>
        <v/>
      </c>
      <c r="N199" s="9">
        <f>IF(OR(E199="",I199="",E199=0,I199=0),"",E199/(I199*2))</f>
        <v/>
      </c>
      <c r="O199" s="8">
        <f>IF(OR(I199="",G199="",I199=0,G199=0),"",I199*2/G199)</f>
        <v/>
      </c>
      <c r="P199" s="151" t="n"/>
      <c r="Q199" s="150" t="n"/>
      <c r="R199" s="150" t="n"/>
      <c r="S199" s="150" t="n"/>
      <c r="T199" s="150" t="n"/>
      <c r="U199" s="150" t="n"/>
      <c r="V199" s="150" t="n"/>
      <c r="W199" s="150" t="n"/>
      <c r="X199" s="150" t="n"/>
      <c r="Y199" s="150" t="n"/>
      <c r="Z199" s="150" t="n"/>
      <c r="AA199" s="150" t="n"/>
      <c r="AB199" s="150" t="n"/>
      <c r="AC199" s="150" t="n"/>
      <c r="AD199" s="149" t="n">
        <v>80</v>
      </c>
      <c r="AE199" s="141" t="n"/>
      <c r="AF199" s="148">
        <f>(AD198+AD200)/2</f>
        <v/>
      </c>
      <c r="AH199" s="148" t="n">
        <v>0</v>
      </c>
      <c r="AI199" s="147" t="n">
        <v>1.51</v>
      </c>
      <c r="AJ199" s="146" t="n">
        <v>0.4662037037037037</v>
      </c>
      <c r="AM199" s="145" t="n">
        <v>180</v>
      </c>
      <c r="AN199" s="141" t="n"/>
      <c r="AP199" s="258">
        <f>360-AK199-AB199</f>
        <v/>
      </c>
      <c r="AQ199" s="143" t="n"/>
      <c r="AR199" s="13">
        <f>AVERAGE(AO197:AO203)</f>
        <v/>
      </c>
      <c r="AS199" s="142">
        <f>IF(ISNUMBER([2]HRT_SRT!R253),[2]HRT_SRT!R253,"")</f>
        <v/>
      </c>
      <c r="AT199" s="140">
        <f>(E199-W199)/E199</f>
        <v/>
      </c>
      <c r="AU199" s="139">
        <f>(I199-AF199)/I199</f>
        <v/>
      </c>
      <c r="AV199" s="139">
        <f>AG199/(AD199-AF199)</f>
        <v/>
      </c>
      <c r="AW199" s="139">
        <f>(G199-AM199)/G199</f>
        <v/>
      </c>
      <c r="AX199" s="259">
        <f>IF(AND(ISNUMBER(E199),ISNUMBER(W199)),E199-W199,"")</f>
        <v/>
      </c>
      <c r="AY199" s="259">
        <f>IF(AND(ISNUMBER(I199),ISNUMBER(AF199)),I199-AF199,"")</f>
        <v/>
      </c>
      <c r="AZ199" s="259">
        <f>IF(AND(ISNUMBER(AM199),ISNUMBER(G199)),G199-AM199,"")</f>
        <v/>
      </c>
      <c r="BA199" s="254">
        <f>IF(AND(ISNUMBER(AC199),ISNUMBER(AE199)),AC199-AE199,"")</f>
        <v/>
      </c>
      <c r="BB199" s="254">
        <f>IF(AND(ISNUMBER(AL199),ISNUMBER(AM199)),AL199-AM199,"")</f>
        <v/>
      </c>
      <c r="BC199" s="84">
        <f>IF(AND($E199&gt;0,$W199&gt;0),IF(($E199-$W199)/$E199&gt;0,($E199-$W199)/$E199,0),"")</f>
        <v/>
      </c>
      <c r="BD199" s="84">
        <f>IF(AND($I199&gt;0,$AF199&gt;=0),IF(($I199-$AF199)/$I199&gt;0,($I199-$AF199)/$I199,0),"")</f>
        <v/>
      </c>
      <c r="BE199" s="84">
        <f>IF(AND($AG199&gt;=0,$AD199&gt;=0,$AF199&gt;=0),IF($AG199/($AD199-$AF199)&gt;0,$AG199/($AD199-$AF199),0),"")</f>
        <v/>
      </c>
      <c r="BF199" s="84">
        <f>IF(AND($G199&gt;0,$AM199&gt;0),IF(($G199-$AM199)/$G199&gt;0,($G199-$AM199)/$G199,0),"")</f>
        <v/>
      </c>
      <c r="BG199" s="6">
        <f>IF((AD199-AF199)/(AJ199/60)&lt;=0,"",(AD199-AF199)/(AJ199/60))</f>
        <v/>
      </c>
      <c r="BH199" s="6">
        <f>IF(OR(AJ199=0,AP199=0,NOT(ISNUMBER(AD199)),NOT(ISNUMBER(AF199)),NOT(ISNUMBER(AJ199)),NOT(ISNUMBER(AP199))),"",
IFERROR(IF((AD199-AF199)/(AJ199/60)/(AP199/1000)&lt;=0,"",(AD199-AF199)/(AJ199/60)/(AP199/1000)),""))</f>
        <v/>
      </c>
    </row>
    <row r="200" ht="15.75" customHeight="1">
      <c r="B200" t="n">
        <v>-44</v>
      </c>
      <c r="D200" s="134" t="n">
        <v>45460</v>
      </c>
      <c r="E200" s="133" t="n"/>
      <c r="F200" s="136" t="n">
        <v>195</v>
      </c>
      <c r="G200" s="205">
        <f>IF(OR(S200="",S200=0),"",S200*2)</f>
        <v/>
      </c>
      <c r="I200" s="15">
        <f>(N200*18-H200*18)/9</f>
        <v/>
      </c>
      <c r="J200" s="15" t="n">
        <v>12.1</v>
      </c>
      <c r="K200" s="15">
        <f>AD200</f>
        <v/>
      </c>
      <c r="M200" s="10">
        <f>IF(OR(E200="",G200="",E200=0,G200=0),"",E200/G200)</f>
        <v/>
      </c>
      <c r="N200" s="9">
        <f>IF(OR(E200="",I200="",E200=0,I200=0),"",E200/(I200*2))</f>
        <v/>
      </c>
      <c r="O200" s="8">
        <f>IF(OR(I200="",G200="",I200=0,G200=0),"",I200*2/G200)</f>
        <v/>
      </c>
      <c r="P200" s="7" t="n">
        <v>21.1</v>
      </c>
      <c r="Q200" s="6" t="n">
        <v>66.88200000000001</v>
      </c>
      <c r="R200" s="6" t="n">
        <v>14.327</v>
      </c>
      <c r="S200" s="6">
        <f>O200*1.067</f>
        <v/>
      </c>
      <c r="T200" s="6">
        <f>P200*1.514</f>
        <v/>
      </c>
      <c r="U200" s="23">
        <f>P200*1.514+O200*1.067</f>
        <v/>
      </c>
      <c r="V200" s="6" t="n">
        <v>27</v>
      </c>
      <c r="Y200" t="n">
        <v>1.844</v>
      </c>
      <c r="Z200" s="6" t="n">
        <v>6.75</v>
      </c>
      <c r="AD200" s="5" t="n">
        <v>80</v>
      </c>
      <c r="AE200" s="7">
        <f>T200</f>
        <v/>
      </c>
      <c r="AF200" s="231">
        <f>5*2.61</f>
        <v/>
      </c>
      <c r="AG200" s="231" t="n">
        <v>19.8</v>
      </c>
      <c r="AH200" s="231" t="n">
        <v>0</v>
      </c>
      <c r="AI200" t="n">
        <v>0.01</v>
      </c>
      <c r="AJ200" s="119" t="n">
        <v>0.4791666666666667</v>
      </c>
      <c r="AM200" s="3" t="n">
        <v>180</v>
      </c>
      <c r="AN200" s="4">
        <f>AE200</f>
        <v/>
      </c>
      <c r="AO200" s="231" t="n">
        <v>12.9</v>
      </c>
      <c r="AP200" s="255">
        <f>360-AK200-AB200</f>
        <v/>
      </c>
      <c r="AQ200" s="126" t="n"/>
      <c r="AR200" s="13">
        <f>AVERAGE(AO198:AO204)</f>
        <v/>
      </c>
      <c r="AS200" s="15">
        <f>IF(ISNUMBER([2]HRT_SRT!R254),[2]HRT_SRT!R254,"")</f>
        <v/>
      </c>
      <c r="AT200" s="156">
        <f>(E200-W200)/E200</f>
        <v/>
      </c>
      <c r="AU200" s="155">
        <f>(I200-AF200)/I200</f>
        <v/>
      </c>
      <c r="AV200" s="155">
        <f>AG200/(AD200-AF200)</f>
        <v/>
      </c>
      <c r="AW200" s="155">
        <f>(G200-AM200)/G200</f>
        <v/>
      </c>
      <c r="AX200" s="254">
        <f>IF(AND(ISNUMBER(E200),ISNUMBER(W200)),E200-W200,"")</f>
        <v/>
      </c>
      <c r="AY200" s="254">
        <f>IF(AND(ISNUMBER(I200),ISNUMBER(AF200)),I200-AF200,"")</f>
        <v/>
      </c>
      <c r="AZ200" s="254">
        <f>IF(AND(ISNUMBER(AM200),ISNUMBER(G200)),G200-AM200,"")</f>
        <v/>
      </c>
      <c r="BA200" s="254">
        <f>IF(AND(ISNUMBER(AC200),ISNUMBER(AE200)),AC200-AE200,"")</f>
        <v/>
      </c>
      <c r="BB200" s="254">
        <f>IF(AND(ISNUMBER(AL200),ISNUMBER(AM200)),AL200-AM200,"")</f>
        <v/>
      </c>
      <c r="BC200" s="84">
        <f>IF(AND($E200&gt;0,$W200&gt;0),IF(($E200-$W200)/$E200&gt;0,($E200-$W200)/$E200,0),"")</f>
        <v/>
      </c>
      <c r="BD200" s="84">
        <f>IF(AND($I200&gt;0,$AF200&gt;=0),IF(($I200-$AF200)/$I200&gt;0,($I200-$AF200)/$I200,0),"")</f>
        <v/>
      </c>
      <c r="BE200" s="84">
        <f>IF(AND($AG200&gt;=0,$AD200&gt;=0,$AF200&gt;=0),IF($AG200/($AD200-$AF200)&gt;0,$AG200/($AD200-$AF200),0),"")</f>
        <v/>
      </c>
      <c r="BF200" s="84">
        <f>IF(AND($G200&gt;0,$AM200&gt;0),IF(($G200-$AM200)/$G200&gt;0,($G200-$AM200)/$G200,0),"")</f>
        <v/>
      </c>
      <c r="BG200" s="6">
        <f>IF((AD200-AF200)/(AJ200/60)&lt;=0,"",(AD200-AF200)/(AJ200/60))</f>
        <v/>
      </c>
      <c r="BH200" s="6">
        <f>IF(OR(AJ200=0,AP200=0,NOT(ISNUMBER(AD200)),NOT(ISNUMBER(AF200)),NOT(ISNUMBER(AJ200)),NOT(ISNUMBER(AP200))),"",
IFERROR(IF((AD200-AF200)/(AJ200/60)/(AP200/1000)&lt;=0,"",(AD200-AF200)/(AJ200/60)/(AP200/1000)),""))</f>
        <v/>
      </c>
    </row>
    <row r="201" ht="15.75" customHeight="1">
      <c r="B201" t="n">
        <v>-43</v>
      </c>
      <c r="D201" s="134" t="n">
        <v>45461</v>
      </c>
      <c r="E201" s="133" t="n"/>
      <c r="F201" s="3" t="n">
        <v>196</v>
      </c>
      <c r="G201" s="205">
        <f>IF(OR(S201="",S201=0),"",S201*2)</f>
        <v/>
      </c>
      <c r="I201" s="15">
        <f>(N201*18-H201*18)/9</f>
        <v/>
      </c>
      <c r="J201" s="15" t="n">
        <v>8.57</v>
      </c>
      <c r="K201" s="15">
        <f>AD201</f>
        <v/>
      </c>
      <c r="M201" s="10">
        <f>IF(OR(E201="",G201="",E201=0,G201=0),"",E201/G201)</f>
        <v/>
      </c>
      <c r="N201" s="9">
        <f>IF(OR(E201="",I201="",E201=0,I201=0),"",E201/(I201*2))</f>
        <v/>
      </c>
      <c r="O201" s="8">
        <f>IF(OR(I201="",G201="",I201=0,G201=0),"",I201*2/G201)</f>
        <v/>
      </c>
      <c r="P201" s="7" t="n">
        <v>21.5</v>
      </c>
      <c r="Q201" s="6" t="n">
        <v>84.922</v>
      </c>
      <c r="R201" s="6" t="n">
        <v>22.821</v>
      </c>
      <c r="S201" s="6">
        <f>O201*1.067</f>
        <v/>
      </c>
      <c r="T201" s="6">
        <f>P201*1.514</f>
        <v/>
      </c>
      <c r="U201" s="23">
        <f>P201*1.514+O201*1.067</f>
        <v/>
      </c>
      <c r="V201" s="6" t="n">
        <v>35.3</v>
      </c>
      <c r="Y201">
        <f>4.691+4.096</f>
        <v/>
      </c>
      <c r="AD201" s="5" t="n">
        <v>80</v>
      </c>
      <c r="AE201" s="7">
        <f>T201</f>
        <v/>
      </c>
      <c r="AF201" s="231">
        <f>5*2.98</f>
        <v/>
      </c>
      <c r="AG201" s="231" t="n">
        <v>22.8</v>
      </c>
      <c r="AH201" s="231" t="n">
        <v>0</v>
      </c>
      <c r="AI201" t="n">
        <v>0.01</v>
      </c>
      <c r="AJ201" s="119" t="n">
        <v>0.4791666666666667</v>
      </c>
      <c r="AM201" s="3" t="n">
        <v>180</v>
      </c>
      <c r="AN201" s="4">
        <f>AE201</f>
        <v/>
      </c>
      <c r="AO201" s="231" t="n">
        <v>17.1</v>
      </c>
      <c r="AP201" s="255">
        <f>360-AK201-AB201</f>
        <v/>
      </c>
      <c r="AQ201" s="126" t="n"/>
      <c r="AR201" s="13">
        <f>AVERAGE(AO199:AO205)</f>
        <v/>
      </c>
      <c r="AS201" s="15">
        <f>IF(ISNUMBER([2]HRT_SRT!R255),[2]HRT_SRT!R255,"")</f>
        <v/>
      </c>
      <c r="AT201" s="156">
        <f>(E201-W201)/E201</f>
        <v/>
      </c>
      <c r="AU201" s="155">
        <f>(I201-AF201)/I201</f>
        <v/>
      </c>
      <c r="AV201" s="155">
        <f>AG201/(AD201-AF201)</f>
        <v/>
      </c>
      <c r="AW201" s="155">
        <f>(G201-AM201)/G201</f>
        <v/>
      </c>
      <c r="AX201" s="254">
        <f>IF(AND(ISNUMBER(E201),ISNUMBER(W201)),E201-W201,"")</f>
        <v/>
      </c>
      <c r="AY201" s="254">
        <f>IF(AND(ISNUMBER(I201),ISNUMBER(AF201)),I201-AF201,"")</f>
        <v/>
      </c>
      <c r="AZ201" s="254">
        <f>IF(AND(ISNUMBER(AM201),ISNUMBER(G201)),G201-AM201,"")</f>
        <v/>
      </c>
      <c r="BA201" s="254">
        <f>IF(AND(ISNUMBER(AC201),ISNUMBER(AE201)),AC201-AE201,"")</f>
        <v/>
      </c>
      <c r="BB201" s="254">
        <f>IF(AND(ISNUMBER(AL201),ISNUMBER(AM201)),AL201-AM201,"")</f>
        <v/>
      </c>
      <c r="BC201" s="84">
        <f>IF(AND($E201&gt;0,$W201&gt;0),IF(($E201-$W201)/$E201&gt;0,($E201-$W201)/$E201,0),"")</f>
        <v/>
      </c>
      <c r="BD201" s="84">
        <f>IF(AND($I201&gt;0,$AF201&gt;=0),IF(($I201-$AF201)/$I201&gt;0,($I201-$AF201)/$I201,0),"")</f>
        <v/>
      </c>
      <c r="BE201" s="84">
        <f>IF(AND($AG201&gt;=0,$AD201&gt;=0,$AF201&gt;=0),IF($AG201/($AD201-$AF201)&gt;0,$AG201/($AD201-$AF201),0),"")</f>
        <v/>
      </c>
      <c r="BF201" s="84">
        <f>IF(AND($G201&gt;0,$AM201&gt;0),IF(($G201-$AM201)/$G201&gt;0,($G201-$AM201)/$G201,0),"")</f>
        <v/>
      </c>
      <c r="BG201" s="6">
        <f>IF((AD201-AF201)/(AJ201/60)&lt;=0,"",(AD201-AF201)/(AJ201/60))</f>
        <v/>
      </c>
      <c r="BH201" s="6">
        <f>IF(OR(AJ201=0,AP201=0,NOT(ISNUMBER(AD201)),NOT(ISNUMBER(AF201)),NOT(ISNUMBER(AJ201)),NOT(ISNUMBER(AP201))),"",
IFERROR(IF((AD201-AF201)/(AJ201/60)/(AP201/1000)&lt;=0,"",(AD201-AF201)/(AJ201/60)/(AP201/1000)),""))</f>
        <v/>
      </c>
    </row>
    <row r="202" ht="15.75" customHeight="1">
      <c r="B202" t="n">
        <v>-42</v>
      </c>
      <c r="D202" s="134" t="n">
        <v>45462</v>
      </c>
      <c r="E202" s="133" t="n"/>
      <c r="F202" s="3" t="n">
        <v>197</v>
      </c>
      <c r="G202" s="205">
        <f>IF(OR(S202="",S202=0),"",S202*2)</f>
        <v/>
      </c>
      <c r="I202" s="15">
        <f>(N202*18-H202*18)/9</f>
        <v/>
      </c>
      <c r="J202" s="15" t="n">
        <v>8.859999999999999</v>
      </c>
      <c r="K202" s="15">
        <f>AD202</f>
        <v/>
      </c>
      <c r="M202" s="10">
        <f>IF(OR(E202="",G202="",E202=0,G202=0),"",E202/G202)</f>
        <v/>
      </c>
      <c r="N202" s="9">
        <f>IF(OR(E202="",I202="",E202=0,I202=0),"",E202/(I202*2))</f>
        <v/>
      </c>
      <c r="O202" s="8">
        <f>IF(OR(I202="",G202="",I202=0,G202=0),"",I202*2/G202)</f>
        <v/>
      </c>
      <c r="P202" s="7" t="n">
        <v>20.9</v>
      </c>
      <c r="Q202" s="6" t="n">
        <v>78.146</v>
      </c>
      <c r="R202" s="6" t="n">
        <v>20.911</v>
      </c>
      <c r="S202" s="6">
        <f>O202*1.067</f>
        <v/>
      </c>
      <c r="T202" s="6">
        <f>P202*1.514</f>
        <v/>
      </c>
      <c r="U202" s="23">
        <f>P202*1.514+O202*1.067</f>
        <v/>
      </c>
      <c r="V202" s="6" t="n">
        <v>33.8</v>
      </c>
      <c r="Y202">
        <f>4.484+4.083</f>
        <v/>
      </c>
      <c r="AD202" s="5" t="n">
        <v>80</v>
      </c>
      <c r="AE202" s="7">
        <f>T202</f>
        <v/>
      </c>
      <c r="AF202" s="231">
        <f>5*3.11</f>
        <v/>
      </c>
      <c r="AH202" s="231" t="n">
        <v>0</v>
      </c>
      <c r="AI202" t="n">
        <v>1.61</v>
      </c>
      <c r="AJ202" s="119" t="n">
        <v>0.4690972222222222</v>
      </c>
      <c r="AM202" s="3" t="n">
        <v>180</v>
      </c>
      <c r="AN202" s="4">
        <f>AE202</f>
        <v/>
      </c>
      <c r="AO202" s="231" t="n">
        <v>19.7</v>
      </c>
      <c r="AP202" s="255">
        <f>360-AK202-AB202</f>
        <v/>
      </c>
      <c r="AQ202" s="126" t="n"/>
      <c r="AR202" s="13">
        <f>AVERAGE(AO200:AO206)</f>
        <v/>
      </c>
      <c r="AS202" s="15">
        <f>IF(ISNUMBER([2]HRT_SRT!R256),[2]HRT_SRT!R256,"")</f>
        <v/>
      </c>
      <c r="AT202" s="156">
        <f>(E202-W202)/E202</f>
        <v/>
      </c>
      <c r="AU202" s="155">
        <f>(I202-AF202)/I202</f>
        <v/>
      </c>
      <c r="AV202" s="155">
        <f>AG202/(AD202-AF202)</f>
        <v/>
      </c>
      <c r="AW202" s="155">
        <f>(G202-AM202)/G202</f>
        <v/>
      </c>
      <c r="AX202" s="254">
        <f>IF(AND(ISNUMBER(E202),ISNUMBER(W202)),E202-W202,"")</f>
        <v/>
      </c>
      <c r="AY202" s="254">
        <f>IF(AND(ISNUMBER(I202),ISNUMBER(AF202)),I202-AF202,"")</f>
        <v/>
      </c>
      <c r="AZ202" s="254">
        <f>IF(AND(ISNUMBER(AM202),ISNUMBER(G202)),G202-AM202,"")</f>
        <v/>
      </c>
      <c r="BA202" s="254">
        <f>IF(AND(ISNUMBER(AC202),ISNUMBER(AE202)),AC202-AE202,"")</f>
        <v/>
      </c>
      <c r="BB202" s="254">
        <f>IF(AND(ISNUMBER(AL202),ISNUMBER(AM202)),AL202-AM202,"")</f>
        <v/>
      </c>
      <c r="BC202" s="84">
        <f>IF(AND($E202&gt;0,$W202&gt;0),IF(($E202-$W202)/$E202&gt;0,($E202-$W202)/$E202,0),"")</f>
        <v/>
      </c>
      <c r="BD202" s="84">
        <f>IF(AND($I202&gt;0,$AF202&gt;=0),IF(($I202-$AF202)/$I202&gt;0,($I202-$AF202)/$I202,0),"")</f>
        <v/>
      </c>
      <c r="BE202" s="84">
        <f>IF(AND($AG202&gt;=0,$AD202&gt;=0,$AF202&gt;=0),IF($AG202/($AD202-$AF202)&gt;0,$AG202/($AD202-$AF202),0),"")</f>
        <v/>
      </c>
      <c r="BF202" s="84">
        <f>IF(AND($G202&gt;0,$AM202&gt;0),IF(($G202-$AM202)/$G202&gt;0,($G202-$AM202)/$G202,0),"")</f>
        <v/>
      </c>
      <c r="BG202" s="6">
        <f>IF((AD202-AF202)/(AJ202/60)&lt;=0,"",(AD202-AF202)/(AJ202/60))</f>
        <v/>
      </c>
      <c r="BH202" s="6">
        <f>IF(OR(AJ202=0,AP202=0,NOT(ISNUMBER(AD202)),NOT(ISNUMBER(AF202)),NOT(ISNUMBER(AJ202)),NOT(ISNUMBER(AP202))),"",
IFERROR(IF((AD202-AF202)/(AJ202/60)/(AP202/1000)&lt;=0,"",(AD202-AF202)/(AJ202/60)/(AP202/1000)),""))</f>
        <v/>
      </c>
    </row>
    <row r="203" ht="15.75" customHeight="1">
      <c r="B203" t="n">
        <v>-41</v>
      </c>
      <c r="D203" s="134" t="n">
        <v>45463</v>
      </c>
      <c r="E203" s="133" t="n"/>
      <c r="F203" s="3" t="n">
        <v>198</v>
      </c>
      <c r="G203" s="205">
        <f>IF(OR(S203="",S203=0),"",S203*2)</f>
        <v/>
      </c>
      <c r="I203" s="15">
        <f>(N203*18-H203*18)/9</f>
        <v/>
      </c>
      <c r="J203" s="15" t="n">
        <v>10.5</v>
      </c>
      <c r="K203" s="15">
        <f>AD203</f>
        <v/>
      </c>
      <c r="M203" s="10">
        <f>IF(OR(E203="",G203="",E203=0,G203=0),"",E203/G203)</f>
        <v/>
      </c>
      <c r="N203" s="9">
        <f>IF(OR(E203="",I203="",E203=0,I203=0),"",E203/(I203*2))</f>
        <v/>
      </c>
      <c r="O203" s="8">
        <f>IF(OR(I203="",G203="",I203=0,G203=0),"",I203*2/G203)</f>
        <v/>
      </c>
      <c r="P203" s="7" t="n">
        <v>22.9</v>
      </c>
      <c r="Q203" s="6" t="n">
        <v>72.15000000000001</v>
      </c>
      <c r="R203" s="6" t="n">
        <v>19.357</v>
      </c>
      <c r="S203" s="6">
        <f>O203*1.067</f>
        <v/>
      </c>
      <c r="T203" s="6">
        <f>P203*1.514</f>
        <v/>
      </c>
      <c r="U203" s="23">
        <f>P203*1.514+O203*1.067</f>
        <v/>
      </c>
      <c r="V203" s="6" t="n">
        <v>34.8</v>
      </c>
      <c r="Y203">
        <f>4.327+4.083</f>
        <v/>
      </c>
      <c r="Z203" s="6" t="n">
        <v>8.1</v>
      </c>
      <c r="AD203" s="5" t="n">
        <v>80</v>
      </c>
      <c r="AE203" s="7">
        <f>T203</f>
        <v/>
      </c>
      <c r="AF203" s="231">
        <f>5*2.98</f>
        <v/>
      </c>
      <c r="AG203" s="231" t="n">
        <v>20.2</v>
      </c>
      <c r="AH203" s="231" t="n">
        <v>0.62</v>
      </c>
      <c r="AI203" t="n">
        <v>2.15</v>
      </c>
      <c r="AJ203" s="119" t="n">
        <v>0.4309027777777778</v>
      </c>
      <c r="AM203" s="3" t="n">
        <v>180</v>
      </c>
      <c r="AN203" s="4">
        <f>AE203</f>
        <v/>
      </c>
      <c r="AO203" s="231" t="n">
        <v>17.3</v>
      </c>
      <c r="AP203" s="255">
        <f>360-AK203-AB203</f>
        <v/>
      </c>
      <c r="AQ203" s="126" t="n"/>
      <c r="AR203" s="13">
        <f>AVERAGE(AO201:AO207)</f>
        <v/>
      </c>
      <c r="AS203" s="15">
        <f>IF(ISNUMBER([2]HRT_SRT!R257),[2]HRT_SRT!R257,"")</f>
        <v/>
      </c>
      <c r="AT203" s="156">
        <f>(E203-W203)/E203</f>
        <v/>
      </c>
      <c r="AU203" s="155">
        <f>(I203-AF203)/I203</f>
        <v/>
      </c>
      <c r="AV203" s="155">
        <f>AG203/(AD203-AF203)</f>
        <v/>
      </c>
      <c r="AW203" s="155">
        <f>(G203-AM203)/G203</f>
        <v/>
      </c>
      <c r="AX203" s="254">
        <f>IF(AND(ISNUMBER(E203),ISNUMBER(W203)),E203-W203,"")</f>
        <v/>
      </c>
      <c r="AY203" s="254">
        <f>IF(AND(ISNUMBER(I203),ISNUMBER(AF203)),I203-AF203,"")</f>
        <v/>
      </c>
      <c r="AZ203" s="254">
        <f>IF(AND(ISNUMBER(AM203),ISNUMBER(G203)),G203-AM203,"")</f>
        <v/>
      </c>
      <c r="BA203" s="254">
        <f>IF(AND(ISNUMBER(AC203),ISNUMBER(AE203)),AC203-AE203,"")</f>
        <v/>
      </c>
      <c r="BB203" s="254">
        <f>IF(AND(ISNUMBER(AL203),ISNUMBER(AM203)),AL203-AM203,"")</f>
        <v/>
      </c>
      <c r="BC203" s="84">
        <f>IF(AND($E203&gt;0,$W203&gt;0),IF(($E203-$W203)/$E203&gt;0,($E203-$W203)/$E203,0),"")</f>
        <v/>
      </c>
      <c r="BD203" s="84">
        <f>IF(AND($I203&gt;0,$AF203&gt;=0),IF(($I203-$AF203)/$I203&gt;0,($I203-$AF203)/$I203,0),"")</f>
        <v/>
      </c>
      <c r="BE203" s="84">
        <f>IF(AND($AG203&gt;=0,$AD203&gt;=0,$AF203&gt;=0),IF($AG203/($AD203-$AF203)&gt;0,$AG203/($AD203-$AF203),0),"")</f>
        <v/>
      </c>
      <c r="BF203" s="84">
        <f>IF(AND($G203&gt;0,$AM203&gt;0),IF(($G203-$AM203)/$G203&gt;0,($G203-$AM203)/$G203,0),"")</f>
        <v/>
      </c>
      <c r="BG203" s="6">
        <f>IF((AD203-AF203)/(AJ203/60)&lt;=0,"",(AD203-AF203)/(AJ203/60))</f>
        <v/>
      </c>
      <c r="BH203" s="6">
        <f>IF(OR(AJ203=0,AP203=0,NOT(ISNUMBER(AD203)),NOT(ISNUMBER(AF203)),NOT(ISNUMBER(AJ203)),NOT(ISNUMBER(AP203))),"",
IFERROR(IF((AD203-AF203)/(AJ203/60)/(AP203/1000)&lt;=0,"",(AD203-AF203)/(AJ203/60)/(AP203/1000)),""))</f>
        <v/>
      </c>
    </row>
    <row r="204" ht="15.75" customHeight="1">
      <c r="B204" t="n">
        <v>-40</v>
      </c>
      <c r="C204" s="112" t="n"/>
      <c r="D204" s="134" t="n">
        <v>45464</v>
      </c>
      <c r="E204" s="133" t="n"/>
      <c r="F204" s="3" t="n">
        <v>199</v>
      </c>
      <c r="G204" s="205">
        <f>IF(OR(S204="",S204=0),"",S204*2)</f>
        <v/>
      </c>
      <c r="I204" s="15">
        <f>(N204*18-H204*18)/9</f>
        <v/>
      </c>
      <c r="J204" s="9" t="n">
        <v>9.74</v>
      </c>
      <c r="K204" s="15">
        <f>AD204</f>
        <v/>
      </c>
      <c r="M204" s="10">
        <f>IF(OR(E204="",G204="",E204=0,G204=0),"",E204/G204)</f>
        <v/>
      </c>
      <c r="N204" s="9">
        <f>IF(OR(E204="",I204="",E204=0,I204=0),"",E204/(I204*2))</f>
        <v/>
      </c>
      <c r="O204" s="8">
        <f>IF(OR(I204="",G204="",I204=0,G204=0),"",I204*2/G204)</f>
        <v/>
      </c>
      <c r="P204" s="7" t="n">
        <v>21.5</v>
      </c>
      <c r="Q204" s="6" t="n">
        <v>86.508</v>
      </c>
      <c r="R204" s="6" t="n">
        <v>22.49</v>
      </c>
      <c r="S204" s="6">
        <f>O204*1.067</f>
        <v/>
      </c>
      <c r="T204" s="6">
        <f>P204*1.514</f>
        <v/>
      </c>
      <c r="U204" s="23">
        <f>P204*1.514+O204*1.067</f>
        <v/>
      </c>
      <c r="V204" s="6" t="n">
        <v>32</v>
      </c>
      <c r="Y204">
        <f>4.546+4.072</f>
        <v/>
      </c>
      <c r="Z204" s="6" t="n">
        <v>8.56</v>
      </c>
      <c r="AD204" s="5" t="n">
        <v>80</v>
      </c>
      <c r="AE204" s="4">
        <f>T204</f>
        <v/>
      </c>
      <c r="AF204" s="231">
        <f>5*2.71</f>
        <v/>
      </c>
      <c r="AG204" s="231" t="n">
        <v>21.5</v>
      </c>
      <c r="AH204" s="231" t="n">
        <v>2.42</v>
      </c>
      <c r="AI204" t="n">
        <v>2.36</v>
      </c>
      <c r="AJ204" s="119" t="n">
        <v>0.4403935185185185</v>
      </c>
      <c r="AM204" s="3" t="n">
        <v>180</v>
      </c>
      <c r="AN204" s="4">
        <f>AE204</f>
        <v/>
      </c>
      <c r="AO204" s="231" t="n">
        <v>19.6</v>
      </c>
      <c r="AP204" s="255">
        <f>360-AK204-AB204</f>
        <v/>
      </c>
      <c r="AQ204" s="126">
        <f>[2]HRT_SRT!P258</f>
        <v/>
      </c>
      <c r="AR204" s="13">
        <f>AVERAGE(AO202:AO208)</f>
        <v/>
      </c>
      <c r="AS204" s="15">
        <f>IF(ISNUMBER([2]HRT_SRT!R258),[2]HRT_SRT!R258,"")</f>
        <v/>
      </c>
      <c r="AT204" s="156">
        <f>(E204-W204)/E204</f>
        <v/>
      </c>
      <c r="AU204" s="155">
        <f>(I204-AF204)/I204</f>
        <v/>
      </c>
      <c r="AV204" s="155">
        <f>AG204/(AD204-AF204)</f>
        <v/>
      </c>
      <c r="AW204" s="155">
        <f>(G204-AM204)/G204</f>
        <v/>
      </c>
      <c r="AX204" s="254">
        <f>IF(AND(ISNUMBER(E204),ISNUMBER(W204)),E204-W204,"")</f>
        <v/>
      </c>
      <c r="AY204" s="254">
        <f>IF(AND(ISNUMBER(I204),ISNUMBER(AF204)),I204-AF204,"")</f>
        <v/>
      </c>
      <c r="AZ204" s="254">
        <f>IF(AND(ISNUMBER(AM204),ISNUMBER(G204)),G204-AM204,"")</f>
        <v/>
      </c>
      <c r="BA204" s="254">
        <f>IF(AND(ISNUMBER(AC204),ISNUMBER(AE204)),AC204-AE204,"")</f>
        <v/>
      </c>
      <c r="BB204" s="254">
        <f>IF(AND(ISNUMBER(AL204),ISNUMBER(AM204)),AL204-AM204,"")</f>
        <v/>
      </c>
      <c r="BC204" s="84">
        <f>IF(AND($E204&gt;0,$W204&gt;0),IF(($E204-$W204)/$E204&gt;0,($E204-$W204)/$E204,0),"")</f>
        <v/>
      </c>
      <c r="BD204" s="84">
        <f>IF(AND($I204&gt;0,$AF204&gt;=0),IF(($I204-$AF204)/$I204&gt;0,($I204-$AF204)/$I204,0),"")</f>
        <v/>
      </c>
      <c r="BE204" s="84">
        <f>IF(AND($AG204&gt;=0,$AD204&gt;=0,$AF204&gt;=0),IF($AG204/($AD204-$AF204)&gt;0,$AG204/($AD204-$AF204),0),"")</f>
        <v/>
      </c>
      <c r="BF204" s="84">
        <f>IF(AND($G204&gt;0,$AM204&gt;0),IF(($G204-$AM204)/$G204&gt;0,($G204-$AM204)/$G204,0),"")</f>
        <v/>
      </c>
      <c r="BG204" s="6">
        <f>IF((AD204-AF204)/(AJ204/60)&lt;=0,"",(AD204-AF204)/(AJ204/60))</f>
        <v/>
      </c>
      <c r="BH204" s="6">
        <f>IF(OR(AJ204=0,AP204=0,NOT(ISNUMBER(AD204)),NOT(ISNUMBER(AF204)),NOT(ISNUMBER(AJ204)),NOT(ISNUMBER(AP204))),"",
IFERROR(IF((AD204-AF204)/(AJ204/60)/(AP204/1000)&lt;=0,"",(AD204-AF204)/(AJ204/60)/(AP204/1000)),""))</f>
        <v/>
      </c>
    </row>
    <row r="205" ht="15.75" customHeight="1">
      <c r="B205" t="n">
        <v>-39</v>
      </c>
      <c r="D205" s="134" t="n">
        <v>45465</v>
      </c>
      <c r="E205" s="133" t="n"/>
      <c r="F205" s="3" t="n">
        <v>200</v>
      </c>
      <c r="G205" s="205">
        <f>IF(OR(S205="",S205=0),"",S205*2)</f>
        <v/>
      </c>
      <c r="K205" s="15">
        <f>AD205</f>
        <v/>
      </c>
      <c r="M205" s="10">
        <f>IF(OR(E205="",G205="",E205=0,G205=0),"",E205/G205)</f>
        <v/>
      </c>
      <c r="N205" s="9">
        <f>IF(OR(E205="",I205="",E205=0,I205=0),"",E205/(I205*2))</f>
        <v/>
      </c>
      <c r="O205" s="8">
        <f>IF(OR(I205="",G205="",I205=0,G205=0),"",I205*2/G205)</f>
        <v/>
      </c>
      <c r="Z205" s="6" t="n">
        <v>4.39</v>
      </c>
      <c r="AD205" s="5" t="n">
        <v>80</v>
      </c>
      <c r="AF205" s="135">
        <f>(AD204*2/3+AD208*1/3)</f>
        <v/>
      </c>
      <c r="AH205" s="135">
        <f>(AF204*2/3+AF207*1/3)</f>
        <v/>
      </c>
      <c r="AI205" t="n">
        <v>2.71</v>
      </c>
      <c r="AJ205" s="119" t="n">
        <v>0.4497685185185185</v>
      </c>
      <c r="AM205" s="3" t="n">
        <v>180</v>
      </c>
      <c r="AP205" s="255">
        <f>360-AK205-AB205</f>
        <v/>
      </c>
      <c r="AQ205" s="126" t="n"/>
      <c r="AR205" s="13">
        <f>AVERAGE(AO203:AO209)</f>
        <v/>
      </c>
      <c r="AS205" s="15">
        <f>IF(ISNUMBER([2]HRT_SRT!R259),[2]HRT_SRT!R259,"")</f>
        <v/>
      </c>
      <c r="AT205" s="156">
        <f>(E205-W205)/E205</f>
        <v/>
      </c>
      <c r="AU205" s="155">
        <f>(I205-AF205)/I205</f>
        <v/>
      </c>
      <c r="AV205" s="155">
        <f>AG205/(AD205-AF205)</f>
        <v/>
      </c>
      <c r="AW205" s="155">
        <f>(G205-AM205)/G205</f>
        <v/>
      </c>
      <c r="AX205" s="254">
        <f>IF(AND(ISNUMBER(E205),ISNUMBER(W205)),E205-W205,"")</f>
        <v/>
      </c>
      <c r="AY205" s="254">
        <f>IF(AND(ISNUMBER(I205),ISNUMBER(AF205)),I205-AF205,"")</f>
        <v/>
      </c>
      <c r="AZ205" s="254">
        <f>IF(AND(ISNUMBER(AM205),ISNUMBER(G205)),G205-AM205,"")</f>
        <v/>
      </c>
      <c r="BA205" s="254">
        <f>IF(AND(ISNUMBER(AC205),ISNUMBER(AE205)),AC205-AE205,"")</f>
        <v/>
      </c>
      <c r="BB205" s="254">
        <f>IF(AND(ISNUMBER(AL205),ISNUMBER(AM205)),AL205-AM205,"")</f>
        <v/>
      </c>
      <c r="BC205" s="84">
        <f>IF(AND($E205&gt;0,$W205&gt;0),IF(($E205-$W205)/$E205&gt;0,($E205-$W205)/$E205,0),"")</f>
        <v/>
      </c>
      <c r="BD205" s="84">
        <f>IF(AND($I205&gt;0,$AF205&gt;=0),IF(($I205-$AF205)/$I205&gt;0,($I205-$AF205)/$I205,0),"")</f>
        <v/>
      </c>
      <c r="BE205" s="84">
        <f>IF(AND($AG205&gt;=0,$AD205&gt;=0,$AF205&gt;=0),IF($AG205/($AD205-$AF205)&gt;0,$AG205/($AD205-$AF205),0),"")</f>
        <v/>
      </c>
      <c r="BF205" s="84">
        <f>IF(AND($G205&gt;0,$AM205&gt;0),IF(($G205-$AM205)/$G205&gt;0,($G205-$AM205)/$G205,0),"")</f>
        <v/>
      </c>
      <c r="BG205" s="6">
        <f>IF((AD205-AF205)/(AJ205/60)&lt;=0,"",(AD205-AF205)/(AJ205/60))</f>
        <v/>
      </c>
      <c r="BH205" s="6">
        <f>IF(OR(AJ205=0,AP205=0,NOT(ISNUMBER(AD205)),NOT(ISNUMBER(AF205)),NOT(ISNUMBER(AJ205)),NOT(ISNUMBER(AP205))),"",
IFERROR(IF((AD205-AF205)/(AJ205/60)/(AP205/1000)&lt;=0,"",(AD205-AF205)/(AJ205/60)/(AP205/1000)),""))</f>
        <v/>
      </c>
    </row>
    <row r="206" ht="15.75" customHeight="1">
      <c r="B206" t="n">
        <v>-38</v>
      </c>
      <c r="D206" s="134" t="n">
        <v>45466</v>
      </c>
      <c r="E206" s="133" t="n"/>
      <c r="F206" s="3" t="n">
        <v>201</v>
      </c>
      <c r="G206" s="205">
        <f>IF(OR(S206="",S206=0),"",S206*2)</f>
        <v/>
      </c>
      <c r="K206" s="15">
        <f>AD206</f>
        <v/>
      </c>
      <c r="M206" s="10">
        <f>IF(OR(E206="",G206="",E206=0,G206=0),"",E206/G206)</f>
        <v/>
      </c>
      <c r="N206" s="9">
        <f>IF(OR(E206="",I206="",E206=0,I206=0),"",E206/(I206*2))</f>
        <v/>
      </c>
      <c r="O206" s="8">
        <f>IF(OR(I206="",G206="",I206=0,G206=0),"",I206*2/G206)</f>
        <v/>
      </c>
      <c r="Z206" s="6" t="n">
        <v>4.15</v>
      </c>
      <c r="AD206" s="5" t="n">
        <v>80</v>
      </c>
      <c r="AF206" s="135">
        <f>(AD204+AD208)/2</f>
        <v/>
      </c>
      <c r="AH206" s="135">
        <f>(AF204*1/3+AF207*2/3)</f>
        <v/>
      </c>
      <c r="AI206" t="n">
        <v>0.14</v>
      </c>
      <c r="AJ206" s="119" t="n">
        <v>0.4791666666666667</v>
      </c>
      <c r="AM206" s="3" t="n">
        <v>180</v>
      </c>
      <c r="AP206" s="255">
        <f>360-AK206-AB206</f>
        <v/>
      </c>
      <c r="AQ206" s="126" t="n"/>
      <c r="AR206" s="13">
        <f>AVERAGE(AO204:AO210)</f>
        <v/>
      </c>
      <c r="AS206" s="15">
        <f>IF(ISNUMBER([2]HRT_SRT!R260),[2]HRT_SRT!R260,"")</f>
        <v/>
      </c>
      <c r="AT206" s="156">
        <f>(E206-W206)/E206</f>
        <v/>
      </c>
      <c r="AU206" s="155">
        <f>(I206-AF206)/I206</f>
        <v/>
      </c>
      <c r="AV206" s="155">
        <f>AG206/(AD206-AF206)</f>
        <v/>
      </c>
      <c r="AW206" s="155">
        <f>(G206-AM206)/G206</f>
        <v/>
      </c>
      <c r="AX206" s="254">
        <f>IF(AND(ISNUMBER(E206),ISNUMBER(W206)),E206-W206,"")</f>
        <v/>
      </c>
      <c r="AY206" s="254">
        <f>IF(AND(ISNUMBER(I206),ISNUMBER(AF206)),I206-AF206,"")</f>
        <v/>
      </c>
      <c r="AZ206" s="254">
        <f>IF(AND(ISNUMBER(AM206),ISNUMBER(G206)),G206-AM206,"")</f>
        <v/>
      </c>
      <c r="BA206" s="254">
        <f>IF(AND(ISNUMBER(AC206),ISNUMBER(AE206)),AC206-AE206,"")</f>
        <v/>
      </c>
      <c r="BB206" s="254">
        <f>IF(AND(ISNUMBER(AL206),ISNUMBER(AM206)),AL206-AM206,"")</f>
        <v/>
      </c>
      <c r="BC206" s="84">
        <f>IF(AND($E206&gt;0,$W206&gt;0),IF(($E206-$W206)/$E206&gt;0,($E206-$W206)/$E206,0),"")</f>
        <v/>
      </c>
      <c r="BD206" s="84">
        <f>IF(AND($I206&gt;0,$AF206&gt;=0),IF(($I206-$AF206)/$I206&gt;0,($I206-$AF206)/$I206,0),"")</f>
        <v/>
      </c>
      <c r="BE206" s="84">
        <f>IF(AND($AG206&gt;=0,$AD206&gt;=0,$AF206&gt;=0),IF($AG206/($AD206-$AF206)&gt;0,$AG206/($AD206-$AF206),0),"")</f>
        <v/>
      </c>
      <c r="BF206" s="84">
        <f>IF(AND($G206&gt;0,$AM206&gt;0),IF(($G206-$AM206)/$G206&gt;0,($G206-$AM206)/$G206,0),"")</f>
        <v/>
      </c>
      <c r="BG206" s="6">
        <f>IF((AD206-AF206)/(AJ206/60)&lt;=0,"",(AD206-AF206)/(AJ206/60))</f>
        <v/>
      </c>
      <c r="BH206" s="6">
        <f>IF(OR(AJ206=0,AP206=0,NOT(ISNUMBER(AD206)),NOT(ISNUMBER(AF206)),NOT(ISNUMBER(AJ206)),NOT(ISNUMBER(AP206))),"",
IFERROR(IF((AD206-AF206)/(AJ206/60)/(AP206/1000)&lt;=0,"",(AD206-AF206)/(AJ206/60)/(AP206/1000)),""))</f>
        <v/>
      </c>
    </row>
    <row r="207" ht="15.75" customHeight="1">
      <c r="B207" t="n">
        <v>-37</v>
      </c>
      <c r="C207" s="12" t="inlineStr">
        <is>
          <t>Zhen burrowed N2O probe</t>
        </is>
      </c>
      <c r="D207" s="134" t="n">
        <v>45467</v>
      </c>
      <c r="E207" s="133" t="n"/>
      <c r="F207" s="3" t="n">
        <v>202</v>
      </c>
      <c r="G207" s="205">
        <f>IF(OR(S207="",S207=0),"",S207*2)</f>
        <v/>
      </c>
      <c r="I207" s="15">
        <f>(N207*18-H207*18)/9</f>
        <v/>
      </c>
      <c r="J207" s="9" t="n">
        <v>5.95</v>
      </c>
      <c r="K207" s="15">
        <f>AD207</f>
        <v/>
      </c>
      <c r="M207" s="10">
        <f>IF(OR(E207="",G207="",E207=0,G207=0),"",E207/G207)</f>
        <v/>
      </c>
      <c r="N207" s="9">
        <f>IF(OR(E207="",I207="",E207=0,I207=0),"",E207/(I207*2))</f>
        <v/>
      </c>
      <c r="O207" s="8">
        <f>IF(OR(I207="",G207="",I207=0,G207=0),"",I207*2/G207)</f>
        <v/>
      </c>
      <c r="P207" s="7" t="n">
        <v>16.3</v>
      </c>
      <c r="Q207" s="6" t="n">
        <v>80.373</v>
      </c>
      <c r="R207" s="6" t="n">
        <v>18.213</v>
      </c>
      <c r="S207" s="6">
        <f>O207*1.067</f>
        <v/>
      </c>
      <c r="T207" s="6">
        <f>P207*1.514</f>
        <v/>
      </c>
      <c r="U207" s="23">
        <f>P207*1.514+O207*1.067</f>
        <v/>
      </c>
      <c r="V207" s="6" t="n">
        <v>25</v>
      </c>
      <c r="Y207">
        <f>1.571+0.508</f>
        <v/>
      </c>
      <c r="Z207" s="6" t="n">
        <v>6.62</v>
      </c>
      <c r="AD207" s="5" t="n">
        <v>80</v>
      </c>
      <c r="AE207" s="7">
        <f>T207</f>
        <v/>
      </c>
      <c r="AF207" s="231">
        <f>5*2.44</f>
        <v/>
      </c>
      <c r="AG207" s="231" t="n">
        <v>19.1</v>
      </c>
      <c r="AH207" s="231" t="n">
        <v>4.66</v>
      </c>
      <c r="AI207" s="231" t="n">
        <v>0.01</v>
      </c>
      <c r="AJ207" s="119" t="n">
        <v>0.4791666666666667</v>
      </c>
      <c r="AM207" s="3" t="n">
        <v>180</v>
      </c>
      <c r="AN207" s="4">
        <f>AE207</f>
        <v/>
      </c>
      <c r="AO207" s="231" t="n">
        <v>17.9</v>
      </c>
      <c r="AP207" s="255">
        <f>360-AK207-AB207</f>
        <v/>
      </c>
      <c r="AQ207" s="126" t="n"/>
      <c r="AR207" s="13">
        <f>AVERAGE(AO205:AO211)</f>
        <v/>
      </c>
      <c r="AS207" s="15">
        <f>IF(ISNUMBER([2]HRT_SRT!R261),[2]HRT_SRT!R261,"")</f>
        <v/>
      </c>
      <c r="AT207" s="156">
        <f>(E207-W207)/E207</f>
        <v/>
      </c>
      <c r="AU207" s="155">
        <f>(I207-AF207)/I207</f>
        <v/>
      </c>
      <c r="AV207" s="155">
        <f>AG207/(AD207-AF207)</f>
        <v/>
      </c>
      <c r="AW207" s="155">
        <f>(G207-AM207)/G207</f>
        <v/>
      </c>
      <c r="AX207" s="254">
        <f>IF(AND(ISNUMBER(E207),ISNUMBER(W207)),E207-W207,"")</f>
        <v/>
      </c>
      <c r="AY207" s="254">
        <f>IF(AND(ISNUMBER(I207),ISNUMBER(AF207)),I207-AF207,"")</f>
        <v/>
      </c>
      <c r="AZ207" s="254">
        <f>IF(AND(ISNUMBER(AM207),ISNUMBER(G207)),G207-AM207,"")</f>
        <v/>
      </c>
      <c r="BA207" s="254">
        <f>IF(AND(ISNUMBER(AC207),ISNUMBER(AE207)),AC207-AE207,"")</f>
        <v/>
      </c>
      <c r="BB207" s="254">
        <f>IF(AND(ISNUMBER(AL207),ISNUMBER(AM207)),AL207-AM207,"")</f>
        <v/>
      </c>
      <c r="BC207" s="84">
        <f>IF(AND($E207&gt;0,$W207&gt;0),IF(($E207-$W207)/$E207&gt;0,($E207-$W207)/$E207,0),"")</f>
        <v/>
      </c>
      <c r="BD207" s="84">
        <f>IF(AND($I207&gt;0,$AF207&gt;=0),IF(($I207-$AF207)/$I207&gt;0,($I207-$AF207)/$I207,0),"")</f>
        <v/>
      </c>
      <c r="BE207" s="84">
        <f>IF(AND($AG207&gt;=0,$AD207&gt;=0,$AF207&gt;=0),IF($AG207/($AD207-$AF207)&gt;0,$AG207/($AD207-$AF207),0),"")</f>
        <v/>
      </c>
      <c r="BF207" s="84">
        <f>IF(AND($G207&gt;0,$AM207&gt;0),IF(($G207-$AM207)/$G207&gt;0,($G207-$AM207)/$G207,0),"")</f>
        <v/>
      </c>
      <c r="BG207" s="6">
        <f>IF((AD207-AF207)/(AJ207/60)&lt;=0,"",(AD207-AF207)/(AJ207/60))</f>
        <v/>
      </c>
      <c r="BH207" s="6">
        <f>IF(OR(AJ207=0,AP207=0,NOT(ISNUMBER(AD207)),NOT(ISNUMBER(AF207)),NOT(ISNUMBER(AJ207)),NOT(ISNUMBER(AP207))),"",
IFERROR(IF((AD207-AF207)/(AJ207/60)/(AP207/1000)&lt;=0,"",(AD207-AF207)/(AJ207/60)/(AP207/1000)),""))</f>
        <v/>
      </c>
    </row>
    <row r="208" ht="15.75" customHeight="1">
      <c r="B208" t="n">
        <v>-36</v>
      </c>
      <c r="D208" s="134" t="n">
        <v>45468</v>
      </c>
      <c r="E208" s="133" t="n"/>
      <c r="F208" s="3" t="n">
        <v>203</v>
      </c>
      <c r="G208" s="205">
        <f>IF(OR(S208="",S208=0),"",S208*2)</f>
        <v/>
      </c>
      <c r="I208" s="15">
        <f>(N208*18-H208*18)/9</f>
        <v/>
      </c>
      <c r="J208" s="9" t="n">
        <v>12.9</v>
      </c>
      <c r="K208" s="15">
        <f>AD208</f>
        <v/>
      </c>
      <c r="M208" s="10">
        <f>IF(OR(E208="",G208="",E208=0,G208=0),"",E208/G208)</f>
        <v/>
      </c>
      <c r="N208" s="9">
        <f>IF(OR(E208="",I208="",E208=0,I208=0),"",E208/(I208*2))</f>
        <v/>
      </c>
      <c r="O208" s="8">
        <f>IF(OR(I208="",G208="",I208=0,G208=0),"",I208*2/G208)</f>
        <v/>
      </c>
      <c r="P208" s="7" t="n">
        <v>24.7</v>
      </c>
      <c r="Q208" s="6" t="n">
        <v>79.542</v>
      </c>
      <c r="R208" s="6" t="n">
        <v>25.906</v>
      </c>
      <c r="S208" s="6">
        <f>O208*1.067</f>
        <v/>
      </c>
      <c r="T208" s="6">
        <f>P208*1.514</f>
        <v/>
      </c>
      <c r="U208" s="23">
        <f>P208*1.514+O208*1.067</f>
        <v/>
      </c>
      <c r="V208" s="6" t="n">
        <v>33.7</v>
      </c>
      <c r="Y208">
        <f>0.577+0.43</f>
        <v/>
      </c>
      <c r="AD208" s="5" t="n">
        <v>80</v>
      </c>
      <c r="AE208" s="7">
        <f>T208</f>
        <v/>
      </c>
      <c r="AF208" s="231">
        <f>5*2.52</f>
        <v/>
      </c>
      <c r="AG208" s="231" t="n">
        <v>25.3</v>
      </c>
      <c r="AH208" s="231" t="n">
        <v>4.41</v>
      </c>
      <c r="AI208" t="n">
        <v>1.25</v>
      </c>
      <c r="AJ208" s="119" t="n">
        <v>0.46875</v>
      </c>
      <c r="AM208" s="3" t="n">
        <v>180</v>
      </c>
      <c r="AN208" s="4">
        <f>AE208</f>
        <v/>
      </c>
      <c r="AO208" s="231" t="n">
        <v>24.2</v>
      </c>
      <c r="AP208" s="255">
        <f>360-AK208-AB208</f>
        <v/>
      </c>
      <c r="AQ208" s="126" t="n"/>
      <c r="AR208" s="13">
        <f>AVERAGE(AO206:AO212)</f>
        <v/>
      </c>
      <c r="AS208" s="15">
        <f>IF(ISNUMBER([2]HRT_SRT!R262),[2]HRT_SRT!R262,"")</f>
        <v/>
      </c>
      <c r="AT208" s="156">
        <f>(E208-W208)/E208</f>
        <v/>
      </c>
      <c r="AU208" s="155">
        <f>(I208-AF208)/I208</f>
        <v/>
      </c>
      <c r="AV208" s="155">
        <f>AG208/(AD208-AF208)</f>
        <v/>
      </c>
      <c r="AW208" s="155">
        <f>(G208-AM208)/G208</f>
        <v/>
      </c>
      <c r="AX208" s="254">
        <f>IF(AND(ISNUMBER(E208),ISNUMBER(W208)),E208-W208,"")</f>
        <v/>
      </c>
      <c r="AY208" s="254">
        <f>IF(AND(ISNUMBER(I208),ISNUMBER(AF208)),I208-AF208,"")</f>
        <v/>
      </c>
      <c r="AZ208" s="254">
        <f>IF(AND(ISNUMBER(AM208),ISNUMBER(G208)),G208-AM208,"")</f>
        <v/>
      </c>
      <c r="BA208" s="254">
        <f>IF(AND(ISNUMBER(AC208),ISNUMBER(AE208)),AC208-AE208,"")</f>
        <v/>
      </c>
      <c r="BB208" s="254">
        <f>IF(AND(ISNUMBER(AL208),ISNUMBER(AM208)),AL208-AM208,"")</f>
        <v/>
      </c>
      <c r="BC208" s="84">
        <f>IF(AND($E208&gt;0,$W208&gt;0),IF(($E208-$W208)/$E208&gt;0,($E208-$W208)/$E208,0),"")</f>
        <v/>
      </c>
      <c r="BD208" s="84">
        <f>IF(AND($I208&gt;0,$AF208&gt;=0),IF(($I208-$AF208)/$I208&gt;0,($I208-$AF208)/$I208,0),"")</f>
        <v/>
      </c>
      <c r="BE208" s="84">
        <f>IF(AND($AG208&gt;=0,$AD208&gt;=0,$AF208&gt;=0),IF($AG208/($AD208-$AF208)&gt;0,$AG208/($AD208-$AF208),0),"")</f>
        <v/>
      </c>
      <c r="BF208" s="84">
        <f>IF(AND($G208&gt;0,$AM208&gt;0),IF(($G208-$AM208)/$G208&gt;0,($G208-$AM208)/$G208,0),"")</f>
        <v/>
      </c>
      <c r="BG208" s="6">
        <f>IF((AD208-AF208)/(AJ208/60)&lt;=0,"",(AD208-AF208)/(AJ208/60))</f>
        <v/>
      </c>
      <c r="BH208" s="6">
        <f>IF(OR(AJ208=0,AP208=0,NOT(ISNUMBER(AD208)),NOT(ISNUMBER(AF208)),NOT(ISNUMBER(AJ208)),NOT(ISNUMBER(AP208))),"",
IFERROR(IF((AD208-AF208)/(AJ208/60)/(AP208/1000)&lt;=0,"",(AD208-AF208)/(AJ208/60)/(AP208/1000)),""))</f>
        <v/>
      </c>
    </row>
    <row r="209" ht="15.75" customHeight="1">
      <c r="B209" t="n">
        <v>-35</v>
      </c>
      <c r="D209" s="134" t="n">
        <v>45469</v>
      </c>
      <c r="E209" s="133" t="n"/>
      <c r="F209" s="3" t="n">
        <v>204</v>
      </c>
      <c r="G209" s="205">
        <f>IF(OR(S209="",S209=0),"",S209*2)</f>
        <v/>
      </c>
      <c r="I209" s="15">
        <f>(N209*18-H209*18)/9</f>
        <v/>
      </c>
      <c r="J209" s="9" t="n">
        <v>16.2</v>
      </c>
      <c r="K209" s="15">
        <f>AD209</f>
        <v/>
      </c>
      <c r="M209" s="10">
        <f>IF(OR(E209="",G209="",E209=0,G209=0),"",E209/G209)</f>
        <v/>
      </c>
      <c r="N209" s="9">
        <f>IF(OR(E209="",I209="",E209=0,I209=0),"",E209/(I209*2))</f>
        <v/>
      </c>
      <c r="O209" s="8">
        <f>IF(OR(I209="",G209="",I209=0,G209=0),"",I209*2/G209)</f>
        <v/>
      </c>
      <c r="P209" s="7" t="n">
        <v>27.3</v>
      </c>
      <c r="Q209" s="6" t="n">
        <v>83.64100000000001</v>
      </c>
      <c r="R209" s="6" t="n">
        <v>19.164</v>
      </c>
      <c r="S209" s="6">
        <f>O209*1.067</f>
        <v/>
      </c>
      <c r="T209" s="6">
        <f>P209*1.514</f>
        <v/>
      </c>
      <c r="U209" s="23">
        <f>P209*1.514+O209*1.067</f>
        <v/>
      </c>
      <c r="V209" s="6" t="n">
        <v>33.6</v>
      </c>
      <c r="Y209">
        <f>8.694+0.435</f>
        <v/>
      </c>
      <c r="AD209" s="5" t="n">
        <v>80</v>
      </c>
      <c r="AE209" s="7">
        <f>T209</f>
        <v/>
      </c>
      <c r="AF209" s="231">
        <f>5*2.4</f>
        <v/>
      </c>
      <c r="AG209" s="231" t="n">
        <v>29.3</v>
      </c>
      <c r="AH209" s="231" t="n">
        <v>2.44</v>
      </c>
      <c r="AI209" t="n">
        <v>0.64</v>
      </c>
      <c r="AJ209" s="119" t="n">
        <v>0.4510416666666667</v>
      </c>
      <c r="AM209" s="3" t="n">
        <v>180</v>
      </c>
      <c r="AN209" s="4">
        <f>AE209</f>
        <v/>
      </c>
      <c r="AO209" s="231" t="n">
        <v>28.7</v>
      </c>
      <c r="AP209" s="255">
        <f>360-AK209-AB209</f>
        <v/>
      </c>
      <c r="AQ209" s="126">
        <f>[2]HRT_SRT!P263</f>
        <v/>
      </c>
      <c r="AR209" s="13">
        <f>AVERAGE(AO207:AO213)</f>
        <v/>
      </c>
      <c r="AS209" s="15">
        <f>IF(ISNUMBER([2]HRT_SRT!R263),[2]HRT_SRT!R263,"")</f>
        <v/>
      </c>
      <c r="AT209" s="156">
        <f>(E209-W209)/E209</f>
        <v/>
      </c>
      <c r="AU209" s="155">
        <f>(I209-AF209)/I209</f>
        <v/>
      </c>
      <c r="AV209" s="155">
        <f>AG209/(AD209-AF209)</f>
        <v/>
      </c>
      <c r="AW209" s="155">
        <f>(G209-AM209)/G209</f>
        <v/>
      </c>
      <c r="AX209" s="254">
        <f>IF(AND(ISNUMBER(E209),ISNUMBER(W209)),E209-W209,"")</f>
        <v/>
      </c>
      <c r="AY209" s="254">
        <f>IF(AND(ISNUMBER(I209),ISNUMBER(AF209)),I209-AF209,"")</f>
        <v/>
      </c>
      <c r="AZ209" s="254">
        <f>IF(AND(ISNUMBER(AM209),ISNUMBER(G209)),G209-AM209,"")</f>
        <v/>
      </c>
      <c r="BA209" s="254">
        <f>IF(AND(ISNUMBER(AC209),ISNUMBER(AE209)),AC209-AE209,"")</f>
        <v/>
      </c>
      <c r="BB209" s="254">
        <f>IF(AND(ISNUMBER(AL209),ISNUMBER(AM209)),AL209-AM209,"")</f>
        <v/>
      </c>
      <c r="BC209" s="84">
        <f>IF(AND($E209&gt;0,$W209&gt;0),IF(($E209-$W209)/$E209&gt;0,($E209-$W209)/$E209,0),"")</f>
        <v/>
      </c>
      <c r="BD209" s="84">
        <f>IF(AND($I209&gt;0,$AF209&gt;=0),IF(($I209-$AF209)/$I209&gt;0,($I209-$AF209)/$I209,0),"")</f>
        <v/>
      </c>
      <c r="BE209" s="84">
        <f>IF(AND($AG209&gt;=0,$AD209&gt;=0,$AF209&gt;=0),IF($AG209/($AD209-$AF209)&gt;0,$AG209/($AD209-$AF209),0),"")</f>
        <v/>
      </c>
      <c r="BF209" s="84">
        <f>IF(AND($G209&gt;0,$AM209&gt;0),IF(($G209-$AM209)/$G209&gt;0,($G209-$AM209)/$G209,0),"")</f>
        <v/>
      </c>
      <c r="BG209" s="6">
        <f>IF((AD209-AF209)/(AJ209/60)&lt;=0,"",(AD209-AF209)/(AJ209/60))</f>
        <v/>
      </c>
      <c r="BH209" s="6">
        <f>IF(OR(AJ209=0,AP209=0,NOT(ISNUMBER(AD209)),NOT(ISNUMBER(AF209)),NOT(ISNUMBER(AJ209)),NOT(ISNUMBER(AP209))),"",
IFERROR(IF((AD209-AF209)/(AJ209/60)/(AP209/1000)&lt;=0,"",(AD209-AF209)/(AJ209/60)/(AP209/1000)),""))</f>
        <v/>
      </c>
    </row>
    <row r="210" ht="15.75" customHeight="1">
      <c r="B210" t="n">
        <v>-34</v>
      </c>
      <c r="D210" s="134" t="n">
        <v>45470</v>
      </c>
      <c r="E210" s="133" t="n"/>
      <c r="F210" s="3" t="n">
        <v>205</v>
      </c>
      <c r="G210" s="205">
        <f>IF(OR(S210="",S210=0),"",S210*2)</f>
        <v/>
      </c>
      <c r="I210" s="15">
        <f>2*13.1</f>
        <v/>
      </c>
      <c r="K210" s="15">
        <f>AD210</f>
        <v/>
      </c>
      <c r="M210" s="10">
        <f>IF(OR(E210="",G210="",E210=0,G210=0),"",E210/G210)</f>
        <v/>
      </c>
      <c r="N210" s="9">
        <f>IF(OR(E210="",I210="",E210=0,I210=0),"",E210/(I210*2))</f>
        <v/>
      </c>
      <c r="O210" s="8">
        <f>IF(OR(I210="",G210="",I210=0,G210=0),"",I210*2/G210)</f>
        <v/>
      </c>
      <c r="Q210" s="6" t="n">
        <v>83.494</v>
      </c>
      <c r="R210" s="6" t="n">
        <v>19.773</v>
      </c>
      <c r="S210" s="6">
        <f>O210*1.067</f>
        <v/>
      </c>
      <c r="T210" s="6">
        <f>P210*1.514</f>
        <v/>
      </c>
      <c r="U210" s="23">
        <f>P210*1.514+O210*1.067</f>
        <v/>
      </c>
      <c r="V210" s="6" t="n">
        <v>33.8</v>
      </c>
      <c r="Y210">
        <f>0.424+0.572</f>
        <v/>
      </c>
      <c r="Z210" s="6" t="n">
        <v>6.13</v>
      </c>
      <c r="AD210" s="5" t="n">
        <v>80</v>
      </c>
      <c r="AE210" s="7">
        <f>T210</f>
        <v/>
      </c>
      <c r="AF210" s="231">
        <f>5*2.63</f>
        <v/>
      </c>
      <c r="AG210" s="231" t="n">
        <v>28.1</v>
      </c>
      <c r="AH210" s="231" t="n">
        <v>2.27</v>
      </c>
      <c r="AI210" s="231" t="n">
        <v>0</v>
      </c>
      <c r="AJ210" s="119" t="n">
        <v>0.4797453703703703</v>
      </c>
      <c r="AM210" s="3" t="n">
        <v>180</v>
      </c>
      <c r="AN210" s="4">
        <f>AE210</f>
        <v/>
      </c>
      <c r="AO210" s="231" t="n">
        <v>24.8</v>
      </c>
      <c r="AP210" s="255">
        <f>360-AK210-AB210</f>
        <v/>
      </c>
      <c r="AQ210" s="126" t="n"/>
      <c r="AR210" s="13">
        <f>AVERAGE(AO208:AO214)</f>
        <v/>
      </c>
      <c r="AS210" s="15">
        <f>IF(ISNUMBER([2]HRT_SRT!R264),[2]HRT_SRT!R264,"")</f>
        <v/>
      </c>
      <c r="AT210" s="156">
        <f>(E210-W210)/E210</f>
        <v/>
      </c>
      <c r="AU210" s="155">
        <f>(I210-AF210)/I210</f>
        <v/>
      </c>
      <c r="AV210" s="155">
        <f>AG210/(AD210-AF210)</f>
        <v/>
      </c>
      <c r="AW210" s="155">
        <f>(G210-AM210)/G210</f>
        <v/>
      </c>
      <c r="AX210" s="254">
        <f>IF(AND(ISNUMBER(E210),ISNUMBER(W210)),E210-W210,"")</f>
        <v/>
      </c>
      <c r="AY210" s="254">
        <f>IF(AND(ISNUMBER(I210),ISNUMBER(AF210)),I210-AF210,"")</f>
        <v/>
      </c>
      <c r="AZ210" s="254">
        <f>IF(AND(ISNUMBER(AM210),ISNUMBER(G210)),G210-AM210,"")</f>
        <v/>
      </c>
      <c r="BA210" s="254">
        <f>IF(AND(ISNUMBER(AC210),ISNUMBER(AE210)),AC210-AE210,"")</f>
        <v/>
      </c>
      <c r="BB210" s="254">
        <f>IF(AND(ISNUMBER(AL210),ISNUMBER(AM210)),AL210-AM210,"")</f>
        <v/>
      </c>
      <c r="BC210" s="84">
        <f>IF(AND($E210&gt;0,$W210&gt;0),IF(($E210-$W210)/$E210&gt;0,($E210-$W210)/$E210,0),"")</f>
        <v/>
      </c>
      <c r="BD210" s="84">
        <f>IF(AND($I210&gt;0,$AF210&gt;=0),IF(($I210-$AF210)/$I210&gt;0,($I210-$AF210)/$I210,0),"")</f>
        <v/>
      </c>
      <c r="BE210" s="84">
        <f>IF(AND($AG210&gt;=0,$AD210&gt;=0,$AF210&gt;=0),IF($AG210/($AD210-$AF210)&gt;0,$AG210/($AD210-$AF210),0),"")</f>
        <v/>
      </c>
      <c r="BF210" s="84">
        <f>IF(AND($G210&gt;0,$AM210&gt;0),IF(($G210-$AM210)/$G210&gt;0,($G210-$AM210)/$G210,0),"")</f>
        <v/>
      </c>
      <c r="BG210" s="6">
        <f>IF((AD210-AF210)/(AJ210/60)&lt;=0,"",(AD210-AF210)/(AJ210/60))</f>
        <v/>
      </c>
      <c r="BH210" s="6">
        <f>IF(OR(AJ210=0,AP210=0,NOT(ISNUMBER(AD210)),NOT(ISNUMBER(AF210)),NOT(ISNUMBER(AJ210)),NOT(ISNUMBER(AP210))),"",
IFERROR(IF((AD210-AF210)/(AJ210/60)/(AP210/1000)&lt;=0,"",(AD210-AF210)/(AJ210/60)/(AP210/1000)),""))</f>
        <v/>
      </c>
    </row>
    <row r="211" ht="15.75" customHeight="1">
      <c r="B211" t="n">
        <v>-33</v>
      </c>
      <c r="D211" s="134" t="n">
        <v>45471</v>
      </c>
      <c r="E211" s="133" t="n"/>
      <c r="F211" s="3" t="n">
        <v>206</v>
      </c>
      <c r="G211" s="205">
        <f>IF(OR(S211="",S211=0),"",S211*2)</f>
        <v/>
      </c>
      <c r="I211" s="15">
        <f>(N211*18-H211*18)/9</f>
        <v/>
      </c>
      <c r="K211" s="15">
        <f>AD211</f>
        <v/>
      </c>
      <c r="M211" s="10">
        <f>IF(OR(E211="",G211="",E211=0,G211=0),"",E211/G211)</f>
        <v/>
      </c>
      <c r="N211" s="9">
        <f>IF(OR(E211="",I211="",E211=0,I211=0),"",E211/(I211*2))</f>
        <v/>
      </c>
      <c r="O211" s="8">
        <f>IF(OR(I211="",G211="",I211=0,G211=0),"",I211*2/G211)</f>
        <v/>
      </c>
      <c r="AD211" s="5" t="n">
        <v>80</v>
      </c>
      <c r="AE211" s="7">
        <f>T211</f>
        <v/>
      </c>
      <c r="AI211" s="231" t="n">
        <v>0</v>
      </c>
      <c r="AJ211" s="119" t="n">
        <v>0.5214120370370371</v>
      </c>
      <c r="AM211" s="3" t="n">
        <v>180</v>
      </c>
      <c r="AP211" s="255">
        <f>360-AK211-AB211</f>
        <v/>
      </c>
      <c r="AQ211" s="126" t="n"/>
      <c r="AR211" s="13">
        <f>AVERAGE(AO209:AO215)</f>
        <v/>
      </c>
      <c r="AS211" s="15">
        <f>IF(ISNUMBER([2]HRT_SRT!R265),[2]HRT_SRT!R265,"")</f>
        <v/>
      </c>
      <c r="AT211" s="156">
        <f>(E211-W211)/E211</f>
        <v/>
      </c>
      <c r="AU211" s="155">
        <f>(I211-AF211)/I211</f>
        <v/>
      </c>
      <c r="AV211" s="155">
        <f>AG211/(AD211-AF211)</f>
        <v/>
      </c>
      <c r="AW211" s="155">
        <f>(G211-AM211)/G211</f>
        <v/>
      </c>
      <c r="AX211" s="254">
        <f>IF(AND(ISNUMBER(E211),ISNUMBER(W211)),E211-W211,"")</f>
        <v/>
      </c>
      <c r="AY211" s="254">
        <f>IF(AND(ISNUMBER(I211),ISNUMBER(AF211)),I211-AF211,"")</f>
        <v/>
      </c>
      <c r="AZ211" s="254">
        <f>IF(AND(ISNUMBER(AM211),ISNUMBER(G211)),G211-AM211,"")</f>
        <v/>
      </c>
      <c r="BA211" s="254">
        <f>IF(AND(ISNUMBER(AC211),ISNUMBER(AE211)),AC211-AE211,"")</f>
        <v/>
      </c>
      <c r="BB211" s="254">
        <f>IF(AND(ISNUMBER(AL211),ISNUMBER(AM211)),AL211-AM211,"")</f>
        <v/>
      </c>
      <c r="BC211" s="84">
        <f>IF(AND($E211&gt;0,$W211&gt;0),IF(($E211-$W211)/$E211&gt;0,($E211-$W211)/$E211,0),"")</f>
        <v/>
      </c>
      <c r="BD211" s="84">
        <f>IF(AND($I211&gt;0,$AF211&gt;=0),IF(($I211-$AF211)/$I211&gt;0,($I211-$AF211)/$I211,0),"")</f>
        <v/>
      </c>
      <c r="BE211" s="84" t="n"/>
      <c r="BF211" s="84">
        <f>IF(AND($G211&gt;0,$AM211&gt;0),IF(($G211-$AM211)/$G211&gt;0,($G211-$AM211)/$G211,0),"")</f>
        <v/>
      </c>
      <c r="BG211" s="6">
        <f>IF((AD211-AF211)/(AJ211/60)&lt;=0,"",(AD211-AF211)/(AJ211/60))</f>
        <v/>
      </c>
      <c r="BH211" s="6">
        <f>IF(OR(AJ211=0,AP211=0,NOT(ISNUMBER(AD211)),NOT(ISNUMBER(AF211)),NOT(ISNUMBER(AJ211)),NOT(ISNUMBER(AP211))),"",
IFERROR(IF((AD211-AF211)/(AJ211/60)/(AP211/1000)&lt;=0,"",(AD211-AF211)/(AJ211/60)/(AP211/1000)),""))</f>
        <v/>
      </c>
    </row>
    <row r="212" ht="15.75" customHeight="1">
      <c r="B212" t="n">
        <v>-32</v>
      </c>
      <c r="D212" s="134" t="n">
        <v>45472</v>
      </c>
      <c r="E212" s="133" t="n"/>
      <c r="F212" s="3" t="n">
        <v>207</v>
      </c>
      <c r="G212" s="205">
        <f>IF(OR(S212="",S212=0),"",S212*2)</f>
        <v/>
      </c>
      <c r="K212" s="15">
        <f>AD212</f>
        <v/>
      </c>
      <c r="M212" s="10">
        <f>IF(OR(E212="",G212="",E212=0,G212=0),"",E212/G212)</f>
        <v/>
      </c>
      <c r="N212" s="9">
        <f>IF(OR(E212="",I212="",E212=0,I212=0),"",E212/(I212*2))</f>
        <v/>
      </c>
      <c r="O212" s="8">
        <f>IF(OR(I212="",G212="",I212=0,G212=0),"",I212*2/G212)</f>
        <v/>
      </c>
      <c r="AD212" s="5" t="n">
        <v>80</v>
      </c>
      <c r="AI212" s="231" t="n">
        <v>0</v>
      </c>
      <c r="AJ212" s="119" t="n">
        <v>0.5630787037037037</v>
      </c>
      <c r="AM212" s="3" t="n">
        <v>180</v>
      </c>
      <c r="AP212" s="255">
        <f>360-AK212-AB212</f>
        <v/>
      </c>
      <c r="AQ212" s="126" t="n"/>
      <c r="AR212" s="13">
        <f>AVERAGE(AO210:AO216)</f>
        <v/>
      </c>
      <c r="AS212" s="15">
        <f>IF(ISNUMBER([2]HRT_SRT!R266),[2]HRT_SRT!R266,"")</f>
        <v/>
      </c>
      <c r="AT212" s="156">
        <f>(E212-W212)/E212</f>
        <v/>
      </c>
      <c r="AU212" s="155">
        <f>(I212-AF212)/I212</f>
        <v/>
      </c>
      <c r="AV212" s="155">
        <f>AG212/(AD212-AF212)</f>
        <v/>
      </c>
      <c r="AW212" s="155">
        <f>(G212-AM212)/G212</f>
        <v/>
      </c>
      <c r="AX212" s="254">
        <f>IF(AND(ISNUMBER(E212),ISNUMBER(W212)),E212-W212,"")</f>
        <v/>
      </c>
      <c r="AY212" s="254">
        <f>IF(AND(ISNUMBER(I212),ISNUMBER(AF212)),I212-AF212,"")</f>
        <v/>
      </c>
      <c r="AZ212" s="254">
        <f>IF(AND(ISNUMBER(AM212),ISNUMBER(G212)),G212-AM212,"")</f>
        <v/>
      </c>
      <c r="BA212" s="254">
        <f>IF(AND(ISNUMBER(AC212),ISNUMBER(AE212)),AC212-AE212,"")</f>
        <v/>
      </c>
      <c r="BB212" s="254">
        <f>IF(AND(ISNUMBER(AL212),ISNUMBER(AM212)),AL212-AM212,"")</f>
        <v/>
      </c>
      <c r="BC212" s="84">
        <f>IF(AND($E212&gt;0,$W212&gt;0),IF(($E212-$W212)/$E212&gt;0,($E212-$W212)/$E212,0),"")</f>
        <v/>
      </c>
      <c r="BD212" s="84">
        <f>IF(AND($I212&gt;0,$AF212&gt;=0),IF(($I212-$AF212)/$I212&gt;0,($I212-$AF212)/$I212,0),"")</f>
        <v/>
      </c>
      <c r="BE212" s="84" t="n"/>
      <c r="BF212" s="84">
        <f>IF(AND($G212&gt;0,$AM212&gt;0),IF(($G212-$AM212)/$G212&gt;0,($G212-$AM212)/$G212,0),"")</f>
        <v/>
      </c>
      <c r="BG212" s="6">
        <f>IF((AD212-AF212)/(AJ212/60)&lt;=0,"",(AD212-AF212)/(AJ212/60))</f>
        <v/>
      </c>
      <c r="BH212" s="6">
        <f>IF(OR(AJ212=0,AP212=0,NOT(ISNUMBER(AD212)),NOT(ISNUMBER(AF212)),NOT(ISNUMBER(AJ212)),NOT(ISNUMBER(AP212))),"",
IFERROR(IF((AD212-AF212)/(AJ212/60)/(AP212/1000)&lt;=0,"",(AD212-AF212)/(AJ212/60)/(AP212/1000)),""))</f>
        <v/>
      </c>
    </row>
    <row r="213" ht="15.75" customHeight="1">
      <c r="B213" t="n">
        <v>-31</v>
      </c>
      <c r="D213" s="134" t="n">
        <v>45473</v>
      </c>
      <c r="E213" s="133" t="n"/>
      <c r="F213" s="3" t="n">
        <v>208</v>
      </c>
      <c r="G213" s="205">
        <f>IF(OR(S213="",S213=0),"",S213*2)</f>
        <v/>
      </c>
      <c r="K213" s="15">
        <f>AD213</f>
        <v/>
      </c>
      <c r="M213" s="10">
        <f>IF(OR(E213="",G213="",E213=0,G213=0),"",E213/G213)</f>
        <v/>
      </c>
      <c r="N213" s="9">
        <f>IF(OR(E213="",I213="",E213=0,I213=0),"",E213/(I213*2))</f>
        <v/>
      </c>
      <c r="O213" s="8">
        <f>IF(OR(I213="",G213="",I213=0,G213=0),"",I213*2/G213)</f>
        <v/>
      </c>
      <c r="AD213" s="5" t="n">
        <v>80</v>
      </c>
      <c r="AI213" s="231" t="n">
        <v>0</v>
      </c>
      <c r="AJ213" s="119" t="n">
        <v>0.6047453703703703</v>
      </c>
      <c r="AL213" s="93" t="n">
        <v>93.59999999999999</v>
      </c>
      <c r="AM213" s="3" t="n">
        <v>180</v>
      </c>
      <c r="AP213" s="255">
        <f>360-AK213-AB213</f>
        <v/>
      </c>
      <c r="AQ213" s="126" t="n"/>
      <c r="AR213" s="13">
        <f>AVERAGE(AO211:AO217)</f>
        <v/>
      </c>
      <c r="AS213" s="15">
        <f>IF(ISNUMBER([2]HRT_SRT!R267),[2]HRT_SRT!R267,"")</f>
        <v/>
      </c>
      <c r="AT213" s="156">
        <f>(E213-W213)/E213</f>
        <v/>
      </c>
      <c r="AU213" s="155">
        <f>(I213-AF213)/I213</f>
        <v/>
      </c>
      <c r="AV213" s="155">
        <f>AG213/(AD213-AF213)</f>
        <v/>
      </c>
      <c r="AW213" s="155">
        <f>(G213-AM213)/G213</f>
        <v/>
      </c>
      <c r="AX213" s="254">
        <f>IF(AND(ISNUMBER(E213),ISNUMBER(W213)),E213-W213,"")</f>
        <v/>
      </c>
      <c r="AY213" s="254">
        <f>IF(AND(ISNUMBER(I213),ISNUMBER(AF213)),I213-AF213,"")</f>
        <v/>
      </c>
      <c r="AZ213" s="254">
        <f>IF(AND(ISNUMBER(AM213),ISNUMBER(G213)),G213-AM213,"")</f>
        <v/>
      </c>
      <c r="BA213" s="254">
        <f>IF(AND(ISNUMBER(AC213),ISNUMBER(AE213)),AC213-AE213,"")</f>
        <v/>
      </c>
      <c r="BB213" s="254">
        <f>IF(AND(ISNUMBER(AL213),ISNUMBER(AM213)),AL213-AM213,"")</f>
        <v/>
      </c>
      <c r="BC213" s="84">
        <f>IF(AND($E213&gt;0,$W213&gt;0),IF(($E213-$W213)/$E213&gt;0,($E213-$W213)/$E213,0),"")</f>
        <v/>
      </c>
      <c r="BD213" s="84">
        <f>IF(AND($I213&gt;0,$AF213&gt;=0),IF(($I213-$AF213)/$I213&gt;0,($I213-$AF213)/$I213,0),"")</f>
        <v/>
      </c>
      <c r="BE213" s="84" t="n"/>
      <c r="BF213" s="84">
        <f>IF(AND($G213&gt;0,$AM213&gt;0),IF(($G213-$AM213)/$G213&gt;0,($G213-$AM213)/$G213,0),"")</f>
        <v/>
      </c>
      <c r="BG213" s="6">
        <f>IF((AD213-AF213)/(AJ213/60)&lt;=0,"",(AD213-AF213)/(AJ213/60))</f>
        <v/>
      </c>
      <c r="BH213" s="6">
        <f>IF(OR(AJ213=0,AP213=0,NOT(ISNUMBER(AD213)),NOT(ISNUMBER(AF213)),NOT(ISNUMBER(AJ213)),NOT(ISNUMBER(AP213))),"",
IFERROR(IF((AD213-AF213)/(AJ213/60)/(AP213/1000)&lt;=0,"",(AD213-AF213)/(AJ213/60)/(AP213/1000)),""))</f>
        <v/>
      </c>
    </row>
    <row r="214" ht="15.75" customHeight="1">
      <c r="B214" t="n">
        <v>-30</v>
      </c>
      <c r="C214" s="12" t="inlineStr">
        <is>
          <t>ran out of COD a cycle prior</t>
        </is>
      </c>
      <c r="D214" s="94" t="n">
        <v>45474</v>
      </c>
      <c r="E214" s="128" t="n"/>
      <c r="F214" s="3" t="n">
        <v>209</v>
      </c>
      <c r="G214" s="205">
        <f>IF(OR(S214="",S214=0),"",S214*2)</f>
        <v/>
      </c>
      <c r="I214" s="15">
        <f>(N214*18-H214*18)/9</f>
        <v/>
      </c>
      <c r="J214" s="9" t="n">
        <v>15.5</v>
      </c>
      <c r="K214" s="15">
        <f>AD214</f>
        <v/>
      </c>
      <c r="M214" s="10">
        <f>IF(OR(E214="",G214="",E214=0,G214=0),"",E214/G214)</f>
        <v/>
      </c>
      <c r="N214" s="9">
        <f>IF(OR(E214="",I214="",E214=0,I214=0),"",E214/(I214*2))</f>
        <v/>
      </c>
      <c r="O214" s="8">
        <f>IF(OR(I214="",G214="",I214=0,G214=0),"",I214*2/G214)</f>
        <v/>
      </c>
      <c r="P214" s="7" t="n">
        <v>26.6</v>
      </c>
      <c r="V214" s="6" t="n">
        <v>30.4</v>
      </c>
      <c r="AD214" s="5" t="n">
        <v>80</v>
      </c>
      <c r="AE214" s="7">
        <f>T214</f>
        <v/>
      </c>
      <c r="AF214" s="231">
        <f>5*1.36</f>
        <v/>
      </c>
      <c r="AG214" s="231" t="n">
        <v>29.3</v>
      </c>
      <c r="AH214" s="231" t="n">
        <v>0</v>
      </c>
      <c r="AI214" s="231" t="n">
        <v>0</v>
      </c>
      <c r="AJ214" s="119" t="n">
        <v>0.6464120370370371</v>
      </c>
      <c r="AL214" s="93" t="n"/>
      <c r="AM214" s="3" t="n">
        <v>180</v>
      </c>
      <c r="AN214" s="4">
        <f>AE214</f>
        <v/>
      </c>
      <c r="AO214" s="231" t="n">
        <v>26.4</v>
      </c>
      <c r="AP214" s="255">
        <f>360-AK214-AB214</f>
        <v/>
      </c>
      <c r="AQ214" s="126" t="n"/>
      <c r="AR214" s="13">
        <f>AVERAGE(AO212:AO218)</f>
        <v/>
      </c>
      <c r="AS214" s="15">
        <f>IF(ISNUMBER([2]HRT_SRT!R268),[2]HRT_SRT!R268,"")</f>
        <v/>
      </c>
      <c r="AT214" s="156">
        <f>(E214-W214)/E214</f>
        <v/>
      </c>
      <c r="AU214" s="155">
        <f>(I214-AF214)/I214</f>
        <v/>
      </c>
      <c r="AV214" s="155">
        <f>AG214/(AD214-AF214)</f>
        <v/>
      </c>
      <c r="AW214" s="155">
        <f>(G214-AM214)/G214</f>
        <v/>
      </c>
      <c r="AX214" s="254">
        <f>IF(AND(ISNUMBER(E214),ISNUMBER(W214)),E214-W214,"")</f>
        <v/>
      </c>
      <c r="AY214" s="254">
        <f>IF(AND(ISNUMBER(I214),ISNUMBER(AF214)),I214-AF214,"")</f>
        <v/>
      </c>
      <c r="AZ214" s="254">
        <f>IF(AND(ISNUMBER(AM214),ISNUMBER(G214)),G214-AM214,"")</f>
        <v/>
      </c>
      <c r="BA214" s="254">
        <f>IF(AND(ISNUMBER(AC214),ISNUMBER(AE214)),AC214-AE214,"")</f>
        <v/>
      </c>
      <c r="BB214" s="254">
        <f>IF(AND(ISNUMBER(AL214),ISNUMBER(AM214)),AL214-AM214,"")</f>
        <v/>
      </c>
      <c r="BC214" s="123">
        <f>IF(AND($E214&gt;0,$W214&gt;0),IF(($E214-$W214)/$E214&gt;0,($E214-$W214)/$E214,0),"")</f>
        <v/>
      </c>
      <c r="BD214" s="123">
        <f>IF(AND($I214&gt;0,$AF214&gt;=0),IF(($I214-$AF214)/$I214&gt;0,($I214-$AF214)/$I214,0),"")</f>
        <v/>
      </c>
      <c r="BE214" s="123">
        <f>IF(AND($AG214&gt;=0,$AD214&gt;=0,$AF214&gt;=0),IF($AG214/($AD214-$AF214)&gt;0,$AG214/($AD214-$AF214),0),"")</f>
        <v/>
      </c>
      <c r="BF214" s="123">
        <f>IF(AND($G214&gt;0,$AM214&gt;0),IF(($G214-$AM214)/$G214&gt;0,($G214-$AM214)/$G214,0),"")</f>
        <v/>
      </c>
      <c r="BG214" s="6">
        <f>IF((AD214-AF214)/(AJ214/60)&lt;=0,"",(AD214-AF214)/(AJ214/60))</f>
        <v/>
      </c>
      <c r="BH214" s="6" t="n"/>
    </row>
    <row r="215" ht="30" customHeight="1">
      <c r="B215" t="n">
        <v>-29</v>
      </c>
      <c r="C215" s="12" t="inlineStr">
        <is>
          <t xml:space="preserve">proceeded to dump a whole buttload of COD ito the system/fedding tube fell out </t>
        </is>
      </c>
      <c r="D215" s="94" t="n">
        <v>45475</v>
      </c>
      <c r="E215" s="128" t="n"/>
      <c r="F215" s="3" t="n">
        <v>210</v>
      </c>
      <c r="G215" s="205">
        <f>IF(OR(S215="",S215=0),"",S215*2)</f>
        <v/>
      </c>
      <c r="I215" s="15">
        <f>(N215*18-H215*18)/9</f>
        <v/>
      </c>
      <c r="K215" s="15">
        <f>AD215</f>
        <v/>
      </c>
      <c r="M215" s="10">
        <f>IF(OR(E215="",G215="",E215=0,G215=0),"",E215/G215)</f>
        <v/>
      </c>
      <c r="N215" s="9">
        <f>IF(OR(E215="",I215="",E215=0,I215=0),"",E215/(I215*2))</f>
        <v/>
      </c>
      <c r="O215" s="8">
        <f>IF(OR(I215="",G215="",I215=0,G215=0),"",I215*2/G215)</f>
        <v/>
      </c>
      <c r="Q215" s="6" t="n">
        <v>76.238</v>
      </c>
      <c r="R215" s="6" t="n">
        <v>16.931</v>
      </c>
      <c r="S215" s="6">
        <f>O215*1.067</f>
        <v/>
      </c>
      <c r="T215" s="6">
        <f>P215*1.514</f>
        <v/>
      </c>
      <c r="U215" s="23">
        <f>P215*1.514+O215*1.067</f>
        <v/>
      </c>
      <c r="V215" s="6" t="n">
        <v>19.6</v>
      </c>
      <c r="Y215">
        <f>0.481+1.489</f>
        <v/>
      </c>
      <c r="Z215" s="6" t="n">
        <v>6.82</v>
      </c>
      <c r="AD215" s="5" t="n">
        <v>80</v>
      </c>
      <c r="AE215" s="7">
        <f>T215</f>
        <v/>
      </c>
      <c r="AF215" s="231">
        <f>5*1.41</f>
        <v/>
      </c>
      <c r="AG215" s="231" t="n">
        <v>16.8</v>
      </c>
      <c r="AH215" s="231" t="n">
        <v>0</v>
      </c>
      <c r="AI215" s="231" t="n">
        <v>0</v>
      </c>
      <c r="AJ215" s="119" t="n">
        <v>0.6880787037037037</v>
      </c>
      <c r="AL215" s="93" t="n"/>
      <c r="AM215" s="3" t="n">
        <v>180</v>
      </c>
      <c r="AN215" s="4">
        <f>AE215</f>
        <v/>
      </c>
      <c r="AO215" s="231" t="n">
        <v>14.6</v>
      </c>
      <c r="AP215" s="255">
        <f>360-AK215-AB215</f>
        <v/>
      </c>
      <c r="AQ215" s="126">
        <f>[2]HRT_SRT!P269</f>
        <v/>
      </c>
      <c r="AR215" s="13">
        <f>AVERAGE(AO213:AO219)</f>
        <v/>
      </c>
      <c r="AS215" s="15">
        <f>IF(ISNUMBER([2]HRT_SRT!R269),[2]HRT_SRT!R269,"")</f>
        <v/>
      </c>
      <c r="AT215" s="156">
        <f>(E215-W215)/E215</f>
        <v/>
      </c>
      <c r="AU215" s="155">
        <f>(I215-AF215)/I215</f>
        <v/>
      </c>
      <c r="AV215" s="155">
        <f>AG215/(AD215-AF215)</f>
        <v/>
      </c>
      <c r="AW215" s="155">
        <f>(G215-AM215)/G215</f>
        <v/>
      </c>
      <c r="AX215" s="254">
        <f>IF(AND(ISNUMBER(E215),ISNUMBER(W215)),E215-W215,"")</f>
        <v/>
      </c>
      <c r="AY215" s="254">
        <f>IF(AND(ISNUMBER(I215),ISNUMBER(AF215)),I215-AF215,"")</f>
        <v/>
      </c>
      <c r="AZ215" s="254">
        <f>IF(AND(ISNUMBER(AM215),ISNUMBER(G215)),G215-AM215,"")</f>
        <v/>
      </c>
      <c r="BA215" s="254">
        <f>IF(AND(ISNUMBER(AC215),ISNUMBER(AE215)),AC215-AE215,"")</f>
        <v/>
      </c>
      <c r="BB215" s="254">
        <f>IF(AND(ISNUMBER(AL215),ISNUMBER(AM215)),AL215-AM215,"")</f>
        <v/>
      </c>
      <c r="BC215" s="123">
        <f>IF(AND($E215&gt;0,$W215&gt;0),IF(($E215-$W215)/$E215&gt;0,($E215-$W215)/$E215,0),"")</f>
        <v/>
      </c>
      <c r="BD215" s="123">
        <f>IF(AND($I215&gt;0,$AF215&gt;=0),IF(($I215-$AF215)/$I215&gt;0,($I215-$AF215)/$I215,0),"")</f>
        <v/>
      </c>
      <c r="BE215" s="123">
        <f>IF(AND($AG215&gt;=0,$AD215&gt;=0,$AF215&gt;=0),IF($AG215/($AD215-$AF215)&gt;0,$AG215/($AD215-$AF215),0),"")</f>
        <v/>
      </c>
      <c r="BF215" s="123">
        <f>IF(AND($G215&gt;0,$AM215&gt;0),IF(($G215-$AM215)/$G215&gt;0,($G215-$AM215)/$G215,0),"")</f>
        <v/>
      </c>
      <c r="BG215" s="6">
        <f>IF((AD215-AF215)/(AJ215/60)&lt;=0,"",(AD215-AF215)/(AJ215/60))</f>
        <v/>
      </c>
      <c r="BH215" s="6" t="n"/>
    </row>
    <row r="216" ht="15.75" customHeight="1">
      <c r="B216" t="n">
        <v>-28</v>
      </c>
      <c r="D216" s="94" t="n">
        <v>45476</v>
      </c>
      <c r="E216" s="128" t="n"/>
      <c r="F216" s="3" t="n">
        <v>211</v>
      </c>
      <c r="G216" s="205">
        <f>IF(OR(S216="",S216=0),"",S216*2)</f>
        <v/>
      </c>
      <c r="I216" s="15">
        <f>(N216*18-H216*18)/9</f>
        <v/>
      </c>
      <c r="J216" s="9" t="n">
        <v>11.3</v>
      </c>
      <c r="K216" s="15">
        <f>AD216</f>
        <v/>
      </c>
      <c r="M216" s="10">
        <f>IF(OR(E216="",G216="",E216=0,G216=0),"",E216/G216)</f>
        <v/>
      </c>
      <c r="N216" s="9">
        <f>IF(OR(E216="",I216="",E216=0,I216=0),"",E216/(I216*2))</f>
        <v/>
      </c>
      <c r="O216" s="8">
        <f>IF(OR(I216="",G216="",I216=0,G216=0),"",I216*2/G216)</f>
        <v/>
      </c>
      <c r="P216" s="7" t="n">
        <v>22.5</v>
      </c>
      <c r="Q216" s="6" t="n">
        <v>86.134</v>
      </c>
      <c r="R216" s="6" t="n">
        <v>19.251</v>
      </c>
      <c r="S216" s="6">
        <f>O216*1.067</f>
        <v/>
      </c>
      <c r="T216" s="6">
        <f>P216*1.514</f>
        <v/>
      </c>
      <c r="U216" s="23">
        <f>P216*1.514+O216*1.067</f>
        <v/>
      </c>
      <c r="V216" s="6" t="n">
        <v>25.5</v>
      </c>
      <c r="Y216">
        <f>0.5+0.68</f>
        <v/>
      </c>
      <c r="AD216" s="5" t="n">
        <v>80</v>
      </c>
      <c r="AE216" s="7">
        <f>T216</f>
        <v/>
      </c>
      <c r="AF216" s="231">
        <f>5*5.25</f>
        <v/>
      </c>
      <c r="AG216" s="231">
        <f>23</f>
        <v/>
      </c>
      <c r="AH216" s="231" t="n">
        <v>0.175</v>
      </c>
      <c r="AI216" s="231" t="n">
        <v>0</v>
      </c>
      <c r="AJ216" s="119" t="n">
        <v>0.7297453703703703</v>
      </c>
      <c r="AL216" s="93" t="n">
        <v>93.59999999999999</v>
      </c>
      <c r="AM216" s="3" t="n">
        <v>180</v>
      </c>
      <c r="AN216" s="4">
        <f>AE216</f>
        <v/>
      </c>
      <c r="AO216" s="231" t="n">
        <v>21.6</v>
      </c>
      <c r="AP216" s="255">
        <f>360-AK216-AB216</f>
        <v/>
      </c>
      <c r="AQ216" s="126">
        <f>[2]HRT_SRT!P270</f>
        <v/>
      </c>
      <c r="AR216" s="13">
        <f>AVERAGE(AO214:AO220)</f>
        <v/>
      </c>
      <c r="AS216" s="15">
        <f>IF(ISNUMBER([2]HRT_SRT!R270),[2]HRT_SRT!R270,"")</f>
        <v/>
      </c>
      <c r="AT216" s="156">
        <f>(E216-W216)/E216</f>
        <v/>
      </c>
      <c r="AU216" s="155">
        <f>(I216-AF216)/I216</f>
        <v/>
      </c>
      <c r="AV216" s="155">
        <f>AG216/(AD216-AF216)</f>
        <v/>
      </c>
      <c r="AW216" s="155">
        <f>(G216-AM216)/G216</f>
        <v/>
      </c>
      <c r="AX216" s="254">
        <f>IF(AND(ISNUMBER(E216),ISNUMBER(W216)),E216-W216,"")</f>
        <v/>
      </c>
      <c r="AY216" s="254">
        <f>IF(AND(ISNUMBER(I216),ISNUMBER(AF216)),I216-AF216,"")</f>
        <v/>
      </c>
      <c r="AZ216" s="254">
        <f>IF(AND(ISNUMBER(AM216),ISNUMBER(G216)),G216-AM216,"")</f>
        <v/>
      </c>
      <c r="BA216" s="254">
        <f>IF(AND(ISNUMBER(AC216),ISNUMBER(AE216)),AC216-AE216,"")</f>
        <v/>
      </c>
      <c r="BB216" s="254">
        <f>IF(AND(ISNUMBER(AL216),ISNUMBER(AM216)),AL216-AM216,"")</f>
        <v/>
      </c>
      <c r="BC216" s="123">
        <f>IF(AND($E216&gt;0,$W216&gt;0),IF(($E216-$W216)/$E216&gt;0,($E216-$W216)/$E216,0),"")</f>
        <v/>
      </c>
      <c r="BD216" s="123">
        <f>IF(AND($I216&gt;0,$AF216&gt;=0),IF(($I216-$AF216)/$I216&gt;0,($I216-$AF216)/$I216,0),"")</f>
        <v/>
      </c>
      <c r="BE216" s="123">
        <f>IF(AND($AG216&gt;=0,$AD216&gt;=0,$AF216&gt;=0),IF($AG216/($AD216-$AF216)&gt;0,$AG216/($AD216-$AF216),0),"")</f>
        <v/>
      </c>
      <c r="BF216" s="123">
        <f>IF(AND($G216&gt;0,$AM216&gt;0),IF(($G216-$AM216)/$G216&gt;0,($G216-$AM216)/$G216,0),"")</f>
        <v/>
      </c>
      <c r="BG216" s="6">
        <f>IF((AD216-AF216)/(AJ216/60)&lt;=0,"",(AD216-AF216)/(AJ216/60))</f>
        <v/>
      </c>
      <c r="BH216" s="6" t="n"/>
    </row>
    <row r="217" ht="15.75" customHeight="1">
      <c r="B217" t="n">
        <v>-27</v>
      </c>
      <c r="C217" s="12" t="inlineStr">
        <is>
          <t xml:space="preserve">no COD added to system fro two cycle </t>
        </is>
      </c>
      <c r="D217" s="94" t="n">
        <v>45477</v>
      </c>
      <c r="E217" s="128" t="n"/>
      <c r="F217" s="3" t="n">
        <v>212</v>
      </c>
      <c r="G217" s="205">
        <f>IF(OR(S217="",S217=0),"",S217*2)</f>
        <v/>
      </c>
      <c r="K217" s="15">
        <f>AD217</f>
        <v/>
      </c>
      <c r="M217" s="10">
        <f>IF(OR(E217="",G217="",E217=0,G217=0),"",E217/G217)</f>
        <v/>
      </c>
      <c r="N217" s="9">
        <f>IF(OR(E217="",I217="",E217=0,I217=0),"",E217/(I217*2))</f>
        <v/>
      </c>
      <c r="O217" s="8">
        <f>IF(OR(I217="",G217="",I217=0,G217=0),"",I217*2/G217)</f>
        <v/>
      </c>
      <c r="U217" s="23" t="n"/>
      <c r="Z217" s="6" t="n">
        <v>2.67</v>
      </c>
      <c r="AD217" s="5" t="n">
        <v>80</v>
      </c>
      <c r="AI217" s="231" t="n">
        <v>0</v>
      </c>
      <c r="AJ217" s="119" t="n">
        <v>0.7714120370370371</v>
      </c>
      <c r="AL217" s="93" t="n">
        <v>93.59999999999999</v>
      </c>
      <c r="AM217" s="3" t="n">
        <v>180</v>
      </c>
      <c r="AP217" s="255">
        <f>360-AK217-AB217</f>
        <v/>
      </c>
      <c r="AQ217" s="126" t="n"/>
      <c r="AR217" s="13">
        <f>AVERAGE(AO215:AO221)</f>
        <v/>
      </c>
      <c r="AS217" s="15">
        <f>IF(ISNUMBER([2]HRT_SRT!R271),[2]HRT_SRT!R271,"")</f>
        <v/>
      </c>
      <c r="AT217" s="156">
        <f>(E217-W217)/E217</f>
        <v/>
      </c>
      <c r="AU217" s="155" t="n"/>
      <c r="AV217" s="155">
        <f>AG217/(AD217-AF217)</f>
        <v/>
      </c>
      <c r="AW217" s="155">
        <f>(G217-AM217)/G217</f>
        <v/>
      </c>
      <c r="AX217" s="254">
        <f>IF(AND(ISNUMBER(E217),ISNUMBER(W217)),E217-W217,"")</f>
        <v/>
      </c>
      <c r="AY217" s="254">
        <f>IF(AND(ISNUMBER(I217),ISNUMBER(AF217)),I217-AF217,"")</f>
        <v/>
      </c>
      <c r="AZ217" s="254">
        <f>IF(AND(ISNUMBER(AM217),ISNUMBER(G217)),G217-AM217,"")</f>
        <v/>
      </c>
      <c r="BA217" s="254">
        <f>IF(AND(ISNUMBER(AC217),ISNUMBER(AE217)),AC217-AE217,"")</f>
        <v/>
      </c>
      <c r="BB217" s="254">
        <f>IF(AND(ISNUMBER(AL217),ISNUMBER(AM217)),AL217-AM217,"")</f>
        <v/>
      </c>
      <c r="BC217" s="123" t="n"/>
      <c r="BD217" s="123">
        <f>IF(AND($I217&gt;0,$AF217&gt;=0),IF(($I217-$AF217)/$I217&gt;0,($I217-$AF217)/$I217,0),"")</f>
        <v/>
      </c>
      <c r="BE217" s="123" t="n"/>
      <c r="BF217" s="123">
        <f>IF(AND($G217&gt;0,$AM217&gt;0),IF(($G217-$AM217)/$G217&gt;0,($G217-$AM217)/$G217,0),"")</f>
        <v/>
      </c>
      <c r="BG217" s="6">
        <f>IF((AD217-AF217)/(AJ217/60)&lt;=0,"",(AD217-AF217)/(AJ217/60))</f>
        <v/>
      </c>
      <c r="BH217" s="6">
        <f>IF(OR(AJ217=0,AP217=0,NOT(ISNUMBER(AD217)),NOT(ISNUMBER(AF217)),NOT(ISNUMBER(AJ217)),NOT(ISNUMBER(AP217))),"",
IFERROR(IF((AD217-AF217)/(AJ217/60)/(AP217/1000)&lt;=0,"",(AD217-AF217)/(AJ217/60)/(AP217/1000)),""))</f>
        <v/>
      </c>
    </row>
    <row r="218" ht="15.75" customHeight="1">
      <c r="B218" t="n">
        <v>-26</v>
      </c>
      <c r="D218" s="94" t="n">
        <v>45478</v>
      </c>
      <c r="E218" s="128" t="n"/>
      <c r="F218" s="3" t="n">
        <v>213</v>
      </c>
      <c r="G218" s="205">
        <f>IF(OR(S218="",S218=0),"",S218*2)</f>
        <v/>
      </c>
      <c r="I218" s="15">
        <f>(N218*18-H218*18)/9</f>
        <v/>
      </c>
      <c r="J218" s="9" t="n">
        <v>11.6</v>
      </c>
      <c r="K218" s="15">
        <f>AD218</f>
        <v/>
      </c>
      <c r="M218" s="10">
        <f>IF(OR(E218="",G218="",E218=0,G218=0),"",E218/G218)</f>
        <v/>
      </c>
      <c r="N218" s="9">
        <f>IF(OR(E218="",I218="",E218=0,I218=0),"",E218/(I218*2))</f>
        <v/>
      </c>
      <c r="O218" s="8">
        <f>IF(OR(I218="",G218="",I218=0,G218=0),"",I218*2/G218)</f>
        <v/>
      </c>
      <c r="P218" s="7" t="n">
        <v>22.9</v>
      </c>
      <c r="U218" s="23" t="n"/>
      <c r="V218" s="6" t="n">
        <v>25.7</v>
      </c>
      <c r="AD218" s="5" t="n">
        <v>80</v>
      </c>
      <c r="AE218" s="7">
        <f>T218</f>
        <v/>
      </c>
      <c r="AF218" s="231" t="n">
        <v>14.8</v>
      </c>
      <c r="AG218" s="231" t="n">
        <v>23.7</v>
      </c>
      <c r="AH218" s="231" t="n">
        <v>7.66</v>
      </c>
      <c r="AI218" s="231" t="n">
        <v>0</v>
      </c>
      <c r="AJ218" s="119" t="n">
        <v>0.8130787037037037</v>
      </c>
      <c r="AL218" s="93" t="n">
        <v>93.59999999999999</v>
      </c>
      <c r="AM218" s="3" t="n">
        <v>180</v>
      </c>
      <c r="AN218" s="4">
        <f>AE218</f>
        <v/>
      </c>
      <c r="AO218" s="231" t="n">
        <v>22.5</v>
      </c>
      <c r="AP218" s="255">
        <f>360-AK218-AB218</f>
        <v/>
      </c>
      <c r="AQ218" s="126" t="n"/>
      <c r="AR218" s="13">
        <f>AVERAGE(AO216:AO222)</f>
        <v/>
      </c>
      <c r="AS218" s="15">
        <f>IF(ISNUMBER([2]HRT_SRT!R272),[2]HRT_SRT!R272,"")</f>
        <v/>
      </c>
      <c r="AT218" s="156">
        <f>(E218-W218)/E218</f>
        <v/>
      </c>
      <c r="AU218" s="155">
        <f>(I218-AF218)/I218</f>
        <v/>
      </c>
      <c r="AV218" s="155">
        <f>AG218/(AD218-AF218)</f>
        <v/>
      </c>
      <c r="AW218" s="155">
        <f>(G218-AM218)/G218</f>
        <v/>
      </c>
      <c r="AX218" s="254">
        <f>IF(AND(ISNUMBER(E218),ISNUMBER(W218)),E218-W218,"")</f>
        <v/>
      </c>
      <c r="AY218" s="254">
        <f>IF(AND(ISNUMBER(I218),ISNUMBER(AF218)),I218-AF218,"")</f>
        <v/>
      </c>
      <c r="AZ218" s="254">
        <f>IF(AND(ISNUMBER(AM218),ISNUMBER(G218)),G218-AM218,"")</f>
        <v/>
      </c>
      <c r="BA218" s="254">
        <f>IF(AND(ISNUMBER(AC218),ISNUMBER(AE218)),AC218-AE218,"")</f>
        <v/>
      </c>
      <c r="BB218" s="254">
        <f>IF(AND(ISNUMBER(AL218),ISNUMBER(AM218)),AL218-AM218,"")</f>
        <v/>
      </c>
      <c r="BC218" s="123" t="n"/>
      <c r="BD218" s="123">
        <f>IF(AND($I218&gt;0,$AF218&gt;=0),IF(($I218-$AF218)/$I218&gt;0,($I218-$AF218)/$I218,0),"")</f>
        <v/>
      </c>
      <c r="BE218" s="123">
        <f>IF(AND($AG218&gt;=0,$AD218&gt;=0,$AF218&gt;=0),IF($AG218/($AD218-$AF218)&gt;0,$AG218/($AD218-$AF218),0),"")</f>
        <v/>
      </c>
      <c r="BF218" s="123">
        <f>IF(AND($G218&gt;0,$AM218&gt;0),IF(($G218-$AM218)/$G218&gt;0,($G218-$AM218)/$G218,0),"")</f>
        <v/>
      </c>
      <c r="BG218" s="6">
        <f>IF((AD218-AF218)/(AJ218/60)&lt;=0,"",(AD218-AF218)/(AJ218/60))</f>
        <v/>
      </c>
      <c r="BH218" s="6" t="n"/>
    </row>
    <row r="219" ht="15.75" customHeight="1">
      <c r="B219" t="n">
        <v>-25</v>
      </c>
      <c r="D219" s="94" t="n">
        <v>45479</v>
      </c>
      <c r="E219" s="128" t="n"/>
      <c r="F219" s="3" t="n">
        <v>214</v>
      </c>
      <c r="G219" s="205">
        <f>IF(OR(S219="",S219=0),"",S219*2)</f>
        <v/>
      </c>
      <c r="K219" s="15">
        <f>AD219</f>
        <v/>
      </c>
      <c r="M219" s="10">
        <f>IF(OR(E219="",G219="",E219=0,G219=0),"",E219/G219)</f>
        <v/>
      </c>
      <c r="N219" s="9">
        <f>IF(OR(E219="",I219="",E219=0,I219=0),"",E219/(I219*2))</f>
        <v/>
      </c>
      <c r="O219" s="8">
        <f>IF(OR(I219="",G219="",I219=0,G219=0),"",I219*2/G219)</f>
        <v/>
      </c>
      <c r="U219" s="23" t="n"/>
      <c r="AD219" s="5" t="n">
        <v>80</v>
      </c>
      <c r="AI219" s="231" t="n">
        <v>0</v>
      </c>
      <c r="AJ219" s="119" t="n">
        <v>0.8547453703703703</v>
      </c>
      <c r="AL219" s="93" t="n">
        <v>93.59999999999999</v>
      </c>
      <c r="AM219" s="3" t="n">
        <v>180</v>
      </c>
      <c r="AP219" s="255">
        <f>360-AK219-AB219</f>
        <v/>
      </c>
      <c r="AQ219" s="132">
        <f>(AO216+AO224)/2</f>
        <v/>
      </c>
      <c r="AR219" s="13">
        <f>(AO216+AO224)/2</f>
        <v/>
      </c>
      <c r="AS219" s="15">
        <f>IF(ISNUMBER([2]HRT_SRT!R273),[2]HRT_SRT!R273,"")</f>
        <v/>
      </c>
      <c r="AT219" s="156">
        <f>(E219-W219)/E219</f>
        <v/>
      </c>
      <c r="AU219" s="155" t="n"/>
      <c r="AV219" s="155">
        <f>AG219/(AD219-AF219)</f>
        <v/>
      </c>
      <c r="AW219" s="155">
        <f>(G219-AM219)/G219</f>
        <v/>
      </c>
      <c r="AX219" s="254">
        <f>IF(AND(ISNUMBER(E219),ISNUMBER(W219)),E219-W219,"")</f>
        <v/>
      </c>
      <c r="AY219" s="254">
        <f>IF(AND(ISNUMBER(I219),ISNUMBER(AF219)),I219-AF219,"")</f>
        <v/>
      </c>
      <c r="AZ219" s="254">
        <f>IF(AND(ISNUMBER(AM219),ISNUMBER(G219)),G219-AM219,"")</f>
        <v/>
      </c>
      <c r="BA219" s="254">
        <f>IF(AND(ISNUMBER(AC219),ISNUMBER(AE219)),AC219-AE219,"")</f>
        <v/>
      </c>
      <c r="BB219" s="254">
        <f>IF(AND(ISNUMBER(AL219),ISNUMBER(AM219)),AL219-AM219,"")</f>
        <v/>
      </c>
      <c r="BC219" s="123" t="n"/>
      <c r="BD219" s="123">
        <f>IF(AND($I219&gt;0,$AF219&gt;=0),IF(($I219-$AF219)/$I219&gt;0,($I219-$AF219)/$I219,0),"")</f>
        <v/>
      </c>
      <c r="BE219" s="123" t="n"/>
      <c r="BF219" s="123">
        <f>IF(AND($G219&gt;0,$AM219&gt;0),IF(($G219-$AM219)/$G219&gt;0,($G219-$AM219)/$G219,0),"")</f>
        <v/>
      </c>
      <c r="BG219" s="6">
        <f>IF((AD219-AF219)/(AJ219/60)&lt;=0,"",(AD219-AF219)/(AJ219/60))</f>
        <v/>
      </c>
      <c r="BH219" s="6">
        <f>IF(OR(AJ219=0,AP219=0,NOT(ISNUMBER(AD219)),NOT(ISNUMBER(AF219)),NOT(ISNUMBER(AJ219)),NOT(ISNUMBER(AP219))),"",
IFERROR(IF((AD219-AF219)/(AJ219/60)/(AP219/1000)&lt;=0,"",(AD219-AF219)/(AJ219/60)/(AP219/1000)),""))</f>
        <v/>
      </c>
    </row>
    <row r="220" ht="15.75" customHeight="1">
      <c r="B220" t="n">
        <v>-24</v>
      </c>
      <c r="D220" s="94" t="n">
        <v>45480</v>
      </c>
      <c r="E220" s="128" t="n"/>
      <c r="F220" s="3" t="n">
        <v>215</v>
      </c>
      <c r="G220" s="205">
        <f>IF(OR(S220="",S220=0),"",S220*2)</f>
        <v/>
      </c>
      <c r="I220" s="15">
        <f>(N220*18-H220*18)/9</f>
        <v/>
      </c>
      <c r="J220" s="9">
        <f>5/2*5.01</f>
        <v/>
      </c>
      <c r="K220" s="15">
        <f>AD220</f>
        <v/>
      </c>
      <c r="M220" s="10">
        <f>IF(OR(E220="",G220="",E220=0,G220=0),"",E220/G220)</f>
        <v/>
      </c>
      <c r="N220" s="9">
        <f>IF(OR(E220="",I220="",E220=0,I220=0),"",E220/(I220*2))</f>
        <v/>
      </c>
      <c r="O220" s="8">
        <f>IF(OR(I220="",G220="",I220=0,G220=0),"",I220*2/G220)</f>
        <v/>
      </c>
      <c r="P220" s="7">
        <f>5/2*8.22</f>
        <v/>
      </c>
      <c r="Q220" s="6" t="n">
        <v>86.619</v>
      </c>
      <c r="R220" s="6" t="n">
        <v>20.327</v>
      </c>
      <c r="S220" s="6">
        <f>O220*1.067</f>
        <v/>
      </c>
      <c r="T220" s="6">
        <f>P220*1.514</f>
        <v/>
      </c>
      <c r="U220" s="23">
        <f>P220*1.514+O220*1.067</f>
        <v/>
      </c>
      <c r="V220" s="6">
        <f>5/2*11</f>
        <v/>
      </c>
      <c r="Y220" s="6">
        <f>4.038+0.997</f>
        <v/>
      </c>
      <c r="Z220" s="6" t="n">
        <v>3.89</v>
      </c>
      <c r="AD220" s="5" t="n">
        <v>80</v>
      </c>
      <c r="AE220" s="7">
        <f>T220</f>
        <v/>
      </c>
      <c r="AF220" s="231">
        <f>14.8</f>
        <v/>
      </c>
      <c r="AG220" s="231">
        <f>5/2*10.7</f>
        <v/>
      </c>
      <c r="AH220" s="231" t="n">
        <v>0.262</v>
      </c>
      <c r="AI220" s="231" t="n">
        <v>0</v>
      </c>
      <c r="AJ220" s="119" t="n">
        <v>0.8964120370370371</v>
      </c>
      <c r="AL220" s="93" t="n">
        <v>93.59999999999999</v>
      </c>
      <c r="AM220" s="3" t="n">
        <v>180</v>
      </c>
      <c r="AN220" s="4">
        <f>AE220</f>
        <v/>
      </c>
      <c r="AO220" s="231">
        <f>5/2*10</f>
        <v/>
      </c>
      <c r="AP220" s="255">
        <f>360-AK220-AB220</f>
        <v/>
      </c>
      <c r="AQ220" s="132">
        <f>(AO216+AO224)/2</f>
        <v/>
      </c>
      <c r="AR220" s="13">
        <f>AVERAGE(AO218:AO224)</f>
        <v/>
      </c>
      <c r="AS220" s="15">
        <f>IF(ISNUMBER([2]HRT_SRT!R274),[2]HRT_SRT!R274,"")</f>
        <v/>
      </c>
      <c r="AT220" s="156">
        <f>(E220-W220)/E220</f>
        <v/>
      </c>
      <c r="AU220" s="155">
        <f>(I220-AF220)/I220</f>
        <v/>
      </c>
      <c r="AV220" s="155">
        <f>AG220/(AD220-AF220)</f>
        <v/>
      </c>
      <c r="AW220" s="155">
        <f>(G220-AM220)/G220</f>
        <v/>
      </c>
      <c r="AX220" s="254">
        <f>IF(AND(ISNUMBER(E220),ISNUMBER(W220)),E220-W220,"")</f>
        <v/>
      </c>
      <c r="AY220" s="254">
        <f>IF(AND(ISNUMBER(I220),ISNUMBER(AF220)),I220-AF220,"")</f>
        <v/>
      </c>
      <c r="AZ220" s="254">
        <f>IF(AND(ISNUMBER(AM220),ISNUMBER(G220)),G220-AM220,"")</f>
        <v/>
      </c>
      <c r="BA220" s="254">
        <f>IF(AND(ISNUMBER(AC220),ISNUMBER(AE220)),AC220-AE220,"")</f>
        <v/>
      </c>
      <c r="BB220" s="254">
        <f>IF(AND(ISNUMBER(AL220),ISNUMBER(AM220)),AL220-AM220,"")</f>
        <v/>
      </c>
      <c r="BC220" s="123">
        <f>IF(AND($E220&gt;0,$W220&gt;0),IF(($E220-$W220)/$E220&gt;0,($E220-$W220)/$E220,0),"")</f>
        <v/>
      </c>
      <c r="BD220" s="123">
        <f>IF(AND($I220&gt;0,$AF220&gt;=0),IF(($I220-$AF220)/$I220&gt;0,($I220-$AF220)/$I220,0),"")</f>
        <v/>
      </c>
      <c r="BE220" s="123">
        <f>IF(AND($AG220&gt;=0,$AD220&gt;=0,$AF220&gt;=0),IF($AG220/($AD220-$AF220)&gt;0,$AG220/($AD220-$AF220),0),"")</f>
        <v/>
      </c>
      <c r="BF220" s="123">
        <f>IF(AND($G220&gt;0,$AM220&gt;0),IF(($G220-$AM220)/$G220&gt;0,($G220-$AM220)/$G220,0),"")</f>
        <v/>
      </c>
      <c r="BG220" s="6">
        <f>IF((AD220-AF220)/(AJ220/60)&lt;=0,"",(AD220-AF220)/(AJ220/60))</f>
        <v/>
      </c>
      <c r="BH220" s="6">
        <f>IF(OR(AJ220=0,AP220=0,NOT(ISNUMBER(AD220)),NOT(ISNUMBER(AF220)),NOT(ISNUMBER(AJ220)),NOT(ISNUMBER(AP220))),"",
IFERROR(IF((AD220-AF220)/(AJ220/60)/(AP220/1000)&lt;=0,"",(AD220-AF220)/(AJ220/60)/(AP220/1000)),""))</f>
        <v/>
      </c>
    </row>
    <row r="221" ht="15.75" customHeight="1">
      <c r="B221" t="n">
        <v>-23</v>
      </c>
      <c r="D221" s="94" t="n">
        <v>45481</v>
      </c>
      <c r="E221" s="128" t="n"/>
      <c r="F221" s="3" t="n">
        <v>216</v>
      </c>
      <c r="G221" s="205">
        <f>IF(OR(S221="",S221=0),"",S221*2)</f>
        <v/>
      </c>
      <c r="I221" s="15">
        <f>(N221*18-H221*18)/9</f>
        <v/>
      </c>
      <c r="J221" s="9">
        <f>4.255*2</f>
        <v/>
      </c>
      <c r="K221" s="15">
        <f>AD221</f>
        <v/>
      </c>
      <c r="M221" s="10">
        <f>IF(OR(E221="",G221="",E221=0,G221=0),"",E221/G221)</f>
        <v/>
      </c>
      <c r="N221" s="9">
        <f>IF(OR(E221="",I221="",E221=0,I221=0),"",E221/(I221*2))</f>
        <v/>
      </c>
      <c r="O221" s="8">
        <f>IF(OR(I221="",G221="",I221=0,G221=0),"",I221*2/G221)</f>
        <v/>
      </c>
      <c r="P221" s="6">
        <f>2*7.94</f>
        <v/>
      </c>
      <c r="Q221" s="6" t="n">
        <v>95.011</v>
      </c>
      <c r="R221" s="6" t="n">
        <v>22.107</v>
      </c>
      <c r="S221" s="6">
        <f>O221*1.067</f>
        <v/>
      </c>
      <c r="T221" s="6">
        <f>P221*1.514</f>
        <v/>
      </c>
      <c r="U221" s="23">
        <f>P221*1.514+O221*1.067</f>
        <v/>
      </c>
      <c r="V221" s="6">
        <f>2*9.29</f>
        <v/>
      </c>
      <c r="Y221" s="6">
        <f>8.084+1.088</f>
        <v/>
      </c>
      <c r="AD221" s="5" t="n">
        <v>80</v>
      </c>
      <c r="AE221" s="7">
        <f>T221</f>
        <v/>
      </c>
      <c r="AF221" s="231" t="n">
        <v>14.9</v>
      </c>
      <c r="AG221" s="231">
        <f>2*8.51</f>
        <v/>
      </c>
      <c r="AH221" s="231" t="n">
        <v>0</v>
      </c>
      <c r="AI221" s="231" t="n">
        <v>0</v>
      </c>
      <c r="AJ221" s="119" t="n">
        <v>0.9380787037037037</v>
      </c>
      <c r="AL221" s="93" t="n">
        <v>93.59999999999999</v>
      </c>
      <c r="AM221" s="3" t="n">
        <v>180</v>
      </c>
      <c r="AN221" s="4">
        <f>AE221</f>
        <v/>
      </c>
      <c r="AO221" s="231">
        <f>2*8.51</f>
        <v/>
      </c>
      <c r="AP221" s="255">
        <f>360-AK221-AB221</f>
        <v/>
      </c>
      <c r="AQ221" s="126" t="n"/>
      <c r="AR221" s="13">
        <f>AVERAGE(AO219:AO225)</f>
        <v/>
      </c>
      <c r="AS221" s="15">
        <f>IF(ISNUMBER([2]HRT_SRT!R275),[2]HRT_SRT!R275,"")</f>
        <v/>
      </c>
      <c r="AT221" s="156">
        <f>(E221-W221)/E221</f>
        <v/>
      </c>
      <c r="AU221" s="155">
        <f>(I221-AF221)/I221</f>
        <v/>
      </c>
      <c r="AV221" s="155">
        <f>AG221/(AD221-AF221)</f>
        <v/>
      </c>
      <c r="AW221" s="155">
        <f>(G221-AM221)/G221</f>
        <v/>
      </c>
      <c r="AX221" s="254">
        <f>IF(AND(ISNUMBER(E221),ISNUMBER(W221)),E221-W221,"")</f>
        <v/>
      </c>
      <c r="AY221" s="254">
        <f>IF(AND(ISNUMBER(I221),ISNUMBER(AF221)),I221-AF221,"")</f>
        <v/>
      </c>
      <c r="AZ221" s="254">
        <f>IF(AND(ISNUMBER(AM221),ISNUMBER(G221)),G221-AM221,"")</f>
        <v/>
      </c>
      <c r="BA221" s="254">
        <f>IF(AND(ISNUMBER(AC221),ISNUMBER(AE221)),AC221-AE221,"")</f>
        <v/>
      </c>
      <c r="BB221" s="254">
        <f>IF(AND(ISNUMBER(AL221),ISNUMBER(AM221)),AL221-AM221,"")</f>
        <v/>
      </c>
      <c r="BC221" s="123">
        <f>IF(AND($E221&gt;0,$W221&gt;0),IF(($E221-$W221)/$E221&gt;0,($E221-$W221)/$E221,0),"")</f>
        <v/>
      </c>
      <c r="BD221" s="123">
        <f>IF(AND($I221&gt;0,$AF221&gt;=0),IF(($I221-$AF221)/$I221&gt;0,($I221-$AF221)/$I221,0),"")</f>
        <v/>
      </c>
      <c r="BE221" s="123">
        <f>IF(AND($AG221&gt;=0,$AD221&gt;=0,$AF221&gt;=0),IF($AG221/($AD221-$AF221)&gt;0,$AG221/($AD221-$AF221),0),"")</f>
        <v/>
      </c>
      <c r="BF221" s="123">
        <f>IF(AND($G221&gt;0,$AM221&gt;0),IF(($G221-$AM221)/$G221&gt;0,($G221-$AM221)/$G221,0),"")</f>
        <v/>
      </c>
      <c r="BG221" s="6">
        <f>IF((AD221-AF221)/(AJ221/60)&lt;=0,"",(AD221-AF221)/(AJ221/60))</f>
        <v/>
      </c>
      <c r="BH221" s="6">
        <f>IF(OR(AJ221=0,AP221=0,NOT(ISNUMBER(AD221)),NOT(ISNUMBER(AF221)),NOT(ISNUMBER(AJ221)),NOT(ISNUMBER(AP221))),"",
IFERROR(IF((AD221-AF221)/(AJ221/60)/(AP221/1000)&lt;=0,"",(AD221-AF221)/(AJ221/60)/(AP221/1000)),""))</f>
        <v/>
      </c>
    </row>
    <row r="222" ht="15.75" customHeight="1">
      <c r="B222" t="n">
        <v>-22</v>
      </c>
      <c r="D222" s="94" t="n">
        <v>45482</v>
      </c>
      <c r="E222" s="128" t="n"/>
      <c r="F222" s="3" t="n">
        <v>217</v>
      </c>
      <c r="G222" s="205">
        <f>IF(OR(S222="",S222=0),"",S222*2)</f>
        <v/>
      </c>
      <c r="I222" s="15">
        <f>(N222*18-H222*18)/9</f>
        <v/>
      </c>
      <c r="J222" s="9" t="n">
        <v>7.44</v>
      </c>
      <c r="K222" s="15">
        <f>AD222</f>
        <v/>
      </c>
      <c r="M222" s="10">
        <f>IF(OR(E222="",G222="",E222=0,G222=0),"",E222/G222)</f>
        <v/>
      </c>
      <c r="N222" s="9">
        <f>IF(OR(E222="",I222="",E222=0,I222=0),"",E222/(I222*2))</f>
        <v/>
      </c>
      <c r="O222" s="8">
        <f>IF(OR(I222="",G222="",I222=0,G222=0),"",I222*2/G222)</f>
        <v/>
      </c>
      <c r="P222" s="7" t="n">
        <v>15.4</v>
      </c>
      <c r="Q222" s="6" t="n">
        <v>93.95399999999999</v>
      </c>
      <c r="R222" s="6" t="n">
        <v>21.606</v>
      </c>
      <c r="S222" s="6">
        <f>O222*1.067</f>
        <v/>
      </c>
      <c r="T222" s="6">
        <f>P222*1.514</f>
        <v/>
      </c>
      <c r="U222" s="23">
        <f>P222*1.514+O222*1.067</f>
        <v/>
      </c>
      <c r="V222" s="6" t="n">
        <v>17.2</v>
      </c>
      <c r="Y222" s="6">
        <f>0.909+1.059</f>
        <v/>
      </c>
      <c r="AD222" s="5" t="n">
        <v>80</v>
      </c>
      <c r="AE222" s="7">
        <f>T222</f>
        <v/>
      </c>
      <c r="AF222" s="231">
        <f>5*3.19</f>
        <v/>
      </c>
      <c r="AG222" s="231" t="n">
        <v>15.6</v>
      </c>
      <c r="AH222" s="231" t="n">
        <v>0</v>
      </c>
      <c r="AI222" s="231" t="n">
        <v>0</v>
      </c>
      <c r="AJ222" s="119" t="n">
        <v>0.9797453703703703</v>
      </c>
      <c r="AL222" s="93" t="n">
        <v>93.59999999999999</v>
      </c>
      <c r="AM222" s="3" t="n">
        <v>180</v>
      </c>
      <c r="AN222" s="4">
        <f>AE222</f>
        <v/>
      </c>
      <c r="AO222" s="231" t="n">
        <v>13</v>
      </c>
      <c r="AP222" s="255">
        <f>360-AK222-AB222</f>
        <v/>
      </c>
      <c r="AQ222" s="126" t="n"/>
      <c r="AR222" s="13">
        <f>AVERAGE(AO220:AO226)</f>
        <v/>
      </c>
      <c r="AS222" s="15">
        <f>IF(ISNUMBER([2]HRT_SRT!R276),[2]HRT_SRT!R276,"")</f>
        <v/>
      </c>
      <c r="AT222" s="156">
        <f>(E222-W222)/E222</f>
        <v/>
      </c>
      <c r="AU222" s="155">
        <f>(I222-AF222)/I222</f>
        <v/>
      </c>
      <c r="AV222" s="155">
        <f>AG222/(AD222-AF222)</f>
        <v/>
      </c>
      <c r="AW222" s="155">
        <f>(G222-AM222)/G222</f>
        <v/>
      </c>
      <c r="AX222" s="254">
        <f>IF(AND(ISNUMBER(E222),ISNUMBER(W222)),E222-W222,"")</f>
        <v/>
      </c>
      <c r="AY222" s="254">
        <f>IF(AND(ISNUMBER(I222),ISNUMBER(AF222)),I222-AF222,"")</f>
        <v/>
      </c>
      <c r="AZ222" s="254">
        <f>IF(AND(ISNUMBER(AM222),ISNUMBER(G222)),G222-AM222,"")</f>
        <v/>
      </c>
      <c r="BA222" s="254">
        <f>IF(AND(ISNUMBER(AC222),ISNUMBER(AE222)),AC222-AE222,"")</f>
        <v/>
      </c>
      <c r="BB222" s="254">
        <f>IF(AND(ISNUMBER(AL222),ISNUMBER(AM222)),AL222-AM222,"")</f>
        <v/>
      </c>
      <c r="BC222" s="123">
        <f>IF(AND($E222&gt;0,$W222&gt;0),IF(($E222-$W222)/$E222&gt;0,($E222-$W222)/$E222,0),"")</f>
        <v/>
      </c>
      <c r="BD222" s="123">
        <f>IF(AND($I222&gt;0,$AF222&gt;=0),IF(($I222-$AF222)/$I222&gt;0,($I222-$AF222)/$I222,0),"")</f>
        <v/>
      </c>
      <c r="BE222" s="123">
        <f>IF(AND($AG222&gt;=0,$AD222&gt;=0,$AF222&gt;=0),IF($AG222/($AD222-$AF222)&gt;0,$AG222/($AD222-$AF222),0),"")</f>
        <v/>
      </c>
      <c r="BF222" s="123">
        <f>IF(AND($G222&gt;0,$AM222&gt;0),IF(($G222-$AM222)/$G222&gt;0,($G222-$AM222)/$G222,0),"")</f>
        <v/>
      </c>
      <c r="BG222" s="6">
        <f>IF((AD222-AF222)/(AJ222/60)&lt;=0,"",(AD222-AF222)/(AJ222/60))</f>
        <v/>
      </c>
      <c r="BH222" s="6">
        <f>IF(OR(AJ222=0,AP222=0,NOT(ISNUMBER(AD222)),NOT(ISNUMBER(AF222)),NOT(ISNUMBER(AJ222)),NOT(ISNUMBER(AP222))),"",
IFERROR(IF((AD222-AF222)/(AJ222/60)/(AP222/1000)&lt;=0,"",(AD222-AF222)/(AJ222/60)/(AP222/1000)),""))</f>
        <v/>
      </c>
    </row>
    <row r="223" ht="15.75" customHeight="1">
      <c r="B223" t="n">
        <v>-21</v>
      </c>
      <c r="D223" s="94" t="n">
        <v>45483</v>
      </c>
      <c r="E223" s="128" t="n"/>
      <c r="F223" s="3" t="n">
        <v>218</v>
      </c>
      <c r="G223" s="205">
        <f>IF(OR(S223="",S223=0),"",S223*2)</f>
        <v/>
      </c>
      <c r="I223" s="15">
        <f>(N223*18-H223*18)/9</f>
        <v/>
      </c>
      <c r="J223" s="9" t="n">
        <v>12.9</v>
      </c>
      <c r="K223" s="15">
        <f>AD223</f>
        <v/>
      </c>
      <c r="M223" s="10">
        <f>IF(OR(E223="",G223="",E223=0,G223=0),"",E223/G223)</f>
        <v/>
      </c>
      <c r="N223" s="9">
        <f>IF(OR(E223="",I223="",E223=0,I223=0),"",E223/(I223*2))</f>
        <v/>
      </c>
      <c r="O223" s="8">
        <f>IF(OR(I223="",G223="",I223=0,G223=0),"",I223*2/G223)</f>
        <v/>
      </c>
      <c r="P223" s="7" t="n">
        <v>24.4</v>
      </c>
      <c r="Q223" s="6" t="n">
        <v>78.7</v>
      </c>
      <c r="R223" s="6" t="n">
        <v>19.186</v>
      </c>
      <c r="S223" s="6">
        <f>O223*1.067</f>
        <v/>
      </c>
      <c r="T223" s="6">
        <f>P223*1.514</f>
        <v/>
      </c>
      <c r="U223" s="23">
        <f>P223*1.514+O223*1.067</f>
        <v/>
      </c>
      <c r="V223" s="6">
        <f>2*13.1</f>
        <v/>
      </c>
      <c r="Y223" s="6">
        <f>2.904+2.862</f>
        <v/>
      </c>
      <c r="Z223" s="6" t="n">
        <v>7.04</v>
      </c>
      <c r="AD223" s="5" t="n">
        <v>80</v>
      </c>
      <c r="AE223" s="7">
        <f>T223</f>
        <v/>
      </c>
      <c r="AF223" s="231">
        <f>5*2.94</f>
        <v/>
      </c>
      <c r="AG223" s="231">
        <f>2*11.7</f>
        <v/>
      </c>
      <c r="AH223" s="231" t="n">
        <v>0</v>
      </c>
      <c r="AI223" s="231" t="n">
        <v>0</v>
      </c>
      <c r="AJ223" s="119" t="n">
        <v>1.021412037037037</v>
      </c>
      <c r="AL223" s="93" t="n">
        <v>93.59999999999999</v>
      </c>
      <c r="AM223" s="3" t="n">
        <v>180</v>
      </c>
      <c r="AN223" s="4">
        <f>AE223</f>
        <v/>
      </c>
      <c r="AO223" s="231" t="n">
        <v>22.1</v>
      </c>
      <c r="AP223" s="255">
        <f>360-AK223-AB223</f>
        <v/>
      </c>
      <c r="AQ223" s="126" t="n"/>
      <c r="AR223" s="13">
        <f>AVERAGE(AO221:AO227)</f>
        <v/>
      </c>
      <c r="AS223" s="15">
        <f>IF(ISNUMBER([2]HRT_SRT!R277),[2]HRT_SRT!R277,"")</f>
        <v/>
      </c>
      <c r="AT223" s="156">
        <f>(E223-W223)/E223</f>
        <v/>
      </c>
      <c r="AU223" s="155">
        <f>(I223-AF223)/I223</f>
        <v/>
      </c>
      <c r="AV223" s="155">
        <f>AG223/(AD223-AF223)</f>
        <v/>
      </c>
      <c r="AW223" s="155">
        <f>(G223-AM223)/G223</f>
        <v/>
      </c>
      <c r="AX223" s="254">
        <f>IF(AND(ISNUMBER(E223),ISNUMBER(W223)),E223-W223,"")</f>
        <v/>
      </c>
      <c r="AY223" s="254">
        <f>IF(AND(ISNUMBER(I223),ISNUMBER(AF223)),I223-AF223,"")</f>
        <v/>
      </c>
      <c r="AZ223" s="254">
        <f>IF(AND(ISNUMBER(AM223),ISNUMBER(G223)),G223-AM223,"")</f>
        <v/>
      </c>
      <c r="BA223" s="254">
        <f>IF(AND(ISNUMBER(AC223),ISNUMBER(AE223)),AC223-AE223,"")</f>
        <v/>
      </c>
      <c r="BB223" s="254">
        <f>IF(AND(ISNUMBER(AL223),ISNUMBER(AM223)),AL223-AM223,"")</f>
        <v/>
      </c>
      <c r="BC223" s="123">
        <f>IF(AND($E223&gt;0,$W223&gt;0),IF(($E223-$W223)/$E223&gt;0,($E223-$W223)/$E223,0),"")</f>
        <v/>
      </c>
      <c r="BD223" s="123">
        <f>IF(AND($I223&gt;0,$AF223&gt;=0),IF(($I223-$AF223)/$I223&gt;0,($I223-$AF223)/$I223,0),"")</f>
        <v/>
      </c>
      <c r="BE223" s="123">
        <f>IF(AND($AG223&gt;=0,$AD223&gt;=0,$AF223&gt;=0),IF($AG223/($AD223-$AF223)&gt;0,$AG223/($AD223-$AF223),0),"")</f>
        <v/>
      </c>
      <c r="BF223" s="123">
        <f>IF(AND($G223&gt;0,$AM223&gt;0),IF(($G223-$AM223)/$G223&gt;0,($G223-$AM223)/$G223,0),"")</f>
        <v/>
      </c>
      <c r="BG223" s="6">
        <f>IF((AD223-AF223)/(AJ223/60)&lt;=0,"",(AD223-AF223)/(AJ223/60))</f>
        <v/>
      </c>
      <c r="BH223" s="6">
        <f>IF(OR(AJ223=0,AP223=0,NOT(ISNUMBER(AD223)),NOT(ISNUMBER(AF223)),NOT(ISNUMBER(AJ223)),NOT(ISNUMBER(AP223))),"",
IFERROR(IF((AD223-AF223)/(AJ223/60)/(AP223/1000)&lt;=0,"",(AD223-AF223)/(AJ223/60)/(AP223/1000)),""))</f>
        <v/>
      </c>
    </row>
    <row r="224" ht="15.75" customHeight="1">
      <c r="B224" t="n">
        <v>-20</v>
      </c>
      <c r="C224" s="131" t="inlineStr">
        <is>
          <t>stop eating PHA though VFA was eaten /bad VFA</t>
        </is>
      </c>
      <c r="D224" s="94" t="n">
        <v>45484</v>
      </c>
      <c r="E224" s="128" t="n"/>
      <c r="F224" s="3" t="n">
        <v>219</v>
      </c>
      <c r="G224" s="205">
        <f>IF(OR(S224="",S224=0),"",S224*2)</f>
        <v/>
      </c>
      <c r="K224" s="15">
        <f>AD224</f>
        <v/>
      </c>
      <c r="M224" s="10">
        <f>IF(OR(E224="",G224="",E224=0,G224=0),"",E224/G224)</f>
        <v/>
      </c>
      <c r="N224" s="9">
        <f>IF(OR(E224="",I224="",E224=0,I224=0),"",E224/(I224*2))</f>
        <v/>
      </c>
      <c r="O224" s="8">
        <f>IF(OR(I224="",G224="",I224=0,G224=0),"",I224*2/G224)</f>
        <v/>
      </c>
      <c r="Q224" s="6" t="n">
        <v>81.541</v>
      </c>
      <c r="R224" s="6" t="n">
        <v>18.12</v>
      </c>
      <c r="S224" s="6">
        <f>O224*1.067</f>
        <v/>
      </c>
      <c r="T224" s="6">
        <f>P224*1.514</f>
        <v/>
      </c>
      <c r="U224" s="23">
        <f>P224*1.514+O224*1.067</f>
        <v/>
      </c>
      <c r="Y224">
        <f>8.625+0.75</f>
        <v/>
      </c>
      <c r="Z224" s="6" t="n">
        <v>4.92</v>
      </c>
      <c r="AD224" s="5" t="n">
        <v>80</v>
      </c>
      <c r="AF224" s="231" t="n">
        <v>14.84</v>
      </c>
      <c r="AH224" s="231" t="n">
        <v>0.35</v>
      </c>
      <c r="AI224" t="n">
        <v>0.01</v>
      </c>
      <c r="AJ224" s="119" t="n">
        <v>0.4797453703703703</v>
      </c>
      <c r="AL224" t="n">
        <v>75</v>
      </c>
      <c r="AM224" s="3" t="n">
        <v>180</v>
      </c>
      <c r="AN224" s="4">
        <f>AE224</f>
        <v/>
      </c>
      <c r="AP224" s="255">
        <f>360-AK224-AB224</f>
        <v/>
      </c>
      <c r="AQ224" s="126">
        <f>[2]HRT_SRT!P278</f>
        <v/>
      </c>
      <c r="AR224" s="13">
        <f>AVERAGE(AO222:AO228)</f>
        <v/>
      </c>
      <c r="AS224" s="15">
        <f>IF(ISNUMBER([2]HRT_SRT!R278),[2]HRT_SRT!R278,"")</f>
        <v/>
      </c>
      <c r="AT224" s="156">
        <f>(E224-W224)/E224</f>
        <v/>
      </c>
      <c r="AU224" s="155" t="n"/>
      <c r="AV224" s="155">
        <f>AG224/(AD224-AF224)</f>
        <v/>
      </c>
      <c r="AW224" s="155">
        <f>(G224-AM224)/G224</f>
        <v/>
      </c>
      <c r="AX224" s="254">
        <f>IF(AND(ISNUMBER(E224),ISNUMBER(W224)),E224-W224,"")</f>
        <v/>
      </c>
      <c r="AY224" s="254">
        <f>IF(AND(ISNUMBER(I224),ISNUMBER(AF224)),I224-AF224,"")</f>
        <v/>
      </c>
      <c r="AZ224" s="254">
        <f>IF(AND(ISNUMBER(AM224),ISNUMBER(G224)),G224-AM224,"")</f>
        <v/>
      </c>
      <c r="BA224" s="254">
        <f>IF(AND(ISNUMBER(AC224),ISNUMBER(AE224)),AC224-AE224,"")</f>
        <v/>
      </c>
      <c r="BB224" s="254">
        <f>IF(AND(ISNUMBER(AL224),ISNUMBER(AM224)),AL224-AM224,"")</f>
        <v/>
      </c>
      <c r="BC224" s="123">
        <f>IF(AND($E224&gt;0,$W224&gt;0),IF(($E224-$W224)/$E224&gt;0,($E224-$W224)/$E224,0),"")</f>
        <v/>
      </c>
      <c r="BD224" s="123">
        <f>IF(AND($I224&gt;0,$AF224&gt;=0),IF(($I224-$AF224)/$I224&gt;0,($I224-$AF224)/$I224,0),"")</f>
        <v/>
      </c>
      <c r="BE224" s="123" t="n"/>
      <c r="BF224" s="123">
        <f>IF(AND($G224&gt;0,$AM224&gt;0),IF(($G224-$AM224)/$G224&gt;0,($G224-$AM224)/$G224,0),"")</f>
        <v/>
      </c>
      <c r="BG224" s="6">
        <f>IF((AD224-AF224)/(AJ224/60)&lt;=0,"",(AD224-AF224)/(AJ224/60))</f>
        <v/>
      </c>
      <c r="BH224" s="6">
        <f>IF(OR(AJ224=0,AP224=0,NOT(ISNUMBER(AD224)),NOT(ISNUMBER(AF224)),NOT(ISNUMBER(AJ224)),NOT(ISNUMBER(AP224))),"",
IFERROR(IF((AD224-AF224)/(AJ224/60)/(AP224/1000)&lt;=0,"",(AD224-AF224)/(AJ224/60)/(AP224/1000)),""))</f>
        <v/>
      </c>
    </row>
    <row r="225" ht="15.75" customHeight="1">
      <c r="B225" t="n">
        <v>-19</v>
      </c>
      <c r="C225" s="12" t="inlineStr">
        <is>
          <t>stop eating COD</t>
        </is>
      </c>
      <c r="D225" s="94" t="n">
        <v>45485</v>
      </c>
      <c r="E225" s="128" t="n"/>
      <c r="F225" s="3" t="n">
        <v>220</v>
      </c>
      <c r="G225" s="205">
        <f>IF(OR(S225="",S225=0),"",S225*2)</f>
        <v/>
      </c>
      <c r="I225" s="15">
        <f>(N225*18-H225*18)/9</f>
        <v/>
      </c>
      <c r="J225" s="9">
        <f>2*6.09</f>
        <v/>
      </c>
      <c r="K225" s="15">
        <f>AD225</f>
        <v/>
      </c>
      <c r="M225" s="10">
        <f>IF(OR(E225="",G225="",E225=0,G225=0),"",E225/G225)</f>
        <v/>
      </c>
      <c r="N225" s="9">
        <f>IF(OR(E225="",I225="",E225=0,I225=0),"",E225/(I225*2))</f>
        <v/>
      </c>
      <c r="O225" s="8">
        <f>IF(OR(I225="",G225="",I225=0,G225=0),"",I225*2/G225)</f>
        <v/>
      </c>
      <c r="P225" s="7">
        <f>2*11.7</f>
        <v/>
      </c>
      <c r="Q225" s="6" t="n">
        <v>76.19</v>
      </c>
      <c r="R225" s="6" t="n">
        <v>15.019</v>
      </c>
      <c r="S225" s="6">
        <f>O225*1.067</f>
        <v/>
      </c>
      <c r="T225" s="6">
        <f>P225*1.514</f>
        <v/>
      </c>
      <c r="U225" s="23">
        <f>P225*1.514+O225*1.067</f>
        <v/>
      </c>
      <c r="V225" s="6">
        <f>2*11.9</f>
        <v/>
      </c>
      <c r="Y225" t="n">
        <v>48.079</v>
      </c>
      <c r="Z225" s="6" t="n">
        <v>3.37</v>
      </c>
      <c r="AD225" s="5" t="n">
        <v>80</v>
      </c>
      <c r="AE225" s="7">
        <f>T225</f>
        <v/>
      </c>
      <c r="AF225" s="231">
        <f>5*2.14</f>
        <v/>
      </c>
      <c r="AG225" s="231">
        <f>2*11.8</f>
        <v/>
      </c>
      <c r="AH225" s="231" t="n">
        <v>0</v>
      </c>
      <c r="AI225" t="n">
        <v>0.01</v>
      </c>
      <c r="AJ225" s="119" t="n">
        <v>0.4797453703703703</v>
      </c>
      <c r="AL225" t="n">
        <v>93</v>
      </c>
      <c r="AM225" s="3" t="n">
        <v>180</v>
      </c>
      <c r="AN225" s="4">
        <f>AE225</f>
        <v/>
      </c>
      <c r="AO225" s="231">
        <f>2*10.9</f>
        <v/>
      </c>
      <c r="AP225" s="255">
        <f>360-AK225-AB225</f>
        <v/>
      </c>
      <c r="AQ225" s="126" t="n"/>
      <c r="AR225" s="13">
        <f>AVERAGE(AO223:AO229)</f>
        <v/>
      </c>
      <c r="AS225" s="15">
        <f>IF(ISNUMBER([2]HRT_SRT!R279),[2]HRT_SRT!R279,"")</f>
        <v/>
      </c>
      <c r="AT225" s="156">
        <f>(E225-W225)/E225</f>
        <v/>
      </c>
      <c r="AU225" s="155">
        <f>(I225-AF225)/I225</f>
        <v/>
      </c>
      <c r="AV225" s="155">
        <f>AG225/(AD225-AF225)</f>
        <v/>
      </c>
      <c r="AW225" s="155">
        <f>(G225-AM225)/G225</f>
        <v/>
      </c>
      <c r="AX225" s="254">
        <f>IF(AND(ISNUMBER(E225),ISNUMBER(W225)),E225-W225,"")</f>
        <v/>
      </c>
      <c r="AY225" s="254">
        <f>IF(AND(ISNUMBER(I225),ISNUMBER(AF225)),I225-AF225,"")</f>
        <v/>
      </c>
      <c r="AZ225" s="254">
        <f>IF(AND(ISNUMBER(AM225),ISNUMBER(G225)),G225-AM225,"")</f>
        <v/>
      </c>
      <c r="BA225" s="254">
        <f>IF(AND(ISNUMBER(AC225),ISNUMBER(AE225)),AC225-AE225,"")</f>
        <v/>
      </c>
      <c r="BB225" s="254">
        <f>IF(AND(ISNUMBER(AL225),ISNUMBER(AM225)),AL225-AM225,"")</f>
        <v/>
      </c>
      <c r="BC225" s="123" t="n"/>
      <c r="BD225" s="123">
        <f>IF(AND($I225&gt;0,$AF225&gt;=0),IF(($I225-$AF225)/$I225&gt;0,($I225-$AF225)/$I225,0),"")</f>
        <v/>
      </c>
      <c r="BE225" s="123">
        <f>IF(AND($AG225&gt;=0,$AD225&gt;=0,$AF225&gt;=0),IF($AG225/($AD225-$AF225)&gt;0,$AG225/($AD225-$AF225),0),"")</f>
        <v/>
      </c>
      <c r="BF225" s="123">
        <f>IF(AND($G225&gt;0,$AM225&gt;0),IF(($G225-$AM225)/$G225&gt;0,($G225-$AM225)/$G225,0),"")</f>
        <v/>
      </c>
      <c r="BG225" s="6">
        <f>IF((AD225-AF225)/(AJ225/60)&lt;=0,"",(AD225-AF225)/(AJ225/60))</f>
        <v/>
      </c>
      <c r="BH225" s="6">
        <f>IF(OR(AJ225=0,AP225=0,NOT(ISNUMBER(AD225)),NOT(ISNUMBER(AF225)),NOT(ISNUMBER(AJ225)),NOT(ISNUMBER(AP225))),"",
IFERROR(IF((AD225-AF225)/(AJ225/60)/(AP225/1000)&lt;=0,"",(AD225-AF225)/(AJ225/60)/(AP225/1000)),""))</f>
        <v/>
      </c>
    </row>
    <row r="226" ht="15.75" customHeight="1">
      <c r="B226" t="n">
        <v>-18</v>
      </c>
      <c r="C226" s="12" t="inlineStr">
        <is>
          <t xml:space="preserve">did a half COD input recovery cycle </t>
        </is>
      </c>
      <c r="D226" s="94" t="n">
        <v>45486</v>
      </c>
      <c r="E226" s="128" t="n"/>
      <c r="F226" s="3" t="n">
        <v>221</v>
      </c>
      <c r="G226" s="205">
        <f>IF(OR(S226="",S226=0),"",S226*2)</f>
        <v/>
      </c>
      <c r="K226" s="15">
        <f>AD226</f>
        <v/>
      </c>
      <c r="M226" s="10">
        <f>IF(OR(E226="",G226="",E226=0,G226=0),"",E226/G226)</f>
        <v/>
      </c>
      <c r="N226" s="9">
        <f>IF(OR(E226="",I226="",E226=0,I226=0),"",E226/(I226*2))</f>
        <v/>
      </c>
      <c r="O226" s="8">
        <f>IF(OR(I226="",G226="",I226=0,G226=0),"",I226*2/G226)</f>
        <v/>
      </c>
      <c r="P226" s="6" t="n"/>
      <c r="U226" s="23" t="n"/>
      <c r="AD226" s="5" t="n">
        <v>80</v>
      </c>
      <c r="AE226" s="7">
        <f>T226</f>
        <v/>
      </c>
      <c r="AI226" t="n">
        <v>0.01</v>
      </c>
      <c r="AJ226" s="119" t="n">
        <v>0.4797453703703703</v>
      </c>
      <c r="AL226" t="n">
        <v>89</v>
      </c>
      <c r="AM226" s="231" t="n">
        <v>180</v>
      </c>
      <c r="AN226" s="4">
        <f>AE226</f>
        <v/>
      </c>
      <c r="AP226" s="255">
        <f>360-AK226-AB226</f>
        <v/>
      </c>
      <c r="AQ226" s="126" t="n"/>
      <c r="AR226" s="13">
        <f>AVERAGE(AO224:AO230)</f>
        <v/>
      </c>
      <c r="AS226" s="15">
        <f>IF(ISNUMBER([2]HRT_SRT!R280),[2]HRT_SRT!R280,"")</f>
        <v/>
      </c>
      <c r="AT226" s="156">
        <f>(E226-W226)/E226</f>
        <v/>
      </c>
      <c r="AU226" s="155" t="n"/>
      <c r="AV226" s="155">
        <f>AG226/(AD226-AF226)</f>
        <v/>
      </c>
      <c r="AW226" s="155">
        <f>(G226-AM226)/G226</f>
        <v/>
      </c>
      <c r="AX226" s="254">
        <f>IF(AND(ISNUMBER(E226),ISNUMBER(W226)),E226-W226,"")</f>
        <v/>
      </c>
      <c r="AY226" s="254">
        <f>IF(AND(ISNUMBER(I226),ISNUMBER(AF226)),I226-AF226,"")</f>
        <v/>
      </c>
      <c r="AZ226" s="254">
        <f>IF(AND(ISNUMBER(AM226),ISNUMBER(G226)),G226-AM226,"")</f>
        <v/>
      </c>
      <c r="BA226" s="254">
        <f>IF(AND(ISNUMBER(AC226),ISNUMBER(AE226)),AC226-AE226,"")</f>
        <v/>
      </c>
      <c r="BB226" s="254">
        <f>IF(AND(ISNUMBER(AL226),ISNUMBER(AM226)),AL226-AM226,"")</f>
        <v/>
      </c>
      <c r="BC226" s="123" t="n"/>
      <c r="BD226" s="123">
        <f>IF(AND($I226&gt;0,$AF226&gt;=0),IF(($I226-$AF226)/$I226&gt;0,($I226-$AF226)/$I226,0),"")</f>
        <v/>
      </c>
      <c r="BE226" s="123" t="n"/>
      <c r="BF226" s="123">
        <f>IF(AND($G226&gt;0,$AM226&gt;0),IF(($G226-$AM226)/$G226&gt;0,($G226-$AM226)/$G226,0),"")</f>
        <v/>
      </c>
      <c r="BG226" s="6">
        <f>IF((AD226-AF226)/(AJ226/60)&lt;=0,"",(AD226-AF226)/(AJ226/60))</f>
        <v/>
      </c>
      <c r="BH226" s="6">
        <f>IF(OR(AJ226=0,AP226=0,NOT(ISNUMBER(AD226)),NOT(ISNUMBER(AF226)),NOT(ISNUMBER(AJ226)),NOT(ISNUMBER(AP226))),"",
IFERROR(IF((AD226-AF226)/(AJ226/60)/(AP226/1000)&lt;=0,"",(AD226-AF226)/(AJ226/60)/(AP226/1000)),""))</f>
        <v/>
      </c>
    </row>
    <row r="227" ht="15.75" customHeight="1">
      <c r="B227" t="n">
        <v>-17</v>
      </c>
      <c r="D227" s="94" t="n">
        <v>45487</v>
      </c>
      <c r="E227" s="128" t="n"/>
      <c r="F227" s="3" t="n">
        <v>222</v>
      </c>
      <c r="G227" s="205">
        <f>IF(OR(S227="",S227=0),"",S227*2)</f>
        <v/>
      </c>
      <c r="K227" s="15">
        <f>AD227</f>
        <v/>
      </c>
      <c r="M227" s="10">
        <f>IF(OR(E227="",G227="",E227=0,G227=0),"",E227/G227)</f>
        <v/>
      </c>
      <c r="N227" s="9">
        <f>IF(OR(E227="",I227="",E227=0,I227=0),"",E227/(I227*2))</f>
        <v/>
      </c>
      <c r="O227" s="8">
        <f>IF(OR(I227="",G227="",I227=0,G227=0),"",I227*2/G227)</f>
        <v/>
      </c>
      <c r="U227" s="23" t="n"/>
      <c r="AD227" s="5" t="n">
        <v>80</v>
      </c>
      <c r="AE227" s="7">
        <f>T227</f>
        <v/>
      </c>
      <c r="AI227" s="231" t="n">
        <v>0.02</v>
      </c>
      <c r="AJ227" s="119" t="n">
        <v>0.4797453703703703</v>
      </c>
      <c r="AL227" s="93" t="n">
        <v>93.59999999999999</v>
      </c>
      <c r="AM227" s="3" t="n">
        <v>180</v>
      </c>
      <c r="AN227" s="4">
        <f>AE227</f>
        <v/>
      </c>
      <c r="AP227" s="255">
        <f>360-AK227-AB227</f>
        <v/>
      </c>
      <c r="AQ227" s="126" t="n"/>
      <c r="AR227" s="13">
        <f>AVERAGE(AO225:AO231)</f>
        <v/>
      </c>
      <c r="AS227" s="15">
        <f>IF(ISNUMBER([2]HRT_SRT!R281),[2]HRT_SRT!R281,"")</f>
        <v/>
      </c>
      <c r="AT227" s="156">
        <f>(E227-W227)/E227</f>
        <v/>
      </c>
      <c r="AU227" s="155" t="n"/>
      <c r="AV227" s="155">
        <f>AG227/(AD227-AF227)</f>
        <v/>
      </c>
      <c r="AW227" s="155">
        <f>(G227-AM227)/G227</f>
        <v/>
      </c>
      <c r="AX227" s="254">
        <f>IF(AND(ISNUMBER(E227),ISNUMBER(W227)),E227-W227,"")</f>
        <v/>
      </c>
      <c r="AY227" s="254">
        <f>IF(AND(ISNUMBER(I227),ISNUMBER(AF227)),I227-AF227,"")</f>
        <v/>
      </c>
      <c r="AZ227" s="254">
        <f>IF(AND(ISNUMBER(AM227),ISNUMBER(G227)),G227-AM227,"")</f>
        <v/>
      </c>
      <c r="BA227" s="254">
        <f>IF(AND(ISNUMBER(AC227),ISNUMBER(AE227)),AC227-AE227,"")</f>
        <v/>
      </c>
      <c r="BB227" s="254">
        <f>IF(AND(ISNUMBER(AL227),ISNUMBER(AM227)),AL227-AM227,"")</f>
        <v/>
      </c>
      <c r="BC227" s="123" t="n"/>
      <c r="BD227" s="123">
        <f>IF(AND($I227&gt;0,$AF227&gt;=0),IF(($I227-$AF227)/$I227&gt;0,($I227-$AF227)/$I227,0),"")</f>
        <v/>
      </c>
      <c r="BE227" s="123" t="n"/>
      <c r="BF227" s="123">
        <f>IF(AND($G227&gt;0,$AM227&gt;0),IF(($G227-$AM227)/$G227&gt;0,($G227-$AM227)/$G227,0),"")</f>
        <v/>
      </c>
      <c r="BG227" s="6">
        <f>IF((AD227-AF227)/(AJ227/60)&lt;=0,"",(AD227-AF227)/(AJ227/60))</f>
        <v/>
      </c>
      <c r="BH227" s="6">
        <f>IF(OR(AJ227=0,AP227=0,NOT(ISNUMBER(AD227)),NOT(ISNUMBER(AF227)),NOT(ISNUMBER(AJ227)),NOT(ISNUMBER(AP227))),"",
IFERROR(IF((AD227-AF227)/(AJ227/60)/(AP227/1000)&lt;=0,"",(AD227-AF227)/(AJ227/60)/(AP227/1000)),""))</f>
        <v/>
      </c>
    </row>
    <row r="228" ht="15.75" customHeight="1">
      <c r="B228" t="n">
        <v>-16</v>
      </c>
      <c r="D228" s="94" t="n">
        <v>45488</v>
      </c>
      <c r="E228" s="128" t="n"/>
      <c r="F228" s="3" t="n">
        <v>223</v>
      </c>
      <c r="G228" s="205">
        <f>IF(OR(S228="",S228=0),"",S228*2)</f>
        <v/>
      </c>
      <c r="I228" s="15">
        <f>(N228*18-H228*18)/9</f>
        <v/>
      </c>
      <c r="J228" s="9" t="n">
        <v>8.960000000000001</v>
      </c>
      <c r="K228" s="15">
        <f>AD228</f>
        <v/>
      </c>
      <c r="M228" s="10">
        <f>IF(OR(E228="",G228="",E228=0,G228=0),"",E228/G228)</f>
        <v/>
      </c>
      <c r="N228" s="9">
        <f>IF(OR(E228="",I228="",E228=0,I228=0),"",E228/(I228*2))</f>
        <v/>
      </c>
      <c r="O228" s="8">
        <f>IF(OR(I228="",G228="",I228=0,G228=0),"",I228*2/G228)</f>
        <v/>
      </c>
      <c r="P228" s="7" t="n">
        <v>20.4</v>
      </c>
      <c r="Q228" s="6" t="n">
        <v>70.655</v>
      </c>
      <c r="R228" s="6" t="n">
        <v>15.9</v>
      </c>
      <c r="S228" s="6">
        <f>O228*1.067</f>
        <v/>
      </c>
      <c r="T228" s="6">
        <f>P228*1.514</f>
        <v/>
      </c>
      <c r="U228" s="23">
        <f>P228*1.514+O228*1.067</f>
        <v/>
      </c>
      <c r="V228" s="6" t="n">
        <v>22.2</v>
      </c>
      <c r="Y228" s="6">
        <f>1.262+1.214</f>
        <v/>
      </c>
      <c r="AD228" s="5" t="n">
        <v>80</v>
      </c>
      <c r="AE228" s="7">
        <f>T228</f>
        <v/>
      </c>
      <c r="AF228" s="231">
        <f>5*2.09</f>
        <v/>
      </c>
      <c r="AG228" s="231" t="n">
        <v>21.2</v>
      </c>
      <c r="AH228" s="231" t="n">
        <v>0</v>
      </c>
      <c r="AI228" s="231" t="n">
        <v>0.02</v>
      </c>
      <c r="AJ228" s="119" t="n">
        <v>0.4797453703703703</v>
      </c>
      <c r="AL228" s="93" t="n">
        <v>93.59999999999999</v>
      </c>
      <c r="AM228" s="3" t="n">
        <v>180</v>
      </c>
      <c r="AN228" s="4">
        <f>AE228</f>
        <v/>
      </c>
      <c r="AO228" s="231" t="n">
        <v>19.54</v>
      </c>
      <c r="AP228" s="255">
        <f>360-AK228-AB228</f>
        <v/>
      </c>
      <c r="AQ228" s="126" t="n"/>
      <c r="AR228" s="13">
        <f>AVERAGE(AO226:AO232)</f>
        <v/>
      </c>
      <c r="AS228" s="15">
        <f>IF(ISNUMBER([2]HRT_SRT!R282),[2]HRT_SRT!R282,"")</f>
        <v/>
      </c>
      <c r="AT228" s="156">
        <f>(E228-W228)/E228</f>
        <v/>
      </c>
      <c r="AU228" s="155">
        <f>(I228-AF228)/I228</f>
        <v/>
      </c>
      <c r="AV228" s="155">
        <f>AG228/(AD228-AF228)</f>
        <v/>
      </c>
      <c r="AW228" s="155">
        <f>(G228-AM228)/G228</f>
        <v/>
      </c>
      <c r="AX228" s="254">
        <f>IF(AND(ISNUMBER(E228),ISNUMBER(W228)),E228-W228,"")</f>
        <v/>
      </c>
      <c r="AY228" s="254">
        <f>IF(AND(ISNUMBER(I228),ISNUMBER(AF228)),I228-AF228,"")</f>
        <v/>
      </c>
      <c r="AZ228" s="254">
        <f>IF(AND(ISNUMBER(AM228),ISNUMBER(G228)),G228-AM228,"")</f>
        <v/>
      </c>
      <c r="BA228" s="254">
        <f>IF(AND(ISNUMBER(AC228),ISNUMBER(AE228)),AC228-AE228,"")</f>
        <v/>
      </c>
      <c r="BB228" s="254">
        <f>IF(AND(ISNUMBER(AL228),ISNUMBER(AM228)),AL228-AM228,"")</f>
        <v/>
      </c>
      <c r="BC228" s="123">
        <f>IF(AND($E228&gt;0,$W228&gt;0),IF(($E228-$W228)/$E228&gt;0,($E228-$W228)/$E228,0),"")</f>
        <v/>
      </c>
      <c r="BD228" s="123">
        <f>IF(AND($I228&gt;0,$AF228&gt;=0),IF(($I228-$AF228)/$I228&gt;0,($I228-$AF228)/$I228,0),"")</f>
        <v/>
      </c>
      <c r="BE228" s="123">
        <f>IF(AND($AG228&gt;=0,$AD228&gt;=0,$AF228&gt;=0),IF($AG228/($AD228-$AF228)&gt;0,$AG228/($AD228-$AF228),0),"")</f>
        <v/>
      </c>
      <c r="BF228" s="123">
        <f>IF(AND($G228&gt;0,$AM228&gt;0),IF(($G228-$AM228)/$G228&gt;0,($G228-$AM228)/$G228,0),"")</f>
        <v/>
      </c>
      <c r="BG228" s="6">
        <f>IF((AD228-AF228)/(AJ228/60)&lt;=0,"",(AD228-AF228)/(AJ228/60))</f>
        <v/>
      </c>
      <c r="BH228" s="6" t="n"/>
    </row>
    <row r="229" ht="15.75" customHeight="1">
      <c r="B229" t="n">
        <v>-15</v>
      </c>
      <c r="D229" s="94" t="n">
        <v>45489</v>
      </c>
      <c r="E229" s="128" t="n"/>
      <c r="F229" s="120" t="n">
        <v>224</v>
      </c>
      <c r="G229" s="205">
        <f>IF(OR(S229="",S229=0),"",S229*2)</f>
        <v/>
      </c>
      <c r="I229" s="15">
        <f>(N229*18-H229*18)/9</f>
        <v/>
      </c>
      <c r="J229" s="6">
        <f>5*3.83/2</f>
        <v/>
      </c>
      <c r="K229" s="15">
        <f>AD229</f>
        <v/>
      </c>
      <c r="M229" s="10">
        <f>IF(OR(E229="",G229="",E229=0,G229=0),"",E229/G229)</f>
        <v/>
      </c>
      <c r="N229" s="9">
        <f>IF(OR(E229="",I229="",E229=0,I229=0),"",E229/(I229*2))</f>
        <v/>
      </c>
      <c r="O229" s="8">
        <f>IF(OR(I229="",G229="",I229=0,G229=0),"",I229*2/G229)</f>
        <v/>
      </c>
      <c r="P229" s="7">
        <f>5*4.06</f>
        <v/>
      </c>
      <c r="Q229" s="6" t="n">
        <v>95.361</v>
      </c>
      <c r="R229" s="6" t="n">
        <v>17.625</v>
      </c>
      <c r="S229" s="6">
        <f>O229*1.067</f>
        <v/>
      </c>
      <c r="T229" s="6">
        <f>P229*1.514</f>
        <v/>
      </c>
      <c r="U229" s="23">
        <f>P229*1.514+O229*1.067</f>
        <v/>
      </c>
      <c r="Y229" s="6">
        <f>2.748+2.131</f>
        <v/>
      </c>
      <c r="Z229" s="6" t="n">
        <v>7.52</v>
      </c>
      <c r="AD229" s="5" t="n">
        <v>80</v>
      </c>
      <c r="AE229" s="7">
        <f>T229</f>
        <v/>
      </c>
      <c r="AF229" s="231" t="n">
        <v>13.89</v>
      </c>
      <c r="AH229" s="231" t="n">
        <v>0</v>
      </c>
      <c r="AI229" s="231" t="n">
        <v>0.04</v>
      </c>
      <c r="AJ229" s="119" t="n">
        <v>0.4797453703703703</v>
      </c>
      <c r="AL229" s="231" t="n">
        <v>180</v>
      </c>
      <c r="AM229" s="3" t="n">
        <v>180</v>
      </c>
      <c r="AO229" s="231">
        <f>5*3.58</f>
        <v/>
      </c>
      <c r="AP229" s="255">
        <f>360-AK229-AB229</f>
        <v/>
      </c>
      <c r="AQ229" s="126">
        <f>[2]HRT_SRT!P283</f>
        <v/>
      </c>
      <c r="AR229" s="13">
        <f>AVERAGE(AO227:AO233)</f>
        <v/>
      </c>
      <c r="AS229" s="15">
        <f>IF(ISNUMBER([2]HRT_SRT!R283),[2]HRT_SRT!R283,"")</f>
        <v/>
      </c>
      <c r="AT229" s="156">
        <f>(E229-W229)/E229</f>
        <v/>
      </c>
      <c r="AU229" s="155" t="n"/>
      <c r="AV229" s="155">
        <f>AG229/(AD229-AF229)</f>
        <v/>
      </c>
      <c r="AW229" s="155">
        <f>(G229-AM229)/G229</f>
        <v/>
      </c>
      <c r="AX229" s="254">
        <f>IF(AND(ISNUMBER(E229),ISNUMBER(W229)),E229-W229,"")</f>
        <v/>
      </c>
      <c r="AY229" s="254">
        <f>IF(AND(ISNUMBER(I229),ISNUMBER(AF229)),I229-AF229,"")</f>
        <v/>
      </c>
      <c r="AZ229" s="254">
        <f>IF(AND(ISNUMBER(AM229),ISNUMBER(G229)),G229-AM229,"")</f>
        <v/>
      </c>
      <c r="BA229" s="254">
        <f>IF(AND(ISNUMBER(AC229),ISNUMBER(AE229)),AC229-AE229,"")</f>
        <v/>
      </c>
      <c r="BB229" s="254">
        <f>IF(AND(ISNUMBER(AL229),ISNUMBER(AM229)),AL229-AM229,"")</f>
        <v/>
      </c>
      <c r="BC229" s="123">
        <f>IF(AND($E229&gt;0,$W229&gt;0),IF(($E229-$W229)/$E229&gt;0,($E229-$W229)/$E229,0),"")</f>
        <v/>
      </c>
      <c r="BD229" s="123">
        <f>IF(AND($I229&gt;0,$AF229&gt;=0),IF(($I229-$AF229)/$I229&gt;0,($I229-$AF229)/$I229,0),"")</f>
        <v/>
      </c>
      <c r="BE229" s="123" t="n"/>
      <c r="BF229" s="123">
        <f>IF(AND($G229&gt;0,$AM229&gt;0),IF(($G229-$AM229)/$G229&gt;0,($G229-$AM229)/$G229,0),"")</f>
        <v/>
      </c>
      <c r="BG229" s="6">
        <f>IF((AD229-AF229)/(AJ229/60)&lt;=0,"",(AD229-AF229)/(AJ229/60))</f>
        <v/>
      </c>
      <c r="BH229" s="6" t="n"/>
    </row>
    <row r="230" ht="15.75" customHeight="1">
      <c r="B230" t="n">
        <v>-14</v>
      </c>
      <c r="D230" s="94" t="n">
        <v>45490</v>
      </c>
      <c r="E230" s="128" t="n"/>
      <c r="F230" s="3" t="n">
        <v>225</v>
      </c>
      <c r="G230" s="205">
        <f>IF(OR(S230="",S230=0),"",S230*2)</f>
        <v/>
      </c>
      <c r="I230" s="15">
        <f>(N230*18-H230*18)/9</f>
        <v/>
      </c>
      <c r="J230" s="9" t="n">
        <v>10.7</v>
      </c>
      <c r="K230" s="15">
        <f>AD230</f>
        <v/>
      </c>
      <c r="M230" s="10">
        <f>IF(OR(E230="",G230="",E230=0,G230=0),"",E230/G230)</f>
        <v/>
      </c>
      <c r="N230" s="9">
        <f>IF(OR(E230="",I230="",E230=0,I230=0),"",E230/(I230*2))</f>
        <v/>
      </c>
      <c r="O230" s="8">
        <f>IF(OR(I230="",G230="",I230=0,G230=0),"",I230*2/G230)</f>
        <v/>
      </c>
      <c r="P230" s="7" t="n">
        <v>24.22</v>
      </c>
      <c r="Q230" s="6" t="n">
        <v>77.991</v>
      </c>
      <c r="R230" s="6" t="n">
        <v>20.438</v>
      </c>
      <c r="S230" s="6">
        <f>O230*1.067</f>
        <v/>
      </c>
      <c r="T230" s="6">
        <f>P230*1.514</f>
        <v/>
      </c>
      <c r="U230" s="23">
        <f>P230*1.514+O230*1.067</f>
        <v/>
      </c>
      <c r="V230" s="6" t="n">
        <v>28.13</v>
      </c>
      <c r="Y230">
        <f>3.749+3.788</f>
        <v/>
      </c>
      <c r="Z230" s="6" t="n">
        <v>5.19</v>
      </c>
      <c r="AD230" s="5" t="n">
        <v>80</v>
      </c>
      <c r="AE230" s="7">
        <f>T230</f>
        <v/>
      </c>
      <c r="AF230" s="231">
        <f>5*2.73</f>
        <v/>
      </c>
      <c r="AG230" s="231" t="n">
        <v>24.52</v>
      </c>
      <c r="AH230" s="231" t="n">
        <v>4.2</v>
      </c>
      <c r="AI230" s="231" t="n">
        <v>0.07000000000000001</v>
      </c>
      <c r="AJ230" s="119" t="n">
        <v>0.4797453703703703</v>
      </c>
      <c r="AL230" s="93" t="n">
        <v>93.59999999999999</v>
      </c>
      <c r="AM230" s="3" t="n">
        <v>180</v>
      </c>
      <c r="AN230" s="4">
        <f>AE230</f>
        <v/>
      </c>
      <c r="AO230" s="231" t="n">
        <v>21.97</v>
      </c>
      <c r="AP230" s="255">
        <f>360-AK230-AB230</f>
        <v/>
      </c>
      <c r="AQ230" s="126" t="n"/>
      <c r="AR230" s="13">
        <f>AVERAGE(AO228:AO234)</f>
        <v/>
      </c>
      <c r="AS230" s="15">
        <f>IF(ISNUMBER([2]HRT_SRT!R284),[2]HRT_SRT!R284,"")</f>
        <v/>
      </c>
      <c r="AT230" s="156">
        <f>(E230-W230)/E230</f>
        <v/>
      </c>
      <c r="AU230" s="155">
        <f>(I230-AF230)/I230</f>
        <v/>
      </c>
      <c r="AV230" s="155">
        <f>AG230/(AD230-AF230)</f>
        <v/>
      </c>
      <c r="AW230" s="155">
        <f>(G230-AM230)/G230</f>
        <v/>
      </c>
      <c r="AX230" s="254">
        <f>IF(AND(ISNUMBER(E230),ISNUMBER(W230)),E230-W230,"")</f>
        <v/>
      </c>
      <c r="AY230" s="254">
        <f>IF(AND(ISNUMBER(I230),ISNUMBER(AF230)),I230-AF230,"")</f>
        <v/>
      </c>
      <c r="AZ230" s="254">
        <f>IF(AND(ISNUMBER(AM230),ISNUMBER(G230)),G230-AM230,"")</f>
        <v/>
      </c>
      <c r="BA230" s="254">
        <f>IF(AND(ISNUMBER(AC230),ISNUMBER(AE230)),AC230-AE230,"")</f>
        <v/>
      </c>
      <c r="BB230" s="254">
        <f>IF(AND(ISNUMBER(AL230),ISNUMBER(AM230)),AL230-AM230,"")</f>
        <v/>
      </c>
      <c r="BC230" s="123">
        <f>IF(AND($E230&gt;0,$W230&gt;0),IF(($E230-$W230)/$E230&gt;0,($E230-$W230)/$E230,0),"")</f>
        <v/>
      </c>
      <c r="BD230" s="123">
        <f>IF(AND($I230&gt;0,$AF230&gt;=0),IF(($I230-$AF230)/$I230&gt;0,($I230-$AF230)/$I230,0),"")</f>
        <v/>
      </c>
      <c r="BE230" s="123">
        <f>IF(AND($AG230&gt;=0,$AD230&gt;=0,$AF230&gt;=0),IF($AG230/($AD230-$AF230)&gt;0,$AG230/($AD230-$AF230),0),"")</f>
        <v/>
      </c>
      <c r="BF230" s="123">
        <f>IF(AND($G230&gt;0,$AM230&gt;0),IF(($G230-$AM230)/$G230&gt;0,($G230-$AM230)/$G230,0),"")</f>
        <v/>
      </c>
      <c r="BG230" s="6">
        <f>IF((AD230-AF230)/(AJ230/60)&lt;=0,"",(AD230-AF230)/(AJ230/60))</f>
        <v/>
      </c>
      <c r="BH230" s="6" t="n"/>
    </row>
    <row r="231" ht="15.75" customHeight="1">
      <c r="B231" t="n">
        <v>-13</v>
      </c>
      <c r="C231" s="12" t="inlineStr">
        <is>
          <t xml:space="preserve">zhen burrow N2O sensor </t>
        </is>
      </c>
      <c r="D231" s="94" t="n">
        <v>45491</v>
      </c>
      <c r="E231" s="128" t="n"/>
      <c r="F231" s="3" t="n">
        <v>226</v>
      </c>
      <c r="G231" s="205">
        <f>IF(OR(S231="",S231=0),"",S231*2)</f>
        <v/>
      </c>
      <c r="I231" s="9">
        <f>2*14.27</f>
        <v/>
      </c>
      <c r="K231" s="15">
        <f>AD231</f>
        <v/>
      </c>
      <c r="L231" s="9" t="n"/>
      <c r="M231" s="10">
        <f>IF(OR(E231="",G231="",E231=0,G231=0),"",E231/G231)</f>
        <v/>
      </c>
      <c r="N231" s="9">
        <f>IF(OR(E231="",I231="",E231=0,I231=0),"",E231/(I231*2))</f>
        <v/>
      </c>
      <c r="O231" s="8">
        <f>IF(OR(I231="",G231="",I231=0,G231=0),"",I231*2/G231)</f>
        <v/>
      </c>
      <c r="P231" s="6" t="n"/>
      <c r="Q231" s="6" t="n">
        <v>81.803</v>
      </c>
      <c r="R231" s="6" t="n">
        <v>21.926</v>
      </c>
      <c r="S231" s="6">
        <f>O231*1.067</f>
        <v/>
      </c>
      <c r="T231" s="6">
        <f>P231*1.514</f>
        <v/>
      </c>
      <c r="U231" s="23">
        <f>P231*1.514+O231*1.067</f>
        <v/>
      </c>
      <c r="V231" s="6" t="n">
        <v>28.25</v>
      </c>
      <c r="Y231">
        <f>3.761+3.977</f>
        <v/>
      </c>
      <c r="Z231" s="6" t="n">
        <v>8</v>
      </c>
      <c r="AD231" s="6" t="n">
        <v>80</v>
      </c>
      <c r="AE231" s="7">
        <f>T231</f>
        <v/>
      </c>
      <c r="AF231" s="231">
        <f>5*2.54</f>
        <v/>
      </c>
      <c r="AG231" s="231" t="n">
        <v>24.3</v>
      </c>
      <c r="AH231" s="231" t="n">
        <v>3.11</v>
      </c>
      <c r="AI231" t="n">
        <v>0.38</v>
      </c>
      <c r="AJ231" s="119" t="n">
        <v>0.7641203703703704</v>
      </c>
      <c r="AL231" s="93" t="n">
        <v>93.59999999999999</v>
      </c>
      <c r="AM231" s="3" t="n">
        <v>180</v>
      </c>
      <c r="AN231" s="4">
        <f>AE231</f>
        <v/>
      </c>
      <c r="AO231" s="231" t="n">
        <v>22.4</v>
      </c>
      <c r="AP231" s="255">
        <f>360-AK231-AB231</f>
        <v/>
      </c>
      <c r="AQ231" s="126" t="n"/>
      <c r="AR231" s="13">
        <f>AVERAGE(AO229:AO235)</f>
        <v/>
      </c>
      <c r="AS231" s="15">
        <f>IF(ISNUMBER([2]HRT_SRT!R285),[2]HRT_SRT!R285,"")</f>
        <v/>
      </c>
      <c r="AT231" s="156">
        <f>(E231-W231)/E231</f>
        <v/>
      </c>
      <c r="AU231" s="155">
        <f>(I231-AF231)/I231</f>
        <v/>
      </c>
      <c r="AV231" s="155">
        <f>AG231/(AD231-AF231)</f>
        <v/>
      </c>
      <c r="AW231" s="155">
        <f>(G231-AM231)/G231</f>
        <v/>
      </c>
      <c r="AX231" s="254">
        <f>IF(AND(ISNUMBER(E231),ISNUMBER(W231)),E231-W231,"")</f>
        <v/>
      </c>
      <c r="AY231" s="254">
        <f>IF(AND(ISNUMBER(I231),ISNUMBER(AF231)),I231-AF231,"")</f>
        <v/>
      </c>
      <c r="AZ231" s="254">
        <f>IF(AND(ISNUMBER(AM231),ISNUMBER(G231)),G231-AM231,"")</f>
        <v/>
      </c>
      <c r="BA231" s="254">
        <f>IF(AND(ISNUMBER(AC231),ISNUMBER(AE231)),AC231-AE231,"")</f>
        <v/>
      </c>
      <c r="BB231" s="254">
        <f>IF(AND(ISNUMBER(AL231),ISNUMBER(AM231)),AL231-AM231,"")</f>
        <v/>
      </c>
      <c r="BC231" s="123">
        <f>IF(AND($E231&gt;0,$W231&gt;0),IF(($E231-$W231)/$E231&gt;0,($E231-$W231)/$E231,0),"")</f>
        <v/>
      </c>
      <c r="BD231" s="123">
        <f>IF(AND($I231&gt;0,$AF231&gt;=0),IF(($I231-$AF231)/$I231&gt;0,($I231-$AF231)/$I231,0),"")</f>
        <v/>
      </c>
      <c r="BE231" s="123">
        <f>IF(AND($AG231&gt;=0,$AD231&gt;=0,$AF231&gt;=0),IF($AG231/($AD231-$AF231)&gt;0,$AG231/($AD231-$AF231),0),"")</f>
        <v/>
      </c>
      <c r="BF231" s="123">
        <f>IF(AND($G231&gt;0,$AM231&gt;0),IF(($G231-$AM231)/$G231&gt;0,($G231-$AM231)/$G231,0),"")</f>
        <v/>
      </c>
      <c r="BG231" s="6">
        <f>IF((AD231-AF231)/(AJ231/60)&lt;=0,"",(AD231-AF231)/(AJ231/60))</f>
        <v/>
      </c>
      <c r="BH231" s="6" t="n"/>
    </row>
    <row r="232" ht="15.75" customHeight="1">
      <c r="B232" t="n">
        <v>-12</v>
      </c>
      <c r="C232" s="25" t="inlineStr">
        <is>
          <t>left over NO2 cause P uptake loss</t>
        </is>
      </c>
      <c r="D232" s="94" t="n">
        <v>45492</v>
      </c>
      <c r="E232" s="128" t="n"/>
      <c r="F232" s="3" t="n">
        <v>227</v>
      </c>
      <c r="G232" s="205">
        <f>IF(OR(S232="",S232=0),"",S232*2)</f>
        <v/>
      </c>
      <c r="I232" s="15">
        <f>(N232*18-H232*18)/9</f>
        <v/>
      </c>
      <c r="J232" s="9" t="n">
        <v>8.19</v>
      </c>
      <c r="K232" s="15">
        <f>AD232</f>
        <v/>
      </c>
      <c r="M232" s="10">
        <f>IF(OR(E232="",G232="",E232=0,G232=0),"",E232/G232)</f>
        <v/>
      </c>
      <c r="N232" s="9">
        <f>IF(OR(E232="",I232="",E232=0,I232=0),"",E232/(I232*2))</f>
        <v/>
      </c>
      <c r="O232" s="8">
        <f>IF(OR(I232="",G232="",I232=0,G232=0),"",I232*2/G232)</f>
        <v/>
      </c>
      <c r="P232" s="7" t="n">
        <v>23.3</v>
      </c>
      <c r="Q232" s="6" t="n">
        <v>75.374</v>
      </c>
      <c r="R232" s="6" t="n">
        <v>17.118</v>
      </c>
      <c r="S232" s="6">
        <f>O232*1.067</f>
        <v/>
      </c>
      <c r="T232" s="6">
        <f>P232*1.514</f>
        <v/>
      </c>
      <c r="U232" s="23">
        <f>P232*1.514+O232*1.067</f>
        <v/>
      </c>
      <c r="V232" s="6" t="n">
        <v>32.04</v>
      </c>
      <c r="Y232">
        <f>1.111+1.23</f>
        <v/>
      </c>
      <c r="Z232" s="6" t="n">
        <v>7.14</v>
      </c>
      <c r="AD232" s="5" t="n">
        <v>80</v>
      </c>
      <c r="AE232" s="7">
        <f>T232</f>
        <v/>
      </c>
      <c r="AF232" s="231">
        <f>5*2.06</f>
        <v/>
      </c>
      <c r="AG232" s="231" t="n">
        <v>29.65</v>
      </c>
      <c r="AH232" s="231" t="n">
        <v>3.42</v>
      </c>
      <c r="AI232" t="n">
        <v>0.19</v>
      </c>
      <c r="AJ232" s="119" t="n">
        <v>0.4791666666666667</v>
      </c>
      <c r="AL232" s="93" t="n">
        <v>93.59999999999999</v>
      </c>
      <c r="AM232" s="3" t="n">
        <v>180</v>
      </c>
      <c r="AN232" s="4">
        <f>AE232</f>
        <v/>
      </c>
      <c r="AO232" s="231" t="n">
        <v>25.89</v>
      </c>
      <c r="AP232" s="255">
        <f>360-AK232-AB232</f>
        <v/>
      </c>
      <c r="AQ232" s="126" t="n"/>
      <c r="AR232" s="13">
        <f>AVERAGE(AO230:AO236)</f>
        <v/>
      </c>
      <c r="AS232" s="15">
        <f>IF(ISNUMBER([2]HRT_SRT!R286),[2]HRT_SRT!R286,"")</f>
        <v/>
      </c>
      <c r="AT232" s="156">
        <f>(E232-W232)/E232</f>
        <v/>
      </c>
      <c r="AU232" s="155">
        <f>(I232-AF232)/I232</f>
        <v/>
      </c>
      <c r="AV232" s="155">
        <f>AG232/(AD232-AF232)</f>
        <v/>
      </c>
      <c r="AW232" s="155">
        <f>(G232-AM232)/G232</f>
        <v/>
      </c>
      <c r="AX232" s="254">
        <f>IF(AND(ISNUMBER(E232),ISNUMBER(W232)),E232-W232,"")</f>
        <v/>
      </c>
      <c r="AY232" s="254">
        <f>IF(AND(ISNUMBER(I232),ISNUMBER(AF232)),I232-AF232,"")</f>
        <v/>
      </c>
      <c r="AZ232" s="2">
        <f>IF(AND(ISNUMBER(AM232),ISNUMBER(G232)),G232-AM232,"")</f>
        <v/>
      </c>
      <c r="BA232" s="254">
        <f>IF(AND(ISNUMBER(AC232),ISNUMBER(AE232)),AC232-AE232,"")</f>
        <v/>
      </c>
      <c r="BB232" s="254">
        <f>IF(AND(ISNUMBER(AL232),ISNUMBER(AM232)),AL232-AM232,"")</f>
        <v/>
      </c>
      <c r="BC232" s="123">
        <f>IF(AND($E232&gt;0,$W232&gt;0),IF(($E232-$W232)/$E232&gt;0,($E232-$W232)/$E232,0),"")</f>
        <v/>
      </c>
      <c r="BD232" s="123">
        <f>IF(AND($I232&gt;0,$AF232&gt;=0),IF(($I232-$AF232)/$I232&gt;0,($I232-$AF232)/$I232,0),"")</f>
        <v/>
      </c>
      <c r="BE232" s="123">
        <f>IF(AND($AG232&gt;=0,$AD232&gt;=0,$AF232&gt;=0),IF($AG232/($AD232-$AF232)&gt;0,$AG232/($AD232-$AF232),0),"")</f>
        <v/>
      </c>
      <c r="BF232" s="123">
        <f>IF(AND($G232&gt;0,$AM232&gt;0),IF(($G232-$AM232)/$G232&gt;0,($G232-$AM232)/$G232,0),"")</f>
        <v/>
      </c>
      <c r="BG232" s="6">
        <f>IF((AD232-AF232)/(AJ232/60)&lt;=0,"",(AD232-AF232)/(AJ232/60))</f>
        <v/>
      </c>
      <c r="BH232" s="6" t="n"/>
    </row>
    <row r="233" ht="15.75" customHeight="1">
      <c r="B233" t="n">
        <v>-11</v>
      </c>
      <c r="C233" s="12" t="inlineStr">
        <is>
          <t>calibrate N2O sensor</t>
        </is>
      </c>
      <c r="D233" s="94" t="n">
        <v>45493</v>
      </c>
      <c r="E233" s="128" t="n"/>
      <c r="F233" s="3" t="n">
        <v>228</v>
      </c>
      <c r="G233" s="205">
        <f>IF(OR(S233="",S233=0),"",S233*2)</f>
        <v/>
      </c>
      <c r="K233" s="15">
        <f>AD233</f>
        <v/>
      </c>
      <c r="M233" s="10">
        <f>IF(OR(E233="",G233="",E233=0,G233=0),"",E233/G233)</f>
        <v/>
      </c>
      <c r="N233" s="9">
        <f>IF(OR(E233="",I233="",E233=0,I233=0),"",E233/(I233*2))</f>
        <v/>
      </c>
      <c r="O233" s="8">
        <f>IF(OR(I233="",G233="",I233=0,G233=0),"",I233*2/G233)</f>
        <v/>
      </c>
      <c r="U233" s="23" t="n"/>
      <c r="AD233" s="5" t="n">
        <v>80</v>
      </c>
      <c r="AL233" s="93" t="n">
        <v>93.59999999999999</v>
      </c>
      <c r="AM233" s="3" t="n">
        <v>180</v>
      </c>
      <c r="AP233" s="255">
        <f>360-AK233-AB233</f>
        <v/>
      </c>
      <c r="AQ233" s="126" t="n"/>
      <c r="AR233" s="13">
        <f>AVERAGE(AO231:AO237)</f>
        <v/>
      </c>
      <c r="AS233" s="15">
        <f>IF(ISNUMBER([2]HRT_SRT!R287),[2]HRT_SRT!R287,"")</f>
        <v/>
      </c>
      <c r="AT233" s="156">
        <f>(E233-W233)/E233</f>
        <v/>
      </c>
      <c r="AU233" s="155" t="n"/>
      <c r="AV233" s="155">
        <f>AG233/(AD233-AF233)</f>
        <v/>
      </c>
      <c r="AW233" s="155">
        <f>(G233-AM233)/G233</f>
        <v/>
      </c>
      <c r="AX233" s="254">
        <f>IF(AND(ISNUMBER(E233),ISNUMBER(W233)),E233-W233,"")</f>
        <v/>
      </c>
      <c r="AY233" s="254">
        <f>IF(AND(ISNUMBER(I233),ISNUMBER(AF233)),I233-AF233,"")</f>
        <v/>
      </c>
      <c r="BA233" s="254">
        <f>IF(AND(ISNUMBER(AC233),ISNUMBER(AE233)),AC233-AE233,"")</f>
        <v/>
      </c>
      <c r="BB233" s="254">
        <f>IF(AND(ISNUMBER(AL233),ISNUMBER(AM233)),AL233-AM233,"")</f>
        <v/>
      </c>
      <c r="BC233" s="123">
        <f>IF(AND($E233&gt;0,$W233&gt;0),IF(($E233-$W233)/$E233&gt;0,($E233-$W233)/$E233,0),"")</f>
        <v/>
      </c>
      <c r="BD233" s="123">
        <f>IF(AND($I233&gt;0,$AF233&gt;=0),IF(($I233-$AF233)/$I233&gt;0,($I233-$AF233)/$I233,0),"")</f>
        <v/>
      </c>
      <c r="BE233" s="123" t="n"/>
      <c r="BF233" s="123">
        <f>IF(AND($G233&gt;0,$AM233&gt;0),IF(($G233-$AM233)/$G233&gt;0,($G233-$AM233)/$G233,0),"")</f>
        <v/>
      </c>
      <c r="BG233" s="6">
        <f>IF((AD233-AF233)/(AJ233/60)&lt;=0,"",(AD233-AF233)/(AJ233/60))</f>
        <v/>
      </c>
      <c r="BH233" s="6">
        <f>IF(OR(AJ233=0,AP233=0,NOT(ISNUMBER(AD233)),NOT(ISNUMBER(AF233)),NOT(ISNUMBER(AJ233)),NOT(ISNUMBER(AP233))),"",
IFERROR(IF((AD233-AF233)/(AJ233/60)/(AP233/1000)&lt;=0,"",(AD233-AF233)/(AJ233/60)/(AP233/1000)),""))</f>
        <v/>
      </c>
    </row>
    <row r="234" ht="15.75" customHeight="1">
      <c r="B234" t="n">
        <v>-10</v>
      </c>
      <c r="C234" s="121" t="n">
        <v>0.089</v>
      </c>
      <c r="D234" s="94" t="n">
        <v>45494</v>
      </c>
      <c r="E234" s="128" t="n"/>
      <c r="F234" s="3" t="n">
        <v>229</v>
      </c>
      <c r="G234" s="205">
        <f>IF(OR(S234="",S234=0),"",S234*2)</f>
        <v/>
      </c>
      <c r="K234" s="15">
        <f>AD234</f>
        <v/>
      </c>
      <c r="L234" s="9" t="n"/>
      <c r="M234" s="10">
        <f>IF(OR(E234="",G234="",E234=0,G234=0),"",E234/G234)</f>
        <v/>
      </c>
      <c r="N234" s="9">
        <f>IF(OR(E234="",I234="",E234=0,I234=0),"",E234/(I234*2))</f>
        <v/>
      </c>
      <c r="O234" s="8">
        <f>IF(OR(I234="",G234="",I234=0,G234=0),"",I234*2/G234)</f>
        <v/>
      </c>
      <c r="P234" s="6" t="n"/>
      <c r="U234" s="23" t="n"/>
      <c r="AD234" s="5" t="n">
        <v>80</v>
      </c>
      <c r="AE234" s="231" t="n"/>
      <c r="AL234" s="93" t="n">
        <v>93.59999999999999</v>
      </c>
      <c r="AM234" s="3" t="n">
        <v>180</v>
      </c>
      <c r="AN234" s="231" t="n"/>
      <c r="AP234" s="255">
        <f>360-AK234-AB234</f>
        <v/>
      </c>
      <c r="AQ234" s="126" t="n"/>
      <c r="AR234" s="13">
        <f>AVERAGE(AO232:AO238)</f>
        <v/>
      </c>
      <c r="AS234" s="15">
        <f>IF(ISNUMBER([2]HRT_SRT!R288),[2]HRT_SRT!R288,"")</f>
        <v/>
      </c>
      <c r="AT234" s="156">
        <f>(E234-W234)/E234</f>
        <v/>
      </c>
      <c r="AU234" s="155" t="n"/>
      <c r="AV234" s="155">
        <f>AG234/(AD234-AF234)</f>
        <v/>
      </c>
      <c r="AW234" s="155">
        <f>(G234-AM234)/G234</f>
        <v/>
      </c>
      <c r="AX234" s="254">
        <f>IF(AND(ISNUMBER(E234),ISNUMBER(W234)),E234-W234,"")</f>
        <v/>
      </c>
      <c r="AY234" s="254">
        <f>IF(AND(ISNUMBER(I234),ISNUMBER(AF234)),I234-AF234,"")</f>
        <v/>
      </c>
      <c r="BA234" s="254">
        <f>IF(AND(ISNUMBER(AC234),ISNUMBER(AE234)),AC234-AE234,"")</f>
        <v/>
      </c>
      <c r="BB234" s="254">
        <f>IF(AND(ISNUMBER(AL234),ISNUMBER(AM234)),AL234-AM234,"")</f>
        <v/>
      </c>
      <c r="BC234" s="123">
        <f>IF(AND($E234&gt;0,$W234&gt;0),IF(($E234-$W234)/$E234&gt;0,($E234-$W234)/$E234,0),"")</f>
        <v/>
      </c>
      <c r="BD234" s="123">
        <f>IF(AND($I234&gt;0,$AF234&gt;=0),IF(($I234-$AF234)/$I234&gt;0,($I234-$AF234)/$I234,0),"")</f>
        <v/>
      </c>
      <c r="BE234" s="123" t="n"/>
      <c r="BF234" s="123">
        <f>IF(AND($G234&gt;0,$AM234&gt;0),IF(($G234-$AM234)/$G234&gt;0,($G234-$AM234)/$G234,0),"")</f>
        <v/>
      </c>
      <c r="BG234" s="6">
        <f>IF((AD234-AF234)/(AJ234/60)&lt;=0,"",(AD234-AF234)/(AJ234/60))</f>
        <v/>
      </c>
      <c r="BH234" s="6">
        <f>IF(OR(AJ234=0,AP234=0,NOT(ISNUMBER(AD234)),NOT(ISNUMBER(AF234)),NOT(ISNUMBER(AJ234)),NOT(ISNUMBER(AP234))),"",
IFERROR(IF((AD234-AF234)/(AJ234/60)/(AP234/1000)&lt;=0,"",(AD234-AF234)/(AJ234/60)/(AP234/1000)),""))</f>
        <v/>
      </c>
    </row>
    <row r="235" ht="15.75" customFormat="1" customHeight="1" s="27">
      <c r="B235" t="n">
        <v>-9</v>
      </c>
      <c r="C235" s="130" t="inlineStr">
        <is>
          <t>Zhen burrowed N2O probe</t>
        </is>
      </c>
      <c r="D235" s="129" t="n">
        <v>45495</v>
      </c>
      <c r="E235" s="128" t="n"/>
      <c r="F235" s="29" t="n">
        <v>230</v>
      </c>
      <c r="G235" s="205">
        <f>IF(OR(S235="",S235=0),"",S235*2)</f>
        <v/>
      </c>
      <c r="H235" s="36" t="n"/>
      <c r="I235" s="77">
        <f>(N235*18-H235*18)/9</f>
        <v/>
      </c>
      <c r="J235" s="36" t="n"/>
      <c r="K235" s="15">
        <f>AD235</f>
        <v/>
      </c>
      <c r="L235" s="35" t="n"/>
      <c r="M235" s="10">
        <f>IF(OR(E235="",G235="",E235=0,G235=0),"",E235/G235)</f>
        <v/>
      </c>
      <c r="N235" s="9">
        <f>IF(OR(E235="",I235="",E235=0,I235=0),"",E235/(I235*2))</f>
        <v/>
      </c>
      <c r="O235" s="8">
        <f>IF(OR(I235="",G235="",I235=0,G235=0),"",I235*2/G235)</f>
        <v/>
      </c>
      <c r="P235" s="34" t="n"/>
      <c r="Q235" s="33" t="n">
        <v>91.20099999999999</v>
      </c>
      <c r="R235" s="33" t="n">
        <v>18.766</v>
      </c>
      <c r="S235" s="6">
        <f>O235*1.067</f>
        <v/>
      </c>
      <c r="T235" s="6">
        <f>P235*1.514</f>
        <v/>
      </c>
      <c r="U235" s="23">
        <f>P235*1.514+O235*1.067</f>
        <v/>
      </c>
      <c r="V235" s="33" t="n"/>
      <c r="W235" s="33" t="n"/>
      <c r="X235" s="33" t="n"/>
      <c r="Y235" s="33" t="n">
        <v>0</v>
      </c>
      <c r="Z235" s="33" t="n"/>
      <c r="AA235" s="33" t="n"/>
      <c r="AB235" s="33" t="n"/>
      <c r="AC235" s="33" t="n"/>
      <c r="AD235" s="74" t="n">
        <v>80</v>
      </c>
      <c r="AE235" s="32" t="n"/>
      <c r="AF235" s="27">
        <f>5*2.76</f>
        <v/>
      </c>
      <c r="AH235" s="27" t="n">
        <v>6.05</v>
      </c>
      <c r="AL235" s="93" t="n">
        <v>93.59999999999999</v>
      </c>
      <c r="AM235" s="29" t="n">
        <v>180</v>
      </c>
      <c r="AN235" s="32" t="n"/>
      <c r="AP235" s="253">
        <f>360-AK235-AB235</f>
        <v/>
      </c>
      <c r="AQ235" s="127" t="n"/>
      <c r="AR235" s="13">
        <f>AVERAGE(AO233:AO239)</f>
        <v/>
      </c>
      <c r="AS235" s="77">
        <f>IF(ISNUMBER([2]HRT_SRT!R289),[2]HRT_SRT!R289,"")</f>
        <v/>
      </c>
      <c r="AT235" s="31">
        <f>(E235-W235)/E235</f>
        <v/>
      </c>
      <c r="AU235" s="30">
        <f>(I235-AF235)/I235</f>
        <v/>
      </c>
      <c r="AV235" s="30">
        <f>AG235/(AD235-AF235)</f>
        <v/>
      </c>
      <c r="AW235" s="30">
        <f>(G235-AM235)/G235</f>
        <v/>
      </c>
      <c r="AX235" s="256">
        <f>IF(AND(ISNUMBER(E235),ISNUMBER(W235)),E235-W235,"")</f>
        <v/>
      </c>
      <c r="AY235" s="256">
        <f>IF(AND(ISNUMBER(I235),ISNUMBER(AF235)),I235-AF235,"")</f>
        <v/>
      </c>
      <c r="AZ235" s="28" t="n"/>
      <c r="BA235" s="254">
        <f>IF(AND(ISNUMBER(AC235),ISNUMBER(AE235)),AC235-AE235,"")</f>
        <v/>
      </c>
      <c r="BB235" s="254">
        <f>IF(AND(ISNUMBER(AL235),ISNUMBER(AM235)),AL235-AM235,"")</f>
        <v/>
      </c>
      <c r="BC235" s="123">
        <f>IF(AND($E235&gt;0,$W235&gt;0),IF(($E235-$W235)/$E235&gt;0,($E235-$W235)/$E235,0),"")</f>
        <v/>
      </c>
      <c r="BD235" s="123">
        <f>IF(AND($I235&gt;0,$AF235&gt;=0),IF(($I235-$AF235)/$I235&gt;0,($I235-$AF235)/$I235,0),"")</f>
        <v/>
      </c>
      <c r="BE235" s="123">
        <f>IF(AND($AG235&gt;=0,$AD235&gt;=0,$AF235&gt;=0),IF($AG235/($AD235-$AF235)&gt;0,$AG235/($AD235-$AF235),0),"")</f>
        <v/>
      </c>
      <c r="BF235" s="123">
        <f>IF(AND($G235&gt;0,$AM235&gt;0),IF(($G235-$AM235)/$G235&gt;0,($G235-$AM235)/$G235,0),"")</f>
        <v/>
      </c>
      <c r="BG235" s="6">
        <f>IF((AD235-AF235)/(AJ235/60)&lt;=0,"",(AD235-AF235)/(AJ235/60))</f>
        <v/>
      </c>
      <c r="BH235" s="6" t="n"/>
    </row>
    <row r="236" ht="45" customHeight="1">
      <c r="B236" t="n">
        <v>-8</v>
      </c>
      <c r="C236" s="12" t="inlineStr">
        <is>
          <t>bacteria stinks and got floaty, no clear ORP switch or change occurred. N2O probe time calibration/DST to right time  at 14:45 pm</t>
        </is>
      </c>
      <c r="D236" s="11" t="n">
        <v>45496</v>
      </c>
      <c r="F236" s="3" t="n">
        <v>231</v>
      </c>
      <c r="G236" s="205">
        <f>IF(OR(S236="",S236=0),"",S236*2)</f>
        <v/>
      </c>
      <c r="I236" s="15">
        <f>(N236*18-H236*18)/9</f>
        <v/>
      </c>
      <c r="J236" s="9">
        <f>5*1.59</f>
        <v/>
      </c>
      <c r="K236" s="15">
        <f>AD236</f>
        <v/>
      </c>
      <c r="M236" s="10">
        <f>IF(OR(E236="",G236="",E236=0,G236=0),"",E236/G236)</f>
        <v/>
      </c>
      <c r="N236" s="9">
        <f>IF(OR(E236="",I236="",E236=0,I236=0),"",E236/(I236*2))</f>
        <v/>
      </c>
      <c r="O236" s="8">
        <f>IF(OR(I236="",G236="",I236=0,G236=0),"",I236*2/G236)</f>
        <v/>
      </c>
      <c r="P236" s="7">
        <f>5*3.78</f>
        <v/>
      </c>
      <c r="Q236" t="n">
        <v>73.40000000000001</v>
      </c>
      <c r="S236" s="6">
        <f>O236*1.067</f>
        <v/>
      </c>
      <c r="T236" s="6">
        <f>P236*1.514</f>
        <v/>
      </c>
      <c r="U236" s="23">
        <f>P236*1.514+O236*1.067</f>
        <v/>
      </c>
      <c r="V236" s="6">
        <f>5*4.5</f>
        <v/>
      </c>
      <c r="Y236" s="23">
        <f>U236*1.067+V236*1.514</f>
        <v/>
      </c>
      <c r="Z236" s="6" t="n">
        <v>4.72</v>
      </c>
      <c r="AD236" s="5" t="n">
        <v>80</v>
      </c>
      <c r="AE236" s="7">
        <f>T236</f>
        <v/>
      </c>
      <c r="AF236" s="6" t="n">
        <v>17.81</v>
      </c>
      <c r="AG236" s="231">
        <f>5*4.55</f>
        <v/>
      </c>
      <c r="AH236" s="6" t="n">
        <v>1.42</v>
      </c>
      <c r="AI236" s="231" t="n">
        <v>0</v>
      </c>
      <c r="AJ236" s="119" t="n">
        <v>0.5208333333333334</v>
      </c>
      <c r="AL236" s="231">
        <f>134-84</f>
        <v/>
      </c>
      <c r="AM236" s="3" t="n">
        <v>180</v>
      </c>
      <c r="AN236" s="231">
        <f>5*4.55</f>
        <v/>
      </c>
      <c r="AO236" s="231">
        <f>5*4.27</f>
        <v/>
      </c>
      <c r="AP236" s="255">
        <f>360-AK236-AB236</f>
        <v/>
      </c>
      <c r="AQ236" s="126">
        <f>[2]HRT_SRT!P290</f>
        <v/>
      </c>
      <c r="AR236" s="13">
        <f>AVERAGE(AO234:AO240)</f>
        <v/>
      </c>
      <c r="AS236" s="15">
        <f>IF(ISNUMBER([2]HRT_SRT!R290),[2]HRT_SRT!R290,"")</f>
        <v/>
      </c>
      <c r="AT236" s="156">
        <f>(E236-W236)/E236</f>
        <v/>
      </c>
      <c r="AU236" s="155">
        <f>(I236-AF236)/I236</f>
        <v/>
      </c>
      <c r="AV236" s="155">
        <f>AG236/(AD236-AF236)</f>
        <v/>
      </c>
      <c r="AW236" s="155">
        <f>(G236-AM236)/G236</f>
        <v/>
      </c>
      <c r="AX236" s="254">
        <f>IF(AND(ISNUMBER(E236),ISNUMBER(W236)),E236-W236,"")</f>
        <v/>
      </c>
      <c r="AY236" s="254">
        <f>IF(AND(ISNUMBER(I236),ISNUMBER(AF236)),I236-AF236,"")</f>
        <v/>
      </c>
      <c r="AZ236" s="254">
        <f>IF(AND(ISNUMBER(AM236),ISNUMBER(G236)),G236-AM236,"")</f>
        <v/>
      </c>
      <c r="BA236" s="254">
        <f>IF(AND(ISNUMBER(AC236),ISNUMBER(AE236)),AC236-AE236,"")</f>
        <v/>
      </c>
      <c r="BB236" s="254">
        <f>IF(AND(ISNUMBER(AL236),ISNUMBER(AM236)),AL236-AM236,"")</f>
        <v/>
      </c>
      <c r="BC236" s="84">
        <f>IF(AND($E236&gt;0,$W236&gt;0),IF(($E236-$W236)/$E236&gt;0,($E236-$W236)/$E236,0),"")</f>
        <v/>
      </c>
      <c r="BD236" s="84">
        <f>IF(AND($I236&gt;0,$AF236&gt;=0),IF(($I236-$AF236)/$I236&gt;0,($I236-$AF236)/$I236,0),"")</f>
        <v/>
      </c>
      <c r="BE236" s="84">
        <f>IF(AND($AG236&gt;=0,$AD236&gt;=0,$AF236&gt;=0),IF($AG236/($AD236-$AF236)&gt;0,$AG236/($AD236-$AF236),0),"")</f>
        <v/>
      </c>
      <c r="BF236" s="84">
        <f>IF(AND($G236&gt;0,$AM236&gt;0),IF(($G236-$AM236)/$G236&gt;0,($G236-$AM236)/$G236,0),"")</f>
        <v/>
      </c>
      <c r="BG236" s="6">
        <f>IF((AD236-AF236)/(AJ236/60)&lt;=0,"",(AD236-AF236)/(AJ236/60))</f>
        <v/>
      </c>
      <c r="BH236" s="6">
        <f>IF(OR(AJ236=0,AP236=0,NOT(ISNUMBER(AD236)),NOT(ISNUMBER(AF236)),NOT(ISNUMBER(AJ236)),NOT(ISNUMBER(AP236))),"",
IFERROR(IF((AD236-AF236)/(AJ236/60)/(AP236/1000)&lt;=0,"",(AD236-AF236)/(AJ236/60)/(AP236/1000)),""))</f>
        <v/>
      </c>
    </row>
    <row r="237" ht="15.75" customHeight="1">
      <c r="B237" t="n">
        <v>-7</v>
      </c>
      <c r="D237" s="11" t="n">
        <v>45497</v>
      </c>
      <c r="F237" s="3" t="n">
        <v>232</v>
      </c>
      <c r="G237" s="205">
        <f>IF(OR(S237="",S237=0),"",S237*2)</f>
        <v/>
      </c>
      <c r="I237" s="15">
        <f>(N237*18-H237*18)/9</f>
        <v/>
      </c>
      <c r="J237" s="6">
        <f>5/2*3.8</f>
        <v/>
      </c>
      <c r="K237" s="15">
        <f>AD237</f>
        <v/>
      </c>
      <c r="M237" s="10">
        <f>IF(OR(E237="",G237="",E237=0,G237=0),"",E237/G237)</f>
        <v/>
      </c>
      <c r="N237" s="9">
        <f>IF(OR(E237="",I237="",E237=0,I237=0),"",E237/(I237*2))</f>
        <v/>
      </c>
      <c r="O237" s="8">
        <f>IF(OR(I237="",G237="",I237=0,G237=0),"",I237*2/G237)</f>
        <v/>
      </c>
      <c r="P237" s="7">
        <f>5/2*7.79</f>
        <v/>
      </c>
      <c r="Q237" t="n">
        <v>66.881</v>
      </c>
      <c r="R237" t="n">
        <v>17.076</v>
      </c>
      <c r="S237" s="6">
        <f>O237*1.067</f>
        <v/>
      </c>
      <c r="T237" s="6">
        <f>P237*1.514</f>
        <v/>
      </c>
      <c r="U237" s="23">
        <f>P237*1.514+O237*1.067</f>
        <v/>
      </c>
      <c r="V237" s="6">
        <f>5/2*8.95</f>
        <v/>
      </c>
      <c r="W237">
        <f>3.316*1.067</f>
        <v/>
      </c>
      <c r="X237" t="n">
        <v>3.352</v>
      </c>
      <c r="Y237" s="23">
        <f>U237*1.067+V237*1.514</f>
        <v/>
      </c>
      <c r="Z237" s="6" t="n">
        <v>7.27</v>
      </c>
      <c r="AD237" s="5" t="n">
        <v>80</v>
      </c>
      <c r="AE237" s="7">
        <f>T237</f>
        <v/>
      </c>
      <c r="AF237" s="6">
        <f>5*2.93</f>
        <v/>
      </c>
      <c r="AG237" s="6">
        <f>5/2*7.36</f>
        <v/>
      </c>
      <c r="AH237" s="6" t="n">
        <v>3.09</v>
      </c>
      <c r="AI237" t="n">
        <v>0.04</v>
      </c>
      <c r="AJ237" s="119" t="n">
        <v>0.5208333333333334</v>
      </c>
      <c r="AL237" s="231" t="n">
        <v>180</v>
      </c>
      <c r="AM237" s="3" t="n">
        <v>180</v>
      </c>
      <c r="AN237" s="4">
        <f>AE237</f>
        <v/>
      </c>
      <c r="AO237" s="6">
        <f>5/2*6.76</f>
        <v/>
      </c>
      <c r="AP237" s="255">
        <f>360-AK237-AB237</f>
        <v/>
      </c>
      <c r="AR237" s="13">
        <f>AVERAGE(AO235:AO241)</f>
        <v/>
      </c>
      <c r="AS237" s="15">
        <f>IF(ISNUMBER([2]HRT_SRT!R291),[2]HRT_SRT!R291,"")</f>
        <v/>
      </c>
      <c r="AT237" s="156">
        <f>(E237-W237)/E237</f>
        <v/>
      </c>
      <c r="AU237" s="155">
        <f>(I237-AF237)/I237</f>
        <v/>
      </c>
      <c r="AV237" s="155">
        <f>AG237/(AD237-AF237)</f>
        <v/>
      </c>
      <c r="AW237" s="155">
        <f>(G237-AM237)/G237</f>
        <v/>
      </c>
      <c r="AX237" s="254">
        <f>IF(AND(ISNUMBER(E237),ISNUMBER(W237)),E237-W237,"")</f>
        <v/>
      </c>
      <c r="AY237" s="254">
        <f>IF(AND(ISNUMBER(I237),ISNUMBER(AF237)),I237-AF237,"")</f>
        <v/>
      </c>
      <c r="AZ237" s="254">
        <f>IF(AND(ISNUMBER(AM237),ISNUMBER(G237)),G237-AM237,"")</f>
        <v/>
      </c>
      <c r="BA237" s="254">
        <f>IF(AND(ISNUMBER(AC237),ISNUMBER(AE237)),AC237-AE237,"")</f>
        <v/>
      </c>
      <c r="BB237" s="254">
        <f>IF(AND(ISNUMBER(AL237),ISNUMBER(AM237)),AL237-AM237,"")</f>
        <v/>
      </c>
      <c r="BC237" s="84">
        <f>IF(AND($E237&gt;0,$W237&gt;0),IF(($E237-$W237)/$E237&gt;0,($E237-$W237)/$E237,0),"")</f>
        <v/>
      </c>
      <c r="BD237" s="84">
        <f>IF(AND($I237&gt;0,$AF237&gt;=0),IF(($I237-$AF237)/$I237&gt;0,($I237-$AF237)/$I237,0),"")</f>
        <v/>
      </c>
      <c r="BE237" s="84">
        <f>IF(AND($AG237&gt;=0,$AD237&gt;=0,$AF237&gt;=0),IF($AG237/($AD237-$AF237)&gt;0,$AG237/($AD237-$AF237),0),"")</f>
        <v/>
      </c>
      <c r="BF237" s="84">
        <f>IF(AND($G237&gt;0,$AM237&gt;0),IF(($G237-$AM237)/$G237&gt;0,($G237-$AM237)/$G237,0),"")</f>
        <v/>
      </c>
      <c r="BG237" s="6">
        <f>IF((AD237-AF237)/(AJ237/60)&lt;=0,"",(AD237-AF237)/(AJ237/60))</f>
        <v/>
      </c>
      <c r="BH237" s="6">
        <f>IF(OR(AJ237=0,AP237=0,NOT(ISNUMBER(AD237)),NOT(ISNUMBER(AF237)),NOT(ISNUMBER(AJ237)),NOT(ISNUMBER(AP237))),"",
IFERROR(IF((AD237-AF237)/(AJ237/60)/(AP237/1000)&lt;=0,"",(AD237-AF237)/(AJ237/60)/(AP237/1000)),""))</f>
        <v/>
      </c>
    </row>
    <row r="238" ht="15.75" customHeight="1">
      <c r="B238" t="n">
        <v>-6</v>
      </c>
      <c r="D238" s="11" t="n">
        <v>45498</v>
      </c>
      <c r="F238" s="3" t="n">
        <v>233</v>
      </c>
      <c r="G238" s="205">
        <f>IF(OR(S238="",S238=0),"",S238*2)</f>
        <v/>
      </c>
      <c r="I238" s="15">
        <f>(N238*18-H238*18)/9</f>
        <v/>
      </c>
      <c r="J238" s="6">
        <f>5/2*3.58</f>
        <v/>
      </c>
      <c r="K238" s="15">
        <f>AD238</f>
        <v/>
      </c>
      <c r="M238" s="10">
        <f>IF(OR(E238="",G238="",E238=0,G238=0),"",E238/G238)</f>
        <v/>
      </c>
      <c r="N238" s="9">
        <f>IF(OR(E238="",I238="",E238=0,I238=0),"",E238/(I238*2))</f>
        <v/>
      </c>
      <c r="O238" s="8">
        <f>IF(OR(I238="",G238="",I238=0,G238=0),"",I238*2/G238)</f>
        <v/>
      </c>
      <c r="P238" s="7">
        <f>5/2*7.93</f>
        <v/>
      </c>
      <c r="Q238" t="n">
        <v>83.81</v>
      </c>
      <c r="R238" t="n">
        <v>18.415</v>
      </c>
      <c r="S238" s="6">
        <f>O238*1.067</f>
        <v/>
      </c>
      <c r="T238" s="6">
        <f>P238*1.514</f>
        <v/>
      </c>
      <c r="U238" s="23">
        <f>P238*1.514+O238*1.067</f>
        <v/>
      </c>
      <c r="V238" s="6">
        <f>5/2*9.2</f>
        <v/>
      </c>
      <c r="W238">
        <f>0.257*1.067</f>
        <v/>
      </c>
      <c r="X238" t="n">
        <v>0.296</v>
      </c>
      <c r="Y238" s="23">
        <f>U238*1.067+V238*1.514</f>
        <v/>
      </c>
      <c r="AD238" s="5" t="n">
        <v>80</v>
      </c>
      <c r="AE238" s="7">
        <f>T238</f>
        <v/>
      </c>
      <c r="AF238" s="6">
        <f>5*3.05</f>
        <v/>
      </c>
      <c r="AG238" s="6">
        <f>5/2*7.95</f>
        <v/>
      </c>
      <c r="AH238" s="6" t="n">
        <v>6.56</v>
      </c>
      <c r="AI238" t="n">
        <v>0.02</v>
      </c>
      <c r="AJ238" s="119" t="n">
        <v>0.5208333333333334</v>
      </c>
      <c r="AL238" s="231" t="n">
        <v>180</v>
      </c>
      <c r="AM238" s="3" t="n">
        <v>180</v>
      </c>
      <c r="AN238" s="4">
        <f>AE238</f>
        <v/>
      </c>
      <c r="AO238" s="6">
        <f>5/2*7.67</f>
        <v/>
      </c>
      <c r="AP238" s="255">
        <f>360-AK238-AB238</f>
        <v/>
      </c>
      <c r="AR238" s="13">
        <f>AVERAGE(AO236:AO242)</f>
        <v/>
      </c>
      <c r="AS238" s="15">
        <f>IF(ISNUMBER([2]HRT_SRT!R292),[2]HRT_SRT!R292,"")</f>
        <v/>
      </c>
      <c r="AT238" s="156">
        <f>(E238-W238)/E238</f>
        <v/>
      </c>
      <c r="AU238" s="155">
        <f>(I238-AF238)/I238</f>
        <v/>
      </c>
      <c r="AV238" s="155">
        <f>AG238/(AD238-AF238)</f>
        <v/>
      </c>
      <c r="AW238" s="155">
        <f>(G238-AM238)/G238</f>
        <v/>
      </c>
      <c r="AX238" s="254">
        <f>IF(AND(ISNUMBER(E238),ISNUMBER(W238)),E238-W238,"")</f>
        <v/>
      </c>
      <c r="AY238" s="254">
        <f>IF(AND(ISNUMBER(I238),ISNUMBER(AF238)),I238-AF238,"")</f>
        <v/>
      </c>
      <c r="AZ238" s="254">
        <f>IF(AND(ISNUMBER(AM238),ISNUMBER(G238)),G238-AM238,"")</f>
        <v/>
      </c>
      <c r="BA238" s="254">
        <f>IF(AND(ISNUMBER(AC238),ISNUMBER(AE238)),AC238-AE238,"")</f>
        <v/>
      </c>
      <c r="BB238" s="254">
        <f>IF(AND(ISNUMBER(AL238),ISNUMBER(AM238)),AL238-AM238,"")</f>
        <v/>
      </c>
      <c r="BC238" s="84">
        <f>IF(AND($E238&gt;0,$W238&gt;0),IF(($E238-$W238)/$E238&gt;0,($E238-$W238)/$E238,0),"")</f>
        <v/>
      </c>
      <c r="BD238" s="84">
        <f>IF(AND($I238&gt;0,$AF238&gt;=0),IF(($I238-$AF238)/$I238&gt;0,($I238-$AF238)/$I238,0),"")</f>
        <v/>
      </c>
      <c r="BE238" s="84">
        <f>IF(AND($AG238&gt;=0,$AD238&gt;=0,$AF238&gt;=0),IF($AG238/($AD238-$AF238)&gt;0,$AG238/($AD238-$AF238),0),"")</f>
        <v/>
      </c>
      <c r="BF238" s="84">
        <f>IF(AND($G238&gt;0,$AM238&gt;0),IF(($G238-$AM238)/$G238&gt;0,($G238-$AM238)/$G238,0),"")</f>
        <v/>
      </c>
      <c r="BG238" s="6">
        <f>IF((AD238-AF238)/(AJ238/60)&lt;=0,"",(AD238-AF238)/(AJ238/60))</f>
        <v/>
      </c>
      <c r="BH238" s="6">
        <f>IF(OR(AJ238=0,AP238=0,NOT(ISNUMBER(AD238)),NOT(ISNUMBER(AF238)),NOT(ISNUMBER(AJ238)),NOT(ISNUMBER(AP238))),"",
IFERROR(IF((AD238-AF238)/(AJ238/60)/(AP238/1000)&lt;=0,"",(AD238-AF238)/(AJ238/60)/(AP238/1000)),""))</f>
        <v/>
      </c>
    </row>
    <row r="239" ht="15.75" customHeight="1">
      <c r="B239" t="n">
        <v>-5</v>
      </c>
      <c r="D239" s="11" t="n">
        <v>45499</v>
      </c>
      <c r="F239" s="3" t="n">
        <v>234</v>
      </c>
      <c r="G239" s="205">
        <f>IF(OR(S239="",S239=0),"",S239*2)</f>
        <v/>
      </c>
      <c r="I239" s="9">
        <f>(N239*18-H239*18)/9</f>
        <v/>
      </c>
      <c r="J239" s="6">
        <f>5/2*3.86</f>
        <v/>
      </c>
      <c r="K239" s="15">
        <f>AD239</f>
        <v/>
      </c>
      <c r="M239" s="10">
        <f>IF(OR(E239="",G239="",E239=0,G239=0),"",E239/G239)</f>
        <v/>
      </c>
      <c r="N239" s="9">
        <f>IF(OR(E239="",I239="",E239=0,I239=0),"",E239/(I239*2))</f>
        <v/>
      </c>
      <c r="O239" s="8">
        <f>IF(OR(I239="",G239="",I239=0,G239=0),"",I239*2/G239)</f>
        <v/>
      </c>
      <c r="P239" s="7">
        <f>5/2*5.98</f>
        <v/>
      </c>
      <c r="Q239" t="n">
        <v>72.904</v>
      </c>
      <c r="R239" t="n">
        <v>14.707</v>
      </c>
      <c r="S239" s="6">
        <f>O239*1.067</f>
        <v/>
      </c>
      <c r="T239" s="6">
        <f>P239*1.514</f>
        <v/>
      </c>
      <c r="U239" s="23">
        <f>P239*1.514+O239*1.067</f>
        <v/>
      </c>
      <c r="V239" s="6">
        <f>5/2*9.13</f>
        <v/>
      </c>
      <c r="W239">
        <f>0.16*1.067</f>
        <v/>
      </c>
      <c r="X239" s="6" t="n">
        <v>0</v>
      </c>
      <c r="Y239" s="23">
        <f>U239*1.067+V239*1.514</f>
        <v/>
      </c>
      <c r="AD239" s="5" t="n">
        <v>80</v>
      </c>
      <c r="AE239" s="7">
        <f>T239</f>
        <v/>
      </c>
      <c r="AF239" s="6">
        <f>4*3.75</f>
        <v/>
      </c>
      <c r="AG239" s="6">
        <f>5/2*7.67</f>
        <v/>
      </c>
      <c r="AH239" s="6" t="n">
        <v>0</v>
      </c>
      <c r="AI239" s="231" t="n">
        <v>0</v>
      </c>
      <c r="AJ239" s="119" t="n">
        <v>0.5208333333333334</v>
      </c>
      <c r="AL239" s="93" t="n">
        <v>97</v>
      </c>
      <c r="AM239" s="3" t="n">
        <v>180</v>
      </c>
      <c r="AN239" s="4">
        <f>AE239</f>
        <v/>
      </c>
      <c r="AO239" s="6">
        <f>5/2*7.15</f>
        <v/>
      </c>
      <c r="AP239" s="255">
        <f>360-AK239-AB239</f>
        <v/>
      </c>
      <c r="AR239" s="13">
        <f>AVERAGE(AO237:AO243)</f>
        <v/>
      </c>
      <c r="AS239" s="15">
        <f>IF(ISNUMBER([2]HRT_SRT!R293),[2]HRT_SRT!R293,"")</f>
        <v/>
      </c>
      <c r="AT239" s="156">
        <f>(E239-W239)/E239</f>
        <v/>
      </c>
      <c r="AU239" s="155">
        <f>(I239-AF239)/I239</f>
        <v/>
      </c>
      <c r="AV239" s="155">
        <f>AG239/(AD239-AF239)</f>
        <v/>
      </c>
      <c r="AW239" s="155">
        <f>(G239-AM239)/G239</f>
        <v/>
      </c>
      <c r="AX239" s="254">
        <f>IF(AND(ISNUMBER(E239),ISNUMBER(W239)),E239-W239,"")</f>
        <v/>
      </c>
      <c r="AY239" s="254">
        <f>IF(AND(ISNUMBER(I239),ISNUMBER(AF239)),I239-AF239,"")</f>
        <v/>
      </c>
      <c r="AZ239" s="254">
        <f>IF(AND(ISNUMBER(AM239),ISNUMBER(G239)),G239-AM239,"")</f>
        <v/>
      </c>
      <c r="BA239" s="254">
        <f>IF(AND(ISNUMBER(AC239),ISNUMBER(AE239)),AC239-AE239,"")</f>
        <v/>
      </c>
      <c r="BB239" s="254">
        <f>IF(AND(ISNUMBER(AL239),ISNUMBER(AM239)),AL239-AM239,"")</f>
        <v/>
      </c>
      <c r="BC239" s="84">
        <f>IF(AND($E239&gt;0,$W239&gt;0),IF(($E239-$W239)/$E239&gt;0,($E239-$W239)/$E239,0),"")</f>
        <v/>
      </c>
      <c r="BD239" s="84">
        <f>IF(AND($I239&gt;0,$AF239&gt;=0),IF(($I239-$AF239)/$I239&gt;0,($I239-$AF239)/$I239,0),"")</f>
        <v/>
      </c>
      <c r="BE239" s="84">
        <f>IF(AND($AG239&gt;=0,$AD239&gt;=0,$AF239&gt;=0),IF($AG239/($AD239-$AF239)&gt;0,$AG239/($AD239-$AF239),0),"")</f>
        <v/>
      </c>
      <c r="BF239" s="84">
        <f>IF(AND($G239&gt;0,$AM239&gt;0),IF(($G239-$AM239)/$G239&gt;0,($G239-$AM239)/$G239,0),"")</f>
        <v/>
      </c>
      <c r="BG239" s="6">
        <f>IF((AD239-AF239)/(AJ239/60)&lt;=0,"",(AD239-AF239)/(AJ239/60))</f>
        <v/>
      </c>
      <c r="BH239" s="6">
        <f>IF(OR(AJ239=0,AP239=0,NOT(ISNUMBER(AD239)),NOT(ISNUMBER(AF239)),NOT(ISNUMBER(AJ239)),NOT(ISNUMBER(AP239))),"",
IFERROR(IF((AD239-AF239)/(AJ239/60)/(AP239/1000)&lt;=0,"",(AD239-AF239)/(AJ239/60)/(AP239/1000)),""))</f>
        <v/>
      </c>
    </row>
    <row r="240" ht="15.75" customHeight="1">
      <c r="B240" t="n">
        <v>-4</v>
      </c>
      <c r="D240" s="11" t="n">
        <v>45500</v>
      </c>
      <c r="F240" s="3" t="n">
        <v>235</v>
      </c>
      <c r="G240" s="205">
        <f>IF(OR(S240="",S240=0),"",S240*2)</f>
        <v/>
      </c>
      <c r="K240" s="15">
        <f>AD240</f>
        <v/>
      </c>
      <c r="M240" s="10">
        <f>IF(OR(E240="",G240="",E240=0,G240=0),"",E240/G240)</f>
        <v/>
      </c>
      <c r="N240" s="9">
        <f>IF(OR(E240="",I240="",E240=0,I240=0),"",E240/(I240*2))</f>
        <v/>
      </c>
      <c r="O240" s="8">
        <f>IF(OR(I240="",G240="",I240=0,G240=0),"",I240*2/G240)</f>
        <v/>
      </c>
      <c r="AD240" s="5" t="n">
        <v>80</v>
      </c>
      <c r="AF240" s="6" t="n"/>
      <c r="AH240" s="6" t="n"/>
      <c r="AI240" s="231" t="n">
        <v>0</v>
      </c>
      <c r="AJ240" s="119" t="n">
        <v>0.5208333333333334</v>
      </c>
      <c r="AL240" s="93" t="n">
        <v>97</v>
      </c>
      <c r="AM240" s="3" t="n">
        <v>180</v>
      </c>
      <c r="AP240" s="255">
        <f>360-AK240-AB240</f>
        <v/>
      </c>
      <c r="AR240" s="13">
        <f>AVERAGE(AO238:AO244)</f>
        <v/>
      </c>
      <c r="AS240" s="15">
        <f>IF(ISNUMBER([2]HRT_SRT!R294),[2]HRT_SRT!R294,"")</f>
        <v/>
      </c>
      <c r="AT240" s="156">
        <f>(E240-W240)/E240</f>
        <v/>
      </c>
      <c r="AU240" s="155">
        <f>(I240-AF240)/I240</f>
        <v/>
      </c>
      <c r="AV240" s="155">
        <f>AG240/(AD240-AF240)</f>
        <v/>
      </c>
      <c r="AW240" s="155">
        <f>(G240-AM240)/G240</f>
        <v/>
      </c>
      <c r="AX240" s="254">
        <f>IF(AND(ISNUMBER(E240),ISNUMBER(W240)),E240-W240,"")</f>
        <v/>
      </c>
      <c r="AY240" s="254">
        <f>IF(AND(ISNUMBER(I240),ISNUMBER(AF240)),I240-AF240,"")</f>
        <v/>
      </c>
      <c r="AZ240" s="254">
        <f>IF(AND(ISNUMBER(AM240),ISNUMBER(G240)),G240-AM240,"")</f>
        <v/>
      </c>
      <c r="BA240" s="254">
        <f>IF(AND(ISNUMBER(AC240),ISNUMBER(AE240)),AC240-AE240,"")</f>
        <v/>
      </c>
      <c r="BB240" s="254">
        <f>IF(AND(ISNUMBER(AL240),ISNUMBER(AM240)),AL240-AM240,"")</f>
        <v/>
      </c>
      <c r="BC240" s="84">
        <f>IF(AND($E240&gt;0,$W240&gt;0),IF(($E240-$W240)/$E240&gt;0,($E240-$W240)/$E240,0),"")</f>
        <v/>
      </c>
      <c r="BD240" s="84">
        <f>IF(AND($I240&gt;0,$AF240&gt;=0),IF(($I240-$AF240)/$I240&gt;0,($I240-$AF240)/$I240,0),"")</f>
        <v/>
      </c>
      <c r="BE240" s="84">
        <f>IF(AND($AG240&gt;=0,$AD240&gt;=0,$AF240&gt;=0),IF($AG240/($AD240-$AF240)&gt;0,$AG240/($AD240-$AF240),0),"")</f>
        <v/>
      </c>
      <c r="BF240" s="84">
        <f>IF(AND($G240&gt;0,$AM240&gt;0),IF(($G240-$AM240)/$G240&gt;0,($G240-$AM240)/$G240,0),"")</f>
        <v/>
      </c>
      <c r="BG240" s="6">
        <f>IF((AD240-AF240)/(AJ240/60)&lt;=0,"",(AD240-AF240)/(AJ240/60))</f>
        <v/>
      </c>
      <c r="BH240" s="6">
        <f>IF(OR(AJ240=0,AP240=0,NOT(ISNUMBER(AD240)),NOT(ISNUMBER(AF240)),NOT(ISNUMBER(AJ240)),NOT(ISNUMBER(AP240))),"",
IFERROR(IF((AD240-AF240)/(AJ240/60)/(AP240/1000)&lt;=0,"",(AD240-AF240)/(AJ240/60)/(AP240/1000)),""))</f>
        <v/>
      </c>
    </row>
    <row r="241" ht="15.75" customHeight="1">
      <c r="B241" t="n">
        <v>-3</v>
      </c>
      <c r="D241" s="11" t="n">
        <v>45501</v>
      </c>
      <c r="F241" s="3" t="n">
        <v>236</v>
      </c>
      <c r="G241" s="205">
        <f>IF(OR(S241="",S241=0),"",S241*2)</f>
        <v/>
      </c>
      <c r="K241" s="15">
        <f>AD241</f>
        <v/>
      </c>
      <c r="M241" s="10">
        <f>IF(OR(E241="",G241="",E241=0,G241=0),"",E241/G241)</f>
        <v/>
      </c>
      <c r="N241" s="9">
        <f>IF(OR(E241="",I241="",E241=0,I241=0),"",E241/(I241*2))</f>
        <v/>
      </c>
      <c r="O241" s="8">
        <f>IF(OR(I241="",G241="",I241=0,G241=0),"",I241*2/G241)</f>
        <v/>
      </c>
      <c r="AD241" s="5" t="n">
        <v>80</v>
      </c>
      <c r="AI241" t="n">
        <v>0.35</v>
      </c>
      <c r="AJ241" s="119" t="n">
        <v>0.4829861111111111</v>
      </c>
      <c r="AL241" s="93" t="n">
        <v>97</v>
      </c>
      <c r="AM241" s="3" t="n">
        <v>180</v>
      </c>
      <c r="AP241" s="255">
        <f>360-AK241-AB241</f>
        <v/>
      </c>
      <c r="AR241" s="13">
        <f>AVERAGE(AO239:AO245)</f>
        <v/>
      </c>
      <c r="AS241" s="15" t="n"/>
      <c r="AT241" s="156">
        <f>(E241-W241)/E241</f>
        <v/>
      </c>
      <c r="AU241" s="155">
        <f>(I241-AF241)/I241</f>
        <v/>
      </c>
      <c r="AV241" s="155">
        <f>AG241/(AD241-AF241)</f>
        <v/>
      </c>
      <c r="AW241" s="155">
        <f>(G241-AM241)/G241</f>
        <v/>
      </c>
      <c r="AX241" s="254">
        <f>IF(AND(ISNUMBER(E241),ISNUMBER(W241)),E241-W241,"")</f>
        <v/>
      </c>
      <c r="AY241" s="254">
        <f>IF(AND(ISNUMBER(I241),ISNUMBER(AF241)),I241-AF241,"")</f>
        <v/>
      </c>
      <c r="AZ241" s="254">
        <f>IF(AND(ISNUMBER(AM241),ISNUMBER(G241)),G241-AM241,"")</f>
        <v/>
      </c>
      <c r="BA241" s="254">
        <f>IF(AND(ISNUMBER(AC241),ISNUMBER(AE241)),AC241-AE241,"")</f>
        <v/>
      </c>
      <c r="BB241" s="254">
        <f>IF(AND(ISNUMBER(AL241),ISNUMBER(AM241)),AL241-AM241,"")</f>
        <v/>
      </c>
      <c r="BC241" s="84">
        <f>IF(AND($E241&gt;0,$W241&gt;0),IF(($E241-$W241)/$E241&gt;0,($E241-$W241)/$E241,0),"")</f>
        <v/>
      </c>
      <c r="BD241" s="84">
        <f>IF(AND($I241&gt;0,$AF241&gt;=0),IF(($I241-$AF241)/$I241&gt;0,($I241-$AF241)/$I241,0),"")</f>
        <v/>
      </c>
      <c r="BE241" s="84">
        <f>IF(AND($AG241&gt;=0,$AD241&gt;=0,$AF241&gt;=0),IF($AG241/($AD241-$AF241)&gt;0,$AG241/($AD241-$AF241),0),"")</f>
        <v/>
      </c>
      <c r="BF241" s="84">
        <f>IF(AND($G241&gt;0,$AM241&gt;0),IF(($G241-$AM241)/$G241&gt;0,($G241-$AM241)/$G241,0),"")</f>
        <v/>
      </c>
      <c r="BG241" s="6">
        <f>IF((AD241-AF241)/(AJ241/60)&lt;=0,"",(AD241-AF241)/(AJ241/60))</f>
        <v/>
      </c>
      <c r="BH241" s="6">
        <f>IF(OR(AJ241=0,AP241=0,NOT(ISNUMBER(AD241)),NOT(ISNUMBER(AF241)),NOT(ISNUMBER(AJ241)),NOT(ISNUMBER(AP241))),"",
IFERROR(IF((AD241-AF241)/(AJ241/60)/(AP241/1000)&lt;=0,"",(AD241-AF241)/(AJ241/60)/(AP241/1000)),""))</f>
        <v/>
      </c>
    </row>
    <row r="242" ht="15.75" customHeight="1">
      <c r="B242" t="n">
        <v>-2</v>
      </c>
      <c r="C242" s="12" t="inlineStr">
        <is>
          <t>Zhen burrowed N2O probe</t>
        </is>
      </c>
      <c r="D242" s="11" t="n">
        <v>45502</v>
      </c>
      <c r="F242" s="3" t="n">
        <v>237</v>
      </c>
      <c r="G242" s="205">
        <f>IF(OR(S242="",S242=0),"",S242*2)</f>
        <v/>
      </c>
      <c r="I242" s="15">
        <f>(N242*18-H242*18)/9</f>
        <v/>
      </c>
      <c r="J242" s="9">
        <f>2*6.55</f>
        <v/>
      </c>
      <c r="K242" s="15">
        <f>AD242</f>
        <v/>
      </c>
      <c r="M242" s="10">
        <f>IF(OR(E242="",G242="",E242=0,G242=0),"",E242/G242)</f>
        <v/>
      </c>
      <c r="N242" s="9">
        <f>IF(OR(E242="",I242="",E242=0,I242=0),"",E242/(I242*2))</f>
        <v/>
      </c>
      <c r="O242" s="8">
        <f>IF(OR(I242="",G242="",I242=0,G242=0),"",I242*2/G242)</f>
        <v/>
      </c>
      <c r="P242" s="7">
        <f>2*10.5</f>
        <v/>
      </c>
      <c r="Q242" t="n">
        <v>60.64</v>
      </c>
      <c r="R242" t="n">
        <v>13.172</v>
      </c>
      <c r="S242" s="6">
        <f>O242*1.067</f>
        <v/>
      </c>
      <c r="T242" s="6">
        <f>P242*1.514</f>
        <v/>
      </c>
      <c r="U242" s="23">
        <f>P242*1.514+O242*1.067</f>
        <v/>
      </c>
      <c r="V242" s="6">
        <f>2*11.8</f>
        <v/>
      </c>
      <c r="W242">
        <f>0.741*1.067</f>
        <v/>
      </c>
      <c r="X242" t="n">
        <v>0.573</v>
      </c>
      <c r="Y242" s="23">
        <f>U242*1.067+V242*1.514</f>
        <v/>
      </c>
      <c r="Z242" s="6" t="n">
        <v>4.06</v>
      </c>
      <c r="AD242" s="5" t="n">
        <v>80</v>
      </c>
      <c r="AE242" s="7">
        <f>T242</f>
        <v/>
      </c>
      <c r="AF242" s="231">
        <f>5*2.71</f>
        <v/>
      </c>
      <c r="AG242" s="231">
        <f>2*12.6</f>
        <v/>
      </c>
      <c r="AH242" s="231" t="n">
        <v>0</v>
      </c>
      <c r="AI242" s="231" t="n">
        <v>0</v>
      </c>
      <c r="AJ242" s="119" t="n">
        <v>0.8958333333333334</v>
      </c>
      <c r="AL242" s="93" t="n">
        <v>97</v>
      </c>
      <c r="AM242" s="3" t="n">
        <v>180</v>
      </c>
      <c r="AN242" s="4">
        <f>AE242</f>
        <v/>
      </c>
      <c r="AO242" s="231">
        <f>2*11.4</f>
        <v/>
      </c>
      <c r="AP242" s="255">
        <f>360-AK242-AB242</f>
        <v/>
      </c>
      <c r="AR242" s="13">
        <f>AVERAGE(AO240:AO246)</f>
        <v/>
      </c>
      <c r="AS242" s="15" t="n"/>
      <c r="AT242" s="156">
        <f>(E242-W242)/E242</f>
        <v/>
      </c>
      <c r="AU242" s="155">
        <f>(I242-AF242)/I242</f>
        <v/>
      </c>
      <c r="AV242" s="155">
        <f>AG242/(AD242-AF242)</f>
        <v/>
      </c>
      <c r="AW242" s="155">
        <f>(G242-AM242)/G242</f>
        <v/>
      </c>
      <c r="AX242" s="254">
        <f>IF(AND(ISNUMBER(E242),ISNUMBER(W242)),E242-W242,"")</f>
        <v/>
      </c>
      <c r="AY242" s="254">
        <f>IF(AND(ISNUMBER(I242),ISNUMBER(AF242)),I242-AF242,"")</f>
        <v/>
      </c>
      <c r="AZ242" s="254">
        <f>IF(AND(ISNUMBER(AM242),ISNUMBER(G242)),G242-AM242,"")</f>
        <v/>
      </c>
      <c r="BA242" s="254">
        <f>IF(AND(ISNUMBER(AC242),ISNUMBER(AE242)),AC242-AE242,"")</f>
        <v/>
      </c>
      <c r="BB242" s="254">
        <f>IF(AND(ISNUMBER(AL242),ISNUMBER(AM242)),AL242-AM242,"")</f>
        <v/>
      </c>
      <c r="BC242" s="84">
        <f>IF(AND($E242&gt;0,$W242&gt;0),IF(($E242-$W242)/$E242&gt;0,($E242-$W242)/$E242,0),"")</f>
        <v/>
      </c>
      <c r="BD242" s="84">
        <f>IF(AND($I242&gt;0,$AF242&gt;=0),IF(($I242-$AF242)/$I242&gt;0,($I242-$AF242)/$I242,0),"")</f>
        <v/>
      </c>
      <c r="BE242" s="84">
        <f>IF(AND($AG242&gt;=0,$AD242&gt;=0,$AF242&gt;=0),IF($AG242/($AD242-$AF242)&gt;0,$AG242/($AD242-$AF242),0),"")</f>
        <v/>
      </c>
      <c r="BF242" s="84">
        <f>IF(AND($G242&gt;0,$AM242&gt;0),IF(($G242-$AM242)/$G242&gt;0,($G242-$AM242)/$G242,0),"")</f>
        <v/>
      </c>
      <c r="BG242" s="6">
        <f>IF((AD242-AF242)/(AJ242/60)&lt;=0,"",(AD242-AF242)/(AJ242/60))</f>
        <v/>
      </c>
      <c r="BH242" s="6">
        <f>IF(OR(AJ242=0,AP242=0,NOT(ISNUMBER(AD242)),NOT(ISNUMBER(AF242)),NOT(ISNUMBER(AJ242)),NOT(ISNUMBER(AP242))),"",
IFERROR(IF((AD242-AF242)/(AJ242/60)/(AP242/1000)&lt;=0,"",(AD242-AF242)/(AJ242/60)/(AP242/1000)),""))</f>
        <v/>
      </c>
    </row>
    <row r="243" ht="15.75" customHeight="1">
      <c r="B243" t="n">
        <v>-1</v>
      </c>
      <c r="D243" s="11" t="n">
        <v>45503</v>
      </c>
      <c r="F243" s="3" t="n">
        <v>238</v>
      </c>
      <c r="G243" s="205">
        <f>IF(OR(S243="",S243=0),"",S243*2)</f>
        <v/>
      </c>
      <c r="I243" s="15">
        <f>(N243*18-H243*18)/9</f>
        <v/>
      </c>
      <c r="J243" s="9">
        <f>5/2*3.65</f>
        <v/>
      </c>
      <c r="K243" s="15">
        <f>AD243</f>
        <v/>
      </c>
      <c r="M243" s="10">
        <f>IF(OR(E243="",G243="",E243=0,G243=0),"",E243/G243)</f>
        <v/>
      </c>
      <c r="N243" s="9">
        <f>IF(OR(E243="",I243="",E243=0,I243=0),"",E243/(I243*2))</f>
        <v/>
      </c>
      <c r="O243" s="8">
        <f>IF(OR(I243="",G243="",I243=0,G243=0),"",I243*2/G243)</f>
        <v/>
      </c>
      <c r="P243" s="7">
        <f>5/2*6.92</f>
        <v/>
      </c>
      <c r="Q243" t="n">
        <v>53.741</v>
      </c>
      <c r="R243" t="n">
        <v>11.514</v>
      </c>
      <c r="S243" s="6">
        <f>O243*1.067</f>
        <v/>
      </c>
      <c r="T243" s="6">
        <f>P243*1.514</f>
        <v/>
      </c>
      <c r="U243" s="23">
        <f>P243*1.514+O243*1.067</f>
        <v/>
      </c>
      <c r="V243" s="6">
        <f>5/2*7.7</f>
        <v/>
      </c>
      <c r="W243" t="n">
        <v>0.8159999999999999</v>
      </c>
      <c r="X243" t="n">
        <v>0.574</v>
      </c>
      <c r="Y243" s="23">
        <f>U243*1.067+V243*1.514</f>
        <v/>
      </c>
      <c r="Z243" s="6" t="n">
        <v>3.73</v>
      </c>
      <c r="AD243" s="5" t="n">
        <v>80</v>
      </c>
      <c r="AE243" s="7">
        <f>T243</f>
        <v/>
      </c>
      <c r="AF243" s="231">
        <f>5*3.16</f>
        <v/>
      </c>
      <c r="AG243" s="231">
        <f>5/2*7.75</f>
        <v/>
      </c>
      <c r="AH243" s="231" t="n">
        <v>0</v>
      </c>
      <c r="AI243" s="231" t="n">
        <v>0</v>
      </c>
      <c r="AJ243" s="119" t="n">
        <v>0.5208333333333334</v>
      </c>
      <c r="AL243" s="93" t="n">
        <v>97</v>
      </c>
      <c r="AM243" s="3" t="n">
        <v>180</v>
      </c>
      <c r="AN243" s="4">
        <f>AE243</f>
        <v/>
      </c>
      <c r="AO243" s="231">
        <f>5/2*6.58</f>
        <v/>
      </c>
      <c r="AP243" s="255">
        <f>360-AK243-AB243</f>
        <v/>
      </c>
      <c r="AQ243" s="2" t="n">
        <v>2060.000000000036</v>
      </c>
      <c r="AR243" s="13">
        <f>AVERAGE(AO241:AO247)</f>
        <v/>
      </c>
      <c r="AS243" s="15" t="n">
        <v>13.80491437081193</v>
      </c>
      <c r="AT243" s="156">
        <f>(E243-W243)/E243</f>
        <v/>
      </c>
      <c r="AU243" s="155">
        <f>(I243-AF243)/I243</f>
        <v/>
      </c>
      <c r="AV243" s="155">
        <f>AG243/(AD243-AF243)</f>
        <v/>
      </c>
      <c r="AW243" s="155">
        <f>(G243-AM243)/G243</f>
        <v/>
      </c>
      <c r="AX243" s="254">
        <f>IF(AND(ISNUMBER(E243),ISNUMBER(W243)),E243-W243,"")</f>
        <v/>
      </c>
      <c r="AY243" s="254">
        <f>IF(AND(ISNUMBER(I243),ISNUMBER(AF243)),I243-AF243,"")</f>
        <v/>
      </c>
      <c r="AZ243" s="254">
        <f>IF(AND(ISNUMBER(AM243),ISNUMBER(G243)),G243-AM243,"")</f>
        <v/>
      </c>
      <c r="BA243" s="254">
        <f>IF(AND(ISNUMBER(AC243),ISNUMBER(AE243)),AC243-AE243,"")</f>
        <v/>
      </c>
      <c r="BB243" s="254">
        <f>IF(AND(ISNUMBER(AL243),ISNUMBER(AM243)),AL243-AM243,"")</f>
        <v/>
      </c>
      <c r="BC243" s="84">
        <f>IF(AND($E243&gt;0,$W243&gt;0),IF(($E243-$W243)/$E243&gt;0,($E243-$W243)/$E243,0),"")</f>
        <v/>
      </c>
      <c r="BD243" s="84">
        <f>IF(AND($I243&gt;0,$AF243&gt;=0),IF(($I243-$AF243)/$I243&gt;0,($I243-$AF243)/$I243,0),"")</f>
        <v/>
      </c>
      <c r="BE243" s="84">
        <f>IF(AND($AG243&gt;=0,$AD243&gt;=0,$AF243&gt;=0),IF($AG243/($AD243-$AF243)&gt;0,$AG243/($AD243-$AF243),0),"")</f>
        <v/>
      </c>
      <c r="BF243" s="84">
        <f>IF(AND($G243&gt;0,$AM243&gt;0),IF(($G243-$AM243)/$G243&gt;0,($G243-$AM243)/$G243,0),"")</f>
        <v/>
      </c>
      <c r="BG243" s="6">
        <f>IF((AD243-AF243)/(AJ243/60)&lt;=0,"",(AD243-AF243)/(AJ243/60))</f>
        <v/>
      </c>
      <c r="BH243" s="6">
        <f>IF(OR(AJ243=0,AP243=0,NOT(ISNUMBER(AD243)),NOT(ISNUMBER(AF243)),NOT(ISNUMBER(AJ243)),NOT(ISNUMBER(AP243))),"",
IFERROR(IF((AD243-AF243)/(AJ243/60)/(AP243/1000)&lt;=0,"",(AD243-AF243)/(AJ243/60)/(AP243/1000)),""))</f>
        <v/>
      </c>
    </row>
    <row r="244" ht="15.75" customFormat="1" customHeight="1" s="27">
      <c r="B244" t="n">
        <v>0</v>
      </c>
      <c r="C244" s="39" t="inlineStr">
        <is>
          <t>small test with Ammonia test</t>
        </is>
      </c>
      <c r="D244" s="38" t="n">
        <v>45504</v>
      </c>
      <c r="F244" s="29" t="n">
        <v>239</v>
      </c>
      <c r="G244" s="205">
        <f>IF(OR(S244="",S244=0),"",S244*2)</f>
        <v/>
      </c>
      <c r="H244" s="36" t="n"/>
      <c r="I244" s="77">
        <f>(N244*18-H244*18)/9</f>
        <v/>
      </c>
      <c r="J244" s="36">
        <f>2*5.14</f>
        <v/>
      </c>
      <c r="K244" s="15">
        <f>AD244</f>
        <v/>
      </c>
      <c r="L244" s="35" t="n"/>
      <c r="M244" s="10">
        <f>IF(OR(E244="",G244="",E244=0,G244=0),"",E244/G244)</f>
        <v/>
      </c>
      <c r="N244" s="9">
        <f>IF(OR(E244="",I244="",E244=0,I244=0),"",E244/(I244*2))</f>
        <v/>
      </c>
      <c r="O244" s="8">
        <f>IF(OR(I244="",G244="",I244=0,G244=0),"",I244*2/G244)</f>
        <v/>
      </c>
      <c r="P244" s="34">
        <f>2*8.66</f>
        <v/>
      </c>
      <c r="Q244" s="116" t="n">
        <v>84.095</v>
      </c>
      <c r="R244" s="116" t="n">
        <v>18.996</v>
      </c>
      <c r="S244" s="33">
        <f>O244*1.067</f>
        <v/>
      </c>
      <c r="T244" s="33">
        <f>P244*1.514</f>
        <v/>
      </c>
      <c r="U244" s="75">
        <f>P244*1.514+O244*1.067</f>
        <v/>
      </c>
      <c r="V244" s="33">
        <f>2*9.94</f>
        <v/>
      </c>
      <c r="W244" s="116" t="n">
        <v>1.895</v>
      </c>
      <c r="X244" s="116" t="n">
        <v>1.734</v>
      </c>
      <c r="Y244" s="33" t="n"/>
      <c r="Z244" s="33" t="n">
        <v>4.7</v>
      </c>
      <c r="AA244" s="33" t="n"/>
      <c r="AB244" s="33" t="n"/>
      <c r="AC244" s="33" t="n"/>
      <c r="AD244" s="74" t="n">
        <v>80</v>
      </c>
      <c r="AE244" s="34">
        <f>T244</f>
        <v/>
      </c>
      <c r="AF244" s="27">
        <f>5*3.01</f>
        <v/>
      </c>
      <c r="AG244" s="27">
        <f>2*8.66</f>
        <v/>
      </c>
      <c r="AH244" s="27" t="n">
        <v>0</v>
      </c>
      <c r="AI244" s="27" t="n">
        <v>0</v>
      </c>
      <c r="AJ244" s="125" t="n">
        <v>0.5208333333333334</v>
      </c>
      <c r="AL244" t="n">
        <v>97</v>
      </c>
      <c r="AM244" s="29" t="n">
        <v>180</v>
      </c>
      <c r="AN244" s="32">
        <f>AE244</f>
        <v/>
      </c>
      <c r="AO244" s="27">
        <f>2*7.65</f>
        <v/>
      </c>
      <c r="AP244" s="253">
        <f>360-AK244-AB244</f>
        <v/>
      </c>
      <c r="AQ244" s="28" t="n"/>
      <c r="AR244" s="13">
        <f>AVERAGE(AO242:AO248)</f>
        <v/>
      </c>
      <c r="AS244" s="77" t="n"/>
      <c r="AT244" s="31">
        <f>(E244-W246)/E244</f>
        <v/>
      </c>
      <c r="AU244" s="30">
        <f>(I244-AF244)/I244</f>
        <v/>
      </c>
      <c r="AV244" s="30">
        <f>AG244/(AD244-AF244)</f>
        <v/>
      </c>
      <c r="AW244" s="30">
        <f>(G244-AM244)/G244</f>
        <v/>
      </c>
      <c r="AX244" s="256">
        <f>IF(AND(ISNUMBER(E244),ISNUMBER(W246)),E244-W246,"")</f>
        <v/>
      </c>
      <c r="AY244" s="256">
        <f>IF(AND(ISNUMBER(I244),ISNUMBER(AF244)),I244-AF244,"")</f>
        <v/>
      </c>
      <c r="AZ244" s="256">
        <f>IF(AND(ISNUMBER(AM244),ISNUMBER(G244)),G244-AM244,"")</f>
        <v/>
      </c>
      <c r="BA244" s="256">
        <f>IF(AND(ISNUMBER(AC244),ISNUMBER(AE244)),AC244-AE244,"")</f>
        <v/>
      </c>
      <c r="BB244" s="256">
        <f>IF(AND(ISNUMBER(AL244),ISNUMBER(AM244)),AL244-AM244,"")</f>
        <v/>
      </c>
      <c r="BC244" s="115">
        <f>IF(AND($E244&gt;0,$W244&gt;0),IF(($E244-$W244)/$E244&gt;0,($E244-$W244)/$E244,0),"")</f>
        <v/>
      </c>
      <c r="BD244" s="115">
        <f>IF(AND($I244&gt;0,$AF244&gt;=0),IF(($I244-$AF244)/$I244&gt;0,($I244-$AF244)/$I244,0),"")</f>
        <v/>
      </c>
      <c r="BE244" s="115">
        <f>IF(AND($AG244&gt;=0,$AD244&gt;=0,$AF244&gt;=0),IF($AG244/($AD244-$AF244)&gt;0,$AG244/($AD244-$AF244),0),"")</f>
        <v/>
      </c>
      <c r="BF244" s="115">
        <f>IF(AND($G244&gt;0,$AM244&gt;0),IF(($G244-$AM244)/$G244&gt;0,($G244-$AM244)/$G244,0),"")</f>
        <v/>
      </c>
      <c r="BG244" s="6">
        <f>IF((AD244-AF244)/(AJ244/60)&lt;=0,"",(AD244-AF244)/(AJ244/60))</f>
        <v/>
      </c>
      <c r="BH244" s="6">
        <f>IF(OR(AJ244=0,AP244=0,NOT(ISNUMBER(AD244)),NOT(ISNUMBER(AF244)),NOT(ISNUMBER(AJ244)),NOT(ISNUMBER(AP244))),"",
IFERROR(IF((AD244-AF244)/(AJ244/60)/(AP244/1000)&lt;=0,"",(AD244-AF244)/(AJ244/60)/(AP244/1000)),""))</f>
        <v/>
      </c>
    </row>
    <row r="245" ht="15.75" customHeight="1">
      <c r="A245" s="260" t="inlineStr">
        <is>
          <t>B32</t>
        </is>
      </c>
      <c r="B245" s="260" t="n">
        <v>1</v>
      </c>
      <c r="C245" s="12" t="inlineStr">
        <is>
          <t>III</t>
        </is>
      </c>
      <c r="D245" s="11" t="n">
        <v>45505</v>
      </c>
      <c r="E245" s="231" t="n">
        <v>1</v>
      </c>
      <c r="F245" s="3" t="n">
        <v>240</v>
      </c>
      <c r="G245" s="205">
        <f>IF(OR(S245="",S245=0),"",S245*2)</f>
        <v/>
      </c>
      <c r="K245" s="15">
        <f>AD245</f>
        <v/>
      </c>
      <c r="M245" s="10">
        <f>IF(OR(E245="",G245="",E245=0,G245=0),"",E245/G245)</f>
        <v/>
      </c>
      <c r="N245" s="9">
        <f>IF(OR(E245="",I245="",E245=0,I245=0),"",E245/(I245*2))</f>
        <v/>
      </c>
      <c r="O245" s="8">
        <f>IF(OR(I245="",G245="",I245=0,G245=0),"",I245*2/G245)</f>
        <v/>
      </c>
      <c r="AD245" s="5" t="n">
        <v>80</v>
      </c>
      <c r="AI245" s="231" t="n">
        <v>0</v>
      </c>
      <c r="AJ245" s="119" t="n">
        <v>0.5208333333333334</v>
      </c>
      <c r="AM245" s="3" t="n">
        <v>180</v>
      </c>
      <c r="AN245" s="4">
        <f>5/2*8.56</f>
        <v/>
      </c>
      <c r="AO245" s="231">
        <f>5/2*7.72</f>
        <v/>
      </c>
      <c r="AP245" s="255">
        <f>360-AK245-AB245</f>
        <v/>
      </c>
      <c r="AR245" s="13">
        <f>AVERAGE(AO243:AO249)</f>
        <v/>
      </c>
      <c r="AS245" s="15" t="n"/>
      <c r="AT245" s="156">
        <f>(E245-W245)/E245</f>
        <v/>
      </c>
      <c r="AU245" s="155">
        <f>(I245-AF245)/I245</f>
        <v/>
      </c>
      <c r="AV245" s="155">
        <f>AG245/(AD245-AF245)</f>
        <v/>
      </c>
      <c r="AW245" s="155">
        <f>(G245-AM245)/G245</f>
        <v/>
      </c>
      <c r="AX245" s="254">
        <f>IF(AND(ISNUMBER(E245),ISNUMBER(W245)),E245-W245,"")</f>
        <v/>
      </c>
      <c r="AY245" s="254">
        <f>IF(AND(ISNUMBER(I245),ISNUMBER(AF245)),I245-AF245,"")</f>
        <v/>
      </c>
      <c r="AZ245" s="254">
        <f>IF(AND(ISNUMBER(AM245),ISNUMBER(G245)),G245-AM245,"")</f>
        <v/>
      </c>
      <c r="BA245" s="254">
        <f>IF(AND(ISNUMBER(AC245),ISNUMBER(AE245)),AC245-AE245,"")</f>
        <v/>
      </c>
      <c r="BB245" s="254">
        <f>IF(AND(ISNUMBER(AL245),ISNUMBER(AM245)),AL245-AM245,"")</f>
        <v/>
      </c>
      <c r="BC245" s="84">
        <f>IF(AND($E245&gt;0,$W245&gt;0),IF(($E245-$W245)/$E245&gt;0,($E245-$W245)/$E245,0),"")</f>
        <v/>
      </c>
      <c r="BD245" s="84">
        <f>IF(AND($I245&gt;0,$AF245&gt;=0),IF(($I245-$AF245)/$I245&gt;0,($I245-$AF245)/$I245,0),"")</f>
        <v/>
      </c>
      <c r="BE245" s="84">
        <f>IF(AND($AG245&gt;=0,$AD245&gt;=0,$AF245&gt;=0),IF($AG245/($AD245-$AF245)&gt;0,$AG245/($AD245-$AF245),0),"")</f>
        <v/>
      </c>
      <c r="BF245" s="84">
        <f>IF(AND($G245&gt;0,$AM245&gt;0),IF(($G245-$AM245)/$G245&gt;0,($G245-$AM245)/$G245,0),"")</f>
        <v/>
      </c>
      <c r="BG245" s="6">
        <f>IF((AD245-AF245)/(AJ245/60)&lt;=0,"",(AD245-AF245)/(AJ245/60))</f>
        <v/>
      </c>
      <c r="BH245" s="6">
        <f>IF(OR(AJ245=0,AP245=0,NOT(ISNUMBER(AD245)),NOT(ISNUMBER(AF245)),NOT(ISNUMBER(AJ245)),NOT(ISNUMBER(AP245))),"",
IFERROR(IF((AD245-AF245)/(AJ245/60)/(AP245/1000)&lt;=0,"",(AD245-AF245)/(AJ245/60)/(AP245/1000)),""))</f>
        <v/>
      </c>
    </row>
    <row r="246" ht="15.75" customHeight="1">
      <c r="B246" t="n">
        <v>2</v>
      </c>
      <c r="D246" s="11" t="n">
        <v>45506</v>
      </c>
      <c r="E246" s="231" t="n">
        <v>2</v>
      </c>
      <c r="F246" s="3" t="n">
        <v>241</v>
      </c>
      <c r="G246" s="205">
        <f>IF(OR(S246="",S246=0),"",S246*2)</f>
        <v/>
      </c>
      <c r="K246" s="15">
        <f>AD246</f>
        <v/>
      </c>
      <c r="M246" s="10">
        <f>IF(OR(E246="",G246="",E246=0,G246=0),"",E246/G246)</f>
        <v/>
      </c>
      <c r="N246" s="9">
        <f>IF(OR(E246="",I246="",E246=0,I246=0),"",E246/(I246*2))</f>
        <v/>
      </c>
      <c r="O246" s="8">
        <f>IF(OR(I246="",G246="",I246=0,G246=0),"",I246*2/G246)</f>
        <v/>
      </c>
      <c r="Q246" t="n">
        <v>72.73699999999999</v>
      </c>
      <c r="R246" t="n">
        <v>15.113</v>
      </c>
      <c r="S246" s="6">
        <f>O246*1.067</f>
        <v/>
      </c>
      <c r="T246" s="6">
        <f>P246*1.514</f>
        <v/>
      </c>
      <c r="U246" s="23">
        <f>P246*1.514+O246*1.067</f>
        <v/>
      </c>
      <c r="W246" s="6" t="n">
        <v>0</v>
      </c>
      <c r="X246" s="6" t="n">
        <v>0</v>
      </c>
      <c r="Y246" s="23">
        <f>U244*1.067+V244*1.514</f>
        <v/>
      </c>
      <c r="AD246" s="5" t="n">
        <v>80</v>
      </c>
      <c r="AI246" s="231" t="n">
        <v>0</v>
      </c>
      <c r="AJ246" s="119" t="n">
        <v>0.5208333333333334</v>
      </c>
      <c r="AM246" s="3" t="n">
        <v>180</v>
      </c>
      <c r="AP246" s="255">
        <f>360-AK246-AB246</f>
        <v/>
      </c>
      <c r="AR246" s="13">
        <f>AVERAGE(AO244:AO250)</f>
        <v/>
      </c>
      <c r="AS246" s="15" t="n"/>
      <c r="AT246" s="156">
        <f>(E246-#REF!)/E246</f>
        <v/>
      </c>
      <c r="AU246" s="155">
        <f>(I246-AF246)/I246</f>
        <v/>
      </c>
      <c r="AV246" s="155">
        <f>AG246/(AD246-AF246)</f>
        <v/>
      </c>
      <c r="AW246" s="155">
        <f>(G246-AM246)/G246</f>
        <v/>
      </c>
      <c r="AX246" s="254">
        <f>IF(AND(ISNUMBER(E246),ISNUMBER(#REF!)),E246-#REF!,"")</f>
        <v/>
      </c>
      <c r="AY246" s="254">
        <f>IF(AND(ISNUMBER(I246),ISNUMBER(AF246)),I246-AF246,"")</f>
        <v/>
      </c>
      <c r="AZ246" s="254">
        <f>IF(AND(ISNUMBER(AM246),ISNUMBER(G246)),G246-AM246,"")</f>
        <v/>
      </c>
      <c r="BA246" s="254">
        <f>IF(AND(ISNUMBER(AC246),ISNUMBER(AE246)),AC246-AE246,"")</f>
        <v/>
      </c>
      <c r="BB246" s="254">
        <f>IF(AND(ISNUMBER(AL246),ISNUMBER(AM246)),AL246-AM246,"")</f>
        <v/>
      </c>
      <c r="BC246" s="84">
        <f>IF(AND($E246&gt;0,$W246&gt;0),IF(($E246-$W246)/$E246&gt;0,($E246-$W246)/$E246,0),"")</f>
        <v/>
      </c>
      <c r="BD246" s="84">
        <f>IF(AND($I246&gt;0,$AF246&gt;=0),IF(($I246-$AF246)/$I246&gt;0,($I246-$AF246)/$I246,0),"")</f>
        <v/>
      </c>
      <c r="BE246" s="84">
        <f>IF(AND($AG246&gt;=0,$AD246&gt;=0,$AF246&gt;=0),IF($AG246/($AD246-$AF246)&gt;0,$AG246/($AD246-$AF246),0),"")</f>
        <v/>
      </c>
      <c r="BF246" s="84">
        <f>IF(AND($G246&gt;0,$AM246&gt;0),IF(($G246-$AM246)/$G246&gt;0,($G246-$AM246)/$G246,0),"")</f>
        <v/>
      </c>
      <c r="BG246" s="6">
        <f>IF((AD246-AF246)/(AJ246/60)&lt;=0,"",(AD246-AF246)/(AJ246/60))</f>
        <v/>
      </c>
      <c r="BH246" s="6">
        <f>IF(OR(AJ246=0,AP246=0,NOT(ISNUMBER(AD246)),NOT(ISNUMBER(AF246)),NOT(ISNUMBER(AJ246)),NOT(ISNUMBER(AP246))),"",
IFERROR(IF((AD246-AF246)/(AJ246/60)/(AP246/1000)&lt;=0,"",(AD246-AF246)/(AJ246/60)/(AP246/1000)),""))</f>
        <v/>
      </c>
    </row>
    <row r="247" ht="15.75" customHeight="1">
      <c r="B247" t="n">
        <v>3</v>
      </c>
      <c r="D247" s="11" t="n">
        <v>45507</v>
      </c>
      <c r="E247" s="231" t="n">
        <v>3</v>
      </c>
      <c r="F247" s="3" t="n">
        <v>242</v>
      </c>
      <c r="G247" s="205">
        <f>IF(OR(S247="",S247=0),"",S247*2)</f>
        <v/>
      </c>
      <c r="K247" s="15">
        <f>AD247</f>
        <v/>
      </c>
      <c r="M247" s="10">
        <f>IF(OR(E247="",G247="",E247=0,G247=0),"",E247/G247)</f>
        <v/>
      </c>
      <c r="N247" s="9">
        <f>IF(OR(E247="",I247="",E247=0,I247=0),"",E247/(I247*2))</f>
        <v/>
      </c>
      <c r="O247" s="8">
        <f>IF(OR(I247="",G247="",I247=0,G247=0),"",I247*2/G247)</f>
        <v/>
      </c>
      <c r="AD247" s="5" t="n">
        <v>80</v>
      </c>
      <c r="AI247" t="n">
        <v>0.03</v>
      </c>
      <c r="AJ247" s="119" t="n">
        <v>0.4604166666666666</v>
      </c>
      <c r="AM247" s="3" t="n">
        <v>180</v>
      </c>
      <c r="AP247" s="255">
        <f>360-AK247-AB247</f>
        <v/>
      </c>
      <c r="AR247" s="13">
        <f>AVERAGE(AO245:AO251)</f>
        <v/>
      </c>
      <c r="AS247" s="15" t="n"/>
      <c r="AT247" s="156">
        <f>(E247-W247)/E247</f>
        <v/>
      </c>
      <c r="AU247" s="155">
        <f>(I247-AF247)/I247</f>
        <v/>
      </c>
      <c r="AV247" s="155">
        <f>AG247/(AD247-AF247)</f>
        <v/>
      </c>
      <c r="AW247" s="155">
        <f>(G247-AM247)/G247</f>
        <v/>
      </c>
      <c r="AX247" s="254">
        <f>IF(AND(ISNUMBER(E247),ISNUMBER(W247)),E247-W247,"")</f>
        <v/>
      </c>
      <c r="AY247" s="254">
        <f>IF(AND(ISNUMBER(I247),ISNUMBER(AF247)),I247-AF247,"")</f>
        <v/>
      </c>
      <c r="AZ247" s="254">
        <f>IF(AND(ISNUMBER(AM247),ISNUMBER(G247)),G247-AM247,"")</f>
        <v/>
      </c>
      <c r="BA247" s="254">
        <f>IF(AND(ISNUMBER(AC247),ISNUMBER(AE247)),AC247-AE247,"")</f>
        <v/>
      </c>
      <c r="BB247" s="254">
        <f>IF(AND(ISNUMBER(AL247),ISNUMBER(AM247)),AL247-AM247,"")</f>
        <v/>
      </c>
      <c r="BC247" s="84">
        <f>IF(AND($E247&gt;0,$W247&gt;0),IF(($E247-$W247)/$E247&gt;0,($E247-$W247)/$E247,0),"")</f>
        <v/>
      </c>
      <c r="BD247" s="84">
        <f>IF(AND($I247&gt;0,$AF247&gt;=0),IF(($I247-$AF247)/$I247&gt;0,($I247-$AF247)/$I247,0),"")</f>
        <v/>
      </c>
      <c r="BE247" s="84">
        <f>IF(AND($AG247&gt;=0,$AD247&gt;=0,$AF247&gt;=0),IF($AG247/($AD247-$AF247)&gt;0,$AG247/($AD247-$AF247),0),"")</f>
        <v/>
      </c>
      <c r="BF247" s="84">
        <f>IF(AND($G247&gt;0,$AM247&gt;0),IF(($G247-$AM247)/$G247&gt;0,($G247-$AM247)/$G247,0),"")</f>
        <v/>
      </c>
      <c r="BG247" s="6">
        <f>IF((AD247-AF247)/(AJ247/60)&lt;=0,"",(AD247-AF247)/(AJ247/60))</f>
        <v/>
      </c>
      <c r="BH247" s="6">
        <f>IF(OR(AJ247=0,AP247=0,NOT(ISNUMBER(AD247)),NOT(ISNUMBER(AF247)),NOT(ISNUMBER(AJ247)),NOT(ISNUMBER(AP247))),"",
IFERROR(IF((AD247-AF247)/(AJ247/60)/(AP247/1000)&lt;=0,"",(AD247-AF247)/(AJ247/60)/(AP247/1000)),""))</f>
        <v/>
      </c>
    </row>
    <row r="248" ht="15.75" customHeight="1">
      <c r="B248" t="n">
        <v>4</v>
      </c>
      <c r="D248" s="11" t="n">
        <v>45508</v>
      </c>
      <c r="E248" s="231" t="n">
        <v>4</v>
      </c>
      <c r="F248" s="3" t="n">
        <v>243</v>
      </c>
      <c r="G248" s="205">
        <f>IF(OR(S248="",S248=0),"",S248*2)</f>
        <v/>
      </c>
      <c r="K248" s="15">
        <f>AD248</f>
        <v/>
      </c>
      <c r="M248" s="10">
        <f>IF(OR(E248="",G248="",E248=0,G248=0),"",E248/G248)</f>
        <v/>
      </c>
      <c r="N248" s="9">
        <f>IF(OR(E248="",I248="",E248=0,I248=0),"",E248/(I248*2))</f>
        <v/>
      </c>
      <c r="O248" s="8">
        <f>IF(OR(I248="",G248="",I248=0,G248=0),"",I248*2/G248)</f>
        <v/>
      </c>
      <c r="AD248" s="5" t="n">
        <v>80</v>
      </c>
      <c r="AI248" t="n">
        <v>0.47</v>
      </c>
      <c r="AJ248" s="119" t="n">
        <v>0.496875</v>
      </c>
      <c r="AM248" s="3" t="n">
        <v>180</v>
      </c>
      <c r="AP248" s="255">
        <f>360-AK248-AB248</f>
        <v/>
      </c>
      <c r="AR248" s="13">
        <f>AVERAGE(AO246:AO252)</f>
        <v/>
      </c>
      <c r="AS248" s="15" t="n"/>
      <c r="AT248" s="156">
        <f>(E248-W248)/E248</f>
        <v/>
      </c>
      <c r="AU248" s="155">
        <f>(I248-AF248)/I248</f>
        <v/>
      </c>
      <c r="AV248" s="155">
        <f>AG248/(AD248-AF248)</f>
        <v/>
      </c>
      <c r="AW248" s="155">
        <f>(G248-AM248)/G248</f>
        <v/>
      </c>
      <c r="AX248" s="254">
        <f>IF(AND(ISNUMBER(E248),ISNUMBER(W248)),E248-W248,"")</f>
        <v/>
      </c>
      <c r="AY248" s="254">
        <f>IF(AND(ISNUMBER(I248),ISNUMBER(AF248)),I248-AF248,"")</f>
        <v/>
      </c>
      <c r="AZ248" s="254">
        <f>IF(AND(ISNUMBER(AM248),ISNUMBER(G248)),G248-AM248,"")</f>
        <v/>
      </c>
      <c r="BA248" s="254">
        <f>IF(AND(ISNUMBER(AC248),ISNUMBER(AE248)),AC248-AE248,"")</f>
        <v/>
      </c>
      <c r="BB248" s="254">
        <f>IF(AND(ISNUMBER(AL248),ISNUMBER(AM248)),AL248-AM248,"")</f>
        <v/>
      </c>
      <c r="BC248" s="84">
        <f>IF(AND($E248&gt;0,$W248&gt;0),IF(($E248-$W248)/$E248&gt;0,($E248-$W248)/$E248,0),"")</f>
        <v/>
      </c>
      <c r="BD248" s="84">
        <f>IF(AND($I248&gt;0,$AF248&gt;=0),IF(($I248-$AF248)/$I248&gt;0,($I248-$AF248)/$I248,0),"")</f>
        <v/>
      </c>
      <c r="BE248" s="84">
        <f>IF(AND($AG248&gt;=0,$AD248&gt;=0,$AF248&gt;=0),IF($AG248/($AD248-$AF248)&gt;0,$AG248/($AD248-$AF248),0),"")</f>
        <v/>
      </c>
      <c r="BF248" s="84">
        <f>IF(AND($G248&gt;0,$AM248&gt;0),IF(($G248-$AM248)/$G248&gt;0,($G248-$AM248)/$G248,0),"")</f>
        <v/>
      </c>
      <c r="BG248" s="6">
        <f>IF((AD248-AF248)/(AJ248/60)&lt;=0,"",(AD248-AF248)/(AJ248/60))</f>
        <v/>
      </c>
      <c r="BH248" s="6">
        <f>IF(OR(AJ248=0,AP248=0,NOT(ISNUMBER(AD248)),NOT(ISNUMBER(AF248)),NOT(ISNUMBER(AJ248)),NOT(ISNUMBER(AP248))),"",
IFERROR(IF((AD248-AF248)/(AJ248/60)/(AP248/1000)&lt;=0,"",(AD248-AF248)/(AJ248/60)/(AP248/1000)),""))</f>
        <v/>
      </c>
    </row>
    <row r="249" ht="15.75" customHeight="1">
      <c r="B249" t="n">
        <v>5</v>
      </c>
      <c r="C249" s="12" t="inlineStr">
        <is>
          <t>Zhen burrowed N2O probe</t>
        </is>
      </c>
      <c r="D249" s="94" t="n">
        <v>45509</v>
      </c>
      <c r="E249" s="231" t="n">
        <v>5</v>
      </c>
      <c r="F249" s="3" t="n">
        <v>244</v>
      </c>
      <c r="G249" s="205">
        <f>IF(OR(S249="",S249=0),"",S249*2)</f>
        <v/>
      </c>
      <c r="I249" s="15">
        <f>(N249*18-H249*18)/9</f>
        <v/>
      </c>
      <c r="J249" s="9">
        <f>2*2.98</f>
        <v/>
      </c>
      <c r="K249" s="15">
        <f>AD249</f>
        <v/>
      </c>
      <c r="M249" s="10">
        <f>IF(OR(E249="",G249="",E249=0,G249=0),"",E249/G249)</f>
        <v/>
      </c>
      <c r="N249" s="9">
        <f>IF(OR(E249="",I249="",E249=0,I249=0),"",E249/(I249*2))</f>
        <v/>
      </c>
      <c r="O249" s="8">
        <f>IF(OR(I249="",G249="",I249=0,G249=0),"",I249*2/G249)</f>
        <v/>
      </c>
      <c r="P249" s="10">
        <f>2*6.7</f>
        <v/>
      </c>
      <c r="Q249" s="9" t="n"/>
      <c r="R249" s="9" t="n"/>
      <c r="S249" s="6">
        <f>O249*1.067</f>
        <v/>
      </c>
      <c r="T249" s="6">
        <f>P249*1.514</f>
        <v/>
      </c>
      <c r="U249" s="23">
        <f>P249*1.514+O249*1.067</f>
        <v/>
      </c>
      <c r="V249" s="6">
        <f>2*7.77</f>
        <v/>
      </c>
      <c r="Y249" s="23">
        <f>U249*1.067+V249*1.514</f>
        <v/>
      </c>
      <c r="AD249" s="5" t="n">
        <v>80</v>
      </c>
      <c r="AE249" s="7">
        <f>T249</f>
        <v/>
      </c>
      <c r="AF249" s="231">
        <f>5*3.36</f>
        <v/>
      </c>
      <c r="AG249" s="231">
        <f>2*6.14</f>
        <v/>
      </c>
      <c r="AI249" t="n">
        <v>0.4</v>
      </c>
      <c r="AJ249" s="119" t="n">
        <v>0.8444444444444444</v>
      </c>
      <c r="AM249" s="3" t="n">
        <v>180</v>
      </c>
      <c r="AN249" s="4">
        <f>AE249</f>
        <v/>
      </c>
      <c r="AO249" s="231">
        <f>2*5.02</f>
        <v/>
      </c>
      <c r="AP249" s="255">
        <f>360-AK249-AB249</f>
        <v/>
      </c>
      <c r="AR249" s="13">
        <f>AVERAGE(AO247:AO253)</f>
        <v/>
      </c>
      <c r="AS249" s="15" t="n"/>
      <c r="AT249" s="156">
        <f>(E249-W249)/E249</f>
        <v/>
      </c>
      <c r="AU249" s="155">
        <f>(I249-AF249)/I249</f>
        <v/>
      </c>
      <c r="AV249" s="155">
        <f>AG249/(AD249-AF249)</f>
        <v/>
      </c>
      <c r="AW249" s="155">
        <f>(G249-AM249)/G249</f>
        <v/>
      </c>
      <c r="AX249" s="254">
        <f>IF(AND(ISNUMBER(E249),ISNUMBER(W249)),E249-W249,"")</f>
        <v/>
      </c>
      <c r="AY249" s="254">
        <f>IF(AND(ISNUMBER(I249),ISNUMBER(AF249)),I249-AF249,"")</f>
        <v/>
      </c>
      <c r="AZ249" s="254">
        <f>IF(AND(ISNUMBER(AM249),ISNUMBER(G249)),G249-AM249,"")</f>
        <v/>
      </c>
      <c r="BA249" s="254">
        <f>IF(AND(ISNUMBER(AC249),ISNUMBER(AE249)),AC249-AE249,"")</f>
        <v/>
      </c>
      <c r="BB249" s="254">
        <f>IF(AND(ISNUMBER(AL249),ISNUMBER(AM249)),AL249-AM249,"")</f>
        <v/>
      </c>
      <c r="BC249" s="123">
        <f>IF(AND($E249&gt;0,$W249&gt;0),IF(($E249-$W249)/$E249&gt;0,($E249-$W249)/$E249,0),"")</f>
        <v/>
      </c>
      <c r="BD249" s="123">
        <f>IF(AND($I249&gt;0,$AF249&gt;=0),IF(($I249-$AF249)/$I249&gt;0,($I249-$AF249)/$I249,0),"")</f>
        <v/>
      </c>
      <c r="BE249" s="123">
        <f>IF(AND($AG249&gt;=0,$AD249&gt;=0,$AF249&gt;=0),IF($AG249/($AD249-$AF249)&gt;0,$AG249/($AD249-$AF249),0),"")</f>
        <v/>
      </c>
      <c r="BF249" s="123">
        <f>IF(AND($G249&gt;0,$AM249&gt;0),IF(($G249-$AM249)/$G249&gt;0,($G249-$AM249)/$G249,0),"")</f>
        <v/>
      </c>
      <c r="BG249" s="6">
        <f>IF((AD249-AF249)/(AJ249/60)&lt;=0,"",(AD249-AF249)/(AJ249/60))</f>
        <v/>
      </c>
      <c r="BH249" s="6">
        <f>IF(OR(AJ249=0,AP249=0,NOT(ISNUMBER(AD249)),NOT(ISNUMBER(AF249)),NOT(ISNUMBER(AJ249)),NOT(ISNUMBER(AP249))),"",
IFERROR(IF((AD249-AF249)/(AJ249/60)/(AP249/1000)&lt;=0,"",(AD249-AF249)/(AJ249/60)/(AP249/1000)),""))</f>
        <v/>
      </c>
    </row>
    <row r="250" ht="15.75" customHeight="1">
      <c r="B250" t="n">
        <v>6</v>
      </c>
      <c r="D250" s="94" t="n">
        <v>45510</v>
      </c>
      <c r="E250" s="231" t="n">
        <v>6</v>
      </c>
      <c r="F250" s="3" t="n">
        <v>245</v>
      </c>
      <c r="G250" s="205">
        <f>IF(OR(S250="",S250=0),"",S250*2)</f>
        <v/>
      </c>
      <c r="K250" s="15">
        <f>AD250</f>
        <v/>
      </c>
      <c r="M250" s="10">
        <f>IF(OR(E250="",G250="",E250=0,G250=0),"",E250/G250)</f>
        <v/>
      </c>
      <c r="N250" s="9">
        <f>IF(OR(E250="",I250="",E250=0,I250=0),"",E250/(I250*2))</f>
        <v/>
      </c>
      <c r="O250" s="8">
        <f>IF(OR(I250="",G250="",I250=0,G250=0),"",I250*2/G250)</f>
        <v/>
      </c>
      <c r="Z250" s="6" t="n">
        <v>6.64</v>
      </c>
      <c r="AD250" s="5" t="n">
        <v>80</v>
      </c>
      <c r="AI250" t="n">
        <v>0.29</v>
      </c>
      <c r="AJ250" s="119" t="n">
        <v>0.5078703703703704</v>
      </c>
      <c r="AM250" s="3" t="n">
        <v>180</v>
      </c>
      <c r="AP250" s="255">
        <f>360-AK250-AB250</f>
        <v/>
      </c>
      <c r="AQ250" s="2" t="n">
        <v>2040.000000000055</v>
      </c>
      <c r="AR250" s="13">
        <f>AVERAGE(AO248:AO254)</f>
        <v/>
      </c>
      <c r="AS250" s="15" t="n">
        <v>28.14051866838315</v>
      </c>
      <c r="AT250" s="156">
        <f>(E250-W250)/E250</f>
        <v/>
      </c>
      <c r="AU250" s="155">
        <f>(I250-AF250)/I250</f>
        <v/>
      </c>
      <c r="AV250" s="155">
        <f>AG250/(AD250-AF250)</f>
        <v/>
      </c>
      <c r="AW250" s="155">
        <f>(G250-AM250)/G250</f>
        <v/>
      </c>
      <c r="AX250" s="254">
        <f>IF(AND(ISNUMBER(E250),ISNUMBER(W250)),E250-W250,"")</f>
        <v/>
      </c>
      <c r="AY250" s="254">
        <f>IF(AND(ISNUMBER(I250),ISNUMBER(AF250)),I250-AF250,"")</f>
        <v/>
      </c>
      <c r="AZ250" s="254">
        <f>IF(AND(ISNUMBER(AM250),ISNUMBER(G250)),G250-AM250,"")</f>
        <v/>
      </c>
      <c r="BA250" s="254">
        <f>IF(AND(ISNUMBER(AC250),ISNUMBER(AE250)),AC250-AE250,"")</f>
        <v/>
      </c>
      <c r="BB250" s="254">
        <f>IF(AND(ISNUMBER(AL250),ISNUMBER(AM250)),AL250-AM250,"")</f>
        <v/>
      </c>
      <c r="BC250" s="123">
        <f>IF(AND($E250&gt;0,$W250&gt;0),IF(($E250-$W250)/$E250&gt;0,($E250-$W250)/$E250,0),"")</f>
        <v/>
      </c>
      <c r="BD250" s="123">
        <f>IF(AND($I250&gt;0,$AF250&gt;=0),IF(($I250-$AF250)/$I250&gt;0,($I250-$AF250)/$I250,0),"")</f>
        <v/>
      </c>
      <c r="BE250" s="123" t="n"/>
      <c r="BF250" s="123">
        <f>IF(AND($G250&gt;0,$AM250&gt;0),IF(($G250-$AM250)/$G250&gt;0,($G250-$AM250)/$G250,0),"")</f>
        <v/>
      </c>
      <c r="BG250" s="6">
        <f>IF((AD250-AF250)/(AJ250/60)&lt;=0,"",(AD250-AF250)/(AJ250/60))</f>
        <v/>
      </c>
      <c r="BH250" s="6">
        <f>IF(OR(AJ250=0,AP250=0,NOT(ISNUMBER(AD250)),NOT(ISNUMBER(AF250)),NOT(ISNUMBER(AJ250)),NOT(ISNUMBER(AP250))),"",
IFERROR(IF((AD250-AF250)/(AJ250/60)/(AP250/1000)&lt;=0,"",(AD250-AF250)/(AJ250/60)/(AP250/1000)),""))</f>
        <v/>
      </c>
    </row>
    <row r="251" ht="15.75" customHeight="1">
      <c r="B251" t="n">
        <v>7</v>
      </c>
      <c r="C251" s="12" t="inlineStr">
        <is>
          <t>NO2 was 25/COD was only 59</t>
        </is>
      </c>
      <c r="D251" s="94" t="n">
        <v>45511</v>
      </c>
      <c r="E251" s="231" t="n">
        <v>7</v>
      </c>
      <c r="F251" s="3" t="n">
        <v>246</v>
      </c>
      <c r="G251" s="205">
        <f>IF(OR(S251="",S251=0),"",S251*2)</f>
        <v/>
      </c>
      <c r="I251" s="15">
        <f>(N251*18-H251*18)/9</f>
        <v/>
      </c>
      <c r="J251" s="9">
        <f>5/2*1.83</f>
        <v/>
      </c>
      <c r="K251" s="15">
        <f>AD251</f>
        <v/>
      </c>
      <c r="M251" s="10">
        <f>IF(OR(E251="",G251="",E251=0,G251=0),"",E251/G251)</f>
        <v/>
      </c>
      <c r="N251" s="9">
        <f>IF(OR(E251="",I251="",E251=0,I251=0),"",E251/(I251*2))</f>
        <v/>
      </c>
      <c r="O251" s="8">
        <f>IF(OR(I251="",G251="",I251=0,G251=0),"",I251*2/G251)</f>
        <v/>
      </c>
      <c r="P251" s="7">
        <f>5/2*4.51</f>
        <v/>
      </c>
      <c r="Q251" t="n">
        <v>73.38500000000001</v>
      </c>
      <c r="R251" t="n">
        <v>15.062</v>
      </c>
      <c r="S251" s="6">
        <f>O251*1.067</f>
        <v/>
      </c>
      <c r="T251" s="6">
        <f>P251*1.514</f>
        <v/>
      </c>
      <c r="U251" s="23">
        <f>P251*1.514+O251*1.067</f>
        <v/>
      </c>
      <c r="V251" s="6">
        <f>2.5*5.36</f>
        <v/>
      </c>
      <c r="W251" t="n">
        <v>0.108</v>
      </c>
      <c r="X251" s="6" t="n">
        <v>0</v>
      </c>
      <c r="Y251" s="23">
        <f>U251*1.067+V251*1.514</f>
        <v/>
      </c>
      <c r="Z251" s="6" t="n">
        <v>7.47</v>
      </c>
      <c r="AD251" s="5" t="n">
        <v>80</v>
      </c>
      <c r="AE251" s="7">
        <f>T251</f>
        <v/>
      </c>
      <c r="AF251" s="231">
        <f>5*3.79</f>
        <v/>
      </c>
      <c r="AG251" s="231">
        <f>2.5*4.7</f>
        <v/>
      </c>
      <c r="AH251" s="231">
        <f>2*5.63</f>
        <v/>
      </c>
      <c r="AI251" t="n">
        <v>0.14</v>
      </c>
      <c r="AJ251" s="119" t="n">
        <v>0.5208333333333334</v>
      </c>
      <c r="AL251" s="93" t="n">
        <v>175</v>
      </c>
      <c r="AM251" s="3" t="n">
        <v>180</v>
      </c>
      <c r="AN251" s="4">
        <f>AE251</f>
        <v/>
      </c>
      <c r="AO251" s="231">
        <f>2.5*4.27</f>
        <v/>
      </c>
      <c r="AP251" s="255">
        <f>360-AK251-AB251</f>
        <v/>
      </c>
      <c r="AR251" s="13">
        <f>AVERAGE(AO249:AO255)</f>
        <v/>
      </c>
      <c r="AS251" s="15" t="n"/>
      <c r="AT251" s="156">
        <f>(E251-W251)/E251</f>
        <v/>
      </c>
      <c r="AU251" s="155">
        <f>(I251-AF251)/I251</f>
        <v/>
      </c>
      <c r="AV251" s="155">
        <f>AG251/(AD251-AF251)</f>
        <v/>
      </c>
      <c r="AW251" s="155">
        <f>(G251-AM251)/G251</f>
        <v/>
      </c>
      <c r="AX251" s="254">
        <f>IF(AND(ISNUMBER(E251),ISNUMBER(W251)),E251-W251,"")</f>
        <v/>
      </c>
      <c r="AY251" s="254">
        <f>IF(AND(ISNUMBER(I251),ISNUMBER(AF251)),I251-AF251,"")</f>
        <v/>
      </c>
      <c r="AZ251" s="254">
        <f>IF(AND(ISNUMBER(AM251),ISNUMBER(G251)),G251-AM251,"")</f>
        <v/>
      </c>
      <c r="BA251" s="254">
        <f>IF(AND(ISNUMBER(AC251),ISNUMBER(AE251)),AC251-AE251,"")</f>
        <v/>
      </c>
      <c r="BB251" s="254">
        <f>IF(AND(ISNUMBER(AL251),ISNUMBER(AM251)),AL251-AM251,"")</f>
        <v/>
      </c>
      <c r="BC251" s="123">
        <f>IF(AND($E251&gt;0,$W251&gt;0),IF(($E251-$W251)/$E251&gt;0,($E251-$W251)/$E251,0),"")</f>
        <v/>
      </c>
      <c r="BD251" s="123">
        <f>IF(AND($I251&gt;0,$AF251&gt;=0),IF(($I251-$AF251)/$I251&gt;0,($I251-$AF251)/$I251,0),"")</f>
        <v/>
      </c>
      <c r="BE251" s="123">
        <f>IF(AND($AG251&gt;=0,$AD251&gt;=0,$AF251&gt;=0),IF($AG251/($AD251-$AF251)&gt;0,$AG251/($AD251-$AF251),0),"")</f>
        <v/>
      </c>
      <c r="BF251" s="123">
        <f>IF(AND($G251&gt;0,$AM251&gt;0),IF(($G251-$AM251)/$G251&gt;0,($G251-$AM251)/$G251,0),"")</f>
        <v/>
      </c>
      <c r="BG251" s="6">
        <f>IF((AD251-AF251)/(AJ251/60)&lt;=0,"",(AD251-AF251)/(AJ251/60))</f>
        <v/>
      </c>
      <c r="BH251" s="6" t="n"/>
    </row>
    <row r="252" ht="15.75" customHeight="1">
      <c r="A252" s="260" t="inlineStr">
        <is>
          <t>B33</t>
        </is>
      </c>
      <c r="B252" s="260" t="n">
        <v>8</v>
      </c>
      <c r="C252" s="12" t="inlineStr">
        <is>
          <t>pH was highish</t>
        </is>
      </c>
      <c r="D252" s="94" t="n">
        <v>45512</v>
      </c>
      <c r="E252" s="231" t="n">
        <v>8</v>
      </c>
      <c r="F252" s="3" t="n">
        <v>247</v>
      </c>
      <c r="G252" s="205">
        <f>IF(OR(S252="",S252=0),"",S252*2)</f>
        <v/>
      </c>
      <c r="I252" s="15">
        <f>(N252*18-H252*18)/9</f>
        <v/>
      </c>
      <c r="J252" s="9">
        <f>2*2.98</f>
        <v/>
      </c>
      <c r="K252" s="15">
        <f>AD252</f>
        <v/>
      </c>
      <c r="M252" s="10">
        <f>IF(OR(E252="",G252="",E252=0,G252=0),"",E252/G252)</f>
        <v/>
      </c>
      <c r="N252" s="9">
        <f>IF(OR(E252="",I252="",E252=0,I252=0),"",E252/(I252*2))</f>
        <v/>
      </c>
      <c r="O252" s="8">
        <f>IF(OR(I252="",G252="",I252=0,G252=0),"",I252*2/G252)</f>
        <v/>
      </c>
      <c r="P252" s="7">
        <f>2*6.42</f>
        <v/>
      </c>
      <c r="S252" s="6">
        <f>O252*1.067</f>
        <v/>
      </c>
      <c r="T252" s="6">
        <f>P252*1.514</f>
        <v/>
      </c>
      <c r="U252" s="23">
        <f>P252*1.514+O252*1.067</f>
        <v/>
      </c>
      <c r="V252" s="6">
        <f>2*7.66</f>
        <v/>
      </c>
      <c r="Y252" s="23">
        <f>U252*1.067+V252*1.514</f>
        <v/>
      </c>
      <c r="AD252" s="5" t="n">
        <v>80</v>
      </c>
      <c r="AE252" s="7">
        <f>T252</f>
        <v/>
      </c>
      <c r="AF252" s="231">
        <f>5*3.86</f>
        <v/>
      </c>
      <c r="AG252" s="231">
        <f>2*6.3</f>
        <v/>
      </c>
      <c r="AH252" s="231">
        <f>2*6.33</f>
        <v/>
      </c>
      <c r="AI252" t="n">
        <v>0.43</v>
      </c>
      <c r="AJ252" s="119" t="n">
        <v>0.5206018518518518</v>
      </c>
      <c r="AL252" s="93" t="n">
        <v>175</v>
      </c>
      <c r="AM252" s="3" t="n">
        <v>180</v>
      </c>
      <c r="AN252" s="4">
        <f>AE252</f>
        <v/>
      </c>
      <c r="AO252" s="231">
        <f>2*5.7</f>
        <v/>
      </c>
      <c r="AP252" s="255">
        <f>360-AK252-AB252</f>
        <v/>
      </c>
      <c r="AR252" s="13">
        <f>AVERAGE(AO250:AO256)</f>
        <v/>
      </c>
      <c r="AS252" s="15" t="n"/>
      <c r="AT252" s="156">
        <f>(E252-W252)/E252</f>
        <v/>
      </c>
      <c r="AU252" s="155">
        <f>(I252-AF252)/I252</f>
        <v/>
      </c>
      <c r="AV252" s="155">
        <f>AG252/(AD252-AF252)</f>
        <v/>
      </c>
      <c r="AW252" s="155">
        <f>(G252-AM252)/G252</f>
        <v/>
      </c>
      <c r="AX252" s="254">
        <f>IF(AND(ISNUMBER(E252),ISNUMBER(W252)),E252-W252,"")</f>
        <v/>
      </c>
      <c r="AY252" s="254">
        <f>IF(AND(ISNUMBER(I252),ISNUMBER(AF252)),I252-AF252,"")</f>
        <v/>
      </c>
      <c r="AZ252" s="254">
        <f>IF(AND(ISNUMBER(AM252),ISNUMBER(G252)),G252-AM252,"")</f>
        <v/>
      </c>
      <c r="BA252" s="254">
        <f>IF(AND(ISNUMBER(AC252),ISNUMBER(AE252)),AC252-AE252,"")</f>
        <v/>
      </c>
      <c r="BB252" s="254">
        <f>IF(AND(ISNUMBER(AL252),ISNUMBER(AM252)),AL252-AM252,"")</f>
        <v/>
      </c>
      <c r="BC252" s="123">
        <f>IF(AND($E252&gt;0,$W252&gt;0),IF(($E252-$W252)/$E252&gt;0,($E252-$W252)/$E252,0),"")</f>
        <v/>
      </c>
      <c r="BD252" s="123">
        <f>IF(AND($I252&gt;0,$AF252&gt;=0),IF(($I252-$AF252)/$I252&gt;0,($I252-$AF252)/$I252,0),"")</f>
        <v/>
      </c>
      <c r="BE252" s="123">
        <f>IF(AND($AG252&gt;=0,$AD252&gt;=0,$AF252&gt;=0),IF($AG252/($AD252-$AF252)&gt;0,$AG252/($AD252-$AF252),0),"")</f>
        <v/>
      </c>
      <c r="BF252" s="123">
        <f>IF(AND($G252&gt;0,$AM252&gt;0),IF(($G252-$AM252)/$G252&gt;0,($G252-$AM252)/$G252,0),"")</f>
        <v/>
      </c>
      <c r="BG252" s="6">
        <f>IF((AD252-AF252)/(AJ252/60)&lt;=0,"",(AD252-AF252)/(AJ252/60))</f>
        <v/>
      </c>
      <c r="BH252" s="6" t="n"/>
    </row>
    <row r="253" ht="15.75" customHeight="1">
      <c r="B253" t="n">
        <v>9</v>
      </c>
      <c r="D253" s="94" t="n">
        <v>45513</v>
      </c>
      <c r="E253" s="231" t="n">
        <v>9</v>
      </c>
      <c r="F253" s="3" t="n">
        <v>248</v>
      </c>
      <c r="G253" s="205">
        <f>IF(OR(S253="",S253=0),"",S253*2)</f>
        <v/>
      </c>
      <c r="I253" s="15">
        <f>(N253*18-H253*18)/9</f>
        <v/>
      </c>
      <c r="J253" s="9">
        <f>2*3.5</f>
        <v/>
      </c>
      <c r="K253" s="15">
        <f>AD253</f>
        <v/>
      </c>
      <c r="M253" s="10">
        <f>IF(OR(E253="",G253="",E253=0,G253=0),"",E253/G253)</f>
        <v/>
      </c>
      <c r="N253" s="9">
        <f>IF(OR(E253="",I253="",E253=0,I253=0),"",E253/(I253*2))</f>
        <v/>
      </c>
      <c r="O253" s="8">
        <f>IF(OR(I253="",G253="",I253=0,G253=0),"",I253*2/G253)</f>
        <v/>
      </c>
      <c r="P253" s="7">
        <f>2*6.89</f>
        <v/>
      </c>
      <c r="S253" s="6">
        <f>O253*1.067</f>
        <v/>
      </c>
      <c r="T253" s="6">
        <f>P253*1.514</f>
        <v/>
      </c>
      <c r="U253" s="23">
        <f>P253*1.514+O253*1.067</f>
        <v/>
      </c>
      <c r="V253" s="6">
        <f>2*7.88</f>
        <v/>
      </c>
      <c r="Y253" s="23">
        <f>U253*1.067+V253*1.514</f>
        <v/>
      </c>
      <c r="AD253" s="5" t="n">
        <v>80</v>
      </c>
      <c r="AE253" s="7">
        <f>T253</f>
        <v/>
      </c>
      <c r="AF253" s="231">
        <f>5*3.95</f>
        <v/>
      </c>
      <c r="AG253" s="231">
        <f>2*6.96</f>
        <v/>
      </c>
      <c r="AH253" s="231">
        <f>5*2.24</f>
        <v/>
      </c>
      <c r="AI253" t="n">
        <v>0.34</v>
      </c>
      <c r="AJ253" s="119" t="n">
        <v>0.5174768518518519</v>
      </c>
      <c r="AL253" s="93" t="n">
        <v>175</v>
      </c>
      <c r="AM253" s="3" t="n">
        <v>180</v>
      </c>
      <c r="AN253" s="4">
        <f>AE253</f>
        <v/>
      </c>
      <c r="AO253" s="231">
        <f>2*4.87</f>
        <v/>
      </c>
      <c r="AP253" s="255">
        <f>360-AK253-AB253</f>
        <v/>
      </c>
      <c r="AR253" s="13">
        <f>AVERAGE(AO251:AO257)</f>
        <v/>
      </c>
      <c r="AS253" s="15" t="n"/>
      <c r="AT253" s="156">
        <f>(E253-W253)/E253</f>
        <v/>
      </c>
      <c r="AU253" s="155">
        <f>(I253-AF253)/I253</f>
        <v/>
      </c>
      <c r="AV253" s="155">
        <f>AG253/(AD253-AF253)</f>
        <v/>
      </c>
      <c r="AW253" s="155">
        <f>(G253-AM253)/G253</f>
        <v/>
      </c>
      <c r="AX253" s="254">
        <f>IF(AND(ISNUMBER(E253),ISNUMBER(W253)),E253-W253,"")</f>
        <v/>
      </c>
      <c r="AY253" s="254">
        <f>IF(AND(ISNUMBER(I253),ISNUMBER(AF253)),I253-AF253,"")</f>
        <v/>
      </c>
      <c r="AZ253" s="254">
        <f>IF(AND(ISNUMBER(AM253),ISNUMBER(G253)),G253-AM253,"")</f>
        <v/>
      </c>
      <c r="BA253" s="254">
        <f>IF(AND(ISNUMBER(AC253),ISNUMBER(AE253)),AC253-AE253,"")</f>
        <v/>
      </c>
      <c r="BB253" s="254">
        <f>IF(AND(ISNUMBER(AL253),ISNUMBER(AM253)),AL253-AM253,"")</f>
        <v/>
      </c>
      <c r="BC253" s="123">
        <f>IF(AND($E253&gt;0,$W253&gt;0),IF(($E253-$W253)/$E253&gt;0,($E253-$W253)/$E253,0),"")</f>
        <v/>
      </c>
      <c r="BD253" s="123">
        <f>IF(AND($I253&gt;0,$AF253&gt;=0),IF(($I253-$AF253)/$I253&gt;0,($I253-$AF253)/$I253,0),"")</f>
        <v/>
      </c>
      <c r="BE253" s="123">
        <f>IF(AND($AG253&gt;=0,$AD253&gt;=0,$AF253&gt;=0),IF($AG253/($AD253-$AF253)&gt;0,$AG253/($AD253-$AF253),0),"")</f>
        <v/>
      </c>
      <c r="BF253" s="123">
        <f>IF(AND($G253&gt;0,$AM253&gt;0),IF(($G253-$AM253)/$G253&gt;0,($G253-$AM253)/$G253,0),"")</f>
        <v/>
      </c>
      <c r="BG253" s="6">
        <f>IF((AD253-AF253)/(AJ253/60)&lt;=0,"",(AD253-AF253)/(AJ253/60))</f>
        <v/>
      </c>
      <c r="BH253" s="6" t="n"/>
    </row>
    <row r="254" ht="15.75" customHeight="1">
      <c r="B254" t="n">
        <v>10</v>
      </c>
      <c r="C254" s="122" t="inlineStr">
        <is>
          <t xml:space="preserve">N2O production went into aerobic phase? </t>
        </is>
      </c>
      <c r="D254" s="94" t="n">
        <v>45514</v>
      </c>
      <c r="E254" s="231" t="n">
        <v>10</v>
      </c>
      <c r="F254" s="3" t="n">
        <v>249</v>
      </c>
      <c r="G254" s="205">
        <f>IF(OR(S254="",S254=0),"",S254*2)</f>
        <v/>
      </c>
      <c r="K254" s="15">
        <f>AD254</f>
        <v/>
      </c>
      <c r="M254" s="10">
        <f>IF(OR(E254="",G254="",E254=0,G254=0),"",E254/G254)</f>
        <v/>
      </c>
      <c r="N254" s="9">
        <f>IF(OR(E254="",I254="",E254=0,I254=0),"",E254/(I254*2))</f>
        <v/>
      </c>
      <c r="O254" s="8">
        <f>IF(OR(I254="",G254="",I254=0,G254=0),"",I254*2/G254)</f>
        <v/>
      </c>
      <c r="AD254" s="5" t="n">
        <v>80</v>
      </c>
      <c r="AI254" t="n">
        <v>0.17</v>
      </c>
      <c r="AJ254" s="119" t="n">
        <v>0.537962962962963</v>
      </c>
      <c r="AL254" s="93" t="n">
        <v>175</v>
      </c>
      <c r="AM254" s="3" t="n">
        <v>180</v>
      </c>
      <c r="AP254" s="255">
        <f>360-AK254-AB254</f>
        <v/>
      </c>
      <c r="AR254" s="13">
        <f>AVERAGE(AO252:AO258)</f>
        <v/>
      </c>
      <c r="AS254" s="15" t="n"/>
      <c r="AT254" s="156">
        <f>(E254-W254)/E254</f>
        <v/>
      </c>
      <c r="AU254" s="155">
        <f>(I254-AF254)/I254</f>
        <v/>
      </c>
      <c r="AV254" s="155">
        <f>AG254/(AD254-AF254)</f>
        <v/>
      </c>
      <c r="AW254" s="155">
        <f>(G254-AM254)/G254</f>
        <v/>
      </c>
      <c r="AX254" s="254">
        <f>IF(AND(ISNUMBER(E254),ISNUMBER(W254)),E254-W254,"")</f>
        <v/>
      </c>
      <c r="AY254" s="254">
        <f>IF(AND(ISNUMBER(I254),ISNUMBER(AF254)),I254-AF254,"")</f>
        <v/>
      </c>
      <c r="AZ254" s="254">
        <f>IF(AND(ISNUMBER(AM254),ISNUMBER(G254)),G254-AM254,"")</f>
        <v/>
      </c>
      <c r="BA254" s="254">
        <f>IF(AND(ISNUMBER(AC254),ISNUMBER(AE254)),AC254-AE254,"")</f>
        <v/>
      </c>
      <c r="BB254" s="254">
        <f>IF(AND(ISNUMBER(AL254),ISNUMBER(AM254)),AL254-AM254,"")</f>
        <v/>
      </c>
      <c r="BC254" s="123">
        <f>IF(AND($E254&gt;0,$W254&gt;0),IF(($E254-$W254)/$E254&gt;0,($E254-$W254)/$E254,0),"")</f>
        <v/>
      </c>
      <c r="BD254" s="123">
        <f>IF(AND($I254&gt;0,$AF254&gt;=0),IF(($I254-$AF254)/$I254&gt;0,($I254-$AF254)/$I254,0),"")</f>
        <v/>
      </c>
      <c r="BE254" s="123" t="n"/>
      <c r="BF254" s="123">
        <f>IF(AND($G254&gt;0,$AM254&gt;0),IF(($G254-$AM254)/$G254&gt;0,($G254-$AM254)/$G254,0),"")</f>
        <v/>
      </c>
      <c r="BG254" s="6">
        <f>IF((AD254-AF254)/(AJ254/60)&lt;=0,"",(AD254-AF254)/(AJ254/60))</f>
        <v/>
      </c>
      <c r="BH254" s="6">
        <f>IF(OR(AJ254=0,AP254=0,NOT(ISNUMBER(AD254)),NOT(ISNUMBER(AF254)),NOT(ISNUMBER(AJ254)),NOT(ISNUMBER(AP254))),"",
IFERROR(IF((AD254-AF254)/(AJ254/60)/(AP254/1000)&lt;=0,"",(AD254-AF254)/(AJ254/60)/(AP254/1000)),""))</f>
        <v/>
      </c>
    </row>
    <row r="255" ht="15.75" customHeight="1">
      <c r="B255" t="n">
        <v>11</v>
      </c>
      <c r="D255" s="94" t="n">
        <v>45515</v>
      </c>
      <c r="E255" s="231" t="n">
        <v>11</v>
      </c>
      <c r="F255" s="3" t="n">
        <v>250</v>
      </c>
      <c r="G255" s="205">
        <f>IF(OR(S255="",S255=0),"",S255*2)</f>
        <v/>
      </c>
      <c r="K255" s="15">
        <f>AD255</f>
        <v/>
      </c>
      <c r="M255" s="10">
        <f>IF(OR(E255="",G255="",E255=0,G255=0),"",E255/G255)</f>
        <v/>
      </c>
      <c r="N255" s="9">
        <f>IF(OR(E255="",I255="",E255=0,I255=0),"",E255/(I255*2))</f>
        <v/>
      </c>
      <c r="O255" s="8">
        <f>IF(OR(I255="",G255="",I255=0,G255=0),"",I255*2/G255)</f>
        <v/>
      </c>
      <c r="AD255" s="5" t="n">
        <v>80</v>
      </c>
      <c r="AI255" s="231" t="n">
        <v>0</v>
      </c>
      <c r="AJ255" s="119" t="n">
        <v>0.5208333333333334</v>
      </c>
      <c r="AL255" s="93" t="n">
        <v>175</v>
      </c>
      <c r="AM255" s="3" t="n">
        <v>180</v>
      </c>
      <c r="AP255" s="255">
        <f>360-AK255-AB255</f>
        <v/>
      </c>
      <c r="AR255" s="13">
        <f>AVERAGE(AO253:AO259)</f>
        <v/>
      </c>
      <c r="AS255" s="15" t="n"/>
      <c r="AT255" s="156">
        <f>(E255-W255)/E255</f>
        <v/>
      </c>
      <c r="AU255" s="155">
        <f>(I255-AF255)/I255</f>
        <v/>
      </c>
      <c r="AV255" s="155">
        <f>AG255/(AD255-AF255)</f>
        <v/>
      </c>
      <c r="AW255" s="155">
        <f>(G255-AM255)/G255</f>
        <v/>
      </c>
      <c r="AX255" s="254">
        <f>IF(AND(ISNUMBER(E255),ISNUMBER(W255)),E255-W255,"")</f>
        <v/>
      </c>
      <c r="AY255" s="254">
        <f>IF(AND(ISNUMBER(I255),ISNUMBER(AF255)),I255-AF255,"")</f>
        <v/>
      </c>
      <c r="AZ255" s="254">
        <f>IF(AND(ISNUMBER(AM255),ISNUMBER(G255)),G255-AM255,"")</f>
        <v/>
      </c>
      <c r="BA255" s="254">
        <f>IF(AND(ISNUMBER(AC255),ISNUMBER(AE255)),AC255-AE255,"")</f>
        <v/>
      </c>
      <c r="BB255" s="254">
        <f>IF(AND(ISNUMBER(AL255),ISNUMBER(AM255)),AL255-AM255,"")</f>
        <v/>
      </c>
      <c r="BC255" s="123">
        <f>IF(AND($E255&gt;0,$W255&gt;0),IF(($E255-$W255)/$E255&gt;0,($E255-$W255)/$E255,0),"")</f>
        <v/>
      </c>
      <c r="BD255" s="123">
        <f>IF(AND($I255&gt;0,$AF255&gt;=0),IF(($I255-$AF255)/$I255&gt;0,($I255-$AF255)/$I255,0),"")</f>
        <v/>
      </c>
      <c r="BE255" s="123" t="n"/>
      <c r="BF255" s="123">
        <f>IF(AND($G255&gt;0,$AM255&gt;0),IF(($G255-$AM255)/$G255&gt;0,($G255-$AM255)/$G255,0),"")</f>
        <v/>
      </c>
      <c r="BG255" s="6">
        <f>IF((AD255-AF255)/(AJ255/60)&lt;=0,"",(AD255-AF255)/(AJ255/60))</f>
        <v/>
      </c>
      <c r="BH255" s="6">
        <f>IF(OR(AJ255=0,AP255=0,NOT(ISNUMBER(AD255)),NOT(ISNUMBER(AF255)),NOT(ISNUMBER(AJ255)),NOT(ISNUMBER(AP255))),"",
IFERROR(IF((AD255-AF255)/(AJ255/60)/(AP255/1000)&lt;=0,"",(AD255-AF255)/(AJ255/60)/(AP255/1000)),""))</f>
        <v/>
      </c>
    </row>
    <row r="256" ht="15.75" customHeight="1">
      <c r="B256" t="n">
        <v>12</v>
      </c>
      <c r="C256" s="12" t="inlineStr">
        <is>
          <t>Zhen burrowed N2O probe</t>
        </is>
      </c>
      <c r="D256" s="94" t="n">
        <v>45516</v>
      </c>
      <c r="E256" s="231" t="n">
        <v>12</v>
      </c>
      <c r="F256" s="3" t="n">
        <v>251</v>
      </c>
      <c r="G256" s="205">
        <f>IF(OR(S256="",S256=0),"",S256*2)</f>
        <v/>
      </c>
      <c r="I256" s="124" t="n">
        <v>13.24</v>
      </c>
      <c r="J256" s="9">
        <f>2*1.29</f>
        <v/>
      </c>
      <c r="K256" s="15">
        <f>AD256</f>
        <v/>
      </c>
      <c r="M256" s="10">
        <f>IF(OR(E256="",G256="",E256=0,G256=0),"",E256/G256)</f>
        <v/>
      </c>
      <c r="N256" s="9">
        <f>IF(OR(E256="",I256="",E256=0,I256=0),"",E256/(I256*2))</f>
        <v/>
      </c>
      <c r="O256" s="8">
        <f>IF(OR(I256="",G256="",I256=0,G256=0),"",I256*2/G256)</f>
        <v/>
      </c>
      <c r="P256" s="7">
        <f>2*6.35</f>
        <v/>
      </c>
      <c r="S256" s="6">
        <f>O256*1.067</f>
        <v/>
      </c>
      <c r="T256" s="6">
        <f>P256*1.514</f>
        <v/>
      </c>
      <c r="U256" s="23">
        <f>P256*1.514+O256*1.067</f>
        <v/>
      </c>
      <c r="V256" s="6">
        <f>2*8.78</f>
        <v/>
      </c>
      <c r="Y256" s="23">
        <f>U256*1.067+V256*1.514</f>
        <v/>
      </c>
      <c r="AD256" s="5" t="n">
        <v>80</v>
      </c>
      <c r="AE256" s="7">
        <f>T256</f>
        <v/>
      </c>
      <c r="AF256" s="231">
        <f>5*3.51</f>
        <v/>
      </c>
      <c r="AG256" s="231">
        <f>2*7.06</f>
        <v/>
      </c>
      <c r="AH256" s="231" t="n">
        <v>0.129</v>
      </c>
      <c r="AI256" s="231" t="n">
        <v>0</v>
      </c>
      <c r="AJ256" s="119" t="n">
        <v>0.5208333333333334</v>
      </c>
      <c r="AL256" s="93" t="n">
        <v>175</v>
      </c>
      <c r="AM256" s="3" t="n">
        <v>180</v>
      </c>
      <c r="AN256" s="4">
        <f>AE256</f>
        <v/>
      </c>
      <c r="AO256" s="231">
        <f>2*5.25</f>
        <v/>
      </c>
      <c r="AP256" s="255">
        <f>360-AK256-AB256</f>
        <v/>
      </c>
      <c r="AR256" s="13">
        <f>AVERAGE(AO254:AO260)</f>
        <v/>
      </c>
      <c r="AS256" s="15" t="n"/>
      <c r="AT256" s="156">
        <f>(E256-W256)/E256</f>
        <v/>
      </c>
      <c r="AU256" s="155">
        <f>(I256-AF256)/I256</f>
        <v/>
      </c>
      <c r="AV256" s="155">
        <f>AG256/(AD256-AF256)</f>
        <v/>
      </c>
      <c r="AW256" s="155">
        <f>(G256-AM256)/G256</f>
        <v/>
      </c>
      <c r="AX256" s="254">
        <f>IF(AND(ISNUMBER(E256),ISNUMBER(W256)),E256-W256,"")</f>
        <v/>
      </c>
      <c r="AY256" s="254">
        <f>IF(AND(ISNUMBER(I256),ISNUMBER(AF256)),I256-AF256,"")</f>
        <v/>
      </c>
      <c r="AZ256" s="254">
        <f>IF(AND(ISNUMBER(AM256),ISNUMBER(G256)),G256-AM256,"")</f>
        <v/>
      </c>
      <c r="BA256" s="254">
        <f>IF(AND(ISNUMBER(AC256),ISNUMBER(AE256)),AC256-AE256,"")</f>
        <v/>
      </c>
      <c r="BB256" s="254">
        <f>IF(AND(ISNUMBER(AL256),ISNUMBER(AM256)),AL256-AM256,"")</f>
        <v/>
      </c>
      <c r="BC256" s="123">
        <f>IF(AND($E256&gt;0,$W256&gt;0),IF(($E256-$W256)/$E256&gt;0,($E256-$W256)/$E256,0),"")</f>
        <v/>
      </c>
      <c r="BD256" s="123">
        <f>IF(AND($I256&gt;0,$AF256&gt;=0),IF(($I256-$AF256)/$I256&gt;0,($I256-$AF256)/$I256,0),"")</f>
        <v/>
      </c>
      <c r="BE256" s="123">
        <f>IF(AND($AG256&gt;=0,$AD256&gt;=0,$AF256&gt;=0),IF($AG256/($AD256-$AF256)&gt;0,$AG256/($AD256-$AF256),0),"")</f>
        <v/>
      </c>
      <c r="BF256" s="123">
        <f>IF(AND($G256&gt;0,$AM256&gt;0),IF(($G256-$AM256)/$G256&gt;0,($G256-$AM256)/$G256,0),"")</f>
        <v/>
      </c>
      <c r="BG256" s="6">
        <f>IF((AD256-AF256)/(AJ256/60)&lt;=0,"",(AD256-AF256)/(AJ256/60))</f>
        <v/>
      </c>
      <c r="BH256" s="6">
        <f>IF(OR(AJ256=0,AP256=0,NOT(ISNUMBER(AD256)),NOT(ISNUMBER(AF256)),NOT(ISNUMBER(AJ256)),NOT(ISNUMBER(AP256))),"",
IFERROR(IF((AD256-AF256)/(AJ256/60)/(AP256/1000)&lt;=0,"",(AD256-AF256)/(AJ256/60)/(AP256/1000)),""))</f>
        <v/>
      </c>
    </row>
    <row r="257" ht="15.75" customHeight="1">
      <c r="B257" t="n">
        <v>13</v>
      </c>
      <c r="C257" s="122" t="inlineStr">
        <is>
          <t xml:space="preserve">N2O production went into aerobic phase? </t>
        </is>
      </c>
      <c r="D257" s="94" t="n">
        <v>45517</v>
      </c>
      <c r="E257" s="231" t="n">
        <v>13</v>
      </c>
      <c r="F257" s="3" t="n">
        <v>252</v>
      </c>
      <c r="G257" s="205">
        <f>IF(OR(S257="",S257=0),"",S257*2)</f>
        <v/>
      </c>
      <c r="I257" s="15">
        <f>(N257*18-H257*18)/9</f>
        <v/>
      </c>
      <c r="J257" s="9">
        <f>2*2.92</f>
        <v/>
      </c>
      <c r="K257" s="15">
        <f>AD257</f>
        <v/>
      </c>
      <c r="M257" s="10">
        <f>IF(OR(E257="",G257="",E257=0,G257=0),"",E257/G257)</f>
        <v/>
      </c>
      <c r="N257" s="9">
        <f>IF(OR(E257="",I257="",E257=0,I257=0),"",E257/(I257*2))</f>
        <v/>
      </c>
      <c r="O257" s="8">
        <f>IF(OR(I257="",G257="",I257=0,G257=0),"",I257*2/G257)</f>
        <v/>
      </c>
      <c r="P257" s="7">
        <f>2*6.23</f>
        <v/>
      </c>
      <c r="Q257" t="n">
        <v>78.64</v>
      </c>
      <c r="R257" t="n">
        <v>16.744</v>
      </c>
      <c r="S257" s="6">
        <f>O257*1.067</f>
        <v/>
      </c>
      <c r="T257" s="6">
        <f>P257*1.514</f>
        <v/>
      </c>
      <c r="U257" s="23">
        <f>P257*1.514+O257*1.067</f>
        <v/>
      </c>
      <c r="V257" s="6">
        <f>2*7.59</f>
        <v/>
      </c>
      <c r="W257" t="n">
        <v>0.55</v>
      </c>
      <c r="X257" t="n">
        <v>0.253</v>
      </c>
      <c r="Y257" s="23">
        <f>U257*1.067+V257*1.514</f>
        <v/>
      </c>
      <c r="Z257" s="6" t="n">
        <v>8.550000000000001</v>
      </c>
      <c r="AD257" s="5" t="n">
        <v>80</v>
      </c>
      <c r="AE257" s="4">
        <f>2*6.67</f>
        <v/>
      </c>
      <c r="AF257" s="231">
        <f>5*3.75</f>
        <v/>
      </c>
      <c r="AG257" s="231">
        <f>2*6.67</f>
        <v/>
      </c>
      <c r="AH257" s="231">
        <f>5*1.49</f>
        <v/>
      </c>
      <c r="AI257" t="n">
        <v>0.15</v>
      </c>
      <c r="AJ257" s="119" t="n">
        <v>0.5378472222222223</v>
      </c>
      <c r="AL257" s="93" t="n">
        <v>175</v>
      </c>
      <c r="AM257" s="3" t="n">
        <v>180</v>
      </c>
      <c r="AN257" s="4">
        <f>AE257</f>
        <v/>
      </c>
      <c r="AO257" s="231">
        <f>5.7*2</f>
        <v/>
      </c>
      <c r="AP257" s="255">
        <f>360-AK257-AB257</f>
        <v/>
      </c>
      <c r="AQ257" s="2" t="n">
        <v>2009.999999999991</v>
      </c>
      <c r="AR257" s="13">
        <f>AVERAGE(AO255:AO261)</f>
        <v/>
      </c>
      <c r="AS257" s="15" t="n">
        <v>17.23842195540278</v>
      </c>
      <c r="AT257" s="156">
        <f>(E257-W257)/E257</f>
        <v/>
      </c>
      <c r="AU257" s="155">
        <f>(I257-AF257)/I257</f>
        <v/>
      </c>
      <c r="AV257" s="155">
        <f>AG257/(AD257-AF257)</f>
        <v/>
      </c>
      <c r="AW257" s="155">
        <f>(G257-AM257)/G257</f>
        <v/>
      </c>
      <c r="AX257" s="254">
        <f>IF(AND(ISNUMBER(E257),ISNUMBER(W257)),E257-W257,"")</f>
        <v/>
      </c>
      <c r="AY257" s="254">
        <f>IF(AND(ISNUMBER(I257),ISNUMBER(AF257)),I257-AF257,"")</f>
        <v/>
      </c>
      <c r="AZ257" s="254">
        <f>IF(AND(ISNUMBER(AM257),ISNUMBER(G257)),G257-AM257,"")</f>
        <v/>
      </c>
      <c r="BA257" s="254">
        <f>IF(AND(ISNUMBER(AC257),ISNUMBER(AE257)),AC257-AE257,"")</f>
        <v/>
      </c>
      <c r="BB257" s="254">
        <f>IF(AND(ISNUMBER(AL257),ISNUMBER(AM257)),AL257-AM257,"")</f>
        <v/>
      </c>
      <c r="BC257" s="123">
        <f>IF(AND($E257&gt;0,$W257&gt;0),IF(($E257-$W257)/$E257&gt;0,($E257-$W257)/$E257,0),"")</f>
        <v/>
      </c>
      <c r="BD257" s="123">
        <f>IF(AND($I257&gt;0,$AF257&gt;=0),IF(($I257-$AF257)/$I257&gt;0,($I257-$AF257)/$I257,0),"")</f>
        <v/>
      </c>
      <c r="BE257" s="123">
        <f>IF(AND($AG257&gt;=0,$AD257&gt;=0,$AF257&gt;=0),IF($AG257/($AD257-$AF257)&gt;0,$AG257/($AD257-$AF257),0),"")</f>
        <v/>
      </c>
      <c r="BF257" s="123">
        <f>IF(AND($G257&gt;0,$AM257&gt;0),IF(($G257-$AM257)/$G257&gt;0,($G257-$AM257)/$G257,0),"")</f>
        <v/>
      </c>
      <c r="BG257" s="6">
        <f>IF((AD257-AF257)/(AJ257/60)&lt;=0,"",(AD257-AF257)/(AJ257/60))</f>
        <v/>
      </c>
      <c r="BH257" s="6" t="n"/>
    </row>
    <row r="258" ht="15.75" customHeight="1">
      <c r="B258" t="n">
        <v>14</v>
      </c>
      <c r="D258" s="94" t="n">
        <v>45518</v>
      </c>
      <c r="E258" s="231" t="n">
        <v>14</v>
      </c>
      <c r="F258" s="3" t="n">
        <v>253</v>
      </c>
      <c r="G258" s="205">
        <f>IF(OR(S258="",S258=0),"",S258*2)</f>
        <v/>
      </c>
      <c r="K258" s="15">
        <f>AD258</f>
        <v/>
      </c>
      <c r="M258" s="10">
        <f>IF(OR(E258="",G258="",E258=0,G258=0),"",E258/G258)</f>
        <v/>
      </c>
      <c r="N258" s="9">
        <f>IF(OR(E258="",I258="",E258=0,I258=0),"",E258/(I258*2))</f>
        <v/>
      </c>
      <c r="O258" s="8">
        <f>IF(OR(I258="",G258="",I258=0,G258=0),"",I258*2/G258)</f>
        <v/>
      </c>
      <c r="Z258" s="6" t="n">
        <v>8.15</v>
      </c>
      <c r="AD258" s="5" t="n">
        <v>80</v>
      </c>
      <c r="AF258" s="93" t="n">
        <v>18.75</v>
      </c>
      <c r="AI258" t="n">
        <v>0.31</v>
      </c>
      <c r="AJ258" s="119" t="n">
        <v>0.5177083333333333</v>
      </c>
      <c r="AL258" t="n">
        <v>83</v>
      </c>
      <c r="AM258" s="3" t="n">
        <v>180</v>
      </c>
      <c r="AP258" s="255">
        <f>360-AK258-AB258</f>
        <v/>
      </c>
      <c r="AR258" s="13">
        <f>AVERAGE(AO256:AO262)</f>
        <v/>
      </c>
      <c r="AS258" s="15" t="n"/>
      <c r="AT258" s="156">
        <f>(E258-W258)/E258</f>
        <v/>
      </c>
      <c r="AU258" s="155">
        <f>(I258-AF258)/I258</f>
        <v/>
      </c>
      <c r="AV258" s="155">
        <f>AG258/(AD258-AF258)</f>
        <v/>
      </c>
      <c r="AW258" s="155">
        <f>(G258-AM258)/G258</f>
        <v/>
      </c>
      <c r="AX258" s="254">
        <f>IF(AND(ISNUMBER(E258),ISNUMBER(W258)),E258-W258,"")</f>
        <v/>
      </c>
      <c r="AY258" s="254">
        <f>IF(AND(ISNUMBER(I258),ISNUMBER(AF258)),I258-AF258,"")</f>
        <v/>
      </c>
      <c r="AZ258" s="254">
        <f>IF(AND(ISNUMBER(AM258),ISNUMBER(G258)),G258-AM258,"")</f>
        <v/>
      </c>
      <c r="BA258" s="254">
        <f>IF(AND(ISNUMBER(AC258),ISNUMBER(AE258)),AC258-AE258,"")</f>
        <v/>
      </c>
      <c r="BB258" s="254">
        <f>IF(AND(ISNUMBER(AL258),ISNUMBER(AM258)),AL258-AM258,"")</f>
        <v/>
      </c>
      <c r="BC258" s="123">
        <f>IF(AND($E258&gt;0,$W258&gt;0),IF(($E258-$W258)/$E258&gt;0,($E258-$W258)/$E258,0),"")</f>
        <v/>
      </c>
      <c r="BD258" s="123">
        <f>IF(AND($I258&gt;0,$AF258&gt;=0),IF(($I258-$AF258)/$I258&gt;0,($I258-$AF258)/$I258,0),"")</f>
        <v/>
      </c>
      <c r="BE258" s="123" t="n"/>
      <c r="BF258" s="123">
        <f>IF(AND($G258&gt;0,$AM258&gt;0),IF(($G258-$AM258)/$G258&gt;0,($G258-$AM258)/$G258,0),"")</f>
        <v/>
      </c>
      <c r="BG258" s="6">
        <f>IF((AD258-AF258)/(AJ258/60)&lt;=0,"",(AD258-AF258)/(AJ258/60))</f>
        <v/>
      </c>
      <c r="BH258" s="6">
        <f>IF(OR(AJ258=0,AP258=0,NOT(ISNUMBER(AD258)),NOT(ISNUMBER(AF258)),NOT(ISNUMBER(AJ258)),NOT(ISNUMBER(AP258))),"",
IFERROR(IF((AD258-AF258)/(AJ258/60)/(AP258/1000)&lt;=0,"",(AD258-AF258)/(AJ258/60)/(AP258/1000)),""))</f>
        <v/>
      </c>
    </row>
    <row r="259" ht="15.75" customHeight="1">
      <c r="A259" s="260" t="inlineStr">
        <is>
          <t>B34</t>
        </is>
      </c>
      <c r="B259" s="260" t="n">
        <v>15</v>
      </c>
      <c r="D259" s="94" t="n">
        <v>45519</v>
      </c>
      <c r="E259" s="231" t="n">
        <v>15</v>
      </c>
      <c r="F259" s="3" t="n">
        <v>254</v>
      </c>
      <c r="G259" s="205">
        <f>IF(OR(S259="",S259=0),"",S259*2)</f>
        <v/>
      </c>
      <c r="K259" s="15">
        <f>AD259</f>
        <v/>
      </c>
      <c r="M259" s="10">
        <f>IF(OR(E259="",G259="",E259=0,G259=0),"",E259/G259)</f>
        <v/>
      </c>
      <c r="N259" s="9">
        <f>IF(OR(E259="",I259="",E259=0,I259=0),"",E259/(I259*2))</f>
        <v/>
      </c>
      <c r="O259" s="8">
        <f>IF(OR(I259="",G259="",I259=0,G259=0),"",I259*2/G259)</f>
        <v/>
      </c>
      <c r="Z259" s="6" t="n">
        <v>5.38</v>
      </c>
      <c r="AD259" s="5" t="n">
        <v>80</v>
      </c>
      <c r="AF259" s="93" t="n">
        <v>18.75</v>
      </c>
      <c r="AI259" t="n">
        <v>0.17</v>
      </c>
      <c r="AJ259" s="119" t="n">
        <v>0.5370370370370371</v>
      </c>
      <c r="AL259" s="93" t="n">
        <v>88</v>
      </c>
      <c r="AM259" s="3" t="n">
        <v>180</v>
      </c>
      <c r="AP259" s="255">
        <f>360-AK259-AB259</f>
        <v/>
      </c>
      <c r="AR259" s="13">
        <f>AVERAGE(AO257:AO263)</f>
        <v/>
      </c>
      <c r="AS259" s="15" t="n"/>
      <c r="AT259" s="156">
        <f>(E259-W259)/E259</f>
        <v/>
      </c>
      <c r="AU259" s="155">
        <f>(I259-AF259)/I259</f>
        <v/>
      </c>
      <c r="AV259" s="155">
        <f>AG259/(AD259-AF259)</f>
        <v/>
      </c>
      <c r="AW259" s="155">
        <f>(G259-AM259)/G259</f>
        <v/>
      </c>
      <c r="AX259" s="254">
        <f>IF(AND(ISNUMBER(E259),ISNUMBER(W259)),E259-W259,"")</f>
        <v/>
      </c>
      <c r="AY259" s="254">
        <f>IF(AND(ISNUMBER(I259),ISNUMBER(AF259)),I259-AF259,"")</f>
        <v/>
      </c>
      <c r="AZ259" s="254">
        <f>IF(AND(ISNUMBER(AM259),ISNUMBER(G259)),G259-AM259,"")</f>
        <v/>
      </c>
      <c r="BA259" s="254">
        <f>IF(AND(ISNUMBER(AC259),ISNUMBER(AE259)),AC259-AE259,"")</f>
        <v/>
      </c>
      <c r="BB259" s="254">
        <f>IF(AND(ISNUMBER(AL259),ISNUMBER(AM259)),AL259-AM259,"")</f>
        <v/>
      </c>
      <c r="BC259" s="123">
        <f>IF(AND($E259&gt;0,$W259&gt;0),IF(($E259-$W259)/$E259&gt;0,($E259-$W259)/$E259,0),"")</f>
        <v/>
      </c>
      <c r="BD259" s="123">
        <f>IF(AND($I259&gt;0,$AF259&gt;=0),IF(($I259-$AF259)/$I259&gt;0,($I259-$AF259)/$I259,0),"")</f>
        <v/>
      </c>
      <c r="BE259" s="123" t="n"/>
      <c r="BF259" s="123">
        <f>IF(AND($G259&gt;0,$AM259&gt;0),IF(($G259-$AM259)/$G259&gt;0,($G259-$AM259)/$G259,0),"")</f>
        <v/>
      </c>
      <c r="BG259" s="6">
        <f>IF((AD259-AF259)/(AJ259/60)&lt;=0,"",(AD259-AF259)/(AJ259/60))</f>
        <v/>
      </c>
      <c r="BH259" s="6">
        <f>IF(OR(AJ259=0,AP259=0,NOT(ISNUMBER(AD259)),NOT(ISNUMBER(AF259)),NOT(ISNUMBER(AJ259)),NOT(ISNUMBER(AP259))),"",
IFERROR(IF((AD259-AF259)/(AJ259/60)/(AP259/1000)&lt;=0,"",(AD259-AF259)/(AJ259/60)/(AP259/1000)),""))</f>
        <v/>
      </c>
    </row>
    <row r="260" ht="15.75" customHeight="1">
      <c r="B260" t="n">
        <v>16</v>
      </c>
      <c r="D260" s="94" t="n">
        <v>45520</v>
      </c>
      <c r="E260" s="231" t="n">
        <v>16</v>
      </c>
      <c r="F260" s="3" t="n">
        <v>255</v>
      </c>
      <c r="G260" s="205">
        <f>IF(OR(S260="",S260=0),"",S260*2)</f>
        <v/>
      </c>
      <c r="K260" s="15">
        <f>AD260</f>
        <v/>
      </c>
      <c r="M260" s="10">
        <f>IF(OR(E260="",G260="",E260=0,G260=0),"",E260/G260)</f>
        <v/>
      </c>
      <c r="N260" s="9">
        <f>IF(OR(E260="",I260="",E260=0,I260=0),"",E260/(I260*2))</f>
        <v/>
      </c>
      <c r="O260" s="8">
        <f>IF(OR(I260="",G260="",I260=0,G260=0),"",I260*2/G260)</f>
        <v/>
      </c>
      <c r="Z260" s="6" t="n">
        <v>6.41</v>
      </c>
      <c r="AD260" s="5" t="n">
        <v>80</v>
      </c>
      <c r="AF260" s="93" t="n">
        <v>18.75</v>
      </c>
      <c r="AL260" t="n">
        <v>93</v>
      </c>
      <c r="AM260" s="3" t="n">
        <v>180</v>
      </c>
      <c r="AP260" s="255">
        <f>360-AK260-AB260</f>
        <v/>
      </c>
      <c r="AR260" s="13">
        <f>AVERAGE(AO258:AO264)</f>
        <v/>
      </c>
      <c r="AS260" s="15" t="n"/>
      <c r="AT260" s="156">
        <f>(E260-W260)/E260</f>
        <v/>
      </c>
      <c r="AU260" s="155">
        <f>(I260-AF260)/I260</f>
        <v/>
      </c>
      <c r="AV260" s="155">
        <f>AG260/(AD260-AF260)</f>
        <v/>
      </c>
      <c r="AW260" s="155">
        <f>(G260-AM260)/G260</f>
        <v/>
      </c>
      <c r="AX260" s="254">
        <f>IF(AND(ISNUMBER(E260),ISNUMBER(W260)),E260-W260,"")</f>
        <v/>
      </c>
      <c r="AY260" s="254">
        <f>IF(AND(ISNUMBER(I260),ISNUMBER(AF260)),I260-AF260,"")</f>
        <v/>
      </c>
      <c r="AZ260" s="254">
        <f>IF(AND(ISNUMBER(AM260),ISNUMBER(G260)),G260-AM260,"")</f>
        <v/>
      </c>
      <c r="BA260" s="254">
        <f>IF(AND(ISNUMBER(AC260),ISNUMBER(AE260)),AC260-AE260,"")</f>
        <v/>
      </c>
      <c r="BB260" s="254">
        <f>IF(AND(ISNUMBER(AL260),ISNUMBER(AM260)),AL260-AM260,"")</f>
        <v/>
      </c>
      <c r="BC260" s="123">
        <f>IF(AND($E260&gt;0,$W260&gt;0),IF(($E260-$W260)/$E260&gt;0,($E260-$W260)/$E260,0),"")</f>
        <v/>
      </c>
      <c r="BD260" s="123">
        <f>IF(AND($I260&gt;0,$AF260&gt;=0),IF(($I260-$AF260)/$I260&gt;0,($I260-$AF260)/$I260,0),"")</f>
        <v/>
      </c>
      <c r="BE260" s="123" t="n"/>
      <c r="BF260" s="123">
        <f>IF(AND($G260&gt;0,$AM260&gt;0),IF(($G260-$AM260)/$G260&gt;0,($G260-$AM260)/$G260,0),"")</f>
        <v/>
      </c>
      <c r="BG260" s="6">
        <f>IF((AD260-AF260)/(AJ260/60)&lt;=0,"",(AD260-AF260)/(AJ260/60))</f>
        <v/>
      </c>
      <c r="BH260" s="6">
        <f>IF(OR(AJ260=0,AP260=0,NOT(ISNUMBER(AD260)),NOT(ISNUMBER(AF260)),NOT(ISNUMBER(AJ260)),NOT(ISNUMBER(AP260))),"",
IFERROR(IF((AD260-AF260)/(AJ260/60)/(AP260/1000)&lt;=0,"",(AD260-AF260)/(AJ260/60)/(AP260/1000)),""))</f>
        <v/>
      </c>
    </row>
    <row r="261" ht="15.75" customHeight="1">
      <c r="B261" t="n">
        <v>17</v>
      </c>
      <c r="C261" s="12" t="inlineStr">
        <is>
          <t xml:space="preserve">bunch of base added into system over weekend </t>
        </is>
      </c>
      <c r="D261" s="94" t="n">
        <v>45521</v>
      </c>
      <c r="E261" s="231" t="n">
        <v>17</v>
      </c>
      <c r="F261" s="3" t="n">
        <v>256</v>
      </c>
      <c r="G261" s="205">
        <f>IF(OR(S261="",S261=0),"",S261*2)</f>
        <v/>
      </c>
      <c r="K261" s="15">
        <f>AD261</f>
        <v/>
      </c>
      <c r="M261" s="10">
        <f>IF(OR(E261="",G261="",E261=0,G261=0),"",E261/G261)</f>
        <v/>
      </c>
      <c r="N261" s="9">
        <f>IF(OR(E261="",I261="",E261=0,I261=0),"",E261/(I261*2))</f>
        <v/>
      </c>
      <c r="O261" s="8">
        <f>IF(OR(I261="",G261="",I261=0,G261=0),"",I261*2/G261)</f>
        <v/>
      </c>
      <c r="Z261" s="6" t="n">
        <v>5.68</v>
      </c>
      <c r="AD261" s="5" t="n">
        <v>80</v>
      </c>
      <c r="AF261" s="93" t="n">
        <v>18.75</v>
      </c>
      <c r="AM261" s="3" t="n">
        <v>180</v>
      </c>
      <c r="AP261" s="255">
        <f>360-AK261-AB261</f>
        <v/>
      </c>
      <c r="AR261" s="13">
        <f>AVERAGE(AO259:AO265)</f>
        <v/>
      </c>
      <c r="AS261" s="15" t="n"/>
      <c r="AT261" s="156">
        <f>(E261-W261)/E261</f>
        <v/>
      </c>
      <c r="AU261" s="155">
        <f>(I261-AF261)/I261</f>
        <v/>
      </c>
      <c r="AV261" s="155">
        <f>AG261/(AD261-AF261)</f>
        <v/>
      </c>
      <c r="AW261" s="155">
        <f>(G261-AM261)/G261</f>
        <v/>
      </c>
      <c r="AX261" s="254">
        <f>IF(AND(ISNUMBER(E261),ISNUMBER(W261)),E261-W261,"")</f>
        <v/>
      </c>
      <c r="AY261" s="254">
        <f>IF(AND(ISNUMBER(I261),ISNUMBER(AF261)),I261-AF261,"")</f>
        <v/>
      </c>
      <c r="AZ261" s="254">
        <f>IF(AND(ISNUMBER(AM261),ISNUMBER(G261)),G261-AM261,"")</f>
        <v/>
      </c>
      <c r="BA261" s="254">
        <f>IF(AND(ISNUMBER(AC261),ISNUMBER(AE261)),AC261-AE261,"")</f>
        <v/>
      </c>
      <c r="BB261" s="254">
        <f>IF(AND(ISNUMBER(AL261),ISNUMBER(AM261)),AL261-AM261,"")</f>
        <v/>
      </c>
      <c r="BC261" s="123">
        <f>IF(AND($E261&gt;0,$W261&gt;0),IF(($E261-$W261)/$E261&gt;0,($E261-$W261)/$E261,0),"")</f>
        <v/>
      </c>
      <c r="BD261" s="123">
        <f>IF(AND($I261&gt;0,$AF261&gt;=0),IF(($I261-$AF261)/$I261&gt;0,($I261-$AF261)/$I261,0),"")</f>
        <v/>
      </c>
      <c r="BE261" s="123" t="n"/>
      <c r="BF261" s="123">
        <f>IF(AND($G261&gt;0,$AM261&gt;0),IF(($G261-$AM261)/$G261&gt;0,($G261-$AM261)/$G261,0),"")</f>
        <v/>
      </c>
      <c r="BG261" s="6">
        <f>IF((AD261-AF261)/(AJ261/60)&lt;=0,"",(AD261-AF261)/(AJ261/60))</f>
        <v/>
      </c>
      <c r="BH261" s="6">
        <f>IF(OR(AJ261=0,AP261=0,NOT(ISNUMBER(AD261)),NOT(ISNUMBER(AF261)),NOT(ISNUMBER(AJ261)),NOT(ISNUMBER(AP261))),"",
IFERROR(IF((AD261-AF261)/(AJ261/60)/(AP261/1000)&lt;=0,"",(AD261-AF261)/(AJ261/60)/(AP261/1000)),""))</f>
        <v/>
      </c>
    </row>
    <row r="262" ht="15.75" customHeight="1">
      <c r="B262" t="n">
        <v>18</v>
      </c>
      <c r="D262" s="94" t="n">
        <v>45522</v>
      </c>
      <c r="E262" s="231" t="n">
        <v>18</v>
      </c>
      <c r="F262" s="3" t="n">
        <v>257</v>
      </c>
      <c r="G262" s="205">
        <f>IF(OR(S262="",S262=0),"",S262*2)</f>
        <v/>
      </c>
      <c r="K262" s="15">
        <f>AD262</f>
        <v/>
      </c>
      <c r="M262" s="10">
        <f>IF(OR(E262="",G262="",E262=0,G262=0),"",E262/G262)</f>
        <v/>
      </c>
      <c r="N262" s="9">
        <f>IF(OR(E262="",I262="",E262=0,I262=0),"",E262/(I262*2))</f>
        <v/>
      </c>
      <c r="O262" s="8">
        <f>IF(OR(I262="",G262="",I262=0,G262=0),"",I262*2/G262)</f>
        <v/>
      </c>
      <c r="Z262" s="6" t="n">
        <v>7.44</v>
      </c>
      <c r="AD262" s="5" t="n">
        <v>80</v>
      </c>
      <c r="AF262" s="93" t="n">
        <v>18.75</v>
      </c>
      <c r="AH262" s="93" t="n">
        <v>0</v>
      </c>
      <c r="AM262" s="3" t="n">
        <v>180</v>
      </c>
      <c r="AP262" s="255">
        <f>360-AK262-AB262</f>
        <v/>
      </c>
      <c r="AR262" s="13">
        <f>AVERAGE(AO260:AO266)</f>
        <v/>
      </c>
      <c r="AS262" s="15" t="n"/>
      <c r="AT262" s="156">
        <f>(E262-W262)/E262</f>
        <v/>
      </c>
      <c r="AU262" s="155">
        <f>(I262-AF262)/I262</f>
        <v/>
      </c>
      <c r="AV262" s="155">
        <f>AG262/(AD262-AF262)</f>
        <v/>
      </c>
      <c r="AW262" s="155">
        <f>(G262-AM262)/G262</f>
        <v/>
      </c>
      <c r="AX262" s="254">
        <f>IF(AND(ISNUMBER(E262),ISNUMBER(W262)),E262-W262,"")</f>
        <v/>
      </c>
      <c r="AY262" s="254">
        <f>IF(AND(ISNUMBER(I262),ISNUMBER(AF262)),I262-AF262,"")</f>
        <v/>
      </c>
      <c r="AZ262" s="254">
        <f>IF(AND(ISNUMBER(AM262),ISNUMBER(G262)),G262-AM262,"")</f>
        <v/>
      </c>
      <c r="BA262" s="254">
        <f>IF(AND(ISNUMBER(AC262),ISNUMBER(AE262)),AC262-AE262,"")</f>
        <v/>
      </c>
      <c r="BB262" s="254">
        <f>IF(AND(ISNUMBER(AL262),ISNUMBER(AM262)),AL262-AM262,"")</f>
        <v/>
      </c>
      <c r="BC262" s="123">
        <f>IF(AND($E262&gt;0,$W262&gt;0),IF(($E262-$W262)/$E262&gt;0,($E262-$W262)/$E262,0),"")</f>
        <v/>
      </c>
      <c r="BD262" s="123">
        <f>IF(AND($I262&gt;0,$AF262&gt;=0),IF(($I262-$AF262)/$I262&gt;0,($I262-$AF262)/$I262,0),"")</f>
        <v/>
      </c>
      <c r="BE262" s="123" t="n"/>
      <c r="BF262" s="123">
        <f>IF(AND($G262&gt;0,$AM262&gt;0),IF(($G262-$AM262)/$G262&gt;0,($G262-$AM262)/$G262,0),"")</f>
        <v/>
      </c>
      <c r="BG262" s="6">
        <f>IF((AD262-AF262)/(AJ262/60)&lt;=0,"",(AD262-AF262)/(AJ262/60))</f>
        <v/>
      </c>
      <c r="BH262" s="6">
        <f>IF(OR(AJ262=0,AP262=0,NOT(ISNUMBER(AD262)),NOT(ISNUMBER(AF262)),NOT(ISNUMBER(AJ262)),NOT(ISNUMBER(AP262))),"",
IFERROR(IF((AD262-AF262)/(AJ262/60)/(AP262/1000)&lt;=0,"",(AD262-AF262)/(AJ262/60)/(AP262/1000)),""))</f>
        <v/>
      </c>
    </row>
    <row r="263" ht="15.75" customHeight="1">
      <c r="B263" t="n">
        <v>19</v>
      </c>
      <c r="C263" s="12" t="inlineStr">
        <is>
          <t xml:space="preserve">base ph dosing pump broke, zhen burrowed </t>
        </is>
      </c>
      <c r="D263" s="94" t="n">
        <v>45523</v>
      </c>
      <c r="E263" s="231" t="n">
        <v>19</v>
      </c>
      <c r="F263" s="3" t="n">
        <v>258</v>
      </c>
      <c r="G263" s="205">
        <f>IF(OR(S263="",S263=0),"",S263*2)</f>
        <v/>
      </c>
      <c r="K263" s="15">
        <f>AD263</f>
        <v/>
      </c>
      <c r="M263" s="10">
        <f>IF(OR(E263="",G263="",E263=0,G263=0),"",E263/G263)</f>
        <v/>
      </c>
      <c r="N263" s="9">
        <f>IF(OR(E263="",I263="",E263=0,I263=0),"",E263/(I263*2))</f>
        <v/>
      </c>
      <c r="O263" s="8">
        <f>IF(OR(I263="",G263="",I263=0,G263=0),"",I263*2/G263)</f>
        <v/>
      </c>
      <c r="Z263" s="6" t="n">
        <v>8.27</v>
      </c>
      <c r="AD263" s="5" t="n">
        <v>80</v>
      </c>
      <c r="AF263" s="93" t="n">
        <v>18.75</v>
      </c>
      <c r="AH263" s="93" t="n">
        <v>0</v>
      </c>
      <c r="AM263" s="3" t="n">
        <v>180</v>
      </c>
      <c r="AP263" s="255">
        <f>360-AK263-AB263</f>
        <v/>
      </c>
      <c r="AR263" s="13">
        <f>AVERAGE(AO261:AO267)</f>
        <v/>
      </c>
      <c r="AS263" s="15" t="n"/>
      <c r="AT263" s="156">
        <f>(E263-W263)/E263</f>
        <v/>
      </c>
      <c r="AU263" s="155">
        <f>(I263-AF263)/I263</f>
        <v/>
      </c>
      <c r="AV263" s="155">
        <f>AG263/(AD263-AF263)</f>
        <v/>
      </c>
      <c r="AW263" s="155">
        <f>(G263-AM263)/G263</f>
        <v/>
      </c>
      <c r="AX263" s="254">
        <f>IF(AND(ISNUMBER(E263),ISNUMBER(W263)),E263-W263,"")</f>
        <v/>
      </c>
      <c r="AY263" s="254">
        <f>IF(AND(ISNUMBER(I263),ISNUMBER(AF263)),I263-AF263,"")</f>
        <v/>
      </c>
      <c r="AZ263" s="254">
        <f>IF(AND(ISNUMBER(AM263),ISNUMBER(G263)),G263-AM263,"")</f>
        <v/>
      </c>
      <c r="BA263" s="254">
        <f>IF(AND(ISNUMBER(AC263),ISNUMBER(AE263)),AC263-AE263,"")</f>
        <v/>
      </c>
      <c r="BB263" s="254">
        <f>IF(AND(ISNUMBER(AL263),ISNUMBER(AM263)),AL263-AM263,"")</f>
        <v/>
      </c>
      <c r="BC263" s="123">
        <f>IF(AND($E263&gt;0,$W263&gt;0),IF(($E263-$W263)/$E263&gt;0,($E263-$W263)/$E263,0),"")</f>
        <v/>
      </c>
      <c r="BD263" s="123">
        <f>IF(AND($I263&gt;0,$AF263&gt;=0),IF(($I263-$AF263)/$I263&gt;0,($I263-$AF263)/$I263,0),"")</f>
        <v/>
      </c>
      <c r="BE263" s="123" t="n"/>
      <c r="BF263" s="123">
        <f>IF(AND($G263&gt;0,$AM263&gt;0),IF(($G263-$AM263)/$G263&gt;0,($G263-$AM263)/$G263,0),"")</f>
        <v/>
      </c>
      <c r="BG263" s="6">
        <f>IF((AD263-AF263)/(AJ263/60)&lt;=0,"",(AD263-AF263)/(AJ263/60))</f>
        <v/>
      </c>
      <c r="BH263" s="6">
        <f>IF(OR(AJ263=0,AP263=0,NOT(ISNUMBER(AD263)),NOT(ISNUMBER(AF263)),NOT(ISNUMBER(AJ263)),NOT(ISNUMBER(AP263))),"",
IFERROR(IF((AD263-AF263)/(AJ263/60)/(AP263/1000)&lt;=0,"",(AD263-AF263)/(AJ263/60)/(AP263/1000)),""))</f>
        <v/>
      </c>
    </row>
    <row r="264" ht="15.75" customHeight="1">
      <c r="B264" t="n">
        <v>20</v>
      </c>
      <c r="C264" s="12" t="inlineStr">
        <is>
          <t>ph dosing pump broke</t>
        </is>
      </c>
      <c r="D264" s="94" t="n">
        <v>45524</v>
      </c>
      <c r="E264" s="231" t="n">
        <v>20</v>
      </c>
      <c r="F264" s="3" t="n">
        <v>259</v>
      </c>
      <c r="G264" s="205">
        <f>IF(OR(S264="",S264=0),"",S264*2)</f>
        <v/>
      </c>
      <c r="I264" s="15">
        <f>(N264*18-H264*18)/9</f>
        <v/>
      </c>
      <c r="J264" s="9">
        <f>12.6</f>
        <v/>
      </c>
      <c r="K264" s="15">
        <f>AD264</f>
        <v/>
      </c>
      <c r="M264" s="10">
        <f>IF(OR(E264="",G264="",E264=0,G264=0),"",E264/G264)</f>
        <v/>
      </c>
      <c r="N264" s="9">
        <f>IF(OR(E264="",I264="",E264=0,I264=0),"",E264/(I264*2))</f>
        <v/>
      </c>
      <c r="O264" s="8">
        <f>IF(OR(I264="",G264="",I264=0,G264=0),"",I264*2/G264)</f>
        <v/>
      </c>
      <c r="P264" s="7" t="n">
        <v>18.3</v>
      </c>
      <c r="Q264" t="n">
        <v>90.21899999999999</v>
      </c>
      <c r="R264" t="n">
        <v>18.787</v>
      </c>
      <c r="S264" s="6">
        <f>O264*1.067</f>
        <v/>
      </c>
      <c r="T264" s="6">
        <f>P264*1.514</f>
        <v/>
      </c>
      <c r="U264" s="23">
        <f>P264*1.514+O264*1.067</f>
        <v/>
      </c>
      <c r="V264" s="6" t="n">
        <v>21.8</v>
      </c>
      <c r="W264" t="n">
        <v>0.783</v>
      </c>
      <c r="X264" t="n">
        <v>0.963</v>
      </c>
      <c r="Y264" s="23">
        <f>U264*1.067+V264*1.514</f>
        <v/>
      </c>
      <c r="AD264" s="5" t="n">
        <v>80</v>
      </c>
      <c r="AE264" s="7">
        <f>T264</f>
        <v/>
      </c>
      <c r="AF264" s="231">
        <f>5*3.37</f>
        <v/>
      </c>
      <c r="AG264" s="231">
        <f>23.2</f>
        <v/>
      </c>
      <c r="AH264" s="231" t="n">
        <v>0</v>
      </c>
      <c r="AL264" s="93" t="n">
        <v>109</v>
      </c>
      <c r="AM264" s="3" t="n">
        <v>180</v>
      </c>
      <c r="AN264" s="4">
        <f>AE264</f>
        <v/>
      </c>
      <c r="AO264" s="231">
        <f>22.3</f>
        <v/>
      </c>
      <c r="AP264" s="255">
        <f>360-AK264-AB264</f>
        <v/>
      </c>
      <c r="AQ264" s="2" t="n">
        <v>2210.000000000036</v>
      </c>
      <c r="AR264" s="13">
        <f>AVERAGE(AO262:AO268)</f>
        <v/>
      </c>
      <c r="AS264" s="15" t="n">
        <v>27.30642504118383</v>
      </c>
      <c r="AT264" s="156">
        <f>(E264-W264)/E264</f>
        <v/>
      </c>
      <c r="AU264" s="18">
        <f>(I264-AF264)/I264</f>
        <v/>
      </c>
      <c r="AV264" s="155">
        <f>AG264/(AD264-AF264)</f>
        <v/>
      </c>
      <c r="AW264" s="155">
        <f>(G264-AM264)/G264</f>
        <v/>
      </c>
      <c r="AX264" s="254">
        <f>IF(AND(ISNUMBER(E264),ISNUMBER(W264)),E264-W264,"")</f>
        <v/>
      </c>
      <c r="AY264" s="254">
        <f>IF(AND(ISNUMBER(I264),ISNUMBER(AF264)),I264-AF264,"")</f>
        <v/>
      </c>
      <c r="AZ264" s="254">
        <f>IF(AND(ISNUMBER(AM264),ISNUMBER(G264)),G264-AM264,"")</f>
        <v/>
      </c>
      <c r="BA264" s="254">
        <f>IF(AND(ISNUMBER(AC264),ISNUMBER(AE264)),AC264-AE264,"")</f>
        <v/>
      </c>
      <c r="BB264" s="254">
        <f>IF(AND(ISNUMBER(AL264),ISNUMBER(AM264)),AL264-AM264,"")</f>
        <v/>
      </c>
      <c r="BC264" s="123">
        <f>IF(AND($E264&gt;0,$W264&gt;0),IF(($E264-$W264)/$E264&gt;0,($E264-$W264)/$E264,0),"")</f>
        <v/>
      </c>
      <c r="BD264" s="123">
        <f>IF(AND($I264&gt;0,$AF264&gt;=0),IF(($I264-$AF264)/$I264&gt;0,($I264-$AF264)/$I264,0),"")</f>
        <v/>
      </c>
      <c r="BE264" s="123">
        <f>IF(AND($AG264&gt;=0,$AD264&gt;=0,$AF264&gt;=0),IF($AG264/($AD264-$AF264)&gt;0,$AG264/($AD264-$AF264),0),"")</f>
        <v/>
      </c>
      <c r="BF264" s="123" t="n"/>
      <c r="BG264" s="6">
        <f>IF((AD264-AF264)/(AJ264/60)&lt;=0,"",(AD264-AF264)/(AJ264/60))</f>
        <v/>
      </c>
      <c r="BH264" s="6">
        <f>IF(OR(AJ264=0,AP264=0,NOT(ISNUMBER(AD264)),NOT(ISNUMBER(AF264)),NOT(ISNUMBER(AJ264)),NOT(ISNUMBER(AP264))),"",
IFERROR(IF((AD264-AF264)/(AJ264/60)/(AP264/1000)&lt;=0,"",(AD264-AF264)/(AJ264/60)/(AP264/1000)),""))</f>
        <v/>
      </c>
    </row>
    <row r="265" ht="15.75" customHeight="1">
      <c r="B265" t="n">
        <v>21</v>
      </c>
      <c r="D265" s="94" t="n">
        <v>45525</v>
      </c>
      <c r="E265" s="231" t="n">
        <v>21</v>
      </c>
      <c r="F265" s="3" t="n">
        <v>260</v>
      </c>
      <c r="G265" s="205">
        <f>IF(OR(S265="",S265=0),"",S265*2)</f>
        <v/>
      </c>
      <c r="I265" s="15">
        <f>(N265*18-H265*18)/9</f>
        <v/>
      </c>
      <c r="K265" s="15">
        <f>AD265</f>
        <v/>
      </c>
      <c r="M265" s="10">
        <f>IF(OR(E265="",G265="",E265=0,G265=0),"",E265/G265)</f>
        <v/>
      </c>
      <c r="N265" s="9">
        <f>IF(OR(E265="",I265="",E265=0,I265=0),"",E265/(I265*2))</f>
        <v/>
      </c>
      <c r="O265" s="8">
        <f>IF(OR(I265="",G265="",I265=0,G265=0),"",I265*2/G265)</f>
        <v/>
      </c>
      <c r="AD265" s="5" t="n">
        <v>80</v>
      </c>
      <c r="AE265" s="7">
        <f>T265</f>
        <v/>
      </c>
      <c r="AF265" s="231">
        <f>5*3/49</f>
        <v/>
      </c>
      <c r="AH265" s="231" t="n">
        <v>0</v>
      </c>
      <c r="AL265" s="93" t="n">
        <v>109</v>
      </c>
      <c r="AM265" s="3" t="n">
        <v>180</v>
      </c>
      <c r="AN265" s="4">
        <f>AE265</f>
        <v/>
      </c>
      <c r="AP265" s="255">
        <f>360-AK265-AB265</f>
        <v/>
      </c>
      <c r="AR265" s="13">
        <f>AVERAGE(AO263:AO269)</f>
        <v/>
      </c>
      <c r="AS265" s="15" t="n"/>
      <c r="AT265" s="156">
        <f>(E265-W265)/E265</f>
        <v/>
      </c>
      <c r="AU265" s="18">
        <f>(I265-AF265)/I265</f>
        <v/>
      </c>
      <c r="AV265" s="155">
        <f>AG265/(AD265-AF265)</f>
        <v/>
      </c>
      <c r="AW265" s="155">
        <f>(G265-AM265)/G265</f>
        <v/>
      </c>
      <c r="AX265" s="254">
        <f>IF(AND(ISNUMBER(E265),ISNUMBER(W265)),E265-W265,"")</f>
        <v/>
      </c>
      <c r="AY265" s="254">
        <f>IF(AND(ISNUMBER(I265),ISNUMBER(AF265)),I265-AF265,"")</f>
        <v/>
      </c>
      <c r="AZ265" s="254">
        <f>IF(AND(ISNUMBER(AM265),ISNUMBER(G265)),G265-AM265,"")</f>
        <v/>
      </c>
      <c r="BA265" s="254">
        <f>IF(AND(ISNUMBER(AC265),ISNUMBER(AE265)),AC265-AE265,"")</f>
        <v/>
      </c>
      <c r="BB265" s="254">
        <f>IF(AND(ISNUMBER(AL265),ISNUMBER(AM265)),AL265-AM265,"")</f>
        <v/>
      </c>
      <c r="BC265" s="123">
        <f>IF(AND($E265&gt;0,$W265&gt;0),IF(($E265-$W265)/$E265&gt;0,($E265-$W265)/$E265,0),"")</f>
        <v/>
      </c>
      <c r="BD265" s="123">
        <f>IF(AND($I265&gt;0,$AF265&gt;=0),IF(($I265-$AF265)/$I265&gt;0,($I265-$AF265)/$I265,0),"")</f>
        <v/>
      </c>
      <c r="BE265" s="123">
        <f>IF(AND($AG265&gt;=0,$AD265&gt;=0,$AF265&gt;=0),IF($AG265/($AD265-$AF265)&gt;0,$AG265/($AD265-$AF265),0),"")</f>
        <v/>
      </c>
      <c r="BF265" s="123">
        <f>IF(AND($G265&gt;0,$AM265&gt;0),IF(($G265-$AM265)/$G265&gt;0,($G265-$AM265)/$G265,0),"")</f>
        <v/>
      </c>
      <c r="BG265" s="6">
        <f>IF((AD265-AF265)/(AJ265/60)&lt;=0,"",(AD265-AF265)/(AJ265/60))</f>
        <v/>
      </c>
      <c r="BH265" s="6" t="n"/>
    </row>
    <row r="266" ht="15.75" customHeight="1">
      <c r="A266" s="260" t="inlineStr">
        <is>
          <t>B35</t>
        </is>
      </c>
      <c r="B266" s="260" t="n">
        <v>22</v>
      </c>
      <c r="D266" s="94" t="n">
        <v>45526</v>
      </c>
      <c r="E266" s="231" t="n">
        <v>22</v>
      </c>
      <c r="F266" s="3" t="n">
        <v>261</v>
      </c>
      <c r="G266" s="205">
        <f>IF(OR(S266="",S266=0),"",S266*2)</f>
        <v/>
      </c>
      <c r="K266" s="15">
        <f>AD266</f>
        <v/>
      </c>
      <c r="M266" s="10">
        <f>IF(OR(E266="",G266="",E266=0,G266=0),"",E266/G266)</f>
        <v/>
      </c>
      <c r="N266" s="9">
        <f>IF(OR(E266="",I266="",E266=0,I266=0),"",E266/(I266*2))</f>
        <v/>
      </c>
      <c r="O266" s="8">
        <f>IF(OR(I266="",G266="",I266=0,G266=0),"",I266*2/G266)</f>
        <v/>
      </c>
      <c r="AD266" s="5" t="n">
        <v>80</v>
      </c>
      <c r="AE266" s="7" t="n"/>
      <c r="AF266" s="93" t="n">
        <v>18.75</v>
      </c>
      <c r="AH266" s="93" t="n">
        <v>0</v>
      </c>
      <c r="AL266" t="n">
        <v>109</v>
      </c>
      <c r="AM266" s="3" t="n">
        <v>180</v>
      </c>
      <c r="AP266" s="255">
        <f>360-AK266-AB266</f>
        <v/>
      </c>
      <c r="AR266" s="13">
        <f>AVERAGE(AO264:AO270)</f>
        <v/>
      </c>
      <c r="AS266" s="15" t="n"/>
      <c r="AT266" s="156">
        <f>(E266-W266)/E266</f>
        <v/>
      </c>
      <c r="AU266" s="18">
        <f>(I266-AF266)/I266</f>
        <v/>
      </c>
      <c r="AV266" s="155">
        <f>AG266/(AD266-AF266)</f>
        <v/>
      </c>
      <c r="AW266" s="155">
        <f>(G266-AM266)/G266</f>
        <v/>
      </c>
      <c r="AX266" s="254">
        <f>IF(AND(ISNUMBER(E266),ISNUMBER(W266)),E266-W266,"")</f>
        <v/>
      </c>
      <c r="AY266" s="254">
        <f>IF(AND(ISNUMBER(I266),ISNUMBER(AF266)),I266-AF266,"")</f>
        <v/>
      </c>
      <c r="AZ266" s="254">
        <f>IF(AND(ISNUMBER(AM266),ISNUMBER(G266)),G266-AM266,"")</f>
        <v/>
      </c>
      <c r="BA266" s="254">
        <f>IF(AND(ISNUMBER(AC266),ISNUMBER(AE266)),AC266-AE266,"")</f>
        <v/>
      </c>
      <c r="BB266" s="254">
        <f>IF(AND(ISNUMBER(AL266),ISNUMBER(AM266)),AL266-AM266,"")</f>
        <v/>
      </c>
      <c r="BC266" s="123">
        <f>IF(AND($E266&gt;0,$W266&gt;0),IF(($E266-$W266)/$E266&gt;0,($E266-$W266)/$E266,0),"")</f>
        <v/>
      </c>
      <c r="BD266" s="123">
        <f>IF(AND($I266&gt;0,$AF266&gt;=0),IF(($I266-$AF266)/$I266&gt;0,($I266-$AF266)/$I266,0),"")</f>
        <v/>
      </c>
      <c r="BE266" s="123" t="n"/>
      <c r="BF266" s="123">
        <f>IF(AND($G266&gt;0,$AM266&gt;0),IF(($G266-$AM266)/$G266&gt;0,($G266-$AM266)/$G266,0),"")</f>
        <v/>
      </c>
      <c r="BG266" s="6">
        <f>IF((AD266-AF266)/(AJ266/60)&lt;=0,"",(AD266-AF266)/(AJ266/60))</f>
        <v/>
      </c>
      <c r="BH266" s="6">
        <f>IF(OR(AJ266=0,AP266=0,NOT(ISNUMBER(AD266)),NOT(ISNUMBER(AF266)),NOT(ISNUMBER(AJ266)),NOT(ISNUMBER(AP266))),"",
IFERROR(IF((AD266-AF266)/(AJ266/60)/(AP266/1000)&lt;=0,"",(AD266-AF266)/(AJ266/60)/(AP266/1000)),""))</f>
        <v/>
      </c>
    </row>
    <row r="267" ht="15.75" customHeight="1">
      <c r="B267" t="n">
        <v>23</v>
      </c>
      <c r="C267" s="12" t="inlineStr">
        <is>
          <t>adjust wasting to 22 seconds</t>
        </is>
      </c>
      <c r="D267" s="94" t="n">
        <v>45527</v>
      </c>
      <c r="E267" s="231" t="n">
        <v>23</v>
      </c>
      <c r="F267" s="3" t="n">
        <v>262</v>
      </c>
      <c r="G267" s="205">
        <f>IF(OR(S267="",S267=0),"",S267*2)</f>
        <v/>
      </c>
      <c r="I267" s="15">
        <f>(N267*18-H267*18)/9</f>
        <v/>
      </c>
      <c r="J267" s="9" t="n">
        <v>5.43</v>
      </c>
      <c r="K267" s="15">
        <f>AD267</f>
        <v/>
      </c>
      <c r="M267" s="10">
        <f>IF(OR(E267="",G267="",E267=0,G267=0),"",E267/G267)</f>
        <v/>
      </c>
      <c r="N267" s="9">
        <f>IF(OR(E267="",I267="",E267=0,I267=0),"",E267/(I267*2))</f>
        <v/>
      </c>
      <c r="O267" s="8">
        <f>IF(OR(I267="",G267="",I267=0,G267=0),"",I267*2/G267)</f>
        <v/>
      </c>
      <c r="P267" s="7" t="n">
        <v>12.1</v>
      </c>
      <c r="Q267" t="n">
        <v>73.605</v>
      </c>
      <c r="R267" t="n">
        <v>14.872</v>
      </c>
      <c r="S267" s="6">
        <f>O267*1.067</f>
        <v/>
      </c>
      <c r="T267" s="6">
        <f>P267*1.514</f>
        <v/>
      </c>
      <c r="U267" s="23">
        <f>P267*1.514+O267*1.067</f>
        <v/>
      </c>
      <c r="V267" s="6" t="n">
        <v>14.3</v>
      </c>
      <c r="W267" s="6" t="n">
        <v>0</v>
      </c>
      <c r="X267" s="6" t="n">
        <v>0</v>
      </c>
      <c r="Y267" s="23">
        <f>U267*1.067+V267*1.514</f>
        <v/>
      </c>
      <c r="AD267" s="5" t="n">
        <v>80</v>
      </c>
      <c r="AE267" s="7">
        <f>T267</f>
        <v/>
      </c>
      <c r="AF267" s="231">
        <f>5*3/94</f>
        <v/>
      </c>
      <c r="AG267" s="231">
        <f>13.1</f>
        <v/>
      </c>
      <c r="AH267" s="231" t="n">
        <v>0</v>
      </c>
      <c r="AL267" s="231" t="n">
        <v>131</v>
      </c>
      <c r="AM267" s="3" t="n">
        <v>180</v>
      </c>
      <c r="AN267" s="4">
        <f>AE267</f>
        <v/>
      </c>
      <c r="AO267" s="231" t="n">
        <v>8.83</v>
      </c>
      <c r="AP267" s="255">
        <f>360-AK267-AB267</f>
        <v/>
      </c>
      <c r="AR267" s="13">
        <f>AVERAGE(AO265:AO271)</f>
        <v/>
      </c>
      <c r="AS267" s="15" t="n"/>
      <c r="AT267" s="156">
        <f>(E267-W267)/E267</f>
        <v/>
      </c>
      <c r="AU267" s="18">
        <f>(I267-AF267)/I267</f>
        <v/>
      </c>
      <c r="AV267" s="155">
        <f>AG267/(AD267-AF267)</f>
        <v/>
      </c>
      <c r="AW267" s="155">
        <f>(G267-AM267)/G267</f>
        <v/>
      </c>
      <c r="AX267" s="254">
        <f>IF(AND(ISNUMBER(E267),ISNUMBER(W267)),E267-W267,"")</f>
        <v/>
      </c>
      <c r="AY267" s="254">
        <f>IF(AND(ISNUMBER(I267),ISNUMBER(AF267)),I267-AF267,"")</f>
        <v/>
      </c>
      <c r="AZ267" s="254">
        <f>IF(AND(ISNUMBER(AM267),ISNUMBER(G267)),G267-AM267,"")</f>
        <v/>
      </c>
      <c r="BA267" s="254">
        <f>IF(AND(ISNUMBER(AC267),ISNUMBER(AE267)),AC267-AE267,"")</f>
        <v/>
      </c>
      <c r="BB267" s="254">
        <f>IF(AND(ISNUMBER(AL267),ISNUMBER(AM267)),AL267-AM267,"")</f>
        <v/>
      </c>
      <c r="BC267" s="123">
        <f>IF(AND($E267&gt;0,$W267&gt;0),IF(($E267-$W267)/$E267&gt;0,($E267-$W267)/$E267,0),"")</f>
        <v/>
      </c>
      <c r="BD267" s="123">
        <f>IF(AND($I267&gt;0,$AF267&gt;=0),IF(($I267-$AF267)/$I267&gt;0,($I267-$AF267)/$I267,0),"")</f>
        <v/>
      </c>
      <c r="BE267" s="123">
        <f>IF(AND($AG267&gt;=0,$AD267&gt;=0,$AF267&gt;=0),IF($AG267/($AD267-$AF267)&gt;0,$AG267/($AD267-$AF267),0),"")</f>
        <v/>
      </c>
      <c r="BF267" s="123">
        <f>IF(AND($G267&gt;0,$AM267&gt;0),IF(($G267-$AM267)/$G267&gt;0,($G267-$AM267)/$G267,0),"")</f>
        <v/>
      </c>
      <c r="BG267" s="6">
        <f>IF((AD267-AF267)/(AJ267/60)&lt;=0,"",(AD267-AF267)/(AJ267/60))</f>
        <v/>
      </c>
      <c r="BH267" s="6" t="n"/>
    </row>
    <row r="268" ht="15.75" customHeight="1">
      <c r="B268" t="n">
        <v>24</v>
      </c>
      <c r="D268" s="94" t="n">
        <v>45528</v>
      </c>
      <c r="E268" s="231" t="n">
        <v>24</v>
      </c>
      <c r="F268" s="3" t="n">
        <v>263</v>
      </c>
      <c r="G268" s="205">
        <f>IF(OR(S268="",S268=0),"",S268*2)</f>
        <v/>
      </c>
      <c r="K268" s="15">
        <f>AD268</f>
        <v/>
      </c>
      <c r="M268" s="10">
        <f>IF(OR(E268="",G268="",E268=0,G268=0),"",E268/G268)</f>
        <v/>
      </c>
      <c r="N268" s="9">
        <f>IF(OR(E268="",I268="",E268=0,I268=0),"",E268/(I268*2))</f>
        <v/>
      </c>
      <c r="O268" s="8">
        <f>IF(OR(I268="",G268="",I268=0,G268=0),"",I268*2/G268)</f>
        <v/>
      </c>
      <c r="AD268" s="5" t="n">
        <v>80</v>
      </c>
      <c r="AF268" s="93" t="n">
        <v>18.75</v>
      </c>
      <c r="AH268" s="93" t="n">
        <v>0</v>
      </c>
      <c r="AL268" s="231" t="n">
        <v>173</v>
      </c>
      <c r="AM268" s="3" t="n">
        <v>180</v>
      </c>
      <c r="AP268" s="255">
        <f>360-AK268-AB268</f>
        <v/>
      </c>
      <c r="AR268" s="13">
        <f>AVERAGE(AO266:AO272)</f>
        <v/>
      </c>
      <c r="AS268" s="15" t="n"/>
      <c r="AT268" s="156">
        <f>(E268-W268)/E268</f>
        <v/>
      </c>
      <c r="AU268" s="18">
        <f>(I268-AF268)/I268</f>
        <v/>
      </c>
      <c r="AV268" s="155">
        <f>AG268/(AD268-AF268)</f>
        <v/>
      </c>
      <c r="AW268" s="155">
        <f>(G268-AM268)/G268</f>
        <v/>
      </c>
      <c r="AX268" s="254">
        <f>IF(AND(ISNUMBER(E268),ISNUMBER(W268)),E268-W268,"")</f>
        <v/>
      </c>
      <c r="AY268" s="254">
        <f>IF(AND(ISNUMBER(I268),ISNUMBER(AF268)),I268-AF268,"")</f>
        <v/>
      </c>
      <c r="AZ268" s="254">
        <f>IF(AND(ISNUMBER(AM268),ISNUMBER(G268)),G268-AM268,"")</f>
        <v/>
      </c>
      <c r="BA268" s="254">
        <f>IF(AND(ISNUMBER(AC268),ISNUMBER(AE268)),AC268-AE268,"")</f>
        <v/>
      </c>
      <c r="BB268" s="254">
        <f>IF(AND(ISNUMBER(AL268),ISNUMBER(AM268)),AL268-AM268,"")</f>
        <v/>
      </c>
      <c r="BC268" s="123">
        <f>IF(AND($E268&gt;0,$W268&gt;0),IF(($E268-$W268)/$E268&gt;0,($E268-$W268)/$E268,0),"")</f>
        <v/>
      </c>
      <c r="BD268" s="123">
        <f>IF(AND($I268&gt;0,$AF268&gt;=0),IF(($I268-$AF268)/$I268&gt;0,($I268-$AF268)/$I268,0),"")</f>
        <v/>
      </c>
      <c r="BE268" s="123" t="n"/>
      <c r="BF268" s="123">
        <f>IF(AND($G268&gt;0,$AM268&gt;0),IF(($G268-$AM268)/$G268&gt;0,($G268-$AM268)/$G268,0),"")</f>
        <v/>
      </c>
      <c r="BG268" s="6">
        <f>IF((AD268-AF268)/(AJ268/60)&lt;=0,"",(AD268-AF268)/(AJ268/60))</f>
        <v/>
      </c>
      <c r="BH268" s="6">
        <f>IF(OR(AJ268=0,AP268=0,NOT(ISNUMBER(AD268)),NOT(ISNUMBER(AF268)),NOT(ISNUMBER(AJ268)),NOT(ISNUMBER(AP268))),"",
IFERROR(IF((AD268-AF268)/(AJ268/60)/(AP268/1000)&lt;=0,"",(AD268-AF268)/(AJ268/60)/(AP268/1000)),""))</f>
        <v/>
      </c>
    </row>
    <row r="269" ht="15.75" customHeight="1">
      <c r="B269" t="n">
        <v>25</v>
      </c>
      <c r="D269" s="94" t="n">
        <v>45529</v>
      </c>
      <c r="E269" s="231" t="n">
        <v>25</v>
      </c>
      <c r="F269" s="3" t="n">
        <v>264</v>
      </c>
      <c r="G269" s="205">
        <f>IF(OR(S269="",S269=0),"",S269*2)</f>
        <v/>
      </c>
      <c r="K269" s="15">
        <f>AD269</f>
        <v/>
      </c>
      <c r="M269" s="10">
        <f>IF(OR(E269="",G269="",E269=0,G269=0),"",E269/G269)</f>
        <v/>
      </c>
      <c r="N269" s="9">
        <f>IF(OR(E269="",I269="",E269=0,I269=0),"",E269/(I269*2))</f>
        <v/>
      </c>
      <c r="O269" s="8">
        <f>IF(OR(I269="",G269="",I269=0,G269=0),"",I269*2/G269)</f>
        <v/>
      </c>
      <c r="AD269" s="5" t="n">
        <v>80</v>
      </c>
      <c r="AF269" s="93" t="n">
        <v>18.75</v>
      </c>
      <c r="AH269" s="93" t="n">
        <v>0</v>
      </c>
      <c r="AL269" s="231" t="n">
        <v>105</v>
      </c>
      <c r="AM269" s="3" t="n">
        <v>180</v>
      </c>
      <c r="AP269" s="255">
        <f>360-AK269-AB269</f>
        <v/>
      </c>
      <c r="AR269" s="13">
        <f>AVERAGE(AO267:AO273)</f>
        <v/>
      </c>
      <c r="AS269" s="15" t="n"/>
      <c r="AT269" s="156">
        <f>(E269-W269)/E269</f>
        <v/>
      </c>
      <c r="AU269" s="18">
        <f>(I269-AF269)/I269</f>
        <v/>
      </c>
      <c r="AV269" s="155">
        <f>AG269/(AD269-AF269)</f>
        <v/>
      </c>
      <c r="AW269" s="155">
        <f>(G269-AM269)/G269</f>
        <v/>
      </c>
      <c r="AX269" s="254">
        <f>IF(AND(ISNUMBER(E269),ISNUMBER(W269)),E269-W269,"")</f>
        <v/>
      </c>
      <c r="AY269" s="254">
        <f>IF(AND(ISNUMBER(I269),ISNUMBER(AF269)),I269-AF269,"")</f>
        <v/>
      </c>
      <c r="AZ269" s="254">
        <f>IF(AND(ISNUMBER(AM269),ISNUMBER(G269)),G269-AM269,"")</f>
        <v/>
      </c>
      <c r="BA269" s="254">
        <f>IF(AND(ISNUMBER(AC269),ISNUMBER(AE269)),AC269-AE269,"")</f>
        <v/>
      </c>
      <c r="BB269" s="254">
        <f>IF(AND(ISNUMBER(AL269),ISNUMBER(AM269)),AL269-AM269,"")</f>
        <v/>
      </c>
      <c r="BC269" s="123">
        <f>IF(AND($E269&gt;0,$W269&gt;0),IF(($E269-$W269)/$E269&gt;0,($E269-$W269)/$E269,0),"")</f>
        <v/>
      </c>
      <c r="BD269" s="123">
        <f>IF(AND($I269&gt;0,$AF269&gt;=0),IF(($I269-$AF269)/$I269&gt;0,($I269-$AF269)/$I269,0),"")</f>
        <v/>
      </c>
      <c r="BE269" s="123" t="n"/>
      <c r="BF269" s="123">
        <f>IF(AND($G269&gt;0,$AM269&gt;0),IF(($G269-$AM269)/$G269&gt;0,($G269-$AM269)/$G269,0),"")</f>
        <v/>
      </c>
      <c r="BG269" s="6">
        <f>IF((AD269-AF269)/(AJ269/60)&lt;=0,"",(AD269-AF269)/(AJ269/60))</f>
        <v/>
      </c>
      <c r="BH269" s="6">
        <f>IF(OR(AJ269=0,AP269=0,NOT(ISNUMBER(AD269)),NOT(ISNUMBER(AF269)),NOT(ISNUMBER(AJ269)),NOT(ISNUMBER(AP269))),"",
IFERROR(IF((AD269-AF269)/(AJ269/60)/(AP269/1000)&lt;=0,"",(AD269-AF269)/(AJ269/60)/(AP269/1000)),""))</f>
        <v/>
      </c>
    </row>
    <row r="270" ht="15.75" customHeight="1">
      <c r="B270" t="n">
        <v>26</v>
      </c>
      <c r="D270" s="94" t="n">
        <v>45530</v>
      </c>
      <c r="E270" s="231" t="n">
        <v>26</v>
      </c>
      <c r="F270" s="3" t="n">
        <v>265</v>
      </c>
      <c r="G270" s="205">
        <f>IF(OR(S270="",S270=0),"",S270*2)</f>
        <v/>
      </c>
      <c r="I270" s="15">
        <f>(N270*18-H270*18)/9</f>
        <v/>
      </c>
      <c r="J270" s="9">
        <f>5*3.58</f>
        <v/>
      </c>
      <c r="K270" s="15">
        <f>AD270</f>
        <v/>
      </c>
      <c r="M270" s="10">
        <f>IF(OR(E270="",G270="",E270=0,G270=0),"",E270/G270)</f>
        <v/>
      </c>
      <c r="N270" s="9">
        <f>IF(OR(E270="",I270="",E270=0,I270=0),"",E270/(I270*2))</f>
        <v/>
      </c>
      <c r="O270" s="8">
        <f>IF(OR(I270="",G270="",I270=0,G270=0),"",I270*2/G270)</f>
        <v/>
      </c>
      <c r="P270" s="7">
        <f>10*3.54</f>
        <v/>
      </c>
      <c r="Q270" t="n">
        <v>71.767</v>
      </c>
      <c r="R270" t="n">
        <v>16.389</v>
      </c>
      <c r="S270" s="6">
        <f>O270*1.067</f>
        <v/>
      </c>
      <c r="T270" s="6">
        <f>P270*1.514</f>
        <v/>
      </c>
      <c r="U270" s="23">
        <f>P270*1.514+O270*1.067</f>
        <v/>
      </c>
      <c r="V270" s="6">
        <f>10*4.58</f>
        <v/>
      </c>
      <c r="W270" t="n">
        <v>1.567</v>
      </c>
      <c r="X270" t="n">
        <v>1.331</v>
      </c>
      <c r="Y270" s="23">
        <f>U270*1.067+V270*1.514</f>
        <v/>
      </c>
      <c r="AD270" s="5" t="n">
        <v>80</v>
      </c>
      <c r="AE270" s="7">
        <f>T270</f>
        <v/>
      </c>
      <c r="AF270" s="231">
        <f>5*3.75</f>
        <v/>
      </c>
      <c r="AG270" s="231">
        <f>20*4.21</f>
        <v/>
      </c>
      <c r="AH270" s="231" t="n">
        <v>0</v>
      </c>
      <c r="AL270" s="231" t="n">
        <v>111</v>
      </c>
      <c r="AM270" s="3" t="n">
        <v>180</v>
      </c>
      <c r="AN270" s="4">
        <f>AE270</f>
        <v/>
      </c>
      <c r="AO270" s="231">
        <f>5*4.37</f>
        <v/>
      </c>
      <c r="AP270" s="255">
        <f>360-AK270-AB270</f>
        <v/>
      </c>
      <c r="AR270" s="13">
        <f>AVERAGE(AO268:AO274)</f>
        <v/>
      </c>
      <c r="AS270" s="15" t="n"/>
      <c r="AT270" s="156">
        <f>(E270-W270)/E270</f>
        <v/>
      </c>
      <c r="AU270" s="18">
        <f>(I270-AF270)/I270</f>
        <v/>
      </c>
      <c r="AV270" s="155">
        <f>AG270/(AD270-AF270)</f>
        <v/>
      </c>
      <c r="AW270" s="155">
        <f>(G270-AM270)/G270</f>
        <v/>
      </c>
      <c r="AX270" s="254">
        <f>IF(AND(ISNUMBER(E270),ISNUMBER(W270)),E270-W270,"")</f>
        <v/>
      </c>
      <c r="AY270" s="254">
        <f>IF(AND(ISNUMBER(I270),ISNUMBER(AF270)),I270-AF270,"")</f>
        <v/>
      </c>
      <c r="AZ270" s="254">
        <f>IF(AND(ISNUMBER(AM270),ISNUMBER(G270)),G270-AM270,"")</f>
        <v/>
      </c>
      <c r="BA270" s="254">
        <f>IF(AND(ISNUMBER(AC270),ISNUMBER(AE270)),AC270-AE270,"")</f>
        <v/>
      </c>
      <c r="BB270" s="254">
        <f>IF(AND(ISNUMBER(AL270),ISNUMBER(AM270)),AL270-AM270,"")</f>
        <v/>
      </c>
      <c r="BC270" s="123">
        <f>IF(AND($E270&gt;0,$W270&gt;0),IF(($E270-$W270)/$E270&gt;0,($E270-$W270)/$E270,0),"")</f>
        <v/>
      </c>
      <c r="BD270" s="123">
        <f>IF(AND($I270&gt;0,$AF270&gt;=0),IF(($I270-$AF270)/$I270&gt;0,($I270-$AF270)/$I270,0),"")</f>
        <v/>
      </c>
      <c r="BE270" s="123">
        <f>IF(AND($AG270&gt;=0,$AD270&gt;=0,$AF270&gt;=0),IF($AG270/($AD270-$AF270)&gt;0,$AG270/($AD270-$AF270),0),"")</f>
        <v/>
      </c>
      <c r="BF270" s="123">
        <f>IF(AND($G270&gt;0,$AM270&gt;0),IF(($G270-$AM270)/$G270&gt;0,($G270-$AM270)/$G270,0),"")</f>
        <v/>
      </c>
      <c r="BG270" s="6">
        <f>IF((AD270-AF270)/(AJ270/60)&lt;=0,"",(AD270-AF270)/(AJ270/60))</f>
        <v/>
      </c>
      <c r="BH270" s="6">
        <f>IF(OR(AJ270=0,AP270=0,NOT(ISNUMBER(AD270)),NOT(ISNUMBER(AF270)),NOT(ISNUMBER(AJ270)),NOT(ISNUMBER(AP270))),"",
IFERROR(IF((AD270-AF270)/(AJ270/60)/(AP270/1000)&lt;=0,"",(AD270-AF270)/(AJ270/60)/(AP270/1000)),""))</f>
        <v/>
      </c>
    </row>
    <row r="271" ht="15.75" customHeight="1">
      <c r="B271" t="n">
        <v>27</v>
      </c>
      <c r="C271" s="25" t="inlineStr">
        <is>
          <t xml:space="preserve">no idea what happened here? </t>
        </is>
      </c>
      <c r="D271" s="94" t="n">
        <v>45531</v>
      </c>
      <c r="E271" s="231" t="n">
        <v>27</v>
      </c>
      <c r="F271" s="3" t="n">
        <v>266</v>
      </c>
      <c r="G271" s="205">
        <f>IF(OR(S271="",S271=0),"",S271*2)</f>
        <v/>
      </c>
      <c r="I271" s="15">
        <f>(N271*18-H271*18)/9</f>
        <v/>
      </c>
      <c r="J271" s="9">
        <f>20*5.32</f>
        <v/>
      </c>
      <c r="K271" s="15">
        <f>AD271</f>
        <v/>
      </c>
      <c r="M271" s="10">
        <f>IF(OR(E271="",G271="",E271=0,G271=0),"",E271/G271)</f>
        <v/>
      </c>
      <c r="N271" s="9">
        <f>IF(OR(E271="",I271="",E271=0,I271=0),"",E271/(I271*2))</f>
        <v/>
      </c>
      <c r="O271" s="8">
        <f>IF(OR(I271="",G271="",I271=0,G271=0),"",I271*2/G271)</f>
        <v/>
      </c>
      <c r="P271" s="7">
        <f>20*5.33</f>
        <v/>
      </c>
      <c r="Q271" t="n">
        <v>94.976</v>
      </c>
      <c r="R271" t="n">
        <v>20.121</v>
      </c>
      <c r="S271" s="6">
        <f>O271*1.067</f>
        <v/>
      </c>
      <c r="T271" s="6">
        <f>P271*1.514</f>
        <v/>
      </c>
      <c r="U271" s="23">
        <f>P271*1.514+O271*1.067</f>
        <v/>
      </c>
      <c r="V271" s="6">
        <f>20*5.41</f>
        <v/>
      </c>
      <c r="W271" t="n">
        <v>83.857</v>
      </c>
      <c r="X271" t="n">
        <v>7.259</v>
      </c>
      <c r="Y271" s="23">
        <f>U271*1.067+V271*1.514</f>
        <v/>
      </c>
      <c r="AD271" s="5" t="n">
        <v>80</v>
      </c>
      <c r="AE271" s="7">
        <f>T271</f>
        <v/>
      </c>
      <c r="AF271" s="231">
        <f>5*3.87</f>
        <v/>
      </c>
      <c r="AG271" s="231">
        <f>20*5.44</f>
        <v/>
      </c>
      <c r="AH271" s="231">
        <f>0.061</f>
        <v/>
      </c>
      <c r="AI271" s="231" t="n">
        <v>0</v>
      </c>
      <c r="AJ271" s="119" t="n">
        <v>0.5208333333333334</v>
      </c>
      <c r="AL271" s="231" t="n">
        <v>77</v>
      </c>
      <c r="AM271" s="3" t="n">
        <v>180</v>
      </c>
      <c r="AN271" s="4">
        <f>AE271</f>
        <v/>
      </c>
      <c r="AO271" s="231">
        <f>20*4.86</f>
        <v/>
      </c>
      <c r="AP271" s="255">
        <f>360-AK271-AB271</f>
        <v/>
      </c>
      <c r="AQ271" s="2" t="n">
        <v>2739.999999999964</v>
      </c>
      <c r="AR271" s="13">
        <f>AVERAGE(AO269:AO275)</f>
        <v/>
      </c>
      <c r="AS271" s="15" t="n">
        <v>19.86786980341564</v>
      </c>
      <c r="AT271" s="156">
        <f>(E271-W271)/E271</f>
        <v/>
      </c>
      <c r="AU271" s="18">
        <f>(I271-AF271)/I271</f>
        <v/>
      </c>
      <c r="AV271" s="155">
        <f>AG271/(AD271-AF271)</f>
        <v/>
      </c>
      <c r="AW271" s="155">
        <f>(G271-AM271)/G271</f>
        <v/>
      </c>
      <c r="AX271" s="254">
        <f>IF(AND(ISNUMBER(E271),ISNUMBER(W271)),E271-W271,"")</f>
        <v/>
      </c>
      <c r="AY271" s="254">
        <f>IF(AND(ISNUMBER(I271),ISNUMBER(AF271)),I271-AF271,"")</f>
        <v/>
      </c>
      <c r="AZ271" s="254">
        <f>IF(AND(ISNUMBER(AM271),ISNUMBER(G271)),G271-AM271,"")</f>
        <v/>
      </c>
      <c r="BA271" s="254">
        <f>IF(AND(ISNUMBER(AC271),ISNUMBER(AE271)),AC271-AE271,"")</f>
        <v/>
      </c>
      <c r="BB271" s="254">
        <f>IF(AND(ISNUMBER(AL271),ISNUMBER(AM271)),AL271-AM271,"")</f>
        <v/>
      </c>
      <c r="BC271" s="123" t="n"/>
      <c r="BD271" s="123" t="n"/>
      <c r="BE271" s="123" t="n"/>
      <c r="BF271" s="123" t="n"/>
      <c r="BG271" s="6">
        <f>IF((AD271-AF271)/(AJ271/60)&lt;=0,"",(AD271-AF271)/(AJ271/60))</f>
        <v/>
      </c>
      <c r="BH271" s="6">
        <f>IF(OR(AJ271=0,AP271=0,NOT(ISNUMBER(AD271)),NOT(ISNUMBER(AF271)),NOT(ISNUMBER(AJ271)),NOT(ISNUMBER(AP271))),"",
IFERROR(IF((AD271-AF271)/(AJ271/60)/(AP271/1000)&lt;=0,"",(AD271-AF271)/(AJ271/60)/(AP271/1000)),""))</f>
        <v/>
      </c>
    </row>
    <row r="272" ht="15.75" customHeight="1">
      <c r="A272" s="260" t="inlineStr">
        <is>
          <t>B36</t>
        </is>
      </c>
      <c r="B272" s="260" t="n">
        <v>28</v>
      </c>
      <c r="D272" s="94" t="n">
        <v>45532</v>
      </c>
      <c r="E272" s="231" t="n">
        <v>28</v>
      </c>
      <c r="F272" s="3" t="n">
        <v>267</v>
      </c>
      <c r="G272" s="205">
        <f>IF(OR(S272="",S272=0),"",S272*2)</f>
        <v/>
      </c>
      <c r="K272" s="15" t="n"/>
      <c r="M272" s="10">
        <f>IF(OR(E272="",G272="",E272=0,G272=0),"",E272/G272)</f>
        <v/>
      </c>
      <c r="N272" s="9">
        <f>IF(OR(E272="",I272="",E272=0,I272=0),"",E272/(I272*2))</f>
        <v/>
      </c>
      <c r="O272" s="8">
        <f>IF(OR(I272="",G272="",I272=0,G272=0),"",I272*2/G272)</f>
        <v/>
      </c>
      <c r="AD272" s="5" t="n">
        <v>80</v>
      </c>
      <c r="AF272" s="93" t="n">
        <v>18.75</v>
      </c>
      <c r="AH272" s="93" t="n">
        <v>2</v>
      </c>
      <c r="AI272" s="231" t="n">
        <v>0</v>
      </c>
      <c r="AJ272" s="119" t="n">
        <v>0.5208333333333334</v>
      </c>
      <c r="AL272" s="231" t="n">
        <v>129</v>
      </c>
      <c r="AM272" s="3" t="n">
        <v>180</v>
      </c>
      <c r="AP272" s="255">
        <f>360-AK272-AB272</f>
        <v/>
      </c>
      <c r="AR272" s="13">
        <f>AVERAGE(AO270:AO276)</f>
        <v/>
      </c>
      <c r="AS272" s="15" t="n"/>
      <c r="AT272" s="156">
        <f>(E272-W272)/E272</f>
        <v/>
      </c>
      <c r="AU272" s="18" t="n"/>
      <c r="AV272" s="155">
        <f>AG272/(AD272-AF272)</f>
        <v/>
      </c>
      <c r="AW272" s="155">
        <f>(G272-AM272)/G272</f>
        <v/>
      </c>
      <c r="AX272" s="254">
        <f>IF(AND(ISNUMBER(E272),ISNUMBER(W272)),E272-W272,"")</f>
        <v/>
      </c>
      <c r="AY272" s="254">
        <f>IF(AND(ISNUMBER(I272),ISNUMBER(AF272)),I272-AF272,"")</f>
        <v/>
      </c>
      <c r="AZ272" s="254">
        <f>IF(AND(ISNUMBER(AM272),ISNUMBER(G272)),G272-AM272,"")</f>
        <v/>
      </c>
      <c r="BA272" s="254">
        <f>IF(AND(ISNUMBER(AC272),ISNUMBER(AE272)),AC272-AE272,"")</f>
        <v/>
      </c>
      <c r="BB272" s="254">
        <f>IF(AND(ISNUMBER(AL272),ISNUMBER(AM272)),AL272-AM272,"")</f>
        <v/>
      </c>
      <c r="BC272" s="123">
        <f>IF(AND($E272&gt;0,$W272&gt;0),IF(($E272-$W272)/$E272&gt;0,($E272-$W272)/$E272,0),"")</f>
        <v/>
      </c>
      <c r="BD272" s="123">
        <f>IF(AND($I272&gt;0,$AF272&gt;=0),IF(($I272-$AF272)/$I272&gt;0,($I272-$AF272)/$I272,0),"")</f>
        <v/>
      </c>
      <c r="BE272" s="123" t="n"/>
      <c r="BF272" s="123">
        <f>IF(AND($G272&gt;0,$AM272&gt;0),IF(($G272-$AM272)/$G272&gt;0,($G272-$AM272)/$G272,0),"")</f>
        <v/>
      </c>
      <c r="BG272" s="6">
        <f>IF((AD272-AF272)/(AJ272/60)&lt;=0,"",(AD272-AF272)/(AJ272/60))</f>
        <v/>
      </c>
      <c r="BH272" s="6">
        <f>IF(OR(AJ272=0,AP272=0,NOT(ISNUMBER(AD272)),NOT(ISNUMBER(AF272)),NOT(ISNUMBER(AJ272)),NOT(ISNUMBER(AP272))),"",
IFERROR(IF((AD272-AF272)/(AJ272/60)/(AP272/1000)&lt;=0,"",(AD272-AF272)/(AJ272/60)/(AP272/1000)),""))</f>
        <v/>
      </c>
    </row>
    <row r="273" ht="15.75" customHeight="1">
      <c r="A273" s="260" t="inlineStr">
        <is>
          <t>B37</t>
        </is>
      </c>
      <c r="B273" s="260" t="n">
        <v>29</v>
      </c>
      <c r="D273" s="94" t="n">
        <v>45533</v>
      </c>
      <c r="E273" s="231" t="n">
        <v>29</v>
      </c>
      <c r="F273" s="3" t="n">
        <v>268</v>
      </c>
      <c r="G273" s="205">
        <f>IF(OR(S273="",S273=0),"",S273*2)</f>
        <v/>
      </c>
      <c r="I273" s="15">
        <f>(N273*18-H273*18)/9</f>
        <v/>
      </c>
      <c r="J273" s="9">
        <f>50*5.86</f>
        <v/>
      </c>
      <c r="K273" s="15">
        <f>AD273</f>
        <v/>
      </c>
      <c r="M273" s="10">
        <f>IF(OR(E273="",G273="",E273=0,G273=0),"",E273/G273)</f>
        <v/>
      </c>
      <c r="N273" s="9">
        <f>IF(OR(E273="",I273="",E273=0,I273=0),"",E273/(I273*2))</f>
        <v/>
      </c>
      <c r="O273" s="8">
        <f>IF(OR(I273="",G273="",I273=0,G273=0),"",I273*2/G273)</f>
        <v/>
      </c>
      <c r="P273" s="7">
        <f>50*5.97</f>
        <v/>
      </c>
      <c r="V273" s="6">
        <f>50*6.17</f>
        <v/>
      </c>
      <c r="AD273" s="5" t="n">
        <v>80</v>
      </c>
      <c r="AE273" s="7">
        <f>T273</f>
        <v/>
      </c>
      <c r="AF273" s="231">
        <f>5*3.62</f>
        <v/>
      </c>
      <c r="AG273" s="231">
        <f>50*5.9</f>
        <v/>
      </c>
      <c r="AH273" s="231">
        <f>4.31</f>
        <v/>
      </c>
      <c r="AI273" t="n">
        <v>0.07000000000000001</v>
      </c>
      <c r="AJ273" s="119" t="n">
        <v>0.5033564814814815</v>
      </c>
      <c r="AL273" s="231" t="n">
        <v>165</v>
      </c>
      <c r="AM273" s="3" t="n">
        <v>180</v>
      </c>
      <c r="AN273" s="4">
        <f>AE273</f>
        <v/>
      </c>
      <c r="AO273" s="231">
        <f>50*5.96</f>
        <v/>
      </c>
      <c r="AP273" s="255">
        <f>360-AK273-AB273</f>
        <v/>
      </c>
      <c r="AR273" s="13">
        <f>AVERAGE(AO271:AO277)</f>
        <v/>
      </c>
      <c r="AS273" s="15" t="n"/>
      <c r="AT273" s="156">
        <f>(E273-W273)/E273</f>
        <v/>
      </c>
      <c r="AU273" s="18">
        <f>(I273-AF273)/I273</f>
        <v/>
      </c>
      <c r="AV273" s="155">
        <f>AG273/(AD273-AF273)</f>
        <v/>
      </c>
      <c r="AW273" s="155">
        <f>(G273-AM273)/G273</f>
        <v/>
      </c>
      <c r="AX273" s="254">
        <f>IF(AND(ISNUMBER(E273),ISNUMBER(W273)),E273-W273,"")</f>
        <v/>
      </c>
      <c r="AY273" s="254">
        <f>IF(AND(ISNUMBER(I273),ISNUMBER(AF273)),I273-AF273,"")</f>
        <v/>
      </c>
      <c r="AZ273" s="254">
        <f>IF(AND(ISNUMBER(AM273),ISNUMBER(G273)),G273-AM273,"")</f>
        <v/>
      </c>
      <c r="BA273" s="254">
        <f>IF(AND(ISNUMBER(AC273),ISNUMBER(AE273)),AC273-AE273,"")</f>
        <v/>
      </c>
      <c r="BB273" s="254">
        <f>IF(AND(ISNUMBER(AL273),ISNUMBER(AM273)),AL273-AM273,"")</f>
        <v/>
      </c>
      <c r="BC273" s="123">
        <f>IF(AND($E273&gt;0,$W273&gt;0),IF(($E273-$W273)/$E273&gt;0,($E273-$W273)/$E273,0),"")</f>
        <v/>
      </c>
      <c r="BD273" s="123" t="n"/>
      <c r="BE273" s="123" t="n"/>
      <c r="BF273" s="123" t="n"/>
      <c r="BG273" s="6">
        <f>IF((AD273-AF273)/(AJ273/60)&lt;=0,"",(AD273-AF273)/(AJ273/60))</f>
        <v/>
      </c>
      <c r="BH273" s="6" t="n"/>
    </row>
    <row r="274" ht="15.75" customHeight="1">
      <c r="B274" t="n">
        <v>30</v>
      </c>
      <c r="D274" s="94" t="n">
        <v>45534</v>
      </c>
      <c r="E274" s="231" t="n">
        <v>30</v>
      </c>
      <c r="F274" s="3" t="n">
        <v>269</v>
      </c>
      <c r="G274" s="205">
        <f>IF(OR(S274="",S274=0),"",S274*2)</f>
        <v/>
      </c>
      <c r="K274" s="15" t="n"/>
      <c r="M274" s="10">
        <f>IF(OR(E274="",G274="",E274=0,G274=0),"",E274/G274)</f>
        <v/>
      </c>
      <c r="N274" s="9">
        <f>IF(OR(E274="",I274="",E274=0,I274=0),"",E274/(I274*2))</f>
        <v/>
      </c>
      <c r="O274" s="8">
        <f>IF(OR(I274="",G274="",I274=0,G274=0),"",I274*2/G274)</f>
        <v/>
      </c>
      <c r="AD274" s="5" t="n">
        <v>80</v>
      </c>
      <c r="AF274" s="93" t="n">
        <v>18.75</v>
      </c>
      <c r="AH274" s="93" t="n">
        <v>0</v>
      </c>
      <c r="AI274" t="n">
        <v>0.63</v>
      </c>
      <c r="AJ274" s="119" t="n">
        <v>0.5086805555555556</v>
      </c>
      <c r="AL274" s="231" t="n">
        <v>169</v>
      </c>
      <c r="AM274" s="3" t="n">
        <v>180</v>
      </c>
      <c r="AP274" s="255">
        <f>360-AK274-AB274</f>
        <v/>
      </c>
      <c r="AR274" s="96">
        <f>($AO$271+$AO$280)/2</f>
        <v/>
      </c>
      <c r="AS274" s="15" t="n"/>
      <c r="AT274" s="156">
        <f>(E274-W274)/E274</f>
        <v/>
      </c>
      <c r="AU274" s="18" t="n"/>
      <c r="AV274" s="155">
        <f>AG274/(AD274-AF274)</f>
        <v/>
      </c>
      <c r="AW274" s="155">
        <f>(G274-AM274)/G274</f>
        <v/>
      </c>
      <c r="AX274" s="254">
        <f>IF(AND(ISNUMBER(E274),ISNUMBER(W274)),E274-W274,"")</f>
        <v/>
      </c>
      <c r="AY274" s="254">
        <f>IF(AND(ISNUMBER(I274),ISNUMBER(AF274)),I274-AF274,"")</f>
        <v/>
      </c>
      <c r="AZ274" s="254">
        <f>IF(AND(ISNUMBER(AM274),ISNUMBER(G274)),G274-AM274,"")</f>
        <v/>
      </c>
      <c r="BA274" s="254">
        <f>IF(AND(ISNUMBER(AC274),ISNUMBER(AE274)),AC274-AE274,"")</f>
        <v/>
      </c>
      <c r="BB274" s="254">
        <f>IF(AND(ISNUMBER(AL274),ISNUMBER(AM274)),AL274-AM274,"")</f>
        <v/>
      </c>
      <c r="BC274" s="123">
        <f>IF(AND($E274&gt;0,$W274&gt;0),IF(($E274-$W274)/$E274&gt;0,($E274-$W274)/$E274,0),"")</f>
        <v/>
      </c>
      <c r="BD274" s="123">
        <f>IF(AND($I274&gt;0,$AF274&gt;=0),IF(($I274-$AF274)/$I274&gt;0,($I274-$AF274)/$I274,0),"")</f>
        <v/>
      </c>
      <c r="BE274" s="123" t="n"/>
      <c r="BF274" s="123">
        <f>IF(AND($G274&gt;0,$AM274&gt;0),IF(($G274-$AM274)/$G274&gt;0,($G274-$AM274)/$G274,0),"")</f>
        <v/>
      </c>
      <c r="BG274" s="6">
        <f>IF((AD274-AF274)/(AJ274/60)&lt;=0,"",(AD274-AF274)/(AJ274/60))</f>
        <v/>
      </c>
      <c r="BH274" s="6">
        <f>IF(OR(AJ274=0,AP274=0,NOT(ISNUMBER(AD274)),NOT(ISNUMBER(AF274)),NOT(ISNUMBER(AJ274)),NOT(ISNUMBER(AP274))),"",
IFERROR(IF((AD274-AF274)/(AJ274/60)/(AP274/1000)&lt;=0,"",(AD274-AF274)/(AJ274/60)/(AP274/1000)),""))</f>
        <v/>
      </c>
    </row>
    <row r="275" ht="15.75" customHeight="1">
      <c r="B275" t="n">
        <v>31</v>
      </c>
      <c r="D275" s="94" t="n">
        <v>45535</v>
      </c>
      <c r="E275" s="231" t="n">
        <v>31</v>
      </c>
      <c r="F275" s="3" t="n">
        <v>270</v>
      </c>
      <c r="G275" s="205">
        <f>IF(OR(S275="",S275=0),"",S275*2)</f>
        <v/>
      </c>
      <c r="K275" s="15" t="n"/>
      <c r="M275" s="10">
        <f>IF(OR(E275="",G275="",E275=0,G275=0),"",E275/G275)</f>
        <v/>
      </c>
      <c r="N275" s="9">
        <f>IF(OR(E275="",I275="",E275=0,I275=0),"",E275/(I275*2))</f>
        <v/>
      </c>
      <c r="O275" s="8">
        <f>IF(OR(I275="",G275="",I275=0,G275=0),"",I275*2/G275)</f>
        <v/>
      </c>
      <c r="AD275" s="5" t="n">
        <v>80</v>
      </c>
      <c r="AF275" s="93" t="n">
        <v>18.75</v>
      </c>
      <c r="AH275" s="93" t="n">
        <v>0</v>
      </c>
      <c r="AI275" s="231" t="n">
        <v>0</v>
      </c>
      <c r="AJ275" s="119" t="n">
        <v>0.5208333333333334</v>
      </c>
      <c r="AL275" s="231" t="n">
        <v>101</v>
      </c>
      <c r="AM275" s="3" t="n">
        <v>180</v>
      </c>
      <c r="AP275" s="255">
        <f>360-AK275-AB275</f>
        <v/>
      </c>
      <c r="AR275" s="96">
        <f>($AO$271+$AO$280)/2</f>
        <v/>
      </c>
      <c r="AS275" s="15" t="n"/>
      <c r="AT275" s="156">
        <f>(E275-W275)/E275</f>
        <v/>
      </c>
      <c r="AU275" s="18" t="n"/>
      <c r="AV275" s="155">
        <f>AG275/(AD275-AF275)</f>
        <v/>
      </c>
      <c r="AW275" s="155">
        <f>(G275-AM275)/G275</f>
        <v/>
      </c>
      <c r="AX275" s="254">
        <f>IF(AND(ISNUMBER(E275),ISNUMBER(W275)),E275-W275,"")</f>
        <v/>
      </c>
      <c r="AY275" s="254">
        <f>IF(AND(ISNUMBER(I275),ISNUMBER(AF275)),I275-AF275,"")</f>
        <v/>
      </c>
      <c r="AZ275" s="254">
        <f>IF(AND(ISNUMBER(AM275),ISNUMBER(G275)),G275-AM275,"")</f>
        <v/>
      </c>
      <c r="BA275" s="254">
        <f>IF(AND(ISNUMBER(AC275),ISNUMBER(AE275)),AC275-AE275,"")</f>
        <v/>
      </c>
      <c r="BB275" s="254">
        <f>IF(AND(ISNUMBER(AL275),ISNUMBER(AM275)),AL275-AM275,"")</f>
        <v/>
      </c>
      <c r="BC275" s="123">
        <f>IF(AND($E275&gt;0,$W275&gt;0),IF(($E275-$W275)/$E275&gt;0,($E275-$W275)/$E275,0),"")</f>
        <v/>
      </c>
      <c r="BD275" s="123">
        <f>IF(AND($I275&gt;0,$AF275&gt;=0),IF(($I275-$AF275)/$I275&gt;0,($I275-$AF275)/$I275,0),"")</f>
        <v/>
      </c>
      <c r="BE275" s="123" t="n"/>
      <c r="BF275" s="123">
        <f>IF(AND($G275&gt;0,$AM275&gt;0),IF(($G275-$AM275)/$G275&gt;0,($G275-$AM275)/$G275,0),"")</f>
        <v/>
      </c>
      <c r="BG275" s="6">
        <f>IF((AD275-AF275)/(AJ275/60)&lt;=0,"",(AD275-AF275)/(AJ275/60))</f>
        <v/>
      </c>
      <c r="BH275" s="6">
        <f>IF(OR(AJ275=0,AP275=0,NOT(ISNUMBER(AD275)),NOT(ISNUMBER(AF275)),NOT(ISNUMBER(AJ275)),NOT(ISNUMBER(AP275))),"",
IFERROR(IF((AD275-AF275)/(AJ275/60)/(AP275/1000)&lt;=0,"",(AD275-AF275)/(AJ275/60)/(AP275/1000)),""))</f>
        <v/>
      </c>
    </row>
    <row r="276" ht="15.75" customHeight="1">
      <c r="B276" t="n">
        <v>32</v>
      </c>
      <c r="D276" s="94" t="n">
        <v>45536</v>
      </c>
      <c r="E276" s="231" t="n">
        <v>32</v>
      </c>
      <c r="F276" s="3" t="n">
        <v>271</v>
      </c>
      <c r="G276" s="205">
        <f>IF(OR(S276="",S276=0),"",S276*2)</f>
        <v/>
      </c>
      <c r="K276" s="15" t="n"/>
      <c r="M276" s="10">
        <f>IF(OR(E276="",G276="",E276=0,G276=0),"",E276/G276)</f>
        <v/>
      </c>
      <c r="N276" s="9">
        <f>IF(OR(E276="",I276="",E276=0,I276=0),"",E276/(I276*2))</f>
        <v/>
      </c>
      <c r="O276" s="8">
        <f>IF(OR(I276="",G276="",I276=0,G276=0),"",I276*2/G276)</f>
        <v/>
      </c>
      <c r="AD276" s="5" t="n">
        <v>80</v>
      </c>
      <c r="AF276" s="93" t="n">
        <v>18.75</v>
      </c>
      <c r="AH276" s="231" t="n">
        <v>6.45</v>
      </c>
      <c r="AI276" s="231" t="n">
        <v>0</v>
      </c>
      <c r="AJ276" s="119" t="n">
        <v>0.5208333333333334</v>
      </c>
      <c r="AL276" s="231" t="n">
        <v>169</v>
      </c>
      <c r="AM276" s="3" t="n">
        <v>180</v>
      </c>
      <c r="AP276" s="255">
        <f>360-AK276-AB276</f>
        <v/>
      </c>
      <c r="AR276" s="96">
        <f>($AO$271+$AO$280)/2</f>
        <v/>
      </c>
      <c r="AS276" s="15" t="n"/>
      <c r="AT276" s="156">
        <f>(E276-W276)/E276</f>
        <v/>
      </c>
      <c r="AU276" s="18" t="n"/>
      <c r="AV276" s="155">
        <f>AG276/(AD276-AF276)</f>
        <v/>
      </c>
      <c r="AW276" s="155">
        <f>(G276-AM276)/G276</f>
        <v/>
      </c>
      <c r="AX276" s="254">
        <f>IF(AND(ISNUMBER(E276),ISNUMBER(W276)),E276-W276,"")</f>
        <v/>
      </c>
      <c r="AY276" s="254">
        <f>IF(AND(ISNUMBER(I276),ISNUMBER(AF276)),I276-AF276,"")</f>
        <v/>
      </c>
      <c r="AZ276" s="254">
        <f>IF(AND(ISNUMBER(AM276),ISNUMBER(G276)),G276-AM276,"")</f>
        <v/>
      </c>
      <c r="BA276" s="254">
        <f>IF(AND(ISNUMBER(AC276),ISNUMBER(AE276)),AC276-AE276,"")</f>
        <v/>
      </c>
      <c r="BB276" s="254">
        <f>IF(AND(ISNUMBER(AL276),ISNUMBER(AM276)),AL276-AM276,"")</f>
        <v/>
      </c>
      <c r="BC276" s="123">
        <f>IF(AND($E276&gt;0,$W276&gt;0),IF(($E276-$W276)/$E276&gt;0,($E276-$W276)/$E276,0),"")</f>
        <v/>
      </c>
      <c r="BD276" s="123">
        <f>IF(AND($I276&gt;0,$AF276&gt;=0),IF(($I276-$AF276)/$I276&gt;0,($I276-$AF276)/$I276,0),"")</f>
        <v/>
      </c>
      <c r="BE276" s="123" t="n"/>
      <c r="BF276" s="123">
        <f>IF(AND($G276&gt;0,$AM276&gt;0),IF(($G276-$AM276)/$G276&gt;0,($G276-$AM276)/$G276,0),"")</f>
        <v/>
      </c>
      <c r="BG276" s="6">
        <f>IF((AD276-AF276)/(AJ276/60)&lt;=0,"",(AD276-AF276)/(AJ276/60))</f>
        <v/>
      </c>
      <c r="BH276" s="6" t="n"/>
    </row>
    <row r="277" ht="15.75" customHeight="1">
      <c r="B277" t="n">
        <v>33</v>
      </c>
      <c r="C277" s="12" t="inlineStr">
        <is>
          <t xml:space="preserve">mixre stopped over night/zhen burrowed N2O </t>
        </is>
      </c>
      <c r="D277" s="94" t="n">
        <v>45537</v>
      </c>
      <c r="E277" s="231" t="n">
        <v>33</v>
      </c>
      <c r="F277" s="3" t="n">
        <v>272</v>
      </c>
      <c r="G277" s="205">
        <f>IF(OR(S277="",S277=0),"",S277*2)</f>
        <v/>
      </c>
      <c r="I277" s="15">
        <f>(N277*18-H277*18)/9</f>
        <v/>
      </c>
      <c r="J277" s="9">
        <f>5*0.431</f>
        <v/>
      </c>
      <c r="K277" s="15">
        <f>AD277</f>
        <v/>
      </c>
      <c r="M277" s="10">
        <f>IF(OR(E277="",G277="",E277=0,G277=0),"",E277/G277)</f>
        <v/>
      </c>
      <c r="N277" s="9">
        <f>IF(OR(E277="",I277="",E277=0,I277=0),"",E277/(I277*2))</f>
        <v/>
      </c>
      <c r="O277" s="8">
        <f>IF(OR(I277="",G277="",I277=0,G277=0),"",I277*2/G277)</f>
        <v/>
      </c>
      <c r="P277" s="7">
        <f>5*1.65</f>
        <v/>
      </c>
      <c r="V277" s="6">
        <f>5*3</f>
        <v/>
      </c>
      <c r="AD277" s="5" t="n">
        <v>80</v>
      </c>
      <c r="AE277" s="7">
        <f>T277</f>
        <v/>
      </c>
      <c r="AF277" s="231">
        <f>5*3.34</f>
        <v/>
      </c>
      <c r="AG277" s="231">
        <f>5*1.45</f>
        <v/>
      </c>
      <c r="AH277" s="231" t="n">
        <v>0</v>
      </c>
      <c r="AI277" t="n">
        <v>0.01</v>
      </c>
      <c r="AJ277" s="119" t="n">
        <v>0.8157407407407408</v>
      </c>
      <c r="AL277" s="231" t="n">
        <v>173</v>
      </c>
      <c r="AM277" s="3" t="n">
        <v>180</v>
      </c>
      <c r="AN277" s="4">
        <f>AE277</f>
        <v/>
      </c>
      <c r="AO277" s="231">
        <f>5*0.755</f>
        <v/>
      </c>
      <c r="AP277" s="255">
        <f>360-AK277-AB277</f>
        <v/>
      </c>
      <c r="AR277" s="96">
        <f>($AO$271+$AO$280)/2</f>
        <v/>
      </c>
      <c r="AS277" s="15" t="n"/>
      <c r="AT277" s="156">
        <f>(E277-W277)/E277</f>
        <v/>
      </c>
      <c r="AU277" s="18">
        <f>(I277-AF277)/I277</f>
        <v/>
      </c>
      <c r="AV277" s="155">
        <f>AG277/(AD277-AF277)</f>
        <v/>
      </c>
      <c r="AW277" s="155">
        <f>(G277-AM277)/G277</f>
        <v/>
      </c>
      <c r="AX277" s="254">
        <f>IF(AND(ISNUMBER(E277),ISNUMBER(W277)),E277-W277,"")</f>
        <v/>
      </c>
      <c r="AY277" s="254">
        <f>IF(AND(ISNUMBER(I277),ISNUMBER(AF277)),I277-AF277,"")</f>
        <v/>
      </c>
      <c r="AZ277" s="254">
        <f>IF(AND(ISNUMBER(AM277),ISNUMBER(G277)),G277-AM277,"")</f>
        <v/>
      </c>
      <c r="BA277" s="254">
        <f>IF(AND(ISNUMBER(AC277),ISNUMBER(AE277)),AC277-AE277,"")</f>
        <v/>
      </c>
      <c r="BB277" s="254">
        <f>IF(AND(ISNUMBER(AL277),ISNUMBER(AM277)),AL277-AM277,"")</f>
        <v/>
      </c>
      <c r="BC277" s="123">
        <f>IF(AND($E277&gt;0,$W277&gt;0),IF(($E277-$W277)/$E277&gt;0,($E277-$W277)/$E277,0),"")</f>
        <v/>
      </c>
      <c r="BD277" s="123">
        <f>IF(AND($I277&gt;0,$AF277&gt;=0),IF(($I277-$AF277)/$I277&gt;0,($I277-$AF277)/$I277,0),"")</f>
        <v/>
      </c>
      <c r="BE277" s="123">
        <f>IF(AND($AG277&gt;=0,$AD277&gt;=0,$AF277&gt;=0),IF($AG277/($AD277-$AF277)&gt;0,$AG277/($AD277-$AF277),0),"")</f>
        <v/>
      </c>
      <c r="BF277" s="123">
        <f>IF(AND($G277&gt;0,$AM277&gt;0),IF(($G277-$AM277)/$G277&gt;0,($G277-$AM277)/$G277,0),"")</f>
        <v/>
      </c>
      <c r="BG277" s="6">
        <f>IF((AD277-AF277)/(AJ277/60)&lt;=0,"",(AD277-AF277)/(AJ277/60))</f>
        <v/>
      </c>
      <c r="BH277" s="6">
        <f>IF(OR(AJ277=0,AP277=0,NOT(ISNUMBER(AD277)),NOT(ISNUMBER(AF277)),NOT(ISNUMBER(AJ277)),NOT(ISNUMBER(AP277))),"",
IFERROR(IF((AD277-AF277)/(AJ277/60)/(AP277/1000)&lt;=0,"",(AD277-AF277)/(AJ277/60)/(AP277/1000)),""))</f>
        <v/>
      </c>
    </row>
    <row r="278" ht="15.75" customHeight="1">
      <c r="B278" t="n">
        <v>34</v>
      </c>
      <c r="D278" s="94" t="n">
        <v>45538</v>
      </c>
      <c r="E278" s="231" t="n">
        <v>34</v>
      </c>
      <c r="F278" s="3" t="n">
        <v>273</v>
      </c>
      <c r="G278" s="205">
        <f>IF(OR(S278="",S278=0),"",S278*2)</f>
        <v/>
      </c>
      <c r="I278" s="15">
        <f>(N278*18-H278*18)/9</f>
        <v/>
      </c>
      <c r="J278" s="9" t="n">
        <v>7.19</v>
      </c>
      <c r="K278" s="15">
        <f>AD278</f>
        <v/>
      </c>
      <c r="M278" s="10">
        <f>IF(OR(E278="",G278="",E278=0,G278=0),"",E278/G278)</f>
        <v/>
      </c>
      <c r="N278" s="9">
        <f>IF(OR(E278="",I278="",E278=0,I278=0),"",E278/(I278*2))</f>
        <v/>
      </c>
      <c r="O278" s="8">
        <f>IF(OR(I278="",G278="",I278=0,G278=0),"",I278*2/G278)</f>
        <v/>
      </c>
      <c r="P278" s="7" t="n">
        <v>14.3</v>
      </c>
      <c r="Q278" t="n">
        <v>77.178</v>
      </c>
      <c r="R278" t="n">
        <v>17.516</v>
      </c>
      <c r="S278" s="6">
        <f>O278*1.067</f>
        <v/>
      </c>
      <c r="T278" s="6">
        <f>P278*1.514</f>
        <v/>
      </c>
      <c r="U278" s="23">
        <f>P278*1.514+O278*1.067</f>
        <v/>
      </c>
      <c r="V278" s="6" t="n">
        <v>17.5</v>
      </c>
      <c r="W278" t="n">
        <v>0.21</v>
      </c>
      <c r="X278" t="n">
        <v>0.125</v>
      </c>
      <c r="Y278" s="23">
        <f>U278*1.067+V278*1.514</f>
        <v/>
      </c>
      <c r="AD278" s="5" t="n">
        <v>80</v>
      </c>
      <c r="AE278" s="7">
        <f>T278</f>
        <v/>
      </c>
      <c r="AF278" s="231">
        <f>5*3.46</f>
        <v/>
      </c>
      <c r="AG278" s="231" t="n">
        <v>10.7</v>
      </c>
      <c r="AH278" s="231" t="n">
        <v>0</v>
      </c>
      <c r="AI278" s="231" t="n">
        <v>0</v>
      </c>
      <c r="AJ278" s="119" t="n">
        <v>0.5208333333333334</v>
      </c>
      <c r="AL278" s="231" t="n">
        <v>139</v>
      </c>
      <c r="AM278" s="3" t="n">
        <v>180</v>
      </c>
      <c r="AN278" s="4">
        <f>AE278</f>
        <v/>
      </c>
      <c r="AO278" s="231" t="n">
        <v>8.210000000000001</v>
      </c>
      <c r="AP278" s="255">
        <f>360-AK278-AB278</f>
        <v/>
      </c>
      <c r="AR278" s="13">
        <f>AVERAGE(AO276:AO282)</f>
        <v/>
      </c>
      <c r="AS278" s="15" t="n"/>
      <c r="AT278" s="156">
        <f>(E278-W278)/E278</f>
        <v/>
      </c>
      <c r="AU278" s="18">
        <f>(I278-AF278)/I278</f>
        <v/>
      </c>
      <c r="AV278" s="155">
        <f>AG278/(AD278-AF278)</f>
        <v/>
      </c>
      <c r="AW278" s="155">
        <f>(G278-AM278)/G278</f>
        <v/>
      </c>
      <c r="AX278" s="254">
        <f>IF(AND(ISNUMBER(E278),ISNUMBER(W278)),E278-W278,"")</f>
        <v/>
      </c>
      <c r="AY278" s="254">
        <f>IF(AND(ISNUMBER(I278),ISNUMBER(AF278)),I278-AF278,"")</f>
        <v/>
      </c>
      <c r="AZ278" s="254">
        <f>IF(AND(ISNUMBER(AM278),ISNUMBER(G278)),G278-AM278,"")</f>
        <v/>
      </c>
      <c r="BA278" s="254">
        <f>IF(AND(ISNUMBER(AC278),ISNUMBER(AE278)),AC278-AE278,"")</f>
        <v/>
      </c>
      <c r="BB278" s="254">
        <f>IF(AND(ISNUMBER(AL278),ISNUMBER(AM278)),AL278-AM278,"")</f>
        <v/>
      </c>
      <c r="BC278" s="123">
        <f>IF(AND($E278&gt;0,$W278&gt;0),IF(($E278-$W278)/$E278&gt;0,($E278-$W278)/$E278,0),"")</f>
        <v/>
      </c>
      <c r="BD278" s="123">
        <f>IF(AND($I278&gt;0,$AF278&gt;=0),IF(($I278-$AF278)/$I278&gt;0,($I278-$AF278)/$I278,0),"")</f>
        <v/>
      </c>
      <c r="BE278" s="123">
        <f>IF(AND($AG278&gt;=0,$AD278&gt;=0,$AF278&gt;=0),IF($AG278/($AD278-$AF278)&gt;0,$AG278/($AD278-$AF278),0),"")</f>
        <v/>
      </c>
      <c r="BF278" s="123">
        <f>IF(AND($G278&gt;0,$AM278&gt;0),IF(($G278-$AM278)/$G278&gt;0,($G278-$AM278)/$G278,0),"")</f>
        <v/>
      </c>
      <c r="BG278" s="6">
        <f>IF((AD278-AF278)/(AJ278/60)&lt;=0,"",(AD278-AF278)/(AJ278/60))</f>
        <v/>
      </c>
      <c r="BH278" s="6">
        <f>IF(OR(AJ278=0,AP278=0,NOT(ISNUMBER(AD278)),NOT(ISNUMBER(AF278)),NOT(ISNUMBER(AJ278)),NOT(ISNUMBER(AP278))),"",
IFERROR(IF((AD278-AF278)/(AJ278/60)/(AP278/1000)&lt;=0,"",(AD278-AF278)/(AJ278/60)/(AP278/1000)),""))</f>
        <v/>
      </c>
    </row>
    <row r="279" ht="15.75" customHeight="1">
      <c r="B279" t="n">
        <v>35</v>
      </c>
      <c r="C279" s="12" t="inlineStr">
        <is>
          <t>aerobic batch test  ex-situ</t>
        </is>
      </c>
      <c r="D279" s="94" t="n">
        <v>45539</v>
      </c>
      <c r="E279" s="231" t="n">
        <v>35</v>
      </c>
      <c r="F279" s="3" t="n">
        <v>274</v>
      </c>
      <c r="G279" s="205">
        <f>IF(OR(S279="",S279=0),"",S279*2)</f>
        <v/>
      </c>
      <c r="K279" s="15">
        <f>AD279</f>
        <v/>
      </c>
      <c r="M279" s="10">
        <f>IF(OR(E279="",G279="",E279=0,G279=0),"",E279/G279)</f>
        <v/>
      </c>
      <c r="N279" s="9">
        <f>IF(OR(E279="",I279="",E279=0,I279=0),"",E279/(I279*2))</f>
        <v/>
      </c>
      <c r="O279" s="8">
        <f>IF(OR(I279="",G279="",I279=0,G279=0),"",I279*2/G279)</f>
        <v/>
      </c>
      <c r="Y279" s="23" t="n"/>
      <c r="AD279" s="5" t="n">
        <v>80</v>
      </c>
      <c r="AH279" s="231" t="n">
        <v>5.75</v>
      </c>
      <c r="AI279" s="231" t="n">
        <v>0</v>
      </c>
      <c r="AJ279" s="119" t="n">
        <v>0.5208333333333334</v>
      </c>
      <c r="AL279" s="231" t="n">
        <v>123</v>
      </c>
      <c r="AM279" s="3" t="n">
        <v>180</v>
      </c>
      <c r="AN279" s="4">
        <f>AE279</f>
        <v/>
      </c>
      <c r="AO279" s="231" t="n">
        <v>11.8</v>
      </c>
      <c r="AP279" s="255">
        <f>360-AK279-AB279</f>
        <v/>
      </c>
      <c r="AR279" s="13">
        <f>AVERAGE(AO277:AO283)</f>
        <v/>
      </c>
      <c r="AS279" s="15" t="n"/>
      <c r="AT279" s="156">
        <f>(E279-W279)/E279</f>
        <v/>
      </c>
      <c r="AU279" s="18" t="n"/>
      <c r="AV279" s="155">
        <f>AG279/(AD279-AF279)</f>
        <v/>
      </c>
      <c r="AW279" s="155" t="n"/>
      <c r="AX279" s="254">
        <f>IF(AND(ISNUMBER(E279),ISNUMBER(W279)),E279-W279,"")</f>
        <v/>
      </c>
      <c r="AY279" s="254">
        <f>IF(AND(ISNUMBER(I279),ISNUMBER(AF279)),I279-AF279,"")</f>
        <v/>
      </c>
      <c r="AZ279" s="254">
        <f>IF(AND(ISNUMBER(AM279),ISNUMBER(G279)),G279-AM279,"")</f>
        <v/>
      </c>
      <c r="BA279" s="254">
        <f>IF(AND(ISNUMBER(AC279),ISNUMBER(AE279)),AC279-AE279,"")</f>
        <v/>
      </c>
      <c r="BB279" s="254">
        <f>IF(AND(ISNUMBER(AL279),ISNUMBER(AM279)),AL279-AM279,"")</f>
        <v/>
      </c>
      <c r="BC279" s="123">
        <f>IF(AND($E279&gt;0,$W279&gt;0),IF(($E279-$W279)/$E279&gt;0,($E279-$W279)/$E279,0),"")</f>
        <v/>
      </c>
      <c r="BD279" s="123">
        <f>IF(AND($I279&gt;0,$AF279&gt;=0),IF(($I279-$AF279)/$I279&gt;0,($I279-$AF279)/$I279,0),"")</f>
        <v/>
      </c>
      <c r="BE279" s="123" t="n"/>
      <c r="BF279" s="123">
        <f>IF(AND($G279&gt;0,$AM279&gt;0),IF(($G279-$AM279)/$G279&gt;0,($G279-$AM279)/$G279,0),"")</f>
        <v/>
      </c>
      <c r="BG279" s="6">
        <f>IF((AD279-AF279)/(AJ279/60)&lt;=0,"",(AD279-AF279)/(AJ279/60))</f>
        <v/>
      </c>
      <c r="BH279" s="6">
        <f>IF(OR(AJ279=0,AP279=0,NOT(ISNUMBER(AD279)),NOT(ISNUMBER(AF279)),NOT(ISNUMBER(AJ279)),NOT(ISNUMBER(AP279))),"",
IFERROR(IF((AD279-AF279)/(AJ279/60)/(AP279/1000)&lt;=0,"",(AD279-AF279)/(AJ279/60)/(AP279/1000)),""))</f>
        <v/>
      </c>
    </row>
    <row r="280" ht="15.75" customHeight="1">
      <c r="B280" t="n">
        <v>36</v>
      </c>
      <c r="C280" s="112" t="n"/>
      <c r="D280" s="94" t="n">
        <v>45540</v>
      </c>
      <c r="E280" s="231" t="n">
        <v>36</v>
      </c>
      <c r="F280" s="3" t="n">
        <v>275</v>
      </c>
      <c r="G280" s="205">
        <f>IF(OR(S280="",S280=0),"",S280*2)</f>
        <v/>
      </c>
      <c r="I280" s="15">
        <f>(N280*18-H280*18)/9</f>
        <v/>
      </c>
      <c r="J280" s="9">
        <f>5*0.878</f>
        <v/>
      </c>
      <c r="K280" s="15">
        <f>AD280</f>
        <v/>
      </c>
      <c r="M280" s="10">
        <f>IF(OR(E280="",G280="",E280=0,G280=0),"",E280/G280)</f>
        <v/>
      </c>
      <c r="N280" s="9">
        <f>IF(OR(E280="",I280="",E280=0,I280=0),"",E280/(I280*2))</f>
        <v/>
      </c>
      <c r="O280" s="8">
        <f>IF(OR(I280="",G280="",I280=0,G280=0),"",I280*2/G280)</f>
        <v/>
      </c>
      <c r="P280" s="7">
        <f>5*2.25</f>
        <v/>
      </c>
      <c r="Q280" t="n">
        <v>82.321</v>
      </c>
      <c r="R280" t="n">
        <v>17.028</v>
      </c>
      <c r="S280" s="6">
        <f>O280*1.067</f>
        <v/>
      </c>
      <c r="T280" s="6">
        <f>P280*1.514</f>
        <v/>
      </c>
      <c r="U280" s="23">
        <f>P280*1.514+O280*1.067</f>
        <v/>
      </c>
      <c r="V280" s="6">
        <f>5*3.07</f>
        <v/>
      </c>
      <c r="W280" s="6" t="n">
        <v>0</v>
      </c>
      <c r="X280" t="n">
        <v>0</v>
      </c>
      <c r="Y280" s="23">
        <f>U280*1.067+V280*1.514</f>
        <v/>
      </c>
      <c r="AD280" s="5" t="n">
        <v>80</v>
      </c>
      <c r="AE280" s="7">
        <f>T280</f>
        <v/>
      </c>
      <c r="AF280" s="231">
        <f>5*3.77</f>
        <v/>
      </c>
      <c r="AG280" s="231">
        <f>5*1.51</f>
        <v/>
      </c>
      <c r="AH280" s="231" t="n">
        <v>0</v>
      </c>
      <c r="AI280" s="231" t="n">
        <v>0</v>
      </c>
      <c r="AJ280" s="119" t="n">
        <v>0.5208333333333334</v>
      </c>
      <c r="AL280" s="231" t="n">
        <v>135</v>
      </c>
      <c r="AM280" s="3" t="n">
        <v>180</v>
      </c>
      <c r="AN280" s="4">
        <f>AE280</f>
        <v/>
      </c>
      <c r="AO280" s="231">
        <f>5*1.11</f>
        <v/>
      </c>
      <c r="AP280" s="255">
        <f>360-AK280-AB280</f>
        <v/>
      </c>
      <c r="AQ280" s="2" t="n">
        <v>2949.999999999955</v>
      </c>
      <c r="AR280" s="13">
        <f>AVERAGE(AO278:AO284)</f>
        <v/>
      </c>
      <c r="AS280" s="15" t="n">
        <v>18.21612349914243</v>
      </c>
      <c r="AT280" s="156">
        <f>(E280-W280)/E280</f>
        <v/>
      </c>
      <c r="AU280" s="18">
        <f>(I280-AF280)/I280</f>
        <v/>
      </c>
      <c r="AV280" s="155">
        <f>AG280/(AD280-AF280)</f>
        <v/>
      </c>
      <c r="AW280" s="155">
        <f>(G280-AM280)/G280</f>
        <v/>
      </c>
      <c r="AX280" s="254">
        <f>IF(AND(ISNUMBER(E280),ISNUMBER(W280)),E280-W280,"")</f>
        <v/>
      </c>
      <c r="AY280" s="254">
        <f>IF(AND(ISNUMBER(I280),ISNUMBER(AF280)),I280-AF280,"")</f>
        <v/>
      </c>
      <c r="AZ280" s="254">
        <f>IF(AND(ISNUMBER(AM280),ISNUMBER(G280)),G280-AM280,"")</f>
        <v/>
      </c>
      <c r="BA280" s="254">
        <f>IF(AND(ISNUMBER(AC280),ISNUMBER(AE280)),AC280-AE280,"")</f>
        <v/>
      </c>
      <c r="BB280" s="254">
        <f>IF(AND(ISNUMBER(AL280),ISNUMBER(AM280)),AL280-AM280,"")</f>
        <v/>
      </c>
      <c r="BC280" s="123">
        <f>IF(AND($E280&gt;0,$W280&gt;0),IF(($E280-$W280)/$E280&gt;0,($E280-$W280)/$E280,0),"")</f>
        <v/>
      </c>
      <c r="BD280" s="123">
        <f>IF(AND($I280&gt;0,$AF280&gt;=0),IF(($I280-$AF280)/$I280&gt;0,($I280-$AF280)/$I280,0),"")</f>
        <v/>
      </c>
      <c r="BE280" s="123">
        <f>IF(AND($AG280&gt;=0,$AD280&gt;=0,$AF280&gt;=0),IF($AG280/($AD280-$AF280)&gt;0,$AG280/($AD280-$AF280),0),"")</f>
        <v/>
      </c>
      <c r="BF280" s="123">
        <f>IF(AND($G280&gt;0,$AM280&gt;0),IF(($G280-$AM280)/$G280&gt;0,($G280-$AM280)/$G280,0),"")</f>
        <v/>
      </c>
      <c r="BG280" s="6">
        <f>IF((AD280-AF280)/(AJ280/60)&lt;=0,"",(AD280-AF280)/(AJ280/60))</f>
        <v/>
      </c>
      <c r="BH280" s="6">
        <f>IF(OR(AJ280=0,AP280=0,NOT(ISNUMBER(AD280)),NOT(ISNUMBER(AF280)),NOT(ISNUMBER(AJ280)),NOT(ISNUMBER(AP280))),"",
IFERROR(IF((AD280-AF280)/(AJ280/60)/(AP280/1000)&lt;=0,"",(AD280-AF280)/(AJ280/60)/(AP280/1000)),""))</f>
        <v/>
      </c>
    </row>
    <row r="281" ht="15.75" customHeight="1">
      <c r="B281" t="n">
        <v>37</v>
      </c>
      <c r="D281" s="11" t="n">
        <v>45541</v>
      </c>
      <c r="E281" s="231" t="n">
        <v>37</v>
      </c>
      <c r="F281" s="3" t="n">
        <v>276</v>
      </c>
      <c r="G281" s="205">
        <f>IF(OR(S281="",S281=0),"",S281*2)</f>
        <v/>
      </c>
      <c r="K281" s="41" t="n">
        <v>18.8</v>
      </c>
      <c r="M281" s="10">
        <f>IF(OR(E281="",G281="",E281=0,G281=0),"",E281/G281)</f>
        <v/>
      </c>
      <c r="N281" s="9">
        <f>IF(OR(E281="",I281="",E281=0,I281=0),"",E281/(I281*2))</f>
        <v/>
      </c>
      <c r="O281" s="8">
        <f>IF(OR(I281="",G281="",I281=0,G281=0),"",I281*2/G281)</f>
        <v/>
      </c>
      <c r="AD281" s="5" t="n">
        <v>80</v>
      </c>
      <c r="AI281" s="231" t="n">
        <v>0</v>
      </c>
      <c r="AJ281" s="119" t="n">
        <v>0.5208333333333334</v>
      </c>
      <c r="AM281" s="3" t="n">
        <v>180</v>
      </c>
      <c r="AP281" s="255">
        <f>360-AK281-AB281</f>
        <v/>
      </c>
      <c r="AR281" s="13">
        <f>AVERAGE(AO279:AO285)</f>
        <v/>
      </c>
      <c r="AS281" s="15" t="n"/>
      <c r="AT281" s="156">
        <f>(E281-W281)/E281</f>
        <v/>
      </c>
      <c r="AU281" s="155" t="n"/>
      <c r="AV281" s="155">
        <f>AG281/(AD281-AF281)</f>
        <v/>
      </c>
      <c r="AW281" s="155">
        <f>(G281-AM281)/G281</f>
        <v/>
      </c>
      <c r="AX281" s="254">
        <f>IF(AND(ISNUMBER(E281),ISNUMBER(W281)),E281-W281,"")</f>
        <v/>
      </c>
      <c r="AY281" s="254">
        <f>IF(AND(ISNUMBER(I281),ISNUMBER(AF281)),I281-AF281,"")</f>
        <v/>
      </c>
      <c r="AZ281" s="254">
        <f>IF(AND(ISNUMBER(AM281),ISNUMBER(G281)),G281-AM281,"")</f>
        <v/>
      </c>
      <c r="BA281" s="254">
        <f>IF(AND(ISNUMBER(AC281),ISNUMBER(AE281)),AC281-AE281,"")</f>
        <v/>
      </c>
      <c r="BB281" s="254">
        <f>IF(AND(ISNUMBER(AL281),ISNUMBER(AM281)),AL281-AM281,"")</f>
        <v/>
      </c>
      <c r="BC281" s="84">
        <f>IF(AND($E281&gt;0,$W281&gt;0),IF(($E281-$W281)/$E281&gt;0,($E281-$W281)/$E281,0),"")</f>
        <v/>
      </c>
      <c r="BD281" s="84">
        <f>IF(AND($I281&gt;0,$AF281&gt;=0),IF(($I281-$AF281)/$I281&gt;0,($I281-$AF281)/$I281,0),"")</f>
        <v/>
      </c>
      <c r="BE281" s="84" t="n"/>
      <c r="BF281" s="84">
        <f>IF(AND($G281&gt;0,$AM281&gt;0),IF(($G281-$AM281)/$G281&gt;0,($G281-$AM281)/$G281,0),"")</f>
        <v/>
      </c>
      <c r="BG281" s="6">
        <f>IF((AD281-AF281)/(AJ281/60)&lt;=0,"",(AD281-AF281)/(AJ281/60))</f>
        <v/>
      </c>
      <c r="BH281" s="6">
        <f>IF(OR(AJ281=0,AP281=0,NOT(ISNUMBER(AD281)),NOT(ISNUMBER(AF281)),NOT(ISNUMBER(AJ281)),NOT(ISNUMBER(AP281))),"",
IFERROR(IF((AD281-AF281)/(AJ281/60)/(AP281/1000)&lt;=0,"",(AD281-AF281)/(AJ281/60)/(AP281/1000)),""))</f>
        <v/>
      </c>
    </row>
    <row r="282" ht="15.75" customHeight="1">
      <c r="A282" s="260" t="inlineStr">
        <is>
          <t>B38</t>
        </is>
      </c>
      <c r="B282" s="260" t="n">
        <v>38</v>
      </c>
      <c r="D282" s="11" t="n">
        <v>45542</v>
      </c>
      <c r="E282" s="231" t="n">
        <v>38</v>
      </c>
      <c r="F282" s="3" t="n">
        <v>277</v>
      </c>
      <c r="G282" s="205">
        <f>IF(OR(S282="",S282=0),"",S282*2)</f>
        <v/>
      </c>
      <c r="K282" s="41">
        <f>AD282</f>
        <v/>
      </c>
      <c r="M282" s="10">
        <f>IF(OR(E282="",G282="",E282=0,G282=0),"",E282/G282)</f>
        <v/>
      </c>
      <c r="N282" s="9">
        <f>IF(OR(E282="",I282="",E282=0,I282=0),"",E282/(I282*2))</f>
        <v/>
      </c>
      <c r="O282" s="8">
        <f>IF(OR(I282="",G282="",I282=0,G282=0),"",I282*2/G282)</f>
        <v/>
      </c>
      <c r="AD282" s="5" t="n">
        <v>80</v>
      </c>
      <c r="AI282" s="231" t="n">
        <v>0.01</v>
      </c>
      <c r="AJ282" s="119" t="n">
        <v>0.5208333333333334</v>
      </c>
      <c r="AL282" s="231" t="n">
        <v>143</v>
      </c>
      <c r="AM282" s="3" t="n">
        <v>180</v>
      </c>
      <c r="AP282" s="255">
        <f>360-AK282-AB282</f>
        <v/>
      </c>
      <c r="AR282" s="13">
        <f>AVERAGE(AO280:AO286)</f>
        <v/>
      </c>
      <c r="AS282" s="15" t="n"/>
      <c r="AT282" s="156">
        <f>(E282-W282)/E282</f>
        <v/>
      </c>
      <c r="AU282" s="155" t="n"/>
      <c r="AV282" s="155">
        <f>AG282/(AD282-AF282)</f>
        <v/>
      </c>
      <c r="AW282" s="155">
        <f>(G282-AM282)/G282</f>
        <v/>
      </c>
      <c r="AX282" s="254">
        <f>IF(AND(ISNUMBER(E282),ISNUMBER(W282)),E282-W282,"")</f>
        <v/>
      </c>
      <c r="AY282" s="254">
        <f>IF(AND(ISNUMBER(I282),ISNUMBER(AF282)),I282-AF282,"")</f>
        <v/>
      </c>
      <c r="AZ282" s="254">
        <f>IF(AND(ISNUMBER(AM282),ISNUMBER(G282)),G282-AM282,"")</f>
        <v/>
      </c>
      <c r="BA282" s="254">
        <f>IF(AND(ISNUMBER(AC282),ISNUMBER(AE282)),AC282-AE282,"")</f>
        <v/>
      </c>
      <c r="BB282" s="254">
        <f>IF(AND(ISNUMBER(AL282),ISNUMBER(AM282)),AL282-AM282,"")</f>
        <v/>
      </c>
      <c r="BC282" s="84">
        <f>IF(AND($E282&gt;0,$W282&gt;0),IF(($E282-$W282)/$E282&gt;0,($E282-$W282)/$E282,0),"")</f>
        <v/>
      </c>
      <c r="BD282" s="84">
        <f>IF(AND($I282&gt;0,$AF282&gt;=0),IF(($I282-$AF282)/$I282&gt;0,($I282-$AF282)/$I282,0),"")</f>
        <v/>
      </c>
      <c r="BE282" s="84" t="n"/>
      <c r="BF282" s="84">
        <f>IF(AND($G282&gt;0,$AM282&gt;0),IF(($G282-$AM282)/$G282&gt;0,($G282-$AM282)/$G282,0),"")</f>
        <v/>
      </c>
      <c r="BG282" s="6">
        <f>IF((AD282-AF282)/(AJ282/60)&lt;=0,"",(AD282-AF282)/(AJ282/60))</f>
        <v/>
      </c>
      <c r="BH282" s="6">
        <f>IF(OR(AJ282=0,AP282=0,NOT(ISNUMBER(AD282)),NOT(ISNUMBER(AF282)),NOT(ISNUMBER(AJ282)),NOT(ISNUMBER(AP282))),"",
IFERROR(IF((AD282-AF282)/(AJ282/60)/(AP282/1000)&lt;=0,"",(AD282-AF282)/(AJ282/60)/(AP282/1000)),""))</f>
        <v/>
      </c>
    </row>
    <row r="283" ht="15.75" customHeight="1">
      <c r="B283" t="n">
        <v>39</v>
      </c>
      <c r="D283" s="11" t="n">
        <v>45543</v>
      </c>
      <c r="E283" s="231" t="n">
        <v>39</v>
      </c>
      <c r="F283" s="3" t="n">
        <v>278</v>
      </c>
      <c r="G283" s="205">
        <f>IF(OR(S283="",S283=0),"",S283*2)</f>
        <v/>
      </c>
      <c r="K283" s="41" t="n">
        <v>18.9</v>
      </c>
      <c r="M283" s="10">
        <f>IF(OR(E283="",G283="",E283=0,G283=0),"",E283/G283)</f>
        <v/>
      </c>
      <c r="N283" s="9">
        <f>IF(OR(E283="",I283="",E283=0,I283=0),"",E283/(I283*2))</f>
        <v/>
      </c>
      <c r="O283" s="8">
        <f>IF(OR(I283="",G283="",I283=0,G283=0),"",I283*2/G283)</f>
        <v/>
      </c>
      <c r="AD283" s="5" t="n">
        <v>80</v>
      </c>
      <c r="AI283" t="n">
        <v>1.05</v>
      </c>
      <c r="AJ283" s="119" t="n">
        <v>0.509375</v>
      </c>
      <c r="AL283" s="231" t="n">
        <v>143</v>
      </c>
      <c r="AM283" s="3" t="n">
        <v>180</v>
      </c>
      <c r="AP283" s="255">
        <f>360-AK283-AB283</f>
        <v/>
      </c>
      <c r="AR283" s="13">
        <f>AVERAGE(AO281:AO287)</f>
        <v/>
      </c>
      <c r="AS283" s="15" t="n"/>
      <c r="AT283" s="156">
        <f>(E283-W283)/E283</f>
        <v/>
      </c>
      <c r="AU283" s="155" t="n"/>
      <c r="AV283" s="155">
        <f>AG283/(AD283-AF283)</f>
        <v/>
      </c>
      <c r="AW283" s="155">
        <f>(G283-AM283)/G283</f>
        <v/>
      </c>
      <c r="AX283" s="254">
        <f>IF(AND(ISNUMBER(E283),ISNUMBER(W283)),E283-W283,"")</f>
        <v/>
      </c>
      <c r="AY283" s="254">
        <f>IF(AND(ISNUMBER(I283),ISNUMBER(AF283)),I283-AF283,"")</f>
        <v/>
      </c>
      <c r="AZ283" s="254">
        <f>IF(AND(ISNUMBER(AM283),ISNUMBER(G283)),G283-AM283,"")</f>
        <v/>
      </c>
      <c r="BA283" s="254">
        <f>IF(AND(ISNUMBER(AC283),ISNUMBER(AE283)),AC283-AE283,"")</f>
        <v/>
      </c>
      <c r="BB283" s="254">
        <f>IF(AND(ISNUMBER(AL283),ISNUMBER(AM283)),AL283-AM283,"")</f>
        <v/>
      </c>
      <c r="BC283" s="84">
        <f>IF(AND($E283&gt;0,$W283&gt;0),IF(($E283-$W283)/$E283&gt;0,($E283-$W283)/$E283,0),"")</f>
        <v/>
      </c>
      <c r="BD283" s="84">
        <f>IF(AND($I283&gt;0,$AF283&gt;=0),IF(($I283-$AF283)/$I283&gt;0,($I283-$AF283)/$I283,0),"")</f>
        <v/>
      </c>
      <c r="BE283" s="84" t="n"/>
      <c r="BF283" s="84">
        <f>IF(AND($G283&gt;0,$AM283&gt;0),IF(($G283-$AM283)/$G283&gt;0,($G283-$AM283)/$G283,0),"")</f>
        <v/>
      </c>
      <c r="BG283" s="6">
        <f>IF((AD283-AF283)/(AJ283/60)&lt;=0,"",(AD283-AF283)/(AJ283/60))</f>
        <v/>
      </c>
      <c r="BH283" s="6">
        <f>IF(OR(AJ283=0,AP283=0,NOT(ISNUMBER(AD283)),NOT(ISNUMBER(AF283)),NOT(ISNUMBER(AJ283)),NOT(ISNUMBER(AP283))),"",
IFERROR(IF((AD283-AF283)/(AJ283/60)/(AP283/1000)&lt;=0,"",(AD283-AF283)/(AJ283/60)/(AP283/1000)),""))</f>
        <v/>
      </c>
    </row>
    <row r="284" ht="15.75" customHeight="1">
      <c r="B284" t="n">
        <v>40</v>
      </c>
      <c r="C284" s="12" t="inlineStr">
        <is>
          <t xml:space="preserve">zhen burrower </t>
        </is>
      </c>
      <c r="D284" s="11" t="n">
        <v>45544</v>
      </c>
      <c r="E284" s="231" t="n">
        <v>40</v>
      </c>
      <c r="F284" s="3" t="n">
        <v>279</v>
      </c>
      <c r="G284" s="205">
        <f>IF(OR(S284="",S284=0),"",S284*2)</f>
        <v/>
      </c>
      <c r="K284" s="41" t="n">
        <v>19</v>
      </c>
      <c r="M284" s="10">
        <f>IF(OR(E284="",G284="",E284=0,G284=0),"",E284/G284)</f>
        <v/>
      </c>
      <c r="N284" s="9">
        <f>IF(OR(E284="",I284="",E284=0,I284=0),"",E284/(I284*2))</f>
        <v/>
      </c>
      <c r="O284" s="8">
        <f>IF(OR(I284="",G284="",I284=0,G284=0),"",I284*2/G284)</f>
        <v/>
      </c>
      <c r="AD284" s="5" t="n">
        <v>80</v>
      </c>
      <c r="AI284" t="n">
        <v>0.17</v>
      </c>
      <c r="AJ284" s="119" t="n">
        <v>0.850462962962963</v>
      </c>
      <c r="AM284" s="3" t="n">
        <v>180</v>
      </c>
      <c r="AP284" s="255">
        <f>360-AK284-AB284</f>
        <v/>
      </c>
      <c r="AR284" s="13">
        <f>AVERAGE(AO282:AO288)</f>
        <v/>
      </c>
      <c r="AS284" s="15" t="n"/>
      <c r="AT284" s="156">
        <f>(E284-W284)/E284</f>
        <v/>
      </c>
      <c r="AU284" s="155" t="n"/>
      <c r="AV284" s="155">
        <f>AG284/(AD284-AF284)</f>
        <v/>
      </c>
      <c r="AW284" s="155">
        <f>(G284-AM284)/G284</f>
        <v/>
      </c>
      <c r="AX284" s="254">
        <f>IF(AND(ISNUMBER(E284),ISNUMBER(W284)),E284-W284,"")</f>
        <v/>
      </c>
      <c r="AY284" s="254">
        <f>IF(AND(ISNUMBER(I284),ISNUMBER(AF284)),I284-AF284,"")</f>
        <v/>
      </c>
      <c r="AZ284" s="254">
        <f>IF(AND(ISNUMBER(AM284),ISNUMBER(G284)),G284-AM284,"")</f>
        <v/>
      </c>
      <c r="BA284" s="254">
        <f>IF(AND(ISNUMBER(AC284),ISNUMBER(AE284)),AC284-AE284,"")</f>
        <v/>
      </c>
      <c r="BB284" s="254">
        <f>IF(AND(ISNUMBER(AL284),ISNUMBER(AM284)),AL284-AM284,"")</f>
        <v/>
      </c>
      <c r="BC284" s="84">
        <f>IF(AND($E284&gt;0,$W284&gt;0),IF(($E284-$W284)/$E284&gt;0,($E284-$W284)/$E284,0),"")</f>
        <v/>
      </c>
      <c r="BD284" s="84">
        <f>IF(AND($I284&gt;0,$AF284&gt;=0),IF(($I284-$AF284)/$I284&gt;0,($I284-$AF284)/$I284,0),"")</f>
        <v/>
      </c>
      <c r="BE284" s="84" t="n"/>
      <c r="BF284" s="84">
        <f>IF(AND($G284&gt;0,$AM284&gt;0),IF(($G284-$AM284)/$G284&gt;0,($G284-$AM284)/$G284,0),"")</f>
        <v/>
      </c>
      <c r="BG284" s="6">
        <f>IF((AD284-AF284)/(AJ284/60)&lt;=0,"",(AD284-AF284)/(AJ284/60))</f>
        <v/>
      </c>
      <c r="BH284" s="6">
        <f>IF(OR(AJ284=0,AP284=0,NOT(ISNUMBER(AD284)),NOT(ISNUMBER(AF284)),NOT(ISNUMBER(AJ284)),NOT(ISNUMBER(AP284))),"",
IFERROR(IF((AD284-AF284)/(AJ284/60)/(AP284/1000)&lt;=0,"",(AD284-AF284)/(AJ284/60)/(AP284/1000)),""))</f>
        <v/>
      </c>
    </row>
    <row r="285" ht="15.75" customHeight="1">
      <c r="B285" t="n">
        <v>41</v>
      </c>
      <c r="D285" s="11" t="n">
        <v>45545</v>
      </c>
      <c r="E285" s="231" t="n">
        <v>41</v>
      </c>
      <c r="F285" s="3" t="n">
        <v>280</v>
      </c>
      <c r="G285" s="205">
        <f>IF(OR(S285="",S285=0),"",S285*2)</f>
        <v/>
      </c>
      <c r="K285" s="41" t="n">
        <v>19.4</v>
      </c>
      <c r="M285" s="10">
        <f>IF(OR(E285="",G285="",E285=0,G285=0),"",E285/G285)</f>
        <v/>
      </c>
      <c r="N285" s="9">
        <f>IF(OR(E285="",I285="",E285=0,I285=0),"",E285/(I285*2))</f>
        <v/>
      </c>
      <c r="O285" s="8">
        <f>IF(OR(I285="",G285="",I285=0,G285=0),"",I285*2/G285)</f>
        <v/>
      </c>
      <c r="Z285" s="6" t="n">
        <v>8.390000000000001</v>
      </c>
      <c r="AD285" s="5" t="n">
        <v>80</v>
      </c>
      <c r="AI285" t="n">
        <v>0.39</v>
      </c>
      <c r="AJ285" s="119" t="n">
        <v>0.5204861111111111</v>
      </c>
      <c r="AM285" s="3" t="n">
        <v>180</v>
      </c>
      <c r="AP285" s="255">
        <f>360-AK285-AB285</f>
        <v/>
      </c>
      <c r="AR285" s="13">
        <f>AVERAGE(AO283:AO289)</f>
        <v/>
      </c>
      <c r="AS285" s="15" t="n"/>
      <c r="AT285" s="156">
        <f>(E285-W285)/E285</f>
        <v/>
      </c>
      <c r="AU285" s="155" t="n"/>
      <c r="AV285" s="155">
        <f>AG285/(AD285-AF285)</f>
        <v/>
      </c>
      <c r="AW285" s="155">
        <f>(G285-AM285)/G285</f>
        <v/>
      </c>
      <c r="AX285" s="254">
        <f>IF(AND(ISNUMBER(E285),ISNUMBER(W285)),E285-W285,"")</f>
        <v/>
      </c>
      <c r="AY285" s="254">
        <f>IF(AND(ISNUMBER(I285),ISNUMBER(AF285)),I285-AF285,"")</f>
        <v/>
      </c>
      <c r="AZ285" s="254">
        <f>IF(AND(ISNUMBER(AM285),ISNUMBER(G285)),G285-AM285,"")</f>
        <v/>
      </c>
      <c r="BA285" s="254">
        <f>IF(AND(ISNUMBER(AC285),ISNUMBER(AE285)),AC285-AE285,"")</f>
        <v/>
      </c>
      <c r="BB285" s="254">
        <f>IF(AND(ISNUMBER(AL285),ISNUMBER(AM285)),AL285-AM285,"")</f>
        <v/>
      </c>
      <c r="BC285" s="84">
        <f>IF(AND($E285&gt;0,$W285&gt;0),IF(($E285-$W285)/$E285&gt;0,($E285-$W285)/$E285,0),"")</f>
        <v/>
      </c>
      <c r="BD285" s="84">
        <f>IF(AND($I285&gt;0,$AF285&gt;=0),IF(($I285-$AF285)/$I285&gt;0,($I285-$AF285)/$I285,0),"")</f>
        <v/>
      </c>
      <c r="BE285" s="84" t="n"/>
      <c r="BF285" s="84">
        <f>IF(AND($G285&gt;0,$AM285&gt;0),IF(($G285-$AM285)/$G285&gt;0,($G285-$AM285)/$G285,0),"")</f>
        <v/>
      </c>
      <c r="BG285" s="6">
        <f>IF((AD285-AF285)/(AJ285/60)&lt;=0,"",(AD285-AF285)/(AJ285/60))</f>
        <v/>
      </c>
      <c r="BH285" s="6">
        <f>IF(OR(AJ285=0,AP285=0,NOT(ISNUMBER(AD285)),NOT(ISNUMBER(AF285)),NOT(ISNUMBER(AJ285)),NOT(ISNUMBER(AP285))),"",
IFERROR(IF((AD285-AF285)/(AJ285/60)/(AP285/1000)&lt;=0,"",(AD285-AF285)/(AJ285/60)/(AP285/1000)),""))</f>
        <v/>
      </c>
    </row>
    <row r="286" ht="30" customHeight="1">
      <c r="B286" t="n">
        <v>42</v>
      </c>
      <c r="C286" s="12" t="inlineStr">
        <is>
          <t xml:space="preserve">accidentaly releaae 1L of biomass ; did propionate aerobic test, created high N2O production afterwards? </t>
        </is>
      </c>
      <c r="D286" s="11" t="n">
        <v>45546</v>
      </c>
      <c r="E286" s="231" t="n">
        <v>42</v>
      </c>
      <c r="F286" s="3" t="n">
        <v>281</v>
      </c>
      <c r="G286" s="205">
        <f>IF(OR(S286="",S286=0),"",S286*2)</f>
        <v/>
      </c>
      <c r="K286" s="41" t="n">
        <v>19.9</v>
      </c>
      <c r="M286" s="10">
        <f>IF(OR(E286="",G286="",E286=0,G286=0),"",E286/G286)</f>
        <v/>
      </c>
      <c r="N286" s="9">
        <f>IF(OR(E286="",I286="",E286=0,I286=0),"",E286/(I286*2))</f>
        <v/>
      </c>
      <c r="O286" s="8">
        <f>IF(OR(I286="",G286="",I286=0,G286=0),"",I286*2/G286)</f>
        <v/>
      </c>
      <c r="Z286" s="6" t="n">
        <v>8.81</v>
      </c>
      <c r="AD286" s="5" t="n">
        <v>80</v>
      </c>
      <c r="AI286" t="n">
        <v>0.74</v>
      </c>
      <c r="AJ286" s="119" t="n">
        <v>0.7930555555555555</v>
      </c>
      <c r="AM286" s="3" t="n">
        <v>180</v>
      </c>
      <c r="AP286" s="255">
        <f>360-AK286-AB286</f>
        <v/>
      </c>
      <c r="AR286" s="13">
        <f>AVERAGE(AO284:AO290)</f>
        <v/>
      </c>
      <c r="AS286" s="15" t="n"/>
      <c r="AT286" s="156">
        <f>(E286-W286)/E286</f>
        <v/>
      </c>
      <c r="AU286" s="155" t="n"/>
      <c r="AV286" s="155">
        <f>AG286/(AD286-AF286)</f>
        <v/>
      </c>
      <c r="AW286" s="155">
        <f>(G286-AM286)/G286</f>
        <v/>
      </c>
      <c r="AX286" s="254">
        <f>IF(AND(ISNUMBER(E286),ISNUMBER(W286)),E286-W286,"")</f>
        <v/>
      </c>
      <c r="AY286" s="254">
        <f>IF(AND(ISNUMBER(I286),ISNUMBER(AF286)),I286-AF286,"")</f>
        <v/>
      </c>
      <c r="AZ286" s="254">
        <f>IF(AND(ISNUMBER(AM286),ISNUMBER(G286)),G286-AM286,"")</f>
        <v/>
      </c>
      <c r="BA286" s="254">
        <f>IF(AND(ISNUMBER(AC286),ISNUMBER(AE286)),AC286-AE286,"")</f>
        <v/>
      </c>
      <c r="BB286" s="254">
        <f>IF(AND(ISNUMBER(AL286),ISNUMBER(AM286)),AL286-AM286,"")</f>
        <v/>
      </c>
      <c r="BC286" s="84">
        <f>IF(AND($E286&gt;0,$W286&gt;0),IF(($E286-$W286)/$E286&gt;0,($E286-$W286)/$E286,0),"")</f>
        <v/>
      </c>
      <c r="BD286" s="84">
        <f>IF(AND($I286&gt;0,$AF286&gt;=0),IF(($I286-$AF286)/$I286&gt;0,($I286-$AF286)/$I286,0),"")</f>
        <v/>
      </c>
      <c r="BE286" s="84" t="n"/>
      <c r="BF286" s="84">
        <f>IF(AND($G286&gt;0,$AM286&gt;0),IF(($G286-$AM286)/$G286&gt;0,($G286-$AM286)/$G286,0),"")</f>
        <v/>
      </c>
      <c r="BG286" s="6">
        <f>IF((AD286-AF286)/(AJ286/60)&lt;=0,"",(AD286-AF286)/(AJ286/60))</f>
        <v/>
      </c>
      <c r="BH286" s="6">
        <f>IF(OR(AJ286=0,AP286=0,NOT(ISNUMBER(AD286)),NOT(ISNUMBER(AF286)),NOT(ISNUMBER(AJ286)),NOT(ISNUMBER(AP286))),"",
IFERROR(IF((AD286-AF286)/(AJ286/60)/(AP286/1000)&lt;=0,"",(AD286-AF286)/(AJ286/60)/(AP286/1000)),""))</f>
        <v/>
      </c>
    </row>
    <row r="287" ht="15.75" customHeight="1">
      <c r="B287" t="n">
        <v>43</v>
      </c>
      <c r="C287" s="12" t="inlineStr">
        <is>
          <t>propionate anoxic test</t>
        </is>
      </c>
      <c r="D287" s="11" t="n">
        <v>45547</v>
      </c>
      <c r="E287" s="231" t="n">
        <v>43</v>
      </c>
      <c r="F287" s="3" t="n">
        <v>282</v>
      </c>
      <c r="G287" s="205">
        <f>IF(OR(S287="",S287=0),"",S287*2)</f>
        <v/>
      </c>
      <c r="K287" s="41" t="n">
        <v>20.2</v>
      </c>
      <c r="M287" s="10">
        <f>IF(OR(E287="",G287="",E287=0,G287=0),"",E287/G287)</f>
        <v/>
      </c>
      <c r="N287" s="9">
        <f>IF(OR(E287="",I287="",E287=0,I287=0),"",E287/(I287*2))</f>
        <v/>
      </c>
      <c r="O287" s="8">
        <f>IF(OR(I287="",G287="",I287=0,G287=0),"",I287*2/G287)</f>
        <v/>
      </c>
      <c r="Z287" s="6" t="n">
        <v>7.82</v>
      </c>
      <c r="AD287" s="5" t="n">
        <v>80</v>
      </c>
      <c r="AI287" t="n">
        <v>0.91</v>
      </c>
      <c r="AJ287" s="119" t="n">
        <v>0.8541666666666666</v>
      </c>
      <c r="AM287" s="3" t="n">
        <v>180</v>
      </c>
      <c r="AP287" s="255">
        <f>360-AK287-AB287</f>
        <v/>
      </c>
      <c r="AQ287" s="2" t="n">
        <v>2019.999999999982</v>
      </c>
      <c r="AR287" s="13">
        <f>AVERAGE(AO285:AO291)</f>
        <v/>
      </c>
      <c r="AS287" s="15" t="n">
        <v>17.41212527535667</v>
      </c>
      <c r="AT287" s="156">
        <f>(E287-W287)/E287</f>
        <v/>
      </c>
      <c r="AU287" s="155" t="n"/>
      <c r="AV287" s="155">
        <f>AG287/(AD287-AF287)</f>
        <v/>
      </c>
      <c r="AW287" s="155">
        <f>(G287-AM287)/G287</f>
        <v/>
      </c>
      <c r="AX287" s="254">
        <f>IF(AND(ISNUMBER(E287),ISNUMBER(W287)),E287-W287,"")</f>
        <v/>
      </c>
      <c r="AY287" s="254">
        <f>IF(AND(ISNUMBER(I287),ISNUMBER(AF287)),I287-AF287,"")</f>
        <v/>
      </c>
      <c r="AZ287" s="254">
        <f>IF(AND(ISNUMBER(AM287),ISNUMBER(G287)),G287-AM287,"")</f>
        <v/>
      </c>
      <c r="BA287" s="254">
        <f>IF(AND(ISNUMBER(AC287),ISNUMBER(AE287)),AC287-AE287,"")</f>
        <v/>
      </c>
      <c r="BB287" s="254">
        <f>IF(AND(ISNUMBER(AL287),ISNUMBER(AM287)),AL287-AM287,"")</f>
        <v/>
      </c>
      <c r="BC287" s="84">
        <f>IF(AND($E287&gt;0,$W287&gt;0),IF(($E287-$W287)/$E287&gt;0,($E287-$W287)/$E287,0),"")</f>
        <v/>
      </c>
      <c r="BD287" s="84">
        <f>IF(AND($I287&gt;0,$AF287&gt;=0),IF(($I287-$AF287)/$I287&gt;0,($I287-$AF287)/$I287,0),"")</f>
        <v/>
      </c>
      <c r="BE287" s="84" t="n"/>
      <c r="BF287" s="84">
        <f>IF(AND($G287&gt;0,$AM287&gt;0),IF(($G287-$AM287)/$G287&gt;0,($G287-$AM287)/$G287,0),"")</f>
        <v/>
      </c>
      <c r="BG287" s="6">
        <f>IF((AD287-AF287)/(AJ287/60)&lt;=0,"",(AD287-AF287)/(AJ287/60))</f>
        <v/>
      </c>
      <c r="BH287" s="6">
        <f>IF(OR(AJ287=0,AP287=0,NOT(ISNUMBER(AD287)),NOT(ISNUMBER(AF287)),NOT(ISNUMBER(AJ287)),NOT(ISNUMBER(AP287))),"",
IFERROR(IF((AD287-AF287)/(AJ287/60)/(AP287/1000)&lt;=0,"",(AD287-AF287)/(AJ287/60)/(AP287/1000)),""))</f>
        <v/>
      </c>
    </row>
    <row r="288" ht="15.75" customHeight="1">
      <c r="B288" t="n">
        <v>44</v>
      </c>
      <c r="D288" s="11" t="n">
        <v>45548</v>
      </c>
      <c r="E288" s="231" t="n">
        <v>44</v>
      </c>
      <c r="F288" s="3" t="n">
        <v>283</v>
      </c>
      <c r="G288" s="205">
        <f>IF(OR(S288="",S288=0),"",S288*2)</f>
        <v/>
      </c>
      <c r="K288" s="41" t="n">
        <v>20.4</v>
      </c>
      <c r="M288" s="10">
        <f>IF(OR(E288="",G288="",E288=0,G288=0),"",E288/G288)</f>
        <v/>
      </c>
      <c r="N288" s="9">
        <f>IF(OR(E288="",I288="",E288=0,I288=0),"",E288/(I288*2))</f>
        <v/>
      </c>
      <c r="O288" s="8">
        <f>IF(OR(I288="",G288="",I288=0,G288=0),"",I288*2/G288)</f>
        <v/>
      </c>
      <c r="AD288" s="5" t="n">
        <v>80</v>
      </c>
      <c r="AI288" t="n">
        <v>0.62</v>
      </c>
      <c r="AJ288" s="119" t="n">
        <v>0.5172453703703703</v>
      </c>
      <c r="AM288" s="3" t="n">
        <v>180</v>
      </c>
      <c r="AP288" s="255">
        <f>360-AK288-AB288</f>
        <v/>
      </c>
      <c r="AR288" s="13">
        <f>AVERAGE(AO286:AO292)</f>
        <v/>
      </c>
      <c r="AS288" s="15" t="n"/>
      <c r="AT288" s="156">
        <f>(E288-W288)/E288</f>
        <v/>
      </c>
      <c r="AU288" s="155" t="n"/>
      <c r="AV288" s="155">
        <f>AG288/(AD288-AF288)</f>
        <v/>
      </c>
      <c r="AW288" s="155">
        <f>(G288-AM288)/G288</f>
        <v/>
      </c>
      <c r="AX288" s="254">
        <f>IF(AND(ISNUMBER(E288),ISNUMBER(W288)),E288-W288,"")</f>
        <v/>
      </c>
      <c r="AY288" s="254">
        <f>IF(AND(ISNUMBER(I288),ISNUMBER(AF288)),I288-AF288,"")</f>
        <v/>
      </c>
      <c r="AZ288" s="254">
        <f>IF(AND(ISNUMBER(AM288),ISNUMBER(G288)),G288-AM288,"")</f>
        <v/>
      </c>
      <c r="BA288" s="254">
        <f>IF(AND(ISNUMBER(AC288),ISNUMBER(AE288)),AC288-AE288,"")</f>
        <v/>
      </c>
      <c r="BB288" s="254">
        <f>IF(AND(ISNUMBER(AL288),ISNUMBER(AM288)),AL288-AM288,"")</f>
        <v/>
      </c>
      <c r="BC288" s="84">
        <f>IF(AND($E288&gt;0,$W288&gt;0),IF(($E288-$W288)/$E288&gt;0,($E288-$W288)/$E288,0),"")</f>
        <v/>
      </c>
      <c r="BD288" s="84">
        <f>IF(AND($I288&gt;0,$AF288&gt;=0),IF(($I288-$AF288)/$I288&gt;0,($I288-$AF288)/$I288,0),"")</f>
        <v/>
      </c>
      <c r="BE288" s="84" t="n"/>
      <c r="BF288" s="84">
        <f>IF(AND($G288&gt;0,$AM288&gt;0),IF(($G288-$AM288)/$G288&gt;0,($G288-$AM288)/$G288,0),"")</f>
        <v/>
      </c>
      <c r="BG288" s="6">
        <f>IF((AD288-AF288)/(AJ288/60)&lt;=0,"",(AD288-AF288)/(AJ288/60))</f>
        <v/>
      </c>
      <c r="BH288" s="6">
        <f>IF(OR(AJ288=0,AP288=0,NOT(ISNUMBER(AD288)),NOT(ISNUMBER(AF288)),NOT(ISNUMBER(AJ288)),NOT(ISNUMBER(AP288))),"",
IFERROR(IF((AD288-AF288)/(AJ288/60)/(AP288/1000)&lt;=0,"",(AD288-AF288)/(AJ288/60)/(AP288/1000)),""))</f>
        <v/>
      </c>
    </row>
    <row r="289" ht="15.75" customHeight="1">
      <c r="A289" s="260" t="inlineStr">
        <is>
          <t>B39</t>
        </is>
      </c>
      <c r="B289" s="260" t="n">
        <v>45</v>
      </c>
      <c r="D289" s="11" t="n">
        <v>45549</v>
      </c>
      <c r="E289" s="231" t="n">
        <v>45</v>
      </c>
      <c r="F289" s="3" t="n">
        <v>284</v>
      </c>
      <c r="G289" s="205">
        <f>IF(OR(S289="",S289=0),"",S289*2)</f>
        <v/>
      </c>
      <c r="K289" s="41" t="n">
        <v>208</v>
      </c>
      <c r="M289" s="10">
        <f>IF(OR(E289="",G289="",E289=0,G289=0),"",E289/G289)</f>
        <v/>
      </c>
      <c r="N289" s="9">
        <f>IF(OR(E289="",I289="",E289=0,I289=0),"",E289/(I289*2))</f>
        <v/>
      </c>
      <c r="O289" s="8">
        <f>IF(OR(I289="",G289="",I289=0,G289=0),"",I289*2/G289)</f>
        <v/>
      </c>
      <c r="AD289" s="5" t="n">
        <v>80</v>
      </c>
      <c r="AI289" t="n">
        <v>0.8100000000000001</v>
      </c>
      <c r="AJ289" s="119" t="n">
        <v>0.8525462962962963</v>
      </c>
      <c r="AM289" s="3" t="n">
        <v>180</v>
      </c>
      <c r="AP289" s="255">
        <f>360-AK289-AB289</f>
        <v/>
      </c>
      <c r="AR289" s="13">
        <f>AVERAGE(AO287:AO293)</f>
        <v/>
      </c>
      <c r="AS289" s="15" t="n"/>
      <c r="AT289" s="156">
        <f>(E289-W289)/E289</f>
        <v/>
      </c>
      <c r="AU289" s="155" t="n"/>
      <c r="AV289" s="155">
        <f>AG289/(AD289-AF289)</f>
        <v/>
      </c>
      <c r="AW289" s="155">
        <f>(G289-AM289)/G289</f>
        <v/>
      </c>
      <c r="AX289" s="254">
        <f>IF(AND(ISNUMBER(E289),ISNUMBER(W289)),E289-W289,"")</f>
        <v/>
      </c>
      <c r="AY289" s="254">
        <f>IF(AND(ISNUMBER(I289),ISNUMBER(AF289)),I289-AF289,"")</f>
        <v/>
      </c>
      <c r="AZ289" s="254">
        <f>IF(AND(ISNUMBER(AM289),ISNUMBER(G289)),G289-AM289,"")</f>
        <v/>
      </c>
      <c r="BA289" s="254">
        <f>IF(AND(ISNUMBER(AC289),ISNUMBER(AE289)),AC289-AE289,"")</f>
        <v/>
      </c>
      <c r="BB289" s="254">
        <f>IF(AND(ISNUMBER(AL289),ISNUMBER(AM289)),AL289-AM289,"")</f>
        <v/>
      </c>
      <c r="BC289" s="84">
        <f>IF(AND($E289&gt;0,$W289&gt;0),IF(($E289-$W289)/$E289&gt;0,($E289-$W289)/$E289,0),"")</f>
        <v/>
      </c>
      <c r="BD289" s="84">
        <f>IF(AND($I289&gt;0,$AF289&gt;=0),IF(($I289-$AF289)/$I289&gt;0,($I289-$AF289)/$I289,0),"")</f>
        <v/>
      </c>
      <c r="BE289" s="84" t="n"/>
      <c r="BF289" s="84">
        <f>IF(AND($G289&gt;0,$AM289&gt;0),IF(($G289-$AM289)/$G289&gt;0,($G289-$AM289)/$G289,0),"")</f>
        <v/>
      </c>
      <c r="BG289" s="6">
        <f>IF((AD289-AF289)/(AJ289/60)&lt;=0,"",(AD289-AF289)/(AJ289/60))</f>
        <v/>
      </c>
      <c r="BH289" s="6">
        <f>IF(OR(AJ289=0,AP289=0,NOT(ISNUMBER(AD289)),NOT(ISNUMBER(AF289)),NOT(ISNUMBER(AJ289)),NOT(ISNUMBER(AP289))),"",
IFERROR(IF((AD289-AF289)/(AJ289/60)/(AP289/1000)&lt;=0,"",(AD289-AF289)/(AJ289/60)/(AP289/1000)),""))</f>
        <v/>
      </c>
    </row>
    <row r="290" ht="15.75" customHeight="1">
      <c r="B290" t="n">
        <v>46</v>
      </c>
      <c r="D290" s="11" t="n">
        <v>45550</v>
      </c>
      <c r="E290" s="231" t="n">
        <v>46</v>
      </c>
      <c r="F290" s="3" t="n">
        <v>285</v>
      </c>
      <c r="G290" s="205">
        <f>IF(OR(S290="",S290=0),"",S290*2)</f>
        <v/>
      </c>
      <c r="K290" s="41" t="n">
        <v>21</v>
      </c>
      <c r="M290" s="10">
        <f>IF(OR(E290="",G290="",E290=0,G290=0),"",E290/G290)</f>
        <v/>
      </c>
      <c r="N290" s="9">
        <f>IF(OR(E290="",I290="",E290=0,I290=0),"",E290/(I290*2))</f>
        <v/>
      </c>
      <c r="O290" s="8">
        <f>IF(OR(I290="",G290="",I290=0,G290=0),"",I290*2/G290)</f>
        <v/>
      </c>
      <c r="AD290" s="5" t="n">
        <v>80</v>
      </c>
      <c r="AI290" t="n">
        <v>0.67</v>
      </c>
      <c r="AJ290" s="119" t="n">
        <v>0.51875</v>
      </c>
      <c r="AM290" s="3" t="n">
        <v>180</v>
      </c>
      <c r="AP290" s="255">
        <f>360-AK290-AB290</f>
        <v/>
      </c>
      <c r="AR290" s="13">
        <f>AVERAGE(AO288:AO294)</f>
        <v/>
      </c>
      <c r="AS290" s="15" t="n"/>
      <c r="AT290" s="156">
        <f>(E290-W290)/E290</f>
        <v/>
      </c>
      <c r="AU290" s="155" t="n"/>
      <c r="AV290" s="155">
        <f>AG290/(AD290-AF290)</f>
        <v/>
      </c>
      <c r="AW290" s="155">
        <f>(G290-AM290)/G290</f>
        <v/>
      </c>
      <c r="AX290" s="254">
        <f>IF(AND(ISNUMBER(E290),ISNUMBER(W290)),E290-W290,"")</f>
        <v/>
      </c>
      <c r="AY290" s="254">
        <f>IF(AND(ISNUMBER(I290),ISNUMBER(AF290)),I290-AF290,"")</f>
        <v/>
      </c>
      <c r="AZ290" s="254">
        <f>IF(AND(ISNUMBER(AM290),ISNUMBER(G290)),G290-AM290,"")</f>
        <v/>
      </c>
      <c r="BA290" s="254">
        <f>IF(AND(ISNUMBER(AC290),ISNUMBER(AE290)),AC290-AE290,"")</f>
        <v/>
      </c>
      <c r="BB290" s="254">
        <f>IF(AND(ISNUMBER(AL290),ISNUMBER(AM290)),AL290-AM290,"")</f>
        <v/>
      </c>
      <c r="BC290" s="84">
        <f>IF(AND($E290&gt;0,$W290&gt;0),IF(($E290-$W290)/$E290&gt;0,($E290-$W290)/$E290,0),"")</f>
        <v/>
      </c>
      <c r="BD290" s="84">
        <f>IF(AND($I290&gt;0,$AF290&gt;=0),IF(($I290-$AF290)/$I290&gt;0,($I290-$AF290)/$I290,0),"")</f>
        <v/>
      </c>
      <c r="BE290" s="84" t="n"/>
      <c r="BF290" s="84">
        <f>IF(AND($G290&gt;0,$AM290&gt;0),IF(($G290-$AM290)/$G290&gt;0,($G290-$AM290)/$G290,0),"")</f>
        <v/>
      </c>
      <c r="BG290" s="6">
        <f>IF((AD290-AF290)/(AJ290/60)&lt;=0,"",(AD290-AF290)/(AJ290/60))</f>
        <v/>
      </c>
      <c r="BH290" s="6">
        <f>IF(OR(AJ290=0,AP290=0,NOT(ISNUMBER(AD290)),NOT(ISNUMBER(AF290)),NOT(ISNUMBER(AJ290)),NOT(ISNUMBER(AP290))),"",
IFERROR(IF((AD290-AF290)/(AJ290/60)/(AP290/1000)&lt;=0,"",(AD290-AF290)/(AJ290/60)/(AP290/1000)),""))</f>
        <v/>
      </c>
    </row>
    <row r="291" ht="15.75" customHeight="1">
      <c r="B291" t="n">
        <v>47</v>
      </c>
      <c r="C291" s="12" t="inlineStr">
        <is>
          <t>zhen</t>
        </is>
      </c>
      <c r="D291" s="11" t="n">
        <v>45551</v>
      </c>
      <c r="E291" s="231" t="n">
        <v>47</v>
      </c>
      <c r="F291" s="3" t="n">
        <v>286</v>
      </c>
      <c r="G291" s="205">
        <f>IF(OR(S291="",S291=0),"",S291*2)</f>
        <v/>
      </c>
      <c r="I291" s="15">
        <f>(N291*18-H291*18)/9</f>
        <v/>
      </c>
      <c r="J291" s="9">
        <f>5*2.02</f>
        <v/>
      </c>
      <c r="K291" s="15">
        <f>AD291</f>
        <v/>
      </c>
      <c r="M291" s="10">
        <f>IF(OR(E291="",G291="",E291=0,G291=0),"",E291/G291)</f>
        <v/>
      </c>
      <c r="N291" s="9">
        <f>IF(OR(E291="",I291="",E291=0,I291=0),"",E291/(I291*2))</f>
        <v/>
      </c>
      <c r="O291" s="8">
        <f>IF(OR(I291="",G291="",I291=0,G291=0),"",I291*2/G291)</f>
        <v/>
      </c>
      <c r="P291" s="7">
        <f>5*3.52</f>
        <v/>
      </c>
      <c r="Q291" t="n">
        <v>87.245</v>
      </c>
      <c r="R291" t="n">
        <v>22.184</v>
      </c>
      <c r="S291" s="6">
        <f>O291*1.067</f>
        <v/>
      </c>
      <c r="T291" s="6">
        <f>P291*1.514</f>
        <v/>
      </c>
      <c r="U291" s="23">
        <f>P291*1.514+O291*1.067</f>
        <v/>
      </c>
      <c r="V291" s="6">
        <f>5*4.93</f>
        <v/>
      </c>
      <c r="W291" t="n">
        <v>3.525</v>
      </c>
      <c r="X291" t="n">
        <v>3.221</v>
      </c>
      <c r="Y291" s="23">
        <f>U291*1.067+V291*1.514</f>
        <v/>
      </c>
      <c r="Z291" s="6" t="n">
        <v>6.99</v>
      </c>
      <c r="AD291" s="5" t="n">
        <v>80</v>
      </c>
      <c r="AE291" s="7">
        <f>T291</f>
        <v/>
      </c>
      <c r="AF291" s="231">
        <f>5*4.25</f>
        <v/>
      </c>
      <c r="AG291" s="231">
        <f>5*3.67</f>
        <v/>
      </c>
      <c r="AH291" s="231">
        <f>2*5.31</f>
        <v/>
      </c>
      <c r="AI291" t="n">
        <v>0.12</v>
      </c>
      <c r="AJ291" s="119" t="n">
        <v>0.8541666666666666</v>
      </c>
      <c r="AM291" s="3" t="n">
        <v>180</v>
      </c>
      <c r="AN291" s="4">
        <f>AE291</f>
        <v/>
      </c>
      <c r="AO291" s="231">
        <f>5*3.29</f>
        <v/>
      </c>
      <c r="AP291" s="255">
        <f>360-AK291-AB291</f>
        <v/>
      </c>
      <c r="AR291" s="13">
        <f>AVERAGE(AO289:AO295)</f>
        <v/>
      </c>
      <c r="AS291" s="15" t="n"/>
      <c r="AT291" s="156">
        <f>(E291-W291)/E291</f>
        <v/>
      </c>
      <c r="AU291" s="155">
        <f>(I291-AF291)/I291</f>
        <v/>
      </c>
      <c r="AV291" s="155">
        <f>AG291/(AD291-AF291)</f>
        <v/>
      </c>
      <c r="AW291" s="155">
        <f>(G291-AM291)/G291</f>
        <v/>
      </c>
      <c r="AX291" s="254">
        <f>IF(AND(ISNUMBER(E291),ISNUMBER(W291)),E291-W291,"")</f>
        <v/>
      </c>
      <c r="AY291" s="254">
        <f>IF(AND(ISNUMBER(I291),ISNUMBER(AF291)),I291-AF291,"")</f>
        <v/>
      </c>
      <c r="AZ291" s="254">
        <f>IF(AND(ISNUMBER(AM291),ISNUMBER(G291)),G291-AM291,"")</f>
        <v/>
      </c>
      <c r="BA291" s="254">
        <f>IF(AND(ISNUMBER(AC291),ISNUMBER(AE291)),AC291-AE291,"")</f>
        <v/>
      </c>
      <c r="BB291" s="254">
        <f>IF(AND(ISNUMBER(AL291),ISNUMBER(AM291)),AL291-AM291,"")</f>
        <v/>
      </c>
      <c r="BC291" s="84">
        <f>IF(AND($E291&gt;0,$W291&gt;0),IF(($E291-$W291)/$E291&gt;0,($E291-$W291)/$E291,0),"")</f>
        <v/>
      </c>
      <c r="BD291" s="84">
        <f>IF(AND($I291&gt;0,$AF291&gt;=0),IF(($I291-$AF291)/$I291&gt;0,($I291-$AF291)/$I291,0),"")</f>
        <v/>
      </c>
      <c r="BE291" s="84">
        <f>IF(AND($AG291&gt;=0,$AD291&gt;=0,$AF291&gt;=0),IF($AG291/($AD291-$AF291)&gt;0,$AG291/($AD291-$AF291),0),"")</f>
        <v/>
      </c>
      <c r="BF291" s="84">
        <f>IF(AND($G291&gt;0,$AM291&gt;0),IF(($G291-$AM291)/$G291&gt;0,($G291-$AM291)/$G291,0),"")</f>
        <v/>
      </c>
      <c r="BG291" s="6">
        <f>IF((AD291-AF291)/(AJ291/60)&lt;=0,"",(AD291-AF291)/(AJ291/60))</f>
        <v/>
      </c>
      <c r="BH291" s="6">
        <f>IF(OR(AJ291=0,AP291=0,NOT(ISNUMBER(AD291)),NOT(ISNUMBER(AF291)),NOT(ISNUMBER(AJ291)),NOT(ISNUMBER(AP291))),"",
IFERROR(IF((AD291-AF291)/(AJ291/60)/(AP291/1000)&lt;=0,"",(AD291-AF291)/(AJ291/60)/(AP291/1000)),""))</f>
        <v/>
      </c>
    </row>
    <row r="292" ht="30" customHeight="1">
      <c r="B292" t="n">
        <v>48</v>
      </c>
      <c r="C292" s="12" t="inlineStr">
        <is>
          <t>acetate anoxic batch / N2O appears in aerobic phase instead??</t>
        </is>
      </c>
      <c r="D292" s="11" t="n">
        <v>45552</v>
      </c>
      <c r="E292" s="231" t="n">
        <v>48</v>
      </c>
      <c r="F292" s="3" t="n">
        <v>287</v>
      </c>
      <c r="G292" s="205">
        <f>IF(OR(S292="",S292=0),"",S292*2)</f>
        <v/>
      </c>
      <c r="K292" s="41" t="n">
        <v>21</v>
      </c>
      <c r="M292" s="10">
        <f>IF(OR(E292="",G292="",E292=0,G292=0),"",E292/G292)</f>
        <v/>
      </c>
      <c r="N292" s="9">
        <f>IF(OR(E292="",I292="",E292=0,I292=0),"",E292/(I292*2))</f>
        <v/>
      </c>
      <c r="O292" s="8">
        <f>IF(OR(I292="",G292="",I292=0,G292=0),"",I292*2/G292)</f>
        <v/>
      </c>
      <c r="Z292" s="6" t="n">
        <v>6.83</v>
      </c>
      <c r="AD292" s="5" t="n">
        <v>80</v>
      </c>
      <c r="AM292" s="3" t="n">
        <v>180</v>
      </c>
      <c r="AP292" s="255">
        <f>360-AK292-AB292</f>
        <v/>
      </c>
      <c r="AQ292" s="2" t="n">
        <v>1869.999999999982</v>
      </c>
      <c r="AR292" s="13">
        <f>AVERAGE(AO290:AO296)</f>
        <v/>
      </c>
      <c r="AS292" s="15" t="n">
        <v>17.42055687816963</v>
      </c>
      <c r="AT292" s="156">
        <f>(E292-W292)/E292</f>
        <v/>
      </c>
      <c r="AU292" s="155" t="n"/>
      <c r="AV292" s="155">
        <f>AG292/(AD292-AF292)</f>
        <v/>
      </c>
      <c r="AW292" s="155">
        <f>(G292-AM292)/G292</f>
        <v/>
      </c>
      <c r="AX292" s="254">
        <f>IF(AND(ISNUMBER(E292),ISNUMBER(W292)),E292-W292,"")</f>
        <v/>
      </c>
      <c r="AY292" s="254">
        <f>IF(AND(ISNUMBER(I292),ISNUMBER(AF292)),I292-AF292,"")</f>
        <v/>
      </c>
      <c r="AZ292" s="254">
        <f>IF(AND(ISNUMBER(AM292),ISNUMBER(G292)),G292-AM292,"")</f>
        <v/>
      </c>
      <c r="BA292" s="254">
        <f>IF(AND(ISNUMBER(AC292),ISNUMBER(AE292)),AC292-AE292,"")</f>
        <v/>
      </c>
      <c r="BB292" s="254">
        <f>IF(AND(ISNUMBER(AL292),ISNUMBER(AM292)),AL292-AM292,"")</f>
        <v/>
      </c>
      <c r="BC292" s="84">
        <f>IF(AND($E292&gt;0,$W292&gt;0),IF(($E292-$W292)/$E292&gt;0,($E292-$W292)/$E292,0),"")</f>
        <v/>
      </c>
      <c r="BD292" s="84">
        <f>IF(AND($I292&gt;0,$AF292&gt;=0),IF(($I292-$AF292)/$I292&gt;0,($I292-$AF292)/$I292,0),"")</f>
        <v/>
      </c>
      <c r="BE292" s="84">
        <f>IF(AND($AG292&gt;=0,$AD292&gt;=0,$AF292&gt;=0),IF($AG292/($AD292-$AF292)&gt;0,$AG292/($AD292-$AF292),0),"")</f>
        <v/>
      </c>
      <c r="BF292" s="84">
        <f>IF(AND($G292&gt;0,$AM292&gt;0),IF(($G292-$AM292)/$G292&gt;0,($G292-$AM292)/$G292,0),"")</f>
        <v/>
      </c>
      <c r="BG292" s="6">
        <f>IF((AD292-AF292)/(AJ292/60)&lt;=0,"",(AD292-AF292)/(AJ292/60))</f>
        <v/>
      </c>
      <c r="BH292" s="6">
        <f>IF(OR(AJ292=0,AP292=0,NOT(ISNUMBER(AD292)),NOT(ISNUMBER(AF292)),NOT(ISNUMBER(AJ292)),NOT(ISNUMBER(AP292))),"",
IFERROR(IF((AD292-AF292)/(AJ292/60)/(AP292/1000)&lt;=0,"",(AD292-AF292)/(AJ292/60)/(AP292/1000)),""))</f>
        <v/>
      </c>
    </row>
    <row r="293" ht="15.75" customHeight="1">
      <c r="B293" t="n">
        <v>49</v>
      </c>
      <c r="C293" s="12" t="inlineStr">
        <is>
          <t>aerobic phase has N2O?</t>
        </is>
      </c>
      <c r="D293" s="11" t="n">
        <v>45553</v>
      </c>
      <c r="E293" s="231" t="n">
        <v>49</v>
      </c>
      <c r="F293" s="3" t="n">
        <v>288</v>
      </c>
      <c r="G293" s="205">
        <f>IF(OR(S293="",S293=0),"",S293*2)</f>
        <v/>
      </c>
      <c r="K293" s="41" t="n">
        <v>21</v>
      </c>
      <c r="M293" s="10">
        <f>IF(OR(E293="",G293="",E293=0,G293=0),"",E293/G293)</f>
        <v/>
      </c>
      <c r="N293" s="9">
        <f>IF(OR(E293="",I293="",E293=0,I293=0),"",E293/(I293*2))</f>
        <v/>
      </c>
      <c r="O293" s="8">
        <f>IF(OR(I293="",G293="",I293=0,G293=0),"",I293*2/G293)</f>
        <v/>
      </c>
      <c r="AD293" s="5" t="n">
        <v>80</v>
      </c>
      <c r="AI293" t="n">
        <v>0.16</v>
      </c>
      <c r="AJ293" s="119" t="n">
        <v>0.5565972222222222</v>
      </c>
      <c r="AM293" s="3" t="n">
        <v>180</v>
      </c>
      <c r="AP293" s="255">
        <f>360-AK293-AB293</f>
        <v/>
      </c>
      <c r="AR293" s="13">
        <f>AVERAGE(AO291:AO297)</f>
        <v/>
      </c>
      <c r="AS293" s="15" t="n"/>
      <c r="AT293" s="156">
        <f>(E293-W293)/E293</f>
        <v/>
      </c>
      <c r="AU293" s="155" t="n"/>
      <c r="AV293" s="155">
        <f>AG293/(AD293-AF293)</f>
        <v/>
      </c>
      <c r="AW293" s="155">
        <f>(G293-AM293)/G293</f>
        <v/>
      </c>
      <c r="AX293" s="254">
        <f>IF(AND(ISNUMBER(E293),ISNUMBER(W293)),E293-W293,"")</f>
        <v/>
      </c>
      <c r="AY293" s="254">
        <f>IF(AND(ISNUMBER(I293),ISNUMBER(AF293)),I293-AF293,"")</f>
        <v/>
      </c>
      <c r="AZ293" s="254">
        <f>IF(AND(ISNUMBER(AM293),ISNUMBER(G293)),G293-AM293,"")</f>
        <v/>
      </c>
      <c r="BA293" s="254">
        <f>IF(AND(ISNUMBER(AC293),ISNUMBER(AE293)),AC293-AE293,"")</f>
        <v/>
      </c>
      <c r="BB293" s="254">
        <f>IF(AND(ISNUMBER(AL293),ISNUMBER(AM293)),AL293-AM293,"")</f>
        <v/>
      </c>
      <c r="BC293" s="84">
        <f>IF(AND($E293&gt;0,$W293&gt;0),IF(($E293-$W293)/$E293&gt;0,($E293-$W293)/$E293,0),"")</f>
        <v/>
      </c>
      <c r="BD293" s="84">
        <f>IF(AND($I293&gt;0,$AF293&gt;=0),IF(($I293-$AF293)/$I293&gt;0,($I293-$AF293)/$I293,0),"")</f>
        <v/>
      </c>
      <c r="BE293" s="84">
        <f>IF(AND($AG293&gt;=0,$AD293&gt;=0,$AF293&gt;=0),IF($AG293/($AD293-$AF293)&gt;0,$AG293/($AD293-$AF293),0),"")</f>
        <v/>
      </c>
      <c r="BF293" s="84">
        <f>IF(AND($G293&gt;0,$AM293&gt;0),IF(($G293-$AM293)/$G293&gt;0,($G293-$AM293)/$G293,0),"")</f>
        <v/>
      </c>
      <c r="BG293" s="6">
        <f>IF((AD293-AF293)/(AJ293/60)&lt;=0,"",(AD293-AF293)/(AJ293/60))</f>
        <v/>
      </c>
      <c r="BH293" s="6">
        <f>IF(OR(AJ293=0,AP293=0,NOT(ISNUMBER(AD293)),NOT(ISNUMBER(AF293)),NOT(ISNUMBER(AJ293)),NOT(ISNUMBER(AP293))),"",
IFERROR(IF((AD293-AF293)/(AJ293/60)/(AP293/1000)&lt;=0,"",(AD293-AF293)/(AJ293/60)/(AP293/1000)),""))</f>
        <v/>
      </c>
    </row>
    <row r="294" ht="15.75" customHeight="1">
      <c r="A294" s="260" t="inlineStr">
        <is>
          <t>B40</t>
        </is>
      </c>
      <c r="B294" s="260" t="n">
        <v>50</v>
      </c>
      <c r="D294" s="11" t="n">
        <v>45554</v>
      </c>
      <c r="E294" s="231" t="n">
        <v>50</v>
      </c>
      <c r="F294" s="3" t="n">
        <v>289</v>
      </c>
      <c r="G294" s="205">
        <f>IF(OR(S294="",S294=0),"",S294*2)</f>
        <v/>
      </c>
      <c r="K294" s="41" t="n">
        <v>21</v>
      </c>
      <c r="M294" s="10">
        <f>IF(OR(E294="",G294="",E294=0,G294=0),"",E294/G294)</f>
        <v/>
      </c>
      <c r="N294" s="9">
        <f>IF(OR(E294="",I294="",E294=0,I294=0),"",E294/(I294*2))</f>
        <v/>
      </c>
      <c r="O294" s="8">
        <f>IF(OR(I294="",G294="",I294=0,G294=0),"",I294*2/G294)</f>
        <v/>
      </c>
      <c r="AD294" s="5" t="n">
        <v>80</v>
      </c>
      <c r="AM294" s="3" t="n">
        <v>180</v>
      </c>
      <c r="AP294" s="255">
        <f>360-AK294-AB294</f>
        <v/>
      </c>
      <c r="AR294" s="13">
        <f>AVERAGE(AO292:AO298)</f>
        <v/>
      </c>
      <c r="AS294" s="15" t="n"/>
      <c r="AT294" s="156">
        <f>(E294-W294)/E294</f>
        <v/>
      </c>
      <c r="AU294" s="155" t="n"/>
      <c r="AV294" s="155">
        <f>AG294/(AD294-AF294)</f>
        <v/>
      </c>
      <c r="AW294" s="155">
        <f>(G294-AM294)/G294</f>
        <v/>
      </c>
      <c r="AX294" s="254">
        <f>IF(AND(ISNUMBER(E294),ISNUMBER(W294)),E294-W294,"")</f>
        <v/>
      </c>
      <c r="AY294" s="254">
        <f>IF(AND(ISNUMBER(I294),ISNUMBER(AF294)),I294-AF294,"")</f>
        <v/>
      </c>
      <c r="AZ294" s="254">
        <f>IF(AND(ISNUMBER(AM294),ISNUMBER(G294)),G294-AM294,"")</f>
        <v/>
      </c>
      <c r="BA294" s="254">
        <f>IF(AND(ISNUMBER(AC294),ISNUMBER(AE294)),AC294-AE294,"")</f>
        <v/>
      </c>
      <c r="BB294" s="254">
        <f>IF(AND(ISNUMBER(AL294),ISNUMBER(AM294)),AL294-AM294,"")</f>
        <v/>
      </c>
      <c r="BC294" s="84">
        <f>IF(AND($E294&gt;0,$W294&gt;0),IF(($E294-$W294)/$E294&gt;0,($E294-$W294)/$E294,0),"")</f>
        <v/>
      </c>
      <c r="BD294" s="84">
        <f>IF(AND($I294&gt;0,$AF294&gt;=0),IF(($I294-$AF294)/$I294&gt;0,($I294-$AF294)/$I294,0),"")</f>
        <v/>
      </c>
      <c r="BE294" s="84">
        <f>IF(AND($AG294&gt;=0,$AD294&gt;=0,$AF294&gt;=0),IF($AG294/($AD294-$AF294)&gt;0,$AG294/($AD294-$AF294),0),"")</f>
        <v/>
      </c>
      <c r="BF294" s="84">
        <f>IF(AND($G294&gt;0,$AM294&gt;0),IF(($G294-$AM294)/$G294&gt;0,($G294-$AM294)/$G294,0),"")</f>
        <v/>
      </c>
      <c r="BG294" s="6">
        <f>IF((AD294-AF294)/(AJ294/60)&lt;=0,"",(AD294-AF294)/(AJ294/60))</f>
        <v/>
      </c>
      <c r="BH294" s="6">
        <f>IF(OR(AJ294=0,AP294=0,NOT(ISNUMBER(AD294)),NOT(ISNUMBER(AF294)),NOT(ISNUMBER(AJ294)),NOT(ISNUMBER(AP294))),"",
IFERROR(IF((AD294-AF294)/(AJ294/60)/(AP294/1000)&lt;=0,"",(AD294-AF294)/(AJ294/60)/(AP294/1000)),""))</f>
        <v/>
      </c>
    </row>
    <row r="295" ht="15.75" customHeight="1">
      <c r="B295" t="n">
        <v>51</v>
      </c>
      <c r="C295" s="12" t="inlineStr">
        <is>
          <t xml:space="preserve">acetate aerobic batch </t>
        </is>
      </c>
      <c r="D295" s="11" t="n">
        <v>45555</v>
      </c>
      <c r="E295" s="231" t="n">
        <v>51</v>
      </c>
      <c r="F295" s="3" t="n">
        <v>290</v>
      </c>
      <c r="G295" s="205">
        <f>IF(OR(S295="",S295=0),"",S295*2)</f>
        <v/>
      </c>
      <c r="K295" s="41" t="n">
        <v>21</v>
      </c>
      <c r="M295" s="10">
        <f>IF(OR(E295="",G295="",E295=0,G295=0),"",E295/G295)</f>
        <v/>
      </c>
      <c r="N295" s="9">
        <f>IF(OR(E295="",I295="",E295=0,I295=0),"",E295/(I295*2))</f>
        <v/>
      </c>
      <c r="O295" s="8">
        <f>IF(OR(I295="",G295="",I295=0,G295=0),"",I295*2/G295)</f>
        <v/>
      </c>
      <c r="Z295" s="6" t="n">
        <v>7.55</v>
      </c>
      <c r="AD295" s="5" t="n">
        <v>80</v>
      </c>
      <c r="AM295" s="3" t="n">
        <v>180</v>
      </c>
      <c r="AP295" s="255">
        <f>360-AK295-AB295</f>
        <v/>
      </c>
      <c r="AQ295" s="2" t="n">
        <v>1419.999999999982</v>
      </c>
      <c r="AR295" s="13">
        <f>AVERAGE(AO293:AO299)</f>
        <v/>
      </c>
      <c r="AS295" s="15" t="n"/>
      <c r="AT295" s="156">
        <f>(E295-W295)/E295</f>
        <v/>
      </c>
      <c r="AU295" s="155" t="n"/>
      <c r="AV295" s="155">
        <f>AG295/(AD295-AF295)</f>
        <v/>
      </c>
      <c r="AW295" s="155">
        <f>(G295-AM295)/G295</f>
        <v/>
      </c>
      <c r="AX295" s="254">
        <f>IF(AND(ISNUMBER(E295),ISNUMBER(W295)),E295-W295,"")</f>
        <v/>
      </c>
      <c r="AY295" s="254">
        <f>IF(AND(ISNUMBER(I295),ISNUMBER(AF295)),I295-AF295,"")</f>
        <v/>
      </c>
      <c r="AZ295" s="254">
        <f>IF(AND(ISNUMBER(AM295),ISNUMBER(G295)),G295-AM295,"")</f>
        <v/>
      </c>
      <c r="BA295" s="254">
        <f>IF(AND(ISNUMBER(AC295),ISNUMBER(AE295)),AC295-AE295,"")</f>
        <v/>
      </c>
      <c r="BB295" s="254">
        <f>IF(AND(ISNUMBER(AL295),ISNUMBER(AM295)),AL295-AM295,"")</f>
        <v/>
      </c>
      <c r="BC295" s="84">
        <f>IF(AND($E295&gt;0,$W295&gt;0),IF(($E295-$W295)/$E295&gt;0,($E295-$W295)/$E295,0),"")</f>
        <v/>
      </c>
      <c r="BD295" s="84">
        <f>IF(AND($I295&gt;0,$AF295&gt;=0),IF(($I295-$AF295)/$I295&gt;0,($I295-$AF295)/$I295,0),"")</f>
        <v/>
      </c>
      <c r="BE295" s="84">
        <f>IF(AND($AG295&gt;=0,$AD295&gt;=0,$AF295&gt;=0),IF($AG295/($AD295-$AF295)&gt;0,$AG295/($AD295-$AF295),0),"")</f>
        <v/>
      </c>
      <c r="BF295" s="84">
        <f>IF(AND($G295&gt;0,$AM295&gt;0),IF(($G295-$AM295)/$G295&gt;0,($G295-$AM295)/$G295,0),"")</f>
        <v/>
      </c>
      <c r="BG295" s="6">
        <f>IF((AD295-AF295)/(AJ295/60)&lt;=0,"",(AD295-AF295)/(AJ295/60))</f>
        <v/>
      </c>
      <c r="BH295" s="6">
        <f>IF(OR(AJ295=0,AP295=0,NOT(ISNUMBER(AD295)),NOT(ISNUMBER(AF295)),NOT(ISNUMBER(AJ295)),NOT(ISNUMBER(AP295))),"",
IFERROR(IF((AD295-AF295)/(AJ295/60)/(AP295/1000)&lt;=0,"",(AD295-AF295)/(AJ295/60)/(AP295/1000)),""))</f>
        <v/>
      </c>
    </row>
    <row r="296" ht="15.75" customHeight="1">
      <c r="B296" t="n">
        <v>52</v>
      </c>
      <c r="D296" s="11" t="n">
        <v>45556</v>
      </c>
      <c r="E296" s="231" t="n">
        <v>52</v>
      </c>
      <c r="F296" s="3" t="n">
        <v>291</v>
      </c>
      <c r="G296" s="205">
        <f>IF(OR(S296="",S296=0),"",S296*2)</f>
        <v/>
      </c>
      <c r="K296" s="41" t="n">
        <v>21</v>
      </c>
      <c r="M296" s="10">
        <f>IF(OR(E296="",G296="",E296=0,G296=0),"",E296/G296)</f>
        <v/>
      </c>
      <c r="N296" s="9">
        <f>IF(OR(E296="",I296="",E296=0,I296=0),"",E296/(I296*2))</f>
        <v/>
      </c>
      <c r="O296" s="8">
        <f>IF(OR(I296="",G296="",I296=0,G296=0),"",I296*2/G296)</f>
        <v/>
      </c>
      <c r="AD296" s="5" t="n">
        <v>80</v>
      </c>
      <c r="AM296" s="3" t="n">
        <v>180</v>
      </c>
      <c r="AP296" s="255">
        <f>360-AK296-AB296</f>
        <v/>
      </c>
      <c r="AR296" s="13">
        <f>AVERAGE(AO294:AO300)</f>
        <v/>
      </c>
      <c r="AS296" s="15" t="n"/>
      <c r="AT296" s="156">
        <f>(E296-W296)/E296</f>
        <v/>
      </c>
      <c r="AU296" s="155" t="n"/>
      <c r="AV296" s="155">
        <f>AG296/(AD296-AF296)</f>
        <v/>
      </c>
      <c r="AW296" s="155">
        <f>(G296-AM296)/G296</f>
        <v/>
      </c>
      <c r="AX296" s="254">
        <f>IF(AND(ISNUMBER(E296),ISNUMBER(W296)),E296-W296,"")</f>
        <v/>
      </c>
      <c r="AY296" s="254">
        <f>IF(AND(ISNUMBER(I296),ISNUMBER(AF296)),I296-AF296,"")</f>
        <v/>
      </c>
      <c r="AZ296" s="254">
        <f>IF(AND(ISNUMBER(AM296),ISNUMBER(G296)),G296-AM296,"")</f>
        <v/>
      </c>
      <c r="BA296" s="254">
        <f>IF(AND(ISNUMBER(AC296),ISNUMBER(AE296)),AC296-AE296,"")</f>
        <v/>
      </c>
      <c r="BB296" s="254">
        <f>IF(AND(ISNUMBER(AL296),ISNUMBER(AM296)),AL296-AM296,"")</f>
        <v/>
      </c>
      <c r="BC296" s="84">
        <f>IF(AND($E296&gt;0,$W296&gt;0),IF(($E296-$W296)/$E296&gt;0,($E296-$W296)/$E296,0),"")</f>
        <v/>
      </c>
      <c r="BD296" s="84">
        <f>IF(AND($I296&gt;0,$AF296&gt;=0),IF(($I296-$AF296)/$I296&gt;0,($I296-$AF296)/$I296,0),"")</f>
        <v/>
      </c>
      <c r="BE296" s="84">
        <f>IF(AND($AG296&gt;=0,$AD296&gt;=0,$AF296&gt;=0),IF($AG296/($AD296-$AF296)&gt;0,$AG296/($AD296-$AF296),0),"")</f>
        <v/>
      </c>
      <c r="BF296" s="84">
        <f>IF(AND($G296&gt;0,$AM296&gt;0),IF(($G296-$AM296)/$G296&gt;0,($G296-$AM296)/$G296,0),"")</f>
        <v/>
      </c>
      <c r="BG296" s="6">
        <f>IF((AD296-AF296)/(AJ296/60)&lt;=0,"",(AD296-AF296)/(AJ296/60))</f>
        <v/>
      </c>
      <c r="BH296" s="6">
        <f>IF(OR(AJ296=0,AP296=0,NOT(ISNUMBER(AD296)),NOT(ISNUMBER(AF296)),NOT(ISNUMBER(AJ296)),NOT(ISNUMBER(AP296))),"",
IFERROR(IF((AD296-AF296)/(AJ296/60)/(AP296/1000)&lt;=0,"",(AD296-AF296)/(AJ296/60)/(AP296/1000)),""))</f>
        <v/>
      </c>
    </row>
    <row r="297" ht="15.75" customHeight="1">
      <c r="B297" t="n">
        <v>53</v>
      </c>
      <c r="D297" s="11" t="n">
        <v>45557</v>
      </c>
      <c r="E297" s="231" t="n">
        <v>53</v>
      </c>
      <c r="F297" s="3" t="n">
        <v>292</v>
      </c>
      <c r="G297" s="205">
        <f>IF(OR(S297="",S297=0),"",S297*2)</f>
        <v/>
      </c>
      <c r="K297" s="41" t="n">
        <v>21</v>
      </c>
      <c r="M297" s="10">
        <f>IF(OR(E297="",G297="",E297=0,G297=0),"",E297/G297)</f>
        <v/>
      </c>
      <c r="N297" s="9">
        <f>IF(OR(E297="",I297="",E297=0,I297=0),"",E297/(I297*2))</f>
        <v/>
      </c>
      <c r="O297" s="8">
        <f>IF(OR(I297="",G297="",I297=0,G297=0),"",I297*2/G297)</f>
        <v/>
      </c>
      <c r="AD297" s="5" t="n">
        <v>80</v>
      </c>
      <c r="AH297" s="231" t="n">
        <v>10</v>
      </c>
      <c r="AM297" s="3" t="n">
        <v>180</v>
      </c>
      <c r="AP297" s="255">
        <f>360-AK297-AB297</f>
        <v/>
      </c>
      <c r="AR297" s="13">
        <f>AVERAGE(AO295:AO301)</f>
        <v/>
      </c>
      <c r="AS297" s="15" t="n"/>
      <c r="AT297" s="156">
        <f>(E297-W297)/E297</f>
        <v/>
      </c>
      <c r="AU297" s="155" t="n"/>
      <c r="AV297" s="155">
        <f>AG297/(AD297-AF297)</f>
        <v/>
      </c>
      <c r="AW297" s="155">
        <f>(G297-AM297)/G297</f>
        <v/>
      </c>
      <c r="AX297" s="254">
        <f>IF(AND(ISNUMBER(E297),ISNUMBER(W297)),E297-W297,"")</f>
        <v/>
      </c>
      <c r="AY297" s="254">
        <f>IF(AND(ISNUMBER(I297),ISNUMBER(AF297)),I297-AF297,"")</f>
        <v/>
      </c>
      <c r="AZ297" s="254">
        <f>IF(AND(ISNUMBER(AM297),ISNUMBER(G297)),G297-AM297,"")</f>
        <v/>
      </c>
      <c r="BA297" s="254">
        <f>IF(AND(ISNUMBER(AC297),ISNUMBER(AE297)),AC297-AE297,"")</f>
        <v/>
      </c>
      <c r="BB297" s="254">
        <f>IF(AND(ISNUMBER(AL297),ISNUMBER(AM297)),AL297-AM297,"")</f>
        <v/>
      </c>
      <c r="BC297" s="84">
        <f>IF(AND($E297&gt;0,$W297&gt;0),IF(($E297-$W297)/$E297&gt;0,($E297-$W297)/$E297,0),"")</f>
        <v/>
      </c>
      <c r="BD297" s="84">
        <f>IF(AND($I297&gt;0,$AF297&gt;=0),IF(($I297-$AF297)/$I297&gt;0,($I297-$AF297)/$I297,0),"")</f>
        <v/>
      </c>
      <c r="BE297" s="84">
        <f>IF(AND($AG297&gt;=0,$AD297&gt;=0,$AF297&gt;=0),IF($AG297/($AD297-$AF297)&gt;0,$AG297/($AD297-$AF297),0),"")</f>
        <v/>
      </c>
      <c r="BF297" s="84">
        <f>IF(AND($G297&gt;0,$AM297&gt;0),IF(($G297-$AM297)/$G297&gt;0,($G297-$AM297)/$G297,0),"")</f>
        <v/>
      </c>
      <c r="BG297" s="6">
        <f>IF((AD297-AF297)/(AJ297/60)&lt;=0,"",(AD297-AF297)/(AJ297/60))</f>
        <v/>
      </c>
      <c r="BH297" s="6">
        <f>IF(OR(AJ297=0,AP297=0,NOT(ISNUMBER(AD297)),NOT(ISNUMBER(AF297)),NOT(ISNUMBER(AJ297)),NOT(ISNUMBER(AP297))),"",
IFERROR(IF((AD297-AF297)/(AJ297/60)/(AP297/1000)&lt;=0,"",(AD297-AF297)/(AJ297/60)/(AP297/1000)),""))</f>
        <v/>
      </c>
    </row>
    <row r="298" ht="15.75" customHeight="1">
      <c r="B298" t="n">
        <v>54</v>
      </c>
      <c r="C298" s="12" t="inlineStr">
        <is>
          <t>zhen</t>
        </is>
      </c>
      <c r="D298" s="11" t="n">
        <v>45558</v>
      </c>
      <c r="E298" s="231" t="n">
        <v>54</v>
      </c>
      <c r="F298" s="3" t="n">
        <v>293</v>
      </c>
      <c r="G298" s="205">
        <f>IF(OR(S298="",S298=0),"",S298*2)</f>
        <v/>
      </c>
      <c r="K298" s="41" t="n">
        <v>21</v>
      </c>
      <c r="M298" s="10">
        <f>IF(OR(E298="",G298="",E298=0,G298=0),"",E298/G298)</f>
        <v/>
      </c>
      <c r="N298" s="9">
        <f>IF(OR(E298="",I298="",E298=0,I298=0),"",E298/(I298*2))</f>
        <v/>
      </c>
      <c r="O298" s="8">
        <f>IF(OR(I298="",G298="",I298=0,G298=0),"",I298*2/G298)</f>
        <v/>
      </c>
      <c r="AD298" s="5" t="n">
        <v>80</v>
      </c>
      <c r="AM298" s="3" t="n">
        <v>180</v>
      </c>
      <c r="AP298" s="255">
        <f>360-AK298-AB298</f>
        <v/>
      </c>
      <c r="AR298" s="13">
        <f>AVERAGE(AO296:AO302)</f>
        <v/>
      </c>
      <c r="AS298" s="15" t="n"/>
      <c r="AT298" s="156">
        <f>(E298-W298)/E298</f>
        <v/>
      </c>
      <c r="AU298" s="155" t="n"/>
      <c r="AV298" s="155">
        <f>AG298/(AD298-AF298)</f>
        <v/>
      </c>
      <c r="AW298" s="155">
        <f>(G298-AM298)/G298</f>
        <v/>
      </c>
      <c r="AX298" s="254">
        <f>IF(AND(ISNUMBER(E298),ISNUMBER(W298)),E298-W298,"")</f>
        <v/>
      </c>
      <c r="AY298" s="254">
        <f>IF(AND(ISNUMBER(I298),ISNUMBER(AF298)),I298-AF298,"")</f>
        <v/>
      </c>
      <c r="AZ298" s="254">
        <f>IF(AND(ISNUMBER(AM298),ISNUMBER(G298)),G298-AM298,"")</f>
        <v/>
      </c>
      <c r="BA298" s="254">
        <f>IF(AND(ISNUMBER(AC298),ISNUMBER(AE298)),AC298-AE298,"")</f>
        <v/>
      </c>
      <c r="BB298" s="254">
        <f>IF(AND(ISNUMBER(AL298),ISNUMBER(AM298)),AL298-AM298,"")</f>
        <v/>
      </c>
      <c r="BC298" s="84">
        <f>IF(AND($E298&gt;0,$W298&gt;0),IF(($E298-$W298)/$E298&gt;0,($E298-$W298)/$E298,0),"")</f>
        <v/>
      </c>
      <c r="BD298" s="84">
        <f>IF(AND($I298&gt;0,$AF298&gt;=0),IF(($I298-$AF298)/$I298&gt;0,($I298-$AF298)/$I298,0),"")</f>
        <v/>
      </c>
      <c r="BE298" s="84">
        <f>IF(AND($AG298&gt;=0,$AD298&gt;=0,$AF298&gt;=0),IF($AG298/($AD298-$AF298)&gt;0,$AG298/($AD298-$AF298),0),"")</f>
        <v/>
      </c>
      <c r="BF298" s="84">
        <f>IF(AND($G298&gt;0,$AM298&gt;0),IF(($G298-$AM298)/$G298&gt;0,($G298-$AM298)/$G298,0),"")</f>
        <v/>
      </c>
      <c r="BG298" s="6">
        <f>IF((AD298-AF298)/(AJ298/60)&lt;=0,"",(AD298-AF298)/(AJ298/60))</f>
        <v/>
      </c>
      <c r="BH298" s="6">
        <f>IF(OR(AJ298=0,AP298=0,NOT(ISNUMBER(AD298)),NOT(ISNUMBER(AF298)),NOT(ISNUMBER(AJ298)),NOT(ISNUMBER(AP298))),"",
IFERROR(IF((AD298-AF298)/(AJ298/60)/(AP298/1000)&lt;=0,"",(AD298-AF298)/(AJ298/60)/(AP298/1000)),""))</f>
        <v/>
      </c>
    </row>
    <row r="299" ht="15.75" customHeight="1">
      <c r="B299" t="n">
        <v>55</v>
      </c>
      <c r="C299" s="122" t="inlineStr">
        <is>
          <t xml:space="preserve">seeing N2O production in aerobic phse  </t>
        </is>
      </c>
      <c r="D299" s="11" t="n">
        <v>45559</v>
      </c>
      <c r="E299" s="231" t="n">
        <v>55</v>
      </c>
      <c r="F299" s="3" t="n">
        <v>294</v>
      </c>
      <c r="G299" s="205">
        <f>IF(OR(S299="",S299=0),"",S299*2)</f>
        <v/>
      </c>
      <c r="I299" s="15">
        <f>(N299*18-H299*18)/9</f>
        <v/>
      </c>
      <c r="J299" s="9" t="n">
        <v>9.220000000000001</v>
      </c>
      <c r="K299" s="15">
        <f>AD299</f>
        <v/>
      </c>
      <c r="M299" s="10">
        <f>IF(OR(E299="",G299="",E299=0,G299=0),"",E299/G299)</f>
        <v/>
      </c>
      <c r="N299" s="9">
        <f>IF(OR(E299="",I299="",E299=0,I299=0),"",E299/(I299*2))</f>
        <v/>
      </c>
      <c r="O299" s="8">
        <f>IF(OR(I299="",G299="",I299=0,G299=0),"",I299*2/G299)</f>
        <v/>
      </c>
      <c r="P299" s="7" t="n">
        <v>15.6</v>
      </c>
      <c r="Q299" t="n">
        <v>70.541</v>
      </c>
      <c r="R299" t="n">
        <v>24.61</v>
      </c>
      <c r="S299" s="6">
        <f>O299*1.067</f>
        <v/>
      </c>
      <c r="T299" s="6">
        <f>P299*1.514</f>
        <v/>
      </c>
      <c r="U299" s="23">
        <f>P299*1.514+O299*1.067</f>
        <v/>
      </c>
      <c r="V299" s="6">
        <f>20.4</f>
        <v/>
      </c>
      <c r="W299" t="n">
        <v>0.494</v>
      </c>
      <c r="X299" t="n">
        <v>0.21</v>
      </c>
      <c r="Y299" s="23">
        <f>U299*1.067+V299*1.514</f>
        <v/>
      </c>
      <c r="Z299" s="6" t="n">
        <v>8.84</v>
      </c>
      <c r="AD299" s="5" t="n">
        <v>80</v>
      </c>
      <c r="AE299" s="7">
        <f>T299</f>
        <v/>
      </c>
      <c r="AF299" s="231">
        <f>5*4.27</f>
        <v/>
      </c>
      <c r="AG299" s="231">
        <f>16.5</f>
        <v/>
      </c>
      <c r="AH299" s="231">
        <f>5*2.27</f>
        <v/>
      </c>
      <c r="AM299" s="3" t="n">
        <v>180</v>
      </c>
      <c r="AN299" s="4">
        <f>AE299</f>
        <v/>
      </c>
      <c r="AO299" s="231">
        <f>14.4</f>
        <v/>
      </c>
      <c r="AP299" s="255">
        <f>360-AK299-AB299</f>
        <v/>
      </c>
      <c r="AR299" s="13">
        <f>AVERAGE(AO297:AO303)</f>
        <v/>
      </c>
      <c r="AS299" s="15" t="n"/>
      <c r="AT299" s="156">
        <f>(E299-W299)/E299</f>
        <v/>
      </c>
      <c r="AU299" s="155">
        <f>(I299-AF299)/I299</f>
        <v/>
      </c>
      <c r="AV299" s="155">
        <f>AG299/(AD299-AF299)</f>
        <v/>
      </c>
      <c r="AW299" s="155">
        <f>(G299-AM299)/G299</f>
        <v/>
      </c>
      <c r="AX299" s="254">
        <f>IF(AND(ISNUMBER(E299),ISNUMBER(W299)),E299-W299,"")</f>
        <v/>
      </c>
      <c r="AY299" s="254">
        <f>IF(AND(ISNUMBER(I299),ISNUMBER(AF299)),I299-AF299,"")</f>
        <v/>
      </c>
      <c r="AZ299" s="254">
        <f>IF(AND(ISNUMBER(AM299),ISNUMBER(G299)),G299-AM299,"")</f>
        <v/>
      </c>
      <c r="BA299" s="254">
        <f>IF(AND(ISNUMBER(AC299),ISNUMBER(AE299)),AC299-AE299,"")</f>
        <v/>
      </c>
      <c r="BB299" s="254">
        <f>IF(AND(ISNUMBER(AL299),ISNUMBER(AM299)),AL299-AM299,"")</f>
        <v/>
      </c>
      <c r="BC299" s="84">
        <f>IF(AND($E299&gt;0,$W299&gt;0),IF(($E299-$W299)/$E299&gt;0,($E299-$W299)/$E299,0),"")</f>
        <v/>
      </c>
      <c r="BD299" s="84">
        <f>IF(AND($I299&gt;0,$AF299&gt;=0),IF(($I299-$AF299)/$I299&gt;0,($I299-$AF299)/$I299,0),"")</f>
        <v/>
      </c>
      <c r="BE299" s="84">
        <f>IF(AND($AG299&gt;=0,$AD299&gt;=0,$AF299&gt;=0),IF($AG299/($AD299-$AF299)&gt;0,$AG299/($AD299-$AF299),0),"")</f>
        <v/>
      </c>
      <c r="BF299" s="84">
        <f>IF(AND($G299&gt;0,$AM299&gt;0),IF(($G299-$AM299)/$G299&gt;0,($G299-$AM299)/$G299,0),"")</f>
        <v/>
      </c>
      <c r="BG299" s="6">
        <f>IF((AD299-AF299)/(AJ299/60)&lt;=0,"",(AD299-AF299)/(AJ299/60))</f>
        <v/>
      </c>
      <c r="BH299" s="6">
        <f>IF(OR(AJ299=0,AP299=0,NOT(ISNUMBER(AD299)),NOT(ISNUMBER(AF299)),NOT(ISNUMBER(AJ299)),NOT(ISNUMBER(AP299))),"",
IFERROR(IF((AD299-AF299)/(AJ299/60)/(AP299/1000)&lt;=0,"",(AD299-AF299)/(AJ299/60)/(AP299/1000)),""))</f>
        <v/>
      </c>
    </row>
    <row r="300" ht="15.75" customHeight="1">
      <c r="B300" t="n">
        <v>56</v>
      </c>
      <c r="D300" s="11" t="n">
        <v>45560</v>
      </c>
      <c r="E300" s="231" t="n">
        <v>56</v>
      </c>
      <c r="F300" s="3" t="n">
        <v>295</v>
      </c>
      <c r="G300" s="205">
        <f>IF(OR(S300="",S300=0),"",S300*2)</f>
        <v/>
      </c>
      <c r="K300" s="41" t="n">
        <v>21</v>
      </c>
      <c r="M300" s="10">
        <f>IF(OR(E300="",G300="",E300=0,G300=0),"",E300/G300)</f>
        <v/>
      </c>
      <c r="N300" s="9">
        <f>IF(OR(E300="",I300="",E300=0,I300=0),"",E300/(I300*2))</f>
        <v/>
      </c>
      <c r="O300" s="8">
        <f>IF(OR(I300="",G300="",I300=0,G300=0),"",I300*2/G300)</f>
        <v/>
      </c>
      <c r="Z300" s="6" t="n">
        <v>5.55</v>
      </c>
      <c r="AD300" s="5" t="n">
        <v>80</v>
      </c>
      <c r="AI300" t="n">
        <v>0.08</v>
      </c>
      <c r="AJ300" s="119" t="n">
        <v>0.5399305555555556</v>
      </c>
      <c r="AM300" s="3" t="n">
        <v>180</v>
      </c>
      <c r="AP300" s="255">
        <f>360-AK300-AB300</f>
        <v/>
      </c>
      <c r="AR300" s="13">
        <f>AVERAGE(AO298:AO304)</f>
        <v/>
      </c>
      <c r="AS300" s="15" t="n"/>
      <c r="AT300" s="156">
        <f>(E300-W300)/E300</f>
        <v/>
      </c>
      <c r="AU300" s="155">
        <f>(I300-AF300)/I300</f>
        <v/>
      </c>
      <c r="AV300" s="155">
        <f>AG300/(AD300-AF300)</f>
        <v/>
      </c>
      <c r="AW300" s="155">
        <f>(G300-AM300)/G300</f>
        <v/>
      </c>
      <c r="AX300" s="254">
        <f>IF(AND(ISNUMBER(E300),ISNUMBER(W300)),E300-W300,"")</f>
        <v/>
      </c>
      <c r="AY300" s="254">
        <f>IF(AND(ISNUMBER(I300),ISNUMBER(AF300)),I300-AF300,"")</f>
        <v/>
      </c>
      <c r="AZ300" s="254">
        <f>IF(AND(ISNUMBER(AM300),ISNUMBER(G300)),G300-AM300,"")</f>
        <v/>
      </c>
      <c r="BA300" s="254">
        <f>IF(AND(ISNUMBER(AC300),ISNUMBER(AE300)),AC300-AE300,"")</f>
        <v/>
      </c>
      <c r="BB300" s="254">
        <f>IF(AND(ISNUMBER(AL300),ISNUMBER(AM300)),AL300-AM300,"")</f>
        <v/>
      </c>
      <c r="BC300" s="84">
        <f>IF(AND($E300&gt;0,$W300&gt;0),IF(($E300-$W300)/$E300&gt;0,($E300-$W300)/$E300,0),"")</f>
        <v/>
      </c>
      <c r="BD300" s="84">
        <f>IF(AND($I300&gt;0,$AF300&gt;=0),IF(($I300-$AF300)/$I300&gt;0,($I300-$AF300)/$I300,0),"")</f>
        <v/>
      </c>
      <c r="BE300" s="84">
        <f>IF(AND($AG300&gt;=0,$AD300&gt;=0,$AF300&gt;=0),IF($AG300/($AD300-$AF300)&gt;0,$AG300/($AD300-$AF300),0),"")</f>
        <v/>
      </c>
      <c r="BF300" s="84">
        <f>IF(AND($G300&gt;0,$AM300&gt;0),IF(($G300-$AM300)/$G300&gt;0,($G300-$AM300)/$G300,0),"")</f>
        <v/>
      </c>
      <c r="BG300" s="6">
        <f>IF((AD300-AF300)/(AJ300/60)&lt;=0,"",(AD300-AF300)/(AJ300/60))</f>
        <v/>
      </c>
      <c r="BH300" s="6">
        <f>IF(OR(AJ300=0,AP300=0,NOT(ISNUMBER(AD300)),NOT(ISNUMBER(AF300)),NOT(ISNUMBER(AJ300)),NOT(ISNUMBER(AP300))),"",
IFERROR(IF((AD300-AF300)/(AJ300/60)/(AP300/1000)&lt;=0,"",(AD300-AF300)/(AJ300/60)/(AP300/1000)),""))</f>
        <v/>
      </c>
    </row>
    <row r="301" ht="15.75" customHeight="1">
      <c r="B301" t="n">
        <v>57</v>
      </c>
      <c r="D301" s="11" t="n">
        <v>45561</v>
      </c>
      <c r="E301" s="231" t="n">
        <v>57</v>
      </c>
      <c r="F301" s="3" t="n">
        <v>296</v>
      </c>
      <c r="G301" s="205">
        <f>IF(OR(S301="",S301=0),"",S301*2)</f>
        <v/>
      </c>
      <c r="K301" s="41" t="n">
        <v>21</v>
      </c>
      <c r="M301" s="10">
        <f>IF(OR(E301="",G301="",E301=0,G301=0),"",E301/G301)</f>
        <v/>
      </c>
      <c r="N301" s="9">
        <f>IF(OR(E301="",I301="",E301=0,I301=0),"",E301/(I301*2))</f>
        <v/>
      </c>
      <c r="O301" s="8">
        <f>IF(OR(I301="",G301="",I301=0,G301=0),"",I301*2/G301)</f>
        <v/>
      </c>
      <c r="AD301" s="5" t="n">
        <v>80</v>
      </c>
      <c r="AI301" t="n">
        <v>0.19</v>
      </c>
      <c r="AJ301" s="119" t="n">
        <v>0.6511574074074075</v>
      </c>
      <c r="AM301" s="3" t="n">
        <v>180</v>
      </c>
      <c r="AP301" s="255">
        <f>360-AK301-AB301</f>
        <v/>
      </c>
      <c r="AR301" s="13">
        <f>AVERAGE(AO299:AO305)</f>
        <v/>
      </c>
      <c r="AS301" s="15" t="n"/>
      <c r="AT301" s="156">
        <f>(E301-W301)/E301</f>
        <v/>
      </c>
      <c r="AU301" s="155">
        <f>(I301-AF301)/I301</f>
        <v/>
      </c>
      <c r="AV301" s="155">
        <f>AG301/(AD301-AF301)</f>
        <v/>
      </c>
      <c r="AW301" s="155">
        <f>(G301-AM301)/G301</f>
        <v/>
      </c>
      <c r="AX301" s="254">
        <f>IF(AND(ISNUMBER(E301),ISNUMBER(W301)),E301-W301,"")</f>
        <v/>
      </c>
      <c r="AY301" s="254">
        <f>IF(AND(ISNUMBER(I301),ISNUMBER(AF301)),I301-AF301,"")</f>
        <v/>
      </c>
      <c r="AZ301" s="254">
        <f>IF(AND(ISNUMBER(AM301),ISNUMBER(G301)),G301-AM301,"")</f>
        <v/>
      </c>
      <c r="BA301" s="254">
        <f>IF(AND(ISNUMBER(AC301),ISNUMBER(AE301)),AC301-AE301,"")</f>
        <v/>
      </c>
      <c r="BB301" s="254">
        <f>IF(AND(ISNUMBER(AL301),ISNUMBER(AM301)),AL301-AM301,"")</f>
        <v/>
      </c>
      <c r="BC301" s="84">
        <f>IF(AND($E301&gt;0,$W301&gt;0),IF(($E301-$W301)/$E301&gt;0,($E301-$W301)/$E301,0),"")</f>
        <v/>
      </c>
      <c r="BD301" s="84">
        <f>IF(AND($I301&gt;0,$AF301&gt;=0),IF(($I301-$AF301)/$I301&gt;0,($I301-$AF301)/$I301,0),"")</f>
        <v/>
      </c>
      <c r="BE301" s="84">
        <f>IF(AND($AG301&gt;=0,$AD301&gt;=0,$AF301&gt;=0),IF($AG301/($AD301-$AF301)&gt;0,$AG301/($AD301-$AF301),0),"")</f>
        <v/>
      </c>
      <c r="BF301" s="84">
        <f>IF(AND($G301&gt;0,$AM301&gt;0),IF(($G301-$AM301)/$G301&gt;0,($G301-$AM301)/$G301,0),"")</f>
        <v/>
      </c>
      <c r="BG301" s="6">
        <f>IF((AD301-AF301)/(AJ301/60)&lt;=0,"",(AD301-AF301)/(AJ301/60))</f>
        <v/>
      </c>
      <c r="BH301" s="6">
        <f>IF(OR(AJ301=0,AP301=0,NOT(ISNUMBER(AD301)),NOT(ISNUMBER(AF301)),NOT(ISNUMBER(AJ301)),NOT(ISNUMBER(AP301))),"",
IFERROR(IF((AD301-AF301)/(AJ301/60)/(AP301/1000)&lt;=0,"",(AD301-AF301)/(AJ301/60)/(AP301/1000)),""))</f>
        <v/>
      </c>
    </row>
    <row r="302" ht="15.75" customHeight="1">
      <c r="B302" t="n">
        <v>58</v>
      </c>
      <c r="D302" s="11" t="n">
        <v>45562</v>
      </c>
      <c r="E302" s="231" t="n">
        <v>58</v>
      </c>
      <c r="F302" s="3" t="n">
        <v>297</v>
      </c>
      <c r="G302" s="205">
        <f>IF(OR(S302="",S302=0),"",S302*2)</f>
        <v/>
      </c>
      <c r="K302" s="41" t="n">
        <v>21</v>
      </c>
      <c r="M302" s="10">
        <f>IF(OR(E302="",G302="",E302=0,G302=0),"",E302/G302)</f>
        <v/>
      </c>
      <c r="N302" s="9">
        <f>IF(OR(E302="",I302="",E302=0,I302=0),"",E302/(I302*2))</f>
        <v/>
      </c>
      <c r="O302" s="8">
        <f>IF(OR(I302="",G302="",I302=0,G302=0),"",I302*2/G302)</f>
        <v/>
      </c>
      <c r="AD302" s="5" t="n">
        <v>80</v>
      </c>
      <c r="AI302" t="n">
        <v>0.1</v>
      </c>
      <c r="AJ302" s="119" t="n">
        <v>0.5402777777777777</v>
      </c>
      <c r="AM302" s="3" t="n">
        <v>180</v>
      </c>
      <c r="AP302" s="255">
        <f>360-AK302-AB302</f>
        <v/>
      </c>
      <c r="AR302" s="13">
        <f>AVERAGE(AO300:AO306)</f>
        <v/>
      </c>
      <c r="AS302" s="15" t="n"/>
      <c r="AT302" s="156">
        <f>(E302-W302)/E302</f>
        <v/>
      </c>
      <c r="AU302" s="155">
        <f>(I302-AF302)/I302</f>
        <v/>
      </c>
      <c r="AV302" s="155">
        <f>AG302/(AD302-AF302)</f>
        <v/>
      </c>
      <c r="AW302" s="155">
        <f>(G302-AM302)/G302</f>
        <v/>
      </c>
      <c r="AX302" s="254">
        <f>IF(AND(ISNUMBER(E302),ISNUMBER(W302)),E302-W302,"")</f>
        <v/>
      </c>
      <c r="AY302" s="254">
        <f>IF(AND(ISNUMBER(I302),ISNUMBER(AF302)),I302-AF302,"")</f>
        <v/>
      </c>
      <c r="AZ302" s="254">
        <f>IF(AND(ISNUMBER(AM302),ISNUMBER(G302)),G302-AM302,"")</f>
        <v/>
      </c>
      <c r="BA302" s="254">
        <f>IF(AND(ISNUMBER(AC302),ISNUMBER(AE302)),AC302-AE302,"")</f>
        <v/>
      </c>
      <c r="BB302" s="254">
        <f>IF(AND(ISNUMBER(AL302),ISNUMBER(AM302)),AL302-AM302,"")</f>
        <v/>
      </c>
      <c r="BC302" s="84">
        <f>IF(AND($E302&gt;0,$W302&gt;0),IF(($E302-$W302)/$E302&gt;0,($E302-$W302)/$E302,0),"")</f>
        <v/>
      </c>
      <c r="BD302" s="84">
        <f>IF(AND($I302&gt;0,$AF302&gt;=0),IF(($I302-$AF302)/$I302&gt;0,($I302-$AF302)/$I302,0),"")</f>
        <v/>
      </c>
      <c r="BE302" s="84">
        <f>IF(AND($AG302&gt;=0,$AD302&gt;=0,$AF302&gt;=0),IF($AG302/($AD302-$AF302)&gt;0,$AG302/($AD302-$AF302),0),"")</f>
        <v/>
      </c>
      <c r="BF302" s="84">
        <f>IF(AND($G302&gt;0,$AM302&gt;0),IF(($G302-$AM302)/$G302&gt;0,($G302-$AM302)/$G302,0),"")</f>
        <v/>
      </c>
      <c r="BG302" s="6">
        <f>IF((AD302-AF302)/(AJ302/60)&lt;=0,"",(AD302-AF302)/(AJ302/60))</f>
        <v/>
      </c>
      <c r="BH302" s="6">
        <f>IF(OR(AJ302=0,AP302=0,NOT(ISNUMBER(AD302)),NOT(ISNUMBER(AF302)),NOT(ISNUMBER(AJ302)),NOT(ISNUMBER(AP302))),"",
IFERROR(IF((AD302-AF302)/(AJ302/60)/(AP302/1000)&lt;=0,"",(AD302-AF302)/(AJ302/60)/(AP302/1000)),""))</f>
        <v/>
      </c>
    </row>
    <row r="303" ht="15.75" customHeight="1">
      <c r="B303" t="n">
        <v>59</v>
      </c>
      <c r="D303" s="11" t="n">
        <v>45563</v>
      </c>
      <c r="E303" s="231" t="n">
        <v>59</v>
      </c>
      <c r="F303" s="3" t="n">
        <v>298</v>
      </c>
      <c r="G303" s="205">
        <f>IF(OR(S303="",S303=0),"",S303*2)</f>
        <v/>
      </c>
      <c r="K303" s="41" t="n">
        <v>21</v>
      </c>
      <c r="M303" s="10">
        <f>IF(OR(E303="",G303="",E303=0,G303=0),"",E303/G303)</f>
        <v/>
      </c>
      <c r="N303" s="9">
        <f>IF(OR(E303="",I303="",E303=0,I303=0),"",E303/(I303*2))</f>
        <v/>
      </c>
      <c r="O303" s="8">
        <f>IF(OR(I303="",G303="",I303=0,G303=0),"",I303*2/G303)</f>
        <v/>
      </c>
      <c r="AD303" s="5" t="n">
        <v>80</v>
      </c>
      <c r="AI303" t="n">
        <v>0.19</v>
      </c>
      <c r="AJ303" s="119" t="n">
        <v>0.6331018518518519</v>
      </c>
      <c r="AM303" s="3" t="n">
        <v>180</v>
      </c>
      <c r="AP303" s="255">
        <f>360-AK303-AB303</f>
        <v/>
      </c>
      <c r="AR303" s="13">
        <f>AVERAGE(AO301:AO307)</f>
        <v/>
      </c>
      <c r="AS303" s="15" t="n"/>
      <c r="AT303" s="156">
        <f>(E303-W303)/E303</f>
        <v/>
      </c>
      <c r="AU303" s="155">
        <f>(I303-AF303)/I303</f>
        <v/>
      </c>
      <c r="AV303" s="155">
        <f>AG303/(AD303-AF303)</f>
        <v/>
      </c>
      <c r="AW303" s="155">
        <f>(G303-AM303)/G303</f>
        <v/>
      </c>
      <c r="AX303" s="254">
        <f>IF(AND(ISNUMBER(E303),ISNUMBER(W303)),E303-W303,"")</f>
        <v/>
      </c>
      <c r="AY303" s="254">
        <f>IF(AND(ISNUMBER(I303),ISNUMBER(AF303)),I303-AF303,"")</f>
        <v/>
      </c>
      <c r="AZ303" s="254">
        <f>IF(AND(ISNUMBER(AM303),ISNUMBER(G303)),G303-AM303,"")</f>
        <v/>
      </c>
      <c r="BA303" s="254">
        <f>IF(AND(ISNUMBER(AC303),ISNUMBER(AE303)),AC303-AE303,"")</f>
        <v/>
      </c>
      <c r="BB303" s="254">
        <f>IF(AND(ISNUMBER(AL303),ISNUMBER(AM303)),AL303-AM303,"")</f>
        <v/>
      </c>
      <c r="BC303" s="84">
        <f>IF(AND($E303&gt;0,$W303&gt;0),IF(($E303-$W303)/$E303&gt;0,($E303-$W303)/$E303,0),"")</f>
        <v/>
      </c>
      <c r="BD303" s="84">
        <f>IF(AND($I303&gt;0,$AF303&gt;=0),IF(($I303-$AF303)/$I303&gt;0,($I303-$AF303)/$I303,0),"")</f>
        <v/>
      </c>
      <c r="BE303" s="84">
        <f>IF(AND($AG303&gt;=0,$AD303&gt;=0,$AF303&gt;=0),IF($AG303/($AD303-$AF303)&gt;0,$AG303/($AD303-$AF303),0),"")</f>
        <v/>
      </c>
      <c r="BF303" s="84">
        <f>IF(AND($G303&gt;0,$AM303&gt;0),IF(($G303-$AM303)/$G303&gt;0,($G303-$AM303)/$G303,0),"")</f>
        <v/>
      </c>
      <c r="BG303" s="6">
        <f>IF((AD303-AF303)/(AJ303/60)&lt;=0,"",(AD303-AF303)/(AJ303/60))</f>
        <v/>
      </c>
      <c r="BH303" s="6">
        <f>IF(OR(AJ303=0,AP303=0,NOT(ISNUMBER(AD303)),NOT(ISNUMBER(AF303)),NOT(ISNUMBER(AJ303)),NOT(ISNUMBER(AP303))),"",
IFERROR(IF((AD303-AF303)/(AJ303/60)/(AP303/1000)&lt;=0,"",(AD303-AF303)/(AJ303/60)/(AP303/1000)),""))</f>
        <v/>
      </c>
    </row>
    <row r="304" ht="15.75" customHeight="1">
      <c r="B304" t="n">
        <v>60</v>
      </c>
      <c r="C304" s="121" t="n">
        <v>0.28</v>
      </c>
      <c r="D304" s="11" t="n">
        <v>45564</v>
      </c>
      <c r="E304" s="231" t="n">
        <v>60</v>
      </c>
      <c r="F304" s="3" t="n">
        <v>299</v>
      </c>
      <c r="G304" s="205">
        <f>IF(OR(S304="",S304=0),"",S304*2)</f>
        <v/>
      </c>
      <c r="K304" s="41" t="n">
        <v>21</v>
      </c>
      <c r="M304" s="10">
        <f>IF(OR(E304="",G304="",E304=0,G304=0),"",E304/G304)</f>
        <v/>
      </c>
      <c r="N304" s="9">
        <f>IF(OR(E304="",I304="",E304=0,I304=0),"",E304/(I304*2))</f>
        <v/>
      </c>
      <c r="O304" s="8">
        <f>IF(OR(I304="",G304="",I304=0,G304=0),"",I304*2/G304)</f>
        <v/>
      </c>
      <c r="AD304" s="5" t="n">
        <v>80</v>
      </c>
      <c r="AI304" t="n">
        <v>0.14</v>
      </c>
      <c r="AJ304" s="119" t="n">
        <v>0.6407407407407407</v>
      </c>
      <c r="AM304" s="3" t="n">
        <v>180</v>
      </c>
      <c r="AP304" s="255">
        <f>360-AK304-AB304</f>
        <v/>
      </c>
      <c r="AR304" s="13">
        <f>AVERAGE(AO302:AO308)</f>
        <v/>
      </c>
      <c r="AS304" s="15" t="n"/>
      <c r="AT304" s="156">
        <f>(E304-W304)/E304</f>
        <v/>
      </c>
      <c r="AU304" s="155">
        <f>(I304-AF304)/I304</f>
        <v/>
      </c>
      <c r="AV304" s="155">
        <f>AG304/(AD304-AF304)</f>
        <v/>
      </c>
      <c r="AW304" s="155">
        <f>(G304-AM304)/G304</f>
        <v/>
      </c>
      <c r="AX304" s="254">
        <f>IF(AND(ISNUMBER(E304),ISNUMBER(W304)),E304-W304,"")</f>
        <v/>
      </c>
      <c r="AY304" s="254">
        <f>IF(AND(ISNUMBER(I304),ISNUMBER(AF304)),I304-AF304,"")</f>
        <v/>
      </c>
      <c r="AZ304" s="254">
        <f>IF(AND(ISNUMBER(AM304),ISNUMBER(G304)),G304-AM304,"")</f>
        <v/>
      </c>
      <c r="BA304" s="254">
        <f>IF(AND(ISNUMBER(AC304),ISNUMBER(AE304)),AC304-AE304,"")</f>
        <v/>
      </c>
      <c r="BB304" s="254">
        <f>IF(AND(ISNUMBER(AL304),ISNUMBER(AM304)),AL304-AM304,"")</f>
        <v/>
      </c>
      <c r="BC304" s="84">
        <f>IF(AND($E304&gt;0,$W304&gt;0),IF(($E304-$W304)/$E304&gt;0,($E304-$W304)/$E304,0),"")</f>
        <v/>
      </c>
      <c r="BD304" s="84">
        <f>IF(AND($I304&gt;0,$AF304&gt;=0),IF(($I304-$AF304)/$I304&gt;0,($I304-$AF304)/$I304,0),"")</f>
        <v/>
      </c>
      <c r="BE304" s="84">
        <f>IF(AND($AG304&gt;=0,$AD304&gt;=0,$AF304&gt;=0),IF($AG304/($AD304-$AF304)&gt;0,$AG304/($AD304-$AF304),0),"")</f>
        <v/>
      </c>
      <c r="BF304" s="84">
        <f>IF(AND($G304&gt;0,$AM304&gt;0),IF(($G304-$AM304)/$G304&gt;0,($G304-$AM304)/$G304,0),"")</f>
        <v/>
      </c>
      <c r="BG304" s="6">
        <f>IF((AD304-AF304)/(AJ304/60)&lt;=0,"",(AD304-AF304)/(AJ304/60))</f>
        <v/>
      </c>
      <c r="BH304" s="6">
        <f>IF(OR(AJ304=0,AP304=0,NOT(ISNUMBER(AD304)),NOT(ISNUMBER(AF304)),NOT(ISNUMBER(AJ304)),NOT(ISNUMBER(AP304))),"",
IFERROR(IF((AD304-AF304)/(AJ304/60)/(AP304/1000)&lt;=0,"",(AD304-AF304)/(AJ304/60)/(AP304/1000)),""))</f>
        <v/>
      </c>
    </row>
    <row r="305" ht="15.75" customHeight="1">
      <c r="B305" t="n">
        <v>61</v>
      </c>
      <c r="C305" s="12" t="inlineStr">
        <is>
          <t>zhen</t>
        </is>
      </c>
      <c r="D305" s="11" t="n">
        <v>45565</v>
      </c>
      <c r="E305" s="231" t="n">
        <v>61</v>
      </c>
      <c r="F305" s="3" t="n">
        <v>300</v>
      </c>
      <c r="G305" s="205">
        <f>IF(OR(S305="",S305=0),"",S305*2)</f>
        <v/>
      </c>
      <c r="K305" s="41" t="n">
        <v>21</v>
      </c>
      <c r="M305" s="10">
        <f>IF(OR(E305="",G305="",E305=0,G305=0),"",E305/G305)</f>
        <v/>
      </c>
      <c r="N305" s="9">
        <f>IF(OR(E305="",I305="",E305=0,I305=0),"",E305/(I305*2))</f>
        <v/>
      </c>
      <c r="O305" s="8">
        <f>IF(OR(I305="",G305="",I305=0,G305=0),"",I305*2/G305)</f>
        <v/>
      </c>
      <c r="Z305" s="6" t="n">
        <v>7.1</v>
      </c>
      <c r="AD305" s="5" t="n">
        <v>80</v>
      </c>
      <c r="AI305" t="n">
        <v>0.24</v>
      </c>
      <c r="AJ305" s="119" t="n">
        <v>0.8807870370370371</v>
      </c>
      <c r="AM305" s="3" t="n">
        <v>180</v>
      </c>
      <c r="AP305" s="255">
        <f>360-AK305-AB305</f>
        <v/>
      </c>
      <c r="AR305" s="13">
        <f>AVERAGE(AO303:AO309)</f>
        <v/>
      </c>
      <c r="AS305" s="15" t="n"/>
      <c r="AT305" s="156">
        <f>(E305-W305)/E305</f>
        <v/>
      </c>
      <c r="AU305" s="155">
        <f>(I305-AF305)/I305</f>
        <v/>
      </c>
      <c r="AV305" s="155">
        <f>AG305/(AD305-AF305)</f>
        <v/>
      </c>
      <c r="AW305" s="155">
        <f>(G305-AM305)/G305</f>
        <v/>
      </c>
      <c r="AX305" s="254">
        <f>IF(AND(ISNUMBER(E305),ISNUMBER(W305)),E305-W305,"")</f>
        <v/>
      </c>
      <c r="AY305" s="254">
        <f>IF(AND(ISNUMBER(I305),ISNUMBER(AF305)),I305-AF305,"")</f>
        <v/>
      </c>
      <c r="AZ305" s="254">
        <f>IF(AND(ISNUMBER(AM305),ISNUMBER(G305)),G305-AM305,"")</f>
        <v/>
      </c>
      <c r="BA305" s="254">
        <f>IF(AND(ISNUMBER(AC305),ISNUMBER(AE305)),AC305-AE305,"")</f>
        <v/>
      </c>
      <c r="BB305" s="254">
        <f>IF(AND(ISNUMBER(AL305),ISNUMBER(AM305)),AL305-AM305,"")</f>
        <v/>
      </c>
      <c r="BC305" s="84">
        <f>IF(AND($E305&gt;0,$W305&gt;0),IF(($E305-$W305)/$E305&gt;0,($E305-$W305)/$E305,0),"")</f>
        <v/>
      </c>
      <c r="BD305" s="84">
        <f>IF(AND($I305&gt;0,$AF305&gt;=0),IF(($I305-$AF305)/$I305&gt;0,($I305-$AF305)/$I305,0),"")</f>
        <v/>
      </c>
      <c r="BE305" s="84">
        <f>IF(AND($AG305&gt;=0,$AD305&gt;=0,$AF305&gt;=0),IF($AG305/($AD305-$AF305)&gt;0,$AG305/($AD305-$AF305),0),"")</f>
        <v/>
      </c>
      <c r="BF305" s="84">
        <f>IF(AND($G305&gt;0,$AM305&gt;0),IF(($G305-$AM305)/$G305&gt;0,($G305-$AM305)/$G305,0),"")</f>
        <v/>
      </c>
      <c r="BG305" s="6">
        <f>IF((AD305-AF305)/(AJ305/60)&lt;=0,"",(AD305-AF305)/(AJ305/60))</f>
        <v/>
      </c>
      <c r="BH305" s="6">
        <f>IF(OR(AJ305=0,AP305=0,NOT(ISNUMBER(AD305)),NOT(ISNUMBER(AF305)),NOT(ISNUMBER(AJ305)),NOT(ISNUMBER(AP305))),"",
IFERROR(IF((AD305-AF305)/(AJ305/60)/(AP305/1000)&lt;=0,"",(AD305-AF305)/(AJ305/60)/(AP305/1000)),""))</f>
        <v/>
      </c>
    </row>
    <row r="306" ht="15.75" customHeight="1">
      <c r="B306" t="n">
        <v>62</v>
      </c>
      <c r="D306" s="11" t="n">
        <v>45566</v>
      </c>
      <c r="E306" s="231" t="n">
        <v>62</v>
      </c>
      <c r="F306" s="120" t="n">
        <v>301</v>
      </c>
      <c r="G306" s="205">
        <f>IF(OR(S306="",S306=0),"",S306*2)</f>
        <v/>
      </c>
      <c r="K306" s="41" t="n">
        <v>21</v>
      </c>
      <c r="M306" s="10">
        <f>IF(OR(E306="",G306="",E306=0,G306=0),"",E306/G306)</f>
        <v/>
      </c>
      <c r="N306" s="9">
        <f>IF(OR(E306="",I306="",E306=0,I306=0),"",E306/(I306*2))</f>
        <v/>
      </c>
      <c r="O306" s="8">
        <f>IF(OR(I306="",G306="",I306=0,G306=0),"",I306*2/G306)</f>
        <v/>
      </c>
      <c r="Z306" s="6" t="n">
        <v>6.64</v>
      </c>
      <c r="AD306" s="5" t="n">
        <v>80</v>
      </c>
      <c r="AI306" t="n">
        <v>0.23</v>
      </c>
      <c r="AJ306" s="119" t="n">
        <v>0.2199074074074074</v>
      </c>
      <c r="AM306" s="3" t="n">
        <v>180</v>
      </c>
      <c r="AP306" s="255">
        <f>360-AK306-AB306</f>
        <v/>
      </c>
      <c r="AQ306" s="2" t="n">
        <v>979.9999999999727</v>
      </c>
      <c r="AR306" s="13">
        <f>AVERAGE(AO304:AO310)</f>
        <v/>
      </c>
      <c r="AS306" s="15" t="n">
        <v>14.78873239436591</v>
      </c>
      <c r="AT306" s="156">
        <f>(E306-W306)/E306</f>
        <v/>
      </c>
      <c r="AU306" s="155">
        <f>(I306-AF306)/I306</f>
        <v/>
      </c>
      <c r="AV306" s="155">
        <f>AG306/(AD306-AF306)</f>
        <v/>
      </c>
      <c r="AW306" s="155">
        <f>(G306-AM306)/G306</f>
        <v/>
      </c>
      <c r="AX306" s="254">
        <f>IF(AND(ISNUMBER(E306),ISNUMBER(W306)),E306-W306,"")</f>
        <v/>
      </c>
      <c r="AY306" s="254">
        <f>IF(AND(ISNUMBER(I306),ISNUMBER(AF306)),I306-AF306,"")</f>
        <v/>
      </c>
      <c r="AZ306" s="254">
        <f>IF(AND(ISNUMBER(AM306),ISNUMBER(G306)),G306-AM306,"")</f>
        <v/>
      </c>
      <c r="BA306" s="254">
        <f>IF(AND(ISNUMBER(AC306),ISNUMBER(AE306)),AC306-AE306,"")</f>
        <v/>
      </c>
      <c r="BB306" s="254">
        <f>IF(AND(ISNUMBER(AL306),ISNUMBER(AM306)),AL306-AM306,"")</f>
        <v/>
      </c>
      <c r="BC306" s="84">
        <f>IF(AND($E306&gt;0,$W306&gt;0),IF(($E306-$W306)/$E306&gt;0,($E306-$W306)/$E306,0),"")</f>
        <v/>
      </c>
      <c r="BD306" s="84">
        <f>IF(AND($I306&gt;0,$AF306&gt;=0),IF(($I306-$AF306)/$I306&gt;0,($I306-$AF306)/$I306,0),"")</f>
        <v/>
      </c>
      <c r="BE306" s="84">
        <f>IF(AND($AG306&gt;=0,$AD306&gt;=0,$AF306&gt;=0),IF($AG306/($AD306-$AF306)&gt;0,$AG306/($AD306-$AF306),0),"")</f>
        <v/>
      </c>
      <c r="BF306" s="84">
        <f>IF(AND($G306&gt;0,$AM306&gt;0),IF(($G306-$AM306)/$G306&gt;0,($G306-$AM306)/$G306,0),"")</f>
        <v/>
      </c>
      <c r="BG306" s="6">
        <f>IF((AD306-AF306)/(AJ306/60)&lt;=0,"",(AD306-AF306)/(AJ306/60))</f>
        <v/>
      </c>
      <c r="BH306" s="6">
        <f>IF(OR(AJ306=0,AP306=0,NOT(ISNUMBER(AD306)),NOT(ISNUMBER(AF306)),NOT(ISNUMBER(AJ306)),NOT(ISNUMBER(AP306))),"",
IFERROR(IF((AD306-AF306)/(AJ306/60)/(AP306/1000)&lt;=0,"",(AD306-AF306)/(AJ306/60)/(AP306/1000)),""))</f>
        <v/>
      </c>
    </row>
    <row r="307" ht="15.75" customHeight="1">
      <c r="B307" t="n">
        <v>63</v>
      </c>
      <c r="D307" s="11" t="n">
        <v>45567</v>
      </c>
      <c r="E307" s="231" t="n">
        <v>63</v>
      </c>
      <c r="F307" s="3" t="n">
        <v>302</v>
      </c>
      <c r="G307" s="205">
        <f>IF(OR(S307="",S307=0),"",S307*2)</f>
        <v/>
      </c>
      <c r="K307" s="41" t="n">
        <v>21</v>
      </c>
      <c r="M307" s="10">
        <f>IF(OR(E307="",G307="",E307=0,G307=0),"",E307/G307)</f>
        <v/>
      </c>
      <c r="N307" s="9">
        <f>IF(OR(E307="",I307="",E307=0,I307=0),"",E307/(I307*2))</f>
        <v/>
      </c>
      <c r="O307" s="8">
        <f>IF(OR(I307="",G307="",I307=0,G307=0),"",I307*2/G307)</f>
        <v/>
      </c>
      <c r="Z307" s="6" t="n">
        <v>7.47</v>
      </c>
      <c r="AD307" s="5" t="n">
        <v>80</v>
      </c>
      <c r="AI307" s="231" t="n">
        <v>0.03</v>
      </c>
      <c r="AJ307" s="261" t="n">
        <v>0.1275462962962963</v>
      </c>
      <c r="AM307" s="3" t="n">
        <v>180</v>
      </c>
      <c r="AP307" s="255">
        <f>360-AK307-AB307</f>
        <v/>
      </c>
      <c r="AR307" s="13">
        <f>AVERAGE(AO305:AO311)</f>
        <v/>
      </c>
      <c r="AS307" s="15" t="n"/>
      <c r="AT307" s="156">
        <f>(E307-W307)/E307</f>
        <v/>
      </c>
      <c r="AU307" s="155">
        <f>(I307-AF307)/I307</f>
        <v/>
      </c>
      <c r="AV307" s="155">
        <f>AG307/(AD307-AF307)</f>
        <v/>
      </c>
      <c r="AW307" s="155">
        <f>(G307-AM307)/G307</f>
        <v/>
      </c>
      <c r="AX307" s="254">
        <f>IF(AND(ISNUMBER(E307),ISNUMBER(W307)),E307-W307,"")</f>
        <v/>
      </c>
      <c r="AY307" s="254">
        <f>IF(AND(ISNUMBER(I307),ISNUMBER(AF307)),I307-AF307,"")</f>
        <v/>
      </c>
      <c r="AZ307" s="254">
        <f>IF(AND(ISNUMBER(AM307),ISNUMBER(G307)),G307-AM307,"")</f>
        <v/>
      </c>
      <c r="BA307" s="254">
        <f>IF(AND(ISNUMBER(AC307),ISNUMBER(AE307)),AC307-AE307,"")</f>
        <v/>
      </c>
      <c r="BB307" s="254">
        <f>IF(AND(ISNUMBER(AL307),ISNUMBER(AM307)),AL307-AM307,"")</f>
        <v/>
      </c>
      <c r="BC307" s="84">
        <f>IF(AND($E307&gt;0,$W307&gt;0),IF(($E307-$W307)/$E307&gt;0,($E307-$W307)/$E307,0),"")</f>
        <v/>
      </c>
      <c r="BD307" s="84">
        <f>IF(AND($I307&gt;0,$AF307&gt;=0),IF(($I307-$AF307)/$I307&gt;0,($I307-$AF307)/$I307,0),"")</f>
        <v/>
      </c>
      <c r="BE307" s="84">
        <f>IF(AND($AG307&gt;=0,$AD307&gt;=0,$AF307&gt;=0),IF($AG307/($AD307-$AF307)&gt;0,$AG307/($AD307-$AF307),0),"")</f>
        <v/>
      </c>
      <c r="BF307" s="84">
        <f>IF(AND($G307&gt;0,$AM307&gt;0),IF(($G307-$AM307)/$G307&gt;0,($G307-$AM307)/$G307,0),"")</f>
        <v/>
      </c>
      <c r="BG307" s="6">
        <f>IF((AD307-AF307)/(AJ307/60)&lt;=0,"",(AD307-AF307)/(AJ307/60))</f>
        <v/>
      </c>
      <c r="BH307" s="6">
        <f>IF(OR(AJ307=0,AP307=0,NOT(ISNUMBER(AD307)),NOT(ISNUMBER(AF307)),NOT(ISNUMBER(AJ307)),NOT(ISNUMBER(AP307))),"",
IFERROR(IF((AD307-AF307)/(AJ307/60)/(AP307/1000)&lt;=0,"",(AD307-AF307)/(AJ307/60)/(AP307/1000)),""))</f>
        <v/>
      </c>
    </row>
    <row r="308" ht="15.75" customHeight="1">
      <c r="A308" s="260" t="inlineStr">
        <is>
          <t>B41</t>
        </is>
      </c>
      <c r="B308" s="260" t="n">
        <v>64</v>
      </c>
      <c r="D308" s="11" t="n">
        <v>45568</v>
      </c>
      <c r="E308" s="231" t="n">
        <v>64</v>
      </c>
      <c r="F308" s="3" t="n">
        <v>303</v>
      </c>
      <c r="G308" s="205">
        <f>IF(OR(S308="",S308=0),"",S308*2)</f>
        <v/>
      </c>
      <c r="K308" s="41" t="n">
        <v>21</v>
      </c>
      <c r="M308" s="10">
        <f>IF(OR(E308="",G308="",E308=0,G308=0),"",E308/G308)</f>
        <v/>
      </c>
      <c r="N308" s="9">
        <f>IF(OR(E308="",I308="",E308=0,I308=0),"",E308/(I308*2))</f>
        <v/>
      </c>
      <c r="O308" s="8">
        <f>IF(OR(I308="",G308="",I308=0,G308=0),"",I308*2/G308)</f>
        <v/>
      </c>
      <c r="AD308" s="5" t="n">
        <v>80</v>
      </c>
      <c r="AI308" s="231" t="n">
        <v>0.01</v>
      </c>
      <c r="AJ308" s="261" t="n">
        <v>0.07175925925925926</v>
      </c>
      <c r="AM308" s="3" t="n">
        <v>180</v>
      </c>
      <c r="AP308" s="255">
        <f>360-AK308-AB308</f>
        <v/>
      </c>
      <c r="AR308" s="13">
        <f>AVERAGE(AO306:AO312)</f>
        <v/>
      </c>
      <c r="AS308" s="15" t="n"/>
      <c r="AT308" s="156">
        <f>(E308-W308)/E308</f>
        <v/>
      </c>
      <c r="AU308" s="155">
        <f>(I308-AF308)/I308</f>
        <v/>
      </c>
      <c r="AV308" s="155">
        <f>AG308/(AD308-AF308)</f>
        <v/>
      </c>
      <c r="AW308" s="155">
        <f>(G308-AM308)/G308</f>
        <v/>
      </c>
      <c r="AX308" s="254">
        <f>IF(AND(ISNUMBER(E308),ISNUMBER(W308)),E308-W308,"")</f>
        <v/>
      </c>
      <c r="AY308" s="254">
        <f>IF(AND(ISNUMBER(I308),ISNUMBER(AF308)),I308-AF308,"")</f>
        <v/>
      </c>
      <c r="AZ308" s="254">
        <f>IF(AND(ISNUMBER(AM308),ISNUMBER(G308)),G308-AM308,"")</f>
        <v/>
      </c>
      <c r="BA308" s="254">
        <f>IF(AND(ISNUMBER(AC308),ISNUMBER(AE308)),AC308-AE308,"")</f>
        <v/>
      </c>
      <c r="BB308" s="254">
        <f>IF(AND(ISNUMBER(AL308),ISNUMBER(AM308)),AL308-AM308,"")</f>
        <v/>
      </c>
      <c r="BC308" s="84">
        <f>IF(AND($E308&gt;0,$W308&gt;0),IF(($E308-$W308)/$E308&gt;0,($E308-$W308)/$E308,0),"")</f>
        <v/>
      </c>
      <c r="BD308" s="84">
        <f>IF(AND($I308&gt;0,$AF308&gt;=0),IF(($I308-$AF308)/$I308&gt;0,($I308-$AF308)/$I308,0),"")</f>
        <v/>
      </c>
      <c r="BE308" s="84">
        <f>IF(AND($AG308&gt;=0,$AD308&gt;=0,$AF308&gt;=0),IF($AG308/($AD308-$AF308)&gt;0,$AG308/($AD308-$AF308),0),"")</f>
        <v/>
      </c>
      <c r="BF308" s="84">
        <f>IF(AND($G308&gt;0,$AM308&gt;0),IF(($G308-$AM308)/$G308&gt;0,($G308-$AM308)/$G308,0),"")</f>
        <v/>
      </c>
      <c r="BG308" s="6">
        <f>IF((AD308-AF308)/(AJ308/60)&lt;=0,"",(AD308-AF308)/(AJ308/60))</f>
        <v/>
      </c>
      <c r="BH308" s="6">
        <f>IF(OR(AJ308=0,AP308=0,NOT(ISNUMBER(AD308)),NOT(ISNUMBER(AF308)),NOT(ISNUMBER(AJ308)),NOT(ISNUMBER(AP308))),"",
IFERROR(IF((AD308-AF308)/(AJ308/60)/(AP308/1000)&lt;=0,"",(AD308-AF308)/(AJ308/60)/(AP308/1000)),""))</f>
        <v/>
      </c>
    </row>
    <row r="309" ht="15.75" customHeight="1">
      <c r="B309" t="n">
        <v>65</v>
      </c>
      <c r="D309" s="11" t="n">
        <v>45569</v>
      </c>
      <c r="E309" s="231" t="n">
        <v>65</v>
      </c>
      <c r="F309" s="3" t="n">
        <v>304</v>
      </c>
      <c r="G309" s="205">
        <f>IF(OR(S309="",S309=0),"",S309*2)</f>
        <v/>
      </c>
      <c r="K309" s="41" t="n">
        <v>21</v>
      </c>
      <c r="M309" s="10">
        <f>IF(OR(E309="",G309="",E309=0,G309=0),"",E309/G309)</f>
        <v/>
      </c>
      <c r="N309" s="9">
        <f>IF(OR(E309="",I309="",E309=0,I309=0),"",E309/(I309*2))</f>
        <v/>
      </c>
      <c r="O309" s="8">
        <f>IF(OR(I309="",G309="",I309=0,G309=0),"",I309*2/G309)</f>
        <v/>
      </c>
      <c r="AD309" s="5" t="n">
        <v>80</v>
      </c>
      <c r="AI309" s="231" t="n">
        <v>0.19</v>
      </c>
      <c r="AJ309" s="261" t="n">
        <v>0.09513888888888888</v>
      </c>
      <c r="AM309" s="3" t="n">
        <v>180</v>
      </c>
      <c r="AP309" s="255">
        <f>360-AK309-AB309</f>
        <v/>
      </c>
      <c r="AR309" s="13">
        <f>AVERAGE(AO307:AO313)</f>
        <v/>
      </c>
      <c r="AS309" s="15" t="n"/>
      <c r="AT309" s="156">
        <f>(E309-W309)/E309</f>
        <v/>
      </c>
      <c r="AU309" s="155">
        <f>(I309-AF309)/I309</f>
        <v/>
      </c>
      <c r="AV309" s="155">
        <f>AG309/(AD309-AF309)</f>
        <v/>
      </c>
      <c r="AW309" s="155">
        <f>(G309-AM309)/G309</f>
        <v/>
      </c>
      <c r="AX309" s="254">
        <f>IF(AND(ISNUMBER(E309),ISNUMBER(W309)),E309-W309,"")</f>
        <v/>
      </c>
      <c r="AY309" s="254">
        <f>IF(AND(ISNUMBER(I309),ISNUMBER(AF309)),I309-AF309,"")</f>
        <v/>
      </c>
      <c r="AZ309" s="254">
        <f>IF(AND(ISNUMBER(AM309),ISNUMBER(G309)),G309-AM309,"")</f>
        <v/>
      </c>
      <c r="BA309" s="254">
        <f>IF(AND(ISNUMBER(AC309),ISNUMBER(AE309)),AC309-AE309,"")</f>
        <v/>
      </c>
      <c r="BB309" s="254">
        <f>IF(AND(ISNUMBER(AL309),ISNUMBER(AM309)),AL309-AM309,"")</f>
        <v/>
      </c>
      <c r="BC309" s="84">
        <f>IF(AND($E309&gt;0,$W309&gt;0),IF(($E309-$W309)/$E309&gt;0,($E309-$W309)/$E309,0),"")</f>
        <v/>
      </c>
      <c r="BD309" s="84">
        <f>IF(AND($I309&gt;0,$AF309&gt;=0),IF(($I309-$AF309)/$I309&gt;0,($I309-$AF309)/$I309,0),"")</f>
        <v/>
      </c>
      <c r="BE309" s="84">
        <f>IF(AND($AG309&gt;=0,$AD309&gt;=0,$AF309&gt;=0),IF($AG309/($AD309-$AF309)&gt;0,$AG309/($AD309-$AF309),0),"")</f>
        <v/>
      </c>
      <c r="BF309" s="84">
        <f>IF(AND($G309&gt;0,$AM309&gt;0),IF(($G309-$AM309)/$G309&gt;0,($G309-$AM309)/$G309,0),"")</f>
        <v/>
      </c>
      <c r="BG309" s="6">
        <f>IF((AD309-AF309)/(AJ309/60)&lt;=0,"",(AD309-AF309)/(AJ309/60))</f>
        <v/>
      </c>
      <c r="BH309" s="6">
        <f>IF(OR(AJ309=0,AP309=0,NOT(ISNUMBER(AD309)),NOT(ISNUMBER(AF309)),NOT(ISNUMBER(AJ309)),NOT(ISNUMBER(AP309))),"",
IFERROR(IF((AD309-AF309)/(AJ309/60)/(AP309/1000)&lt;=0,"",(AD309-AF309)/(AJ309/60)/(AP309/1000)),""))</f>
        <v/>
      </c>
    </row>
    <row r="310" ht="15.75" customHeight="1">
      <c r="B310" t="n">
        <v>66</v>
      </c>
      <c r="C310" s="25" t="n"/>
      <c r="D310" s="11" t="n">
        <v>45570</v>
      </c>
      <c r="E310" s="231" t="n">
        <v>66</v>
      </c>
      <c r="F310" s="3" t="n">
        <v>305</v>
      </c>
      <c r="G310" s="205">
        <f>IF(OR(S310="",S310=0),"",S310*2)</f>
        <v/>
      </c>
      <c r="K310" s="41" t="n">
        <v>21</v>
      </c>
      <c r="M310" s="10">
        <f>IF(OR(E310="",G310="",E310=0,G310=0),"",E310/G310)</f>
        <v/>
      </c>
      <c r="N310" s="9">
        <f>IF(OR(E310="",I310="",E310=0,I310=0),"",E310/(I310*2))</f>
        <v/>
      </c>
      <c r="O310" s="8">
        <f>IF(OR(I310="",G310="",I310=0,G310=0),"",I310*2/G310)</f>
        <v/>
      </c>
      <c r="AD310" s="5" t="n">
        <v>80</v>
      </c>
      <c r="AI310" s="231" t="n">
        <v>0.05</v>
      </c>
      <c r="AJ310" s="261" t="n">
        <v>0.1251157407407407</v>
      </c>
      <c r="AM310" s="3" t="n">
        <v>180</v>
      </c>
      <c r="AP310" s="255">
        <f>360-AK310-AB310</f>
        <v/>
      </c>
      <c r="AR310" s="13">
        <f>AVERAGE(AO308:AO314)</f>
        <v/>
      </c>
      <c r="AS310" s="15" t="n"/>
      <c r="AT310" s="156">
        <f>(E310-W310)/E310</f>
        <v/>
      </c>
      <c r="AU310" s="155">
        <f>(I310-AF310)/I310</f>
        <v/>
      </c>
      <c r="AV310" s="155">
        <f>AG310/(AD310-AF310)</f>
        <v/>
      </c>
      <c r="AW310" s="155">
        <f>(G310-AM310)/G310</f>
        <v/>
      </c>
      <c r="AX310" s="254">
        <f>IF(AND(ISNUMBER(E310),ISNUMBER(W310)),E310-W310,"")</f>
        <v/>
      </c>
      <c r="AY310" s="254">
        <f>IF(AND(ISNUMBER(I310),ISNUMBER(AF310)),I310-AF310,"")</f>
        <v/>
      </c>
      <c r="AZ310" s="254">
        <f>IF(AND(ISNUMBER(AM310),ISNUMBER(G310)),G310-AM310,"")</f>
        <v/>
      </c>
      <c r="BA310" s="254">
        <f>IF(AND(ISNUMBER(AC310),ISNUMBER(AE310)),AC310-AE310,"")</f>
        <v/>
      </c>
      <c r="BB310" s="254">
        <f>IF(AND(ISNUMBER(AL310),ISNUMBER(AM310)),AL310-AM310,"")</f>
        <v/>
      </c>
      <c r="BC310" s="84">
        <f>IF(AND($E310&gt;0,$W310&gt;0),IF(($E310-$W310)/$E310&gt;0,($E310-$W310)/$E310,0),"")</f>
        <v/>
      </c>
      <c r="BD310" s="84">
        <f>IF(AND($I310&gt;0,$AF310&gt;=0),IF(($I310-$AF310)/$I310&gt;0,($I310-$AF310)/$I310,0),"")</f>
        <v/>
      </c>
      <c r="BE310" s="84">
        <f>IF(AND($AG310&gt;=0,$AD310&gt;=0,$AF310&gt;=0),IF($AG310/($AD310-$AF310)&gt;0,$AG310/($AD310-$AF310),0),"")</f>
        <v/>
      </c>
      <c r="BF310" s="84">
        <f>IF(AND($G310&gt;0,$AM310&gt;0),IF(($G310-$AM310)/$G310&gt;0,($G310-$AM310)/$G310,0),"")</f>
        <v/>
      </c>
      <c r="BG310" s="6">
        <f>IF((AD310-AF310)/(AJ310/60)&lt;=0,"",(AD310-AF310)/(AJ310/60))</f>
        <v/>
      </c>
      <c r="BH310" s="6">
        <f>IF(OR(AJ310=0,AP310=0,NOT(ISNUMBER(AD310)),NOT(ISNUMBER(AF310)),NOT(ISNUMBER(AJ310)),NOT(ISNUMBER(AP310))),"",
IFERROR(IF((AD310-AF310)/(AJ310/60)/(AP310/1000)&lt;=0,"",(AD310-AF310)/(AJ310/60)/(AP310/1000)),""))</f>
        <v/>
      </c>
    </row>
    <row r="311" ht="15.75" customHeight="1">
      <c r="B311" t="n">
        <v>67</v>
      </c>
      <c r="D311" s="11" t="n">
        <v>45571</v>
      </c>
      <c r="E311" s="231" t="n">
        <v>67</v>
      </c>
      <c r="F311" s="3" t="n">
        <v>306</v>
      </c>
      <c r="G311" s="205">
        <f>IF(OR(S311="",S311=0),"",S311*2)</f>
        <v/>
      </c>
      <c r="K311" s="41" t="n">
        <v>21</v>
      </c>
      <c r="M311" s="10">
        <f>IF(OR(E311="",G311="",E311=0,G311=0),"",E311/G311)</f>
        <v/>
      </c>
      <c r="N311" s="9">
        <f>IF(OR(E311="",I311="",E311=0,I311=0),"",E311/(I311*2))</f>
        <v/>
      </c>
      <c r="O311" s="8">
        <f>IF(OR(I311="",G311="",I311=0,G311=0),"",I311*2/G311)</f>
        <v/>
      </c>
      <c r="AD311" s="5" t="n">
        <v>80</v>
      </c>
      <c r="AI311" s="231" t="n">
        <v>0</v>
      </c>
      <c r="AJ311" s="261" t="n">
        <v>0.0837962962962963</v>
      </c>
      <c r="AM311" s="3" t="n">
        <v>180</v>
      </c>
      <c r="AP311" s="255">
        <f>360-AK311-AB311</f>
        <v/>
      </c>
      <c r="AR311" s="13">
        <f>AVERAGE(AO309:AO315)</f>
        <v/>
      </c>
      <c r="AS311" s="15" t="n"/>
      <c r="AT311" s="156">
        <f>(E311-W311)/E311</f>
        <v/>
      </c>
      <c r="AU311" s="155">
        <f>(I311-AF311)/I311</f>
        <v/>
      </c>
      <c r="AV311" s="155">
        <f>AG311/(AD311-AF311)</f>
        <v/>
      </c>
      <c r="AW311" s="155">
        <f>(G311-AM311)/G311</f>
        <v/>
      </c>
      <c r="AX311" s="254">
        <f>IF(AND(ISNUMBER(E311),ISNUMBER(W311)),E311-W311,"")</f>
        <v/>
      </c>
      <c r="AY311" s="254">
        <f>IF(AND(ISNUMBER(I311),ISNUMBER(AF311)),I311-AF311,"")</f>
        <v/>
      </c>
      <c r="AZ311" s="254">
        <f>IF(AND(ISNUMBER(AM311),ISNUMBER(G311)),G311-AM311,"")</f>
        <v/>
      </c>
      <c r="BA311" s="254">
        <f>IF(AND(ISNUMBER(AC311),ISNUMBER(AE311)),AC311-AE311,"")</f>
        <v/>
      </c>
      <c r="BB311" s="254">
        <f>IF(AND(ISNUMBER(AL311),ISNUMBER(AM311)),AL311-AM311,"")</f>
        <v/>
      </c>
      <c r="BC311" s="84">
        <f>IF(AND($E311&gt;0,$W311&gt;0),IF(($E311-$W311)/$E311&gt;0,($E311-$W311)/$E311,0),"")</f>
        <v/>
      </c>
      <c r="BD311" s="84">
        <f>IF(AND($I311&gt;0,$AF311&gt;=0),IF(($I311-$AF311)/$I311&gt;0,($I311-$AF311)/$I311,0),"")</f>
        <v/>
      </c>
      <c r="BE311" s="84">
        <f>IF(AND($AG311&gt;=0,$AD311&gt;=0,$AF311&gt;=0),IF($AG311/($AD311-$AF311)&gt;0,$AG311/($AD311-$AF311),0),"")</f>
        <v/>
      </c>
      <c r="BF311" s="84">
        <f>IF(AND($G311&gt;0,$AM311&gt;0),IF(($G311-$AM311)/$G311&gt;0,($G311-$AM311)/$G311,0),"")</f>
        <v/>
      </c>
      <c r="BG311" s="6">
        <f>IF((AD311-AF311)/(AJ311/60)&lt;=0,"",(AD311-AF311)/(AJ311/60))</f>
        <v/>
      </c>
      <c r="BH311" s="6">
        <f>IF(OR(AJ311=0,AP311=0,NOT(ISNUMBER(AD311)),NOT(ISNUMBER(AF311)),NOT(ISNUMBER(AJ311)),NOT(ISNUMBER(AP311))),"",
IFERROR(IF((AD311-AF311)/(AJ311/60)/(AP311/1000)&lt;=0,"",(AD311-AF311)/(AJ311/60)/(AP311/1000)),""))</f>
        <v/>
      </c>
    </row>
    <row r="312" ht="15.75" customHeight="1">
      <c r="B312" t="n">
        <v>68</v>
      </c>
      <c r="C312" s="111" t="inlineStr">
        <is>
          <t>Turn off wasting/ORP broke?</t>
        </is>
      </c>
      <c r="D312" s="114" t="n">
        <v>45572</v>
      </c>
      <c r="E312" s="231" t="n">
        <v>68</v>
      </c>
      <c r="F312" s="3" t="n">
        <v>307</v>
      </c>
      <c r="G312" s="205">
        <f>IF(OR(S312="",S312=0),"",S312*2)</f>
        <v/>
      </c>
      <c r="I312" s="15">
        <f>(N312*18-H312*18)/9</f>
        <v/>
      </c>
      <c r="J312" s="9" t="n">
        <v>8</v>
      </c>
      <c r="K312" s="15">
        <f>AD312</f>
        <v/>
      </c>
      <c r="M312" s="10">
        <f>IF(OR(E312="",G312="",E312=0,G312=0),"",E312/G312)</f>
        <v/>
      </c>
      <c r="N312" s="9">
        <f>IF(OR(E312="",I312="",E312=0,I312=0),"",E312/(I312*2))</f>
        <v/>
      </c>
      <c r="O312" s="8">
        <f>IF(OR(I312="",G312="",I312=0,G312=0),"",I312*2/G312)</f>
        <v/>
      </c>
      <c r="P312" s="7" t="n">
        <v>15.2</v>
      </c>
      <c r="Q312" t="n">
        <v>79.42400000000001</v>
      </c>
      <c r="R312" t="n">
        <v>28.905</v>
      </c>
      <c r="S312" s="6">
        <f>O312*1.067</f>
        <v/>
      </c>
      <c r="T312" s="6">
        <f>P312*1.514</f>
        <v/>
      </c>
      <c r="U312" s="23">
        <f>P312*1.514+O312*1.067</f>
        <v/>
      </c>
      <c r="V312" s="6" t="n">
        <v>19.1</v>
      </c>
      <c r="W312" t="n">
        <v>31.801</v>
      </c>
      <c r="X312" t="n">
        <v>3.979</v>
      </c>
      <c r="Y312" s="23">
        <f>U312*1.067+V312*1.514</f>
        <v/>
      </c>
      <c r="AD312" s="5" t="n">
        <v>80</v>
      </c>
      <c r="AE312" s="7">
        <f>T312</f>
        <v/>
      </c>
      <c r="AF312" s="231">
        <f>5*3.87</f>
        <v/>
      </c>
      <c r="AG312" s="231">
        <f>16.5</f>
        <v/>
      </c>
      <c r="AH312" s="231">
        <f>5*0.696</f>
        <v/>
      </c>
      <c r="AI312" s="231" t="n">
        <v>0.08</v>
      </c>
      <c r="AJ312" s="261" t="n">
        <v>0.1247685185185185</v>
      </c>
      <c r="AM312" s="3" t="n">
        <v>180</v>
      </c>
      <c r="AN312" s="4">
        <f>AE312</f>
        <v/>
      </c>
      <c r="AO312" s="231" t="n">
        <v>15</v>
      </c>
      <c r="AP312" s="255">
        <f>360-AK312-AB312</f>
        <v/>
      </c>
      <c r="AR312" s="13">
        <f>AVERAGE(AO310:AO316)</f>
        <v/>
      </c>
      <c r="AS312" s="15" t="n"/>
      <c r="AT312" s="156">
        <f>(E312-W312)/E312</f>
        <v/>
      </c>
      <c r="AU312" s="155">
        <f>(I312-AF312)/I312</f>
        <v/>
      </c>
      <c r="AV312" s="155">
        <f>AG312/(AD312-AF312)</f>
        <v/>
      </c>
      <c r="AW312" s="155">
        <f>(G312-AM312)/G312</f>
        <v/>
      </c>
      <c r="AX312" s="254">
        <f>IF(AND(ISNUMBER(E312),ISNUMBER(W312)),E312-W312,"")</f>
        <v/>
      </c>
      <c r="AY312" s="254">
        <f>IF(AND(ISNUMBER(I312),ISNUMBER(AF312)),I312-AF312,"")</f>
        <v/>
      </c>
      <c r="AZ312" s="254">
        <f>IF(AND(ISNUMBER(AM312),ISNUMBER(G312)),G312-AM312,"")</f>
        <v/>
      </c>
      <c r="BA312" s="254">
        <f>IF(AND(ISNUMBER(AC312),ISNUMBER(AE312)),AC312-AE312,"")</f>
        <v/>
      </c>
      <c r="BB312" s="254">
        <f>IF(AND(ISNUMBER(AL312),ISNUMBER(AM312)),AL312-AM312,"")</f>
        <v/>
      </c>
      <c r="BC312" s="84">
        <f>IF(AND($E312&gt;0,$W312&gt;0),IF(($E312-$W312)/$E312&gt;0,($E312-$W312)/$E312,0),"")</f>
        <v/>
      </c>
      <c r="BD312" s="84">
        <f>IF(AND($I312&gt;0,$AF312&gt;=0),IF(($I312-$AF312)/$I312&gt;0,($I312-$AF312)/$I312,0),"")</f>
        <v/>
      </c>
      <c r="BE312" s="84">
        <f>IF(AND($AG312&gt;=0,$AD312&gt;=0,$AF312&gt;=0),IF($AG312/($AD312-$AF312)&gt;0,$AG312/($AD312-$AF312),0),"")</f>
        <v/>
      </c>
      <c r="BF312" s="84">
        <f>IF(AND($G312&gt;0,$AM312&gt;0),IF(($G312-$AM312)/$G312&gt;0,($G312-$AM312)/$G312,0),"")</f>
        <v/>
      </c>
      <c r="BG312" s="6">
        <f>IF((AD312-AF312)/(AJ312/60)&lt;=0,"",(AD312-AF312)/(AJ312/60))</f>
        <v/>
      </c>
      <c r="BH312" s="6">
        <f>IF(OR(AJ312=0,AP312=0,NOT(ISNUMBER(AD312)),NOT(ISNUMBER(AF312)),NOT(ISNUMBER(AJ312)),NOT(ISNUMBER(AP312))),"",
IFERROR(IF((AD312-AF312)/(AJ312/60)/(AP312/1000)&lt;=0,"",(AD312-AF312)/(AJ312/60)/(AP312/1000)),""))</f>
        <v/>
      </c>
    </row>
    <row r="313" ht="15.75" customFormat="1" customHeight="1" s="27">
      <c r="B313" t="n">
        <v>69</v>
      </c>
      <c r="C313" s="118" t="inlineStr">
        <is>
          <t>only one airstone; loss of COD uptake</t>
        </is>
      </c>
      <c r="D313" s="117" t="n">
        <v>45573</v>
      </c>
      <c r="E313" s="231" t="n">
        <v>69</v>
      </c>
      <c r="F313" s="29" t="n">
        <v>308</v>
      </c>
      <c r="G313" s="205">
        <f>IF(OR(S313="",S313=0),"",S313*2)</f>
        <v/>
      </c>
      <c r="H313" s="36" t="n"/>
      <c r="I313" s="77">
        <f>(N313*18-H313*18)/9</f>
        <v/>
      </c>
      <c r="J313" s="36" t="n">
        <v>8.17</v>
      </c>
      <c r="K313" s="77">
        <f>AD313</f>
        <v/>
      </c>
      <c r="L313" s="35" t="n"/>
      <c r="M313" s="10">
        <f>IF(OR(E313="",G313="",E313=0,G313=0),"",E313/G313)</f>
        <v/>
      </c>
      <c r="N313" s="9">
        <f>IF(OR(E313="",I313="",E313=0,I313=0),"",E313/(I313*2))</f>
        <v/>
      </c>
      <c r="O313" s="8">
        <f>IF(OR(I313="",G313="",I313=0,G313=0),"",I313*2/G313)</f>
        <v/>
      </c>
      <c r="P313" s="34" t="n">
        <v>15.8</v>
      </c>
      <c r="Q313" s="116" t="n">
        <v>75.554</v>
      </c>
      <c r="R313" s="116" t="n">
        <v>27.85</v>
      </c>
      <c r="S313" s="33">
        <f>O313*1.067</f>
        <v/>
      </c>
      <c r="T313" s="33">
        <f>P313*1.514</f>
        <v/>
      </c>
      <c r="U313" s="75">
        <f>P313*1.514+O313*1.067</f>
        <v/>
      </c>
      <c r="V313" s="33" t="n">
        <v>19.5</v>
      </c>
      <c r="W313" s="116" t="n">
        <v>48.603</v>
      </c>
      <c r="X313" s="116" t="n">
        <v>6.632</v>
      </c>
      <c r="Y313" s="75">
        <f>U313*1.067+V313*1.514</f>
        <v/>
      </c>
      <c r="Z313" s="33" t="n">
        <v>6.53</v>
      </c>
      <c r="AA313" s="33" t="n"/>
      <c r="AB313" s="33" t="n"/>
      <c r="AC313" s="33" t="n"/>
      <c r="AD313" s="74" t="n">
        <v>80</v>
      </c>
      <c r="AE313" s="34">
        <f>T313</f>
        <v/>
      </c>
      <c r="AF313" s="27">
        <f>5*4.02</f>
        <v/>
      </c>
      <c r="AG313" s="27" t="n">
        <v>20.6</v>
      </c>
      <c r="AH313" s="27">
        <f>0</f>
        <v/>
      </c>
      <c r="AI313" s="27" t="n">
        <v>0.05</v>
      </c>
      <c r="AJ313" s="261" t="n">
        <v>0.1090277777777778</v>
      </c>
      <c r="AM313" s="29" t="n">
        <v>180</v>
      </c>
      <c r="AN313" s="32">
        <f>AE313</f>
        <v/>
      </c>
      <c r="AO313" s="27" t="n">
        <v>18.8</v>
      </c>
      <c r="AP313" s="253">
        <f>360-AK313-AB313</f>
        <v/>
      </c>
      <c r="AQ313" s="28" t="n"/>
      <c r="AR313" s="13">
        <f>AVERAGE(AO311:AO317)</f>
        <v/>
      </c>
      <c r="AS313" s="77" t="n"/>
      <c r="AT313" s="31">
        <f>(E313-W313)/E313</f>
        <v/>
      </c>
      <c r="AU313" s="30">
        <f>(I313-AF313)/I313</f>
        <v/>
      </c>
      <c r="AV313" s="30">
        <f>AG313/(AD313-AF313)</f>
        <v/>
      </c>
      <c r="AW313" s="30">
        <f>(G313-AM313)/G313</f>
        <v/>
      </c>
      <c r="AX313" s="256">
        <f>IF(AND(ISNUMBER(E313),ISNUMBER(W313)),E313-W313,"")</f>
        <v/>
      </c>
      <c r="AY313" s="256">
        <f>IF(AND(ISNUMBER(I313),ISNUMBER(AF313)),I313-AF313,"")</f>
        <v/>
      </c>
      <c r="AZ313" s="256">
        <f>IF(AND(ISNUMBER(AM313),ISNUMBER(G313)),G313-AM313,"")</f>
        <v/>
      </c>
      <c r="BA313" s="256">
        <f>IF(AND(ISNUMBER(AC313),ISNUMBER(AE313)),AC313-AE313,"")</f>
        <v/>
      </c>
      <c r="BB313" s="256">
        <f>IF(AND(ISNUMBER(AL313),ISNUMBER(AM313)),AL313-AM313,"")</f>
        <v/>
      </c>
      <c r="BC313" s="84">
        <f>IF(AND($E313&gt;0,$W313&gt;0),IF(($E313-$W313)/$E313&gt;0,($E313-$W313)/$E313,0),"")</f>
        <v/>
      </c>
      <c r="BD313" s="84">
        <f>IF(AND($I313&gt;0,$AF313&gt;=0),IF(($I313-$AF313)/$I313&gt;0,($I313-$AF313)/$I313,0),"")</f>
        <v/>
      </c>
      <c r="BE313" s="84">
        <f>IF(AND($AG313&gt;=0,$AD313&gt;=0,$AF313&gt;=0),IF($AG313/($AD313-$AF313)&gt;0,$AG313/($AD313-$AF313),0),"")</f>
        <v/>
      </c>
      <c r="BF313" s="84">
        <f>IF(AND($G313&gt;0,$AM313&gt;0),IF(($G313-$AM313)/$G313&gt;0,($G313-$AM313)/$G313,0),"")</f>
        <v/>
      </c>
      <c r="BG313" s="6">
        <f>IF((AD313-AF313)/(AJ313/60)&lt;=0,"",(AD313-AF313)/(AJ313/60))</f>
        <v/>
      </c>
      <c r="BH313" s="6">
        <f>IF(OR(AJ313=0,AP313=0,NOT(ISNUMBER(AD313)),NOT(ISNUMBER(AF313)),NOT(ISNUMBER(AJ313)),NOT(ISNUMBER(AP313))),"",
IFERROR(IF((AD313-AF313)/(AJ313/60)/(AP313/1000)&lt;=0,"",(AD313-AF313)/(AJ313/60)/(AP313/1000)),""))</f>
        <v/>
      </c>
    </row>
    <row r="314" ht="15.75" customHeight="1">
      <c r="B314" t="n">
        <v>70</v>
      </c>
      <c r="C314" s="12" t="inlineStr">
        <is>
          <t>iV</t>
        </is>
      </c>
      <c r="D314" s="11" t="n">
        <v>45574</v>
      </c>
      <c r="E314" s="231" t="n">
        <v>70</v>
      </c>
      <c r="F314" s="3" t="n">
        <v>309</v>
      </c>
      <c r="G314" s="205">
        <f>IF(OR(S314="",S314=0),"",S314*2)</f>
        <v/>
      </c>
      <c r="M314" s="10">
        <f>IF(OR(E314="",G314="",E314=0,G314=0),"",E314/G314)</f>
        <v/>
      </c>
      <c r="N314" s="9">
        <f>IF(OR(E314="",I314="",E314=0,I314=0),"",E314/(I314*2))</f>
        <v/>
      </c>
      <c r="O314" s="8">
        <f>IF(OR(I314="",G314="",I314=0,G314=0),"",I314*2/G314)</f>
        <v/>
      </c>
      <c r="Z314" s="6" t="n">
        <v>1.64</v>
      </c>
      <c r="AD314" s="5" t="n">
        <v>80</v>
      </c>
      <c r="AM314" s="3" t="n">
        <v>180</v>
      </c>
      <c r="AP314" s="255">
        <f>360-AK314-AB314</f>
        <v/>
      </c>
      <c r="AR314" s="13">
        <f>AVERAGE(AO312:AO318)</f>
        <v/>
      </c>
      <c r="AS314" s="15" t="n"/>
      <c r="AT314" s="156">
        <f>(E314-W314)/E314</f>
        <v/>
      </c>
      <c r="AU314" s="155">
        <f>(I314-AF314)/I314</f>
        <v/>
      </c>
      <c r="AV314" s="155">
        <f>AG314/(AD314-AF314)</f>
        <v/>
      </c>
      <c r="AW314" s="155">
        <f>(G314-AM314)/G314</f>
        <v/>
      </c>
      <c r="AX314" s="254">
        <f>IF(AND(ISNUMBER(E314),ISNUMBER(W314)),E314-W314,"")</f>
        <v/>
      </c>
      <c r="AY314" s="254">
        <f>IF(AND(ISNUMBER(I314),ISNUMBER(AF314)),I314-AF314,"")</f>
        <v/>
      </c>
      <c r="AZ314" s="254">
        <f>IF(AND(ISNUMBER(AM314),ISNUMBER(G314)),G314-AM314,"")</f>
        <v/>
      </c>
      <c r="BA314" s="254">
        <f>IF(AND(ISNUMBER(AC314),ISNUMBER(AE314)),AC314-AE314,"")</f>
        <v/>
      </c>
      <c r="BB314" s="254">
        <f>IF(AND(ISNUMBER(AL314),ISNUMBER(AM314)),AL314-AM314,"")</f>
        <v/>
      </c>
      <c r="BC314" s="84">
        <f>IF(AND($E314&gt;0,$W314&gt;0),IF(($E314-$W314)/$E314&gt;0,($E314-$W314)/$E314,0),"")</f>
        <v/>
      </c>
      <c r="BD314" s="84">
        <f>IF(AND($I314&gt;0,$AF314&gt;=0),IF(($I314-$AF314)/$I314&gt;0,($I314-$AF314)/$I314,0),"")</f>
        <v/>
      </c>
      <c r="BE314" s="84">
        <f>IF(AND($AG314&gt;=0,$AD314&gt;=0,$AF314&gt;=0),IF($AG314/($AD314-$AF314)&gt;0,$AG314/($AD314-$AF314),0),"")</f>
        <v/>
      </c>
      <c r="BF314" s="84">
        <f>IF(AND($G314&gt;0,$AM314&gt;0),IF(($G314-$AM314)/$G314&gt;0,($G314-$AM314)/$G314,0),"")</f>
        <v/>
      </c>
      <c r="BG314" s="6">
        <f>IF((AD314-AF314)/(AJ314/60)&lt;=0,"",(AD314-AF314)/(AJ314/60))</f>
        <v/>
      </c>
      <c r="BH314" s="6">
        <f>IF(OR(AJ314=0,AP314=0,NOT(ISNUMBER(AD314)),NOT(ISNUMBER(AF314)),NOT(ISNUMBER(AJ314)),NOT(ISNUMBER(AP314))),"",
IFERROR(IF((AD314-AF314)/(AJ314/60)/(AP314/1000)&lt;=0,"",(AD314-AF314)/(AJ314/60)/(AP314/1000)),""))</f>
        <v/>
      </c>
    </row>
    <row r="315" ht="15.75" customHeight="1">
      <c r="A315" s="260" t="inlineStr">
        <is>
          <t>B108</t>
        </is>
      </c>
      <c r="B315" s="260" t="n">
        <v>71</v>
      </c>
      <c r="D315" s="11" t="n">
        <v>45575</v>
      </c>
      <c r="E315" s="231" t="n">
        <v>71</v>
      </c>
      <c r="F315" s="3" t="n">
        <v>310</v>
      </c>
      <c r="G315" s="205">
        <f>IF(OR(S315="",S315=0),"",S315*2)</f>
        <v/>
      </c>
      <c r="M315" s="10">
        <f>IF(OR(E315="",G315="",E315=0,G315=0),"",E315/G315)</f>
        <v/>
      </c>
      <c r="N315" s="9">
        <f>IF(OR(E315="",I315="",E315=0,I315=0),"",E315/(I315*2))</f>
        <v/>
      </c>
      <c r="O315" s="8">
        <f>IF(OR(I315="",G315="",I315=0,G315=0),"",I315*2/G315)</f>
        <v/>
      </c>
      <c r="Z315" s="6" t="n">
        <v>0.47</v>
      </c>
      <c r="AD315" s="5" t="n">
        <v>80</v>
      </c>
      <c r="AL315" s="231" t="n">
        <v>175</v>
      </c>
      <c r="AM315" s="3" t="n">
        <v>180</v>
      </c>
      <c r="AP315" s="255">
        <f>360-AK315-AB315</f>
        <v/>
      </c>
      <c r="AR315" s="13">
        <f>AVERAGE(AO313:AO319)</f>
        <v/>
      </c>
      <c r="AS315" s="15" t="n"/>
      <c r="AT315" s="156">
        <f>(E315-W315)/E315</f>
        <v/>
      </c>
      <c r="AU315" s="155">
        <f>(I315-AF315)/I315</f>
        <v/>
      </c>
      <c r="AV315" s="155">
        <f>AG315/(AD315-AF315)</f>
        <v/>
      </c>
      <c r="AW315" s="155">
        <f>(G315-AM315)/G315</f>
        <v/>
      </c>
      <c r="AX315" s="254">
        <f>IF(AND(ISNUMBER(E315),ISNUMBER(W315)),E315-W315,"")</f>
        <v/>
      </c>
      <c r="AY315" s="254">
        <f>IF(AND(ISNUMBER(I315),ISNUMBER(AF315)),I315-AF315,"")</f>
        <v/>
      </c>
      <c r="AZ315" s="254">
        <f>IF(AND(ISNUMBER(AM315),ISNUMBER(G315)),G315-AM315,"")</f>
        <v/>
      </c>
      <c r="BA315" s="254">
        <f>IF(AND(ISNUMBER(AC315),ISNUMBER(AE315)),AC315-AE315,"")</f>
        <v/>
      </c>
      <c r="BB315" s="254">
        <f>IF(AND(ISNUMBER(AL315),ISNUMBER(AM315)),AL315-AM315,"")</f>
        <v/>
      </c>
      <c r="BC315" s="84">
        <f>IF(AND($E315&gt;0,$W315&gt;0),IF(($E315-$W315)/$E315&gt;0,($E315-$W315)/$E315,0),"")</f>
        <v/>
      </c>
      <c r="BD315" s="84">
        <f>IF(AND($I315&gt;0,$AF315&gt;=0),IF(($I315-$AF315)/$I315&gt;0,($I315-$AF315)/$I315,0),"")</f>
        <v/>
      </c>
      <c r="BE315" s="84">
        <f>IF(AND($AG315&gt;=0,$AD315&gt;=0,$AF315&gt;=0),IF($AG315/($AD315-$AF315)&gt;0,$AG315/($AD315-$AF315),0),"")</f>
        <v/>
      </c>
      <c r="BF315" s="84">
        <f>IF(AND($G315&gt;0,$AM315&gt;0),IF(($G315-$AM315)/$G315&gt;0,($G315-$AM315)/$G315,0),"")</f>
        <v/>
      </c>
      <c r="BG315" s="6">
        <f>IF((AD315-AF315)/(AJ315/60)&lt;=0,"",(AD315-AF315)/(AJ315/60))</f>
        <v/>
      </c>
      <c r="BH315" s="6">
        <f>IF(OR(AJ315=0,AP315=0,NOT(ISNUMBER(AD315)),NOT(ISNUMBER(AF315)),NOT(ISNUMBER(AJ315)),NOT(ISNUMBER(AP315))),"",
IFERROR(IF((AD315-AF315)/(AJ315/60)/(AP315/1000)&lt;=0,"",(AD315-AF315)/(AJ315/60)/(AP315/1000)),""))</f>
        <v/>
      </c>
    </row>
    <row r="316" ht="15.75" customHeight="1">
      <c r="B316" t="n">
        <v>72</v>
      </c>
      <c r="D316" s="11" t="n">
        <v>45576</v>
      </c>
      <c r="E316" s="231" t="n">
        <v>72</v>
      </c>
      <c r="F316" s="3" t="n">
        <v>311</v>
      </c>
      <c r="G316" s="205">
        <f>IF(OR(S316="",S316=0),"",S316*2)</f>
        <v/>
      </c>
      <c r="M316" s="10">
        <f>IF(OR(E316="",G316="",E316=0,G316=0),"",E316/G316)</f>
        <v/>
      </c>
      <c r="N316" s="9">
        <f>IF(OR(E316="",I316="",E316=0,I316=0),"",E316/(I316*2))</f>
        <v/>
      </c>
      <c r="O316" s="8">
        <f>IF(OR(I316="",G316="",I316=0,G316=0),"",I316*2/G316)</f>
        <v/>
      </c>
      <c r="Q316" t="n">
        <v>70.006</v>
      </c>
      <c r="R316" t="n">
        <v>27.17</v>
      </c>
      <c r="S316" s="6">
        <f>O316*1.067</f>
        <v/>
      </c>
      <c r="T316" s="6">
        <f>P316*1.514</f>
        <v/>
      </c>
      <c r="U316" s="23">
        <f>P316*1.514+O316*1.067</f>
        <v/>
      </c>
      <c r="W316" t="n">
        <v>54.857</v>
      </c>
      <c r="X316" t="n">
        <v>15.903</v>
      </c>
      <c r="Y316" s="23">
        <f>U316*1.067+V316*1.514</f>
        <v/>
      </c>
      <c r="Z316" s="6" t="n">
        <v>6.6</v>
      </c>
      <c r="AD316" s="5" t="n">
        <v>80</v>
      </c>
      <c r="AL316" s="231" t="n">
        <v>175</v>
      </c>
      <c r="AM316" s="3" t="n">
        <v>180</v>
      </c>
      <c r="AP316" s="255">
        <f>360-AK316-AB316</f>
        <v/>
      </c>
      <c r="AR316" s="13">
        <f>AVERAGE(AO314:AO320)</f>
        <v/>
      </c>
      <c r="AS316" s="15" t="n"/>
      <c r="AT316" s="156">
        <f>(E316-W316)/E316</f>
        <v/>
      </c>
      <c r="AU316" s="155">
        <f>(I316-AF316)/I316</f>
        <v/>
      </c>
      <c r="AV316" s="155">
        <f>AG316/(AD316-AF316)</f>
        <v/>
      </c>
      <c r="AW316" s="155">
        <f>(G316-AM316)/G316</f>
        <v/>
      </c>
      <c r="AX316" s="254">
        <f>IF(AND(ISNUMBER(E316),ISNUMBER(W316)),E316-W316,"")</f>
        <v/>
      </c>
      <c r="AY316" s="254">
        <f>IF(AND(ISNUMBER(I316),ISNUMBER(AF316)),I316-AF316,"")</f>
        <v/>
      </c>
      <c r="AZ316" s="254">
        <f>IF(AND(ISNUMBER(AM316),ISNUMBER(G316)),G316-AM316,"")</f>
        <v/>
      </c>
      <c r="BA316" s="254">
        <f>IF(AND(ISNUMBER(AC316),ISNUMBER(AE316)),AC316-AE316,"")</f>
        <v/>
      </c>
      <c r="BB316" s="254">
        <f>IF(AND(ISNUMBER(AL316),ISNUMBER(AM316)),AL316-AM316,"")</f>
        <v/>
      </c>
      <c r="BC316" s="84">
        <f>IF(AND($E316&gt;0,$W316&gt;0),IF(($E316-$W316)/$E316&gt;0,($E316-$W316)/$E316,0),"")</f>
        <v/>
      </c>
      <c r="BD316" s="84">
        <f>IF(AND($I316&gt;0,$AF316&gt;=0),IF(($I316-$AF316)/$I316&gt;0,($I316-$AF316)/$I316,0),"")</f>
        <v/>
      </c>
      <c r="BE316" s="84">
        <f>IF(AND($AG316&gt;=0,$AD316&gt;=0,$AF316&gt;=0),IF($AG316/($AD316-$AF316)&gt;0,$AG316/($AD316-$AF316),0),"")</f>
        <v/>
      </c>
      <c r="BF316" s="84">
        <f>IF(AND($G316&gt;0,$AM316&gt;0),IF(($G316-$AM316)/$G316&gt;0,($G316-$AM316)/$G316,0),"")</f>
        <v/>
      </c>
      <c r="BG316" s="6">
        <f>IF((AD316-AF316)/(AJ316/60)&lt;=0,"",(AD316-AF316)/(AJ316/60))</f>
        <v/>
      </c>
      <c r="BH316" s="6">
        <f>IF(OR(AJ316=0,AP316=0,NOT(ISNUMBER(AD316)),NOT(ISNUMBER(AF316)),NOT(ISNUMBER(AJ316)),NOT(ISNUMBER(AP316))),"",
IFERROR(IF((AD316-AF316)/(AJ316/60)/(AP316/1000)&lt;=0,"",(AD316-AF316)/(AJ316/60)/(AP316/1000)),""))</f>
        <v/>
      </c>
    </row>
    <row r="317" ht="15.75" customHeight="1">
      <c r="B317" t="n">
        <v>73</v>
      </c>
      <c r="D317" s="11" t="n">
        <v>45577</v>
      </c>
      <c r="E317" s="231" t="n">
        <v>73</v>
      </c>
      <c r="F317" s="3" t="n">
        <v>312</v>
      </c>
      <c r="G317" s="205">
        <f>IF(OR(S317="",S317=0),"",S317*2)</f>
        <v/>
      </c>
      <c r="M317" s="10">
        <f>IF(OR(E317="",G317="",E317=0,G317=0),"",E317/G317)</f>
        <v/>
      </c>
      <c r="N317" s="9">
        <f>IF(OR(E317="",I317="",E317=0,I317=0),"",E317/(I317*2))</f>
        <v/>
      </c>
      <c r="O317" s="8">
        <f>IF(OR(I317="",G317="",I317=0,G317=0),"",I317*2/G317)</f>
        <v/>
      </c>
      <c r="Z317" s="6" t="n">
        <v>3.09</v>
      </c>
      <c r="AD317" s="5" t="n">
        <v>80</v>
      </c>
      <c r="AL317" s="231" t="n">
        <v>175</v>
      </c>
      <c r="AM317" s="3" t="n">
        <v>180</v>
      </c>
      <c r="AP317" s="255">
        <f>360-AK317-AB317</f>
        <v/>
      </c>
      <c r="AR317" s="13">
        <f>AVERAGE(AO315:AO321)</f>
        <v/>
      </c>
      <c r="AS317" s="15" t="n"/>
      <c r="AT317" s="156">
        <f>(E317-W317)/E317</f>
        <v/>
      </c>
      <c r="AU317" s="155">
        <f>(I317-AF317)/I317</f>
        <v/>
      </c>
      <c r="AV317" s="155">
        <f>AG317/(AD317-AF317)</f>
        <v/>
      </c>
      <c r="AW317" s="155">
        <f>(G317-AM317)/G317</f>
        <v/>
      </c>
      <c r="AX317" s="254">
        <f>IF(AND(ISNUMBER(E317),ISNUMBER(W317)),E317-W317,"")</f>
        <v/>
      </c>
      <c r="AY317" s="254">
        <f>IF(AND(ISNUMBER(I317),ISNUMBER(AF317)),I317-AF317,"")</f>
        <v/>
      </c>
      <c r="AZ317" s="254">
        <f>IF(AND(ISNUMBER(AM317),ISNUMBER(G317)),G317-AM317,"")</f>
        <v/>
      </c>
      <c r="BA317" s="254">
        <f>IF(AND(ISNUMBER(AC317),ISNUMBER(AE317)),AC317-AE317,"")</f>
        <v/>
      </c>
      <c r="BB317" s="254">
        <f>IF(AND(ISNUMBER(AL317),ISNUMBER(AM317)),AL317-AM317,"")</f>
        <v/>
      </c>
      <c r="BC317" s="84">
        <f>IF(AND($E317&gt;0,$W317&gt;0),IF(($E317-$W317)/$E317&gt;0,($E317-$W317)/$E317,0),"")</f>
        <v/>
      </c>
      <c r="BD317" s="84">
        <f>IF(AND($I317&gt;0,$AF317&gt;=0),IF(($I317-$AF317)/$I317&gt;0,($I317-$AF317)/$I317,0),"")</f>
        <v/>
      </c>
      <c r="BE317" s="84">
        <f>IF(AND($AG317&gt;=0,$AD317&gt;=0,$AF317&gt;=0),IF($AG317/($AD317-$AF317)&gt;0,$AG317/($AD317-$AF317),0),"")</f>
        <v/>
      </c>
      <c r="BF317" s="84">
        <f>IF(AND($G317&gt;0,$AM317&gt;0),IF(($G317-$AM317)/$G317&gt;0,($G317-$AM317)/$G317,0),"")</f>
        <v/>
      </c>
      <c r="BG317" s="6">
        <f>IF((AD317-AF317)/(AJ317/60)&lt;=0,"",(AD317-AF317)/(AJ317/60))</f>
        <v/>
      </c>
      <c r="BH317" s="6">
        <f>IF(OR(AJ317=0,AP317=0,NOT(ISNUMBER(AD317)),NOT(ISNUMBER(AF317)),NOT(ISNUMBER(AJ317)),NOT(ISNUMBER(AP317))),"",
IFERROR(IF((AD317-AF317)/(AJ317/60)/(AP317/1000)&lt;=0,"",(AD317-AF317)/(AJ317/60)/(AP317/1000)),""))</f>
        <v/>
      </c>
    </row>
    <row r="318" ht="15.75" customHeight="1">
      <c r="B318" t="n">
        <v>74</v>
      </c>
      <c r="C318" s="12" t="inlineStr">
        <is>
          <t xml:space="preserve">low pH alert, switch on </t>
        </is>
      </c>
      <c r="D318" s="11" t="n">
        <v>45578</v>
      </c>
      <c r="E318" s="231" t="n">
        <v>74</v>
      </c>
      <c r="F318" s="3" t="n">
        <v>313</v>
      </c>
      <c r="G318" s="205">
        <f>IF(OR(S318="",S318=0),"",S318*2)</f>
        <v/>
      </c>
      <c r="M318" s="10">
        <f>IF(OR(E318="",G318="",E318=0,G318=0),"",E318/G318)</f>
        <v/>
      </c>
      <c r="N318" s="9">
        <f>IF(OR(E318="",I318="",E318=0,I318=0),"",E318/(I318*2))</f>
        <v/>
      </c>
      <c r="O318" s="8">
        <f>IF(OR(I318="",G318="",I318=0,G318=0),"",I318*2/G318)</f>
        <v/>
      </c>
      <c r="Z318" s="6" t="n">
        <v>0.18</v>
      </c>
      <c r="AD318" s="5" t="n">
        <v>80</v>
      </c>
      <c r="AL318" s="231" t="n">
        <v>175</v>
      </c>
      <c r="AM318" s="3" t="n">
        <v>180</v>
      </c>
      <c r="AN318" s="4">
        <f>AE318</f>
        <v/>
      </c>
      <c r="AP318" s="255">
        <f>360-AK318-AB318</f>
        <v/>
      </c>
      <c r="AR318" s="13">
        <f>AVERAGE(AO316:AO322)</f>
        <v/>
      </c>
      <c r="AS318" s="15" t="n"/>
      <c r="AT318" s="156">
        <f>(E318-W318)/E318</f>
        <v/>
      </c>
      <c r="AU318" s="155">
        <f>(I318-AF318)/I318</f>
        <v/>
      </c>
      <c r="AV318" s="155">
        <f>AG318/(AD318-AF318)</f>
        <v/>
      </c>
      <c r="AW318" s="155">
        <f>(G318-AM318)/G318</f>
        <v/>
      </c>
      <c r="AX318" s="254">
        <f>IF(AND(ISNUMBER(E318),ISNUMBER(W318)),E318-W318,"")</f>
        <v/>
      </c>
      <c r="AY318" s="254">
        <f>IF(AND(ISNUMBER(I318),ISNUMBER(AF318)),I318-AF318,"")</f>
        <v/>
      </c>
      <c r="AZ318" s="254">
        <f>IF(AND(ISNUMBER(AM318),ISNUMBER(G318)),G318-AM318,"")</f>
        <v/>
      </c>
      <c r="BA318" s="254">
        <f>IF(AND(ISNUMBER(AC318),ISNUMBER(AE318)),AC318-AE318,"")</f>
        <v/>
      </c>
      <c r="BB318" s="254">
        <f>IF(AND(ISNUMBER(AL318),ISNUMBER(AM318)),AL318-AM318,"")</f>
        <v/>
      </c>
      <c r="BC318" s="84">
        <f>IF(AND($E318&gt;0,$W318&gt;0),IF(($E318-$W318)/$E318&gt;0,($E318-$W318)/$E318,0),"")</f>
        <v/>
      </c>
      <c r="BD318" s="84">
        <f>IF(AND($I318&gt;0,$AF318&gt;=0),IF(($I318-$AF318)/$I318&gt;0,($I318-$AF318)/$I318,0),"")</f>
        <v/>
      </c>
      <c r="BE318" s="84">
        <f>IF(AND($AG318&gt;=0,$AD318&gt;=0,$AF318&gt;=0),IF($AG318/($AD318-$AF318)&gt;0,$AG318/($AD318-$AF318),0),"")</f>
        <v/>
      </c>
      <c r="BF318" s="84">
        <f>IF(AND($G318&gt;0,$AM318&gt;0),IF(($G318-$AM318)/$G318&gt;0,($G318-$AM318)/$G318,0),"")</f>
        <v/>
      </c>
      <c r="BG318" s="6">
        <f>IF((AD318-AF318)/(AJ318/60)&lt;=0,"",(AD318-AF318)/(AJ318/60))</f>
        <v/>
      </c>
      <c r="BH318" s="6">
        <f>IF(OR(AJ318=0,AP318=0,NOT(ISNUMBER(AD318)),NOT(ISNUMBER(AF318)),NOT(ISNUMBER(AJ318)),NOT(ISNUMBER(AP318))),"",
IFERROR(IF((AD318-AF318)/(AJ318/60)/(AP318/1000)&lt;=0,"",(AD318-AF318)/(AJ318/60)/(AP318/1000)),""))</f>
        <v/>
      </c>
    </row>
    <row r="319" ht="15.75" customHeight="1">
      <c r="B319" t="n">
        <v>75</v>
      </c>
      <c r="D319" s="11" t="n">
        <v>45579</v>
      </c>
      <c r="E319" s="231" t="n">
        <v>75</v>
      </c>
      <c r="F319" s="3" t="n">
        <v>314</v>
      </c>
      <c r="G319" s="205">
        <f>IF(OR(S319="",S319=0),"",S319*2)</f>
        <v/>
      </c>
      <c r="I319" s="15">
        <f>(N319*18-H319*18)/9</f>
        <v/>
      </c>
      <c r="J319" s="9" t="n">
        <v>5.87</v>
      </c>
      <c r="K319" s="15">
        <f>AD319</f>
        <v/>
      </c>
      <c r="M319" s="10">
        <f>IF(OR(E319="",G319="",E319=0,G319=0),"",E319/G319)</f>
        <v/>
      </c>
      <c r="N319" s="9">
        <f>IF(OR(E319="",I319="",E319=0,I319=0),"",E319/(I319*2))</f>
        <v/>
      </c>
      <c r="O319" s="8">
        <f>IF(OR(I319="",G319="",I319=0,G319=0),"",I319*2/G319)</f>
        <v/>
      </c>
      <c r="P319" s="7" t="n">
        <v>12.1</v>
      </c>
      <c r="Q319" t="n">
        <v>82.902</v>
      </c>
      <c r="R319" t="n">
        <v>28.297</v>
      </c>
      <c r="S319" s="6">
        <f>O319*1.067</f>
        <v/>
      </c>
      <c r="T319" s="6">
        <f>P319*1.514</f>
        <v/>
      </c>
      <c r="U319" s="23">
        <f>P319*1.514+O319*1.067</f>
        <v/>
      </c>
      <c r="V319" s="6" t="n">
        <v>12.6</v>
      </c>
      <c r="W319" t="n">
        <v>71.809</v>
      </c>
      <c r="X319" t="n">
        <v>20.925</v>
      </c>
      <c r="Y319" s="23">
        <f>U319*1.067+V319*1.514</f>
        <v/>
      </c>
      <c r="Z319" s="6" t="n">
        <v>0.59</v>
      </c>
      <c r="AD319" s="5" t="n">
        <v>80</v>
      </c>
      <c r="AE319" s="7">
        <f>T319</f>
        <v/>
      </c>
      <c r="AF319" s="231">
        <f>5*3.93</f>
        <v/>
      </c>
      <c r="AG319" s="231" t="n">
        <v>12.2</v>
      </c>
      <c r="AH319" s="231" t="n">
        <v>0</v>
      </c>
      <c r="AL319" s="231" t="n">
        <v>175</v>
      </c>
      <c r="AM319" s="3" t="n">
        <v>180</v>
      </c>
      <c r="AN319" s="4">
        <f>AE319</f>
        <v/>
      </c>
      <c r="AO319" s="231">
        <f>11.3</f>
        <v/>
      </c>
      <c r="AP319" s="255">
        <f>360-AK319-AB319</f>
        <v/>
      </c>
      <c r="AQ319" s="2" t="n">
        <v>809.9999999999909</v>
      </c>
      <c r="AR319" s="13">
        <f>AVERAGE(AO317:AO323)</f>
        <v/>
      </c>
      <c r="AS319" s="2" t="n">
        <v>29.77941176470674</v>
      </c>
      <c r="AT319" s="156">
        <f>(E319-W319)/E319</f>
        <v/>
      </c>
      <c r="AU319" s="155">
        <f>(I319-AF319)/I319</f>
        <v/>
      </c>
      <c r="AV319" s="155">
        <f>AG319/(AD319-AF319)</f>
        <v/>
      </c>
      <c r="AW319" s="155">
        <f>(G319-AM319)/G319</f>
        <v/>
      </c>
      <c r="AX319" s="254">
        <f>IF(AND(ISNUMBER(E319),ISNUMBER(W319)),E319-W319,"")</f>
        <v/>
      </c>
      <c r="AY319" s="254">
        <f>IF(AND(ISNUMBER(I319),ISNUMBER(AF319)),I319-AF319,"")</f>
        <v/>
      </c>
      <c r="AZ319" s="254">
        <f>IF(AND(ISNUMBER(AM319),ISNUMBER(G319)),G319-AM319,"")</f>
        <v/>
      </c>
      <c r="BA319" s="254">
        <f>IF(AND(ISNUMBER(AC319),ISNUMBER(AE319)),AC319-AE319,"")</f>
        <v/>
      </c>
      <c r="BB319" s="254">
        <f>IF(AND(ISNUMBER(AL319),ISNUMBER(AM319)),AL319-AM319,"")</f>
        <v/>
      </c>
      <c r="BC319" s="84">
        <f>IF(AND($E319&gt;0,$W319&gt;0),IF(($E319-$W319)/$E319&gt;0,($E319-$W319)/$E319,0),"")</f>
        <v/>
      </c>
      <c r="BD319" s="84">
        <f>IF(AND($I319&gt;0,$AF319&gt;=0),IF(($I319-$AF319)/$I319&gt;0,($I319-$AF319)/$I319,0),"")</f>
        <v/>
      </c>
      <c r="BE319" s="84">
        <f>IF(AND($AG319&gt;=0,$AD319&gt;=0,$AF319&gt;=0),IF($AG319/($AD319-$AF319)&gt;0,$AG319/($AD319-$AF319),0),"")</f>
        <v/>
      </c>
      <c r="BF319" s="84">
        <f>IF(AND($G319&gt;0,$AM319&gt;0),IF(($G319-$AM319)/$G319&gt;0,($G319-$AM319)/$G319,0),"")</f>
        <v/>
      </c>
      <c r="BG319" s="6">
        <f>IF((AD319-AF319)/(AJ319/60)&lt;=0,"",(AD319-AF319)/(AJ319/60))</f>
        <v/>
      </c>
      <c r="BH319" s="6">
        <f>IF(OR(AJ319=0,AP319=0,NOT(ISNUMBER(AD319)),NOT(ISNUMBER(AF319)),NOT(ISNUMBER(AJ319)),NOT(ISNUMBER(AP319))),"",
IFERROR(IF((AD319-AF319)/(AJ319/60)/(AP319/1000)&lt;=0,"",(AD319-AF319)/(AJ319/60)/(AP319/1000)),""))</f>
        <v/>
      </c>
    </row>
    <row r="320" ht="15.75" customHeight="1">
      <c r="B320" t="n">
        <v>76</v>
      </c>
      <c r="D320" s="11" t="n">
        <v>45580</v>
      </c>
      <c r="E320" s="231" t="n">
        <v>76</v>
      </c>
      <c r="F320" s="3" t="n">
        <v>315</v>
      </c>
      <c r="G320" s="205">
        <f>IF(OR(S320="",S320=0),"",S320*2)</f>
        <v/>
      </c>
      <c r="K320" s="41" t="n">
        <v>20</v>
      </c>
      <c r="M320" s="10">
        <f>IF(OR(E320="",G320="",E320=0,G320=0),"",E320/G320)</f>
        <v/>
      </c>
      <c r="N320" s="9">
        <f>IF(OR(E320="",I320="",E320=0,I320=0),"",E320/(I320*2))</f>
        <v/>
      </c>
      <c r="O320" s="8">
        <f>IF(OR(I320="",G320="",I320=0,G320=0),"",I320*2/G320)</f>
        <v/>
      </c>
      <c r="Z320" s="6" t="n">
        <v>0.88</v>
      </c>
      <c r="AD320" s="5" t="n">
        <v>80</v>
      </c>
      <c r="AL320" s="231" t="n">
        <v>175</v>
      </c>
      <c r="AM320" s="3" t="n">
        <v>180</v>
      </c>
      <c r="AP320" s="255">
        <f>360-AK320-AB320</f>
        <v/>
      </c>
      <c r="AR320" s="13">
        <f>AVERAGE(AO318:AO324)</f>
        <v/>
      </c>
      <c r="AT320" s="156">
        <f>(E320-W320)/E320</f>
        <v/>
      </c>
      <c r="AU320" s="155">
        <f>(I320-AF320)/I320</f>
        <v/>
      </c>
      <c r="AV320" s="155">
        <f>AG320/(AD320-AF320)</f>
        <v/>
      </c>
      <c r="AW320" s="155">
        <f>(G320-AM320)/G320</f>
        <v/>
      </c>
      <c r="AX320" s="254">
        <f>IF(AND(ISNUMBER(E320),ISNUMBER(W320)),E320-W320,"")</f>
        <v/>
      </c>
      <c r="AY320" s="254">
        <f>IF(AND(ISNUMBER(I320),ISNUMBER(AF320)),I320-AF320,"")</f>
        <v/>
      </c>
      <c r="AZ320" s="254">
        <f>IF(AND(ISNUMBER(AM320),ISNUMBER(G320)),G320-AM320,"")</f>
        <v/>
      </c>
      <c r="BA320" s="254">
        <f>IF(AND(ISNUMBER(AC320),ISNUMBER(AE320)),AC320-AE320,"")</f>
        <v/>
      </c>
      <c r="BB320" s="254">
        <f>IF(AND(ISNUMBER(AL320),ISNUMBER(AM320)),AL320-AM320,"")</f>
        <v/>
      </c>
      <c r="BC320" s="84">
        <f>IF(AND($E320&gt;0,$W320&gt;0),IF(($E320-$W320)/$E320&gt;0,($E320-$W320)/$E320,0),"")</f>
        <v/>
      </c>
      <c r="BD320" s="84">
        <f>IF(AND($I320&gt;0,$AF320&gt;=0),IF(($I320-$AF320)/$I320&gt;0,($I320-$AF320)/$I320,0),"")</f>
        <v/>
      </c>
      <c r="BE320" s="84">
        <f>IF(AND($AG320&gt;=0,$AD320&gt;=0,$AF320&gt;=0),IF($AG320/($AD320-$AF320)&gt;0,$AG320/($AD320-$AF320),0),"")</f>
        <v/>
      </c>
      <c r="BF320" s="84">
        <f>IF(AND($G320&gt;0,$AM320&gt;0),IF(($G320-$AM320)/$G320&gt;0,($G320-$AM320)/$G320,0),"")</f>
        <v/>
      </c>
      <c r="BG320" s="6">
        <f>IF((AD320-AF320)/(AJ320/60)&lt;=0,"",(AD320-AF320)/(AJ320/60))</f>
        <v/>
      </c>
      <c r="BH320" s="6">
        <f>IF(OR(AJ320=0,AP320=0,NOT(ISNUMBER(AD320)),NOT(ISNUMBER(AF320)),NOT(ISNUMBER(AJ320)),NOT(ISNUMBER(AP320))),"",
IFERROR(IF((AD320-AF320)/(AJ320/60)/(AP320/1000)&lt;=0,"",(AD320-AF320)/(AJ320/60)/(AP320/1000)),""))</f>
        <v/>
      </c>
    </row>
    <row r="321" ht="12.75" customHeight="1">
      <c r="B321" t="n">
        <v>77</v>
      </c>
      <c r="D321" s="11" t="n">
        <v>45581</v>
      </c>
      <c r="E321" s="231" t="n">
        <v>77</v>
      </c>
      <c r="F321" s="3" t="n">
        <v>316</v>
      </c>
      <c r="G321" s="205">
        <f>IF(OR(S321="",S321=0),"",S321*2)</f>
        <v/>
      </c>
      <c r="I321" s="15">
        <f>(N321*18-H321*18)/9</f>
        <v/>
      </c>
      <c r="J321" s="9">
        <f>5*1.29</f>
        <v/>
      </c>
      <c r="K321" s="15">
        <f>AD321</f>
        <v/>
      </c>
      <c r="M321" s="10">
        <f>IF(OR(E321="",G321="",E321=0,G321=0),"",E321/G321)</f>
        <v/>
      </c>
      <c r="N321" s="9">
        <f>IF(OR(E321="",I321="",E321=0,I321=0),"",E321/(I321*2))</f>
        <v/>
      </c>
      <c r="O321" s="8">
        <f>IF(OR(I321="",G321="",I321=0,G321=0),"",I321*2/G321)</f>
        <v/>
      </c>
      <c r="P321" s="7">
        <f>5*2.61</f>
        <v/>
      </c>
      <c r="V321" s="6">
        <f>5*2.66</f>
        <v/>
      </c>
      <c r="Z321" s="6" t="n">
        <v>0.49</v>
      </c>
      <c r="AD321" s="5" t="n">
        <v>80</v>
      </c>
      <c r="AE321" s="7">
        <f>T321</f>
        <v/>
      </c>
      <c r="AF321" s="231">
        <f>5*4.12</f>
        <v/>
      </c>
      <c r="AG321" s="231">
        <f>5*2.62</f>
        <v/>
      </c>
      <c r="AH321" s="231" t="n">
        <v>0</v>
      </c>
      <c r="AL321" s="231" t="n">
        <v>175</v>
      </c>
      <c r="AM321" s="3" t="n">
        <v>180</v>
      </c>
      <c r="AN321" s="4">
        <f>AE321</f>
        <v/>
      </c>
      <c r="AO321" s="231">
        <f>5*2.58</f>
        <v/>
      </c>
      <c r="AP321" s="255">
        <f>360-AK321-AB321</f>
        <v/>
      </c>
      <c r="AR321" s="13">
        <f>AVERAGE(AO319:AO325)</f>
        <v/>
      </c>
      <c r="AT321" s="156">
        <f>(E321-W321)/E321</f>
        <v/>
      </c>
      <c r="AU321" s="155">
        <f>(I321-AF321)/I321</f>
        <v/>
      </c>
      <c r="AV321" s="155">
        <f>AG321/(AD321-AF321)</f>
        <v/>
      </c>
      <c r="AW321" s="155">
        <f>(G321-AM321)/G321</f>
        <v/>
      </c>
      <c r="AX321" s="254">
        <f>IF(AND(ISNUMBER(E321),ISNUMBER(W321)),E321-W321,"")</f>
        <v/>
      </c>
      <c r="AY321" s="254">
        <f>IF(AND(ISNUMBER(I321),ISNUMBER(AF321)),I321-AF321,"")</f>
        <v/>
      </c>
      <c r="AZ321" s="254">
        <f>IF(AND(ISNUMBER(AM321),ISNUMBER(G321)),G321-AM321,"")</f>
        <v/>
      </c>
      <c r="BA321" s="254">
        <f>IF(AND(ISNUMBER(AC321),ISNUMBER(AE321)),AC321-AE321,"")</f>
        <v/>
      </c>
      <c r="BB321" s="254">
        <f>IF(AND(ISNUMBER(AL321),ISNUMBER(AM321)),AL321-AM321,"")</f>
        <v/>
      </c>
      <c r="BC321" s="84">
        <f>IF(AND($E321&gt;0,$W321&gt;0),IF(($E321-$W321)/$E321&gt;0,($E321-$W321)/$E321,0),"")</f>
        <v/>
      </c>
      <c r="BD321" s="84">
        <f>IF(AND($I321&gt;0,$AF321&gt;=0),IF(($I321-$AF321)/$I321&gt;0,($I321-$AF321)/$I321,0),"")</f>
        <v/>
      </c>
      <c r="BE321" s="84">
        <f>IF(AND($AG321&gt;=0,$AD321&gt;=0,$AF321&gt;=0),IF($AG321/($AD321-$AF321)&gt;0,$AG321/($AD321-$AF321),0),"")</f>
        <v/>
      </c>
      <c r="BF321" s="84">
        <f>IF(AND($G321&gt;0,$AM321&gt;0),IF(($G321-$AM321)/$G321&gt;0,($G321-$AM321)/$G321,0),"")</f>
        <v/>
      </c>
      <c r="BG321" s="6">
        <f>IF((AD321-AF321)/(AJ321/60)&lt;=0,"",(AD321-AF321)/(AJ321/60))</f>
        <v/>
      </c>
      <c r="BH321" s="6">
        <f>IF(OR(AJ321=0,AP321=0,NOT(ISNUMBER(AD321)),NOT(ISNUMBER(AF321)),NOT(ISNUMBER(AJ321)),NOT(ISNUMBER(AP321))),"",
IFERROR(IF((AD321-AF321)/(AJ321/60)/(AP321/1000)&lt;=0,"",(AD321-AF321)/(AJ321/60)/(AP321/1000)),""))</f>
        <v/>
      </c>
    </row>
    <row r="322" ht="15.75" customHeight="1">
      <c r="A322" s="260" t="inlineStr">
        <is>
          <t>B42</t>
        </is>
      </c>
      <c r="B322" s="260" t="n">
        <v>78</v>
      </c>
      <c r="C322" s="111" t="inlineStr">
        <is>
          <t>adjusmest ORP broke?</t>
        </is>
      </c>
      <c r="D322" s="114" t="n">
        <v>45582</v>
      </c>
      <c r="E322" s="231" t="n">
        <v>78</v>
      </c>
      <c r="F322" s="3" t="n">
        <v>317</v>
      </c>
      <c r="G322" s="205">
        <f>IF(OR(S322="",S322=0),"",S322*2)</f>
        <v/>
      </c>
      <c r="M322" s="10">
        <f>IF(OR(E322="",G322="",E322=0,G322=0),"",E322/G322)</f>
        <v/>
      </c>
      <c r="N322" s="9">
        <f>IF(OR(E322="",I322="",E322=0,I322=0),"",E322/(I322*2))</f>
        <v/>
      </c>
      <c r="O322" s="8">
        <f>IF(OR(I322="",G322="",I322=0,G322=0),"",I322*2/G322)</f>
        <v/>
      </c>
      <c r="Z322" s="6" t="n">
        <v>1.39</v>
      </c>
      <c r="AD322" s="5" t="n">
        <v>80</v>
      </c>
      <c r="AL322" s="231" t="n">
        <v>175</v>
      </c>
      <c r="AM322" s="3" t="n">
        <v>180</v>
      </c>
      <c r="AP322" s="255">
        <f>360-AK322-AB322</f>
        <v/>
      </c>
      <c r="AQ322" s="2" t="n">
        <v>850</v>
      </c>
      <c r="AR322" s="13">
        <f>AVERAGE(AO320:AO326)</f>
        <v/>
      </c>
      <c r="AS322" s="2" t="n">
        <v>31.25000000000125</v>
      </c>
      <c r="AT322" s="156">
        <f>(E322-W322)/E322</f>
        <v/>
      </c>
      <c r="AU322" s="155">
        <f>(I322-AF322)/I322</f>
        <v/>
      </c>
      <c r="AV322" s="155">
        <f>AG322/(AD322-AF322)</f>
        <v/>
      </c>
      <c r="AW322" s="155">
        <f>(G322-AM322)/G322</f>
        <v/>
      </c>
      <c r="AX322" s="254">
        <f>IF(AND(ISNUMBER(E322),ISNUMBER(W322)),E322-W322,"")</f>
        <v/>
      </c>
      <c r="AY322" s="254">
        <f>IF(AND(ISNUMBER(I322),ISNUMBER(AF322)),I322-AF322,"")</f>
        <v/>
      </c>
      <c r="AZ322" s="254">
        <f>IF(AND(ISNUMBER(AM322),ISNUMBER(G322)),G322-AM322,"")</f>
        <v/>
      </c>
      <c r="BA322" s="254">
        <f>IF(AND(ISNUMBER(AC322),ISNUMBER(AE322)),AC322-AE322,"")</f>
        <v/>
      </c>
      <c r="BB322" s="254">
        <f>IF(AND(ISNUMBER(AL322),ISNUMBER(AM322)),AL322-AM322,"")</f>
        <v/>
      </c>
      <c r="BC322" s="84">
        <f>IF(AND($E322&gt;0,$W322&gt;0),IF(($E322-$W322)/$E322&gt;0,($E322-$W322)/$E322,0),"")</f>
        <v/>
      </c>
      <c r="BD322" s="84">
        <f>IF(AND($I322&gt;0,$AF322&gt;=0),IF(($I322-$AF322)/$I322&gt;0,($I322-$AF322)/$I322,0),"")</f>
        <v/>
      </c>
      <c r="BE322" s="84">
        <f>IF(AND($AG322&gt;=0,$AD322&gt;=0,$AF322&gt;=0),IF($AG322/($AD322-$AF322)&gt;0,$AG322/($AD322-$AF322),0),"")</f>
        <v/>
      </c>
      <c r="BF322" s="84">
        <f>IF(AND($G322&gt;0,$AM322&gt;0),IF(($G322-$AM322)/$G322&gt;0,($G322-$AM322)/$G322,0),"")</f>
        <v/>
      </c>
      <c r="BG322" s="6">
        <f>IF((AD322-AF322)/(AJ322/60)&lt;=0,"",(AD322-AF322)/(AJ322/60))</f>
        <v/>
      </c>
      <c r="BH322" s="6">
        <f>IF(OR(AJ322=0,AP322=0,NOT(ISNUMBER(AD322)),NOT(ISNUMBER(AF322)),NOT(ISNUMBER(AJ322)),NOT(ISNUMBER(AP322))),"",
IFERROR(IF((AD322-AF322)/(AJ322/60)/(AP322/1000)&lt;=0,"",(AD322-AF322)/(AJ322/60)/(AP322/1000)),""))</f>
        <v/>
      </c>
    </row>
    <row r="323" ht="15.75" customHeight="1">
      <c r="B323" t="n">
        <v>79</v>
      </c>
      <c r="D323" s="11" t="n">
        <v>45583</v>
      </c>
      <c r="E323" s="231" t="n">
        <v>79</v>
      </c>
      <c r="F323" s="3" t="n">
        <v>318</v>
      </c>
      <c r="G323" s="205">
        <f>IF(OR(S323="",S323=0),"",S323*2)</f>
        <v/>
      </c>
      <c r="M323" s="10">
        <f>IF(OR(E323="",G323="",E323=0,G323=0),"",E323/G323)</f>
        <v/>
      </c>
      <c r="N323" s="9">
        <f>IF(OR(E323="",I323="",E323=0,I323=0),"",E323/(I323*2))</f>
        <v/>
      </c>
      <c r="O323" s="8">
        <f>IF(OR(I323="",G323="",I323=0,G323=0),"",I323*2/G323)</f>
        <v/>
      </c>
      <c r="Q323" t="n">
        <v>48.179</v>
      </c>
      <c r="R323" t="n">
        <v>16.403</v>
      </c>
      <c r="S323" s="6">
        <f>O323*1.067</f>
        <v/>
      </c>
      <c r="T323" s="6">
        <f>P323*1.514</f>
        <v/>
      </c>
      <c r="U323" s="23">
        <f>P323*1.514+O323*1.067</f>
        <v/>
      </c>
      <c r="W323" t="n">
        <v>30.156</v>
      </c>
      <c r="X323" t="n">
        <v>1.846</v>
      </c>
      <c r="Y323" s="23">
        <f>U323*1.067+V323*1.514</f>
        <v/>
      </c>
      <c r="Z323" s="6" t="n">
        <v>0.18</v>
      </c>
      <c r="AD323" s="5" t="n">
        <v>80</v>
      </c>
      <c r="AL323" s="231" t="n">
        <v>175</v>
      </c>
      <c r="AM323" s="3" t="n">
        <v>180</v>
      </c>
      <c r="AP323" s="255">
        <f>360-AK323-AB323</f>
        <v/>
      </c>
      <c r="AR323" s="13">
        <f>AVERAGE(AO321:AO327)</f>
        <v/>
      </c>
      <c r="AT323" s="156">
        <f>(E323-W323)/E323</f>
        <v/>
      </c>
      <c r="AU323" s="155">
        <f>(I323-AF323)/I323</f>
        <v/>
      </c>
      <c r="AV323" s="155">
        <f>AG323/(AD323-AF323)</f>
        <v/>
      </c>
      <c r="AW323" s="155">
        <f>(G323-AM323)/G323</f>
        <v/>
      </c>
      <c r="AX323" s="254">
        <f>IF(AND(ISNUMBER(E323),ISNUMBER(W323)),E323-W323,"")</f>
        <v/>
      </c>
      <c r="AY323" s="254">
        <f>IF(AND(ISNUMBER(I323),ISNUMBER(AF323)),I323-AF323,"")</f>
        <v/>
      </c>
      <c r="AZ323" s="254">
        <f>IF(AND(ISNUMBER(AM323),ISNUMBER(G323)),G323-AM323,"")</f>
        <v/>
      </c>
      <c r="BA323" s="254">
        <f>IF(AND(ISNUMBER(AC323),ISNUMBER(AE323)),AC323-AE323,"")</f>
        <v/>
      </c>
      <c r="BB323" s="254">
        <f>IF(AND(ISNUMBER(AL323),ISNUMBER(AM323)),AL323-AM323,"")</f>
        <v/>
      </c>
      <c r="BC323" s="84">
        <f>IF(AND($E323&gt;0,$W323&gt;0),IF(($E323-$W323)/$E323&gt;0,($E323-$W323)/$E323,0),"")</f>
        <v/>
      </c>
      <c r="BD323" s="84">
        <f>IF(AND($I323&gt;0,$AF323&gt;=0),IF(($I323-$AF323)/$I323&gt;0,($I323-$AF323)/$I323,0),"")</f>
        <v/>
      </c>
      <c r="BE323" s="84">
        <f>IF(AND($AG323&gt;=0,$AD323&gt;=0,$AF323&gt;=0),IF($AG323/($AD323-$AF323)&gt;0,$AG323/($AD323-$AF323),0),"")</f>
        <v/>
      </c>
      <c r="BF323" s="84">
        <f>IF(AND($G323&gt;0,$AM323&gt;0),IF(($G323-$AM323)/$G323&gt;0,($G323-$AM323)/$G323,0),"")</f>
        <v/>
      </c>
      <c r="BG323" s="6">
        <f>IF((AD323-AF323)/(AJ323/60)&lt;=0,"",(AD323-AF323)/(AJ323/60))</f>
        <v/>
      </c>
      <c r="BH323" s="6">
        <f>IF(OR(AJ323=0,AP323=0,NOT(ISNUMBER(AD323)),NOT(ISNUMBER(AF323)),NOT(ISNUMBER(AJ323)),NOT(ISNUMBER(AP323))),"",
IFERROR(IF((AD323-AF323)/(AJ323/60)/(AP323/1000)&lt;=0,"",(AD323-AF323)/(AJ323/60)/(AP323/1000)),""))</f>
        <v/>
      </c>
    </row>
    <row r="324" ht="15.75" customHeight="1">
      <c r="B324" t="n">
        <v>80</v>
      </c>
      <c r="D324" s="11" t="n">
        <v>45584</v>
      </c>
      <c r="E324" s="231" t="n">
        <v>80</v>
      </c>
      <c r="F324" s="3" t="n">
        <v>319</v>
      </c>
      <c r="G324" s="205">
        <f>IF(OR(S324="",S324=0),"",S324*2)</f>
        <v/>
      </c>
      <c r="M324" s="10">
        <f>IF(OR(E324="",G324="",E324=0,G324=0),"",E324/G324)</f>
        <v/>
      </c>
      <c r="N324" s="9">
        <f>IF(OR(E324="",I324="",E324=0,I324=0),"",E324/(I324*2))</f>
        <v/>
      </c>
      <c r="O324" s="8">
        <f>IF(OR(I324="",G324="",I324=0,G324=0),"",I324*2/G324)</f>
        <v/>
      </c>
      <c r="Z324" s="6" t="n">
        <v>0.49</v>
      </c>
      <c r="AD324" s="5" t="n">
        <v>80</v>
      </c>
      <c r="AI324" s="231" t="n">
        <v>0.18</v>
      </c>
      <c r="AJ324" s="261" t="n">
        <v>0.4789351851851852</v>
      </c>
      <c r="AL324" s="231" t="n">
        <v>175</v>
      </c>
      <c r="AM324" s="3" t="n">
        <v>180</v>
      </c>
      <c r="AP324" s="255">
        <f>360-AK324-AB324</f>
        <v/>
      </c>
      <c r="AR324" s="13">
        <f>AVERAGE(AO322:AO328)</f>
        <v/>
      </c>
      <c r="AT324" s="156">
        <f>(E324-W324)/E324</f>
        <v/>
      </c>
      <c r="AU324" s="155">
        <f>(I324-AF324)/I324</f>
        <v/>
      </c>
      <c r="AV324" s="155">
        <f>AG324/(AD324-AF324)</f>
        <v/>
      </c>
      <c r="AW324" s="155">
        <f>(G324-AM324)/G324</f>
        <v/>
      </c>
      <c r="AX324" s="254">
        <f>IF(AND(ISNUMBER(E324),ISNUMBER(W324)),E324-W324,"")</f>
        <v/>
      </c>
      <c r="AY324" s="254">
        <f>IF(AND(ISNUMBER(I324),ISNUMBER(AF324)),I324-AF324,"")</f>
        <v/>
      </c>
      <c r="AZ324" s="254">
        <f>IF(AND(ISNUMBER(AM324),ISNUMBER(G324)),G324-AM324,"")</f>
        <v/>
      </c>
      <c r="BA324" s="254">
        <f>IF(AND(ISNUMBER(AC324),ISNUMBER(AE324)),AC324-AE324,"")</f>
        <v/>
      </c>
      <c r="BB324" s="254">
        <f>IF(AND(ISNUMBER(AL324),ISNUMBER(AM324)),AL324-AM324,"")</f>
        <v/>
      </c>
      <c r="BC324" s="84">
        <f>IF(AND($E324&gt;0,$W324&gt;0),IF(($E324-$W324)/$E324&gt;0,($E324-$W324)/$E324,0),"")</f>
        <v/>
      </c>
      <c r="BD324" s="84">
        <f>IF(AND($I324&gt;0,$AF324&gt;=0),IF(($I324-$AF324)/$I324&gt;0,($I324-$AF324)/$I324,0),"")</f>
        <v/>
      </c>
      <c r="BE324" s="84">
        <f>IF(AND($AG324&gt;=0,$AD324&gt;=0,$AF324&gt;=0),IF($AG324/($AD324-$AF324)&gt;0,$AG324/($AD324-$AF324),0),"")</f>
        <v/>
      </c>
      <c r="BF324" s="84">
        <f>IF(AND($G324&gt;0,$AM324&gt;0),IF(($G324-$AM324)/$G324&gt;0,($G324-$AM324)/$G324,0),"")</f>
        <v/>
      </c>
      <c r="BG324" s="6">
        <f>IF((AD324-AF324)/(AJ324/60)&lt;=0,"",(AD324-AF324)/(AJ324/60))</f>
        <v/>
      </c>
      <c r="BH324" s="6">
        <f>IF(OR(AJ324=0,AP324=0,NOT(ISNUMBER(AD324)),NOT(ISNUMBER(AF324)),NOT(ISNUMBER(AJ324)),NOT(ISNUMBER(AP324))),"",
IFERROR(IF((AD324-AF324)/(AJ324/60)/(AP324/1000)&lt;=0,"",(AD324-AF324)/(AJ324/60)/(AP324/1000)),""))</f>
        <v/>
      </c>
    </row>
    <row r="325" ht="15.75" customHeight="1">
      <c r="B325" t="n">
        <v>81</v>
      </c>
      <c r="D325" s="11" t="n">
        <v>45585</v>
      </c>
      <c r="E325" s="231" t="n">
        <v>81</v>
      </c>
      <c r="F325" s="3" t="n">
        <v>320</v>
      </c>
      <c r="G325" s="205">
        <f>IF(OR(S325="",S325=0),"",S325*2)</f>
        <v/>
      </c>
      <c r="M325" s="10">
        <f>IF(OR(E325="",G325="",E325=0,G325=0),"",E325/G325)</f>
        <v/>
      </c>
      <c r="N325" s="9">
        <f>IF(OR(E325="",I325="",E325=0,I325=0),"",E325/(I325*2))</f>
        <v/>
      </c>
      <c r="O325" s="8">
        <f>IF(OR(I325="",G325="",I325=0,G325=0),"",I325*2/G325)</f>
        <v/>
      </c>
      <c r="Z325" s="6" t="n">
        <v>0.45</v>
      </c>
      <c r="AD325" s="5" t="n">
        <v>80</v>
      </c>
      <c r="AI325" s="231" t="n">
        <v>0.24</v>
      </c>
      <c r="AJ325" s="261" t="n">
        <v>0.4471064814814815</v>
      </c>
      <c r="AL325" s="231" t="n">
        <v>175</v>
      </c>
      <c r="AM325" s="3" t="n">
        <v>180</v>
      </c>
      <c r="AP325" s="255">
        <f>360-AK325-AB325</f>
        <v/>
      </c>
      <c r="AR325" s="13">
        <f>AVERAGE(AO323:AO329)</f>
        <v/>
      </c>
      <c r="AT325" s="156">
        <f>(E325-W325)/E325</f>
        <v/>
      </c>
      <c r="AU325" s="155">
        <f>(I325-AF325)/I325</f>
        <v/>
      </c>
      <c r="AV325" s="155">
        <f>AG325/(AD325-AF325)</f>
        <v/>
      </c>
      <c r="AW325" s="155">
        <f>(G325-AM325)/G325</f>
        <v/>
      </c>
      <c r="AX325" s="254">
        <f>IF(AND(ISNUMBER(E325),ISNUMBER(W325)),E325-W325,"")</f>
        <v/>
      </c>
      <c r="AY325" s="254">
        <f>IF(AND(ISNUMBER(I325),ISNUMBER(AF325)),I325-AF325,"")</f>
        <v/>
      </c>
      <c r="AZ325" s="254">
        <f>IF(AND(ISNUMBER(AM325),ISNUMBER(G325)),G325-AM325,"")</f>
        <v/>
      </c>
      <c r="BA325" s="254">
        <f>IF(AND(ISNUMBER(AC325),ISNUMBER(AE325)),AC325-AE325,"")</f>
        <v/>
      </c>
      <c r="BB325" s="254">
        <f>IF(AND(ISNUMBER(AL325),ISNUMBER(AM325)),AL325-AM325,"")</f>
        <v/>
      </c>
      <c r="BC325" s="84">
        <f>IF(AND($E325&gt;0,$W325&gt;0),IF(($E325-$W325)/$E325&gt;0,($E325-$W325)/$E325,0),"")</f>
        <v/>
      </c>
      <c r="BD325" s="84">
        <f>IF(AND($I325&gt;0,$AF325&gt;=0),IF(($I325-$AF325)/$I325&gt;0,($I325-$AF325)/$I325,0),"")</f>
        <v/>
      </c>
      <c r="BE325" s="84">
        <f>IF(AND($AG325&gt;=0,$AD325&gt;=0,$AF325&gt;=0),IF($AG325/($AD325-$AF325)&gt;0,$AG325/($AD325-$AF325),0),"")</f>
        <v/>
      </c>
      <c r="BF325" s="84">
        <f>IF(AND($G325&gt;0,$AM325&gt;0),IF(($G325-$AM325)/$G325&gt;0,($G325-$AM325)/$G325,0),"")</f>
        <v/>
      </c>
      <c r="BG325" s="6">
        <f>IF((AD325-AF325)/(AJ325/60)&lt;=0,"",(AD325-AF325)/(AJ325/60))</f>
        <v/>
      </c>
      <c r="BH325" s="6">
        <f>IF(OR(AJ325=0,AP325=0,NOT(ISNUMBER(AD325)),NOT(ISNUMBER(AF325)),NOT(ISNUMBER(AJ325)),NOT(ISNUMBER(AP325))),"",
IFERROR(IF((AD325-AF325)/(AJ325/60)/(AP325/1000)&lt;=0,"",(AD325-AF325)/(AJ325/60)/(AP325/1000)),""))</f>
        <v/>
      </c>
    </row>
    <row r="326" ht="15.75" customHeight="1">
      <c r="B326" t="n">
        <v>82</v>
      </c>
      <c r="D326" s="11" t="n">
        <v>45586</v>
      </c>
      <c r="E326" s="231" t="n">
        <v>82</v>
      </c>
      <c r="F326" s="3" t="n">
        <v>321</v>
      </c>
      <c r="G326" s="205">
        <f>IF(OR(S326="",S326=0),"",S326*2)</f>
        <v/>
      </c>
      <c r="M326" s="10">
        <f>IF(OR(E326="",G326="",E326=0,G326=0),"",E326/G326)</f>
        <v/>
      </c>
      <c r="N326" s="9">
        <f>IF(OR(E326="",I326="",E326=0,I326=0),"",E326/(I326*2))</f>
        <v/>
      </c>
      <c r="O326" s="8">
        <f>IF(OR(I326="",G326="",I326=0,G326=0),"",I326*2/G326)</f>
        <v/>
      </c>
      <c r="Z326" s="6" t="n">
        <v>5.82</v>
      </c>
      <c r="AD326" s="5" t="n">
        <v>80</v>
      </c>
      <c r="AI326" s="231" t="n">
        <v>6.18</v>
      </c>
      <c r="AJ326" s="261" t="n">
        <v>0.4791666666666667</v>
      </c>
      <c r="AL326" s="231" t="n">
        <v>175</v>
      </c>
      <c r="AM326" s="3" t="n">
        <v>180</v>
      </c>
      <c r="AP326" s="255">
        <f>360-AK326-AB326</f>
        <v/>
      </c>
      <c r="AR326" s="13">
        <f>AVERAGE(AO324:AO330)</f>
        <v/>
      </c>
      <c r="AT326" s="156">
        <f>(E326-W326)/E326</f>
        <v/>
      </c>
      <c r="AU326" s="155">
        <f>(I326-AF326)/I326</f>
        <v/>
      </c>
      <c r="AV326" s="155">
        <f>AG326/(AD326-AF326)</f>
        <v/>
      </c>
      <c r="AW326" s="155">
        <f>(G326-AM326)/G326</f>
        <v/>
      </c>
      <c r="AX326" s="254">
        <f>IF(AND(ISNUMBER(E326),ISNUMBER(W326)),E326-W326,"")</f>
        <v/>
      </c>
      <c r="AY326" s="254">
        <f>IF(AND(ISNUMBER(I326),ISNUMBER(AF326)),I326-AF326,"")</f>
        <v/>
      </c>
      <c r="AZ326" s="254">
        <f>IF(AND(ISNUMBER(AM326),ISNUMBER(G326)),G326-AM326,"")</f>
        <v/>
      </c>
      <c r="BA326" s="254">
        <f>IF(AND(ISNUMBER(AC326),ISNUMBER(AE326)),AC326-AE326,"")</f>
        <v/>
      </c>
      <c r="BB326" s="254">
        <f>IF(AND(ISNUMBER(AL326),ISNUMBER(AM326)),AL326-AM326,"")</f>
        <v/>
      </c>
      <c r="BC326" s="84">
        <f>IF(AND($E326&gt;0,$W326&gt;0),IF(($E326-$W326)/$E326&gt;0,($E326-$W326)/$E326,0),"")</f>
        <v/>
      </c>
      <c r="BD326" s="84">
        <f>IF(AND($I326&gt;0,$AF326&gt;=0),IF(($I326-$AF326)/$I326&gt;0,($I326-$AF326)/$I326,0),"")</f>
        <v/>
      </c>
      <c r="BE326" s="84">
        <f>IF(AND($AG326&gt;=0,$AD326&gt;=0,$AF326&gt;=0),IF($AG326/($AD326-$AF326)&gt;0,$AG326/($AD326-$AF326),0),"")</f>
        <v/>
      </c>
      <c r="BF326" s="84">
        <f>IF(AND($G326&gt;0,$AM326&gt;0),IF(($G326-$AM326)/$G326&gt;0,($G326-$AM326)/$G326,0),"")</f>
        <v/>
      </c>
      <c r="BG326" s="6">
        <f>IF((AD326-AF326)/(AJ326/60)&lt;=0,"",(AD326-AF326)/(AJ326/60))</f>
        <v/>
      </c>
      <c r="BH326" s="6">
        <f>IF(OR(AJ326=0,AP326=0,NOT(ISNUMBER(AD326)),NOT(ISNUMBER(AF326)),NOT(ISNUMBER(AJ326)),NOT(ISNUMBER(AP326))),"",
IFERROR(IF((AD326-AF326)/(AJ326/60)/(AP326/1000)&lt;=0,"",(AD326-AF326)/(AJ326/60)/(AP326/1000)),""))</f>
        <v/>
      </c>
    </row>
    <row r="327" ht="15.75" customHeight="1">
      <c r="B327" t="n">
        <v>83</v>
      </c>
      <c r="D327" s="11" t="n">
        <v>45587</v>
      </c>
      <c r="E327" s="231" t="n">
        <v>83</v>
      </c>
      <c r="F327" s="3" t="n">
        <v>322</v>
      </c>
      <c r="G327" s="205">
        <f>IF(OR(S327="",S327=0),"",S327*2)</f>
        <v/>
      </c>
      <c r="M327" s="10">
        <f>IF(OR(E327="",G327="",E327=0,G327=0),"",E327/G327)</f>
        <v/>
      </c>
      <c r="N327" s="9">
        <f>IF(OR(E327="",I327="",E327=0,I327=0),"",E327/(I327*2))</f>
        <v/>
      </c>
      <c r="O327" s="8">
        <f>IF(OR(I327="",G327="",I327=0,G327=0),"",I327*2/G327)</f>
        <v/>
      </c>
      <c r="Q327" t="n">
        <v>63.806</v>
      </c>
      <c r="R327" t="n">
        <v>22.89</v>
      </c>
      <c r="S327" s="6">
        <f>O327*1.067</f>
        <v/>
      </c>
      <c r="T327" s="6">
        <f>P327*1.514</f>
        <v/>
      </c>
      <c r="U327" s="23">
        <f>P327*1.514+O327*1.067</f>
        <v/>
      </c>
      <c r="W327" t="n">
        <v>2.481</v>
      </c>
      <c r="X327">
        <f>2.478*1.514</f>
        <v/>
      </c>
      <c r="Y327" s="23">
        <f>U327*1.067+V327*1.514</f>
        <v/>
      </c>
      <c r="Z327" s="6" t="n">
        <v>5.07</v>
      </c>
      <c r="AD327" s="5" t="n">
        <v>80</v>
      </c>
      <c r="AI327" s="231" t="n">
        <v>0.78</v>
      </c>
      <c r="AJ327" s="261" t="n">
        <v>0.4782407407407407</v>
      </c>
      <c r="AL327" s="231" t="n">
        <v>175</v>
      </c>
      <c r="AM327" s="3" t="n">
        <v>180</v>
      </c>
      <c r="AP327" s="255">
        <f>360-AK327-AB327</f>
        <v/>
      </c>
      <c r="AR327" s="13">
        <f>AVERAGE(AO325:AO331)</f>
        <v/>
      </c>
      <c r="AT327" s="156">
        <f>(E327-W327)/E327</f>
        <v/>
      </c>
      <c r="AU327" s="155">
        <f>(I327-AF327)/I327</f>
        <v/>
      </c>
      <c r="AV327" s="155">
        <f>AG327/(AD327-AF327)</f>
        <v/>
      </c>
      <c r="AW327" s="155">
        <f>(G327-AM327)/G327</f>
        <v/>
      </c>
      <c r="AX327" s="254">
        <f>IF(AND(ISNUMBER(E327),ISNUMBER(W327)),E327-W327,"")</f>
        <v/>
      </c>
      <c r="AY327" s="254">
        <f>IF(AND(ISNUMBER(I327),ISNUMBER(AF327)),I327-AF327,"")</f>
        <v/>
      </c>
      <c r="AZ327" s="254">
        <f>IF(AND(ISNUMBER(AM327),ISNUMBER(G327)),G327-AM327,"")</f>
        <v/>
      </c>
      <c r="BA327" s="254">
        <f>IF(AND(ISNUMBER(AC327),ISNUMBER(AE327)),AC327-AE327,"")</f>
        <v/>
      </c>
      <c r="BB327" s="254">
        <f>IF(AND(ISNUMBER(AL327),ISNUMBER(AM327)),AL327-AM327,"")</f>
        <v/>
      </c>
      <c r="BC327" s="84">
        <f>IF(AND($E327&gt;0,$W327&gt;0),IF(($E327-$W327)/$E327&gt;0,($E327-$W327)/$E327,0),"")</f>
        <v/>
      </c>
      <c r="BD327" s="84">
        <f>IF(AND($I327&gt;0,$AF327&gt;=0),IF(($I327-$AF327)/$I327&gt;0,($I327-$AF327)/$I327,0),"")</f>
        <v/>
      </c>
      <c r="BE327" s="84">
        <f>IF(AND($AG327&gt;=0,$AD327&gt;=0,$AF327&gt;=0),IF($AG327/($AD327-$AF327)&gt;0,$AG327/($AD327-$AF327),0),"")</f>
        <v/>
      </c>
      <c r="BF327" s="84">
        <f>IF(AND($G327&gt;0,$AM327&gt;0),IF(($G327-$AM327)/$G327&gt;0,($G327-$AM327)/$G327,0),"")</f>
        <v/>
      </c>
      <c r="BG327" s="6">
        <f>IF((AD327-AF327)/(AJ327/60)&lt;=0,"",(AD327-AF327)/(AJ327/60))</f>
        <v/>
      </c>
      <c r="BH327" s="6">
        <f>IF(OR(AJ327=0,AP327=0,NOT(ISNUMBER(AD327)),NOT(ISNUMBER(AF327)),NOT(ISNUMBER(AJ327)),NOT(ISNUMBER(AP327))),"",
IFERROR(IF((AD327-AF327)/(AJ327/60)/(AP327/1000)&lt;=0,"",(AD327-AF327)/(AJ327/60)/(AP327/1000)),""))</f>
        <v/>
      </c>
    </row>
    <row r="328" ht="15.75" customHeight="1">
      <c r="B328" t="n">
        <v>84</v>
      </c>
      <c r="C328" s="12" t="inlineStr">
        <is>
          <t>reocvery</t>
        </is>
      </c>
      <c r="D328" s="11" t="n">
        <v>45588</v>
      </c>
      <c r="E328" s="231" t="n">
        <v>84</v>
      </c>
      <c r="F328" s="3" t="n">
        <v>323</v>
      </c>
      <c r="G328" s="205">
        <f>IF(OR(S328="",S328=0),"",S328*2)</f>
        <v/>
      </c>
      <c r="M328" s="10">
        <f>IF(OR(E328="",G328="",E328=0,G328=0),"",E328/G328)</f>
        <v/>
      </c>
      <c r="N328" s="9">
        <f>IF(OR(E328="",I328="",E328=0,I328=0),"",E328/(I328*2))</f>
        <v/>
      </c>
      <c r="O328" s="8">
        <f>IF(OR(I328="",G328="",I328=0,G328=0),"",I328*2/G328)</f>
        <v/>
      </c>
      <c r="Z328" s="6" t="n">
        <v>3.51</v>
      </c>
      <c r="AD328" s="5" t="n">
        <v>80</v>
      </c>
      <c r="AI328" s="231" t="n">
        <v>1.05</v>
      </c>
      <c r="AJ328" s="261" t="n">
        <v>0.4783564814814815</v>
      </c>
      <c r="AL328" s="231" t="n">
        <v>175</v>
      </c>
      <c r="AM328" s="3" t="n">
        <v>180</v>
      </c>
      <c r="AP328" s="255">
        <f>360-AK328-AB328</f>
        <v/>
      </c>
      <c r="AR328" s="13">
        <f>AVERAGE(AO326:AO332)</f>
        <v/>
      </c>
      <c r="AT328" s="156">
        <f>(E328-W328)/E328</f>
        <v/>
      </c>
      <c r="AU328" s="155">
        <f>(I328-AF328)/I328</f>
        <v/>
      </c>
      <c r="AV328" s="155">
        <f>AG328/(AD328-AF328)</f>
        <v/>
      </c>
      <c r="AW328" s="155">
        <f>(G328-AM328)/G328</f>
        <v/>
      </c>
      <c r="AX328" s="254">
        <f>IF(AND(ISNUMBER(E328),ISNUMBER(W328)),E328-W328,"")</f>
        <v/>
      </c>
      <c r="AY328" s="254">
        <f>IF(AND(ISNUMBER(I328),ISNUMBER(AF328)),I328-AF328,"")</f>
        <v/>
      </c>
      <c r="AZ328" s="254">
        <f>IF(AND(ISNUMBER(AM328),ISNUMBER(G328)),G328-AM328,"")</f>
        <v/>
      </c>
      <c r="BA328" s="254">
        <f>IF(AND(ISNUMBER(AC328),ISNUMBER(AE328)),AC328-AE328,"")</f>
        <v/>
      </c>
      <c r="BB328" s="254">
        <f>IF(AND(ISNUMBER(AL328),ISNUMBER(AM328)),AL328-AM328,"")</f>
        <v/>
      </c>
      <c r="BC328" s="84">
        <f>IF(AND($E328&gt;0,$W328&gt;0),IF(($E328-$W328)/$E328&gt;0,($E328-$W328)/$E328,0),"")</f>
        <v/>
      </c>
      <c r="BD328" s="84">
        <f>IF(AND($I328&gt;0,$AF328&gt;=0),IF(($I328-$AF328)/$I328&gt;0,($I328-$AF328)/$I328,0),"")</f>
        <v/>
      </c>
      <c r="BE328" s="84">
        <f>IF(AND($AG328&gt;=0,$AD328&gt;=0,$AF328&gt;=0),IF($AG328/($AD328-$AF328)&gt;0,$AG328/($AD328-$AF328),0),"")</f>
        <v/>
      </c>
      <c r="BF328" s="84">
        <f>IF(AND($G328&gt;0,$AM328&gt;0),IF(($G328-$AM328)/$G328&gt;0,($G328-$AM328)/$G328,0),"")</f>
        <v/>
      </c>
      <c r="BG328" s="6">
        <f>IF((AD328-AF328)/(AJ328/60)&lt;=0,"",(AD328-AF328)/(AJ328/60))</f>
        <v/>
      </c>
      <c r="BH328" s="6">
        <f>IF(OR(AJ328=0,AP328=0,NOT(ISNUMBER(AD328)),NOT(ISNUMBER(AF328)),NOT(ISNUMBER(AJ328)),NOT(ISNUMBER(AP328))),"",
IFERROR(IF((AD328-AF328)/(AJ328/60)/(AP328/1000)&lt;=0,"",(AD328-AF328)/(AJ328/60)/(AP328/1000)),""))</f>
        <v/>
      </c>
    </row>
    <row r="329" ht="15.75" customHeight="1">
      <c r="B329" t="n">
        <v>85</v>
      </c>
      <c r="C329" s="113" t="inlineStr">
        <is>
          <t>back to original COD</t>
        </is>
      </c>
      <c r="D329" s="11" t="n">
        <v>45589</v>
      </c>
      <c r="E329" s="231" t="n">
        <v>85</v>
      </c>
      <c r="F329" s="3" t="n">
        <v>324</v>
      </c>
      <c r="G329" s="205">
        <f>IF(OR(S329="",S329=0),"",S329*2)</f>
        <v/>
      </c>
      <c r="M329" s="10">
        <f>IF(OR(E329="",G329="",E329=0,G329=0),"",E329/G329)</f>
        <v/>
      </c>
      <c r="N329" s="9">
        <f>IF(OR(E329="",I329="",E329=0,I329=0),"",E329/(I329*2))</f>
        <v/>
      </c>
      <c r="O329" s="8">
        <f>IF(OR(I329="",G329="",I329=0,G329=0),"",I329*2/G329)</f>
        <v/>
      </c>
      <c r="Z329" s="6" t="n">
        <v>0.23</v>
      </c>
      <c r="AD329" s="5" t="n">
        <v>80</v>
      </c>
      <c r="AI329" s="231" t="n">
        <v>1.36</v>
      </c>
      <c r="AJ329" s="261" t="n">
        <v>0.4783564814814815</v>
      </c>
      <c r="AL329" s="231" t="n">
        <v>175</v>
      </c>
      <c r="AM329" s="3" t="n">
        <v>180</v>
      </c>
      <c r="AP329" s="255">
        <f>360-AK329-AB329</f>
        <v/>
      </c>
      <c r="AQ329" s="2" t="n">
        <v>1109.999999999991</v>
      </c>
      <c r="AR329" s="13">
        <f>AVERAGE(AO327:AO333)</f>
        <v/>
      </c>
      <c r="AS329" s="2" t="n">
        <v>36.39344262295106</v>
      </c>
      <c r="AT329" s="156">
        <f>(E329-W329)/E329</f>
        <v/>
      </c>
      <c r="AU329" s="155">
        <f>(I329-AF329)/I329</f>
        <v/>
      </c>
      <c r="AV329" s="155">
        <f>AG329/(AD329-AF329)</f>
        <v/>
      </c>
      <c r="AW329" s="155">
        <f>(G329-AM329)/G329</f>
        <v/>
      </c>
      <c r="AX329" s="254">
        <f>IF(AND(ISNUMBER(E329),ISNUMBER(W329)),E329-W329,"")</f>
        <v/>
      </c>
      <c r="AY329" s="254">
        <f>IF(AND(ISNUMBER(I329),ISNUMBER(AF329)),I329-AF329,"")</f>
        <v/>
      </c>
      <c r="AZ329" s="254">
        <f>IF(AND(ISNUMBER(AM329),ISNUMBER(G329)),G329-AM329,"")</f>
        <v/>
      </c>
      <c r="BA329" s="254">
        <f>IF(AND(ISNUMBER(AC329),ISNUMBER(AE329)),AC329-AE329,"")</f>
        <v/>
      </c>
      <c r="BB329" s="254">
        <f>IF(AND(ISNUMBER(AL329),ISNUMBER(AM329)),AL329-AM329,"")</f>
        <v/>
      </c>
      <c r="BC329" s="84">
        <f>IF(AND($E329&gt;0,$W329&gt;0),IF(($E329-$W329)/$E329&gt;0,($E329-$W329)/$E329,0),"")</f>
        <v/>
      </c>
      <c r="BD329" s="84">
        <f>IF(AND($I329&gt;0,$AF329&gt;=0),IF(($I329-$AF329)/$I329&gt;0,($I329-$AF329)/$I329,0),"")</f>
        <v/>
      </c>
      <c r="BE329" s="84">
        <f>IF(AND($AG329&gt;=0,$AD329&gt;=0,$AF329&gt;=0),IF($AG329/($AD329-$AF329)&gt;0,$AG329/($AD329-$AF329),0),"")</f>
        <v/>
      </c>
      <c r="BF329" s="84">
        <f>IF(AND($G329&gt;0,$AM329&gt;0),IF(($G329-$AM329)/$G329&gt;0,($G329-$AM329)/$G329,0),"")</f>
        <v/>
      </c>
      <c r="BG329" s="6">
        <f>IF((AD329-AF329)/(AJ329/60)&lt;=0,"",(AD329-AF329)/(AJ329/60))</f>
        <v/>
      </c>
      <c r="BH329" s="6">
        <f>IF(OR(AJ329=0,AP329=0,NOT(ISNUMBER(AD329)),NOT(ISNUMBER(AF329)),NOT(ISNUMBER(AJ329)),NOT(ISNUMBER(AP329))),"",
IFERROR(IF((AD329-AF329)/(AJ329/60)/(AP329/1000)&lt;=0,"",(AD329-AF329)/(AJ329/60)/(AP329/1000)),""))</f>
        <v/>
      </c>
    </row>
    <row r="330" ht="15.75" customHeight="1">
      <c r="A330" s="260" t="inlineStr">
        <is>
          <t>B43</t>
        </is>
      </c>
      <c r="B330" s="260" t="n">
        <v>86</v>
      </c>
      <c r="D330" s="11" t="n">
        <v>45590</v>
      </c>
      <c r="E330" s="231" t="n">
        <v>86</v>
      </c>
      <c r="F330" s="3" t="n">
        <v>325</v>
      </c>
      <c r="G330" s="205">
        <f>IF(OR(S330="",S330=0),"",S330*2)</f>
        <v/>
      </c>
      <c r="M330" s="10">
        <f>IF(OR(E330="",G330="",E330=0,G330=0),"",E330/G330)</f>
        <v/>
      </c>
      <c r="N330" s="9">
        <f>IF(OR(E330="",I330="",E330=0,I330=0),"",E330/(I330*2))</f>
        <v/>
      </c>
      <c r="O330" s="8">
        <f>IF(OR(I330="",G330="",I330=0,G330=0),"",I330*2/G330)</f>
        <v/>
      </c>
      <c r="Z330" s="6" t="n">
        <v>0.17</v>
      </c>
      <c r="AD330" s="5" t="n">
        <v>80</v>
      </c>
      <c r="AI330" s="231" t="n">
        <v>0.65</v>
      </c>
      <c r="AJ330" s="261" t="n">
        <v>0.4717592592592593</v>
      </c>
      <c r="AL330" s="231" t="n">
        <v>175</v>
      </c>
      <c r="AM330" s="3" t="n">
        <v>180</v>
      </c>
      <c r="AP330" s="255">
        <f>360-AK330-AB330</f>
        <v/>
      </c>
      <c r="AR330" s="13">
        <f>AVERAGE(AO328:AO334)</f>
        <v/>
      </c>
      <c r="AT330" s="156">
        <f>(E330-W330)/E330</f>
        <v/>
      </c>
      <c r="AU330" s="155">
        <f>(I330-AF330)/I330</f>
        <v/>
      </c>
      <c r="AV330" s="155">
        <f>AG330/(AD330-AF330)</f>
        <v/>
      </c>
      <c r="AW330" s="155">
        <f>(G330-AM330)/G330</f>
        <v/>
      </c>
      <c r="AX330" s="254">
        <f>IF(AND(ISNUMBER(E330),ISNUMBER(W330)),E330-W330,"")</f>
        <v/>
      </c>
      <c r="AY330" s="254">
        <f>IF(AND(ISNUMBER(I330),ISNUMBER(AF330)),I330-AF330,"")</f>
        <v/>
      </c>
      <c r="AZ330" s="254">
        <f>IF(AND(ISNUMBER(AM330),ISNUMBER(G330)),G330-AM330,"")</f>
        <v/>
      </c>
      <c r="BA330" s="254">
        <f>IF(AND(ISNUMBER(AC330),ISNUMBER(AE330)),AC330-AE330,"")</f>
        <v/>
      </c>
      <c r="BB330" s="254">
        <f>IF(AND(ISNUMBER(AL330),ISNUMBER(AM330)),AL330-AM330,"")</f>
        <v/>
      </c>
      <c r="BC330" s="84">
        <f>IF(AND($E330&gt;0,$W330&gt;0),IF(($E330-$W330)/$E330&gt;0,($E330-$W330)/$E330,0),"")</f>
        <v/>
      </c>
      <c r="BD330" s="84">
        <f>IF(AND($I330&gt;0,$AF330&gt;=0),IF(($I330-$AF330)/$I330&gt;0,($I330-$AF330)/$I330,0),"")</f>
        <v/>
      </c>
      <c r="BE330" s="84">
        <f>IF(AND($AG330&gt;=0,$AD330&gt;=0,$AF330&gt;=0),IF($AG330/($AD330-$AF330)&gt;0,$AG330/($AD330-$AF330),0),"")</f>
        <v/>
      </c>
      <c r="BF330" s="84">
        <f>IF(AND($G330&gt;0,$AM330&gt;0),IF(($G330-$AM330)/$G330&gt;0,($G330-$AM330)/$G330,0),"")</f>
        <v/>
      </c>
      <c r="BG330" s="6">
        <f>IF((AD330-AF330)/(AJ330/60)&lt;=0,"",(AD330-AF330)/(AJ330/60))</f>
        <v/>
      </c>
      <c r="BH330" s="6">
        <f>IF(OR(AJ330=0,AP330=0,NOT(ISNUMBER(AD330)),NOT(ISNUMBER(AF330)),NOT(ISNUMBER(AJ330)),NOT(ISNUMBER(AP330))),"",
IFERROR(IF((AD330-AF330)/(AJ330/60)/(AP330/1000)&lt;=0,"",(AD330-AF330)/(AJ330/60)/(AP330/1000)),""))</f>
        <v/>
      </c>
    </row>
    <row r="331" ht="15.75" customHeight="1">
      <c r="B331" t="n">
        <v>87</v>
      </c>
      <c r="D331" s="11" t="n">
        <v>45591</v>
      </c>
      <c r="E331" s="231" t="n">
        <v>87</v>
      </c>
      <c r="F331" s="3" t="n">
        <v>326</v>
      </c>
      <c r="G331" s="205">
        <f>IF(OR(S331="",S331=0),"",S331*2)</f>
        <v/>
      </c>
      <c r="M331" s="10">
        <f>IF(OR(E331="",G331="",E331=0,G331=0),"",E331/G331)</f>
        <v/>
      </c>
      <c r="N331" s="9">
        <f>IF(OR(E331="",I331="",E331=0,I331=0),"",E331/(I331*2))</f>
        <v/>
      </c>
      <c r="O331" s="8">
        <f>IF(OR(I331="",G331="",I331=0,G331=0),"",I331*2/G331)</f>
        <v/>
      </c>
      <c r="Z331" s="6" t="n">
        <v>0.73</v>
      </c>
      <c r="AD331" s="5" t="n">
        <v>80</v>
      </c>
      <c r="AI331" s="231" t="n">
        <v>2.2</v>
      </c>
      <c r="AJ331" s="261" t="n">
        <v>0.4788194444444445</v>
      </c>
      <c r="AL331" s="231" t="n">
        <v>175</v>
      </c>
      <c r="AM331" s="3" t="n">
        <v>180</v>
      </c>
      <c r="AP331" s="255">
        <f>360-AK331-AB331</f>
        <v/>
      </c>
      <c r="AR331" s="13">
        <f>AVERAGE(AO329:AO335)</f>
        <v/>
      </c>
      <c r="AT331" s="156">
        <f>(E331-W331)/E331</f>
        <v/>
      </c>
      <c r="AU331" s="155">
        <f>(I331-AF331)/I331</f>
        <v/>
      </c>
      <c r="AV331" s="155">
        <f>AG331/(AD331-AF331)</f>
        <v/>
      </c>
      <c r="AW331" s="155">
        <f>(G331-AM331)/G331</f>
        <v/>
      </c>
      <c r="AX331" s="254">
        <f>IF(AND(ISNUMBER(E331),ISNUMBER(W331)),E331-W331,"")</f>
        <v/>
      </c>
      <c r="AY331" s="254">
        <f>IF(AND(ISNUMBER(I331),ISNUMBER(AF331)),I331-AF331,"")</f>
        <v/>
      </c>
      <c r="AZ331" s="254">
        <f>IF(AND(ISNUMBER(AM331),ISNUMBER(G331)),G331-AM331,"")</f>
        <v/>
      </c>
      <c r="BA331" s="254">
        <f>IF(AND(ISNUMBER(AC331),ISNUMBER(AE331)),AC331-AE331,"")</f>
        <v/>
      </c>
      <c r="BB331" s="254">
        <f>IF(AND(ISNUMBER(AL331),ISNUMBER(AM331)),AL331-AM331,"")</f>
        <v/>
      </c>
      <c r="BC331" s="84">
        <f>IF(AND($E331&gt;0,$W331&gt;0),IF(($E331-$W331)/$E331&gt;0,($E331-$W331)/$E331,0),"")</f>
        <v/>
      </c>
      <c r="BD331" s="84">
        <f>IF(AND($I331&gt;0,$AF331&gt;=0),IF(($I331-$AF331)/$I331&gt;0,($I331-$AF331)/$I331,0),"")</f>
        <v/>
      </c>
      <c r="BE331" s="84">
        <f>IF(AND($AG331&gt;=0,$AD331&gt;=0,$AF331&gt;=0),IF($AG331/($AD331-$AF331)&gt;0,$AG331/($AD331-$AF331),0),"")</f>
        <v/>
      </c>
      <c r="BF331" s="84">
        <f>IF(AND($G331&gt;0,$AM331&gt;0),IF(($G331-$AM331)/$G331&gt;0,($G331-$AM331)/$G331,0),"")</f>
        <v/>
      </c>
      <c r="BG331" s="6">
        <f>IF((AD331-AF331)/(AJ331/60)&lt;=0,"",(AD331-AF331)/(AJ331/60))</f>
        <v/>
      </c>
      <c r="BH331" s="6">
        <f>IF(OR(AJ331=0,AP331=0,NOT(ISNUMBER(AD331)),NOT(ISNUMBER(AF331)),NOT(ISNUMBER(AJ331)),NOT(ISNUMBER(AP331))),"",
IFERROR(IF((AD331-AF331)/(AJ331/60)/(AP331/1000)&lt;=0,"",(AD331-AF331)/(AJ331/60)/(AP331/1000)),""))</f>
        <v/>
      </c>
    </row>
    <row r="332" ht="15.75" customHeight="1">
      <c r="B332" t="n">
        <v>88</v>
      </c>
      <c r="D332" s="11" t="n">
        <v>45592</v>
      </c>
      <c r="E332" s="231" t="n">
        <v>88</v>
      </c>
      <c r="F332" s="3" t="n">
        <v>327</v>
      </c>
      <c r="G332" s="205">
        <f>IF(OR(S332="",S332=0),"",S332*2)</f>
        <v/>
      </c>
      <c r="M332" s="10">
        <f>IF(OR(E332="",G332="",E332=0,G332=0),"",E332/G332)</f>
        <v/>
      </c>
      <c r="N332" s="9">
        <f>IF(OR(E332="",I332="",E332=0,I332=0),"",E332/(I332*2))</f>
        <v/>
      </c>
      <c r="O332" s="8">
        <f>IF(OR(I332="",G332="",I332=0,G332=0),"",I332*2/G332)</f>
        <v/>
      </c>
      <c r="Z332" s="6" t="n">
        <v>0.16</v>
      </c>
      <c r="AD332" s="5" t="n">
        <v>80</v>
      </c>
      <c r="AI332" s="231" t="n">
        <v>3.19</v>
      </c>
      <c r="AJ332" s="261" t="n">
        <v>0.4790509259259259</v>
      </c>
      <c r="AL332" s="231" t="n">
        <v>175</v>
      </c>
      <c r="AM332" s="3" t="n">
        <v>180</v>
      </c>
      <c r="AP332" s="255">
        <f>360-AK332-AB332</f>
        <v/>
      </c>
      <c r="AR332" s="13">
        <f>AVERAGE(AO330:AO336)</f>
        <v/>
      </c>
      <c r="AT332" s="156">
        <f>(E332-W332)/E332</f>
        <v/>
      </c>
      <c r="AU332" s="155">
        <f>(I332-AF332)/I332</f>
        <v/>
      </c>
      <c r="AV332" s="155">
        <f>AG332/(AD332-AF332)</f>
        <v/>
      </c>
      <c r="AW332" s="155">
        <f>(G332-AM332)/G332</f>
        <v/>
      </c>
      <c r="AX332" s="254">
        <f>IF(AND(ISNUMBER(E332),ISNUMBER(W332)),E332-W332,"")</f>
        <v/>
      </c>
      <c r="AY332" s="254">
        <f>IF(AND(ISNUMBER(I332),ISNUMBER(AF332)),I332-AF332,"")</f>
        <v/>
      </c>
      <c r="AZ332" s="254">
        <f>IF(AND(ISNUMBER(AM332),ISNUMBER(G332)),G332-AM332,"")</f>
        <v/>
      </c>
      <c r="BA332" s="254">
        <f>IF(AND(ISNUMBER(AC332),ISNUMBER(AE332)),AC332-AE332,"")</f>
        <v/>
      </c>
      <c r="BB332" s="254">
        <f>IF(AND(ISNUMBER(AL332),ISNUMBER(AM332)),AL332-AM332,"")</f>
        <v/>
      </c>
      <c r="BC332" s="84">
        <f>IF(AND($E332&gt;0,$W332&gt;0),IF(($E332-$W332)/$E332&gt;0,($E332-$W332)/$E332,0),"")</f>
        <v/>
      </c>
      <c r="BD332" s="84">
        <f>IF(AND($I332&gt;0,$AF332&gt;=0),IF(($I332-$AF332)/$I332&gt;0,($I332-$AF332)/$I332,0),"")</f>
        <v/>
      </c>
      <c r="BE332" s="84">
        <f>IF(AND($AG332&gt;=0,$AD332&gt;=0,$AF332&gt;=0),IF($AG332/($AD332-$AF332)&gt;0,$AG332/($AD332-$AF332),0),"")</f>
        <v/>
      </c>
      <c r="BF332" s="84">
        <f>IF(AND($G332&gt;0,$AM332&gt;0),IF(($G332-$AM332)/$G332&gt;0,($G332-$AM332)/$G332,0),"")</f>
        <v/>
      </c>
      <c r="BG332" s="6">
        <f>IF((AD332-AF332)/(AJ332/60)&lt;=0,"",(AD332-AF332)/(AJ332/60))</f>
        <v/>
      </c>
      <c r="BH332" s="6">
        <f>IF(OR(AJ332=0,AP332=0,NOT(ISNUMBER(AD332)),NOT(ISNUMBER(AF332)),NOT(ISNUMBER(AJ332)),NOT(ISNUMBER(AP332))),"",
IFERROR(IF((AD332-AF332)/(AJ332/60)/(AP332/1000)&lt;=0,"",(AD332-AF332)/(AJ332/60)/(AP332/1000)),""))</f>
        <v/>
      </c>
    </row>
    <row r="333" ht="15.75" customHeight="1">
      <c r="B333" t="n">
        <v>89</v>
      </c>
      <c r="D333" s="94" t="n">
        <v>45593</v>
      </c>
      <c r="E333" s="231" t="n">
        <v>89</v>
      </c>
      <c r="F333" s="3" t="n">
        <v>328</v>
      </c>
      <c r="G333" s="205">
        <f>IF(OR(S333="",S333=0),"",S333*2)</f>
        <v/>
      </c>
      <c r="I333" s="15">
        <f>(N333*18-H333*18)/9</f>
        <v/>
      </c>
      <c r="J333" s="9" t="n">
        <v>5.52</v>
      </c>
      <c r="K333" s="15">
        <f>AD333</f>
        <v/>
      </c>
      <c r="M333" s="10">
        <f>IF(OR(E333="",G333="",E333=0,G333=0),"",E333/G333)</f>
        <v/>
      </c>
      <c r="N333" s="9">
        <f>IF(OR(E333="",I333="",E333=0,I333=0),"",E333/(I333*2))</f>
        <v/>
      </c>
      <c r="O333" s="8">
        <f>IF(OR(I333="",G333="",I333=0,G333=0),"",I333*2/G333)</f>
        <v/>
      </c>
      <c r="P333" s="7" t="n">
        <v>11.4</v>
      </c>
      <c r="Q333" t="n">
        <v>74.18000000000001</v>
      </c>
      <c r="R333" t="n">
        <v>24.775</v>
      </c>
      <c r="S333" s="6">
        <f>O333*1.067</f>
        <v/>
      </c>
      <c r="T333" s="6">
        <f>P333*1.514</f>
        <v/>
      </c>
      <c r="U333" s="23">
        <f>P333*1.514+O333*1.067</f>
        <v/>
      </c>
      <c r="V333" s="6" t="n">
        <v>21.1</v>
      </c>
      <c r="W333" s="6" t="n">
        <v>0</v>
      </c>
      <c r="X333" t="n">
        <v>0</v>
      </c>
      <c r="Y333" s="23">
        <f>U333*1.067+V333*1.514</f>
        <v/>
      </c>
      <c r="Z333" s="6" t="n">
        <v>1.39</v>
      </c>
      <c r="AD333" s="5" t="n">
        <v>80</v>
      </c>
      <c r="AE333" s="7">
        <f>T333</f>
        <v/>
      </c>
      <c r="AF333" s="231">
        <f>5*4.9</f>
        <v/>
      </c>
      <c r="AG333" s="231" t="n">
        <v>12.1</v>
      </c>
      <c r="AH333" s="231">
        <f>2*4.63</f>
        <v/>
      </c>
      <c r="AI333" s="231" t="n">
        <v>3.57</v>
      </c>
      <c r="AJ333" s="261" t="n">
        <v>0.4791666666666667</v>
      </c>
      <c r="AL333" s="231" t="n">
        <v>175</v>
      </c>
      <c r="AM333" s="3" t="n">
        <v>180</v>
      </c>
      <c r="AN333" s="4">
        <f>AE333</f>
        <v/>
      </c>
      <c r="AO333" s="231">
        <f>9.18</f>
        <v/>
      </c>
      <c r="AP333" s="255">
        <f>360-AK333-AB333</f>
        <v/>
      </c>
      <c r="AR333" s="13">
        <f>AVERAGE(AO331:AO337)</f>
        <v/>
      </c>
      <c r="AT333" s="156">
        <f>(E333-W333)/E333</f>
        <v/>
      </c>
      <c r="AU333" s="155">
        <f>(I333-AF333)/I333</f>
        <v/>
      </c>
      <c r="AV333" s="155">
        <f>AG333/(AD333-AF333)</f>
        <v/>
      </c>
      <c r="AW333" s="155">
        <f>(G333-AM333)/G333</f>
        <v/>
      </c>
      <c r="AX333" s="254">
        <f>IF(AND(ISNUMBER(E333),ISNUMBER(W333)),E333-W333,"")</f>
        <v/>
      </c>
      <c r="AY333" s="254">
        <f>IF(AND(ISNUMBER(I333),ISNUMBER(AF333)),I333-AF333,"")</f>
        <v/>
      </c>
      <c r="AZ333" s="254">
        <f>IF(AND(ISNUMBER(AM333),ISNUMBER(G333)),G333-AM333,"")</f>
        <v/>
      </c>
      <c r="BA333" s="254">
        <f>IF(AND(ISNUMBER(AC333),ISNUMBER(AE333)),AC333-AE333,"")</f>
        <v/>
      </c>
      <c r="BB333" s="254">
        <f>IF(AND(ISNUMBER(AL333),ISNUMBER(AM333)),AL333-AM333,"")</f>
        <v/>
      </c>
      <c r="BC333" s="60">
        <f>IF(AND($E333&gt;0,$W333&gt;0),IF(($E333-$W333)/$E333&gt;0,($E333-$W333)/$E333,0),"")</f>
        <v/>
      </c>
      <c r="BD333" s="60">
        <f>IF(AND($I333&gt;0,$AF333&gt;=0),IF(($I333-$AF333)/$I333&gt;0,($I333-$AF333)/$I333,0),"")</f>
        <v/>
      </c>
      <c r="BE333" s="60">
        <f>IF(AND($AG333&gt;=0,$AD333&gt;=0,$AF333&gt;=0),IF($AG333/($AD333-$AF333)&gt;0,$AG333/($AD333-$AF333),0),"")</f>
        <v/>
      </c>
      <c r="BF333" s="60">
        <f>IF(AND($G333&gt;0,$AM333&gt;0),IF(($G333-$AM333)/$G333&gt;0,($G333-$AM333)/$G333,0),"")</f>
        <v/>
      </c>
      <c r="BG333" s="6">
        <f>IF((AD333-AF333)/(AJ333/60)&lt;=0,"",(AD333-AF333)/(AJ333/60))</f>
        <v/>
      </c>
      <c r="BH333" s="6">
        <f>IF(OR(AJ333=0,AP333=0,NOT(ISNUMBER(AD333)),NOT(ISNUMBER(AF333)),NOT(ISNUMBER(AJ333)),NOT(ISNUMBER(AP333))),"",
IFERROR(IF((AD333-AF333)/(AJ333/60)/(AP333/1000)&lt;=0,"",(AD333-AF333)/(AJ333/60)/(AP333/1000)),""))</f>
        <v/>
      </c>
    </row>
    <row r="334" ht="15.75" customHeight="1">
      <c r="B334" t="n">
        <v>90</v>
      </c>
      <c r="D334" s="94" t="n">
        <v>45594</v>
      </c>
      <c r="E334" s="231" t="n">
        <v>90</v>
      </c>
      <c r="F334" s="3" t="n">
        <v>329</v>
      </c>
      <c r="G334" s="205">
        <f>IF(OR(S334="",S334=0),"",S334*2)</f>
        <v/>
      </c>
      <c r="K334" s="41" t="n">
        <v>22</v>
      </c>
      <c r="M334" s="10">
        <f>IF(OR(E334="",G334="",E334=0,G334=0),"",E334/G334)</f>
        <v/>
      </c>
      <c r="N334" s="9">
        <f>IF(OR(E334="",I334="",E334=0,I334=0),"",E334/(I334*2))</f>
        <v/>
      </c>
      <c r="O334" s="8">
        <f>IF(OR(I334="",G334="",I334=0,G334=0),"",I334*2/G334)</f>
        <v/>
      </c>
      <c r="Z334" s="6" t="n">
        <v>0.18</v>
      </c>
      <c r="AD334" s="5" t="n">
        <v>80</v>
      </c>
      <c r="AI334" s="231" t="n">
        <v>0.04</v>
      </c>
      <c r="AJ334" s="261" t="n">
        <v>0.3943287037037037</v>
      </c>
      <c r="AL334" s="231" t="n">
        <v>175</v>
      </c>
      <c r="AM334" s="3" t="n">
        <v>180</v>
      </c>
      <c r="AP334" s="255">
        <f>360-AK334-AB334</f>
        <v/>
      </c>
      <c r="AQ334" s="2" t="n">
        <v>1850.000000000045</v>
      </c>
      <c r="AR334" s="13">
        <f>AVERAGE(AO332:AO338)</f>
        <v/>
      </c>
      <c r="AT334" s="156">
        <f>(E334-W334)/E334</f>
        <v/>
      </c>
      <c r="AU334" s="155">
        <f>(I334-AF334)/I334</f>
        <v/>
      </c>
      <c r="AV334" s="155">
        <f>AG334/(AD334-AF334)</f>
        <v/>
      </c>
      <c r="AW334" s="155">
        <f>(G334-AM334)/G334</f>
        <v/>
      </c>
      <c r="AX334" s="254">
        <f>IF(AND(ISNUMBER(E334),ISNUMBER(W334)),E334-W334,"")</f>
        <v/>
      </c>
      <c r="AY334" s="254">
        <f>IF(AND(ISNUMBER(I334),ISNUMBER(AF334)),I334-AF334,"")</f>
        <v/>
      </c>
      <c r="AZ334" s="254">
        <f>IF(AND(ISNUMBER(AM334),ISNUMBER(G334)),G334-AM334,"")</f>
        <v/>
      </c>
      <c r="BA334" s="254">
        <f>IF(AND(ISNUMBER(AC334),ISNUMBER(AE334)),AC334-AE334,"")</f>
        <v/>
      </c>
      <c r="BB334" s="254">
        <f>IF(AND(ISNUMBER(AL334),ISNUMBER(AM334)),AL334-AM334,"")</f>
        <v/>
      </c>
      <c r="BC334" s="60">
        <f>IF(AND($E334&gt;0,$W334&gt;0),IF(($E334-$W334)/$E334&gt;0,($E334-$W334)/$E334,0),"")</f>
        <v/>
      </c>
      <c r="BD334" s="60">
        <f>IF(AND($I334&gt;0,$AF334&gt;=0),IF(($I334-$AF334)/$I334&gt;0,($I334-$AF334)/$I334,0),"")</f>
        <v/>
      </c>
      <c r="BE334" s="60" t="n"/>
      <c r="BF334" s="60">
        <f>IF(AND($G334&gt;0,$AM334&gt;0),IF(($G334-$AM334)/$G334&gt;0,($G334-$AM334)/$G334,0),"")</f>
        <v/>
      </c>
      <c r="BG334" s="6">
        <f>IF((AD334-AF334)/(AJ334/60)&lt;=0,"",(AD334-AF334)/(AJ334/60))</f>
        <v/>
      </c>
      <c r="BH334" s="6">
        <f>IF(OR(AJ334=0,AP334=0,NOT(ISNUMBER(AD334)),NOT(ISNUMBER(AF334)),NOT(ISNUMBER(AJ334)),NOT(ISNUMBER(AP334))),"",
IFERROR(IF((AD334-AF334)/(AJ334/60)/(AP334/1000)&lt;=0,"",(AD334-AF334)/(AJ334/60)/(AP334/1000)),""))</f>
        <v/>
      </c>
    </row>
    <row r="335" ht="15.75" customHeight="1">
      <c r="B335" t="n">
        <v>91</v>
      </c>
      <c r="D335" s="94" t="n">
        <v>45595</v>
      </c>
      <c r="E335" s="231" t="n">
        <v>91</v>
      </c>
      <c r="F335" s="3" t="n">
        <v>330</v>
      </c>
      <c r="G335" s="205">
        <f>IF(OR(S335="",S335=0),"",S335*2)</f>
        <v/>
      </c>
      <c r="I335" s="9">
        <f>61/78*14</f>
        <v/>
      </c>
      <c r="K335" s="15">
        <f>AD335</f>
        <v/>
      </c>
      <c r="M335" s="10">
        <f>IF(OR(E335="",G335="",E335=0,G335=0),"",E335/G335)</f>
        <v/>
      </c>
      <c r="N335" s="9">
        <f>IF(OR(E335="",I335="",E335=0,I335=0),"",E335/(I335*2))</f>
        <v/>
      </c>
      <c r="O335" s="8">
        <f>IF(OR(I335="",G335="",I335=0,G335=0),"",I335*2/G335)</f>
        <v/>
      </c>
      <c r="V335" s="6" t="n">
        <v>17.7</v>
      </c>
      <c r="Z335" s="6" t="n">
        <v>0.82</v>
      </c>
      <c r="AD335" s="5" t="n">
        <v>80</v>
      </c>
      <c r="AE335" s="7">
        <f>T335</f>
        <v/>
      </c>
      <c r="AF335" s="231">
        <f>5*3.96</f>
        <v/>
      </c>
      <c r="AG335" s="231" t="n">
        <v>6.83</v>
      </c>
      <c r="AH335" s="231">
        <f>2*2.38</f>
        <v/>
      </c>
      <c r="AI335" s="231" t="n">
        <v>2.42</v>
      </c>
      <c r="AJ335" s="261" t="n">
        <v>0.4753472222222222</v>
      </c>
      <c r="AL335" s="231" t="n">
        <v>175</v>
      </c>
      <c r="AM335" s="3" t="n">
        <v>180</v>
      </c>
      <c r="AN335" s="4">
        <f>AE335</f>
        <v/>
      </c>
      <c r="AO335" s="231">
        <f>3.4</f>
        <v/>
      </c>
      <c r="AP335" s="255">
        <f>360-AK335-AB335</f>
        <v/>
      </c>
      <c r="AR335" s="13">
        <f>AVERAGE(AO333:AO339)</f>
        <v/>
      </c>
      <c r="AT335" s="156">
        <f>(E335-W335)/E335</f>
        <v/>
      </c>
      <c r="AU335" s="155">
        <f>(I335-AF335)/I335</f>
        <v/>
      </c>
      <c r="AV335" s="155">
        <f>AG335/(AD335-AF335)</f>
        <v/>
      </c>
      <c r="AW335" s="155">
        <f>(G335-AM335)/G335</f>
        <v/>
      </c>
      <c r="AX335" s="254">
        <f>IF(AND(ISNUMBER(E335),ISNUMBER(W335)),E335-W335,"")</f>
        <v/>
      </c>
      <c r="AY335" s="254">
        <f>IF(AND(ISNUMBER(I335),ISNUMBER(AF335)),I335-AF335,"")</f>
        <v/>
      </c>
      <c r="AZ335" s="254">
        <f>IF(AND(ISNUMBER(AM335),ISNUMBER(G335)),G335-AM335,"")</f>
        <v/>
      </c>
      <c r="BA335" s="254">
        <f>IF(AND(ISNUMBER(AC335),ISNUMBER(AE335)),AC335-AE335,"")</f>
        <v/>
      </c>
      <c r="BB335" s="254">
        <f>IF(AND(ISNUMBER(AL335),ISNUMBER(AM335)),AL335-AM335,"")</f>
        <v/>
      </c>
      <c r="BC335" s="60">
        <f>IF(AND($E335&gt;0,$W335&gt;0),IF(($E335-$W335)/$E335&gt;0,($E335-$W335)/$E335,0),"")</f>
        <v/>
      </c>
      <c r="BD335" s="60">
        <f>IF(AND($I335&gt;0,$AF335&gt;=0),IF(($I335-$AF335)/$I335&gt;0,($I335-$AF335)/$I335,0),"")</f>
        <v/>
      </c>
      <c r="BE335" s="60">
        <f>IF(AND($AG335&gt;=0,$AD335&gt;=0,$AF335&gt;=0),IF($AG335/($AD335-$AF335)&gt;0,$AG335/($AD335-$AF335),0),"")</f>
        <v/>
      </c>
      <c r="BF335" s="60">
        <f>IF(AND($G335&gt;0,$AM335&gt;0),IF(($G335-$AM335)/$G335&gt;0,($G335-$AM335)/$G335,0),"")</f>
        <v/>
      </c>
      <c r="BG335" s="6">
        <f>IF((AD335-AF335)/(AJ335/60)&lt;=0,"",(AD335-AF335)/(AJ335/60))</f>
        <v/>
      </c>
      <c r="BH335" s="6">
        <f>IF(OR(AJ335=0,AP335=0,NOT(ISNUMBER(AD335)),NOT(ISNUMBER(AF335)),NOT(ISNUMBER(AJ335)),NOT(ISNUMBER(AP335))),"",
IFERROR(IF((AD335-AF335)/(AJ335/60)/(AP335/1000)&lt;=0,"",(AD335-AF335)/(AJ335/60)/(AP335/1000)),""))</f>
        <v/>
      </c>
    </row>
    <row r="336" ht="15.75" customHeight="1">
      <c r="A336" s="260" t="inlineStr">
        <is>
          <t>B44</t>
        </is>
      </c>
      <c r="B336" s="260" t="n">
        <v>92</v>
      </c>
      <c r="C336" s="12" t="inlineStr">
        <is>
          <t>ace-ano</t>
        </is>
      </c>
      <c r="D336" s="94" t="n">
        <v>45596</v>
      </c>
      <c r="E336" s="231" t="n">
        <v>92</v>
      </c>
      <c r="F336" s="3" t="n">
        <v>331</v>
      </c>
      <c r="G336" s="205">
        <f>IF(OR(S336="",S336=0),"",S336*2)</f>
        <v/>
      </c>
      <c r="M336" s="10">
        <f>IF(OR(E336="",G336="",E336=0,G336=0),"",E336/G336)</f>
        <v/>
      </c>
      <c r="N336" s="9">
        <f>IF(OR(E336="",I336="",E336=0,I336=0),"",E336/(I336*2))</f>
        <v/>
      </c>
      <c r="O336" s="8">
        <f>IF(OR(I336="",G336="",I336=0,G336=0),"",I336*2/G336)</f>
        <v/>
      </c>
      <c r="Z336" s="6" t="n">
        <v>0.65</v>
      </c>
      <c r="AD336" s="5" t="n">
        <v>80</v>
      </c>
      <c r="AI336" s="231" t="n">
        <v>3.03</v>
      </c>
      <c r="AJ336" s="261" t="n">
        <v>0.4787037037037037</v>
      </c>
      <c r="AL336" s="231" t="n">
        <v>175</v>
      </c>
      <c r="AM336" s="3" t="n">
        <v>180</v>
      </c>
      <c r="AP336" s="255">
        <f>360-AK336-AB336</f>
        <v/>
      </c>
      <c r="AQ336" s="2" t="n">
        <v>1539.999999999964</v>
      </c>
      <c r="AR336" s="13">
        <f>AVERAGE(AO334:AO340)</f>
        <v/>
      </c>
      <c r="AT336" s="156">
        <f>(E336-W336)/E336</f>
        <v/>
      </c>
      <c r="AU336" s="155">
        <f>(I336-AF336)/I336</f>
        <v/>
      </c>
      <c r="AV336" s="155">
        <f>AG336/(AD336-AF336)</f>
        <v/>
      </c>
      <c r="AW336" s="155">
        <f>(G336-AM336)/G336</f>
        <v/>
      </c>
      <c r="AX336" s="254">
        <f>IF(AND(ISNUMBER(E336),ISNUMBER(W336)),E336-W336,"")</f>
        <v/>
      </c>
      <c r="AY336" s="254">
        <f>IF(AND(ISNUMBER(I336),ISNUMBER(AF336)),I336-AF336,"")</f>
        <v/>
      </c>
      <c r="AZ336" s="254">
        <f>IF(AND(ISNUMBER(AM336),ISNUMBER(G336)),G336-AM336,"")</f>
        <v/>
      </c>
      <c r="BA336" s="254">
        <f>IF(AND(ISNUMBER(AC336),ISNUMBER(AE336)),AC336-AE336,"")</f>
        <v/>
      </c>
      <c r="BB336" s="254">
        <f>IF(AND(ISNUMBER(AL336),ISNUMBER(AM336)),AL336-AM336,"")</f>
        <v/>
      </c>
      <c r="BC336" s="60">
        <f>IF(AND($E336&gt;0,$W336&gt;0),IF(($E336-$W336)/$E336&gt;0,($E336-$W336)/$E336,0),"")</f>
        <v/>
      </c>
      <c r="BD336" s="60">
        <f>IF(AND($I336&gt;0,$AF336&gt;=0),IF(($I336-$AF336)/$I336&gt;0,($I336-$AF336)/$I336,0),"")</f>
        <v/>
      </c>
      <c r="BE336" s="60" t="n"/>
      <c r="BF336" s="60">
        <f>IF(AND($G336&gt;0,$AM336&gt;0),IF(($G336-$AM336)/$G336&gt;0,($G336-$AM336)/$G336,0),"")</f>
        <v/>
      </c>
      <c r="BG336" s="6">
        <f>IF((AD336-AF336)/(AJ336/60)&lt;=0,"",(AD336-AF336)/(AJ336/60))</f>
        <v/>
      </c>
      <c r="BH336" s="6">
        <f>IF(OR(AJ336=0,AP336=0,NOT(ISNUMBER(AD336)),NOT(ISNUMBER(AF336)),NOT(ISNUMBER(AJ336)),NOT(ISNUMBER(AP336))),"",
IFERROR(IF((AD336-AF336)/(AJ336/60)/(AP336/1000)&lt;=0,"",(AD336-AF336)/(AJ336/60)/(AP336/1000)),""))</f>
        <v/>
      </c>
    </row>
    <row r="337" ht="15.75" customHeight="1">
      <c r="B337" t="n">
        <v>93</v>
      </c>
      <c r="C337" s="12" t="inlineStr">
        <is>
          <t>ace-ano</t>
        </is>
      </c>
      <c r="D337" s="94" t="n">
        <v>45597</v>
      </c>
      <c r="E337" s="231" t="n">
        <v>93</v>
      </c>
      <c r="F337" s="3" t="n">
        <v>332</v>
      </c>
      <c r="G337" s="205">
        <f>IF(OR(S337="",S337=0),"",S337*2)</f>
        <v/>
      </c>
      <c r="M337" s="10">
        <f>IF(OR(E337="",G337="",E337=0,G337=0),"",E337/G337)</f>
        <v/>
      </c>
      <c r="N337" s="9">
        <f>IF(OR(E337="",I337="",E337=0,I337=0),"",E337/(I337*2))</f>
        <v/>
      </c>
      <c r="O337" s="8">
        <f>IF(OR(I337="",G337="",I337=0,G337=0),"",I337*2/G337)</f>
        <v/>
      </c>
      <c r="Z337" s="6" t="n">
        <v>1.4</v>
      </c>
      <c r="AD337" s="5" t="n">
        <v>80</v>
      </c>
      <c r="AI337" s="231" t="n">
        <v>4.46</v>
      </c>
      <c r="AJ337" s="261" t="n">
        <v>0.4790509259259259</v>
      </c>
      <c r="AL337" s="231" t="n">
        <v>175</v>
      </c>
      <c r="AM337" s="3" t="n">
        <v>180</v>
      </c>
      <c r="AP337" s="255">
        <f>360-AK337-AB337</f>
        <v/>
      </c>
      <c r="AQ337" s="2" t="n">
        <v>1690.000000000055</v>
      </c>
      <c r="AR337" s="13">
        <f>AVERAGE(AO335:AO341)</f>
        <v/>
      </c>
      <c r="AT337" s="156">
        <f>(E337-W337)/E337</f>
        <v/>
      </c>
      <c r="AU337" s="155">
        <f>(I337-AF337)/I337</f>
        <v/>
      </c>
      <c r="AV337" s="155">
        <f>AG337/(AD337-AF337)</f>
        <v/>
      </c>
      <c r="AW337" s="155">
        <f>(G337-AM337)/G337</f>
        <v/>
      </c>
      <c r="AX337" s="254">
        <f>IF(AND(ISNUMBER(E337),ISNUMBER(W337)),E337-W337,"")</f>
        <v/>
      </c>
      <c r="AY337" s="254">
        <f>IF(AND(ISNUMBER(I337),ISNUMBER(AF337)),I337-AF337,"")</f>
        <v/>
      </c>
      <c r="AZ337" s="254">
        <f>IF(AND(ISNUMBER(AM337),ISNUMBER(G337)),G337-AM337,"")</f>
        <v/>
      </c>
      <c r="BA337" s="254">
        <f>IF(AND(ISNUMBER(AC337),ISNUMBER(AE337)),AC337-AE337,"")</f>
        <v/>
      </c>
      <c r="BB337" s="254">
        <f>IF(AND(ISNUMBER(AL337),ISNUMBER(AM337)),AL337-AM337,"")</f>
        <v/>
      </c>
      <c r="BC337" s="60">
        <f>IF(AND($E337&gt;0,$W337&gt;0),IF(($E337-$W337)/$E337&gt;0,($E337-$W337)/$E337,0),"")</f>
        <v/>
      </c>
      <c r="BD337" s="60">
        <f>IF(AND($I337&gt;0,$AF337&gt;=0),IF(($I337-$AF337)/$I337&gt;0,($I337-$AF337)/$I337,0),"")</f>
        <v/>
      </c>
      <c r="BE337" s="60" t="n"/>
      <c r="BF337" s="60">
        <f>IF(AND($G337&gt;0,$AM337&gt;0),IF(($G337-$AM337)/$G337&gt;0,($G337-$AM337)/$G337,0),"")</f>
        <v/>
      </c>
      <c r="BG337" s="6">
        <f>IF((AD337-AF337)/(AJ337/60)&lt;=0,"",(AD337-AF337)/(AJ337/60))</f>
        <v/>
      </c>
      <c r="BH337" s="6">
        <f>IF(OR(AJ337=0,AP337=0,NOT(ISNUMBER(AD337)),NOT(ISNUMBER(AF337)),NOT(ISNUMBER(AJ337)),NOT(ISNUMBER(AP337))),"",
IFERROR(IF((AD337-AF337)/(AJ337/60)/(AP337/1000)&lt;=0,"",(AD337-AF337)/(AJ337/60)/(AP337/1000)),""))</f>
        <v/>
      </c>
    </row>
    <row r="338" ht="15.75" customHeight="1">
      <c r="B338" t="n">
        <v>94</v>
      </c>
      <c r="D338" s="94" t="n">
        <v>45598</v>
      </c>
      <c r="E338" s="231" t="n">
        <v>94</v>
      </c>
      <c r="F338" s="3" t="n">
        <v>333</v>
      </c>
      <c r="G338" s="205">
        <f>IF(OR(S338="",S338=0),"",S338*2)</f>
        <v/>
      </c>
      <c r="M338" s="10">
        <f>IF(OR(E338="",G338="",E338=0,G338=0),"",E338/G338)</f>
        <v/>
      </c>
      <c r="N338" s="9">
        <f>IF(OR(E338="",I338="",E338=0,I338=0),"",E338/(I338*2))</f>
        <v/>
      </c>
      <c r="O338" s="8">
        <f>IF(OR(I338="",G338="",I338=0,G338=0),"",I338*2/G338)</f>
        <v/>
      </c>
      <c r="Z338" s="6" t="n">
        <v>0.18</v>
      </c>
      <c r="AD338" s="5" t="n">
        <v>80</v>
      </c>
      <c r="AI338" s="231" t="n">
        <v>4.12</v>
      </c>
      <c r="AJ338" s="261" t="n">
        <v>0.477662037037037</v>
      </c>
      <c r="AL338" s="231" t="n">
        <v>175</v>
      </c>
      <c r="AM338" s="3" t="n">
        <v>180</v>
      </c>
      <c r="AP338" s="255">
        <f>360-AK338-AB338</f>
        <v/>
      </c>
      <c r="AR338" s="13">
        <f>AVERAGE(AO336:AO342)</f>
        <v/>
      </c>
      <c r="AT338" s="156">
        <f>(E338-W338)/E338</f>
        <v/>
      </c>
      <c r="AU338" s="155">
        <f>(I338-AF338)/I338</f>
        <v/>
      </c>
      <c r="AV338" s="155">
        <f>AG338/(AD338-AF338)</f>
        <v/>
      </c>
      <c r="AW338" s="155">
        <f>(G338-AM338)/G338</f>
        <v/>
      </c>
      <c r="AX338" s="254">
        <f>IF(AND(ISNUMBER(E338),ISNUMBER(W338)),E338-W338,"")</f>
        <v/>
      </c>
      <c r="AY338" s="254">
        <f>IF(AND(ISNUMBER(I338),ISNUMBER(AF338)),I338-AF338,"")</f>
        <v/>
      </c>
      <c r="AZ338" s="254">
        <f>IF(AND(ISNUMBER(AM338),ISNUMBER(G338)),G338-AM338,"")</f>
        <v/>
      </c>
      <c r="BA338" s="254">
        <f>IF(AND(ISNUMBER(AC338),ISNUMBER(AE338)),AC338-AE338,"")</f>
        <v/>
      </c>
      <c r="BB338" s="254">
        <f>IF(AND(ISNUMBER(AL338),ISNUMBER(AM338)),AL338-AM338,"")</f>
        <v/>
      </c>
      <c r="BC338" s="60">
        <f>IF(AND($E338&gt;0,$W338&gt;0),IF(($E338-$W338)/$E338&gt;0,($E338-$W338)/$E338,0),"")</f>
        <v/>
      </c>
      <c r="BD338" s="60">
        <f>IF(AND($I338&gt;0,$AF338&gt;=0),IF(($I338-$AF338)/$I338&gt;0,($I338-$AF338)/$I338,0),"")</f>
        <v/>
      </c>
      <c r="BE338" s="60" t="n"/>
      <c r="BF338" s="60">
        <f>IF(AND($G338&gt;0,$AM338&gt;0),IF(($G338-$AM338)/$G338&gt;0,($G338-$AM338)/$G338,0),"")</f>
        <v/>
      </c>
      <c r="BG338" s="6">
        <f>IF((AD338-AF338)/(AJ338/60)&lt;=0,"",(AD338-AF338)/(AJ338/60))</f>
        <v/>
      </c>
      <c r="BH338" s="6">
        <f>IF(OR(AJ338=0,AP338=0,NOT(ISNUMBER(AD338)),NOT(ISNUMBER(AF338)),NOT(ISNUMBER(AJ338)),NOT(ISNUMBER(AP338))),"",
IFERROR(IF((AD338-AF338)/(AJ338/60)/(AP338/1000)&lt;=0,"",(AD338-AF338)/(AJ338/60)/(AP338/1000)),""))</f>
        <v/>
      </c>
    </row>
    <row r="339" ht="15.75" customHeight="1">
      <c r="B339" t="n">
        <v>95</v>
      </c>
      <c r="D339" s="94" t="n">
        <v>45599</v>
      </c>
      <c r="E339" s="231" t="n">
        <v>95</v>
      </c>
      <c r="F339" s="3" t="n">
        <v>334</v>
      </c>
      <c r="G339" s="205">
        <f>IF(OR(S339="",S339=0),"",S339*2)</f>
        <v/>
      </c>
      <c r="M339" s="10">
        <f>IF(OR(E339="",G339="",E339=0,G339=0),"",E339/G339)</f>
        <v/>
      </c>
      <c r="N339" s="9">
        <f>IF(OR(E339="",I339="",E339=0,I339=0),"",E339/(I339*2))</f>
        <v/>
      </c>
      <c r="O339" s="8">
        <f>IF(OR(I339="",G339="",I339=0,G339=0),"",I339*2/G339)</f>
        <v/>
      </c>
      <c r="Z339" s="6" t="n">
        <v>0.17</v>
      </c>
      <c r="AD339" s="5" t="n">
        <v>80</v>
      </c>
      <c r="AI339" s="231" t="n">
        <v>4.43</v>
      </c>
      <c r="AJ339" s="261" t="n">
        <v>0.4623842592592592</v>
      </c>
      <c r="AL339" s="231" t="n">
        <v>175</v>
      </c>
      <c r="AM339" s="3" t="n">
        <v>180</v>
      </c>
      <c r="AP339" s="255">
        <f>360-AK339-AB339</f>
        <v/>
      </c>
      <c r="AR339" s="13">
        <f>AVERAGE(AO337:AO343)</f>
        <v/>
      </c>
      <c r="AT339" s="156">
        <f>(E339-W339)/E339</f>
        <v/>
      </c>
      <c r="AU339" s="155">
        <f>(I339-AF339)/I339</f>
        <v/>
      </c>
      <c r="AV339" s="155">
        <f>AG339/(AD339-AF339)</f>
        <v/>
      </c>
      <c r="AW339" s="155">
        <f>(G339-AM339)/G339</f>
        <v/>
      </c>
      <c r="AX339" s="254">
        <f>IF(AND(ISNUMBER(E339),ISNUMBER(W339)),E339-W339,"")</f>
        <v/>
      </c>
      <c r="AY339" s="254">
        <f>IF(AND(ISNUMBER(I339),ISNUMBER(AF339)),I339-AF339,"")</f>
        <v/>
      </c>
      <c r="AZ339" s="254">
        <f>IF(AND(ISNUMBER(AM339),ISNUMBER(G339)),G339-AM339,"")</f>
        <v/>
      </c>
      <c r="BA339" s="254">
        <f>IF(AND(ISNUMBER(AC339),ISNUMBER(AE339)),AC339-AE339,"")</f>
        <v/>
      </c>
      <c r="BB339" s="254">
        <f>IF(AND(ISNUMBER(AL339),ISNUMBER(AM339)),AL339-AM339,"")</f>
        <v/>
      </c>
      <c r="BC339" s="60">
        <f>IF(AND($E339&gt;0,$W339&gt;0),IF(($E339-$W339)/$E339&gt;0,($E339-$W339)/$E339,0),"")</f>
        <v/>
      </c>
      <c r="BD339" s="60">
        <f>IF(AND($I339&gt;0,$AF339&gt;=0),IF(($I339-$AF339)/$I339&gt;0,($I339-$AF339)/$I339,0),"")</f>
        <v/>
      </c>
      <c r="BE339" s="60" t="n"/>
      <c r="BF339" s="60">
        <f>IF(AND($G339&gt;0,$AM339&gt;0),IF(($G339-$AM339)/$G339&gt;0,($G339-$AM339)/$G339,0),"")</f>
        <v/>
      </c>
      <c r="BG339" s="6">
        <f>IF((AD339-AF339)/(AJ339/60)&lt;=0,"",(AD339-AF339)/(AJ339/60))</f>
        <v/>
      </c>
      <c r="BH339" s="6">
        <f>IF(OR(AJ339=0,AP339=0,NOT(ISNUMBER(AD339)),NOT(ISNUMBER(AF339)),NOT(ISNUMBER(AJ339)),NOT(ISNUMBER(AP339))),"",
IFERROR(IF((AD339-AF339)/(AJ339/60)/(AP339/1000)&lt;=0,"",(AD339-AF339)/(AJ339/60)/(AP339/1000)),""))</f>
        <v/>
      </c>
    </row>
    <row r="340" ht="15.75" customHeight="1">
      <c r="B340" t="n">
        <v>96</v>
      </c>
      <c r="C340" s="12" t="inlineStr">
        <is>
          <t>ace-ano</t>
        </is>
      </c>
      <c r="D340" s="94" t="n">
        <v>45600</v>
      </c>
      <c r="E340" s="231" t="n">
        <v>96</v>
      </c>
      <c r="F340" s="3" t="n">
        <v>335</v>
      </c>
      <c r="G340" s="205">
        <f>IF(OR(S340="",S340=0),"",S340*2)</f>
        <v/>
      </c>
      <c r="M340" s="10">
        <f>IF(OR(E340="",G340="",E340=0,G340=0),"",E340/G340)</f>
        <v/>
      </c>
      <c r="N340" s="9">
        <f>IF(OR(E340="",I340="",E340=0,I340=0),"",E340/(I340*2))</f>
        <v/>
      </c>
      <c r="O340" s="8">
        <f>IF(OR(I340="",G340="",I340=0,G340=0),"",I340*2/G340)</f>
        <v/>
      </c>
      <c r="Z340" s="6" t="n">
        <v>0.38</v>
      </c>
      <c r="AD340" s="5" t="n">
        <v>80</v>
      </c>
      <c r="AI340" s="231" t="n">
        <v>4.34</v>
      </c>
      <c r="AJ340" s="261" t="n">
        <v>0.5206018518518518</v>
      </c>
      <c r="AL340" s="231" t="n">
        <v>175</v>
      </c>
      <c r="AM340" s="3" t="n">
        <v>180</v>
      </c>
      <c r="AP340" s="255">
        <f>360-AK340-AB340</f>
        <v/>
      </c>
      <c r="AQ340" s="2" t="n">
        <v>2200</v>
      </c>
      <c r="AR340" s="13">
        <f>AVERAGE(AO338:AO344)</f>
        <v/>
      </c>
      <c r="AS340" s="2" t="n">
        <v>38.59649122806987</v>
      </c>
      <c r="AT340" s="156">
        <f>(E340-W340)/E340</f>
        <v/>
      </c>
      <c r="AU340" s="155">
        <f>(I340-AF340)/I340</f>
        <v/>
      </c>
      <c r="AV340" s="155">
        <f>AG340/(AD340-AF340)</f>
        <v/>
      </c>
      <c r="AW340" s="155">
        <f>(G340-AM340)/G340</f>
        <v/>
      </c>
      <c r="AX340" s="254">
        <f>IF(AND(ISNUMBER(E340),ISNUMBER(W340)),E340-W340,"")</f>
        <v/>
      </c>
      <c r="AY340" s="254">
        <f>IF(AND(ISNUMBER(I340),ISNUMBER(AF340)),I340-AF340,"")</f>
        <v/>
      </c>
      <c r="AZ340" s="254">
        <f>IF(AND(ISNUMBER(AM340),ISNUMBER(G340)),G340-AM340,"")</f>
        <v/>
      </c>
      <c r="BA340" s="254">
        <f>IF(AND(ISNUMBER(AC340),ISNUMBER(AE340)),AC340-AE340,"")</f>
        <v/>
      </c>
      <c r="BB340" s="254">
        <f>IF(AND(ISNUMBER(AL340),ISNUMBER(AM340)),AL340-AM340,"")</f>
        <v/>
      </c>
      <c r="BC340" s="60">
        <f>IF(AND($E340&gt;0,$W340&gt;0),IF(($E340-$W340)/$E340&gt;0,($E340-$W340)/$E340,0),"")</f>
        <v/>
      </c>
      <c r="BD340" s="60">
        <f>IF(AND($I340&gt;0,$AF340&gt;=0),IF(($I340-$AF340)/$I340&gt;0,($I340-$AF340)/$I340,0),"")</f>
        <v/>
      </c>
      <c r="BE340" s="60" t="n"/>
      <c r="BF340" s="60">
        <f>IF(AND($G340&gt;0,$AM340&gt;0),IF(($G340-$AM340)/$G340&gt;0,($G340-$AM340)/$G340,0),"")</f>
        <v/>
      </c>
      <c r="BG340" s="6">
        <f>IF((AD340-AF340)/(AJ340/60)&lt;=0,"",(AD340-AF340)/(AJ340/60))</f>
        <v/>
      </c>
      <c r="BH340" s="6">
        <f>IF(OR(AJ340=0,AP340=0,NOT(ISNUMBER(AD340)),NOT(ISNUMBER(AF340)),NOT(ISNUMBER(AJ340)),NOT(ISNUMBER(AP340))),"",
IFERROR(IF((AD340-AF340)/(AJ340/60)/(AP340/1000)&lt;=0,"",(AD340-AF340)/(AJ340/60)/(AP340/1000)),""))</f>
        <v/>
      </c>
    </row>
    <row r="341" ht="15.75" customHeight="1">
      <c r="B341" t="n">
        <v>97</v>
      </c>
      <c r="C341" s="12" t="inlineStr">
        <is>
          <t>ace-nitrate</t>
        </is>
      </c>
      <c r="D341" s="94" t="n">
        <v>45601</v>
      </c>
      <c r="E341" s="231" t="n">
        <v>97</v>
      </c>
      <c r="F341" s="3" t="n">
        <v>336</v>
      </c>
      <c r="G341" s="205">
        <f>IF(OR(S341="",S341=0),"",S341*2)</f>
        <v/>
      </c>
      <c r="M341" s="10">
        <f>IF(OR(E341="",G341="",E341=0,G341=0),"",E341/G341)</f>
        <v/>
      </c>
      <c r="N341" s="9">
        <f>IF(OR(E341="",I341="",E341=0,I341=0),"",E341/(I341*2))</f>
        <v/>
      </c>
      <c r="O341" s="8">
        <f>IF(OR(I341="",G341="",I341=0,G341=0),"",I341*2/G341)</f>
        <v/>
      </c>
      <c r="Z341" s="6" t="n">
        <v>0.46</v>
      </c>
      <c r="AD341" s="5" t="n">
        <v>80</v>
      </c>
      <c r="AL341" s="231" t="n">
        <v>175</v>
      </c>
      <c r="AM341" s="3" t="n">
        <v>180</v>
      </c>
      <c r="AP341" s="255">
        <f>360-AK341-AB341</f>
        <v/>
      </c>
      <c r="AQ341" s="2" t="n">
        <v>2279.999999999973</v>
      </c>
      <c r="AR341" s="13">
        <f>AVERAGE(AO339:AO345)</f>
        <v/>
      </c>
      <c r="AS341" s="2" t="n">
        <v>39.99999999999952</v>
      </c>
      <c r="AT341" s="156">
        <f>(E341-W341)/E341</f>
        <v/>
      </c>
      <c r="AU341" s="155">
        <f>(I341-AF341)/I341</f>
        <v/>
      </c>
      <c r="AV341" s="155">
        <f>AG341/(AD341-AF341)</f>
        <v/>
      </c>
      <c r="AW341" s="155">
        <f>(G341-AM341)/G341</f>
        <v/>
      </c>
      <c r="AX341" s="254">
        <f>IF(AND(ISNUMBER(E341),ISNUMBER(W341)),E341-W341,"")</f>
        <v/>
      </c>
      <c r="AY341" s="254">
        <f>IF(AND(ISNUMBER(I341),ISNUMBER(AF341)),I341-AF341,"")</f>
        <v/>
      </c>
      <c r="AZ341" s="254">
        <f>IF(AND(ISNUMBER(AM341),ISNUMBER(G341)),G341-AM341,"")</f>
        <v/>
      </c>
      <c r="BA341" s="254">
        <f>IF(AND(ISNUMBER(AC341),ISNUMBER(AE341)),AC341-AE341,"")</f>
        <v/>
      </c>
      <c r="BB341" s="254">
        <f>IF(AND(ISNUMBER(AL341),ISNUMBER(AM341)),AL341-AM341,"")</f>
        <v/>
      </c>
      <c r="BC341" s="60">
        <f>IF(AND($E341&gt;0,$W341&gt;0),IF(($E341-$W341)/$E341&gt;0,($E341-$W341)/$E341,0),"")</f>
        <v/>
      </c>
      <c r="BD341" s="60">
        <f>IF(AND($I341&gt;0,$AF341&gt;=0),IF(($I341-$AF341)/$I341&gt;0,($I341-$AF341)/$I341,0),"")</f>
        <v/>
      </c>
      <c r="BE341" s="60" t="n"/>
      <c r="BF341" s="60">
        <f>IF(AND($G341&gt;0,$AM341&gt;0),IF(($G341-$AM341)/$G341&gt;0,($G341-$AM341)/$G341,0),"")</f>
        <v/>
      </c>
      <c r="BG341" s="6">
        <f>IF((AD341-AF341)/(AJ341/60)&lt;=0,"",(AD341-AF341)/(AJ341/60))</f>
        <v/>
      </c>
      <c r="BH341" s="6">
        <f>IF(OR(AJ341=0,AP341=0,NOT(ISNUMBER(AD341)),NOT(ISNUMBER(AF341)),NOT(ISNUMBER(AJ341)),NOT(ISNUMBER(AP341))),"",
IFERROR(IF((AD341-AF341)/(AJ341/60)/(AP341/1000)&lt;=0,"",(AD341-AF341)/(AJ341/60)/(AP341/1000)),""))</f>
        <v/>
      </c>
    </row>
    <row r="342" ht="15.75" customHeight="1">
      <c r="B342" t="n">
        <v>98</v>
      </c>
      <c r="D342" s="94" t="n">
        <v>45602</v>
      </c>
      <c r="E342" s="231" t="n">
        <v>98</v>
      </c>
      <c r="F342" s="3" t="n">
        <v>337</v>
      </c>
      <c r="G342" s="205">
        <f>IF(OR(S342="",S342=0),"",S342*2)</f>
        <v/>
      </c>
      <c r="M342" s="10">
        <f>IF(OR(E342="",G342="",E342=0,G342=0),"",E342/G342)</f>
        <v/>
      </c>
      <c r="N342" s="9">
        <f>IF(OR(E342="",I342="",E342=0,I342=0),"",E342/(I342*2))</f>
        <v/>
      </c>
      <c r="O342" s="8">
        <f>IF(OR(I342="",G342="",I342=0,G342=0),"",I342*2/G342)</f>
        <v/>
      </c>
      <c r="Z342" s="6" t="n">
        <v>0.18</v>
      </c>
      <c r="AD342" s="5" t="n">
        <v>80</v>
      </c>
      <c r="AI342" s="231" t="n">
        <v>2.61</v>
      </c>
      <c r="AJ342" s="261" t="n">
        <v>0.5135416666666667</v>
      </c>
      <c r="AL342" s="231" t="n">
        <v>175</v>
      </c>
      <c r="AM342" s="3" t="n">
        <v>180</v>
      </c>
      <c r="AP342" s="255">
        <f>360-AK342-AB342</f>
        <v/>
      </c>
      <c r="AR342" s="13">
        <f>AVERAGE(AO340:AO346)</f>
        <v/>
      </c>
      <c r="AT342" s="156">
        <f>(E342-W342)/E342</f>
        <v/>
      </c>
      <c r="AU342" s="155">
        <f>(I342-AF342)/I342</f>
        <v/>
      </c>
      <c r="AV342" s="155">
        <f>AG342/(AD342-AF342)</f>
        <v/>
      </c>
      <c r="AW342" s="155">
        <f>(G342-AM342)/G342</f>
        <v/>
      </c>
      <c r="AX342" s="254">
        <f>IF(AND(ISNUMBER(E342),ISNUMBER(W342)),E342-W342,"")</f>
        <v/>
      </c>
      <c r="AY342" s="254">
        <f>IF(AND(ISNUMBER(I342),ISNUMBER(AF342)),I342-AF342,"")</f>
        <v/>
      </c>
      <c r="AZ342" s="254">
        <f>IF(AND(ISNUMBER(AM342),ISNUMBER(G342)),G342-AM342,"")</f>
        <v/>
      </c>
      <c r="BA342" s="254">
        <f>IF(AND(ISNUMBER(AC342),ISNUMBER(AE342)),AC342-AE342,"")</f>
        <v/>
      </c>
      <c r="BB342" s="254">
        <f>IF(AND(ISNUMBER(AL342),ISNUMBER(AM342)),AL342-AM342,"")</f>
        <v/>
      </c>
      <c r="BC342" s="60">
        <f>IF(AND($E342&gt;0,$W342&gt;0),IF(($E342-$W342)/$E342&gt;0,($E342-$W342)/$E342,0),"")</f>
        <v/>
      </c>
      <c r="BD342" s="60">
        <f>IF(AND($I342&gt;0,$AF342&gt;=0),IF(($I342-$AF342)/$I342&gt;0,($I342-$AF342)/$I342,0),"")</f>
        <v/>
      </c>
      <c r="BE342" s="60" t="n"/>
      <c r="BF342" s="60">
        <f>IF(AND($G342&gt;0,$AM342&gt;0),IF(($G342-$AM342)/$G342&gt;0,($G342-$AM342)/$G342,0),"")</f>
        <v/>
      </c>
      <c r="BG342" s="6">
        <f>IF((AD342-AF342)/(AJ342/60)&lt;=0,"",(AD342-AF342)/(AJ342/60))</f>
        <v/>
      </c>
      <c r="BH342" s="6">
        <f>IF(OR(AJ342=0,AP342=0,NOT(ISNUMBER(AD342)),NOT(ISNUMBER(AF342)),NOT(ISNUMBER(AJ342)),NOT(ISNUMBER(AP342))),"",
IFERROR(IF((AD342-AF342)/(AJ342/60)/(AP342/1000)&lt;=0,"",(AD342-AF342)/(AJ342/60)/(AP342/1000)),""))</f>
        <v/>
      </c>
    </row>
    <row r="343" ht="15.75" customHeight="1">
      <c r="A343" s="260" t="inlineStr">
        <is>
          <t>B45</t>
        </is>
      </c>
      <c r="B343" s="260" t="n">
        <v>99</v>
      </c>
      <c r="C343" s="12" t="inlineStr">
        <is>
          <t>ace-ano</t>
        </is>
      </c>
      <c r="D343" s="94" t="n">
        <v>45603</v>
      </c>
      <c r="E343" s="231" t="n">
        <v>99</v>
      </c>
      <c r="F343" s="3" t="n">
        <v>338</v>
      </c>
      <c r="G343" s="205">
        <f>IF(OR(S343="",S343=0),"",S343*2)</f>
        <v/>
      </c>
      <c r="M343" s="10">
        <f>IF(OR(E343="",G343="",E343=0,G343=0),"",E343/G343)</f>
        <v/>
      </c>
      <c r="N343" s="9">
        <f>IF(OR(E343="",I343="",E343=0,I343=0),"",E343/(I343*2))</f>
        <v/>
      </c>
      <c r="O343" s="8">
        <f>IF(OR(I343="",G343="",I343=0,G343=0),"",I343*2/G343)</f>
        <v/>
      </c>
      <c r="Z343" s="6" t="n">
        <v>0.53</v>
      </c>
      <c r="AD343" s="5" t="n">
        <v>80</v>
      </c>
      <c r="AI343" s="231" t="n">
        <v>2.79</v>
      </c>
      <c r="AJ343" s="261" t="n">
        <v>0.5197916666666667</v>
      </c>
      <c r="AL343" s="231" t="n">
        <v>175</v>
      </c>
      <c r="AM343" s="3" t="n">
        <v>180</v>
      </c>
      <c r="AP343" s="255">
        <f>360-AK343-AB343</f>
        <v/>
      </c>
      <c r="AQ343" s="2" t="n">
        <v>2309.999999999991</v>
      </c>
      <c r="AR343" s="13">
        <f>AVERAGE(AO341:AO347)</f>
        <v/>
      </c>
      <c r="AS343" s="2" t="n">
        <v>60.00000000000119</v>
      </c>
      <c r="AT343" s="156">
        <f>(E343-W343)/E343</f>
        <v/>
      </c>
      <c r="AU343" s="155">
        <f>(I343-AF343)/I343</f>
        <v/>
      </c>
      <c r="AV343" s="155">
        <f>AG343/(AD343-AF343)</f>
        <v/>
      </c>
      <c r="AW343" s="155">
        <f>(G343-AM343)/G343</f>
        <v/>
      </c>
      <c r="AX343" s="254">
        <f>IF(AND(ISNUMBER(E343),ISNUMBER(W343)),E343-W343,"")</f>
        <v/>
      </c>
      <c r="AY343" s="254">
        <f>IF(AND(ISNUMBER(I343),ISNUMBER(AF343)),I343-AF343,"")</f>
        <v/>
      </c>
      <c r="AZ343" s="254">
        <f>IF(AND(ISNUMBER(AM343),ISNUMBER(G343)),G343-AM343,"")</f>
        <v/>
      </c>
      <c r="BA343" s="254">
        <f>IF(AND(ISNUMBER(AC343),ISNUMBER(AE343)),AC343-AE343,"")</f>
        <v/>
      </c>
      <c r="BB343" s="254">
        <f>IF(AND(ISNUMBER(AL343),ISNUMBER(AM343)),AL343-AM343,"")</f>
        <v/>
      </c>
      <c r="BC343" s="60">
        <f>IF(AND($E343&gt;0,$W343&gt;0),IF(($E343-$W343)/$E343&gt;0,($E343-$W343)/$E343,0),"")</f>
        <v/>
      </c>
      <c r="BD343" s="60">
        <f>IF(AND($I343&gt;0,$AF343&gt;=0),IF(($I343-$AF343)/$I343&gt;0,($I343-$AF343)/$I343,0),"")</f>
        <v/>
      </c>
      <c r="BE343" s="60" t="n"/>
      <c r="BF343" s="60">
        <f>IF(AND($G343&gt;0,$AM343&gt;0),IF(($G343-$AM343)/$G343&gt;0,($G343-$AM343)/$G343,0),"")</f>
        <v/>
      </c>
      <c r="BG343" s="6">
        <f>IF((AD343-AF343)/(AJ343/60)&lt;=0,"",(AD343-AF343)/(AJ343/60))</f>
        <v/>
      </c>
      <c r="BH343" s="6">
        <f>IF(OR(AJ343=0,AP343=0,NOT(ISNUMBER(AD343)),NOT(ISNUMBER(AF343)),NOT(ISNUMBER(AJ343)),NOT(ISNUMBER(AP343))),"",
IFERROR(IF((AD343-AF343)/(AJ343/60)/(AP343/1000)&lt;=0,"",(AD343-AF343)/(AJ343/60)/(AP343/1000)),""))</f>
        <v/>
      </c>
    </row>
    <row r="344" ht="15.75" customHeight="1">
      <c r="B344" t="n">
        <v>100</v>
      </c>
      <c r="C344" s="12" t="inlineStr">
        <is>
          <t>pro-aco</t>
        </is>
      </c>
      <c r="D344" s="94" t="n">
        <v>45604</v>
      </c>
      <c r="E344" s="231" t="n">
        <v>100</v>
      </c>
      <c r="F344" s="3" t="n">
        <v>339</v>
      </c>
      <c r="G344" s="205">
        <f>IF(OR(S344="",S344=0),"",S344*2)</f>
        <v/>
      </c>
      <c r="M344" s="10">
        <f>IF(OR(E344="",G344="",E344=0,G344=0),"",E344/G344)</f>
        <v/>
      </c>
      <c r="N344" s="9">
        <f>IF(OR(E344="",I344="",E344=0,I344=0),"",E344/(I344*2))</f>
        <v/>
      </c>
      <c r="O344" s="8">
        <f>IF(OR(I344="",G344="",I344=0,G344=0),"",I344*2/G344)</f>
        <v/>
      </c>
      <c r="Z344" s="6" t="n">
        <v>1.32</v>
      </c>
      <c r="AD344" s="5" t="n">
        <v>80</v>
      </c>
      <c r="AI344" s="231" t="n">
        <v>3.4</v>
      </c>
      <c r="AJ344" s="261" t="n">
        <v>0.502662037037037</v>
      </c>
      <c r="AL344" s="231" t="n">
        <v>175</v>
      </c>
      <c r="AM344" s="3" t="n">
        <v>180</v>
      </c>
      <c r="AP344" s="255">
        <f>360-AK344-AB344</f>
        <v/>
      </c>
      <c r="AR344" s="13">
        <f>AVERAGE(AO342:AO348)</f>
        <v/>
      </c>
      <c r="AT344" s="156">
        <f>(E344-W344)/E344</f>
        <v/>
      </c>
      <c r="AU344" s="155">
        <f>(I344-AF344)/I344</f>
        <v/>
      </c>
      <c r="AV344" s="155">
        <f>AG344/(AD344-AF344)</f>
        <v/>
      </c>
      <c r="AW344" s="155">
        <f>(G344-AM344)/G344</f>
        <v/>
      </c>
      <c r="AX344" s="254">
        <f>IF(AND(ISNUMBER(E344),ISNUMBER(W344)),E344-W344,"")</f>
        <v/>
      </c>
      <c r="AY344" s="254">
        <f>IF(AND(ISNUMBER(I344),ISNUMBER(AF344)),I344-AF344,"")</f>
        <v/>
      </c>
      <c r="AZ344" s="254">
        <f>IF(AND(ISNUMBER(AM344),ISNUMBER(G344)),G344-AM344,"")</f>
        <v/>
      </c>
      <c r="BA344" s="254">
        <f>IF(AND(ISNUMBER(AC344),ISNUMBER(AE344)),AC344-AE344,"")</f>
        <v/>
      </c>
      <c r="BB344" s="254">
        <f>IF(AND(ISNUMBER(AL344),ISNUMBER(AM344)),AL344-AM344,"")</f>
        <v/>
      </c>
      <c r="BC344" s="60">
        <f>IF(AND($E344&gt;0,$W344&gt;0),IF(($E344-$W344)/$E344&gt;0,($E344-$W344)/$E344,0),"")</f>
        <v/>
      </c>
      <c r="BD344" s="60">
        <f>IF(AND($I344&gt;0,$AF344&gt;=0),IF(($I344-$AF344)/$I344&gt;0,($I344-$AF344)/$I344,0),"")</f>
        <v/>
      </c>
      <c r="BE344" s="60" t="n"/>
      <c r="BF344" s="60">
        <f>IF(AND($G344&gt;0,$AM344&gt;0),IF(($G344-$AM344)/$G344&gt;0,($G344-$AM344)/$G344,0),"")</f>
        <v/>
      </c>
      <c r="BG344" s="6">
        <f>IF((AD344-AF344)/(AJ344/60)&lt;=0,"",(AD344-AF344)/(AJ344/60))</f>
        <v/>
      </c>
      <c r="BH344" s="6">
        <f>IF(OR(AJ344=0,AP344=0,NOT(ISNUMBER(AD344)),NOT(ISNUMBER(AF344)),NOT(ISNUMBER(AJ344)),NOT(ISNUMBER(AP344))),"",
IFERROR(IF((AD344-AF344)/(AJ344/60)/(AP344/1000)&lt;=0,"",(AD344-AF344)/(AJ344/60)/(AP344/1000)),""))</f>
        <v/>
      </c>
    </row>
    <row r="345" ht="15.75" customHeight="1">
      <c r="B345" t="n">
        <v>101</v>
      </c>
      <c r="C345" s="12" t="inlineStr">
        <is>
          <t>ace-aer</t>
        </is>
      </c>
      <c r="D345" s="94" t="n">
        <v>45605</v>
      </c>
      <c r="E345" s="231" t="n">
        <v>101</v>
      </c>
      <c r="F345" s="3" t="n">
        <v>340</v>
      </c>
      <c r="G345" s="205">
        <f>IF(OR(S345="",S345=0),"",S345*2)</f>
        <v/>
      </c>
      <c r="M345" s="10">
        <f>IF(OR(E345="",G345="",E345=0,G345=0),"",E345/G345)</f>
        <v/>
      </c>
      <c r="N345" s="9">
        <f>IF(OR(E345="",I345="",E345=0,I345=0),"",E345/(I345*2))</f>
        <v/>
      </c>
      <c r="O345" s="8">
        <f>IF(OR(I345="",G345="",I345=0,G345=0),"",I345*2/G345)</f>
        <v/>
      </c>
      <c r="Z345" s="6" t="n">
        <v>0.52</v>
      </c>
      <c r="AD345" s="5" t="n">
        <v>80</v>
      </c>
      <c r="AI345" s="231" t="n">
        <v>2.47</v>
      </c>
      <c r="AJ345" s="261" t="n">
        <v>0.5208333333333334</v>
      </c>
      <c r="AL345" s="231" t="n">
        <v>175</v>
      </c>
      <c r="AM345" s="3" t="n">
        <v>180</v>
      </c>
      <c r="AP345" s="255">
        <f>360-AK345-AB345</f>
        <v/>
      </c>
      <c r="AR345" s="13">
        <f>AVERAGE(AO343:AO349)</f>
        <v/>
      </c>
      <c r="AT345" s="156">
        <f>(E345-W345)/E345</f>
        <v/>
      </c>
      <c r="AU345" s="155">
        <f>(I345-AF345)/I345</f>
        <v/>
      </c>
      <c r="AV345" s="155">
        <f>AG345/(AD345-AF345)</f>
        <v/>
      </c>
      <c r="AW345" s="155">
        <f>(G345-AM345)/G345</f>
        <v/>
      </c>
      <c r="AX345" s="254">
        <f>IF(AND(ISNUMBER(E345),ISNUMBER(W345)),E345-W345,"")</f>
        <v/>
      </c>
      <c r="AY345" s="254">
        <f>IF(AND(ISNUMBER(I345),ISNUMBER(AF345)),I345-AF345,"")</f>
        <v/>
      </c>
      <c r="AZ345" s="254">
        <f>IF(AND(ISNUMBER(AM345),ISNUMBER(G345)),G345-AM345,"")</f>
        <v/>
      </c>
      <c r="BA345" s="254">
        <f>IF(AND(ISNUMBER(AC345),ISNUMBER(AE345)),AC345-AE345,"")</f>
        <v/>
      </c>
      <c r="BB345" s="254">
        <f>IF(AND(ISNUMBER(AL345),ISNUMBER(AM345)),AL345-AM345,"")</f>
        <v/>
      </c>
      <c r="BC345" s="60">
        <f>IF(AND($E345&gt;0,$W345&gt;0),IF(($E345-$W345)/$E345&gt;0,($E345-$W345)/$E345,0),"")</f>
        <v/>
      </c>
      <c r="BD345" s="60">
        <f>IF(AND($I345&gt;0,$AF345&gt;=0),IF(($I345-$AF345)/$I345&gt;0,($I345-$AF345)/$I345,0),"")</f>
        <v/>
      </c>
      <c r="BE345" s="60" t="n"/>
      <c r="BF345" s="60">
        <f>IF(AND($G345&gt;0,$AM345&gt;0),IF(($G345-$AM345)/$G345&gt;0,($G345-$AM345)/$G345,0),"")</f>
        <v/>
      </c>
      <c r="BG345" s="6">
        <f>IF((AD345-AF345)/(AJ345/60)&lt;=0,"",(AD345-AF345)/(AJ345/60))</f>
        <v/>
      </c>
      <c r="BH345" s="6">
        <f>IF(OR(AJ345=0,AP345=0,NOT(ISNUMBER(AD345)),NOT(ISNUMBER(AF345)),NOT(ISNUMBER(AJ345)),NOT(ISNUMBER(AP345))),"",
IFERROR(IF((AD345-AF345)/(AJ345/60)/(AP345/1000)&lt;=0,"",(AD345-AF345)/(AJ345/60)/(AP345/1000)),""))</f>
        <v/>
      </c>
    </row>
    <row r="346" ht="15.75" customHeight="1">
      <c r="B346" t="n">
        <v>102</v>
      </c>
      <c r="D346" s="94" t="n">
        <v>45606</v>
      </c>
      <c r="E346" s="231" t="n">
        <v>102</v>
      </c>
      <c r="F346" s="3" t="n">
        <v>341</v>
      </c>
      <c r="G346" s="205">
        <f>IF(OR(S346="",S346=0),"",S346*2)</f>
        <v/>
      </c>
      <c r="M346" s="10">
        <f>IF(OR(E346="",G346="",E346=0,G346=0),"",E346/G346)</f>
        <v/>
      </c>
      <c r="N346" s="9">
        <f>IF(OR(E346="",I346="",E346=0,I346=0),"",E346/(I346*2))</f>
        <v/>
      </c>
      <c r="O346" s="8">
        <f>IF(OR(I346="",G346="",I346=0,G346=0),"",I346*2/G346)</f>
        <v/>
      </c>
      <c r="Z346" s="6" t="n">
        <v>0.18</v>
      </c>
      <c r="AD346" s="5" t="n">
        <v>80</v>
      </c>
      <c r="AI346" s="231" t="n">
        <v>4.3</v>
      </c>
      <c r="AJ346" s="261" t="n">
        <v>0.5173611111111112</v>
      </c>
      <c r="AL346" s="231" t="n">
        <v>175</v>
      </c>
      <c r="AM346" s="3" t="n">
        <v>180</v>
      </c>
      <c r="AP346" s="255">
        <f>360-AK346-AB346</f>
        <v/>
      </c>
      <c r="AR346" s="13">
        <f>AVERAGE(AO344:AO350)</f>
        <v/>
      </c>
      <c r="AT346" s="156">
        <f>(E346-W346)/E346</f>
        <v/>
      </c>
      <c r="AU346" s="155">
        <f>(I346-AF346)/I346</f>
        <v/>
      </c>
      <c r="AV346" s="155">
        <f>AG346/(AD346-AF346)</f>
        <v/>
      </c>
      <c r="AW346" s="155">
        <f>(G346-AM346)/G346</f>
        <v/>
      </c>
      <c r="AX346" s="254">
        <f>IF(AND(ISNUMBER(E346),ISNUMBER(W346)),E346-W346,"")</f>
        <v/>
      </c>
      <c r="AY346" s="254">
        <f>IF(AND(ISNUMBER(I346),ISNUMBER(AF346)),I346-AF346,"")</f>
        <v/>
      </c>
      <c r="AZ346" s="254">
        <f>IF(AND(ISNUMBER(AM346),ISNUMBER(G346)),G346-AM346,"")</f>
        <v/>
      </c>
      <c r="BA346" s="254">
        <f>IF(AND(ISNUMBER(AC346),ISNUMBER(AE346)),AC346-AE346,"")</f>
        <v/>
      </c>
      <c r="BB346" s="254">
        <f>IF(AND(ISNUMBER(AL346),ISNUMBER(AM346)),AL346-AM346,"")</f>
        <v/>
      </c>
      <c r="BC346" s="60">
        <f>IF(AND($E346&gt;0,$W346&gt;0),IF(($E346-$W346)/$E346&gt;0,($E346-$W346)/$E346,0),"")</f>
        <v/>
      </c>
      <c r="BD346" s="60">
        <f>IF(AND($I346&gt;0,$AF346&gt;=0),IF(($I346-$AF346)/$I346&gt;0,($I346-$AF346)/$I346,0),"")</f>
        <v/>
      </c>
      <c r="BE346" s="60" t="n"/>
      <c r="BF346" s="60">
        <f>IF(AND($G346&gt;0,$AM346&gt;0),IF(($G346-$AM346)/$G346&gt;0,($G346-$AM346)/$G346,0),"")</f>
        <v/>
      </c>
      <c r="BG346" s="6">
        <f>IF((AD346-AF346)/(AJ346/60)&lt;=0,"",(AD346-AF346)/(AJ346/60))</f>
        <v/>
      </c>
      <c r="BH346" s="6">
        <f>IF(OR(AJ346=0,AP346=0,NOT(ISNUMBER(AD346)),NOT(ISNUMBER(AF346)),NOT(ISNUMBER(AJ346)),NOT(ISNUMBER(AP346))),"",
IFERROR(IF((AD346-AF346)/(AJ346/60)/(AP346/1000)&lt;=0,"",(AD346-AF346)/(AJ346/60)/(AP346/1000)),""))</f>
        <v/>
      </c>
    </row>
    <row r="347" ht="15.75" customHeight="1">
      <c r="B347" t="n">
        <v>103</v>
      </c>
      <c r="C347" s="112" t="inlineStr">
        <is>
          <t>incycle test</t>
        </is>
      </c>
      <c r="D347" s="94" t="n">
        <v>45607</v>
      </c>
      <c r="E347" s="231" t="n">
        <v>103</v>
      </c>
      <c r="F347" s="3" t="n">
        <v>342</v>
      </c>
      <c r="G347" s="205">
        <f>IF(OR(S347="",S347=0),"",S347*2)</f>
        <v/>
      </c>
      <c r="I347" s="15">
        <f>(N347*18-H347*18)/9</f>
        <v/>
      </c>
      <c r="J347" s="9">
        <f>7.68/2</f>
        <v/>
      </c>
      <c r="K347" s="15">
        <f>AD347</f>
        <v/>
      </c>
      <c r="M347" s="10">
        <f>IF(OR(E347="",G347="",E347=0,G347=0),"",E347/G347)</f>
        <v/>
      </c>
      <c r="N347" s="9">
        <f>IF(OR(E347="",I347="",E347=0,I347=0),"",E347/(I347*2))</f>
        <v/>
      </c>
      <c r="O347" s="8">
        <f>IF(OR(I347="",G347="",I347=0,G347=0),"",I347*2/G347)</f>
        <v/>
      </c>
      <c r="P347" s="7" t="n">
        <v>10.78</v>
      </c>
      <c r="Q347" t="n">
        <v>90.39700000000001</v>
      </c>
      <c r="R347" t="n">
        <v>26.926</v>
      </c>
      <c r="S347" s="6">
        <f>O347*1.067</f>
        <v/>
      </c>
      <c r="T347" s="6">
        <f>P347*1.514</f>
        <v/>
      </c>
      <c r="U347" s="23">
        <f>P347*1.514+O347*1.067</f>
        <v/>
      </c>
      <c r="V347" s="6" t="n">
        <v>31.95</v>
      </c>
      <c r="W347" t="n">
        <v>0</v>
      </c>
      <c r="X347" t="n">
        <v>0</v>
      </c>
      <c r="Y347" s="23">
        <f>U347*1.067+V347*1.514</f>
        <v/>
      </c>
      <c r="Z347" s="6" t="n">
        <v>0.63</v>
      </c>
      <c r="AD347" s="5" t="n">
        <v>80</v>
      </c>
      <c r="AE347" s="7">
        <f>T347</f>
        <v/>
      </c>
      <c r="AF347" s="231" t="n">
        <v>22.15</v>
      </c>
      <c r="AG347" s="231" t="n">
        <v>12.36</v>
      </c>
      <c r="AH347" s="231" t="n">
        <v>6.1</v>
      </c>
      <c r="AI347" s="231" t="n">
        <v>4.33</v>
      </c>
      <c r="AJ347" s="261" t="n">
        <v>0.5208333333333334</v>
      </c>
      <c r="AL347" s="231" t="n">
        <v>175</v>
      </c>
      <c r="AM347" s="3" t="n">
        <v>180</v>
      </c>
      <c r="AN347" s="4">
        <f>AE347</f>
        <v/>
      </c>
      <c r="AO347" s="231" t="n">
        <v>7.68</v>
      </c>
      <c r="AP347" s="255">
        <f>360-AK347-AB347</f>
        <v/>
      </c>
      <c r="AQ347" s="2" t="n">
        <v>2240.000000000009</v>
      </c>
      <c r="AR347" s="13">
        <f>AVERAGE(AO345:AO351)</f>
        <v/>
      </c>
      <c r="AS347" s="2" t="n">
        <v>20.61349693251562</v>
      </c>
      <c r="AT347" s="156">
        <f>(E347-W347)/E347</f>
        <v/>
      </c>
      <c r="AU347" s="155">
        <f>(I347-AF347)/I347</f>
        <v/>
      </c>
      <c r="AV347" s="155">
        <f>AG347/(AD347-AF347)</f>
        <v/>
      </c>
      <c r="AW347" s="155">
        <f>(G347-AM347)/G347</f>
        <v/>
      </c>
      <c r="AX347" s="254">
        <f>IF(AND(ISNUMBER(E347),ISNUMBER(W347)),E347-W347,"")</f>
        <v/>
      </c>
      <c r="AY347" s="254">
        <f>IF(AND(ISNUMBER(I347),ISNUMBER(AF347)),I347-AF347,"")</f>
        <v/>
      </c>
      <c r="AZ347" s="254">
        <f>IF(AND(ISNUMBER(AM347),ISNUMBER(G347)),G347-AM347,"")</f>
        <v/>
      </c>
      <c r="BA347" s="254">
        <f>IF(AND(ISNUMBER(AC347),ISNUMBER(AE347)),AC347-AE347,"")</f>
        <v/>
      </c>
      <c r="BB347" s="254">
        <f>IF(AND(ISNUMBER(AL347),ISNUMBER(AM347)),AL347-AM347,"")</f>
        <v/>
      </c>
      <c r="BC347" s="60">
        <f>IF(AND($E347&gt;0,$W347&gt;0),IF(($E347-$W347)/$E347&gt;0,($E347-$W347)/$E347,0),"")</f>
        <v/>
      </c>
      <c r="BD347" s="60">
        <f>IF(AND($I347&gt;0,$AF347&gt;=0),IF(($I347-$AF347)/$I347&gt;0,($I347-$AF347)/$I347,0),"")</f>
        <v/>
      </c>
      <c r="BE347" s="60" t="n"/>
      <c r="BF347" s="60">
        <f>IF(AND($G347&gt;0,$AM347&gt;0),IF(($G347-$AM347)/$G347&gt;0,($G347-$AM347)/$G347,0),"")</f>
        <v/>
      </c>
      <c r="BG347" s="6">
        <f>IF((AD347-AF347)/(AJ347/60)&lt;=0,"",(AD347-AF347)/(AJ347/60))</f>
        <v/>
      </c>
      <c r="BH347" s="6">
        <f>IF(OR(AJ347=0,AP347=0,NOT(ISNUMBER(AD347)),NOT(ISNUMBER(AF347)),NOT(ISNUMBER(AJ347)),NOT(ISNUMBER(AP347))),"",
IFERROR(IF((AD347-AF347)/(AJ347/60)/(AP347/1000)&lt;=0,"",(AD347-AF347)/(AJ347/60)/(AP347/1000)),""))</f>
        <v/>
      </c>
    </row>
    <row r="348" ht="15.75" customHeight="1">
      <c r="B348" t="n">
        <v>104</v>
      </c>
      <c r="C348" s="12" t="inlineStr">
        <is>
          <t>pro-aer</t>
        </is>
      </c>
      <c r="D348" s="94" t="n">
        <v>45608</v>
      </c>
      <c r="E348" s="231" t="n">
        <v>104</v>
      </c>
      <c r="F348" s="3" t="n">
        <v>343</v>
      </c>
      <c r="G348" s="205">
        <f>IF(OR(S348="",S348=0),"",S348*2)</f>
        <v/>
      </c>
      <c r="M348" s="10">
        <f>IF(OR(E348="",G348="",E348=0,G348=0),"",E348/G348)</f>
        <v/>
      </c>
      <c r="N348" s="9">
        <f>IF(OR(E348="",I348="",E348=0,I348=0),"",E348/(I348*2))</f>
        <v/>
      </c>
      <c r="O348" s="8">
        <f>IF(OR(I348="",G348="",I348=0,G348=0),"",I348*2/G348)</f>
        <v/>
      </c>
      <c r="Z348" s="6" t="n">
        <v>1.92</v>
      </c>
      <c r="AD348" s="5" t="n">
        <v>80</v>
      </c>
      <c r="AI348" s="231" t="n">
        <v>1.28</v>
      </c>
      <c r="AJ348" s="261" t="n">
        <v>0.5207175925925925</v>
      </c>
      <c r="AL348" s="231" t="n">
        <v>175</v>
      </c>
      <c r="AM348" s="3" t="n">
        <v>180</v>
      </c>
      <c r="AP348" s="255">
        <f>360-AK348-AB348</f>
        <v/>
      </c>
      <c r="AR348" s="13">
        <f>AVERAGE(AO346:AO352)</f>
        <v/>
      </c>
      <c r="AT348" s="156">
        <f>(E348-W348)/E348</f>
        <v/>
      </c>
      <c r="AU348" s="155">
        <f>(I348-AF348)/I348</f>
        <v/>
      </c>
      <c r="AV348" s="155">
        <f>AG348/(AD348-AF348)</f>
        <v/>
      </c>
      <c r="AW348" s="155">
        <f>(G348-AM348)/G348</f>
        <v/>
      </c>
      <c r="AX348" s="254">
        <f>IF(AND(ISNUMBER(E348),ISNUMBER(W348)),E348-W348,"")</f>
        <v/>
      </c>
      <c r="AY348" s="254">
        <f>IF(AND(ISNUMBER(I348),ISNUMBER(AF348)),I348-AF348,"")</f>
        <v/>
      </c>
      <c r="AZ348" s="254">
        <f>IF(AND(ISNUMBER(AM348),ISNUMBER(G348)),G348-AM348,"")</f>
        <v/>
      </c>
      <c r="BA348" s="254">
        <f>IF(AND(ISNUMBER(AC348),ISNUMBER(AE348)),AC348-AE348,"")</f>
        <v/>
      </c>
      <c r="BB348" s="254">
        <f>IF(AND(ISNUMBER(AL348),ISNUMBER(AM348)),AL348-AM348,"")</f>
        <v/>
      </c>
      <c r="BC348" s="60">
        <f>IF(AND($E348&gt;0,$W348&gt;0),IF(($E348-$W348)/$E348&gt;0,($E348-$W348)/$E348,0),"")</f>
        <v/>
      </c>
      <c r="BD348" s="60">
        <f>IF(AND($I348&gt;0,$AF348&gt;=0),IF(($I348-$AF348)/$I348&gt;0,($I348-$AF348)/$I348,0),"")</f>
        <v/>
      </c>
      <c r="BE348" s="60" t="n"/>
      <c r="BF348" s="60">
        <f>IF(AND($G348&gt;0,$AM348&gt;0),IF(($G348-$AM348)/$G348&gt;0,($G348-$AM348)/$G348,0),"")</f>
        <v/>
      </c>
      <c r="BG348" s="6">
        <f>IF((AD348-AF348)/(AJ348/60)&lt;=0,"",(AD348-AF348)/(AJ348/60))</f>
        <v/>
      </c>
      <c r="BH348" s="6">
        <f>IF(OR(AJ348=0,AP348=0,NOT(ISNUMBER(AD348)),NOT(ISNUMBER(AF348)),NOT(ISNUMBER(AJ348)),NOT(ISNUMBER(AP348))),"",
IFERROR(IF((AD348-AF348)/(AJ348/60)/(AP348/1000)&lt;=0,"",(AD348-AF348)/(AJ348/60)/(AP348/1000)),""))</f>
        <v/>
      </c>
    </row>
    <row r="349" ht="15.75" customHeight="1">
      <c r="B349" t="n">
        <v>105</v>
      </c>
      <c r="D349" s="94" t="n">
        <v>45609</v>
      </c>
      <c r="E349" s="231" t="n">
        <v>105</v>
      </c>
      <c r="F349" s="3" t="n">
        <v>344</v>
      </c>
      <c r="G349" s="205">
        <f>IF(OR(S349="",S349=0),"",S349*2)</f>
        <v/>
      </c>
      <c r="M349" s="10">
        <f>IF(OR(E349="",G349="",E349=0,G349=0),"",E349/G349)</f>
        <v/>
      </c>
      <c r="N349" s="9">
        <f>IF(OR(E349="",I349="",E349=0,I349=0),"",E349/(I349*2))</f>
        <v/>
      </c>
      <c r="O349" s="8">
        <f>IF(OR(I349="",G349="",I349=0,G349=0),"",I349*2/G349)</f>
        <v/>
      </c>
      <c r="Z349" s="6" t="n">
        <v>0.18</v>
      </c>
      <c r="AD349" s="5" t="n">
        <v>80</v>
      </c>
      <c r="AI349" s="67" t="n">
        <v>5.04</v>
      </c>
      <c r="AJ349" s="261" t="n">
        <v>0.508449074074074</v>
      </c>
      <c r="AL349" s="231" t="n">
        <v>175</v>
      </c>
      <c r="AM349" s="3" t="n">
        <v>180</v>
      </c>
      <c r="AP349" s="255">
        <f>360-AK349-AB349</f>
        <v/>
      </c>
      <c r="AR349" s="13">
        <f>AVERAGE(AO347:AO353)</f>
        <v/>
      </c>
      <c r="AT349" s="156">
        <f>(E349-W349)/E349</f>
        <v/>
      </c>
      <c r="AU349" s="155">
        <f>(I349-AF349)/I349</f>
        <v/>
      </c>
      <c r="AV349" s="155">
        <f>AG349/(AD349-AF349)</f>
        <v/>
      </c>
      <c r="AW349" s="155">
        <f>(G349-AM349)/G349</f>
        <v/>
      </c>
      <c r="AX349" s="254">
        <f>IF(AND(ISNUMBER(E349),ISNUMBER(W349)),E349-W349,"")</f>
        <v/>
      </c>
      <c r="AY349" s="254">
        <f>IF(AND(ISNUMBER(I349),ISNUMBER(AF349)),I349-AF349,"")</f>
        <v/>
      </c>
      <c r="AZ349" s="254">
        <f>IF(AND(ISNUMBER(AM349),ISNUMBER(G349)),G349-AM349,"")</f>
        <v/>
      </c>
      <c r="BA349" s="254">
        <f>IF(AND(ISNUMBER(AC349),ISNUMBER(AE349)),AC349-AE349,"")</f>
        <v/>
      </c>
      <c r="BB349" s="254">
        <f>IF(AND(ISNUMBER(AL349),ISNUMBER(AM349)),AL349-AM349,"")</f>
        <v/>
      </c>
      <c r="BC349" s="60">
        <f>IF(AND($E349&gt;0,$W349&gt;0),IF(($E349-$W349)/$E349&gt;0,($E349-$W349)/$E349,0),"")</f>
        <v/>
      </c>
      <c r="BD349" s="60">
        <f>IF(AND($I349&gt;0,$AF349&gt;=0),IF(($I349-$AF349)/$I349&gt;0,($I349-$AF349)/$I349,0),"")</f>
        <v/>
      </c>
      <c r="BE349" s="60" t="n"/>
      <c r="BF349" s="60">
        <f>IF(AND($G349&gt;0,$AM349&gt;0),IF(($G349-$AM349)/$G349&gt;0,($G349-$AM349)/$G349,0),"")</f>
        <v/>
      </c>
      <c r="BG349" s="6">
        <f>IF((AD349-AF349)/(AJ349/60)&lt;=0,"",(AD349-AF349)/(AJ349/60))</f>
        <v/>
      </c>
      <c r="BH349" s="6">
        <f>IF(OR(AJ349=0,AP349=0,NOT(ISNUMBER(AD349)),NOT(ISNUMBER(AF349)),NOT(ISNUMBER(AJ349)),NOT(ISNUMBER(AP349))),"",
IFERROR(IF((AD349-AF349)/(AJ349/60)/(AP349/1000)&lt;=0,"",(AD349-AF349)/(AJ349/60)/(AP349/1000)),""))</f>
        <v/>
      </c>
    </row>
    <row r="350" ht="15.75" customHeight="1">
      <c r="A350" s="260" t="inlineStr">
        <is>
          <t>B46</t>
        </is>
      </c>
      <c r="B350" s="260" t="n">
        <v>106</v>
      </c>
      <c r="C350" s="111" t="inlineStr">
        <is>
          <t>bring back ORP</t>
        </is>
      </c>
      <c r="D350" s="110" t="n">
        <v>45610</v>
      </c>
      <c r="E350" s="231" t="n">
        <v>106</v>
      </c>
      <c r="F350" s="3" t="n">
        <v>345</v>
      </c>
      <c r="G350" s="205">
        <f>IF(OR(S350="",S350=0),"",S350*2)</f>
        <v/>
      </c>
      <c r="M350" s="10">
        <f>IF(OR(E350="",G350="",E350=0,G350=0),"",E350/G350)</f>
        <v/>
      </c>
      <c r="N350" s="9">
        <f>IF(OR(E350="",I350="",E350=0,I350=0),"",E350/(I350*2))</f>
        <v/>
      </c>
      <c r="O350" s="8">
        <f>IF(OR(I350="",G350="",I350=0,G350=0),"",I350*2/G350)</f>
        <v/>
      </c>
      <c r="Z350" s="6" t="n">
        <v>0.18</v>
      </c>
      <c r="AD350" s="5" t="n">
        <v>80</v>
      </c>
      <c r="AI350" s="67" t="n">
        <v>5.16</v>
      </c>
      <c r="AJ350" s="261" t="n">
        <v>0.5208333333333334</v>
      </c>
      <c r="AL350" s="231" t="n">
        <v>175</v>
      </c>
      <c r="AM350" s="3" t="n">
        <v>180</v>
      </c>
      <c r="AP350" s="255">
        <f>360-AK350-AB350</f>
        <v/>
      </c>
      <c r="AR350" s="103">
        <f>AVERAGE(AO347,AO356)</f>
        <v/>
      </c>
      <c r="AT350" s="156">
        <f>(E350-W350)/E350</f>
        <v/>
      </c>
      <c r="AU350" s="155">
        <f>(I350-AF350)/I350</f>
        <v/>
      </c>
      <c r="AV350" s="155">
        <f>AG350/(AD350-AF350)</f>
        <v/>
      </c>
      <c r="AW350" s="155">
        <f>(G350-AM350)/G350</f>
        <v/>
      </c>
      <c r="AX350" s="254">
        <f>IF(AND(ISNUMBER(E350),ISNUMBER(W350)),E350-W350,"")</f>
        <v/>
      </c>
      <c r="AY350" s="254">
        <f>IF(AND(ISNUMBER(I350),ISNUMBER(AF350)),I350-AF350,"")</f>
        <v/>
      </c>
      <c r="AZ350" s="254">
        <f>IF(AND(ISNUMBER(AM350),ISNUMBER(G350)),G350-AM350,"")</f>
        <v/>
      </c>
      <c r="BA350" s="254">
        <f>IF(AND(ISNUMBER(AC350),ISNUMBER(AE350)),AC350-AE350,"")</f>
        <v/>
      </c>
      <c r="BB350" s="254">
        <f>IF(AND(ISNUMBER(AL350),ISNUMBER(AM350)),AL350-AM350,"")</f>
        <v/>
      </c>
      <c r="BC350" s="60">
        <f>IF(AND($E350&gt;0,$W350&gt;0),IF(($E350-$W350)/$E350&gt;0,($E350-$W350)/$E350,0),"")</f>
        <v/>
      </c>
      <c r="BD350" s="60">
        <f>IF(AND($I350&gt;0,$AF350&gt;=0),IF(($I350-$AF350)/$I350&gt;0,($I350-$AF350)/$I350,0),"")</f>
        <v/>
      </c>
      <c r="BE350" s="60" t="n"/>
      <c r="BF350" s="60">
        <f>IF(AND($G350&gt;0,$AM350&gt;0),IF(($G350-$AM350)/$G350&gt;0,($G350-$AM350)/$G350,0),"")</f>
        <v/>
      </c>
      <c r="BG350" s="6">
        <f>IF((AD350-AF350)/(AJ350/60)&lt;=0,"",(AD350-AF350)/(AJ350/60))</f>
        <v/>
      </c>
      <c r="BH350" s="6">
        <f>IF(OR(AJ350=0,AP350=0,NOT(ISNUMBER(AD350)),NOT(ISNUMBER(AF350)),NOT(ISNUMBER(AJ350)),NOT(ISNUMBER(AP350))),"",
IFERROR(IF((AD350-AF350)/(AJ350/60)/(AP350/1000)&lt;=0,"",(AD350-AF350)/(AJ350/60)/(AP350/1000)),""))</f>
        <v/>
      </c>
    </row>
    <row r="351" ht="15.75" customHeight="1">
      <c r="B351" t="n">
        <v>107</v>
      </c>
      <c r="D351" s="94" t="n">
        <v>45611</v>
      </c>
      <c r="E351" s="231" t="n">
        <v>107</v>
      </c>
      <c r="F351" s="3" t="n">
        <v>346</v>
      </c>
      <c r="G351" s="205">
        <f>IF(OR(S351="",S351=0),"",S351*2)</f>
        <v/>
      </c>
      <c r="M351" s="10">
        <f>IF(OR(E351="",G351="",E351=0,G351=0),"",E351/G351)</f>
        <v/>
      </c>
      <c r="N351" s="9">
        <f>IF(OR(E351="",I351="",E351=0,I351=0),"",E351/(I351*2))</f>
        <v/>
      </c>
      <c r="O351" s="8">
        <f>IF(OR(I351="",G351="",I351=0,G351=0),"",I351*2/G351)</f>
        <v/>
      </c>
      <c r="Z351" s="6" t="n">
        <v>0.18</v>
      </c>
      <c r="AD351" s="5" t="n">
        <v>80</v>
      </c>
      <c r="AI351" s="67" t="n">
        <v>5.06</v>
      </c>
      <c r="AJ351" s="261" t="n">
        <v>0.5208333333333334</v>
      </c>
      <c r="AL351" s="231" t="n">
        <v>175</v>
      </c>
      <c r="AM351" s="3" t="n">
        <v>180</v>
      </c>
      <c r="AP351" s="255">
        <f>360-AK351-AB351</f>
        <v/>
      </c>
      <c r="AR351" s="103">
        <f>AVERAGE(AO347,AO356)</f>
        <v/>
      </c>
      <c r="AT351" s="156">
        <f>(E351-W351)/E351</f>
        <v/>
      </c>
      <c r="AU351" s="155">
        <f>(I351-AF351)/I351</f>
        <v/>
      </c>
      <c r="AV351" s="155">
        <f>AG351/(AD351-AF351)</f>
        <v/>
      </c>
      <c r="AW351" s="155">
        <f>(G351-AM351)/G351</f>
        <v/>
      </c>
      <c r="AX351" s="254">
        <f>IF(AND(ISNUMBER(E351),ISNUMBER(W351)),E351-W351,"")</f>
        <v/>
      </c>
      <c r="AY351" s="254">
        <f>IF(AND(ISNUMBER(I351),ISNUMBER(AF351)),I351-AF351,"")</f>
        <v/>
      </c>
      <c r="AZ351" s="254">
        <f>IF(AND(ISNUMBER(AM351),ISNUMBER(G351)),G351-AM351,"")</f>
        <v/>
      </c>
      <c r="BA351" s="254">
        <f>IF(AND(ISNUMBER(AC351),ISNUMBER(AE351)),AC351-AE351,"")</f>
        <v/>
      </c>
      <c r="BB351" s="254">
        <f>IF(AND(ISNUMBER(AL351),ISNUMBER(AM351)),AL351-AM351,"")</f>
        <v/>
      </c>
      <c r="BC351" s="60">
        <f>IF(AND($E351&gt;0,$W351&gt;0),IF(($E351-$W351)/$E351&gt;0,($E351-$W351)/$E351,0),"")</f>
        <v/>
      </c>
      <c r="BD351" s="60">
        <f>IF(AND($I351&gt;0,$AF351&gt;=0),IF(($I351-$AF351)/$I351&gt;0,($I351-$AF351)/$I351,0),"")</f>
        <v/>
      </c>
      <c r="BE351" s="60" t="n"/>
      <c r="BF351" s="60">
        <f>IF(AND($G351&gt;0,$AM351&gt;0),IF(($G351-$AM351)/$G351&gt;0,($G351-$AM351)/$G351,0),"")</f>
        <v/>
      </c>
      <c r="BG351" s="6">
        <f>IF((AD351-AF351)/(AJ351/60)&lt;=0,"",(AD351-AF351)/(AJ351/60))</f>
        <v/>
      </c>
      <c r="BH351" s="6">
        <f>IF(OR(AJ351=0,AP351=0,NOT(ISNUMBER(AD351)),NOT(ISNUMBER(AF351)),NOT(ISNUMBER(AJ351)),NOT(ISNUMBER(AP351))),"",
IFERROR(IF((AD351-AF351)/(AJ351/60)/(AP351/1000)&lt;=0,"",(AD351-AF351)/(AJ351/60)/(AP351/1000)),""))</f>
        <v/>
      </c>
    </row>
    <row r="352" ht="15.75" customHeight="1">
      <c r="B352" t="n">
        <v>108</v>
      </c>
      <c r="D352" s="94" t="n">
        <v>45612</v>
      </c>
      <c r="E352" s="231" t="n">
        <v>108</v>
      </c>
      <c r="F352" s="3" t="n">
        <v>347</v>
      </c>
      <c r="G352" s="205">
        <f>IF(OR(S352="",S352=0),"",S352*2)</f>
        <v/>
      </c>
      <c r="M352" s="10">
        <f>IF(OR(E352="",G352="",E352=0,G352=0),"",E352/G352)</f>
        <v/>
      </c>
      <c r="N352" s="9">
        <f>IF(OR(E352="",I352="",E352=0,I352=0),"",E352/(I352*2))</f>
        <v/>
      </c>
      <c r="O352" s="8">
        <f>IF(OR(I352="",G352="",I352=0,G352=0),"",I352*2/G352)</f>
        <v/>
      </c>
      <c r="Z352" s="6" t="n">
        <v>0.18</v>
      </c>
      <c r="AD352" s="5" t="n">
        <v>80</v>
      </c>
      <c r="AI352" s="67" t="n">
        <v>4.93</v>
      </c>
      <c r="AJ352" s="261" t="n">
        <v>0.5197916666666667</v>
      </c>
      <c r="AL352" s="231" t="n">
        <v>175</v>
      </c>
      <c r="AM352" s="3" t="n">
        <v>180</v>
      </c>
      <c r="AP352" s="255">
        <f>360-AK352-AB352</f>
        <v/>
      </c>
      <c r="AR352" s="103">
        <f>AVERAGE(AO347,AO356)</f>
        <v/>
      </c>
      <c r="AT352" s="156">
        <f>(E352-W352)/E352</f>
        <v/>
      </c>
      <c r="AU352" s="155">
        <f>(I352-AF352)/I352</f>
        <v/>
      </c>
      <c r="AV352" s="155">
        <f>AG352/(AD352-AF352)</f>
        <v/>
      </c>
      <c r="AW352" s="155">
        <f>(G352-AM352)/G352</f>
        <v/>
      </c>
      <c r="AX352" s="254">
        <f>IF(AND(ISNUMBER(E352),ISNUMBER(W352)),E352-W352,"")</f>
        <v/>
      </c>
      <c r="AY352" s="254">
        <f>IF(AND(ISNUMBER(I352),ISNUMBER(AF352)),I352-AF352,"")</f>
        <v/>
      </c>
      <c r="AZ352" s="254">
        <f>IF(AND(ISNUMBER(AM352),ISNUMBER(G352)),G352-AM352,"")</f>
        <v/>
      </c>
      <c r="BA352" s="254">
        <f>IF(AND(ISNUMBER(AC352),ISNUMBER(AE352)),AC352-AE352,"")</f>
        <v/>
      </c>
      <c r="BB352" s="254">
        <f>IF(AND(ISNUMBER(AL352),ISNUMBER(AM352)),AL352-AM352,"")</f>
        <v/>
      </c>
      <c r="BC352" s="60">
        <f>IF(AND($E352&gt;0,$W352&gt;0),IF(($E352-$W352)/$E352&gt;0,($E352-$W352)/$E352,0),"")</f>
        <v/>
      </c>
      <c r="BD352" s="60">
        <f>IF(AND($I352&gt;0,$AF352&gt;=0),IF(($I352-$AF352)/$I352&gt;0,($I352-$AF352)/$I352,0),"")</f>
        <v/>
      </c>
      <c r="BE352" s="60" t="n"/>
      <c r="BF352" s="60">
        <f>IF(AND($G352&gt;0,$AM352&gt;0),IF(($G352-$AM352)/$G352&gt;0,($G352-$AM352)/$G352,0),"")</f>
        <v/>
      </c>
      <c r="BG352" s="6">
        <f>IF((AD352-AF352)/(AJ352/60)&lt;=0,"",(AD352-AF352)/(AJ352/60))</f>
        <v/>
      </c>
      <c r="BH352" s="6">
        <f>IF(OR(AJ352=0,AP352=0,NOT(ISNUMBER(AD352)),NOT(ISNUMBER(AF352)),NOT(ISNUMBER(AJ352)),NOT(ISNUMBER(AP352))),"",
IFERROR(IF((AD352-AF352)/(AJ352/60)/(AP352/1000)&lt;=0,"",(AD352-AF352)/(AJ352/60)/(AP352/1000)),""))</f>
        <v/>
      </c>
    </row>
    <row r="353" ht="15.75" customHeight="1">
      <c r="B353" t="n">
        <v>109</v>
      </c>
      <c r="D353" s="94" t="n">
        <v>45613</v>
      </c>
      <c r="E353" s="231" t="n">
        <v>109</v>
      </c>
      <c r="F353" s="3" t="n">
        <v>348</v>
      </c>
      <c r="G353" s="205">
        <f>IF(OR(S353="",S353=0),"",S353*2)</f>
        <v/>
      </c>
      <c r="M353" s="10">
        <f>IF(OR(E353="",G353="",E353=0,G353=0),"",E353/G353)</f>
        <v/>
      </c>
      <c r="N353" s="9">
        <f>IF(OR(E353="",I353="",E353=0,I353=0),"",E353/(I353*2))</f>
        <v/>
      </c>
      <c r="O353" s="8">
        <f>IF(OR(I353="",G353="",I353=0,G353=0),"",I353*2/G353)</f>
        <v/>
      </c>
      <c r="Z353" s="6" t="n">
        <v>0.18</v>
      </c>
      <c r="AD353" s="5" t="n">
        <v>80</v>
      </c>
      <c r="AI353" s="67" t="n">
        <v>5.35</v>
      </c>
      <c r="AJ353" s="261" t="n">
        <v>0.5208333333333334</v>
      </c>
      <c r="AL353" s="231" t="n">
        <v>175</v>
      </c>
      <c r="AM353" s="3" t="n">
        <v>180</v>
      </c>
      <c r="AP353" s="255">
        <f>360-AK353-AB353</f>
        <v/>
      </c>
      <c r="AR353" s="13">
        <f>AVERAGE(AO351:AO357)</f>
        <v/>
      </c>
      <c r="AT353" s="156">
        <f>(E353-W353)/E353</f>
        <v/>
      </c>
      <c r="AU353" s="155">
        <f>(I353-AF353)/I353</f>
        <v/>
      </c>
      <c r="AV353" s="155">
        <f>AG353/(AD353-AF353)</f>
        <v/>
      </c>
      <c r="AW353" s="155">
        <f>(G353-AM353)/G353</f>
        <v/>
      </c>
      <c r="AX353" s="254">
        <f>IF(AND(ISNUMBER(E353),ISNUMBER(W353)),E353-W353,"")</f>
        <v/>
      </c>
      <c r="AY353" s="254">
        <f>IF(AND(ISNUMBER(I353),ISNUMBER(AF353)),I353-AF353,"")</f>
        <v/>
      </c>
      <c r="AZ353" s="254">
        <f>IF(AND(ISNUMBER(AM353),ISNUMBER(G353)),G353-AM353,"")</f>
        <v/>
      </c>
      <c r="BA353" s="254">
        <f>IF(AND(ISNUMBER(AC353),ISNUMBER(AE353)),AC353-AE353,"")</f>
        <v/>
      </c>
      <c r="BB353" s="254">
        <f>IF(AND(ISNUMBER(AL353),ISNUMBER(AM353)),AL353-AM353,"")</f>
        <v/>
      </c>
      <c r="BC353" s="60">
        <f>IF(AND($E353&gt;0,$W353&gt;0),IF(($E353-$W353)/$E353&gt;0,($E353-$W353)/$E353,0),"")</f>
        <v/>
      </c>
      <c r="BD353" s="60">
        <f>IF(AND($I353&gt;0,$AF353&gt;=0),IF(($I353-$AF353)/$I353&gt;0,($I353-$AF353)/$I353,0),"")</f>
        <v/>
      </c>
      <c r="BE353" s="60" t="n"/>
      <c r="BF353" s="60">
        <f>IF(AND($G353&gt;0,$AM353&gt;0),IF(($G353-$AM353)/$G353&gt;0,($G353-$AM353)/$G353,0),"")</f>
        <v/>
      </c>
      <c r="BG353" s="6">
        <f>IF((AD353-AF353)/(AJ353/60)&lt;=0,"",(AD353-AF353)/(AJ353/60))</f>
        <v/>
      </c>
      <c r="BH353" s="6">
        <f>IF(OR(AJ353=0,AP353=0,NOT(ISNUMBER(AD353)),NOT(ISNUMBER(AF353)),NOT(ISNUMBER(AJ353)),NOT(ISNUMBER(AP353))),"",
IFERROR(IF((AD353-AF353)/(AJ353/60)/(AP353/1000)&lt;=0,"",(AD353-AF353)/(AJ353/60)/(AP353/1000)),""))</f>
        <v/>
      </c>
    </row>
    <row r="354" ht="15.75" customHeight="1">
      <c r="B354" t="n">
        <v>110</v>
      </c>
      <c r="D354" s="94" t="n">
        <v>45614</v>
      </c>
      <c r="E354" s="231" t="n">
        <v>110</v>
      </c>
      <c r="F354" s="3" t="n">
        <v>349</v>
      </c>
      <c r="G354" s="205">
        <f>IF(OR(S354="",S354=0),"",S354*2)</f>
        <v/>
      </c>
      <c r="M354" s="10">
        <f>IF(OR(E354="",G354="",E354=0,G354=0),"",E354/G354)</f>
        <v/>
      </c>
      <c r="N354" s="9">
        <f>IF(OR(E354="",I354="",E354=0,I354=0),"",E354/(I354*2))</f>
        <v/>
      </c>
      <c r="O354" s="8">
        <f>IF(OR(I354="",G354="",I354=0,G354=0),"",I354*2/G354)</f>
        <v/>
      </c>
      <c r="Z354" s="6" t="n">
        <v>0.19</v>
      </c>
      <c r="AD354" s="5" t="n">
        <v>80</v>
      </c>
      <c r="AI354" s="67" t="n">
        <v>5.11</v>
      </c>
      <c r="AJ354" s="261" t="n">
        <v>0.5200231481481481</v>
      </c>
      <c r="AL354" s="231" t="n">
        <v>175</v>
      </c>
      <c r="AM354" s="3" t="n">
        <v>180</v>
      </c>
      <c r="AP354" s="255">
        <f>360-AK354-AB354</f>
        <v/>
      </c>
      <c r="AR354" s="13">
        <f>AVERAGE(AO352:AO358)</f>
        <v/>
      </c>
      <c r="AT354" s="156">
        <f>(E354-W354)/E354</f>
        <v/>
      </c>
      <c r="AU354" s="155">
        <f>(I354-AF354)/I354</f>
        <v/>
      </c>
      <c r="AV354" s="155">
        <f>AG354/(AD354-AF354)</f>
        <v/>
      </c>
      <c r="AW354" s="155">
        <f>(G354-AM354)/G354</f>
        <v/>
      </c>
      <c r="AX354" s="254">
        <f>IF(AND(ISNUMBER(E354),ISNUMBER(W354)),E354-W354,"")</f>
        <v/>
      </c>
      <c r="AY354" s="254">
        <f>IF(AND(ISNUMBER(I354),ISNUMBER(AF354)),I354-AF354,"")</f>
        <v/>
      </c>
      <c r="AZ354" s="254">
        <f>IF(AND(ISNUMBER(AM354),ISNUMBER(G354)),G354-AM354,"")</f>
        <v/>
      </c>
      <c r="BA354" s="254">
        <f>IF(AND(ISNUMBER(AC354),ISNUMBER(AE354)),AC354-AE354,"")</f>
        <v/>
      </c>
      <c r="BB354" s="254">
        <f>IF(AND(ISNUMBER(AL354),ISNUMBER(AM354)),AL354-AM354,"")</f>
        <v/>
      </c>
      <c r="BC354" s="60">
        <f>IF(AND($E354&gt;0,$W354&gt;0),IF(($E354-$W354)/$E354&gt;0,($E354-$W354)/$E354,0),"")</f>
        <v/>
      </c>
      <c r="BD354" s="60">
        <f>IF(AND($I354&gt;0,$AF354&gt;=0),IF(($I354-$AF354)/$I354&gt;0,($I354-$AF354)/$I354,0),"")</f>
        <v/>
      </c>
      <c r="BE354" s="60" t="n"/>
      <c r="BF354" s="60">
        <f>IF(AND($G354&gt;0,$AM354&gt;0),IF(($G354-$AM354)/$G354&gt;0,($G354-$AM354)/$G354,0),"")</f>
        <v/>
      </c>
      <c r="BG354" s="6">
        <f>IF((AD354-AF354)/(AJ354/60)&lt;=0,"",(AD354-AF354)/(AJ354/60))</f>
        <v/>
      </c>
      <c r="BH354" s="6">
        <f>IF(OR(AJ354=0,AP354=0,NOT(ISNUMBER(AD354)),NOT(ISNUMBER(AF354)),NOT(ISNUMBER(AJ354)),NOT(ISNUMBER(AP354))),"",
IFERROR(IF((AD354-AF354)/(AJ354/60)/(AP354/1000)&lt;=0,"",(AD354-AF354)/(AJ354/60)/(AP354/1000)),""))</f>
        <v/>
      </c>
    </row>
    <row r="355" ht="15.75" customHeight="1">
      <c r="B355" t="n">
        <v>111</v>
      </c>
      <c r="D355" s="94" t="n">
        <v>45615</v>
      </c>
      <c r="E355" s="231" t="n">
        <v>111</v>
      </c>
      <c r="F355" s="3" t="n">
        <v>350</v>
      </c>
      <c r="G355" s="205">
        <f>IF(OR(S355="",S355=0),"",S355*2)</f>
        <v/>
      </c>
      <c r="I355" s="15">
        <f>(N355*18-H355*18)/9</f>
        <v/>
      </c>
      <c r="J355" s="9" t="n">
        <v>4.26</v>
      </c>
      <c r="K355" s="15">
        <f>AD355</f>
        <v/>
      </c>
      <c r="M355" s="10">
        <f>IF(OR(E355="",G355="",E355=0,G355=0),"",E355/G355)</f>
        <v/>
      </c>
      <c r="N355" s="9">
        <f>IF(OR(E355="",I355="",E355=0,I355=0),"",E355/(I355*2))</f>
        <v/>
      </c>
      <c r="O355" s="8">
        <f>IF(OR(I355="",G355="",I355=0,G355=0),"",I355*2/G355)</f>
        <v/>
      </c>
      <c r="P355" s="7">
        <f>5*2.25</f>
        <v/>
      </c>
      <c r="Q355" t="n">
        <v>79.873</v>
      </c>
      <c r="R355" t="n">
        <v>27.306</v>
      </c>
      <c r="S355" s="6">
        <f>O355*1.067</f>
        <v/>
      </c>
      <c r="T355" s="6">
        <f>P355*1.514</f>
        <v/>
      </c>
      <c r="U355" s="23">
        <f>P355*1.514+O355*1.067</f>
        <v/>
      </c>
      <c r="V355" s="6">
        <f>5*4.9</f>
        <v/>
      </c>
      <c r="W355" t="n">
        <v>1.658</v>
      </c>
      <c r="X355" t="n">
        <v>1.883</v>
      </c>
      <c r="Y355" s="23">
        <f>U355*1.067+V355*1.514</f>
        <v/>
      </c>
      <c r="Z355" s="6" t="n">
        <v>0.46</v>
      </c>
      <c r="AD355" s="5" t="n">
        <v>80</v>
      </c>
      <c r="AE355" s="7">
        <f>T355</f>
        <v/>
      </c>
      <c r="AF355" s="231">
        <f>5*5.03</f>
        <v/>
      </c>
      <c r="AG355" s="231">
        <f>5*2.66</f>
        <v/>
      </c>
      <c r="AH355" s="231">
        <f>2*5.58</f>
        <v/>
      </c>
      <c r="AI355" s="67" t="n">
        <v>3.88</v>
      </c>
      <c r="AJ355" s="261" t="n">
        <v>0.5201388888888889</v>
      </c>
      <c r="AL355" s="231" t="n">
        <v>175</v>
      </c>
      <c r="AM355" s="3" t="n">
        <v>180</v>
      </c>
      <c r="AN355" s="4">
        <f>AE355</f>
        <v/>
      </c>
      <c r="AO355" s="231">
        <f>5*1.95</f>
        <v/>
      </c>
      <c r="AP355" s="255">
        <f>360-AK355-AB355</f>
        <v/>
      </c>
      <c r="AR355" s="13">
        <f>AVERAGE(AO353:AO359)</f>
        <v/>
      </c>
      <c r="AT355" s="156">
        <f>(E355-W355)/E355</f>
        <v/>
      </c>
      <c r="AU355" s="155">
        <f>(I355-AF355)/I355</f>
        <v/>
      </c>
      <c r="AV355" s="155">
        <f>AG355/(AD355-AF355)</f>
        <v/>
      </c>
      <c r="AW355" s="155">
        <f>(G355-AM355)/G355</f>
        <v/>
      </c>
      <c r="AX355" s="254">
        <f>IF(AND(ISNUMBER(E355),ISNUMBER(W355)),E355-W355,"")</f>
        <v/>
      </c>
      <c r="AY355" s="254">
        <f>IF(AND(ISNUMBER(I355),ISNUMBER(AF355)),I355-AF355,"")</f>
        <v/>
      </c>
      <c r="AZ355" s="254">
        <f>IF(AND(ISNUMBER(AM355),ISNUMBER(G355)),G355-AM355,"")</f>
        <v/>
      </c>
      <c r="BA355" s="254">
        <f>IF(AND(ISNUMBER(AC355),ISNUMBER(AE355)),AC355-AE355,"")</f>
        <v/>
      </c>
      <c r="BB355" s="254">
        <f>IF(AND(ISNUMBER(AL355),ISNUMBER(AM355)),AL355-AM355,"")</f>
        <v/>
      </c>
      <c r="BC355" s="60">
        <f>IF(AND($E355&gt;0,$W355&gt;0),IF(($E355-$W355)/$E355&gt;0,($E355-$W355)/$E355,0),"")</f>
        <v/>
      </c>
      <c r="BD355" s="60">
        <f>IF(AND($I355&gt;0,$AF355&gt;=0),IF(($I355-$AF355)/$I355&gt;0,($I355-$AF355)/$I355,0),"")</f>
        <v/>
      </c>
      <c r="BE355" s="60">
        <f>IF(AND($AG355&gt;=0,$AD355&gt;=0,$AF355&gt;=0),IF($AG355/($AD355-$AF355)&gt;0,$AG355/($AD355-$AF355),0),"")</f>
        <v/>
      </c>
      <c r="BF355" s="60">
        <f>IF(AND($G355&gt;0,$AM355&gt;0),IF(($G355-$AM355)/$G355&gt;0,($G355-$AM355)/$G355,0),"")</f>
        <v/>
      </c>
      <c r="BG355" s="6">
        <f>IF((AD355-AF355)/(AJ355/60)&lt;=0,"",(AD355-AF355)/(AJ355/60))</f>
        <v/>
      </c>
      <c r="BH355" s="6">
        <f>IF(OR(AJ355=0,AP355=0,NOT(ISNUMBER(AD355)),NOT(ISNUMBER(AF355)),NOT(ISNUMBER(AJ355)),NOT(ISNUMBER(AP355))),"",
IFERROR(IF((AD355-AF355)/(AJ355/60)/(AP355/1000)&lt;=0,"",(AD355-AF355)/(AJ355/60)/(AP355/1000)),""))</f>
        <v/>
      </c>
    </row>
    <row r="356" ht="15.75" customHeight="1">
      <c r="B356" t="n">
        <v>112</v>
      </c>
      <c r="D356" s="94" t="n">
        <v>45616</v>
      </c>
      <c r="E356" s="231" t="n">
        <v>112</v>
      </c>
      <c r="F356" s="3" t="n">
        <v>351</v>
      </c>
      <c r="G356" s="205">
        <f>IF(OR(S356="",S356=0),"",S356*2)</f>
        <v/>
      </c>
      <c r="M356" s="10">
        <f>IF(OR(E356="",G356="",E356=0,G356=0),"",E356/G356)</f>
        <v/>
      </c>
      <c r="N356" s="9">
        <f>IF(OR(E356="",I356="",E356=0,I356=0),"",E356/(I356*2))</f>
        <v/>
      </c>
      <c r="O356" s="8">
        <f>IF(OR(I356="",G356="",I356=0,G356=0),"",I356*2/G356)</f>
        <v/>
      </c>
      <c r="Z356" s="6" t="n">
        <v>0.18</v>
      </c>
      <c r="AD356" s="5" t="n">
        <v>80</v>
      </c>
      <c r="AF356" s="95" t="n">
        <v>24.5</v>
      </c>
      <c r="AI356" s="67" t="n">
        <v>3.93</v>
      </c>
      <c r="AJ356" s="261" t="n">
        <v>0.5202546296296297</v>
      </c>
      <c r="AL356" s="231" t="n">
        <v>175</v>
      </c>
      <c r="AM356" s="3" t="n">
        <v>180</v>
      </c>
      <c r="AP356" s="255">
        <f>360-AK356-AB356</f>
        <v/>
      </c>
      <c r="AQ356" s="2" t="n">
        <v>2120.000000000027</v>
      </c>
      <c r="AR356" s="13">
        <f>AVERAGE(AO354:AO360)</f>
        <v/>
      </c>
      <c r="AS356" s="2" t="n">
        <v>21.46956228198503</v>
      </c>
      <c r="AT356" s="156" t="n"/>
      <c r="AU356" s="155" t="n"/>
      <c r="AV356" s="155" t="n"/>
      <c r="AW356" s="155" t="n"/>
      <c r="AX356" s="254">
        <f>IF(AND(ISNUMBER(E356),ISNUMBER(W356)),E356-W356,"")</f>
        <v/>
      </c>
      <c r="AY356" s="254">
        <f>IF(AND(ISNUMBER(I356),ISNUMBER(AF356)),I356-AF356,"")</f>
        <v/>
      </c>
      <c r="AZ356" s="254">
        <f>IF(AND(ISNUMBER(AM356),ISNUMBER(G356)),G356-AM356,"")</f>
        <v/>
      </c>
      <c r="BA356" s="254">
        <f>IF(AND(ISNUMBER(AC356),ISNUMBER(AE356)),AC356-AE356,"")</f>
        <v/>
      </c>
      <c r="BB356" s="254">
        <f>IF(AND(ISNUMBER(AL356),ISNUMBER(AM356)),AL356-AM356,"")</f>
        <v/>
      </c>
      <c r="BC356" s="60">
        <f>IF(AND($E356&gt;0,$W356&gt;0),IF(($E356-$W356)/$E356&gt;0,($E356-$W356)/$E356,0),"")</f>
        <v/>
      </c>
      <c r="BD356" s="60">
        <f>IF(AND($I356&gt;0,$AF356&gt;=0),IF(($I356-$AF356)/$I356&gt;0,($I356-$AF356)/$I356,0),"")</f>
        <v/>
      </c>
      <c r="BE356" s="60">
        <f>IF(AND($AG356&gt;=0,$AD356&gt;=0,$AF356&gt;=0),IF($AG356/($AD356-$AF356)&gt;0,$AG356/($AD356-$AF356),0),"")</f>
        <v/>
      </c>
      <c r="BF356" s="60">
        <f>IF(AND($G356&gt;0,$AM356&gt;0),IF(($G356-$AM356)/$G356&gt;0,($G356-$AM356)/$G356,0),"")</f>
        <v/>
      </c>
      <c r="BG356" s="6">
        <f>IF((AD356-AF356)/(AJ356/60)&lt;=0,"",(AD356-AF356)/(AJ356/60))</f>
        <v/>
      </c>
      <c r="BH356" s="6">
        <f>IF(OR(AJ356=0,AP356=0,NOT(ISNUMBER(AD356)),NOT(ISNUMBER(AF356)),NOT(ISNUMBER(AJ356)),NOT(ISNUMBER(AP356))),"",
IFERROR(IF((AD356-AF356)/(AJ356/60)/(AP356/1000)&lt;=0,"",(AD356-AF356)/(AJ356/60)/(AP356/1000)),""))</f>
        <v/>
      </c>
    </row>
    <row r="357" ht="15.75" customHeight="1">
      <c r="B357" t="n">
        <v>113</v>
      </c>
      <c r="D357" s="94" t="n">
        <v>45617</v>
      </c>
      <c r="E357" s="231" t="n">
        <v>113</v>
      </c>
      <c r="F357" s="3" t="n">
        <v>352</v>
      </c>
      <c r="G357" s="205">
        <f>IF(OR(S357="",S357=0),"",S357*2)</f>
        <v/>
      </c>
      <c r="M357" s="10">
        <f>IF(OR(E357="",G357="",E357=0,G357=0),"",E357/G357)</f>
        <v/>
      </c>
      <c r="N357" s="9">
        <f>IF(OR(E357="",I357="",E357=0,I357=0),"",E357/(I357*2))</f>
        <v/>
      </c>
      <c r="O357" s="8">
        <f>IF(OR(I357="",G357="",I357=0,G357=0),"",I357*2/G357)</f>
        <v/>
      </c>
      <c r="Z357" s="6" t="n">
        <v>0.18</v>
      </c>
      <c r="AD357" s="5" t="n">
        <v>80</v>
      </c>
      <c r="AF357" s="95" t="n">
        <v>24</v>
      </c>
      <c r="AI357" s="67" t="n">
        <v>3.95</v>
      </c>
      <c r="AJ357" s="261" t="n">
        <v>0.5193287037037037</v>
      </c>
      <c r="AL357" s="231" t="n">
        <v>175</v>
      </c>
      <c r="AM357" s="3" t="n">
        <v>180</v>
      </c>
      <c r="AP357" s="255">
        <f>360-AK357-AB357</f>
        <v/>
      </c>
      <c r="AR357" s="13">
        <f>AVERAGE(AO355:AO361)</f>
        <v/>
      </c>
      <c r="AT357" s="156" t="n"/>
      <c r="AU357" s="155" t="n"/>
      <c r="AV357" s="155" t="n"/>
      <c r="AW357" s="155" t="n"/>
      <c r="AX357" s="254">
        <f>IF(AND(ISNUMBER(E357),ISNUMBER(W357)),E357-W357,"")</f>
        <v/>
      </c>
      <c r="AY357" s="254">
        <f>IF(AND(ISNUMBER(I357),ISNUMBER(AF357)),I357-AF357,"")</f>
        <v/>
      </c>
      <c r="AZ357" s="254">
        <f>IF(AND(ISNUMBER(AM357),ISNUMBER(G357)),G357-AM357,"")</f>
        <v/>
      </c>
      <c r="BA357" s="254">
        <f>IF(AND(ISNUMBER(AC357),ISNUMBER(AE357)),AC357-AE357,"")</f>
        <v/>
      </c>
      <c r="BB357" s="254">
        <f>IF(AND(ISNUMBER(AL357),ISNUMBER(AM357)),AL357-AM357,"")</f>
        <v/>
      </c>
      <c r="BC357" s="60">
        <f>IF(AND($E357&gt;0,$W357&gt;0),IF(($E357-$W357)/$E357&gt;0,($E357-$W357)/$E357,0),"")</f>
        <v/>
      </c>
      <c r="BD357" s="60">
        <f>IF(AND($I357&gt;0,$AF357&gt;=0),IF(($I357-$AF357)/$I357&gt;0,($I357-$AF357)/$I357,0),"")</f>
        <v/>
      </c>
      <c r="BE357" s="60">
        <f>IF(AND($AG357&gt;=0,$AD357&gt;=0,$AF357&gt;=0),IF($AG357/($AD357-$AF357)&gt;0,$AG357/($AD357-$AF357),0),"")</f>
        <v/>
      </c>
      <c r="BF357" s="60">
        <f>IF(AND($G357&gt;0,$AM357&gt;0),IF(($G357-$AM357)/$G357&gt;0,($G357-$AM357)/$G357,0),"")</f>
        <v/>
      </c>
      <c r="BG357" s="6">
        <f>IF((AD357-AF357)/(AJ357/60)&lt;=0,"",(AD357-AF357)/(AJ357/60))</f>
        <v/>
      </c>
      <c r="BH357" s="6">
        <f>IF(OR(AJ357=0,AP357=0,NOT(ISNUMBER(AD357)),NOT(ISNUMBER(AF357)),NOT(ISNUMBER(AJ357)),NOT(ISNUMBER(AP357))),"",
IFERROR(IF((AD357-AF357)/(AJ357/60)/(AP357/1000)&lt;=0,"",(AD357-AF357)/(AJ357/60)/(AP357/1000)),""))</f>
        <v/>
      </c>
    </row>
    <row r="358" ht="15.75" customHeight="1">
      <c r="B358" t="n">
        <v>114</v>
      </c>
      <c r="D358" s="94" t="n">
        <v>45618</v>
      </c>
      <c r="E358" s="231" t="n">
        <v>114</v>
      </c>
      <c r="F358" s="3" t="n">
        <v>353</v>
      </c>
      <c r="G358" s="205">
        <f>IF(OR(S358="",S358=0),"",S358*2)</f>
        <v/>
      </c>
      <c r="M358" s="10">
        <f>IF(OR(E358="",G358="",E358=0,G358=0),"",E358/G358)</f>
        <v/>
      </c>
      <c r="N358" s="9">
        <f>IF(OR(E358="",I358="",E358=0,I358=0),"",E358/(I358*2))</f>
        <v/>
      </c>
      <c r="O358" s="8">
        <f>IF(OR(I358="",G358="",I358=0,G358=0),"",I358*2/G358)</f>
        <v/>
      </c>
      <c r="Z358" s="6" t="n">
        <v>0.17</v>
      </c>
      <c r="AD358" s="5" t="n">
        <v>80</v>
      </c>
      <c r="AF358" s="95" t="n">
        <v>23.5</v>
      </c>
      <c r="AI358" s="67" t="n">
        <v>4.48</v>
      </c>
      <c r="AJ358" s="261" t="n">
        <v>0.5196759259259259</v>
      </c>
      <c r="AL358" s="231" t="n">
        <v>175</v>
      </c>
      <c r="AM358" s="3" t="n">
        <v>180</v>
      </c>
      <c r="AP358" s="255">
        <f>360-AK358-AB358</f>
        <v/>
      </c>
      <c r="AR358" s="13">
        <f>AVERAGE(AO356:AO362)</f>
        <v/>
      </c>
      <c r="AT358" s="156" t="n"/>
      <c r="AU358" s="155" t="n"/>
      <c r="AV358" s="155" t="n"/>
      <c r="AW358" s="155" t="n"/>
      <c r="AX358" s="254">
        <f>IF(AND(ISNUMBER(E358),ISNUMBER(W358)),E358-W358,"")</f>
        <v/>
      </c>
      <c r="AY358" s="254">
        <f>IF(AND(ISNUMBER(I358),ISNUMBER(AF358)),I358-AF358,"")</f>
        <v/>
      </c>
      <c r="AZ358" s="254">
        <f>IF(AND(ISNUMBER(AM358),ISNUMBER(G358)),G358-AM358,"")</f>
        <v/>
      </c>
      <c r="BA358" s="254">
        <f>IF(AND(ISNUMBER(AC358),ISNUMBER(AE358)),AC358-AE358,"")</f>
        <v/>
      </c>
      <c r="BB358" s="254">
        <f>IF(AND(ISNUMBER(AL358),ISNUMBER(AM358)),AL358-AM358,"")</f>
        <v/>
      </c>
      <c r="BC358" s="60">
        <f>IF(AND($E358&gt;0,$W358&gt;0),IF(($E358-$W358)/$E358&gt;0,($E358-$W358)/$E358,0),"")</f>
        <v/>
      </c>
      <c r="BD358" s="60">
        <f>IF(AND($I358&gt;0,$AF358&gt;=0),IF(($I358-$AF358)/$I358&gt;0,($I358-$AF358)/$I358,0),"")</f>
        <v/>
      </c>
      <c r="BE358" s="60">
        <f>IF(AND($AG358&gt;=0,$AD358&gt;=0,$AF358&gt;=0),IF($AG358/($AD358-$AF358)&gt;0,$AG358/($AD358-$AF358),0),"")</f>
        <v/>
      </c>
      <c r="BF358" s="60">
        <f>IF(AND($G358&gt;0,$AM358&gt;0),IF(($G358-$AM358)/$G358&gt;0,($G358-$AM358)/$G358,0),"")</f>
        <v/>
      </c>
      <c r="BG358" s="6">
        <f>IF((AD358-AF358)/(AJ358/60)&lt;=0,"",(AD358-AF358)/(AJ358/60))</f>
        <v/>
      </c>
      <c r="BH358" s="6">
        <f>IF(OR(AJ358=0,AP358=0,NOT(ISNUMBER(AD358)),NOT(ISNUMBER(AF358)),NOT(ISNUMBER(AJ358)),NOT(ISNUMBER(AP358))),"",
IFERROR(IF((AD358-AF358)/(AJ358/60)/(AP358/1000)&lt;=0,"",(AD358-AF358)/(AJ358/60)/(AP358/1000)),""))</f>
        <v/>
      </c>
    </row>
    <row r="359" ht="15.75" customHeight="1">
      <c r="A359" s="260" t="inlineStr">
        <is>
          <t>B47</t>
        </is>
      </c>
      <c r="B359" s="260" t="n">
        <v>115</v>
      </c>
      <c r="D359" s="94" t="n">
        <v>45619</v>
      </c>
      <c r="E359" s="231" t="n">
        <v>115</v>
      </c>
      <c r="F359" s="3" t="n">
        <v>354</v>
      </c>
      <c r="G359" s="205">
        <f>IF(OR(S359="",S359=0),"",S359*2)</f>
        <v/>
      </c>
      <c r="M359" s="10">
        <f>IF(OR(E359="",G359="",E359=0,G359=0),"",E359/G359)</f>
        <v/>
      </c>
      <c r="N359" s="9">
        <f>IF(OR(E359="",I359="",E359=0,I359=0),"",E359/(I359*2))</f>
        <v/>
      </c>
      <c r="O359" s="8">
        <f>IF(OR(I359="",G359="",I359=0,G359=0),"",I359*2/G359)</f>
        <v/>
      </c>
      <c r="Z359" s="6" t="n">
        <v>0.44</v>
      </c>
      <c r="AD359" s="5" t="n">
        <v>80</v>
      </c>
      <c r="AF359" s="95" t="n">
        <v>23</v>
      </c>
      <c r="AI359" s="67" t="n">
        <v>4.65</v>
      </c>
      <c r="AJ359" s="261" t="n">
        <v>0.5116898148148148</v>
      </c>
      <c r="AL359" s="231" t="n">
        <v>175</v>
      </c>
      <c r="AM359" s="3" t="n">
        <v>180</v>
      </c>
      <c r="AP359" s="255">
        <f>360-AK359-AB359</f>
        <v/>
      </c>
      <c r="AR359" s="13" t="n"/>
      <c r="AT359" s="156" t="n"/>
      <c r="AU359" s="155" t="n"/>
      <c r="AV359" s="155" t="n"/>
      <c r="AW359" s="155" t="n"/>
      <c r="AX359" s="254">
        <f>IF(AND(ISNUMBER(E359),ISNUMBER(W359)),E359-W359,"")</f>
        <v/>
      </c>
      <c r="AY359" s="254">
        <f>IF(AND(ISNUMBER(I359),ISNUMBER(AF359)),I359-AF359,"")</f>
        <v/>
      </c>
      <c r="AZ359" s="254">
        <f>IF(AND(ISNUMBER(AM359),ISNUMBER(G359)),G359-AM359,"")</f>
        <v/>
      </c>
      <c r="BA359" s="254">
        <f>IF(AND(ISNUMBER(AC359),ISNUMBER(AE359)),AC359-AE359,"")</f>
        <v/>
      </c>
      <c r="BB359" s="254">
        <f>IF(AND(ISNUMBER(AL359),ISNUMBER(AM359)),AL359-AM359,"")</f>
        <v/>
      </c>
      <c r="BC359" s="60">
        <f>IF(AND($E359&gt;0,$W359&gt;0),IF(($E359-$W359)/$E359&gt;0,($E359-$W359)/$E359,0),"")</f>
        <v/>
      </c>
      <c r="BD359" s="60">
        <f>IF(AND($I359&gt;0,$AF359&gt;=0),IF(($I359-$AF359)/$I359&gt;0,($I359-$AF359)/$I359,0),"")</f>
        <v/>
      </c>
      <c r="BE359" s="60">
        <f>IF(AND($AG359&gt;=0,$AD359&gt;=0,$AF359&gt;=0),IF($AG359/($AD359-$AF359)&gt;0,$AG359/($AD359-$AF359),0),"")</f>
        <v/>
      </c>
      <c r="BF359" s="60">
        <f>IF(AND($G359&gt;0,$AM359&gt;0),IF(($G359-$AM359)/$G359&gt;0,($G359-$AM359)/$G359,0),"")</f>
        <v/>
      </c>
      <c r="BG359" s="6">
        <f>IF((AD359-AF359)/(AJ359/60)&lt;=0,"",(AD359-AF359)/(AJ359/60))</f>
        <v/>
      </c>
      <c r="BH359" s="6">
        <f>IF(OR(AJ359=0,AP359=0,NOT(ISNUMBER(AD359)),NOT(ISNUMBER(AF359)),NOT(ISNUMBER(AJ359)),NOT(ISNUMBER(AP359))),"",
IFERROR(IF((AD359-AF359)/(AJ359/60)/(AP359/1000)&lt;=0,"",(AD359-AF359)/(AJ359/60)/(AP359/1000)),""))</f>
        <v/>
      </c>
    </row>
    <row r="360" ht="15.75" customHeight="1">
      <c r="B360" t="n">
        <v>116</v>
      </c>
      <c r="D360" s="94" t="n">
        <v>45620</v>
      </c>
      <c r="E360" s="231" t="n">
        <v>116</v>
      </c>
      <c r="F360" s="3" t="n">
        <v>355</v>
      </c>
      <c r="G360" s="205">
        <f>IF(OR(S360="",S360=0),"",S360*2)</f>
        <v/>
      </c>
      <c r="M360" s="10">
        <f>IF(OR(E360="",G360="",E360=0,G360=0),"",E360/G360)</f>
        <v/>
      </c>
      <c r="N360" s="9">
        <f>IF(OR(E360="",I360="",E360=0,I360=0),"",E360/(I360*2))</f>
        <v/>
      </c>
      <c r="O360" s="8">
        <f>IF(OR(I360="",G360="",I360=0,G360=0),"",I360*2/G360)</f>
        <v/>
      </c>
      <c r="Z360" s="6" t="n">
        <v>0.18</v>
      </c>
      <c r="AD360" s="5" t="n">
        <v>80</v>
      </c>
      <c r="AF360" s="95" t="n">
        <v>22.5</v>
      </c>
      <c r="AI360" s="67" t="n">
        <v>5.38</v>
      </c>
      <c r="AJ360" s="261" t="n">
        <v>0.5180555555555556</v>
      </c>
      <c r="AL360" s="231" t="n">
        <v>175</v>
      </c>
      <c r="AM360" s="3" t="n">
        <v>180</v>
      </c>
      <c r="AP360" s="255">
        <f>360-AK360-AB360</f>
        <v/>
      </c>
      <c r="AR360" s="13">
        <f>AVERAGE(AO358:AO364)</f>
        <v/>
      </c>
      <c r="AT360" s="156" t="n"/>
      <c r="AU360" s="155" t="n"/>
      <c r="AV360" s="155" t="n"/>
      <c r="AW360" s="155" t="n"/>
      <c r="AX360" s="254">
        <f>IF(AND(ISNUMBER(E360),ISNUMBER(W360)),E360-W360,"")</f>
        <v/>
      </c>
      <c r="AY360" s="254">
        <f>IF(AND(ISNUMBER(I360),ISNUMBER(AF360)),I360-AF360,"")</f>
        <v/>
      </c>
      <c r="AZ360" s="254">
        <f>IF(AND(ISNUMBER(AM360),ISNUMBER(G360)),G360-AM360,"")</f>
        <v/>
      </c>
      <c r="BA360" s="254">
        <f>IF(AND(ISNUMBER(AC360),ISNUMBER(AE360)),AC360-AE360,"")</f>
        <v/>
      </c>
      <c r="BB360" s="254">
        <f>IF(AND(ISNUMBER(AL360),ISNUMBER(AM360)),AL360-AM360,"")</f>
        <v/>
      </c>
      <c r="BC360" s="60">
        <f>IF(AND($E360&gt;0,$W360&gt;0),IF(($E360-$W360)/$E360&gt;0,($E360-$W360)/$E360,0),"")</f>
        <v/>
      </c>
      <c r="BD360" s="60">
        <f>IF(AND($I360&gt;0,$AF360&gt;=0),IF(($I360-$AF360)/$I360&gt;0,($I360-$AF360)/$I360,0),"")</f>
        <v/>
      </c>
      <c r="BE360" s="60">
        <f>IF(AND($AG360&gt;=0,$AD360&gt;=0,$AF360&gt;=0),IF($AG360/($AD360-$AF360)&gt;0,$AG360/($AD360-$AF360),0),"")</f>
        <v/>
      </c>
      <c r="BF360" s="60">
        <f>IF(AND($G360&gt;0,$AM360&gt;0),IF(($G360-$AM360)/$G360&gt;0,($G360-$AM360)/$G360,0),"")</f>
        <v/>
      </c>
      <c r="BG360" s="6">
        <f>IF((AD360-AF360)/(AJ360/60)&lt;=0,"",(AD360-AF360)/(AJ360/60))</f>
        <v/>
      </c>
      <c r="BH360" s="6">
        <f>IF(OR(AJ360=0,AP360=0,NOT(ISNUMBER(AD360)),NOT(ISNUMBER(AF360)),NOT(ISNUMBER(AJ360)),NOT(ISNUMBER(AP360))),"",
IFERROR(IF((AD360-AF360)/(AJ360/60)/(AP360/1000)&lt;=0,"",(AD360-AF360)/(AJ360/60)/(AP360/1000)),""))</f>
        <v/>
      </c>
    </row>
    <row r="361" ht="15.75" customHeight="1">
      <c r="B361" t="n">
        <v>117</v>
      </c>
      <c r="D361" s="94" t="n">
        <v>45621</v>
      </c>
      <c r="E361" s="231" t="n">
        <v>117</v>
      </c>
      <c r="F361" s="3" t="n">
        <v>356</v>
      </c>
      <c r="G361" s="205">
        <f>IF(OR(S361="",S361=0),"",S361*2)</f>
        <v/>
      </c>
      <c r="M361" s="10">
        <f>IF(OR(E361="",G361="",E361=0,G361=0),"",E361/G361)</f>
        <v/>
      </c>
      <c r="N361" s="9">
        <f>IF(OR(E361="",I361="",E361=0,I361=0),"",E361/(I361*2))</f>
        <v/>
      </c>
      <c r="O361" s="8">
        <f>IF(OR(I361="",G361="",I361=0,G361=0),"",I361*2/G361)</f>
        <v/>
      </c>
      <c r="Z361" s="6" t="n">
        <v>0.19</v>
      </c>
      <c r="AD361" s="5" t="n">
        <v>80</v>
      </c>
      <c r="AF361" s="95" t="n">
        <v>22</v>
      </c>
      <c r="AI361" s="67" t="n">
        <v>5.54</v>
      </c>
      <c r="AJ361" s="261" t="n">
        <v>0.5038194444444445</v>
      </c>
      <c r="AL361" s="231" t="n">
        <v>175</v>
      </c>
      <c r="AM361" s="3" t="n">
        <v>180</v>
      </c>
      <c r="AP361" s="255">
        <f>360-AK361-AB361</f>
        <v/>
      </c>
      <c r="AR361" s="13">
        <f>AVERAGE(AO359:AO365)</f>
        <v/>
      </c>
      <c r="AT361" s="156" t="n"/>
      <c r="AU361" s="155" t="n"/>
      <c r="AV361" s="155" t="n"/>
      <c r="AW361" s="155" t="n"/>
      <c r="AX361" s="254">
        <f>IF(AND(ISNUMBER(E361),ISNUMBER(W361)),E361-W361,"")</f>
        <v/>
      </c>
      <c r="AY361" s="254">
        <f>IF(AND(ISNUMBER(I361),ISNUMBER(AF361)),I361-AF361,"")</f>
        <v/>
      </c>
      <c r="AZ361" s="254">
        <f>IF(AND(ISNUMBER(AM361),ISNUMBER(G361)),G361-AM361,"")</f>
        <v/>
      </c>
      <c r="BA361" s="254">
        <f>IF(AND(ISNUMBER(AC361),ISNUMBER(AE361)),AC361-AE361,"")</f>
        <v/>
      </c>
      <c r="BB361" s="254">
        <f>IF(AND(ISNUMBER(AL361),ISNUMBER(AM361)),AL361-AM361,"")</f>
        <v/>
      </c>
      <c r="BC361" s="60">
        <f>IF(AND($E361&gt;0,$W361&gt;0),IF(($E361-$W361)/$E361&gt;0,($E361-$W361)/$E361,0),"")</f>
        <v/>
      </c>
      <c r="BD361" s="60">
        <f>IF(AND($I361&gt;0,$AF361&gt;=0),IF(($I361-$AF361)/$I361&gt;0,($I361-$AF361)/$I361,0),"")</f>
        <v/>
      </c>
      <c r="BE361" s="60">
        <f>IF(AND($AG361&gt;=0,$AD361&gt;=0,$AF361&gt;=0),IF($AG361/($AD361-$AF361)&gt;0,$AG361/($AD361-$AF361),0),"")</f>
        <v/>
      </c>
      <c r="BF361" s="60">
        <f>IF(AND($G361&gt;0,$AM361&gt;0),IF(($G361-$AM361)/$G361&gt;0,($G361-$AM361)/$G361,0),"")</f>
        <v/>
      </c>
      <c r="BG361" s="6">
        <f>IF((AD361-AF361)/(AJ361/60)&lt;=0,"",(AD361-AF361)/(AJ361/60))</f>
        <v/>
      </c>
      <c r="BH361" s="6">
        <f>IF(OR(AJ361=0,AP361=0,NOT(ISNUMBER(AD361)),NOT(ISNUMBER(AF361)),NOT(ISNUMBER(AJ361)),NOT(ISNUMBER(AP361))),"",
IFERROR(IF((AD361-AF361)/(AJ361/60)/(AP361/1000)&lt;=0,"",(AD361-AF361)/(AJ361/60)/(AP361/1000)),""))</f>
        <v/>
      </c>
    </row>
    <row r="362" ht="15.75" customHeight="1">
      <c r="B362" t="n">
        <v>118</v>
      </c>
      <c r="D362" s="94" t="n">
        <v>45622</v>
      </c>
      <c r="E362" s="231" t="n">
        <v>118</v>
      </c>
      <c r="F362" s="3" t="n">
        <v>357</v>
      </c>
      <c r="G362" s="205">
        <f>IF(OR(S362="",S362=0),"",S362*2)</f>
        <v/>
      </c>
      <c r="M362" s="10">
        <f>IF(OR(E362="",G362="",E362=0,G362=0),"",E362/G362)</f>
        <v/>
      </c>
      <c r="N362" s="9">
        <f>IF(OR(E362="",I362="",E362=0,I362=0),"",E362/(I362*2))</f>
        <v/>
      </c>
      <c r="O362" s="8">
        <f>IF(OR(I362="",G362="",I362=0,G362=0),"",I362*2/G362)</f>
        <v/>
      </c>
      <c r="Z362" s="6" t="n">
        <v>0.18</v>
      </c>
      <c r="AD362" s="5" t="n">
        <v>80</v>
      </c>
      <c r="AF362" s="95" t="n">
        <v>21</v>
      </c>
      <c r="AI362" s="67" t="n">
        <v>4.41</v>
      </c>
      <c r="AJ362" s="261" t="n">
        <v>0.5192129629629629</v>
      </c>
      <c r="AL362" s="231" t="n">
        <v>175</v>
      </c>
      <c r="AM362" s="3" t="n">
        <v>180</v>
      </c>
      <c r="AP362" s="255">
        <f>360-AK362-AB362</f>
        <v/>
      </c>
      <c r="AQ362" s="109">
        <f>AVERAGE(AO356,AO369)</f>
        <v/>
      </c>
      <c r="AR362" s="13">
        <f>AVERAGE(AO360:AO366)</f>
        <v/>
      </c>
      <c r="AT362" s="156" t="n"/>
      <c r="AU362" s="155" t="n"/>
      <c r="AV362" s="155" t="n"/>
      <c r="AW362" s="155" t="n"/>
      <c r="AX362" s="254">
        <f>IF(AND(ISNUMBER(E362),ISNUMBER(W362)),E362-W362,"")</f>
        <v/>
      </c>
      <c r="AY362" s="254">
        <f>IF(AND(ISNUMBER(I362),ISNUMBER(AF362)),I362-AF362,"")</f>
        <v/>
      </c>
      <c r="AZ362" s="254">
        <f>IF(AND(ISNUMBER(AM362),ISNUMBER(G362)),G362-AM362,"")</f>
        <v/>
      </c>
      <c r="BA362" s="254">
        <f>IF(AND(ISNUMBER(AC362),ISNUMBER(AE362)),AC362-AE362,"")</f>
        <v/>
      </c>
      <c r="BB362" s="254">
        <f>IF(AND(ISNUMBER(AL362),ISNUMBER(AM362)),AL362-AM362,"")</f>
        <v/>
      </c>
      <c r="BC362" s="60">
        <f>IF(AND($E362&gt;0,$W362&gt;0),IF(($E362-$W362)/$E362&gt;0,($E362-$W362)/$E362,0),"")</f>
        <v/>
      </c>
      <c r="BD362" s="60">
        <f>IF(AND($I362&gt;0,$AF362&gt;=0),IF(($I362-$AF362)/$I362&gt;0,($I362-$AF362)/$I362,0),"")</f>
        <v/>
      </c>
      <c r="BE362" s="60">
        <f>IF(AND($AG362&gt;=0,$AD362&gt;=0,$AF362&gt;=0),IF($AG362/($AD362-$AF362)&gt;0,$AG362/($AD362-$AF362),0),"")</f>
        <v/>
      </c>
      <c r="BF362" s="60">
        <f>IF(AND($G362&gt;0,$AM362&gt;0),IF(($G362-$AM362)/$G362&gt;0,($G362-$AM362)/$G362,0),"")</f>
        <v/>
      </c>
      <c r="BG362" s="6">
        <f>IF((AD362-AF362)/(AJ362/60)&lt;=0,"",(AD362-AF362)/(AJ362/60))</f>
        <v/>
      </c>
      <c r="BH362" s="6">
        <f>IF(OR(AJ362=0,AP362=0,NOT(ISNUMBER(AD362)),NOT(ISNUMBER(AF362)),NOT(ISNUMBER(AJ362)),NOT(ISNUMBER(AP362))),"",
IFERROR(IF((AD362-AF362)/(AJ362/60)/(AP362/1000)&lt;=0,"",(AD362-AF362)/(AJ362/60)/(AP362/1000)),""))</f>
        <v/>
      </c>
    </row>
    <row r="363" ht="15.75" customHeight="1">
      <c r="B363" t="n">
        <v>119</v>
      </c>
      <c r="D363" s="94" t="n">
        <v>45623</v>
      </c>
      <c r="E363" s="231" t="n">
        <v>119</v>
      </c>
      <c r="F363" s="3" t="n">
        <v>358</v>
      </c>
      <c r="G363" s="205">
        <f>IF(OR(S363="",S363=0),"",S363*2)</f>
        <v/>
      </c>
      <c r="I363" s="15">
        <f>(N363*18-H363*18)/9</f>
        <v/>
      </c>
      <c r="J363" s="9">
        <f>5*1.19</f>
        <v/>
      </c>
      <c r="K363" s="15">
        <f>AD363</f>
        <v/>
      </c>
      <c r="M363" s="10">
        <f>IF(OR(E363="",G363="",E363=0,G363=0),"",E363/G363)</f>
        <v/>
      </c>
      <c r="N363" s="9">
        <f>IF(OR(E363="",I363="",E363=0,I363=0),"",E363/(I363*2))</f>
        <v/>
      </c>
      <c r="O363" s="8">
        <f>IF(OR(I363="",G363="",I363=0,G363=0),"",I363*2/G363)</f>
        <v/>
      </c>
      <c r="P363" s="7">
        <f>5*2.55</f>
        <v/>
      </c>
      <c r="Q363" t="n">
        <v>64.568</v>
      </c>
      <c r="R363" t="n">
        <v>23.533</v>
      </c>
      <c r="S363" s="6">
        <f>O363*1.067</f>
        <v/>
      </c>
      <c r="T363" s="6">
        <f>P363*1.514</f>
        <v/>
      </c>
      <c r="U363" s="23">
        <f>P363*1.514+O363*1.067</f>
        <v/>
      </c>
      <c r="V363" s="6">
        <f>30.2</f>
        <v/>
      </c>
      <c r="W363" t="n">
        <v>1.847</v>
      </c>
      <c r="X363" t="n">
        <v>1.648</v>
      </c>
      <c r="Y363" s="23">
        <f>U363*1.067+V363*1.514</f>
        <v/>
      </c>
      <c r="Z363" s="6" t="n">
        <v>0.32</v>
      </c>
      <c r="AD363" s="5" t="n">
        <v>80</v>
      </c>
      <c r="AE363" s="7">
        <f>T363</f>
        <v/>
      </c>
      <c r="AF363" s="231" t="n">
        <v>20</v>
      </c>
      <c r="AG363" s="231" t="n">
        <v>14.1</v>
      </c>
      <c r="AH363" s="231">
        <f>2*2.4</f>
        <v/>
      </c>
      <c r="AI363" s="67" t="n">
        <v>5.29</v>
      </c>
      <c r="AJ363" s="261" t="n">
        <v>0.5190972222222222</v>
      </c>
      <c r="AL363" s="231" t="n">
        <v>175</v>
      </c>
      <c r="AM363" s="3" t="n">
        <v>180</v>
      </c>
      <c r="AN363" s="4">
        <f>AE363</f>
        <v/>
      </c>
      <c r="AO363" s="231">
        <f>5*1.97</f>
        <v/>
      </c>
      <c r="AP363" s="255">
        <f>360-AK363-AB363</f>
        <v/>
      </c>
      <c r="AR363" s="13">
        <f>AVERAGE(AO361:AO367)</f>
        <v/>
      </c>
      <c r="AT363" s="156">
        <f>(E363-W363)/E363</f>
        <v/>
      </c>
      <c r="AU363" s="155">
        <f>(I363-AF363)/I363</f>
        <v/>
      </c>
      <c r="AV363" s="155">
        <f>AG363/(AD363-AF363)</f>
        <v/>
      </c>
      <c r="AW363" s="155">
        <f>(G363-AM363)/G363</f>
        <v/>
      </c>
      <c r="AX363" s="254">
        <f>IF(AND(ISNUMBER(E363),ISNUMBER(W363)),E363-W363,"")</f>
        <v/>
      </c>
      <c r="AY363" s="254">
        <f>IF(AND(ISNUMBER(I363),ISNUMBER(AF363)),I363-AF363,"")</f>
        <v/>
      </c>
      <c r="AZ363" s="254">
        <f>IF(AND(ISNUMBER(AM363),ISNUMBER(G363)),G363-AM363,"")</f>
        <v/>
      </c>
      <c r="BA363" s="254">
        <f>IF(AND(ISNUMBER(AC363),ISNUMBER(AE363)),AC363-AE363,"")</f>
        <v/>
      </c>
      <c r="BB363" s="254">
        <f>IF(AND(ISNUMBER(AL363),ISNUMBER(AM363)),AL363-AM363,"")</f>
        <v/>
      </c>
      <c r="BC363" s="60">
        <f>IF(AND($E363&gt;0,$W363&gt;0),IF(($E363-$W363)/$E363&gt;0,($E363-$W363)/$E363,0),"")</f>
        <v/>
      </c>
      <c r="BD363" s="60">
        <f>IF(AND($I363&gt;0,$AF363&gt;=0),IF(($I363-$AF363)/$I363&gt;0,($I363-$AF363)/$I363,0),"")</f>
        <v/>
      </c>
      <c r="BE363" s="60">
        <f>IF(AND($AG363&gt;=0,$AD363&gt;=0,$AF363&gt;=0),IF($AG363/($AD363-$AF363)&gt;0,$AG363/($AD363-$AF363),0),"")</f>
        <v/>
      </c>
      <c r="BF363" s="60">
        <f>IF(AND($G363&gt;0,$AM363&gt;0),IF(($G363-$AM363)/$G363&gt;0,($G363-$AM363)/$G363,0),"")</f>
        <v/>
      </c>
      <c r="BG363" s="6">
        <f>IF((AD363-AF363)/(AJ363/60)&lt;=0,"",(AD363-AF363)/(AJ363/60))</f>
        <v/>
      </c>
      <c r="BH363" s="6">
        <f>IF(OR(AJ363=0,AP363=0,NOT(ISNUMBER(AD363)),NOT(ISNUMBER(AF363)),NOT(ISNUMBER(AJ363)),NOT(ISNUMBER(AP363))),"",
IFERROR(IF((AD363-AF363)/(AJ363/60)/(AP363/1000)&lt;=0,"",(AD363-AF363)/(AJ363/60)/(AP363/1000)),""))</f>
        <v/>
      </c>
    </row>
    <row r="364" ht="15.75" customHeight="1">
      <c r="B364" t="n">
        <v>120</v>
      </c>
      <c r="D364" s="94" t="n">
        <v>45624</v>
      </c>
      <c r="E364" s="231" t="n">
        <v>120</v>
      </c>
      <c r="F364" s="3" t="n">
        <v>359</v>
      </c>
      <c r="G364" s="205">
        <f>IF(OR(S364="",S364=0),"",S364*2)</f>
        <v/>
      </c>
      <c r="M364" s="10">
        <f>IF(OR(E364="",G364="",E364=0,G364=0),"",E364/G364)</f>
        <v/>
      </c>
      <c r="N364" s="9">
        <f>IF(OR(E364="",I364="",E364=0,I364=0),"",E364/(I364*2))</f>
        <v/>
      </c>
      <c r="O364" s="8">
        <f>IF(OR(I364="",G364="",I364=0,G364=0),"",I364*2/G364)</f>
        <v/>
      </c>
      <c r="Z364" s="6" t="n">
        <v>0.19</v>
      </c>
      <c r="AD364" s="5" t="n">
        <v>80</v>
      </c>
      <c r="AF364" s="95" t="n">
        <v>20</v>
      </c>
      <c r="AI364" s="67" t="n">
        <v>4.65</v>
      </c>
      <c r="AJ364" s="261" t="n">
        <v>0.5196759259259259</v>
      </c>
      <c r="AL364" s="231" t="n">
        <v>175</v>
      </c>
      <c r="AM364" s="3" t="n">
        <v>180</v>
      </c>
      <c r="AP364" s="255">
        <f>360-AK364-AB364</f>
        <v/>
      </c>
      <c r="AR364" s="13">
        <f>AVERAGE(AO362:AO368)</f>
        <v/>
      </c>
      <c r="AT364" s="156" t="n"/>
      <c r="AU364" s="155" t="n"/>
      <c r="AV364" s="155" t="n"/>
      <c r="AW364" s="155" t="n"/>
      <c r="AX364" s="254">
        <f>IF(AND(ISNUMBER(E364),ISNUMBER(W364)),E364-W364,"")</f>
        <v/>
      </c>
      <c r="AY364" s="254">
        <f>IF(AND(ISNUMBER(I364),ISNUMBER(AF364)),I364-AF364,"")</f>
        <v/>
      </c>
      <c r="AZ364" s="254">
        <f>IF(AND(ISNUMBER(AM364),ISNUMBER(G364)),G364-AM364,"")</f>
        <v/>
      </c>
      <c r="BA364" s="254">
        <f>IF(AND(ISNUMBER(AC364),ISNUMBER(AE364)),AC364-AE364,"")</f>
        <v/>
      </c>
      <c r="BB364" s="254">
        <f>IF(AND(ISNUMBER(AL364),ISNUMBER(AM364)),AL364-AM364,"")</f>
        <v/>
      </c>
      <c r="BC364" s="60">
        <f>IF(AND($E364&gt;0,$W364&gt;0),IF(($E364-$W364)/$E364&gt;0,($E364-$W364)/$E364,0),"")</f>
        <v/>
      </c>
      <c r="BD364" s="60">
        <f>IF(AND($I364&gt;0,$AF364&gt;=0),IF(($I364-$AF364)/$I364&gt;0,($I364-$AF364)/$I364,0),"")</f>
        <v/>
      </c>
      <c r="BE364" s="60">
        <f>IF(AND($AG364&gt;=0,$AD364&gt;=0,$AF364&gt;=0),IF($AG364/($AD364-$AF364)&gt;0,$AG364/($AD364-$AF364),0),"")</f>
        <v/>
      </c>
      <c r="BF364" s="60">
        <f>IF(AND($G364&gt;0,$AM364&gt;0),IF(($G364-$AM364)/$G364&gt;0,($G364-$AM364)/$G364,0),"")</f>
        <v/>
      </c>
      <c r="BG364" s="6">
        <f>IF((AD364-AF364)/(AJ364/60)&lt;=0,"",(AD364-AF364)/(AJ364/60))</f>
        <v/>
      </c>
      <c r="BH364" s="6">
        <f>IF(OR(AJ364=0,AP364=0,NOT(ISNUMBER(AD364)),NOT(ISNUMBER(AF364)),NOT(ISNUMBER(AJ364)),NOT(ISNUMBER(AP364))),"",
IFERROR(IF((AD364-AF364)/(AJ364/60)/(AP364/1000)&lt;=0,"",(AD364-AF364)/(AJ364/60)/(AP364/1000)),""))</f>
        <v/>
      </c>
    </row>
    <row r="365" ht="15.75" customHeight="1">
      <c r="A365" s="260" t="inlineStr">
        <is>
          <t>B48</t>
        </is>
      </c>
      <c r="B365" s="260" t="n">
        <v>121</v>
      </c>
      <c r="D365" s="94" t="n">
        <v>45625</v>
      </c>
      <c r="E365" s="231" t="n">
        <v>121</v>
      </c>
      <c r="F365" s="3" t="n">
        <v>360</v>
      </c>
      <c r="G365" s="205">
        <f>IF(OR(S365="",S365=0),"",S365*2)</f>
        <v/>
      </c>
      <c r="M365" s="10">
        <f>IF(OR(E365="",G365="",E365=0,G365=0),"",E365/G365)</f>
        <v/>
      </c>
      <c r="N365" s="9">
        <f>IF(OR(E365="",I365="",E365=0,I365=0),"",E365/(I365*2))</f>
        <v/>
      </c>
      <c r="O365" s="8">
        <f>IF(OR(I365="",G365="",I365=0,G365=0),"",I365*2/G365)</f>
        <v/>
      </c>
      <c r="Z365" s="6" t="n">
        <v>0.16</v>
      </c>
      <c r="AD365" s="5" t="n">
        <v>80</v>
      </c>
      <c r="AF365" s="95" t="n">
        <v>20</v>
      </c>
      <c r="AI365" s="67" t="n">
        <v>3.99</v>
      </c>
      <c r="AJ365" s="261" t="n">
        <v>0.5158564814814814</v>
      </c>
      <c r="AL365" s="231" t="n">
        <v>175</v>
      </c>
      <c r="AM365" s="3" t="n">
        <v>180</v>
      </c>
      <c r="AP365" s="255">
        <f>360-AK365-AB365</f>
        <v/>
      </c>
      <c r="AR365" s="13">
        <f>AVERAGE(AO363:AO369)</f>
        <v/>
      </c>
      <c r="AT365" s="156" t="n"/>
      <c r="AU365" s="155" t="n"/>
      <c r="AV365" s="155" t="n"/>
      <c r="AW365" s="155" t="n"/>
      <c r="AX365" s="254">
        <f>IF(AND(ISNUMBER(E365),ISNUMBER(W365)),E365-W365,"")</f>
        <v/>
      </c>
      <c r="AY365" s="254">
        <f>IF(AND(ISNUMBER(I365),ISNUMBER(AF365)),I365-AF365,"")</f>
        <v/>
      </c>
      <c r="AZ365" s="254">
        <f>IF(AND(ISNUMBER(AM365),ISNUMBER(G365)),G365-AM365,"")</f>
        <v/>
      </c>
      <c r="BA365" s="254">
        <f>IF(AND(ISNUMBER(AC365),ISNUMBER(AE365)),AC365-AE365,"")</f>
        <v/>
      </c>
      <c r="BB365" s="254">
        <f>IF(AND(ISNUMBER(AL365),ISNUMBER(AM365)),AL365-AM365,"")</f>
        <v/>
      </c>
      <c r="BC365" s="60">
        <f>IF(AND($E365&gt;0,$W365&gt;0),IF(($E365-$W365)/$E365&gt;0,($E365-$W365)/$E365,0),"")</f>
        <v/>
      </c>
      <c r="BD365" s="60">
        <f>IF(AND($I365&gt;0,$AF365&gt;=0),IF(($I365-$AF365)/$I365&gt;0,($I365-$AF365)/$I365,0),"")</f>
        <v/>
      </c>
      <c r="BE365" s="60">
        <f>IF(AND($AG365&gt;=0,$AD365&gt;=0,$AF365&gt;=0),IF($AG365/($AD365-$AF365)&gt;0,$AG365/($AD365-$AF365),0),"")</f>
        <v/>
      </c>
      <c r="BF365" s="60">
        <f>IF(AND($G365&gt;0,$AM365&gt;0),IF(($G365-$AM365)/$G365&gt;0,($G365-$AM365)/$G365,0),"")</f>
        <v/>
      </c>
      <c r="BG365" s="6">
        <f>IF((AD365-AF365)/(AJ365/60)&lt;=0,"",(AD365-AF365)/(AJ365/60))</f>
        <v/>
      </c>
      <c r="BH365" s="6">
        <f>IF(OR(AJ365=0,AP365=0,NOT(ISNUMBER(AD365)),NOT(ISNUMBER(AF365)),NOT(ISNUMBER(AJ365)),NOT(ISNUMBER(AP365))),"",
IFERROR(IF((AD365-AF365)/(AJ365/60)/(AP365/1000)&lt;=0,"",(AD365-AF365)/(AJ365/60)/(AP365/1000)),""))</f>
        <v/>
      </c>
    </row>
    <row r="366" ht="15.75" customHeight="1">
      <c r="B366" t="n">
        <v>122</v>
      </c>
      <c r="D366" s="94" t="n">
        <v>45626</v>
      </c>
      <c r="E366" s="231" t="n">
        <v>122</v>
      </c>
      <c r="F366" s="3" t="n">
        <v>361</v>
      </c>
      <c r="G366" s="205">
        <f>IF(OR(S366="",S366=0),"",S366*2)</f>
        <v/>
      </c>
      <c r="M366" s="10">
        <f>IF(OR(E366="",G366="",E366=0,G366=0),"",E366/G366)</f>
        <v/>
      </c>
      <c r="N366" s="9">
        <f>IF(OR(E366="",I366="",E366=0,I366=0),"",E366/(I366*2))</f>
        <v/>
      </c>
      <c r="O366" s="8">
        <f>IF(OR(I366="",G366="",I366=0,G366=0),"",I366*2/G366)</f>
        <v/>
      </c>
      <c r="Z366" s="6" t="n">
        <v>0.19</v>
      </c>
      <c r="AD366" s="5" t="n">
        <v>80</v>
      </c>
      <c r="AF366" s="95" t="n">
        <v>20</v>
      </c>
      <c r="AI366" s="67" t="n">
        <v>4.67</v>
      </c>
      <c r="AJ366" s="261" t="n">
        <v>0.5206018518518518</v>
      </c>
      <c r="AL366" s="231" t="n">
        <v>175</v>
      </c>
      <c r="AM366" s="3" t="n">
        <v>180</v>
      </c>
      <c r="AP366" s="255">
        <f>360-AK366-AB366</f>
        <v/>
      </c>
      <c r="AR366" s="13">
        <f>AVERAGE(AO364:AO370)</f>
        <v/>
      </c>
      <c r="AT366" s="156" t="n"/>
      <c r="AU366" s="155" t="n"/>
      <c r="AV366" s="155" t="n"/>
      <c r="AW366" s="155" t="n"/>
      <c r="AX366" s="254">
        <f>IF(AND(ISNUMBER(E366),ISNUMBER(W366)),E366-W366,"")</f>
        <v/>
      </c>
      <c r="AY366" s="254">
        <f>IF(AND(ISNUMBER(I366),ISNUMBER(AF366)),I366-AF366,"")</f>
        <v/>
      </c>
      <c r="AZ366" s="254">
        <f>IF(AND(ISNUMBER(AM366),ISNUMBER(G366)),G366-AM366,"")</f>
        <v/>
      </c>
      <c r="BA366" s="254">
        <f>IF(AND(ISNUMBER(AC366),ISNUMBER(AE366)),AC366-AE366,"")</f>
        <v/>
      </c>
      <c r="BB366" s="254">
        <f>IF(AND(ISNUMBER(AL366),ISNUMBER(AM366)),AL366-AM366,"")</f>
        <v/>
      </c>
      <c r="BC366" s="60">
        <f>IF(AND($E366&gt;0,$W366&gt;0),IF(($E366-$W366)/$E366&gt;0,($E366-$W366)/$E366,0),"")</f>
        <v/>
      </c>
      <c r="BD366" s="60">
        <f>IF(AND($I366&gt;0,$AF366&gt;=0),IF(($I366-$AF366)/$I366&gt;0,($I366-$AF366)/$I366,0),"")</f>
        <v/>
      </c>
      <c r="BE366" s="60">
        <f>IF(AND($AG366&gt;=0,$AD366&gt;=0,$AF366&gt;=0),IF($AG366/($AD366-$AF366)&gt;0,$AG366/($AD366-$AF366),0),"")</f>
        <v/>
      </c>
      <c r="BF366" s="60">
        <f>IF(AND($G366&gt;0,$AM366&gt;0),IF(($G366-$AM366)/$G366&gt;0,($G366-$AM366)/$G366,0),"")</f>
        <v/>
      </c>
      <c r="BG366" s="6">
        <f>IF((AD366-AF366)/(AJ366/60)&lt;=0,"",(AD366-AF366)/(AJ366/60))</f>
        <v/>
      </c>
      <c r="BH366" s="6">
        <f>IF(OR(AJ366=0,AP366=0,NOT(ISNUMBER(AD366)),NOT(ISNUMBER(AF366)),NOT(ISNUMBER(AJ366)),NOT(ISNUMBER(AP366))),"",
IFERROR(IF((AD366-AF366)/(AJ366/60)/(AP366/1000)&lt;=0,"",(AD366-AF366)/(AJ366/60)/(AP366/1000)),""))</f>
        <v/>
      </c>
    </row>
    <row r="367" ht="15.75" customHeight="1">
      <c r="B367" t="n">
        <v>123</v>
      </c>
      <c r="D367" s="94" t="n">
        <v>45627</v>
      </c>
      <c r="E367" s="231" t="n">
        <v>123</v>
      </c>
      <c r="F367" s="3" t="n">
        <v>362</v>
      </c>
      <c r="G367" s="205">
        <f>IF(OR(S367="",S367=0),"",S367*2)</f>
        <v/>
      </c>
      <c r="M367" s="10">
        <f>IF(OR(E367="",G367="",E367=0,G367=0),"",E367/G367)</f>
        <v/>
      </c>
      <c r="N367" s="9">
        <f>IF(OR(E367="",I367="",E367=0,I367=0),"",E367/(I367*2))</f>
        <v/>
      </c>
      <c r="O367" s="8">
        <f>IF(OR(I367="",G367="",I367=0,G367=0),"",I367*2/G367)</f>
        <v/>
      </c>
      <c r="Z367" s="6" t="n">
        <v>0.19</v>
      </c>
      <c r="AD367" s="5" t="n">
        <v>80</v>
      </c>
      <c r="AF367" s="95" t="n">
        <v>20</v>
      </c>
      <c r="AI367" s="67" t="n">
        <v>6.03</v>
      </c>
      <c r="AJ367" s="261" t="n">
        <v>0.5208333333333334</v>
      </c>
      <c r="AL367" s="231" t="n">
        <v>175</v>
      </c>
      <c r="AM367" s="3" t="n">
        <v>180</v>
      </c>
      <c r="AP367" s="255">
        <f>360-AK367-AB367</f>
        <v/>
      </c>
      <c r="AR367" s="13">
        <f>AVERAGE(AO365:AO371)</f>
        <v/>
      </c>
      <c r="AT367" s="156" t="n"/>
      <c r="AU367" s="155" t="n"/>
      <c r="AV367" s="155" t="n"/>
      <c r="AW367" s="155" t="n"/>
      <c r="AX367" s="254">
        <f>IF(AND(ISNUMBER(E367),ISNUMBER(W367)),E367-W367,"")</f>
        <v/>
      </c>
      <c r="AY367" s="254">
        <f>IF(AND(ISNUMBER(I367),ISNUMBER(AF367)),I367-AF367,"")</f>
        <v/>
      </c>
      <c r="AZ367" s="254">
        <f>IF(AND(ISNUMBER(AM367),ISNUMBER(G367)),G367-AM367,"")</f>
        <v/>
      </c>
      <c r="BA367" s="254">
        <f>IF(AND(ISNUMBER(AC367),ISNUMBER(AE367)),AC367-AE367,"")</f>
        <v/>
      </c>
      <c r="BB367" s="254">
        <f>IF(AND(ISNUMBER(AL367),ISNUMBER(AM367)),AL367-AM367,"")</f>
        <v/>
      </c>
      <c r="BC367" s="60">
        <f>IF(AND($E367&gt;0,$W367&gt;0),IF(($E367-$W367)/$E367&gt;0,($E367-$W367)/$E367,0),"")</f>
        <v/>
      </c>
      <c r="BD367" s="60">
        <f>IF(AND($I367&gt;0,$AF367&gt;=0),IF(($I367-$AF367)/$I367&gt;0,($I367-$AF367)/$I367,0),"")</f>
        <v/>
      </c>
      <c r="BE367" s="60">
        <f>IF(AND($AG367&gt;=0,$AD367&gt;=0,$AF367&gt;=0),IF($AG367/($AD367-$AF367)&gt;0,$AG367/($AD367-$AF367),0),"")</f>
        <v/>
      </c>
      <c r="BF367" s="60">
        <f>IF(AND($G367&gt;0,$AM367&gt;0),IF(($G367-$AM367)/$G367&gt;0,($G367-$AM367)/$G367,0),"")</f>
        <v/>
      </c>
      <c r="BG367" s="6">
        <f>IF((AD367-AF367)/(AJ367/60)&lt;=0,"",(AD367-AF367)/(AJ367/60))</f>
        <v/>
      </c>
      <c r="BH367" s="6">
        <f>IF(OR(AJ367=0,AP367=0,NOT(ISNUMBER(AD367)),NOT(ISNUMBER(AF367)),NOT(ISNUMBER(AJ367)),NOT(ISNUMBER(AP367))),"",
IFERROR(IF((AD367-AF367)/(AJ367/60)/(AP367/1000)&lt;=0,"",(AD367-AF367)/(AJ367/60)/(AP367/1000)),""))</f>
        <v/>
      </c>
    </row>
    <row r="368" ht="15.75" customHeight="1">
      <c r="B368" t="n">
        <v>124</v>
      </c>
      <c r="C368" s="12" t="inlineStr">
        <is>
          <t xml:space="preserve">pH upset for 1 day; pH went up to 8.4 </t>
        </is>
      </c>
      <c r="D368" s="94" t="n">
        <v>45628</v>
      </c>
      <c r="E368" s="231" t="n">
        <v>124</v>
      </c>
      <c r="F368" s="3" t="n">
        <v>363</v>
      </c>
      <c r="G368" s="205">
        <f>IF(OR(S368="",S368=0),"",S368*2)</f>
        <v/>
      </c>
      <c r="M368" s="10">
        <f>IF(OR(E368="",G368="",E368=0,G368=0),"",E368/G368)</f>
        <v/>
      </c>
      <c r="N368" s="9">
        <f>IF(OR(E368="",I368="",E368=0,I368=0),"",E368/(I368*2))</f>
        <v/>
      </c>
      <c r="O368" s="8">
        <f>IF(OR(I368="",G368="",I368=0,G368=0),"",I368*2/G368)</f>
        <v/>
      </c>
      <c r="Z368" s="6" t="n">
        <v>0.19</v>
      </c>
      <c r="AD368" s="5" t="n">
        <v>80</v>
      </c>
      <c r="AF368" s="95" t="n">
        <v>20</v>
      </c>
      <c r="AI368" s="67" t="n">
        <v>5.94</v>
      </c>
      <c r="AJ368" s="261" t="n">
        <v>0.5120370370370371</v>
      </c>
      <c r="AL368" s="231" t="n">
        <v>175</v>
      </c>
      <c r="AM368" s="3" t="n">
        <v>180</v>
      </c>
      <c r="AP368" s="255">
        <f>360-AK368-AB368</f>
        <v/>
      </c>
      <c r="AR368" s="13">
        <f>AVERAGE(AO366:AO372)</f>
        <v/>
      </c>
      <c r="AT368" s="156" t="n"/>
      <c r="AU368" s="155" t="n"/>
      <c r="AV368" s="155" t="n"/>
      <c r="AW368" s="155" t="n"/>
      <c r="AX368" s="254">
        <f>IF(AND(ISNUMBER(E368),ISNUMBER(W368)),E368-W368,"")</f>
        <v/>
      </c>
      <c r="AY368" s="254">
        <f>IF(AND(ISNUMBER(I368),ISNUMBER(AF368)),I368-AF368,"")</f>
        <v/>
      </c>
      <c r="AZ368" s="254">
        <f>IF(AND(ISNUMBER(AM368),ISNUMBER(G368)),G368-AM368,"")</f>
        <v/>
      </c>
      <c r="BA368" s="254">
        <f>IF(AND(ISNUMBER(AC368),ISNUMBER(AE368)),AC368-AE368,"")</f>
        <v/>
      </c>
      <c r="BB368" s="254">
        <f>IF(AND(ISNUMBER(AL368),ISNUMBER(AM368)),AL368-AM368,"")</f>
        <v/>
      </c>
      <c r="BC368" s="60">
        <f>IF(AND($E368&gt;0,$W368&gt;0),IF(($E368-$W368)/$E368&gt;0,($E368-$W368)/$E368,0),"")</f>
        <v/>
      </c>
      <c r="BD368" s="60">
        <f>IF(AND($I368&gt;0,$AF368&gt;=0),IF(($I368-$AF368)/$I368&gt;0,($I368-$AF368)/$I368,0),"")</f>
        <v/>
      </c>
      <c r="BE368" s="60">
        <f>IF(AND($AG368&gt;=0,$AD368&gt;=0,$AF368&gt;=0),IF($AG368/($AD368-$AF368)&gt;0,$AG368/($AD368-$AF368),0),"")</f>
        <v/>
      </c>
      <c r="BF368" s="60">
        <f>IF(AND($G368&gt;0,$AM368&gt;0),IF(($G368-$AM368)/$G368&gt;0,($G368-$AM368)/$G368,0),"")</f>
        <v/>
      </c>
      <c r="BG368" s="6">
        <f>IF((AD368-AF368)/(AJ368/60)&lt;=0,"",(AD368-AF368)/(AJ368/60))</f>
        <v/>
      </c>
      <c r="BH368" s="6">
        <f>IF(OR(AJ368=0,AP368=0,NOT(ISNUMBER(AD368)),NOT(ISNUMBER(AF368)),NOT(ISNUMBER(AJ368)),NOT(ISNUMBER(AP368))),"",
IFERROR(IF((AD368-AF368)/(AJ368/60)/(AP368/1000)&lt;=0,"",(AD368-AF368)/(AJ368/60)/(AP368/1000)),""))</f>
        <v/>
      </c>
    </row>
    <row r="369" ht="15.75" customHeight="1">
      <c r="B369" t="n">
        <v>125</v>
      </c>
      <c r="D369" s="94" t="n">
        <v>45629</v>
      </c>
      <c r="E369" s="231" t="n">
        <v>125</v>
      </c>
      <c r="F369" s="3" t="n">
        <v>364</v>
      </c>
      <c r="G369" s="205">
        <f>IF(OR(S369="",S369=0),"",S369*2)</f>
        <v/>
      </c>
      <c r="I369" s="15">
        <f>(N369*18-H369*18)/9</f>
        <v/>
      </c>
      <c r="J369" s="9">
        <f>5*0.96</f>
        <v/>
      </c>
      <c r="K369" s="15">
        <f>AD369</f>
        <v/>
      </c>
      <c r="M369" s="10">
        <f>IF(OR(E369="",G369="",E369=0,G369=0),"",E369/G369)</f>
        <v/>
      </c>
      <c r="N369" s="9">
        <f>IF(OR(E369="",I369="",E369=0,I369=0),"",E369/(I369*2))</f>
        <v/>
      </c>
      <c r="O369" s="8">
        <f>IF(OR(I369="",G369="",I369=0,G369=0),"",I369*2/G369)</f>
        <v/>
      </c>
      <c r="P369" s="7">
        <f>5*2.36</f>
        <v/>
      </c>
      <c r="Q369" t="n">
        <v>80.01900000000001</v>
      </c>
      <c r="R369" t="n">
        <v>28.613</v>
      </c>
      <c r="S369" s="6">
        <f>O369*1.067</f>
        <v/>
      </c>
      <c r="T369" s="6">
        <f>P369*1.514</f>
        <v/>
      </c>
      <c r="U369" s="23">
        <f>P369*1.514+O369*1.067</f>
        <v/>
      </c>
      <c r="V369" s="6">
        <f>30.2</f>
        <v/>
      </c>
      <c r="W369" t="n">
        <v>1.791</v>
      </c>
      <c r="X369" t="n">
        <v>1.409</v>
      </c>
      <c r="Y369" s="23">
        <f>U369*1.067+V369*1.514</f>
        <v/>
      </c>
      <c r="Z369" s="6" t="n">
        <v>0.55</v>
      </c>
      <c r="AD369" s="5" t="n">
        <v>80</v>
      </c>
      <c r="AE369" s="7">
        <f>T369</f>
        <v/>
      </c>
      <c r="AF369" s="231">
        <f>5*4.03</f>
        <v/>
      </c>
      <c r="AG369" s="231" t="n">
        <v>13.4</v>
      </c>
      <c r="AH369" s="231">
        <f>2*2.39</f>
        <v/>
      </c>
      <c r="AI369" s="67" t="n">
        <v>6.31</v>
      </c>
      <c r="AJ369" s="261" t="n">
        <v>0.5208333333333334</v>
      </c>
      <c r="AL369" s="231" t="n">
        <v>175</v>
      </c>
      <c r="AM369" s="3" t="n">
        <v>180</v>
      </c>
      <c r="AN369" s="4">
        <f>AE369</f>
        <v/>
      </c>
      <c r="AO369" s="231">
        <f>5*1.59</f>
        <v/>
      </c>
      <c r="AP369" s="255">
        <f>360-AK369-AB369</f>
        <v/>
      </c>
      <c r="AQ369" s="2" t="n">
        <v>2459.999999999945</v>
      </c>
      <c r="AR369" s="13">
        <f>AVERAGE(AO367:AO373)</f>
        <v/>
      </c>
      <c r="AS369" s="2" t="n">
        <v>16.09596510359845</v>
      </c>
      <c r="AT369" s="156">
        <f>(E369-W369)/E369</f>
        <v/>
      </c>
      <c r="AU369" s="155">
        <f>(I369-AF369)/I369</f>
        <v/>
      </c>
      <c r="AV369" s="155">
        <f>AG369/(AD369-AF369)</f>
        <v/>
      </c>
      <c r="AW369" s="155">
        <f>(G369-AM369)/G369</f>
        <v/>
      </c>
      <c r="AX369" s="254">
        <f>IF(AND(ISNUMBER(E369),ISNUMBER(W369)),E369-W369,"")</f>
        <v/>
      </c>
      <c r="AY369" s="254">
        <f>IF(AND(ISNUMBER(I369),ISNUMBER(AF369)),I369-AF369,"")</f>
        <v/>
      </c>
      <c r="AZ369" s="254">
        <f>IF(AND(ISNUMBER(AM369),ISNUMBER(G369)),G369-AM369,"")</f>
        <v/>
      </c>
      <c r="BA369" s="254">
        <f>IF(AND(ISNUMBER(AC369),ISNUMBER(AE369)),AC369-AE369,"")</f>
        <v/>
      </c>
      <c r="BB369" s="254">
        <f>IF(AND(ISNUMBER(AL369),ISNUMBER(AM369)),AL369-AM369,"")</f>
        <v/>
      </c>
      <c r="BC369" s="60">
        <f>IF(AND($E369&gt;0,$W369&gt;0),IF(($E369-$W369)/$E369&gt;0,($E369-$W369)/$E369,0),"")</f>
        <v/>
      </c>
      <c r="BD369" s="60">
        <f>IF(AND($I369&gt;0,$AF369&gt;=0),IF(($I369-$AF369)/$I369&gt;0,($I369-$AF369)/$I369,0),"")</f>
        <v/>
      </c>
      <c r="BE369" s="60">
        <f>IF(AND($AG369&gt;=0,$AD369&gt;=0,$AF369&gt;=0),IF($AG369/($AD369-$AF369)&gt;0,$AG369/($AD369-$AF369),0),"")</f>
        <v/>
      </c>
      <c r="BF369" s="60">
        <f>IF(AND($G369&gt;0,$AM369&gt;0),IF(($G369-$AM369)/$G369&gt;0,($G369-$AM369)/$G369,0),"")</f>
        <v/>
      </c>
      <c r="BG369" s="6">
        <f>IF((AD369-AF369)/(AJ369/60)&lt;=0,"",(AD369-AF369)/(AJ369/60))</f>
        <v/>
      </c>
      <c r="BH369" s="6">
        <f>IF(OR(AJ369=0,AP369=0,NOT(ISNUMBER(AD369)),NOT(ISNUMBER(AF369)),NOT(ISNUMBER(AJ369)),NOT(ISNUMBER(AP369))),"",
IFERROR(IF((AD369-AF369)/(AJ369/60)/(AP369/1000)&lt;=0,"",(AD369-AF369)/(AJ369/60)/(AP369/1000)),""))</f>
        <v/>
      </c>
    </row>
    <row r="370" ht="15.75" customHeight="1">
      <c r="B370" t="n">
        <v>126</v>
      </c>
      <c r="D370" s="94" t="n">
        <v>45630</v>
      </c>
      <c r="E370" s="231" t="n">
        <v>126</v>
      </c>
      <c r="F370" s="3" t="n">
        <v>365</v>
      </c>
      <c r="G370" s="205">
        <f>IF(OR(S370="",S370=0),"",S370*2)</f>
        <v/>
      </c>
      <c r="M370" s="10">
        <f>IF(OR(E370="",G370="",E370=0,G370=0),"",E370/G370)</f>
        <v/>
      </c>
      <c r="N370" s="9">
        <f>IF(OR(E370="",I370="",E370=0,I370=0),"",E370/(I370*2))</f>
        <v/>
      </c>
      <c r="O370" s="8">
        <f>IF(OR(I370="",G370="",I370=0,G370=0),"",I370*2/G370)</f>
        <v/>
      </c>
      <c r="Z370" s="6" t="n">
        <v>0.19</v>
      </c>
      <c r="AD370" s="5" t="n">
        <v>80</v>
      </c>
      <c r="AF370" s="95" t="n">
        <v>21</v>
      </c>
      <c r="AI370" s="67" t="n">
        <v>5.5</v>
      </c>
      <c r="AJ370" s="261" t="n">
        <v>0.5204861111111111</v>
      </c>
      <c r="AL370" s="231" t="n">
        <v>175</v>
      </c>
      <c r="AM370" s="3" t="n">
        <v>180</v>
      </c>
      <c r="AP370" s="255">
        <f>360-AK370-AB370</f>
        <v/>
      </c>
      <c r="AR370" s="13">
        <f>AVERAGE(AO368:AO374)</f>
        <v/>
      </c>
      <c r="AT370" s="156">
        <f>(E370-W370)/E370</f>
        <v/>
      </c>
      <c r="AU370" s="155" t="n"/>
      <c r="AV370" s="155">
        <f>AG370/(AD370-AF370)</f>
        <v/>
      </c>
      <c r="AW370" s="155">
        <f>(G370-AM370)/G370</f>
        <v/>
      </c>
      <c r="AX370" s="254">
        <f>IF(AND(ISNUMBER(E370),ISNUMBER(W370)),E370-W370,"")</f>
        <v/>
      </c>
      <c r="AY370" s="254">
        <f>IF(AND(ISNUMBER(I370),ISNUMBER(AF370)),I370-AF370,"")</f>
        <v/>
      </c>
      <c r="AZ370" s="254">
        <f>IF(AND(ISNUMBER(AM370),ISNUMBER(G370)),G370-AM370,"")</f>
        <v/>
      </c>
      <c r="BA370" s="254">
        <f>IF(AND(ISNUMBER(AC370),ISNUMBER(AE370)),AC370-AE370,"")</f>
        <v/>
      </c>
      <c r="BB370" s="254">
        <f>IF(AND(ISNUMBER(AL370),ISNUMBER(AM370)),AL370-AM370,"")</f>
        <v/>
      </c>
      <c r="BC370" s="60">
        <f>IF(AND($E370&gt;0,$W370&gt;0),IF(($E370-$W370)/$E370&gt;0,($E370-$W370)/$E370,0),"")</f>
        <v/>
      </c>
      <c r="BD370" s="60">
        <f>IF(AND($I370&gt;0,$AF370&gt;=0),IF(($I370-$AF370)/$I370&gt;0,($I370-$AF370)/$I370,0),"")</f>
        <v/>
      </c>
      <c r="BE370" s="60">
        <f>IF(AND($AG370&gt;=0,$AD370&gt;=0,$AF370&gt;=0),IF($AG370/($AD370-$AF370)&gt;0,$AG370/($AD370-$AF370),0),"")</f>
        <v/>
      </c>
      <c r="BF370" s="60">
        <f>IF(AND($G370&gt;0,$AM370&gt;0),IF(($G370-$AM370)/$G370&gt;0,($G370-$AM370)/$G370,0),"")</f>
        <v/>
      </c>
      <c r="BG370" s="6">
        <f>IF((AD370-AF370)/(AJ370/60)&lt;=0,"",(AD370-AF370)/(AJ370/60))</f>
        <v/>
      </c>
      <c r="BH370" s="6">
        <f>IF(OR(AJ370=0,AP370=0,NOT(ISNUMBER(AD370)),NOT(ISNUMBER(AF370)),NOT(ISNUMBER(AJ370)),NOT(ISNUMBER(AP370))),"",
IFERROR(IF((AD370-AF370)/(AJ370/60)/(AP370/1000)&lt;=0,"",(AD370-AF370)/(AJ370/60)/(AP370/1000)),""))</f>
        <v/>
      </c>
    </row>
    <row r="371" ht="15.75" customHeight="1">
      <c r="A371" s="260" t="inlineStr">
        <is>
          <t>B49</t>
        </is>
      </c>
      <c r="B371" s="260" t="n">
        <v>127</v>
      </c>
      <c r="D371" s="94" t="n">
        <v>45631</v>
      </c>
      <c r="E371" s="231" t="n">
        <v>127</v>
      </c>
      <c r="F371" s="3" t="n">
        <v>366</v>
      </c>
      <c r="G371" s="205">
        <f>IF(OR(S371="",S371=0),"",S371*2)</f>
        <v/>
      </c>
      <c r="M371" s="10">
        <f>IF(OR(E371="",G371="",E371=0,G371=0),"",E371/G371)</f>
        <v/>
      </c>
      <c r="N371" s="9">
        <f>IF(OR(E371="",I371="",E371=0,I371=0),"",E371/(I371*2))</f>
        <v/>
      </c>
      <c r="O371" s="8">
        <f>IF(OR(I371="",G371="",I371=0,G371=0),"",I371*2/G371)</f>
        <v/>
      </c>
      <c r="Z371" s="6" t="n">
        <v>0.2</v>
      </c>
      <c r="AD371" s="5" t="n">
        <v>80</v>
      </c>
      <c r="AE371" s="4" t="n">
        <v>28.3</v>
      </c>
      <c r="AF371" s="231">
        <f>5*4.61</f>
        <v/>
      </c>
      <c r="AG371" s="231" t="n">
        <v>15</v>
      </c>
      <c r="AH371" s="231">
        <f>2*4.54</f>
        <v/>
      </c>
      <c r="AI371" s="67" t="n">
        <v>5.23</v>
      </c>
      <c r="AJ371" s="261" t="n">
        <v>0.5201388888888889</v>
      </c>
      <c r="AL371" s="231" t="n">
        <v>175</v>
      </c>
      <c r="AM371" s="3" t="n">
        <v>180</v>
      </c>
      <c r="AP371" s="255">
        <f>360-AK371-AB371</f>
        <v/>
      </c>
      <c r="AR371" s="13">
        <f>AVERAGE(AO369:AO375)</f>
        <v/>
      </c>
      <c r="AT371" s="156">
        <f>(E371-W371)/E371</f>
        <v/>
      </c>
      <c r="AU371" s="155" t="n"/>
      <c r="AV371" s="155">
        <f>AG371/(AD371-AF371)</f>
        <v/>
      </c>
      <c r="AW371" s="155">
        <f>(G371-AM371)/G371</f>
        <v/>
      </c>
      <c r="AX371" s="254">
        <f>IF(AND(ISNUMBER(E371),ISNUMBER(W371)),E371-W371,"")</f>
        <v/>
      </c>
      <c r="AY371" s="254">
        <f>IF(AND(ISNUMBER(I371),ISNUMBER(AF371)),I371-AF371,"")</f>
        <v/>
      </c>
      <c r="AZ371" s="254">
        <f>IF(AND(ISNUMBER(AM371),ISNUMBER(G371)),G371-AM371,"")</f>
        <v/>
      </c>
      <c r="BA371" s="254">
        <f>IF(AND(ISNUMBER(AC371),ISNUMBER(AE371)),AC371-AE371,"")</f>
        <v/>
      </c>
      <c r="BB371" s="254">
        <f>IF(AND(ISNUMBER(AL371),ISNUMBER(AM371)),AL371-AM371,"")</f>
        <v/>
      </c>
      <c r="BC371" s="60">
        <f>IF(AND($E371&gt;0,$W371&gt;0),IF(($E371-$W371)/$E371&gt;0,($E371-$W371)/$E371,0),"")</f>
        <v/>
      </c>
      <c r="BD371" s="60">
        <f>IF(AND($I371&gt;0,$AF371&gt;=0),IF(($I371-$AF371)/$I371&gt;0,($I371-$AF371)/$I371,0),"")</f>
        <v/>
      </c>
      <c r="BE371" s="60">
        <f>IF(AND($AG371&gt;=0,$AD371&gt;=0,$AF371&gt;=0),IF($AG371/($AD371-$AF371)&gt;0,$AG371/($AD371-$AF371),0),"")</f>
        <v/>
      </c>
      <c r="BF371" s="60">
        <f>IF(AND($G371&gt;0,$AM371&gt;0),IF(($G371-$AM371)/$G371&gt;0,($G371-$AM371)/$G371,0),"")</f>
        <v/>
      </c>
      <c r="BG371" s="6">
        <f>IF((AD371-AF371)/(AJ371/60)&lt;=0,"",(AD371-AF371)/(AJ371/60))</f>
        <v/>
      </c>
      <c r="BH371" s="6">
        <f>IF(OR(AJ371=0,AP371=0,NOT(ISNUMBER(AD371)),NOT(ISNUMBER(AF371)),NOT(ISNUMBER(AJ371)),NOT(ISNUMBER(AP371))),"",
IFERROR(IF((AD371-AF371)/(AJ371/60)/(AP371/1000)&lt;=0,"",(AD371-AF371)/(AJ371/60)/(AP371/1000)),""))</f>
        <v/>
      </c>
    </row>
    <row r="372" ht="15.75" customHeight="1">
      <c r="B372" t="n">
        <v>128</v>
      </c>
      <c r="D372" s="94" t="n">
        <v>45632</v>
      </c>
      <c r="E372" s="231" t="n">
        <v>128</v>
      </c>
      <c r="F372" s="3" t="n">
        <v>367</v>
      </c>
      <c r="G372" s="205">
        <f>IF(OR(S372="",S372=0),"",S372*2)</f>
        <v/>
      </c>
      <c r="I372" s="15">
        <f>(N372*18-H372*18)/9</f>
        <v/>
      </c>
      <c r="J372" s="9">
        <f>5*1.21</f>
        <v/>
      </c>
      <c r="K372" s="15">
        <f>AD372</f>
        <v/>
      </c>
      <c r="M372" s="10">
        <f>IF(OR(E372="",G372="",E372=0,G372=0),"",E372/G372)</f>
        <v/>
      </c>
      <c r="N372" s="9">
        <f>IF(OR(E372="",I372="",E372=0,I372=0),"",E372/(I372*2))</f>
        <v/>
      </c>
      <c r="O372" s="8">
        <f>IF(OR(I372="",G372="",I372=0,G372=0),"",I372*2/G372)</f>
        <v/>
      </c>
      <c r="P372" s="7">
        <f>5*2.66</f>
        <v/>
      </c>
      <c r="Q372" t="n">
        <v>83.911</v>
      </c>
      <c r="R372" t="n">
        <v>30.685</v>
      </c>
      <c r="S372" s="6">
        <f>O372*1.067</f>
        <v/>
      </c>
      <c r="T372" s="6">
        <f>P372*1.514</f>
        <v/>
      </c>
      <c r="U372" s="23">
        <f>P372*1.514+O372*1.067</f>
        <v/>
      </c>
      <c r="V372" s="6">
        <f>31.9</f>
        <v/>
      </c>
      <c r="W372">
        <f>1.768*1.067</f>
        <v/>
      </c>
      <c r="X372" t="n">
        <v>1.446</v>
      </c>
      <c r="Y372" s="23">
        <f>U372*1.067+V372*1.514</f>
        <v/>
      </c>
      <c r="Z372" s="6" t="n">
        <v>0.19</v>
      </c>
      <c r="AD372" s="5" t="n">
        <v>80</v>
      </c>
      <c r="AE372" s="7">
        <f>T372</f>
        <v/>
      </c>
      <c r="AF372" s="231">
        <f>5*4.47</f>
        <v/>
      </c>
      <c r="AG372" s="231">
        <f>17.6</f>
        <v/>
      </c>
      <c r="AH372" s="231">
        <f>2*3.93</f>
        <v/>
      </c>
      <c r="AI372" s="67" t="n">
        <v>5.12</v>
      </c>
      <c r="AJ372" s="261" t="n">
        <v>0.5199074074074074</v>
      </c>
      <c r="AL372" s="231" t="n">
        <v>175</v>
      </c>
      <c r="AM372" s="3" t="n">
        <v>180</v>
      </c>
      <c r="AN372" s="4">
        <f>AE372</f>
        <v/>
      </c>
      <c r="AO372" s="231">
        <f>5*2.73</f>
        <v/>
      </c>
      <c r="AP372" s="255">
        <f>360-AK372-AB372</f>
        <v/>
      </c>
      <c r="AR372" s="13">
        <f>AVERAGE(AO370:AO376)</f>
        <v/>
      </c>
      <c r="AT372" s="156">
        <f>(E372-W372)/E372</f>
        <v/>
      </c>
      <c r="AU372" s="155">
        <f>(I372-AF372)/I372</f>
        <v/>
      </c>
      <c r="AV372" s="155">
        <f>AG372/(AD372-AF372)</f>
        <v/>
      </c>
      <c r="AW372" s="155">
        <f>(G372-AM372)/G372</f>
        <v/>
      </c>
      <c r="AX372" s="254">
        <f>IF(AND(ISNUMBER(E372),ISNUMBER(W372)),E372-W372,"")</f>
        <v/>
      </c>
      <c r="AY372" s="254">
        <f>IF(AND(ISNUMBER(I372),ISNUMBER(AF372)),I372-AF372,"")</f>
        <v/>
      </c>
      <c r="AZ372" s="254">
        <f>IF(AND(ISNUMBER(AM372),ISNUMBER(G372)),G372-AM372,"")</f>
        <v/>
      </c>
      <c r="BA372" s="254">
        <f>IF(AND(ISNUMBER(AC372),ISNUMBER(AE372)),AC372-AE372,"")</f>
        <v/>
      </c>
      <c r="BB372" s="254">
        <f>IF(AND(ISNUMBER(AL372),ISNUMBER(AM372)),AL372-AM372,"")</f>
        <v/>
      </c>
      <c r="BC372" s="60">
        <f>IF(AND($E372&gt;0,$W372&gt;0),IF(($E372-$W372)/$E372&gt;0,($E372-$W372)/$E372,0),"")</f>
        <v/>
      </c>
      <c r="BD372" s="60">
        <f>IF(AND($I372&gt;0,$AF372&gt;=0),IF(($I372-$AF372)/$I372&gt;0,($I372-$AF372)/$I372,0),"")</f>
        <v/>
      </c>
      <c r="BE372" s="60">
        <f>IF(AND($AG372&gt;=0,$AD372&gt;=0,$AF372&gt;=0),IF($AG372/($AD372-$AF372)&gt;0,$AG372/($AD372-$AF372),0),"")</f>
        <v/>
      </c>
      <c r="BF372" s="60">
        <f>IF(AND($G372&gt;0,$AM372&gt;0),IF(($G372-$AM372)/$G372&gt;0,($G372-$AM372)/$G372,0),"")</f>
        <v/>
      </c>
      <c r="BG372" s="6">
        <f>IF((AD372-AF372)/(AJ372/60)&lt;=0,"",(AD372-AF372)/(AJ372/60))</f>
        <v/>
      </c>
      <c r="BH372" s="6">
        <f>IF(OR(AJ372=0,AP372=0,NOT(ISNUMBER(AD372)),NOT(ISNUMBER(AF372)),NOT(ISNUMBER(AJ372)),NOT(ISNUMBER(AP372))),"",
IFERROR(IF((AD372-AF372)/(AJ372/60)/(AP372/1000)&lt;=0,"",(AD372-AF372)/(AJ372/60)/(AP372/1000)),""))</f>
        <v/>
      </c>
    </row>
    <row r="373" ht="15.75" customHeight="1">
      <c r="B373" t="n">
        <v>129</v>
      </c>
      <c r="C373" s="25" t="inlineStr">
        <is>
          <t>pH upset</t>
        </is>
      </c>
      <c r="D373" s="94" t="n">
        <v>45633</v>
      </c>
      <c r="E373" s="231" t="n">
        <v>129</v>
      </c>
      <c r="F373" s="3" t="n">
        <v>368</v>
      </c>
      <c r="G373" s="205">
        <f>IF(OR(S373="",S373=0),"",S373*2)</f>
        <v/>
      </c>
      <c r="K373" s="41" t="n">
        <v>22</v>
      </c>
      <c r="M373" s="10">
        <f>IF(OR(E373="",G373="",E373=0,G373=0),"",E373/G373)</f>
        <v/>
      </c>
      <c r="N373" s="9">
        <f>IF(OR(E373="",I373="",E373=0,I373=0),"",E373/(I373*2))</f>
        <v/>
      </c>
      <c r="O373" s="8">
        <f>IF(OR(I373="",G373="",I373=0,G373=0),"",I373*2/G373)</f>
        <v/>
      </c>
      <c r="Z373" s="6" t="n">
        <v>0.2</v>
      </c>
      <c r="AD373" s="5" t="n">
        <v>80</v>
      </c>
      <c r="AF373" s="95" t="n">
        <v>22</v>
      </c>
      <c r="AI373" s="67" t="n">
        <v>7.09</v>
      </c>
      <c r="AJ373" s="261" t="n">
        <v>0.5208333333333334</v>
      </c>
      <c r="AL373" s="231" t="n">
        <v>175</v>
      </c>
      <c r="AM373" s="3" t="n">
        <v>180</v>
      </c>
      <c r="AP373" s="255">
        <f>360-AK373-AB373</f>
        <v/>
      </c>
      <c r="AR373" s="13">
        <f>AVERAGE(AO371:AO377)</f>
        <v/>
      </c>
      <c r="AT373" s="156">
        <f>(E373-W373)/E373</f>
        <v/>
      </c>
      <c r="AU373" s="155" t="n"/>
      <c r="AV373" s="155">
        <f>AG373/(AD373-AF373)</f>
        <v/>
      </c>
      <c r="AW373" s="155">
        <f>(G373-AM373)/G373</f>
        <v/>
      </c>
      <c r="AX373" s="254">
        <f>IF(AND(ISNUMBER(E373),ISNUMBER(W373)),E373-W373,"")</f>
        <v/>
      </c>
      <c r="AY373" s="254">
        <f>IF(AND(ISNUMBER(I373),ISNUMBER(AF373)),I373-AF373,"")</f>
        <v/>
      </c>
      <c r="AZ373" s="254">
        <f>IF(AND(ISNUMBER(AM373),ISNUMBER(G373)),G373-AM373,"")</f>
        <v/>
      </c>
      <c r="BA373" s="254">
        <f>IF(AND(ISNUMBER(AC373),ISNUMBER(AE373)),AC373-AE373,"")</f>
        <v/>
      </c>
      <c r="BB373" s="254">
        <f>IF(AND(ISNUMBER(AL373),ISNUMBER(AM373)),AL373-AM373,"")</f>
        <v/>
      </c>
      <c r="BC373" s="60">
        <f>IF(AND($E373&gt;0,$W373&gt;0),IF(($E373-$W373)/$E373&gt;0,($E373-$W373)/$E373,0),"")</f>
        <v/>
      </c>
      <c r="BD373" s="60">
        <f>IF(AND($I373&gt;0,$AF373&gt;=0),IF(($I373-$AF373)/$I373&gt;0,($I373-$AF373)/$I373,0),"")</f>
        <v/>
      </c>
      <c r="BE373" s="60">
        <f>IF(AND($AG373&gt;=0,$AD373&gt;=0,$AF373&gt;=0),IF($AG373/($AD373-$AF373)&gt;0,$AG373/($AD373-$AF373),0),"")</f>
        <v/>
      </c>
      <c r="BF373" s="60">
        <f>IF(AND($G373&gt;0,$AM373&gt;0),IF(($G373-$AM373)/$G373&gt;0,($G373-$AM373)/$G373,0),"")</f>
        <v/>
      </c>
      <c r="BG373" s="6">
        <f>IF((AD373-AF373)/(AJ373/60)&lt;=0,"",(AD373-AF373)/(AJ373/60))</f>
        <v/>
      </c>
      <c r="BH373" s="6">
        <f>IF(OR(AJ373=0,AP373=0,NOT(ISNUMBER(AD373)),NOT(ISNUMBER(AF373)),NOT(ISNUMBER(AJ373)),NOT(ISNUMBER(AP373))),"",
IFERROR(IF((AD373-AF373)/(AJ373/60)/(AP373/1000)&lt;=0,"",(AD373-AF373)/(AJ373/60)/(AP373/1000)),""))</f>
        <v/>
      </c>
    </row>
    <row r="374" ht="15.75" customHeight="1">
      <c r="B374" t="n">
        <v>130</v>
      </c>
      <c r="C374" s="25" t="inlineStr">
        <is>
          <t>pH upset</t>
        </is>
      </c>
      <c r="D374" s="94" t="n">
        <v>45634</v>
      </c>
      <c r="E374" s="231" t="n">
        <v>130</v>
      </c>
      <c r="F374" s="3" t="n">
        <v>369</v>
      </c>
      <c r="G374" s="205">
        <f>IF(OR(S374="",S374=0),"",S374*2)</f>
        <v/>
      </c>
      <c r="K374" s="41" t="n">
        <v>21.8</v>
      </c>
      <c r="M374" s="10">
        <f>IF(OR(E374="",G374="",E374=0,G374=0),"",E374/G374)</f>
        <v/>
      </c>
      <c r="N374" s="9">
        <f>IF(OR(E374="",I374="",E374=0,I374=0),"",E374/(I374*2))</f>
        <v/>
      </c>
      <c r="O374" s="8">
        <f>IF(OR(I374="",G374="",I374=0,G374=0),"",I374*2/G374)</f>
        <v/>
      </c>
      <c r="Z374" s="6" t="n">
        <v>0.19</v>
      </c>
      <c r="AD374" s="5" t="n">
        <v>80</v>
      </c>
      <c r="AF374" s="95" t="n">
        <v>22</v>
      </c>
      <c r="AI374" s="231" t="n">
        <v>1.9</v>
      </c>
      <c r="AJ374" s="261" t="n">
        <v>0.453125</v>
      </c>
      <c r="AL374" s="231" t="n">
        <v>175</v>
      </c>
      <c r="AM374" s="3" t="n">
        <v>180</v>
      </c>
      <c r="AP374" s="255">
        <f>360-AK374-AB374</f>
        <v/>
      </c>
      <c r="AR374" s="13">
        <f>AVERAGE(AO372:AO378)</f>
        <v/>
      </c>
      <c r="AT374" s="156">
        <f>(E374-W374)/E374</f>
        <v/>
      </c>
      <c r="AU374" s="155" t="n"/>
      <c r="AV374" s="155">
        <f>AG374/(AD374-AF374)</f>
        <v/>
      </c>
      <c r="AW374" s="155">
        <f>(G374-AM374)/G374</f>
        <v/>
      </c>
      <c r="AX374" s="254">
        <f>IF(AND(ISNUMBER(E374),ISNUMBER(W374)),E374-W374,"")</f>
        <v/>
      </c>
      <c r="AY374" s="254">
        <f>IF(AND(ISNUMBER(I374),ISNUMBER(AF374)),I374-AF374,"")</f>
        <v/>
      </c>
      <c r="AZ374" s="254">
        <f>IF(AND(ISNUMBER(AM374),ISNUMBER(G374)),G374-AM374,"")</f>
        <v/>
      </c>
      <c r="BA374" s="254">
        <f>IF(AND(ISNUMBER(AC374),ISNUMBER(AE374)),AC374-AE374,"")</f>
        <v/>
      </c>
      <c r="BB374" s="254">
        <f>IF(AND(ISNUMBER(AL374),ISNUMBER(AM374)),AL374-AM374,"")</f>
        <v/>
      </c>
      <c r="BC374" s="60">
        <f>IF(AND($E374&gt;0,$W374&gt;0),IF(($E374-$W374)/$E374&gt;0,($E374-$W374)/$E374,0),"")</f>
        <v/>
      </c>
      <c r="BD374" s="60">
        <f>IF(AND($I374&gt;0,$AF374&gt;=0),IF(($I374-$AF374)/$I374&gt;0,($I374-$AF374)/$I374,0),"")</f>
        <v/>
      </c>
      <c r="BE374" s="60" t="n"/>
      <c r="BF374" s="60">
        <f>IF(AND($G374&gt;0,$AM374&gt;0),IF(($G374-$AM374)/$G374&gt;0,($G374-$AM374)/$G374,0),"")</f>
        <v/>
      </c>
      <c r="BG374" s="6">
        <f>IF((AD374-AF374)/(AJ374/60)&lt;=0,"",(AD374-AF374)/(AJ374/60))</f>
        <v/>
      </c>
      <c r="BH374" s="6">
        <f>IF(OR(AJ374=0,AP374=0,NOT(ISNUMBER(AD374)),NOT(ISNUMBER(AF374)),NOT(ISNUMBER(AJ374)),NOT(ISNUMBER(AP374))),"",
IFERROR(IF((AD374-AF374)/(AJ374/60)/(AP374/1000)&lt;=0,"",(AD374-AF374)/(AJ374/60)/(AP374/1000)),""))</f>
        <v/>
      </c>
    </row>
    <row r="375" ht="15.75" customHeight="1">
      <c r="B375" t="n">
        <v>131</v>
      </c>
      <c r="C375" s="25" t="inlineStr">
        <is>
          <t>pH upset</t>
        </is>
      </c>
      <c r="D375" s="94" t="n">
        <v>45635</v>
      </c>
      <c r="E375" s="231" t="n">
        <v>131</v>
      </c>
      <c r="F375" s="3" t="n">
        <v>370</v>
      </c>
      <c r="G375" s="205">
        <f>IF(OR(S375="",S375=0),"",S375*2)</f>
        <v/>
      </c>
      <c r="K375" s="41" t="n">
        <v>21.6</v>
      </c>
      <c r="M375" s="10">
        <f>IF(OR(E375="",G375="",E375=0,G375=0),"",E375/G375)</f>
        <v/>
      </c>
      <c r="N375" s="9">
        <f>IF(OR(E375="",I375="",E375=0,I375=0),"",E375/(I375*2))</f>
        <v/>
      </c>
      <c r="O375" s="8">
        <f>IF(OR(I375="",G375="",I375=0,G375=0),"",I375*2/G375)</f>
        <v/>
      </c>
      <c r="Z375" s="6" t="n">
        <v>0.19</v>
      </c>
      <c r="AD375" s="5" t="n">
        <v>80</v>
      </c>
      <c r="AF375" s="95" t="n">
        <v>22</v>
      </c>
      <c r="AI375" s="231" t="n">
        <v>1.57</v>
      </c>
      <c r="AJ375" s="261" t="n">
        <v>0.4443287037037037</v>
      </c>
      <c r="AL375" s="231" t="n">
        <v>175</v>
      </c>
      <c r="AM375" s="3" t="n">
        <v>180</v>
      </c>
      <c r="AP375" s="255">
        <f>360-AK375-AB375</f>
        <v/>
      </c>
      <c r="AR375" s="13">
        <f>AVERAGE(AO373:AO379)</f>
        <v/>
      </c>
      <c r="AT375" s="156">
        <f>(E375-W375)/E375</f>
        <v/>
      </c>
      <c r="AU375" s="155" t="n"/>
      <c r="AV375" s="155">
        <f>AG375/(AD375-AF375)</f>
        <v/>
      </c>
      <c r="AW375" s="155">
        <f>(G375-AM375)/G375</f>
        <v/>
      </c>
      <c r="AX375" s="254">
        <f>IF(AND(ISNUMBER(E375),ISNUMBER(W375)),E375-W375,"")</f>
        <v/>
      </c>
      <c r="AY375" s="254">
        <f>IF(AND(ISNUMBER(I375),ISNUMBER(AF375)),I375-AF375,"")</f>
        <v/>
      </c>
      <c r="AZ375" s="254">
        <f>IF(AND(ISNUMBER(AM375),ISNUMBER(G375)),G375-AM375,"")</f>
        <v/>
      </c>
      <c r="BA375" s="254">
        <f>IF(AND(ISNUMBER(AC375),ISNUMBER(AE375)),AC375-AE375,"")</f>
        <v/>
      </c>
      <c r="BB375" s="254">
        <f>IF(AND(ISNUMBER(AL375),ISNUMBER(AM375)),AL375-AM375,"")</f>
        <v/>
      </c>
      <c r="BC375" s="60">
        <f>IF(AND($E375&gt;0,$W375&gt;0),IF(($E375-$W375)/$E375&gt;0,($E375-$W375)/$E375,0),"")</f>
        <v/>
      </c>
      <c r="BD375" s="60">
        <f>IF(AND($I375&gt;0,$AF375&gt;=0),IF(($I375-$AF375)/$I375&gt;0,($I375-$AF375)/$I375,0),"")</f>
        <v/>
      </c>
      <c r="BE375" s="60" t="n"/>
      <c r="BF375" s="60">
        <f>IF(AND($G375&gt;0,$AM375&gt;0),IF(($G375-$AM375)/$G375&gt;0,($G375-$AM375)/$G375,0),"")</f>
        <v/>
      </c>
      <c r="BG375" s="6">
        <f>IF((AD375-AF375)/(AJ375/60)&lt;=0,"",(AD375-AF375)/(AJ375/60))</f>
        <v/>
      </c>
      <c r="BH375" s="6">
        <f>IF(OR(AJ375=0,AP375=0,NOT(ISNUMBER(AD375)),NOT(ISNUMBER(AF375)),NOT(ISNUMBER(AJ375)),NOT(ISNUMBER(AP375))),"",
IFERROR(IF((AD375-AF375)/(AJ375/60)/(AP375/1000)&lt;=0,"",(AD375-AF375)/(AJ375/60)/(AP375/1000)),""))</f>
        <v/>
      </c>
    </row>
    <row r="376" ht="15.75" customHeight="1">
      <c r="B376" t="n">
        <v>132</v>
      </c>
      <c r="C376" s="25" t="inlineStr">
        <is>
          <t>pH upset, pH went up to 8.9</t>
        </is>
      </c>
      <c r="D376" s="94" t="n">
        <v>45636</v>
      </c>
      <c r="E376" s="231" t="n">
        <v>132</v>
      </c>
      <c r="F376" s="3" t="n">
        <v>371</v>
      </c>
      <c r="G376" s="205">
        <f>IF(OR(S376="",S376=0),"",S376*2)</f>
        <v/>
      </c>
      <c r="I376" s="15">
        <f>(N376*18-H376*18)/9</f>
        <v/>
      </c>
      <c r="K376" s="15">
        <f>AD376</f>
        <v/>
      </c>
      <c r="M376" s="10">
        <f>IF(OR(E376="",G376="",E376=0,G376=0),"",E376/G376)</f>
        <v/>
      </c>
      <c r="N376" s="9">
        <f>IF(OR(E376="",I376="",E376=0,I376=0),"",E376/(I376*2))</f>
        <v/>
      </c>
      <c r="O376" s="8">
        <f>IF(OR(I376="",G376="",I376=0,G376=0),"",I376*2/G376)</f>
        <v/>
      </c>
      <c r="Q376" t="n">
        <v>84.491</v>
      </c>
      <c r="R376" t="n">
        <v>28.835</v>
      </c>
      <c r="S376" s="6">
        <f>O376*1.067</f>
        <v/>
      </c>
      <c r="T376" s="6">
        <f>P376*1.514</f>
        <v/>
      </c>
      <c r="U376" s="23">
        <f>P376*1.514+O376*1.067</f>
        <v/>
      </c>
      <c r="W376" s="6">
        <f>0*1.067</f>
        <v/>
      </c>
      <c r="X376" s="6">
        <f>0*1.514</f>
        <v/>
      </c>
      <c r="Y376" s="23">
        <f>U376*1.067+V376*1.514</f>
        <v/>
      </c>
      <c r="Z376" s="6" t="n">
        <v>0.57</v>
      </c>
      <c r="AD376" s="5" t="n">
        <v>80</v>
      </c>
      <c r="AE376" s="7">
        <f>T376</f>
        <v/>
      </c>
      <c r="AF376" s="95" t="n">
        <v>21</v>
      </c>
      <c r="AI376" s="67" t="n">
        <v>6.56</v>
      </c>
      <c r="AJ376" s="261" t="n">
        <v>0.5206018518518518</v>
      </c>
      <c r="AL376" s="231" t="n">
        <v>175</v>
      </c>
      <c r="AM376" s="3" t="n">
        <v>180</v>
      </c>
      <c r="AN376" s="4">
        <f>AE376</f>
        <v/>
      </c>
      <c r="AP376" s="255">
        <f>360-AK376-AB376</f>
        <v/>
      </c>
      <c r="AQ376" s="2" t="n">
        <v>2589.999999999964</v>
      </c>
      <c r="AR376" s="13">
        <f>AVERAGE(AO374:AO380)</f>
        <v/>
      </c>
      <c r="AS376" s="2" t="n">
        <v>18.30733707176818</v>
      </c>
      <c r="AT376" s="156">
        <f>(E376-W376)/E376</f>
        <v/>
      </c>
      <c r="AU376" s="155" t="n"/>
      <c r="AV376" s="155">
        <f>AG376/(AD376-AF376)</f>
        <v/>
      </c>
      <c r="AW376" s="155">
        <f>(G376-AM376)/G376</f>
        <v/>
      </c>
      <c r="AX376" s="254">
        <f>IF(AND(ISNUMBER(E376),ISNUMBER(W376)),E376-W376,"")</f>
        <v/>
      </c>
      <c r="AY376" s="254">
        <f>IF(AND(ISNUMBER(I376),ISNUMBER(AF376)),I376-AF376,"")</f>
        <v/>
      </c>
      <c r="AZ376" s="254">
        <f>IF(AND(ISNUMBER(AM376),ISNUMBER(G376)),G376-AM376,"")</f>
        <v/>
      </c>
      <c r="BA376" s="254">
        <f>IF(AND(ISNUMBER(AC376),ISNUMBER(AE376)),AC376-AE376,"")</f>
        <v/>
      </c>
      <c r="BB376" s="254">
        <f>IF(AND(ISNUMBER(AL376),ISNUMBER(AM376)),AL376-AM376,"")</f>
        <v/>
      </c>
      <c r="BC376" s="60">
        <f>IF(AND($E376&gt;0,$W376&gt;0),IF(($E376-$W376)/$E376&gt;0,($E376-$W376)/$E376,0),"")</f>
        <v/>
      </c>
      <c r="BD376" s="60">
        <f>IF(AND($I376&gt;0,$AF376&gt;=0),IF(($I376-$AF376)/$I376&gt;0,($I376-$AF376)/$I376,0),"")</f>
        <v/>
      </c>
      <c r="BE376" s="60">
        <f>IF(AND($AG376&gt;=0,$AD376&gt;=0,$AF376&gt;=0),IF($AG376/($AD376-$AF376)&gt;0,$AG376/($AD376-$AF376),0),"")</f>
        <v/>
      </c>
      <c r="BF376" s="60">
        <f>IF(AND($G376&gt;0,$AM376&gt;0),IF(($G376-$AM376)/$G376&gt;0,($G376-$AM376)/$G376,0),"")</f>
        <v/>
      </c>
      <c r="BG376" s="6">
        <f>IF((AD376-AF376)/(AJ376/60)&lt;=0,"",(AD376-AF376)/(AJ376/60))</f>
        <v/>
      </c>
      <c r="BH376" s="6">
        <f>IF(OR(AJ376=0,AP376=0,NOT(ISNUMBER(AD376)),NOT(ISNUMBER(AF376)),NOT(ISNUMBER(AJ376)),NOT(ISNUMBER(AP376))),"",
IFERROR(IF((AD376-AF376)/(AJ376/60)/(AP376/1000)&lt;=0,"",(AD376-AF376)/(AJ376/60)/(AP376/1000)),""))</f>
        <v/>
      </c>
    </row>
    <row r="377" ht="15.75" customHeight="1">
      <c r="B377" t="n">
        <v>133</v>
      </c>
      <c r="C377" s="25" t="n"/>
      <c r="D377" s="94" t="n">
        <v>45637</v>
      </c>
      <c r="E377" s="231" t="n">
        <v>133</v>
      </c>
      <c r="F377" s="3" t="n">
        <v>372</v>
      </c>
      <c r="G377" s="205">
        <f>IF(OR(S377="",S377=0),"",S377*2)</f>
        <v/>
      </c>
      <c r="K377" s="15">
        <f>AD377</f>
        <v/>
      </c>
      <c r="M377" s="10">
        <f>IF(OR(E377="",G377="",E377=0,G377=0),"",E377/G377)</f>
        <v/>
      </c>
      <c r="N377" s="9">
        <f>IF(OR(E377="",I377="",E377=0,I377=0),"",E377/(I377*2))</f>
        <v/>
      </c>
      <c r="O377" s="8">
        <f>IF(OR(I377="",G377="",I377=0,G377=0),"",I377*2/G377)</f>
        <v/>
      </c>
      <c r="Z377" s="6" t="n">
        <v>0.19</v>
      </c>
      <c r="AD377" s="5" t="n">
        <v>80</v>
      </c>
      <c r="AF377" s="95" t="n">
        <v>21</v>
      </c>
      <c r="AI377" s="67" t="n">
        <v>5.13</v>
      </c>
      <c r="AJ377" s="261" t="n">
        <v>0.5208333333333334</v>
      </c>
      <c r="AL377" s="231" t="n">
        <v>175</v>
      </c>
      <c r="AM377" s="3" t="n">
        <v>180</v>
      </c>
      <c r="AP377" s="255">
        <f>360-AK377-AB377</f>
        <v/>
      </c>
      <c r="AR377" s="13">
        <f>AVERAGE(AO375:AO381)</f>
        <v/>
      </c>
      <c r="AT377" s="156">
        <f>(E377-W377)/E377</f>
        <v/>
      </c>
      <c r="AU377" s="155" t="n"/>
      <c r="AV377" s="155">
        <f>AG377/(AD377-AF377)</f>
        <v/>
      </c>
      <c r="AW377" s="155">
        <f>(G377-AM377)/G377</f>
        <v/>
      </c>
      <c r="AX377" s="254">
        <f>IF(AND(ISNUMBER(E377),ISNUMBER(W377)),E377-W377,"")</f>
        <v/>
      </c>
      <c r="AY377" s="254">
        <f>IF(AND(ISNUMBER(I377),ISNUMBER(AF377)),I377-AF377,"")</f>
        <v/>
      </c>
      <c r="AZ377" s="254">
        <f>IF(AND(ISNUMBER(AM377),ISNUMBER(G377)),G377-AM377,"")</f>
        <v/>
      </c>
      <c r="BA377" s="254">
        <f>IF(AND(ISNUMBER(AC377),ISNUMBER(AE377)),AC377-AE377,"")</f>
        <v/>
      </c>
      <c r="BB377" s="254">
        <f>IF(AND(ISNUMBER(AL377),ISNUMBER(AM377)),AL377-AM377,"")</f>
        <v/>
      </c>
      <c r="BC377" s="60">
        <f>IF(AND($E377&gt;0,$W377&gt;0),IF(($E377-$W377)/$E377&gt;0,($E377-$W377)/$E377,0),"")</f>
        <v/>
      </c>
      <c r="BD377" s="60">
        <f>IF(AND($I377&gt;0,$AF377&gt;=0),IF(($I377-$AF377)/$I377&gt;0,($I377-$AF377)/$I377,0),"")</f>
        <v/>
      </c>
      <c r="BE377" s="60">
        <f>IF(AND($AG377&gt;=0,$AD377&gt;=0,$AF377&gt;=0),IF($AG377/($AD377-$AF377)&gt;0,$AG377/($AD377-$AF377),0),"")</f>
        <v/>
      </c>
      <c r="BF377" s="60">
        <f>IF(AND($G377&gt;0,$AM377&gt;0),IF(($G377-$AM377)/$G377&gt;0,($G377-$AM377)/$G377,0),"")</f>
        <v/>
      </c>
      <c r="BG377" s="6">
        <f>IF((AD377-AF377)/(AJ377/60)&lt;=0,"",(AD377-AF377)/(AJ377/60))</f>
        <v/>
      </c>
      <c r="BH377" s="6">
        <f>IF(OR(AJ377=0,AP377=0,NOT(ISNUMBER(AD377)),NOT(ISNUMBER(AF377)),NOT(ISNUMBER(AJ377)),NOT(ISNUMBER(AP377))),"",
IFERROR(IF((AD377-AF377)/(AJ377/60)/(AP377/1000)&lt;=0,"",(AD377-AF377)/(AJ377/60)/(AP377/1000)),""))</f>
        <v/>
      </c>
    </row>
    <row r="378" ht="15.75" customHeight="1">
      <c r="A378" s="260" t="inlineStr">
        <is>
          <t>B50</t>
        </is>
      </c>
      <c r="B378" s="260" t="n">
        <v>134</v>
      </c>
      <c r="C378" s="108" t="n">
        <v>1.25</v>
      </c>
      <c r="D378" s="94" t="n">
        <v>45638</v>
      </c>
      <c r="E378" s="231" t="n">
        <v>134</v>
      </c>
      <c r="F378" s="3" t="n">
        <v>373</v>
      </c>
      <c r="G378" s="205">
        <f>IF(OR(S378="",S378=0),"",S378*2)</f>
        <v/>
      </c>
      <c r="M378" s="10">
        <f>IF(OR(E378="",G378="",E378=0,G378=0),"",E378/G378)</f>
        <v/>
      </c>
      <c r="N378" s="9">
        <f>IF(OR(E378="",I378="",E378=0,I378=0),"",E378/(I378*2))</f>
        <v/>
      </c>
      <c r="O378" s="8">
        <f>IF(OR(I378="",G378="",I378=0,G378=0),"",I378*2/G378)</f>
        <v/>
      </c>
      <c r="Z378" s="6" t="n">
        <v>0.19</v>
      </c>
      <c r="AD378" s="5" t="n">
        <v>80</v>
      </c>
      <c r="AF378" s="95" t="n">
        <v>21</v>
      </c>
      <c r="AI378" s="67" t="n">
        <v>4.09</v>
      </c>
      <c r="AJ378" s="261" t="n">
        <v>0.5197916666666667</v>
      </c>
      <c r="AL378" s="231" t="n">
        <v>175</v>
      </c>
      <c r="AM378" s="3" t="n">
        <v>180</v>
      </c>
      <c r="AP378" s="255">
        <f>360-AK378-AB378</f>
        <v/>
      </c>
      <c r="AR378" s="13">
        <f>AVERAGE(AO376:AO382)</f>
        <v/>
      </c>
      <c r="AT378" s="156">
        <f>(E378-W378)/E378</f>
        <v/>
      </c>
      <c r="AU378" s="155" t="n"/>
      <c r="AV378" s="155">
        <f>AG378/(AD378-AF378)</f>
        <v/>
      </c>
      <c r="AW378" s="155">
        <f>(G378-AM378)/G378</f>
        <v/>
      </c>
      <c r="AX378" s="254">
        <f>IF(AND(ISNUMBER(E378),ISNUMBER(W378)),E378-W378,"")</f>
        <v/>
      </c>
      <c r="AY378" s="254">
        <f>IF(AND(ISNUMBER(I378),ISNUMBER(AF378)),I378-AF378,"")</f>
        <v/>
      </c>
      <c r="AZ378" s="254">
        <f>IF(AND(ISNUMBER(AM378),ISNUMBER(G378)),G378-AM378,"")</f>
        <v/>
      </c>
      <c r="BA378" s="254">
        <f>IF(AND(ISNUMBER(AC378),ISNUMBER(AE378)),AC378-AE378,"")</f>
        <v/>
      </c>
      <c r="BB378" s="254">
        <f>IF(AND(ISNUMBER(AL378),ISNUMBER(AM378)),AL378-AM378,"")</f>
        <v/>
      </c>
      <c r="BC378" s="60">
        <f>IF(AND($E378&gt;0,$W378&gt;0),IF(($E378-$W378)/$E378&gt;0,($E378-$W378)/$E378,0),"")</f>
        <v/>
      </c>
      <c r="BD378" s="60">
        <f>IF(AND($I378&gt;0,$AF378&gt;=0),IF(($I378-$AF378)/$I378&gt;0,($I378-$AF378)/$I378,0),"")</f>
        <v/>
      </c>
      <c r="BE378" s="60">
        <f>IF(AND($AG378&gt;=0,$AD378&gt;=0,$AF378&gt;=0),IF($AG378/($AD378-$AF378)&gt;0,$AG378/($AD378-$AF378),0),"")</f>
        <v/>
      </c>
      <c r="BF378" s="60">
        <f>IF(AND($G378&gt;0,$AM378&gt;0),IF(($G378-$AM378)/$G378&gt;0,($G378-$AM378)/$G378,0),"")</f>
        <v/>
      </c>
      <c r="BG378" s="6">
        <f>IF((AD378-AF378)/(AJ378/60)&lt;=0,"",(AD378-AF378)/(AJ378/60))</f>
        <v/>
      </c>
      <c r="BH378" s="6">
        <f>IF(OR(AJ378=0,AP378=0,NOT(ISNUMBER(AD378)),NOT(ISNUMBER(AF378)),NOT(ISNUMBER(AJ378)),NOT(ISNUMBER(AP378))),"",
IFERROR(IF((AD378-AF378)/(AJ378/60)/(AP378/1000)&lt;=0,"",(AD378-AF378)/(AJ378/60)/(AP378/1000)),""))</f>
        <v/>
      </c>
    </row>
    <row r="379" ht="15.75" customHeight="1">
      <c r="B379" t="n">
        <v>135</v>
      </c>
      <c r="C379" s="25" t="n"/>
      <c r="D379" s="94" t="n">
        <v>45639</v>
      </c>
      <c r="E379" s="231" t="n">
        <v>135</v>
      </c>
      <c r="F379" s="3" t="n">
        <v>374</v>
      </c>
      <c r="G379" s="205">
        <f>IF(OR(S379="",S379=0),"",S379*2)</f>
        <v/>
      </c>
      <c r="M379" s="10">
        <f>IF(OR(E379="",G379="",E379=0,G379=0),"",E379/G379)</f>
        <v/>
      </c>
      <c r="N379" s="9">
        <f>IF(OR(E379="",I379="",E379=0,I379=0),"",E379/(I379*2))</f>
        <v/>
      </c>
      <c r="O379" s="8">
        <f>IF(OR(I379="",G379="",I379=0,G379=0),"",I379*2/G379)</f>
        <v/>
      </c>
      <c r="Z379" s="6" t="n">
        <v>0.2</v>
      </c>
      <c r="AD379" s="5" t="n">
        <v>80</v>
      </c>
      <c r="AF379" s="95" t="n">
        <v>20</v>
      </c>
      <c r="AI379" s="67" t="n">
        <v>3.09</v>
      </c>
      <c r="AJ379" s="261" t="n">
        <v>0.5194444444444445</v>
      </c>
      <c r="AL379" s="231" t="n">
        <v>175</v>
      </c>
      <c r="AM379" s="3" t="n">
        <v>180</v>
      </c>
      <c r="AP379" s="255">
        <f>360-AK379-AB379</f>
        <v/>
      </c>
      <c r="AQ379" s="262">
        <f>AVERAGE(AO376,AO384)</f>
        <v/>
      </c>
      <c r="AR379" s="13">
        <f>AVERAGE(AO377:AO383)</f>
        <v/>
      </c>
      <c r="AT379" s="156">
        <f>(E379-W379)/E379</f>
        <v/>
      </c>
      <c r="AU379" s="155" t="n"/>
      <c r="AV379" s="155">
        <f>AG379/(AD379-AF379)</f>
        <v/>
      </c>
      <c r="AW379" s="155">
        <f>(G379-AM379)/G379</f>
        <v/>
      </c>
      <c r="AX379" s="254">
        <f>IF(AND(ISNUMBER(E379),ISNUMBER(W379)),E379-W379,"")</f>
        <v/>
      </c>
      <c r="AY379" s="254">
        <f>IF(AND(ISNUMBER(I379),ISNUMBER(AF379)),I379-AF379,"")</f>
        <v/>
      </c>
      <c r="AZ379" s="254">
        <f>IF(AND(ISNUMBER(AM379),ISNUMBER(G379)),G379-AM379,"")</f>
        <v/>
      </c>
      <c r="BA379" s="254">
        <f>IF(AND(ISNUMBER(AC379),ISNUMBER(AE379)),AC379-AE379,"")</f>
        <v/>
      </c>
      <c r="BB379" s="254">
        <f>IF(AND(ISNUMBER(AL379),ISNUMBER(AM379)),AL379-AM379,"")</f>
        <v/>
      </c>
      <c r="BC379" s="60">
        <f>IF(AND($E379&gt;0,$W379&gt;0),IF(($E379-$W379)/$E379&gt;0,($E379-$W379)/$E379,0),"")</f>
        <v/>
      </c>
      <c r="BD379" s="60">
        <f>IF(AND($I379&gt;0,$AF379&gt;=0),IF(($I379-$AF379)/$I379&gt;0,($I379-$AF379)/$I379,0),"")</f>
        <v/>
      </c>
      <c r="BE379" s="60">
        <f>IF(AND($AG379&gt;=0,$AD379&gt;=0,$AF379&gt;=0),IF($AG379/($AD379-$AF379)&gt;0,$AG379/($AD379-$AF379),0),"")</f>
        <v/>
      </c>
      <c r="BF379" s="60">
        <f>IF(AND($G379&gt;0,$AM379&gt;0),IF(($G379-$AM379)/$G379&gt;0,($G379-$AM379)/$G379,0),"")</f>
        <v/>
      </c>
      <c r="BG379" s="6">
        <f>IF((AD379-AF379)/(AJ379/60)&lt;=0,"",(AD379-AF379)/(AJ379/60))</f>
        <v/>
      </c>
      <c r="BH379" s="6">
        <f>IF(OR(AJ379=0,AP379=0,NOT(ISNUMBER(AD379)),NOT(ISNUMBER(AF379)),NOT(ISNUMBER(AJ379)),NOT(ISNUMBER(AP379))),"",
IFERROR(IF((AD379-AF379)/(AJ379/60)/(AP379/1000)&lt;=0,"",(AD379-AF379)/(AJ379/60)/(AP379/1000)),""))</f>
        <v/>
      </c>
    </row>
    <row r="380" ht="15.75" customHeight="1">
      <c r="B380" t="n">
        <v>136</v>
      </c>
      <c r="C380" s="25" t="n"/>
      <c r="D380" s="94" t="n">
        <v>45640</v>
      </c>
      <c r="E380" s="231" t="n">
        <v>136</v>
      </c>
      <c r="F380" s="3" t="n">
        <v>375</v>
      </c>
      <c r="G380" s="205">
        <f>IF(OR(S380="",S380=0),"",S380*2)</f>
        <v/>
      </c>
      <c r="M380" s="10">
        <f>IF(OR(E380="",G380="",E380=0,G380=0),"",E380/G380)</f>
        <v/>
      </c>
      <c r="N380" s="9">
        <f>IF(OR(E380="",I380="",E380=0,I380=0),"",E380/(I380*2))</f>
        <v/>
      </c>
      <c r="O380" s="8">
        <f>IF(OR(I380="",G380="",I380=0,G380=0),"",I380*2/G380)</f>
        <v/>
      </c>
      <c r="Z380" s="6" t="n">
        <v>0.67</v>
      </c>
      <c r="AD380" s="5" t="n">
        <v>80</v>
      </c>
      <c r="AF380" s="95" t="n">
        <v>20</v>
      </c>
      <c r="AI380" s="67" t="n">
        <v>3.22</v>
      </c>
      <c r="AJ380" s="261" t="n">
        <v>0.5208333333333334</v>
      </c>
      <c r="AL380" s="231" t="n">
        <v>175</v>
      </c>
      <c r="AM380" s="3" t="n">
        <v>180</v>
      </c>
      <c r="AP380" s="255">
        <f>360-AK380-AB380</f>
        <v/>
      </c>
      <c r="AR380" s="13">
        <f>AVERAGE(AO378:AO384)</f>
        <v/>
      </c>
      <c r="AT380" s="156">
        <f>(E380-W380)/E380</f>
        <v/>
      </c>
      <c r="AU380" s="155" t="n"/>
      <c r="AV380" s="155">
        <f>AG380/(AD380-AF380)</f>
        <v/>
      </c>
      <c r="AW380" s="155">
        <f>(G380-AM380)/G380</f>
        <v/>
      </c>
      <c r="AX380" s="254">
        <f>IF(AND(ISNUMBER(E380),ISNUMBER(W380)),E380-W380,"")</f>
        <v/>
      </c>
      <c r="AY380" s="254">
        <f>IF(AND(ISNUMBER(I380),ISNUMBER(AF380)),I380-AF380,"")</f>
        <v/>
      </c>
      <c r="AZ380" s="254">
        <f>IF(AND(ISNUMBER(AM380),ISNUMBER(G380)),G380-AM380,"")</f>
        <v/>
      </c>
      <c r="BA380" s="254">
        <f>IF(AND(ISNUMBER(AC380),ISNUMBER(AE380)),AC380-AE380,"")</f>
        <v/>
      </c>
      <c r="BB380" s="254">
        <f>IF(AND(ISNUMBER(AL380),ISNUMBER(AM380)),AL380-AM380,"")</f>
        <v/>
      </c>
      <c r="BC380" s="60">
        <f>IF(AND($E380&gt;0,$W380&gt;0),IF(($E380-$W380)/$E380&gt;0,($E380-$W380)/$E380,0),"")</f>
        <v/>
      </c>
      <c r="BD380" s="60">
        <f>IF(AND($I380&gt;0,$AF380&gt;=0),IF(($I380-$AF380)/$I380&gt;0,($I380-$AF380)/$I380,0),"")</f>
        <v/>
      </c>
      <c r="BE380" s="60">
        <f>IF(AND($AG380&gt;=0,$AD380&gt;=0,$AF380&gt;=0),IF($AG380/($AD380-$AF380)&gt;0,$AG380/($AD380-$AF380),0),"")</f>
        <v/>
      </c>
      <c r="BF380" s="60">
        <f>IF(AND($G380&gt;0,$AM380&gt;0),IF(($G380-$AM380)/$G380&gt;0,($G380-$AM380)/$G380,0),"")</f>
        <v/>
      </c>
      <c r="BG380" s="6">
        <f>IF((AD380-AF380)/(AJ380/60)&lt;=0,"",(AD380-AF380)/(AJ380/60))</f>
        <v/>
      </c>
      <c r="BH380" s="6">
        <f>IF(OR(AJ380=0,AP380=0,NOT(ISNUMBER(AD380)),NOT(ISNUMBER(AF380)),NOT(ISNUMBER(AJ380)),NOT(ISNUMBER(AP380))),"",
IFERROR(IF((AD380-AF380)/(AJ380/60)/(AP380/1000)&lt;=0,"",(AD380-AF380)/(AJ380/60)/(AP380/1000)),""))</f>
        <v/>
      </c>
    </row>
    <row r="381" ht="15.75" customHeight="1">
      <c r="B381" t="n">
        <v>137</v>
      </c>
      <c r="C381" s="25" t="n"/>
      <c r="D381" s="94" t="n">
        <v>45641</v>
      </c>
      <c r="E381" s="231" t="n">
        <v>137</v>
      </c>
      <c r="F381" s="3" t="n">
        <v>376</v>
      </c>
      <c r="G381" s="205">
        <f>IF(OR(S381="",S381=0),"",S381*2)</f>
        <v/>
      </c>
      <c r="M381" s="10">
        <f>IF(OR(E381="",G381="",E381=0,G381=0),"",E381/G381)</f>
        <v/>
      </c>
      <c r="N381" s="9">
        <f>IF(OR(E381="",I381="",E381=0,I381=0),"",E381/(I381*2))</f>
        <v/>
      </c>
      <c r="O381" s="8">
        <f>IF(OR(I381="",G381="",I381=0,G381=0),"",I381*2/G381)</f>
        <v/>
      </c>
      <c r="Z381" s="6" t="n">
        <v>0.2</v>
      </c>
      <c r="AD381" s="5" t="n">
        <v>80</v>
      </c>
      <c r="AF381" s="95" t="n">
        <v>20</v>
      </c>
      <c r="AI381" s="67" t="n">
        <v>3.02</v>
      </c>
      <c r="AJ381" s="261" t="n">
        <v>0.5203703703703704</v>
      </c>
      <c r="AL381" s="231" t="n">
        <v>175</v>
      </c>
      <c r="AM381" s="3" t="n">
        <v>180</v>
      </c>
      <c r="AP381" s="255">
        <f>360-AK381-AB381</f>
        <v/>
      </c>
      <c r="AR381" s="13">
        <f>AVERAGE(AO379:AO385)</f>
        <v/>
      </c>
      <c r="AT381" s="156">
        <f>(E381-W381)/E381</f>
        <v/>
      </c>
      <c r="AU381" s="155" t="n"/>
      <c r="AV381" s="155">
        <f>AG381/(AD381-AF381)</f>
        <v/>
      </c>
      <c r="AW381" s="155">
        <f>(G381-AM381)/G381</f>
        <v/>
      </c>
      <c r="AX381" s="254">
        <f>IF(AND(ISNUMBER(E381),ISNUMBER(W381)),E381-W381,"")</f>
        <v/>
      </c>
      <c r="AY381" s="254">
        <f>IF(AND(ISNUMBER(I381),ISNUMBER(AF381)),I381-AF381,"")</f>
        <v/>
      </c>
      <c r="AZ381" s="254">
        <f>IF(AND(ISNUMBER(AM381),ISNUMBER(G381)),G381-AM381,"")</f>
        <v/>
      </c>
      <c r="BA381" s="254">
        <f>IF(AND(ISNUMBER(AC381),ISNUMBER(AE381)),AC381-AE381,"")</f>
        <v/>
      </c>
      <c r="BB381" s="254">
        <f>IF(AND(ISNUMBER(AL381),ISNUMBER(AM381)),AL381-AM381,"")</f>
        <v/>
      </c>
      <c r="BC381" s="60">
        <f>IF(AND($E381&gt;0,$W381&gt;0),IF(($E381-$W381)/$E381&gt;0,($E381-$W381)/$E381,0),"")</f>
        <v/>
      </c>
      <c r="BD381" s="60">
        <f>IF(AND($I381&gt;0,$AF381&gt;=0),IF(($I381-$AF381)/$I381&gt;0,($I381-$AF381)/$I381,0),"")</f>
        <v/>
      </c>
      <c r="BE381" s="60">
        <f>IF(AND($AG381&gt;=0,$AD381&gt;=0,$AF381&gt;=0),IF($AG381/($AD381-$AF381)&gt;0,$AG381/($AD381-$AF381),0),"")</f>
        <v/>
      </c>
      <c r="BF381" s="60">
        <f>IF(AND($G381&gt;0,$AM381&gt;0),IF(($G381-$AM381)/$G381&gt;0,($G381-$AM381)/$G381,0),"")</f>
        <v/>
      </c>
      <c r="BG381" s="6">
        <f>IF((AD381-AF381)/(AJ381/60)&lt;=0,"",(AD381-AF381)/(AJ381/60))</f>
        <v/>
      </c>
      <c r="BH381" s="6">
        <f>IF(OR(AJ381=0,AP381=0,NOT(ISNUMBER(AD381)),NOT(ISNUMBER(AF381)),NOT(ISNUMBER(AJ381)),NOT(ISNUMBER(AP381))),"",
IFERROR(IF((AD381-AF381)/(AJ381/60)/(AP381/1000)&lt;=0,"",(AD381-AF381)/(AJ381/60)/(AP381/1000)),""))</f>
        <v/>
      </c>
    </row>
    <row r="382" ht="15.75" customHeight="1">
      <c r="B382" t="n">
        <v>138</v>
      </c>
      <c r="C382" s="25" t="inlineStr">
        <is>
          <t>daily</t>
        </is>
      </c>
      <c r="D382" s="94" t="n">
        <v>45642</v>
      </c>
      <c r="E382" s="231" t="n">
        <v>138</v>
      </c>
      <c r="F382" s="3" t="n">
        <v>377</v>
      </c>
      <c r="G382" s="205">
        <f>IF(OR(S382="",S382=0),"",S382*2)</f>
        <v/>
      </c>
      <c r="I382" s="15">
        <f>(N382*18-H382*18)/9</f>
        <v/>
      </c>
      <c r="J382" s="9">
        <f>5*1.37</f>
        <v/>
      </c>
      <c r="K382" s="15">
        <f>AD382</f>
        <v/>
      </c>
      <c r="M382" s="10">
        <f>IF(OR(E382="",G382="",E382=0,G382=0),"",E382/G382)</f>
        <v/>
      </c>
      <c r="N382" s="9">
        <f>IF(OR(E382="",I382="",E382=0,I382=0),"",E382/(I382*2))</f>
        <v/>
      </c>
      <c r="O382" s="8">
        <f>IF(OR(I382="",G382="",I382=0,G382=0),"",I382*2/G382)</f>
        <v/>
      </c>
      <c r="P382" s="7">
        <f>5*2.8</f>
        <v/>
      </c>
      <c r="Q382" s="6" t="n">
        <v>77.30500000000001</v>
      </c>
      <c r="R382" s="6" t="n">
        <v>24.275</v>
      </c>
      <c r="S382" s="6">
        <f>O382*1.067</f>
        <v/>
      </c>
      <c r="T382" s="6">
        <f>P382*1.514</f>
        <v/>
      </c>
      <c r="U382" s="23">
        <f>P382*1.514+O382*1.067</f>
        <v/>
      </c>
      <c r="V382" s="6">
        <f>25.7</f>
        <v/>
      </c>
      <c r="W382" s="6" t="n">
        <v>0</v>
      </c>
      <c r="X382" s="6" t="n">
        <v>0</v>
      </c>
      <c r="Y382" s="23">
        <f>U382*1.067+V382*1.514</f>
        <v/>
      </c>
      <c r="Z382" s="6" t="n">
        <v>1.92</v>
      </c>
      <c r="AD382" s="5" t="n">
        <v>80</v>
      </c>
      <c r="AE382" s="7">
        <f>T382</f>
        <v/>
      </c>
      <c r="AF382" s="231">
        <f>5*3.97</f>
        <v/>
      </c>
      <c r="AG382" s="231">
        <f>15.9</f>
        <v/>
      </c>
      <c r="AH382" s="231">
        <f>2*3.52</f>
        <v/>
      </c>
      <c r="AI382" s="67" t="n">
        <v>3.55</v>
      </c>
      <c r="AJ382" s="261" t="n">
        <v>0.5204861111111111</v>
      </c>
      <c r="AL382" s="231" t="n">
        <v>175</v>
      </c>
      <c r="AM382" s="3" t="n">
        <v>180</v>
      </c>
      <c r="AN382" s="4">
        <f>AE382</f>
        <v/>
      </c>
      <c r="AO382" s="231">
        <f>5*2.55</f>
        <v/>
      </c>
      <c r="AP382" s="255">
        <f>360-AK382-AB382</f>
        <v/>
      </c>
      <c r="AR382" s="13">
        <f>AVERAGE(AO380:AO386)</f>
        <v/>
      </c>
      <c r="AT382" s="156">
        <f>(E382-W382)/E382</f>
        <v/>
      </c>
      <c r="AU382" s="155">
        <f>(I382-AF382)/I382</f>
        <v/>
      </c>
      <c r="AV382" s="155">
        <f>AG382/(AD382-AF382)</f>
        <v/>
      </c>
      <c r="AW382" s="155">
        <f>(G382-AM382)/G382</f>
        <v/>
      </c>
      <c r="AX382" s="254">
        <f>IF(AND(ISNUMBER(E382),ISNUMBER(W382)),E382-W382,"")</f>
        <v/>
      </c>
      <c r="AY382" s="254">
        <f>IF(AND(ISNUMBER(I382),ISNUMBER(AF382)),I382-AF382,"")</f>
        <v/>
      </c>
      <c r="AZ382" s="254">
        <f>IF(AND(ISNUMBER(AM382),ISNUMBER(G382)),G382-AM382,"")</f>
        <v/>
      </c>
      <c r="BA382" s="254">
        <f>IF(AND(ISNUMBER(AC382),ISNUMBER(AE382)),AC382-AE382,"")</f>
        <v/>
      </c>
      <c r="BB382" s="254">
        <f>IF(AND(ISNUMBER(AL382),ISNUMBER(AM382)),AL382-AM382,"")</f>
        <v/>
      </c>
      <c r="BC382" s="60">
        <f>IF(AND($E382&gt;0,$W382&gt;0),IF(($E382-$W382)/$E382&gt;0,($E382-$W382)/$E382,0),"")</f>
        <v/>
      </c>
      <c r="BD382" s="60">
        <f>IF(AND($I382&gt;0,$AF382&gt;=0),IF(($I382-$AF382)/$I382&gt;0,($I382-$AF382)/$I382,0),"")</f>
        <v/>
      </c>
      <c r="BE382" s="60">
        <f>IF(AND($AG382&gt;=0,$AD382&gt;=0,$AF382&gt;=0),IF($AG382/($AD382-$AF382)&gt;0,$AG382/($AD382-$AF382),0),"")</f>
        <v/>
      </c>
      <c r="BF382" s="60">
        <f>IF(AND($G382&gt;0,$AM382&gt;0),IF(($G382-$AM382)/$G382&gt;0,($G382-$AM382)/$G382,0),"")</f>
        <v/>
      </c>
      <c r="BG382" s="6">
        <f>IF((AD382-AF382)/(AJ382/60)&lt;=0,"",(AD382-AF382)/(AJ382/60))</f>
        <v/>
      </c>
      <c r="BH382" s="6">
        <f>IF(OR(AJ382=0,AP382=0,NOT(ISNUMBER(AD382)),NOT(ISNUMBER(AF382)),NOT(ISNUMBER(AJ382)),NOT(ISNUMBER(AP382))),"",
IFERROR(IF((AD382-AF382)/(AJ382/60)/(AP382/1000)&lt;=0,"",(AD382-AF382)/(AJ382/60)/(AP382/1000)),""))</f>
        <v/>
      </c>
    </row>
    <row r="383" ht="15.75" customHeight="1">
      <c r="B383" t="n">
        <v>139</v>
      </c>
      <c r="D383" s="94" t="n">
        <v>45643</v>
      </c>
      <c r="E383" s="231" t="n">
        <v>139</v>
      </c>
      <c r="F383" s="3" t="n">
        <v>378</v>
      </c>
      <c r="G383" s="205">
        <f>IF(OR(S383="",S383=0),"",S383*2)</f>
        <v/>
      </c>
      <c r="M383" s="10">
        <f>IF(OR(E383="",G383="",E383=0,G383=0),"",E383/G383)</f>
        <v/>
      </c>
      <c r="N383" s="9">
        <f>IF(OR(E383="",I383="",E383=0,I383=0),"",E383/(I383*2))</f>
        <v/>
      </c>
      <c r="O383" s="8">
        <f>IF(OR(I383="",G383="",I383=0,G383=0),"",I383*2/G383)</f>
        <v/>
      </c>
      <c r="Z383" s="6" t="n">
        <v>7.16</v>
      </c>
      <c r="AD383" s="5" t="n">
        <v>80</v>
      </c>
      <c r="AF383" s="95" t="n">
        <v>20</v>
      </c>
      <c r="AI383" s="67" t="n">
        <v>5.79</v>
      </c>
      <c r="AJ383" s="261" t="n">
        <v>0.5199074074074074</v>
      </c>
      <c r="AL383" s="231" t="n">
        <v>175</v>
      </c>
      <c r="AM383" s="3" t="n">
        <v>180</v>
      </c>
      <c r="AP383" s="255">
        <f>360-AK383-AB383</f>
        <v/>
      </c>
      <c r="AR383" s="13">
        <f>AVERAGE(AO381:AO387)</f>
        <v/>
      </c>
      <c r="AT383" s="156">
        <f>(E383-W383)/E383</f>
        <v/>
      </c>
      <c r="AU383" s="155" t="n"/>
      <c r="AV383" s="155">
        <f>AG383/(AD383-AF383)</f>
        <v/>
      </c>
      <c r="AW383" s="155">
        <f>(G383-AM383)/G383</f>
        <v/>
      </c>
      <c r="AX383" s="254">
        <f>IF(AND(ISNUMBER(E383),ISNUMBER(W383)),E383-W383,"")</f>
        <v/>
      </c>
      <c r="AY383" s="254">
        <f>IF(AND(ISNUMBER(I383),ISNUMBER(AF383)),I383-AF383,"")</f>
        <v/>
      </c>
      <c r="AZ383" s="254">
        <f>IF(AND(ISNUMBER(AM383),ISNUMBER(G383)),G383-AM383,"")</f>
        <v/>
      </c>
      <c r="BA383" s="254">
        <f>IF(AND(ISNUMBER(AC383),ISNUMBER(AE383)),AC383-AE383,"")</f>
        <v/>
      </c>
      <c r="BB383" s="254">
        <f>IF(AND(ISNUMBER(AL383),ISNUMBER(AM383)),AL383-AM383,"")</f>
        <v/>
      </c>
      <c r="BC383" s="60">
        <f>IF(AND($E383&gt;0,$W383&gt;0),IF(($E383-$W383)/$E383&gt;0,($E383-$W383)/$E383,0),"")</f>
        <v/>
      </c>
      <c r="BD383" s="60">
        <f>IF(AND($I383&gt;0,$AF383&gt;=0),IF(($I383-$AF383)/$I383&gt;0,($I383-$AF383)/$I383,0),"")</f>
        <v/>
      </c>
      <c r="BE383" s="60">
        <f>IF(AND($AG383&gt;=0,$AD383&gt;=0,$AF383&gt;=0),IF($AG383/($AD383-$AF383)&gt;0,$AG383/($AD383-$AF383),0),"")</f>
        <v/>
      </c>
      <c r="BF383" s="60">
        <f>IF(AND($G383&gt;0,$AM383&gt;0),IF(($G383-$AM383)/$G383&gt;0,($G383-$AM383)/$G383,0),"")</f>
        <v/>
      </c>
      <c r="BG383" s="6">
        <f>IF((AD383-AF383)/(AJ383/60)&lt;=0,"",(AD383-AF383)/(AJ383/60))</f>
        <v/>
      </c>
      <c r="BH383" s="6">
        <f>IF(OR(AJ383=0,AP383=0,NOT(ISNUMBER(AD383)),NOT(ISNUMBER(AF383)),NOT(ISNUMBER(AJ383)),NOT(ISNUMBER(AP383))),"",
IFERROR(IF((AD383-AF383)/(AJ383/60)/(AP383/1000)&lt;=0,"",(AD383-AF383)/(AJ383/60)/(AP383/1000)),""))</f>
        <v/>
      </c>
    </row>
    <row r="384" ht="15.75" customHeight="1">
      <c r="B384" t="n">
        <v>140</v>
      </c>
      <c r="D384" s="94" t="n">
        <v>45644</v>
      </c>
      <c r="E384" s="231" t="n">
        <v>140</v>
      </c>
      <c r="F384" s="3" t="n">
        <v>379</v>
      </c>
      <c r="G384" s="205">
        <f>IF(OR(S384="",S384=0),"",S384*2)</f>
        <v/>
      </c>
      <c r="M384" s="10">
        <f>IF(OR(E384="",G384="",E384=0,G384=0),"",E384/G384)</f>
        <v/>
      </c>
      <c r="N384" s="9">
        <f>IF(OR(E384="",I384="",E384=0,I384=0),"",E384/(I384*2))</f>
        <v/>
      </c>
      <c r="O384" s="8">
        <f>IF(OR(I384="",G384="",I384=0,G384=0),"",I384*2/G384)</f>
        <v/>
      </c>
      <c r="Z384" s="6" t="n">
        <v>7.38</v>
      </c>
      <c r="AD384" s="5" t="n">
        <v>80</v>
      </c>
      <c r="AF384" s="95" t="n">
        <v>20</v>
      </c>
      <c r="AI384" s="67" t="n"/>
      <c r="AL384" s="231" t="n">
        <v>175</v>
      </c>
      <c r="AM384" s="3" t="n">
        <v>180</v>
      </c>
      <c r="AP384" s="255">
        <f>360-AK384-AB384</f>
        <v/>
      </c>
      <c r="AQ384" s="263" t="n">
        <v>2366.666666666637</v>
      </c>
      <c r="AR384" s="13">
        <f>AVERAGE(AO382:AO388)</f>
        <v/>
      </c>
      <c r="AS384" s="2" t="n">
        <v>19.41128223822098</v>
      </c>
      <c r="AT384" s="156">
        <f>(E384-W384)/E384</f>
        <v/>
      </c>
      <c r="AU384" s="155" t="n"/>
      <c r="AV384" s="155">
        <f>AG384/(AD384-AF384)</f>
        <v/>
      </c>
      <c r="AW384" s="155">
        <f>(G384-AM384)/G384</f>
        <v/>
      </c>
      <c r="AX384" s="254">
        <f>IF(AND(ISNUMBER(E384),ISNUMBER(W384)),E384-W384,"")</f>
        <v/>
      </c>
      <c r="AY384" s="254">
        <f>IF(AND(ISNUMBER(I384),ISNUMBER(AF384)),I384-AF384,"")</f>
        <v/>
      </c>
      <c r="AZ384" s="254">
        <f>IF(AND(ISNUMBER(AM384),ISNUMBER(G384)),G384-AM384,"")</f>
        <v/>
      </c>
      <c r="BA384" s="254">
        <f>IF(AND(ISNUMBER(AC384),ISNUMBER(AE384)),AC384-AE384,"")</f>
        <v/>
      </c>
      <c r="BB384" s="254">
        <f>IF(AND(ISNUMBER(AL384),ISNUMBER(AM384)),AL384-AM384,"")</f>
        <v/>
      </c>
      <c r="BC384" s="60">
        <f>IF(AND($E384&gt;0,$W384&gt;0),IF(($E384-$W384)/$E384&gt;0,($E384-$W384)/$E384,0),"")</f>
        <v/>
      </c>
      <c r="BD384" s="60">
        <f>IF(AND($I384&gt;0,$AF384&gt;=0),IF(($I384-$AF384)/$I384&gt;0,($I384-$AF384)/$I384,0),"")</f>
        <v/>
      </c>
      <c r="BE384" s="60" t="n"/>
      <c r="BF384" s="60">
        <f>IF(AND($G384&gt;0,$AM384&gt;0),IF(($G384-$AM384)/$G384&gt;0,($G384-$AM384)/$G384,0),"")</f>
        <v/>
      </c>
      <c r="BG384" s="6">
        <f>IF((AD384-AF384)/(AJ384/60)&lt;=0,"",(AD384-AF384)/(AJ384/60))</f>
        <v/>
      </c>
      <c r="BH384" s="6">
        <f>IF(OR(AJ384=0,AP384=0,NOT(ISNUMBER(AD384)),NOT(ISNUMBER(AF384)),NOT(ISNUMBER(AJ384)),NOT(ISNUMBER(AP384))),"",
IFERROR(IF((AD384-AF384)/(AJ384/60)/(AP384/1000)&lt;=0,"",(AD384-AF384)/(AJ384/60)/(AP384/1000)),""))</f>
        <v/>
      </c>
    </row>
    <row r="385" ht="15.75" customHeight="1">
      <c r="A385" s="260" t="inlineStr">
        <is>
          <t>B51</t>
        </is>
      </c>
      <c r="B385" s="260" t="n">
        <v>141</v>
      </c>
      <c r="D385" s="94" t="n">
        <v>45645</v>
      </c>
      <c r="E385" s="231" t="n">
        <v>141</v>
      </c>
      <c r="F385" s="3" t="n">
        <v>380</v>
      </c>
      <c r="G385" s="205">
        <f>IF(OR(S385="",S385=0),"",S385*2)</f>
        <v/>
      </c>
      <c r="M385" s="10">
        <f>IF(OR(E385="",G385="",E385=0,G385=0),"",E385/G385)</f>
        <v/>
      </c>
      <c r="N385" s="9">
        <f>IF(OR(E385="",I385="",E385=0,I385=0),"",E385/(I385*2))</f>
        <v/>
      </c>
      <c r="O385" s="8">
        <f>IF(OR(I385="",G385="",I385=0,G385=0),"",I385*2/G385)</f>
        <v/>
      </c>
      <c r="P385" s="6" t="n"/>
      <c r="Z385" s="6" t="n">
        <v>0.28</v>
      </c>
      <c r="AD385" s="5" t="n">
        <v>80</v>
      </c>
      <c r="AE385" s="231" t="n"/>
      <c r="AF385" s="95" t="n">
        <v>20</v>
      </c>
      <c r="AI385" s="98" t="n">
        <v>4.56</v>
      </c>
      <c r="AJ385" s="20" t="n">
        <v>0.5197916666666667</v>
      </c>
      <c r="AL385" s="231" t="n">
        <v>175</v>
      </c>
      <c r="AM385" s="3" t="n">
        <v>180</v>
      </c>
      <c r="AN385" s="231" t="n"/>
      <c r="AP385" s="255">
        <f>360-AK385-AB385</f>
        <v/>
      </c>
      <c r="AR385" s="13">
        <f>AVERAGE(AO383:AO389)</f>
        <v/>
      </c>
      <c r="AT385" s="155">
        <f>(E385-W385)/E385</f>
        <v/>
      </c>
      <c r="AU385" s="155" t="n"/>
      <c r="AV385" s="155">
        <f>AG385/(AD385-AF385)</f>
        <v/>
      </c>
      <c r="AW385" s="155">
        <f>(G385-AM385)/G385</f>
        <v/>
      </c>
      <c r="AX385" s="254">
        <f>IF(AND(ISNUMBER(E385),ISNUMBER(W385)),E385-W385,"")</f>
        <v/>
      </c>
      <c r="AY385" s="254">
        <f>IF(AND(ISNUMBER(I385),ISNUMBER(AF385)),I385-AF385,"")</f>
        <v/>
      </c>
      <c r="AZ385" s="254">
        <f>IF(AND(ISNUMBER(AM385),ISNUMBER(G385)),G385-AM385,"")</f>
        <v/>
      </c>
      <c r="BA385" s="254">
        <f>IF(AND(ISNUMBER(AC385),ISNUMBER(AE385)),AC385-AE385,"")</f>
        <v/>
      </c>
      <c r="BB385" s="254">
        <f>IF(AND(ISNUMBER(AL385),ISNUMBER(AM385)),AL385-AM385,"")</f>
        <v/>
      </c>
      <c r="BC385" s="60">
        <f>IF(AND($E385&gt;0,$W385&gt;0),IF(($E385-$W385)/$E385&gt;0,($E385-$W385)/$E385,0),"")</f>
        <v/>
      </c>
      <c r="BD385" s="60">
        <f>IF(AND($I385&gt;0,$AF385&gt;=0),IF(($I385-$AF385)/$I385&gt;0,($I385-$AF385)/$I385,0),"")</f>
        <v/>
      </c>
      <c r="BE385" s="60">
        <f>IF(AND($AG385&gt;=0,$AD385&gt;=0,$AF385&gt;=0),IF($AG385/($AD385-$AF385)&gt;0,$AG385/($AD385-$AF385),0),"")</f>
        <v/>
      </c>
      <c r="BF385" s="60">
        <f>IF(AND($G385&gt;0,$AM385&gt;0),IF(($G385-$AM385)/$G385&gt;0,($G385-$AM385)/$G385,0),"")</f>
        <v/>
      </c>
      <c r="BG385" s="6">
        <f>IF((AD385-AF385)/(AJ385/60)&lt;=0,"",(AD385-AF385)/(AJ385/60))</f>
        <v/>
      </c>
      <c r="BH385" s="6">
        <f>IF(OR(AJ385=0,AP385=0,NOT(ISNUMBER(AD385)),NOT(ISNUMBER(AF385)),NOT(ISNUMBER(AJ385)),NOT(ISNUMBER(AP385))),"",
IFERROR(IF((AD385-AF385)/(AJ385/60)/(AP385/1000)&lt;=0,"",(AD385-AF385)/(AJ385/60)/(AP385/1000)),""))</f>
        <v/>
      </c>
    </row>
    <row r="386" ht="15.75" customHeight="1">
      <c r="B386" t="n">
        <v>142</v>
      </c>
      <c r="C386" s="12" t="inlineStr">
        <is>
          <t>pro-nitrate</t>
        </is>
      </c>
      <c r="D386" s="94" t="n">
        <v>45646</v>
      </c>
      <c r="E386" s="231" t="n">
        <v>142</v>
      </c>
      <c r="F386" s="3" t="n">
        <v>381</v>
      </c>
      <c r="G386" s="205">
        <f>IF(OR(S386="",S386=0),"",S386*2)</f>
        <v/>
      </c>
      <c r="M386" s="10">
        <f>IF(OR(E386="",G386="",E386=0,G386=0),"",E386/G386)</f>
        <v/>
      </c>
      <c r="N386" s="9">
        <f>IF(OR(E386="",I386="",E386=0,I386=0),"",E386/(I386*2))</f>
        <v/>
      </c>
      <c r="O386" s="8">
        <f>IF(OR(I386="",G386="",I386=0,G386=0),"",I386*2/G386)</f>
        <v/>
      </c>
      <c r="Z386" s="6" t="n">
        <v>7.4</v>
      </c>
      <c r="AD386" s="5" t="n">
        <v>80</v>
      </c>
      <c r="AF386" s="95" t="n">
        <v>20</v>
      </c>
      <c r="AL386" s="231" t="n">
        <v>175</v>
      </c>
      <c r="AM386" s="3" t="n">
        <v>180</v>
      </c>
      <c r="AP386" s="255">
        <f>360-AK386-AB386</f>
        <v/>
      </c>
      <c r="AQ386" s="2" t="n">
        <v>2659.999999999991</v>
      </c>
      <c r="AR386" s="13">
        <f>AVERAGE(AO384:AO390)</f>
        <v/>
      </c>
      <c r="AS386" s="2" t="n">
        <v>23.32787652011195</v>
      </c>
      <c r="AT386" s="155">
        <f>(E386-W386)/E386</f>
        <v/>
      </c>
      <c r="AU386" s="155" t="n"/>
      <c r="AV386" s="155">
        <f>AG386/(AD386-AF386)</f>
        <v/>
      </c>
      <c r="AW386" s="155">
        <f>(G386-AM386)/G386</f>
        <v/>
      </c>
      <c r="AX386" s="254">
        <f>IF(AND(ISNUMBER(E386),ISNUMBER(W386)),E386-W386,"")</f>
        <v/>
      </c>
      <c r="AY386" s="254">
        <f>IF(AND(ISNUMBER(I386),ISNUMBER(AF386)),I386-AF386,"")</f>
        <v/>
      </c>
      <c r="AZ386" s="254">
        <f>IF(AND(ISNUMBER(AM386),ISNUMBER(G386)),G386-AM386,"")</f>
        <v/>
      </c>
      <c r="BA386" s="254">
        <f>IF(AND(ISNUMBER(AC386),ISNUMBER(AE386)),AC386-AE386,"")</f>
        <v/>
      </c>
      <c r="BB386" s="254">
        <f>IF(AND(ISNUMBER(AL386),ISNUMBER(AM386)),AL386-AM386,"")</f>
        <v/>
      </c>
      <c r="BC386" s="60">
        <f>IF(AND($E386&gt;0,$W386&gt;0),IF(($E386-$W386)/$E386&gt;0,($E386-$W386)/$E386,0),"")</f>
        <v/>
      </c>
      <c r="BD386" s="60">
        <f>IF(AND($I386&gt;0,$AF386&gt;=0),IF(($I386-$AF386)/$I386&gt;0,($I386-$AF386)/$I386,0),"")</f>
        <v/>
      </c>
      <c r="BE386" s="60" t="n"/>
      <c r="BF386" s="60">
        <f>IF(AND($G386&gt;0,$AM386&gt;0),IF(($G386-$AM386)/$G386&gt;0,($G386-$AM386)/$G386,0),"")</f>
        <v/>
      </c>
      <c r="BG386" s="6">
        <f>IF((AD386-AF386)/(AJ386/60)&lt;=0,"",(AD386-AF386)/(AJ386/60))</f>
        <v/>
      </c>
      <c r="BH386" s="6">
        <f>IF(OR(AJ386=0,AP386=0,NOT(ISNUMBER(AD386)),NOT(ISNUMBER(AF386)),NOT(ISNUMBER(AJ386)),NOT(ISNUMBER(AP386))),"",
IFERROR(IF((AD386-AF386)/(AJ386/60)/(AP386/1000)&lt;=0,"",(AD386-AF386)/(AJ386/60)/(AP386/1000)),""))</f>
        <v/>
      </c>
    </row>
    <row r="387" ht="15.75" customHeight="1">
      <c r="B387" t="n">
        <v>143</v>
      </c>
      <c r="D387" s="94" t="n">
        <v>45647</v>
      </c>
      <c r="E387" s="231" t="n">
        <v>143</v>
      </c>
      <c r="F387" s="3" t="n">
        <v>382</v>
      </c>
      <c r="G387" s="205">
        <f>IF(OR(S387="",S387=0),"",S387*2)</f>
        <v/>
      </c>
      <c r="M387" s="10">
        <f>IF(OR(E387="",G387="",E387=0,G387=0),"",E387/G387)</f>
        <v/>
      </c>
      <c r="N387" s="9">
        <f>IF(OR(E387="",I387="",E387=0,I387=0),"",E387/(I387*2))</f>
        <v/>
      </c>
      <c r="O387" s="8">
        <f>IF(OR(I387="",G387="",I387=0,G387=0),"",I387*2/G387)</f>
        <v/>
      </c>
      <c r="Z387" s="6" t="n">
        <v>0.4</v>
      </c>
      <c r="AD387" s="5" t="n">
        <v>80</v>
      </c>
      <c r="AF387" s="95" t="n">
        <v>20</v>
      </c>
      <c r="AI387" s="231" t="n">
        <v>3.23</v>
      </c>
      <c r="AJ387" s="261" t="n">
        <v>0.5206018518518518</v>
      </c>
      <c r="AL387" s="231" t="n">
        <v>175</v>
      </c>
      <c r="AM387" s="3" t="n">
        <v>180</v>
      </c>
      <c r="AP387" s="255">
        <f>360-AK387-AB387</f>
        <v/>
      </c>
      <c r="AR387" s="13">
        <f>AVERAGE(AO385:AO391)</f>
        <v/>
      </c>
      <c r="AT387" s="155">
        <f>(E387-W387)/E387</f>
        <v/>
      </c>
      <c r="AU387" s="155" t="n"/>
      <c r="AV387" s="155">
        <f>AG387/(AD387-AF387)</f>
        <v/>
      </c>
      <c r="AW387" s="155">
        <f>(G387-AM387)/G387</f>
        <v/>
      </c>
      <c r="AX387" s="254">
        <f>IF(AND(ISNUMBER(E387),ISNUMBER(W387)),E387-W387,"")</f>
        <v/>
      </c>
      <c r="AY387" s="254">
        <f>IF(AND(ISNUMBER(I387),ISNUMBER(AF387)),I387-AF387,"")</f>
        <v/>
      </c>
      <c r="AZ387" s="254">
        <f>IF(AND(ISNUMBER(AM387),ISNUMBER(G387)),G387-AM387,"")</f>
        <v/>
      </c>
      <c r="BA387" s="254">
        <f>IF(AND(ISNUMBER(AC387),ISNUMBER(AE387)),AC387-AE387,"")</f>
        <v/>
      </c>
      <c r="BB387" s="254">
        <f>IF(AND(ISNUMBER(AL387),ISNUMBER(AM387)),AL387-AM387,"")</f>
        <v/>
      </c>
      <c r="BC387" s="60">
        <f>IF(AND($E387&gt;0,$W387&gt;0),IF(($E387-$W387)/$E387&gt;0,($E387-$W387)/$E387,0),"")</f>
        <v/>
      </c>
      <c r="BD387" s="60">
        <f>IF(AND($I387&gt;0,$AF387&gt;=0),IF(($I387-$AF387)/$I387&gt;0,($I387-$AF387)/$I387,0),"")</f>
        <v/>
      </c>
      <c r="BE387" s="60">
        <f>IF(AND($AG387&gt;=0,$AD387&gt;=0,$AF387&gt;=0),IF($AG387/($AD387-$AF387)&gt;0,$AG387/($AD387-$AF387),0),"")</f>
        <v/>
      </c>
      <c r="BF387" s="60">
        <f>IF(AND($G387&gt;0,$AM387&gt;0),IF(($G387-$AM387)/$G387&gt;0,($G387-$AM387)/$G387,0),"")</f>
        <v/>
      </c>
      <c r="BG387" s="6">
        <f>IF((AD387-AF387)/(AJ387/60)&lt;=0,"",(AD387-AF387)/(AJ387/60))</f>
        <v/>
      </c>
      <c r="BH387" s="6">
        <f>IF(OR(AJ387=0,AP387=0,NOT(ISNUMBER(AD387)),NOT(ISNUMBER(AF387)),NOT(ISNUMBER(AJ387)),NOT(ISNUMBER(AP387))),"",
IFERROR(IF((AD387-AF387)/(AJ387/60)/(AP387/1000)&lt;=0,"",(AD387-AF387)/(AJ387/60)/(AP387/1000)),""))</f>
        <v/>
      </c>
    </row>
    <row r="388" ht="15.75" customHeight="1">
      <c r="B388" t="n">
        <v>144</v>
      </c>
      <c r="D388" s="94" t="n">
        <v>45648</v>
      </c>
      <c r="E388" s="231" t="n">
        <v>144</v>
      </c>
      <c r="F388" s="3" t="n">
        <v>383</v>
      </c>
      <c r="G388" s="205">
        <f>IF(OR(S388="",S388=0),"",S388*2)</f>
        <v/>
      </c>
      <c r="M388" s="10">
        <f>IF(OR(E388="",G388="",E388=0,G388=0),"",E388/G388)</f>
        <v/>
      </c>
      <c r="N388" s="9">
        <f>IF(OR(E388="",I388="",E388=0,I388=0),"",E388/(I388*2))</f>
        <v/>
      </c>
      <c r="O388" s="8">
        <f>IF(OR(I388="",G388="",I388=0,G388=0),"",I388*2/G388)</f>
        <v/>
      </c>
      <c r="Z388" s="6" t="n">
        <v>0.71</v>
      </c>
      <c r="AD388" s="5" t="n">
        <v>80</v>
      </c>
      <c r="AF388" s="95" t="n">
        <v>20</v>
      </c>
      <c r="AI388" s="231" t="n">
        <v>0.99</v>
      </c>
      <c r="AJ388" s="261" t="n">
        <v>0.5179398148148148</v>
      </c>
      <c r="AL388" s="231" t="n">
        <v>175</v>
      </c>
      <c r="AM388" s="3" t="n">
        <v>180</v>
      </c>
      <c r="AP388" s="255">
        <f>360-AK388-AB388</f>
        <v/>
      </c>
      <c r="AR388" s="13">
        <f>AVERAGE(AO386:AO392)</f>
        <v/>
      </c>
      <c r="AT388" s="155">
        <f>(E388-W388)/E388</f>
        <v/>
      </c>
      <c r="AU388" s="155" t="n"/>
      <c r="AV388" s="155">
        <f>AG388/(AD388-AF388)</f>
        <v/>
      </c>
      <c r="AW388" s="155">
        <f>(G388-AM388)/G388</f>
        <v/>
      </c>
      <c r="AX388" s="254">
        <f>IF(AND(ISNUMBER(E388),ISNUMBER(W388)),E388-W388,"")</f>
        <v/>
      </c>
      <c r="AY388" s="254">
        <f>IF(AND(ISNUMBER(I388),ISNUMBER(AF388)),I388-AF388,"")</f>
        <v/>
      </c>
      <c r="AZ388" s="254">
        <f>IF(AND(ISNUMBER(AM388),ISNUMBER(G388)),G388-AM388,"")</f>
        <v/>
      </c>
      <c r="BA388" s="254">
        <f>IF(AND(ISNUMBER(AC388),ISNUMBER(AE388)),AC388-AE388,"")</f>
        <v/>
      </c>
      <c r="BB388" s="254">
        <f>IF(AND(ISNUMBER(AL388),ISNUMBER(AM388)),AL388-AM388,"")</f>
        <v/>
      </c>
      <c r="BC388" s="60">
        <f>IF(AND($E388&gt;0,$W388&gt;0),IF(($E388-$W388)/$E388&gt;0,($E388-$W388)/$E388,0),"")</f>
        <v/>
      </c>
      <c r="BD388" s="60">
        <f>IF(AND($I388&gt;0,$AF388&gt;=0),IF(($I388-$AF388)/$I388&gt;0,($I388-$AF388)/$I388,0),"")</f>
        <v/>
      </c>
      <c r="BE388" s="60" t="n"/>
      <c r="BF388" s="60">
        <f>IF(AND($G388&gt;0,$AM388&gt;0),IF(($G388-$AM388)/$G388&gt;0,($G388-$AM388)/$G388,0),"")</f>
        <v/>
      </c>
      <c r="BG388" s="6">
        <f>IF((AD388-AF388)/(AJ388/60)&lt;=0,"",(AD388-AF388)/(AJ388/60))</f>
        <v/>
      </c>
      <c r="BH388" s="6">
        <f>IF(OR(AJ388=0,AP388=0,NOT(ISNUMBER(AD388)),NOT(ISNUMBER(AF388)),NOT(ISNUMBER(AJ388)),NOT(ISNUMBER(AP388))),"",
IFERROR(IF((AD388-AF388)/(AJ388/60)/(AP388/1000)&lt;=0,"",(AD388-AF388)/(AJ388/60)/(AP388/1000)),""))</f>
        <v/>
      </c>
    </row>
    <row r="389" ht="15.75" customHeight="1">
      <c r="B389" t="n">
        <v>145</v>
      </c>
      <c r="C389" s="12" t="inlineStr">
        <is>
          <t>last in cycle test profile</t>
        </is>
      </c>
      <c r="D389" s="94" t="n">
        <v>45649</v>
      </c>
      <c r="E389" s="231" t="n">
        <v>145</v>
      </c>
      <c r="F389" s="3" t="n">
        <v>384</v>
      </c>
      <c r="G389" s="205">
        <f>IF(OR(S389="",S389=0),"",S389*2)</f>
        <v/>
      </c>
      <c r="M389" s="10">
        <f>IF(OR(E389="",G389="",E389=0,G389=0),"",E389/G389)</f>
        <v/>
      </c>
      <c r="N389" s="9">
        <f>IF(OR(E389="",I389="",E389=0,I389=0),"",E389/(I389*2))</f>
        <v/>
      </c>
      <c r="O389" s="8">
        <f>IF(OR(I389="",G389="",I389=0,G389=0),"",I389*2/G389)</f>
        <v/>
      </c>
      <c r="Z389" s="6" t="n">
        <v>6.61</v>
      </c>
      <c r="AD389" s="5" t="n">
        <v>80</v>
      </c>
      <c r="AF389" s="95" t="n">
        <v>20</v>
      </c>
      <c r="AI389" s="231" t="n">
        <v>1.8</v>
      </c>
      <c r="AJ389" s="261" t="n">
        <v>0.5179398148148148</v>
      </c>
      <c r="AL389" s="231" t="n">
        <v>175</v>
      </c>
      <c r="AM389" s="3" t="n">
        <v>180</v>
      </c>
      <c r="AP389" s="255">
        <f>360-AK389-AB389</f>
        <v/>
      </c>
      <c r="AQ389" s="2" t="n">
        <v>2219.999999999982</v>
      </c>
      <c r="AR389" s="13">
        <f>AVERAGE(AO387:AO393)</f>
        <v/>
      </c>
      <c r="AS389" s="2" t="n">
        <v>25.05077860528117</v>
      </c>
      <c r="AT389" s="155">
        <f>(E389-W389)/E389</f>
        <v/>
      </c>
      <c r="AU389" s="155" t="n"/>
      <c r="AV389" s="155">
        <f>AG389/(AD389-AF389)</f>
        <v/>
      </c>
      <c r="AW389" s="155">
        <f>(G389-AM389)/G389</f>
        <v/>
      </c>
      <c r="AX389" s="254">
        <f>IF(AND(ISNUMBER(E389),ISNUMBER(W389)),E389-W389,"")</f>
        <v/>
      </c>
      <c r="AY389" s="254">
        <f>IF(AND(ISNUMBER(I389),ISNUMBER(AF389)),I389-AF389,"")</f>
        <v/>
      </c>
      <c r="AZ389" s="254">
        <f>IF(AND(ISNUMBER(AM389),ISNUMBER(G389)),G389-AM389,"")</f>
        <v/>
      </c>
      <c r="BA389" s="254">
        <f>IF(AND(ISNUMBER(AC389),ISNUMBER(AE389)),AC389-AE389,"")</f>
        <v/>
      </c>
      <c r="BB389" s="254">
        <f>IF(AND(ISNUMBER(AL389),ISNUMBER(AM389)),AL389-AM389,"")</f>
        <v/>
      </c>
      <c r="BC389" s="60">
        <f>IF(AND($E389&gt;0,$W389&gt;0),IF(($E389-$W389)/$E389&gt;0,($E389-$W389)/$E389,0),"")</f>
        <v/>
      </c>
      <c r="BD389" s="60">
        <f>IF(AND($I389&gt;0,$AF389&gt;=0),IF(($I389-$AF389)/$I389&gt;0,($I389-$AF389)/$I389,0),"")</f>
        <v/>
      </c>
      <c r="BE389" s="60" t="n"/>
      <c r="BF389" s="60">
        <f>IF(AND($G389&gt;0,$AM389&gt;0),IF(($G389-$AM389)/$G389&gt;0,($G389-$AM389)/$G389,0),"")</f>
        <v/>
      </c>
      <c r="BG389" s="6">
        <f>IF((AD389-AF389)/(AJ389/60)&lt;=0,"",(AD389-AF389)/(AJ389/60))</f>
        <v/>
      </c>
      <c r="BH389" s="6">
        <f>IF(OR(AJ389=0,AP389=0,NOT(ISNUMBER(AD389)),NOT(ISNUMBER(AF389)),NOT(ISNUMBER(AJ389)),NOT(ISNUMBER(AP389))),"",
IFERROR(IF((AD389-AF389)/(AJ389/60)/(AP389/1000)&lt;=0,"",(AD389-AF389)/(AJ389/60)/(AP389/1000)),""))</f>
        <v/>
      </c>
    </row>
    <row r="390" ht="15.75" customHeight="1">
      <c r="B390" t="n">
        <v>146</v>
      </c>
      <c r="D390" s="94" t="n">
        <v>45650</v>
      </c>
      <c r="E390" s="231" t="n">
        <v>146</v>
      </c>
      <c r="F390" s="3" t="n">
        <v>385</v>
      </c>
      <c r="G390" s="205">
        <f>IF(OR(S390="",S390=0),"",S390*2)</f>
        <v/>
      </c>
      <c r="M390" s="10">
        <f>IF(OR(E390="",G390="",E390=0,G390=0),"",E390/G390)</f>
        <v/>
      </c>
      <c r="N390" s="9">
        <f>IF(OR(E390="",I390="",E390=0,I390=0),"",E390/(I390*2))</f>
        <v/>
      </c>
      <c r="O390" s="8">
        <f>IF(OR(I390="",G390="",I390=0,G390=0),"",I390*2/G390)</f>
        <v/>
      </c>
      <c r="P390" s="6" t="n"/>
      <c r="Z390" s="6" t="n">
        <v>4.01</v>
      </c>
      <c r="AD390" s="5" t="n">
        <v>80</v>
      </c>
      <c r="AE390" s="231" t="n"/>
      <c r="AF390" s="95" t="n">
        <v>20</v>
      </c>
      <c r="AI390" s="231" t="n">
        <v>2.08</v>
      </c>
      <c r="AJ390" s="261" t="n">
        <v>0.5208333333333334</v>
      </c>
      <c r="AL390" s="231" t="n">
        <v>175</v>
      </c>
      <c r="AM390" s="3" t="n">
        <v>180</v>
      </c>
      <c r="AN390" s="231" t="n"/>
      <c r="AP390" s="255">
        <f>360-AK390-AB390</f>
        <v/>
      </c>
      <c r="AR390" s="13">
        <f>AVERAGE(AO388:AO394)</f>
        <v/>
      </c>
      <c r="AT390" s="155">
        <f>(E390-W390)/E390</f>
        <v/>
      </c>
      <c r="AU390" s="155" t="n"/>
      <c r="AV390" s="155">
        <f>AG390/(AD390-AF390)</f>
        <v/>
      </c>
      <c r="AW390" s="155">
        <f>(G390-AM390)/G390</f>
        <v/>
      </c>
      <c r="AX390" s="254">
        <f>IF(AND(ISNUMBER(E390),ISNUMBER(W390)),E390-W390,"")</f>
        <v/>
      </c>
      <c r="AY390" s="254">
        <f>IF(AND(ISNUMBER(I390),ISNUMBER(AF390)),I390-AF390,"")</f>
        <v/>
      </c>
      <c r="AZ390" s="254">
        <f>IF(AND(ISNUMBER(AM390),ISNUMBER(G390)),G390-AM390,"")</f>
        <v/>
      </c>
      <c r="BA390" s="254">
        <f>IF(AND(ISNUMBER(AC390),ISNUMBER(AE390)),AC390-AE390,"")</f>
        <v/>
      </c>
      <c r="BB390" s="254">
        <f>IF(AND(ISNUMBER(AL390),ISNUMBER(AM390)),AL390-AM390,"")</f>
        <v/>
      </c>
      <c r="BC390" s="60">
        <f>IF(AND($E390&gt;0,$W390&gt;0),IF(($E390-$W390)/$E390&gt;0,($E390-$W390)/$E390,0),"")</f>
        <v/>
      </c>
      <c r="BD390" s="60">
        <f>IF(AND($I390&gt;0,$AF390&gt;=0),IF(($I390-$AF390)/$I390&gt;0,($I390-$AF390)/$I390,0),"")</f>
        <v/>
      </c>
      <c r="BE390" s="60" t="n"/>
      <c r="BF390" s="60">
        <f>IF(AND($G390&gt;0,$AM390&gt;0),IF(($G390-$AM390)/$G390&gt;0,($G390-$AM390)/$G390,0),"")</f>
        <v/>
      </c>
      <c r="BG390" s="6">
        <f>IF((AD390-AF390)/(AJ390/60)&lt;=0,"",(AD390-AF390)/(AJ390/60))</f>
        <v/>
      </c>
      <c r="BH390" s="6">
        <f>IF(OR(AJ390=0,AP390=0,NOT(ISNUMBER(AD390)),NOT(ISNUMBER(AF390)),NOT(ISNUMBER(AJ390)),NOT(ISNUMBER(AP390))),"",
IFERROR(IF((AD390-AF390)/(AJ390/60)/(AP390/1000)&lt;=0,"",(AD390-AF390)/(AJ390/60)/(AP390/1000)),""))</f>
        <v/>
      </c>
    </row>
    <row r="391" ht="15.75" customHeight="1">
      <c r="A391" s="260" t="inlineStr">
        <is>
          <t>B52</t>
        </is>
      </c>
      <c r="B391" s="260" t="n">
        <v>147</v>
      </c>
      <c r="D391" s="94" t="n">
        <v>45651</v>
      </c>
      <c r="E391" s="231" t="n">
        <v>147</v>
      </c>
      <c r="F391" s="3" t="n">
        <v>386</v>
      </c>
      <c r="G391" s="205">
        <f>IF(OR(S391="",S391=0),"",S391*2)</f>
        <v/>
      </c>
      <c r="M391" s="10">
        <f>IF(OR(E391="",G391="",E391=0,G391=0),"",E391/G391)</f>
        <v/>
      </c>
      <c r="N391" s="9">
        <f>IF(OR(E391="",I391="",E391=0,I391=0),"",E391/(I391*2))</f>
        <v/>
      </c>
      <c r="O391" s="8">
        <f>IF(OR(I391="",G391="",I391=0,G391=0),"",I391*2/G391)</f>
        <v/>
      </c>
      <c r="Z391" s="6" t="n">
        <v>2.83</v>
      </c>
      <c r="AD391" s="5" t="n">
        <v>80</v>
      </c>
      <c r="AF391" s="95" t="n">
        <v>20</v>
      </c>
      <c r="AI391" s="231" t="n">
        <v>0.86</v>
      </c>
      <c r="AJ391" s="261" t="n">
        <v>0.5199074074074074</v>
      </c>
      <c r="AL391" s="231" t="n">
        <v>175</v>
      </c>
      <c r="AM391" s="3" t="n">
        <v>180</v>
      </c>
      <c r="AP391" s="255">
        <f>360-AK391-AB391</f>
        <v/>
      </c>
      <c r="AR391" s="13">
        <f>AVERAGE(AO389:AO395)</f>
        <v/>
      </c>
      <c r="AT391" s="155">
        <f>(E391-W391)/E391</f>
        <v/>
      </c>
      <c r="AU391" s="155" t="n"/>
      <c r="AV391" s="155">
        <f>AG391/(AD391-AF391)</f>
        <v/>
      </c>
      <c r="AW391" s="155">
        <f>(G391-AM391)/G391</f>
        <v/>
      </c>
      <c r="AX391" s="254">
        <f>IF(AND(ISNUMBER(E391),ISNUMBER(W391)),E391-W391,"")</f>
        <v/>
      </c>
      <c r="AY391" s="254">
        <f>IF(AND(ISNUMBER(I391),ISNUMBER(AF391)),I391-AF391,"")</f>
        <v/>
      </c>
      <c r="AZ391" s="254">
        <f>IF(AND(ISNUMBER(AM391),ISNUMBER(G391)),G391-AM391,"")</f>
        <v/>
      </c>
      <c r="BA391" s="254">
        <f>IF(AND(ISNUMBER(AC391),ISNUMBER(AE391)),AC391-AE391,"")</f>
        <v/>
      </c>
      <c r="BB391" s="254">
        <f>IF(AND(ISNUMBER(AL391),ISNUMBER(AM391)),AL391-AM391,"")</f>
        <v/>
      </c>
      <c r="BC391" s="60">
        <f>IF(AND($E391&gt;0,$W391&gt;0),IF(($E391-$W391)/$E391&gt;0,($E391-$W391)/$E391,0),"")</f>
        <v/>
      </c>
      <c r="BD391" s="60">
        <f>IF(AND($I391&gt;0,$AF391&gt;=0),IF(($I391-$AF391)/$I391&gt;0,($I391-$AF391)/$I391,0),"")</f>
        <v/>
      </c>
      <c r="BE391" s="60" t="n"/>
      <c r="BF391" s="60">
        <f>IF(AND($G391&gt;0,$AM391&gt;0),IF(($G391-$AM391)/$G391&gt;0,($G391-$AM391)/$G391,0),"")</f>
        <v/>
      </c>
      <c r="BG391" s="6">
        <f>IF((AD391-AF391)/(AJ391/60)&lt;=0,"",(AD391-AF391)/(AJ391/60))</f>
        <v/>
      </c>
      <c r="BH391" s="6">
        <f>IF(OR(AJ391=0,AP391=0,NOT(ISNUMBER(AD391)),NOT(ISNUMBER(AF391)),NOT(ISNUMBER(AJ391)),NOT(ISNUMBER(AP391))),"",
IFERROR(IF((AD391-AF391)/(AJ391/60)/(AP391/1000)&lt;=0,"",(AD391-AF391)/(AJ391/60)/(AP391/1000)),""))</f>
        <v/>
      </c>
    </row>
    <row r="392" ht="15.75" customHeight="1">
      <c r="B392" t="n">
        <v>148</v>
      </c>
      <c r="C392" s="12" t="inlineStr">
        <is>
          <t>ace-nitrate</t>
        </is>
      </c>
      <c r="D392" s="94" t="n">
        <v>45652</v>
      </c>
      <c r="E392" s="231" t="n">
        <v>148</v>
      </c>
      <c r="F392" s="3" t="n">
        <v>387</v>
      </c>
      <c r="G392" s="205">
        <f>IF(OR(S392="",S392=0),"",S392*2)</f>
        <v/>
      </c>
      <c r="M392" s="10">
        <f>IF(OR(E392="",G392="",E392=0,G392=0),"",E392/G392)</f>
        <v/>
      </c>
      <c r="N392" s="9">
        <f>IF(OR(E392="",I392="",E392=0,I392=0),"",E392/(I392*2))</f>
        <v/>
      </c>
      <c r="O392" s="8">
        <f>IF(OR(I392="",G392="",I392=0,G392=0),"",I392*2/G392)</f>
        <v/>
      </c>
      <c r="Z392" s="6" t="n">
        <v>0.55</v>
      </c>
      <c r="AD392" s="5" t="n">
        <v>80</v>
      </c>
      <c r="AF392" s="95" t="n">
        <v>20</v>
      </c>
      <c r="AI392" s="231" t="n">
        <v>2.08</v>
      </c>
      <c r="AJ392" s="261" t="n">
        <v>0.5204861111111111</v>
      </c>
      <c r="AL392" s="231" t="n">
        <v>175</v>
      </c>
      <c r="AM392" s="3" t="n">
        <v>180</v>
      </c>
      <c r="AP392" s="255">
        <f>360-AK392-AB392</f>
        <v/>
      </c>
      <c r="AR392" s="103">
        <f>$AO$389</f>
        <v/>
      </c>
      <c r="AT392" s="155">
        <f>(E392-W392)/E392</f>
        <v/>
      </c>
      <c r="AU392" s="155" t="n"/>
      <c r="AV392" s="155">
        <f>AG392/(AD392-AF392)</f>
        <v/>
      </c>
      <c r="AW392" s="155">
        <f>(G392-AM392)/G392</f>
        <v/>
      </c>
      <c r="AX392" s="254">
        <f>IF(AND(ISNUMBER(E392),ISNUMBER(W392)),E392-W392,"")</f>
        <v/>
      </c>
      <c r="AY392" s="254">
        <f>IF(AND(ISNUMBER(I392),ISNUMBER(AF392)),I392-AF392,"")</f>
        <v/>
      </c>
      <c r="AZ392" s="254">
        <f>IF(AND(ISNUMBER(AM392),ISNUMBER(G392)),G392-AM392,"")</f>
        <v/>
      </c>
      <c r="BA392" s="254">
        <f>IF(AND(ISNUMBER(AC392),ISNUMBER(AE392)),AC392-AE392,"")</f>
        <v/>
      </c>
      <c r="BB392" s="254">
        <f>IF(AND(ISNUMBER(AL392),ISNUMBER(AM392)),AL392-AM392,"")</f>
        <v/>
      </c>
      <c r="BC392" s="60">
        <f>IF(AND($E392&gt;0,$W392&gt;0),IF(($E392-$W392)/$E392&gt;0,($E392-$W392)/$E392,0),"")</f>
        <v/>
      </c>
      <c r="BD392" s="60">
        <f>IF(AND($I392&gt;0,$AF392&gt;=0),IF(($I392-$AF392)/$I392&gt;0,($I392-$AF392)/$I392,0),"")</f>
        <v/>
      </c>
      <c r="BE392" s="60" t="n"/>
      <c r="BF392" s="60">
        <f>IF(AND($G392&gt;0,$AM392&gt;0),IF(($G392-$AM392)/$G392&gt;0,($G392-$AM392)/$G392,0),"")</f>
        <v/>
      </c>
      <c r="BG392" s="6">
        <f>IF((AD392-AF392)/(AJ392/60)&lt;=0,"",(AD392-AF392)/(AJ392/60))</f>
        <v/>
      </c>
      <c r="BH392" s="6">
        <f>IF(OR(AJ392=0,AP392=0,NOT(ISNUMBER(AD392)),NOT(ISNUMBER(AF392)),NOT(ISNUMBER(AJ392)),NOT(ISNUMBER(AP392))),"",
IFERROR(IF((AD392-AF392)/(AJ392/60)/(AP392/1000)&lt;=0,"",(AD392-AF392)/(AJ392/60)/(AP392/1000)),""))</f>
        <v/>
      </c>
    </row>
    <row r="393" ht="15.75" customHeight="1">
      <c r="B393" t="n">
        <v>149</v>
      </c>
      <c r="C393" s="12" t="inlineStr">
        <is>
          <t>pro-aer</t>
        </is>
      </c>
      <c r="D393" s="94" t="n">
        <v>45653</v>
      </c>
      <c r="E393" s="231" t="n">
        <v>149</v>
      </c>
      <c r="F393" s="3" t="n">
        <v>388</v>
      </c>
      <c r="G393" s="205">
        <f>IF(OR(S393="",S393=0),"",S393*2)</f>
        <v/>
      </c>
      <c r="M393" s="10">
        <f>IF(OR(E393="",G393="",E393=0,G393=0),"",E393/G393)</f>
        <v/>
      </c>
      <c r="N393" s="9">
        <f>IF(OR(E393="",I393="",E393=0,I393=0),"",E393/(I393*2))</f>
        <v/>
      </c>
      <c r="O393" s="8">
        <f>IF(OR(I393="",G393="",I393=0,G393=0),"",I393*2/G393)</f>
        <v/>
      </c>
      <c r="Z393" s="6" t="n">
        <v>2.72</v>
      </c>
      <c r="AD393" s="5" t="n">
        <v>80</v>
      </c>
      <c r="AF393" s="95" t="n">
        <v>20</v>
      </c>
      <c r="AI393" s="231" t="n">
        <v>4.26</v>
      </c>
      <c r="AJ393" s="261" t="n">
        <v>0.5190972222222222</v>
      </c>
      <c r="AL393" s="231" t="n">
        <v>175</v>
      </c>
      <c r="AM393" s="3" t="n">
        <v>180</v>
      </c>
      <c r="AP393" s="255">
        <f>360-AK393-AB393</f>
        <v/>
      </c>
      <c r="AR393" s="103">
        <f>$AO$389</f>
        <v/>
      </c>
      <c r="AT393" s="155">
        <f>(E393-W393)/E393</f>
        <v/>
      </c>
      <c r="AU393" s="155" t="n"/>
      <c r="AV393" s="155">
        <f>AG393/(AD393-AF393)</f>
        <v/>
      </c>
      <c r="AW393" s="155">
        <f>(G393-AM393)/G393</f>
        <v/>
      </c>
      <c r="AX393" s="254">
        <f>IF(AND(ISNUMBER(E393),ISNUMBER(W393)),E393-W393,"")</f>
        <v/>
      </c>
      <c r="AY393" s="254">
        <f>IF(AND(ISNUMBER(I393),ISNUMBER(AF393)),I393-AF393,"")</f>
        <v/>
      </c>
      <c r="AZ393" s="254">
        <f>IF(AND(ISNUMBER(AM393),ISNUMBER(G393)),G393-AM393,"")</f>
        <v/>
      </c>
      <c r="BA393" s="254">
        <f>IF(AND(ISNUMBER(AC393),ISNUMBER(AE393)),AC393-AE393,"")</f>
        <v/>
      </c>
      <c r="BB393" s="254">
        <f>IF(AND(ISNUMBER(AL393),ISNUMBER(AM393)),AL393-AM393,"")</f>
        <v/>
      </c>
      <c r="BC393" s="60">
        <f>IF(AND($E393&gt;0,$W393&gt;0),IF(($E393-$W393)/$E393&gt;0,($E393-$W393)/$E393,0),"")</f>
        <v/>
      </c>
      <c r="BD393" s="60">
        <f>IF(AND($I393&gt;0,$AF393&gt;=0),IF(($I393-$AF393)/$I393&gt;0,($I393-$AF393)/$I393,0),"")</f>
        <v/>
      </c>
      <c r="BE393" s="60">
        <f>IF(AND($AG393&gt;=0,$AD393&gt;=0,$AF393&gt;=0),IF($AG393/($AD393-$AF393)&gt;0,$AG393/($AD393-$AF393),0),"")</f>
        <v/>
      </c>
      <c r="BF393" s="60">
        <f>IF(AND($G393&gt;0,$AM393&gt;0),IF(($G393-$AM393)/$G393&gt;0,($G393-$AM393)/$G393,0),"")</f>
        <v/>
      </c>
      <c r="BG393" s="6">
        <f>IF((AD393-AF393)/(AJ393/60)&lt;=0,"",(AD393-AF393)/(AJ393/60))</f>
        <v/>
      </c>
      <c r="BH393" s="6">
        <f>IF(OR(AJ393=0,AP393=0,NOT(ISNUMBER(AD393)),NOT(ISNUMBER(AF393)),NOT(ISNUMBER(AJ393)),NOT(ISNUMBER(AP393))),"",
IFERROR(IF((AD393-AF393)/(AJ393/60)/(AP393/1000)&lt;=0,"",(AD393-AF393)/(AJ393/60)/(AP393/1000)),""))</f>
        <v/>
      </c>
    </row>
    <row r="394" ht="15.75" customHeight="1">
      <c r="B394" t="n">
        <v>150</v>
      </c>
      <c r="D394" s="94" t="n">
        <v>45654</v>
      </c>
      <c r="E394" s="231" t="n">
        <v>150</v>
      </c>
      <c r="F394" s="3" t="n">
        <v>389</v>
      </c>
      <c r="G394" s="205">
        <f>IF(OR(S394="",S394=0),"",S394*2)</f>
        <v/>
      </c>
      <c r="I394" s="15">
        <f>(N394*18-H394*18)/9</f>
        <v/>
      </c>
      <c r="J394" s="9">
        <f>5.9</f>
        <v/>
      </c>
      <c r="K394" s="15">
        <f>AD394</f>
        <v/>
      </c>
      <c r="M394" s="10">
        <f>IF(OR(E394="",G394="",E394=0,G394=0),"",E394/G394)</f>
        <v/>
      </c>
      <c r="N394" s="9">
        <f>IF(OR(E394="",I394="",E394=0,I394=0),"",E394/(I394*2))</f>
        <v/>
      </c>
      <c r="O394" s="8">
        <f>IF(OR(I394="",G394="",I394=0,G394=0),"",I394*2/G394)</f>
        <v/>
      </c>
      <c r="P394" s="7">
        <f>13.3</f>
        <v/>
      </c>
      <c r="Q394" s="59" t="n">
        <v>86.18000000000001</v>
      </c>
      <c r="R394" s="59" t="n">
        <v>29.062</v>
      </c>
      <c r="S394" s="6">
        <f>O394*1.067</f>
        <v/>
      </c>
      <c r="T394" s="6">
        <f>P394*1.514</f>
        <v/>
      </c>
      <c r="U394" s="23">
        <f>P394*1.514+O394*1.067</f>
        <v/>
      </c>
      <c r="V394" s="6">
        <f>27</f>
        <v/>
      </c>
      <c r="W394" s="59">
        <f>2.638*1.067</f>
        <v/>
      </c>
      <c r="X394" s="59">
        <f>1.69*1.514</f>
        <v/>
      </c>
      <c r="Y394" s="23">
        <f>U394*1.067+V394*1.514</f>
        <v/>
      </c>
      <c r="Z394" s="6" t="n">
        <v>0.44</v>
      </c>
      <c r="AD394" s="5" t="n">
        <v>80</v>
      </c>
      <c r="AE394" s="7">
        <f>T394</f>
        <v/>
      </c>
      <c r="AF394" s="231">
        <f>5*4.03</f>
        <v/>
      </c>
      <c r="AG394" s="231">
        <f>14.9</f>
        <v/>
      </c>
      <c r="AH394" s="231">
        <f>2*3.76</f>
        <v/>
      </c>
      <c r="AI394" s="231" t="n">
        <v>4.7</v>
      </c>
      <c r="AJ394" s="261" t="n">
        <v>0.5203703703703704</v>
      </c>
      <c r="AL394" s="231" t="n">
        <v>175</v>
      </c>
      <c r="AM394" s="3" t="n">
        <v>180</v>
      </c>
      <c r="AN394" s="4">
        <f>AE394</f>
        <v/>
      </c>
      <c r="AO394" s="231">
        <f>10.6</f>
        <v/>
      </c>
      <c r="AP394" s="255">
        <f>360-AK394-AB394</f>
        <v/>
      </c>
      <c r="AR394" s="103">
        <f>$AO$389</f>
        <v/>
      </c>
      <c r="AT394" s="155">
        <f>(E394-W394)/E394</f>
        <v/>
      </c>
      <c r="AU394" s="155">
        <f>(I394-AF394)/I394</f>
        <v/>
      </c>
      <c r="AV394" s="155">
        <f>AG394/(AD394-AF394)</f>
        <v/>
      </c>
      <c r="AW394" s="155">
        <f>(G394-AM394)/G394</f>
        <v/>
      </c>
      <c r="AX394" s="254">
        <f>IF(AND(ISNUMBER(E394),ISNUMBER(W394)),E394-W394,"")</f>
        <v/>
      </c>
      <c r="AY394" s="254">
        <f>IF(AND(ISNUMBER(I394),ISNUMBER(AF394)),I394-AF394,"")</f>
        <v/>
      </c>
      <c r="AZ394" s="254">
        <f>IF(AND(ISNUMBER(AM394),ISNUMBER(G394)),G394-AM394,"")</f>
        <v/>
      </c>
      <c r="BA394" s="254">
        <f>IF(AND(ISNUMBER(AC394),ISNUMBER(AE394)),AC394-AE394,"")</f>
        <v/>
      </c>
      <c r="BB394" s="254">
        <f>IF(AND(ISNUMBER(AL394),ISNUMBER(AM394)),AL394-AM394,"")</f>
        <v/>
      </c>
      <c r="BC394" s="60">
        <f>IF(AND($E394&gt;0,$W394&gt;0),IF(($E394-$W394)/$E394&gt;0,($E394-$W394)/$E394,0),"")</f>
        <v/>
      </c>
      <c r="BD394" s="60">
        <f>IF(AND($I394&gt;0,$AF394&gt;=0),IF(($I394-$AF394)/$I394&gt;0,($I394-$AF394)/$I394,0),"")</f>
        <v/>
      </c>
      <c r="BE394" s="60">
        <f>IF(AND($AG394&gt;=0,$AD394&gt;=0,$AF394&gt;=0),IF($AG394/($AD394-$AF394)&gt;0,$AG394/($AD394-$AF394),0),"")</f>
        <v/>
      </c>
      <c r="BF394" s="60">
        <f>IF(AND($G394&gt;0,$AM394&gt;0),IF(($G394-$AM394)/$G394&gt;0,($G394-$AM394)/$G394,0),"")</f>
        <v/>
      </c>
      <c r="BG394" s="6">
        <f>IF((AD394-AF394)/(AJ394/60)&lt;=0,"",(AD394-AF394)/(AJ394/60))</f>
        <v/>
      </c>
      <c r="BH394" s="6">
        <f>IF(OR(AJ394=0,AP394=0,NOT(ISNUMBER(AD394)),NOT(ISNUMBER(AF394)),NOT(ISNUMBER(AJ394)),NOT(ISNUMBER(AP394))),"",
IFERROR(IF((AD394-AF394)/(AJ394/60)/(AP394/1000)&lt;=0,"",(AD394-AF394)/(AJ394/60)/(AP394/1000)),""))</f>
        <v/>
      </c>
    </row>
    <row r="395" ht="15.75" customHeight="1">
      <c r="B395" t="n">
        <v>151</v>
      </c>
      <c r="C395" s="12" t="inlineStr">
        <is>
          <t>pro-nitrite</t>
        </is>
      </c>
      <c r="D395" s="94" t="n">
        <v>45655</v>
      </c>
      <c r="E395" s="231" t="n">
        <v>151</v>
      </c>
      <c r="F395" s="3" t="n">
        <v>390</v>
      </c>
      <c r="G395" s="205">
        <f>IF(OR(S395="",S395=0),"",S395*2)</f>
        <v/>
      </c>
      <c r="M395" s="10">
        <f>IF(OR(E395="",G395="",E395=0,G395=0),"",E395/G395)</f>
        <v/>
      </c>
      <c r="N395" s="9">
        <f>IF(OR(E395="",I395="",E395=0,I395=0),"",E395/(I395*2))</f>
        <v/>
      </c>
      <c r="O395" s="8">
        <f>IF(OR(I395="",G395="",I395=0,G395=0),"",I395*2/G395)</f>
        <v/>
      </c>
      <c r="P395" s="6" t="n"/>
      <c r="Z395" s="6" t="n">
        <v>0.5</v>
      </c>
      <c r="AD395" s="5" t="n">
        <v>80</v>
      </c>
      <c r="AE395" s="231" t="n"/>
      <c r="AF395" s="95" t="n">
        <v>20</v>
      </c>
      <c r="AI395" s="231" t="n">
        <v>3.5</v>
      </c>
      <c r="AJ395" s="261" t="n">
        <v>0.5208333333333334</v>
      </c>
      <c r="AL395" s="231" t="n">
        <v>175</v>
      </c>
      <c r="AM395" s="3" t="n">
        <v>180</v>
      </c>
      <c r="AN395" s="231" t="n"/>
      <c r="AP395" s="255">
        <f>360-AK395-AB395</f>
        <v/>
      </c>
      <c r="AR395" s="103">
        <f>$AO$389</f>
        <v/>
      </c>
      <c r="AT395" s="155">
        <f>(E395-W395)/E395</f>
        <v/>
      </c>
      <c r="AU395" s="155" t="n"/>
      <c r="AV395" s="155">
        <f>AG395/(AD395-AF395)</f>
        <v/>
      </c>
      <c r="AW395" s="155">
        <f>(G395-AM395)/G395</f>
        <v/>
      </c>
      <c r="AX395" s="254">
        <f>IF(AND(ISNUMBER(E395),ISNUMBER(W395)),E395-W395,"")</f>
        <v/>
      </c>
      <c r="AY395" s="254">
        <f>IF(AND(ISNUMBER(I395),ISNUMBER(AF395)),I395-AF395,"")</f>
        <v/>
      </c>
      <c r="AZ395" s="254">
        <f>IF(AND(ISNUMBER(AM395),ISNUMBER(G395)),G395-AM395,"")</f>
        <v/>
      </c>
      <c r="BA395" s="254">
        <f>IF(AND(ISNUMBER(AC395),ISNUMBER(AE395)),AC395-AE395,"")</f>
        <v/>
      </c>
      <c r="BB395" s="254">
        <f>IF(AND(ISNUMBER(AL395),ISNUMBER(AM395)),AL395-AM395,"")</f>
        <v/>
      </c>
      <c r="BC395" s="60">
        <f>IF(AND($E395&gt;0,$W395&gt;0),IF(($E395-$W395)/$E395&gt;0,($E395-$W395)/$E395,0),"")</f>
        <v/>
      </c>
      <c r="BD395" s="60">
        <f>IF(AND($I395&gt;0,$AF395&gt;=0),IF(($I395-$AF395)/$I395&gt;0,($I395-$AF395)/$I395,0),"")</f>
        <v/>
      </c>
      <c r="BE395" s="60">
        <f>IF(AND($AG395&gt;=0,$AD395&gt;=0,$AF395&gt;=0),IF($AG395/($AD395-$AF395)&gt;0,$AG395/($AD395-$AF395),0),"")</f>
        <v/>
      </c>
      <c r="BF395" s="60">
        <f>IF(AND($G395&gt;0,$AM395&gt;0),IF(($G395-$AM395)/$G395&gt;0,($G395-$AM395)/$G395,0),"")</f>
        <v/>
      </c>
      <c r="BG395" s="6">
        <f>IF((AD395-AF395)/(AJ395/60)&lt;=0,"",(AD395-AF395)/(AJ395/60))</f>
        <v/>
      </c>
      <c r="BH395" s="6">
        <f>IF(OR(AJ395=0,AP395=0,NOT(ISNUMBER(AD395)),NOT(ISNUMBER(AF395)),NOT(ISNUMBER(AJ395)),NOT(ISNUMBER(AP395))),"",
IFERROR(IF((AD395-AF395)/(AJ395/60)/(AP395/1000)&lt;=0,"",(AD395-AF395)/(AJ395/60)/(AP395/1000)),""))</f>
        <v/>
      </c>
    </row>
    <row r="396" ht="15.75" customHeight="1">
      <c r="B396" t="n">
        <v>152</v>
      </c>
      <c r="C396" s="12" t="inlineStr">
        <is>
          <t xml:space="preserve">mondY </t>
        </is>
      </c>
      <c r="D396" s="94" t="n">
        <v>45656</v>
      </c>
      <c r="E396" s="231" t="n">
        <v>152</v>
      </c>
      <c r="F396" s="3" t="n">
        <v>391</v>
      </c>
      <c r="G396" s="205">
        <f>IF(OR(S396="",S396=0),"",S396*2)</f>
        <v/>
      </c>
      <c r="M396" s="10">
        <f>IF(OR(E396="",G396="",E396=0,G396=0),"",E396/G396)</f>
        <v/>
      </c>
      <c r="N396" s="9">
        <f>IF(OR(E396="",I396="",E396=0,I396=0),"",E396/(I396*2))</f>
        <v/>
      </c>
      <c r="O396" s="8">
        <f>IF(OR(I396="",G396="",I396=0,G396=0),"",I396*2/G396)</f>
        <v/>
      </c>
      <c r="Z396" s="6" t="n">
        <v>0.18</v>
      </c>
      <c r="AD396" s="5" t="n">
        <v>80</v>
      </c>
      <c r="AF396" s="95" t="n">
        <v>20</v>
      </c>
      <c r="AI396" s="231" t="n">
        <v>5.99</v>
      </c>
      <c r="AJ396" s="261" t="n">
        <v>0.5186342592592592</v>
      </c>
      <c r="AL396" s="231" t="n">
        <v>175</v>
      </c>
      <c r="AM396" s="3" t="n">
        <v>180</v>
      </c>
      <c r="AP396" s="255">
        <f>360-AK396-AB396</f>
        <v/>
      </c>
      <c r="AR396" s="103">
        <f>$AO$389</f>
        <v/>
      </c>
      <c r="AT396" s="155">
        <f>(E396-W396)/E396</f>
        <v/>
      </c>
      <c r="AU396" s="155" t="n"/>
      <c r="AV396" s="155">
        <f>AG396/(AD396-AF396)</f>
        <v/>
      </c>
      <c r="AW396" s="155">
        <f>(G396-AM396)/G396</f>
        <v/>
      </c>
      <c r="AX396" s="254">
        <f>IF(AND(ISNUMBER(E396),ISNUMBER(W396)),E396-W396,"")</f>
        <v/>
      </c>
      <c r="AY396" s="254">
        <f>IF(AND(ISNUMBER(I396),ISNUMBER(AF396)),I396-AF396,"")</f>
        <v/>
      </c>
      <c r="AZ396" s="254">
        <f>IF(AND(ISNUMBER(AM396),ISNUMBER(G396)),G396-AM396,"")</f>
        <v/>
      </c>
      <c r="BA396" s="254">
        <f>IF(AND(ISNUMBER(AC396),ISNUMBER(AE396)),AC396-AE396,"")</f>
        <v/>
      </c>
      <c r="BB396" s="254">
        <f>IF(AND(ISNUMBER(AL396),ISNUMBER(AM396)),AL396-AM396,"")</f>
        <v/>
      </c>
      <c r="BC396" s="60">
        <f>IF(AND($E396&gt;0,$W396&gt;0),IF(($E396-$W396)/$E396&gt;0,($E396-$W396)/$E396,0),"")</f>
        <v/>
      </c>
      <c r="BD396" s="60">
        <f>IF(AND($I396&gt;0,$AF396&gt;=0),IF(($I396-$AF396)/$I396&gt;0,($I396-$AF396)/$I396,0),"")</f>
        <v/>
      </c>
      <c r="BE396" s="60">
        <f>IF(AND($AG396&gt;=0,$AD396&gt;=0,$AF396&gt;=0),IF($AG396/($AD396-$AF396)&gt;0,$AG396/($AD396-$AF396),0),"")</f>
        <v/>
      </c>
      <c r="BF396" s="60">
        <f>IF(AND($G396&gt;0,$AM396&gt;0),IF(($G396-$AM396)/$G396&gt;0,($G396-$AM396)/$G396,0),"")</f>
        <v/>
      </c>
      <c r="BG396" s="6">
        <f>IF((AD396-AF396)/(AJ396/60)&lt;=0,"",(AD396-AF396)/(AJ396/60))</f>
        <v/>
      </c>
      <c r="BH396" s="6">
        <f>IF(OR(AJ396=0,AP396=0,NOT(ISNUMBER(AD396)),NOT(ISNUMBER(AF396)),NOT(ISNUMBER(AJ396)),NOT(ISNUMBER(AP396))),"",
IFERROR(IF((AD396-AF396)/(AJ396/60)/(AP396/1000)&lt;=0,"",(AD396-AF396)/(AJ396/60)/(AP396/1000)),""))</f>
        <v/>
      </c>
    </row>
    <row r="397" ht="15.75" customHeight="1">
      <c r="B397" t="n">
        <v>153</v>
      </c>
      <c r="C397" s="12" t="inlineStr">
        <is>
          <t xml:space="preserve">weird low op release? </t>
        </is>
      </c>
      <c r="D397" s="94" t="n">
        <v>45657</v>
      </c>
      <c r="E397" s="231" t="n">
        <v>153</v>
      </c>
      <c r="F397" s="3" t="n">
        <v>392</v>
      </c>
      <c r="G397" s="205">
        <f>IF(OR(S397="",S397=0),"",S397*2)</f>
        <v/>
      </c>
      <c r="M397" s="10">
        <f>IF(OR(E397="",G397="",E397=0,G397=0),"",E397/G397)</f>
        <v/>
      </c>
      <c r="N397" s="9">
        <f>IF(OR(E397="",I397="",E397=0,I397=0),"",E397/(I397*2))</f>
        <v/>
      </c>
      <c r="O397" s="8">
        <f>IF(OR(I397="",G397="",I397=0,G397=0),"",I397*2/G397)</f>
        <v/>
      </c>
      <c r="Z397" s="6" t="n">
        <v>0.59</v>
      </c>
      <c r="AD397" s="5" t="n">
        <v>80</v>
      </c>
      <c r="AF397" s="95" t="n">
        <v>20</v>
      </c>
      <c r="AI397" s="231" t="n">
        <v>5.89</v>
      </c>
      <c r="AJ397" s="261" t="n">
        <v>0.5196759259259259</v>
      </c>
      <c r="AL397" s="231" t="n">
        <v>175</v>
      </c>
      <c r="AM397" s="3" t="n">
        <v>180</v>
      </c>
      <c r="AP397" s="255">
        <f>360-AK397-AB397</f>
        <v/>
      </c>
      <c r="AR397" s="103">
        <f>$AO$389</f>
        <v/>
      </c>
      <c r="AT397" s="155">
        <f>(E397-W397)/E397</f>
        <v/>
      </c>
      <c r="AU397" s="155" t="n"/>
      <c r="AV397" s="155">
        <f>AG397/(AD397-AF397)</f>
        <v/>
      </c>
      <c r="AW397" s="155">
        <f>(G397-AM397)/G397</f>
        <v/>
      </c>
      <c r="AX397" s="254">
        <f>IF(AND(ISNUMBER(E397),ISNUMBER(W397)),E397-W397,"")</f>
        <v/>
      </c>
      <c r="AY397" s="254">
        <f>IF(AND(ISNUMBER(I397),ISNUMBER(AF397)),I397-AF397,"")</f>
        <v/>
      </c>
      <c r="AZ397" s="254">
        <f>IF(AND(ISNUMBER(AM397),ISNUMBER(G397)),G397-AM397,"")</f>
        <v/>
      </c>
      <c r="BA397" s="254">
        <f>IF(AND(ISNUMBER(AC397),ISNUMBER(AE397)),AC397-AE397,"")</f>
        <v/>
      </c>
      <c r="BB397" s="254">
        <f>IF(AND(ISNUMBER(AL397),ISNUMBER(AM397)),AL397-AM397,"")</f>
        <v/>
      </c>
      <c r="BC397" s="60">
        <f>IF(AND($E397&gt;0,$W397&gt;0),IF(($E397-$W397)/$E397&gt;0,($E397-$W397)/$E397,0),"")</f>
        <v/>
      </c>
      <c r="BD397" s="60">
        <f>IF(AND($I397&gt;0,$AF397&gt;=0),IF(($I397-$AF397)/$I397&gt;0,($I397-$AF397)/$I397,0),"")</f>
        <v/>
      </c>
      <c r="BE397" s="60">
        <f>IF(AND($AG397&gt;=0,$AD397&gt;=0,$AF397&gt;=0),IF($AG397/($AD397-$AF397)&gt;0,$AG397/($AD397-$AF397),0),"")</f>
        <v/>
      </c>
      <c r="BF397" s="60">
        <f>IF(AND($G397&gt;0,$AM397&gt;0),IF(($G397-$AM397)/$G397&gt;0,($G397-$AM397)/$G397,0),"")</f>
        <v/>
      </c>
      <c r="BG397" s="6">
        <f>IF((AD397-AF397)/(AJ397/60)&lt;=0,"",(AD397-AF397)/(AJ397/60))</f>
        <v/>
      </c>
      <c r="BH397" s="6">
        <f>IF(OR(AJ397=0,AP397=0,NOT(ISNUMBER(AD397)),NOT(ISNUMBER(AF397)),NOT(ISNUMBER(AJ397)),NOT(ISNUMBER(AP397))),"",
IFERROR(IF((AD397-AF397)/(AJ397/60)/(AP397/1000)&lt;=0,"",(AD397-AF397)/(AJ397/60)/(AP397/1000)),""))</f>
        <v/>
      </c>
    </row>
    <row r="398" ht="15.75" customHeight="1">
      <c r="B398" t="n">
        <v>154</v>
      </c>
      <c r="D398" s="94" t="n">
        <v>45658</v>
      </c>
      <c r="E398" s="231" t="n">
        <v>154</v>
      </c>
      <c r="F398" s="3" t="n">
        <v>393</v>
      </c>
      <c r="G398" s="205">
        <f>IF(OR(S398="",S398=0),"",S398*2)</f>
        <v/>
      </c>
      <c r="M398" s="10">
        <f>IF(OR(E398="",G398="",E398=0,G398=0),"",E398/G398)</f>
        <v/>
      </c>
      <c r="N398" s="9">
        <f>IF(OR(E398="",I398="",E398=0,I398=0),"",E398/(I398*2))</f>
        <v/>
      </c>
      <c r="O398" s="8">
        <f>IF(OR(I398="",G398="",I398=0,G398=0),"",I398*2/G398)</f>
        <v/>
      </c>
      <c r="Z398" s="6" t="n">
        <v>0.19</v>
      </c>
      <c r="AD398" s="5" t="n">
        <v>80</v>
      </c>
      <c r="AF398" s="95" t="n">
        <v>20</v>
      </c>
      <c r="AI398" s="231" t="n">
        <v>4.9</v>
      </c>
      <c r="AJ398" s="261" t="n">
        <v>0.5195601851851852</v>
      </c>
      <c r="AL398" s="231" t="n">
        <v>175</v>
      </c>
      <c r="AM398" s="3" t="n">
        <v>180</v>
      </c>
      <c r="AP398" s="255">
        <f>360-AK398-AB398</f>
        <v/>
      </c>
      <c r="AR398" s="103">
        <f>$AO$389</f>
        <v/>
      </c>
      <c r="AT398" s="155">
        <f>(E398-W398)/E398</f>
        <v/>
      </c>
      <c r="AU398" s="155" t="n"/>
      <c r="AV398" s="155">
        <f>AG398/(AD398-AF398)</f>
        <v/>
      </c>
      <c r="AW398" s="155">
        <f>(G398-AM398)/G398</f>
        <v/>
      </c>
      <c r="AX398" s="254">
        <f>IF(AND(ISNUMBER(E398),ISNUMBER(W398)),E398-W398,"")</f>
        <v/>
      </c>
      <c r="AY398" s="254">
        <f>IF(AND(ISNUMBER(I398),ISNUMBER(AF398)),I398-AF398,"")</f>
        <v/>
      </c>
      <c r="AZ398" s="254">
        <f>IF(AND(ISNUMBER(AM398),ISNUMBER(G398)),G398-AM398,"")</f>
        <v/>
      </c>
      <c r="BA398" s="254">
        <f>IF(AND(ISNUMBER(AC398),ISNUMBER(AE398)),AC398-AE398,"")</f>
        <v/>
      </c>
      <c r="BB398" s="254">
        <f>IF(AND(ISNUMBER(AL398),ISNUMBER(AM398)),AL398-AM398,"")</f>
        <v/>
      </c>
      <c r="BC398" s="60">
        <f>IF(AND($E398&gt;0,$W398&gt;0),IF(($E398-$W398)/$E398&gt;0,($E398-$W398)/$E398,0),"")</f>
        <v/>
      </c>
      <c r="BD398" s="60">
        <f>IF(AND($I398&gt;0,$AF398&gt;=0),IF(($I398-$AF398)/$I398&gt;0,($I398-$AF398)/$I398,0),"")</f>
        <v/>
      </c>
      <c r="BE398" s="60">
        <f>IF(AND($AG398&gt;=0,$AD398&gt;=0,$AF398&gt;=0),IF($AG398/($AD398-$AF398)&gt;0,$AG398/($AD398-$AF398),0),"")</f>
        <v/>
      </c>
      <c r="BF398" s="60">
        <f>IF(AND($G398&gt;0,$AM398&gt;0),IF(($G398-$AM398)/$G398&gt;0,($G398-$AM398)/$G398,0),"")</f>
        <v/>
      </c>
      <c r="BG398" s="6">
        <f>IF((AD398-AF398)/(AJ398/60)&lt;=0,"",(AD398-AF398)/(AJ398/60))</f>
        <v/>
      </c>
      <c r="BH398" s="6">
        <f>IF(OR(AJ398=0,AP398=0,NOT(ISNUMBER(AD398)),NOT(ISNUMBER(AF398)),NOT(ISNUMBER(AJ398)),NOT(ISNUMBER(AP398))),"",
IFERROR(IF((AD398-AF398)/(AJ398/60)/(AP398/1000)&lt;=0,"",(AD398-AF398)/(AJ398/60)/(AP398/1000)),""))</f>
        <v/>
      </c>
    </row>
    <row r="399" ht="15.75" customHeight="1">
      <c r="B399" t="n">
        <v>155</v>
      </c>
      <c r="C399" s="12" t="inlineStr">
        <is>
          <t xml:space="preserve">change the anoxic aphse length </t>
        </is>
      </c>
      <c r="D399" s="94" t="n">
        <v>45659</v>
      </c>
      <c r="E399" s="231" t="n">
        <v>155</v>
      </c>
      <c r="F399" s="3" t="n">
        <v>394</v>
      </c>
      <c r="G399" s="205">
        <f>IF(OR(S399="",S399=0),"",S399*2)</f>
        <v/>
      </c>
      <c r="M399" s="10">
        <f>IF(OR(E399="",G399="",E399=0,G399=0),"",E399/G399)</f>
        <v/>
      </c>
      <c r="N399" s="9">
        <f>IF(OR(E399="",I399="",E399=0,I399=0),"",E399/(I399*2))</f>
        <v/>
      </c>
      <c r="O399" s="8">
        <f>IF(OR(I399="",G399="",I399=0,G399=0),"",I399*2/G399)</f>
        <v/>
      </c>
      <c r="P399" s="6" t="n"/>
      <c r="AD399" s="5" t="n">
        <v>80</v>
      </c>
      <c r="AE399" s="231" t="n"/>
      <c r="AF399" s="95" t="n">
        <v>20</v>
      </c>
      <c r="AI399" s="231" t="n">
        <v>3.46</v>
      </c>
      <c r="AJ399" s="261" t="n">
        <v>0.5193287037037037</v>
      </c>
      <c r="AL399" s="231" t="n">
        <v>175</v>
      </c>
      <c r="AM399" s="3" t="n">
        <v>180</v>
      </c>
      <c r="AN399" s="231" t="n"/>
      <c r="AP399" s="264">
        <f>360-AK399-AB399</f>
        <v/>
      </c>
      <c r="AR399" s="103">
        <f>$AO$389</f>
        <v/>
      </c>
      <c r="AT399" s="155">
        <f>(E399-W399)/E399</f>
        <v/>
      </c>
      <c r="AU399" s="155" t="n"/>
      <c r="AV399" s="155">
        <f>AG399/(AD399-AF399)</f>
        <v/>
      </c>
      <c r="AW399" s="155">
        <f>(G399-AM399)/G399</f>
        <v/>
      </c>
      <c r="AX399" s="254">
        <f>IF(AND(ISNUMBER(E399),ISNUMBER(W399)),E399-W399,"")</f>
        <v/>
      </c>
      <c r="AY399" s="254">
        <f>IF(AND(ISNUMBER(I399),ISNUMBER(AF399)),I399-AF399,"")</f>
        <v/>
      </c>
      <c r="AZ399" s="254">
        <f>IF(AND(ISNUMBER(AM399),ISNUMBER(G399)),G399-AM399,"")</f>
        <v/>
      </c>
      <c r="BA399" s="254">
        <f>IF(AND(ISNUMBER(AC399),ISNUMBER(AE399)),AC399-AE399,"")</f>
        <v/>
      </c>
      <c r="BB399" s="254">
        <f>IF(AND(ISNUMBER(AL399),ISNUMBER(AM399)),AL399-AM399,"")</f>
        <v/>
      </c>
      <c r="BC399" s="60">
        <f>IF(AND($E399&gt;0,$W399&gt;0),IF(($E399-$W399)/$E399&gt;0,($E399-$W399)/$E399,0),"")</f>
        <v/>
      </c>
      <c r="BD399" s="60">
        <f>IF(AND($I399&gt;0,$AF399&gt;=0),IF(($I399-$AF399)/$I399&gt;0,($I399-$AF399)/$I399,0),"")</f>
        <v/>
      </c>
      <c r="BE399" s="60" t="n"/>
      <c r="BF399" s="60">
        <f>IF(AND($G399&gt;0,$AM399&gt;0),IF(($G399-$AM399)/$G399&gt;0,($G399-$AM399)/$G399,0),"")</f>
        <v/>
      </c>
      <c r="BG399" s="6">
        <f>IF((AD399-AF399)/(AJ399/60)&lt;=0,"",(AD399-AF399)/(AJ399/60))</f>
        <v/>
      </c>
      <c r="BH399" s="6">
        <f>IF(OR(AJ399=0,AP399=0,NOT(ISNUMBER(AD399)),NOT(ISNUMBER(AF399)),NOT(ISNUMBER(AJ399)),NOT(ISNUMBER(AP399))),"",
IFERROR(IF((AD399-AF399)/(AJ399/60)/(AP399/1000)&lt;=0,"",(AD399-AF399)/(AJ399/60)/(AP399/1000)),""))</f>
        <v/>
      </c>
    </row>
    <row r="400" ht="15.75" customFormat="1" customHeight="1" s="27">
      <c r="B400" t="n">
        <v>156</v>
      </c>
      <c r="C400" s="39" t="n"/>
      <c r="D400" s="90" t="n">
        <v>45660</v>
      </c>
      <c r="E400" s="231" t="n">
        <v>156</v>
      </c>
      <c r="F400" s="3" t="n">
        <v>395</v>
      </c>
      <c r="G400" s="205">
        <f>IF(OR(S400="",S400=0),"",S400*2)</f>
        <v/>
      </c>
      <c r="H400" s="36" t="n"/>
      <c r="I400" s="77">
        <f>(N400*18-H400*18)/9</f>
        <v/>
      </c>
      <c r="J400" s="36">
        <f>5*0.68</f>
        <v/>
      </c>
      <c r="K400" s="15">
        <f>AD400</f>
        <v/>
      </c>
      <c r="L400" s="35" t="n"/>
      <c r="M400" s="10">
        <f>IF(OR(E400="",G400="",E400=0,G400=0),"",E400/G400)</f>
        <v/>
      </c>
      <c r="N400" s="9">
        <f>IF(OR(E400="",I400="",E400=0,I400=0),"",E400/(I400*2))</f>
        <v/>
      </c>
      <c r="O400" s="8">
        <f>IF(OR(I400="",G400="",I400=0,G400=0),"",I400*2/G400)</f>
        <v/>
      </c>
      <c r="P400" s="34">
        <f>5*2.04</f>
        <v/>
      </c>
      <c r="Q400" s="33" t="n"/>
      <c r="R400" s="33" t="n"/>
      <c r="S400" s="33" t="n"/>
      <c r="T400" s="33" t="n"/>
      <c r="U400" s="33" t="n"/>
      <c r="V400" s="33">
        <f>5*3.83</f>
        <v/>
      </c>
      <c r="W400" s="33" t="n"/>
      <c r="X400" s="33" t="n"/>
      <c r="Y400" s="33" t="n"/>
      <c r="Z400" s="33" t="n"/>
      <c r="AA400" s="33" t="n"/>
      <c r="AB400" s="33" t="n"/>
      <c r="AC400" s="33" t="n"/>
      <c r="AD400" s="74" t="n">
        <v>80</v>
      </c>
      <c r="AE400" s="34">
        <f>T400</f>
        <v/>
      </c>
      <c r="AF400" s="27">
        <f>5*3.97</f>
        <v/>
      </c>
      <c r="AG400" s="27">
        <f>5*2.18</f>
        <v/>
      </c>
      <c r="AH400" s="27">
        <f>5*1.77</f>
        <v/>
      </c>
      <c r="AI400" s="27" t="n">
        <v>2.72</v>
      </c>
      <c r="AJ400" s="265" t="n">
        <v>0.5203703703703704</v>
      </c>
      <c r="AL400" s="231" t="n">
        <v>175</v>
      </c>
      <c r="AM400" s="3" t="n">
        <v>180</v>
      </c>
      <c r="AN400" s="32">
        <f>AE400</f>
        <v/>
      </c>
      <c r="AO400" s="27">
        <f>5*1.64</f>
        <v/>
      </c>
      <c r="AP400" s="253">
        <f>360-AK400-AB400</f>
        <v/>
      </c>
      <c r="AQ400" s="28" t="n"/>
      <c r="AR400" s="103">
        <f>$AO$389</f>
        <v/>
      </c>
      <c r="AS400" s="28" t="n"/>
      <c r="AT400" s="31">
        <f>(E400-W400)/E400</f>
        <v/>
      </c>
      <c r="AU400" s="30">
        <f>(I400-AF400)/I400</f>
        <v/>
      </c>
      <c r="AV400" s="30">
        <f>AG400/(AD400-AF400)</f>
        <v/>
      </c>
      <c r="AW400" s="30">
        <f>(G400-AM400)/G400</f>
        <v/>
      </c>
      <c r="AX400" s="256">
        <f>IF(AND(ISNUMBER(E400),ISNUMBER(W400)),E400-W400,"")</f>
        <v/>
      </c>
      <c r="AY400" s="256">
        <f>IF(AND(ISNUMBER(I400),ISNUMBER(AF400)),I400-AF400,"")</f>
        <v/>
      </c>
      <c r="AZ400" s="256">
        <f>IF(AND(ISNUMBER(AM400),ISNUMBER(G400)),G400-AM400,"")</f>
        <v/>
      </c>
      <c r="BA400" s="256">
        <f>IF(AND(ISNUMBER(AC400),ISNUMBER(AE400)),AC400-AE400,"")</f>
        <v/>
      </c>
      <c r="BB400" s="256">
        <f>IF(AND(ISNUMBER(AL400),ISNUMBER(AM400)),AL400-AM400,"")</f>
        <v/>
      </c>
      <c r="BC400" s="85">
        <f>IF(AND($E400&gt;0,$W400&gt;0),IF(($E400-$W400)/$E400&gt;0,($E400-$W400)/$E400,0),"")</f>
        <v/>
      </c>
      <c r="BD400" s="85">
        <f>IF(AND($I400&gt;0,$AF400&gt;=0),IF(($I400-$AF400)/$I400&gt;0,($I400-$AF400)/$I400,0),"")</f>
        <v/>
      </c>
      <c r="BE400" s="60">
        <f>IF(AND($AG400&gt;=0,$AD400&gt;=0,$AF400&gt;=0),IF($AG400/($AD400-$AF400)&gt;0,$AG400/($AD400-$AF400),0),"")</f>
        <v/>
      </c>
      <c r="BF400" s="85">
        <f>IF(AND($G400&gt;0,$AM400&gt;0),IF(($G400-$AM400)/$G400&gt;0,($G400-$AM400)/$G400,0),"")</f>
        <v/>
      </c>
      <c r="BG400" s="6">
        <f>IF((AD400-AF400)/(AJ400/60)&lt;=0,"",(AD400-AF400)/(AJ400/60))</f>
        <v/>
      </c>
      <c r="BH400" s="6">
        <f>IF(OR(AJ400=0,AP400=0,NOT(ISNUMBER(AD400)),NOT(ISNUMBER(AF400)),NOT(ISNUMBER(AJ400)),NOT(ISNUMBER(AP400))),"",
IFERROR(IF((AD400-AF400)/(AJ400/60)/(AP400/1000)&lt;=0,"",(AD400-AF400)/(AJ400/60)/(AP400/1000)),""))</f>
        <v/>
      </c>
    </row>
    <row r="401" ht="15.75" customHeight="1">
      <c r="B401" t="n">
        <v>157</v>
      </c>
      <c r="C401" s="25" t="inlineStr">
        <is>
          <t>V pH is not accurate (measured lower)</t>
        </is>
      </c>
      <c r="D401" s="11" t="n">
        <v>45661</v>
      </c>
      <c r="E401" s="231" t="n">
        <v>157</v>
      </c>
      <c r="F401" s="3" t="n">
        <v>396</v>
      </c>
      <c r="G401" s="205">
        <f>IF(OR(S401="",S401=0),"",S401*2)</f>
        <v/>
      </c>
      <c r="M401" s="10">
        <f>IF(OR(E401="",G401="",E401=0,G401=0),"",E401/G401)</f>
        <v/>
      </c>
      <c r="N401" s="9">
        <f>IF(OR(E401="",I401="",E401=0,I401=0),"",E401/(I401*2))</f>
        <v/>
      </c>
      <c r="O401" s="8">
        <f>IF(OR(I401="",G401="",I401=0,G401=0),"",I401*2/G401)</f>
        <v/>
      </c>
      <c r="Z401" s="6" t="n">
        <v>0.2</v>
      </c>
      <c r="AD401" s="5" t="n">
        <v>80</v>
      </c>
      <c r="AI401" s="231" t="n">
        <v>3.33</v>
      </c>
      <c r="AJ401" s="261" t="n">
        <v>0.5196759259259259</v>
      </c>
      <c r="AM401" s="3">
        <f>180+60</f>
        <v/>
      </c>
      <c r="AP401" s="255">
        <f>360-AK401-AB401</f>
        <v/>
      </c>
      <c r="AR401" s="13">
        <f>AVERAGE(AO399:AO405)</f>
        <v/>
      </c>
      <c r="AT401" s="156">
        <f>(E401-W401)/E401</f>
        <v/>
      </c>
      <c r="AU401" s="155">
        <f>(I401-AF401)/I401</f>
        <v/>
      </c>
      <c r="AV401" s="155">
        <f>AG401/(AD401-AF401)</f>
        <v/>
      </c>
      <c r="AW401" s="155">
        <f>(G401-AM401)/G401</f>
        <v/>
      </c>
      <c r="AX401" s="254">
        <f>IF(AND(ISNUMBER(E401),ISNUMBER(W401)),E401-W401,"")</f>
        <v/>
      </c>
      <c r="AY401" s="254">
        <f>IF(AND(ISNUMBER(I401),ISNUMBER(AF401)),I401-AF401,"")</f>
        <v/>
      </c>
      <c r="AZ401" s="254">
        <f>IF(AND(ISNUMBER(AM401),ISNUMBER(G401)),G401-AM401,"")</f>
        <v/>
      </c>
      <c r="BA401" s="254">
        <f>IF(AND(ISNUMBER(AC401),ISNUMBER(AE401)),AC401-AE401,"")</f>
        <v/>
      </c>
      <c r="BB401" s="254">
        <f>IF(AND(ISNUMBER(AL401),ISNUMBER(AM401)),AL401-AM401,"")</f>
        <v/>
      </c>
      <c r="BD401" s="84">
        <f>IF(AND($I401&gt;0,$AF401&gt;=0),IF(($I401-$AF401)/$I401&gt;0,($I401-$AF401)/$I401,0),"")</f>
        <v/>
      </c>
      <c r="BE401" s="84">
        <f>IF(AND($AG401&gt;=0,$AD401&gt;=0,$AF401&gt;=0),IF($AG401/($AD401-$AF401)&gt;0,$AG401/($AD401-$AF401),0),"")</f>
        <v/>
      </c>
      <c r="BF401" s="84">
        <f>IF(AND($G401&gt;0,$AM401&gt;0),IF(($G401-$AM401)/$G401&gt;0,($G401-$AM401)/$G401,0),"")</f>
        <v/>
      </c>
      <c r="BG401" s="6">
        <f>IF((AD401-AF401)/(AJ401/60)&lt;=0,"",(AD401-AF401)/(AJ401/60))</f>
        <v/>
      </c>
      <c r="BH401" s="6">
        <f>IF(OR(AJ401=0,AP401=0,NOT(ISNUMBER(AD401)),NOT(ISNUMBER(AF401)),NOT(ISNUMBER(AJ401)),NOT(ISNUMBER(AP401))),"",
IFERROR(IF((AD401-AF401)/(AJ401/60)/(AP401/1000)&lt;=0,"",(AD401-AF401)/(AJ401/60)/(AP401/1000)),""))</f>
        <v/>
      </c>
    </row>
    <row r="402" ht="15.75" customHeight="1">
      <c r="A402" s="260" t="inlineStr">
        <is>
          <t>B53</t>
        </is>
      </c>
      <c r="B402" s="260" t="n">
        <v>158</v>
      </c>
      <c r="C402" s="12" t="inlineStr">
        <is>
          <t>V</t>
        </is>
      </c>
      <c r="D402" s="11" t="n">
        <v>45662</v>
      </c>
      <c r="E402" s="231" t="n">
        <v>158</v>
      </c>
      <c r="F402" s="3" t="n">
        <v>397</v>
      </c>
      <c r="G402" s="205">
        <f>IF(OR(S402="",S402=0),"",S402*2)</f>
        <v/>
      </c>
      <c r="M402" s="10">
        <f>IF(OR(E402="",G402="",E402=0,G402=0),"",E402/G402)</f>
        <v/>
      </c>
      <c r="N402" s="9">
        <f>IF(OR(E402="",I402="",E402=0,I402=0),"",E402/(I402*2))</f>
        <v/>
      </c>
      <c r="O402" s="8">
        <f>IF(OR(I402="",G402="",I402=0,G402=0),"",I402*2/G402)</f>
        <v/>
      </c>
      <c r="Z402" s="6" t="n">
        <v>0.46</v>
      </c>
      <c r="AD402" s="5" t="n">
        <v>80</v>
      </c>
      <c r="AG402" s="231">
        <f>5*2.53</f>
        <v/>
      </c>
      <c r="AH402" s="231">
        <f>2*3.7</f>
        <v/>
      </c>
      <c r="AI402" s="231" t="n">
        <v>4.02</v>
      </c>
      <c r="AJ402" s="261" t="n">
        <v>0.5206018518518518</v>
      </c>
      <c r="AM402" s="3">
        <f>180+60</f>
        <v/>
      </c>
      <c r="AN402" s="231">
        <f>AE402</f>
        <v/>
      </c>
      <c r="AO402" s="231">
        <f>5*2.38</f>
        <v/>
      </c>
      <c r="AP402" s="255">
        <f>360-AK402-AB402</f>
        <v/>
      </c>
      <c r="AR402" s="13">
        <f>AVERAGE(AO400:AO406)</f>
        <v/>
      </c>
      <c r="AT402" s="156">
        <f>(E402-W402)/E402</f>
        <v/>
      </c>
      <c r="AU402" s="155">
        <f>(I402-AF402)/I402</f>
        <v/>
      </c>
      <c r="AV402" s="155">
        <f>AG402/(AD402-AF402)</f>
        <v/>
      </c>
      <c r="AW402" s="155">
        <f>(G402-AM402)/G402</f>
        <v/>
      </c>
      <c r="AX402" s="254">
        <f>IF(AND(ISNUMBER(E402),ISNUMBER(W402)),E402-W402,"")</f>
        <v/>
      </c>
      <c r="AY402" s="254">
        <f>IF(AND(ISNUMBER(I402),ISNUMBER(AF402)),I402-AF402,"")</f>
        <v/>
      </c>
      <c r="AZ402" s="254">
        <f>IF(AND(ISNUMBER(AM402),ISNUMBER(G402)),G402-AM402,"")</f>
        <v/>
      </c>
      <c r="BA402" s="254">
        <f>IF(AND(ISNUMBER(AC402),ISNUMBER(AE402)),AC402-AE402,"")</f>
        <v/>
      </c>
      <c r="BB402" s="254">
        <f>IF(AND(ISNUMBER(AL402),ISNUMBER(AM402)),AL402-AM402,"")</f>
        <v/>
      </c>
      <c r="BD402" s="84">
        <f>IF(AND($I402&gt;0,$AF402&gt;=0),IF(($I402-$AF402)/$I402&gt;0,($I402-$AF402)/$I402,0),"")</f>
        <v/>
      </c>
      <c r="BE402" s="84">
        <f>IF(AND($AG402&gt;=0,$AD402&gt;=0,$AF402&gt;=0),IF($AG402/($AD402-$AF402)&gt;0,$AG402/($AD402-$AF402),0),"")</f>
        <v/>
      </c>
      <c r="BF402" s="84">
        <f>IF(AND($G402&gt;0,$AM402&gt;0),IF(($G402-$AM402)/$G402&gt;0,($G402-$AM402)/$G402,0),"")</f>
        <v/>
      </c>
      <c r="BG402" s="6">
        <f>IF((AD402-AF402)/(AJ402/60)&lt;=0,"",(AD402-AF402)/(AJ402/60))</f>
        <v/>
      </c>
      <c r="BH402" s="6">
        <f>IF(OR(AJ402=0,AP402=0,NOT(ISNUMBER(AD402)),NOT(ISNUMBER(AF402)),NOT(ISNUMBER(AJ402)),NOT(ISNUMBER(AP402))),"",
IFERROR(IF((AD402-AF402)/(AJ402/60)/(AP402/1000)&lt;=0,"",(AD402-AF402)/(AJ402/60)/(AP402/1000)),""))</f>
        <v/>
      </c>
    </row>
    <row r="403" ht="15.75" customHeight="1">
      <c r="B403" t="n">
        <v>159</v>
      </c>
      <c r="D403" s="11" t="n">
        <v>45663</v>
      </c>
      <c r="E403" s="231" t="n">
        <v>159</v>
      </c>
      <c r="F403" s="3" t="n">
        <v>398</v>
      </c>
      <c r="G403" s="205">
        <f>IF(OR(S403="",S403=0),"",S403*2)</f>
        <v/>
      </c>
      <c r="M403" s="10">
        <f>IF(OR(E403="",G403="",E403=0,G403=0),"",E403/G403)</f>
        <v/>
      </c>
      <c r="N403" s="9">
        <f>IF(OR(E403="",I403="",E403=0,I403=0),"",E403/(I403*2))</f>
        <v/>
      </c>
      <c r="O403" s="8">
        <f>IF(OR(I403="",G403="",I403=0,G403=0),"",I403*2/G403)</f>
        <v/>
      </c>
      <c r="Q403" s="59" t="n">
        <v>111.061</v>
      </c>
      <c r="R403" s="59" t="n">
        <v>33.929</v>
      </c>
      <c r="S403" s="6">
        <f>O403*1.067</f>
        <v/>
      </c>
      <c r="T403" s="6">
        <f>P403*1.514</f>
        <v/>
      </c>
      <c r="U403" s="23">
        <f>P403*1.514+O403*1.067</f>
        <v/>
      </c>
      <c r="W403" s="6" t="n">
        <v>0</v>
      </c>
      <c r="X403" s="6" t="n">
        <v>0</v>
      </c>
      <c r="Y403" s="23">
        <f>U403*1.067+V403*1.514</f>
        <v/>
      </c>
      <c r="Z403" s="6" t="n">
        <v>0.5600000000000001</v>
      </c>
      <c r="AD403" s="5" t="n">
        <v>80</v>
      </c>
      <c r="AI403" s="231" t="n">
        <v>4.3</v>
      </c>
      <c r="AJ403" s="261" t="n">
        <v>0.5175925925925926</v>
      </c>
      <c r="AM403" s="3">
        <f>180+60</f>
        <v/>
      </c>
      <c r="AP403" s="255">
        <f>360-AK403-AB403</f>
        <v/>
      </c>
      <c r="AR403" s="13">
        <f>AVERAGE(AO401:AO407)</f>
        <v/>
      </c>
      <c r="AT403" s="156">
        <f>(E403-W403)/E403</f>
        <v/>
      </c>
      <c r="AU403" s="155">
        <f>(I403-AF403)/I403</f>
        <v/>
      </c>
      <c r="AV403" s="155">
        <f>AG403/(AD403-AF403)</f>
        <v/>
      </c>
      <c r="AW403" s="155">
        <f>(G403-AM403)/G403</f>
        <v/>
      </c>
      <c r="AX403" s="254">
        <f>IF(AND(ISNUMBER(E403),ISNUMBER(W403)),E403-W403,"")</f>
        <v/>
      </c>
      <c r="AY403" s="254">
        <f>IF(AND(ISNUMBER(I403),ISNUMBER(AF403)),I403-AF403,"")</f>
        <v/>
      </c>
      <c r="AZ403" s="254">
        <f>IF(AND(ISNUMBER(AM403),ISNUMBER(G403)),G403-AM403,"")</f>
        <v/>
      </c>
      <c r="BA403" s="254">
        <f>IF(AND(ISNUMBER(AC403),ISNUMBER(AE403)),AC403-AE403,"")</f>
        <v/>
      </c>
      <c r="BB403" s="254">
        <f>IF(AND(ISNUMBER(AL403),ISNUMBER(AM403)),AL403-AM403,"")</f>
        <v/>
      </c>
      <c r="BD403" s="84">
        <f>IF(AND($I403&gt;0,$AF403&gt;=0),IF(($I403-$AF403)/$I403&gt;0,($I403-$AF403)/$I403,0),"")</f>
        <v/>
      </c>
      <c r="BE403" s="84">
        <f>IF(AND($AG403&gt;=0,$AD403&gt;=0,$AF403&gt;=0),IF($AG403/($AD403-$AF403)&gt;0,$AG403/($AD403-$AF403),0),"")</f>
        <v/>
      </c>
      <c r="BF403" s="84">
        <f>IF(AND($G403&gt;0,$AM403&gt;0),IF(($G403-$AM403)/$G403&gt;0,($G403-$AM403)/$G403,0),"")</f>
        <v/>
      </c>
      <c r="BG403" s="6">
        <f>IF((AD403-AF403)/(AJ403/60)&lt;=0,"",(AD403-AF403)/(AJ403/60))</f>
        <v/>
      </c>
      <c r="BH403" s="6">
        <f>IF(OR(AJ403=0,AP403=0,NOT(ISNUMBER(AD403)),NOT(ISNUMBER(AF403)),NOT(ISNUMBER(AJ403)),NOT(ISNUMBER(AP403))),"",
IFERROR(IF((AD403-AF403)/(AJ403/60)/(AP403/1000)&lt;=0,"",(AD403-AF403)/(AJ403/60)/(AP403/1000)),""))</f>
        <v/>
      </c>
    </row>
    <row r="404" ht="15.75" customHeight="1">
      <c r="B404" t="n">
        <v>160</v>
      </c>
      <c r="C404" s="12" t="inlineStr">
        <is>
          <t>wed-prospectus</t>
        </is>
      </c>
      <c r="D404" s="11" t="n">
        <v>45664</v>
      </c>
      <c r="E404" s="231" t="n">
        <v>160</v>
      </c>
      <c r="F404" s="3" t="n">
        <v>399</v>
      </c>
      <c r="G404" s="205">
        <f>IF(OR(S404="",S404=0),"",S404*2)</f>
        <v/>
      </c>
      <c r="M404" s="10">
        <f>IF(OR(E404="",G404="",E404=0,G404=0),"",E404/G404)</f>
        <v/>
      </c>
      <c r="N404" s="9">
        <f>IF(OR(E404="",I404="",E404=0,I404=0),"",E404/(I404*2))</f>
        <v/>
      </c>
      <c r="O404" s="8">
        <f>IF(OR(I404="",G404="",I404=0,G404=0),"",I404*2/G404)</f>
        <v/>
      </c>
      <c r="Z404" s="6" t="n">
        <v>0.18</v>
      </c>
      <c r="AD404" s="5" t="n">
        <v>80</v>
      </c>
      <c r="AI404" s="231" t="n">
        <v>4.34</v>
      </c>
      <c r="AJ404" s="261" t="n">
        <v>0.5203703703703704</v>
      </c>
      <c r="AM404" s="3">
        <f>180+60</f>
        <v/>
      </c>
      <c r="AP404" s="255">
        <f>360-AK404-AB404</f>
        <v/>
      </c>
      <c r="AR404" s="13">
        <f>AVERAGE(AO402:AO408)</f>
        <v/>
      </c>
      <c r="AT404" s="156">
        <f>(E404-W404)/E404</f>
        <v/>
      </c>
      <c r="AU404" s="155">
        <f>(I404-AF404)/I404</f>
        <v/>
      </c>
      <c r="AV404" s="155">
        <f>AG404/(AD404-AF404)</f>
        <v/>
      </c>
      <c r="AW404" s="155">
        <f>(G404-AM404)/G404</f>
        <v/>
      </c>
      <c r="AX404" s="254">
        <f>IF(AND(ISNUMBER(E404),ISNUMBER(W404)),E404-W404,"")</f>
        <v/>
      </c>
      <c r="AY404" s="254">
        <f>IF(AND(ISNUMBER(I404),ISNUMBER(AF404)),I404-AF404,"")</f>
        <v/>
      </c>
      <c r="AZ404" s="254">
        <f>IF(AND(ISNUMBER(AM404),ISNUMBER(G404)),G404-AM404,"")</f>
        <v/>
      </c>
      <c r="BA404" s="254">
        <f>IF(AND(ISNUMBER(AC404),ISNUMBER(AE404)),AC404-AE404,"")</f>
        <v/>
      </c>
      <c r="BB404" s="254">
        <f>IF(AND(ISNUMBER(AL404),ISNUMBER(AM404)),AL404-AM404,"")</f>
        <v/>
      </c>
      <c r="BC404" s="100">
        <f>IF(AND($E404&gt;0,$W404&gt;0),IF(($E404-$W404)/$E404&gt;0,($E404-$W404)/$E404,0),"")</f>
        <v/>
      </c>
      <c r="BD404" s="84">
        <f>IF(AND($I404&gt;0,$AF404&gt;=0),IF(($I404-$AF404)/$I404&gt;0,($I404-$AF404)/$I404,0),"")</f>
        <v/>
      </c>
      <c r="BE404" s="84">
        <f>IF(AND($AG404&gt;=0,$AD404&gt;=0,$AF404&gt;=0),IF($AG404/($AD404-$AF404)&gt;0,$AG404/($AD404-$AF404),0),"")</f>
        <v/>
      </c>
      <c r="BF404" s="84">
        <f>IF(AND($G404&gt;0,$AM404&gt;0),IF(($G404-$AM404)/$G404&gt;0,($G404-$AM404)/$G404,0),"")</f>
        <v/>
      </c>
      <c r="BG404" s="6">
        <f>IF((AD404-AF404)/(AJ404/60)&lt;=0,"",(AD404-AF404)/(AJ404/60))</f>
        <v/>
      </c>
      <c r="BH404" s="6">
        <f>IF(OR(AJ404=0,AP404=0,NOT(ISNUMBER(AD404)),NOT(ISNUMBER(AF404)),NOT(ISNUMBER(AJ404)),NOT(ISNUMBER(AP404))),"",
IFERROR(IF((AD404-AF404)/(AJ404/60)/(AP404/1000)&lt;=0,"",(AD404-AF404)/(AJ404/60)/(AP404/1000)),""))</f>
        <v/>
      </c>
    </row>
    <row r="405" ht="15.75" customHeight="1">
      <c r="B405" t="n">
        <v>161</v>
      </c>
      <c r="C405" s="12" t="inlineStr">
        <is>
          <t>back to taiwam</t>
        </is>
      </c>
      <c r="D405" s="11" t="n">
        <v>45665</v>
      </c>
      <c r="E405" s="231" t="n">
        <v>161</v>
      </c>
      <c r="F405" s="3" t="n">
        <v>400</v>
      </c>
      <c r="G405" s="205">
        <f>IF(OR(S405="",S405=0),"",S405*2)</f>
        <v/>
      </c>
      <c r="I405" s="15">
        <f>(N405*18-H405*18)/9</f>
        <v/>
      </c>
      <c r="J405" s="9">
        <f>5*0.952</f>
        <v/>
      </c>
      <c r="K405" s="15">
        <f>AD405</f>
        <v/>
      </c>
      <c r="M405" s="10">
        <f>IF(OR(E405="",G405="",E405=0,G405=0),"",E405/G405)</f>
        <v/>
      </c>
      <c r="N405" s="9">
        <f>IF(OR(E405="",I405="",E405=0,I405=0),"",E405/(I405*2))</f>
        <v/>
      </c>
      <c r="O405" s="8">
        <f>IF(OR(I405="",G405="",I405=0,G405=0),"",I405*2/G405)</f>
        <v/>
      </c>
      <c r="P405" s="7">
        <f>5*2.24</f>
        <v/>
      </c>
      <c r="Q405" s="59" t="n">
        <v>109.896</v>
      </c>
      <c r="R405" s="59" t="n">
        <v>34.072</v>
      </c>
      <c r="S405" s="6">
        <f>O405*1.067</f>
        <v/>
      </c>
      <c r="T405" s="6">
        <f>P405*1.514</f>
        <v/>
      </c>
      <c r="U405" s="23">
        <f>P405*1.514+O405*1.067</f>
        <v/>
      </c>
      <c r="V405" s="6">
        <f>25.6</f>
        <v/>
      </c>
      <c r="W405" s="6" t="n">
        <v>0</v>
      </c>
      <c r="X405" s="6" t="n">
        <v>0</v>
      </c>
      <c r="Y405" s="23">
        <f>U405*1.067+V405*1.514</f>
        <v/>
      </c>
      <c r="Z405" s="6" t="n">
        <v>0.96</v>
      </c>
      <c r="AD405" s="5" t="n">
        <v>80</v>
      </c>
      <c r="AE405" s="6">
        <f>T405</f>
        <v/>
      </c>
      <c r="AF405" s="231">
        <f>5*4.2</f>
        <v/>
      </c>
      <c r="AI405" s="231" t="n">
        <v>3.97</v>
      </c>
      <c r="AJ405" s="261" t="n">
        <v>0.5203703703703704</v>
      </c>
      <c r="AM405" s="3">
        <f>180+60</f>
        <v/>
      </c>
      <c r="AO405" s="231">
        <f>5*2.03</f>
        <v/>
      </c>
      <c r="AP405" s="255">
        <f>360-AK405-AB405</f>
        <v/>
      </c>
      <c r="AR405" s="13">
        <f>AVERAGE(AO403:AO409)</f>
        <v/>
      </c>
      <c r="AT405" s="156">
        <f>(E405-W405)/E405</f>
        <v/>
      </c>
      <c r="AU405" s="155">
        <f>(I405-AF405)/I405</f>
        <v/>
      </c>
      <c r="AV405" s="155">
        <f>AG405/(AD405-AF405)</f>
        <v/>
      </c>
      <c r="AW405" s="155">
        <f>(G405-AM405)/G405</f>
        <v/>
      </c>
      <c r="AX405" s="254">
        <f>IF(AND(ISNUMBER(E405),ISNUMBER(W405)),E405-W405,"")</f>
        <v/>
      </c>
      <c r="AY405" s="254">
        <f>IF(AND(ISNUMBER(I405),ISNUMBER(AF405)),I405-AF405,"")</f>
        <v/>
      </c>
      <c r="AZ405" s="254">
        <f>IF(AND(ISNUMBER(AM405),ISNUMBER(G405)),G405-AM405,"")</f>
        <v/>
      </c>
      <c r="BA405" s="254">
        <f>IF(AND(ISNUMBER(AC405),ISNUMBER(AE405)),AC405-AE405,"")</f>
        <v/>
      </c>
      <c r="BB405" s="254">
        <f>IF(AND(ISNUMBER(AL405),ISNUMBER(AM405)),AL405-AM405,"")</f>
        <v/>
      </c>
      <c r="BC405" s="100">
        <f>IF(AND($E405&gt;0,$W405&gt;0),IF(($E405-$W405)/$E405&gt;0,($E405-$W405)/$E405,0),"")</f>
        <v/>
      </c>
      <c r="BD405" s="84">
        <f>IF(AND($I405&gt;0,$AF405&gt;=0),IF(($I405-$AF405)/$I405&gt;0,($I405-$AF405)/$I405,0),"")</f>
        <v/>
      </c>
      <c r="BE405" s="84">
        <f>IF(AND($AG405&gt;=0,$AD405&gt;=0,$AF405&gt;=0),IF($AG405/($AD405-$AF405)&gt;0,$AG405/($AD405-$AF405),0),"")</f>
        <v/>
      </c>
      <c r="BF405" s="84">
        <f>IF(AND($G405&gt;0,$AM405&gt;0),IF(($G405-$AM405)/$G405&gt;0,($G405-$AM405)/$G405,0),"")</f>
        <v/>
      </c>
      <c r="BG405" s="6">
        <f>IF((AD405-AF405)/(AJ405/60)&lt;=0,"",(AD405-AF405)/(AJ405/60))</f>
        <v/>
      </c>
      <c r="BH405" s="6">
        <f>IF(OR(AJ405=0,AP405=0,NOT(ISNUMBER(AD405)),NOT(ISNUMBER(AF405)),NOT(ISNUMBER(AJ405)),NOT(ISNUMBER(AP405))),"",
IFERROR(IF((AD405-AF405)/(AJ405/60)/(AP405/1000)&lt;=0,"",(AD405-AF405)/(AJ405/60)/(AP405/1000)),""))</f>
        <v/>
      </c>
    </row>
    <row r="406" ht="15.75" customHeight="1">
      <c r="B406" t="n">
        <v>162</v>
      </c>
      <c r="D406" s="11" t="n">
        <v>45666</v>
      </c>
      <c r="E406" s="231" t="n">
        <v>162</v>
      </c>
      <c r="F406" s="3" t="n">
        <v>401</v>
      </c>
      <c r="G406" s="205">
        <f>IF(OR(S406="",S406=0),"",S406*2)</f>
        <v/>
      </c>
      <c r="M406" s="10">
        <f>IF(OR(E406="",G406="",E406=0,G406=0),"",E406/G406)</f>
        <v/>
      </c>
      <c r="N406" s="9">
        <f>IF(OR(E406="",I406="",E406=0,I406=0),"",E406/(I406*2))</f>
        <v/>
      </c>
      <c r="O406" s="8">
        <f>IF(OR(I406="",G406="",I406=0,G406=0),"",I406*2/G406)</f>
        <v/>
      </c>
      <c r="Z406" s="6" t="n">
        <v>0.2</v>
      </c>
      <c r="AD406" s="5" t="n">
        <v>80</v>
      </c>
      <c r="AF406" s="95" t="n">
        <v>21</v>
      </c>
      <c r="AI406" s="231" t="n">
        <v>5.49</v>
      </c>
      <c r="AJ406" s="261" t="n">
        <v>0.5203703703703704</v>
      </c>
      <c r="AM406" s="3">
        <f>180+60</f>
        <v/>
      </c>
      <c r="AP406" s="255">
        <f>360-AK406-AB406</f>
        <v/>
      </c>
      <c r="AR406" s="13">
        <f>AVERAGE(AO404:AO410)</f>
        <v/>
      </c>
      <c r="AT406" s="156">
        <f>(E406-W406)/E406</f>
        <v/>
      </c>
      <c r="AU406" s="155">
        <f>(I406-AF406)/I406</f>
        <v/>
      </c>
      <c r="AV406" s="155">
        <f>AG406/(AD406-AF406)</f>
        <v/>
      </c>
      <c r="AW406" s="155">
        <f>(G406-AM406)/G406</f>
        <v/>
      </c>
      <c r="AX406" s="254">
        <f>IF(AND(ISNUMBER(E406),ISNUMBER(W406)),E406-W406,"")</f>
        <v/>
      </c>
      <c r="AY406" s="254">
        <f>IF(AND(ISNUMBER(I406),ISNUMBER(AF406)),I406-AF406,"")</f>
        <v/>
      </c>
      <c r="AZ406" s="254">
        <f>IF(AND(ISNUMBER(AM406),ISNUMBER(G406)),G406-AM406,"")</f>
        <v/>
      </c>
      <c r="BA406" s="254">
        <f>IF(AND(ISNUMBER(AC406),ISNUMBER(AE406)),AC406-AE406,"")</f>
        <v/>
      </c>
      <c r="BB406" s="254">
        <f>IF(AND(ISNUMBER(AL406),ISNUMBER(AM406)),AL406-AM406,"")</f>
        <v/>
      </c>
      <c r="BC406" s="100">
        <f>IF(AND($E406&gt;0,$W406&gt;0),IF(($E406-$W406)/$E406&gt;0,($E406-$W406)/$E406,0),"")</f>
        <v/>
      </c>
      <c r="BD406" s="84">
        <f>IF(AND($I406&gt;0,$AF406&gt;=0),IF(($I406-$AF406)/$I406&gt;0,($I406-$AF406)/$I406,0),"")</f>
        <v/>
      </c>
      <c r="BE406" s="84">
        <f>IF(AND($AG406&gt;=0,$AD406&gt;=0,$AF406&gt;=0),IF($AG406/($AD406-$AF406)&gt;0,$AG406/($AD406-$AF406),0),"")</f>
        <v/>
      </c>
      <c r="BF406" s="84">
        <f>IF(AND($G406&gt;0,$AM406&gt;0),IF(($G406-$AM406)/$G406&gt;0,($G406-$AM406)/$G406,0),"")</f>
        <v/>
      </c>
      <c r="BG406" s="6">
        <f>IF((AD406-AF406)/(AJ406/60)&lt;=0,"",(AD406-AF406)/(AJ406/60))</f>
        <v/>
      </c>
      <c r="BH406" s="6">
        <f>IF(OR(AJ406=0,AP406=0,NOT(ISNUMBER(AD406)),NOT(ISNUMBER(AF406)),NOT(ISNUMBER(AJ406)),NOT(ISNUMBER(AP406))),"",
IFERROR(IF((AD406-AF406)/(AJ406/60)/(AP406/1000)&lt;=0,"",(AD406-AF406)/(AJ406/60)/(AP406/1000)),""))</f>
        <v/>
      </c>
    </row>
    <row r="407" ht="15.75" customHeight="1">
      <c r="A407" s="260" t="inlineStr">
        <is>
          <t>B54</t>
        </is>
      </c>
      <c r="B407" s="260" t="n">
        <v>163</v>
      </c>
      <c r="D407" s="11" t="n">
        <v>45667</v>
      </c>
      <c r="E407" s="231" t="n">
        <v>163</v>
      </c>
      <c r="F407" s="3" t="n">
        <v>402</v>
      </c>
      <c r="G407" s="205">
        <f>IF(OR(S407="",S407=0),"",S407*2)</f>
        <v/>
      </c>
      <c r="M407" s="10">
        <f>IF(OR(E407="",G407="",E407=0,G407=0),"",E407/G407)</f>
        <v/>
      </c>
      <c r="N407" s="9">
        <f>IF(OR(E407="",I407="",E407=0,I407=0),"",E407/(I407*2))</f>
        <v/>
      </c>
      <c r="O407" s="8">
        <f>IF(OR(I407="",G407="",I407=0,G407=0),"",I407*2/G407)</f>
        <v/>
      </c>
      <c r="Z407" s="6" t="n">
        <v>0.72</v>
      </c>
      <c r="AD407" s="5" t="n">
        <v>80</v>
      </c>
      <c r="AF407" s="95" t="n">
        <v>21</v>
      </c>
      <c r="AI407" s="231" t="n">
        <v>6.66</v>
      </c>
      <c r="AJ407" s="261" t="n">
        <v>0.5207175925925925</v>
      </c>
      <c r="AM407" s="3">
        <f>180+60</f>
        <v/>
      </c>
      <c r="AP407" s="255">
        <f>360-AK407-AB407</f>
        <v/>
      </c>
      <c r="AR407" s="13">
        <f>AVERAGE(AO405:AO411)</f>
        <v/>
      </c>
      <c r="AT407" s="156">
        <f>(E407-W407)/E407</f>
        <v/>
      </c>
      <c r="AU407" s="155">
        <f>(I407-AF407)/I407</f>
        <v/>
      </c>
      <c r="AV407" s="155">
        <f>AG407/(AD407-AF407)</f>
        <v/>
      </c>
      <c r="AW407" s="155">
        <f>(G407-AM407)/G407</f>
        <v/>
      </c>
      <c r="AX407" s="254">
        <f>IF(AND(ISNUMBER(E407),ISNUMBER(W407)),E407-W407,"")</f>
        <v/>
      </c>
      <c r="AY407" s="254">
        <f>IF(AND(ISNUMBER(I407),ISNUMBER(AF407)),I407-AF407,"")</f>
        <v/>
      </c>
      <c r="AZ407" s="254">
        <f>IF(AND(ISNUMBER(AM407),ISNUMBER(G407)),G407-AM407,"")</f>
        <v/>
      </c>
      <c r="BA407" s="254">
        <f>IF(AND(ISNUMBER(AC407),ISNUMBER(AE407)),AC407-AE407,"")</f>
        <v/>
      </c>
      <c r="BB407" s="254">
        <f>IF(AND(ISNUMBER(AL407),ISNUMBER(AM407)),AL407-AM407,"")</f>
        <v/>
      </c>
      <c r="BC407" s="100">
        <f>IF(AND($E407&gt;0,$W407&gt;0),IF(($E407-$W407)/$E407&gt;0,($E407-$W407)/$E407,0),"")</f>
        <v/>
      </c>
      <c r="BD407" s="84">
        <f>IF(AND($I407&gt;0,$AF407&gt;=0),IF(($I407-$AF407)/$I407&gt;0,($I407-$AF407)/$I407,0),"")</f>
        <v/>
      </c>
      <c r="BE407" s="84">
        <f>IF(AND($AG407&gt;=0,$AD407&gt;=0,$AF407&gt;=0),IF($AG407/($AD407-$AF407)&gt;0,$AG407/($AD407-$AF407),0),"")</f>
        <v/>
      </c>
      <c r="BF407" s="84">
        <f>IF(AND($G407&gt;0,$AM407&gt;0),IF(($G407-$AM407)/$G407&gt;0,($G407-$AM407)/$G407,0),"")</f>
        <v/>
      </c>
      <c r="BG407" s="6">
        <f>IF((AD407-AF407)/(AJ407/60)&lt;=0,"",(AD407-AF407)/(AJ407/60))</f>
        <v/>
      </c>
      <c r="BH407" s="6">
        <f>IF(OR(AJ407=0,AP407=0,NOT(ISNUMBER(AD407)),NOT(ISNUMBER(AF407)),NOT(ISNUMBER(AJ407)),NOT(ISNUMBER(AP407))),"",
IFERROR(IF((AD407-AF407)/(AJ407/60)/(AP407/1000)&lt;=0,"",(AD407-AF407)/(AJ407/60)/(AP407/1000)),""))</f>
        <v/>
      </c>
    </row>
    <row r="408" ht="15.75" customHeight="1">
      <c r="B408" t="n">
        <v>164</v>
      </c>
      <c r="D408" s="11" t="n">
        <v>45668</v>
      </c>
      <c r="E408" s="231" t="n">
        <v>164</v>
      </c>
      <c r="F408" s="3" t="n">
        <v>403</v>
      </c>
      <c r="G408" s="205">
        <f>IF(OR(S408="",S408=0),"",S408*2)</f>
        <v/>
      </c>
      <c r="M408" s="10">
        <f>IF(OR(E408="",G408="",E408=0,G408=0),"",E408/G408)</f>
        <v/>
      </c>
      <c r="N408" s="9">
        <f>IF(OR(E408="",I408="",E408=0,I408=0),"",E408/(I408*2))</f>
        <v/>
      </c>
      <c r="O408" s="8">
        <f>IF(OR(I408="",G408="",I408=0,G408=0),"",I408*2/G408)</f>
        <v/>
      </c>
      <c r="Z408" s="6" t="n">
        <v>0.2</v>
      </c>
      <c r="AD408" s="5" t="n">
        <v>80</v>
      </c>
      <c r="AF408" s="95" t="n">
        <v>21</v>
      </c>
      <c r="AI408" s="231" t="n">
        <v>6.9</v>
      </c>
      <c r="AJ408" s="261" t="n">
        <v>0.5086805555555556</v>
      </c>
      <c r="AM408" s="3">
        <f>180+60</f>
        <v/>
      </c>
      <c r="AP408" s="255">
        <f>360-AK408-AB408</f>
        <v/>
      </c>
      <c r="AR408" s="13">
        <f>AVERAGE(AO406:AO412)</f>
        <v/>
      </c>
      <c r="AT408" s="156">
        <f>(E408-W408)/E408</f>
        <v/>
      </c>
      <c r="AU408" s="155">
        <f>(I408-AF408)/I408</f>
        <v/>
      </c>
      <c r="AV408" s="155">
        <f>AG408/(AD408-AF408)</f>
        <v/>
      </c>
      <c r="AW408" s="155">
        <f>(G408-AM408)/G408</f>
        <v/>
      </c>
      <c r="AX408" s="254">
        <f>IF(AND(ISNUMBER(E408),ISNUMBER(W408)),E408-W408,"")</f>
        <v/>
      </c>
      <c r="AY408" s="254">
        <f>IF(AND(ISNUMBER(I408),ISNUMBER(AF408)),I408-AF408,"")</f>
        <v/>
      </c>
      <c r="AZ408" s="254">
        <f>IF(AND(ISNUMBER(AM408),ISNUMBER(G408)),G408-AM408,"")</f>
        <v/>
      </c>
      <c r="BA408" s="254">
        <f>IF(AND(ISNUMBER(AC408),ISNUMBER(AE408)),AC408-AE408,"")</f>
        <v/>
      </c>
      <c r="BB408" s="254">
        <f>IF(AND(ISNUMBER(AL408),ISNUMBER(AM408)),AL408-AM408,"")</f>
        <v/>
      </c>
      <c r="BC408" s="100">
        <f>IF(AND($E408&gt;0,$W408&gt;0),IF(($E408-$W408)/$E408&gt;0,($E408-$W408)/$E408,0),"")</f>
        <v/>
      </c>
      <c r="BD408" s="84">
        <f>IF(AND($I408&gt;0,$AF408&gt;=0),IF(($I408-$AF408)/$I408&gt;0,($I408-$AF408)/$I408,0),"")</f>
        <v/>
      </c>
      <c r="BE408" s="84">
        <f>IF(AND($AG408&gt;=0,$AD408&gt;=0,$AF408&gt;=0),IF($AG408/($AD408-$AF408)&gt;0,$AG408/($AD408-$AF408),0),"")</f>
        <v/>
      </c>
      <c r="BF408" s="84">
        <f>IF(AND($G408&gt;0,$AM408&gt;0),IF(($G408-$AM408)/$G408&gt;0,($G408-$AM408)/$G408,0),"")</f>
        <v/>
      </c>
      <c r="BG408" s="6">
        <f>IF((AD408-AF408)/(AJ408/60)&lt;=0,"",(AD408-AF408)/(AJ408/60))</f>
        <v/>
      </c>
      <c r="BH408" s="6">
        <f>IF(OR(AJ408=0,AP408=0,NOT(ISNUMBER(AD408)),NOT(ISNUMBER(AF408)),NOT(ISNUMBER(AJ408)),NOT(ISNUMBER(AP408))),"",
IFERROR(IF((AD408-AF408)/(AJ408/60)/(AP408/1000)&lt;=0,"",(AD408-AF408)/(AJ408/60)/(AP408/1000)),""))</f>
        <v/>
      </c>
    </row>
    <row r="409" ht="15.75" customHeight="1">
      <c r="B409" t="n">
        <v>165</v>
      </c>
      <c r="D409" s="11" t="n">
        <v>45669</v>
      </c>
      <c r="E409" s="231" t="n">
        <v>165</v>
      </c>
      <c r="F409" s="3" t="n">
        <v>404</v>
      </c>
      <c r="G409" s="205">
        <f>IF(OR(S409="",S409=0),"",S409*2)</f>
        <v/>
      </c>
      <c r="M409" s="10">
        <f>IF(OR(E409="",G409="",E409=0,G409=0),"",E409/G409)</f>
        <v/>
      </c>
      <c r="N409" s="9">
        <f>IF(OR(E409="",I409="",E409=0,I409=0),"",E409/(I409*2))</f>
        <v/>
      </c>
      <c r="O409" s="8">
        <f>IF(OR(I409="",G409="",I409=0,G409=0),"",I409*2/G409)</f>
        <v/>
      </c>
      <c r="Z409" s="6" t="n">
        <v>0.2</v>
      </c>
      <c r="AD409" s="5" t="n">
        <v>80</v>
      </c>
      <c r="AF409" s="95" t="n">
        <v>21</v>
      </c>
      <c r="AI409" s="231" t="n">
        <v>7.37</v>
      </c>
      <c r="AJ409" s="261" t="n">
        <v>0.4903935185185185</v>
      </c>
      <c r="AM409" s="3">
        <f>180+60</f>
        <v/>
      </c>
      <c r="AP409" s="255">
        <f>360-AK409-AB409</f>
        <v/>
      </c>
      <c r="AR409" s="13">
        <f>AVERAGE(AO407:AO413)</f>
        <v/>
      </c>
      <c r="AT409" s="156">
        <f>(E409-W409)/E409</f>
        <v/>
      </c>
      <c r="AU409" s="155">
        <f>(I409-AF409)/I409</f>
        <v/>
      </c>
      <c r="AV409" s="155">
        <f>AG409/(AD409-AF409)</f>
        <v/>
      </c>
      <c r="AW409" s="155">
        <f>(G409-AM409)/G409</f>
        <v/>
      </c>
      <c r="AX409" s="254">
        <f>IF(AND(ISNUMBER(E409),ISNUMBER(W409)),E409-W409,"")</f>
        <v/>
      </c>
      <c r="AY409" s="254">
        <f>IF(AND(ISNUMBER(I409),ISNUMBER(AF409)),I409-AF409,"")</f>
        <v/>
      </c>
      <c r="AZ409" s="254">
        <f>IF(AND(ISNUMBER(AM409),ISNUMBER(G409)),G409-AM409,"")</f>
        <v/>
      </c>
      <c r="BA409" s="254">
        <f>IF(AND(ISNUMBER(AC409),ISNUMBER(AE409)),AC409-AE409,"")</f>
        <v/>
      </c>
      <c r="BB409" s="254">
        <f>IF(AND(ISNUMBER(AL409),ISNUMBER(AM409)),AL409-AM409,"")</f>
        <v/>
      </c>
      <c r="BC409" s="100">
        <f>IF(AND($E409&gt;0,$W409&gt;0),IF(($E409-$W409)/$E409&gt;0,($E409-$W409)/$E409,0),"")</f>
        <v/>
      </c>
      <c r="BD409" s="84">
        <f>IF(AND($I409&gt;0,$AF409&gt;=0),IF(($I409-$AF409)/$I409&gt;0,($I409-$AF409)/$I409,0),"")</f>
        <v/>
      </c>
      <c r="BE409" s="84">
        <f>IF(AND($AG409&gt;=0,$AD409&gt;=0,$AF409&gt;=0),IF($AG409/($AD409-$AF409)&gt;0,$AG409/($AD409-$AF409),0),"")</f>
        <v/>
      </c>
      <c r="BF409" s="84">
        <f>IF(AND($G409&gt;0,$AM409&gt;0),IF(($G409-$AM409)/$G409&gt;0,($G409-$AM409)/$G409,0),"")</f>
        <v/>
      </c>
      <c r="BG409" s="6">
        <f>IF((AD409-AF409)/(AJ409/60)&lt;=0,"",(AD409-AF409)/(AJ409/60))</f>
        <v/>
      </c>
      <c r="BH409" s="6">
        <f>IF(OR(AJ409=0,AP409=0,NOT(ISNUMBER(AD409)),NOT(ISNUMBER(AF409)),NOT(ISNUMBER(AJ409)),NOT(ISNUMBER(AP409))),"",
IFERROR(IF((AD409-AF409)/(AJ409/60)/(AP409/1000)&lt;=0,"",(AD409-AF409)/(AJ409/60)/(AP409/1000)),""))</f>
        <v/>
      </c>
    </row>
    <row r="410" ht="15.75" customHeight="1">
      <c r="B410" t="n">
        <v>166</v>
      </c>
      <c r="D410" s="11" t="n">
        <v>45670</v>
      </c>
      <c r="E410" s="231" t="n">
        <v>166</v>
      </c>
      <c r="F410" s="3" t="n">
        <v>405</v>
      </c>
      <c r="G410" s="205">
        <f>IF(OR(S410="",S410=0),"",S410*2)</f>
        <v/>
      </c>
      <c r="M410" s="10">
        <f>IF(OR(E410="",G410="",E410=0,G410=0),"",E410/G410)</f>
        <v/>
      </c>
      <c r="N410" s="9">
        <f>IF(OR(E410="",I410="",E410=0,I410=0),"",E410/(I410*2))</f>
        <v/>
      </c>
      <c r="O410" s="8">
        <f>IF(OR(I410="",G410="",I410=0,G410=0),"",I410*2/G410)</f>
        <v/>
      </c>
      <c r="Z410" s="6" t="n">
        <v>0.67</v>
      </c>
      <c r="AD410" s="5" t="n">
        <v>80</v>
      </c>
      <c r="AF410" s="95" t="n">
        <v>21</v>
      </c>
      <c r="AI410" s="231" t="n">
        <v>8.49</v>
      </c>
      <c r="AJ410" s="261" t="n">
        <v>0.5032407407407408</v>
      </c>
      <c r="AM410" s="3">
        <f>180+60</f>
        <v/>
      </c>
      <c r="AP410" s="255">
        <f>360-AK410-AB410</f>
        <v/>
      </c>
      <c r="AR410" s="13">
        <f>AVERAGE(AO408:AO414)</f>
        <v/>
      </c>
      <c r="AT410" s="156">
        <f>(E410-W410)/E410</f>
        <v/>
      </c>
      <c r="AU410" s="155">
        <f>(I410-AF410)/I410</f>
        <v/>
      </c>
      <c r="AV410" s="155">
        <f>AG410/(AD410-AF410)</f>
        <v/>
      </c>
      <c r="AW410" s="155">
        <f>(G410-AM410)/G410</f>
        <v/>
      </c>
      <c r="AX410" s="254">
        <f>IF(AND(ISNUMBER(E410),ISNUMBER(W410)),E410-W410,"")</f>
        <v/>
      </c>
      <c r="AY410" s="254">
        <f>IF(AND(ISNUMBER(I410),ISNUMBER(AF410)),I410-AF410,"")</f>
        <v/>
      </c>
      <c r="AZ410" s="254">
        <f>IF(AND(ISNUMBER(AM410),ISNUMBER(G410)),G410-AM410,"")</f>
        <v/>
      </c>
      <c r="BA410" s="254">
        <f>IF(AND(ISNUMBER(AC410),ISNUMBER(AE410)),AC410-AE410,"")</f>
        <v/>
      </c>
      <c r="BB410" s="254">
        <f>IF(AND(ISNUMBER(AL410),ISNUMBER(AM410)),AL410-AM410,"")</f>
        <v/>
      </c>
      <c r="BC410" s="100">
        <f>IF(AND($E410&gt;0,$W410&gt;0),IF(($E410-$W410)/$E410&gt;0,($E410-$W410)/$E410,0),"")</f>
        <v/>
      </c>
      <c r="BD410" s="84">
        <f>IF(AND($I410&gt;0,$AF410&gt;=0),IF(($I410-$AF410)/$I410&gt;0,($I410-$AF410)/$I410,0),"")</f>
        <v/>
      </c>
      <c r="BE410" s="84">
        <f>IF(AND($AG410&gt;=0,$AD410&gt;=0,$AF410&gt;=0),IF($AG410/($AD410-$AF410)&gt;0,$AG410/($AD410-$AF410),0),"")</f>
        <v/>
      </c>
      <c r="BF410" s="84">
        <f>IF(AND($G410&gt;0,$AM410&gt;0),IF(($G410-$AM410)/$G410&gt;0,($G410-$AM410)/$G410,0),"")</f>
        <v/>
      </c>
      <c r="BG410" s="6">
        <f>IF((AD410-AF410)/(AJ410/60)&lt;=0,"",(AD410-AF410)/(AJ410/60))</f>
        <v/>
      </c>
      <c r="BH410" s="6">
        <f>IF(OR(AJ410=0,AP410=0,NOT(ISNUMBER(AD410)),NOT(ISNUMBER(AF410)),NOT(ISNUMBER(AJ410)),NOT(ISNUMBER(AP410))),"",
IFERROR(IF((AD410-AF410)/(AJ410/60)/(AP410/1000)&lt;=0,"",(AD410-AF410)/(AJ410/60)/(AP410/1000)),""))</f>
        <v/>
      </c>
    </row>
    <row r="411" ht="15.75" customHeight="1">
      <c r="B411" t="n">
        <v>167</v>
      </c>
      <c r="D411" s="11" t="n">
        <v>45671</v>
      </c>
      <c r="E411" s="231" t="n">
        <v>167</v>
      </c>
      <c r="F411" s="3" t="n">
        <v>406</v>
      </c>
      <c r="G411" s="205">
        <f>IF(OR(S411="",S411=0),"",S411*2)</f>
        <v/>
      </c>
      <c r="M411" s="10">
        <f>IF(OR(E411="",G411="",E411=0,G411=0),"",E411/G411)</f>
        <v/>
      </c>
      <c r="N411" s="9">
        <f>IF(OR(E411="",I411="",E411=0,I411=0),"",E411/(I411*2))</f>
        <v/>
      </c>
      <c r="O411" s="8">
        <f>IF(OR(I411="",G411="",I411=0,G411=0),"",I411*2/G411)</f>
        <v/>
      </c>
      <c r="Z411" s="6" t="n">
        <v>0.19</v>
      </c>
      <c r="AD411" s="5" t="n">
        <v>80</v>
      </c>
      <c r="AF411" s="95" t="n">
        <v>21</v>
      </c>
      <c r="AI411" s="231" t="n">
        <v>8.630000000000001</v>
      </c>
      <c r="AJ411" s="261" t="n">
        <v>0.5024305555555556</v>
      </c>
      <c r="AM411" s="3">
        <f>180+60</f>
        <v/>
      </c>
      <c r="AP411" s="255">
        <f>360-AK411-AB411</f>
        <v/>
      </c>
      <c r="AR411" s="13">
        <f>AVERAGE(AO409:AO415)</f>
        <v/>
      </c>
      <c r="AT411" s="156">
        <f>(E411-W411)/E411</f>
        <v/>
      </c>
      <c r="AU411" s="155">
        <f>(I411-AF411)/I411</f>
        <v/>
      </c>
      <c r="AV411" s="155">
        <f>AG411/(AD411-AF411)</f>
        <v/>
      </c>
      <c r="AW411" s="155">
        <f>(G411-AM411)/G411</f>
        <v/>
      </c>
      <c r="AX411" s="254">
        <f>IF(AND(ISNUMBER(E411),ISNUMBER(W411)),E411-W411,"")</f>
        <v/>
      </c>
      <c r="AY411" s="254">
        <f>IF(AND(ISNUMBER(I411),ISNUMBER(AF411)),I411-AF411,"")</f>
        <v/>
      </c>
      <c r="AZ411" s="254">
        <f>IF(AND(ISNUMBER(AM411),ISNUMBER(G411)),G411-AM411,"")</f>
        <v/>
      </c>
      <c r="BA411" s="254">
        <f>IF(AND(ISNUMBER(AC411),ISNUMBER(AE411)),AC411-AE411,"")</f>
        <v/>
      </c>
      <c r="BB411" s="254">
        <f>IF(AND(ISNUMBER(AL411),ISNUMBER(AM411)),AL411-AM411,"")</f>
        <v/>
      </c>
      <c r="BC411" s="100">
        <f>IF(AND($E411&gt;0,$W411&gt;0),IF(($E411-$W411)/$E411&gt;0,($E411-$W411)/$E411,0),"")</f>
        <v/>
      </c>
      <c r="BD411" s="84">
        <f>IF(AND($I411&gt;0,$AF411&gt;=0),IF(($I411-$AF411)/$I411&gt;0,($I411-$AF411)/$I411,0),"")</f>
        <v/>
      </c>
      <c r="BE411" s="84">
        <f>IF(AND($AG411&gt;=0,$AD411&gt;=0,$AF411&gt;=0),IF($AG411/($AD411-$AF411)&gt;0,$AG411/($AD411-$AF411),0),"")</f>
        <v/>
      </c>
      <c r="BF411" s="84">
        <f>IF(AND($G411&gt;0,$AM411&gt;0),IF(($G411-$AM411)/$G411&gt;0,($G411-$AM411)/$G411,0),"")</f>
        <v/>
      </c>
      <c r="BG411" s="6">
        <f>IF((AD411-AF411)/(AJ411/60)&lt;=0,"",(AD411-AF411)/(AJ411/60))</f>
        <v/>
      </c>
      <c r="BH411" s="6">
        <f>IF(OR(AJ411=0,AP411=0,NOT(ISNUMBER(AD411)),NOT(ISNUMBER(AF411)),NOT(ISNUMBER(AJ411)),NOT(ISNUMBER(AP411))),"",
IFERROR(IF((AD411-AF411)/(AJ411/60)/(AP411/1000)&lt;=0,"",(AD411-AF411)/(AJ411/60)/(AP411/1000)),""))</f>
        <v/>
      </c>
    </row>
    <row r="412" ht="15.75" customHeight="1">
      <c r="B412" t="n">
        <v>168</v>
      </c>
      <c r="D412" s="11" t="n">
        <v>45672</v>
      </c>
      <c r="E412" s="231" t="n">
        <v>168</v>
      </c>
      <c r="F412" s="3" t="n">
        <v>407</v>
      </c>
      <c r="G412" s="205">
        <f>IF(OR(S412="",S412=0),"",S412*2)</f>
        <v/>
      </c>
      <c r="M412" s="10">
        <f>IF(OR(E412="",G412="",E412=0,G412=0),"",E412/G412)</f>
        <v/>
      </c>
      <c r="N412" s="9">
        <f>IF(OR(E412="",I412="",E412=0,I412=0),"",E412/(I412*2))</f>
        <v/>
      </c>
      <c r="O412" s="8">
        <f>IF(OR(I412="",G412="",I412=0,G412=0),"",I412*2/G412)</f>
        <v/>
      </c>
      <c r="Z412" s="6" t="n">
        <v>0.68</v>
      </c>
      <c r="AD412" s="5" t="n">
        <v>80</v>
      </c>
      <c r="AF412" s="95" t="n">
        <v>21</v>
      </c>
      <c r="AI412" s="231" t="n">
        <v>7.93</v>
      </c>
      <c r="AJ412" s="261" t="n">
        <v>0.4856481481481482</v>
      </c>
      <c r="AM412" s="3">
        <f>180+60</f>
        <v/>
      </c>
      <c r="AP412" s="255">
        <f>360-AK412-AB412</f>
        <v/>
      </c>
      <c r="AR412" s="13">
        <f>AVERAGE(AO410:AO416)</f>
        <v/>
      </c>
      <c r="AT412" s="156">
        <f>(E412-W412)/E412</f>
        <v/>
      </c>
      <c r="AU412" s="155">
        <f>(I412-AF412)/I412</f>
        <v/>
      </c>
      <c r="AV412" s="155">
        <f>AG412/(AD412-AF412)</f>
        <v/>
      </c>
      <c r="AW412" s="155">
        <f>(G412-AM412)/G412</f>
        <v/>
      </c>
      <c r="AX412" s="254">
        <f>IF(AND(ISNUMBER(E412),ISNUMBER(W412)),E412-W412,"")</f>
        <v/>
      </c>
      <c r="AY412" s="254">
        <f>IF(AND(ISNUMBER(I412),ISNUMBER(AF412)),I412-AF412,"")</f>
        <v/>
      </c>
      <c r="AZ412" s="254">
        <f>IF(AND(ISNUMBER(AM412),ISNUMBER(G412)),G412-AM412,"")</f>
        <v/>
      </c>
      <c r="BA412" s="254">
        <f>IF(AND(ISNUMBER(AC412),ISNUMBER(AE412)),AC412-AE412,"")</f>
        <v/>
      </c>
      <c r="BB412" s="254">
        <f>IF(AND(ISNUMBER(AL412),ISNUMBER(AM412)),AL412-AM412,"")</f>
        <v/>
      </c>
      <c r="BC412" s="100">
        <f>IF(AND($E412&gt;0,$W412&gt;0),IF(($E412-$W412)/$E412&gt;0,($E412-$W412)/$E412,0),"")</f>
        <v/>
      </c>
      <c r="BD412" s="84">
        <f>IF(AND($I412&gt;0,$AF412&gt;=0),IF(($I412-$AF412)/$I412&gt;0,($I412-$AF412)/$I412,0),"")</f>
        <v/>
      </c>
      <c r="BE412" s="84">
        <f>IF(AND($AG412&gt;=0,$AD412&gt;=0,$AF412&gt;=0),IF($AG412/($AD412-$AF412)&gt;0,$AG412/($AD412-$AF412),0),"")</f>
        <v/>
      </c>
      <c r="BF412" s="84">
        <f>IF(AND($G412&gt;0,$AM412&gt;0),IF(($G412-$AM412)/$G412&gt;0,($G412-$AM412)/$G412,0),"")</f>
        <v/>
      </c>
      <c r="BG412" s="6">
        <f>IF((AD412-AF412)/(AJ412/60)&lt;=0,"",(AD412-AF412)/(AJ412/60))</f>
        <v/>
      </c>
      <c r="BH412" s="6">
        <f>IF(OR(AJ412=0,AP412=0,NOT(ISNUMBER(AD412)),NOT(ISNUMBER(AF412)),NOT(ISNUMBER(AJ412)),NOT(ISNUMBER(AP412))),"",
IFERROR(IF((AD412-AF412)/(AJ412/60)/(AP412/1000)&lt;=0,"",(AD412-AF412)/(AJ412/60)/(AP412/1000)),""))</f>
        <v/>
      </c>
    </row>
    <row r="413" ht="15.75" customHeight="1">
      <c r="B413" t="n">
        <v>169</v>
      </c>
      <c r="D413" s="11" t="n">
        <v>45673</v>
      </c>
      <c r="E413" s="231" t="n">
        <v>169</v>
      </c>
      <c r="F413" s="3" t="n">
        <v>408</v>
      </c>
      <c r="G413" s="205">
        <f>IF(OR(S413="",S413=0),"",S413*2)</f>
        <v/>
      </c>
      <c r="M413" s="10">
        <f>IF(OR(E413="",G413="",E413=0,G413=0),"",E413/G413)</f>
        <v/>
      </c>
      <c r="N413" s="9">
        <f>IF(OR(E413="",I413="",E413=0,I413=0),"",E413/(I413*2))</f>
        <v/>
      </c>
      <c r="O413" s="8">
        <f>IF(OR(I413="",G413="",I413=0,G413=0),"",I413*2/G413)</f>
        <v/>
      </c>
      <c r="Z413" s="6" t="n">
        <v>0.19</v>
      </c>
      <c r="AD413" s="5" t="n">
        <v>80</v>
      </c>
      <c r="AF413" s="95" t="n">
        <v>21</v>
      </c>
      <c r="AI413" s="231" t="n">
        <v>6.36</v>
      </c>
      <c r="AJ413" s="261" t="n">
        <v>0.5105324074074075</v>
      </c>
      <c r="AM413" s="3">
        <f>180+60</f>
        <v/>
      </c>
      <c r="AP413" s="255">
        <f>360-AK413-AB413</f>
        <v/>
      </c>
      <c r="AR413" s="13">
        <f>AVERAGE(AO411:AO417)</f>
        <v/>
      </c>
      <c r="AT413" s="156">
        <f>(E413-W413)/E413</f>
        <v/>
      </c>
      <c r="AU413" s="155">
        <f>(I413-AF413)/I413</f>
        <v/>
      </c>
      <c r="AV413" s="155">
        <f>AG413/(AD413-AF413)</f>
        <v/>
      </c>
      <c r="AW413" s="155">
        <f>(G413-AM413)/G413</f>
        <v/>
      </c>
      <c r="AX413" s="254">
        <f>IF(AND(ISNUMBER(E413),ISNUMBER(W413)),E413-W413,"")</f>
        <v/>
      </c>
      <c r="AY413" s="254">
        <f>IF(AND(ISNUMBER(I413),ISNUMBER(AF413)),I413-AF413,"")</f>
        <v/>
      </c>
      <c r="AZ413" s="254">
        <f>IF(AND(ISNUMBER(AM413),ISNUMBER(G413)),G413-AM413,"")</f>
        <v/>
      </c>
      <c r="BA413" s="254">
        <f>IF(AND(ISNUMBER(AC413),ISNUMBER(AE413)),AC413-AE413,"")</f>
        <v/>
      </c>
      <c r="BB413" s="254">
        <f>IF(AND(ISNUMBER(AL413),ISNUMBER(AM413)),AL413-AM413,"")</f>
        <v/>
      </c>
      <c r="BC413" s="100">
        <f>IF(AND($E413&gt;0,$W413&gt;0),IF(($E413-$W413)/$E413&gt;0,($E413-$W413)/$E413,0),"")</f>
        <v/>
      </c>
      <c r="BD413" s="84">
        <f>IF(AND($I413&gt;0,$AF413&gt;=0),IF(($I413-$AF413)/$I413&gt;0,($I413-$AF413)/$I413,0),"")</f>
        <v/>
      </c>
      <c r="BE413" s="84">
        <f>IF(AND($AG413&gt;=0,$AD413&gt;=0,$AF413&gt;=0),IF($AG413/($AD413-$AF413)&gt;0,$AG413/($AD413-$AF413),0),"")</f>
        <v/>
      </c>
      <c r="BF413" s="84">
        <f>IF(AND($G413&gt;0,$AM413&gt;0),IF(($G413-$AM413)/$G413&gt;0,($G413-$AM413)/$G413,0),"")</f>
        <v/>
      </c>
      <c r="BG413" s="6">
        <f>IF((AD413-AF413)/(AJ413/60)&lt;=0,"",(AD413-AF413)/(AJ413/60))</f>
        <v/>
      </c>
      <c r="BH413" s="6">
        <f>IF(OR(AJ413=0,AP413=0,NOT(ISNUMBER(AD413)),NOT(ISNUMBER(AF413)),NOT(ISNUMBER(AJ413)),NOT(ISNUMBER(AP413))),"",
IFERROR(IF((AD413-AF413)/(AJ413/60)/(AP413/1000)&lt;=0,"",(AD413-AF413)/(AJ413/60)/(AP413/1000)),""))</f>
        <v/>
      </c>
    </row>
    <row r="414" ht="15.75" customHeight="1">
      <c r="B414" t="n">
        <v>170</v>
      </c>
      <c r="D414" s="11" t="n">
        <v>45674</v>
      </c>
      <c r="E414" s="231" t="n">
        <v>170</v>
      </c>
      <c r="F414" s="3" t="n">
        <v>409</v>
      </c>
      <c r="G414" s="205">
        <f>IF(OR(S414="",S414=0),"",S414*2)</f>
        <v/>
      </c>
      <c r="M414" s="10">
        <f>IF(OR(E414="",G414="",E414=0,G414=0),"",E414/G414)</f>
        <v/>
      </c>
      <c r="N414" s="9">
        <f>IF(OR(E414="",I414="",E414=0,I414=0),"",E414/(I414*2))</f>
        <v/>
      </c>
      <c r="O414" s="8">
        <f>IF(OR(I414="",G414="",I414=0,G414=0),"",I414*2/G414)</f>
        <v/>
      </c>
      <c r="Z414" s="6" t="n">
        <v>1.02</v>
      </c>
      <c r="AD414" s="5" t="n">
        <v>80</v>
      </c>
      <c r="AF414" s="95" t="n">
        <v>21</v>
      </c>
      <c r="AI414" s="231" t="n">
        <v>5.25</v>
      </c>
      <c r="AJ414" s="261" t="n">
        <v>0.5149305555555556</v>
      </c>
      <c r="AM414" s="3">
        <f>180+60</f>
        <v/>
      </c>
      <c r="AP414" s="255">
        <f>360-AK414-AB414</f>
        <v/>
      </c>
      <c r="AR414" s="13">
        <f>AVERAGE(AO412:AO418)</f>
        <v/>
      </c>
      <c r="AT414" s="156">
        <f>(E414-W414)/E414</f>
        <v/>
      </c>
      <c r="AU414" s="155">
        <f>(I414-AF414)/I414</f>
        <v/>
      </c>
      <c r="AV414" s="155">
        <f>AG414/(AD414-AF414)</f>
        <v/>
      </c>
      <c r="AW414" s="155">
        <f>(G414-AM414)/G414</f>
        <v/>
      </c>
      <c r="AX414" s="254">
        <f>IF(AND(ISNUMBER(E414),ISNUMBER(W414)),E414-W414,"")</f>
        <v/>
      </c>
      <c r="AY414" s="254">
        <f>IF(AND(ISNUMBER(I414),ISNUMBER(AF414)),I414-AF414,"")</f>
        <v/>
      </c>
      <c r="AZ414" s="254">
        <f>IF(AND(ISNUMBER(AM414),ISNUMBER(G414)),G414-AM414,"")</f>
        <v/>
      </c>
      <c r="BA414" s="254">
        <f>IF(AND(ISNUMBER(AC414),ISNUMBER(AE414)),AC414-AE414,"")</f>
        <v/>
      </c>
      <c r="BB414" s="254">
        <f>IF(AND(ISNUMBER(AL414),ISNUMBER(AM414)),AL414-AM414,"")</f>
        <v/>
      </c>
      <c r="BC414" s="100">
        <f>IF(AND($E414&gt;0,$W414&gt;0),IF(($E414-$W414)/$E414&gt;0,($E414-$W414)/$E414,0),"")</f>
        <v/>
      </c>
      <c r="BD414" s="84">
        <f>IF(AND($I414&gt;0,$AF414&gt;=0),IF(($I414-$AF414)/$I414&gt;0,($I414-$AF414)/$I414,0),"")</f>
        <v/>
      </c>
      <c r="BE414" s="84">
        <f>IF(AND($AG414&gt;=0,$AD414&gt;=0,$AF414&gt;=0),IF($AG414/($AD414-$AF414)&gt;0,$AG414/($AD414-$AF414),0),"")</f>
        <v/>
      </c>
      <c r="BF414" s="84">
        <f>IF(AND($G414&gt;0,$AM414&gt;0),IF(($G414-$AM414)/$G414&gt;0,($G414-$AM414)/$G414,0),"")</f>
        <v/>
      </c>
      <c r="BG414" s="6">
        <f>IF((AD414-AF414)/(AJ414/60)&lt;=0,"",(AD414-AF414)/(AJ414/60))</f>
        <v/>
      </c>
      <c r="BH414" s="6">
        <f>IF(OR(AJ414=0,AP414=0,NOT(ISNUMBER(AD414)),NOT(ISNUMBER(AF414)),NOT(ISNUMBER(AJ414)),NOT(ISNUMBER(AP414))),"",
IFERROR(IF((AD414-AF414)/(AJ414/60)/(AP414/1000)&lt;=0,"",(AD414-AF414)/(AJ414/60)/(AP414/1000)),""))</f>
        <v/>
      </c>
    </row>
    <row r="415" ht="15.75" customHeight="1">
      <c r="B415" t="n">
        <v>171</v>
      </c>
      <c r="D415" s="11" t="n">
        <v>45675</v>
      </c>
      <c r="E415" s="231" t="n">
        <v>171</v>
      </c>
      <c r="F415" s="3" t="n">
        <v>410</v>
      </c>
      <c r="G415" s="205">
        <f>IF(OR(S415="",S415=0),"",S415*2)</f>
        <v/>
      </c>
      <c r="M415" s="10">
        <f>IF(OR(E415="",G415="",E415=0,G415=0),"",E415/G415)</f>
        <v/>
      </c>
      <c r="N415" s="9">
        <f>IF(OR(E415="",I415="",E415=0,I415=0),"",E415/(I415*2))</f>
        <v/>
      </c>
      <c r="O415" s="8">
        <f>IF(OR(I415="",G415="",I415=0,G415=0),"",I415*2/G415)</f>
        <v/>
      </c>
      <c r="Z415" s="6" t="n">
        <v>0.2</v>
      </c>
      <c r="AD415" s="5" t="n">
        <v>80</v>
      </c>
      <c r="AF415" s="95" t="n">
        <v>21</v>
      </c>
      <c r="AI415" s="231" t="n">
        <v>5.69</v>
      </c>
      <c r="AJ415" s="261" t="n">
        <v>0.5202546296296297</v>
      </c>
      <c r="AM415" s="3">
        <f>180+60</f>
        <v/>
      </c>
      <c r="AP415" s="255">
        <f>360-AK415-AB415</f>
        <v/>
      </c>
      <c r="AR415" s="13">
        <f>AVERAGE(AO413:AO419)</f>
        <v/>
      </c>
      <c r="AT415" s="156">
        <f>(E415-W415)/E415</f>
        <v/>
      </c>
      <c r="AU415" s="155">
        <f>(I415-AF415)/I415</f>
        <v/>
      </c>
      <c r="AV415" s="155">
        <f>AG415/(AD415-AF415)</f>
        <v/>
      </c>
      <c r="AW415" s="155">
        <f>(G415-AM415)/G415</f>
        <v/>
      </c>
      <c r="AX415" s="254">
        <f>IF(AND(ISNUMBER(E415),ISNUMBER(W415)),E415-W415,"")</f>
        <v/>
      </c>
      <c r="AY415" s="254">
        <f>IF(AND(ISNUMBER(I415),ISNUMBER(AF415)),I415-AF415,"")</f>
        <v/>
      </c>
      <c r="AZ415" s="254">
        <f>IF(AND(ISNUMBER(AM415),ISNUMBER(G415)),G415-AM415,"")</f>
        <v/>
      </c>
      <c r="BA415" s="254">
        <f>IF(AND(ISNUMBER(AC415),ISNUMBER(AE415)),AC415-AE415,"")</f>
        <v/>
      </c>
      <c r="BB415" s="254">
        <f>IF(AND(ISNUMBER(AL415),ISNUMBER(AM415)),AL415-AM415,"")</f>
        <v/>
      </c>
      <c r="BC415" s="100">
        <f>IF(AND($E415&gt;0,$W415&gt;0),IF(($E415-$W415)/$E415&gt;0,($E415-$W415)/$E415,0),"")</f>
        <v/>
      </c>
      <c r="BD415" s="84">
        <f>IF(AND($I415&gt;0,$AF415&gt;=0),IF(($I415-$AF415)/$I415&gt;0,($I415-$AF415)/$I415,0),"")</f>
        <v/>
      </c>
      <c r="BE415" s="84">
        <f>IF(AND($AG415&gt;=0,$AD415&gt;=0,$AF415&gt;=0),IF($AG415/($AD415-$AF415)&gt;0,$AG415/($AD415-$AF415),0),"")</f>
        <v/>
      </c>
      <c r="BF415" s="84">
        <f>IF(AND($G415&gt;0,$AM415&gt;0),IF(($G415-$AM415)/$G415&gt;0,($G415-$AM415)/$G415,0),"")</f>
        <v/>
      </c>
      <c r="BG415" s="6">
        <f>IF((AD415-AF415)/(AJ415/60)&lt;=0,"",(AD415-AF415)/(AJ415/60))</f>
        <v/>
      </c>
      <c r="BH415" s="6">
        <f>IF(OR(AJ415=0,AP415=0,NOT(ISNUMBER(AD415)),NOT(ISNUMBER(AF415)),NOT(ISNUMBER(AJ415)),NOT(ISNUMBER(AP415))),"",
IFERROR(IF((AD415-AF415)/(AJ415/60)/(AP415/1000)&lt;=0,"",(AD415-AF415)/(AJ415/60)/(AP415/1000)),""))</f>
        <v/>
      </c>
    </row>
    <row r="416" ht="15.75" customHeight="1">
      <c r="A416" s="260" t="inlineStr">
        <is>
          <t>B55</t>
        </is>
      </c>
      <c r="B416" s="260" t="n">
        <v>172</v>
      </c>
      <c r="D416" s="11" t="n">
        <v>45676</v>
      </c>
      <c r="E416" s="231" t="n">
        <v>172</v>
      </c>
      <c r="F416" s="3" t="n">
        <v>411</v>
      </c>
      <c r="G416" s="205">
        <f>IF(OR(S416="",S416=0),"",S416*2)</f>
        <v/>
      </c>
      <c r="M416" s="10">
        <f>IF(OR(E416="",G416="",E416=0,G416=0),"",E416/G416)</f>
        <v/>
      </c>
      <c r="N416" s="9">
        <f>IF(OR(E416="",I416="",E416=0,I416=0),"",E416/(I416*2))</f>
        <v/>
      </c>
      <c r="O416" s="8">
        <f>IF(OR(I416="",G416="",I416=0,G416=0),"",I416*2/G416)</f>
        <v/>
      </c>
      <c r="Z416" s="6" t="n">
        <v>0.2</v>
      </c>
      <c r="AD416" s="5" t="n">
        <v>80</v>
      </c>
      <c r="AF416" s="95" t="n">
        <v>21</v>
      </c>
      <c r="AI416" s="231" t="n">
        <v>4.29</v>
      </c>
      <c r="AJ416" s="261" t="n">
        <v>0.5201388888888889</v>
      </c>
      <c r="AM416" s="3">
        <f>180+60</f>
        <v/>
      </c>
      <c r="AP416" s="255">
        <f>360-AK416-AB416</f>
        <v/>
      </c>
      <c r="AR416" s="13">
        <f>AVERAGE(AO414:AO420)</f>
        <v/>
      </c>
      <c r="AT416" s="156">
        <f>(E416-W416)/E416</f>
        <v/>
      </c>
      <c r="AU416" s="155">
        <f>(I416-AF416)/I416</f>
        <v/>
      </c>
      <c r="AV416" s="155">
        <f>AG416/(AD416-AF416)</f>
        <v/>
      </c>
      <c r="AW416" s="155">
        <f>(G416-AM416)/G416</f>
        <v/>
      </c>
      <c r="AX416" s="254">
        <f>IF(AND(ISNUMBER(E416),ISNUMBER(W416)),E416-W416,"")</f>
        <v/>
      </c>
      <c r="AY416" s="254">
        <f>IF(AND(ISNUMBER(I416),ISNUMBER(AF416)),I416-AF416,"")</f>
        <v/>
      </c>
      <c r="AZ416" s="254">
        <f>IF(AND(ISNUMBER(AM416),ISNUMBER(G416)),G416-AM416,"")</f>
        <v/>
      </c>
      <c r="BA416" s="254">
        <f>IF(AND(ISNUMBER(AC416),ISNUMBER(AE416)),AC416-AE416,"")</f>
        <v/>
      </c>
      <c r="BB416" s="254">
        <f>IF(AND(ISNUMBER(AL416),ISNUMBER(AM416)),AL416-AM416,"")</f>
        <v/>
      </c>
      <c r="BC416" s="100">
        <f>IF(AND($E416&gt;0,$W416&gt;0),IF(($E416-$W416)/$E416&gt;0,($E416-$W416)/$E416,0),"")</f>
        <v/>
      </c>
      <c r="BD416" s="84">
        <f>IF(AND($I416&gt;0,$AF416&gt;=0),IF(($I416-$AF416)/$I416&gt;0,($I416-$AF416)/$I416,0),"")</f>
        <v/>
      </c>
      <c r="BE416" s="84">
        <f>IF(AND($AG416&gt;=0,$AD416&gt;=0,$AF416&gt;=0),IF($AG416/($AD416-$AF416)&gt;0,$AG416/($AD416-$AF416),0),"")</f>
        <v/>
      </c>
      <c r="BF416" s="84">
        <f>IF(AND($G416&gt;0,$AM416&gt;0),IF(($G416-$AM416)/$G416&gt;0,($G416-$AM416)/$G416,0),"")</f>
        <v/>
      </c>
      <c r="BG416" s="6">
        <f>IF((AD416-AF416)/(AJ416/60)&lt;=0,"",(AD416-AF416)/(AJ416/60))</f>
        <v/>
      </c>
      <c r="BH416" s="6">
        <f>IF(OR(AJ416=0,AP416=0,NOT(ISNUMBER(AD416)),NOT(ISNUMBER(AF416)),NOT(ISNUMBER(AJ416)),NOT(ISNUMBER(AP416))),"",
IFERROR(IF((AD416-AF416)/(AJ416/60)/(AP416/1000)&lt;=0,"",(AD416-AF416)/(AJ416/60)/(AP416/1000)),""))</f>
        <v/>
      </c>
    </row>
    <row r="417" ht="15.75" customHeight="1">
      <c r="B417" t="n">
        <v>173</v>
      </c>
      <c r="D417" s="11" t="n">
        <v>45677</v>
      </c>
      <c r="E417" s="231" t="n">
        <v>173</v>
      </c>
      <c r="F417" s="3" t="n">
        <v>412</v>
      </c>
      <c r="G417" s="205">
        <f>IF(OR(S417="",S417=0),"",S417*2)</f>
        <v/>
      </c>
      <c r="M417" s="10">
        <f>IF(OR(E417="",G417="",E417=0,G417=0),"",E417/G417)</f>
        <v/>
      </c>
      <c r="N417" s="9">
        <f>IF(OR(E417="",I417="",E417=0,I417=0),"",E417/(I417*2))</f>
        <v/>
      </c>
      <c r="O417" s="8">
        <f>IF(OR(I417="",G417="",I417=0,G417=0),"",I417*2/G417)</f>
        <v/>
      </c>
      <c r="Z417" s="6" t="n">
        <v>0.2</v>
      </c>
      <c r="AD417" s="5" t="n">
        <v>80</v>
      </c>
      <c r="AF417" s="95" t="n">
        <v>21</v>
      </c>
      <c r="AI417" s="231" t="n">
        <v>6.61</v>
      </c>
      <c r="AJ417" s="261" t="n">
        <v>0.4637731481481481</v>
      </c>
      <c r="AM417" s="3">
        <f>180+60</f>
        <v/>
      </c>
      <c r="AP417" s="255">
        <f>360-AK417-AB417</f>
        <v/>
      </c>
      <c r="AR417" s="13">
        <f>AVERAGE(AO415:AO421)</f>
        <v/>
      </c>
      <c r="AT417" s="156">
        <f>(E417-W417)/E417</f>
        <v/>
      </c>
      <c r="AU417" s="155">
        <f>(I417-AF417)/I417</f>
        <v/>
      </c>
      <c r="AV417" s="155">
        <f>AG417/(AD417-AF417)</f>
        <v/>
      </c>
      <c r="AW417" s="155">
        <f>(G417-AM417)/G417</f>
        <v/>
      </c>
      <c r="AX417" s="254">
        <f>IF(AND(ISNUMBER(E417),ISNUMBER(W417)),E417-W417,"")</f>
        <v/>
      </c>
      <c r="AY417" s="254">
        <f>IF(AND(ISNUMBER(I417),ISNUMBER(AF417)),I417-AF417,"")</f>
        <v/>
      </c>
      <c r="AZ417" s="254">
        <f>IF(AND(ISNUMBER(AM417),ISNUMBER(G417)),G417-AM417,"")</f>
        <v/>
      </c>
      <c r="BA417" s="254">
        <f>IF(AND(ISNUMBER(AC417),ISNUMBER(AE417)),AC417-AE417,"")</f>
        <v/>
      </c>
      <c r="BB417" s="254">
        <f>IF(AND(ISNUMBER(AL417),ISNUMBER(AM417)),AL417-AM417,"")</f>
        <v/>
      </c>
      <c r="BC417" s="100">
        <f>IF(AND($E417&gt;0,$W417&gt;0),IF(($E417-$W417)/$E417&gt;0,($E417-$W417)/$E417,0),"")</f>
        <v/>
      </c>
      <c r="BD417" s="84">
        <f>IF(AND($I417&gt;0,$AF417&gt;=0),IF(($I417-$AF417)/$I417&gt;0,($I417-$AF417)/$I417,0),"")</f>
        <v/>
      </c>
      <c r="BE417" s="84">
        <f>IF(AND($AG417&gt;=0,$AD417&gt;=0,$AF417&gt;=0),IF($AG417/($AD417-$AF417)&gt;0,$AG417/($AD417-$AF417),0),"")</f>
        <v/>
      </c>
      <c r="BF417" s="84">
        <f>IF(AND($G417&gt;0,$AM417&gt;0),IF(($G417-$AM417)/$G417&gt;0,($G417-$AM417)/$G417,0),"")</f>
        <v/>
      </c>
      <c r="BG417" s="6">
        <f>IF((AD417-AF417)/(AJ417/60)&lt;=0,"",(AD417-AF417)/(AJ417/60))</f>
        <v/>
      </c>
      <c r="BH417" s="6">
        <f>IF(OR(AJ417=0,AP417=0,NOT(ISNUMBER(AD417)),NOT(ISNUMBER(AF417)),NOT(ISNUMBER(AJ417)),NOT(ISNUMBER(AP417))),"",
IFERROR(IF((AD417-AF417)/(AJ417/60)/(AP417/1000)&lt;=0,"",(AD417-AF417)/(AJ417/60)/(AP417/1000)),""))</f>
        <v/>
      </c>
    </row>
    <row r="418" ht="15.75" customHeight="1">
      <c r="B418" t="n">
        <v>174</v>
      </c>
      <c r="D418" s="11" t="n">
        <v>45678</v>
      </c>
      <c r="E418" s="231" t="n">
        <v>174</v>
      </c>
      <c r="F418" s="3" t="n">
        <v>413</v>
      </c>
      <c r="G418" s="205">
        <f>IF(OR(S418="",S418=0),"",S418*2)</f>
        <v/>
      </c>
      <c r="M418" s="10">
        <f>IF(OR(E418="",G418="",E418=0,G418=0),"",E418/G418)</f>
        <v/>
      </c>
      <c r="N418" s="9">
        <f>IF(OR(E418="",I418="",E418=0,I418=0),"",E418/(I418*2))</f>
        <v/>
      </c>
      <c r="O418" s="8">
        <f>IF(OR(I418="",G418="",I418=0,G418=0),"",I418*2/G418)</f>
        <v/>
      </c>
      <c r="Z418" s="6" t="n">
        <v>0.21</v>
      </c>
      <c r="AD418" s="5" t="n">
        <v>80</v>
      </c>
      <c r="AF418" s="95" t="n">
        <v>21</v>
      </c>
      <c r="AI418" s="231" t="n">
        <v>2.93</v>
      </c>
      <c r="AJ418" s="261" t="n">
        <v>0.5185185185185185</v>
      </c>
      <c r="AM418" s="3">
        <f>180+60</f>
        <v/>
      </c>
      <c r="AP418" s="255">
        <f>360-AK418-AB418</f>
        <v/>
      </c>
      <c r="AR418" s="13">
        <f>AVERAGE(AO416:AO422)</f>
        <v/>
      </c>
      <c r="AT418" s="156">
        <f>(E418-W418)/E418</f>
        <v/>
      </c>
      <c r="AU418" s="155">
        <f>(I418-AF418)/I418</f>
        <v/>
      </c>
      <c r="AV418" s="155">
        <f>AG418/(AD418-AF418)</f>
        <v/>
      </c>
      <c r="AW418" s="155">
        <f>(G418-AM418)/G418</f>
        <v/>
      </c>
      <c r="AX418" s="254">
        <f>IF(AND(ISNUMBER(E418),ISNUMBER(W418)),E418-W418,"")</f>
        <v/>
      </c>
      <c r="AY418" s="254">
        <f>IF(AND(ISNUMBER(I418),ISNUMBER(AF418)),I418-AF418,"")</f>
        <v/>
      </c>
      <c r="AZ418" s="254">
        <f>IF(AND(ISNUMBER(AM418),ISNUMBER(G418)),G418-AM418,"")</f>
        <v/>
      </c>
      <c r="BA418" s="254">
        <f>IF(AND(ISNUMBER(AC418),ISNUMBER(AE418)),AC418-AE418,"")</f>
        <v/>
      </c>
      <c r="BB418" s="254">
        <f>IF(AND(ISNUMBER(AL418),ISNUMBER(AM418)),AL418-AM418,"")</f>
        <v/>
      </c>
      <c r="BC418" s="100">
        <f>IF(AND($E418&gt;0,$W418&gt;0),IF(($E418-$W418)/$E418&gt;0,($E418-$W418)/$E418,0),"")</f>
        <v/>
      </c>
      <c r="BD418" s="84">
        <f>IF(AND($I418&gt;0,$AF418&gt;=0),IF(($I418-$AF418)/$I418&gt;0,($I418-$AF418)/$I418,0),"")</f>
        <v/>
      </c>
      <c r="BE418" s="84">
        <f>IF(AND($AG418&gt;=0,$AD418&gt;=0,$AF418&gt;=0),IF($AG418/($AD418-$AF418)&gt;0,$AG418/($AD418-$AF418),0),"")</f>
        <v/>
      </c>
      <c r="BF418" s="84">
        <f>IF(AND($G418&gt;0,$AM418&gt;0),IF(($G418-$AM418)/$G418&gt;0,($G418-$AM418)/$G418,0),"")</f>
        <v/>
      </c>
      <c r="BG418" s="6">
        <f>IF((AD418-AF418)/(AJ418/60)&lt;=0,"",(AD418-AF418)/(AJ418/60))</f>
        <v/>
      </c>
      <c r="BH418" s="6">
        <f>IF(OR(AJ418=0,AP418=0,NOT(ISNUMBER(AD418)),NOT(ISNUMBER(AF418)),NOT(ISNUMBER(AJ418)),NOT(ISNUMBER(AP418))),"",
IFERROR(IF((AD418-AF418)/(AJ418/60)/(AP418/1000)&lt;=0,"",(AD418-AF418)/(AJ418/60)/(AP418/1000)),""))</f>
        <v/>
      </c>
    </row>
    <row r="419" ht="15.75" customHeight="1">
      <c r="B419" t="n">
        <v>175</v>
      </c>
      <c r="D419" s="11" t="n">
        <v>45679</v>
      </c>
      <c r="E419" s="231" t="n">
        <v>175</v>
      </c>
      <c r="F419" s="3" t="n">
        <v>414</v>
      </c>
      <c r="G419" s="205">
        <f>IF(OR(S419="",S419=0),"",S419*2)</f>
        <v/>
      </c>
      <c r="M419" s="10">
        <f>IF(OR(E419="",G419="",E419=0,G419=0),"",E419/G419)</f>
        <v/>
      </c>
      <c r="N419" s="9">
        <f>IF(OR(E419="",I419="",E419=0,I419=0),"",E419/(I419*2))</f>
        <v/>
      </c>
      <c r="O419" s="8">
        <f>IF(OR(I419="",G419="",I419=0,G419=0),"",I419*2/G419)</f>
        <v/>
      </c>
      <c r="AD419" s="5" t="n">
        <v>80</v>
      </c>
      <c r="AF419" s="95" t="n">
        <v>21</v>
      </c>
      <c r="AI419" s="231" t="n">
        <v>2.44</v>
      </c>
      <c r="AJ419" s="261" t="n">
        <v>0.5196759259259259</v>
      </c>
      <c r="AM419" s="3">
        <f>180+60</f>
        <v/>
      </c>
      <c r="AP419" s="255">
        <f>360-AK419-AB419</f>
        <v/>
      </c>
      <c r="AR419" s="13">
        <f>AVERAGE(AO417:AO423)</f>
        <v/>
      </c>
      <c r="AT419" s="156">
        <f>(E419-W419)/E419</f>
        <v/>
      </c>
      <c r="AU419" s="155">
        <f>(I419-AF419)/I419</f>
        <v/>
      </c>
      <c r="AV419" s="155">
        <f>AG419/(AD419-AF419)</f>
        <v/>
      </c>
      <c r="AW419" s="155">
        <f>(G419-AM419)/G419</f>
        <v/>
      </c>
      <c r="AX419" s="254">
        <f>IF(AND(ISNUMBER(E419),ISNUMBER(W419)),E419-W419,"")</f>
        <v/>
      </c>
      <c r="AY419" s="254">
        <f>IF(AND(ISNUMBER(I419),ISNUMBER(AF419)),I419-AF419,"")</f>
        <v/>
      </c>
      <c r="AZ419" s="254">
        <f>IF(AND(ISNUMBER(AM419),ISNUMBER(G419)),G419-AM419,"")</f>
        <v/>
      </c>
      <c r="BA419" s="254">
        <f>IF(AND(ISNUMBER(AC419),ISNUMBER(AE419)),AC419-AE419,"")</f>
        <v/>
      </c>
      <c r="BB419" s="254">
        <f>IF(AND(ISNUMBER(AL419),ISNUMBER(AM419)),AL419-AM419,"")</f>
        <v/>
      </c>
      <c r="BC419" s="100">
        <f>IF(AND($E419&gt;0,$W419&gt;0),IF(($E419-$W419)/$E419&gt;0,($E419-$W419)/$E419,0),"")</f>
        <v/>
      </c>
      <c r="BD419" s="84">
        <f>IF(AND($I419&gt;0,$AF419&gt;=0),IF(($I419-$AF419)/$I419&gt;0,($I419-$AF419)/$I419,0),"")</f>
        <v/>
      </c>
      <c r="BE419" s="84">
        <f>IF(AND($AG419&gt;=0,$AD419&gt;=0,$AF419&gt;=0),IF($AG419/($AD419-$AF419)&gt;0,$AG419/($AD419-$AF419),0),"")</f>
        <v/>
      </c>
      <c r="BF419" s="84">
        <f>IF(AND($G419&gt;0,$AM419&gt;0),IF(($G419-$AM419)/$G419&gt;0,($G419-$AM419)/$G419,0),"")</f>
        <v/>
      </c>
      <c r="BG419" s="6">
        <f>IF((AD419-AF419)/(AJ419/60)&lt;=0,"",(AD419-AF419)/(AJ419/60))</f>
        <v/>
      </c>
      <c r="BH419" s="6">
        <f>IF(OR(AJ419=0,AP419=0,NOT(ISNUMBER(AD419)),NOT(ISNUMBER(AF419)),NOT(ISNUMBER(AJ419)),NOT(ISNUMBER(AP419))),"",
IFERROR(IF((AD419-AF419)/(AJ419/60)/(AP419/1000)&lt;=0,"",(AD419-AF419)/(AJ419/60)/(AP419/1000)),""))</f>
        <v/>
      </c>
    </row>
    <row r="420" ht="15.75" customHeight="1">
      <c r="B420" t="n">
        <v>176</v>
      </c>
      <c r="D420" s="11" t="n">
        <v>45680</v>
      </c>
      <c r="E420" s="231" t="n">
        <v>176</v>
      </c>
      <c r="F420" s="3" t="n">
        <v>415</v>
      </c>
      <c r="G420" s="205">
        <f>IF(OR(S420="",S420=0),"",S420*2)</f>
        <v/>
      </c>
      <c r="M420" s="10">
        <f>IF(OR(E420="",G420="",E420=0,G420=0),"",E420/G420)</f>
        <v/>
      </c>
      <c r="N420" s="9">
        <f>IF(OR(E420="",I420="",E420=0,I420=0),"",E420/(I420*2))</f>
        <v/>
      </c>
      <c r="O420" s="8">
        <f>IF(OR(I420="",G420="",I420=0,G420=0),"",I420*2/G420)</f>
        <v/>
      </c>
      <c r="AD420" s="5" t="n">
        <v>80</v>
      </c>
      <c r="AF420" s="95" t="n">
        <v>21</v>
      </c>
      <c r="AI420" s="231" t="n">
        <v>2.8</v>
      </c>
      <c r="AJ420" s="261" t="n">
        <v>0.5206018518518518</v>
      </c>
      <c r="AM420" s="3">
        <f>180+60</f>
        <v/>
      </c>
      <c r="AP420" s="255">
        <f>360-AK420-AB420</f>
        <v/>
      </c>
      <c r="AR420" s="13">
        <f>AVERAGE(AO418:AO424)</f>
        <v/>
      </c>
      <c r="AT420" s="156">
        <f>(E420-W420)/E420</f>
        <v/>
      </c>
      <c r="AU420" s="155">
        <f>(I420-AF420)/I420</f>
        <v/>
      </c>
      <c r="AV420" s="155">
        <f>AG420/(AD420-AF420)</f>
        <v/>
      </c>
      <c r="AW420" s="155">
        <f>(G420-AM420)/G420</f>
        <v/>
      </c>
      <c r="AX420" s="254">
        <f>IF(AND(ISNUMBER(E420),ISNUMBER(W420)),E420-W420,"")</f>
        <v/>
      </c>
      <c r="AY420" s="254">
        <f>IF(AND(ISNUMBER(I420),ISNUMBER(AF420)),I420-AF420,"")</f>
        <v/>
      </c>
      <c r="AZ420" s="254">
        <f>IF(AND(ISNUMBER(AM420),ISNUMBER(G420)),G420-AM420,"")</f>
        <v/>
      </c>
      <c r="BA420" s="254">
        <f>IF(AND(ISNUMBER(AC420),ISNUMBER(AE420)),AC420-AE420,"")</f>
        <v/>
      </c>
      <c r="BB420" s="254">
        <f>IF(AND(ISNUMBER(AL420),ISNUMBER(AM420)),AL420-AM420,"")</f>
        <v/>
      </c>
      <c r="BC420" s="100">
        <f>IF(AND($E420&gt;0,$W420&gt;0),IF(($E420-$W420)/$E420&gt;0,($E420-$W420)/$E420,0),"")</f>
        <v/>
      </c>
      <c r="BD420" s="84">
        <f>IF(AND($I420&gt;0,$AF420&gt;=0),IF(($I420-$AF420)/$I420&gt;0,($I420-$AF420)/$I420,0),"")</f>
        <v/>
      </c>
      <c r="BE420" s="84">
        <f>IF(AND($AG420&gt;=0,$AD420&gt;=0,$AF420&gt;=0),IF($AG420/($AD420-$AF420)&gt;0,$AG420/($AD420-$AF420),0),"")</f>
        <v/>
      </c>
      <c r="BF420" s="84">
        <f>IF(AND($G420&gt;0,$AM420&gt;0),IF(($G420-$AM420)/$G420&gt;0,($G420-$AM420)/$G420,0),"")</f>
        <v/>
      </c>
      <c r="BG420" s="6">
        <f>IF((AD420-AF420)/(AJ420/60)&lt;=0,"",(AD420-AF420)/(AJ420/60))</f>
        <v/>
      </c>
      <c r="BH420" s="6">
        <f>IF(OR(AJ420=0,AP420=0,NOT(ISNUMBER(AD420)),NOT(ISNUMBER(AF420)),NOT(ISNUMBER(AJ420)),NOT(ISNUMBER(AP420))),"",
IFERROR(IF((AD420-AF420)/(AJ420/60)/(AP420/1000)&lt;=0,"",(AD420-AF420)/(AJ420/60)/(AP420/1000)),""))</f>
        <v/>
      </c>
    </row>
    <row r="421" ht="15.75" customHeight="1">
      <c r="B421" t="n">
        <v>177</v>
      </c>
      <c r="D421" s="11" t="n">
        <v>45681</v>
      </c>
      <c r="E421" s="231" t="n">
        <v>177</v>
      </c>
      <c r="F421" s="3" t="n">
        <v>416</v>
      </c>
      <c r="G421" s="205">
        <f>IF(OR(S421="",S421=0),"",S421*2)</f>
        <v/>
      </c>
      <c r="M421" s="10">
        <f>IF(OR(E421="",G421="",E421=0,G421=0),"",E421/G421)</f>
        <v/>
      </c>
      <c r="N421" s="9">
        <f>IF(OR(E421="",I421="",E421=0,I421=0),"",E421/(I421*2))</f>
        <v/>
      </c>
      <c r="O421" s="8">
        <f>IF(OR(I421="",G421="",I421=0,G421=0),"",I421*2/G421)</f>
        <v/>
      </c>
      <c r="Z421" s="6" t="n">
        <v>0.28</v>
      </c>
      <c r="AD421" s="5" t="n">
        <v>80</v>
      </c>
      <c r="AF421" s="95" t="n">
        <v>21</v>
      </c>
      <c r="AI421" s="231" t="n">
        <v>2.15</v>
      </c>
      <c r="AJ421" s="261" t="n">
        <v>0.5200231481481481</v>
      </c>
      <c r="AM421" s="3">
        <f>180+60</f>
        <v/>
      </c>
      <c r="AP421" s="255">
        <f>360-AK421-AB421</f>
        <v/>
      </c>
      <c r="AR421" s="13">
        <f>AVERAGE(AO419:AO425)</f>
        <v/>
      </c>
      <c r="AT421" s="156">
        <f>(E421-W421)/E421</f>
        <v/>
      </c>
      <c r="AU421" s="155">
        <f>(I421-AF421)/I421</f>
        <v/>
      </c>
      <c r="AV421" s="155">
        <f>AG421/(AD421-AF421)</f>
        <v/>
      </c>
      <c r="AW421" s="155">
        <f>(G421-AM421)/G421</f>
        <v/>
      </c>
      <c r="AX421" s="254">
        <f>IF(AND(ISNUMBER(E421),ISNUMBER(W421)),E421-W421,"")</f>
        <v/>
      </c>
      <c r="AY421" s="254">
        <f>IF(AND(ISNUMBER(I421),ISNUMBER(AF421)),I421-AF421,"")</f>
        <v/>
      </c>
      <c r="AZ421" s="254">
        <f>IF(AND(ISNUMBER(AM421),ISNUMBER(G421)),G421-AM421,"")</f>
        <v/>
      </c>
      <c r="BA421" s="254">
        <f>IF(AND(ISNUMBER(AC421),ISNUMBER(AE421)),AC421-AE421,"")</f>
        <v/>
      </c>
      <c r="BB421" s="254">
        <f>IF(AND(ISNUMBER(AL421),ISNUMBER(AM421)),AL421-AM421,"")</f>
        <v/>
      </c>
      <c r="BC421" s="100">
        <f>IF(AND($E421&gt;0,$W421&gt;0),IF(($E421-$W421)/$E421&gt;0,($E421-$W421)/$E421,0),"")</f>
        <v/>
      </c>
      <c r="BD421" s="84">
        <f>IF(AND($I421&gt;0,$AF421&gt;=0),IF(($I421-$AF421)/$I421&gt;0,($I421-$AF421)/$I421,0),"")</f>
        <v/>
      </c>
      <c r="BE421" s="84">
        <f>IF(AND($AG421&gt;=0,$AD421&gt;=0,$AF421&gt;=0),IF($AG421/($AD421-$AF421)&gt;0,$AG421/($AD421-$AF421),0),"")</f>
        <v/>
      </c>
      <c r="BF421" s="84">
        <f>IF(AND($G421&gt;0,$AM421&gt;0),IF(($G421-$AM421)/$G421&gt;0,($G421-$AM421)/$G421,0),"")</f>
        <v/>
      </c>
      <c r="BG421" s="6">
        <f>IF((AD421-AF421)/(AJ421/60)&lt;=0,"",(AD421-AF421)/(AJ421/60))</f>
        <v/>
      </c>
      <c r="BH421" s="6">
        <f>IF(OR(AJ421=0,AP421=0,NOT(ISNUMBER(AD421)),NOT(ISNUMBER(AF421)),NOT(ISNUMBER(AJ421)),NOT(ISNUMBER(AP421))),"",
IFERROR(IF((AD421-AF421)/(AJ421/60)/(AP421/1000)&lt;=0,"",(AD421-AF421)/(AJ421/60)/(AP421/1000)),""))</f>
        <v/>
      </c>
    </row>
    <row r="422" ht="15.75" customHeight="1">
      <c r="B422" t="n">
        <v>178</v>
      </c>
      <c r="D422" s="11" t="n">
        <v>45682</v>
      </c>
      <c r="E422" s="231" t="n">
        <v>178</v>
      </c>
      <c r="F422" s="3" t="n">
        <v>417</v>
      </c>
      <c r="G422" s="205">
        <f>IF(OR(S422="",S422=0),"",S422*2)</f>
        <v/>
      </c>
      <c r="M422" s="10">
        <f>IF(OR(E422="",G422="",E422=0,G422=0),"",E422/G422)</f>
        <v/>
      </c>
      <c r="N422" s="9">
        <f>IF(OR(E422="",I422="",E422=0,I422=0),"",E422/(I422*2))</f>
        <v/>
      </c>
      <c r="O422" s="8">
        <f>IF(OR(I422="",G422="",I422=0,G422=0),"",I422*2/G422)</f>
        <v/>
      </c>
      <c r="Z422" s="6" t="n">
        <v>0.2</v>
      </c>
      <c r="AD422" s="5" t="n">
        <v>80</v>
      </c>
      <c r="AF422" s="95" t="n">
        <v>21</v>
      </c>
      <c r="AI422" s="231" t="n">
        <v>5.26</v>
      </c>
      <c r="AJ422" s="261" t="n">
        <v>0.51875</v>
      </c>
      <c r="AM422" s="3">
        <f>180+60</f>
        <v/>
      </c>
      <c r="AP422" s="255">
        <f>360-AK422-AB422</f>
        <v/>
      </c>
      <c r="AR422" s="13">
        <f>AVERAGE(AO420:AO426)</f>
        <v/>
      </c>
      <c r="AT422" s="156">
        <f>(E422-W422)/E422</f>
        <v/>
      </c>
      <c r="AU422" s="155">
        <f>(I422-AF422)/I422</f>
        <v/>
      </c>
      <c r="AV422" s="155">
        <f>AG422/(AD422-AF422)</f>
        <v/>
      </c>
      <c r="AW422" s="155">
        <f>(G422-AM422)/G422</f>
        <v/>
      </c>
      <c r="AX422" s="254">
        <f>IF(AND(ISNUMBER(E422),ISNUMBER(W422)),E422-W422,"")</f>
        <v/>
      </c>
      <c r="AY422" s="254">
        <f>IF(AND(ISNUMBER(I422),ISNUMBER(AF422)),I422-AF422,"")</f>
        <v/>
      </c>
      <c r="AZ422" s="254">
        <f>IF(AND(ISNUMBER(AM422),ISNUMBER(G422)),G422-AM422,"")</f>
        <v/>
      </c>
      <c r="BA422" s="254">
        <f>IF(AND(ISNUMBER(AC422),ISNUMBER(AE422)),AC422-AE422,"")</f>
        <v/>
      </c>
      <c r="BB422" s="254">
        <f>IF(AND(ISNUMBER(AL422),ISNUMBER(AM422)),AL422-AM422,"")</f>
        <v/>
      </c>
      <c r="BC422" s="100">
        <f>IF(AND($E422&gt;0,$W422&gt;0),IF(($E422-$W422)/$E422&gt;0,($E422-$W422)/$E422,0),"")</f>
        <v/>
      </c>
      <c r="BD422" s="84">
        <f>IF(AND($I422&gt;0,$AF422&gt;=0),IF(($I422-$AF422)/$I422&gt;0,($I422-$AF422)/$I422,0),"")</f>
        <v/>
      </c>
      <c r="BE422" s="84">
        <f>IF(AND($AG422&gt;=0,$AD422&gt;=0,$AF422&gt;=0),IF($AG422/($AD422-$AF422)&gt;0,$AG422/($AD422-$AF422),0),"")</f>
        <v/>
      </c>
      <c r="BF422" s="84">
        <f>IF(AND($G422&gt;0,$AM422&gt;0),IF(($G422-$AM422)/$G422&gt;0,($G422-$AM422)/$G422,0),"")</f>
        <v/>
      </c>
      <c r="BG422" s="6">
        <f>IF((AD422-AF422)/(AJ422/60)&lt;=0,"",(AD422-AF422)/(AJ422/60))</f>
        <v/>
      </c>
      <c r="BH422" s="6">
        <f>IF(OR(AJ422=0,AP422=0,NOT(ISNUMBER(AD422)),NOT(ISNUMBER(AF422)),NOT(ISNUMBER(AJ422)),NOT(ISNUMBER(AP422))),"",
IFERROR(IF((AD422-AF422)/(AJ422/60)/(AP422/1000)&lt;=0,"",(AD422-AF422)/(AJ422/60)/(AP422/1000)),""))</f>
        <v/>
      </c>
    </row>
    <row r="423" ht="15.75" customHeight="1">
      <c r="B423" t="n">
        <v>179</v>
      </c>
      <c r="C423" s="12" t="inlineStr">
        <is>
          <t>1/26 Yiran burrowed probe</t>
        </is>
      </c>
      <c r="D423" s="11" t="n">
        <v>45683</v>
      </c>
      <c r="E423" s="231" t="n">
        <v>179</v>
      </c>
      <c r="F423" s="3" t="n">
        <v>418</v>
      </c>
      <c r="G423" s="205">
        <f>IF(OR(S423="",S423=0),"",S423*2)</f>
        <v/>
      </c>
      <c r="M423" s="10">
        <f>IF(OR(E423="",G423="",E423=0,G423=0),"",E423/G423)</f>
        <v/>
      </c>
      <c r="N423" s="9">
        <f>IF(OR(E423="",I423="",E423=0,I423=0),"",E423/(I423*2))</f>
        <v/>
      </c>
      <c r="O423" s="8">
        <f>IF(OR(I423="",G423="",I423=0,G423=0),"",I423*2/G423)</f>
        <v/>
      </c>
      <c r="Z423" s="6" t="n">
        <v>0.2</v>
      </c>
      <c r="AD423" s="5" t="n">
        <v>80</v>
      </c>
      <c r="AF423" s="95" t="n">
        <v>21</v>
      </c>
      <c r="AI423" s="102" t="n">
        <v>7.42</v>
      </c>
      <c r="AJ423" s="261" t="n">
        <v>0.856712962962963</v>
      </c>
      <c r="AM423" s="3">
        <f>180+60</f>
        <v/>
      </c>
      <c r="AP423" s="255">
        <f>360-AK423-AB423</f>
        <v/>
      </c>
      <c r="AR423" s="13">
        <f>AVERAGE(AO421:AO427)</f>
        <v/>
      </c>
      <c r="AT423" s="156">
        <f>(E423-W423)/E423</f>
        <v/>
      </c>
      <c r="AU423" s="155">
        <f>(I423-AF423)/I423</f>
        <v/>
      </c>
      <c r="AV423" s="155">
        <f>AG423/(AD423-AF423)</f>
        <v/>
      </c>
      <c r="AW423" s="155">
        <f>(G423-AM423)/G423</f>
        <v/>
      </c>
      <c r="AX423" s="254">
        <f>IF(AND(ISNUMBER(E423),ISNUMBER(W423)),E423-W423,"")</f>
        <v/>
      </c>
      <c r="AY423" s="254">
        <f>IF(AND(ISNUMBER(I423),ISNUMBER(AF423)),I423-AF423,"")</f>
        <v/>
      </c>
      <c r="AZ423" s="254">
        <f>IF(AND(ISNUMBER(AM423),ISNUMBER(G423)),G423-AM423,"")</f>
        <v/>
      </c>
      <c r="BA423" s="254">
        <f>IF(AND(ISNUMBER(AC423),ISNUMBER(AE423)),AC423-AE423,"")</f>
        <v/>
      </c>
      <c r="BB423" s="254">
        <f>IF(AND(ISNUMBER(AL423),ISNUMBER(AM423)),AL423-AM423,"")</f>
        <v/>
      </c>
      <c r="BC423" s="100">
        <f>IF(AND($E423&gt;0,$W423&gt;0),IF(($E423-$W423)/$E423&gt;0,($E423-$W423)/$E423,0),"")</f>
        <v/>
      </c>
      <c r="BD423" s="84">
        <f>IF(AND($I423&gt;0,$AF423&gt;=0),IF(($I423-$AF423)/$I423&gt;0,($I423-$AF423)/$I423,0),"")</f>
        <v/>
      </c>
      <c r="BE423" s="84">
        <f>IF(AND($AG423&gt;=0,$AD423&gt;=0,$AF423&gt;=0),IF($AG423/($AD423-$AF423)&gt;0,$AG423/($AD423-$AF423),0),"")</f>
        <v/>
      </c>
      <c r="BF423" s="84">
        <f>IF(AND($G423&gt;0,$AM423&gt;0),IF(($G423-$AM423)/$G423&gt;0,($G423-$AM423)/$G423,0),"")</f>
        <v/>
      </c>
      <c r="BG423" s="6">
        <f>IF((AD423-AF423)/(AJ423/60)&lt;=0,"",(AD423-AF423)/(AJ423/60))</f>
        <v/>
      </c>
      <c r="BH423" s="6">
        <f>IF(OR(AJ423=0,AP423=0,NOT(ISNUMBER(AD423)),NOT(ISNUMBER(AF423)),NOT(ISNUMBER(AJ423)),NOT(ISNUMBER(AP423))),"",
IFERROR(IF((AD423-AF423)/(AJ423/60)/(AP423/1000)&lt;=0,"",(AD423-AF423)/(AJ423/60)/(AP423/1000)),""))</f>
        <v/>
      </c>
    </row>
    <row r="424" ht="15.75" customHeight="1">
      <c r="B424" t="n">
        <v>180</v>
      </c>
      <c r="D424" s="11" t="n">
        <v>45684</v>
      </c>
      <c r="E424" s="231" t="n">
        <v>180</v>
      </c>
      <c r="F424" s="3" t="n">
        <v>419</v>
      </c>
      <c r="G424" s="205">
        <f>IF(OR(S424="",S424=0),"",S424*2)</f>
        <v/>
      </c>
      <c r="M424" s="10">
        <f>IF(OR(E424="",G424="",E424=0,G424=0),"",E424/G424)</f>
        <v/>
      </c>
      <c r="N424" s="9">
        <f>IF(OR(E424="",I424="",E424=0,I424=0),"",E424/(I424*2))</f>
        <v/>
      </c>
      <c r="O424" s="8">
        <f>IF(OR(I424="",G424="",I424=0,G424=0),"",I424*2/G424)</f>
        <v/>
      </c>
      <c r="Z424" s="6" t="n">
        <v>0.2</v>
      </c>
      <c r="AD424" s="5" t="n">
        <v>80</v>
      </c>
      <c r="AF424" s="95" t="n">
        <v>21</v>
      </c>
      <c r="AI424" s="102" t="n">
        <v>7.75</v>
      </c>
      <c r="AJ424" s="261" t="n">
        <v>0.8429398148148148</v>
      </c>
      <c r="AM424" s="3">
        <f>180+60</f>
        <v/>
      </c>
      <c r="AP424" s="255">
        <f>360-AK424-AB424</f>
        <v/>
      </c>
      <c r="AR424" s="13">
        <f>AVERAGE(AO422:AO428)</f>
        <v/>
      </c>
      <c r="AT424" s="156">
        <f>(E424-W424)/E424</f>
        <v/>
      </c>
      <c r="AU424" s="155">
        <f>(I424-AF424)/I424</f>
        <v/>
      </c>
      <c r="AV424" s="155">
        <f>AG424/(AD424-AF424)</f>
        <v/>
      </c>
      <c r="AW424" s="155">
        <f>(G424-AM424)/G424</f>
        <v/>
      </c>
      <c r="AX424" s="254">
        <f>IF(AND(ISNUMBER(E424),ISNUMBER(W424)),E424-W424,"")</f>
        <v/>
      </c>
      <c r="AY424" s="254">
        <f>IF(AND(ISNUMBER(I424),ISNUMBER(AF424)),I424-AF424,"")</f>
        <v/>
      </c>
      <c r="AZ424" s="254">
        <f>IF(AND(ISNUMBER(AM424),ISNUMBER(G424)),G424-AM424,"")</f>
        <v/>
      </c>
      <c r="BA424" s="254">
        <f>IF(AND(ISNUMBER(AC424),ISNUMBER(AE424)),AC424-AE424,"")</f>
        <v/>
      </c>
      <c r="BB424" s="254">
        <f>IF(AND(ISNUMBER(AL424),ISNUMBER(AM424)),AL424-AM424,"")</f>
        <v/>
      </c>
      <c r="BC424" s="100">
        <f>IF(AND($E424&gt;0,$W424&gt;0),IF(($E424-$W424)/$E424&gt;0,($E424-$W424)/$E424,0),"")</f>
        <v/>
      </c>
      <c r="BD424" s="84">
        <f>IF(AND($I424&gt;0,$AF424&gt;=0),IF(($I424-$AF424)/$I424&gt;0,($I424-$AF424)/$I424,0),"")</f>
        <v/>
      </c>
      <c r="BE424" s="84">
        <f>IF(AND($AG424&gt;=0,$AD424&gt;=0,$AF424&gt;=0),IF($AG424/($AD424-$AF424)&gt;0,$AG424/($AD424-$AF424),0),"")</f>
        <v/>
      </c>
      <c r="BF424" s="84">
        <f>IF(AND($G424&gt;0,$AM424&gt;0),IF(($G424-$AM424)/$G424&gt;0,($G424-$AM424)/$G424,0),"")</f>
        <v/>
      </c>
      <c r="BG424" s="6">
        <f>IF((AD424-AF424)/(AJ424/60)&lt;=0,"",(AD424-AF424)/(AJ424/60))</f>
        <v/>
      </c>
      <c r="BH424" s="6">
        <f>IF(OR(AJ424=0,AP424=0,NOT(ISNUMBER(AD424)),NOT(ISNUMBER(AF424)),NOT(ISNUMBER(AJ424)),NOT(ISNUMBER(AP424))),"",
IFERROR(IF((AD424-AF424)/(AJ424/60)/(AP424/1000)&lt;=0,"",(AD424-AF424)/(AJ424/60)/(AP424/1000)),""))</f>
        <v/>
      </c>
    </row>
    <row r="425" ht="15.75" customHeight="1">
      <c r="B425" t="n">
        <v>181</v>
      </c>
      <c r="D425" s="11" t="n">
        <v>45685</v>
      </c>
      <c r="E425" s="231" t="n">
        <v>181</v>
      </c>
      <c r="F425" s="3" t="n">
        <v>420</v>
      </c>
      <c r="G425" s="205">
        <f>IF(OR(S425="",S425=0),"",S425*2)</f>
        <v/>
      </c>
      <c r="M425" s="10">
        <f>IF(OR(E425="",G425="",E425=0,G425=0),"",E425/G425)</f>
        <v/>
      </c>
      <c r="N425" s="9">
        <f>IF(OR(E425="",I425="",E425=0,I425=0),"",E425/(I425*2))</f>
        <v/>
      </c>
      <c r="O425" s="8">
        <f>IF(OR(I425="",G425="",I425=0,G425=0),"",I425*2/G425)</f>
        <v/>
      </c>
      <c r="Z425" s="6" t="n">
        <v>0.2</v>
      </c>
      <c r="AD425" s="5" t="n">
        <v>80</v>
      </c>
      <c r="AF425" s="95" t="n">
        <v>21</v>
      </c>
      <c r="AI425" s="231" t="n">
        <v>7.57</v>
      </c>
      <c r="AJ425" s="261" t="n">
        <v>0.5188657407407408</v>
      </c>
      <c r="AM425" s="3">
        <f>180+60</f>
        <v/>
      </c>
      <c r="AP425" s="255">
        <f>360-AK425-AB425</f>
        <v/>
      </c>
      <c r="AR425" s="13">
        <f>AVERAGE(AO423:AO429)</f>
        <v/>
      </c>
      <c r="AT425" s="156">
        <f>(E425-W425)/E425</f>
        <v/>
      </c>
      <c r="AU425" s="155">
        <f>(I425-AF425)/I425</f>
        <v/>
      </c>
      <c r="AV425" s="155">
        <f>AG425/(AD425-AF425)</f>
        <v/>
      </c>
      <c r="AW425" s="155">
        <f>(G425-AM425)/G425</f>
        <v/>
      </c>
      <c r="AX425" s="254">
        <f>IF(AND(ISNUMBER(E425),ISNUMBER(W425)),E425-W425,"")</f>
        <v/>
      </c>
      <c r="AY425" s="254">
        <f>IF(AND(ISNUMBER(I425),ISNUMBER(AF425)),I425-AF425,"")</f>
        <v/>
      </c>
      <c r="AZ425" s="254">
        <f>IF(AND(ISNUMBER(AM425),ISNUMBER(G425)),G425-AM425,"")</f>
        <v/>
      </c>
      <c r="BA425" s="254">
        <f>IF(AND(ISNUMBER(AC425),ISNUMBER(AE425)),AC425-AE425,"")</f>
        <v/>
      </c>
      <c r="BB425" s="254">
        <f>IF(AND(ISNUMBER(AL425),ISNUMBER(AM425)),AL425-AM425,"")</f>
        <v/>
      </c>
      <c r="BC425" s="100">
        <f>IF(AND($E425&gt;0,$W425&gt;0),IF(($E425-$W425)/$E425&gt;0,($E425-$W425)/$E425,0),"")</f>
        <v/>
      </c>
      <c r="BD425" s="84">
        <f>IF(AND($I425&gt;0,$AF425&gt;=0),IF(($I425-$AF425)/$I425&gt;0,($I425-$AF425)/$I425,0),"")</f>
        <v/>
      </c>
      <c r="BE425" s="84">
        <f>IF(AND($AG425&gt;=0,$AD425&gt;=0,$AF425&gt;=0),IF($AG425/($AD425-$AF425)&gt;0,$AG425/($AD425-$AF425),0),"")</f>
        <v/>
      </c>
      <c r="BF425" s="84">
        <f>IF(AND($G425&gt;0,$AM425&gt;0),IF(($G425-$AM425)/$G425&gt;0,($G425-$AM425)/$G425,0),"")</f>
        <v/>
      </c>
      <c r="BG425" s="6">
        <f>IF((AD425-AF425)/(AJ425/60)&lt;=0,"",(AD425-AF425)/(AJ425/60))</f>
        <v/>
      </c>
      <c r="BH425" s="6">
        <f>IF(OR(AJ425=0,AP425=0,NOT(ISNUMBER(AD425)),NOT(ISNUMBER(AF425)),NOT(ISNUMBER(AJ425)),NOT(ISNUMBER(AP425))),"",
IFERROR(IF((AD425-AF425)/(AJ425/60)/(AP425/1000)&lt;=0,"",(AD425-AF425)/(AJ425/60)/(AP425/1000)),""))</f>
        <v/>
      </c>
    </row>
    <row r="426" ht="15.75" customHeight="1">
      <c r="B426" t="n">
        <v>182</v>
      </c>
      <c r="D426" s="11" t="n">
        <v>45686</v>
      </c>
      <c r="E426" s="231" t="n">
        <v>182</v>
      </c>
      <c r="F426" s="3" t="n">
        <v>421</v>
      </c>
      <c r="G426" s="205">
        <f>IF(OR(S426="",S426=0),"",S426*2)</f>
        <v/>
      </c>
      <c r="M426" s="10">
        <f>IF(OR(E426="",G426="",E426=0,G426=0),"",E426/G426)</f>
        <v/>
      </c>
      <c r="N426" s="9">
        <f>IF(OR(E426="",I426="",E426=0,I426=0),"",E426/(I426*2))</f>
        <v/>
      </c>
      <c r="O426" s="8">
        <f>IF(OR(I426="",G426="",I426=0,G426=0),"",I426*2/G426)</f>
        <v/>
      </c>
      <c r="Z426" s="6" t="n">
        <v>0.66</v>
      </c>
      <c r="AD426" s="5" t="n">
        <v>80</v>
      </c>
      <c r="AF426" s="95" t="n">
        <v>21</v>
      </c>
      <c r="AI426" s="231" t="n">
        <v>8.5</v>
      </c>
      <c r="AJ426" s="261" t="n">
        <v>0.4940972222222222</v>
      </c>
      <c r="AM426" s="3">
        <f>180+60</f>
        <v/>
      </c>
      <c r="AP426" s="255">
        <f>360-AK426-AB426</f>
        <v/>
      </c>
      <c r="AR426" s="13">
        <f>AVERAGE(AO424:AO430)</f>
        <v/>
      </c>
      <c r="AT426" s="156">
        <f>(E426-W426)/E426</f>
        <v/>
      </c>
      <c r="AU426" s="155">
        <f>(I426-AF426)/I426</f>
        <v/>
      </c>
      <c r="AV426" s="155">
        <f>AG426/(AD426-AF426)</f>
        <v/>
      </c>
      <c r="AW426" s="155">
        <f>(G426-AM426)/G426</f>
        <v/>
      </c>
      <c r="AX426" s="254">
        <f>IF(AND(ISNUMBER(E426),ISNUMBER(W426)),E426-W426,"")</f>
        <v/>
      </c>
      <c r="AY426" s="254">
        <f>IF(AND(ISNUMBER(I426),ISNUMBER(AF426)),I426-AF426,"")</f>
        <v/>
      </c>
      <c r="AZ426" s="254">
        <f>IF(AND(ISNUMBER(AM426),ISNUMBER(G426)),G426-AM426,"")</f>
        <v/>
      </c>
      <c r="BA426" s="254">
        <f>IF(AND(ISNUMBER(AC426),ISNUMBER(AE426)),AC426-AE426,"")</f>
        <v/>
      </c>
      <c r="BB426" s="254">
        <f>IF(AND(ISNUMBER(AL426),ISNUMBER(AM426)),AL426-AM426,"")</f>
        <v/>
      </c>
      <c r="BC426" s="100">
        <f>IF(AND($E426&gt;0,$W426&gt;0),IF(($E426-$W426)/$E426&gt;0,($E426-$W426)/$E426,0),"")</f>
        <v/>
      </c>
      <c r="BD426" s="84">
        <f>IF(AND($I426&gt;0,$AF426&gt;=0),IF(($I426-$AF426)/$I426&gt;0,($I426-$AF426)/$I426,0),"")</f>
        <v/>
      </c>
      <c r="BE426" s="84">
        <f>IF(AND($AG426&gt;=0,$AD426&gt;=0,$AF426&gt;=0),IF($AG426/($AD426-$AF426)&gt;0,$AG426/($AD426-$AF426),0),"")</f>
        <v/>
      </c>
      <c r="BF426" s="84">
        <f>IF(AND($G426&gt;0,$AM426&gt;0),IF(($G426-$AM426)/$G426&gt;0,($G426-$AM426)/$G426,0),"")</f>
        <v/>
      </c>
      <c r="BG426" s="6">
        <f>IF((AD426-AF426)/(AJ426/60)&lt;=0,"",(AD426-AF426)/(AJ426/60))</f>
        <v/>
      </c>
      <c r="BH426" s="6">
        <f>IF(OR(AJ426=0,AP426=0,NOT(ISNUMBER(AD426)),NOT(ISNUMBER(AF426)),NOT(ISNUMBER(AJ426)),NOT(ISNUMBER(AP426))),"",
IFERROR(IF((AD426-AF426)/(AJ426/60)/(AP426/1000)&lt;=0,"",(AD426-AF426)/(AJ426/60)/(AP426/1000)),""))</f>
        <v/>
      </c>
    </row>
    <row r="427" ht="15.75" customHeight="1">
      <c r="B427" t="n">
        <v>183</v>
      </c>
      <c r="D427" s="11" t="n">
        <v>45687</v>
      </c>
      <c r="E427" s="231" t="n">
        <v>183</v>
      </c>
      <c r="F427" s="3" t="n">
        <v>422</v>
      </c>
      <c r="G427" s="205">
        <f>IF(OR(S427="",S427=0),"",S427*2)</f>
        <v/>
      </c>
      <c r="M427" s="10">
        <f>IF(OR(E427="",G427="",E427=0,G427=0),"",E427/G427)</f>
        <v/>
      </c>
      <c r="N427" s="9">
        <f>IF(OR(E427="",I427="",E427=0,I427=0),"",E427/(I427*2))</f>
        <v/>
      </c>
      <c r="O427" s="8">
        <f>IF(OR(I427="",G427="",I427=0,G427=0),"",I427*2/G427)</f>
        <v/>
      </c>
      <c r="Z427" s="6" t="n">
        <v>0.21</v>
      </c>
      <c r="AD427" s="5" t="n">
        <v>80</v>
      </c>
      <c r="AF427" s="95" t="n">
        <v>21</v>
      </c>
      <c r="AI427" s="231" t="n">
        <v>8.550000000000001</v>
      </c>
      <c r="AJ427" s="261" t="n">
        <v>0.475</v>
      </c>
      <c r="AL427" s="231" t="n">
        <v>87</v>
      </c>
      <c r="AM427" s="3">
        <f>180+60</f>
        <v/>
      </c>
      <c r="AP427" s="255">
        <f>360-AK427-AB427</f>
        <v/>
      </c>
      <c r="AR427" s="13">
        <f>AVERAGE(AO425:AO431)</f>
        <v/>
      </c>
      <c r="AT427" s="156">
        <f>(E427-W427)/E427</f>
        <v/>
      </c>
      <c r="AU427" s="155">
        <f>(I427-AF427)/I427</f>
        <v/>
      </c>
      <c r="AV427" s="155">
        <f>AG427/(AD427-AF427)</f>
        <v/>
      </c>
      <c r="AW427" s="155">
        <f>(G427-AM427)/G427</f>
        <v/>
      </c>
      <c r="AX427" s="254">
        <f>IF(AND(ISNUMBER(E427),ISNUMBER(W427)),E427-W427,"")</f>
        <v/>
      </c>
      <c r="AY427" s="254">
        <f>IF(AND(ISNUMBER(I427),ISNUMBER(AF427)),I427-AF427,"")</f>
        <v/>
      </c>
      <c r="AZ427" s="254">
        <f>IF(AND(ISNUMBER(AM427),ISNUMBER(G427)),G427-AM427,"")</f>
        <v/>
      </c>
      <c r="BA427" s="254">
        <f>IF(AND(ISNUMBER(AC427),ISNUMBER(AE427)),AC427-AE427,"")</f>
        <v/>
      </c>
      <c r="BB427" s="254">
        <f>IF(AND(ISNUMBER(AL427),ISNUMBER(AM427)),AL427-AM427,"")</f>
        <v/>
      </c>
      <c r="BC427" s="100">
        <f>IF(AND($E427&gt;0,$W427&gt;0),IF(($E427-$W427)/$E427&gt;0,($E427-$W427)/$E427,0),"")</f>
        <v/>
      </c>
      <c r="BD427" s="84">
        <f>IF(AND($I427&gt;0,$AF427&gt;=0),IF(($I427-$AF427)/$I427&gt;0,($I427-$AF427)/$I427,0),"")</f>
        <v/>
      </c>
      <c r="BE427" s="84">
        <f>IF(AND($AG427&gt;=0,$AD427&gt;=0,$AF427&gt;=0),IF($AG427/($AD427-$AF427)&gt;0,$AG427/($AD427-$AF427),0),"")</f>
        <v/>
      </c>
      <c r="BF427" s="84">
        <f>IF(AND($G427&gt;0,$AM427&gt;0),IF(($G427-$AM427)/$G427&gt;0,($G427-$AM427)/$G427,0),"")</f>
        <v/>
      </c>
      <c r="BG427" s="6">
        <f>IF((AD427-AF427)/(AJ427/60)&lt;=0,"",(AD427-AF427)/(AJ427/60))</f>
        <v/>
      </c>
      <c r="BH427" s="6">
        <f>IF(OR(AJ427=0,AP427=0,NOT(ISNUMBER(AD427)),NOT(ISNUMBER(AF427)),NOT(ISNUMBER(AJ427)),NOT(ISNUMBER(AP427))),"",
IFERROR(IF((AD427-AF427)/(AJ427/60)/(AP427/1000)&lt;=0,"",(AD427-AF427)/(AJ427/60)/(AP427/1000)),""))</f>
        <v/>
      </c>
    </row>
    <row r="428" ht="15.75" customHeight="1">
      <c r="B428" t="n">
        <v>184</v>
      </c>
      <c r="D428" s="11" t="n">
        <v>45688</v>
      </c>
      <c r="E428" s="231" t="n">
        <v>184</v>
      </c>
      <c r="F428" s="3" t="n">
        <v>423</v>
      </c>
      <c r="G428" s="205">
        <f>IF(OR(S428="",S428=0),"",S428*2)</f>
        <v/>
      </c>
      <c r="M428" s="10">
        <f>IF(OR(E428="",G428="",E428=0,G428=0),"",E428/G428)</f>
        <v/>
      </c>
      <c r="N428" s="9">
        <f>IF(OR(E428="",I428="",E428=0,I428=0),"",E428/(I428*2))</f>
        <v/>
      </c>
      <c r="O428" s="8">
        <f>IF(OR(I428="",G428="",I428=0,G428=0),"",I428*2/G428)</f>
        <v/>
      </c>
      <c r="Z428" s="6" t="n">
        <v>0.55</v>
      </c>
      <c r="AD428" s="5" t="n">
        <v>80</v>
      </c>
      <c r="AF428" s="95" t="n">
        <v>21</v>
      </c>
      <c r="AI428" s="231" t="n">
        <v>8.869999999999999</v>
      </c>
      <c r="AJ428" s="261" t="n">
        <v>0.4626157407407407</v>
      </c>
      <c r="AL428" s="231" t="n">
        <v>95</v>
      </c>
      <c r="AM428" s="3">
        <f>180+60</f>
        <v/>
      </c>
      <c r="AP428" s="255">
        <f>360-AK428-AB428</f>
        <v/>
      </c>
      <c r="AR428" s="13">
        <f>AVERAGE(AO426:AO432)</f>
        <v/>
      </c>
      <c r="AT428" s="156">
        <f>(E428-W428)/E428</f>
        <v/>
      </c>
      <c r="AU428" s="155">
        <f>(I428-AF428)/I428</f>
        <v/>
      </c>
      <c r="AV428" s="155">
        <f>AG428/(AD428-AF428)</f>
        <v/>
      </c>
      <c r="AW428" s="155">
        <f>(G428-AM428)/G428</f>
        <v/>
      </c>
      <c r="AX428" s="254">
        <f>IF(AND(ISNUMBER(E428),ISNUMBER(W428)),E428-W428,"")</f>
        <v/>
      </c>
      <c r="AY428" s="254">
        <f>IF(AND(ISNUMBER(I428),ISNUMBER(AF428)),I428-AF428,"")</f>
        <v/>
      </c>
      <c r="AZ428" s="254">
        <f>IF(AND(ISNUMBER(AM428),ISNUMBER(G428)),G428-AM428,"")</f>
        <v/>
      </c>
      <c r="BA428" s="254">
        <f>IF(AND(ISNUMBER(AC428),ISNUMBER(AE428)),AC428-AE428,"")</f>
        <v/>
      </c>
      <c r="BB428" s="254">
        <f>IF(AND(ISNUMBER(AL428),ISNUMBER(AM428)),AL428-AM428,"")</f>
        <v/>
      </c>
      <c r="BC428" s="100">
        <f>IF(AND($E428&gt;0,$W428&gt;0),IF(($E428-$W428)/$E428&gt;0,($E428-$W428)/$E428,0),"")</f>
        <v/>
      </c>
      <c r="BD428" s="84">
        <f>IF(AND($I428&gt;0,$AF428&gt;=0),IF(($I428-$AF428)/$I428&gt;0,($I428-$AF428)/$I428,0),"")</f>
        <v/>
      </c>
      <c r="BE428" s="84">
        <f>IF(AND($AG428&gt;=0,$AD428&gt;=0,$AF428&gt;=0),IF($AG428/($AD428-$AF428)&gt;0,$AG428/($AD428-$AF428),0),"")</f>
        <v/>
      </c>
      <c r="BF428" s="84">
        <f>IF(AND($G428&gt;0,$AM428&gt;0),IF(($G428-$AM428)/$G428&gt;0,($G428-$AM428)/$G428,0),"")</f>
        <v/>
      </c>
      <c r="BG428" s="6">
        <f>IF((AD428-AF428)/(AJ428/60)&lt;=0,"",(AD428-AF428)/(AJ428/60))</f>
        <v/>
      </c>
      <c r="BH428" s="6">
        <f>IF(OR(AJ428=0,AP428=0,NOT(ISNUMBER(AD428)),NOT(ISNUMBER(AF428)),NOT(ISNUMBER(AJ428)),NOT(ISNUMBER(AP428))),"",
IFERROR(IF((AD428-AF428)/(AJ428/60)/(AP428/1000)&lt;=0,"",(AD428-AF428)/(AJ428/60)/(AP428/1000)),""))</f>
        <v/>
      </c>
    </row>
    <row r="429" ht="15.75" customHeight="1">
      <c r="B429" t="n">
        <v>185</v>
      </c>
      <c r="D429" s="11" t="n">
        <v>45689</v>
      </c>
      <c r="E429" s="231" t="n">
        <v>185</v>
      </c>
      <c r="F429" s="3" t="n">
        <v>424</v>
      </c>
      <c r="G429" s="205">
        <f>IF(OR(S429="",S429=0),"",S429*2)</f>
        <v/>
      </c>
      <c r="M429" s="10">
        <f>IF(OR(E429="",G429="",E429=0,G429=0),"",E429/G429)</f>
        <v/>
      </c>
      <c r="N429" s="9">
        <f>IF(OR(E429="",I429="",E429=0,I429=0),"",E429/(I429*2))</f>
        <v/>
      </c>
      <c r="O429" s="8">
        <f>IF(OR(I429="",G429="",I429=0,G429=0),"",I429*2/G429)</f>
        <v/>
      </c>
      <c r="Z429" s="6" t="n">
        <v>0.19</v>
      </c>
      <c r="AD429" s="5" t="n">
        <v>80</v>
      </c>
      <c r="AF429" s="95" t="n">
        <v>21</v>
      </c>
      <c r="AI429" s="231" t="n">
        <v>9.17</v>
      </c>
      <c r="AJ429" s="261" t="n">
        <v>0.462962962962963</v>
      </c>
      <c r="AL429" s="231" t="n">
        <v>79</v>
      </c>
      <c r="AM429" s="3">
        <f>180+60</f>
        <v/>
      </c>
      <c r="AP429" s="255">
        <f>360-AK429-AB429</f>
        <v/>
      </c>
      <c r="AR429" s="13">
        <f>AVERAGE(AO427:AO433)</f>
        <v/>
      </c>
      <c r="AT429" s="156">
        <f>(E429-W429)/E429</f>
        <v/>
      </c>
      <c r="AU429" s="155">
        <f>(I429-AF429)/I429</f>
        <v/>
      </c>
      <c r="AV429" s="155">
        <f>AG429/(AD429-AF429)</f>
        <v/>
      </c>
      <c r="AW429" s="155">
        <f>(G429-AM429)/G429</f>
        <v/>
      </c>
      <c r="AX429" s="254">
        <f>IF(AND(ISNUMBER(E429),ISNUMBER(W429)),E429-W429,"")</f>
        <v/>
      </c>
      <c r="AY429" s="254">
        <f>IF(AND(ISNUMBER(I429),ISNUMBER(AF429)),I429-AF429,"")</f>
        <v/>
      </c>
      <c r="AZ429" s="254">
        <f>IF(AND(ISNUMBER(AM429),ISNUMBER(G429)),G429-AM429,"")</f>
        <v/>
      </c>
      <c r="BA429" s="254">
        <f>IF(AND(ISNUMBER(AC429),ISNUMBER(AE429)),AC429-AE429,"")</f>
        <v/>
      </c>
      <c r="BB429" s="254">
        <f>IF(AND(ISNUMBER(AL429),ISNUMBER(AM429)),AL429-AM429,"")</f>
        <v/>
      </c>
      <c r="BC429" s="100">
        <f>IF(AND($E429&gt;0,$W429&gt;0),IF(($E429-$W429)/$E429&gt;0,($E429-$W429)/$E429,0),"")</f>
        <v/>
      </c>
      <c r="BD429" s="84">
        <f>IF(AND($I429&gt;0,$AF429&gt;=0),IF(($I429-$AF429)/$I429&gt;0,($I429-$AF429)/$I429,0),"")</f>
        <v/>
      </c>
      <c r="BE429" s="84">
        <f>IF(AND($AG429&gt;=0,$AD429&gt;=0,$AF429&gt;=0),IF($AG429/($AD429-$AF429)&gt;0,$AG429/($AD429-$AF429),0),"")</f>
        <v/>
      </c>
      <c r="BF429" s="84">
        <f>IF(AND($G429&gt;0,$AM429&gt;0),IF(($G429-$AM429)/$G429&gt;0,($G429-$AM429)/$G429,0),"")</f>
        <v/>
      </c>
      <c r="BG429" s="6">
        <f>IF((AD429-AF429)/(AJ429/60)&lt;=0,"",(AD429-AF429)/(AJ429/60))</f>
        <v/>
      </c>
      <c r="BH429" s="6">
        <f>IF(OR(AJ429=0,AP429=0,NOT(ISNUMBER(AD429)),NOT(ISNUMBER(AF429)),NOT(ISNUMBER(AJ429)),NOT(ISNUMBER(AP429))),"",
IFERROR(IF((AD429-AF429)/(AJ429/60)/(AP429/1000)&lt;=0,"",(AD429-AF429)/(AJ429/60)/(AP429/1000)),""))</f>
        <v/>
      </c>
    </row>
    <row r="430" ht="15.75" customHeight="1">
      <c r="B430" t="n">
        <v>186</v>
      </c>
      <c r="C430" s="12" t="inlineStr">
        <is>
          <t>N2O porbe overnight</t>
        </is>
      </c>
      <c r="D430" s="11" t="n">
        <v>45690</v>
      </c>
      <c r="E430" s="231" t="n">
        <v>186</v>
      </c>
      <c r="F430" s="3" t="n">
        <v>425</v>
      </c>
      <c r="G430" s="205">
        <f>IF(OR(S430="",S430=0),"",S430*2)</f>
        <v/>
      </c>
      <c r="I430" s="15">
        <f>(N430*18-H430*18)/9</f>
        <v/>
      </c>
      <c r="J430" s="9">
        <f>5*2.52</f>
        <v/>
      </c>
      <c r="K430" s="15">
        <f>AD430</f>
        <v/>
      </c>
      <c r="M430" s="10">
        <f>IF(OR(E430="",G430="",E430=0,G430=0),"",E430/G430)</f>
        <v/>
      </c>
      <c r="N430" s="9">
        <f>IF(OR(E430="",I430="",E430=0,I430=0),"",E430/(I430*2))</f>
        <v/>
      </c>
      <c r="O430" s="8">
        <f>IF(OR(I430="",G430="",I430=0,G430=0),"",I430*2/G430)</f>
        <v/>
      </c>
      <c r="P430" s="7">
        <f>5*3.99</f>
        <v/>
      </c>
      <c r="V430" s="6">
        <f>54.1</f>
        <v/>
      </c>
      <c r="Z430" s="6" t="n">
        <v>0.45</v>
      </c>
      <c r="AD430" s="5" t="n">
        <v>80</v>
      </c>
      <c r="AE430" s="7">
        <f>T430</f>
        <v/>
      </c>
      <c r="AF430" s="231">
        <f>5*4.21</f>
        <v/>
      </c>
      <c r="AG430" s="231">
        <f>27.6</f>
        <v/>
      </c>
      <c r="AH430" s="231" t="n">
        <v>0</v>
      </c>
      <c r="AI430" s="98" t="n">
        <v>11.7</v>
      </c>
      <c r="AJ430" s="20" t="n">
        <v>0.5072916666666667</v>
      </c>
      <c r="AL430" s="231" t="n">
        <v>83</v>
      </c>
      <c r="AM430" s="3">
        <f>180+60</f>
        <v/>
      </c>
      <c r="AN430" s="4">
        <f>AE430</f>
        <v/>
      </c>
      <c r="AO430" s="231">
        <f>5*4.43</f>
        <v/>
      </c>
      <c r="AP430" s="255">
        <f>360-AK430-AB430</f>
        <v/>
      </c>
      <c r="AR430" s="13">
        <f>AVERAGE(AO428:AO434)</f>
        <v/>
      </c>
      <c r="AT430" s="156">
        <f>(E430-W430)/E430</f>
        <v/>
      </c>
      <c r="AU430" s="155">
        <f>(I430-AF430)/I430</f>
        <v/>
      </c>
      <c r="AV430" s="155">
        <f>AG430/(AD430-AF430)</f>
        <v/>
      </c>
      <c r="AW430" s="155">
        <f>(G430-AM430)/G430</f>
        <v/>
      </c>
      <c r="AX430" s="254">
        <f>IF(AND(ISNUMBER(E430),ISNUMBER(W430)),E430-W430,"")</f>
        <v/>
      </c>
      <c r="AY430" s="254">
        <f>IF(AND(ISNUMBER(I430),ISNUMBER(AF430)),I430-AF430,"")</f>
        <v/>
      </c>
      <c r="AZ430" s="254">
        <f>IF(AND(ISNUMBER(AM430),ISNUMBER(G430)),G430-AM430,"")</f>
        <v/>
      </c>
      <c r="BA430" s="254">
        <f>IF(AND(ISNUMBER(AC430),ISNUMBER(AE430)),AC430-AE430,"")</f>
        <v/>
      </c>
      <c r="BB430" s="254">
        <f>IF(AND(ISNUMBER(AL430),ISNUMBER(AM430)),AL430-AM430,"")</f>
        <v/>
      </c>
      <c r="BC430" s="100">
        <f>IF(AND($E430&gt;0,$W430&gt;0),IF(($E430-$W430)/$E430&gt;0,($E430-$W430)/$E430,0),"")</f>
        <v/>
      </c>
      <c r="BD430" s="84">
        <f>IF(AND($I430&gt;0,$AF430&gt;=0),IF(($I430-$AF430)/$I430&gt;0,($I430-$AF430)/$I430,0),"")</f>
        <v/>
      </c>
      <c r="BE430" s="84">
        <f>IF(AND($AG430&gt;=0,$AD430&gt;=0,$AF430&gt;=0),IF($AG430/($AD430-$AF430)&gt;0,$AG430/($AD430-$AF430),0),"")</f>
        <v/>
      </c>
      <c r="BF430" s="84">
        <f>IF(AND($G430&gt;0,$AM430&gt;0),IF(($G430-$AM430)/$G430&gt;0,($G430-$AM430)/$G430,0),"")</f>
        <v/>
      </c>
      <c r="BG430" s="6">
        <f>IF((AD430-AF430)/(AJ430/60)&lt;=0,"",(AD430-AF430)/(AJ430/60))</f>
        <v/>
      </c>
      <c r="BH430" s="6">
        <f>IF(OR(AJ430=0,AP430=0,NOT(ISNUMBER(AD430)),NOT(ISNUMBER(AF430)),NOT(ISNUMBER(AJ430)),NOT(ISNUMBER(AP430))),"",
IFERROR(IF((AD430-AF430)/(AJ430/60)/(AP430/1000)&lt;=0,"",(AD430-AF430)/(AJ430/60)/(AP430/1000)),""))</f>
        <v/>
      </c>
    </row>
    <row r="431" ht="15.75" customHeight="1">
      <c r="B431" t="n">
        <v>187</v>
      </c>
      <c r="C431" s="25" t="inlineStr">
        <is>
          <t xml:space="preserve">accidently added shit ton of Carbon/ N2O probe calibration </t>
        </is>
      </c>
      <c r="D431" s="11" t="n">
        <v>45691</v>
      </c>
      <c r="E431" s="231" t="n">
        <v>187</v>
      </c>
      <c r="F431" s="3" t="n">
        <v>426</v>
      </c>
      <c r="G431" s="205">
        <f>IF(OR(S431="",S431=0),"",S431*2)</f>
        <v/>
      </c>
      <c r="M431" s="10">
        <f>IF(OR(E431="",G431="",E431=0,G431=0),"",E431/G431)</f>
        <v/>
      </c>
      <c r="N431" s="9">
        <f>IF(OR(E431="",I431="",E431=0,I431=0),"",E431/(I431*2))</f>
        <v/>
      </c>
      <c r="O431" s="8">
        <f>IF(OR(I431="",G431="",I431=0,G431=0),"",I431*2/G431)</f>
        <v/>
      </c>
      <c r="Q431" s="6" t="n">
        <v>258.975</v>
      </c>
      <c r="R431" s="59" t="n">
        <v>31.608</v>
      </c>
      <c r="S431" s="6">
        <f>O431*1.067</f>
        <v/>
      </c>
      <c r="T431" s="6">
        <f>P431*1.514</f>
        <v/>
      </c>
      <c r="U431" s="23">
        <f>P431*1.514+O431*1.067</f>
        <v/>
      </c>
      <c r="W431" s="59" t="n">
        <v>0.859</v>
      </c>
      <c r="X431" s="59" t="n">
        <v>0.5639999999999999</v>
      </c>
      <c r="Z431" s="6" t="n">
        <v>0.36</v>
      </c>
      <c r="AD431" s="5" t="n">
        <v>80</v>
      </c>
      <c r="AF431" s="95" t="n">
        <v>20</v>
      </c>
      <c r="AI431" s="98" t="n"/>
      <c r="AJ431" s="20" t="n">
        <v>0.4604166666666666</v>
      </c>
      <c r="AL431" s="231" t="n">
        <v>61</v>
      </c>
      <c r="AM431" s="3">
        <f>180+60</f>
        <v/>
      </c>
      <c r="AP431" s="255">
        <f>360-AK431-AB431</f>
        <v/>
      </c>
      <c r="AQ431" s="2" t="n">
        <v>2909.999999999991</v>
      </c>
      <c r="AR431" s="13">
        <f>AVERAGE(AO429:AO435)</f>
        <v/>
      </c>
      <c r="AS431" s="2" t="n">
        <v>25.79025110782853</v>
      </c>
      <c r="AT431" s="156">
        <f>(E431-W431)/E431</f>
        <v/>
      </c>
      <c r="AU431" s="155">
        <f>(I431-AF431)/I431</f>
        <v/>
      </c>
      <c r="AV431" s="155">
        <f>AG431/(AD431-AF431)</f>
        <v/>
      </c>
      <c r="AW431" s="155">
        <f>(G431-AM431)/G431</f>
        <v/>
      </c>
      <c r="AX431" s="254">
        <f>IF(AND(ISNUMBER(E431),ISNUMBER(W431)),E431-W431,"")</f>
        <v/>
      </c>
      <c r="AY431" s="254">
        <f>IF(AND(ISNUMBER(I431),ISNUMBER(AF431)),I431-AF431,"")</f>
        <v/>
      </c>
      <c r="AZ431" s="254">
        <f>IF(AND(ISNUMBER(AM431),ISNUMBER(G431)),G431-AM431,"")</f>
        <v/>
      </c>
      <c r="BA431" s="254">
        <f>IF(AND(ISNUMBER(AC431),ISNUMBER(AE431)),AC431-AE431,"")</f>
        <v/>
      </c>
      <c r="BB431" s="254">
        <f>IF(AND(ISNUMBER(AL431),ISNUMBER(AM431)),AL431-AM431,"")</f>
        <v/>
      </c>
      <c r="BC431" s="100">
        <f>IF(AND($E431&gt;0,$W431&gt;0),IF(($E431-$W431)/$E431&gt;0,($E431-$W431)/$E431,0),"")</f>
        <v/>
      </c>
      <c r="BD431" s="84">
        <f>IF(AND($I431&gt;0,$AF431&gt;=0),IF(($I431-$AF431)/$I431&gt;0,($I431-$AF431)/$I431,0),"")</f>
        <v/>
      </c>
      <c r="BE431" s="84" t="n"/>
      <c r="BF431" s="84">
        <f>IF(AND($G431&gt;0,$AM431&gt;0),IF(($G431-$AM431)/$G431&gt;0,($G431-$AM431)/$G431,0),"")</f>
        <v/>
      </c>
      <c r="BG431" s="6">
        <f>IF((AD431-AF431)/(AJ431/60)&lt;=0,"",(AD431-AF431)/(AJ431/60))</f>
        <v/>
      </c>
      <c r="BH431" s="6">
        <f>IF(OR(AJ431=0,AP431=0,NOT(ISNUMBER(AD431)),NOT(ISNUMBER(AF431)),NOT(ISNUMBER(AJ431)),NOT(ISNUMBER(AP431))),"",
IFERROR(IF((AD431-AF431)/(AJ431/60)/(AP431/1000)&lt;=0,"",(AD431-AF431)/(AJ431/60)/(AP431/1000)),""))</f>
        <v/>
      </c>
    </row>
    <row r="432" ht="15.75" customHeight="1">
      <c r="B432" t="n">
        <v>188</v>
      </c>
      <c r="D432" s="11" t="n">
        <v>45692</v>
      </c>
      <c r="E432" s="231" t="n">
        <v>188</v>
      </c>
      <c r="F432" s="3" t="n">
        <v>427</v>
      </c>
      <c r="G432" s="205">
        <f>IF(OR(S432="",S432=0),"",S432*2)</f>
        <v/>
      </c>
      <c r="M432" s="10">
        <f>IF(OR(E432="",G432="",E432=0,G432=0),"",E432/G432)</f>
        <v/>
      </c>
      <c r="N432" s="9">
        <f>IF(OR(E432="",I432="",E432=0,I432=0),"",E432/(I432*2))</f>
        <v/>
      </c>
      <c r="O432" s="8">
        <f>IF(OR(I432="",G432="",I432=0,G432=0),"",I432*2/G432)</f>
        <v/>
      </c>
      <c r="AD432" s="5" t="n">
        <v>80</v>
      </c>
      <c r="AF432" s="95" t="n">
        <v>20</v>
      </c>
      <c r="AI432" s="98" t="n">
        <v>9.390000000000001</v>
      </c>
      <c r="AJ432" s="20" t="n">
        <v>0.4488425925925926</v>
      </c>
      <c r="AL432" s="231" t="n">
        <v>55</v>
      </c>
      <c r="AM432" s="3">
        <f>180+60</f>
        <v/>
      </c>
      <c r="AP432" s="255">
        <f>360-AK432-AB432</f>
        <v/>
      </c>
      <c r="AR432" s="13">
        <f>AVERAGE(AO430:AO436)</f>
        <v/>
      </c>
      <c r="AT432" s="156">
        <f>(E432-W432)/E432</f>
        <v/>
      </c>
      <c r="AU432" s="155">
        <f>(I432-AF432)/I432</f>
        <v/>
      </c>
      <c r="AV432" s="155">
        <f>AG432/(AD432-AF432)</f>
        <v/>
      </c>
      <c r="AW432" s="155">
        <f>(G432-AM432)/G432</f>
        <v/>
      </c>
      <c r="AX432" s="254">
        <f>IF(AND(ISNUMBER(E432),ISNUMBER(W432)),E432-W432,"")</f>
        <v/>
      </c>
      <c r="AY432" s="254">
        <f>IF(AND(ISNUMBER(I432),ISNUMBER(AF432)),I432-AF432,"")</f>
        <v/>
      </c>
      <c r="AZ432" s="254">
        <f>IF(AND(ISNUMBER(AM432),ISNUMBER(G432)),G432-AM432,"")</f>
        <v/>
      </c>
      <c r="BA432" s="254">
        <f>IF(AND(ISNUMBER(AC432),ISNUMBER(AE432)),AC432-AE432,"")</f>
        <v/>
      </c>
      <c r="BB432" s="254">
        <f>IF(AND(ISNUMBER(AL432),ISNUMBER(AM432)),AL432-AM432,"")</f>
        <v/>
      </c>
      <c r="BC432" s="84">
        <f>IF(AND($E432&gt;0,$W432&gt;0),IF(($E432-$W432)/$E432&gt;0,($E432-$W432)/$E432,0),"")</f>
        <v/>
      </c>
      <c r="BD432" s="84">
        <f>IF(AND($I432&gt;0,$AF432&gt;=0),IF(($I432-$AF432)/$I432&gt;0,($I432-$AF432)/$I432,0),"")</f>
        <v/>
      </c>
      <c r="BE432" s="84">
        <f>IF(AND($AG432&gt;=0,$AD432&gt;=0,$AF432&gt;=0),IF($AG432/($AD432-$AF432)&gt;0,$AG432/($AD432-$AF432),0),"")</f>
        <v/>
      </c>
      <c r="BF432" s="84">
        <f>IF(AND($G432&gt;0,$AM432&gt;0),IF(($G432-$AM432)/$G432&gt;0,($G432-$AM432)/$G432,0),"")</f>
        <v/>
      </c>
      <c r="BG432" s="6">
        <f>IF((AD432-AF432)/(AJ432/60)&lt;=0,"",(AD432-AF432)/(AJ432/60))</f>
        <v/>
      </c>
      <c r="BH432" s="6">
        <f>IF(OR(AJ432=0,AP432=0,NOT(ISNUMBER(AD432)),NOT(ISNUMBER(AF432)),NOT(ISNUMBER(AJ432)),NOT(ISNUMBER(AP432))),"",
IFERROR(IF((AD432-AF432)/(AJ432/60)/(AP432/1000)&lt;=0,"",(AD432-AF432)/(AJ432/60)/(AP432/1000)),""))</f>
        <v/>
      </c>
    </row>
    <row r="433" ht="15.75" customHeight="1">
      <c r="A433" s="260" t="inlineStr">
        <is>
          <t>B56</t>
        </is>
      </c>
      <c r="B433" s="260" t="n">
        <v>189</v>
      </c>
      <c r="D433" s="94" t="n">
        <v>45693</v>
      </c>
      <c r="E433" s="231" t="n">
        <v>189</v>
      </c>
      <c r="F433" s="3" t="n">
        <v>428</v>
      </c>
      <c r="G433" s="205">
        <f>IF(OR(S433="",S433=0),"",S433*2)</f>
        <v/>
      </c>
      <c r="I433" s="15">
        <f>(N433*18-H433*18)/9</f>
        <v/>
      </c>
      <c r="J433" s="15">
        <f>5*0.109</f>
        <v/>
      </c>
      <c r="K433" s="15">
        <f>AD433</f>
        <v/>
      </c>
      <c r="M433" s="10">
        <f>IF(OR(E433="",G433="",E433=0,G433=0),"",E433/G433)</f>
        <v/>
      </c>
      <c r="N433" s="9">
        <f>IF(OR(E433="",I433="",E433=0,I433=0),"",E433/(I433*2))</f>
        <v/>
      </c>
      <c r="O433" s="8">
        <f>IF(OR(I433="",G433="",I433=0,G433=0),"",I433*2/G433)</f>
        <v/>
      </c>
      <c r="P433" s="7">
        <f>5*1.78</f>
        <v/>
      </c>
      <c r="Q433" s="59" t="n">
        <v>100.46</v>
      </c>
      <c r="R433" s="59" t="n">
        <v>32.466</v>
      </c>
      <c r="S433" s="6">
        <f>O433*1.067</f>
        <v/>
      </c>
      <c r="T433" s="6">
        <f>P433*1.514</f>
        <v/>
      </c>
      <c r="U433" s="23">
        <f>P433*1.514+O433*1.067</f>
        <v/>
      </c>
      <c r="V433" s="6">
        <f>36.4</f>
        <v/>
      </c>
      <c r="W433" s="6" t="n">
        <v>0</v>
      </c>
      <c r="X433" s="6" t="n">
        <v>0</v>
      </c>
      <c r="Y433" s="23">
        <f>U433*1.067+V433*1.514</f>
        <v/>
      </c>
      <c r="AD433" s="5" t="n">
        <v>80</v>
      </c>
      <c r="AE433" s="7">
        <f>T433</f>
        <v/>
      </c>
      <c r="AF433" s="231">
        <f>5*4.17</f>
        <v/>
      </c>
      <c r="AG433" s="231">
        <f>5*1.78</f>
        <v/>
      </c>
      <c r="AH433" s="231" t="n">
        <v>0</v>
      </c>
      <c r="AI433" s="98" t="n"/>
      <c r="AJ433" s="20" t="n">
        <v>0.4710648148148148</v>
      </c>
      <c r="AL433" s="231" t="n">
        <v>73</v>
      </c>
      <c r="AM433" s="3">
        <f>180+60</f>
        <v/>
      </c>
      <c r="AN433" s="4">
        <f>AE433</f>
        <v/>
      </c>
      <c r="AO433" s="231">
        <f>5*0.852</f>
        <v/>
      </c>
      <c r="AP433" s="255">
        <f>360-AK433-AB433</f>
        <v/>
      </c>
      <c r="AR433" s="13">
        <f>AVERAGE(AO431:AO437)</f>
        <v/>
      </c>
      <c r="AT433" s="156">
        <f>(E433-W433)/E433</f>
        <v/>
      </c>
      <c r="AU433" s="155">
        <f>(I433-AF433)/I433</f>
        <v/>
      </c>
      <c r="AV433" s="155">
        <f>AG433/(AD433-AF433)</f>
        <v/>
      </c>
      <c r="AW433" s="155">
        <f>(G433-AM433)/G433</f>
        <v/>
      </c>
      <c r="AX433" s="254">
        <f>IF(AND(ISNUMBER(E433),ISNUMBER(W433)),E433-W433,"")</f>
        <v/>
      </c>
      <c r="AY433" s="254">
        <f>IF(AND(ISNUMBER(I433),ISNUMBER(AF433)),I433-AF433,"")</f>
        <v/>
      </c>
      <c r="AZ433" s="254">
        <f>IF(AND(ISNUMBER(AM433),ISNUMBER(G433)),G433-AM433,"")</f>
        <v/>
      </c>
      <c r="BA433" s="254">
        <f>IF(AND(ISNUMBER(AC433),ISNUMBER(AE433)),AC433-AE433,"")</f>
        <v/>
      </c>
      <c r="BB433" s="254">
        <f>IF(AND(ISNUMBER(AL433),ISNUMBER(AM433)),AL433-AM433,"")</f>
        <v/>
      </c>
      <c r="BC433" s="60">
        <f>IF(AND($E433&gt;0,$W433&gt;0),IF(($E433-$W433)/$E433&gt;0,($E433-$W433)/$E433,0),"")</f>
        <v/>
      </c>
      <c r="BD433" s="60">
        <f>IF(AND($I433&gt;0,$AF433&gt;=0),IF(($I433-$AF433)/$I433&gt;0,($I433-$AF433)/$I433,0),"")</f>
        <v/>
      </c>
      <c r="BE433" s="60" t="n"/>
      <c r="BF433" s="60">
        <f>IF(AND($G433&gt;0,$AM433&gt;0),IF(($G433-$AM433)/$G433&gt;0,($G433-$AM433)/$G433,0),"")</f>
        <v/>
      </c>
      <c r="BG433" s="6">
        <f>IF((AD433-AF433)/(AJ433/60)&lt;=0,"",(AD433-AF433)/(AJ433/60))</f>
        <v/>
      </c>
      <c r="BH433" s="6">
        <f>IF(OR(AJ433=0,AP433=0,NOT(ISNUMBER(AD433)),NOT(ISNUMBER(AF433)),NOT(ISNUMBER(AJ433)),NOT(ISNUMBER(AP433))),"",
IFERROR(IF((AD433-AF433)/(AJ433/60)/(AP433/1000)&lt;=0,"",(AD433-AF433)/(AJ433/60)/(AP433/1000)),""))</f>
        <v/>
      </c>
    </row>
    <row r="434" ht="15.75" customHeight="1">
      <c r="B434" t="n">
        <v>190</v>
      </c>
      <c r="D434" s="94" t="n">
        <v>45694</v>
      </c>
      <c r="E434" s="231" t="n">
        <v>190</v>
      </c>
      <c r="F434" s="3" t="n">
        <v>429</v>
      </c>
      <c r="G434" s="205">
        <f>IF(OR(S434="",S434=0),"",S434*2)</f>
        <v/>
      </c>
      <c r="I434" s="15">
        <f>(N434*18-H434*18)/9</f>
        <v/>
      </c>
      <c r="J434" s="15">
        <f>5*0.87</f>
        <v/>
      </c>
      <c r="K434" s="15">
        <f>AD434</f>
        <v/>
      </c>
      <c r="M434" s="10">
        <f>IF(OR(E434="",G434="",E434=0,G434=0),"",E434/G434)</f>
        <v/>
      </c>
      <c r="N434" s="9">
        <f>IF(OR(E434="",I434="",E434=0,I434=0),"",E434/(I434*2))</f>
        <v/>
      </c>
      <c r="O434" s="8">
        <f>IF(OR(I434="",G434="",I434=0,G434=0),"",I434*2/G434)</f>
        <v/>
      </c>
      <c r="P434" s="7">
        <f>5*2.3</f>
        <v/>
      </c>
      <c r="Q434" s="59" t="n">
        <v>87.11799999999999</v>
      </c>
      <c r="R434" s="59" t="n">
        <v>26.358</v>
      </c>
      <c r="S434" s="6">
        <f>O434*1.067</f>
        <v/>
      </c>
      <c r="T434" s="6">
        <f>P434*1.514</f>
        <v/>
      </c>
      <c r="U434" s="23">
        <f>P434*1.514+O434*1.067</f>
        <v/>
      </c>
      <c r="V434" s="6">
        <f>36.7</f>
        <v/>
      </c>
      <c r="W434" s="6" t="n">
        <v>0</v>
      </c>
      <c r="X434" s="6" t="n">
        <v>0</v>
      </c>
      <c r="Y434" s="23">
        <f>U434*1.067+V434*1.514</f>
        <v/>
      </c>
      <c r="AD434" s="5" t="n">
        <v>80</v>
      </c>
      <c r="AE434" s="7">
        <f>T434</f>
        <v/>
      </c>
      <c r="AF434" s="231">
        <f>5*4.06</f>
        <v/>
      </c>
      <c r="AG434" s="231">
        <f>5*2.53</f>
        <v/>
      </c>
      <c r="AH434" s="231" t="n">
        <v>0</v>
      </c>
      <c r="AI434" s="98" t="n">
        <v>10.47</v>
      </c>
      <c r="AJ434" s="20" t="n">
        <v>0.4561342592592593</v>
      </c>
      <c r="AL434" s="231" t="n">
        <v>74</v>
      </c>
      <c r="AM434" s="3">
        <f>180+60</f>
        <v/>
      </c>
      <c r="AN434" s="4">
        <f>AE434</f>
        <v/>
      </c>
      <c r="AO434" s="231">
        <f>5*1.53</f>
        <v/>
      </c>
      <c r="AP434" s="255">
        <f>360-AK434-AB434</f>
        <v/>
      </c>
      <c r="AQ434" s="2" t="n">
        <v>3309.999999999991</v>
      </c>
      <c r="AR434" s="13">
        <f>AVERAGE(AO432:AO438)</f>
        <v/>
      </c>
      <c r="AS434" s="2" t="n">
        <v>28.39035547507849</v>
      </c>
      <c r="AT434" s="156">
        <f>(E434-W434)/E434</f>
        <v/>
      </c>
      <c r="AU434" s="155">
        <f>(I434-AF434)/I434</f>
        <v/>
      </c>
      <c r="AV434" s="155">
        <f>AG434/(AD434-AF434)</f>
        <v/>
      </c>
      <c r="AW434" s="155">
        <f>(G434-AM434)/G434</f>
        <v/>
      </c>
      <c r="AX434" s="254">
        <f>IF(AND(ISNUMBER(E434),ISNUMBER(W434)),E434-W434,"")</f>
        <v/>
      </c>
      <c r="AY434" s="254">
        <f>IF(AND(ISNUMBER(I434),ISNUMBER(AF434)),I434-AF434,"")</f>
        <v/>
      </c>
      <c r="AZ434" s="254">
        <f>IF(AND(ISNUMBER(AM434),ISNUMBER(G434)),G434-AM434,"")</f>
        <v/>
      </c>
      <c r="BA434" s="254">
        <f>IF(AND(ISNUMBER(AC434),ISNUMBER(AE434)),AC434-AE434,"")</f>
        <v/>
      </c>
      <c r="BB434" s="254">
        <f>IF(AND(ISNUMBER(AL434),ISNUMBER(AM434)),AL434-AM434,"")</f>
        <v/>
      </c>
      <c r="BC434" s="60">
        <f>IF(AND($E434&gt;0,$W434&gt;0),IF(($E434-$W434)/$E434&gt;0,($E434-$W434)/$E434,0),"")</f>
        <v/>
      </c>
      <c r="BD434" s="60">
        <f>IF(AND($I434&gt;0,$AF434&gt;=0),IF(($I434-$AF434)/$I434&gt;0,($I434-$AF434)/$I434,0),"")</f>
        <v/>
      </c>
      <c r="BE434" s="60">
        <f>IF(AND($AG434&gt;=0,$AD434&gt;=0,$AF434&gt;=0),IF($AG434/($AD434-$AF434)&gt;0,$AG434/($AD434-$AF434),0),"")</f>
        <v/>
      </c>
      <c r="BF434" s="60">
        <f>IF(AND($G434&gt;0,$AM434&gt;0),IF(($G434-$AM434)/$G434&gt;0,($G434-$AM434)/$G434,0),"")</f>
        <v/>
      </c>
      <c r="BG434" s="6">
        <f>IF((AD434-AF434)/(AJ434/60)&lt;=0,"",(AD434-AF434)/(AJ434/60))</f>
        <v/>
      </c>
      <c r="BH434" s="6">
        <f>IF(OR(AJ434=0,AP434=0,NOT(ISNUMBER(AD434)),NOT(ISNUMBER(AF434)),NOT(ISNUMBER(AJ434)),NOT(ISNUMBER(AP434))),"",
IFERROR(IF((AD434-AF434)/(AJ434/60)/(AP434/1000)&lt;=0,"",(AD434-AF434)/(AJ434/60)/(AP434/1000)),""))</f>
        <v/>
      </c>
    </row>
    <row r="435" ht="15.75" customHeight="1">
      <c r="B435" t="n">
        <v>191</v>
      </c>
      <c r="C435" s="12" t="inlineStr">
        <is>
          <t>gradual increase N (improce P or C?)</t>
        </is>
      </c>
      <c r="D435" s="94" t="n">
        <v>45695</v>
      </c>
      <c r="E435" s="231" t="n">
        <v>191</v>
      </c>
      <c r="F435" s="3" t="n">
        <v>430</v>
      </c>
      <c r="G435" s="205">
        <f>IF(OR(S435="",S435=0),"",S435*2)</f>
        <v/>
      </c>
      <c r="I435" s="15">
        <f>(N435*18-H435*18)/9</f>
        <v/>
      </c>
      <c r="J435" s="15">
        <f>5*0.7</f>
        <v/>
      </c>
      <c r="K435" s="15">
        <f>AD435</f>
        <v/>
      </c>
      <c r="M435" s="10">
        <f>IF(OR(E435="",G435="",E435=0,G435=0),"",E435/G435)</f>
        <v/>
      </c>
      <c r="N435" s="9">
        <f>IF(OR(E435="",I435="",E435=0,I435=0),"",E435/(I435*2))</f>
        <v/>
      </c>
      <c r="O435" s="8">
        <f>IF(OR(I435="",G435="",I435=0,G435=0),"",I435*2/G435)</f>
        <v/>
      </c>
      <c r="P435" s="7">
        <f>5*2.08</f>
        <v/>
      </c>
      <c r="Q435" s="59" t="n">
        <v>90.566</v>
      </c>
      <c r="R435" s="59" t="n">
        <v>30.125</v>
      </c>
      <c r="S435" s="6">
        <f>O435*1.067</f>
        <v/>
      </c>
      <c r="T435" s="6">
        <f>P435*1.514</f>
        <v/>
      </c>
      <c r="U435" s="23">
        <f>P435*1.514+O435*1.067</f>
        <v/>
      </c>
      <c r="V435" s="6">
        <f>38.2</f>
        <v/>
      </c>
      <c r="W435" s="59" t="n">
        <v>0.341</v>
      </c>
      <c r="X435" s="59" t="n">
        <v>0.089</v>
      </c>
      <c r="Y435" s="23">
        <f>U435*1.067+V435*1.514</f>
        <v/>
      </c>
      <c r="AD435" s="5" t="n">
        <v>80</v>
      </c>
      <c r="AE435" s="7">
        <f>T435</f>
        <v/>
      </c>
      <c r="AF435" s="231">
        <f>5*5.56</f>
        <v/>
      </c>
      <c r="AG435" s="231">
        <f>5*1.44</f>
        <v/>
      </c>
      <c r="AH435" s="231" t="n">
        <v>0</v>
      </c>
      <c r="AI435" s="98" t="n">
        <v>16.1</v>
      </c>
      <c r="AJ435" s="20" t="n">
        <v>0.4946759259259259</v>
      </c>
      <c r="AL435" s="93" t="n">
        <v>74</v>
      </c>
      <c r="AM435" s="3">
        <f>180+60</f>
        <v/>
      </c>
      <c r="AN435" s="4">
        <f>AE435</f>
        <v/>
      </c>
      <c r="AO435" s="231">
        <f>5*0.826</f>
        <v/>
      </c>
      <c r="AP435" s="255">
        <f>360-AK435-AB435</f>
        <v/>
      </c>
      <c r="AR435" s="13">
        <f>AVERAGE(AO433:AO439)</f>
        <v/>
      </c>
      <c r="AT435" s="156">
        <f>(E435-W435)/E435</f>
        <v/>
      </c>
      <c r="AU435" s="155">
        <f>(I435-AF435)/I435</f>
        <v/>
      </c>
      <c r="AV435" s="155">
        <f>AG435/(AD435-AF435)</f>
        <v/>
      </c>
      <c r="AW435" s="155">
        <f>(G435-AM435)/G435</f>
        <v/>
      </c>
      <c r="AX435" s="254">
        <f>IF(AND(ISNUMBER(E435),ISNUMBER(W435)),E435-W435,"")</f>
        <v/>
      </c>
      <c r="AY435" s="254">
        <f>IF(AND(ISNUMBER(I435),ISNUMBER(AF435)),I435-AF435,"")</f>
        <v/>
      </c>
      <c r="AZ435" s="254">
        <f>IF(AND(ISNUMBER(AM435),ISNUMBER(G435)),G435-AM435,"")</f>
        <v/>
      </c>
      <c r="BA435" s="254">
        <f>IF(AND(ISNUMBER(AC435),ISNUMBER(AE435)),AC435-AE435,"")</f>
        <v/>
      </c>
      <c r="BB435" s="254">
        <f>IF(AND(ISNUMBER(AL435),ISNUMBER(AM435)),AL435-AM435,"")</f>
        <v/>
      </c>
      <c r="BC435" s="60">
        <f>IF(AND($E435&gt;0,$W435&gt;0),IF(($E435-$W435)/$E435&gt;0,($E435-$W435)/$E435,0),"")</f>
        <v/>
      </c>
      <c r="BD435" s="60">
        <f>IF(AND($I435&gt;0,$AF435&gt;=0),IF(($I435-$AF435)/$I435&gt;0,($I435-$AF435)/$I435,0),"")</f>
        <v/>
      </c>
      <c r="BE435" s="60">
        <f>IF(AND($AG435&gt;=0,$AD435&gt;=0,$AF435&gt;=0),IF($AG435/($AD435-$AF435)&gt;0,$AG435/($AD435-$AF435),0),"")</f>
        <v/>
      </c>
      <c r="BF435" s="60">
        <f>IF(AND($G435&gt;0,$AM435&gt;0),IF(($G435-$AM435)/$G435&gt;0,($G435-$AM435)/$G435,0),"")</f>
        <v/>
      </c>
      <c r="BG435" s="6">
        <f>IF((AD435-AF435)/(AJ435/60)&lt;=0,"",(AD435-AF435)/(AJ435/60))</f>
        <v/>
      </c>
      <c r="BH435" s="6">
        <f>IF(OR(AJ435=0,AP435=0,NOT(ISNUMBER(AD435)),NOT(ISNUMBER(AF435)),NOT(ISNUMBER(AJ435)),NOT(ISNUMBER(AP435))),"",
IFERROR(IF((AD435-AF435)/(AJ435/60)/(AP435/1000)&lt;=0,"",(AD435-AF435)/(AJ435/60)/(AP435/1000)),""))</f>
        <v/>
      </c>
    </row>
    <row r="436" ht="15.75" customHeight="1">
      <c r="B436" t="n">
        <v>192</v>
      </c>
      <c r="C436" s="12" t="inlineStr">
        <is>
          <t>gradual increase N</t>
        </is>
      </c>
      <c r="D436" s="94" t="n">
        <v>45696</v>
      </c>
      <c r="E436" s="231" t="n">
        <v>192</v>
      </c>
      <c r="F436" s="3" t="n">
        <v>431</v>
      </c>
      <c r="G436" s="205">
        <f>IF(OR(S436="",S436=0),"",S436*2)</f>
        <v/>
      </c>
      <c r="J436" s="15" t="n"/>
      <c r="K436" s="15">
        <f>AD436</f>
        <v/>
      </c>
      <c r="M436" s="10">
        <f>IF(OR(E436="",G436="",E436=0,G436=0),"",E436/G436)</f>
        <v/>
      </c>
      <c r="N436" s="9">
        <f>IF(OR(E436="",I436="",E436=0,I436=0),"",E436/(I436*2))</f>
        <v/>
      </c>
      <c r="O436" s="8">
        <f>IF(OR(I436="",G436="",I436=0,G436=0),"",I436*2/G436)</f>
        <v/>
      </c>
      <c r="AD436" s="5" t="n">
        <v>80</v>
      </c>
      <c r="AF436" s="95" t="n">
        <v>26</v>
      </c>
      <c r="AI436" s="98" t="n">
        <v>15.03</v>
      </c>
      <c r="AJ436" s="20" t="n">
        <v>0.4995370370370371</v>
      </c>
      <c r="AL436" s="93" t="n">
        <v>74</v>
      </c>
      <c r="AM436" s="3">
        <f>180+60</f>
        <v/>
      </c>
      <c r="AP436" s="255">
        <f>360-AK436-AB436</f>
        <v/>
      </c>
      <c r="AR436" s="13">
        <f>AVERAGE(AO434:AO440)</f>
        <v/>
      </c>
      <c r="AT436" s="156">
        <f>(E436-W436)/E436</f>
        <v/>
      </c>
      <c r="AU436" s="155">
        <f>(I436-AF436)/I436</f>
        <v/>
      </c>
      <c r="AV436" s="155">
        <f>AG436/(AD436-AF436)</f>
        <v/>
      </c>
      <c r="AW436" s="155">
        <f>(G436-AM436)/G436</f>
        <v/>
      </c>
      <c r="AX436" s="254">
        <f>IF(AND(ISNUMBER(E436),ISNUMBER(W436)),E436-W436,"")</f>
        <v/>
      </c>
      <c r="AY436" s="254">
        <f>IF(AND(ISNUMBER(I436),ISNUMBER(AF436)),I436-AF436,"")</f>
        <v/>
      </c>
      <c r="AZ436" s="254">
        <f>IF(AND(ISNUMBER(AM436),ISNUMBER(G436)),G436-AM436,"")</f>
        <v/>
      </c>
      <c r="BA436" s="254">
        <f>IF(AND(ISNUMBER(AC436),ISNUMBER(AE436)),AC436-AE436,"")</f>
        <v/>
      </c>
      <c r="BB436" s="254">
        <f>IF(AND(ISNUMBER(AL436),ISNUMBER(AM436)),AL436-AM436,"")</f>
        <v/>
      </c>
      <c r="BC436" s="60">
        <f>IF(AND($E436&gt;0,$W436&gt;0),IF(($E436-$W436)/$E436&gt;0,($E436-$W436)/$E436,0),"")</f>
        <v/>
      </c>
      <c r="BD436" s="60">
        <f>IF(AND($I436&gt;0,$AF436&gt;=0),IF(($I436-$AF436)/$I436&gt;0,($I436-$AF436)/$I436,0),"")</f>
        <v/>
      </c>
      <c r="BE436" s="60">
        <f>IF(AND($AG436&gt;=0,$AD436&gt;=0,$AF436&gt;=0),IF($AG436/($AD436-$AF436)&gt;0,$AG436/($AD436-$AF436),0),"")</f>
        <v/>
      </c>
      <c r="BF436" s="60">
        <f>IF(AND($G436&gt;0,$AM436&gt;0),IF(($G436-$AM436)/$G436&gt;0,($G436-$AM436)/$G436,0),"")</f>
        <v/>
      </c>
      <c r="BG436" s="6">
        <f>IF((AD436-AF436)/(AJ436/60)&lt;=0,"",(AD436-AF436)/(AJ436/60))</f>
        <v/>
      </c>
      <c r="BH436" s="6">
        <f>IF(OR(AJ436=0,AP436=0,NOT(ISNUMBER(AD436)),NOT(ISNUMBER(AF436)),NOT(ISNUMBER(AJ436)),NOT(ISNUMBER(AP436))),"",
IFERROR(IF((AD436-AF436)/(AJ436/60)/(AP436/1000)&lt;=0,"",(AD436-AF436)/(AJ436/60)/(AP436/1000)),""))</f>
        <v/>
      </c>
    </row>
    <row r="437" ht="15.75" customHeight="1">
      <c r="B437" t="n">
        <v>193</v>
      </c>
      <c r="C437" s="12" t="inlineStr">
        <is>
          <t>gradual increase N</t>
        </is>
      </c>
      <c r="D437" s="94" t="n">
        <v>45697</v>
      </c>
      <c r="E437" s="231" t="n">
        <v>193</v>
      </c>
      <c r="F437" s="3" t="n">
        <v>432</v>
      </c>
      <c r="G437" s="205">
        <f>IF(OR(S437="",S437=0),"",S437*2)</f>
        <v/>
      </c>
      <c r="I437" s="15">
        <f>(N437*18-H437*18)/9</f>
        <v/>
      </c>
      <c r="J437" s="15" t="n">
        <v>36.5</v>
      </c>
      <c r="K437" s="15">
        <f>AD437</f>
        <v/>
      </c>
      <c r="M437" s="10">
        <f>IF(OR(E437="",G437="",E437=0,G437=0),"",E437/G437)</f>
        <v/>
      </c>
      <c r="N437" s="9">
        <f>IF(OR(E437="",I437="",E437=0,I437=0),"",E437/(I437*2))</f>
        <v/>
      </c>
      <c r="O437" s="8">
        <f>IF(OR(I437="",G437="",I437=0,G437=0),"",I437*2/G437)</f>
        <v/>
      </c>
      <c r="P437" s="7" t="n">
        <v>43.5</v>
      </c>
      <c r="V437" s="6" t="n">
        <v>77.90000000000001</v>
      </c>
      <c r="AD437" s="5" t="n">
        <v>80</v>
      </c>
      <c r="AE437" s="7">
        <f>T437</f>
        <v/>
      </c>
      <c r="AF437" s="231">
        <f>5*5.01</f>
        <v/>
      </c>
      <c r="AG437" s="231">
        <f>34.1</f>
        <v/>
      </c>
      <c r="AH437" s="231" t="n">
        <v>0</v>
      </c>
      <c r="AI437" s="98" t="n">
        <v>14.4</v>
      </c>
      <c r="AJ437" s="20" t="n">
        <v>0.4987268518518518</v>
      </c>
      <c r="AL437" s="93" t="n">
        <v>74</v>
      </c>
      <c r="AM437" s="3">
        <f>180+60</f>
        <v/>
      </c>
      <c r="AN437" s="4">
        <f>AE437</f>
        <v/>
      </c>
      <c r="AO437" s="231">
        <f>32.1</f>
        <v/>
      </c>
      <c r="AP437" s="255">
        <f>360-AK437-AB437</f>
        <v/>
      </c>
      <c r="AR437" s="13">
        <f>AVERAGE(AO435:AO441)</f>
        <v/>
      </c>
      <c r="AT437" s="156">
        <f>(E437-W437)/E437</f>
        <v/>
      </c>
      <c r="AU437" s="155">
        <f>(I437-AF437)/I437</f>
        <v/>
      </c>
      <c r="AV437" s="155">
        <f>AG437/(AD437-AF437)</f>
        <v/>
      </c>
      <c r="AW437" s="155">
        <f>(G437-AM437)/G437</f>
        <v/>
      </c>
      <c r="AX437" s="254">
        <f>IF(AND(ISNUMBER(E437),ISNUMBER(W437)),E437-W437,"")</f>
        <v/>
      </c>
      <c r="AY437" s="254">
        <f>IF(AND(ISNUMBER(I437),ISNUMBER(AF437)),I437-AF437,"")</f>
        <v/>
      </c>
      <c r="AZ437" s="254">
        <f>IF(AND(ISNUMBER(AM437),ISNUMBER(G437)),G437-AM437,"")</f>
        <v/>
      </c>
      <c r="BA437" s="254">
        <f>IF(AND(ISNUMBER(AC437),ISNUMBER(AE437)),AC437-AE437,"")</f>
        <v/>
      </c>
      <c r="BB437" s="254">
        <f>IF(AND(ISNUMBER(AL437),ISNUMBER(AM437)),AL437-AM437,"")</f>
        <v/>
      </c>
      <c r="BC437" s="60">
        <f>IF(AND($E437&gt;0,$W437&gt;0),IF(($E437-$W437)/$E437&gt;0,($E437-$W437)/$E437,0),"")</f>
        <v/>
      </c>
      <c r="BD437" s="60">
        <f>IF(AND($I437&gt;0,$AF437&gt;=0),IF(($I437-$AF437)/$I437&gt;0,($I437-$AF437)/$I437,0),"")</f>
        <v/>
      </c>
      <c r="BE437" s="60">
        <f>IF(AND($AG437&gt;=0,$AD437&gt;=0,$AF437&gt;=0),IF($AG437/($AD437-$AF437)&gt;0,$AG437/($AD437-$AF437),0),"")</f>
        <v/>
      </c>
      <c r="BF437" s="60" t="n"/>
      <c r="BG437" s="6">
        <f>IF((AD437-AF437)/(AJ437/60)&lt;=0,"",(AD437-AF437)/(AJ437/60))</f>
        <v/>
      </c>
      <c r="BH437" s="6">
        <f>IF(OR(AJ437=0,AP437=0,NOT(ISNUMBER(AD437)),NOT(ISNUMBER(AF437)),NOT(ISNUMBER(AJ437)),NOT(ISNUMBER(AP437))),"",
IFERROR(IF((AD437-AF437)/(AJ437/60)/(AP437/1000)&lt;=0,"",(AD437-AF437)/(AJ437/60)/(AP437/1000)),""))</f>
        <v/>
      </c>
    </row>
    <row r="438" ht="15.75" customHeight="1">
      <c r="B438" t="n">
        <v>194</v>
      </c>
      <c r="C438" s="12" t="inlineStr">
        <is>
          <t xml:space="preserve">Drop back down to 20 ppm </t>
        </is>
      </c>
      <c r="D438" s="94" t="n">
        <v>45698</v>
      </c>
      <c r="E438" s="231" t="n">
        <v>194</v>
      </c>
      <c r="F438" s="3" t="n">
        <v>433</v>
      </c>
      <c r="G438" s="205">
        <f>IF(OR(S438="",S438=0),"",S438*2)</f>
        <v/>
      </c>
      <c r="I438" s="15">
        <f>(N438*18-H438*18)/9</f>
        <v/>
      </c>
      <c r="J438" s="15">
        <f>5*0.425</f>
        <v/>
      </c>
      <c r="K438" s="15">
        <f>AD438</f>
        <v/>
      </c>
      <c r="M438" s="10">
        <f>IF(OR(E438="",G438="",E438=0,G438=0),"",E438/G438)</f>
        <v/>
      </c>
      <c r="N438" s="9">
        <f>IF(OR(E438="",I438="",E438=0,I438=0),"",E438/(I438*2))</f>
        <v/>
      </c>
      <c r="O438" s="8">
        <f>IF(OR(I438="",G438="",I438=0,G438=0),"",I438*2/G438)</f>
        <v/>
      </c>
      <c r="P438" s="7">
        <f>5*1.96</f>
        <v/>
      </c>
      <c r="V438" s="6" t="n">
        <v>36.1</v>
      </c>
      <c r="AD438" s="5" t="n">
        <v>80</v>
      </c>
      <c r="AE438" s="7">
        <f>T438</f>
        <v/>
      </c>
      <c r="AF438" s="231">
        <f>5*6.92</f>
        <v/>
      </c>
      <c r="AG438" s="231">
        <f>2*4.27</f>
        <v/>
      </c>
      <c r="AH438" s="231" t="n">
        <v>0</v>
      </c>
      <c r="AI438" s="98" t="n">
        <v>17.88</v>
      </c>
      <c r="AJ438" s="20" t="n">
        <v>0.4791666666666667</v>
      </c>
      <c r="AL438" s="93" t="n">
        <v>74</v>
      </c>
      <c r="AM438" s="3">
        <f>180+60</f>
        <v/>
      </c>
      <c r="AN438" s="4">
        <f>AE438</f>
        <v/>
      </c>
      <c r="AO438" s="231">
        <f>2*3.06</f>
        <v/>
      </c>
      <c r="AP438" s="255">
        <f>360-AK438-AB438</f>
        <v/>
      </c>
      <c r="AR438" s="13">
        <f>AVERAGE(AO436:AO442)</f>
        <v/>
      </c>
      <c r="AT438" s="156">
        <f>(E438-W438)/E438</f>
        <v/>
      </c>
      <c r="AU438" s="155">
        <f>(I438-AF438)/I438</f>
        <v/>
      </c>
      <c r="AV438" s="155">
        <f>AG438/(AD438-AF438)</f>
        <v/>
      </c>
      <c r="AW438" s="155">
        <f>(G438-AM438)/G438</f>
        <v/>
      </c>
      <c r="AX438" s="254">
        <f>IF(AND(ISNUMBER(E438),ISNUMBER(W438)),E438-W438,"")</f>
        <v/>
      </c>
      <c r="AY438" s="254">
        <f>IF(AND(ISNUMBER(I438),ISNUMBER(AF438)),I438-AF438,"")</f>
        <v/>
      </c>
      <c r="AZ438" s="254">
        <f>IF(AND(ISNUMBER(AM438),ISNUMBER(G438)),G438-AM438,"")</f>
        <v/>
      </c>
      <c r="BA438" s="254">
        <f>IF(AND(ISNUMBER(AC438),ISNUMBER(AE438)),AC438-AE438,"")</f>
        <v/>
      </c>
      <c r="BB438" s="254">
        <f>IF(AND(ISNUMBER(AL438),ISNUMBER(AM438)),AL438-AM438,"")</f>
        <v/>
      </c>
      <c r="BC438" s="60">
        <f>IF(AND($E438&gt;0,$W438&gt;0),IF(($E438-$W438)/$E438&gt;0,($E438-$W438)/$E438,0),"")</f>
        <v/>
      </c>
      <c r="BD438" s="60">
        <f>IF(AND($I438&gt;0,$AF438&gt;=0),IF(($I438-$AF438)/$I438&gt;0,($I438-$AF438)/$I438,0),"")</f>
        <v/>
      </c>
      <c r="BE438" s="60">
        <f>IF(AND($AG438&gt;=0,$AD438&gt;=0,$AF438&gt;=0),IF($AG438/($AD438-$AF438)&gt;0,$AG438/($AD438-$AF438),0),"")</f>
        <v/>
      </c>
      <c r="BF438" s="60">
        <f>IF(AND($G438&gt;0,$AM438&gt;0),IF(($G438-$AM438)/$G438&gt;0,($G438-$AM438)/$G438,0),"")</f>
        <v/>
      </c>
      <c r="BG438" s="6">
        <f>IF((AD438-AF438)/(AJ438/60)&lt;=0,"",(AD438-AF438)/(AJ438/60))</f>
        <v/>
      </c>
      <c r="BH438" s="6">
        <f>IF(OR(AJ438=0,AP438=0,NOT(ISNUMBER(AD438)),NOT(ISNUMBER(AF438)),NOT(ISNUMBER(AJ438)),NOT(ISNUMBER(AP438))),"",
IFERROR(IF((AD438-AF438)/(AJ438/60)/(AP438/1000)&lt;=0,"",(AD438-AF438)/(AJ438/60)/(AP438/1000)),""))</f>
        <v/>
      </c>
    </row>
    <row r="439" ht="15.75" customHeight="1">
      <c r="B439" t="n">
        <v>195</v>
      </c>
      <c r="D439" s="94" t="n">
        <v>45699</v>
      </c>
      <c r="E439" s="231" t="n">
        <v>195</v>
      </c>
      <c r="F439" s="3" t="n">
        <v>434</v>
      </c>
      <c r="G439" s="205">
        <f>IF(OR(S439="",S439=0),"",S439*2)</f>
        <v/>
      </c>
      <c r="I439" s="15">
        <f>(N439*18-H439*18)/9</f>
        <v/>
      </c>
      <c r="J439" s="15">
        <f>2*4.91</f>
        <v/>
      </c>
      <c r="K439" s="15">
        <f>AD439</f>
        <v/>
      </c>
      <c r="M439" s="10">
        <f>IF(OR(E439="",G439="",E439=0,G439=0),"",E439/G439)</f>
        <v/>
      </c>
      <c r="N439" s="9">
        <f>IF(OR(E439="",I439="",E439=0,I439=0),"",E439/(I439*2))</f>
        <v/>
      </c>
      <c r="O439" s="8">
        <f>IF(OR(I439="",G439="",I439=0,G439=0),"",I439*2/G439)</f>
        <v/>
      </c>
      <c r="P439" s="7">
        <f>2*7.52</f>
        <v/>
      </c>
      <c r="Q439" s="59" t="n">
        <v>82.515</v>
      </c>
      <c r="R439" s="59" t="n">
        <v>27.055</v>
      </c>
      <c r="S439" s="6">
        <f>O439*1.067</f>
        <v/>
      </c>
      <c r="T439" s="6">
        <f>P439*1.514</f>
        <v/>
      </c>
      <c r="U439" s="23">
        <f>P439*1.514+O439*1.067</f>
        <v/>
      </c>
      <c r="V439" s="6">
        <f>67</f>
        <v/>
      </c>
      <c r="W439" s="6">
        <f>0*1.067</f>
        <v/>
      </c>
      <c r="X439" s="6" t="n">
        <v>0</v>
      </c>
      <c r="Y439" s="23">
        <f>U439*1.067+V439*1.514</f>
        <v/>
      </c>
      <c r="AD439" s="5" t="n">
        <v>80</v>
      </c>
      <c r="AE439" s="7">
        <f>T439</f>
        <v/>
      </c>
      <c r="AF439" s="231">
        <f>5*4.59</f>
        <v/>
      </c>
      <c r="AG439" s="231">
        <f>5*5.23</f>
        <v/>
      </c>
      <c r="AH439" s="231" t="n">
        <v>0.208</v>
      </c>
      <c r="AI439" s="98" t="n">
        <v>11.34</v>
      </c>
      <c r="AJ439" s="20" t="n">
        <v>0.474537037037037</v>
      </c>
      <c r="AL439" s="93" t="n">
        <v>74</v>
      </c>
      <c r="AM439" s="3">
        <f>180+60</f>
        <v/>
      </c>
      <c r="AN439" s="4">
        <f>AE439</f>
        <v/>
      </c>
      <c r="AO439" s="231">
        <f>2*6.78</f>
        <v/>
      </c>
      <c r="AP439" s="255">
        <f>360-AK439-AB439</f>
        <v/>
      </c>
      <c r="AR439" s="13">
        <f>AVERAGE(AO437:AO443)</f>
        <v/>
      </c>
      <c r="AT439" s="156">
        <f>(E439-W439)/E439</f>
        <v/>
      </c>
      <c r="AU439" s="155">
        <f>(I439-AF439)/I439</f>
        <v/>
      </c>
      <c r="AV439" s="155">
        <f>AG439/(AD439-AF439)</f>
        <v/>
      </c>
      <c r="AW439" s="155">
        <f>(G439-AM439)/G439</f>
        <v/>
      </c>
      <c r="AX439" s="254">
        <f>IF(AND(ISNUMBER(E439),ISNUMBER(W439)),E439-W439,"")</f>
        <v/>
      </c>
      <c r="AY439" s="254">
        <f>IF(AND(ISNUMBER(I439),ISNUMBER(AF439)),I439-AF439,"")</f>
        <v/>
      </c>
      <c r="AZ439" s="254">
        <f>IF(AND(ISNUMBER(AM439),ISNUMBER(G439)),G439-AM439,"")</f>
        <v/>
      </c>
      <c r="BA439" s="254">
        <f>IF(AND(ISNUMBER(AC439),ISNUMBER(AE439)),AC439-AE439,"")</f>
        <v/>
      </c>
      <c r="BB439" s="254">
        <f>IF(AND(ISNUMBER(AL439),ISNUMBER(AM439)),AL439-AM439,"")</f>
        <v/>
      </c>
      <c r="BC439" s="60">
        <f>IF(AND($E439&gt;0,$W439&gt;0),IF(($E439-$W439)/$E439&gt;0,($E439-$W439)/$E439,0),"")</f>
        <v/>
      </c>
      <c r="BD439" s="60">
        <f>IF(AND($I439&gt;0,$AF439&gt;=0),IF(($I439-$AF439)/$I439&gt;0,($I439-$AF439)/$I439,0),"")</f>
        <v/>
      </c>
      <c r="BE439" s="60">
        <f>IF(AND($AG439&gt;=0,$AD439&gt;=0,$AF439&gt;=0),IF($AG439/($AD439-$AF439)&gt;0,$AG439/($AD439-$AF439),0),"")</f>
        <v/>
      </c>
      <c r="BF439" s="60" t="n"/>
      <c r="BG439" s="6">
        <f>IF((AD439-AF439)/(AJ439/60)&lt;=0,"",(AD439-AF439)/(AJ439/60))</f>
        <v/>
      </c>
      <c r="BH439" s="6">
        <f t="array" ref="BF439">IF(OR(AJ439=0,AP439=0,NOT(ISNUMBER(AD439)),NOT(DD784ISNUMBER(AF439)),NOT(DC3ISNUMBER(AJ439)),NOT(ISNUMBER(AP439))),"",
IFERROR(IF((AD439-AF439)/(AJ439/60)/(AP439/1000)&lt;=0,"",(AD439-AF439)/(AJ439/60)/(AP439/1000)),""))</f>
        <v/>
      </c>
    </row>
    <row r="440" ht="15.75" customHeight="1">
      <c r="B440" t="n">
        <v>196</v>
      </c>
      <c r="D440" s="94" t="n">
        <v>45700</v>
      </c>
      <c r="E440" s="231" t="n">
        <v>196</v>
      </c>
      <c r="F440" s="3" t="n">
        <v>435</v>
      </c>
      <c r="G440" s="205">
        <f>IF(OR(S440="",S440=0),"",S440*2)</f>
        <v/>
      </c>
      <c r="I440" s="71">
        <f>14</f>
        <v/>
      </c>
      <c r="J440" s="15" t="n"/>
      <c r="K440" s="15">
        <f>AD440</f>
        <v/>
      </c>
      <c r="M440" s="10">
        <f>IF(OR(E440="",G440="",E440=0,G440=0),"",E440/G440)</f>
        <v/>
      </c>
      <c r="N440" s="9">
        <f>IF(OR(E440="",I440="",E440=0,I440=0),"",E440/(I440*2))</f>
        <v/>
      </c>
      <c r="O440" s="8">
        <f>IF(OR(I440="",G440="",I440=0,G440=0),"",I440*2/G440)</f>
        <v/>
      </c>
      <c r="V440" s="6" t="n">
        <v>38.9</v>
      </c>
      <c r="AD440" s="5" t="n">
        <v>80</v>
      </c>
      <c r="AE440" s="4" t="n">
        <v>38.9</v>
      </c>
      <c r="AF440" s="231">
        <f>5*4.36</f>
        <v/>
      </c>
      <c r="AG440" s="231">
        <f>5*2.37</f>
        <v/>
      </c>
      <c r="AH440" s="231" t="n">
        <v>0</v>
      </c>
      <c r="AI440" s="98" t="n">
        <v>11.66</v>
      </c>
      <c r="AJ440" s="20" t="n">
        <v>0.4748842592592593</v>
      </c>
      <c r="AL440" s="93" t="n">
        <v>74</v>
      </c>
      <c r="AM440" s="3">
        <f>180+60</f>
        <v/>
      </c>
      <c r="AN440" s="4">
        <f>AE440</f>
        <v/>
      </c>
      <c r="AO440" s="231">
        <f>5*1.65</f>
        <v/>
      </c>
      <c r="AP440" s="255">
        <f>360-AK440-AB440</f>
        <v/>
      </c>
      <c r="AR440" s="13">
        <f>AVERAGE(AO438:AO444)</f>
        <v/>
      </c>
      <c r="AT440" s="156">
        <f>(E440-W440)/E440</f>
        <v/>
      </c>
      <c r="AU440" s="155">
        <f>(I440-AF440)/I440</f>
        <v/>
      </c>
      <c r="AV440" s="155">
        <f>AG440/(AD440-AF440)</f>
        <v/>
      </c>
      <c r="AW440" s="155">
        <f>(G440-AM440)/G440</f>
        <v/>
      </c>
      <c r="AX440" s="254">
        <f>IF(AND(ISNUMBER(E440),ISNUMBER(W440)),E440-W440,"")</f>
        <v/>
      </c>
      <c r="AY440" s="254">
        <f>IF(AND(ISNUMBER(I440),ISNUMBER(AF440)),I440-AF440,"")</f>
        <v/>
      </c>
      <c r="AZ440" s="254">
        <f>IF(AND(ISNUMBER(AM440),ISNUMBER(G440)),G440-AM440,"")</f>
        <v/>
      </c>
      <c r="BA440" s="254">
        <f>IF(AND(ISNUMBER(AC440),ISNUMBER(AE440)),AC440-AE440,"")</f>
        <v/>
      </c>
      <c r="BB440" s="254">
        <f>IF(AND(ISNUMBER(AL440),ISNUMBER(AM440)),AL440-AM440,"")</f>
        <v/>
      </c>
      <c r="BC440" s="60">
        <f>IF(AND($E440&gt;0,$W440&gt;0),IF(($E440-$W440)/$E440&gt;0,($E440-$W440)/$E440,0),"")</f>
        <v/>
      </c>
      <c r="BD440" s="60">
        <f>IF(AND($I440&gt;0,$AF440&gt;=0),IF(($I440-$AF440)/$I440&gt;0,($I440-$AF440)/$I440,0),"")</f>
        <v/>
      </c>
      <c r="BE440" s="60">
        <f>IF(AND($AG440&gt;=0,$AD440&gt;=0,$AF440&gt;=0),IF($AG440/($AD440-$AF440)&gt;0,$AG440/($AD440-$AF440),0),"")</f>
        <v/>
      </c>
      <c r="BF440" s="60">
        <f>IF(AND($G440&gt;0,$AM440&gt;0),IF(($G440-$AM440)/$G440&gt;0,($G440-$AM440)/$G440,0),"")</f>
        <v/>
      </c>
      <c r="BG440" s="6">
        <f>IF((AD440-AF440)/(AJ440/60)&lt;=0,"",(AD440-AF440)/(AJ440/60))</f>
        <v/>
      </c>
      <c r="BH440" s="6">
        <f>IF(OR(AJ440=0,AP440=0,NOT(ISNUMBER(AD440)),NOT(ISNUMBER(AF440)),NOT(ISNUMBER(AJ440)),NOT(ISNUMBER(AP440))),"",
IFERROR(IF((AD440-AF440)/(AJ440/60)/(AP440/1000)&lt;=0,"",(AD440-AF440)/(AJ440/60)/(AP440/1000)),""))</f>
        <v/>
      </c>
    </row>
    <row r="441" ht="15.75" customHeight="1">
      <c r="B441" t="n">
        <v>197</v>
      </c>
      <c r="C441" s="12" t="inlineStr">
        <is>
          <t>incycle test</t>
        </is>
      </c>
      <c r="D441" s="94" t="n">
        <v>45701</v>
      </c>
      <c r="E441" s="231" t="n">
        <v>197</v>
      </c>
      <c r="F441" s="3" t="n">
        <v>436</v>
      </c>
      <c r="G441" s="205">
        <f>IF(OR(S441="",S441=0),"",S441*2)</f>
        <v/>
      </c>
      <c r="I441" s="15">
        <f>(N441*18-H441*18)/9</f>
        <v/>
      </c>
      <c r="J441" s="15">
        <f>2.55</f>
        <v/>
      </c>
      <c r="K441" s="15">
        <f>AD441</f>
        <v/>
      </c>
      <c r="M441" s="10">
        <f>IF(OR(E441="",G441="",E441=0,G441=0),"",E441/G441)</f>
        <v/>
      </c>
      <c r="N441" s="9">
        <f>IF(OR(E441="",I441="",E441=0,I441=0),"",E441/(I441*2))</f>
        <v/>
      </c>
      <c r="O441" s="8">
        <f>IF(OR(I441="",G441="",I441=0,G441=0),"",I441*2/G441)</f>
        <v/>
      </c>
      <c r="P441" s="7">
        <f>5*1.91</f>
        <v/>
      </c>
      <c r="Q441" s="59" t="n">
        <v>77.846</v>
      </c>
      <c r="R441" s="59" t="n">
        <v>26.335</v>
      </c>
      <c r="S441" s="6">
        <f>O441*1.067</f>
        <v/>
      </c>
      <c r="T441" s="6">
        <f>P441*1.514</f>
        <v/>
      </c>
      <c r="U441" s="23">
        <f>P441*1.514+O441*1.067</f>
        <v/>
      </c>
      <c r="V441" s="6">
        <f>50*0.751</f>
        <v/>
      </c>
      <c r="W441" s="59" t="n">
        <v>0.913</v>
      </c>
      <c r="X441" s="59" t="n">
        <v>0.843</v>
      </c>
      <c r="Y441" s="23">
        <f>U441*1.067+V441*1.514</f>
        <v/>
      </c>
      <c r="AD441" s="5" t="n">
        <v>80</v>
      </c>
      <c r="AE441" s="7">
        <f>T441</f>
        <v/>
      </c>
      <c r="AF441" s="231">
        <f>24</f>
        <v/>
      </c>
      <c r="AG441" s="231">
        <f>5*2.06</f>
        <v/>
      </c>
      <c r="AH441" s="231" t="n">
        <v>0</v>
      </c>
      <c r="AI441" s="98" t="n">
        <v>11.38</v>
      </c>
      <c r="AJ441" s="20" t="n">
        <v>0.484375</v>
      </c>
      <c r="AL441" s="231">
        <f>(134+104)/2</f>
        <v/>
      </c>
      <c r="AM441" s="3">
        <f>180+60</f>
        <v/>
      </c>
      <c r="AN441" s="4">
        <f>AE441</f>
        <v/>
      </c>
      <c r="AO441" s="231">
        <f>5*1.42</f>
        <v/>
      </c>
      <c r="AP441" s="255">
        <f>360-AK441-AB441</f>
        <v/>
      </c>
      <c r="AQ441" s="2" t="n">
        <v>2880.000000000018</v>
      </c>
      <c r="AR441" s="13">
        <f>AVERAGE(AO439:AO445)</f>
        <v/>
      </c>
      <c r="AS441" s="2" t="n">
        <v>21.28603104212833</v>
      </c>
      <c r="AT441" s="156">
        <f>(E441-W441)/E441</f>
        <v/>
      </c>
      <c r="AU441" s="155">
        <f>(I441-AF441)/I441</f>
        <v/>
      </c>
      <c r="AV441" s="155">
        <f>AG441/(AD441-AF441)</f>
        <v/>
      </c>
      <c r="AW441" s="155">
        <f>(G441-AM441)/G441</f>
        <v/>
      </c>
      <c r="AX441" s="254">
        <f>IF(AND(ISNUMBER(E441),ISNUMBER(W441)),E441-W441,"")</f>
        <v/>
      </c>
      <c r="AY441" s="254">
        <f>IF(AND(ISNUMBER(I441),ISNUMBER(AF441)),I441-AF441,"")</f>
        <v/>
      </c>
      <c r="AZ441" s="254">
        <f>IF(AND(ISNUMBER(AM441),ISNUMBER(G441)),G441-AM441,"")</f>
        <v/>
      </c>
      <c r="BA441" s="254">
        <f>IF(AND(ISNUMBER(AC441),ISNUMBER(AE441)),AC441-AE441,"")</f>
        <v/>
      </c>
      <c r="BB441" s="254">
        <f>IF(AND(ISNUMBER(AL441),ISNUMBER(AM441)),AL441-AM441,"")</f>
        <v/>
      </c>
      <c r="BC441" s="60">
        <f>IF(AND($E441&gt;0,$W441&gt;0),IF(($E441-$W441)/$E441&gt;0,($E441-$W441)/$E441,0),"")</f>
        <v/>
      </c>
      <c r="BD441" s="60">
        <f>IF(AND($I441&gt;0,$AF441&gt;=0),IF(($I441-$AF441)/$I441&gt;0,($I441-$AF441)/$I441,0),"")</f>
        <v/>
      </c>
      <c r="BE441" s="60">
        <f>IF(AND($AG441&gt;=0,$AD441&gt;=0,$AF441&gt;=0),IF($AG441/($AD441-$AF441)&gt;0,$AG441/($AD441-$AF441),0),"")</f>
        <v/>
      </c>
      <c r="BF441" s="60">
        <f>IF(AND($G441&gt;0,$AM441&gt;0),IF(($G441-$AM441)/$G441&gt;0,($G441-$AM441)/$G441,0),"")</f>
        <v/>
      </c>
      <c r="BG441" s="6">
        <f>IF((AD441-AF441)/(AJ441/60)&lt;=0,"",(AD441-AF441)/(AJ441/60))</f>
        <v/>
      </c>
      <c r="BH441" s="6">
        <f>IF(OR(AJ441=0,AP441=0,NOT(ISNUMBER(AD441)),NOT(ISNUMBER(AF441)),NOT(ISNUMBER(AJ441)),NOT(ISNUMBER(AP441))),"",
IFERROR(IF((AD441-AF441)/(AJ441/60)/(AP441/1000)&lt;=0,"",(AD441-AF441)/(AJ441/60)/(AP441/1000)),""))</f>
        <v/>
      </c>
    </row>
    <row r="442" ht="15.75" customHeight="1">
      <c r="B442" t="n">
        <v>198</v>
      </c>
      <c r="D442" s="94" t="n">
        <v>45702</v>
      </c>
      <c r="E442" s="231" t="n">
        <v>198</v>
      </c>
      <c r="F442" s="3" t="n">
        <v>437</v>
      </c>
      <c r="G442" s="205">
        <f>IF(OR(S442="",S442=0),"",S442*2)</f>
        <v/>
      </c>
      <c r="J442" s="15" t="n"/>
      <c r="K442" s="15" t="n"/>
      <c r="M442" s="10">
        <f>IF(OR(E442="",G442="",E442=0,G442=0),"",E442/G442)</f>
        <v/>
      </c>
      <c r="N442" s="9">
        <f>IF(OR(E442="",I442="",E442=0,I442=0),"",E442/(I442*2))</f>
        <v/>
      </c>
      <c r="O442" s="8">
        <f>IF(OR(I442="",G442="",I442=0,G442=0),"",I442*2/G442)</f>
        <v/>
      </c>
      <c r="AD442" s="5" t="n">
        <v>80</v>
      </c>
      <c r="AF442" s="95" t="n">
        <v>23</v>
      </c>
      <c r="AI442" s="98" t="n"/>
      <c r="AL442" s="93">
        <f>(134+104)/2</f>
        <v/>
      </c>
      <c r="AM442" s="3">
        <f>180+60</f>
        <v/>
      </c>
      <c r="AP442" s="255">
        <f>360-AK442-AB442</f>
        <v/>
      </c>
      <c r="AR442" s="13">
        <f>AVERAGE(AO440:AO446)</f>
        <v/>
      </c>
      <c r="AT442" s="156">
        <f>(E442-W442)/E442</f>
        <v/>
      </c>
      <c r="AU442" s="155">
        <f>(I442-AF442)/I442</f>
        <v/>
      </c>
      <c r="AV442" s="155" t="n"/>
      <c r="AW442" s="155">
        <f>(G442-AM442)/G442</f>
        <v/>
      </c>
      <c r="AX442" s="254">
        <f>IF(AND(ISNUMBER(E442),ISNUMBER(W442)),E442-W442,"")</f>
        <v/>
      </c>
      <c r="AY442" s="254">
        <f>IF(AND(ISNUMBER(I442),ISNUMBER(AF442)),I442-AF442,"")</f>
        <v/>
      </c>
      <c r="AZ442" s="254">
        <f>IF(AND(ISNUMBER(AM442),ISNUMBER(G442)),G442-AM442,"")</f>
        <v/>
      </c>
      <c r="BA442" s="254">
        <f>IF(AND(ISNUMBER(AC442),ISNUMBER(AE442)),AC442-AE442,"")</f>
        <v/>
      </c>
      <c r="BB442" s="254">
        <f>IF(AND(ISNUMBER(AL442),ISNUMBER(AM442)),AL442-AM442,"")</f>
        <v/>
      </c>
      <c r="BC442" s="60">
        <f>IF(AND($E442&gt;0,$W442&gt;0),IF(($E442-$W442)/$E442&gt;0,($E442-$W442)/$E442,0),"")</f>
        <v/>
      </c>
      <c r="BD442" s="60">
        <f>IF(AND($I442&gt;0,$AF442&gt;=0),IF(($I442-$AF442)/$I442&gt;0,($I442-$AF442)/$I442,0),"")</f>
        <v/>
      </c>
      <c r="BE442" s="60" t="n"/>
      <c r="BF442" s="60">
        <f>IF(AND($G442&gt;0,$AM442&gt;0),IF(($G442-$AM442)/$G442&gt;0,($G442-$AM442)/$G442,0),"")</f>
        <v/>
      </c>
      <c r="BG442" s="6">
        <f>IF((AD442-AF442)/(AJ442/60)&lt;=0,"",(AD442-AF442)/(AJ442/60))</f>
        <v/>
      </c>
      <c r="BH442" s="6">
        <f>IF(OR(AJ442=0,AP442=0,NOT(ISNUMBER(AD442)),NOT(ISNUMBER(AF442)),NOT(ISNUMBER(AJ442)),NOT(ISNUMBER(AP442))),"",
IFERROR(IF((AD442-AF442)/(AJ442/60)/(AP442/1000)&lt;=0,"",(AD442-AF442)/(AJ442/60)/(AP442/1000)),""))</f>
        <v/>
      </c>
    </row>
    <row r="443" ht="15.75" customHeight="1">
      <c r="A443" s="260" t="inlineStr">
        <is>
          <t>B57</t>
        </is>
      </c>
      <c r="B443" s="260" t="n">
        <v>199</v>
      </c>
      <c r="D443" s="94" t="n">
        <v>45703</v>
      </c>
      <c r="E443" s="231" t="n">
        <v>199</v>
      </c>
      <c r="F443" s="3" t="n">
        <v>438</v>
      </c>
      <c r="G443" s="205">
        <f>IF(OR(S443="",S443=0),"",S443*2)</f>
        <v/>
      </c>
      <c r="J443" s="15" t="n"/>
      <c r="K443" s="15" t="n"/>
      <c r="M443" s="10">
        <f>IF(OR(E443="",G443="",E443=0,G443=0),"",E443/G443)</f>
        <v/>
      </c>
      <c r="N443" s="9">
        <f>IF(OR(E443="",I443="",E443=0,I443=0),"",E443/(I443*2))</f>
        <v/>
      </c>
      <c r="O443" s="8">
        <f>IF(OR(I443="",G443="",I443=0,G443=0),"",I443*2/G443)</f>
        <v/>
      </c>
      <c r="AD443" s="5" t="n">
        <v>80</v>
      </c>
      <c r="AF443" s="95" t="n">
        <v>22</v>
      </c>
      <c r="AI443" s="98" t="n">
        <v>10.55</v>
      </c>
      <c r="AJ443" s="20" t="n">
        <v>0.477662037037037</v>
      </c>
      <c r="AL443" s="93">
        <f>(134+104)/2</f>
        <v/>
      </c>
      <c r="AM443" s="3">
        <f>180+60</f>
        <v/>
      </c>
      <c r="AP443" s="255">
        <f>360-AK443-AB443</f>
        <v/>
      </c>
      <c r="AR443" s="13">
        <f>AVERAGE(AO441:AO447)</f>
        <v/>
      </c>
      <c r="AT443" s="156">
        <f>(E443-W443)/E443</f>
        <v/>
      </c>
      <c r="AU443" s="155">
        <f>(I443-AF443)/I443</f>
        <v/>
      </c>
      <c r="AV443" s="155">
        <f>AG443/(AD443-AF443)</f>
        <v/>
      </c>
      <c r="AW443" s="155">
        <f>(G443-AM443)/G443</f>
        <v/>
      </c>
      <c r="AX443" s="254">
        <f>IF(AND(ISNUMBER(E443),ISNUMBER(W443)),E443-W443,"")</f>
        <v/>
      </c>
      <c r="AY443" s="254">
        <f>IF(AND(ISNUMBER(I443),ISNUMBER(AF443)),I443-AF443,"")</f>
        <v/>
      </c>
      <c r="AZ443" s="254">
        <f>IF(AND(ISNUMBER(AM443),ISNUMBER(G443)),G443-AM443,"")</f>
        <v/>
      </c>
      <c r="BA443" s="254">
        <f>IF(AND(ISNUMBER(AC443),ISNUMBER(AE443)),AC443-AE443,"")</f>
        <v/>
      </c>
      <c r="BB443" s="254">
        <f>IF(AND(ISNUMBER(AL443),ISNUMBER(AM443)),AL443-AM443,"")</f>
        <v/>
      </c>
      <c r="BC443" s="60">
        <f>IF(AND($E443&gt;0,$W443&gt;0),IF(($E443-$W443)/$E443&gt;0,($E443-$W443)/$E443,0),"")</f>
        <v/>
      </c>
      <c r="BD443" s="60">
        <f>IF(AND($I443&gt;0,$AF443&gt;=0),IF(($I443-$AF443)/$I443&gt;0,($I443-$AF443)/$I443,0),"")</f>
        <v/>
      </c>
      <c r="BE443" s="60">
        <f>IF(AND($AG443&gt;=0,$AD443&gt;=0,$AF443&gt;=0),IF($AG443/($AD443-$AF443)&gt;0,$AG443/($AD443-$AF443),0),"")</f>
        <v/>
      </c>
      <c r="BF443" s="60">
        <f>IF(AND($G443&gt;0,$AM443&gt;0),IF(($G443-$AM443)/$G443&gt;0,($G443-$AM443)/$G443,0),"")</f>
        <v/>
      </c>
      <c r="BG443" s="6">
        <f>IF((AD443-AF443)/(AJ443/60)&lt;=0,"",(AD443-AF443)/(AJ443/60))</f>
        <v/>
      </c>
      <c r="BH443" s="6">
        <f>IF(OR(AJ443=0,AP443=0,NOT(ISNUMBER(AD443)),NOT(ISNUMBER(AF443)),NOT(ISNUMBER(AJ443)),NOT(ISNUMBER(AP443))),"",
IFERROR(IF((AD443-AF443)/(AJ443/60)/(AP443/1000)&lt;=0,"",(AD443-AF443)/(AJ443/60)/(AP443/1000)),""))</f>
        <v/>
      </c>
    </row>
    <row r="444" ht="15.75" customHeight="1">
      <c r="B444" t="n">
        <v>200</v>
      </c>
      <c r="C444" s="12" t="inlineStr">
        <is>
          <t>ace-aerobic</t>
        </is>
      </c>
      <c r="D444" s="94" t="n">
        <v>45704</v>
      </c>
      <c r="E444" s="231" t="n">
        <v>200</v>
      </c>
      <c r="F444" s="3" t="n">
        <v>439</v>
      </c>
      <c r="G444" s="205">
        <f>IF(OR(S444="",S444=0),"",S444*2)</f>
        <v/>
      </c>
      <c r="J444" s="15" t="n"/>
      <c r="K444" s="15" t="n"/>
      <c r="M444" s="10">
        <f>IF(OR(E444="",G444="",E444=0,G444=0),"",E444/G444)</f>
        <v/>
      </c>
      <c r="N444" s="9">
        <f>IF(OR(E444="",I444="",E444=0,I444=0),"",E444/(I444*2))</f>
        <v/>
      </c>
      <c r="O444" s="8">
        <f>IF(OR(I444="",G444="",I444=0,G444=0),"",I444*2/G444)</f>
        <v/>
      </c>
      <c r="AD444" s="5" t="n">
        <v>80</v>
      </c>
      <c r="AF444" s="95" t="n">
        <v>21</v>
      </c>
      <c r="AI444" s="98" t="n">
        <v>11.13</v>
      </c>
      <c r="AJ444" s="20" t="n">
        <v>0.8199074074074074</v>
      </c>
      <c r="AL444" s="93">
        <f>(134+104)/2</f>
        <v/>
      </c>
      <c r="AM444" s="3">
        <f>180+60</f>
        <v/>
      </c>
      <c r="AP444" s="255">
        <f>360-AK444-AB444</f>
        <v/>
      </c>
      <c r="AQ444" s="2" t="n">
        <v>2850</v>
      </c>
      <c r="AR444" s="13">
        <f>AVERAGE(AO442:AO448)</f>
        <v/>
      </c>
      <c r="AS444" s="2">
        <f>[1]HRT_SRT!R498</f>
        <v/>
      </c>
      <c r="AT444" s="156">
        <f>(E444-W444)/E444</f>
        <v/>
      </c>
      <c r="AU444" s="155">
        <f>(I444-AF444)/I444</f>
        <v/>
      </c>
      <c r="AV444" s="155">
        <f>AG444/(AD444-AF444)</f>
        <v/>
      </c>
      <c r="AW444" s="155">
        <f>(G444-AM444)/G444</f>
        <v/>
      </c>
      <c r="AX444" s="254">
        <f>IF(AND(ISNUMBER(E444),ISNUMBER(W444)),E444-W444,"")</f>
        <v/>
      </c>
      <c r="AY444" s="254">
        <f>IF(AND(ISNUMBER(I444),ISNUMBER(AF444)),I444-AF444,"")</f>
        <v/>
      </c>
      <c r="AZ444" s="254">
        <f>IF(AND(ISNUMBER(AM444),ISNUMBER(G444)),G444-AM444,"")</f>
        <v/>
      </c>
      <c r="BA444" s="254">
        <f>IF(AND(ISNUMBER(AC444),ISNUMBER(AE444)),AC444-AE444,"")</f>
        <v/>
      </c>
      <c r="BB444" s="254">
        <f>IF(AND(ISNUMBER(AL444),ISNUMBER(AM444)),AL444-AM444,"")</f>
        <v/>
      </c>
      <c r="BC444" s="60">
        <f>IF(AND($E444&gt;0,$W444&gt;0),IF(($E444-$W444)/$E444&gt;0,($E444-$W444)/$E444,0),"")</f>
        <v/>
      </c>
      <c r="BD444" s="60">
        <f>IF(AND($I444&gt;0,$AF444&gt;=0),IF(($I444-$AF444)/$I444&gt;0,($I444-$AF444)/$I444,0),"")</f>
        <v/>
      </c>
      <c r="BE444" s="60">
        <f>IF(AND($AG444&gt;=0,$AD444&gt;=0,$AF444&gt;=0),IF($AG444/($AD444-$AF444)&gt;0,$AG444/($AD444-$AF444),0),"")</f>
        <v/>
      </c>
      <c r="BF444" s="60">
        <f>IF(AND($G444&gt;0,$AM444&gt;0),IF(($G444-$AM444)/$G444&gt;0,($G444-$AM444)/$G444,0),"")</f>
        <v/>
      </c>
      <c r="BG444" s="6">
        <f>IF((AD444-AF444)/(AJ444/60)&lt;=0,"",(AD444-AF444)/(AJ444/60))</f>
        <v/>
      </c>
      <c r="BH444" s="6">
        <f>IF(OR(AJ444=0,AP444=0,NOT(ISNUMBER(AD444)),NOT(ISNUMBER(AF444)),NOT(ISNUMBER(AJ444)),NOT(ISNUMBER(AP444))),"",
IFERROR(IF((AD444-AF444)/(AJ444/60)/(AP444/1000)&lt;=0,"",(AD444-AF444)/(AJ444/60)/(AP444/1000)),""))</f>
        <v/>
      </c>
    </row>
    <row r="445" ht="15.75" customHeight="1">
      <c r="B445" t="n">
        <v>201</v>
      </c>
      <c r="C445" s="12" t="inlineStr">
        <is>
          <t>ace-aer batch</t>
        </is>
      </c>
      <c r="D445" s="94" t="n">
        <v>45705</v>
      </c>
      <c r="E445" s="231" t="n">
        <v>201</v>
      </c>
      <c r="F445" s="3" t="n">
        <v>440</v>
      </c>
      <c r="G445" s="205">
        <f>IF(OR(S445="",S445=0),"",S445*2)</f>
        <v/>
      </c>
      <c r="J445" s="15" t="n"/>
      <c r="K445" s="15" t="n"/>
      <c r="M445" s="10">
        <f>IF(OR(E445="",G445="",E445=0,G445=0),"",E445/G445)</f>
        <v/>
      </c>
      <c r="N445" s="9">
        <f>IF(OR(E445="",I445="",E445=0,I445=0),"",E445/(I445*2))</f>
        <v/>
      </c>
      <c r="O445" s="8">
        <f>IF(OR(I445="",G445="",I445=0,G445=0),"",I445*2/G445)</f>
        <v/>
      </c>
      <c r="P445" s="6" t="n"/>
      <c r="AD445" s="5" t="n">
        <v>80</v>
      </c>
      <c r="AE445" s="231" t="n"/>
      <c r="AF445" s="95" t="n">
        <v>20.5</v>
      </c>
      <c r="AI445" s="98" t="n">
        <v>10.49</v>
      </c>
      <c r="AJ445" s="20" t="n">
        <v>0.8159722222222222</v>
      </c>
      <c r="AL445" s="93">
        <f>(134+104)/2</f>
        <v/>
      </c>
      <c r="AM445" s="3">
        <f>180+60</f>
        <v/>
      </c>
      <c r="AN445" s="231" t="n"/>
      <c r="AP445" s="255">
        <f>360-AK445-AB445</f>
        <v/>
      </c>
      <c r="AQ445" s="2" t="n">
        <v>2630.000000000018</v>
      </c>
      <c r="AR445" s="13">
        <f>AVERAGE(AO443:AO449)</f>
        <v/>
      </c>
      <c r="AS445" s="2">
        <f>[1]HRT_SRT!R499</f>
        <v/>
      </c>
      <c r="AT445" s="156">
        <f>(E445-W445)/E445</f>
        <v/>
      </c>
      <c r="AU445" s="155">
        <f>(I445-AF445)/I445</f>
        <v/>
      </c>
      <c r="AV445" s="155">
        <f>AG445/(AD445-AF445)</f>
        <v/>
      </c>
      <c r="AW445" s="155">
        <f>(G445-AM445)/G445</f>
        <v/>
      </c>
      <c r="AX445" s="254">
        <f>IF(AND(ISNUMBER(E445),ISNUMBER(W445)),E445-W445,"")</f>
        <v/>
      </c>
      <c r="AY445" s="254">
        <f>IF(AND(ISNUMBER(I445),ISNUMBER(AF445)),I445-AF445,"")</f>
        <v/>
      </c>
      <c r="AZ445" s="254">
        <f>IF(AND(ISNUMBER(AM445),ISNUMBER(G445)),G445-AM445,"")</f>
        <v/>
      </c>
      <c r="BA445" s="254">
        <f>IF(AND(ISNUMBER(AC445),ISNUMBER(AE445)),AC445-AE445,"")</f>
        <v/>
      </c>
      <c r="BB445" s="254">
        <f>IF(AND(ISNUMBER(AL445),ISNUMBER(AM445)),AL445-AM445,"")</f>
        <v/>
      </c>
      <c r="BC445" s="60">
        <f>IF(AND($E445&gt;0,$W445&gt;0),IF(($E445-$W445)/$E445&gt;0,($E445-$W445)/$E445,0),"")</f>
        <v/>
      </c>
      <c r="BD445" s="60">
        <f>IF(AND($I445&gt;0,$AF445&gt;=0),IF(($I445-$AF445)/$I445&gt;0,($I445-$AF445)/$I445,0),"")</f>
        <v/>
      </c>
      <c r="BE445" s="60">
        <f>IF(AND($AG445&gt;=0,$AD445&gt;=0,$AF445&gt;=0),IF($AG445/($AD445-$AF445)&gt;0,$AG445/($AD445-$AF445),0),"")</f>
        <v/>
      </c>
      <c r="BF445" s="60">
        <f>IF(AND($G445&gt;0,$AM445&gt;0),IF(($G445-$AM445)/$G445&gt;0,($G445-$AM445)/$G445,0),"")</f>
        <v/>
      </c>
      <c r="BG445" s="6">
        <f>IF((AD445-AF445)/(AJ445/60)&lt;=0,"",(AD445-AF445)/(AJ445/60))</f>
        <v/>
      </c>
      <c r="BH445" s="6">
        <f>IF(OR(AJ445=0,AP445=0,NOT(ISNUMBER(AD445)),NOT(ISNUMBER(AF445)),NOT(ISNUMBER(AJ445)),NOT(ISNUMBER(AP445))),"",
IFERROR(IF((AD445-AF445)/(AJ445/60)/(AP445/1000)&lt;=0,"",(AD445-AF445)/(AJ445/60)/(AP445/1000)),""))</f>
        <v/>
      </c>
    </row>
    <row r="446" ht="15.75" customHeight="1">
      <c r="B446" t="n">
        <v>202</v>
      </c>
      <c r="D446" s="94" t="n">
        <v>45706</v>
      </c>
      <c r="E446" s="231" t="n">
        <v>202</v>
      </c>
      <c r="F446" s="3" t="n">
        <v>441</v>
      </c>
      <c r="G446" s="205">
        <f>IF(OR(S446="",S446=0),"",S446*2)</f>
        <v/>
      </c>
      <c r="I446" s="15">
        <f>(N446*18-H446*18)/9</f>
        <v/>
      </c>
      <c r="J446" s="15">
        <f>5*0.476</f>
        <v/>
      </c>
      <c r="K446" s="15">
        <f>AD446</f>
        <v/>
      </c>
      <c r="M446" s="10">
        <f>IF(OR(E446="",G446="",E446=0,G446=0),"",E446/G446)</f>
        <v/>
      </c>
      <c r="N446" s="9">
        <f>IF(OR(E446="",I446="",E446=0,I446=0),"",E446/(I446*2))</f>
        <v/>
      </c>
      <c r="O446" s="8">
        <f>IF(OR(I446="",G446="",I446=0,G446=0),"",I446*2/G446)</f>
        <v/>
      </c>
      <c r="P446" s="7">
        <f>5*1.89</f>
        <v/>
      </c>
      <c r="Q446" s="59" t="n">
        <v>92.28</v>
      </c>
      <c r="R446" s="59" t="n">
        <v>32.762</v>
      </c>
      <c r="S446" s="6">
        <f>O446*1.067</f>
        <v/>
      </c>
      <c r="T446" s="6">
        <f>P446*1.514</f>
        <v/>
      </c>
      <c r="U446" s="23">
        <f>P446*1.514+O446*1.067</f>
        <v/>
      </c>
      <c r="V446" s="6" t="n">
        <v>37.5</v>
      </c>
      <c r="W446" s="59">
        <f>1.112*1.067</f>
        <v/>
      </c>
      <c r="X446" s="59">
        <f>0.845*1.514</f>
        <v/>
      </c>
      <c r="Y446" s="23">
        <f>U446*1.067+V446*1.514</f>
        <v/>
      </c>
      <c r="AD446" s="5" t="n">
        <v>80</v>
      </c>
      <c r="AE446" s="7">
        <f>T446</f>
        <v/>
      </c>
      <c r="AF446" s="231">
        <f>5*4.04</f>
        <v/>
      </c>
      <c r="AG446" s="231">
        <f>5*1.93</f>
        <v/>
      </c>
      <c r="AH446" s="231" t="n">
        <v>0</v>
      </c>
      <c r="AI446" s="98" t="n">
        <v>9.83</v>
      </c>
      <c r="AJ446" s="20" t="n">
        <v>0.8229166666666666</v>
      </c>
      <c r="AL446" s="93">
        <f>(134+104)/2</f>
        <v/>
      </c>
      <c r="AM446" s="3">
        <f>180+60</f>
        <v/>
      </c>
      <c r="AN446" s="4">
        <f>AE446</f>
        <v/>
      </c>
      <c r="AO446" s="231">
        <f>5*1.34</f>
        <v/>
      </c>
      <c r="AP446" s="255">
        <f>360-AK446-AB446</f>
        <v/>
      </c>
      <c r="AR446" s="13">
        <f>AVERAGE(AO444:AO450)</f>
        <v/>
      </c>
      <c r="AT446" s="156">
        <f>(E446-W446)/E446</f>
        <v/>
      </c>
      <c r="AU446" s="155">
        <f>(I446-AF446)/I446</f>
        <v/>
      </c>
      <c r="AV446" s="155">
        <f>AG446/(AD446-AF446)</f>
        <v/>
      </c>
      <c r="AW446" s="155">
        <f>(G446-AM446)/G446</f>
        <v/>
      </c>
      <c r="AX446" s="254">
        <f>IF(AND(ISNUMBER(E446),ISNUMBER(W446)),E446-W446,"")</f>
        <v/>
      </c>
      <c r="AY446" s="254">
        <f>IF(AND(ISNUMBER(I446),ISNUMBER(AF446)),I446-AF446,"")</f>
        <v/>
      </c>
      <c r="AZ446" s="254">
        <f>IF(AND(ISNUMBER(AM446),ISNUMBER(G446)),G446-AM446,"")</f>
        <v/>
      </c>
      <c r="BA446" s="254">
        <f>IF(AND(ISNUMBER(AC446),ISNUMBER(AE446)),AC446-AE446,"")</f>
        <v/>
      </c>
      <c r="BB446" s="254">
        <f>IF(AND(ISNUMBER(AL446),ISNUMBER(AM446)),AL446-AM446,"")</f>
        <v/>
      </c>
      <c r="BC446" s="60">
        <f>IF(AND($E446&gt;0,$W446&gt;0),IF(($E446-$W446)/$E446&gt;0,($E446-$W446)/$E446,0),"")</f>
        <v/>
      </c>
      <c r="BD446" s="60">
        <f>IF(AND($I446&gt;0,$AF446&gt;=0),IF(($I446-$AF446)/$I446&gt;0,($I446-$AF446)/$I446,0),"")</f>
        <v/>
      </c>
      <c r="BE446" s="60">
        <f>IF(AND($AG446&gt;=0,$AD446&gt;=0,$AF446&gt;=0),IF($AG446/($AD446-$AF446)&gt;0,$AG446/($AD446-$AF446),0),"")</f>
        <v/>
      </c>
      <c r="BF446" s="60">
        <f>IF(AND($G446&gt;0,$AM446&gt;0),IF(($G446-$AM446)/$G446&gt;0,($G446-$AM446)/$G446,0),"")</f>
        <v/>
      </c>
      <c r="BG446" s="6">
        <f>IF((AD446-AF446)/(AJ446/60)&lt;=0,"",(AD446-AF446)/(AJ446/60))</f>
        <v/>
      </c>
      <c r="BH446" s="6" t="n"/>
    </row>
    <row r="447" ht="15.75" customHeight="1">
      <c r="B447" t="n">
        <v>203</v>
      </c>
      <c r="D447" s="94" t="n">
        <v>45707</v>
      </c>
      <c r="E447" s="231" t="n">
        <v>203</v>
      </c>
      <c r="F447" s="3" t="n">
        <v>442</v>
      </c>
      <c r="G447" s="205">
        <f>IF(OR(S447="",S447=0),"",S447*2)</f>
        <v/>
      </c>
      <c r="J447" s="15" t="n"/>
      <c r="K447" s="15">
        <f>AD447</f>
        <v/>
      </c>
      <c r="M447" s="10">
        <f>IF(OR(E447="",G447="",E447=0,G447=0),"",E447/G447)</f>
        <v/>
      </c>
      <c r="N447" s="9">
        <f>IF(OR(E447="",I447="",E447=0,I447=0),"",E447/(I447*2))</f>
        <v/>
      </c>
      <c r="O447" s="8">
        <f>IF(OR(I447="",G447="",I447=0,G447=0),"",I447*2/G447)</f>
        <v/>
      </c>
      <c r="AD447" s="5" t="n">
        <v>80</v>
      </c>
      <c r="AF447" s="95" t="n">
        <v>20</v>
      </c>
      <c r="AI447" s="98" t="n">
        <v>9.93</v>
      </c>
      <c r="AJ447" s="20" t="n">
        <v>0.8341435185185185</v>
      </c>
      <c r="AL447" s="93">
        <f>(134+104)/2</f>
        <v/>
      </c>
      <c r="AM447" s="3">
        <f>180+60</f>
        <v/>
      </c>
      <c r="AP447" s="255">
        <f>360-AK447-AB447</f>
        <v/>
      </c>
      <c r="AR447" s="13">
        <f>AVERAGE(AO445:AO451)</f>
        <v/>
      </c>
      <c r="AT447" s="156">
        <f>(E447-W447)/E447</f>
        <v/>
      </c>
      <c r="AU447" s="155">
        <f>(I447-AF447)/I447</f>
        <v/>
      </c>
      <c r="AV447" s="155">
        <f>AG447/(AD447-AF447)</f>
        <v/>
      </c>
      <c r="AW447" s="155">
        <f>(G447-AM447)/G447</f>
        <v/>
      </c>
      <c r="AX447" s="254">
        <f>IF(AND(ISNUMBER(E447),ISNUMBER(W447)),E447-W447,"")</f>
        <v/>
      </c>
      <c r="AY447" s="254">
        <f>IF(AND(ISNUMBER(I447),ISNUMBER(AF447)),I447-AF447,"")</f>
        <v/>
      </c>
      <c r="AZ447" s="254">
        <f>IF(AND(ISNUMBER(AM447),ISNUMBER(G447)),G447-AM447,"")</f>
        <v/>
      </c>
      <c r="BA447" s="254">
        <f>IF(AND(ISNUMBER(AC447),ISNUMBER(AE447)),AC447-AE447,"")</f>
        <v/>
      </c>
      <c r="BB447" s="254">
        <f>IF(AND(ISNUMBER(AL447),ISNUMBER(AM447)),AL447-AM447,"")</f>
        <v/>
      </c>
      <c r="BC447" s="60">
        <f>IF(AND($E447&gt;0,$W447&gt;0),IF(($E447-$W447)/$E447&gt;0,($E447-$W447)/$E447,0),"")</f>
        <v/>
      </c>
      <c r="BD447" s="60">
        <f>IF(AND($I447&gt;0,$AF447&gt;=0),IF(($I447-$AF447)/$I447&gt;0,($I447-$AF447)/$I447,0),"")</f>
        <v/>
      </c>
      <c r="BE447" s="60">
        <f>IF(AND($AG447&gt;=0,$AD447&gt;=0,$AF447&gt;=0),IF($AG447/($AD447-$AF447)&gt;0,$AG447/($AD447-$AF447),0),"")</f>
        <v/>
      </c>
      <c r="BF447" s="60">
        <f>IF(AND($G447&gt;0,$AM447&gt;0),IF(($G447-$AM447)/$G447&gt;0,($G447-$AM447)/$G447,0),"")</f>
        <v/>
      </c>
      <c r="BG447" s="6">
        <f>IF((AD447-AF447)/(AJ447/60)&lt;=0,"",(AD447-AF447)/(AJ447/60))</f>
        <v/>
      </c>
      <c r="BH447" s="6">
        <f>IF(OR(AJ447=0,AP447=0,NOT(ISNUMBER(AD447)),NOT(ISNUMBER(AF447)),NOT(ISNUMBER(AJ447)),NOT(ISNUMBER(AP447))),"",
IFERROR(IF((AD447-AF447)/(AJ447/60)/(AP447/1000)&lt;=0,"",(AD447-AF447)/(AJ447/60)/(AP447/1000)),""))</f>
        <v/>
      </c>
    </row>
    <row r="448" ht="15.75" customHeight="1">
      <c r="B448" t="n">
        <v>204</v>
      </c>
      <c r="C448" s="12" t="inlineStr">
        <is>
          <t>ace-nitrate batch</t>
        </is>
      </c>
      <c r="D448" s="94" t="n">
        <v>45708</v>
      </c>
      <c r="E448" s="231" t="n">
        <v>204</v>
      </c>
      <c r="F448" s="3" t="n">
        <v>443</v>
      </c>
      <c r="G448" s="205">
        <f>IF(OR(S448="",S448=0),"",S448*2)</f>
        <v/>
      </c>
      <c r="J448" s="15" t="n"/>
      <c r="K448" s="15">
        <f>AD448</f>
        <v/>
      </c>
      <c r="M448" s="10">
        <f>IF(OR(E448="",G448="",E448=0,G448=0),"",E448/G448)</f>
        <v/>
      </c>
      <c r="N448" s="9">
        <f>IF(OR(E448="",I448="",E448=0,I448=0),"",E448/(I448*2))</f>
        <v/>
      </c>
      <c r="O448" s="8">
        <f>IF(OR(I448="",G448="",I448=0,G448=0),"",I448*2/G448)</f>
        <v/>
      </c>
      <c r="AD448" s="5" t="n">
        <v>80</v>
      </c>
      <c r="AF448" s="95" t="n">
        <v>20</v>
      </c>
      <c r="AI448" s="88" t="n">
        <v>8.17</v>
      </c>
      <c r="AJ448" s="99" t="n">
        <v>0.4956018518518518</v>
      </c>
      <c r="AL448" s="93">
        <f>(134+104)/2</f>
        <v/>
      </c>
      <c r="AM448" s="3">
        <f>180+60</f>
        <v/>
      </c>
      <c r="AP448" s="255">
        <f>360-AK448-AB448</f>
        <v/>
      </c>
      <c r="AQ448" s="2" t="n">
        <v>2630.000000000018</v>
      </c>
      <c r="AR448" s="13">
        <f>AVERAGE(AO446:AO452)</f>
        <v/>
      </c>
      <c r="AS448" s="2">
        <f>[1]HRT_SRT!R502</f>
        <v/>
      </c>
      <c r="AT448" s="156">
        <f>(E448-W448)/E448</f>
        <v/>
      </c>
      <c r="AU448" s="155">
        <f>(I448-AF448)/I448</f>
        <v/>
      </c>
      <c r="AV448" s="155" t="n"/>
      <c r="AW448" s="155">
        <f>(G448-AM448)/G448</f>
        <v/>
      </c>
      <c r="AX448" s="254">
        <f>IF(AND(ISNUMBER(E448),ISNUMBER(W448)),E448-W448,"")</f>
        <v/>
      </c>
      <c r="AY448" s="254">
        <f>IF(AND(ISNUMBER(I448),ISNUMBER(AF448)),I448-AF448,"")</f>
        <v/>
      </c>
      <c r="AZ448" s="254">
        <f>IF(AND(ISNUMBER(AM448),ISNUMBER(G448)),G448-AM448,"")</f>
        <v/>
      </c>
      <c r="BA448" s="254">
        <f>IF(AND(ISNUMBER(AC448),ISNUMBER(AE448)),AC448-AE448,"")</f>
        <v/>
      </c>
      <c r="BB448" s="254">
        <f>IF(AND(ISNUMBER(AL448),ISNUMBER(AM448)),AL448-AM448,"")</f>
        <v/>
      </c>
      <c r="BC448" s="60">
        <f>IF(AND($E448&gt;0,$W448&gt;0),IF(($E448-$W448)/$E448&gt;0,($E448-$W448)/$E448,0),"")</f>
        <v/>
      </c>
      <c r="BD448" s="60">
        <f>IF(AND($I448&gt;0,$AF448&gt;=0),IF(($I448-$AF448)/$I448&gt;0,($I448-$AF448)/$I448,0),"")</f>
        <v/>
      </c>
      <c r="BE448" s="60" t="n"/>
      <c r="BF448" s="60">
        <f>IF(AND($G448&gt;0,$AM448&gt;0),IF(($G448-$AM448)/$G448&gt;0,($G448-$AM448)/$G448,0),"")</f>
        <v/>
      </c>
      <c r="BG448" s="6">
        <f>IF((AD448-AF448)/(AJ448/60)&lt;=0,"",(AD448-AF448)/(AJ448/60))</f>
        <v/>
      </c>
      <c r="BH448" s="6">
        <f>IF(OR(AJ448=0,AP448=0,NOT(ISNUMBER(AD448)),NOT(ISNUMBER(AF448)),NOT(ISNUMBER(AJ448)),NOT(ISNUMBER(AP448))),"",
IFERROR(IF((AD448-AF448)/(AJ448/60)/(AP448/1000)&lt;=0,"",(AD448-AF448)/(AJ448/60)/(AP448/1000)),""))</f>
        <v/>
      </c>
    </row>
    <row r="449" ht="15.75" customHeight="1">
      <c r="B449" t="n">
        <v>205</v>
      </c>
      <c r="D449" s="94" t="n">
        <v>45709</v>
      </c>
      <c r="E449" s="231" t="n">
        <v>205</v>
      </c>
      <c r="F449" s="3" t="n">
        <v>444</v>
      </c>
      <c r="G449" s="205">
        <f>IF(OR(S449="",S449=0),"",S449*2)</f>
        <v/>
      </c>
      <c r="J449" s="15" t="n"/>
      <c r="K449" s="15">
        <f>AD449</f>
        <v/>
      </c>
      <c r="M449" s="10">
        <f>IF(OR(E449="",G449="",E449=0,G449=0),"",E449/G449)</f>
        <v/>
      </c>
      <c r="N449" s="9">
        <f>IF(OR(E449="",I449="",E449=0,I449=0),"",E449/(I449*2))</f>
        <v/>
      </c>
      <c r="O449" s="8">
        <f>IF(OR(I449="",G449="",I449=0,G449=0),"",I449*2/G449)</f>
        <v/>
      </c>
      <c r="AD449" s="5" t="n">
        <v>80</v>
      </c>
      <c r="AF449" s="95" t="n">
        <v>20</v>
      </c>
      <c r="AI449" s="88" t="n"/>
      <c r="AJ449" s="99" t="n"/>
      <c r="AL449" s="93">
        <f>(134+104)/2</f>
        <v/>
      </c>
      <c r="AM449" s="3">
        <f>180+60</f>
        <v/>
      </c>
      <c r="AP449" s="255">
        <f>360-AK449-AB449</f>
        <v/>
      </c>
      <c r="AR449" s="13">
        <f>AVERAGE(AO447:AO453)</f>
        <v/>
      </c>
      <c r="AT449" s="156">
        <f>(E449-W449)/E449</f>
        <v/>
      </c>
      <c r="AU449" s="155">
        <f>(I449-AF449)/I449</f>
        <v/>
      </c>
      <c r="AV449" s="155" t="n"/>
      <c r="AW449" s="155">
        <f>(G449-AM449)/G449</f>
        <v/>
      </c>
      <c r="AX449" s="254">
        <f>IF(AND(ISNUMBER(E449),ISNUMBER(W449)),E449-W449,"")</f>
        <v/>
      </c>
      <c r="AY449" s="254">
        <f>IF(AND(ISNUMBER(I449),ISNUMBER(AF449)),I449-AF449,"")</f>
        <v/>
      </c>
      <c r="AZ449" s="254">
        <f>IF(AND(ISNUMBER(AM449),ISNUMBER(G449)),G449-AM449,"")</f>
        <v/>
      </c>
      <c r="BA449" s="254">
        <f>IF(AND(ISNUMBER(AC449),ISNUMBER(AE449)),AC449-AE449,"")</f>
        <v/>
      </c>
      <c r="BB449" s="254">
        <f>IF(AND(ISNUMBER(AL449),ISNUMBER(AM449)),AL449-AM449,"")</f>
        <v/>
      </c>
      <c r="BC449" s="60">
        <f>IF(AND($E449&gt;0,$W449&gt;0),IF(($E449-$W449)/$E449&gt;0,($E449-$W449)/$E449,0),"")</f>
        <v/>
      </c>
      <c r="BD449" s="60">
        <f>IF(AND($I449&gt;0,$AF449&gt;=0),IF(($I449-$AF449)/$I449&gt;0,($I449-$AF449)/$I449,0),"")</f>
        <v/>
      </c>
      <c r="BE449" s="60" t="n"/>
      <c r="BF449" s="60">
        <f>IF(AND($G449&gt;0,$AM449&gt;0),IF(($G449-$AM449)/$G449&gt;0,($G449-$AM449)/$G449,0),"")</f>
        <v/>
      </c>
      <c r="BG449" s="6">
        <f>IF((AD449-AF449)/(AJ449/60)&lt;=0,"",(AD449-AF449)/(AJ449/60))</f>
        <v/>
      </c>
      <c r="BH449" s="6">
        <f>IF(OR(AJ449=0,AP449=0,NOT(ISNUMBER(AD449)),NOT(ISNUMBER(AF449)),NOT(ISNUMBER(AJ449)),NOT(ISNUMBER(AP449))),"",
IFERROR(IF((AD449-AF449)/(AJ449/60)/(AP449/1000)&lt;=0,"",(AD449-AF449)/(AJ449/60)/(AP449/1000)),""))</f>
        <v/>
      </c>
    </row>
    <row r="450" ht="15.75" customHeight="1">
      <c r="A450" s="260" t="inlineStr">
        <is>
          <t>B58</t>
        </is>
      </c>
      <c r="B450" s="260" t="n">
        <v>206</v>
      </c>
      <c r="D450" s="94" t="n">
        <v>45710</v>
      </c>
      <c r="E450" s="231" t="n">
        <v>206</v>
      </c>
      <c r="F450" s="3" t="n">
        <v>445</v>
      </c>
      <c r="G450" s="205">
        <f>IF(OR(S450="",S450=0),"",S450*2)</f>
        <v/>
      </c>
      <c r="J450" s="15" t="n"/>
      <c r="K450" s="15">
        <f>AD450</f>
        <v/>
      </c>
      <c r="M450" s="10">
        <f>IF(OR(E450="",G450="",E450=0,G450=0),"",E450/G450)</f>
        <v/>
      </c>
      <c r="N450" s="9">
        <f>IF(OR(E450="",I450="",E450=0,I450=0),"",E450/(I450*2))</f>
        <v/>
      </c>
      <c r="O450" s="8">
        <f>IF(OR(I450="",G450="",I450=0,G450=0),"",I450*2/G450)</f>
        <v/>
      </c>
      <c r="AD450" s="5" t="n">
        <v>80</v>
      </c>
      <c r="AF450" s="95" t="n">
        <v>20</v>
      </c>
      <c r="AI450" s="88" t="n">
        <v>8.48</v>
      </c>
      <c r="AJ450" s="99" t="n">
        <v>0.5469907407407407</v>
      </c>
      <c r="AL450" s="93">
        <f>(134+104)/2</f>
        <v/>
      </c>
      <c r="AM450" s="3">
        <f>180+60</f>
        <v/>
      </c>
      <c r="AP450" s="255">
        <f>360-AK450-AB450</f>
        <v/>
      </c>
      <c r="AR450" s="13">
        <f>AVERAGE(AO448:AO454)</f>
        <v/>
      </c>
      <c r="AT450" s="156">
        <f>(E450-W450)/E450</f>
        <v/>
      </c>
      <c r="AU450" s="155">
        <f>(I450-AF450)/I450</f>
        <v/>
      </c>
      <c r="AV450" s="155" t="n"/>
      <c r="AW450" s="155">
        <f>(G450-AM450)/G450</f>
        <v/>
      </c>
      <c r="AX450" s="254">
        <f>IF(AND(ISNUMBER(E450),ISNUMBER(W450)),E450-W450,"")</f>
        <v/>
      </c>
      <c r="AY450" s="254">
        <f>IF(AND(ISNUMBER(I450),ISNUMBER(AF450)),I450-AF450,"")</f>
        <v/>
      </c>
      <c r="AZ450" s="254">
        <f>IF(AND(ISNUMBER(AM450),ISNUMBER(G450)),G450-AM450,"")</f>
        <v/>
      </c>
      <c r="BA450" s="254">
        <f>IF(AND(ISNUMBER(AC450),ISNUMBER(AE450)),AC450-AE450,"")</f>
        <v/>
      </c>
      <c r="BB450" s="254">
        <f>IF(AND(ISNUMBER(AL450),ISNUMBER(AM450)),AL450-AM450,"")</f>
        <v/>
      </c>
      <c r="BC450" s="60">
        <f>IF(AND($E450&gt;0,$W450&gt;0),IF(($E450-$W450)/$E450&gt;0,($E450-$W450)/$E450,0),"")</f>
        <v/>
      </c>
      <c r="BD450" s="60">
        <f>IF(AND($I450&gt;0,$AF450&gt;=0),IF(($I450-$AF450)/$I450&gt;0,($I450-$AF450)/$I450,0),"")</f>
        <v/>
      </c>
      <c r="BE450" s="60" t="n"/>
      <c r="BF450" s="60">
        <f>IF(AND($G450&gt;0,$AM450&gt;0),IF(($G450-$AM450)/$G450&gt;0,($G450-$AM450)/$G450,0),"")</f>
        <v/>
      </c>
      <c r="BG450" s="6">
        <f>IF((AD450-AF450)/(AJ450/60)&lt;=0,"",(AD450-AF450)/(AJ450/60))</f>
        <v/>
      </c>
      <c r="BH450" s="6">
        <f>IF(OR(AJ450=0,AP450=0,NOT(ISNUMBER(AD450)),NOT(ISNUMBER(AF450)),NOT(ISNUMBER(AJ450)),NOT(ISNUMBER(AP450))),"",
IFERROR(IF((AD450-AF450)/(AJ450/60)/(AP450/1000)&lt;=0,"",(AD450-AF450)/(AJ450/60)/(AP450/1000)),""))</f>
        <v/>
      </c>
    </row>
    <row r="451" ht="15.75" customHeight="1">
      <c r="B451" t="n">
        <v>207</v>
      </c>
      <c r="D451" s="94" t="n">
        <v>45711</v>
      </c>
      <c r="E451" s="231" t="n">
        <v>207</v>
      </c>
      <c r="F451" s="3" t="n">
        <v>446</v>
      </c>
      <c r="G451" s="205">
        <f>IF(OR(S451="",S451=0),"",S451*2)</f>
        <v/>
      </c>
      <c r="J451" s="15" t="n"/>
      <c r="K451" s="15">
        <f>AD451</f>
        <v/>
      </c>
      <c r="M451" s="10">
        <f>IF(OR(E451="",G451="",E451=0,G451=0),"",E451/G451)</f>
        <v/>
      </c>
      <c r="N451" s="9">
        <f>IF(OR(E451="",I451="",E451=0,I451=0),"",E451/(I451*2))</f>
        <v/>
      </c>
      <c r="O451" s="8">
        <f>IF(OR(I451="",G451="",I451=0,G451=0),"",I451*2/G451)</f>
        <v/>
      </c>
      <c r="AD451" s="5" t="n">
        <v>80</v>
      </c>
      <c r="AF451" s="95" t="n">
        <v>20</v>
      </c>
      <c r="AI451" s="98" t="n">
        <v>13.31</v>
      </c>
      <c r="AJ451" s="20" t="n">
        <v>0.5486111111111112</v>
      </c>
      <c r="AL451" s="93">
        <f>(134+104)/2</f>
        <v/>
      </c>
      <c r="AM451" s="3">
        <f>180+60</f>
        <v/>
      </c>
      <c r="AP451" s="255">
        <f>360-AK451-AB451</f>
        <v/>
      </c>
      <c r="AR451" s="13">
        <f>AVERAGE(AO449:AO455)</f>
        <v/>
      </c>
      <c r="AT451" s="156">
        <f>(E451-W451)/E451</f>
        <v/>
      </c>
      <c r="AU451" s="155">
        <f>(I451-AF451)/I451</f>
        <v/>
      </c>
      <c r="AV451" s="155">
        <f>AG451/(AD451-AF451)</f>
        <v/>
      </c>
      <c r="AW451" s="155">
        <f>(G451-AM451)/G451</f>
        <v/>
      </c>
      <c r="AX451" s="254">
        <f>IF(AND(ISNUMBER(E451),ISNUMBER(W451)),E451-W451,"")</f>
        <v/>
      </c>
      <c r="AY451" s="254">
        <f>IF(AND(ISNUMBER(I451),ISNUMBER(AF451)),I451-AF451,"")</f>
        <v/>
      </c>
      <c r="AZ451" s="254">
        <f>IF(AND(ISNUMBER(AM451),ISNUMBER(G451)),G451-AM451,"")</f>
        <v/>
      </c>
      <c r="BA451" s="254">
        <f>IF(AND(ISNUMBER(AC451),ISNUMBER(AE451)),AC451-AE451,"")</f>
        <v/>
      </c>
      <c r="BB451" s="254">
        <f>IF(AND(ISNUMBER(AL451),ISNUMBER(AM451)),AL451-AM451,"")</f>
        <v/>
      </c>
      <c r="BC451" s="60">
        <f>IF(AND($E451&gt;0,$W451&gt;0),IF(($E451-$W451)/$E451&gt;0,($E451-$W451)/$E451,0),"")</f>
        <v/>
      </c>
      <c r="BD451" s="60">
        <f>IF(AND($I451&gt;0,$AF451&gt;=0),IF(($I451-$AF451)/$I451&gt;0,($I451-$AF451)/$I451,0),"")</f>
        <v/>
      </c>
      <c r="BE451" s="60">
        <f>IF(AND($AG451&gt;=0,$AD451&gt;=0,$AF451&gt;=0),IF($AG451/($AD451-$AF451)&gt;0,$AG451/($AD451-$AF451),0),"")</f>
        <v/>
      </c>
      <c r="BF451" s="60">
        <f>IF(AND($G451&gt;0,$AM451&gt;0),IF(($G451-$AM451)/$G451&gt;0,($G451-$AM451)/$G451,0),"")</f>
        <v/>
      </c>
      <c r="BG451" s="6">
        <f>IF((AD451-AF451)/(AJ451/60)&lt;=0,"",(AD451-AF451)/(AJ451/60))</f>
        <v/>
      </c>
      <c r="BH451" s="6">
        <f>IF(OR(AJ451=0,AP451=0,NOT(ISNUMBER(AD451)),NOT(ISNUMBER(AF451)),NOT(ISNUMBER(AJ451)),NOT(ISNUMBER(AP451))),"",
IFERROR(IF((AD451-AF451)/(AJ451/60)/(AP451/1000)&lt;=0,"",(AD451-AF451)/(AJ451/60)/(AP451/1000)),""))</f>
        <v/>
      </c>
    </row>
    <row r="452" ht="15.75" customHeight="1">
      <c r="B452" t="n">
        <v>208</v>
      </c>
      <c r="C452" s="12" t="inlineStr">
        <is>
          <t>Turn off wasting</t>
        </is>
      </c>
      <c r="D452" s="94" t="n">
        <v>45712</v>
      </c>
      <c r="E452" s="231" t="n">
        <v>208</v>
      </c>
      <c r="F452" s="3" t="n">
        <v>447</v>
      </c>
      <c r="G452" s="205">
        <f>IF(OR(S452="",S452=0),"",S452*2)</f>
        <v/>
      </c>
      <c r="I452" s="9" t="n">
        <v>14</v>
      </c>
      <c r="J452" s="15" t="n"/>
      <c r="K452" s="15">
        <f>AD452</f>
        <v/>
      </c>
      <c r="M452" s="10">
        <f>IF(OR(E452="",G452="",E452=0,G452=0),"",E452/G452)</f>
        <v/>
      </c>
      <c r="N452" s="9">
        <f>IF(OR(E452="",I452="",E452=0,I452=0),"",E452/(I452*2))</f>
        <v/>
      </c>
      <c r="O452" s="8">
        <f>IF(OR(I452="",G452="",I452=0,G452=0),"",I452*2/G452)</f>
        <v/>
      </c>
      <c r="AD452" s="5" t="n">
        <v>80</v>
      </c>
      <c r="AE452" s="7">
        <f>T452</f>
        <v/>
      </c>
      <c r="AF452" s="231">
        <f>20</f>
        <v/>
      </c>
      <c r="AG452" s="6">
        <f>5*5.33</f>
        <v/>
      </c>
      <c r="AH452" s="231" t="n">
        <v>0</v>
      </c>
      <c r="AI452" s="98" t="n">
        <v>9.58</v>
      </c>
      <c r="AJ452" s="20" t="n">
        <v>0.5003472222222223</v>
      </c>
      <c r="AL452" s="93">
        <f>(134+104)/2</f>
        <v/>
      </c>
      <c r="AM452" s="3">
        <f>180+60</f>
        <v/>
      </c>
      <c r="AN452" s="4">
        <f>AE452</f>
        <v/>
      </c>
      <c r="AO452" s="231">
        <f>5*4.67</f>
        <v/>
      </c>
      <c r="AP452" s="255">
        <f>360-AK452-AB452</f>
        <v/>
      </c>
      <c r="AR452" s="13">
        <f>AVERAGE(AO450:AO456)</f>
        <v/>
      </c>
      <c r="AT452" s="156">
        <f>(E452-W452)/E452</f>
        <v/>
      </c>
      <c r="AU452" s="155">
        <f>(I452-AF452)/I452</f>
        <v/>
      </c>
      <c r="AV452" s="155">
        <f>AG452/(AD452-AF452)</f>
        <v/>
      </c>
      <c r="AW452" s="155">
        <f>(G452-AM452)/G452</f>
        <v/>
      </c>
      <c r="AX452" s="254">
        <f>IF(AND(ISNUMBER(E452),ISNUMBER(W452)),E452-W452,"")</f>
        <v/>
      </c>
      <c r="AY452" s="254">
        <f>IF(AND(ISNUMBER(I452),ISNUMBER(AF452)),I452-AF452,"")</f>
        <v/>
      </c>
      <c r="AZ452" s="254">
        <f>IF(AND(ISNUMBER(AM452),ISNUMBER(G452)),G452-AM452,"")</f>
        <v/>
      </c>
      <c r="BA452" s="254">
        <f>IF(AND(ISNUMBER(AC452),ISNUMBER(AE452)),AC452-AE452,"")</f>
        <v/>
      </c>
      <c r="BB452" s="254">
        <f>IF(AND(ISNUMBER(AL452),ISNUMBER(AM452)),AL452-AM452,"")</f>
        <v/>
      </c>
      <c r="BC452" s="60">
        <f>IF(AND($E452&gt;0,$W452&gt;0),IF(($E452-$W452)/$E452&gt;0,($E452-$W452)/$E452,0),"")</f>
        <v/>
      </c>
      <c r="BD452" s="60">
        <f>IF(AND($I452&gt;0,$AF452&gt;=0),IF(($I452-$AF452)/$I452&gt;0,($I452-$AF452)/$I452,0),"")</f>
        <v/>
      </c>
      <c r="BE452" s="60">
        <f>IF(AND($AG452&gt;=0,$AD452&gt;=0,$AF452&gt;=0),IF($AG452/($AD452-$AF452)&gt;0,$AG452/($AD452-$AF452),0),"")</f>
        <v/>
      </c>
      <c r="BF452" s="60" t="n"/>
      <c r="BG452" s="6">
        <f>IF((AD452-AF452)/(AJ452/60)&lt;=0,"",(AD452-AF452)/(AJ452/60))</f>
        <v/>
      </c>
      <c r="BH452" s="6">
        <f>IF(OR(AJ452=0,AP452=0,NOT(ISNUMBER(AD452)),NOT(ISNUMBER(AF452)),NOT(ISNUMBER(AJ452)),NOT(ISNUMBER(AP452))),"",
IFERROR(IF((AD452-AF452)/(AJ452/60)/(AP452/1000)&lt;=0,"",(AD452-AF452)/(AJ452/60)/(AP452/1000)),""))</f>
        <v/>
      </c>
    </row>
    <row r="453" ht="15.75" customHeight="1">
      <c r="B453" t="n">
        <v>209</v>
      </c>
      <c r="D453" s="97" t="n">
        <v>45713</v>
      </c>
      <c r="E453" s="231" t="n">
        <v>209</v>
      </c>
      <c r="F453" s="3" t="n">
        <v>448</v>
      </c>
      <c r="G453" s="205">
        <f>IF(OR(S453="",S453=0),"",S453*2)</f>
        <v/>
      </c>
      <c r="I453" s="9" t="n">
        <v>14</v>
      </c>
      <c r="J453" s="15">
        <f>5*3.74</f>
        <v/>
      </c>
      <c r="K453" s="15">
        <f>AD453</f>
        <v/>
      </c>
      <c r="M453" s="10">
        <f>IF(OR(E453="",G453="",E453=0,G453=0),"",E453/G453)</f>
        <v/>
      </c>
      <c r="N453" s="9">
        <f>IF(OR(E453="",I453="",E453=0,I453=0),"",E453/(I453*2))</f>
        <v/>
      </c>
      <c r="O453" s="8">
        <f>IF(OR(I453="",G453="",I453=0,G453=0),"",I453*2/G453)</f>
        <v/>
      </c>
      <c r="P453" s="7" t="n">
        <v>23.1</v>
      </c>
      <c r="Q453" t="n">
        <v>91.557</v>
      </c>
      <c r="R453" t="n">
        <v>30.684</v>
      </c>
      <c r="S453" s="6">
        <f>O453*1.067</f>
        <v/>
      </c>
      <c r="T453" s="6">
        <f>P453*1.514</f>
        <v/>
      </c>
      <c r="U453" s="23">
        <f>P453*1.514+O453*1.067</f>
        <v/>
      </c>
      <c r="V453" s="6">
        <f>20*2.78</f>
        <v/>
      </c>
      <c r="W453" s="6" t="n">
        <v>0</v>
      </c>
      <c r="X453" s="6" t="n">
        <v>0</v>
      </c>
      <c r="Y453" s="23">
        <f>U453*1.067+V453*1.514</f>
        <v/>
      </c>
      <c r="AD453" s="5" t="n">
        <v>80</v>
      </c>
      <c r="AE453" s="7">
        <f>T453</f>
        <v/>
      </c>
      <c r="AF453" s="231">
        <f>20</f>
        <v/>
      </c>
      <c r="AG453" s="231">
        <f>31.1</f>
        <v/>
      </c>
      <c r="AH453" s="231" t="n">
        <v>0</v>
      </c>
      <c r="AI453" s="88" t="n">
        <v>37.51</v>
      </c>
      <c r="AJ453" s="20" t="n">
        <v>0.4</v>
      </c>
      <c r="AL453" s="93">
        <f>(134+104)/2</f>
        <v/>
      </c>
      <c r="AM453" s="3">
        <f>180+60</f>
        <v/>
      </c>
      <c r="AN453" s="4">
        <f>AE453</f>
        <v/>
      </c>
      <c r="AO453" s="231">
        <f>5*2.54</f>
        <v/>
      </c>
      <c r="AP453" s="255">
        <f>360-AK453-AB453</f>
        <v/>
      </c>
      <c r="AQ453" s="2">
        <f>[1]HRT_SRT!P507</f>
        <v/>
      </c>
      <c r="AR453" s="13">
        <f>AVERAGE(AO451:AO457)</f>
        <v/>
      </c>
      <c r="AS453" s="2">
        <f>[1]HRT_SRT!R507</f>
        <v/>
      </c>
      <c r="AT453" s="156">
        <f>(E453-W453)/E453</f>
        <v/>
      </c>
      <c r="AU453" s="155">
        <f>(I453-AF453)/I453</f>
        <v/>
      </c>
      <c r="AV453" s="155" t="n"/>
      <c r="AW453" s="155">
        <f>(G453-AM453)/G453</f>
        <v/>
      </c>
      <c r="AX453" s="254">
        <f>IF(AND(ISNUMBER(E453),ISNUMBER(W453)),E453-W453,"")</f>
        <v/>
      </c>
      <c r="AY453" s="254">
        <f>IF(AND(ISNUMBER(I453),ISNUMBER(AF453)),I453-AF453,"")</f>
        <v/>
      </c>
      <c r="AZ453" s="254">
        <f>IF(AND(ISNUMBER(AM453),ISNUMBER(G453)),G453-AM453,"")</f>
        <v/>
      </c>
      <c r="BA453" s="254">
        <f>IF(AND(ISNUMBER(AC453),ISNUMBER(AE453)),AC453-AE453,"")</f>
        <v/>
      </c>
      <c r="BB453" s="254">
        <f>IF(AND(ISNUMBER(AL453),ISNUMBER(AM453)),AL453-AM453,"")</f>
        <v/>
      </c>
      <c r="BC453" s="60">
        <f>IF(AND($E453&gt;0,$W453&gt;0),IF(($E453-$W453)/$E453&gt;0,($E453-$W453)/$E453,0),"")</f>
        <v/>
      </c>
      <c r="BD453" s="60">
        <f>IF(AND($I453&gt;0,$AF453&gt;=0),IF(($I453-$AF453)/$I453&gt;0,($I453-$AF453)/$I453,0),"")</f>
        <v/>
      </c>
      <c r="BE453" s="60" t="n"/>
      <c r="BF453" s="60" t="n"/>
      <c r="BG453" s="6">
        <f>IF((AD453-AF453)/(AJ453/60)&lt;=0,"",(AD453-AF453)/(AJ453/60))</f>
        <v/>
      </c>
      <c r="BH453" s="6">
        <f>IF(OR(AJ453=0,AP453=0,NOT(ISNUMBER(AD453)),NOT(ISNUMBER(AF453)),NOT(ISNUMBER(AJ453)),NOT(ISNUMBER(AP453))),"",
IFERROR(IF((AD453-AF453)/(AJ453/60)/(AP453/1000)&lt;=0,"",(AD453-AF453)/(AJ453/60)/(AP453/1000)),""))</f>
        <v/>
      </c>
    </row>
    <row r="454" ht="15.75" customHeight="1">
      <c r="B454" t="n">
        <v>210</v>
      </c>
      <c r="D454" s="94" t="n">
        <v>45714</v>
      </c>
      <c r="E454" s="231" t="n">
        <v>210</v>
      </c>
      <c r="F454" s="3" t="n">
        <v>449</v>
      </c>
      <c r="G454" s="205">
        <f>IF(OR(S454="",S454=0),"",S454*2)</f>
        <v/>
      </c>
      <c r="K454" s="15">
        <f>AD454</f>
        <v/>
      </c>
      <c r="M454" s="10">
        <f>IF(OR(E454="",G454="",E454=0,G454=0),"",E454/G454)</f>
        <v/>
      </c>
      <c r="N454" s="9">
        <f>IF(OR(E454="",I454="",E454=0,I454=0),"",E454/(I454*2))</f>
        <v/>
      </c>
      <c r="O454" s="8">
        <f>IF(OR(I454="",G454="",I454=0,G454=0),"",I454*2/G454)</f>
        <v/>
      </c>
      <c r="AD454" s="5" t="n">
        <v>80</v>
      </c>
      <c r="AF454" s="95" t="n">
        <v>20</v>
      </c>
      <c r="AI454" s="88" t="n">
        <v>35.88</v>
      </c>
      <c r="AJ454" s="20" t="n">
        <v>0.3993055555555556</v>
      </c>
      <c r="AL454" s="93">
        <f>(134+104)/2</f>
        <v/>
      </c>
      <c r="AM454" s="3">
        <f>180+60</f>
        <v/>
      </c>
      <c r="AP454" s="255">
        <f>360-AK454-AB454</f>
        <v/>
      </c>
      <c r="AR454" s="13">
        <f>AVERAGE(AO452:AO458)</f>
        <v/>
      </c>
      <c r="AT454" s="156">
        <f>(E454-W454)/E454</f>
        <v/>
      </c>
      <c r="AU454" s="155">
        <f>(I454-AF454)/I454</f>
        <v/>
      </c>
      <c r="AV454" s="155" t="n"/>
      <c r="AW454" s="155">
        <f>(G454-AM454)/G454</f>
        <v/>
      </c>
      <c r="AX454" s="254">
        <f>IF(AND(ISNUMBER(E454),ISNUMBER(W454)),E454-W454,"")</f>
        <v/>
      </c>
      <c r="AY454" s="254">
        <f>IF(AND(ISNUMBER(I454),ISNUMBER(AF454)),I454-AF454,"")</f>
        <v/>
      </c>
      <c r="AZ454" s="254">
        <f>IF(AND(ISNUMBER(AM454),ISNUMBER(G454)),G454-AM454,"")</f>
        <v/>
      </c>
      <c r="BA454" s="254">
        <f>IF(AND(ISNUMBER(AC454),ISNUMBER(AE454)),AC454-AE454,"")</f>
        <v/>
      </c>
      <c r="BB454" s="254">
        <f>IF(AND(ISNUMBER(AL454),ISNUMBER(AM454)),AL454-AM454,"")</f>
        <v/>
      </c>
      <c r="BC454" s="60">
        <f>IF(AND($E454&gt;0,$W454&gt;0),IF(($E454-$W454)/$E454&gt;0,($E454-$W454)/$E454,0),"")</f>
        <v/>
      </c>
      <c r="BD454" s="60">
        <f>IF(AND($I454&gt;0,$AF454&gt;=0),IF(($I454-$AF454)/$I454&gt;0,($I454-$AF454)/$I454,0),"")</f>
        <v/>
      </c>
      <c r="BE454" s="60" t="n"/>
      <c r="BF454" s="60">
        <f>IF(AND($G454&gt;0,$AM454&gt;0),IF(($G454-$AM454)/$G454&gt;0,($G454-$AM454)/$G454,0),"")</f>
        <v/>
      </c>
      <c r="BG454" s="6">
        <f>IF((AD454-AF454)/(AJ454/60)&lt;=0,"",(AD454-AF454)/(AJ454/60))</f>
        <v/>
      </c>
      <c r="BH454" s="6">
        <f>IF(OR(AJ454=0,AP454=0,NOT(ISNUMBER(AD454)),NOT(ISNUMBER(AF454)),NOT(ISNUMBER(AJ454)),NOT(ISNUMBER(AP454))),"",
IFERROR(IF((AD454-AF454)/(AJ454/60)/(AP454/1000)&lt;=0,"",(AD454-AF454)/(AJ454/60)/(AP454/1000)),""))</f>
        <v/>
      </c>
    </row>
    <row r="455" ht="15.75" customHeight="1">
      <c r="B455" t="n">
        <v>211</v>
      </c>
      <c r="D455" s="94" t="n">
        <v>45715</v>
      </c>
      <c r="E455" s="231" t="n">
        <v>211</v>
      </c>
      <c r="F455" s="3" t="n">
        <v>450</v>
      </c>
      <c r="G455" s="205">
        <f>IF(OR(S455="",S455=0),"",S455*2)</f>
        <v/>
      </c>
      <c r="K455" s="15">
        <f>AD455</f>
        <v/>
      </c>
      <c r="M455" s="10">
        <f>IF(OR(E455="",G455="",E455=0,G455=0),"",E455/G455)</f>
        <v/>
      </c>
      <c r="N455" s="9">
        <f>IF(OR(E455="",I455="",E455=0,I455=0),"",E455/(I455*2))</f>
        <v/>
      </c>
      <c r="O455" s="8">
        <f>IF(OR(I455="",G455="",I455=0,G455=0),"",I455*2/G455)</f>
        <v/>
      </c>
      <c r="P455" s="6" t="n"/>
      <c r="AD455" s="5" t="n">
        <v>80</v>
      </c>
      <c r="AE455" s="231" t="n"/>
      <c r="AF455" s="95" t="n">
        <v>20.5</v>
      </c>
      <c r="AI455" s="88" t="n">
        <v>35.63</v>
      </c>
      <c r="AJ455" s="20" t="n">
        <v>0.4467592592592592</v>
      </c>
      <c r="AL455" s="93">
        <f>(134+104)/2</f>
        <v/>
      </c>
      <c r="AM455" s="3">
        <f>180+60</f>
        <v/>
      </c>
      <c r="AN455" s="231" t="n"/>
      <c r="AP455" s="255">
        <f>360-AK455-AB455</f>
        <v/>
      </c>
      <c r="AR455" s="13">
        <f>AVERAGE(AO453:AO459)</f>
        <v/>
      </c>
      <c r="AT455" s="156">
        <f>(E455-W455)/E455</f>
        <v/>
      </c>
      <c r="AU455" s="155">
        <f>(I455-AF455)/I455</f>
        <v/>
      </c>
      <c r="AV455" s="155" t="n"/>
      <c r="AW455" s="155">
        <f>(G455-AM455)/G455</f>
        <v/>
      </c>
      <c r="AX455" s="254">
        <f>IF(AND(ISNUMBER(E455),ISNUMBER(W455)),E455-W455,"")</f>
        <v/>
      </c>
      <c r="AY455" s="254">
        <f>IF(AND(ISNUMBER(I455),ISNUMBER(AF455)),I455-AF455,"")</f>
        <v/>
      </c>
      <c r="AZ455" s="254">
        <f>IF(AND(ISNUMBER(AM455),ISNUMBER(G455)),G455-AM455,"")</f>
        <v/>
      </c>
      <c r="BA455" s="254">
        <f>IF(AND(ISNUMBER(AC455),ISNUMBER(AE455)),AC455-AE455,"")</f>
        <v/>
      </c>
      <c r="BB455" s="254">
        <f>IF(AND(ISNUMBER(AL455),ISNUMBER(AM455)),AL455-AM455,"")</f>
        <v/>
      </c>
      <c r="BC455" s="60">
        <f>IF(AND($E455&gt;0,$W455&gt;0),IF(($E455-$W455)/$E455&gt;0,($E455-$W455)/$E455,0),"")</f>
        <v/>
      </c>
      <c r="BD455" s="60">
        <f>IF(AND($I455&gt;0,$AF455&gt;=0),IF(($I455-$AF455)/$I455&gt;0,($I455-$AF455)/$I455,0),"")</f>
        <v/>
      </c>
      <c r="BE455" s="60" t="n"/>
      <c r="BF455" s="60">
        <f>IF(AND($G455&gt;0,$AM455&gt;0),IF(($G455-$AM455)/$G455&gt;0,($G455-$AM455)/$G455,0),"")</f>
        <v/>
      </c>
      <c r="BG455" s="6">
        <f>IF((AD455-AF455)/(AJ455/60)&lt;=0,"",(AD455-AF455)/(AJ455/60))</f>
        <v/>
      </c>
      <c r="BH455" s="6">
        <f>IF(OR(AJ455=0,AP455=0,NOT(ISNUMBER(AD455)),NOT(ISNUMBER(AF455)),NOT(ISNUMBER(AJ455)),NOT(ISNUMBER(AP455))),"",
IFERROR(IF((AD455-AF455)/(AJ455/60)/(AP455/1000)&lt;=0,"",(AD455-AF455)/(AJ455/60)/(AP455/1000)),""))</f>
        <v/>
      </c>
    </row>
    <row r="456" ht="15.75" customHeight="1">
      <c r="B456" t="n">
        <v>212</v>
      </c>
      <c r="D456" s="94" t="n">
        <v>45716</v>
      </c>
      <c r="E456" s="231" t="n">
        <v>212</v>
      </c>
      <c r="F456" s="3" t="n">
        <v>451</v>
      </c>
      <c r="G456" s="205">
        <f>IF(OR(S456="",S456=0),"",S456*2)</f>
        <v/>
      </c>
      <c r="I456" s="15">
        <f>(N456*18-H456*18)/9</f>
        <v/>
      </c>
      <c r="J456" s="15">
        <f>5*1.72</f>
        <v/>
      </c>
      <c r="K456" s="15">
        <f>AD456</f>
        <v/>
      </c>
      <c r="M456" s="10">
        <f>IF(OR(E456="",G456="",E456=0,G456=0),"",E456/G456)</f>
        <v/>
      </c>
      <c r="N456" s="9">
        <f>IF(OR(E456="",I456="",E456=0,I456=0),"",E456/(I456*2))</f>
        <v/>
      </c>
      <c r="O456" s="8">
        <f>IF(OR(I456="",G456="",I456=0,G456=0),"",I456*2/G456)</f>
        <v/>
      </c>
      <c r="P456" s="7" t="n">
        <v>15.1</v>
      </c>
      <c r="V456" s="6">
        <f>21.2*2</f>
        <v/>
      </c>
      <c r="Z456" s="6" t="n">
        <v>2.25</v>
      </c>
      <c r="AA456" s="6" t="n">
        <v>0.15</v>
      </c>
      <c r="AB456" s="6" t="n">
        <v>73</v>
      </c>
      <c r="AC456" s="6" t="n">
        <v>-201</v>
      </c>
      <c r="AD456" s="5" t="n">
        <v>80</v>
      </c>
      <c r="AE456" s="7">
        <f>T456</f>
        <v/>
      </c>
      <c r="AF456" s="231">
        <f>5*4.1</f>
        <v/>
      </c>
      <c r="AG456" s="231" t="n">
        <v>20.9</v>
      </c>
      <c r="AH456" s="231" t="n">
        <v>0</v>
      </c>
      <c r="AI456" s="88" t="n"/>
      <c r="AJ456" s="20" t="n"/>
      <c r="AK456" s="231" t="n">
        <v>-206</v>
      </c>
      <c r="AL456" s="93">
        <f>(134+104)/2</f>
        <v/>
      </c>
      <c r="AM456" s="3">
        <f>180+60</f>
        <v/>
      </c>
      <c r="AN456" s="4">
        <f>AE456</f>
        <v/>
      </c>
      <c r="AO456" s="231">
        <f>5*3.12</f>
        <v/>
      </c>
      <c r="AP456" s="255">
        <f>360-AK456-AB456</f>
        <v/>
      </c>
      <c r="AR456" s="96">
        <f>(AO453+AO462)/2</f>
        <v/>
      </c>
      <c r="AT456" s="156">
        <f>(E456-W456)/E456</f>
        <v/>
      </c>
      <c r="AU456" s="155">
        <f>(I456-#REF!)/I456</f>
        <v/>
      </c>
      <c r="AV456" s="155" t="n"/>
      <c r="AW456" s="155">
        <f>(G456-AM456)/G456</f>
        <v/>
      </c>
      <c r="AX456" s="254">
        <f>IF(AND(ISNUMBER(E456),ISNUMBER(W456)),E456-W456,"")</f>
        <v/>
      </c>
      <c r="AY456" s="254">
        <f>IF(AND(ISNUMBER(I456),ISNUMBER(#REF!)),I456-#REF!,"")</f>
        <v/>
      </c>
      <c r="AZ456" s="254">
        <f>IF(AND(ISNUMBER(AM456),ISNUMBER(G456)),G456-AM456,"")</f>
        <v/>
      </c>
      <c r="BA456" s="254">
        <f>IF(AND(ISNUMBER(AC456),ISNUMBER(AE456)),AC456-AE456,"")</f>
        <v/>
      </c>
      <c r="BB456" s="254">
        <f>IF(AND(ISNUMBER(AL456),ISNUMBER(AM456)),AL456-AM456,"")</f>
        <v/>
      </c>
      <c r="BC456" s="60">
        <f>IF(AND($E456&gt;0,$W456&gt;0),IF(($E456-$W456)/$E456&gt;0,($E456-$W456)/$E456,0),"")</f>
        <v/>
      </c>
      <c r="BD456" s="60" t="n"/>
      <c r="BE456" s="60" t="n"/>
      <c r="BF456" s="60" t="n"/>
      <c r="BG456" s="6">
        <f>IF((AD456-AF456)/(AJ456/60)&lt;=0,"",(AD456-AF456)/(AJ456/60))</f>
        <v/>
      </c>
      <c r="BH456" s="6">
        <f>IF(OR(AJ456=0,AP456=0,NOT(ISNUMBER(AD456)),NOT(ISNUMBER(AF456)),NOT(ISNUMBER(AJ456)),NOT(ISNUMBER(AP456))),"",
IFERROR(IF((AD456-AF456)/(AJ456/60)/(AP456/1000)&lt;=0,"",(AD456-AF456)/(AJ456/60)/(AP456/1000)),""))</f>
        <v/>
      </c>
    </row>
    <row r="457" ht="15.75" customHeight="1">
      <c r="A457" s="260" t="inlineStr">
        <is>
          <t>B59</t>
        </is>
      </c>
      <c r="B457" s="260" t="n">
        <v>213</v>
      </c>
      <c r="D457" s="94" t="n">
        <v>45717</v>
      </c>
      <c r="E457" s="231" t="n">
        <v>213</v>
      </c>
      <c r="F457" s="3" t="n">
        <v>452</v>
      </c>
      <c r="G457" s="205">
        <f>IF(OR(S457="",S457=0),"",S457*2)</f>
        <v/>
      </c>
      <c r="K457" s="15">
        <f>AD457</f>
        <v/>
      </c>
      <c r="M457" s="10">
        <f>IF(OR(E457="",G457="",E457=0,G457=0),"",E457/G457)</f>
        <v/>
      </c>
      <c r="N457" s="9">
        <f>IF(OR(E457="",I457="",E457=0,I457=0),"",E457/(I457*2))</f>
        <v/>
      </c>
      <c r="O457" s="8">
        <f>IF(OR(I457="",G457="",I457=0,G457=0),"",I457*2/G457)</f>
        <v/>
      </c>
      <c r="AD457" s="5" t="n">
        <v>80</v>
      </c>
      <c r="AF457" s="95" t="n">
        <v>20</v>
      </c>
      <c r="AI457" s="88" t="n"/>
      <c r="AJ457" s="20" t="n"/>
      <c r="AL457" s="231" t="n">
        <v>71</v>
      </c>
      <c r="AM457" s="3">
        <f>180+60</f>
        <v/>
      </c>
      <c r="AP457" s="255">
        <f>360-AK457-AB457</f>
        <v/>
      </c>
      <c r="AR457" s="13">
        <f>(AO453+AO462)/2</f>
        <v/>
      </c>
      <c r="AT457" s="156">
        <f>(E457-W457)/E457</f>
        <v/>
      </c>
      <c r="AU457" s="155">
        <f>(I457-AF456)/I457</f>
        <v/>
      </c>
      <c r="AV457" s="155" t="n"/>
      <c r="AW457" s="155">
        <f>(G457-AM457)/G457</f>
        <v/>
      </c>
      <c r="AX457" s="254">
        <f>IF(AND(ISNUMBER(E457),ISNUMBER(W457)),E457-W457,"")</f>
        <v/>
      </c>
      <c r="AY457" s="254">
        <f>IF(AND(ISNUMBER(I457),ISNUMBER(AF456)),I457-AF456,"")</f>
        <v/>
      </c>
      <c r="AZ457" s="254">
        <f>IF(AND(ISNUMBER(AM457),ISNUMBER(G457)),G457-AM457,"")</f>
        <v/>
      </c>
      <c r="BA457" s="254">
        <f>IF(AND(ISNUMBER(AC457),ISNUMBER(AE457)),AC457-AE457,"")</f>
        <v/>
      </c>
      <c r="BB457" s="254">
        <f>IF(AND(ISNUMBER(AL457),ISNUMBER(AM457)),AL457-AM457,"")</f>
        <v/>
      </c>
      <c r="BC457" s="60">
        <f>IF(AND($E457&gt;0,$W457&gt;0),IF(($E457-$W457)/$E457&gt;0,($E457-$W457)/$E457,0),"")</f>
        <v/>
      </c>
      <c r="BD457" s="60">
        <f>IF(AND($I457&gt;0,$AF456&gt;=0),IF(($I457-$AF456)/$I457&gt;0,($I457-$AF456)/$I457,0),"")</f>
        <v/>
      </c>
      <c r="BE457" s="60" t="n"/>
      <c r="BF457" s="60">
        <f>IF(AND($G457&gt;0,$AM457&gt;0),IF(($G457-$AM457)/$G457&gt;0,($G457-$AM457)/$G457,0),"")</f>
        <v/>
      </c>
      <c r="BG457" s="6">
        <f>IF((AD457-AF457)/(AJ457/60)&lt;=0,"",(AD457-AF457)/(AJ457/60))</f>
        <v/>
      </c>
      <c r="BH457" s="6">
        <f>IF(OR(AJ457=0,AP457=0,NOT(ISNUMBER(AD457)),NOT(ISNUMBER(AF457)),NOT(ISNUMBER(AJ457)),NOT(ISNUMBER(AP457))),"",
IFERROR(IF((AD457-AF457)/(AJ457/60)/(AP457/1000)&lt;=0,"",(AD457-AF457)/(AJ457/60)/(AP457/1000)),""))</f>
        <v/>
      </c>
    </row>
    <row r="458" ht="15.75" customHeight="1">
      <c r="B458" t="n">
        <v>214</v>
      </c>
      <c r="D458" s="94" t="n">
        <v>45718</v>
      </c>
      <c r="E458" s="231" t="n">
        <v>214</v>
      </c>
      <c r="F458" s="3" t="n">
        <v>453</v>
      </c>
      <c r="G458" s="205">
        <f>IF(OR(S458="",S458=0),"",S458*2)</f>
        <v/>
      </c>
      <c r="K458" s="15">
        <f>AD458</f>
        <v/>
      </c>
      <c r="M458" s="10">
        <f>IF(OR(E458="",G458="",E458=0,G458=0),"",E458/G458)</f>
        <v/>
      </c>
      <c r="N458" s="9">
        <f>IF(OR(E458="",I458="",E458=0,I458=0),"",E458/(I458*2))</f>
        <v/>
      </c>
      <c r="O458" s="8">
        <f>IF(OR(I458="",G458="",I458=0,G458=0),"",I458*2/G458)</f>
        <v/>
      </c>
      <c r="AD458" s="5" t="n">
        <v>80</v>
      </c>
      <c r="AF458" s="95" t="n">
        <v>20</v>
      </c>
      <c r="AI458" s="88" t="n"/>
      <c r="AJ458" s="20" t="n"/>
      <c r="AL458" s="231" t="n">
        <v>75</v>
      </c>
      <c r="AM458" s="3">
        <f>180+60</f>
        <v/>
      </c>
      <c r="AP458" s="255">
        <f>360-AK458-AB458</f>
        <v/>
      </c>
      <c r="AR458" s="13">
        <f>(AO453+AO462)/2</f>
        <v/>
      </c>
      <c r="AT458" s="156">
        <f>(E458-W458)/E458</f>
        <v/>
      </c>
      <c r="AU458" s="155">
        <f>(I458-AF458)/I458</f>
        <v/>
      </c>
      <c r="AV458" s="155" t="n"/>
      <c r="AW458" s="155">
        <f>(G458-AM458)/G458</f>
        <v/>
      </c>
      <c r="AX458" s="254">
        <f>IF(AND(ISNUMBER(E458),ISNUMBER(W458)),E458-W458,"")</f>
        <v/>
      </c>
      <c r="AY458" s="254">
        <f>IF(AND(ISNUMBER(I458),ISNUMBER(AF458)),I458-AF458,"")</f>
        <v/>
      </c>
      <c r="AZ458" s="254">
        <f>IF(AND(ISNUMBER(AM458),ISNUMBER(G458)),G458-AM458,"")</f>
        <v/>
      </c>
      <c r="BA458" s="254">
        <f>IF(AND(ISNUMBER(AC458),ISNUMBER(AE458)),AC458-AE458,"")</f>
        <v/>
      </c>
      <c r="BB458" s="254">
        <f>IF(AND(ISNUMBER(AL458),ISNUMBER(AM458)),AL458-AM458,"")</f>
        <v/>
      </c>
      <c r="BC458" s="60">
        <f>IF(AND($E458&gt;0,$W458&gt;0),IF(($E458-$W458)/$E458&gt;0,($E458-$W458)/$E458,0),"")</f>
        <v/>
      </c>
      <c r="BD458" s="60">
        <f>IF(AND($I458&gt;0,$AF458&gt;=0),IF(($I458-$AF458)/$I458&gt;0,($I458-$AF458)/$I458,0),"")</f>
        <v/>
      </c>
      <c r="BE458" s="60" t="n"/>
      <c r="BF458" s="60">
        <f>IF(AND($G458&gt;0,$AM458&gt;0),IF(($G458-$AM458)/$G458&gt;0,($G458-$AM458)/$G458,0),"")</f>
        <v/>
      </c>
      <c r="BG458" s="6">
        <f>IF((AD458-AF458)/(AJ458/60)&lt;=0,"",(AD458-AF458)/(AJ458/60))</f>
        <v/>
      </c>
      <c r="BH458" s="6">
        <f>IF(OR(AJ458=0,AP458=0,NOT(ISNUMBER(AD458)),NOT(ISNUMBER(AF458)),NOT(ISNUMBER(AJ458)),NOT(ISNUMBER(AP458))),"",
IFERROR(IF((AD458-AF458)/(AJ458/60)/(AP458/1000)&lt;=0,"",(AD458-AF458)/(AJ458/60)/(AP458/1000)),""))</f>
        <v/>
      </c>
    </row>
    <row r="459" ht="15.75" customHeight="1">
      <c r="B459" t="n">
        <v>215</v>
      </c>
      <c r="C459" s="25" t="inlineStr">
        <is>
          <t>Sunday/ no influent for 4 cycles</t>
        </is>
      </c>
      <c r="D459" s="94" t="n">
        <v>45719</v>
      </c>
      <c r="E459" s="231" t="n">
        <v>215</v>
      </c>
      <c r="F459" s="3" t="n">
        <v>454</v>
      </c>
      <c r="G459" s="205">
        <f>IF(OR(S459="",S459=0),"",S459*2)</f>
        <v/>
      </c>
      <c r="K459" s="15">
        <f>AD459</f>
        <v/>
      </c>
      <c r="M459" s="10">
        <f>IF(OR(E459="",G459="",E459=0,G459=0),"",E459/G459)</f>
        <v/>
      </c>
      <c r="N459" s="9">
        <f>IF(OR(E459="",I459="",E459=0,I459=0),"",E459/(I459*2))</f>
        <v/>
      </c>
      <c r="O459" s="8">
        <f>IF(OR(I459="",G459="",I459=0,G459=0),"",I459*2/G459)</f>
        <v/>
      </c>
      <c r="AD459" s="5" t="n">
        <v>80</v>
      </c>
      <c r="AF459" s="95" t="n">
        <v>20</v>
      </c>
      <c r="AI459" s="88" t="n">
        <v>38.34</v>
      </c>
      <c r="AJ459" s="20" t="n">
        <v>0.5119212962962963</v>
      </c>
      <c r="AL459" s="231" t="n">
        <v>109</v>
      </c>
      <c r="AM459" s="3">
        <f>180+60</f>
        <v/>
      </c>
      <c r="AP459" s="255">
        <f>360-AK459-AB459</f>
        <v/>
      </c>
      <c r="AR459" s="13">
        <f>(AO453+AO462)/2</f>
        <v/>
      </c>
      <c r="AT459" s="156">
        <f>(E459-W459)/E459</f>
        <v/>
      </c>
      <c r="AU459" s="155">
        <f>(I459-AF459)/I459</f>
        <v/>
      </c>
      <c r="AV459" s="155" t="n"/>
      <c r="AW459" s="155">
        <f>(G459-AM459)/G459</f>
        <v/>
      </c>
      <c r="AX459" s="254">
        <f>IF(AND(ISNUMBER(E459),ISNUMBER(W459)),E459-W459,"")</f>
        <v/>
      </c>
      <c r="AY459" s="254">
        <f>IF(AND(ISNUMBER(I459),ISNUMBER(AF459)),I459-AF459,"")</f>
        <v/>
      </c>
      <c r="AZ459" s="254">
        <f>IF(AND(ISNUMBER(AM459),ISNUMBER(G459)),G459-AM459,"")</f>
        <v/>
      </c>
      <c r="BA459" s="254">
        <f>IF(AND(ISNUMBER(AC459),ISNUMBER(AE459)),AC459-AE459,"")</f>
        <v/>
      </c>
      <c r="BB459" s="254">
        <f>IF(AND(ISNUMBER(AL459),ISNUMBER(AM459)),AL459-AM459,"")</f>
        <v/>
      </c>
      <c r="BC459" s="60">
        <f>IF(AND($E459&gt;0,$W459&gt;0),IF(($E459-$W459)/$E459&gt;0,($E459-$W459)/$E459,0),"")</f>
        <v/>
      </c>
      <c r="BD459" s="60">
        <f>IF(AND($I459&gt;0,$AF459&gt;=0),IF(($I459-$AF459)/$I459&gt;0,($I459-$AF459)/$I459,0),"")</f>
        <v/>
      </c>
      <c r="BE459" s="60" t="n"/>
      <c r="BF459" s="60">
        <f>IF(AND($G459&gt;0,$AM459&gt;0),IF(($G459-$AM459)/$G459&gt;0,($G459-$AM459)/$G459,0),"")</f>
        <v/>
      </c>
      <c r="BG459" s="6">
        <f>IF((AD459-AF459)/(AJ459/60)&lt;=0,"",(AD459-AF459)/(AJ459/60))</f>
        <v/>
      </c>
      <c r="BH459" s="6">
        <f>IF(OR(AJ459=0,AP459=0,NOT(ISNUMBER(AD459)),NOT(ISNUMBER(AF459)),NOT(ISNUMBER(AJ459)),NOT(ISNUMBER(AP459))),"",
IFERROR(IF((AD459-AF459)/(AJ459/60)/(AP459/1000)&lt;=0,"",(AD459-AF459)/(AJ459/60)/(AP459/1000)),""))</f>
        <v/>
      </c>
    </row>
    <row r="460" ht="15.75" customHeight="1">
      <c r="B460" t="n">
        <v>216</v>
      </c>
      <c r="D460" s="94" t="n">
        <v>45720</v>
      </c>
      <c r="E460" s="231" t="n">
        <v>216</v>
      </c>
      <c r="F460" s="3" t="n">
        <v>455</v>
      </c>
      <c r="G460" s="205">
        <f>IF(OR(S460="",S460=0),"",S460*2)</f>
        <v/>
      </c>
      <c r="I460" s="15">
        <f>(N460*18-H460*18)/9</f>
        <v/>
      </c>
      <c r="J460" s="15">
        <f>5*0.697</f>
        <v/>
      </c>
      <c r="K460" s="15">
        <f>AD460</f>
        <v/>
      </c>
      <c r="M460" s="10">
        <f>IF(OR(E460="",G460="",E460=0,G460=0),"",E460/G460)</f>
        <v/>
      </c>
      <c r="N460" s="9">
        <f>IF(OR(E460="",I460="",E460=0,I460=0),"",E460/(I460*2))</f>
        <v/>
      </c>
      <c r="O460" s="8">
        <f>IF(OR(I460="",G460="",I460=0,G460=0),"",I460*2/G460)</f>
        <v/>
      </c>
      <c r="P460" s="7" t="n">
        <v>10.1</v>
      </c>
      <c r="Q460" t="n">
        <v>95.252</v>
      </c>
      <c r="R460" t="n">
        <v>31.094</v>
      </c>
      <c r="S460" s="6">
        <f>O460*1.067</f>
        <v/>
      </c>
      <c r="T460" s="6">
        <f>P460*1.514</f>
        <v/>
      </c>
      <c r="U460" s="23">
        <f>P460*1.514+O460*1.067</f>
        <v/>
      </c>
      <c r="V460" s="6">
        <f>20*1.55</f>
        <v/>
      </c>
      <c r="W460">
        <f>0.235*1.067</f>
        <v/>
      </c>
      <c r="X460" s="6" t="n">
        <v>0</v>
      </c>
      <c r="Y460" s="23">
        <f>U460*1.067+V460*1.514</f>
        <v/>
      </c>
      <c r="AD460" s="5" t="n">
        <v>80</v>
      </c>
      <c r="AE460" s="7">
        <f>T460</f>
        <v/>
      </c>
      <c r="AF460" s="231">
        <f>5*3.85</f>
        <v/>
      </c>
      <c r="AG460" s="231">
        <f>10*0.998</f>
        <v/>
      </c>
      <c r="AH460" s="231" t="n">
        <v>0</v>
      </c>
      <c r="AI460" s="88" t="n">
        <v>3.93</v>
      </c>
      <c r="AJ460" s="20" t="n">
        <v>0.4936342592592592</v>
      </c>
      <c r="AL460" s="231" t="n">
        <v>159</v>
      </c>
      <c r="AM460" s="3">
        <f>180+60</f>
        <v/>
      </c>
      <c r="AN460" s="4">
        <f>AE460</f>
        <v/>
      </c>
      <c r="AO460" s="231">
        <f>5*1.1</f>
        <v/>
      </c>
      <c r="AP460" s="255">
        <f>360-AK460-AB460</f>
        <v/>
      </c>
      <c r="AR460" s="13">
        <f>AVERAGE(AO458:AO464)</f>
        <v/>
      </c>
      <c r="AT460" s="156">
        <f>(E460-W460)/E460</f>
        <v/>
      </c>
      <c r="AU460" s="155">
        <f>(I460-AF460)/I460</f>
        <v/>
      </c>
      <c r="AV460" s="155" t="n"/>
      <c r="AW460" s="155">
        <f>(G460-AM460)/G460</f>
        <v/>
      </c>
      <c r="AX460" s="254">
        <f>IF(AND(ISNUMBER(E460),ISNUMBER(W460)),E460-W460,"")</f>
        <v/>
      </c>
      <c r="AY460" s="254">
        <f>IF(AND(ISNUMBER(I460),ISNUMBER(AF460)),I460-AF460,"")</f>
        <v/>
      </c>
      <c r="AZ460" s="254">
        <f>IF(AND(ISNUMBER(AM460),ISNUMBER(G460)),G460-AM460,"")</f>
        <v/>
      </c>
      <c r="BA460" s="254">
        <f>IF(AND(ISNUMBER(AC460),ISNUMBER(AE460)),AC460-AE460,"")</f>
        <v/>
      </c>
      <c r="BB460" s="254">
        <f>IF(AND(ISNUMBER(AL460),ISNUMBER(AM460)),AL460-AM460,"")</f>
        <v/>
      </c>
      <c r="BC460" s="60">
        <f>IF(AND($E460&gt;0,$W460&gt;0),IF(($E460-$W460)/$E460&gt;0,($E460-$W460)/$E460,0),"")</f>
        <v/>
      </c>
      <c r="BD460" s="60">
        <f>IF(AND($I460&gt;0,$AF460&gt;=0),IF(($I460-$AF460)/$I460&gt;0,($I460-$AF460)/$I460,0),"")</f>
        <v/>
      </c>
      <c r="BE460" s="60" t="n"/>
      <c r="BF460" s="60">
        <f>IF(AND($G460&gt;0,$AM460&gt;0),IF(($G460-$AM460)/$G460&gt;0,($G460-$AM460)/$G460,0),"")</f>
        <v/>
      </c>
      <c r="BG460" s="6">
        <f>IF((AD460-AF460)/(AJ460/60)&lt;=0,"",(AD460-AF460)/(AJ460/60))</f>
        <v/>
      </c>
      <c r="BH460" s="6" t="n"/>
    </row>
    <row r="461" ht="15.75" customHeight="1">
      <c r="B461" t="n">
        <v>217</v>
      </c>
      <c r="D461" s="94" t="n">
        <v>45721</v>
      </c>
      <c r="E461" s="231" t="n">
        <v>217</v>
      </c>
      <c r="F461" s="3" t="n">
        <v>456</v>
      </c>
      <c r="G461" s="205">
        <f>IF(OR(S461="",S461=0),"",S461*2)</f>
        <v/>
      </c>
      <c r="K461" s="15">
        <f>AD461</f>
        <v/>
      </c>
      <c r="M461" s="10">
        <f>IF(OR(E461="",G461="",E461=0,G461=0),"",E461/G461)</f>
        <v/>
      </c>
      <c r="N461" s="9">
        <f>IF(OR(E461="",I461="",E461=0,I461=0),"",E461/(I461*2))</f>
        <v/>
      </c>
      <c r="O461" s="8">
        <f>IF(OR(I461="",G461="",I461=0,G461=0),"",I461*2/G461)</f>
        <v/>
      </c>
      <c r="AD461" s="5" t="n">
        <v>80</v>
      </c>
      <c r="AF461" s="95" t="n">
        <v>20</v>
      </c>
      <c r="AI461" s="88" t="n">
        <v>3.77</v>
      </c>
      <c r="AJ461" s="20" t="n">
        <v>0.4827546296296296</v>
      </c>
      <c r="AL461" s="231" t="n">
        <v>121</v>
      </c>
      <c r="AM461" s="3">
        <f>180+60</f>
        <v/>
      </c>
      <c r="AP461" s="255">
        <f>360-AK461-AB461</f>
        <v/>
      </c>
      <c r="AR461" s="13">
        <f>AVERAGE(AO459:AO465)</f>
        <v/>
      </c>
      <c r="AT461" s="156">
        <f>(E461-W461)/E461</f>
        <v/>
      </c>
      <c r="AU461" s="155">
        <f>(I461-AF461)/I461</f>
        <v/>
      </c>
      <c r="AV461" s="155" t="n"/>
      <c r="AW461" s="155">
        <f>(G461-AM461)/G461</f>
        <v/>
      </c>
      <c r="AX461" s="254">
        <f>IF(AND(ISNUMBER(E461),ISNUMBER(W461)),E461-W461,"")</f>
        <v/>
      </c>
      <c r="AY461" s="254">
        <f>IF(AND(ISNUMBER(I461),ISNUMBER(AF461)),I461-AF461,"")</f>
        <v/>
      </c>
      <c r="AZ461" s="254">
        <f>IF(AND(ISNUMBER(AM461),ISNUMBER(G461)),G461-AM461,"")</f>
        <v/>
      </c>
      <c r="BA461" s="254">
        <f>IF(AND(ISNUMBER(AC461),ISNUMBER(AE461)),AC461-AE461,"")</f>
        <v/>
      </c>
      <c r="BB461" s="254">
        <f>IF(AND(ISNUMBER(AL461),ISNUMBER(AM461)),AL461-AM461,"")</f>
        <v/>
      </c>
      <c r="BC461" s="60">
        <f>IF(AND($E461&gt;0,$W461&gt;0),IF(($E461-$W461)/$E461&gt;0,($E461-$W461)/$E461,0),"")</f>
        <v/>
      </c>
      <c r="BD461" s="60">
        <f>IF(AND($I461&gt;0,$AF461&gt;=0),IF(($I461-$AF461)/$I461&gt;0,($I461-$AF461)/$I461,0),"")</f>
        <v/>
      </c>
      <c r="BE461" s="60" t="n"/>
      <c r="BF461" s="60">
        <f>IF(AND($G461&gt;0,$AM461&gt;0),IF(($G461-$AM461)/$G461&gt;0,($G461-$AM461)/$G461,0),"")</f>
        <v/>
      </c>
      <c r="BG461" s="6">
        <f>IF((AD461-AF461)/(AJ461/60)&lt;=0,"",(AD461-AF461)/(AJ461/60))</f>
        <v/>
      </c>
      <c r="BH461" s="6">
        <f>IF(OR(AJ461=0,AP461=0,NOT(ISNUMBER(AD461)),NOT(ISNUMBER(AF461)),NOT(ISNUMBER(AJ461)),NOT(ISNUMBER(AP461))),"",
IFERROR(IF((AD461-AF461)/(AJ461/60)/(AP461/1000)&lt;=0,"",(AD461-AF461)/(AJ461/60)/(AP461/1000)),""))</f>
        <v/>
      </c>
    </row>
    <row r="462" ht="15.75" customHeight="1">
      <c r="B462" t="n">
        <v>218</v>
      </c>
      <c r="D462" s="94" t="n">
        <v>45722</v>
      </c>
      <c r="E462" s="231" t="n">
        <v>218</v>
      </c>
      <c r="F462" s="3" t="n">
        <v>457</v>
      </c>
      <c r="G462" s="205">
        <f>IF(OR(S462="",S462=0),"",S462*2)</f>
        <v/>
      </c>
      <c r="I462" s="15">
        <f>(N462*18-H462*18)/9</f>
        <v/>
      </c>
      <c r="J462" s="15">
        <f>5*1.68</f>
        <v/>
      </c>
      <c r="K462" s="15">
        <f>AD462</f>
        <v/>
      </c>
      <c r="M462" s="10">
        <f>IF(OR(E462="",G462="",E462=0,G462=0),"",E462/G462)</f>
        <v/>
      </c>
      <c r="N462" s="9">
        <f>IF(OR(E462="",I462="",E462=0,I462=0),"",E462/(I462*2))</f>
        <v/>
      </c>
      <c r="O462" s="8">
        <f>IF(OR(I462="",G462="",I462=0,G462=0),"",I462*2/G462)</f>
        <v/>
      </c>
      <c r="P462" s="7" t="n">
        <v>17.4</v>
      </c>
      <c r="Q462" t="n">
        <v>61.303</v>
      </c>
      <c r="R462" t="n">
        <v>36.98</v>
      </c>
      <c r="S462" s="6">
        <f>O462*1.067</f>
        <v/>
      </c>
      <c r="T462" s="6">
        <f>P462*1.514</f>
        <v/>
      </c>
      <c r="U462" s="23">
        <f>P462*1.514+O462*1.067</f>
        <v/>
      </c>
      <c r="V462" s="6">
        <f>20*2.26</f>
        <v/>
      </c>
      <c r="W462" s="6" t="n">
        <v>0</v>
      </c>
      <c r="X462" s="6" t="n">
        <v>0</v>
      </c>
      <c r="Y462" s="23">
        <f>U462*1.067+V462*1.514</f>
        <v/>
      </c>
      <c r="AD462" s="5" t="n">
        <v>80</v>
      </c>
      <c r="AE462" s="7">
        <f>T462</f>
        <v/>
      </c>
      <c r="AF462" s="231">
        <f>5*4.2</f>
        <v/>
      </c>
      <c r="AG462" s="231" t="n">
        <v>17.1</v>
      </c>
      <c r="AH462" s="231" t="n">
        <v>0</v>
      </c>
      <c r="AI462" s="88" t="n"/>
      <c r="AL462" s="231" t="n">
        <v>129</v>
      </c>
      <c r="AM462" s="3">
        <f>180+60</f>
        <v/>
      </c>
      <c r="AN462" s="4">
        <f>AE462</f>
        <v/>
      </c>
      <c r="AO462" s="231">
        <f>5*1.25</f>
        <v/>
      </c>
      <c r="AP462" s="255">
        <f>360-AK462-AB462</f>
        <v/>
      </c>
      <c r="AQ462" s="2">
        <f>[1]HRT_SRT!P516</f>
        <v/>
      </c>
      <c r="AR462" s="13">
        <f>AVERAGE(AO460:AO466)</f>
        <v/>
      </c>
      <c r="AS462" s="2">
        <f>[1]HRT_SRT!R516</f>
        <v/>
      </c>
      <c r="AT462" s="156">
        <f>(E462-W462)/E462</f>
        <v/>
      </c>
      <c r="AU462" s="155">
        <f>(I462-AF462)/I462</f>
        <v/>
      </c>
      <c r="AV462" s="155" t="n"/>
      <c r="AW462" s="155">
        <f>(G462-AM462)/G462</f>
        <v/>
      </c>
      <c r="AX462" s="254">
        <f>IF(AND(ISNUMBER(E462),ISNUMBER(W462)),E462-W462,"")</f>
        <v/>
      </c>
      <c r="AY462" s="254">
        <f>IF(AND(ISNUMBER(I462),ISNUMBER(AF462)),I462-AF462,"")</f>
        <v/>
      </c>
      <c r="AZ462" s="254">
        <f>IF(AND(ISNUMBER(AM462),ISNUMBER(G462)),G462-AM462,"")</f>
        <v/>
      </c>
      <c r="BA462" s="254">
        <f>IF(AND(ISNUMBER(AC462),ISNUMBER(AE462)),AC462-AE462,"")</f>
        <v/>
      </c>
      <c r="BB462" s="254">
        <f>IF(AND(ISNUMBER(AL462),ISNUMBER(AM462)),AL462-AM462,"")</f>
        <v/>
      </c>
      <c r="BC462" s="60">
        <f>IF(AND($E462&gt;0,$W462&gt;0),IF(($E462-$W462)/$E462&gt;0,($E462-$W462)/$E462,0),"")</f>
        <v/>
      </c>
      <c r="BD462" s="60">
        <f>IF(AND($I462&gt;0,$AF462&gt;=0),IF(($I462-$AF462)/$I462&gt;0,($I462-$AF462)/$I462,0),"")</f>
        <v/>
      </c>
      <c r="BE462" s="60" t="n"/>
      <c r="BF462" s="60">
        <f>IF(AND($G462&gt;0,$AM462&gt;0),IF(($G462-$AM462)/$G462&gt;0,($G462-$AM462)/$G462,0),"")</f>
        <v/>
      </c>
      <c r="BG462" s="6">
        <f>IF((AD462-AF462)/(AJ462/60)&lt;=0,"",(AD462-AF462)/(AJ462/60))</f>
        <v/>
      </c>
      <c r="BH462" s="6">
        <f>IF(OR(AJ462=0,AP462=0,NOT(ISNUMBER(AD462)),NOT(ISNUMBER(AF462)),NOT(ISNUMBER(AJ462)),NOT(ISNUMBER(AP462))),"",
IFERROR(IF((AD462-AF462)/(AJ462/60)/(AP462/1000)&lt;=0,"",(AD462-AF462)/(AJ462/60)/(AP462/1000)),""))</f>
        <v/>
      </c>
    </row>
    <row r="463" ht="15.75" customHeight="1">
      <c r="B463" t="n">
        <v>219</v>
      </c>
      <c r="D463" s="94" t="n">
        <v>45723</v>
      </c>
      <c r="E463" s="231" t="n">
        <v>219</v>
      </c>
      <c r="F463" s="3" t="n">
        <v>458</v>
      </c>
      <c r="G463" s="205">
        <f>IF(OR(S463="",S463=0),"",S463*2)</f>
        <v/>
      </c>
      <c r="K463" s="15">
        <f>AD463</f>
        <v/>
      </c>
      <c r="M463" s="10">
        <f>IF(OR(E463="",G463="",E463=0,G463=0),"",E463/G463)</f>
        <v/>
      </c>
      <c r="N463" s="9">
        <f>IF(OR(E463="",I463="",E463=0,I463=0),"",E463/(I463*2))</f>
        <v/>
      </c>
      <c r="O463" s="8">
        <f>IF(OR(I463="",G463="",I463=0,G463=0),"",I463*2/G463)</f>
        <v/>
      </c>
      <c r="AD463" s="5" t="n">
        <v>80</v>
      </c>
      <c r="AF463" s="93" t="n">
        <v>20.5</v>
      </c>
      <c r="AI463" s="88" t="n">
        <v>18.02</v>
      </c>
      <c r="AJ463" s="20" t="n">
        <v>0.3854166666666667</v>
      </c>
      <c r="AL463" s="231" t="n">
        <v>105</v>
      </c>
      <c r="AM463" s="3">
        <f>180+60</f>
        <v/>
      </c>
      <c r="AP463" s="255">
        <f>360-AK463-AB463</f>
        <v/>
      </c>
      <c r="AR463" s="13">
        <f>AVERAGE(AO461:AO467)</f>
        <v/>
      </c>
      <c r="AT463" s="156">
        <f>(E463-W463)/E463</f>
        <v/>
      </c>
      <c r="AU463" s="155">
        <f>(I463-AF463)/I463</f>
        <v/>
      </c>
      <c r="AV463" s="155" t="n"/>
      <c r="AW463" s="155">
        <f>(G463-AM463)/G463</f>
        <v/>
      </c>
      <c r="AX463" s="254">
        <f>IF(AND(ISNUMBER(E463),ISNUMBER(W463)),E463-W463,"")</f>
        <v/>
      </c>
      <c r="AY463" s="254">
        <f>IF(AND(ISNUMBER(I463),ISNUMBER(AF463)),I463-AF463,"")</f>
        <v/>
      </c>
      <c r="AZ463" s="254">
        <f>IF(AND(ISNUMBER(AM463),ISNUMBER(G463)),G463-AM463,"")</f>
        <v/>
      </c>
      <c r="BA463" s="254">
        <f>IF(AND(ISNUMBER(AC463),ISNUMBER(AE463)),AC463-AE463,"")</f>
        <v/>
      </c>
      <c r="BB463" s="254">
        <f>IF(AND(ISNUMBER(AL463),ISNUMBER(AM463)),AL463-AM463,"")</f>
        <v/>
      </c>
      <c r="BC463" s="60">
        <f>IF(AND($E463&gt;0,$W463&gt;0),IF(($E463-$W463)/$E463&gt;0,($E463-$W463)/$E463,0),"")</f>
        <v/>
      </c>
      <c r="BD463" s="60">
        <f>IF(AND($I463&gt;0,$AF463&gt;=0),IF(($I463-$AF463)/$I463&gt;0,($I463-$AF463)/$I463,0),"")</f>
        <v/>
      </c>
      <c r="BE463" s="60" t="n"/>
      <c r="BF463" s="60">
        <f>IF(AND($G463&gt;0,$AM463&gt;0),IF(($G463-$AM463)/$G463&gt;0,($G463-$AM463)/$G463,0),"")</f>
        <v/>
      </c>
      <c r="BG463" s="6">
        <f>IF((AD463-AF463)/(AJ463/60)&lt;=0,"",(AD463-AF463)/(AJ463/60))</f>
        <v/>
      </c>
      <c r="BH463" s="6">
        <f>IF(OR(AJ463=0,AP463=0,NOT(ISNUMBER(AD463)),NOT(ISNUMBER(AF463)),NOT(ISNUMBER(AJ463)),NOT(ISNUMBER(AP463))),"",
IFERROR(IF((AD463-AF463)/(AJ463/60)/(AP463/1000)&lt;=0,"",(AD463-AF463)/(AJ463/60)/(AP463/1000)),""))</f>
        <v/>
      </c>
    </row>
    <row r="464" ht="15.75" customHeight="1">
      <c r="A464" s="260" t="inlineStr">
        <is>
          <t>B306</t>
        </is>
      </c>
      <c r="B464" s="260" t="n">
        <v>220</v>
      </c>
      <c r="D464" s="94" t="n">
        <v>45724</v>
      </c>
      <c r="E464" s="231" t="n">
        <v>220</v>
      </c>
      <c r="F464" s="3" t="n">
        <v>459</v>
      </c>
      <c r="G464" s="205">
        <f>IF(OR(S464="",S464=0),"",S464*2)</f>
        <v/>
      </c>
      <c r="K464" s="9">
        <f>AD464</f>
        <v/>
      </c>
      <c r="M464" s="10">
        <f>IF(OR(E464="",G464="",E464=0,G464=0),"",E464/G464)</f>
        <v/>
      </c>
      <c r="N464" s="9">
        <f>IF(OR(E464="",I464="",E464=0,I464=0),"",E464/(I464*2))</f>
        <v/>
      </c>
      <c r="O464" s="8">
        <f>IF(OR(I464="",G464="",I464=0,G464=0),"",I464*2/G464)</f>
        <v/>
      </c>
      <c r="AD464" s="5" t="n">
        <v>80</v>
      </c>
      <c r="AF464" s="93" t="n">
        <v>20</v>
      </c>
      <c r="AI464" s="88" t="n">
        <v>5.21</v>
      </c>
      <c r="AJ464" s="20" t="n">
        <v>0.4189814814814815</v>
      </c>
      <c r="AL464" s="231" t="n">
        <v>107</v>
      </c>
      <c r="AM464" s="3">
        <f>180+60</f>
        <v/>
      </c>
      <c r="AP464" s="255">
        <f>360-AK464-AB464</f>
        <v/>
      </c>
      <c r="AR464" s="13">
        <f>AVERAGE(AO462:AO468)</f>
        <v/>
      </c>
      <c r="AT464" s="156">
        <f>(E464-W464)/E464</f>
        <v/>
      </c>
      <c r="AU464" s="155">
        <f>(I464-AF464)/I464</f>
        <v/>
      </c>
      <c r="AV464" s="155" t="n"/>
      <c r="AW464" s="155">
        <f>(G464-AM464)/G464</f>
        <v/>
      </c>
      <c r="AX464" s="254">
        <f>IF(AND(ISNUMBER(E464),ISNUMBER(W464)),E464-W464,"")</f>
        <v/>
      </c>
      <c r="AY464" s="254">
        <f>IF(AND(ISNUMBER(I464),ISNUMBER(AF464)),I464-AF464,"")</f>
        <v/>
      </c>
      <c r="AZ464" s="254">
        <f>IF(AND(ISNUMBER(AM464),ISNUMBER(G464)),G464-AM464,"")</f>
        <v/>
      </c>
      <c r="BA464" s="254">
        <f>IF(AND(ISNUMBER(AC464),ISNUMBER(AE464)),AC464-AE464,"")</f>
        <v/>
      </c>
      <c r="BB464" s="254">
        <f>IF(AND(ISNUMBER(AL464),ISNUMBER(AM464)),AL464-AM464,"")</f>
        <v/>
      </c>
      <c r="BC464" s="60">
        <f>IF(AND($E464&gt;0,$W464&gt;0),IF(($E464-$W464)/$E464&gt;0,($E464-$W464)/$E464,0),"")</f>
        <v/>
      </c>
      <c r="BD464" s="60">
        <f>IF(AND($I464&gt;0,$AF464&gt;=0),IF(($I464-$AF464)/$I464&gt;0,($I464-$AF464)/$I464,0),"")</f>
        <v/>
      </c>
      <c r="BE464" s="60" t="n"/>
      <c r="BF464" s="60">
        <f>IF(AND($G464&gt;0,$AM464&gt;0),IF(($G464-$AM464)/$G464&gt;0,($G464-$AM464)/$G464,0),"")</f>
        <v/>
      </c>
      <c r="BG464" s="6">
        <f>IF((AD464-AF464)/(AJ464/60)&lt;=0,"",(AD464-AF464)/(AJ464/60))</f>
        <v/>
      </c>
      <c r="BH464" s="6">
        <f>IF(OR(AJ464=0,AP464=0,NOT(ISNUMBER(AD464)),NOT(ISNUMBER(AF464)),NOT(ISNUMBER(AJ464)),NOT(ISNUMBER(AP464))),"",
IFERROR(IF((AD464-AF464)/(AJ464/60)/(AP464/1000)&lt;=0,"",(AD464-AF464)/(AJ464/60)/(AP464/1000)),""))</f>
        <v/>
      </c>
    </row>
    <row r="465" ht="15.75" customHeight="1">
      <c r="B465" t="n">
        <v>221</v>
      </c>
      <c r="C465" s="12" t="inlineStr">
        <is>
          <t>ran out of acid (tube not to the bottom)</t>
        </is>
      </c>
      <c r="D465" s="94" t="n">
        <v>45725</v>
      </c>
      <c r="E465" s="231" t="n">
        <v>221</v>
      </c>
      <c r="F465" s="3" t="n">
        <v>460</v>
      </c>
      <c r="G465" s="205">
        <f>IF(OR(S465="",S465=0),"",S465*2)</f>
        <v/>
      </c>
      <c r="M465" s="10">
        <f>IF(OR(E465="",G465="",E465=0,G465=0),"",E465/G465)</f>
        <v/>
      </c>
      <c r="N465" s="9">
        <f>IF(OR(E465="",I465="",E465=0,I465=0),"",E465/(I465*2))</f>
        <v/>
      </c>
      <c r="O465" s="8">
        <f>IF(OR(I465="",G465="",I465=0,G465=0),"",I465*2/G465)</f>
        <v/>
      </c>
      <c r="AD465" s="5" t="n">
        <v>80</v>
      </c>
      <c r="AF465" s="93" t="n">
        <v>19.5</v>
      </c>
      <c r="AI465" s="88" t="n">
        <v>5.18</v>
      </c>
      <c r="AJ465" s="20" t="n">
        <v>0.41875</v>
      </c>
      <c r="AL465" s="231" t="n">
        <v>129</v>
      </c>
      <c r="AM465" s="3">
        <f>180+60</f>
        <v/>
      </c>
      <c r="AP465" s="255">
        <f>360-AK465-AB465</f>
        <v/>
      </c>
      <c r="AR465" s="13">
        <f>AVERAGE(AO463:AO469)</f>
        <v/>
      </c>
      <c r="AT465" s="156">
        <f>(E465-W465)/E465</f>
        <v/>
      </c>
      <c r="AU465" s="155">
        <f>(I465-AF465)/I465</f>
        <v/>
      </c>
      <c r="AV465" s="155" t="n"/>
      <c r="AW465" s="155">
        <f>(G465-AM465)/G465</f>
        <v/>
      </c>
      <c r="AX465" s="254">
        <f>IF(AND(ISNUMBER(E465),ISNUMBER(W465)),E465-W465,"")</f>
        <v/>
      </c>
      <c r="AY465" s="254">
        <f>IF(AND(ISNUMBER(I465),ISNUMBER(AF465)),I465-AF465,"")</f>
        <v/>
      </c>
      <c r="AZ465" s="254">
        <f>IF(AND(ISNUMBER(AM465),ISNUMBER(G465)),G465-AM465,"")</f>
        <v/>
      </c>
      <c r="BA465" s="254">
        <f>IF(AND(ISNUMBER(AC465),ISNUMBER(AE465)),AC465-AE465,"")</f>
        <v/>
      </c>
      <c r="BB465" s="254">
        <f>IF(AND(ISNUMBER(AL465),ISNUMBER(AM465)),AL465-AM465,"")</f>
        <v/>
      </c>
      <c r="BC465" s="60">
        <f>IF(AND($E465&gt;0,$W465&gt;0),IF(($E465-$W465)/$E465&gt;0,($E465-$W465)/$E465,0),"")</f>
        <v/>
      </c>
      <c r="BD465" s="60">
        <f>IF(AND($I465&gt;0,$AF465&gt;=0),IF(($I465-$AF465)/$I465&gt;0,($I465-$AF465)/$I465,0),"")</f>
        <v/>
      </c>
      <c r="BE465" s="60" t="n"/>
      <c r="BF465" s="60">
        <f>IF(AND($G465&gt;0,$AM465&gt;0),IF(($G465-$AM465)/$G465&gt;0,($G465-$AM465)/$G465,0),"")</f>
        <v/>
      </c>
      <c r="BG465" s="6">
        <f>IF((AD465-AF465)/(AJ465/60)&lt;=0,"",(AD465-AF465)/(AJ465/60))</f>
        <v/>
      </c>
      <c r="BH465" s="6">
        <f>IF(OR(AJ465=0,AP465=0,NOT(ISNUMBER(AD465)),NOT(ISNUMBER(AF465)),NOT(ISNUMBER(AJ465)),NOT(ISNUMBER(AP465))),"",
IFERROR(IF((AD465-AF465)/(AJ465/60)/(AP465/1000)&lt;=0,"",(AD465-AF465)/(AJ465/60)/(AP465/1000)),""))</f>
        <v/>
      </c>
    </row>
    <row r="466" ht="15.75" customHeight="1">
      <c r="B466" t="n">
        <v>222</v>
      </c>
      <c r="C466" s="12" t="inlineStr">
        <is>
          <t>turn wasting back on to 15 seconds</t>
        </is>
      </c>
      <c r="D466" s="94" t="n">
        <v>45726</v>
      </c>
      <c r="E466" s="231" t="n">
        <v>222</v>
      </c>
      <c r="F466" s="3" t="n">
        <v>461</v>
      </c>
      <c r="G466" s="205">
        <f>IF(OR(S466="",S466=0),"",S466*2)</f>
        <v/>
      </c>
      <c r="M466" s="10">
        <f>IF(OR(E466="",G466="",E466=0,G466=0),"",E466/G466)</f>
        <v/>
      </c>
      <c r="N466" s="9">
        <f>IF(OR(E466="",I466="",E466=0,I466=0),"",E466/(I466*2))</f>
        <v/>
      </c>
      <c r="O466" s="8">
        <f>IF(OR(I466="",G466="",I466=0,G466=0),"",I466*2/G466)</f>
        <v/>
      </c>
      <c r="AD466" s="5" t="n">
        <v>80</v>
      </c>
      <c r="AF466" s="93" t="n">
        <v>19</v>
      </c>
      <c r="AI466" s="88" t="n">
        <v>3.79</v>
      </c>
      <c r="AJ466" s="20" t="n">
        <v>0.4109953703703704</v>
      </c>
      <c r="AL466" s="231" t="n">
        <v>131</v>
      </c>
      <c r="AM466" s="3">
        <f>180+60</f>
        <v/>
      </c>
      <c r="AP466" s="255">
        <f>360-AK466-AB466</f>
        <v/>
      </c>
      <c r="AQ466" s="92" t="n"/>
      <c r="AR466" s="13">
        <f>AVERAGE(AO464:AO470)</f>
        <v/>
      </c>
      <c r="AT466" s="156">
        <f>(E466-W466)/E466</f>
        <v/>
      </c>
      <c r="AU466" s="155">
        <f>(I466-AF466)/I466</f>
        <v/>
      </c>
      <c r="AV466" s="155" t="n"/>
      <c r="AW466" s="155">
        <f>(G466-AM466)/G466</f>
        <v/>
      </c>
      <c r="AX466" s="254">
        <f>IF(AND(ISNUMBER(E466),ISNUMBER(W466)),E466-W466,"")</f>
        <v/>
      </c>
      <c r="AY466" s="254">
        <f>IF(AND(ISNUMBER(I466),ISNUMBER(AF466)),I466-AF466,"")</f>
        <v/>
      </c>
      <c r="AZ466" s="254">
        <f>IF(AND(ISNUMBER(AM466),ISNUMBER(G466)),G466-AM466,"")</f>
        <v/>
      </c>
      <c r="BA466" s="254">
        <f>IF(AND(ISNUMBER(AC466),ISNUMBER(AE466)),AC466-AE466,"")</f>
        <v/>
      </c>
      <c r="BB466" s="254">
        <f>IF(AND(ISNUMBER(AL466),ISNUMBER(AM466)),AL466-AM466,"")</f>
        <v/>
      </c>
      <c r="BC466" s="60">
        <f>IF(AND($E466&gt;0,$W466&gt;0),IF(($E466-$W466)/$E466&gt;0,($E466-$W466)/$E466,0),"")</f>
        <v/>
      </c>
      <c r="BD466" s="60">
        <f>IF(AND($I466&gt;0,$AF466&gt;=0),IF(($I466-$AF466)/$I466&gt;0,($I466-$AF466)/$I466,0),"")</f>
        <v/>
      </c>
      <c r="BE466" s="60" t="n"/>
      <c r="BF466" s="60">
        <f>IF(AND($G466&gt;0,$AM466&gt;0),IF(($G466-$AM466)/$G466&gt;0,($G466-$AM466)/$G466,0),"")</f>
        <v/>
      </c>
      <c r="BG466" s="6">
        <f>IF((AD466-AF466)/(AJ466/60)&lt;=0,"",(AD466-AF466)/(AJ466/60))</f>
        <v/>
      </c>
      <c r="BH466" s="6">
        <f>IF(OR(AJ466=0,AP466=0,NOT(ISNUMBER(AD466)),NOT(ISNUMBER(AF466)),NOT(ISNUMBER(AJ466)),NOT(ISNUMBER(AP466))),"",
IFERROR(IF((AD466-AF466)/(AJ466/60)/(AP466/1000)&lt;=0,"",(AD466-AF466)/(AJ466/60)/(AP466/1000)),""))</f>
        <v/>
      </c>
    </row>
    <row r="467" ht="30" customFormat="1" customHeight="1" s="27">
      <c r="B467" t="n">
        <v>223</v>
      </c>
      <c r="C467" s="91" t="inlineStr">
        <is>
          <t>; Loss of 75% biomass, return biomass from wasting bin to system</t>
        </is>
      </c>
      <c r="D467" s="90" t="n">
        <v>45727</v>
      </c>
      <c r="E467" s="231" t="n">
        <v>223</v>
      </c>
      <c r="F467" s="29" t="n">
        <v>462</v>
      </c>
      <c r="G467" s="205">
        <f>IF(OR(S467="",S467=0),"",S467*2)</f>
        <v/>
      </c>
      <c r="H467" s="36" t="n"/>
      <c r="I467" s="36" t="n"/>
      <c r="J467" s="36" t="n"/>
      <c r="K467" s="36" t="n"/>
      <c r="L467" s="35" t="n"/>
      <c r="M467" s="10">
        <f>IF(OR(E467="",G467="",E467=0,G467=0),"",E467/G467)</f>
        <v/>
      </c>
      <c r="N467" s="9">
        <f>IF(OR(E467="",I467="",E467=0,I467=0),"",E467/(I467*2))</f>
        <v/>
      </c>
      <c r="O467" s="8">
        <f>IF(OR(I467="",G467="",I467=0,G467=0),"",I467*2/G467)</f>
        <v/>
      </c>
      <c r="P467" s="34" t="n"/>
      <c r="Q467" s="33" t="n"/>
      <c r="R467" s="33" t="n"/>
      <c r="S467" s="33" t="n"/>
      <c r="T467" s="33" t="n"/>
      <c r="U467" s="33" t="n"/>
      <c r="V467" s="33" t="n"/>
      <c r="W467" s="33" t="n"/>
      <c r="X467" s="33" t="n"/>
      <c r="Y467" s="33" t="n"/>
      <c r="Z467" s="33" t="n"/>
      <c r="AA467" s="33" t="n"/>
      <c r="AB467" s="33" t="n"/>
      <c r="AC467" s="33" t="n"/>
      <c r="AD467" s="74" t="n">
        <v>80</v>
      </c>
      <c r="AE467" s="32" t="n"/>
      <c r="AF467" s="89" t="n">
        <v>18.5</v>
      </c>
      <c r="AI467" s="88" t="n">
        <v>5.7</v>
      </c>
      <c r="AJ467" s="20" t="n">
        <v>0.3975694444444444</v>
      </c>
      <c r="AL467" s="27" t="n">
        <v>143</v>
      </c>
      <c r="AM467" s="29">
        <f>180+60</f>
        <v/>
      </c>
      <c r="AN467" s="32" t="n"/>
      <c r="AP467" s="253">
        <f>360-AK467-AB467</f>
        <v/>
      </c>
      <c r="AQ467" s="86">
        <f>[1]HRT_SRT!P521</f>
        <v/>
      </c>
      <c r="AR467" s="13">
        <f>AVERAGE(AO465:AO471)</f>
        <v/>
      </c>
      <c r="AS467" s="28">
        <f>[1]HRT_SRT!R521</f>
        <v/>
      </c>
      <c r="AT467" s="31">
        <f>(E467-W467)/E467</f>
        <v/>
      </c>
      <c r="AU467" s="30">
        <f>(I467-AF467)/I467</f>
        <v/>
      </c>
      <c r="AV467" s="30" t="n"/>
      <c r="AW467" s="30">
        <f>(G467-AM467)/G467</f>
        <v/>
      </c>
      <c r="AX467" s="254">
        <f>IF(AND(ISNUMBER(E467),ISNUMBER(W467)),E467-W467,"")</f>
        <v/>
      </c>
      <c r="AY467" s="254">
        <f>IF(AND(ISNUMBER(I467),ISNUMBER(AF467)),I467-AF467,"")</f>
        <v/>
      </c>
      <c r="AZ467" s="254">
        <f>IF(AND(ISNUMBER(AM467),ISNUMBER(G467)),G467-AM467,"")</f>
        <v/>
      </c>
      <c r="BA467" s="254">
        <f>IF(AND(ISNUMBER(AC467),ISNUMBER(AE467)),AC467-AE467,"")</f>
        <v/>
      </c>
      <c r="BB467" s="254">
        <f>IF(AND(ISNUMBER(AL467),ISNUMBER(AM467)),AL467-AM467,"")</f>
        <v/>
      </c>
      <c r="BC467" s="60">
        <f>IF(AND($E467&gt;0,$W467&gt;0),IF(($E467-$W467)/$E467&gt;0,($E467-$W467)/$E467,0),"")</f>
        <v/>
      </c>
      <c r="BD467" s="85">
        <f>IF(AND($I467&gt;0,$AF467&gt;=0),IF(($I467-$AF467)/$I467&gt;0,($I467-$AF467)/$I467,0),"")</f>
        <v/>
      </c>
      <c r="BE467" s="85" t="n"/>
      <c r="BF467" s="85">
        <f>IF(AND($G467&gt;0,$AM467&gt;0),IF(($G467-$AM467)/$G467&gt;0,($G467-$AM467)/$G467,0),"")</f>
        <v/>
      </c>
      <c r="BG467" s="6">
        <f>IF((AD467-AF467)/(AJ467/60)&lt;=0,"",(AD467-AF467)/(AJ467/60))</f>
        <v/>
      </c>
      <c r="BH467" s="6">
        <f>IF(OR(AJ467=0,AP467=0,NOT(ISNUMBER(AD467)),NOT(ISNUMBER(AF467)),NOT(ISNUMBER(AJ467)),NOT(ISNUMBER(AP467))),"",
IFERROR(IF((AD467-AF467)/(AJ467/60)/(AP467/1000)&lt;=0,"",(AD467-AF467)/(AJ467/60)/(AP467/1000)),""))</f>
        <v/>
      </c>
    </row>
    <row r="468" ht="15.75" customHeight="1">
      <c r="B468" t="n">
        <v>224</v>
      </c>
      <c r="D468" s="11" t="n">
        <v>45728</v>
      </c>
      <c r="E468" s="231" t="n">
        <v>224</v>
      </c>
      <c r="F468" s="3" t="n">
        <v>463</v>
      </c>
      <c r="G468" s="205">
        <f>IF(OR(S468="",S468=0),"",S468*2)</f>
        <v/>
      </c>
      <c r="I468" s="9" t="n">
        <v>14</v>
      </c>
      <c r="K468" s="15">
        <f>AD468</f>
        <v/>
      </c>
      <c r="M468" s="10">
        <f>IF(OR(E468="",G468="",E468=0,G468=0),"",E468/G468)</f>
        <v/>
      </c>
      <c r="N468" s="9">
        <f>IF(OR(E468="",I468="",E468=0,I468=0),"",E468/(I468*2))</f>
        <v/>
      </c>
      <c r="O468" s="8">
        <f>IF(OR(I468="",G468="",I468=0,G468=0),"",I468*2/G468)</f>
        <v/>
      </c>
      <c r="W468">
        <f>9.604*1.067</f>
        <v/>
      </c>
      <c r="AD468" s="5" t="n">
        <v>80</v>
      </c>
      <c r="AE468" s="4" t="n">
        <v>38.2</v>
      </c>
      <c r="AF468" s="231">
        <f>5*3.62</f>
        <v/>
      </c>
      <c r="AG468" s="231" t="n">
        <v>19.7</v>
      </c>
      <c r="AH468" s="231" t="n">
        <v>0</v>
      </c>
      <c r="AI468" t="n">
        <v>4.77</v>
      </c>
      <c r="AJ468" s="20" t="n">
        <v>0.3916666666666667</v>
      </c>
      <c r="AL468" s="231" t="n">
        <v>93</v>
      </c>
      <c r="AM468" s="3">
        <f>180+60</f>
        <v/>
      </c>
      <c r="AN468" s="4">
        <f>AE468</f>
        <v/>
      </c>
      <c r="AO468" s="231" t="n">
        <v>14.7</v>
      </c>
      <c r="AP468" s="255">
        <f>360-AK468-AB468</f>
        <v/>
      </c>
      <c r="AR468" s="13">
        <f>AVERAGE(AO466:AO472)</f>
        <v/>
      </c>
      <c r="AT468" s="156">
        <f>(E468-W468)/E468</f>
        <v/>
      </c>
      <c r="AU468" s="155">
        <f>(I468-AF468)/I468</f>
        <v/>
      </c>
      <c r="AV468" s="155">
        <f>AG468/(AD468-AF468)</f>
        <v/>
      </c>
      <c r="AW468" s="155">
        <f>(G468-AM468)/G468</f>
        <v/>
      </c>
      <c r="AX468" s="254">
        <f>IF(AND(ISNUMBER(E468),ISNUMBER(W468)),E468-W468,"")</f>
        <v/>
      </c>
      <c r="AY468" s="254">
        <f>IF(AND(ISNUMBER(I468),ISNUMBER(AF468)),I468-AF468,"")</f>
        <v/>
      </c>
      <c r="AZ468" s="254">
        <f>IF(AND(ISNUMBER(AM468),ISNUMBER(G468)),G468-AM468,"")</f>
        <v/>
      </c>
      <c r="BA468" s="254">
        <f>IF(AND(ISNUMBER(AC468),ISNUMBER(AE468)),AC468-AE468,"")</f>
        <v/>
      </c>
      <c r="BB468" s="254">
        <f>IF(AND(ISNUMBER(AL468),ISNUMBER(AM468)),AL468-AM468,"")</f>
        <v/>
      </c>
      <c r="BD468" s="84">
        <f>IF(AND($I468&gt;0,$AF468&gt;=0),IF(($I468-$AF468)/$I468&gt;0,($I468-$AF468)/$I468,0),"")</f>
        <v/>
      </c>
      <c r="BE468" s="84">
        <f>IF(AND($AG468&gt;=0,$AD468&gt;=0,$AF468&gt;=0),IF($AG468/($AD468-$AF468)&gt;0,$AG468/($AD468-$AF468),0),"")</f>
        <v/>
      </c>
      <c r="BF468" s="84">
        <f>IF(AND($G468&gt;0,$AM468&gt;0),IF(($G468-$AM468)/$G468&gt;0,($G468-$AM468)/$G468,0),"")</f>
        <v/>
      </c>
      <c r="BG468" s="6">
        <f>IF((AD468-AF468)/(AJ468/60)&lt;=0,"",(AD468-AF468)/(AJ468/60))</f>
        <v/>
      </c>
      <c r="BH468" s="6">
        <f>IF(OR(AJ468=0,AP468=0,NOT(ISNUMBER(AD468)),NOT(ISNUMBER(AF468)),NOT(ISNUMBER(AJ468)),NOT(ISNUMBER(AP468))),"",
IFERROR(IF((AD468-AF468)/(AJ468/60)/(AP468/1000)&lt;=0,"",(AD468-AF468)/(AJ468/60)/(AP468/1000)),""))</f>
        <v/>
      </c>
    </row>
    <row r="469" ht="15.75" customHeight="1">
      <c r="B469" t="n">
        <v>225</v>
      </c>
      <c r="D469" s="11" t="n">
        <v>45729</v>
      </c>
      <c r="E469" s="231" t="n">
        <v>225</v>
      </c>
      <c r="F469" s="3" t="n">
        <v>464</v>
      </c>
      <c r="G469" s="205">
        <f>IF(OR(S469="",S469=0),"",S469*2)</f>
        <v/>
      </c>
      <c r="K469" s="15">
        <f>AD469</f>
        <v/>
      </c>
      <c r="M469" s="10">
        <f>IF(OR(E469="",G469="",E469=0,G469=0),"",E469/G469)</f>
        <v/>
      </c>
      <c r="N469" s="9">
        <f>IF(OR(E469="",I469="",E469=0,I469=0),"",E469/(I469*2))</f>
        <v/>
      </c>
      <c r="O469" s="8">
        <f>IF(OR(I469="",G469="",I469=0,G469=0),"",I469*2/G469)</f>
        <v/>
      </c>
      <c r="AD469" s="5" t="n">
        <v>80</v>
      </c>
      <c r="AI469" t="n">
        <v>15.43</v>
      </c>
      <c r="AJ469" s="20" t="n">
        <v>0.4862268518518518</v>
      </c>
      <c r="AL469" s="231" t="n">
        <v>77</v>
      </c>
      <c r="AM469" s="3">
        <f>180+60</f>
        <v/>
      </c>
      <c r="AP469" s="255">
        <f>360-AK469-AB469</f>
        <v/>
      </c>
      <c r="AR469" s="13">
        <f>AVERAGE(AO467:AO473)</f>
        <v/>
      </c>
      <c r="AT469" s="156">
        <f>(E469-W469)/E469</f>
        <v/>
      </c>
      <c r="AU469" s="155">
        <f>(I469-AF469)/I469</f>
        <v/>
      </c>
      <c r="AV469" s="155">
        <f>AG469/(AD469-AF469)</f>
        <v/>
      </c>
      <c r="AW469" s="155">
        <f>(G470-AM469)/G470</f>
        <v/>
      </c>
      <c r="AX469" s="254">
        <f>IF(AND(ISNUMBER(E469),ISNUMBER(W469)),E469-W469,"")</f>
        <v/>
      </c>
      <c r="AY469" s="254">
        <f>IF(AND(ISNUMBER(I469),ISNUMBER(AF469)),I469-AF469,"")</f>
        <v/>
      </c>
      <c r="AZ469" s="254">
        <f>IF(AND(ISNUMBER(AM469),ISNUMBER(G469)),G469-AM469,"")</f>
        <v/>
      </c>
      <c r="BA469" s="254">
        <f>IF(AND(ISNUMBER(AC469),ISNUMBER(AE469)),AC469-AE469,"")</f>
        <v/>
      </c>
      <c r="BB469" s="254">
        <f>IF(AND(ISNUMBER(AL469),ISNUMBER(AM469)),AL469-AM469,"")</f>
        <v/>
      </c>
      <c r="BD469" s="84">
        <f>IF(AND($I469&gt;0,$AF469&gt;=0),IF(($I469-$AF469)/$I469&gt;0,($I469-$AF469)/$I469,0),"")</f>
        <v/>
      </c>
      <c r="BE469" s="84">
        <f>IF(AND($AG469&gt;=0,$AD469&gt;=0,$AF469&gt;=0),IF($AG469/($AD469-$AF469)&gt;0,$AG469/($AD469-$AF469),0),"")</f>
        <v/>
      </c>
      <c r="BF469" s="84">
        <f>IF(AND($G470&gt;0,$AM469&gt;0),IF(($G470-$AM469)/$G470&gt;0,($G470-$AM469)/$G470,0),"")</f>
        <v/>
      </c>
      <c r="BG469" s="6">
        <f>IF((AD469-AF469)/(AJ469/60)&lt;=0,"",(AD469-AF469)/(AJ469/60))</f>
        <v/>
      </c>
      <c r="BH469" s="6">
        <f>IF(OR(AJ469=0,AP469=0,NOT(ISNUMBER(AD469)),NOT(ISNUMBER(AF469)),NOT(ISNUMBER(AJ469)),NOT(ISNUMBER(AP469))),"",
IFERROR(IF((AD469-AF469)/(AJ469/60)/(AP469/1000)&lt;=0,"",(AD469-AF469)/(AJ469/60)/(AP469/1000)),""))</f>
        <v/>
      </c>
    </row>
    <row r="470" ht="15.75" customHeight="1">
      <c r="B470" t="n">
        <v>226</v>
      </c>
      <c r="D470" s="11" t="n">
        <v>45730</v>
      </c>
      <c r="E470" s="231" t="n">
        <v>226</v>
      </c>
      <c r="F470" s="3" t="n">
        <v>465</v>
      </c>
      <c r="G470" s="205">
        <f>IF(OR(S470="",S470=0),"",S470*2)</f>
        <v/>
      </c>
      <c r="I470" s="9" t="n">
        <v>14</v>
      </c>
      <c r="K470" s="15">
        <f>AD470</f>
        <v/>
      </c>
      <c r="M470" s="10">
        <f>IF(OR(E470="",G470="",E470=0,G470=0),"",E470/G470)</f>
        <v/>
      </c>
      <c r="N470" s="9">
        <f>IF(OR(E470="",I470="",E470=0,I470=0),"",E470/(I470*2))</f>
        <v/>
      </c>
      <c r="O470" s="8">
        <f>IF(OR(I470="",G470="",I470=0,G470=0),"",I470*2/G470)</f>
        <v/>
      </c>
      <c r="W470" s="6">
        <f>28.29*1.067</f>
        <v/>
      </c>
      <c r="X470" s="6">
        <f>0*1.514</f>
        <v/>
      </c>
      <c r="AD470" s="5" t="n">
        <v>80</v>
      </c>
      <c r="AI470" t="n">
        <v>5.71</v>
      </c>
      <c r="AJ470" s="20" t="n">
        <v>0.3881944444444445</v>
      </c>
      <c r="AL470" s="231" t="n">
        <v>67</v>
      </c>
      <c r="AM470" s="3">
        <f>180+60</f>
        <v/>
      </c>
      <c r="AP470" s="255">
        <f>360-AK470-AB470</f>
        <v/>
      </c>
      <c r="AR470" s="13">
        <f>AVERAGE(AO468:AO474)</f>
        <v/>
      </c>
      <c r="AT470" s="156">
        <f>(E470-W470)/E470</f>
        <v/>
      </c>
      <c r="AU470" s="155">
        <f>(I470-AF470)/I470</f>
        <v/>
      </c>
      <c r="AV470" s="155">
        <f>AG470/(AD470-AF470)</f>
        <v/>
      </c>
      <c r="AW470" s="155">
        <f>(#REF!-AM470)/#REF!</f>
        <v/>
      </c>
      <c r="AX470" s="254">
        <f>IF(AND(ISNUMBER(E470),ISNUMBER(W470)),E470-W470,"")</f>
        <v/>
      </c>
      <c r="AY470" s="254">
        <f>IF(AND(ISNUMBER(I470),ISNUMBER(AF470)),I470-AF470,"")</f>
        <v/>
      </c>
      <c r="AZ470" s="254">
        <f>IF(AND(ISNUMBER(AM470),ISNUMBER(G470)),G470-AM470,"")</f>
        <v/>
      </c>
      <c r="BA470" s="254">
        <f>IF(AND(ISNUMBER(AC470),ISNUMBER(AE470)),AC470-AE470,"")</f>
        <v/>
      </c>
      <c r="BB470" s="254">
        <f>IF(AND(ISNUMBER(AL470),ISNUMBER(AM470)),AL470-AM470,"")</f>
        <v/>
      </c>
      <c r="BD470" s="84">
        <f>IF(AND($I470&gt;0,$AF470&gt;=0),IF(($I470-$AF470)/$I470&gt;0,($I470-$AF470)/$I470,0),"")</f>
        <v/>
      </c>
      <c r="BE470" s="84">
        <f>IF(AND($AG470&gt;=0,$AD470&gt;=0,$AF470&gt;=0),IF($AG470/($AD470-$AF470)&gt;0,$AG470/($AD470-$AF470),0),"")</f>
        <v/>
      </c>
      <c r="BF470" s="84">
        <f>IF(AND(#REF!&gt;0,$AM470&gt;0),IF((#REF!-$AM470)/#REF!&gt;0,(#REF!-$AM470)/#REF!,0),"")</f>
        <v/>
      </c>
      <c r="BG470" s="6">
        <f>IF((AD470-AF470)/(AJ470/60)&lt;=0,"",(AD470-AF470)/(AJ470/60))</f>
        <v/>
      </c>
      <c r="BH470" s="6">
        <f>IF(OR(AJ470=0,AP470=0,NOT(ISNUMBER(AD470)),NOT(ISNUMBER(AF470)),NOT(ISNUMBER(AJ470)),NOT(ISNUMBER(AP470))),"",
IFERROR(IF((AD470-AF470)/(AJ470/60)/(AP470/1000)&lt;=0,"",(AD470-AF470)/(AJ470/60)/(AP470/1000)),""))</f>
        <v/>
      </c>
    </row>
    <row r="471" ht="15.75" customHeight="1">
      <c r="A471" s="260" t="inlineStr">
        <is>
          <t>B313</t>
        </is>
      </c>
      <c r="B471" s="260" t="n">
        <v>227</v>
      </c>
      <c r="D471" s="11" t="n">
        <v>45731</v>
      </c>
      <c r="E471" s="231" t="n">
        <v>227</v>
      </c>
      <c r="F471" s="3" t="n">
        <v>466</v>
      </c>
      <c r="G471" s="205">
        <f>IF(OR(S471="",S471=0),"",S471*2)</f>
        <v/>
      </c>
      <c r="K471" s="15">
        <f>AD471</f>
        <v/>
      </c>
      <c r="M471" s="10">
        <f>IF(OR(E471="",G471="",E471=0,G471=0),"",E471/G471)</f>
        <v/>
      </c>
      <c r="N471" s="9">
        <f>IF(OR(E471="",I471="",E471=0,I471=0),"",E471/(I471*2))</f>
        <v/>
      </c>
      <c r="O471" s="8">
        <f>IF(OR(I471="",G471="",I471=0,G471=0),"",I471*2/G471)</f>
        <v/>
      </c>
      <c r="AD471" s="5" t="n">
        <v>80</v>
      </c>
      <c r="AI471" t="n">
        <v>6.53</v>
      </c>
      <c r="AJ471" s="20" t="n">
        <v>0.393287037037037</v>
      </c>
      <c r="AL471" s="231" t="n">
        <v>57</v>
      </c>
      <c r="AM471" s="3">
        <f>180+60</f>
        <v/>
      </c>
      <c r="AP471" s="255">
        <f>360-AK471-AB471</f>
        <v/>
      </c>
      <c r="AR471" s="13">
        <f>AVERAGE(AO469:AO475)</f>
        <v/>
      </c>
      <c r="AT471" s="156">
        <f>(E471-W471)/E471</f>
        <v/>
      </c>
      <c r="AU471" s="155">
        <f>(I471-AF471)/I471</f>
        <v/>
      </c>
      <c r="AV471" s="155">
        <f>AG471/(AD471-AF471)</f>
        <v/>
      </c>
      <c r="AW471" s="155">
        <f>(G471-AM471)/G471</f>
        <v/>
      </c>
      <c r="AX471" s="254">
        <f>IF(AND(ISNUMBER(E471),ISNUMBER(W471)),E471-W471,"")</f>
        <v/>
      </c>
      <c r="AY471" s="254">
        <f>IF(AND(ISNUMBER(I471),ISNUMBER(AF471)),I471-AF471,"")</f>
        <v/>
      </c>
      <c r="AZ471" s="254">
        <f>IF(AND(ISNUMBER(AM471),ISNUMBER(G471)),G471-AM471,"")</f>
        <v/>
      </c>
      <c r="BA471" s="254">
        <f>IF(AND(ISNUMBER(AC471),ISNUMBER(AE471)),AC471-AE471,"")</f>
        <v/>
      </c>
      <c r="BB471" s="254">
        <f>IF(AND(ISNUMBER(AL471),ISNUMBER(AM471)),AL471-AM471,"")</f>
        <v/>
      </c>
      <c r="BD471" s="84">
        <f>IF(AND($I471&gt;0,$AF471&gt;=0),IF(($I471-$AF471)/$I471&gt;0,($I471-$AF471)/$I471,0),"")</f>
        <v/>
      </c>
      <c r="BE471" s="84">
        <f>IF(AND($AG471&gt;=0,$AD471&gt;=0,$AF471&gt;=0),IF($AG471/($AD471-$AF471)&gt;0,$AG471/($AD471-$AF471),0),"")</f>
        <v/>
      </c>
      <c r="BF471" s="84">
        <f>IF(AND($G471&gt;0,$AM471&gt;0),IF(($G471-$AM471)/$G471&gt;0,($G471-$AM471)/$G471,0),"")</f>
        <v/>
      </c>
      <c r="BG471" s="6">
        <f>IF((AD471-AF471)/(AJ471/60)&lt;=0,"",(AD471-AF471)/(AJ471/60))</f>
        <v/>
      </c>
      <c r="BH471" s="6">
        <f>IF(OR(AJ471=0,AP471=0,NOT(ISNUMBER(AD471)),NOT(ISNUMBER(AF471)),NOT(ISNUMBER(AJ471)),NOT(ISNUMBER(AP471))),"",
IFERROR(IF((AD471-AF471)/(AJ471/60)/(AP471/1000)&lt;=0,"",(AD471-AF471)/(AJ471/60)/(AP471/1000)),""))</f>
        <v/>
      </c>
    </row>
    <row r="472" ht="15.75" customHeight="1">
      <c r="B472" t="n">
        <v>228</v>
      </c>
      <c r="D472" s="11" t="n">
        <v>45732</v>
      </c>
      <c r="E472" s="231" t="n">
        <v>228</v>
      </c>
      <c r="F472" s="3" t="n">
        <v>467</v>
      </c>
      <c r="G472" s="205">
        <f>IF(OR(S472="",S472=0),"",S472*2)</f>
        <v/>
      </c>
      <c r="K472" s="15">
        <f>AD472</f>
        <v/>
      </c>
      <c r="M472" s="10">
        <f>IF(OR(E472="",G472="",E472=0,G472=0),"",E472/G472)</f>
        <v/>
      </c>
      <c r="N472" s="9">
        <f>IF(OR(E472="",I472="",E472=0,I472=0),"",E472/(I472*2))</f>
        <v/>
      </c>
      <c r="O472" s="8">
        <f>IF(OR(I472="",G472="",I472=0,G472=0),"",I472*2/G472)</f>
        <v/>
      </c>
      <c r="AD472" s="5" t="n">
        <v>80</v>
      </c>
      <c r="AI472" t="n">
        <v>6.28</v>
      </c>
      <c r="AJ472" s="20" t="n">
        <v>0.3866898148148148</v>
      </c>
      <c r="AL472" s="231" t="n">
        <v>57</v>
      </c>
      <c r="AM472" s="3">
        <f>180+60</f>
        <v/>
      </c>
      <c r="AP472" s="255">
        <f>360-AK472-AB472</f>
        <v/>
      </c>
      <c r="AR472" s="13">
        <f>AVERAGE(AO470:AO476)</f>
        <v/>
      </c>
      <c r="AT472" s="156">
        <f>(E472-W472)/E472</f>
        <v/>
      </c>
      <c r="AU472" s="155">
        <f>(I472-AF472)/I472</f>
        <v/>
      </c>
      <c r="AV472" s="155">
        <f>AG472/(AD472-AF472)</f>
        <v/>
      </c>
      <c r="AW472" s="155">
        <f>(G472-AM472)/G472</f>
        <v/>
      </c>
      <c r="AX472" s="254">
        <f>IF(AND(ISNUMBER(E472),ISNUMBER(W472)),E472-W472,"")</f>
        <v/>
      </c>
      <c r="AY472" s="254">
        <f>IF(AND(ISNUMBER(I472),ISNUMBER(AF472)),I472-AF472,"")</f>
        <v/>
      </c>
      <c r="AZ472" s="254">
        <f>IF(AND(ISNUMBER(AM472),ISNUMBER(G472)),G472-AM472,"")</f>
        <v/>
      </c>
      <c r="BA472" s="254">
        <f>IF(AND(ISNUMBER(AC472),ISNUMBER(AE472)),AC472-AE472,"")</f>
        <v/>
      </c>
      <c r="BB472" s="254">
        <f>IF(AND(ISNUMBER(AL472),ISNUMBER(AM472)),AL472-AM472,"")</f>
        <v/>
      </c>
      <c r="BG472" s="6">
        <f>IF((AD472-AF472)/(AJ472/60)&lt;=0,"",(AD472-AF472)/(AJ472/60))</f>
        <v/>
      </c>
      <c r="BH472" s="6">
        <f>IF(OR(AJ472=0,AP472=0,NOT(ISNUMBER(AD472)),NOT(ISNUMBER(AF472)),NOT(ISNUMBER(AJ472)),NOT(ISNUMBER(AP472))),"",
IFERROR(IF((AD472-AF472)/(AJ472/60)/(AP472/1000)&lt;=0,"",(AD472-AF472)/(AJ472/60)/(AP472/1000)),""))</f>
        <v/>
      </c>
    </row>
    <row r="473" ht="15.75" customHeight="1">
      <c r="B473" t="n">
        <v>229</v>
      </c>
      <c r="D473" s="11" t="n">
        <v>45733</v>
      </c>
      <c r="E473" s="231" t="n">
        <v>229</v>
      </c>
      <c r="F473" s="3" t="n">
        <v>468</v>
      </c>
      <c r="G473" s="205">
        <f>IF(OR(S473="",S473=0),"",S473*2)</f>
        <v/>
      </c>
      <c r="I473" s="15" t="inlineStr">
        <is>
          <t>14,5</t>
        </is>
      </c>
      <c r="J473" s="15" t="n"/>
      <c r="K473" s="15">
        <f>AD473</f>
        <v/>
      </c>
      <c r="M473" s="10">
        <f>IF(OR(E473="",G473="",E473=0,G473=0),"",E473/G473)</f>
        <v/>
      </c>
      <c r="N473" s="9">
        <f>IF(OR(E473="",I473="",E473=0,I473=0),"",E473/(I473*2))</f>
        <v/>
      </c>
      <c r="O473" s="8">
        <f>IF(OR(I473="",G473="",I473=0,G473=0),"",I473*2/G473)</f>
        <v/>
      </c>
      <c r="V473" s="6">
        <f>10*3.69</f>
        <v/>
      </c>
      <c r="AD473" s="5" t="n">
        <v>80</v>
      </c>
      <c r="AE473" s="7">
        <f>T473</f>
        <v/>
      </c>
      <c r="AF473" s="231">
        <f>4*5</f>
        <v/>
      </c>
      <c r="AH473" s="231" t="n">
        <v>0</v>
      </c>
      <c r="AI473" t="n">
        <v>6.09</v>
      </c>
      <c r="AJ473" s="20" t="n">
        <v>0.4125</v>
      </c>
      <c r="AL473" s="231" t="n">
        <v>95</v>
      </c>
      <c r="AM473" s="3">
        <f>180+60</f>
        <v/>
      </c>
      <c r="AN473" s="4">
        <f>AE473</f>
        <v/>
      </c>
      <c r="AO473" s="231">
        <f>5*2.45</f>
        <v/>
      </c>
      <c r="AP473" s="255">
        <f>360-AK473-AB473</f>
        <v/>
      </c>
      <c r="AR473" s="13">
        <f>AVERAGE(AO471:AO477)</f>
        <v/>
      </c>
      <c r="AT473" s="156">
        <f>(E473-W473)/E473</f>
        <v/>
      </c>
      <c r="AU473" s="155">
        <f>(I473-AF473)/I473</f>
        <v/>
      </c>
      <c r="AV473" s="155">
        <f>AG473/(AD473-2.24)</f>
        <v/>
      </c>
      <c r="AW473" s="155">
        <f>(G473-AM473)/G473</f>
        <v/>
      </c>
      <c r="AX473" s="254">
        <f>IF(AND(ISNUMBER(E473),ISNUMBER(W473)),E473-W473,"")</f>
        <v/>
      </c>
      <c r="AY473" s="254">
        <f>IF(AND(ISNUMBER(I473),ISNUMBER(AF473)),I473-AF473,"")</f>
        <v/>
      </c>
      <c r="AZ473" s="254">
        <f>IF(AND(ISNUMBER(AM473),ISNUMBER(G473)),G473-AM473,"")</f>
        <v/>
      </c>
      <c r="BA473" s="254">
        <f>IF(AND(ISNUMBER(AC473),ISNUMBER(AE473)),AC473-AE473,"")</f>
        <v/>
      </c>
      <c r="BB473" s="254">
        <f>IF(AND(ISNUMBER(AL473),ISNUMBER(AM473)),AL473-AM473,"")</f>
        <v/>
      </c>
      <c r="BG473" s="6">
        <f>IF((AD473-AF473)/(AJ473/60)&lt;=0,"",(AD473-AF473)/(AJ473/60))</f>
        <v/>
      </c>
      <c r="BH473" s="6">
        <f>IF(OR(AJ473=0,AP473=0,NOT(ISNUMBER(AD473)),NOT(ISNUMBER(AF473)),NOT(ISNUMBER(AJ473)),NOT(ISNUMBER(AP473))),"",
IFERROR(IF((AD473-AF473)/(AJ473/60)/(AP473/1000)&lt;=0,"",(AD473-AF473)/(AJ473/60)/(AP473/1000)),""))</f>
        <v/>
      </c>
    </row>
    <row r="474" ht="15.75" customHeight="1">
      <c r="B474" t="n">
        <v>230</v>
      </c>
      <c r="D474" s="11" t="n">
        <v>45734</v>
      </c>
      <c r="E474" s="231" t="n">
        <v>230</v>
      </c>
      <c r="F474" s="3" t="n">
        <v>469</v>
      </c>
      <c r="G474" s="205">
        <f>IF(OR(S474="",S474=0),"",S474*2)</f>
        <v/>
      </c>
      <c r="K474" s="15">
        <f>AD474</f>
        <v/>
      </c>
      <c r="M474" s="10">
        <f>IF(OR(E474="",G474="",E474=0,G474=0),"",E474/G474)</f>
        <v/>
      </c>
      <c r="N474" s="9">
        <f>IF(OR(E474="",I474="",E474=0,I474=0),"",E474/(I474*2))</f>
        <v/>
      </c>
      <c r="O474" s="8">
        <f>IF(OR(I474="",G474="",I474=0,G474=0),"",I474*2/G474)</f>
        <v/>
      </c>
      <c r="AD474" s="5" t="n">
        <v>80</v>
      </c>
      <c r="AL474" s="231" t="n">
        <v>95</v>
      </c>
      <c r="AM474" s="3">
        <f>180+60</f>
        <v/>
      </c>
      <c r="AP474" s="255">
        <f>360-AK474-AB474</f>
        <v/>
      </c>
      <c r="AQ474" s="2" t="n">
        <v>2409.999999999991</v>
      </c>
      <c r="AR474" s="13">
        <f>AVERAGE(AO472:AO478)</f>
        <v/>
      </c>
      <c r="AS474" s="2" t="n">
        <v>76.50793650793953</v>
      </c>
      <c r="AT474" s="156">
        <f>(E474-W474)/E474</f>
        <v/>
      </c>
      <c r="AU474" s="155">
        <f>(I474-AF474)/I474</f>
        <v/>
      </c>
      <c r="AV474" s="155">
        <f>AG474/(AD474-AF474)</f>
        <v/>
      </c>
      <c r="AW474" s="155">
        <f>(G474-AM474)/G474</f>
        <v/>
      </c>
      <c r="AX474" s="254">
        <f>IF(AND(ISNUMBER(E474),ISNUMBER(W474)),E474-W474,"")</f>
        <v/>
      </c>
      <c r="AY474" s="254">
        <f>IF(AND(ISNUMBER(I474),ISNUMBER(AF474)),I474-AF474,"")</f>
        <v/>
      </c>
      <c r="AZ474" s="254">
        <f>IF(AND(ISNUMBER(AM474),ISNUMBER(G474)),G474-AM474,"")</f>
        <v/>
      </c>
      <c r="BA474" s="254">
        <f>IF(AND(ISNUMBER(AC474),ISNUMBER(AE474)),AC474-AE474,"")</f>
        <v/>
      </c>
      <c r="BB474" s="254">
        <f>IF(AND(ISNUMBER(AL474),ISNUMBER(AM474)),AL474-AM474,"")</f>
        <v/>
      </c>
      <c r="BG474" s="6">
        <f>IF((AD474-AF474)/(AJ474/60)&lt;=0,"",(AD474-AF474)/(AJ474/60))</f>
        <v/>
      </c>
      <c r="BH474" s="6">
        <f>IF(OR(AJ474=0,AP474=0,NOT(ISNUMBER(AD474)),NOT(ISNUMBER(AF474)),NOT(ISNUMBER(AJ474)),NOT(ISNUMBER(AP474))),"",
IFERROR(IF((AD474-AF474)/(AJ474/60)/(AP474/1000)&lt;=0,"",(AD474-AF474)/(AJ474/60)/(AP474/1000)),""))</f>
        <v/>
      </c>
    </row>
    <row r="475" ht="15.75" customHeight="1">
      <c r="B475" t="n">
        <v>231</v>
      </c>
      <c r="D475" s="11" t="n">
        <v>45735</v>
      </c>
      <c r="E475" s="231" t="n">
        <v>231</v>
      </c>
      <c r="F475" s="3" t="n">
        <v>470</v>
      </c>
      <c r="G475" s="205">
        <f>IF(OR(S475="",S475=0),"",S475*2)</f>
        <v/>
      </c>
      <c r="K475" s="15">
        <f>AD475</f>
        <v/>
      </c>
      <c r="M475" s="10">
        <f>IF(OR(E475="",G475="",E475=0,G475=0),"",E475/G475)</f>
        <v/>
      </c>
      <c r="N475" s="9">
        <f>IF(OR(E475="",I475="",E475=0,I475=0),"",E475/(I475*2))</f>
        <v/>
      </c>
      <c r="O475" s="8">
        <f>IF(OR(I475="",G475="",I475=0,G475=0),"",I475*2/G475)</f>
        <v/>
      </c>
      <c r="AD475" s="5" t="n">
        <v>80</v>
      </c>
      <c r="AL475" s="231" t="n">
        <v>95</v>
      </c>
      <c r="AM475" s="3">
        <f>180+60</f>
        <v/>
      </c>
      <c r="AP475" s="255">
        <f>360-AK475-AB475</f>
        <v/>
      </c>
      <c r="AR475" s="13">
        <f>AVERAGE(AO473:AO479)</f>
        <v/>
      </c>
      <c r="AT475" s="156">
        <f>(E475-W475)/E475</f>
        <v/>
      </c>
      <c r="AU475" s="155">
        <f>(I475-AF475)/I475</f>
        <v/>
      </c>
      <c r="AV475" s="155">
        <f>AG475/(AD475-AF475)</f>
        <v/>
      </c>
      <c r="AW475" s="155">
        <f>(G475-AM475)/G475</f>
        <v/>
      </c>
      <c r="AX475" s="254">
        <f>IF(AND(ISNUMBER(E475),ISNUMBER(W475)),E475-W475,"")</f>
        <v/>
      </c>
      <c r="AY475" s="254">
        <f>IF(AND(ISNUMBER(I475),ISNUMBER(AF475)),I475-AF475,"")</f>
        <v/>
      </c>
      <c r="AZ475" s="254">
        <f>IF(AND(ISNUMBER(AM475),ISNUMBER(G475)),G475-AM475,"")</f>
        <v/>
      </c>
      <c r="BA475" s="254">
        <f>IF(AND(ISNUMBER(AC475),ISNUMBER(AE475)),AC475-AE475,"")</f>
        <v/>
      </c>
      <c r="BB475" s="254">
        <f>IF(AND(ISNUMBER(AL475),ISNUMBER(AM475)),AL475-AM475,"")</f>
        <v/>
      </c>
      <c r="BG475" s="6">
        <f>IF((AD475-AF475)/(AJ475/60)&lt;=0,"",(AD475-AF475)/(AJ475/60))</f>
        <v/>
      </c>
      <c r="BH475" s="6">
        <f>IF(OR(AJ475=0,AP475=0,NOT(ISNUMBER(AD475)),NOT(ISNUMBER(AF475)),NOT(ISNUMBER(AJ475)),NOT(ISNUMBER(AP475))),"",
IFERROR(IF((AD475-AF475)/(AJ475/60)/(AP475/1000)&lt;=0,"",(AD475-AF475)/(AJ475/60)/(AP475/1000)),""))</f>
        <v/>
      </c>
    </row>
    <row r="476" ht="15.75" customHeight="1">
      <c r="B476" t="n">
        <v>232</v>
      </c>
      <c r="D476" s="11" t="n">
        <v>45736</v>
      </c>
      <c r="E476" s="231" t="n">
        <v>232</v>
      </c>
      <c r="F476" s="3" t="n">
        <v>471</v>
      </c>
      <c r="G476" s="205">
        <f>IF(OR(S476="",S476=0),"",S476*2)</f>
        <v/>
      </c>
      <c r="K476" s="15">
        <f>AD476</f>
        <v/>
      </c>
      <c r="M476" s="10">
        <f>IF(OR(E476="",G476="",E476=0,G476=0),"",E476/G476)</f>
        <v/>
      </c>
      <c r="N476" s="9">
        <f>IF(OR(E476="",I476="",E476=0,I476=0),"",E476/(I476*2))</f>
        <v/>
      </c>
      <c r="O476" s="8">
        <f>IF(OR(I476="",G476="",I476=0,G476=0),"",I476*2/G476)</f>
        <v/>
      </c>
      <c r="AD476" s="5" t="n">
        <v>80</v>
      </c>
      <c r="AL476" s="231" t="n">
        <v>105</v>
      </c>
      <c r="AM476" s="3">
        <f>180+60</f>
        <v/>
      </c>
      <c r="AP476" s="255">
        <f>360-AK476-AB476</f>
        <v/>
      </c>
      <c r="AR476" s="13">
        <f>AVERAGE(AO474:AO480)</f>
        <v/>
      </c>
      <c r="AT476" s="156">
        <f>(E476-W476)/E476</f>
        <v/>
      </c>
      <c r="AU476" s="155">
        <f>(I476-AF476)/I476</f>
        <v/>
      </c>
      <c r="AV476" s="155">
        <f>AG476/(AD476-AF476)</f>
        <v/>
      </c>
      <c r="AW476" s="155">
        <f>(G476-AM476)/G476</f>
        <v/>
      </c>
      <c r="AX476" s="254">
        <f>IF(AND(ISNUMBER(E476),ISNUMBER(W476)),E476-W476,"")</f>
        <v/>
      </c>
      <c r="AY476" s="254">
        <f>IF(AND(ISNUMBER(I476),ISNUMBER(AF476)),I476-AF476,"")</f>
        <v/>
      </c>
      <c r="AZ476" s="254">
        <f>IF(AND(ISNUMBER(AM476),ISNUMBER(G476)),G476-AM476,"")</f>
        <v/>
      </c>
      <c r="BA476" s="254">
        <f>IF(AND(ISNUMBER(AC476),ISNUMBER(AE476)),AC476-AE476,"")</f>
        <v/>
      </c>
      <c r="BB476" s="254">
        <f>IF(AND(ISNUMBER(AL476),ISNUMBER(AM476)),AL476-AM476,"")</f>
        <v/>
      </c>
      <c r="BG476" s="6">
        <f>IF((AD476-AF476)/(AJ476/60)&lt;=0,"",(AD476-AF476)/(AJ476/60))</f>
        <v/>
      </c>
      <c r="BH476" s="6">
        <f>IF(OR(AJ476=0,AP476=0,NOT(ISNUMBER(AD476)),NOT(ISNUMBER(AF476)),NOT(ISNUMBER(AJ476)),NOT(ISNUMBER(AP476))),"",
IFERROR(IF((AD476-AF476)/(AJ476/60)/(AP476/1000)&lt;=0,"",(AD476-AF476)/(AJ476/60)/(AP476/1000)),""))</f>
        <v/>
      </c>
    </row>
    <row r="477" ht="15.75" customHeight="1">
      <c r="B477" t="n">
        <v>233</v>
      </c>
      <c r="D477" s="11" t="n">
        <v>45737</v>
      </c>
      <c r="E477" s="231" t="n">
        <v>233</v>
      </c>
      <c r="F477" s="3" t="n">
        <v>472</v>
      </c>
      <c r="G477" s="205">
        <f>IF(OR(S477="",S477=0),"",S477*2)</f>
        <v/>
      </c>
      <c r="K477" s="15">
        <f>AD477</f>
        <v/>
      </c>
      <c r="M477" s="10">
        <f>IF(OR(E477="",G477="",E477=0,G477=0),"",E477/G477)</f>
        <v/>
      </c>
      <c r="N477" s="9">
        <f>IF(OR(E477="",I477="",E477=0,I477=0),"",E477/(I477*2))</f>
        <v/>
      </c>
      <c r="O477" s="8">
        <f>IF(OR(I477="",G477="",I477=0,G477=0),"",I477*2/G477)</f>
        <v/>
      </c>
      <c r="AD477" s="5" t="n">
        <v>80</v>
      </c>
      <c r="AL477" s="231" t="n">
        <v>115</v>
      </c>
      <c r="AM477" s="3">
        <f>180+60</f>
        <v/>
      </c>
      <c r="AP477" s="255">
        <f>360-AK477-AB477</f>
        <v/>
      </c>
      <c r="AR477" s="13">
        <f>AVERAGE(AO475:AO481)</f>
        <v/>
      </c>
      <c r="AT477" s="156">
        <f>(E477-W477)/E477</f>
        <v/>
      </c>
      <c r="AU477" s="155">
        <f>(I477-AF477)/I477</f>
        <v/>
      </c>
      <c r="AV477" s="155">
        <f>AG477/(AD477-AF477)</f>
        <v/>
      </c>
      <c r="AW477" s="155">
        <f>(G477-AM477)/G477</f>
        <v/>
      </c>
      <c r="AX477" s="254">
        <f>IF(AND(ISNUMBER(E477),ISNUMBER(W477)),E477-W477,"")</f>
        <v/>
      </c>
      <c r="AY477" s="254">
        <f>IF(AND(ISNUMBER(I477),ISNUMBER(AF477)),I477-AF477,"")</f>
        <v/>
      </c>
      <c r="AZ477" s="254">
        <f>IF(AND(ISNUMBER(AM477),ISNUMBER(G477)),G477-AM477,"")</f>
        <v/>
      </c>
      <c r="BA477" s="254">
        <f>IF(AND(ISNUMBER(AC477),ISNUMBER(AE477)),AC477-AE477,"")</f>
        <v/>
      </c>
      <c r="BB477" s="254">
        <f>IF(AND(ISNUMBER(AL477),ISNUMBER(AM477)),AL477-AM477,"")</f>
        <v/>
      </c>
      <c r="BG477" s="6">
        <f>IF((AD477-AF477)/(AJ477/60)&lt;=0,"",(AD477-AF477)/(AJ477/60))</f>
        <v/>
      </c>
      <c r="BH477" s="6">
        <f>IF(OR(AJ477=0,AP477=0,NOT(ISNUMBER(AD477)),NOT(ISNUMBER(AF477)),NOT(ISNUMBER(AJ477)),NOT(ISNUMBER(AP477))),"",
IFERROR(IF((AD477-AF477)/(AJ477/60)/(AP477/1000)&lt;=0,"",(AD477-AF477)/(AJ477/60)/(AP477/1000)),""))</f>
        <v/>
      </c>
    </row>
    <row r="478" ht="15.75" customHeight="1">
      <c r="A478" s="260" t="inlineStr">
        <is>
          <t>B62</t>
        </is>
      </c>
      <c r="B478" s="260" t="n">
        <v>234</v>
      </c>
      <c r="D478" s="11" t="n">
        <v>45738</v>
      </c>
      <c r="E478" s="231" t="n">
        <v>234</v>
      </c>
      <c r="F478" s="3" t="n">
        <v>473</v>
      </c>
      <c r="G478" s="205">
        <f>IF(OR(S478="",S478=0),"",S478*2)</f>
        <v/>
      </c>
      <c r="K478" s="15">
        <f>AD478</f>
        <v/>
      </c>
      <c r="M478" s="10">
        <f>IF(OR(E478="",G478="",E478=0,G478=0),"",E478/G478)</f>
        <v/>
      </c>
      <c r="N478" s="9">
        <f>IF(OR(E478="",I478="",E478=0,I478=0),"",E478/(I478*2))</f>
        <v/>
      </c>
      <c r="O478" s="8">
        <f>IF(OR(I478="",G478="",I478=0,G478=0),"",I478*2/G478)</f>
        <v/>
      </c>
      <c r="AD478" s="5" t="n">
        <v>80</v>
      </c>
      <c r="AL478" s="231" t="n">
        <v>109</v>
      </c>
      <c r="AM478" s="3">
        <f>180+60</f>
        <v/>
      </c>
      <c r="AP478" s="255">
        <f>360-AK478-AB478</f>
        <v/>
      </c>
      <c r="AR478" s="13">
        <f>AVERAGE(AO476:AO482)</f>
        <v/>
      </c>
      <c r="AT478" s="156">
        <f>(E478-W478)/E478</f>
        <v/>
      </c>
      <c r="AU478" s="155">
        <f>(I478-AF478)/I478</f>
        <v/>
      </c>
      <c r="AV478" s="155">
        <f>AG478/(AD478-AF478)</f>
        <v/>
      </c>
      <c r="AW478" s="155">
        <f>(G478-AM478)/G478</f>
        <v/>
      </c>
      <c r="AX478" s="254">
        <f>IF(AND(ISNUMBER(E478),ISNUMBER(W478)),E478-W478,"")</f>
        <v/>
      </c>
      <c r="AY478" s="254">
        <f>IF(AND(ISNUMBER(I478),ISNUMBER(AF478)),I478-AF478,"")</f>
        <v/>
      </c>
      <c r="AZ478" s="254">
        <f>IF(AND(ISNUMBER(AM478),ISNUMBER(G478)),G478-AM478,"")</f>
        <v/>
      </c>
      <c r="BA478" s="254">
        <f>IF(AND(ISNUMBER(AC478),ISNUMBER(AE478)),AC478-AE478,"")</f>
        <v/>
      </c>
      <c r="BB478" s="254">
        <f>IF(AND(ISNUMBER(AL478),ISNUMBER(AM478)),AL478-AM478,"")</f>
        <v/>
      </c>
      <c r="BG478" s="6">
        <f>IF((AD478-AF478)/(AJ478/60)&lt;=0,"",(AD478-AF478)/(AJ478/60))</f>
        <v/>
      </c>
      <c r="BH478" s="6">
        <f>IF(OR(AJ478=0,AP478=0,NOT(ISNUMBER(AD478)),NOT(ISNUMBER(AF478)),NOT(ISNUMBER(AJ478)),NOT(ISNUMBER(AP478))),"",
IFERROR(IF((AD478-AF478)/(AJ478/60)/(AP478/1000)&lt;=0,"",(AD478-AF478)/(AJ478/60)/(AP478/1000)),""))</f>
        <v/>
      </c>
    </row>
    <row r="479" ht="15.75" customHeight="1">
      <c r="B479" t="n">
        <v>235</v>
      </c>
      <c r="D479" s="11" t="n">
        <v>45739</v>
      </c>
      <c r="E479" s="231" t="n">
        <v>235</v>
      </c>
      <c r="F479" s="3" t="n">
        <v>474</v>
      </c>
      <c r="G479" s="205">
        <f>IF(OR(S479="",S479=0),"",S479*2)</f>
        <v/>
      </c>
      <c r="K479" s="15">
        <f>AD479</f>
        <v/>
      </c>
      <c r="M479" s="10">
        <f>IF(OR(E479="",G479="",E479=0,G479=0),"",E479/G479)</f>
        <v/>
      </c>
      <c r="N479" s="9">
        <f>IF(OR(E479="",I479="",E479=0,I479=0),"",E479/(I479*2))</f>
        <v/>
      </c>
      <c r="O479" s="8">
        <f>IF(OR(I479="",G479="",I479=0,G479=0),"",I479*2/G479)</f>
        <v/>
      </c>
      <c r="AD479" s="5" t="n">
        <v>80</v>
      </c>
      <c r="AL479" s="231" t="n">
        <v>103</v>
      </c>
      <c r="AM479" s="3">
        <f>180+60</f>
        <v/>
      </c>
      <c r="AP479" s="255">
        <f>360-AK479-AB479</f>
        <v/>
      </c>
      <c r="AR479" s="13">
        <f>AVERAGE(AO477:AO483)</f>
        <v/>
      </c>
      <c r="AT479" s="156">
        <f>(E479-W479)/E479</f>
        <v/>
      </c>
      <c r="AU479" s="155">
        <f>(I479-AF479)/I479</f>
        <v/>
      </c>
      <c r="AV479" s="155">
        <f>AG479/(AD479-AF479)</f>
        <v/>
      </c>
      <c r="AW479" s="155">
        <f>(G479-AM479)/G479</f>
        <v/>
      </c>
      <c r="AX479" s="254">
        <f>IF(AND(ISNUMBER(E479),ISNUMBER(W479)),E479-W479,"")</f>
        <v/>
      </c>
      <c r="AY479" s="254">
        <f>IF(AND(ISNUMBER(I479),ISNUMBER(AF479)),I479-AF479,"")</f>
        <v/>
      </c>
      <c r="AZ479" s="254">
        <f>IF(AND(ISNUMBER(AM479),ISNUMBER(G479)),G479-AM479,"")</f>
        <v/>
      </c>
      <c r="BA479" s="254">
        <f>IF(AND(ISNUMBER(AC479),ISNUMBER(AE479)),AC479-AE479,"")</f>
        <v/>
      </c>
      <c r="BB479" s="254">
        <f>IF(AND(ISNUMBER(AL479),ISNUMBER(AM479)),AL479-AM479,"")</f>
        <v/>
      </c>
      <c r="BG479" s="6">
        <f>IF((AD479-AF479)/(AJ479/60)&lt;=0,"",(AD479-AF479)/(AJ479/60))</f>
        <v/>
      </c>
      <c r="BH479" s="6">
        <f>IF(OR(AJ479=0,AP479=0,NOT(ISNUMBER(AD479)),NOT(ISNUMBER(AF479)),NOT(ISNUMBER(AJ479)),NOT(ISNUMBER(AP479))),"",
IFERROR(IF((AD479-AF479)/(AJ479/60)/(AP479/1000)&lt;=0,"",(AD479-AF479)/(AJ479/60)/(AP479/1000)),""))</f>
        <v/>
      </c>
    </row>
    <row r="480" ht="15.75" customHeight="1">
      <c r="B480" t="n">
        <v>236</v>
      </c>
      <c r="C480" s="12" t="inlineStr">
        <is>
          <t xml:space="preserve">apparently a highish pH upset 24 afternoon to 25 morning? </t>
        </is>
      </c>
      <c r="D480" s="11" t="n">
        <v>45740</v>
      </c>
      <c r="E480" s="231" t="n">
        <v>236</v>
      </c>
      <c r="F480" s="3" t="n">
        <v>475</v>
      </c>
      <c r="G480" s="205">
        <f>IF(OR(S480="",S480=0),"",S480*2)</f>
        <v/>
      </c>
      <c r="K480" s="15">
        <f>AD480</f>
        <v/>
      </c>
      <c r="M480" s="10">
        <f>IF(OR(E480="",G480="",E480=0,G480=0),"",E480/G480)</f>
        <v/>
      </c>
      <c r="N480" s="9">
        <f>IF(OR(E480="",I480="",E480=0,I480=0),"",E480/(I480*2))</f>
        <v/>
      </c>
      <c r="O480" s="8">
        <f>IF(OR(I480="",G480="",I480=0,G480=0),"",I480*2/G480)</f>
        <v/>
      </c>
      <c r="AD480" s="5" t="n">
        <v>80</v>
      </c>
      <c r="AL480" s="231" t="n">
        <v>109</v>
      </c>
      <c r="AM480" s="3">
        <f>180+60</f>
        <v/>
      </c>
      <c r="AP480" s="255">
        <f>360-AK480-AB480</f>
        <v/>
      </c>
      <c r="AR480" s="13">
        <f>AVERAGE(AO478:AO484)</f>
        <v/>
      </c>
      <c r="AT480" s="156">
        <f>(E480-W480)/E480</f>
        <v/>
      </c>
      <c r="AU480" s="155">
        <f>(I480-AF480)/I480</f>
        <v/>
      </c>
      <c r="AV480" s="155">
        <f>AG480/(AD480-AF480)</f>
        <v/>
      </c>
      <c r="AW480" s="155">
        <f>(G480-AM480)/G480</f>
        <v/>
      </c>
      <c r="AX480" s="254">
        <f>IF(AND(ISNUMBER(E480),ISNUMBER(W480)),E480-W480,"")</f>
        <v/>
      </c>
      <c r="AY480" s="254">
        <f>IF(AND(ISNUMBER(I480),ISNUMBER(AF480)),I480-AF480,"")</f>
        <v/>
      </c>
      <c r="AZ480" s="254">
        <f>IF(AND(ISNUMBER(AM480),ISNUMBER(G480)),G480-AM480,"")</f>
        <v/>
      </c>
      <c r="BA480" s="254">
        <f>IF(AND(ISNUMBER(AC480),ISNUMBER(AE480)),AC480-AE480,"")</f>
        <v/>
      </c>
      <c r="BB480" s="254">
        <f>IF(AND(ISNUMBER(AL480),ISNUMBER(AM480)),AL480-AM480,"")</f>
        <v/>
      </c>
      <c r="BG480" s="6">
        <f>IF((AD480-AF480)/(AJ480/60)&lt;=0,"",(AD480-AF480)/(AJ480/60))</f>
        <v/>
      </c>
      <c r="BH480" s="6">
        <f>IF(OR(AJ480=0,AP480=0,NOT(ISNUMBER(AD480)),NOT(ISNUMBER(AF480)),NOT(ISNUMBER(AJ480)),NOT(ISNUMBER(AP480))),"",
IFERROR(IF((AD480-AF480)/(AJ480/60)/(AP480/1000)&lt;=0,"",(AD480-AF480)/(AJ480/60)/(AP480/1000)),""))</f>
        <v/>
      </c>
    </row>
    <row r="481" ht="15.75" customHeight="1">
      <c r="B481" t="n">
        <v>237</v>
      </c>
      <c r="D481" s="11" t="n">
        <v>45741</v>
      </c>
      <c r="E481" s="231" t="n">
        <v>237</v>
      </c>
      <c r="F481" s="3" t="n">
        <v>476</v>
      </c>
      <c r="G481" s="205">
        <f>IF(OR(S481="",S481=0),"",S481*2)</f>
        <v/>
      </c>
      <c r="K481" s="15">
        <f>AD481</f>
        <v/>
      </c>
      <c r="M481" s="10">
        <f>IF(OR(E481="",G481="",E481=0,G481=0),"",E481/G481)</f>
        <v/>
      </c>
      <c r="N481" s="9">
        <f>IF(OR(E481="",I481="",E481=0,I481=0),"",E481/(I481*2))</f>
        <v/>
      </c>
      <c r="O481" s="8">
        <f>IF(OR(I481="",G481="",I481=0,G481=0),"",I481*2/G481)</f>
        <v/>
      </c>
      <c r="AD481" s="5" t="n">
        <v>80</v>
      </c>
      <c r="AL481" s="231" t="n">
        <v>99</v>
      </c>
      <c r="AM481" s="3">
        <f>180+60</f>
        <v/>
      </c>
      <c r="AP481" s="255">
        <f>360-AK481-AB481</f>
        <v/>
      </c>
      <c r="AR481" s="13">
        <f>AVERAGE(AO479:AO485)</f>
        <v/>
      </c>
      <c r="AT481" s="156">
        <f>(E481-W481)/E481</f>
        <v/>
      </c>
      <c r="AU481" s="155">
        <f>(I481-AF481)/I481</f>
        <v/>
      </c>
      <c r="AV481" s="155">
        <f>AG481/(AD481-AF481)</f>
        <v/>
      </c>
      <c r="AW481" s="155">
        <f>(G481-AM481)/G481</f>
        <v/>
      </c>
      <c r="AX481" s="254">
        <f>IF(AND(ISNUMBER(E481),ISNUMBER(W481)),E481-W481,"")</f>
        <v/>
      </c>
      <c r="AY481" s="254">
        <f>IF(AND(ISNUMBER(I481),ISNUMBER(AF481)),I481-AF481,"")</f>
        <v/>
      </c>
      <c r="AZ481" s="254">
        <f>IF(AND(ISNUMBER(AM481),ISNUMBER(G481)),G481-AM481,"")</f>
        <v/>
      </c>
      <c r="BA481" s="254">
        <f>IF(AND(ISNUMBER(AC481),ISNUMBER(AE481)),AC481-AE481,"")</f>
        <v/>
      </c>
      <c r="BB481" s="254">
        <f>IF(AND(ISNUMBER(AL481),ISNUMBER(AM481)),AL481-AM481,"")</f>
        <v/>
      </c>
      <c r="BG481" s="6">
        <f>IF((AD481-AF481)/(AJ481/60)&lt;=0,"",(AD481-AF481)/(AJ481/60))</f>
        <v/>
      </c>
      <c r="BH481" s="6">
        <f>IF(OR(AJ481=0,AP481=0,NOT(ISNUMBER(AD481)),NOT(ISNUMBER(AF481)),NOT(ISNUMBER(AJ481)),NOT(ISNUMBER(AP481))),"",
IFERROR(IF((AD481-AF481)/(AJ481/60)/(AP481/1000)&lt;=0,"",(AD481-AF481)/(AJ481/60)/(AP481/1000)),""))</f>
        <v/>
      </c>
    </row>
    <row r="482" ht="15.75" customHeight="1">
      <c r="B482" t="n">
        <v>238</v>
      </c>
      <c r="C482" s="12" t="inlineStr">
        <is>
          <t>wasting turn on t o16 sec, notice could not finish COD</t>
        </is>
      </c>
      <c r="D482" s="11" t="n">
        <v>45742</v>
      </c>
      <c r="E482" s="231" t="n">
        <v>238</v>
      </c>
      <c r="F482" s="3" t="n">
        <v>477</v>
      </c>
      <c r="G482" s="205">
        <f>IF(OR(S482="",S482=0),"",S482*2)</f>
        <v/>
      </c>
      <c r="K482" s="15">
        <f>AD482</f>
        <v/>
      </c>
      <c r="M482" s="10">
        <f>IF(OR(E482="",G482="",E482=0,G482=0),"",E482/G482)</f>
        <v/>
      </c>
      <c r="N482" s="9">
        <f>IF(OR(E482="",I482="",E482=0,I482=0),"",E482/(I482*2))</f>
        <v/>
      </c>
      <c r="O482" s="8">
        <f>IF(OR(I482="",G482="",I482=0,G482=0),"",I482*2/G482)</f>
        <v/>
      </c>
      <c r="AD482" s="5" t="n">
        <v>80</v>
      </c>
      <c r="AL482" s="231" t="n">
        <v>97</v>
      </c>
      <c r="AM482" s="3">
        <f>180+60</f>
        <v/>
      </c>
      <c r="AP482" s="255">
        <f>360-AK482-AB482</f>
        <v/>
      </c>
      <c r="AR482" s="13">
        <f>AVERAGE(AO480:AO486)</f>
        <v/>
      </c>
      <c r="AT482" s="156">
        <f>(E482-W482)/E482</f>
        <v/>
      </c>
      <c r="AU482" s="155">
        <f>(I482-AF482)/I482</f>
        <v/>
      </c>
      <c r="AV482" s="155">
        <f>AG482/(AD482-AF482)</f>
        <v/>
      </c>
      <c r="AW482" s="155">
        <f>(G482-AM482)/G482</f>
        <v/>
      </c>
      <c r="AX482" s="254">
        <f>IF(AND(ISNUMBER(E482),ISNUMBER(W482)),E482-W482,"")</f>
        <v/>
      </c>
      <c r="AY482" s="254">
        <f>IF(AND(ISNUMBER(I482),ISNUMBER(AF482)),I482-AF482,"")</f>
        <v/>
      </c>
      <c r="AZ482" s="254">
        <f>IF(AND(ISNUMBER(AM482),ISNUMBER(G482)),G482-AM482,"")</f>
        <v/>
      </c>
      <c r="BA482" s="254">
        <f>IF(AND(ISNUMBER(AC482),ISNUMBER(AE482)),AC482-AE482,"")</f>
        <v/>
      </c>
      <c r="BB482" s="254">
        <f>IF(AND(ISNUMBER(AL482),ISNUMBER(AM482)),AL482-AM482,"")</f>
        <v/>
      </c>
      <c r="BG482" s="6">
        <f>IF((AD482-AF482)/(AJ482/60)&lt;=0,"",(AD482-AF482)/(AJ482/60))</f>
        <v/>
      </c>
      <c r="BH482" s="6">
        <f>IF(OR(AJ482=0,AP482=0,NOT(ISNUMBER(AD482)),NOT(ISNUMBER(AF482)),NOT(ISNUMBER(AJ482)),NOT(ISNUMBER(AP482))),"",
IFERROR(IF((AD482-AF482)/(AJ482/60)/(AP482/1000)&lt;=0,"",(AD482-AF482)/(AJ482/60)/(AP482/1000)),""))</f>
        <v/>
      </c>
    </row>
    <row r="483" ht="15.75" customHeight="1">
      <c r="B483" t="n">
        <v>239</v>
      </c>
      <c r="D483" s="11" t="n">
        <v>45743</v>
      </c>
      <c r="E483" s="231" t="n">
        <v>239</v>
      </c>
      <c r="F483" s="3" t="n">
        <v>478</v>
      </c>
      <c r="G483" s="205">
        <f>IF(OR(S483="",S483=0),"",S483*2)</f>
        <v/>
      </c>
      <c r="K483" s="15">
        <f>AD483</f>
        <v/>
      </c>
      <c r="M483" s="10">
        <f>IF(OR(E483="",G483="",E483=0,G483=0),"",E483/G483)</f>
        <v/>
      </c>
      <c r="N483" s="9">
        <f>IF(OR(E483="",I483="",E483=0,I483=0),"",E483/(I483*2))</f>
        <v/>
      </c>
      <c r="O483" s="8">
        <f>IF(OR(I483="",G483="",I483=0,G483=0),"",I483*2/G483)</f>
        <v/>
      </c>
      <c r="AD483" s="5" t="n">
        <v>80</v>
      </c>
      <c r="AL483" s="231" t="n">
        <v>97</v>
      </c>
      <c r="AM483" s="3">
        <f>180+60</f>
        <v/>
      </c>
      <c r="AP483" s="255">
        <f>360-AK483-AB483</f>
        <v/>
      </c>
      <c r="AR483" s="13">
        <f>AVERAGE(AO481:AO487)</f>
        <v/>
      </c>
      <c r="AT483" s="156">
        <f>(E483-W483)/E483</f>
        <v/>
      </c>
      <c r="AU483" s="155">
        <f>(I483-AF483)/I483</f>
        <v/>
      </c>
      <c r="AV483" s="155">
        <f>AG483/(AD483-AF483)</f>
        <v/>
      </c>
      <c r="AW483" s="155">
        <f>(G483-AM483)/G483</f>
        <v/>
      </c>
      <c r="AX483" s="254">
        <f>IF(AND(ISNUMBER(E483),ISNUMBER(W483)),E483-W483,"")</f>
        <v/>
      </c>
      <c r="AY483" s="254">
        <f>IF(AND(ISNUMBER(I483),ISNUMBER(AF483)),I483-AF483,"")</f>
        <v/>
      </c>
      <c r="AZ483" s="254">
        <f>IF(AND(ISNUMBER(AM483),ISNUMBER(G483)),G483-AM483,"")</f>
        <v/>
      </c>
      <c r="BA483" s="254">
        <f>IF(AND(ISNUMBER(AC483),ISNUMBER(AE483)),AC483-AE483,"")</f>
        <v/>
      </c>
      <c r="BB483" s="254">
        <f>IF(AND(ISNUMBER(AL483),ISNUMBER(AM483)),AL483-AM483,"")</f>
        <v/>
      </c>
      <c r="BG483" s="6">
        <f>IF((AD483-AF483)/(AJ483/60)&lt;=0,"",(AD483-AF483)/(AJ483/60))</f>
        <v/>
      </c>
      <c r="BH483" s="6">
        <f>IF(OR(AJ483=0,AP483=0,NOT(ISNUMBER(AD483)),NOT(ISNUMBER(AF483)),NOT(ISNUMBER(AJ483)),NOT(ISNUMBER(AP483))),"",
IFERROR(IF((AD483-AF483)/(AJ483/60)/(AP483/1000)&lt;=0,"",(AD483-AF483)/(AJ483/60)/(AP483/1000)),""))</f>
        <v/>
      </c>
    </row>
    <row r="484" ht="15.75" customHeight="1">
      <c r="A484" s="260" t="inlineStr">
        <is>
          <t>B63</t>
        </is>
      </c>
      <c r="B484" s="260" t="n">
        <v>240</v>
      </c>
      <c r="D484" s="11" t="n">
        <v>45744</v>
      </c>
      <c r="E484" s="231" t="n">
        <v>240</v>
      </c>
      <c r="F484" s="3" t="n">
        <v>479</v>
      </c>
      <c r="G484" s="205">
        <f>IF(OR(S484="",S484=0),"",S484*2)</f>
        <v/>
      </c>
      <c r="I484" s="15">
        <f>(N484*18-H484*18)/9</f>
        <v/>
      </c>
      <c r="J484" s="15">
        <f>5*1.87</f>
        <v/>
      </c>
      <c r="K484" s="15">
        <f>AD484</f>
        <v/>
      </c>
      <c r="M484" s="10">
        <f>IF(OR(E484="",G484="",E484=0,G484=0),"",E484/G484)</f>
        <v/>
      </c>
      <c r="N484" s="9">
        <f>IF(OR(E484="",I484="",E484=0,I484=0),"",E484/(I484*2))</f>
        <v/>
      </c>
      <c r="O484" s="8">
        <f>IF(OR(I484="",G484="",I484=0,G484=0),"",I484*2/G484)</f>
        <v/>
      </c>
      <c r="P484" s="7">
        <f>5*3.37</f>
        <v/>
      </c>
      <c r="S484" s="6">
        <f>O484*1.067</f>
        <v/>
      </c>
      <c r="T484" s="6">
        <f>P484*1.514</f>
        <v/>
      </c>
      <c r="U484" s="23">
        <f>P484*1.514+O484*1.067</f>
        <v/>
      </c>
      <c r="V484" s="6">
        <f>36.1</f>
        <v/>
      </c>
      <c r="W484" s="59">
        <f>1.112*1.067</f>
        <v/>
      </c>
      <c r="X484" s="59">
        <f>0.845*1.514</f>
        <v/>
      </c>
      <c r="Y484" s="23">
        <f>U484*1.067+V484*1.514</f>
        <v/>
      </c>
      <c r="AD484" s="5" t="n">
        <v>80</v>
      </c>
      <c r="AE484" s="7">
        <f>T484</f>
        <v/>
      </c>
      <c r="AF484" s="231">
        <f>5*3.76</f>
        <v/>
      </c>
      <c r="AG484" s="231">
        <f>5*4.7</f>
        <v/>
      </c>
      <c r="AH484" s="231" t="n">
        <v>0</v>
      </c>
      <c r="AL484" s="231" t="n">
        <v>95</v>
      </c>
      <c r="AM484" s="3">
        <f>180+60</f>
        <v/>
      </c>
      <c r="AN484" s="4">
        <f>AE484</f>
        <v/>
      </c>
      <c r="AO484" s="231">
        <f>5*3.37</f>
        <v/>
      </c>
      <c r="AP484" s="255">
        <f>360-AK484-AB484</f>
        <v/>
      </c>
      <c r="AR484" s="13">
        <f>AVERAGE(AO482:AO488)</f>
        <v/>
      </c>
      <c r="AT484" s="156">
        <f>(E484-W484)/E484</f>
        <v/>
      </c>
      <c r="AU484" s="155">
        <f>(I484-AF484)/I484</f>
        <v/>
      </c>
      <c r="AV484" s="155">
        <f>AG484/(AD484-AF484)</f>
        <v/>
      </c>
      <c r="AW484" s="155">
        <f>(G484-AM484)/G484</f>
        <v/>
      </c>
      <c r="AX484" s="254">
        <f>IF(AND(ISNUMBER(E484),ISNUMBER(W484)),E484-W484,"")</f>
        <v/>
      </c>
      <c r="AY484" s="254">
        <f>IF(AND(ISNUMBER(I484),ISNUMBER(AF484)),I484-AF484,"")</f>
        <v/>
      </c>
      <c r="AZ484" s="254">
        <f>IF(AND(ISNUMBER(AM484),ISNUMBER(G484)),G484-AM484,"")</f>
        <v/>
      </c>
      <c r="BA484" s="254">
        <f>IF(AND(ISNUMBER(AC484),ISNUMBER(AE484)),AC484-AE484,"")</f>
        <v/>
      </c>
      <c r="BB484" s="254">
        <f>IF(AND(ISNUMBER(AL484),ISNUMBER(AM484)),AL484-AM484,"")</f>
        <v/>
      </c>
      <c r="BG484" s="6">
        <f>IF((AD484-AF484)/(AJ484/60)&lt;=0,"",(AD484-AF484)/(AJ484/60))</f>
        <v/>
      </c>
      <c r="BH484" s="6">
        <f>IF(OR(AJ484=0,AP484=0,NOT(ISNUMBER(AD484)),NOT(ISNUMBER(AF484)),NOT(ISNUMBER(AJ484)),NOT(ISNUMBER(AP484))),"",
IFERROR(IF((AD484-AF484)/(AJ484/60)/(AP484/1000)&lt;=0,"",(AD484-AF484)/(AJ484/60)/(AP484/1000)),""))</f>
        <v/>
      </c>
    </row>
    <row r="485" ht="15.75" customHeight="1">
      <c r="B485" t="n">
        <v>241</v>
      </c>
      <c r="C485" s="12" t="inlineStr">
        <is>
          <t>dilute the COD+P by 20%, it is decreased COD</t>
        </is>
      </c>
      <c r="D485" s="11" t="n">
        <v>45745</v>
      </c>
      <c r="E485" s="231" t="n">
        <v>241</v>
      </c>
      <c r="F485" s="3" t="n">
        <v>480</v>
      </c>
      <c r="G485" s="205">
        <f>IF(OR(S485="",S485=0),"",S485*2)</f>
        <v/>
      </c>
      <c r="K485" s="15">
        <f>AD485</f>
        <v/>
      </c>
      <c r="M485" s="10">
        <f>IF(OR(E485="",G485="",E485=0,G485=0),"",E485/G485)</f>
        <v/>
      </c>
      <c r="N485" s="9">
        <f>IF(OR(E485="",I485="",E485=0,I485=0),"",E485/(I485*2))</f>
        <v/>
      </c>
      <c r="O485" s="8">
        <f>IF(OR(I485="",G485="",I485=0,G485=0),"",I485*2/G485)</f>
        <v/>
      </c>
      <c r="AD485" s="5" t="n">
        <v>80</v>
      </c>
      <c r="AL485" s="231" t="n">
        <v>101</v>
      </c>
      <c r="AM485" s="3">
        <f>180+60</f>
        <v/>
      </c>
      <c r="AP485" s="255">
        <f>360-AK485-AB485</f>
        <v/>
      </c>
      <c r="AR485" s="13">
        <f>AVERAGE(AO483:AO489)</f>
        <v/>
      </c>
      <c r="AT485" s="156">
        <f>(E485-W485)/E485</f>
        <v/>
      </c>
      <c r="AU485" s="155">
        <f>(I485-AF485)/I485</f>
        <v/>
      </c>
      <c r="AV485" s="155">
        <f>AG485/(AD485-AF485)</f>
        <v/>
      </c>
      <c r="AW485" s="155">
        <f>(G485-AM485)/G485</f>
        <v/>
      </c>
      <c r="AX485" s="254">
        <f>IF(AND(ISNUMBER(E485),ISNUMBER(W485)),E485-W485,"")</f>
        <v/>
      </c>
      <c r="AY485" s="254">
        <f>IF(AND(ISNUMBER(I485),ISNUMBER(AF485)),I485-AF485,"")</f>
        <v/>
      </c>
      <c r="AZ485" s="254">
        <f>IF(AND(ISNUMBER(AM485),ISNUMBER(G485)),G485-AM485,"")</f>
        <v/>
      </c>
      <c r="BA485" s="254">
        <f>IF(AND(ISNUMBER(AC485),ISNUMBER(AE485)),AC485-AE485,"")</f>
        <v/>
      </c>
      <c r="BB485" s="254">
        <f>IF(AND(ISNUMBER(AL485),ISNUMBER(AM485)),AL485-AM485,"")</f>
        <v/>
      </c>
      <c r="BG485" s="6">
        <f>IF((AD485-AF485)/(AJ485/60)&lt;=0,"",(AD485-AF485)/(AJ485/60))</f>
        <v/>
      </c>
      <c r="BH485" s="6">
        <f>IF(OR(AJ485=0,AP485=0,NOT(ISNUMBER(AD485)),NOT(ISNUMBER(AF485)),NOT(ISNUMBER(AJ485)),NOT(ISNUMBER(AP485))),"",
IFERROR(IF((AD485-AF485)/(AJ485/60)/(AP485/1000)&lt;=0,"",(AD485-AF485)/(AJ485/60)/(AP485/1000)),""))</f>
        <v/>
      </c>
    </row>
    <row r="486" ht="15.75" customHeight="1">
      <c r="B486" t="n">
        <v>242</v>
      </c>
      <c r="D486" s="11" t="n">
        <v>45746</v>
      </c>
      <c r="E486" s="231" t="n">
        <v>242</v>
      </c>
      <c r="F486" s="3" t="n">
        <v>481</v>
      </c>
      <c r="G486" s="205">
        <f>IF(OR(S486="",S486=0),"",S486*2)</f>
        <v/>
      </c>
      <c r="K486" s="15">
        <f>AD486</f>
        <v/>
      </c>
      <c r="M486" s="10">
        <f>IF(OR(E486="",G486="",E486=0,G486=0),"",E486/G486)</f>
        <v/>
      </c>
      <c r="N486" s="9">
        <f>IF(OR(E486="",I486="",E486=0,I486=0),"",E486/(I486*2))</f>
        <v/>
      </c>
      <c r="O486" s="8">
        <f>IF(OR(I486="",G486="",I486=0,G486=0),"",I486*2/G486)</f>
        <v/>
      </c>
      <c r="AD486" s="5" t="n">
        <v>80</v>
      </c>
      <c r="AL486" s="231" t="n">
        <v>107</v>
      </c>
      <c r="AM486" s="3">
        <f>180+60</f>
        <v/>
      </c>
      <c r="AP486" s="255">
        <f>360-AK486-AB486</f>
        <v/>
      </c>
      <c r="AR486" s="13">
        <f>AVERAGE(AO484:AO490)</f>
        <v/>
      </c>
      <c r="AT486" s="156">
        <f>(E486-W486)/E486</f>
        <v/>
      </c>
      <c r="AU486" s="155">
        <f>(I486-AF486)/I486</f>
        <v/>
      </c>
      <c r="AV486" s="155">
        <f>AG486/(AD486-AF486)</f>
        <v/>
      </c>
      <c r="AW486" s="155">
        <f>(G486-AM486)/G486</f>
        <v/>
      </c>
      <c r="AX486" s="254">
        <f>IF(AND(ISNUMBER(E486),ISNUMBER(W486)),E486-W486,"")</f>
        <v/>
      </c>
      <c r="AY486" s="254">
        <f>IF(AND(ISNUMBER(I486),ISNUMBER(AF486)),I486-AF486,"")</f>
        <v/>
      </c>
      <c r="AZ486" s="254">
        <f>IF(AND(ISNUMBER(AM486),ISNUMBER(G486)),G486-AM486,"")</f>
        <v/>
      </c>
      <c r="BA486" s="254">
        <f>IF(AND(ISNUMBER(AC486),ISNUMBER(AE486)),AC486-AE486,"")</f>
        <v/>
      </c>
      <c r="BB486" s="254">
        <f>IF(AND(ISNUMBER(AL486),ISNUMBER(AM486)),AL486-AM486,"")</f>
        <v/>
      </c>
      <c r="BG486" s="6">
        <f>IF((AD486-AF486)/(AJ486/60)&lt;=0,"",(AD486-AF486)/(AJ486/60))</f>
        <v/>
      </c>
      <c r="BH486" s="6">
        <f>IF(OR(AJ486=0,AP486=0,NOT(ISNUMBER(AD486)),NOT(ISNUMBER(AF486)),NOT(ISNUMBER(AJ486)),NOT(ISNUMBER(AP486))),"",
IFERROR(IF((AD486-AF486)/(AJ486/60)/(AP486/1000)&lt;=0,"",(AD486-AF486)/(AJ486/60)/(AP486/1000)),""))</f>
        <v/>
      </c>
    </row>
    <row r="487" ht="15.75" customHeight="1">
      <c r="B487" t="n">
        <v>243</v>
      </c>
      <c r="D487" s="11" t="n">
        <v>45747</v>
      </c>
      <c r="E487" s="231" t="n">
        <v>243</v>
      </c>
      <c r="F487" s="3" t="n">
        <v>482</v>
      </c>
      <c r="G487" s="205">
        <f>IF(OR(S487="",S487=0),"",S487*2)</f>
        <v/>
      </c>
      <c r="K487" s="15">
        <f>AD487</f>
        <v/>
      </c>
      <c r="M487" s="10">
        <f>IF(OR(E487="",G487="",E487=0,G487=0),"",E487/G487)</f>
        <v/>
      </c>
      <c r="N487" s="9">
        <f>IF(OR(E487="",I487="",E487=0,I487=0),"",E487/(I487*2))</f>
        <v/>
      </c>
      <c r="O487" s="8">
        <f>IF(OR(I487="",G487="",I487=0,G487=0),"",I487*2/G487)</f>
        <v/>
      </c>
      <c r="AD487" s="5" t="n">
        <v>80</v>
      </c>
      <c r="AL487" s="231" t="n">
        <v>99</v>
      </c>
      <c r="AM487" s="3">
        <f>180+60</f>
        <v/>
      </c>
      <c r="AP487" s="255">
        <f>360-AK487-AB487</f>
        <v/>
      </c>
      <c r="AR487" s="13">
        <f>AVERAGE(AO485:AO491)</f>
        <v/>
      </c>
      <c r="AT487" s="156">
        <f>(E487-W487)/E487</f>
        <v/>
      </c>
      <c r="AU487" s="155">
        <f>(I487-AF487)/I487</f>
        <v/>
      </c>
      <c r="AV487" s="155">
        <f>AG487/(AD487-AF487)</f>
        <v/>
      </c>
      <c r="AW487" s="155">
        <f>(G487-AM487)/G487</f>
        <v/>
      </c>
      <c r="AX487" s="254">
        <f>IF(AND(ISNUMBER(E487),ISNUMBER(W487)),E487-W487,"")</f>
        <v/>
      </c>
      <c r="AY487" s="254">
        <f>IF(AND(ISNUMBER(I487),ISNUMBER(AF487)),I487-AF487,"")</f>
        <v/>
      </c>
      <c r="AZ487" s="254">
        <f>IF(AND(ISNUMBER(AM487),ISNUMBER(G487)),G487-AM487,"")</f>
        <v/>
      </c>
      <c r="BA487" s="254">
        <f>IF(AND(ISNUMBER(AC487),ISNUMBER(AE487)),AC487-AE487,"")</f>
        <v/>
      </c>
      <c r="BB487" s="254">
        <f>IF(AND(ISNUMBER(AL487),ISNUMBER(AM487)),AL487-AM487,"")</f>
        <v/>
      </c>
      <c r="BG487" s="6">
        <f>IF((AD487-AF487)/(AJ487/60)&lt;=0,"",(AD487-AF487)/(AJ487/60))</f>
        <v/>
      </c>
      <c r="BH487" s="6">
        <f>IF(OR(AJ487=0,AP487=0,NOT(ISNUMBER(AD487)),NOT(ISNUMBER(AF487)),NOT(ISNUMBER(AJ487)),NOT(ISNUMBER(AP487))),"",
IFERROR(IF((AD487-AF487)/(AJ487/60)/(AP487/1000)&lt;=0,"",(AD487-AF487)/(AJ487/60)/(AP487/1000)),""))</f>
        <v/>
      </c>
    </row>
    <row r="488" ht="15.75" customHeight="1">
      <c r="B488" t="n">
        <v>244</v>
      </c>
      <c r="C488" s="12" t="inlineStr">
        <is>
          <t>switch to NO2 25 ppm</t>
        </is>
      </c>
      <c r="D488" s="11" t="n">
        <v>45748</v>
      </c>
      <c r="E488" s="231" t="n">
        <v>244</v>
      </c>
      <c r="F488" s="3" t="n">
        <v>483</v>
      </c>
      <c r="G488" s="205">
        <f>IF(OR(S488="",S488=0),"",S488*2)</f>
        <v/>
      </c>
      <c r="I488" s="15">
        <f>(N488*18-H488*18)/9</f>
        <v/>
      </c>
      <c r="J488" s="15">
        <f>5*1.39</f>
        <v/>
      </c>
      <c r="K488" s="15">
        <f>AD488</f>
        <v/>
      </c>
      <c r="M488" s="10">
        <f>IF(OR(E488="",G488="",E488=0,G488=0),"",E488/G488)</f>
        <v/>
      </c>
      <c r="N488" s="9">
        <f>IF(OR(E488="",I488="",E488=0,I488=0),"",E488/(I488*2))</f>
        <v/>
      </c>
      <c r="O488" s="8">
        <f>IF(OR(I488="",G488="",I488=0,G488=0),"",I488*2/G488)</f>
        <v/>
      </c>
      <c r="P488" s="7">
        <f>5*2.68</f>
        <v/>
      </c>
      <c r="S488" s="6">
        <f>O488*1.067</f>
        <v/>
      </c>
      <c r="T488" s="6">
        <f>P488*1.514</f>
        <v/>
      </c>
      <c r="U488" s="23">
        <f>P488*1.514+O488*1.067</f>
        <v/>
      </c>
      <c r="V488" s="6" t="n">
        <v>37.4</v>
      </c>
      <c r="W488" s="59">
        <f>1.112*1.067</f>
        <v/>
      </c>
      <c r="X488" s="59">
        <f>0.845*1.514</f>
        <v/>
      </c>
      <c r="Y488" s="23">
        <f>U488*1.067+V488*1.514</f>
        <v/>
      </c>
      <c r="AD488" s="5" t="n">
        <v>80</v>
      </c>
      <c r="AE488" s="7">
        <f>T488</f>
        <v/>
      </c>
      <c r="AF488" s="231">
        <f>5*3.88</f>
        <v/>
      </c>
      <c r="AG488" s="231">
        <f>5*4.15</f>
        <v/>
      </c>
      <c r="AH488" s="231" t="n">
        <v>0</v>
      </c>
      <c r="AL488" s="231" t="n">
        <v>101</v>
      </c>
      <c r="AM488" s="3">
        <f>180+60</f>
        <v/>
      </c>
      <c r="AN488" s="4">
        <f>AE488</f>
        <v/>
      </c>
      <c r="AO488" s="231">
        <f>5*2.84</f>
        <v/>
      </c>
      <c r="AP488" s="255">
        <f>360-AK488-AB488</f>
        <v/>
      </c>
      <c r="AR488" s="13">
        <f>AVERAGE(AO486:AO492)</f>
        <v/>
      </c>
      <c r="AT488" s="156">
        <f>(E488-W488)/E488</f>
        <v/>
      </c>
      <c r="AU488" s="155">
        <f>(I488-AF488)/I488</f>
        <v/>
      </c>
      <c r="AV488" s="155">
        <f>AG488/(AD488-AF488)</f>
        <v/>
      </c>
      <c r="AW488" s="155">
        <f>(G488-AM488)/G488</f>
        <v/>
      </c>
      <c r="AX488" s="254">
        <f>IF(AND(ISNUMBER(E488),ISNUMBER(W488)),E488-W488,"")</f>
        <v/>
      </c>
      <c r="AY488" s="254">
        <f>IF(AND(ISNUMBER(I488),ISNUMBER(AF488)),I488-AF488,"")</f>
        <v/>
      </c>
      <c r="AZ488" s="254">
        <f>IF(AND(ISNUMBER(AM488),ISNUMBER(G488)),G488-AM488,"")</f>
        <v/>
      </c>
      <c r="BA488" s="254">
        <f>IF(AND(ISNUMBER(AC488),ISNUMBER(AE488)),AC488-AE488,"")</f>
        <v/>
      </c>
      <c r="BB488" s="254">
        <f>IF(AND(ISNUMBER(AL488),ISNUMBER(AM488)),AL488-AM488,"")</f>
        <v/>
      </c>
      <c r="BG488" s="6">
        <f>IF((AD488-AF488)/(AJ488/60)&lt;=0,"",(AD488-AF488)/(AJ488/60))</f>
        <v/>
      </c>
      <c r="BH488" s="6">
        <f>IF(OR(AJ488=0,AP488=0,NOT(ISNUMBER(AD488)),NOT(ISNUMBER(AF488)),NOT(ISNUMBER(AJ488)),NOT(ISNUMBER(AP488))),"",
IFERROR(IF((AD488-AF488)/(AJ488/60)/(AP488/1000)&lt;=0,"",(AD488-AF488)/(AJ488/60)/(AP488/1000)),""))</f>
        <v/>
      </c>
    </row>
    <row r="489" ht="15.75" customHeight="1">
      <c r="B489" t="n">
        <v>245</v>
      </c>
      <c r="D489" s="11" t="n">
        <v>45749</v>
      </c>
      <c r="E489" s="231" t="n">
        <v>245</v>
      </c>
      <c r="F489" s="3" t="n">
        <v>484</v>
      </c>
      <c r="G489" s="205">
        <f>IF(OR(S489="",S489=0),"",S489*2)</f>
        <v/>
      </c>
      <c r="I489" s="15">
        <f>(N489*18-H489*18)/9</f>
        <v/>
      </c>
      <c r="J489" s="15">
        <f>5*1.24</f>
        <v/>
      </c>
      <c r="K489" s="15">
        <f>AD489</f>
        <v/>
      </c>
      <c r="M489" s="10">
        <f>IF(OR(E489="",G489="",E489=0,G489=0),"",E489/G489)</f>
        <v/>
      </c>
      <c r="N489" s="9">
        <f>IF(OR(E489="",I489="",E489=0,I489=0),"",E489/(I489*2))</f>
        <v/>
      </c>
      <c r="O489" s="8">
        <f>IF(OR(I489="",G489="",I489=0,G489=0),"",I489*2/G489)</f>
        <v/>
      </c>
      <c r="P489" s="7">
        <f>5*2.9</f>
        <v/>
      </c>
      <c r="S489" s="6">
        <f>O489*1.067</f>
        <v/>
      </c>
      <c r="T489" s="6">
        <f>P489*1.514</f>
        <v/>
      </c>
      <c r="U489" s="23">
        <f>P489*1.514+O489*1.067</f>
        <v/>
      </c>
      <c r="V489" s="6" t="n">
        <v>38.9</v>
      </c>
      <c r="W489" s="59">
        <f>1.112*1.067</f>
        <v/>
      </c>
      <c r="X489" s="59">
        <f>0.845*1.514</f>
        <v/>
      </c>
      <c r="Y489" s="23">
        <f>U489*1.067+V489*1.514</f>
        <v/>
      </c>
      <c r="AD489" s="5" t="n">
        <v>80</v>
      </c>
      <c r="AE489" s="7">
        <f>T489</f>
        <v/>
      </c>
      <c r="AF489" s="231">
        <f>5*4.91</f>
        <v/>
      </c>
      <c r="AG489" s="231">
        <f>5*3.975</f>
        <v/>
      </c>
      <c r="AH489" s="231" t="n">
        <v>0</v>
      </c>
      <c r="AL489" s="231" t="n">
        <v>113</v>
      </c>
      <c r="AM489" s="3">
        <f>180+60</f>
        <v/>
      </c>
      <c r="AN489" s="4">
        <f>AE489</f>
        <v/>
      </c>
      <c r="AO489" s="231">
        <f>5*2.875</f>
        <v/>
      </c>
      <c r="AP489" s="255">
        <f>360-AK489-AB489</f>
        <v/>
      </c>
      <c r="AR489" s="13">
        <f>AVERAGE(AO487:AO493)</f>
        <v/>
      </c>
      <c r="AT489" s="156">
        <f>(E489-W489)/E489</f>
        <v/>
      </c>
      <c r="AU489" s="155">
        <f>(I489-AF489)/I489</f>
        <v/>
      </c>
      <c r="AV489" s="155">
        <f>AG489/(AD489-AF489)</f>
        <v/>
      </c>
      <c r="AW489" s="155">
        <f>(G489-AM489)/G489</f>
        <v/>
      </c>
      <c r="AX489" s="254">
        <f>IF(AND(ISNUMBER(E489),ISNUMBER(W489)),E489-W489,"")</f>
        <v/>
      </c>
      <c r="AY489" s="254">
        <f>IF(AND(ISNUMBER(I489),ISNUMBER(AF489)),I489-AF489,"")</f>
        <v/>
      </c>
      <c r="AZ489" s="254">
        <f>IF(AND(ISNUMBER(AM489),ISNUMBER(G489)),G489-AM489,"")</f>
        <v/>
      </c>
      <c r="BA489" s="254">
        <f>IF(AND(ISNUMBER(AC489),ISNUMBER(AE489)),AC489-AE489,"")</f>
        <v/>
      </c>
      <c r="BB489" s="254">
        <f>IF(AND(ISNUMBER(AL489),ISNUMBER(AM489)),AL489-AM489,"")</f>
        <v/>
      </c>
      <c r="BG489" s="6">
        <f>IF((AD489-AF489)/(AJ489/60)&lt;=0,"",(AD489-AF489)/(AJ489/60))</f>
        <v/>
      </c>
      <c r="BH489" s="6">
        <f>IF(OR(AJ489=0,AP489=0,NOT(ISNUMBER(AD489)),NOT(ISNUMBER(AF489)),NOT(ISNUMBER(AJ489)),NOT(ISNUMBER(AP489))),"",
IFERROR(IF((AD489-AF489)/(AJ489/60)/(AP489/1000)&lt;=0,"",(AD489-AF489)/(AJ489/60)/(AP489/1000)),""))</f>
        <v/>
      </c>
    </row>
    <row r="490" ht="15.75" customHeight="1">
      <c r="B490" t="n">
        <v>246</v>
      </c>
      <c r="C490" s="12" t="inlineStr">
        <is>
          <t xml:space="preserve">get two airstones </t>
        </is>
      </c>
      <c r="D490" s="72" t="n">
        <v>45750</v>
      </c>
      <c r="E490" s="231" t="n">
        <v>246</v>
      </c>
      <c r="F490" s="81" t="n">
        <v>485</v>
      </c>
      <c r="G490" s="205">
        <f>IF(OR(S490="",S490=0),"",S490*2)</f>
        <v/>
      </c>
      <c r="I490" s="15">
        <f>(N490*18-H490*18)/9</f>
        <v/>
      </c>
      <c r="J490" s="15">
        <f>5*0.424</f>
        <v/>
      </c>
      <c r="K490" s="15">
        <f>AD490</f>
        <v/>
      </c>
      <c r="M490" s="10">
        <f>IF(OR(E490="",G490="",E490=0,G490=0),"",E490/G490)</f>
        <v/>
      </c>
      <c r="N490" s="9">
        <f>IF(OR(E490="",I490="",E490=0,I490=0),"",E490/(I490*2))</f>
        <v/>
      </c>
      <c r="O490" s="8">
        <f>IF(OR(I490="",G490="",I490=0,G490=0),"",I490*2/G490)</f>
        <v/>
      </c>
      <c r="P490" s="7">
        <f>5*1.78</f>
        <v/>
      </c>
      <c r="S490" s="6">
        <f>O490*1.067</f>
        <v/>
      </c>
      <c r="T490" s="6">
        <f>P490*1.514</f>
        <v/>
      </c>
      <c r="U490" s="23">
        <f>P490*1.514+O490*1.067</f>
        <v/>
      </c>
      <c r="V490" s="6" t="n">
        <v>35.4</v>
      </c>
      <c r="W490" s="59">
        <f>1.112*1.067</f>
        <v/>
      </c>
      <c r="X490" s="59">
        <f>0.845*1.514</f>
        <v/>
      </c>
      <c r="Y490" s="23">
        <f>U490*1.067+V490*1.514</f>
        <v/>
      </c>
      <c r="AD490" s="5" t="n">
        <v>80</v>
      </c>
      <c r="AE490" s="7">
        <f>T490</f>
        <v/>
      </c>
      <c r="AF490" s="231">
        <f>5*4.55</f>
        <v/>
      </c>
      <c r="AG490" s="231">
        <f>5*2.26</f>
        <v/>
      </c>
      <c r="AH490" s="231" t="n">
        <v>0</v>
      </c>
      <c r="AL490" s="231" t="n">
        <v>127</v>
      </c>
      <c r="AM490" s="3">
        <f>180+60</f>
        <v/>
      </c>
      <c r="AN490" s="4">
        <f>AE490</f>
        <v/>
      </c>
      <c r="AO490" s="231">
        <f>5*0.672</f>
        <v/>
      </c>
      <c r="AP490" s="255">
        <f>360-AK490-AB490</f>
        <v/>
      </c>
      <c r="AR490" s="13">
        <f>AVERAGE(AO488:AO494)</f>
        <v/>
      </c>
      <c r="AT490" s="156">
        <f>(E490-W490)/E490</f>
        <v/>
      </c>
      <c r="AU490" s="155">
        <f>(I490-AF490)/I490</f>
        <v/>
      </c>
      <c r="AV490" s="155">
        <f>AG490/(AD490-AF490)</f>
        <v/>
      </c>
      <c r="AW490" s="155">
        <f>(G490-AM490)/G490</f>
        <v/>
      </c>
      <c r="AX490" s="254">
        <f>IF(AND(ISNUMBER(E490),ISNUMBER(W490)),E490-W490,"")</f>
        <v/>
      </c>
      <c r="AY490" s="254">
        <f>IF(AND(ISNUMBER(I490),ISNUMBER(AF490)),I490-AF490,"")</f>
        <v/>
      </c>
      <c r="AZ490" s="254">
        <f>IF(AND(ISNUMBER(AM490),ISNUMBER(G490)),G490-AM490,"")</f>
        <v/>
      </c>
      <c r="BA490" s="254">
        <f>IF(AND(ISNUMBER(AC490),ISNUMBER(AE490)),AC490-AE490,"")</f>
        <v/>
      </c>
      <c r="BB490" s="254">
        <f>IF(AND(ISNUMBER(AL490),ISNUMBER(AM490)),AL490-AM490,"")</f>
        <v/>
      </c>
      <c r="BG490" s="6">
        <f>IF((AD490-AF490)/(AJ490/60)&lt;=0,"",(AD490-AF490)/(AJ490/60))</f>
        <v/>
      </c>
      <c r="BH490" s="6">
        <f>IF(OR(AJ490=0,AP490=0,NOT(ISNUMBER(AD490)),NOT(ISNUMBER(AF490)),NOT(ISNUMBER(AJ490)),NOT(ISNUMBER(AP490))),"",
IFERROR(IF((AD490-AF490)/(AJ490/60)/(AP490/1000)&lt;=0,"",(AD490-AF490)/(AJ490/60)/(AP490/1000)),""))</f>
        <v/>
      </c>
    </row>
    <row r="491" ht="15.75" customHeight="1">
      <c r="B491" t="n">
        <v>247</v>
      </c>
      <c r="D491" s="11" t="n">
        <v>45751</v>
      </c>
      <c r="E491" s="231" t="n">
        <v>247</v>
      </c>
      <c r="F491" s="3" t="n">
        <v>486</v>
      </c>
      <c r="G491" s="205">
        <f>IF(OR(S491="",S491=0),"",S491*2)</f>
        <v/>
      </c>
      <c r="I491" s="83" t="n">
        <v>13.56</v>
      </c>
      <c r="K491" s="15">
        <f>AD491</f>
        <v/>
      </c>
      <c r="M491" s="10">
        <f>IF(OR(E491="",G491="",E491=0,G491=0),"",E491/G491)</f>
        <v/>
      </c>
      <c r="N491" s="9">
        <f>IF(OR(E491="",I491="",E491=0,I491=0),"",E491/(I491*2))</f>
        <v/>
      </c>
      <c r="O491" s="8">
        <f>IF(OR(I491="",G491="",I491=0,G491=0),"",I491*2/G491)</f>
        <v/>
      </c>
      <c r="AD491" s="5" t="n">
        <v>80</v>
      </c>
      <c r="AL491" s="231" t="n">
        <v>123</v>
      </c>
      <c r="AM491" s="3">
        <f>180+60</f>
        <v/>
      </c>
      <c r="AO491" s="231">
        <f>2*1.32</f>
        <v/>
      </c>
      <c r="AP491" s="255">
        <f>360-AK491-AB491</f>
        <v/>
      </c>
      <c r="AR491" s="13">
        <f>AVERAGE(AO489:AO495)</f>
        <v/>
      </c>
      <c r="AT491" s="156">
        <f>(E491-W491)/E491</f>
        <v/>
      </c>
      <c r="AU491" s="155">
        <f>(I491-AF491)/I491</f>
        <v/>
      </c>
      <c r="AV491" s="155">
        <f>AG491/(AD491-AF491)</f>
        <v/>
      </c>
      <c r="AW491" s="155">
        <f>(G491-AM491)/G491</f>
        <v/>
      </c>
      <c r="AX491" s="254">
        <f>IF(AND(ISNUMBER(E491),ISNUMBER(W491)),E491-W491,"")</f>
        <v/>
      </c>
      <c r="AY491" s="254">
        <f>IF(AND(ISNUMBER(I491),ISNUMBER(AF491)),I491-AF491,"")</f>
        <v/>
      </c>
      <c r="AZ491" s="254">
        <f>IF(AND(ISNUMBER(AM491),ISNUMBER(G491)),G491-AM491,"")</f>
        <v/>
      </c>
      <c r="BA491" s="254">
        <f>IF(AND(ISNUMBER(AC491),ISNUMBER(AE491)),AC491-AE491,"")</f>
        <v/>
      </c>
      <c r="BB491" s="254">
        <f>IF(AND(ISNUMBER(AL491),ISNUMBER(AM491)),AL491-AM491,"")</f>
        <v/>
      </c>
      <c r="BG491" s="6">
        <f>IF((AD491-AF491)/(AJ491/60)&lt;=0,"",(AD491-AF491)/(AJ491/60))</f>
        <v/>
      </c>
      <c r="BH491" s="6">
        <f>IF(OR(AJ491=0,AP491=0,NOT(ISNUMBER(AD491)),NOT(ISNUMBER(AF491)),NOT(ISNUMBER(AJ491)),NOT(ISNUMBER(AP491))),"",
IFERROR(IF((AD491-AF491)/(AJ491/60)/(AP491/1000)&lt;=0,"",(AD491-AF491)/(AJ491/60)/(AP491/1000)),""))</f>
        <v/>
      </c>
    </row>
    <row r="492" ht="15.75" customHeight="1">
      <c r="A492" s="260" t="inlineStr">
        <is>
          <t>B64</t>
        </is>
      </c>
      <c r="B492" s="260" t="n">
        <v>248</v>
      </c>
      <c r="D492" s="11" t="n">
        <v>45752</v>
      </c>
      <c r="E492" s="231" t="n">
        <v>248</v>
      </c>
      <c r="F492" s="3" t="n">
        <v>487</v>
      </c>
      <c r="G492" s="205">
        <f>IF(OR(S492="",S492=0),"",S492*2)</f>
        <v/>
      </c>
      <c r="K492" s="15">
        <f>AD492</f>
        <v/>
      </c>
      <c r="M492" s="10">
        <f>IF(OR(E492="",G492="",E492=0,G492=0),"",E492/G492)</f>
        <v/>
      </c>
      <c r="N492" s="9">
        <f>IF(OR(E492="",I492="",E492=0,I492=0),"",E492/(I492*2))</f>
        <v/>
      </c>
      <c r="O492" s="8">
        <f>IF(OR(I492="",G492="",I492=0,G492=0),"",I492*2/G492)</f>
        <v/>
      </c>
      <c r="AD492" s="5" t="n">
        <v>80</v>
      </c>
      <c r="AL492" s="231" t="n">
        <v>135</v>
      </c>
      <c r="AM492" s="3">
        <f>180+60</f>
        <v/>
      </c>
      <c r="AP492" s="255">
        <f>360-AK492-AB492</f>
        <v/>
      </c>
      <c r="AR492" s="13">
        <f>AVERAGE(AO490:AO496)</f>
        <v/>
      </c>
      <c r="AT492" s="156">
        <f>(E492-W492)/E492</f>
        <v/>
      </c>
      <c r="AU492" s="155">
        <f>(I492-AF492)/I492</f>
        <v/>
      </c>
      <c r="AV492" s="155">
        <f>AG492/(AD492-AF492)</f>
        <v/>
      </c>
      <c r="AW492" s="155">
        <f>(G492-AM492)/G492</f>
        <v/>
      </c>
      <c r="AX492" s="254">
        <f>IF(AND(ISNUMBER(E492),ISNUMBER(W492)),E492-W492,"")</f>
        <v/>
      </c>
      <c r="AY492" s="254">
        <f>IF(AND(ISNUMBER(I492),ISNUMBER(AF492)),I492-AF492,"")</f>
        <v/>
      </c>
      <c r="AZ492" s="254">
        <f>IF(AND(ISNUMBER(AM492),ISNUMBER(G492)),G492-AM492,"")</f>
        <v/>
      </c>
      <c r="BA492" s="254">
        <f>IF(AND(ISNUMBER(AC492),ISNUMBER(AE492)),AC492-AE492,"")</f>
        <v/>
      </c>
      <c r="BB492" s="254">
        <f>IF(AND(ISNUMBER(AL492),ISNUMBER(AM492)),AL492-AM492,"")</f>
        <v/>
      </c>
      <c r="BG492" s="6">
        <f>IF((AD492-AF492)/(AJ492/60)&lt;=0,"",(AD492-AF492)/(AJ492/60))</f>
        <v/>
      </c>
      <c r="BH492" s="6">
        <f>IF(OR(AJ492=0,AP492=0,NOT(ISNUMBER(AD492)),NOT(ISNUMBER(AF492)),NOT(ISNUMBER(AJ492)),NOT(ISNUMBER(AP492))),"",
IFERROR(IF((AD492-AF492)/(AJ492/60)/(AP492/1000)&lt;=0,"",(AD492-AF492)/(AJ492/60)/(AP492/1000)),""))</f>
        <v/>
      </c>
    </row>
    <row r="493" ht="15.75" customHeight="1">
      <c r="B493" t="n">
        <v>249</v>
      </c>
      <c r="D493" s="11" t="n">
        <v>45753</v>
      </c>
      <c r="E493" s="231" t="n">
        <v>249</v>
      </c>
      <c r="F493" s="3" t="n">
        <v>488</v>
      </c>
      <c r="G493" s="205">
        <f>IF(OR(S493="",S493=0),"",S493*2)</f>
        <v/>
      </c>
      <c r="K493" s="15">
        <f>AD493</f>
        <v/>
      </c>
      <c r="M493" s="10">
        <f>IF(OR(E493="",G493="",E493=0,G493=0),"",E493/G493)</f>
        <v/>
      </c>
      <c r="N493" s="9">
        <f>IF(OR(E493="",I493="",E493=0,I493=0),"",E493/(I493*2))</f>
        <v/>
      </c>
      <c r="O493" s="8">
        <f>IF(OR(I493="",G493="",I493=0,G493=0),"",I493*2/G493)</f>
        <v/>
      </c>
      <c r="AD493" s="5" t="n">
        <v>80</v>
      </c>
      <c r="AL493" s="231" t="n">
        <v>133</v>
      </c>
      <c r="AM493" s="3">
        <f>180+60</f>
        <v/>
      </c>
      <c r="AP493" s="255">
        <f>360-AK493-AB493</f>
        <v/>
      </c>
      <c r="AR493" s="13">
        <f>AVERAGE(AO491:AO497)</f>
        <v/>
      </c>
      <c r="AT493" s="156">
        <f>(E493-W493)/E493</f>
        <v/>
      </c>
      <c r="AU493" s="155">
        <f>(I493-AF493)/I493</f>
        <v/>
      </c>
      <c r="AV493" s="155">
        <f>AG493/(AD493-AF493)</f>
        <v/>
      </c>
      <c r="AW493" s="155">
        <f>(G493-AM493)/G493</f>
        <v/>
      </c>
      <c r="AX493" s="254">
        <f>IF(AND(ISNUMBER(E493),ISNUMBER(W493)),E493-W493,"")</f>
        <v/>
      </c>
      <c r="AY493" s="254">
        <f>IF(AND(ISNUMBER(I493),ISNUMBER(AF493)),I493-AF493,"")</f>
        <v/>
      </c>
      <c r="AZ493" s="254">
        <f>IF(AND(ISNUMBER(AM493),ISNUMBER(G493)),G493-AM493,"")</f>
        <v/>
      </c>
      <c r="BA493" s="254">
        <f>IF(AND(ISNUMBER(AC493),ISNUMBER(AE493)),AC493-AE493,"")</f>
        <v/>
      </c>
      <c r="BB493" s="254">
        <f>IF(AND(ISNUMBER(AL493),ISNUMBER(AM493)),AL493-AM493,"")</f>
        <v/>
      </c>
      <c r="BG493" s="6">
        <f>IF((AD493-AF493)/(AJ493/60)&lt;=0,"",(AD493-AF493)/(AJ493/60))</f>
        <v/>
      </c>
      <c r="BH493" s="6">
        <f>IF(OR(AJ493=0,AP493=0,NOT(ISNUMBER(AD493)),NOT(ISNUMBER(AF493)),NOT(ISNUMBER(AJ493)),NOT(ISNUMBER(AP493))),"",
IFERROR(IF((AD493-AF493)/(AJ493/60)/(AP493/1000)&lt;=0,"",(AD493-AF493)/(AJ493/60)/(AP493/1000)),""))</f>
        <v/>
      </c>
    </row>
    <row r="494" ht="15.75" customHeight="1">
      <c r="B494" t="n">
        <v>250</v>
      </c>
      <c r="C494" s="12" t="inlineStr">
        <is>
          <t>switch to NO2 28 ppm</t>
        </is>
      </c>
      <c r="D494" s="11" t="n">
        <v>45754</v>
      </c>
      <c r="E494" s="231" t="n">
        <v>250</v>
      </c>
      <c r="F494" s="3" t="n">
        <v>489</v>
      </c>
      <c r="G494" s="205">
        <f>IF(OR(S494="",S494=0),"",S494*2)</f>
        <v/>
      </c>
      <c r="I494" s="83">
        <f>12.396*73/79</f>
        <v/>
      </c>
      <c r="K494" s="15">
        <f>AD494</f>
        <v/>
      </c>
      <c r="M494" s="10">
        <f>IF(OR(E494="",G494="",E494=0,G494=0),"",E494/G494)</f>
        <v/>
      </c>
      <c r="N494" s="9">
        <f>IF(OR(E494="",I494="",E494=0,I494=0),"",E494/(I494*2))</f>
        <v/>
      </c>
      <c r="O494" s="8">
        <f>IF(OR(I494="",G494="",I494=0,G494=0),"",I494*2/G494)</f>
        <v/>
      </c>
      <c r="AD494" s="5" t="n">
        <v>80</v>
      </c>
      <c r="AL494" s="231" t="n">
        <v>137</v>
      </c>
      <c r="AM494" s="3">
        <f>180+60</f>
        <v/>
      </c>
      <c r="AO494" s="231">
        <f>2*0.924</f>
        <v/>
      </c>
      <c r="AP494" s="255">
        <f>360-AK494-AB494</f>
        <v/>
      </c>
      <c r="AR494" s="13">
        <f>AVERAGE(AO492:AO498)</f>
        <v/>
      </c>
      <c r="AT494" s="156">
        <f>(E494-W494)/E494</f>
        <v/>
      </c>
      <c r="AU494" s="155">
        <f>(I494-AF494)/I494</f>
        <v/>
      </c>
      <c r="AV494" s="155">
        <f>AG494/(AD494-AF494)</f>
        <v/>
      </c>
      <c r="AW494" s="155">
        <f>(G494-AM494)/G494</f>
        <v/>
      </c>
      <c r="AX494" s="254">
        <f>IF(AND(ISNUMBER(E494),ISNUMBER(W494)),E494-W494,"")</f>
        <v/>
      </c>
      <c r="AY494" s="254">
        <f>IF(AND(ISNUMBER(I494),ISNUMBER(AF494)),I494-AF494,"")</f>
        <v/>
      </c>
      <c r="AZ494" s="254">
        <f>IF(AND(ISNUMBER(AM494),ISNUMBER(G494)),G494-AM494,"")</f>
        <v/>
      </c>
      <c r="BA494" s="254">
        <f>IF(AND(ISNUMBER(AC494),ISNUMBER(AE494)),AC494-AE494,"")</f>
        <v/>
      </c>
      <c r="BB494" s="254">
        <f>IF(AND(ISNUMBER(AL494),ISNUMBER(AM494)),AL494-AM494,"")</f>
        <v/>
      </c>
      <c r="BG494" s="6">
        <f>IF((AD494-AF494)/(AJ494/60)&lt;=0,"",(AD494-AF494)/(AJ494/60))</f>
        <v/>
      </c>
      <c r="BH494" s="6">
        <f>IF(OR(AJ494=0,AP494=0,NOT(ISNUMBER(AD494)),NOT(ISNUMBER(AF494)),NOT(ISNUMBER(AJ494)),NOT(ISNUMBER(AP494))),"",
IFERROR(IF((AD494-AF494)/(AJ494/60)/(AP494/1000)&lt;=0,"",(AD494-AF494)/(AJ494/60)/(AP494/1000)),""))</f>
        <v/>
      </c>
    </row>
    <row r="495" ht="15.75" customHeight="1">
      <c r="B495" t="n">
        <v>251</v>
      </c>
      <c r="C495" s="12" t="inlineStr">
        <is>
          <t>measure aeration , add in 79</t>
        </is>
      </c>
      <c r="D495" s="82" t="n">
        <v>45755</v>
      </c>
      <c r="E495" s="231" t="n">
        <v>251</v>
      </c>
      <c r="F495" s="3" t="n">
        <v>490</v>
      </c>
      <c r="G495" s="205">
        <f>IF(OR(S495="",S495=0),"",S495*2)</f>
        <v/>
      </c>
      <c r="I495" s="15">
        <f>(N495*18-H495*18)/9</f>
        <v/>
      </c>
      <c r="J495" s="15">
        <f>2*0.951</f>
        <v/>
      </c>
      <c r="K495" s="15">
        <f>AD495</f>
        <v/>
      </c>
      <c r="M495" s="10">
        <f>IF(OR(E495="",G495="",E495=0,G495=0),"",E495/G495)</f>
        <v/>
      </c>
      <c r="N495" s="9">
        <f>IF(OR(E495="",I495="",E495=0,I495=0),"",E495/(I495*2))</f>
        <v/>
      </c>
      <c r="O495" s="8">
        <f>IF(OR(I495="",G495="",I495=0,G495=0),"",I495*2/G495)</f>
        <v/>
      </c>
      <c r="P495" s="7">
        <f>5*1.62</f>
        <v/>
      </c>
      <c r="S495" s="6">
        <f>O495*1.067</f>
        <v/>
      </c>
      <c r="T495" s="6">
        <f>P495*1.514</f>
        <v/>
      </c>
      <c r="U495" s="23">
        <f>P495*1.514+O495*1.067</f>
        <v/>
      </c>
      <c r="V495" s="6">
        <f>35.3</f>
        <v/>
      </c>
      <c r="W495" s="59">
        <f>1.112*1.067</f>
        <v/>
      </c>
      <c r="X495" s="59">
        <f>0.845*1.514</f>
        <v/>
      </c>
      <c r="Y495" s="23">
        <f>U495*1.067+V495*1.514</f>
        <v/>
      </c>
      <c r="Z495" s="6" t="n">
        <v>3.58</v>
      </c>
      <c r="AA495" s="6" t="n">
        <v>0.2</v>
      </c>
      <c r="AB495" s="6" t="n">
        <v>-12</v>
      </c>
      <c r="AC495" s="6" t="n">
        <v>-222</v>
      </c>
      <c r="AD495" s="5" t="n">
        <v>80</v>
      </c>
      <c r="AE495" s="7">
        <f>T495</f>
        <v/>
      </c>
      <c r="AF495" s="231">
        <f>5*5.45</f>
        <v/>
      </c>
      <c r="AG495" s="231">
        <f>5*1.1</f>
        <v/>
      </c>
      <c r="AH495" s="231" t="n">
        <v>0</v>
      </c>
      <c r="AK495" s="231" t="n">
        <v>-224</v>
      </c>
      <c r="AL495" s="231" t="n">
        <v>189</v>
      </c>
      <c r="AM495" s="3">
        <f>180+60</f>
        <v/>
      </c>
      <c r="AN495" s="4">
        <f>AE495</f>
        <v/>
      </c>
      <c r="AO495" s="231">
        <f>2*0.553</f>
        <v/>
      </c>
      <c r="AP495" s="255">
        <f>360-AK495-AB495</f>
        <v/>
      </c>
      <c r="AR495" s="13">
        <f>AVERAGE(AO493:AO499)</f>
        <v/>
      </c>
      <c r="AT495" s="156">
        <f>(E495-W495)/E495</f>
        <v/>
      </c>
      <c r="AU495" s="155">
        <f>(I495-AF495)/I495</f>
        <v/>
      </c>
      <c r="AV495" s="155">
        <f>AG495/(AD495-AF495)</f>
        <v/>
      </c>
      <c r="AW495" s="155">
        <f>(G495-AM495)/G495</f>
        <v/>
      </c>
      <c r="AX495" s="254">
        <f>IF(AND(ISNUMBER(E495),ISNUMBER(W495)),E495-W495,"")</f>
        <v/>
      </c>
      <c r="AY495" s="254">
        <f>IF(AND(ISNUMBER(I495),ISNUMBER(AF495)),I495-AF495,"")</f>
        <v/>
      </c>
      <c r="AZ495" s="254">
        <f>IF(AND(ISNUMBER(AM495),ISNUMBER(G495)),G495-AM495,"")</f>
        <v/>
      </c>
      <c r="BA495" s="254">
        <f>IF(AND(ISNUMBER(AC495),ISNUMBER(AE495)),AC495-AE495,"")</f>
        <v/>
      </c>
      <c r="BB495" s="254">
        <f>IF(AND(ISNUMBER(AL495),ISNUMBER(AM495)),AL495-AM495,"")</f>
        <v/>
      </c>
      <c r="BG495" s="6">
        <f>IF((AD495-AF495)/(AJ495/60)&lt;=0,"",(AD495-AF495)/(AJ495/60))</f>
        <v/>
      </c>
      <c r="BH495" s="6">
        <f>IF(OR(AJ495=0,AP495=0,NOT(ISNUMBER(AD495)),NOT(ISNUMBER(AF495)),NOT(ISNUMBER(AJ495)),NOT(ISNUMBER(AP495))),"",
IFERROR(IF((AD495-AF495)/(AJ495/60)/(AP495/1000)&lt;=0,"",(AD495-AF495)/(AJ495/60)/(AP495/1000)),""))</f>
        <v/>
      </c>
    </row>
    <row r="496" ht="15.75" customHeight="1">
      <c r="B496" t="n">
        <v>252</v>
      </c>
      <c r="D496" s="11" t="n">
        <v>45756</v>
      </c>
      <c r="E496" s="231" t="n">
        <v>252</v>
      </c>
      <c r="F496" s="3" t="n">
        <v>491</v>
      </c>
      <c r="G496" s="205">
        <f>IF(OR(S496="",S496=0),"",S496*2)</f>
        <v/>
      </c>
      <c r="K496" s="15">
        <f>AD496</f>
        <v/>
      </c>
      <c r="M496" s="10">
        <f>IF(OR(E496="",G496="",E496=0,G496=0),"",E496/G496)</f>
        <v/>
      </c>
      <c r="N496" s="9">
        <f>IF(OR(E496="",I496="",E496=0,I496=0),"",E496/(I496*2))</f>
        <v/>
      </c>
      <c r="O496" s="8">
        <f>IF(OR(I496="",G496="",I496=0,G496=0),"",I496*2/G496)</f>
        <v/>
      </c>
      <c r="AD496" s="5" t="n">
        <v>80</v>
      </c>
      <c r="AL496" s="231" t="n">
        <v>203</v>
      </c>
      <c r="AM496" s="3">
        <f>180+60</f>
        <v/>
      </c>
      <c r="AP496" s="255">
        <f>360-AK496-AB496</f>
        <v/>
      </c>
      <c r="AR496" s="13">
        <f>AVERAGE(AO494:AO500)</f>
        <v/>
      </c>
      <c r="AT496" s="156">
        <f>(E496-W496)/E496</f>
        <v/>
      </c>
      <c r="AU496" s="155">
        <f>(I496-AF496)/I496</f>
        <v/>
      </c>
      <c r="AV496" s="155">
        <f>AG496/(AD496-AF496)</f>
        <v/>
      </c>
      <c r="AW496" s="155">
        <f>(G496-AM496)/G496</f>
        <v/>
      </c>
      <c r="AX496" s="254">
        <f>IF(AND(ISNUMBER(E496),ISNUMBER(W496)),E496-W496,"")</f>
        <v/>
      </c>
      <c r="AY496" s="254">
        <f>IF(AND(ISNUMBER(I496),ISNUMBER(AF496)),I496-AF496,"")</f>
        <v/>
      </c>
      <c r="AZ496" s="254">
        <f>IF(AND(ISNUMBER(AM496),ISNUMBER(G496)),G496-AM496,"")</f>
        <v/>
      </c>
      <c r="BA496" s="254">
        <f>IF(AND(ISNUMBER(AC496),ISNUMBER(AE496)),AC496-AE496,"")</f>
        <v/>
      </c>
      <c r="BB496" s="254">
        <f>IF(AND(ISNUMBER(AL496),ISNUMBER(AM496)),AL496-AM496,"")</f>
        <v/>
      </c>
      <c r="BG496" s="6">
        <f>IF((AD496-AF496)/(AJ496/60)&lt;=0,"",(AD496-AF496)/(AJ496/60))</f>
        <v/>
      </c>
      <c r="BH496" s="6">
        <f>IF(OR(AJ496=0,AP496=0,NOT(ISNUMBER(AD496)),NOT(ISNUMBER(AF496)),NOT(ISNUMBER(AJ496)),NOT(ISNUMBER(AP496))),"",
IFERROR(IF((AD496-AF496)/(AJ496/60)/(AP496/1000)&lt;=0,"",(AD496-AF496)/(AJ496/60)/(AP496/1000)),""))</f>
        <v/>
      </c>
    </row>
    <row r="497" ht="15.75" customHeight="1">
      <c r="B497" t="n">
        <v>253</v>
      </c>
      <c r="D497" s="72" t="n">
        <v>45757</v>
      </c>
      <c r="E497" s="231" t="n">
        <v>253</v>
      </c>
      <c r="F497" s="81" t="n">
        <v>492</v>
      </c>
      <c r="G497" s="205">
        <f>IF(OR(S497="",S497=0),"",S497*2)</f>
        <v/>
      </c>
      <c r="K497" s="15">
        <f>AD497</f>
        <v/>
      </c>
      <c r="M497" s="10">
        <f>IF(OR(E497="",G497="",E497=0,G497=0),"",E497/G497)</f>
        <v/>
      </c>
      <c r="N497" s="9">
        <f>IF(OR(E497="",I497="",E497=0,I497=0),"",E497/(I497*2))</f>
        <v/>
      </c>
      <c r="O497" s="8">
        <f>IF(OR(I497="",G497="",I497=0,G497=0),"",I497*2/G497)</f>
        <v/>
      </c>
      <c r="AD497" s="5" t="n">
        <v>80</v>
      </c>
      <c r="AL497" s="231" t="n">
        <v>137</v>
      </c>
      <c r="AM497" s="3">
        <f>180+60</f>
        <v/>
      </c>
      <c r="AP497" s="255">
        <f>360-AK497-AB497</f>
        <v/>
      </c>
      <c r="AQ497" s="2" t="n">
        <v>2100.000000000045</v>
      </c>
      <c r="AR497" s="13">
        <f>AVERAGE(AO495:AO501)</f>
        <v/>
      </c>
      <c r="AT497" s="156">
        <f>(E497-W497)/E497</f>
        <v/>
      </c>
      <c r="AU497" s="155">
        <f>(I497-AF497)/I497</f>
        <v/>
      </c>
      <c r="AV497" s="155">
        <f>AG497/(AD497-AF497)</f>
        <v/>
      </c>
      <c r="AW497" s="155">
        <f>(G497-AM497)/G497</f>
        <v/>
      </c>
      <c r="AX497" s="254">
        <f>IF(AND(ISNUMBER(E497),ISNUMBER(W497)),E497-W497,"")</f>
        <v/>
      </c>
      <c r="AY497" s="254">
        <f>IF(AND(ISNUMBER(I497),ISNUMBER(AF497)),I497-AF497,"")</f>
        <v/>
      </c>
      <c r="AZ497" s="254">
        <f>IF(AND(ISNUMBER(AM497),ISNUMBER(G497)),G497-AM497,"")</f>
        <v/>
      </c>
      <c r="BA497" s="254">
        <f>IF(AND(ISNUMBER(AC497),ISNUMBER(AE497)),AC497-AE497,"")</f>
        <v/>
      </c>
      <c r="BB497" s="254">
        <f>IF(AND(ISNUMBER(AL497),ISNUMBER(AM497)),AL497-AM497,"")</f>
        <v/>
      </c>
      <c r="BG497" s="6">
        <f>IF((AD497-AF497)/(AJ497/60)&lt;=0,"",(AD497-AF497)/(AJ497/60))</f>
        <v/>
      </c>
      <c r="BH497" s="6">
        <f>IF(OR(AJ497=0,AP497=0,NOT(ISNUMBER(AD497)),NOT(ISNUMBER(AF497)),NOT(ISNUMBER(AJ497)),NOT(ISNUMBER(AP497))),"",
IFERROR(IF((AD497-AF497)/(AJ497/60)/(AP497/1000)&lt;=0,"",(AD497-AF497)/(AJ497/60)/(AP497/1000)),""))</f>
        <v/>
      </c>
    </row>
    <row r="498" ht="15.75" customHeight="1">
      <c r="B498" t="n">
        <v>254</v>
      </c>
      <c r="D498" s="11" t="n">
        <v>45758</v>
      </c>
      <c r="E498" s="231" t="n">
        <v>254</v>
      </c>
      <c r="F498" s="3" t="n">
        <v>493</v>
      </c>
      <c r="G498" s="205">
        <f>IF(OR(S498="",S498=0),"",S498*2)</f>
        <v/>
      </c>
      <c r="K498" s="15">
        <f>AD498</f>
        <v/>
      </c>
      <c r="M498" s="10">
        <f>IF(OR(E498="",G498="",E498=0,G498=0),"",E498/G498)</f>
        <v/>
      </c>
      <c r="N498" s="9">
        <f>IF(OR(E498="",I498="",E498=0,I498=0),"",E498/(I498*2))</f>
        <v/>
      </c>
      <c r="O498" s="8">
        <f>IF(OR(I498="",G498="",I498=0,G498=0),"",I498*2/G498)</f>
        <v/>
      </c>
      <c r="AD498" s="5" t="n">
        <v>80</v>
      </c>
      <c r="AL498" s="231" t="n">
        <v>201</v>
      </c>
      <c r="AM498" s="3">
        <f>180+60</f>
        <v/>
      </c>
      <c r="AP498" s="255">
        <f>360-AK498-AB498</f>
        <v/>
      </c>
      <c r="AR498" s="13">
        <f>AVERAGE(AO496:AO502)</f>
        <v/>
      </c>
      <c r="AT498" s="156">
        <f>(E498-W498)/E498</f>
        <v/>
      </c>
      <c r="AU498" s="155">
        <f>(I498-AF498)/I498</f>
        <v/>
      </c>
      <c r="AV498" s="155">
        <f>AG498/(AD498-AF498)</f>
        <v/>
      </c>
      <c r="AW498" s="155">
        <f>(G498-AM498)/G498</f>
        <v/>
      </c>
      <c r="AX498" s="254">
        <f>IF(AND(ISNUMBER(E498),ISNUMBER(W498)),E498-W498,"")</f>
        <v/>
      </c>
      <c r="AY498" s="254">
        <f>IF(AND(ISNUMBER(I498),ISNUMBER(AF498)),I498-AF498,"")</f>
        <v/>
      </c>
      <c r="AZ498" s="254">
        <f>IF(AND(ISNUMBER(AM498),ISNUMBER(G498)),G498-AM498,"")</f>
        <v/>
      </c>
      <c r="BA498" s="254">
        <f>IF(AND(ISNUMBER(AC498),ISNUMBER(AE498)),AC498-AE498,"")</f>
        <v/>
      </c>
      <c r="BB498" s="254">
        <f>IF(AND(ISNUMBER(AL498),ISNUMBER(AM498)),AL498-AM498,"")</f>
        <v/>
      </c>
      <c r="BG498" s="6">
        <f>IF((AD498-AF498)/(AJ498/60)&lt;=0,"",(AD498-AF498)/(AJ498/60))</f>
        <v/>
      </c>
      <c r="BH498" s="6">
        <f>IF(OR(AJ498=0,AP498=0,NOT(ISNUMBER(AD498)),NOT(ISNUMBER(AF498)),NOT(ISNUMBER(AJ498)),NOT(ISNUMBER(AP498))),"",
IFERROR(IF((AD498-AF498)/(AJ498/60)/(AP498/1000)&lt;=0,"",(AD498-AF498)/(AJ498/60)/(AP498/1000)),""))</f>
        <v/>
      </c>
    </row>
    <row r="499" ht="15.75" customHeight="1">
      <c r="A499" s="260" t="inlineStr">
        <is>
          <t>B65</t>
        </is>
      </c>
      <c r="B499" s="260" t="n">
        <v>255</v>
      </c>
      <c r="D499" s="11" t="n">
        <v>45759</v>
      </c>
      <c r="E499" s="231" t="n">
        <v>255</v>
      </c>
      <c r="F499" s="3" t="n">
        <v>494</v>
      </c>
      <c r="G499" s="205">
        <f>IF(OR(S499="",S499=0),"",S499*2)</f>
        <v/>
      </c>
      <c r="K499" s="15">
        <f>AD499</f>
        <v/>
      </c>
      <c r="M499" s="10">
        <f>IF(OR(E499="",G499="",E499=0,G499=0),"",E499/G499)</f>
        <v/>
      </c>
      <c r="N499" s="9">
        <f>IF(OR(E499="",I499="",E499=0,I499=0),"",E499/(I499*2))</f>
        <v/>
      </c>
      <c r="O499" s="8">
        <f>IF(OR(I499="",G499="",I499=0,G499=0),"",I499*2/G499)</f>
        <v/>
      </c>
      <c r="AD499" s="5" t="n">
        <v>80</v>
      </c>
      <c r="AL499" s="231" t="n">
        <v>209</v>
      </c>
      <c r="AM499" s="3">
        <f>180+60</f>
        <v/>
      </c>
      <c r="AP499" s="255">
        <f>360-AK499-AB499</f>
        <v/>
      </c>
      <c r="AR499" s="13">
        <f>AVERAGE(AO497:AO503)</f>
        <v/>
      </c>
      <c r="AT499" s="156">
        <f>(E499-W499)/E499</f>
        <v/>
      </c>
      <c r="AU499" s="155">
        <f>(I499-AF499)/I499</f>
        <v/>
      </c>
      <c r="AV499" s="155">
        <f>AG499/(AD499-AF499)</f>
        <v/>
      </c>
      <c r="AW499" s="155">
        <f>(G499-AM499)/G499</f>
        <v/>
      </c>
      <c r="AX499" s="254">
        <f>IF(AND(ISNUMBER(E499),ISNUMBER(W499)),E499-W499,"")</f>
        <v/>
      </c>
      <c r="AY499" s="254">
        <f>IF(AND(ISNUMBER(I499),ISNUMBER(AF499)),I499-AF499,"")</f>
        <v/>
      </c>
      <c r="AZ499" s="254">
        <f>IF(AND(ISNUMBER(AM499),ISNUMBER(G499)),G499-AM499,"")</f>
        <v/>
      </c>
      <c r="BA499" s="254">
        <f>IF(AND(ISNUMBER(AC499),ISNUMBER(AE499)),AC499-AE499,"")</f>
        <v/>
      </c>
      <c r="BB499" s="254">
        <f>IF(AND(ISNUMBER(AL499),ISNUMBER(AM499)),AL499-AM499,"")</f>
        <v/>
      </c>
      <c r="BG499" s="6">
        <f>IF((AD499-AF499)/(AJ499/60)&lt;=0,"",(AD499-AF499)/(AJ499/60))</f>
        <v/>
      </c>
      <c r="BH499" s="6">
        <f>IF(OR(AJ499=0,AP499=0,NOT(ISNUMBER(AD499)),NOT(ISNUMBER(AF499)),NOT(ISNUMBER(AJ499)),NOT(ISNUMBER(AP499))),"",
IFERROR(IF((AD499-AF499)/(AJ499/60)/(AP499/1000)&lt;=0,"",(AD499-AF499)/(AJ499/60)/(AP499/1000)),""))</f>
        <v/>
      </c>
    </row>
    <row r="500" ht="15.75" customHeight="1">
      <c r="B500" t="n">
        <v>256</v>
      </c>
      <c r="D500" s="11" t="n">
        <v>45760</v>
      </c>
      <c r="E500" s="231" t="n">
        <v>256</v>
      </c>
      <c r="F500" s="3" t="n">
        <v>495</v>
      </c>
      <c r="G500" s="205">
        <f>IF(OR(S500="",S500=0),"",S500*2)</f>
        <v/>
      </c>
      <c r="K500" s="15">
        <f>AD500</f>
        <v/>
      </c>
      <c r="M500" s="10">
        <f>IF(OR(E500="",G500="",E500=0,G500=0),"",E500/G500)</f>
        <v/>
      </c>
      <c r="N500" s="9">
        <f>IF(OR(E500="",I500="",E500=0,I500=0),"",E500/(I500*2))</f>
        <v/>
      </c>
      <c r="O500" s="8">
        <f>IF(OR(I500="",G500="",I500=0,G500=0),"",I500*2/G500)</f>
        <v/>
      </c>
      <c r="AD500" s="5" t="n">
        <v>80</v>
      </c>
      <c r="AL500" s="231" t="n">
        <v>235</v>
      </c>
      <c r="AM500" s="3">
        <f>180+60</f>
        <v/>
      </c>
      <c r="AP500" s="255">
        <f>360-AK500-AB500</f>
        <v/>
      </c>
      <c r="AR500" s="13">
        <f>AVERAGE(AO498:AO504)</f>
        <v/>
      </c>
      <c r="AT500" s="156">
        <f>(E500-W500)/E500</f>
        <v/>
      </c>
      <c r="AU500" s="155">
        <f>(I500-AF500)/I500</f>
        <v/>
      </c>
      <c r="AV500" s="155">
        <f>AG500/(AD500-AF500)</f>
        <v/>
      </c>
      <c r="AW500" s="155">
        <f>(G500-AM500)/G500</f>
        <v/>
      </c>
      <c r="AX500" s="254">
        <f>IF(AND(ISNUMBER(E500),ISNUMBER(W500)),E500-W500,"")</f>
        <v/>
      </c>
      <c r="AY500" s="254">
        <f>IF(AND(ISNUMBER(I500),ISNUMBER(AF500)),I500-AF500,"")</f>
        <v/>
      </c>
      <c r="AZ500" s="254">
        <f>IF(AND(ISNUMBER(AM500),ISNUMBER(G500)),G500-AM500,"")</f>
        <v/>
      </c>
      <c r="BA500" s="254">
        <f>IF(AND(ISNUMBER(AC500),ISNUMBER(AE500)),AC500-AE500,"")</f>
        <v/>
      </c>
      <c r="BB500" s="254">
        <f>IF(AND(ISNUMBER(AL500),ISNUMBER(AM500)),AL500-AM500,"")</f>
        <v/>
      </c>
      <c r="BG500" s="6">
        <f>IF((AD500-AF500)/(AJ500/60)&lt;=0,"",(AD500-AF500)/(AJ500/60))</f>
        <v/>
      </c>
      <c r="BH500" s="6">
        <f>IF(OR(AJ500=0,AP500=0,NOT(ISNUMBER(AD500)),NOT(ISNUMBER(AF500)),NOT(ISNUMBER(AJ500)),NOT(ISNUMBER(AP500))),"",
IFERROR(IF((AD500-AF500)/(AJ500/60)/(AP500/1000)&lt;=0,"",(AD500-AF500)/(AJ500/60)/(AP500/1000)),""))</f>
        <v/>
      </c>
    </row>
    <row r="501" ht="15.75" customHeight="1">
      <c r="B501" t="n">
        <v>257</v>
      </c>
      <c r="D501" s="11" t="n">
        <v>45761</v>
      </c>
      <c r="E501" s="231" t="n">
        <v>257</v>
      </c>
      <c r="F501" s="3" t="n">
        <v>496</v>
      </c>
      <c r="G501" s="205">
        <f>IF(OR(S501="",S501=0),"",S501*2)</f>
        <v/>
      </c>
      <c r="K501" s="15">
        <f>AD501</f>
        <v/>
      </c>
      <c r="M501" s="10">
        <f>IF(OR(E501="",G501="",E501=0,G501=0),"",E501/G501)</f>
        <v/>
      </c>
      <c r="N501" s="9">
        <f>IF(OR(E501="",I501="",E501=0,I501=0),"",E501/(I501*2))</f>
        <v/>
      </c>
      <c r="O501" s="8">
        <f>IF(OR(I501="",G501="",I501=0,G501=0),"",I501*2/G501)</f>
        <v/>
      </c>
      <c r="AD501" s="5" t="n">
        <v>80</v>
      </c>
      <c r="AL501" s="231" t="n">
        <v>235</v>
      </c>
      <c r="AM501" s="3">
        <f>180+60</f>
        <v/>
      </c>
      <c r="AP501" s="255">
        <f>360-AK501-AB501</f>
        <v/>
      </c>
      <c r="AR501" s="13">
        <f>AVERAGE(AO499:AO505)</f>
        <v/>
      </c>
      <c r="AT501" s="156">
        <f>(E501-W501)/E501</f>
        <v/>
      </c>
      <c r="AU501" s="155">
        <f>(I501-AF501)/I501</f>
        <v/>
      </c>
      <c r="AV501" s="155">
        <f>AG501/(AD501-AF501)</f>
        <v/>
      </c>
      <c r="AW501" s="155">
        <f>(G501-AM501)/G501</f>
        <v/>
      </c>
      <c r="AX501" s="254">
        <f>IF(AND(ISNUMBER(E501),ISNUMBER(W501)),E501-W501,"")</f>
        <v/>
      </c>
      <c r="AY501" s="254">
        <f>IF(AND(ISNUMBER(I501),ISNUMBER(AF501)),I501-AF501,"")</f>
        <v/>
      </c>
      <c r="AZ501" s="254">
        <f>IF(AND(ISNUMBER(AM501),ISNUMBER(G501)),G501-AM501,"")</f>
        <v/>
      </c>
      <c r="BA501" s="254">
        <f>IF(AND(ISNUMBER(AC501),ISNUMBER(AE501)),AC501-AE501,"")</f>
        <v/>
      </c>
      <c r="BB501" s="254">
        <f>IF(AND(ISNUMBER(AL501),ISNUMBER(AM501)),AL501-AM501,"")</f>
        <v/>
      </c>
      <c r="BG501" s="6">
        <f>IF((AD501-AF501)/(AJ501/60)&lt;=0,"",(AD501-AF501)/(AJ501/60))</f>
        <v/>
      </c>
      <c r="BH501" s="6">
        <f>IF(OR(AJ501=0,AP501=0,NOT(ISNUMBER(AD501)),NOT(ISNUMBER(AF501)),NOT(ISNUMBER(AJ501)),NOT(ISNUMBER(AP501))),"",
IFERROR(IF((AD501-AF501)/(AJ501/60)/(AP501/1000)&lt;=0,"",(AD501-AF501)/(AJ501/60)/(AP501/1000)),""))</f>
        <v/>
      </c>
    </row>
    <row r="502" ht="15.75" customHeight="1">
      <c r="B502" t="n">
        <v>258</v>
      </c>
      <c r="D502" s="11" t="n">
        <v>45762</v>
      </c>
      <c r="E502" s="231" t="n">
        <v>258</v>
      </c>
      <c r="F502" s="3" t="n">
        <v>497</v>
      </c>
      <c r="G502" s="205">
        <f>IF(OR(S502="",S502=0),"",S502*2)</f>
        <v/>
      </c>
      <c r="K502" s="15">
        <f>AD502</f>
        <v/>
      </c>
      <c r="M502" s="10">
        <f>IF(OR(E502="",G502="",E502=0,G502=0),"",E502/G502)</f>
        <v/>
      </c>
      <c r="N502" s="9">
        <f>IF(OR(E502="",I502="",E502=0,I502=0),"",E502/(I502*2))</f>
        <v/>
      </c>
      <c r="O502" s="8">
        <f>IF(OR(I502="",G502="",I502=0,G502=0),"",I502*2/G502)</f>
        <v/>
      </c>
      <c r="AD502" s="5" t="n">
        <v>80</v>
      </c>
      <c r="AL502" s="231" t="n">
        <v>235</v>
      </c>
      <c r="AM502" s="3">
        <f>180+60</f>
        <v/>
      </c>
      <c r="AP502" s="255">
        <f>360-AK502-AB502</f>
        <v/>
      </c>
      <c r="AR502" s="13">
        <f>AVERAGE(AO500:AO506)</f>
        <v/>
      </c>
      <c r="AT502" s="156">
        <f>(E502-W502)/E502</f>
        <v/>
      </c>
      <c r="AU502" s="155">
        <f>(I502-AF502)/I502</f>
        <v/>
      </c>
      <c r="AV502" s="155">
        <f>AG502/(AD502-AF502)</f>
        <v/>
      </c>
      <c r="AW502" s="155">
        <f>(G502-AM502)/G502</f>
        <v/>
      </c>
      <c r="AX502" s="254">
        <f>IF(AND(ISNUMBER(E502),ISNUMBER(W502)),E502-W502,"")</f>
        <v/>
      </c>
      <c r="AY502" s="254">
        <f>IF(AND(ISNUMBER(I502),ISNUMBER(AF502)),I502-AF502,"")</f>
        <v/>
      </c>
      <c r="AZ502" s="254">
        <f>IF(AND(ISNUMBER(AM502),ISNUMBER(G502)),G502-AM502,"")</f>
        <v/>
      </c>
      <c r="BA502" s="254">
        <f>IF(AND(ISNUMBER(AC502),ISNUMBER(AE502)),AC502-AE502,"")</f>
        <v/>
      </c>
      <c r="BB502" s="254">
        <f>IF(AND(ISNUMBER(AL502),ISNUMBER(AM502)),AL502-AM502,"")</f>
        <v/>
      </c>
      <c r="BG502" s="6">
        <f>IF((AD502-AF502)/(AJ502/60)&lt;=0,"",(AD502-AF502)/(AJ502/60))</f>
        <v/>
      </c>
      <c r="BH502" s="6">
        <f>IF(OR(AJ502=0,AP502=0,NOT(ISNUMBER(AD502)),NOT(ISNUMBER(AF502)),NOT(ISNUMBER(AJ502)),NOT(ISNUMBER(AP502))),"",
IFERROR(IF((AD502-AF502)/(AJ502/60)/(AP502/1000)&lt;=0,"",(AD502-AF502)/(AJ502/60)/(AP502/1000)),""))</f>
        <v/>
      </c>
    </row>
    <row r="503" ht="15.75" customHeight="1">
      <c r="B503" t="n">
        <v>259</v>
      </c>
      <c r="D503" s="11" t="n">
        <v>45763</v>
      </c>
      <c r="E503" s="231" t="n">
        <v>259</v>
      </c>
      <c r="F503" s="3" t="n">
        <v>498</v>
      </c>
      <c r="G503" s="205">
        <f>IF(OR(S503="",S503=0),"",S503*2)</f>
        <v/>
      </c>
      <c r="K503" s="15">
        <f>AD503</f>
        <v/>
      </c>
      <c r="M503" s="10">
        <f>IF(OR(E503="",G503="",E503=0,G503=0),"",E503/G503)</f>
        <v/>
      </c>
      <c r="N503" s="9">
        <f>IF(OR(E503="",I503="",E503=0,I503=0),"",E503/(I503*2))</f>
        <v/>
      </c>
      <c r="O503" s="8">
        <f>IF(OR(I503="",G503="",I503=0,G503=0),"",I503*2/G503)</f>
        <v/>
      </c>
      <c r="AD503" s="5" t="n">
        <v>80</v>
      </c>
      <c r="AL503" s="231" t="n">
        <v>235</v>
      </c>
      <c r="AM503" s="3">
        <f>180+60</f>
        <v/>
      </c>
      <c r="AP503" s="255">
        <f>360-AK503-AB503</f>
        <v/>
      </c>
      <c r="AR503" s="13">
        <f>AVERAGE(AO501:AO507)</f>
        <v/>
      </c>
      <c r="AT503" s="156">
        <f>(E503-W503)/E503</f>
        <v/>
      </c>
      <c r="AU503" s="155">
        <f>(I503-AF503)/I503</f>
        <v/>
      </c>
      <c r="AV503" s="155">
        <f>AG503/(AD503-AF503)</f>
        <v/>
      </c>
      <c r="AW503" s="155">
        <f>(G503-AM503)/G503</f>
        <v/>
      </c>
      <c r="AX503" s="254">
        <f>IF(AND(ISNUMBER(E503),ISNUMBER(W503)),E503-W503,"")</f>
        <v/>
      </c>
      <c r="AY503" s="254">
        <f>IF(AND(ISNUMBER(I503),ISNUMBER(AF503)),I503-AF503,"")</f>
        <v/>
      </c>
      <c r="AZ503" s="254">
        <f>IF(AND(ISNUMBER(AM503),ISNUMBER(G503)),G503-AM503,"")</f>
        <v/>
      </c>
      <c r="BA503" s="254">
        <f>IF(AND(ISNUMBER(AC503),ISNUMBER(AE503)),AC503-AE503,"")</f>
        <v/>
      </c>
      <c r="BB503" s="254">
        <f>IF(AND(ISNUMBER(AL503),ISNUMBER(AM503)),AL503-AM503,"")</f>
        <v/>
      </c>
      <c r="BG503" s="6">
        <f>IF((AD503-AF503)/(AJ503/60)&lt;=0,"",(AD503-AF503)/(AJ503/60))</f>
        <v/>
      </c>
      <c r="BH503" s="6">
        <f>IF(OR(AJ503=0,AP503=0,NOT(ISNUMBER(AD503)),NOT(ISNUMBER(AF503)),NOT(ISNUMBER(AJ503)),NOT(ISNUMBER(AP503))),"",
IFERROR(IF((AD503-AF503)/(AJ503/60)/(AP503/1000)&lt;=0,"",(AD503-AF503)/(AJ503/60)/(AP503/1000)),""))</f>
        <v/>
      </c>
    </row>
    <row r="504" ht="15.75" customHeight="1">
      <c r="B504" t="n">
        <v>260</v>
      </c>
      <c r="D504" s="11" t="n">
        <v>45764</v>
      </c>
      <c r="E504" s="231" t="n">
        <v>260</v>
      </c>
      <c r="F504" s="3" t="n">
        <v>499</v>
      </c>
      <c r="G504" s="205">
        <f>IF(OR(S504="",S504=0),"",S504*2)</f>
        <v/>
      </c>
      <c r="K504" s="15">
        <f>AD504</f>
        <v/>
      </c>
      <c r="M504" s="10">
        <f>IF(OR(E504="",G504="",E504=0,G504=0),"",E504/G504)</f>
        <v/>
      </c>
      <c r="N504" s="9">
        <f>IF(OR(E504="",I504="",E504=0,I504=0),"",E504/(I504*2))</f>
        <v/>
      </c>
      <c r="O504" s="8">
        <f>IF(OR(I504="",G504="",I504=0,G504=0),"",I504*2/G504)</f>
        <v/>
      </c>
      <c r="AD504" s="5" t="n">
        <v>80</v>
      </c>
      <c r="AL504" s="231" t="n">
        <v>205</v>
      </c>
      <c r="AM504" s="3">
        <f>180+60</f>
        <v/>
      </c>
      <c r="AP504" s="255">
        <f>360-AK504-AB504</f>
        <v/>
      </c>
      <c r="AR504" s="13">
        <f>AVERAGE(AO502:AO508)</f>
        <v/>
      </c>
      <c r="AT504" s="156">
        <f>(E504-W504)/E504</f>
        <v/>
      </c>
      <c r="AU504" s="155">
        <f>(I504-AF504)/I504</f>
        <v/>
      </c>
      <c r="AV504" s="155">
        <f>AG504/(AD504-AF504)</f>
        <v/>
      </c>
      <c r="AW504" s="155">
        <f>(G504-AM504)/G504</f>
        <v/>
      </c>
      <c r="AX504" s="254">
        <f>IF(AND(ISNUMBER(E504),ISNUMBER(W504)),E504-W504,"")</f>
        <v/>
      </c>
      <c r="AY504" s="254">
        <f>IF(AND(ISNUMBER(I504),ISNUMBER(AF504)),I504-AF504,"")</f>
        <v/>
      </c>
      <c r="AZ504" s="254">
        <f>IF(AND(ISNUMBER(AM504),ISNUMBER(G504)),G504-AM504,"")</f>
        <v/>
      </c>
      <c r="BA504" s="254">
        <f>IF(AND(ISNUMBER(AC504),ISNUMBER(AE504)),AC504-AE504,"")</f>
        <v/>
      </c>
      <c r="BB504" s="254">
        <f>IF(AND(ISNUMBER(AL504),ISNUMBER(AM504)),AL504-AM504,"")</f>
        <v/>
      </c>
      <c r="BG504" s="6">
        <f>IF((AD504-AF504)/(AJ504/60)&lt;=0,"",(AD504-AF504)/(AJ504/60))</f>
        <v/>
      </c>
      <c r="BH504" s="6">
        <f>IF(OR(AJ504=0,AP504=0,NOT(ISNUMBER(AD504)),NOT(ISNUMBER(AF504)),NOT(ISNUMBER(AJ504)),NOT(ISNUMBER(AP504))),"",
IFERROR(IF((AD504-AF504)/(AJ504/60)/(AP504/1000)&lt;=0,"",(AD504-AF504)/(AJ504/60)/(AP504/1000)),""))</f>
        <v/>
      </c>
    </row>
    <row r="505" ht="15.75" customHeight="1">
      <c r="B505" t="n">
        <v>261</v>
      </c>
      <c r="D505" s="11" t="n">
        <v>45765</v>
      </c>
      <c r="E505" s="231" t="n">
        <v>261</v>
      </c>
      <c r="F505" s="3" t="n">
        <v>500</v>
      </c>
      <c r="G505" s="205">
        <f>IF(OR(S505="",S505=0),"",S505*2)</f>
        <v/>
      </c>
      <c r="K505" s="15">
        <f>AD505</f>
        <v/>
      </c>
      <c r="L505" s="9" t="n"/>
      <c r="M505" s="10">
        <f>IF(OR(E505="",G505="",E505=0,G505=0),"",E505/G505)</f>
        <v/>
      </c>
      <c r="N505" s="9">
        <f>IF(OR(E505="",I505="",E505=0,I505=0),"",E505/(I505*2))</f>
        <v/>
      </c>
      <c r="O505" s="8">
        <f>IF(OR(I505="",G505="",I505=0,G505=0),"",I505*2/G505)</f>
        <v/>
      </c>
      <c r="P505" s="6" t="n"/>
      <c r="AD505" s="6" t="n">
        <v>80</v>
      </c>
      <c r="AE505" s="231" t="n"/>
      <c r="AL505" s="231" t="n">
        <v>199</v>
      </c>
      <c r="AM505" s="231">
        <f>180+60</f>
        <v/>
      </c>
      <c r="AN505" s="231" t="n"/>
      <c r="AP505" s="231" t="n">
        <v>40</v>
      </c>
      <c r="AR505" s="13">
        <f>AVERAGE(AO503:AO509)</f>
        <v/>
      </c>
      <c r="AT505" s="155">
        <f>(E505-W505)/E505</f>
        <v/>
      </c>
      <c r="AU505" s="155">
        <f>(I505-AF505)/I505</f>
        <v/>
      </c>
      <c r="AV505" s="155">
        <f>AG505/(AD505-AF505)</f>
        <v/>
      </c>
      <c r="AW505" s="155">
        <f>(G505-AM505)/G505</f>
        <v/>
      </c>
      <c r="AX505" s="254">
        <f>IF(AND(ISNUMBER(E505),ISNUMBER(W505)),E505-W505,"")</f>
        <v/>
      </c>
      <c r="AY505" s="254">
        <f>IF(AND(ISNUMBER(I505),ISNUMBER(AF505)),I505-AF505,"")</f>
        <v/>
      </c>
      <c r="AZ505" s="254">
        <f>IF(AND(ISNUMBER(AM505),ISNUMBER(G505)),G505-AM505,"")</f>
        <v/>
      </c>
      <c r="BA505" s="254">
        <f>IF(AND(ISNUMBER(AC505),ISNUMBER(AE505)),AC505-AE505,"")</f>
        <v/>
      </c>
      <c r="BB505" s="254">
        <f>IF(AND(ISNUMBER(AL505),ISNUMBER(AM505)),AL505-AM505,"")</f>
        <v/>
      </c>
      <c r="BG505" s="6">
        <f>IF((AD505-AF505)/(AJ505/60)&lt;=0,"",(AD505-AF505)/(AJ505/60))</f>
        <v/>
      </c>
      <c r="BH505" s="6">
        <f>IF(OR(AJ505=0,AP505=0,NOT(ISNUMBER(AD505)),NOT(ISNUMBER(AF505)),NOT(ISNUMBER(AJ505)),NOT(ISNUMBER(AP505))),"",
IFERROR(IF((AD505-AF505)/(AJ505/60)/(AP505/1000)&lt;=0,"",(AD505-AF505)/(AJ505/60)/(AP505/1000)),""))</f>
        <v/>
      </c>
    </row>
    <row r="506" ht="15.75" customHeight="1">
      <c r="B506" t="n">
        <v>262</v>
      </c>
      <c r="C506" s="25" t="inlineStr">
        <is>
          <t>that when stop feeding COD at the right speed</t>
        </is>
      </c>
      <c r="D506" s="11" t="n">
        <v>45766</v>
      </c>
      <c r="E506" s="231" t="n">
        <v>262</v>
      </c>
      <c r="F506" s="3" t="n">
        <v>501</v>
      </c>
      <c r="G506" s="205">
        <f>IF(OR(S506="",S506=0),"",S506*2)</f>
        <v/>
      </c>
      <c r="K506" s="15">
        <f>AD506</f>
        <v/>
      </c>
      <c r="M506" s="10">
        <f>IF(OR(E506="",G506="",E506=0,G506=0),"",E506/G506)</f>
        <v/>
      </c>
      <c r="N506" s="9">
        <f>IF(OR(E506="",I506="",E506=0,I506=0),"",E506/(I506*2))</f>
        <v/>
      </c>
      <c r="O506" s="8">
        <f>IF(OR(I506="",G506="",I506=0,G506=0),"",I506*2/G506)</f>
        <v/>
      </c>
      <c r="AD506" s="5" t="n">
        <v>80</v>
      </c>
      <c r="AL506" s="231" t="n">
        <v>235</v>
      </c>
      <c r="AM506" s="3">
        <f>180+60</f>
        <v/>
      </c>
      <c r="AP506" s="3" t="n">
        <v>40</v>
      </c>
      <c r="AR506" s="13">
        <f>AVERAGE(AO504:AO510)</f>
        <v/>
      </c>
      <c r="AT506" s="156">
        <f>(E506-W506)/E506</f>
        <v/>
      </c>
      <c r="AU506" s="155">
        <f>(I506-AF506)/I506</f>
        <v/>
      </c>
      <c r="AV506" s="155">
        <f>AG506/(AD506-AF506)</f>
        <v/>
      </c>
      <c r="AW506" s="155">
        <f>(G506-AM506)/G506</f>
        <v/>
      </c>
      <c r="AX506" s="254">
        <f>IF(AND(ISNUMBER(E506),ISNUMBER(W506)),E506-W506,"")</f>
        <v/>
      </c>
      <c r="AY506" s="254">
        <f>IF(AND(ISNUMBER(I506),ISNUMBER(AF506)),I506-AF506,"")</f>
        <v/>
      </c>
      <c r="AZ506" s="254">
        <f>IF(AND(ISNUMBER(AM506),ISNUMBER(G506)),G506-AM506,"")</f>
        <v/>
      </c>
      <c r="BA506" s="254">
        <f>IF(AND(ISNUMBER(AC506),ISNUMBER(AE506)),AC506-AE506,"")</f>
        <v/>
      </c>
      <c r="BB506" s="254">
        <f>IF(AND(ISNUMBER(AL506),ISNUMBER(AM506)),AL506-AM506,"")</f>
        <v/>
      </c>
      <c r="BG506" s="6">
        <f>IF((AD506-AF506)/(AJ506/60)&lt;=0,"",(AD506-AF506)/(AJ506/60))</f>
        <v/>
      </c>
      <c r="BH506" s="6">
        <f>IF(OR(AJ506=0,AP506=0,NOT(ISNUMBER(AD506)),NOT(ISNUMBER(AF506)),NOT(ISNUMBER(AJ506)),NOT(ISNUMBER(AP506))),"",
IFERROR(IF((AD506-AF506)/(AJ506/60)/(AP506/1000)&lt;=0,"",(AD506-AF506)/(AJ506/60)/(AP506/1000)),""))</f>
        <v/>
      </c>
    </row>
    <row r="507" ht="15.75" customHeight="1">
      <c r="B507" t="n">
        <v>263</v>
      </c>
      <c r="D507" s="11" t="n">
        <v>45767</v>
      </c>
      <c r="E507" s="231" t="n">
        <v>263</v>
      </c>
      <c r="F507" s="3" t="n">
        <v>502</v>
      </c>
      <c r="G507" s="205">
        <f>IF(OR(S507="",S507=0),"",S507*2)</f>
        <v/>
      </c>
      <c r="K507" s="15">
        <f>AD507</f>
        <v/>
      </c>
      <c r="M507" s="10">
        <f>IF(OR(E507="",G507="",E507=0,G507=0),"",E507/G507)</f>
        <v/>
      </c>
      <c r="N507" s="9">
        <f>IF(OR(E507="",I507="",E507=0,I507=0),"",E507/(I507*2))</f>
        <v/>
      </c>
      <c r="O507" s="8">
        <f>IF(OR(I507="",G507="",I507=0,G507=0),"",I507*2/G507)</f>
        <v/>
      </c>
      <c r="AD507" s="5" t="n">
        <v>80</v>
      </c>
      <c r="AL507" s="231" t="n">
        <v>235</v>
      </c>
      <c r="AM507" s="3">
        <f>180+60</f>
        <v/>
      </c>
      <c r="AP507" s="3" t="n">
        <v>40</v>
      </c>
      <c r="AR507" s="13">
        <f>AVERAGE(AO505:AO511)</f>
        <v/>
      </c>
      <c r="AT507" s="156">
        <f>(E507-W507)/E507</f>
        <v/>
      </c>
      <c r="AU507" s="155">
        <f>(I507-AF507)/I507</f>
        <v/>
      </c>
      <c r="AV507" s="155">
        <f>AG507/(AD507-AF507)</f>
        <v/>
      </c>
      <c r="AW507" s="155">
        <f>(G507-AM507)/G507</f>
        <v/>
      </c>
      <c r="AX507" s="254">
        <f>IF(AND(ISNUMBER(E507),ISNUMBER(W507)),E507-W507,"")</f>
        <v/>
      </c>
      <c r="AY507" s="254">
        <f>IF(AND(ISNUMBER(I507),ISNUMBER(AF507)),I507-AF507,"")</f>
        <v/>
      </c>
      <c r="AZ507" s="254">
        <f>IF(AND(ISNUMBER(AM507),ISNUMBER(G507)),G507-AM507,"")</f>
        <v/>
      </c>
      <c r="BA507" s="254">
        <f>IF(AND(ISNUMBER(AC507),ISNUMBER(AE507)),AC507-AE507,"")</f>
        <v/>
      </c>
      <c r="BB507" s="254">
        <f>IF(AND(ISNUMBER(AL507),ISNUMBER(AM507)),AL507-AM507,"")</f>
        <v/>
      </c>
      <c r="BG507" s="6">
        <f>IF((AD507-AF507)/(AJ507/60)&lt;=0,"",(AD507-AF507)/(AJ507/60))</f>
        <v/>
      </c>
      <c r="BH507" s="6">
        <f>IF(OR(AJ507=0,AP507=0,NOT(ISNUMBER(AD507)),NOT(ISNUMBER(AF507)),NOT(ISNUMBER(AJ507)),NOT(ISNUMBER(AP507))),"",
IFERROR(IF((AD507-AF507)/(AJ507/60)/(AP507/1000)&lt;=0,"",(AD507-AF507)/(AJ507/60)/(AP507/1000)),""))</f>
        <v/>
      </c>
    </row>
    <row r="508" ht="15.75" customHeight="1">
      <c r="B508" t="n">
        <v>264</v>
      </c>
      <c r="D508" s="11" t="n">
        <v>45768</v>
      </c>
      <c r="E508" s="231" t="n">
        <v>264</v>
      </c>
      <c r="F508" s="3" t="n">
        <v>503</v>
      </c>
      <c r="G508" s="205">
        <f>IF(OR(S508="",S508=0),"",S508*2)</f>
        <v/>
      </c>
      <c r="K508" s="15">
        <f>AD508</f>
        <v/>
      </c>
      <c r="M508" s="10">
        <f>IF(OR(E508="",G508="",E508=0,G508=0),"",E508/G508)</f>
        <v/>
      </c>
      <c r="N508" s="9">
        <f>IF(OR(E508="",I508="",E508=0,I508=0),"",E508/(I508*2))</f>
        <v/>
      </c>
      <c r="O508" s="8">
        <f>IF(OR(I508="",G508="",I508=0,G508=0),"",I508*2/G508)</f>
        <v/>
      </c>
      <c r="AD508" s="5" t="n">
        <v>80</v>
      </c>
      <c r="AL508" s="231" t="n">
        <v>235</v>
      </c>
      <c r="AM508" s="3">
        <f>180+60</f>
        <v/>
      </c>
      <c r="AP508" s="3" t="n">
        <v>40</v>
      </c>
      <c r="AR508" s="13">
        <f>AVERAGE(AO506:AO512)</f>
        <v/>
      </c>
      <c r="AT508" s="156">
        <f>(E508-W508)/E508</f>
        <v/>
      </c>
      <c r="AU508" s="155">
        <f>(I508-AF508)/I508</f>
        <v/>
      </c>
      <c r="AV508" s="155">
        <f>AG508/(AD508-AF508)</f>
        <v/>
      </c>
      <c r="AW508" s="155">
        <f>(G508-AM508)/G508</f>
        <v/>
      </c>
      <c r="AX508" s="254">
        <f>IF(AND(ISNUMBER(E508),ISNUMBER(W508)),E508-W508,"")</f>
        <v/>
      </c>
      <c r="AY508" s="254">
        <f>IF(AND(ISNUMBER(I508),ISNUMBER(AF508)),I508-AF508,"")</f>
        <v/>
      </c>
      <c r="AZ508" s="254">
        <f>IF(AND(ISNUMBER(AM508),ISNUMBER(G508)),G508-AM508,"")</f>
        <v/>
      </c>
      <c r="BA508" s="254">
        <f>IF(AND(ISNUMBER(AC508),ISNUMBER(AE508)),AC508-AE508,"")</f>
        <v/>
      </c>
      <c r="BB508" s="254">
        <f>IF(AND(ISNUMBER(AL508),ISNUMBER(AM508)),AL508-AM508,"")</f>
        <v/>
      </c>
      <c r="BG508" s="6">
        <f>IF((AD508-AF508)/(AJ508/60)&lt;=0,"",(AD508-AF508)/(AJ508/60))</f>
        <v/>
      </c>
      <c r="BH508" s="6">
        <f>IF(OR(AJ508=0,AP508=0,NOT(ISNUMBER(AD508)),NOT(ISNUMBER(AF508)),NOT(ISNUMBER(AJ508)),NOT(ISNUMBER(AP508))),"",
IFERROR(IF((AD508-AF508)/(AJ508/60)/(AP508/1000)&lt;=0,"",(AD508-AF508)/(AJ508/60)/(AP508/1000)),""))</f>
        <v/>
      </c>
    </row>
    <row r="509" ht="15.75" customHeight="1">
      <c r="B509" t="n">
        <v>265</v>
      </c>
      <c r="D509" s="72" t="n">
        <v>45769</v>
      </c>
      <c r="E509" s="231" t="n">
        <v>265</v>
      </c>
      <c r="F509" s="3" t="n">
        <v>504</v>
      </c>
      <c r="G509" s="205">
        <f>IF(OR(S509="",S509=0),"",S509*2)</f>
        <v/>
      </c>
      <c r="K509" s="15">
        <f>AD509</f>
        <v/>
      </c>
      <c r="M509" s="10">
        <f>IF(OR(E509="",G509="",E509=0,G509=0),"",E509/G509)</f>
        <v/>
      </c>
      <c r="N509" s="9">
        <f>IF(OR(E509="",I509="",E509=0,I509=0),"",E509/(I509*2))</f>
        <v/>
      </c>
      <c r="O509" s="8">
        <f>IF(OR(I509="",G509="",I509=0,G509=0),"",I509*2/G509)</f>
        <v/>
      </c>
      <c r="AD509" s="5" t="n">
        <v>80</v>
      </c>
      <c r="AL509" s="231" t="n">
        <v>235</v>
      </c>
      <c r="AM509" s="3">
        <f>180+60</f>
        <v/>
      </c>
      <c r="AP509" s="3" t="n">
        <v>40</v>
      </c>
      <c r="AR509" s="13">
        <f>AVERAGE(AO507:AO513)</f>
        <v/>
      </c>
      <c r="AT509" s="156">
        <f>(E509-W509)/E509</f>
        <v/>
      </c>
      <c r="AU509" s="155">
        <f>(I509-AF509)/I509</f>
        <v/>
      </c>
      <c r="AV509" s="155">
        <f>AG509/(AD509-AF509)</f>
        <v/>
      </c>
      <c r="AW509" s="155">
        <f>(G509-AM509)/G509</f>
        <v/>
      </c>
      <c r="AX509" s="254">
        <f>IF(AND(ISNUMBER(E509),ISNUMBER(W509)),E509-W509,"")</f>
        <v/>
      </c>
      <c r="AY509" s="254">
        <f>IF(AND(ISNUMBER(I509),ISNUMBER(AF509)),I509-AF509,"")</f>
        <v/>
      </c>
      <c r="AZ509" s="254">
        <f>IF(AND(ISNUMBER(AM509),ISNUMBER(G509)),G509-AM509,"")</f>
        <v/>
      </c>
      <c r="BA509" s="254">
        <f>IF(AND(ISNUMBER(AC509),ISNUMBER(AE509)),AC509-AE509,"")</f>
        <v/>
      </c>
      <c r="BB509" s="254">
        <f>IF(AND(ISNUMBER(AL509),ISNUMBER(AM509)),AL509-AM509,"")</f>
        <v/>
      </c>
      <c r="BG509" s="6">
        <f>IF((AD509-AF509)/(AJ509/60)&lt;=0,"",(AD509-AF509)/(AJ509/60))</f>
        <v/>
      </c>
      <c r="BH509" s="6">
        <f>IF(OR(AJ509=0,AP509=0,NOT(ISNUMBER(AD509)),NOT(ISNUMBER(AF509)),NOT(ISNUMBER(AJ509)),NOT(ISNUMBER(AP509))),"",
IFERROR(IF((AD509-AF509)/(AJ509/60)/(AP509/1000)&lt;=0,"",(AD509-AF509)/(AJ509/60)/(AP509/1000)),""))</f>
        <v/>
      </c>
    </row>
    <row r="510" ht="15.75" customHeight="1">
      <c r="B510" t="n">
        <v>266</v>
      </c>
      <c r="D510" s="11" t="n">
        <v>45770</v>
      </c>
      <c r="E510" s="231" t="n">
        <v>266</v>
      </c>
      <c r="F510" s="3" t="n">
        <v>505</v>
      </c>
      <c r="G510" s="205">
        <f>IF(OR(S510="",S510=0),"",S510*2)</f>
        <v/>
      </c>
      <c r="K510" s="15">
        <f>AD510</f>
        <v/>
      </c>
      <c r="M510" s="10">
        <f>IF(OR(E510="",G510="",E510=0,G510=0),"",E510/G510)</f>
        <v/>
      </c>
      <c r="N510" s="9">
        <f>IF(OR(E510="",I510="",E510=0,I510=0),"",E510/(I510*2))</f>
        <v/>
      </c>
      <c r="O510" s="8">
        <f>IF(OR(I510="",G510="",I510=0,G510=0),"",I510*2/G510)</f>
        <v/>
      </c>
      <c r="AD510" s="5" t="n">
        <v>80</v>
      </c>
      <c r="AL510" s="231" t="n">
        <v>235</v>
      </c>
      <c r="AM510" s="3">
        <f>180+60</f>
        <v/>
      </c>
      <c r="AP510" s="3" t="n">
        <v>40</v>
      </c>
      <c r="AR510" s="13">
        <f>AVERAGE(AO508:AO514)</f>
        <v/>
      </c>
      <c r="AT510" s="156">
        <f>(E510-W510)/E510</f>
        <v/>
      </c>
      <c r="AU510" s="155">
        <f>(I510-AF510)/I510</f>
        <v/>
      </c>
      <c r="AV510" s="155">
        <f>AG510/(AD510-AF510)</f>
        <v/>
      </c>
      <c r="AW510" s="155">
        <f>(G510-AM510)/G510</f>
        <v/>
      </c>
      <c r="AX510" s="254">
        <f>IF(AND(ISNUMBER(E510),ISNUMBER(W510)),E510-W510,"")</f>
        <v/>
      </c>
      <c r="AY510" s="254">
        <f>IF(AND(ISNUMBER(I510),ISNUMBER(AF510)),I510-AF510,"")</f>
        <v/>
      </c>
      <c r="AZ510" s="254">
        <f>IF(AND(ISNUMBER(AM510),ISNUMBER(G510)),G510-AM510,"")</f>
        <v/>
      </c>
      <c r="BA510" s="254">
        <f>IF(AND(ISNUMBER(AC510),ISNUMBER(AE510)),AC510-AE510,"")</f>
        <v/>
      </c>
      <c r="BB510" s="254">
        <f>IF(AND(ISNUMBER(AL510),ISNUMBER(AM510)),AL510-AM510,"")</f>
        <v/>
      </c>
      <c r="BG510" s="6">
        <f>IF((AD510-AF510)/(AJ510/60)&lt;=0,"",(AD510-AF510)/(AJ510/60))</f>
        <v/>
      </c>
      <c r="BH510" s="6">
        <f>IF(OR(AJ510=0,AP510=0,NOT(ISNUMBER(AD510)),NOT(ISNUMBER(AF510)),NOT(ISNUMBER(AJ510)),NOT(ISNUMBER(AP510))),"",
IFERROR(IF((AD510-AF510)/(AJ510/60)/(AP510/1000)&lt;=0,"",(AD510-AF510)/(AJ510/60)/(AP510/1000)),""))</f>
        <v/>
      </c>
    </row>
    <row r="511" ht="15.75" customHeight="1">
      <c r="A511" s="260" t="inlineStr">
        <is>
          <t>B66</t>
        </is>
      </c>
      <c r="B511" s="260" t="n">
        <v>267</v>
      </c>
      <c r="D511" s="11" t="n">
        <v>45771</v>
      </c>
      <c r="E511" s="231" t="n">
        <v>267</v>
      </c>
      <c r="F511" s="3" t="n">
        <v>506</v>
      </c>
      <c r="G511" s="205">
        <f>IF(OR(S511="",S511=0),"",S511*2)</f>
        <v/>
      </c>
      <c r="K511" s="15">
        <f>AD511</f>
        <v/>
      </c>
      <c r="M511" s="10">
        <f>IF(OR(E511="",G511="",E511=0,G511=0),"",E511/G511)</f>
        <v/>
      </c>
      <c r="N511" s="9">
        <f>IF(OR(E511="",I511="",E511=0,I511=0),"",E511/(I511*2))</f>
        <v/>
      </c>
      <c r="O511" s="8">
        <f>IF(OR(I511="",G511="",I511=0,G511=0),"",I511*2/G511)</f>
        <v/>
      </c>
      <c r="AD511" s="5" t="n">
        <v>80</v>
      </c>
      <c r="AL511" s="231" t="n">
        <v>235</v>
      </c>
      <c r="AM511" s="3">
        <f>180+60</f>
        <v/>
      </c>
      <c r="AP511" s="3" t="n">
        <v>40</v>
      </c>
      <c r="AR511" s="13">
        <f>AVERAGE(AO509:AO515)</f>
        <v/>
      </c>
      <c r="AT511" s="156">
        <f>(E511-W511)/E511</f>
        <v/>
      </c>
      <c r="AU511" s="155">
        <f>(I511-AF511)/I511</f>
        <v/>
      </c>
      <c r="AV511" s="155">
        <f>AG511/(AD511-AF511)</f>
        <v/>
      </c>
      <c r="AW511" s="155">
        <f>(G511-AM511)/G511</f>
        <v/>
      </c>
      <c r="AX511" s="254">
        <f>IF(AND(ISNUMBER(E511),ISNUMBER(W511)),E511-W511,"")</f>
        <v/>
      </c>
      <c r="AY511" s="254">
        <f>IF(AND(ISNUMBER(I511),ISNUMBER(AF511)),I511-AF511,"")</f>
        <v/>
      </c>
      <c r="AZ511" s="254">
        <f>IF(AND(ISNUMBER(AM511),ISNUMBER(G511)),G511-AM511,"")</f>
        <v/>
      </c>
      <c r="BA511" s="254">
        <f>IF(AND(ISNUMBER(AC511),ISNUMBER(AE511)),AC511-AE511,"")</f>
        <v/>
      </c>
      <c r="BB511" s="254">
        <f>IF(AND(ISNUMBER(AL511),ISNUMBER(AM511)),AL511-AM511,"")</f>
        <v/>
      </c>
      <c r="BG511" s="6">
        <f>IF((AD511-AF511)/(AJ511/60)&lt;=0,"",(AD511-AF511)/(AJ511/60))</f>
        <v/>
      </c>
      <c r="BH511" s="6">
        <f>IF(OR(AJ511=0,AP511=0,NOT(ISNUMBER(AD511)),NOT(ISNUMBER(AF511)),NOT(ISNUMBER(AJ511)),NOT(ISNUMBER(AP511))),"",
IFERROR(IF((AD511-AF511)/(AJ511/60)/(AP511/1000)&lt;=0,"",(AD511-AF511)/(AJ511/60)/(AP511/1000)),""))</f>
        <v/>
      </c>
    </row>
    <row r="512" ht="15.75" customHeight="1">
      <c r="B512" t="n">
        <v>268</v>
      </c>
      <c r="D512" s="11" t="n">
        <v>45772</v>
      </c>
      <c r="E512" s="231" t="n">
        <v>268</v>
      </c>
      <c r="F512" s="3" t="n">
        <v>507</v>
      </c>
      <c r="G512" s="205">
        <f>IF(OR(S512="",S512=0),"",S512*2)</f>
        <v/>
      </c>
      <c r="K512" s="15">
        <f>AD512</f>
        <v/>
      </c>
      <c r="M512" s="10">
        <f>IF(OR(E512="",G512="",E512=0,G512=0),"",E512/G512)</f>
        <v/>
      </c>
      <c r="N512" s="9">
        <f>IF(OR(E512="",I512="",E512=0,I512=0),"",E512/(I512*2))</f>
        <v/>
      </c>
      <c r="O512" s="8">
        <f>IF(OR(I512="",G512="",I512=0,G512=0),"",I512*2/G512)</f>
        <v/>
      </c>
      <c r="AD512" s="5" t="n">
        <v>80</v>
      </c>
      <c r="AL512" s="231" t="n">
        <v>235</v>
      </c>
      <c r="AM512" s="3">
        <f>180+60</f>
        <v/>
      </c>
      <c r="AP512" s="3" t="n">
        <v>40</v>
      </c>
      <c r="AR512" s="13">
        <f>AVERAGE(AO510:AO516)</f>
        <v/>
      </c>
      <c r="AT512" s="156">
        <f>(E512-W512)/E512</f>
        <v/>
      </c>
      <c r="AU512" s="155">
        <f>(I512-AF512)/I512</f>
        <v/>
      </c>
      <c r="AV512" s="155">
        <f>AG512/(AD512-AF512)</f>
        <v/>
      </c>
      <c r="AW512" s="155">
        <f>(G512-AM512)/G512</f>
        <v/>
      </c>
      <c r="AX512" s="254">
        <f>IF(AND(ISNUMBER(E512),ISNUMBER(W512)),E512-W512,"")</f>
        <v/>
      </c>
      <c r="AY512" s="254">
        <f>IF(AND(ISNUMBER(I512),ISNUMBER(AF512)),I512-AF512,"")</f>
        <v/>
      </c>
      <c r="AZ512" s="254">
        <f>IF(AND(ISNUMBER(AM512),ISNUMBER(G512)),G512-AM512,"")</f>
        <v/>
      </c>
      <c r="BA512" s="254">
        <f>IF(AND(ISNUMBER(AC512),ISNUMBER(AE512)),AC512-AE512,"")</f>
        <v/>
      </c>
      <c r="BB512" s="254">
        <f>IF(AND(ISNUMBER(AL512),ISNUMBER(AM512)),AL512-AM512,"")</f>
        <v/>
      </c>
      <c r="BG512" s="6">
        <f>IF((AD512-AF512)/(AJ512/60)&lt;=0,"",(AD512-AF512)/(AJ512/60))</f>
        <v/>
      </c>
      <c r="BH512" s="6">
        <f>IF(OR(AJ512=0,AP512=0,NOT(ISNUMBER(AD512)),NOT(ISNUMBER(AF512)),NOT(ISNUMBER(AJ512)),NOT(ISNUMBER(AP512))),"",
IFERROR(IF((AD512-AF512)/(AJ512/60)/(AP512/1000)&lt;=0,"",(AD512-AF512)/(AJ512/60)/(AP512/1000)),""))</f>
        <v/>
      </c>
    </row>
    <row r="513" ht="15.75" customHeight="1">
      <c r="B513" t="n">
        <v>269</v>
      </c>
      <c r="C513" s="12" t="inlineStr">
        <is>
          <t xml:space="preserve">pH upset </t>
        </is>
      </c>
      <c r="D513" s="11" t="n">
        <v>45773</v>
      </c>
      <c r="E513" s="231" t="n">
        <v>269</v>
      </c>
      <c r="F513" s="3" t="n">
        <v>508</v>
      </c>
      <c r="G513" s="205">
        <f>IF(OR(S513="",S513=0),"",S513*2)</f>
        <v/>
      </c>
      <c r="K513" s="15">
        <f>AD513</f>
        <v/>
      </c>
      <c r="M513" s="10">
        <f>IF(OR(E513="",G513="",E513=0,G513=0),"",E513/G513)</f>
        <v/>
      </c>
      <c r="N513" s="9">
        <f>IF(OR(E513="",I513="",E513=0,I513=0),"",E513/(I513*2))</f>
        <v/>
      </c>
      <c r="O513" s="8">
        <f>IF(OR(I513="",G513="",I513=0,G513=0),"",I513*2/G513)</f>
        <v/>
      </c>
      <c r="AD513" s="5" t="n">
        <v>80</v>
      </c>
      <c r="AM513" s="3">
        <f>180+60</f>
        <v/>
      </c>
      <c r="AP513" s="3" t="n">
        <v>40</v>
      </c>
      <c r="AR513" s="13">
        <f>AVERAGE(AO511:AO517)</f>
        <v/>
      </c>
      <c r="AT513" s="156">
        <f>(E513-W513)/E513</f>
        <v/>
      </c>
      <c r="AU513" s="155">
        <f>(I513-AF513)/I513</f>
        <v/>
      </c>
      <c r="AV513" s="155">
        <f>AG513/(AD513-AF513)</f>
        <v/>
      </c>
      <c r="AW513" s="155">
        <f>(G513-AM513)/G513</f>
        <v/>
      </c>
      <c r="AX513" s="254">
        <f>IF(AND(ISNUMBER(E513),ISNUMBER(W513)),E513-W513,"")</f>
        <v/>
      </c>
      <c r="AY513" s="254">
        <f>IF(AND(ISNUMBER(I513),ISNUMBER(AF513)),I513-AF513,"")</f>
        <v/>
      </c>
      <c r="AZ513" s="254">
        <f>IF(AND(ISNUMBER(AM513),ISNUMBER(G513)),G513-AM513,"")</f>
        <v/>
      </c>
      <c r="BA513" s="254">
        <f>IF(AND(ISNUMBER(AC513),ISNUMBER(AE513)),AC513-AE513,"")</f>
        <v/>
      </c>
      <c r="BB513" s="254">
        <f>IF(AND(ISNUMBER(AL513),ISNUMBER(AM513)),AL513-AM513,"")</f>
        <v/>
      </c>
      <c r="BG513" s="6">
        <f>IF((AD513-AF513)/(AJ513/60)&lt;=0,"",(AD513-AF513)/(AJ513/60))</f>
        <v/>
      </c>
      <c r="BH513" s="6">
        <f>IF(OR(AJ513=0,AP513=0,NOT(ISNUMBER(AD513)),NOT(ISNUMBER(AF513)),NOT(ISNUMBER(AJ513)),NOT(ISNUMBER(AP513))),"",
IFERROR(IF((AD513-AF513)/(AJ513/60)/(AP513/1000)&lt;=0,"",(AD513-AF513)/(AJ513/60)/(AP513/1000)),""))</f>
        <v/>
      </c>
    </row>
    <row r="514" ht="15.75" customHeight="1">
      <c r="B514" t="n">
        <v>270</v>
      </c>
      <c r="D514" s="11" t="n">
        <v>45774</v>
      </c>
      <c r="E514" s="231" t="n">
        <v>270</v>
      </c>
      <c r="F514" s="3" t="n">
        <v>509</v>
      </c>
      <c r="G514" s="205">
        <f>IF(OR(S514="",S514=0),"",S514*2)</f>
        <v/>
      </c>
      <c r="K514" s="15">
        <f>AD514</f>
        <v/>
      </c>
      <c r="M514" s="10">
        <f>IF(OR(E514="",G514="",E514=0,G514=0),"",E514/G514)</f>
        <v/>
      </c>
      <c r="N514" s="9">
        <f>IF(OR(E514="",I514="",E514=0,I514=0),"",E514/(I514*2))</f>
        <v/>
      </c>
      <c r="O514" s="8">
        <f>IF(OR(I514="",G514="",I514=0,G514=0),"",I514*2/G514)</f>
        <v/>
      </c>
      <c r="AD514" s="5" t="n">
        <v>80</v>
      </c>
      <c r="AM514" s="3">
        <f>180+60</f>
        <v/>
      </c>
      <c r="AP514" s="3" t="n">
        <v>40</v>
      </c>
      <c r="AR514" s="13">
        <f>AVERAGE(AO512:AO518)</f>
        <v/>
      </c>
      <c r="AT514" s="156">
        <f>(E514-W514)/E514</f>
        <v/>
      </c>
      <c r="AU514" s="155">
        <f>(I514-AF514)/I514</f>
        <v/>
      </c>
      <c r="AV514" s="155">
        <f>AG514/(AD514-AF514)</f>
        <v/>
      </c>
      <c r="AW514" s="155">
        <f>(G514-AM514)/G514</f>
        <v/>
      </c>
      <c r="AX514" s="254">
        <f>IF(AND(ISNUMBER(E514),ISNUMBER(W514)),E514-W514,"")</f>
        <v/>
      </c>
      <c r="AY514" s="254">
        <f>IF(AND(ISNUMBER(I514),ISNUMBER(AF514)),I514-AF514,"")</f>
        <v/>
      </c>
      <c r="AZ514" s="254">
        <f>IF(AND(ISNUMBER(AM514),ISNUMBER(G514)),G514-AM514,"")</f>
        <v/>
      </c>
      <c r="BA514" s="254">
        <f>IF(AND(ISNUMBER(AC514),ISNUMBER(AE514)),AC514-AE514,"")</f>
        <v/>
      </c>
      <c r="BB514" s="254">
        <f>IF(AND(ISNUMBER(AL514),ISNUMBER(AM514)),AL514-AM514,"")</f>
        <v/>
      </c>
      <c r="BG514" s="6">
        <f>IF((AD514-AF514)/(AJ514/60)&lt;=0,"",(AD514-AF514)/(AJ514/60))</f>
        <v/>
      </c>
      <c r="BH514" s="6">
        <f>IF(OR(AJ514=0,AP514=0,NOT(ISNUMBER(AD514)),NOT(ISNUMBER(AF514)),NOT(ISNUMBER(AJ514)),NOT(ISNUMBER(AP514))),"",
IFERROR(IF((AD514-AF514)/(AJ514/60)/(AP514/1000)&lt;=0,"",(AD514-AF514)/(AJ514/60)/(AP514/1000)),""))</f>
        <v/>
      </c>
    </row>
    <row r="515" ht="15.75" customHeight="1">
      <c r="B515" t="n">
        <v>271</v>
      </c>
      <c r="C515" s="12" t="inlineStr">
        <is>
          <t xml:space="preserve">turn off wasting </t>
        </is>
      </c>
      <c r="D515" s="11" t="n">
        <v>45775</v>
      </c>
      <c r="E515" s="231" t="n">
        <v>271</v>
      </c>
      <c r="F515" s="3" t="n">
        <v>510</v>
      </c>
      <c r="G515" s="205">
        <f>IF(OR(S515="",S515=0),"",S515*2)</f>
        <v/>
      </c>
      <c r="K515" s="15">
        <f>AD515</f>
        <v/>
      </c>
      <c r="M515" s="10">
        <f>IF(OR(E515="",G515="",E515=0,G515=0),"",E515/G515)</f>
        <v/>
      </c>
      <c r="N515" s="9">
        <f>IF(OR(E515="",I515="",E515=0,I515=0),"",E515/(I515*2))</f>
        <v/>
      </c>
      <c r="O515" s="8">
        <f>IF(OR(I515="",G515="",I515=0,G515=0),"",I515*2/G515)</f>
        <v/>
      </c>
      <c r="AD515" s="5" t="n">
        <v>80</v>
      </c>
      <c r="AM515" s="3">
        <f>180+60</f>
        <v/>
      </c>
      <c r="AP515" s="3" t="n">
        <v>40</v>
      </c>
      <c r="AR515" s="13">
        <f>AVERAGE(AO513:AO519)</f>
        <v/>
      </c>
      <c r="AT515" s="156">
        <f>(E515-W515)/E515</f>
        <v/>
      </c>
      <c r="AU515" s="155">
        <f>(I515-AF515)/I515</f>
        <v/>
      </c>
      <c r="AV515" s="155">
        <f>AG515/(AD515-AF515)</f>
        <v/>
      </c>
      <c r="AW515" s="155">
        <f>(G515-AM515)/G515</f>
        <v/>
      </c>
      <c r="AX515" s="254">
        <f>IF(AND(ISNUMBER(E515),ISNUMBER(W515)),E515-W515,"")</f>
        <v/>
      </c>
      <c r="AY515" s="254">
        <f>IF(AND(ISNUMBER(I515),ISNUMBER(AF515)),I515-AF515,"")</f>
        <v/>
      </c>
      <c r="AZ515" s="254">
        <f>IF(AND(ISNUMBER(AM515),ISNUMBER(G515)),G515-AM515,"")</f>
        <v/>
      </c>
      <c r="BA515" s="254">
        <f>IF(AND(ISNUMBER(AC515),ISNUMBER(AE515)),AC515-AE515,"")</f>
        <v/>
      </c>
      <c r="BB515" s="254">
        <f>IF(AND(ISNUMBER(AL515),ISNUMBER(AM515)),AL515-AM515,"")</f>
        <v/>
      </c>
      <c r="BG515" s="6">
        <f>IF((AD515-AF515)/(AJ515/60)&lt;=0,"",(AD515-AF515)/(AJ515/60))</f>
        <v/>
      </c>
      <c r="BH515" s="6">
        <f>IF(OR(AJ515=0,AP515=0,NOT(ISNUMBER(AD515)),NOT(ISNUMBER(AF515)),NOT(ISNUMBER(AJ515)),NOT(ISNUMBER(AP515))),"",
IFERROR(IF((AD515-AF515)/(AJ515/60)/(AP515/1000)&lt;=0,"",(AD515-AF515)/(AJ515/60)/(AP515/1000)),""))</f>
        <v/>
      </c>
    </row>
    <row r="516" ht="15.75" customHeight="1">
      <c r="B516" t="n">
        <v>272</v>
      </c>
      <c r="C516" s="12" t="inlineStr">
        <is>
          <t xml:space="preserve">Orp return </t>
        </is>
      </c>
      <c r="D516" s="11" t="n">
        <v>45776</v>
      </c>
      <c r="E516" s="231" t="n">
        <v>272</v>
      </c>
      <c r="F516" s="3" t="n">
        <v>511</v>
      </c>
      <c r="G516" s="205">
        <f>IF(OR(S516="",S516=0),"",S516*2)</f>
        <v/>
      </c>
      <c r="I516" s="15">
        <f>(N516*18-H516*18)/9</f>
        <v/>
      </c>
      <c r="J516" s="15">
        <f>5*0.852</f>
        <v/>
      </c>
      <c r="K516" s="15">
        <f>AD516</f>
        <v/>
      </c>
      <c r="M516" s="10">
        <f>IF(OR(E516="",G516="",E516=0,G516=0),"",E516/G516)</f>
        <v/>
      </c>
      <c r="N516" s="9">
        <f>IF(OR(E516="",I516="",E516=0,I516=0),"",E516/(I516*2))</f>
        <v/>
      </c>
      <c r="O516" s="8">
        <f>IF(OR(I516="",G516="",I516=0,G516=0),"",I516*2/G516)</f>
        <v/>
      </c>
      <c r="P516" s="7">
        <f>5*2.1</f>
        <v/>
      </c>
      <c r="Q516" s="6" t="n">
        <v>89.274</v>
      </c>
      <c r="R516" s="6" t="n">
        <v>31.374</v>
      </c>
      <c r="S516" s="6">
        <f>O516*1.067</f>
        <v/>
      </c>
      <c r="T516" s="6">
        <f>P516*1.514</f>
        <v/>
      </c>
      <c r="U516" s="23">
        <f>P516*1.514+O516*1.067</f>
        <v/>
      </c>
      <c r="V516" s="6" t="n">
        <v>37.6</v>
      </c>
      <c r="W516" s="59">
        <f>4.455*1.067</f>
        <v/>
      </c>
      <c r="X516" s="59">
        <f>0*1.514</f>
        <v/>
      </c>
      <c r="Y516" s="23">
        <f>U516*1.067+V516*1.514</f>
        <v/>
      </c>
      <c r="Z516" s="6" t="n">
        <v>4.14</v>
      </c>
      <c r="AA516" s="6" t="n">
        <v>0.16</v>
      </c>
      <c r="AB516" s="6" t="n">
        <v>17</v>
      </c>
      <c r="AC516" s="6" t="n">
        <v>-214</v>
      </c>
      <c r="AD516" s="5" t="n">
        <v>80</v>
      </c>
      <c r="AE516" s="7">
        <f>T516</f>
        <v/>
      </c>
      <c r="AF516" s="231">
        <f>5*4.82</f>
        <v/>
      </c>
      <c r="AG516" s="231">
        <f>5*2.74</f>
        <v/>
      </c>
      <c r="AH516" s="231" t="n">
        <v>0</v>
      </c>
      <c r="AM516" s="3">
        <f>180+60</f>
        <v/>
      </c>
      <c r="AN516" s="4">
        <f>AE516</f>
        <v/>
      </c>
      <c r="AO516" s="231">
        <f>5*1.86</f>
        <v/>
      </c>
      <c r="AP516" s="3" t="n">
        <v>40</v>
      </c>
      <c r="AR516" s="13">
        <f>AVERAGE(AO514:AO520)</f>
        <v/>
      </c>
      <c r="AT516" s="156">
        <f>(E516-W516)/E516</f>
        <v/>
      </c>
      <c r="AU516" s="155">
        <f>(I516-AF516)/I516</f>
        <v/>
      </c>
      <c r="AV516" s="155">
        <f>AG516/(AD516-AF516)</f>
        <v/>
      </c>
      <c r="AW516" s="155">
        <f>(G516-AM516)/G516</f>
        <v/>
      </c>
      <c r="AX516" s="254">
        <f>IF(AND(ISNUMBER(E516),ISNUMBER(W516)),E516-W516,"")</f>
        <v/>
      </c>
      <c r="AY516" s="254">
        <f>IF(AND(ISNUMBER(I516),ISNUMBER(AF516)),I516-AF516,"")</f>
        <v/>
      </c>
      <c r="AZ516" s="254">
        <f>IF(AND(ISNUMBER(AM516),ISNUMBER(G516)),G516-AM516,"")</f>
        <v/>
      </c>
      <c r="BA516" s="254">
        <f>IF(AND(ISNUMBER(AC516),ISNUMBER(AE516)),AC516-AE516,"")</f>
        <v/>
      </c>
      <c r="BB516" s="254">
        <f>IF(AND(ISNUMBER(AL516),ISNUMBER(AM516)),AL516-AM516,"")</f>
        <v/>
      </c>
      <c r="BG516" s="6">
        <f>IF((AD516-AF516)/(AJ516/60)&lt;=0,"",(AD516-AF516)/(AJ516/60))</f>
        <v/>
      </c>
      <c r="BH516" s="6">
        <f>IF(OR(AJ516=0,AP516=0,NOT(ISNUMBER(AD516)),NOT(ISNUMBER(AF516)),NOT(ISNUMBER(AJ516)),NOT(ISNUMBER(AP516))),"",
IFERROR(IF((AD516-AF516)/(AJ516/60)/(AP516/1000)&lt;=0,"",(AD516-AF516)/(AJ516/60)/(AP516/1000)),""))</f>
        <v/>
      </c>
    </row>
    <row r="517" ht="15.75" customHeight="1">
      <c r="B517" t="n">
        <v>273</v>
      </c>
      <c r="D517" s="72" t="n">
        <v>45777</v>
      </c>
      <c r="E517" s="231" t="n">
        <v>273</v>
      </c>
      <c r="F517" s="3" t="n">
        <v>512</v>
      </c>
      <c r="G517" s="205">
        <f>IF(OR(S517="",S517=0),"",S517*2)</f>
        <v/>
      </c>
      <c r="K517" s="15">
        <f>AD517</f>
        <v/>
      </c>
      <c r="M517" s="10">
        <f>IF(OR(E517="",G517="",E517=0,G517=0),"",E517/G517)</f>
        <v/>
      </c>
      <c r="N517" s="9">
        <f>IF(OR(E517="",I517="",E517=0,I517=0),"",E517/(I517*2))</f>
        <v/>
      </c>
      <c r="O517" s="8">
        <f>IF(OR(I517="",G517="",I517=0,G517=0),"",I517*2/G517)</f>
        <v/>
      </c>
      <c r="AD517" s="5" t="n">
        <v>80</v>
      </c>
      <c r="AM517" s="3">
        <f>180+60</f>
        <v/>
      </c>
      <c r="AP517" s="3" t="n">
        <v>40</v>
      </c>
      <c r="AQ517" s="2" t="n">
        <v>1070.000000000027</v>
      </c>
      <c r="AR517" s="13">
        <f>AVERAGE(AO515:AO521)</f>
        <v/>
      </c>
      <c r="AT517" s="156">
        <f>(E517-W517)/E517</f>
        <v/>
      </c>
      <c r="AU517" s="155">
        <f>(I517-AF517)/I517</f>
        <v/>
      </c>
      <c r="AV517" s="155">
        <f>AG517/(AD517-AF517)</f>
        <v/>
      </c>
      <c r="AW517" s="155">
        <f>(G517-AM517)/G517</f>
        <v/>
      </c>
      <c r="AX517" s="254">
        <f>IF(AND(ISNUMBER(E517),ISNUMBER(W517)),E517-W517,"")</f>
        <v/>
      </c>
      <c r="AY517" s="254">
        <f>IF(AND(ISNUMBER(I517),ISNUMBER(AF517)),I517-AF517,"")</f>
        <v/>
      </c>
      <c r="AZ517" s="254">
        <f>IF(AND(ISNUMBER(AM517),ISNUMBER(G517)),G517-AM517,"")</f>
        <v/>
      </c>
      <c r="BA517" s="254">
        <f>IF(AND(ISNUMBER(AC517),ISNUMBER(AE517)),AC517-AE517,"")</f>
        <v/>
      </c>
      <c r="BB517" s="254">
        <f>IF(AND(ISNUMBER(AL517),ISNUMBER(AM517)),AL517-AM517,"")</f>
        <v/>
      </c>
      <c r="BG517" s="6">
        <f>IF((AD517-AF517)/(AJ517/60)&lt;=0,"",(AD517-AF517)/(AJ517/60))</f>
        <v/>
      </c>
      <c r="BH517" s="6">
        <f>IF(OR(AJ517=0,AP517=0,NOT(ISNUMBER(AD517)),NOT(ISNUMBER(AF517)),NOT(ISNUMBER(AJ517)),NOT(ISNUMBER(AP517))),"",
IFERROR(IF((AD517-AF517)/(AJ517/60)/(AP517/1000)&lt;=0,"",(AD517-AF517)/(AJ517/60)/(AP517/1000)),""))</f>
        <v/>
      </c>
    </row>
    <row r="518" ht="15.75" customHeight="1">
      <c r="B518" t="n">
        <v>274</v>
      </c>
      <c r="D518" s="11" t="n">
        <v>45778</v>
      </c>
      <c r="E518" s="231" t="n">
        <v>274</v>
      </c>
      <c r="F518" s="3" t="n">
        <v>513</v>
      </c>
      <c r="G518" s="205">
        <f>IF(OR(S518="",S518=0),"",S518*2)</f>
        <v/>
      </c>
      <c r="K518" s="15">
        <f>AD518</f>
        <v/>
      </c>
      <c r="M518" s="10">
        <f>IF(OR(E518="",G518="",E518=0,G518=0),"",E518/G518)</f>
        <v/>
      </c>
      <c r="N518" s="9">
        <f>IF(OR(E518="",I518="",E518=0,I518=0),"",E518/(I518*2))</f>
        <v/>
      </c>
      <c r="O518" s="8">
        <f>IF(OR(I518="",G518="",I518=0,G518=0),"",I518*2/G518)</f>
        <v/>
      </c>
      <c r="AD518" s="5" t="n">
        <v>80</v>
      </c>
      <c r="AM518" s="3">
        <f>180+60</f>
        <v/>
      </c>
      <c r="AP518" s="3" t="n">
        <v>40</v>
      </c>
      <c r="AR518" s="13">
        <f>AVERAGE(AO516:AO522)</f>
        <v/>
      </c>
      <c r="AT518" s="156">
        <f>(E518-W518)/E518</f>
        <v/>
      </c>
      <c r="AU518" s="155">
        <f>(I518-AF518)/I518</f>
        <v/>
      </c>
      <c r="AV518" s="155">
        <f>AG518/(AD518-AF518)</f>
        <v/>
      </c>
      <c r="AW518" s="155">
        <f>(G518-AM518)/G518</f>
        <v/>
      </c>
      <c r="AX518" s="254">
        <f>IF(AND(ISNUMBER(E518),ISNUMBER(W518)),E518-W518,"")</f>
        <v/>
      </c>
      <c r="AY518" s="254">
        <f>IF(AND(ISNUMBER(I518),ISNUMBER(AF518)),I518-AF518,"")</f>
        <v/>
      </c>
      <c r="AZ518" s="254">
        <f>IF(AND(ISNUMBER(AM518),ISNUMBER(G518)),G518-AM518,"")</f>
        <v/>
      </c>
      <c r="BA518" s="254">
        <f>IF(AND(ISNUMBER(AC518),ISNUMBER(AE518)),AC518-AE518,"")</f>
        <v/>
      </c>
      <c r="BB518" s="254">
        <f>IF(AND(ISNUMBER(AL518),ISNUMBER(AM518)),AL518-AM518,"")</f>
        <v/>
      </c>
      <c r="BG518" s="6">
        <f>IF((AD518-AF518)/(AJ518/60)&lt;=0,"",(AD518-AF518)/(AJ518/60))</f>
        <v/>
      </c>
      <c r="BH518" s="6">
        <f>IF(OR(AJ518=0,AP518=0,NOT(ISNUMBER(AD518)),NOT(ISNUMBER(AF518)),NOT(ISNUMBER(AJ518)),NOT(ISNUMBER(AP518))),"",
IFERROR(IF((AD518-AF518)/(AJ518/60)/(AP518/1000)&lt;=0,"",(AD518-AF518)/(AJ518/60)/(AP518/1000)),""))</f>
        <v/>
      </c>
    </row>
    <row r="519" ht="15.75" customHeight="1">
      <c r="A519" s="260" t="inlineStr">
        <is>
          <t>B67</t>
        </is>
      </c>
      <c r="B519" s="260" t="n">
        <v>275</v>
      </c>
      <c r="D519" s="11" t="n">
        <v>45779</v>
      </c>
      <c r="E519" s="231" t="n">
        <v>275</v>
      </c>
      <c r="F519" s="3" t="n">
        <v>514</v>
      </c>
      <c r="G519" s="205">
        <f>IF(OR(S519="",S519=0),"",S519*2)</f>
        <v/>
      </c>
      <c r="K519" s="15">
        <f>AD519</f>
        <v/>
      </c>
      <c r="M519" s="10">
        <f>IF(OR(E519="",G519="",E519=0,G519=0),"",E519/G519)</f>
        <v/>
      </c>
      <c r="N519" s="9">
        <f>IF(OR(E519="",I519="",E519=0,I519=0),"",E519/(I519*2))</f>
        <v/>
      </c>
      <c r="O519" s="8">
        <f>IF(OR(I519="",G519="",I519=0,G519=0),"",I519*2/G519)</f>
        <v/>
      </c>
      <c r="AD519" s="5" t="n">
        <v>80</v>
      </c>
      <c r="AM519" s="3">
        <f>180+60</f>
        <v/>
      </c>
      <c r="AP519" s="3" t="n">
        <v>40</v>
      </c>
      <c r="AR519" s="13">
        <f>AVERAGE(AO517:AO523)</f>
        <v/>
      </c>
      <c r="AT519" s="156">
        <f>(E519-W519)/E519</f>
        <v/>
      </c>
      <c r="AU519" s="155">
        <f>(I519-AF519)/I519</f>
        <v/>
      </c>
      <c r="AV519" s="155">
        <f>AG519/(AD519-AF519)</f>
        <v/>
      </c>
      <c r="AW519" s="155">
        <f>(G519-AM519)/G519</f>
        <v/>
      </c>
      <c r="AX519" s="254">
        <f>IF(AND(ISNUMBER(E519),ISNUMBER(W519)),E519-W519,"")</f>
        <v/>
      </c>
      <c r="AY519" s="254">
        <f>IF(AND(ISNUMBER(I519),ISNUMBER(AF519)),I519-AF519,"")</f>
        <v/>
      </c>
      <c r="AZ519" s="254">
        <f>IF(AND(ISNUMBER(AM519),ISNUMBER(G519)),G519-AM519,"")</f>
        <v/>
      </c>
      <c r="BA519" s="254">
        <f>IF(AND(ISNUMBER(AC519),ISNUMBER(AE519)),AC519-AE519,"")</f>
        <v/>
      </c>
      <c r="BB519" s="254">
        <f>IF(AND(ISNUMBER(AL519),ISNUMBER(AM519)),AL519-AM519,"")</f>
        <v/>
      </c>
      <c r="BG519" s="6">
        <f>IF((AD519-AF519)/(AJ519/60)&lt;=0,"",(AD519-AF519)/(AJ519/60))</f>
        <v/>
      </c>
      <c r="BH519" s="6">
        <f>IF(OR(AJ519=0,AP519=0,NOT(ISNUMBER(AD519)),NOT(ISNUMBER(AF519)),NOT(ISNUMBER(AJ519)),NOT(ISNUMBER(AP519))),"",
IFERROR(IF((AD519-AF519)/(AJ519/60)/(AP519/1000)&lt;=0,"",(AD519-AF519)/(AJ519/60)/(AP519/1000)),""))</f>
        <v/>
      </c>
    </row>
    <row r="520" ht="15.75" customHeight="1">
      <c r="B520" t="n">
        <v>276</v>
      </c>
      <c r="D520" s="11" t="n">
        <v>45780</v>
      </c>
      <c r="E520" s="231" t="n">
        <v>276</v>
      </c>
      <c r="F520" s="3" t="n">
        <v>515</v>
      </c>
      <c r="G520" s="205">
        <f>IF(OR(S520="",S520=0),"",S520*2)</f>
        <v/>
      </c>
      <c r="K520" s="15">
        <f>AD520</f>
        <v/>
      </c>
      <c r="M520" s="10">
        <f>IF(OR(E520="",G520="",E520=0,G520=0),"",E520/G520)</f>
        <v/>
      </c>
      <c r="N520" s="9">
        <f>IF(OR(E520="",I520="",E520=0,I520=0),"",E520/(I520*2))</f>
        <v/>
      </c>
      <c r="O520" s="8">
        <f>IF(OR(I520="",G520="",I520=0,G520=0),"",I520*2/G520)</f>
        <v/>
      </c>
      <c r="AD520" s="5" t="n">
        <v>80</v>
      </c>
      <c r="AM520" s="3">
        <f>180+60</f>
        <v/>
      </c>
      <c r="AP520" s="3" t="n">
        <v>40</v>
      </c>
      <c r="AR520" s="13">
        <f>AVERAGE(AO518:AO524)</f>
        <v/>
      </c>
      <c r="AT520" s="156">
        <f>(E520-W520)/E520</f>
        <v/>
      </c>
      <c r="AU520" s="155">
        <f>(I520-AF520)/I520</f>
        <v/>
      </c>
      <c r="AV520" s="155">
        <f>AG520/(AD520-AF520)</f>
        <v/>
      </c>
      <c r="AW520" s="155">
        <f>(G520-AM520)/G520</f>
        <v/>
      </c>
      <c r="AX520" s="254">
        <f>IF(AND(ISNUMBER(E520),ISNUMBER(W520)),E520-W520,"")</f>
        <v/>
      </c>
      <c r="AY520" s="254">
        <f>IF(AND(ISNUMBER(I520),ISNUMBER(AF520)),I520-AF520,"")</f>
        <v/>
      </c>
      <c r="AZ520" s="254">
        <f>IF(AND(ISNUMBER(AM520),ISNUMBER(G520)),G520-AM520,"")</f>
        <v/>
      </c>
      <c r="BA520" s="254">
        <f>IF(AND(ISNUMBER(AC520),ISNUMBER(AE520)),AC520-AE520,"")</f>
        <v/>
      </c>
      <c r="BB520" s="254">
        <f>IF(AND(ISNUMBER(AL520),ISNUMBER(AM520)),AL520-AM520,"")</f>
        <v/>
      </c>
      <c r="BG520" s="6">
        <f>IF((AD520-AF520)/(AJ520/60)&lt;=0,"",(AD520-AF520)/(AJ520/60))</f>
        <v/>
      </c>
      <c r="BH520" s="6">
        <f>IF(OR(AJ520=0,AP520=0,NOT(ISNUMBER(AD520)),NOT(ISNUMBER(AF520)),NOT(ISNUMBER(AJ520)),NOT(ISNUMBER(AP520))),"",
IFERROR(IF((AD520-AF520)/(AJ520/60)/(AP520/1000)&lt;=0,"",(AD520-AF520)/(AJ520/60)/(AP520/1000)),""))</f>
        <v/>
      </c>
    </row>
    <row r="521" ht="15.75" customHeight="1">
      <c r="B521" t="n">
        <v>277</v>
      </c>
      <c r="D521" s="11" t="n">
        <v>45781</v>
      </c>
      <c r="E521" s="231" t="n">
        <v>277</v>
      </c>
      <c r="F521" s="3" t="n">
        <v>516</v>
      </c>
      <c r="G521" s="205">
        <f>IF(OR(S521="",S521=0),"",S521*2)</f>
        <v/>
      </c>
      <c r="K521" s="15">
        <f>AD521</f>
        <v/>
      </c>
      <c r="M521" s="10">
        <f>IF(OR(E521="",G521="",E521=0,G521=0),"",E521/G521)</f>
        <v/>
      </c>
      <c r="N521" s="9">
        <f>IF(OR(E521="",I521="",E521=0,I521=0),"",E521/(I521*2))</f>
        <v/>
      </c>
      <c r="O521" s="8">
        <f>IF(OR(I521="",G521="",I521=0,G521=0),"",I521*2/G521)</f>
        <v/>
      </c>
      <c r="AD521" s="5" t="n">
        <v>80</v>
      </c>
      <c r="AM521" s="3">
        <f>180+60</f>
        <v/>
      </c>
      <c r="AP521" s="3" t="n">
        <v>40</v>
      </c>
      <c r="AR521" s="13">
        <f>AVERAGE(AO519:AO525)</f>
        <v/>
      </c>
      <c r="AT521" s="156">
        <f>(E521-W521)/E521</f>
        <v/>
      </c>
      <c r="AU521" s="155">
        <f>(I521-AF521)/I521</f>
        <v/>
      </c>
      <c r="AV521" s="155">
        <f>AG521/(AD521-AF521)</f>
        <v/>
      </c>
      <c r="AW521" s="155">
        <f>(G521-AM521)/G521</f>
        <v/>
      </c>
      <c r="AX521" s="254">
        <f>IF(AND(ISNUMBER(E521),ISNUMBER(W521)),E521-W521,"")</f>
        <v/>
      </c>
      <c r="AY521" s="254">
        <f>IF(AND(ISNUMBER(I521),ISNUMBER(AF521)),I521-AF521,"")</f>
        <v/>
      </c>
      <c r="AZ521" s="254">
        <f>IF(AND(ISNUMBER(AM521),ISNUMBER(G521)),G521-AM521,"")</f>
        <v/>
      </c>
      <c r="BA521" s="254">
        <f>IF(AND(ISNUMBER(AC521),ISNUMBER(AE521)),AC521-AE521,"")</f>
        <v/>
      </c>
      <c r="BB521" s="254">
        <f>IF(AND(ISNUMBER(AL521),ISNUMBER(AM521)),AL521-AM521,"")</f>
        <v/>
      </c>
      <c r="BG521" s="6">
        <f>IF((AD521-AF521)/(AJ521/60)&lt;=0,"",(AD521-AF521)/(AJ521/60))</f>
        <v/>
      </c>
      <c r="BH521" s="6">
        <f>IF(OR(AJ521=0,AP521=0,NOT(ISNUMBER(AD521)),NOT(ISNUMBER(AF521)),NOT(ISNUMBER(AJ521)),NOT(ISNUMBER(AP521))),"",
IFERROR(IF((AD521-AF521)/(AJ521/60)/(AP521/1000)&lt;=0,"",(AD521-AF521)/(AJ521/60)/(AP521/1000)),""))</f>
        <v/>
      </c>
    </row>
    <row r="522" ht="15.75" customHeight="1">
      <c r="B522" t="n">
        <v>278</v>
      </c>
      <c r="D522" s="11" t="n">
        <v>45782</v>
      </c>
      <c r="E522" s="231" t="n">
        <v>278</v>
      </c>
      <c r="F522" s="3" t="n">
        <v>517</v>
      </c>
      <c r="G522" s="205">
        <f>IF(OR(S522="",S522=0),"",S522*2)</f>
        <v/>
      </c>
      <c r="K522" s="15">
        <f>AD522</f>
        <v/>
      </c>
      <c r="M522" s="10">
        <f>IF(OR(E522="",G522="",E522=0,G522=0),"",E522/G522)</f>
        <v/>
      </c>
      <c r="N522" s="9">
        <f>IF(OR(E522="",I522="",E522=0,I522=0),"",E522/(I522*2))</f>
        <v/>
      </c>
      <c r="O522" s="8">
        <f>IF(OR(I522="",G522="",I522=0,G522=0),"",I522*2/G522)</f>
        <v/>
      </c>
      <c r="AD522" s="5" t="n">
        <v>80</v>
      </c>
      <c r="AM522" s="3">
        <f>180+60</f>
        <v/>
      </c>
      <c r="AP522" s="3" t="n">
        <v>40</v>
      </c>
      <c r="AR522" s="13">
        <f>AVERAGE(AO520:AO526)</f>
        <v/>
      </c>
      <c r="AT522" s="156">
        <f>(E522-W522)/E522</f>
        <v/>
      </c>
      <c r="AU522" s="155">
        <f>(I522-AF522)/I522</f>
        <v/>
      </c>
      <c r="AV522" s="155">
        <f>AG522/(AD522-AF522)</f>
        <v/>
      </c>
      <c r="AW522" s="155">
        <f>(G522-AM522)/G522</f>
        <v/>
      </c>
      <c r="AX522" s="254">
        <f>IF(AND(ISNUMBER(E522),ISNUMBER(W522)),E522-W522,"")</f>
        <v/>
      </c>
      <c r="AY522" s="254">
        <f>IF(AND(ISNUMBER(I522),ISNUMBER(AF522)),I522-AF522,"")</f>
        <v/>
      </c>
      <c r="AZ522" s="254">
        <f>IF(AND(ISNUMBER(AM522),ISNUMBER(G522)),G522-AM522,"")</f>
        <v/>
      </c>
      <c r="BA522" s="254">
        <f>IF(AND(ISNUMBER(AC522),ISNUMBER(AE522)),AC522-AE522,"")</f>
        <v/>
      </c>
      <c r="BB522" s="254">
        <f>IF(AND(ISNUMBER(AL522),ISNUMBER(AM522)),AL522-AM522,"")</f>
        <v/>
      </c>
      <c r="BG522" s="6">
        <f>IF((AD522-AF522)/(AJ522/60)&lt;=0,"",(AD522-AF522)/(AJ522/60))</f>
        <v/>
      </c>
      <c r="BH522" s="6">
        <f>IF(OR(AJ522=0,AP522=0,NOT(ISNUMBER(AD522)),NOT(ISNUMBER(AF522)),NOT(ISNUMBER(AJ522)),NOT(ISNUMBER(AP522))),"",
IFERROR(IF((AD522-AF522)/(AJ522/60)/(AP522/1000)&lt;=0,"",(AD522-AF522)/(AJ522/60)/(AP522/1000)),""))</f>
        <v/>
      </c>
    </row>
    <row r="523" ht="30" customHeight="1">
      <c r="B523" t="n">
        <v>279</v>
      </c>
      <c r="C523" s="12" t="inlineStr">
        <is>
          <t xml:space="preserve">ORP drop really low during the settling phase (rinse the probe) </t>
        </is>
      </c>
      <c r="D523" s="11" t="n">
        <v>45783</v>
      </c>
      <c r="E523" s="231" t="n">
        <v>279</v>
      </c>
      <c r="F523" s="3" t="n">
        <v>518</v>
      </c>
      <c r="G523" s="205">
        <f>IF(OR(S523="",S523=0),"",S523*2)</f>
        <v/>
      </c>
      <c r="K523" s="15">
        <f>AD523</f>
        <v/>
      </c>
      <c r="M523" s="10">
        <f>IF(OR(E523="",G523="",E523=0,G523=0),"",E523/G523)</f>
        <v/>
      </c>
      <c r="N523" s="9">
        <f>IF(OR(E523="",I523="",E523=0,I523=0),"",E523/(I523*2))</f>
        <v/>
      </c>
      <c r="O523" s="8">
        <f>IF(OR(I523="",G523="",I523=0,G523=0),"",I523*2/G523)</f>
        <v/>
      </c>
      <c r="AD523" s="5" t="n">
        <v>80</v>
      </c>
      <c r="AM523" s="3">
        <f>180+60</f>
        <v/>
      </c>
      <c r="AP523" s="3" t="n">
        <v>40</v>
      </c>
      <c r="AR523" s="13">
        <f>AVERAGE(AO521:AO527)</f>
        <v/>
      </c>
      <c r="AT523" s="156">
        <f>(E523-W523)/E523</f>
        <v/>
      </c>
      <c r="AU523" s="155">
        <f>(I523-AF523)/I523</f>
        <v/>
      </c>
      <c r="AV523" s="155">
        <f>AG523/(AD523-AF523)</f>
        <v/>
      </c>
      <c r="AW523" s="155">
        <f>(G523-AM523)/G523</f>
        <v/>
      </c>
      <c r="AX523" s="254">
        <f>IF(AND(ISNUMBER(E523),ISNUMBER(W523)),E523-W523,"")</f>
        <v/>
      </c>
      <c r="AY523" s="254">
        <f>IF(AND(ISNUMBER(I523),ISNUMBER(AF523)),I523-AF523,"")</f>
        <v/>
      </c>
      <c r="AZ523" s="254">
        <f>IF(AND(ISNUMBER(AM523),ISNUMBER(G523)),G523-AM523,"")</f>
        <v/>
      </c>
      <c r="BA523" s="254">
        <f>IF(AND(ISNUMBER(AC523),ISNUMBER(AE523)),AC523-AE523,"")</f>
        <v/>
      </c>
      <c r="BB523" s="254">
        <f>IF(AND(ISNUMBER(AL523),ISNUMBER(AM523)),AL523-AM523,"")</f>
        <v/>
      </c>
      <c r="BG523" s="6">
        <f>IF((AD523-AF523)/(AJ523/60)&lt;=0,"",(AD523-AF523)/(AJ523/60))</f>
        <v/>
      </c>
      <c r="BH523" s="6">
        <f>IF(OR(AJ523=0,AP523=0,NOT(ISNUMBER(AD523)),NOT(ISNUMBER(AF523)),NOT(ISNUMBER(AJ523)),NOT(ISNUMBER(AP523))),"",
IFERROR(IF((AD523-AF523)/(AJ523/60)/(AP523/1000)&lt;=0,"",(AD523-AF523)/(AJ523/60)/(AP523/1000)),""))</f>
        <v/>
      </c>
    </row>
    <row r="524" ht="15.75" customHeight="1">
      <c r="B524" t="n">
        <v>280</v>
      </c>
      <c r="D524" s="11" t="n">
        <v>45784</v>
      </c>
      <c r="E524" s="231" t="n">
        <v>280</v>
      </c>
      <c r="F524" s="3" t="n">
        <v>519</v>
      </c>
      <c r="G524" s="205">
        <f>IF(OR(S524="",S524=0),"",S524*2)</f>
        <v/>
      </c>
      <c r="K524" s="15">
        <f>AD524</f>
        <v/>
      </c>
      <c r="M524" s="10">
        <f>IF(OR(E524="",G524="",E524=0,G524=0),"",E524/G524)</f>
        <v/>
      </c>
      <c r="N524" s="9">
        <f>IF(OR(E524="",I524="",E524=0,I524=0),"",E524/(I524*2))</f>
        <v/>
      </c>
      <c r="O524" s="8">
        <f>IF(OR(I524="",G524="",I524=0,G524=0),"",I524*2/G524)</f>
        <v/>
      </c>
      <c r="AD524" s="5" t="n">
        <v>80</v>
      </c>
      <c r="AM524" s="3">
        <f>180+60</f>
        <v/>
      </c>
      <c r="AP524" s="3" t="n">
        <v>40</v>
      </c>
      <c r="AR524" s="13">
        <f>AVERAGE(AO522:AO528)</f>
        <v/>
      </c>
      <c r="AT524" s="156">
        <f>(E524-W524)/E524</f>
        <v/>
      </c>
      <c r="AU524" s="155">
        <f>(I524-AF524)/I524</f>
        <v/>
      </c>
      <c r="AV524" s="155">
        <f>AG524/(AD524-AF524)</f>
        <v/>
      </c>
      <c r="AW524" s="155">
        <f>(G524-AM524)/G524</f>
        <v/>
      </c>
      <c r="AX524" s="254">
        <f>IF(AND(ISNUMBER(E524),ISNUMBER(W524)),E524-W524,"")</f>
        <v/>
      </c>
      <c r="AY524" s="254">
        <f>IF(AND(ISNUMBER(I524),ISNUMBER(AF524)),I524-AF524,"")</f>
        <v/>
      </c>
      <c r="AZ524" s="254">
        <f>IF(AND(ISNUMBER(AM524),ISNUMBER(G524)),G524-AM524,"")</f>
        <v/>
      </c>
      <c r="BA524" s="254">
        <f>IF(AND(ISNUMBER(AC524),ISNUMBER(AE524)),AC524-AE524,"")</f>
        <v/>
      </c>
      <c r="BB524" s="254">
        <f>IF(AND(ISNUMBER(AL524),ISNUMBER(AM524)),AL524-AM524,"")</f>
        <v/>
      </c>
      <c r="BG524" s="6">
        <f>IF((AD524-AF524)/(AJ524/60)&lt;=0,"",(AD524-AF524)/(AJ524/60))</f>
        <v/>
      </c>
      <c r="BH524" s="6">
        <f>IF(OR(AJ524=0,AP524=0,NOT(ISNUMBER(AD524)),NOT(ISNUMBER(AF524)),NOT(ISNUMBER(AJ524)),NOT(ISNUMBER(AP524))),"",
IFERROR(IF((AD524-AF524)/(AJ524/60)/(AP524/1000)&lt;=0,"",(AD524-AF524)/(AJ524/60)/(AP524/1000)),""))</f>
        <v/>
      </c>
    </row>
    <row r="525" ht="15.75" customHeight="1">
      <c r="B525" t="n">
        <v>281</v>
      </c>
      <c r="D525" s="11" t="n">
        <v>45785</v>
      </c>
      <c r="E525" s="231" t="n">
        <v>281</v>
      </c>
      <c r="F525" s="3" t="n">
        <v>520</v>
      </c>
      <c r="G525" s="205">
        <f>IF(OR(S525="",S525=0),"",S525*2)</f>
        <v/>
      </c>
      <c r="K525" s="15">
        <f>AD525</f>
        <v/>
      </c>
      <c r="M525" s="10">
        <f>IF(OR(E525="",G525="",E525=0,G525=0),"",E525/G525)</f>
        <v/>
      </c>
      <c r="N525" s="9">
        <f>IF(OR(E525="",I525="",E525=0,I525=0),"",E525/(I525*2))</f>
        <v/>
      </c>
      <c r="O525" s="8">
        <f>IF(OR(I525="",G525="",I525=0,G525=0),"",I525*2/G525)</f>
        <v/>
      </c>
      <c r="AD525" s="5" t="n">
        <v>80</v>
      </c>
      <c r="AM525" s="3">
        <f>180+60</f>
        <v/>
      </c>
      <c r="AP525" s="3" t="n">
        <v>40</v>
      </c>
      <c r="AR525" s="13">
        <f>AVERAGE(AO523:AO529)</f>
        <v/>
      </c>
      <c r="AT525" s="156">
        <f>(E525-W525)/E525</f>
        <v/>
      </c>
      <c r="AU525" s="155">
        <f>(I525-AF525)/I525</f>
        <v/>
      </c>
      <c r="AV525" s="155">
        <f>AG525/(AD525-AF525)</f>
        <v/>
      </c>
      <c r="AW525" s="155">
        <f>(G525-AM525)/G525</f>
        <v/>
      </c>
      <c r="AX525" s="254">
        <f>IF(AND(ISNUMBER(E525),ISNUMBER(W525)),E525-W525,"")</f>
        <v/>
      </c>
      <c r="AY525" s="254">
        <f>IF(AND(ISNUMBER(I525),ISNUMBER(AF525)),I525-AF525,"")</f>
        <v/>
      </c>
      <c r="AZ525" s="254">
        <f>IF(AND(ISNUMBER(AM525),ISNUMBER(G525)),G525-AM525,"")</f>
        <v/>
      </c>
      <c r="BA525" s="254">
        <f>IF(AND(ISNUMBER(AC525),ISNUMBER(AE525)),AC525-AE525,"")</f>
        <v/>
      </c>
      <c r="BB525" s="254">
        <f>IF(AND(ISNUMBER(AL525),ISNUMBER(AM525)),AL525-AM525,"")</f>
        <v/>
      </c>
      <c r="BG525" s="6">
        <f>IF((AD525-AF525)/(AJ525/60)&lt;=0,"",(AD525-AF525)/(AJ525/60))</f>
        <v/>
      </c>
      <c r="BH525" s="6">
        <f>IF(OR(AJ525=0,AP525=0,NOT(ISNUMBER(AD525)),NOT(ISNUMBER(AF525)),NOT(ISNUMBER(AJ525)),NOT(ISNUMBER(AP525))),"",
IFERROR(IF((AD525-AF525)/(AJ525/60)/(AP525/1000)&lt;=0,"",(AD525-AF525)/(AJ525/60)/(AP525/1000)),""))</f>
        <v/>
      </c>
    </row>
    <row r="526" ht="15.75" customHeight="1">
      <c r="B526" t="n">
        <v>282</v>
      </c>
      <c r="D526" s="72" t="n">
        <v>45786</v>
      </c>
      <c r="E526" s="231" t="n">
        <v>282</v>
      </c>
      <c r="F526" s="3" t="n">
        <v>521</v>
      </c>
      <c r="G526" s="205">
        <f>IF(OR(S526="",S526=0),"",S526*2)</f>
        <v/>
      </c>
      <c r="K526" s="15">
        <f>AD526</f>
        <v/>
      </c>
      <c r="M526" s="10">
        <f>IF(OR(E526="",G526="",E526=0,G526=0),"",E526/G526)</f>
        <v/>
      </c>
      <c r="N526" s="9">
        <f>IF(OR(E526="",I526="",E526=0,I526=0),"",E526/(I526*2))</f>
        <v/>
      </c>
      <c r="O526" s="8">
        <f>IF(OR(I526="",G526="",I526=0,G526=0),"",I526*2/G526)</f>
        <v/>
      </c>
      <c r="AD526" s="5" t="n">
        <v>80</v>
      </c>
      <c r="AM526" s="3">
        <f>180+60</f>
        <v/>
      </c>
      <c r="AP526" s="3" t="n">
        <v>40</v>
      </c>
      <c r="AR526" s="13">
        <f>AVERAGE(AO524:AO530)</f>
        <v/>
      </c>
      <c r="AT526" s="156">
        <f>(E526-W526)/E526</f>
        <v/>
      </c>
      <c r="AU526" s="155">
        <f>(I526-AF526)/I526</f>
        <v/>
      </c>
      <c r="AV526" s="155">
        <f>AG526/(AD526-AF526)</f>
        <v/>
      </c>
      <c r="AW526" s="155">
        <f>(G526-AM526)/G526</f>
        <v/>
      </c>
      <c r="AX526" s="254">
        <f>IF(AND(ISNUMBER(E526),ISNUMBER(W526)),E526-W526,"")</f>
        <v/>
      </c>
      <c r="AY526" s="254">
        <f>IF(AND(ISNUMBER(I526),ISNUMBER(AF526)),I526-AF526,"")</f>
        <v/>
      </c>
      <c r="AZ526" s="254">
        <f>IF(AND(ISNUMBER(AM526),ISNUMBER(G526)),G526-AM526,"")</f>
        <v/>
      </c>
      <c r="BA526" s="254">
        <f>IF(AND(ISNUMBER(AC526),ISNUMBER(AE526)),AC526-AE526,"")</f>
        <v/>
      </c>
      <c r="BB526" s="254">
        <f>IF(AND(ISNUMBER(AL526),ISNUMBER(AM526)),AL526-AM526,"")</f>
        <v/>
      </c>
      <c r="BG526" s="6">
        <f>IF((AD526-AF526)/(AJ526/60)&lt;=0,"",(AD526-AF526)/(AJ526/60))</f>
        <v/>
      </c>
      <c r="BH526" s="6">
        <f>IF(OR(AJ526=0,AP526=0,NOT(ISNUMBER(AD526)),NOT(ISNUMBER(AF526)),NOT(ISNUMBER(AJ526)),NOT(ISNUMBER(AP526))),"",
IFERROR(IF((AD526-AF526)/(AJ526/60)/(AP526/1000)&lt;=0,"",(AD526-AF526)/(AJ526/60)/(AP526/1000)),""))</f>
        <v/>
      </c>
    </row>
    <row r="527" ht="15.75" customHeight="1">
      <c r="B527" t="n">
        <v>283</v>
      </c>
      <c r="C527" s="25" t="inlineStr">
        <is>
          <t>aeration seemed to be turned on during aerobic phase?</t>
        </is>
      </c>
      <c r="D527" s="11" t="n">
        <v>45787</v>
      </c>
      <c r="E527" s="231" t="n">
        <v>283</v>
      </c>
      <c r="F527" s="3" t="n">
        <v>522</v>
      </c>
      <c r="G527" s="205">
        <f>IF(OR(S527="",S527=0),"",S527*2)</f>
        <v/>
      </c>
      <c r="K527" s="15">
        <f>AD527</f>
        <v/>
      </c>
      <c r="M527" s="10">
        <f>IF(OR(E527="",G527="",E527=0,G527=0),"",E527/G527)</f>
        <v/>
      </c>
      <c r="N527" s="9">
        <f>IF(OR(E527="",I527="",E527=0,I527=0),"",E527/(I527*2))</f>
        <v/>
      </c>
      <c r="O527" s="8">
        <f>IF(OR(I527="",G527="",I527=0,G527=0),"",I527*2/G527)</f>
        <v/>
      </c>
      <c r="AD527" s="5" t="n">
        <v>80</v>
      </c>
      <c r="AM527" s="3">
        <f>180+60</f>
        <v/>
      </c>
      <c r="AP527" s="3" t="n">
        <v>40</v>
      </c>
      <c r="AR527" s="13">
        <f>AVERAGE(AO525:AO531)</f>
        <v/>
      </c>
      <c r="AT527" s="156">
        <f>(E527-W527)/E527</f>
        <v/>
      </c>
      <c r="AU527" s="155">
        <f>(I527-AF527)/I527</f>
        <v/>
      </c>
      <c r="AV527" s="155">
        <f>AG527/(AD527-AF527)</f>
        <v/>
      </c>
      <c r="AW527" s="155">
        <f>(G527-AM527)/G527</f>
        <v/>
      </c>
      <c r="AX527" s="254">
        <f>IF(AND(ISNUMBER(E527),ISNUMBER(W527)),E527-W527,"")</f>
        <v/>
      </c>
      <c r="AY527" s="254">
        <f>IF(AND(ISNUMBER(I527),ISNUMBER(AF527)),I527-AF527,"")</f>
        <v/>
      </c>
      <c r="AZ527" s="254">
        <f>IF(AND(ISNUMBER(AM527),ISNUMBER(G527)),G527-AM527,"")</f>
        <v/>
      </c>
      <c r="BA527" s="254">
        <f>IF(AND(ISNUMBER(AC527),ISNUMBER(AE527)),AC527-AE527,"")</f>
        <v/>
      </c>
      <c r="BB527" s="254">
        <f>IF(AND(ISNUMBER(AL527),ISNUMBER(AM527)),AL527-AM527,"")</f>
        <v/>
      </c>
      <c r="BG527" s="6">
        <f>IF((AD527-AF527)/(AJ527/60)&lt;=0,"",(AD527-AF527)/(AJ527/60))</f>
        <v/>
      </c>
      <c r="BH527" s="6">
        <f>IF(OR(AJ527=0,AP527=0,NOT(ISNUMBER(AD527)),NOT(ISNUMBER(AF527)),NOT(ISNUMBER(AJ527)),NOT(ISNUMBER(AP527))),"",
IFERROR(IF((AD527-AF527)/(AJ527/60)/(AP527/1000)&lt;=0,"",(AD527-AF527)/(AJ527/60)/(AP527/1000)),""))</f>
        <v/>
      </c>
    </row>
    <row r="528" ht="15.75" customHeight="1">
      <c r="A528" s="260" t="inlineStr">
        <is>
          <t>B68</t>
        </is>
      </c>
      <c r="B528" s="260" t="n">
        <v>284</v>
      </c>
      <c r="D528" s="11" t="n">
        <v>45788</v>
      </c>
      <c r="E528" s="231" t="n">
        <v>284</v>
      </c>
      <c r="F528" s="3" t="n">
        <v>523</v>
      </c>
      <c r="G528" s="205">
        <f>IF(OR(S528="",S528=0),"",S528*2)</f>
        <v/>
      </c>
      <c r="K528" s="15">
        <f>AD528</f>
        <v/>
      </c>
      <c r="M528" s="10">
        <f>IF(OR(E528="",G528="",E528=0,G528=0),"",E528/G528)</f>
        <v/>
      </c>
      <c r="N528" s="9">
        <f>IF(OR(E528="",I528="",E528=0,I528=0),"",E528/(I528*2))</f>
        <v/>
      </c>
      <c r="O528" s="8">
        <f>IF(OR(I528="",G528="",I528=0,G528=0),"",I528*2/G528)</f>
        <v/>
      </c>
      <c r="AD528" s="5" t="n">
        <v>80</v>
      </c>
      <c r="AM528" s="3">
        <f>180+60</f>
        <v/>
      </c>
      <c r="AP528" s="3" t="n">
        <v>40</v>
      </c>
      <c r="AR528" s="13">
        <f>AVERAGE(AO526:AO532)</f>
        <v/>
      </c>
      <c r="AT528" s="156">
        <f>(E528-W528)/E528</f>
        <v/>
      </c>
      <c r="AU528" s="155">
        <f>(I528-AF528)/I528</f>
        <v/>
      </c>
      <c r="AV528" s="155">
        <f>AG528/(AD528-AF528)</f>
        <v/>
      </c>
      <c r="AW528" s="155">
        <f>(G528-AM528)/G528</f>
        <v/>
      </c>
      <c r="AX528" s="254">
        <f>IF(AND(ISNUMBER(E528),ISNUMBER(W528)),E528-W528,"")</f>
        <v/>
      </c>
      <c r="AY528" s="254">
        <f>IF(AND(ISNUMBER(I528),ISNUMBER(AF528)),I528-AF528,"")</f>
        <v/>
      </c>
      <c r="AZ528" s="254">
        <f>IF(AND(ISNUMBER(AM528),ISNUMBER(G528)),G528-AM528,"")</f>
        <v/>
      </c>
      <c r="BA528" s="254">
        <f>IF(AND(ISNUMBER(AC528),ISNUMBER(AE528)),AC528-AE528,"")</f>
        <v/>
      </c>
      <c r="BB528" s="254">
        <f>IF(AND(ISNUMBER(AL528),ISNUMBER(AM528)),AL528-AM528,"")</f>
        <v/>
      </c>
      <c r="BG528" s="6">
        <f>IF((AD528-AF528)/(AJ528/60)&lt;=0,"",(AD528-AF528)/(AJ528/60))</f>
        <v/>
      </c>
      <c r="BH528" s="6">
        <f>IF(OR(AJ528=0,AP528=0,NOT(ISNUMBER(AD528)),NOT(ISNUMBER(AF528)),NOT(ISNUMBER(AJ528)),NOT(ISNUMBER(AP528))),"",
IFERROR(IF((AD528-AF528)/(AJ528/60)/(AP528/1000)&lt;=0,"",(AD528-AF528)/(AJ528/60)/(AP528/1000)),""))</f>
        <v/>
      </c>
    </row>
    <row r="529" ht="15.75" customHeight="1">
      <c r="B529" t="n">
        <v>285</v>
      </c>
      <c r="C529" s="12" t="inlineStr">
        <is>
          <t>MLSS seems too low</t>
        </is>
      </c>
      <c r="D529" s="11" t="n">
        <v>45789</v>
      </c>
      <c r="E529" s="231" t="n">
        <v>285</v>
      </c>
      <c r="F529" s="3" t="n">
        <v>524</v>
      </c>
      <c r="G529" s="205">
        <f>IF(OR(S529="",S529=0),"",S529*2)</f>
        <v/>
      </c>
      <c r="K529" s="15">
        <f>AD529</f>
        <v/>
      </c>
      <c r="M529" s="10">
        <f>IF(OR(E529="",G529="",E529=0,G529=0),"",E529/G529)</f>
        <v/>
      </c>
      <c r="N529" s="9">
        <f>IF(OR(E529="",I529="",E529=0,I529=0),"",E529/(I529*2))</f>
        <v/>
      </c>
      <c r="O529" s="8">
        <f>IF(OR(I529="",G529="",I529=0,G529=0),"",I529*2/G529)</f>
        <v/>
      </c>
      <c r="AD529" s="5" t="n">
        <v>80</v>
      </c>
      <c r="AM529" s="3">
        <f>180+60</f>
        <v/>
      </c>
      <c r="AP529" s="3" t="n">
        <v>40</v>
      </c>
      <c r="AR529" s="13">
        <f>AVERAGE(AO527:AO533)</f>
        <v/>
      </c>
      <c r="AT529" s="156">
        <f>(E529-W529)/E529</f>
        <v/>
      </c>
      <c r="AU529" s="155">
        <f>(I529-AF529)/I529</f>
        <v/>
      </c>
      <c r="AV529" s="155">
        <f>AG529/(AD529-AF529)</f>
        <v/>
      </c>
      <c r="AW529" s="155">
        <f>(G529-AM529)/G529</f>
        <v/>
      </c>
      <c r="AX529" s="254">
        <f>IF(AND(ISNUMBER(E529),ISNUMBER(W529)),E529-W529,"")</f>
        <v/>
      </c>
      <c r="AY529" s="254">
        <f>IF(AND(ISNUMBER(I529),ISNUMBER(AF529)),I529-AF529,"")</f>
        <v/>
      </c>
      <c r="AZ529" s="254">
        <f>IF(AND(ISNUMBER(AM529),ISNUMBER(G529)),G529-AM529,"")</f>
        <v/>
      </c>
      <c r="BA529" s="254">
        <f>IF(AND(ISNUMBER(AC529),ISNUMBER(AE529)),AC529-AE529,"")</f>
        <v/>
      </c>
      <c r="BB529" s="254">
        <f>IF(AND(ISNUMBER(AL529),ISNUMBER(AM529)),AL529-AM529,"")</f>
        <v/>
      </c>
      <c r="BG529" s="6">
        <f>IF((AD529-AF529)/(AJ529/60)&lt;=0,"",(AD529-AF529)/(AJ529/60))</f>
        <v/>
      </c>
      <c r="BH529" s="6">
        <f>IF(OR(AJ529=0,AP529=0,NOT(ISNUMBER(AD529)),NOT(ISNUMBER(AF529)),NOT(ISNUMBER(AJ529)),NOT(ISNUMBER(AP529))),"",
IFERROR(IF((AD529-AF529)/(AJ529/60)/(AP529/1000)&lt;=0,"",(AD529-AF529)/(AJ529/60)/(AP529/1000)),""))</f>
        <v/>
      </c>
    </row>
    <row r="530" ht="15.75" customHeight="1">
      <c r="B530" t="n">
        <v>286</v>
      </c>
      <c r="D530" s="11" t="n">
        <v>45790</v>
      </c>
      <c r="E530" s="231" t="n">
        <v>286</v>
      </c>
      <c r="F530" s="3" t="n">
        <v>525</v>
      </c>
      <c r="G530" s="205">
        <f>IF(OR(S530="",S530=0),"",S530*2)</f>
        <v/>
      </c>
      <c r="K530" s="15">
        <f>AD530</f>
        <v/>
      </c>
      <c r="M530" s="10">
        <f>IF(OR(E530="",G530="",E530=0,G530=0),"",E530/G530)</f>
        <v/>
      </c>
      <c r="N530" s="9">
        <f>IF(OR(E530="",I530="",E530=0,I530=0),"",E530/(I530*2))</f>
        <v/>
      </c>
      <c r="O530" s="8">
        <f>IF(OR(I530="",G530="",I530=0,G530=0),"",I530*2/G530)</f>
        <v/>
      </c>
      <c r="AD530" s="5" t="n">
        <v>80</v>
      </c>
      <c r="AM530" s="3">
        <f>180+60</f>
        <v/>
      </c>
      <c r="AP530" s="3" t="n">
        <v>40</v>
      </c>
      <c r="AR530" s="13">
        <f>AVERAGE(AO528:AO534)</f>
        <v/>
      </c>
      <c r="AT530" s="156">
        <f>(E530-W530)/E530</f>
        <v/>
      </c>
      <c r="AU530" s="155">
        <f>(I530-AF530)/I530</f>
        <v/>
      </c>
      <c r="AV530" s="155">
        <f>AG530/(AD530-AF530)</f>
        <v/>
      </c>
      <c r="AW530" s="155">
        <f>(G530-AM530)/G530</f>
        <v/>
      </c>
      <c r="AX530" s="254">
        <f>IF(AND(ISNUMBER(E530),ISNUMBER(W530)),E530-W530,"")</f>
        <v/>
      </c>
      <c r="AY530" s="254">
        <f>IF(AND(ISNUMBER(I530),ISNUMBER(AF530)),I530-AF530,"")</f>
        <v/>
      </c>
      <c r="AZ530" s="254">
        <f>IF(AND(ISNUMBER(AM530),ISNUMBER(G530)),G530-AM530,"")</f>
        <v/>
      </c>
      <c r="BA530" s="254">
        <f>IF(AND(ISNUMBER(AC530),ISNUMBER(AE530)),AC530-AE530,"")</f>
        <v/>
      </c>
      <c r="BB530" s="254">
        <f>IF(AND(ISNUMBER(AL530),ISNUMBER(AM530)),AL530-AM530,"")</f>
        <v/>
      </c>
      <c r="BG530" s="6">
        <f>IF((AD530-AF530)/(AJ530/60)&lt;=0,"",(AD530-AF530)/(AJ530/60))</f>
        <v/>
      </c>
      <c r="BH530" s="6">
        <f>IF(OR(AJ530=0,AP530=0,NOT(ISNUMBER(AD530)),NOT(ISNUMBER(AF530)),NOT(ISNUMBER(AJ530)),NOT(ISNUMBER(AP530))),"",
IFERROR(IF((AD530-AF530)/(AJ530/60)/(AP530/1000)&lt;=0,"",(AD530-AF530)/(AJ530/60)/(AP530/1000)),""))</f>
        <v/>
      </c>
    </row>
    <row r="531" ht="15.75" customHeight="1">
      <c r="B531" t="n">
        <v>287</v>
      </c>
      <c r="D531" s="72" t="n">
        <v>45791</v>
      </c>
      <c r="E531" s="231" t="n">
        <v>287</v>
      </c>
      <c r="F531" s="3" t="n">
        <v>526</v>
      </c>
      <c r="G531" s="205">
        <f>IF(OR(S531="",S531=0),"",S531*2)</f>
        <v/>
      </c>
      <c r="K531" s="15">
        <f>AD531</f>
        <v/>
      </c>
      <c r="M531" s="10">
        <f>IF(OR(E531="",G531="",E531=0,G531=0),"",E531/G531)</f>
        <v/>
      </c>
      <c r="N531" s="9">
        <f>IF(OR(E531="",I531="",E531=0,I531=0),"",E531/(I531*2))</f>
        <v/>
      </c>
      <c r="O531" s="8">
        <f>IF(OR(I531="",G531="",I531=0,G531=0),"",I531*2/G531)</f>
        <v/>
      </c>
      <c r="AD531" s="5" t="n">
        <v>80</v>
      </c>
      <c r="AM531" s="3">
        <f>180+60</f>
        <v/>
      </c>
      <c r="AP531" s="3" t="n">
        <v>40</v>
      </c>
      <c r="AR531" s="13">
        <f>AVERAGE(AO529:AO535)</f>
        <v/>
      </c>
      <c r="AT531" s="156">
        <f>(E531-W531)/E531</f>
        <v/>
      </c>
      <c r="AU531" s="155">
        <f>(I531-AF531)/I531</f>
        <v/>
      </c>
      <c r="AV531" s="155">
        <f>AG531/(AD531-AF531)</f>
        <v/>
      </c>
      <c r="AW531" s="155">
        <f>(G531-AM531)/G531</f>
        <v/>
      </c>
      <c r="AX531" s="254">
        <f>IF(AND(ISNUMBER(E531),ISNUMBER(W531)),E531-W531,"")</f>
        <v/>
      </c>
      <c r="AY531" s="254">
        <f>IF(AND(ISNUMBER(I531),ISNUMBER(AF531)),I531-AF531,"")</f>
        <v/>
      </c>
      <c r="AZ531" s="254">
        <f>IF(AND(ISNUMBER(AM531),ISNUMBER(G531)),G531-AM531,"")</f>
        <v/>
      </c>
      <c r="BA531" s="254">
        <f>IF(AND(ISNUMBER(AC531),ISNUMBER(AE531)),AC531-AE531,"")</f>
        <v/>
      </c>
      <c r="BB531" s="254">
        <f>IF(AND(ISNUMBER(AL531),ISNUMBER(AM531)),AL531-AM531,"")</f>
        <v/>
      </c>
      <c r="BG531" s="6">
        <f>IF((AD531-AF531)/(AJ531/60)&lt;=0,"",(AD531-AF531)/(AJ531/60))</f>
        <v/>
      </c>
      <c r="BH531" s="6">
        <f>IF(OR(AJ531=0,AP531=0,NOT(ISNUMBER(AD531)),NOT(ISNUMBER(AF531)),NOT(ISNUMBER(AJ531)),NOT(ISNUMBER(AP531))),"",
IFERROR(IF((AD531-AF531)/(AJ531/60)/(AP531/1000)&lt;=0,"",(AD531-AF531)/(AJ531/60)/(AP531/1000)),""))</f>
        <v/>
      </c>
    </row>
    <row r="532" ht="15.75" customHeight="1">
      <c r="B532" t="n">
        <v>288</v>
      </c>
      <c r="D532" s="11" t="n">
        <v>45792</v>
      </c>
      <c r="E532" s="231" t="n">
        <v>288</v>
      </c>
      <c r="F532" s="3" t="n">
        <v>527</v>
      </c>
      <c r="G532" s="205">
        <f>IF(OR(S532="",S532=0),"",S532*2)</f>
        <v/>
      </c>
      <c r="K532" s="15">
        <f>AD532</f>
        <v/>
      </c>
      <c r="M532" s="10">
        <f>IF(OR(E532="",G532="",E532=0,G532=0),"",E532/G532)</f>
        <v/>
      </c>
      <c r="N532" s="9">
        <f>IF(OR(E532="",I532="",E532=0,I532=0),"",E532/(I532*2))</f>
        <v/>
      </c>
      <c r="O532" s="8">
        <f>IF(OR(I532="",G532="",I532=0,G532=0),"",I532*2/G532)</f>
        <v/>
      </c>
      <c r="AD532" s="5" t="n">
        <v>80</v>
      </c>
      <c r="AM532" s="3">
        <f>180+60</f>
        <v/>
      </c>
      <c r="AP532" s="3" t="n">
        <v>40</v>
      </c>
      <c r="AR532" s="13">
        <f>AVERAGE(AO530:AO536)</f>
        <v/>
      </c>
      <c r="AT532" s="156">
        <f>(E532-W532)/E532</f>
        <v/>
      </c>
      <c r="AU532" s="155">
        <f>(I532-AF532)/I532</f>
        <v/>
      </c>
      <c r="AV532" s="155">
        <f>AG532/(AD532-AF532)</f>
        <v/>
      </c>
      <c r="AW532" s="155">
        <f>(G532-AM532)/G532</f>
        <v/>
      </c>
      <c r="AX532" s="254">
        <f>IF(AND(ISNUMBER(E532),ISNUMBER(W532)),E532-W532,"")</f>
        <v/>
      </c>
      <c r="AY532" s="254">
        <f>IF(AND(ISNUMBER(I532),ISNUMBER(AF532)),I532-AF532,"")</f>
        <v/>
      </c>
      <c r="AZ532" s="254">
        <f>IF(AND(ISNUMBER(AM532),ISNUMBER(G532)),G532-AM532,"")</f>
        <v/>
      </c>
      <c r="BA532" s="254">
        <f>IF(AND(ISNUMBER(AC532),ISNUMBER(AE532)),AC532-AE532,"")</f>
        <v/>
      </c>
      <c r="BB532" s="254">
        <f>IF(AND(ISNUMBER(AL532),ISNUMBER(AM532)),AL532-AM532,"")</f>
        <v/>
      </c>
      <c r="BG532" s="6">
        <f>IF((AD532-AF532)/(AJ532/60)&lt;=0,"",(AD532-AF532)/(AJ532/60))</f>
        <v/>
      </c>
      <c r="BH532" s="6">
        <f>IF(OR(AJ532=0,AP532=0,NOT(ISNUMBER(AD532)),NOT(ISNUMBER(AF532)),NOT(ISNUMBER(AJ532)),NOT(ISNUMBER(AP532))),"",
IFERROR(IF((AD532-AF532)/(AJ532/60)/(AP532/1000)&lt;=0,"",(AD532-AF532)/(AJ532/60)/(AP532/1000)),""))</f>
        <v/>
      </c>
    </row>
    <row r="533" ht="15.75" customHeight="1">
      <c r="A533" s="260" t="inlineStr">
        <is>
          <t>B69</t>
        </is>
      </c>
      <c r="B533" s="260" t="n">
        <v>289</v>
      </c>
      <c r="D533" s="11" t="n">
        <v>45793</v>
      </c>
      <c r="E533" s="231" t="n">
        <v>289</v>
      </c>
      <c r="F533" s="3" t="n">
        <v>528</v>
      </c>
      <c r="G533" s="205">
        <f>IF(OR(S533="",S533=0),"",S533*2)</f>
        <v/>
      </c>
      <c r="K533" s="15">
        <f>AD533</f>
        <v/>
      </c>
      <c r="M533" s="10">
        <f>IF(OR(E533="",G533="",E533=0,G533=0),"",E533/G533)</f>
        <v/>
      </c>
      <c r="N533" s="9">
        <f>IF(OR(E533="",I533="",E533=0,I533=0),"",E533/(I533*2))</f>
        <v/>
      </c>
      <c r="O533" s="8">
        <f>IF(OR(I533="",G533="",I533=0,G533=0),"",I533*2/G533)</f>
        <v/>
      </c>
      <c r="AD533" s="5" t="n">
        <v>80</v>
      </c>
      <c r="AM533" s="3">
        <f>180+60</f>
        <v/>
      </c>
      <c r="AP533" s="3" t="n">
        <v>40</v>
      </c>
      <c r="AR533" s="13">
        <f>AVERAGE(AO531:AO537)</f>
        <v/>
      </c>
      <c r="AT533" s="156">
        <f>(E533-W533)/E533</f>
        <v/>
      </c>
      <c r="AU533" s="155">
        <f>(I533-AF533)/I533</f>
        <v/>
      </c>
      <c r="AV533" s="155">
        <f>AG533/(AD533-AF533)</f>
        <v/>
      </c>
      <c r="AW533" s="155">
        <f>(G533-AM533)/G533</f>
        <v/>
      </c>
      <c r="AX533" s="254">
        <f>IF(AND(ISNUMBER(E533),ISNUMBER(W533)),E533-W533,"")</f>
        <v/>
      </c>
      <c r="AY533" s="254">
        <f>IF(AND(ISNUMBER(I533),ISNUMBER(AF533)),I533-AF533,"")</f>
        <v/>
      </c>
      <c r="AZ533" s="254">
        <f>IF(AND(ISNUMBER(AM533),ISNUMBER(G533)),G533-AM533,"")</f>
        <v/>
      </c>
      <c r="BA533" s="254">
        <f>IF(AND(ISNUMBER(AC533),ISNUMBER(AE533)),AC533-AE533,"")</f>
        <v/>
      </c>
      <c r="BB533" s="254">
        <f>IF(AND(ISNUMBER(AL533),ISNUMBER(AM533)),AL533-AM533,"")</f>
        <v/>
      </c>
      <c r="BG533" s="6">
        <f>IF((AD533-AF533)/(AJ533/60)&lt;=0,"",(AD533-AF533)/(AJ533/60))</f>
        <v/>
      </c>
      <c r="BH533" s="6">
        <f>IF(OR(AJ533=0,AP533=0,NOT(ISNUMBER(AD533)),NOT(ISNUMBER(AF533)),NOT(ISNUMBER(AJ533)),NOT(ISNUMBER(AP533))),"",
IFERROR(IF((AD533-AF533)/(AJ533/60)/(AP533/1000)&lt;=0,"",(AD533-AF533)/(AJ533/60)/(AP533/1000)),""))</f>
        <v/>
      </c>
    </row>
    <row r="534" ht="15.75" customHeight="1">
      <c r="B534" t="n">
        <v>290</v>
      </c>
      <c r="C534" s="25" t="inlineStr">
        <is>
          <t>weird high ORP at 7:30</t>
        </is>
      </c>
      <c r="D534" s="11" t="n">
        <v>45794</v>
      </c>
      <c r="E534" s="231" t="n">
        <v>290</v>
      </c>
      <c r="F534" s="3" t="n">
        <v>529</v>
      </c>
      <c r="G534" s="205">
        <f>IF(OR(S534="",S534=0),"",S534*2)</f>
        <v/>
      </c>
      <c r="K534" s="15">
        <f>AD534</f>
        <v/>
      </c>
      <c r="M534" s="10">
        <f>IF(OR(E534="",G534="",E534=0,G534=0),"",E534/G534)</f>
        <v/>
      </c>
      <c r="N534" s="9">
        <f>IF(OR(E534="",I534="",E534=0,I534=0),"",E534/(I534*2))</f>
        <v/>
      </c>
      <c r="O534" s="8">
        <f>IF(OR(I534="",G534="",I534=0,G534=0),"",I534*2/G534)</f>
        <v/>
      </c>
      <c r="AD534" s="5" t="n">
        <v>80</v>
      </c>
      <c r="AM534" s="3">
        <f>180+60</f>
        <v/>
      </c>
      <c r="AP534" s="3" t="n">
        <v>40</v>
      </c>
      <c r="AR534" s="13">
        <f>AVERAGE(AO532:AO538)</f>
        <v/>
      </c>
      <c r="AT534" s="156">
        <f>(E534-W534)/E534</f>
        <v/>
      </c>
      <c r="AU534" s="155">
        <f>(I534-AF534)/I534</f>
        <v/>
      </c>
      <c r="AV534" s="155">
        <f>AG534/(AD534-AF534)</f>
        <v/>
      </c>
      <c r="AW534" s="155">
        <f>(G534-AM534)/G534</f>
        <v/>
      </c>
      <c r="AX534" s="254">
        <f>IF(AND(ISNUMBER(E534),ISNUMBER(W534)),E534-W534,"")</f>
        <v/>
      </c>
      <c r="AY534" s="254">
        <f>IF(AND(ISNUMBER(I534),ISNUMBER(AF534)),I534-AF534,"")</f>
        <v/>
      </c>
      <c r="AZ534" s="254">
        <f>IF(AND(ISNUMBER(AM534),ISNUMBER(G534)),G534-AM534,"")</f>
        <v/>
      </c>
      <c r="BA534" s="254">
        <f>IF(AND(ISNUMBER(AC534),ISNUMBER(AE534)),AC534-AE534,"")</f>
        <v/>
      </c>
      <c r="BB534" s="254">
        <f>IF(AND(ISNUMBER(AL534),ISNUMBER(AM534)),AL534-AM534,"")</f>
        <v/>
      </c>
      <c r="BG534" s="6">
        <f>IF((AD534-AF534)/(AJ534/60)&lt;=0,"",(AD534-AF534)/(AJ534/60))</f>
        <v/>
      </c>
      <c r="BH534" s="6">
        <f>IF(OR(AJ534=0,AP534=0,NOT(ISNUMBER(AD534)),NOT(ISNUMBER(AF534)),NOT(ISNUMBER(AJ534)),NOT(ISNUMBER(AP534))),"",
IFERROR(IF((AD534-AF534)/(AJ534/60)/(AP534/1000)&lt;=0,"",(AD534-AF534)/(AJ534/60)/(AP534/1000)),""))</f>
        <v/>
      </c>
    </row>
    <row r="535" ht="15.75" customHeight="1">
      <c r="B535" t="n">
        <v>291</v>
      </c>
      <c r="C535" s="25" t="inlineStr">
        <is>
          <t>low pH? DO super high= incredible biomass loss?</t>
        </is>
      </c>
      <c r="D535" s="11" t="n">
        <v>45795</v>
      </c>
      <c r="E535" s="231" t="n">
        <v>291</v>
      </c>
      <c r="F535" s="3" t="n">
        <v>530</v>
      </c>
      <c r="G535" s="205">
        <f>IF(OR(S535="",S535=0),"",S535*2)</f>
        <v/>
      </c>
      <c r="K535" s="15">
        <f>AD535</f>
        <v/>
      </c>
      <c r="M535" s="10">
        <f>IF(OR(E535="",G535="",E535=0,G535=0),"",E535/G535)</f>
        <v/>
      </c>
      <c r="N535" s="9">
        <f>IF(OR(E535="",I535="",E535=0,I535=0),"",E535/(I535*2))</f>
        <v/>
      </c>
      <c r="O535" s="8">
        <f>IF(OR(I535="",G535="",I535=0,G535=0),"",I535*2/G535)</f>
        <v/>
      </c>
      <c r="AD535" s="5" t="n">
        <v>80</v>
      </c>
      <c r="AM535" s="3">
        <f>180+60</f>
        <v/>
      </c>
      <c r="AP535" s="3" t="n">
        <v>40</v>
      </c>
      <c r="AR535" s="13">
        <f>AVERAGE(AO533:AO539)</f>
        <v/>
      </c>
      <c r="AT535" s="156">
        <f>(E535-W535)/E535</f>
        <v/>
      </c>
      <c r="AU535" s="155">
        <f>(I535-AF535)/I535</f>
        <v/>
      </c>
      <c r="AV535" s="155">
        <f>AG535/(AD535-AF535)</f>
        <v/>
      </c>
      <c r="AW535" s="155">
        <f>(G535-AM535)/G535</f>
        <v/>
      </c>
      <c r="AX535" s="254">
        <f>IF(AND(ISNUMBER(E535),ISNUMBER(W535)),E535-W535,"")</f>
        <v/>
      </c>
      <c r="AY535" s="254">
        <f>IF(AND(ISNUMBER(I535),ISNUMBER(AF535)),I535-AF535,"")</f>
        <v/>
      </c>
      <c r="AZ535" s="254">
        <f>IF(AND(ISNUMBER(AM535),ISNUMBER(G535)),G535-AM535,"")</f>
        <v/>
      </c>
      <c r="BA535" s="254">
        <f>IF(AND(ISNUMBER(AC535),ISNUMBER(AE535)),AC535-AE535,"")</f>
        <v/>
      </c>
      <c r="BB535" s="254">
        <f>IF(AND(ISNUMBER(AL535),ISNUMBER(AM535)),AL535-AM535,"")</f>
        <v/>
      </c>
      <c r="BG535" s="6">
        <f>IF((AD535-AF535)/(AJ535/60)&lt;=0,"",(AD535-AF535)/(AJ535/60))</f>
        <v/>
      </c>
      <c r="BH535" s="6">
        <f>IF(OR(AJ535=0,AP535=0,NOT(ISNUMBER(AD535)),NOT(ISNUMBER(AF535)),NOT(ISNUMBER(AJ535)),NOT(ISNUMBER(AP535))),"",
IFERROR(IF((AD535-AF535)/(AJ535/60)/(AP535/1000)&lt;=0,"",(AD535-AF535)/(AJ535/60)/(AP535/1000)),""))</f>
        <v/>
      </c>
    </row>
    <row r="536" ht="15.75" customHeight="1">
      <c r="B536" t="n">
        <v>292</v>
      </c>
      <c r="C536" s="12" t="inlineStr">
        <is>
          <t>Return all biomass in wastebin back to system</t>
        </is>
      </c>
      <c r="D536" s="11" t="n">
        <v>45796</v>
      </c>
      <c r="E536" s="231" t="n">
        <v>292</v>
      </c>
      <c r="F536" s="231" t="n">
        <v>531</v>
      </c>
      <c r="G536" s="205">
        <f>IF(OR(S536="",S536=0),"",S536*2)</f>
        <v/>
      </c>
      <c r="K536" s="15">
        <f>AD536</f>
        <v/>
      </c>
      <c r="L536" s="9" t="n"/>
      <c r="M536" s="10">
        <f>IF(OR(E536="",G536="",E536=0,G536=0),"",E536/G536)</f>
        <v/>
      </c>
      <c r="N536" s="9">
        <f>IF(OR(E536="",I536="",E536=0,I536=0),"",E536/(I536*2))</f>
        <v/>
      </c>
      <c r="O536" s="8">
        <f>IF(OR(I536="",G536="",I536=0,G536=0),"",I536*2/G536)</f>
        <v/>
      </c>
      <c r="P536" s="6" t="n"/>
      <c r="AD536" s="6" t="n">
        <v>80</v>
      </c>
      <c r="AE536" s="231" t="n"/>
      <c r="AM536" s="231">
        <f>180+60</f>
        <v/>
      </c>
      <c r="AN536" s="231" t="n"/>
      <c r="AP536" s="3" t="n">
        <v>40</v>
      </c>
      <c r="AR536" s="13">
        <f>AVERAGE(AO534:AO540)</f>
        <v/>
      </c>
      <c r="AT536" s="155">
        <f>(E536-W536)/E536</f>
        <v/>
      </c>
      <c r="AU536" s="155">
        <f>(I536-AF536)/I536</f>
        <v/>
      </c>
      <c r="AV536" s="155">
        <f>AG536/(AD536-AF536)</f>
        <v/>
      </c>
      <c r="AW536" s="155">
        <f>(G536-AM536)/G536</f>
        <v/>
      </c>
      <c r="AX536" s="254">
        <f>IF(AND(ISNUMBER(E536),ISNUMBER(W536)),E536-W536,"")</f>
        <v/>
      </c>
      <c r="AY536" s="254">
        <f>IF(AND(ISNUMBER(I536),ISNUMBER(AF536)),I536-AF536,"")</f>
        <v/>
      </c>
      <c r="AZ536" s="254">
        <f>IF(AND(ISNUMBER(AM536),ISNUMBER(G536)),G536-AM536,"")</f>
        <v/>
      </c>
      <c r="BA536" s="254">
        <f>IF(AND(ISNUMBER(AC536),ISNUMBER(AE536)),AC536-AE536,"")</f>
        <v/>
      </c>
      <c r="BB536" s="254">
        <f>IF(AND(ISNUMBER(AL536),ISNUMBER(AM536)),AL536-AM536,"")</f>
        <v/>
      </c>
      <c r="BG536" s="6">
        <f>IF((AD536-AF536)/(AJ536/60)&lt;=0,"",(AD536-AF536)/(AJ536/60))</f>
        <v/>
      </c>
      <c r="BH536" s="6">
        <f>IF(OR(AJ536=0,AP536=0,NOT(ISNUMBER(AD536)),NOT(ISNUMBER(AF536)),NOT(ISNUMBER(AJ536)),NOT(ISNUMBER(AP536))),"",
IFERROR(IF((AD536-AF536)/(AJ536/60)/(AP536/1000)&lt;=0,"",(AD536-AF536)/(AJ536/60)/(AP536/1000)),""))</f>
        <v/>
      </c>
    </row>
    <row r="537" ht="15.75" customHeight="1">
      <c r="B537" t="n">
        <v>293</v>
      </c>
      <c r="D537" s="72" t="n">
        <v>45797</v>
      </c>
      <c r="E537" s="231" t="n">
        <v>293</v>
      </c>
      <c r="F537" s="3" t="n">
        <v>532</v>
      </c>
      <c r="G537" s="205">
        <f>IF(OR(S537="",S537=0),"",S537*2)</f>
        <v/>
      </c>
      <c r="K537" s="15">
        <f>AD537</f>
        <v/>
      </c>
      <c r="M537" s="10">
        <f>IF(OR(E537="",G537="",E537=0,G537=0),"",E537/G537)</f>
        <v/>
      </c>
      <c r="N537" s="9">
        <f>IF(OR(E537="",I537="",E537=0,I537=0),"",E537/(I537*2))</f>
        <v/>
      </c>
      <c r="O537" s="8">
        <f>IF(OR(I537="",G537="",I537=0,G537=0),"",I537*2/G537)</f>
        <v/>
      </c>
      <c r="AD537" s="5" t="n">
        <v>80</v>
      </c>
      <c r="AM537" s="3">
        <f>180+60</f>
        <v/>
      </c>
      <c r="AP537" s="3" t="n">
        <v>40</v>
      </c>
      <c r="AR537" s="13">
        <f>AVERAGE(AO535:AO541)</f>
        <v/>
      </c>
      <c r="AT537" s="156">
        <f>(E537-W537)/E537</f>
        <v/>
      </c>
      <c r="AU537" s="155">
        <f>(I537-AF537)/I537</f>
        <v/>
      </c>
      <c r="AV537" s="155">
        <f>AG537/(AD537-AF537)</f>
        <v/>
      </c>
      <c r="AW537" s="155">
        <f>(G537-AM537)/G537</f>
        <v/>
      </c>
      <c r="AX537" s="254">
        <f>IF(AND(ISNUMBER(E537),ISNUMBER(W537)),E537-W537,"")</f>
        <v/>
      </c>
      <c r="AY537" s="254">
        <f>IF(AND(ISNUMBER(I537),ISNUMBER(AF537)),I537-AF537,"")</f>
        <v/>
      </c>
      <c r="AZ537" s="254">
        <f>IF(AND(ISNUMBER(AM537),ISNUMBER(G537)),G537-AM537,"")</f>
        <v/>
      </c>
      <c r="BA537" s="254">
        <f>IF(AND(ISNUMBER(AC537),ISNUMBER(AE537)),AC537-AE537,"")</f>
        <v/>
      </c>
      <c r="BB537" s="254">
        <f>IF(AND(ISNUMBER(AL537),ISNUMBER(AM537)),AL537-AM537,"")</f>
        <v/>
      </c>
      <c r="BG537" s="6">
        <f>IF((AD537-AF537)/(AJ537/60)&lt;=0,"",(AD537-AF537)/(AJ537/60))</f>
        <v/>
      </c>
      <c r="BH537" s="6">
        <f>IF(OR(AJ537=0,AP537=0,NOT(ISNUMBER(AD537)),NOT(ISNUMBER(AF537)),NOT(ISNUMBER(AJ537)),NOT(ISNUMBER(AP537))),"",
IFERROR(IF((AD537-AF537)/(AJ537/60)/(AP537/1000)&lt;=0,"",(AD537-AF537)/(AJ537/60)/(AP537/1000)),""))</f>
        <v/>
      </c>
    </row>
    <row r="538" ht="15.75" customHeight="1">
      <c r="B538" t="n">
        <v>294</v>
      </c>
      <c r="D538" s="11" t="n">
        <v>45798</v>
      </c>
      <c r="E538" s="231" t="n">
        <v>294</v>
      </c>
      <c r="F538" s="3" t="n">
        <v>533</v>
      </c>
      <c r="G538" s="205">
        <f>IF(OR(S538="",S538=0),"",S538*2)</f>
        <v/>
      </c>
      <c r="K538" s="15">
        <f>AD538</f>
        <v/>
      </c>
      <c r="M538" s="10">
        <f>IF(OR(E538="",G538="",E538=0,G538=0),"",E538/G538)</f>
        <v/>
      </c>
      <c r="N538" s="9">
        <f>IF(OR(E538="",I538="",E538=0,I538=0),"",E538/(I538*2))</f>
        <v/>
      </c>
      <c r="O538" s="8">
        <f>IF(OR(I538="",G538="",I538=0,G538=0),"",I538*2/G538)</f>
        <v/>
      </c>
      <c r="AD538" s="5" t="n">
        <v>80</v>
      </c>
      <c r="AM538" s="3">
        <f>180+60</f>
        <v/>
      </c>
      <c r="AP538" s="3" t="n">
        <v>40</v>
      </c>
      <c r="AR538" s="13">
        <f>AVERAGE(AO536:AO542)</f>
        <v/>
      </c>
      <c r="AT538" s="156">
        <f>(E538-W538)/E538</f>
        <v/>
      </c>
      <c r="AU538" s="155">
        <f>(I538-AF538)/I538</f>
        <v/>
      </c>
      <c r="AV538" s="155">
        <f>AG538/(AD538-AF538)</f>
        <v/>
      </c>
      <c r="AW538" s="155">
        <f>(G538-AM538)/G538</f>
        <v/>
      </c>
      <c r="AX538" s="254">
        <f>IF(AND(ISNUMBER(E538),ISNUMBER(W538)),E538-W538,"")</f>
        <v/>
      </c>
      <c r="AY538" s="254">
        <f>IF(AND(ISNUMBER(I538),ISNUMBER(AF538)),I538-AF538,"")</f>
        <v/>
      </c>
      <c r="AZ538" s="254">
        <f>IF(AND(ISNUMBER(AM538),ISNUMBER(G538)),G538-AM538,"")</f>
        <v/>
      </c>
      <c r="BA538" s="254">
        <f>IF(AND(ISNUMBER(AC538),ISNUMBER(AE538)),AC538-AE538,"")</f>
        <v/>
      </c>
      <c r="BB538" s="254">
        <f>IF(AND(ISNUMBER(AL538),ISNUMBER(AM538)),AL538-AM538,"")</f>
        <v/>
      </c>
      <c r="BG538" s="6">
        <f>IF((AD538-AF538)/(AJ538/60)&lt;=0,"",(AD538-AF538)/(AJ538/60))</f>
        <v/>
      </c>
      <c r="BH538" s="6">
        <f>IF(OR(AJ538=0,AP538=0,NOT(ISNUMBER(AD538)),NOT(ISNUMBER(AF538)),NOT(ISNUMBER(AJ538)),NOT(ISNUMBER(AP538))),"",
IFERROR(IF((AD538-AF538)/(AJ538/60)/(AP538/1000)&lt;=0,"",(AD538-AF538)/(AJ538/60)/(AP538/1000)),""))</f>
        <v/>
      </c>
    </row>
    <row r="539" ht="15.75" customHeight="1">
      <c r="A539" s="260" t="inlineStr">
        <is>
          <t>B70</t>
        </is>
      </c>
      <c r="B539" s="260" t="n">
        <v>295</v>
      </c>
      <c r="D539" s="11" t="n">
        <v>45799</v>
      </c>
      <c r="E539" s="231" t="n">
        <v>295</v>
      </c>
      <c r="F539" s="3" t="n">
        <v>534</v>
      </c>
      <c r="G539" s="205">
        <f>IF(OR(S539="",S539=0),"",S539*2)</f>
        <v/>
      </c>
      <c r="I539" s="15">
        <f>(N539*18-H539*18)/9</f>
        <v/>
      </c>
      <c r="J539" s="15">
        <f>5*0.852</f>
        <v/>
      </c>
      <c r="K539" s="15">
        <f>AD539</f>
        <v/>
      </c>
      <c r="M539" s="10">
        <f>IF(OR(E539="",G539="",E539=0,G539=0),"",E539/G539)</f>
        <v/>
      </c>
      <c r="N539" s="9">
        <f>IF(OR(E539="",I539="",E539=0,I539=0),"",E539/(I539*2))</f>
        <v/>
      </c>
      <c r="O539" s="8">
        <f>IF(OR(I539="",G539="",I539=0,G539=0),"",I539*2/G539)</f>
        <v/>
      </c>
      <c r="Q539" s="6" t="n">
        <v>65.36</v>
      </c>
      <c r="R539" s="6" t="n">
        <v>34.64</v>
      </c>
      <c r="S539" s="6">
        <f>O539*1.067</f>
        <v/>
      </c>
      <c r="T539" s="6">
        <f>P539*1.514</f>
        <v/>
      </c>
      <c r="U539" s="23">
        <f>P539*1.514+O539*1.067</f>
        <v/>
      </c>
      <c r="V539" s="6" t="n">
        <v>35.6</v>
      </c>
      <c r="W539" s="59">
        <f>0*1.067</f>
        <v/>
      </c>
      <c r="X539" s="59">
        <f>0*1.514</f>
        <v/>
      </c>
      <c r="Y539" s="23">
        <f>U539*1.067+V539*1.514</f>
        <v/>
      </c>
      <c r="AD539" s="5" t="n">
        <v>80</v>
      </c>
      <c r="AM539" s="3">
        <f>180+60</f>
        <v/>
      </c>
      <c r="AP539" s="3" t="n">
        <v>40</v>
      </c>
      <c r="AR539" s="13">
        <f>AVERAGE(AO537:AO543)</f>
        <v/>
      </c>
      <c r="AT539" s="156">
        <f>(E539-W539)/E539</f>
        <v/>
      </c>
      <c r="AU539" s="155">
        <f>(I539-AF539)/I539</f>
        <v/>
      </c>
      <c r="AV539" s="155">
        <f>AG539/(AD539-AF539)</f>
        <v/>
      </c>
      <c r="AW539" s="155">
        <f>(G539-AM539)/G539</f>
        <v/>
      </c>
      <c r="AX539" s="254">
        <f>IF(AND(ISNUMBER(E539),ISNUMBER(W539)),E539-W539,"")</f>
        <v/>
      </c>
      <c r="AY539" s="254">
        <f>IF(AND(ISNUMBER(I539),ISNUMBER(AF539)),I539-AF539,"")</f>
        <v/>
      </c>
      <c r="AZ539" s="254">
        <f>IF(AND(ISNUMBER(AM539),ISNUMBER(G539)),G539-AM539,"")</f>
        <v/>
      </c>
      <c r="BA539" s="254">
        <f>IF(AND(ISNUMBER(AC539),ISNUMBER(AE539)),AC539-AE539,"")</f>
        <v/>
      </c>
      <c r="BB539" s="254">
        <f>IF(AND(ISNUMBER(AL539),ISNUMBER(AM539)),AL539-AM539,"")</f>
        <v/>
      </c>
      <c r="BG539" s="6">
        <f>IF((AD539-AF539)/(AJ539/60)&lt;=0,"",(AD539-AF539)/(AJ539/60))</f>
        <v/>
      </c>
      <c r="BH539" s="6">
        <f>IF(OR(AJ539=0,AP539=0,NOT(ISNUMBER(AD539)),NOT(ISNUMBER(AF539)),NOT(ISNUMBER(AJ539)),NOT(ISNUMBER(AP539))),"",
IFERROR(IF((AD539-AF539)/(AJ539/60)/(AP539/1000)&lt;=0,"",(AD539-AF539)/(AJ539/60)/(AP539/1000)),""))</f>
        <v/>
      </c>
    </row>
    <row r="540" ht="15.75" customHeight="1">
      <c r="B540" t="n">
        <v>296</v>
      </c>
      <c r="D540" s="11" t="n">
        <v>45800</v>
      </c>
      <c r="E540" s="231" t="n">
        <v>296</v>
      </c>
      <c r="F540" s="3" t="n">
        <v>535</v>
      </c>
      <c r="G540" s="205">
        <f>IF(OR(S540="",S540=0),"",S540*2)</f>
        <v/>
      </c>
      <c r="K540" s="15">
        <f>AD540</f>
        <v/>
      </c>
      <c r="M540" s="10">
        <f>IF(OR(E540="",G540="",E540=0,G540=0),"",E540/G540)</f>
        <v/>
      </c>
      <c r="N540" s="9">
        <f>IF(OR(E540="",I540="",E540=0,I540=0),"",E540/(I540*2))</f>
        <v/>
      </c>
      <c r="O540" s="8">
        <f>IF(OR(I540="",G540="",I540=0,G540=0),"",I540*2/G540)</f>
        <v/>
      </c>
      <c r="AD540" s="5" t="n">
        <v>80</v>
      </c>
      <c r="AM540" s="3">
        <f>180+60</f>
        <v/>
      </c>
      <c r="AP540" s="3" t="n">
        <v>40</v>
      </c>
      <c r="AR540" s="13">
        <f>AVERAGE(AO538:AO544)</f>
        <v/>
      </c>
      <c r="AT540" s="156">
        <f>(E540-W540)/E540</f>
        <v/>
      </c>
      <c r="AU540" s="155">
        <f>(I540-AF540)/I540</f>
        <v/>
      </c>
      <c r="AV540" s="155">
        <f>AG540/(AD540-AF540)</f>
        <v/>
      </c>
      <c r="AW540" s="155">
        <f>(G540-AM540)/G540</f>
        <v/>
      </c>
      <c r="AX540" s="254">
        <f>IF(AND(ISNUMBER(E540),ISNUMBER(W540)),E540-W540,"")</f>
        <v/>
      </c>
      <c r="AY540" s="254">
        <f>IF(AND(ISNUMBER(I540),ISNUMBER(AF540)),I540-AF540,"")</f>
        <v/>
      </c>
      <c r="AZ540" s="254">
        <f>IF(AND(ISNUMBER(AM540),ISNUMBER(G540)),G540-AM540,"")</f>
        <v/>
      </c>
      <c r="BA540" s="254">
        <f>IF(AND(ISNUMBER(AC540),ISNUMBER(AE540)),AC540-AE540,"")</f>
        <v/>
      </c>
      <c r="BB540" s="254">
        <f>IF(AND(ISNUMBER(AL540),ISNUMBER(AM540)),AL540-AM540,"")</f>
        <v/>
      </c>
      <c r="BG540" s="6">
        <f>IF((AD540-AF540)/(AJ540/60)&lt;=0,"",(AD540-AF540)/(AJ540/60))</f>
        <v/>
      </c>
      <c r="BH540" s="6">
        <f>IF(OR(AJ540=0,AP540=0,NOT(ISNUMBER(AD540)),NOT(ISNUMBER(AF540)),NOT(ISNUMBER(AJ540)),NOT(ISNUMBER(AP540))),"",
IFERROR(IF((AD540-AF540)/(AJ540/60)/(AP540/1000)&lt;=0,"",(AD540-AF540)/(AJ540/60)/(AP540/1000)),""))</f>
        <v/>
      </c>
    </row>
    <row r="541" ht="15.75" customHeight="1">
      <c r="B541" t="n">
        <v>297</v>
      </c>
      <c r="D541" s="11" t="n">
        <v>45801</v>
      </c>
      <c r="E541" s="231" t="n">
        <v>297</v>
      </c>
      <c r="F541" s="3" t="n">
        <v>536</v>
      </c>
      <c r="G541" s="205">
        <f>IF(OR(S541="",S541=0),"",S541*2)</f>
        <v/>
      </c>
      <c r="K541" s="15">
        <f>AD541</f>
        <v/>
      </c>
      <c r="M541" s="10">
        <f>IF(OR(E541="",G541="",E541=0,G541=0),"",E541/G541)</f>
        <v/>
      </c>
      <c r="N541" s="9">
        <f>IF(OR(E541="",I541="",E541=0,I541=0),"",E541/(I541*2))</f>
        <v/>
      </c>
      <c r="O541" s="8">
        <f>IF(OR(I541="",G541="",I541=0,G541=0),"",I541*2/G541)</f>
        <v/>
      </c>
      <c r="AD541" s="5" t="n">
        <v>80</v>
      </c>
      <c r="AM541" s="3">
        <f>180+60</f>
        <v/>
      </c>
      <c r="AP541" s="3" t="n">
        <v>40</v>
      </c>
      <c r="AR541" s="13">
        <f>AVERAGE(AO539:AO545)</f>
        <v/>
      </c>
      <c r="AT541" s="156">
        <f>(E541-W541)/E541</f>
        <v/>
      </c>
      <c r="AU541" s="155">
        <f>(I541-AF541)/I541</f>
        <v/>
      </c>
      <c r="AV541" s="155">
        <f>AG541/(AD541-AF541)</f>
        <v/>
      </c>
      <c r="AW541" s="155">
        <f>(G541-AM541)/G541</f>
        <v/>
      </c>
      <c r="AX541" s="254">
        <f>IF(AND(ISNUMBER(E541),ISNUMBER(W541)),E541-W541,"")</f>
        <v/>
      </c>
      <c r="AY541" s="254">
        <f>IF(AND(ISNUMBER(I541),ISNUMBER(AF541)),I541-AF541,"")</f>
        <v/>
      </c>
      <c r="AZ541" s="254">
        <f>IF(AND(ISNUMBER(AM541),ISNUMBER(G541)),G541-AM541,"")</f>
        <v/>
      </c>
      <c r="BA541" s="254">
        <f>IF(AND(ISNUMBER(AC541),ISNUMBER(AE541)),AC541-AE541,"")</f>
        <v/>
      </c>
      <c r="BB541" s="254">
        <f>IF(AND(ISNUMBER(AL541),ISNUMBER(AM541)),AL541-AM541,"")</f>
        <v/>
      </c>
      <c r="BG541" s="6">
        <f>IF((AD541-AF541)/(AJ541/60)&lt;=0,"",(AD541-AF541)/(AJ541/60))</f>
        <v/>
      </c>
      <c r="BH541" s="6">
        <f>IF(OR(AJ541=0,AP541=0,NOT(ISNUMBER(AD541)),NOT(ISNUMBER(AF541)),NOT(ISNUMBER(AJ541)),NOT(ISNUMBER(AP541))),"",
IFERROR(IF((AD541-AF541)/(AJ541/60)/(AP541/1000)&lt;=0,"",(AD541-AF541)/(AJ541/60)/(AP541/1000)),""))</f>
        <v/>
      </c>
    </row>
    <row r="542" ht="15.75" customHeight="1">
      <c r="B542" t="n">
        <v>298</v>
      </c>
      <c r="D542" s="11" t="n">
        <v>45802</v>
      </c>
      <c r="E542" s="231" t="n">
        <v>298</v>
      </c>
      <c r="F542" s="3" t="n">
        <v>537</v>
      </c>
      <c r="G542" s="205">
        <f>IF(OR(S542="",S542=0),"",S542*2)</f>
        <v/>
      </c>
      <c r="K542" s="15">
        <f>AD542</f>
        <v/>
      </c>
      <c r="M542" s="10">
        <f>IF(OR(E542="",G542="",E542=0,G542=0),"",E542/G542)</f>
        <v/>
      </c>
      <c r="N542" s="9">
        <f>IF(OR(E542="",I542="",E542=0,I542=0),"",E542/(I542*2))</f>
        <v/>
      </c>
      <c r="O542" s="8">
        <f>IF(OR(I542="",G542="",I542=0,G542=0),"",I542*2/G542)</f>
        <v/>
      </c>
      <c r="AD542" s="5" t="n">
        <v>80</v>
      </c>
      <c r="AM542" s="3">
        <f>180+60</f>
        <v/>
      </c>
      <c r="AP542" s="3" t="n">
        <v>40</v>
      </c>
      <c r="AR542" s="13">
        <f>AVERAGE(AO540:AO546)</f>
        <v/>
      </c>
      <c r="AT542" s="156">
        <f>(E542-W542)/E542</f>
        <v/>
      </c>
      <c r="AU542" s="155">
        <f>(I542-AF542)/I542</f>
        <v/>
      </c>
      <c r="AV542" s="155">
        <f>AG542/(AD542-AF542)</f>
        <v/>
      </c>
      <c r="AW542" s="155">
        <f>(G542-AM542)/G542</f>
        <v/>
      </c>
      <c r="AX542" s="254">
        <f>IF(AND(ISNUMBER(E542),ISNUMBER(W542)),E542-W542,"")</f>
        <v/>
      </c>
      <c r="AY542" s="254">
        <f>IF(AND(ISNUMBER(I542),ISNUMBER(AF542)),I542-AF542,"")</f>
        <v/>
      </c>
      <c r="AZ542" s="254">
        <f>IF(AND(ISNUMBER(AM542),ISNUMBER(G542)),G542-AM542,"")</f>
        <v/>
      </c>
      <c r="BA542" s="254">
        <f>IF(AND(ISNUMBER(AC542),ISNUMBER(AE542)),AC542-AE542,"")</f>
        <v/>
      </c>
      <c r="BB542" s="254">
        <f>IF(AND(ISNUMBER(AL542),ISNUMBER(AM542)),AL542-AM542,"")</f>
        <v/>
      </c>
      <c r="BG542" s="6">
        <f>IF((AD542-AF542)/(AJ542/60)&lt;=0,"",(AD542-AF542)/(AJ542/60))</f>
        <v/>
      </c>
      <c r="BH542" s="6">
        <f>IF(OR(AJ542=0,AP542=0,NOT(ISNUMBER(AD542)),NOT(ISNUMBER(AF542)),NOT(ISNUMBER(AJ542)),NOT(ISNUMBER(AP542))),"",
IFERROR(IF((AD542-AF542)/(AJ542/60)/(AP542/1000)&lt;=0,"",(AD542-AF542)/(AJ542/60)/(AP542/1000)),""))</f>
        <v/>
      </c>
    </row>
    <row r="543" ht="15.75" customHeight="1">
      <c r="B543" t="n">
        <v>299</v>
      </c>
      <c r="D543" s="11" t="n">
        <v>45803</v>
      </c>
      <c r="E543" s="231" t="n">
        <v>299</v>
      </c>
      <c r="F543" s="3" t="n">
        <v>538</v>
      </c>
      <c r="G543" s="205">
        <f>IF(OR(S543="",S543=0),"",S543*2)</f>
        <v/>
      </c>
      <c r="K543" s="15">
        <f>AD543</f>
        <v/>
      </c>
      <c r="M543" s="10">
        <f>IF(OR(E543="",G543="",E543=0,G543=0),"",E543/G543)</f>
        <v/>
      </c>
      <c r="N543" s="9">
        <f>IF(OR(E543="",I543="",E543=0,I543=0),"",E543/(I543*2))</f>
        <v/>
      </c>
      <c r="O543" s="8">
        <f>IF(OR(I543="",G543="",I543=0,G543=0),"",I543*2/G543)</f>
        <v/>
      </c>
      <c r="AD543" s="5" t="n">
        <v>80</v>
      </c>
      <c r="AM543" s="3">
        <f>180+60</f>
        <v/>
      </c>
      <c r="AP543" s="3" t="n">
        <v>40</v>
      </c>
      <c r="AR543" s="13">
        <f>AVERAGE(AO541:AO547)</f>
        <v/>
      </c>
      <c r="AT543" s="156">
        <f>(E543-W543)/E543</f>
        <v/>
      </c>
      <c r="AU543" s="155">
        <f>(I543-AF543)/I543</f>
        <v/>
      </c>
      <c r="AV543" s="155">
        <f>AG543/(AD543-AF543)</f>
        <v/>
      </c>
      <c r="AW543" s="155">
        <f>(G543-AM543)/G543</f>
        <v/>
      </c>
      <c r="AX543" s="254">
        <f>IF(AND(ISNUMBER(E543),ISNUMBER(W543)),E543-W543,"")</f>
        <v/>
      </c>
      <c r="AY543" s="254">
        <f>IF(AND(ISNUMBER(I543),ISNUMBER(AF543)),I543-AF543,"")</f>
        <v/>
      </c>
      <c r="AZ543" s="254">
        <f>IF(AND(ISNUMBER(AM543),ISNUMBER(G543)),G543-AM543,"")</f>
        <v/>
      </c>
      <c r="BA543" s="254">
        <f>IF(AND(ISNUMBER(AC543),ISNUMBER(AE543)),AC543-AE543,"")</f>
        <v/>
      </c>
      <c r="BB543" s="254">
        <f>IF(AND(ISNUMBER(AL543),ISNUMBER(AM543)),AL543-AM543,"")</f>
        <v/>
      </c>
      <c r="BG543" s="6">
        <f>IF((AD543-AF543)/(AJ543/60)&lt;=0,"",(AD543-AF543)/(AJ543/60))</f>
        <v/>
      </c>
      <c r="BH543" s="6">
        <f>IF(OR(AJ543=0,AP543=0,NOT(ISNUMBER(AD543)),NOT(ISNUMBER(AF543)),NOT(ISNUMBER(AJ543)),NOT(ISNUMBER(AP543))),"",
IFERROR(IF((AD543-AF543)/(AJ543/60)/(AP543/1000)&lt;=0,"",(AD543-AF543)/(AJ543/60)/(AP543/1000)),""))</f>
        <v/>
      </c>
    </row>
    <row r="544" ht="15.75" customHeight="1">
      <c r="B544" t="n">
        <v>300</v>
      </c>
      <c r="D544" s="72" t="n">
        <v>45804</v>
      </c>
      <c r="E544" s="231" t="n">
        <v>300</v>
      </c>
      <c r="F544" s="3" t="n">
        <v>539</v>
      </c>
      <c r="G544" s="205">
        <f>IF(OR(S544="",S544=0),"",S544*2)</f>
        <v/>
      </c>
      <c r="I544" s="15">
        <f>(N544*18-H544*18)/9</f>
        <v/>
      </c>
      <c r="J544" s="15">
        <f>5*0.852</f>
        <v/>
      </c>
      <c r="K544" s="15">
        <f>AD544</f>
        <v/>
      </c>
      <c r="M544" s="10">
        <f>IF(OR(E544="",G544="",E544=0,G544=0),"",E544/G544)</f>
        <v/>
      </c>
      <c r="N544" s="9">
        <f>IF(OR(E544="",I544="",E544=0,I544=0),"",E544/(I544*2))</f>
        <v/>
      </c>
      <c r="O544" s="8">
        <f>IF(OR(I544="",G544="",I544=0,G544=0),"",I544*2/G544)</f>
        <v/>
      </c>
      <c r="Q544" s="6" t="n">
        <v>80.468</v>
      </c>
      <c r="R544" s="6" t="n">
        <v>27.334</v>
      </c>
      <c r="S544" s="6">
        <f>O544*1.067</f>
        <v/>
      </c>
      <c r="T544" s="6">
        <f>P544*1.514</f>
        <v/>
      </c>
      <c r="U544" s="23">
        <f>P544*1.514+O544*1.067</f>
        <v/>
      </c>
      <c r="V544" s="6" t="n">
        <v>35.6</v>
      </c>
      <c r="W544" s="59">
        <f>0*1.067</f>
        <v/>
      </c>
      <c r="X544" s="59">
        <f>0*1.514</f>
        <v/>
      </c>
      <c r="Y544" s="23">
        <f>U544*1.067+V544*1.514</f>
        <v/>
      </c>
      <c r="AD544" s="5" t="n">
        <v>80</v>
      </c>
      <c r="AM544" s="3">
        <f>180+60</f>
        <v/>
      </c>
      <c r="AP544" s="3" t="n">
        <v>40</v>
      </c>
      <c r="AR544" s="13">
        <f>AVERAGE(AO542:AO548)</f>
        <v/>
      </c>
      <c r="AT544" s="156">
        <f>(E544-W544)/E544</f>
        <v/>
      </c>
      <c r="AU544" s="155">
        <f>(I544-AF544)/I544</f>
        <v/>
      </c>
      <c r="AV544" s="155">
        <f>AG544/(AD544-AF544)</f>
        <v/>
      </c>
      <c r="AW544" s="155">
        <f>(G544-AM544)/G544</f>
        <v/>
      </c>
      <c r="AX544" s="254">
        <f>IF(AND(ISNUMBER(E544),ISNUMBER(W544)),E544-W544,"")</f>
        <v/>
      </c>
      <c r="AY544" s="254">
        <f>IF(AND(ISNUMBER(I544),ISNUMBER(AF544)),I544-AF544,"")</f>
        <v/>
      </c>
      <c r="AZ544" s="254">
        <f>IF(AND(ISNUMBER(AM544),ISNUMBER(G544)),G544-AM544,"")</f>
        <v/>
      </c>
      <c r="BA544" s="254">
        <f>IF(AND(ISNUMBER(AC544),ISNUMBER(AE544)),AC544-AE544,"")</f>
        <v/>
      </c>
      <c r="BB544" s="254">
        <f>IF(AND(ISNUMBER(AL544),ISNUMBER(AM544)),AL544-AM544,"")</f>
        <v/>
      </c>
      <c r="BG544" s="6">
        <f>IF((AD544-AF544)/(AJ544/60)&lt;=0,"",(AD544-AF544)/(AJ544/60))</f>
        <v/>
      </c>
      <c r="BH544" s="6">
        <f>IF(OR(AJ544=0,AP544=0,NOT(ISNUMBER(AD544)),NOT(ISNUMBER(AF544)),NOT(ISNUMBER(AJ544)),NOT(ISNUMBER(AP544))),"",
IFERROR(IF((AD544-AF544)/(AJ544/60)/(AP544/1000)&lt;=0,"",(AD544-AF544)/(AJ544/60)/(AP544/1000)),""))</f>
        <v/>
      </c>
    </row>
    <row r="545" ht="15.75" customHeight="1">
      <c r="B545" t="n">
        <v>301</v>
      </c>
      <c r="D545" s="11" t="n">
        <v>45805</v>
      </c>
      <c r="E545" s="231" t="n">
        <v>301</v>
      </c>
      <c r="F545" s="3" t="n">
        <v>540</v>
      </c>
      <c r="G545" s="205">
        <f>IF(OR(S545="",S545=0),"",S545*2)</f>
        <v/>
      </c>
      <c r="K545" s="15">
        <f>AD545</f>
        <v/>
      </c>
      <c r="M545" s="10">
        <f>IF(OR(E545="",G545="",E545=0,G545=0),"",E545/G545)</f>
        <v/>
      </c>
      <c r="N545" s="9">
        <f>IF(OR(E545="",I545="",E545=0,I545=0),"",E545/(I545*2))</f>
        <v/>
      </c>
      <c r="O545" s="8">
        <f>IF(OR(I545="",G545="",I545=0,G545=0),"",I545*2/G545)</f>
        <v/>
      </c>
      <c r="AD545" s="5" t="n">
        <v>80</v>
      </c>
      <c r="AM545" s="3">
        <f>180+60</f>
        <v/>
      </c>
      <c r="AP545" s="3" t="n">
        <v>40</v>
      </c>
      <c r="AR545" s="13">
        <f>AVERAGE(AO543:AO549)</f>
        <v/>
      </c>
      <c r="AT545" s="156">
        <f>(E545-W545)/E545</f>
        <v/>
      </c>
      <c r="AU545" s="155">
        <f>(I545-AF545)/I545</f>
        <v/>
      </c>
      <c r="AV545" s="155">
        <f>AG545/(AD545-AF545)</f>
        <v/>
      </c>
      <c r="AW545" s="155">
        <f>(G545-AM545)/G545</f>
        <v/>
      </c>
      <c r="AX545" s="254">
        <f>IF(AND(ISNUMBER(E545),ISNUMBER(W545)),E545-W545,"")</f>
        <v/>
      </c>
      <c r="AY545" s="254">
        <f>IF(AND(ISNUMBER(I545),ISNUMBER(AF545)),I545-AF545,"")</f>
        <v/>
      </c>
      <c r="AZ545" s="254">
        <f>IF(AND(ISNUMBER(AM545),ISNUMBER(G545)),G545-AM545,"")</f>
        <v/>
      </c>
      <c r="BA545" s="254">
        <f>IF(AND(ISNUMBER(AC545),ISNUMBER(AE545)),AC545-AE545,"")</f>
        <v/>
      </c>
      <c r="BB545" s="254">
        <f>IF(AND(ISNUMBER(AL545),ISNUMBER(AM545)),AL545-AM545,"")</f>
        <v/>
      </c>
      <c r="BG545" s="6">
        <f>IF((AD545-AF545)/(AJ545/60)&lt;=0,"",(AD545-AF545)/(AJ545/60))</f>
        <v/>
      </c>
      <c r="BH545" s="6">
        <f>IF(OR(AJ545=0,AP545=0,NOT(ISNUMBER(AD545)),NOT(ISNUMBER(AF545)),NOT(ISNUMBER(AJ545)),NOT(ISNUMBER(AP545))),"",
IFERROR(IF((AD545-AF545)/(AJ545/60)/(AP545/1000)&lt;=0,"",(AD545-AF545)/(AJ545/60)/(AP545/1000)),""))</f>
        <v/>
      </c>
    </row>
    <row r="546" ht="15.75" customHeight="1">
      <c r="A546" s="260" t="inlineStr">
        <is>
          <t>B71</t>
        </is>
      </c>
      <c r="B546" s="260" t="n">
        <v>302</v>
      </c>
      <c r="D546" s="11" t="n">
        <v>45806</v>
      </c>
      <c r="E546" s="231" t="n">
        <v>302</v>
      </c>
      <c r="F546" s="3" t="n">
        <v>541</v>
      </c>
      <c r="G546" s="205">
        <f>IF(OR(S546="",S546=0),"",S546*2)</f>
        <v/>
      </c>
      <c r="I546" s="15">
        <f>(N546*18-H546*18)/9</f>
        <v/>
      </c>
      <c r="J546" s="15">
        <f>5*0.852</f>
        <v/>
      </c>
      <c r="K546" s="15">
        <f>AD546</f>
        <v/>
      </c>
      <c r="M546" s="10">
        <f>IF(OR(E546="",G546="",E546=0,G546=0),"",E546/G546)</f>
        <v/>
      </c>
      <c r="N546" s="9">
        <f>IF(OR(E546="",I546="",E546=0,I546=0),"",E546/(I546*2))</f>
        <v/>
      </c>
      <c r="O546" s="8">
        <f>IF(OR(I546="",G546="",I546=0,G546=0),"",I546*2/G546)</f>
        <v/>
      </c>
      <c r="Q546" s="6" t="n">
        <v>83.227</v>
      </c>
      <c r="R546" s="6" t="n">
        <v>27.014</v>
      </c>
      <c r="S546" s="6">
        <f>O546*1.067</f>
        <v/>
      </c>
      <c r="T546" s="6">
        <f>P546*1.514</f>
        <v/>
      </c>
      <c r="U546" s="23">
        <f>P546*1.514+O546*1.067</f>
        <v/>
      </c>
      <c r="V546" s="6" t="n">
        <v>35.6</v>
      </c>
      <c r="W546" s="59">
        <f>0*1.067</f>
        <v/>
      </c>
      <c r="X546" s="59">
        <f>0*1.514</f>
        <v/>
      </c>
      <c r="Y546" s="23">
        <f>U546*1.067+V546*1.514</f>
        <v/>
      </c>
      <c r="AD546" s="5" t="n">
        <v>80</v>
      </c>
      <c r="AM546" s="3">
        <f>180+60</f>
        <v/>
      </c>
      <c r="AP546" s="3" t="n">
        <v>40</v>
      </c>
      <c r="AR546" s="13">
        <f>AVERAGE(AO544:AO550)</f>
        <v/>
      </c>
      <c r="AT546" s="156">
        <f>(E546-W546)/E546</f>
        <v/>
      </c>
      <c r="AU546" s="155">
        <f>(I546-AF546)/I546</f>
        <v/>
      </c>
      <c r="AV546" s="155">
        <f>AG546/(AD546-AF546)</f>
        <v/>
      </c>
      <c r="AW546" s="155">
        <f>(G546-AM546)/G546</f>
        <v/>
      </c>
      <c r="AX546" s="254">
        <f>IF(AND(ISNUMBER(E546),ISNUMBER(W546)),E546-W546,"")</f>
        <v/>
      </c>
      <c r="AY546" s="254">
        <f>IF(AND(ISNUMBER(I546),ISNUMBER(AF546)),I546-AF546,"")</f>
        <v/>
      </c>
      <c r="AZ546" s="254">
        <f>IF(AND(ISNUMBER(AM546),ISNUMBER(G546)),G546-AM546,"")</f>
        <v/>
      </c>
      <c r="BA546" s="254">
        <f>IF(AND(ISNUMBER(AC546),ISNUMBER(AE546)),AC546-AE546,"")</f>
        <v/>
      </c>
      <c r="BB546" s="254">
        <f>IF(AND(ISNUMBER(AL546),ISNUMBER(AM546)),AL546-AM546,"")</f>
        <v/>
      </c>
      <c r="BG546" s="6">
        <f>IF((AD546-AF546)/(AJ546/60)&lt;=0,"",(AD546-AF546)/(AJ546/60))</f>
        <v/>
      </c>
      <c r="BH546" s="6">
        <f>IF(OR(AJ546=0,AP546=0,NOT(ISNUMBER(AD546)),NOT(ISNUMBER(AF546)),NOT(ISNUMBER(AJ546)),NOT(ISNUMBER(AP546))),"",
IFERROR(IF((AD546-AF546)/(AJ546/60)/(AP546/1000)&lt;=0,"",(AD546-AF546)/(AJ546/60)/(AP546/1000)),""))</f>
        <v/>
      </c>
    </row>
    <row r="547" ht="15.75" customFormat="1" customHeight="1" s="27">
      <c r="B547" t="n">
        <v>303</v>
      </c>
      <c r="C547" s="39" t="inlineStr">
        <is>
          <t>bump No2 to 31 ppm, increase aeration</t>
        </is>
      </c>
      <c r="D547" s="38" t="n">
        <v>45807</v>
      </c>
      <c r="E547" s="231" t="n">
        <v>303</v>
      </c>
      <c r="F547" s="29" t="n">
        <v>542</v>
      </c>
      <c r="G547" s="205">
        <f>IF(OR(S547="",S547=0),"",S547*2)</f>
        <v/>
      </c>
      <c r="H547" s="36" t="n"/>
      <c r="I547" s="15" t="n"/>
      <c r="J547" s="15" t="n"/>
      <c r="K547" s="15">
        <f>AD547</f>
        <v/>
      </c>
      <c r="L547" s="35" t="n"/>
      <c r="M547" s="10">
        <f>IF(OR(E547="",G547="",E547=0,G547=0),"",E547/G547)</f>
        <v/>
      </c>
      <c r="N547" s="9">
        <f>IF(OR(E547="",I547="",E547=0,I547=0),"",E547/(I547*2))</f>
        <v/>
      </c>
      <c r="O547" s="8">
        <f>IF(OR(I547="",G547="",I547=0,G547=0),"",I547*2/G547)</f>
        <v/>
      </c>
      <c r="P547" s="34" t="n"/>
      <c r="Q547" s="33" t="n"/>
      <c r="R547" s="33" t="n"/>
      <c r="S547" s="33" t="n"/>
      <c r="T547" s="33" t="n"/>
      <c r="U547" s="33" t="n"/>
      <c r="V547" s="33" t="n"/>
      <c r="W547" s="33" t="n"/>
      <c r="X547" s="33" t="n"/>
      <c r="Y547" s="33" t="n"/>
      <c r="Z547" s="33" t="n"/>
      <c r="AA547" s="33" t="n"/>
      <c r="AB547" s="33" t="n"/>
      <c r="AC547" s="33" t="n"/>
      <c r="AD547" s="74" t="n">
        <v>80</v>
      </c>
      <c r="AE547" s="32" t="n"/>
      <c r="AM547" s="29">
        <f>180+60</f>
        <v/>
      </c>
      <c r="AN547" s="32" t="n"/>
      <c r="AP547" s="3" t="n">
        <v>40</v>
      </c>
      <c r="AQ547" s="28" t="n"/>
      <c r="AR547" s="13">
        <f>AVERAGE(AO545:AO551)</f>
        <v/>
      </c>
      <c r="AS547" s="28" t="n"/>
      <c r="AT547" s="31">
        <f>(E547-W547)/E547</f>
        <v/>
      </c>
      <c r="AU547" s="30">
        <f>(I547-AF547)/I547</f>
        <v/>
      </c>
      <c r="AV547" s="30">
        <f>AG547/(AD547-AF547)</f>
        <v/>
      </c>
      <c r="AW547" s="30">
        <f>(G547-AM547)/G547</f>
        <v/>
      </c>
      <c r="AX547" s="254">
        <f>IF(AND(ISNUMBER(E547),ISNUMBER(W547)),E547-W547,"")</f>
        <v/>
      </c>
      <c r="AY547" s="254">
        <f>IF(AND(ISNUMBER(I547),ISNUMBER(AF547)),I547-AF547,"")</f>
        <v/>
      </c>
      <c r="AZ547" s="254">
        <f>IF(AND(ISNUMBER(AM547),ISNUMBER(G547)),G547-AM547,"")</f>
        <v/>
      </c>
      <c r="BA547" s="254">
        <f>IF(AND(ISNUMBER(AC547),ISNUMBER(AE547)),AC547-AE547,"")</f>
        <v/>
      </c>
      <c r="BB547" s="254">
        <f>IF(AND(ISNUMBER(AL547),ISNUMBER(AM547)),AL547-AM547,"")</f>
        <v/>
      </c>
      <c r="BG547" s="6">
        <f>IF((AD547-AF547)/(AJ547/60)&lt;=0,"",(AD547-AF547)/(AJ547/60))</f>
        <v/>
      </c>
      <c r="BH547" s="6">
        <f>IF(OR(AJ547=0,AP547=0,NOT(ISNUMBER(AD547)),NOT(ISNUMBER(AF547)),NOT(ISNUMBER(AJ547)),NOT(ISNUMBER(AP547))),"",
IFERROR(IF((AD547-AF547)/(AJ547/60)/(AP547/1000)&lt;=0,"",(AD547-AF547)/(AJ547/60)/(AP547/1000)),""))</f>
        <v/>
      </c>
    </row>
    <row r="548" ht="15.75" customHeight="1">
      <c r="B548" t="n">
        <v>304</v>
      </c>
      <c r="D548" s="11" t="n">
        <v>45808</v>
      </c>
      <c r="E548" s="231" t="n">
        <v>304</v>
      </c>
      <c r="F548" s="3" t="n">
        <v>543</v>
      </c>
      <c r="G548" s="205">
        <f>IF(OR(S548="",S548=0),"",S548*2)</f>
        <v/>
      </c>
      <c r="K548" s="15">
        <f>AD548</f>
        <v/>
      </c>
      <c r="M548" s="10">
        <f>IF(OR(E548="",G548="",E548=0,G548=0),"",E548/G548)</f>
        <v/>
      </c>
      <c r="N548" s="9">
        <f>IF(OR(E548="",I548="",E548=0,I548=0),"",E548/(I548*2))</f>
        <v/>
      </c>
      <c r="O548" s="8">
        <f>IF(OR(I548="",G548="",I548=0,G548=0),"",I548*2/G548)</f>
        <v/>
      </c>
      <c r="AD548" s="5" t="n">
        <v>80</v>
      </c>
      <c r="AM548" s="3">
        <f>180+60</f>
        <v/>
      </c>
      <c r="AP548" s="3" t="n">
        <v>40</v>
      </c>
      <c r="AR548" s="13">
        <f>AVERAGE(AO546:AO552)</f>
        <v/>
      </c>
      <c r="AT548" s="156">
        <f>(E548-W548)/E548</f>
        <v/>
      </c>
      <c r="AU548" s="155">
        <f>(I548-AF548)/I548</f>
        <v/>
      </c>
      <c r="AV548" s="155">
        <f>AG548/(AD548-AF548)</f>
        <v/>
      </c>
      <c r="AW548" s="155">
        <f>(G548-AM548)/G548</f>
        <v/>
      </c>
      <c r="AX548" s="254">
        <f>IF(AND(ISNUMBER(E548),ISNUMBER(W548)),E548-W548,"")</f>
        <v/>
      </c>
      <c r="AY548" s="254">
        <f>IF(AND(ISNUMBER(I548),ISNUMBER(AF548)),I548-AF548,"")</f>
        <v/>
      </c>
      <c r="AZ548" s="254">
        <f>IF(AND(ISNUMBER(AM548),ISNUMBER(G548)),G548-AM548,"")</f>
        <v/>
      </c>
      <c r="BA548" s="254">
        <f>IF(AND(ISNUMBER(AC548),ISNUMBER(AE548)),AC548-AE548,"")</f>
        <v/>
      </c>
      <c r="BB548" s="254">
        <f>IF(AND(ISNUMBER(AL548),ISNUMBER(AM548)),AL548-AM548,"")</f>
        <v/>
      </c>
      <c r="BG548" s="6">
        <f>IF((AD548-AF548)/(AJ548/60)&lt;=0,"",(AD548-AF548)/(AJ548/60))</f>
        <v/>
      </c>
      <c r="BH548" s="6">
        <f>IF(OR(AJ548=0,AP548=0,NOT(ISNUMBER(AD548)),NOT(ISNUMBER(AF548)),NOT(ISNUMBER(AJ548)),NOT(ISNUMBER(AP548))),"",
IFERROR(IF((AD548-AF548)/(AJ548/60)/(AP548/1000)&lt;=0,"",(AD548-AF548)/(AJ548/60)/(AP548/1000)),""))</f>
        <v/>
      </c>
    </row>
    <row r="549" ht="15.75" customHeight="1">
      <c r="B549" t="n">
        <v>305</v>
      </c>
      <c r="C549" s="12" t="inlineStr">
        <is>
          <t>system crash couldn’t finish</t>
        </is>
      </c>
      <c r="D549" s="11" t="n">
        <v>45809</v>
      </c>
      <c r="E549" s="231" t="n">
        <v>305</v>
      </c>
      <c r="F549" s="3" t="n">
        <v>544</v>
      </c>
      <c r="G549" s="205">
        <f>IF(OR(S549="",S549=0),"",S549*2)</f>
        <v/>
      </c>
      <c r="K549" s="15">
        <f>AD549</f>
        <v/>
      </c>
      <c r="M549" s="10">
        <f>IF(OR(E549="",G549="",E549=0,G549=0),"",E549/G549)</f>
        <v/>
      </c>
      <c r="N549" s="9">
        <f>IF(OR(E549="",I549="",E549=0,I549=0),"",E549/(I549*2))</f>
        <v/>
      </c>
      <c r="O549" s="8">
        <f>IF(OR(I549="",G549="",I549=0,G549=0),"",I549*2/G549)</f>
        <v/>
      </c>
      <c r="AD549" s="5" t="n">
        <v>80</v>
      </c>
      <c r="AM549" s="3">
        <f>180+60</f>
        <v/>
      </c>
      <c r="AP549" s="3" t="n">
        <v>40</v>
      </c>
      <c r="AR549" s="13">
        <f>AVERAGE(AO547:AO553)</f>
        <v/>
      </c>
      <c r="AT549" s="156">
        <f>(E549-W549)/E549</f>
        <v/>
      </c>
      <c r="AU549" s="155">
        <f>(I549-AF549)/I549</f>
        <v/>
      </c>
      <c r="AV549" s="155">
        <f>AG549/(AD549-AF549)</f>
        <v/>
      </c>
      <c r="AW549" s="155">
        <f>(G549-AM549)/G549</f>
        <v/>
      </c>
      <c r="AX549" s="254">
        <f>IF(AND(ISNUMBER(E549),ISNUMBER(W549)),E549-W549,"")</f>
        <v/>
      </c>
      <c r="AY549" s="254">
        <f>IF(AND(ISNUMBER(I549),ISNUMBER(AF549)),I549-AF549,"")</f>
        <v/>
      </c>
      <c r="AZ549" s="254">
        <f>IF(AND(ISNUMBER(AM549),ISNUMBER(G549)),G549-AM549,"")</f>
        <v/>
      </c>
      <c r="BA549" s="254">
        <f>IF(AND(ISNUMBER(AC549),ISNUMBER(AE549)),AC549-AE549,"")</f>
        <v/>
      </c>
      <c r="BB549" s="254">
        <f>IF(AND(ISNUMBER(AL549),ISNUMBER(AM549)),AL549-AM549,"")</f>
        <v/>
      </c>
      <c r="BG549" s="6">
        <f>IF((AD549-AF549)/(AJ549/60)&lt;=0,"",(AD549-AF549)/(AJ549/60))</f>
        <v/>
      </c>
      <c r="BH549" s="6">
        <f>IF(OR(AJ549=0,AP549=0,NOT(ISNUMBER(AD549)),NOT(ISNUMBER(AF549)),NOT(ISNUMBER(AJ549)),NOT(ISNUMBER(AP549))),"",
IFERROR(IF((AD549-AF549)/(AJ549/60)/(AP549/1000)&lt;=0,"",(AD549-AF549)/(AJ549/60)/(AP549/1000)),""))</f>
        <v/>
      </c>
    </row>
    <row r="550" ht="15.75" customHeight="1">
      <c r="B550" t="n">
        <v>306</v>
      </c>
      <c r="C550" s="12" t="inlineStr">
        <is>
          <t>drop NO2 back down to 25 ppm</t>
        </is>
      </c>
      <c r="D550" s="11" t="n">
        <v>45810</v>
      </c>
      <c r="E550" s="231" t="n">
        <v>306</v>
      </c>
      <c r="F550" s="3" t="n">
        <v>545</v>
      </c>
      <c r="G550" s="205">
        <f>IF(OR(S550="",S550=0),"",S550*2)</f>
        <v/>
      </c>
      <c r="K550" s="15">
        <f>AD550</f>
        <v/>
      </c>
      <c r="M550" s="10">
        <f>IF(OR(E550="",G550="",E550=0,G550=0),"",E550/G550)</f>
        <v/>
      </c>
      <c r="N550" s="9">
        <f>IF(OR(E550="",I550="",E550=0,I550=0),"",E550/(I550*2))</f>
        <v/>
      </c>
      <c r="O550" s="8">
        <f>IF(OR(I550="",G550="",I550=0,G550=0),"",I550*2/G550)</f>
        <v/>
      </c>
      <c r="AD550" s="5" t="n">
        <v>80</v>
      </c>
      <c r="AM550" s="3">
        <f>180+60</f>
        <v/>
      </c>
      <c r="AP550" s="3" t="n">
        <v>40</v>
      </c>
      <c r="AR550" s="13">
        <f>AVERAGE(AO548:AO554)</f>
        <v/>
      </c>
      <c r="AT550" s="156">
        <f>(E550-W550)/E550</f>
        <v/>
      </c>
      <c r="AU550" s="155">
        <f>(I550-AF550)/I550</f>
        <v/>
      </c>
      <c r="AV550" s="155">
        <f>AG550/(AD550-AF550)</f>
        <v/>
      </c>
      <c r="AW550" s="155">
        <f>(G550-AM550)/G550</f>
        <v/>
      </c>
      <c r="AX550" s="254">
        <f>IF(AND(ISNUMBER(E550),ISNUMBER(W550)),E550-W550,"")</f>
        <v/>
      </c>
      <c r="AY550" s="254">
        <f>IF(AND(ISNUMBER(I550),ISNUMBER(AF550)),I550-AF550,"")</f>
        <v/>
      </c>
      <c r="AZ550" s="254">
        <f>IF(AND(ISNUMBER(AM550),ISNUMBER(G550)),G550-AM550,"")</f>
        <v/>
      </c>
      <c r="BA550" s="254">
        <f>IF(AND(ISNUMBER(AC550),ISNUMBER(AE550)),AC550-AE550,"")</f>
        <v/>
      </c>
      <c r="BB550" s="254">
        <f>IF(AND(ISNUMBER(AL550),ISNUMBER(AM550)),AL550-AM550,"")</f>
        <v/>
      </c>
      <c r="BG550" s="6">
        <f>IF((AD550-AF550)/(AJ550/60)&lt;=0,"",(AD550-AF550)/(AJ550/60))</f>
        <v/>
      </c>
      <c r="BH550" s="6">
        <f>IF(OR(AJ550=0,AP550=0,NOT(ISNUMBER(AD550)),NOT(ISNUMBER(AF550)),NOT(ISNUMBER(AJ550)),NOT(ISNUMBER(AP550))),"",
IFERROR(IF((AD550-AF550)/(AJ550/60)/(AP550/1000)&lt;=0,"",(AD550-AF550)/(AJ550/60)/(AP550/1000)),""))</f>
        <v/>
      </c>
    </row>
    <row r="551" ht="15.75" customHeight="1">
      <c r="B551" t="n">
        <v>307</v>
      </c>
      <c r="D551" s="11" t="n">
        <v>45811</v>
      </c>
      <c r="E551" s="231" t="n">
        <v>307</v>
      </c>
      <c r="F551" s="3" t="n">
        <v>546</v>
      </c>
      <c r="G551" s="205">
        <f>IF(OR(S551="",S551=0),"",S551*2)</f>
        <v/>
      </c>
      <c r="K551" s="15">
        <f>AD551</f>
        <v/>
      </c>
      <c r="M551" s="10">
        <f>IF(OR(E551="",G551="",E551=0,G551=0),"",E551/G551)</f>
        <v/>
      </c>
      <c r="N551" s="9">
        <f>IF(OR(E551="",I551="",E551=0,I551=0),"",E551/(I551*2))</f>
        <v/>
      </c>
      <c r="O551" s="8">
        <f>IF(OR(I551="",G551="",I551=0,G551=0),"",I551*2/G551)</f>
        <v/>
      </c>
      <c r="Q551" s="6" t="n">
        <v>51.281</v>
      </c>
      <c r="R551" s="6" t="n">
        <v>18.531</v>
      </c>
      <c r="S551" s="6">
        <f>O551*1.067</f>
        <v/>
      </c>
      <c r="T551" s="6">
        <f>P551*1.514</f>
        <v/>
      </c>
      <c r="U551" s="23">
        <f>P551*1.514+O551*1.067</f>
        <v/>
      </c>
      <c r="W551" s="59">
        <f>0*1.067</f>
        <v/>
      </c>
      <c r="X551" s="59">
        <f>0.46*1.514</f>
        <v/>
      </c>
      <c r="Y551" s="23">
        <f>U551*1.067+V551*1.514</f>
        <v/>
      </c>
      <c r="AD551" s="5" t="n">
        <v>80</v>
      </c>
      <c r="AM551" s="3">
        <f>180+60</f>
        <v/>
      </c>
      <c r="AP551" s="3" t="n">
        <v>40</v>
      </c>
      <c r="AR551" s="13">
        <f>AVERAGE(AO549:AO555)</f>
        <v/>
      </c>
      <c r="AT551" s="156">
        <f>(E551-W551)/E551</f>
        <v/>
      </c>
      <c r="AU551" s="155">
        <f>(I551-AF551)/I551</f>
        <v/>
      </c>
      <c r="AV551" s="155">
        <f>AG551/(AD551-AF551)</f>
        <v/>
      </c>
      <c r="AW551" s="155">
        <f>(G551-AM551)/G551</f>
        <v/>
      </c>
      <c r="AX551" s="254">
        <f>IF(AND(ISNUMBER(E551),ISNUMBER(W551)),E551-W551,"")</f>
        <v/>
      </c>
      <c r="AY551" s="254">
        <f>IF(AND(ISNUMBER(I551),ISNUMBER(AF551)),I551-AF551,"")</f>
        <v/>
      </c>
      <c r="AZ551" s="254">
        <f>IF(AND(ISNUMBER(AM551),ISNUMBER(G551)),G551-AM551,"")</f>
        <v/>
      </c>
      <c r="BA551" s="254">
        <f>IF(AND(ISNUMBER(AC551),ISNUMBER(AE551)),AC551-AE551,"")</f>
        <v/>
      </c>
      <c r="BB551" s="254">
        <f>IF(AND(ISNUMBER(AL551),ISNUMBER(AM551)),AL551-AM551,"")</f>
        <v/>
      </c>
      <c r="BG551" s="6">
        <f>IF((AD551-AF551)/(AJ551/60)&lt;=0,"",(AD551-AF551)/(AJ551/60))</f>
        <v/>
      </c>
      <c r="BH551" s="6">
        <f>IF(OR(AJ551=0,AP551=0,NOT(ISNUMBER(AD551)),NOT(ISNUMBER(AF551)),NOT(ISNUMBER(AJ551)),NOT(ISNUMBER(AP551))),"",
IFERROR(IF((AD551-AF551)/(AJ551/60)/(AP551/1000)&lt;=0,"",(AD551-AF551)/(AJ551/60)/(AP551/1000)),""))</f>
        <v/>
      </c>
    </row>
    <row r="552" ht="15.75" customHeight="1">
      <c r="B552" t="n">
        <v>308</v>
      </c>
      <c r="D552" s="11" t="n">
        <v>45812</v>
      </c>
      <c r="E552" s="231" t="n">
        <v>308</v>
      </c>
      <c r="F552" s="3" t="n">
        <v>547</v>
      </c>
      <c r="G552" s="205">
        <f>IF(OR(S552="",S552=0),"",S552*2)</f>
        <v/>
      </c>
      <c r="K552" s="15">
        <f>AD552</f>
        <v/>
      </c>
      <c r="M552" s="10">
        <f>IF(OR(E552="",G552="",E552=0,G552=0),"",E552/G552)</f>
        <v/>
      </c>
      <c r="N552" s="9">
        <f>IF(OR(E552="",I552="",E552=0,I552=0),"",E552/(I552*2))</f>
        <v/>
      </c>
      <c r="O552" s="8">
        <f>IF(OR(I552="",G552="",I552=0,G552=0),"",I552*2/G552)</f>
        <v/>
      </c>
      <c r="Q552" s="6" t="n">
        <v>70.36199999999999</v>
      </c>
      <c r="R552" s="6" t="n">
        <v>23.547</v>
      </c>
      <c r="S552" s="6">
        <f>O552*1.067</f>
        <v/>
      </c>
      <c r="T552" s="6">
        <f>P552*1.514</f>
        <v/>
      </c>
      <c r="U552" s="23">
        <f>P552*1.514+O552*1.067</f>
        <v/>
      </c>
      <c r="V552" s="6" t="n">
        <v>35.6</v>
      </c>
      <c r="W552" s="59">
        <f>0*1.067</f>
        <v/>
      </c>
      <c r="X552" s="59">
        <f>0*1.514</f>
        <v/>
      </c>
      <c r="Y552" s="23">
        <f>U552*1.067+V552*1.514</f>
        <v/>
      </c>
      <c r="AD552" s="5" t="n">
        <v>80</v>
      </c>
      <c r="AM552" s="3">
        <f>180+60</f>
        <v/>
      </c>
      <c r="AP552" s="3" t="n">
        <v>40</v>
      </c>
      <c r="AR552" s="13">
        <f>AVERAGE(AO550:AO556)</f>
        <v/>
      </c>
      <c r="AT552" s="156">
        <f>(E552-W552)/E552</f>
        <v/>
      </c>
      <c r="AU552" s="155">
        <f>(I552-AF552)/I552</f>
        <v/>
      </c>
      <c r="AV552" s="155">
        <f>AG552/(AD552-AF552)</f>
        <v/>
      </c>
      <c r="AW552" s="155">
        <f>(G552-AM552)/G552</f>
        <v/>
      </c>
      <c r="AX552" s="254">
        <f>IF(AND(ISNUMBER(E552),ISNUMBER(W552)),E552-W552,"")</f>
        <v/>
      </c>
      <c r="AY552" s="254">
        <f>IF(AND(ISNUMBER(I552),ISNUMBER(AF552)),I552-AF552,"")</f>
        <v/>
      </c>
      <c r="AZ552" s="254">
        <f>IF(AND(ISNUMBER(AM552),ISNUMBER(G552)),G552-AM552,"")</f>
        <v/>
      </c>
      <c r="BA552" s="254">
        <f>IF(AND(ISNUMBER(AC552),ISNUMBER(AE552)),AC552-AE552,"")</f>
        <v/>
      </c>
      <c r="BB552" s="254">
        <f>IF(AND(ISNUMBER(AL552),ISNUMBER(AM552)),AL552-AM552,"")</f>
        <v/>
      </c>
      <c r="BG552" s="6">
        <f>IF((AD552-AF552)/(AJ552/60)&lt;=0,"",(AD552-AF552)/(AJ552/60))</f>
        <v/>
      </c>
      <c r="BH552" s="6">
        <f>IF(OR(AJ552=0,AP552=0,NOT(ISNUMBER(AD552)),NOT(ISNUMBER(AF552)),NOT(ISNUMBER(AJ552)),NOT(ISNUMBER(AP552))),"",
IFERROR(IF((AD552-AF552)/(AJ552/60)/(AP552/1000)&lt;=0,"",(AD552-AF552)/(AJ552/60)/(AP552/1000)),""))</f>
        <v/>
      </c>
    </row>
    <row r="553" ht="15.75" customHeight="1">
      <c r="B553" t="n">
        <v>309</v>
      </c>
      <c r="D553" s="72" t="n">
        <v>45813</v>
      </c>
      <c r="E553" s="231" t="n">
        <v>309</v>
      </c>
      <c r="F553" s="3" t="n">
        <v>548</v>
      </c>
      <c r="G553" s="205">
        <f>IF(OR(S553="",S553=0),"",S553*2)</f>
        <v/>
      </c>
      <c r="K553" s="15">
        <f>AD553</f>
        <v/>
      </c>
      <c r="M553" s="10">
        <f>IF(OR(E553="",G553="",E553=0,G553=0),"",E553/G553)</f>
        <v/>
      </c>
      <c r="N553" s="9">
        <f>IF(OR(E553="",I553="",E553=0,I553=0),"",E553/(I553*2))</f>
        <v/>
      </c>
      <c r="O553" s="8">
        <f>IF(OR(I553="",G553="",I553=0,G553=0),"",I553*2/G553)</f>
        <v/>
      </c>
      <c r="Q553" s="6" t="n">
        <v>67.157</v>
      </c>
      <c r="R553" s="6" t="n">
        <v>21.902</v>
      </c>
      <c r="S553" s="6">
        <f>O553*1.067</f>
        <v/>
      </c>
      <c r="T553" s="6">
        <f>P553*1.514</f>
        <v/>
      </c>
      <c r="U553" s="23">
        <f>P553*1.514+O553*1.067</f>
        <v/>
      </c>
      <c r="V553" s="6" t="n">
        <v>35.6</v>
      </c>
      <c r="W553" s="59">
        <f>0.819*1.067</f>
        <v/>
      </c>
      <c r="X553" s="59">
        <f>0.475*1.514</f>
        <v/>
      </c>
      <c r="Y553" s="23">
        <f>U553*1.067+V553*1.514</f>
        <v/>
      </c>
      <c r="AD553" s="5" t="n">
        <v>80</v>
      </c>
      <c r="AM553" s="3">
        <f>180+60</f>
        <v/>
      </c>
      <c r="AP553" s="3" t="n">
        <v>40</v>
      </c>
      <c r="AQ553" s="2" t="n">
        <v>2730.000000000064</v>
      </c>
      <c r="AR553" s="13">
        <f>AVERAGE(AO551:AO557)</f>
        <v/>
      </c>
      <c r="AT553" s="156">
        <f>(E553-W553)/E553</f>
        <v/>
      </c>
      <c r="AU553" s="155">
        <f>(I553-AF553)/I553</f>
        <v/>
      </c>
      <c r="AV553" s="155">
        <f>AG553/(AD553-AF553)</f>
        <v/>
      </c>
      <c r="AW553" s="155">
        <f>(G553-AM553)/G553</f>
        <v/>
      </c>
      <c r="AX553" s="254">
        <f>IF(AND(ISNUMBER(E553),ISNUMBER(W553)),E553-W553,"")</f>
        <v/>
      </c>
      <c r="AY553" s="254">
        <f>IF(AND(ISNUMBER(I553),ISNUMBER(AF553)),I553-AF553,"")</f>
        <v/>
      </c>
      <c r="AZ553" s="254">
        <f>IF(AND(ISNUMBER(AM553),ISNUMBER(G553)),G553-AM553,"")</f>
        <v/>
      </c>
      <c r="BA553" s="254">
        <f>IF(AND(ISNUMBER(AC553),ISNUMBER(AE553)),AC553-AE553,"")</f>
        <v/>
      </c>
      <c r="BB553" s="254">
        <f>IF(AND(ISNUMBER(AL553),ISNUMBER(AM553)),AL553-AM553,"")</f>
        <v/>
      </c>
      <c r="BG553" s="6">
        <f>IF((AD553-AF553)/(AJ553/60)&lt;=0,"",(AD553-AF553)/(AJ553/60))</f>
        <v/>
      </c>
      <c r="BH553" s="6">
        <f>IF(OR(AJ553=0,AP553=0,NOT(ISNUMBER(AD553)),NOT(ISNUMBER(AF553)),NOT(ISNUMBER(AJ553)),NOT(ISNUMBER(AP553))),"",
IFERROR(IF((AD553-AF553)/(AJ553/60)/(AP553/1000)&lt;=0,"",(AD553-AF553)/(AJ553/60)/(AP553/1000)),""))</f>
        <v/>
      </c>
    </row>
    <row r="554" ht="15.75" customHeight="1">
      <c r="B554" t="n">
        <v>310</v>
      </c>
      <c r="D554" s="11" t="n">
        <v>45814</v>
      </c>
      <c r="E554" s="231" t="n">
        <v>310</v>
      </c>
      <c r="F554" s="3" t="n">
        <v>549</v>
      </c>
      <c r="G554" s="205">
        <f>IF(OR(S554="",S554=0),"",S554*2)</f>
        <v/>
      </c>
      <c r="K554" s="15">
        <f>AD554</f>
        <v/>
      </c>
      <c r="M554" s="10">
        <f>IF(OR(E554="",G554="",E554=0,G554=0),"",E554/G554)</f>
        <v/>
      </c>
      <c r="N554" s="9">
        <f>IF(OR(E554="",I554="",E554=0,I554=0),"",E554/(I554*2))</f>
        <v/>
      </c>
      <c r="O554" s="8">
        <f>IF(OR(I554="",G554="",I554=0,G554=0),"",I554*2/G554)</f>
        <v/>
      </c>
      <c r="AD554" s="5" t="n">
        <v>80</v>
      </c>
      <c r="AM554" s="3">
        <f>180+60</f>
        <v/>
      </c>
      <c r="AP554" s="3" t="n">
        <v>40</v>
      </c>
      <c r="AR554" s="13">
        <f>AVERAGE(AO552:AO558)</f>
        <v/>
      </c>
      <c r="AT554" s="156">
        <f>(E554-W554)/E554</f>
        <v/>
      </c>
      <c r="AU554" s="155">
        <f>(I554-AF554)/I554</f>
        <v/>
      </c>
      <c r="AV554" s="155">
        <f>AG554/(AD554-AF554)</f>
        <v/>
      </c>
      <c r="AW554" s="155">
        <f>(G554-AM554)/G554</f>
        <v/>
      </c>
      <c r="AX554" s="254">
        <f>IF(AND(ISNUMBER(E554),ISNUMBER(W554)),E554-W554,"")</f>
        <v/>
      </c>
      <c r="AY554" s="254">
        <f>IF(AND(ISNUMBER(I554),ISNUMBER(AF554)),I554-AF554,"")</f>
        <v/>
      </c>
      <c r="AZ554" s="254">
        <f>IF(AND(ISNUMBER(AM554),ISNUMBER(G554)),G554-AM554,"")</f>
        <v/>
      </c>
      <c r="BA554" s="254">
        <f>IF(AND(ISNUMBER(AC554),ISNUMBER(AE554)),AC554-AE554,"")</f>
        <v/>
      </c>
      <c r="BB554" s="254">
        <f>IF(AND(ISNUMBER(AL554),ISNUMBER(AM554)),AL554-AM554,"")</f>
        <v/>
      </c>
      <c r="BG554" s="6">
        <f>IF((AD554-AF554)/(AJ554/60)&lt;=0,"",(AD554-AF554)/(AJ554/60))</f>
        <v/>
      </c>
      <c r="BH554" s="6">
        <f>IF(OR(AJ554=0,AP554=0,NOT(ISNUMBER(AD554)),NOT(ISNUMBER(AF554)),NOT(ISNUMBER(AJ554)),NOT(ISNUMBER(AP554))),"",
IFERROR(IF((AD554-AF554)/(AJ554/60)/(AP554/1000)&lt;=0,"",(AD554-AF554)/(AJ554/60)/(AP554/1000)),""))</f>
        <v/>
      </c>
    </row>
    <row r="555" ht="15.75" customHeight="1">
      <c r="A555" s="260" t="inlineStr">
        <is>
          <t>B72</t>
        </is>
      </c>
      <c r="B555" s="260" t="n">
        <v>311</v>
      </c>
      <c r="D555" s="11" t="n">
        <v>45815</v>
      </c>
      <c r="E555" s="231" t="n">
        <v>311</v>
      </c>
      <c r="F555" s="3" t="n">
        <v>550</v>
      </c>
      <c r="G555" s="205">
        <f>IF(OR(S555="",S555=0),"",S555*2)</f>
        <v/>
      </c>
      <c r="I555" s="15">
        <f>(N555*18-H555*18)/9</f>
        <v/>
      </c>
      <c r="J555" s="15">
        <f>5*0.432</f>
        <v/>
      </c>
      <c r="K555" s="15">
        <f>AD555</f>
        <v/>
      </c>
      <c r="M555" s="10">
        <f>IF(OR(E555="",G555="",E555=0,G555=0),"",E555/G555)</f>
        <v/>
      </c>
      <c r="N555" s="9">
        <f>IF(OR(E555="",I555="",E555=0,I555=0),"",E555/(I555*2))</f>
        <v/>
      </c>
      <c r="O555" s="8">
        <f>IF(OR(I555="",G555="",I555=0,G555=0),"",I555*2/G555)</f>
        <v/>
      </c>
      <c r="P555" s="7">
        <f>5*1.81</f>
        <v/>
      </c>
      <c r="S555" s="6">
        <f>O555*1.067</f>
        <v/>
      </c>
      <c r="T555" s="6">
        <f>P555*1.514</f>
        <v/>
      </c>
      <c r="U555" s="23">
        <f>P555*1.514+O555*1.067</f>
        <v/>
      </c>
      <c r="V555" s="6" t="n">
        <v>35.6</v>
      </c>
      <c r="W555" s="59">
        <f>1.112*1.067</f>
        <v/>
      </c>
      <c r="X555" s="59">
        <f>0.845*1.514</f>
        <v/>
      </c>
      <c r="Y555" s="23">
        <f>U555*1.067+V555*1.514</f>
        <v/>
      </c>
      <c r="Z555" s="6" t="n">
        <v>3.74</v>
      </c>
      <c r="AA555" s="6" t="n">
        <v>0.15</v>
      </c>
      <c r="AB555" s="6" t="n">
        <v>-17</v>
      </c>
      <c r="AC555" s="6" t="n">
        <v>-296</v>
      </c>
      <c r="AD555" s="5" t="n">
        <v>80</v>
      </c>
      <c r="AE555" s="7">
        <f>T555</f>
        <v/>
      </c>
      <c r="AF555" s="231">
        <f>5*4.36</f>
        <v/>
      </c>
      <c r="AG555" s="231">
        <f>5*0.774</f>
        <v/>
      </c>
      <c r="AH555" s="231" t="n">
        <v>0</v>
      </c>
      <c r="AM555" s="3">
        <f>180+60</f>
        <v/>
      </c>
      <c r="AN555" s="4">
        <f>AE555</f>
        <v/>
      </c>
      <c r="AO555" s="231">
        <f>5*0.474</f>
        <v/>
      </c>
      <c r="AP555" s="3" t="n">
        <v>40</v>
      </c>
      <c r="AR555" s="13">
        <f>AVERAGE(AO553:AO559)</f>
        <v/>
      </c>
      <c r="AT555" s="156">
        <f>(E555-W555)/E555</f>
        <v/>
      </c>
      <c r="AU555" s="155">
        <f>(I555-AF555)/I555</f>
        <v/>
      </c>
      <c r="AV555" s="155">
        <f>AG555/(AD555-AF555)</f>
        <v/>
      </c>
      <c r="AW555" s="155">
        <f>(G555-AM555)/G555</f>
        <v/>
      </c>
      <c r="AX555" s="254">
        <f>IF(AND(ISNUMBER(E555),ISNUMBER(W555)),E555-W555,"")</f>
        <v/>
      </c>
      <c r="AY555" s="254">
        <f>IF(AND(ISNUMBER(I555),ISNUMBER(AF555)),I555-AF555,"")</f>
        <v/>
      </c>
      <c r="AZ555" s="254">
        <f>IF(AND(ISNUMBER(AM555),ISNUMBER(G555)),G555-AM555,"")</f>
        <v/>
      </c>
      <c r="BA555" s="254">
        <f>IF(AND(ISNUMBER(AC555),ISNUMBER(AE555)),AC555-AE555,"")</f>
        <v/>
      </c>
      <c r="BB555" s="254">
        <f>IF(AND(ISNUMBER(AL555),ISNUMBER(AM555)),AL555-AM555,"")</f>
        <v/>
      </c>
      <c r="BG555" s="6">
        <f>IF((AD555-AF555)/(AJ555/60)&lt;=0,"",(AD555-AF555)/(AJ555/60))</f>
        <v/>
      </c>
      <c r="BH555" s="6">
        <f>IF(OR(AJ555=0,AP555=0,NOT(ISNUMBER(AD555)),NOT(ISNUMBER(AF555)),NOT(ISNUMBER(AJ555)),NOT(ISNUMBER(AP555))),"",
IFERROR(IF((AD555-AF555)/(AJ555/60)/(AP555/1000)&lt;=0,"",(AD555-AF555)/(AJ555/60)/(AP555/1000)),""))</f>
        <v/>
      </c>
    </row>
    <row r="556" ht="15.75" customHeight="1">
      <c r="B556" t="n">
        <v>312</v>
      </c>
      <c r="D556" s="11" t="n">
        <v>45816</v>
      </c>
      <c r="E556" s="231" t="n">
        <v>312</v>
      </c>
      <c r="F556" s="3" t="n">
        <v>551</v>
      </c>
      <c r="G556" s="205">
        <f>IF(OR(S556="",S556=0),"",S556*2)</f>
        <v/>
      </c>
      <c r="K556" s="15">
        <f>AD556</f>
        <v/>
      </c>
      <c r="M556" s="10">
        <f>IF(OR(E556="",G556="",E556=0,G556=0),"",E556/G556)</f>
        <v/>
      </c>
      <c r="N556" s="9">
        <f>IF(OR(E556="",I556="",E556=0,I556=0),"",E556/(I556*2))</f>
        <v/>
      </c>
      <c r="O556" s="8">
        <f>IF(OR(I556="",G556="",I556=0,G556=0),"",I556*2/G556)</f>
        <v/>
      </c>
      <c r="AD556" s="5" t="n">
        <v>80</v>
      </c>
      <c r="AM556" s="3">
        <f>180+60</f>
        <v/>
      </c>
      <c r="AP556" s="3" t="n">
        <v>40</v>
      </c>
      <c r="AR556" s="13">
        <f>AVERAGE(AO554:AO560)</f>
        <v/>
      </c>
      <c r="AT556" s="156">
        <f>(E556-W556)/E556</f>
        <v/>
      </c>
      <c r="AU556" s="155">
        <f>(I556-AF556)/I556</f>
        <v/>
      </c>
      <c r="AV556" s="155">
        <f>AG556/(AD556-AF556)</f>
        <v/>
      </c>
      <c r="AW556" s="155">
        <f>(G556-AM556)/G556</f>
        <v/>
      </c>
      <c r="AX556" s="254">
        <f>IF(AND(ISNUMBER(E556),ISNUMBER(W556)),E556-W556,"")</f>
        <v/>
      </c>
      <c r="AY556" s="254">
        <f>IF(AND(ISNUMBER(I556),ISNUMBER(AF556)),I556-AF556,"")</f>
        <v/>
      </c>
      <c r="AZ556" s="254">
        <f>IF(AND(ISNUMBER(AM556),ISNUMBER(G556)),G556-AM556,"")</f>
        <v/>
      </c>
      <c r="BA556" s="254">
        <f>IF(AND(ISNUMBER(AC556),ISNUMBER(AE556)),AC556-AE556,"")</f>
        <v/>
      </c>
      <c r="BB556" s="254">
        <f>IF(AND(ISNUMBER(AL556),ISNUMBER(AM556)),AL556-AM556,"")</f>
        <v/>
      </c>
      <c r="BG556" s="6">
        <f>IF((AD556-AF556)/(AJ556/60)&lt;=0,"",(AD556-AF556)/(AJ556/60))</f>
        <v/>
      </c>
      <c r="BH556" s="6">
        <f>IF(OR(AJ556=0,AP556=0,NOT(ISNUMBER(AD556)),NOT(ISNUMBER(AF556)),NOT(ISNUMBER(AJ556)),NOT(ISNUMBER(AP556))),"",
IFERROR(IF((AD556-AF556)/(AJ556/60)/(AP556/1000)&lt;=0,"",(AD556-AF556)/(AJ556/60)/(AP556/1000)),""))</f>
        <v/>
      </c>
    </row>
    <row r="557" ht="15.75" customHeight="1">
      <c r="B557" t="n">
        <v>313</v>
      </c>
      <c r="D557" s="11" t="n">
        <v>45817</v>
      </c>
      <c r="E557" s="231" t="n">
        <v>313</v>
      </c>
      <c r="F557" s="3" t="n">
        <v>552</v>
      </c>
      <c r="G557" s="205">
        <f>IF(OR(S557="",S557=0),"",S557*2)</f>
        <v/>
      </c>
      <c r="K557" s="15">
        <f>AD557</f>
        <v/>
      </c>
      <c r="M557" s="10">
        <f>IF(OR(E557="",G557="",E557=0,G557=0),"",E557/G557)</f>
        <v/>
      </c>
      <c r="N557" s="9">
        <f>IF(OR(E557="",I557="",E557=0,I557=0),"",E557/(I557*2))</f>
        <v/>
      </c>
      <c r="O557" s="8">
        <f>IF(OR(I557="",G557="",I557=0,G557=0),"",I557*2/G557)</f>
        <v/>
      </c>
      <c r="AD557" s="5" t="n">
        <v>80</v>
      </c>
      <c r="AM557" s="3">
        <f>180+60</f>
        <v/>
      </c>
      <c r="AP557" s="3" t="n">
        <v>40</v>
      </c>
      <c r="AR557" s="13">
        <f>AVERAGE(AO555:AO561)</f>
        <v/>
      </c>
      <c r="AT557" s="156">
        <f>(E557-W557)/E557</f>
        <v/>
      </c>
      <c r="AU557" s="155">
        <f>(I557-AF557)/I557</f>
        <v/>
      </c>
      <c r="AV557" s="155">
        <f>AG557/(AD557-AF557)</f>
        <v/>
      </c>
      <c r="AW557" s="155">
        <f>(G557-AM557)/G557</f>
        <v/>
      </c>
      <c r="AX557" s="254">
        <f>IF(AND(ISNUMBER(E557),ISNUMBER(W557)),E557-W557,"")</f>
        <v/>
      </c>
      <c r="AY557" s="254">
        <f>IF(AND(ISNUMBER(I557),ISNUMBER(AF557)),I557-AF557,"")</f>
        <v/>
      </c>
      <c r="AZ557" s="254">
        <f>IF(AND(ISNUMBER(AM557),ISNUMBER(G557)),G557-AM557,"")</f>
        <v/>
      </c>
      <c r="BA557" s="254">
        <f>IF(AND(ISNUMBER(AC557),ISNUMBER(AE557)),AC557-AE557,"")</f>
        <v/>
      </c>
      <c r="BB557" s="254">
        <f>IF(AND(ISNUMBER(AL557),ISNUMBER(AM557)),AL557-AM557,"")</f>
        <v/>
      </c>
      <c r="BG557" s="6">
        <f>IF((AD557-AF557)/(AJ557/60)&lt;=0,"",(AD557-AF557)/(AJ557/60))</f>
        <v/>
      </c>
      <c r="BH557" s="6">
        <f>IF(OR(AJ557=0,AP557=0,NOT(ISNUMBER(AD557)),NOT(ISNUMBER(AF557)),NOT(ISNUMBER(AJ557)),NOT(ISNUMBER(AP557))),"",
IFERROR(IF((AD557-AF557)/(AJ557/60)/(AP557/1000)&lt;=0,"",(AD557-AF557)/(AJ557/60)/(AP557/1000)),""))</f>
        <v/>
      </c>
    </row>
    <row r="558" ht="15.75" customHeight="1">
      <c r="B558" t="n">
        <v>314</v>
      </c>
      <c r="D558" s="11" t="n">
        <v>45818</v>
      </c>
      <c r="E558" s="231" t="n">
        <v>314</v>
      </c>
      <c r="F558" s="3" t="n">
        <v>553</v>
      </c>
      <c r="G558" s="205">
        <f>IF(OR(S558="",S558=0),"",S558*2)</f>
        <v/>
      </c>
      <c r="K558" s="15">
        <f>AD558</f>
        <v/>
      </c>
      <c r="M558" s="10">
        <f>IF(OR(E558="",G558="",E558=0,G558=0),"",E558/G558)</f>
        <v/>
      </c>
      <c r="N558" s="9">
        <f>IF(OR(E558="",I558="",E558=0,I558=0),"",E558/(I558*2))</f>
        <v/>
      </c>
      <c r="O558" s="8">
        <f>IF(OR(I558="",G558="",I558=0,G558=0),"",I558*2/G558)</f>
        <v/>
      </c>
      <c r="AD558" s="5" t="n">
        <v>80</v>
      </c>
      <c r="AM558" s="3">
        <f>180+60</f>
        <v/>
      </c>
      <c r="AP558" s="3" t="n">
        <v>40</v>
      </c>
      <c r="AR558" s="13">
        <f>AVERAGE(AO556:AO562)</f>
        <v/>
      </c>
      <c r="AT558" s="156">
        <f>(E558-W558)/E558</f>
        <v/>
      </c>
      <c r="AU558" s="155">
        <f>(I558-AF558)/I558</f>
        <v/>
      </c>
      <c r="AV558" s="155">
        <f>AG558/(AD558-AF558)</f>
        <v/>
      </c>
      <c r="AW558" s="155">
        <f>(G558-AM558)/G558</f>
        <v/>
      </c>
      <c r="AX558" s="254">
        <f>IF(AND(ISNUMBER(E558),ISNUMBER(W558)),E558-W558,"")</f>
        <v/>
      </c>
      <c r="AY558" s="254">
        <f>IF(AND(ISNUMBER(I558),ISNUMBER(AF558)),I558-AF558,"")</f>
        <v/>
      </c>
      <c r="AZ558" s="254">
        <f>IF(AND(ISNUMBER(AM558),ISNUMBER(G558)),G558-AM558,"")</f>
        <v/>
      </c>
      <c r="BA558" s="254">
        <f>IF(AND(ISNUMBER(AC558),ISNUMBER(AE558)),AC558-AE558,"")</f>
        <v/>
      </c>
      <c r="BB558" s="254">
        <f>IF(AND(ISNUMBER(AL558),ISNUMBER(AM558)),AL558-AM558,"")</f>
        <v/>
      </c>
      <c r="BG558" s="6">
        <f>IF((AD558-AF558)/(AJ558/60)&lt;=0,"",(AD558-AF558)/(AJ558/60))</f>
        <v/>
      </c>
      <c r="BH558" s="6">
        <f>IF(OR(AJ558=0,AP558=0,NOT(ISNUMBER(AD558)),NOT(ISNUMBER(AF558)),NOT(ISNUMBER(AJ558)),NOT(ISNUMBER(AP558))),"",
IFERROR(IF((AD558-AF558)/(AJ558/60)/(AP558/1000)&lt;=0,"",(AD558-AF558)/(AJ558/60)/(AP558/1000)),""))</f>
        <v/>
      </c>
    </row>
    <row r="559" ht="15.75" customHeight="1">
      <c r="B559" t="n">
        <v>315</v>
      </c>
      <c r="D559" s="11" t="n">
        <v>45819</v>
      </c>
      <c r="E559" s="231" t="n">
        <v>315</v>
      </c>
      <c r="F559" s="3" t="n">
        <v>554</v>
      </c>
      <c r="G559" s="205">
        <f>IF(OR(S559="",S559=0),"",S559*2)</f>
        <v/>
      </c>
      <c r="K559" s="15">
        <f>AD559</f>
        <v/>
      </c>
      <c r="M559" s="10">
        <f>IF(OR(E559="",G559="",E559=0,G559=0),"",E559/G559)</f>
        <v/>
      </c>
      <c r="N559" s="9">
        <f>IF(OR(E559="",I559="",E559=0,I559=0),"",E559/(I559*2))</f>
        <v/>
      </c>
      <c r="O559" s="8">
        <f>IF(OR(I559="",G559="",I559=0,G559=0),"",I559*2/G559)</f>
        <v/>
      </c>
      <c r="AD559" s="5" t="n">
        <v>80</v>
      </c>
      <c r="AM559" s="3">
        <f>180+60</f>
        <v/>
      </c>
      <c r="AP559" s="3" t="n">
        <v>40</v>
      </c>
      <c r="AR559" s="13">
        <f>AVERAGE(AO557:AO563)</f>
        <v/>
      </c>
      <c r="AT559" s="156">
        <f>(E559-W559)/E559</f>
        <v/>
      </c>
      <c r="AU559" s="155">
        <f>(I559-AF559)/I559</f>
        <v/>
      </c>
      <c r="AV559" s="155">
        <f>AG559/(AD559-AF559)</f>
        <v/>
      </c>
      <c r="AW559" s="155">
        <f>(G559-AM559)/G559</f>
        <v/>
      </c>
      <c r="AX559" s="254">
        <f>IF(AND(ISNUMBER(E559),ISNUMBER(W559)),E559-W559,"")</f>
        <v/>
      </c>
      <c r="AY559" s="254">
        <f>IF(AND(ISNUMBER(I559),ISNUMBER(AF559)),I559-AF559,"")</f>
        <v/>
      </c>
      <c r="AZ559" s="254">
        <f>IF(AND(ISNUMBER(AM559),ISNUMBER(G559)),G559-AM559,"")</f>
        <v/>
      </c>
      <c r="BA559" s="254">
        <f>IF(AND(ISNUMBER(AC559),ISNUMBER(AE559)),AC559-AE559,"")</f>
        <v/>
      </c>
      <c r="BB559" s="254">
        <f>IF(AND(ISNUMBER(AL559),ISNUMBER(AM559)),AL559-AM559,"")</f>
        <v/>
      </c>
      <c r="BG559" s="6">
        <f>IF((AD559-AF559)/(AJ559/60)&lt;=0,"",(AD559-AF559)/(AJ559/60))</f>
        <v/>
      </c>
      <c r="BH559" s="6">
        <f>IF(OR(AJ559=0,AP559=0,NOT(ISNUMBER(AD559)),NOT(ISNUMBER(AF559)),NOT(ISNUMBER(AJ559)),NOT(ISNUMBER(AP559))),"",
IFERROR(IF((AD559-AF559)/(AJ559/60)/(AP559/1000)&lt;=0,"",(AD559-AF559)/(AJ559/60)/(AP559/1000)),""))</f>
        <v/>
      </c>
    </row>
    <row r="560" ht="15.75" customHeight="1">
      <c r="B560" t="n">
        <v>316</v>
      </c>
      <c r="D560" s="72" t="n">
        <v>45820</v>
      </c>
      <c r="E560" s="231" t="n">
        <v>316</v>
      </c>
      <c r="F560" s="3" t="n">
        <v>555</v>
      </c>
      <c r="G560" s="205">
        <f>IF(OR(S560="",S560=0),"",S560*2)</f>
        <v/>
      </c>
      <c r="K560" s="15">
        <f>AD560</f>
        <v/>
      </c>
      <c r="M560" s="10">
        <f>IF(OR(E560="",G560="",E560=0,G560=0),"",E560/G560)</f>
        <v/>
      </c>
      <c r="N560" s="9">
        <f>IF(OR(E560="",I560="",E560=0,I560=0),"",E560/(I560*2))</f>
        <v/>
      </c>
      <c r="O560" s="8">
        <f>IF(OR(I560="",G560="",I560=0,G560=0),"",I560*2/G560)</f>
        <v/>
      </c>
      <c r="Q560" s="6" t="n">
        <v>78.742</v>
      </c>
      <c r="R560" s="79" t="n"/>
      <c r="S560" s="6">
        <f>O560*1.067</f>
        <v/>
      </c>
      <c r="T560" s="6">
        <f>P560*1.514</f>
        <v/>
      </c>
      <c r="U560" s="23">
        <f>P560*1.514+O560*1.067</f>
        <v/>
      </c>
      <c r="V560" s="6" t="n">
        <v>35.6</v>
      </c>
      <c r="W560" s="59">
        <f>1.4992*1.067</f>
        <v/>
      </c>
      <c r="X560" s="59">
        <f>0.845*1.514</f>
        <v/>
      </c>
      <c r="Y560" s="23">
        <f>U560*1.067+V560*1.514</f>
        <v/>
      </c>
      <c r="AD560" s="5" t="n">
        <v>80</v>
      </c>
      <c r="AM560" s="3">
        <f>180+60</f>
        <v/>
      </c>
      <c r="AP560" s="3" t="n">
        <v>40</v>
      </c>
      <c r="AR560" s="13">
        <f>AVERAGE(AO558:AO564)</f>
        <v/>
      </c>
      <c r="AT560" s="156">
        <f>(E560-W560)/E560</f>
        <v/>
      </c>
      <c r="AU560" s="155">
        <f>(I560-AF560)/I560</f>
        <v/>
      </c>
      <c r="AV560" s="155">
        <f>AG560/(AD560-AF560)</f>
        <v/>
      </c>
      <c r="AW560" s="155">
        <f>(G560-AM560)/G560</f>
        <v/>
      </c>
      <c r="AX560" s="254">
        <f>IF(AND(ISNUMBER(E560),ISNUMBER(W560)),E560-W560,"")</f>
        <v/>
      </c>
      <c r="AY560" s="254">
        <f>IF(AND(ISNUMBER(I560),ISNUMBER(AF560)),I560-AF560,"")</f>
        <v/>
      </c>
      <c r="AZ560" s="254">
        <f>IF(AND(ISNUMBER(AM560),ISNUMBER(G560)),G560-AM560,"")</f>
        <v/>
      </c>
      <c r="BA560" s="254">
        <f>IF(AND(ISNUMBER(AC560),ISNUMBER(AE560)),AC560-AE560,"")</f>
        <v/>
      </c>
      <c r="BB560" s="254">
        <f>IF(AND(ISNUMBER(AL560),ISNUMBER(AM560)),AL560-AM560,"")</f>
        <v/>
      </c>
      <c r="BG560" s="6">
        <f>IF((AD560-AF560)/(AJ560/60)&lt;=0,"",(AD560-AF560)/(AJ560/60))</f>
        <v/>
      </c>
      <c r="BH560" s="6">
        <f>IF(OR(AJ560=0,AP560=0,NOT(ISNUMBER(AD560)),NOT(ISNUMBER(AF560)),NOT(ISNUMBER(AJ560)),NOT(ISNUMBER(AP560))),"",
IFERROR(IF((AD560-AF560)/(AJ560/60)/(AP560/1000)&lt;=0,"",(AD560-AF560)/(AJ560/60)/(AP560/1000)),""))</f>
        <v/>
      </c>
    </row>
    <row r="561" ht="15.75" customHeight="1">
      <c r="B561" t="n">
        <v>317</v>
      </c>
      <c r="D561" s="11" t="n">
        <v>45821</v>
      </c>
      <c r="E561" s="231" t="n">
        <v>317</v>
      </c>
      <c r="F561" s="3" t="n">
        <v>556</v>
      </c>
      <c r="G561" s="205">
        <f>IF(OR(S561="",S561=0),"",S561*2)</f>
        <v/>
      </c>
      <c r="K561" s="15">
        <f>AD561</f>
        <v/>
      </c>
      <c r="M561" s="10">
        <f>IF(OR(E561="",G561="",E561=0,G561=0),"",E561/G561)</f>
        <v/>
      </c>
      <c r="N561" s="9">
        <f>IF(OR(E561="",I561="",E561=0,I561=0),"",E561/(I561*2))</f>
        <v/>
      </c>
      <c r="O561" s="8">
        <f>IF(OR(I561="",G561="",I561=0,G561=0),"",I561*2/G561)</f>
        <v/>
      </c>
      <c r="AD561" s="5" t="n">
        <v>80</v>
      </c>
      <c r="AM561" s="3">
        <f>180+60</f>
        <v/>
      </c>
      <c r="AP561" s="3" t="n">
        <v>40</v>
      </c>
      <c r="AR561" s="13">
        <f>AVERAGE(AO559:AO565)</f>
        <v/>
      </c>
      <c r="AT561" s="156">
        <f>(E561-W561)/E561</f>
        <v/>
      </c>
      <c r="AU561" s="155">
        <f>(I561-AF561)/I561</f>
        <v/>
      </c>
      <c r="AV561" s="155">
        <f>AG561/(AD561-AF561)</f>
        <v/>
      </c>
      <c r="AW561" s="155">
        <f>(G561-AM561)/G561</f>
        <v/>
      </c>
      <c r="AX561" s="254">
        <f>IF(AND(ISNUMBER(E561),ISNUMBER(W561)),E561-W561,"")</f>
        <v/>
      </c>
      <c r="AY561" s="254">
        <f>IF(AND(ISNUMBER(I561),ISNUMBER(AF561)),I561-AF561,"")</f>
        <v/>
      </c>
      <c r="AZ561" s="254">
        <f>IF(AND(ISNUMBER(AM561),ISNUMBER(G561)),G561-AM561,"")</f>
        <v/>
      </c>
      <c r="BA561" s="254">
        <f>IF(AND(ISNUMBER(AC561),ISNUMBER(AE561)),AC561-AE561,"")</f>
        <v/>
      </c>
      <c r="BB561" s="254">
        <f>IF(AND(ISNUMBER(AL561),ISNUMBER(AM561)),AL561-AM561,"")</f>
        <v/>
      </c>
      <c r="BG561" s="6">
        <f>IF((AD561-AF561)/(AJ561/60)&lt;=0,"",(AD561-AF561)/(AJ561/60))</f>
        <v/>
      </c>
      <c r="BH561" s="6">
        <f>IF(OR(AJ561=0,AP561=0,NOT(ISNUMBER(AD561)),NOT(ISNUMBER(AF561)),NOT(ISNUMBER(AJ561)),NOT(ISNUMBER(AP561))),"",
IFERROR(IF((AD561-AF561)/(AJ561/60)/(AP561/1000)&lt;=0,"",(AD561-AF561)/(AJ561/60)/(AP561/1000)),""))</f>
        <v/>
      </c>
    </row>
    <row r="562" ht="15.75" customHeight="1">
      <c r="A562" s="260" t="inlineStr">
        <is>
          <t>B73</t>
        </is>
      </c>
      <c r="B562" s="260" t="n">
        <v>318</v>
      </c>
      <c r="D562" s="11" t="n">
        <v>45822</v>
      </c>
      <c r="E562" s="231" t="n">
        <v>318</v>
      </c>
      <c r="F562" s="3" t="n">
        <v>557</v>
      </c>
      <c r="G562" s="205">
        <f>IF(OR(S562="",S562=0),"",S562*2)</f>
        <v/>
      </c>
      <c r="K562" s="15">
        <f>AD562</f>
        <v/>
      </c>
      <c r="M562" s="10">
        <f>IF(OR(E562="",G562="",E562=0,G562=0),"",E562/G562)</f>
        <v/>
      </c>
      <c r="N562" s="9">
        <f>IF(OR(E562="",I562="",E562=0,I562=0),"",E562/(I562*2))</f>
        <v/>
      </c>
      <c r="O562" s="8">
        <f>IF(OR(I562="",G562="",I562=0,G562=0),"",I562*2/G562)</f>
        <v/>
      </c>
      <c r="AD562" s="5" t="n">
        <v>80</v>
      </c>
      <c r="AM562" s="3">
        <f>180+60</f>
        <v/>
      </c>
      <c r="AP562" s="3" t="n">
        <v>40</v>
      </c>
      <c r="AR562" s="13">
        <f>AVERAGE(AO560:AO566)</f>
        <v/>
      </c>
      <c r="AT562" s="156">
        <f>(E562-W562)/E562</f>
        <v/>
      </c>
      <c r="AU562" s="155">
        <f>(I562-AF562)/I562</f>
        <v/>
      </c>
      <c r="AV562" s="155">
        <f>AG562/(AD562-AF562)</f>
        <v/>
      </c>
      <c r="AW562" s="155">
        <f>(G562-AM562)/G562</f>
        <v/>
      </c>
      <c r="AX562" s="254">
        <f>IF(AND(ISNUMBER(E562),ISNUMBER(W562)),E562-W562,"")</f>
        <v/>
      </c>
      <c r="AY562" s="254">
        <f>IF(AND(ISNUMBER(I562),ISNUMBER(AF562)),I562-AF562,"")</f>
        <v/>
      </c>
      <c r="AZ562" s="254">
        <f>IF(AND(ISNUMBER(AM562),ISNUMBER(G562)),G562-AM562,"")</f>
        <v/>
      </c>
      <c r="BA562" s="254">
        <f>IF(AND(ISNUMBER(AC562),ISNUMBER(AE562)),AC562-AE562,"")</f>
        <v/>
      </c>
      <c r="BB562" s="254">
        <f>IF(AND(ISNUMBER(AL562),ISNUMBER(AM562)),AL562-AM562,"")</f>
        <v/>
      </c>
      <c r="BG562" s="6">
        <f>IF((AD562-AF562)/(AJ562/60)&lt;=0,"",(AD562-AF562)/(AJ562/60))</f>
        <v/>
      </c>
      <c r="BH562" s="6">
        <f>IF(OR(AJ562=0,AP562=0,NOT(ISNUMBER(AD562)),NOT(ISNUMBER(AF562)),NOT(ISNUMBER(AJ562)),NOT(ISNUMBER(AP562))),"",
IFERROR(IF((AD562-AF562)/(AJ562/60)/(AP562/1000)&lt;=0,"",(AD562-AF562)/(AJ562/60)/(AP562/1000)),""))</f>
        <v/>
      </c>
    </row>
    <row r="563" ht="15.75" customHeight="1">
      <c r="B563" t="n">
        <v>319</v>
      </c>
      <c r="D563" s="11" t="n">
        <v>45823</v>
      </c>
      <c r="E563" s="231" t="n">
        <v>319</v>
      </c>
      <c r="F563" s="3" t="n">
        <v>558</v>
      </c>
      <c r="G563" s="205">
        <f>IF(OR(S563="",S563=0),"",S563*2)</f>
        <v/>
      </c>
      <c r="K563" s="15">
        <f>AD563</f>
        <v/>
      </c>
      <c r="M563" s="10">
        <f>IF(OR(E563="",G563="",E563=0,G563=0),"",E563/G563)</f>
        <v/>
      </c>
      <c r="N563" s="9">
        <f>IF(OR(E563="",I563="",E563=0,I563=0),"",E563/(I563*2))</f>
        <v/>
      </c>
      <c r="O563" s="8">
        <f>IF(OR(I563="",G563="",I563=0,G563=0),"",I563*2/G563)</f>
        <v/>
      </c>
      <c r="AD563" s="5" t="n">
        <v>80</v>
      </c>
      <c r="AM563" s="3">
        <f>180+60</f>
        <v/>
      </c>
      <c r="AP563" s="3" t="n">
        <v>40</v>
      </c>
      <c r="AR563" s="13">
        <f>AVERAGE(AO561:AO567)</f>
        <v/>
      </c>
      <c r="AT563" s="156">
        <f>(E563-W563)/E563</f>
        <v/>
      </c>
      <c r="AU563" s="155">
        <f>(I563-AF563)/I563</f>
        <v/>
      </c>
      <c r="AV563" s="155">
        <f>AG563/(AD563-AF563)</f>
        <v/>
      </c>
      <c r="AW563" s="155">
        <f>(G563-AM563)/G563</f>
        <v/>
      </c>
      <c r="AX563" s="254">
        <f>IF(AND(ISNUMBER(E563),ISNUMBER(W563)),E563-W563,"")</f>
        <v/>
      </c>
      <c r="AY563" s="254">
        <f>IF(AND(ISNUMBER(I563),ISNUMBER(AF563)),I563-AF563,"")</f>
        <v/>
      </c>
      <c r="AZ563" s="254">
        <f>IF(AND(ISNUMBER(AM563),ISNUMBER(G563)),G563-AM563,"")</f>
        <v/>
      </c>
      <c r="BA563" s="254">
        <f>IF(AND(ISNUMBER(AC563),ISNUMBER(AE563)),AC563-AE563,"")</f>
        <v/>
      </c>
      <c r="BB563" s="254">
        <f>IF(AND(ISNUMBER(AL563),ISNUMBER(AM563)),AL563-AM563,"")</f>
        <v/>
      </c>
      <c r="BG563" s="6">
        <f>IF((AD563-AF563)/(AJ563/60)&lt;=0,"",(AD563-AF563)/(AJ563/60))</f>
        <v/>
      </c>
      <c r="BH563" s="6">
        <f>IF(OR(AJ563=0,AP563=0,NOT(ISNUMBER(AD563)),NOT(ISNUMBER(AF563)),NOT(ISNUMBER(AJ563)),NOT(ISNUMBER(AP563))),"",
IFERROR(IF((AD563-AF563)/(AJ563/60)/(AP563/1000)&lt;=0,"",(AD563-AF563)/(AJ563/60)/(AP563/1000)),""))</f>
        <v/>
      </c>
    </row>
    <row r="564" ht="15.75" customHeight="1">
      <c r="B564" t="n">
        <v>320</v>
      </c>
      <c r="D564" s="11" t="n">
        <v>45824</v>
      </c>
      <c r="E564" s="231" t="n">
        <v>320</v>
      </c>
      <c r="F564" s="3" t="n">
        <v>559</v>
      </c>
      <c r="G564" s="205">
        <f>IF(OR(S564="",S564=0),"",S564*2)</f>
        <v/>
      </c>
      <c r="K564" s="15">
        <f>AD564</f>
        <v/>
      </c>
      <c r="M564" s="10">
        <f>IF(OR(E564="",G564="",E564=0,G564=0),"",E564/G564)</f>
        <v/>
      </c>
      <c r="N564" s="9">
        <f>IF(OR(E564="",I564="",E564=0,I564=0),"",E564/(I564*2))</f>
        <v/>
      </c>
      <c r="O564" s="8">
        <f>IF(OR(I564="",G564="",I564=0,G564=0),"",I564*2/G564)</f>
        <v/>
      </c>
      <c r="AD564" s="5" t="n">
        <v>80</v>
      </c>
      <c r="AM564" s="3">
        <f>180+60</f>
        <v/>
      </c>
      <c r="AP564" s="3" t="n">
        <v>40</v>
      </c>
      <c r="AR564" s="13">
        <f>AVERAGE(AO562:AO568)</f>
        <v/>
      </c>
      <c r="AT564" s="156">
        <f>(E564-W564)/E564</f>
        <v/>
      </c>
      <c r="AU564" s="155">
        <f>(I564-AF564)/I564</f>
        <v/>
      </c>
      <c r="AV564" s="155">
        <f>AG564/(AD564-AF564)</f>
        <v/>
      </c>
      <c r="AW564" s="155">
        <f>(G564-AM564)/G564</f>
        <v/>
      </c>
      <c r="AX564" s="254">
        <f>IF(AND(ISNUMBER(E564),ISNUMBER(W564)),E564-W564,"")</f>
        <v/>
      </c>
      <c r="AY564" s="254">
        <f>IF(AND(ISNUMBER(I564),ISNUMBER(AF564)),I564-AF564,"")</f>
        <v/>
      </c>
      <c r="AZ564" s="254">
        <f>IF(AND(ISNUMBER(AM564),ISNUMBER(G564)),G564-AM564,"")</f>
        <v/>
      </c>
      <c r="BA564" s="254">
        <f>IF(AND(ISNUMBER(AC564),ISNUMBER(AE564)),AC564-AE564,"")</f>
        <v/>
      </c>
      <c r="BB564" s="254">
        <f>IF(AND(ISNUMBER(AL564),ISNUMBER(AM564)),AL564-AM564,"")</f>
        <v/>
      </c>
      <c r="BG564" s="6">
        <f>IF((AD564-AF564)/(AJ564/60)&lt;=0,"",(AD564-AF564)/(AJ564/60))</f>
        <v/>
      </c>
      <c r="BH564" s="6">
        <f>IF(OR(AJ564=0,AP564=0,NOT(ISNUMBER(AD564)),NOT(ISNUMBER(AF564)),NOT(ISNUMBER(AJ564)),NOT(ISNUMBER(AP564))),"",
IFERROR(IF((AD564-AF564)/(AJ564/60)/(AP564/1000)&lt;=0,"",(AD564-AF564)/(AJ564/60)/(AP564/1000)),""))</f>
        <v/>
      </c>
    </row>
    <row r="565" ht="15.75" customHeight="1">
      <c r="B565" t="n">
        <v>321</v>
      </c>
      <c r="D565" s="11" t="n">
        <v>45825</v>
      </c>
      <c r="E565" s="231" t="n">
        <v>321</v>
      </c>
      <c r="F565" s="3" t="n">
        <v>560</v>
      </c>
      <c r="G565" s="205">
        <f>IF(OR(S565="",S565=0),"",S565*2)</f>
        <v/>
      </c>
      <c r="K565" s="15">
        <f>AD565</f>
        <v/>
      </c>
      <c r="M565" s="10">
        <f>IF(OR(E565="",G565="",E565=0,G565=0),"",E565/G565)</f>
        <v/>
      </c>
      <c r="N565" s="9">
        <f>IF(OR(E565="",I565="",E565=0,I565=0),"",E565/(I565*2))</f>
        <v/>
      </c>
      <c r="O565" s="8">
        <f>IF(OR(I565="",G565="",I565=0,G565=0),"",I565*2/G565)</f>
        <v/>
      </c>
      <c r="Q565" s="6" t="n">
        <v>82.764</v>
      </c>
      <c r="R565" s="6" t="n">
        <v>26.627</v>
      </c>
      <c r="S565" s="6">
        <f>O565*1.067</f>
        <v/>
      </c>
      <c r="T565" s="6">
        <f>P565*1.514</f>
        <v/>
      </c>
      <c r="U565" s="23">
        <f>P565*1.514+O565*1.067</f>
        <v/>
      </c>
      <c r="V565" s="6" t="n">
        <v>35.6</v>
      </c>
      <c r="W565" s="59">
        <f>1.284*1.067</f>
        <v/>
      </c>
      <c r="X565" s="59">
        <f>0*1.514</f>
        <v/>
      </c>
      <c r="Y565" s="23">
        <f>U565*1.067+V565*1.514</f>
        <v/>
      </c>
      <c r="AD565" s="5" t="n">
        <v>80</v>
      </c>
      <c r="AM565" s="3">
        <f>180+60</f>
        <v/>
      </c>
      <c r="AP565" s="3" t="n">
        <v>40</v>
      </c>
      <c r="AQ565" s="2" t="n">
        <v>2400</v>
      </c>
      <c r="AR565" s="13">
        <f>AVERAGE(AO563:AO569)</f>
        <v/>
      </c>
      <c r="AT565" s="156">
        <f>(E565-W565)/E565</f>
        <v/>
      </c>
      <c r="AU565" s="155">
        <f>(I565-AF565)/I565</f>
        <v/>
      </c>
      <c r="AV565" s="155">
        <f>AG565/(AD565-AF565)</f>
        <v/>
      </c>
      <c r="AW565" s="155">
        <f>(G565-AM565)/G565</f>
        <v/>
      </c>
      <c r="AX565" s="254">
        <f>IF(AND(ISNUMBER(E565),ISNUMBER(W565)),E565-W565,"")</f>
        <v/>
      </c>
      <c r="AY565" s="254">
        <f>IF(AND(ISNUMBER(I565),ISNUMBER(AF565)),I565-AF565,"")</f>
        <v/>
      </c>
      <c r="AZ565" s="254">
        <f>IF(AND(ISNUMBER(AM565),ISNUMBER(G565)),G565-AM565,"")</f>
        <v/>
      </c>
      <c r="BA565" s="254">
        <f>IF(AND(ISNUMBER(AC565),ISNUMBER(AE565)),AC565-AE565,"")</f>
        <v/>
      </c>
      <c r="BB565" s="254">
        <f>IF(AND(ISNUMBER(AL565),ISNUMBER(AM565)),AL565-AM565,"")</f>
        <v/>
      </c>
      <c r="BG565" s="6">
        <f>IF((AD565-AF565)/(AJ565/60)&lt;=0,"",(AD565-AF565)/(AJ565/60))</f>
        <v/>
      </c>
      <c r="BH565" s="6">
        <f>IF(OR(AJ565=0,AP565=0,NOT(ISNUMBER(AD565)),NOT(ISNUMBER(AF565)),NOT(ISNUMBER(AJ565)),NOT(ISNUMBER(AP565))),"",
IFERROR(IF((AD565-AF565)/(AJ565/60)/(AP565/1000)&lt;=0,"",(AD565-AF565)/(AJ565/60)/(AP565/1000)),""))</f>
        <v/>
      </c>
    </row>
    <row r="566" ht="15.75" customHeight="1">
      <c r="B566" t="n">
        <v>322</v>
      </c>
      <c r="D566" s="11" t="n">
        <v>45826</v>
      </c>
      <c r="E566" s="231" t="n">
        <v>322</v>
      </c>
      <c r="F566" s="3" t="n">
        <v>561</v>
      </c>
      <c r="G566" s="205">
        <f>IF(OR(S566="",S566=0),"",S566*2)</f>
        <v/>
      </c>
      <c r="K566" s="15">
        <f>AD566</f>
        <v/>
      </c>
      <c r="M566" s="10">
        <f>IF(OR(E566="",G566="",E566=0,G566=0),"",E566/G566)</f>
        <v/>
      </c>
      <c r="N566" s="9">
        <f>IF(OR(E566="",I566="",E566=0,I566=0),"",E566/(I566*2))</f>
        <v/>
      </c>
      <c r="O566" s="8">
        <f>IF(OR(I566="",G566="",I566=0,G566=0),"",I566*2/G566)</f>
        <v/>
      </c>
      <c r="AD566" s="5" t="n">
        <v>80</v>
      </c>
      <c r="AM566" s="3">
        <f>180+60</f>
        <v/>
      </c>
      <c r="AP566" s="3" t="n">
        <v>40</v>
      </c>
      <c r="AR566" s="13">
        <f>AVERAGE(AO564:AO570)</f>
        <v/>
      </c>
      <c r="AT566" s="156">
        <f>(E566-W566)/E566</f>
        <v/>
      </c>
      <c r="AU566" s="155">
        <f>(I566-AF566)/I566</f>
        <v/>
      </c>
      <c r="AV566" s="155">
        <f>AG566/(AD566-AF566)</f>
        <v/>
      </c>
      <c r="AW566" s="155">
        <f>(G566-AM566)/G566</f>
        <v/>
      </c>
      <c r="AX566" s="254">
        <f>IF(AND(ISNUMBER(E566),ISNUMBER(W566)),E566-W566,"")</f>
        <v/>
      </c>
      <c r="AY566" s="254">
        <f>IF(AND(ISNUMBER(I566),ISNUMBER(AF566)),I566-AF566,"")</f>
        <v/>
      </c>
      <c r="AZ566" s="254">
        <f>IF(AND(ISNUMBER(AM566),ISNUMBER(G566)),G566-AM566,"")</f>
        <v/>
      </c>
      <c r="BA566" s="254">
        <f>IF(AND(ISNUMBER(AC566),ISNUMBER(AE566)),AC566-AE566,"")</f>
        <v/>
      </c>
      <c r="BB566" s="254">
        <f>IF(AND(ISNUMBER(AL566),ISNUMBER(AM566)),AL566-AM566,"")</f>
        <v/>
      </c>
      <c r="BG566" s="6">
        <f>IF((AD566-AF566)/(AJ566/60)&lt;=0,"",(AD566-AF566)/(AJ566/60))</f>
        <v/>
      </c>
      <c r="BH566" s="6">
        <f>IF(OR(AJ566=0,AP566=0,NOT(ISNUMBER(AD566)),NOT(ISNUMBER(AF566)),NOT(ISNUMBER(AJ566)),NOT(ISNUMBER(AP566))),"",
IFERROR(IF((AD566-AF566)/(AJ566/60)/(AP566/1000)&lt;=0,"",(AD566-AF566)/(AJ566/60)/(AP566/1000)),""))</f>
        <v/>
      </c>
    </row>
    <row r="567" ht="15.75" customHeight="1">
      <c r="B567" t="n">
        <v>323</v>
      </c>
      <c r="D567" s="72" t="n">
        <v>45827</v>
      </c>
      <c r="E567" s="231" t="n">
        <v>323</v>
      </c>
      <c r="F567" s="3" t="n">
        <v>562</v>
      </c>
      <c r="G567" s="205">
        <f>IF(OR(S567="",S567=0),"",S567*2)</f>
        <v/>
      </c>
      <c r="K567" s="15">
        <f>AD567</f>
        <v/>
      </c>
      <c r="M567" s="10">
        <f>IF(OR(E567="",G567="",E567=0,G567=0),"",E567/G567)</f>
        <v/>
      </c>
      <c r="N567" s="9">
        <f>IF(OR(E567="",I567="",E567=0,I567=0),"",E567/(I567*2))</f>
        <v/>
      </c>
      <c r="O567" s="8">
        <f>IF(OR(I567="",G567="",I567=0,G567=0),"",I567*2/G567)</f>
        <v/>
      </c>
      <c r="AD567" s="5" t="n">
        <v>80</v>
      </c>
      <c r="AI567" s="231" t="n">
        <v>10.71</v>
      </c>
      <c r="AM567" s="3">
        <f>180+60</f>
        <v/>
      </c>
      <c r="AP567" s="3" t="n">
        <v>40</v>
      </c>
      <c r="AR567" s="13">
        <f>AVERAGE(AO565:AO571)</f>
        <v/>
      </c>
      <c r="AT567" s="156">
        <f>(E567-W567)/E567</f>
        <v/>
      </c>
      <c r="AU567" s="155">
        <f>(I567-AF567)/I567</f>
        <v/>
      </c>
      <c r="AV567" s="155">
        <f>AG567/(AD567-AF567)</f>
        <v/>
      </c>
      <c r="AW567" s="155">
        <f>(G567-AM567)/G567</f>
        <v/>
      </c>
      <c r="AX567" s="254">
        <f>IF(AND(ISNUMBER(E567),ISNUMBER(W567)),E567-W567,"")</f>
        <v/>
      </c>
      <c r="AY567" s="254">
        <f>IF(AND(ISNUMBER(I567),ISNUMBER(AF567)),I567-AF567,"")</f>
        <v/>
      </c>
      <c r="AZ567" s="254">
        <f>IF(AND(ISNUMBER(AM567),ISNUMBER(G567)),G567-AM567,"")</f>
        <v/>
      </c>
      <c r="BA567" s="254">
        <f>IF(AND(ISNUMBER(AC567),ISNUMBER(AE567)),AC567-AE567,"")</f>
        <v/>
      </c>
      <c r="BB567" s="254">
        <f>IF(AND(ISNUMBER(AL567),ISNUMBER(AM567)),AL567-AM567,"")</f>
        <v/>
      </c>
      <c r="BH567" s="6">
        <f>IF(OR(AJ567=0,AP567=0,NOT(ISNUMBER(AD567)),NOT(ISNUMBER(AF567)),NOT(ISNUMBER(AJ567)),NOT(ISNUMBER(AP567))),"",
IFERROR(IF((AD567-AF567)/(AJ567/60)/(AP567/1000)&lt;=0,"",(AD567-AF567)/(AJ567/60)/(AP567/1000)),""))</f>
        <v/>
      </c>
    </row>
    <row r="568" ht="15.75" customFormat="1" customHeight="1" s="27">
      <c r="B568" t="n">
        <v>324</v>
      </c>
      <c r="C568" s="78" t="n"/>
      <c r="D568" s="38" t="n">
        <v>45828</v>
      </c>
      <c r="E568" s="231" t="n">
        <v>324</v>
      </c>
      <c r="F568" s="29" t="n">
        <v>563</v>
      </c>
      <c r="G568" s="205">
        <f>IF(OR(S568="",S568=0),"",S568*2)</f>
        <v/>
      </c>
      <c r="H568" s="36" t="n"/>
      <c r="I568" s="77">
        <f>(N568*18-H568*18)/9</f>
        <v/>
      </c>
      <c r="J568" s="77">
        <f>5*0.958</f>
        <v/>
      </c>
      <c r="K568" s="15">
        <f>AD568</f>
        <v/>
      </c>
      <c r="L568" s="35" t="n"/>
      <c r="M568" s="10">
        <f>IF(OR(E568="",G568="",E568=0,G568=0),"",E568/G568)</f>
        <v/>
      </c>
      <c r="N568" s="9">
        <f>IF(OR(E568="",I568="",E568=0,I568=0),"",E568/(I568*2))</f>
        <v/>
      </c>
      <c r="O568" s="8">
        <f>IF(OR(I568="",G568="",I568=0,G568=0),"",I568*2/G568)</f>
        <v/>
      </c>
      <c r="P568" s="34">
        <f>5*2.35</f>
        <v/>
      </c>
      <c r="Q568" s="33" t="n">
        <v>76.104</v>
      </c>
      <c r="R568" s="33" t="n">
        <v>24.669</v>
      </c>
      <c r="S568" s="33">
        <f>O568*1.067</f>
        <v/>
      </c>
      <c r="T568" s="33">
        <f>P568*1.514</f>
        <v/>
      </c>
      <c r="U568" s="75">
        <f>P568*1.514+O568*1.067</f>
        <v/>
      </c>
      <c r="V568" s="33" t="n">
        <v>50.9</v>
      </c>
      <c r="W568" s="76">
        <f>1.753*1.067</f>
        <v/>
      </c>
      <c r="X568" s="76">
        <f>1.279*1.514</f>
        <v/>
      </c>
      <c r="Y568" s="75">
        <f>U568*1.067+V568*1.514</f>
        <v/>
      </c>
      <c r="Z568" s="33" t="n">
        <v>3.47</v>
      </c>
      <c r="AA568" s="33" t="n">
        <v>0.15</v>
      </c>
      <c r="AB568" s="33" t="n">
        <v>-17</v>
      </c>
      <c r="AC568" s="33" t="n">
        <v>-332</v>
      </c>
      <c r="AD568" s="74" t="n">
        <v>80</v>
      </c>
      <c r="AE568" s="34">
        <f>T568</f>
        <v/>
      </c>
      <c r="AF568" s="27">
        <f>27.6</f>
        <v/>
      </c>
      <c r="AG568" s="27">
        <f>5*1.92</f>
        <v/>
      </c>
      <c r="AH568" s="27" t="n">
        <v>0</v>
      </c>
      <c r="AI568" s="27" t="n">
        <v>8.890000000000001</v>
      </c>
      <c r="AM568" s="29">
        <f>180+60</f>
        <v/>
      </c>
      <c r="AN568" s="32">
        <f>AE568</f>
        <v/>
      </c>
      <c r="AO568" s="27">
        <f>5*1.48</f>
        <v/>
      </c>
      <c r="AP568" s="3" t="n">
        <v>40</v>
      </c>
      <c r="AQ568" s="28" t="n"/>
      <c r="AR568" s="13">
        <f>AVERAGE(AO566:AO572)</f>
        <v/>
      </c>
      <c r="AS568" s="28" t="n"/>
      <c r="AT568" s="31">
        <f>(E568-W568)/E568</f>
        <v/>
      </c>
      <c r="AU568" s="30">
        <f>(I568-AF568)/I568</f>
        <v/>
      </c>
      <c r="AV568" s="30">
        <f>AG568/(AD568-AF568)</f>
        <v/>
      </c>
      <c r="AW568" s="30">
        <f>(G568-AM568)/G568</f>
        <v/>
      </c>
      <c r="AX568" s="254">
        <f>IF(AND(ISNUMBER(E568),ISNUMBER(W568)),E568-W568,"")</f>
        <v/>
      </c>
      <c r="AY568" s="254">
        <f>IF(AND(ISNUMBER(I568),ISNUMBER(AF568)),I568-AF568,"")</f>
        <v/>
      </c>
      <c r="AZ568" s="254">
        <f>IF(AND(ISNUMBER(AM568),ISNUMBER(G568)),G568-AM568,"")</f>
        <v/>
      </c>
      <c r="BA568" s="254">
        <f>IF(AND(ISNUMBER(AC568),ISNUMBER(AE568)),AC568-AE568,"")</f>
        <v/>
      </c>
      <c r="BB568" s="254">
        <f>IF(AND(ISNUMBER(AL568),ISNUMBER(AM568)),AL568-AM568,"")</f>
        <v/>
      </c>
      <c r="BH568" s="6">
        <f>IF(OR(AJ568=0,AP568=0,NOT(ISNUMBER(AD568)),NOT(ISNUMBER(AF568)),NOT(ISNUMBER(AJ568)),NOT(ISNUMBER(AP568))),"",
IFERROR(IF((AD568-AF568)/(AJ568/60)/(AP568/1000)&lt;=0,"",(AD568-AF568)/(AJ568/60)/(AP568/1000)),""))</f>
        <v/>
      </c>
    </row>
    <row r="569" ht="15.75" customHeight="1">
      <c r="A569" s="260" t="inlineStr">
        <is>
          <t>B74</t>
        </is>
      </c>
      <c r="B569" s="260" t="n">
        <v>325</v>
      </c>
      <c r="C569" s="12" t="inlineStr">
        <is>
          <t>VI</t>
        </is>
      </c>
      <c r="D569" s="11" t="n">
        <v>45829</v>
      </c>
      <c r="E569" s="231" t="n">
        <v>325</v>
      </c>
      <c r="F569" s="3" t="n">
        <v>564</v>
      </c>
      <c r="G569" s="205">
        <f>IF(OR(S569="",S569=0),"",S569*2)</f>
        <v/>
      </c>
      <c r="K569" s="15">
        <f>AD569</f>
        <v/>
      </c>
      <c r="M569" s="10">
        <f>IF(OR(E569="",G569="",E569=0,G569=0),"",E569/G569)</f>
        <v/>
      </c>
      <c r="N569" s="9">
        <f>IF(OR(E569="",I569="",E569=0,I569=0),"",E569/(I569*2))</f>
        <v/>
      </c>
      <c r="O569" s="8">
        <f>IF(OR(I569="",G569="",I569=0,G569=0),"",I569*2/G569)</f>
        <v/>
      </c>
      <c r="AD569" s="5" t="n">
        <v>80</v>
      </c>
      <c r="AF569" s="65">
        <f>27.6</f>
        <v/>
      </c>
      <c r="AI569" s="231" t="n">
        <v>7.32</v>
      </c>
      <c r="AM569" s="3">
        <f>180+60</f>
        <v/>
      </c>
      <c r="AP569" s="3" t="n">
        <v>40</v>
      </c>
      <c r="AR569" s="13">
        <f>AVERAGE(AO567:AO573)</f>
        <v/>
      </c>
      <c r="AT569" s="156">
        <f>(E569-W569)/E569</f>
        <v/>
      </c>
      <c r="AU569" s="155">
        <f>(I569-AF569)/I569</f>
        <v/>
      </c>
      <c r="AV569" s="155">
        <f>AG569/(AD569-AF569)</f>
        <v/>
      </c>
      <c r="AW569" s="155">
        <f>(G569-AM569)/G569</f>
        <v/>
      </c>
      <c r="AX569" s="254">
        <f>IF(AND(ISNUMBER(E569),ISNUMBER(W569)),E569-W569,"")</f>
        <v/>
      </c>
      <c r="AY569" s="254">
        <f>IF(AND(ISNUMBER(I569),ISNUMBER(AF569)),I569-AF569,"")</f>
        <v/>
      </c>
      <c r="AZ569" s="254">
        <f>IF(AND(ISNUMBER(AM569),ISNUMBER(G569)),G569-AM569,"")</f>
        <v/>
      </c>
      <c r="BA569" s="254">
        <f>IF(AND(ISNUMBER(AC569),ISNUMBER(AE569)),AC569-AE569,"")</f>
        <v/>
      </c>
      <c r="BB569" s="254">
        <f>IF(AND(ISNUMBER(AL569),ISNUMBER(AM569)),AL569-AM569,"")</f>
        <v/>
      </c>
      <c r="BH569" s="6">
        <f>IF(OR(AJ569=0,AP569=0,NOT(ISNUMBER(AD569)),NOT(ISNUMBER(AF569)),NOT(ISNUMBER(AJ569)),NOT(ISNUMBER(AP569))),"",
IFERROR(IF((AD569-AF569)/(AJ569/60)/(AP569/1000)&lt;=0,"",(AD569-AF569)/(AJ569/60)/(AP569/1000)),""))</f>
        <v/>
      </c>
    </row>
    <row r="570" ht="15.75" customHeight="1">
      <c r="B570" t="n">
        <v>326</v>
      </c>
      <c r="D570" s="11" t="n">
        <v>45830</v>
      </c>
      <c r="E570" s="231" t="n">
        <v>326</v>
      </c>
      <c r="F570" s="3" t="n">
        <v>565</v>
      </c>
      <c r="G570" s="205">
        <f>IF(OR(S570="",S570=0),"",S570*2)</f>
        <v/>
      </c>
      <c r="K570" s="15">
        <f>AD570</f>
        <v/>
      </c>
      <c r="M570" s="10">
        <f>IF(OR(E570="",G570="",E570=0,G570=0),"",E570/G570)</f>
        <v/>
      </c>
      <c r="N570" s="9">
        <f>IF(OR(E570="",I570="",E570=0,I570=0),"",E570/(I570*2))</f>
        <v/>
      </c>
      <c r="O570" s="8">
        <f>IF(OR(I570="",G570="",I570=0,G570=0),"",I570*2/G570)</f>
        <v/>
      </c>
      <c r="AD570" s="5" t="n">
        <v>80</v>
      </c>
      <c r="AF570" s="65" t="n">
        <v>28</v>
      </c>
      <c r="AI570" s="231" t="n">
        <v>8.08</v>
      </c>
      <c r="AM570" s="3">
        <f>180+60</f>
        <v/>
      </c>
      <c r="AP570" s="3" t="n">
        <v>40</v>
      </c>
      <c r="AR570" s="13">
        <f>AVERAGE(AO568:AO574)</f>
        <v/>
      </c>
      <c r="AT570" s="156">
        <f>(E570-W570)/E570</f>
        <v/>
      </c>
      <c r="AU570" s="155">
        <f>(I570-AF570)/I570</f>
        <v/>
      </c>
      <c r="AV570" s="155">
        <f>AG570/(AD570-AF570)</f>
        <v/>
      </c>
      <c r="AW570" s="155">
        <f>(G570-AM570)/G570</f>
        <v/>
      </c>
      <c r="AX570" s="254">
        <f>IF(AND(ISNUMBER(E570),ISNUMBER(W570)),E570-W570,"")</f>
        <v/>
      </c>
      <c r="AY570" s="254">
        <f>IF(AND(ISNUMBER(I570),ISNUMBER(AF570)),I570-AF570,"")</f>
        <v/>
      </c>
      <c r="AZ570" s="254">
        <f>IF(AND(ISNUMBER(AM570),ISNUMBER(G570)),G570-AM570,"")</f>
        <v/>
      </c>
      <c r="BA570" s="254">
        <f>IF(AND(ISNUMBER(AC570),ISNUMBER(AE570)),AC570-AE570,"")</f>
        <v/>
      </c>
      <c r="BB570" s="254">
        <f>IF(AND(ISNUMBER(AL570),ISNUMBER(AM570)),AL570-AM570,"")</f>
        <v/>
      </c>
      <c r="BH570" s="6">
        <f>IF(OR(AJ570=0,AP570=0,NOT(ISNUMBER(AD570)),NOT(ISNUMBER(AF570)),NOT(ISNUMBER(AJ570)),NOT(ISNUMBER(AP570))),"",
IFERROR(IF((AD570-AF570)/(AJ570/60)/(AP570/1000)&lt;=0,"",(AD570-AF570)/(AJ570/60)/(AP570/1000)),""))</f>
        <v/>
      </c>
    </row>
    <row r="571" ht="15.75" customHeight="1">
      <c r="B571" t="n">
        <v>327</v>
      </c>
      <c r="D571" s="11" t="n">
        <v>45831</v>
      </c>
      <c r="E571" s="231" t="n">
        <v>327</v>
      </c>
      <c r="F571" s="3" t="n">
        <v>566</v>
      </c>
      <c r="G571" s="205">
        <f>IF(OR(S571="",S571=0),"",S571*2)</f>
        <v/>
      </c>
      <c r="K571" s="15">
        <f>AD571</f>
        <v/>
      </c>
      <c r="M571" s="10">
        <f>IF(OR(E571="",G571="",E571=0,G571=0),"",E571/G571)</f>
        <v/>
      </c>
      <c r="N571" s="9">
        <f>IF(OR(E571="",I571="",E571=0,I571=0),"",E571/(I571*2))</f>
        <v/>
      </c>
      <c r="O571" s="8">
        <f>IF(OR(I571="",G571="",I571=0,G571=0),"",I571*2/G571)</f>
        <v/>
      </c>
      <c r="AD571" s="5" t="n">
        <v>80</v>
      </c>
      <c r="AF571" s="65" t="n">
        <v>28.2</v>
      </c>
      <c r="AI571" s="231" t="n">
        <v>0.35</v>
      </c>
      <c r="AM571" s="3">
        <f>180+60</f>
        <v/>
      </c>
      <c r="AP571" s="3" t="n">
        <v>40</v>
      </c>
      <c r="AR571" s="13">
        <f>AVERAGE(AO569:AO575)</f>
        <v/>
      </c>
      <c r="AT571" s="156">
        <f>(E571-W571)/E571</f>
        <v/>
      </c>
      <c r="AU571" s="155">
        <f>(I571-AF571)/I571</f>
        <v/>
      </c>
      <c r="AV571" s="155">
        <f>AG571/(AD571-AF571)</f>
        <v/>
      </c>
      <c r="AW571" s="155">
        <f>(G571-AM571)/G571</f>
        <v/>
      </c>
      <c r="AX571" s="254">
        <f>IF(AND(ISNUMBER(E571),ISNUMBER(W571)),E571-W571,"")</f>
        <v/>
      </c>
      <c r="AY571" s="254">
        <f>IF(AND(ISNUMBER(I571),ISNUMBER(AF571)),I571-AF571,"")</f>
        <v/>
      </c>
      <c r="AZ571" s="254">
        <f>IF(AND(ISNUMBER(AM571),ISNUMBER(G571)),G571-AM571,"")</f>
        <v/>
      </c>
      <c r="BA571" s="254">
        <f>IF(AND(ISNUMBER(AC571),ISNUMBER(AE571)),AC571-AE571,"")</f>
        <v/>
      </c>
      <c r="BB571" s="254">
        <f>IF(AND(ISNUMBER(AL571),ISNUMBER(AM571)),AL571-AM571,"")</f>
        <v/>
      </c>
      <c r="BH571" s="6">
        <f>IF(OR(AJ571=0,AP571=0,NOT(ISNUMBER(AD571)),NOT(ISNUMBER(AF571)),NOT(ISNUMBER(AJ571)),NOT(ISNUMBER(AP571))),"",
IFERROR(IF((AD571-AF571)/(AJ571/60)/(AP571/1000)&lt;=0,"",(AD571-AF571)/(AJ571/60)/(AP571/1000)),""))</f>
        <v/>
      </c>
    </row>
    <row r="572" ht="15.75" customHeight="1">
      <c r="B572" t="n">
        <v>328</v>
      </c>
      <c r="D572" s="72" t="n">
        <v>45832</v>
      </c>
      <c r="E572" s="231" t="n">
        <v>328</v>
      </c>
      <c r="F572" s="3" t="n">
        <v>567</v>
      </c>
      <c r="G572" s="205">
        <f>IF(OR(S572="",S572=0),"",S572*2)</f>
        <v/>
      </c>
      <c r="K572" s="15">
        <f>AD572</f>
        <v/>
      </c>
      <c r="M572" s="10">
        <f>IF(OR(E572="",G572="",E572=0,G572=0),"",E572/G572)</f>
        <v/>
      </c>
      <c r="N572" s="9">
        <f>IF(OR(E572="",I572="",E572=0,I572=0),"",E572/(I572*2))</f>
        <v/>
      </c>
      <c r="O572" s="8">
        <f>IF(OR(I572="",G572="",I572=0,G572=0),"",I572*2/G572)</f>
        <v/>
      </c>
      <c r="AD572" s="5" t="n">
        <v>80</v>
      </c>
      <c r="AF572" s="65" t="n">
        <v>28.4</v>
      </c>
      <c r="AI572" s="231" t="n">
        <v>12.51</v>
      </c>
      <c r="AM572" s="3">
        <f>180+60</f>
        <v/>
      </c>
      <c r="AP572" s="3" t="n">
        <v>40</v>
      </c>
      <c r="AR572" s="13">
        <f>AVERAGE(AO570:AO576)</f>
        <v/>
      </c>
      <c r="AT572" s="156">
        <f>(E572-W572)/E572</f>
        <v/>
      </c>
      <c r="AU572" s="155">
        <f>(I572-AF572)/I572</f>
        <v/>
      </c>
      <c r="AV572" s="155">
        <f>AG572/(AD572-AF572)</f>
        <v/>
      </c>
      <c r="AW572" s="155">
        <f>(G572-AM572)/G572</f>
        <v/>
      </c>
      <c r="AX572" s="254">
        <f>IF(AND(ISNUMBER(E572),ISNUMBER(W572)),E572-W572,"")</f>
        <v/>
      </c>
      <c r="AY572" s="254">
        <f>IF(AND(ISNUMBER(I572),ISNUMBER(AF572)),I572-AF572,"")</f>
        <v/>
      </c>
      <c r="AZ572" s="254">
        <f>IF(AND(ISNUMBER(AM572),ISNUMBER(G572)),G572-AM572,"")</f>
        <v/>
      </c>
      <c r="BA572" s="254">
        <f>IF(AND(ISNUMBER(AC572),ISNUMBER(AE572)),AC572-AE572,"")</f>
        <v/>
      </c>
      <c r="BB572" s="254">
        <f>IF(AND(ISNUMBER(AL572),ISNUMBER(AM572)),AL572-AM572,"")</f>
        <v/>
      </c>
      <c r="BH572" s="6">
        <f>IF(OR(AJ572=0,AP572=0,NOT(ISNUMBER(AD572)),NOT(ISNUMBER(AF572)),NOT(ISNUMBER(AJ572)),NOT(ISNUMBER(AP572))),"",
IFERROR(IF((AD572-AF572)/(AJ572/60)/(AP572/1000)&lt;=0,"",(AD572-AF572)/(AJ572/60)/(AP572/1000)),""))</f>
        <v/>
      </c>
    </row>
    <row r="573" ht="15.75" customHeight="1">
      <c r="B573" t="n">
        <v>329</v>
      </c>
      <c r="D573" s="11" t="n">
        <v>45833</v>
      </c>
      <c r="E573" s="231" t="n">
        <v>329</v>
      </c>
      <c r="F573" s="3" t="n">
        <v>568</v>
      </c>
      <c r="G573" s="205">
        <f>IF(OR(S573="",S573=0),"",S573*2)</f>
        <v/>
      </c>
      <c r="K573" s="15">
        <f>AD573</f>
        <v/>
      </c>
      <c r="M573" s="10">
        <f>IF(OR(E573="",G573="",E573=0,G573=0),"",E573/G573)</f>
        <v/>
      </c>
      <c r="N573" s="9">
        <f>IF(OR(E573="",I573="",E573=0,I573=0),"",E573/(I573*2))</f>
        <v/>
      </c>
      <c r="O573" s="8">
        <f>IF(OR(I573="",G573="",I573=0,G573=0),"",I573*2/G573)</f>
        <v/>
      </c>
      <c r="AD573" s="5" t="n">
        <v>80</v>
      </c>
      <c r="AF573" s="65" t="n">
        <v>28.6</v>
      </c>
      <c r="AI573" s="231" t="n">
        <v>9.869999999999999</v>
      </c>
      <c r="AM573" s="3">
        <f>180+60</f>
        <v/>
      </c>
      <c r="AP573" s="3" t="n">
        <v>40</v>
      </c>
      <c r="AR573" s="13">
        <f>AVERAGE(AO571:AO577)</f>
        <v/>
      </c>
      <c r="AT573" s="156">
        <f>(E573-W573)/E573</f>
        <v/>
      </c>
      <c r="AU573" s="155">
        <f>(I573-AF573)/I573</f>
        <v/>
      </c>
      <c r="AV573" s="155">
        <f>AG573/(AD573-AF573)</f>
        <v/>
      </c>
      <c r="AW573" s="155">
        <f>(G573-AM573)/G573</f>
        <v/>
      </c>
      <c r="AX573" s="254">
        <f>IF(AND(ISNUMBER(E573),ISNUMBER(W573)),E573-W573,"")</f>
        <v/>
      </c>
      <c r="AY573" s="254">
        <f>IF(AND(ISNUMBER(I573),ISNUMBER(AF573)),I573-AF573,"")</f>
        <v/>
      </c>
      <c r="AZ573" s="254">
        <f>IF(AND(ISNUMBER(AM573),ISNUMBER(G573)),G573-AM573,"")</f>
        <v/>
      </c>
      <c r="BA573" s="254">
        <f>IF(AND(ISNUMBER(AC573),ISNUMBER(AE573)),AC573-AE573,"")</f>
        <v/>
      </c>
      <c r="BB573" s="254">
        <f>IF(AND(ISNUMBER(AL573),ISNUMBER(AM573)),AL573-AM573,"")</f>
        <v/>
      </c>
      <c r="BH573" s="6">
        <f>IF(OR(AJ573=0,AP573=0,NOT(ISNUMBER(AD573)),NOT(ISNUMBER(AF573)),NOT(ISNUMBER(AJ573)),NOT(ISNUMBER(AP573))),"",
IFERROR(IF((AD573-AF573)/(AJ573/60)/(AP573/1000)&lt;=0,"",(AD573-AF573)/(AJ573/60)/(AP573/1000)),""))</f>
        <v/>
      </c>
    </row>
    <row r="574" ht="15.75" customHeight="1">
      <c r="A574" s="260" t="inlineStr">
        <is>
          <t>B75</t>
        </is>
      </c>
      <c r="B574" s="260" t="n">
        <v>330</v>
      </c>
      <c r="D574" s="11" t="n">
        <v>45834</v>
      </c>
      <c r="E574" s="231" t="n">
        <v>330</v>
      </c>
      <c r="F574" s="3" t="n">
        <v>569</v>
      </c>
      <c r="G574" s="205">
        <f>IF(OR(S574="",S574=0),"",S574*2)</f>
        <v/>
      </c>
      <c r="K574" s="15">
        <f>AD574</f>
        <v/>
      </c>
      <c r="M574" s="10">
        <f>IF(OR(E574="",G574="",E574=0,G574=0),"",E574/G574)</f>
        <v/>
      </c>
      <c r="N574" s="9">
        <f>IF(OR(E574="",I574="",E574=0,I574=0),"",E574/(I574*2))</f>
        <v/>
      </c>
      <c r="O574" s="8">
        <f>IF(OR(I574="",G574="",I574=0,G574=0),"",I574*2/G574)</f>
        <v/>
      </c>
      <c r="AD574" s="5" t="n">
        <v>80</v>
      </c>
      <c r="AF574" s="65" t="n">
        <v>28.8</v>
      </c>
      <c r="AI574" s="231" t="n">
        <v>7.41</v>
      </c>
      <c r="AM574" s="3">
        <f>180+60</f>
        <v/>
      </c>
      <c r="AP574" s="3" t="n">
        <v>40</v>
      </c>
      <c r="AR574" s="13">
        <f>AVERAGE(AO572:AO578)</f>
        <v/>
      </c>
      <c r="AT574" s="156">
        <f>(E574-W574)/E574</f>
        <v/>
      </c>
      <c r="AU574" s="155">
        <f>(I574-AF574)/I574</f>
        <v/>
      </c>
      <c r="AV574" s="155">
        <f>AG574/(AD574-AF574)</f>
        <v/>
      </c>
      <c r="AW574" s="155">
        <f>(G574-AM574)/G574</f>
        <v/>
      </c>
      <c r="AX574" s="254">
        <f>IF(AND(ISNUMBER(E574),ISNUMBER(W574)),E574-W574,"")</f>
        <v/>
      </c>
      <c r="AY574" s="254">
        <f>IF(AND(ISNUMBER(I574),ISNUMBER(AF574)),I574-AF574,"")</f>
        <v/>
      </c>
      <c r="AZ574" s="254">
        <f>IF(AND(ISNUMBER(AM574),ISNUMBER(G574)),G574-AM574,"")</f>
        <v/>
      </c>
      <c r="BA574" s="254">
        <f>IF(AND(ISNUMBER(AC574),ISNUMBER(AE574)),AC574-AE574,"")</f>
        <v/>
      </c>
      <c r="BB574" s="254">
        <f>IF(AND(ISNUMBER(AL574),ISNUMBER(AM574)),AL574-AM574,"")</f>
        <v/>
      </c>
      <c r="BH574" s="6">
        <f>IF(OR(AJ574=0,AP574=0,NOT(ISNUMBER(AD574)),NOT(ISNUMBER(AF574)),NOT(ISNUMBER(AJ574)),NOT(ISNUMBER(AP574))),"",
IFERROR(IF((AD574-AF574)/(AJ574/60)/(AP574/1000)&lt;=0,"",(AD574-AF574)/(AJ574/60)/(AP574/1000)),""))</f>
        <v/>
      </c>
    </row>
    <row r="575" ht="15.75" customHeight="1">
      <c r="B575" t="n">
        <v>331</v>
      </c>
      <c r="D575" s="11" t="n">
        <v>45835</v>
      </c>
      <c r="E575" s="231" t="n">
        <v>331</v>
      </c>
      <c r="F575" s="3" t="n">
        <v>570</v>
      </c>
      <c r="G575" s="205">
        <f>IF(OR(S575="",S575=0),"",S575*2)</f>
        <v/>
      </c>
      <c r="K575" s="15">
        <f>AD575</f>
        <v/>
      </c>
      <c r="M575" s="10">
        <f>IF(OR(E575="",G575="",E575=0,G575=0),"",E575/G575)</f>
        <v/>
      </c>
      <c r="N575" s="9">
        <f>IF(OR(E575="",I575="",E575=0,I575=0),"",E575/(I575*2))</f>
        <v/>
      </c>
      <c r="O575" s="8">
        <f>IF(OR(I575="",G575="",I575=0,G575=0),"",I575*2/G575)</f>
        <v/>
      </c>
      <c r="AD575" s="5" t="n">
        <v>80</v>
      </c>
      <c r="AF575" s="65" t="n">
        <v>29</v>
      </c>
      <c r="AI575" s="231" t="n">
        <v>5.66</v>
      </c>
      <c r="AM575" s="3">
        <f>180+60</f>
        <v/>
      </c>
      <c r="AP575" s="3" t="n">
        <v>40</v>
      </c>
      <c r="AR575" s="13">
        <f>AVERAGE(AO573:AO579)</f>
        <v/>
      </c>
      <c r="AT575" s="156">
        <f>(E575-W575)/E575</f>
        <v/>
      </c>
      <c r="AU575" s="155">
        <f>(I575-AF575)/I575</f>
        <v/>
      </c>
      <c r="AV575" s="155">
        <f>AG575/(AD575-AF575)</f>
        <v/>
      </c>
      <c r="AW575" s="155">
        <f>(G575-AM575)/G575</f>
        <v/>
      </c>
      <c r="AX575" s="254">
        <f>IF(AND(ISNUMBER(E575),ISNUMBER(W575)),E575-W575,"")</f>
        <v/>
      </c>
      <c r="AY575" s="254">
        <f>IF(AND(ISNUMBER(I575),ISNUMBER(AF575)),I575-AF575,"")</f>
        <v/>
      </c>
      <c r="AZ575" s="254">
        <f>IF(AND(ISNUMBER(AM575),ISNUMBER(G575)),G575-AM575,"")</f>
        <v/>
      </c>
      <c r="BA575" s="254">
        <f>IF(AND(ISNUMBER(AC575),ISNUMBER(AE575)),AC575-AE575,"")</f>
        <v/>
      </c>
      <c r="BB575" s="254">
        <f>IF(AND(ISNUMBER(AL575),ISNUMBER(AM575)),AL575-AM575,"")</f>
        <v/>
      </c>
      <c r="BH575" s="6">
        <f>IF(OR(AJ575=0,AP575=0,NOT(ISNUMBER(AD575)),NOT(ISNUMBER(AF575)),NOT(ISNUMBER(AJ575)),NOT(ISNUMBER(AP575))),"",
IFERROR(IF((AD575-AF575)/(AJ575/60)/(AP575/1000)&lt;=0,"",(AD575-AF575)/(AJ575/60)/(AP575/1000)),""))</f>
        <v/>
      </c>
    </row>
    <row r="576" ht="15.75" customHeight="1">
      <c r="B576" t="n">
        <v>332</v>
      </c>
      <c r="D576" s="11" t="n">
        <v>45836</v>
      </c>
      <c r="E576" s="231" t="n">
        <v>332</v>
      </c>
      <c r="F576" s="3" t="n">
        <v>571</v>
      </c>
      <c r="G576" s="205">
        <f>IF(OR(S576="",S576=0),"",S576*2)</f>
        <v/>
      </c>
      <c r="K576" s="15">
        <f>AD576</f>
        <v/>
      </c>
      <c r="M576" s="10">
        <f>IF(OR(E576="",G576="",E576=0,G576=0),"",E576/G576)</f>
        <v/>
      </c>
      <c r="N576" s="9">
        <f>IF(OR(E576="",I576="",E576=0,I576=0),"",E576/(I576*2))</f>
        <v/>
      </c>
      <c r="O576" s="8">
        <f>IF(OR(I576="",G576="",I576=0,G576=0),"",I576*2/G576)</f>
        <v/>
      </c>
      <c r="AD576" s="5" t="n">
        <v>80</v>
      </c>
      <c r="AF576" s="65" t="n">
        <v>30</v>
      </c>
      <c r="AI576" s="231" t="n">
        <v>7.4</v>
      </c>
      <c r="AM576" s="3">
        <f>180+60</f>
        <v/>
      </c>
      <c r="AP576" s="3" t="n">
        <v>40</v>
      </c>
      <c r="AR576" s="13">
        <f>AVERAGE(AO574:AO580)</f>
        <v/>
      </c>
      <c r="AT576" s="156">
        <f>(E576-W576)/E576</f>
        <v/>
      </c>
      <c r="AU576" s="155">
        <f>(I576-AF576)/I576</f>
        <v/>
      </c>
      <c r="AV576" s="155">
        <f>AG576/(AD576-AF576)</f>
        <v/>
      </c>
      <c r="AW576" s="155">
        <f>(G576-AM576)/G576</f>
        <v/>
      </c>
      <c r="AX576" s="254">
        <f>IF(AND(ISNUMBER(E576),ISNUMBER(W576)),E576-W576,"")</f>
        <v/>
      </c>
      <c r="AY576" s="254">
        <f>IF(AND(ISNUMBER(I576),ISNUMBER(AF576)),I576-AF576,"")</f>
        <v/>
      </c>
      <c r="AZ576" s="254">
        <f>IF(AND(ISNUMBER(AM576),ISNUMBER(G576)),G576-AM576,"")</f>
        <v/>
      </c>
      <c r="BA576" s="254">
        <f>IF(AND(ISNUMBER(AC576),ISNUMBER(AE576)),AC576-AE576,"")</f>
        <v/>
      </c>
      <c r="BB576" s="254">
        <f>IF(AND(ISNUMBER(AL576),ISNUMBER(AM576)),AL576-AM576,"")</f>
        <v/>
      </c>
      <c r="BH576" s="6">
        <f>IF(OR(AJ576=0,AP576=0,NOT(ISNUMBER(AD576)),NOT(ISNUMBER(AF576)),NOT(ISNUMBER(AJ576)),NOT(ISNUMBER(AP576))),"",
IFERROR(IF((AD576-AF576)/(AJ576/60)/(AP576/1000)&lt;=0,"",(AD576-AF576)/(AJ576/60)/(AP576/1000)),""))</f>
        <v/>
      </c>
    </row>
    <row r="577" ht="15.75" customHeight="1">
      <c r="B577" t="n">
        <v>333</v>
      </c>
      <c r="D577" s="11" t="n">
        <v>45837</v>
      </c>
      <c r="E577" s="231" t="n">
        <v>333</v>
      </c>
      <c r="F577" s="3" t="n">
        <v>572</v>
      </c>
      <c r="G577" s="205">
        <f>IF(OR(S577="",S577=0),"",S577*2)</f>
        <v/>
      </c>
      <c r="K577" s="15">
        <f>AD577</f>
        <v/>
      </c>
      <c r="M577" s="10">
        <f>IF(OR(E577="",G577="",E577=0,G577=0),"",E577/G577)</f>
        <v/>
      </c>
      <c r="N577" s="9">
        <f>IF(OR(E577="",I577="",E577=0,I577=0),"",E577/(I577*2))</f>
        <v/>
      </c>
      <c r="O577" s="8">
        <f>IF(OR(I577="",G577="",I577=0,G577=0),"",I577*2/G577)</f>
        <v/>
      </c>
      <c r="AD577" s="5" t="n">
        <v>80</v>
      </c>
      <c r="AF577" s="65" t="n">
        <v>30.2</v>
      </c>
      <c r="AI577" s="231" t="n">
        <v>6.02</v>
      </c>
      <c r="AM577" s="3">
        <f>180+60</f>
        <v/>
      </c>
      <c r="AP577" s="3" t="n">
        <v>40</v>
      </c>
      <c r="AR577" s="13">
        <f>AVERAGE(AO575:AO581)</f>
        <v/>
      </c>
      <c r="AT577" s="156">
        <f>(E577-W577)/E577</f>
        <v/>
      </c>
      <c r="AU577" s="155">
        <f>(I577-AF577)/I577</f>
        <v/>
      </c>
      <c r="AV577" s="155">
        <f>AG577/(AD577-AF577)</f>
        <v/>
      </c>
      <c r="AW577" s="155">
        <f>(G577-AM577)/G577</f>
        <v/>
      </c>
      <c r="AX577" s="254">
        <f>IF(AND(ISNUMBER(E577),ISNUMBER(W577)),E577-W577,"")</f>
        <v/>
      </c>
      <c r="AY577" s="254">
        <f>IF(AND(ISNUMBER(I577),ISNUMBER(AF577)),I577-AF577,"")</f>
        <v/>
      </c>
      <c r="AZ577" s="254">
        <f>IF(AND(ISNUMBER(AM577),ISNUMBER(G577)),G577-AM577,"")</f>
        <v/>
      </c>
      <c r="BA577" s="254">
        <f>IF(AND(ISNUMBER(AC577),ISNUMBER(AE577)),AC577-AE577,"")</f>
        <v/>
      </c>
      <c r="BB577" s="254">
        <f>IF(AND(ISNUMBER(AL577),ISNUMBER(AM577)),AL577-AM577,"")</f>
        <v/>
      </c>
      <c r="BH577" s="6">
        <f>IF(OR(AJ577=0,AP577=0,NOT(ISNUMBER(AD577)),NOT(ISNUMBER(AF577)),NOT(ISNUMBER(AJ577)),NOT(ISNUMBER(AP577))),"",
IFERROR(IF((AD577-AF577)/(AJ577/60)/(AP577/1000)&lt;=0,"",(AD577-AF577)/(AJ577/60)/(AP577/1000)),""))</f>
        <v/>
      </c>
    </row>
    <row r="578" ht="15.75" customHeight="1">
      <c r="B578" t="n">
        <v>334</v>
      </c>
      <c r="D578" s="11" t="n">
        <v>45838</v>
      </c>
      <c r="E578" s="231" t="n">
        <v>334</v>
      </c>
      <c r="F578" s="3" t="n">
        <v>573</v>
      </c>
      <c r="G578" s="205">
        <f>IF(OR(S578="",S578=0),"",S578*2)</f>
        <v/>
      </c>
      <c r="K578" s="15">
        <f>AD578</f>
        <v/>
      </c>
      <c r="M578" s="10">
        <f>IF(OR(E578="",G578="",E578=0,G578=0),"",E578/G578)</f>
        <v/>
      </c>
      <c r="N578" s="9">
        <f>IF(OR(E578="",I578="",E578=0,I578=0),"",E578/(I578*2))</f>
        <v/>
      </c>
      <c r="O578" s="8">
        <f>IF(OR(I578="",G578="",I578=0,G578=0),"",I578*2/G578)</f>
        <v/>
      </c>
      <c r="AD578" s="5" t="n">
        <v>80</v>
      </c>
      <c r="AF578" s="65" t="n">
        <v>30.4</v>
      </c>
      <c r="AI578" s="231" t="n">
        <v>4.97</v>
      </c>
      <c r="AM578" s="3">
        <f>180+60</f>
        <v/>
      </c>
      <c r="AP578" s="3" t="n">
        <v>40</v>
      </c>
      <c r="AR578" s="13">
        <f>AVERAGE(AO576:AO582)</f>
        <v/>
      </c>
      <c r="AT578" s="156">
        <f>(E578-W578)/E578</f>
        <v/>
      </c>
      <c r="AU578" s="155">
        <f>(I578-AF578)/I578</f>
        <v/>
      </c>
      <c r="AV578" s="155">
        <f>AG578/(AD578-AF578)</f>
        <v/>
      </c>
      <c r="AW578" s="155">
        <f>(G578-AM578)/G578</f>
        <v/>
      </c>
      <c r="AX578" s="254">
        <f>IF(AND(ISNUMBER(E578),ISNUMBER(W578)),E578-W578,"")</f>
        <v/>
      </c>
      <c r="AY578" s="254">
        <f>IF(AND(ISNUMBER(I578),ISNUMBER(AF578)),I578-AF578,"")</f>
        <v/>
      </c>
      <c r="AZ578" s="254">
        <f>IF(AND(ISNUMBER(AM578),ISNUMBER(G578)),G578-AM578,"")</f>
        <v/>
      </c>
      <c r="BA578" s="254">
        <f>IF(AND(ISNUMBER(AC578),ISNUMBER(AE578)),AC578-AE578,"")</f>
        <v/>
      </c>
      <c r="BB578" s="254">
        <f>IF(AND(ISNUMBER(AL578),ISNUMBER(AM578)),AL578-AM578,"")</f>
        <v/>
      </c>
      <c r="BH578" s="6">
        <f>IF(OR(AJ578=0,AP578=0,NOT(ISNUMBER(AD578)),NOT(ISNUMBER(AF578)),NOT(ISNUMBER(AJ578)),NOT(ISNUMBER(AP578))),"",
IFERROR(IF((AD578-AF578)/(AJ578/60)/(AP578/1000)&lt;=0,"",(AD578-AF578)/(AJ578/60)/(AP578/1000)),""))</f>
        <v/>
      </c>
    </row>
    <row r="579" ht="15.75" customHeight="1">
      <c r="B579" t="n">
        <v>335</v>
      </c>
      <c r="D579" s="11" t="n">
        <v>45839</v>
      </c>
      <c r="E579" s="231" t="n">
        <v>335</v>
      </c>
      <c r="F579" s="3" t="n">
        <v>574</v>
      </c>
      <c r="G579" s="205">
        <f>IF(OR(S579="",S579=0),"",S579*2)</f>
        <v/>
      </c>
      <c r="K579" s="15">
        <f>AD579</f>
        <v/>
      </c>
      <c r="M579" s="10">
        <f>IF(OR(E579="",G579="",E579=0,G579=0),"",E579/G579)</f>
        <v/>
      </c>
      <c r="N579" s="9">
        <f>IF(OR(E579="",I579="",E579=0,I579=0),"",E579/(I579*2))</f>
        <v/>
      </c>
      <c r="O579" s="8">
        <f>IF(OR(I579="",G579="",I579=0,G579=0),"",I579*2/G579)</f>
        <v/>
      </c>
      <c r="AD579" s="5" t="n">
        <v>80</v>
      </c>
      <c r="AF579" s="65" t="n">
        <v>30.8</v>
      </c>
      <c r="AI579" s="231" t="n">
        <v>5.83</v>
      </c>
      <c r="AL579" s="231" t="n">
        <v>171</v>
      </c>
      <c r="AM579" s="3">
        <f>180+60</f>
        <v/>
      </c>
      <c r="AP579" s="3" t="n">
        <v>40</v>
      </c>
      <c r="AR579" s="13">
        <f>AVERAGE(AO577:AO583)</f>
        <v/>
      </c>
      <c r="AT579" s="156">
        <f>(E579-W579)/E579</f>
        <v/>
      </c>
      <c r="AU579" s="155">
        <f>(I579-AF579)/I579</f>
        <v/>
      </c>
      <c r="AV579" s="155">
        <f>AG579/(AD579-AF579)</f>
        <v/>
      </c>
      <c r="AW579" s="155">
        <f>(G579-AM579)/G579</f>
        <v/>
      </c>
      <c r="AX579" s="254">
        <f>IF(AND(ISNUMBER(E579),ISNUMBER(W579)),E579-W579,"")</f>
        <v/>
      </c>
      <c r="AY579" s="254">
        <f>IF(AND(ISNUMBER(I579),ISNUMBER(AF579)),I579-AF579,"")</f>
        <v/>
      </c>
      <c r="AZ579" s="254">
        <f>IF(AND(ISNUMBER(AM579),ISNUMBER(G579)),G579-AM579,"")</f>
        <v/>
      </c>
      <c r="BA579" s="254">
        <f>IF(AND(ISNUMBER(AC579),ISNUMBER(AE579)),AC579-AE579,"")</f>
        <v/>
      </c>
      <c r="BB579" s="254">
        <f>IF(AND(ISNUMBER(AL579),ISNUMBER(AM579)),AL579-AM579,"")</f>
        <v/>
      </c>
      <c r="BH579" s="6">
        <f>IF(OR(AJ579=0,AP579=0,NOT(ISNUMBER(AD579)),NOT(ISNUMBER(AF579)),NOT(ISNUMBER(AJ579)),NOT(ISNUMBER(AP579))),"",
IFERROR(IF((AD579-AF579)/(AJ579/60)/(AP579/1000)&lt;=0,"",(AD579-AF579)/(AJ579/60)/(AP579/1000)),""))</f>
        <v/>
      </c>
    </row>
    <row r="580" ht="15.75" customHeight="1">
      <c r="B580" t="n">
        <v>336</v>
      </c>
      <c r="D580" s="72" t="n">
        <v>45840</v>
      </c>
      <c r="E580" s="231" t="n">
        <v>336</v>
      </c>
      <c r="F580" s="3" t="n">
        <v>575</v>
      </c>
      <c r="G580" s="205">
        <f>IF(OR(S580="",S580=0),"",S580*2)</f>
        <v/>
      </c>
      <c r="I580" s="15">
        <f>(N580*18-H580*18)/9</f>
        <v/>
      </c>
      <c r="J580" s="71">
        <f>5*2.25</f>
        <v/>
      </c>
      <c r="K580" s="15">
        <f>AD580</f>
        <v/>
      </c>
      <c r="M580" s="10">
        <f>IF(OR(E580="",G580="",E580=0,G580=0),"",E580/G580)</f>
        <v/>
      </c>
      <c r="N580" s="9">
        <f>IF(OR(E580="",I580="",E580=0,I580=0),"",E580/(I580*2))</f>
        <v/>
      </c>
      <c r="O580" s="8">
        <f>IF(OR(I580="",G580="",I580=0,G580=0),"",I580*2/G580)</f>
        <v/>
      </c>
      <c r="P580" s="7">
        <f>5*3.71</f>
        <v/>
      </c>
      <c r="Q580" s="6" t="n">
        <v>83.375</v>
      </c>
      <c r="R580" s="6" t="n">
        <v>25.635</v>
      </c>
      <c r="S580" s="6">
        <f>O580*1.067</f>
        <v/>
      </c>
      <c r="T580" s="6">
        <f>P580*1.514</f>
        <v/>
      </c>
      <c r="U580" s="23">
        <f>P580*1.514+O580*1.067</f>
        <v/>
      </c>
      <c r="V580" s="6">
        <f>32.2</f>
        <v/>
      </c>
      <c r="W580" s="59">
        <f>0.2*1.067</f>
        <v/>
      </c>
      <c r="X580" s="59">
        <f>0*1.514</f>
        <v/>
      </c>
      <c r="Y580" s="23">
        <f>U580*1.067+V580*1.514</f>
        <v/>
      </c>
      <c r="Z580" s="6" t="n">
        <v>4.82</v>
      </c>
      <c r="AA580" s="6" t="n">
        <v>0.15</v>
      </c>
      <c r="AB580" s="6" t="n">
        <v>28</v>
      </c>
      <c r="AC580" s="6" t="n">
        <v>-206</v>
      </c>
      <c r="AD580" s="5" t="n">
        <v>80</v>
      </c>
      <c r="AE580" s="7">
        <f>T580</f>
        <v/>
      </c>
      <c r="AF580" s="231">
        <f>5*6.31</f>
        <v/>
      </c>
      <c r="AG580" s="231">
        <f>5*3.19</f>
        <v/>
      </c>
      <c r="AH580" s="231" t="n">
        <v>0</v>
      </c>
      <c r="AI580" s="231" t="n">
        <v>6.09</v>
      </c>
      <c r="AL580" s="231" t="n">
        <v>179</v>
      </c>
      <c r="AM580" s="3">
        <f>180+60</f>
        <v/>
      </c>
      <c r="AN580" s="4">
        <f>AE580</f>
        <v/>
      </c>
      <c r="AO580" s="231">
        <f>5*2.64</f>
        <v/>
      </c>
      <c r="AP580" s="3" t="n">
        <v>40</v>
      </c>
      <c r="AQ580" s="2" t="n">
        <v>2129.999999999973</v>
      </c>
      <c r="AR580" s="13">
        <f>AVERAGE(AO578:AO584)</f>
        <v/>
      </c>
      <c r="AT580" s="156">
        <f>(E580-W580)/E580</f>
        <v/>
      </c>
      <c r="AU580" s="155">
        <f>(I580-AF580)/I580</f>
        <v/>
      </c>
      <c r="AV580" s="155">
        <f>AG580/(AD580-AF580)</f>
        <v/>
      </c>
      <c r="AW580" s="155">
        <f>(G580-AM580)/G580</f>
        <v/>
      </c>
      <c r="AX580" s="254">
        <f>IF(AND(ISNUMBER(E580),ISNUMBER(W580)),E580-W580,"")</f>
        <v/>
      </c>
      <c r="AY580" s="254">
        <f>IF(AND(ISNUMBER(I580),ISNUMBER(AF580)),I580-AF580,"")</f>
        <v/>
      </c>
      <c r="AZ580" s="254">
        <f>IF(AND(ISNUMBER(AM580),ISNUMBER(G580)),G580-AM580,"")</f>
        <v/>
      </c>
      <c r="BA580" s="254">
        <f>IF(AND(ISNUMBER(AC580),ISNUMBER(AE580)),AC580-AE580,"")</f>
        <v/>
      </c>
      <c r="BB580" s="254">
        <f>IF(AND(ISNUMBER(AL580),ISNUMBER(AM580)),AL580-AM580,"")</f>
        <v/>
      </c>
      <c r="BG580" s="6">
        <f>IF((AD580-AF580)/(AJ580/60)&lt;=0,"",(AD580-AF580)/(AJ580/60))</f>
        <v/>
      </c>
      <c r="BH580" s="6">
        <f>IF(OR(AJ580=0,AP580=0,NOT(ISNUMBER(AD580)),NOT(ISNUMBER(AF580)),NOT(ISNUMBER(AJ580)),NOT(ISNUMBER(AP580))),"",
IFERROR(IF((AD580-AF580)/(AJ580/60)/(AP580/1000)&lt;=0,"",(AD580-AF580)/(AJ580/60)/(AP580/1000)),""))</f>
        <v/>
      </c>
    </row>
    <row r="581" ht="15.75" customHeight="1">
      <c r="B581" t="n">
        <v>337</v>
      </c>
      <c r="C581" s="12" t="inlineStr">
        <is>
          <t>put tubing in low rise</t>
        </is>
      </c>
      <c r="D581" s="11" t="n">
        <v>45841</v>
      </c>
      <c r="E581" s="231" t="n">
        <v>337</v>
      </c>
      <c r="F581" s="3" t="n">
        <v>576</v>
      </c>
      <c r="G581" s="205">
        <f>IF(OR(S581="",S581=0),"",S581*2)</f>
        <v/>
      </c>
      <c r="I581" s="15">
        <f>(N581*18-H581*18)/9</f>
        <v/>
      </c>
      <c r="J581" s="15">
        <f>5*2.29</f>
        <v/>
      </c>
      <c r="K581" s="15">
        <f>AD581</f>
        <v/>
      </c>
      <c r="M581" s="10">
        <f>IF(OR(E581="",G581="",E581=0,G581=0),"",E581/G581)</f>
        <v/>
      </c>
      <c r="N581" s="9">
        <f>IF(OR(E581="",I581="",E581=0,I581=0),"",E581/(I581*2))</f>
        <v/>
      </c>
      <c r="O581" s="8">
        <f>IF(OR(I581="",G581="",I581=0,G581=0),"",I581*2/G581)</f>
        <v/>
      </c>
      <c r="P581" s="7">
        <f>5*3.65</f>
        <v/>
      </c>
      <c r="Q581" s="6" t="n">
        <v>81.67700000000001</v>
      </c>
      <c r="R581" s="6" t="n">
        <v>24.991</v>
      </c>
      <c r="S581" s="6">
        <f>O581*1.067</f>
        <v/>
      </c>
      <c r="T581" s="6">
        <f>P581*1.514</f>
        <v/>
      </c>
      <c r="U581" s="23">
        <f>P581*1.514+O581*1.067</f>
        <v/>
      </c>
      <c r="V581" s="6">
        <f>32.2</f>
        <v/>
      </c>
      <c r="W581" s="59">
        <f>8.225*1.067</f>
        <v/>
      </c>
      <c r="X581" s="59">
        <f>2.124*1.514</f>
        <v/>
      </c>
      <c r="Y581" s="23">
        <f>U581*1.067+V581*1.514</f>
        <v/>
      </c>
      <c r="Z581" s="6" t="n">
        <v>3.38</v>
      </c>
      <c r="AA581" s="6" t="n">
        <v>0.15</v>
      </c>
      <c r="AB581" s="6" t="n">
        <v>21</v>
      </c>
      <c r="AC581" s="6" t="n">
        <v>-229</v>
      </c>
      <c r="AD581" s="5" t="n">
        <v>80</v>
      </c>
      <c r="AE581" s="7">
        <f>T581</f>
        <v/>
      </c>
      <c r="AF581" s="231">
        <f>30.6</f>
        <v/>
      </c>
      <c r="AG581" s="231">
        <f>5*3</f>
        <v/>
      </c>
      <c r="AH581" s="231" t="n">
        <v>0</v>
      </c>
      <c r="AI581" s="231" t="n">
        <v>6.22</v>
      </c>
      <c r="AL581" s="231" t="n">
        <v>227</v>
      </c>
      <c r="AM581" s="3">
        <f>180+60</f>
        <v/>
      </c>
      <c r="AN581" s="4">
        <f>AE581</f>
        <v/>
      </c>
      <c r="AO581" s="231">
        <f>5*2.69</f>
        <v/>
      </c>
      <c r="AP581" s="3" t="n">
        <v>40</v>
      </c>
      <c r="AR581" s="13">
        <f>AVERAGE(AO579:AO585)</f>
        <v/>
      </c>
      <c r="AT581" s="156">
        <f>(E581-W581)/E581</f>
        <v/>
      </c>
      <c r="AU581" s="155">
        <f>(I581-AF581)/I581</f>
        <v/>
      </c>
      <c r="AV581" s="155">
        <f>AG581/(AD581-AF581)</f>
        <v/>
      </c>
      <c r="AW581" s="155">
        <f>(G581-AM581)/G581</f>
        <v/>
      </c>
      <c r="AX581" s="254">
        <f>IF(AND(ISNUMBER(E581),ISNUMBER(W581)),E581-W581,"")</f>
        <v/>
      </c>
      <c r="AY581" s="254">
        <f>IF(AND(ISNUMBER(I581),ISNUMBER(AF581)),I581-AF581,"")</f>
        <v/>
      </c>
      <c r="AZ581" s="254">
        <f>IF(AND(ISNUMBER(AM581),ISNUMBER(G581)),G581-AM581,"")</f>
        <v/>
      </c>
      <c r="BA581" s="254">
        <f>IF(AND(ISNUMBER(AC581),ISNUMBER(AE581)),AC581-AE581,"")</f>
        <v/>
      </c>
      <c r="BB581" s="254">
        <f>IF(AND(ISNUMBER(AL581),ISNUMBER(AM581)),AL581-AM581,"")</f>
        <v/>
      </c>
      <c r="BC581" s="84">
        <f>IF(AND($E581&gt;0,$W581&gt;0),IF(($E581-$W581)/$E581&gt;0,($E581-$W581)/$E581,0),"")</f>
        <v/>
      </c>
      <c r="BD581" s="84">
        <f>IF(AND($I581&gt;0,$AF581&gt;=0),IF(($I581-$AF581)/$I581&gt;0,($I581-$AF581)/$I581,0),"")</f>
        <v/>
      </c>
      <c r="BE581" s="84" t="n"/>
      <c r="BF581" s="84">
        <f>IF(AND($G581&gt;0,$AM581&gt;0),IF(($G581-$AM581)/$G581&gt;0,($G581-$AM581)/$G581,0),"")</f>
        <v/>
      </c>
      <c r="BG581" s="6">
        <f>IF((AD581-AF581)/(AJ581/60)&lt;=0,"",(AD581-AF581)/(AJ581/60))</f>
        <v/>
      </c>
      <c r="BH581" s="6">
        <f>IF(OR(AJ581=0,AP581=0,NOT(ISNUMBER(AD581)),NOT(ISNUMBER(AF581)),NOT(ISNUMBER(AJ581)),NOT(ISNUMBER(AP581))),"",
IFERROR(IF((AD581-AF581)/(AJ581/60)/(AP581/1000)&lt;=0,"",(AD581-AF581)/(AJ581/60)/(AP581/1000)),""))</f>
        <v/>
      </c>
    </row>
    <row r="582" ht="15.75" customHeight="1">
      <c r="A582" s="260" t="inlineStr">
        <is>
          <t>B76</t>
        </is>
      </c>
      <c r="B582" s="260" t="n">
        <v>338</v>
      </c>
      <c r="C582" s="25" t="inlineStr">
        <is>
          <t>high ph=9</t>
        </is>
      </c>
      <c r="D582" s="11" t="n">
        <v>45842</v>
      </c>
      <c r="E582" s="231" t="n">
        <v>338</v>
      </c>
      <c r="F582" s="3" t="n">
        <v>577</v>
      </c>
      <c r="G582" s="205">
        <f>IF(OR(S582="",S582=0),"",S582*2)</f>
        <v/>
      </c>
      <c r="K582" s="15">
        <f>AD582</f>
        <v/>
      </c>
      <c r="M582" s="10">
        <f>IF(OR(E582="",G582="",E582=0,G582=0),"",E582/G582)</f>
        <v/>
      </c>
      <c r="N582" s="9">
        <f>IF(OR(E582="",I582="",E582=0,I582=0),"",E582/(I582*2))</f>
        <v/>
      </c>
      <c r="O582" s="8">
        <f>IF(OR(I582="",G582="",I582=0,G582=0),"",I582*2/G582)</f>
        <v/>
      </c>
      <c r="AD582" s="5" t="n">
        <v>80</v>
      </c>
      <c r="AF582" s="65">
        <f>30.6</f>
        <v/>
      </c>
      <c r="AI582" s="231" t="n">
        <v>0.07000000000000001</v>
      </c>
      <c r="AL582" s="231" t="n">
        <v>217</v>
      </c>
      <c r="AM582" s="3">
        <f>180+60</f>
        <v/>
      </c>
      <c r="AP582" s="3" t="n">
        <v>40</v>
      </c>
      <c r="AR582" s="13">
        <f>AVERAGE(AO580:AO586)</f>
        <v/>
      </c>
      <c r="AT582" s="156">
        <f>(E582-W582)/E582</f>
        <v/>
      </c>
      <c r="AU582" s="155">
        <f>(I582-AF582)/I582</f>
        <v/>
      </c>
      <c r="AV582" s="155">
        <f>AG582/(AD582-AF582)</f>
        <v/>
      </c>
      <c r="AW582" s="155">
        <f>(G582-AM582)/G582</f>
        <v/>
      </c>
      <c r="AX582" s="254">
        <f>IF(AND(ISNUMBER(E582),ISNUMBER(W582)),E582-W582,"")</f>
        <v/>
      </c>
      <c r="AY582" s="254">
        <f>IF(AND(ISNUMBER(I582),ISNUMBER(AF582)),I582-AF582,"")</f>
        <v/>
      </c>
      <c r="AZ582" s="254">
        <f>IF(AND(ISNUMBER(AM582),ISNUMBER(G582)),G582-AM582,"")</f>
        <v/>
      </c>
      <c r="BA582" s="254">
        <f>IF(AND(ISNUMBER(AC582),ISNUMBER(AE582)),AC582-AE582,"")</f>
        <v/>
      </c>
      <c r="BB582" s="254">
        <f>IF(AND(ISNUMBER(AL582),ISNUMBER(AM582)),AL582-AM582,"")</f>
        <v/>
      </c>
      <c r="BC582" s="84">
        <f>IF(AND($E582&gt;0,$W582&gt;0),IF(($E582-$W582)/$E582&gt;0,($E582-$W582)/$E582,0),"")</f>
        <v/>
      </c>
      <c r="BD582" s="84">
        <f>IF(AND($I582&gt;0,$AF582&gt;=0),IF(($I582-$AF582)/$I582&gt;0,($I582-$AF582)/$I582,0),"")</f>
        <v/>
      </c>
      <c r="BE582" s="84" t="n"/>
      <c r="BF582" s="84">
        <f>IF(AND($G582&gt;0,$AM582&gt;0),IF(($G582-$AM582)/$G582&gt;0,($G582-$AM582)/$G582,0),"")</f>
        <v/>
      </c>
      <c r="BG582" s="6">
        <f>IF((AD582-AF582)/(AJ582/60)&lt;=0,"",(AD582-AF582)/(AJ582/60))</f>
        <v/>
      </c>
      <c r="BH582" s="6">
        <f>IF(OR(AJ582=0,AP582=0,NOT(ISNUMBER(AD582)),NOT(ISNUMBER(AF582)),NOT(ISNUMBER(AJ582)),NOT(ISNUMBER(AP582))),"",
IFERROR(IF((AD582-AF582)/(AJ582/60)/(AP582/1000)&lt;=0,"",(AD582-AF582)/(AJ582/60)/(AP582/1000)),""))</f>
        <v/>
      </c>
    </row>
    <row r="583" ht="15.75" customHeight="1">
      <c r="B583" t="n">
        <v>339</v>
      </c>
      <c r="C583" s="25" t="inlineStr">
        <is>
          <t>high ph=9</t>
        </is>
      </c>
      <c r="D583" s="11" t="n">
        <v>45843</v>
      </c>
      <c r="E583" s="231" t="n">
        <v>339</v>
      </c>
      <c r="F583" s="3" t="n">
        <v>578</v>
      </c>
      <c r="G583" s="205">
        <f>IF(OR(S583="",S583=0),"",S583*2)</f>
        <v/>
      </c>
      <c r="K583" s="15">
        <f>AD583</f>
        <v/>
      </c>
      <c r="M583" s="10">
        <f>IF(OR(E583="",G583="",E583=0,G583=0),"",E583/G583)</f>
        <v/>
      </c>
      <c r="N583" s="9">
        <f>IF(OR(E583="",I583="",E583=0,I583=0),"",E583/(I583*2))</f>
        <v/>
      </c>
      <c r="O583" s="8">
        <f>IF(OR(I583="",G583="",I583=0,G583=0),"",I583*2/G583)</f>
        <v/>
      </c>
      <c r="AD583" s="5" t="n">
        <v>80</v>
      </c>
      <c r="AF583" s="65">
        <f>30.6</f>
        <v/>
      </c>
      <c r="AI583" s="231" t="n">
        <v>0.04</v>
      </c>
      <c r="AL583" s="231" t="n">
        <v>1</v>
      </c>
      <c r="AM583" s="3">
        <f>180+60</f>
        <v/>
      </c>
      <c r="AP583" s="3" t="n">
        <v>40</v>
      </c>
      <c r="AR583" s="13">
        <f>AVERAGE(AO581:AO587)</f>
        <v/>
      </c>
      <c r="AT583" s="156">
        <f>(E583-W583)/E583</f>
        <v/>
      </c>
      <c r="AU583" s="155">
        <f>(I583-AF583)/I583</f>
        <v/>
      </c>
      <c r="AV583" s="155">
        <f>AG583/(AD583-AF583)</f>
        <v/>
      </c>
      <c r="AW583" s="155">
        <f>(G583-AM583)/G583</f>
        <v/>
      </c>
      <c r="AX583" s="254">
        <f>IF(AND(ISNUMBER(E583),ISNUMBER(W583)),E583-W583,"")</f>
        <v/>
      </c>
      <c r="AY583" s="254">
        <f>IF(AND(ISNUMBER(I583),ISNUMBER(AF583)),I583-AF583,"")</f>
        <v/>
      </c>
      <c r="AZ583" s="254">
        <f>IF(AND(ISNUMBER(AM583),ISNUMBER(G583)),G583-AM583,"")</f>
        <v/>
      </c>
      <c r="BA583" s="254">
        <f>IF(AND(ISNUMBER(AC583),ISNUMBER(AE583)),AC583-AE583,"")</f>
        <v/>
      </c>
      <c r="BB583" s="254">
        <f>IF(AND(ISNUMBER(AL583),ISNUMBER(AM583)),AL583-AM583,"")</f>
        <v/>
      </c>
      <c r="BC583" s="84">
        <f>IF(AND($E583&gt;0,$W583&gt;0),IF(($E583-$W583)/$E583&gt;0,($E583-$W583)/$E583,0),"")</f>
        <v/>
      </c>
      <c r="BD583" s="84">
        <f>IF(AND($I583&gt;0,$AF583&gt;=0),IF(($I583-$AF583)/$I583&gt;0,($I583-$AF583)/$I583,0),"")</f>
        <v/>
      </c>
      <c r="BE583" s="84" t="n"/>
      <c r="BF583" s="84">
        <f>IF(AND($G583&gt;0,$AM583&gt;0),IF(($G583-$AM583)/$G583&gt;0,($G583-$AM583)/$G583,0),"")</f>
        <v/>
      </c>
      <c r="BG583" s="6">
        <f>IF((AD583-AF583)/(AJ583/60)&lt;=0,"",(AD583-AF583)/(AJ583/60))</f>
        <v/>
      </c>
      <c r="BH583" s="6">
        <f>IF(OR(AJ583=0,AP583=0,NOT(ISNUMBER(AD583)),NOT(ISNUMBER(AF583)),NOT(ISNUMBER(AJ583)),NOT(ISNUMBER(AP583))),"",
IFERROR(IF((AD583-AF583)/(AJ583/60)/(AP583/1000)&lt;=0,"",(AD583-AF583)/(AJ583/60)/(AP583/1000)),""))</f>
        <v/>
      </c>
    </row>
    <row r="584" ht="15.75" customHeight="1">
      <c r="B584" t="n">
        <v>340</v>
      </c>
      <c r="C584" s="12" t="inlineStr">
        <is>
          <t>reocover tubing</t>
        </is>
      </c>
      <c r="D584" s="11" t="n">
        <v>45844</v>
      </c>
      <c r="E584" s="231" t="n">
        <v>340</v>
      </c>
      <c r="F584" s="3" t="n">
        <v>579</v>
      </c>
      <c r="G584" s="205">
        <f>IF(OR(S584="",S584=0),"",S584*2)</f>
        <v/>
      </c>
      <c r="K584" s="15">
        <f>AD584</f>
        <v/>
      </c>
      <c r="M584" s="10">
        <f>IF(OR(E584="",G584="",E584=0,G584=0),"",E584/G584)</f>
        <v/>
      </c>
      <c r="N584" s="9">
        <f>IF(OR(E584="",I584="",E584=0,I584=0),"",E584/(I584*2))</f>
        <v/>
      </c>
      <c r="O584" s="8">
        <f>IF(OR(I584="",G584="",I584=0,G584=0),"",I584*2/G584)</f>
        <v/>
      </c>
      <c r="AD584" s="5" t="n">
        <v>80</v>
      </c>
      <c r="AF584" s="65">
        <f>30.6</f>
        <v/>
      </c>
      <c r="AI584" s="231" t="n">
        <v>0.01</v>
      </c>
      <c r="AL584" s="231" t="n">
        <v>141</v>
      </c>
      <c r="AM584" s="3">
        <f>180+60</f>
        <v/>
      </c>
      <c r="AP584" s="3" t="n">
        <v>40</v>
      </c>
      <c r="AR584" s="13">
        <f>AVERAGE(AO582:AO588)</f>
        <v/>
      </c>
      <c r="AT584" s="156">
        <f>(E584-W584)/E584</f>
        <v/>
      </c>
      <c r="AU584" s="155">
        <f>(I584-AF584)/I584</f>
        <v/>
      </c>
      <c r="AV584" s="155">
        <f>AG584/(AD584-AF584)</f>
        <v/>
      </c>
      <c r="AW584" s="155">
        <f>(G584-AM584)/G584</f>
        <v/>
      </c>
      <c r="AX584" s="254">
        <f>IF(AND(ISNUMBER(E584),ISNUMBER(W584)),E584-W584,"")</f>
        <v/>
      </c>
      <c r="AY584" s="254">
        <f>IF(AND(ISNUMBER(I584),ISNUMBER(AF584)),I584-AF584,"")</f>
        <v/>
      </c>
      <c r="AZ584" s="254">
        <f>IF(AND(ISNUMBER(AM584),ISNUMBER(G584)),G584-AM584,"")</f>
        <v/>
      </c>
      <c r="BA584" s="254">
        <f>IF(AND(ISNUMBER(AC584),ISNUMBER(AE584)),AC584-AE584,"")</f>
        <v/>
      </c>
      <c r="BB584" s="254">
        <f>IF(AND(ISNUMBER(AL584),ISNUMBER(AM584)),AL584-AM584,"")</f>
        <v/>
      </c>
      <c r="BC584" s="84">
        <f>IF(AND($E584&gt;0,$W584&gt;0),IF(($E584-$W584)/$E584&gt;0,($E584-$W584)/$E584,0),"")</f>
        <v/>
      </c>
      <c r="BD584" s="84">
        <f>IF(AND($I584&gt;0,$AF584&gt;=0),IF(($I584-$AF584)/$I584&gt;0,($I584-$AF584)/$I584,0),"")</f>
        <v/>
      </c>
      <c r="BE584" s="84" t="n"/>
      <c r="BF584" s="84">
        <f>IF(AND($G584&gt;0,$AM584&gt;0),IF(($G584-$AM584)/$G584&gt;0,($G584-$AM584)/$G584,0),"")</f>
        <v/>
      </c>
      <c r="BG584" s="6">
        <f>IF((AD584-AF584)/(AJ584/60)&lt;=0,"",(AD584-AF584)/(AJ584/60))</f>
        <v/>
      </c>
      <c r="BH584" s="6">
        <f>IF(OR(AJ584=0,AP584=0,NOT(ISNUMBER(AD584)),NOT(ISNUMBER(AF584)),NOT(ISNUMBER(AJ584)),NOT(ISNUMBER(AP584))),"",
IFERROR(IF((AD584-AF584)/(AJ584/60)/(AP584/1000)&lt;=0,"",(AD584-AF584)/(AJ584/60)/(AP584/1000)),""))</f>
        <v/>
      </c>
    </row>
    <row r="585" ht="15.75" customHeight="1">
      <c r="B585" t="n">
        <v>341</v>
      </c>
      <c r="D585" s="11" t="n">
        <v>45845</v>
      </c>
      <c r="E585" s="231" t="n">
        <v>341</v>
      </c>
      <c r="F585" s="3" t="n">
        <v>580</v>
      </c>
      <c r="G585" s="205">
        <f>IF(OR(S585="",S585=0),"",S585*2)</f>
        <v/>
      </c>
      <c r="K585" s="15">
        <f>AD585</f>
        <v/>
      </c>
      <c r="M585" s="10">
        <f>IF(OR(E585="",G585="",E585=0,G585=0),"",E585/G585)</f>
        <v/>
      </c>
      <c r="N585" s="9">
        <f>IF(OR(E585="",I585="",E585=0,I585=0),"",E585/(I585*2))</f>
        <v/>
      </c>
      <c r="O585" s="8">
        <f>IF(OR(I585="",G585="",I585=0,G585=0),"",I585*2/G585)</f>
        <v/>
      </c>
      <c r="AD585" s="5" t="n">
        <v>80</v>
      </c>
      <c r="AF585" s="65">
        <f>30.6</f>
        <v/>
      </c>
      <c r="AI585" s="231" t="n">
        <v>1.04</v>
      </c>
      <c r="AL585" s="231" t="n">
        <v>195</v>
      </c>
      <c r="AM585" s="3">
        <f>180+60</f>
        <v/>
      </c>
      <c r="AP585" s="3" t="n">
        <v>40</v>
      </c>
      <c r="AR585" s="13">
        <f>AVERAGE(AO583:AO589)</f>
        <v/>
      </c>
      <c r="AT585" s="156">
        <f>(E585-W585)/E585</f>
        <v/>
      </c>
      <c r="AU585" s="155">
        <f>(I585-AF585)/I585</f>
        <v/>
      </c>
      <c r="AV585" s="155">
        <f>AG585/(AD585-AF585)</f>
        <v/>
      </c>
      <c r="AW585" s="155">
        <f>(G585-AM585)/G585</f>
        <v/>
      </c>
      <c r="AX585" s="254">
        <f>IF(AND(ISNUMBER(E585),ISNUMBER(W585)),E585-W585,"")</f>
        <v/>
      </c>
      <c r="AY585" s="254">
        <f>IF(AND(ISNUMBER(I585),ISNUMBER(AF585)),I585-AF585,"")</f>
        <v/>
      </c>
      <c r="AZ585" s="254">
        <f>IF(AND(ISNUMBER(AM585),ISNUMBER(G585)),G585-AM585,"")</f>
        <v/>
      </c>
      <c r="BA585" s="254">
        <f>IF(AND(ISNUMBER(AC585),ISNUMBER(AE585)),AC585-AE585,"")</f>
        <v/>
      </c>
      <c r="BB585" s="254">
        <f>IF(AND(ISNUMBER(AL585),ISNUMBER(AM585)),AL585-AM585,"")</f>
        <v/>
      </c>
      <c r="BC585" s="84">
        <f>IF(AND($E585&gt;0,$W585&gt;0),IF(($E585-$W585)/$E585&gt;0,($E585-$W585)/$E585,0),"")</f>
        <v/>
      </c>
      <c r="BD585" s="84">
        <f>IF(AND($I585&gt;0,$AF585&gt;=0),IF(($I585-$AF585)/$I585&gt;0,($I585-$AF585)/$I585,0),"")</f>
        <v/>
      </c>
      <c r="BE585" s="84" t="n"/>
      <c r="BF585" s="84">
        <f>IF(AND($G585&gt;0,$AM585&gt;0),IF(($G585-$AM585)/$G585&gt;0,($G585-$AM585)/$G585,0),"")</f>
        <v/>
      </c>
      <c r="BG585" s="6">
        <f>IF((AD585-AF585)/(AJ585/60)&lt;=0,"",(AD585-AF585)/(AJ585/60))</f>
        <v/>
      </c>
      <c r="BH585" s="6">
        <f>IF(OR(AJ585=0,AP585=0,NOT(ISNUMBER(AD585)),NOT(ISNUMBER(AF585)),NOT(ISNUMBER(AJ585)),NOT(ISNUMBER(AP585))),"",
IFERROR(IF((AD585-AF585)/(AJ585/60)/(AP585/1000)&lt;=0,"",(AD585-AF585)/(AJ585/60)/(AP585/1000)),""))</f>
        <v/>
      </c>
    </row>
    <row r="586" ht="15.75" customHeight="1">
      <c r="B586" t="n">
        <v>342</v>
      </c>
      <c r="D586" s="63" t="n">
        <v>45846</v>
      </c>
      <c r="E586" s="231" t="n">
        <v>342</v>
      </c>
      <c r="F586" s="3" t="n">
        <v>581</v>
      </c>
      <c r="G586" s="205">
        <f>IF(OR(S586="",S586=0),"",S586*2)</f>
        <v/>
      </c>
      <c r="I586" s="15">
        <f>(N586*18-H586*18)/9</f>
        <v/>
      </c>
      <c r="J586" s="15">
        <f>5*0.127</f>
        <v/>
      </c>
      <c r="K586" s="15">
        <f>AD586</f>
        <v/>
      </c>
      <c r="M586" s="10">
        <f>IF(OR(E586="",G586="",E586=0,G586=0),"",E586/G586)</f>
        <v/>
      </c>
      <c r="N586" s="9">
        <f>IF(OR(E586="",I586="",E586=0,I586=0),"",E586/(I586*2))</f>
        <v/>
      </c>
      <c r="O586" s="8">
        <f>IF(OR(I586="",G586="",I586=0,G586=0),"",I586*2/G586)</f>
        <v/>
      </c>
      <c r="P586" s="7">
        <f>5*1.6</f>
        <v/>
      </c>
      <c r="V586" s="6">
        <f>30.4</f>
        <v/>
      </c>
      <c r="W586" s="59">
        <f>1.112*1.067</f>
        <v/>
      </c>
      <c r="X586" s="59">
        <f>0.845*1.514</f>
        <v/>
      </c>
      <c r="Y586" s="23">
        <f>U586*1.067+V586*1.514</f>
        <v/>
      </c>
      <c r="Z586" s="6" t="n">
        <v>3.5</v>
      </c>
      <c r="AA586" s="6" t="n">
        <v>0.2</v>
      </c>
      <c r="AB586" s="6" t="n">
        <v>3</v>
      </c>
      <c r="AC586" s="6" t="n">
        <v>-250</v>
      </c>
      <c r="AD586" s="5" t="n">
        <v>80</v>
      </c>
      <c r="AE586" s="7">
        <f>T586</f>
        <v/>
      </c>
      <c r="AF586" s="231">
        <f>30.4</f>
        <v/>
      </c>
      <c r="AG586" s="231">
        <f>5*0</f>
        <v/>
      </c>
      <c r="AH586" s="231" t="n">
        <v>0</v>
      </c>
      <c r="AI586" s="62" t="n">
        <v>4.83</v>
      </c>
      <c r="AJ586" s="2">
        <f>AVERAGE(AG586:AG646)</f>
        <v/>
      </c>
      <c r="AL586" s="2">
        <f>("21:00"-"17:50")*1440</f>
        <v/>
      </c>
      <c r="AM586" s="3">
        <f>180+60</f>
        <v/>
      </c>
      <c r="AN586" s="4">
        <f>AE586</f>
        <v/>
      </c>
      <c r="AO586" s="231" t="n">
        <v>0</v>
      </c>
      <c r="AP586" s="3" t="n">
        <v>40</v>
      </c>
      <c r="AR586" s="13">
        <f>AVERAGE(AO584:AO590)</f>
        <v/>
      </c>
      <c r="AT586" s="156" t="n"/>
      <c r="AU586" s="155">
        <f>(I586-AF586)/I586</f>
        <v/>
      </c>
      <c r="AV586" s="155">
        <f>AG586/(AD586-AF586)</f>
        <v/>
      </c>
      <c r="AW586" s="61">
        <f>(G586-AM586)/G586</f>
        <v/>
      </c>
      <c r="AX586" s="254">
        <f>IF(AND(ISNUMBER(E586),ISNUMBER(W586)),E586-W586,"")</f>
        <v/>
      </c>
      <c r="AY586" s="254">
        <f>IF(AND(ISNUMBER(I586),ISNUMBER(AF586)),I586-AF586,"")</f>
        <v/>
      </c>
      <c r="AZ586" s="254">
        <f>IF(AND(ISNUMBER(AM586),ISNUMBER(G586)),G586-AM586,"")</f>
        <v/>
      </c>
      <c r="BA586" s="254">
        <f>IF(AND(ISNUMBER(AC586),ISNUMBER(AE586)),AC586-AE586,"")</f>
        <v/>
      </c>
      <c r="BB586" s="254">
        <f>IF(AND(ISNUMBER(AL586),ISNUMBER(AM586)),AL586-AM586,"")</f>
        <v/>
      </c>
      <c r="BC586" s="60">
        <f>IF(AND($E586&gt;0,$W586&gt;0),IF(($E586-$W586)/$E586&gt;0,($E586-$W586)/$E586,0),"")</f>
        <v/>
      </c>
      <c r="BD586" s="60">
        <f>IF(AND($I586&gt;0,$AF586&gt;=0),IF(($I586-$AF586)/$I586&gt;0,($I586-$AF586)/$I586,0),"")</f>
        <v/>
      </c>
      <c r="BE586" s="60">
        <f>IF(AND($AG586&gt;=0,$AD586&gt;=0,$AF586&gt;=0),IF($AG586/($AD586-$AF586)&gt;0,$AG586/($AD586-$AF586),0),"")</f>
        <v/>
      </c>
      <c r="BF586" s="60">
        <f>IF(AND($G586&gt;0,$AM586&gt;0),IF(($G586-$AM586)/$G586&gt;0,($G586-$AM586)/$G586,0),"")</f>
        <v/>
      </c>
      <c r="BG586" s="6">
        <f>IF((AD586-AF586)/(AJ586/60)&lt;=0,"",(AD586-AF586)/(AJ586/60))</f>
        <v/>
      </c>
      <c r="BH586" s="6">
        <f>IF(OR(AJ586=0,AP586=0,NOT(ISNUMBER(AD586)),NOT(ISNUMBER(AF586)),NOT(ISNUMBER(AJ586)),NOT(ISNUMBER(AP586))),"",
IFERROR(IF((AD586-AF586)/(AJ586/60)/(AP586/1000)&lt;=0,"",(AD586-AF586)/(AJ586/60)/(AP586/1000)),""))</f>
        <v/>
      </c>
    </row>
    <row r="587" ht="15.75" customHeight="1">
      <c r="B587" t="n">
        <v>343</v>
      </c>
      <c r="D587" s="63" t="n">
        <v>45847</v>
      </c>
      <c r="E587" s="231" t="n">
        <v>343</v>
      </c>
      <c r="F587" s="3" t="n">
        <v>582</v>
      </c>
      <c r="G587" s="205">
        <f>IF(OR(S587="",S587=0),"",S587*2)</f>
        <v/>
      </c>
      <c r="I587" s="70">
        <f>AVERAGE(G586,G589)</f>
        <v/>
      </c>
      <c r="K587" s="15">
        <f>AD587</f>
        <v/>
      </c>
      <c r="M587" s="10">
        <f>IF(OR(E587="",G587="",E587=0,G587=0),"",E587/G587)</f>
        <v/>
      </c>
      <c r="N587" s="9">
        <f>IF(OR(E587="",I587="",E587=0,I587=0),"",E587/(I587*2))</f>
        <v/>
      </c>
      <c r="O587" s="8">
        <f>IF(OR(I587="",G587="",I587=0,G587=0),"",I587*2/G587)</f>
        <v/>
      </c>
      <c r="AD587" s="5" t="n">
        <v>80</v>
      </c>
      <c r="AF587" s="65" t="n">
        <v>30</v>
      </c>
      <c r="AH587" s="231" t="n">
        <v>0</v>
      </c>
      <c r="AI587" s="62" t="n">
        <v>4.92</v>
      </c>
      <c r="AJ587" s="2">
        <f>_xlfn.STDEV.P(AG586:AG646)</f>
        <v/>
      </c>
      <c r="AL587" s="2">
        <f>("21:05"-"17:50")*1440</f>
        <v/>
      </c>
      <c r="AM587" s="3">
        <f>180+60</f>
        <v/>
      </c>
      <c r="AO587" s="68" t="n">
        <v>0.15</v>
      </c>
      <c r="AP587" s="3" t="n">
        <v>40</v>
      </c>
      <c r="AR587" s="13">
        <f>AVERAGE(AO585:AO591)</f>
        <v/>
      </c>
      <c r="AT587" s="156" t="n"/>
      <c r="AU587" s="155">
        <f>(I587-AF587)/I587</f>
        <v/>
      </c>
      <c r="AV587" s="155">
        <f>AG587/(AD587-AF587)</f>
        <v/>
      </c>
      <c r="AW587" s="61">
        <f>(G587-AM587)/G587</f>
        <v/>
      </c>
      <c r="AX587" s="254">
        <f>IF(AND(ISNUMBER(E587),ISNUMBER(W587)),E587-W587,"")</f>
        <v/>
      </c>
      <c r="AY587" s="254">
        <f>IF(AND(ISNUMBER(I587),ISNUMBER(AF587)),I587-AF587,"")</f>
        <v/>
      </c>
      <c r="AZ587" s="254">
        <f>IF(AND(ISNUMBER(AM587),ISNUMBER(G587)),G587-AM587,"")</f>
        <v/>
      </c>
      <c r="BA587" s="254">
        <f>IF(AND(ISNUMBER(AC587),ISNUMBER(AE587)),AC587-AE587,"")</f>
        <v/>
      </c>
      <c r="BB587" s="254">
        <f>IF(AND(ISNUMBER(AL587),ISNUMBER(AM587)),AL587-AM587,"")</f>
        <v/>
      </c>
      <c r="BC587" s="60">
        <f>IF(AND($E587&gt;0,$W587&gt;0),IF(($E587-$W587)/$E587&gt;0,($E587-$W587)/$E587,0),"")</f>
        <v/>
      </c>
      <c r="BD587" s="60">
        <f>IF(AND($I587&gt;0,$AF587&gt;=0),IF(($I587-$AF587)/$I587&gt;0,($I587-$AF587)/$I587,0),"")</f>
        <v/>
      </c>
      <c r="BE587" s="60">
        <f>IF(AND($AG587&gt;=0,$AD587&gt;=0,$AF587&gt;=0),IF($AG587/($AD587-$AF587)&gt;0,$AG587/($AD587-$AF587),0),"")</f>
        <v/>
      </c>
      <c r="BF587" s="60">
        <f>IF(AND($G587&gt;0,$AM587&gt;0),IF(($G587-$AM587)/$G587&gt;0,($G587-$AM587)/$G587,0),"")</f>
        <v/>
      </c>
      <c r="BG587" s="6">
        <f>IF((AD587-AF587)/(AJ587/60)&lt;=0,"",(AD587-AF587)/(AJ587/60))</f>
        <v/>
      </c>
      <c r="BH587" s="6">
        <f>IF(OR(AJ587=0,AP587=0,NOT(ISNUMBER(AD587)),NOT(ISNUMBER(AF587)),NOT(ISNUMBER(AJ587)),NOT(ISNUMBER(AP587))),"",
IFERROR(IF((AD587-AF587)/(AJ587/60)/(AP587/1000)&lt;=0,"",(AD587-AF587)/(AJ587/60)/(AP587/1000)),""))</f>
        <v/>
      </c>
    </row>
    <row r="588" ht="15.75" customHeight="1">
      <c r="B588" t="n">
        <v>344</v>
      </c>
      <c r="D588" s="66" t="n">
        <v>45848</v>
      </c>
      <c r="E588" s="231" t="n">
        <v>344</v>
      </c>
      <c r="F588" s="3" t="n">
        <v>583</v>
      </c>
      <c r="G588" s="205">
        <f>IF(OR(S588="",S588=0),"",S588*2)</f>
        <v/>
      </c>
      <c r="I588" s="70">
        <f>AVERAGE(G587,G590)</f>
        <v/>
      </c>
      <c r="K588" s="15">
        <f>AD588</f>
        <v/>
      </c>
      <c r="M588" s="10">
        <f>IF(OR(E588="",G588="",E588=0,G588=0),"",E588/G588)</f>
        <v/>
      </c>
      <c r="N588" s="9">
        <f>IF(OR(E588="",I588="",E588=0,I588=0),"",E588/(I588*2))</f>
        <v/>
      </c>
      <c r="O588" s="8">
        <f>IF(OR(I588="",G588="",I588=0,G588=0),"",I588*2/G588)</f>
        <v/>
      </c>
      <c r="AD588" s="5" t="n">
        <v>80</v>
      </c>
      <c r="AF588" s="65" t="n">
        <v>29.5</v>
      </c>
      <c r="AH588" s="231" t="n">
        <v>0</v>
      </c>
      <c r="AI588" s="69" t="n">
        <v>5.79</v>
      </c>
      <c r="AL588" s="2">
        <f>("21:00"-"17:50")*1440</f>
        <v/>
      </c>
      <c r="AM588" s="3">
        <f>180+60</f>
        <v/>
      </c>
      <c r="AO588" s="68" t="n">
        <v>0.15</v>
      </c>
      <c r="AP588" s="3" t="n">
        <v>40</v>
      </c>
      <c r="AR588" s="13">
        <f>AVERAGE(AO586:AO592)</f>
        <v/>
      </c>
      <c r="AT588" s="156" t="n"/>
      <c r="AU588" s="155">
        <f>(I588-AF588)/I588</f>
        <v/>
      </c>
      <c r="AV588" s="155">
        <f>AG588/(AD588-AF588)</f>
        <v/>
      </c>
      <c r="AW588" s="61">
        <f>(G588-AM588)/G588</f>
        <v/>
      </c>
      <c r="AX588" s="254">
        <f>IF(AND(ISNUMBER(E588),ISNUMBER(W588)),E588-W588,"")</f>
        <v/>
      </c>
      <c r="AY588" s="254">
        <f>IF(AND(ISNUMBER(I588),ISNUMBER(AF588)),I588-AF588,"")</f>
        <v/>
      </c>
      <c r="AZ588" s="254">
        <f>IF(AND(ISNUMBER(AM588),ISNUMBER(G588)),G588-AM588,"")</f>
        <v/>
      </c>
      <c r="BA588" s="254">
        <f>IF(AND(ISNUMBER(AC588),ISNUMBER(AE588)),AC588-AE588,"")</f>
        <v/>
      </c>
      <c r="BB588" s="254">
        <f>IF(AND(ISNUMBER(AL588),ISNUMBER(AM588)),AL588-AM588,"")</f>
        <v/>
      </c>
      <c r="BC588" s="60">
        <f>IF(AND($E588&gt;0,$W588&gt;0),IF(($E588-$W588)/$E588&gt;0,($E588-$W588)/$E588,0),"")</f>
        <v/>
      </c>
      <c r="BD588" s="60">
        <f>IF(AND($I588&gt;0,$AF588&gt;=0),IF(($I588-$AF588)/$I588&gt;0,($I588-$AF588)/$I588,0),"")</f>
        <v/>
      </c>
      <c r="BE588" s="60">
        <f>IF(AND($AG588&gt;=0,$AD588&gt;=0,$AF588&gt;=0),IF($AG588/($AD588-$AF588)&gt;0,$AG588/($AD588-$AF588),0),"")</f>
        <v/>
      </c>
      <c r="BF588" s="60">
        <f>IF(AND($G588&gt;0,$AM588&gt;0),IF(($G588-$AM588)/$G588&gt;0,($G588-$AM588)/$G588,0),"")</f>
        <v/>
      </c>
      <c r="BG588" s="6">
        <f>IF((AD588-AF588)/(AJ588/60)&lt;=0,"",(AD588-AF588)/(AJ588/60))</f>
        <v/>
      </c>
      <c r="BH588" s="6">
        <f>IF(OR(AJ588=0,AP588=0,NOT(ISNUMBER(AD588)),NOT(ISNUMBER(AF588)),NOT(ISNUMBER(AJ588)),NOT(ISNUMBER(AP588))),"",
IFERROR(IF((AD588-AF588)/(AJ588/60)/(AP588/1000)&lt;=0,"",(AD588-AF588)/(AJ588/60)/(AP588/1000)),""))</f>
        <v/>
      </c>
    </row>
    <row r="589" ht="15.75" customHeight="1">
      <c r="B589" t="n">
        <v>345</v>
      </c>
      <c r="D589" s="63" t="n">
        <v>45849</v>
      </c>
      <c r="E589" s="231" t="n">
        <v>345</v>
      </c>
      <c r="F589" s="3" t="n">
        <v>584</v>
      </c>
      <c r="G589" s="205">
        <f>IF(OR(S589="",S589=0),"",S589*2)</f>
        <v/>
      </c>
      <c r="I589" s="15">
        <f>(N589*18-H589*18)/9</f>
        <v/>
      </c>
      <c r="J589" s="9">
        <f>2*0</f>
        <v/>
      </c>
      <c r="K589" s="15">
        <f>AD589</f>
        <v/>
      </c>
      <c r="M589" s="10">
        <f>IF(OR(E589="",G589="",E589=0,G589=0),"",E589/G589)</f>
        <v/>
      </c>
      <c r="N589" s="9">
        <f>IF(OR(E589="",I589="",E589=0,I589=0),"",E589/(I589*2))</f>
        <v/>
      </c>
      <c r="O589" s="8">
        <f>IF(OR(I589="",G589="",I589=0,G589=0),"",I589*2/G589)</f>
        <v/>
      </c>
      <c r="P589" s="7">
        <f>5*1.57</f>
        <v/>
      </c>
      <c r="Q589" s="6" t="n">
        <v>75.16</v>
      </c>
      <c r="R589" s="6" t="n">
        <v>24.133</v>
      </c>
      <c r="S589" s="6">
        <f>O589*1.067</f>
        <v/>
      </c>
      <c r="T589" s="6">
        <f>P589*1.514</f>
        <v/>
      </c>
      <c r="U589" s="23">
        <f>P589*1.514+O589*1.067</f>
        <v/>
      </c>
      <c r="V589" s="6">
        <f>32.2</f>
        <v/>
      </c>
      <c r="W589" s="59">
        <f>0.002*1.067</f>
        <v/>
      </c>
      <c r="X589" s="59">
        <f>0.845*1.514</f>
        <v/>
      </c>
      <c r="Y589" s="23">
        <f>U589*1.067+V589*1.514</f>
        <v/>
      </c>
      <c r="Z589" s="6" t="n">
        <v>0.3</v>
      </c>
      <c r="AA589" s="6" t="n">
        <v>0</v>
      </c>
      <c r="AB589" s="6" t="n">
        <v>50</v>
      </c>
      <c r="AC589" s="6" t="n">
        <v>-228</v>
      </c>
      <c r="AD589" s="5" t="n">
        <v>80</v>
      </c>
      <c r="AE589" s="7">
        <f>T589</f>
        <v/>
      </c>
      <c r="AF589" s="231">
        <f>29.2</f>
        <v/>
      </c>
      <c r="AG589" s="231">
        <f>5*0.283</f>
        <v/>
      </c>
      <c r="AH589" s="231" t="n">
        <v>0</v>
      </c>
      <c r="AI589" s="62" t="n">
        <v>5.29</v>
      </c>
      <c r="AL589" s="2">
        <f>("20:40"-"17:50")*1440</f>
        <v/>
      </c>
      <c r="AM589" s="3">
        <f>180+60</f>
        <v/>
      </c>
      <c r="AN589" s="4">
        <f>AE589</f>
        <v/>
      </c>
      <c r="AO589" s="231">
        <f>2*0.076</f>
        <v/>
      </c>
      <c r="AP589" s="3" t="n">
        <v>40</v>
      </c>
      <c r="AQ589" s="2" t="n">
        <v>2280.000000000018</v>
      </c>
      <c r="AR589" s="13">
        <f>AVERAGE(AO587:AO593)</f>
        <v/>
      </c>
      <c r="AT589" s="156">
        <f>(E589-W589)/E589</f>
        <v/>
      </c>
      <c r="AU589" s="155">
        <f>(I589-AF589)/I589</f>
        <v/>
      </c>
      <c r="AV589" s="155">
        <f>AG589/(AD589-AF589)</f>
        <v/>
      </c>
      <c r="AW589" s="61">
        <f>(G589-AM589)/G589</f>
        <v/>
      </c>
      <c r="AX589" s="254">
        <f>IF(AND(ISNUMBER(E589),ISNUMBER(W589)),E589-W589,"")</f>
        <v/>
      </c>
      <c r="AY589" s="254">
        <f>IF(AND(ISNUMBER(I589),ISNUMBER(AF589)),I589-AF589,"")</f>
        <v/>
      </c>
      <c r="AZ589" s="254">
        <f>IF(AND(ISNUMBER(AM589),ISNUMBER(G589)),G589-AM589,"")</f>
        <v/>
      </c>
      <c r="BA589" s="254">
        <f>IF(AND(ISNUMBER(AC589),ISNUMBER(AE589)),AC589-AE589,"")</f>
        <v/>
      </c>
      <c r="BB589" s="254">
        <f>IF(AND(ISNUMBER(AL589),ISNUMBER(AM589)),AL589-AM589,"")</f>
        <v/>
      </c>
      <c r="BC589" s="60">
        <f>IF(AND($E589&gt;0,$W589&gt;0),IF(($E589-$W589)/$E589&gt;0,($E589-$W589)/$E589,0),"")</f>
        <v/>
      </c>
      <c r="BD589" s="60">
        <f>IF(AND($I589&gt;0,$AF589&gt;=0),IF(($I589-$AF589)/$I589&gt;0,($I589-$AF589)/$I589,0),"")</f>
        <v/>
      </c>
      <c r="BE589" s="60">
        <f>IF(AND($AG589&gt;=0,$AD589&gt;=0,$AF589&gt;=0),IF($AG589/($AD589-$AF589)&gt;0,$AG589/($AD589-$AF589),0),"")</f>
        <v/>
      </c>
      <c r="BF589" s="60">
        <f>IF(AND($G589&gt;0,$AM589&gt;0),IF(($G589-$AM589)/$G589&gt;0,($G589-$AM589)/$G589,0),"")</f>
        <v/>
      </c>
      <c r="BG589" s="6">
        <f>IF((AD589-AF589)/(AJ589/60)&lt;=0,"",(AD589-AF589)/(AJ589/60))</f>
        <v/>
      </c>
      <c r="BH589" s="6">
        <f>IF(OR(AJ589=0,AP589=0,NOT(ISNUMBER(AD589)),NOT(ISNUMBER(AF589)),NOT(ISNUMBER(AJ589)),NOT(ISNUMBER(AP589))),"",
IFERROR(IF((AD589-AF589)/(AJ589/60)/(AP589/1000)&lt;=0,"",(AD589-AF589)/(AJ589/60)/(AP589/1000)),""))</f>
        <v/>
      </c>
    </row>
    <row r="590" ht="15.75" customHeight="1">
      <c r="A590" s="260" t="inlineStr">
        <is>
          <t>B77</t>
        </is>
      </c>
      <c r="B590" s="260" t="n">
        <v>346</v>
      </c>
      <c r="D590" s="63" t="n">
        <v>45850</v>
      </c>
      <c r="E590" s="231" t="n">
        <v>346</v>
      </c>
      <c r="F590" s="3" t="n">
        <v>585</v>
      </c>
      <c r="G590" s="205">
        <f>IF(OR(S590="",S590=0),"",S590*2)</f>
        <v/>
      </c>
      <c r="K590" s="15">
        <f>AD590</f>
        <v/>
      </c>
      <c r="M590" s="10">
        <f>IF(OR(E590="",G590="",E590=0,G590=0),"",E590/G590)</f>
        <v/>
      </c>
      <c r="N590" s="9">
        <f>IF(OR(E590="",I590="",E590=0,I590=0),"",E590/(I590*2))</f>
        <v/>
      </c>
      <c r="O590" s="8">
        <f>IF(OR(I590="",G590="",I590=0,G590=0),"",I590*2/G590)</f>
        <v/>
      </c>
      <c r="AD590" s="5" t="n">
        <v>80</v>
      </c>
      <c r="AF590" s="65">
        <f>29.2</f>
        <v/>
      </c>
      <c r="AH590" s="231" t="n">
        <v>0</v>
      </c>
      <c r="AI590" s="62" t="n">
        <v>4.69</v>
      </c>
      <c r="AL590" s="2">
        <f>("19:35"-"17:50")*1440</f>
        <v/>
      </c>
      <c r="AM590" s="3">
        <f>180+60</f>
        <v/>
      </c>
      <c r="AP590" s="3" t="n">
        <v>40</v>
      </c>
      <c r="AR590" s="13">
        <f>AVERAGE(AO588:AO594)</f>
        <v/>
      </c>
      <c r="AT590" s="156" t="n"/>
      <c r="AU590" s="155">
        <f>(I590-AF590)/I590</f>
        <v/>
      </c>
      <c r="AV590" s="155">
        <f>AG590/(AD590-AF590)</f>
        <v/>
      </c>
      <c r="AW590" s="61" t="n"/>
      <c r="AX590" s="254">
        <f>IF(AND(ISNUMBER(E590),ISNUMBER(W590)),E590-W590,"")</f>
        <v/>
      </c>
      <c r="AY590" s="254">
        <f>IF(AND(ISNUMBER(I590),ISNUMBER(AF590)),I590-AF590,"")</f>
        <v/>
      </c>
      <c r="AZ590" s="254">
        <f>IF(AND(ISNUMBER(AM590),ISNUMBER(G590)),G590-AM590,"")</f>
        <v/>
      </c>
      <c r="BA590" s="254">
        <f>IF(AND(ISNUMBER(AC590),ISNUMBER(AE590)),AC590-AE590,"")</f>
        <v/>
      </c>
      <c r="BB590" s="254">
        <f>IF(AND(ISNUMBER(AL590),ISNUMBER(AM590)),AL590-AM590,"")</f>
        <v/>
      </c>
      <c r="BC590" s="60">
        <f>IF(AND($E590&gt;0,$W590&gt;0),IF(($E590-$W590)/$E590&gt;0,($E590-$W590)/$E590,0),"")</f>
        <v/>
      </c>
      <c r="BD590" s="60">
        <f>IF(AND($I590&gt;0,$AF590&gt;=0),IF(($I590-$AF590)/$I590&gt;0,($I590-$AF590)/$I590,0),"")</f>
        <v/>
      </c>
      <c r="BE590" s="60">
        <f>IF(AND($AG590&gt;=0,$AD590&gt;=0,$AF590&gt;=0),IF($AG590/($AD590-$AF590)&gt;0,$AG590/($AD590-$AF590),0),"")</f>
        <v/>
      </c>
      <c r="BF590" s="60">
        <f>IF(AND($G590&gt;0,$AM590&gt;0),IF(($G590-$AM590)/$G590&gt;0,($G590-$AM590)/$G590,0),"")</f>
        <v/>
      </c>
      <c r="BG590" s="6">
        <f>IF((AD590-AF590)/(AJ590/60)&lt;=0,"",(AD590-AF590)/(AJ590/60))</f>
        <v/>
      </c>
      <c r="BH590" s="6">
        <f>IF(OR(AJ590=0,AP590=0,NOT(ISNUMBER(AD590)),NOT(ISNUMBER(AF590)),NOT(ISNUMBER(AJ590)),NOT(ISNUMBER(AP590))),"",
IFERROR(IF((AD590-AF590)/(AJ590/60)/(AP590/1000)&lt;=0,"",(AD590-AF590)/(AJ590/60)/(AP590/1000)),""))</f>
        <v/>
      </c>
    </row>
    <row r="591" ht="15.75" customHeight="1">
      <c r="B591" t="n">
        <v>347</v>
      </c>
      <c r="D591" s="63" t="n">
        <v>45851</v>
      </c>
      <c r="E591" s="231" t="n">
        <v>347</v>
      </c>
      <c r="F591" s="3" t="n">
        <v>586</v>
      </c>
      <c r="G591" s="205">
        <f>IF(OR(S591="",S591=0),"",S591*2)</f>
        <v/>
      </c>
      <c r="K591" s="15">
        <f>AD591</f>
        <v/>
      </c>
      <c r="M591" s="10">
        <f>IF(OR(E591="",G591="",E591=0,G591=0),"",E591/G591)</f>
        <v/>
      </c>
      <c r="N591" s="9">
        <f>IF(OR(E591="",I591="",E591=0,I591=0),"",E591/(I591*2))</f>
        <v/>
      </c>
      <c r="O591" s="8">
        <f>IF(OR(I591="",G591="",I591=0,G591=0),"",I591*2/G591)</f>
        <v/>
      </c>
      <c r="AD591" s="5" t="n">
        <v>80</v>
      </c>
      <c r="AF591" s="65">
        <f>29.2</f>
        <v/>
      </c>
      <c r="AH591" s="231" t="n">
        <v>0</v>
      </c>
      <c r="AI591" s="62" t="n">
        <v>4.38</v>
      </c>
      <c r="AL591" s="2">
        <f>("19:30"-"17:50")*1440</f>
        <v/>
      </c>
      <c r="AM591" s="3">
        <f>180+60</f>
        <v/>
      </c>
      <c r="AP591" s="3" t="n">
        <v>40</v>
      </c>
      <c r="AR591" s="13">
        <f>AVERAGE(AO589:AO595)</f>
        <v/>
      </c>
      <c r="AT591" s="156" t="n"/>
      <c r="AU591" s="155">
        <f>(I591-AF591)/I591</f>
        <v/>
      </c>
      <c r="AV591" s="155">
        <f>AG591/(AD591-AF591)</f>
        <v/>
      </c>
      <c r="AW591" s="61" t="n"/>
      <c r="AX591" s="254">
        <f>IF(AND(ISNUMBER(E591),ISNUMBER(W591)),E591-W591,"")</f>
        <v/>
      </c>
      <c r="AY591" s="254">
        <f>IF(AND(ISNUMBER(I591),ISNUMBER(AF591)),I591-AF591,"")</f>
        <v/>
      </c>
      <c r="AZ591" s="254">
        <f>IF(AND(ISNUMBER(AM591),ISNUMBER(G591)),G591-AM591,"")</f>
        <v/>
      </c>
      <c r="BA591" s="254">
        <f>IF(AND(ISNUMBER(AC591),ISNUMBER(AE591)),AC591-AE591,"")</f>
        <v/>
      </c>
      <c r="BB591" s="254">
        <f>IF(AND(ISNUMBER(AL591),ISNUMBER(AM591)),AL591-AM591,"")</f>
        <v/>
      </c>
      <c r="BC591" s="60">
        <f>IF(AND($E591&gt;0,$W591&gt;0),IF(($E591-$W591)/$E591&gt;0,($E591-$W591)/$E591,0),"")</f>
        <v/>
      </c>
      <c r="BD591" s="60">
        <f>IF(AND($I591&gt;0,$AF591&gt;=0),IF(($I591-$AF591)/$I591&gt;0,($I591-$AF591)/$I591,0),"")</f>
        <v/>
      </c>
      <c r="BE591" s="60">
        <f>IF(AND($AG591&gt;=0,$AD591&gt;=0,$AF591&gt;=0),IF($AG591/($AD591-$AF591)&gt;0,$AG591/($AD591-$AF591),0),"")</f>
        <v/>
      </c>
      <c r="BF591" s="60">
        <f>IF(AND($G591&gt;0,$AM591&gt;0),IF(($G591-$AM591)/$G591&gt;0,($G591-$AM591)/$G591,0),"")</f>
        <v/>
      </c>
      <c r="BG591" s="6">
        <f>IF((AD591-AF591)/(AJ591/60)&lt;=0,"",(AD591-AF591)/(AJ591/60))</f>
        <v/>
      </c>
      <c r="BH591" s="6">
        <f>IF(OR(AJ591=0,AP591=0,NOT(ISNUMBER(AD591)),NOT(ISNUMBER(AF591)),NOT(ISNUMBER(AJ591)),NOT(ISNUMBER(AP591))),"",
IFERROR(IF((AD591-AF591)/(AJ591/60)/(AP591/1000)&lt;=0,"",(AD591-AF591)/(AJ591/60)/(AP591/1000)),""))</f>
        <v/>
      </c>
    </row>
    <row r="592" ht="15.75" customHeight="1">
      <c r="B592" t="n">
        <v>348</v>
      </c>
      <c r="D592" s="63" t="n">
        <v>45852</v>
      </c>
      <c r="E592" s="231" t="n">
        <v>348</v>
      </c>
      <c r="F592" s="3" t="n">
        <v>587</v>
      </c>
      <c r="G592" s="205">
        <f>IF(OR(S592="",S592=0),"",S592*2)</f>
        <v/>
      </c>
      <c r="I592" s="15">
        <f>(N592*18-H592*18)/9</f>
        <v/>
      </c>
      <c r="J592" s="9">
        <f>2*4.4</f>
        <v/>
      </c>
      <c r="K592" s="15">
        <f>AD592</f>
        <v/>
      </c>
      <c r="M592" s="10">
        <f>IF(OR(E592="",G592="",E592=0,G592=0),"",E592/G592)</f>
        <v/>
      </c>
      <c r="N592" s="9">
        <f>IF(OR(E592="",I592="",E592=0,I592=0),"",E592/(I592*2))</f>
        <v/>
      </c>
      <c r="O592" s="8">
        <f>IF(OR(I592="",G592="",I592=0,G592=0),"",I592*2/G592)</f>
        <v/>
      </c>
      <c r="P592" s="7">
        <f>5*3.61</f>
        <v/>
      </c>
      <c r="Q592" s="6" t="n">
        <v>54.886</v>
      </c>
      <c r="R592" s="6" t="n">
        <v>22.305</v>
      </c>
      <c r="V592" s="6">
        <f>51</f>
        <v/>
      </c>
      <c r="AD592" s="5" t="n">
        <v>80</v>
      </c>
      <c r="AE592" s="4" t="n">
        <v>51</v>
      </c>
      <c r="AF592" s="231" t="n">
        <v>29.5</v>
      </c>
      <c r="AG592" s="231">
        <f>5*3.5</f>
        <v/>
      </c>
      <c r="AH592" s="231" t="n">
        <v>0</v>
      </c>
      <c r="AI592" s="62" t="n">
        <v>5.88</v>
      </c>
      <c r="AL592" s="2">
        <f>("19:20"-"17:50")*1440</f>
        <v/>
      </c>
      <c r="AM592" s="3">
        <f>180+60</f>
        <v/>
      </c>
      <c r="AN592" s="4">
        <f>AE592</f>
        <v/>
      </c>
      <c r="AO592" s="231">
        <f>5*3.01</f>
        <v/>
      </c>
      <c r="AP592" s="3" t="n">
        <v>40</v>
      </c>
      <c r="AR592" s="13">
        <f>AVERAGE(AO590:AO596)</f>
        <v/>
      </c>
      <c r="AT592" s="156" t="n"/>
      <c r="AU592" s="155">
        <f>(I592-AF592)/I592</f>
        <v/>
      </c>
      <c r="AV592" s="155">
        <f>AG592/(AD592-AF592)</f>
        <v/>
      </c>
      <c r="AW592" s="61">
        <f>(G592-AM592)/G592</f>
        <v/>
      </c>
      <c r="AX592" s="254">
        <f>IF(AND(ISNUMBER(E592),ISNUMBER(W592)),E592-W592,"")</f>
        <v/>
      </c>
      <c r="AY592" s="254">
        <f>IF(AND(ISNUMBER(I592),ISNUMBER(AF592)),I592-AF592,"")</f>
        <v/>
      </c>
      <c r="AZ592" s="254">
        <f>IF(AND(ISNUMBER(AM592),ISNUMBER(G592)),G592-AM592,"")</f>
        <v/>
      </c>
      <c r="BA592" s="254">
        <f>IF(AND(ISNUMBER(AC592),ISNUMBER(AE592)),AC592-AE592,"")</f>
        <v/>
      </c>
      <c r="BB592" s="254">
        <f>IF(AND(ISNUMBER(AL592),ISNUMBER(AM592)),AL592-AM592,"")</f>
        <v/>
      </c>
      <c r="BC592" s="60">
        <f>IF(AND($E592&gt;0,$W592&gt;0),IF(($E592-$W592)/$E592&gt;0,($E592-$W592)/$E592,0),"")</f>
        <v/>
      </c>
      <c r="BD592" s="60">
        <f>IF(AND($I592&gt;0,$AF592&gt;=0),IF(($I592-$AF592)/$I592&gt;0,($I592-$AF592)/$I592,0),"")</f>
        <v/>
      </c>
      <c r="BE592" s="60">
        <f>IF(AND($AG592&gt;=0,$AD592&gt;=0,$AF592&gt;=0),IF($AG592/($AD592-$AF592)&gt;0,$AG592/($AD592-$AF592),0),"")</f>
        <v/>
      </c>
      <c r="BF592" s="60" t="n"/>
      <c r="BG592" s="6">
        <f>IF((AD592-AF592)/(AJ592/60)&lt;=0,"",(AD592-AF592)/(AJ592/60))</f>
        <v/>
      </c>
      <c r="BH592" s="6">
        <f>IF(OR(AJ592=0,AP592=0,NOT(ISNUMBER(AD592)),NOT(ISNUMBER(AF592)),NOT(ISNUMBER(AJ592)),NOT(ISNUMBER(AP592))),"",
IFERROR(IF((AD592-AF592)/(AJ592/60)/(AP592/1000)&lt;=0,"",(AD592-AF592)/(AJ592/60)/(AP592/1000)),""))</f>
        <v/>
      </c>
    </row>
    <row r="593" ht="15.75" customHeight="1">
      <c r="B593" t="n">
        <v>349</v>
      </c>
      <c r="D593" s="63" t="n">
        <v>45853</v>
      </c>
      <c r="E593" s="231" t="n">
        <v>349</v>
      </c>
      <c r="F593" s="3" t="n">
        <v>588</v>
      </c>
      <c r="G593" s="205">
        <f>IF(OR(S593="",S593=0),"",S593*2)</f>
        <v/>
      </c>
      <c r="K593" s="15">
        <f>AD593</f>
        <v/>
      </c>
      <c r="M593" s="10">
        <f>IF(OR(E593="",G593="",E593=0,G593=0),"",E593/G593)</f>
        <v/>
      </c>
      <c r="N593" s="9">
        <f>IF(OR(E593="",I593="",E593=0,I593=0),"",E593/(I593*2))</f>
        <v/>
      </c>
      <c r="O593" s="8">
        <f>IF(OR(I593="",G593="",I593=0,G593=0),"",I593*2/G593)</f>
        <v/>
      </c>
      <c r="AD593" s="5" t="n">
        <v>80</v>
      </c>
      <c r="AF593" s="65" t="n">
        <v>29.75</v>
      </c>
      <c r="AH593" s="231" t="n">
        <v>0</v>
      </c>
      <c r="AI593" s="62" t="n">
        <v>7.09</v>
      </c>
      <c r="AL593" s="2">
        <f>("19:45"-"17:50")*1440</f>
        <v/>
      </c>
      <c r="AM593" s="3">
        <f>180+60</f>
        <v/>
      </c>
      <c r="AP593" s="3" t="n">
        <v>40</v>
      </c>
      <c r="AR593" s="13">
        <f>AVERAGE(AO591:AO597)</f>
        <v/>
      </c>
      <c r="AT593" s="156" t="n"/>
      <c r="AU593" s="155">
        <f>(I593-AF593)/I593</f>
        <v/>
      </c>
      <c r="AV593" s="155">
        <f>AG593/(AD593-AF593)</f>
        <v/>
      </c>
      <c r="AW593" s="61" t="n"/>
      <c r="AX593" s="254">
        <f>IF(AND(ISNUMBER(E593),ISNUMBER(W593)),E593-W593,"")</f>
        <v/>
      </c>
      <c r="AY593" s="254">
        <f>IF(AND(ISNUMBER(I593),ISNUMBER(AF593)),I593-AF593,"")</f>
        <v/>
      </c>
      <c r="AZ593" s="254">
        <f>IF(AND(ISNUMBER(AM593),ISNUMBER(G593)),G593-AM593,"")</f>
        <v/>
      </c>
      <c r="BA593" s="254">
        <f>IF(AND(ISNUMBER(AC593),ISNUMBER(AE593)),AC593-AE593,"")</f>
        <v/>
      </c>
      <c r="BB593" s="254">
        <f>IF(AND(ISNUMBER(AL593),ISNUMBER(AM593)),AL593-AM593,"")</f>
        <v/>
      </c>
      <c r="BC593" s="60">
        <f>IF(AND($E593&gt;0,$W593&gt;0),IF(($E593-$W593)/$E593&gt;0,($E593-$W593)/$E593,0),"")</f>
        <v/>
      </c>
      <c r="BD593" s="60">
        <f>IF(AND($I593&gt;0,$AF593&gt;=0),IF(($I593-$AF593)/$I593&gt;0,($I593-$AF593)/$I593,0),"")</f>
        <v/>
      </c>
      <c r="BE593" s="60">
        <f>IF(AND($AG593&gt;=0,$AD593&gt;=0,$AF593&gt;=0),IF($AG593/($AD593-$AF593)&gt;0,$AG593/($AD593-$AF593),0),"")</f>
        <v/>
      </c>
      <c r="BF593" s="60">
        <f>IF(AND($G593&gt;0,$AM593&gt;0),IF(($G593-$AM593)/$G593&gt;0,($G593-$AM593)/$G593,0),"")</f>
        <v/>
      </c>
      <c r="BG593" s="6">
        <f>IF((AD593-AF593)/(AJ593/60)&lt;=0,"",(AD593-AF593)/(AJ593/60))</f>
        <v/>
      </c>
      <c r="BH593" s="6">
        <f>IF(OR(AJ593=0,AP593=0,NOT(ISNUMBER(AD593)),NOT(ISNUMBER(AF593)),NOT(ISNUMBER(AJ593)),NOT(ISNUMBER(AP593))),"",
IFERROR(IF((AD593-AF593)/(AJ593/60)/(AP593/1000)&lt;=0,"",(AD593-AF593)/(AJ593/60)/(AP593/1000)),""))</f>
        <v/>
      </c>
    </row>
    <row r="594" ht="15.75" customHeight="1">
      <c r="B594" t="n">
        <v>350</v>
      </c>
      <c r="D594" s="63" t="n">
        <v>45854</v>
      </c>
      <c r="E594" s="231" t="n">
        <v>350</v>
      </c>
      <c r="F594" s="3" t="n">
        <v>589</v>
      </c>
      <c r="G594" s="205">
        <f>IF(OR(S594="",S594=0),"",S594*2)</f>
        <v/>
      </c>
      <c r="K594" s="15">
        <f>AD594</f>
        <v/>
      </c>
      <c r="M594" s="10">
        <f>IF(OR(E594="",G594="",E594=0,G594=0),"",E594/G594)</f>
        <v/>
      </c>
      <c r="N594" s="9">
        <f>IF(OR(E594="",I594="",E594=0,I594=0),"",E594/(I594*2))</f>
        <v/>
      </c>
      <c r="O594" s="8">
        <f>IF(OR(I594="",G594="",I594=0,G594=0),"",I594*2/G594)</f>
        <v/>
      </c>
      <c r="AD594" s="5" t="n">
        <v>80</v>
      </c>
      <c r="AE594" s="4" t="n">
        <v>41.4</v>
      </c>
      <c r="AF594" s="65">
        <f>30</f>
        <v/>
      </c>
      <c r="AG594" s="231">
        <f>5*2.01</f>
        <v/>
      </c>
      <c r="AH594" s="231" t="n">
        <v>0</v>
      </c>
      <c r="AI594" s="62" t="n">
        <v>6.01</v>
      </c>
      <c r="AL594" s="2">
        <f>("19:35"-"17:50")*1440</f>
        <v/>
      </c>
      <c r="AM594" s="3">
        <f>180+60</f>
        <v/>
      </c>
      <c r="AN594" s="4">
        <f>AE594</f>
        <v/>
      </c>
      <c r="AO594" s="231">
        <f>5*1.82</f>
        <v/>
      </c>
      <c r="AP594" s="3" t="n">
        <v>40</v>
      </c>
      <c r="AR594" s="13">
        <f>AVERAGE(AO592:AO598)</f>
        <v/>
      </c>
      <c r="AT594" s="156" t="n"/>
      <c r="AU594" s="155">
        <f>(I594-AF594)/I594</f>
        <v/>
      </c>
      <c r="AV594" s="155">
        <f>AG594/(AD594-AF594)</f>
        <v/>
      </c>
      <c r="AW594" s="61" t="n"/>
      <c r="AX594" s="254">
        <f>IF(AND(ISNUMBER(E594),ISNUMBER(W594)),E594-W594,"")</f>
        <v/>
      </c>
      <c r="AY594" s="254">
        <f>IF(AND(ISNUMBER(I594),ISNUMBER(AF594)),I594-AF594,"")</f>
        <v/>
      </c>
      <c r="AZ594" s="254">
        <f>IF(AND(ISNUMBER(AM594),ISNUMBER(G594)),G594-AM594,"")</f>
        <v/>
      </c>
      <c r="BA594" s="254">
        <f>IF(AND(ISNUMBER(AC594),ISNUMBER(AE594)),AC594-AE594,"")</f>
        <v/>
      </c>
      <c r="BB594" s="254">
        <f>IF(AND(ISNUMBER(AL594),ISNUMBER(AM594)),AL594-AM594,"")</f>
        <v/>
      </c>
      <c r="BC594" s="60">
        <f>IF(AND($E594&gt;0,$W594&gt;0),IF(($E594-$W594)/$E594&gt;0,($E594-$W594)/$E594,0),"")</f>
        <v/>
      </c>
      <c r="BD594" s="60">
        <f>IF(AND($I594&gt;0,$AF594&gt;=0),IF(($I594-$AF594)/$I594&gt;0,($I594-$AF594)/$I594,0),"")</f>
        <v/>
      </c>
      <c r="BE594" s="60">
        <f>IF(AND($AG594&gt;=0,$AD594&gt;=0,$AF594&gt;=0),IF($AG594/($AD594-$AF594)&gt;0,$AG594/($AD594-$AF594),0),"")</f>
        <v/>
      </c>
      <c r="BF594" s="60">
        <f>IF(AND($G594&gt;0,$AM594&gt;0),IF(($G594-$AM594)/$G594&gt;0,($G594-$AM594)/$G594,0),"")</f>
        <v/>
      </c>
      <c r="BG594" s="6">
        <f>IF((AD594-AF594)/(AJ594/60)&lt;=0,"",(AD594-AF594)/(AJ594/60))</f>
        <v/>
      </c>
      <c r="BH594" s="6">
        <f>IF(OR(AJ594=0,AP594=0,NOT(ISNUMBER(AD594)),NOT(ISNUMBER(AF594)),NOT(ISNUMBER(AJ594)),NOT(ISNUMBER(AP594))),"",
IFERROR(IF((AD594-AF594)/(AJ594/60)/(AP594/1000)&lt;=0,"",(AD594-AF594)/(AJ594/60)/(AP594/1000)),""))</f>
        <v/>
      </c>
    </row>
    <row r="595" ht="15.75" customHeight="1">
      <c r="B595" t="n">
        <v>351</v>
      </c>
      <c r="C595" s="12" t="inlineStr">
        <is>
          <t>nitriteace</t>
        </is>
      </c>
      <c r="D595" s="66" t="n">
        <v>45855</v>
      </c>
      <c r="E595" s="231" t="n">
        <v>351</v>
      </c>
      <c r="F595" s="3" t="n">
        <v>590</v>
      </c>
      <c r="G595" s="205">
        <f>IF(OR(S595="",S595=0),"",S595*2)</f>
        <v/>
      </c>
      <c r="K595" s="15">
        <f>AD595</f>
        <v/>
      </c>
      <c r="M595" s="10">
        <f>IF(OR(E595="",G595="",E595=0,G595=0),"",E595/G595)</f>
        <v/>
      </c>
      <c r="N595" s="9">
        <f>IF(OR(E595="",I595="",E595=0,I595=0),"",E595/(I595*2))</f>
        <v/>
      </c>
      <c r="O595" s="8">
        <f>IF(OR(I595="",G595="",I595=0,G595=0),"",I595*2/G595)</f>
        <v/>
      </c>
      <c r="AD595" s="5" t="n">
        <v>80</v>
      </c>
      <c r="AF595" s="65">
        <f>30</f>
        <v/>
      </c>
      <c r="AH595" s="231" t="n">
        <v>0</v>
      </c>
      <c r="AI595" s="62" t="n">
        <v>8.58</v>
      </c>
      <c r="AL595" s="2">
        <f>("19:50"-"17:50")*1440</f>
        <v/>
      </c>
      <c r="AM595" s="3">
        <f>180+60</f>
        <v/>
      </c>
      <c r="AP595" s="3" t="n">
        <v>40</v>
      </c>
      <c r="AQ595" s="2" t="n">
        <v>2979.999999999973</v>
      </c>
      <c r="AR595" s="13">
        <f>AVERAGE(AO593:AO599)</f>
        <v/>
      </c>
      <c r="AT595" s="156" t="n"/>
      <c r="AU595" s="155">
        <f>(I595-AF595)/I595</f>
        <v/>
      </c>
      <c r="AV595" s="155">
        <f>AG595/(AD595-AF595)</f>
        <v/>
      </c>
      <c r="AW595" s="61" t="n"/>
      <c r="AX595" s="254">
        <f>IF(AND(ISNUMBER(E595),ISNUMBER(W595)),E595-W595,"")</f>
        <v/>
      </c>
      <c r="AY595" s="254">
        <f>IF(AND(ISNUMBER(I595),ISNUMBER(AF595)),I595-AF595,"")</f>
        <v/>
      </c>
      <c r="AZ595" s="254">
        <f>IF(AND(ISNUMBER(AM595),ISNUMBER(G595)),G595-AM595,"")</f>
        <v/>
      </c>
      <c r="BA595" s="254">
        <f>IF(AND(ISNUMBER(AC595),ISNUMBER(AE595)),AC595-AE595,"")</f>
        <v/>
      </c>
      <c r="BB595" s="254">
        <f>IF(AND(ISNUMBER(AL595),ISNUMBER(AM595)),AL595-AM595,"")</f>
        <v/>
      </c>
      <c r="BC595" s="60" t="n">
        <v>1</v>
      </c>
      <c r="BD595" s="60">
        <f>IF(AND($I595&gt;0,$AF595&gt;=0),IF(($I595-$AF595)/$I595&gt;0,($I595-$AF595)/$I595,0),"")</f>
        <v/>
      </c>
      <c r="BE595" s="60">
        <f>IF(AND($AG595&gt;=0,$AD595&gt;=0,$AF595&gt;=0),IF($AG595/($AD595-$AF595)&gt;0,$AG595/($AD595-$AF595),0),"")</f>
        <v/>
      </c>
      <c r="BF595" s="60">
        <f>IF(AND($G595&gt;0,$AM595&gt;0),IF(($G595-$AM595)/$G595&gt;0,($G595-$AM595)/$G595,0),"")</f>
        <v/>
      </c>
      <c r="BG595" s="6">
        <f>IF((AD595-AF595)/(AJ595/60)&lt;=0,"",(AD595-AF595)/(AJ595/60))</f>
        <v/>
      </c>
      <c r="BH595" s="6">
        <f>IF(OR(AJ595=0,AP595=0,NOT(ISNUMBER(AD595)),NOT(ISNUMBER(AF595)),NOT(ISNUMBER(AJ595)),NOT(ISNUMBER(AP595))),"",
IFERROR(IF((AD595-AF595)/(AJ595/60)/(AP595/1000)&lt;=0,"",(AD595-AF595)/(AJ595/60)/(AP595/1000)),""))</f>
        <v/>
      </c>
    </row>
    <row r="596" ht="15.75" customHeight="1">
      <c r="B596" t="n">
        <v>352</v>
      </c>
      <c r="C596" s="12" t="inlineStr">
        <is>
          <t>nitrite pro</t>
        </is>
      </c>
      <c r="D596" s="63" t="n">
        <v>45856</v>
      </c>
      <c r="E596" s="231" t="n">
        <v>352</v>
      </c>
      <c r="F596" s="3" t="n">
        <v>591</v>
      </c>
      <c r="G596" s="205">
        <f>IF(OR(S596="",S596=0),"",S596*2)</f>
        <v/>
      </c>
      <c r="K596" s="15">
        <f>AD596</f>
        <v/>
      </c>
      <c r="M596" s="10">
        <f>IF(OR(E596="",G596="",E596=0,G596=0),"",E596/G596)</f>
        <v/>
      </c>
      <c r="N596" s="9">
        <f>IF(OR(E596="",I596="",E596=0,I596=0),"",E596/(I596*2))</f>
        <v/>
      </c>
      <c r="O596" s="8">
        <f>IF(OR(I596="",G596="",I596=0,G596=0),"",I596*2/G596)</f>
        <v/>
      </c>
      <c r="AD596" s="5" t="n">
        <v>80</v>
      </c>
      <c r="AF596" s="65">
        <f>30</f>
        <v/>
      </c>
      <c r="AH596" s="231" t="n">
        <v>0</v>
      </c>
      <c r="AI596" s="62" t="n">
        <v>10.04</v>
      </c>
      <c r="AL596" s="2">
        <f>("19:55"-"17:50")*1440</f>
        <v/>
      </c>
      <c r="AM596" s="3">
        <f>180+60</f>
        <v/>
      </c>
      <c r="AP596" s="3" t="n">
        <v>40</v>
      </c>
      <c r="AQ596" s="2" t="n">
        <v>2969.999999999982</v>
      </c>
      <c r="AR596" s="13">
        <f>AVERAGE(AO594:AO600)</f>
        <v/>
      </c>
      <c r="AT596" s="156" t="n"/>
      <c r="AU596" s="155">
        <f>(I596-AF596)/I596</f>
        <v/>
      </c>
      <c r="AV596" s="155">
        <f>AG596/(AD596-AF596)</f>
        <v/>
      </c>
      <c r="AW596" s="61" t="n"/>
      <c r="AX596" s="254">
        <f>IF(AND(ISNUMBER(E596),ISNUMBER(W596)),E596-W596,"")</f>
        <v/>
      </c>
      <c r="AY596" s="254">
        <f>IF(AND(ISNUMBER(I596),ISNUMBER(AF596)),I596-AF596,"")</f>
        <v/>
      </c>
      <c r="AZ596" s="254">
        <f>IF(AND(ISNUMBER(AM596),ISNUMBER(G596)),G596-AM596,"")</f>
        <v/>
      </c>
      <c r="BA596" s="254">
        <f>IF(AND(ISNUMBER(AC596),ISNUMBER(AE596)),AC596-AE596,"")</f>
        <v/>
      </c>
      <c r="BB596" s="254">
        <f>IF(AND(ISNUMBER(AL596),ISNUMBER(AM596)),AL596-AM596,"")</f>
        <v/>
      </c>
      <c r="BC596" s="60" t="n">
        <v>1</v>
      </c>
      <c r="BD596" s="60">
        <f>IF(AND($I596&gt;0,$AF596&gt;=0),IF(($I596-$AF596)/$I596&gt;0,($I596-$AF596)/$I596,0),"")</f>
        <v/>
      </c>
      <c r="BE596" s="60">
        <f>IF(AND($AG596&gt;=0,$AD596&gt;=0,$AF596&gt;=0),IF($AG596/($AD596-$AF596)&gt;0,$AG596/($AD596-$AF596),0),"")</f>
        <v/>
      </c>
      <c r="BF596" s="60">
        <f>IF(AND($G596&gt;0,$AM596&gt;0),IF(($G596-$AM596)/$G596&gt;0,($G596-$AM596)/$G596,0),"")</f>
        <v/>
      </c>
      <c r="BG596" s="6">
        <f>IF((AD596-AF596)/(AJ596/60)&lt;=0,"",(AD596-AF596)/(AJ596/60))</f>
        <v/>
      </c>
      <c r="BH596" s="6">
        <f>IF(OR(AJ596=0,AP596=0,NOT(ISNUMBER(AD596)),NOT(ISNUMBER(AF596)),NOT(ISNUMBER(AJ596)),NOT(ISNUMBER(AP596))),"",
IFERROR(IF((AD596-AF596)/(AJ596/60)/(AP596/1000)&lt;=0,"",(AD596-AF596)/(AJ596/60)/(AP596/1000)),""))</f>
        <v/>
      </c>
    </row>
    <row r="597" ht="15.75" customHeight="1">
      <c r="A597" s="260" t="inlineStr">
        <is>
          <t>B78</t>
        </is>
      </c>
      <c r="B597" s="260" t="n">
        <v>353</v>
      </c>
      <c r="D597" s="63" t="n">
        <v>45857</v>
      </c>
      <c r="E597" s="231" t="n">
        <v>353</v>
      </c>
      <c r="F597" s="3" t="n">
        <v>592</v>
      </c>
      <c r="G597" s="205">
        <f>IF(OR(S597="",S597=0),"",S597*2)</f>
        <v/>
      </c>
      <c r="K597" s="15">
        <f>AD597</f>
        <v/>
      </c>
      <c r="M597" s="10">
        <f>IF(OR(E597="",G597="",E597=0,G597=0),"",E597/G597)</f>
        <v/>
      </c>
      <c r="N597" s="9">
        <f>IF(OR(E597="",I597="",E597=0,I597=0),"",E597/(I597*2))</f>
        <v/>
      </c>
      <c r="O597" s="8">
        <f>IF(OR(I597="",G597="",I597=0,G597=0),"",I597*2/G597)</f>
        <v/>
      </c>
      <c r="AD597" s="5" t="n">
        <v>80</v>
      </c>
      <c r="AF597" s="65">
        <f>30</f>
        <v/>
      </c>
      <c r="AH597" s="231" t="n">
        <v>0</v>
      </c>
      <c r="AI597" s="62" t="n">
        <v>8.390000000000001</v>
      </c>
      <c r="AL597" s="2">
        <f>("19:50"-"17:50")*1440</f>
        <v/>
      </c>
      <c r="AM597" s="3">
        <f>180+60</f>
        <v/>
      </c>
      <c r="AP597" s="3" t="n">
        <v>40</v>
      </c>
      <c r="AR597" s="13">
        <f>AVERAGE(AO595:AO601)</f>
        <v/>
      </c>
      <c r="AT597" s="156" t="n"/>
      <c r="AU597" s="155">
        <f>(I597-AF597)/I597</f>
        <v/>
      </c>
      <c r="AV597" s="155">
        <f>AG597/(AD597-AF597)</f>
        <v/>
      </c>
      <c r="AW597" s="61" t="n"/>
      <c r="AX597" s="254">
        <f>IF(AND(ISNUMBER(E597),ISNUMBER(W597)),E597-W597,"")</f>
        <v/>
      </c>
      <c r="AY597" s="254">
        <f>IF(AND(ISNUMBER(I597),ISNUMBER(AF597)),I597-AF597,"")</f>
        <v/>
      </c>
      <c r="AZ597" s="254">
        <f>IF(AND(ISNUMBER(AM597),ISNUMBER(G597)),G597-AM597,"")</f>
        <v/>
      </c>
      <c r="BA597" s="254">
        <f>IF(AND(ISNUMBER(AC597),ISNUMBER(AE597)),AC597-AE597,"")</f>
        <v/>
      </c>
      <c r="BB597" s="254">
        <f>IF(AND(ISNUMBER(AL597),ISNUMBER(AM597)),AL597-AM597,"")</f>
        <v/>
      </c>
      <c r="BC597" s="60">
        <f>IF(AND($E597&gt;0,$W597&gt;0),IF(($E597-$W597)/$E597&gt;0,($E597-$W597)/$E597,0),"")</f>
        <v/>
      </c>
      <c r="BD597" s="60">
        <f>IF(AND($I597&gt;0,$AF597&gt;=0),IF(($I597-$AF597)/$I597&gt;0,($I597-$AF597)/$I597,0),"")</f>
        <v/>
      </c>
      <c r="BE597" s="60">
        <f>IF(AND($AG597&gt;=0,$AD597&gt;=0,$AF597&gt;=0),IF($AG597/($AD597-$AF597)&gt;0,$AG597/($AD597-$AF597),0),"")</f>
        <v/>
      </c>
      <c r="BF597" s="60">
        <f>IF(AND($G597&gt;0,$AM597&gt;0),IF(($G597-$AM597)/$G597&gt;0,($G597-$AM597)/$G597,0),"")</f>
        <v/>
      </c>
      <c r="BG597" s="6">
        <f>IF((AD597-AF597)/(AJ597/60)&lt;=0,"",(AD597-AF597)/(AJ597/60))</f>
        <v/>
      </c>
      <c r="BH597" s="6">
        <f>IF(OR(AJ597=0,AP597=0,NOT(ISNUMBER(AD597)),NOT(ISNUMBER(AF597)),NOT(ISNUMBER(AJ597)),NOT(ISNUMBER(AP597))),"",
IFERROR(IF((AD597-AF597)/(AJ597/60)/(AP597/1000)&lt;=0,"",(AD597-AF597)/(AJ597/60)/(AP597/1000)),""))</f>
        <v/>
      </c>
    </row>
    <row r="598" ht="15.75" customHeight="1">
      <c r="B598" t="n">
        <v>354</v>
      </c>
      <c r="D598" s="63" t="n">
        <v>45858</v>
      </c>
      <c r="E598" s="231" t="n">
        <v>354</v>
      </c>
      <c r="F598" s="3" t="n">
        <v>593</v>
      </c>
      <c r="G598" s="205">
        <f>IF(OR(S598="",S598=0),"",S598*2)</f>
        <v/>
      </c>
      <c r="I598" s="58" t="n"/>
      <c r="K598" s="15">
        <f>AD598</f>
        <v/>
      </c>
      <c r="M598" s="10">
        <f>IF(OR(E598="",G598="",E598=0,G598=0),"",E598/G598)</f>
        <v/>
      </c>
      <c r="N598" s="9">
        <f>IF(OR(E598="",I598="",E598=0,I598=0),"",E598/(I598*2))</f>
        <v/>
      </c>
      <c r="O598" s="8">
        <f>IF(OR(I598="",G598="",I598=0,G598=0),"",I598*2/G598)</f>
        <v/>
      </c>
      <c r="AD598" s="5" t="n">
        <v>80</v>
      </c>
      <c r="AF598" s="65">
        <f>30</f>
        <v/>
      </c>
      <c r="AH598" s="231" t="n">
        <v>0</v>
      </c>
      <c r="AI598" s="62" t="n">
        <v>8.82</v>
      </c>
      <c r="AL598" s="2">
        <f>("19:50"-"17:50")*1440</f>
        <v/>
      </c>
      <c r="AM598" s="3">
        <f>180+60</f>
        <v/>
      </c>
      <c r="AP598" s="3" t="n">
        <v>40</v>
      </c>
      <c r="AR598" s="13">
        <f>AVERAGE(AO596:AO602)</f>
        <v/>
      </c>
      <c r="AT598" s="156" t="n"/>
      <c r="AU598" s="155">
        <f>(I598-AF598)/I598</f>
        <v/>
      </c>
      <c r="AV598" s="155">
        <f>AG598/(AD598-AF598)</f>
        <v/>
      </c>
      <c r="AW598" s="61" t="n"/>
      <c r="AX598" s="254">
        <f>IF(AND(ISNUMBER(E598),ISNUMBER(W598)),E598-W598,"")</f>
        <v/>
      </c>
      <c r="AY598" s="254">
        <f>IF(AND(ISNUMBER(I598),ISNUMBER(AF598)),I598-AF598,"")</f>
        <v/>
      </c>
      <c r="AZ598" s="254">
        <f>IF(AND(ISNUMBER(AM598),ISNUMBER(G598)),G598-AM598,"")</f>
        <v/>
      </c>
      <c r="BA598" s="254">
        <f>IF(AND(ISNUMBER(AC598),ISNUMBER(AE598)),AC598-AE598,"")</f>
        <v/>
      </c>
      <c r="BB598" s="254">
        <f>IF(AND(ISNUMBER(AL598),ISNUMBER(AM598)),AL598-AM598,"")</f>
        <v/>
      </c>
      <c r="BC598" s="60">
        <f>IF(AND($E598&gt;0,$W598&gt;0),IF(($E598-$W598)/$E598&gt;0,($E598-$W598)/$E598,0),"")</f>
        <v/>
      </c>
      <c r="BD598" s="60">
        <f>IF(AND($I598&gt;0,$AF598&gt;=0),IF(($I598-$AF598)/$I598&gt;0,($I598-$AF598)/$I598,0),"")</f>
        <v/>
      </c>
      <c r="BE598" s="60">
        <f>IF(AND($AG598&gt;=0,$AD598&gt;=0,$AF598&gt;=0),IF($AG598/($AD598-$AF598)&gt;0,$AG598/($AD598-$AF598),0),"")</f>
        <v/>
      </c>
      <c r="BF598" s="60">
        <f>IF(AND($G598&gt;0,$AM598&gt;0),IF(($G598-$AM598)/$G598&gt;0,($G598-$AM598)/$G598,0),"")</f>
        <v/>
      </c>
      <c r="BG598" s="6">
        <f>IF((AD598-AF598)/(AJ598/60)&lt;=0,"",(AD598-AF598)/(AJ598/60))</f>
        <v/>
      </c>
      <c r="BH598" s="6">
        <f>IF(OR(AJ598=0,AP598=0,NOT(ISNUMBER(AD598)),NOT(ISNUMBER(AF598)),NOT(ISNUMBER(AJ598)),NOT(ISNUMBER(AP598))),"",
IFERROR(IF((AD598-AF598)/(AJ598/60)/(AP598/1000)&lt;=0,"",(AD598-AF598)/(AJ598/60)/(AP598/1000)),""))</f>
        <v/>
      </c>
    </row>
    <row r="599" ht="15.75" customHeight="1">
      <c r="B599" t="n">
        <v>355</v>
      </c>
      <c r="D599" s="63" t="n">
        <v>45859</v>
      </c>
      <c r="E599" s="231" t="n">
        <v>355</v>
      </c>
      <c r="F599" s="3" t="n">
        <v>594</v>
      </c>
      <c r="G599" s="205">
        <f>IF(OR(S599="",S599=0),"",S599*2)</f>
        <v/>
      </c>
      <c r="I599" s="58" t="n">
        <v>15.7</v>
      </c>
      <c r="K599" s="15">
        <f>AD599</f>
        <v/>
      </c>
      <c r="M599" s="10">
        <f>IF(OR(E599="",G599="",E599=0,G599=0),"",E599/G599)</f>
        <v/>
      </c>
      <c r="N599" s="9">
        <f>IF(OR(E599="",I599="",E599=0,I599=0),"",E599/(I599*2))</f>
        <v/>
      </c>
      <c r="O599" s="8">
        <f>IF(OR(I599="",G599="",I599=0,G599=0),"",I599*2/G599)</f>
        <v/>
      </c>
      <c r="AD599" s="5" t="n">
        <v>80</v>
      </c>
      <c r="AE599" s="4">
        <f>48.7</f>
        <v/>
      </c>
      <c r="AF599" s="65">
        <f>30</f>
        <v/>
      </c>
      <c r="AG599" s="231">
        <f>5*(2.64)</f>
        <v/>
      </c>
      <c r="AH599" s="231" t="n">
        <v>0</v>
      </c>
      <c r="AI599" s="62" t="n">
        <v>5.9</v>
      </c>
      <c r="AL599" s="2">
        <f>("19:45"-"17:50")*1440</f>
        <v/>
      </c>
      <c r="AM599" s="3">
        <f>180+60</f>
        <v/>
      </c>
      <c r="AN599" s="4">
        <f>AE599</f>
        <v/>
      </c>
      <c r="AO599" s="231">
        <f>5*2.28</f>
        <v/>
      </c>
      <c r="AP599" s="3" t="n">
        <v>40</v>
      </c>
      <c r="AR599" s="13">
        <f>AVERAGE(AO597:AO603)</f>
        <v/>
      </c>
      <c r="AT599" s="156" t="n"/>
      <c r="AU599" s="155">
        <f>(I599-AF599)/I599</f>
        <v/>
      </c>
      <c r="AV599" s="155">
        <f>AG599/(AD599-AF599)</f>
        <v/>
      </c>
      <c r="AW599" s="61">
        <f>(G599-AM599)/G599</f>
        <v/>
      </c>
      <c r="AX599" s="254">
        <f>IF(AND(ISNUMBER(E599),ISNUMBER(W599)),E599-W599,"")</f>
        <v/>
      </c>
      <c r="AY599" s="254">
        <f>IF(AND(ISNUMBER(I599),ISNUMBER(AF599)),I599-AF599,"")</f>
        <v/>
      </c>
      <c r="AZ599" s="254">
        <f>IF(AND(ISNUMBER(AM599),ISNUMBER(G599)),G599-AM599,"")</f>
        <v/>
      </c>
      <c r="BA599" s="254">
        <f>IF(AND(ISNUMBER(AC599),ISNUMBER(AE599)),AC599-AE599,"")</f>
        <v/>
      </c>
      <c r="BB599" s="254">
        <f>IF(AND(ISNUMBER(AL599),ISNUMBER(AM599)),AL599-AM599,"")</f>
        <v/>
      </c>
      <c r="BC599" s="60">
        <f>IF(AND($E599&gt;0,$W599&gt;0),IF(($E599-$W599)/$E599&gt;0,($E599-$W599)/$E599,0),"")</f>
        <v/>
      </c>
      <c r="BD599" s="60">
        <f>IF(AND($I599&gt;0,$AF599&gt;=0),IF(($I599-$AF599)/$I599&gt;0,($I599-$AF599)/$I599,0),"")</f>
        <v/>
      </c>
      <c r="BE599" s="60">
        <f>IF(AND($AG599&gt;=0,$AD599&gt;=0,$AF599&gt;=0),IF($AG599/($AD599-$AF599)&gt;0,$AG599/($AD599-$AF599),0),"")</f>
        <v/>
      </c>
      <c r="BF599" s="60" t="n"/>
      <c r="BG599" s="6">
        <f>IF((AD599-AF599)/(AJ599/60)&lt;=0,"",(AD599-AF599)/(AJ599/60))</f>
        <v/>
      </c>
      <c r="BH599" s="6">
        <f>IF(OR(AJ599=0,AP599=0,NOT(ISNUMBER(AD599)),NOT(ISNUMBER(AF599)),NOT(ISNUMBER(AJ599)),NOT(ISNUMBER(AP599))),"",
IFERROR(IF((AD599-AF599)/(AJ599/60)/(AP599/1000)&lt;=0,"",(AD599-AF599)/(AJ599/60)/(AP599/1000)),""))</f>
        <v/>
      </c>
    </row>
    <row r="600" ht="15.75" customHeight="1">
      <c r="B600" t="n">
        <v>356</v>
      </c>
      <c r="C600" s="12" t="inlineStr">
        <is>
          <t>aeraerace</t>
        </is>
      </c>
      <c r="D600" s="66" t="n">
        <v>45860</v>
      </c>
      <c r="E600" s="231" t="n">
        <v>356</v>
      </c>
      <c r="F600" s="3" t="n">
        <v>595</v>
      </c>
      <c r="G600" s="205">
        <f>IF(OR(S600="",S600=0),"",S600*2)</f>
        <v/>
      </c>
      <c r="I600" s="58" t="n"/>
      <c r="K600" s="15">
        <f>AD600</f>
        <v/>
      </c>
      <c r="M600" s="10">
        <f>IF(OR(E600="",G600="",E600=0,G600=0),"",E600/G600)</f>
        <v/>
      </c>
      <c r="N600" s="9">
        <f>IF(OR(E600="",I600="",E600=0,I600=0),"",E600/(I600*2))</f>
        <v/>
      </c>
      <c r="O600" s="8">
        <f>IF(OR(I600="",G600="",I600=0,G600=0),"",I600*2/G600)</f>
        <v/>
      </c>
      <c r="AD600" s="5" t="n">
        <v>80</v>
      </c>
      <c r="AF600" s="65">
        <f>30</f>
        <v/>
      </c>
      <c r="AH600" s="231" t="n">
        <v>0</v>
      </c>
      <c r="AI600" s="62" t="n">
        <v>9.199999999999999</v>
      </c>
      <c r="AL600" s="2">
        <f>("19:35"-"17:50")*1440</f>
        <v/>
      </c>
      <c r="AM600" s="3">
        <f>180+60</f>
        <v/>
      </c>
      <c r="AP600" s="3" t="n">
        <v>40</v>
      </c>
      <c r="AQ600" s="2" t="n">
        <v>2920.000000000027</v>
      </c>
      <c r="AR600" s="13">
        <f>AVERAGE(AO598:AO604)</f>
        <v/>
      </c>
      <c r="AT600" s="156" t="n"/>
      <c r="AU600" s="155">
        <f>(I600-AF600)/I600</f>
        <v/>
      </c>
      <c r="AV600" s="155">
        <f>AG600/(AD600-AF600)</f>
        <v/>
      </c>
      <c r="AW600" s="61" t="n"/>
      <c r="AX600" s="254">
        <f>IF(AND(ISNUMBER(E600),ISNUMBER(W600)),E600-W600,"")</f>
        <v/>
      </c>
      <c r="AY600" s="254">
        <f>IF(AND(ISNUMBER(I600),ISNUMBER(AF600)),I600-AF600,"")</f>
        <v/>
      </c>
      <c r="AZ600" s="254">
        <f>IF(AND(ISNUMBER(AM600),ISNUMBER(G600)),G600-AM600,"")</f>
        <v/>
      </c>
      <c r="BA600" s="254">
        <f>IF(AND(ISNUMBER(AC600),ISNUMBER(AE600)),AC600-AE600,"")</f>
        <v/>
      </c>
      <c r="BB600" s="254">
        <f>IF(AND(ISNUMBER(AL600),ISNUMBER(AM600)),AL600-AM600,"")</f>
        <v/>
      </c>
      <c r="BC600" s="60" t="n">
        <v>1</v>
      </c>
      <c r="BD600" s="60">
        <f>IF(AND($I600&gt;0,$AF600&gt;=0),IF(($I600-$AF600)/$I600&gt;0,($I600-$AF600)/$I600,0),"")</f>
        <v/>
      </c>
      <c r="BE600" s="60">
        <f>IF(AND($AG600&gt;=0,$AD600&gt;=0,$AF600&gt;=0),IF($AG600/($AD600-$AF600)&gt;0,$AG600/($AD600-$AF600),0),"")</f>
        <v/>
      </c>
      <c r="BF600" s="60">
        <f>IF(AND($G600&gt;0,$AM600&gt;0),IF(($G600-$AM600)/$G600&gt;0,($G600-$AM600)/$G600,0),"")</f>
        <v/>
      </c>
      <c r="BG600" s="6">
        <f>IF((AD600-AF600)/(AJ600/60)&lt;=0,"",(AD600-AF600)/(AJ600/60))</f>
        <v/>
      </c>
      <c r="BH600" s="6">
        <f>IF(OR(AJ600=0,AP600=0,NOT(ISNUMBER(AD600)),NOT(ISNUMBER(AF600)),NOT(ISNUMBER(AJ600)),NOT(ISNUMBER(AP600))),"",
IFERROR(IF((AD600-AF600)/(AJ600/60)/(AP600/1000)&lt;=0,"",(AD600-AF600)/(AJ600/60)/(AP600/1000)),""))</f>
        <v/>
      </c>
    </row>
    <row r="601" ht="15.75" customHeight="1">
      <c r="B601" t="n">
        <v>357</v>
      </c>
      <c r="D601" s="63" t="n">
        <v>45861</v>
      </c>
      <c r="E601" s="231" t="n">
        <v>357</v>
      </c>
      <c r="F601" s="3" t="n">
        <v>596</v>
      </c>
      <c r="G601" s="205">
        <f>IF(OR(S601="",S601=0),"",S601*2)</f>
        <v/>
      </c>
      <c r="I601" s="58" t="n">
        <v>15.7</v>
      </c>
      <c r="J601" s="9">
        <f>2*0</f>
        <v/>
      </c>
      <c r="K601" s="15">
        <f>AD601</f>
        <v/>
      </c>
      <c r="M601" s="10">
        <f>IF(OR(E601="",G601="",E601=0,G601=0),"",E601/G601)</f>
        <v/>
      </c>
      <c r="N601" s="9">
        <f>IF(OR(E601="",I601="",E601=0,I601=0),"",E601/(I601*2))</f>
        <v/>
      </c>
      <c r="O601" s="8">
        <f>IF(OR(I601="",G601="",I601=0,G601=0),"",I601*2/G601)</f>
        <v/>
      </c>
      <c r="AD601" s="5" t="n">
        <v>80</v>
      </c>
      <c r="AF601" s="65">
        <f>30</f>
        <v/>
      </c>
      <c r="AG601" s="231">
        <f>5*0.501</f>
        <v/>
      </c>
      <c r="AH601" s="231" t="n">
        <v>0</v>
      </c>
      <c r="AI601" s="62" t="n">
        <v>10.11</v>
      </c>
      <c r="AL601" s="2">
        <f>("20:30"-"17:50")*1440</f>
        <v/>
      </c>
      <c r="AM601" s="3">
        <f>180+60</f>
        <v/>
      </c>
      <c r="AN601" s="4">
        <f>AE601</f>
        <v/>
      </c>
      <c r="AO601" s="231">
        <f>2*0.465</f>
        <v/>
      </c>
      <c r="AP601" s="3" t="n">
        <v>40</v>
      </c>
      <c r="AR601" s="13">
        <f>AVERAGE(AO599:AO605)</f>
        <v/>
      </c>
      <c r="AT601" s="156" t="n"/>
      <c r="AU601" s="155">
        <f>(I601-AF601)/I601</f>
        <v/>
      </c>
      <c r="AV601" s="155">
        <f>AG601/(AD601-AF601)</f>
        <v/>
      </c>
      <c r="AW601" s="61">
        <f>(G601-AM601)/G601</f>
        <v/>
      </c>
      <c r="AX601" s="254">
        <f>IF(AND(ISNUMBER(E601),ISNUMBER(W601)),E601-W601,"")</f>
        <v/>
      </c>
      <c r="AY601" s="254">
        <f>IF(AND(ISNUMBER(I601),ISNUMBER(AF601)),I601-AF601,"")</f>
        <v/>
      </c>
      <c r="AZ601" s="254">
        <f>IF(AND(ISNUMBER(AM601),ISNUMBER(G601)),G601-AM601,"")</f>
        <v/>
      </c>
      <c r="BA601" s="254">
        <f>IF(AND(ISNUMBER(AC601),ISNUMBER(AE601)),AC601-AE601,"")</f>
        <v/>
      </c>
      <c r="BB601" s="254">
        <f>IF(AND(ISNUMBER(AL601),ISNUMBER(AM601)),AL601-AM601,"")</f>
        <v/>
      </c>
      <c r="BC601" s="60">
        <f>IF(AND($E601&gt;0,$W601&gt;0),IF(($E601-$W601)/$E601&gt;0,($E601-$W601)/$E601,0),"")</f>
        <v/>
      </c>
      <c r="BD601" s="60">
        <f>IF(AND($I601&gt;0,$AF601&gt;=0),IF(($I601-$AF601)/$I601&gt;0,($I601-$AF601)/$I601,0),"")</f>
        <v/>
      </c>
      <c r="BE601" s="60">
        <f>IF(AND($AG601&gt;=0,$AD601&gt;=0,$AF601&gt;=0),IF($AG601/($AD601-$AF601)&gt;0,$AG601/($AD601-$AF601),0),"")</f>
        <v/>
      </c>
      <c r="BF601" s="60">
        <f>IF(AND($G601&gt;0,$AM601&gt;0),IF(($G601-$AM601)/$G601&gt;0,($G601-$AM601)/$G601,0),"")</f>
        <v/>
      </c>
      <c r="BG601" s="6">
        <f>IF((AD601-AF601)/(AJ601/60)&lt;=0,"",(AD601-AF601)/(AJ601/60))</f>
        <v/>
      </c>
      <c r="BH601" s="6">
        <f>IF(OR(AJ601=0,AP601=0,NOT(ISNUMBER(AD601)),NOT(ISNUMBER(AF601)),NOT(ISNUMBER(AJ601)),NOT(ISNUMBER(AP601))),"",
IFERROR(IF((AD601-AF601)/(AJ601/60)/(AP601/1000)&lt;=0,"",(AD601-AF601)/(AJ601/60)/(AP601/1000)),""))</f>
        <v/>
      </c>
    </row>
    <row r="602" ht="15.75" customHeight="1">
      <c r="A602" s="260" t="inlineStr">
        <is>
          <t>B79</t>
        </is>
      </c>
      <c r="B602" s="260" t="n">
        <v>358</v>
      </c>
      <c r="C602" s="12" t="inlineStr">
        <is>
          <t>nitriteace</t>
        </is>
      </c>
      <c r="D602" s="63" t="n">
        <v>45862</v>
      </c>
      <c r="E602" s="231" t="n">
        <v>358</v>
      </c>
      <c r="F602" s="3" t="n">
        <v>597</v>
      </c>
      <c r="G602" s="205">
        <f>IF(OR(S602="",S602=0),"",S602*2)</f>
        <v/>
      </c>
      <c r="I602" s="58" t="n"/>
      <c r="K602" s="15">
        <f>AD602</f>
        <v/>
      </c>
      <c r="M602" s="10">
        <f>IF(OR(E602="",G602="",E602=0,G602=0),"",E602/G602)</f>
        <v/>
      </c>
      <c r="N602" s="9">
        <f>IF(OR(E602="",I602="",E602=0,I602=0),"",E602/(I602*2))</f>
        <v/>
      </c>
      <c r="O602" s="8">
        <f>IF(OR(I602="",G602="",I602=0,G602=0),"",I602*2/G602)</f>
        <v/>
      </c>
      <c r="AD602" s="5" t="n">
        <v>80</v>
      </c>
      <c r="AF602" s="65">
        <f>30</f>
        <v/>
      </c>
      <c r="AH602" s="231" t="n">
        <v>0</v>
      </c>
      <c r="AI602" s="62" t="n">
        <v>9.33</v>
      </c>
      <c r="AL602" s="2">
        <f>("20:30"-"17:50")*1440</f>
        <v/>
      </c>
      <c r="AM602" s="3">
        <f>180+60</f>
        <v/>
      </c>
      <c r="AP602" s="3" t="n">
        <v>40</v>
      </c>
      <c r="AQ602" s="2" t="n">
        <v>2630.000000000018</v>
      </c>
      <c r="AR602" s="13">
        <f>AVERAGE(AO600:AO606)</f>
        <v/>
      </c>
      <c r="AT602" s="156" t="n"/>
      <c r="AU602" s="155">
        <f>(I602-AF602)/I602</f>
        <v/>
      </c>
      <c r="AV602" s="155">
        <f>AG602/(AD602-AF602)</f>
        <v/>
      </c>
      <c r="AW602" s="61" t="n"/>
      <c r="AX602" s="254">
        <f>IF(AND(ISNUMBER(E602),ISNUMBER(W602)),E602-W602,"")</f>
        <v/>
      </c>
      <c r="AY602" s="254">
        <f>IF(AND(ISNUMBER(I602),ISNUMBER(AF602)),I602-AF602,"")</f>
        <v/>
      </c>
      <c r="AZ602" s="254">
        <f>IF(AND(ISNUMBER(AM602),ISNUMBER(G602)),G602-AM602,"")</f>
        <v/>
      </c>
      <c r="BA602" s="254">
        <f>IF(AND(ISNUMBER(AC602),ISNUMBER(AE602)),AC602-AE602,"")</f>
        <v/>
      </c>
      <c r="BB602" s="254">
        <f>IF(AND(ISNUMBER(AL602),ISNUMBER(AM602)),AL602-AM602,"")</f>
        <v/>
      </c>
      <c r="BC602" s="60" t="n">
        <v>1</v>
      </c>
      <c r="BD602" s="60">
        <f>IF(AND($I602&gt;0,$AF602&gt;=0),IF(($I602-$AF602)/$I602&gt;0,($I602-$AF602)/$I602,0),"")</f>
        <v/>
      </c>
      <c r="BE602" s="60">
        <f>IF(AND($AG602&gt;=0,$AD602&gt;=0,$AF602&gt;=0),IF($AG602/($AD602-$AF602)&gt;0,$AG602/($AD602-$AF602),0),"")</f>
        <v/>
      </c>
      <c r="BF602" s="60">
        <f>IF(AND($G602&gt;0,$AM602&gt;0),IF(($G602-$AM602)/$G602&gt;0,($G602-$AM602)/$G602,0),"")</f>
        <v/>
      </c>
      <c r="BG602" s="6">
        <f>IF((AD602-AF602)/(AJ602/60)&lt;=0,"",(AD602-AF602)/(AJ602/60))</f>
        <v/>
      </c>
      <c r="BH602" s="6">
        <f>IF(OR(AJ602=0,AP602=0,NOT(ISNUMBER(AD602)),NOT(ISNUMBER(AF602)),NOT(ISNUMBER(AJ602)),NOT(ISNUMBER(AP602))),"",
IFERROR(IF((AD602-AF602)/(AJ602/60)/(AP602/1000)&lt;=0,"",(AD602-AF602)/(AJ602/60)/(AP602/1000)),""))</f>
        <v/>
      </c>
    </row>
    <row r="603" ht="15.75" customHeight="1">
      <c r="B603" t="n">
        <v>359</v>
      </c>
      <c r="C603" s="12" t="inlineStr">
        <is>
          <t>nitritepro</t>
        </is>
      </c>
      <c r="D603" s="63" t="n">
        <v>45863</v>
      </c>
      <c r="E603" s="231" t="n">
        <v>359</v>
      </c>
      <c r="F603" s="3" t="n">
        <v>598</v>
      </c>
      <c r="G603" s="205">
        <f>IF(OR(S603="",S603=0),"",S603*2)</f>
        <v/>
      </c>
      <c r="K603" s="15">
        <f>AD603</f>
        <v/>
      </c>
      <c r="M603" s="10">
        <f>IF(OR(E603="",G603="",E603=0,G603=0),"",E603/G603)</f>
        <v/>
      </c>
      <c r="N603" s="9">
        <f>IF(OR(E603="",I603="",E603=0,I603=0),"",E603/(I603*2))</f>
        <v/>
      </c>
      <c r="O603" s="8">
        <f>IF(OR(I603="",G603="",I603=0,G603=0),"",I603*2/G603)</f>
        <v/>
      </c>
      <c r="AD603" s="5" t="n">
        <v>80</v>
      </c>
      <c r="AF603" s="65">
        <f>30</f>
        <v/>
      </c>
      <c r="AH603" s="231" t="n">
        <v>0</v>
      </c>
      <c r="AI603" s="62" t="n">
        <v>10.9</v>
      </c>
      <c r="AL603" s="2">
        <f>("13:20"-"10:30")*1440</f>
        <v/>
      </c>
      <c r="AM603" s="3">
        <f>180+60</f>
        <v/>
      </c>
      <c r="AP603" s="3" t="n">
        <v>40</v>
      </c>
      <c r="AQ603" s="2" t="n">
        <v>2690.000000000009</v>
      </c>
      <c r="AR603" s="13">
        <f>AVERAGE(AO601:AO607)</f>
        <v/>
      </c>
      <c r="AT603" s="156" t="n"/>
      <c r="AU603" s="155">
        <f>(I603-AF603)/I603</f>
        <v/>
      </c>
      <c r="AV603" s="155">
        <f>AG603/(AD603-AF603)</f>
        <v/>
      </c>
      <c r="AW603" s="61" t="n"/>
      <c r="AX603" s="254">
        <f>IF(AND(ISNUMBER(E603),ISNUMBER(W603)),E603-W603,"")</f>
        <v/>
      </c>
      <c r="AY603" s="254">
        <f>IF(AND(ISNUMBER(I603),ISNUMBER(AF603)),I603-AF603,"")</f>
        <v/>
      </c>
      <c r="AZ603" s="254">
        <f>IF(AND(ISNUMBER(AM603),ISNUMBER(G603)),G603-AM603,"")</f>
        <v/>
      </c>
      <c r="BA603" s="254">
        <f>IF(AND(ISNUMBER(AC603),ISNUMBER(AE603)),AC603-AE603,"")</f>
        <v/>
      </c>
      <c r="BB603" s="254">
        <f>IF(AND(ISNUMBER(AL603),ISNUMBER(AM603)),AL603-AM603,"")</f>
        <v/>
      </c>
      <c r="BC603" s="60" t="n">
        <v>1</v>
      </c>
      <c r="BD603" s="60">
        <f>IF(AND($I603&gt;0,$AF603&gt;=0),IF(($I603-$AF603)/$I603&gt;0,($I603-$AF603)/$I603,0),"")</f>
        <v/>
      </c>
      <c r="BE603" s="60">
        <f>IF(AND($AG603&gt;=0,$AD603&gt;=0,$AF603&gt;=0),IF($AG603/($AD603-$AF603)&gt;0,$AG603/($AD603-$AF603),0),"")</f>
        <v/>
      </c>
      <c r="BF603" s="60">
        <f>IF(AND($G603&gt;0,$AM603&gt;0),IF(($G603-$AM603)/$G603&gt;0,($G603-$AM603)/$G603,0),"")</f>
        <v/>
      </c>
      <c r="BG603" s="6">
        <f>IF((AD603-AF603)/(AJ603/60)&lt;=0,"",(AD603-AF603)/(AJ603/60))</f>
        <v/>
      </c>
      <c r="BH603" s="6">
        <f>IF(OR(AJ603=0,AP603=0,NOT(ISNUMBER(AD603)),NOT(ISNUMBER(AF603)),NOT(ISNUMBER(AJ603)),NOT(ISNUMBER(AP603))),"",
IFERROR(IF((AD603-AF603)/(AJ603/60)/(AP603/1000)&lt;=0,"",(AD603-AF603)/(AJ603/60)/(AP603/1000)),""))</f>
        <v/>
      </c>
    </row>
    <row r="604" ht="15.75" customHeight="1">
      <c r="B604" t="n">
        <v>360</v>
      </c>
      <c r="D604" s="63" t="n">
        <v>45864</v>
      </c>
      <c r="E604" s="231" t="n">
        <v>360</v>
      </c>
      <c r="F604" s="3" t="n">
        <v>599</v>
      </c>
      <c r="G604" s="205">
        <f>IF(OR(S604="",S604=0),"",S604*2)</f>
        <v/>
      </c>
      <c r="K604" s="15">
        <f>AD604</f>
        <v/>
      </c>
      <c r="M604" s="10">
        <f>IF(OR(E604="",G604="",E604=0,G604=0),"",E604/G604)</f>
        <v/>
      </c>
      <c r="N604" s="9">
        <f>IF(OR(E604="",I604="",E604=0,I604=0),"",E604/(I604*2))</f>
        <v/>
      </c>
      <c r="O604" s="8">
        <f>IF(OR(I604="",G604="",I604=0,G604=0),"",I604*2/G604)</f>
        <v/>
      </c>
      <c r="AD604" s="5" t="n">
        <v>80</v>
      </c>
      <c r="AF604" s="65">
        <f>30</f>
        <v/>
      </c>
      <c r="AH604" s="231" t="n">
        <v>0</v>
      </c>
      <c r="AI604" s="62" t="n"/>
      <c r="AL604" s="2">
        <f>("19:45"-"17:50")*1440</f>
        <v/>
      </c>
      <c r="AM604" s="3">
        <f>180+60</f>
        <v/>
      </c>
      <c r="AP604" s="3" t="n">
        <v>40</v>
      </c>
      <c r="AR604" s="13">
        <f>AVERAGE(AO602:AO608)</f>
        <v/>
      </c>
      <c r="AT604" s="156" t="n"/>
      <c r="AU604" s="155">
        <f>(I604-AF604)/I604</f>
        <v/>
      </c>
      <c r="AV604" s="155" t="n"/>
      <c r="AW604" s="61" t="n"/>
      <c r="AX604" s="254">
        <f>IF(AND(ISNUMBER(E604),ISNUMBER(W604)),E604-W604,"")</f>
        <v/>
      </c>
      <c r="AY604" s="254">
        <f>IF(AND(ISNUMBER(I604),ISNUMBER(AF604)),I604-AF604,"")</f>
        <v/>
      </c>
      <c r="AZ604" s="254">
        <f>IF(AND(ISNUMBER(AM604),ISNUMBER(G604)),G604-AM604,"")</f>
        <v/>
      </c>
      <c r="BA604" s="254">
        <f>IF(AND(ISNUMBER(AC604),ISNUMBER(AE604)),AC604-AE604,"")</f>
        <v/>
      </c>
      <c r="BB604" s="254">
        <f>IF(AND(ISNUMBER(AL604),ISNUMBER(AM604)),AL604-AM604,"")</f>
        <v/>
      </c>
      <c r="BC604" s="60">
        <f>IF(AND($E604&gt;0,$W604&gt;0),IF(($E604-$W604)/$E604&gt;0,($E604-$W604)/$E604,0),"")</f>
        <v/>
      </c>
      <c r="BD604" s="60">
        <f>IF(AND($I604&gt;0,$AF604&gt;=0),IF(($I604-$AF604)/$I604&gt;0,($I604-$AF604)/$I604,0),"")</f>
        <v/>
      </c>
      <c r="BE604" s="60">
        <f>IF(AND($AG604&gt;=0,$AD604&gt;=0,$AF604&gt;=0),IF($AG604/($AD604-$AF604)&gt;0,$AG604/($AD604-$AF604),0),"")</f>
        <v/>
      </c>
      <c r="BF604" s="60">
        <f>IF(AND($G604&gt;0,$AM604&gt;0),IF(($G604-$AM604)/$G604&gt;0,($G604-$AM604)/$G604,0),"")</f>
        <v/>
      </c>
      <c r="BG604" s="6">
        <f>IF((AD604-AF604)/(AJ604/60)&lt;=0,"",(AD604-AF604)/(AJ604/60))</f>
        <v/>
      </c>
      <c r="BH604" s="6">
        <f>IF(OR(AJ604=0,AP604=0,NOT(ISNUMBER(AD604)),NOT(ISNUMBER(AF604)),NOT(ISNUMBER(AJ604)),NOT(ISNUMBER(AP604))),"",
IFERROR(IF((AD604-AF604)/(AJ604/60)/(AP604/1000)&lt;=0,"",(AD604-AF604)/(AJ604/60)/(AP604/1000)),""))</f>
        <v/>
      </c>
    </row>
    <row r="605" ht="15.75" customHeight="1">
      <c r="B605" t="n">
        <v>361</v>
      </c>
      <c r="D605" s="63" t="n">
        <v>45865</v>
      </c>
      <c r="E605" s="231" t="n">
        <v>361</v>
      </c>
      <c r="F605" s="3" t="n">
        <v>600</v>
      </c>
      <c r="G605" s="205">
        <f>IF(OR(S605="",S605=0),"",S605*2)</f>
        <v/>
      </c>
      <c r="K605" s="15">
        <f>AD605</f>
        <v/>
      </c>
      <c r="M605" s="10">
        <f>IF(OR(E605="",G605="",E605=0,G605=0),"",E605/G605)</f>
        <v/>
      </c>
      <c r="N605" s="9">
        <f>IF(OR(E605="",I605="",E605=0,I605=0),"",E605/(I605*2))</f>
        <v/>
      </c>
      <c r="O605" s="8">
        <f>IF(OR(I605="",G605="",I605=0,G605=0),"",I605*2/G605)</f>
        <v/>
      </c>
      <c r="AD605" s="5" t="n">
        <v>80</v>
      </c>
      <c r="AF605" s="65">
        <f>30</f>
        <v/>
      </c>
      <c r="AH605" s="231" t="n">
        <v>0</v>
      </c>
      <c r="AI605" s="62" t="n">
        <v>10.64</v>
      </c>
      <c r="AL605" s="2">
        <f>("19:30"-"17:50")*1440</f>
        <v/>
      </c>
      <c r="AM605" s="3">
        <f>180+60</f>
        <v/>
      </c>
      <c r="AP605" s="3" t="n">
        <v>40</v>
      </c>
      <c r="AR605" s="13">
        <f>AVERAGE(AO603:AO609)</f>
        <v/>
      </c>
      <c r="AT605" s="156" t="n"/>
      <c r="AU605" s="155">
        <f>(I605-AF605)/I605</f>
        <v/>
      </c>
      <c r="AV605" s="155">
        <f>AG605/(AD605-AF605)</f>
        <v/>
      </c>
      <c r="AW605" s="61" t="n"/>
      <c r="AX605" s="254">
        <f>IF(AND(ISNUMBER(E605),ISNUMBER(W605)),E605-W605,"")</f>
        <v/>
      </c>
      <c r="AY605" s="254">
        <f>IF(AND(ISNUMBER(I605),ISNUMBER(AF605)),I605-AF605,"")</f>
        <v/>
      </c>
      <c r="AZ605" s="254">
        <f>IF(AND(ISNUMBER(AM605),ISNUMBER(G605)),G605-AM605,"")</f>
        <v/>
      </c>
      <c r="BA605" s="254">
        <f>IF(AND(ISNUMBER(AC605),ISNUMBER(AE605)),AC605-AE605,"")</f>
        <v/>
      </c>
      <c r="BB605" s="254">
        <f>IF(AND(ISNUMBER(AL605),ISNUMBER(AM605)),AL605-AM605,"")</f>
        <v/>
      </c>
      <c r="BC605" s="60">
        <f>IF(AND($E605&gt;0,$W605&gt;0),IF(($E605-$W605)/$E605&gt;0,($E605-$W605)/$E605,0),"")</f>
        <v/>
      </c>
      <c r="BD605" s="60">
        <f>IF(AND($I605&gt;0,$AF605&gt;=0),IF(($I605-$AF605)/$I605&gt;0,($I605-$AF605)/$I605,0),"")</f>
        <v/>
      </c>
      <c r="BE605" s="60">
        <f>IF(AND($AG605&gt;=0,$AD605&gt;=0,$AF605&gt;=0),IF($AG605/($AD605-$AF605)&gt;0,$AG605/($AD605-$AF605),0),"")</f>
        <v/>
      </c>
      <c r="BF605" s="60">
        <f>IF(AND($G605&gt;0,$AM605&gt;0),IF(($G605-$AM605)/$G605&gt;0,($G605-$AM605)/$G605,0),"")</f>
        <v/>
      </c>
      <c r="BG605" s="6">
        <f>IF((AD605-AF605)/(AJ605/60)&lt;=0,"",(AD605-AF605)/(AJ605/60))</f>
        <v/>
      </c>
      <c r="BH605" s="6">
        <f>IF(OR(AJ605=0,AP605=0,NOT(ISNUMBER(AD605)),NOT(ISNUMBER(AF605)),NOT(ISNUMBER(AJ605)),NOT(ISNUMBER(AP605))),"",
IFERROR(IF((AD605-AF605)/(AJ605/60)/(AP605/1000)&lt;=0,"",(AD605-AF605)/(AJ605/60)/(AP605/1000)),""))</f>
        <v/>
      </c>
    </row>
    <row r="606" ht="15.75" customHeight="1">
      <c r="B606" t="n">
        <v>362</v>
      </c>
      <c r="D606" s="63" t="n">
        <v>45866</v>
      </c>
      <c r="E606" s="231" t="n">
        <v>362</v>
      </c>
      <c r="F606" s="3" t="n">
        <v>601</v>
      </c>
      <c r="G606" s="205">
        <f>IF(OR(S606="",S606=0),"",S606*2)</f>
        <v/>
      </c>
      <c r="K606" s="15">
        <f>AD606</f>
        <v/>
      </c>
      <c r="M606" s="10">
        <f>IF(OR(E606="",G606="",E606=0,G606=0),"",E606/G606)</f>
        <v/>
      </c>
      <c r="N606" s="9">
        <f>IF(OR(E606="",I606="",E606=0,I606=0),"",E606/(I606*2))</f>
        <v/>
      </c>
      <c r="O606" s="8">
        <f>IF(OR(I606="",G606="",I606=0,G606=0),"",I606*2/G606)</f>
        <v/>
      </c>
      <c r="AD606" s="5" t="n">
        <v>80</v>
      </c>
      <c r="AF606" s="65">
        <f>30</f>
        <v/>
      </c>
      <c r="AH606" s="231" t="n">
        <v>0</v>
      </c>
      <c r="AI606" s="62" t="n">
        <v>7.3</v>
      </c>
      <c r="AL606" s="2">
        <f>("19:15"-"17:50")*1440</f>
        <v/>
      </c>
      <c r="AM606" s="3">
        <f>180+60</f>
        <v/>
      </c>
      <c r="AP606" s="3" t="n">
        <v>40</v>
      </c>
      <c r="AR606" s="13">
        <f>AVERAGE(AO604:AO610)</f>
        <v/>
      </c>
      <c r="AT606" s="156" t="n"/>
      <c r="AU606" s="155">
        <f>(I606-AF606)/I606</f>
        <v/>
      </c>
      <c r="AV606" s="155">
        <f>AG606/(AD606-AF606)</f>
        <v/>
      </c>
      <c r="AW606" s="61" t="n"/>
      <c r="AX606" s="254">
        <f>IF(AND(ISNUMBER(E606),ISNUMBER(W606)),E606-W606,"")</f>
        <v/>
      </c>
      <c r="AY606" s="254">
        <f>IF(AND(ISNUMBER(I606),ISNUMBER(AF606)),I606-AF606,"")</f>
        <v/>
      </c>
      <c r="AZ606" s="254">
        <f>IF(AND(ISNUMBER(AM606),ISNUMBER(G606)),G606-AM606,"")</f>
        <v/>
      </c>
      <c r="BA606" s="254">
        <f>IF(AND(ISNUMBER(AC606),ISNUMBER(AE606)),AC606-AE606,"")</f>
        <v/>
      </c>
      <c r="BB606" s="254">
        <f>IF(AND(ISNUMBER(AL606),ISNUMBER(AM606)),AL606-AM606,"")</f>
        <v/>
      </c>
      <c r="BC606" s="60">
        <f>IF(AND($E606&gt;0,$W606&gt;0),IF(($E606-$W606)/$E606&gt;0,($E606-$W606)/$E606,0),"")</f>
        <v/>
      </c>
      <c r="BD606" s="60">
        <f>IF(AND($I606&gt;0,$AF606&gt;=0),IF(($I606-$AF606)/$I606&gt;0,($I606-$AF606)/$I606,0),"")</f>
        <v/>
      </c>
      <c r="BE606" s="60">
        <f>IF(AND($AG606&gt;=0,$AD606&gt;=0,$AF606&gt;=0),IF($AG606/($AD606-$AF606)&gt;0,$AG606/($AD606-$AF606),0),"")</f>
        <v/>
      </c>
      <c r="BF606" s="60">
        <f>IF(AND($G606&gt;0,$AM606&gt;0),IF(($G606-$AM606)/$G606&gt;0,($G606-$AM606)/$G606,0),"")</f>
        <v/>
      </c>
      <c r="BG606" s="6">
        <f>IF((AD606-AF606)/(AJ606/60)&lt;=0,"",(AD606-AF606)/(AJ606/60))</f>
        <v/>
      </c>
      <c r="BH606" s="6" t="n"/>
    </row>
    <row r="607" ht="15.75" customHeight="1">
      <c r="B607" t="n">
        <v>363</v>
      </c>
      <c r="D607" s="63" t="n">
        <v>45867</v>
      </c>
      <c r="E607" s="231" t="n">
        <v>363</v>
      </c>
      <c r="F607" s="3" t="n">
        <v>602</v>
      </c>
      <c r="G607" s="205">
        <f>IF(OR(S607="",S607=0),"",S607*2)</f>
        <v/>
      </c>
      <c r="K607" s="15">
        <f>AD607</f>
        <v/>
      </c>
      <c r="M607" s="10">
        <f>IF(OR(E607="",G607="",E607=0,G607=0),"",E607/G607)</f>
        <v/>
      </c>
      <c r="N607" s="9">
        <f>IF(OR(E607="",I607="",E607=0,I607=0),"",E607/(I607*2))</f>
        <v/>
      </c>
      <c r="O607" s="8">
        <f>IF(OR(I607="",G607="",I607=0,G607=0),"",I607*2/G607)</f>
        <v/>
      </c>
      <c r="AD607" s="5" t="n">
        <v>80</v>
      </c>
      <c r="AF607" s="65">
        <f>30</f>
        <v/>
      </c>
      <c r="AH607" s="231" t="n">
        <v>0</v>
      </c>
      <c r="AI607" s="64" t="n"/>
      <c r="AL607" s="2">
        <f>("19:15"-"17:50")*1440</f>
        <v/>
      </c>
      <c r="AM607" s="3">
        <f>180+60</f>
        <v/>
      </c>
      <c r="AP607" s="3" t="n">
        <v>40</v>
      </c>
      <c r="AR607" s="13">
        <f>AVERAGE(AO605:AO611)</f>
        <v/>
      </c>
      <c r="AT607" s="156" t="n"/>
      <c r="AU607" s="155">
        <f>(I607-AF607)/I607</f>
        <v/>
      </c>
      <c r="AV607" s="155" t="n"/>
      <c r="AW607" s="61" t="n"/>
      <c r="AX607" s="254">
        <f>IF(AND(ISNUMBER(E607),ISNUMBER(W607)),E607-W607,"")</f>
        <v/>
      </c>
      <c r="AY607" s="254">
        <f>IF(AND(ISNUMBER(I607),ISNUMBER(AF607)),I607-AF607,"")</f>
        <v/>
      </c>
      <c r="AZ607" s="254">
        <f>IF(AND(ISNUMBER(AM607),ISNUMBER(G607)),G607-AM607,"")</f>
        <v/>
      </c>
      <c r="BA607" s="254">
        <f>IF(AND(ISNUMBER(AC607),ISNUMBER(AE607)),AC607-AE607,"")</f>
        <v/>
      </c>
      <c r="BB607" s="254">
        <f>IF(AND(ISNUMBER(AL607),ISNUMBER(AM607)),AL607-AM607,"")</f>
        <v/>
      </c>
      <c r="BC607" s="60">
        <f>IF(AND($E607&gt;0,$W607&gt;0),IF(($E607-$W607)/$E607&gt;0,($E607-$W607)/$E607,0),"")</f>
        <v/>
      </c>
      <c r="BD607" s="60">
        <f>IF(AND($I607&gt;0,$AF607&gt;=0),IF(($I607-$AF607)/$I607&gt;0,($I607-$AF607)/$I607,0),"")</f>
        <v/>
      </c>
      <c r="BE607" s="60">
        <f>IF(AND($AG607&gt;=0,$AD607&gt;=0,$AF607&gt;=0),IF($AG607/($AD607-$AF607)&gt;0,$AG607/($AD607-$AF607),0),"")</f>
        <v/>
      </c>
      <c r="BF607" s="60">
        <f>IF(AND($G607&gt;0,$AM607&gt;0),IF(($G607-$AM607)/$G607&gt;0,($G607-$AM607)/$G607,0),"")</f>
        <v/>
      </c>
      <c r="BG607" s="6">
        <f>IF((AD607-AF607)/(AJ607/60)&lt;=0,"",(AD607-AF607)/(AJ607/60))</f>
        <v/>
      </c>
      <c r="BH607" s="6" t="n"/>
    </row>
    <row r="608" ht="15.75" customHeight="1">
      <c r="B608" t="n">
        <v>364</v>
      </c>
      <c r="D608" s="63" t="n">
        <v>45868</v>
      </c>
      <c r="E608" s="231" t="n">
        <v>364</v>
      </c>
      <c r="F608" s="3" t="n">
        <v>603</v>
      </c>
      <c r="G608" s="205">
        <f>IF(OR(S608="",S608=0),"",S608*2)</f>
        <v/>
      </c>
      <c r="K608" s="15">
        <f>AD608</f>
        <v/>
      </c>
      <c r="M608" s="10">
        <f>IF(OR(E608="",G608="",E608=0,G608=0),"",E608/G608)</f>
        <v/>
      </c>
      <c r="N608" s="9">
        <f>IF(OR(E608="",I608="",E608=0,I608=0),"",E608/(I608*2))</f>
        <v/>
      </c>
      <c r="O608" s="8">
        <f>IF(OR(I608="",G608="",I608=0,G608=0),"",I608*2/G608)</f>
        <v/>
      </c>
      <c r="AD608" s="5" t="n">
        <v>80</v>
      </c>
      <c r="AF608" s="65">
        <f>30</f>
        <v/>
      </c>
      <c r="AH608" s="231" t="n">
        <v>0</v>
      </c>
      <c r="AI608" s="64" t="n"/>
      <c r="AL608" s="2">
        <f>("19:10"-"17:50")*1440</f>
        <v/>
      </c>
      <c r="AM608" s="3">
        <f>180+60</f>
        <v/>
      </c>
      <c r="AP608" s="3" t="n">
        <v>40</v>
      </c>
      <c r="AR608" s="13">
        <f>AVERAGE(AO606:AO612)</f>
        <v/>
      </c>
      <c r="AT608" s="156" t="n"/>
      <c r="AU608" s="155">
        <f>(I608-AF608)/I608</f>
        <v/>
      </c>
      <c r="AV608" s="155" t="n"/>
      <c r="AW608" s="61" t="n"/>
      <c r="AX608" s="254">
        <f>IF(AND(ISNUMBER(E608),ISNUMBER(W608)),E608-W608,"")</f>
        <v/>
      </c>
      <c r="AY608" s="254">
        <f>IF(AND(ISNUMBER(I608),ISNUMBER(AF608)),I608-AF608,"")</f>
        <v/>
      </c>
      <c r="AZ608" s="254">
        <f>IF(AND(ISNUMBER(AM608),ISNUMBER(G608)),G608-AM608,"")</f>
        <v/>
      </c>
      <c r="BA608" s="254">
        <f>IF(AND(ISNUMBER(AC608),ISNUMBER(AE608)),AC608-AE608,"")</f>
        <v/>
      </c>
      <c r="BB608" s="254">
        <f>IF(AND(ISNUMBER(AL608),ISNUMBER(AM608)),AL608-AM608,"")</f>
        <v/>
      </c>
      <c r="BC608" s="60">
        <f>IF(AND($E608&gt;0,$W608&gt;0),IF(($E608-$W608)/$E608&gt;0,($E608-$W608)/$E608,0),"")</f>
        <v/>
      </c>
      <c r="BD608" s="60">
        <f>IF(AND($I608&gt;0,$AF608&gt;=0),IF(($I608-$AF608)/$I608&gt;0,($I608-$AF608)/$I608,0),"")</f>
        <v/>
      </c>
      <c r="BE608" s="60">
        <f>IF(AND($AG608&gt;=0,$AD608&gt;=0,$AF608&gt;=0),IF($AG608/($AD608-$AF608)&gt;0,$AG608/($AD608-$AF608),0),"")</f>
        <v/>
      </c>
      <c r="BF608" s="60">
        <f>IF(AND($G608&gt;0,$AM608&gt;0),IF(($G608-$AM608)/$G608&gt;0,($G608-$AM608)/$G608,0),"")</f>
        <v/>
      </c>
      <c r="BG608" s="6">
        <f>IF((AD608-AF608)/(AJ608/60)&lt;=0,"",(AD608-AF608)/(AJ608/60))</f>
        <v/>
      </c>
      <c r="BH608" s="6" t="n"/>
    </row>
    <row r="609" ht="15.75" customHeight="1">
      <c r="B609" t="n">
        <v>365</v>
      </c>
      <c r="D609" s="63" t="n">
        <v>45869</v>
      </c>
      <c r="E609" s="231" t="n">
        <v>365</v>
      </c>
      <c r="F609" s="3" t="n">
        <v>604</v>
      </c>
      <c r="G609" s="205">
        <f>IF(OR(S609="",S609=0),"",S609*2)</f>
        <v/>
      </c>
      <c r="K609" s="15">
        <f>AD609</f>
        <v/>
      </c>
      <c r="M609" s="10">
        <f>IF(OR(E609="",G609="",E609=0,G609=0),"",E609/G609)</f>
        <v/>
      </c>
      <c r="N609" s="9">
        <f>IF(OR(E609="",I609="",E609=0,I609=0),"",E609/(I609*2))</f>
        <v/>
      </c>
      <c r="O609" s="8">
        <f>IF(OR(I609="",G609="",I609=0,G609=0),"",I609*2/G609)</f>
        <v/>
      </c>
      <c r="AD609" s="5" t="n">
        <v>80</v>
      </c>
      <c r="AF609" s="65">
        <f>30</f>
        <v/>
      </c>
      <c r="AH609" s="231" t="n">
        <v>0</v>
      </c>
      <c r="AI609" s="64" t="n">
        <v>6.12</v>
      </c>
      <c r="AJ609" s="20" t="n">
        <v>0.4496527777777778</v>
      </c>
      <c r="AL609" s="2" t="n"/>
      <c r="AM609" s="3">
        <f>180+60</f>
        <v/>
      </c>
      <c r="AP609" s="3" t="n">
        <v>40</v>
      </c>
      <c r="AR609" s="13">
        <f>AVERAGE(AO607:AO613)</f>
        <v/>
      </c>
      <c r="AT609" s="156" t="n"/>
      <c r="AU609" s="155">
        <f>(I609-AF609)/I609</f>
        <v/>
      </c>
      <c r="AV609" s="155">
        <f>AG609/(AD609-AF609)</f>
        <v/>
      </c>
      <c r="AW609" s="61" t="n"/>
      <c r="AX609" s="254">
        <f>IF(AND(ISNUMBER(E609),ISNUMBER(W609)),E609-W609,"")</f>
        <v/>
      </c>
      <c r="AY609" s="254">
        <f>IF(AND(ISNUMBER(I609),ISNUMBER(AF609)),I609-AF609,"")</f>
        <v/>
      </c>
      <c r="AZ609" s="254">
        <f>IF(AND(ISNUMBER(AM609),ISNUMBER(G609)),G609-AM609,"")</f>
        <v/>
      </c>
      <c r="BA609" s="254">
        <f>IF(AND(ISNUMBER(AC609),ISNUMBER(AE609)),AC609-AE609,"")</f>
        <v/>
      </c>
      <c r="BB609" s="254">
        <f>IF(AND(ISNUMBER(AL609),ISNUMBER(AM609)),AL609-AM609,"")</f>
        <v/>
      </c>
      <c r="BC609" s="60">
        <f>IF(AND($E609&gt;0,$W609&gt;0),IF(($E609-$W609)/$E609&gt;0,($E609-$W609)/$E609,0),"")</f>
        <v/>
      </c>
      <c r="BD609" s="60">
        <f>IF(AND($I609&gt;0,$AF609&gt;=0),IF(($I609-$AF609)/$I609&gt;0,($I609-$AF609)/$I609,0),"")</f>
        <v/>
      </c>
      <c r="BE609" s="60">
        <f>IF(AND($AG609&gt;=0,$AD609&gt;=0,$AF609&gt;=0),IF($AG609/($AD609-$AF609)&gt;0,$AG609/($AD609-$AF609),0),"")</f>
        <v/>
      </c>
      <c r="BF609" s="60">
        <f>IF(AND($G609&gt;0,$AM609&gt;0),IF(($G609-$AM609)/$G609&gt;0,($G609-$AM609)/$G609,0),"")</f>
        <v/>
      </c>
      <c r="BG609" s="6">
        <f>IF((AD609-AF609)/(AJ609/60)&lt;=0,"",(AD609-AF609)/(AJ609/60))</f>
        <v/>
      </c>
      <c r="BH609" s="6" t="n"/>
    </row>
    <row r="610" ht="15.75" customHeight="1">
      <c r="B610" t="n">
        <v>366</v>
      </c>
      <c r="D610" s="63" t="n">
        <v>45870</v>
      </c>
      <c r="E610" s="231" t="n">
        <v>366</v>
      </c>
      <c r="F610" s="3" t="n">
        <v>605</v>
      </c>
      <c r="G610" s="205">
        <f>IF(OR(S610="",S610=0),"",S610*2)</f>
        <v/>
      </c>
      <c r="K610" s="15">
        <f>AD610</f>
        <v/>
      </c>
      <c r="M610" s="10">
        <f>IF(OR(E610="",G610="",E610=0,G610=0),"",E610/G610)</f>
        <v/>
      </c>
      <c r="N610" s="9">
        <f>IF(OR(E610="",I610="",E610=0,I610=0),"",E610/(I610*2))</f>
        <v/>
      </c>
      <c r="O610" s="8">
        <f>IF(OR(I610="",G610="",I610=0,G610=0),"",I610*2/G610)</f>
        <v/>
      </c>
      <c r="AD610" s="5" t="n">
        <v>80</v>
      </c>
      <c r="AF610" s="65">
        <f>30</f>
        <v/>
      </c>
      <c r="AH610" s="231" t="n">
        <v>0</v>
      </c>
      <c r="AI610" s="64" t="n">
        <v>17.75</v>
      </c>
      <c r="AJ610" s="20" t="n">
        <v>0.3696759259259259</v>
      </c>
      <c r="AL610" s="2">
        <f>("19:00"-"17:50")*1440</f>
        <v/>
      </c>
      <c r="AM610" s="3">
        <f>180+60</f>
        <v/>
      </c>
      <c r="AP610" s="3" t="n">
        <v>40</v>
      </c>
      <c r="AR610" s="13">
        <f>AVERAGE(AO608:AO614)</f>
        <v/>
      </c>
      <c r="AT610" s="156" t="n"/>
      <c r="AU610" s="155">
        <f>(I610-AF610)/I610</f>
        <v/>
      </c>
      <c r="AV610" s="155">
        <f>AG610/(AD610-AF610)</f>
        <v/>
      </c>
      <c r="AW610" s="61" t="n"/>
      <c r="AX610" s="254">
        <f>IF(AND(ISNUMBER(E610),ISNUMBER(W610)),E610-W610,"")</f>
        <v/>
      </c>
      <c r="AY610" s="254">
        <f>IF(AND(ISNUMBER(I610),ISNUMBER(AF610)),I610-AF610,"")</f>
        <v/>
      </c>
      <c r="AZ610" s="254">
        <f>IF(AND(ISNUMBER(AM610),ISNUMBER(G610)),G610-AM610,"")</f>
        <v/>
      </c>
      <c r="BA610" s="254">
        <f>IF(AND(ISNUMBER(AC610),ISNUMBER(AE610)),AC610-AE610,"")</f>
        <v/>
      </c>
      <c r="BB610" s="254">
        <f>IF(AND(ISNUMBER(AL610),ISNUMBER(AM610)),AL610-AM610,"")</f>
        <v/>
      </c>
      <c r="BC610" s="60">
        <f>IF(AND($E610&gt;0,$W610&gt;0),IF(($E610-$W610)/$E610&gt;0,($E610-$W610)/$E610,0),"")</f>
        <v/>
      </c>
      <c r="BD610" s="60">
        <f>IF(AND($I610&gt;0,$AF610&gt;=0),IF(($I610-$AF610)/$I610&gt;0,($I610-$AF610)/$I610,0),"")</f>
        <v/>
      </c>
      <c r="BE610" s="60">
        <f>IF(AND($AG610&gt;=0,$AD610&gt;=0,$AF610&gt;=0),IF($AG610/($AD610-$AF610)&gt;0,$AG610/($AD610-$AF610),0),"")</f>
        <v/>
      </c>
      <c r="BF610" s="60">
        <f>IF(AND($G610&gt;0,$AM610&gt;0),IF(($G610-$AM610)/$G610&gt;0,($G610-$AM610)/$G610,0),"")</f>
        <v/>
      </c>
      <c r="BG610" s="6">
        <f>IF((AD610-AF610)/(AJ610/60)&lt;=0,"",(AD610-AF610)/(AJ610/60))</f>
        <v/>
      </c>
      <c r="BH610" s="6">
        <f>IF(OR(AJ610=0,AP610=0,NOT(ISNUMBER(AD610)),NOT(ISNUMBER(AF610)),NOT(ISNUMBER(AJ610)),NOT(ISNUMBER(AP610))),"",
IFERROR(IF((AD610-AF610)/(AJ610/60)/(AP610/1000)&lt;=0,"",(AD610-AF610)/(AJ610/60)/(AP610/1000)),""))</f>
        <v/>
      </c>
    </row>
    <row r="611" ht="15.75" customHeight="1">
      <c r="B611" t="n">
        <v>367</v>
      </c>
      <c r="D611" s="63" t="n">
        <v>45871</v>
      </c>
      <c r="E611" s="231" t="n">
        <v>367</v>
      </c>
      <c r="F611" s="3" t="n">
        <v>606</v>
      </c>
      <c r="G611" s="205">
        <f>IF(OR(S611="",S611=0),"",S611*2)</f>
        <v/>
      </c>
      <c r="I611" s="24" t="n">
        <v>14.216</v>
      </c>
      <c r="K611" s="15">
        <f>AD611</f>
        <v/>
      </c>
      <c r="M611" s="10">
        <f>IF(OR(E611="",G611="",E611=0,G611=0),"",E611/G611)</f>
        <v/>
      </c>
      <c r="N611" s="9">
        <f>IF(OR(E611="",I611="",E611=0,I611=0),"",E611/(I611*2))</f>
        <v/>
      </c>
      <c r="O611" s="8">
        <f>IF(OR(I611="",G611="",I611=0,G611=0),"",I611*2/G611)</f>
        <v/>
      </c>
      <c r="AD611" s="5" t="n">
        <v>80</v>
      </c>
      <c r="AF611" s="65" t="n">
        <v>32</v>
      </c>
      <c r="AH611" s="231" t="n">
        <v>0</v>
      </c>
      <c r="AI611" s="64" t="n">
        <v>4.53</v>
      </c>
      <c r="AJ611" s="20" t="n">
        <v>0.4252314814814815</v>
      </c>
      <c r="AL611" s="2">
        <f>("18:50"-"17:50")*1440</f>
        <v/>
      </c>
      <c r="AM611" s="3">
        <f>180+60</f>
        <v/>
      </c>
      <c r="AO611" s="67" t="n">
        <v>0.018</v>
      </c>
      <c r="AP611" s="3" t="n">
        <v>40</v>
      </c>
      <c r="AR611" s="13">
        <f>AVERAGE(AO609:AO615)</f>
        <v/>
      </c>
      <c r="AT611" s="156" t="n"/>
      <c r="AU611" s="155">
        <f>(I611-AF611)/I611</f>
        <v/>
      </c>
      <c r="AV611" s="155">
        <f>AG611/(AD611-AF611)</f>
        <v/>
      </c>
      <c r="AW611" s="61">
        <f>(G611-AM611)/G611</f>
        <v/>
      </c>
      <c r="AX611" s="254">
        <f>IF(AND(ISNUMBER(E611),ISNUMBER(W611)),E611-W611,"")</f>
        <v/>
      </c>
      <c r="AY611" s="254">
        <f>IF(AND(ISNUMBER(I611),ISNUMBER(AF611)),I611-AF611,"")</f>
        <v/>
      </c>
      <c r="AZ611" s="254">
        <f>IF(AND(ISNUMBER(AM611),ISNUMBER(G611)),G611-AM611,"")</f>
        <v/>
      </c>
      <c r="BA611" s="254">
        <f>IF(AND(ISNUMBER(AC611),ISNUMBER(AE611)),AC611-AE611,"")</f>
        <v/>
      </c>
      <c r="BB611" s="254">
        <f>IF(AND(ISNUMBER(AL611),ISNUMBER(AM611)),AL611-AM611,"")</f>
        <v/>
      </c>
      <c r="BC611" s="60" t="n">
        <v>1</v>
      </c>
      <c r="BD611" s="60">
        <f>IF(AND($I611&gt;0,$AF611&gt;=0),IF(($I611-$AF611)/$I611&gt;0,($I611-$AF611)/$I611,0),"")</f>
        <v/>
      </c>
      <c r="BE611" s="60">
        <f>IF(AND($AG611&gt;=0,$AD611&gt;=0,$AF611&gt;=0),IF($AG611/($AD611-$AF611)&gt;0,$AG611/($AD611-$AF611),0),"")</f>
        <v/>
      </c>
      <c r="BF611" s="60">
        <f>IF(AND($G611&gt;0,$AM611&gt;0),IF(($G611-$AM611)/$G611&gt;0,($G611-$AM611)/$G611,0),"")</f>
        <v/>
      </c>
      <c r="BG611" s="6">
        <f>IF((AD611-AF611)/(AJ611/60)&lt;=0,"",(AD611-AF611)/(AJ611/60))</f>
        <v/>
      </c>
      <c r="BH611" s="6">
        <f>IF(OR(AJ611=0,AP611=0,NOT(ISNUMBER(AD611)),NOT(ISNUMBER(AF611)),NOT(ISNUMBER(AJ611)),NOT(ISNUMBER(AP611))),"",
IFERROR(IF((AD611-AF611)/(AJ611/60)/(AP611/1000)&lt;=0,"",(AD611-AF611)/(AJ611/60)/(AP611/1000)),""))</f>
        <v/>
      </c>
    </row>
    <row r="612" ht="15.75" customHeight="1">
      <c r="B612" t="n">
        <v>368</v>
      </c>
      <c r="D612" s="63" t="n">
        <v>45872</v>
      </c>
      <c r="E612" s="231" t="n">
        <v>368</v>
      </c>
      <c r="F612" s="3" t="n">
        <v>607</v>
      </c>
      <c r="G612" s="205">
        <f>IF(OR(S612="",S612=0),"",S612*2)</f>
        <v/>
      </c>
      <c r="I612" s="24" t="n">
        <v>14.216</v>
      </c>
      <c r="K612" s="15">
        <f>AD612</f>
        <v/>
      </c>
      <c r="M612" s="10">
        <f>IF(OR(E612="",G612="",E612=0,G612=0),"",E612/G612)</f>
        <v/>
      </c>
      <c r="N612" s="9">
        <f>IF(OR(E612="",I612="",E612=0,I612=0),"",E612/(I612*2))</f>
        <v/>
      </c>
      <c r="O612" s="8">
        <f>IF(OR(I612="",G612="",I612=0,G612=0),"",I612*2/G612)</f>
        <v/>
      </c>
      <c r="AD612" s="5" t="n">
        <v>80</v>
      </c>
      <c r="AF612" s="65" t="n">
        <v>32</v>
      </c>
      <c r="AH612" s="231" t="n">
        <v>0</v>
      </c>
      <c r="AI612" s="64" t="n">
        <v>1.46</v>
      </c>
      <c r="AJ612" s="20" t="n">
        <v>0.4375</v>
      </c>
      <c r="AL612" s="2">
        <f>("19:00"-"17:50")*1440</f>
        <v/>
      </c>
      <c r="AM612" s="3">
        <f>180+60</f>
        <v/>
      </c>
      <c r="AO612" s="67" t="n">
        <v>0.013</v>
      </c>
      <c r="AP612" s="3" t="n">
        <v>40</v>
      </c>
      <c r="AR612" s="13">
        <f>AVERAGE(AO610:AO616)</f>
        <v/>
      </c>
      <c r="AT612" s="156" t="n"/>
      <c r="AU612" s="155">
        <f>(I612-AF612)/I612</f>
        <v/>
      </c>
      <c r="AV612" s="155">
        <f>AG612/(AD612-AF612)</f>
        <v/>
      </c>
      <c r="AW612" s="61">
        <f>(G612-AM612)/G612</f>
        <v/>
      </c>
      <c r="AX612" s="254">
        <f>IF(AND(ISNUMBER(E612),ISNUMBER(W612)),E612-W612,"")</f>
        <v/>
      </c>
      <c r="AY612" s="254">
        <f>IF(AND(ISNUMBER(I612),ISNUMBER(AF612)),I612-AF612,"")</f>
        <v/>
      </c>
      <c r="AZ612" s="254">
        <f>IF(AND(ISNUMBER(AM612),ISNUMBER(G612)),G612-AM612,"")</f>
        <v/>
      </c>
      <c r="BA612" s="254">
        <f>IF(AND(ISNUMBER(AC612),ISNUMBER(AE612)),AC612-AE612,"")</f>
        <v/>
      </c>
      <c r="BB612" s="254">
        <f>IF(AND(ISNUMBER(AL612),ISNUMBER(AM612)),AL612-AM612,"")</f>
        <v/>
      </c>
      <c r="BC612" s="60" t="n">
        <v>1</v>
      </c>
      <c r="BD612" s="60">
        <f>IF(AND($I612&gt;0,$AF612&gt;=0),IF(($I612-$AF612)/$I612&gt;0,($I612-$AF612)/$I612,0),"")</f>
        <v/>
      </c>
      <c r="BE612" s="60">
        <f>IF(AND($AG612&gt;=0,$AD612&gt;=0,$AF612&gt;=0),IF($AG612/($AD612-$AF612)&gt;0,$AG612/($AD612-$AF612),0),"")</f>
        <v/>
      </c>
      <c r="BF612" s="60">
        <f>IF(AND($G612&gt;0,$AM612&gt;0),IF(($G612-$AM612)/$G612&gt;0,($G612-$AM612)/$G612,0),"")</f>
        <v/>
      </c>
      <c r="BG612" s="6">
        <f>IF((AD612-AF612)/(AJ612/60)&lt;=0,"",(AD612-AF612)/(AJ612/60))</f>
        <v/>
      </c>
      <c r="BH612" s="6">
        <f>IF(OR(AJ612=0,AP612=0,NOT(ISNUMBER(AD612)),NOT(ISNUMBER(AF612)),NOT(ISNUMBER(AJ612)),NOT(ISNUMBER(AP612))),"",
IFERROR(IF((AD612-AF612)/(AJ612/60)/(AP612/1000)&lt;=0,"",(AD612-AF612)/(AJ612/60)/(AP612/1000)),""))</f>
        <v/>
      </c>
    </row>
    <row r="613" ht="15.75" customHeight="1">
      <c r="B613" t="n">
        <v>369</v>
      </c>
      <c r="D613" s="63" t="n">
        <v>45873</v>
      </c>
      <c r="E613" s="231" t="n">
        <v>369</v>
      </c>
      <c r="F613" s="3" t="n">
        <v>608</v>
      </c>
      <c r="G613" s="205">
        <f>IF(OR(S613="",S613=0),"",S613*2)</f>
        <v/>
      </c>
      <c r="I613" s="6">
        <f>(N613*18-H613*18)/9</f>
        <v/>
      </c>
      <c r="J613" s="9">
        <f>2*0.096</f>
        <v/>
      </c>
      <c r="K613" s="15">
        <f>AD613</f>
        <v/>
      </c>
      <c r="M613" s="10">
        <f>IF(OR(E613="",G613="",E613=0,G613=0),"",E613/G613)</f>
        <v/>
      </c>
      <c r="N613" s="9">
        <f>IF(OR(E613="",I613="",E613=0,I613=0),"",E613/(I613*2))</f>
        <v/>
      </c>
      <c r="O613" s="8">
        <f>IF(OR(I613="",G613="",I613=0,G613=0),"",I613*2/G613)</f>
        <v/>
      </c>
      <c r="P613" s="7" t="n">
        <v>7.3</v>
      </c>
      <c r="V613" s="6" t="n">
        <v>32.4</v>
      </c>
      <c r="AD613" s="5" t="n">
        <v>80</v>
      </c>
      <c r="AE613" s="7">
        <f>T613</f>
        <v/>
      </c>
      <c r="AF613" s="65" t="n">
        <v>35</v>
      </c>
      <c r="AG613" s="231" t="n">
        <v>12.1</v>
      </c>
      <c r="AH613" s="231" t="n">
        <v>0</v>
      </c>
      <c r="AI613" s="64" t="n">
        <v>4.71</v>
      </c>
      <c r="AJ613" s="20" t="n">
        <v>0.4420138888888889</v>
      </c>
      <c r="AL613" s="2">
        <f>("18:50"-"17:50")*1440</f>
        <v/>
      </c>
      <c r="AM613" s="3">
        <f>180+60</f>
        <v/>
      </c>
      <c r="AN613" s="4">
        <f>AE613</f>
        <v/>
      </c>
      <c r="AO613" s="231">
        <f>2*0.0096</f>
        <v/>
      </c>
      <c r="AP613" s="3" t="n">
        <v>40</v>
      </c>
      <c r="AR613" s="13">
        <f>AVERAGE(AO611:AO617)</f>
        <v/>
      </c>
      <c r="AT613" s="156" t="n"/>
      <c r="AU613" s="155">
        <f>(I613-AF613)/I613</f>
        <v/>
      </c>
      <c r="AV613" s="155">
        <f>AG613/(AD613-AF613)</f>
        <v/>
      </c>
      <c r="AW613" s="61">
        <f>(G613-AM613)/G613</f>
        <v/>
      </c>
      <c r="AX613" s="254">
        <f>IF(AND(ISNUMBER(E613),ISNUMBER(W613)),E613-W613,"")</f>
        <v/>
      </c>
      <c r="AY613" s="254">
        <f>IF(AND(ISNUMBER(I613),ISNUMBER(AF613)),I613-AF613,"")</f>
        <v/>
      </c>
      <c r="AZ613" s="254">
        <f>IF(AND(ISNUMBER(AM613),ISNUMBER(G613)),G613-AM613,"")</f>
        <v/>
      </c>
      <c r="BA613" s="254">
        <f>IF(AND(ISNUMBER(AC613),ISNUMBER(AE613)),AC613-AE613,"")</f>
        <v/>
      </c>
      <c r="BB613" s="254">
        <f>IF(AND(ISNUMBER(AL613),ISNUMBER(AM613)),AL613-AM613,"")</f>
        <v/>
      </c>
      <c r="BC613" s="60" t="n">
        <v>1</v>
      </c>
      <c r="BD613" s="60">
        <f>IF(AND($I613&gt;0,$AF613&gt;=0),IF(($I613-$AF613)/$I613&gt;0,($I613-$AF613)/$I613,0),"")</f>
        <v/>
      </c>
      <c r="BE613" s="60">
        <f>IF(AND($AG613&gt;=0,$AD613&gt;=0,$AF613&gt;=0),IF($AG613/($AD613-$AF613)&gt;0,$AG613/($AD613-$AF613),0),"")</f>
        <v/>
      </c>
      <c r="BF613" s="60">
        <f>IF(AND($G613&gt;0,$AM613&gt;0),IF(($G613-$AM613)/$G613&gt;0,($G613-$AM613)/$G613,0),"")</f>
        <v/>
      </c>
      <c r="BG613" s="6">
        <f>IF((AD613-AF613)/(AJ613/60)&lt;=0,"",(AD613-AF613)/(AJ613/60))</f>
        <v/>
      </c>
      <c r="BH613" s="6">
        <f>IF(OR(AJ613=0,AP613=0,NOT(ISNUMBER(AD613)),NOT(ISNUMBER(AF613)),NOT(ISNUMBER(AJ613)),NOT(ISNUMBER(AP613))),"",
IFERROR(IF((AD613-AF613)/(AJ613/60)/(AP613/1000)&lt;=0,"",(AD613-AF613)/(AJ613/60)/(AP613/1000)),""))</f>
        <v/>
      </c>
    </row>
    <row r="614" ht="15.75" customHeight="1">
      <c r="B614" t="n">
        <v>370</v>
      </c>
      <c r="C614" s="12" t="inlineStr">
        <is>
          <t>aerace</t>
        </is>
      </c>
      <c r="D614" s="66" t="n">
        <v>45874</v>
      </c>
      <c r="E614" s="231" t="n">
        <v>370</v>
      </c>
      <c r="F614" s="3" t="n">
        <v>609</v>
      </c>
      <c r="G614" s="205">
        <f>IF(OR(S614="",S614=0),"",S614*2)</f>
        <v/>
      </c>
      <c r="K614" s="15">
        <f>AD614</f>
        <v/>
      </c>
      <c r="M614" s="10">
        <f>IF(OR(E614="",G614="",E614=0,G614=0),"",E614/G614)</f>
        <v/>
      </c>
      <c r="N614" s="9">
        <f>IF(OR(E614="",I614="",E614=0,I614=0),"",E614/(I614*2))</f>
        <v/>
      </c>
      <c r="O614" s="8">
        <f>IF(OR(I614="",G614="",I614=0,G614=0),"",I614*2/G614)</f>
        <v/>
      </c>
      <c r="AD614" s="5" t="n">
        <v>80</v>
      </c>
      <c r="AF614" s="65" t="n">
        <v>35</v>
      </c>
      <c r="AH614" s="231" t="n">
        <v>0</v>
      </c>
      <c r="AI614" s="64" t="n">
        <v>3.06</v>
      </c>
      <c r="AJ614" s="20" t="n">
        <v>0.4862268518518518</v>
      </c>
      <c r="AL614" s="2">
        <f>("19:00"-"17:50")*1440</f>
        <v/>
      </c>
      <c r="AM614" s="3">
        <f>180+60</f>
        <v/>
      </c>
      <c r="AP614" s="3" t="n">
        <v>40</v>
      </c>
      <c r="AQ614" s="2" t="n">
        <v>3440.000000000055</v>
      </c>
      <c r="AR614" s="13">
        <f>AVERAGE(AO612:AO618)</f>
        <v/>
      </c>
      <c r="AT614" s="156" t="n"/>
      <c r="AU614" s="155">
        <f>(I614-AF614)/I614</f>
        <v/>
      </c>
      <c r="AV614" s="155">
        <f>AG614/(AD614-AF614)</f>
        <v/>
      </c>
      <c r="AW614" s="61" t="n"/>
      <c r="AX614" s="254">
        <f>IF(AND(ISNUMBER(E614),ISNUMBER(W614)),E614-W614,"")</f>
        <v/>
      </c>
      <c r="AY614" s="254">
        <f>IF(AND(ISNUMBER(I614),ISNUMBER(AF614)),I614-AF614,"")</f>
        <v/>
      </c>
      <c r="AZ614" s="254">
        <f>IF(AND(ISNUMBER(AM614),ISNUMBER(G614)),G614-AM614,"")</f>
        <v/>
      </c>
      <c r="BA614" s="254">
        <f>IF(AND(ISNUMBER(AC614),ISNUMBER(AE614)),AC614-AE614,"")</f>
        <v/>
      </c>
      <c r="BB614" s="254">
        <f>IF(AND(ISNUMBER(AL614),ISNUMBER(AM614)),AL614-AM614,"")</f>
        <v/>
      </c>
      <c r="BC614" s="60" t="n">
        <v>1</v>
      </c>
      <c r="BD614" s="60">
        <f>IF(AND($I614&gt;0,$AF614&gt;=0),IF(($I614-$AF614)/$I614&gt;0,($I614-$AF614)/$I614,0),"")</f>
        <v/>
      </c>
      <c r="BE614" s="60">
        <f>IF(AND($AG614&gt;=0,$AD614&gt;=0,$AF614&gt;=0),IF($AG614/($AD614-$AF614)&gt;0,$AG614/($AD614-$AF614),0),"")</f>
        <v/>
      </c>
      <c r="BF614" s="60">
        <f>IF(AND($G614&gt;0,$AM614&gt;0),IF(($G614-$AM614)/$G614&gt;0,($G614-$AM614)/$G614,0),"")</f>
        <v/>
      </c>
      <c r="BG614" s="6">
        <f>IF((AD614-AF614)/(AJ614/60)&lt;=0,"",(AD614-AF614)/(AJ614/60))</f>
        <v/>
      </c>
      <c r="BH614" s="6">
        <f>IF(OR(AJ614=0,AP614=0,NOT(ISNUMBER(AD614)),NOT(ISNUMBER(AF614)),NOT(ISNUMBER(AJ614)),NOT(ISNUMBER(AP614))),"",
IFERROR(IF((AD614-AF614)/(AJ614/60)/(AP614/1000)&lt;=0,"",(AD614-AF614)/(AJ614/60)/(AP614/1000)),""))</f>
        <v/>
      </c>
    </row>
    <row r="615" ht="15.75" customHeight="1">
      <c r="B615" t="n">
        <v>371</v>
      </c>
      <c r="C615" s="12" t="inlineStr">
        <is>
          <t>aerpro</t>
        </is>
      </c>
      <c r="D615" s="63" t="n">
        <v>45875</v>
      </c>
      <c r="E615" s="231" t="n">
        <v>371</v>
      </c>
      <c r="F615" s="3" t="n">
        <v>610</v>
      </c>
      <c r="G615" s="205">
        <f>IF(OR(S615="",S615=0),"",S615*2)</f>
        <v/>
      </c>
      <c r="K615" s="15">
        <f>AD615</f>
        <v/>
      </c>
      <c r="M615" s="10">
        <f>IF(OR(E615="",G615="",E615=0,G615=0),"",E615/G615)</f>
        <v/>
      </c>
      <c r="N615" s="9">
        <f>IF(OR(E615="",I615="",E615=0,I615=0),"",E615/(I615*2))</f>
        <v/>
      </c>
      <c r="O615" s="8">
        <f>IF(OR(I615="",G615="",I615=0,G615=0),"",I615*2/G615)</f>
        <v/>
      </c>
      <c r="AD615" s="5" t="n">
        <v>80</v>
      </c>
      <c r="AF615" s="65" t="n">
        <v>35</v>
      </c>
      <c r="AH615" s="231" t="n">
        <v>0</v>
      </c>
      <c r="AI615" s="64" t="n">
        <v>11.74</v>
      </c>
      <c r="AJ615" s="20" t="n">
        <v>0.5208333333333334</v>
      </c>
      <c r="AL615" s="2">
        <f>("19:10"-"17:50")*1440</f>
        <v/>
      </c>
      <c r="AM615" s="3">
        <f>180+60</f>
        <v/>
      </c>
      <c r="AP615" s="3" t="n">
        <v>40</v>
      </c>
      <c r="AQ615" s="2" t="n">
        <v>3410.000000000036</v>
      </c>
      <c r="AR615" s="13">
        <f>AVERAGE(AO613:AO619)</f>
        <v/>
      </c>
      <c r="AT615" s="156" t="n"/>
      <c r="AU615" s="155">
        <f>(I615-AF615)/I615</f>
        <v/>
      </c>
      <c r="AV615" s="155">
        <f>AG615/(AD615-AF615)</f>
        <v/>
      </c>
      <c r="AW615" s="61" t="n"/>
      <c r="AX615" s="254">
        <f>IF(AND(ISNUMBER(E615),ISNUMBER(W615)),E615-W615,"")</f>
        <v/>
      </c>
      <c r="AY615" s="254">
        <f>IF(AND(ISNUMBER(I615),ISNUMBER(AF615)),I615-AF615,"")</f>
        <v/>
      </c>
      <c r="AZ615" s="254">
        <f>IF(AND(ISNUMBER(AM615),ISNUMBER(G615)),G615-AM615,"")</f>
        <v/>
      </c>
      <c r="BA615" s="254">
        <f>IF(AND(ISNUMBER(AC615),ISNUMBER(AE615)),AC615-AE615,"")</f>
        <v/>
      </c>
      <c r="BB615" s="254">
        <f>IF(AND(ISNUMBER(AL615),ISNUMBER(AM615)),AL615-AM615,"")</f>
        <v/>
      </c>
      <c r="BC615" s="60" t="n">
        <v>1</v>
      </c>
      <c r="BD615" s="60">
        <f>IF(AND($I615&gt;0,$AF615&gt;=0),IF(($I615-$AF615)/$I615&gt;0,($I615-$AF615)/$I615,0),"")</f>
        <v/>
      </c>
      <c r="BE615" s="60">
        <f>IF(AND($AG615&gt;=0,$AD615&gt;=0,$AF615&gt;=0),IF($AG615/($AD615-$AF615)&gt;0,$AG615/($AD615-$AF615),0),"")</f>
        <v/>
      </c>
      <c r="BF615" s="60">
        <f>IF(AND($G615&gt;0,$AM615&gt;0),IF(($G615-$AM615)/$G615&gt;0,($G615-$AM615)/$G615,0),"")</f>
        <v/>
      </c>
      <c r="BG615" s="6">
        <f>IF((AD615-AF615)/(AJ615/60)&lt;=0,"",(AD615-AF615)/(AJ615/60))</f>
        <v/>
      </c>
      <c r="BH615" s="6">
        <f>IF(OR(AJ615=0,AP615=0,NOT(ISNUMBER(AD615)),NOT(ISNUMBER(AF615)),NOT(ISNUMBER(AJ615)),NOT(ISNUMBER(AP615))),"",
IFERROR(IF((AD615-AF615)/(AJ615/60)/(AP615/1000)&lt;=0,"",(AD615-AF615)/(AJ615/60)/(AP615/1000)),""))</f>
        <v/>
      </c>
    </row>
    <row r="616" ht="15.75" customHeight="1">
      <c r="A616" s="260" t="inlineStr">
        <is>
          <t>B80</t>
        </is>
      </c>
      <c r="B616" s="260" t="n">
        <v>372</v>
      </c>
      <c r="D616" s="63" t="n">
        <v>45876</v>
      </c>
      <c r="E616" s="231" t="n">
        <v>372</v>
      </c>
      <c r="F616" s="3" t="n">
        <v>611</v>
      </c>
      <c r="G616" s="205">
        <f>IF(OR(S616="",S616=0),"",S616*2)</f>
        <v/>
      </c>
      <c r="K616" s="15">
        <f>AD616</f>
        <v/>
      </c>
      <c r="M616" s="10">
        <f>IF(OR(E616="",G616="",E616=0,G616=0),"",E616/G616)</f>
        <v/>
      </c>
      <c r="N616" s="9">
        <f>IF(OR(E616="",I616="",E616=0,I616=0),"",E616/(I616*2))</f>
        <v/>
      </c>
      <c r="O616" s="8">
        <f>IF(OR(I616="",G616="",I616=0,G616=0),"",I616*2/G616)</f>
        <v/>
      </c>
      <c r="AD616" s="5" t="n">
        <v>80</v>
      </c>
      <c r="AF616" s="65" t="n">
        <v>35</v>
      </c>
      <c r="AH616" s="231" t="n">
        <v>0</v>
      </c>
      <c r="AI616" s="64" t="n">
        <v>5.09</v>
      </c>
      <c r="AJ616" s="20" t="n">
        <v>0.4422453703703704</v>
      </c>
      <c r="AL616" s="2">
        <f>("19:00"-"17:50")*1440</f>
        <v/>
      </c>
      <c r="AM616" s="3">
        <f>180+60</f>
        <v/>
      </c>
      <c r="AP616" s="3" t="n">
        <v>40</v>
      </c>
      <c r="AR616" s="13">
        <f>AVERAGE(AO614:AO620)</f>
        <v/>
      </c>
      <c r="AT616" s="156" t="n"/>
      <c r="AU616" s="155">
        <f>(I616-AF616)/I616</f>
        <v/>
      </c>
      <c r="AV616" s="155">
        <f>AG616/(AD616-AF616)</f>
        <v/>
      </c>
      <c r="AW616" s="61" t="n"/>
      <c r="AX616" s="254">
        <f>IF(AND(ISNUMBER(E616),ISNUMBER(W616)),E616-W616,"")</f>
        <v/>
      </c>
      <c r="AY616" s="254">
        <f>IF(AND(ISNUMBER(I616),ISNUMBER(AF616)),I616-AF616,"")</f>
        <v/>
      </c>
      <c r="AZ616" s="254">
        <f>IF(AND(ISNUMBER(AM616),ISNUMBER(G616)),G616-AM616,"")</f>
        <v/>
      </c>
      <c r="BA616" s="254">
        <f>IF(AND(ISNUMBER(AC616),ISNUMBER(AE616)),AC616-AE616,"")</f>
        <v/>
      </c>
      <c r="BB616" s="254">
        <f>IF(AND(ISNUMBER(AL616),ISNUMBER(AM616)),AL616-AM616,"")</f>
        <v/>
      </c>
      <c r="BC616" s="60">
        <f>IF(AND($E616&gt;0,$W616&gt;0),IF(($E616-$W616)/$E616&gt;0,($E616-$W616)/$E616,0),"")</f>
        <v/>
      </c>
      <c r="BD616" s="60">
        <f>IF(AND($I616&gt;0,$AF616&gt;=0),IF(($I616-$AF616)/$I616&gt;0,($I616-$AF616)/$I616,0),"")</f>
        <v/>
      </c>
      <c r="BE616" s="60">
        <f>IF(AND($AG616&gt;=0,$AD616&gt;=0,$AF616&gt;=0),IF($AG616/($AD616-$AF616)&gt;0,$AG616/($AD616-$AF616),0),"")</f>
        <v/>
      </c>
      <c r="BF616" s="60">
        <f>IF(AND($G616&gt;0,$AM616&gt;0),IF(($G616-$AM616)/$G616&gt;0,($G616-$AM616)/$G616,0),"")</f>
        <v/>
      </c>
      <c r="BG616" s="6">
        <f>IF((AD616-AF616)/(AJ616/60)&lt;=0,"",(AD616-AF616)/(AJ616/60))</f>
        <v/>
      </c>
      <c r="BH616" s="6">
        <f>IF(OR(AJ616=0,AP616=0,NOT(ISNUMBER(AD616)),NOT(ISNUMBER(AF616)),NOT(ISNUMBER(AJ616)),NOT(ISNUMBER(AP616))),"",
IFERROR(IF((AD616-AF616)/(AJ616/60)/(AP616/1000)&lt;=0,"",(AD616-AF616)/(AJ616/60)/(AP616/1000)),""))</f>
        <v/>
      </c>
    </row>
    <row r="617" ht="15.75" customHeight="1">
      <c r="B617" t="n">
        <v>373</v>
      </c>
      <c r="D617" s="63" t="n">
        <v>45877</v>
      </c>
      <c r="E617" s="231" t="n">
        <v>373</v>
      </c>
      <c r="F617" s="3" t="n">
        <v>612</v>
      </c>
      <c r="G617" s="205">
        <f>IF(OR(S617="",S617=0),"",S617*2)</f>
        <v/>
      </c>
      <c r="K617" s="15">
        <f>AD617</f>
        <v/>
      </c>
      <c r="M617" s="10">
        <f>IF(OR(E617="",G617="",E617=0,G617=0),"",E617/G617)</f>
        <v/>
      </c>
      <c r="N617" s="9">
        <f>IF(OR(E617="",I617="",E617=0,I617=0),"",E617/(I617*2))</f>
        <v/>
      </c>
      <c r="O617" s="8">
        <f>IF(OR(I617="",G617="",I617=0,G617=0),"",I617*2/G617)</f>
        <v/>
      </c>
      <c r="AD617" s="5" t="n">
        <v>80</v>
      </c>
      <c r="AF617" s="65" t="n">
        <v>35</v>
      </c>
      <c r="AH617" s="231" t="n">
        <v>0</v>
      </c>
      <c r="AI617" s="64" t="n">
        <v>3.96</v>
      </c>
      <c r="AJ617" s="20" t="n">
        <v>0.4384259259259259</v>
      </c>
      <c r="AL617" s="2">
        <f>("19:00"-"17:50")*1440</f>
        <v/>
      </c>
      <c r="AM617" s="3">
        <f>180+60</f>
        <v/>
      </c>
      <c r="AP617" s="3" t="n">
        <v>40</v>
      </c>
      <c r="AR617" s="13">
        <f>AVERAGE(AO615:AO621)</f>
        <v/>
      </c>
      <c r="AT617" s="156" t="n"/>
      <c r="AU617" s="155">
        <f>(I617-AF617)/I617</f>
        <v/>
      </c>
      <c r="AV617" s="155">
        <f>AG617/(AD617-AF617)</f>
        <v/>
      </c>
      <c r="AW617" s="61" t="n"/>
      <c r="AX617" s="254">
        <f>IF(AND(ISNUMBER(E617),ISNUMBER(W617)),E617-W617,"")</f>
        <v/>
      </c>
      <c r="AY617" s="254">
        <f>IF(AND(ISNUMBER(I617),ISNUMBER(AF617)),I617-AF617,"")</f>
        <v/>
      </c>
      <c r="AZ617" s="254">
        <f>IF(AND(ISNUMBER(AM617),ISNUMBER(G617)),G617-AM617,"")</f>
        <v/>
      </c>
      <c r="BA617" s="254">
        <f>IF(AND(ISNUMBER(AC617),ISNUMBER(AE617)),AC617-AE617,"")</f>
        <v/>
      </c>
      <c r="BB617" s="254">
        <f>IF(AND(ISNUMBER(AL617),ISNUMBER(AM617)),AL617-AM617,"")</f>
        <v/>
      </c>
      <c r="BC617" s="60">
        <f>IF(AND($E617&gt;0,$W617&gt;0),IF(($E617-$W617)/$E617&gt;0,($E617-$W617)/$E617,0),"")</f>
        <v/>
      </c>
      <c r="BD617" s="60">
        <f>IF(AND($I617&gt;0,$AF617&gt;=0),IF(($I617-$AF617)/$I617&gt;0,($I617-$AF617)/$I617,0),"")</f>
        <v/>
      </c>
      <c r="BE617" s="60">
        <f>IF(AND($AG617&gt;=0,$AD617&gt;=0,$AF617&gt;=0),IF($AG617/($AD617-$AF617)&gt;0,$AG617/($AD617-$AF617),0),"")</f>
        <v/>
      </c>
      <c r="BF617" s="60">
        <f>IF(AND($G617&gt;0,$AM617&gt;0),IF(($G617-$AM617)/$G617&gt;0,($G617-$AM617)/$G617,0),"")</f>
        <v/>
      </c>
      <c r="BG617" s="6">
        <f>IF((AD617-AF617)/(AJ617/60)&lt;=0,"",(AD617-AF617)/(AJ617/60))</f>
        <v/>
      </c>
      <c r="BH617" s="6">
        <f>IF(OR(AJ617=0,AP617=0,NOT(ISNUMBER(AD617)),NOT(ISNUMBER(AF617)),NOT(ISNUMBER(AJ617)),NOT(ISNUMBER(AP617))),"",
IFERROR(IF((AD617-AF617)/(AJ617/60)/(AP617/1000)&lt;=0,"",(AD617-AF617)/(AJ617/60)/(AP617/1000)),""))</f>
        <v/>
      </c>
    </row>
    <row r="618" ht="15.75" customHeight="1">
      <c r="B618" t="n">
        <v>374</v>
      </c>
      <c r="D618" s="63" t="n">
        <v>45878</v>
      </c>
      <c r="E618" s="231" t="n">
        <v>374</v>
      </c>
      <c r="F618" s="3" t="n">
        <v>613</v>
      </c>
      <c r="G618" s="205">
        <f>IF(OR(S618="",S618=0),"",S618*2)</f>
        <v/>
      </c>
      <c r="K618" s="15">
        <f>AD618</f>
        <v/>
      </c>
      <c r="M618" s="10">
        <f>IF(OR(E618="",G618="",E618=0,G618=0),"",E618/G618)</f>
        <v/>
      </c>
      <c r="N618" s="9">
        <f>IF(OR(E618="",I618="",E618=0,I618=0),"",E618/(I618*2))</f>
        <v/>
      </c>
      <c r="O618" s="8">
        <f>IF(OR(I618="",G618="",I618=0,G618=0),"",I618*2/G618)</f>
        <v/>
      </c>
      <c r="AD618" s="5" t="n">
        <v>80</v>
      </c>
      <c r="AF618" s="65" t="n">
        <v>26</v>
      </c>
      <c r="AH618" s="231" t="n">
        <v>0</v>
      </c>
      <c r="AI618" s="64" t="n">
        <v>4.17</v>
      </c>
      <c r="AJ618" s="20" t="n">
        <v>0.4412037037037037</v>
      </c>
      <c r="AL618" s="2">
        <f>("19:00"-"17:50")*1440</f>
        <v/>
      </c>
      <c r="AM618" s="3">
        <f>180+60</f>
        <v/>
      </c>
      <c r="AP618" s="3" t="n">
        <v>40</v>
      </c>
      <c r="AR618" s="13">
        <f>AVERAGE(AO616:AO622)</f>
        <v/>
      </c>
      <c r="AT618" s="156" t="n"/>
      <c r="AU618" s="155">
        <f>(I618-AF618)/I618</f>
        <v/>
      </c>
      <c r="AV618" s="155">
        <f>AG618/(AD618-AF618)</f>
        <v/>
      </c>
      <c r="AW618" s="61" t="n"/>
      <c r="AX618" s="254">
        <f>IF(AND(ISNUMBER(E618),ISNUMBER(W618)),E618-W618,"")</f>
        <v/>
      </c>
      <c r="AY618" s="254">
        <f>IF(AND(ISNUMBER(I618),ISNUMBER(AF618)),I618-AF618,"")</f>
        <v/>
      </c>
      <c r="AZ618" s="254">
        <f>IF(AND(ISNUMBER(AM618),ISNUMBER(G618)),G618-AM618,"")</f>
        <v/>
      </c>
      <c r="BA618" s="254">
        <f>IF(AND(ISNUMBER(AC618),ISNUMBER(AE618)),AC618-AE618,"")</f>
        <v/>
      </c>
      <c r="BB618" s="254">
        <f>IF(AND(ISNUMBER(AL618),ISNUMBER(AM618)),AL618-AM618,"")</f>
        <v/>
      </c>
      <c r="BC618" s="60">
        <f>IF(AND($E618&gt;0,$W618&gt;0),IF(($E618-$W618)/$E618&gt;0,($E618-$W618)/$E618,0),"")</f>
        <v/>
      </c>
      <c r="BD618" s="60">
        <f>IF(AND($I618&gt;0,$AF618&gt;=0),IF(($I618-$AF618)/$I618&gt;0,($I618-$AF618)/$I618,0),"")</f>
        <v/>
      </c>
      <c r="BE618" s="60">
        <f>IF(AND($AG618&gt;=0,$AD618&gt;=0,$AF618&gt;=0),IF($AG618/($AD618-$AF618)&gt;0,$AG618/($AD618-$AF618),0),"")</f>
        <v/>
      </c>
      <c r="BF618" s="60">
        <f>IF(AND($G618&gt;0,$AM618&gt;0),IF(($G618-$AM618)/$G618&gt;0,($G618-$AM618)/$G618,0),"")</f>
        <v/>
      </c>
      <c r="BG618" s="6">
        <f>IF((AD618-AF618)/(AJ618/60)&lt;=0,"",(AD618-AF618)/(AJ618/60))</f>
        <v/>
      </c>
      <c r="BH618" s="6" t="n"/>
    </row>
    <row r="619" ht="15.75" customHeight="1">
      <c r="B619" t="n">
        <v>375</v>
      </c>
      <c r="D619" s="63" t="n">
        <v>45879</v>
      </c>
      <c r="E619" s="231" t="n">
        <v>375</v>
      </c>
      <c r="F619" s="3" t="n">
        <v>614</v>
      </c>
      <c r="G619" s="205">
        <f>IF(OR(S619="",S619=0),"",S619*2)</f>
        <v/>
      </c>
      <c r="K619" s="15">
        <f>AD619</f>
        <v/>
      </c>
      <c r="M619" s="10">
        <f>IF(OR(E619="",G619="",E619=0,G619=0),"",E619/G619)</f>
        <v/>
      </c>
      <c r="N619" s="9">
        <f>IF(OR(E619="",I619="",E619=0,I619=0),"",E619/(I619*2))</f>
        <v/>
      </c>
      <c r="O619" s="8">
        <f>IF(OR(I619="",G619="",I619=0,G619=0),"",I619*2/G619)</f>
        <v/>
      </c>
      <c r="AD619" s="5" t="n">
        <v>80</v>
      </c>
      <c r="AF619" s="65" t="n">
        <v>26</v>
      </c>
      <c r="AH619" s="231" t="n">
        <v>0</v>
      </c>
      <c r="AI619" s="64" t="n">
        <v>3.51</v>
      </c>
      <c r="AJ619" s="20" t="n">
        <v>0.4378472222222222</v>
      </c>
      <c r="AL619" s="2">
        <f>("19:00"-"17:50")*1440</f>
        <v/>
      </c>
      <c r="AM619" s="3">
        <f>180+60</f>
        <v/>
      </c>
      <c r="AP619" s="3" t="n">
        <v>40</v>
      </c>
      <c r="AR619" s="13">
        <f>AVERAGE(AO617:AO623)</f>
        <v/>
      </c>
      <c r="AT619" s="156" t="n"/>
      <c r="AU619" s="155">
        <f>(I619-AF619)/I619</f>
        <v/>
      </c>
      <c r="AV619" s="155">
        <f>AG619/(AD619-AF619)</f>
        <v/>
      </c>
      <c r="AW619" s="61" t="n"/>
      <c r="AX619" s="254">
        <f>IF(AND(ISNUMBER(E619),ISNUMBER(W619)),E619-W619,"")</f>
        <v/>
      </c>
      <c r="AY619" s="254">
        <f>IF(AND(ISNUMBER(I619),ISNUMBER(AF619)),I619-AF619,"")</f>
        <v/>
      </c>
      <c r="AZ619" s="254">
        <f>IF(AND(ISNUMBER(AM619),ISNUMBER(G619)),G619-AM619,"")</f>
        <v/>
      </c>
      <c r="BA619" s="254">
        <f>IF(AND(ISNUMBER(AC619),ISNUMBER(AE619)),AC619-AE619,"")</f>
        <v/>
      </c>
      <c r="BB619" s="254">
        <f>IF(AND(ISNUMBER(AL619),ISNUMBER(AM619)),AL619-AM619,"")</f>
        <v/>
      </c>
      <c r="BC619" s="60">
        <f>IF(AND($E619&gt;0,$W619&gt;0),IF(($E619-$W619)/$E619&gt;0,($E619-$W619)/$E619,0),"")</f>
        <v/>
      </c>
      <c r="BD619" s="60">
        <f>IF(AND($I619&gt;0,$AF619&gt;=0),IF(($I619-$AF619)/$I619&gt;0,($I619-$AF619)/$I619,0),"")</f>
        <v/>
      </c>
      <c r="BE619" s="60">
        <f>IF(AND($AG619&gt;=0,$AD619&gt;=0,$AF619&gt;=0),IF($AG619/($AD619-$AF619)&gt;0,$AG619/($AD619-$AF619),0),"")</f>
        <v/>
      </c>
      <c r="BF619" s="60">
        <f>IF(AND($G619&gt;0,$AM619&gt;0),IF(($G619-$AM619)/$G619&gt;0,($G619-$AM619)/$G619,0),"")</f>
        <v/>
      </c>
      <c r="BG619" s="6">
        <f>IF((AD619-AF619)/(AJ619/60)&lt;=0,"",(AD619-AF619)/(AJ619/60))</f>
        <v/>
      </c>
      <c r="BH619" s="6" t="n"/>
    </row>
    <row r="620" ht="15.75" customHeight="1">
      <c r="B620" t="n">
        <v>376</v>
      </c>
      <c r="D620" s="63" t="n">
        <v>45880</v>
      </c>
      <c r="E620" s="231" t="n">
        <v>376</v>
      </c>
      <c r="F620" s="3" t="n">
        <v>615</v>
      </c>
      <c r="G620" s="205">
        <f>IF(OR(S620="",S620=0),"",S620*2)</f>
        <v/>
      </c>
      <c r="K620" s="15">
        <f>AD620</f>
        <v/>
      </c>
      <c r="M620" s="10">
        <f>IF(OR(E620="",G620="",E620=0,G620=0),"",E620/G620)</f>
        <v/>
      </c>
      <c r="N620" s="9">
        <f>IF(OR(E620="",I620="",E620=0,I620=0),"",E620/(I620*2))</f>
        <v/>
      </c>
      <c r="O620" s="8">
        <f>IF(OR(I620="",G620="",I620=0,G620=0),"",I620*2/G620)</f>
        <v/>
      </c>
      <c r="AD620" s="5" t="n">
        <v>80</v>
      </c>
      <c r="AF620" s="65" t="n">
        <v>26</v>
      </c>
      <c r="AH620" s="231" t="n">
        <v>0</v>
      </c>
      <c r="AI620" s="64" t="n">
        <v>3.24</v>
      </c>
      <c r="AJ620" s="20" t="n">
        <v>0.4381944444444444</v>
      </c>
      <c r="AL620" s="2">
        <f>("19:00"-"17:50")*1440</f>
        <v/>
      </c>
      <c r="AM620" s="3">
        <f>180+60</f>
        <v/>
      </c>
      <c r="AP620" s="3" t="n">
        <v>40</v>
      </c>
      <c r="AR620" s="13">
        <f>AVERAGE(AO618:AO624)</f>
        <v/>
      </c>
      <c r="AT620" s="156" t="n"/>
      <c r="AU620" s="155">
        <f>(I620-AF620)/I620</f>
        <v/>
      </c>
      <c r="AV620" s="155">
        <f>AG620/(AD620-AF620)</f>
        <v/>
      </c>
      <c r="AW620" s="61" t="n"/>
      <c r="AX620" s="254">
        <f>IF(AND(ISNUMBER(E620),ISNUMBER(W620)),E620-W620,"")</f>
        <v/>
      </c>
      <c r="AY620" s="254">
        <f>IF(AND(ISNUMBER(I620),ISNUMBER(AF620)),I620-AF620,"")</f>
        <v/>
      </c>
      <c r="AZ620" s="254">
        <f>IF(AND(ISNUMBER(AM620),ISNUMBER(G620)),G620-AM620,"")</f>
        <v/>
      </c>
      <c r="BA620" s="254">
        <f>IF(AND(ISNUMBER(AC620),ISNUMBER(AE620)),AC620-AE620,"")</f>
        <v/>
      </c>
      <c r="BB620" s="254">
        <f>IF(AND(ISNUMBER(AL620),ISNUMBER(AM620)),AL620-AM620,"")</f>
        <v/>
      </c>
      <c r="BC620" s="60">
        <f>IF(AND($E620&gt;0,$W620&gt;0),IF(($E620-$W620)/$E620&gt;0,($E620-$W620)/$E620,0),"")</f>
        <v/>
      </c>
      <c r="BD620" s="60">
        <f>IF(AND($I620&gt;0,$AF620&gt;=0),IF(($I620-$AF620)/$I620&gt;0,($I620-$AF620)/$I620,0),"")</f>
        <v/>
      </c>
      <c r="BE620" s="60">
        <f>IF(AND($AG620&gt;=0,$AD620&gt;=0,$AF620&gt;=0),IF($AG620/($AD620-$AF620)&gt;0,$AG620/($AD620-$AF620),0),"")</f>
        <v/>
      </c>
      <c r="BF620" s="60">
        <f>IF(AND($G620&gt;0,$AM620&gt;0),IF(($G620-$AM620)/$G620&gt;0,($G620-$AM620)/$G620,0),"")</f>
        <v/>
      </c>
      <c r="BG620" s="6">
        <f>IF((AD620-AF620)/(AJ620/60)&lt;=0,"",(AD620-AF620)/(AJ620/60))</f>
        <v/>
      </c>
      <c r="BH620" s="6">
        <f>IF(OR(AJ620=0,AP620=0,NOT(ISNUMBER(AD620)),NOT(ISNUMBER(AF620)),NOT(ISNUMBER(AJ620)),NOT(ISNUMBER(AP620))),"",
IFERROR(IF((AD620-AF620)/(AJ620/60)/(AP620/1000)&lt;=0,"",(AD620-AF620)/(AJ620/60)/(AP620/1000)),""))</f>
        <v/>
      </c>
    </row>
    <row r="621" ht="15.75" customHeight="1">
      <c r="B621" t="n">
        <v>377</v>
      </c>
      <c r="D621" s="63" t="n">
        <v>45881</v>
      </c>
      <c r="E621" s="231" t="n">
        <v>377</v>
      </c>
      <c r="F621" s="3" t="n">
        <v>616</v>
      </c>
      <c r="G621" s="205">
        <f>IF(OR(S621="",S621=0),"",S621*2)</f>
        <v/>
      </c>
      <c r="K621" s="15">
        <f>AD621</f>
        <v/>
      </c>
      <c r="M621" s="10">
        <f>IF(OR(E621="",G621="",E621=0,G621=0),"",E621/G621)</f>
        <v/>
      </c>
      <c r="N621" s="9">
        <f>IF(OR(E621="",I621="",E621=0,I621=0),"",E621/(I621*2))</f>
        <v/>
      </c>
      <c r="O621" s="8">
        <f>IF(OR(I621="",G621="",I621=0,G621=0),"",I621*2/G621)</f>
        <v/>
      </c>
      <c r="AD621" s="5" t="n">
        <v>80</v>
      </c>
      <c r="AF621" s="65" t="n">
        <v>26</v>
      </c>
      <c r="AH621" s="231" t="n">
        <v>0</v>
      </c>
      <c r="AI621" s="64" t="n"/>
      <c r="AJ621" s="20" t="n">
        <v>0.4329861111111111</v>
      </c>
      <c r="AL621" s="2">
        <f>("18:55"-"17:50")*1440</f>
        <v/>
      </c>
      <c r="AM621" s="3">
        <f>180+60</f>
        <v/>
      </c>
      <c r="AP621" s="3" t="n">
        <v>40</v>
      </c>
      <c r="AR621" s="13">
        <f>AVERAGE(AO619:AO625)</f>
        <v/>
      </c>
      <c r="AT621" s="156" t="n"/>
      <c r="AU621" s="155">
        <f>(I621-AF621)/I621</f>
        <v/>
      </c>
      <c r="AV621" s="155" t="n"/>
      <c r="AW621" s="61" t="n"/>
      <c r="AX621" s="254">
        <f>IF(AND(ISNUMBER(E621),ISNUMBER(W621)),E621-W621,"")</f>
        <v/>
      </c>
      <c r="AY621" s="254">
        <f>IF(AND(ISNUMBER(I621),ISNUMBER(AF621)),I621-AF621,"")</f>
        <v/>
      </c>
      <c r="AZ621" s="254">
        <f>IF(AND(ISNUMBER(AM621),ISNUMBER(G621)),G621-AM621,"")</f>
        <v/>
      </c>
      <c r="BA621" s="254">
        <f>IF(AND(ISNUMBER(AC621),ISNUMBER(AE621)),AC621-AE621,"")</f>
        <v/>
      </c>
      <c r="BB621" s="254">
        <f>IF(AND(ISNUMBER(AL621),ISNUMBER(AM621)),AL621-AM621,"")</f>
        <v/>
      </c>
      <c r="BC621" s="60">
        <f>IF(AND($E621&gt;0,$W621&gt;0),IF(($E621-$W621)/$E621&gt;0,($E621-$W621)/$E621,0),"")</f>
        <v/>
      </c>
      <c r="BD621" s="60">
        <f>IF(AND($I621&gt;0,$AF621&gt;=0),IF(($I621-$AF621)/$I621&gt;0,($I621-$AF621)/$I621,0),"")</f>
        <v/>
      </c>
      <c r="BE621" s="60">
        <f>IF(AND($AG621&gt;=0,$AD621&gt;=0,$AF621&gt;=0),IF($AG621/($AD621-$AF621)&gt;0,$AG621/($AD621-$AF621),0),"")</f>
        <v/>
      </c>
      <c r="BF621" s="60">
        <f>IF(AND($G621&gt;0,$AM621&gt;0),IF(($G621-$AM621)/$G621&gt;0,($G621-$AM621)/$G621,0),"")</f>
        <v/>
      </c>
      <c r="BG621" s="6">
        <f>IF((AD621-AF621)/(AJ621/60)&lt;=0,"",(AD621-AF621)/(AJ621/60))</f>
        <v/>
      </c>
      <c r="BH621" s="6">
        <f>IF(OR(AJ621=0,AP621=0,NOT(ISNUMBER(AD621)),NOT(ISNUMBER(AF621)),NOT(ISNUMBER(AJ621)),NOT(ISNUMBER(AP621))),"",
IFERROR(IF((AD621-AF621)/(AJ621/60)/(AP621/1000)&lt;=0,"",(AD621-AF621)/(AJ621/60)/(AP621/1000)),""))</f>
        <v/>
      </c>
    </row>
    <row r="622" ht="15.75" customHeight="1">
      <c r="B622" t="n">
        <v>378</v>
      </c>
      <c r="D622" s="66" t="n">
        <v>45882</v>
      </c>
      <c r="E622" s="231" t="n">
        <v>378</v>
      </c>
      <c r="F622" s="3" t="n">
        <v>617</v>
      </c>
      <c r="G622" s="205">
        <f>IF(OR(S622="",S622=0),"",S622*2)</f>
        <v/>
      </c>
      <c r="I622" s="15">
        <f>(N622*18-H622*18)/9</f>
        <v/>
      </c>
      <c r="J622" s="9">
        <f>7.66</f>
        <v/>
      </c>
      <c r="K622" s="15">
        <f>AD622</f>
        <v/>
      </c>
      <c r="M622" s="10">
        <f>IF(OR(E622="",G622="",E622=0,G622=0),"",E622/G622)</f>
        <v/>
      </c>
      <c r="N622" s="9">
        <f>IF(OR(E622="",I622="",E622=0,I622=0),"",E622/(I622*2))</f>
        <v/>
      </c>
      <c r="O622" s="8">
        <f>IF(OR(I622="",G622="",I622=0,G622=0),"",I622*2/G622)</f>
        <v/>
      </c>
      <c r="P622" s="7" t="n">
        <v>15.1</v>
      </c>
      <c r="V622" s="6" t="n">
        <v>43.9</v>
      </c>
      <c r="AD622" s="5" t="n">
        <v>80</v>
      </c>
      <c r="AE622" s="7">
        <f>T622</f>
        <v/>
      </c>
      <c r="AF622" s="65" t="n">
        <v>26.7</v>
      </c>
      <c r="AG622" s="231" t="n">
        <v>20.1</v>
      </c>
      <c r="AH622" s="231">
        <f>2*2.14</f>
        <v/>
      </c>
      <c r="AI622" s="64" t="n"/>
      <c r="AJ622" s="20" t="n">
        <v>0.4289351851851852</v>
      </c>
      <c r="AL622" s="2">
        <f>("18:50"-"17:50")*1440</f>
        <v/>
      </c>
      <c r="AM622" s="3">
        <f>180+60</f>
        <v/>
      </c>
      <c r="AN622" s="4">
        <f>AE622</f>
        <v/>
      </c>
      <c r="AO622" s="231">
        <f>10.8</f>
        <v/>
      </c>
      <c r="AP622" s="3" t="n">
        <v>40</v>
      </c>
      <c r="AR622" s="13">
        <f>AVERAGE(AO620:AO626)</f>
        <v/>
      </c>
      <c r="AT622" s="156" t="n"/>
      <c r="AU622" s="155">
        <f>(I622-AF622)/I622</f>
        <v/>
      </c>
      <c r="AV622" s="155" t="n"/>
      <c r="AW622" s="61">
        <f>(G622-AM622)/G622</f>
        <v/>
      </c>
      <c r="AX622" s="254">
        <f>IF(AND(ISNUMBER(E622),ISNUMBER(W622)),E622-W622,"")</f>
        <v/>
      </c>
      <c r="AY622" s="254">
        <f>IF(AND(ISNUMBER(I622),ISNUMBER(AF622)),I622-AF622,"")</f>
        <v/>
      </c>
      <c r="AZ622" s="254">
        <f>IF(AND(ISNUMBER(AM622),ISNUMBER(G622)),G622-AM622,"")</f>
        <v/>
      </c>
      <c r="BA622" s="254">
        <f>IF(AND(ISNUMBER(AC622),ISNUMBER(AE622)),AC622-AE622,"")</f>
        <v/>
      </c>
      <c r="BB622" s="254">
        <f>IF(AND(ISNUMBER(AL622),ISNUMBER(AM622)),AL622-AM622,"")</f>
        <v/>
      </c>
      <c r="BC622" s="60">
        <f>IF(AND($E622&gt;0,$W622&gt;0),IF(($E622-$W622)/$E622&gt;0,($E622-$W622)/$E622,0),"")</f>
        <v/>
      </c>
      <c r="BD622" s="60">
        <f>IF(AND($I622&gt;0,$AF622&gt;=0),IF(($I622-$AF622)/$I622&gt;0,($I622-$AF622)/$I622,0),"")</f>
        <v/>
      </c>
      <c r="BE622" s="60">
        <f>IF(AND($AG622&gt;=0,$AD622&gt;=0,$AF622&gt;=0),IF($AG622/($AD622-$AF622)&gt;0,$AG622/($AD622-$AF622),0),"")</f>
        <v/>
      </c>
      <c r="BF622" s="60">
        <f>IF(AND($G622&gt;0,$AM622&gt;0),IF(($G622-$AM622)/$G622&gt;0,($G622-$AM622)/$G622,0),"")</f>
        <v/>
      </c>
      <c r="BG622" s="6">
        <f>IF((AD622-AF622)/(AJ622/60)&lt;=0,"",(AD622-AF622)/(AJ622/60))</f>
        <v/>
      </c>
      <c r="BH622" s="6">
        <f>IF(OR(AJ622=0,AP622=0,NOT(ISNUMBER(AD622)),NOT(ISNUMBER(AF622)),NOT(ISNUMBER(AJ622)),NOT(ISNUMBER(AP622))),"",
IFERROR(IF((AD622-AF622)/(AJ622/60)/(AP622/1000)&lt;=0,"",(AD622-AF622)/(AJ622/60)/(AP622/1000)),""))</f>
        <v/>
      </c>
    </row>
    <row r="623" ht="15.75" customHeight="1">
      <c r="B623" t="n">
        <v>379</v>
      </c>
      <c r="C623" s="12" t="inlineStr">
        <is>
          <t>play double NO2</t>
        </is>
      </c>
      <c r="D623" s="63" t="n">
        <v>45883</v>
      </c>
      <c r="E623" s="231" t="n">
        <v>379</v>
      </c>
      <c r="F623" s="3" t="n">
        <v>618</v>
      </c>
      <c r="G623" s="205">
        <f>IF(OR(S623="",S623=0),"",S623*2)</f>
        <v/>
      </c>
      <c r="I623" s="15">
        <f>(N623*18-H623*18)/9</f>
        <v/>
      </c>
      <c r="J623" s="9">
        <f>5*0</f>
        <v/>
      </c>
      <c r="K623" s="15">
        <f>AD623</f>
        <v/>
      </c>
      <c r="M623" s="10">
        <f>IF(OR(E623="",G623="",E623=0,G623=0),"",E623/G623)</f>
        <v/>
      </c>
      <c r="N623" s="9">
        <f>IF(OR(E623="",I623="",E623=0,I623=0),"",E623/(I623*2))</f>
        <v/>
      </c>
      <c r="O623" s="8">
        <f>IF(OR(I623="",G623="",I623=0,G623=0),"",I623*2/G623)</f>
        <v/>
      </c>
      <c r="P623" s="7">
        <f>5*1.26</f>
        <v/>
      </c>
      <c r="AD623" s="5" t="n">
        <v>80</v>
      </c>
      <c r="AE623" s="7">
        <f>T623</f>
        <v/>
      </c>
      <c r="AF623" s="65">
        <f>AD622+5*7.35</f>
        <v/>
      </c>
      <c r="AG623" s="231">
        <f>5*0.583</f>
        <v/>
      </c>
      <c r="AH623" s="231">
        <f>5*0.583</f>
        <v/>
      </c>
      <c r="AI623" s="64" t="n">
        <v>12.94</v>
      </c>
      <c r="AJ623" s="20" t="n">
        <v>0.4938657407407407</v>
      </c>
      <c r="AL623" s="2">
        <f>("19:00"-"17:50")*1440</f>
        <v/>
      </c>
      <c r="AM623" s="3">
        <f>180+60</f>
        <v/>
      </c>
      <c r="AN623" s="4">
        <f>AE623</f>
        <v/>
      </c>
      <c r="AO623" s="231">
        <f>5*0.359</f>
        <v/>
      </c>
      <c r="AP623" s="3" t="n">
        <v>40</v>
      </c>
      <c r="AR623" s="13">
        <f>AVERAGE(AO621:AO627)</f>
        <v/>
      </c>
      <c r="AT623" s="156" t="n"/>
      <c r="AU623" s="155">
        <f>(I623-AF623)/I623</f>
        <v/>
      </c>
      <c r="AV623" s="155">
        <f>AG623/(AD623-AF623)</f>
        <v/>
      </c>
      <c r="AW623" s="61">
        <f>(G623-AM623)/G623</f>
        <v/>
      </c>
      <c r="AX623" s="254">
        <f>IF(AND(ISNUMBER(E623),ISNUMBER(W623)),E623-W623,"")</f>
        <v/>
      </c>
      <c r="AY623" s="254">
        <f>IF(AND(ISNUMBER(I623),ISNUMBER(AF623)),I623-AF623,"")</f>
        <v/>
      </c>
      <c r="AZ623" s="254">
        <f>IF(AND(ISNUMBER(AM623),ISNUMBER(G623)),G623-AM623,"")</f>
        <v/>
      </c>
      <c r="BA623" s="254">
        <f>IF(AND(ISNUMBER(AC623),ISNUMBER(AE623)),AC623-AE623,"")</f>
        <v/>
      </c>
      <c r="BB623" s="254">
        <f>IF(AND(ISNUMBER(AL623),ISNUMBER(AM623)),AL623-AM623,"")</f>
        <v/>
      </c>
      <c r="BC623" s="60">
        <f>IF(AND($E623&gt;0,$W623&gt;0),IF(($E623-$W623)/$E623&gt;0,($E623-$W623)/$E623,0),"")</f>
        <v/>
      </c>
      <c r="BD623" s="60">
        <f>IF(AND($I623&gt;0,$AF623&gt;=0),IF(($I623-$AF623)/$I623&gt;0,($I623-$AF623)/$I623,0),"")</f>
        <v/>
      </c>
      <c r="BE623" s="60">
        <f>IF(AND($AG623&gt;=0,$AD623&gt;=0,$AF623&gt;=0),IF($AG623/($AD623-$AF623)&gt;0,$AG623/($AD623-$AF623),0),"")</f>
        <v/>
      </c>
      <c r="BF623" s="60">
        <f>IF(AND($G623&gt;0,$AM623&gt;0),IF(($G623-$AM623)/$G623&gt;0,($G623-$AM623)/$G623,0),"")</f>
        <v/>
      </c>
      <c r="BG623" s="6">
        <f>IF((AD623-AF623)/(AJ623/60)&lt;=0,"",(AD623-AF623)/(AJ623/60))</f>
        <v/>
      </c>
      <c r="BH623" s="6">
        <f>IF(OR(AJ623=0,AP623=0,NOT(ISNUMBER(AD623)),NOT(ISNUMBER(AF623)),NOT(ISNUMBER(AJ623)),NOT(ISNUMBER(AP623))),"",
IFERROR(IF((AD623-AF623)/(AJ623/60)/(AP623/1000)&lt;=0,"",(AD623-AF623)/(AJ623/60)/(AP623/1000)),""))</f>
        <v/>
      </c>
    </row>
    <row r="624" ht="15.75" customHeight="1">
      <c r="A624" s="260" t="inlineStr">
        <is>
          <t>B81</t>
        </is>
      </c>
      <c r="B624" s="260" t="n">
        <v>380</v>
      </c>
      <c r="C624" s="12" t="inlineStr">
        <is>
          <t>nitrateace</t>
        </is>
      </c>
      <c r="D624" s="63" t="n">
        <v>45884</v>
      </c>
      <c r="E624" s="231" t="n">
        <v>380</v>
      </c>
      <c r="F624" s="3" t="n">
        <v>619</v>
      </c>
      <c r="G624" s="205">
        <f>IF(OR(S624="",S624=0),"",S624*2)</f>
        <v/>
      </c>
      <c r="K624" s="15">
        <f>AD624</f>
        <v/>
      </c>
      <c r="M624" s="10">
        <f>IF(OR(E624="",G624="",E624=0,G624=0),"",E624/G624)</f>
        <v/>
      </c>
      <c r="N624" s="9">
        <f>IF(OR(E624="",I624="",E624=0,I624=0),"",E624/(I624*2))</f>
        <v/>
      </c>
      <c r="O624" s="8">
        <f>IF(OR(I624="",G624="",I624=0,G624=0),"",I624*2/G624)</f>
        <v/>
      </c>
      <c r="AD624" s="5" t="n">
        <v>80</v>
      </c>
      <c r="AF624" s="65" t="n">
        <v>32</v>
      </c>
      <c r="AH624" s="231" t="n">
        <v>0</v>
      </c>
      <c r="AI624" s="64" t="n">
        <v>1.46</v>
      </c>
      <c r="AJ624" s="20" t="n">
        <v>0.5208333333333334</v>
      </c>
      <c r="AL624" s="2">
        <f>("19:10"-"17:50")*1440</f>
        <v/>
      </c>
      <c r="AM624" s="3">
        <f>180+60</f>
        <v/>
      </c>
      <c r="AP624" s="3" t="n">
        <v>40</v>
      </c>
      <c r="AQ624" s="2" t="n">
        <v>3869.999999999982</v>
      </c>
      <c r="AR624" s="13">
        <f>AVERAGE(AO622:AO628)</f>
        <v/>
      </c>
      <c r="AT624" s="156" t="n"/>
      <c r="AU624" s="155">
        <f>(I624-AF624)/I624</f>
        <v/>
      </c>
      <c r="AV624" s="155">
        <f>AG624/(AD624-AF624)</f>
        <v/>
      </c>
      <c r="AW624" s="61" t="n"/>
      <c r="AX624" s="254">
        <f>IF(AND(ISNUMBER(E624),ISNUMBER(W624)),E624-W624,"")</f>
        <v/>
      </c>
      <c r="AY624" s="254">
        <f>IF(AND(ISNUMBER(I624),ISNUMBER(AF624)),I624-AF624,"")</f>
        <v/>
      </c>
      <c r="AZ624" s="254">
        <f>IF(AND(ISNUMBER(AM624),ISNUMBER(G624)),G624-AM624,"")</f>
        <v/>
      </c>
      <c r="BA624" s="254">
        <f>IF(AND(ISNUMBER(AC624),ISNUMBER(AE624)),AC624-AE624,"")</f>
        <v/>
      </c>
      <c r="BB624" s="254">
        <f>IF(AND(ISNUMBER(AL624),ISNUMBER(AM624)),AL624-AM624,"")</f>
        <v/>
      </c>
      <c r="BC624" s="60" t="n">
        <v>1</v>
      </c>
      <c r="BD624" s="60">
        <f>IF(AND($I624&gt;0,$AF624&gt;=0),IF(($I624-$AF624)/$I624&gt;0,($I624-$AF624)/$I624,0),"")</f>
        <v/>
      </c>
      <c r="BE624" s="60">
        <f>IF(AND($AG624&gt;=0,$AD624&gt;=0,$AF624&gt;=0),IF($AG624/($AD624-$AF624)&gt;0,$AG624/($AD624-$AF624),0),"")</f>
        <v/>
      </c>
      <c r="BF624" s="60">
        <f>IF(AND($G624&gt;0,$AM624&gt;0),IF(($G624-$AM624)/$G624&gt;0,($G624-$AM624)/$G624,0),"")</f>
        <v/>
      </c>
      <c r="BG624" s="6">
        <f>IF((AD624-AF624)/(AJ624/60)&lt;=0,"",(AD624-AF624)/(AJ624/60))</f>
        <v/>
      </c>
      <c r="BH624" s="6">
        <f>IF(OR(AJ624=0,AP624=0,NOT(ISNUMBER(AD624)),NOT(ISNUMBER(AF624)),NOT(ISNUMBER(AJ624)),NOT(ISNUMBER(AP624))),"",
IFERROR(IF((AD624-AF624)/(AJ624/60)/(AP624/1000)&lt;=0,"",(AD624-AF624)/(AJ624/60)/(AP624/1000)),""))</f>
        <v/>
      </c>
    </row>
    <row r="625" ht="15.75" customHeight="1">
      <c r="B625" t="n">
        <v>381</v>
      </c>
      <c r="D625" s="63" t="n">
        <v>45885</v>
      </c>
      <c r="E625" s="231" t="n">
        <v>381</v>
      </c>
      <c r="F625" s="3" t="n">
        <v>620</v>
      </c>
      <c r="G625" s="205">
        <f>IF(OR(S625="",S625=0),"",S625*2)</f>
        <v/>
      </c>
      <c r="K625" s="15">
        <f>AD625</f>
        <v/>
      </c>
      <c r="M625" s="10">
        <f>IF(OR(E625="",G625="",E625=0,G625=0),"",E625/G625)</f>
        <v/>
      </c>
      <c r="N625" s="9">
        <f>IF(OR(E625="",I625="",E625=0,I625=0),"",E625/(I625*2))</f>
        <v/>
      </c>
      <c r="O625" s="8">
        <f>IF(OR(I625="",G625="",I625=0,G625=0),"",I625*2/G625)</f>
        <v/>
      </c>
      <c r="AD625" s="5" t="n">
        <v>80</v>
      </c>
      <c r="AF625" s="65" t="n">
        <v>32</v>
      </c>
      <c r="AH625" s="231" t="n">
        <v>0</v>
      </c>
      <c r="AI625" s="64" t="n">
        <v>4.95</v>
      </c>
      <c r="AJ625" s="20" t="n">
        <v>0.4405092592592593</v>
      </c>
      <c r="AL625" s="2">
        <f>("19:00"-"17:50")*1440</f>
        <v/>
      </c>
      <c r="AM625" s="3">
        <f>180+60</f>
        <v/>
      </c>
      <c r="AP625" s="3" t="n">
        <v>40</v>
      </c>
      <c r="AR625" s="13">
        <f>AVERAGE(AO623:AO629)</f>
        <v/>
      </c>
      <c r="AT625" s="156" t="n"/>
      <c r="AU625" s="155">
        <f>(I625-AF625)/I625</f>
        <v/>
      </c>
      <c r="AV625" s="155">
        <f>AG625/(AD625-AF625)</f>
        <v/>
      </c>
      <c r="AW625" s="61" t="n"/>
      <c r="AX625" s="254">
        <f>IF(AND(ISNUMBER(E625),ISNUMBER(W625)),E625-W625,"")</f>
        <v/>
      </c>
      <c r="AY625" s="254">
        <f>IF(AND(ISNUMBER(I625),ISNUMBER(AF625)),I625-AF625,"")</f>
        <v/>
      </c>
      <c r="AZ625" s="254">
        <f>IF(AND(ISNUMBER(AM625),ISNUMBER(G625)),G625-AM625,"")</f>
        <v/>
      </c>
      <c r="BA625" s="254">
        <f>IF(AND(ISNUMBER(AC625),ISNUMBER(AE625)),AC625-AE625,"")</f>
        <v/>
      </c>
      <c r="BB625" s="254">
        <f>IF(AND(ISNUMBER(AL625),ISNUMBER(AM625)),AL625-AM625,"")</f>
        <v/>
      </c>
      <c r="BC625" s="60">
        <f>IF(AND($E625&gt;0,$W625&gt;0),IF(($E625-$W625)/$E625&gt;0,($E625-$W625)/$E625,0),"")</f>
        <v/>
      </c>
      <c r="BD625" s="60">
        <f>IF(AND($I625&gt;0,$AF625&gt;=0),IF(($I625-$AF625)/$I625&gt;0,($I625-$AF625)/$I625,0),"")</f>
        <v/>
      </c>
      <c r="BE625" s="60">
        <f>IF(AND($AG625&gt;=0,$AD625&gt;=0,$AF625&gt;=0),IF($AG625/($AD625-$AF625)&gt;0,$AG625/($AD625-$AF625),0),"")</f>
        <v/>
      </c>
      <c r="BF625" s="60">
        <f>IF(AND($G625&gt;0,$AM625&gt;0),IF(($G625-$AM625)/$G625&gt;0,($G625-$AM625)/$G625,0),"")</f>
        <v/>
      </c>
      <c r="BG625" s="6">
        <f>IF((AD625-AF625)/(AJ625/60)&lt;=0,"",(AD625-AF625)/(AJ625/60))</f>
        <v/>
      </c>
      <c r="BH625" s="6">
        <f>IF(OR(AJ625=0,AP625=0,NOT(ISNUMBER(AD625)),NOT(ISNUMBER(AF625)),NOT(ISNUMBER(AJ625)),NOT(ISNUMBER(AP625))),"",
IFERROR(IF((AD625-AF625)/(AJ625/60)/(AP625/1000)&lt;=0,"",(AD625-AF625)/(AJ625/60)/(AP625/1000)),""))</f>
        <v/>
      </c>
    </row>
    <row r="626" ht="15.75" customHeight="1">
      <c r="B626" t="n">
        <v>382</v>
      </c>
      <c r="D626" s="63" t="n">
        <v>45886</v>
      </c>
      <c r="E626" s="231" t="n">
        <v>382</v>
      </c>
      <c r="F626" s="3" t="n">
        <v>621</v>
      </c>
      <c r="G626" s="205">
        <f>IF(OR(S626="",S626=0),"",S626*2)</f>
        <v/>
      </c>
      <c r="I626" s="58" t="n">
        <v>14.4</v>
      </c>
      <c r="K626" s="15">
        <f>AD626</f>
        <v/>
      </c>
      <c r="M626" s="10">
        <f>IF(OR(E626="",G626="",E626=0,G626=0),"",E626/G626)</f>
        <v/>
      </c>
      <c r="N626" s="9">
        <f>IF(OR(E626="",I626="",E626=0,I626=0),"",E626/(I626*2))</f>
        <v/>
      </c>
      <c r="O626" s="8">
        <f>IF(OR(I626="",G626="",I626=0,G626=0),"",I626*2/G626)</f>
        <v/>
      </c>
      <c r="AD626" s="5" t="n">
        <v>80</v>
      </c>
      <c r="AF626" s="65" t="n">
        <v>32</v>
      </c>
      <c r="AG626" s="231">
        <f>5*3.56</f>
        <v/>
      </c>
      <c r="AH626" s="231" t="n">
        <v>0</v>
      </c>
      <c r="AI626" s="64" t="n">
        <v>6.7</v>
      </c>
      <c r="AJ626" s="20" t="n">
        <v>0.4414351851851852</v>
      </c>
      <c r="AL626" s="2">
        <f>("19:00"-"17:50")*1440</f>
        <v/>
      </c>
      <c r="AM626" s="3">
        <f>180+60</f>
        <v/>
      </c>
      <c r="AN626" s="4">
        <f>AE626</f>
        <v/>
      </c>
      <c r="AO626" s="231">
        <f>5*1.68</f>
        <v/>
      </c>
      <c r="AP626" s="3" t="n">
        <v>40</v>
      </c>
      <c r="AR626" s="13">
        <f>AVERAGE(AO624:AO630)</f>
        <v/>
      </c>
      <c r="AT626" s="156" t="n"/>
      <c r="AU626" s="155">
        <f>(I626-AF626)/I626</f>
        <v/>
      </c>
      <c r="AV626" s="155">
        <f>AG626/(AD626-AF626)</f>
        <v/>
      </c>
      <c r="AW626" s="61">
        <f>(G626-AM626)/G626</f>
        <v/>
      </c>
      <c r="AX626" s="254">
        <f>IF(AND(ISNUMBER(E626),ISNUMBER(W626)),E626-W626,"")</f>
        <v/>
      </c>
      <c r="AY626" s="254">
        <f>IF(AND(ISNUMBER(I626),ISNUMBER(AF626)),I626-AF626,"")</f>
        <v/>
      </c>
      <c r="AZ626" s="254">
        <f>IF(AND(ISNUMBER(AM626),ISNUMBER(G626)),G626-AM626,"")</f>
        <v/>
      </c>
      <c r="BA626" s="254">
        <f>IF(AND(ISNUMBER(AC626),ISNUMBER(AE626)),AC626-AE626,"")</f>
        <v/>
      </c>
      <c r="BB626" s="254">
        <f>IF(AND(ISNUMBER(AL626),ISNUMBER(AM626)),AL626-AM626,"")</f>
        <v/>
      </c>
      <c r="BC626" s="60">
        <f>IF(AND($E626&gt;0,$W626&gt;0),IF(($E626-$W626)/$E626&gt;0,($E626-$W626)/$E626,0),"")</f>
        <v/>
      </c>
      <c r="BD626" s="60">
        <f>IF(AND($I626&gt;0,$AF626&gt;=0),IF(($I626-$AF626)/$I626&gt;0,($I626-$AF626)/$I626,0),"")</f>
        <v/>
      </c>
      <c r="BE626" s="60">
        <f>IF(AND($AG626&gt;=0,$AD626&gt;=0,$AF626&gt;=0),IF($AG626/($AD626-$AF626)&gt;0,$AG626/($AD626-$AF626),0),"")</f>
        <v/>
      </c>
      <c r="BF626" s="60">
        <f>IF(AND($G626&gt;0,$AM626&gt;0),IF(($G626-$AM626)/$G626&gt;0,($G626-$AM626)/$G626,0),"")</f>
        <v/>
      </c>
      <c r="BG626" s="6">
        <f>IF((AD626-AF626)/(AJ626/60)&lt;=0,"",(AD626-AF626)/(AJ626/60))</f>
        <v/>
      </c>
      <c r="BH626" s="6">
        <f>IF(OR(AJ626=0,AP626=0,NOT(ISNUMBER(AD626)),NOT(ISNUMBER(AF626)),NOT(ISNUMBER(AJ626)),NOT(ISNUMBER(AP626))),"",
IFERROR(IF((AD626-AF626)/(AJ626/60)/(AP626/1000)&lt;=0,"",(AD626-AF626)/(AJ626/60)/(AP626/1000)),""))</f>
        <v/>
      </c>
    </row>
    <row r="627" ht="15.75" customHeight="1">
      <c r="B627" t="n">
        <v>383</v>
      </c>
      <c r="D627" s="63" t="n">
        <v>45887</v>
      </c>
      <c r="E627" s="231" t="n">
        <v>383</v>
      </c>
      <c r="F627" s="3" t="n">
        <v>622</v>
      </c>
      <c r="G627" s="205">
        <f>IF(OR(S627="",S627=0),"",S627*2)</f>
        <v/>
      </c>
      <c r="K627" s="15">
        <f>AD627</f>
        <v/>
      </c>
      <c r="M627" s="10">
        <f>IF(OR(E627="",G627="",E627=0,G627=0),"",E627/G627)</f>
        <v/>
      </c>
      <c r="N627" s="9">
        <f>IF(OR(E627="",I627="",E627=0,I627=0),"",E627/(I627*2))</f>
        <v/>
      </c>
      <c r="O627" s="8">
        <f>IF(OR(I627="",G627="",I627=0,G627=0),"",I627*2/G627)</f>
        <v/>
      </c>
      <c r="AD627" s="5" t="n">
        <v>80</v>
      </c>
      <c r="AF627" s="65" t="n">
        <v>32</v>
      </c>
      <c r="AH627" s="231" t="n">
        <v>0</v>
      </c>
      <c r="AI627" s="64" t="n">
        <v>10.61</v>
      </c>
      <c r="AJ627" s="20" t="n">
        <v>0.4528935185185185</v>
      </c>
      <c r="AL627" s="2">
        <f>("19:35"-"17:50")*1440</f>
        <v/>
      </c>
      <c r="AM627" s="3">
        <f>180+60</f>
        <v/>
      </c>
      <c r="AP627" s="3" t="n">
        <v>40</v>
      </c>
      <c r="AR627" s="13">
        <f>AVERAGE(AO625:AO631)</f>
        <v/>
      </c>
      <c r="AT627" s="156" t="n"/>
      <c r="AU627" s="155">
        <f>(I627-AF627)/I627</f>
        <v/>
      </c>
      <c r="AV627" s="155">
        <f>AG627/(AD627-AF627)</f>
        <v/>
      </c>
      <c r="AW627" s="61" t="n"/>
      <c r="AX627" s="254">
        <f>IF(AND(ISNUMBER(E627),ISNUMBER(W627)),E627-W627,"")</f>
        <v/>
      </c>
      <c r="AY627" s="254">
        <f>IF(AND(ISNUMBER(I627),ISNUMBER(AF627)),I627-AF627,"")</f>
        <v/>
      </c>
      <c r="AZ627" s="254">
        <f>IF(AND(ISNUMBER(AM627),ISNUMBER(G627)),G627-AM627,"")</f>
        <v/>
      </c>
      <c r="BA627" s="254">
        <f>IF(AND(ISNUMBER(AC627),ISNUMBER(AE627)),AC627-AE627,"")</f>
        <v/>
      </c>
      <c r="BB627" s="254">
        <f>IF(AND(ISNUMBER(AL627),ISNUMBER(AM627)),AL627-AM627,"")</f>
        <v/>
      </c>
      <c r="BC627" s="60">
        <f>IF(AND($E627&gt;0,$W627&gt;0),IF(($E627-$W627)/$E627&gt;0,($E627-$W627)/$E627,0),"")</f>
        <v/>
      </c>
      <c r="BD627" s="60">
        <f>IF(AND($I627&gt;0,$AF627&gt;=0),IF(($I627-$AF627)/$I627&gt;0,($I627-$AF627)/$I627,0),"")</f>
        <v/>
      </c>
      <c r="BE627" s="60">
        <f>IF(AND($AG627&gt;=0,$AD627&gt;=0,$AF627&gt;=0),IF($AG627/($AD627-$AF627)&gt;0,$AG627/($AD627-$AF627),0),"")</f>
        <v/>
      </c>
      <c r="BF627" s="60">
        <f>IF(AND($G627&gt;0,$AM627&gt;0),IF(($G627-$AM627)/$G627&gt;0,($G627-$AM627)/$G627,0),"")</f>
        <v/>
      </c>
      <c r="BG627" s="6">
        <f>IF((AD627-AF627)/(AJ627/60)&lt;=0,"",(AD627-AF627)/(AJ627/60))</f>
        <v/>
      </c>
      <c r="BH627" s="6">
        <f>IF(OR(AJ627=0,AP627=0,NOT(ISNUMBER(AD627)),NOT(ISNUMBER(AF627)),NOT(ISNUMBER(AJ627)),NOT(ISNUMBER(AP627))),"",
IFERROR(IF((AD627-AF627)/(AJ627/60)/(AP627/1000)&lt;=0,"",(AD627-AF627)/(AJ627/60)/(AP627/1000)),""))</f>
        <v/>
      </c>
    </row>
    <row r="628" ht="15.75" customHeight="1">
      <c r="B628" t="n">
        <v>384</v>
      </c>
      <c r="C628" s="12" t="inlineStr">
        <is>
          <t>nitratepro</t>
        </is>
      </c>
      <c r="D628" s="66" t="n">
        <v>45888</v>
      </c>
      <c r="E628" s="231" t="n">
        <v>384</v>
      </c>
      <c r="F628" s="3" t="n">
        <v>623</v>
      </c>
      <c r="G628" s="205">
        <f>IF(OR(S628="",S628=0),"",S628*2)</f>
        <v/>
      </c>
      <c r="K628" s="15">
        <f>AD628</f>
        <v/>
      </c>
      <c r="M628" s="10">
        <f>IF(OR(E628="",G628="",E628=0,G628=0),"",E628/G628)</f>
        <v/>
      </c>
      <c r="N628" s="9">
        <f>IF(OR(E628="",I628="",E628=0,I628=0),"",E628/(I628*2))</f>
        <v/>
      </c>
      <c r="O628" s="8">
        <f>IF(OR(I628="",G628="",I628=0,G628=0),"",I628*2/G628)</f>
        <v/>
      </c>
      <c r="AD628" s="5" t="n">
        <v>80</v>
      </c>
      <c r="AF628" s="65" t="n">
        <v>32</v>
      </c>
      <c r="AH628" s="231" t="n">
        <v>0</v>
      </c>
      <c r="AI628" s="64" t="n">
        <v>5.37</v>
      </c>
      <c r="AJ628" s="20" t="n">
        <v>0.5208333333333334</v>
      </c>
      <c r="AL628" s="2">
        <f>("19:45"-"17:50")*1440</f>
        <v/>
      </c>
      <c r="AM628" s="3">
        <f>180+60</f>
        <v/>
      </c>
      <c r="AP628" s="3" t="n">
        <v>40</v>
      </c>
      <c r="AQ628" s="2" t="n">
        <v>4129.999999999973</v>
      </c>
      <c r="AR628" s="13">
        <f>AVERAGE(AO626:AO632)</f>
        <v/>
      </c>
      <c r="AT628" s="156" t="n"/>
      <c r="AU628" s="155">
        <f>(I628-AF628)/I628</f>
        <v/>
      </c>
      <c r="AV628" s="155">
        <f>AG628/(AD628-AF628)</f>
        <v/>
      </c>
      <c r="AW628" s="61" t="n"/>
      <c r="AX628" s="254">
        <f>IF(AND(ISNUMBER(E628),ISNUMBER(W628)),E628-W628,"")</f>
        <v/>
      </c>
      <c r="AY628" s="254">
        <f>IF(AND(ISNUMBER(I628),ISNUMBER(AF628)),I628-AF628,"")</f>
        <v/>
      </c>
      <c r="AZ628" s="254">
        <f>IF(AND(ISNUMBER(AM628),ISNUMBER(G628)),G628-AM628,"")</f>
        <v/>
      </c>
      <c r="BA628" s="254">
        <f>IF(AND(ISNUMBER(AC628),ISNUMBER(AE628)),AC628-AE628,"")</f>
        <v/>
      </c>
      <c r="BB628" s="254">
        <f>IF(AND(ISNUMBER(AL628),ISNUMBER(AM628)),AL628-AM628,"")</f>
        <v/>
      </c>
      <c r="BC628" s="60" t="n">
        <v>1</v>
      </c>
      <c r="BD628" s="60">
        <f>IF(AND($I628&gt;0,$AF628&gt;=0),IF(($I628-$AF628)/$I628&gt;0,($I628-$AF628)/$I628,0),"")</f>
        <v/>
      </c>
      <c r="BE628" s="60">
        <f>IF(AND($AG628&gt;=0,$AD628&gt;=0,$AF628&gt;=0),IF($AG628/($AD628-$AF628)&gt;0,$AG628/($AD628-$AF628),0),"")</f>
        <v/>
      </c>
      <c r="BF628" s="60">
        <f>IF(AND($G628&gt;0,$AM628&gt;0),IF(($G628-$AM628)/$G628&gt;0,($G628-$AM628)/$G628,0),"")</f>
        <v/>
      </c>
      <c r="BG628" s="6">
        <f>IF((AD628-AF628)/(AJ628/60)&lt;=0,"",(AD628-AF628)/(AJ628/60))</f>
        <v/>
      </c>
      <c r="BH628" s="6">
        <f>IF(OR(AJ628=0,AP628=0,NOT(ISNUMBER(AD628)),NOT(ISNUMBER(AF628)),NOT(ISNUMBER(AJ628)),NOT(ISNUMBER(AP628))),"",
IFERROR(IF((AD628-AF628)/(AJ628/60)/(AP628/1000)&lt;=0,"",(AD628-AF628)/(AJ628/60)/(AP628/1000)),""))</f>
        <v/>
      </c>
    </row>
    <row r="629" ht="15.75" customHeight="1">
      <c r="B629" t="n">
        <v>385</v>
      </c>
      <c r="D629" s="63" t="n">
        <v>45889</v>
      </c>
      <c r="E629" s="231" t="n">
        <v>385</v>
      </c>
      <c r="F629" s="3" t="n">
        <v>624</v>
      </c>
      <c r="G629" s="205">
        <f>IF(OR(S629="",S629=0),"",S629*2)</f>
        <v/>
      </c>
      <c r="K629" s="15">
        <f>AD629</f>
        <v/>
      </c>
      <c r="M629" s="10">
        <f>IF(OR(E629="",G629="",E629=0,G629=0),"",E629/G629)</f>
        <v/>
      </c>
      <c r="N629" s="9">
        <f>IF(OR(E629="",I629="",E629=0,I629=0),"",E629/(I629*2))</f>
        <v/>
      </c>
      <c r="O629" s="8">
        <f>IF(OR(I629="",G629="",I629=0,G629=0),"",I629*2/G629)</f>
        <v/>
      </c>
      <c r="AD629" s="5" t="n">
        <v>80</v>
      </c>
      <c r="AF629" s="65" t="n">
        <v>32</v>
      </c>
      <c r="AH629" s="231" t="n">
        <v>0</v>
      </c>
      <c r="AI629" s="64" t="n">
        <v>9.869999999999999</v>
      </c>
      <c r="AJ629" s="20" t="n">
        <v>0.4946759259259259</v>
      </c>
      <c r="AL629" s="2">
        <f>("20:55"-"17:50")*1440</f>
        <v/>
      </c>
      <c r="AM629" s="3">
        <f>180+60</f>
        <v/>
      </c>
      <c r="AP629" s="3" t="n">
        <v>40</v>
      </c>
      <c r="AR629" s="13">
        <f>AVERAGE(AO627:AO633)</f>
        <v/>
      </c>
      <c r="AT629" s="156" t="n"/>
      <c r="AU629" s="155">
        <f>(I629-AF629)/I629</f>
        <v/>
      </c>
      <c r="AV629" s="155">
        <f>AG629/(AD629-AF629)</f>
        <v/>
      </c>
      <c r="AW629" s="61" t="n"/>
      <c r="AX629" s="254">
        <f>IF(AND(ISNUMBER(E629),ISNUMBER(W629)),E629-W629,"")</f>
        <v/>
      </c>
      <c r="AY629" s="254">
        <f>IF(AND(ISNUMBER(I629),ISNUMBER(AF629)),I629-AF629,"")</f>
        <v/>
      </c>
      <c r="AZ629" s="254">
        <f>IF(AND(ISNUMBER(AM629),ISNUMBER(G629)),G629-AM629,"")</f>
        <v/>
      </c>
      <c r="BA629" s="254">
        <f>IF(AND(ISNUMBER(AC629),ISNUMBER(AE629)),AC629-AE629,"")</f>
        <v/>
      </c>
      <c r="BB629" s="254">
        <f>IF(AND(ISNUMBER(AL629),ISNUMBER(AM629)),AL629-AM629,"")</f>
        <v/>
      </c>
      <c r="BC629" s="60">
        <f>IF(AND($E629&gt;0,$W629&gt;0),IF(($E629-$W629)/$E629&gt;0,($E629-$W629)/$E629,0),"")</f>
        <v/>
      </c>
      <c r="BD629" s="60">
        <f>IF(AND($I629&gt;0,$AF629&gt;=0),IF(($I629-$AF629)/$I629&gt;0,($I629-$AF629)/$I629,0),"")</f>
        <v/>
      </c>
      <c r="BE629" s="60">
        <f>IF(AND($AG629&gt;=0,$AD629&gt;=0,$AF629&gt;=0),IF($AG629/($AD629-$AF629)&gt;0,$AG629/($AD629-$AF629),0),"")</f>
        <v/>
      </c>
      <c r="BF629" s="60">
        <f>IF(AND($G629&gt;0,$AM629&gt;0),IF(($G629-$AM629)/$G629&gt;0,($G629-$AM629)/$G629,0),"")</f>
        <v/>
      </c>
      <c r="BG629" s="6">
        <f>IF((AD629-AF629)/(AJ629/60)&lt;=0,"",(AD629-AF629)/(AJ629/60))</f>
        <v/>
      </c>
      <c r="BH629" s="6">
        <f>IF(OR(AJ629=0,AP629=0,NOT(ISNUMBER(AD629)),NOT(ISNUMBER(AF629)),NOT(ISNUMBER(AJ629)),NOT(ISNUMBER(AP629))),"",
IFERROR(IF((AD629-AF629)/(AJ629/60)/(AP629/1000)&lt;=0,"",(AD629-AF629)/(AJ629/60)/(AP629/1000)),""))</f>
        <v/>
      </c>
    </row>
    <row r="630" ht="15.75" customHeight="1">
      <c r="A630" s="260" t="inlineStr">
        <is>
          <t>B82</t>
        </is>
      </c>
      <c r="B630" s="260" t="n">
        <v>386</v>
      </c>
      <c r="C630" s="12" t="inlineStr">
        <is>
          <t xml:space="preserve">reduce of COD due to pressure gas builidup </t>
        </is>
      </c>
      <c r="D630" s="63" t="n">
        <v>45890</v>
      </c>
      <c r="E630" s="231" t="n">
        <v>386</v>
      </c>
      <c r="F630" s="3" t="n">
        <v>625</v>
      </c>
      <c r="G630" s="205">
        <f>IF(OR(S630="",S630=0),"",S630*2)</f>
        <v/>
      </c>
      <c r="I630" s="15">
        <f>(N630*18-H630*18)/9</f>
        <v/>
      </c>
      <c r="J630" s="9">
        <f>5*0</f>
        <v/>
      </c>
      <c r="K630" s="15">
        <f>AD630</f>
        <v/>
      </c>
      <c r="M630" s="10">
        <f>IF(OR(E630="",G630="",E630=0,G630=0),"",E630/G630)</f>
        <v/>
      </c>
      <c r="N630" s="9">
        <f>IF(OR(E630="",I630="",E630=0,I630=0),"",E630/(I630*2))</f>
        <v/>
      </c>
      <c r="O630" s="8">
        <f>IF(OR(I630="",G630="",I630=0,G630=0),"",I630*2/G630)</f>
        <v/>
      </c>
      <c r="P630" s="7">
        <f>5*1.26</f>
        <v/>
      </c>
      <c r="V630" s="6" t="n">
        <v>21.4</v>
      </c>
      <c r="AD630" s="5" t="n">
        <v>80</v>
      </c>
      <c r="AE630" s="7">
        <f>T630</f>
        <v/>
      </c>
      <c r="AF630" s="65" t="n">
        <v>35</v>
      </c>
      <c r="AG630" s="231">
        <f>5*0.264</f>
        <v/>
      </c>
      <c r="AH630" s="231">
        <f>2*2.14</f>
        <v/>
      </c>
      <c r="AI630" s="64" t="n">
        <v>10.78</v>
      </c>
      <c r="AJ630" s="20" t="n">
        <v>0.5208333333333334</v>
      </c>
      <c r="AL630" s="2">
        <f>("21:05"-"17:50")*1440</f>
        <v/>
      </c>
      <c r="AM630" s="3">
        <f>180+60</f>
        <v/>
      </c>
      <c r="AN630" s="4">
        <f>AE630</f>
        <v/>
      </c>
      <c r="AO630" s="231" t="n">
        <v>0</v>
      </c>
      <c r="AP630" s="3" t="n">
        <v>40</v>
      </c>
      <c r="AR630" s="13">
        <f>AVERAGE(AO628:AO634)</f>
        <v/>
      </c>
      <c r="AT630" s="156" t="n"/>
      <c r="AU630" s="155">
        <f>(I630-AF630)/I630</f>
        <v/>
      </c>
      <c r="AV630" s="155">
        <f>AG630/(AD630-AF630)</f>
        <v/>
      </c>
      <c r="AW630" s="61">
        <f>(G630-AM630)/G630</f>
        <v/>
      </c>
      <c r="AX630" s="254">
        <f>IF(AND(ISNUMBER(E630),ISNUMBER(W630)),E630-W630,"")</f>
        <v/>
      </c>
      <c r="AY630" s="254">
        <f>IF(AND(ISNUMBER(I630),ISNUMBER(AF630)),I630-AF630,"")</f>
        <v/>
      </c>
      <c r="AZ630" s="254">
        <f>IF(AND(ISNUMBER(AM630),ISNUMBER(G630)),G630-AM630,"")</f>
        <v/>
      </c>
      <c r="BA630" s="254">
        <f>IF(AND(ISNUMBER(AC630),ISNUMBER(AE630)),AC630-AE630,"")</f>
        <v/>
      </c>
      <c r="BB630" s="254">
        <f>IF(AND(ISNUMBER(AL630),ISNUMBER(AM630)),AL630-AM630,"")</f>
        <v/>
      </c>
      <c r="BC630" s="60">
        <f>IF(AND($E630&gt;0,$W630&gt;0),IF(($E630-$W630)/$E630&gt;0,($E630-$W630)/$E630,0),"")</f>
        <v/>
      </c>
      <c r="BD630" s="60">
        <f>IF(AND($I630&gt;0,$AF630&gt;=0),IF(($I630-$AF630)/$I630&gt;0,($I630-$AF630)/$I630,0),"")</f>
        <v/>
      </c>
      <c r="BE630" s="60">
        <f>IF(AND($AG630&gt;=0,$AD630&gt;=0,$AF630&gt;=0),IF($AG630/($AD630-$AF630)&gt;0,$AG630/($AD630-$AF630),0),"")</f>
        <v/>
      </c>
      <c r="BF630" s="60">
        <f>IF(AND($G630&gt;0,$AM630&gt;0),IF(($G630-$AM630)/$G630&gt;0,($G630-$AM630)/$G630,0),"")</f>
        <v/>
      </c>
      <c r="BG630" s="6">
        <f>IF((AD630-AF630)/(AJ630/60)&lt;=0,"",(AD630-AF630)/(AJ630/60))</f>
        <v/>
      </c>
      <c r="BH630" s="6" t="n"/>
    </row>
    <row r="631" ht="15.75" customHeight="1">
      <c r="B631" t="n">
        <v>387</v>
      </c>
      <c r="D631" s="63" t="n">
        <v>45891</v>
      </c>
      <c r="E631" s="231" t="n">
        <v>387</v>
      </c>
      <c r="F631" s="3" t="n">
        <v>626</v>
      </c>
      <c r="G631" s="205">
        <f>IF(OR(S631="",S631=0),"",S631*2)</f>
        <v/>
      </c>
      <c r="K631" s="15">
        <f>AD631</f>
        <v/>
      </c>
      <c r="M631" s="10">
        <f>IF(OR(E631="",G631="",E631=0,G631=0),"",E631/G631)</f>
        <v/>
      </c>
      <c r="N631" s="9">
        <f>IF(OR(E631="",I631="",E631=0,I631=0),"",E631/(I631*2))</f>
        <v/>
      </c>
      <c r="O631" s="8">
        <f>IF(OR(I631="",G631="",I631=0,G631=0),"",I631*2/G631)</f>
        <v/>
      </c>
      <c r="AD631" s="5" t="n">
        <v>80</v>
      </c>
      <c r="AF631" s="65" t="n">
        <v>35</v>
      </c>
      <c r="AH631" s="231" t="n">
        <v>0</v>
      </c>
      <c r="AI631" s="64" t="n">
        <v>11.31</v>
      </c>
      <c r="AJ631" s="20" t="n">
        <v>0.5082175925925926</v>
      </c>
      <c r="AL631" s="2">
        <f>("20:50"-"17:50")*1440</f>
        <v/>
      </c>
      <c r="AM631" s="3">
        <f>180+60</f>
        <v/>
      </c>
      <c r="AP631" s="3" t="n">
        <v>40</v>
      </c>
      <c r="AR631" s="13">
        <f>AVERAGE(AO629:AO635)</f>
        <v/>
      </c>
      <c r="AT631" s="156" t="n"/>
      <c r="AU631" s="155">
        <f>(I631-AF631)/I631</f>
        <v/>
      </c>
      <c r="AV631" s="155">
        <f>AG631/(AD631-AF631)</f>
        <v/>
      </c>
      <c r="AW631" s="61" t="n"/>
      <c r="AX631" s="254">
        <f>IF(AND(ISNUMBER(E631),ISNUMBER(W631)),E631-W631,"")</f>
        <v/>
      </c>
      <c r="AY631" s="254">
        <f>IF(AND(ISNUMBER(I631),ISNUMBER(AF631)),I631-AF631,"")</f>
        <v/>
      </c>
      <c r="AZ631" s="254">
        <f>IF(AND(ISNUMBER(AM631),ISNUMBER(G631)),G631-AM631,"")</f>
        <v/>
      </c>
      <c r="BA631" s="254">
        <f>IF(AND(ISNUMBER(AC631),ISNUMBER(AE631)),AC631-AE631,"")</f>
        <v/>
      </c>
      <c r="BB631" s="254">
        <f>IF(AND(ISNUMBER(AL631),ISNUMBER(AM631)),AL631-AM631,"")</f>
        <v/>
      </c>
      <c r="BC631" s="60">
        <f>IF(AND($E631&gt;0,$W631&gt;0),IF(($E631-$W631)/$E631&gt;0,($E631-$W631)/$E631,0),"")</f>
        <v/>
      </c>
      <c r="BD631" s="60">
        <f>IF(AND($I631&gt;0,$AF631&gt;=0),IF(($I631-$AF631)/$I631&gt;0,($I631-$AF631)/$I631,0),"")</f>
        <v/>
      </c>
      <c r="BE631" s="60">
        <f>IF(AND($AG631&gt;=0,$AD631&gt;=0,$AF631&gt;=0),IF($AG631/($AD631-$AF631)&gt;0,$AG631/($AD631-$AF631),0),"")</f>
        <v/>
      </c>
      <c r="BF631" s="60">
        <f>IF(AND($G631&gt;0,$AM631&gt;0),IF(($G631-$AM631)/$G631&gt;0,($G631-$AM631)/$G631,0),"")</f>
        <v/>
      </c>
      <c r="BG631" s="6">
        <f>IF((AD631-AF631)/(AJ631/60)&lt;=0,"",(AD631-AF631)/(AJ631/60))</f>
        <v/>
      </c>
      <c r="BH631" s="6" t="n"/>
    </row>
    <row r="632" ht="15.75" customHeight="1">
      <c r="B632" t="n">
        <v>388</v>
      </c>
      <c r="D632" s="63" t="n">
        <v>45892</v>
      </c>
      <c r="E632" s="231" t="n">
        <v>388</v>
      </c>
      <c r="F632" s="3" t="n">
        <v>627</v>
      </c>
      <c r="G632" s="205">
        <f>IF(OR(S632="",S632=0),"",S632*2)</f>
        <v/>
      </c>
      <c r="K632" s="15">
        <f>AD632</f>
        <v/>
      </c>
      <c r="M632" s="10">
        <f>IF(OR(E632="",G632="",E632=0,G632=0),"",E632/G632)</f>
        <v/>
      </c>
      <c r="N632" s="9">
        <f>IF(OR(E632="",I632="",E632=0,I632=0),"",E632/(I632*2))</f>
        <v/>
      </c>
      <c r="O632" s="8">
        <f>IF(OR(I632="",G632="",I632=0,G632=0),"",I632*2/G632)</f>
        <v/>
      </c>
      <c r="AD632" s="5" t="n">
        <v>80</v>
      </c>
      <c r="AF632" s="65" t="n">
        <v>35</v>
      </c>
      <c r="AH632" s="231" t="n">
        <v>0</v>
      </c>
      <c r="AI632" s="64" t="n">
        <v>11.29</v>
      </c>
      <c r="AJ632" s="20" t="n">
        <v>0.5077546296296296</v>
      </c>
      <c r="AL632" s="2">
        <f>("20:50"-"17:50")*1440</f>
        <v/>
      </c>
      <c r="AM632" s="3">
        <f>180+60</f>
        <v/>
      </c>
      <c r="AP632" s="3" t="n">
        <v>40</v>
      </c>
      <c r="AR632" s="13">
        <f>AVERAGE(AO630:AO636)</f>
        <v/>
      </c>
      <c r="AT632" s="156" t="n"/>
      <c r="AU632" s="155">
        <f>(I632-AF632)/I632</f>
        <v/>
      </c>
      <c r="AV632" s="155">
        <f>AG632/(AD632-AF632)</f>
        <v/>
      </c>
      <c r="AW632" s="61" t="n"/>
      <c r="AX632" s="254">
        <f>IF(AND(ISNUMBER(E632),ISNUMBER(W632)),E632-W632,"")</f>
        <v/>
      </c>
      <c r="AY632" s="254">
        <f>IF(AND(ISNUMBER(I632),ISNUMBER(AF632)),I632-AF632,"")</f>
        <v/>
      </c>
      <c r="AZ632" s="254">
        <f>IF(AND(ISNUMBER(AM632),ISNUMBER(G632)),G632-AM632,"")</f>
        <v/>
      </c>
      <c r="BA632" s="254">
        <f>IF(AND(ISNUMBER(AC632),ISNUMBER(AE632)),AC632-AE632,"")</f>
        <v/>
      </c>
      <c r="BB632" s="254">
        <f>IF(AND(ISNUMBER(AL632),ISNUMBER(AM632)),AL632-AM632,"")</f>
        <v/>
      </c>
      <c r="BC632" s="60">
        <f>IF(AND($E632&gt;0,$W632&gt;0),IF(($E632-$W632)/$E632&gt;0,($E632-$W632)/$E632,0),"")</f>
        <v/>
      </c>
      <c r="BD632" s="60">
        <f>IF(AND($I632&gt;0,$AF632&gt;=0),IF(($I632-$AF632)/$I632&gt;0,($I632-$AF632)/$I632,0),"")</f>
        <v/>
      </c>
      <c r="BE632" s="60">
        <f>IF(AND($AG632&gt;=0,$AD632&gt;=0,$AF632&gt;=0),IF($AG632/($AD632-$AF632)&gt;0,$AG632/($AD632-$AF632),0),"")</f>
        <v/>
      </c>
      <c r="BF632" s="60">
        <f>IF(AND($G632&gt;0,$AM632&gt;0),IF(($G632-$AM632)/$G632&gt;0,($G632-$AM632)/$G632,0),"")</f>
        <v/>
      </c>
      <c r="BG632" s="6">
        <f>IF((AD632-AF632)/(AJ632/60)&lt;=0,"",(AD632-AF632)/(AJ632/60))</f>
        <v/>
      </c>
      <c r="BH632" s="6" t="n"/>
    </row>
    <row r="633" ht="15.75" customHeight="1">
      <c r="B633" t="n">
        <v>389</v>
      </c>
      <c r="C633" s="12" t="inlineStr">
        <is>
          <t>weird cycle</t>
        </is>
      </c>
      <c r="D633" s="63" t="n">
        <v>45893</v>
      </c>
      <c r="E633" s="231" t="n">
        <v>389</v>
      </c>
      <c r="F633" s="3" t="n">
        <v>628</v>
      </c>
      <c r="G633" s="205">
        <f>IF(OR(S633="",S633=0),"",S633*2)</f>
        <v/>
      </c>
      <c r="K633" s="15">
        <f>AD633</f>
        <v/>
      </c>
      <c r="M633" s="10">
        <f>IF(OR(E633="",G633="",E633=0,G633=0),"",E633/G633)</f>
        <v/>
      </c>
      <c r="N633" s="9">
        <f>IF(OR(E633="",I633="",E633=0,I633=0),"",E633/(I633*2))</f>
        <v/>
      </c>
      <c r="O633" s="8">
        <f>IF(OR(I633="",G633="",I633=0,G633=0),"",I633*2/G633)</f>
        <v/>
      </c>
      <c r="AD633" s="5" t="n">
        <v>80</v>
      </c>
      <c r="AF633" s="65" t="n">
        <v>35</v>
      </c>
      <c r="AH633" s="231" t="n">
        <v>0</v>
      </c>
      <c r="AI633" s="64" t="n">
        <v>14.09</v>
      </c>
      <c r="AJ633" s="20" t="n">
        <v>0.491087962962963</v>
      </c>
      <c r="AL633" s="2" t="n"/>
      <c r="AM633" s="3">
        <f>180+60</f>
        <v/>
      </c>
      <c r="AP633" s="3" t="n">
        <v>40</v>
      </c>
      <c r="AR633" s="13">
        <f>AVERAGE(AO631:AO637)</f>
        <v/>
      </c>
      <c r="AT633" s="156" t="n"/>
      <c r="AU633" s="155">
        <f>(I633-AF633)/I633</f>
        <v/>
      </c>
      <c r="AV633" s="155">
        <f>AG633/(AD633-AF633)</f>
        <v/>
      </c>
      <c r="AW633" s="61" t="n"/>
      <c r="AX633" s="254">
        <f>IF(AND(ISNUMBER(E633),ISNUMBER(W633)),E633-W633,"")</f>
        <v/>
      </c>
      <c r="AY633" s="254">
        <f>IF(AND(ISNUMBER(I633),ISNUMBER(AF633)),I633-AF633,"")</f>
        <v/>
      </c>
      <c r="AZ633" s="254">
        <f>IF(AND(ISNUMBER(AM633),ISNUMBER(G633)),G633-AM633,"")</f>
        <v/>
      </c>
      <c r="BA633" s="254">
        <f>IF(AND(ISNUMBER(AC633),ISNUMBER(AE633)),AC633-AE633,"")</f>
        <v/>
      </c>
      <c r="BB633" s="254">
        <f>IF(AND(ISNUMBER(AL633),ISNUMBER(AM633)),AL633-AM633,"")</f>
        <v/>
      </c>
      <c r="BC633" s="60">
        <f>IF(AND($E633&gt;0,$W633&gt;0),IF(($E633-$W633)/$E633&gt;0,($E633-$W633)/$E633,0),"")</f>
        <v/>
      </c>
      <c r="BD633" s="60">
        <f>IF(AND($I633&gt;0,$AF633&gt;=0),IF(($I633-$AF633)/$I633&gt;0,($I633-$AF633)/$I633,0),"")</f>
        <v/>
      </c>
      <c r="BE633" s="60">
        <f>IF(AND($AG633&gt;=0,$AD633&gt;=0,$AF633&gt;=0),IF($AG633/($AD633-$AF633)&gt;0,$AG633/($AD633-$AF633),0),"")</f>
        <v/>
      </c>
      <c r="BF633" s="60">
        <f>IF(AND($G633&gt;0,$AM633&gt;0),IF(($G633-$AM633)/$G633&gt;0,($G633-$AM633)/$G633,0),"")</f>
        <v/>
      </c>
      <c r="BG633" s="6">
        <f>IF((AD633-AF633)/(AJ633/60)&lt;=0,"",(AD633-AF633)/(AJ633/60))</f>
        <v/>
      </c>
      <c r="BH633" s="6" t="n"/>
    </row>
    <row r="634" ht="15.75" customHeight="1">
      <c r="B634" t="n">
        <v>390</v>
      </c>
      <c r="D634" s="63" t="n">
        <v>45894</v>
      </c>
      <c r="E634" s="231" t="n">
        <v>390</v>
      </c>
      <c r="F634" s="3" t="n">
        <v>629</v>
      </c>
      <c r="G634" s="205">
        <f>IF(OR(S634="",S634=0),"",S634*2)</f>
        <v/>
      </c>
      <c r="K634" s="15">
        <f>AD634</f>
        <v/>
      </c>
      <c r="M634" s="10">
        <f>IF(OR(E634="",G634="",E634=0,G634=0),"",E634/G634)</f>
        <v/>
      </c>
      <c r="N634" s="9">
        <f>IF(OR(E634="",I634="",E634=0,I634=0),"",E634/(I634*2))</f>
        <v/>
      </c>
      <c r="O634" s="8">
        <f>IF(OR(I634="",G634="",I634=0,G634=0),"",I634*2/G634)</f>
        <v/>
      </c>
      <c r="AD634" s="5" t="n">
        <v>80</v>
      </c>
      <c r="AF634" s="65" t="n">
        <v>35</v>
      </c>
      <c r="AH634" s="231" t="n">
        <v>0</v>
      </c>
      <c r="AI634" s="64" t="n">
        <v>5.49</v>
      </c>
      <c r="AJ634" s="20" t="n">
        <v>0.4422453703703704</v>
      </c>
      <c r="AL634" s="2">
        <f>("19:20"-"17:50")*1440</f>
        <v/>
      </c>
      <c r="AM634" s="3">
        <f>180+60</f>
        <v/>
      </c>
      <c r="AP634" s="3" t="n">
        <v>40</v>
      </c>
      <c r="AR634" s="13">
        <f>AVERAGE(AO632:AO638)</f>
        <v/>
      </c>
      <c r="AT634" s="156" t="n"/>
      <c r="AU634" s="155">
        <f>(I634-AF634)/I634</f>
        <v/>
      </c>
      <c r="AV634" s="155">
        <f>AG634/(AD634-AF634)</f>
        <v/>
      </c>
      <c r="AW634" s="61" t="n"/>
      <c r="AX634" s="254">
        <f>IF(AND(ISNUMBER(E634),ISNUMBER(W634)),E634-W634,"")</f>
        <v/>
      </c>
      <c r="AY634" s="254">
        <f>IF(AND(ISNUMBER(I634),ISNUMBER(AF634)),I634-AF634,"")</f>
        <v/>
      </c>
      <c r="AZ634" s="254">
        <f>IF(AND(ISNUMBER(AM634),ISNUMBER(G634)),G634-AM634,"")</f>
        <v/>
      </c>
      <c r="BA634" s="254">
        <f>IF(AND(ISNUMBER(AC634),ISNUMBER(AE634)),AC634-AE634,"")</f>
        <v/>
      </c>
      <c r="BB634" s="254">
        <f>IF(AND(ISNUMBER(AL634),ISNUMBER(AM634)),AL634-AM634,"")</f>
        <v/>
      </c>
      <c r="BC634" s="60">
        <f>IF(AND($E634&gt;0,$W634&gt;0),IF(($E634-$W634)/$E634&gt;0,($E634-$W634)/$E634,0),"")</f>
        <v/>
      </c>
      <c r="BD634" s="60">
        <f>IF(AND($I634&gt;0,$AF634&gt;=0),IF(($I634-$AF634)/$I634&gt;0,($I634-$AF634)/$I634,0),"")</f>
        <v/>
      </c>
      <c r="BE634" s="60">
        <f>IF(AND($AG634&gt;=0,$AD634&gt;=0,$AF634&gt;=0),IF($AG634/($AD634-$AF634)&gt;0,$AG634/($AD634-$AF634),0),"")</f>
        <v/>
      </c>
      <c r="BF634" s="60">
        <f>IF(AND($G634&gt;0,$AM634&gt;0),IF(($G634-$AM634)/$G634&gt;0,($G634-$AM634)/$G634,0),"")</f>
        <v/>
      </c>
      <c r="BG634" s="6">
        <f>IF((AD634-AF634)/(AJ634/60)&lt;=0,"",(AD634-AF634)/(AJ634/60))</f>
        <v/>
      </c>
      <c r="BH634" s="6" t="n"/>
    </row>
    <row r="635" ht="15.75" customHeight="1">
      <c r="B635" t="n">
        <v>391</v>
      </c>
      <c r="D635" s="63" t="n">
        <v>45895</v>
      </c>
      <c r="E635" s="231" t="n">
        <v>391</v>
      </c>
      <c r="F635" s="3" t="n">
        <v>630</v>
      </c>
      <c r="G635" s="205">
        <f>IF(OR(S635="",S635=0),"",S635*2)</f>
        <v/>
      </c>
      <c r="I635" s="58" t="n">
        <v>14</v>
      </c>
      <c r="K635" s="15">
        <f>AD635</f>
        <v/>
      </c>
      <c r="M635" s="10">
        <f>IF(OR(E635="",G635="",E635=0,G635=0),"",E635/G635)</f>
        <v/>
      </c>
      <c r="N635" s="9">
        <f>IF(OR(E635="",I635="",E635=0,I635=0),"",E635/(I635*2))</f>
        <v/>
      </c>
      <c r="O635" s="8">
        <f>IF(OR(I635="",G635="",I635=0,G635=0),"",I635*2/G635)</f>
        <v/>
      </c>
      <c r="AD635" s="5" t="n">
        <v>80</v>
      </c>
      <c r="AF635" s="65" t="n">
        <v>35</v>
      </c>
      <c r="AG635" s="231">
        <f>AL635</f>
        <v/>
      </c>
      <c r="AH635" s="231" t="n">
        <v>0</v>
      </c>
      <c r="AI635" s="64" t="n"/>
      <c r="AJ635" s="20" t="n">
        <v>0.4111111111111111</v>
      </c>
      <c r="AL635" s="2">
        <f>("19:00"-"17:50")*1440</f>
        <v/>
      </c>
      <c r="AM635" s="3">
        <f>180+60</f>
        <v/>
      </c>
      <c r="AN635" s="4">
        <f>2*8.29</f>
        <v/>
      </c>
      <c r="AO635" s="231">
        <f>2*2.48</f>
        <v/>
      </c>
      <c r="AP635" s="3" t="n">
        <v>40</v>
      </c>
      <c r="AR635" s="13">
        <f>AVERAGE(AO633:AO639)</f>
        <v/>
      </c>
      <c r="AT635" s="156" t="n"/>
      <c r="AU635" s="155">
        <f>(I635-AF635)/I635</f>
        <v/>
      </c>
      <c r="AV635" s="155" t="n"/>
      <c r="AW635" s="61">
        <f>(G635-AM635)/G635</f>
        <v/>
      </c>
      <c r="AX635" s="254">
        <f>IF(AND(ISNUMBER(E635),ISNUMBER(W635)),E635-W635,"")</f>
        <v/>
      </c>
      <c r="AY635" s="254">
        <f>IF(AND(ISNUMBER(I635),ISNUMBER(AF635)),I635-AF635,"")</f>
        <v/>
      </c>
      <c r="AZ635" s="254">
        <f>IF(AND(ISNUMBER(AM635),ISNUMBER(G635)),G635-AM635,"")</f>
        <v/>
      </c>
      <c r="BA635" s="254">
        <f>IF(AND(ISNUMBER(AC635),ISNUMBER(AE635)),AC635-AE635,"")</f>
        <v/>
      </c>
      <c r="BB635" s="254">
        <f>IF(AND(ISNUMBER(AL635),ISNUMBER(AM635)),AL635-AM635,"")</f>
        <v/>
      </c>
      <c r="BC635" s="60">
        <f>IF(AND($E635&gt;0,$W635&gt;0),IF(($E635-$W635)/$E635&gt;0,($E635-$W635)/$E635,0),"")</f>
        <v/>
      </c>
      <c r="BD635" s="60">
        <f>IF(AND($I635&gt;0,$AF635&gt;=0),IF(($I635-$AF635)/$I635&gt;0,($I635-$AF635)/$I635,0),"")</f>
        <v/>
      </c>
      <c r="BE635" s="60">
        <f>IF(AND($AG635&gt;=0,$AD635&gt;=0,$AF635&gt;=0),IF($AG635/($AD635-$AF635)&gt;0,$AG635/($AD635-$AF635),0),"")</f>
        <v/>
      </c>
      <c r="BF635" s="60">
        <f>IF(AND($G635&gt;0,$AM635&gt;0),IF(($G635-$AM635)/$G635&gt;0,($G635-$AM635)/$G635,0),"")</f>
        <v/>
      </c>
      <c r="BG635" s="6">
        <f>IF((AD635-AF635)/(AJ635/60)&lt;=0,"",(AD635-AF635)/(AJ635/60))</f>
        <v/>
      </c>
      <c r="BH635" s="6" t="n"/>
    </row>
    <row r="636" ht="15.75" customHeight="1">
      <c r="B636" t="n">
        <v>392</v>
      </c>
      <c r="D636" s="63" t="n">
        <v>45896</v>
      </c>
      <c r="E636" s="231" t="n">
        <v>392</v>
      </c>
      <c r="F636" s="3" t="n">
        <v>631</v>
      </c>
      <c r="G636" s="205">
        <f>IF(OR(S636="",S636=0),"",S636*2)</f>
        <v/>
      </c>
      <c r="K636" s="15">
        <f>AD636</f>
        <v/>
      </c>
      <c r="M636" s="10">
        <f>IF(OR(E636="",G636="",E636=0,G636=0),"",E636/G636)</f>
        <v/>
      </c>
      <c r="N636" s="9">
        <f>IF(OR(E636="",I636="",E636=0,I636=0),"",E636/(I636*2))</f>
        <v/>
      </c>
      <c r="O636" s="8">
        <f>IF(OR(I636="",G636="",I636=0,G636=0),"",I636*2/G636)</f>
        <v/>
      </c>
      <c r="AD636" s="5" t="n">
        <v>80</v>
      </c>
      <c r="AF636" s="65" t="n">
        <v>35</v>
      </c>
      <c r="AH636" s="231" t="n">
        <v>0</v>
      </c>
      <c r="AI636" s="64" t="n"/>
      <c r="AJ636" s="20" t="n">
        <v>0.4045138888888889</v>
      </c>
      <c r="AL636" s="2">
        <f>("19:00"-"17:50")*1440</f>
        <v/>
      </c>
      <c r="AM636" s="3">
        <f>180+60</f>
        <v/>
      </c>
      <c r="AP636" s="3" t="n">
        <v>40</v>
      </c>
      <c r="AR636" s="13">
        <f>AVERAGE(AO634:AO640)</f>
        <v/>
      </c>
      <c r="AT636" s="156" t="n"/>
      <c r="AU636" s="155">
        <f>(I636-AF636)/I636</f>
        <v/>
      </c>
      <c r="AV636" s="155" t="n"/>
      <c r="AW636" s="61" t="n"/>
      <c r="AX636" s="254">
        <f>IF(AND(ISNUMBER(E636),ISNUMBER(W636)),E636-W636,"")</f>
        <v/>
      </c>
      <c r="AY636" s="254">
        <f>IF(AND(ISNUMBER(I636),ISNUMBER(AF636)),I636-AF636,"")</f>
        <v/>
      </c>
      <c r="AZ636" s="254">
        <f>IF(AND(ISNUMBER(AM636),ISNUMBER(G636)),G636-AM636,"")</f>
        <v/>
      </c>
      <c r="BA636" s="254">
        <f>IF(AND(ISNUMBER(AC636),ISNUMBER(AE636)),AC636-AE636,"")</f>
        <v/>
      </c>
      <c r="BB636" s="254">
        <f>IF(AND(ISNUMBER(AL636),ISNUMBER(AM636)),AL636-AM636,"")</f>
        <v/>
      </c>
      <c r="BC636" s="60">
        <f>IF(AND($E636&gt;0,$W636&gt;0),IF(($E636-$W636)/$E636&gt;0,($E636-$W636)/$E636,0),"")</f>
        <v/>
      </c>
      <c r="BD636" s="60">
        <f>IF(AND($I636&gt;0,$AF636&gt;=0),IF(($I636-$AF636)/$I636&gt;0,($I636-$AF636)/$I636,0),"")</f>
        <v/>
      </c>
      <c r="BE636" s="60">
        <f>IF(AND($AG636&gt;=0,$AD636&gt;=0,$AF636&gt;=0),IF($AG636/($AD636-$AF636)&gt;0,$AG636/($AD636-$AF636),0),"")</f>
        <v/>
      </c>
      <c r="BF636" s="60">
        <f>IF(AND($G636&gt;0,$AM636&gt;0),IF(($G636-$AM636)/$G636&gt;0,($G636-$AM636)/$G636,0),"")</f>
        <v/>
      </c>
      <c r="BG636" s="6">
        <f>IF((AD636-AF636)/(AJ636/60)&lt;=0,"",(AD636-AF636)/(AJ636/60))</f>
        <v/>
      </c>
      <c r="BH636" s="6" t="n"/>
    </row>
    <row r="637" ht="15.75" customHeight="1">
      <c r="B637" t="n">
        <v>393</v>
      </c>
      <c r="D637" s="63" t="n">
        <v>45897</v>
      </c>
      <c r="E637" s="231" t="n">
        <v>393</v>
      </c>
      <c r="F637" s="3" t="n">
        <v>632</v>
      </c>
      <c r="G637" s="205">
        <f>IF(OR(S637="",S637=0),"",S637*2)</f>
        <v/>
      </c>
      <c r="K637" s="15">
        <f>AD637</f>
        <v/>
      </c>
      <c r="M637" s="10">
        <f>IF(OR(E637="",G637="",E637=0,G637=0),"",E637/G637)</f>
        <v/>
      </c>
      <c r="N637" s="9">
        <f>IF(OR(E637="",I637="",E637=0,I637=0),"",E637/(I637*2))</f>
        <v/>
      </c>
      <c r="O637" s="8">
        <f>IF(OR(I637="",G637="",I637=0,G637=0),"",I637*2/G637)</f>
        <v/>
      </c>
      <c r="AD637" s="5" t="n">
        <v>80</v>
      </c>
      <c r="AF637" s="65" t="n">
        <v>35</v>
      </c>
      <c r="AH637" s="231" t="n">
        <v>0</v>
      </c>
      <c r="AI637" s="64" t="n">
        <v>3.75</v>
      </c>
      <c r="AJ637" s="20" t="n">
        <v>0.4439814814814815</v>
      </c>
      <c r="AL637" s="2">
        <f>("19:10"-"17:50")*1440</f>
        <v/>
      </c>
      <c r="AM637" s="3">
        <f>180+60</f>
        <v/>
      </c>
      <c r="AP637" s="3" t="n">
        <v>40</v>
      </c>
      <c r="AR637" s="13">
        <f>AVERAGE(AO635:AO641)</f>
        <v/>
      </c>
      <c r="AT637" s="156" t="n"/>
      <c r="AU637" s="155">
        <f>(I637-AF637)/I637</f>
        <v/>
      </c>
      <c r="AV637" s="155">
        <f>AG637/(AD637-AF637)</f>
        <v/>
      </c>
      <c r="AW637" s="61" t="n"/>
      <c r="AX637" s="254">
        <f>IF(AND(ISNUMBER(E637),ISNUMBER(W637)),E637-W637,"")</f>
        <v/>
      </c>
      <c r="AY637" s="254">
        <f>IF(AND(ISNUMBER(I637),ISNUMBER(AF637)),I637-AF637,"")</f>
        <v/>
      </c>
      <c r="AZ637" s="254">
        <f>IF(AND(ISNUMBER(AM637),ISNUMBER(G637)),G637-AM637,"")</f>
        <v/>
      </c>
      <c r="BA637" s="254">
        <f>IF(AND(ISNUMBER(AC637),ISNUMBER(AE637)),AC637-AE637,"")</f>
        <v/>
      </c>
      <c r="BB637" s="254">
        <f>IF(AND(ISNUMBER(AL637),ISNUMBER(AM637)),AL637-AM637,"")</f>
        <v/>
      </c>
      <c r="BC637" s="60">
        <f>IF(AND($E637&gt;0,$W637&gt;0),IF(($E637-$W637)/$E637&gt;0,($E637-$W637)/$E637,0),"")</f>
        <v/>
      </c>
      <c r="BD637" s="60">
        <f>IF(AND($I637&gt;0,$AF637&gt;=0),IF(($I637-$AF637)/$I637&gt;0,($I637-$AF637)/$I637,0),"")</f>
        <v/>
      </c>
      <c r="BE637" s="60">
        <f>IF(AND($AG637&gt;=0,$AD637&gt;=0,$AF637&gt;=0),IF($AG637/($AD637-$AF637)&gt;0,$AG637/($AD637-$AF637),0),"")</f>
        <v/>
      </c>
      <c r="BF637" s="60">
        <f>IF(AND($G637&gt;0,$AM637&gt;0),IF(($G637-$AM637)/$G637&gt;0,($G637-$AM637)/$G637,0),"")</f>
        <v/>
      </c>
      <c r="BG637" s="6">
        <f>IF((AD637-AF637)/(AJ637/60)&lt;=0,"",(AD637-AF637)/(AJ637/60))</f>
        <v/>
      </c>
      <c r="BH637" s="6" t="n"/>
    </row>
    <row r="638" ht="15.75" customHeight="1">
      <c r="B638" t="n">
        <v>394</v>
      </c>
      <c r="D638" s="63" t="n">
        <v>45898</v>
      </c>
      <c r="E638" s="231" t="n">
        <v>394</v>
      </c>
      <c r="F638" s="3" t="n">
        <v>633</v>
      </c>
      <c r="G638" s="205">
        <f>IF(OR(S638="",S638=0),"",S638*2)</f>
        <v/>
      </c>
      <c r="I638" s="15">
        <f>(N638*18-H638*18)/9</f>
        <v/>
      </c>
      <c r="J638" s="9">
        <f>5*0.24</f>
        <v/>
      </c>
      <c r="K638" s="15">
        <f>AD638</f>
        <v/>
      </c>
      <c r="M638" s="10">
        <f>IF(OR(E638="",G638="",E638=0,G638=0),"",E638/G638)</f>
        <v/>
      </c>
      <c r="N638" s="9">
        <f>IF(OR(E638="",I638="",E638=0,I638=0),"",E638/(I638*2))</f>
        <v/>
      </c>
      <c r="O638" s="8">
        <f>IF(OR(I638="",G638="",I638=0,G638=0),"",I638*2/G638)</f>
        <v/>
      </c>
      <c r="P638" s="7">
        <f>5*1.68</f>
        <v/>
      </c>
      <c r="Q638" s="6" t="n">
        <v>84.85899999999999</v>
      </c>
      <c r="R638" s="6" t="n">
        <v>27.355</v>
      </c>
      <c r="S638" s="6">
        <f>O638*1.067</f>
        <v/>
      </c>
      <c r="T638" s="6">
        <f>P638*1.514</f>
        <v/>
      </c>
      <c r="U638" s="23">
        <f>P638*1.514+O638*1.067</f>
        <v/>
      </c>
      <c r="V638" s="6">
        <f>34.8</f>
        <v/>
      </c>
      <c r="W638" s="59">
        <f>0.822*1.067</f>
        <v/>
      </c>
      <c r="X638" s="59">
        <f>0.63*1.514</f>
        <v/>
      </c>
      <c r="Y638" s="23">
        <f>U638*1.067+V638*1.514</f>
        <v/>
      </c>
      <c r="Z638" s="6" t="n">
        <v>0.24</v>
      </c>
      <c r="AA638" s="6" t="n">
        <v>0.19</v>
      </c>
      <c r="AB638" s="6" t="n">
        <v>-65</v>
      </c>
      <c r="AC638" s="6" t="n">
        <v>-387</v>
      </c>
      <c r="AD638" s="5" t="n">
        <v>80</v>
      </c>
      <c r="AE638" s="7">
        <f>T638</f>
        <v/>
      </c>
      <c r="AF638" s="231">
        <f>36.2</f>
        <v/>
      </c>
      <c r="AG638" s="231">
        <f>5*1.59</f>
        <v/>
      </c>
      <c r="AH638" s="231" t="n">
        <v>0</v>
      </c>
      <c r="AI638" s="62" t="n">
        <v>9.140000000000001</v>
      </c>
      <c r="AJ638" s="20" t="n">
        <v>0.4534722222222222</v>
      </c>
      <c r="AL638" s="2">
        <f>("19:10"-"17:50")*1440</f>
        <v/>
      </c>
      <c r="AM638" s="3">
        <f>180+60</f>
        <v/>
      </c>
      <c r="AN638" s="4">
        <f>AE638</f>
        <v/>
      </c>
      <c r="AO638" s="231">
        <f>5*0.009</f>
        <v/>
      </c>
      <c r="AP638" s="3" t="n">
        <v>40</v>
      </c>
      <c r="AR638" s="13">
        <f>AVERAGE(AO636:AO642)</f>
        <v/>
      </c>
      <c r="AT638" s="156">
        <f>(E638-W638)/E638</f>
        <v/>
      </c>
      <c r="AU638" s="155">
        <f>(I638-AF638)/I638</f>
        <v/>
      </c>
      <c r="AV638" s="155">
        <f>AG638/(AD638-AF638)</f>
        <v/>
      </c>
      <c r="AW638" s="61">
        <f>(G638-AM638)/G638</f>
        <v/>
      </c>
      <c r="AX638" s="254">
        <f>IF(AND(ISNUMBER(E638),ISNUMBER(W638)),E638-W638,"")</f>
        <v/>
      </c>
      <c r="AY638" s="254">
        <f>IF(AND(ISNUMBER(I638),ISNUMBER(AF638)),I638-AF638,"")</f>
        <v/>
      </c>
      <c r="AZ638" s="254">
        <f>IF(AND(ISNUMBER(AM638),ISNUMBER(G638)),G638-AM638,"")</f>
        <v/>
      </c>
      <c r="BA638" s="254">
        <f>IF(AND(ISNUMBER(AC638),ISNUMBER(AE638)),AC638-AE638,"")</f>
        <v/>
      </c>
      <c r="BB638" s="254">
        <f>IF(AND(ISNUMBER(AL638),ISNUMBER(AM638)),AL638-AM638,"")</f>
        <v/>
      </c>
      <c r="BC638" s="60">
        <f>IF(AND($E638&gt;0,$W638&gt;0),IF(($E638-$W638)/$E638&gt;0,($E638-$W638)/$E638,0),"")</f>
        <v/>
      </c>
      <c r="BD638" s="60">
        <f>IF(AND($I638&gt;0,$AF638&gt;=0),IF(($I638-$AF638)/$I638&gt;0,($I638-$AF638)/$I638,0),"")</f>
        <v/>
      </c>
      <c r="BE638" s="60">
        <f>IF(AND($AG638&gt;=0,$AD638&gt;=0,$AF638&gt;=0),IF($AG638/($AD638-$AF638)&gt;0,$AG638/($AD638-$AF638),0),"")</f>
        <v/>
      </c>
      <c r="BF638" s="60">
        <f>IF(AND($G638&gt;0,$AM638&gt;0),IF(($G638-$AM638)/$G638&gt;0,($G638-$AM638)/$G638,0),"")</f>
        <v/>
      </c>
      <c r="BG638" s="6">
        <f>IF((AD638-AF638)/(AJ638/60)&lt;=0,"",(AD638-AF638)/(AJ638/60))</f>
        <v/>
      </c>
      <c r="BH638" s="6" t="n"/>
    </row>
    <row r="639" ht="15.75" customHeight="1">
      <c r="A639" s="260" t="inlineStr">
        <is>
          <t>B83</t>
        </is>
      </c>
      <c r="B639" s="260" t="n">
        <v>395</v>
      </c>
      <c r="D639" s="63" t="n">
        <v>45899</v>
      </c>
      <c r="E639" s="231" t="n">
        <v>395</v>
      </c>
      <c r="F639" s="3" t="n">
        <v>634</v>
      </c>
      <c r="G639" s="205">
        <f>IF(OR(S639="",S639=0),"",S639*2)</f>
        <v/>
      </c>
      <c r="K639" s="15">
        <f>AD639</f>
        <v/>
      </c>
      <c r="M639" s="10">
        <f>IF(OR(E639="",G639="",E639=0,G639=0),"",E639/G639)</f>
        <v/>
      </c>
      <c r="N639" s="9">
        <f>IF(OR(E639="",I639="",E639=0,I639=0),"",E639/(I639*2))</f>
        <v/>
      </c>
      <c r="O639" s="8">
        <f>IF(OR(I639="",G639="",I639=0,G639=0),"",I639*2/G639)</f>
        <v/>
      </c>
      <c r="AD639" s="5" t="n">
        <v>80</v>
      </c>
      <c r="AH639" s="231" t="n">
        <v>0</v>
      </c>
      <c r="AI639" s="62" t="n">
        <v>9.800000000000001</v>
      </c>
      <c r="AJ639" s="20" t="n">
        <v>0.4467592592592592</v>
      </c>
      <c r="AL639" s="2">
        <f>("19:10"-"17:50")*1440</f>
        <v/>
      </c>
      <c r="AM639" s="3">
        <f>180+60</f>
        <v/>
      </c>
      <c r="AP639" s="3" t="n">
        <v>40</v>
      </c>
      <c r="AR639" s="13">
        <f>AVERAGE(AO637:AO643)</f>
        <v/>
      </c>
      <c r="AT639" s="156" t="n"/>
      <c r="AU639" s="155" t="n"/>
      <c r="AV639" s="155" t="n"/>
      <c r="AW639" s="61" t="n"/>
      <c r="AX639" s="254">
        <f>IF(AND(ISNUMBER(E639),ISNUMBER(W639)),E639-W639,"")</f>
        <v/>
      </c>
      <c r="AY639" s="254">
        <f>IF(AND(ISNUMBER(I639),ISNUMBER(AF639)),I639-AF639,"")</f>
        <v/>
      </c>
      <c r="AZ639" s="254">
        <f>IF(AND(ISNUMBER(AM639),ISNUMBER(G639)),G639-AM639,"")</f>
        <v/>
      </c>
      <c r="BA639" s="254">
        <f>IF(AND(ISNUMBER(AC639),ISNUMBER(AE639)),AC639-AE639,"")</f>
        <v/>
      </c>
      <c r="BB639" s="254">
        <f>IF(AND(ISNUMBER(AL639),ISNUMBER(AM639)),AL639-AM639,"")</f>
        <v/>
      </c>
      <c r="BC639" s="60">
        <f>IF(AND($E639&gt;0,$W639&gt;0),IF(($E639-$W639)/$E639&gt;0,($E639-$W639)/$E639,0),"")</f>
        <v/>
      </c>
      <c r="BD639" s="60">
        <f>IF(AND($I639&gt;0,$AF639&gt;=0),IF(($I639-$AF639)/$I639&gt;0,($I639-$AF639)/$I639,0),"")</f>
        <v/>
      </c>
      <c r="BE639" s="60" t="n"/>
      <c r="BF639" s="60">
        <f>IF(AND($G639&gt;0,$AM639&gt;0),IF(($G639-$AM639)/$G639&gt;0,($G639-$AM639)/$G639,0),"")</f>
        <v/>
      </c>
      <c r="BG639" s="6">
        <f>IF((AD639-AF639)/(AJ639/60)&lt;=0,"",(AD639-AF639)/(AJ639/60))</f>
        <v/>
      </c>
      <c r="BH639" s="6" t="n"/>
    </row>
    <row r="640" ht="15.75" customHeight="1">
      <c r="B640" t="n">
        <v>396</v>
      </c>
      <c r="D640" s="63" t="n">
        <v>45900</v>
      </c>
      <c r="E640" s="231" t="n">
        <v>396</v>
      </c>
      <c r="F640" s="3" t="n">
        <v>635</v>
      </c>
      <c r="G640" s="205">
        <f>IF(OR(S640="",S640=0),"",S640*2)</f>
        <v/>
      </c>
      <c r="K640" s="15">
        <f>AD640</f>
        <v/>
      </c>
      <c r="M640" s="10">
        <f>IF(OR(E640="",G640="",E640=0,G640=0),"",E640/G640)</f>
        <v/>
      </c>
      <c r="N640" s="9">
        <f>IF(OR(E640="",I640="",E640=0,I640=0),"",E640/(I640*2))</f>
        <v/>
      </c>
      <c r="O640" s="8">
        <f>IF(OR(I640="",G640="",I640=0,G640=0),"",I640*2/G640)</f>
        <v/>
      </c>
      <c r="AD640" s="5" t="n">
        <v>80</v>
      </c>
      <c r="AH640" s="231" t="n">
        <v>0</v>
      </c>
      <c r="AI640" s="62" t="n">
        <v>10.64</v>
      </c>
      <c r="AJ640" s="20" t="n">
        <v>0.45625</v>
      </c>
      <c r="AL640" s="2">
        <f>("19:20"-"17:50")*1440</f>
        <v/>
      </c>
      <c r="AM640" s="3">
        <f>180+60</f>
        <v/>
      </c>
      <c r="AP640" s="3" t="n">
        <v>40</v>
      </c>
      <c r="AR640" s="13">
        <f>AVERAGE(AO638:AO644)</f>
        <v/>
      </c>
      <c r="AT640" s="156" t="n"/>
      <c r="AU640" s="155" t="n"/>
      <c r="AV640" s="155" t="n"/>
      <c r="AW640" s="61" t="n"/>
      <c r="AX640" s="254">
        <f>IF(AND(ISNUMBER(E640),ISNUMBER(W640)),E640-W640,"")</f>
        <v/>
      </c>
      <c r="AY640" s="254">
        <f>IF(AND(ISNUMBER(I640),ISNUMBER(AF640)),I640-AF640,"")</f>
        <v/>
      </c>
      <c r="AZ640" s="254">
        <f>IF(AND(ISNUMBER(AM640),ISNUMBER(G640)),G640-AM640,"")</f>
        <v/>
      </c>
      <c r="BA640" s="254">
        <f>IF(AND(ISNUMBER(AC640),ISNUMBER(AE640)),AC640-AE640,"")</f>
        <v/>
      </c>
      <c r="BB640" s="254">
        <f>IF(AND(ISNUMBER(AL640),ISNUMBER(AM640)),AL640-AM640,"")</f>
        <v/>
      </c>
      <c r="BC640" s="60">
        <f>IF(AND($E640&gt;0,$W640&gt;0),IF(($E640-$W640)/$E640&gt;0,($E640-$W640)/$E640,0),"")</f>
        <v/>
      </c>
      <c r="BD640" s="60">
        <f>IF(AND($I640&gt;0,$AF640&gt;=0),IF(($I640-$AF640)/$I640&gt;0,($I640-$AF640)/$I640,0),"")</f>
        <v/>
      </c>
      <c r="BE640" s="60" t="n"/>
      <c r="BF640" s="60">
        <f>IF(AND($G640&gt;0,$AM640&gt;0),IF(($G640-$AM640)/$G640&gt;0,($G640-$AM640)/$G640,0),"")</f>
        <v/>
      </c>
      <c r="BG640" s="6">
        <f>IF((AD640-AF640)/(AJ640/60)&lt;=0,"",(AD640-AF640)/(AJ640/60))</f>
        <v/>
      </c>
      <c r="BH640" s="6" t="n"/>
    </row>
    <row r="641" ht="15.75" customHeight="1">
      <c r="B641" t="n">
        <v>397</v>
      </c>
      <c r="C641" s="25" t="inlineStr">
        <is>
          <t xml:space="preserve">deteriation </t>
        </is>
      </c>
      <c r="D641" s="63" t="n">
        <v>45901</v>
      </c>
      <c r="E641" s="231" t="n">
        <v>397</v>
      </c>
      <c r="F641" s="3" t="n">
        <v>636</v>
      </c>
      <c r="G641" s="205">
        <f>IF(OR(S641="",S641=0),"",S641*2)</f>
        <v/>
      </c>
      <c r="I641" s="15" t="n"/>
      <c r="K641" s="15">
        <f>AD641</f>
        <v/>
      </c>
      <c r="M641" s="10">
        <f>IF(OR(E641="",G641="",E641=0,G641=0),"",E641/G641)</f>
        <v/>
      </c>
      <c r="N641" s="9">
        <f>IF(OR(E641="",I641="",E641=0,I641=0),"",E641/(I641*2))</f>
        <v/>
      </c>
      <c r="O641" s="8">
        <f>IF(OR(I641="",G641="",I641=0,G641=0),"",I641*2/G641)</f>
        <v/>
      </c>
      <c r="AD641" s="5" t="n">
        <v>80</v>
      </c>
      <c r="AH641" s="231" t="n">
        <v>0</v>
      </c>
      <c r="AI641" s="62" t="n">
        <v>13.42</v>
      </c>
      <c r="AJ641" s="20" t="n">
        <v>0.4721064814814815</v>
      </c>
      <c r="AL641" s="2">
        <f>("19:55"-"17:50")*1440</f>
        <v/>
      </c>
      <c r="AM641" s="3">
        <f>180+60</f>
        <v/>
      </c>
      <c r="AP641" s="3" t="n">
        <v>40</v>
      </c>
      <c r="AR641" s="13">
        <f>AVERAGE(AO639:AO645)</f>
        <v/>
      </c>
      <c r="AT641" s="156" t="n"/>
      <c r="AU641" s="155" t="n"/>
      <c r="AV641" s="155" t="n"/>
      <c r="AW641" s="61" t="n"/>
      <c r="AX641" s="254">
        <f>IF(AND(ISNUMBER(E641),ISNUMBER(W641)),E641-W641,"")</f>
        <v/>
      </c>
      <c r="AY641" s="254">
        <f>IF(AND(ISNUMBER(I641),ISNUMBER(AF641)),I641-AF641,"")</f>
        <v/>
      </c>
      <c r="AZ641" s="254">
        <f>IF(AND(ISNUMBER(AM641),ISNUMBER(G641)),G641-AM641,"")</f>
        <v/>
      </c>
      <c r="BA641" s="254">
        <f>IF(AND(ISNUMBER(AC641),ISNUMBER(AE641)),AC641-AE641,"")</f>
        <v/>
      </c>
      <c r="BB641" s="254">
        <f>IF(AND(ISNUMBER(AL641),ISNUMBER(AM641)),AL641-AM641,"")</f>
        <v/>
      </c>
      <c r="BC641" s="60">
        <f>IF(AND($E641&gt;0,$W641&gt;0),IF(($E641-$W641)/$E641&gt;0,($E641-$W641)/$E641,0),"")</f>
        <v/>
      </c>
      <c r="BD641" s="60">
        <f>IF(AND($I641&gt;0,$AF641&gt;=0),IF(($I641-$AF641)/$I641&gt;0,($I641-$AF641)/$I641,0),"")</f>
        <v/>
      </c>
      <c r="BE641" s="60" t="n"/>
      <c r="BF641" s="60">
        <f>IF(AND($G641&gt;0,$AM641&gt;0),IF(($G641-$AM641)/$G641&gt;0,($G641-$AM641)/$G641,0),"")</f>
        <v/>
      </c>
      <c r="BG641" s="6">
        <f>IF((AD641-AF641)/(AJ641/60)&lt;=0,"",(AD641-AF641)/(AJ641/60))</f>
        <v/>
      </c>
      <c r="BH641" s="6" t="n"/>
    </row>
    <row r="642" ht="15.75" customHeight="1">
      <c r="B642" t="n">
        <v>398</v>
      </c>
      <c r="C642" s="12" t="inlineStr">
        <is>
          <t>ORP not really rising, but DO goes up to 0.883?</t>
        </is>
      </c>
      <c r="D642" s="63" t="n">
        <v>45902</v>
      </c>
      <c r="E642" s="231" t="n">
        <v>398</v>
      </c>
      <c r="F642" s="3" t="n">
        <v>637</v>
      </c>
      <c r="G642" s="205">
        <f>IF(OR(S642="",S642=0),"",S642*2)</f>
        <v/>
      </c>
      <c r="I642" s="15">
        <f>(N642*18-H642*18)/9</f>
        <v/>
      </c>
      <c r="J642" s="9">
        <f>1.42</f>
        <v/>
      </c>
      <c r="K642" s="15">
        <f>AD642</f>
        <v/>
      </c>
      <c r="M642" s="10">
        <f>IF(OR(E642="",G642="",E642=0,G642=0),"",E642/G642)</f>
        <v/>
      </c>
      <c r="N642" s="9">
        <f>IF(OR(E642="",I642="",E642=0,I642=0),"",E642/(I642*2))</f>
        <v/>
      </c>
      <c r="O642" s="8">
        <f>IF(OR(I642="",G642="",I642=0,G642=0),"",I642*2/G642)</f>
        <v/>
      </c>
      <c r="P642" s="7">
        <f>5*2</f>
        <v/>
      </c>
      <c r="Q642" s="6" t="n">
        <v>75.84399999999999</v>
      </c>
      <c r="R642" s="6" t="n">
        <v>23.45</v>
      </c>
      <c r="S642" s="6">
        <f>O642*1.067</f>
        <v/>
      </c>
      <c r="T642" s="6">
        <f>P642*1.514</f>
        <v/>
      </c>
      <c r="U642" s="23">
        <f>P642*1.514+O642*1.067</f>
        <v/>
      </c>
      <c r="W642" s="59">
        <f>0*1.067</f>
        <v/>
      </c>
      <c r="X642" s="59">
        <f>0*1.514</f>
        <v/>
      </c>
      <c r="Y642" s="23">
        <f>U642*1.067+V642*1.514</f>
        <v/>
      </c>
      <c r="AD642" s="5" t="n">
        <v>80</v>
      </c>
      <c r="AH642" s="231" t="n">
        <v>0</v>
      </c>
      <c r="AI642" s="62" t="n">
        <v>12.52</v>
      </c>
      <c r="AJ642" s="20" t="n">
        <v>0.4892361111111111</v>
      </c>
      <c r="AL642" s="2">
        <f>("19:55"-"17:50")*1440</f>
        <v/>
      </c>
      <c r="AM642" s="3">
        <f>180+60</f>
        <v/>
      </c>
      <c r="AN642" s="4">
        <f>5*1.51</f>
        <v/>
      </c>
      <c r="AO642" s="231">
        <f>2*1.42</f>
        <v/>
      </c>
      <c r="AP642" s="3" t="n">
        <v>40</v>
      </c>
      <c r="AR642" s="13">
        <f>AVERAGE(AO640:AO646)</f>
        <v/>
      </c>
      <c r="AT642" s="156">
        <f>(E642-W642)/E642</f>
        <v/>
      </c>
      <c r="AU642" s="155" t="n"/>
      <c r="AV642" s="155" t="n"/>
      <c r="AW642" s="61">
        <f>(G642-AM642)/G642</f>
        <v/>
      </c>
      <c r="AX642" s="254">
        <f>IF(AND(ISNUMBER(E642),ISNUMBER(W642)),E642-W642,"")</f>
        <v/>
      </c>
      <c r="AY642" s="254">
        <f>IF(AND(ISNUMBER(I642),ISNUMBER(AF642)),I642-AF642,"")</f>
        <v/>
      </c>
      <c r="AZ642" s="254">
        <f>IF(AND(ISNUMBER(AM642),ISNUMBER(G642)),G642-AM642,"")</f>
        <v/>
      </c>
      <c r="BA642" s="254">
        <f>IF(AND(ISNUMBER(AC642),ISNUMBER(AE642)),AC642-AE642,"")</f>
        <v/>
      </c>
      <c r="BB642" s="254">
        <f>IF(AND(ISNUMBER(AL642),ISNUMBER(AM642)),AL642-AM642,"")</f>
        <v/>
      </c>
      <c r="BC642" s="60">
        <f>IF(AND($E642&gt;0,$W642&gt;0),IF(($E642-$W642)/$E642&gt;0,($E642-$W642)/$E642,0),"")</f>
        <v/>
      </c>
      <c r="BD642" s="84">
        <f>IF(AND($I642&gt;0,$AF642&gt;=0),IF(($I642-$AF642)/$I642&gt;0,($I642-$AF642)/$I642,0),"")</f>
        <v/>
      </c>
      <c r="BE642" s="84" t="n"/>
      <c r="BF642" s="84">
        <f>IF(AND($G642&gt;0,$AM642&gt;0),IF(($G642-$AM642)/$G642&gt;0,($G642-$AM642)/$G642,0),"")</f>
        <v/>
      </c>
      <c r="BG642" s="6">
        <f>IF((AD642-AF642)/(AJ642/60)&lt;=0,"",(AD642-AF642)/(AJ642/60))</f>
        <v/>
      </c>
      <c r="BH642" s="6" t="n"/>
    </row>
    <row r="643" ht="15.75" customHeight="1">
      <c r="B643" t="n">
        <v>399</v>
      </c>
      <c r="D643" s="11" t="n">
        <v>45903</v>
      </c>
      <c r="E643" s="231" t="n">
        <v>399</v>
      </c>
      <c r="F643" s="3" t="n">
        <v>638</v>
      </c>
      <c r="G643" s="205">
        <f>IF(OR(S643="",S643=0),"",S643*2)</f>
        <v/>
      </c>
      <c r="I643" s="15">
        <f>(N643*18-H643*18)/9</f>
        <v/>
      </c>
      <c r="J643" s="9">
        <f>AM643/2</f>
        <v/>
      </c>
      <c r="K643" s="15">
        <f>AD643</f>
        <v/>
      </c>
      <c r="M643" s="10">
        <f>IF(OR(E643="",G643="",E643=0,G643=0),"",E643/G643)</f>
        <v/>
      </c>
      <c r="N643" s="9">
        <f>IF(OR(E643="",I643="",E643=0,I643=0),"",E643/(I643*2))</f>
        <v/>
      </c>
      <c r="O643" s="8">
        <f>IF(OR(I643="",G643="",I643=0,G643=0),"",I643*2/G643)</f>
        <v/>
      </c>
      <c r="P643" s="7">
        <f>5*1.82</f>
        <v/>
      </c>
      <c r="Q643" s="6" t="n">
        <v>83.67700000000001</v>
      </c>
      <c r="R643" s="6" t="n">
        <v>26.088</v>
      </c>
      <c r="S643" s="6">
        <f>O643*1.067</f>
        <v/>
      </c>
      <c r="T643" s="6">
        <f>P643*1.514</f>
        <v/>
      </c>
      <c r="U643" s="23">
        <f>P643*1.514+O643*1.067</f>
        <v/>
      </c>
      <c r="V643" s="6" t="n">
        <v>33.5</v>
      </c>
      <c r="W643" s="59">
        <f>0*1.067</f>
        <v/>
      </c>
      <c r="X643" s="59">
        <f>0*1.514</f>
        <v/>
      </c>
      <c r="Y643" s="23">
        <f>U643*1.067+V643*1.514</f>
        <v/>
      </c>
      <c r="AD643" s="5" t="n">
        <v>80</v>
      </c>
      <c r="AE643" s="7">
        <f>T643</f>
        <v/>
      </c>
      <c r="AF643" s="231" t="n">
        <v>35.6</v>
      </c>
      <c r="AG643" s="231">
        <f>5*1.29</f>
        <v/>
      </c>
      <c r="AH643" s="231" t="n">
        <v>0</v>
      </c>
      <c r="AI643" s="231" t="n">
        <v>12.54</v>
      </c>
      <c r="AJ643" s="20" t="n">
        <v>0.5152777777777777</v>
      </c>
      <c r="AL643" s="2">
        <f>("20:50"-"17:50")*1440</f>
        <v/>
      </c>
      <c r="AM643" s="3">
        <f>180+60</f>
        <v/>
      </c>
      <c r="AN643" s="4">
        <f>AE643</f>
        <v/>
      </c>
      <c r="AO643" s="231">
        <f>2*1.57</f>
        <v/>
      </c>
      <c r="AP643" s="3" t="n">
        <v>40</v>
      </c>
      <c r="AR643" s="13">
        <f>AVERAGE(AO641:AO647)</f>
        <v/>
      </c>
      <c r="AT643" s="156">
        <f>(E643-W643)/E643</f>
        <v/>
      </c>
      <c r="AU643" s="155">
        <f>(I643-AF643)/I643</f>
        <v/>
      </c>
      <c r="AV643" s="155">
        <f>AG643/(AD643-AF643)</f>
        <v/>
      </c>
      <c r="AW643" s="61">
        <f>(G643-AM643)/G643</f>
        <v/>
      </c>
      <c r="AX643" s="254">
        <f>IF(AND(ISNUMBER(E643),ISNUMBER(W643)),E643-W643,"")</f>
        <v/>
      </c>
      <c r="AY643" s="254">
        <f>IF(AND(ISNUMBER(I643),ISNUMBER(AF643)),I643-AF643,"")</f>
        <v/>
      </c>
      <c r="AZ643" s="254">
        <f>IF(AND(ISNUMBER(AM643),ISNUMBER(G643)),G643-AM643,"")</f>
        <v/>
      </c>
      <c r="BA643" s="254">
        <f>IF(AND(ISNUMBER(AC643),ISNUMBER(AE643)),AC643-AE643,"")</f>
        <v/>
      </c>
      <c r="BB643" s="254">
        <f>IF(AND(ISNUMBER(AL643),ISNUMBER(AM643)),AL643-AM643,"")</f>
        <v/>
      </c>
      <c r="BC643" s="60">
        <f>IF(AND($E643&gt;0,$W643&gt;0),IF(($E643-$W643)/$E643&gt;0,($E643-$W643)/$E643,0),"")</f>
        <v/>
      </c>
      <c r="BD643" s="84">
        <f>IF(AND($I643&gt;0,$AF643&gt;=0),IF(($I643-$AF643)/$I643&gt;0,($I643-$AF643)/$I643,0),"")</f>
        <v/>
      </c>
      <c r="BE643" s="84" t="n"/>
      <c r="BF643" s="84">
        <f>IF(AND($G643&gt;0,$AM643&gt;0),IF(($G643-$AM643)/$G643&gt;0,($G643-$AM643)/$G643,0),"")</f>
        <v/>
      </c>
      <c r="BG643" s="6">
        <f>IF((AD643-AF643)/(AJ643/60)&lt;=0,"",(AD643-AF643)/(AJ643/60))</f>
        <v/>
      </c>
      <c r="BH643" s="6" t="n"/>
    </row>
    <row r="644" ht="15.75" customHeight="1">
      <c r="B644" t="n">
        <v>400</v>
      </c>
      <c r="D644" s="11" t="n">
        <v>45904</v>
      </c>
      <c r="E644" s="231" t="n">
        <v>400</v>
      </c>
      <c r="F644" s="3" t="n">
        <v>639</v>
      </c>
      <c r="G644" s="205">
        <f>IF(OR(S644="",S644=0),"",S644*2)</f>
        <v/>
      </c>
      <c r="I644" s="41">
        <f>16</f>
        <v/>
      </c>
      <c r="K644" s="15">
        <f>AD644</f>
        <v/>
      </c>
      <c r="M644" s="10">
        <f>IF(OR(E644="",G644="",E644=0,G644=0),"",E644/G644)</f>
        <v/>
      </c>
      <c r="N644" s="9">
        <f>IF(OR(E644="",I644="",E644=0,I644=0),"",E644/(I644*2))</f>
        <v/>
      </c>
      <c r="O644" s="8">
        <f>IF(OR(I644="",G644="",I644=0,G644=0),"",I644*2/G644)</f>
        <v/>
      </c>
      <c r="AD644" s="5" t="n">
        <v>80</v>
      </c>
      <c r="AH644" s="231" t="n">
        <v>0</v>
      </c>
      <c r="AI644" s="231" t="n">
        <v>11.7</v>
      </c>
      <c r="AJ644" s="20" t="n">
        <v>0.5167824074074074</v>
      </c>
      <c r="AL644" s="2">
        <f>("20:50"-"17:50")*1440</f>
        <v/>
      </c>
      <c r="AM644" s="3">
        <f>180+60</f>
        <v/>
      </c>
      <c r="AP644" s="3" t="n">
        <v>40</v>
      </c>
      <c r="AR644" s="13">
        <f>AVERAGE(AO642:AO648)</f>
        <v/>
      </c>
      <c r="AT644" s="156" t="n"/>
      <c r="AU644" s="155" t="n"/>
      <c r="AV644" s="155" t="n"/>
      <c r="AW644" s="61">
        <f>(G644-AM644)/G644</f>
        <v/>
      </c>
      <c r="AX644" s="254">
        <f>IF(AND(ISNUMBER(E644),ISNUMBER(W644)),E644-W644,"")</f>
        <v/>
      </c>
      <c r="AY644" s="254">
        <f>IF(AND(ISNUMBER(I644),ISNUMBER(AF644)),I644-AF644,"")</f>
        <v/>
      </c>
      <c r="AZ644" s="254">
        <f>IF(AND(ISNUMBER(AM644),ISNUMBER(G644)),G644-AM644,"")</f>
        <v/>
      </c>
      <c r="BA644" s="254">
        <f>IF(AND(ISNUMBER(AC644),ISNUMBER(AE644)),AC644-AE644,"")</f>
        <v/>
      </c>
      <c r="BB644" s="254">
        <f>IF(AND(ISNUMBER(AL644),ISNUMBER(AM644)),AL644-AM644,"")</f>
        <v/>
      </c>
      <c r="BC644" s="60">
        <f>IF(AND($E644&gt;0,$W644&gt;0),IF(($E644-$W644)/$E644&gt;0,($E644-$W644)/$E644,0),"")</f>
        <v/>
      </c>
      <c r="BD644" s="84">
        <f>IF(AND($I644&gt;0,$AF644&gt;=0),IF(($I644-$AF644)/$I644&gt;0,($I644-$AF644)/$I644,0),"")</f>
        <v/>
      </c>
      <c r="BE644" s="84" t="n"/>
      <c r="BF644" s="84">
        <f>IF(AND($G644&gt;0,$AM644&gt;0),IF(($G644-$AM644)/$G644&gt;0,($G644-$AM644)/$G644,0),"")</f>
        <v/>
      </c>
      <c r="BG644" s="6">
        <f>IF((AD644-AF644)/(AJ644/60)&lt;=0,"",(AD644-AF644)/(AJ644/60))</f>
        <v/>
      </c>
      <c r="BH644" s="6" t="n"/>
    </row>
    <row r="645" ht="30" customHeight="1">
      <c r="B645" t="n">
        <v>401</v>
      </c>
      <c r="C645" s="12" t="inlineStr">
        <is>
          <t xml:space="preserve">open wasting 16 seconds, decrease DO from 0.5*2 to 0.3 LPN*2 </t>
        </is>
      </c>
      <c r="D645" s="11" t="n">
        <v>45905</v>
      </c>
      <c r="E645" s="231" t="n">
        <v>401</v>
      </c>
      <c r="F645" s="3" t="n">
        <v>640</v>
      </c>
      <c r="G645" s="205">
        <f>IF(OR(S645="",S645=0),"",S645*2)</f>
        <v/>
      </c>
      <c r="I645" s="15">
        <f>(N645*18-H645*18)/9</f>
        <v/>
      </c>
      <c r="J645" s="9">
        <f>2*2.97</f>
        <v/>
      </c>
      <c r="K645" s="15">
        <f>AD645</f>
        <v/>
      </c>
      <c r="M645" s="10">
        <f>IF(OR(E645="",G645="",E645=0,G645=0),"",E645/G645)</f>
        <v/>
      </c>
      <c r="N645" s="9">
        <f>IF(OR(E645="",I645="",E645=0,I645=0),"",E645/(I645*2))</f>
        <v/>
      </c>
      <c r="O645" s="8">
        <f>IF(OR(I645="",G645="",I645=0,G645=0),"",I645*2/G645)</f>
        <v/>
      </c>
      <c r="P645" s="7">
        <f>5*2.95</f>
        <v/>
      </c>
      <c r="Q645" s="6" t="n">
        <v>73.881</v>
      </c>
      <c r="R645" s="6" t="n">
        <v>21.936</v>
      </c>
      <c r="S645" s="6">
        <f>O645*1.067</f>
        <v/>
      </c>
      <c r="T645" s="6">
        <f>P645*1.514</f>
        <v/>
      </c>
      <c r="U645" s="23">
        <f>P645*1.514+O645*1.067</f>
        <v/>
      </c>
      <c r="V645" s="6">
        <f>41.4</f>
        <v/>
      </c>
      <c r="W645" s="59">
        <f>0*1.067</f>
        <v/>
      </c>
      <c r="X645" s="59">
        <f>0*1.514</f>
        <v/>
      </c>
      <c r="Y645" s="23">
        <f>U645*1.067+V645*1.514</f>
        <v/>
      </c>
      <c r="AD645" s="5" t="n">
        <v>80</v>
      </c>
      <c r="AE645" s="7">
        <f>T645</f>
        <v/>
      </c>
      <c r="AF645" s="231" t="n">
        <v>40.7</v>
      </c>
      <c r="AH645" s="231" t="n">
        <v>0</v>
      </c>
      <c r="AI645" s="231" t="n">
        <v>12.69</v>
      </c>
      <c r="AJ645" s="20" t="n">
        <v>0.5208333333333334</v>
      </c>
      <c r="AL645" s="2">
        <f>("21:15"-"17:50")*1440</f>
        <v/>
      </c>
      <c r="AM645" s="3">
        <f>180+60</f>
        <v/>
      </c>
      <c r="AO645" s="231">
        <f>2*4.84</f>
        <v/>
      </c>
      <c r="AP645" s="3" t="n">
        <v>40</v>
      </c>
      <c r="AR645" s="13">
        <f>AVERAGE(AO643:AO649)</f>
        <v/>
      </c>
      <c r="AT645" s="156">
        <f>(E645-W645)/E645</f>
        <v/>
      </c>
      <c r="AU645" s="155">
        <f>(I645-AF645)/I645</f>
        <v/>
      </c>
      <c r="AV645" s="155">
        <f>AG645/(AD645-AF645)</f>
        <v/>
      </c>
      <c r="AW645" s="155">
        <f>(G645-AM645)/G645</f>
        <v/>
      </c>
      <c r="AX645" s="254">
        <f>IF(AND(ISNUMBER(E645),ISNUMBER(W645)),E645-W645,"")</f>
        <v/>
      </c>
      <c r="AY645" s="254">
        <f>IF(AND(ISNUMBER(I645),ISNUMBER(AF645)),I645-AF645,"")</f>
        <v/>
      </c>
      <c r="AZ645" s="254">
        <f>IF(AND(ISNUMBER(AM645),ISNUMBER(G645)),G645-AM645,"")</f>
        <v/>
      </c>
      <c r="BA645" s="254">
        <f>IF(AND(ISNUMBER(AC645),ISNUMBER(AE645)),AC645-AE645,"")</f>
        <v/>
      </c>
      <c r="BB645" s="254">
        <f>IF(AND(ISNUMBER(AL645),ISNUMBER(AM645)),AL645-AM645,"")</f>
        <v/>
      </c>
      <c r="BC645" s="84">
        <f>IF(AND($E645&gt;0,$W645&gt;0),IF(($E645-$W645)/$E645&gt;0,($E645-$W645)/$E645,0),"")</f>
        <v/>
      </c>
      <c r="BD645" s="84">
        <f>IF(AND($I645&gt;0,$AF645&gt;=0),IF(($I645-$AF645)/$I645&gt;0,($I645-$AF645)/$I645,0),"")</f>
        <v/>
      </c>
      <c r="BE645" s="84" t="n"/>
      <c r="BF645" s="84">
        <f>IF(AND($G645&gt;0,$AM645&gt;0),IF(($G645-$AM645)/$G645&gt;0,($G645-$AM645)/$G645,0),"")</f>
        <v/>
      </c>
      <c r="BG645" s="6">
        <f>IF((AD645-AF645)/(AJ645/60)&lt;=0,"",(AD645-AF645)/(AJ645/60))</f>
        <v/>
      </c>
      <c r="BH645" s="6" t="n"/>
    </row>
    <row r="646" ht="15.75" customHeight="1">
      <c r="B646" t="n">
        <v>402</v>
      </c>
      <c r="D646" s="11" t="n">
        <v>45906</v>
      </c>
      <c r="E646" s="231" t="n">
        <v>402</v>
      </c>
      <c r="F646" s="3" t="n">
        <v>641</v>
      </c>
      <c r="G646" s="205">
        <f>IF(OR(S646="",S646=0),"",S646*2)</f>
        <v/>
      </c>
      <c r="K646" s="15">
        <f>AD646</f>
        <v/>
      </c>
      <c r="M646" s="10">
        <f>IF(OR(E646="",G646="",E646=0,G646=0),"",E646/G646)</f>
        <v/>
      </c>
      <c r="N646" s="9">
        <f>IF(OR(E646="",I646="",E646=0,I646=0),"",E646/(I646*2))</f>
        <v/>
      </c>
      <c r="O646" s="8">
        <f>IF(OR(I646="",G646="",I646=0,G646=0),"",I646*2/G646)</f>
        <v/>
      </c>
      <c r="AD646" s="5" t="n">
        <v>80</v>
      </c>
      <c r="AH646" s="231" t="n">
        <v>0</v>
      </c>
      <c r="AI646" s="231" t="n">
        <v>9.52</v>
      </c>
      <c r="AJ646" s="20" t="n">
        <v>0.5011574074074074</v>
      </c>
      <c r="AL646" s="2">
        <f>("20:10"-"17:50")*1440</f>
        <v/>
      </c>
      <c r="AM646" s="3">
        <f>180+60</f>
        <v/>
      </c>
      <c r="AP646" s="3" t="n">
        <v>40</v>
      </c>
      <c r="AR646" s="13">
        <f>AVERAGE(AO644:AO650)</f>
        <v/>
      </c>
      <c r="AT646" s="156" t="n"/>
      <c r="AU646" s="155" t="n"/>
      <c r="AV646" s="155" t="n"/>
      <c r="AW646" s="155" t="n"/>
      <c r="AX646" s="254">
        <f>IF(AND(ISNUMBER(E646),ISNUMBER(W646)),E646-W646,"")</f>
        <v/>
      </c>
      <c r="AY646" s="254">
        <f>IF(AND(ISNUMBER(I646),ISNUMBER(AF646)),I646-AF646,"")</f>
        <v/>
      </c>
      <c r="AZ646" s="254">
        <f>IF(AND(ISNUMBER(AM646),ISNUMBER(G646)),G646-AM646,"")</f>
        <v/>
      </c>
      <c r="BA646" s="254">
        <f>IF(AND(ISNUMBER(AC646),ISNUMBER(AE646)),AC646-AE646,"")</f>
        <v/>
      </c>
      <c r="BB646" s="254">
        <f>IF(AND(ISNUMBER(AL646),ISNUMBER(AM646)),AL646-AM646,"")</f>
        <v/>
      </c>
      <c r="BC646" s="84">
        <f>IF(AND($E646&gt;0,$W646&gt;0),IF(($E646-$W646)/$E646&gt;0,($E646-$W646)/$E646,0),"")</f>
        <v/>
      </c>
      <c r="BD646" s="84">
        <f>IF(AND($I646&gt;0,$AF646&gt;=0),IF(($I646-$AF646)/$I646&gt;0,($I646-$AF646)/$I646,0),"")</f>
        <v/>
      </c>
      <c r="BE646" s="84" t="n"/>
      <c r="BF646" s="84">
        <f>IF(AND($G646&gt;0,$AM646&gt;0),IF(($G646-$AM646)/$G646&gt;0,($G646-$AM646)/$G646,0),"")</f>
        <v/>
      </c>
      <c r="BG646" s="6">
        <f>IF((AD646-AF646)/(AJ646/60)&lt;=0,"",(AD646-AF646)/(AJ646/60))</f>
        <v/>
      </c>
      <c r="BH646" s="6" t="n"/>
    </row>
    <row r="647" ht="15.75" customHeight="1">
      <c r="B647" t="n">
        <v>403</v>
      </c>
      <c r="C647" s="12" t="inlineStr">
        <is>
          <t>woerd high ORP cycle</t>
        </is>
      </c>
      <c r="D647" s="11" t="n">
        <v>45907</v>
      </c>
      <c r="E647" s="231" t="n">
        <v>403</v>
      </c>
      <c r="F647" s="3" t="n">
        <v>642</v>
      </c>
      <c r="G647" s="205">
        <f>IF(OR(S647="",S647=0),"",S647*2)</f>
        <v/>
      </c>
      <c r="K647" s="15">
        <f>AD647</f>
        <v/>
      </c>
      <c r="M647" s="10">
        <f>IF(OR(E647="",G647="",E647=0,G647=0),"",E647/G647)</f>
        <v/>
      </c>
      <c r="N647" s="9">
        <f>IF(OR(E647="",I647="",E647=0,I647=0),"",E647/(I647*2))</f>
        <v/>
      </c>
      <c r="O647" s="8">
        <f>IF(OR(I647="",G647="",I647=0,G647=0),"",I647*2/G647)</f>
        <v/>
      </c>
      <c r="AD647" s="5" t="n">
        <v>80</v>
      </c>
      <c r="AH647" s="231" t="n">
        <v>0</v>
      </c>
      <c r="AI647" s="231" t="n">
        <v>9.15</v>
      </c>
      <c r="AJ647" s="20" t="n">
        <v>0.4719907407407408</v>
      </c>
      <c r="AL647" s="2">
        <f>("19:45"-"17:50")*1440</f>
        <v/>
      </c>
      <c r="AM647" s="3">
        <f>180+60</f>
        <v/>
      </c>
      <c r="AN647" s="4">
        <f>5*3.62</f>
        <v/>
      </c>
      <c r="AO647" s="231">
        <f>2*7.02</f>
        <v/>
      </c>
      <c r="AP647" s="3" t="n">
        <v>40</v>
      </c>
      <c r="AR647" s="13">
        <f>AVERAGE(AO645:AO651)</f>
        <v/>
      </c>
      <c r="AT647" s="156" t="n"/>
      <c r="AU647" s="155" t="n"/>
      <c r="AV647" s="155" t="n"/>
      <c r="AW647" s="155" t="n"/>
      <c r="AX647" s="254">
        <f>IF(AND(ISNUMBER(E647),ISNUMBER(W647)),E647-W647,"")</f>
        <v/>
      </c>
      <c r="AY647" s="254">
        <f>IF(AND(ISNUMBER(I647),ISNUMBER(AF647)),I647-AF647,"")</f>
        <v/>
      </c>
      <c r="AZ647" s="254">
        <f>IF(AND(ISNUMBER(AM647),ISNUMBER(G647)),G647-AM647,"")</f>
        <v/>
      </c>
      <c r="BA647" s="254">
        <f>IF(AND(ISNUMBER(AC647),ISNUMBER(AE647)),AC647-AE647,"")</f>
        <v/>
      </c>
      <c r="BB647" s="254">
        <f>IF(AND(ISNUMBER(AL647),ISNUMBER(AM647)),AL647-AM647,"")</f>
        <v/>
      </c>
      <c r="BC647" s="84">
        <f>IF(AND($E647&gt;0,$W647&gt;0),IF(($E647-$W647)/$E647&gt;0,($E647-$W647)/$E647,0),"")</f>
        <v/>
      </c>
      <c r="BD647" s="84">
        <f>IF(AND($I647&gt;0,$AF647&gt;=0),IF(($I647-$AF647)/$I647&gt;0,($I647-$AF647)/$I647,0),"")</f>
        <v/>
      </c>
      <c r="BE647" s="84" t="n"/>
      <c r="BF647" s="84">
        <f>IF(AND($G647&gt;0,$AM647&gt;0),IF(($G647-$AM647)/$G647&gt;0,($G647-$AM647)/$G647,0),"")</f>
        <v/>
      </c>
      <c r="BG647" s="6">
        <f>IF((AD647-AF647)/(AJ647/60)&lt;=0,"",(AD647-AF647)/(AJ647/60))</f>
        <v/>
      </c>
      <c r="BH647" s="6" t="n"/>
    </row>
    <row r="648" ht="15.75" customHeight="1">
      <c r="B648" t="n">
        <v>404</v>
      </c>
      <c r="D648" s="11" t="n">
        <v>45908</v>
      </c>
      <c r="E648" s="231" t="n">
        <v>404</v>
      </c>
      <c r="F648" s="3" t="n">
        <v>643</v>
      </c>
      <c r="G648" s="205">
        <f>IF(OR(S648="",S648=0),"",S648*2)</f>
        <v/>
      </c>
      <c r="K648" s="15">
        <f>AD648</f>
        <v/>
      </c>
      <c r="M648" s="10">
        <f>IF(OR(E648="",G648="",E648=0,G648=0),"",E648/G648)</f>
        <v/>
      </c>
      <c r="N648" s="9">
        <f>IF(OR(E648="",I648="",E648=0,I648=0),"",E648/(I648*2))</f>
        <v/>
      </c>
      <c r="O648" s="8">
        <f>IF(OR(I648="",G648="",I648=0,G648=0),"",I648*2/G648)</f>
        <v/>
      </c>
      <c r="AD648" s="5" t="n">
        <v>80</v>
      </c>
      <c r="AH648" s="231" t="n">
        <v>0</v>
      </c>
      <c r="AI648" s="231" t="n">
        <v>11.29</v>
      </c>
      <c r="AJ648" s="20" t="n">
        <v>0.4825231481481482</v>
      </c>
      <c r="AL648" s="2">
        <f>("12:10"-"10:00")*1440</f>
        <v/>
      </c>
      <c r="AM648" s="3">
        <f>180+60</f>
        <v/>
      </c>
      <c r="AN648" s="4">
        <f>5*3.62</f>
        <v/>
      </c>
      <c r="AO648" s="231">
        <f>2*6.18</f>
        <v/>
      </c>
      <c r="AP648" s="3" t="n">
        <v>40</v>
      </c>
      <c r="AR648" s="13">
        <f>AVERAGE(AO646:AO652)</f>
        <v/>
      </c>
      <c r="AT648" s="156" t="n"/>
      <c r="AU648" s="155" t="n"/>
      <c r="AV648" s="155" t="n"/>
      <c r="AW648" s="155" t="n"/>
      <c r="AX648" s="254">
        <f>IF(AND(ISNUMBER(E648),ISNUMBER(W648)),E648-W648,"")</f>
        <v/>
      </c>
      <c r="AY648" s="254">
        <f>IF(AND(ISNUMBER(I648),ISNUMBER(AF648)),I648-AF648,"")</f>
        <v/>
      </c>
      <c r="AZ648" s="254">
        <f>IF(AND(ISNUMBER(AM648),ISNUMBER(G648)),G648-AM648,"")</f>
        <v/>
      </c>
      <c r="BA648" s="254">
        <f>IF(AND(ISNUMBER(AC648),ISNUMBER(AE648)),AC648-AE648,"")</f>
        <v/>
      </c>
      <c r="BB648" s="254">
        <f>IF(AND(ISNUMBER(AL648),ISNUMBER(AM648)),AL648-AM648,"")</f>
        <v/>
      </c>
      <c r="BC648" s="84">
        <f>IF(AND($E648&gt;0,$W648&gt;0),IF(($E648-$W648)/$E648&gt;0,($E648-$W648)/$E648,0),"")</f>
        <v/>
      </c>
      <c r="BD648" s="84">
        <f>IF(AND($I648&gt;0,$AF648&gt;=0),IF(($I648-$AF648)/$I648&gt;0,($I648-$AF648)/$I648,0),"")</f>
        <v/>
      </c>
      <c r="BE648" s="84" t="n"/>
      <c r="BF648" s="84">
        <f>IF(AND($G648&gt;0,$AM648&gt;0),IF(($G648-$AM648)/$G648&gt;0,($G648-$AM648)/$G648,0),"")</f>
        <v/>
      </c>
      <c r="BG648" s="6">
        <f>IF((AD648-AF648)/(AJ648/60)&lt;=0,"",(AD648-AF648)/(AJ648/60))</f>
        <v/>
      </c>
      <c r="BH648" s="6">
        <f>IF(OR(AJ648=0,AP648=0,NOT(ISNUMBER(AD648)),NOT(ISNUMBER(AF648)),NOT(ISNUMBER(AJ648)),NOT(ISNUMBER(AP648))),"",
IFERROR(IF((AD648-AF648)/(AJ648/60)/(AP648/1000)&lt;=0,"",(AD648-AF648)/(AJ648/60)/(AP648/1000)),""))</f>
        <v/>
      </c>
    </row>
    <row r="649" ht="15.75" customHeight="1">
      <c r="B649" t="n">
        <v>405</v>
      </c>
      <c r="D649" s="11" t="n">
        <v>45909</v>
      </c>
      <c r="E649" s="231" t="n">
        <v>405</v>
      </c>
      <c r="F649" s="3" t="n">
        <v>644</v>
      </c>
      <c r="G649" s="205">
        <f>IF(OR(S649="",S649=0),"",S649*2)</f>
        <v/>
      </c>
      <c r="K649" s="15">
        <f>AD649</f>
        <v/>
      </c>
      <c r="M649" s="10">
        <f>IF(OR(E649="",G649="",E649=0,G649=0),"",E649/G649)</f>
        <v/>
      </c>
      <c r="N649" s="9">
        <f>IF(OR(E649="",I649="",E649=0,I649=0),"",E649/(I649*2))</f>
        <v/>
      </c>
      <c r="O649" s="8">
        <f>IF(OR(I649="",G649="",I649=0,G649=0),"",I649*2/G649)</f>
        <v/>
      </c>
      <c r="AD649" s="5" t="n">
        <v>80</v>
      </c>
      <c r="AH649" s="231" t="n">
        <v>0</v>
      </c>
      <c r="AI649" s="231" t="n">
        <v>2.04</v>
      </c>
      <c r="AJ649" s="20" t="n">
        <v>0.5196759259259259</v>
      </c>
      <c r="AL649" s="2">
        <f>("21:15"-"17:50")*1440</f>
        <v/>
      </c>
      <c r="AM649" s="3">
        <f>180+60</f>
        <v/>
      </c>
      <c r="AP649" s="3" t="n">
        <v>40</v>
      </c>
      <c r="AR649" s="13">
        <f>AVERAGE(AO647:AO653)</f>
        <v/>
      </c>
      <c r="AT649" s="156" t="n"/>
      <c r="AU649" s="155" t="n"/>
      <c r="AV649" s="155" t="n"/>
      <c r="AW649" s="155" t="n"/>
      <c r="AX649" s="254">
        <f>IF(AND(ISNUMBER(E649),ISNUMBER(W649)),E649-W649,"")</f>
        <v/>
      </c>
      <c r="AY649" s="254">
        <f>IF(AND(ISNUMBER(I649),ISNUMBER(AF649)),I649-AF649,"")</f>
        <v/>
      </c>
      <c r="AZ649" s="254">
        <f>IF(AND(ISNUMBER(AM649),ISNUMBER(G649)),G649-AM649,"")</f>
        <v/>
      </c>
      <c r="BA649" s="254">
        <f>IF(AND(ISNUMBER(AC649),ISNUMBER(AE649)),AC649-AE649,"")</f>
        <v/>
      </c>
      <c r="BB649" s="254">
        <f>IF(AND(ISNUMBER(AL649),ISNUMBER(AM649)),AL649-AM649,"")</f>
        <v/>
      </c>
      <c r="BC649" s="84">
        <f>IF(AND($E649&gt;0,$W649&gt;0),IF(($E649-$W649)/$E649&gt;0,($E649-$W649)/$E649,0),"")</f>
        <v/>
      </c>
      <c r="BD649" s="84">
        <f>IF(AND($I649&gt;0,$AF649&gt;=0),IF(($I649-$AF649)/$I649&gt;0,($I649-$AF649)/$I649,0),"")</f>
        <v/>
      </c>
      <c r="BE649" s="84" t="n"/>
      <c r="BF649" s="84">
        <f>IF(AND($G649&gt;0,$AM649&gt;0),IF(($G649-$AM649)/$G649&gt;0,($G649-$AM649)/$G649,0),"")</f>
        <v/>
      </c>
      <c r="BG649" s="6">
        <f>IF((AD649-AF649)/(AJ649/60)&lt;=0,"",(AD649-AF649)/(AJ649/60))</f>
        <v/>
      </c>
      <c r="BH649" s="6">
        <f>IF(OR(AJ649=0,AP649=0,NOT(ISNUMBER(AD649)),NOT(ISNUMBER(AF649)),NOT(ISNUMBER(AJ649)),NOT(ISNUMBER(AP649))),"",
IFERROR(IF((AD649-AF649)/(AJ649/60)/(AP649/1000)&lt;=0,"",(AD649-AF649)/(AJ649/60)/(AP649/1000)),""))</f>
        <v/>
      </c>
    </row>
    <row r="650" ht="15.75" customHeight="1">
      <c r="A650" s="260" t="inlineStr">
        <is>
          <t>B84</t>
        </is>
      </c>
      <c r="B650" s="260" t="n">
        <v>406</v>
      </c>
      <c r="D650" s="11" t="n">
        <v>45910</v>
      </c>
      <c r="E650" s="231" t="n">
        <v>406</v>
      </c>
      <c r="F650" s="3" t="n">
        <v>645</v>
      </c>
      <c r="G650" s="205">
        <f>IF(OR(S650="",S650=0),"",S650*2)</f>
        <v/>
      </c>
      <c r="K650" s="15">
        <f>AD650</f>
        <v/>
      </c>
      <c r="M650" s="10">
        <f>IF(OR(E650="",G650="",E650=0,G650=0),"",E650/G650)</f>
        <v/>
      </c>
      <c r="N650" s="9">
        <f>IF(OR(E650="",I650="",E650=0,I650=0),"",E650/(I650*2))</f>
        <v/>
      </c>
      <c r="O650" s="8">
        <f>IF(OR(I650="",G650="",I650=0,G650=0),"",I650*2/G650)</f>
        <v/>
      </c>
      <c r="AD650" s="5" t="n">
        <v>80</v>
      </c>
      <c r="AH650" s="231" t="n">
        <v>0</v>
      </c>
      <c r="AI650" s="231" t="n">
        <v>8.050000000000001</v>
      </c>
      <c r="AJ650" s="20" t="n">
        <v>0.4921296296296296</v>
      </c>
      <c r="AL650" s="2">
        <f>("21:35"-"17:50")*1440</f>
        <v/>
      </c>
      <c r="AM650" s="3">
        <f>180+60</f>
        <v/>
      </c>
      <c r="AP650" s="3" t="n">
        <v>40</v>
      </c>
      <c r="AR650" s="13">
        <f>AVERAGE(AO648:AO654)</f>
        <v/>
      </c>
      <c r="AT650" s="156" t="n"/>
      <c r="AU650" s="155" t="n"/>
      <c r="AV650" s="155" t="n"/>
      <c r="AW650" s="155" t="n"/>
      <c r="AX650" s="254">
        <f>IF(AND(ISNUMBER(E650),ISNUMBER(W650)),E650-W650,"")</f>
        <v/>
      </c>
      <c r="AY650" s="254">
        <f>IF(AND(ISNUMBER(I650),ISNUMBER(AF650)),I650-AF650,"")</f>
        <v/>
      </c>
      <c r="AZ650" s="254">
        <f>IF(AND(ISNUMBER(AM650),ISNUMBER(G650)),G650-AM650,"")</f>
        <v/>
      </c>
      <c r="BA650" s="254">
        <f>IF(AND(ISNUMBER(AC650),ISNUMBER(AE650)),AC650-AE650,"")</f>
        <v/>
      </c>
      <c r="BB650" s="254">
        <f>IF(AND(ISNUMBER(AL650),ISNUMBER(AM650)),AL650-AM650,"")</f>
        <v/>
      </c>
      <c r="BC650" s="84">
        <f>IF(AND($E650&gt;0,$W650&gt;0),IF(($E650-$W650)/$E650&gt;0,($E650-$W650)/$E650,0),"")</f>
        <v/>
      </c>
      <c r="BD650" s="84">
        <f>IF(AND($I650&gt;0,$AF650&gt;=0),IF(($I650-$AF650)/$I650&gt;0,($I650-$AF650)/$I650,0),"")</f>
        <v/>
      </c>
      <c r="BE650" s="84" t="n"/>
      <c r="BF650" s="84">
        <f>IF(AND($G650&gt;0,$AM650&gt;0),IF(($G650-$AM650)/$G650&gt;0,($G650-$AM650)/$G650,0),"")</f>
        <v/>
      </c>
      <c r="BG650" s="6">
        <f>IF((AD650-AF650)/(AJ650/60)&lt;=0,"",(AD650-AF650)/(AJ650/60))</f>
        <v/>
      </c>
      <c r="BH650" s="6">
        <f>IF(OR(AJ650=0,AP650=0,NOT(ISNUMBER(AD650)),NOT(ISNUMBER(AF650)),NOT(ISNUMBER(AJ650)),NOT(ISNUMBER(AP650))),"",
IFERROR(IF((AD650-AF650)/(AJ650/60)/(AP650/1000)&lt;=0,"",(AD650-AF650)/(AJ650/60)/(AP650/1000)),""))</f>
        <v/>
      </c>
    </row>
    <row r="651" ht="15.75" customHeight="1">
      <c r="B651" t="n">
        <v>407</v>
      </c>
      <c r="D651" s="11" t="n">
        <v>45911</v>
      </c>
      <c r="E651" s="231" t="n">
        <v>407</v>
      </c>
      <c r="F651" s="3" t="n">
        <v>646</v>
      </c>
      <c r="G651" s="205">
        <f>IF(OR(S651="",S651=0),"",S651*2)</f>
        <v/>
      </c>
      <c r="K651" s="15">
        <f>AD651</f>
        <v/>
      </c>
      <c r="M651" s="10">
        <f>IF(OR(E651="",G651="",E651=0,G651=0),"",E651/G651)</f>
        <v/>
      </c>
      <c r="N651" s="9">
        <f>IF(OR(E651="",I651="",E651=0,I651=0),"",E651/(I651*2))</f>
        <v/>
      </c>
      <c r="O651" s="8">
        <f>IF(OR(I651="",G651="",I651=0,G651=0),"",I651*2/G651)</f>
        <v/>
      </c>
      <c r="AD651" s="5" t="n">
        <v>80</v>
      </c>
      <c r="AH651" s="231" t="n">
        <v>0</v>
      </c>
      <c r="AI651" s="231" t="n">
        <v>9.449999999999999</v>
      </c>
      <c r="AJ651" s="20" t="n">
        <v>0.5200231481481481</v>
      </c>
      <c r="AL651" s="2">
        <f>("21:05"-"17:50")*1440</f>
        <v/>
      </c>
      <c r="AM651" s="3">
        <f>180+60</f>
        <v/>
      </c>
      <c r="AP651" s="3" t="n">
        <v>40</v>
      </c>
      <c r="AR651" s="13">
        <f>AVERAGE(AO649:AO655)</f>
        <v/>
      </c>
      <c r="AT651" s="156" t="n"/>
      <c r="AU651" s="155" t="n"/>
      <c r="AV651" s="155" t="n"/>
      <c r="AW651" s="155" t="n"/>
      <c r="AX651" s="254">
        <f>IF(AND(ISNUMBER(E651),ISNUMBER(W651)),E651-W651,"")</f>
        <v/>
      </c>
      <c r="AY651" s="254">
        <f>IF(AND(ISNUMBER(I651),ISNUMBER(AF651)),I651-AF651,"")</f>
        <v/>
      </c>
      <c r="AZ651" s="254">
        <f>IF(AND(ISNUMBER(AM651),ISNUMBER(G651)),G651-AM651,"")</f>
        <v/>
      </c>
      <c r="BA651" s="254">
        <f>IF(AND(ISNUMBER(AC651),ISNUMBER(AE651)),AC651-AE651,"")</f>
        <v/>
      </c>
      <c r="BB651" s="254">
        <f>IF(AND(ISNUMBER(AL651),ISNUMBER(AM651)),AL651-AM651,"")</f>
        <v/>
      </c>
      <c r="BC651" s="84">
        <f>IF(AND($E651&gt;0,$W651&gt;0),IF(($E651-$W651)/$E651&gt;0,($E651-$W651)/$E651,0),"")</f>
        <v/>
      </c>
      <c r="BD651" s="84">
        <f>IF(AND($I651&gt;0,$AF651&gt;=0),IF(($I651-$AF651)/$I651&gt;0,($I651-$AF651)/$I651,0),"")</f>
        <v/>
      </c>
      <c r="BE651" s="84" t="n"/>
      <c r="BF651" s="84">
        <f>IF(AND($G651&gt;0,$AM651&gt;0),IF(($G651-$AM651)/$G651&gt;0,($G651-$AM651)/$G651,0),"")</f>
        <v/>
      </c>
      <c r="BG651" s="6">
        <f>IF((AD651-AF651)/(AJ651/60)&lt;=0,"",(AD651-AF651)/(AJ651/60))</f>
        <v/>
      </c>
      <c r="BH651" s="6">
        <f>IF(OR(AJ651=0,AP651=0,NOT(ISNUMBER(AD651)),NOT(ISNUMBER(AF651)),NOT(ISNUMBER(AJ651)),NOT(ISNUMBER(AP651))),"",
IFERROR(IF((AD651-AF651)/(AJ651/60)/(AP651/1000)&lt;=0,"",(AD651-AF651)/(AJ651/60)/(AP651/1000)),""))</f>
        <v/>
      </c>
    </row>
    <row r="652" ht="15.75" customHeight="1">
      <c r="B652" t="n">
        <v>408</v>
      </c>
      <c r="C652" s="12" t="inlineStr">
        <is>
          <t>flatline high ORP</t>
        </is>
      </c>
      <c r="D652" s="11" t="n">
        <v>45912</v>
      </c>
      <c r="E652" s="231" t="n">
        <v>408</v>
      </c>
      <c r="F652" s="3" t="n">
        <v>647</v>
      </c>
      <c r="G652" s="205">
        <f>IF(OR(S652="",S652=0),"",S652*2)</f>
        <v/>
      </c>
      <c r="I652" s="15">
        <f>(N652*18-H652*18)/9</f>
        <v/>
      </c>
      <c r="J652" s="9">
        <f>2*2.59</f>
        <v/>
      </c>
      <c r="K652" s="15">
        <f>AD652</f>
        <v/>
      </c>
      <c r="M652" s="10">
        <f>IF(OR(E652="",G652="",E652=0,G652=0),"",E652/G652)</f>
        <v/>
      </c>
      <c r="N652" s="9">
        <f>IF(OR(E652="",I652="",E652=0,I652=0),"",E652/(I652*2))</f>
        <v/>
      </c>
      <c r="O652" s="8">
        <f>IF(OR(I652="",G652="",I652=0,G652=0),"",I652*2/G652)</f>
        <v/>
      </c>
      <c r="P652" s="10">
        <f>5*2.42</f>
        <v/>
      </c>
      <c r="Q652" s="6" t="n">
        <v>77.34999999999999</v>
      </c>
      <c r="R652" s="6" t="n">
        <v>24.817</v>
      </c>
      <c r="S652" s="6">
        <f>O652*1.067</f>
        <v/>
      </c>
      <c r="T652" s="6">
        <f>P652*1.514</f>
        <v/>
      </c>
      <c r="U652" s="23">
        <f>P652*1.514+O652*1.067</f>
        <v/>
      </c>
      <c r="V652" s="6" t="n">
        <v>38.9</v>
      </c>
      <c r="W652" s="59">
        <f>0.198*1.067</f>
        <v/>
      </c>
      <c r="X652" s="59">
        <f>0*1.514</f>
        <v/>
      </c>
      <c r="Y652" s="23">
        <f>U652*1.067+V652*1.514</f>
        <v/>
      </c>
      <c r="AD652" s="5" t="n">
        <v>80</v>
      </c>
      <c r="AE652" s="7">
        <f>T652</f>
        <v/>
      </c>
      <c r="AF652" s="231" t="n">
        <v>30.3</v>
      </c>
      <c r="AG652" s="231">
        <f>5*2.74</f>
        <v/>
      </c>
      <c r="AH652" s="231" t="n">
        <v>0</v>
      </c>
      <c r="AI652" s="231" t="n">
        <v>9.18</v>
      </c>
      <c r="AJ652" s="20" t="n">
        <v>0.515625</v>
      </c>
      <c r="AL652" s="2">
        <f>("13:00"-"10:00")*1440</f>
        <v/>
      </c>
      <c r="AM652" s="3">
        <f>180+60</f>
        <v/>
      </c>
      <c r="AN652" s="4">
        <f>AE652</f>
        <v/>
      </c>
      <c r="AO652" s="231">
        <f>2*5.53</f>
        <v/>
      </c>
      <c r="AP652" s="3" t="n">
        <v>40</v>
      </c>
      <c r="AQ652" s="2" t="n">
        <v>3919.999999999982</v>
      </c>
      <c r="AR652" s="13">
        <f>AVERAGE(AO650:AO656)</f>
        <v/>
      </c>
      <c r="AT652" s="156">
        <f>(E652-W652)/E652</f>
        <v/>
      </c>
      <c r="AU652" s="155">
        <f>(I652-AF652)/I652</f>
        <v/>
      </c>
      <c r="AV652" s="155">
        <f>AG652/(AD652-AF652)</f>
        <v/>
      </c>
      <c r="AW652" s="155">
        <f>(G652-AM652)/G652</f>
        <v/>
      </c>
      <c r="AX652" s="254">
        <f>IF(AND(ISNUMBER(E652),ISNUMBER(W652)),E652-W652,"")</f>
        <v/>
      </c>
      <c r="AY652" s="254">
        <f>IF(AND(ISNUMBER(I652),ISNUMBER(AF652)),I652-AF652,"")</f>
        <v/>
      </c>
      <c r="AZ652" s="254">
        <f>IF(AND(ISNUMBER(AM652),ISNUMBER(G652)),G652-AM652,"")</f>
        <v/>
      </c>
      <c r="BA652" s="254">
        <f>IF(AND(ISNUMBER(AC652),ISNUMBER(AE652)),AC652-AE652,"")</f>
        <v/>
      </c>
      <c r="BB652" s="254">
        <f>IF(AND(ISNUMBER(AL652),ISNUMBER(AM652)),AL652-AM652,"")</f>
        <v/>
      </c>
      <c r="BC652" s="84">
        <f>IF(AND($E652&gt;0,$W652&gt;0),IF(($E652-$W652)/$E652&gt;0,($E652-$W652)/$E652,0),"")</f>
        <v/>
      </c>
      <c r="BD652" s="84">
        <f>IF(AND($I652&gt;0,$AF652&gt;=0),IF(($I652-$AF652)/$I652&gt;0,($I652-$AF652)/$I652,0),"")</f>
        <v/>
      </c>
      <c r="BE652" s="84" t="n"/>
      <c r="BF652" s="84">
        <f>IF(AND($G652&gt;0,$AM652&gt;0),IF(($G652-$AM652)/$G652&gt;0,($G652-$AM652)/$G652,0),"")</f>
        <v/>
      </c>
      <c r="BG652" s="6">
        <f>IF((AD652-AF652)/(AJ652/60)&lt;=0,"",(AD652-AF652)/(AJ652/60))</f>
        <v/>
      </c>
      <c r="BH652" s="6">
        <f>IF(OR(AJ652=0,AP652=0,NOT(ISNUMBER(AD652)),NOT(ISNUMBER(AF652)),NOT(ISNUMBER(AJ652)),NOT(ISNUMBER(AP652))),"",
IFERROR(IF((AD652-AF652)/(AJ652/60)/(AP652/1000)&lt;=0,"",(AD652-AF652)/(AJ652/60)/(AP652/1000)),""))</f>
        <v/>
      </c>
    </row>
    <row r="653" ht="15.75" customHeight="1">
      <c r="B653" t="n">
        <v>409</v>
      </c>
      <c r="D653" s="11" t="n">
        <v>45913</v>
      </c>
      <c r="E653" s="231" t="n">
        <v>409</v>
      </c>
      <c r="F653" s="3" t="n">
        <v>648</v>
      </c>
      <c r="G653" s="205">
        <f>IF(OR(S653="",S653=0),"",S653*2)</f>
        <v/>
      </c>
      <c r="K653" s="15">
        <f>AD653</f>
        <v/>
      </c>
      <c r="M653" s="10">
        <f>IF(OR(E653="",G653="",E653=0,G653=0),"",E653/G653)</f>
        <v/>
      </c>
      <c r="N653" s="9">
        <f>IF(OR(E653="",I653="",E653=0,I653=0),"",E653/(I653*2))</f>
        <v/>
      </c>
      <c r="O653" s="8">
        <f>IF(OR(I653="",G653="",I653=0,G653=0),"",I653*2/G653)</f>
        <v/>
      </c>
      <c r="AD653" s="5" t="n">
        <v>80</v>
      </c>
      <c r="AE653" s="4" t="n">
        <v>26.6</v>
      </c>
      <c r="AF653" s="231" t="n">
        <v>36.2</v>
      </c>
      <c r="AG653" s="231">
        <f>5*1.24</f>
        <v/>
      </c>
      <c r="AH653" s="231" t="n">
        <v>0</v>
      </c>
      <c r="AI653" s="231" t="n">
        <v>8.68</v>
      </c>
      <c r="AJ653" s="20" t="n">
        <v>0.5208333333333334</v>
      </c>
      <c r="AL653" s="231" t="n">
        <v>101</v>
      </c>
      <c r="AM653" s="3">
        <f>180+60</f>
        <v/>
      </c>
      <c r="AN653" s="4">
        <f>AE653</f>
        <v/>
      </c>
      <c r="AO653" s="231" t="n">
        <v>0</v>
      </c>
      <c r="AP653" s="3" t="n">
        <v>40</v>
      </c>
      <c r="AR653" s="13">
        <f>AVERAGE(AO651:AO657)</f>
        <v/>
      </c>
      <c r="AT653" s="156" t="n"/>
      <c r="AU653" s="155">
        <f>(I653-AF653)/I653</f>
        <v/>
      </c>
      <c r="AV653" s="155">
        <f>AG653/(AD653-AF653)</f>
        <v/>
      </c>
      <c r="AW653" s="155" t="n"/>
      <c r="AX653" s="254">
        <f>IF(AND(ISNUMBER(E653),ISNUMBER(W653)),E653-W653,"")</f>
        <v/>
      </c>
      <c r="AY653" s="254">
        <f>IF(AND(ISNUMBER(I653),ISNUMBER(AF653)),I653-AF653,"")</f>
        <v/>
      </c>
      <c r="AZ653" s="254">
        <f>IF(AND(ISNUMBER(AM653),ISNUMBER(G653)),G653-AM653,"")</f>
        <v/>
      </c>
      <c r="BA653" s="254">
        <f>IF(AND(ISNUMBER(AC653),ISNUMBER(AE653)),AC653-AE653,"")</f>
        <v/>
      </c>
      <c r="BB653" s="254">
        <f>IF(AND(ISNUMBER(AL653),ISNUMBER(AM653)),AL653-AM653,"")</f>
        <v/>
      </c>
      <c r="BC653" s="84">
        <f>IF(AND($E653&gt;0,$W653&gt;0),IF(($E653-$W653)/$E653&gt;0,($E653-$W653)/$E653,0),"")</f>
        <v/>
      </c>
      <c r="BD653" s="84">
        <f>IF(AND($I653&gt;0,$AF653&gt;=0),IF(($I653-$AF653)/$I653&gt;0,($I653-$AF653)/$I653,0),"")</f>
        <v/>
      </c>
      <c r="BE653" s="84" t="n"/>
      <c r="BF653" s="84">
        <f>IF(AND($G653&gt;0,$AM653&gt;0),IF(($G653-$AM653)/$G653&gt;0,($G653-$AM653)/$G653,0),"")</f>
        <v/>
      </c>
      <c r="BG653" s="6">
        <f>IF((AD653-AF653)/(AJ653/60)&lt;=0,"",(AD653-AF653)/(AJ653/60))</f>
        <v/>
      </c>
      <c r="BH653" s="6">
        <f>IF(OR(AJ653=0,AP653=0,NOT(ISNUMBER(AD653)),NOT(ISNUMBER(AF653)),NOT(ISNUMBER(AJ653)),NOT(ISNUMBER(AP653))),"",
IFERROR(IF((AD653-AF653)/(AJ653/60)/(AP653/1000)&lt;=0,"",(AD653-AF653)/(AJ653/60)/(AP653/1000)),""))</f>
        <v/>
      </c>
    </row>
    <row r="654" ht="15.75" customHeight="1">
      <c r="B654" t="n">
        <v>410</v>
      </c>
      <c r="D654" s="11" t="n">
        <v>45914</v>
      </c>
      <c r="E654" s="231" t="n">
        <v>410</v>
      </c>
      <c r="F654" s="3" t="n">
        <v>649</v>
      </c>
      <c r="G654" s="205">
        <f>IF(OR(S654="",S654=0),"",S654*2)</f>
        <v/>
      </c>
      <c r="H654" s="11" t="n"/>
      <c r="I654" s="11" t="n"/>
      <c r="J654" s="11" t="n"/>
      <c r="K654" s="15">
        <f>AD654</f>
        <v/>
      </c>
      <c r="M654" s="10">
        <f>IF(OR(E654="",G654="",E654=0,G654=0),"",E654/G654)</f>
        <v/>
      </c>
      <c r="N654" s="9">
        <f>IF(OR(E654="",I654="",E654=0,I654=0),"",E654/(I654*2))</f>
        <v/>
      </c>
      <c r="O654" s="8">
        <f>IF(OR(I654="",G654="",I654=0,G654=0),"",I654*2/G654)</f>
        <v/>
      </c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5" t="n">
        <v>80</v>
      </c>
      <c r="AH654" s="231" t="n">
        <v>0</v>
      </c>
      <c r="AI654" s="231" t="n">
        <v>8.380000000000001</v>
      </c>
      <c r="AJ654" s="20" t="n">
        <v>0.4916666666666666</v>
      </c>
      <c r="AL654" s="2">
        <f>("12:15"-"10:00")*1440</f>
        <v/>
      </c>
      <c r="AM654" s="3">
        <f>180+60</f>
        <v/>
      </c>
      <c r="AP654" s="3" t="n">
        <v>40</v>
      </c>
      <c r="AR654" s="13">
        <f>AVERAGE(AO652:AO658)</f>
        <v/>
      </c>
      <c r="AT654" s="156" t="n"/>
      <c r="AU654" s="155" t="n"/>
      <c r="AV654" s="155" t="n"/>
      <c r="AW654" s="155" t="n"/>
      <c r="AX654" s="254">
        <f>IF(AND(ISNUMBER(E654),ISNUMBER(W654)),E654-W654,"")</f>
        <v/>
      </c>
      <c r="AY654" s="254">
        <f>IF(AND(ISNUMBER(I654),ISNUMBER(AF654)),I654-AF654,"")</f>
        <v/>
      </c>
      <c r="AZ654" s="254">
        <f>IF(AND(ISNUMBER(AM654),ISNUMBER(G654)),G654-AM654,"")</f>
        <v/>
      </c>
      <c r="BA654" s="254">
        <f>IF(AND(ISNUMBER(AC654),ISNUMBER(AE654)),AC654-AE654,"")</f>
        <v/>
      </c>
      <c r="BB654" s="254">
        <f>IF(AND(ISNUMBER(AL654),ISNUMBER(AM654)),AL654-AM654,"")</f>
        <v/>
      </c>
      <c r="BC654" s="84">
        <f>IF(AND($E654&gt;0,$W654&gt;0),IF(($E654-$W654)/$E654&gt;0,($E654-$W654)/$E654,0),"")</f>
        <v/>
      </c>
      <c r="BD654" s="84">
        <f>IF(AND($I654&gt;0,$AF654&gt;=0),IF(($I654-$AF654)/$I654&gt;0,($I654-$AF654)/$I654,0),"")</f>
        <v/>
      </c>
      <c r="BE654" s="84" t="n"/>
      <c r="BF654" s="84">
        <f>IF(AND($G654&gt;0,$AM654&gt;0),IF(($G654-$AM654)/$G654&gt;0,($G654-$AM654)/$G654,0),"")</f>
        <v/>
      </c>
      <c r="BG654" s="6">
        <f>IF((AD654-AF654)/(AJ654/60)&lt;=0,"",(AD654-AF654)/(AJ654/60))</f>
        <v/>
      </c>
      <c r="BH654" s="6">
        <f>IF(OR(AJ654=0,AP654=0,NOT(ISNUMBER(AD654)),NOT(ISNUMBER(AF654)),NOT(ISNUMBER(AJ654)),NOT(ISNUMBER(AP654))),"",
IFERROR(IF((AD654-AF654)/(AJ654/60)/(AP654/1000)&lt;=0,"",(AD654-AF654)/(AJ654/60)/(AP654/1000)),""))</f>
        <v/>
      </c>
    </row>
    <row r="655" ht="15.75" customHeight="1">
      <c r="B655" t="n">
        <v>411</v>
      </c>
      <c r="C655" s="12" t="inlineStr">
        <is>
          <t xml:space="preserve">didn't finish NO2? </t>
        </is>
      </c>
      <c r="D655" s="11" t="n">
        <v>45915</v>
      </c>
      <c r="E655" s="231" t="n">
        <v>411</v>
      </c>
      <c r="F655" s="3" t="n">
        <v>650</v>
      </c>
      <c r="G655" s="205">
        <f>IF(OR(S655="",S655=0),"",S655*2)</f>
        <v/>
      </c>
      <c r="H655" s="11" t="n"/>
      <c r="I655" s="11" t="n"/>
      <c r="J655" s="11" t="n"/>
      <c r="K655" s="15">
        <f>AD655</f>
        <v/>
      </c>
      <c r="M655" s="10">
        <f>IF(OR(E655="",G655="",E655=0,G655=0),"",E655/G655)</f>
        <v/>
      </c>
      <c r="N655" s="9">
        <f>IF(OR(E655="",I655="",E655=0,I655=0),"",E655/(I655*2))</f>
        <v/>
      </c>
      <c r="O655" s="8">
        <f>IF(OR(I655="",G655="",I655=0,G655=0),"",I655*2/G655)</f>
        <v/>
      </c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5" t="n">
        <v>80</v>
      </c>
      <c r="AG655" s="231">
        <f>5*1.41</f>
        <v/>
      </c>
      <c r="AH655" s="231" t="n">
        <v>0</v>
      </c>
      <c r="AI655" s="231" t="n">
        <v>9.640000000000001</v>
      </c>
      <c r="AJ655" s="20" t="n">
        <v>0.4577546296296297</v>
      </c>
      <c r="AL655" s="2">
        <f>("19:55"-"17:50")*1440</f>
        <v/>
      </c>
      <c r="AM655" s="3">
        <f>180+60</f>
        <v/>
      </c>
      <c r="AN655" s="4">
        <f>AE655</f>
        <v/>
      </c>
      <c r="AO655" s="231">
        <f>2*2.38</f>
        <v/>
      </c>
      <c r="AP655" s="3" t="n">
        <v>40</v>
      </c>
      <c r="AR655" s="13">
        <f>AVERAGE(AO653:AO659)</f>
        <v/>
      </c>
      <c r="AT655" s="156" t="n"/>
      <c r="AU655" s="155" t="n"/>
      <c r="AV655" s="155" t="n"/>
      <c r="AW655" s="155" t="n"/>
      <c r="AX655" s="254">
        <f>IF(AND(ISNUMBER(E655),ISNUMBER(W655)),E655-W655,"")</f>
        <v/>
      </c>
      <c r="AY655" s="254">
        <f>IF(AND(ISNUMBER(I655),ISNUMBER(AF655)),I655-AF655,"")</f>
        <v/>
      </c>
      <c r="AZ655" s="254">
        <f>IF(AND(ISNUMBER(AM655),ISNUMBER(G655)),G655-AM655,"")</f>
        <v/>
      </c>
      <c r="BA655" s="254">
        <f>IF(AND(ISNUMBER(AC655),ISNUMBER(AE655)),AC655-AE655,"")</f>
        <v/>
      </c>
      <c r="BB655" s="254">
        <f>IF(AND(ISNUMBER(AL655),ISNUMBER(AM655)),AL655-AM655,"")</f>
        <v/>
      </c>
      <c r="BC655" s="84">
        <f>IF(AND($E655&gt;0,$W655&gt;0),IF(($E655-$W655)/$E655&gt;0,($E655-$W655)/$E655,0),"")</f>
        <v/>
      </c>
      <c r="BD655" s="84">
        <f>IF(AND($I655&gt;0,$AF655&gt;=0),IF(($I655-$AF655)/$I655&gt;0,($I655-$AF655)/$I655,0),"")</f>
        <v/>
      </c>
      <c r="BE655" s="84" t="n"/>
      <c r="BF655" s="84">
        <f>IF(AND($G655&gt;0,$AM655&gt;0),IF(($G655-$AM655)/$G655&gt;0,($G655-$AM655)/$G655,0),"")</f>
        <v/>
      </c>
      <c r="BG655" s="6">
        <f>IF((AD655-AF655)/(AJ655/60)&lt;=0,"",(AD655-AF655)/(AJ655/60))</f>
        <v/>
      </c>
      <c r="BH655" s="6">
        <f>IF(OR(AJ655=0,AP655=0,NOT(ISNUMBER(AD655)),NOT(ISNUMBER(AF655)),NOT(ISNUMBER(AJ655)),NOT(ISNUMBER(AP655))),"",
IFERROR(IF((AD655-AF655)/(AJ655/60)/(AP655/1000)&lt;=0,"",(AD655-AF655)/(AJ655/60)/(AP655/1000)),""))</f>
        <v/>
      </c>
    </row>
    <row r="656" ht="15.75" customHeight="1">
      <c r="B656" t="n">
        <v>412</v>
      </c>
      <c r="D656" s="11" t="n">
        <v>45916</v>
      </c>
      <c r="E656" s="231" t="n">
        <v>412</v>
      </c>
      <c r="F656" s="3" t="n">
        <v>651</v>
      </c>
      <c r="G656" s="205">
        <f>IF(OR(S656="",S656=0),"",S656*2)</f>
        <v/>
      </c>
      <c r="K656" s="15">
        <f>AD656</f>
        <v/>
      </c>
      <c r="M656" s="10">
        <f>IF(OR(E656="",G656="",E656=0,G656=0),"",E656/G656)</f>
        <v/>
      </c>
      <c r="N656" s="9">
        <f>IF(OR(E656="",I656="",E656=0,I656=0),"",E656/(I656*2))</f>
        <v/>
      </c>
      <c r="O656" s="8">
        <f>IF(OR(I656="",G656="",I656=0,G656=0),"",I656*2/G656)</f>
        <v/>
      </c>
      <c r="AD656" s="5" t="n">
        <v>80</v>
      </c>
      <c r="AH656" s="231" t="n">
        <v>0</v>
      </c>
      <c r="AI656" s="231" t="n">
        <v>2.83</v>
      </c>
      <c r="AJ656" s="20" t="n">
        <v>0.4224537037037037</v>
      </c>
      <c r="AL656" s="2">
        <f>("19:45"-"17:50")*1440</f>
        <v/>
      </c>
      <c r="AM656" s="3">
        <f>180+60</f>
        <v/>
      </c>
      <c r="AP656" s="3" t="n">
        <v>40</v>
      </c>
      <c r="AR656" s="13">
        <f>AVERAGE(AO654:AO660)</f>
        <v/>
      </c>
      <c r="AT656" s="156" t="n"/>
      <c r="AU656" s="155" t="n"/>
      <c r="AV656" s="155" t="n"/>
      <c r="AW656" s="155" t="n"/>
      <c r="AX656" s="254">
        <f>IF(AND(ISNUMBER(E656),ISNUMBER(W656)),E656-W656,"")</f>
        <v/>
      </c>
      <c r="AY656" s="254">
        <f>IF(AND(ISNUMBER(I656),ISNUMBER(AF656)),I656-AF656,"")</f>
        <v/>
      </c>
      <c r="AZ656" s="254">
        <f>IF(AND(ISNUMBER(AM656),ISNUMBER(G656)),G656-AM656,"")</f>
        <v/>
      </c>
      <c r="BA656" s="254">
        <f>IF(AND(ISNUMBER(AC656),ISNUMBER(AE656)),AC656-AE656,"")</f>
        <v/>
      </c>
      <c r="BB656" s="254">
        <f>IF(AND(ISNUMBER(AL656),ISNUMBER(AM656)),AL656-AM656,"")</f>
        <v/>
      </c>
      <c r="BC656" s="84">
        <f>IF(AND($E656&gt;0,$W656&gt;0),IF(($E656-$W656)/$E656&gt;0,($E656-$W656)/$E656,0),"")</f>
        <v/>
      </c>
      <c r="BD656" s="84">
        <f>IF(AND($I656&gt;0,$AF656&gt;=0),IF(($I656-$AF656)/$I656&gt;0,($I656-$AF656)/$I656,0),"")</f>
        <v/>
      </c>
      <c r="BE656" s="84" t="n"/>
      <c r="BF656" s="84">
        <f>IF(AND($G656&gt;0,$AM656&gt;0),IF(($G656-$AM656)/$G656&gt;0,($G656-$AM656)/$G656,0),"")</f>
        <v/>
      </c>
      <c r="BG656" s="6">
        <f>IF((AD656-AF656)/(AJ656/60)&lt;=0,"",(AD656-AF656)/(AJ656/60))</f>
        <v/>
      </c>
      <c r="BH656" s="6">
        <f>IF(OR(AJ656=0,AP656=0,NOT(ISNUMBER(AD656)),NOT(ISNUMBER(AF656)),NOT(ISNUMBER(AJ656)),NOT(ISNUMBER(AP656))),"",
IFERROR(IF((AD656-AF656)/(AJ656/60)/(AP656/1000)&lt;=0,"",(AD656-AF656)/(AJ656/60)/(AP656/1000)),""))</f>
        <v/>
      </c>
    </row>
    <row r="657" ht="15.75" customHeight="1">
      <c r="B657" t="n">
        <v>413</v>
      </c>
      <c r="C657" s="12" t="inlineStr">
        <is>
          <t>gas 0.08 LPN to 0.18 LPM</t>
        </is>
      </c>
      <c r="D657" s="11" t="n">
        <v>45917</v>
      </c>
      <c r="E657" s="231" t="n">
        <v>413</v>
      </c>
      <c r="F657" s="3" t="n">
        <v>652</v>
      </c>
      <c r="G657" s="205">
        <f>IF(OR(S657="",S657=0),"",S657*2)</f>
        <v/>
      </c>
      <c r="I657" s="15">
        <f>(N657*18-H657*18)/9</f>
        <v/>
      </c>
      <c r="J657" s="9">
        <f>2*2.43</f>
        <v/>
      </c>
      <c r="K657" s="15">
        <f>AD657</f>
        <v/>
      </c>
      <c r="M657" s="10">
        <f>IF(OR(E657="",G657="",E657=0,G657=0),"",E657/G657)</f>
        <v/>
      </c>
      <c r="N657" s="9">
        <f>IF(OR(E657="",I657="",E657=0,I657=0),"",E657/(I657*2))</f>
        <v/>
      </c>
      <c r="O657" s="8">
        <f>IF(OR(I657="",G657="",I657=0,G657=0),"",I657*2/G657)</f>
        <v/>
      </c>
      <c r="P657" s="10">
        <f>5*3.69</f>
        <v/>
      </c>
      <c r="Q657" s="6" t="n">
        <v>84.254</v>
      </c>
      <c r="R657" s="6" t="n">
        <v>27.174</v>
      </c>
      <c r="S657" s="6">
        <f>O657*1.067</f>
        <v/>
      </c>
      <c r="T657" s="6">
        <f>P657*1.514</f>
        <v/>
      </c>
      <c r="U657" s="23">
        <f>P657*1.514+O657*1.067</f>
        <v/>
      </c>
      <c r="V657" s="6" t="n">
        <v>56.3</v>
      </c>
      <c r="W657" s="59">
        <f>0*1.067</f>
        <v/>
      </c>
      <c r="X657" s="59">
        <f>0*1.514</f>
        <v/>
      </c>
      <c r="Y657" s="23">
        <f>U657*1.067+V657*1.514</f>
        <v/>
      </c>
      <c r="AD657" s="5" t="n">
        <v>80</v>
      </c>
      <c r="AE657" s="7">
        <f>T657</f>
        <v/>
      </c>
      <c r="AF657" s="231" t="n">
        <v>32.8</v>
      </c>
      <c r="AG657" s="231">
        <f>5*4.3</f>
        <v/>
      </c>
      <c r="AH657" s="231" t="n">
        <v>0</v>
      </c>
      <c r="AI657" s="231" t="n">
        <v>1.24</v>
      </c>
      <c r="AJ657" s="20" t="n">
        <v>0.4111111111111111</v>
      </c>
      <c r="AL657" s="2">
        <f>("19:45"-"17:50")*1440</f>
        <v/>
      </c>
      <c r="AM657" s="3">
        <f>180+60</f>
        <v/>
      </c>
      <c r="AN657" s="4">
        <f>AE657</f>
        <v/>
      </c>
      <c r="AO657" s="231">
        <f>2*2.27</f>
        <v/>
      </c>
      <c r="AP657" s="3" t="n">
        <v>40</v>
      </c>
      <c r="AQ657" s="2" t="n">
        <v>3210.000000000036</v>
      </c>
      <c r="AR657" s="13">
        <f>AVERAGE(AO655:AO661)</f>
        <v/>
      </c>
      <c r="AT657" s="156">
        <f>(E657-W657)/E657</f>
        <v/>
      </c>
      <c r="AU657" s="155">
        <f>(I657-AF657)/I657</f>
        <v/>
      </c>
      <c r="AV657" s="155" t="n"/>
      <c r="AW657" s="155">
        <f>(G657-AM657)/G657</f>
        <v/>
      </c>
      <c r="AX657" s="254">
        <f>IF(AND(ISNUMBER(E657),ISNUMBER(W657)),E657-W657,"")</f>
        <v/>
      </c>
      <c r="AY657" s="254">
        <f>IF(AND(ISNUMBER(I657),ISNUMBER(AF657)),I657-AF657,"")</f>
        <v/>
      </c>
      <c r="AZ657" s="254">
        <f>IF(AND(ISNUMBER(AM657),ISNUMBER(G657)),G657-AM657,"")</f>
        <v/>
      </c>
      <c r="BA657" s="254">
        <f>IF(AND(ISNUMBER(AC657),ISNUMBER(AE657)),AC657-AE657,"")</f>
        <v/>
      </c>
      <c r="BB657" s="254">
        <f>IF(AND(ISNUMBER(AL657),ISNUMBER(AM657)),AL657-AM657,"")</f>
        <v/>
      </c>
      <c r="BC657" s="84">
        <f>IF(AND($E657&gt;0,$W657&gt;0),IF(($E657-$W657)/$E657&gt;0,($E657-$W657)/$E657,0),"")</f>
        <v/>
      </c>
      <c r="BD657" s="84">
        <f>IF(AND($I657&gt;0,$AF657&gt;=0),IF(($I657-$AF657)/$I657&gt;0,($I657-$AF657)/$I657,0),"")</f>
        <v/>
      </c>
      <c r="BE657" s="84" t="n"/>
      <c r="BF657" s="84">
        <f>IF(AND($G657&gt;0,$AM657&gt;0),IF(($G657-$AM657)/$G657&gt;0,($G657-$AM657)/$G657,0),"")</f>
        <v/>
      </c>
      <c r="BG657" s="6">
        <f>IF((AD657-AF657)/(AJ657/60)&lt;=0,"",(AD657-AF657)/(AJ657/60))</f>
        <v/>
      </c>
      <c r="BH657" s="6">
        <f>IF(OR(AJ657=0,AP657=0,NOT(ISNUMBER(AD657)),NOT(ISNUMBER(AF657)),NOT(ISNUMBER(AJ657)),NOT(ISNUMBER(AP657))),"",
IFERROR(IF((AD657-AF657)/(AJ657/60)/(AP657/1000)&lt;=0,"",(AD657-AF657)/(AJ657/60)/(AP657/1000)),""))</f>
        <v/>
      </c>
    </row>
    <row r="658" ht="15.75" customHeight="1">
      <c r="B658" t="n">
        <v>414</v>
      </c>
      <c r="D658" s="11" t="n">
        <v>45918</v>
      </c>
      <c r="E658" s="231" t="n">
        <v>414</v>
      </c>
      <c r="F658" s="3" t="n">
        <v>653</v>
      </c>
      <c r="G658" s="205">
        <f>IF(OR(S658="",S658=0),"",S658*2)</f>
        <v/>
      </c>
      <c r="K658" s="15">
        <f>AD658</f>
        <v/>
      </c>
      <c r="M658" s="10">
        <f>IF(OR(E658="",G658="",E658=0,G658=0),"",E658/G658)</f>
        <v/>
      </c>
      <c r="N658" s="9">
        <f>IF(OR(E658="",I658="",E658=0,I658=0),"",E658/(I658*2))</f>
        <v/>
      </c>
      <c r="O658" s="8">
        <f>IF(OR(I658="",G658="",I658=0,G658=0),"",I658*2/G658)</f>
        <v/>
      </c>
      <c r="AD658" s="5" t="n">
        <v>80</v>
      </c>
      <c r="AH658" s="231" t="n">
        <v>0</v>
      </c>
      <c r="AI658" s="231" t="n">
        <v>7.95</v>
      </c>
      <c r="AJ658" s="20" t="n">
        <v>0.478587962962963</v>
      </c>
      <c r="AL658" s="2">
        <f>("19:55"-"17:50")*1440</f>
        <v/>
      </c>
      <c r="AM658" s="3">
        <f>180+60</f>
        <v/>
      </c>
      <c r="AP658" s="3" t="n">
        <v>40</v>
      </c>
      <c r="AR658" s="13">
        <f>AVERAGE(AO656:AO662)</f>
        <v/>
      </c>
      <c r="AT658" s="156" t="n"/>
      <c r="AU658" s="155" t="n"/>
      <c r="AV658" s="155" t="n"/>
      <c r="AW658" s="155" t="n"/>
      <c r="AX658" s="254">
        <f>IF(AND(ISNUMBER(E658),ISNUMBER(W658)),E658-W658,"")</f>
        <v/>
      </c>
      <c r="AY658" s="254">
        <f>IF(AND(ISNUMBER(I658),ISNUMBER(AF658)),I658-AF658,"")</f>
        <v/>
      </c>
      <c r="AZ658" s="254">
        <f>IF(AND(ISNUMBER(AM658),ISNUMBER(G658)),G658-AM658,"")</f>
        <v/>
      </c>
      <c r="BA658" s="254">
        <f>IF(AND(ISNUMBER(AC658),ISNUMBER(AE658)),AC658-AE658,"")</f>
        <v/>
      </c>
      <c r="BB658" s="254">
        <f>IF(AND(ISNUMBER(AL658),ISNUMBER(AM658)),AL658-AM658,"")</f>
        <v/>
      </c>
      <c r="BC658" s="84">
        <f>IF(AND($E658&gt;0,$W658&gt;0),IF(($E658-$W658)/$E658&gt;0,($E658-$W658)/$E658,0),"")</f>
        <v/>
      </c>
      <c r="BD658" s="84">
        <f>IF(AND($I658&gt;0,$AF658&gt;=0),IF(($I658-$AF658)/$I658&gt;0,($I658-$AF658)/$I658,0),"")</f>
        <v/>
      </c>
      <c r="BE658" s="84" t="n"/>
      <c r="BF658" s="84">
        <f>IF(AND($G658&gt;0,$AM658&gt;0),IF(($G658-$AM658)/$G658&gt;0,($G658-$AM658)/$G658,0),"")</f>
        <v/>
      </c>
      <c r="BG658" s="6">
        <f>IF((AD658-AF658)/(AJ658/60)&lt;=0,"",(AD658-AF658)/(AJ658/60))</f>
        <v/>
      </c>
      <c r="BH658" s="6">
        <f>IF(OR(AJ658=0,AP658=0,NOT(ISNUMBER(AD658)),NOT(ISNUMBER(AF658)),NOT(ISNUMBER(AJ658)),NOT(ISNUMBER(AP658))),"",
IFERROR(IF((AD658-AF658)/(AJ658/60)/(AP658/1000)&lt;=0,"",(AD658-AF658)/(AJ658/60)/(AP658/1000)),""))</f>
        <v/>
      </c>
    </row>
    <row r="659" ht="15.75" customHeight="1">
      <c r="A659" s="260" t="inlineStr">
        <is>
          <t>B85</t>
        </is>
      </c>
      <c r="B659" s="260" t="n">
        <v>415</v>
      </c>
      <c r="D659" s="11" t="n">
        <v>45919</v>
      </c>
      <c r="E659" s="231" t="n">
        <v>415</v>
      </c>
      <c r="F659" s="3" t="n">
        <v>654</v>
      </c>
      <c r="G659" s="205">
        <f>IF(OR(S659="",S659=0),"",S659*2)</f>
        <v/>
      </c>
      <c r="K659" s="15">
        <f>AD659</f>
        <v/>
      </c>
      <c r="M659" s="10">
        <f>IF(OR(E659="",G659="",E659=0,G659=0),"",E659/G659)</f>
        <v/>
      </c>
      <c r="N659" s="9">
        <f>IF(OR(E659="",I659="",E659=0,I659=0),"",E659/(I659*2))</f>
        <v/>
      </c>
      <c r="O659" s="8">
        <f>IF(OR(I659="",G659="",I659=0,G659=0),"",I659*2/G659)</f>
        <v/>
      </c>
      <c r="AD659" s="5" t="n">
        <v>80</v>
      </c>
      <c r="AH659" s="231" t="n">
        <v>0</v>
      </c>
      <c r="AI659" s="231" t="n">
        <v>8.289999999999999</v>
      </c>
      <c r="AJ659" s="20" t="n">
        <v>0.4837962962962963</v>
      </c>
      <c r="AL659" s="2">
        <f>("20:05"-"17:50")*1440</f>
        <v/>
      </c>
      <c r="AM659" s="3">
        <f>180+60</f>
        <v/>
      </c>
      <c r="AP659" s="3" t="n">
        <v>40</v>
      </c>
      <c r="AR659" s="13">
        <f>AVERAGE(AO657:AO663)</f>
        <v/>
      </c>
      <c r="AT659" s="156" t="n"/>
      <c r="AU659" s="155" t="n"/>
      <c r="AV659" s="155" t="n"/>
      <c r="AW659" s="155" t="n"/>
      <c r="AX659" s="254">
        <f>IF(AND(ISNUMBER(E659),ISNUMBER(W659)),E659-W659,"")</f>
        <v/>
      </c>
      <c r="AY659" s="254">
        <f>IF(AND(ISNUMBER(I659),ISNUMBER(AF659)),I659-AF659,"")</f>
        <v/>
      </c>
      <c r="AZ659" s="254">
        <f>IF(AND(ISNUMBER(AM659),ISNUMBER(G659)),G659-AM659,"")</f>
        <v/>
      </c>
      <c r="BA659" s="254">
        <f>IF(AND(ISNUMBER(AC659),ISNUMBER(AE659)),AC659-AE659,"")</f>
        <v/>
      </c>
      <c r="BB659" s="254">
        <f>IF(AND(ISNUMBER(AL659),ISNUMBER(AM659)),AL659-AM659,"")</f>
        <v/>
      </c>
      <c r="BC659" s="84">
        <f>IF(AND($E659&gt;0,$W659&gt;0),IF(($E659-$W659)/$E659&gt;0,($E659-$W659)/$E659,0),"")</f>
        <v/>
      </c>
      <c r="BD659" s="84">
        <f>IF(AND($I659&gt;0,$AF659&gt;=0),IF(($I659-$AF659)/$I659&gt;0,($I659-$AF659)/$I659,0),"")</f>
        <v/>
      </c>
      <c r="BE659" s="84" t="n"/>
      <c r="BF659" s="84">
        <f>IF(AND($G659&gt;0,$AM659&gt;0),IF(($G659-$AM659)/$G659&gt;0,($G659-$AM659)/$G659,0),"")</f>
        <v/>
      </c>
      <c r="BG659" s="6">
        <f>IF((AD659-AF659)/(AJ659/60)&lt;=0,"",(AD659-AF659)/(AJ659/60))</f>
        <v/>
      </c>
      <c r="BH659" s="6">
        <f>IF(OR(AJ659=0,AP659=0,NOT(ISNUMBER(AD659)),NOT(ISNUMBER(AF659)),NOT(ISNUMBER(AJ659)),NOT(ISNUMBER(AP659))),"",
IFERROR(IF((AD659-AF659)/(AJ659/60)/(AP659/1000)&lt;=0,"",(AD659-AF659)/(AJ659/60)/(AP659/1000)),""))</f>
        <v/>
      </c>
    </row>
    <row r="660" ht="15.75" customHeight="1">
      <c r="B660" t="n">
        <v>416</v>
      </c>
      <c r="D660" s="11" t="n">
        <v>45920</v>
      </c>
      <c r="E660" s="231" t="n">
        <v>416</v>
      </c>
      <c r="F660" s="3" t="n">
        <v>655</v>
      </c>
      <c r="G660" s="205">
        <f>IF(OR(S660="",S660=0),"",S660*2)</f>
        <v/>
      </c>
      <c r="K660" s="15">
        <f>AD660</f>
        <v/>
      </c>
      <c r="M660" s="10">
        <f>IF(OR(E660="",G660="",E660=0,G660=0),"",E660/G660)</f>
        <v/>
      </c>
      <c r="N660" s="9">
        <f>IF(OR(E660="",I660="",E660=0,I660=0),"",E660/(I660*2))</f>
        <v/>
      </c>
      <c r="O660" s="8">
        <f>IF(OR(I660="",G660="",I660=0,G660=0),"",I660*2/G660)</f>
        <v/>
      </c>
      <c r="AD660" s="5" t="n">
        <v>80</v>
      </c>
      <c r="AH660" s="231" t="n">
        <v>0</v>
      </c>
      <c r="AI660" s="231" t="n">
        <v>8.52</v>
      </c>
      <c r="AJ660" s="20" t="n">
        <v>0.4868055555555555</v>
      </c>
      <c r="AL660" s="2">
        <f>("20:40"-"17:50")*1440</f>
        <v/>
      </c>
      <c r="AM660" s="3">
        <f>180+60</f>
        <v/>
      </c>
      <c r="AP660" s="3" t="n">
        <v>40</v>
      </c>
      <c r="AR660" s="13">
        <f>AVERAGE(AO658:AO664)</f>
        <v/>
      </c>
      <c r="AT660" s="156" t="n"/>
      <c r="AU660" s="155" t="n"/>
      <c r="AV660" s="155" t="n"/>
      <c r="AW660" s="155" t="n"/>
      <c r="AX660" s="254">
        <f>IF(AND(ISNUMBER(E660),ISNUMBER(W660)),E660-W660,"")</f>
        <v/>
      </c>
      <c r="AY660" s="254">
        <f>IF(AND(ISNUMBER(I660),ISNUMBER(AF660)),I660-AF660,"")</f>
        <v/>
      </c>
      <c r="AZ660" s="254">
        <f>IF(AND(ISNUMBER(AM660),ISNUMBER(G660)),G660-AM660,"")</f>
        <v/>
      </c>
      <c r="BA660" s="254">
        <f>IF(AND(ISNUMBER(AC660),ISNUMBER(AE660)),AC660-AE660,"")</f>
        <v/>
      </c>
      <c r="BB660" s="254">
        <f>IF(AND(ISNUMBER(AL660),ISNUMBER(AM660)),AL660-AM660,"")</f>
        <v/>
      </c>
      <c r="BC660" s="84">
        <f>IF(AND($E660&gt;0,$W660&gt;0),IF(($E660-$W660)/$E660&gt;0,($E660-$W660)/$E660,0),"")</f>
        <v/>
      </c>
      <c r="BD660" s="84">
        <f>IF(AND($I660&gt;0,$AF660&gt;=0),IF(($I660-$AF660)/$I660&gt;0,($I660-$AF660)/$I660,0),"")</f>
        <v/>
      </c>
      <c r="BE660" s="84" t="n"/>
      <c r="BF660" s="84">
        <f>IF(AND($G660&gt;0,$AM660&gt;0),IF(($G660-$AM660)/$G660&gt;0,($G660-$AM660)/$G660,0),"")</f>
        <v/>
      </c>
      <c r="BG660" s="6">
        <f>IF((AD660-AF660)/(AJ660/60)&lt;=0,"",(AD660-AF660)/(AJ660/60))</f>
        <v/>
      </c>
      <c r="BH660" s="6" t="n"/>
    </row>
    <row r="661" ht="15.75" customHeight="1">
      <c r="B661" t="n">
        <v>417</v>
      </c>
      <c r="D661" s="11" t="n">
        <v>45921</v>
      </c>
      <c r="E661" s="231" t="n">
        <v>417</v>
      </c>
      <c r="F661" s="3" t="n">
        <v>656</v>
      </c>
      <c r="G661" s="205">
        <f>IF(OR(S661="",S661=0),"",S661*2)</f>
        <v/>
      </c>
      <c r="K661" s="15">
        <f>AD661</f>
        <v/>
      </c>
      <c r="M661" s="10">
        <f>IF(OR(E661="",G661="",E661=0,G661=0),"",E661/G661)</f>
        <v/>
      </c>
      <c r="N661" s="9">
        <f>IF(OR(E661="",I661="",E661=0,I661=0),"",E661/(I661*2))</f>
        <v/>
      </c>
      <c r="O661" s="8">
        <f>IF(OR(I661="",G661="",I661=0,G661=0),"",I661*2/G661)</f>
        <v/>
      </c>
      <c r="AD661" s="5" t="n">
        <v>80</v>
      </c>
      <c r="AH661" s="231" t="n">
        <v>0</v>
      </c>
      <c r="AI661" s="231" t="n">
        <v>8.880000000000001</v>
      </c>
      <c r="AJ661" s="20" t="n">
        <v>0.4939814814814815</v>
      </c>
      <c r="AL661" s="2">
        <f>("20:20"-"17:50")*1440</f>
        <v/>
      </c>
      <c r="AM661" s="3">
        <f>180+60</f>
        <v/>
      </c>
      <c r="AP661" s="3" t="n">
        <v>40</v>
      </c>
      <c r="AR661" s="13">
        <f>AVERAGE(AO659:AO665)</f>
        <v/>
      </c>
      <c r="AT661" s="156" t="n"/>
      <c r="AU661" s="155" t="n"/>
      <c r="AV661" s="155" t="n"/>
      <c r="AW661" s="155" t="n"/>
      <c r="AX661" s="254">
        <f>IF(AND(ISNUMBER(E661),ISNUMBER(W661)),E661-W661,"")</f>
        <v/>
      </c>
      <c r="AY661" s="254">
        <f>IF(AND(ISNUMBER(I661),ISNUMBER(AF661)),I661-AF661,"")</f>
        <v/>
      </c>
      <c r="AZ661" s="254">
        <f>IF(AND(ISNUMBER(AM661),ISNUMBER(G661)),G661-AM661,"")</f>
        <v/>
      </c>
      <c r="BA661" s="254">
        <f>IF(AND(ISNUMBER(AC661),ISNUMBER(AE661)),AC661-AE661,"")</f>
        <v/>
      </c>
      <c r="BB661" s="254">
        <f>IF(AND(ISNUMBER(AL661),ISNUMBER(AM661)),AL661-AM661,"")</f>
        <v/>
      </c>
      <c r="BC661" s="84">
        <f>IF(AND($E661&gt;0,$W661&gt;0),IF(($E661-$W661)/$E661&gt;0,($E661-$W661)/$E661,0),"")</f>
        <v/>
      </c>
      <c r="BD661" s="84">
        <f>IF(AND($I661&gt;0,$AF661&gt;=0),IF(($I661-$AF661)/$I661&gt;0,($I661-$AF661)/$I661,0),"")</f>
        <v/>
      </c>
      <c r="BE661" s="84" t="n"/>
      <c r="BF661" s="84">
        <f>IF(AND($G661&gt;0,$AM661&gt;0),IF(($G661-$AM661)/$G661&gt;0,($G661-$AM661)/$G661,0),"")</f>
        <v/>
      </c>
      <c r="BG661" s="6">
        <f>IF((AD661-AF661)/(AJ661/60)&lt;=0,"",(AD661-AF661)/(AJ661/60))</f>
        <v/>
      </c>
      <c r="BH661" s="6">
        <f>IF(OR(AJ661=0,AP661=0,NOT(ISNUMBER(AD661)),NOT(ISNUMBER(AF661)),NOT(ISNUMBER(AJ661)),NOT(ISNUMBER(AP661))),"",
IFERROR(IF((AD661-AF661)/(AJ661/60)/(AP661/1000)&lt;=0,"",(AD661-AF661)/(AJ661/60)/(AP661/1000)),""))</f>
        <v/>
      </c>
    </row>
    <row r="662" ht="15.75" customHeight="1">
      <c r="B662" t="n">
        <v>418</v>
      </c>
      <c r="D662" s="11" t="n">
        <v>45922</v>
      </c>
      <c r="E662" s="231" t="n">
        <v>418</v>
      </c>
      <c r="F662" s="3" t="n">
        <v>657</v>
      </c>
      <c r="G662" s="205">
        <f>IF(OR(S662="",S662=0),"",S662*2)</f>
        <v/>
      </c>
      <c r="K662" s="15">
        <f>AD662</f>
        <v/>
      </c>
      <c r="M662" s="10">
        <f>IF(OR(E662="",G662="",E662=0,G662=0),"",E662/G662)</f>
        <v/>
      </c>
      <c r="N662" s="9">
        <f>IF(OR(E662="",I662="",E662=0,I662=0),"",E662/(I662*2))</f>
        <v/>
      </c>
      <c r="O662" s="8">
        <f>IF(OR(I662="",G662="",I662=0,G662=0),"",I662*2/G662)</f>
        <v/>
      </c>
      <c r="AD662" s="5" t="n">
        <v>80</v>
      </c>
      <c r="AH662" s="231" t="n">
        <v>0</v>
      </c>
      <c r="AI662" s="231" t="n">
        <v>10.42</v>
      </c>
      <c r="AJ662" s="20" t="n">
        <v>0.5204861111111111</v>
      </c>
      <c r="AL662" s="2">
        <f>("21:15"-"17:50")*1440</f>
        <v/>
      </c>
      <c r="AM662" s="3">
        <f>180+60</f>
        <v/>
      </c>
      <c r="AP662" s="3" t="n">
        <v>40</v>
      </c>
      <c r="AR662" s="13">
        <f>AVERAGE(AO660:AO666)</f>
        <v/>
      </c>
      <c r="AT662" s="156" t="n"/>
      <c r="AU662" s="155" t="n"/>
      <c r="AV662" s="155" t="n"/>
      <c r="AW662" s="155" t="n"/>
      <c r="AX662" s="254">
        <f>IF(AND(ISNUMBER(E662),ISNUMBER(W662)),E662-W662,"")</f>
        <v/>
      </c>
      <c r="AY662" s="254">
        <f>IF(AND(ISNUMBER(I662),ISNUMBER(AF662)),I662-AF662,"")</f>
        <v/>
      </c>
      <c r="AZ662" s="254">
        <f>IF(AND(ISNUMBER(AM662),ISNUMBER(G662)),G662-AM662,"")</f>
        <v/>
      </c>
      <c r="BA662" s="254">
        <f>IF(AND(ISNUMBER(AC662),ISNUMBER(AE662)),AC662-AE662,"")</f>
        <v/>
      </c>
      <c r="BB662" s="254">
        <f>IF(AND(ISNUMBER(AL662),ISNUMBER(AM662)),AL662-AM662,"")</f>
        <v/>
      </c>
      <c r="BC662" s="84">
        <f>IF(AND($E662&gt;0,$W662&gt;0),IF(($E662-$W662)/$E662&gt;0,($E662-$W662)/$E662,0),"")</f>
        <v/>
      </c>
      <c r="BD662" s="84">
        <f>IF(AND($I662&gt;0,$AF662&gt;=0),IF(($I662-$AF662)/$I662&gt;0,($I662-$AF662)/$I662,0),"")</f>
        <v/>
      </c>
      <c r="BE662" s="84" t="n"/>
      <c r="BF662" s="84">
        <f>IF(AND($G662&gt;0,$AM662&gt;0),IF(($G662-$AM662)/$G662&gt;0,($G662-$AM662)/$G662,0),"")</f>
        <v/>
      </c>
      <c r="BG662" s="6">
        <f>IF((AD662-AF662)/(AJ662/60)&lt;=0,"",(AD662-AF662)/(AJ662/60))</f>
        <v/>
      </c>
      <c r="BH662" s="6">
        <f>IF(OR(AJ662=0,AP662=0,NOT(ISNUMBER(AD662)),NOT(ISNUMBER(AF662)),NOT(ISNUMBER(AJ662)),NOT(ISNUMBER(AP662))),"",
IFERROR(IF((AD662-AF662)/(AJ662/60)/(AP662/1000)&lt;=0,"",(AD662-AF662)/(AJ662/60)/(AP662/1000)),""))</f>
        <v/>
      </c>
    </row>
    <row r="663" ht="15.75" customHeight="1">
      <c r="B663" t="n">
        <v>419</v>
      </c>
      <c r="D663" s="11" t="n">
        <v>45923</v>
      </c>
      <c r="E663" s="231" t="n">
        <v>419</v>
      </c>
      <c r="F663" s="3" t="n">
        <v>658</v>
      </c>
      <c r="G663" s="205">
        <f>IF(OR(S663="",S663=0),"",S663*2)</f>
        <v/>
      </c>
      <c r="K663" s="15">
        <f>AD663</f>
        <v/>
      </c>
      <c r="M663" s="10">
        <f>IF(OR(E663="",G663="",E663=0,G663=0),"",E663/G663)</f>
        <v/>
      </c>
      <c r="N663" s="9">
        <f>IF(OR(E663="",I663="",E663=0,I663=0),"",E663/(I663*2))</f>
        <v/>
      </c>
      <c r="O663" s="8">
        <f>IF(OR(I663="",G663="",I663=0,G663=0),"",I663*2/G663)</f>
        <v/>
      </c>
      <c r="AD663" s="5" t="n">
        <v>80</v>
      </c>
      <c r="AH663" s="231" t="n">
        <v>0</v>
      </c>
      <c r="AI663" s="231" t="n">
        <v>10.18</v>
      </c>
      <c r="AJ663" s="20" t="n">
        <v>0.5208333333333334</v>
      </c>
      <c r="AL663" s="2">
        <f>("21:35"-"17:50")*1440</f>
        <v/>
      </c>
      <c r="AM663" s="3">
        <f>180+60</f>
        <v/>
      </c>
      <c r="AP663" s="3" t="n">
        <v>40</v>
      </c>
      <c r="AR663" s="13">
        <f>AVERAGE(AO661:AO667)</f>
        <v/>
      </c>
      <c r="AT663" s="156" t="n"/>
      <c r="AU663" s="155" t="n"/>
      <c r="AV663" s="155" t="n"/>
      <c r="AW663" s="155" t="n"/>
      <c r="AX663" s="254">
        <f>IF(AND(ISNUMBER(E663),ISNUMBER(W663)),E663-W663,"")</f>
        <v/>
      </c>
      <c r="AY663" s="254">
        <f>IF(AND(ISNUMBER(I663),ISNUMBER(AF663)),I663-AF663,"")</f>
        <v/>
      </c>
      <c r="AZ663" s="254">
        <f>IF(AND(ISNUMBER(AM663),ISNUMBER(G663)),G663-AM663,"")</f>
        <v/>
      </c>
      <c r="BA663" s="254">
        <f>IF(AND(ISNUMBER(AC663),ISNUMBER(AE663)),AC663-AE663,"")</f>
        <v/>
      </c>
      <c r="BB663" s="254">
        <f>IF(AND(ISNUMBER(AL663),ISNUMBER(AM663)),AL663-AM663,"")</f>
        <v/>
      </c>
      <c r="BC663" s="84">
        <f>IF(AND($E663&gt;0,$W663&gt;0),IF(($E663-$W663)/$E663&gt;0,($E663-$W663)/$E663,0),"")</f>
        <v/>
      </c>
      <c r="BD663" s="84">
        <f>IF(AND($I663&gt;0,$AF663&gt;=0),IF(($I663-$AF663)/$I663&gt;0,($I663-$AF663)/$I663,0),"")</f>
        <v/>
      </c>
      <c r="BE663" s="84" t="n"/>
      <c r="BF663" s="84">
        <f>IF(AND($G663&gt;0,$AM663&gt;0),IF(($G663-$AM663)/$G663&gt;0,($G663-$AM663)/$G663,0),"")</f>
        <v/>
      </c>
      <c r="BG663" s="6">
        <f>IF((AD663-AF663)/(AJ663/60)&lt;=0,"",(AD663-AF663)/(AJ663/60))</f>
        <v/>
      </c>
      <c r="BH663" s="6">
        <f>IF(OR(AJ663=0,AP663=0,NOT(ISNUMBER(AD663)),NOT(ISNUMBER(AF663)),NOT(ISNUMBER(AJ663)),NOT(ISNUMBER(AP663))),"",
IFERROR(IF((AD663-AF663)/(AJ663/60)/(AP663/1000)&lt;=0,"",(AD663-AF663)/(AJ663/60)/(AP663/1000)),""))</f>
        <v/>
      </c>
    </row>
    <row r="664" ht="15.75" customHeight="1">
      <c r="B664" t="n">
        <v>420</v>
      </c>
      <c r="C664" s="12" t="inlineStr">
        <is>
          <t>no finish '</t>
        </is>
      </c>
      <c r="D664" s="11" t="n">
        <v>45924</v>
      </c>
      <c r="E664" s="231" t="n">
        <v>420</v>
      </c>
      <c r="F664" s="3" t="n">
        <v>659</v>
      </c>
      <c r="G664" s="205">
        <f>IF(OR(S664="",S664=0),"",S664*2)</f>
        <v/>
      </c>
      <c r="K664" s="15">
        <f>AD664</f>
        <v/>
      </c>
      <c r="M664" s="10">
        <f>IF(OR(E664="",G664="",E664=0,G664=0),"",E664/G664)</f>
        <v/>
      </c>
      <c r="N664" s="9">
        <f>IF(OR(E664="",I664="",E664=0,I664=0),"",E664/(I664*2))</f>
        <v/>
      </c>
      <c r="O664" s="8">
        <f>IF(OR(I664="",G664="",I664=0,G664=0),"",I664*2/G664)</f>
        <v/>
      </c>
      <c r="AD664" s="5" t="n">
        <v>80</v>
      </c>
      <c r="AH664" s="231" t="n">
        <v>0</v>
      </c>
      <c r="AI664" s="231" t="n">
        <v>10.28</v>
      </c>
      <c r="AJ664" s="20" t="n">
        <v>0.5206018518518518</v>
      </c>
      <c r="AL664" s="2" t="n">
        <v>240</v>
      </c>
      <c r="AM664" s="3">
        <f>180+60</f>
        <v/>
      </c>
      <c r="AP664" s="3" t="n">
        <v>40</v>
      </c>
      <c r="AR664" s="13">
        <f>AVERAGE(AO662:AO668)</f>
        <v/>
      </c>
      <c r="AT664" s="156" t="n"/>
      <c r="AU664" s="155" t="n"/>
      <c r="AV664" s="155" t="n"/>
      <c r="AW664" s="155" t="n"/>
      <c r="AX664" s="254">
        <f>IF(AND(ISNUMBER(E664),ISNUMBER(W664)),E664-W664,"")</f>
        <v/>
      </c>
      <c r="AY664" s="254">
        <f>IF(AND(ISNUMBER(I664),ISNUMBER(AF664)),I664-AF664,"")</f>
        <v/>
      </c>
      <c r="AZ664" s="254">
        <f>IF(AND(ISNUMBER(AM664),ISNUMBER(G664)),G664-AM664,"")</f>
        <v/>
      </c>
      <c r="BA664" s="254">
        <f>IF(AND(ISNUMBER(AC664),ISNUMBER(AE664)),AC664-AE664,"")</f>
        <v/>
      </c>
      <c r="BB664" s="254">
        <f>IF(AND(ISNUMBER(AL664),ISNUMBER(AM664)),AL664-AM664,"")</f>
        <v/>
      </c>
      <c r="BC664" s="84">
        <f>IF(AND($E664&gt;0,$W664&gt;0),IF(($E664-$W664)/$E664&gt;0,($E664-$W664)/$E664,0),"")</f>
        <v/>
      </c>
      <c r="BD664" s="84">
        <f>IF(AND($I664&gt;0,$AF664&gt;=0),IF(($I664-$AF664)/$I664&gt;0,($I664-$AF664)/$I664,0),"")</f>
        <v/>
      </c>
      <c r="BE664" s="84" t="n"/>
      <c r="BF664" s="84">
        <f>IF(AND($G664&gt;0,$AM664&gt;0),IF(($G664-$AM664)/$G664&gt;0,($G664-$AM664)/$G664,0),"")</f>
        <v/>
      </c>
      <c r="BG664" s="6">
        <f>IF((AD664-AF664)/(AJ664/60)&lt;=0,"",(AD664-AF664)/(AJ664/60))</f>
        <v/>
      </c>
      <c r="BH664" s="6">
        <f>IF(OR(AJ664=0,AP664=0,NOT(ISNUMBER(AD664)),NOT(ISNUMBER(AF664)),NOT(ISNUMBER(AJ664)),NOT(ISNUMBER(AP664))),"",
IFERROR(IF((AD664-AF664)/(AJ664/60)/(AP664/1000)&lt;=0,"",(AD664-AF664)/(AJ664/60)/(AP664/1000)),""))</f>
        <v/>
      </c>
    </row>
    <row r="665" ht="15.75" customHeight="1">
      <c r="B665" t="n">
        <v>421</v>
      </c>
      <c r="C665" s="12" t="inlineStr">
        <is>
          <t>gas 0.2 to 0.1 LPM</t>
        </is>
      </c>
      <c r="D665" s="11" t="n">
        <v>45925</v>
      </c>
      <c r="E665" s="231" t="n">
        <v>421</v>
      </c>
      <c r="F665" s="3" t="n">
        <v>660</v>
      </c>
      <c r="G665" s="205">
        <f>IF(OR(S665="",S665=0),"",S665*2)</f>
        <v/>
      </c>
      <c r="I665" s="15">
        <f>(N665*18-H665*18)/9</f>
        <v/>
      </c>
      <c r="J665" s="9">
        <f>2*1.46</f>
        <v/>
      </c>
      <c r="K665" s="15">
        <f>AD665</f>
        <v/>
      </c>
      <c r="M665" s="10">
        <f>IF(OR(E665="",G665="",E665=0,G665=0),"",E665/G665)</f>
        <v/>
      </c>
      <c r="N665" s="9">
        <f>IF(OR(E665="",I665="",E665=0,I665=0),"",E665/(I665*2))</f>
        <v/>
      </c>
      <c r="O665" s="8">
        <f>IF(OR(I665="",G665="",I665=0,G665=0),"",I665*2/G665)</f>
        <v/>
      </c>
      <c r="P665" s="10">
        <f>5*2.03</f>
        <v/>
      </c>
      <c r="Q665" s="6" t="n">
        <v>81.703</v>
      </c>
      <c r="R665" s="6" t="n">
        <v>24.947</v>
      </c>
      <c r="S665" s="6">
        <f>O665*1.067</f>
        <v/>
      </c>
      <c r="T665" s="6">
        <f>P665*1.514</f>
        <v/>
      </c>
      <c r="U665" s="6">
        <f>Q665+R665</f>
        <v/>
      </c>
      <c r="V665" s="6" t="n">
        <v>38.6</v>
      </c>
      <c r="W665" s="59">
        <f>0*1.067</f>
        <v/>
      </c>
      <c r="X665" s="59">
        <f>0*1.514</f>
        <v/>
      </c>
      <c r="Y665" s="23">
        <f>U665*1.067+V665*1.514</f>
        <v/>
      </c>
      <c r="AD665" s="5" t="n">
        <v>80</v>
      </c>
      <c r="AE665" s="7">
        <f>T665</f>
        <v/>
      </c>
      <c r="AF665" s="231" t="n">
        <v>33.1</v>
      </c>
      <c r="AG665" s="231">
        <f>5*2</f>
        <v/>
      </c>
      <c r="AH665" s="231" t="n">
        <v>0</v>
      </c>
      <c r="AL665" s="2">
        <f>("22:00"-"18:15")*1440</f>
        <v/>
      </c>
      <c r="AM665" s="3">
        <f>180+60</f>
        <v/>
      </c>
      <c r="AN665" s="4">
        <f>AE665</f>
        <v/>
      </c>
      <c r="AO665" s="231">
        <f>2*3.2</f>
        <v/>
      </c>
      <c r="AP665" s="3" t="n">
        <v>40</v>
      </c>
      <c r="AQ665" s="2" t="n">
        <v>3270.000000000027</v>
      </c>
      <c r="AR665" s="13">
        <f>AVERAGE(AO663:AO669)</f>
        <v/>
      </c>
      <c r="AT665" s="156">
        <f>(E665-W665)/E665</f>
        <v/>
      </c>
      <c r="AU665" s="155">
        <f>(I665-AF665)/I665</f>
        <v/>
      </c>
      <c r="AV665" s="155" t="n"/>
      <c r="AW665" s="155">
        <f>(G665-AM665)/G665</f>
        <v/>
      </c>
      <c r="AX665" s="254">
        <f>IF(AND(ISNUMBER(E665),ISNUMBER(W665)),E665-W665,"")</f>
        <v/>
      </c>
      <c r="AY665" s="254">
        <f>IF(AND(ISNUMBER(I665),ISNUMBER(AF665)),I665-AF665,"")</f>
        <v/>
      </c>
      <c r="AZ665" s="254">
        <f>IF(AND(ISNUMBER(AM665),ISNUMBER(G665)),G665-AM665,"")</f>
        <v/>
      </c>
      <c r="BA665" s="254">
        <f>IF(AND(ISNUMBER(AC665),ISNUMBER(AE665)),AC665-AE665,"")</f>
        <v/>
      </c>
      <c r="BB665" s="254">
        <f>IF(AND(ISNUMBER(AL665),ISNUMBER(AM665)),AL665-AM665,"")</f>
        <v/>
      </c>
      <c r="BC665" s="84">
        <f>IF(AND($E665&gt;0,$W665&gt;0),IF(($E665-$W665)/$E665&gt;0,($E665-$W665)/$E665,0),"")</f>
        <v/>
      </c>
      <c r="BD665" s="84">
        <f>IF(AND($I665&gt;0,$AF665&gt;=0),IF(($I665-$AF665)/$I665&gt;0,($I665-$AF665)/$I665,0),"")</f>
        <v/>
      </c>
      <c r="BE665" s="84" t="n"/>
      <c r="BF665" s="84">
        <f>IF(AND($G665&gt;0,$AM665&gt;0),IF(($G665-$AM665)/$G665&gt;0,($G665-$AM665)/$G665,0),"")</f>
        <v/>
      </c>
      <c r="BG665" s="6">
        <f>IF((AD665-AF665)/(AJ665/60)&lt;=0,"",(AD665-AF665)/(AJ665/60))</f>
        <v/>
      </c>
      <c r="BH665" s="6">
        <f>IF(OR(AJ665=0,AP665=0,NOT(ISNUMBER(AD665)),NOT(ISNUMBER(AF665)),NOT(ISNUMBER(AJ665)),NOT(ISNUMBER(AP665))),"",
IFERROR(IF((AD665-AF665)/(AJ665/60)/(AP665/1000)&lt;=0,"",(AD665-AF665)/(AJ665/60)/(AP665/1000)),""))</f>
        <v/>
      </c>
    </row>
    <row r="666" ht="15.75" customHeight="1">
      <c r="B666" t="n">
        <v>422</v>
      </c>
      <c r="D666" s="11" t="n">
        <v>45926</v>
      </c>
      <c r="E666" s="231" t="n">
        <v>422</v>
      </c>
      <c r="F666" s="3" t="n">
        <v>661</v>
      </c>
      <c r="G666" s="205">
        <f>IF(OR(S666="",S666=0),"",S666*2)</f>
        <v/>
      </c>
      <c r="I666" s="15">
        <f>(N666*18-H666*18)/9</f>
        <v/>
      </c>
      <c r="J666" s="9">
        <f>2*2.34</f>
        <v/>
      </c>
      <c r="K666" s="15">
        <f>AD666</f>
        <v/>
      </c>
      <c r="M666" s="10">
        <f>IF(OR(E666="",G666="",E666=0,G666=0),"",E666/G666)</f>
        <v/>
      </c>
      <c r="N666" s="9">
        <f>IF(OR(E666="",I666="",E666=0,I666=0),"",E666/(I666*2))</f>
        <v/>
      </c>
      <c r="O666" s="8">
        <f>IF(OR(I666="",G666="",I666=0,G666=0),"",I666*2/G666)</f>
        <v/>
      </c>
      <c r="P666" s="7">
        <f>5*2.39</f>
        <v/>
      </c>
      <c r="Q666" s="6" t="n">
        <v>72.15600000000001</v>
      </c>
      <c r="R666" s="6" t="n">
        <v>23.821</v>
      </c>
      <c r="S666" s="6">
        <f>O666*1.067</f>
        <v/>
      </c>
      <c r="T666" s="6">
        <f>P666*1.514</f>
        <v/>
      </c>
      <c r="U666" s="6">
        <f>Q666+R666</f>
        <v/>
      </c>
      <c r="V666" s="6" t="n">
        <v>37.4</v>
      </c>
      <c r="W666" s="59">
        <f>1.802*1.067</f>
        <v/>
      </c>
      <c r="X666" s="59">
        <f>0*1.514</f>
        <v/>
      </c>
      <c r="Y666" s="23">
        <f>U666*1.067+V666*1.514</f>
        <v/>
      </c>
      <c r="AD666" s="5" t="n">
        <v>80</v>
      </c>
      <c r="AE666" s="7">
        <f>T666</f>
        <v/>
      </c>
      <c r="AF666" s="231" t="n">
        <v>34.6</v>
      </c>
      <c r="AG666" s="231">
        <f>5*3.45</f>
        <v/>
      </c>
      <c r="AH666" s="231" t="n">
        <v>0</v>
      </c>
      <c r="AL666" s="2" t="n"/>
      <c r="AM666" s="3">
        <f>180+60</f>
        <v/>
      </c>
      <c r="AN666" s="4">
        <f>AE666</f>
        <v/>
      </c>
      <c r="AO666" s="231">
        <f>2*6.35</f>
        <v/>
      </c>
      <c r="AP666" s="3" t="n">
        <v>40</v>
      </c>
      <c r="AR666" s="13">
        <f>AVERAGE(AO664:AO670)</f>
        <v/>
      </c>
      <c r="AT666" s="156">
        <f>(E666-W666)/E666</f>
        <v/>
      </c>
      <c r="AU666" s="155">
        <f>(I666-AF666)/I666</f>
        <v/>
      </c>
      <c r="AV666" s="155" t="n"/>
      <c r="AW666" s="155">
        <f>(G666-AM666)/G666</f>
        <v/>
      </c>
      <c r="AX666" s="254">
        <f>IF(AND(ISNUMBER(E666),ISNUMBER(W666)),E666-W666,"")</f>
        <v/>
      </c>
      <c r="AY666" s="254">
        <f>IF(AND(ISNUMBER(I666),ISNUMBER(AF666)),I666-AF666,"")</f>
        <v/>
      </c>
      <c r="AZ666" s="254">
        <f>IF(AND(ISNUMBER(AM666),ISNUMBER(G666)),G666-AM666,"")</f>
        <v/>
      </c>
      <c r="BA666" s="254">
        <f>IF(AND(ISNUMBER(AC666),ISNUMBER(AE666)),AC666-AE666,"")</f>
        <v/>
      </c>
      <c r="BB666" s="254">
        <f>IF(AND(ISNUMBER(AL666),ISNUMBER(AM666)),AL666-AM666,"")</f>
        <v/>
      </c>
      <c r="BC666" s="84">
        <f>IF(AND($E666&gt;0,$W666&gt;0),IF(($E666-$W666)/$E666&gt;0,($E666-$W666)/$E666,0),"")</f>
        <v/>
      </c>
      <c r="BD666" s="84">
        <f>IF(AND($I666&gt;0,$AF666&gt;=0),IF(($I666-$AF666)/$I666&gt;0,($I666-$AF666)/$I666,0),"")</f>
        <v/>
      </c>
      <c r="BE666" s="84" t="n"/>
      <c r="BF666" s="84">
        <f>IF(AND($G666&gt;0,$AM666&gt;0),IF(($G666-$AM666)/$G666&gt;0,($G666-$AM666)/$G666,0),"")</f>
        <v/>
      </c>
      <c r="BG666" s="6">
        <f>IF((AD666-AF666)/(AJ666/60)&lt;=0,"",(AD666-AF666)/(AJ666/60))</f>
        <v/>
      </c>
      <c r="BH666" s="6">
        <f>IF(OR(AJ666=0,AP666=0,NOT(ISNUMBER(AD666)),NOT(ISNUMBER(AF666)),NOT(ISNUMBER(AJ666)),NOT(ISNUMBER(AP666))),"",
IFERROR(IF((AD666-AF666)/(AJ666/60)/(AP666/1000)&lt;=0,"",(AD666-AF666)/(AJ666/60)/(AP666/1000)),""))</f>
        <v/>
      </c>
    </row>
    <row r="667" ht="15.75" customHeight="1">
      <c r="A667" s="260" t="inlineStr">
        <is>
          <t>B86</t>
        </is>
      </c>
      <c r="B667" s="260" t="n">
        <v>423</v>
      </c>
      <c r="D667" s="11" t="n">
        <v>45927</v>
      </c>
      <c r="E667" s="231" t="n">
        <v>423</v>
      </c>
      <c r="F667" s="3" t="n">
        <v>662</v>
      </c>
      <c r="G667" s="205">
        <f>IF(OR(S667="",S667=0),"",S667*2)</f>
        <v/>
      </c>
      <c r="K667" s="15">
        <f>AD667</f>
        <v/>
      </c>
      <c r="M667" s="10">
        <f>IF(OR(E667="",G667="",E667=0,G667=0),"",E667/G667)</f>
        <v/>
      </c>
      <c r="N667" s="9">
        <f>IF(OR(E667="",I667="",E667=0,I667=0),"",E667/(I667*2))</f>
        <v/>
      </c>
      <c r="O667" s="8">
        <f>IF(OR(I667="",G667="",I667=0,G667=0),"",I667*2/G667)</f>
        <v/>
      </c>
      <c r="AD667" s="5" t="n">
        <v>80</v>
      </c>
      <c r="AH667" s="231" t="n">
        <v>0</v>
      </c>
      <c r="AL667" s="2">
        <f>("19:10"-"15:25")*1440</f>
        <v/>
      </c>
      <c r="AM667" s="3">
        <f>180+60</f>
        <v/>
      </c>
      <c r="AP667" s="3" t="n">
        <v>40</v>
      </c>
      <c r="AR667" s="13">
        <f>AVERAGE(AO665:AO671)</f>
        <v/>
      </c>
      <c r="AT667" s="156" t="n"/>
      <c r="AU667" s="155" t="n"/>
      <c r="AV667" s="155" t="n"/>
      <c r="AW667" s="155" t="n"/>
      <c r="AX667" s="254">
        <f>IF(AND(ISNUMBER(E667),ISNUMBER(W667)),E667-W667,"")</f>
        <v/>
      </c>
      <c r="AY667" s="254">
        <f>IF(AND(ISNUMBER(I667),ISNUMBER(AF667)),I667-AF667,"")</f>
        <v/>
      </c>
      <c r="AZ667" s="254">
        <f>IF(AND(ISNUMBER(AM667),ISNUMBER(G667)),G667-AM667,"")</f>
        <v/>
      </c>
      <c r="BA667" s="254">
        <f>IF(AND(ISNUMBER(AC667),ISNUMBER(AE667)),AC667-AE667,"")</f>
        <v/>
      </c>
      <c r="BB667" s="254">
        <f>IF(AND(ISNUMBER(AL667),ISNUMBER(AM667)),AL667-AM667,"")</f>
        <v/>
      </c>
      <c r="BC667" s="84">
        <f>IF(AND($E667&gt;0,$W667&gt;0),IF(($E667-$W667)/$E667&gt;0,($E667-$W667)/$E667,0),"")</f>
        <v/>
      </c>
      <c r="BD667" s="84">
        <f>IF(AND($I667&gt;0,$AF667&gt;=0),IF(($I667-$AF667)/$I667&gt;0,($I667-$AF667)/$I667,0),"")</f>
        <v/>
      </c>
      <c r="BE667" s="84" t="n"/>
      <c r="BF667" s="84">
        <f>IF(AND($G667&gt;0,$AM667&gt;0),IF(($G667-$AM667)/$G667&gt;0,($G667-$AM667)/$G667,0),"")</f>
        <v/>
      </c>
      <c r="BG667" s="6">
        <f>IF((AD667-AF667)/(AJ667/60)&lt;=0,"",(AD667-AF667)/(AJ667/60))</f>
        <v/>
      </c>
      <c r="BH667" s="6">
        <f>IF(OR(AJ667=0,AP667=0,NOT(ISNUMBER(AD667)),NOT(ISNUMBER(AF667)),NOT(ISNUMBER(AJ667)),NOT(ISNUMBER(AP667))),"",
IFERROR(IF((AD667-AF667)/(AJ667/60)/(AP667/1000)&lt;=0,"",(AD667-AF667)/(AJ667/60)/(AP667/1000)),""))</f>
        <v/>
      </c>
    </row>
    <row r="668" ht="15.75" customHeight="1">
      <c r="B668" t="n">
        <v>424</v>
      </c>
      <c r="D668" s="11" t="n">
        <v>45928</v>
      </c>
      <c r="E668" s="231" t="n">
        <v>424</v>
      </c>
      <c r="F668" s="3" t="n">
        <v>663</v>
      </c>
      <c r="G668" s="205">
        <f>IF(OR(S668="",S668=0),"",S668*2)</f>
        <v/>
      </c>
      <c r="I668" s="41" t="n">
        <v>14.54</v>
      </c>
      <c r="K668" s="15">
        <f>AD668</f>
        <v/>
      </c>
      <c r="M668" s="10">
        <f>IF(OR(E668="",G668="",E668=0,G668=0),"",E668/G668)</f>
        <v/>
      </c>
      <c r="N668" s="9">
        <f>IF(OR(E668="",I668="",E668=0,I668=0),"",E668/(I668*2))</f>
        <v/>
      </c>
      <c r="O668" s="8">
        <f>IF(OR(I668="",G668="",I668=0,G668=0),"",I668*2/G668)</f>
        <v/>
      </c>
      <c r="AD668" s="5" t="n">
        <v>80</v>
      </c>
      <c r="AG668" s="231">
        <f>5*2.27</f>
        <v/>
      </c>
      <c r="AH668" s="231" t="n">
        <v>0</v>
      </c>
      <c r="AL668" s="2">
        <f>("21:05"-"17:25")*1440</f>
        <v/>
      </c>
      <c r="AM668" s="3">
        <f>180+60</f>
        <v/>
      </c>
      <c r="AN668" s="4">
        <f>AE668</f>
        <v/>
      </c>
      <c r="AO668" s="231">
        <f>2*4</f>
        <v/>
      </c>
      <c r="AP668" s="3" t="n">
        <v>40</v>
      </c>
      <c r="AR668" s="13">
        <f>AVERAGE(AO666:AO672)</f>
        <v/>
      </c>
      <c r="AT668" s="156" t="n"/>
      <c r="AU668" s="155" t="n"/>
      <c r="AV668" s="155" t="n"/>
      <c r="AW668" s="155">
        <f>(G668-AM668)/G668</f>
        <v/>
      </c>
      <c r="AX668" s="254">
        <f>IF(AND(ISNUMBER(E668),ISNUMBER(W668)),E668-W668,"")</f>
        <v/>
      </c>
      <c r="AY668" s="254">
        <f>IF(AND(ISNUMBER(I668),ISNUMBER(AF668)),I668-AF668,"")</f>
        <v/>
      </c>
      <c r="AZ668" s="254">
        <f>IF(AND(ISNUMBER(AM668),ISNUMBER(G668)),G668-AM668,"")</f>
        <v/>
      </c>
      <c r="BA668" s="254">
        <f>IF(AND(ISNUMBER(AC668),ISNUMBER(AE668)),AC668-AE668,"")</f>
        <v/>
      </c>
      <c r="BB668" s="254">
        <f>IF(AND(ISNUMBER(AL668),ISNUMBER(AM668)),AL668-AM668,"")</f>
        <v/>
      </c>
      <c r="BC668" s="84">
        <f>IF(AND($E668&gt;0,$W668&gt;0),IF(($E668-$W668)/$E668&gt;0,($E668-$W668)/$E668,0),"")</f>
        <v/>
      </c>
      <c r="BD668" s="84">
        <f>IF(AND($I668&gt;0,$AF668&gt;=0),IF(($I668-$AF668)/$I668&gt;0,($I668-$AF668)/$I668,0),"")</f>
        <v/>
      </c>
      <c r="BE668" s="84" t="n"/>
      <c r="BF668" s="84">
        <f>IF(AND($G668&gt;0,$AM668&gt;0),IF(($G668-$AM668)/$G668&gt;0,($G668-$AM668)/$G668,0),"")</f>
        <v/>
      </c>
      <c r="BG668" s="6">
        <f>IF((AD668-AF668)/(AJ668/60)&lt;=0,"",(AD668-AF668)/(AJ668/60))</f>
        <v/>
      </c>
      <c r="BH668" s="6" t="n"/>
    </row>
    <row r="669" ht="15.75" customHeight="1">
      <c r="B669" t="n">
        <v>425</v>
      </c>
      <c r="D669" s="11" t="n">
        <v>45929</v>
      </c>
      <c r="E669" s="231" t="n">
        <v>425</v>
      </c>
      <c r="F669" s="3" t="n">
        <v>664</v>
      </c>
      <c r="G669" s="205">
        <f>IF(OR(S669="",S669=0),"",S669*2)</f>
        <v/>
      </c>
      <c r="K669" s="15">
        <f>AD669</f>
        <v/>
      </c>
      <c r="M669" s="10">
        <f>IF(OR(E669="",G669="",E669=0,G669=0),"",E669/G669)</f>
        <v/>
      </c>
      <c r="N669" s="9">
        <f>IF(OR(E669="",I669="",E669=0,I669=0),"",E669/(I669*2))</f>
        <v/>
      </c>
      <c r="O669" s="8">
        <f>IF(OR(I669="",G669="",I669=0,G669=0),"",I669*2/G669)</f>
        <v/>
      </c>
      <c r="AD669" s="5" t="n">
        <v>80</v>
      </c>
      <c r="AH669" s="231" t="n">
        <v>0</v>
      </c>
      <c r="AL669" s="2">
        <f>("20:55"-"17:30")*1440</f>
        <v/>
      </c>
      <c r="AM669" s="3">
        <f>180+60</f>
        <v/>
      </c>
      <c r="AP669" s="3" t="n">
        <v>40</v>
      </c>
      <c r="AR669" s="13">
        <f>AVERAGE(AO667:AO673)</f>
        <v/>
      </c>
      <c r="AT669" s="156" t="n"/>
      <c r="AU669" s="155" t="n"/>
      <c r="AV669" s="155" t="n"/>
      <c r="AW669" s="155" t="n"/>
      <c r="AX669" s="254">
        <f>IF(AND(ISNUMBER(E669),ISNUMBER(W669)),E669-W669,"")</f>
        <v/>
      </c>
      <c r="AY669" s="254">
        <f>IF(AND(ISNUMBER(I669),ISNUMBER(AF669)),I669-AF669,"")</f>
        <v/>
      </c>
      <c r="AZ669" s="254">
        <f>IF(AND(ISNUMBER(AM669),ISNUMBER(G669)),G669-AM669,"")</f>
        <v/>
      </c>
      <c r="BA669" s="254">
        <f>IF(AND(ISNUMBER(AC669),ISNUMBER(AE669)),AC669-AE669,"")</f>
        <v/>
      </c>
      <c r="BB669" s="254">
        <f>IF(AND(ISNUMBER(AL669),ISNUMBER(AM669)),AL669-AM669,"")</f>
        <v/>
      </c>
      <c r="BC669" s="84">
        <f>IF(AND($E669&gt;0,$W669&gt;0),IF(($E669-$W669)/$E669&gt;0,($E669-$W669)/$E669,0),"")</f>
        <v/>
      </c>
      <c r="BD669" s="84">
        <f>IF(AND($I669&gt;0,$AF669&gt;=0),IF(($I669-$AF669)/$I669&gt;0,($I669-$AF669)/$I669,0),"")</f>
        <v/>
      </c>
      <c r="BE669" s="84" t="n"/>
      <c r="BF669" s="84">
        <f>IF(AND($G669&gt;0,$AM669&gt;0),IF(($G669-$AM669)/$G669&gt;0,($G669-$AM669)/$G669,0),"")</f>
        <v/>
      </c>
      <c r="BG669" s="6">
        <f>IF((AD669-AF669)/(AJ669/60)&lt;=0,"",(AD669-AF669)/(AJ669/60))</f>
        <v/>
      </c>
      <c r="BH669" s="6" t="n"/>
    </row>
    <row r="670" ht="15.75" customHeight="1">
      <c r="B670" t="n">
        <v>426</v>
      </c>
      <c r="D670" s="11" t="n">
        <v>45930</v>
      </c>
      <c r="E670" s="231" t="n">
        <v>426</v>
      </c>
      <c r="F670" s="3" t="n">
        <v>665</v>
      </c>
      <c r="G670" s="205">
        <f>IF(OR(S670="",S670=0),"",S670*2)</f>
        <v/>
      </c>
      <c r="K670" s="15">
        <f>AD670</f>
        <v/>
      </c>
      <c r="M670" s="10">
        <f>IF(OR(E670="",G670="",E670=0,G670=0),"",E670/G670)</f>
        <v/>
      </c>
      <c r="N670" s="9">
        <f>IF(OR(E670="",I670="",E670=0,I670=0),"",E670/(I670*2))</f>
        <v/>
      </c>
      <c r="O670" s="8">
        <f>IF(OR(I670="",G670="",I670=0,G670=0),"",I670*2/G670)</f>
        <v/>
      </c>
      <c r="AD670" s="5" t="n">
        <v>80</v>
      </c>
      <c r="AH670" s="231" t="n">
        <v>0</v>
      </c>
      <c r="AL670" s="231" t="n">
        <v>149</v>
      </c>
      <c r="AM670" s="3">
        <f>180+60</f>
        <v/>
      </c>
      <c r="AP670" s="3" t="n">
        <v>40</v>
      </c>
      <c r="AR670" s="13">
        <f>AVERAGE(AO668:AO674)</f>
        <v/>
      </c>
      <c r="AT670" s="156" t="n"/>
      <c r="AU670" s="155" t="n"/>
      <c r="AV670" s="155" t="n"/>
      <c r="AW670" s="155" t="n"/>
      <c r="AX670" s="254">
        <f>IF(AND(ISNUMBER(E670),ISNUMBER(W670)),E670-W670,"")</f>
        <v/>
      </c>
      <c r="AY670" s="254">
        <f>IF(AND(ISNUMBER(I670),ISNUMBER(AF670)),I670-AF670,"")</f>
        <v/>
      </c>
      <c r="AZ670" s="254">
        <f>IF(AND(ISNUMBER(AM670),ISNUMBER(G670)),G670-AM670,"")</f>
        <v/>
      </c>
      <c r="BA670" s="254">
        <f>IF(AND(ISNUMBER(AC670),ISNUMBER(AE670)),AC670-AE670,"")</f>
        <v/>
      </c>
      <c r="BB670" s="254">
        <f>IF(AND(ISNUMBER(AL670),ISNUMBER(AM670)),AL670-AM670,"")</f>
        <v/>
      </c>
      <c r="BC670" s="84">
        <f>IF(AND($E670&gt;0,$W670&gt;0),IF(($E670-$W670)/$E670&gt;0,($E670-$W670)/$E670,0),"")</f>
        <v/>
      </c>
      <c r="BD670" s="84">
        <f>IF(AND($I670&gt;0,$AF670&gt;=0),IF(($I670-$AF670)/$I670&gt;0,($I670-$AF670)/$I670,0),"")</f>
        <v/>
      </c>
      <c r="BE670" s="84" t="n"/>
      <c r="BF670" s="84">
        <f>IF(AND($G670&gt;0,$AM670&gt;0),IF(($G670-$AM670)/$G670&gt;0,($G670-$AM670)/$G670,0),"")</f>
        <v/>
      </c>
      <c r="BG670" s="6">
        <f>IF((AD670-AF670)/(AJ670/60)&lt;=0,"",(AD670-AF670)/(AJ670/60))</f>
        <v/>
      </c>
      <c r="BH670" s="6" t="n"/>
    </row>
    <row r="671" ht="15.75" customHeight="1">
      <c r="B671" t="n">
        <v>427</v>
      </c>
      <c r="D671" s="11" t="n">
        <v>45931</v>
      </c>
      <c r="E671" s="231" t="n">
        <v>427</v>
      </c>
      <c r="F671" s="3" t="n">
        <v>666</v>
      </c>
      <c r="G671" s="205">
        <f>IF(OR(S671="",S671=0),"",S671*2)</f>
        <v/>
      </c>
      <c r="K671" s="15">
        <f>AD671</f>
        <v/>
      </c>
      <c r="M671" s="10">
        <f>IF(OR(E671="",G671="",E671=0,G671=0),"",E671/G671)</f>
        <v/>
      </c>
      <c r="N671" s="9">
        <f>IF(OR(E671="",I671="",E671=0,I671=0),"",E671/(I671*2))</f>
        <v/>
      </c>
      <c r="O671" s="8">
        <f>IF(OR(I671="",G671="",I671=0,G671=0),"",I671*2/G671)</f>
        <v/>
      </c>
      <c r="AD671" s="5" t="n">
        <v>80</v>
      </c>
      <c r="AH671" s="231" t="n">
        <v>0</v>
      </c>
      <c r="AL671" s="231" t="n">
        <v>141</v>
      </c>
      <c r="AM671" s="3">
        <f>180+60</f>
        <v/>
      </c>
      <c r="AP671" s="3" t="n">
        <v>40</v>
      </c>
      <c r="AR671" s="13">
        <f>AVERAGE(AO669:AO675)</f>
        <v/>
      </c>
      <c r="AT671" s="156" t="n"/>
      <c r="AU671" s="155" t="n"/>
      <c r="AV671" s="155" t="n"/>
      <c r="AW671" s="155" t="n"/>
      <c r="AX671" s="254">
        <f>IF(AND(ISNUMBER(E671),ISNUMBER(W671)),E671-W671,"")</f>
        <v/>
      </c>
      <c r="AY671" s="254">
        <f>IF(AND(ISNUMBER(I671),ISNUMBER(AF671)),I671-AF671,"")</f>
        <v/>
      </c>
      <c r="AZ671" s="254">
        <f>IF(AND(ISNUMBER(AM671),ISNUMBER(G671)),G671-AM671,"")</f>
        <v/>
      </c>
      <c r="BA671" s="254">
        <f>IF(AND(ISNUMBER(AC671),ISNUMBER(AE671)),AC671-AE671,"")</f>
        <v/>
      </c>
      <c r="BB671" s="254">
        <f>IF(AND(ISNUMBER(AL671),ISNUMBER(AM671)),AL671-AM671,"")</f>
        <v/>
      </c>
      <c r="BC671" s="84">
        <f>IF(AND($E671&gt;0,$W671&gt;0),IF(($E671-$W671)/$E671&gt;0,($E671-$W671)/$E671,0),"")</f>
        <v/>
      </c>
      <c r="BD671" s="84">
        <f>IF(AND($I671&gt;0,$AF671&gt;=0),IF(($I671-$AF671)/$I671&gt;0,($I671-$AF671)/$I671,0),"")</f>
        <v/>
      </c>
      <c r="BE671" s="84" t="n"/>
      <c r="BF671" s="84">
        <f>IF(AND($G671&gt;0,$AM671&gt;0),IF(($G671-$AM671)/$G671&gt;0,($G671-$AM671)/$G671,0),"")</f>
        <v/>
      </c>
      <c r="BG671" s="6">
        <f>IF((AD671-AF671)/(AJ671/60)&lt;=0,"",(AD671-AF671)/(AJ671/60))</f>
        <v/>
      </c>
      <c r="BH671" s="6" t="n"/>
    </row>
    <row r="672" ht="15.75" customHeight="1">
      <c r="B672" t="n">
        <v>428</v>
      </c>
      <c r="D672" s="11" t="n">
        <v>45932</v>
      </c>
      <c r="E672" s="231" t="n">
        <v>428</v>
      </c>
      <c r="F672" s="3" t="n">
        <v>667</v>
      </c>
      <c r="G672" s="205">
        <f>IF(OR(S672="",S672=0),"",S672*2)</f>
        <v/>
      </c>
      <c r="K672" s="15">
        <f>AD672</f>
        <v/>
      </c>
      <c r="M672" s="10">
        <f>IF(OR(E672="",G672="",E672=0,G672=0),"",E672/G672)</f>
        <v/>
      </c>
      <c r="N672" s="9">
        <f>IF(OR(E672="",I672="",E672=0,I672=0),"",E672/(I672*2))</f>
        <v/>
      </c>
      <c r="O672" s="8">
        <f>IF(OR(I672="",G672="",I672=0,G672=0),"",I672*2/G672)</f>
        <v/>
      </c>
      <c r="AD672" s="5" t="n">
        <v>80</v>
      </c>
      <c r="AH672" s="231" t="n">
        <v>0</v>
      </c>
      <c r="AL672" s="231" t="n">
        <v>141</v>
      </c>
      <c r="AM672" s="3">
        <f>180+60</f>
        <v/>
      </c>
      <c r="AP672" s="3" t="n">
        <v>40</v>
      </c>
      <c r="AR672" s="13">
        <f>AVERAGE(AO670:AO676)</f>
        <v/>
      </c>
      <c r="AT672" s="156" t="n"/>
      <c r="AU672" s="155" t="n"/>
      <c r="AV672" s="155" t="n"/>
      <c r="AW672" s="155" t="n"/>
      <c r="AX672" s="254">
        <f>IF(AND(ISNUMBER(E672),ISNUMBER(W672)),E672-W672,"")</f>
        <v/>
      </c>
      <c r="AY672" s="254">
        <f>IF(AND(ISNUMBER(I672),ISNUMBER(AF672)),I672-AF672,"")</f>
        <v/>
      </c>
      <c r="AZ672" s="254">
        <f>IF(AND(ISNUMBER(AM672),ISNUMBER(G672)),G672-AM672,"")</f>
        <v/>
      </c>
      <c r="BA672" s="254">
        <f>IF(AND(ISNUMBER(AC672),ISNUMBER(AE672)),AC672-AE672,"")</f>
        <v/>
      </c>
      <c r="BB672" s="254">
        <f>IF(AND(ISNUMBER(AL672),ISNUMBER(AM672)),AL672-AM672,"")</f>
        <v/>
      </c>
      <c r="BC672" s="84">
        <f>IF(AND($E672&gt;0,$W672&gt;0),IF(($E672-$W672)/$E672&gt;0,($E672-$W672)/$E672,0),"")</f>
        <v/>
      </c>
      <c r="BD672" s="84">
        <f>IF(AND($I672&gt;0,$AF672&gt;=0),IF(($I672-$AF672)/$I672&gt;0,($I672-$AF672)/$I672,0),"")</f>
        <v/>
      </c>
      <c r="BE672" s="84" t="n"/>
      <c r="BF672" s="84">
        <f>IF(AND($G672&gt;0,$AM672&gt;0),IF(($G672-$AM672)/$G672&gt;0,($G672-$AM672)/$G672,0),"")</f>
        <v/>
      </c>
      <c r="BG672" s="6">
        <f>IF((AD672-AF672)/(AJ672/60)&lt;=0,"",(AD672-AF672)/(AJ672/60))</f>
        <v/>
      </c>
      <c r="BH672" s="6" t="n"/>
    </row>
    <row r="673" ht="15.75" customHeight="1">
      <c r="B673" t="n">
        <v>429</v>
      </c>
      <c r="D673" s="11" t="n">
        <v>45933</v>
      </c>
      <c r="E673" s="231" t="n">
        <v>429</v>
      </c>
      <c r="F673" s="3" t="n">
        <v>668</v>
      </c>
      <c r="G673" s="205">
        <f>IF(OR(S673="",S673=0),"",S673*2)</f>
        <v/>
      </c>
      <c r="K673" s="15">
        <f>AD673</f>
        <v/>
      </c>
      <c r="M673" s="10">
        <f>IF(OR(E673="",G673="",E673=0,G673=0),"",E673/G673)</f>
        <v/>
      </c>
      <c r="N673" s="9">
        <f>IF(OR(E673="",I673="",E673=0,I673=0),"",E673/(I673*2))</f>
        <v/>
      </c>
      <c r="O673" s="8">
        <f>IF(OR(I673="",G673="",I673=0,G673=0),"",I673*2/G673)</f>
        <v/>
      </c>
      <c r="AD673" s="5" t="n">
        <v>80</v>
      </c>
      <c r="AH673" s="231" t="n">
        <v>0</v>
      </c>
      <c r="AL673" s="231" t="n">
        <v>125</v>
      </c>
      <c r="AM673" s="3">
        <f>180+60</f>
        <v/>
      </c>
      <c r="AO673" s="231">
        <f>2*5.67</f>
        <v/>
      </c>
      <c r="AP673" s="3" t="n">
        <v>40</v>
      </c>
      <c r="AR673" s="13">
        <f>AVERAGE(AO671:AO677)</f>
        <v/>
      </c>
      <c r="AT673" s="156" t="n"/>
      <c r="AU673" s="155" t="n"/>
      <c r="AV673" s="155" t="n"/>
      <c r="AW673" s="155" t="n"/>
      <c r="AX673" s="254">
        <f>IF(AND(ISNUMBER(E673),ISNUMBER(W673)),E673-W673,"")</f>
        <v/>
      </c>
      <c r="AY673" s="254">
        <f>IF(AND(ISNUMBER(I673),ISNUMBER(AF673)),I673-AF673,"")</f>
        <v/>
      </c>
      <c r="AZ673" s="254">
        <f>IF(AND(ISNUMBER(AM673),ISNUMBER(G673)),G673-AM673,"")</f>
        <v/>
      </c>
      <c r="BA673" s="254">
        <f>IF(AND(ISNUMBER(AC673),ISNUMBER(AE673)),AC673-AE673,"")</f>
        <v/>
      </c>
      <c r="BB673" s="254">
        <f>IF(AND(ISNUMBER(AL673),ISNUMBER(AM673)),AL673-AM673,"")</f>
        <v/>
      </c>
      <c r="BC673" s="84">
        <f>IF(AND($E673&gt;0,$W673&gt;0),IF(($E673-$W673)/$E673&gt;0,($E673-$W673)/$E673,0),"")</f>
        <v/>
      </c>
      <c r="BD673" s="84">
        <f>IF(AND($I673&gt;0,$AF673&gt;=0),IF(($I673-$AF673)/$I673&gt;0,($I673-$AF673)/$I673,0),"")</f>
        <v/>
      </c>
      <c r="BE673" s="84" t="n"/>
      <c r="BF673" s="84">
        <f>IF(AND($G673&gt;0,$AM673&gt;0),IF(($G673-$AM673)/$G673&gt;0,($G673-$AM673)/$G673,0),"")</f>
        <v/>
      </c>
      <c r="BG673" s="6">
        <f>IF((AD673-AF673)/(AJ673/60)&lt;=0,"",(AD673-AF673)/(AJ673/60))</f>
        <v/>
      </c>
      <c r="BH673" s="6" t="n"/>
    </row>
    <row r="674" ht="15.75" customHeight="1">
      <c r="B674" t="n">
        <v>430</v>
      </c>
      <c r="D674" s="11" t="n">
        <v>45934</v>
      </c>
      <c r="E674" s="231" t="n">
        <v>430</v>
      </c>
      <c r="F674" s="3" t="n">
        <v>669</v>
      </c>
      <c r="G674" s="205">
        <f>IF(OR(S674="",S674=0),"",S674*2)</f>
        <v/>
      </c>
      <c r="K674" s="15">
        <f>AD674</f>
        <v/>
      </c>
      <c r="M674" s="10">
        <f>IF(OR(E674="",G674="",E674=0,G674=0),"",E674/G674)</f>
        <v/>
      </c>
      <c r="N674" s="9">
        <f>IF(OR(E674="",I674="",E674=0,I674=0),"",E674/(I674*2))</f>
        <v/>
      </c>
      <c r="O674" s="8">
        <f>IF(OR(I674="",G674="",I674=0,G674=0),"",I674*2/G674)</f>
        <v/>
      </c>
      <c r="AD674" s="5" t="n">
        <v>80</v>
      </c>
      <c r="AH674" s="231" t="n">
        <v>0</v>
      </c>
      <c r="AL674" s="231" t="n">
        <v>125</v>
      </c>
      <c r="AM674" s="3">
        <f>180+60</f>
        <v/>
      </c>
      <c r="AP674" s="3" t="n">
        <v>40</v>
      </c>
      <c r="AR674" s="13">
        <f>AVERAGE(AO672:AO678)</f>
        <v/>
      </c>
      <c r="AT674" s="156" t="n"/>
      <c r="AU674" s="155" t="n"/>
      <c r="AV674" s="155" t="n"/>
      <c r="AW674" s="155" t="n"/>
      <c r="AX674" s="254">
        <f>IF(AND(ISNUMBER(E674),ISNUMBER(W674)),E674-W674,"")</f>
        <v/>
      </c>
      <c r="AY674" s="254">
        <f>IF(AND(ISNUMBER(I674),ISNUMBER(AF674)),I674-AF674,"")</f>
        <v/>
      </c>
      <c r="AZ674" s="254">
        <f>IF(AND(ISNUMBER(AM674),ISNUMBER(G674)),G674-AM674,"")</f>
        <v/>
      </c>
      <c r="BA674" s="254">
        <f>IF(AND(ISNUMBER(AC674),ISNUMBER(AE674)),AC674-AE674,"")</f>
        <v/>
      </c>
      <c r="BB674" s="254">
        <f>IF(AND(ISNUMBER(AL674),ISNUMBER(AM674)),AL674-AM674,"")</f>
        <v/>
      </c>
      <c r="BC674" s="84">
        <f>IF(AND($E674&gt;0,$W674&gt;0),IF(($E674-$W674)/$E674&gt;0,($E674-$W674)/$E674,0),"")</f>
        <v/>
      </c>
      <c r="BD674" s="84">
        <f>IF(AND($I674&gt;0,$AF674&gt;=0),IF(($I674-$AF674)/$I674&gt;0,($I674-$AF674)/$I674,0),"")</f>
        <v/>
      </c>
      <c r="BE674" s="84" t="n"/>
      <c r="BF674" s="84">
        <f>IF(AND($G674&gt;0,$AM674&gt;0),IF(($G674-$AM674)/$G674&gt;0,($G674-$AM674)/$G674,0),"")</f>
        <v/>
      </c>
      <c r="BG674" s="6">
        <f>IF((AD674-AF674)/(AJ674/60)&lt;=0,"",(AD674-AF674)/(AJ674/60))</f>
        <v/>
      </c>
      <c r="BH674" s="6" t="n"/>
    </row>
    <row r="675" ht="15.75" customHeight="1">
      <c r="B675" t="n">
        <v>431</v>
      </c>
      <c r="D675" s="11" t="n">
        <v>45935</v>
      </c>
      <c r="E675" s="231" t="n">
        <v>431</v>
      </c>
      <c r="F675" s="3" t="n">
        <v>670</v>
      </c>
      <c r="G675" s="205">
        <f>IF(OR(S675="",S675=0),"",S675*2)</f>
        <v/>
      </c>
      <c r="K675" s="15">
        <f>AD675</f>
        <v/>
      </c>
      <c r="M675" s="10">
        <f>IF(OR(E675="",G675="",E675=0,G675=0),"",E675/G675)</f>
        <v/>
      </c>
      <c r="N675" s="9">
        <f>IF(OR(E675="",I675="",E675=0,I675=0),"",E675/(I675*2))</f>
        <v/>
      </c>
      <c r="O675" s="8">
        <f>IF(OR(I675="",G675="",I675=0,G675=0),"",I675*2/G675)</f>
        <v/>
      </c>
      <c r="AD675" s="5" t="n">
        <v>80</v>
      </c>
      <c r="AH675" s="231" t="n">
        <v>0</v>
      </c>
      <c r="AL675" s="231" t="n">
        <v>123</v>
      </c>
      <c r="AM675" s="3">
        <f>180+60</f>
        <v/>
      </c>
      <c r="AP675" s="3" t="n">
        <v>40</v>
      </c>
      <c r="AR675" s="13">
        <f>AVERAGE(AO673:AO679)</f>
        <v/>
      </c>
      <c r="AT675" s="156" t="n"/>
      <c r="AU675" s="155" t="n"/>
      <c r="AV675" s="155" t="n"/>
      <c r="AW675" s="155" t="n"/>
      <c r="AX675" s="254">
        <f>IF(AND(ISNUMBER(E675),ISNUMBER(W675)),E675-W675,"")</f>
        <v/>
      </c>
      <c r="AY675" s="254">
        <f>IF(AND(ISNUMBER(I675),ISNUMBER(AF675)),I675-AF675,"")</f>
        <v/>
      </c>
      <c r="AZ675" s="254">
        <f>IF(AND(ISNUMBER(AM675),ISNUMBER(G675)),G675-AM675,"")</f>
        <v/>
      </c>
      <c r="BA675" s="254">
        <f>IF(AND(ISNUMBER(AC675),ISNUMBER(AE675)),AC675-AE675,"")</f>
        <v/>
      </c>
      <c r="BB675" s="254">
        <f>IF(AND(ISNUMBER(AL675),ISNUMBER(AM675)),AL675-AM675,"")</f>
        <v/>
      </c>
      <c r="BC675" s="84">
        <f>IF(AND($E675&gt;0,$W675&gt;0),IF(($E675-$W675)/$E675&gt;0,($E675-$W675)/$E675,0),"")</f>
        <v/>
      </c>
      <c r="BD675" s="84">
        <f>IF(AND($I675&gt;0,$AF675&gt;=0),IF(($I675-$AF675)/$I675&gt;0,($I675-$AF675)/$I675,0),"")</f>
        <v/>
      </c>
      <c r="BE675" s="84" t="n"/>
      <c r="BF675" s="84">
        <f>IF(AND($G675&gt;0,$AM675&gt;0),IF(($G675-$AM675)/$G675&gt;0,($G675-$AM675)/$G675,0),"")</f>
        <v/>
      </c>
      <c r="BG675" s="6">
        <f>IF((AD675-AF675)/(AJ675/60)&lt;=0,"",(AD675-AF675)/(AJ675/60))</f>
        <v/>
      </c>
      <c r="BH675" s="6" t="n"/>
    </row>
    <row r="676" ht="15.75" customHeight="1">
      <c r="B676" t="n">
        <v>432</v>
      </c>
      <c r="D676" s="11" t="n">
        <v>45936</v>
      </c>
      <c r="E676" s="231" t="n">
        <v>432</v>
      </c>
      <c r="F676" s="3" t="n">
        <v>671</v>
      </c>
      <c r="G676" s="205">
        <f>IF(OR(S676="",S676=0),"",S676*2)</f>
        <v/>
      </c>
      <c r="I676" s="58" t="n">
        <v>14.4</v>
      </c>
      <c r="K676" s="15">
        <f>AD676</f>
        <v/>
      </c>
      <c r="M676" s="10">
        <f>IF(OR(E676="",G676="",E676=0,G676=0),"",E676/G676)</f>
        <v/>
      </c>
      <c r="N676" s="9">
        <f>IF(OR(E676="",I676="",E676=0,I676=0),"",E676/(I676*2))</f>
        <v/>
      </c>
      <c r="O676" s="8">
        <f>IF(OR(I676="",G676="",I676=0,G676=0),"",I676*2/G676)</f>
        <v/>
      </c>
      <c r="AD676" s="5" t="n">
        <v>80</v>
      </c>
      <c r="AF676" s="231" t="n">
        <v>29</v>
      </c>
      <c r="AG676" s="231">
        <f>5*2.83</f>
        <v/>
      </c>
      <c r="AH676" s="231" t="n">
        <v>0</v>
      </c>
      <c r="AL676" s="231" t="n">
        <v>139</v>
      </c>
      <c r="AM676" s="3">
        <f>180+60</f>
        <v/>
      </c>
      <c r="AN676" s="4">
        <f>AE676</f>
        <v/>
      </c>
      <c r="AO676" s="231">
        <f>2*4.52</f>
        <v/>
      </c>
      <c r="AP676" s="3" t="n">
        <v>40</v>
      </c>
      <c r="AR676" s="13">
        <f>AVERAGE(AO674:AO680)</f>
        <v/>
      </c>
      <c r="AT676" s="156" t="n"/>
      <c r="AU676" s="155">
        <f>(I676-AF676)/I676</f>
        <v/>
      </c>
      <c r="AV676" s="155" t="n"/>
      <c r="AW676" s="155">
        <f>(G676-AM676)/G676</f>
        <v/>
      </c>
      <c r="AX676" s="254">
        <f>IF(AND(ISNUMBER(E676),ISNUMBER(W676)),E676-W676,"")</f>
        <v/>
      </c>
      <c r="AY676" s="254">
        <f>IF(AND(ISNUMBER(I676),ISNUMBER(AF676)),I676-AF676,"")</f>
        <v/>
      </c>
      <c r="AZ676" s="254">
        <f>IF(AND(ISNUMBER(AM676),ISNUMBER(G676)),G676-AM676,"")</f>
        <v/>
      </c>
      <c r="BA676" s="254">
        <f>IF(AND(ISNUMBER(AC676),ISNUMBER(AE676)),AC676-AE676,"")</f>
        <v/>
      </c>
      <c r="BB676" s="254">
        <f>IF(AND(ISNUMBER(AL676),ISNUMBER(AM676)),AL676-AM676,"")</f>
        <v/>
      </c>
      <c r="BC676" s="84">
        <f>IF(AND($E676&gt;0,$W676&gt;0),IF(($E676-$W676)/$E676&gt;0,($E676-$W676)/$E676,0),"")</f>
        <v/>
      </c>
      <c r="BD676" s="84">
        <f>IF(AND($I676&gt;0,$AF676&gt;=0),IF(($I676-$AF676)/$I676&gt;0,($I676-$AF676)/$I676,0),"")</f>
        <v/>
      </c>
      <c r="BE676" s="84" t="n"/>
      <c r="BF676" s="84">
        <f>IF(AND($G676&gt;0,$AM676&gt;0),IF(($G676-$AM676)/$G676&gt;0,($G676-$AM676)/$G676,0),"")</f>
        <v/>
      </c>
      <c r="BG676" s="6">
        <f>IF((AD676-AF676)/(AJ676/60)&lt;=0,"",(AD676-AF676)/(AJ676/60))</f>
        <v/>
      </c>
      <c r="BH676" s="6" t="n"/>
    </row>
    <row r="677" ht="15.75" customHeight="1">
      <c r="B677" t="n">
        <v>433</v>
      </c>
      <c r="D677" s="11" t="n">
        <v>45937</v>
      </c>
      <c r="E677" s="231" t="n">
        <v>433</v>
      </c>
      <c r="F677" s="3" t="n">
        <v>672</v>
      </c>
      <c r="G677" s="205">
        <f>IF(OR(S677="",S677=0),"",S677*2)</f>
        <v/>
      </c>
      <c r="K677" s="15">
        <f>AD677</f>
        <v/>
      </c>
      <c r="M677" s="10">
        <f>IF(OR(E677="",G677="",E677=0,G677=0),"",E677/G677)</f>
        <v/>
      </c>
      <c r="N677" s="9">
        <f>IF(OR(E677="",I677="",E677=0,I677=0),"",E677/(I677*2))</f>
        <v/>
      </c>
      <c r="O677" s="8">
        <f>IF(OR(I677="",G677="",I677=0,G677=0),"",I677*2/G677)</f>
        <v/>
      </c>
      <c r="AD677" s="5" t="n">
        <v>80</v>
      </c>
      <c r="AG677" s="231">
        <f>5*2.9</f>
        <v/>
      </c>
      <c r="AH677" s="231" t="n">
        <v>0</v>
      </c>
      <c r="AI677" s="231" t="n">
        <v>10.53</v>
      </c>
      <c r="AJ677" s="20" t="n">
        <v>0.5167824074074074</v>
      </c>
      <c r="AL677" s="231" t="n">
        <v>141</v>
      </c>
      <c r="AM677" s="3">
        <f>180+60</f>
        <v/>
      </c>
      <c r="AN677" s="4">
        <f>AE677</f>
        <v/>
      </c>
      <c r="AO677" s="231">
        <f>5*1.99</f>
        <v/>
      </c>
      <c r="AP677" s="3" t="n">
        <v>40</v>
      </c>
      <c r="AR677" s="13">
        <f>AVERAGE(AO675:AO681)</f>
        <v/>
      </c>
      <c r="AT677" s="156" t="n"/>
      <c r="AU677" s="155" t="n"/>
      <c r="AV677" s="155" t="n"/>
      <c r="AW677" s="155" t="n"/>
      <c r="AX677" s="254">
        <f>IF(AND(ISNUMBER(E677),ISNUMBER(W677)),E677-W677,"")</f>
        <v/>
      </c>
      <c r="AY677" s="254">
        <f>IF(AND(ISNUMBER(I677),ISNUMBER(AF677)),I677-AF677,"")</f>
        <v/>
      </c>
      <c r="AZ677" s="254">
        <f>IF(AND(ISNUMBER(AM677),ISNUMBER(G677)),G677-AM677,"")</f>
        <v/>
      </c>
      <c r="BA677" s="254">
        <f>IF(AND(ISNUMBER(AC677),ISNUMBER(AE677)),AC677-AE677,"")</f>
        <v/>
      </c>
      <c r="BB677" s="254">
        <f>IF(AND(ISNUMBER(AL677),ISNUMBER(AM677)),AL677-AM677,"")</f>
        <v/>
      </c>
      <c r="BC677" s="84">
        <f>IF(AND($E677&gt;0,$W677&gt;0),IF(($E677-$W677)/$E677&gt;0,($E677-$W677)/$E677,0),"")</f>
        <v/>
      </c>
      <c r="BD677" s="84">
        <f>IF(AND($I677&gt;0,$AF677&gt;=0),IF(($I677-$AF677)/$I677&gt;0,($I677-$AF677)/$I677,0),"")</f>
        <v/>
      </c>
      <c r="BE677" s="84" t="n"/>
      <c r="BF677" s="84">
        <f>IF(AND($G677&gt;0,$AM677&gt;0),IF(($G677-$AM677)/$G677&gt;0,($G677-$AM677)/$G677,0),"")</f>
        <v/>
      </c>
      <c r="BG677" s="6">
        <f>IF((AD677-AF677)/(AJ677/60)&lt;=0,"",(AD677-AF677)/(AJ677/60))</f>
        <v/>
      </c>
      <c r="BH677" s="6" t="n"/>
    </row>
    <row r="678" ht="15.75" customHeight="1">
      <c r="B678" t="n">
        <v>434</v>
      </c>
      <c r="D678" s="11" t="n">
        <v>45938</v>
      </c>
      <c r="E678" s="231" t="n">
        <v>434</v>
      </c>
      <c r="F678" s="3" t="n">
        <v>673</v>
      </c>
      <c r="G678" s="205">
        <f>IF(OR(S678="",S678=0),"",S678*2)</f>
        <v/>
      </c>
      <c r="K678" s="15">
        <f>AD678</f>
        <v/>
      </c>
      <c r="M678" s="10">
        <f>IF(OR(E678="",G678="",E678=0,G678=0),"",E678/G678)</f>
        <v/>
      </c>
      <c r="N678" s="9">
        <f>IF(OR(E678="",I678="",E678=0,I678=0),"",E678/(I678*2))</f>
        <v/>
      </c>
      <c r="O678" s="8">
        <f>IF(OR(I678="",G678="",I678=0,G678=0),"",I678*2/G678)</f>
        <v/>
      </c>
      <c r="P678" s="7">
        <f>5*3.24</f>
        <v/>
      </c>
      <c r="S678" s="6">
        <f>O678*1.067</f>
        <v/>
      </c>
      <c r="T678" s="6">
        <f>P678*1.514</f>
        <v/>
      </c>
      <c r="U678" s="6">
        <f>Q678+R678</f>
        <v/>
      </c>
      <c r="Y678" s="23">
        <f>U678*1.067+V678*1.514</f>
        <v/>
      </c>
      <c r="AD678" s="5" t="n">
        <v>80</v>
      </c>
      <c r="AH678" s="231" t="n">
        <v>0</v>
      </c>
      <c r="AI678" s="231" t="n">
        <v>9.74</v>
      </c>
      <c r="AJ678" s="20" t="n">
        <v>0.4924768518518519</v>
      </c>
      <c r="AL678" s="231" t="n">
        <v>161</v>
      </c>
      <c r="AM678" s="3">
        <f>180+60</f>
        <v/>
      </c>
      <c r="AP678" s="3" t="n">
        <v>40</v>
      </c>
      <c r="AR678" s="13">
        <f>AVERAGE(AO676:AO682)</f>
        <v/>
      </c>
      <c r="AT678" s="156" t="n"/>
      <c r="AU678" s="155" t="n"/>
      <c r="AV678" s="155" t="n"/>
      <c r="AW678" s="155" t="n"/>
      <c r="AX678" s="254">
        <f>IF(AND(ISNUMBER(E678),ISNUMBER(W678)),E678-W678,"")</f>
        <v/>
      </c>
      <c r="AY678" s="254">
        <f>IF(AND(ISNUMBER(I678),ISNUMBER(AF678)),I678-AF678,"")</f>
        <v/>
      </c>
      <c r="AZ678" s="254">
        <f>IF(AND(ISNUMBER(AM678),ISNUMBER(G678)),G678-AM678,"")</f>
        <v/>
      </c>
      <c r="BA678" s="254">
        <f>IF(AND(ISNUMBER(AC678),ISNUMBER(AE678)),AC678-AE678,"")</f>
        <v/>
      </c>
      <c r="BB678" s="254">
        <f>IF(AND(ISNUMBER(AL678),ISNUMBER(AM678)),AL678-AM678,"")</f>
        <v/>
      </c>
      <c r="BC678" s="84">
        <f>IF(AND($E678&gt;0,$W678&gt;0),IF(($E678-$W678)/$E678&gt;0,($E678-$W678)/$E678,0),"")</f>
        <v/>
      </c>
      <c r="BD678" s="84">
        <f>IF(AND($I678&gt;0,$AF678&gt;=0),IF(($I678-$AF678)/$I678&gt;0,($I678-$AF678)/$I678,0),"")</f>
        <v/>
      </c>
      <c r="BE678" s="84" t="n"/>
      <c r="BF678" s="84">
        <f>IF(AND($G678&gt;0,$AM678&gt;0),IF(($G678-$AM678)/$G678&gt;0,($G678-$AM678)/$G678,0),"")</f>
        <v/>
      </c>
      <c r="BG678" s="6">
        <f>IF((AD678-AF678)/(AJ678/60)&lt;=0,"",(AD678-AF678)/(AJ678/60))</f>
        <v/>
      </c>
      <c r="BH678" s="6" t="n"/>
    </row>
    <row r="679" ht="15.75" customHeight="1">
      <c r="B679" t="n">
        <v>435</v>
      </c>
      <c r="D679" s="11" t="n">
        <v>45939</v>
      </c>
      <c r="E679" s="231" t="n">
        <v>435</v>
      </c>
      <c r="F679" s="3" t="n">
        <v>674</v>
      </c>
      <c r="G679" s="205">
        <f>IF(OR(S679="",S679=0),"",S679*2)</f>
        <v/>
      </c>
      <c r="K679" s="15">
        <f>AD679</f>
        <v/>
      </c>
      <c r="M679" s="10">
        <f>IF(OR(E679="",G679="",E679=0,G679=0),"",E679/G679)</f>
        <v/>
      </c>
      <c r="N679" s="9">
        <f>IF(OR(E679="",I679="",E679=0,I679=0),"",E679/(I679*2))</f>
        <v/>
      </c>
      <c r="O679" s="8">
        <f>IF(OR(I679="",G679="",I679=0,G679=0),"",I679*2/G679)</f>
        <v/>
      </c>
      <c r="AD679" s="5" t="n">
        <v>80</v>
      </c>
      <c r="AI679" s="231" t="n">
        <v>9.109999999999999</v>
      </c>
      <c r="AJ679" s="20" t="n">
        <v>0.4809027777777778</v>
      </c>
      <c r="AL679" s="231" t="n">
        <v>145</v>
      </c>
      <c r="AM679" s="3">
        <f>180+60</f>
        <v/>
      </c>
      <c r="AP679" s="3" t="n">
        <v>40</v>
      </c>
      <c r="AR679" s="13">
        <f>AVERAGE(AO677:AO683)</f>
        <v/>
      </c>
      <c r="AT679" s="156" t="n"/>
      <c r="AU679" s="155" t="n"/>
      <c r="AV679" s="155" t="n"/>
      <c r="AW679" s="155" t="n"/>
      <c r="AX679" s="254">
        <f>IF(AND(ISNUMBER(E679),ISNUMBER(W679)),E679-W679,"")</f>
        <v/>
      </c>
      <c r="AY679" s="254">
        <f>IF(AND(ISNUMBER(I679),ISNUMBER(AF679)),I679-AF679,"")</f>
        <v/>
      </c>
      <c r="AZ679" s="254">
        <f>IF(AND(ISNUMBER(AM679),ISNUMBER(G679)),G679-AM679,"")</f>
        <v/>
      </c>
      <c r="BA679" s="254">
        <f>IF(AND(ISNUMBER(AC679),ISNUMBER(AE679)),AC679-AE679,"")</f>
        <v/>
      </c>
      <c r="BB679" s="254">
        <f>IF(AND(ISNUMBER(AL679),ISNUMBER(AM679)),AL679-AM679,"")</f>
        <v/>
      </c>
      <c r="BC679" s="84">
        <f>IF(AND($E679&gt;0,$W679&gt;0),IF(($E679-$W679)/$E679&gt;0,($E679-$W679)/$E679,0),"")</f>
        <v/>
      </c>
      <c r="BD679" s="84">
        <f>IF(AND($I679&gt;0,$AF679&gt;=0),IF(($I679-$AF679)/$I679&gt;0,($I679-$AF679)/$I679,0),"")</f>
        <v/>
      </c>
      <c r="BE679" s="84" t="n"/>
      <c r="BF679" s="84">
        <f>IF(AND($G679&gt;0,$AM679&gt;0),IF(($G679-$AM679)/$G679&gt;0,($G679-$AM679)/$G679,0),"")</f>
        <v/>
      </c>
      <c r="BH679" s="6" t="n"/>
    </row>
    <row r="680" ht="15.75" customHeight="1">
      <c r="A680" s="260" t="inlineStr">
        <is>
          <t>B87</t>
        </is>
      </c>
      <c r="B680" s="260" t="n">
        <v>436</v>
      </c>
      <c r="D680" s="11" t="n">
        <v>45940</v>
      </c>
      <c r="E680" s="231" t="n">
        <v>436</v>
      </c>
      <c r="F680" s="3" t="n">
        <v>675</v>
      </c>
      <c r="G680" s="205">
        <f>IF(OR(S680="",S680=0),"",S680*2)</f>
        <v/>
      </c>
      <c r="I680" s="15">
        <f>(N680*18-H680*18)/9</f>
        <v/>
      </c>
      <c r="J680" s="15">
        <f>5*0.423</f>
        <v/>
      </c>
      <c r="K680" s="15">
        <f>AD680</f>
        <v/>
      </c>
      <c r="M680" s="10">
        <f>IF(OR(E680="",G680="",E680=0,G680=0),"",E680/G680)</f>
        <v/>
      </c>
      <c r="N680" s="9">
        <f>IF(OR(E680="",I680="",E680=0,I680=0),"",E680/(I680*2))</f>
        <v/>
      </c>
      <c r="O680" s="8">
        <f>IF(OR(I680="",G680="",I680=0,G680=0),"",I680*2/G680)</f>
        <v/>
      </c>
      <c r="P680" s="7">
        <f>5*1.53</f>
        <v/>
      </c>
      <c r="S680" s="6">
        <f>O680*1.067</f>
        <v/>
      </c>
      <c r="T680" s="6">
        <f>P680*1.514</f>
        <v/>
      </c>
      <c r="U680" s="6">
        <f>Q680+R680</f>
        <v/>
      </c>
      <c r="V680" s="6" t="n">
        <v>14.8</v>
      </c>
      <c r="Y680" s="23">
        <f>U680*1.067+V680*1.514</f>
        <v/>
      </c>
      <c r="AD680" s="5" t="n">
        <v>80</v>
      </c>
      <c r="AE680" s="4" t="n">
        <v>14.8</v>
      </c>
      <c r="AF680" s="231" t="n">
        <v>33.1</v>
      </c>
      <c r="AG680" s="231">
        <f>5*1.43</f>
        <v/>
      </c>
      <c r="AH680" s="231" t="n">
        <v>0</v>
      </c>
      <c r="AI680" s="231" t="n">
        <v>8.75</v>
      </c>
      <c r="AJ680" s="20" t="n">
        <v>0.5207175925925925</v>
      </c>
      <c r="AL680" s="231" t="n">
        <v>195</v>
      </c>
      <c r="AM680" s="3">
        <f>180+60</f>
        <v/>
      </c>
      <c r="AN680" s="4">
        <f>AE680</f>
        <v/>
      </c>
      <c r="AO680" s="231">
        <f>5*0.804</f>
        <v/>
      </c>
      <c r="AP680" s="3" t="n">
        <v>40</v>
      </c>
      <c r="AR680" s="13">
        <f>AVERAGE(AO678:AO684)</f>
        <v/>
      </c>
      <c r="AT680" s="156" t="n"/>
      <c r="AU680" s="155">
        <f>(I680-AF680)/I680</f>
        <v/>
      </c>
      <c r="AV680" s="155">
        <f>AG680/(AD680-AF680)</f>
        <v/>
      </c>
      <c r="AW680" s="155">
        <f>(G680-AM680)/G680</f>
        <v/>
      </c>
      <c r="AX680" s="254">
        <f>IF(AND(ISNUMBER(E680),ISNUMBER(W680)),E680-W680,"")</f>
        <v/>
      </c>
      <c r="AY680" s="254">
        <f>IF(AND(ISNUMBER(I680),ISNUMBER(AF680)),I680-AF680,"")</f>
        <v/>
      </c>
      <c r="AZ680" s="254">
        <f>IF(AND(ISNUMBER(AM680),ISNUMBER(G680)),G680-AM680,"")</f>
        <v/>
      </c>
      <c r="BA680" s="254">
        <f>IF(AND(ISNUMBER(AC680),ISNUMBER(AE680)),AC680-AE680,"")</f>
        <v/>
      </c>
      <c r="BB680" s="254">
        <f>IF(AND(ISNUMBER(AL680),ISNUMBER(AM680)),AL680-AM680,"")</f>
        <v/>
      </c>
      <c r="BC680" s="84">
        <f>IF(AND($E680&gt;0,$W680&gt;0),IF(($E680-$W680)/$E680&gt;0,($E680-$W680)/$E680,0),"")</f>
        <v/>
      </c>
      <c r="BD680" s="84">
        <f>IF(AND($I680&gt;0,$AF680&gt;=0),IF(($I680-$AF680)/$I680&gt;0,($I680-$AF680)/$I680,0),"")</f>
        <v/>
      </c>
      <c r="BE680" s="84" t="n"/>
      <c r="BF680" s="84">
        <f>IF(AND($G680&gt;0,$AM680&gt;0),IF(($G680-$AM680)/$G680&gt;0,($G680-$AM680)/$G680,0),"")</f>
        <v/>
      </c>
      <c r="BH680" s="6" t="n"/>
    </row>
    <row r="681" ht="15.75" customHeight="1">
      <c r="B681" t="n">
        <v>437</v>
      </c>
      <c r="C681" s="12" t="inlineStr">
        <is>
          <t>no addition of nitrite</t>
        </is>
      </c>
      <c r="D681" s="11" t="n">
        <v>45941</v>
      </c>
      <c r="E681" s="231" t="n">
        <v>437</v>
      </c>
      <c r="F681" s="3" t="n">
        <v>676</v>
      </c>
      <c r="G681" s="205">
        <f>IF(OR(S681="",S681=0),"",S681*2)</f>
        <v/>
      </c>
      <c r="K681" s="15">
        <f>AD681</f>
        <v/>
      </c>
      <c r="M681" s="10">
        <f>IF(OR(E681="",G681="",E681=0,G681=0),"",E681/G681)</f>
        <v/>
      </c>
      <c r="N681" s="9">
        <f>IF(OR(E681="",I681="",E681=0,I681=0),"",E681/(I681*2))</f>
        <v/>
      </c>
      <c r="O681" s="8">
        <f>IF(OR(I681="",G681="",I681=0,G681=0),"",I681*2/G681)</f>
        <v/>
      </c>
      <c r="AD681" s="5" t="n">
        <v>80</v>
      </c>
      <c r="AI681" s="231" t="n">
        <v>0.06</v>
      </c>
      <c r="AJ681" s="20" t="n">
        <v>0.3988425925925926</v>
      </c>
      <c r="AL681" s="231" t="n">
        <v>81</v>
      </c>
      <c r="AM681" s="3">
        <f>180+60</f>
        <v/>
      </c>
      <c r="AP681" s="3" t="n">
        <v>40</v>
      </c>
      <c r="AR681" s="13">
        <f>AVERAGE(AO679:AO685)</f>
        <v/>
      </c>
      <c r="AT681" s="156" t="n"/>
      <c r="AU681" s="155" t="n"/>
      <c r="AV681" s="155" t="n"/>
      <c r="AW681" s="155" t="n"/>
      <c r="AX681" s="254">
        <f>IF(AND(ISNUMBER(E681),ISNUMBER(W681)),E681-W681,"")</f>
        <v/>
      </c>
      <c r="AY681" s="254">
        <f>IF(AND(ISNUMBER(I681),ISNUMBER(AF681)),I681-AF681,"")</f>
        <v/>
      </c>
      <c r="AZ681" s="254">
        <f>IF(AND(ISNUMBER(AM681),ISNUMBER(G681)),G681-AM681,"")</f>
        <v/>
      </c>
      <c r="BA681" s="254">
        <f>IF(AND(ISNUMBER(AC681),ISNUMBER(AE681)),AC681-AE681,"")</f>
        <v/>
      </c>
      <c r="BB681" s="254">
        <f>IF(AND(ISNUMBER(AL681),ISNUMBER(AM681)),AL681-AM681,"")</f>
        <v/>
      </c>
      <c r="BC681" s="84">
        <f>IF(AND($E681&gt;0,$W681&gt;0),IF(($E681-$W681)/$E681&gt;0,($E681-$W681)/$E681,0),"")</f>
        <v/>
      </c>
      <c r="BD681" s="84">
        <f>IF(AND($I681&gt;0,$AF681&gt;=0),IF(($I681-$AF681)/$I681&gt;0,($I681-$AF681)/$I681,0),"")</f>
        <v/>
      </c>
      <c r="BE681" s="84" t="n"/>
      <c r="BF681" s="84">
        <f>IF(AND($G681&gt;0,$AM681&gt;0),IF(($G681-$AM681)/$G681&gt;0,($G681-$AM681)/$G681,0),"")</f>
        <v/>
      </c>
      <c r="BH681" s="6" t="n"/>
    </row>
    <row r="682" ht="15.75" customHeight="1">
      <c r="B682" t="n">
        <v>438</v>
      </c>
      <c r="D682" s="11" t="n">
        <v>45942</v>
      </c>
      <c r="E682" s="231" t="n">
        <v>438</v>
      </c>
      <c r="F682" s="3" t="n">
        <v>677</v>
      </c>
      <c r="G682" s="205">
        <f>IF(OR(S682="",S682=0),"",S682*2)</f>
        <v/>
      </c>
      <c r="K682" s="15">
        <f>AD682</f>
        <v/>
      </c>
      <c r="M682" s="10">
        <f>IF(OR(E682="",G682="",E682=0,G682=0),"",E682/G682)</f>
        <v/>
      </c>
      <c r="N682" s="9">
        <f>IF(OR(E682="",I682="",E682=0,I682=0),"",E682/(I682*2))</f>
        <v/>
      </c>
      <c r="O682" s="8">
        <f>IF(OR(I682="",G682="",I682=0,G682=0),"",I682*2/G682)</f>
        <v/>
      </c>
      <c r="AD682" s="5" t="n">
        <v>80</v>
      </c>
      <c r="AI682" s="231" t="n">
        <v>0.04</v>
      </c>
      <c r="AJ682" s="20" t="n">
        <v>0.3576388888888889</v>
      </c>
      <c r="AL682" s="231" t="n">
        <v>1</v>
      </c>
      <c r="AM682" s="3">
        <f>180+60</f>
        <v/>
      </c>
      <c r="AP682" s="3" t="n">
        <v>40</v>
      </c>
      <c r="AR682" s="13">
        <f>AVERAGE(AO680:AO686)</f>
        <v/>
      </c>
      <c r="AT682" s="156" t="n"/>
      <c r="AU682" s="155" t="n"/>
      <c r="AV682" s="155" t="n"/>
      <c r="AW682" s="155" t="n"/>
      <c r="AX682" s="254">
        <f>IF(AND(ISNUMBER(E682),ISNUMBER(W682)),E682-W682,"")</f>
        <v/>
      </c>
      <c r="AY682" s="254">
        <f>IF(AND(ISNUMBER(I682),ISNUMBER(AF682)),I682-AF682,"")</f>
        <v/>
      </c>
      <c r="AZ682" s="254">
        <f>IF(AND(ISNUMBER(AM682),ISNUMBER(G682)),G682-AM682,"")</f>
        <v/>
      </c>
      <c r="BA682" s="254">
        <f>IF(AND(ISNUMBER(AC682),ISNUMBER(AE682)),AC682-AE682,"")</f>
        <v/>
      </c>
      <c r="BB682" s="254">
        <f>IF(AND(ISNUMBER(AL682),ISNUMBER(AM682)),AL682-AM682,"")</f>
        <v/>
      </c>
      <c r="BC682" s="84">
        <f>IF(AND($E682&gt;0,$W682&gt;0),IF(($E682-$W682)/$E682&gt;0,($E682-$W682)/$E682,0),"")</f>
        <v/>
      </c>
      <c r="BD682" s="84">
        <f>IF(AND($I682&gt;0,$AF682&gt;=0),IF(($I682-$AF682)/$I682&gt;0,($I682-$AF682)/$I682,0),"")</f>
        <v/>
      </c>
      <c r="BE682" s="84" t="n"/>
      <c r="BF682" s="84">
        <f>IF(AND($G682&gt;0,$AM682&gt;0),IF(($G682-$AM682)/$G682&gt;0,($G682-$AM682)/$G682,0),"")</f>
        <v/>
      </c>
      <c r="BH682" s="6" t="n"/>
    </row>
    <row r="683" ht="15.75" customHeight="1">
      <c r="B683" t="n">
        <v>439</v>
      </c>
      <c r="D683" s="11" t="n">
        <v>45943</v>
      </c>
      <c r="E683" s="231" t="n">
        <v>439</v>
      </c>
      <c r="F683" s="3" t="n">
        <v>678</v>
      </c>
      <c r="G683" s="205">
        <f>IF(OR(S683="",S683=0),"",S683*2)</f>
        <v/>
      </c>
      <c r="K683" s="15">
        <f>AD683</f>
        <v/>
      </c>
      <c r="M683" s="10">
        <f>IF(OR(E683="",G683="",E683=0,G683=0),"",E683/G683)</f>
        <v/>
      </c>
      <c r="N683" s="9">
        <f>IF(OR(E683="",I683="",E683=0,I683=0),"",E683/(I683*2))</f>
        <v/>
      </c>
      <c r="O683" s="8">
        <f>IF(OR(I683="",G683="",I683=0,G683=0),"",I683*2/G683)</f>
        <v/>
      </c>
      <c r="AD683" s="5" t="n">
        <v>80</v>
      </c>
      <c r="AI683" s="231" t="n">
        <v>0.04</v>
      </c>
      <c r="AJ683" s="20" t="n">
        <v>0.3576388888888889</v>
      </c>
      <c r="AL683" s="231" t="n">
        <v>1</v>
      </c>
      <c r="AM683" s="3">
        <f>180+60</f>
        <v/>
      </c>
      <c r="AP683" s="3" t="n">
        <v>40</v>
      </c>
      <c r="AR683" s="13">
        <f>AVERAGE(AO681:AO687)</f>
        <v/>
      </c>
      <c r="AT683" s="156" t="n"/>
      <c r="AU683" s="155" t="n"/>
      <c r="AV683" s="155" t="n"/>
      <c r="AW683" s="155" t="n"/>
      <c r="AX683" s="254">
        <f>IF(AND(ISNUMBER(E683),ISNUMBER(W683)),E683-W683,"")</f>
        <v/>
      </c>
      <c r="AY683" s="254">
        <f>IF(AND(ISNUMBER(I683),ISNUMBER(AF683)),I683-AF683,"")</f>
        <v/>
      </c>
      <c r="AZ683" s="254">
        <f>IF(AND(ISNUMBER(AM683),ISNUMBER(G683)),G683-AM683,"")</f>
        <v/>
      </c>
      <c r="BA683" s="254">
        <f>IF(AND(ISNUMBER(AC683),ISNUMBER(AE683)),AC683-AE683,"")</f>
        <v/>
      </c>
      <c r="BB683" s="254">
        <f>IF(AND(ISNUMBER(AL683),ISNUMBER(AM683)),AL683-AM683,"")</f>
        <v/>
      </c>
      <c r="BC683" s="84">
        <f>IF(AND($E683&gt;0,$W683&gt;0),IF(($E683-$W683)/$E683&gt;0,($E683-$W683)/$E683,0),"")</f>
        <v/>
      </c>
      <c r="BD683" s="84">
        <f>IF(AND($I683&gt;0,$AF683&gt;=0),IF(($I683-$AF683)/$I683&gt;0,($I683-$AF683)/$I683,0),"")</f>
        <v/>
      </c>
      <c r="BE683" s="84" t="n"/>
      <c r="BF683" s="84">
        <f>IF(AND($G683&gt;0,$AM683&gt;0),IF(($G683-$AM683)/$G683&gt;0,($G683-$AM683)/$G683,0),"")</f>
        <v/>
      </c>
      <c r="BH683" s="6">
        <f>IF(OR(AJ683=0,AP683=0,NOT(ISNUMBER(AD683)),NOT(ISNUMBER(AF683)),NOT(ISNUMBER(AJ683)),NOT(ISNUMBER(AP683))),"",
IFERROR(IF((AD683-AF683)/(AJ683/60)/(AP683/1000)&lt;=0,"",(AD683-AF683)/(AJ683/60)/(AP683/1000)),""))</f>
        <v/>
      </c>
    </row>
    <row r="684" ht="15.75" customHeight="1">
      <c r="B684" t="n">
        <v>440</v>
      </c>
      <c r="D684" s="11" t="n">
        <v>45944</v>
      </c>
      <c r="E684" s="231" t="n">
        <v>440</v>
      </c>
      <c r="F684" s="3" t="n">
        <v>679</v>
      </c>
      <c r="G684" s="205">
        <f>IF(OR(S684="",S684=0),"",S684*2)</f>
        <v/>
      </c>
      <c r="K684" s="15">
        <f>AD684</f>
        <v/>
      </c>
      <c r="M684" s="10">
        <f>IF(OR(E684="",G684="",E684=0,G684=0),"",E684/G684)</f>
        <v/>
      </c>
      <c r="N684" s="9">
        <f>IF(OR(E684="",I684="",E684=0,I684=0),"",E684/(I684*2))</f>
        <v/>
      </c>
      <c r="O684" s="8">
        <f>IF(OR(I684="",G684="",I684=0,G684=0),"",I684*2/G684)</f>
        <v/>
      </c>
      <c r="AD684" s="5" t="n">
        <v>80</v>
      </c>
      <c r="AI684" s="231" t="n">
        <v>4.11</v>
      </c>
      <c r="AJ684" s="20" t="n">
        <v>0.4393518518518518</v>
      </c>
      <c r="AL684" s="231" t="n">
        <v>117</v>
      </c>
      <c r="AM684" s="3">
        <f>180+60</f>
        <v/>
      </c>
      <c r="AP684" s="3" t="n">
        <v>40</v>
      </c>
      <c r="AR684" s="13">
        <f>AVERAGE(AO682:AO688)</f>
        <v/>
      </c>
      <c r="AT684" s="156" t="n"/>
      <c r="AU684" s="155" t="n"/>
      <c r="AV684" s="155" t="n"/>
      <c r="AW684" s="155" t="n"/>
      <c r="AX684" s="254">
        <f>IF(AND(ISNUMBER(E684),ISNUMBER(W684)),E684-W684,"")</f>
        <v/>
      </c>
      <c r="AY684" s="254">
        <f>IF(AND(ISNUMBER(I684),ISNUMBER(AF684)),I684-AF684,"")</f>
        <v/>
      </c>
      <c r="AZ684" s="254">
        <f>IF(AND(ISNUMBER(AM684),ISNUMBER(G684)),G684-AM684,"")</f>
        <v/>
      </c>
      <c r="BA684" s="254">
        <f>IF(AND(ISNUMBER(AC684),ISNUMBER(AE684)),AC684-AE684,"")</f>
        <v/>
      </c>
      <c r="BB684" s="254">
        <f>IF(AND(ISNUMBER(AL684),ISNUMBER(AM684)),AL684-AM684,"")</f>
        <v/>
      </c>
      <c r="BC684" s="84">
        <f>IF(AND($E684&gt;0,$W684&gt;0),IF(($E684-$W684)/$E684&gt;0,($E684-$W684)/$E684,0),"")</f>
        <v/>
      </c>
      <c r="BD684" s="84">
        <f>IF(AND($I684&gt;0,$AF684&gt;=0),IF(($I684-$AF684)/$I684&gt;0,($I684-$AF684)/$I684,0),"")</f>
        <v/>
      </c>
      <c r="BE684" s="84" t="n"/>
      <c r="BF684" s="84">
        <f>IF(AND($G684&gt;0,$AM684&gt;0),IF(($G684-$AM684)/$G684&gt;0,($G684-$AM684)/$G684,0),"")</f>
        <v/>
      </c>
      <c r="BH684" s="6">
        <f>IF(OR(AJ684=0,AP684=0,NOT(ISNUMBER(AD684)),NOT(ISNUMBER(AF684)),NOT(ISNUMBER(AJ684)),NOT(ISNUMBER(AP684))),"",
IFERROR(IF((AD684-AF684)/(AJ684/60)/(AP684/1000)&lt;=0,"",(AD684-AF684)/(AJ684/60)/(AP684/1000)),""))</f>
        <v/>
      </c>
    </row>
    <row r="685" ht="15.75" customHeight="1">
      <c r="B685" t="n">
        <v>441</v>
      </c>
      <c r="D685" s="11" t="n">
        <v>45945</v>
      </c>
      <c r="E685" s="231" t="n">
        <v>441</v>
      </c>
      <c r="F685" s="3" t="n">
        <v>680</v>
      </c>
      <c r="G685" s="205">
        <f>IF(OR(S685="",S685=0),"",S685*2)</f>
        <v/>
      </c>
      <c r="I685" s="41" t="n">
        <v>14.76</v>
      </c>
      <c r="K685" s="15">
        <f>AD685</f>
        <v/>
      </c>
      <c r="M685" s="10">
        <f>IF(OR(E685="",G685="",E685=0,G685=0),"",E685/G685)</f>
        <v/>
      </c>
      <c r="N685" s="9">
        <f>IF(OR(E685="",I685="",E685=0,I685=0),"",E685/(I685*2))</f>
        <v/>
      </c>
      <c r="O685" s="8">
        <f>IF(OR(I685="",G685="",I685=0,G685=0),"",I685*2/G685)</f>
        <v/>
      </c>
      <c r="AD685" s="5" t="n">
        <v>80</v>
      </c>
      <c r="AG685" s="231">
        <f>2*1.64</f>
        <v/>
      </c>
      <c r="AH685" s="231" t="n">
        <v>0</v>
      </c>
      <c r="AI685" s="231" t="n">
        <v>7.36</v>
      </c>
      <c r="AJ685" s="20" t="n">
        <v>0.4480324074074074</v>
      </c>
      <c r="AL685" s="231" t="n">
        <v>125</v>
      </c>
      <c r="AM685" s="3">
        <f>180+60</f>
        <v/>
      </c>
      <c r="AN685" s="4">
        <f>AE685</f>
        <v/>
      </c>
      <c r="AO685" s="231" t="n">
        <v>0</v>
      </c>
      <c r="AP685" s="3" t="n">
        <v>40</v>
      </c>
      <c r="AR685" s="13">
        <f>AVERAGE(AO683:AO689)</f>
        <v/>
      </c>
      <c r="AT685" s="156" t="n"/>
      <c r="AU685" s="155" t="n"/>
      <c r="AV685" s="155" t="n"/>
      <c r="AW685" s="155">
        <f>(G685-AM685)/G685</f>
        <v/>
      </c>
      <c r="AX685" s="254">
        <f>IF(AND(ISNUMBER(E685),ISNUMBER(W685)),E685-W685,"")</f>
        <v/>
      </c>
      <c r="AY685" s="254">
        <f>IF(AND(ISNUMBER(I685),ISNUMBER(AF685)),I685-AF685,"")</f>
        <v/>
      </c>
      <c r="AZ685" s="254">
        <f>IF(AND(ISNUMBER(AM685),ISNUMBER(G685)),G685-AM685,"")</f>
        <v/>
      </c>
      <c r="BA685" s="254">
        <f>IF(AND(ISNUMBER(AC685),ISNUMBER(AE685)),AC685-AE685,"")</f>
        <v/>
      </c>
      <c r="BB685" s="254">
        <f>IF(AND(ISNUMBER(AL685),ISNUMBER(AM685)),AL685-AM685,"")</f>
        <v/>
      </c>
      <c r="BC685" s="84">
        <f>IF(AND($E685&gt;0,$W685&gt;0),IF(($E685-$W685)/$E685&gt;0,($E685-$W685)/$E685,0),"")</f>
        <v/>
      </c>
      <c r="BD685" s="84">
        <f>IF(AND($I685&gt;0,$AF685&gt;=0),IF(($I685-$AF685)/$I685&gt;0,($I685-$AF685)/$I685,0),"")</f>
        <v/>
      </c>
      <c r="BE685" s="84" t="n"/>
      <c r="BF685" s="84">
        <f>IF(AND($G685&gt;0,$AM685&gt;0),IF(($G685-$AM685)/$G685&gt;0,($G685-$AM685)/$G685,0),"")</f>
        <v/>
      </c>
      <c r="BH685" s="6">
        <f>IF(OR(AJ685=0,AP685=0,NOT(ISNUMBER(AD685)),NOT(ISNUMBER(AF685)),NOT(ISNUMBER(AJ685)),NOT(ISNUMBER(AP685))),"",
IFERROR(IF((AD685-AF685)/(AJ685/60)/(AP685/1000)&lt;=0,"",(AD685-AF685)/(AJ685/60)/(AP685/1000)),""))</f>
        <v/>
      </c>
    </row>
    <row r="686" ht="15.75" customHeight="1">
      <c r="B686" t="n">
        <v>442</v>
      </c>
      <c r="D686" s="11" t="n">
        <v>45946</v>
      </c>
      <c r="E686" s="231" t="n">
        <v>442</v>
      </c>
      <c r="F686" s="3" t="n">
        <v>681</v>
      </c>
      <c r="G686" s="205">
        <f>IF(OR(S686="",S686=0),"",S686*2)</f>
        <v/>
      </c>
      <c r="K686" s="15">
        <f>AD686</f>
        <v/>
      </c>
      <c r="M686" s="10">
        <f>IF(OR(E686="",G686="",E686=0,G686=0),"",E686/G686)</f>
        <v/>
      </c>
      <c r="N686" s="9">
        <f>IF(OR(E686="",I686="",E686=0,I686=0),"",E686/(I686*2))</f>
        <v/>
      </c>
      <c r="O686" s="8">
        <f>IF(OR(I686="",G686="",I686=0,G686=0),"",I686*2/G686)</f>
        <v/>
      </c>
      <c r="AD686" s="5" t="n">
        <v>80</v>
      </c>
      <c r="AI686" s="231" t="n">
        <v>9.23</v>
      </c>
      <c r="AJ686" s="20" t="n">
        <v>0.4903935185185185</v>
      </c>
      <c r="AL686" s="231" t="n">
        <v>163</v>
      </c>
      <c r="AM686" s="3">
        <f>180+60</f>
        <v/>
      </c>
      <c r="AP686" s="3" t="n">
        <v>40</v>
      </c>
      <c r="AR686" s="13">
        <f>AVERAGE(AO684:AO690)</f>
        <v/>
      </c>
      <c r="AT686" s="156" t="n"/>
      <c r="AU686" s="155" t="n"/>
      <c r="AV686" s="155" t="n"/>
      <c r="AW686" s="155" t="n"/>
      <c r="AX686" s="254">
        <f>IF(AND(ISNUMBER(E686),ISNUMBER(W686)),E686-W686,"")</f>
        <v/>
      </c>
      <c r="AY686" s="254">
        <f>IF(AND(ISNUMBER(I686),ISNUMBER(AF686)),I686-AF686,"")</f>
        <v/>
      </c>
      <c r="AZ686" s="254">
        <f>IF(AND(ISNUMBER(AM686),ISNUMBER(G686)),G686-AM686,"")</f>
        <v/>
      </c>
      <c r="BA686" s="254">
        <f>IF(AND(ISNUMBER(AC686),ISNUMBER(AE686)),AC686-AE686,"")</f>
        <v/>
      </c>
      <c r="BB686" s="254">
        <f>IF(AND(ISNUMBER(AL686),ISNUMBER(AM686)),AL686-AM686,"")</f>
        <v/>
      </c>
      <c r="BC686" s="84">
        <f>IF(AND($E686&gt;0,$W686&gt;0),IF(($E686-$W686)/$E686&gt;0,($E686-$W686)/$E686,0),"")</f>
        <v/>
      </c>
      <c r="BD686" s="84">
        <f>IF(AND($I686&gt;0,$AF686&gt;=0),IF(($I686-$AF686)/$I686&gt;0,($I686-$AF686)/$I686,0),"")</f>
        <v/>
      </c>
      <c r="BE686" s="84" t="n"/>
      <c r="BF686" s="84">
        <f>IF(AND($G686&gt;0,$AM686&gt;0),IF(($G686-$AM686)/$G686&gt;0,($G686-$AM686)/$G686,0),"")</f>
        <v/>
      </c>
      <c r="BH686" s="6">
        <f>IF(OR(AJ686=0,AP686=0,NOT(ISNUMBER(AD686)),NOT(ISNUMBER(AF686)),NOT(ISNUMBER(AJ686)),NOT(ISNUMBER(AP686))),"",
IFERROR(IF((AD686-AF686)/(AJ686/60)/(AP686/1000)&lt;=0,"",(AD686-AF686)/(AJ686/60)/(AP686/1000)),""))</f>
        <v/>
      </c>
    </row>
    <row r="687" ht="15.75" customHeight="1">
      <c r="B687" t="n">
        <v>443</v>
      </c>
      <c r="D687" s="11" t="n">
        <v>45947</v>
      </c>
      <c r="E687" s="231" t="n">
        <v>443</v>
      </c>
      <c r="F687" s="3" t="n">
        <v>682</v>
      </c>
      <c r="G687" s="205">
        <f>IF(OR(S687="",S687=0),"",S687*2)</f>
        <v/>
      </c>
      <c r="K687" s="15">
        <f>AD687</f>
        <v/>
      </c>
      <c r="M687" s="10">
        <f>IF(OR(E687="",G687="",E687=0,G687=0),"",E687/G687)</f>
        <v/>
      </c>
      <c r="N687" s="9">
        <f>IF(OR(E687="",I687="",E687=0,I687=0),"",E687/(I687*2))</f>
        <v/>
      </c>
      <c r="O687" s="8">
        <f>IF(OR(I687="",G687="",I687=0,G687=0),"",I687*2/G687)</f>
        <v/>
      </c>
      <c r="AD687" s="5" t="n">
        <v>80</v>
      </c>
      <c r="AE687" s="7">
        <f>T688</f>
        <v/>
      </c>
      <c r="AF687" s="231">
        <f>10*3.32</f>
        <v/>
      </c>
      <c r="AG687" s="231">
        <f>5*0.457</f>
        <v/>
      </c>
      <c r="AH687" s="231" t="n">
        <v>0</v>
      </c>
      <c r="AI687" s="231" t="n">
        <v>8.140000000000001</v>
      </c>
      <c r="AJ687" s="20" t="n">
        <v>0.5144675925925926</v>
      </c>
      <c r="AL687" s="231" t="n">
        <v>189</v>
      </c>
      <c r="AM687" s="3">
        <f>180+60</f>
        <v/>
      </c>
      <c r="AN687" s="4">
        <f>AE687</f>
        <v/>
      </c>
      <c r="AO687" s="231">
        <f>2*0.027</f>
        <v/>
      </c>
      <c r="AP687" s="3" t="n">
        <v>40</v>
      </c>
      <c r="AQ687" s="2" t="n">
        <v>3200</v>
      </c>
      <c r="AR687" s="13">
        <f>AVERAGE(AO685:AO691)</f>
        <v/>
      </c>
      <c r="AT687" s="156" t="n"/>
      <c r="AU687" s="155">
        <f>(I687-AF687)/I687</f>
        <v/>
      </c>
      <c r="AV687" s="155">
        <f>AG687/(AD687-AF687)</f>
        <v/>
      </c>
      <c r="AW687" s="155" t="n"/>
      <c r="AX687" s="254">
        <f>IF(AND(ISNUMBER(E687),ISNUMBER(W687)),E687-W687,"")</f>
        <v/>
      </c>
      <c r="AY687" s="254">
        <f>IF(AND(ISNUMBER(I687),ISNUMBER(AF687)),I687-AF687,"")</f>
        <v/>
      </c>
      <c r="AZ687" s="254">
        <f>IF(AND(ISNUMBER(AM687),ISNUMBER(G687)),G687-AM687,"")</f>
        <v/>
      </c>
      <c r="BA687" s="254">
        <f>IF(AND(ISNUMBER(AC687),ISNUMBER(AE687)),AC687-AE687,"")</f>
        <v/>
      </c>
      <c r="BB687" s="254">
        <f>IF(AND(ISNUMBER(AL687),ISNUMBER(AM687)),AL687-AM687,"")</f>
        <v/>
      </c>
      <c r="BC687" s="84">
        <f>IF(AND($E687&gt;0,$W687&gt;0),IF(($E687-$W687)/$E687&gt;0,($E687-$W687)/$E687,0),"")</f>
        <v/>
      </c>
      <c r="BD687" s="84">
        <f>IF(AND($I687&gt;0,$AF687&gt;=0),IF(($I687-$AF687)/$I687&gt;0,($I687-$AF687)/$I687,0),"")</f>
        <v/>
      </c>
      <c r="BE687" s="84" t="n"/>
      <c r="BF687" s="84">
        <f>IF(AND($G687&gt;0,$AM687&gt;0),IF(($G687-$AM687)/$G687&gt;0,($G687-$AM687)/$G687,0),"")</f>
        <v/>
      </c>
      <c r="BH687" s="6">
        <f>IF(OR(AJ687=0,AP687=0,NOT(ISNUMBER(AD687)),NOT(ISNUMBER(AF687)),NOT(ISNUMBER(AJ687)),NOT(ISNUMBER(AP687))),"",
IFERROR(IF((AD687-AF687)/(AJ687/60)/(AP687/1000)&lt;=0,"",(AD687-AF687)/(AJ687/60)/(AP687/1000)),""))</f>
        <v/>
      </c>
    </row>
    <row r="688" ht="15.75" customHeight="1">
      <c r="B688" t="n">
        <v>444</v>
      </c>
      <c r="D688" s="11" t="n">
        <v>45948</v>
      </c>
      <c r="E688" s="231" t="n">
        <v>444</v>
      </c>
      <c r="F688" s="3" t="n">
        <v>683</v>
      </c>
      <c r="G688" s="205">
        <f>IF(OR(S688="",S688=0),"",S688*2)</f>
        <v/>
      </c>
      <c r="I688" s="15">
        <f>(N688*18-H688*18)/9</f>
        <v/>
      </c>
      <c r="J688" s="15">
        <f>2*0.611</f>
        <v/>
      </c>
      <c r="K688" s="15">
        <f>AD688</f>
        <v/>
      </c>
      <c r="M688" s="10">
        <f>IF(OR(E688="",G688="",E688=0,G688=0),"",E688/G688)</f>
        <v/>
      </c>
      <c r="N688" s="9">
        <f>IF(OR(E688="",I688="",E688=0,I688=0),"",E688/(I688*2))</f>
        <v/>
      </c>
      <c r="O688" s="8">
        <f>IF(OR(I688="",G688="",I688=0,G688=0),"",I688*2/G688)</f>
        <v/>
      </c>
      <c r="P688" s="7">
        <f>5*1.72</f>
        <v/>
      </c>
      <c r="U688" s="6">
        <f>Q688+R688</f>
        <v/>
      </c>
      <c r="V688" s="6" t="n">
        <v>34</v>
      </c>
      <c r="AD688" s="5" t="n">
        <v>80</v>
      </c>
      <c r="AI688" s="231" t="n">
        <v>8.18</v>
      </c>
      <c r="AJ688" s="20" t="n">
        <v>0.5206018518518518</v>
      </c>
      <c r="AL688" s="231" t="n">
        <v>183</v>
      </c>
      <c r="AM688" s="3">
        <f>180+60</f>
        <v/>
      </c>
      <c r="AP688" s="3" t="n">
        <v>40</v>
      </c>
      <c r="AR688" s="13">
        <f>AVERAGE(AO686:AO692)</f>
        <v/>
      </c>
      <c r="AT688" s="156" t="n"/>
      <c r="AU688" s="155" t="n"/>
      <c r="AV688" s="155" t="n"/>
      <c r="AW688" s="155" t="n"/>
      <c r="AX688" s="254">
        <f>IF(AND(ISNUMBER(E688),ISNUMBER(W688)),E688-W688,"")</f>
        <v/>
      </c>
      <c r="AY688" s="254">
        <f>IF(AND(ISNUMBER(I688),ISNUMBER(AF688)),I688-AF688,"")</f>
        <v/>
      </c>
      <c r="AZ688" s="254">
        <f>IF(AND(ISNUMBER(AM688),ISNUMBER(G688)),G688-AM688,"")</f>
        <v/>
      </c>
      <c r="BA688" s="254">
        <f>IF(AND(ISNUMBER(AC688),ISNUMBER(AE688)),AC688-AE688,"")</f>
        <v/>
      </c>
      <c r="BB688" s="254">
        <f>IF(AND(ISNUMBER(AL688),ISNUMBER(AM688)),AL688-AM688,"")</f>
        <v/>
      </c>
      <c r="BC688" s="84">
        <f>IF(AND($E688&gt;0,$W688&gt;0),IF(($E688-$W688)/$E688&gt;0,($E688-$W688)/$E688,0),"")</f>
        <v/>
      </c>
      <c r="BD688" s="84">
        <f>IF(AND($I688&gt;0,$AF688&gt;=0),IF(($I688-$AF688)/$I688&gt;0,($I688-$AF688)/$I688,0),"")</f>
        <v/>
      </c>
      <c r="BE688" s="84" t="n"/>
      <c r="BF688" s="84">
        <f>IF(AND($G688&gt;0,$AM688&gt;0),IF(($G688-$AM688)/$G688&gt;0,($G688-$AM688)/$G688,0),"")</f>
        <v/>
      </c>
      <c r="BH688" s="6">
        <f>IF(OR(AJ688=0,AP688=0,NOT(ISNUMBER(AD688)),NOT(ISNUMBER(AF688)),NOT(ISNUMBER(AJ688)),NOT(ISNUMBER(AP688))),"",
IFERROR(IF((AD688-AF688)/(AJ688/60)/(AP688/1000)&lt;=0,"",(AD688-AF688)/(AJ688/60)/(AP688/1000)),""))</f>
        <v/>
      </c>
    </row>
    <row r="689" ht="15.75" customHeight="1">
      <c r="A689" s="260" t="inlineStr">
        <is>
          <t>B88</t>
        </is>
      </c>
      <c r="B689" s="260" t="n">
        <v>445</v>
      </c>
      <c r="D689" s="11" t="n">
        <v>45949</v>
      </c>
      <c r="E689" s="231" t="n">
        <v>445</v>
      </c>
      <c r="F689" s="3" t="n">
        <v>684</v>
      </c>
      <c r="G689" s="205">
        <f>IF(OR(S689="",S689=0),"",S689*2)</f>
        <v/>
      </c>
      <c r="K689" s="15">
        <f>AD689</f>
        <v/>
      </c>
      <c r="M689" s="10">
        <f>IF(OR(E689="",G689="",E689=0,G689=0),"",E689/G689)</f>
        <v/>
      </c>
      <c r="N689" s="9">
        <f>IF(OR(E689="",I689="",E689=0,I689=0),"",E689/(I689*2))</f>
        <v/>
      </c>
      <c r="O689" s="8">
        <f>IF(OR(I689="",G689="",I689=0,G689=0),"",I689*2/G689)</f>
        <v/>
      </c>
      <c r="AD689" s="5" t="n">
        <v>80</v>
      </c>
      <c r="AI689" s="231" t="n">
        <v>9.720000000000001</v>
      </c>
      <c r="AJ689" s="20" t="n">
        <v>0.5207175925925925</v>
      </c>
      <c r="AL689" s="231" t="n">
        <v>169</v>
      </c>
      <c r="AM689" s="3">
        <f>180+60</f>
        <v/>
      </c>
      <c r="AP689" s="3" t="n">
        <v>40</v>
      </c>
      <c r="AR689" s="13">
        <f>AVERAGE(AO687:AO693)</f>
        <v/>
      </c>
      <c r="AT689" s="156" t="n"/>
      <c r="AU689" s="155" t="n"/>
      <c r="AV689" s="155" t="n"/>
      <c r="AW689" s="155" t="n"/>
      <c r="AX689" s="254">
        <f>IF(AND(ISNUMBER(E689),ISNUMBER(W689)),E689-W689,"")</f>
        <v/>
      </c>
      <c r="AY689" s="254">
        <f>IF(AND(ISNUMBER(I689),ISNUMBER(AF689)),I689-AF689,"")</f>
        <v/>
      </c>
      <c r="AZ689" s="254">
        <f>IF(AND(ISNUMBER(AM689),ISNUMBER(G689)),G689-AM689,"")</f>
        <v/>
      </c>
      <c r="BA689" s="254">
        <f>IF(AND(ISNUMBER(AC689),ISNUMBER(AE689)),AC689-AE689,"")</f>
        <v/>
      </c>
      <c r="BB689" s="254">
        <f>IF(AND(ISNUMBER(AL689),ISNUMBER(AM689)),AL689-AM689,"")</f>
        <v/>
      </c>
      <c r="BC689" s="84">
        <f>IF(AND($E689&gt;0,$W689&gt;0),IF(($E689-$W689)/$E689&gt;0,($E689-$W689)/$E689,0),"")</f>
        <v/>
      </c>
      <c r="BD689" s="84">
        <f>IF(AND($I689&gt;0,$AF689&gt;=0),IF(($I689-$AF689)/$I689&gt;0,($I689-$AF689)/$I689,0),"")</f>
        <v/>
      </c>
      <c r="BE689" s="84" t="n"/>
      <c r="BF689" s="84">
        <f>IF(AND($G689&gt;0,$AM689&gt;0),IF(($G689-$AM689)/$G689&gt;0,($G689-$AM689)/$G689,0),"")</f>
        <v/>
      </c>
      <c r="BH689" s="6">
        <f>IF(OR(AJ689=0,AP689=0,NOT(ISNUMBER(AD689)),NOT(ISNUMBER(AF689)),NOT(ISNUMBER(AJ689)),NOT(ISNUMBER(AP689))),"",
IFERROR(IF((AD689-AF689)/(AJ689/60)/(AP689/1000)&lt;=0,"",(AD689-AF689)/(AJ689/60)/(AP689/1000)),""))</f>
        <v/>
      </c>
    </row>
    <row r="690" ht="15.75" customHeight="1">
      <c r="B690" t="n">
        <v>446</v>
      </c>
      <c r="D690" s="11" t="n">
        <v>45950</v>
      </c>
      <c r="E690" s="231" t="n">
        <v>446</v>
      </c>
      <c r="F690" s="3" t="n">
        <v>685</v>
      </c>
      <c r="G690" s="205">
        <f>IF(OR(S690="",S690=0),"",S690*2)</f>
        <v/>
      </c>
      <c r="K690" s="15">
        <f>AD690</f>
        <v/>
      </c>
      <c r="M690" s="10">
        <f>IF(OR(E690="",G690="",E690=0,G690=0),"",E690/G690)</f>
        <v/>
      </c>
      <c r="N690" s="9">
        <f>IF(OR(E690="",I690="",E690=0,I690=0),"",E690/(I690*2))</f>
        <v/>
      </c>
      <c r="O690" s="8">
        <f>IF(OR(I690="",G690="",I690=0,G690=0),"",I690*2/G690)</f>
        <v/>
      </c>
      <c r="AD690" s="5" t="n">
        <v>80</v>
      </c>
      <c r="AI690" s="231" t="n">
        <v>10.09</v>
      </c>
      <c r="AJ690" s="20" t="n">
        <v>0.5208333333333334</v>
      </c>
      <c r="AL690" s="231" t="n">
        <v>147</v>
      </c>
      <c r="AM690" s="3">
        <f>180+60</f>
        <v/>
      </c>
      <c r="AP690" s="3" t="n">
        <v>40</v>
      </c>
      <c r="AR690" s="13">
        <f>AVERAGE(AO688:AO694)</f>
        <v/>
      </c>
      <c r="AT690" s="156" t="n"/>
      <c r="AU690" s="155" t="n"/>
      <c r="AV690" s="155" t="n"/>
      <c r="AW690" s="155" t="n"/>
      <c r="AX690" s="254">
        <f>IF(AND(ISNUMBER(E690),ISNUMBER(W690)),E690-W690,"")</f>
        <v/>
      </c>
      <c r="AY690" s="254">
        <f>IF(AND(ISNUMBER(I690),ISNUMBER(AF690)),I690-AF690,"")</f>
        <v/>
      </c>
      <c r="AZ690" s="254">
        <f>IF(AND(ISNUMBER(AM690),ISNUMBER(G690)),G690-AM690,"")</f>
        <v/>
      </c>
      <c r="BA690" s="254">
        <f>IF(AND(ISNUMBER(AC690),ISNUMBER(AE690)),AC690-AE690,"")</f>
        <v/>
      </c>
      <c r="BB690" s="254">
        <f>IF(AND(ISNUMBER(AL690),ISNUMBER(AM690)),AL690-AM690,"")</f>
        <v/>
      </c>
      <c r="BC690" s="84">
        <f>IF(AND($E690&gt;0,$W690&gt;0),IF(($E690-$W690)/$E690&gt;0,($E690-$W690)/$E690,0),"")</f>
        <v/>
      </c>
      <c r="BD690" s="84">
        <f>IF(AND($I690&gt;0,$AF690&gt;=0),IF(($I690-$AF690)/$I690&gt;0,($I690-$AF690)/$I690,0),"")</f>
        <v/>
      </c>
      <c r="BE690" s="84" t="n"/>
      <c r="BF690" s="84">
        <f>IF(AND($G690&gt;0,$AM690&gt;0),IF(($G690-$AM690)/$G690&gt;0,($G690-$AM690)/$G690,0),"")</f>
        <v/>
      </c>
      <c r="BH690" s="6">
        <f>IF(OR(AJ690=0,AP690=0,NOT(ISNUMBER(AD690)),NOT(ISNUMBER(AF690)),NOT(ISNUMBER(AJ690)),NOT(ISNUMBER(AP690))),"",
IFERROR(IF((AD690-AF690)/(AJ690/60)/(AP690/1000)&lt;=0,"",(AD690-AF690)/(AJ690/60)/(AP690/1000)),""))</f>
        <v/>
      </c>
    </row>
    <row r="691" ht="15.75" customHeight="1">
      <c r="B691" t="n">
        <v>447</v>
      </c>
      <c r="C691" s="12" t="inlineStr">
        <is>
          <t>aerbic mix COD batch test</t>
        </is>
      </c>
      <c r="D691" s="11" t="n">
        <v>45951</v>
      </c>
      <c r="E691" s="231" t="n">
        <v>447</v>
      </c>
      <c r="F691" s="3" t="n">
        <v>686</v>
      </c>
      <c r="G691" s="205">
        <f>IF(OR(S691="",S691=0),"",S691*2)</f>
        <v/>
      </c>
      <c r="K691" s="15">
        <f>AD691</f>
        <v/>
      </c>
      <c r="M691" s="10">
        <f>IF(OR(E691="",G691="",E691=0,G691=0),"",E691/G691)</f>
        <v/>
      </c>
      <c r="N691" s="9">
        <f>IF(OR(E691="",I691="",E691=0,I691=0),"",E691/(I691*2))</f>
        <v/>
      </c>
      <c r="O691" s="8">
        <f>IF(OR(I691="",G691="",I691=0,G691=0),"",I691*2/G691)</f>
        <v/>
      </c>
      <c r="AD691" s="5" t="n">
        <v>80</v>
      </c>
      <c r="AI691" s="231" t="n">
        <v>4.12</v>
      </c>
      <c r="AJ691" s="20" t="n">
        <v>0.5208333333333334</v>
      </c>
      <c r="AL691" s="231" t="n">
        <v>161</v>
      </c>
      <c r="AM691" s="3">
        <f>180+60</f>
        <v/>
      </c>
      <c r="AP691" s="3" t="n">
        <v>40</v>
      </c>
      <c r="AQ691" s="2" t="n">
        <v>3560.000000000036</v>
      </c>
      <c r="AR691" s="13">
        <f>AVERAGE(AO689:AO695)</f>
        <v/>
      </c>
      <c r="AT691" s="156" t="n"/>
      <c r="AU691" s="155" t="n"/>
      <c r="AV691" s="155" t="n"/>
      <c r="AW691" s="155" t="n"/>
      <c r="AX691" s="254">
        <f>IF(AND(ISNUMBER(E691),ISNUMBER(W691)),E691-W691,"")</f>
        <v/>
      </c>
      <c r="AY691" s="254">
        <f>IF(AND(ISNUMBER(I691),ISNUMBER(AF691)),I691-AF691,"")</f>
        <v/>
      </c>
      <c r="AZ691" s="254">
        <f>IF(AND(ISNUMBER(AM691),ISNUMBER(G691)),G691-AM691,"")</f>
        <v/>
      </c>
      <c r="BA691" s="254">
        <f>IF(AND(ISNUMBER(AC691),ISNUMBER(AE691)),AC691-AE691,"")</f>
        <v/>
      </c>
      <c r="BB691" s="254">
        <f>IF(AND(ISNUMBER(AL691),ISNUMBER(AM691)),AL691-AM691,"")</f>
        <v/>
      </c>
      <c r="BC691" s="84">
        <f>IF(AND($E691&gt;0,$W691&gt;0),IF(($E691-$W691)/$E691&gt;0,($E691-$W691)/$E691,0),"")</f>
        <v/>
      </c>
      <c r="BD691" s="84">
        <f>IF(AND($I691&gt;0,$AF691&gt;=0),IF(($I691-$AF691)/$I691&gt;0,($I691-$AF691)/$I691,0),"")</f>
        <v/>
      </c>
      <c r="BE691" s="84" t="n"/>
      <c r="BF691" s="84">
        <f>IF(AND($G691&gt;0,$AM691&gt;0),IF(($G691-$AM691)/$G691&gt;0,($G691-$AM691)/$G691,0),"")</f>
        <v/>
      </c>
      <c r="BH691" s="6">
        <f>IF(OR(AJ691=0,AP691=0,NOT(ISNUMBER(AD691)),NOT(ISNUMBER(AF691)),NOT(ISNUMBER(AJ691)),NOT(ISNUMBER(AP691))),"",
IFERROR(IF((AD691-AF691)/(AJ691/60)/(AP691/1000)&lt;=0,"",(AD691-AF691)/(AJ691/60)/(AP691/1000)),""))</f>
        <v/>
      </c>
    </row>
    <row r="692" ht="16.5" customFormat="1" customHeight="1" s="40" thickBot="1">
      <c r="B692" t="n">
        <v>448</v>
      </c>
      <c r="C692" s="55" t="n"/>
      <c r="D692" s="54" t="n">
        <v>45952</v>
      </c>
      <c r="E692" s="231" t="n">
        <v>448</v>
      </c>
      <c r="F692" s="44" t="n">
        <v>687</v>
      </c>
      <c r="G692" s="205">
        <f>IF(OR(S692="",S692=0),"",S692*2)</f>
        <v/>
      </c>
      <c r="H692" s="51" t="n"/>
      <c r="I692" s="53" t="n">
        <v>14.756</v>
      </c>
      <c r="J692" s="51" t="n"/>
      <c r="K692" s="52">
        <f>AD692</f>
        <v/>
      </c>
      <c r="L692" s="50" t="n"/>
      <c r="M692" s="10">
        <f>IF(OR(E692="",G692="",E692=0,G692=0),"",E692/G692)</f>
        <v/>
      </c>
      <c r="N692" s="9">
        <f>IF(OR(E692="",I692="",E692=0,I692=0),"",E692/(I692*2))</f>
        <v/>
      </c>
      <c r="O692" s="8">
        <f>IF(OR(I692="",G692="",I692=0,G692=0),"",I692*2/G692)</f>
        <v/>
      </c>
      <c r="P692" s="49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  <c r="AA692" s="42" t="n"/>
      <c r="AB692" s="42" t="n"/>
      <c r="AC692" s="42" t="n"/>
      <c r="AD692" s="5" t="n">
        <v>80</v>
      </c>
      <c r="AE692" s="47" t="n"/>
      <c r="AG692" s="40">
        <f>5*1.95</f>
        <v/>
      </c>
      <c r="AH692" s="40" t="n">
        <v>0</v>
      </c>
      <c r="AI692" s="231" t="n">
        <v>8.039999999999999</v>
      </c>
      <c r="AJ692" s="20" t="n">
        <v>0.5204861111111111</v>
      </c>
      <c r="AL692" s="40" t="n">
        <v>187</v>
      </c>
      <c r="AM692" s="3">
        <f>180+60</f>
        <v/>
      </c>
      <c r="AN692" s="47">
        <f>AE692</f>
        <v/>
      </c>
      <c r="AO692" s="40">
        <f>5*1.43</f>
        <v/>
      </c>
      <c r="AP692" s="3" t="n">
        <v>40</v>
      </c>
      <c r="AQ692" s="43" t="n"/>
      <c r="AR692" s="48">
        <f>AVERAGE(AO690:AO696)</f>
        <v/>
      </c>
      <c r="AS692" s="43" t="n"/>
      <c r="AT692" s="46" t="n"/>
      <c r="AU692" s="45" t="n"/>
      <c r="AV692" s="45" t="n"/>
      <c r="AW692" s="45">
        <f>(G692-AM692)/G692</f>
        <v/>
      </c>
      <c r="AX692" s="254">
        <f>IF(AND(ISNUMBER(E692),ISNUMBER(W692)),E692-W692,"")</f>
        <v/>
      </c>
      <c r="AY692" s="254">
        <f>IF(AND(ISNUMBER(I692),ISNUMBER(AF692)),I692-AF692,"")</f>
        <v/>
      </c>
      <c r="AZ692" s="254">
        <f>IF(AND(ISNUMBER(AM692),ISNUMBER(G692)),G692-AM692,"")</f>
        <v/>
      </c>
      <c r="BA692" s="254">
        <f>IF(AND(ISNUMBER(AC692),ISNUMBER(AE692)),AC692-AE692,"")</f>
        <v/>
      </c>
      <c r="BB692" s="254">
        <f>IF(AND(ISNUMBER(AL692),ISNUMBER(AM692)),AL692-AM692,"")</f>
        <v/>
      </c>
      <c r="BH692" s="42">
        <f>IF(OR(AJ692=0,AP692=0,NOT(ISNUMBER(AD692)),NOT(ISNUMBER(AF692)),NOT(ISNUMBER(AJ692)),NOT(ISNUMBER(AP692))),"",
IFERROR(IF((AD692-AF692)/(AJ692/60)/(AP692/1000)&lt;=0,"",(AD692-AF692)/(AJ692/60)/(AP692/1000)),""))</f>
        <v/>
      </c>
    </row>
    <row r="693" ht="16.5" customHeight="1" thickTop="1">
      <c r="A693" s="260" t="inlineStr">
        <is>
          <t>B89</t>
        </is>
      </c>
      <c r="B693" s="260" t="n">
        <v>449</v>
      </c>
      <c r="C693" s="12" t="inlineStr">
        <is>
          <t>Switch COD to pro:ace = 1:1; gas 0.2 to 0.1 lPM</t>
        </is>
      </c>
      <c r="D693" s="11" t="n">
        <v>45953</v>
      </c>
      <c r="E693" s="231" t="n">
        <v>449</v>
      </c>
      <c r="F693" s="3" t="n">
        <v>688</v>
      </c>
      <c r="G693" s="205">
        <f>IF(OR(S693="",S693=0),"",S693*2)</f>
        <v/>
      </c>
      <c r="I693" s="41" t="n">
        <v>14.756</v>
      </c>
      <c r="K693" s="15">
        <f>AD693</f>
        <v/>
      </c>
      <c r="M693" s="10">
        <f>IF(OR(E693="",G693="",E693=0,G693=0),"",E693/G693)</f>
        <v/>
      </c>
      <c r="N693" s="9">
        <f>IF(OR(E693="",I693="",E693=0,I693=0),"",E693/(I693*2))</f>
        <v/>
      </c>
      <c r="O693" s="8">
        <f>IF(OR(I693="",G693="",I693=0,G693=0),"",I693*2/G693)</f>
        <v/>
      </c>
      <c r="AA693" s="6" t="n">
        <v>3.14</v>
      </c>
      <c r="AD693" s="5" t="n">
        <v>80</v>
      </c>
      <c r="AG693" s="231">
        <f>5*2.65</f>
        <v/>
      </c>
      <c r="AH693" s="231" t="n">
        <v>0</v>
      </c>
      <c r="AI693" s="231" t="n">
        <v>8.300000000000001</v>
      </c>
      <c r="AJ693" s="20" t="n">
        <v>0.5200231481481481</v>
      </c>
      <c r="AL693" s="231" t="n">
        <v>205</v>
      </c>
      <c r="AM693" s="3">
        <f>180+60</f>
        <v/>
      </c>
      <c r="AN693" s="4">
        <f>AE693</f>
        <v/>
      </c>
      <c r="AO693" s="231">
        <f>5*2.15</f>
        <v/>
      </c>
      <c r="AP693" s="3" t="n">
        <v>40</v>
      </c>
      <c r="AR693" s="13">
        <f>AVERAGE(AO691:AO697)</f>
        <v/>
      </c>
      <c r="AT693" s="156">
        <f>(E693-W693)/E693</f>
        <v/>
      </c>
      <c r="AU693" s="155">
        <f>(I693-AF693)/I693</f>
        <v/>
      </c>
      <c r="AV693" s="155">
        <f>AG693/(AD693-AF693)</f>
        <v/>
      </c>
      <c r="AW693" s="155">
        <f>(G693-AM693)/G693</f>
        <v/>
      </c>
      <c r="AX693" s="254">
        <f>IF(AND(ISNUMBER(E693),ISNUMBER(W693)),E693-W693,"")</f>
        <v/>
      </c>
      <c r="AY693" s="254">
        <f>IF(AND(ISNUMBER(I693),ISNUMBER(AF693)),I693-AF693,"")</f>
        <v/>
      </c>
      <c r="AZ693" s="254">
        <f>IF(AND(ISNUMBER(AM693),ISNUMBER(G693)),G693-AM693,"")</f>
        <v/>
      </c>
      <c r="BA693" s="254">
        <f>IF(AND(ISNUMBER(AC693),ISNUMBER(AE693)),AC693-AE693,"")</f>
        <v/>
      </c>
      <c r="BB693" s="254">
        <f>IF(AND(ISNUMBER(AL693),ISNUMBER(AM693)),AL693-AM693,"")</f>
        <v/>
      </c>
      <c r="BH693" s="6">
        <f>IF(OR(AJ693=0,AP693=0,NOT(ISNUMBER(AD693)),NOT(ISNUMBER(AF693)),NOT(ISNUMBER(AJ693)),NOT(ISNUMBER(AP693))),"",
IFERROR(IF((AD693-AF693)/(AJ693/60)/(AP693/1000)&lt;=0,"",(AD693-AF693)/(AJ693/60)/(AP693/1000)),""))</f>
        <v/>
      </c>
    </row>
    <row r="694" ht="15.75" customHeight="1">
      <c r="B694" t="n">
        <v>450</v>
      </c>
      <c r="D694" s="11" t="n">
        <v>45954</v>
      </c>
      <c r="E694" s="231" t="n">
        <v>450</v>
      </c>
      <c r="F694" s="3" t="n">
        <v>689</v>
      </c>
      <c r="G694" s="205">
        <f>IF(OR(S694="",S694=0),"",S694*2)</f>
        <v/>
      </c>
      <c r="K694" s="15">
        <f>AD694</f>
        <v/>
      </c>
      <c r="M694" s="10">
        <f>IF(OR(E694="",G694="",E694=0,G694=0),"",E694/G694)</f>
        <v/>
      </c>
      <c r="N694" s="9">
        <f>IF(OR(E694="",I694="",E694=0,I694=0),"",E694/(I694*2))</f>
        <v/>
      </c>
      <c r="O694" s="8">
        <f>IF(OR(I694="",G694="",I694=0,G694=0),"",I694*2/G694)</f>
        <v/>
      </c>
      <c r="AD694" s="5" t="n">
        <v>80</v>
      </c>
      <c r="AI694" s="231" t="n">
        <v>7.99</v>
      </c>
      <c r="AJ694" s="20" t="n">
        <v>0.5206018518518518</v>
      </c>
      <c r="AL694" s="231" t="n">
        <v>191</v>
      </c>
      <c r="AM694" s="3">
        <f>180+60</f>
        <v/>
      </c>
      <c r="AP694" s="3" t="n">
        <v>40</v>
      </c>
      <c r="AQ694" s="2" t="n">
        <v>3560</v>
      </c>
      <c r="AR694" s="13">
        <f>AVERAGE(AO692:AO698)</f>
        <v/>
      </c>
      <c r="AT694" s="156">
        <f>(E694-W694)/E694</f>
        <v/>
      </c>
      <c r="AU694" s="155">
        <f>(I694-AF694)/I694</f>
        <v/>
      </c>
      <c r="AV694" s="155">
        <f>AG694/(AD694-AF694)</f>
        <v/>
      </c>
      <c r="AW694" s="155">
        <f>(G694-AM694)/G694</f>
        <v/>
      </c>
      <c r="AX694" s="254">
        <f>IF(AND(ISNUMBER(E694),ISNUMBER(W694)),E694-W694,"")</f>
        <v/>
      </c>
      <c r="AY694" s="254">
        <f>IF(AND(ISNUMBER(I694),ISNUMBER(AF694)),I694-AF694,"")</f>
        <v/>
      </c>
      <c r="AZ694" s="254">
        <f>IF(AND(ISNUMBER(AM694),ISNUMBER(G694)),G694-AM694,"")</f>
        <v/>
      </c>
      <c r="BA694" s="254">
        <f>IF(AND(ISNUMBER(AC694),ISNUMBER(AE694)),AC694-AE694,"")</f>
        <v/>
      </c>
      <c r="BB694" s="254">
        <f>IF(AND(ISNUMBER(AL694),ISNUMBER(AM694)),AL694-AM694,"")</f>
        <v/>
      </c>
      <c r="BH694" s="6">
        <f>IF(OR(AJ694=0,AP694=0,NOT(ISNUMBER(AD694)),NOT(ISNUMBER(AF694)),NOT(ISNUMBER(AJ694)),NOT(ISNUMBER(AP694))),"",
IFERROR(IF((AD694-AF694)/(AJ694/60)/(AP694/1000)&lt;=0,"",(AD694-AF694)/(AJ694/60)/(AP694/1000)),""))</f>
        <v/>
      </c>
    </row>
    <row r="695" ht="15.75" customHeight="1">
      <c r="B695" t="n">
        <v>451</v>
      </c>
      <c r="C695" s="12" t="inlineStr">
        <is>
          <t>VII</t>
        </is>
      </c>
      <c r="D695" s="11" t="n">
        <v>45955</v>
      </c>
      <c r="E695" s="231" t="n">
        <v>451</v>
      </c>
      <c r="F695" s="3" t="n">
        <v>690</v>
      </c>
      <c r="G695" s="205">
        <f>IF(OR(S695="",S695=0),"",S695*2)</f>
        <v/>
      </c>
      <c r="K695" s="15">
        <f>AD695</f>
        <v/>
      </c>
      <c r="M695" s="10">
        <f>IF(OR(E695="",G695="",E695=0,G695=0),"",E695/G695)</f>
        <v/>
      </c>
      <c r="N695" s="9">
        <f>IF(OR(E695="",I695="",E695=0,I695=0),"",E695/(I695*2))</f>
        <v/>
      </c>
      <c r="O695" s="8">
        <f>IF(OR(I695="",G695="",I695=0,G695=0),"",I695*2/G695)</f>
        <v/>
      </c>
      <c r="AD695" s="5" t="n">
        <v>80</v>
      </c>
      <c r="AI695" s="231" t="n">
        <v>8.220000000000001</v>
      </c>
      <c r="AJ695" s="20" t="n">
        <v>0.5208333333333334</v>
      </c>
      <c r="AL695" s="231" t="n">
        <v>177</v>
      </c>
      <c r="AM695" s="3">
        <f>180+60</f>
        <v/>
      </c>
      <c r="AP695" s="3" t="n">
        <v>40</v>
      </c>
      <c r="AR695" s="13">
        <f>AVERAGE(AO693:AO699)</f>
        <v/>
      </c>
      <c r="AT695" s="156">
        <f>(E695-W695)/E695</f>
        <v/>
      </c>
      <c r="AU695" s="155">
        <f>(I695-AF695)/I695</f>
        <v/>
      </c>
      <c r="AV695" s="155">
        <f>AG695/(AD695-AF695)</f>
        <v/>
      </c>
      <c r="AW695" s="155">
        <f>(G695-AM695)/G695</f>
        <v/>
      </c>
      <c r="AX695" s="254">
        <f>IF(AND(ISNUMBER(E695),ISNUMBER(W695)),E695-W695,"")</f>
        <v/>
      </c>
      <c r="AY695" s="254">
        <f>IF(AND(ISNUMBER(I695),ISNUMBER(AF695)),I695-AF695,"")</f>
        <v/>
      </c>
      <c r="AZ695" s="254">
        <f>IF(AND(ISNUMBER(AM695),ISNUMBER(G695)),G695-AM695,"")</f>
        <v/>
      </c>
      <c r="BA695" s="254">
        <f>IF(AND(ISNUMBER(AC695),ISNUMBER(AE695)),AC695-AE695,"")</f>
        <v/>
      </c>
      <c r="BB695" s="254">
        <f>IF(AND(ISNUMBER(AL695),ISNUMBER(AM695)),AL695-AM695,"")</f>
        <v/>
      </c>
      <c r="BH695" s="6">
        <f>IF(OR(AJ695=0,AP695=0,NOT(ISNUMBER(AD695)),NOT(ISNUMBER(AF695)),NOT(ISNUMBER(AJ695)),NOT(ISNUMBER(AP695))),"",
IFERROR(IF((AD695-AF695)/(AJ695/60)/(AP695/1000)&lt;=0,"",(AD695-AF695)/(AJ695/60)/(AP695/1000)),""))</f>
        <v/>
      </c>
    </row>
    <row r="696" ht="15.75" customHeight="1">
      <c r="B696" t="n">
        <v>452</v>
      </c>
      <c r="D696" s="11" t="n">
        <v>45956</v>
      </c>
      <c r="E696" s="231" t="n">
        <v>452</v>
      </c>
      <c r="F696" s="3" t="n">
        <v>691</v>
      </c>
      <c r="G696" s="205">
        <f>IF(OR(S696="",S696=0),"",S696*2)</f>
        <v/>
      </c>
      <c r="K696" s="15">
        <f>AD696</f>
        <v/>
      </c>
      <c r="M696" s="10">
        <f>IF(OR(E696="",G696="",E696=0,G696=0),"",E696/G696)</f>
        <v/>
      </c>
      <c r="N696" s="9">
        <f>IF(OR(E696="",I696="",E696=0,I696=0),"",E696/(I696*2))</f>
        <v/>
      </c>
      <c r="O696" s="8">
        <f>IF(OR(I696="",G696="",I696=0,G696=0),"",I696*2/G696)</f>
        <v/>
      </c>
      <c r="AD696" s="5" t="n">
        <v>80</v>
      </c>
      <c r="AI696" s="231" t="n">
        <v>8.33</v>
      </c>
      <c r="AJ696" s="20" t="n">
        <v>0.49375</v>
      </c>
      <c r="AL696" s="231" t="n">
        <v>195</v>
      </c>
      <c r="AM696" s="3">
        <f>180+60</f>
        <v/>
      </c>
      <c r="AP696" s="3" t="n">
        <v>40</v>
      </c>
      <c r="AR696" s="13">
        <f>AVERAGE(AO694:AO700)</f>
        <v/>
      </c>
      <c r="AT696" s="156">
        <f>(E696-W696)/E696</f>
        <v/>
      </c>
      <c r="AU696" s="155">
        <f>(I696-AF696)/I696</f>
        <v/>
      </c>
      <c r="AV696" s="155">
        <f>AG696/(AD696-AF696)</f>
        <v/>
      </c>
      <c r="AW696" s="155">
        <f>(G696-AM696)/G696</f>
        <v/>
      </c>
      <c r="AX696" s="254">
        <f>IF(AND(ISNUMBER(E696),ISNUMBER(W696)),E696-W696,"")</f>
        <v/>
      </c>
      <c r="AY696" s="254">
        <f>IF(AND(ISNUMBER(I696),ISNUMBER(AF696)),I696-AF696,"")</f>
        <v/>
      </c>
      <c r="AZ696" s="254">
        <f>IF(AND(ISNUMBER(AM696),ISNUMBER(G696)),G696-AM696,"")</f>
        <v/>
      </c>
      <c r="BA696" s="254">
        <f>IF(AND(ISNUMBER(AC696),ISNUMBER(AE696)),AC696-AE696,"")</f>
        <v/>
      </c>
      <c r="BB696" s="254">
        <f>IF(AND(ISNUMBER(AL696),ISNUMBER(AM696)),AL696-AM696,"")</f>
        <v/>
      </c>
      <c r="BH696" s="6">
        <f>IF(OR(AJ696=0,AP696=0,NOT(ISNUMBER(AD696)),NOT(ISNUMBER(AF696)),NOT(ISNUMBER(AJ696)),NOT(ISNUMBER(AP696))),"",
IFERROR(IF((AD696-AF696)/(AJ696/60)/(AP696/1000)&lt;=0,"",(AD696-AF696)/(AJ696/60)/(AP696/1000)),""))</f>
        <v/>
      </c>
    </row>
    <row r="697" ht="15.75" customHeight="1">
      <c r="B697" t="n">
        <v>453</v>
      </c>
      <c r="D697" s="11" t="n">
        <v>45957</v>
      </c>
      <c r="E697" s="231" t="n">
        <v>453</v>
      </c>
      <c r="F697" s="3" t="n">
        <v>692</v>
      </c>
      <c r="G697" s="205">
        <f>IF(OR(S697="",S697=0),"",S697*2)</f>
        <v/>
      </c>
      <c r="K697" s="15">
        <f>AD697</f>
        <v/>
      </c>
      <c r="M697" s="10">
        <f>IF(OR(E697="",G697="",E697=0,G697=0),"",E697/G697)</f>
        <v/>
      </c>
      <c r="N697" s="9">
        <f>IF(OR(E697="",I697="",E697=0,I697=0),"",E697/(I697*2))</f>
        <v/>
      </c>
      <c r="O697" s="8">
        <f>IF(OR(I697="",G697="",I697=0,G697=0),"",I697*2/G697)</f>
        <v/>
      </c>
      <c r="AD697" s="5" t="n">
        <v>80</v>
      </c>
      <c r="AI697" s="231" t="n">
        <v>8.82</v>
      </c>
      <c r="AJ697" s="20" t="n">
        <v>0.472337962962963</v>
      </c>
      <c r="AL697" s="231" t="n">
        <v>231</v>
      </c>
      <c r="AM697" s="3">
        <f>180+60</f>
        <v/>
      </c>
      <c r="AP697" s="3" t="n">
        <v>40</v>
      </c>
      <c r="AR697" s="13">
        <f>AVERAGE(AO695:AO701)</f>
        <v/>
      </c>
      <c r="AT697" s="156">
        <f>(E697-W697)/E697</f>
        <v/>
      </c>
      <c r="AU697" s="155">
        <f>(I697-AF697)/I697</f>
        <v/>
      </c>
      <c r="AV697" s="155">
        <f>AG697/(AD697-AF697)</f>
        <v/>
      </c>
      <c r="AW697" s="155">
        <f>(G697-AM697)/G697</f>
        <v/>
      </c>
      <c r="AX697" s="254">
        <f>IF(AND(ISNUMBER(E697),ISNUMBER(W697)),E697-W697,"")</f>
        <v/>
      </c>
      <c r="AY697" s="254">
        <f>IF(AND(ISNUMBER(I697),ISNUMBER(AF697)),I697-AF697,"")</f>
        <v/>
      </c>
      <c r="AZ697" s="254">
        <f>IF(AND(ISNUMBER(AM697),ISNUMBER(G697)),G697-AM697,"")</f>
        <v/>
      </c>
      <c r="BA697" s="254">
        <f>IF(AND(ISNUMBER(AC697),ISNUMBER(AE697)),AC697-AE697,"")</f>
        <v/>
      </c>
      <c r="BB697" s="254">
        <f>IF(AND(ISNUMBER(AL697),ISNUMBER(AM697)),AL697-AM697,"")</f>
        <v/>
      </c>
      <c r="BH697" s="6" t="n"/>
    </row>
    <row r="698" ht="15.75" customHeight="1">
      <c r="B698" t="n">
        <v>454</v>
      </c>
      <c r="D698" s="11" t="n">
        <v>45958</v>
      </c>
      <c r="E698" s="231" t="n">
        <v>454</v>
      </c>
      <c r="F698" s="3" t="n">
        <v>693</v>
      </c>
      <c r="G698" s="205">
        <f>IF(OR(S698="",S698=0),"",S698*2)</f>
        <v/>
      </c>
      <c r="K698" s="15">
        <f>AD698</f>
        <v/>
      </c>
      <c r="M698" s="10">
        <f>IF(OR(E698="",G698="",E698=0,G698=0),"",E698/G698)</f>
        <v/>
      </c>
      <c r="N698" s="9">
        <f>IF(OR(E698="",I698="",E698=0,I698=0),"",E698/(I698*2))</f>
        <v/>
      </c>
      <c r="O698" s="8">
        <f>IF(OR(I698="",G698="",I698=0,G698=0),"",I698*2/G698)</f>
        <v/>
      </c>
      <c r="AD698" s="5" t="n">
        <v>80</v>
      </c>
      <c r="AI698" s="231" t="n">
        <v>9.09</v>
      </c>
      <c r="AJ698" s="20" t="n">
        <v>0.4925925925925926</v>
      </c>
      <c r="AL698" s="231" t="n">
        <v>197</v>
      </c>
      <c r="AM698" s="3">
        <f>180+60</f>
        <v/>
      </c>
      <c r="AP698" s="3" t="n">
        <v>40</v>
      </c>
      <c r="AR698" s="13">
        <f>AVERAGE(AO696:AO702)</f>
        <v/>
      </c>
      <c r="AT698" s="156">
        <f>(E698-W698)/E698</f>
        <v/>
      </c>
      <c r="AU698" s="155">
        <f>(I698-AF698)/I698</f>
        <v/>
      </c>
      <c r="AV698" s="155">
        <f>AG698/(AD698-AF698)</f>
        <v/>
      </c>
      <c r="AW698" s="155">
        <f>(G698-AM698)/G698</f>
        <v/>
      </c>
      <c r="AX698" s="254">
        <f>IF(AND(ISNUMBER(E698),ISNUMBER(W698)),E698-W698,"")</f>
        <v/>
      </c>
      <c r="AY698" s="254">
        <f>IF(AND(ISNUMBER(I698),ISNUMBER(AF698)),I698-AF698,"")</f>
        <v/>
      </c>
      <c r="AZ698" s="254">
        <f>IF(AND(ISNUMBER(AM698),ISNUMBER(G698)),G698-AM698,"")</f>
        <v/>
      </c>
      <c r="BA698" s="254">
        <f>IF(AND(ISNUMBER(AC698),ISNUMBER(AE698)),AC698-AE698,"")</f>
        <v/>
      </c>
      <c r="BB698" s="254">
        <f>IF(AND(ISNUMBER(AL698),ISNUMBER(AM698)),AL698-AM698,"")</f>
        <v/>
      </c>
      <c r="BH698" s="6" t="n"/>
    </row>
    <row r="699" ht="15.75" customHeight="1">
      <c r="B699" t="n">
        <v>455</v>
      </c>
      <c r="D699" s="11" t="n">
        <v>45959</v>
      </c>
      <c r="E699" s="231" t="n">
        <v>455</v>
      </c>
      <c r="F699" s="3" t="n">
        <v>694</v>
      </c>
      <c r="G699" s="205">
        <f>IF(OR(S699="",S699=0),"",S699*2)</f>
        <v/>
      </c>
      <c r="K699" s="15">
        <f>AD699</f>
        <v/>
      </c>
      <c r="M699" s="10">
        <f>IF(OR(E699="",G699="",E699=0,G699=0),"",E699/G699)</f>
        <v/>
      </c>
      <c r="N699" s="9">
        <f>IF(OR(E699="",I699="",E699=0,I699=0),"",E699/(I699*2))</f>
        <v/>
      </c>
      <c r="O699" s="8">
        <f>IF(OR(I699="",G699="",I699=0,G699=0),"",I699*2/G699)</f>
        <v/>
      </c>
      <c r="AD699" s="5" t="n">
        <v>80</v>
      </c>
      <c r="AI699" s="231" t="n">
        <v>9.73</v>
      </c>
      <c r="AJ699" s="20" t="n">
        <v>0.4761574074074074</v>
      </c>
      <c r="AL699" s="231" t="n">
        <v>167</v>
      </c>
      <c r="AM699" s="3">
        <f>180+60</f>
        <v/>
      </c>
      <c r="AP699" s="3" t="n">
        <v>40</v>
      </c>
      <c r="AR699" s="13">
        <f>AVERAGE(AO697:AO703)</f>
        <v/>
      </c>
      <c r="AT699" s="156">
        <f>(E699-W699)/E699</f>
        <v/>
      </c>
      <c r="AU699" s="155">
        <f>(I699-AF699)/I699</f>
        <v/>
      </c>
      <c r="AV699" s="155">
        <f>AG699/(AD699-AF699)</f>
        <v/>
      </c>
      <c r="AW699" s="155">
        <f>(G699-AM699)/G699</f>
        <v/>
      </c>
      <c r="AX699" s="254">
        <f>IF(AND(ISNUMBER(E699),ISNUMBER(W699)),E699-W699,"")</f>
        <v/>
      </c>
      <c r="AY699" s="254">
        <f>IF(AND(ISNUMBER(I699),ISNUMBER(AF699)),I699-AF699,"")</f>
        <v/>
      </c>
      <c r="AZ699" s="254">
        <f>IF(AND(ISNUMBER(AM699),ISNUMBER(G699)),G699-AM699,"")</f>
        <v/>
      </c>
      <c r="BA699" s="254">
        <f>IF(AND(ISNUMBER(AC699),ISNUMBER(AE699)),AC699-AE699,"")</f>
        <v/>
      </c>
      <c r="BB699" s="254">
        <f>IF(AND(ISNUMBER(AL699),ISNUMBER(AM699)),AL699-AM699,"")</f>
        <v/>
      </c>
      <c r="BH699" s="6" t="n"/>
    </row>
    <row r="700" ht="15.75" customHeight="1">
      <c r="B700" t="n">
        <v>456</v>
      </c>
      <c r="D700" s="11" t="n">
        <v>45960</v>
      </c>
      <c r="E700" s="231" t="n">
        <v>456</v>
      </c>
      <c r="F700" s="3" t="n">
        <v>695</v>
      </c>
      <c r="G700" s="205">
        <f>IF(OR(S700="",S700=0),"",S700*2)</f>
        <v/>
      </c>
      <c r="K700" s="15">
        <f>AD700</f>
        <v/>
      </c>
      <c r="M700" s="10">
        <f>IF(OR(E700="",G700="",E700=0,G700=0),"",E700/G700)</f>
        <v/>
      </c>
      <c r="N700" s="9">
        <f>IF(OR(E700="",I700="",E700=0,I700=0),"",E700/(I700*2))</f>
        <v/>
      </c>
      <c r="O700" s="8">
        <f>IF(OR(I700="",G700="",I700=0,G700=0),"",I700*2/G700)</f>
        <v/>
      </c>
      <c r="AD700" s="5" t="n">
        <v>80</v>
      </c>
      <c r="AI700" s="231" t="n">
        <v>16.84</v>
      </c>
      <c r="AJ700" s="20" t="n">
        <v>0.5195601851851852</v>
      </c>
      <c r="AL700" s="231" t="n">
        <v>177</v>
      </c>
      <c r="AM700" s="3">
        <f>180+60</f>
        <v/>
      </c>
      <c r="AP700" s="3" t="n">
        <v>40</v>
      </c>
      <c r="AR700" s="13">
        <f>AVERAGE(AO698:AO704)</f>
        <v/>
      </c>
      <c r="AT700" s="156">
        <f>(E700-W700)/E700</f>
        <v/>
      </c>
      <c r="AU700" s="155">
        <f>(I700-AF700)/I700</f>
        <v/>
      </c>
      <c r="AV700" s="155">
        <f>AG700/(AD700-AF700)</f>
        <v/>
      </c>
      <c r="AW700" s="155">
        <f>(G700-AM700)/G700</f>
        <v/>
      </c>
      <c r="AX700" s="254">
        <f>IF(AND(ISNUMBER(E700),ISNUMBER(W700)),E700-W700,"")</f>
        <v/>
      </c>
      <c r="AY700" s="254">
        <f>IF(AND(ISNUMBER(I700),ISNUMBER(AF700)),I700-AF700,"")</f>
        <v/>
      </c>
      <c r="AZ700" s="254">
        <f>IF(AND(ISNUMBER(AM700),ISNUMBER(G700)),G700-AM700,"")</f>
        <v/>
      </c>
      <c r="BA700" s="254">
        <f>IF(AND(ISNUMBER(AC700),ISNUMBER(AE700)),AC700-AE700,"")</f>
        <v/>
      </c>
      <c r="BB700" s="254">
        <f>IF(AND(ISNUMBER(AL700),ISNUMBER(AM700)),AL700-AM700,"")</f>
        <v/>
      </c>
      <c r="BH700" s="6" t="n"/>
    </row>
    <row r="701" ht="15.75" customHeight="1">
      <c r="B701" t="n">
        <v>457</v>
      </c>
      <c r="C701" s="12" t="inlineStr">
        <is>
          <t>nitrite to 25</t>
        </is>
      </c>
      <c r="D701" s="11" t="n">
        <v>45961</v>
      </c>
      <c r="E701" s="231" t="n">
        <v>457</v>
      </c>
      <c r="F701" s="3" t="n">
        <v>696</v>
      </c>
      <c r="G701" s="205">
        <f>IF(OR(S701="",S701=0),"",S701*2)</f>
        <v/>
      </c>
      <c r="K701" s="15">
        <f>AD701</f>
        <v/>
      </c>
      <c r="M701" s="10">
        <f>IF(OR(E701="",G701="",E701=0,G701=0),"",E701/G701)</f>
        <v/>
      </c>
      <c r="N701" s="9">
        <f>IF(OR(E701="",I701="",E701=0,I701=0),"",E701/(I701*2))</f>
        <v/>
      </c>
      <c r="O701" s="8">
        <f>IF(OR(I701="",G701="",I701=0,G701=0),"",I701*2/G701)</f>
        <v/>
      </c>
      <c r="AD701" s="5" t="n">
        <v>80</v>
      </c>
      <c r="AI701" s="231" t="n">
        <v>13.16</v>
      </c>
      <c r="AJ701" s="20" t="n">
        <v>0.4293981481481481</v>
      </c>
      <c r="AL701" s="231" t="n">
        <v>229</v>
      </c>
      <c r="AM701" s="3">
        <f>180+60</f>
        <v/>
      </c>
      <c r="AP701" s="3" t="n">
        <v>40</v>
      </c>
      <c r="AR701" s="13">
        <f>AVERAGE(AO699:AO705)</f>
        <v/>
      </c>
      <c r="AT701" s="156">
        <f>(E701-W701)/E701</f>
        <v/>
      </c>
      <c r="AU701" s="155">
        <f>(I701-AF701)/I701</f>
        <v/>
      </c>
      <c r="AV701" s="155">
        <f>AG701/(AD701-AF701)</f>
        <v/>
      </c>
      <c r="AW701" s="155">
        <f>(G701-AM701)/G701</f>
        <v/>
      </c>
      <c r="AX701" s="254">
        <f>IF(AND(ISNUMBER(E701),ISNUMBER(W701)),E701-W701,"")</f>
        <v/>
      </c>
      <c r="AY701" s="254">
        <f>IF(AND(ISNUMBER(I701),ISNUMBER(AF701)),I701-AF701,"")</f>
        <v/>
      </c>
      <c r="AZ701" s="254">
        <f>IF(AND(ISNUMBER(AM701),ISNUMBER(G701)),G701-AM701,"")</f>
        <v/>
      </c>
      <c r="BA701" s="254">
        <f>IF(AND(ISNUMBER(AC701),ISNUMBER(AE701)),AC701-AE701,"")</f>
        <v/>
      </c>
      <c r="BB701" s="254">
        <f>IF(AND(ISNUMBER(AL701),ISNUMBER(AM701)),AL701-AM701,"")</f>
        <v/>
      </c>
      <c r="BH701" s="6" t="n"/>
    </row>
    <row r="702" ht="15.75" customHeight="1">
      <c r="B702" t="n">
        <v>458</v>
      </c>
      <c r="D702" s="11" t="n">
        <v>45962</v>
      </c>
      <c r="E702" s="231" t="n">
        <v>458</v>
      </c>
      <c r="F702" s="3" t="n">
        <v>697</v>
      </c>
      <c r="G702" s="205">
        <f>IF(OR(S702="",S702=0),"",S702*2)</f>
        <v/>
      </c>
      <c r="K702" s="15">
        <f>AD702</f>
        <v/>
      </c>
      <c r="M702" s="10">
        <f>IF(OR(E702="",G702="",E702=0,G702=0),"",E702/G702)</f>
        <v/>
      </c>
      <c r="N702" s="9">
        <f>IF(OR(E702="",I702="",E702=0,I702=0),"",E702/(I702*2))</f>
        <v/>
      </c>
      <c r="O702" s="8">
        <f>IF(OR(I702="",G702="",I702=0,G702=0),"",I702*2/G702)</f>
        <v/>
      </c>
      <c r="AD702" s="5" t="n">
        <v>80</v>
      </c>
      <c r="AI702" s="231" t="n">
        <v>0.47</v>
      </c>
      <c r="AJ702" s="20" t="n">
        <v>0.3655092592592593</v>
      </c>
      <c r="AL702" s="231" t="n">
        <v>3</v>
      </c>
      <c r="AM702" s="3">
        <f>180+60</f>
        <v/>
      </c>
      <c r="AP702" s="3" t="n">
        <v>40</v>
      </c>
      <c r="AR702" s="13">
        <f>AVERAGE(AO700:AO706)</f>
        <v/>
      </c>
      <c r="AT702" s="156">
        <f>(E702-W702)/E702</f>
        <v/>
      </c>
      <c r="AU702" s="155">
        <f>(I702-AF702)/I702</f>
        <v/>
      </c>
      <c r="AV702" s="155">
        <f>AG702/(AD702-AF702)</f>
        <v/>
      </c>
      <c r="AW702" s="155">
        <f>(G702-AM702)/G702</f>
        <v/>
      </c>
      <c r="AX702" s="254">
        <f>IF(AND(ISNUMBER(E702),ISNUMBER(W702)),E702-W702,"")</f>
        <v/>
      </c>
      <c r="AY702" s="254">
        <f>IF(AND(ISNUMBER(I702),ISNUMBER(AF702)),I702-AF702,"")</f>
        <v/>
      </c>
      <c r="AZ702" s="254">
        <f>IF(AND(ISNUMBER(AM702),ISNUMBER(G702)),G702-AM702,"")</f>
        <v/>
      </c>
      <c r="BA702" s="254">
        <f>IF(AND(ISNUMBER(AC702),ISNUMBER(AE702)),AC702-AE702,"")</f>
        <v/>
      </c>
      <c r="BB702" s="254">
        <f>IF(AND(ISNUMBER(AL702),ISNUMBER(AM702)),AL702-AM702,"")</f>
        <v/>
      </c>
      <c r="BH702" s="6" t="n"/>
    </row>
    <row r="703" ht="15.75" customHeight="1">
      <c r="B703" t="n">
        <v>459</v>
      </c>
      <c r="D703" s="11" t="n">
        <v>45963</v>
      </c>
      <c r="E703" s="231" t="n">
        <v>459</v>
      </c>
      <c r="F703" s="3" t="n">
        <v>698</v>
      </c>
      <c r="G703" s="205">
        <f>IF(OR(S703="",S703=0),"",S703*2)</f>
        <v/>
      </c>
      <c r="K703" s="15">
        <f>AD703</f>
        <v/>
      </c>
      <c r="M703" s="10">
        <f>IF(OR(E703="",G703="",E703=0,G703=0),"",E703/G703)</f>
        <v/>
      </c>
      <c r="N703" s="9">
        <f>IF(OR(E703="",I703="",E703=0,I703=0),"",E703/(I703*2))</f>
        <v/>
      </c>
      <c r="O703" s="8">
        <f>IF(OR(I703="",G703="",I703=0,G703=0),"",I703*2/G703)</f>
        <v/>
      </c>
      <c r="AD703" s="5" t="n">
        <v>80</v>
      </c>
      <c r="AI703" s="231" t="n">
        <v>0.73</v>
      </c>
      <c r="AJ703" s="20" t="n">
        <v>0.3626157407407408</v>
      </c>
      <c r="AL703" s="231" t="n">
        <v>119</v>
      </c>
      <c r="AM703" s="3">
        <f>180+60</f>
        <v/>
      </c>
      <c r="AP703" s="3" t="n">
        <v>40</v>
      </c>
      <c r="AR703" s="13">
        <f>AVERAGE(AO701:AO707)</f>
        <v/>
      </c>
      <c r="AT703" s="156">
        <f>(E703-W703)/E703</f>
        <v/>
      </c>
      <c r="AU703" s="155">
        <f>(I703-AF703)/I703</f>
        <v/>
      </c>
      <c r="AV703" s="155">
        <f>AG703/(AD703-AF703)</f>
        <v/>
      </c>
      <c r="AW703" s="155">
        <f>(G703-AM703)/G703</f>
        <v/>
      </c>
      <c r="AX703" s="254">
        <f>IF(AND(ISNUMBER(E703),ISNUMBER(W703)),E703-W703,"")</f>
        <v/>
      </c>
      <c r="AY703" s="254">
        <f>IF(AND(ISNUMBER(I703),ISNUMBER(AF703)),I703-AF703,"")</f>
        <v/>
      </c>
      <c r="AZ703" s="254">
        <f>IF(AND(ISNUMBER(AM703),ISNUMBER(G703)),G703-AM703,"")</f>
        <v/>
      </c>
      <c r="BA703" s="254">
        <f>IF(AND(ISNUMBER(AC703),ISNUMBER(AE703)),AC703-AE703,"")</f>
        <v/>
      </c>
      <c r="BB703" s="254">
        <f>IF(AND(ISNUMBER(AL703),ISNUMBER(AM703)),AL703-AM703,"")</f>
        <v/>
      </c>
      <c r="BH703" s="6">
        <f>IF(OR(AJ703=0,AP703=0,NOT(ISNUMBER(AD703)),NOT(ISNUMBER(AF703)),NOT(ISNUMBER(AJ703)),NOT(ISNUMBER(AP703))),"",
IFERROR(IF((AD703-AF703)/(AJ703/60)/(AP703/1000)&lt;=0,"",(AD703-AF703)/(AJ703/60)/(AP703/1000)),""))</f>
        <v/>
      </c>
    </row>
    <row r="704" ht="16.5" customHeight="1" thickBot="1">
      <c r="B704" t="n">
        <v>460</v>
      </c>
      <c r="D704" s="11" t="n">
        <v>45964</v>
      </c>
      <c r="E704" s="231" t="n">
        <v>460</v>
      </c>
      <c r="F704" s="3" t="n">
        <v>699</v>
      </c>
      <c r="G704" s="205">
        <f>IF(OR(S704="",S704=0),"",S704*2)</f>
        <v/>
      </c>
      <c r="K704" s="15">
        <f>AD704</f>
        <v/>
      </c>
      <c r="M704" s="10">
        <f>IF(OR(E704="",G704="",E704=0,G704=0),"",E704/G704)</f>
        <v/>
      </c>
      <c r="N704" s="9">
        <f>IF(OR(E704="",I704="",E704=0,I704=0),"",E704/(I704*2))</f>
        <v/>
      </c>
      <c r="O704" s="8">
        <f>IF(OR(I704="",G704="",I704=0,G704=0),"",I704*2/G704)</f>
        <v/>
      </c>
      <c r="AD704" s="5" t="n">
        <v>80</v>
      </c>
      <c r="AI704" s="40" t="n">
        <v>0.07000000000000001</v>
      </c>
      <c r="AJ704" s="20" t="n">
        <v>0.3993055555555556</v>
      </c>
      <c r="AL704" s="231" t="n">
        <v>53</v>
      </c>
      <c r="AM704" s="3">
        <f>180+60</f>
        <v/>
      </c>
      <c r="AP704" s="3" t="n">
        <v>40</v>
      </c>
      <c r="AR704" s="13">
        <f>AVERAGE(AO702:AO708)</f>
        <v/>
      </c>
      <c r="AT704" s="156">
        <f>(E704-W704)/E704</f>
        <v/>
      </c>
      <c r="AU704" s="155">
        <f>(I704-AF704)/I704</f>
        <v/>
      </c>
      <c r="AV704" s="155">
        <f>AG704/(AD704-AF704)</f>
        <v/>
      </c>
      <c r="AW704" s="155">
        <f>(G704-AM704)/G704</f>
        <v/>
      </c>
      <c r="AX704" s="254">
        <f>IF(AND(ISNUMBER(E704),ISNUMBER(W704)),E704-W704,"")</f>
        <v/>
      </c>
      <c r="AY704" s="254">
        <f>IF(AND(ISNUMBER(I704),ISNUMBER(AF704)),I704-AF704,"")</f>
        <v/>
      </c>
      <c r="AZ704" s="254">
        <f>IF(AND(ISNUMBER(AM704),ISNUMBER(G704)),G704-AM704,"")</f>
        <v/>
      </c>
      <c r="BA704" s="254">
        <f>IF(AND(ISNUMBER(AC704),ISNUMBER(AE704)),AC704-AE704,"")</f>
        <v/>
      </c>
      <c r="BB704" s="254">
        <f>IF(AND(ISNUMBER(AL704),ISNUMBER(AM704)),AL704-AM704,"")</f>
        <v/>
      </c>
      <c r="BH704" s="6">
        <f>IF(OR(AJ704=0,AP704=0,NOT(ISNUMBER(AD704)),NOT(ISNUMBER(AF704)),NOT(ISNUMBER(AJ704)),NOT(ISNUMBER(AP704))),"",
IFERROR(IF((AD704-AF704)/(AJ704/60)/(AP704/1000)&lt;=0,"",(AD704-AF704)/(AJ704/60)/(AP704/1000)),""))</f>
        <v/>
      </c>
    </row>
    <row r="705" ht="16.5" customHeight="1" thickTop="1">
      <c r="B705" t="n">
        <v>461</v>
      </c>
      <c r="D705" s="11" t="n">
        <v>45965</v>
      </c>
      <c r="E705" s="231" t="n">
        <v>461</v>
      </c>
      <c r="F705" s="3" t="n">
        <v>700</v>
      </c>
      <c r="G705" s="205">
        <f>IF(OR(S705="",S705=0),"",S705*2)</f>
        <v/>
      </c>
      <c r="K705" s="15">
        <f>AD705</f>
        <v/>
      </c>
      <c r="M705" s="10">
        <f>IF(OR(E705="",G705="",E705=0,G705=0),"",E705/G705)</f>
        <v/>
      </c>
      <c r="N705" s="9">
        <f>IF(OR(E705="",I705="",E705=0,I705=0),"",E705/(I705*2))</f>
        <v/>
      </c>
      <c r="O705" s="8">
        <f>IF(OR(I705="",G705="",I705=0,G705=0),"",I705*2/G705)</f>
        <v/>
      </c>
      <c r="AD705" s="5" t="n">
        <v>80</v>
      </c>
      <c r="AI705" s="231" t="n">
        <v>0.3</v>
      </c>
      <c r="AJ705" s="20" t="n">
        <v>0.4006944444444445</v>
      </c>
      <c r="AL705" s="231" t="n">
        <v>47</v>
      </c>
      <c r="AM705" s="3">
        <f>180+60</f>
        <v/>
      </c>
      <c r="AP705" s="3" t="n">
        <v>40</v>
      </c>
      <c r="AQ705" s="2" t="n">
        <v>3250</v>
      </c>
      <c r="AR705" s="13">
        <f>AVERAGE(AO703:AO709)</f>
        <v/>
      </c>
      <c r="AT705" s="156">
        <f>(E705-W705)/E705</f>
        <v/>
      </c>
      <c r="AU705" s="155">
        <f>(I705-AF705)/I705</f>
        <v/>
      </c>
      <c r="AV705" s="155">
        <f>AG705/(AD705-AF705)</f>
        <v/>
      </c>
      <c r="AW705" s="155">
        <f>(G705-AM705)/G705</f>
        <v/>
      </c>
      <c r="AX705" s="254">
        <f>IF(AND(ISNUMBER(E705),ISNUMBER(W705)),E705-W705,"")</f>
        <v/>
      </c>
      <c r="AY705" s="254">
        <f>IF(AND(ISNUMBER(I705),ISNUMBER(AF705)),I705-AF705,"")</f>
        <v/>
      </c>
      <c r="AZ705" s="254">
        <f>IF(AND(ISNUMBER(AM705),ISNUMBER(G705)),G705-AM705,"")</f>
        <v/>
      </c>
      <c r="BA705" s="254">
        <f>IF(AND(ISNUMBER(AC705),ISNUMBER(AE705)),AC705-AE705,"")</f>
        <v/>
      </c>
      <c r="BB705" s="254">
        <f>IF(AND(ISNUMBER(AL705),ISNUMBER(AM705)),AL705-AM705,"")</f>
        <v/>
      </c>
      <c r="BH705" s="6">
        <f>IF(OR(AJ705=0,AP705=0,NOT(ISNUMBER(AD705)),NOT(ISNUMBER(AF705)),NOT(ISNUMBER(AJ705)),NOT(ISNUMBER(AP705))),"",
IFERROR(IF((AD705-AF705)/(AJ705/60)/(AP705/1000)&lt;=0,"",(AD705-AF705)/(AJ705/60)/(AP705/1000)),""))</f>
        <v/>
      </c>
    </row>
    <row r="706" ht="15.75" customHeight="1">
      <c r="B706" t="n">
        <v>462</v>
      </c>
      <c r="D706" s="11" t="n">
        <v>45966</v>
      </c>
      <c r="E706" s="231" t="n">
        <v>462</v>
      </c>
      <c r="F706" s="3" t="n">
        <v>701</v>
      </c>
      <c r="G706" s="205">
        <f>IF(OR(S706="",S706=0),"",S706*2)</f>
        <v/>
      </c>
      <c r="K706" s="15">
        <f>AD706</f>
        <v/>
      </c>
      <c r="M706" s="10">
        <f>IF(OR(E706="",G706="",E706=0,G706=0),"",E706/G706)</f>
        <v/>
      </c>
      <c r="N706" s="9">
        <f>IF(OR(E706="",I706="",E706=0,I706=0),"",E706/(I706*2))</f>
        <v/>
      </c>
      <c r="O706" s="8">
        <f>IF(OR(I706="",G706="",I706=0,G706=0),"",I706*2/G706)</f>
        <v/>
      </c>
      <c r="AD706" s="5" t="n">
        <v>80</v>
      </c>
      <c r="AI706" s="231" t="n">
        <v>0.3</v>
      </c>
      <c r="AJ706" s="20" t="n">
        <v>0.4048611111111111</v>
      </c>
      <c r="AL706" s="231" t="n">
        <v>45</v>
      </c>
      <c r="AM706" s="3">
        <f>180+60</f>
        <v/>
      </c>
      <c r="AP706" s="3" t="n">
        <v>40</v>
      </c>
      <c r="AR706" s="13">
        <f>AVERAGE(AO704:AO710)</f>
        <v/>
      </c>
      <c r="AT706" s="156">
        <f>(E706-W706)/E706</f>
        <v/>
      </c>
      <c r="AU706" s="155">
        <f>(I706-AF706)/I706</f>
        <v/>
      </c>
      <c r="AV706" s="155">
        <f>AG706/(AD706-AF706)</f>
        <v/>
      </c>
      <c r="AW706" s="155">
        <f>(G706-AM706)/G706</f>
        <v/>
      </c>
      <c r="AX706" s="254">
        <f>IF(AND(ISNUMBER(E706),ISNUMBER(W706)),E706-W706,"")</f>
        <v/>
      </c>
      <c r="AY706" s="254">
        <f>IF(AND(ISNUMBER(I706),ISNUMBER(AF706)),I706-AF706,"")</f>
        <v/>
      </c>
      <c r="AZ706" s="254">
        <f>IF(AND(ISNUMBER(AM706),ISNUMBER(G706)),G706-AM706,"")</f>
        <v/>
      </c>
      <c r="BA706" s="254">
        <f>IF(AND(ISNUMBER(AC706),ISNUMBER(AE706)),AC706-AE706,"")</f>
        <v/>
      </c>
      <c r="BB706" s="254">
        <f>IF(AND(ISNUMBER(AL706),ISNUMBER(AM706)),AL706-AM706,"")</f>
        <v/>
      </c>
      <c r="BH706" s="6">
        <f>IF(OR(AJ706=0,AP706=0,NOT(ISNUMBER(AD706)),NOT(ISNUMBER(AF706)),NOT(ISNUMBER(AJ706)),NOT(ISNUMBER(AP706))),"",
IFERROR(IF((AD706-AF706)/(AJ706/60)/(AP706/1000)&lt;=0,"",(AD706-AF706)/(AJ706/60)/(AP706/1000)),""))</f>
        <v/>
      </c>
    </row>
    <row r="707" ht="15.75" customHeight="1">
      <c r="B707" t="n">
        <v>463</v>
      </c>
      <c r="D707" s="11" t="n">
        <v>45967</v>
      </c>
      <c r="E707" s="231" t="n">
        <v>463</v>
      </c>
      <c r="F707" s="3" t="n">
        <v>702</v>
      </c>
      <c r="G707" s="205">
        <f>IF(OR(S707="",S707=0),"",S707*2)</f>
        <v/>
      </c>
      <c r="K707" s="15">
        <f>AD707</f>
        <v/>
      </c>
      <c r="M707" s="10">
        <f>IF(OR(E707="",G707="",E707=0,G707=0),"",E707/G707)</f>
        <v/>
      </c>
      <c r="N707" s="9">
        <f>IF(OR(E707="",I707="",E707=0,I707=0),"",E707/(I707*2))</f>
        <v/>
      </c>
      <c r="O707" s="8">
        <f>IF(OR(I707="",G707="",I707=0,G707=0),"",I707*2/G707)</f>
        <v/>
      </c>
      <c r="AD707" s="5" t="n">
        <v>80</v>
      </c>
      <c r="AI707" s="231" t="n">
        <v>0.26</v>
      </c>
      <c r="AJ707" s="20" t="n">
        <v>0.400462962962963</v>
      </c>
      <c r="AL707" s="231" t="n">
        <v>39</v>
      </c>
      <c r="AM707" s="3">
        <f>180+60</f>
        <v/>
      </c>
      <c r="AP707" s="3" t="n">
        <v>40</v>
      </c>
      <c r="AR707" s="13">
        <f>AVERAGE(AO705:AO711)</f>
        <v/>
      </c>
      <c r="AT707" s="156">
        <f>(E707-W707)/E707</f>
        <v/>
      </c>
      <c r="AU707" s="155">
        <f>(I707-AF707)/I707</f>
        <v/>
      </c>
      <c r="AV707" s="155">
        <f>AG707/(AD707-AF707)</f>
        <v/>
      </c>
      <c r="AW707" s="155">
        <f>(G707-AM707)/G707</f>
        <v/>
      </c>
      <c r="AX707" s="254">
        <f>IF(AND(ISNUMBER(E707),ISNUMBER(W707)),E707-W707,"")</f>
        <v/>
      </c>
      <c r="AY707" s="254">
        <f>IF(AND(ISNUMBER(I707),ISNUMBER(AF707)),I707-AF707,"")</f>
        <v/>
      </c>
      <c r="AZ707" s="254">
        <f>IF(AND(ISNUMBER(AM707),ISNUMBER(G707)),G707-AM707,"")</f>
        <v/>
      </c>
      <c r="BA707" s="254">
        <f>IF(AND(ISNUMBER(AC707),ISNUMBER(AE707)),AC707-AE707,"")</f>
        <v/>
      </c>
      <c r="BB707" s="254">
        <f>IF(AND(ISNUMBER(AL707),ISNUMBER(AM707)),AL707-AM707,"")</f>
        <v/>
      </c>
      <c r="BH707" s="6">
        <f>IF(OR(AJ707=0,AP707=0,NOT(ISNUMBER(AD707)),NOT(ISNUMBER(AF707)),NOT(ISNUMBER(AJ707)),NOT(ISNUMBER(AP707))),"",
IFERROR(IF((AD707-AF707)/(AJ707/60)/(AP707/1000)&lt;=0,"",(AD707-AF707)/(AJ707/60)/(AP707/1000)),""))</f>
        <v/>
      </c>
    </row>
    <row r="708" ht="15.75" customHeight="1">
      <c r="A708" s="260" t="inlineStr">
        <is>
          <t>B90</t>
        </is>
      </c>
      <c r="B708" s="260" t="n">
        <v>464</v>
      </c>
      <c r="C708" s="12" t="inlineStr">
        <is>
          <t xml:space="preserve">nitrite 20 </t>
        </is>
      </c>
      <c r="D708" s="11" t="n">
        <v>45968</v>
      </c>
      <c r="E708" s="231" t="n">
        <v>464</v>
      </c>
      <c r="F708" s="3" t="n">
        <v>703</v>
      </c>
      <c r="G708" s="205">
        <f>IF(OR(S708="",S708=0),"",S708*2)</f>
        <v/>
      </c>
      <c r="K708" s="15">
        <f>AD708</f>
        <v/>
      </c>
      <c r="M708" s="10">
        <f>IF(OR(E708="",G708="",E708=0,G708=0),"",E708/G708)</f>
        <v/>
      </c>
      <c r="N708" s="9">
        <f>IF(OR(E708="",I708="",E708=0,I708=0),"",E708/(I708*2))</f>
        <v/>
      </c>
      <c r="O708" s="8">
        <f>IF(OR(I708="",G708="",I708=0,G708=0),"",I708*2/G708)</f>
        <v/>
      </c>
      <c r="AD708" s="5" t="n">
        <v>80</v>
      </c>
      <c r="AI708" s="231" t="n">
        <v>0.2</v>
      </c>
      <c r="AJ708" s="20" t="n">
        <v>0.402662037037037</v>
      </c>
      <c r="AL708" s="231" t="n">
        <v>39</v>
      </c>
      <c r="AM708" s="3">
        <f>180+60</f>
        <v/>
      </c>
      <c r="AP708" s="3" t="n">
        <v>40</v>
      </c>
      <c r="AR708" s="13">
        <f>AVERAGE(AO706:AO712)</f>
        <v/>
      </c>
      <c r="AT708" s="156">
        <f>(E708-W708)/E708</f>
        <v/>
      </c>
      <c r="AU708" s="155">
        <f>(I708-AF708)/I708</f>
        <v/>
      </c>
      <c r="AV708" s="155">
        <f>AG708/(AD708-AF708)</f>
        <v/>
      </c>
      <c r="AW708" s="155">
        <f>(G708-AM708)/G708</f>
        <v/>
      </c>
      <c r="AX708" s="254">
        <f>IF(AND(ISNUMBER(E708),ISNUMBER(W708)),E708-W708,"")</f>
        <v/>
      </c>
      <c r="AY708" s="254">
        <f>IF(AND(ISNUMBER(I708),ISNUMBER(AF708)),I708-AF708,"")</f>
        <v/>
      </c>
      <c r="AZ708" s="254">
        <f>IF(AND(ISNUMBER(AM708),ISNUMBER(G708)),G708-AM708,"")</f>
        <v/>
      </c>
      <c r="BA708" s="254">
        <f>IF(AND(ISNUMBER(AC708),ISNUMBER(AE708)),AC708-AE708,"")</f>
        <v/>
      </c>
      <c r="BB708" s="254">
        <f>IF(AND(ISNUMBER(AL708),ISNUMBER(AM708)),AL708-AM708,"")</f>
        <v/>
      </c>
      <c r="BH708" s="6" t="n"/>
    </row>
    <row r="709" ht="15.75" customHeight="1">
      <c r="B709" t="n">
        <v>465</v>
      </c>
      <c r="D709" s="11" t="n">
        <v>45969</v>
      </c>
      <c r="E709" s="231" t="n">
        <v>465</v>
      </c>
      <c r="F709" s="3" t="n">
        <v>704</v>
      </c>
      <c r="G709" s="205">
        <f>IF(OR(S709="",S709=0),"",S709*2)</f>
        <v/>
      </c>
      <c r="K709" s="15">
        <f>AD709</f>
        <v/>
      </c>
      <c r="M709" s="10">
        <f>IF(OR(E709="",G709="",E709=0,G709=0),"",E709/G709)</f>
        <v/>
      </c>
      <c r="N709" s="9">
        <f>IF(OR(E709="",I709="",E709=0,I709=0),"",E709/(I709*2))</f>
        <v/>
      </c>
      <c r="O709" s="8">
        <f>IF(OR(I709="",G709="",I709=0,G709=0),"",I709*2/G709)</f>
        <v/>
      </c>
      <c r="AD709" s="5" t="n">
        <v>80</v>
      </c>
      <c r="AI709" s="231" t="n">
        <v>0.1</v>
      </c>
      <c r="AJ709" s="20" t="n">
        <v>0.3993055555555556</v>
      </c>
      <c r="AL709" s="231" t="n">
        <v>25</v>
      </c>
      <c r="AM709" s="3">
        <f>180+60</f>
        <v/>
      </c>
      <c r="AP709" s="3" t="n">
        <v>40</v>
      </c>
      <c r="AR709" s="13">
        <f>AVERAGE(AO707:AO713)</f>
        <v/>
      </c>
      <c r="AT709" s="156">
        <f>(E709-W709)/E709</f>
        <v/>
      </c>
      <c r="AU709" s="155">
        <f>(I709-AF709)/I709</f>
        <v/>
      </c>
      <c r="AV709" s="155">
        <f>AG709/(AD709-AF709)</f>
        <v/>
      </c>
      <c r="AW709" s="155">
        <f>(G709-AM709)/G709</f>
        <v/>
      </c>
      <c r="AX709" s="254">
        <f>IF(AND(ISNUMBER(E709),ISNUMBER(W709)),E709-W709,"")</f>
        <v/>
      </c>
      <c r="AY709" s="254">
        <f>IF(AND(ISNUMBER(I709),ISNUMBER(AF709)),I709-AF709,"")</f>
        <v/>
      </c>
      <c r="AZ709" s="254">
        <f>IF(AND(ISNUMBER(AM709),ISNUMBER(G709)),G709-AM709,"")</f>
        <v/>
      </c>
      <c r="BA709" s="254">
        <f>IF(AND(ISNUMBER(AC709),ISNUMBER(AE709)),AC709-AE709,"")</f>
        <v/>
      </c>
      <c r="BB709" s="254">
        <f>IF(AND(ISNUMBER(AL709),ISNUMBER(AM709)),AL709-AM709,"")</f>
        <v/>
      </c>
      <c r="BH709" s="6" t="n"/>
    </row>
    <row r="710" ht="15.75" customHeight="1">
      <c r="B710" t="n">
        <v>466</v>
      </c>
      <c r="D710" s="11" t="n">
        <v>45970</v>
      </c>
      <c r="E710" s="231" t="n">
        <v>466</v>
      </c>
      <c r="F710" s="3" t="n">
        <v>705</v>
      </c>
      <c r="G710" s="205">
        <f>IF(OR(S710="",S710=0),"",S710*2)</f>
        <v/>
      </c>
      <c r="K710" s="15">
        <f>AD710</f>
        <v/>
      </c>
      <c r="M710" s="10">
        <f>IF(OR(E710="",G710="",E710=0,G710=0),"",E710/G710)</f>
        <v/>
      </c>
      <c r="N710" s="9">
        <f>IF(OR(E710="",I710="",E710=0,I710=0),"",E710/(I710*2))</f>
        <v/>
      </c>
      <c r="O710" s="8">
        <f>IF(OR(I710="",G710="",I710=0,G710=0),"",I710*2/G710)</f>
        <v/>
      </c>
      <c r="AD710" s="5" t="n">
        <v>80</v>
      </c>
      <c r="AI710" s="231" t="n">
        <v>0.11</v>
      </c>
      <c r="AJ710" s="20" t="n">
        <v>0.3993055555555556</v>
      </c>
      <c r="AL710" s="231" t="n">
        <v>43</v>
      </c>
      <c r="AM710" s="3">
        <f>180+60</f>
        <v/>
      </c>
      <c r="AP710" s="3" t="n">
        <v>40</v>
      </c>
      <c r="AR710" s="13">
        <f>AVERAGE(AO708:AO714)</f>
        <v/>
      </c>
      <c r="AT710" s="156">
        <f>(E710-W710)/E710</f>
        <v/>
      </c>
      <c r="AU710" s="155">
        <f>(I710-AF710)/I710</f>
        <v/>
      </c>
      <c r="AV710" s="155">
        <f>AG710/(AD710-AF710)</f>
        <v/>
      </c>
      <c r="AW710" s="155">
        <f>(G710-AM710)/G710</f>
        <v/>
      </c>
      <c r="AX710" s="254">
        <f>IF(AND(ISNUMBER(E710),ISNUMBER(W710)),E710-W710,"")</f>
        <v/>
      </c>
      <c r="AY710" s="254">
        <f>IF(AND(ISNUMBER(I710),ISNUMBER(AF710)),I710-AF710,"")</f>
        <v/>
      </c>
      <c r="AZ710" s="254">
        <f>IF(AND(ISNUMBER(AM710),ISNUMBER(G710)),G710-AM710,"")</f>
        <v/>
      </c>
      <c r="BA710" s="254">
        <f>IF(AND(ISNUMBER(AC710),ISNUMBER(AE710)),AC710-AE710,"")</f>
        <v/>
      </c>
      <c r="BB710" s="254">
        <f>IF(AND(ISNUMBER(AL710),ISNUMBER(AM710)),AL710-AM710,"")</f>
        <v/>
      </c>
      <c r="BH710" s="6" t="n"/>
    </row>
    <row r="711" ht="15.75" customHeight="1">
      <c r="B711" t="n">
        <v>467</v>
      </c>
      <c r="D711" s="11" t="n">
        <v>45971</v>
      </c>
      <c r="E711" s="231" t="n">
        <v>467</v>
      </c>
      <c r="F711" s="3" t="n">
        <v>706</v>
      </c>
      <c r="G711" s="205">
        <f>IF(OR(S711="",S711=0),"",S711*2)</f>
        <v/>
      </c>
      <c r="K711" s="15">
        <f>AD711</f>
        <v/>
      </c>
      <c r="M711" s="10">
        <f>IF(OR(E711="",G711="",E711=0,G711=0),"",E711/G711)</f>
        <v/>
      </c>
      <c r="N711" s="9">
        <f>IF(OR(E711="",I711="",E711=0,I711=0),"",E711/(I711*2))</f>
        <v/>
      </c>
      <c r="O711" s="8">
        <f>IF(OR(I711="",G711="",I711=0,G711=0),"",I711*2/G711)</f>
        <v/>
      </c>
      <c r="AD711" s="5" t="n">
        <v>80</v>
      </c>
      <c r="AI711" s="231" t="n">
        <v>0.09</v>
      </c>
      <c r="AJ711" s="20" t="n">
        <v>0.4008101851851852</v>
      </c>
      <c r="AL711" s="231" t="n">
        <v>65</v>
      </c>
      <c r="AM711" s="3">
        <f>180+60</f>
        <v/>
      </c>
      <c r="AP711" s="3" t="n">
        <v>40</v>
      </c>
      <c r="AR711" s="13">
        <f>AVERAGE(AO709:AO715)</f>
        <v/>
      </c>
      <c r="AT711" s="156">
        <f>(E711-W711)/E711</f>
        <v/>
      </c>
      <c r="AU711" s="155">
        <f>(I711-AF711)/I711</f>
        <v/>
      </c>
      <c r="AV711" s="155">
        <f>AG711/(AD711-AF711)</f>
        <v/>
      </c>
      <c r="AW711" s="155">
        <f>(G711-AM711)/G711</f>
        <v/>
      </c>
      <c r="AX711" s="254">
        <f>IF(AND(ISNUMBER(E711),ISNUMBER(W711)),E711-W711,"")</f>
        <v/>
      </c>
      <c r="AY711" s="254">
        <f>IF(AND(ISNUMBER(I711),ISNUMBER(AF711)),I711-AF711,"")</f>
        <v/>
      </c>
      <c r="AZ711" s="254">
        <f>IF(AND(ISNUMBER(AM711),ISNUMBER(G711)),G711-AM711,"")</f>
        <v/>
      </c>
      <c r="BA711" s="254">
        <f>IF(AND(ISNUMBER(AC711),ISNUMBER(AE711)),AC711-AE711,"")</f>
        <v/>
      </c>
      <c r="BB711" s="254">
        <f>IF(AND(ISNUMBER(AL711),ISNUMBER(AM711)),AL711-AM711,"")</f>
        <v/>
      </c>
      <c r="BH711" s="6" t="n"/>
    </row>
    <row r="712" ht="15.75" customHeight="1">
      <c r="B712" t="n">
        <v>468</v>
      </c>
      <c r="D712" s="11" t="n">
        <v>45972</v>
      </c>
      <c r="E712" s="231" t="n">
        <v>468</v>
      </c>
      <c r="F712" s="3" t="n">
        <v>707</v>
      </c>
      <c r="G712" s="205">
        <f>IF(OR(S712="",S712=0),"",S712*2)</f>
        <v/>
      </c>
      <c r="K712" s="15">
        <f>AD712</f>
        <v/>
      </c>
      <c r="M712" s="10">
        <f>IF(OR(E712="",G712="",E712=0,G712=0),"",E712/G712)</f>
        <v/>
      </c>
      <c r="N712" s="9">
        <f>IF(OR(E712="",I712="",E712=0,I712=0),"",E712/(I712*2))</f>
        <v/>
      </c>
      <c r="O712" s="8">
        <f>IF(OR(I712="",G712="",I712=0,G712=0),"",I712*2/G712)</f>
        <v/>
      </c>
      <c r="AD712" s="5" t="n">
        <v>80</v>
      </c>
      <c r="AI712" s="231" t="n">
        <v>0.1</v>
      </c>
      <c r="AJ712" s="20" t="n">
        <v>0.3993055555555556</v>
      </c>
      <c r="AL712" s="231" t="n">
        <v>43</v>
      </c>
      <c r="AM712" s="3">
        <f>180+60</f>
        <v/>
      </c>
      <c r="AP712" s="3" t="n">
        <v>40</v>
      </c>
      <c r="AR712" s="13">
        <f>AVERAGE(AO710:AO716)</f>
        <v/>
      </c>
      <c r="AT712" s="156">
        <f>(E712-W712)/E712</f>
        <v/>
      </c>
      <c r="AU712" s="155">
        <f>(I712-AF712)/I712</f>
        <v/>
      </c>
      <c r="AV712" s="155">
        <f>AG712/(AD712-AF712)</f>
        <v/>
      </c>
      <c r="AW712" s="155">
        <f>(G712-AM712)/G712</f>
        <v/>
      </c>
      <c r="AX712" s="254">
        <f>IF(AND(ISNUMBER(E712),ISNUMBER(W712)),E712-W712,"")</f>
        <v/>
      </c>
      <c r="AY712" s="254">
        <f>IF(AND(ISNUMBER(I712),ISNUMBER(AF712)),I712-AF712,"")</f>
        <v/>
      </c>
      <c r="AZ712" s="254">
        <f>IF(AND(ISNUMBER(AM712),ISNUMBER(G712)),G712-AM712,"")</f>
        <v/>
      </c>
      <c r="BA712" s="254">
        <f>IF(AND(ISNUMBER(AC712),ISNUMBER(AE712)),AC712-AE712,"")</f>
        <v/>
      </c>
      <c r="BB712" s="254">
        <f>IF(AND(ISNUMBER(AL712),ISNUMBER(AM712)),AL712-AM712,"")</f>
        <v/>
      </c>
      <c r="BH712" s="6" t="n"/>
    </row>
    <row r="713" ht="15.75" customHeight="1">
      <c r="B713" t="n">
        <v>469</v>
      </c>
      <c r="D713" s="11" t="n">
        <v>45973</v>
      </c>
      <c r="E713" s="231" t="n">
        <v>469</v>
      </c>
      <c r="F713" s="3" t="n">
        <v>708</v>
      </c>
      <c r="G713" s="205">
        <f>IF(OR(S713="",S713=0),"",S713*2)</f>
        <v/>
      </c>
      <c r="K713" s="15">
        <f>AD713</f>
        <v/>
      </c>
      <c r="M713" s="10">
        <f>IF(OR(E713="",G713="",E713=0,G713=0),"",E713/G713)</f>
        <v/>
      </c>
      <c r="N713" s="9">
        <f>IF(OR(E713="",I713="",E713=0,I713=0),"",E713/(I713*2))</f>
        <v/>
      </c>
      <c r="O713" s="8">
        <f>IF(OR(I713="",G713="",I713=0,G713=0),"",I713*2/G713)</f>
        <v/>
      </c>
      <c r="AD713" s="5" t="n">
        <v>80</v>
      </c>
      <c r="AI713" s="231" t="n">
        <v>0.12</v>
      </c>
      <c r="AJ713" s="20" t="n">
        <v>0.4046296296296296</v>
      </c>
      <c r="AL713" s="231" t="n">
        <v>41</v>
      </c>
      <c r="AM713" s="3">
        <f>180+60</f>
        <v/>
      </c>
      <c r="AP713" s="3" t="n">
        <v>40</v>
      </c>
      <c r="AR713" s="13">
        <f>AVERAGE(AO711:AO717)</f>
        <v/>
      </c>
      <c r="AT713" s="156">
        <f>(E713-W713)/E713</f>
        <v/>
      </c>
      <c r="AU713" s="155">
        <f>(I713-AF713)/I713</f>
        <v/>
      </c>
      <c r="AV713" s="155">
        <f>AG713/(AD713-AF713)</f>
        <v/>
      </c>
      <c r="AW713" s="155">
        <f>(G713-AM713)/G713</f>
        <v/>
      </c>
      <c r="AX713" s="254">
        <f>IF(AND(ISNUMBER(E713),ISNUMBER(W713)),E713-W713,"")</f>
        <v/>
      </c>
      <c r="AY713" s="254">
        <f>IF(AND(ISNUMBER(I713),ISNUMBER(AF713)),I713-AF713,"")</f>
        <v/>
      </c>
      <c r="AZ713" s="254">
        <f>IF(AND(ISNUMBER(AM713),ISNUMBER(G713)),G713-AM713,"")</f>
        <v/>
      </c>
      <c r="BA713" s="254">
        <f>IF(AND(ISNUMBER(AC713),ISNUMBER(AE713)),AC713-AE713,"")</f>
        <v/>
      </c>
      <c r="BB713" s="254">
        <f>IF(AND(ISNUMBER(AL713),ISNUMBER(AM713)),AL713-AM713,"")</f>
        <v/>
      </c>
      <c r="BH713" s="6" t="n"/>
    </row>
    <row r="714" ht="15.75" customHeight="1">
      <c r="B714" t="n">
        <v>470</v>
      </c>
      <c r="D714" s="11" t="n">
        <v>45974</v>
      </c>
      <c r="E714" s="231" t="n">
        <v>470</v>
      </c>
      <c r="F714" s="3" t="n">
        <v>709</v>
      </c>
      <c r="G714" s="205">
        <f>IF(OR(S714="",S714=0),"",S714*2)</f>
        <v/>
      </c>
      <c r="K714" s="15">
        <f>AD714</f>
        <v/>
      </c>
      <c r="M714" s="10">
        <f>IF(OR(E714="",G714="",E714=0,G714=0),"",E714/G714)</f>
        <v/>
      </c>
      <c r="N714" s="9">
        <f>IF(OR(E714="",I714="",E714=0,I714=0),"",E714/(I714*2))</f>
        <v/>
      </c>
      <c r="O714" s="8">
        <f>IF(OR(I714="",G714="",I714=0,G714=0),"",I714*2/G714)</f>
        <v/>
      </c>
      <c r="AD714" s="5" t="n">
        <v>80</v>
      </c>
      <c r="AI714" s="231" t="n">
        <v>0.14</v>
      </c>
      <c r="AJ714" s="20" t="n">
        <v>0.3993055555555556</v>
      </c>
      <c r="AL714" s="231" t="n">
        <v>35</v>
      </c>
      <c r="AM714" s="3">
        <f>180+60</f>
        <v/>
      </c>
      <c r="AP714" s="3" t="n">
        <v>40</v>
      </c>
      <c r="AR714" s="13">
        <f>AVERAGE(AO712:AO718)</f>
        <v/>
      </c>
      <c r="AT714" s="156">
        <f>(E714-W714)/E714</f>
        <v/>
      </c>
      <c r="AU714" s="155">
        <f>(I714-AF714)/I714</f>
        <v/>
      </c>
      <c r="AV714" s="155">
        <f>AG714/(AD714-AF714)</f>
        <v/>
      </c>
      <c r="AW714" s="155">
        <f>(G714-AM714)/G714</f>
        <v/>
      </c>
      <c r="AX714" s="254">
        <f>IF(AND(ISNUMBER(E714),ISNUMBER(W714)),E714-W714,"")</f>
        <v/>
      </c>
      <c r="AY714" s="254">
        <f>IF(AND(ISNUMBER(I714),ISNUMBER(AF714)),I714-AF714,"")</f>
        <v/>
      </c>
      <c r="AZ714" s="254">
        <f>IF(AND(ISNUMBER(AM714),ISNUMBER(G714)),G714-AM714,"")</f>
        <v/>
      </c>
      <c r="BA714" s="254">
        <f>IF(AND(ISNUMBER(AC714),ISNUMBER(AE714)),AC714-AE714,"")</f>
        <v/>
      </c>
      <c r="BB714" s="254">
        <f>IF(AND(ISNUMBER(AL714),ISNUMBER(AM714)),AL714-AM714,"")</f>
        <v/>
      </c>
      <c r="BH714" s="6" t="n"/>
    </row>
    <row r="715" ht="15.75" customHeight="1">
      <c r="B715" t="n">
        <v>471</v>
      </c>
      <c r="D715" s="11" t="n">
        <v>45975</v>
      </c>
      <c r="E715" s="231" t="n">
        <v>471</v>
      </c>
      <c r="F715" s="3" t="n">
        <v>710</v>
      </c>
      <c r="G715" s="205">
        <f>IF(OR(S715="",S715=0),"",S715*2)</f>
        <v/>
      </c>
      <c r="K715" s="15">
        <f>AD715</f>
        <v/>
      </c>
      <c r="M715" s="10">
        <f>IF(OR(E715="",G715="",E715=0,G715=0),"",E715/G715)</f>
        <v/>
      </c>
      <c r="N715" s="9">
        <f>IF(OR(E715="",I715="",E715=0,I715=0),"",E715/(I715*2))</f>
        <v/>
      </c>
      <c r="O715" s="8">
        <f>IF(OR(I715="",G715="",I715=0,G715=0),"",I715*2/G715)</f>
        <v/>
      </c>
      <c r="Q715" s="6" t="n">
        <v>20.649</v>
      </c>
      <c r="R715" s="6" t="n">
        <v>70.714</v>
      </c>
      <c r="S715" s="6">
        <f>O715*1.067</f>
        <v/>
      </c>
      <c r="T715" s="6">
        <f>P715*1.514</f>
        <v/>
      </c>
      <c r="AD715" s="5" t="n">
        <v>80</v>
      </c>
      <c r="AI715" s="231" t="n">
        <v>0.17</v>
      </c>
      <c r="AJ715" s="20" t="n">
        <v>0.4</v>
      </c>
      <c r="AL715" s="231" t="n">
        <v>37</v>
      </c>
      <c r="AM715" s="3">
        <f>180+60</f>
        <v/>
      </c>
      <c r="AP715" s="3" t="n">
        <v>40</v>
      </c>
      <c r="AR715" s="13">
        <f>AVERAGE(AO713:AO719)</f>
        <v/>
      </c>
      <c r="AT715" s="156">
        <f>(E715-W715)/E715</f>
        <v/>
      </c>
      <c r="AU715" s="155">
        <f>(I715-AF715)/I715</f>
        <v/>
      </c>
      <c r="AV715" s="155">
        <f>AG715/(AD715-AF715)</f>
        <v/>
      </c>
      <c r="AW715" s="155">
        <f>(G715-AM715)/G715</f>
        <v/>
      </c>
      <c r="AX715" s="254">
        <f>IF(AND(ISNUMBER(E715),ISNUMBER(W715)),E715-W715,"")</f>
        <v/>
      </c>
      <c r="AY715" s="254">
        <f>IF(AND(ISNUMBER(I715),ISNUMBER(AF715)),I715-AF715,"")</f>
        <v/>
      </c>
      <c r="AZ715" s="254">
        <f>IF(AND(ISNUMBER(AM715),ISNUMBER(G715)),G715-AM715,"")</f>
        <v/>
      </c>
      <c r="BA715" s="254">
        <f>IF(AND(ISNUMBER(AC715),ISNUMBER(AE715)),AC715-AE715,"")</f>
        <v/>
      </c>
      <c r="BB715" s="254">
        <f>IF(AND(ISNUMBER(AL715),ISNUMBER(AM715)),AL715-AM715,"")</f>
        <v/>
      </c>
      <c r="BH715" s="6" t="n"/>
    </row>
    <row r="716" ht="15.75" customHeight="1">
      <c r="B716" t="n">
        <v>472</v>
      </c>
      <c r="D716" s="11" t="n">
        <v>45976</v>
      </c>
      <c r="E716" s="231" t="n">
        <v>472</v>
      </c>
      <c r="F716" s="3" t="n">
        <v>711</v>
      </c>
      <c r="G716" s="205">
        <f>IF(OR(S716="",S716=0),"",S716*2)</f>
        <v/>
      </c>
      <c r="K716" s="15">
        <f>AD716</f>
        <v/>
      </c>
      <c r="M716" s="10">
        <f>IF(OR(E716="",G716="",E716=0,G716=0),"",E716/G716)</f>
        <v/>
      </c>
      <c r="N716" s="9">
        <f>IF(OR(E716="",I716="",E716=0,I716=0),"",E716/(I716*2))</f>
        <v/>
      </c>
      <c r="O716" s="8">
        <f>IF(OR(I716="",G716="",I716=0,G716=0),"",I716*2/G716)</f>
        <v/>
      </c>
      <c r="AD716" s="5" t="n">
        <v>80</v>
      </c>
      <c r="AI716" s="231" t="n">
        <v>0.16</v>
      </c>
      <c r="AJ716" s="20" t="n">
        <v>0.4</v>
      </c>
      <c r="AL716" s="231" t="n">
        <v>35</v>
      </c>
      <c r="AM716" s="3">
        <f>180+60</f>
        <v/>
      </c>
      <c r="AP716" s="3" t="n">
        <v>40</v>
      </c>
      <c r="AR716" s="13">
        <f>AVERAGE(AO714:AO720)</f>
        <v/>
      </c>
      <c r="AT716" s="156">
        <f>(E716-W716)/E716</f>
        <v/>
      </c>
      <c r="AU716" s="155">
        <f>(I716-AF716)/I716</f>
        <v/>
      </c>
      <c r="AV716" s="155">
        <f>AG716/(AD716-AF716)</f>
        <v/>
      </c>
      <c r="AW716" s="155">
        <f>(G716-AM716)/G716</f>
        <v/>
      </c>
      <c r="AX716" s="254">
        <f>IF(AND(ISNUMBER(E716),ISNUMBER(W716)),E716-W716,"")</f>
        <v/>
      </c>
      <c r="AY716" s="254">
        <f>IF(AND(ISNUMBER(I716),ISNUMBER(AF716)),I716-AF716,"")</f>
        <v/>
      </c>
      <c r="AZ716" s="254">
        <f>IF(AND(ISNUMBER(AM716),ISNUMBER(G716)),G716-AM716,"")</f>
        <v/>
      </c>
      <c r="BA716" s="254">
        <f>IF(AND(ISNUMBER(AC716),ISNUMBER(AE716)),AC716-AE716,"")</f>
        <v/>
      </c>
      <c r="BB716" s="254">
        <f>IF(AND(ISNUMBER(AL716),ISNUMBER(AM716)),AL716-AM716,"")</f>
        <v/>
      </c>
      <c r="BH716" s="6" t="n"/>
    </row>
    <row r="717" ht="15.75" customHeight="1">
      <c r="B717" t="n">
        <v>473</v>
      </c>
      <c r="D717" s="11" t="n">
        <v>45977</v>
      </c>
      <c r="E717" s="231" t="n">
        <v>473</v>
      </c>
      <c r="F717" s="3" t="n">
        <v>712</v>
      </c>
      <c r="G717" s="205">
        <f>IF(OR(S717="",S717=0),"",S717*2)</f>
        <v/>
      </c>
      <c r="K717" s="15">
        <f>AD717</f>
        <v/>
      </c>
      <c r="M717" s="10">
        <f>IF(OR(E717="",G717="",E717=0,G717=0),"",E717/G717)</f>
        <v/>
      </c>
      <c r="N717" s="9">
        <f>IF(OR(E717="",I717="",E717=0,I717=0),"",E717/(I717*2))</f>
        <v/>
      </c>
      <c r="O717" s="8">
        <f>IF(OR(I717="",G717="",I717=0,G717=0),"",I717*2/G717)</f>
        <v/>
      </c>
      <c r="AD717" s="5" t="n">
        <v>80</v>
      </c>
      <c r="AI717" s="231" t="n">
        <v>0.2</v>
      </c>
      <c r="AJ717" s="20" t="n">
        <v>0.4005787037037037</v>
      </c>
      <c r="AL717" s="231" t="n">
        <v>35</v>
      </c>
      <c r="AM717" s="3">
        <f>180+60</f>
        <v/>
      </c>
      <c r="AP717" s="3" t="n">
        <v>40</v>
      </c>
      <c r="AR717" s="13">
        <f>AVERAGE(AO715:AO721)</f>
        <v/>
      </c>
      <c r="AT717" s="156">
        <f>(E717-W717)/E717</f>
        <v/>
      </c>
      <c r="AU717" s="155">
        <f>(I717-AF717)/I717</f>
        <v/>
      </c>
      <c r="AV717" s="155">
        <f>AG717/(AD717-AF717)</f>
        <v/>
      </c>
      <c r="AW717" s="155">
        <f>(G717-AM717)/G717</f>
        <v/>
      </c>
      <c r="AX717" s="254">
        <f>IF(AND(ISNUMBER(E717),ISNUMBER(W717)),E717-W717,"")</f>
        <v/>
      </c>
      <c r="AY717" s="254">
        <f>IF(AND(ISNUMBER(I717),ISNUMBER(AF717)),I717-AF717,"")</f>
        <v/>
      </c>
      <c r="AZ717" s="254">
        <f>IF(AND(ISNUMBER(AM717),ISNUMBER(G717)),G717-AM717,"")</f>
        <v/>
      </c>
      <c r="BA717" s="254">
        <f>IF(AND(ISNUMBER(AC717),ISNUMBER(AE717)),AC717-AE717,"")</f>
        <v/>
      </c>
      <c r="BB717" s="254">
        <f>IF(AND(ISNUMBER(AL717),ISNUMBER(AM717)),AL717-AM717,"")</f>
        <v/>
      </c>
      <c r="BH717" s="6" t="n"/>
    </row>
    <row r="718" ht="15.75" customHeight="1">
      <c r="B718" t="n">
        <v>474</v>
      </c>
      <c r="D718" s="11" t="n">
        <v>45978</v>
      </c>
      <c r="E718" s="231" t="n">
        <v>474</v>
      </c>
      <c r="F718" s="3" t="n">
        <v>713</v>
      </c>
      <c r="G718" s="205">
        <f>IF(OR(S718="",S718=0),"",S718*2)</f>
        <v/>
      </c>
      <c r="K718" s="15">
        <f>AD718</f>
        <v/>
      </c>
      <c r="M718" s="10">
        <f>IF(OR(E718="",G718="",E718=0,G718=0),"",E718/G718)</f>
        <v/>
      </c>
      <c r="N718" s="9">
        <f>IF(OR(E718="",I718="",E718=0,I718=0),"",E718/(I718*2))</f>
        <v/>
      </c>
      <c r="O718" s="8">
        <f>IF(OR(I718="",G718="",I718=0,G718=0),"",I718*2/G718)</f>
        <v/>
      </c>
      <c r="AD718" s="5" t="n">
        <v>80</v>
      </c>
      <c r="AI718" s="231" t="n">
        <v>0.23</v>
      </c>
      <c r="AJ718" s="20" t="n">
        <v>0.4006944444444445</v>
      </c>
      <c r="AL718" s="231" t="n">
        <v>35</v>
      </c>
      <c r="AM718" s="3">
        <f>180+60</f>
        <v/>
      </c>
      <c r="AP718" s="3" t="n">
        <v>40</v>
      </c>
      <c r="AR718" s="13">
        <f>AVERAGE(AO716:AO722)</f>
        <v/>
      </c>
      <c r="AT718" s="156">
        <f>(E718-W718)/E718</f>
        <v/>
      </c>
      <c r="AU718" s="155">
        <f>(I718-AF718)/I718</f>
        <v/>
      </c>
      <c r="AV718" s="155">
        <f>AG718/(AD718-AF718)</f>
        <v/>
      </c>
      <c r="AW718" s="155">
        <f>(G718-AM718)/G718</f>
        <v/>
      </c>
      <c r="AX718" s="254">
        <f>IF(AND(ISNUMBER(E718),ISNUMBER(W718)),E718-W718,"")</f>
        <v/>
      </c>
      <c r="AY718" s="254">
        <f>IF(AND(ISNUMBER(I718),ISNUMBER(AF718)),I718-AF718,"")</f>
        <v/>
      </c>
      <c r="AZ718" s="254">
        <f>IF(AND(ISNUMBER(AM718),ISNUMBER(G718)),G718-AM718,"")</f>
        <v/>
      </c>
      <c r="BA718" s="254">
        <f>IF(AND(ISNUMBER(AC718),ISNUMBER(AE718)),AC718-AE718,"")</f>
        <v/>
      </c>
      <c r="BB718" s="254">
        <f>IF(AND(ISNUMBER(AL718),ISNUMBER(AM718)),AL718-AM718,"")</f>
        <v/>
      </c>
      <c r="BH718" s="6">
        <f>IF(OR(AJ718=0,AP718=0,NOT(ISNUMBER(AD718)),NOT(ISNUMBER(AF718)),NOT(ISNUMBER(AJ718)),NOT(ISNUMBER(AP718))),"",
IFERROR(IF((AD718-AF718)/(AJ718/60)/(AP718/1000)&lt;=0,"",(AD718-AF718)/(AJ718/60)/(AP718/1000)),""))</f>
        <v/>
      </c>
    </row>
    <row r="719" ht="15.75" customHeight="1">
      <c r="B719" t="n">
        <v>475</v>
      </c>
      <c r="D719" s="11" t="n">
        <v>45979</v>
      </c>
      <c r="E719" s="231" t="n">
        <v>475</v>
      </c>
      <c r="F719" s="3" t="n">
        <v>714</v>
      </c>
      <c r="G719" s="205">
        <f>IF(OR(S719="",S719=0),"",S719*2)</f>
        <v/>
      </c>
      <c r="K719" s="15">
        <f>AD719</f>
        <v/>
      </c>
      <c r="M719" s="10">
        <f>IF(OR(E719="",G719="",E719=0,G719=0),"",E719/G719)</f>
        <v/>
      </c>
      <c r="N719" s="9">
        <f>IF(OR(E719="",I719="",E719=0,I719=0),"",E719/(I719*2))</f>
        <v/>
      </c>
      <c r="O719" s="8">
        <f>IF(OR(I719="",G719="",I719=0,G719=0),"",I719*2/G719)</f>
        <v/>
      </c>
      <c r="AD719" s="5" t="n">
        <v>80</v>
      </c>
      <c r="AI719" s="231" t="n">
        <v>0.23</v>
      </c>
      <c r="AJ719" s="20" t="n">
        <v>0.4018518518518518</v>
      </c>
      <c r="AL719" s="231" t="n">
        <v>39</v>
      </c>
      <c r="AM719" s="3">
        <f>180+60</f>
        <v/>
      </c>
      <c r="AP719" s="3" t="n">
        <v>40</v>
      </c>
      <c r="AR719" s="13">
        <f>AVERAGE(AO717:AO723)</f>
        <v/>
      </c>
      <c r="AT719" s="156">
        <f>(E719-W719)/E719</f>
        <v/>
      </c>
      <c r="AU719" s="155">
        <f>(I719-AF719)/I719</f>
        <v/>
      </c>
      <c r="AV719" s="155">
        <f>AG719/(AD719-AF719)</f>
        <v/>
      </c>
      <c r="AW719" s="155">
        <f>(G719-AM719)/G719</f>
        <v/>
      </c>
      <c r="AX719" s="254">
        <f>IF(AND(ISNUMBER(E719),ISNUMBER(W719)),E719-W719,"")</f>
        <v/>
      </c>
      <c r="AY719" s="254">
        <f>IF(AND(ISNUMBER(I719),ISNUMBER(AF719)),I719-AF719,"")</f>
        <v/>
      </c>
      <c r="AZ719" s="254">
        <f>IF(AND(ISNUMBER(AM719),ISNUMBER(G719)),G719-AM719,"")</f>
        <v/>
      </c>
      <c r="BA719" s="254">
        <f>IF(AND(ISNUMBER(AC719),ISNUMBER(AE719)),AC719-AE719,"")</f>
        <v/>
      </c>
      <c r="BB719" s="254">
        <f>IF(AND(ISNUMBER(AL719),ISNUMBER(AM719)),AL719-AM719,"")</f>
        <v/>
      </c>
      <c r="BH719" s="6">
        <f>IF(OR(AJ719=0,AP719=0,NOT(ISNUMBER(AD719)),NOT(ISNUMBER(AF719)),NOT(ISNUMBER(AJ719)),NOT(ISNUMBER(AP719))),"",
IFERROR(IF((AD719-AF719)/(AJ719/60)/(AP719/1000)&lt;=0,"",(AD719-AF719)/(AJ719/60)/(AP719/1000)),""))</f>
        <v/>
      </c>
    </row>
    <row r="720" ht="15.75" customHeight="1">
      <c r="B720" t="n">
        <v>476</v>
      </c>
      <c r="D720" s="11" t="n">
        <v>45980</v>
      </c>
      <c r="E720" s="231" t="n">
        <v>476</v>
      </c>
      <c r="F720" s="3" t="n">
        <v>715</v>
      </c>
      <c r="G720" s="205">
        <f>IF(OR(S720="",S720=0),"",S720*2)</f>
        <v/>
      </c>
      <c r="K720" s="15">
        <f>AD720</f>
        <v/>
      </c>
      <c r="M720" s="10">
        <f>IF(OR(E720="",G720="",E720=0,G720=0),"",E720/G720)</f>
        <v/>
      </c>
      <c r="N720" s="9">
        <f>IF(OR(E720="",I720="",E720=0,I720=0),"",E720/(I720*2))</f>
        <v/>
      </c>
      <c r="O720" s="8">
        <f>IF(OR(I720="",G720="",I720=0,G720=0),"",I720*2/G720)</f>
        <v/>
      </c>
      <c r="AD720" s="5" t="n">
        <v>80</v>
      </c>
      <c r="AI720" s="231" t="n">
        <v>0.22</v>
      </c>
      <c r="AJ720" s="20" t="n">
        <v>0.3997685185185185</v>
      </c>
      <c r="AL720" s="231" t="n">
        <v>29</v>
      </c>
      <c r="AM720" s="3">
        <f>180+60</f>
        <v/>
      </c>
      <c r="AP720" s="3" t="n">
        <v>40</v>
      </c>
      <c r="AR720" s="13">
        <f>AVERAGE(AO718:AO724)</f>
        <v/>
      </c>
      <c r="AT720" s="156">
        <f>(E720-W720)/E720</f>
        <v/>
      </c>
      <c r="AU720" s="155">
        <f>(I720-AF720)/I720</f>
        <v/>
      </c>
      <c r="AV720" s="155">
        <f>AG720/(AD720-AF720)</f>
        <v/>
      </c>
      <c r="AW720" s="155">
        <f>(G720-AM720)/G720</f>
        <v/>
      </c>
      <c r="AX720" s="254">
        <f>IF(AND(ISNUMBER(E720),ISNUMBER(W720)),E720-W720,"")</f>
        <v/>
      </c>
      <c r="AY720" s="254">
        <f>IF(AND(ISNUMBER(I720),ISNUMBER(AF720)),I720-AF720,"")</f>
        <v/>
      </c>
      <c r="AZ720" s="254">
        <f>IF(AND(ISNUMBER(AM720),ISNUMBER(G720)),G720-AM720,"")</f>
        <v/>
      </c>
      <c r="BA720" s="254">
        <f>IF(AND(ISNUMBER(AC720),ISNUMBER(AE720)),AC720-AE720,"")</f>
        <v/>
      </c>
      <c r="BB720" s="254">
        <f>IF(AND(ISNUMBER(AL720),ISNUMBER(AM720)),AL720-AM720,"")</f>
        <v/>
      </c>
      <c r="BH720" s="6">
        <f>IF(OR(AJ720=0,AP720=0,NOT(ISNUMBER(AD720)),NOT(ISNUMBER(AF720)),NOT(ISNUMBER(AJ720)),NOT(ISNUMBER(AP720))),"",
IFERROR(IF((AD720-AF720)/(AJ720/60)/(AP720/1000)&lt;=0,"",(AD720-AF720)/(AJ720/60)/(AP720/1000)),""))</f>
        <v/>
      </c>
    </row>
    <row r="721" ht="15.75" customHeight="1">
      <c r="B721" t="n">
        <v>477</v>
      </c>
      <c r="D721" s="11" t="n">
        <v>45981</v>
      </c>
      <c r="E721" s="231" t="n">
        <v>477</v>
      </c>
      <c r="F721" s="3" t="n">
        <v>716</v>
      </c>
      <c r="G721" s="205">
        <f>IF(OR(S721="",S721=0),"",S721*2)</f>
        <v/>
      </c>
      <c r="K721" s="15">
        <f>AD721</f>
        <v/>
      </c>
      <c r="M721" s="10">
        <f>IF(OR(E721="",G721="",E721=0,G721=0),"",E721/G721)</f>
        <v/>
      </c>
      <c r="N721" s="9">
        <f>IF(OR(E721="",I721="",E721=0,I721=0),"",E721/(I721*2))</f>
        <v/>
      </c>
      <c r="O721" s="8">
        <f>IF(OR(I721="",G721="",I721=0,G721=0),"",I721*2/G721)</f>
        <v/>
      </c>
      <c r="AD721" s="5" t="n">
        <v>80</v>
      </c>
      <c r="AI721" s="231" t="n">
        <v>0.19</v>
      </c>
      <c r="AJ721" s="20" t="n">
        <v>0.3997685185185185</v>
      </c>
      <c r="AL721" s="231" t="n">
        <v>27</v>
      </c>
      <c r="AM721" s="3">
        <f>180+60</f>
        <v/>
      </c>
      <c r="AP721" s="3" t="n">
        <v>40</v>
      </c>
      <c r="AR721" s="13">
        <f>AVERAGE(AO719:AO725)</f>
        <v/>
      </c>
      <c r="AT721" s="156">
        <f>(E721-W721)/E721</f>
        <v/>
      </c>
      <c r="AU721" s="155">
        <f>(I721-AF721)/I721</f>
        <v/>
      </c>
      <c r="AV721" s="155">
        <f>AG721/(AD721-AF721)</f>
        <v/>
      </c>
      <c r="AW721" s="155">
        <f>(G721-AM721)/G721</f>
        <v/>
      </c>
      <c r="AX721" s="254">
        <f>IF(AND(ISNUMBER(E721),ISNUMBER(W721)),E721-W721,"")</f>
        <v/>
      </c>
      <c r="AY721" s="254">
        <f>IF(AND(ISNUMBER(I721),ISNUMBER(AF721)),I721-AF721,"")</f>
        <v/>
      </c>
      <c r="AZ721" s="254">
        <f>IF(AND(ISNUMBER(AM721),ISNUMBER(G721)),G721-AM721,"")</f>
        <v/>
      </c>
      <c r="BA721" s="254">
        <f>IF(AND(ISNUMBER(AC721),ISNUMBER(AE721)),AC721-AE721,"")</f>
        <v/>
      </c>
      <c r="BB721" s="254">
        <f>IF(AND(ISNUMBER(AL721),ISNUMBER(AM721)),AL721-AM721,"")</f>
        <v/>
      </c>
      <c r="BH721" s="6">
        <f>IF(OR(AJ721=0,AP721=0,NOT(ISNUMBER(AD721)),NOT(ISNUMBER(AF721)),NOT(ISNUMBER(AJ721)),NOT(ISNUMBER(AP721))),"",
IFERROR(IF((AD721-AF721)/(AJ721/60)/(AP721/1000)&lt;=0,"",(AD721-AF721)/(AJ721/60)/(AP721/1000)),""))</f>
        <v/>
      </c>
    </row>
    <row r="722" ht="15.75" customHeight="1">
      <c r="B722" t="n">
        <v>478</v>
      </c>
      <c r="D722" s="11" t="n">
        <v>45982</v>
      </c>
      <c r="E722" s="231" t="n">
        <v>478</v>
      </c>
      <c r="F722" s="3" t="n">
        <v>717</v>
      </c>
      <c r="G722" s="205">
        <f>IF(OR(S722="",S722=0),"",S722*2)</f>
        <v/>
      </c>
      <c r="K722" s="15">
        <f>AD722</f>
        <v/>
      </c>
      <c r="M722" s="10">
        <f>IF(OR(E722="",G722="",E722=0,G722=0),"",E722/G722)</f>
        <v/>
      </c>
      <c r="N722" s="9">
        <f>IF(OR(E722="",I722="",E722=0,I722=0),"",E722/(I722*2))</f>
        <v/>
      </c>
      <c r="O722" s="8">
        <f>IF(OR(I722="",G722="",I722=0,G722=0),"",I722*2/G722)</f>
        <v/>
      </c>
      <c r="Q722" s="6" t="n">
        <v>17.441</v>
      </c>
      <c r="R722" s="6" t="n">
        <v>64.23999999999999</v>
      </c>
      <c r="S722" s="6">
        <f>O722*1.067</f>
        <v/>
      </c>
      <c r="T722" s="6">
        <f>P722*1.514</f>
        <v/>
      </c>
      <c r="W722" s="6" t="n">
        <v>0</v>
      </c>
      <c r="X722" s="6" t="n">
        <v>0</v>
      </c>
      <c r="Y722" s="23">
        <f>U722*1.067+V722*1.514</f>
        <v/>
      </c>
      <c r="AD722" s="5" t="n">
        <v>80</v>
      </c>
      <c r="AI722" s="231" t="n">
        <v>0.25</v>
      </c>
      <c r="AJ722" s="20" t="n">
        <v>0.4043981481481482</v>
      </c>
      <c r="AL722" s="231" t="n">
        <v>33</v>
      </c>
      <c r="AM722" s="3">
        <f>180+60</f>
        <v/>
      </c>
      <c r="AP722" s="3" t="n">
        <v>40</v>
      </c>
      <c r="AQ722" s="2" t="n">
        <v>3140.000000000009</v>
      </c>
      <c r="AR722" s="13">
        <f>AVERAGE(AO720:AO726)</f>
        <v/>
      </c>
      <c r="AT722" s="156">
        <f>(E722-W722)/E722</f>
        <v/>
      </c>
      <c r="AU722" s="155">
        <f>(I722-AF722)/I722</f>
        <v/>
      </c>
      <c r="AV722" s="155">
        <f>AG722/(AD722-AF722)</f>
        <v/>
      </c>
      <c r="AW722" s="155">
        <f>(G722-AM722)/G722</f>
        <v/>
      </c>
      <c r="AX722" s="254">
        <f>IF(AND(ISNUMBER(E722),ISNUMBER(W722)),E722-W722,"")</f>
        <v/>
      </c>
      <c r="AY722" s="254">
        <f>IF(AND(ISNUMBER(I722),ISNUMBER(AF722)),I722-AF722,"")</f>
        <v/>
      </c>
      <c r="AZ722" s="254">
        <f>IF(AND(ISNUMBER(AM722),ISNUMBER(G722)),G722-AM722,"")</f>
        <v/>
      </c>
      <c r="BA722" s="254">
        <f>IF(AND(ISNUMBER(AC722),ISNUMBER(AE722)),AC722-AE722,"")</f>
        <v/>
      </c>
      <c r="BB722" s="254">
        <f>IF(AND(ISNUMBER(AL722),ISNUMBER(AM722)),AL722-AM722,"")</f>
        <v/>
      </c>
      <c r="BH722" s="6">
        <f>IF(OR(AJ722=0,AP722=0,NOT(ISNUMBER(AD722)),NOT(ISNUMBER(AF722)),NOT(ISNUMBER(AJ722)),NOT(ISNUMBER(AP722))),"",
IFERROR(IF((AD722-AF722)/(AJ722/60)/(AP722/1000)&lt;=0,"",(AD722-AF722)/(AJ722/60)/(AP722/1000)),""))</f>
        <v/>
      </c>
    </row>
    <row r="723" ht="15.75" customHeight="1">
      <c r="B723" t="n">
        <v>479</v>
      </c>
      <c r="D723" s="11" t="n">
        <v>45983</v>
      </c>
      <c r="E723" s="231" t="n">
        <v>479</v>
      </c>
      <c r="F723" s="3" t="n">
        <v>718</v>
      </c>
      <c r="G723" s="205">
        <f>IF(OR(S723="",S723=0),"",S723*2)</f>
        <v/>
      </c>
      <c r="K723" s="15">
        <f>AD723</f>
        <v/>
      </c>
      <c r="M723" s="10">
        <f>IF(OR(E723="",G723="",E723=0,G723=0),"",E723/G723)</f>
        <v/>
      </c>
      <c r="N723" s="9">
        <f>IF(OR(E723="",I723="",E723=0,I723=0),"",E723/(I723*2))</f>
        <v/>
      </c>
      <c r="O723" s="8">
        <f>IF(OR(I723="",G723="",I723=0,G723=0),"",I723*2/G723)</f>
        <v/>
      </c>
      <c r="AD723" s="5" t="n">
        <v>80</v>
      </c>
      <c r="AI723" s="231" t="n">
        <v>0.2</v>
      </c>
      <c r="AJ723" s="20" t="n">
        <v>0.3993055555555556</v>
      </c>
      <c r="AL723" s="231" t="n">
        <v>31</v>
      </c>
      <c r="AM723" s="3">
        <f>180+60</f>
        <v/>
      </c>
      <c r="AP723" s="3" t="n">
        <v>40</v>
      </c>
      <c r="AR723" s="13">
        <f>AVERAGE(AO721:AO727)</f>
        <v/>
      </c>
      <c r="AT723" s="156">
        <f>(E723-W723)/E723</f>
        <v/>
      </c>
      <c r="AU723" s="155">
        <f>(I723-AF723)/I723</f>
        <v/>
      </c>
      <c r="AV723" s="155">
        <f>AG723/(AD723-AF723)</f>
        <v/>
      </c>
      <c r="AW723" s="155">
        <f>(G723-AM723)/G723</f>
        <v/>
      </c>
      <c r="AX723" s="254">
        <f>IF(AND(ISNUMBER(E723),ISNUMBER(W723)),E723-W723,"")</f>
        <v/>
      </c>
      <c r="AY723" s="254">
        <f>IF(AND(ISNUMBER(I723),ISNUMBER(AF723)),I723-AF723,"")</f>
        <v/>
      </c>
      <c r="AZ723" s="254">
        <f>IF(AND(ISNUMBER(AM723),ISNUMBER(G723)),G723-AM723,"")</f>
        <v/>
      </c>
      <c r="BA723" s="254">
        <f>IF(AND(ISNUMBER(AC723),ISNUMBER(AE723)),AC723-AE723,"")</f>
        <v/>
      </c>
      <c r="BB723" s="254">
        <f>IF(AND(ISNUMBER(AL723),ISNUMBER(AM723)),AL723-AM723,"")</f>
        <v/>
      </c>
      <c r="BH723" s="6">
        <f>IF(OR(AJ723=0,AP723=0,NOT(ISNUMBER(AD723)),NOT(ISNUMBER(AF723)),NOT(ISNUMBER(AJ723)),NOT(ISNUMBER(AP723))),"",
IFERROR(IF((AD723-AF723)/(AJ723/60)/(AP723/1000)&lt;=0,"",(AD723-AF723)/(AJ723/60)/(AP723/1000)),""))</f>
        <v/>
      </c>
    </row>
    <row r="724" ht="15.75" customHeight="1">
      <c r="A724" s="260" t="inlineStr">
        <is>
          <t>B91</t>
        </is>
      </c>
      <c r="B724" s="260" t="n">
        <v>480</v>
      </c>
      <c r="C724" s="25" t="inlineStr">
        <is>
          <t>fucked up by adding shit ton of Nitrite</t>
        </is>
      </c>
      <c r="D724" s="11" t="n">
        <v>45984</v>
      </c>
      <c r="E724" s="231" t="n">
        <v>480</v>
      </c>
      <c r="F724" s="3" t="n">
        <v>719</v>
      </c>
      <c r="G724" s="205">
        <f>IF(OR(S724="",S724=0),"",S724*2)</f>
        <v/>
      </c>
      <c r="K724" s="15">
        <f>AD724</f>
        <v/>
      </c>
      <c r="M724" s="10">
        <f>IF(OR(E724="",G724="",E724=0,G724=0),"",E724/G724)</f>
        <v/>
      </c>
      <c r="N724" s="9">
        <f>IF(OR(E724="",I724="",E724=0,I724=0),"",E724/(I724*2))</f>
        <v/>
      </c>
      <c r="O724" s="8">
        <f>IF(OR(I724="",G724="",I724=0,G724=0),"",I724*2/G724)</f>
        <v/>
      </c>
      <c r="AD724" s="5" t="n">
        <v>80</v>
      </c>
      <c r="AI724" s="231" t="n">
        <v>0.19</v>
      </c>
      <c r="AJ724" s="20" t="n">
        <v>0.3993055555555556</v>
      </c>
      <c r="AL724" s="231" t="n">
        <v>33</v>
      </c>
      <c r="AM724" s="3">
        <f>180+60</f>
        <v/>
      </c>
      <c r="AP724" s="3" t="n">
        <v>40</v>
      </c>
      <c r="AR724" s="13">
        <f>AVERAGE(AO722:AO728)</f>
        <v/>
      </c>
      <c r="AT724" s="156">
        <f>(E724-W724)/E724</f>
        <v/>
      </c>
      <c r="AU724" s="155">
        <f>(I724-AF724)/I724</f>
        <v/>
      </c>
      <c r="AV724" s="155">
        <f>AG724/(AD724-AF724)</f>
        <v/>
      </c>
      <c r="AW724" s="155">
        <f>(G724-AM724)/G724</f>
        <v/>
      </c>
      <c r="AX724" s="254">
        <f>IF(AND(ISNUMBER(E724),ISNUMBER(W724)),E724-W724,"")</f>
        <v/>
      </c>
      <c r="AY724" s="254">
        <f>IF(AND(ISNUMBER(I724),ISNUMBER(AF724)),I724-AF724,"")</f>
        <v/>
      </c>
      <c r="AZ724" s="254">
        <f>IF(AND(ISNUMBER(AM724),ISNUMBER(G724)),G724-AM724,"")</f>
        <v/>
      </c>
      <c r="BA724" s="254">
        <f>IF(AND(ISNUMBER(AC724),ISNUMBER(AE724)),AC724-AE724,"")</f>
        <v/>
      </c>
      <c r="BB724" s="254">
        <f>IF(AND(ISNUMBER(AL724),ISNUMBER(AM724)),AL724-AM724,"")</f>
        <v/>
      </c>
      <c r="BH724" s="6">
        <f>IF(OR(AJ724=0,AP724=0,NOT(ISNUMBER(AD724)),NOT(ISNUMBER(AF724)),NOT(ISNUMBER(AJ724)),NOT(ISNUMBER(AP724))),"",
IFERROR(IF((AD724-AF724)/(AJ724/60)/(AP724/1000)&lt;=0,"",(AD724-AF724)/(AJ724/60)/(AP724/1000)),""))</f>
        <v/>
      </c>
    </row>
    <row r="725" ht="15.75" customHeight="1">
      <c r="B725" t="n">
        <v>481</v>
      </c>
      <c r="D725" s="11" t="n">
        <v>45985</v>
      </c>
      <c r="E725" s="231" t="n">
        <v>481</v>
      </c>
      <c r="F725" s="3" t="n">
        <v>720</v>
      </c>
      <c r="G725" s="205">
        <f>IF(OR(S725="",S725=0),"",S725*2)</f>
        <v/>
      </c>
      <c r="K725" s="15">
        <f>AD725</f>
        <v/>
      </c>
      <c r="M725" s="10">
        <f>IF(OR(E725="",G725="",E725=0,G725=0),"",E725/G725)</f>
        <v/>
      </c>
      <c r="N725" s="9">
        <f>IF(OR(E725="",I725="",E725=0,I725=0),"",E725/(I725*2))</f>
        <v/>
      </c>
      <c r="O725" s="8">
        <f>IF(OR(I725="",G725="",I725=0,G725=0),"",I725*2/G725)</f>
        <v/>
      </c>
      <c r="AD725" s="5" t="n">
        <v>80</v>
      </c>
      <c r="AI725" s="231" t="n">
        <v>0.74</v>
      </c>
      <c r="AJ725" s="20" t="n">
        <v>0.4067129629629629</v>
      </c>
      <c r="AL725" s="231" t="n">
        <v>55</v>
      </c>
      <c r="AM725" s="3">
        <f>180+60</f>
        <v/>
      </c>
      <c r="AP725" s="3" t="n">
        <v>40</v>
      </c>
      <c r="AR725" s="13">
        <f>AVERAGE(AO723:AO729)</f>
        <v/>
      </c>
      <c r="AT725" s="156">
        <f>(E725-W725)/E725</f>
        <v/>
      </c>
      <c r="AU725" s="155">
        <f>(I725-AF725)/I725</f>
        <v/>
      </c>
      <c r="AV725" s="155">
        <f>AG725/(AD725-AF725)</f>
        <v/>
      </c>
      <c r="AW725" s="155">
        <f>(G725-AM725)/G725</f>
        <v/>
      </c>
      <c r="AX725" s="254">
        <f>IF(AND(ISNUMBER(E725),ISNUMBER(W725)),E725-W725,"")</f>
        <v/>
      </c>
      <c r="AY725" s="254">
        <f>IF(AND(ISNUMBER(I725),ISNUMBER(AF725)),I725-AF725,"")</f>
        <v/>
      </c>
      <c r="AZ725" s="254">
        <f>IF(AND(ISNUMBER(AM725),ISNUMBER(G725)),G725-AM725,"")</f>
        <v/>
      </c>
      <c r="BA725" s="254">
        <f>IF(AND(ISNUMBER(AC725),ISNUMBER(AE725)),AC725-AE725,"")</f>
        <v/>
      </c>
      <c r="BB725" s="254">
        <f>IF(AND(ISNUMBER(AL725),ISNUMBER(AM725)),AL725-AM725,"")</f>
        <v/>
      </c>
      <c r="BH725" s="6">
        <f>IF(OR(AJ725=0,AP725=0,NOT(ISNUMBER(AD725)),NOT(ISNUMBER(AF725)),NOT(ISNUMBER(AJ725)),NOT(ISNUMBER(AP725))),"",
IFERROR(IF((AD725-AF725)/(AJ725/60)/(AP725/1000)&lt;=0,"",(AD725-AF725)/(AJ725/60)/(AP725/1000)),""))</f>
        <v/>
      </c>
    </row>
    <row r="726" ht="15.75" customHeight="1">
      <c r="B726" t="n">
        <v>482</v>
      </c>
      <c r="D726" s="11" t="n">
        <v>45986</v>
      </c>
      <c r="E726" s="231" t="n">
        <v>482</v>
      </c>
      <c r="F726" s="3" t="n">
        <v>721</v>
      </c>
      <c r="G726" s="205">
        <f>IF(OR(S726="",S726=0),"",S726*2)</f>
        <v/>
      </c>
      <c r="I726" s="15">
        <f>(N726*18-H726*18)/9</f>
        <v/>
      </c>
      <c r="J726" s="15">
        <f>5*0.379</f>
        <v/>
      </c>
      <c r="K726" s="15">
        <f>AD726</f>
        <v/>
      </c>
      <c r="M726" s="10">
        <f>IF(OR(E726="",G726="",E726=0,G726=0),"",E726/G726)</f>
        <v/>
      </c>
      <c r="N726" s="9">
        <f>IF(OR(E726="",I726="",E726=0,I726=0),"",E726/(I726*2))</f>
        <v/>
      </c>
      <c r="O726" s="8">
        <f>IF(OR(I726="",G726="",I726=0,G726=0),"",I726*2/G726)</f>
        <v/>
      </c>
      <c r="P726" s="7">
        <f>5*1.7</f>
        <v/>
      </c>
      <c r="Q726" s="6" t="n">
        <v>23.256</v>
      </c>
      <c r="R726" s="6" t="n">
        <v>79.23399999999999</v>
      </c>
      <c r="S726" s="6">
        <f>O726*1.067</f>
        <v/>
      </c>
      <c r="T726" s="6">
        <f>P726*1.514</f>
        <v/>
      </c>
      <c r="U726" s="6">
        <f>Q726+R726</f>
        <v/>
      </c>
      <c r="V726" s="6">
        <f>77.5</f>
        <v/>
      </c>
      <c r="W726" s="6" t="n">
        <v>0</v>
      </c>
      <c r="X726" s="6" t="n">
        <v>0</v>
      </c>
      <c r="Y726" s="23">
        <f>U726*1.067+V726*1.514</f>
        <v/>
      </c>
      <c r="Z726" s="6" t="n">
        <v>0.21</v>
      </c>
      <c r="AA726" s="6" t="n">
        <v>0.23</v>
      </c>
      <c r="AB726" s="6" t="n">
        <v>-152</v>
      </c>
      <c r="AC726" s="6" t="n">
        <v>-215</v>
      </c>
      <c r="AD726" s="5" t="n">
        <v>80</v>
      </c>
      <c r="AE726" s="7">
        <f>T726</f>
        <v/>
      </c>
      <c r="AF726" s="231">
        <f>5*4.14</f>
        <v/>
      </c>
      <c r="AG726" s="231">
        <f>5*3.15</f>
        <v/>
      </c>
      <c r="AH726" s="231" t="n">
        <v>0</v>
      </c>
      <c r="AI726" s="231" t="n">
        <v>0.59</v>
      </c>
      <c r="AJ726" s="20" t="n">
        <v>0.4053240740740741</v>
      </c>
      <c r="AL726" s="231" t="n">
        <v>35</v>
      </c>
      <c r="AM726" s="3">
        <f>180+60</f>
        <v/>
      </c>
      <c r="AN726" s="4">
        <f>AE726</f>
        <v/>
      </c>
      <c r="AO726" s="231">
        <f>5*1.07</f>
        <v/>
      </c>
      <c r="AP726" s="3" t="n">
        <v>40</v>
      </c>
      <c r="AQ726" s="2" t="n">
        <v>3020.000000000027</v>
      </c>
      <c r="AR726" s="13">
        <f>AVERAGE(AO724:AO730)</f>
        <v/>
      </c>
      <c r="AT726" s="156">
        <f>(E726-W726)/E726</f>
        <v/>
      </c>
      <c r="AU726" s="155">
        <f>(I726-AF726)/I726</f>
        <v/>
      </c>
      <c r="AV726" s="155">
        <f>AG726/(AD726-AF726)</f>
        <v/>
      </c>
      <c r="AW726" s="155">
        <f>(G726-AM726)/G726</f>
        <v/>
      </c>
      <c r="AX726" s="254">
        <f>IF(AND(ISNUMBER(E726),ISNUMBER(W726)),E726-W726,"")</f>
        <v/>
      </c>
      <c r="AY726" s="254">
        <f>IF(AND(ISNUMBER(I726),ISNUMBER(AF726)),I726-AF726,"")</f>
        <v/>
      </c>
      <c r="AZ726" s="254">
        <f>IF(AND(ISNUMBER(AM726),ISNUMBER(G726)),G726-AM726,"")</f>
        <v/>
      </c>
      <c r="BA726" s="254">
        <f>IF(AND(ISNUMBER(AC726),ISNUMBER(AE726)),AC726-AE726,"")</f>
        <v/>
      </c>
      <c r="BB726" s="254">
        <f>IF(AND(ISNUMBER(AL726),ISNUMBER(AM726)),AL726-AM726,"")</f>
        <v/>
      </c>
      <c r="BH726" s="6">
        <f>IF(OR(AJ726=0,AP726=0,NOT(ISNUMBER(AD726)),NOT(ISNUMBER(AF726)),NOT(ISNUMBER(AJ726)),NOT(ISNUMBER(AP726))),"",
IFERROR(IF((AD726-AF726)/(AJ726/60)/(AP726/1000)&lt;=0,"",(AD726-AF726)/(AJ726/60)/(AP726/1000)),""))</f>
        <v/>
      </c>
    </row>
    <row r="727" ht="15.75" customHeight="1">
      <c r="B727" t="n">
        <v>483</v>
      </c>
      <c r="D727" s="11" t="n">
        <v>45987</v>
      </c>
      <c r="E727" s="231" t="n">
        <v>483</v>
      </c>
      <c r="F727" s="3" t="n">
        <v>722</v>
      </c>
      <c r="G727" s="205">
        <f>IF(OR(S727="",S727=0),"",S727*2)</f>
        <v/>
      </c>
      <c r="K727" s="15">
        <f>AD727</f>
        <v/>
      </c>
      <c r="M727" s="10">
        <f>IF(OR(E727="",G727="",E727=0,G727=0),"",E727/G727)</f>
        <v/>
      </c>
      <c r="N727" s="9">
        <f>IF(OR(E727="",I727="",E727=0,I727=0),"",E727/(I727*2))</f>
        <v/>
      </c>
      <c r="O727" s="8">
        <f>IF(OR(I727="",G727="",I727=0,G727=0),"",I727*2/G727)</f>
        <v/>
      </c>
      <c r="AD727" s="5" t="n">
        <v>80</v>
      </c>
      <c r="AI727" s="231" t="n">
        <v>0.48</v>
      </c>
      <c r="AJ727" s="20" t="n">
        <v>0.4021990740740741</v>
      </c>
      <c r="AL727" s="231" t="n">
        <v>31</v>
      </c>
      <c r="AM727" s="3">
        <f>180+60</f>
        <v/>
      </c>
      <c r="AP727" s="3" t="n">
        <v>40</v>
      </c>
      <c r="AR727" s="13">
        <f>AVERAGE(AO725:AO731)</f>
        <v/>
      </c>
      <c r="AT727" s="156" t="n"/>
      <c r="AU727" s="155">
        <f>(I727-AF727)/I727</f>
        <v/>
      </c>
      <c r="AV727" s="155">
        <f>AG727/(AD727-AF727)</f>
        <v/>
      </c>
      <c r="AW727" s="155">
        <f>(G727-AM727)/G727</f>
        <v/>
      </c>
      <c r="AX727" s="254">
        <f>IF(AND(ISNUMBER(E727),ISNUMBER(W727)),E727-W727,"")</f>
        <v/>
      </c>
      <c r="AY727" s="254">
        <f>IF(AND(ISNUMBER(I727),ISNUMBER(AF727)),I727-AF727,"")</f>
        <v/>
      </c>
      <c r="AZ727" s="254">
        <f>IF(AND(ISNUMBER(AM727),ISNUMBER(G727)),G727-AM727,"")</f>
        <v/>
      </c>
      <c r="BA727" s="254">
        <f>IF(AND(ISNUMBER(AC727),ISNUMBER(AE727)),AC727-AE727,"")</f>
        <v/>
      </c>
      <c r="BB727" s="254">
        <f>IF(AND(ISNUMBER(AL727),ISNUMBER(AM727)),AL727-AM727,"")</f>
        <v/>
      </c>
      <c r="BH727" s="6">
        <f>IF(OR(AJ727=0,AP727=0,NOT(ISNUMBER(AD727)),NOT(ISNUMBER(AF727)),NOT(ISNUMBER(AJ727)),NOT(ISNUMBER(AP727))),"",
IFERROR(IF((AD727-AF727)/(AJ727/60)/(AP727/1000)&lt;=0,"",(AD727-AF727)/(AJ727/60)/(AP727/1000)),""))</f>
        <v/>
      </c>
    </row>
    <row r="728" ht="15.75" customHeight="1">
      <c r="A728" s="260" t="inlineStr">
        <is>
          <t>B92</t>
        </is>
      </c>
      <c r="B728" s="260" t="n">
        <v>484</v>
      </c>
      <c r="D728" s="11" t="n">
        <v>45988</v>
      </c>
      <c r="E728" s="231" t="n">
        <v>484</v>
      </c>
      <c r="F728" s="3" t="n">
        <v>723</v>
      </c>
      <c r="G728" s="205">
        <f>IF(OR(S728="",S728=0),"",S728*2)</f>
        <v/>
      </c>
      <c r="K728" s="15">
        <f>AD728</f>
        <v/>
      </c>
      <c r="M728" s="10">
        <f>IF(OR(E728="",G728="",E728=0,G728=0),"",E728/G728)</f>
        <v/>
      </c>
      <c r="N728" s="9">
        <f>IF(OR(E728="",I728="",E728=0,I728=0),"",E728/(I728*2))</f>
        <v/>
      </c>
      <c r="O728" s="8">
        <f>IF(OR(I728="",G728="",I728=0,G728=0),"",I728*2/G728)</f>
        <v/>
      </c>
      <c r="AD728" s="5" t="n">
        <v>80</v>
      </c>
      <c r="AI728" s="231" t="n">
        <v>0.41</v>
      </c>
      <c r="AJ728" s="20" t="n">
        <v>0.4010416666666667</v>
      </c>
      <c r="AL728" s="231" t="n">
        <v>31</v>
      </c>
      <c r="AM728" s="3">
        <f>180+60</f>
        <v/>
      </c>
      <c r="AP728" s="3" t="n">
        <v>40</v>
      </c>
      <c r="AR728" s="13">
        <f>AVERAGE(AO726:AO732)</f>
        <v/>
      </c>
      <c r="AT728" s="156" t="n"/>
      <c r="AU728" s="155">
        <f>(I728-AF728)/I728</f>
        <v/>
      </c>
      <c r="AV728" s="155">
        <f>AG728/(AD728-AF728)</f>
        <v/>
      </c>
      <c r="AW728" s="155">
        <f>(G728-AM728)/G728</f>
        <v/>
      </c>
      <c r="AX728" s="254">
        <f>IF(AND(ISNUMBER(E728),ISNUMBER(W728)),E728-W728,"")</f>
        <v/>
      </c>
      <c r="AY728" s="254">
        <f>IF(AND(ISNUMBER(I728),ISNUMBER(AF728)),I728-AF728,"")</f>
        <v/>
      </c>
      <c r="AZ728" s="254">
        <f>IF(AND(ISNUMBER(AM728),ISNUMBER(G728)),G728-AM728,"")</f>
        <v/>
      </c>
      <c r="BA728" s="254">
        <f>IF(AND(ISNUMBER(AC728),ISNUMBER(AE728)),AC728-AE728,"")</f>
        <v/>
      </c>
      <c r="BB728" s="254">
        <f>IF(AND(ISNUMBER(AL728),ISNUMBER(AM728)),AL728-AM728,"")</f>
        <v/>
      </c>
      <c r="BH728" s="6">
        <f>IF(OR(AJ728=0,AP728=0,NOT(ISNUMBER(AD728)),NOT(ISNUMBER(AF728)),NOT(ISNUMBER(AJ728)),NOT(ISNUMBER(AP728))),"",
IFERROR(IF((AD728-AF728)/(AJ728/60)/(AP728/1000)&lt;=0,"",(AD728-AF728)/(AJ728/60)/(AP728/1000)),""))</f>
        <v/>
      </c>
    </row>
    <row r="729" ht="15.75" customHeight="1">
      <c r="B729" t="n">
        <v>485</v>
      </c>
      <c r="D729" s="11" t="n">
        <v>45989</v>
      </c>
      <c r="E729" s="231" t="n">
        <v>485</v>
      </c>
      <c r="F729" s="3" t="n">
        <v>724</v>
      </c>
      <c r="G729" s="205">
        <f>IF(OR(S729="",S729=0),"",S729*2)</f>
        <v/>
      </c>
      <c r="K729" s="15">
        <f>AD729</f>
        <v/>
      </c>
      <c r="M729" s="10">
        <f>IF(OR(E729="",G729="",E729=0,G729=0),"",E729/G729)</f>
        <v/>
      </c>
      <c r="N729" s="9">
        <f>IF(OR(E729="",I729="",E729=0,I729=0),"",E729/(I729*2))</f>
        <v/>
      </c>
      <c r="O729" s="8">
        <f>IF(OR(I729="",G729="",I729=0,G729=0),"",I729*2/G729)</f>
        <v/>
      </c>
      <c r="AD729" s="5" t="n">
        <v>80</v>
      </c>
      <c r="AI729" s="231" t="n">
        <v>0.14</v>
      </c>
      <c r="AJ729" s="20" t="n">
        <v>0.4010416666666667</v>
      </c>
      <c r="AL729" s="231" t="n">
        <v>29</v>
      </c>
      <c r="AM729" s="3">
        <f>180+60</f>
        <v/>
      </c>
      <c r="AP729" s="3" t="n">
        <v>40</v>
      </c>
      <c r="AR729" s="13">
        <f>AVERAGE(AO727:AO733)</f>
        <v/>
      </c>
      <c r="AT729" s="156" t="n"/>
      <c r="AU729" s="155">
        <f>(I729-AF729)/I729</f>
        <v/>
      </c>
      <c r="AV729" s="155">
        <f>AG729/(AD729-AF729)</f>
        <v/>
      </c>
      <c r="AW729" s="155">
        <f>(G729-AM729)/G729</f>
        <v/>
      </c>
      <c r="AX729" s="254">
        <f>IF(AND(ISNUMBER(E729),ISNUMBER(W729)),E729-W729,"")</f>
        <v/>
      </c>
      <c r="AY729" s="254">
        <f>IF(AND(ISNUMBER(I729),ISNUMBER(AF729)),I729-AF729,"")</f>
        <v/>
      </c>
      <c r="AZ729" s="254">
        <f>IF(AND(ISNUMBER(AM729),ISNUMBER(G729)),G729-AM729,"")</f>
        <v/>
      </c>
      <c r="BA729" s="254">
        <f>IF(AND(ISNUMBER(AC729),ISNUMBER(AE729)),AC729-AE729,"")</f>
        <v/>
      </c>
      <c r="BB729" s="254">
        <f>IF(AND(ISNUMBER(AL729),ISNUMBER(AM729)),AL729-AM729,"")</f>
        <v/>
      </c>
      <c r="BH729" s="6" t="n"/>
    </row>
    <row r="730" ht="15.75" customHeight="1">
      <c r="B730" t="n">
        <v>486</v>
      </c>
      <c r="D730" s="11" t="n">
        <v>45990</v>
      </c>
      <c r="E730" s="231" t="n">
        <v>486</v>
      </c>
      <c r="F730" s="3" t="n">
        <v>725</v>
      </c>
      <c r="G730" s="205">
        <f>IF(OR(S730="",S730=0),"",S730*2)</f>
        <v/>
      </c>
      <c r="K730" s="15">
        <f>AD730</f>
        <v/>
      </c>
      <c r="M730" s="10">
        <f>IF(OR(E730="",G730="",E730=0,G730=0),"",E730/G730)</f>
        <v/>
      </c>
      <c r="N730" s="9">
        <f>IF(OR(E730="",I730="",E730=0,I730=0),"",E730/(I730*2))</f>
        <v/>
      </c>
      <c r="O730" s="8">
        <f>IF(OR(I730="",G730="",I730=0,G730=0),"",I730*2/G730)</f>
        <v/>
      </c>
      <c r="AD730" s="5" t="n">
        <v>80</v>
      </c>
      <c r="AI730" s="231" t="n">
        <v>0.11</v>
      </c>
      <c r="AJ730" s="20" t="n">
        <v>0.4</v>
      </c>
      <c r="AL730" s="231" t="n">
        <v>27</v>
      </c>
      <c r="AM730" s="3">
        <f>180+60</f>
        <v/>
      </c>
      <c r="AP730" s="3" t="n">
        <v>40</v>
      </c>
      <c r="AR730" s="13">
        <f>AVERAGE(AO728:AO734)</f>
        <v/>
      </c>
      <c r="AT730" s="156" t="n"/>
      <c r="AU730" s="155">
        <f>(I730-AF730)/I730</f>
        <v/>
      </c>
      <c r="AV730" s="155">
        <f>AG730/(AD730-AF730)</f>
        <v/>
      </c>
      <c r="AW730" s="155">
        <f>(G730-AM730)/G730</f>
        <v/>
      </c>
      <c r="AX730" s="254">
        <f>IF(AND(ISNUMBER(E730),ISNUMBER(W730)),E730-W730,"")</f>
        <v/>
      </c>
      <c r="AY730" s="254">
        <f>IF(AND(ISNUMBER(I730),ISNUMBER(AF730)),I730-AF730,"")</f>
        <v/>
      </c>
      <c r="AZ730" s="254">
        <f>IF(AND(ISNUMBER(AM730),ISNUMBER(G730)),G730-AM730,"")</f>
        <v/>
      </c>
      <c r="BA730" s="254">
        <f>IF(AND(ISNUMBER(AC730),ISNUMBER(AE730)),AC730-AE730,"")</f>
        <v/>
      </c>
      <c r="BB730" s="254">
        <f>IF(AND(ISNUMBER(AL730),ISNUMBER(AM730)),AL730-AM730,"")</f>
        <v/>
      </c>
      <c r="BH730" s="6" t="n"/>
    </row>
    <row r="731" ht="15.75" customHeight="1">
      <c r="B731" t="n">
        <v>487</v>
      </c>
      <c r="D731" s="11" t="n">
        <v>45991</v>
      </c>
      <c r="E731" s="231" t="n">
        <v>487</v>
      </c>
      <c r="F731" s="3" t="n">
        <v>726</v>
      </c>
      <c r="G731" s="205">
        <f>IF(OR(S731="",S731=0),"",S731*2)</f>
        <v/>
      </c>
      <c r="K731" s="15">
        <f>AD731</f>
        <v/>
      </c>
      <c r="M731" s="10">
        <f>IF(OR(E731="",G731="",E731=0,G731=0),"",E731/G731)</f>
        <v/>
      </c>
      <c r="N731" s="9">
        <f>IF(OR(E731="",I731="",E731=0,I731=0),"",E731/(I731*2))</f>
        <v/>
      </c>
      <c r="O731" s="8">
        <f>IF(OR(I731="",G731="",I731=0,G731=0),"",I731*2/G731)</f>
        <v/>
      </c>
      <c r="AD731" s="5" t="n">
        <v>80</v>
      </c>
      <c r="AI731" s="231" t="n">
        <v>0.08</v>
      </c>
      <c r="AJ731" s="20" t="n">
        <v>0.3993055555555556</v>
      </c>
      <c r="AL731" s="231" t="n">
        <v>29</v>
      </c>
      <c r="AM731" s="3">
        <f>180+60</f>
        <v/>
      </c>
      <c r="AP731" s="3" t="n">
        <v>40</v>
      </c>
      <c r="AR731" s="13">
        <f>AVERAGE(AO729:AO735)</f>
        <v/>
      </c>
      <c r="AT731" s="156" t="n"/>
      <c r="AU731" s="155">
        <f>(I731-AF731)/I731</f>
        <v/>
      </c>
      <c r="AV731" s="155">
        <f>AG731/(AD731-AF731)</f>
        <v/>
      </c>
      <c r="AW731" s="155">
        <f>(G731-AM731)/G731</f>
        <v/>
      </c>
      <c r="AX731" s="254">
        <f>IF(AND(ISNUMBER(E731),ISNUMBER(W731)),E731-W731,"")</f>
        <v/>
      </c>
      <c r="AY731" s="254">
        <f>IF(AND(ISNUMBER(I731),ISNUMBER(AF731)),I731-AF731,"")</f>
        <v/>
      </c>
      <c r="AZ731" s="254">
        <f>IF(AND(ISNUMBER(AM731),ISNUMBER(G731)),G731-AM731,"")</f>
        <v/>
      </c>
      <c r="BA731" s="254">
        <f>IF(AND(ISNUMBER(AC731),ISNUMBER(AE731)),AC731-AE731,"")</f>
        <v/>
      </c>
      <c r="BB731" s="254">
        <f>IF(AND(ISNUMBER(AL731),ISNUMBER(AM731)),AL731-AM731,"")</f>
        <v/>
      </c>
      <c r="BH731" s="6" t="n"/>
    </row>
    <row r="732" ht="15.75" customHeight="1">
      <c r="B732" t="n">
        <v>488</v>
      </c>
      <c r="D732" s="11" t="n">
        <v>45992</v>
      </c>
      <c r="E732" s="231" t="n">
        <v>488</v>
      </c>
      <c r="F732" s="3" t="n">
        <v>727</v>
      </c>
      <c r="G732" s="205">
        <f>IF(OR(S732="",S732=0),"",S732*2)</f>
        <v/>
      </c>
      <c r="K732" s="15">
        <f>AD732</f>
        <v/>
      </c>
      <c r="M732" s="10">
        <f>IF(OR(E732="",G732="",E732=0,G732=0),"",E732/G732)</f>
        <v/>
      </c>
      <c r="N732" s="9">
        <f>IF(OR(E732="",I732="",E732=0,I732=0),"",E732/(I732*2))</f>
        <v/>
      </c>
      <c r="O732" s="8">
        <f>IF(OR(I732="",G732="",I732=0,G732=0),"",I732*2/G732)</f>
        <v/>
      </c>
      <c r="AD732" s="5" t="n">
        <v>80</v>
      </c>
      <c r="AI732" s="231" t="n">
        <v>0.08</v>
      </c>
      <c r="AJ732" s="20" t="n">
        <v>0.3993055555555556</v>
      </c>
      <c r="AL732" s="231" t="n">
        <v>29</v>
      </c>
      <c r="AM732" s="3">
        <f>180+60</f>
        <v/>
      </c>
      <c r="AP732" s="3" t="n">
        <v>40</v>
      </c>
      <c r="AR732" s="13">
        <f>AVERAGE(AO730:AO736)</f>
        <v/>
      </c>
      <c r="AT732" s="156" t="n"/>
      <c r="AU732" s="155">
        <f>(I732-AF732)/I732</f>
        <v/>
      </c>
      <c r="AV732" s="155">
        <f>AG732/(AD732-AF732)</f>
        <v/>
      </c>
      <c r="AW732" s="155">
        <f>(G732-AM732)/G732</f>
        <v/>
      </c>
      <c r="AX732" s="254">
        <f>IF(AND(ISNUMBER(E732),ISNUMBER(W732)),E732-W732,"")</f>
        <v/>
      </c>
      <c r="AY732" s="254">
        <f>IF(AND(ISNUMBER(I732),ISNUMBER(AF732)),I732-AF732,"")</f>
        <v/>
      </c>
      <c r="AZ732" s="254">
        <f>IF(AND(ISNUMBER(AM732),ISNUMBER(G732)),G732-AM732,"")</f>
        <v/>
      </c>
      <c r="BA732" s="254">
        <f>IF(AND(ISNUMBER(AC732),ISNUMBER(AE732)),AC732-AE732,"")</f>
        <v/>
      </c>
      <c r="BB732" s="254">
        <f>IF(AND(ISNUMBER(AL732),ISNUMBER(AM732)),AL732-AM732,"")</f>
        <v/>
      </c>
      <c r="BH732" s="6" t="n"/>
    </row>
    <row r="733" ht="15.75" customHeight="1">
      <c r="B733" t="n">
        <v>489</v>
      </c>
      <c r="D733" s="11" t="n">
        <v>45993</v>
      </c>
      <c r="E733" s="231" t="n">
        <v>489</v>
      </c>
      <c r="F733" s="3" t="n">
        <v>728</v>
      </c>
      <c r="G733" s="205">
        <f>IF(OR(S733="",S733=0),"",S733*2)</f>
        <v/>
      </c>
      <c r="K733" s="15">
        <f>AD733</f>
        <v/>
      </c>
      <c r="M733" s="10">
        <f>IF(OR(E733="",G733="",E733=0,G733=0),"",E733/G733)</f>
        <v/>
      </c>
      <c r="N733" s="9">
        <f>IF(OR(E733="",I733="",E733=0,I733=0),"",E733/(I733*2))</f>
        <v/>
      </c>
      <c r="O733" s="8">
        <f>IF(OR(I733="",G733="",I733=0,G733=0),"",I733*2/G733)</f>
        <v/>
      </c>
      <c r="AD733" s="5" t="n">
        <v>80</v>
      </c>
      <c r="AI733" s="231" t="n">
        <v>0.16</v>
      </c>
      <c r="AJ733" s="20" t="n">
        <v>0.4047453703703704</v>
      </c>
      <c r="AL733" s="231" t="n">
        <v>31</v>
      </c>
      <c r="AM733" s="3">
        <f>180+60</f>
        <v/>
      </c>
      <c r="AP733" s="3" t="n">
        <v>40</v>
      </c>
      <c r="AR733" s="13">
        <f>AVERAGE(AO731:AO737)</f>
        <v/>
      </c>
      <c r="AT733" s="156" t="n"/>
      <c r="AU733" s="155">
        <f>(I733-AF733)/I733</f>
        <v/>
      </c>
      <c r="AV733" s="155">
        <f>AG733/(AD733-AF733)</f>
        <v/>
      </c>
      <c r="AW733" s="155">
        <f>(G733-AM733)/G733</f>
        <v/>
      </c>
      <c r="AX733" s="254">
        <f>IF(AND(ISNUMBER(E733),ISNUMBER(W733)),E733-W733,"")</f>
        <v/>
      </c>
      <c r="AY733" s="254">
        <f>IF(AND(ISNUMBER(I733),ISNUMBER(AF733)),I733-AF733,"")</f>
        <v/>
      </c>
      <c r="AZ733" s="254">
        <f>IF(AND(ISNUMBER(AM733),ISNUMBER(G733)),G733-AM733,"")</f>
        <v/>
      </c>
      <c r="BA733" s="254">
        <f>IF(AND(ISNUMBER(AC733),ISNUMBER(AE733)),AC733-AE733,"")</f>
        <v/>
      </c>
      <c r="BB733" s="254">
        <f>IF(AND(ISNUMBER(AL733),ISNUMBER(AM733)),AL733-AM733,"")</f>
        <v/>
      </c>
      <c r="BH733" s="6">
        <f>IF(OR(AJ733=0,AP733=0,NOT(ISNUMBER(AD733)),NOT(ISNUMBER(AF733)),NOT(ISNUMBER(AJ733)),NOT(ISNUMBER(AP733))),"",
IFERROR(IF((AD733-AF733)/(AJ733/60)/(AP733/1000)&lt;=0,"",(AD733-AF733)/(AJ733/60)/(AP733/1000)),""))</f>
        <v/>
      </c>
    </row>
    <row r="734" ht="15.75" customHeight="1">
      <c r="B734" t="n">
        <v>490</v>
      </c>
      <c r="C734" s="25" t="inlineStr">
        <is>
          <t>adjust anoxic to be 9:30 -11:00</t>
        </is>
      </c>
      <c r="D734" s="11" t="n">
        <v>45994</v>
      </c>
      <c r="E734" s="231" t="n">
        <v>490</v>
      </c>
      <c r="F734" s="3" t="n">
        <v>729</v>
      </c>
      <c r="G734" s="205">
        <f>IF(OR(S734="",S734=0),"",S734*2)</f>
        <v/>
      </c>
      <c r="K734" s="15">
        <f>AD734</f>
        <v/>
      </c>
      <c r="M734" s="10">
        <f>IF(OR(E734="",G734="",E734=0,G734=0),"",E734/G734)</f>
        <v/>
      </c>
      <c r="N734" s="9">
        <f>IF(OR(E734="",I734="",E734=0,I734=0),"",E734/(I734*2))</f>
        <v/>
      </c>
      <c r="O734" s="8">
        <f>IF(OR(I734="",G734="",I734=0,G734=0),"",I734*2/G734)</f>
        <v/>
      </c>
      <c r="AD734" s="5" t="n">
        <v>80</v>
      </c>
      <c r="AI734" s="231" t="n">
        <v>0.16</v>
      </c>
      <c r="AJ734" s="20" t="n">
        <v>0.4543981481481482</v>
      </c>
      <c r="AL734" s="231" t="n">
        <v>21</v>
      </c>
      <c r="AM734" s="3">
        <f>180+60</f>
        <v/>
      </c>
      <c r="AP734" s="3" t="n">
        <v>40</v>
      </c>
      <c r="AR734" s="13">
        <f>AVERAGE(AO732:AO738)</f>
        <v/>
      </c>
      <c r="AT734" s="156" t="n"/>
      <c r="AU734" s="155">
        <f>(I734-AF734)/I734</f>
        <v/>
      </c>
      <c r="AV734" s="155">
        <f>AG734/(AD734-AF734)</f>
        <v/>
      </c>
      <c r="AW734" s="155">
        <f>(G734-AM734)/G734</f>
        <v/>
      </c>
      <c r="AX734" s="254">
        <f>IF(AND(ISNUMBER(E734),ISNUMBER(W734)),E734-W734,"")</f>
        <v/>
      </c>
      <c r="AY734" s="254">
        <f>IF(AND(ISNUMBER(I734),ISNUMBER(AF734)),I734-AF734,"")</f>
        <v/>
      </c>
      <c r="AZ734" s="254">
        <f>IF(AND(ISNUMBER(AM734),ISNUMBER(G734)),G734-AM734,"")</f>
        <v/>
      </c>
      <c r="BA734" s="254">
        <f>IF(AND(ISNUMBER(AC734),ISNUMBER(AE734)),AC734-AE734,"")</f>
        <v/>
      </c>
      <c r="BB734" s="254">
        <f>IF(AND(ISNUMBER(AL734),ISNUMBER(AM734)),AL734-AM734,"")</f>
        <v/>
      </c>
      <c r="BH734" s="6">
        <f>IF(OR(AJ734=0,AP734=0,NOT(ISNUMBER(AD734)),NOT(ISNUMBER(AF734)),NOT(ISNUMBER(AJ734)),NOT(ISNUMBER(AP734))),"",
IFERROR(IF((AD734-AF734)/(AJ734/60)/(AP734/1000)&lt;=0,"",(AD734-AF734)/(AJ734/60)/(AP734/1000)),""))</f>
        <v/>
      </c>
    </row>
    <row r="735" ht="15.75" customHeight="1">
      <c r="B735" t="n">
        <v>491</v>
      </c>
      <c r="D735" s="11" t="n">
        <v>45995</v>
      </c>
      <c r="E735" s="231" t="n">
        <v>491</v>
      </c>
      <c r="F735" s="3" t="n">
        <v>730</v>
      </c>
      <c r="G735" s="205">
        <f>IF(OR(S735="",S735=0),"",S735*2)</f>
        <v/>
      </c>
      <c r="K735" s="15">
        <f>AD735</f>
        <v/>
      </c>
      <c r="M735" s="10">
        <f>IF(OR(E735="",G735="",E735=0,G735=0),"",E735/G735)</f>
        <v/>
      </c>
      <c r="N735" s="9">
        <f>IF(OR(E735="",I735="",E735=0,I735=0),"",E735/(I735*2))</f>
        <v/>
      </c>
      <c r="O735" s="8">
        <f>IF(OR(I735="",G735="",I735=0,G735=0),"",I735*2/G735)</f>
        <v/>
      </c>
      <c r="AD735" s="5" t="n">
        <v>80</v>
      </c>
      <c r="AI735" s="231" t="n">
        <v>0.1</v>
      </c>
      <c r="AJ735" s="20" t="n">
        <v>0.4711805555555555</v>
      </c>
      <c r="AL735" s="231" t="n">
        <v>113</v>
      </c>
      <c r="AM735" s="3">
        <f>180+60</f>
        <v/>
      </c>
      <c r="AP735" s="3" t="n">
        <v>40</v>
      </c>
      <c r="AR735" s="13">
        <f>AVERAGE(AO733:AO739)</f>
        <v/>
      </c>
      <c r="AT735" s="156" t="n"/>
      <c r="AU735" s="155">
        <f>(I735-AF735)/I735</f>
        <v/>
      </c>
      <c r="AV735" s="155">
        <f>AG735/(AD735-AF735)</f>
        <v/>
      </c>
      <c r="AW735" s="155">
        <f>(G735-AM735)/G735</f>
        <v/>
      </c>
      <c r="AX735" s="254">
        <f>IF(AND(ISNUMBER(E735),ISNUMBER(W735)),E735-W735,"")</f>
        <v/>
      </c>
      <c r="AY735" s="254">
        <f>IF(AND(ISNUMBER(I735),ISNUMBER(AF735)),I735-AF735,"")</f>
        <v/>
      </c>
      <c r="AZ735" s="254">
        <f>IF(AND(ISNUMBER(AM735),ISNUMBER(G735)),G735-AM735,"")</f>
        <v/>
      </c>
      <c r="BA735" s="254">
        <f>IF(AND(ISNUMBER(AC735),ISNUMBER(AE735)),AC735-AE735,"")</f>
        <v/>
      </c>
      <c r="BB735" s="254">
        <f>IF(AND(ISNUMBER(AL735),ISNUMBER(AM735)),AL735-AM735,"")</f>
        <v/>
      </c>
      <c r="BH735" s="6">
        <f>IF(OR(AJ735=0,AP735=0,NOT(ISNUMBER(AD735)),NOT(ISNUMBER(AF735)),NOT(ISNUMBER(AJ735)),NOT(ISNUMBER(AP735))),"",
IFERROR(IF((AD735-AF735)/(AJ735/60)/(AP735/1000)&lt;=0,"",(AD735-AF735)/(AJ735/60)/(AP735/1000)),""))</f>
        <v/>
      </c>
    </row>
    <row r="736" ht="15.75" customHeight="1">
      <c r="B736" t="n">
        <v>492</v>
      </c>
      <c r="D736" s="11" t="n">
        <v>45996</v>
      </c>
      <c r="E736" s="231" t="n">
        <v>492</v>
      </c>
      <c r="F736" s="3" t="n">
        <v>731</v>
      </c>
      <c r="G736" s="205">
        <f>IF(OR(S736="",S736=0),"",S736*2)</f>
        <v/>
      </c>
      <c r="K736" s="15">
        <f>AD736</f>
        <v/>
      </c>
      <c r="M736" s="10">
        <f>IF(OR(E736="",G736="",E736=0,G736=0),"",E736/G736)</f>
        <v/>
      </c>
      <c r="N736" s="9">
        <f>IF(OR(E736="",I736="",E736=0,I736=0),"",E736/(I736*2))</f>
        <v/>
      </c>
      <c r="O736" s="8">
        <f>IF(OR(I736="",G736="",I736=0,G736=0),"",I736*2/G736)</f>
        <v/>
      </c>
      <c r="Q736" s="6" t="n">
        <v>15.694</v>
      </c>
      <c r="R736" s="6" t="n">
        <v>51.713</v>
      </c>
      <c r="S736" s="6">
        <f>O736*1.067</f>
        <v/>
      </c>
      <c r="T736" s="6">
        <f>P736*1.514</f>
        <v/>
      </c>
      <c r="U736" s="6">
        <f>Q736+R736</f>
        <v/>
      </c>
      <c r="Y736" s="23">
        <f>U736*1.067+V736*1.514</f>
        <v/>
      </c>
      <c r="AD736" s="5" t="n">
        <v>80</v>
      </c>
      <c r="AI736" s="231" t="n">
        <v>0.08</v>
      </c>
      <c r="AJ736" s="20" t="n">
        <v>0.4465277777777778</v>
      </c>
      <c r="AL736" s="231" t="n">
        <v>111</v>
      </c>
      <c r="AM736" s="3">
        <f>180+60</f>
        <v/>
      </c>
      <c r="AP736" s="3" t="n">
        <v>40</v>
      </c>
      <c r="AQ736" s="2" t="n">
        <v>2949.999999999955</v>
      </c>
      <c r="AR736" s="13">
        <f>AVERAGE(AO734:AO740)</f>
        <v/>
      </c>
      <c r="AT736" s="156">
        <f>(E736-W736)/E736</f>
        <v/>
      </c>
      <c r="AU736" s="155">
        <f>(I736-AF736)/I736</f>
        <v/>
      </c>
      <c r="AV736" s="155">
        <f>AG736/(AD736-AF736)</f>
        <v/>
      </c>
      <c r="AW736" s="155">
        <f>(G736-AM736)/G736</f>
        <v/>
      </c>
      <c r="AX736" s="254">
        <f>IF(AND(ISNUMBER(E736),ISNUMBER(W736)),E736-W736,"")</f>
        <v/>
      </c>
      <c r="AY736" s="254">
        <f>IF(AND(ISNUMBER(I736),ISNUMBER(AF736)),I736-AF736,"")</f>
        <v/>
      </c>
      <c r="AZ736" s="254">
        <f>IF(AND(ISNUMBER(AM736),ISNUMBER(G736)),G736-AM736,"")</f>
        <v/>
      </c>
      <c r="BA736" s="254">
        <f>IF(AND(ISNUMBER(AC736),ISNUMBER(AE736)),AC736-AE736,"")</f>
        <v/>
      </c>
      <c r="BB736" s="254">
        <f>IF(AND(ISNUMBER(AL736),ISNUMBER(AM736)),AL736-AM736,"")</f>
        <v/>
      </c>
      <c r="BH736" s="6">
        <f>IF(OR(AJ736=0,AP736=0,NOT(ISNUMBER(AD736)),NOT(ISNUMBER(AF736)),NOT(ISNUMBER(AJ736)),NOT(ISNUMBER(AP736))),"",
IFERROR(IF((AD736-AF736)/(AJ736/60)/(AP736/1000)&lt;=0,"",(AD736-AF736)/(AJ736/60)/(AP736/1000)),""))</f>
        <v/>
      </c>
    </row>
    <row r="737" ht="15.75" customHeight="1">
      <c r="A737" s="260" t="inlineStr">
        <is>
          <t>B93</t>
        </is>
      </c>
      <c r="B737" s="260" t="n">
        <v>493</v>
      </c>
      <c r="D737" s="11" t="n">
        <v>45997</v>
      </c>
      <c r="E737" s="231" t="n">
        <v>493</v>
      </c>
      <c r="F737" s="3" t="n">
        <v>732</v>
      </c>
      <c r="G737" s="205">
        <f>IF(OR(S737="",S737=0),"",S737*2)</f>
        <v/>
      </c>
      <c r="K737" s="15">
        <f>AD737</f>
        <v/>
      </c>
      <c r="M737" s="10">
        <f>IF(OR(E737="",G737="",E737=0,G737=0),"",E737/G737)</f>
        <v/>
      </c>
      <c r="N737" s="9">
        <f>IF(OR(E737="",I737="",E737=0,I737=0),"",E737/(I737*2))</f>
        <v/>
      </c>
      <c r="O737" s="8">
        <f>IF(OR(I737="",G737="",I737=0,G737=0),"",I737*2/G737)</f>
        <v/>
      </c>
      <c r="AD737" s="5" t="n">
        <v>80</v>
      </c>
      <c r="AI737" s="231" t="n">
        <v>0.08</v>
      </c>
      <c r="AJ737" s="20" t="n">
        <v>0.4284722222222222</v>
      </c>
      <c r="AL737" s="231" t="n">
        <v>115</v>
      </c>
      <c r="AM737" s="3">
        <f>180+60</f>
        <v/>
      </c>
      <c r="AP737" s="3" t="n">
        <v>40</v>
      </c>
      <c r="AR737" s="13">
        <f>AVERAGE(AO735:AO741)</f>
        <v/>
      </c>
      <c r="AT737" s="156" t="n"/>
      <c r="AU737" s="155">
        <f>(I737-AF737)/I737</f>
        <v/>
      </c>
      <c r="AV737" s="155">
        <f>AG737/(AD737-AF737)</f>
        <v/>
      </c>
      <c r="AW737" s="155">
        <f>(G737-AM737)/G737</f>
        <v/>
      </c>
      <c r="AX737" s="254">
        <f>IF(AND(ISNUMBER(E737),ISNUMBER(W737)),E737-W737,"")</f>
        <v/>
      </c>
      <c r="AY737" s="254">
        <f>IF(AND(ISNUMBER(I737),ISNUMBER(AF737)),I737-AF737,"")</f>
        <v/>
      </c>
      <c r="AZ737" s="254">
        <f>IF(AND(ISNUMBER(AM737),ISNUMBER(G737)),G737-AM737,"")</f>
        <v/>
      </c>
      <c r="BA737" s="254">
        <f>IF(AND(ISNUMBER(AC737),ISNUMBER(AE737)),AC737-AE737,"")</f>
        <v/>
      </c>
      <c r="BB737" s="254">
        <f>IF(AND(ISNUMBER(AL737),ISNUMBER(AM737)),AL737-AM737,"")</f>
        <v/>
      </c>
      <c r="BH737" s="6">
        <f>IF(OR(AJ737=0,AP737=0,NOT(ISNUMBER(AD737)),NOT(ISNUMBER(AF737)),NOT(ISNUMBER(AJ737)),NOT(ISNUMBER(AP737))),"",
IFERROR(IF((AD737-AF737)/(AJ737/60)/(AP737/1000)&lt;=0,"",(AD737-AF737)/(AJ737/60)/(AP737/1000)),""))</f>
        <v/>
      </c>
    </row>
    <row r="738" ht="15.75" customHeight="1">
      <c r="B738" t="n">
        <v>494</v>
      </c>
      <c r="D738" s="11" t="n">
        <v>45998</v>
      </c>
      <c r="E738" s="231" t="n">
        <v>494</v>
      </c>
      <c r="F738" s="3" t="n">
        <v>733</v>
      </c>
      <c r="G738" s="205">
        <f>IF(OR(S738="",S738=0),"",S738*2)</f>
        <v/>
      </c>
      <c r="K738" s="15">
        <f>AD738</f>
        <v/>
      </c>
      <c r="M738" s="10">
        <f>IF(OR(E738="",G738="",E738=0,G738=0),"",E738/G738)</f>
        <v/>
      </c>
      <c r="N738" s="9">
        <f>IF(OR(E738="",I738="",E738=0,I738=0),"",E738/(I738*2))</f>
        <v/>
      </c>
      <c r="O738" s="8">
        <f>IF(OR(I738="",G738="",I738=0,G738=0),"",I738*2/G738)</f>
        <v/>
      </c>
      <c r="AD738" s="5" t="n">
        <v>80</v>
      </c>
      <c r="AI738" s="231" t="n">
        <v>0.07000000000000001</v>
      </c>
      <c r="AJ738" s="20" t="n">
        <v>0.3993055555555556</v>
      </c>
      <c r="AL738" s="231" t="n">
        <v>113</v>
      </c>
      <c r="AM738" s="3">
        <f>180+60</f>
        <v/>
      </c>
      <c r="AP738" s="3" t="n">
        <v>40</v>
      </c>
      <c r="AR738" s="13">
        <f>AVERAGE(AO736:AO742)</f>
        <v/>
      </c>
      <c r="AT738" s="156" t="n"/>
      <c r="AU738" s="155">
        <f>(I738-AF738)/I738</f>
        <v/>
      </c>
      <c r="AV738" s="155">
        <f>AG738/(AD738-AF738)</f>
        <v/>
      </c>
      <c r="AW738" s="155">
        <f>(G738-AM738)/G738</f>
        <v/>
      </c>
      <c r="AX738" s="254">
        <f>IF(AND(ISNUMBER(E738),ISNUMBER(W738)),E738-W738,"")</f>
        <v/>
      </c>
      <c r="AY738" s="254">
        <f>IF(AND(ISNUMBER(I738),ISNUMBER(AF738)),I738-AF738,"")</f>
        <v/>
      </c>
      <c r="AZ738" s="254">
        <f>IF(AND(ISNUMBER(AM738),ISNUMBER(G738)),G738-AM738,"")</f>
        <v/>
      </c>
      <c r="BA738" s="254">
        <f>IF(AND(ISNUMBER(AC738),ISNUMBER(AE738)),AC738-AE738,"")</f>
        <v/>
      </c>
      <c r="BB738" s="254">
        <f>IF(AND(ISNUMBER(AL738),ISNUMBER(AM738)),AL738-AM738,"")</f>
        <v/>
      </c>
      <c r="BH738" s="6">
        <f>IF(OR(AJ738=0,AP738=0,NOT(ISNUMBER(AD738)),NOT(ISNUMBER(AF738)),NOT(ISNUMBER(AJ738)),NOT(ISNUMBER(AP738))),"",
IFERROR(IF((AD738-AF738)/(AJ738/60)/(AP738/1000)&lt;=0,"",(AD738-AF738)/(AJ738/60)/(AP738/1000)),""))</f>
        <v/>
      </c>
    </row>
    <row r="739" ht="15.75" customHeight="1">
      <c r="B739" t="n">
        <v>495</v>
      </c>
      <c r="D739" s="11" t="n">
        <v>45999</v>
      </c>
      <c r="E739" s="231" t="n">
        <v>495</v>
      </c>
      <c r="F739" s="3" t="n">
        <v>734</v>
      </c>
      <c r="G739" s="205">
        <f>IF(OR(S739="",S739=0),"",S739*2)</f>
        <v/>
      </c>
      <c r="K739" s="15">
        <f>AD739</f>
        <v/>
      </c>
      <c r="M739" s="10">
        <f>IF(OR(E739="",G739="",E739=0,G739=0),"",E739/G739)</f>
        <v/>
      </c>
      <c r="N739" s="9">
        <f>IF(OR(E739="",I739="",E739=0,I739=0),"",E739/(I739*2))</f>
        <v/>
      </c>
      <c r="O739" s="8">
        <f>IF(OR(I739="",G739="",I739=0,G739=0),"",I739*2/G739)</f>
        <v/>
      </c>
      <c r="AD739" s="5" t="n">
        <v>80</v>
      </c>
      <c r="AI739" s="231" t="n">
        <v>0.09</v>
      </c>
      <c r="AJ739" s="20" t="n">
        <v>0.4666666666666667</v>
      </c>
      <c r="AL739" s="231" t="n">
        <v>117</v>
      </c>
      <c r="AM739" s="3">
        <f>180+60</f>
        <v/>
      </c>
      <c r="AP739" s="3" t="n">
        <v>40</v>
      </c>
      <c r="AR739" s="13">
        <f>AVERAGE(AO737:AO743)</f>
        <v/>
      </c>
      <c r="AT739" s="156" t="n"/>
      <c r="AU739" s="155">
        <f>(I739-AF739)/I739</f>
        <v/>
      </c>
      <c r="AV739" s="155">
        <f>AG739/(AD739-AF739)</f>
        <v/>
      </c>
      <c r="AW739" s="155">
        <f>(G739-AM739)/G739</f>
        <v/>
      </c>
      <c r="AX739" s="254">
        <f>IF(AND(ISNUMBER(E739),ISNUMBER(W739)),E739-W739,"")</f>
        <v/>
      </c>
      <c r="AY739" s="254">
        <f>IF(AND(ISNUMBER(I739),ISNUMBER(AF739)),I739-AF739,"")</f>
        <v/>
      </c>
      <c r="AZ739" s="254">
        <f>IF(AND(ISNUMBER(AM739),ISNUMBER(G739)),G739-AM739,"")</f>
        <v/>
      </c>
      <c r="BA739" s="254">
        <f>IF(AND(ISNUMBER(AC739),ISNUMBER(AE739)),AC739-AE739,"")</f>
        <v/>
      </c>
      <c r="BB739" s="254">
        <f>IF(AND(ISNUMBER(AL739),ISNUMBER(AM739)),AL739-AM739,"")</f>
        <v/>
      </c>
      <c r="BH739" s="6">
        <f>IF(OR(AJ739=0,AP739=0,NOT(ISNUMBER(AD739)),NOT(ISNUMBER(AF739)),NOT(ISNUMBER(AJ739)),NOT(ISNUMBER(AP739))),"",
IFERROR(IF((AD739-AF739)/(AJ739/60)/(AP739/1000)&lt;=0,"",(AD739-AF739)/(AJ739/60)/(AP739/1000)),""))</f>
        <v/>
      </c>
    </row>
    <row r="740" ht="15.75" customHeight="1">
      <c r="B740" t="n">
        <v>496</v>
      </c>
      <c r="D740" s="11" t="n">
        <v>46000</v>
      </c>
      <c r="E740" s="231" t="n">
        <v>496</v>
      </c>
      <c r="F740" s="3" t="n">
        <v>735</v>
      </c>
      <c r="G740" s="205">
        <f>IF(OR(S740="",S740=0),"",S740*2)</f>
        <v/>
      </c>
      <c r="K740" s="15">
        <f>AD740</f>
        <v/>
      </c>
      <c r="M740" s="10">
        <f>IF(OR(E740="",G740="",E740=0,G740=0),"",E740/G740)</f>
        <v/>
      </c>
      <c r="N740" s="9">
        <f>IF(OR(E740="",I740="",E740=0,I740=0),"",E740/(I740*2))</f>
        <v/>
      </c>
      <c r="O740" s="8">
        <f>IF(OR(I740="",G740="",I740=0,G740=0),"",I740*2/G740)</f>
        <v/>
      </c>
      <c r="AD740" s="5" t="n">
        <v>80</v>
      </c>
      <c r="AI740" s="231" t="n">
        <v>0.27</v>
      </c>
      <c r="AJ740" s="20" t="n">
        <v>0.4625</v>
      </c>
      <c r="AL740" s="231" t="n">
        <v>133</v>
      </c>
      <c r="AM740" s="3">
        <f>180+60</f>
        <v/>
      </c>
      <c r="AP740" s="3" t="n">
        <v>40</v>
      </c>
      <c r="AR740" s="13">
        <f>AVERAGE(AO738:AO744)</f>
        <v/>
      </c>
      <c r="AT740" s="156" t="n"/>
      <c r="AU740" s="155">
        <f>(I740-AF740)/I740</f>
        <v/>
      </c>
      <c r="AV740" s="155">
        <f>AG740/(AD740-AF740)</f>
        <v/>
      </c>
      <c r="AW740" s="155">
        <f>(G740-AM740)/G740</f>
        <v/>
      </c>
      <c r="AX740" s="254">
        <f>IF(AND(ISNUMBER(E740),ISNUMBER(W740)),E740-W740,"")</f>
        <v/>
      </c>
      <c r="AY740" s="254">
        <f>IF(AND(ISNUMBER(I740),ISNUMBER(AF740)),I740-AF740,"")</f>
        <v/>
      </c>
      <c r="AZ740" s="254">
        <f>IF(AND(ISNUMBER(AM740),ISNUMBER(G740)),G740-AM740,"")</f>
        <v/>
      </c>
      <c r="BA740" s="254">
        <f>IF(AND(ISNUMBER(AC740),ISNUMBER(AE740)),AC740-AE740,"")</f>
        <v/>
      </c>
      <c r="BB740" s="254">
        <f>IF(AND(ISNUMBER(AL740),ISNUMBER(AM740)),AL740-AM740,"")</f>
        <v/>
      </c>
      <c r="BH740" s="6">
        <f>IF(OR(AJ740=0,AP740=0,NOT(ISNUMBER(AD740)),NOT(ISNUMBER(AF740)),NOT(ISNUMBER(AJ740)),NOT(ISNUMBER(AP740))),"",
IFERROR(IF((AD740-AF740)/(AJ740/60)/(AP740/1000)&lt;=0,"",(AD740-AF740)/(AJ740/60)/(AP740/1000)),""))</f>
        <v/>
      </c>
    </row>
    <row r="741" ht="15.75" customHeight="1">
      <c r="B741" t="n">
        <v>497</v>
      </c>
      <c r="D741" s="11" t="n">
        <v>46001</v>
      </c>
      <c r="E741" s="231" t="n">
        <v>497</v>
      </c>
      <c r="F741" s="3" t="n">
        <v>736</v>
      </c>
      <c r="G741" s="205">
        <f>IF(OR(S741="",S741=0),"",S741*2)</f>
        <v/>
      </c>
      <c r="K741" s="15">
        <f>AD741</f>
        <v/>
      </c>
      <c r="M741" s="10">
        <f>IF(OR(E741="",G741="",E741=0,G741=0),"",E741/G741)</f>
        <v/>
      </c>
      <c r="N741" s="9">
        <f>IF(OR(E741="",I741="",E741=0,I741=0),"",E741/(I741*2))</f>
        <v/>
      </c>
      <c r="O741" s="8">
        <f>IF(OR(I741="",G741="",I741=0,G741=0),"",I741*2/G741)</f>
        <v/>
      </c>
      <c r="AD741" s="5" t="n">
        <v>80</v>
      </c>
      <c r="AI741" s="231" t="n">
        <v>0.23</v>
      </c>
      <c r="AJ741" s="20" t="n">
        <v>0.4626157407407407</v>
      </c>
      <c r="AL741" s="231" t="n">
        <v>131</v>
      </c>
      <c r="AM741" s="3">
        <f>180+60</f>
        <v/>
      </c>
      <c r="AP741" s="3" t="n">
        <v>40</v>
      </c>
      <c r="AR741" s="13">
        <f>AVERAGE(AO739:AO745)</f>
        <v/>
      </c>
      <c r="AT741" s="156" t="n"/>
      <c r="AU741" s="155">
        <f>(I741-AF741)/I741</f>
        <v/>
      </c>
      <c r="AV741" s="155">
        <f>AG741/(AD741-AF741)</f>
        <v/>
      </c>
      <c r="AW741" s="155">
        <f>(G741-AM741)/G741</f>
        <v/>
      </c>
      <c r="AX741" s="254">
        <f>IF(AND(ISNUMBER(E741),ISNUMBER(W741)),E741-W741,"")</f>
        <v/>
      </c>
      <c r="AY741" s="254">
        <f>IF(AND(ISNUMBER(I741),ISNUMBER(AF741)),I741-AF741,"")</f>
        <v/>
      </c>
      <c r="AZ741" s="254">
        <f>IF(AND(ISNUMBER(AM741),ISNUMBER(G741)),G741-AM741,"")</f>
        <v/>
      </c>
      <c r="BA741" s="254">
        <f>IF(AND(ISNUMBER(AC741),ISNUMBER(AE741)),AC741-AE741,"")</f>
        <v/>
      </c>
      <c r="BB741" s="254">
        <f>IF(AND(ISNUMBER(AL741),ISNUMBER(AM741)),AL741-AM741,"")</f>
        <v/>
      </c>
      <c r="BH741" s="6">
        <f>IF(OR(AJ741=0,AP741=0,NOT(ISNUMBER(AD741)),NOT(ISNUMBER(AF741)),NOT(ISNUMBER(AJ741)),NOT(ISNUMBER(AP741))),"",
IFERROR(IF((AD741-AF741)/(AJ741/60)/(AP741/1000)&lt;=0,"",(AD741-AF741)/(AJ741/60)/(AP741/1000)),""))</f>
        <v/>
      </c>
    </row>
    <row r="742" ht="15.75" customHeight="1">
      <c r="B742" t="n">
        <v>498</v>
      </c>
      <c r="D742" s="11" t="n">
        <v>46002</v>
      </c>
      <c r="E742" s="231" t="n">
        <v>498</v>
      </c>
      <c r="F742" s="3" t="n">
        <v>737</v>
      </c>
      <c r="G742" s="205">
        <f>IF(OR(S742="",S742=0),"",S742*2)</f>
        <v/>
      </c>
      <c r="K742" s="15">
        <f>AD742</f>
        <v/>
      </c>
      <c r="M742" s="10">
        <f>IF(OR(E742="",G742="",E742=0,G742=0),"",E742/G742)</f>
        <v/>
      </c>
      <c r="N742" s="9">
        <f>IF(OR(E742="",I742="",E742=0,I742=0),"",E742/(I742*2))</f>
        <v/>
      </c>
      <c r="O742" s="8">
        <f>IF(OR(I742="",G742="",I742=0,G742=0),"",I742*2/G742)</f>
        <v/>
      </c>
      <c r="AD742" s="5" t="n">
        <v>80</v>
      </c>
      <c r="AI742" s="231" t="n">
        <v>0.33</v>
      </c>
      <c r="AJ742" s="20" t="n">
        <v>0.4052083333333333</v>
      </c>
      <c r="AL742" s="231" t="n">
        <v>37</v>
      </c>
      <c r="AM742" s="3">
        <f>180+60</f>
        <v/>
      </c>
      <c r="AP742" s="3" t="n">
        <v>40</v>
      </c>
      <c r="AQ742" s="2" t="n">
        <v>2269.999999999982</v>
      </c>
      <c r="AR742" s="13">
        <f>AVERAGE(AO740:AO746)</f>
        <v/>
      </c>
      <c r="AT742" s="156" t="n"/>
      <c r="AU742" s="155">
        <f>(I742-AF742)/I742</f>
        <v/>
      </c>
      <c r="AV742" s="155">
        <f>AG742/(AD742-AF742)</f>
        <v/>
      </c>
      <c r="AW742" s="155">
        <f>(G742-AM742)/G742</f>
        <v/>
      </c>
      <c r="AX742" s="254">
        <f>IF(AND(ISNUMBER(E742),ISNUMBER(W742)),E742-W742,"")</f>
        <v/>
      </c>
      <c r="AY742" s="254">
        <f>IF(AND(ISNUMBER(I742),ISNUMBER(AF742)),I742-AF742,"")</f>
        <v/>
      </c>
      <c r="AZ742" s="254">
        <f>IF(AND(ISNUMBER(AM742),ISNUMBER(G742)),G742-AM742,"")</f>
        <v/>
      </c>
      <c r="BA742" s="254">
        <f>IF(AND(ISNUMBER(AC742),ISNUMBER(AE742)),AC742-AE742,"")</f>
        <v/>
      </c>
      <c r="BB742" s="254">
        <f>IF(AND(ISNUMBER(AL742),ISNUMBER(AM742)),AL742-AM742,"")</f>
        <v/>
      </c>
      <c r="BH742" s="6">
        <f>IF(OR(AJ742=0,AP742=0,NOT(ISNUMBER(AD742)),NOT(ISNUMBER(AF742)),NOT(ISNUMBER(AJ742)),NOT(ISNUMBER(AP742))),"",
IFERROR(IF((AD742-AF742)/(AJ742/60)/(AP742/1000)&lt;=0,"",(AD742-AF742)/(AJ742/60)/(AP742/1000)),""))</f>
        <v/>
      </c>
    </row>
    <row r="743" ht="15.75" customHeight="1">
      <c r="B743" t="n">
        <v>499</v>
      </c>
      <c r="D743" s="11" t="n">
        <v>46003</v>
      </c>
      <c r="E743" s="231" t="n">
        <v>499</v>
      </c>
      <c r="F743" s="3" t="n">
        <v>738</v>
      </c>
      <c r="G743" s="205">
        <f>IF(OR(S743="",S743=0),"",S743*2)</f>
        <v/>
      </c>
      <c r="K743" s="15">
        <f>AD743</f>
        <v/>
      </c>
      <c r="M743" s="10">
        <f>IF(OR(E743="",G743="",E743=0,G743=0),"",E743/G743)</f>
        <v/>
      </c>
      <c r="N743" s="9">
        <f>IF(OR(E743="",I743="",E743=0,I743=0),"",E743/(I743*2))</f>
        <v/>
      </c>
      <c r="O743" s="8">
        <f>IF(OR(I743="",G743="",I743=0,G743=0),"",I743*2/G743)</f>
        <v/>
      </c>
      <c r="AD743" s="5" t="n">
        <v>80</v>
      </c>
      <c r="AI743" s="231" t="n">
        <v>0.13</v>
      </c>
      <c r="AJ743" s="20" t="n">
        <v>0.3993055555555556</v>
      </c>
      <c r="AL743" s="231" t="n">
        <v>35</v>
      </c>
      <c r="AM743" s="3">
        <f>180+60</f>
        <v/>
      </c>
      <c r="AP743" s="3" t="n">
        <v>40</v>
      </c>
      <c r="AR743" s="13">
        <f>AVERAGE(AO741:AO747)</f>
        <v/>
      </c>
      <c r="AT743" s="156" t="n"/>
      <c r="AU743" s="155">
        <f>(I743-AF743)/I743</f>
        <v/>
      </c>
      <c r="AV743" s="155">
        <f>AG743/(AD743-AF743)</f>
        <v/>
      </c>
      <c r="AW743" s="155">
        <f>(G743-AM743)/G743</f>
        <v/>
      </c>
      <c r="AX743" s="254">
        <f>IF(AND(ISNUMBER(E743),ISNUMBER(W743)),E743-W743,"")</f>
        <v/>
      </c>
      <c r="AY743" s="254">
        <f>IF(AND(ISNUMBER(I743),ISNUMBER(AF743)),I743-AF743,"")</f>
        <v/>
      </c>
      <c r="AZ743" s="254">
        <f>IF(AND(ISNUMBER(AM743),ISNUMBER(G743)),G743-AM743,"")</f>
        <v/>
      </c>
      <c r="BA743" s="254">
        <f>IF(AND(ISNUMBER(AC743),ISNUMBER(AE743)),AC743-AE743,"")</f>
        <v/>
      </c>
      <c r="BB743" s="254">
        <f>IF(AND(ISNUMBER(AL743),ISNUMBER(AM743)),AL743-AM743,"")</f>
        <v/>
      </c>
      <c r="BH743" s="6">
        <f>IF(OR(AJ743=0,AP743=0,NOT(ISNUMBER(AD743)),NOT(ISNUMBER(AF743)),NOT(ISNUMBER(AJ743)),NOT(ISNUMBER(AP743))),"",
IFERROR(IF((AD743-AF743)/(AJ743/60)/(AP743/1000)&lt;=0,"",(AD743-AF743)/(AJ743/60)/(AP743/1000)),""))</f>
        <v/>
      </c>
    </row>
    <row r="744" ht="15.75" customHeight="1">
      <c r="A744" s="260" t="inlineStr">
        <is>
          <t>B94</t>
        </is>
      </c>
      <c r="B744" s="260" t="n">
        <v>500</v>
      </c>
      <c r="D744" s="11" t="n">
        <v>46004</v>
      </c>
      <c r="E744" s="231" t="n">
        <v>500</v>
      </c>
      <c r="F744" s="3" t="n">
        <v>739</v>
      </c>
      <c r="G744" s="205">
        <f>IF(OR(S744="",S744=0),"",S744*2)</f>
        <v/>
      </c>
      <c r="K744" s="15">
        <f>AD744</f>
        <v/>
      </c>
      <c r="M744" s="10">
        <f>IF(OR(E744="",G744="",E744=0,G744=0),"",E744/G744)</f>
        <v/>
      </c>
      <c r="N744" s="9">
        <f>IF(OR(E744="",I744="",E744=0,I744=0),"",E744/(I744*2))</f>
        <v/>
      </c>
      <c r="O744" s="8">
        <f>IF(OR(I744="",G744="",I744=0,G744=0),"",I744*2/G744)</f>
        <v/>
      </c>
      <c r="AD744" s="5" t="n">
        <v>80</v>
      </c>
      <c r="AI744" s="231" t="n">
        <v>0.24</v>
      </c>
      <c r="AJ744" s="20" t="n">
        <v>0.4005787037037037</v>
      </c>
      <c r="AL744" s="231" t="n">
        <v>39</v>
      </c>
      <c r="AM744" s="3">
        <f>180+60</f>
        <v/>
      </c>
      <c r="AP744" s="3" t="n">
        <v>40</v>
      </c>
      <c r="AR744" s="13">
        <f>AVERAGE(AO742:AO748)</f>
        <v/>
      </c>
      <c r="AT744" s="156" t="n"/>
      <c r="AU744" s="155">
        <f>(I744-AF744)/I744</f>
        <v/>
      </c>
      <c r="AV744" s="155">
        <f>AG744/(AD744-AF744)</f>
        <v/>
      </c>
      <c r="AW744" s="155">
        <f>(G744-AM744)/G744</f>
        <v/>
      </c>
      <c r="AX744" s="254">
        <f>IF(AND(ISNUMBER(E744),ISNUMBER(W744)),E744-W744,"")</f>
        <v/>
      </c>
      <c r="AY744" s="254">
        <f>IF(AND(ISNUMBER(I744),ISNUMBER(AF744)),I744-AF744,"")</f>
        <v/>
      </c>
      <c r="AZ744" s="254">
        <f>IF(AND(ISNUMBER(AM744),ISNUMBER(G744)),G744-AM744,"")</f>
        <v/>
      </c>
      <c r="BA744" s="254">
        <f>IF(AND(ISNUMBER(AC744),ISNUMBER(AE744)),AC744-AE744,"")</f>
        <v/>
      </c>
      <c r="BB744" s="254">
        <f>IF(AND(ISNUMBER(AL744),ISNUMBER(AM744)),AL744-AM744,"")</f>
        <v/>
      </c>
      <c r="BH744" s="6">
        <f>IF(OR(AJ744=0,AP744=0,NOT(ISNUMBER(AD744)),NOT(ISNUMBER(AF744)),NOT(ISNUMBER(AJ744)),NOT(ISNUMBER(AP744))),"",
IFERROR(IF((AD744-AF744)/(AJ744/60)/(AP744/1000)&lt;=0,"",(AD744-AF744)/(AJ744/60)/(AP744/1000)),""))</f>
        <v/>
      </c>
    </row>
    <row r="745" ht="15.75" customHeight="1">
      <c r="B745" t="n">
        <v>501</v>
      </c>
      <c r="D745" s="11" t="n">
        <v>46005</v>
      </c>
      <c r="E745" s="231" t="n">
        <v>501</v>
      </c>
      <c r="F745" s="3" t="n">
        <v>740</v>
      </c>
      <c r="G745" s="205">
        <f>IF(OR(S745="",S745=0),"",S745*2)</f>
        <v/>
      </c>
      <c r="K745" s="15">
        <f>AD745</f>
        <v/>
      </c>
      <c r="M745" s="10">
        <f>IF(OR(E745="",G745="",E745=0,G745=0),"",E745/G745)</f>
        <v/>
      </c>
      <c r="N745" s="9">
        <f>IF(OR(E745="",I745="",E745=0,I745=0),"",E745/(I745*2))</f>
        <v/>
      </c>
      <c r="O745" s="8">
        <f>IF(OR(I745="",G745="",I745=0,G745=0),"",I745*2/G745)</f>
        <v/>
      </c>
      <c r="AD745" s="5" t="n">
        <v>80</v>
      </c>
      <c r="AI745" s="231" t="n">
        <v>0.15</v>
      </c>
      <c r="AJ745" s="20" t="n">
        <v>0.3993055555555556</v>
      </c>
      <c r="AL745" s="231" t="n">
        <v>39</v>
      </c>
      <c r="AM745" s="3">
        <f>180+60</f>
        <v/>
      </c>
      <c r="AP745" s="3" t="n">
        <v>40</v>
      </c>
      <c r="AR745" s="13">
        <f>AVERAGE(AO743:AO749)</f>
        <v/>
      </c>
      <c r="AT745" s="156" t="n"/>
      <c r="AU745" s="155">
        <f>(I745-AF745)/I745</f>
        <v/>
      </c>
      <c r="AV745" s="155">
        <f>AG745/(AD745-AF745)</f>
        <v/>
      </c>
      <c r="AW745" s="155">
        <f>(G745-AM745)/G745</f>
        <v/>
      </c>
      <c r="AX745" s="254">
        <f>IF(AND(ISNUMBER(E745),ISNUMBER(W745)),E745-W745,"")</f>
        <v/>
      </c>
      <c r="AY745" s="254">
        <f>IF(AND(ISNUMBER(I745),ISNUMBER(AF745)),I745-AF745,"")</f>
        <v/>
      </c>
      <c r="AZ745" s="254">
        <f>IF(AND(ISNUMBER(AM745),ISNUMBER(G745)),G745-AM745,"")</f>
        <v/>
      </c>
      <c r="BA745" s="254">
        <f>IF(AND(ISNUMBER(AC745),ISNUMBER(AE745)),AC745-AE745,"")</f>
        <v/>
      </c>
      <c r="BB745" s="254">
        <f>IF(AND(ISNUMBER(AL745),ISNUMBER(AM745)),AL745-AM745,"")</f>
        <v/>
      </c>
      <c r="BH745" s="6">
        <f>IF(OR(AJ745=0,AP745=0,NOT(ISNUMBER(AD745)),NOT(ISNUMBER(AF745)),NOT(ISNUMBER(AJ745)),NOT(ISNUMBER(AP745))),"",
IFERROR(IF((AD745-AF745)/(AJ745/60)/(AP745/1000)&lt;=0,"",(AD745-AF745)/(AJ745/60)/(AP745/1000)),""))</f>
        <v/>
      </c>
    </row>
    <row r="746" ht="15.75" customHeight="1">
      <c r="B746" t="n">
        <v>502</v>
      </c>
      <c r="D746" s="11" t="n">
        <v>46006</v>
      </c>
      <c r="E746" s="231" t="n">
        <v>502</v>
      </c>
      <c r="F746" s="3" t="n">
        <v>741</v>
      </c>
      <c r="G746" s="205">
        <f>IF(OR(S746="",S746=0),"",S746*2)</f>
        <v/>
      </c>
      <c r="K746" s="15">
        <f>AD746</f>
        <v/>
      </c>
      <c r="M746" s="10">
        <f>IF(OR(E746="",G746="",E746=0,G746=0),"",E746/G746)</f>
        <v/>
      </c>
      <c r="N746" s="9">
        <f>IF(OR(E746="",I746="",E746=0,I746=0),"",E746/(I746*2))</f>
        <v/>
      </c>
      <c r="O746" s="8">
        <f>IF(OR(I746="",G746="",I746=0,G746=0),"",I746*2/G746)</f>
        <v/>
      </c>
      <c r="W746" s="6" t="n">
        <v>1.916</v>
      </c>
      <c r="AD746" s="5" t="n">
        <v>80</v>
      </c>
      <c r="AI746" s="231" t="n">
        <v>0.23</v>
      </c>
      <c r="AJ746" s="20" t="n">
        <v>0.4023148148148148</v>
      </c>
      <c r="AL746" s="231" t="n">
        <v>39</v>
      </c>
      <c r="AM746" s="3">
        <f>180+60</f>
        <v/>
      </c>
      <c r="AP746" s="3" t="n">
        <v>40</v>
      </c>
      <c r="AR746" s="13">
        <f>AVERAGE(AO744:AO750)</f>
        <v/>
      </c>
      <c r="AT746" s="156" t="n"/>
      <c r="AU746" s="155">
        <f>(I746-AF746)/I746</f>
        <v/>
      </c>
      <c r="AV746" s="155">
        <f>AG746/(AD746-AF746)</f>
        <v/>
      </c>
      <c r="AW746" s="155">
        <f>(G746-AM746)/G746</f>
        <v/>
      </c>
      <c r="AX746" s="254">
        <f>IF(AND(ISNUMBER(E746),ISNUMBER(W746)),E746-W746,"")</f>
        <v/>
      </c>
      <c r="AY746" s="254">
        <f>IF(AND(ISNUMBER(I746),ISNUMBER(AF746)),I746-AF746,"")</f>
        <v/>
      </c>
      <c r="AZ746" s="254">
        <f>IF(AND(ISNUMBER(AM746),ISNUMBER(G746)),G746-AM746,"")</f>
        <v/>
      </c>
      <c r="BA746" s="254">
        <f>IF(AND(ISNUMBER(AC746),ISNUMBER(AE746)),AC746-AE746,"")</f>
        <v/>
      </c>
      <c r="BB746" s="254">
        <f>IF(AND(ISNUMBER(AL746),ISNUMBER(AM746)),AL746-AM746,"")</f>
        <v/>
      </c>
      <c r="BH746" s="6">
        <f>IF(OR(AJ746=0,AP746=0,NOT(ISNUMBER(AD746)),NOT(ISNUMBER(AF746)),NOT(ISNUMBER(AJ746)),NOT(ISNUMBER(AP746))),"",
IFERROR(IF((AD746-AF746)/(AJ746/60)/(AP746/1000)&lt;=0,"",(AD746-AF746)/(AJ746/60)/(AP746/1000)),""))</f>
        <v/>
      </c>
    </row>
    <row r="747" ht="15.75" customHeight="1">
      <c r="B747" t="n">
        <v>503</v>
      </c>
      <c r="D747" s="11" t="n">
        <v>46007</v>
      </c>
      <c r="E747" s="231" t="n">
        <v>503</v>
      </c>
      <c r="F747" s="3" t="n">
        <v>742</v>
      </c>
      <c r="G747" s="205">
        <f>IF(OR(S747="",S747=0),"",S747*2)</f>
        <v/>
      </c>
      <c r="K747" s="15">
        <f>AD747</f>
        <v/>
      </c>
      <c r="M747" s="10">
        <f>IF(OR(E747="",G747="",E747=0,G747=0),"",E747/G747)</f>
        <v/>
      </c>
      <c r="N747" s="9">
        <f>IF(OR(E747="",I747="",E747=0,I747=0),"",E747/(I747*2))</f>
        <v/>
      </c>
      <c r="O747" s="8">
        <f>IF(OR(I747="",G747="",I747=0,G747=0),"",I747*2/G747)</f>
        <v/>
      </c>
      <c r="AD747" s="5" t="n">
        <v>80</v>
      </c>
      <c r="AI747" s="231" t="n">
        <v>0.14</v>
      </c>
      <c r="AJ747" s="20" t="n">
        <v>0.3993055555555556</v>
      </c>
      <c r="AL747" s="231" t="n">
        <v>39</v>
      </c>
      <c r="AM747" s="3">
        <f>180+60</f>
        <v/>
      </c>
      <c r="AP747" s="3" t="n">
        <v>40</v>
      </c>
      <c r="AR747" s="13">
        <f>AVERAGE(AO745:AO751)</f>
        <v/>
      </c>
      <c r="AT747" s="156" t="n"/>
      <c r="AU747" s="155">
        <f>(I747-AF747)/I747</f>
        <v/>
      </c>
      <c r="AV747" s="155">
        <f>AG747/(AD747-AF747)</f>
        <v/>
      </c>
      <c r="AW747" s="155">
        <f>(G747-AM747)/G747</f>
        <v/>
      </c>
      <c r="AX747" s="254">
        <f>IF(AND(ISNUMBER(E747),ISNUMBER(W747)),E747-W747,"")</f>
        <v/>
      </c>
      <c r="AY747" s="254">
        <f>IF(AND(ISNUMBER(I747),ISNUMBER(AF747)),I747-AF747,"")</f>
        <v/>
      </c>
      <c r="AZ747" s="254">
        <f>IF(AND(ISNUMBER(AM747),ISNUMBER(G747)),G747-AM747,"")</f>
        <v/>
      </c>
      <c r="BA747" s="254">
        <f>IF(AND(ISNUMBER(AC747),ISNUMBER(AE747)),AC747-AE747,"")</f>
        <v/>
      </c>
      <c r="BB747" s="254">
        <f>IF(AND(ISNUMBER(AL747),ISNUMBER(AM747)),AL747-AM747,"")</f>
        <v/>
      </c>
      <c r="BH747" s="6">
        <f>IF(OR(AJ747=0,AP747=0,NOT(ISNUMBER(AD747)),NOT(ISNUMBER(AF747)),NOT(ISNUMBER(AJ747)),NOT(ISNUMBER(AP747))),"",
IFERROR(IF((AD747-AF747)/(AJ747/60)/(AP747/1000)&lt;=0,"",(AD747-AF747)/(AJ747/60)/(AP747/1000)),""))</f>
        <v/>
      </c>
    </row>
    <row r="748" ht="15.75" customHeight="1">
      <c r="B748" t="n">
        <v>504</v>
      </c>
      <c r="D748" s="11" t="n">
        <v>46008</v>
      </c>
      <c r="E748" s="231" t="n">
        <v>504</v>
      </c>
      <c r="F748" s="3" t="n">
        <v>743</v>
      </c>
      <c r="G748" s="205">
        <f>IF(OR(S748="",S748=0),"",S748*2)</f>
        <v/>
      </c>
      <c r="K748" s="15">
        <f>AD748</f>
        <v/>
      </c>
      <c r="M748" s="10">
        <f>IF(OR(E748="",G748="",E748=0,G748=0),"",E748/G748)</f>
        <v/>
      </c>
      <c r="N748" s="9">
        <f>IF(OR(E748="",I748="",E748=0,I748=0),"",E748/(I748*2))</f>
        <v/>
      </c>
      <c r="O748" s="8">
        <f>IF(OR(I748="",G748="",I748=0,G748=0),"",I748*2/G748)</f>
        <v/>
      </c>
      <c r="AD748" s="5" t="n">
        <v>80</v>
      </c>
      <c r="AI748" s="231" t="n">
        <v>0.16</v>
      </c>
      <c r="AJ748" s="20" t="n">
        <v>0.3993055555555556</v>
      </c>
      <c r="AL748" s="231" t="n">
        <v>41</v>
      </c>
      <c r="AM748" s="3">
        <f>180+60</f>
        <v/>
      </c>
      <c r="AP748" s="3" t="n">
        <v>40</v>
      </c>
      <c r="AR748" s="13">
        <f>AVERAGE(AO746:AO752)</f>
        <v/>
      </c>
      <c r="AT748" s="156" t="n"/>
      <c r="AU748" s="155">
        <f>(I748-AF748)/I748</f>
        <v/>
      </c>
      <c r="AV748" s="155">
        <f>AG748/(AD748-AF748)</f>
        <v/>
      </c>
      <c r="AW748" s="155">
        <f>(G748-AM748)/G748</f>
        <v/>
      </c>
      <c r="AX748" s="254">
        <f>IF(AND(ISNUMBER(E748),ISNUMBER(W748)),E748-W748,"")</f>
        <v/>
      </c>
      <c r="AY748" s="254">
        <f>IF(AND(ISNUMBER(I748),ISNUMBER(AF748)),I748-AF748,"")</f>
        <v/>
      </c>
      <c r="AZ748" s="254">
        <f>IF(AND(ISNUMBER(AM748),ISNUMBER(G748)),G748-AM748,"")</f>
        <v/>
      </c>
      <c r="BA748" s="254">
        <f>IF(AND(ISNUMBER(AC748),ISNUMBER(AE748)),AC748-AE748,"")</f>
        <v/>
      </c>
      <c r="BB748" s="254">
        <f>IF(AND(ISNUMBER(AL748),ISNUMBER(AM748)),AL748-AM748,"")</f>
        <v/>
      </c>
      <c r="BH748" s="6">
        <f>IF(OR(AJ748=0,AP748=0,NOT(ISNUMBER(AD748)),NOT(ISNUMBER(AF748)),NOT(ISNUMBER(AJ748)),NOT(ISNUMBER(AP748))),"",
IFERROR(IF((AD748-AF748)/(AJ748/60)/(AP748/1000)&lt;=0,"",(AD748-AF748)/(AJ748/60)/(AP748/1000)),""))</f>
        <v/>
      </c>
    </row>
    <row r="749" ht="15.75" customHeight="1">
      <c r="B749" t="n">
        <v>505</v>
      </c>
      <c r="D749" s="11" t="n">
        <v>46009</v>
      </c>
      <c r="E749" s="231" t="n">
        <v>505</v>
      </c>
      <c r="F749" s="3" t="n">
        <v>744</v>
      </c>
      <c r="G749" s="205">
        <f>IF(OR(S749="",S749=0),"",S749*2)</f>
        <v/>
      </c>
      <c r="I749" s="15">
        <f>(N749*18-H749*18)/9</f>
        <v/>
      </c>
      <c r="J749" s="15">
        <f>5*2.35</f>
        <v/>
      </c>
      <c r="K749" s="15">
        <f>AD749</f>
        <v/>
      </c>
      <c r="M749" s="10">
        <f>IF(OR(E749="",G749="",E749=0,G749=0),"",E749/G749)</f>
        <v/>
      </c>
      <c r="N749" s="9">
        <f>IF(OR(E749="",I749="",E749=0,I749=0),"",E749/(I749*2))</f>
        <v/>
      </c>
      <c r="O749" s="8">
        <f>IF(OR(I749="",G749="",I749=0,G749=0),"",I749*2/G749)</f>
        <v/>
      </c>
      <c r="P749" s="7">
        <f>5*4.01</f>
        <v/>
      </c>
      <c r="Q749" s="6" t="n">
        <v>27.091</v>
      </c>
      <c r="R749" s="6" t="n">
        <v>84.325</v>
      </c>
      <c r="S749" s="6">
        <f>O749*1.067</f>
        <v/>
      </c>
      <c r="T749" s="6">
        <f>P749*1.514</f>
        <v/>
      </c>
      <c r="U749" s="6">
        <f>Q749+R749</f>
        <v/>
      </c>
      <c r="V749" s="6" t="n">
        <v>31.1</v>
      </c>
      <c r="W749" s="6" t="n">
        <v>15.97</v>
      </c>
      <c r="X749" s="6" t="n">
        <v>21.333</v>
      </c>
      <c r="Y749" s="23">
        <f>U749*1.067+V749*1.514</f>
        <v/>
      </c>
      <c r="AD749" s="5" t="n">
        <v>80</v>
      </c>
      <c r="AE749" s="7">
        <f>T749</f>
        <v/>
      </c>
      <c r="AF749" s="231">
        <f>5*3.87</f>
        <v/>
      </c>
      <c r="AG749" s="231">
        <f>5*6.24</f>
        <v/>
      </c>
      <c r="AH749" s="231" t="n">
        <v>0</v>
      </c>
      <c r="AI749" s="231" t="n">
        <v>0.87</v>
      </c>
      <c r="AJ749" s="20" t="n">
        <v>0.4015046296296296</v>
      </c>
      <c r="AL749" s="231" t="n">
        <v>31</v>
      </c>
      <c r="AM749" s="3">
        <f>180+60</f>
        <v/>
      </c>
      <c r="AN749" s="4">
        <f>AE749</f>
        <v/>
      </c>
      <c r="AO749" s="231">
        <f>5*4.29</f>
        <v/>
      </c>
      <c r="AP749" s="3" t="n">
        <v>40</v>
      </c>
      <c r="AQ749" s="2" t="n">
        <v>2919.999999999982</v>
      </c>
      <c r="AR749" s="13">
        <f>AVERAGE(AO747:AO753)</f>
        <v/>
      </c>
      <c r="AT749" s="156">
        <f>(E749-W749)/E749</f>
        <v/>
      </c>
      <c r="AU749" s="155">
        <f>(I749-AF749)/I749</f>
        <v/>
      </c>
      <c r="AV749" s="155">
        <f>AG749/(AD749-AF749)</f>
        <v/>
      </c>
      <c r="AW749" s="155">
        <f>(G749-AM749)/G749</f>
        <v/>
      </c>
      <c r="AX749" s="254">
        <f>IF(AND(ISNUMBER(E749),ISNUMBER(W749)),E749-W749,"")</f>
        <v/>
      </c>
      <c r="AY749" s="254">
        <f>IF(AND(ISNUMBER(I749),ISNUMBER(AF749)),I749-AF749,"")</f>
        <v/>
      </c>
      <c r="AZ749" s="254">
        <f>IF(AND(ISNUMBER(AM749),ISNUMBER(G749)),G749-AM749,"")</f>
        <v/>
      </c>
      <c r="BA749" s="254">
        <f>IF(AND(ISNUMBER(AC749),ISNUMBER(AE749)),AC749-AE749,"")</f>
        <v/>
      </c>
      <c r="BB749" s="254">
        <f>IF(AND(ISNUMBER(AL749),ISNUMBER(AM749)),AL749-AM749,"")</f>
        <v/>
      </c>
      <c r="BH749" s="6">
        <f>IF(OR(AJ749=0,AP749=0,NOT(ISNUMBER(AD749)),NOT(ISNUMBER(AF749)),NOT(ISNUMBER(AJ749)),NOT(ISNUMBER(AP749))),"",
IFERROR(IF((AD749-AF749)/(AJ749/60)/(AP749/1000)&lt;=0,"",(AD749-AF749)/(AJ749/60)/(AP749/1000)),""))</f>
        <v/>
      </c>
    </row>
    <row r="750" ht="15.75" customHeight="1">
      <c r="B750" t="n">
        <v>506</v>
      </c>
      <c r="D750" s="11" t="n">
        <v>46010</v>
      </c>
      <c r="E750" s="231" t="n">
        <v>506</v>
      </c>
      <c r="F750" s="3" t="n">
        <v>745</v>
      </c>
      <c r="G750" s="205">
        <f>IF(OR(S750="",S750=0),"",S750*2)</f>
        <v/>
      </c>
      <c r="K750" s="15">
        <f>AD750</f>
        <v/>
      </c>
      <c r="M750" s="10">
        <f>IF(OR(E750="",G750="",E750=0,G750=0),"",E750/G750)</f>
        <v/>
      </c>
      <c r="N750" s="9">
        <f>IF(OR(E750="",I750="",E750=0,I750=0),"",E750/(I750*2))</f>
        <v/>
      </c>
      <c r="O750" s="8">
        <f>IF(OR(I750="",G750="",I750=0,G750=0),"",I750*2/G750)</f>
        <v/>
      </c>
      <c r="AD750" s="5" t="n">
        <v>80</v>
      </c>
      <c r="AI750" s="231" t="n">
        <v>3.8</v>
      </c>
      <c r="AJ750" s="20" t="n">
        <v>0.4664351851851852</v>
      </c>
      <c r="AL750" s="231" t="n">
        <v>29</v>
      </c>
      <c r="AM750" s="3">
        <f>180+60</f>
        <v/>
      </c>
      <c r="AP750" s="3" t="n">
        <v>40</v>
      </c>
      <c r="AR750" s="13">
        <f>AVERAGE(AO748:AO754)</f>
        <v/>
      </c>
      <c r="AT750" s="156" t="n"/>
      <c r="AU750" s="155">
        <f>(I750-AF750)/I750</f>
        <v/>
      </c>
      <c r="AV750" s="155">
        <f>AG750/(AD750-AF750)</f>
        <v/>
      </c>
      <c r="AW750" s="155">
        <f>(G750-AM750)/G750</f>
        <v/>
      </c>
      <c r="AX750" s="254">
        <f>IF(AND(ISNUMBER(E750),ISNUMBER(W750)),E750-W750,"")</f>
        <v/>
      </c>
      <c r="AY750" s="254">
        <f>IF(AND(ISNUMBER(I750),ISNUMBER(AF750)),I750-AF750,"")</f>
        <v/>
      </c>
      <c r="AZ750" s="254">
        <f>IF(AND(ISNUMBER(AM750),ISNUMBER(G750)),G750-AM750,"")</f>
        <v/>
      </c>
      <c r="BA750" s="254">
        <f>IF(AND(ISNUMBER(AC750),ISNUMBER(AE750)),AC750-AE750,"")</f>
        <v/>
      </c>
      <c r="BB750" s="254">
        <f>IF(AND(ISNUMBER(AL750),ISNUMBER(AM750)),AL750-AM750,"")</f>
        <v/>
      </c>
      <c r="BH750" s="6">
        <f>IF(OR(AJ750=0,AP750=0,NOT(ISNUMBER(AD750)),NOT(ISNUMBER(AF750)),NOT(ISNUMBER(AJ750)),NOT(ISNUMBER(AP750))),"",
IFERROR(IF((AD750-AF750)/(AJ750/60)/(AP750/1000)&lt;=0,"",(AD750-AF750)/(AJ750/60)/(AP750/1000)),""))</f>
        <v/>
      </c>
    </row>
    <row r="751" ht="15.75" customHeight="1">
      <c r="A751" s="260" t="inlineStr">
        <is>
          <t>B95</t>
        </is>
      </c>
      <c r="B751" s="260" t="n">
        <v>507</v>
      </c>
      <c r="D751" s="11" t="n">
        <v>46011</v>
      </c>
      <c r="E751" s="231" t="n">
        <v>507</v>
      </c>
      <c r="F751" s="3" t="n">
        <v>746</v>
      </c>
      <c r="G751" s="205">
        <f>IF(OR(S751="",S751=0),"",S751*2)</f>
        <v/>
      </c>
      <c r="K751" s="15">
        <f>AD751</f>
        <v/>
      </c>
      <c r="M751" s="10">
        <f>IF(OR(E751="",G751="",E751=0,G751=0),"",E751/G751)</f>
        <v/>
      </c>
      <c r="N751" s="9">
        <f>IF(OR(E751="",I751="",E751=0,I751=0),"",E751/(I751*2))</f>
        <v/>
      </c>
      <c r="O751" s="8">
        <f>IF(OR(I751="",G751="",I751=0,G751=0),"",I751*2/G751)</f>
        <v/>
      </c>
      <c r="AD751" s="5" t="n">
        <v>80</v>
      </c>
      <c r="AI751" s="231" t="n">
        <v>4.42</v>
      </c>
      <c r="AJ751" s="20" t="n">
        <v>0.4456018518518519</v>
      </c>
      <c r="AL751" s="231" t="n">
        <v>91</v>
      </c>
      <c r="AM751" s="3">
        <f>180+60</f>
        <v/>
      </c>
      <c r="AP751" s="3" t="n">
        <v>40</v>
      </c>
      <c r="AR751" s="13">
        <f>AVERAGE(AO749:AO755)</f>
        <v/>
      </c>
      <c r="AT751" s="156" t="n"/>
      <c r="AU751" s="155">
        <f>(I751-AF751)/I751</f>
        <v/>
      </c>
      <c r="AV751" s="155">
        <f>AG751/(AD751-AF751)</f>
        <v/>
      </c>
      <c r="AW751" s="155">
        <f>(G751-AM751)/G751</f>
        <v/>
      </c>
      <c r="AX751" s="254">
        <f>IF(AND(ISNUMBER(E751),ISNUMBER(W751)),E751-W751,"")</f>
        <v/>
      </c>
      <c r="AY751" s="254">
        <f>IF(AND(ISNUMBER(I751),ISNUMBER(AF751)),I751-AF751,"")</f>
        <v/>
      </c>
      <c r="AZ751" s="254">
        <f>IF(AND(ISNUMBER(AM751),ISNUMBER(G751)),G751-AM751,"")</f>
        <v/>
      </c>
      <c r="BA751" s="254">
        <f>IF(AND(ISNUMBER(AC751),ISNUMBER(AE751)),AC751-AE751,"")</f>
        <v/>
      </c>
      <c r="BB751" s="254">
        <f>IF(AND(ISNUMBER(AL751),ISNUMBER(AM751)),AL751-AM751,"")</f>
        <v/>
      </c>
      <c r="BH751" s="6">
        <f>IF(OR(AJ751=0,AP751=0,NOT(ISNUMBER(AD751)),NOT(ISNUMBER(AF751)),NOT(ISNUMBER(AJ751)),NOT(ISNUMBER(AP751))),"",
IFERROR(IF((AD751-AF751)/(AJ751/60)/(AP751/1000)&lt;=0,"",(AD751-AF751)/(AJ751/60)/(AP751/1000)),""))</f>
        <v/>
      </c>
    </row>
    <row r="752" ht="15.75" customHeight="1">
      <c r="B752" t="n">
        <v>508</v>
      </c>
      <c r="D752" s="11" t="n">
        <v>46012</v>
      </c>
      <c r="E752" s="231" t="n">
        <v>508</v>
      </c>
      <c r="F752" s="3" t="n">
        <v>747</v>
      </c>
      <c r="G752" s="205">
        <f>IF(OR(S752="",S752=0),"",S752*2)</f>
        <v/>
      </c>
      <c r="K752" s="15">
        <f>AD752</f>
        <v/>
      </c>
      <c r="M752" s="10">
        <f>IF(OR(E752="",G752="",E752=0,G752=0),"",E752/G752)</f>
        <v/>
      </c>
      <c r="N752" s="9">
        <f>IF(OR(E752="",I752="",E752=0,I752=0),"",E752/(I752*2))</f>
        <v/>
      </c>
      <c r="O752" s="8">
        <f>IF(OR(I752="",G752="",I752=0,G752=0),"",I752*2/G752)</f>
        <v/>
      </c>
      <c r="AD752" s="5" t="n">
        <v>80</v>
      </c>
      <c r="AI752" s="231" t="n">
        <v>7.63</v>
      </c>
      <c r="AJ752" s="20" t="n">
        <v>0.4505787037037037</v>
      </c>
      <c r="AL752" s="231" t="n">
        <v>95</v>
      </c>
      <c r="AM752" s="3">
        <f>180+60</f>
        <v/>
      </c>
      <c r="AP752" s="3" t="n">
        <v>40</v>
      </c>
      <c r="AR752" s="13">
        <f>AVERAGE(AO750:AO756)</f>
        <v/>
      </c>
      <c r="AT752" s="156" t="n"/>
      <c r="AU752" s="155">
        <f>(I752-AF752)/I752</f>
        <v/>
      </c>
      <c r="AV752" s="155">
        <f>AG752/(AD752-AF752)</f>
        <v/>
      </c>
      <c r="AW752" s="155">
        <f>(G752-AM752)/G752</f>
        <v/>
      </c>
      <c r="AX752" s="254">
        <f>IF(AND(ISNUMBER(E752),ISNUMBER(W752)),E752-W752,"")</f>
        <v/>
      </c>
      <c r="AY752" s="254">
        <f>IF(AND(ISNUMBER(I752),ISNUMBER(AF752)),I752-AF752,"")</f>
        <v/>
      </c>
      <c r="AZ752" s="254">
        <f>IF(AND(ISNUMBER(AM752),ISNUMBER(G752)),G752-AM752,"")</f>
        <v/>
      </c>
      <c r="BA752" s="254">
        <f>IF(AND(ISNUMBER(AC752),ISNUMBER(AE752)),AC752-AE752,"")</f>
        <v/>
      </c>
      <c r="BB752" s="254">
        <f>IF(AND(ISNUMBER(AL752),ISNUMBER(AM752)),AL752-AM752,"")</f>
        <v/>
      </c>
      <c r="BH752" s="6">
        <f>IF(OR(AJ752=0,AP752=0,NOT(ISNUMBER(AD752)),NOT(ISNUMBER(AF752)),NOT(ISNUMBER(AJ752)),NOT(ISNUMBER(AP752))),"",
IFERROR(IF((AD752-AF752)/(AJ752/60)/(AP752/1000)&lt;=0,"",(AD752-AF752)/(AJ752/60)/(AP752/1000)),""))</f>
        <v/>
      </c>
    </row>
    <row r="753" ht="15.75" customHeight="1">
      <c r="B753" t="n">
        <v>509</v>
      </c>
      <c r="D753" s="11" t="n">
        <v>46013</v>
      </c>
      <c r="E753" s="231" t="n">
        <v>509</v>
      </c>
      <c r="F753" s="3" t="n">
        <v>748</v>
      </c>
      <c r="G753" s="205">
        <f>IF(OR(S753="",S753=0),"",S753*2)</f>
        <v/>
      </c>
      <c r="K753" s="15">
        <f>AD753</f>
        <v/>
      </c>
      <c r="M753" s="10">
        <f>IF(OR(E753="",G753="",E753=0,G753=0),"",E753/G753)</f>
        <v/>
      </c>
      <c r="N753" s="9">
        <f>IF(OR(E753="",I753="",E753=0,I753=0),"",E753/(I753*2))</f>
        <v/>
      </c>
      <c r="O753" s="8">
        <f>IF(OR(I753="",G753="",I753=0,G753=0),"",I753*2/G753)</f>
        <v/>
      </c>
      <c r="Q753" s="6" t="n">
        <v>25.431</v>
      </c>
      <c r="R753" s="6" t="n">
        <v>91.03400000000001</v>
      </c>
      <c r="S753" s="6">
        <f>O753*1.067</f>
        <v/>
      </c>
      <c r="T753" s="6">
        <f>P753*1.514</f>
        <v/>
      </c>
      <c r="U753" s="6">
        <f>Q753+R753</f>
        <v/>
      </c>
      <c r="W753" s="6" t="n">
        <v>10.579</v>
      </c>
      <c r="X753" s="6" t="n">
        <v>21.333</v>
      </c>
      <c r="Y753" s="23">
        <f>U753*1.067+V753*1.514</f>
        <v/>
      </c>
      <c r="AD753" s="5" t="n">
        <v>80</v>
      </c>
      <c r="AI753" s="231" t="n">
        <v>4.64</v>
      </c>
      <c r="AJ753" s="20" t="n">
        <v>0.4726851851851852</v>
      </c>
      <c r="AL753" s="231" t="n">
        <v>101</v>
      </c>
      <c r="AM753" s="3">
        <f>180+60</f>
        <v/>
      </c>
      <c r="AP753" s="3" t="n">
        <v>40</v>
      </c>
      <c r="AQ753" s="2" t="n">
        <v>3120.000000000027</v>
      </c>
      <c r="AR753" s="13">
        <f>AVERAGE(AO751:AO757)</f>
        <v/>
      </c>
      <c r="AT753" s="156">
        <f>(E753-W753)/E753</f>
        <v/>
      </c>
      <c r="AU753" s="155">
        <f>(I753-AF753)/I753</f>
        <v/>
      </c>
      <c r="AV753" s="155">
        <f>AG753/(AD753-AF753)</f>
        <v/>
      </c>
      <c r="AW753" s="155">
        <f>(G753-AM753)/G753</f>
        <v/>
      </c>
      <c r="AX753" s="254">
        <f>IF(AND(ISNUMBER(E753),ISNUMBER(W753)),E753-W753,"")</f>
        <v/>
      </c>
      <c r="AY753" s="254">
        <f>IF(AND(ISNUMBER(I753),ISNUMBER(AF753)),I753-AF753,"")</f>
        <v/>
      </c>
      <c r="AZ753" s="254">
        <f>IF(AND(ISNUMBER(AM753),ISNUMBER(G753)),G753-AM753,"")</f>
        <v/>
      </c>
      <c r="BA753" s="254">
        <f>IF(AND(ISNUMBER(AC753),ISNUMBER(AE753)),AC753-AE753,"")</f>
        <v/>
      </c>
      <c r="BB753" s="254">
        <f>IF(AND(ISNUMBER(AL753),ISNUMBER(AM753)),AL753-AM753,"")</f>
        <v/>
      </c>
      <c r="BH753" s="6">
        <f>IF(OR(AJ753=0,AP753=0,NOT(ISNUMBER(AD753)),NOT(ISNUMBER(AF753)),NOT(ISNUMBER(AJ753)),NOT(ISNUMBER(AP753))),"",
IFERROR(IF((AD753-AF753)/(AJ753/60)/(AP753/1000)&lt;=0,"",(AD753-AF753)/(AJ753/60)/(AP753/1000)),""))</f>
        <v/>
      </c>
    </row>
    <row r="754" ht="15.75" customHeight="1">
      <c r="B754" t="n">
        <v>510</v>
      </c>
      <c r="D754" s="11" t="n">
        <v>46014</v>
      </c>
      <c r="E754" s="231" t="n">
        <v>510</v>
      </c>
      <c r="F754" s="3" t="n">
        <v>749</v>
      </c>
      <c r="G754" s="205">
        <f>IF(OR(S754="",S754=0),"",S754*2)</f>
        <v/>
      </c>
      <c r="K754" s="15">
        <f>AD754</f>
        <v/>
      </c>
      <c r="M754" s="10">
        <f>IF(OR(E754="",G754="",E754=0,G754=0),"",E754/G754)</f>
        <v/>
      </c>
      <c r="N754" s="9">
        <f>IF(OR(E754="",I754="",E754=0,I754=0),"",E754/(I754*2))</f>
        <v/>
      </c>
      <c r="O754" s="8">
        <f>IF(OR(I754="",G754="",I754=0,G754=0),"",I754*2/G754)</f>
        <v/>
      </c>
      <c r="AD754" s="5" t="n">
        <v>80</v>
      </c>
      <c r="AI754" s="231" t="n">
        <v>1.97</v>
      </c>
      <c r="AJ754" s="20" t="n">
        <v>0.4414351851851852</v>
      </c>
      <c r="AL754" s="231" t="n">
        <v>95</v>
      </c>
      <c r="AM754" s="3">
        <f>180+60</f>
        <v/>
      </c>
      <c r="AP754" s="3" t="n">
        <v>40</v>
      </c>
      <c r="AR754" s="13">
        <f>AVERAGE(AO752:AO758)</f>
        <v/>
      </c>
      <c r="AT754" s="156" t="n"/>
      <c r="AU754" s="155">
        <f>(I754-AF754)/I754</f>
        <v/>
      </c>
      <c r="AV754" s="155">
        <f>AG754/(AD754-AF754)</f>
        <v/>
      </c>
      <c r="AW754" s="155">
        <f>(G754-AM754)/G754</f>
        <v/>
      </c>
      <c r="AX754" s="254">
        <f>IF(AND(ISNUMBER(E754),ISNUMBER(W754)),E754-W754,"")</f>
        <v/>
      </c>
      <c r="AY754" s="254">
        <f>IF(AND(ISNUMBER(I754),ISNUMBER(AF754)),I754-AF754,"")</f>
        <v/>
      </c>
      <c r="AZ754" s="254">
        <f>IF(AND(ISNUMBER(AM754),ISNUMBER(G754)),G754-AM754,"")</f>
        <v/>
      </c>
      <c r="BA754" s="254">
        <f>IF(AND(ISNUMBER(AC754),ISNUMBER(AE754)),AC754-AE754,"")</f>
        <v/>
      </c>
      <c r="BB754" s="254">
        <f>IF(AND(ISNUMBER(AL754),ISNUMBER(AM754)),AL754-AM754,"")</f>
        <v/>
      </c>
      <c r="BH754" s="6">
        <f>IF(OR(AJ754=0,AP754=0,NOT(ISNUMBER(AD754)),NOT(ISNUMBER(AF754)),NOT(ISNUMBER(AJ754)),NOT(ISNUMBER(AP754))),"",
IFERROR(IF((AD754-AF754)/(AJ754/60)/(AP754/1000)&lt;=0,"",(AD754-AF754)/(AJ754/60)/(AP754/1000)),""))</f>
        <v/>
      </c>
    </row>
    <row r="755" ht="15.75" customHeight="1">
      <c r="B755" t="n">
        <v>511</v>
      </c>
      <c r="D755" s="11" t="n">
        <v>46015</v>
      </c>
      <c r="E755" s="231" t="n">
        <v>511</v>
      </c>
      <c r="F755" s="3" t="n">
        <v>750</v>
      </c>
      <c r="G755" s="205">
        <f>IF(OR(S755="",S755=0),"",S755*2)</f>
        <v/>
      </c>
      <c r="K755" s="15">
        <f>AD755</f>
        <v/>
      </c>
      <c r="M755" s="10">
        <f>IF(OR(E755="",G755="",E755=0,G755=0),"",E755/G755)</f>
        <v/>
      </c>
      <c r="N755" s="9">
        <f>IF(OR(E755="",I755="",E755=0,I755=0),"",E755/(I755*2))</f>
        <v/>
      </c>
      <c r="O755" s="8">
        <f>IF(OR(I755="",G755="",I755=0,G755=0),"",I755*2/G755)</f>
        <v/>
      </c>
      <c r="AD755" s="5" t="n">
        <v>80</v>
      </c>
      <c r="AI755" s="231" t="n">
        <v>1.97</v>
      </c>
      <c r="AJ755" s="20" t="n">
        <v>0.4414351851851852</v>
      </c>
      <c r="AL755" s="231" t="n">
        <v>101</v>
      </c>
      <c r="AM755" s="3">
        <f>180+60</f>
        <v/>
      </c>
      <c r="AP755" s="3" t="n">
        <v>40</v>
      </c>
      <c r="AR755" s="13">
        <f>AVERAGE(AO753:AO759)</f>
        <v/>
      </c>
      <c r="AT755" s="156" t="n"/>
      <c r="AU755" s="155">
        <f>(I755-AF755)/I755</f>
        <v/>
      </c>
      <c r="AV755" s="155">
        <f>AG755/(AD755-AF755)</f>
        <v/>
      </c>
      <c r="AW755" s="155">
        <f>(G755-AM755)/G755</f>
        <v/>
      </c>
      <c r="AX755" s="254">
        <f>IF(AND(ISNUMBER(E755),ISNUMBER(W755)),E755-W755,"")</f>
        <v/>
      </c>
      <c r="AY755" s="254">
        <f>IF(AND(ISNUMBER(I755),ISNUMBER(AF755)),I755-AF755,"")</f>
        <v/>
      </c>
      <c r="AZ755" s="254">
        <f>IF(AND(ISNUMBER(AM755),ISNUMBER(G755)),G755-AM755,"")</f>
        <v/>
      </c>
      <c r="BA755" s="254">
        <f>IF(AND(ISNUMBER(AC755),ISNUMBER(AE755)),AC755-AE755,"")</f>
        <v/>
      </c>
      <c r="BB755" s="254">
        <f>IF(AND(ISNUMBER(AL755),ISNUMBER(AM755)),AL755-AM755,"")</f>
        <v/>
      </c>
      <c r="BH755" s="6">
        <f>IF(OR(AJ755=0,AP755=0,NOT(ISNUMBER(AD755)),NOT(ISNUMBER(AF755)),NOT(ISNUMBER(AJ755)),NOT(ISNUMBER(AP755))),"",
IFERROR(IF((AD755-AF755)/(AJ755/60)/(AP755/1000)&lt;=0,"",(AD755-AF755)/(AJ755/60)/(AP755/1000)),""))</f>
        <v/>
      </c>
    </row>
    <row r="756" ht="15.75" customHeight="1">
      <c r="A756" s="260" t="inlineStr">
        <is>
          <t>B96</t>
        </is>
      </c>
      <c r="B756" s="260" t="n">
        <v>512</v>
      </c>
      <c r="D756" s="11" t="n">
        <v>46016</v>
      </c>
      <c r="E756" s="231" t="n">
        <v>512</v>
      </c>
      <c r="F756" s="3" t="n">
        <v>751</v>
      </c>
      <c r="G756" s="205">
        <f>IF(OR(S756="",S756=0),"",S756*2)</f>
        <v/>
      </c>
      <c r="K756" s="15">
        <f>AD756</f>
        <v/>
      </c>
      <c r="M756" s="10">
        <f>IF(OR(E756="",G756="",E756=0,G756=0),"",E756/G756)</f>
        <v/>
      </c>
      <c r="N756" s="9">
        <f>IF(OR(E756="",I756="",E756=0,I756=0),"",E756/(I756*2))</f>
        <v/>
      </c>
      <c r="O756" s="8">
        <f>IF(OR(I756="",G756="",I756=0,G756=0),"",I756*2/G756)</f>
        <v/>
      </c>
      <c r="AD756" s="5" t="n">
        <v>80</v>
      </c>
      <c r="AI756" s="231" t="n">
        <v>1.19</v>
      </c>
      <c r="AJ756" s="20" t="n">
        <v>0.4405092592592593</v>
      </c>
      <c r="AL756" s="231" t="n">
        <v>105</v>
      </c>
      <c r="AM756" s="3">
        <f>180+60</f>
        <v/>
      </c>
      <c r="AP756" s="3" t="n">
        <v>40</v>
      </c>
      <c r="AR756" s="13">
        <f>AVERAGE(AO754:AO760)</f>
        <v/>
      </c>
      <c r="AT756" s="156" t="n"/>
      <c r="AU756" s="155">
        <f>(I756-AF756)/I756</f>
        <v/>
      </c>
      <c r="AV756" s="155">
        <f>AG756/(AD756-AF756)</f>
        <v/>
      </c>
      <c r="AW756" s="155">
        <f>(G756-AM756)/G756</f>
        <v/>
      </c>
      <c r="AX756" s="254">
        <f>IF(AND(ISNUMBER(E756),ISNUMBER(W756)),E756-W756,"")</f>
        <v/>
      </c>
      <c r="AY756" s="254">
        <f>IF(AND(ISNUMBER(I756),ISNUMBER(AF756)),I756-AF756,"")</f>
        <v/>
      </c>
      <c r="AZ756" s="254">
        <f>IF(AND(ISNUMBER(AM756),ISNUMBER(G756)),G756-AM756,"")</f>
        <v/>
      </c>
      <c r="BA756" s="254">
        <f>IF(AND(ISNUMBER(AC756),ISNUMBER(AE756)),AC756-AE756,"")</f>
        <v/>
      </c>
      <c r="BB756" s="254">
        <f>IF(AND(ISNUMBER(AL756),ISNUMBER(AM756)),AL756-AM756,"")</f>
        <v/>
      </c>
      <c r="BH756" s="6" t="n"/>
    </row>
    <row r="757" ht="15.75" customHeight="1">
      <c r="B757" t="n">
        <v>513</v>
      </c>
      <c r="D757" s="11" t="n">
        <v>46017</v>
      </c>
      <c r="E757" s="231" t="n">
        <v>513</v>
      </c>
      <c r="F757" s="3" t="n">
        <v>752</v>
      </c>
      <c r="G757" s="205">
        <f>IF(OR(S757="",S757=0),"",S757*2)</f>
        <v/>
      </c>
      <c r="K757" s="15">
        <f>AD757</f>
        <v/>
      </c>
      <c r="M757" s="10">
        <f>IF(OR(E757="",G757="",E757=0,G757=0),"",E757/G757)</f>
        <v/>
      </c>
      <c r="N757" s="9">
        <f>IF(OR(E757="",I757="",E757=0,I757=0),"",E757/(I757*2))</f>
        <v/>
      </c>
      <c r="O757" s="8">
        <f>IF(OR(I757="",G757="",I757=0,G757=0),"",I757*2/G757)</f>
        <v/>
      </c>
      <c r="AD757" s="5" t="n">
        <v>80</v>
      </c>
      <c r="AI757" s="231" t="n">
        <v>0.35</v>
      </c>
      <c r="AJ757" s="20" t="n">
        <v>0.4391203703703704</v>
      </c>
      <c r="AL757" s="231" t="n">
        <v>107</v>
      </c>
      <c r="AM757" s="3">
        <f>180+60</f>
        <v/>
      </c>
      <c r="AP757" s="3" t="n">
        <v>40</v>
      </c>
      <c r="AR757" s="13">
        <f>AVERAGE(AO755:AO761)</f>
        <v/>
      </c>
      <c r="AT757" s="156" t="n"/>
      <c r="AU757" s="155">
        <f>(I757-AF757)/I757</f>
        <v/>
      </c>
      <c r="AV757" s="155">
        <f>AG757/(AD757-AF757)</f>
        <v/>
      </c>
      <c r="AW757" s="155">
        <f>(G757-AM757)/G757</f>
        <v/>
      </c>
      <c r="AX757" s="254">
        <f>IF(AND(ISNUMBER(E757),ISNUMBER(W757)),E757-W757,"")</f>
        <v/>
      </c>
      <c r="AY757" s="254">
        <f>IF(AND(ISNUMBER(I757),ISNUMBER(AF757)),I757-AF757,"")</f>
        <v/>
      </c>
      <c r="AZ757" s="254">
        <f>IF(AND(ISNUMBER(AM757),ISNUMBER(G757)),G757-AM757,"")</f>
        <v/>
      </c>
      <c r="BA757" s="254">
        <f>IF(AND(ISNUMBER(AC757),ISNUMBER(AE757)),AC757-AE757,"")</f>
        <v/>
      </c>
      <c r="BB757" s="254">
        <f>IF(AND(ISNUMBER(AL757),ISNUMBER(AM757)),AL757-AM757,"")</f>
        <v/>
      </c>
      <c r="BH757" s="6" t="n"/>
    </row>
    <row r="758" ht="15.75" customHeight="1">
      <c r="B758" t="n">
        <v>514</v>
      </c>
      <c r="D758" s="11" t="n">
        <v>46018</v>
      </c>
      <c r="E758" s="231" t="n">
        <v>514</v>
      </c>
      <c r="F758" s="3" t="n">
        <v>753</v>
      </c>
      <c r="G758" s="205">
        <f>IF(OR(S758="",S758=0),"",S758*2)</f>
        <v/>
      </c>
      <c r="K758" s="15">
        <f>AD758</f>
        <v/>
      </c>
      <c r="M758" s="10">
        <f>IF(OR(E758="",G758="",E758=0,G758=0),"",E758/G758)</f>
        <v/>
      </c>
      <c r="N758" s="9">
        <f>IF(OR(E758="",I758="",E758=0,I758=0),"",E758/(I758*2))</f>
        <v/>
      </c>
      <c r="O758" s="8">
        <f>IF(OR(I758="",G758="",I758=0,G758=0),"",I758*2/G758)</f>
        <v/>
      </c>
      <c r="AD758" s="5" t="n">
        <v>80</v>
      </c>
      <c r="AI758" s="231" t="n">
        <v>0.17</v>
      </c>
      <c r="AJ758" s="20" t="n">
        <v>0.4418981481481482</v>
      </c>
      <c r="AL758" s="231" t="n">
        <v>105</v>
      </c>
      <c r="AM758" s="3">
        <f>180+60</f>
        <v/>
      </c>
      <c r="AP758" s="3" t="n">
        <v>40</v>
      </c>
      <c r="AR758" s="13">
        <f>AVERAGE(AO756:AO762)</f>
        <v/>
      </c>
      <c r="AT758" s="156" t="n"/>
      <c r="AU758" s="155">
        <f>(I758-AF758)/I758</f>
        <v/>
      </c>
      <c r="AV758" s="155">
        <f>AG758/(AD758-AF758)</f>
        <v/>
      </c>
      <c r="AW758" s="155">
        <f>(G758-AM758)/G758</f>
        <v/>
      </c>
      <c r="AX758" s="254">
        <f>IF(AND(ISNUMBER(E758),ISNUMBER(W758)),E758-W758,"")</f>
        <v/>
      </c>
      <c r="AY758" s="254">
        <f>IF(AND(ISNUMBER(I758),ISNUMBER(AF758)),I758-AF758,"")</f>
        <v/>
      </c>
      <c r="AZ758" s="254">
        <f>IF(AND(ISNUMBER(AM758),ISNUMBER(G758)),G758-AM758,"")</f>
        <v/>
      </c>
      <c r="BA758" s="254">
        <f>IF(AND(ISNUMBER(AC758),ISNUMBER(AE758)),AC758-AE758,"")</f>
        <v/>
      </c>
      <c r="BB758" s="254">
        <f>IF(AND(ISNUMBER(AL758),ISNUMBER(AM758)),AL758-AM758,"")</f>
        <v/>
      </c>
      <c r="BH758" s="6" t="n"/>
    </row>
    <row r="759" ht="15.75" customHeight="1">
      <c r="B759" t="n">
        <v>515</v>
      </c>
      <c r="D759" s="11" t="n">
        <v>46019</v>
      </c>
      <c r="E759" s="231" t="n">
        <v>515</v>
      </c>
      <c r="F759" s="3" t="n">
        <v>754</v>
      </c>
      <c r="G759" s="205">
        <f>IF(OR(S759="",S759=0),"",S759*2)</f>
        <v/>
      </c>
      <c r="K759" s="15">
        <f>AD759</f>
        <v/>
      </c>
      <c r="M759" s="10">
        <f>IF(OR(E759="",G759="",E759=0,G759=0),"",E759/G759)</f>
        <v/>
      </c>
      <c r="N759" s="9">
        <f>IF(OR(E759="",I759="",E759=0,I759=0),"",E759/(I759*2))</f>
        <v/>
      </c>
      <c r="O759" s="8">
        <f>IF(OR(I759="",G759="",I759=0,G759=0),"",I759*2/G759)</f>
        <v/>
      </c>
      <c r="AD759" s="5" t="n">
        <v>80</v>
      </c>
      <c r="AI759" s="231" t="n">
        <v>0.23</v>
      </c>
      <c r="AJ759" s="20" t="n">
        <v>0.4421296296296297</v>
      </c>
      <c r="AL759" s="231" t="n">
        <v>109</v>
      </c>
      <c r="AM759" s="3">
        <f>180+60</f>
        <v/>
      </c>
      <c r="AP759" s="3" t="n">
        <v>40</v>
      </c>
      <c r="AR759" s="13">
        <f>AVERAGE(AO757:AO763)</f>
        <v/>
      </c>
      <c r="AT759" s="156" t="n"/>
      <c r="AU759" s="155">
        <f>(I759-AF759)/I759</f>
        <v/>
      </c>
      <c r="AV759" s="155">
        <f>AG759/(AD759-AF759)</f>
        <v/>
      </c>
      <c r="AW759" s="155">
        <f>(G759-AM759)/G759</f>
        <v/>
      </c>
      <c r="AX759" s="254">
        <f>IF(AND(ISNUMBER(E759),ISNUMBER(W759)),E759-W759,"")</f>
        <v/>
      </c>
      <c r="AY759" s="254">
        <f>IF(AND(ISNUMBER(I759),ISNUMBER(AF759)),I759-AF759,"")</f>
        <v/>
      </c>
      <c r="AZ759" s="254">
        <f>IF(AND(ISNUMBER(AM759),ISNUMBER(G759)),G759-AM759,"")</f>
        <v/>
      </c>
      <c r="BA759" s="254">
        <f>IF(AND(ISNUMBER(AC759),ISNUMBER(AE759)),AC759-AE759,"")</f>
        <v/>
      </c>
      <c r="BB759" s="254">
        <f>IF(AND(ISNUMBER(AL759),ISNUMBER(AM759)),AL759-AM759,"")</f>
        <v/>
      </c>
      <c r="BH759" s="6" t="n"/>
    </row>
    <row r="760" ht="15.75" customHeight="1">
      <c r="B760" t="n">
        <v>516</v>
      </c>
      <c r="D760" s="11" t="n">
        <v>46020</v>
      </c>
      <c r="E760" s="231" t="n">
        <v>516</v>
      </c>
      <c r="F760" s="3" t="n">
        <v>755</v>
      </c>
      <c r="G760" s="205">
        <f>IF(OR(S760="",S760=0),"",S760*2)</f>
        <v/>
      </c>
      <c r="K760" s="15">
        <f>AD760</f>
        <v/>
      </c>
      <c r="M760" s="10">
        <f>IF(OR(E760="",G760="",E760=0,G760=0),"",E760/G760)</f>
        <v/>
      </c>
      <c r="N760" s="9">
        <f>IF(OR(E760="",I760="",E760=0,I760=0),"",E760/(I760*2))</f>
        <v/>
      </c>
      <c r="O760" s="8">
        <f>IF(OR(I760="",G760="",I760=0,G760=0),"",I760*2/G760)</f>
        <v/>
      </c>
      <c r="AD760" s="5" t="n">
        <v>80</v>
      </c>
      <c r="AI760" s="231" t="n">
        <v>0.28</v>
      </c>
      <c r="AJ760" s="20" t="n">
        <v>0.4425925925925926</v>
      </c>
      <c r="AL760" s="231" t="n">
        <v>107</v>
      </c>
      <c r="AM760" s="3">
        <f>180+60</f>
        <v/>
      </c>
      <c r="AP760" s="3" t="n">
        <v>40</v>
      </c>
      <c r="AR760" s="13">
        <f>AVERAGE(AO758:AO764)</f>
        <v/>
      </c>
      <c r="AT760" s="156" t="n"/>
      <c r="AU760" s="155">
        <f>(I760-AF760)/I760</f>
        <v/>
      </c>
      <c r="AV760" s="155">
        <f>AG760/(AD760-AF760)</f>
        <v/>
      </c>
      <c r="AW760" s="155">
        <f>(G760-AM760)/G760</f>
        <v/>
      </c>
      <c r="AX760" s="254">
        <f>IF(AND(ISNUMBER(E760),ISNUMBER(W760)),E760-W760,"")</f>
        <v/>
      </c>
      <c r="AY760" s="254">
        <f>IF(AND(ISNUMBER(I760),ISNUMBER(AF760)),I760-AF760,"")</f>
        <v/>
      </c>
      <c r="AZ760" s="254">
        <f>IF(AND(ISNUMBER(AM760),ISNUMBER(G760)),G760-AM760,"")</f>
        <v/>
      </c>
      <c r="BA760" s="254">
        <f>IF(AND(ISNUMBER(AC760),ISNUMBER(AE760)),AC760-AE760,"")</f>
        <v/>
      </c>
      <c r="BB760" s="254">
        <f>IF(AND(ISNUMBER(AL760),ISNUMBER(AM760)),AL760-AM760,"")</f>
        <v/>
      </c>
      <c r="BH760" s="6" t="n"/>
    </row>
    <row r="761" ht="15.75" customHeight="1">
      <c r="B761" t="n">
        <v>517</v>
      </c>
      <c r="D761" s="11" t="n">
        <v>46021</v>
      </c>
      <c r="E761" s="231" t="n">
        <v>517</v>
      </c>
      <c r="F761" s="3" t="n">
        <v>756</v>
      </c>
      <c r="G761" s="205">
        <f>IF(OR(S761="",S761=0),"",S761*2)</f>
        <v/>
      </c>
      <c r="K761" s="15">
        <f>AD761</f>
        <v/>
      </c>
      <c r="M761" s="10">
        <f>IF(OR(E761="",G761="",E761=0,G761=0),"",E761/G761)</f>
        <v/>
      </c>
      <c r="N761" s="9">
        <f>IF(OR(E761="",I761="",E761=0,I761=0),"",E761/(I761*2))</f>
        <v/>
      </c>
      <c r="O761" s="8">
        <f>IF(OR(I761="",G761="",I761=0,G761=0),"",I761*2/G761)</f>
        <v/>
      </c>
      <c r="AD761" s="5" t="n">
        <v>80</v>
      </c>
      <c r="AI761" s="231" t="n">
        <v>0.32</v>
      </c>
      <c r="AJ761" s="20" t="n">
        <v>0.4428240740740741</v>
      </c>
      <c r="AL761" s="231" t="n">
        <v>105</v>
      </c>
      <c r="AM761" s="3">
        <f>180+60</f>
        <v/>
      </c>
      <c r="AP761" s="3" t="n">
        <v>40</v>
      </c>
      <c r="AR761" s="13">
        <f>AVERAGE(AO759:AO765)</f>
        <v/>
      </c>
      <c r="AT761" s="156" t="n"/>
      <c r="AU761" s="155">
        <f>(I761-AF761)/I761</f>
        <v/>
      </c>
      <c r="AV761" s="155">
        <f>AG761/(AD761-AF761)</f>
        <v/>
      </c>
      <c r="AW761" s="155">
        <f>(G761-AM761)/G761</f>
        <v/>
      </c>
      <c r="AX761" s="254">
        <f>IF(AND(ISNUMBER(E761),ISNUMBER(W761)),E761-W761,"")</f>
        <v/>
      </c>
      <c r="AY761" s="254">
        <f>IF(AND(ISNUMBER(I761),ISNUMBER(AF761)),I761-AF761,"")</f>
        <v/>
      </c>
      <c r="AZ761" s="254">
        <f>IF(AND(ISNUMBER(AM761),ISNUMBER(G761)),G761-AM761,"")</f>
        <v/>
      </c>
      <c r="BA761" s="254">
        <f>IF(AND(ISNUMBER(AC761),ISNUMBER(AE761)),AC761-AE761,"")</f>
        <v/>
      </c>
      <c r="BB761" s="254">
        <f>IF(AND(ISNUMBER(AL761),ISNUMBER(AM761)),AL761-AM761,"")</f>
        <v/>
      </c>
      <c r="BH761" s="6" t="n"/>
    </row>
    <row r="762" ht="15.75" customHeight="1">
      <c r="B762" t="n">
        <v>518</v>
      </c>
      <c r="D762" s="11" t="n">
        <v>46022</v>
      </c>
      <c r="E762" s="231" t="n">
        <v>518</v>
      </c>
      <c r="F762" s="3" t="n">
        <v>757</v>
      </c>
      <c r="G762" s="205">
        <f>IF(OR(S762="",S762=0),"",S762*2)</f>
        <v/>
      </c>
      <c r="K762" s="15">
        <f>AD762</f>
        <v/>
      </c>
      <c r="M762" s="10">
        <f>IF(OR(E762="",G762="",E762=0,G762=0),"",E762/G762)</f>
        <v/>
      </c>
      <c r="N762" s="9">
        <f>IF(OR(E762="",I762="",E762=0,I762=0),"",E762/(I762*2))</f>
        <v/>
      </c>
      <c r="O762" s="8">
        <f>IF(OR(I762="",G762="",I762=0,G762=0),"",I762*2/G762)</f>
        <v/>
      </c>
      <c r="AD762" s="5" t="n">
        <v>80</v>
      </c>
      <c r="AI762" s="231" t="n">
        <v>0.39</v>
      </c>
      <c r="AJ762" s="20" t="n">
        <v>0.4428240740740741</v>
      </c>
      <c r="AL762" s="231" t="n">
        <v>105</v>
      </c>
      <c r="AM762" s="3">
        <f>180+60</f>
        <v/>
      </c>
      <c r="AP762" s="3" t="n">
        <v>40</v>
      </c>
      <c r="AR762" s="13">
        <f>AVERAGE(AO760:AO766)</f>
        <v/>
      </c>
      <c r="AT762" s="156" t="n"/>
      <c r="AU762" s="155">
        <f>(I762-AF762)/I762</f>
        <v/>
      </c>
      <c r="AV762" s="155">
        <f>AG762/(AD762-AF762)</f>
        <v/>
      </c>
      <c r="AW762" s="155">
        <f>(G762-AM762)/G762</f>
        <v/>
      </c>
      <c r="AX762" s="254">
        <f>IF(AND(ISNUMBER(E762),ISNUMBER(W762)),E762-W762,"")</f>
        <v/>
      </c>
      <c r="AY762" s="254">
        <f>IF(AND(ISNUMBER(I762),ISNUMBER(AF762)),I762-AF762,"")</f>
        <v/>
      </c>
      <c r="AZ762" s="254">
        <f>IF(AND(ISNUMBER(AM762),ISNUMBER(G762)),G762-AM762,"")</f>
        <v/>
      </c>
      <c r="BA762" s="254">
        <f>IF(AND(ISNUMBER(AC762),ISNUMBER(AE762)),AC762-AE762,"")</f>
        <v/>
      </c>
      <c r="BB762" s="254">
        <f>IF(AND(ISNUMBER(AL762),ISNUMBER(AM762)),AL762-AM762,"")</f>
        <v/>
      </c>
      <c r="BH762" s="6" t="n"/>
    </row>
    <row r="763" ht="15.75" customHeight="1">
      <c r="B763" t="n">
        <v>519</v>
      </c>
      <c r="D763" s="11" t="n">
        <v>46023</v>
      </c>
      <c r="E763" s="231" t="n">
        <v>519</v>
      </c>
      <c r="F763" s="3" t="n">
        <v>758</v>
      </c>
      <c r="G763" s="205">
        <f>IF(OR(S763="",S763=0),"",S763*2)</f>
        <v/>
      </c>
      <c r="K763" s="15">
        <f>AD763</f>
        <v/>
      </c>
      <c r="M763" s="10">
        <f>IF(OR(E763="",G763="",E763=0,G763=0),"",E763/G763)</f>
        <v/>
      </c>
      <c r="N763" s="9">
        <f>IF(OR(E763="",I763="",E763=0,I763=0),"",E763/(I763*2))</f>
        <v/>
      </c>
      <c r="O763" s="8">
        <f>IF(OR(I763="",G763="",I763=0,G763=0),"",I763*2/G763)</f>
        <v/>
      </c>
      <c r="AD763" s="5" t="n">
        <v>80</v>
      </c>
      <c r="AI763" s="231" t="n">
        <v>0.37</v>
      </c>
      <c r="AJ763" s="20" t="n">
        <v>0.4436342592592593</v>
      </c>
      <c r="AL763" s="231" t="n">
        <v>109</v>
      </c>
      <c r="AM763" s="3">
        <f>180+60</f>
        <v/>
      </c>
      <c r="AP763" s="3" t="n">
        <v>40</v>
      </c>
      <c r="AR763" s="13">
        <f>AVERAGE(AO761:AO767)</f>
        <v/>
      </c>
      <c r="AT763" s="156" t="n"/>
      <c r="AU763" s="155">
        <f>(I763-AF763)/I763</f>
        <v/>
      </c>
      <c r="AV763" s="155">
        <f>AG763/(AD763-AF763)</f>
        <v/>
      </c>
      <c r="AW763" s="155">
        <f>(G763-AM763)/G763</f>
        <v/>
      </c>
      <c r="AX763" s="254">
        <f>IF(AND(ISNUMBER(E763),ISNUMBER(W763)),E763-W763,"")</f>
        <v/>
      </c>
      <c r="AY763" s="254">
        <f>IF(AND(ISNUMBER(I763),ISNUMBER(AF763)),I763-AF763,"")</f>
        <v/>
      </c>
      <c r="AZ763" s="254">
        <f>IF(AND(ISNUMBER(AM763),ISNUMBER(G763)),G763-AM763,"")</f>
        <v/>
      </c>
      <c r="BA763" s="254">
        <f>IF(AND(ISNUMBER(AC763),ISNUMBER(AE763)),AC763-AE763,"")</f>
        <v/>
      </c>
      <c r="BB763" s="254">
        <f>IF(AND(ISNUMBER(AL763),ISNUMBER(AM763)),AL763-AM763,"")</f>
        <v/>
      </c>
      <c r="BH763" s="6" t="n"/>
    </row>
    <row r="764" ht="15.75" customHeight="1">
      <c r="B764" t="n">
        <v>520</v>
      </c>
      <c r="D764" s="11" t="n">
        <v>46024</v>
      </c>
      <c r="E764" s="231" t="n">
        <v>520</v>
      </c>
      <c r="F764" s="3" t="n">
        <v>759</v>
      </c>
      <c r="G764" s="205">
        <f>IF(OR(S764="",S764=0),"",S764*2)</f>
        <v/>
      </c>
      <c r="I764" s="15">
        <f>(N764*18-H764*18)/9</f>
        <v/>
      </c>
      <c r="J764" s="15">
        <f>5*7.15</f>
        <v/>
      </c>
      <c r="K764" s="15">
        <f>AD764</f>
        <v/>
      </c>
      <c r="M764" s="10">
        <f>IF(OR(E764="",G764="",E764=0,G764=0),"",E764/G764)</f>
        <v/>
      </c>
      <c r="N764" s="9">
        <f>IF(OR(E764="",I764="",E764=0,I764=0),"",E764/(I764*2))</f>
        <v/>
      </c>
      <c r="O764" s="8">
        <f>IF(OR(I764="",G764="",I764=0,G764=0),"",I764*2/G764)</f>
        <v/>
      </c>
      <c r="P764" s="7">
        <f>5*10.7</f>
        <v/>
      </c>
      <c r="Q764" s="6" t="n">
        <v>23.271</v>
      </c>
      <c r="R764" s="6" t="n">
        <v>80.95</v>
      </c>
      <c r="S764" s="6">
        <f>O764*1.067</f>
        <v/>
      </c>
      <c r="T764" s="6">
        <f>P764*1.514</f>
        <v/>
      </c>
      <c r="U764" s="6">
        <f>Q764+R764</f>
        <v/>
      </c>
      <c r="V764" s="6" t="n">
        <v>65.8</v>
      </c>
      <c r="W764" s="6" t="n">
        <v>0</v>
      </c>
      <c r="X764" s="6" t="n">
        <v>0</v>
      </c>
      <c r="Y764" s="23">
        <f>U764*1.067+V764*1.514</f>
        <v/>
      </c>
      <c r="AD764" s="5" t="n">
        <v>80</v>
      </c>
      <c r="AE764" s="7">
        <f>T764</f>
        <v/>
      </c>
      <c r="AF764" s="231">
        <f>5*3.98</f>
        <v/>
      </c>
      <c r="AG764" s="231" t="n">
        <v>51.3</v>
      </c>
      <c r="AH764" s="231" t="n">
        <v>0</v>
      </c>
      <c r="AI764" s="231" t="n">
        <v>3.01</v>
      </c>
      <c r="AJ764" s="20" t="n">
        <v>0.4859953703703704</v>
      </c>
      <c r="AL764" s="231" t="n">
        <v>105</v>
      </c>
      <c r="AM764" s="3">
        <f>180+60</f>
        <v/>
      </c>
      <c r="AN764" s="4">
        <f>AE764</f>
        <v/>
      </c>
      <c r="AO764" s="231">
        <f>5*6.59</f>
        <v/>
      </c>
      <c r="AP764" s="3" t="n">
        <v>40</v>
      </c>
      <c r="AR764" s="13">
        <f>AVERAGE(AO762:AO768)</f>
        <v/>
      </c>
      <c r="AT764" s="156">
        <f>(E764-W764)/E764</f>
        <v/>
      </c>
      <c r="AU764" s="155">
        <f>(I764-AF764)/I764</f>
        <v/>
      </c>
      <c r="AV764" s="155">
        <f>AG764/(AD764-AF764)</f>
        <v/>
      </c>
      <c r="AW764" s="155">
        <f>(G764-AM764)/G764</f>
        <v/>
      </c>
      <c r="AX764" s="254">
        <f>IF(AND(ISNUMBER(E764),ISNUMBER(W764)),E764-W764,"")</f>
        <v/>
      </c>
      <c r="AY764" s="254">
        <f>IF(AND(ISNUMBER(I764),ISNUMBER(AF764)),I764-AF764,"")</f>
        <v/>
      </c>
      <c r="AZ764" s="254">
        <f>IF(AND(ISNUMBER(AM764),ISNUMBER(G764)),G764-AM764,"")</f>
        <v/>
      </c>
      <c r="BA764" s="254">
        <f>IF(AND(ISNUMBER(AC764),ISNUMBER(AE764)),AC764-AE764,"")</f>
        <v/>
      </c>
      <c r="BB764" s="254">
        <f>IF(AND(ISNUMBER(AL764),ISNUMBER(AM764)),AL764-AM764,"")</f>
        <v/>
      </c>
      <c r="BH764" s="6" t="n"/>
    </row>
    <row r="765" ht="15.75" customHeight="1">
      <c r="B765" t="n">
        <v>521</v>
      </c>
      <c r="D765" s="11" t="n">
        <v>46025</v>
      </c>
      <c r="E765" s="231" t="n">
        <v>521</v>
      </c>
      <c r="F765" s="3" t="n">
        <v>760</v>
      </c>
      <c r="G765" s="205">
        <f>IF(OR(S765="",S765=0),"",S765*2)</f>
        <v/>
      </c>
      <c r="K765" s="15">
        <f>AD765</f>
        <v/>
      </c>
      <c r="M765" s="10">
        <f>IF(OR(E765="",G765="",E765=0,G765=0),"",E765/G765)</f>
        <v/>
      </c>
      <c r="N765" s="9">
        <f>IF(OR(E765="",I765="",E765=0,I765=0),"",E765/(I765*2))</f>
        <v/>
      </c>
      <c r="O765" s="8">
        <f>IF(OR(I765="",G765="",I765=0,G765=0),"",I765*2/G765)</f>
        <v/>
      </c>
      <c r="AD765" s="5" t="n">
        <v>80</v>
      </c>
      <c r="AI765" s="231" t="n">
        <v>0.31</v>
      </c>
      <c r="AJ765" s="20" t="n">
        <v>0.4427083333333333</v>
      </c>
      <c r="AL765" s="231" t="n">
        <v>107</v>
      </c>
      <c r="AM765" s="3">
        <f>180+60</f>
        <v/>
      </c>
      <c r="AP765" s="3" t="n">
        <v>40</v>
      </c>
      <c r="AR765" s="13">
        <f>AVERAGE(AO763:AO769)</f>
        <v/>
      </c>
      <c r="AT765" s="156" t="n"/>
      <c r="AU765" s="155">
        <f>(I765-AF765)/I765</f>
        <v/>
      </c>
      <c r="AV765" s="155">
        <f>AG765/(AD765-AF765)</f>
        <v/>
      </c>
      <c r="AW765" s="155">
        <f>(G765-AM765)/G765</f>
        <v/>
      </c>
      <c r="AX765" s="254">
        <f>IF(AND(ISNUMBER(E765),ISNUMBER(W765)),E765-W765,"")</f>
        <v/>
      </c>
      <c r="AY765" s="254">
        <f>IF(AND(ISNUMBER(I765),ISNUMBER(AF765)),I765-AF765,"")</f>
        <v/>
      </c>
      <c r="AZ765" s="254">
        <f>IF(AND(ISNUMBER(AM765),ISNUMBER(G765)),G765-AM765,"")</f>
        <v/>
      </c>
      <c r="BA765" s="254">
        <f>IF(AND(ISNUMBER(AC765),ISNUMBER(AE765)),AC765-AE765,"")</f>
        <v/>
      </c>
      <c r="BB765" s="254">
        <f>IF(AND(ISNUMBER(AL765),ISNUMBER(AM765)),AL765-AM765,"")</f>
        <v/>
      </c>
      <c r="BH765" s="6" t="n"/>
    </row>
    <row r="766" ht="15.75" customHeight="1">
      <c r="A766" s="260" t="inlineStr">
        <is>
          <t>B97</t>
        </is>
      </c>
      <c r="B766" s="260" t="n">
        <v>522</v>
      </c>
      <c r="D766" s="11" t="n">
        <v>46026</v>
      </c>
      <c r="E766" s="231" t="n">
        <v>522</v>
      </c>
      <c r="F766" s="3" t="n">
        <v>761</v>
      </c>
      <c r="G766" s="205">
        <f>IF(OR(S766="",S766=0),"",S766*2)</f>
        <v/>
      </c>
      <c r="I766" s="15" t="n">
        <v>14</v>
      </c>
      <c r="J766" s="15" t="n"/>
      <c r="K766" s="15">
        <f>AD766</f>
        <v/>
      </c>
      <c r="M766" s="10">
        <f>IF(OR(E766="",G766="",E766=0,G766=0),"",E766/G766)</f>
        <v/>
      </c>
      <c r="N766" s="9">
        <f>IF(OR(E766="",I766="",E766=0,I766=0),"",E766/(I766*2))</f>
        <v/>
      </c>
      <c r="O766" s="8">
        <f>IF(OR(I766="",G766="",I766=0,G766=0),"",I766*2/G766)</f>
        <v/>
      </c>
      <c r="V766" s="6" t="n">
        <v>72.3</v>
      </c>
      <c r="AD766" s="5" t="n">
        <v>80</v>
      </c>
      <c r="AE766" s="7">
        <f>T766</f>
        <v/>
      </c>
      <c r="AF766" s="231">
        <f>5*4.2</f>
        <v/>
      </c>
      <c r="AG766" s="231" t="n">
        <v>70.5</v>
      </c>
      <c r="AH766" s="231" t="n">
        <v>0</v>
      </c>
      <c r="AI766" s="231" t="n">
        <v>0.46</v>
      </c>
      <c r="AJ766" s="20" t="n">
        <v>0.446412037037037</v>
      </c>
      <c r="AL766" s="231" t="n">
        <v>107</v>
      </c>
      <c r="AM766" s="3">
        <f>180+60</f>
        <v/>
      </c>
      <c r="AN766" s="4">
        <f>AE766</f>
        <v/>
      </c>
      <c r="AO766" s="231" t="n">
        <v>99.3</v>
      </c>
      <c r="AP766" s="3" t="n">
        <v>40</v>
      </c>
      <c r="AR766" s="13">
        <f>AVERAGE(AO764:AO770)</f>
        <v/>
      </c>
      <c r="AT766" s="156" t="n"/>
      <c r="AU766" s="155">
        <f>(I766-AF766)/I766</f>
        <v/>
      </c>
      <c r="AV766" s="155">
        <f>AG766/(AD766-AF766)</f>
        <v/>
      </c>
      <c r="AW766" s="155">
        <f>(G766-AM766)/G766</f>
        <v/>
      </c>
      <c r="AX766" s="254">
        <f>IF(AND(ISNUMBER(E766),ISNUMBER(W766)),E766-W766,"")</f>
        <v/>
      </c>
      <c r="AY766" s="254">
        <f>IF(AND(ISNUMBER(I766),ISNUMBER(AF766)),I766-AF766,"")</f>
        <v/>
      </c>
      <c r="AZ766" s="254">
        <f>IF(AND(ISNUMBER(AM766),ISNUMBER(G766)),G766-AM766,"")</f>
        <v/>
      </c>
      <c r="BA766" s="254">
        <f>IF(AND(ISNUMBER(AC766),ISNUMBER(AE766)),AC766-AE766,"")</f>
        <v/>
      </c>
      <c r="BB766" s="254">
        <f>IF(AND(ISNUMBER(AL766),ISNUMBER(AM766)),AL766-AM766,"")</f>
        <v/>
      </c>
      <c r="BH766" s="6" t="n"/>
    </row>
    <row r="767" ht="15.75" customHeight="1">
      <c r="B767" t="n">
        <v>523</v>
      </c>
      <c r="C767" s="25" t="inlineStr">
        <is>
          <t>letover COD 105</t>
        </is>
      </c>
      <c r="D767" s="11" t="n">
        <v>46027</v>
      </c>
      <c r="E767" s="231" t="n">
        <v>523</v>
      </c>
      <c r="F767" s="3" t="n">
        <v>762</v>
      </c>
      <c r="G767" s="205">
        <f>IF(OR(S767="",S767=0),"",S767*2)</f>
        <v/>
      </c>
      <c r="I767" s="15" t="n">
        <v>14</v>
      </c>
      <c r="J767" s="15" t="n"/>
      <c r="K767" s="15">
        <f>AD767</f>
        <v/>
      </c>
      <c r="M767" s="10">
        <f>IF(OR(E767="",G767="",E767=0,G767=0),"",E767/G767)</f>
        <v/>
      </c>
      <c r="N767" s="9">
        <f>IF(OR(E767="",I767="",E767=0,I767=0),"",E767/(I767*2))</f>
        <v/>
      </c>
      <c r="O767" s="8">
        <f>IF(OR(I767="",G767="",I767=0,G767=0),"",I767*2/G767)</f>
        <v/>
      </c>
      <c r="V767" s="6">
        <f>30.5</f>
        <v/>
      </c>
      <c r="W767" s="6" t="n">
        <v>16.959</v>
      </c>
      <c r="X767" s="6" t="n">
        <v>17.136</v>
      </c>
      <c r="Y767" s="23">
        <f>U767*1.067+V767*1.514</f>
        <v/>
      </c>
      <c r="AD767" s="5" t="n">
        <v>80</v>
      </c>
      <c r="AE767" s="7">
        <f>T767</f>
        <v/>
      </c>
      <c r="AF767" s="231">
        <f>5*4.2</f>
        <v/>
      </c>
      <c r="AG767" s="231">
        <f>19.6</f>
        <v/>
      </c>
      <c r="AH767" s="231" t="n">
        <v>0</v>
      </c>
      <c r="AI767" s="231" t="n">
        <v>0.5</v>
      </c>
      <c r="AJ767" s="20" t="n">
        <v>0.45</v>
      </c>
      <c r="AL767" s="231" t="n">
        <v>93</v>
      </c>
      <c r="AM767" s="3">
        <f>180+60</f>
        <v/>
      </c>
      <c r="AN767" s="4">
        <f>AE767</f>
        <v/>
      </c>
      <c r="AO767" s="231">
        <f>10.7</f>
        <v/>
      </c>
      <c r="AP767" s="3" t="n">
        <v>40</v>
      </c>
      <c r="AR767" s="13">
        <f>AVERAGE(AO765:AO771)</f>
        <v/>
      </c>
      <c r="AT767" s="156" t="n"/>
      <c r="AU767" s="155">
        <f>(I767-AF767)/I767</f>
        <v/>
      </c>
      <c r="AV767" s="155">
        <f>AG767/(AD767-AF767)</f>
        <v/>
      </c>
      <c r="AW767" s="155">
        <f>(G767-AM767)/G767</f>
        <v/>
      </c>
      <c r="AX767" s="254">
        <f>IF(AND(ISNUMBER(E767),ISNUMBER(W767)),E767-W767,"")</f>
        <v/>
      </c>
      <c r="AY767" s="254">
        <f>IF(AND(ISNUMBER(I767),ISNUMBER(AF767)),I767-AF767,"")</f>
        <v/>
      </c>
      <c r="AZ767" s="254">
        <f>IF(AND(ISNUMBER(AM767),ISNUMBER(G767)),G767-AM767,"")</f>
        <v/>
      </c>
      <c r="BA767" s="254">
        <f>IF(AND(ISNUMBER(AC767),ISNUMBER(AE767)),AC767-AE767,"")</f>
        <v/>
      </c>
      <c r="BB767" s="254">
        <f>IF(AND(ISNUMBER(AL767),ISNUMBER(AM767)),AL767-AM767,"")</f>
        <v/>
      </c>
      <c r="BH767" s="6" t="n"/>
    </row>
    <row r="768" ht="15.75" customHeight="1">
      <c r="B768" t="n">
        <v>524</v>
      </c>
      <c r="D768" s="11" t="n">
        <v>46028</v>
      </c>
      <c r="E768" s="231" t="n">
        <v>524</v>
      </c>
      <c r="F768" s="3" t="n">
        <v>763</v>
      </c>
      <c r="G768" s="205">
        <f>IF(OR(S768="",S768=0),"",S768*2)</f>
        <v/>
      </c>
      <c r="I768" s="15" t="n">
        <v>14</v>
      </c>
      <c r="J768" s="15" t="n"/>
      <c r="K768" s="15">
        <f>AD768</f>
        <v/>
      </c>
      <c r="M768" s="10">
        <f>IF(OR(E768="",G768="",E768=0,G768=0),"",E768/G768)</f>
        <v/>
      </c>
      <c r="N768" s="9">
        <f>IF(OR(E768="",I768="",E768=0,I768=0),"",E768/(I768*2))</f>
        <v/>
      </c>
      <c r="O768" s="8">
        <f>IF(OR(I768="",G768="",I768=0,G768=0),"",I768*2/G768)</f>
        <v/>
      </c>
      <c r="V768" s="6">
        <f>30.5</f>
        <v/>
      </c>
      <c r="AD768" s="5" t="n">
        <v>80</v>
      </c>
      <c r="AE768" s="7">
        <f>T768</f>
        <v/>
      </c>
      <c r="AF768" s="231">
        <f>5*4.2</f>
        <v/>
      </c>
      <c r="AG768" s="231" t="n">
        <v>22</v>
      </c>
      <c r="AH768" s="231" t="n">
        <v>0</v>
      </c>
      <c r="AI768" s="231" t="n">
        <v>0.63</v>
      </c>
      <c r="AJ768" s="20" t="n">
        <v>0.4480324074074074</v>
      </c>
      <c r="AL768" s="231" t="n">
        <v>93</v>
      </c>
      <c r="AM768" s="3">
        <f>180+60</f>
        <v/>
      </c>
      <c r="AN768" s="4">
        <f>AE768</f>
        <v/>
      </c>
      <c r="AO768" s="231" t="n">
        <v>12.2</v>
      </c>
      <c r="AP768" s="3" t="n">
        <v>40</v>
      </c>
      <c r="AR768" s="13">
        <f>AVERAGE(AO766:AO772)</f>
        <v/>
      </c>
      <c r="AT768" s="156" t="n"/>
      <c r="AU768" s="155">
        <f>(I768-AF768)/I768</f>
        <v/>
      </c>
      <c r="AV768" s="155">
        <f>AG768/(AD768-AF768)</f>
        <v/>
      </c>
      <c r="AW768" s="155">
        <f>(G768-AM768)/G768</f>
        <v/>
      </c>
      <c r="AX768" s="254">
        <f>IF(AND(ISNUMBER(E768),ISNUMBER(W768)),E768-W768,"")</f>
        <v/>
      </c>
      <c r="AY768" s="254">
        <f>IF(AND(ISNUMBER(I768),ISNUMBER(AF768)),I768-AF768,"")</f>
        <v/>
      </c>
      <c r="AZ768" s="254">
        <f>IF(AND(ISNUMBER(AM768),ISNUMBER(G768)),G768-AM768,"")</f>
        <v/>
      </c>
      <c r="BA768" s="254">
        <f>IF(AND(ISNUMBER(AC768),ISNUMBER(AE768)),AC768-AE768,"")</f>
        <v/>
      </c>
      <c r="BB768" s="254">
        <f>IF(AND(ISNUMBER(AL768),ISNUMBER(AM768)),AL768-AM768,"")</f>
        <v/>
      </c>
      <c r="BH768" s="6" t="n"/>
    </row>
    <row r="769" ht="15.75" customHeight="1">
      <c r="B769" t="n">
        <v>525</v>
      </c>
      <c r="D769" s="11" t="n">
        <v>46029</v>
      </c>
      <c r="E769" s="231" t="n">
        <v>525</v>
      </c>
      <c r="F769" s="3" t="n">
        <v>764</v>
      </c>
      <c r="G769" s="205">
        <f>IF(OR(S769="",S769=0),"",S769*2)</f>
        <v/>
      </c>
      <c r="I769" s="15" t="n">
        <v>14</v>
      </c>
      <c r="J769" s="15" t="n"/>
      <c r="K769" s="15">
        <f>AD769</f>
        <v/>
      </c>
      <c r="M769" s="10">
        <f>IF(OR(E769="",G769="",E769=0,G769=0),"",E769/G769)</f>
        <v/>
      </c>
      <c r="N769" s="9">
        <f>IF(OR(E769="",I769="",E769=0,I769=0),"",E769/(I769*2))</f>
        <v/>
      </c>
      <c r="O769" s="8">
        <f>IF(OR(I769="",G769="",I769=0,G769=0),"",I769*2/G769)</f>
        <v/>
      </c>
      <c r="AD769" s="5" t="n">
        <v>80</v>
      </c>
      <c r="AE769" s="7">
        <f>T769</f>
        <v/>
      </c>
      <c r="AF769" s="231">
        <f>5*4.2</f>
        <v/>
      </c>
      <c r="AG769" s="231" t="n">
        <v>23.3</v>
      </c>
      <c r="AH769" s="231" t="n">
        <v>0</v>
      </c>
      <c r="AI769" s="231" t="n">
        <v>0.43</v>
      </c>
      <c r="AJ769" s="20" t="n">
        <v>0.4430555555555555</v>
      </c>
      <c r="AL769" s="231" t="n">
        <v>97</v>
      </c>
      <c r="AM769" s="3">
        <f>180+60</f>
        <v/>
      </c>
      <c r="AN769" s="4">
        <f>AE769</f>
        <v/>
      </c>
      <c r="AO769" s="231" t="n">
        <v>10.5</v>
      </c>
      <c r="AP769" s="3" t="n">
        <v>40</v>
      </c>
      <c r="AR769" s="13">
        <f>AVERAGE(AO767:AO773)</f>
        <v/>
      </c>
      <c r="AT769" s="156" t="n"/>
      <c r="AU769" s="155">
        <f>(I769-AF769)/I769</f>
        <v/>
      </c>
      <c r="AV769" s="155">
        <f>AG769/(AD769-AF769)</f>
        <v/>
      </c>
      <c r="AW769" s="155">
        <f>(G769-AM769)/G769</f>
        <v/>
      </c>
      <c r="AX769" s="254">
        <f>IF(AND(ISNUMBER(E769),ISNUMBER(W769)),E769-W769,"")</f>
        <v/>
      </c>
      <c r="AY769" s="254">
        <f>IF(AND(ISNUMBER(I769),ISNUMBER(AF769)),I769-AF769,"")</f>
        <v/>
      </c>
      <c r="AZ769" s="254">
        <f>IF(AND(ISNUMBER(AM769),ISNUMBER(G769)),G769-AM769,"")</f>
        <v/>
      </c>
      <c r="BA769" s="254">
        <f>IF(AND(ISNUMBER(AC769),ISNUMBER(AE769)),AC769-AE769,"")</f>
        <v/>
      </c>
      <c r="BB769" s="254">
        <f>IF(AND(ISNUMBER(AL769),ISNUMBER(AM769)),AL769-AM769,"")</f>
        <v/>
      </c>
      <c r="BH769" s="6" t="n"/>
    </row>
    <row r="770" ht="15.75" customHeight="1">
      <c r="B770" t="n">
        <v>526</v>
      </c>
      <c r="D770" s="11" t="n">
        <v>46030</v>
      </c>
      <c r="E770" s="231" t="n">
        <v>526</v>
      </c>
      <c r="F770" s="3" t="n">
        <v>765</v>
      </c>
      <c r="G770" s="205">
        <f>IF(OR(S770="",S770=0),"",S770*2)</f>
        <v/>
      </c>
      <c r="K770" s="15">
        <f>AD770</f>
        <v/>
      </c>
      <c r="M770" s="10">
        <f>IF(OR(E770="",G770="",E770=0,G770=0),"",E770/G770)</f>
        <v/>
      </c>
      <c r="N770" s="9">
        <f>IF(OR(E770="",I770="",E770=0,I770=0),"",E770/(I770*2))</f>
        <v/>
      </c>
      <c r="O770" s="8">
        <f>IF(OR(I770="",G770="",I770=0,G770=0),"",I770*2/G770)</f>
        <v/>
      </c>
      <c r="AD770" s="5" t="n">
        <v>80</v>
      </c>
      <c r="AI770" s="231" t="n">
        <v>4.92</v>
      </c>
      <c r="AJ770" s="20" t="n">
        <v>0.5304398148148148</v>
      </c>
      <c r="AL770" s="231" t="n">
        <v>95</v>
      </c>
      <c r="AM770" s="3">
        <f>180+60</f>
        <v/>
      </c>
      <c r="AP770" s="3" t="n">
        <v>40</v>
      </c>
      <c r="AR770" s="13">
        <f>AVERAGE(AO768:AO774)</f>
        <v/>
      </c>
      <c r="AT770" s="156" t="n"/>
      <c r="AU770" s="155">
        <f>(I770-AF770)/I770</f>
        <v/>
      </c>
      <c r="AV770" s="155">
        <f>AG770/(AD770-AF770)</f>
        <v/>
      </c>
      <c r="AW770" s="155">
        <f>(G770-AM770)/G770</f>
        <v/>
      </c>
      <c r="AX770" s="254">
        <f>IF(AND(ISNUMBER(E770),ISNUMBER(W770)),E770-W770,"")</f>
        <v/>
      </c>
      <c r="AY770" s="254">
        <f>IF(AND(ISNUMBER(I770),ISNUMBER(AF770)),I770-AF770,"")</f>
        <v/>
      </c>
      <c r="AZ770" s="254">
        <f>IF(AND(ISNUMBER(AM770),ISNUMBER(G770)),G770-AM770,"")</f>
        <v/>
      </c>
      <c r="BA770" s="254">
        <f>IF(AND(ISNUMBER(AC770),ISNUMBER(AE770)),AC770-AE770,"")</f>
        <v/>
      </c>
      <c r="BB770" s="254">
        <f>IF(AND(ISNUMBER(AL770),ISNUMBER(AM770)),AL770-AM770,"")</f>
        <v/>
      </c>
      <c r="BH770" s="6" t="n"/>
    </row>
    <row r="771" ht="15.75" customHeight="1">
      <c r="B771" t="n">
        <v>527</v>
      </c>
      <c r="D771" s="11" t="n">
        <v>46031</v>
      </c>
      <c r="E771" s="231" t="n">
        <v>527</v>
      </c>
      <c r="F771" s="3" t="n">
        <v>766</v>
      </c>
      <c r="G771" s="205">
        <f>IF(OR(S771="",S771=0),"",S771*2)</f>
        <v/>
      </c>
      <c r="K771" s="15">
        <f>AD771</f>
        <v/>
      </c>
      <c r="M771" s="10">
        <f>IF(OR(E771="",G771="",E771=0,G771=0),"",E771/G771)</f>
        <v/>
      </c>
      <c r="N771" s="9">
        <f>IF(OR(E771="",I771="",E771=0,I771=0),"",E771/(I771*2))</f>
        <v/>
      </c>
      <c r="O771" s="8">
        <f>IF(OR(I771="",G771="",I771=0,G771=0),"",I771*2/G771)</f>
        <v/>
      </c>
      <c r="AD771" s="5" t="n">
        <v>80</v>
      </c>
      <c r="AI771" s="231" t="n">
        <v>0.54</v>
      </c>
      <c r="AJ771" s="20" t="n">
        <v>0.4428240740740741</v>
      </c>
      <c r="AL771" s="231" t="n">
        <v>93</v>
      </c>
      <c r="AM771" s="3">
        <f>180+60</f>
        <v/>
      </c>
      <c r="AP771" s="3" t="n">
        <v>40</v>
      </c>
      <c r="AR771" s="13">
        <f>AVERAGE(AO769:AO775)</f>
        <v/>
      </c>
      <c r="AT771" s="156" t="n"/>
      <c r="AU771" s="155">
        <f>(I771-AF771)/I771</f>
        <v/>
      </c>
      <c r="AV771" s="155">
        <f>AG771/(AD771-AF771)</f>
        <v/>
      </c>
      <c r="AW771" s="155">
        <f>(G771-AM771)/G771</f>
        <v/>
      </c>
      <c r="AX771" s="254">
        <f>IF(AND(ISNUMBER(E771),ISNUMBER(W771)),E771-W771,"")</f>
        <v/>
      </c>
      <c r="AY771" s="254">
        <f>IF(AND(ISNUMBER(I771),ISNUMBER(AF771)),I771-AF771,"")</f>
        <v/>
      </c>
      <c r="AZ771" s="254">
        <f>IF(AND(ISNUMBER(AM771),ISNUMBER(G771)),G771-AM771,"")</f>
        <v/>
      </c>
      <c r="BA771" s="254">
        <f>IF(AND(ISNUMBER(AC771),ISNUMBER(AE771)),AC771-AE771,"")</f>
        <v/>
      </c>
      <c r="BB771" s="254">
        <f>IF(AND(ISNUMBER(AL771),ISNUMBER(AM771)),AL771-AM771,"")</f>
        <v/>
      </c>
      <c r="BH771" s="6" t="n"/>
    </row>
    <row r="772" ht="15.75" customHeight="1">
      <c r="A772" s="260" t="inlineStr">
        <is>
          <t>B98</t>
        </is>
      </c>
      <c r="B772" s="260" t="n">
        <v>528</v>
      </c>
      <c r="D772" s="11" t="n">
        <v>46032</v>
      </c>
      <c r="E772" s="231" t="n">
        <v>528</v>
      </c>
      <c r="F772" s="3" t="n">
        <v>767</v>
      </c>
      <c r="G772" s="205">
        <f>IF(OR(S772="",S772=0),"",S772*2)</f>
        <v/>
      </c>
      <c r="K772" s="15">
        <f>AD772</f>
        <v/>
      </c>
      <c r="M772" s="10">
        <f>IF(OR(E772="",G772="",E772=0,G772=0),"",E772/G772)</f>
        <v/>
      </c>
      <c r="N772" s="9">
        <f>IF(OR(E772="",I772="",E772=0,I772=0),"",E772/(I772*2))</f>
        <v/>
      </c>
      <c r="O772" s="8">
        <f>IF(OR(I772="",G772="",I772=0,G772=0),"",I772*2/G772)</f>
        <v/>
      </c>
      <c r="AD772" s="5" t="n">
        <v>80</v>
      </c>
      <c r="AI772" s="231" t="n">
        <v>0.48</v>
      </c>
      <c r="AJ772" s="20" t="n">
        <v>0.4480324074074074</v>
      </c>
      <c r="AL772" s="231" t="n">
        <v>91</v>
      </c>
      <c r="AM772" s="3">
        <f>180+60</f>
        <v/>
      </c>
      <c r="AP772" s="3" t="n">
        <v>40</v>
      </c>
      <c r="AR772" s="13">
        <f>AVERAGE(AO770:AO776)</f>
        <v/>
      </c>
      <c r="AT772" s="156" t="n"/>
      <c r="AU772" s="155">
        <f>(I772-AF772)/I772</f>
        <v/>
      </c>
      <c r="AV772" s="155">
        <f>AG772/(AD772-AF772)</f>
        <v/>
      </c>
      <c r="AW772" s="155">
        <f>(G772-AM772)/G772</f>
        <v/>
      </c>
      <c r="AX772" s="254">
        <f>IF(AND(ISNUMBER(E772),ISNUMBER(W772)),E772-W772,"")</f>
        <v/>
      </c>
      <c r="AY772" s="254">
        <f>IF(AND(ISNUMBER(I772),ISNUMBER(AF772)),I772-AF772,"")</f>
        <v/>
      </c>
      <c r="AZ772" s="254">
        <f>IF(AND(ISNUMBER(AM772),ISNUMBER(G772)),G772-AM772,"")</f>
        <v/>
      </c>
      <c r="BA772" s="254">
        <f>IF(AND(ISNUMBER(AC772),ISNUMBER(AE772)),AC772-AE772,"")</f>
        <v/>
      </c>
      <c r="BB772" s="254">
        <f>IF(AND(ISNUMBER(AL772),ISNUMBER(AM772)),AL772-AM772,"")</f>
        <v/>
      </c>
      <c r="BH772" s="6" t="n"/>
    </row>
    <row r="773" ht="15.75" customFormat="1" customHeight="1" s="27">
      <c r="B773" t="n">
        <v>529</v>
      </c>
      <c r="C773" s="39" t="n"/>
      <c r="D773" s="38" t="n">
        <v>46033</v>
      </c>
      <c r="E773" s="231" t="n">
        <v>529</v>
      </c>
      <c r="F773" s="29" t="n">
        <v>768</v>
      </c>
      <c r="G773" s="205">
        <f>IF(OR(S773="",S773=0),"",S773*2)</f>
        <v/>
      </c>
      <c r="H773" s="36" t="n"/>
      <c r="I773" s="36" t="n"/>
      <c r="J773" s="36" t="n"/>
      <c r="K773" s="15">
        <f>AD773</f>
        <v/>
      </c>
      <c r="L773" s="35" t="n"/>
      <c r="M773" s="10">
        <f>IF(OR(E773="",G773="",E773=0,G773=0),"",E773/G773)</f>
        <v/>
      </c>
      <c r="N773" s="9">
        <f>IF(OR(E773="",I773="",E773=0,I773=0),"",E773/(I773*2))</f>
        <v/>
      </c>
      <c r="O773" s="8">
        <f>IF(OR(I773="",G773="",I773=0,G773=0),"",I773*2/G773)</f>
        <v/>
      </c>
      <c r="P773" s="34" t="n"/>
      <c r="Q773" s="33" t="n"/>
      <c r="R773" s="33" t="n"/>
      <c r="S773" s="33" t="n"/>
      <c r="T773" s="33" t="n"/>
      <c r="U773" s="33" t="n"/>
      <c r="V773" s="33" t="n"/>
      <c r="W773" s="33" t="n"/>
      <c r="X773" s="33" t="n"/>
      <c r="Y773" s="33" t="n"/>
      <c r="Z773" s="33" t="n"/>
      <c r="AA773" s="33" t="n"/>
      <c r="AB773" s="33" t="n"/>
      <c r="AC773" s="33" t="n"/>
      <c r="AD773" s="5" t="n">
        <v>80</v>
      </c>
      <c r="AE773" s="32" t="n"/>
      <c r="AI773" s="231" t="n">
        <v>0.41</v>
      </c>
      <c r="AJ773" s="20" t="n">
        <v>0.44375</v>
      </c>
      <c r="AL773" s="27" t="n">
        <v>87</v>
      </c>
      <c r="AM773" s="3">
        <f>180+60</f>
        <v/>
      </c>
      <c r="AN773" s="32" t="n"/>
      <c r="AP773" s="3" t="n">
        <v>40</v>
      </c>
      <c r="AQ773" s="28" t="n"/>
      <c r="AR773" s="13">
        <f>AVERAGE(AO771:AO777)</f>
        <v/>
      </c>
      <c r="AS773" s="28" t="n"/>
      <c r="AT773" s="31" t="n"/>
      <c r="AU773" s="30">
        <f>(I773-AF773)/I773</f>
        <v/>
      </c>
      <c r="AV773" s="30">
        <f>AG773/(AD773-AF773)</f>
        <v/>
      </c>
      <c r="AW773" s="30">
        <f>(G773-AM773)/G773</f>
        <v/>
      </c>
      <c r="AX773" s="254">
        <f>IF(AND(ISNUMBER(E773),ISNUMBER(W773)),E773-W773,"")</f>
        <v/>
      </c>
      <c r="AY773" s="254">
        <f>IF(AND(ISNUMBER(I773),ISNUMBER(AF773)),I773-AF773,"")</f>
        <v/>
      </c>
      <c r="AZ773" s="254">
        <f>IF(AND(ISNUMBER(AM773),ISNUMBER(G773)),G773-AM773,"")</f>
        <v/>
      </c>
      <c r="BA773" s="254">
        <f>IF(AND(ISNUMBER(AC773),ISNUMBER(AE773)),AC773-AE773,"")</f>
        <v/>
      </c>
      <c r="BB773" s="254">
        <f>IF(AND(ISNUMBER(AL773),ISNUMBER(AM773)),AL773-AM773,"")</f>
        <v/>
      </c>
      <c r="BH773" s="6" t="n"/>
    </row>
    <row r="774" ht="15.75" customHeight="1">
      <c r="B774" t="n">
        <v>530</v>
      </c>
      <c r="C774" s="25" t="inlineStr">
        <is>
          <t>left ver COD dilute to 80</t>
        </is>
      </c>
      <c r="D774" s="11" t="n">
        <v>46034</v>
      </c>
      <c r="E774" s="231" t="n">
        <v>530</v>
      </c>
      <c r="F774" s="3" t="n">
        <v>769</v>
      </c>
      <c r="G774" s="205">
        <f>IF(OR(S774="",S774=0),"",S774*2)</f>
        <v/>
      </c>
      <c r="K774" s="15">
        <f>AD774</f>
        <v/>
      </c>
      <c r="M774" s="10">
        <f>IF(OR(E774="",G774="",E774=0,G774=0),"",E774/G774)</f>
        <v/>
      </c>
      <c r="N774" s="9">
        <f>IF(OR(E774="",I774="",E774=0,I774=0),"",E774/(I774*2))</f>
        <v/>
      </c>
      <c r="O774" s="8">
        <f>IF(OR(I774="",G774="",I774=0,G774=0),"",I774*2/G774)</f>
        <v/>
      </c>
      <c r="AD774" s="5" t="n">
        <v>80</v>
      </c>
      <c r="AG774" s="231">
        <f>24.8</f>
        <v/>
      </c>
      <c r="AI774" s="231" t="n">
        <v>0.17</v>
      </c>
      <c r="AJ774" s="20" t="n">
        <v>0.4496527777777778</v>
      </c>
      <c r="AL774" s="231" t="n">
        <v>85</v>
      </c>
      <c r="AM774" s="3">
        <f>180+60</f>
        <v/>
      </c>
      <c r="AN774" s="4">
        <f>AE774</f>
        <v/>
      </c>
      <c r="AO774" s="231" t="n">
        <v>12.8</v>
      </c>
      <c r="AP774" s="3" t="n">
        <v>40</v>
      </c>
      <c r="AR774" s="13">
        <f>AVERAGE(AO772:AO778)</f>
        <v/>
      </c>
      <c r="AT774" s="156" t="n"/>
      <c r="AU774" s="155" t="n"/>
      <c r="AV774" s="155">
        <f>AG774/(AD774-AF774)</f>
        <v/>
      </c>
      <c r="AW774" s="155">
        <f>(G774-AM774)/G774</f>
        <v/>
      </c>
      <c r="AX774" s="254">
        <f>IF(AND(ISNUMBER(E774),ISNUMBER(W774)),E774-W774,"")</f>
        <v/>
      </c>
      <c r="AY774" s="254">
        <f>IF(AND(ISNUMBER(I774),ISNUMBER(AF774)),I774-AF774,"")</f>
        <v/>
      </c>
      <c r="AZ774" s="254">
        <f>IF(AND(ISNUMBER(AM774),ISNUMBER(G774)),G774-AM774,"")</f>
        <v/>
      </c>
      <c r="BA774" s="254">
        <f>IF(AND(ISNUMBER(AC774),ISNUMBER(AE774)),AC774-AE774,"")</f>
        <v/>
      </c>
      <c r="BB774" s="254">
        <f>IF(AND(ISNUMBER(AL774),ISNUMBER(AM774)),AL774-AM774,"")</f>
        <v/>
      </c>
      <c r="BH774" s="6" t="n"/>
    </row>
    <row r="775" ht="15.75" customHeight="1">
      <c r="B775" t="n">
        <v>531</v>
      </c>
      <c r="D775" s="11" t="n">
        <v>46035</v>
      </c>
      <c r="E775" s="231" t="n">
        <v>531</v>
      </c>
      <c r="F775" s="3" t="n">
        <v>770</v>
      </c>
      <c r="G775" s="205">
        <f>IF(OR(S775="",S775=0),"",S775*2)</f>
        <v/>
      </c>
      <c r="I775" s="15">
        <f>(N775*18-H775*18)/9</f>
        <v/>
      </c>
      <c r="J775" s="15">
        <f>5*1.13</f>
        <v/>
      </c>
      <c r="K775" s="15">
        <f>AD775</f>
        <v/>
      </c>
      <c r="M775" s="10">
        <f>IF(OR(E775="",G775="",E775=0,G775=0),"",E775/G775)</f>
        <v/>
      </c>
      <c r="N775" s="9">
        <f>IF(OR(E775="",I775="",E775=0,I775=0),"",E775/(I775*2))</f>
        <v/>
      </c>
      <c r="O775" s="8">
        <f>IF(OR(I775="",G775="",I775=0,G775=0),"",I775*2/G775)</f>
        <v/>
      </c>
      <c r="P775" s="7">
        <f>12.9</f>
        <v/>
      </c>
      <c r="U775" s="6">
        <f>Q775+R775</f>
        <v/>
      </c>
      <c r="V775" s="6" t="n">
        <v>22.5</v>
      </c>
      <c r="W775" s="6" t="n">
        <v>0</v>
      </c>
      <c r="X775" s="6" t="n">
        <v>0</v>
      </c>
      <c r="Y775" s="23">
        <f>U775*1.067+V775*1.514</f>
        <v/>
      </c>
      <c r="AD775" s="5" t="n">
        <v>80</v>
      </c>
      <c r="AE775" s="7">
        <f>T775</f>
        <v/>
      </c>
      <c r="AF775" s="231">
        <f>5*4.08</f>
        <v/>
      </c>
      <c r="AG775" s="231" t="n">
        <v>24.5</v>
      </c>
      <c r="AH775" s="231" t="n">
        <v>0</v>
      </c>
      <c r="AI775" s="231" t="n">
        <v>2.02</v>
      </c>
      <c r="AJ775" s="20" t="n">
        <v>0.4674768518518518</v>
      </c>
      <c r="AL775" s="231" t="n">
        <v>239</v>
      </c>
      <c r="AM775" s="3">
        <f>180+60</f>
        <v/>
      </c>
      <c r="AN775" s="4">
        <f>AE775</f>
        <v/>
      </c>
      <c r="AO775" s="231">
        <f>5*2.72</f>
        <v/>
      </c>
      <c r="AP775" s="3" t="n">
        <v>40</v>
      </c>
      <c r="AR775" s="13">
        <f>AVERAGE(AO773:AO779)</f>
        <v/>
      </c>
      <c r="AT775" s="19" t="n"/>
      <c r="AU775" s="18">
        <f>(I775-AF775)/I775</f>
        <v/>
      </c>
      <c r="AV775" s="18">
        <f>AG775/(AD775-AF775)</f>
        <v/>
      </c>
      <c r="AW775" s="18">
        <f>(G775-AM775)/G775</f>
        <v/>
      </c>
      <c r="AX775" s="254">
        <f>IF(AND(ISNUMBER(E775),ISNUMBER(W775)),E775-W775,"")</f>
        <v/>
      </c>
      <c r="AY775" s="254">
        <f>IF(AND(ISNUMBER(I775),ISNUMBER(AF775)),I775-AF775,"")</f>
        <v/>
      </c>
      <c r="AZ775" s="254">
        <f>IF(AND(ISNUMBER(AM775),ISNUMBER(G775)),G775-AM775,"")</f>
        <v/>
      </c>
      <c r="BA775" s="254">
        <f>IF(AND(ISNUMBER(AC775),ISNUMBER(AE775)),AC775-AE775,"")</f>
        <v/>
      </c>
      <c r="BB775" s="254">
        <f>IF(AND(ISNUMBER(AL775),ISNUMBER(AM775)),AL775-AM775,"")</f>
        <v/>
      </c>
      <c r="BH775" s="6" t="n"/>
    </row>
    <row r="776" ht="15.75" customHeight="1">
      <c r="B776" t="n">
        <v>532</v>
      </c>
      <c r="D776" s="11" t="n">
        <v>46036</v>
      </c>
      <c r="E776" s="231" t="n">
        <v>532</v>
      </c>
      <c r="F776" s="3" t="n">
        <v>771</v>
      </c>
      <c r="G776" s="205">
        <f>IF(OR(S776="",S776=0),"",S776*2)</f>
        <v/>
      </c>
      <c r="K776" s="15">
        <f>AD776</f>
        <v/>
      </c>
      <c r="M776" s="10">
        <f>IF(OR(E776="",G776="",E776=0,G776=0),"",E776/G776)</f>
        <v/>
      </c>
      <c r="N776" s="9">
        <f>IF(OR(E776="",I776="",E776=0,I776=0),"",E776/(I776*2))</f>
        <v/>
      </c>
      <c r="O776" s="8">
        <f>IF(OR(I776="",G776="",I776=0,G776=0),"",I776*2/G776)</f>
        <v/>
      </c>
      <c r="AD776" s="5" t="n">
        <v>80</v>
      </c>
      <c r="AF776" s="21" t="n">
        <v>21</v>
      </c>
      <c r="AI776" s="231" t="n">
        <v>0.67</v>
      </c>
      <c r="AJ776" s="20" t="n">
        <v>0.4452546296296296</v>
      </c>
      <c r="AL776" s="231" t="n">
        <v>79</v>
      </c>
      <c r="AM776" s="3">
        <f>180+60</f>
        <v/>
      </c>
      <c r="AP776" s="3" t="n">
        <v>40</v>
      </c>
      <c r="AR776" s="13">
        <f>AVERAGE(AO774:AO780)</f>
        <v/>
      </c>
      <c r="AT776" s="19" t="n"/>
      <c r="AU776" s="18">
        <f>(I776-AF776)/I776</f>
        <v/>
      </c>
      <c r="AV776" s="18">
        <f>AG776/(AD776-AF776)</f>
        <v/>
      </c>
      <c r="AW776" s="18" t="n"/>
      <c r="AX776" s="254">
        <f>IF(AND(ISNUMBER(E776),ISNUMBER(W776)),E776-W776,"")</f>
        <v/>
      </c>
      <c r="AY776" s="254">
        <f>IF(AND(ISNUMBER(I776),ISNUMBER(AF776)),I776-AF776,"")</f>
        <v/>
      </c>
      <c r="AZ776" s="254">
        <f>IF(AND(ISNUMBER(AM776),ISNUMBER(G776)),G776-AM776,"")</f>
        <v/>
      </c>
      <c r="BA776" s="254">
        <f>IF(AND(ISNUMBER(AC776),ISNUMBER(AE776)),AC776-AE776,"")</f>
        <v/>
      </c>
      <c r="BB776" s="254">
        <f>IF(AND(ISNUMBER(AL776),ISNUMBER(AM776)),AL776-AM776,"")</f>
        <v/>
      </c>
      <c r="BH776" s="6" t="n"/>
    </row>
    <row r="777" ht="15.75" customHeight="1">
      <c r="B777" t="n">
        <v>533</v>
      </c>
      <c r="D777" s="11" t="n">
        <v>46037</v>
      </c>
      <c r="E777" s="231" t="n">
        <v>533</v>
      </c>
      <c r="F777" s="3" t="n">
        <v>772</v>
      </c>
      <c r="G777" s="205">
        <f>IF(OR(S777="",S777=0),"",S777*2)</f>
        <v/>
      </c>
      <c r="K777" s="15">
        <f>AD777</f>
        <v/>
      </c>
      <c r="M777" s="10">
        <f>IF(OR(E777="",G777="",E777=0,G777=0),"",E777/G777)</f>
        <v/>
      </c>
      <c r="N777" s="9">
        <f>IF(OR(E777="",I777="",E777=0,I777=0),"",E777/(I777*2))</f>
        <v/>
      </c>
      <c r="O777" s="8">
        <f>IF(OR(I777="",G777="",I777=0,G777=0),"",I777*2/G777)</f>
        <v/>
      </c>
      <c r="AD777" s="5" t="n">
        <v>80</v>
      </c>
      <c r="AF777" s="21" t="n">
        <v>21</v>
      </c>
      <c r="AI777" s="231" t="n">
        <v>0.32</v>
      </c>
      <c r="AJ777" s="20" t="n">
        <v>0.4431712962962963</v>
      </c>
      <c r="AL777" s="231" t="n">
        <v>93</v>
      </c>
      <c r="AM777" s="3">
        <f>180+60</f>
        <v/>
      </c>
      <c r="AP777" s="3" t="n">
        <v>40</v>
      </c>
      <c r="AR777" s="13">
        <f>AVERAGE(AO775:AO781)</f>
        <v/>
      </c>
      <c r="AT777" s="19" t="n"/>
      <c r="AU777" s="18">
        <f>(I777-AF777)/I777</f>
        <v/>
      </c>
      <c r="AV777" s="18">
        <f>AG777/(AD777-AF777)</f>
        <v/>
      </c>
      <c r="AW777" s="18" t="n"/>
      <c r="AX777" s="254">
        <f>IF(AND(ISNUMBER(E777),ISNUMBER(W777)),E777-W777,"")</f>
        <v/>
      </c>
      <c r="AY777" s="254">
        <f>IF(AND(ISNUMBER(I777),ISNUMBER(AF777)),I777-AF777,"")</f>
        <v/>
      </c>
      <c r="AZ777" s="254">
        <f>IF(AND(ISNUMBER(AM777),ISNUMBER(G777)),G777-AM777,"")</f>
        <v/>
      </c>
      <c r="BA777" s="254">
        <f>IF(AND(ISNUMBER(AC777),ISNUMBER(AE777)),AC777-AE777,"")</f>
        <v/>
      </c>
      <c r="BB777" s="254">
        <f>IF(AND(ISNUMBER(AL777),ISNUMBER(AM777)),AL777-AM777,"")</f>
        <v/>
      </c>
      <c r="BH777" s="6" t="n"/>
    </row>
    <row r="778" ht="15.75" customHeight="1">
      <c r="B778" t="n">
        <v>534</v>
      </c>
      <c r="D778" s="11" t="n">
        <v>46038</v>
      </c>
      <c r="E778" s="231" t="n">
        <v>534</v>
      </c>
      <c r="F778" s="3" t="n">
        <v>773</v>
      </c>
      <c r="G778" s="205">
        <f>IF(OR(S778="",S778=0),"",S778*2)</f>
        <v/>
      </c>
      <c r="I778" s="15" t="n">
        <v>14</v>
      </c>
      <c r="J778" s="15" t="n"/>
      <c r="K778" s="15">
        <f>AD778</f>
        <v/>
      </c>
      <c r="M778" s="10">
        <f>IF(OR(E778="",G778="",E778=0,G778=0),"",E778/G778)</f>
        <v/>
      </c>
      <c r="N778" s="9">
        <f>IF(OR(E778="",I778="",E778=0,I778=0),"",E778/(I778*2))</f>
        <v/>
      </c>
      <c r="O778" s="8">
        <f>IF(OR(I778="",G778="",I778=0,G778=0),"",I778*2/G778)</f>
        <v/>
      </c>
      <c r="V778" s="6" t="n">
        <v>27.4</v>
      </c>
      <c r="AD778" s="5" t="n">
        <v>80</v>
      </c>
      <c r="AE778" s="7">
        <f>T778</f>
        <v/>
      </c>
      <c r="AF778" s="231">
        <f>5*4.2</f>
        <v/>
      </c>
      <c r="AG778" s="231" t="n">
        <v>17.3</v>
      </c>
      <c r="AH778" s="231" t="n">
        <v>0</v>
      </c>
      <c r="AI778" s="231" t="n">
        <v>0.42</v>
      </c>
      <c r="AJ778" s="20" t="n">
        <v>0.44375</v>
      </c>
      <c r="AL778" s="231" t="n">
        <v>89</v>
      </c>
      <c r="AM778" s="3">
        <f>180+60</f>
        <v/>
      </c>
      <c r="AN778" s="4">
        <f>AE778</f>
        <v/>
      </c>
      <c r="AO778" s="231">
        <f>5*0.989</f>
        <v/>
      </c>
      <c r="AP778" s="3" t="n">
        <v>40</v>
      </c>
      <c r="AR778" s="13">
        <f>AVERAGE(AO776:AO782)</f>
        <v/>
      </c>
      <c r="AT778" s="19" t="n"/>
      <c r="AU778" s="18">
        <f>(I778-AF778)/I778</f>
        <v/>
      </c>
      <c r="AV778" s="18">
        <f>AG778/(AD778-AF778)</f>
        <v/>
      </c>
      <c r="AW778" s="18">
        <f>(G778-AM778)/G778</f>
        <v/>
      </c>
      <c r="AX778" s="254">
        <f>IF(AND(ISNUMBER(E778),ISNUMBER(W778)),E778-W778,"")</f>
        <v/>
      </c>
      <c r="AY778" s="254">
        <f>IF(AND(ISNUMBER(I778),ISNUMBER(AF778)),I778-AF778,"")</f>
        <v/>
      </c>
      <c r="AZ778" s="254">
        <f>IF(AND(ISNUMBER(AM778),ISNUMBER(G778)),G778-AM778,"")</f>
        <v/>
      </c>
      <c r="BA778" s="254">
        <f>IF(AND(ISNUMBER(AC778),ISNUMBER(AE778)),AC778-AE778,"")</f>
        <v/>
      </c>
      <c r="BB778" s="254">
        <f>IF(AND(ISNUMBER(AL778),ISNUMBER(AM778)),AL778-AM778,"")</f>
        <v/>
      </c>
      <c r="BH778" s="6" t="n"/>
    </row>
    <row r="779" ht="15.75" customHeight="1">
      <c r="B779" t="n">
        <v>535</v>
      </c>
      <c r="D779" s="11" t="n">
        <v>46039</v>
      </c>
      <c r="E779" s="231" t="n">
        <v>535</v>
      </c>
      <c r="F779" s="3" t="n">
        <v>774</v>
      </c>
      <c r="G779" s="205">
        <f>IF(OR(S779="",S779=0),"",S779*2)</f>
        <v/>
      </c>
      <c r="K779" s="15">
        <f>AD779</f>
        <v/>
      </c>
      <c r="M779" s="10">
        <f>IF(OR(E779="",G779="",E779=0,G779=0),"",E779/G779)</f>
        <v/>
      </c>
      <c r="N779" s="9">
        <f>IF(OR(E779="",I779="",E779=0,I779=0),"",E779/(I779*2))</f>
        <v/>
      </c>
      <c r="O779" s="8">
        <f>IF(OR(I779="",G779="",I779=0,G779=0),"",I779*2/G779)</f>
        <v/>
      </c>
      <c r="AD779" s="5" t="n">
        <v>80</v>
      </c>
      <c r="AI779" s="231" t="n">
        <v>0.5600000000000001</v>
      </c>
      <c r="AJ779" s="20" t="n">
        <v>0.4435185185185185</v>
      </c>
      <c r="AL779" s="231" t="n">
        <v>91</v>
      </c>
      <c r="AM779" s="3">
        <f>180+60</f>
        <v/>
      </c>
      <c r="AP779" s="3" t="n">
        <v>40</v>
      </c>
      <c r="AR779" s="13">
        <f>AVERAGE(AO777:AO783)</f>
        <v/>
      </c>
      <c r="AT779" s="19" t="n"/>
      <c r="AU779" s="18" t="n"/>
      <c r="AV779" s="18" t="n"/>
      <c r="AW779" s="18" t="n"/>
      <c r="AX779" s="254">
        <f>IF(AND(ISNUMBER(E779),ISNUMBER(W779)),E779-W779,"")</f>
        <v/>
      </c>
      <c r="AY779" s="254">
        <f>IF(AND(ISNUMBER(I779),ISNUMBER(AF779)),I779-AF779,"")</f>
        <v/>
      </c>
      <c r="AZ779" s="254">
        <f>IF(AND(ISNUMBER(AM779),ISNUMBER(G779)),G779-AM779,"")</f>
        <v/>
      </c>
      <c r="BA779" s="254">
        <f>IF(AND(ISNUMBER(AC779),ISNUMBER(AE779)),AC779-AE779,"")</f>
        <v/>
      </c>
      <c r="BB779" s="254">
        <f>IF(AND(ISNUMBER(AL779),ISNUMBER(AM779)),AL779-AM779,"")</f>
        <v/>
      </c>
      <c r="BH779" s="6" t="n"/>
    </row>
    <row r="780" ht="15.75" customHeight="1">
      <c r="A780" s="260" t="inlineStr">
        <is>
          <t>B99</t>
        </is>
      </c>
      <c r="B780" s="260" t="n">
        <v>536</v>
      </c>
      <c r="D780" s="11" t="n">
        <v>46040</v>
      </c>
      <c r="E780" s="231" t="n">
        <v>536</v>
      </c>
      <c r="F780" s="3" t="n">
        <v>775</v>
      </c>
      <c r="G780" s="205">
        <f>IF(OR(S780="",S780=0),"",S780*2)</f>
        <v/>
      </c>
      <c r="K780" s="15">
        <f>AD780</f>
        <v/>
      </c>
      <c r="M780" s="10">
        <f>IF(OR(E780="",G780="",E780=0,G780=0),"",E780/G780)</f>
        <v/>
      </c>
      <c r="N780" s="9">
        <f>IF(OR(E780="",I780="",E780=0,I780=0),"",E780/(I780*2))</f>
        <v/>
      </c>
      <c r="O780" s="8">
        <f>IF(OR(I780="",G780="",I780=0,G780=0),"",I780*2/G780)</f>
        <v/>
      </c>
      <c r="AD780" s="5" t="n">
        <v>80</v>
      </c>
      <c r="AI780" s="231" t="n">
        <v>0.6</v>
      </c>
      <c r="AJ780" s="20" t="n">
        <v>0.4436342592592593</v>
      </c>
      <c r="AL780" s="231" t="n">
        <v>89</v>
      </c>
      <c r="AM780" s="3">
        <f>180+60</f>
        <v/>
      </c>
      <c r="AP780" s="3" t="n">
        <v>40</v>
      </c>
      <c r="AR780" s="13">
        <f>AVERAGE(AO778:AO784)</f>
        <v/>
      </c>
      <c r="AT780" s="19" t="n"/>
      <c r="AU780" s="18" t="n"/>
      <c r="AV780" s="18" t="n"/>
      <c r="AW780" s="18" t="n"/>
      <c r="AX780" s="254">
        <f>IF(AND(ISNUMBER(E780),ISNUMBER(W780)),E780-W780,"")</f>
        <v/>
      </c>
      <c r="AY780" s="254">
        <f>IF(AND(ISNUMBER(I780),ISNUMBER(AF780)),I780-AF780,"")</f>
        <v/>
      </c>
      <c r="AZ780" s="254">
        <f>IF(AND(ISNUMBER(AM780),ISNUMBER(G780)),G780-AM780,"")</f>
        <v/>
      </c>
      <c r="BA780" s="254">
        <f>IF(AND(ISNUMBER(AC780),ISNUMBER(AE780)),AC780-AE780,"")</f>
        <v/>
      </c>
      <c r="BB780" s="254">
        <f>IF(AND(ISNUMBER(AL780),ISNUMBER(AM780)),AL780-AM780,"")</f>
        <v/>
      </c>
      <c r="BH780" s="6">
        <f>IF(OR(AJ780=0,AP780=0,NOT(ISNUMBER(AD780)),NOT(ISNUMBER(AF780)),NOT(ISNUMBER(AJ780)),NOT(ISNUMBER(AP780))),"",
IFERROR(IF((AD780-AF780)/(AJ780/60)/(AP780/1000)&lt;=0,"",(AD780-AF780)/(AJ780/60)/(AP780/1000)),""))</f>
        <v/>
      </c>
    </row>
    <row r="781" ht="15.75" customHeight="1">
      <c r="B781" t="n">
        <v>537</v>
      </c>
      <c r="D781" s="11" t="n">
        <v>46041</v>
      </c>
      <c r="E781" s="231" t="n">
        <v>537</v>
      </c>
      <c r="F781" s="3" t="n">
        <v>776</v>
      </c>
      <c r="G781" s="205">
        <f>IF(OR(S781="",S781=0),"",S781*2)</f>
        <v/>
      </c>
      <c r="K781" s="15">
        <f>AD781</f>
        <v/>
      </c>
      <c r="M781" s="10">
        <f>IF(OR(E781="",G781="",E781=0,G781=0),"",E781/G781)</f>
        <v/>
      </c>
      <c r="N781" s="9">
        <f>IF(OR(E781="",I781="",E781=0,I781=0),"",E781/(I781*2))</f>
        <v/>
      </c>
      <c r="O781" s="8">
        <f>IF(OR(I781="",G781="",I781=0,G781=0),"",I781*2/G781)</f>
        <v/>
      </c>
      <c r="AD781" s="5" t="n">
        <v>80</v>
      </c>
      <c r="AI781" s="231" t="n">
        <v>0.71</v>
      </c>
      <c r="AJ781" s="20" t="n">
        <v>0.4449074074074074</v>
      </c>
      <c r="AL781" s="231" t="n">
        <v>91</v>
      </c>
      <c r="AM781" s="3">
        <f>180+60</f>
        <v/>
      </c>
      <c r="AP781" s="3" t="n">
        <v>40</v>
      </c>
      <c r="AR781" s="13">
        <f>AVERAGE(AO779:AO785)</f>
        <v/>
      </c>
      <c r="AT781" s="19" t="n"/>
      <c r="AU781" s="18" t="n"/>
      <c r="AV781" s="18" t="n"/>
      <c r="AW781" s="18" t="n"/>
      <c r="AX781" s="254">
        <f>IF(AND(ISNUMBER(E781),ISNUMBER(W781)),E781-W781,"")</f>
        <v/>
      </c>
      <c r="AY781" s="254">
        <f>IF(AND(ISNUMBER(I781),ISNUMBER(AF781)),I781-AF781,"")</f>
        <v/>
      </c>
      <c r="AZ781" s="254">
        <f>IF(AND(ISNUMBER(AM781),ISNUMBER(G781)),G781-AM781,"")</f>
        <v/>
      </c>
      <c r="BA781" s="254">
        <f>IF(AND(ISNUMBER(AC781),ISNUMBER(AE781)),AC781-AE781,"")</f>
        <v/>
      </c>
      <c r="BB781" s="254">
        <f>IF(AND(ISNUMBER(AL781),ISNUMBER(AM781)),AL781-AM781,"")</f>
        <v/>
      </c>
      <c r="BH781" s="6">
        <f>IF(OR(AJ781=0,AP781=0,NOT(ISNUMBER(AD781)),NOT(ISNUMBER(AF781)),NOT(ISNUMBER(AJ781)),NOT(ISNUMBER(AP781))),"",
IFERROR(IF((AD781-AF781)/(AJ781/60)/(AP781/1000)&lt;=0,"",(AD781-AF781)/(AJ781/60)/(AP781/1000)),""))</f>
        <v/>
      </c>
    </row>
    <row r="782" ht="15.75" customHeight="1">
      <c r="B782" t="n">
        <v>538</v>
      </c>
      <c r="D782" s="11" t="n">
        <v>46042</v>
      </c>
      <c r="E782" s="231" t="n">
        <v>538</v>
      </c>
      <c r="F782" s="3" t="n">
        <v>777</v>
      </c>
      <c r="G782" s="205">
        <f>IF(OR(S782="",S782=0),"",S782*2)</f>
        <v/>
      </c>
      <c r="I782" s="24" t="n">
        <v>14</v>
      </c>
      <c r="K782" s="15">
        <f>AD782</f>
        <v/>
      </c>
      <c r="M782" s="10">
        <f>IF(OR(E782="",G782="",E782=0,G782=0),"",E782/G782)</f>
        <v/>
      </c>
      <c r="N782" s="9">
        <f>IF(OR(E782="",I782="",E782=0,I782=0),"",E782/(I782*2))</f>
        <v/>
      </c>
      <c r="O782" s="8">
        <f>IF(OR(I782="",G782="",I782=0,G782=0),"",I782*2/G782)</f>
        <v/>
      </c>
      <c r="AD782" s="5" t="n">
        <v>80</v>
      </c>
      <c r="AI782" s="231" t="n">
        <v>0.66</v>
      </c>
      <c r="AJ782" s="20" t="n">
        <v>0.4443287037037037</v>
      </c>
      <c r="AL782" s="231" t="n">
        <v>93</v>
      </c>
      <c r="AM782" s="3">
        <f>180+60</f>
        <v/>
      </c>
      <c r="AN782" s="4" t="n">
        <v>24.2</v>
      </c>
      <c r="AO782" s="231">
        <f>5*1.41</f>
        <v/>
      </c>
      <c r="AP782" s="3" t="n">
        <v>40</v>
      </c>
      <c r="AR782" s="13">
        <f>AVERAGE(AO780:AO786)</f>
        <v/>
      </c>
      <c r="AT782" s="19" t="n"/>
      <c r="AU782" s="18" t="n"/>
      <c r="AV782" s="18" t="n"/>
      <c r="AW782" s="18">
        <f>(G782-AM782)/G782</f>
        <v/>
      </c>
      <c r="AX782" s="254">
        <f>IF(AND(ISNUMBER(E782),ISNUMBER(W782)),E782-W782,"")</f>
        <v/>
      </c>
      <c r="AY782" s="254">
        <f>IF(AND(ISNUMBER(I782),ISNUMBER(AF782)),I782-AF782,"")</f>
        <v/>
      </c>
      <c r="AZ782" s="254">
        <f>IF(AND(ISNUMBER(AM782),ISNUMBER(G782)),G782-AM782,"")</f>
        <v/>
      </c>
      <c r="BA782" s="254">
        <f>IF(AND(ISNUMBER(AC782),ISNUMBER(AE782)),AC782-AE782,"")</f>
        <v/>
      </c>
      <c r="BB782" s="254">
        <f>IF(AND(ISNUMBER(AL782),ISNUMBER(AM782)),AL782-AM782,"")</f>
        <v/>
      </c>
      <c r="BH782" s="6">
        <f>IF(OR(AJ782=0,AP782=0,NOT(ISNUMBER(AD782)),NOT(ISNUMBER(AF782)),NOT(ISNUMBER(AJ782)),NOT(ISNUMBER(AP782))),"",
IFERROR(IF((AD782-AF782)/(AJ782/60)/(AP782/1000)&lt;=0,"",(AD782-AF782)/(AJ782/60)/(AP782/1000)),""))</f>
        <v/>
      </c>
    </row>
    <row r="783" ht="15.75" customHeight="1">
      <c r="B783" t="n">
        <v>539</v>
      </c>
      <c r="D783" s="11" t="n">
        <v>46043</v>
      </c>
      <c r="E783" s="231" t="n">
        <v>539</v>
      </c>
      <c r="F783" s="3" t="n">
        <v>778</v>
      </c>
      <c r="G783" s="205">
        <f>IF(OR(S783="",S783=0),"",S783*2)</f>
        <v/>
      </c>
      <c r="I783" s="15">
        <f>(N783*18-H783*18)/9</f>
        <v/>
      </c>
      <c r="J783" s="15">
        <f>5*0.723</f>
        <v/>
      </c>
      <c r="K783" s="15">
        <f>AD783</f>
        <v/>
      </c>
      <c r="M783" s="10">
        <f>IF(OR(E783="",G783="",E783=0,G783=0),"",E783/G783)</f>
        <v/>
      </c>
      <c r="N783" s="9">
        <f>IF(OR(E783="",I783="",E783=0,I783=0),"",E783/(I783*2))</f>
        <v/>
      </c>
      <c r="O783" s="8">
        <f>IF(OR(I783="",G783="",I783=0,G783=0),"",I783*2/G783)</f>
        <v/>
      </c>
      <c r="P783" s="7">
        <f>5*1.93</f>
        <v/>
      </c>
      <c r="Q783" s="6" t="n">
        <v>21.028</v>
      </c>
      <c r="R783" s="6" t="n">
        <v>60.646</v>
      </c>
      <c r="S783" s="6">
        <f>O783*1.067</f>
        <v/>
      </c>
      <c r="T783" s="6">
        <f>P783*1.514</f>
        <v/>
      </c>
      <c r="U783" s="6">
        <f>Q783+R783</f>
        <v/>
      </c>
      <c r="V783" s="6" t="n">
        <v>35.4</v>
      </c>
      <c r="W783" s="6" t="n">
        <v>0</v>
      </c>
      <c r="X783" s="6" t="n">
        <v>0</v>
      </c>
      <c r="Y783" s="23">
        <f>U783*1.067+V783*1.514</f>
        <v/>
      </c>
      <c r="AD783" s="5" t="n">
        <v>80</v>
      </c>
      <c r="AE783" s="7">
        <f>T783</f>
        <v/>
      </c>
      <c r="AF783" s="231">
        <f>5*4.3</f>
        <v/>
      </c>
      <c r="AG783" s="231" t="n">
        <v>23.9</v>
      </c>
      <c r="AH783" s="231" t="n">
        <v>0</v>
      </c>
      <c r="AI783" s="231" t="n">
        <v>0.97</v>
      </c>
      <c r="AJ783" s="20" t="n">
        <v>0.4518518518518518</v>
      </c>
      <c r="AK783" s="2" t="n"/>
      <c r="AL783" s="2">
        <f>("19:00"-"18:25")*1440</f>
        <v/>
      </c>
      <c r="AM783" s="3">
        <f>180+60</f>
        <v/>
      </c>
      <c r="AN783" s="4">
        <f>AE783</f>
        <v/>
      </c>
      <c r="AO783" s="231">
        <f>5*1.21</f>
        <v/>
      </c>
      <c r="AP783" s="3" t="n">
        <v>40</v>
      </c>
      <c r="AR783" s="13">
        <f>AVERAGE(AO781:AO787)</f>
        <v/>
      </c>
      <c r="AT783" s="19">
        <f>(E783-W783)/E783</f>
        <v/>
      </c>
      <c r="AU783" s="18">
        <f>(I783-AF783)/I783</f>
        <v/>
      </c>
      <c r="AV783" s="18">
        <f>AG783/(AD783-AF783)</f>
        <v/>
      </c>
      <c r="AW783" s="18">
        <f>(G783-AM783)/G783</f>
        <v/>
      </c>
      <c r="AX783" s="254">
        <f>IF(AND(ISNUMBER(E783),ISNUMBER(W783)),E783-W783,"")</f>
        <v/>
      </c>
      <c r="AY783" s="254">
        <f>IF(AND(ISNUMBER(I783),ISNUMBER(AF783)),I783-AF783,"")</f>
        <v/>
      </c>
      <c r="AZ783" s="254">
        <f>IF(AND(ISNUMBER(AM783),ISNUMBER(G783)),G783-AM783,"")</f>
        <v/>
      </c>
      <c r="BA783" s="254">
        <f>IF(AND(ISNUMBER(AC783),ISNUMBER(AE783)),AC783-AE783,"")</f>
        <v/>
      </c>
      <c r="BB783" s="254">
        <f>IF(AND(ISNUMBER(AL783),ISNUMBER(AM783)),AL783-AM783,"")</f>
        <v/>
      </c>
      <c r="BG783" s="6">
        <f>IF((AD783-AF783)/(AJ783/60)&lt;=0,"",(AD783-AF783)/(AJ783/60))</f>
        <v/>
      </c>
      <c r="BH783" s="6">
        <f>IF(OR(AJ783=0,AP783=0,NOT(ISNUMBER(AD783)),NOT(ISNUMBER(AF783)),NOT(ISNUMBER(AJ783)),NOT(ISNUMBER(AP783))),"",
IFERROR(IF((AD783-AF783)/(AJ783/60)/(AP783/1000)&lt;=0,"",(AD783-AF783)/(AJ783/60)/(AP783/1000)),""))</f>
        <v/>
      </c>
    </row>
    <row r="784" ht="15.75" customHeight="1">
      <c r="B784" t="n">
        <v>540</v>
      </c>
      <c r="D784" s="11" t="n">
        <v>46044</v>
      </c>
      <c r="E784" s="231" t="n">
        <v>540</v>
      </c>
      <c r="F784" s="3" t="n">
        <v>779</v>
      </c>
      <c r="G784" s="205">
        <f>IF(OR(S784="",S784=0),"",S784*2)</f>
        <v/>
      </c>
      <c r="I784" s="15">
        <f>(N784*18-H784*18)/9</f>
        <v/>
      </c>
      <c r="J784" s="15">
        <f>5*0.981</f>
        <v/>
      </c>
      <c r="K784" s="15">
        <f>AD784</f>
        <v/>
      </c>
      <c r="M784" s="10">
        <f>IF(OR(E784="",G784="",E784=0,G784=0),"",E784/G784)</f>
        <v/>
      </c>
      <c r="N784" s="9">
        <f>IF(OR(E784="",I784="",E784=0,I784=0),"",E784/(I784*2))</f>
        <v/>
      </c>
      <c r="O784" s="8">
        <f>IF(OR(I784="",G784="",I784=0,G784=0),"",I784*2/G784)</f>
        <v/>
      </c>
      <c r="P784" s="7">
        <f>5*2.42</f>
        <v/>
      </c>
      <c r="Q784" s="6" t="n">
        <v>18.972</v>
      </c>
      <c r="R784" s="6" t="n">
        <v>57.379</v>
      </c>
      <c r="S784" s="6">
        <f>O784*1.067</f>
        <v/>
      </c>
      <c r="T784" s="6">
        <f>P784*1.514</f>
        <v/>
      </c>
      <c r="U784" s="6">
        <f>Q784+R784</f>
        <v/>
      </c>
      <c r="V784" s="6" t="n">
        <v>40.5</v>
      </c>
      <c r="W784" s="6" t="n">
        <v>0</v>
      </c>
      <c r="X784" s="6" t="n">
        <v>0</v>
      </c>
      <c r="Y784" s="23">
        <f>U784*1.067+V784*1.514</f>
        <v/>
      </c>
      <c r="AD784" s="5" t="n">
        <v>80</v>
      </c>
      <c r="AE784" s="7">
        <f>T784</f>
        <v/>
      </c>
      <c r="AF784" s="231">
        <f>5*4.45</f>
        <v/>
      </c>
      <c r="AG784" s="231" t="n">
        <v>27.9</v>
      </c>
      <c r="AH784" s="231" t="n">
        <v>0</v>
      </c>
      <c r="AI784" s="231" t="n">
        <v>1.58</v>
      </c>
      <c r="AJ784" s="20" t="n">
        <v>0.4483796296296296</v>
      </c>
      <c r="AK784" s="2" t="n"/>
      <c r="AL784" s="2">
        <f>("19:00"-"18:25")*1440</f>
        <v/>
      </c>
      <c r="AM784" s="3">
        <f>180+60</f>
        <v/>
      </c>
      <c r="AN784" s="4">
        <f>AE784</f>
        <v/>
      </c>
      <c r="AO784" s="231">
        <f>5*1.83</f>
        <v/>
      </c>
      <c r="AP784" s="3" t="n">
        <v>40</v>
      </c>
      <c r="AQ784" s="2" t="n">
        <v>2209.999999999991</v>
      </c>
      <c r="AR784" s="13">
        <f>AVERAGE(AO782:AO788)</f>
        <v/>
      </c>
      <c r="AT784" s="19">
        <f>(E784-W784)/E784</f>
        <v/>
      </c>
      <c r="AU784" s="18">
        <f>(I784-AF784)/I784</f>
        <v/>
      </c>
      <c r="AV784" s="18">
        <f>AG784/(AD784-AF784)</f>
        <v/>
      </c>
      <c r="AW784" s="18">
        <f>(G784-AM784)/G784</f>
        <v/>
      </c>
      <c r="AX784" s="254">
        <f>IF(AND(ISNUMBER(E784),ISNUMBER(W784)),E784-W784,"")</f>
        <v/>
      </c>
      <c r="AY784" s="254">
        <f>IF(AND(ISNUMBER(I784),ISNUMBER(AF784)),I784-AF784,"")</f>
        <v/>
      </c>
      <c r="AZ784" s="254">
        <f>IF(AND(ISNUMBER(AM784),ISNUMBER(G784)),G784-AM784,"")</f>
        <v/>
      </c>
      <c r="BA784" s="254">
        <f>IF(AND(ISNUMBER(AC784),ISNUMBER(AE784)),AC784-AE784,"")</f>
        <v/>
      </c>
      <c r="BB784" s="254">
        <f>IF(AND(ISNUMBER(AL784),ISNUMBER(AM784)),AL784-AM784,"")</f>
        <v/>
      </c>
      <c r="BG784" s="6">
        <f>IF((AD784-AF784)/(AJ784/60)&lt;=0,"",(AD784-AF784)/(AJ784/60))</f>
        <v/>
      </c>
      <c r="BH784" s="6">
        <f>IF(OR(AJ784=0,AP784=0,NOT(ISNUMBER(AD784)),NOT(ISNUMBER(AF784)),NOT(ISNUMBER(AJ784)),NOT(ISNUMBER(AP784))),"",
IFERROR(IF((AD784-AF784)/(AJ784/60)/(AP784/1000)&lt;=0,"",(AD784-AF784)/(AJ784/60)/(AP784/1000)),""))</f>
        <v/>
      </c>
    </row>
    <row r="785" ht="15.75" customHeight="1">
      <c r="A785" s="260" t="inlineStr">
        <is>
          <t>B100</t>
        </is>
      </c>
      <c r="B785" s="260" t="n">
        <v>541</v>
      </c>
      <c r="D785" s="11" t="n">
        <v>46045</v>
      </c>
      <c r="E785" s="231" t="n">
        <v>541</v>
      </c>
      <c r="F785" s="3" t="n">
        <v>780</v>
      </c>
      <c r="G785" s="205">
        <f>IF(OR(S785="",S785=0),"",S785*2)</f>
        <v/>
      </c>
      <c r="K785" s="15">
        <f>AD785</f>
        <v/>
      </c>
      <c r="M785" s="10">
        <f>IF(OR(E785="",G785="",E785=0,G785=0),"",E785/G785)</f>
        <v/>
      </c>
      <c r="N785" s="9">
        <f>IF(OR(E785="",I785="",E785=0,I785=0),"",E785/(I785*2))</f>
        <v/>
      </c>
      <c r="O785" s="8">
        <f>IF(OR(I785="",G785="",I785=0,G785=0),"",I785*2/G785)</f>
        <v/>
      </c>
      <c r="AD785" s="5" t="n">
        <v>80</v>
      </c>
      <c r="AF785" s="26" t="n">
        <v>22</v>
      </c>
      <c r="AH785" s="231" t="n">
        <v>0</v>
      </c>
      <c r="AI785" s="27" t="n">
        <v>0.99</v>
      </c>
      <c r="AJ785" s="20" t="n">
        <v>0.4446759259259259</v>
      </c>
      <c r="AK785" s="2" t="n"/>
      <c r="AL785" s="2">
        <f>("19:00"-"18:25")*1440</f>
        <v/>
      </c>
      <c r="AM785" s="3">
        <f>180+60</f>
        <v/>
      </c>
      <c r="AP785" s="3" t="n">
        <v>40</v>
      </c>
      <c r="AR785" s="13">
        <f>AVERAGE(AO783:AO789)</f>
        <v/>
      </c>
      <c r="AT785" s="19" t="n"/>
      <c r="AU785" s="18" t="n"/>
      <c r="AV785" s="18" t="n"/>
      <c r="AW785" s="18" t="n"/>
      <c r="AX785" s="254">
        <f>IF(AND(ISNUMBER(E785),ISNUMBER(W785)),E785-W785,"")</f>
        <v/>
      </c>
      <c r="AY785" s="254">
        <f>IF(AND(ISNUMBER(I785),ISNUMBER(AF785)),I785-AF785,"")</f>
        <v/>
      </c>
      <c r="AZ785" s="254">
        <f>IF(AND(ISNUMBER(AM785),ISNUMBER(G785)),G785-AM785,"")</f>
        <v/>
      </c>
      <c r="BA785" s="254">
        <f>IF(AND(ISNUMBER(AC785),ISNUMBER(AE785)),AC785-AE785,"")</f>
        <v/>
      </c>
      <c r="BB785" s="254">
        <f>IF(AND(ISNUMBER(AL785),ISNUMBER(AM785)),AL785-AM785,"")</f>
        <v/>
      </c>
      <c r="BG785" s="6">
        <f>IF((AD785-AF785)/(AJ785/60)&lt;=0,"",(AD785-AF785)/(AJ785/60))</f>
        <v/>
      </c>
      <c r="BH785" s="6">
        <f>IF(OR(AJ785=0,AP785=0,NOT(ISNUMBER(AD785)),NOT(ISNUMBER(AF785)),NOT(ISNUMBER(AJ785)),NOT(ISNUMBER(AP785))),"",
IFERROR(IF((AD785-AF785)/(AJ785/60)/(AP785/1000)&lt;=0,"",(AD785-AF785)/(AJ785/60)/(AP785/1000)),""))</f>
        <v/>
      </c>
    </row>
    <row r="786" ht="15.75" customHeight="1">
      <c r="B786" t="n">
        <v>542</v>
      </c>
      <c r="D786" s="11" t="n">
        <v>46046</v>
      </c>
      <c r="E786" s="231" t="n">
        <v>542</v>
      </c>
      <c r="F786" s="3" t="n">
        <v>781</v>
      </c>
      <c r="G786" s="205">
        <f>IF(OR(S786="",S786=0),"",S786*2)</f>
        <v/>
      </c>
      <c r="K786" s="15">
        <f>AD786</f>
        <v/>
      </c>
      <c r="M786" s="10">
        <f>IF(OR(E786="",G786="",E786=0,G786=0),"",E786/G786)</f>
        <v/>
      </c>
      <c r="N786" s="9">
        <f>IF(OR(E786="",I786="",E786=0,I786=0),"",E786/(I786*2))</f>
        <v/>
      </c>
      <c r="O786" s="8">
        <f>IF(OR(I786="",G786="",I786=0,G786=0),"",I786*2/G786)</f>
        <v/>
      </c>
      <c r="AD786" s="5" t="n">
        <v>80</v>
      </c>
      <c r="AF786" s="26" t="n">
        <v>21.5</v>
      </c>
      <c r="AH786" s="231" t="n">
        <v>0</v>
      </c>
      <c r="AI786" s="231" t="n">
        <v>1.11</v>
      </c>
      <c r="AJ786" s="20" t="n">
        <v>0.4449074074074074</v>
      </c>
      <c r="AK786" s="2" t="n"/>
      <c r="AL786" s="2">
        <f>("19:10"-"18:25")*1440</f>
        <v/>
      </c>
      <c r="AM786" s="3">
        <f>180+60</f>
        <v/>
      </c>
      <c r="AP786" s="3" t="n">
        <v>40</v>
      </c>
      <c r="AR786" s="13">
        <f>AVERAGE(AO784:AO790)</f>
        <v/>
      </c>
      <c r="AT786" s="19" t="n"/>
      <c r="AU786" s="18" t="n"/>
      <c r="AV786" s="18" t="n"/>
      <c r="AW786" s="18" t="n"/>
      <c r="AX786" s="254">
        <f>IF(AND(ISNUMBER(E786),ISNUMBER(W786)),E786-W786,"")</f>
        <v/>
      </c>
      <c r="AY786" s="254">
        <f>IF(AND(ISNUMBER(I786),ISNUMBER(AF786)),I786-AF786,"")</f>
        <v/>
      </c>
      <c r="AZ786" s="254">
        <f>IF(AND(ISNUMBER(AM786),ISNUMBER(G786)),G786-AM786,"")</f>
        <v/>
      </c>
      <c r="BA786" s="254">
        <f>IF(AND(ISNUMBER(AC786),ISNUMBER(AE786)),AC786-AE786,"")</f>
        <v/>
      </c>
      <c r="BB786" s="254">
        <f>IF(AND(ISNUMBER(AL786),ISNUMBER(AM786)),AL786-AM786,"")</f>
        <v/>
      </c>
      <c r="BG786" s="6">
        <f>IF((AD786-AF786)/(AJ786/60)&lt;=0,"",(AD786-AF786)/(AJ786/60))</f>
        <v/>
      </c>
      <c r="BH786" s="6">
        <f>IF(OR(AJ786=0,AP786=0,NOT(ISNUMBER(AD786)),NOT(ISNUMBER(AF786)),NOT(ISNUMBER(AJ786)),NOT(ISNUMBER(AP786))),"",
IFERROR(IF((AD786-AF786)/(AJ786/60)/(AP786/1000)&lt;=0,"",(AD786-AF786)/(AJ786/60)/(AP786/1000)),""))</f>
        <v/>
      </c>
    </row>
    <row r="787" ht="15.75" customHeight="1">
      <c r="B787" t="n">
        <v>543</v>
      </c>
      <c r="D787" s="11" t="n">
        <v>46047</v>
      </c>
      <c r="E787" s="231" t="n">
        <v>543</v>
      </c>
      <c r="F787" s="3" t="n">
        <v>782</v>
      </c>
      <c r="G787" s="205">
        <f>IF(OR(S787="",S787=0),"",S787*2)</f>
        <v/>
      </c>
      <c r="I787" s="24" t="n">
        <v>14.39</v>
      </c>
      <c r="K787" s="15">
        <f>AD787</f>
        <v/>
      </c>
      <c r="M787" s="10">
        <f>IF(OR(E787="",G787="",E787=0,G787=0),"",E787/G787)</f>
        <v/>
      </c>
      <c r="N787" s="9">
        <f>IF(OR(E787="",I787="",E787=0,I787=0),"",E787/(I787*2))</f>
        <v/>
      </c>
      <c r="O787" s="8">
        <f>IF(OR(I787="",G787="",I787=0,G787=0),"",I787*2/G787)</f>
        <v/>
      </c>
      <c r="V787" s="6" t="n">
        <v>37.5</v>
      </c>
      <c r="AD787" s="5" t="n">
        <v>80</v>
      </c>
      <c r="AE787" s="7">
        <f>T787</f>
        <v/>
      </c>
      <c r="AF787" s="231">
        <f>5*4.2</f>
        <v/>
      </c>
      <c r="AH787" s="231" t="n">
        <v>0</v>
      </c>
      <c r="AI787" s="231" t="n">
        <v>1.58</v>
      </c>
      <c r="AJ787" s="20" t="n">
        <v>0.4484953703703703</v>
      </c>
      <c r="AK787" s="2" t="n"/>
      <c r="AL787" s="2">
        <f>("19:00"-"18:25")*1440</f>
        <v/>
      </c>
      <c r="AM787" s="3">
        <f>180+60</f>
        <v/>
      </c>
      <c r="AO787" s="231">
        <f>5*1.52</f>
        <v/>
      </c>
      <c r="AP787" s="3" t="n">
        <v>40</v>
      </c>
      <c r="AR787" s="13">
        <f>AVERAGE(AO785:AO791)</f>
        <v/>
      </c>
      <c r="AT787" s="19" t="n"/>
      <c r="AU787" s="18">
        <f>(I787-AF787)/I787</f>
        <v/>
      </c>
      <c r="AV787" s="18">
        <f>AG787/(AD787-AF787)</f>
        <v/>
      </c>
      <c r="AW787" s="18">
        <f>(G787-AM787)/G787</f>
        <v/>
      </c>
      <c r="AX787" s="254">
        <f>IF(AND(ISNUMBER(E787),ISNUMBER(W787)),E787-W787,"")</f>
        <v/>
      </c>
      <c r="AY787" s="254">
        <f>IF(AND(ISNUMBER(I787),ISNUMBER(AF787)),I787-AF787,"")</f>
        <v/>
      </c>
      <c r="AZ787" s="254">
        <f>IF(AND(ISNUMBER(AM787),ISNUMBER(G787)),G787-AM787,"")</f>
        <v/>
      </c>
      <c r="BA787" s="254">
        <f>IF(AND(ISNUMBER(AC787),ISNUMBER(AE787)),AC787-AE787,"")</f>
        <v/>
      </c>
      <c r="BB787" s="254">
        <f>IF(AND(ISNUMBER(AL787),ISNUMBER(AM787)),AL787-AM787,"")</f>
        <v/>
      </c>
      <c r="BG787" s="6">
        <f>IF((AD787-AF787)/(AJ787/60)&lt;=0,"",(AD787-AF787)/(AJ787/60))</f>
        <v/>
      </c>
      <c r="BH787" s="6">
        <f>IF(OR(AJ787=0,AP787=0,NOT(ISNUMBER(AD787)),NOT(ISNUMBER(AF787)),NOT(ISNUMBER(AJ787)),NOT(ISNUMBER(AP787))),"",
IFERROR(IF((AD787-AF787)/(AJ787/60)/(AP787/1000)&lt;=0,"",(AD787-AF787)/(AJ787/60)/(AP787/1000)),""))</f>
        <v/>
      </c>
    </row>
    <row r="788" ht="15.75" customHeight="1">
      <c r="B788" t="n">
        <v>544</v>
      </c>
      <c r="C788" s="12" t="inlineStr">
        <is>
          <t>pro-nitrte</t>
        </is>
      </c>
      <c r="D788" s="11" t="n">
        <v>46048</v>
      </c>
      <c r="E788" s="231" t="n">
        <v>544</v>
      </c>
      <c r="F788" s="3" t="n">
        <v>783</v>
      </c>
      <c r="G788" s="205">
        <f>IF(OR(S788="",S788=0),"",S788*2)</f>
        <v/>
      </c>
      <c r="K788" s="15">
        <f>AD788</f>
        <v/>
      </c>
      <c r="M788" s="10">
        <f>IF(OR(E788="",G788="",E788=0,G788=0),"",E788/G788)</f>
        <v/>
      </c>
      <c r="N788" s="9">
        <f>IF(OR(E788="",I788="",E788=0,I788=0),"",E788/(I788*2))</f>
        <v/>
      </c>
      <c r="O788" s="8">
        <f>IF(OR(I788="",G788="",I788=0,G788=0),"",I788*2/G788)</f>
        <v/>
      </c>
      <c r="Q788" s="6" t="n">
        <v>0</v>
      </c>
      <c r="R788" s="6" t="n">
        <v>60.673</v>
      </c>
      <c r="S788" s="6">
        <f>O788*1.067</f>
        <v/>
      </c>
      <c r="T788" s="6">
        <f>P788*1.514</f>
        <v/>
      </c>
      <c r="U788" s="6">
        <f>Q788+R788</f>
        <v/>
      </c>
      <c r="W788" s="6" t="n">
        <v>0</v>
      </c>
      <c r="X788" s="6" t="n">
        <v>0</v>
      </c>
      <c r="Y788" s="23">
        <f>U788*1.067+V788*1.514</f>
        <v/>
      </c>
      <c r="AD788" s="5" t="n">
        <v>80</v>
      </c>
      <c r="AE788" s="7" t="n"/>
      <c r="AF788" s="21" t="n">
        <v>21</v>
      </c>
      <c r="AH788" s="231" t="n">
        <v>0</v>
      </c>
      <c r="AI788" s="231" t="n">
        <v>2.61</v>
      </c>
      <c r="AJ788" s="20" t="n">
        <v>0.4361111111111111</v>
      </c>
      <c r="AK788" s="2" t="n"/>
      <c r="AL788" s="2">
        <f>("19:00"-"18:25")*1440</f>
        <v/>
      </c>
      <c r="AM788" s="3">
        <f>180+60</f>
        <v/>
      </c>
      <c r="AP788" s="3" t="n">
        <v>40</v>
      </c>
      <c r="AQ788" s="2" t="n">
        <v>1930.000000000018</v>
      </c>
      <c r="AR788" s="13">
        <f>AVERAGE(AO786:AO792)</f>
        <v/>
      </c>
      <c r="AT788" s="19">
        <f>(E788-W788)/E788</f>
        <v/>
      </c>
      <c r="AU788" s="18">
        <f>(I788-AF788)/I788</f>
        <v/>
      </c>
      <c r="AV788" s="18">
        <f>AG788/(AD788-AF788)</f>
        <v/>
      </c>
      <c r="AW788" s="18" t="n"/>
      <c r="AX788" s="254">
        <f>IF(AND(ISNUMBER(E788),ISNUMBER(W788)),E788-W788,"")</f>
        <v/>
      </c>
      <c r="AY788" s="254">
        <f>IF(AND(ISNUMBER(I788),ISNUMBER(AF788)),I788-AF788,"")</f>
        <v/>
      </c>
      <c r="AZ788" s="254">
        <f>IF(AND(ISNUMBER(AM788),ISNUMBER(G788)),G788-AM788,"")</f>
        <v/>
      </c>
      <c r="BA788" s="254">
        <f>IF(AND(ISNUMBER(AC788),ISNUMBER(AE788)),AC788-AE788,"")</f>
        <v/>
      </c>
      <c r="BB788" s="254">
        <f>IF(AND(ISNUMBER(AL788),ISNUMBER(AM788)),AL788-AM788,"")</f>
        <v/>
      </c>
      <c r="BG788" s="6">
        <f>IF((AD788-AF788)/(AJ788/60)&lt;=0,"",(AD788-AF788)/(AJ788/60))</f>
        <v/>
      </c>
      <c r="BH788" s="6">
        <f>IF(OR(AJ788=0,AP788=0,NOT(ISNUMBER(AD788)),NOT(ISNUMBER(AF788)),NOT(ISNUMBER(AJ788)),NOT(ISNUMBER(AP788))),"",
IFERROR(IF((AD788-AF788)/(AJ788/60)/(AP788/1000)&lt;=0,"",(AD788-AF788)/(AJ788/60)/(AP788/1000)),""))</f>
        <v/>
      </c>
    </row>
    <row r="789" ht="15.75" customHeight="1">
      <c r="B789" t="n">
        <v>545</v>
      </c>
      <c r="C789" s="12" t="inlineStr">
        <is>
          <t>ace-nitrite</t>
        </is>
      </c>
      <c r="D789" s="11" t="n">
        <v>46049</v>
      </c>
      <c r="E789" s="231" t="n">
        <v>545</v>
      </c>
      <c r="F789" s="3" t="n">
        <v>784</v>
      </c>
      <c r="G789" s="205">
        <f>IF(OR(S789="",S789=0),"",S789*2)</f>
        <v/>
      </c>
      <c r="K789" s="15">
        <f>AD789</f>
        <v/>
      </c>
      <c r="M789" s="10">
        <f>IF(OR(E789="",G789="",E789=0,G789=0),"",E789/G789)</f>
        <v/>
      </c>
      <c r="N789" s="9">
        <f>IF(OR(E789="",I789="",E789=0,I789=0),"",E789/(I789*2))</f>
        <v/>
      </c>
      <c r="O789" s="8">
        <f>IF(OR(I789="",G789="",I789=0,G789=0),"",I789*2/G789)</f>
        <v/>
      </c>
      <c r="Q789" s="6" t="n">
        <v>82.274</v>
      </c>
      <c r="R789" s="6" t="n">
        <v>0</v>
      </c>
      <c r="S789" s="6">
        <f>O789*1.067</f>
        <v/>
      </c>
      <c r="T789" s="6">
        <f>P789*1.514</f>
        <v/>
      </c>
      <c r="U789" s="6">
        <f>Q789+R789</f>
        <v/>
      </c>
      <c r="W789" s="6" t="n">
        <v>0</v>
      </c>
      <c r="X789" s="6" t="n">
        <v>0</v>
      </c>
      <c r="Y789" s="23">
        <f>U789*1.067+V789*1.514</f>
        <v/>
      </c>
      <c r="AD789" s="5" t="n">
        <v>80</v>
      </c>
      <c r="AF789" s="21" t="n">
        <v>21</v>
      </c>
      <c r="AH789" s="231" t="n">
        <v>0</v>
      </c>
      <c r="AI789" s="231" t="n">
        <v>2.71</v>
      </c>
      <c r="AJ789" s="20" t="n">
        <v>0.424537037037037</v>
      </c>
      <c r="AK789" s="2" t="n"/>
      <c r="AL789" s="2">
        <f>("19:00"-"18:25")*1440</f>
        <v/>
      </c>
      <c r="AM789" s="3">
        <f>180+60</f>
        <v/>
      </c>
      <c r="AP789" s="3" t="n">
        <v>40</v>
      </c>
      <c r="AQ789" s="2" t="n">
        <v>1829.999999999973</v>
      </c>
      <c r="AR789" s="13">
        <f>AVERAGE(AO787:AO793)</f>
        <v/>
      </c>
      <c r="AT789" s="19">
        <f>(E789-W789)/E789</f>
        <v/>
      </c>
      <c r="AU789" s="18">
        <f>(I789-AF789)/I789</f>
        <v/>
      </c>
      <c r="AV789" s="18">
        <f>AG789/(AD789-AF789)</f>
        <v/>
      </c>
      <c r="AW789" s="18" t="n"/>
      <c r="AX789" s="254">
        <f>IF(AND(ISNUMBER(E789),ISNUMBER(W789)),E789-W789,"")</f>
        <v/>
      </c>
      <c r="AY789" s="254">
        <f>IF(AND(ISNUMBER(I789),ISNUMBER(AF789)),I789-AF789,"")</f>
        <v/>
      </c>
      <c r="AZ789" s="254">
        <f>IF(AND(ISNUMBER(AM789),ISNUMBER(G789)),G789-AM789,"")</f>
        <v/>
      </c>
      <c r="BA789" s="254">
        <f>IF(AND(ISNUMBER(AC789),ISNUMBER(AE789)),AC789-AE789,"")</f>
        <v/>
      </c>
      <c r="BB789" s="254">
        <f>IF(AND(ISNUMBER(AL789),ISNUMBER(AM789)),AL789-AM789,"")</f>
        <v/>
      </c>
      <c r="BG789" s="6">
        <f>IF((AD789-AF789)/(AJ789/60)&lt;=0,"",(AD789-AF789)/(AJ789/60))</f>
        <v/>
      </c>
      <c r="BH789" s="6">
        <f>IF(OR(AJ789=0,AP789=0,NOT(ISNUMBER(AD789)),NOT(ISNUMBER(AF789)),NOT(ISNUMBER(AJ789)),NOT(ISNUMBER(AP789))),"",
IFERROR(IF((AD789-AF789)/(AJ789/60)/(AP789/1000)&lt;=0,"",(AD789-AF789)/(AJ789/60)/(AP789/1000)),""))</f>
        <v/>
      </c>
    </row>
    <row r="790" ht="15.75" customHeight="1">
      <c r="B790" t="n">
        <v>546</v>
      </c>
      <c r="D790" s="11" t="n">
        <v>46050</v>
      </c>
      <c r="E790" s="231" t="n">
        <v>546</v>
      </c>
      <c r="F790" s="3" t="n">
        <v>785</v>
      </c>
      <c r="G790" s="205">
        <f>IF(OR(S790="",S790=0),"",S790*2)</f>
        <v/>
      </c>
      <c r="I790" s="24" t="n">
        <v>14.39</v>
      </c>
      <c r="K790" s="15">
        <f>AD790</f>
        <v/>
      </c>
      <c r="M790" s="10">
        <f>IF(OR(E790="",G790="",E790=0,G790=0),"",E790/G790)</f>
        <v/>
      </c>
      <c r="N790" s="9">
        <f>IF(OR(E790="",I790="",E790=0,I790=0),"",E790/(I790*2))</f>
        <v/>
      </c>
      <c r="O790" s="8">
        <f>IF(OR(I790="",G790="",I790=0,G790=0),"",I790*2/G790)</f>
        <v/>
      </c>
      <c r="AD790" s="5" t="n">
        <v>80</v>
      </c>
      <c r="AF790" s="21" t="n">
        <v>21</v>
      </c>
      <c r="AH790" s="231" t="n">
        <v>0</v>
      </c>
      <c r="AI790" s="231" t="n">
        <v>1.41</v>
      </c>
      <c r="AJ790" s="20" t="n">
        <v>0.4451388888888889</v>
      </c>
      <c r="AK790" s="2" t="n"/>
      <c r="AL790" s="2">
        <f>("19:00"-"18:25")*1440</f>
        <v/>
      </c>
      <c r="AM790" s="3">
        <f>180+60</f>
        <v/>
      </c>
      <c r="AO790" s="231" t="n">
        <v>7.87</v>
      </c>
      <c r="AP790" s="3" t="n">
        <v>40</v>
      </c>
      <c r="AR790" s="13">
        <f>AVERAGE(AO788:AO794)</f>
        <v/>
      </c>
      <c r="AT790" s="19" t="n"/>
      <c r="AU790" s="18">
        <f>(I790-AF790)/I790</f>
        <v/>
      </c>
      <c r="AV790" s="18">
        <f>AG790/(AD790-AF790)</f>
        <v/>
      </c>
      <c r="AW790" s="18">
        <f>(G790-AM790)/G790</f>
        <v/>
      </c>
      <c r="AX790" s="254">
        <f>IF(AND(ISNUMBER(E790),ISNUMBER(W790)),E790-W790,"")</f>
        <v/>
      </c>
      <c r="AY790" s="254">
        <f>IF(AND(ISNUMBER(I790),ISNUMBER(AF790)),I790-AF790,"")</f>
        <v/>
      </c>
      <c r="AZ790" s="254">
        <f>IF(AND(ISNUMBER(AM790),ISNUMBER(G790)),G790-AM790,"")</f>
        <v/>
      </c>
      <c r="BA790" s="254">
        <f>IF(AND(ISNUMBER(AC790),ISNUMBER(AE790)),AC790-AE790,"")</f>
        <v/>
      </c>
      <c r="BB790" s="254">
        <f>IF(AND(ISNUMBER(AL790),ISNUMBER(AM790)),AL790-AM790,"")</f>
        <v/>
      </c>
      <c r="BG790" s="6">
        <f>IF((AD790-AF790)/(AJ790/60)&lt;=0,"",(AD790-AF790)/(AJ790/60))</f>
        <v/>
      </c>
      <c r="BH790" s="6">
        <f>IF(OR(AJ790=0,AP790=0,NOT(ISNUMBER(AD790)),NOT(ISNUMBER(AF790)),NOT(ISNUMBER(AJ790)),NOT(ISNUMBER(AP790))),"",
IFERROR(IF((AD790-AF790)/(AJ790/60)/(AP790/1000)&lt;=0,"",(AD790-AF790)/(AJ790/60)/(AP790/1000)),""))</f>
        <v/>
      </c>
    </row>
    <row r="791" ht="15.75" customHeight="1">
      <c r="A791" s="260" t="inlineStr">
        <is>
          <t>B101</t>
        </is>
      </c>
      <c r="B791" s="260" t="n">
        <v>547</v>
      </c>
      <c r="C791" s="12" t="inlineStr">
        <is>
          <t>pro-aer</t>
        </is>
      </c>
      <c r="D791" s="11" t="n">
        <v>46051</v>
      </c>
      <c r="E791" s="231" t="n">
        <v>547</v>
      </c>
      <c r="F791" s="3" t="n">
        <v>786</v>
      </c>
      <c r="G791" s="205">
        <f>IF(OR(S791="",S791=0),"",S791*2)</f>
        <v/>
      </c>
      <c r="K791" s="15">
        <f>AD791</f>
        <v/>
      </c>
      <c r="M791" s="10">
        <f>IF(OR(E791="",G791="",E791=0,G791=0),"",E791/G791)</f>
        <v/>
      </c>
      <c r="N791" s="9">
        <f>IF(OR(E791="",I791="",E791=0,I791=0),"",E791/(I791*2))</f>
        <v/>
      </c>
      <c r="O791" s="8">
        <f>IF(OR(I791="",G791="",I791=0,G791=0),"",I791*2/G791)</f>
        <v/>
      </c>
      <c r="Q791" s="6" t="n">
        <v>0</v>
      </c>
      <c r="R791" t="n">
        <v>60.395</v>
      </c>
      <c r="S791" s="6">
        <f>O791*1.067</f>
        <v/>
      </c>
      <c r="T791" s="6">
        <f>P791*1.514</f>
        <v/>
      </c>
      <c r="U791" s="6">
        <f>Q791+R791</f>
        <v/>
      </c>
      <c r="W791" s="6" t="n">
        <v>0</v>
      </c>
      <c r="X791" s="6" t="n">
        <v>0</v>
      </c>
      <c r="Y791" s="23">
        <f>U791*1.067+V791*1.514</f>
        <v/>
      </c>
      <c r="AD791" s="5" t="n">
        <v>80</v>
      </c>
      <c r="AF791" s="21" t="n">
        <v>21</v>
      </c>
      <c r="AH791" s="231" t="n">
        <v>0</v>
      </c>
      <c r="AI791" s="231" t="n">
        <v>1.95</v>
      </c>
      <c r="AJ791" s="20" t="n">
        <v>0.4891203703703704</v>
      </c>
      <c r="AK791" s="2" t="n"/>
      <c r="AL791" s="2">
        <f>("19:10"-"18:25")*1440</f>
        <v/>
      </c>
      <c r="AM791" s="3">
        <f>180+60</f>
        <v/>
      </c>
      <c r="AP791" s="3" t="n">
        <v>40</v>
      </c>
      <c r="AQ791" s="2" t="n">
        <v>1954.999999999973</v>
      </c>
      <c r="AR791" s="13">
        <f>AVERAGE(AO789:AO795)</f>
        <v/>
      </c>
      <c r="AT791" s="19">
        <f>(E791-W791)/E791</f>
        <v/>
      </c>
      <c r="AU791" s="18">
        <f>(I791-AF791)/I791</f>
        <v/>
      </c>
      <c r="AV791" s="18">
        <f>AG791/(AD791-AF791)</f>
        <v/>
      </c>
      <c r="AW791" s="18" t="n"/>
      <c r="AX791" s="254">
        <f>IF(AND(ISNUMBER(E791),ISNUMBER(W791)),E791-W791,"")</f>
        <v/>
      </c>
      <c r="AY791" s="254">
        <f>IF(AND(ISNUMBER(I791),ISNUMBER(AF791)),I791-AF791,"")</f>
        <v/>
      </c>
      <c r="AZ791" s="254">
        <f>IF(AND(ISNUMBER(AM791),ISNUMBER(G791)),G791-AM791,"")</f>
        <v/>
      </c>
      <c r="BA791" s="254">
        <f>IF(AND(ISNUMBER(AC791),ISNUMBER(AE791)),AC791-AE791,"")</f>
        <v/>
      </c>
      <c r="BB791" s="254">
        <f>IF(AND(ISNUMBER(AL791),ISNUMBER(AM791)),AL791-AM791,"")</f>
        <v/>
      </c>
      <c r="BG791" s="6">
        <f>IF((AD791-AF791)/(AJ791/60)&lt;=0,"",(AD791-AF791)/(AJ791/60))</f>
        <v/>
      </c>
      <c r="BH791" s="6">
        <f>IF(OR(AJ791=0,AP791=0,NOT(ISNUMBER(AD791)),NOT(ISNUMBER(AF791)),NOT(ISNUMBER(AJ791)),NOT(ISNUMBER(AP791))),"",
IFERROR(IF((AD791-AF791)/(AJ791/60)/(AP791/1000)&lt;=0,"",(AD791-AF791)/(AJ791/60)/(AP791/1000)),""))</f>
        <v/>
      </c>
    </row>
    <row r="792" ht="15.75" customHeight="1">
      <c r="B792" t="n">
        <v>548</v>
      </c>
      <c r="C792" s="12" t="inlineStr">
        <is>
          <t>ace-aer</t>
        </is>
      </c>
      <c r="D792" s="11" t="n">
        <v>46052</v>
      </c>
      <c r="E792" s="231" t="n">
        <v>548</v>
      </c>
      <c r="F792" s="3" t="n">
        <v>787</v>
      </c>
      <c r="G792" s="205">
        <f>IF(OR(S792="",S792=0),"",S792*2)</f>
        <v/>
      </c>
      <c r="K792" s="15">
        <f>AD792</f>
        <v/>
      </c>
      <c r="M792" s="10">
        <f>IF(OR(E792="",G792="",E792=0,G792=0),"",E792/G792)</f>
        <v/>
      </c>
      <c r="N792" s="9">
        <f>IF(OR(E792="",I792="",E792=0,I792=0),"",E792/(I792*2))</f>
        <v/>
      </c>
      <c r="O792" s="8">
        <f>IF(OR(I792="",G792="",I792=0,G792=0),"",I792*2/G792)</f>
        <v/>
      </c>
      <c r="Q792" s="6" t="n">
        <v>80.02</v>
      </c>
      <c r="R792" s="6" t="n">
        <v>0</v>
      </c>
      <c r="S792" s="6">
        <f>O792*1.067</f>
        <v/>
      </c>
      <c r="T792" s="6">
        <f>P792*1.514</f>
        <v/>
      </c>
      <c r="U792" s="6">
        <f>Q792+R792</f>
        <v/>
      </c>
      <c r="W792" s="6" t="n">
        <v>0</v>
      </c>
      <c r="X792" s="6" t="n">
        <v>0</v>
      </c>
      <c r="Y792" s="23">
        <f>U792*1.067+V792*1.514</f>
        <v/>
      </c>
      <c r="AD792" s="5" t="n">
        <v>80</v>
      </c>
      <c r="AF792" s="21" t="n">
        <v>21</v>
      </c>
      <c r="AH792" s="231" t="n">
        <v>0</v>
      </c>
      <c r="AI792" s="231" t="n">
        <v>2.29</v>
      </c>
      <c r="AJ792" s="20" t="n">
        <v>0.5131944444444444</v>
      </c>
      <c r="AK792" s="2" t="n"/>
      <c r="AL792" s="2">
        <f>("19:05"-"18:25")*1440</f>
        <v/>
      </c>
      <c r="AM792" s="3">
        <f>180+60</f>
        <v/>
      </c>
      <c r="AP792" s="3" t="n">
        <v>40</v>
      </c>
      <c r="AQ792" s="2" t="n">
        <v>1990.000000000009</v>
      </c>
      <c r="AR792" s="13">
        <f>AVERAGE(AO790:AO796)</f>
        <v/>
      </c>
      <c r="AT792" s="19">
        <f>(E792-W792)/E792</f>
        <v/>
      </c>
      <c r="AU792" s="18">
        <f>(I792-AF792)/I792</f>
        <v/>
      </c>
      <c r="AV792" s="18">
        <f>AG792/(AD792-AF792)</f>
        <v/>
      </c>
      <c r="AW792" s="18" t="n"/>
      <c r="AX792" s="254">
        <f>IF(AND(ISNUMBER(E792),ISNUMBER(W792)),E792-W792,"")</f>
        <v/>
      </c>
      <c r="AY792" s="254">
        <f>IF(AND(ISNUMBER(I792),ISNUMBER(AF792)),I792-AF792,"")</f>
        <v/>
      </c>
      <c r="AZ792" s="254">
        <f>IF(AND(ISNUMBER(AM792),ISNUMBER(G792)),G792-AM792,"")</f>
        <v/>
      </c>
      <c r="BA792" s="254">
        <f>IF(AND(ISNUMBER(AC792),ISNUMBER(AE792)),AC792-AE792,"")</f>
        <v/>
      </c>
      <c r="BB792" s="254">
        <f>IF(AND(ISNUMBER(AL792),ISNUMBER(AM792)),AL792-AM792,"")</f>
        <v/>
      </c>
      <c r="BG792" s="6">
        <f>IF((AD792-AF792)/(AJ792/60)&lt;=0,"",(AD792-AF792)/(AJ792/60))</f>
        <v/>
      </c>
      <c r="BH792" s="6">
        <f>IF(OR(AJ792=0,AP792=0,NOT(ISNUMBER(AD792)),NOT(ISNUMBER(AF792)),NOT(ISNUMBER(AJ792)),NOT(ISNUMBER(AP792))),"",
IFERROR(IF((AD792-AF792)/(AJ792/60)/(AP792/1000)&lt;=0,"",(AD792-AF792)/(AJ792/60)/(AP792/1000)),""))</f>
        <v/>
      </c>
    </row>
    <row r="793" ht="15.75" customHeight="1">
      <c r="B793" t="n">
        <v>549</v>
      </c>
      <c r="D793" s="11" t="n">
        <v>46053</v>
      </c>
      <c r="E793" s="231" t="n">
        <v>549</v>
      </c>
      <c r="F793" s="3" t="n">
        <v>788</v>
      </c>
      <c r="G793" s="205">
        <f>IF(OR(S793="",S793=0),"",S793*2)</f>
        <v/>
      </c>
      <c r="K793" s="15">
        <f>AD793</f>
        <v/>
      </c>
      <c r="M793" s="10">
        <f>IF(OR(E793="",G793="",E793=0,G793=0),"",E793/G793)</f>
        <v/>
      </c>
      <c r="N793" s="9">
        <f>IF(OR(E793="",I793="",E793=0,I793=0),"",E793/(I793*2))</f>
        <v/>
      </c>
      <c r="O793" s="8">
        <f>IF(OR(I793="",G793="",I793=0,G793=0),"",I793*2/G793)</f>
        <v/>
      </c>
      <c r="AD793" s="5" t="n">
        <v>80</v>
      </c>
      <c r="AF793" s="21" t="n">
        <v>21</v>
      </c>
      <c r="AH793" s="231" t="n">
        <v>0</v>
      </c>
      <c r="AI793" s="231" t="n">
        <v>2.07</v>
      </c>
      <c r="AJ793" s="20" t="n">
        <v>0.45</v>
      </c>
      <c r="AK793" s="2" t="n"/>
      <c r="AL793" s="2">
        <f>("19:10"-"18:25")*1440</f>
        <v/>
      </c>
      <c r="AM793" s="3">
        <f>180+60</f>
        <v/>
      </c>
      <c r="AP793" s="3" t="n">
        <v>40</v>
      </c>
      <c r="AR793" s="13">
        <f>AVERAGE(AO791:AO797)</f>
        <v/>
      </c>
      <c r="AT793" s="19" t="n"/>
      <c r="AU793" s="18">
        <f>(I793-AF793)/I793</f>
        <v/>
      </c>
      <c r="AV793" s="18">
        <f>AG793/(AD793-AF793)</f>
        <v/>
      </c>
      <c r="AW793" s="18" t="n"/>
      <c r="AX793" s="254">
        <f>IF(AND(ISNUMBER(E793),ISNUMBER(W793)),E793-W793,"")</f>
        <v/>
      </c>
      <c r="AY793" s="254">
        <f>IF(AND(ISNUMBER(I793),ISNUMBER(AF793)),I793-AF793,"")</f>
        <v/>
      </c>
      <c r="AZ793" s="254">
        <f>IF(AND(ISNUMBER(AM793),ISNUMBER(G793)),G793-AM793,"")</f>
        <v/>
      </c>
      <c r="BA793" s="254">
        <f>IF(AND(ISNUMBER(AC793),ISNUMBER(AE793)),AC793-AE793,"")</f>
        <v/>
      </c>
      <c r="BB793" s="254">
        <f>IF(AND(ISNUMBER(AL793),ISNUMBER(AM793)),AL793-AM793,"")</f>
        <v/>
      </c>
      <c r="BG793" s="6">
        <f>IF((AD793-AF793)/(AJ793/60)&lt;=0,"",(AD793-AF793)/(AJ793/60))</f>
        <v/>
      </c>
      <c r="BH793" s="6">
        <f>IF(OR(AJ793=0,AP793=0,NOT(ISNUMBER(AD793)),NOT(ISNUMBER(AF793)),NOT(ISNUMBER(AJ793)),NOT(ISNUMBER(AP793))),"",
IFERROR(IF((AD793-AF793)/(AJ793/60)/(AP793/1000)&lt;=0,"",(AD793-AF793)/(AJ793/60)/(AP793/1000)),""))</f>
        <v/>
      </c>
    </row>
    <row r="794" ht="15.75" customHeight="1">
      <c r="B794" t="n">
        <v>550</v>
      </c>
      <c r="C794" s="12" t="inlineStr">
        <is>
          <t>pro-nitrate</t>
        </is>
      </c>
      <c r="D794" s="11" t="n">
        <v>46054</v>
      </c>
      <c r="E794" s="231" t="n">
        <v>550</v>
      </c>
      <c r="F794" s="3" t="n">
        <v>789</v>
      </c>
      <c r="G794" s="205">
        <f>IF(OR(S794="",S794=0),"",S794*2)</f>
        <v/>
      </c>
      <c r="K794" s="15">
        <f>AD794</f>
        <v/>
      </c>
      <c r="M794" s="10">
        <f>IF(OR(E794="",G794="",E794=0,G794=0),"",E794/G794)</f>
        <v/>
      </c>
      <c r="N794" s="9">
        <f>IF(OR(E794="",I794="",E794=0,I794=0),"",E794/(I794*2))</f>
        <v/>
      </c>
      <c r="O794" s="8">
        <f>IF(OR(I794="",G794="",I794=0,G794=0),"",I794*2/G794)</f>
        <v/>
      </c>
      <c r="Q794" s="6" t="n">
        <v>0</v>
      </c>
      <c r="R794" s="6" t="n">
        <v>57.433</v>
      </c>
      <c r="S794" s="6">
        <f>O794*1.067</f>
        <v/>
      </c>
      <c r="T794" s="6">
        <f>P794*1.514</f>
        <v/>
      </c>
      <c r="U794" s="6">
        <f>Q794+R794</f>
        <v/>
      </c>
      <c r="W794" s="6" t="n">
        <v>0</v>
      </c>
      <c r="X794" s="6" t="n">
        <v>0</v>
      </c>
      <c r="Y794" s="23">
        <f>U794*1.067+V794*1.514</f>
        <v/>
      </c>
      <c r="AD794" s="5" t="n">
        <v>80</v>
      </c>
      <c r="AF794" s="21" t="n">
        <v>21</v>
      </c>
      <c r="AH794" s="231" t="n">
        <v>0</v>
      </c>
      <c r="AI794" s="231" t="n">
        <v>0.06</v>
      </c>
      <c r="AJ794" s="20" t="n">
        <v>0.3993055555555556</v>
      </c>
      <c r="AK794" s="2" t="n"/>
      <c r="AL794" s="2">
        <f>("19:00"-"18:25")*1440</f>
        <v/>
      </c>
      <c r="AM794" s="3">
        <f>180+60</f>
        <v/>
      </c>
      <c r="AP794" s="3" t="n">
        <v>40</v>
      </c>
      <c r="AQ794" s="2" t="n">
        <v>2090.000000000009</v>
      </c>
      <c r="AR794" s="13">
        <f>AVERAGE(AO792:AO798)</f>
        <v/>
      </c>
      <c r="AT794" s="19">
        <f>(E794-W794)/E794</f>
        <v/>
      </c>
      <c r="AU794" s="18">
        <f>(I794-AF794)/I794</f>
        <v/>
      </c>
      <c r="AV794" s="18" t="n"/>
      <c r="AW794" s="18" t="n"/>
      <c r="AX794" s="254">
        <f>IF(AND(ISNUMBER(E794),ISNUMBER(W794)),E794-W794,"")</f>
        <v/>
      </c>
      <c r="AY794" s="254">
        <f>IF(AND(ISNUMBER(I794),ISNUMBER(AF794)),I794-AF794,"")</f>
        <v/>
      </c>
      <c r="AZ794" s="254">
        <f>IF(AND(ISNUMBER(AM794),ISNUMBER(G794)),G794-AM794,"")</f>
        <v/>
      </c>
      <c r="BA794" s="254">
        <f>IF(AND(ISNUMBER(AC794),ISNUMBER(AE794)),AC794-AE794,"")</f>
        <v/>
      </c>
      <c r="BB794" s="254">
        <f>IF(AND(ISNUMBER(AL794),ISNUMBER(AM794)),AL794-AM794,"")</f>
        <v/>
      </c>
      <c r="BG794" s="6">
        <f>IF((AD794-AF794)/(AJ794/60)&lt;=0,"",(AD794-AF794)/(AJ794/60))</f>
        <v/>
      </c>
      <c r="BH794" s="6">
        <f>IF(OR(AJ794=0,AP794=0,NOT(ISNUMBER(AD794)),NOT(ISNUMBER(AF794)),NOT(ISNUMBER(AJ794)),NOT(ISNUMBER(AP794))),"",
IFERROR(IF((AD794-AF794)/(AJ794/60)/(AP794/1000)&lt;=0,"",(AD794-AF794)/(AJ794/60)/(AP794/1000)),""))</f>
        <v/>
      </c>
    </row>
    <row r="795" ht="15.75" customHeight="1">
      <c r="B795" t="n">
        <v>551</v>
      </c>
      <c r="C795" s="25" t="inlineStr">
        <is>
          <t xml:space="preserve">forgot to put nitrite tube back/ pH fuck up </t>
        </is>
      </c>
      <c r="D795" s="11" t="n">
        <v>46055</v>
      </c>
      <c r="E795" s="231" t="n">
        <v>551</v>
      </c>
      <c r="F795" s="3" t="n">
        <v>790</v>
      </c>
      <c r="G795" s="205">
        <f>IF(OR(S795="",S795=0),"",S795*2)</f>
        <v/>
      </c>
      <c r="K795" s="15">
        <f>AD795</f>
        <v/>
      </c>
      <c r="M795" s="10">
        <f>IF(OR(E795="",G795="",E795=0,G795=0),"",E795/G795)</f>
        <v/>
      </c>
      <c r="N795" s="9">
        <f>IF(OR(E795="",I795="",E795=0,I795=0),"",E795/(I795*2))</f>
        <v/>
      </c>
      <c r="O795" s="8">
        <f>IF(OR(I795="",G795="",I795=0,G795=0),"",I795*2/G795)</f>
        <v/>
      </c>
      <c r="AD795" s="5" t="n">
        <v>80</v>
      </c>
      <c r="AF795" s="21" t="n">
        <v>21</v>
      </c>
      <c r="AH795" s="231" t="n">
        <v>0</v>
      </c>
      <c r="AI795" s="22" t="n">
        <v>1.32</v>
      </c>
      <c r="AJ795" s="20" t="n">
        <v>0.4452546296296296</v>
      </c>
      <c r="AK795" s="2" t="n"/>
      <c r="AL795" s="2">
        <f>("11:20"-"10:00")*1440</f>
        <v/>
      </c>
      <c r="AM795" s="3">
        <f>180+60</f>
        <v/>
      </c>
      <c r="AP795" s="3" t="n">
        <v>40</v>
      </c>
      <c r="AR795" s="13">
        <f>AVERAGE(AO793:AO799)</f>
        <v/>
      </c>
      <c r="AT795" s="19" t="n"/>
      <c r="AU795" s="18">
        <f>(I795-AF795)/I795</f>
        <v/>
      </c>
      <c r="AV795" s="18" t="n"/>
      <c r="AW795" s="18" t="n"/>
      <c r="AX795" s="254">
        <f>IF(AND(ISNUMBER(E795),ISNUMBER(W795)),E795-W795,"")</f>
        <v/>
      </c>
      <c r="AY795" s="254">
        <f>IF(AND(ISNUMBER(I795),ISNUMBER(AF795)),I795-AF795,"")</f>
        <v/>
      </c>
      <c r="AZ795" s="254">
        <f>IF(AND(ISNUMBER(AM795),ISNUMBER(G795)),G795-AM795,"")</f>
        <v/>
      </c>
      <c r="BA795" s="254">
        <f>IF(AND(ISNUMBER(AC795),ISNUMBER(AE795)),AC795-AE795,"")</f>
        <v/>
      </c>
      <c r="BB795" s="254">
        <f>IF(AND(ISNUMBER(AL795),ISNUMBER(AM795)),AL795-AM795,"")</f>
        <v/>
      </c>
      <c r="BG795" s="6">
        <f>IF((AD795-AF795)/(AJ795/60)&lt;=0,"",(AD795-AF795)/(AJ795/60))</f>
        <v/>
      </c>
      <c r="BH795" s="6">
        <f>IF(OR(AJ795=0,AP795=0,NOT(ISNUMBER(AD795)),NOT(ISNUMBER(AF795)),NOT(ISNUMBER(AJ795)),NOT(ISNUMBER(AP795))),"",
IFERROR(IF((AD795-AF795)/(AJ795/60)/(AP795/1000)&lt;=0,"",(AD795-AF795)/(AJ795/60)/(AP795/1000)),""))</f>
        <v/>
      </c>
    </row>
    <row r="796" ht="15.75" customHeight="1">
      <c r="B796" t="n">
        <v>552</v>
      </c>
      <c r="D796" s="11" t="n">
        <v>46056</v>
      </c>
      <c r="E796" s="231" t="n">
        <v>552</v>
      </c>
      <c r="F796" s="3" t="n">
        <v>791</v>
      </c>
      <c r="G796" s="205">
        <f>IF(OR(S796="",S796=0),"",S796*2)</f>
        <v/>
      </c>
      <c r="K796" s="15">
        <f>AD796</f>
        <v/>
      </c>
      <c r="M796" s="10">
        <f>IF(OR(E796="",G796="",E796=0,G796=0),"",E796/G796)</f>
        <v/>
      </c>
      <c r="N796" s="9">
        <f>IF(OR(E796="",I796="",E796=0,I796=0),"",E796/(I796*2))</f>
        <v/>
      </c>
      <c r="O796" s="8">
        <f>IF(OR(I796="",G796="",I796=0,G796=0),"",I796*2/G796)</f>
        <v/>
      </c>
      <c r="AD796" s="5" t="n">
        <v>80</v>
      </c>
      <c r="AF796" s="21" t="n">
        <v>21</v>
      </c>
      <c r="AH796" s="231" t="n">
        <v>0</v>
      </c>
      <c r="AI796" s="22" t="n">
        <v>1.37</v>
      </c>
      <c r="AJ796" s="20" t="n">
        <v>0.4450231481481481</v>
      </c>
      <c r="AK796" s="2" t="n"/>
      <c r="AL796" s="2" t="n"/>
      <c r="AM796" s="3">
        <f>180+60</f>
        <v/>
      </c>
      <c r="AP796" s="3" t="n">
        <v>40</v>
      </c>
      <c r="AR796" s="13">
        <f>AVERAGE(AO794:AO800)</f>
        <v/>
      </c>
      <c r="AT796" s="19" t="n"/>
      <c r="AU796" s="18">
        <f>(I796-AF796)/I796</f>
        <v/>
      </c>
      <c r="AV796" s="18" t="n"/>
      <c r="AW796" s="18" t="n"/>
      <c r="AX796" s="254">
        <f>IF(AND(ISNUMBER(E796),ISNUMBER(W796)),E796-W796,"")</f>
        <v/>
      </c>
      <c r="AY796" s="254">
        <f>IF(AND(ISNUMBER(I796),ISNUMBER(AF796)),I796-AF796,"")</f>
        <v/>
      </c>
      <c r="AZ796" s="254">
        <f>IF(AND(ISNUMBER(AM796),ISNUMBER(G796)),G796-AM796,"")</f>
        <v/>
      </c>
      <c r="BA796" s="254">
        <f>IF(AND(ISNUMBER(AC796),ISNUMBER(AE796)),AC796-AE796,"")</f>
        <v/>
      </c>
      <c r="BB796" s="254">
        <f>IF(AND(ISNUMBER(AL796),ISNUMBER(AM796)),AL796-AM796,"")</f>
        <v/>
      </c>
      <c r="BG796" s="6">
        <f>IF((AD796-AF796)/(AJ796/60)&lt;=0,"",(AD796-AF796)/(AJ796/60))</f>
        <v/>
      </c>
      <c r="BH796" s="6">
        <f>IF(OR(AJ796=0,AP796=0,NOT(ISNUMBER(AD796)),NOT(ISNUMBER(AF796)),NOT(ISNUMBER(AJ796)),NOT(ISNUMBER(AP796))),"",
IFERROR(IF((AD796-AF796)/(AJ796/60)/(AP796/1000)&lt;=0,"",(AD796-AF796)/(AJ796/60)/(AP796/1000)),""))</f>
        <v/>
      </c>
    </row>
    <row r="797" ht="15.75" customHeight="1">
      <c r="B797" t="n">
        <v>553</v>
      </c>
      <c r="D797" s="11" t="n">
        <v>46057</v>
      </c>
      <c r="E797" s="231" t="n">
        <v>553</v>
      </c>
      <c r="F797" s="3" t="n">
        <v>792</v>
      </c>
      <c r="G797" s="205">
        <f>IF(OR(S797="",S797=0),"",S797*2)</f>
        <v/>
      </c>
      <c r="K797" s="15">
        <f>AD797</f>
        <v/>
      </c>
      <c r="M797" s="10">
        <f>IF(OR(E797="",G797="",E797=0,G797=0),"",E797/G797)</f>
        <v/>
      </c>
      <c r="N797" s="9">
        <f>IF(OR(E797="",I797="",E797=0,I797=0),"",E797/(I797*2))</f>
        <v/>
      </c>
      <c r="O797" s="8">
        <f>IF(OR(I797="",G797="",I797=0,G797=0),"",I797*2/G797)</f>
        <v/>
      </c>
      <c r="AD797" s="5" t="n">
        <v>80</v>
      </c>
      <c r="AF797" s="21" t="n">
        <v>21</v>
      </c>
      <c r="AH797" s="231" t="n">
        <v>0</v>
      </c>
      <c r="AI797" s="22" t="n">
        <v>0.06</v>
      </c>
      <c r="AJ797" s="20" t="n">
        <v>0.3993055555555556</v>
      </c>
      <c r="AK797" s="2" t="n"/>
      <c r="AL797" s="2" t="n"/>
      <c r="AM797" s="3">
        <f>180+60</f>
        <v/>
      </c>
      <c r="AP797" s="3" t="n">
        <v>40</v>
      </c>
      <c r="AR797" s="13">
        <f>AVERAGE(AO795:AO801)</f>
        <v/>
      </c>
      <c r="AT797" s="19" t="n"/>
      <c r="AU797" s="18">
        <f>(I797-AF797)/I797</f>
        <v/>
      </c>
      <c r="AV797" s="18" t="n"/>
      <c r="AW797" s="18" t="n"/>
      <c r="AX797" s="254">
        <f>IF(AND(ISNUMBER(E797),ISNUMBER(W797)),E797-W797,"")</f>
        <v/>
      </c>
      <c r="AY797" s="254">
        <f>IF(AND(ISNUMBER(I797),ISNUMBER(AF797)),I797-AF797,"")</f>
        <v/>
      </c>
      <c r="AZ797" s="254">
        <f>IF(AND(ISNUMBER(AM797),ISNUMBER(G797)),G797-AM797,"")</f>
        <v/>
      </c>
      <c r="BA797" s="254">
        <f>IF(AND(ISNUMBER(AC797),ISNUMBER(AE797)),AC797-AE797,"")</f>
        <v/>
      </c>
      <c r="BB797" s="254">
        <f>IF(AND(ISNUMBER(AL797),ISNUMBER(AM797)),AL797-AM797,"")</f>
        <v/>
      </c>
      <c r="BG797" s="6">
        <f>IF((AD797-AF797)/(AJ797/60)&lt;=0,"",(AD797-AF797)/(AJ797/60))</f>
        <v/>
      </c>
      <c r="BH797" s="6" t="n"/>
    </row>
    <row r="798" ht="15.75" customHeight="1">
      <c r="B798" t="n">
        <v>554</v>
      </c>
      <c r="D798" s="11" t="n">
        <v>46058</v>
      </c>
      <c r="E798" s="231" t="n">
        <v>554</v>
      </c>
      <c r="F798" s="3" t="n">
        <v>793</v>
      </c>
      <c r="G798" s="205">
        <f>IF(OR(S798="",S798=0),"",S798*2)</f>
        <v/>
      </c>
      <c r="I798" s="24" t="n">
        <v>16.13</v>
      </c>
      <c r="K798" s="15">
        <f>AD798</f>
        <v/>
      </c>
      <c r="M798" s="10">
        <f>IF(OR(E798="",G798="",E798=0,G798=0),"",E798/G798)</f>
        <v/>
      </c>
      <c r="N798" s="9">
        <f>IF(OR(E798="",I798="",E798=0,I798=0),"",E798/(I798*2))</f>
        <v/>
      </c>
      <c r="O798" s="8">
        <f>IF(OR(I798="",G798="",I798=0,G798=0),"",I798*2/G798)</f>
        <v/>
      </c>
      <c r="AD798" s="5" t="n">
        <v>80</v>
      </c>
      <c r="AF798" s="21" t="n">
        <v>21</v>
      </c>
      <c r="AH798" s="231" t="n">
        <v>0</v>
      </c>
      <c r="AI798" s="22" t="n">
        <v>0.06</v>
      </c>
      <c r="AJ798" s="20" t="n">
        <v>0.3993055555555556</v>
      </c>
      <c r="AK798" s="2" t="n"/>
      <c r="AL798" s="2">
        <f>("19:05"-"18:25")*1440</f>
        <v/>
      </c>
      <c r="AM798" s="3">
        <f>180+60</f>
        <v/>
      </c>
      <c r="AO798" s="231" t="n">
        <v>7.23</v>
      </c>
      <c r="AP798" s="3" t="n">
        <v>40</v>
      </c>
      <c r="AR798" s="13">
        <f>AVERAGE(AO796:AO802)</f>
        <v/>
      </c>
      <c r="AT798" s="19" t="n"/>
      <c r="AU798" s="18">
        <f>(I798-AF798)/I798</f>
        <v/>
      </c>
      <c r="AV798" s="18" t="n"/>
      <c r="AW798" s="18">
        <f>(G798-AM798)/G798</f>
        <v/>
      </c>
      <c r="AX798" s="254">
        <f>IF(AND(ISNUMBER(E798),ISNUMBER(W798)),E798-W798,"")</f>
        <v/>
      </c>
      <c r="AY798" s="254">
        <f>IF(AND(ISNUMBER(I798),ISNUMBER(AF798)),I798-AF798,"")</f>
        <v/>
      </c>
      <c r="AZ798" s="254">
        <f>IF(AND(ISNUMBER(AM798),ISNUMBER(G798)),G798-AM798,"")</f>
        <v/>
      </c>
      <c r="BA798" s="254">
        <f>IF(AND(ISNUMBER(AC798),ISNUMBER(AE798)),AC798-AE798,"")</f>
        <v/>
      </c>
      <c r="BB798" s="254">
        <f>IF(AND(ISNUMBER(AL798),ISNUMBER(AM798)),AL798-AM798,"")</f>
        <v/>
      </c>
      <c r="BG798" s="6">
        <f>IF((AD798-AF798)/(AJ798/60)&lt;=0,"",(AD798-AF798)/(AJ798/60))</f>
        <v/>
      </c>
      <c r="BH798" s="6">
        <f>IF(OR(AJ798=0,AP798=0,NOT(ISNUMBER(AD798)),NOT(ISNUMBER(AF798)),NOT(ISNUMBER(AJ798)),NOT(ISNUMBER(AP798))),"",
IFERROR(IF((AD798-AF798)/(AJ798/60)/(AP798/1000)&lt;=0,"",(AD798-AF798)/(AJ798/60)/(AP798/1000)),""))</f>
        <v/>
      </c>
    </row>
    <row r="799" ht="15.75" customHeight="1">
      <c r="B799" t="n">
        <v>555</v>
      </c>
      <c r="D799" s="11" t="n">
        <v>46059</v>
      </c>
      <c r="E799" s="231" t="n">
        <v>555</v>
      </c>
      <c r="F799" s="3" t="n">
        <v>794</v>
      </c>
      <c r="G799" s="205">
        <f>IF(OR(S799="",S799=0),"",S799*2)</f>
        <v/>
      </c>
      <c r="K799" s="15">
        <f>AD799</f>
        <v/>
      </c>
      <c r="M799" s="10">
        <f>IF(OR(E799="",G799="",E799=0,G799=0),"",E799/G799)</f>
        <v/>
      </c>
      <c r="N799" s="9">
        <f>IF(OR(E799="",I799="",E799=0,I799=0),"",E799/(I799*2))</f>
        <v/>
      </c>
      <c r="O799" s="8">
        <f>IF(OR(I799="",G799="",I799=0,G799=0),"",I799*2/G799)</f>
        <v/>
      </c>
      <c r="AD799" s="5" t="n">
        <v>80</v>
      </c>
      <c r="AF799" s="21" t="n">
        <v>21</v>
      </c>
      <c r="AH799" s="231" t="n">
        <v>0</v>
      </c>
      <c r="AI799" s="22" t="n">
        <v>2.19</v>
      </c>
      <c r="AJ799" s="20" t="n">
        <v>0.4480324074074074</v>
      </c>
      <c r="AK799" s="2" t="n"/>
      <c r="AL799" s="2">
        <f>("19:10"-"18:25")*1440</f>
        <v/>
      </c>
      <c r="AM799" s="3">
        <f>180+60</f>
        <v/>
      </c>
      <c r="AP799" s="3" t="n">
        <v>40</v>
      </c>
      <c r="AR799" s="13">
        <f>AVERAGE(AO797:AO803)</f>
        <v/>
      </c>
      <c r="AT799" s="19" t="n"/>
      <c r="AU799" s="18">
        <f>(I799-AF799)/I799</f>
        <v/>
      </c>
      <c r="AV799" s="18" t="n"/>
      <c r="AW799" s="18" t="n"/>
      <c r="AX799" s="254">
        <f>IF(AND(ISNUMBER(E799),ISNUMBER(W799)),E799-W799,"")</f>
        <v/>
      </c>
      <c r="AY799" s="254">
        <f>IF(AND(ISNUMBER(I799),ISNUMBER(AF799)),I799-AF799,"")</f>
        <v/>
      </c>
      <c r="AZ799" s="254">
        <f>IF(AND(ISNUMBER(AM799),ISNUMBER(G799)),G799-AM799,"")</f>
        <v/>
      </c>
      <c r="BA799" s="254">
        <f>IF(AND(ISNUMBER(AC799),ISNUMBER(AE799)),AC799-AE799,"")</f>
        <v/>
      </c>
      <c r="BB799" s="254">
        <f>IF(AND(ISNUMBER(AL799),ISNUMBER(AM799)),AL799-AM799,"")</f>
        <v/>
      </c>
      <c r="BG799" s="6">
        <f>IF((AD799-AF799)/(AJ799/60)&lt;=0,"",(AD799-AF799)/(AJ799/60))</f>
        <v/>
      </c>
      <c r="BH799" s="6">
        <f>IF(OR(AJ799=0,AP799=0,NOT(ISNUMBER(AD799)),NOT(ISNUMBER(AF799)),NOT(ISNUMBER(AJ799)),NOT(ISNUMBER(AP799))),"",
IFERROR(IF((AD799-AF799)/(AJ799/60)/(AP799/1000)&lt;=0,"",(AD799-AF799)/(AJ799/60)/(AP799/1000)),""))</f>
        <v/>
      </c>
    </row>
    <row r="800" ht="15.75" customHeight="1">
      <c r="B800" t="n">
        <v>556</v>
      </c>
      <c r="D800" s="11" t="n">
        <v>46060</v>
      </c>
      <c r="E800" s="231" t="n">
        <v>556</v>
      </c>
      <c r="F800" s="3" t="n">
        <v>795</v>
      </c>
      <c r="G800" s="205">
        <f>IF(OR(S800="",S800=0),"",S800*2)</f>
        <v/>
      </c>
      <c r="K800" s="15">
        <f>AD800</f>
        <v/>
      </c>
      <c r="M800" s="10">
        <f>IF(OR(E800="",G800="",E800=0,G800=0),"",E800/G800)</f>
        <v/>
      </c>
      <c r="N800" s="9">
        <f>IF(OR(E800="",I800="",E800=0,I800=0),"",E800/(I800*2))</f>
        <v/>
      </c>
      <c r="O800" s="8">
        <f>IF(OR(I800="",G800="",I800=0,G800=0),"",I800*2/G800)</f>
        <v/>
      </c>
      <c r="AD800" s="5" t="n">
        <v>80</v>
      </c>
      <c r="AF800" s="21" t="n">
        <v>21</v>
      </c>
      <c r="AH800" s="231" t="n">
        <v>0</v>
      </c>
      <c r="AI800" s="231" t="n">
        <v>2.39</v>
      </c>
      <c r="AJ800" s="20" t="n">
        <v>0.4476851851851852</v>
      </c>
      <c r="AK800" s="2" t="n"/>
      <c r="AL800" s="2">
        <f>("19:05"-"18:25")*1440</f>
        <v/>
      </c>
      <c r="AM800" s="3">
        <f>180+60</f>
        <v/>
      </c>
      <c r="AP800" s="3" t="n">
        <v>40</v>
      </c>
      <c r="AR800" s="13">
        <f>AVERAGE(AO798:AO804)</f>
        <v/>
      </c>
      <c r="AT800" s="19" t="n"/>
      <c r="AU800" s="18">
        <f>(I800-AF800)/I800</f>
        <v/>
      </c>
      <c r="AV800" s="18">
        <f>AG800/(AD800-AF800)</f>
        <v/>
      </c>
      <c r="AW800" s="18" t="n"/>
      <c r="AX800" s="254">
        <f>IF(AND(ISNUMBER(E800),ISNUMBER(W800)),E800-W800,"")</f>
        <v/>
      </c>
      <c r="AY800" s="254">
        <f>IF(AND(ISNUMBER(I800),ISNUMBER(AF800)),I800-AF800,"")</f>
        <v/>
      </c>
      <c r="AZ800" s="254">
        <f>IF(AND(ISNUMBER(AM800),ISNUMBER(G800)),G800-AM800,"")</f>
        <v/>
      </c>
      <c r="BA800" s="254">
        <f>IF(AND(ISNUMBER(AC800),ISNUMBER(AE800)),AC800-AE800,"")</f>
        <v/>
      </c>
      <c r="BB800" s="254">
        <f>IF(AND(ISNUMBER(AL800),ISNUMBER(AM800)),AL800-AM800,"")</f>
        <v/>
      </c>
      <c r="BG800" s="6">
        <f>IF((AD800-AF800)/(AJ800/60)&lt;=0,"",(AD800-AF800)/(AJ800/60))</f>
        <v/>
      </c>
      <c r="BH800" s="6">
        <f>IF(OR(AJ800=0,AP800=0,NOT(ISNUMBER(AD800)),NOT(ISNUMBER(AF800)),NOT(ISNUMBER(AJ800)),NOT(ISNUMBER(AP800))),"",
IFERROR(IF((AD800-AF800)/(AJ800/60)/(AP800/1000)&lt;=0,"",(AD800-AF800)/(AJ800/60)/(AP800/1000)),""))</f>
        <v/>
      </c>
    </row>
    <row r="801" ht="15.75" customHeight="1">
      <c r="B801" t="n">
        <v>557</v>
      </c>
      <c r="D801" s="11" t="n">
        <v>46061</v>
      </c>
      <c r="E801" s="231" t="n">
        <v>557</v>
      </c>
      <c r="F801" s="3" t="n">
        <v>796</v>
      </c>
      <c r="G801" s="205">
        <f>IF(OR(S801="",S801=0),"",S801*2)</f>
        <v/>
      </c>
      <c r="I801" s="24" t="n">
        <v>16.13</v>
      </c>
      <c r="J801" s="15" t="n"/>
      <c r="K801" s="15">
        <f>AD801</f>
        <v/>
      </c>
      <c r="M801" s="10">
        <f>IF(OR(E801="",G801="",E801=0,G801=0),"",E801/G801)</f>
        <v/>
      </c>
      <c r="N801" s="9">
        <f>IF(OR(E801="",I801="",E801=0,I801=0),"",E801/(I801*2))</f>
        <v/>
      </c>
      <c r="O801" s="8">
        <f>IF(OR(I801="",G801="",I801=0,G801=0),"",I801*2/G801)</f>
        <v/>
      </c>
      <c r="AD801" s="5" t="n">
        <v>80</v>
      </c>
      <c r="AF801" s="21" t="n">
        <v>21</v>
      </c>
      <c r="AH801" s="231" t="n">
        <v>0</v>
      </c>
      <c r="AI801" s="231" t="n">
        <v>2.8</v>
      </c>
      <c r="AJ801" s="20" t="n">
        <v>0.4478009259259259</v>
      </c>
      <c r="AK801" s="2" t="n"/>
      <c r="AL801" s="2">
        <f>("19:00"-"18:25")*1440</f>
        <v/>
      </c>
      <c r="AM801" s="3">
        <f>180+60</f>
        <v/>
      </c>
      <c r="AO801" s="231" t="n">
        <v>3.5</v>
      </c>
      <c r="AP801" s="3" t="n">
        <v>40</v>
      </c>
      <c r="AR801" s="13">
        <f>AVERAGE(AO799:AO805)</f>
        <v/>
      </c>
      <c r="AT801" s="19" t="n"/>
      <c r="AU801" s="18">
        <f>(I801-AF801)/I801</f>
        <v/>
      </c>
      <c r="AV801" s="18">
        <f>AG801/(AD801-AF801)</f>
        <v/>
      </c>
      <c r="AW801" s="18">
        <f>(G801-AM801)/G801</f>
        <v/>
      </c>
      <c r="AX801" s="254">
        <f>IF(AND(ISNUMBER(E801),ISNUMBER(W801)),E801-W801,"")</f>
        <v/>
      </c>
      <c r="AY801" s="254">
        <f>IF(AND(ISNUMBER(I801),ISNUMBER(AF801)),I801-AF801,"")</f>
        <v/>
      </c>
      <c r="AZ801" s="254">
        <f>IF(AND(ISNUMBER(AM801),ISNUMBER(G801)),G801-AM801,"")</f>
        <v/>
      </c>
      <c r="BA801" s="254">
        <f>IF(AND(ISNUMBER(AC801),ISNUMBER(AE801)),AC801-AE801,"")</f>
        <v/>
      </c>
      <c r="BB801" s="254">
        <f>IF(AND(ISNUMBER(AL801),ISNUMBER(AM801)),AL801-AM801,"")</f>
        <v/>
      </c>
      <c r="BG801" s="6">
        <f>IF((AD801-AF801)/(AJ801/60)&lt;=0,"",(AD801-AF801)/(AJ801/60))</f>
        <v/>
      </c>
      <c r="BH801" s="6">
        <f>IF(OR(AJ801=0,AP801=0,NOT(ISNUMBER(AD801)),NOT(ISNUMBER(AF801)),NOT(ISNUMBER(AJ801)),NOT(ISNUMBER(AP801))),"",
IFERROR(IF((AD801-AF801)/(AJ801/60)/(AP801/1000)&lt;=0,"",(AD801-AF801)/(AJ801/60)/(AP801/1000)),""))</f>
        <v/>
      </c>
    </row>
    <row r="802" ht="15.75" customHeight="1">
      <c r="B802" t="n">
        <v>558</v>
      </c>
      <c r="D802" s="11" t="n">
        <v>46062</v>
      </c>
      <c r="E802" s="231" t="n">
        <v>558</v>
      </c>
      <c r="F802" s="3" t="n">
        <v>797</v>
      </c>
      <c r="G802" s="205">
        <f>IF(OR(S802="",S802=0),"",S802*2)</f>
        <v/>
      </c>
      <c r="I802" s="15">
        <f>(N802*18-H802*18)/9</f>
        <v/>
      </c>
      <c r="J802" s="15">
        <f>5*0.787</f>
        <v/>
      </c>
      <c r="K802" s="15">
        <f>AD802</f>
        <v/>
      </c>
      <c r="M802" s="10">
        <f>IF(OR(E802="",G802="",E802=0,G802=0),"",E802/G802)</f>
        <v/>
      </c>
      <c r="N802" s="9">
        <f>IF(OR(E802="",I802="",E802=0,I802=0),"",E802/(I802*2))</f>
        <v/>
      </c>
      <c r="O802" s="8">
        <f>IF(OR(I802="",G802="",I802=0,G802=0),"",I802*2/G802)</f>
        <v/>
      </c>
      <c r="P802" s="7">
        <f>5*2.4</f>
        <v/>
      </c>
      <c r="Q802" s="6" t="n">
        <v>19.838</v>
      </c>
      <c r="R802" s="6" t="n">
        <v>69.504</v>
      </c>
      <c r="S802" s="6">
        <f>O802*1.067</f>
        <v/>
      </c>
      <c r="T802" s="6">
        <f>P802*1.514</f>
        <v/>
      </c>
      <c r="U802" s="6">
        <f>Q802+R802</f>
        <v/>
      </c>
      <c r="V802" s="6" t="n">
        <v>43.4</v>
      </c>
      <c r="W802" s="6" t="n">
        <v>0</v>
      </c>
      <c r="X802" s="6" t="n">
        <v>0</v>
      </c>
      <c r="Y802" s="23">
        <f>U802*1.067+V802*1.514</f>
        <v/>
      </c>
      <c r="AD802" s="5" t="n">
        <v>80</v>
      </c>
      <c r="AE802" s="7">
        <f>T802</f>
        <v/>
      </c>
      <c r="AF802" s="231">
        <f>5*4.2</f>
        <v/>
      </c>
      <c r="AG802" s="231" t="n">
        <v>28.8</v>
      </c>
      <c r="AH802" s="231" t="n">
        <v>0</v>
      </c>
      <c r="AI802" s="231" t="n">
        <v>2.79</v>
      </c>
      <c r="AJ802" s="20" t="n">
        <v>0.4525462962962963</v>
      </c>
      <c r="AK802" s="2" t="n"/>
      <c r="AL802" s="2">
        <f>("19:00"-"18:25")*1440</f>
        <v/>
      </c>
      <c r="AM802" s="3">
        <f>180+60</f>
        <v/>
      </c>
      <c r="AN802" s="4">
        <f>AE802</f>
        <v/>
      </c>
      <c r="AO802" s="231">
        <f>5*1.29</f>
        <v/>
      </c>
      <c r="AP802" s="3" t="n">
        <v>40</v>
      </c>
      <c r="AQ802" s="2" t="n">
        <v>1939.999999999964</v>
      </c>
      <c r="AR802" s="13">
        <f>AVERAGE(AO800:AO806)</f>
        <v/>
      </c>
      <c r="AT802" s="19">
        <f>(E802-W802)/E802</f>
        <v/>
      </c>
      <c r="AU802" s="18">
        <f>(I802-AF802)/I802</f>
        <v/>
      </c>
      <c r="AV802" s="18">
        <f>AG802/(AD802-AF802)</f>
        <v/>
      </c>
      <c r="AW802" s="18">
        <f>(G802-AM802)/G802</f>
        <v/>
      </c>
      <c r="AX802" s="254">
        <f>IF(AND(ISNUMBER(E802),ISNUMBER(W802)),E802-W802,"")</f>
        <v/>
      </c>
      <c r="AY802" s="254">
        <f>IF(AND(ISNUMBER(I802),ISNUMBER(AF802)),I802-AF802,"")</f>
        <v/>
      </c>
      <c r="AZ802" s="254">
        <f>IF(AND(ISNUMBER(AM802),ISNUMBER(G802)),G802-AM802,"")</f>
        <v/>
      </c>
      <c r="BA802" s="254">
        <f>IF(AND(ISNUMBER(AC802),ISNUMBER(AE802)),AC802-AE802,"")</f>
        <v/>
      </c>
      <c r="BB802" s="254">
        <f>IF(AND(ISNUMBER(AL802),ISNUMBER(AM802)),AL802-AM802,"")</f>
        <v/>
      </c>
      <c r="BG802" s="6">
        <f>IF((AD802-AF802)/(AJ802/60)&lt;=0,"",(AD802-AF802)/(AJ802/60))</f>
        <v/>
      </c>
      <c r="BH802" s="6">
        <f>IF(OR(AJ802=0,AP802=0,NOT(ISNUMBER(AD802)),NOT(ISNUMBER(AF802)),NOT(ISNUMBER(AJ802)),NOT(ISNUMBER(AP802))),"",
IFERROR(IF((AD802-AF802)/(AJ802/60)/(AP802/1000)&lt;=0,"",(AD802-AF802)/(AJ802/60)/(AP802/1000)),""))</f>
        <v/>
      </c>
    </row>
    <row r="803" ht="15.75" customHeight="1">
      <c r="B803" t="n">
        <v>559</v>
      </c>
      <c r="C803" s="12" t="inlineStr">
        <is>
          <t>ace-nitrate</t>
        </is>
      </c>
      <c r="D803" s="11" t="n">
        <v>46063</v>
      </c>
      <c r="E803" s="231" t="n">
        <v>559</v>
      </c>
      <c r="F803" s="3" t="n">
        <v>798</v>
      </c>
      <c r="G803" s="205">
        <f>IF(OR(S803="",S803=0),"",S803*2)</f>
        <v/>
      </c>
      <c r="K803" s="15">
        <f>AD803</f>
        <v/>
      </c>
      <c r="M803" s="10">
        <f>IF(OR(E803="",G803="",E803=0,G803=0),"",E803/G803)</f>
        <v/>
      </c>
      <c r="N803" s="9">
        <f>IF(OR(E803="",I803="",E803=0,I803=0),"",E803/(I803*2))</f>
        <v/>
      </c>
      <c r="O803" s="8">
        <f>IF(OR(I803="",G803="",I803=0,G803=0),"",I803*2/G803)</f>
        <v/>
      </c>
      <c r="Q803" s="6" t="n">
        <v>87.545</v>
      </c>
      <c r="R803" s="6" t="n">
        <v>0</v>
      </c>
      <c r="S803" s="6">
        <f>O803*1.067</f>
        <v/>
      </c>
      <c r="T803" s="6">
        <f>P803*1.514</f>
        <v/>
      </c>
      <c r="U803" s="6">
        <f>Q803+R803</f>
        <v/>
      </c>
      <c r="W803" s="6" t="n">
        <v>0</v>
      </c>
      <c r="X803" s="6" t="n">
        <v>0</v>
      </c>
      <c r="Y803" s="23">
        <f>U803*1.067+V803*1.514</f>
        <v/>
      </c>
      <c r="AD803" s="5" t="n">
        <v>80</v>
      </c>
      <c r="AF803" s="21" t="n">
        <v>21</v>
      </c>
      <c r="AH803" s="231" t="n">
        <v>0</v>
      </c>
      <c r="AI803" s="231" t="n">
        <v>0.79</v>
      </c>
      <c r="AJ803" s="20" t="n">
        <v>0.507175925925926</v>
      </c>
      <c r="AK803" s="2" t="n"/>
      <c r="AL803" s="2">
        <f>("19:10"-"18:25")*1440</f>
        <v/>
      </c>
      <c r="AM803" s="3">
        <f>180+60</f>
        <v/>
      </c>
      <c r="AP803" s="3" t="n">
        <v>40</v>
      </c>
      <c r="AQ803" s="2" t="n">
        <v>2114.999999999964</v>
      </c>
      <c r="AR803" s="13">
        <f>AVERAGE(AO801:AO807)</f>
        <v/>
      </c>
      <c r="AT803" s="19">
        <f>(E803-W803)/E803</f>
        <v/>
      </c>
      <c r="AU803" s="18">
        <f>(I803-AF803)/I803</f>
        <v/>
      </c>
      <c r="AV803" s="18">
        <f>AG803/(AD803-AF803)</f>
        <v/>
      </c>
      <c r="AW803" s="18" t="n"/>
      <c r="AX803" s="254">
        <f>IF(AND(ISNUMBER(E803),ISNUMBER(W803)),E803-W803,"")</f>
        <v/>
      </c>
      <c r="AY803" s="254">
        <f>IF(AND(ISNUMBER(I803),ISNUMBER(AF803)),I803-AF803,"")</f>
        <v/>
      </c>
      <c r="AZ803" s="254">
        <f>IF(AND(ISNUMBER(AM803),ISNUMBER(G803)),G803-AM803,"")</f>
        <v/>
      </c>
      <c r="BA803" s="254">
        <f>IF(AND(ISNUMBER(AC803),ISNUMBER(AE803)),AC803-AE803,"")</f>
        <v/>
      </c>
      <c r="BB803" s="254">
        <f>IF(AND(ISNUMBER(AL803),ISNUMBER(AM803)),AL803-AM803,"")</f>
        <v/>
      </c>
      <c r="BG803" s="6">
        <f>IF((AD803-AF803)/(AJ803/60)&lt;=0,"",(AD803-AF803)/(AJ803/60))</f>
        <v/>
      </c>
      <c r="BH803" s="6">
        <f>IF(OR(AJ803=0,AP803=0,NOT(ISNUMBER(AD803)),NOT(ISNUMBER(AF803)),NOT(ISNUMBER(AJ803)),NOT(ISNUMBER(AP803))),"",
IFERROR(IF((AD803-AF803)/(AJ803/60)/(AP803/1000)&lt;=0,"",(AD803-AF803)/(AJ803/60)/(AP803/1000)),""))</f>
        <v/>
      </c>
    </row>
    <row r="804" ht="15.75" customHeight="1">
      <c r="A804" s="260" t="inlineStr">
        <is>
          <t>B102</t>
        </is>
      </c>
      <c r="B804" s="260" t="n">
        <v>560</v>
      </c>
      <c r="D804" s="11" t="n">
        <v>46064</v>
      </c>
      <c r="E804" s="231" t="n">
        <v>560</v>
      </c>
      <c r="F804" s="3" t="n">
        <v>799</v>
      </c>
      <c r="G804" s="205">
        <f>IF(OR(S804="",S804=0),"",S804*2)</f>
        <v/>
      </c>
      <c r="K804" s="15">
        <f>AD804</f>
        <v/>
      </c>
      <c r="M804" s="10">
        <f>IF(OR(E804="",G804="",E804=0,G804=0),"",E804/G804)</f>
        <v/>
      </c>
      <c r="N804" s="9">
        <f>IF(OR(E804="",I804="",E804=0,I804=0),"",E804/(I804*2))</f>
        <v/>
      </c>
      <c r="O804" s="8">
        <f>IF(OR(I804="",G804="",I804=0,G804=0),"",I804*2/G804)</f>
        <v/>
      </c>
      <c r="AD804" s="5" t="n">
        <v>80</v>
      </c>
      <c r="AF804" s="21" t="n">
        <v>21</v>
      </c>
      <c r="AH804" s="231" t="n">
        <v>0</v>
      </c>
      <c r="AI804" s="231" t="n">
        <v>1.79</v>
      </c>
      <c r="AJ804" s="20" t="n">
        <v>0.4488425925925926</v>
      </c>
      <c r="AK804" s="2" t="n"/>
      <c r="AL804" s="2">
        <f>("19:10"-"18:25")*1440</f>
        <v/>
      </c>
      <c r="AM804" s="3">
        <f>180+60</f>
        <v/>
      </c>
      <c r="AP804" s="3" t="n">
        <v>40</v>
      </c>
      <c r="AR804" s="13">
        <f>AVERAGE(AO802:AO808)</f>
        <v/>
      </c>
      <c r="AT804" s="19" t="n"/>
      <c r="AU804" s="18">
        <f>(I804-AF804)/I804</f>
        <v/>
      </c>
      <c r="AV804" s="18">
        <f>AG804/(AD804-AF804)</f>
        <v/>
      </c>
      <c r="AW804" s="18" t="n"/>
      <c r="AX804" s="254">
        <f>IF(AND(ISNUMBER(E804),ISNUMBER(W804)),E804-W804,"")</f>
        <v/>
      </c>
      <c r="AY804" s="254">
        <f>IF(AND(ISNUMBER(I804),ISNUMBER(AF804)),I804-AF804,"")</f>
        <v/>
      </c>
      <c r="AZ804" s="254">
        <f>IF(AND(ISNUMBER(AM804),ISNUMBER(G804)),G804-AM804,"")</f>
        <v/>
      </c>
      <c r="BA804" s="254">
        <f>IF(AND(ISNUMBER(AC804),ISNUMBER(AE804)),AC804-AE804,"")</f>
        <v/>
      </c>
      <c r="BB804" s="254">
        <f>IF(AND(ISNUMBER(AL804),ISNUMBER(AM804)),AL804-AM804,"")</f>
        <v/>
      </c>
      <c r="BG804" s="6">
        <f>IF((AD804-AF804)/(AJ804/60)&lt;=0,"",(AD804-AF804)/(AJ804/60))</f>
        <v/>
      </c>
      <c r="BH804" s="6">
        <f>IF(OR(AJ804=0,AP804=0,NOT(ISNUMBER(AD804)),NOT(ISNUMBER(AF804)),NOT(ISNUMBER(AJ804)),NOT(ISNUMBER(AP804))),"",
IFERROR(IF((AD804-AF804)/(AJ804/60)/(AP804/1000)&lt;=0,"",(AD804-AF804)/(AJ804/60)/(AP804/1000)),""))</f>
        <v/>
      </c>
    </row>
    <row r="805" ht="15.75" customHeight="1">
      <c r="B805" t="n">
        <v>561</v>
      </c>
      <c r="D805" s="11" t="n">
        <v>46065</v>
      </c>
      <c r="E805" s="231" t="n">
        <v>561</v>
      </c>
      <c r="F805" s="3" t="n">
        <v>800</v>
      </c>
      <c r="G805" s="205">
        <f>IF(OR(S805="",S805=0),"",S805*2)</f>
        <v/>
      </c>
      <c r="K805" s="15">
        <f>AD805</f>
        <v/>
      </c>
      <c r="M805" s="10">
        <f>IF(OR(E805="",G805="",E805=0,G805=0),"",E805/G805)</f>
        <v/>
      </c>
      <c r="N805" s="9">
        <f>IF(OR(E805="",I805="",E805=0,I805=0),"",E805/(I805*2))</f>
        <v/>
      </c>
      <c r="O805" s="8">
        <f>IF(OR(I805="",G805="",I805=0,G805=0),"",I805*2/G805)</f>
        <v/>
      </c>
      <c r="AD805" s="5" t="n">
        <v>80</v>
      </c>
      <c r="AF805" s="21" t="n">
        <v>21</v>
      </c>
      <c r="AH805" s="231" t="n">
        <v>0</v>
      </c>
      <c r="AI805" s="231" t="n">
        <v>1.71</v>
      </c>
      <c r="AJ805" s="20" t="n">
        <v>0.4469907407407407</v>
      </c>
      <c r="AK805" s="2" t="n"/>
      <c r="AL805" s="2">
        <f>("19:10"-"18:25")*1440</f>
        <v/>
      </c>
      <c r="AM805" s="3">
        <f>180+60</f>
        <v/>
      </c>
      <c r="AP805" s="3" t="n">
        <v>40</v>
      </c>
      <c r="AR805" s="13">
        <f>AVERAGE(AO803:AO809)</f>
        <v/>
      </c>
      <c r="AT805" s="19" t="n"/>
      <c r="AU805" s="18">
        <f>(I805-AF805)/I805</f>
        <v/>
      </c>
      <c r="AV805" s="18">
        <f>AG805/(AD805-AF805)</f>
        <v/>
      </c>
      <c r="AW805" s="18" t="n"/>
      <c r="AX805" s="254">
        <f>IF(AND(ISNUMBER(E805),ISNUMBER(W805)),E805-W805,"")</f>
        <v/>
      </c>
      <c r="AY805" s="254">
        <f>IF(AND(ISNUMBER(I805),ISNUMBER(AF805)),I805-AF805,"")</f>
        <v/>
      </c>
      <c r="AZ805" s="254">
        <f>IF(AND(ISNUMBER(AM805),ISNUMBER(G805)),G805-AM805,"")</f>
        <v/>
      </c>
      <c r="BA805" s="254">
        <f>IF(AND(ISNUMBER(AC805),ISNUMBER(AE805)),AC805-AE805,"")</f>
        <v/>
      </c>
      <c r="BB805" s="254">
        <f>IF(AND(ISNUMBER(AL805),ISNUMBER(AM805)),AL805-AM805,"")</f>
        <v/>
      </c>
      <c r="BG805" s="6">
        <f>IF((AD805-AF805)/(AJ805/60)&lt;=0,"",(AD805-AF805)/(AJ805/60))</f>
        <v/>
      </c>
      <c r="BH805" s="6">
        <f>IF(OR(AJ805=0,AP805=0,NOT(ISNUMBER(AD805)),NOT(ISNUMBER(AF805)),NOT(ISNUMBER(AJ805)),NOT(ISNUMBER(AP805))),"",
IFERROR(IF((AD805-AF805)/(AJ805/60)/(AP805/1000)&lt;=0,"",(AD805-AF805)/(AJ805/60)/(AP805/1000)),""))</f>
        <v/>
      </c>
    </row>
    <row r="806" ht="15.75" customHeight="1">
      <c r="B806" t="n">
        <v>562</v>
      </c>
      <c r="D806" s="11" t="n">
        <v>46066</v>
      </c>
      <c r="E806" s="231" t="n">
        <v>562</v>
      </c>
      <c r="F806" s="3" t="n">
        <v>801</v>
      </c>
      <c r="G806" s="205">
        <f>IF(OR(S806="",S806=0),"",S806*2)</f>
        <v/>
      </c>
      <c r="K806" s="15">
        <f>AD806</f>
        <v/>
      </c>
      <c r="M806" s="10">
        <f>IF(OR(E806="",G806="",E806=0,G806=0),"",E806/G806)</f>
        <v/>
      </c>
      <c r="N806" s="9">
        <f>IF(OR(E806="",I806="",E806=0,I806=0),"",E806/(I806*2))</f>
        <v/>
      </c>
      <c r="O806" s="8">
        <f>IF(OR(I806="",G806="",I806=0,G806=0),"",I806*2/G806)</f>
        <v/>
      </c>
      <c r="AD806" s="5" t="n">
        <v>80</v>
      </c>
      <c r="AF806" s="21" t="n">
        <v>21</v>
      </c>
      <c r="AH806" s="231" t="n">
        <v>0</v>
      </c>
      <c r="AI806" s="231" t="n">
        <v>1.69</v>
      </c>
      <c r="AJ806" s="20" t="n">
        <v>0.4476851851851852</v>
      </c>
      <c r="AK806" s="2" t="n"/>
      <c r="AL806" s="2">
        <f>("19:10"-"18:25")*1440</f>
        <v/>
      </c>
      <c r="AM806" s="3">
        <f>180+60</f>
        <v/>
      </c>
      <c r="AP806" s="3" t="n">
        <v>40</v>
      </c>
      <c r="AR806" s="13">
        <f>AVERAGE(AO804:AO810)</f>
        <v/>
      </c>
      <c r="AT806" s="19" t="n"/>
      <c r="AU806" s="18">
        <f>(I806-AF806)/I806</f>
        <v/>
      </c>
      <c r="AV806" s="18">
        <f>AG806/(AD806-AF806)</f>
        <v/>
      </c>
      <c r="AW806" s="18" t="n"/>
      <c r="AX806" s="254">
        <f>IF(AND(ISNUMBER(E806),ISNUMBER(W806)),E806-W806,"")</f>
        <v/>
      </c>
      <c r="AY806" s="254">
        <f>IF(AND(ISNUMBER(I806),ISNUMBER(AF806)),I806-AF806,"")</f>
        <v/>
      </c>
      <c r="AZ806" s="254">
        <f>IF(AND(ISNUMBER(AM806),ISNUMBER(G806)),G806-AM806,"")</f>
        <v/>
      </c>
      <c r="BA806" s="254">
        <f>IF(AND(ISNUMBER(AC806),ISNUMBER(AE806)),AC806-AE806,"")</f>
        <v/>
      </c>
      <c r="BB806" s="254">
        <f>IF(AND(ISNUMBER(AL806),ISNUMBER(AM806)),AL806-AM806,"")</f>
        <v/>
      </c>
      <c r="BG806" s="6">
        <f>IF((AD806-AF806)/(AJ806/60)&lt;=0,"",(AD806-AF806)/(AJ806/60))</f>
        <v/>
      </c>
      <c r="BH806" s="6" t="n"/>
    </row>
    <row r="807" ht="15.75" customHeight="1">
      <c r="B807" t="n">
        <v>563</v>
      </c>
      <c r="D807" s="11" t="n">
        <v>46067</v>
      </c>
      <c r="E807" s="231" t="n">
        <v>563</v>
      </c>
      <c r="F807" s="3" t="n">
        <v>802</v>
      </c>
      <c r="G807" s="205">
        <f>IF(OR(S807="",S807=0),"",S807*2)</f>
        <v/>
      </c>
      <c r="K807" s="15">
        <f>AD807</f>
        <v/>
      </c>
      <c r="M807" s="10">
        <f>IF(OR(E807="",G807="",E807=0,G807=0),"",E807/G807)</f>
        <v/>
      </c>
      <c r="N807" s="9">
        <f>IF(OR(E807="",I807="",E807=0,I807=0),"",E807/(I807*2))</f>
        <v/>
      </c>
      <c r="O807" s="8">
        <f>IF(OR(I807="",G807="",I807=0,G807=0),"",I807*2/G807)</f>
        <v/>
      </c>
      <c r="AD807" s="5" t="n">
        <v>80</v>
      </c>
      <c r="AF807" s="21" t="n">
        <v>21</v>
      </c>
      <c r="AH807" s="231" t="n">
        <v>0</v>
      </c>
      <c r="AI807" s="231" t="n">
        <v>3.5</v>
      </c>
      <c r="AJ807" s="20" t="n">
        <v>0.4599537037037037</v>
      </c>
      <c r="AK807" s="2" t="n"/>
      <c r="AL807" s="2">
        <f>("19:10"-"18:30")*1440</f>
        <v/>
      </c>
      <c r="AM807" s="3">
        <f>180+60</f>
        <v/>
      </c>
      <c r="AP807" s="3" t="n">
        <v>40</v>
      </c>
      <c r="AR807" s="13">
        <f>AVERAGE(AO805:AO811)</f>
        <v/>
      </c>
      <c r="AT807" s="19" t="n"/>
      <c r="AU807" s="18">
        <f>(I807-AF807)/I807</f>
        <v/>
      </c>
      <c r="AV807" s="18">
        <f>AG807/(AD807-AF807)</f>
        <v/>
      </c>
      <c r="AW807" s="18" t="n"/>
      <c r="AX807" s="254">
        <f>IF(AND(ISNUMBER(E807),ISNUMBER(W807)),E807-W807,"")</f>
        <v/>
      </c>
      <c r="AY807" s="254">
        <f>IF(AND(ISNUMBER(I807),ISNUMBER(AF807)),I807-AF807,"")</f>
        <v/>
      </c>
      <c r="AZ807" s="254">
        <f>IF(AND(ISNUMBER(AM807),ISNUMBER(G807)),G807-AM807,"")</f>
        <v/>
      </c>
      <c r="BA807" s="254">
        <f>IF(AND(ISNUMBER(AC807),ISNUMBER(AE807)),AC807-AE807,"")</f>
        <v/>
      </c>
      <c r="BB807" s="254">
        <f>IF(AND(ISNUMBER(AL807),ISNUMBER(AM807)),AL807-AM807,"")</f>
        <v/>
      </c>
      <c r="BG807" s="6">
        <f>IF((AD807-AF807)/(AJ807/60)&lt;=0,"",(AD807-AF807)/(AJ807/60))</f>
        <v/>
      </c>
      <c r="BH807" s="6" t="n"/>
    </row>
    <row r="808" ht="15.75" customHeight="1">
      <c r="B808" t="n">
        <v>564</v>
      </c>
      <c r="D808" s="11" t="n">
        <v>46068</v>
      </c>
      <c r="E808" s="231" t="n">
        <v>564</v>
      </c>
      <c r="F808" s="3" t="n">
        <v>803</v>
      </c>
      <c r="G808" s="205">
        <f>IF(OR(S808="",S808=0),"",S808*2)</f>
        <v/>
      </c>
      <c r="K808" s="15">
        <f>AD808</f>
        <v/>
      </c>
      <c r="M808" s="10">
        <f>IF(OR(E808="",G808="",E808=0,G808=0),"",E808/G808)</f>
        <v/>
      </c>
      <c r="N808" s="9">
        <f>IF(OR(E808="",I808="",E808=0,I808=0),"",E808/(I808*2))</f>
        <v/>
      </c>
      <c r="O808" s="8">
        <f>IF(OR(I808="",G808="",I808=0,G808=0),"",I808*2/G808)</f>
        <v/>
      </c>
      <c r="AD808" s="5" t="n">
        <v>80</v>
      </c>
      <c r="AF808" s="21" t="n">
        <v>21</v>
      </c>
      <c r="AH808" s="231" t="n">
        <v>0</v>
      </c>
      <c r="AI808" s="231" t="n">
        <v>2.01</v>
      </c>
      <c r="AJ808" s="20" t="n">
        <v>0.4600694444444444</v>
      </c>
      <c r="AK808" s="2" t="n"/>
      <c r="AL808" s="2">
        <f>("19:15"-"18:30")*1440</f>
        <v/>
      </c>
      <c r="AM808" s="3">
        <f>180+60</f>
        <v/>
      </c>
      <c r="AP808" s="3" t="n">
        <v>40</v>
      </c>
      <c r="AR808" s="13">
        <f>AVERAGE(AO806:AO812)</f>
        <v/>
      </c>
      <c r="AT808" s="19" t="n"/>
      <c r="AU808" s="18">
        <f>(I808-AF808)/I808</f>
        <v/>
      </c>
      <c r="AV808" s="18">
        <f>AG808/(AD808-AF808)</f>
        <v/>
      </c>
      <c r="AW808" s="18" t="n"/>
      <c r="AX808" s="254">
        <f>IF(AND(ISNUMBER(E808),ISNUMBER(W808)),E808-W808,"")</f>
        <v/>
      </c>
      <c r="AY808" s="254">
        <f>IF(AND(ISNUMBER(I808),ISNUMBER(AF808)),I808-AF808,"")</f>
        <v/>
      </c>
      <c r="AZ808" s="254">
        <f>IF(AND(ISNUMBER(AM808),ISNUMBER(G808)),G808-AM808,"")</f>
        <v/>
      </c>
      <c r="BA808" s="254">
        <f>IF(AND(ISNUMBER(AC808),ISNUMBER(AE808)),AC808-AE808,"")</f>
        <v/>
      </c>
      <c r="BB808" s="254">
        <f>IF(AND(ISNUMBER(AL808),ISNUMBER(AM808)),AL808-AM808,"")</f>
        <v/>
      </c>
      <c r="BG808" s="6">
        <f>IF((AD808-AF808)/(AJ808/60)&lt;=0,"",(AD808-AF808)/(AJ808/60))</f>
        <v/>
      </c>
      <c r="BH808" s="6">
        <f>IF(OR(AJ808=0,AP808=0,NOT(ISNUMBER(AD808)),NOT(ISNUMBER(AF808)),NOT(ISNUMBER(AJ808)),NOT(ISNUMBER(AP808))),"",
IFERROR(IF((AD808-AF808)/(AJ808/60)/(AP808/1000)&lt;=0,"",(AD808-AF808)/(AJ808/60)/(AP808/1000)),""))</f>
        <v/>
      </c>
    </row>
    <row r="809" ht="15.75" customHeight="1">
      <c r="B809" t="n">
        <v>565</v>
      </c>
      <c r="D809" s="11" t="n">
        <v>46069</v>
      </c>
      <c r="E809" s="231" t="n">
        <v>565</v>
      </c>
      <c r="F809" s="3" t="n">
        <v>804</v>
      </c>
      <c r="G809" s="205">
        <f>IF(OR(S809="",S809=0),"",S809*2)</f>
        <v/>
      </c>
      <c r="K809" s="15">
        <f>AD809</f>
        <v/>
      </c>
      <c r="M809" s="10">
        <f>IF(OR(E809="",G809="",E809=0,G809=0),"",E809/G809)</f>
        <v/>
      </c>
      <c r="N809" s="9">
        <f>IF(OR(E809="",I809="",E809=0,I809=0),"",E809/(I809*2))</f>
        <v/>
      </c>
      <c r="O809" s="8">
        <f>IF(OR(I809="",G809="",I809=0,G809=0),"",I809*2/G809)</f>
        <v/>
      </c>
      <c r="AD809" s="5" t="n">
        <v>80</v>
      </c>
      <c r="AF809" s="21" t="n">
        <v>21</v>
      </c>
      <c r="AH809" s="231" t="n">
        <v>0</v>
      </c>
      <c r="AI809" s="231" t="n">
        <v>2.4</v>
      </c>
      <c r="AJ809" s="20" t="n">
        <v>0.4627314814814815</v>
      </c>
      <c r="AK809" s="2" t="n"/>
      <c r="AL809" s="2">
        <f>("19:10"-"18:30")*1440</f>
        <v/>
      </c>
      <c r="AM809" s="3">
        <f>180+60</f>
        <v/>
      </c>
      <c r="AP809" s="3" t="n">
        <v>40</v>
      </c>
      <c r="AR809" s="13">
        <f>AVERAGE(AO807:AO813)</f>
        <v/>
      </c>
      <c r="AT809" s="19" t="n"/>
      <c r="AU809" s="18">
        <f>(I809-AF809)/I809</f>
        <v/>
      </c>
      <c r="AV809" s="18">
        <f>AG809/(AD809-AF809)</f>
        <v/>
      </c>
      <c r="AW809" s="18" t="n"/>
      <c r="AX809" s="254">
        <f>IF(AND(ISNUMBER(E809),ISNUMBER(W809)),E809-W809,"")</f>
        <v/>
      </c>
      <c r="AY809" s="254">
        <f>IF(AND(ISNUMBER(I809),ISNUMBER(AF809)),I809-AF809,"")</f>
        <v/>
      </c>
      <c r="AZ809" s="254">
        <f>IF(AND(ISNUMBER(AM809),ISNUMBER(G809)),G809-AM809,"")</f>
        <v/>
      </c>
      <c r="BA809" s="254">
        <f>IF(AND(ISNUMBER(AC809),ISNUMBER(AE809)),AC809-AE809,"")</f>
        <v/>
      </c>
      <c r="BB809" s="254">
        <f>IF(AND(ISNUMBER(AL809),ISNUMBER(AM809)),AL809-AM809,"")</f>
        <v/>
      </c>
      <c r="BG809" s="6">
        <f>IF((AD809-AF809)/(AJ809/60)&lt;=0,"",(AD809-AF809)/(AJ809/60))</f>
        <v/>
      </c>
      <c r="BH809" s="6">
        <f>IF(OR(AJ809=0,AP809=0,NOT(ISNUMBER(AD809)),NOT(ISNUMBER(AF809)),NOT(ISNUMBER(AJ809)),NOT(ISNUMBER(AP809))),"",
IFERROR(IF((AD809-AF809)/(AJ809/60)/(AP809/1000)&lt;=0,"",(AD809-AF809)/(AJ809/60)/(AP809/1000)),""))</f>
        <v/>
      </c>
    </row>
    <row r="810" ht="15.75" customHeight="1">
      <c r="B810" t="n">
        <v>566</v>
      </c>
      <c r="D810" s="11" t="n">
        <v>46070</v>
      </c>
      <c r="E810" s="231" t="n">
        <v>566</v>
      </c>
      <c r="F810" s="3" t="n">
        <v>805</v>
      </c>
      <c r="G810" s="205">
        <f>IF(OR(S810="",S810=0),"",S810*2)</f>
        <v/>
      </c>
      <c r="K810" s="15">
        <f>AD810</f>
        <v/>
      </c>
      <c r="M810" s="10">
        <f>IF(OR(E810="",G810="",E810=0,G810=0),"",E810/G810)</f>
        <v/>
      </c>
      <c r="N810" s="9">
        <f>IF(OR(E810="",I810="",E810=0,I810=0),"",E810/(I810*2))</f>
        <v/>
      </c>
      <c r="O810" s="8">
        <f>IF(OR(I810="",G810="",I810=0,G810=0),"",I810*2/G810)</f>
        <v/>
      </c>
      <c r="AD810" s="5" t="n">
        <v>80</v>
      </c>
      <c r="AF810" s="21" t="n">
        <v>21</v>
      </c>
      <c r="AH810" s="231" t="n">
        <v>0</v>
      </c>
      <c r="AI810" s="231" t="n">
        <v>2.8</v>
      </c>
      <c r="AJ810" s="20" t="n">
        <v>0.4642361111111111</v>
      </c>
      <c r="AK810" s="2" t="n"/>
      <c r="AL810" s="2">
        <f>("19:20"-"18:30")*1440</f>
        <v/>
      </c>
      <c r="AM810" s="3">
        <f>180+60</f>
        <v/>
      </c>
      <c r="AP810" s="3" t="n">
        <v>40</v>
      </c>
      <c r="AR810" s="13">
        <f>AVERAGE(AO808:AO814)</f>
        <v/>
      </c>
      <c r="AT810" s="19" t="n"/>
      <c r="AU810" s="18">
        <f>(I810-AF810)/I810</f>
        <v/>
      </c>
      <c r="AV810" s="18">
        <f>AG810/(AD810-AF810)</f>
        <v/>
      </c>
      <c r="AW810" s="18" t="n"/>
      <c r="AX810" s="254">
        <f>IF(AND(ISNUMBER(E810),ISNUMBER(W810)),E810-W810,"")</f>
        <v/>
      </c>
      <c r="AY810" s="254">
        <f>IF(AND(ISNUMBER(I810),ISNUMBER(AF810)),I810-AF810,"")</f>
        <v/>
      </c>
      <c r="AZ810" s="254">
        <f>IF(AND(ISNUMBER(AM810),ISNUMBER(G810)),G810-AM810,"")</f>
        <v/>
      </c>
      <c r="BA810" s="254">
        <f>IF(AND(ISNUMBER(AC810),ISNUMBER(AE810)),AC810-AE810,"")</f>
        <v/>
      </c>
      <c r="BB810" s="254">
        <f>IF(AND(ISNUMBER(AL810),ISNUMBER(AM810)),AL810-AM810,"")</f>
        <v/>
      </c>
      <c r="BG810" s="6">
        <f>IF((AD810-AF810)/(AJ810/60)&lt;=0,"",(AD810-AF810)/(AJ810/60))</f>
        <v/>
      </c>
      <c r="BH810" s="6">
        <f>IF(OR(AJ810=0,AP810=0,NOT(ISNUMBER(AD810)),NOT(ISNUMBER(AF810)),NOT(ISNUMBER(AJ810)),NOT(ISNUMBER(AP810))),"",
IFERROR(IF((AD810-AF810)/(AJ810/60)/(AP810/1000)&lt;=0,"",(AD810-AF810)/(AJ810/60)/(AP810/1000)),""))</f>
        <v/>
      </c>
    </row>
    <row r="811" ht="15.75" customHeight="1">
      <c r="B811" t="n">
        <v>567</v>
      </c>
      <c r="D811" s="11" t="n">
        <v>46071</v>
      </c>
      <c r="E811" s="231" t="n">
        <v>567</v>
      </c>
      <c r="F811" s="3" t="n">
        <v>806</v>
      </c>
      <c r="G811" s="205">
        <f>IF(OR(S811="",S811=0),"",S811*2)</f>
        <v/>
      </c>
      <c r="K811" s="15">
        <f>AD811</f>
        <v/>
      </c>
      <c r="M811" s="10">
        <f>IF(OR(E811="",G811="",E811=0,G811=0),"",E811/G811)</f>
        <v/>
      </c>
      <c r="N811" s="9">
        <f>IF(OR(E811="",I811="",E811=0,I811=0),"",E811/(I811*2))</f>
        <v/>
      </c>
      <c r="O811" s="8">
        <f>IF(OR(I811="",G811="",I811=0,G811=0),"",I811*2/G811)</f>
        <v/>
      </c>
      <c r="AD811" s="5" t="n">
        <v>80</v>
      </c>
      <c r="AF811" s="21" t="n">
        <v>21</v>
      </c>
      <c r="AH811" s="231" t="n">
        <v>0</v>
      </c>
      <c r="AI811" s="231" t="n">
        <v>2.34</v>
      </c>
      <c r="AJ811" s="20" t="n">
        <v>0.4638888888888889</v>
      </c>
      <c r="AK811" s="2" t="n"/>
      <c r="AL811" s="2">
        <f>("19:20"-"18:30")*1440</f>
        <v/>
      </c>
      <c r="AM811" s="3">
        <f>180+60</f>
        <v/>
      </c>
      <c r="AP811" s="3" t="n">
        <v>40</v>
      </c>
      <c r="AR811" s="13">
        <f>AVERAGE(AO809:AO815)</f>
        <v/>
      </c>
      <c r="AT811" s="19" t="n"/>
      <c r="AU811" s="18">
        <f>(I811-AF811)/I811</f>
        <v/>
      </c>
      <c r="AV811" s="18">
        <f>AG811/(AD811-AF811)</f>
        <v/>
      </c>
      <c r="AW811" s="18" t="n"/>
      <c r="AX811" s="254">
        <f>IF(AND(ISNUMBER(E811),ISNUMBER(W811)),E811-W811,"")</f>
        <v/>
      </c>
      <c r="AY811" s="254">
        <f>IF(AND(ISNUMBER(I811),ISNUMBER(AF811)),I811-AF811,"")</f>
        <v/>
      </c>
      <c r="AZ811" s="254">
        <f>IF(AND(ISNUMBER(AM811),ISNUMBER(G811)),G811-AM811,"")</f>
        <v/>
      </c>
      <c r="BA811" s="254">
        <f>IF(AND(ISNUMBER(AC811),ISNUMBER(AE811)),AC811-AE811,"")</f>
        <v/>
      </c>
      <c r="BB811" s="254">
        <f>IF(AND(ISNUMBER(AL811),ISNUMBER(AM811)),AL811-AM811,"")</f>
        <v/>
      </c>
      <c r="BG811" s="6">
        <f>IF((AD811-AF811)/(AJ811/60)&lt;=0,"",(AD811-AF811)/(AJ811/60))</f>
        <v/>
      </c>
      <c r="BH811" s="6">
        <f>IF(OR(AJ811=0,AP811=0,NOT(ISNUMBER(AD811)),NOT(ISNUMBER(AF811)),NOT(ISNUMBER(AJ811)),NOT(ISNUMBER(AP811))),"",
IFERROR(IF((AD811-AF811)/(AJ811/60)/(AP811/1000)&lt;=0,"",(AD811-AF811)/(AJ811/60)/(AP811/1000)),""))</f>
        <v/>
      </c>
    </row>
    <row r="812" ht="15.75" customHeight="1">
      <c r="B812" t="n">
        <v>568</v>
      </c>
      <c r="C812" s="12" t="inlineStr">
        <is>
          <t xml:space="preserve">double nitrte testing </t>
        </is>
      </c>
      <c r="D812" s="11" t="n">
        <v>46072</v>
      </c>
      <c r="E812" s="231" t="n">
        <v>568</v>
      </c>
      <c r="F812" s="3" t="n">
        <v>807</v>
      </c>
      <c r="G812" s="205">
        <f>IF(OR(S812="",S812=0),"",S812*2)</f>
        <v/>
      </c>
      <c r="I812" s="15">
        <f>(N812*18-H812*18)/9</f>
        <v/>
      </c>
      <c r="J812" s="15">
        <f>5*0.4</f>
        <v/>
      </c>
      <c r="K812" s="15">
        <f>AD812</f>
        <v/>
      </c>
      <c r="M812" s="10">
        <f>IF(OR(E812="",G812="",E812=0,G812=0),"",E812/G812)</f>
        <v/>
      </c>
      <c r="N812" s="9">
        <f>IF(OR(E812="",I812="",E812=0,I812=0),"",E812/(I812*2))</f>
        <v/>
      </c>
      <c r="O812" s="8">
        <f>IF(OR(I812="",G812="",I812=0,G812=0),"",I812*2/G812)</f>
        <v/>
      </c>
      <c r="P812" s="7">
        <f>5*1.81</f>
        <v/>
      </c>
      <c r="Q812" s="6" t="n">
        <v>19.536</v>
      </c>
      <c r="R812" s="6" t="n">
        <v>66.925</v>
      </c>
      <c r="S812" s="6">
        <f>O812*1.067</f>
        <v/>
      </c>
      <c r="T812" s="6">
        <f>P812*1.514</f>
        <v/>
      </c>
      <c r="U812" s="6">
        <f>Q812+R812</f>
        <v/>
      </c>
      <c r="V812" s="6" t="n">
        <v>39.8</v>
      </c>
      <c r="W812" s="6" t="n">
        <v>0</v>
      </c>
      <c r="X812" s="6" t="n">
        <v>0</v>
      </c>
      <c r="Y812" s="23">
        <f>U812*1.067+V812*1.514</f>
        <v/>
      </c>
      <c r="AD812" s="5" t="n">
        <v>80</v>
      </c>
      <c r="AE812" s="7">
        <f>T812</f>
        <v/>
      </c>
      <c r="AF812" s="231">
        <f>5*3.85+2.05*5</f>
        <v/>
      </c>
      <c r="AG812" s="231">
        <f>17.1</f>
        <v/>
      </c>
      <c r="AH812" s="231" t="n">
        <v>0</v>
      </c>
      <c r="AJ812" s="20" t="n">
        <v>0.524537037037037</v>
      </c>
      <c r="AK812" s="2" t="n"/>
      <c r="AL812" s="2">
        <f>("19:35"-"18:30")*1440</f>
        <v/>
      </c>
      <c r="AM812" s="3">
        <f>180+60</f>
        <v/>
      </c>
      <c r="AN812" s="4">
        <f>AE812</f>
        <v/>
      </c>
      <c r="AO812" s="231">
        <f>5*1.43</f>
        <v/>
      </c>
      <c r="AP812" s="3" t="n">
        <v>40</v>
      </c>
      <c r="AQ812" s="2" t="n">
        <v>2119.999999999982</v>
      </c>
      <c r="AR812" s="13">
        <f>AVERAGE(AO810:AO816)</f>
        <v/>
      </c>
      <c r="AT812" s="19" t="n"/>
      <c r="AU812" s="18">
        <f>(I812-AF812)/I812</f>
        <v/>
      </c>
      <c r="AV812" s="18" t="n"/>
      <c r="AW812" s="18">
        <f>(G812-AM812)/G812</f>
        <v/>
      </c>
      <c r="AX812" s="254">
        <f>IF(AND(ISNUMBER(E812),ISNUMBER(W812)),E812-W812,"")</f>
        <v/>
      </c>
      <c r="AY812" s="254">
        <f>IF(AND(ISNUMBER(I812),ISNUMBER(AF812)),I812-AF812,"")</f>
        <v/>
      </c>
      <c r="AZ812" s="254">
        <f>IF(AND(ISNUMBER(AM812),ISNUMBER(G812)),G812-AM812,"")</f>
        <v/>
      </c>
      <c r="BA812" s="254">
        <f>IF(AND(ISNUMBER(AC812),ISNUMBER(AE812)),AC812-AE812,"")</f>
        <v/>
      </c>
      <c r="BB812" s="254">
        <f>IF(AND(ISNUMBER(AL812),ISNUMBER(AM812)),AL812-AM812,"")</f>
        <v/>
      </c>
      <c r="BG812" s="6">
        <f>IF((AD812-AF812)/(AJ812/60)&lt;=0,"",(AD812-AF812)/(AJ812/60))</f>
        <v/>
      </c>
      <c r="BH812" s="6">
        <f>IF(OR(AJ812=0,AP812=0,NOT(ISNUMBER(AD812)),NOT(ISNUMBER(AF812)),NOT(ISNUMBER(AJ812)),NOT(ISNUMBER(AP812))),"",
IFERROR(IF((AD812-AF812)/(AJ812/60)/(AP812/1000)&lt;=0,"",(AD812-AF812)/(AJ812/60)/(AP812/1000)),""))</f>
        <v/>
      </c>
    </row>
    <row r="813" ht="15.75" customHeight="1">
      <c r="B813" t="n">
        <v>569</v>
      </c>
      <c r="D813" s="11" t="n">
        <v>46073</v>
      </c>
      <c r="E813" s="231" t="n">
        <v>569</v>
      </c>
      <c r="F813" s="3" t="n">
        <v>808</v>
      </c>
      <c r="G813" s="205">
        <f>IF(OR(S813="",S813=0),"",S813*2)</f>
        <v/>
      </c>
      <c r="K813" s="15">
        <f>AD813</f>
        <v/>
      </c>
      <c r="M813" s="10">
        <f>IF(OR(E813="",G813="",E813=0,G813=0),"",E813/G813)</f>
        <v/>
      </c>
      <c r="N813" s="9">
        <f>IF(OR(E813="",I813="",E813=0,I813=0),"",E813/(I813*2))</f>
        <v/>
      </c>
      <c r="O813" s="8">
        <f>IF(OR(I813="",G813="",I813=0,G813=0),"",I813*2/G813)</f>
        <v/>
      </c>
      <c r="AD813" s="5" t="n">
        <v>80</v>
      </c>
      <c r="AF813" s="21" t="n">
        <v>21</v>
      </c>
      <c r="AH813" s="231" t="n">
        <v>0</v>
      </c>
      <c r="AI813" s="231" t="n">
        <v>6.14</v>
      </c>
      <c r="AJ813" s="20" t="n">
        <v>0.4811342592592592</v>
      </c>
      <c r="AK813" s="2" t="n"/>
      <c r="AL813" s="2">
        <f>("19:45"-"18:30")*1440</f>
        <v/>
      </c>
      <c r="AM813" s="3">
        <f>180+60</f>
        <v/>
      </c>
      <c r="AP813" s="3" t="n">
        <v>40</v>
      </c>
      <c r="AR813" s="13">
        <f>AVERAGE(AO811:AO817)</f>
        <v/>
      </c>
      <c r="AT813" s="19" t="n"/>
      <c r="AU813" s="18">
        <f>(I813-AF813)/I813</f>
        <v/>
      </c>
      <c r="AV813" s="18">
        <f>AG813/(AD813-AF813)</f>
        <v/>
      </c>
      <c r="AW813" s="18" t="n"/>
      <c r="AX813" s="254">
        <f>IF(AND(ISNUMBER(E813),ISNUMBER(W813)),E813-W813,"")</f>
        <v/>
      </c>
      <c r="AY813" s="254">
        <f>IF(AND(ISNUMBER(I813),ISNUMBER(AF813)),I813-AF813,"")</f>
        <v/>
      </c>
      <c r="AZ813" s="254">
        <f>IF(AND(ISNUMBER(AM813),ISNUMBER(G813)),G813-AM813,"")</f>
        <v/>
      </c>
      <c r="BA813" s="254">
        <f>IF(AND(ISNUMBER(AC813),ISNUMBER(AE813)),AC813-AE813,"")</f>
        <v/>
      </c>
      <c r="BB813" s="254">
        <f>IF(AND(ISNUMBER(AL813),ISNUMBER(AM813)),AL813-AM813,"")</f>
        <v/>
      </c>
      <c r="BG813" s="6">
        <f>IF((AD813-AF813)/(AJ813/60)&lt;=0,"",(AD813-AF813)/(AJ813/60))</f>
        <v/>
      </c>
      <c r="BH813" s="6">
        <f>IF(OR(AJ813=0,AP813=0,NOT(ISNUMBER(AD813)),NOT(ISNUMBER(AF813)),NOT(ISNUMBER(AJ813)),NOT(ISNUMBER(AP813))),"",
IFERROR(IF((AD813-AF813)/(AJ813/60)/(AP813/1000)&lt;=0,"",(AD813-AF813)/(AJ813/60)/(AP813/1000)),""))</f>
        <v/>
      </c>
    </row>
    <row r="814" ht="15.75" customHeight="1">
      <c r="A814" s="260" t="inlineStr">
        <is>
          <t>B103</t>
        </is>
      </c>
      <c r="B814" s="260" t="n">
        <v>570</v>
      </c>
      <c r="D814" s="11" t="n">
        <v>46074</v>
      </c>
      <c r="E814" s="231" t="n">
        <v>570</v>
      </c>
      <c r="F814" s="3" t="n">
        <v>809</v>
      </c>
      <c r="G814" s="205">
        <f>IF(OR(S814="",S814=0),"",S814*2)</f>
        <v/>
      </c>
      <c r="K814" s="15">
        <f>AD814</f>
        <v/>
      </c>
      <c r="M814" s="10">
        <f>IF(OR(E814="",G814="",E814=0,G814=0),"",E814/G814)</f>
        <v/>
      </c>
      <c r="N814" s="9">
        <f>IF(OR(E814="",I814="",E814=0,I814=0),"",E814/(I814*2))</f>
        <v/>
      </c>
      <c r="O814" s="8">
        <f>IF(OR(I814="",G814="",I814=0,G814=0),"",I814*2/G814)</f>
        <v/>
      </c>
      <c r="AD814" s="5" t="n">
        <v>80</v>
      </c>
      <c r="AF814" s="21" t="n">
        <v>21</v>
      </c>
      <c r="AH814" s="231" t="n">
        <v>0</v>
      </c>
      <c r="AI814" s="231" t="n">
        <v>6.21</v>
      </c>
      <c r="AJ814" s="20" t="n">
        <v>0.4861111111111111</v>
      </c>
      <c r="AK814" s="2" t="n"/>
      <c r="AL814" s="2">
        <f>("19:55"-"18:30")*1440</f>
        <v/>
      </c>
      <c r="AM814" s="3">
        <f>180+60</f>
        <v/>
      </c>
      <c r="AP814" s="3" t="n">
        <v>40</v>
      </c>
      <c r="AR814" s="13">
        <f>AVERAGE(AO812:AO818)</f>
        <v/>
      </c>
      <c r="AT814" s="19" t="n"/>
      <c r="AU814" s="18">
        <f>(I814-AF814)/I814</f>
        <v/>
      </c>
      <c r="AV814" s="18">
        <f>AG814/(AD814-AF814)</f>
        <v/>
      </c>
      <c r="AW814" s="18" t="n"/>
      <c r="AX814" s="254">
        <f>IF(AND(ISNUMBER(E814),ISNUMBER(W814)),E814-W814,"")</f>
        <v/>
      </c>
      <c r="AY814" s="254">
        <f>IF(AND(ISNUMBER(I814),ISNUMBER(AF814)),I814-AF814,"")</f>
        <v/>
      </c>
      <c r="AZ814" s="254">
        <f>IF(AND(ISNUMBER(AM814),ISNUMBER(G814)),G814-AM814,"")</f>
        <v/>
      </c>
      <c r="BA814" s="254">
        <f>IF(AND(ISNUMBER(AC814),ISNUMBER(AE814)),AC814-AE814,"")</f>
        <v/>
      </c>
      <c r="BB814" s="254">
        <f>IF(AND(ISNUMBER(AL814),ISNUMBER(AM814)),AL814-AM814,"")</f>
        <v/>
      </c>
      <c r="BG814" s="6">
        <f>IF((AD814-AF814)/(AJ814/60)&lt;=0,"",(AD814-AF814)/(AJ814/60))</f>
        <v/>
      </c>
      <c r="BH814" s="6">
        <f>IF(OR(AJ814=0,AP814=0,NOT(ISNUMBER(AD814)),NOT(ISNUMBER(AF814)),NOT(ISNUMBER(AJ814)),NOT(ISNUMBER(AP814))),"",
IFERROR(IF((AD814-AF814)/(AJ814/60)/(AP814/1000)&lt;=0,"",(AD814-AF814)/(AJ814/60)/(AP814/1000)),""))</f>
        <v/>
      </c>
    </row>
    <row r="815" ht="15.75" customHeight="1">
      <c r="B815" t="n">
        <v>571</v>
      </c>
      <c r="D815" s="11" t="n">
        <v>46075</v>
      </c>
      <c r="E815" s="231" t="n">
        <v>571</v>
      </c>
      <c r="F815" s="3" t="n">
        <v>810</v>
      </c>
      <c r="G815" s="205">
        <f>IF(OR(S815="",S815=0),"",S815*2)</f>
        <v/>
      </c>
      <c r="K815" s="15">
        <f>AD815</f>
        <v/>
      </c>
      <c r="M815" s="10">
        <f>IF(OR(E815="",G815="",E815=0,G815=0),"",E815/G815)</f>
        <v/>
      </c>
      <c r="N815" s="9">
        <f>IF(OR(E815="",I815="",E815=0,I815=0),"",E815/(I815*2))</f>
        <v/>
      </c>
      <c r="O815" s="8">
        <f>IF(OR(I815="",G815="",I815=0,G815=0),"",I815*2/G815)</f>
        <v/>
      </c>
      <c r="AD815" s="5" t="n">
        <v>80</v>
      </c>
      <c r="AF815" s="21" t="n">
        <v>21</v>
      </c>
      <c r="AH815" s="231" t="n">
        <v>0</v>
      </c>
      <c r="AI815" s="231" t="n">
        <v>6.63</v>
      </c>
      <c r="AJ815" s="20" t="n">
        <v>0.4864583333333333</v>
      </c>
      <c r="AK815" s="2" t="n"/>
      <c r="AL815" s="2">
        <f>("19:45"-"18:30")*1440</f>
        <v/>
      </c>
      <c r="AM815" s="3">
        <f>180+60</f>
        <v/>
      </c>
      <c r="AP815" s="3" t="n">
        <v>40</v>
      </c>
      <c r="AR815" s="13">
        <f>AVERAGE(AO813:AO819)</f>
        <v/>
      </c>
      <c r="AT815" s="19" t="n"/>
      <c r="AU815" s="18">
        <f>(I815-AF815)/I815</f>
        <v/>
      </c>
      <c r="AV815" s="18">
        <f>AG815/(AD815-AF815)</f>
        <v/>
      </c>
      <c r="AW815" s="18" t="n"/>
      <c r="AX815" s="254">
        <f>IF(AND(ISNUMBER(E815),ISNUMBER(W815)),E815-W815,"")</f>
        <v/>
      </c>
      <c r="AY815" s="254">
        <f>IF(AND(ISNUMBER(I815),ISNUMBER(AF815)),I815-AF815,"")</f>
        <v/>
      </c>
      <c r="AZ815" s="254">
        <f>IF(AND(ISNUMBER(AM815),ISNUMBER(G815)),G815-AM815,"")</f>
        <v/>
      </c>
      <c r="BA815" s="254">
        <f>IF(AND(ISNUMBER(AC815),ISNUMBER(AE815)),AC815-AE815,"")</f>
        <v/>
      </c>
      <c r="BB815" s="254">
        <f>IF(AND(ISNUMBER(AL815),ISNUMBER(AM815)),AL815-AM815,"")</f>
        <v/>
      </c>
      <c r="BG815" s="6">
        <f>IF((AD815-AF815)/(AJ815/60)&lt;=0,"",(AD815-AF815)/(AJ815/60))</f>
        <v/>
      </c>
      <c r="BH815" s="6">
        <f>IF(OR(AJ815=0,AP815=0,NOT(ISNUMBER(AD815)),NOT(ISNUMBER(AF815)),NOT(ISNUMBER(AJ815)),NOT(ISNUMBER(AP815))),"",
IFERROR(IF((AD815-AF815)/(AJ815/60)/(AP815/1000)&lt;=0,"",(AD815-AF815)/(AJ815/60)/(AP815/1000)),""))</f>
        <v/>
      </c>
    </row>
    <row r="816" ht="15.75" customHeight="1">
      <c r="B816" t="n">
        <v>572</v>
      </c>
      <c r="D816" s="11" t="n">
        <v>46076</v>
      </c>
      <c r="E816" s="231" t="n">
        <v>572</v>
      </c>
      <c r="F816" s="3" t="n">
        <v>811</v>
      </c>
      <c r="G816" s="205">
        <f>IF(OR(S816="",S816=0),"",S816*2)</f>
        <v/>
      </c>
      <c r="K816" s="15">
        <f>AD816</f>
        <v/>
      </c>
      <c r="M816" s="10">
        <f>IF(OR(E816="",G816="",E816=0,G816=0),"",E816/G816)</f>
        <v/>
      </c>
      <c r="N816" s="9">
        <f>IF(OR(E816="",I816="",E816=0,I816=0),"",E816/(I816*2))</f>
        <v/>
      </c>
      <c r="O816" s="8">
        <f>IF(OR(I816="",G816="",I816=0,G816=0),"",I816*2/G816)</f>
        <v/>
      </c>
      <c r="AD816" s="5" t="n">
        <v>80</v>
      </c>
      <c r="AF816" s="21" t="n">
        <v>21</v>
      </c>
      <c r="AH816" s="231" t="n">
        <v>0</v>
      </c>
      <c r="AI816" s="231" t="n">
        <v>6</v>
      </c>
      <c r="AJ816" s="20" t="n">
        <v>0.4841435185185185</v>
      </c>
      <c r="AK816" s="2" t="n"/>
      <c r="AL816" s="2">
        <f>("19:35"-"18:30")*1440</f>
        <v/>
      </c>
      <c r="AM816" s="3">
        <f>180+60</f>
        <v/>
      </c>
      <c r="AP816" s="3" t="n">
        <v>40</v>
      </c>
      <c r="AR816" s="13">
        <f>AVERAGE(AO814:AO820)</f>
        <v/>
      </c>
      <c r="AT816" s="19" t="n"/>
      <c r="AU816" s="18">
        <f>(I816-AF816)/I816</f>
        <v/>
      </c>
      <c r="AV816" s="18">
        <f>AG816/(AD816-AF816)</f>
        <v/>
      </c>
      <c r="AW816" s="18" t="n"/>
      <c r="AX816" s="254">
        <f>IF(AND(ISNUMBER(E816),ISNUMBER(W816)),E816-W816,"")</f>
        <v/>
      </c>
      <c r="AY816" s="254">
        <f>IF(AND(ISNUMBER(I816),ISNUMBER(AF816)),I816-AF816,"")</f>
        <v/>
      </c>
      <c r="AZ816" s="254">
        <f>IF(AND(ISNUMBER(AM816),ISNUMBER(G816)),G816-AM816,"")</f>
        <v/>
      </c>
      <c r="BA816" s="254">
        <f>IF(AND(ISNUMBER(AC816),ISNUMBER(AE816)),AC816-AE816,"")</f>
        <v/>
      </c>
      <c r="BB816" s="254">
        <f>IF(AND(ISNUMBER(AL816),ISNUMBER(AM816)),AL816-AM816,"")</f>
        <v/>
      </c>
      <c r="BG816" s="6">
        <f>IF((AD816-AF816)/(AJ816/60)&lt;=0,"",(AD816-AF816)/(AJ816/60))</f>
        <v/>
      </c>
      <c r="BH816" s="6">
        <f>IF(OR(AJ816=0,AP816=0,NOT(ISNUMBER(AD816)),NOT(ISNUMBER(AF816)),NOT(ISNUMBER(AJ816)),NOT(ISNUMBER(AP816))),"",
IFERROR(IF((AD816-AF816)/(AJ816/60)/(AP816/1000)&lt;=0,"",(AD816-AF816)/(AJ816/60)/(AP816/1000)),""))</f>
        <v/>
      </c>
    </row>
    <row r="817" ht="15.75" customHeight="1">
      <c r="B817" t="n">
        <v>573</v>
      </c>
      <c r="C817" s="12" t="inlineStr">
        <is>
          <t>testing real wastewater</t>
        </is>
      </c>
      <c r="D817" s="11" t="n">
        <v>46077</v>
      </c>
      <c r="E817" s="231" t="n">
        <v>573</v>
      </c>
      <c r="F817" s="3" t="n">
        <v>812</v>
      </c>
      <c r="G817" s="205">
        <f>IF(OR(S817="",S817=0),"",S817*2)</f>
        <v/>
      </c>
      <c r="K817" s="15">
        <f>AD817</f>
        <v/>
      </c>
      <c r="M817" s="10">
        <f>IF(OR(E817="",G817="",E817=0,G817=0),"",E817/G817)</f>
        <v/>
      </c>
      <c r="N817" s="9">
        <f>IF(OR(E817="",I817="",E817=0,I817=0),"",E817/(I817*2))</f>
        <v/>
      </c>
      <c r="O817" s="8">
        <f>IF(OR(I817="",G817="",I817=0,G817=0),"",I817*2/G817)</f>
        <v/>
      </c>
      <c r="Q817" s="6" t="n">
        <v>2.009</v>
      </c>
      <c r="R817" s="6" t="n">
        <v>0.304</v>
      </c>
      <c r="S817" s="6">
        <f>O817*1.067</f>
        <v/>
      </c>
      <c r="T817" s="6">
        <f>P817*1.514</f>
        <v/>
      </c>
      <c r="U817" s="6">
        <f>Q817+R817</f>
        <v/>
      </c>
      <c r="W817" s="6" t="n">
        <v>2.077</v>
      </c>
      <c r="X817" s="6" t="n">
        <v>0</v>
      </c>
      <c r="Y817" s="23">
        <f>U817*1.067+V817*1.514</f>
        <v/>
      </c>
      <c r="AD817" s="5" t="n">
        <v>80</v>
      </c>
      <c r="AF817" s="21" t="n">
        <v>21</v>
      </c>
      <c r="AH817" s="231" t="n">
        <v>0</v>
      </c>
      <c r="AI817" s="22" t="n">
        <v>5.19</v>
      </c>
      <c r="AJ817" s="20" t="n">
        <v>0.5600694444444444</v>
      </c>
      <c r="AK817" s="2" t="n"/>
      <c r="AL817" s="2">
        <f>("19:45"-"18:30")*1440</f>
        <v/>
      </c>
      <c r="AM817" s="3">
        <f>180+60</f>
        <v/>
      </c>
      <c r="AP817" s="3" t="n">
        <v>40</v>
      </c>
      <c r="AQ817" s="2" t="n">
        <v>2309.999999999991</v>
      </c>
      <c r="AR817" s="13">
        <f>AVERAGE(AO815:AO821)</f>
        <v/>
      </c>
      <c r="AT817" s="19" t="n"/>
      <c r="AU817" s="18">
        <f>(I817-AF817)/I817</f>
        <v/>
      </c>
      <c r="AV817" s="18" t="n"/>
      <c r="AW817" s="18" t="n"/>
      <c r="AX817" s="254">
        <f>IF(AND(ISNUMBER(E817),ISNUMBER(W817)),E817-W817,"")</f>
        <v/>
      </c>
      <c r="AY817" s="254">
        <f>IF(AND(ISNUMBER(I817),ISNUMBER(AF817)),I817-AF817,"")</f>
        <v/>
      </c>
      <c r="AZ817" s="254">
        <f>IF(AND(ISNUMBER(AM817),ISNUMBER(G817)),G817-AM817,"")</f>
        <v/>
      </c>
      <c r="BA817" s="254">
        <f>IF(AND(ISNUMBER(AC817),ISNUMBER(AE817)),AC817-AE817,"")</f>
        <v/>
      </c>
      <c r="BB817" s="254">
        <f>IF(AND(ISNUMBER(AL817),ISNUMBER(AM817)),AL817-AM817,"")</f>
        <v/>
      </c>
      <c r="BG817" s="6">
        <f>IF((AD817-AF817)/(AJ817/60)&lt;=0,"",(AD817-AF817)/(AJ817/60))</f>
        <v/>
      </c>
      <c r="BH817" s="6">
        <f>IF(OR(AJ817=0,AP817=0,NOT(ISNUMBER(AD817)),NOT(ISNUMBER(AF817)),NOT(ISNUMBER(AJ817)),NOT(ISNUMBER(AP817))),"",
IFERROR(IF((AD817-AF817)/(AJ817/60)/(AP817/1000)&lt;=0,"",(AD817-AF817)/(AJ817/60)/(AP817/1000)),""))</f>
        <v/>
      </c>
    </row>
    <row r="818" ht="15.75" customHeight="1">
      <c r="B818" t="n">
        <v>574</v>
      </c>
      <c r="D818" s="11" t="n">
        <v>46078</v>
      </c>
      <c r="E818" s="231" t="n">
        <v>574</v>
      </c>
      <c r="F818" s="3" t="n">
        <v>813</v>
      </c>
      <c r="G818" s="205">
        <f>IF(OR(S818="",S818=0),"",S818*2)</f>
        <v/>
      </c>
      <c r="K818" s="15">
        <f>AD818</f>
        <v/>
      </c>
      <c r="M818" s="10">
        <f>IF(OR(E818="",G818="",E818=0,G818=0),"",E818/G818)</f>
        <v/>
      </c>
      <c r="N818" s="9">
        <f>IF(OR(E818="",I818="",E818=0,I818=0),"",E818/(I818*2))</f>
        <v/>
      </c>
      <c r="O818" s="8">
        <f>IF(OR(I818="",G818="",I818=0,G818=0),"",I818*2/G818)</f>
        <v/>
      </c>
      <c r="AD818" s="5" t="n">
        <v>80</v>
      </c>
      <c r="AF818" s="21" t="n">
        <v>21</v>
      </c>
      <c r="AH818" s="231" t="n">
        <v>0</v>
      </c>
      <c r="AI818" s="22" t="n">
        <v>6.09</v>
      </c>
      <c r="AJ818" s="20" t="n">
        <v>0.4837962962962963</v>
      </c>
      <c r="AK818" s="2" t="n"/>
      <c r="AL818" s="2">
        <f>("19:45"-"18:30")*1440</f>
        <v/>
      </c>
      <c r="AM818" s="3">
        <f>180+60</f>
        <v/>
      </c>
      <c r="AP818" s="3" t="n">
        <v>40</v>
      </c>
      <c r="AR818" s="13">
        <f>AVERAGE(AO816:AO822)</f>
        <v/>
      </c>
      <c r="AT818" s="19" t="n"/>
      <c r="AU818" s="18">
        <f>(I818-AF818)/I818</f>
        <v/>
      </c>
      <c r="AV818" s="18" t="n"/>
      <c r="AW818" s="18" t="n"/>
      <c r="AX818" s="254">
        <f>IF(AND(ISNUMBER(E818),ISNUMBER(W818)),E818-W818,"")</f>
        <v/>
      </c>
      <c r="AY818" s="254">
        <f>IF(AND(ISNUMBER(I818),ISNUMBER(AF818)),I818-AF818,"")</f>
        <v/>
      </c>
      <c r="AZ818" s="254">
        <f>IF(AND(ISNUMBER(AM818),ISNUMBER(G818)),G818-AM818,"")</f>
        <v/>
      </c>
      <c r="BA818" s="254">
        <f>IF(AND(ISNUMBER(AC818),ISNUMBER(AE818)),AC818-AE818,"")</f>
        <v/>
      </c>
      <c r="BB818" s="254">
        <f>IF(AND(ISNUMBER(AL818),ISNUMBER(AM818)),AL818-AM818,"")</f>
        <v/>
      </c>
      <c r="BG818" s="6">
        <f>IF((AD818-AF818)/(AJ818/60)&lt;=0,"",(AD818-AF818)/(AJ818/60))</f>
        <v/>
      </c>
      <c r="BH818" s="6">
        <f>IF(OR(AJ818=0,AP818=0,NOT(ISNUMBER(AD818)),NOT(ISNUMBER(AF818)),NOT(ISNUMBER(AJ818)),NOT(ISNUMBER(AP818))),"",
IFERROR(IF((AD818-AF818)/(AJ818/60)/(AP818/1000)&lt;=0,"",(AD818-AF818)/(AJ818/60)/(AP818/1000)),""))</f>
        <v/>
      </c>
    </row>
    <row r="819" ht="15.75" customHeight="1">
      <c r="A819" s="260" t="inlineStr">
        <is>
          <t>B104</t>
        </is>
      </c>
      <c r="B819" s="260" t="n">
        <v>575</v>
      </c>
      <c r="C819" s="12" t="inlineStr">
        <is>
          <t>testing real wastewater+COD</t>
        </is>
      </c>
      <c r="D819" s="11" t="n">
        <v>46079</v>
      </c>
      <c r="E819" s="231" t="n">
        <v>575</v>
      </c>
      <c r="F819" s="3" t="n">
        <v>814</v>
      </c>
      <c r="G819" s="205">
        <f>IF(OR(S819="",S819=0),"",S819*2)</f>
        <v/>
      </c>
      <c r="I819" s="15">
        <f>(N819*18-H819*18)/9</f>
        <v/>
      </c>
      <c r="J819" s="15">
        <f>5*1.11</f>
        <v/>
      </c>
      <c r="K819" s="15">
        <f>AD819</f>
        <v/>
      </c>
      <c r="M819" s="10">
        <f>IF(OR(E819="",G819="",E819=0,G819=0),"",E819/G819)</f>
        <v/>
      </c>
      <c r="N819" s="9">
        <f>IF(OR(E819="",I819="",E819=0,I819=0),"",E819/(I819*2))</f>
        <v/>
      </c>
      <c r="O819" s="8">
        <f>IF(OR(I819="",G819="",I819=0,G819=0),"",I819*2/G819)</f>
        <v/>
      </c>
      <c r="P819" s="7">
        <f>5*2.51</f>
        <v/>
      </c>
      <c r="Q819" s="6" t="n">
        <v>20.06</v>
      </c>
      <c r="R819" s="6" t="n">
        <v>67.108</v>
      </c>
      <c r="S819" s="6">
        <f>O819*1.067</f>
        <v/>
      </c>
      <c r="T819" s="6">
        <f>P819*1.514</f>
        <v/>
      </c>
      <c r="U819" s="6">
        <f>Q819+R819</f>
        <v/>
      </c>
      <c r="V819" s="6" t="n">
        <v>37.1</v>
      </c>
      <c r="W819" s="6" t="n">
        <v>0</v>
      </c>
      <c r="X819" s="6" t="n">
        <v>0</v>
      </c>
      <c r="Y819" s="23">
        <f>U819*1.067+V819*1.514</f>
        <v/>
      </c>
      <c r="AD819" s="5" t="n">
        <v>80</v>
      </c>
      <c r="AE819" s="4" t="n">
        <v>37.1</v>
      </c>
      <c r="AF819" s="231">
        <f>5*4.35</f>
        <v/>
      </c>
      <c r="AG819" s="231" t="n">
        <v>17.2</v>
      </c>
      <c r="AH819" s="231" t="n">
        <v>0</v>
      </c>
      <c r="AI819" s="22" t="n"/>
      <c r="AJ819" s="20" t="n">
        <v>0.5121527777777778</v>
      </c>
      <c r="AK819" s="2" t="n"/>
      <c r="AL819" s="2">
        <f>("19:45"-"18:30")*1440</f>
        <v/>
      </c>
      <c r="AM819" s="3">
        <f>180+60</f>
        <v/>
      </c>
      <c r="AN819" s="4">
        <f>AE819</f>
        <v/>
      </c>
      <c r="AO819" s="231">
        <f>5*1.51</f>
        <v/>
      </c>
      <c r="AP819" s="3" t="n">
        <v>40</v>
      </c>
      <c r="AQ819" s="2" t="n">
        <v>1849.999999999955</v>
      </c>
      <c r="AR819" s="13">
        <f>AVERAGE(AO817:AO823)</f>
        <v/>
      </c>
      <c r="AT819" s="19">
        <f>(E819-W819)/E819</f>
        <v/>
      </c>
      <c r="AU819" s="18">
        <f>(I819-AF819)/I819</f>
        <v/>
      </c>
      <c r="AV819" s="18" t="n"/>
      <c r="AW819" s="18">
        <f>(G819-AM819)/G819</f>
        <v/>
      </c>
      <c r="AX819" s="254">
        <f>IF(AND(ISNUMBER(E819),ISNUMBER(W819)),E819-W819,"")</f>
        <v/>
      </c>
      <c r="AY819" s="254">
        <f>IF(AND(ISNUMBER(I819),ISNUMBER(AF819)),I819-AF819,"")</f>
        <v/>
      </c>
      <c r="AZ819" s="254">
        <f>IF(AND(ISNUMBER(AM819),ISNUMBER(G819)),G819-AM819,"")</f>
        <v/>
      </c>
      <c r="BA819" s="254">
        <f>IF(AND(ISNUMBER(AC819),ISNUMBER(AE819)),AC819-AE819,"")</f>
        <v/>
      </c>
      <c r="BB819" s="254">
        <f>IF(AND(ISNUMBER(AL819),ISNUMBER(AM819)),AL819-AM819,"")</f>
        <v/>
      </c>
      <c r="BG819" s="6">
        <f>IF((AD819-AF819)/(AJ819/60)&lt;=0,"",(AD819-AF819)/(AJ819/60))</f>
        <v/>
      </c>
      <c r="BH819" s="6">
        <f>IF(OR(AJ819=0,AP819=0,NOT(ISNUMBER(AD819)),NOT(ISNUMBER(AF819)),NOT(ISNUMBER(AJ819)),NOT(ISNUMBER(AP819))),"",
IFERROR(IF((AD819-AF819)/(AJ819/60)/(AP819/1000)&lt;=0,"",(AD819-AF819)/(AJ819/60)/(AP819/1000)),""))</f>
        <v/>
      </c>
    </row>
    <row r="820" ht="15.75" customHeight="1">
      <c r="B820" t="n">
        <v>576</v>
      </c>
      <c r="D820" s="11" t="n">
        <v>46080</v>
      </c>
      <c r="E820" s="231" t="n">
        <v>576</v>
      </c>
      <c r="F820" s="3" t="n">
        <v>815</v>
      </c>
      <c r="G820" s="205">
        <f>IF(OR(S820="",S820=0),"",S820*2)</f>
        <v/>
      </c>
      <c r="K820" s="15">
        <f>AD820</f>
        <v/>
      </c>
      <c r="M820" s="10">
        <f>IF(OR(E820="",G820="",E820=0,G820=0),"",E820/G820)</f>
        <v/>
      </c>
      <c r="N820" s="9">
        <f>IF(OR(E820="",I820="",E820=0,I820=0),"",E820/(I820*2))</f>
        <v/>
      </c>
      <c r="O820" s="8">
        <f>IF(OR(I820="",G820="",I820=0,G820=0),"",I820*2/G820)</f>
        <v/>
      </c>
      <c r="AD820" s="5" t="n">
        <v>80</v>
      </c>
      <c r="AF820" s="21" t="n">
        <v>21</v>
      </c>
      <c r="AH820" s="231" t="n">
        <v>0</v>
      </c>
      <c r="AI820" s="22" t="n">
        <v>6.53</v>
      </c>
      <c r="AJ820" s="20" t="n">
        <v>0.4763888888888889</v>
      </c>
      <c r="AK820" s="2" t="n"/>
      <c r="AL820" s="2">
        <f>("19:20"-"18:30")*1440</f>
        <v/>
      </c>
      <c r="AM820" s="3">
        <f>180+60</f>
        <v/>
      </c>
      <c r="AP820" s="3" t="n">
        <v>40</v>
      </c>
      <c r="AR820" s="13">
        <f>AVERAGE(AO818:AO824)</f>
        <v/>
      </c>
      <c r="AT820" s="19" t="n"/>
      <c r="AU820" s="18">
        <f>(I820-AF820)/I820</f>
        <v/>
      </c>
      <c r="AV820" s="18" t="n"/>
      <c r="AW820" s="18" t="n"/>
      <c r="AX820" s="254">
        <f>IF(AND(ISNUMBER(E820),ISNUMBER(W820)),E820-W820,"")</f>
        <v/>
      </c>
      <c r="AY820" s="254">
        <f>IF(AND(ISNUMBER(I820),ISNUMBER(AF820)),I820-AF820,"")</f>
        <v/>
      </c>
      <c r="AZ820" s="254">
        <f>IF(AND(ISNUMBER(AM820),ISNUMBER(G820)),G820-AM820,"")</f>
        <v/>
      </c>
      <c r="BA820" s="254">
        <f>IF(AND(ISNUMBER(AC820),ISNUMBER(AE820)),AC820-AE820,"")</f>
        <v/>
      </c>
      <c r="BB820" s="254">
        <f>IF(AND(ISNUMBER(AL820),ISNUMBER(AM820)),AL820-AM820,"")</f>
        <v/>
      </c>
      <c r="BG820" s="6">
        <f>IF((AD820-AF820)/(AJ820/60)&lt;=0,"",(AD820-AF820)/(AJ820/60))</f>
        <v/>
      </c>
      <c r="BH820" s="6">
        <f>IF(OR(AJ820=0,AP820=0,NOT(ISNUMBER(AD820)),NOT(ISNUMBER(AF820)),NOT(ISNUMBER(AJ820)),NOT(ISNUMBER(AP820))),"",
IFERROR(IF((AD820-AF820)/(AJ820/60)/(AP820/1000)&lt;=0,"",(AD820-AF820)/(AJ820/60)/(AP820/1000)),""))</f>
        <v/>
      </c>
    </row>
    <row r="821" ht="15.75" customHeight="1">
      <c r="B821" t="n">
        <v>577</v>
      </c>
      <c r="D821" s="11" t="n">
        <v>46081</v>
      </c>
      <c r="E821" s="231" t="n">
        <v>577</v>
      </c>
      <c r="F821" s="3" t="n">
        <v>816</v>
      </c>
      <c r="G821" s="205">
        <f>IF(OR(S821="",S821=0),"",S821*2)</f>
        <v/>
      </c>
      <c r="K821" s="15">
        <f>AD821</f>
        <v/>
      </c>
      <c r="M821" s="10">
        <f>IF(OR(E821="",G821="",E821=0,G821=0),"",E821/G821)</f>
        <v/>
      </c>
      <c r="N821" s="9">
        <f>IF(OR(E821="",I821="",E821=0,I821=0),"",E821/(I821*2))</f>
        <v/>
      </c>
      <c r="O821" s="8">
        <f>IF(OR(I821="",G821="",I821=0,G821=0),"",I821*2/G821)</f>
        <v/>
      </c>
      <c r="AD821" s="5" t="n">
        <v>80</v>
      </c>
      <c r="AF821" s="21" t="n">
        <v>21</v>
      </c>
      <c r="AH821" s="231" t="n">
        <v>0</v>
      </c>
      <c r="AI821" s="22" t="n">
        <v>5.32</v>
      </c>
      <c r="AJ821" s="20" t="n">
        <v>0.4688657407407407</v>
      </c>
      <c r="AK821" s="2" t="n"/>
      <c r="AL821" s="2">
        <f>("19:20"-"18:30")*1440</f>
        <v/>
      </c>
      <c r="AM821" s="3">
        <f>180+60</f>
        <v/>
      </c>
      <c r="AP821" s="3" t="n">
        <v>40</v>
      </c>
      <c r="AR821" s="13">
        <f>AVERAGE(AO819:AO825)</f>
        <v/>
      </c>
      <c r="AT821" s="19" t="n"/>
      <c r="AU821" s="18">
        <f>(I821-AF821)/I821</f>
        <v/>
      </c>
      <c r="AV821" s="18">
        <f>AG821/(AD821-AF821)</f>
        <v/>
      </c>
      <c r="AW821" s="18">
        <f>(G821-AM821)/G821</f>
        <v/>
      </c>
      <c r="AX821" s="254">
        <f>IF(AND(ISNUMBER(E821),ISNUMBER(W821)),E821-W821,"")</f>
        <v/>
      </c>
      <c r="AY821" s="254">
        <f>IF(AND(ISNUMBER(I821),ISNUMBER(AF821)),I821-AF821,"")</f>
        <v/>
      </c>
      <c r="AZ821" s="254">
        <f>IF(AND(ISNUMBER(AM821),ISNUMBER(G821)),G821-AM821,"")</f>
        <v/>
      </c>
      <c r="BA821" s="254">
        <f>IF(AND(ISNUMBER(AC821),ISNUMBER(AE821)),AC821-AE821,"")</f>
        <v/>
      </c>
      <c r="BB821" s="254">
        <f>IF(AND(ISNUMBER(AL821),ISNUMBER(AM821)),AL821-AM821,"")</f>
        <v/>
      </c>
      <c r="BG821" s="6">
        <f>IF((AD821-AF821)/(AJ821/60)&lt;=0,"",(AD821-AF821)/(AJ821/60))</f>
        <v/>
      </c>
      <c r="BH821" s="6">
        <f>IF(OR(AJ821=0,AP821=0,NOT(ISNUMBER(AD821)),NOT(ISNUMBER(AF821)),NOT(ISNUMBER(AJ821)),NOT(ISNUMBER(AP821))),"",
IFERROR(IF((AD821-AF821)/(AJ821/60)/(AP821/1000)&lt;=0,"",(AD821-AF821)/(AJ821/60)/(AP821/1000)),""))</f>
        <v/>
      </c>
    </row>
    <row r="822" ht="15.75" customHeight="1">
      <c r="B822" t="n">
        <v>578</v>
      </c>
      <c r="D822" s="11" t="n">
        <v>46082</v>
      </c>
      <c r="E822" s="231" t="n">
        <v>578</v>
      </c>
      <c r="F822" s="3" t="n">
        <v>817</v>
      </c>
      <c r="G822" s="205">
        <f>IF(OR(S822="",S822=0),"",S822*2)</f>
        <v/>
      </c>
      <c r="K822" s="15">
        <f>AD822</f>
        <v/>
      </c>
      <c r="M822" s="10">
        <f>IF(OR(E822="",G822="",E822=0,G822=0),"",E822/G822)</f>
        <v/>
      </c>
      <c r="N822" s="9">
        <f>IF(OR(E822="",I822="",E822=0,I822=0),"",E822/(I822*2))</f>
        <v/>
      </c>
      <c r="O822" s="8">
        <f>IF(OR(I822="",G822="",I822=0,G822=0),"",I822*2/G822)</f>
        <v/>
      </c>
      <c r="AD822" s="5" t="n">
        <v>80</v>
      </c>
      <c r="AF822" s="21" t="n">
        <v>21</v>
      </c>
      <c r="AH822" s="231" t="n">
        <v>0</v>
      </c>
      <c r="AI822" s="231" t="n">
        <v>5.7</v>
      </c>
      <c r="AJ822" s="20" t="n">
        <v>0.4675925925925926</v>
      </c>
      <c r="AK822" s="2" t="n"/>
      <c r="AL822" s="2">
        <f>("19:20"-"18:30")*1440</f>
        <v/>
      </c>
      <c r="AM822" s="3">
        <f>180+60</f>
        <v/>
      </c>
      <c r="AP822" s="3" t="n">
        <v>40</v>
      </c>
      <c r="AR822" s="13">
        <f>AVERAGE(AO820:AO826)</f>
        <v/>
      </c>
      <c r="AT822" s="19" t="n"/>
      <c r="AU822" s="18">
        <f>(I822-AF822)/I822</f>
        <v/>
      </c>
      <c r="AV822" s="18">
        <f>AG822/(AD822-AF822)</f>
        <v/>
      </c>
      <c r="AW822" s="18">
        <f>(G822-AM822)/G822</f>
        <v/>
      </c>
      <c r="AX822" s="254">
        <f>IF(AND(ISNUMBER(E822),ISNUMBER(W822)),E822-W822,"")</f>
        <v/>
      </c>
      <c r="AY822" s="254">
        <f>IF(AND(ISNUMBER(I822),ISNUMBER(AF822)),I822-AF822,"")</f>
        <v/>
      </c>
      <c r="AZ822" s="254">
        <f>IF(AND(ISNUMBER(AM822),ISNUMBER(G822)),G822-AM822,"")</f>
        <v/>
      </c>
      <c r="BA822" s="254">
        <f>IF(AND(ISNUMBER(AC822),ISNUMBER(AE822)),AC822-AE822,"")</f>
        <v/>
      </c>
      <c r="BB822" s="254">
        <f>IF(AND(ISNUMBER(AL822),ISNUMBER(AM822)),AL822-AM822,"")</f>
        <v/>
      </c>
      <c r="BG822" s="6">
        <f>IF((AD822-AF822)/(AJ822/60)&lt;=0,"",(AD822-AF822)/(AJ822/60))</f>
        <v/>
      </c>
      <c r="BH822" s="6" t="n"/>
    </row>
    <row r="823" ht="15.75" customHeight="1">
      <c r="B823" t="n">
        <v>579</v>
      </c>
      <c r="D823" s="11" t="n">
        <v>46083</v>
      </c>
      <c r="E823" s="231" t="n">
        <v>579</v>
      </c>
      <c r="F823" s="3" t="n">
        <v>818</v>
      </c>
      <c r="G823" s="205">
        <f>IF(OR(S823="",S823=0),"",S823*2)</f>
        <v/>
      </c>
      <c r="K823" s="15">
        <f>AD823</f>
        <v/>
      </c>
      <c r="M823" s="10">
        <f>IF(OR(E823="",G823="",E823=0,G823=0),"",E823/G823)</f>
        <v/>
      </c>
      <c r="N823" s="9">
        <f>IF(OR(E823="",I823="",E823=0,I823=0),"",E823/(I823*2))</f>
        <v/>
      </c>
      <c r="O823" s="8">
        <f>IF(OR(I823="",G823="",I823=0,G823=0),"",I823*2/G823)</f>
        <v/>
      </c>
      <c r="AD823" s="5" t="n">
        <v>80</v>
      </c>
      <c r="AF823" s="21" t="n">
        <v>21</v>
      </c>
      <c r="AH823" s="231" t="n">
        <v>0</v>
      </c>
      <c r="AI823" s="231" t="n">
        <v>5.75</v>
      </c>
      <c r="AJ823" s="20" t="n">
        <v>0.4667824074074074</v>
      </c>
      <c r="AK823" s="2" t="n"/>
      <c r="AL823" s="2">
        <f>("19:20"-"18:30")*1440</f>
        <v/>
      </c>
      <c r="AM823" s="3">
        <f>180+60</f>
        <v/>
      </c>
      <c r="AP823" s="3" t="n">
        <v>40</v>
      </c>
      <c r="AR823" s="13">
        <f>AVERAGE(AO821:AO827)</f>
        <v/>
      </c>
      <c r="AT823" s="19" t="n"/>
      <c r="AU823" s="18">
        <f>(I823-AF823)/I823</f>
        <v/>
      </c>
      <c r="AV823" s="18">
        <f>AG823/(AD823-AF823)</f>
        <v/>
      </c>
      <c r="AW823" s="18">
        <f>(G823-AM823)/G823</f>
        <v/>
      </c>
      <c r="AX823" s="254">
        <f>IF(AND(ISNUMBER(E823),ISNUMBER(W823)),E823-W823,"")</f>
        <v/>
      </c>
      <c r="AY823" s="254">
        <f>IF(AND(ISNUMBER(I823),ISNUMBER(AF823)),I823-AF823,"")</f>
        <v/>
      </c>
      <c r="AZ823" s="254">
        <f>IF(AND(ISNUMBER(AM823),ISNUMBER(G823)),G823-AM823,"")</f>
        <v/>
      </c>
      <c r="BA823" s="254">
        <f>IF(AND(ISNUMBER(AC823),ISNUMBER(AE823)),AC823-AE823,"")</f>
        <v/>
      </c>
      <c r="BB823" s="254">
        <f>IF(AND(ISNUMBER(AL823),ISNUMBER(AM823)),AL823-AM823,"")</f>
        <v/>
      </c>
      <c r="BG823" s="6">
        <f>IF((AD823-AF823)/(AJ823/60)&lt;=0,"",(AD823-AF823)/(AJ823/60))</f>
        <v/>
      </c>
      <c r="BH823" s="6" t="n"/>
    </row>
    <row r="824" ht="15.75" customHeight="1">
      <c r="B824" t="n">
        <v>580</v>
      </c>
      <c r="D824" s="11" t="n">
        <v>46084</v>
      </c>
      <c r="E824" s="231" t="n">
        <v>580</v>
      </c>
      <c r="F824" s="3" t="n">
        <v>819</v>
      </c>
      <c r="G824" s="205">
        <f>IF(OR(S824="",S824=0),"",S824*2)</f>
        <v/>
      </c>
      <c r="K824" s="15">
        <f>AD824</f>
        <v/>
      </c>
      <c r="M824" s="10">
        <f>IF(OR(E824="",G824="",E824=0,G824=0),"",E824/G824)</f>
        <v/>
      </c>
      <c r="N824" s="9">
        <f>IF(OR(E824="",I824="",E824=0,I824=0),"",E824/(I824*2))</f>
        <v/>
      </c>
      <c r="O824" s="8">
        <f>IF(OR(I824="",G824="",I824=0,G824=0),"",I824*2/G824)</f>
        <v/>
      </c>
      <c r="AD824" s="5" t="n">
        <v>80</v>
      </c>
      <c r="AF824" s="21" t="n">
        <v>21</v>
      </c>
      <c r="AH824" s="231" t="n">
        <v>0</v>
      </c>
      <c r="AI824" s="231" t="n">
        <v>5.94</v>
      </c>
      <c r="AJ824" s="20" t="n">
        <v>0.4678240740740741</v>
      </c>
      <c r="AK824" s="2" t="n"/>
      <c r="AL824" s="2">
        <f>("19:20"-"18:30")*1440</f>
        <v/>
      </c>
      <c r="AM824" s="3">
        <f>180+60</f>
        <v/>
      </c>
      <c r="AP824" s="3" t="n">
        <v>40</v>
      </c>
      <c r="AR824" s="13">
        <f>AVERAGE(AO822:AO828)</f>
        <v/>
      </c>
      <c r="AT824" s="19" t="n"/>
      <c r="AU824" s="18">
        <f>(I824-AF824)/I824</f>
        <v/>
      </c>
      <c r="AV824" s="18">
        <f>AG824/(AD824-AF824)</f>
        <v/>
      </c>
      <c r="AW824" s="18">
        <f>(G824-AM824)/G824</f>
        <v/>
      </c>
      <c r="AX824" s="254">
        <f>IF(AND(ISNUMBER(E824),ISNUMBER(W824)),E824-W824,"")</f>
        <v/>
      </c>
      <c r="AY824" s="254">
        <f>IF(AND(ISNUMBER(I824),ISNUMBER(AF824)),I824-AF824,"")</f>
        <v/>
      </c>
      <c r="AZ824" s="254">
        <f>IF(AND(ISNUMBER(AM824),ISNUMBER(G824)),G824-AM824,"")</f>
        <v/>
      </c>
      <c r="BA824" s="254">
        <f>IF(AND(ISNUMBER(AC824),ISNUMBER(AE824)),AC824-AE824,"")</f>
        <v/>
      </c>
      <c r="BB824" s="254">
        <f>IF(AND(ISNUMBER(AL824),ISNUMBER(AM824)),AL824-AM824,"")</f>
        <v/>
      </c>
      <c r="BG824" s="6">
        <f>IF((AD824-AF824)/(AJ824/60)&lt;=0,"",(AD824-AF824)/(AJ824/60))</f>
        <v/>
      </c>
      <c r="BH824" s="6" t="n"/>
    </row>
    <row r="825" ht="15.75" customHeight="1">
      <c r="B825" t="n">
        <v>581</v>
      </c>
      <c r="D825" s="11" t="n">
        <v>46085</v>
      </c>
      <c r="E825" s="231" t="n">
        <v>581</v>
      </c>
      <c r="F825" s="3" t="n">
        <v>820</v>
      </c>
      <c r="G825" s="205">
        <f>IF(OR(S825="",S825=0),"",S825*2)</f>
        <v/>
      </c>
      <c r="K825" s="15">
        <f>AD825</f>
        <v/>
      </c>
      <c r="M825" s="10">
        <f>IF(OR(E825="",G825="",E825=0,G825=0),"",E825/G825)</f>
        <v/>
      </c>
      <c r="N825" s="9">
        <f>IF(OR(E825="",I825="",E825=0,I825=0),"",E825/(I825*2))</f>
        <v/>
      </c>
      <c r="O825" s="8">
        <f>IF(OR(I825="",G825="",I825=0,G825=0),"",I825*2/G825)</f>
        <v/>
      </c>
      <c r="AD825" s="5" t="n">
        <v>80</v>
      </c>
      <c r="AF825" s="21" t="n">
        <v>21</v>
      </c>
      <c r="AH825" s="231" t="n">
        <v>0</v>
      </c>
      <c r="AI825" s="231" t="n">
        <v>3.56</v>
      </c>
      <c r="AJ825" s="20" t="n">
        <v>0.4622685185185185</v>
      </c>
      <c r="AK825" s="2" t="n"/>
      <c r="AL825" s="2">
        <f>("19:10"-"18:30")*1440</f>
        <v/>
      </c>
      <c r="AM825" s="3">
        <f>180+60</f>
        <v/>
      </c>
      <c r="AP825" s="3" t="n">
        <v>40</v>
      </c>
      <c r="AR825" s="13">
        <f>AVERAGE(AO823:AO829)</f>
        <v/>
      </c>
      <c r="AT825" s="19" t="n"/>
      <c r="AU825" s="18">
        <f>(I825-AF825)/I825</f>
        <v/>
      </c>
      <c r="AV825" s="18">
        <f>AG825/(AD825-AF825)</f>
        <v/>
      </c>
      <c r="AW825" s="18">
        <f>(G825-AM825)/G825</f>
        <v/>
      </c>
      <c r="AX825" s="254">
        <f>IF(AND(ISNUMBER(E825),ISNUMBER(W825)),E825-W825,"")</f>
        <v/>
      </c>
      <c r="AY825" s="254">
        <f>IF(AND(ISNUMBER(I825),ISNUMBER(AF825)),I825-AF825,"")</f>
        <v/>
      </c>
      <c r="AZ825" s="254">
        <f>IF(AND(ISNUMBER(AM825),ISNUMBER(G825)),G825-AM825,"")</f>
        <v/>
      </c>
      <c r="BA825" s="254">
        <f>IF(AND(ISNUMBER(AC825),ISNUMBER(AE825)),AC825-AE825,"")</f>
        <v/>
      </c>
      <c r="BB825" s="254">
        <f>IF(AND(ISNUMBER(AL825),ISNUMBER(AM825)),AL825-AM825,"")</f>
        <v/>
      </c>
      <c r="BG825" s="6">
        <f>IF((AD825-AF825)/(AJ825/60)&lt;=0,"",(AD825-AF825)/(AJ825/60))</f>
        <v/>
      </c>
      <c r="BH825" s="6" t="n"/>
    </row>
    <row r="826" ht="15.75" customHeight="1">
      <c r="B826" t="n">
        <v>582</v>
      </c>
      <c r="D826" s="11" t="n">
        <v>46086</v>
      </c>
      <c r="E826" s="231" t="n">
        <v>582</v>
      </c>
      <c r="F826" s="3" t="n">
        <v>821</v>
      </c>
      <c r="G826" s="205">
        <f>IF(OR(S826="",S826=0),"",S826*2)</f>
        <v/>
      </c>
      <c r="K826" s="15">
        <f>AD826</f>
        <v/>
      </c>
      <c r="M826" s="10">
        <f>IF(OR(E826="",G826="",E826=0,G826=0),"",E826/G826)</f>
        <v/>
      </c>
      <c r="N826" s="9">
        <f>IF(OR(E826="",I826="",E826=0,I826=0),"",E826/(I826*2))</f>
        <v/>
      </c>
      <c r="O826" s="8">
        <f>IF(OR(I826="",G826="",I826=0,G826=0),"",I826*2/G826)</f>
        <v/>
      </c>
      <c r="AD826" s="5" t="n">
        <v>80</v>
      </c>
      <c r="AF826" s="21" t="n">
        <v>21</v>
      </c>
      <c r="AH826" s="231" t="n">
        <v>0</v>
      </c>
      <c r="AI826" s="231" t="n">
        <v>4.56</v>
      </c>
      <c r="AJ826" s="20" t="n">
        <v>0.4637731481481481</v>
      </c>
      <c r="AK826" s="2" t="n"/>
      <c r="AL826" s="2">
        <f>("19:10"-"18:30")*1440</f>
        <v/>
      </c>
      <c r="AM826" s="3">
        <f>180+60</f>
        <v/>
      </c>
      <c r="AP826" s="3" t="n">
        <v>40</v>
      </c>
      <c r="AR826" s="13">
        <f>AVERAGE(AO824:AO830)</f>
        <v/>
      </c>
      <c r="AT826" s="19" t="n"/>
      <c r="AU826" s="18">
        <f>(I826-AF826)/I826</f>
        <v/>
      </c>
      <c r="AV826" s="18">
        <f>AG826/(AD826-AF826)</f>
        <v/>
      </c>
      <c r="AW826" s="18">
        <f>(G826-AM826)/G826</f>
        <v/>
      </c>
      <c r="AX826" s="254">
        <f>IF(AND(ISNUMBER(E826),ISNUMBER(W826)),E826-W826,"")</f>
        <v/>
      </c>
      <c r="AY826" s="254">
        <f>IF(AND(ISNUMBER(I826),ISNUMBER(AF826)),I826-AF826,"")</f>
        <v/>
      </c>
      <c r="AZ826" s="254">
        <f>IF(AND(ISNUMBER(AM826),ISNUMBER(G826)),G826-AM826,"")</f>
        <v/>
      </c>
      <c r="BA826" s="254">
        <f>IF(AND(ISNUMBER(AC826),ISNUMBER(AE826)),AC826-AE826,"")</f>
        <v/>
      </c>
      <c r="BB826" s="254">
        <f>IF(AND(ISNUMBER(AL826),ISNUMBER(AM826)),AL826-AM826,"")</f>
        <v/>
      </c>
      <c r="BG826" s="6">
        <f>IF((AD826-AF826)/(AJ826/60)&lt;=0,"",(AD826-AF826)/(AJ826/60))</f>
        <v/>
      </c>
      <c r="BH826" s="6" t="n"/>
    </row>
    <row r="827" ht="15.75" customHeight="1">
      <c r="B827" t="n">
        <v>583</v>
      </c>
      <c r="D827" s="11" t="n">
        <v>46087</v>
      </c>
      <c r="E827" s="231" t="n">
        <v>583</v>
      </c>
      <c r="F827" s="3" t="n">
        <v>822</v>
      </c>
      <c r="G827" s="205">
        <f>IF(OR(S827="",S827=0),"",S827*2)</f>
        <v/>
      </c>
      <c r="K827" s="15">
        <f>AD827</f>
        <v/>
      </c>
      <c r="M827" s="10">
        <f>IF(OR(E827="",G827="",E827=0,G827=0),"",E827/G827)</f>
        <v/>
      </c>
      <c r="N827" s="9">
        <f>IF(OR(E827="",I827="",E827=0,I827=0),"",E827/(I827*2))</f>
        <v/>
      </c>
      <c r="O827" s="8">
        <f>IF(OR(I827="",G827="",I827=0,G827=0),"",I827*2/G827)</f>
        <v/>
      </c>
      <c r="AD827" s="5" t="n">
        <v>80</v>
      </c>
      <c r="AF827" s="21" t="n">
        <v>21</v>
      </c>
      <c r="AH827" s="231" t="n">
        <v>0</v>
      </c>
      <c r="AI827" s="231" t="n">
        <v>3.55</v>
      </c>
      <c r="AJ827" s="20" t="n">
        <v>0.4611111111111111</v>
      </c>
      <c r="AK827" s="2" t="n"/>
      <c r="AL827" s="2">
        <f>("19:10"-"18:30")*1440</f>
        <v/>
      </c>
      <c r="AM827" s="3">
        <f>180+60</f>
        <v/>
      </c>
      <c r="AP827" s="3" t="n">
        <v>40</v>
      </c>
      <c r="AR827" s="13">
        <f>AVERAGE(AO825:AO831)</f>
        <v/>
      </c>
      <c r="AT827" s="19" t="n"/>
      <c r="AU827" s="18">
        <f>(I827-AF827)/I827</f>
        <v/>
      </c>
      <c r="AV827" s="18">
        <f>AG827/(AD827-AF827)</f>
        <v/>
      </c>
      <c r="AW827" s="18">
        <f>(G827-AM827)/G827</f>
        <v/>
      </c>
      <c r="AX827" s="254">
        <f>IF(AND(ISNUMBER(E827),ISNUMBER(W827)),E827-W827,"")</f>
        <v/>
      </c>
      <c r="AY827" s="254">
        <f>IF(AND(ISNUMBER(I827),ISNUMBER(AF827)),I827-AF827,"")</f>
        <v/>
      </c>
      <c r="AZ827" s="254">
        <f>IF(AND(ISNUMBER(AM827),ISNUMBER(G827)),G827-AM827,"")</f>
        <v/>
      </c>
      <c r="BA827" s="254">
        <f>IF(AND(ISNUMBER(AC827),ISNUMBER(AE827)),AC827-AE827,"")</f>
        <v/>
      </c>
      <c r="BB827" s="254">
        <f>IF(AND(ISNUMBER(AL827),ISNUMBER(AM827)),AL827-AM827,"")</f>
        <v/>
      </c>
      <c r="BG827" s="6">
        <f>IF((AD827-AF827)/(AJ827/60)&lt;=0,"",(AD827-AF827)/(AJ827/60))</f>
        <v/>
      </c>
      <c r="BH827" s="6" t="n"/>
    </row>
    <row r="828" ht="15.75" customHeight="1">
      <c r="A828" s="260" t="inlineStr">
        <is>
          <t>B105</t>
        </is>
      </c>
      <c r="B828" s="260" t="n">
        <v>584</v>
      </c>
      <c r="D828" s="11" t="n">
        <v>46088</v>
      </c>
      <c r="E828" s="231" t="n">
        <v>584</v>
      </c>
      <c r="F828" s="3" t="n">
        <v>823</v>
      </c>
      <c r="G828" s="205">
        <f>IF(OR(S828="",S828=0),"",S828*2)</f>
        <v/>
      </c>
      <c r="K828" s="15">
        <f>AD828</f>
        <v/>
      </c>
      <c r="M828" s="10">
        <f>IF(OR(E828="",G828="",E828=0,G828=0),"",E828/G828)</f>
        <v/>
      </c>
      <c r="N828" s="9">
        <f>IF(OR(E828="",I828="",E828=0,I828=0),"",E828/(I828*2))</f>
        <v/>
      </c>
      <c r="O828" s="8">
        <f>IF(OR(I828="",G828="",I828=0,G828=0),"",I828*2/G828)</f>
        <v/>
      </c>
      <c r="AD828" s="5" t="n">
        <v>80</v>
      </c>
      <c r="AF828" s="21" t="n">
        <v>21</v>
      </c>
      <c r="AH828" s="231" t="n">
        <v>0</v>
      </c>
      <c r="AI828" s="231" t="n">
        <v>3.75</v>
      </c>
      <c r="AJ828" s="20" t="n">
        <v>0.4599537037037037</v>
      </c>
      <c r="AK828" s="2" t="n"/>
      <c r="AL828" s="2">
        <f>("19:10"-"18:30")*1440</f>
        <v/>
      </c>
      <c r="AM828" s="3">
        <f>180+60</f>
        <v/>
      </c>
      <c r="AP828" s="3" t="n">
        <v>40</v>
      </c>
      <c r="AR828" s="13">
        <f>AVERAGE(AO826:AO832)</f>
        <v/>
      </c>
      <c r="AT828" s="19" t="n"/>
      <c r="AU828" s="18">
        <f>(I828-AF828)/I828</f>
        <v/>
      </c>
      <c r="AV828" s="18">
        <f>AG828/(AD828-AF828)</f>
        <v/>
      </c>
      <c r="AW828" s="18">
        <f>(G828-AM828)/G828</f>
        <v/>
      </c>
      <c r="AX828" s="254">
        <f>IF(AND(ISNUMBER(E828),ISNUMBER(W828)),E828-W828,"")</f>
        <v/>
      </c>
      <c r="AY828" s="254">
        <f>IF(AND(ISNUMBER(I828),ISNUMBER(AF828)),I828-AF828,"")</f>
        <v/>
      </c>
      <c r="AZ828" s="254">
        <f>IF(AND(ISNUMBER(AM828),ISNUMBER(G828)),G828-AM828,"")</f>
        <v/>
      </c>
      <c r="BA828" s="254">
        <f>IF(AND(ISNUMBER(AC828),ISNUMBER(AE828)),AC828-AE828,"")</f>
        <v/>
      </c>
      <c r="BB828" s="254">
        <f>IF(AND(ISNUMBER(AL828),ISNUMBER(AM828)),AL828-AM828,"")</f>
        <v/>
      </c>
      <c r="BG828" s="6">
        <f>IF((AD828-AF828)/(AJ828/60)&lt;=0,"",(AD828-AF828)/(AJ828/60))</f>
        <v/>
      </c>
      <c r="BH828" s="6" t="n"/>
    </row>
    <row r="829" ht="15.75" customHeight="1">
      <c r="B829" t="n">
        <v>585</v>
      </c>
      <c r="D829" s="11" t="n">
        <v>46089</v>
      </c>
      <c r="E829" s="231" t="n">
        <v>585</v>
      </c>
      <c r="F829" s="3" t="n">
        <v>824</v>
      </c>
      <c r="G829" s="205">
        <f>IF(OR(S829="",S829=0),"",S829*2)</f>
        <v/>
      </c>
      <c r="K829" s="15">
        <f>AD829</f>
        <v/>
      </c>
      <c r="M829" s="10">
        <f>IF(OR(E829="",G829="",E829=0,G829=0),"",E829/G829)</f>
        <v/>
      </c>
      <c r="N829" s="9">
        <f>IF(OR(E829="",I829="",E829=0,I829=0),"",E829/(I829*2))</f>
        <v/>
      </c>
      <c r="O829" s="8">
        <f>IF(OR(I829="",G829="",I829=0,G829=0),"",I829*2/G829)</f>
        <v/>
      </c>
      <c r="AD829" s="5" t="n">
        <v>80</v>
      </c>
      <c r="AF829" s="21" t="n">
        <v>21</v>
      </c>
      <c r="AH829" s="231" t="n">
        <v>0</v>
      </c>
      <c r="AI829" s="231" t="n">
        <v>3.68</v>
      </c>
      <c r="AJ829" s="20" t="n">
        <v>0.4570601851851852</v>
      </c>
      <c r="AK829" s="2" t="n"/>
      <c r="AL829" s="2">
        <f>("19:10"-"18:30")*1440</f>
        <v/>
      </c>
      <c r="AM829" s="3">
        <f>180+60</f>
        <v/>
      </c>
      <c r="AP829" s="3" t="n">
        <v>40</v>
      </c>
      <c r="AR829" s="13">
        <f>AVERAGE(AO827:AO833)</f>
        <v/>
      </c>
      <c r="AT829" s="19" t="n"/>
      <c r="AU829" s="18">
        <f>(I829-AF829)/I829</f>
        <v/>
      </c>
      <c r="AV829" s="18">
        <f>AG829/(AD829-AF829)</f>
        <v/>
      </c>
      <c r="AW829" s="18">
        <f>(G829-AM829)/G829</f>
        <v/>
      </c>
      <c r="AX829" s="254">
        <f>IF(AND(ISNUMBER(E829),ISNUMBER(W829)),E829-W829,"")</f>
        <v/>
      </c>
      <c r="AY829" s="254">
        <f>IF(AND(ISNUMBER(I829),ISNUMBER(AF829)),I829-AF829,"")</f>
        <v/>
      </c>
      <c r="AZ829" s="254">
        <f>IF(AND(ISNUMBER(AM829),ISNUMBER(G829)),G829-AM829,"")</f>
        <v/>
      </c>
      <c r="BA829" s="254">
        <f>IF(AND(ISNUMBER(AC829),ISNUMBER(AE829)),AC829-AE829,"")</f>
        <v/>
      </c>
      <c r="BB829" s="254">
        <f>IF(AND(ISNUMBER(AL829),ISNUMBER(AM829)),AL829-AM829,"")</f>
        <v/>
      </c>
      <c r="BG829" s="6">
        <f>IF((AD829-AF829)/(AJ829/60)&lt;=0,"",(AD829-AF829)/(AJ829/60))</f>
        <v/>
      </c>
      <c r="BH829" s="6" t="n"/>
    </row>
    <row r="830" ht="15.75" customHeight="1">
      <c r="B830" t="n">
        <v>586</v>
      </c>
      <c r="D830" s="11" t="n">
        <v>46090</v>
      </c>
      <c r="E830" s="231" t="n">
        <v>586</v>
      </c>
      <c r="F830" s="3" t="n">
        <v>825</v>
      </c>
      <c r="G830" s="205">
        <f>IF(OR(S830="",S830=0),"",S830*2)</f>
        <v/>
      </c>
      <c r="K830" s="15">
        <f>AD830</f>
        <v/>
      </c>
      <c r="M830" s="10">
        <f>IF(OR(E830="",G830="",E830=0,G830=0),"",E830/G830)</f>
        <v/>
      </c>
      <c r="N830" s="9">
        <f>IF(OR(E830="",I830="",E830=0,I830=0),"",E830/(I830*2))</f>
        <v/>
      </c>
      <c r="O830" s="8">
        <f>IF(OR(I830="",G830="",I830=0,G830=0),"",I830*2/G830)</f>
        <v/>
      </c>
      <c r="AD830" s="5" t="n">
        <v>80</v>
      </c>
      <c r="AF830" s="21" t="n">
        <v>21</v>
      </c>
      <c r="AH830" s="231" t="n">
        <v>0</v>
      </c>
      <c r="AI830" s="231" t="n">
        <v>2.62</v>
      </c>
      <c r="AJ830" s="20" t="n">
        <v>0.453125</v>
      </c>
      <c r="AK830" s="2" t="n"/>
      <c r="AL830" s="2">
        <f>("19:10"-"18:30")*1440</f>
        <v/>
      </c>
      <c r="AM830" s="3">
        <f>180+60</f>
        <v/>
      </c>
      <c r="AP830" s="3" t="n">
        <v>40</v>
      </c>
      <c r="AR830" s="13">
        <f>AVERAGE(AO828:AO834)</f>
        <v/>
      </c>
      <c r="AT830" s="19" t="n"/>
      <c r="AU830" s="18">
        <f>(I830-AF830)/I830</f>
        <v/>
      </c>
      <c r="AV830" s="18">
        <f>AG830/(AD830-AF830)</f>
        <v/>
      </c>
      <c r="AW830" s="18">
        <f>(G830-AM830)/G830</f>
        <v/>
      </c>
      <c r="AX830" s="254">
        <f>IF(AND(ISNUMBER(E830),ISNUMBER(W830)),E830-W830,"")</f>
        <v/>
      </c>
      <c r="AY830" s="254">
        <f>IF(AND(ISNUMBER(I830),ISNUMBER(AF830)),I830-AF830,"")</f>
        <v/>
      </c>
      <c r="AZ830" s="254">
        <f>IF(AND(ISNUMBER(AM830),ISNUMBER(G830)),G830-AM830,"")</f>
        <v/>
      </c>
      <c r="BA830" s="254">
        <f>IF(AND(ISNUMBER(AC830),ISNUMBER(AE830)),AC830-AE830,"")</f>
        <v/>
      </c>
      <c r="BB830" s="254">
        <f>IF(AND(ISNUMBER(AL830),ISNUMBER(AM830)),AL830-AM830,"")</f>
        <v/>
      </c>
      <c r="BG830" s="6">
        <f>IF((AD830-AF830)/(AJ830/60)&lt;=0,"",(AD830-AF830)/(AJ830/60))</f>
        <v/>
      </c>
      <c r="BH830" s="6" t="n"/>
    </row>
    <row r="831" ht="15.75" customHeight="1">
      <c r="B831" t="n">
        <v>587</v>
      </c>
      <c r="D831" s="11" t="n">
        <v>46091</v>
      </c>
      <c r="E831" s="231" t="n">
        <v>587</v>
      </c>
      <c r="F831" s="3" t="n">
        <v>826</v>
      </c>
      <c r="G831" s="205">
        <f>IF(OR(S831="",S831=0),"",S831*2)</f>
        <v/>
      </c>
      <c r="K831" s="15">
        <f>AD831</f>
        <v/>
      </c>
      <c r="M831" s="10">
        <f>IF(OR(E831="",G831="",E831=0,G831=0),"",E831/G831)</f>
        <v/>
      </c>
      <c r="N831" s="9">
        <f>IF(OR(E831="",I831="",E831=0,I831=0),"",E831/(I831*2))</f>
        <v/>
      </c>
      <c r="O831" s="8">
        <f>IF(OR(I831="",G831="",I831=0,G831=0),"",I831*2/G831)</f>
        <v/>
      </c>
      <c r="AD831" s="5" t="n">
        <v>80</v>
      </c>
      <c r="AF831" s="21" t="n">
        <v>21</v>
      </c>
      <c r="AH831" s="231" t="n">
        <v>0</v>
      </c>
      <c r="AJ831" s="20" t="n">
        <v>0.475462962962963</v>
      </c>
      <c r="AK831" s="2" t="n"/>
      <c r="AL831" s="2">
        <f>("19:10"-"18:30")*1440</f>
        <v/>
      </c>
      <c r="AM831" s="3">
        <f>180+60</f>
        <v/>
      </c>
      <c r="AP831" s="3" t="n">
        <v>40</v>
      </c>
      <c r="AR831" s="13">
        <f>AVERAGE(AO829:AO835)</f>
        <v/>
      </c>
      <c r="AT831" s="19" t="n"/>
      <c r="AU831" s="18">
        <f>(I831-AF831)/I831</f>
        <v/>
      </c>
      <c r="AV831" s="18" t="n"/>
      <c r="AW831" s="18">
        <f>(G831-AM831)/G831</f>
        <v/>
      </c>
      <c r="AX831" s="254">
        <f>IF(AND(ISNUMBER(E831),ISNUMBER(W831)),E831-W831,"")</f>
        <v/>
      </c>
      <c r="AY831" s="254">
        <f>IF(AND(ISNUMBER(I831),ISNUMBER(AF831)),I831-AF831,"")</f>
        <v/>
      </c>
      <c r="AZ831" s="254">
        <f>IF(AND(ISNUMBER(AM831),ISNUMBER(G831)),G831-AM831,"")</f>
        <v/>
      </c>
      <c r="BA831" s="254">
        <f>IF(AND(ISNUMBER(AC831),ISNUMBER(AE831)),AC831-AE831,"")</f>
        <v/>
      </c>
      <c r="BB831" s="254">
        <f>IF(AND(ISNUMBER(AL831),ISNUMBER(AM831)),AL831-AM831,"")</f>
        <v/>
      </c>
      <c r="BG831" s="6">
        <f>IF((AD831-AF831)/(AJ831/60)&lt;=0,"",(AD831-AF831)/(AJ831/60))</f>
        <v/>
      </c>
      <c r="BH831" s="6" t="n"/>
    </row>
    <row r="832" ht="15.75" customHeight="1">
      <c r="B832" t="n">
        <v>588</v>
      </c>
      <c r="D832" s="11" t="n">
        <v>46092</v>
      </c>
      <c r="E832" s="231" t="n">
        <v>588</v>
      </c>
      <c r="F832" s="3" t="n">
        <v>827</v>
      </c>
      <c r="G832" s="205">
        <f>IF(OR(S832="",S832=0),"",S832*2)</f>
        <v/>
      </c>
      <c r="K832" s="15">
        <f>AD832</f>
        <v/>
      </c>
      <c r="M832" s="10">
        <f>IF(OR(E832="",G832="",E832=0,G832=0),"",E832/G832)</f>
        <v/>
      </c>
      <c r="N832" s="9">
        <f>IF(OR(E832="",I832="",E832=0,I832=0),"",E832/(I832*2))</f>
        <v/>
      </c>
      <c r="O832" s="8">
        <f>IF(OR(I832="",G832="",I832=0,G832=0),"",I832*2/G832)</f>
        <v/>
      </c>
      <c r="AD832" s="5" t="n">
        <v>80</v>
      </c>
      <c r="AF832" s="21" t="n">
        <v>21</v>
      </c>
      <c r="AH832" s="231" t="n">
        <v>0</v>
      </c>
      <c r="AI832" s="231" t="n">
        <v>5.96</v>
      </c>
      <c r="AJ832" s="20" t="n">
        <v>0.4606481481481481</v>
      </c>
      <c r="AK832" s="2" t="n"/>
      <c r="AL832" s="2">
        <f>("19:10"-"18:30")*1440</f>
        <v/>
      </c>
      <c r="AM832" s="3">
        <f>180+60</f>
        <v/>
      </c>
      <c r="AP832" s="3" t="n">
        <v>40</v>
      </c>
      <c r="AR832" s="13" t="n"/>
      <c r="AT832" s="19" t="n"/>
      <c r="AU832" s="18">
        <f>(I832-AF832)/I832</f>
        <v/>
      </c>
      <c r="AV832" s="18">
        <f>AG832/(AD832-AF832)</f>
        <v/>
      </c>
      <c r="AW832" s="18">
        <f>(G832-AM832)/G832</f>
        <v/>
      </c>
      <c r="AX832" s="254">
        <f>IF(AND(ISNUMBER(E832),ISNUMBER(W832)),E832-W832,"")</f>
        <v/>
      </c>
      <c r="AY832" s="254">
        <f>IF(AND(ISNUMBER(I832),ISNUMBER(AF832)),I832-AF832,"")</f>
        <v/>
      </c>
      <c r="AZ832" s="254">
        <f>IF(AND(ISNUMBER(AM832),ISNUMBER(G832)),G832-AM832,"")</f>
        <v/>
      </c>
      <c r="BA832" s="254">
        <f>IF(AND(ISNUMBER(AC832),ISNUMBER(AE832)),AC832-AE832,"")</f>
        <v/>
      </c>
      <c r="BB832" s="254">
        <f>IF(AND(ISNUMBER(AL832),ISNUMBER(AM832)),AL832-AM832,"")</f>
        <v/>
      </c>
      <c r="BG832" s="6">
        <f>IF((AD832-AF832)/(AJ832/60)&lt;=0,"",(AD832-AF832)/(AJ832/60))</f>
        <v/>
      </c>
      <c r="BH832" s="6" t="n"/>
    </row>
    <row r="833" ht="15.75" customHeight="1">
      <c r="B833" t="n">
        <v>589</v>
      </c>
      <c r="D833" s="11" t="n">
        <v>46093</v>
      </c>
      <c r="E833" s="231" t="n">
        <v>589</v>
      </c>
      <c r="F833" s="3" t="n">
        <v>828</v>
      </c>
      <c r="G833" s="205">
        <f>IF(OR(S833="",S833=0),"",S833*2)</f>
        <v/>
      </c>
      <c r="K833" s="15">
        <f>AD833</f>
        <v/>
      </c>
      <c r="M833" s="10">
        <f>IF(OR(E833="",G833="",E833=0,G833=0),"",E833/G833)</f>
        <v/>
      </c>
      <c r="N833" s="9">
        <f>IF(OR(E833="",I833="",E833=0,I833=0),"",E833/(I833*2))</f>
        <v/>
      </c>
      <c r="O833" s="8">
        <f>IF(OR(I833="",G833="",I833=0,G833=0),"",I833*2/G833)</f>
        <v/>
      </c>
      <c r="AL833" s="2">
        <f>("19:10"-"18:30")*1440</f>
        <v/>
      </c>
      <c r="AR833" s="13" t="n"/>
      <c r="AT833" s="156" t="n"/>
      <c r="AU833" s="155">
        <f>(I833-AF833)/I833</f>
        <v/>
      </c>
      <c r="AV833" s="155">
        <f>AG833/(AD833-AF833)</f>
        <v/>
      </c>
      <c r="AW833" s="155">
        <f>(G833-AM833)/G833</f>
        <v/>
      </c>
      <c r="AX833" s="254">
        <f>IF(AND(ISNUMBER(E833),ISNUMBER(W833)),E833-W833,"")</f>
        <v/>
      </c>
      <c r="AY833" s="254">
        <f>IF(AND(ISNUMBER(I833),ISNUMBER(AF833)),I833-AF833,"")</f>
        <v/>
      </c>
      <c r="AZ833" s="254">
        <f>IF(AND(ISNUMBER(AM833),ISNUMBER(G833)),G833-AM833,"")</f>
        <v/>
      </c>
      <c r="BA833" s="254">
        <f>IF(AND(ISNUMBER(AC833),ISNUMBER(AE833)),AC833-AE833,"")</f>
        <v/>
      </c>
      <c r="BB833" s="254">
        <f>IF(AND(ISNUMBER(AL833),ISNUMBER(AM833)),AL833-AM833,"")</f>
        <v/>
      </c>
      <c r="BG833" s="6">
        <f>IF((AD833-AF833)/(AJ833/60)&lt;=0,"",(AD833-AF833)/(AJ833/60))</f>
        <v/>
      </c>
      <c r="BH833" s="6">
        <f>IF(OR(AJ833=0,AP833=0,NOT(ISNUMBER(AD833)),NOT(ISNUMBER(AF833)),NOT(ISNUMBER(AJ833)),NOT(ISNUMBER(AP833))),"",
IFERROR(IF((AD833-AF833)/(AJ833/60)/(AP833/1000)&lt;=0,"",(AD833-AF833)/(AJ833/60)/(AP833/1000)),""))</f>
        <v/>
      </c>
    </row>
    <row r="834">
      <c r="K834" s="15">
        <f>AD834</f>
        <v/>
      </c>
      <c r="M834" s="10">
        <f>IF(OR(E834="",G834="",E834=0,G834=0),"",E834/G834)</f>
        <v/>
      </c>
      <c r="N834" s="9">
        <f>IF(OR(E834="",I834="",E834=0,I834=0),"",E834/(I834*2))</f>
        <v/>
      </c>
      <c r="O834" s="8">
        <f>IF(OR(I834="",G834="",I834=0,G834=0),"",I834*2/G834)</f>
        <v/>
      </c>
      <c r="AL834" s="14" t="n"/>
      <c r="AR834" s="13" t="n"/>
      <c r="BG834" s="6">
        <f>IF((AD834-AF834)/(AJ834/60)&lt;=0,"",(AD834-AF834)/(AJ834/60))</f>
        <v/>
      </c>
      <c r="BH834" s="6">
        <f>IF(OR(AJ834=0,AP834=0,NOT(ISNUMBER(AD834)),NOT(ISNUMBER(AF834)),NOT(ISNUMBER(AJ834)),NOT(ISNUMBER(AP834))),"",
IFERROR(IF((AD834-AF834)/(AJ834/60)/(AP834/1000)&lt;=0,"",(AD834-AF834)/(AJ834/60)/(AP834/1000)),""))</f>
        <v/>
      </c>
    </row>
    <row r="835">
      <c r="AL835" s="14" t="n"/>
      <c r="AR835" s="13" t="n"/>
      <c r="BG835" s="6">
        <f>IF((AD835-AF835)/(AJ835/60)&lt;=0,"",(AD835-AF835)/(AJ835/60))</f>
        <v/>
      </c>
    </row>
    <row r="836">
      <c r="AL836" s="14" t="n"/>
      <c r="AR836" s="13" t="n"/>
      <c r="BG836" s="6">
        <f>IF((AD836-AF836)/(AJ836/60)&lt;=0,"",(AD836-AF836)/(AJ836/60))</f>
        <v/>
      </c>
    </row>
    <row r="837">
      <c r="AL837" s="14" t="n"/>
      <c r="AR837" s="13" t="n"/>
      <c r="BG837" s="6">
        <f>IF((AD837-AF837)/(AJ837/60)&lt;=0,"",(AD837-AF837)/(AJ837/60))</f>
        <v/>
      </c>
    </row>
    <row r="838">
      <c r="AL838" s="14" t="n"/>
      <c r="AR838" s="13" t="n"/>
      <c r="BG838" s="6">
        <f>IF((AD838-AF838)/(AJ838/60)&lt;=0,"",(AD838-AF838)/(AJ838/60))</f>
        <v/>
      </c>
    </row>
    <row r="839">
      <c r="BG839" s="6">
        <f>IF((AD839-AF839)/(AJ839/60)&lt;=0,"",(AD839-AF839)/(AJ839/60))</f>
        <v/>
      </c>
    </row>
    <row r="840">
      <c r="BG840" s="6">
        <f>IF((AD840-AF840)/(AJ840/60)&lt;=0,"",(AD840-AF840)/(AJ840/60))</f>
        <v/>
      </c>
    </row>
    <row r="841">
      <c r="BG841" s="6">
        <f>IF((AD841-AF841)/(AJ841/60)&lt;=0,"",(AD841-AF841)/(AJ841/60))</f>
        <v/>
      </c>
    </row>
    <row r="842">
      <c r="BG842" s="6">
        <f>IF((AD842-AF842)/(AJ842/60)&lt;=0,"",(AD842-AF842)/(AJ842/60))</f>
        <v/>
      </c>
    </row>
    <row r="843">
      <c r="BG843" s="6">
        <f>IF((AD843-AF843)/(AJ843/60)&lt;=0,"",(AD843-AF843)/(AJ843/60))</f>
        <v/>
      </c>
    </row>
    <row r="844">
      <c r="BG844" s="6">
        <f>IF((AD844-AF844)/(AJ844/60)&lt;=0,"",(AD844-AF844)/(AJ844/60))</f>
        <v/>
      </c>
    </row>
    <row r="845">
      <c r="BG845" s="6">
        <f>IF((AD845-AF845)/(AJ845/60)&lt;=0,"",(AD845-AF845)/(AJ845/60))</f>
        <v/>
      </c>
    </row>
    <row r="846">
      <c r="BG846" s="6">
        <f>IF((AD846-AF846)/(AJ846/60)&lt;=0,"",(AD846-AF846)/(AJ846/60))</f>
        <v/>
      </c>
    </row>
    <row r="847">
      <c r="BG847" s="6">
        <f>IF((AD847-AF847)/(AJ847/60)&lt;=0,"",(AD847-AF847)/(AJ847/60))</f>
        <v/>
      </c>
    </row>
    <row r="848">
      <c r="BG848" s="6">
        <f>IF((AD848-AF848)/(AJ848/60)&lt;=0,"",(AD848-AF848)/(AJ848/60))</f>
        <v/>
      </c>
    </row>
    <row r="849">
      <c r="BG849" s="6">
        <f>IF((AD849-AF849)/(AJ849/60)&lt;=0,"",(AD849-AF849)/(AJ849/60))</f>
        <v/>
      </c>
    </row>
    <row r="850">
      <c r="BG850" s="6">
        <f>IF((AD850-AF850)/(AJ850/60)&lt;=0,"",(AD850-AF850)/(AJ850/60))</f>
        <v/>
      </c>
    </row>
    <row r="851">
      <c r="BG851" s="6">
        <f>IF((AD851-AF851)/(AJ851/60)&lt;=0,"",(AD851-AF851)/(AJ851/60))</f>
        <v/>
      </c>
    </row>
    <row r="852">
      <c r="BG852" s="6">
        <f>IF((AD852-AF852)/(AJ852/60)&lt;=0,"",(AD852-AF852)/(AJ852/60))</f>
        <v/>
      </c>
    </row>
    <row r="853">
      <c r="BG853" s="6">
        <f>IF((AD853-AF853)/(AJ853/60)&lt;=0,"",(AD853-AF853)/(AJ853/60))</f>
        <v/>
      </c>
    </row>
    <row r="854">
      <c r="BG854" s="6">
        <f>IF((AD854-AF854)/(AJ854/60)&lt;=0,"",(AD854-AF854)/(AJ854/60))</f>
        <v/>
      </c>
    </row>
    <row r="855">
      <c r="BG855" s="6">
        <f>IF((AD855-AF855)/(AJ855/60)&lt;=0,"",(AD855-AF855)/(AJ855/60))</f>
        <v/>
      </c>
    </row>
    <row r="856">
      <c r="BG856" s="6">
        <f>IF((AD856-AF856)/(AJ856/60)&lt;=0,"",(AD856-AF856)/(AJ856/60))</f>
        <v/>
      </c>
    </row>
    <row r="857">
      <c r="BG857" s="6">
        <f>IF((AD857-AF857)/(AJ857/60)&lt;=0,"",(AD857-AF857)/(AJ857/60))</f>
        <v/>
      </c>
    </row>
    <row r="858">
      <c r="BG858" s="6">
        <f>IF((AD858-AF858)/(AJ858/60)&lt;=0,"",(AD858-AF858)/(AJ858/60))</f>
        <v/>
      </c>
    </row>
    <row r="859">
      <c r="BG859" s="6">
        <f>IF((AD859-AF859)/(AJ859/60)&lt;=0,"",(AD859-AF859)/(AJ859/60))</f>
        <v/>
      </c>
    </row>
    <row r="860">
      <c r="BG860" s="6">
        <f>IF((AD860-AF860)/(AJ860/60)&lt;=0,"",(AD860-AF860)/(AJ860/60))</f>
        <v/>
      </c>
    </row>
    <row r="861">
      <c r="BG861" s="6">
        <f>IF((AD861-AF861)/(AJ861/60)&lt;=0,"",(AD861-AF861)/(AJ861/60))</f>
        <v/>
      </c>
    </row>
    <row r="862">
      <c r="BG862" s="6">
        <f>IF((AD862-AF862)/(AJ862/60)&lt;=0,"",(AD862-AF862)/(AJ862/60))</f>
        <v/>
      </c>
    </row>
    <row r="863">
      <c r="BG863" s="6">
        <f>IF((AD863-AF863)/(AJ863/60)&lt;=0,"",(AD863-AF863)/(AJ863/60))</f>
        <v/>
      </c>
    </row>
    <row r="864">
      <c r="BG864" s="6">
        <f>IF((AD864-AF864)/(AJ864/60)&lt;=0,"",(AD864-AF864)/(AJ864/60))</f>
        <v/>
      </c>
    </row>
    <row r="865">
      <c r="BG865" s="6">
        <f>IF((AD865-AF865)/(AJ865/60)&lt;=0,"",(AD865-AF865)/(AJ865/60))</f>
        <v/>
      </c>
    </row>
    <row r="866">
      <c r="BG866" s="6">
        <f>IF((AD866-AF866)/(AJ866/60)&lt;=0,"",(AD866-AF866)/(AJ866/60))</f>
        <v/>
      </c>
    </row>
    <row r="867">
      <c r="BG867" s="6">
        <f>IF((AD867-AF867)/(AJ867/60)&lt;=0,"",(AD867-AF867)/(AJ867/60))</f>
        <v/>
      </c>
    </row>
    <row r="868">
      <c r="BG868" s="6">
        <f>IF((AD868-AF868)/(AJ868/60)&lt;=0,"",(AD868-AF868)/(AJ868/60))</f>
        <v/>
      </c>
    </row>
    <row r="869">
      <c r="BG869" s="6">
        <f>IF((AD869-AF869)/(AJ869/60)&lt;=0,"",(AD869-AF869)/(AJ869/60))</f>
        <v/>
      </c>
    </row>
    <row r="870">
      <c r="BG870" s="6">
        <f>IF((AD870-AF870)/(AJ870/60)&lt;=0,"",(AD870-AF870)/(AJ870/60))</f>
        <v/>
      </c>
    </row>
    <row r="871">
      <c r="BG871" s="6">
        <f>IF((AD871-AF871)/(AJ871/60)&lt;=0,"",(AD871-AF871)/(AJ871/60))</f>
        <v/>
      </c>
    </row>
    <row r="872">
      <c r="BG872" s="6">
        <f>IF((AD872-AF872)/(AJ872/60)&lt;=0,"",(AD872-AF872)/(AJ872/60))</f>
        <v/>
      </c>
    </row>
    <row r="873">
      <c r="BG873" s="6">
        <f>IF((AD873-AF873)/(AJ873/60)&lt;=0,"",(AD873-AF873)/(AJ873/60))</f>
        <v/>
      </c>
    </row>
    <row r="874">
      <c r="BG874" s="6">
        <f>IF((AD874-AF874)/(AJ874/60)&lt;=0,"",(AD874-AF874)/(AJ874/60))</f>
        <v/>
      </c>
    </row>
    <row r="875">
      <c r="BG875" s="6">
        <f>IF((AD875-AF875)/(AJ875/60)&lt;=0,"",(AD875-AF875)/(AJ875/60))</f>
        <v/>
      </c>
    </row>
    <row r="876">
      <c r="BG876" s="6">
        <f>IF((AD876-AF876)/(AJ876/60)&lt;=0,"",(AD876-AF876)/(AJ876/60))</f>
        <v/>
      </c>
    </row>
    <row r="877">
      <c r="BG877" s="6">
        <f>IF((AD877-AF877)/(AJ877/60)&lt;=0,"",(AD877-AF877)/(AJ877/60))</f>
        <v/>
      </c>
    </row>
    <row r="878">
      <c r="BG878" s="6">
        <f>IF((AD878-AF878)/(AJ878/60)&lt;=0,"",(AD878-AF878)/(AJ878/60))</f>
        <v/>
      </c>
    </row>
    <row r="879">
      <c r="BG879" s="6">
        <f>IF((AD879-AF879)/(AJ879/60)&lt;=0,"",(AD879-AF879)/(AJ879/60))</f>
        <v/>
      </c>
    </row>
    <row r="880">
      <c r="BG880" s="6">
        <f>IF((AD880-AF880)/(AJ880/60)&lt;=0,"",(AD880-AF880)/(AJ880/60))</f>
        <v/>
      </c>
    </row>
    <row r="881">
      <c r="BG881" s="6">
        <f>IF((AD881-AF881)/(AJ881/60)&lt;=0,"",(AD881-AF881)/(AJ881/60))</f>
        <v/>
      </c>
    </row>
  </sheetData>
  <mergeCells count="7">
    <mergeCell ref="E1:J1"/>
    <mergeCell ref="AL1:AN1"/>
    <mergeCell ref="AC1:AK1"/>
    <mergeCell ref="AO1:AQ1"/>
    <mergeCell ref="AR1:AZ1"/>
    <mergeCell ref="N1:AB1"/>
    <mergeCell ref="K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Emily Karen Kin</dc:creator>
  <dcterms:created xmlns:dcterms="http://purl.org/dc/terms/" xmlns:xsi="http://www.w3.org/2001/XMLSchema-instance" xsi:type="dcterms:W3CDTF">2026-05-19T16:30:00Z</dcterms:created>
  <dcterms:modified xmlns:dcterms="http://purl.org/dc/terms/" xmlns:xsi="http://www.w3.org/2001/XMLSchema-instance" xsi:type="dcterms:W3CDTF">2026-05-21T21:18:48Z</dcterms:modified>
  <cp:lastModifiedBy>Emily Karen Kin</cp:lastModifiedBy>
</cp:coreProperties>
</file>