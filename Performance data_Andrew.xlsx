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OE_EERE_b1052_pjt2\"/>
    </mc:Choice>
  </mc:AlternateContent>
  <xr:revisionPtr revIDLastSave="0" documentId="13_ncr:1_{886A4E8C-C607-40D9-9343-EB08578FCB69}" xr6:coauthVersionLast="47" xr6:coauthVersionMax="47" xr10:uidLastSave="{00000000-0000-0000-0000-000000000000}"/>
  <bookViews>
    <workbookView xWindow="28860" yWindow="4128" windowWidth="37332" windowHeight="19476" xr2:uid="{6082446C-4A9C-4FF2-B307-4D432692E017}"/>
  </bookViews>
  <sheets>
    <sheet name="Daily monitoring final (3)" sheetId="1" r:id="rId1"/>
  </sheets>
  <externalReferences>
    <externalReference r:id="rId2"/>
    <externalReference r:id="rId3"/>
  </externalReferences>
  <definedNames>
    <definedName name="_xlchart.v1.0" hidden="1">'Daily monitoring final (3)'!$BD$126:$BD$190</definedName>
    <definedName name="_xlchart.v1.1" hidden="1">'Daily monitoring final (3)'!$BD$191:$BD$218</definedName>
    <definedName name="_xlchart.v1.10" hidden="1">'Daily monitoring final (3)'!#REF!</definedName>
    <definedName name="_xlchart.v1.11" hidden="1">'Daily monitoring final (3)'!#REF!</definedName>
    <definedName name="_xlchart.v1.12" hidden="1">'Daily monitoring final (3)'!#REF!</definedName>
    <definedName name="_xlchart.v1.13" hidden="1">'Daily monitoring final (3)'!#REF!</definedName>
    <definedName name="_xlchart.v1.14" hidden="1">'Daily monitoring final (3)'!#REF!</definedName>
    <definedName name="_xlchart.v1.15" hidden="1">'Daily monitoring final (3)'!#REF!</definedName>
    <definedName name="_xlchart.v1.16" hidden="1">'Daily monitoring final (3)'!#REF!</definedName>
    <definedName name="_xlchart.v1.17" hidden="1">'Daily monitoring final (3)'!#REF!</definedName>
    <definedName name="_xlchart.v1.2" hidden="1">'Daily monitoring final (3)'!$BD$66:$BD$125</definedName>
    <definedName name="_xlchart.v1.3" hidden="1">'Daily monitoring final (3)'!$BD$6:$BD$65</definedName>
    <definedName name="_xlchart.v1.4" hidden="1">'Daily monitoring final (3)'!#REF!</definedName>
    <definedName name="_xlchart.v1.5" hidden="1">'Daily monitoring final (3)'!#REF!</definedName>
    <definedName name="_xlchart.v1.6" hidden="1">'Daily monitoring final (3)'!#REF!</definedName>
    <definedName name="_xlchart.v1.7" hidden="1">'Daily monitoring final (3)'!#REF!</definedName>
    <definedName name="_xlchart.v1.8" hidden="1">'Daily monitoring final (3)'!#REF!</definedName>
    <definedName name="_xlchart.v1.9" hidden="1">'Daily monitoring final (3)'!#REF!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812" i="1" l="1"/>
  <c r="E813" i="1"/>
  <c r="E814" i="1"/>
  <c r="E815" i="1"/>
  <c r="E816" i="1"/>
  <c r="E817" i="1"/>
  <c r="E818" i="1"/>
  <c r="E819" i="1"/>
  <c r="E820" i="1"/>
  <c r="E821" i="1"/>
  <c r="AV821" i="1" s="1"/>
  <c r="E822" i="1"/>
  <c r="E823" i="1"/>
  <c r="AV823" i="1" s="1"/>
  <c r="E824" i="1"/>
  <c r="E825" i="1"/>
  <c r="E826" i="1"/>
  <c r="E827" i="1"/>
  <c r="E828" i="1"/>
  <c r="E829" i="1"/>
  <c r="AV829" i="1" s="1"/>
  <c r="E830" i="1"/>
  <c r="E831" i="1"/>
  <c r="AV831" i="1" s="1"/>
  <c r="E832" i="1"/>
  <c r="E833" i="1"/>
  <c r="AV833" i="1" s="1"/>
  <c r="E770" i="1"/>
  <c r="E771" i="1"/>
  <c r="E772" i="1"/>
  <c r="E773" i="1"/>
  <c r="E774" i="1"/>
  <c r="E775" i="1"/>
  <c r="E776" i="1"/>
  <c r="E777" i="1"/>
  <c r="AV777" i="1" s="1"/>
  <c r="E778" i="1"/>
  <c r="K778" i="1" s="1"/>
  <c r="E779" i="1"/>
  <c r="AV779" i="1" s="1"/>
  <c r="E780" i="1"/>
  <c r="AV780" i="1" s="1"/>
  <c r="E781" i="1"/>
  <c r="AV781" i="1" s="1"/>
  <c r="E782" i="1"/>
  <c r="E783" i="1"/>
  <c r="E784" i="1"/>
  <c r="E785" i="1"/>
  <c r="E786" i="1"/>
  <c r="E787" i="1"/>
  <c r="AV787" i="1" s="1"/>
  <c r="E788" i="1"/>
  <c r="E789" i="1"/>
  <c r="E790" i="1"/>
  <c r="AV790" i="1" s="1"/>
  <c r="E791" i="1"/>
  <c r="E792" i="1"/>
  <c r="E793" i="1"/>
  <c r="AV793" i="1" s="1"/>
  <c r="E794" i="1"/>
  <c r="E795" i="1"/>
  <c r="E796" i="1"/>
  <c r="E797" i="1"/>
  <c r="E798" i="1"/>
  <c r="E799" i="1"/>
  <c r="AV799" i="1" s="1"/>
  <c r="E800" i="1"/>
  <c r="E801" i="1"/>
  <c r="E802" i="1"/>
  <c r="E803" i="1"/>
  <c r="E804" i="1"/>
  <c r="AV804" i="1" s="1"/>
  <c r="E805" i="1"/>
  <c r="K805" i="1" s="1"/>
  <c r="E806" i="1"/>
  <c r="E807" i="1"/>
  <c r="E808" i="1"/>
  <c r="E809" i="1"/>
  <c r="E810" i="1"/>
  <c r="E811" i="1"/>
  <c r="E720" i="1"/>
  <c r="E721" i="1"/>
  <c r="E722" i="1"/>
  <c r="E723" i="1"/>
  <c r="E724" i="1"/>
  <c r="E725" i="1"/>
  <c r="E726" i="1"/>
  <c r="E727" i="1"/>
  <c r="AV727" i="1" s="1"/>
  <c r="E728" i="1"/>
  <c r="E729" i="1"/>
  <c r="AV729" i="1" s="1"/>
  <c r="E730" i="1"/>
  <c r="AV730" i="1" s="1"/>
  <c r="E731" i="1"/>
  <c r="AV731" i="1" s="1"/>
  <c r="E732" i="1"/>
  <c r="E733" i="1"/>
  <c r="E734" i="1"/>
  <c r="E735" i="1"/>
  <c r="E736" i="1"/>
  <c r="E737" i="1"/>
  <c r="AV737" i="1" s="1"/>
  <c r="E738" i="1"/>
  <c r="E739" i="1"/>
  <c r="AV739" i="1" s="1"/>
  <c r="E740" i="1"/>
  <c r="E741" i="1"/>
  <c r="AV741" i="1" s="1"/>
  <c r="E742" i="1"/>
  <c r="AV742" i="1" s="1"/>
  <c r="E743" i="1"/>
  <c r="AV743" i="1" s="1"/>
  <c r="E744" i="1"/>
  <c r="E745" i="1"/>
  <c r="E746" i="1"/>
  <c r="E747" i="1"/>
  <c r="E748" i="1"/>
  <c r="E749" i="1"/>
  <c r="E750" i="1"/>
  <c r="AV750" i="1" s="1"/>
  <c r="E751" i="1"/>
  <c r="E752" i="1"/>
  <c r="AV752" i="1" s="1"/>
  <c r="E753" i="1"/>
  <c r="E754" i="1"/>
  <c r="AV754" i="1" s="1"/>
  <c r="E755" i="1"/>
  <c r="AV755" i="1" s="1"/>
  <c r="E756" i="1"/>
  <c r="E757" i="1"/>
  <c r="E758" i="1"/>
  <c r="E759" i="1"/>
  <c r="E760" i="1"/>
  <c r="E761" i="1"/>
  <c r="E762" i="1"/>
  <c r="E763" i="1"/>
  <c r="E764" i="1"/>
  <c r="E765" i="1"/>
  <c r="AV765" i="1" s="1"/>
  <c r="E766" i="1"/>
  <c r="AV766" i="1" s="1"/>
  <c r="E767" i="1"/>
  <c r="E768" i="1"/>
  <c r="E769" i="1"/>
  <c r="E690" i="1"/>
  <c r="E691" i="1"/>
  <c r="E692" i="1"/>
  <c r="E693" i="1"/>
  <c r="E694" i="1"/>
  <c r="E695" i="1"/>
  <c r="E696" i="1"/>
  <c r="AV696" i="1" s="1"/>
  <c r="E697" i="1"/>
  <c r="E698" i="1"/>
  <c r="E699" i="1"/>
  <c r="E700" i="1"/>
  <c r="AV700" i="1" s="1"/>
  <c r="E701" i="1"/>
  <c r="AV701" i="1" s="1"/>
  <c r="E702" i="1"/>
  <c r="E703" i="1"/>
  <c r="E704" i="1"/>
  <c r="E705" i="1"/>
  <c r="E706" i="1"/>
  <c r="E707" i="1"/>
  <c r="E708" i="1"/>
  <c r="AV708" i="1" s="1"/>
  <c r="E709" i="1"/>
  <c r="E710" i="1"/>
  <c r="E711" i="1"/>
  <c r="E712" i="1"/>
  <c r="AV712" i="1" s="1"/>
  <c r="E713" i="1"/>
  <c r="AR713" i="1" s="1"/>
  <c r="E714" i="1"/>
  <c r="E715" i="1"/>
  <c r="E716" i="1"/>
  <c r="E717" i="1"/>
  <c r="E718" i="1"/>
  <c r="E719" i="1"/>
  <c r="E662" i="1"/>
  <c r="E663" i="1"/>
  <c r="E664" i="1"/>
  <c r="E665" i="1"/>
  <c r="E666" i="1"/>
  <c r="E667" i="1"/>
  <c r="E668" i="1"/>
  <c r="E669" i="1"/>
  <c r="E670" i="1"/>
  <c r="E671" i="1"/>
  <c r="E672" i="1"/>
  <c r="AV672" i="1" s="1"/>
  <c r="E673" i="1"/>
  <c r="AV673" i="1" s="1"/>
  <c r="E674" i="1"/>
  <c r="E675" i="1"/>
  <c r="E676" i="1"/>
  <c r="E677" i="1"/>
  <c r="E678" i="1"/>
  <c r="E679" i="1"/>
  <c r="AV679" i="1" s="1"/>
  <c r="E680" i="1"/>
  <c r="E681" i="1"/>
  <c r="E682" i="1"/>
  <c r="E683" i="1"/>
  <c r="E684" i="1"/>
  <c r="AV684" i="1" s="1"/>
  <c r="E685" i="1"/>
  <c r="AV685" i="1" s="1"/>
  <c r="E686" i="1"/>
  <c r="E687" i="1"/>
  <c r="E688" i="1"/>
  <c r="E689" i="1"/>
  <c r="E629" i="1"/>
  <c r="E630" i="1"/>
  <c r="E631" i="1"/>
  <c r="E632" i="1"/>
  <c r="E633" i="1"/>
  <c r="AV633" i="1" s="1"/>
  <c r="E634" i="1"/>
  <c r="E635" i="1"/>
  <c r="E636" i="1"/>
  <c r="AV636" i="1" s="1"/>
  <c r="E637" i="1"/>
  <c r="BA637" i="1" s="1"/>
  <c r="E638" i="1"/>
  <c r="E639" i="1"/>
  <c r="AV639" i="1" s="1"/>
  <c r="E640" i="1"/>
  <c r="E641" i="1"/>
  <c r="E642" i="1"/>
  <c r="E643" i="1"/>
  <c r="E644" i="1"/>
  <c r="E645" i="1"/>
  <c r="E646" i="1"/>
  <c r="E647" i="1"/>
  <c r="E648" i="1"/>
  <c r="E649" i="1"/>
  <c r="AV649" i="1" s="1"/>
  <c r="E650" i="1"/>
  <c r="AV650" i="1" s="1"/>
  <c r="E651" i="1"/>
  <c r="E652" i="1"/>
  <c r="E653" i="1"/>
  <c r="E654" i="1"/>
  <c r="E655" i="1"/>
  <c r="E656" i="1"/>
  <c r="E657" i="1"/>
  <c r="E658" i="1"/>
  <c r="E659" i="1"/>
  <c r="E660" i="1"/>
  <c r="E661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AV470" i="1" s="1"/>
  <c r="E471" i="1"/>
  <c r="E472" i="1"/>
  <c r="E473" i="1"/>
  <c r="AV473" i="1" s="1"/>
  <c r="E474" i="1"/>
  <c r="AV474" i="1" s="1"/>
  <c r="E475" i="1"/>
  <c r="AV475" i="1" s="1"/>
  <c r="E476" i="1"/>
  <c r="AV476" i="1" s="1"/>
  <c r="E477" i="1"/>
  <c r="E478" i="1"/>
  <c r="E479" i="1"/>
  <c r="E480" i="1"/>
  <c r="E481" i="1"/>
  <c r="E482" i="1"/>
  <c r="E483" i="1"/>
  <c r="E484" i="1"/>
  <c r="E485" i="1"/>
  <c r="E486" i="1"/>
  <c r="AV486" i="1" s="1"/>
  <c r="E487" i="1"/>
  <c r="AV487" i="1" s="1"/>
  <c r="E488" i="1"/>
  <c r="E489" i="1"/>
  <c r="E490" i="1"/>
  <c r="E491" i="1"/>
  <c r="E492" i="1"/>
  <c r="E493" i="1"/>
  <c r="E494" i="1"/>
  <c r="AV494" i="1" s="1"/>
  <c r="E495" i="1"/>
  <c r="E496" i="1"/>
  <c r="E497" i="1"/>
  <c r="E498" i="1"/>
  <c r="AV498" i="1" s="1"/>
  <c r="E499" i="1"/>
  <c r="AV499" i="1" s="1"/>
  <c r="E500" i="1"/>
  <c r="AV500" i="1" s="1"/>
  <c r="E501" i="1"/>
  <c r="E502" i="1"/>
  <c r="E503" i="1"/>
  <c r="E504" i="1"/>
  <c r="E505" i="1"/>
  <c r="E506" i="1"/>
  <c r="E507" i="1"/>
  <c r="E508" i="1"/>
  <c r="E509" i="1"/>
  <c r="E510" i="1"/>
  <c r="E511" i="1"/>
  <c r="E512" i="1"/>
  <c r="AV512" i="1" s="1"/>
  <c r="E513" i="1"/>
  <c r="E514" i="1"/>
  <c r="E515" i="1"/>
  <c r="E516" i="1"/>
  <c r="E517" i="1"/>
  <c r="E518" i="1"/>
  <c r="AV518" i="1" s="1"/>
  <c r="E519" i="1"/>
  <c r="E520" i="1"/>
  <c r="E521" i="1"/>
  <c r="AV521" i="1" s="1"/>
  <c r="E522" i="1"/>
  <c r="AV522" i="1" s="1"/>
  <c r="E523" i="1"/>
  <c r="AV523" i="1" s="1"/>
  <c r="E524" i="1"/>
  <c r="AV524" i="1" s="1"/>
  <c r="E525" i="1"/>
  <c r="E526" i="1"/>
  <c r="E527" i="1"/>
  <c r="E528" i="1"/>
  <c r="E529" i="1"/>
  <c r="E530" i="1"/>
  <c r="E531" i="1"/>
  <c r="E532" i="1"/>
  <c r="E533" i="1"/>
  <c r="E534" i="1"/>
  <c r="AV534" i="1" s="1"/>
  <c r="E535" i="1"/>
  <c r="E536" i="1"/>
  <c r="K536" i="1" s="1"/>
  <c r="E537" i="1"/>
  <c r="E538" i="1"/>
  <c r="E539" i="1"/>
  <c r="E540" i="1"/>
  <c r="E541" i="1"/>
  <c r="E542" i="1"/>
  <c r="E543" i="1"/>
  <c r="E544" i="1"/>
  <c r="E545" i="1"/>
  <c r="K545" i="1" s="1"/>
  <c r="E546" i="1"/>
  <c r="E547" i="1"/>
  <c r="AV547" i="1" s="1"/>
  <c r="E548" i="1"/>
  <c r="AV548" i="1" s="1"/>
  <c r="E549" i="1"/>
  <c r="E550" i="1"/>
  <c r="E551" i="1"/>
  <c r="E552" i="1"/>
  <c r="E553" i="1"/>
  <c r="E554" i="1"/>
  <c r="AV554" i="1" s="1"/>
  <c r="E555" i="1"/>
  <c r="E556" i="1"/>
  <c r="E557" i="1"/>
  <c r="AV557" i="1" s="1"/>
  <c r="E558" i="1"/>
  <c r="E559" i="1"/>
  <c r="AV559" i="1" s="1"/>
  <c r="E560" i="1"/>
  <c r="E561" i="1"/>
  <c r="E562" i="1"/>
  <c r="E563" i="1"/>
  <c r="E564" i="1"/>
  <c r="E565" i="1"/>
  <c r="E566" i="1"/>
  <c r="AV566" i="1" s="1"/>
  <c r="E567" i="1"/>
  <c r="E568" i="1"/>
  <c r="E569" i="1"/>
  <c r="AV569" i="1" s="1"/>
  <c r="E570" i="1"/>
  <c r="E571" i="1"/>
  <c r="AV571" i="1" s="1"/>
  <c r="E572" i="1"/>
  <c r="AV572" i="1" s="1"/>
  <c r="E573" i="1"/>
  <c r="E574" i="1"/>
  <c r="E575" i="1"/>
  <c r="E576" i="1"/>
  <c r="E577" i="1"/>
  <c r="E578" i="1"/>
  <c r="E579" i="1"/>
  <c r="E580" i="1"/>
  <c r="E581" i="1"/>
  <c r="E582" i="1"/>
  <c r="E583" i="1"/>
  <c r="AV583" i="1" s="1"/>
  <c r="E584" i="1"/>
  <c r="AV584" i="1" s="1"/>
  <c r="E585" i="1"/>
  <c r="E586" i="1"/>
  <c r="E587" i="1"/>
  <c r="E588" i="1"/>
  <c r="E589" i="1"/>
  <c r="E590" i="1"/>
  <c r="AV590" i="1" s="1"/>
  <c r="E591" i="1"/>
  <c r="E592" i="1"/>
  <c r="E593" i="1"/>
  <c r="AV593" i="1" s="1"/>
  <c r="E594" i="1"/>
  <c r="AV594" i="1" s="1"/>
  <c r="E595" i="1"/>
  <c r="AV595" i="1" s="1"/>
  <c r="E596" i="1"/>
  <c r="AV596" i="1" s="1"/>
  <c r="E597" i="1"/>
  <c r="E598" i="1"/>
  <c r="E599" i="1"/>
  <c r="E600" i="1"/>
  <c r="E601" i="1"/>
  <c r="E602" i="1"/>
  <c r="AV602" i="1" s="1"/>
  <c r="E603" i="1"/>
  <c r="E604" i="1"/>
  <c r="E605" i="1"/>
  <c r="E606" i="1"/>
  <c r="E607" i="1"/>
  <c r="AV607" i="1" s="1"/>
  <c r="E608" i="1"/>
  <c r="E609" i="1"/>
  <c r="E610" i="1"/>
  <c r="E611" i="1"/>
  <c r="E612" i="1"/>
  <c r="E613" i="1"/>
  <c r="E614" i="1"/>
  <c r="E615" i="1"/>
  <c r="E616" i="1"/>
  <c r="E617" i="1"/>
  <c r="AV617" i="1" s="1"/>
  <c r="E618" i="1"/>
  <c r="E619" i="1"/>
  <c r="E620" i="1"/>
  <c r="AV620" i="1" s="1"/>
  <c r="E621" i="1"/>
  <c r="E622" i="1"/>
  <c r="E623" i="1"/>
  <c r="E624" i="1"/>
  <c r="E625" i="1"/>
  <c r="E626" i="1"/>
  <c r="E627" i="1"/>
  <c r="E628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BA436" i="1" s="1"/>
  <c r="E437" i="1"/>
  <c r="AV437" i="1" s="1"/>
  <c r="E438" i="1"/>
  <c r="AR438" i="1" s="1"/>
  <c r="E439" i="1"/>
  <c r="E440" i="1"/>
  <c r="E441" i="1"/>
  <c r="E442" i="1"/>
  <c r="E443" i="1"/>
  <c r="E444" i="1"/>
  <c r="E445" i="1"/>
  <c r="E446" i="1"/>
  <c r="E447" i="1"/>
  <c r="AR447" i="1" s="1"/>
  <c r="E448" i="1"/>
  <c r="E449" i="1"/>
  <c r="E450" i="1"/>
  <c r="E451" i="1"/>
  <c r="E452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AR398" i="1" s="1"/>
  <c r="E399" i="1"/>
  <c r="E400" i="1"/>
  <c r="AV400" i="1" s="1"/>
  <c r="E401" i="1"/>
  <c r="E402" i="1"/>
  <c r="E403" i="1"/>
  <c r="E404" i="1"/>
  <c r="E405" i="1"/>
  <c r="E406" i="1"/>
  <c r="E407" i="1"/>
  <c r="E408" i="1"/>
  <c r="E409" i="1"/>
  <c r="E410" i="1"/>
  <c r="E411" i="1"/>
  <c r="E412" i="1"/>
  <c r="AV412" i="1" s="1"/>
  <c r="E413" i="1"/>
  <c r="E414" i="1"/>
  <c r="E415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K356" i="1" s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05" i="1"/>
  <c r="E306" i="1"/>
  <c r="E307" i="1"/>
  <c r="E308" i="1"/>
  <c r="E309" i="1"/>
  <c r="E310" i="1"/>
  <c r="E311" i="1"/>
  <c r="E312" i="1"/>
  <c r="E313" i="1"/>
  <c r="E314" i="1"/>
  <c r="E315" i="1"/>
  <c r="AR315" i="1" s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K337" i="1" s="1"/>
  <c r="E338" i="1"/>
  <c r="AV338" i="1" s="1"/>
  <c r="E339" i="1"/>
  <c r="E340" i="1"/>
  <c r="BA340" i="1" s="1"/>
  <c r="E341" i="1"/>
  <c r="E342" i="1"/>
  <c r="E343" i="1"/>
  <c r="E344" i="1"/>
  <c r="E241" i="1"/>
  <c r="E242" i="1"/>
  <c r="E243" i="1"/>
  <c r="E244" i="1"/>
  <c r="E245" i="1"/>
  <c r="AR245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BA261" i="1" s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L275" i="1" s="1"/>
  <c r="E276" i="1"/>
  <c r="AV276" i="1" s="1"/>
  <c r="E277" i="1"/>
  <c r="E278" i="1"/>
  <c r="E279" i="1"/>
  <c r="E280" i="1"/>
  <c r="E281" i="1"/>
  <c r="K281" i="1" s="1"/>
  <c r="E282" i="1"/>
  <c r="BA282" i="1" s="1"/>
  <c r="E283" i="1"/>
  <c r="E284" i="1"/>
  <c r="E285" i="1"/>
  <c r="E286" i="1"/>
  <c r="E287" i="1"/>
  <c r="E288" i="1"/>
  <c r="E289" i="1"/>
  <c r="E290" i="1"/>
  <c r="E291" i="1"/>
  <c r="E292" i="1"/>
  <c r="E293" i="1"/>
  <c r="E294" i="1"/>
  <c r="AR294" i="1" s="1"/>
  <c r="E295" i="1"/>
  <c r="E296" i="1"/>
  <c r="E297" i="1"/>
  <c r="E298" i="1"/>
  <c r="E299" i="1"/>
  <c r="E300" i="1"/>
  <c r="E301" i="1"/>
  <c r="E302" i="1"/>
  <c r="E303" i="1"/>
  <c r="E304" i="1"/>
  <c r="L305" i="1"/>
  <c r="K309" i="1"/>
  <c r="E28" i="1"/>
  <c r="E29" i="1"/>
  <c r="E30" i="1"/>
  <c r="E31" i="1"/>
  <c r="E32" i="1"/>
  <c r="E33" i="1"/>
  <c r="E34" i="1"/>
  <c r="E35" i="1"/>
  <c r="E36" i="1"/>
  <c r="BA36" i="1" s="1"/>
  <c r="E37" i="1"/>
  <c r="AR37" i="1" s="1"/>
  <c r="E38" i="1"/>
  <c r="AR38" i="1" s="1"/>
  <c r="E39" i="1"/>
  <c r="E40" i="1"/>
  <c r="E41" i="1"/>
  <c r="E42" i="1"/>
  <c r="E43" i="1"/>
  <c r="E44" i="1"/>
  <c r="E45" i="1"/>
  <c r="AV45" i="1" s="1"/>
  <c r="E46" i="1"/>
  <c r="E47" i="1"/>
  <c r="E48" i="1"/>
  <c r="AR48" i="1" s="1"/>
  <c r="E49" i="1"/>
  <c r="K49" i="1" s="1"/>
  <c r="E50" i="1"/>
  <c r="K50" i="1" s="1"/>
  <c r="E51" i="1"/>
  <c r="AR51" i="1" s="1"/>
  <c r="E52" i="1"/>
  <c r="E53" i="1"/>
  <c r="E54" i="1"/>
  <c r="E55" i="1"/>
  <c r="E56" i="1"/>
  <c r="E57" i="1"/>
  <c r="E58" i="1"/>
  <c r="E59" i="1"/>
  <c r="E60" i="1"/>
  <c r="AV60" i="1" s="1"/>
  <c r="E61" i="1"/>
  <c r="E62" i="1"/>
  <c r="AV62" i="1" s="1"/>
  <c r="E63" i="1"/>
  <c r="E64" i="1"/>
  <c r="E65" i="1"/>
  <c r="E66" i="1"/>
  <c r="E67" i="1"/>
  <c r="E68" i="1"/>
  <c r="E69" i="1"/>
  <c r="E70" i="1"/>
  <c r="E71" i="1"/>
  <c r="E72" i="1"/>
  <c r="E73" i="1"/>
  <c r="AR73" i="1" s="1"/>
  <c r="E74" i="1"/>
  <c r="K74" i="1" s="1"/>
  <c r="E75" i="1"/>
  <c r="E76" i="1"/>
  <c r="E77" i="1"/>
  <c r="E78" i="1"/>
  <c r="E79" i="1"/>
  <c r="E80" i="1"/>
  <c r="E81" i="1"/>
  <c r="L81" i="1" s="1"/>
  <c r="E82" i="1"/>
  <c r="E83" i="1"/>
  <c r="E84" i="1"/>
  <c r="E85" i="1"/>
  <c r="E86" i="1"/>
  <c r="E87" i="1"/>
  <c r="E88" i="1"/>
  <c r="E89" i="1"/>
  <c r="E90" i="1"/>
  <c r="E91" i="1"/>
  <c r="E92" i="1"/>
  <c r="E93" i="1"/>
  <c r="BA93" i="1" s="1"/>
  <c r="E94" i="1"/>
  <c r="E95" i="1"/>
  <c r="E96" i="1"/>
  <c r="E97" i="1"/>
  <c r="E98" i="1"/>
  <c r="AV98" i="1" s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K117" i="1" s="1"/>
  <c r="E118" i="1"/>
  <c r="E119" i="1"/>
  <c r="E120" i="1"/>
  <c r="E121" i="1"/>
  <c r="E122" i="1"/>
  <c r="E123" i="1"/>
  <c r="K123" i="1" s="1"/>
  <c r="E124" i="1"/>
  <c r="E125" i="1"/>
  <c r="E126" i="1"/>
  <c r="E127" i="1"/>
  <c r="E128" i="1"/>
  <c r="E129" i="1"/>
  <c r="E130" i="1"/>
  <c r="E131" i="1"/>
  <c r="E132" i="1"/>
  <c r="E133" i="1"/>
  <c r="E134" i="1"/>
  <c r="E135" i="1"/>
  <c r="K135" i="1" s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BA158" i="1" s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BA171" i="1" s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K192" i="1" s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BA205" i="1" s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K241" i="1"/>
  <c r="E7" i="1"/>
  <c r="E8" i="1"/>
  <c r="E9" i="1"/>
  <c r="E10" i="1"/>
  <c r="E11" i="1"/>
  <c r="E12" i="1"/>
  <c r="E13" i="1"/>
  <c r="AR13" i="1" s="1"/>
  <c r="E14" i="1"/>
  <c r="K14" i="1" s="1"/>
  <c r="E15" i="1"/>
  <c r="BA15" i="1" s="1"/>
  <c r="E16" i="1"/>
  <c r="AV16" i="1" s="1"/>
  <c r="E17" i="1"/>
  <c r="AR17" i="1" s="1"/>
  <c r="E18" i="1"/>
  <c r="E19" i="1"/>
  <c r="E20" i="1"/>
  <c r="E21" i="1"/>
  <c r="E22" i="1"/>
  <c r="E23" i="1"/>
  <c r="E24" i="1"/>
  <c r="E25" i="1"/>
  <c r="E26" i="1"/>
  <c r="E27" i="1"/>
  <c r="E6" i="1"/>
  <c r="K6" i="1" s="1"/>
  <c r="F18" i="1"/>
  <c r="AX486" i="1"/>
  <c r="AY486" i="1"/>
  <c r="AZ486" i="1"/>
  <c r="AX487" i="1"/>
  <c r="AY487" i="1"/>
  <c r="AZ487" i="1"/>
  <c r="AY491" i="1"/>
  <c r="AX492" i="1"/>
  <c r="AY492" i="1"/>
  <c r="AZ492" i="1"/>
  <c r="AX493" i="1"/>
  <c r="AY493" i="1"/>
  <c r="AZ493" i="1"/>
  <c r="AY494" i="1"/>
  <c r="AX496" i="1"/>
  <c r="AY496" i="1"/>
  <c r="AZ496" i="1"/>
  <c r="AX497" i="1"/>
  <c r="AY497" i="1"/>
  <c r="AZ497" i="1"/>
  <c r="AX498" i="1"/>
  <c r="AY498" i="1"/>
  <c r="AZ498" i="1"/>
  <c r="AX499" i="1"/>
  <c r="AY499" i="1"/>
  <c r="AZ499" i="1"/>
  <c r="AX500" i="1"/>
  <c r="AY500" i="1"/>
  <c r="AZ500" i="1"/>
  <c r="AX501" i="1"/>
  <c r="AY501" i="1"/>
  <c r="AZ501" i="1"/>
  <c r="AX502" i="1"/>
  <c r="AY502" i="1"/>
  <c r="AZ502" i="1"/>
  <c r="AX503" i="1"/>
  <c r="AY503" i="1"/>
  <c r="AZ503" i="1"/>
  <c r="AX504" i="1"/>
  <c r="AY504" i="1"/>
  <c r="AZ504" i="1"/>
  <c r="AX505" i="1"/>
  <c r="AY505" i="1"/>
  <c r="AZ505" i="1"/>
  <c r="AX506" i="1"/>
  <c r="AY506" i="1"/>
  <c r="AZ506" i="1"/>
  <c r="AX507" i="1"/>
  <c r="AY507" i="1"/>
  <c r="AZ507" i="1"/>
  <c r="AX508" i="1"/>
  <c r="AY508" i="1"/>
  <c r="AZ508" i="1"/>
  <c r="AX509" i="1"/>
  <c r="AY509" i="1"/>
  <c r="AZ509" i="1"/>
  <c r="AX510" i="1"/>
  <c r="AY510" i="1"/>
  <c r="AZ510" i="1"/>
  <c r="AX511" i="1"/>
  <c r="AY511" i="1"/>
  <c r="AZ511" i="1"/>
  <c r="AX512" i="1"/>
  <c r="AY512" i="1"/>
  <c r="AZ512" i="1"/>
  <c r="AX513" i="1"/>
  <c r="AY513" i="1"/>
  <c r="AZ513" i="1"/>
  <c r="AX514" i="1"/>
  <c r="AY514" i="1"/>
  <c r="AZ514" i="1"/>
  <c r="AX515" i="1"/>
  <c r="AY515" i="1"/>
  <c r="AZ515" i="1"/>
  <c r="AX517" i="1"/>
  <c r="AY517" i="1"/>
  <c r="AZ517" i="1"/>
  <c r="AX518" i="1"/>
  <c r="AY518" i="1"/>
  <c r="AZ518" i="1"/>
  <c r="AX519" i="1"/>
  <c r="AY519" i="1"/>
  <c r="AZ519" i="1"/>
  <c r="AX520" i="1"/>
  <c r="AY520" i="1"/>
  <c r="AZ520" i="1"/>
  <c r="AX521" i="1"/>
  <c r="AY521" i="1"/>
  <c r="AZ521" i="1"/>
  <c r="AX522" i="1"/>
  <c r="AY522" i="1"/>
  <c r="AZ522" i="1"/>
  <c r="AX523" i="1"/>
  <c r="AY523" i="1"/>
  <c r="AZ523" i="1"/>
  <c r="AX524" i="1"/>
  <c r="AY524" i="1"/>
  <c r="AZ524" i="1"/>
  <c r="AX525" i="1"/>
  <c r="AY525" i="1"/>
  <c r="AZ525" i="1"/>
  <c r="AX526" i="1"/>
  <c r="AY526" i="1"/>
  <c r="AZ526" i="1"/>
  <c r="AX527" i="1"/>
  <c r="AY527" i="1"/>
  <c r="AZ527" i="1"/>
  <c r="AX528" i="1"/>
  <c r="AY528" i="1"/>
  <c r="AZ528" i="1"/>
  <c r="AX529" i="1"/>
  <c r="AY529" i="1"/>
  <c r="AZ529" i="1"/>
  <c r="AX530" i="1"/>
  <c r="AY530" i="1"/>
  <c r="AZ530" i="1"/>
  <c r="AX531" i="1"/>
  <c r="AY531" i="1"/>
  <c r="AZ531" i="1"/>
  <c r="AX532" i="1"/>
  <c r="AY532" i="1"/>
  <c r="AZ532" i="1"/>
  <c r="AX533" i="1"/>
  <c r="AY533" i="1"/>
  <c r="AZ533" i="1"/>
  <c r="AX534" i="1"/>
  <c r="AY534" i="1"/>
  <c r="AZ534" i="1"/>
  <c r="AX535" i="1"/>
  <c r="AY535" i="1"/>
  <c r="AZ535" i="1"/>
  <c r="AX536" i="1"/>
  <c r="AY536" i="1"/>
  <c r="AZ536" i="1"/>
  <c r="AX537" i="1"/>
  <c r="AY537" i="1"/>
  <c r="AZ537" i="1"/>
  <c r="AX538" i="1"/>
  <c r="AY538" i="1"/>
  <c r="AZ538" i="1"/>
  <c r="AY539" i="1"/>
  <c r="AZ539" i="1"/>
  <c r="AX540" i="1"/>
  <c r="AY540" i="1"/>
  <c r="AZ540" i="1"/>
  <c r="AX541" i="1"/>
  <c r="AY541" i="1"/>
  <c r="AZ541" i="1"/>
  <c r="AX542" i="1"/>
  <c r="AY542" i="1"/>
  <c r="AZ542" i="1"/>
  <c r="AX543" i="1"/>
  <c r="AY543" i="1"/>
  <c r="AZ543" i="1"/>
  <c r="AY544" i="1"/>
  <c r="AZ544" i="1"/>
  <c r="AX545" i="1"/>
  <c r="AY545" i="1"/>
  <c r="AZ545" i="1"/>
  <c r="AY546" i="1"/>
  <c r="AZ546" i="1"/>
  <c r="AX547" i="1"/>
  <c r="AY547" i="1"/>
  <c r="AZ547" i="1"/>
  <c r="AX548" i="1"/>
  <c r="AY548" i="1"/>
  <c r="AZ548" i="1"/>
  <c r="AX549" i="1"/>
  <c r="AY549" i="1"/>
  <c r="AZ549" i="1"/>
  <c r="AX550" i="1"/>
  <c r="AY550" i="1"/>
  <c r="AZ550" i="1"/>
  <c r="AX551" i="1"/>
  <c r="AY551" i="1"/>
  <c r="AZ551" i="1"/>
  <c r="AX552" i="1"/>
  <c r="AY552" i="1"/>
  <c r="AZ552" i="1"/>
  <c r="AX553" i="1"/>
  <c r="AY553" i="1"/>
  <c r="AZ553" i="1"/>
  <c r="AX554" i="1"/>
  <c r="AY554" i="1"/>
  <c r="AZ554" i="1"/>
  <c r="AX556" i="1"/>
  <c r="AY556" i="1"/>
  <c r="AZ556" i="1"/>
  <c r="AX557" i="1"/>
  <c r="AY557" i="1"/>
  <c r="AZ557" i="1"/>
  <c r="AX558" i="1"/>
  <c r="AY558" i="1"/>
  <c r="AZ558" i="1"/>
  <c r="AX559" i="1"/>
  <c r="AY559" i="1"/>
  <c r="AZ559" i="1"/>
  <c r="AX560" i="1"/>
  <c r="AY560" i="1"/>
  <c r="AZ560" i="1"/>
  <c r="AX561" i="1"/>
  <c r="AY561" i="1"/>
  <c r="AZ561" i="1"/>
  <c r="AX562" i="1"/>
  <c r="AY562" i="1"/>
  <c r="AZ562" i="1"/>
  <c r="AX563" i="1"/>
  <c r="AY563" i="1"/>
  <c r="AZ563" i="1"/>
  <c r="AX564" i="1"/>
  <c r="AY564" i="1"/>
  <c r="AZ564" i="1"/>
  <c r="AX565" i="1"/>
  <c r="AY565" i="1"/>
  <c r="AZ565" i="1"/>
  <c r="AX566" i="1"/>
  <c r="AY566" i="1"/>
  <c r="AZ566" i="1"/>
  <c r="AX567" i="1"/>
  <c r="AY567" i="1"/>
  <c r="AZ567" i="1"/>
  <c r="AX569" i="1"/>
  <c r="AY569" i="1"/>
  <c r="AZ569" i="1"/>
  <c r="AX570" i="1"/>
  <c r="AY570" i="1"/>
  <c r="AZ570" i="1"/>
  <c r="AX571" i="1"/>
  <c r="AY571" i="1"/>
  <c r="AZ571" i="1"/>
  <c r="AX572" i="1"/>
  <c r="AY572" i="1"/>
  <c r="AZ572" i="1"/>
  <c r="AX573" i="1"/>
  <c r="AY573" i="1"/>
  <c r="AZ573" i="1"/>
  <c r="AX574" i="1"/>
  <c r="AY574" i="1"/>
  <c r="AZ574" i="1"/>
  <c r="AX575" i="1"/>
  <c r="AY575" i="1"/>
  <c r="AZ575" i="1"/>
  <c r="AX576" i="1"/>
  <c r="AY576" i="1"/>
  <c r="AZ576" i="1"/>
  <c r="AX577" i="1"/>
  <c r="AY577" i="1"/>
  <c r="AZ577" i="1"/>
  <c r="AX578" i="1"/>
  <c r="AY578" i="1"/>
  <c r="AZ578" i="1"/>
  <c r="AX579" i="1"/>
  <c r="AY579" i="1"/>
  <c r="AZ579" i="1"/>
  <c r="AX582" i="1"/>
  <c r="AY582" i="1"/>
  <c r="AZ582" i="1"/>
  <c r="AX583" i="1"/>
  <c r="AY583" i="1"/>
  <c r="AZ583" i="1"/>
  <c r="AX584" i="1"/>
  <c r="AY584" i="1"/>
  <c r="AZ584" i="1"/>
  <c r="AX585" i="1"/>
  <c r="AY585" i="1"/>
  <c r="AZ585" i="1"/>
  <c r="AY587" i="1"/>
  <c r="AZ587" i="1"/>
  <c r="AY588" i="1"/>
  <c r="AZ588" i="1"/>
  <c r="AX590" i="1"/>
  <c r="AY590" i="1"/>
  <c r="AZ590" i="1"/>
  <c r="AX591" i="1"/>
  <c r="AY591" i="1"/>
  <c r="AZ591" i="1"/>
  <c r="AX593" i="1"/>
  <c r="AY593" i="1"/>
  <c r="AZ593" i="1"/>
  <c r="AX595" i="1"/>
  <c r="AY595" i="1"/>
  <c r="AZ595" i="1"/>
  <c r="AX596" i="1"/>
  <c r="AY596" i="1"/>
  <c r="AZ596" i="1"/>
  <c r="AX597" i="1"/>
  <c r="AY597" i="1"/>
  <c r="AZ597" i="1"/>
  <c r="AX598" i="1"/>
  <c r="AY598" i="1"/>
  <c r="AZ598" i="1"/>
  <c r="AX600" i="1"/>
  <c r="AY600" i="1"/>
  <c r="AZ600" i="1"/>
  <c r="AX602" i="1"/>
  <c r="AY602" i="1"/>
  <c r="AZ602" i="1"/>
  <c r="AX603" i="1"/>
  <c r="AY603" i="1"/>
  <c r="AZ603" i="1"/>
  <c r="AX604" i="1"/>
  <c r="AY604" i="1"/>
  <c r="AZ604" i="1"/>
  <c r="AX605" i="1"/>
  <c r="AY605" i="1"/>
  <c r="AZ605" i="1"/>
  <c r="AX606" i="1"/>
  <c r="AY606" i="1"/>
  <c r="AZ606" i="1"/>
  <c r="AX607" i="1"/>
  <c r="AY607" i="1"/>
  <c r="AZ607" i="1"/>
  <c r="AX608" i="1"/>
  <c r="AY608" i="1"/>
  <c r="AZ608" i="1"/>
  <c r="AX609" i="1"/>
  <c r="AY609" i="1"/>
  <c r="AZ609" i="1"/>
  <c r="AX610" i="1"/>
  <c r="AY610" i="1"/>
  <c r="AZ610" i="1"/>
  <c r="AX611" i="1"/>
  <c r="AY611" i="1"/>
  <c r="AZ611" i="1"/>
  <c r="AX612" i="1"/>
  <c r="AY612" i="1"/>
  <c r="AZ612" i="1"/>
  <c r="AX614" i="1"/>
  <c r="AY614" i="1"/>
  <c r="AZ614" i="1"/>
  <c r="AX615" i="1"/>
  <c r="AY615" i="1"/>
  <c r="AZ615" i="1"/>
  <c r="AX616" i="1"/>
  <c r="AY616" i="1"/>
  <c r="AZ616" i="1"/>
  <c r="AX617" i="1"/>
  <c r="AY617" i="1"/>
  <c r="AZ617" i="1"/>
  <c r="AX618" i="1"/>
  <c r="AY618" i="1"/>
  <c r="AZ618" i="1"/>
  <c r="AX619" i="1"/>
  <c r="AY619" i="1"/>
  <c r="AZ619" i="1"/>
  <c r="AX620" i="1"/>
  <c r="AY620" i="1"/>
  <c r="AZ620" i="1"/>
  <c r="AX621" i="1"/>
  <c r="AY621" i="1"/>
  <c r="AZ621" i="1"/>
  <c r="AX624" i="1"/>
  <c r="AY624" i="1"/>
  <c r="AZ624" i="1"/>
  <c r="AX625" i="1"/>
  <c r="AY625" i="1"/>
  <c r="AZ625" i="1"/>
  <c r="AX627" i="1"/>
  <c r="AY627" i="1"/>
  <c r="AZ627" i="1"/>
  <c r="AX628" i="1"/>
  <c r="AY628" i="1"/>
  <c r="AZ628" i="1"/>
  <c r="AX629" i="1"/>
  <c r="AY629" i="1"/>
  <c r="AZ629" i="1"/>
  <c r="AX631" i="1"/>
  <c r="AY631" i="1"/>
  <c r="AZ631" i="1"/>
  <c r="AX632" i="1"/>
  <c r="AY632" i="1"/>
  <c r="AZ632" i="1"/>
  <c r="AX633" i="1"/>
  <c r="AY633" i="1"/>
  <c r="AZ633" i="1"/>
  <c r="AX634" i="1"/>
  <c r="AY634" i="1"/>
  <c r="AZ634" i="1"/>
  <c r="AX636" i="1"/>
  <c r="AY636" i="1"/>
  <c r="AZ636" i="1"/>
  <c r="AX637" i="1"/>
  <c r="AY637" i="1"/>
  <c r="AZ637" i="1"/>
  <c r="AX639" i="1"/>
  <c r="AY639" i="1"/>
  <c r="AZ639" i="1"/>
  <c r="AX640" i="1"/>
  <c r="AY640" i="1"/>
  <c r="AZ640" i="1"/>
  <c r="AX641" i="1"/>
  <c r="AY641" i="1"/>
  <c r="AZ641" i="1"/>
  <c r="AY642" i="1"/>
  <c r="AY644" i="1"/>
  <c r="AZ644" i="1"/>
  <c r="AX646" i="1"/>
  <c r="AY646" i="1"/>
  <c r="AZ646" i="1"/>
  <c r="AY647" i="1"/>
  <c r="AY648" i="1"/>
  <c r="AX649" i="1"/>
  <c r="AY649" i="1"/>
  <c r="AZ649" i="1"/>
  <c r="AX650" i="1"/>
  <c r="AY650" i="1"/>
  <c r="AZ650" i="1"/>
  <c r="AX651" i="1"/>
  <c r="AY651" i="1"/>
  <c r="AZ651" i="1"/>
  <c r="AX653" i="1"/>
  <c r="AX654" i="1"/>
  <c r="AY654" i="1"/>
  <c r="AZ654" i="1"/>
  <c r="AX656" i="1"/>
  <c r="AY656" i="1"/>
  <c r="AZ656" i="1"/>
  <c r="AX658" i="1"/>
  <c r="AY658" i="1"/>
  <c r="AZ658" i="1"/>
  <c r="AX659" i="1"/>
  <c r="AY659" i="1"/>
  <c r="AZ659" i="1"/>
  <c r="AX660" i="1"/>
  <c r="AY660" i="1"/>
  <c r="AZ660" i="1"/>
  <c r="AX661" i="1"/>
  <c r="AY661" i="1"/>
  <c r="AZ661" i="1"/>
  <c r="AX662" i="1"/>
  <c r="AY662" i="1"/>
  <c r="AZ662" i="1"/>
  <c r="AX663" i="1"/>
  <c r="AY663" i="1"/>
  <c r="AZ663" i="1"/>
  <c r="AX664" i="1"/>
  <c r="AY664" i="1"/>
  <c r="AZ664" i="1"/>
  <c r="AX667" i="1"/>
  <c r="AY667" i="1"/>
  <c r="AZ667" i="1"/>
  <c r="AX669" i="1"/>
  <c r="AY669" i="1"/>
  <c r="AZ669" i="1"/>
  <c r="AX670" i="1"/>
  <c r="AY670" i="1"/>
  <c r="AZ670" i="1"/>
  <c r="AX671" i="1"/>
  <c r="AY671" i="1"/>
  <c r="AZ671" i="1"/>
  <c r="AX672" i="1"/>
  <c r="AY672" i="1"/>
  <c r="AZ672" i="1"/>
  <c r="AY673" i="1"/>
  <c r="AX674" i="1"/>
  <c r="AY674" i="1"/>
  <c r="AZ674" i="1"/>
  <c r="AX675" i="1"/>
  <c r="AY675" i="1"/>
  <c r="AZ675" i="1"/>
  <c r="AX678" i="1"/>
  <c r="AY678" i="1"/>
  <c r="AZ678" i="1"/>
  <c r="AX679" i="1"/>
  <c r="AY679" i="1"/>
  <c r="AZ679" i="1"/>
  <c r="AX681" i="1"/>
  <c r="AY681" i="1"/>
  <c r="AZ681" i="1"/>
  <c r="AX682" i="1"/>
  <c r="AY682" i="1"/>
  <c r="AZ682" i="1"/>
  <c r="AX683" i="1"/>
  <c r="AY683" i="1"/>
  <c r="AZ683" i="1"/>
  <c r="AX684" i="1"/>
  <c r="AY684" i="1"/>
  <c r="AZ684" i="1"/>
  <c r="AX685" i="1"/>
  <c r="AX686" i="1"/>
  <c r="AY686" i="1"/>
  <c r="AZ686" i="1"/>
  <c r="AY688" i="1"/>
  <c r="AZ688" i="1"/>
  <c r="AX689" i="1"/>
  <c r="AY689" i="1"/>
  <c r="AZ689" i="1"/>
  <c r="AX690" i="1"/>
  <c r="AY690" i="1"/>
  <c r="AZ690" i="1"/>
  <c r="AX691" i="1"/>
  <c r="AY691" i="1"/>
  <c r="AZ691" i="1"/>
  <c r="AX694" i="1"/>
  <c r="AY694" i="1"/>
  <c r="AZ694" i="1"/>
  <c r="AX695" i="1"/>
  <c r="AY695" i="1"/>
  <c r="AZ695" i="1"/>
  <c r="AX696" i="1"/>
  <c r="AY696" i="1"/>
  <c r="AZ696" i="1"/>
  <c r="AX697" i="1"/>
  <c r="AY697" i="1"/>
  <c r="AZ697" i="1"/>
  <c r="AX698" i="1"/>
  <c r="AY698" i="1"/>
  <c r="AZ698" i="1"/>
  <c r="AX699" i="1"/>
  <c r="AY699" i="1"/>
  <c r="AZ699" i="1"/>
  <c r="AX700" i="1"/>
  <c r="AY700" i="1"/>
  <c r="AZ700" i="1"/>
  <c r="AX701" i="1"/>
  <c r="AY701" i="1"/>
  <c r="AZ701" i="1"/>
  <c r="AX702" i="1"/>
  <c r="AY702" i="1"/>
  <c r="AZ702" i="1"/>
  <c r="AX703" i="1"/>
  <c r="AY703" i="1"/>
  <c r="AZ703" i="1"/>
  <c r="AX704" i="1"/>
  <c r="AY704" i="1"/>
  <c r="AZ704" i="1"/>
  <c r="AX705" i="1"/>
  <c r="AY705" i="1"/>
  <c r="AZ705" i="1"/>
  <c r="AX706" i="1"/>
  <c r="AY706" i="1"/>
  <c r="AZ706" i="1"/>
  <c r="AX707" i="1"/>
  <c r="AY707" i="1"/>
  <c r="AZ707" i="1"/>
  <c r="AX708" i="1"/>
  <c r="AY708" i="1"/>
  <c r="AZ708" i="1"/>
  <c r="AX709" i="1"/>
  <c r="AY709" i="1"/>
  <c r="AZ709" i="1"/>
  <c r="AX710" i="1"/>
  <c r="AY710" i="1"/>
  <c r="AZ710" i="1"/>
  <c r="AX711" i="1"/>
  <c r="AY711" i="1"/>
  <c r="AZ711" i="1"/>
  <c r="AX712" i="1"/>
  <c r="AY712" i="1"/>
  <c r="AZ712" i="1"/>
  <c r="AX713" i="1"/>
  <c r="AY713" i="1"/>
  <c r="AZ713" i="1"/>
  <c r="AX714" i="1"/>
  <c r="AY714" i="1"/>
  <c r="AZ714" i="1"/>
  <c r="AX715" i="1"/>
  <c r="AY715" i="1"/>
  <c r="AZ715" i="1"/>
  <c r="AX716" i="1"/>
  <c r="AY716" i="1"/>
  <c r="AZ716" i="1"/>
  <c r="AX717" i="1"/>
  <c r="AY717" i="1"/>
  <c r="AZ717" i="1"/>
  <c r="AX718" i="1"/>
  <c r="AY718" i="1"/>
  <c r="AZ718" i="1"/>
  <c r="AX719" i="1"/>
  <c r="AY719" i="1"/>
  <c r="AZ719" i="1"/>
  <c r="AX720" i="1"/>
  <c r="AY720" i="1"/>
  <c r="AZ720" i="1"/>
  <c r="AX721" i="1"/>
  <c r="AY721" i="1"/>
  <c r="AZ721" i="1"/>
  <c r="AX722" i="1"/>
  <c r="AY722" i="1"/>
  <c r="AZ722" i="1"/>
  <c r="AX723" i="1"/>
  <c r="AY723" i="1"/>
  <c r="AZ723" i="1"/>
  <c r="AX724" i="1"/>
  <c r="AY724" i="1"/>
  <c r="AZ724" i="1"/>
  <c r="AX725" i="1"/>
  <c r="AY725" i="1"/>
  <c r="AZ725" i="1"/>
  <c r="AX727" i="1"/>
  <c r="AY727" i="1"/>
  <c r="AZ727" i="1"/>
  <c r="AX728" i="1"/>
  <c r="AY728" i="1"/>
  <c r="AZ728" i="1"/>
  <c r="AX729" i="1"/>
  <c r="AY729" i="1"/>
  <c r="AZ729" i="1"/>
  <c r="AX730" i="1"/>
  <c r="AY730" i="1"/>
  <c r="AZ730" i="1"/>
  <c r="AX731" i="1"/>
  <c r="AY731" i="1"/>
  <c r="AZ731" i="1"/>
  <c r="AX732" i="1"/>
  <c r="AY732" i="1"/>
  <c r="AZ732" i="1"/>
  <c r="AX733" i="1"/>
  <c r="AY733" i="1"/>
  <c r="AZ733" i="1"/>
  <c r="AX734" i="1"/>
  <c r="AY734" i="1"/>
  <c r="AZ734" i="1"/>
  <c r="AX735" i="1"/>
  <c r="AY735" i="1"/>
  <c r="AZ735" i="1"/>
  <c r="AX736" i="1"/>
  <c r="AY736" i="1"/>
  <c r="AZ736" i="1"/>
  <c r="AX737" i="1"/>
  <c r="AY737" i="1"/>
  <c r="AZ737" i="1"/>
  <c r="AX738" i="1"/>
  <c r="AY738" i="1"/>
  <c r="AZ738" i="1"/>
  <c r="AX739" i="1"/>
  <c r="AY739" i="1"/>
  <c r="AZ739" i="1"/>
  <c r="AX740" i="1"/>
  <c r="AY740" i="1"/>
  <c r="AZ740" i="1"/>
  <c r="AX741" i="1"/>
  <c r="AY741" i="1"/>
  <c r="AZ741" i="1"/>
  <c r="AX742" i="1"/>
  <c r="AY742" i="1"/>
  <c r="AZ742" i="1"/>
  <c r="AX743" i="1"/>
  <c r="AY743" i="1"/>
  <c r="AZ743" i="1"/>
  <c r="AX744" i="1"/>
  <c r="AY744" i="1"/>
  <c r="AZ744" i="1"/>
  <c r="AX745" i="1"/>
  <c r="AY745" i="1"/>
  <c r="AZ745" i="1"/>
  <c r="AX746" i="1"/>
  <c r="AY746" i="1"/>
  <c r="AZ746" i="1"/>
  <c r="AX747" i="1"/>
  <c r="AY747" i="1"/>
  <c r="AZ747" i="1"/>
  <c r="AX748" i="1"/>
  <c r="AY748" i="1"/>
  <c r="AZ748" i="1"/>
  <c r="AX750" i="1"/>
  <c r="AY750" i="1"/>
  <c r="AZ750" i="1"/>
  <c r="AX751" i="1"/>
  <c r="AY751" i="1"/>
  <c r="AZ751" i="1"/>
  <c r="AX752" i="1"/>
  <c r="AY752" i="1"/>
  <c r="AZ752" i="1"/>
  <c r="AX753" i="1"/>
  <c r="AY753" i="1"/>
  <c r="AZ753" i="1"/>
  <c r="AX754" i="1"/>
  <c r="AY754" i="1"/>
  <c r="AZ754" i="1"/>
  <c r="AX755" i="1"/>
  <c r="AY755" i="1"/>
  <c r="AZ755" i="1"/>
  <c r="AX756" i="1"/>
  <c r="AY756" i="1"/>
  <c r="AZ756" i="1"/>
  <c r="AX757" i="1"/>
  <c r="AY757" i="1"/>
  <c r="AZ757" i="1"/>
  <c r="AX758" i="1"/>
  <c r="AY758" i="1"/>
  <c r="AZ758" i="1"/>
  <c r="AX759" i="1"/>
  <c r="AY759" i="1"/>
  <c r="AZ759" i="1"/>
  <c r="AX760" i="1"/>
  <c r="AY760" i="1"/>
  <c r="AZ760" i="1"/>
  <c r="AX761" i="1"/>
  <c r="AY761" i="1"/>
  <c r="AZ761" i="1"/>
  <c r="AX762" i="1"/>
  <c r="AY762" i="1"/>
  <c r="AZ762" i="1"/>
  <c r="AX763" i="1"/>
  <c r="AY763" i="1"/>
  <c r="AZ763" i="1"/>
  <c r="AX765" i="1"/>
  <c r="AY765" i="1"/>
  <c r="AZ765" i="1"/>
  <c r="AX766" i="1"/>
  <c r="AX768" i="1"/>
  <c r="AX769" i="1"/>
  <c r="AX770" i="1"/>
  <c r="AY770" i="1"/>
  <c r="AZ770" i="1"/>
  <c r="AX771" i="1"/>
  <c r="AY771" i="1"/>
  <c r="AZ771" i="1"/>
  <c r="AX772" i="1"/>
  <c r="AY772" i="1"/>
  <c r="AZ772" i="1"/>
  <c r="AX773" i="1"/>
  <c r="AY773" i="1"/>
  <c r="AZ773" i="1"/>
  <c r="AX774" i="1"/>
  <c r="AX776" i="1"/>
  <c r="AY776" i="1"/>
  <c r="AZ776" i="1"/>
  <c r="AX777" i="1"/>
  <c r="AY777" i="1"/>
  <c r="AZ777" i="1"/>
  <c r="AX779" i="1"/>
  <c r="AY779" i="1"/>
  <c r="AZ779" i="1"/>
  <c r="AX780" i="1"/>
  <c r="AY780" i="1"/>
  <c r="AZ780" i="1"/>
  <c r="AX781" i="1"/>
  <c r="AY781" i="1"/>
  <c r="AZ781" i="1"/>
  <c r="AY782" i="1"/>
  <c r="AX785" i="1"/>
  <c r="AY785" i="1"/>
  <c r="AZ785" i="1"/>
  <c r="AX786" i="1"/>
  <c r="AY786" i="1"/>
  <c r="AZ786" i="1"/>
  <c r="AX788" i="1"/>
  <c r="AY788" i="1"/>
  <c r="AZ788" i="1"/>
  <c r="AX789" i="1"/>
  <c r="AY789" i="1"/>
  <c r="AZ789" i="1"/>
  <c r="AX790" i="1"/>
  <c r="AY790" i="1"/>
  <c r="AZ790" i="1"/>
  <c r="AX791" i="1"/>
  <c r="AY791" i="1"/>
  <c r="AZ791" i="1"/>
  <c r="AX792" i="1"/>
  <c r="AY792" i="1"/>
  <c r="AZ792" i="1"/>
  <c r="AX793" i="1"/>
  <c r="AY793" i="1"/>
  <c r="AZ793" i="1"/>
  <c r="AX794" i="1"/>
  <c r="AY794" i="1"/>
  <c r="AZ794" i="1"/>
  <c r="AX795" i="1"/>
  <c r="AY795" i="1"/>
  <c r="AZ795" i="1"/>
  <c r="AX796" i="1"/>
  <c r="AY796" i="1"/>
  <c r="AZ796" i="1"/>
  <c r="AX797" i="1"/>
  <c r="AY797" i="1"/>
  <c r="AZ797" i="1"/>
  <c r="AX798" i="1"/>
  <c r="AY798" i="1"/>
  <c r="AZ798" i="1"/>
  <c r="AX799" i="1"/>
  <c r="AY799" i="1"/>
  <c r="AZ799" i="1"/>
  <c r="AX800" i="1"/>
  <c r="AY800" i="1"/>
  <c r="AZ800" i="1"/>
  <c r="AX801" i="1"/>
  <c r="AY801" i="1"/>
  <c r="AZ801" i="1"/>
  <c r="AX803" i="1"/>
  <c r="AY803" i="1"/>
  <c r="AZ803" i="1"/>
  <c r="AX804" i="1"/>
  <c r="AY804" i="1"/>
  <c r="AZ804" i="1"/>
  <c r="AX805" i="1"/>
  <c r="AY805" i="1"/>
  <c r="AZ805" i="1"/>
  <c r="AX806" i="1"/>
  <c r="AY806" i="1"/>
  <c r="AZ806" i="1"/>
  <c r="AX807" i="1"/>
  <c r="AY807" i="1"/>
  <c r="AZ807" i="1"/>
  <c r="AX808" i="1"/>
  <c r="AY808" i="1"/>
  <c r="AZ808" i="1"/>
  <c r="AX809" i="1"/>
  <c r="AY809" i="1"/>
  <c r="AZ809" i="1"/>
  <c r="AX810" i="1"/>
  <c r="AY810" i="1"/>
  <c r="AZ810" i="1"/>
  <c r="AX811" i="1"/>
  <c r="AY811" i="1"/>
  <c r="AZ811" i="1"/>
  <c r="AX813" i="1"/>
  <c r="AY813" i="1"/>
  <c r="AZ813" i="1"/>
  <c r="AX814" i="1"/>
  <c r="AY814" i="1"/>
  <c r="AZ814" i="1"/>
  <c r="AX815" i="1"/>
  <c r="AY815" i="1"/>
  <c r="AZ815" i="1"/>
  <c r="AX816" i="1"/>
  <c r="AY816" i="1"/>
  <c r="AZ816" i="1"/>
  <c r="AX817" i="1"/>
  <c r="AY817" i="1"/>
  <c r="AZ817" i="1"/>
  <c r="AX818" i="1"/>
  <c r="AY818" i="1"/>
  <c r="AZ818" i="1"/>
  <c r="AY819" i="1"/>
  <c r="AX820" i="1"/>
  <c r="AY820" i="1"/>
  <c r="AZ820" i="1"/>
  <c r="AX821" i="1"/>
  <c r="AY821" i="1"/>
  <c r="AZ821" i="1"/>
  <c r="AX822" i="1"/>
  <c r="AY822" i="1"/>
  <c r="AZ822" i="1"/>
  <c r="AX823" i="1"/>
  <c r="AY823" i="1"/>
  <c r="AZ823" i="1"/>
  <c r="AX824" i="1"/>
  <c r="AY824" i="1"/>
  <c r="AZ824" i="1"/>
  <c r="AX825" i="1"/>
  <c r="AY825" i="1"/>
  <c r="AZ825" i="1"/>
  <c r="AX826" i="1"/>
  <c r="AY826" i="1"/>
  <c r="AZ826" i="1"/>
  <c r="AX827" i="1"/>
  <c r="AY827" i="1"/>
  <c r="AZ827" i="1"/>
  <c r="AX828" i="1"/>
  <c r="AY828" i="1"/>
  <c r="AZ828" i="1"/>
  <c r="AX829" i="1"/>
  <c r="AY829" i="1"/>
  <c r="AZ829" i="1"/>
  <c r="AX830" i="1"/>
  <c r="AY830" i="1"/>
  <c r="AZ830" i="1"/>
  <c r="AX831" i="1"/>
  <c r="AY831" i="1"/>
  <c r="AZ831" i="1"/>
  <c r="AX832" i="1"/>
  <c r="AY832" i="1"/>
  <c r="AZ832" i="1"/>
  <c r="AX833" i="1"/>
  <c r="AY833" i="1"/>
  <c r="AZ833" i="1"/>
  <c r="AX463" i="1"/>
  <c r="AY463" i="1"/>
  <c r="AZ463" i="1"/>
  <c r="AX464" i="1"/>
  <c r="AY464" i="1"/>
  <c r="AZ464" i="1"/>
  <c r="AW465" i="1"/>
  <c r="AX465" i="1"/>
  <c r="AY465" i="1"/>
  <c r="AZ465" i="1"/>
  <c r="AW466" i="1"/>
  <c r="AX466" i="1"/>
  <c r="AY466" i="1"/>
  <c r="AZ466" i="1"/>
  <c r="AW467" i="1"/>
  <c r="AX467" i="1"/>
  <c r="AY467" i="1"/>
  <c r="AZ467" i="1"/>
  <c r="AX468" i="1"/>
  <c r="AY468" i="1"/>
  <c r="AX469" i="1"/>
  <c r="AY469" i="1"/>
  <c r="AZ469" i="1"/>
  <c r="AX470" i="1"/>
  <c r="AY470" i="1"/>
  <c r="AZ470" i="1"/>
  <c r="AX471" i="1"/>
  <c r="AY471" i="1"/>
  <c r="AZ471" i="1"/>
  <c r="AX472" i="1"/>
  <c r="AY472" i="1"/>
  <c r="AZ472" i="1"/>
  <c r="AX474" i="1"/>
  <c r="AY474" i="1"/>
  <c r="AZ474" i="1"/>
  <c r="AX475" i="1"/>
  <c r="AY475" i="1"/>
  <c r="AZ475" i="1"/>
  <c r="AX476" i="1"/>
  <c r="AY476" i="1"/>
  <c r="AZ476" i="1"/>
  <c r="AX477" i="1"/>
  <c r="AY477" i="1"/>
  <c r="AZ477" i="1"/>
  <c r="AX478" i="1"/>
  <c r="AY478" i="1"/>
  <c r="AZ478" i="1"/>
  <c r="AX479" i="1"/>
  <c r="AY479" i="1"/>
  <c r="AZ479" i="1"/>
  <c r="AX480" i="1"/>
  <c r="AY480" i="1"/>
  <c r="AZ480" i="1"/>
  <c r="AX481" i="1"/>
  <c r="AY481" i="1"/>
  <c r="AZ481" i="1"/>
  <c r="AX482" i="1"/>
  <c r="AY482" i="1"/>
  <c r="AZ482" i="1"/>
  <c r="AX483" i="1"/>
  <c r="AY483" i="1"/>
  <c r="AZ483" i="1"/>
  <c r="AX485" i="1"/>
  <c r="AY485" i="1"/>
  <c r="AZ485" i="1"/>
  <c r="M272" i="1"/>
  <c r="M274" i="1"/>
  <c r="M275" i="1"/>
  <c r="M276" i="1"/>
  <c r="M281" i="1"/>
  <c r="M283" i="1"/>
  <c r="M284" i="1"/>
  <c r="M285" i="1"/>
  <c r="M286" i="1"/>
  <c r="M287" i="1"/>
  <c r="M288" i="1"/>
  <c r="M289" i="1"/>
  <c r="M290" i="1"/>
  <c r="M292" i="1"/>
  <c r="M293" i="1"/>
  <c r="M294" i="1"/>
  <c r="M295" i="1"/>
  <c r="M296" i="1"/>
  <c r="M297" i="1"/>
  <c r="M298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4" i="1"/>
  <c r="M315" i="1"/>
  <c r="M316" i="1"/>
  <c r="M317" i="1"/>
  <c r="M318" i="1"/>
  <c r="M320" i="1"/>
  <c r="M322" i="1"/>
  <c r="M323" i="1"/>
  <c r="M324" i="1"/>
  <c r="M325" i="1"/>
  <c r="M326" i="1"/>
  <c r="M327" i="1"/>
  <c r="M328" i="1"/>
  <c r="M329" i="1"/>
  <c r="M330" i="1"/>
  <c r="M331" i="1"/>
  <c r="M332" i="1"/>
  <c r="M334" i="1"/>
  <c r="M336" i="1"/>
  <c r="M337" i="1"/>
  <c r="M338" i="1"/>
  <c r="M339" i="1"/>
  <c r="M340" i="1"/>
  <c r="M341" i="1"/>
  <c r="M342" i="1"/>
  <c r="M343" i="1"/>
  <c r="M344" i="1"/>
  <c r="M345" i="1"/>
  <c r="M346" i="1"/>
  <c r="M348" i="1"/>
  <c r="M349" i="1"/>
  <c r="M350" i="1"/>
  <c r="M351" i="1"/>
  <c r="M352" i="1"/>
  <c r="M353" i="1"/>
  <c r="M354" i="1"/>
  <c r="M356" i="1"/>
  <c r="M357" i="1"/>
  <c r="M358" i="1"/>
  <c r="M359" i="1"/>
  <c r="M360" i="1"/>
  <c r="M361" i="1"/>
  <c r="M362" i="1"/>
  <c r="M364" i="1"/>
  <c r="M365" i="1"/>
  <c r="M366" i="1"/>
  <c r="M367" i="1"/>
  <c r="M368" i="1"/>
  <c r="M370" i="1"/>
  <c r="M371" i="1"/>
  <c r="M373" i="1"/>
  <c r="M374" i="1"/>
  <c r="M375" i="1"/>
  <c r="M378" i="1"/>
  <c r="M379" i="1"/>
  <c r="M380" i="1"/>
  <c r="M381" i="1"/>
  <c r="M383" i="1"/>
  <c r="M384" i="1"/>
  <c r="M385" i="1"/>
  <c r="M386" i="1"/>
  <c r="M387" i="1"/>
  <c r="M388" i="1"/>
  <c r="M389" i="1"/>
  <c r="M390" i="1"/>
  <c r="M391" i="1"/>
  <c r="M392" i="1"/>
  <c r="M393" i="1"/>
  <c r="M395" i="1"/>
  <c r="M396" i="1"/>
  <c r="M397" i="1"/>
  <c r="M398" i="1"/>
  <c r="M399" i="1"/>
  <c r="M401" i="1"/>
  <c r="M402" i="1"/>
  <c r="M403" i="1"/>
  <c r="M404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1" i="1"/>
  <c r="M432" i="1"/>
  <c r="M442" i="1"/>
  <c r="M443" i="1"/>
  <c r="M444" i="1"/>
  <c r="M445" i="1"/>
  <c r="M465" i="1"/>
  <c r="M466" i="1"/>
  <c r="M467" i="1"/>
  <c r="K40" i="1"/>
  <c r="K41" i="1"/>
  <c r="K44" i="1"/>
  <c r="K45" i="1"/>
  <c r="K46" i="1"/>
  <c r="K48" i="1"/>
  <c r="K52" i="1"/>
  <c r="M79" i="1"/>
  <c r="M80" i="1"/>
  <c r="K8" i="1"/>
  <c r="L8" i="1"/>
  <c r="M8" i="1"/>
  <c r="K9" i="1"/>
  <c r="L9" i="1"/>
  <c r="M9" i="1"/>
  <c r="K10" i="1"/>
  <c r="L10" i="1"/>
  <c r="M10" i="1"/>
  <c r="K12" i="1"/>
  <c r="L12" i="1"/>
  <c r="M12" i="1"/>
  <c r="K13" i="1"/>
  <c r="L13" i="1"/>
  <c r="M13" i="1"/>
  <c r="M14" i="1"/>
  <c r="M15" i="1"/>
  <c r="M16" i="1"/>
  <c r="M17" i="1"/>
  <c r="K20" i="1"/>
  <c r="L20" i="1"/>
  <c r="M20" i="1"/>
  <c r="K28" i="1"/>
  <c r="K29" i="1"/>
  <c r="K30" i="1"/>
  <c r="K31" i="1"/>
  <c r="K32" i="1"/>
  <c r="K35" i="1"/>
  <c r="AN5" i="1"/>
  <c r="AP5" i="1"/>
  <c r="AQ5" i="1"/>
  <c r="AR5" i="1"/>
  <c r="AS5" i="1"/>
  <c r="AT5" i="1"/>
  <c r="AU5" i="1"/>
  <c r="AV5" i="1"/>
  <c r="AW5" i="1"/>
  <c r="AX5" i="1"/>
  <c r="BE5" i="1"/>
  <c r="BF5" i="1"/>
  <c r="H6" i="1"/>
  <c r="I6" i="1"/>
  <c r="N6" i="1"/>
  <c r="T6" i="1"/>
  <c r="AC6" i="1" s="1"/>
  <c r="AE6" i="1"/>
  <c r="AL6" i="1" s="1"/>
  <c r="AI6" i="1"/>
  <c r="AM6" i="1"/>
  <c r="AN6" i="1"/>
  <c r="AP6" i="1"/>
  <c r="BF6" i="1" s="1"/>
  <c r="AQ6" i="1"/>
  <c r="AT6" i="1"/>
  <c r="BC6" i="1"/>
  <c r="BE6" i="1"/>
  <c r="H7" i="1"/>
  <c r="I7" i="1"/>
  <c r="N7" i="1"/>
  <c r="T7" i="1"/>
  <c r="AC7" i="1" s="1"/>
  <c r="AE7" i="1"/>
  <c r="AL7" i="1" s="1"/>
  <c r="AI7" i="1"/>
  <c r="AM7" i="1"/>
  <c r="AN7" i="1"/>
  <c r="AP7" i="1"/>
  <c r="BF7" i="1" s="1"/>
  <c r="AQ7" i="1"/>
  <c r="AT7" i="1"/>
  <c r="BC7" i="1"/>
  <c r="BE7" i="1"/>
  <c r="AC8" i="1"/>
  <c r="AL8" i="1"/>
  <c r="AN8" i="1"/>
  <c r="AP8" i="1"/>
  <c r="BF8" i="1" s="1"/>
  <c r="AQ8" i="1"/>
  <c r="AR8" i="1"/>
  <c r="AS8" i="1"/>
  <c r="AT8" i="1"/>
  <c r="AU8" i="1"/>
  <c r="AV8" i="1"/>
  <c r="AW8" i="1"/>
  <c r="AX8" i="1"/>
  <c r="BA8" i="1"/>
  <c r="BB8" i="1"/>
  <c r="BC8" i="1"/>
  <c r="BD8" i="1"/>
  <c r="BE8" i="1"/>
  <c r="AC9" i="1"/>
  <c r="AY9" i="1" s="1"/>
  <c r="AL9" i="1"/>
  <c r="AN9" i="1"/>
  <c r="AP9" i="1"/>
  <c r="BF9" i="1" s="1"/>
  <c r="AQ9" i="1"/>
  <c r="AR9" i="1"/>
  <c r="AS9" i="1"/>
  <c r="AT9" i="1"/>
  <c r="AU9" i="1"/>
  <c r="AV9" i="1"/>
  <c r="AW9" i="1"/>
  <c r="AX9" i="1"/>
  <c r="BA9" i="1"/>
  <c r="BB9" i="1"/>
  <c r="BC9" i="1"/>
  <c r="BD9" i="1"/>
  <c r="BE9" i="1"/>
  <c r="AC10" i="1"/>
  <c r="AL10" i="1"/>
  <c r="AN10" i="1"/>
  <c r="AP10" i="1"/>
  <c r="BF10" i="1" s="1"/>
  <c r="AQ10" i="1"/>
  <c r="AR10" i="1"/>
  <c r="AS10" i="1"/>
  <c r="AT10" i="1"/>
  <c r="AU10" i="1"/>
  <c r="AV10" i="1"/>
  <c r="AW10" i="1"/>
  <c r="AX10" i="1"/>
  <c r="BA10" i="1"/>
  <c r="BB10" i="1"/>
  <c r="BC10" i="1"/>
  <c r="BD10" i="1"/>
  <c r="BE10" i="1"/>
  <c r="H11" i="1"/>
  <c r="G11" i="1" s="1"/>
  <c r="S11" i="1"/>
  <c r="T11" i="1"/>
  <c r="AC11" i="1" s="1"/>
  <c r="W11" i="1"/>
  <c r="AD11" i="1"/>
  <c r="AE11" i="1"/>
  <c r="AL11" i="1" s="1"/>
  <c r="AG11" i="1"/>
  <c r="AM11" i="1"/>
  <c r="AN11" i="1"/>
  <c r="AP11" i="1"/>
  <c r="AQ11" i="1"/>
  <c r="AC12" i="1"/>
  <c r="AL12" i="1"/>
  <c r="AN12" i="1"/>
  <c r="AP12" i="1"/>
  <c r="BF12" i="1" s="1"/>
  <c r="AQ12" i="1"/>
  <c r="AR12" i="1"/>
  <c r="AS12" i="1"/>
  <c r="AT12" i="1"/>
  <c r="AU12" i="1"/>
  <c r="AV12" i="1"/>
  <c r="AW12" i="1"/>
  <c r="AX12" i="1"/>
  <c r="BA12" i="1"/>
  <c r="BB12" i="1"/>
  <c r="BC12" i="1"/>
  <c r="BD12" i="1"/>
  <c r="BE12" i="1"/>
  <c r="AC13" i="1"/>
  <c r="AG13" i="1"/>
  <c r="AL13" i="1"/>
  <c r="AN13" i="1"/>
  <c r="AP13" i="1"/>
  <c r="BF13" i="1" s="1"/>
  <c r="AQ13" i="1"/>
  <c r="AS13" i="1"/>
  <c r="AU13" i="1"/>
  <c r="AW13" i="1"/>
  <c r="AX13" i="1"/>
  <c r="BA13" i="1"/>
  <c r="BB13" i="1"/>
  <c r="BD13" i="1"/>
  <c r="BE13" i="1"/>
  <c r="AC14" i="1"/>
  <c r="AL14" i="1"/>
  <c r="AN14" i="1"/>
  <c r="AP14" i="1"/>
  <c r="BF14" i="1" s="1"/>
  <c r="AQ14" i="1"/>
  <c r="AS14" i="1"/>
  <c r="AT14" i="1"/>
  <c r="AU14" i="1"/>
  <c r="AV14" i="1"/>
  <c r="AW14" i="1"/>
  <c r="AX14" i="1"/>
  <c r="BA14" i="1"/>
  <c r="BB14" i="1"/>
  <c r="BC14" i="1"/>
  <c r="BD14" i="1"/>
  <c r="BE14" i="1"/>
  <c r="AC15" i="1"/>
  <c r="AL15" i="1"/>
  <c r="AN15" i="1"/>
  <c r="AQ15" i="1"/>
  <c r="AS15" i="1"/>
  <c r="AT15" i="1"/>
  <c r="AU15" i="1"/>
  <c r="AV15" i="1"/>
  <c r="AW15" i="1"/>
  <c r="AX15" i="1"/>
  <c r="BB15" i="1"/>
  <c r="BC15" i="1"/>
  <c r="BD15" i="1"/>
  <c r="BE15" i="1"/>
  <c r="AC16" i="1"/>
  <c r="AL16" i="1"/>
  <c r="AN16" i="1"/>
  <c r="AQ16" i="1"/>
  <c r="AR16" i="1"/>
  <c r="AS16" i="1"/>
  <c r="AT16" i="1"/>
  <c r="AU16" i="1"/>
  <c r="AW16" i="1"/>
  <c r="AX16" i="1"/>
  <c r="BB16" i="1"/>
  <c r="BC16" i="1"/>
  <c r="BD16" i="1"/>
  <c r="BE16" i="1"/>
  <c r="AC17" i="1"/>
  <c r="AY17" i="1" s="1"/>
  <c r="AG17" i="1"/>
  <c r="AT17" i="1" s="1"/>
  <c r="AL17" i="1"/>
  <c r="AZ17" i="1" s="1"/>
  <c r="AN17" i="1"/>
  <c r="AQ17" i="1"/>
  <c r="AS17" i="1"/>
  <c r="AU17" i="1"/>
  <c r="AW17" i="1"/>
  <c r="AX17" i="1"/>
  <c r="BB17" i="1"/>
  <c r="BD17" i="1"/>
  <c r="BE17" i="1"/>
  <c r="G18" i="1"/>
  <c r="N18" i="1"/>
  <c r="S18" i="1"/>
  <c r="T18" i="1"/>
  <c r="AC18" i="1" s="1"/>
  <c r="W18" i="1"/>
  <c r="AD18" i="1"/>
  <c r="BE18" i="1" s="1"/>
  <c r="AE18" i="1"/>
  <c r="AL18" i="1" s="1"/>
  <c r="AG18" i="1"/>
  <c r="AM18" i="1"/>
  <c r="AN18" i="1"/>
  <c r="AQ18" i="1"/>
  <c r="H19" i="1"/>
  <c r="N19" i="1"/>
  <c r="S19" i="1"/>
  <c r="T19" i="1"/>
  <c r="AC19" i="1" s="1"/>
  <c r="W19" i="1"/>
  <c r="AD19" i="1"/>
  <c r="AE19" i="1"/>
  <c r="AL19" i="1" s="1"/>
  <c r="AF19" i="1"/>
  <c r="AG19" i="1"/>
  <c r="AM19" i="1"/>
  <c r="AN19" i="1"/>
  <c r="AO19" i="1"/>
  <c r="AP16" i="1" s="1"/>
  <c r="BF16" i="1" s="1"/>
  <c r="AQ19" i="1"/>
  <c r="AN20" i="1"/>
  <c r="AQ20" i="1"/>
  <c r="AR20" i="1"/>
  <c r="AS20" i="1"/>
  <c r="AT20" i="1"/>
  <c r="AU20" i="1"/>
  <c r="AV20" i="1"/>
  <c r="AW20" i="1"/>
  <c r="AX20" i="1"/>
  <c r="AY20" i="1"/>
  <c r="AZ20" i="1"/>
  <c r="BA20" i="1"/>
  <c r="BB20" i="1"/>
  <c r="BC20" i="1"/>
  <c r="BD20" i="1"/>
  <c r="BE20" i="1"/>
  <c r="H21" i="1"/>
  <c r="G21" i="1" s="1"/>
  <c r="S21" i="1"/>
  <c r="AR21" i="1" s="1"/>
  <c r="T21" i="1"/>
  <c r="AC21" i="1" s="1"/>
  <c r="AD21" i="1"/>
  <c r="AE21" i="1"/>
  <c r="AL21" i="1" s="1"/>
  <c r="AM21" i="1"/>
  <c r="AN21" i="1"/>
  <c r="AQ21" i="1"/>
  <c r="F22" i="1"/>
  <c r="H22" i="1"/>
  <c r="N22" i="1"/>
  <c r="S22" i="1"/>
  <c r="T22" i="1"/>
  <c r="AC22" i="1" s="1"/>
  <c r="AD22" i="1"/>
  <c r="AE22" i="1"/>
  <c r="AL22" i="1" s="1"/>
  <c r="AF22" i="1"/>
  <c r="AM22" i="1"/>
  <c r="AN22" i="1"/>
  <c r="AQ22" i="1"/>
  <c r="AN23" i="1"/>
  <c r="AQ23" i="1"/>
  <c r="AR23" i="1"/>
  <c r="AV23" i="1"/>
  <c r="AY23" i="1"/>
  <c r="AZ23" i="1"/>
  <c r="BA23" i="1"/>
  <c r="AE24" i="1"/>
  <c r="AY24" i="1" s="1"/>
  <c r="AM24" i="1"/>
  <c r="AN24" i="1"/>
  <c r="AQ24" i="1"/>
  <c r="AR24" i="1"/>
  <c r="AV24" i="1"/>
  <c r="BA24" i="1"/>
  <c r="H25" i="1"/>
  <c r="N25" i="1"/>
  <c r="S25" i="1"/>
  <c r="T25" i="1"/>
  <c r="AC25" i="1" s="1"/>
  <c r="W25" i="1"/>
  <c r="AD25" i="1"/>
  <c r="I25" i="1" s="1"/>
  <c r="AE25" i="1"/>
  <c r="AL25" i="1" s="1"/>
  <c r="AF25" i="1"/>
  <c r="AM25" i="1"/>
  <c r="AN25" i="1"/>
  <c r="AQ25" i="1"/>
  <c r="N26" i="1"/>
  <c r="G26" i="1" s="1"/>
  <c r="S26" i="1"/>
  <c r="T26" i="1"/>
  <c r="AC26" i="1" s="1"/>
  <c r="W26" i="1"/>
  <c r="AD26" i="1"/>
  <c r="I26" i="1" s="1"/>
  <c r="AE26" i="1"/>
  <c r="AL26" i="1" s="1"/>
  <c r="AF26" i="1"/>
  <c r="AM26" i="1"/>
  <c r="AN26" i="1"/>
  <c r="AO26" i="1"/>
  <c r="AQ26" i="1"/>
  <c r="F27" i="1"/>
  <c r="H27" i="1"/>
  <c r="N27" i="1"/>
  <c r="S27" i="1"/>
  <c r="T27" i="1"/>
  <c r="AC27" i="1" s="1"/>
  <c r="W27" i="1"/>
  <c r="AD27" i="1"/>
  <c r="BE27" i="1" s="1"/>
  <c r="AE27" i="1"/>
  <c r="AM27" i="1"/>
  <c r="AN27" i="1"/>
  <c r="AQ27" i="1"/>
  <c r="AN28" i="1"/>
  <c r="AQ28" i="1"/>
  <c r="AR28" i="1"/>
  <c r="AU28" i="1"/>
  <c r="AV28" i="1"/>
  <c r="AX28" i="1"/>
  <c r="AY28" i="1"/>
  <c r="AZ28" i="1"/>
  <c r="BA28" i="1"/>
  <c r="BD28" i="1"/>
  <c r="AN29" i="1"/>
  <c r="AP29" i="1"/>
  <c r="AQ29" i="1"/>
  <c r="AR29" i="1"/>
  <c r="AU29" i="1"/>
  <c r="AV29" i="1"/>
  <c r="AX29" i="1"/>
  <c r="AY29" i="1"/>
  <c r="AZ29" i="1"/>
  <c r="BA29" i="1"/>
  <c r="BD29" i="1"/>
  <c r="AN30" i="1"/>
  <c r="AQ30" i="1"/>
  <c r="AR30" i="1"/>
  <c r="AU30" i="1"/>
  <c r="AV30" i="1"/>
  <c r="AX30" i="1"/>
  <c r="AY30" i="1"/>
  <c r="AZ30" i="1"/>
  <c r="BA30" i="1"/>
  <c r="BD30" i="1"/>
  <c r="AN31" i="1"/>
  <c r="AQ31" i="1"/>
  <c r="AR31" i="1"/>
  <c r="AU31" i="1"/>
  <c r="AV31" i="1"/>
  <c r="AX31" i="1"/>
  <c r="AY31" i="1"/>
  <c r="AZ31" i="1"/>
  <c r="BA31" i="1"/>
  <c r="BD31" i="1"/>
  <c r="AN32" i="1"/>
  <c r="AQ32" i="1"/>
  <c r="AR32" i="1"/>
  <c r="AU32" i="1"/>
  <c r="AV32" i="1"/>
  <c r="AX32" i="1"/>
  <c r="AY32" i="1"/>
  <c r="AZ32" i="1"/>
  <c r="BA32" i="1"/>
  <c r="BD32" i="1"/>
  <c r="F33" i="1"/>
  <c r="G33" i="1"/>
  <c r="N33" i="1"/>
  <c r="S33" i="1"/>
  <c r="T33" i="1"/>
  <c r="AC33" i="1" s="1"/>
  <c r="W33" i="1"/>
  <c r="AD33" i="1"/>
  <c r="AE33" i="1"/>
  <c r="AM33" i="1"/>
  <c r="AN33" i="1"/>
  <c r="AQ33" i="1"/>
  <c r="G34" i="1"/>
  <c r="S34" i="1"/>
  <c r="T34" i="1"/>
  <c r="AC34" i="1" s="1"/>
  <c r="W34" i="1"/>
  <c r="AD34" i="1"/>
  <c r="AE34" i="1"/>
  <c r="AL34" i="1" s="1"/>
  <c r="AF34" i="1"/>
  <c r="AM34" i="1"/>
  <c r="AN34" i="1"/>
  <c r="AO34" i="1"/>
  <c r="AQ34" i="1"/>
  <c r="AN35" i="1"/>
  <c r="AQ35" i="1"/>
  <c r="AR35" i="1"/>
  <c r="AU35" i="1"/>
  <c r="AV35" i="1"/>
  <c r="AX35" i="1"/>
  <c r="AY35" i="1"/>
  <c r="AZ35" i="1"/>
  <c r="BA35" i="1"/>
  <c r="BD35" i="1"/>
  <c r="H36" i="1"/>
  <c r="N36" i="1"/>
  <c r="T36" i="1"/>
  <c r="AC36" i="1" s="1"/>
  <c r="AD36" i="1"/>
  <c r="AE36" i="1"/>
  <c r="AL36" i="1" s="1"/>
  <c r="AM36" i="1"/>
  <c r="AN36" i="1"/>
  <c r="AQ36" i="1"/>
  <c r="AR36" i="1"/>
  <c r="AV36" i="1"/>
  <c r="AN37" i="1"/>
  <c r="AQ37" i="1"/>
  <c r="AU37" i="1"/>
  <c r="AX37" i="1"/>
  <c r="AY37" i="1"/>
  <c r="AZ37" i="1"/>
  <c r="BA37" i="1"/>
  <c r="BD37" i="1"/>
  <c r="AN38" i="1"/>
  <c r="AQ38" i="1"/>
  <c r="AU38" i="1"/>
  <c r="AX38" i="1"/>
  <c r="AY38" i="1"/>
  <c r="AZ38" i="1"/>
  <c r="BD38" i="1"/>
  <c r="F39" i="1"/>
  <c r="H39" i="1"/>
  <c r="N39" i="1"/>
  <c r="S39" i="1"/>
  <c r="T39" i="1"/>
  <c r="AC39" i="1" s="1"/>
  <c r="W39" i="1"/>
  <c r="AD39" i="1"/>
  <c r="AE39" i="1"/>
  <c r="AL39" i="1" s="1"/>
  <c r="AF39" i="1"/>
  <c r="AM39" i="1"/>
  <c r="AN39" i="1"/>
  <c r="AO39" i="1"/>
  <c r="AP37" i="1" s="1"/>
  <c r="AQ39" i="1"/>
  <c r="AC40" i="1"/>
  <c r="AD40" i="1"/>
  <c r="I40" i="1" s="1"/>
  <c r="L40" i="1" s="1"/>
  <c r="AE40" i="1"/>
  <c r="AL40" i="1" s="1"/>
  <c r="AM40" i="1"/>
  <c r="AN40" i="1"/>
  <c r="AQ40" i="1"/>
  <c r="AR40" i="1"/>
  <c r="AV40" i="1"/>
  <c r="BA40" i="1"/>
  <c r="AC41" i="1"/>
  <c r="AD41" i="1"/>
  <c r="BC41" i="1" s="1"/>
  <c r="AE41" i="1"/>
  <c r="AM41" i="1"/>
  <c r="BD41" i="1" s="1"/>
  <c r="AN41" i="1"/>
  <c r="AQ41" i="1"/>
  <c r="AR41" i="1"/>
  <c r="AV41" i="1"/>
  <c r="BA41" i="1"/>
  <c r="G42" i="1"/>
  <c r="I42" i="1"/>
  <c r="S42" i="1"/>
  <c r="AM42" i="1"/>
  <c r="AN42" i="1"/>
  <c r="AP42" i="1"/>
  <c r="BF42" i="1" s="1"/>
  <c r="AQ42" i="1"/>
  <c r="AT42" i="1"/>
  <c r="AY42" i="1"/>
  <c r="BC42" i="1"/>
  <c r="BE42" i="1"/>
  <c r="S43" i="1"/>
  <c r="W43" i="1"/>
  <c r="AC43" i="1"/>
  <c r="AD43" i="1"/>
  <c r="BC43" i="1" s="1"/>
  <c r="AE43" i="1"/>
  <c r="AL43" i="1" s="1"/>
  <c r="AM43" i="1"/>
  <c r="AX43" i="1" s="1"/>
  <c r="AN43" i="1"/>
  <c r="AQ43" i="1"/>
  <c r="AN44" i="1"/>
  <c r="AQ44" i="1"/>
  <c r="AR44" i="1"/>
  <c r="AU44" i="1"/>
  <c r="AV44" i="1"/>
  <c r="AX44" i="1"/>
  <c r="AY44" i="1"/>
  <c r="AZ44" i="1"/>
  <c r="BA44" i="1"/>
  <c r="BD44" i="1"/>
  <c r="AN45" i="1"/>
  <c r="AQ45" i="1"/>
  <c r="AR45" i="1"/>
  <c r="AU45" i="1"/>
  <c r="AX45" i="1"/>
  <c r="AY45" i="1"/>
  <c r="AZ45" i="1"/>
  <c r="BD45" i="1"/>
  <c r="AN46" i="1"/>
  <c r="AQ46" i="1"/>
  <c r="AR46" i="1"/>
  <c r="AU46" i="1"/>
  <c r="AV46" i="1"/>
  <c r="AX46" i="1"/>
  <c r="AY46" i="1"/>
  <c r="AZ46" i="1"/>
  <c r="BA46" i="1"/>
  <c r="BD46" i="1"/>
  <c r="H47" i="1"/>
  <c r="N47" i="1"/>
  <c r="S47" i="1"/>
  <c r="T47" i="1"/>
  <c r="AC47" i="1" s="1"/>
  <c r="W47" i="1"/>
  <c r="AD47" i="1"/>
  <c r="AE47" i="1"/>
  <c r="AF47" i="1"/>
  <c r="AM47" i="1"/>
  <c r="AN47" i="1"/>
  <c r="AO47" i="1"/>
  <c r="AQ47" i="1"/>
  <c r="AC48" i="1"/>
  <c r="AD48" i="1"/>
  <c r="AE48" i="1"/>
  <c r="AL48" i="1" s="1"/>
  <c r="AF48" i="1"/>
  <c r="AM48" i="1"/>
  <c r="AN48" i="1"/>
  <c r="AQ48" i="1"/>
  <c r="I49" i="1"/>
  <c r="AE49" i="1"/>
  <c r="AF49" i="1"/>
  <c r="AM49" i="1"/>
  <c r="AN49" i="1"/>
  <c r="AQ49" i="1"/>
  <c r="AV49" i="1"/>
  <c r="BA49" i="1"/>
  <c r="AC50" i="1"/>
  <c r="AD50" i="1"/>
  <c r="AE50" i="1"/>
  <c r="AF50" i="1"/>
  <c r="AM50" i="1"/>
  <c r="AN50" i="1"/>
  <c r="AQ50" i="1"/>
  <c r="I51" i="1"/>
  <c r="AN51" i="1"/>
  <c r="AQ51" i="1"/>
  <c r="AT51" i="1"/>
  <c r="AU51" i="1"/>
  <c r="AX51" i="1"/>
  <c r="AY51" i="1"/>
  <c r="AZ51" i="1"/>
  <c r="BC51" i="1"/>
  <c r="BD51" i="1"/>
  <c r="BE51" i="1"/>
  <c r="I52" i="1"/>
  <c r="AN52" i="1"/>
  <c r="AQ52" i="1"/>
  <c r="AR52" i="1"/>
  <c r="AT52" i="1"/>
  <c r="AU52" i="1"/>
  <c r="AV52" i="1"/>
  <c r="AX52" i="1"/>
  <c r="AY52" i="1"/>
  <c r="AZ52" i="1"/>
  <c r="BA52" i="1"/>
  <c r="BC52" i="1"/>
  <c r="BD52" i="1"/>
  <c r="BE52" i="1"/>
  <c r="N53" i="1"/>
  <c r="Q53" i="1"/>
  <c r="R53" i="1"/>
  <c r="S53" i="1"/>
  <c r="T53" i="1"/>
  <c r="AC53" i="1" s="1"/>
  <c r="U53" i="1"/>
  <c r="V53" i="1"/>
  <c r="AD53" i="1"/>
  <c r="AE53" i="1"/>
  <c r="AL53" i="1" s="1"/>
  <c r="AM53" i="1"/>
  <c r="AN53" i="1"/>
  <c r="AO53" i="1"/>
  <c r="AQ53" i="1"/>
  <c r="N54" i="1"/>
  <c r="Q54" i="1"/>
  <c r="R54" i="1"/>
  <c r="S54" i="1"/>
  <c r="K54" i="1" s="1"/>
  <c r="T54" i="1"/>
  <c r="AC54" i="1" s="1"/>
  <c r="U54" i="1"/>
  <c r="W54" i="1" s="1"/>
  <c r="AD54" i="1"/>
  <c r="AE54" i="1"/>
  <c r="AF54" i="1"/>
  <c r="AL54" i="1"/>
  <c r="AM54" i="1"/>
  <c r="AU54" i="1" s="1"/>
  <c r="AN54" i="1"/>
  <c r="AO54" i="1"/>
  <c r="AP56" i="1" s="1"/>
  <c r="AQ54" i="1"/>
  <c r="G55" i="1"/>
  <c r="N55" i="1"/>
  <c r="Q55" i="1"/>
  <c r="R55" i="1"/>
  <c r="S55" i="1"/>
  <c r="T55" i="1"/>
  <c r="AC55" i="1" s="1"/>
  <c r="U55" i="1"/>
  <c r="W55" i="1" s="1"/>
  <c r="AD55" i="1"/>
  <c r="AE55" i="1"/>
  <c r="AL55" i="1" s="1"/>
  <c r="AM55" i="1"/>
  <c r="AN55" i="1"/>
  <c r="AQ55" i="1"/>
  <c r="H56" i="1"/>
  <c r="N56" i="1"/>
  <c r="Q56" i="1"/>
  <c r="R56" i="1"/>
  <c r="S56" i="1"/>
  <c r="T56" i="1"/>
  <c r="AC56" i="1" s="1"/>
  <c r="U56" i="1"/>
  <c r="W56" i="1" s="1"/>
  <c r="AD56" i="1"/>
  <c r="AE56" i="1"/>
  <c r="AL56" i="1" s="1"/>
  <c r="AM56" i="1"/>
  <c r="AN56" i="1"/>
  <c r="AQ56" i="1"/>
  <c r="G57" i="1"/>
  <c r="Q57" i="1"/>
  <c r="R57" i="1"/>
  <c r="S57" i="1"/>
  <c r="U57" i="1"/>
  <c r="W57" i="1" s="1"/>
  <c r="AC57" i="1"/>
  <c r="AD57" i="1"/>
  <c r="AE57" i="1"/>
  <c r="AM57" i="1"/>
  <c r="AN57" i="1"/>
  <c r="AQ57" i="1"/>
  <c r="BA58" i="1"/>
  <c r="AN58" i="1"/>
  <c r="AQ58" i="1"/>
  <c r="AU58" i="1"/>
  <c r="AX58" i="1"/>
  <c r="AY58" i="1"/>
  <c r="AZ58" i="1"/>
  <c r="BD58" i="1"/>
  <c r="AN59" i="1"/>
  <c r="AQ59" i="1"/>
  <c r="AU59" i="1"/>
  <c r="AX59" i="1"/>
  <c r="AY59" i="1"/>
  <c r="AZ59" i="1"/>
  <c r="BD59" i="1"/>
  <c r="G60" i="1"/>
  <c r="N60" i="1"/>
  <c r="T60" i="1"/>
  <c r="AC60" i="1" s="1"/>
  <c r="AD60" i="1"/>
  <c r="AT60" i="1" s="1"/>
  <c r="AE60" i="1"/>
  <c r="AM60" i="1"/>
  <c r="AN60" i="1"/>
  <c r="AQ60" i="1"/>
  <c r="H61" i="1"/>
  <c r="N61" i="1"/>
  <c r="Q61" i="1"/>
  <c r="R61" i="1"/>
  <c r="S61" i="1"/>
  <c r="T61" i="1"/>
  <c r="AC61" i="1" s="1"/>
  <c r="U61" i="1"/>
  <c r="W61" i="1" s="1"/>
  <c r="AD61" i="1"/>
  <c r="AE61" i="1"/>
  <c r="AL61" i="1" s="1"/>
  <c r="AF61" i="1"/>
  <c r="AM61" i="1"/>
  <c r="AN61" i="1"/>
  <c r="AO61" i="1"/>
  <c r="AP59" i="1" s="1"/>
  <c r="AQ61" i="1"/>
  <c r="H62" i="1"/>
  <c r="N62" i="1"/>
  <c r="T62" i="1"/>
  <c r="AC62" i="1" s="1"/>
  <c r="AD62" i="1"/>
  <c r="I62" i="1" s="1"/>
  <c r="AE62" i="1"/>
  <c r="AL62" i="1" s="1"/>
  <c r="AM62" i="1"/>
  <c r="AN62" i="1"/>
  <c r="AQ62" i="1"/>
  <c r="G63" i="1"/>
  <c r="I63" i="1"/>
  <c r="AM63" i="1"/>
  <c r="AN63" i="1"/>
  <c r="AQ63" i="1"/>
  <c r="AT63" i="1"/>
  <c r="AY63" i="1"/>
  <c r="BE63" i="1"/>
  <c r="H64" i="1"/>
  <c r="N64" i="1"/>
  <c r="T64" i="1"/>
  <c r="AC64" i="1" s="1"/>
  <c r="AD64" i="1"/>
  <c r="AE64" i="1"/>
  <c r="AL64" i="1" s="1"/>
  <c r="AM64" i="1"/>
  <c r="AN64" i="1"/>
  <c r="AO64" i="1"/>
  <c r="AQ64" i="1"/>
  <c r="AE65" i="1"/>
  <c r="AL65" i="1" s="1"/>
  <c r="AM65" i="1"/>
  <c r="AN65" i="1"/>
  <c r="AQ65" i="1"/>
  <c r="Q66" i="1"/>
  <c r="R66" i="1"/>
  <c r="S66" i="1"/>
  <c r="AN66" i="1"/>
  <c r="AQ66" i="1"/>
  <c r="AU66" i="1"/>
  <c r="AX66" i="1"/>
  <c r="AY66" i="1"/>
  <c r="AZ66" i="1"/>
  <c r="BD66" i="1"/>
  <c r="H67" i="1"/>
  <c r="N67" i="1"/>
  <c r="S67" i="1"/>
  <c r="T67" i="1"/>
  <c r="AC67" i="1" s="1"/>
  <c r="W67" i="1"/>
  <c r="AD67" i="1"/>
  <c r="BE67" i="1" s="1"/>
  <c r="AE67" i="1"/>
  <c r="AL67" i="1" s="1"/>
  <c r="AM67" i="1"/>
  <c r="AN67" i="1"/>
  <c r="AQ67" i="1"/>
  <c r="H68" i="1"/>
  <c r="T68" i="1"/>
  <c r="AC68" i="1" s="1"/>
  <c r="AD68" i="1"/>
  <c r="AE68" i="1"/>
  <c r="AL68" i="1" s="1"/>
  <c r="AM68" i="1"/>
  <c r="AN68" i="1"/>
  <c r="AO68" i="1"/>
  <c r="AQ68" i="1"/>
  <c r="G69" i="1"/>
  <c r="O69" i="1"/>
  <c r="Q69" i="1" s="1"/>
  <c r="P69" i="1"/>
  <c r="R69" i="1" s="1"/>
  <c r="T69" i="1"/>
  <c r="AC69" i="1" s="1"/>
  <c r="AD69" i="1"/>
  <c r="BE69" i="1" s="1"/>
  <c r="AE69" i="1"/>
  <c r="AL69" i="1" s="1"/>
  <c r="AM69" i="1"/>
  <c r="AN69" i="1"/>
  <c r="AQ69" i="1"/>
  <c r="H70" i="1"/>
  <c r="N70" i="1"/>
  <c r="T70" i="1"/>
  <c r="AC70" i="1" s="1"/>
  <c r="AD70" i="1"/>
  <c r="AE70" i="1"/>
  <c r="AL70" i="1" s="1"/>
  <c r="AM70" i="1"/>
  <c r="AN70" i="1"/>
  <c r="AQ70" i="1"/>
  <c r="G71" i="1"/>
  <c r="O71" i="1"/>
  <c r="Q71" i="1" s="1"/>
  <c r="P71" i="1"/>
  <c r="R71" i="1" s="1"/>
  <c r="T71" i="1"/>
  <c r="AC71" i="1" s="1"/>
  <c r="AD71" i="1"/>
  <c r="AL71" i="1"/>
  <c r="AN71" i="1"/>
  <c r="AO71" i="1"/>
  <c r="AQ71" i="1"/>
  <c r="N72" i="1"/>
  <c r="T72" i="1"/>
  <c r="AC72" i="1" s="1"/>
  <c r="AD72" i="1"/>
  <c r="AN72" i="1"/>
  <c r="AQ72" i="1"/>
  <c r="AU72" i="1"/>
  <c r="AX72" i="1"/>
  <c r="AZ72" i="1"/>
  <c r="BD72" i="1"/>
  <c r="I73" i="1"/>
  <c r="M73" i="1" s="1"/>
  <c r="AN73" i="1"/>
  <c r="AQ73" i="1"/>
  <c r="AT73" i="1"/>
  <c r="AU73" i="1"/>
  <c r="AX73" i="1"/>
  <c r="AY73" i="1"/>
  <c r="AZ73" i="1"/>
  <c r="BC73" i="1"/>
  <c r="BD73" i="1"/>
  <c r="BE73" i="1"/>
  <c r="I74" i="1"/>
  <c r="M74" i="1" s="1"/>
  <c r="W74" i="1"/>
  <c r="AN74" i="1"/>
  <c r="AQ74" i="1"/>
  <c r="AT74" i="1"/>
  <c r="AU74" i="1"/>
  <c r="AX74" i="1"/>
  <c r="AY74" i="1"/>
  <c r="AZ74" i="1"/>
  <c r="BC74" i="1"/>
  <c r="BD74" i="1"/>
  <c r="BE74" i="1"/>
  <c r="N75" i="1"/>
  <c r="G75" i="1" s="1"/>
  <c r="Q75" i="1"/>
  <c r="R75" i="1"/>
  <c r="S75" i="1"/>
  <c r="T75" i="1"/>
  <c r="AC75" i="1" s="1"/>
  <c r="W75" i="1"/>
  <c r="AD75" i="1"/>
  <c r="AE75" i="1"/>
  <c r="AL75" i="1" s="1"/>
  <c r="AM75" i="1"/>
  <c r="AN75" i="1"/>
  <c r="AO75" i="1"/>
  <c r="AP76" i="1" s="1"/>
  <c r="AQ75" i="1"/>
  <c r="G76" i="1"/>
  <c r="Q76" i="1"/>
  <c r="R76" i="1"/>
  <c r="S76" i="1"/>
  <c r="T76" i="1"/>
  <c r="AC76" i="1" s="1"/>
  <c r="W76" i="1"/>
  <c r="AD76" i="1"/>
  <c r="AL76" i="1"/>
  <c r="AM76" i="1"/>
  <c r="AN76" i="1"/>
  <c r="AQ76" i="1"/>
  <c r="H77" i="1"/>
  <c r="G77" i="1" s="1"/>
  <c r="G78" i="1" s="1"/>
  <c r="M78" i="1" s="1"/>
  <c r="Q77" i="1"/>
  <c r="R77" i="1"/>
  <c r="S77" i="1"/>
  <c r="T77" i="1"/>
  <c r="AC77" i="1" s="1"/>
  <c r="AD77" i="1"/>
  <c r="AE77" i="1"/>
  <c r="AL77" i="1" s="1"/>
  <c r="AM77" i="1"/>
  <c r="AN77" i="1"/>
  <c r="AQ77" i="1"/>
  <c r="L78" i="1"/>
  <c r="AN78" i="1"/>
  <c r="AQ78" i="1"/>
  <c r="AS78" i="1"/>
  <c r="AT78" i="1"/>
  <c r="AW78" i="1"/>
  <c r="AY78" i="1"/>
  <c r="AZ78" i="1"/>
  <c r="BB78" i="1"/>
  <c r="BC78" i="1"/>
  <c r="BE78" i="1"/>
  <c r="AN79" i="1"/>
  <c r="AQ79" i="1"/>
  <c r="AS79" i="1"/>
  <c r="AT79" i="1"/>
  <c r="AU79" i="1"/>
  <c r="AW79" i="1"/>
  <c r="AX79" i="1"/>
  <c r="AY79" i="1"/>
  <c r="AZ79" i="1"/>
  <c r="BB79" i="1"/>
  <c r="BC79" i="1"/>
  <c r="BD79" i="1"/>
  <c r="BE79" i="1"/>
  <c r="AN80" i="1"/>
  <c r="AQ80" i="1"/>
  <c r="AS80" i="1"/>
  <c r="AT80" i="1"/>
  <c r="AU80" i="1"/>
  <c r="AW80" i="1"/>
  <c r="AX80" i="1"/>
  <c r="AY80" i="1"/>
  <c r="AZ80" i="1"/>
  <c r="BB80" i="1"/>
  <c r="BC80" i="1"/>
  <c r="BD80" i="1"/>
  <c r="BE80" i="1"/>
  <c r="AN81" i="1"/>
  <c r="AQ81" i="1"/>
  <c r="AS81" i="1"/>
  <c r="AT81" i="1"/>
  <c r="AW81" i="1"/>
  <c r="AY81" i="1"/>
  <c r="AZ81" i="1"/>
  <c r="BB81" i="1"/>
  <c r="BC81" i="1"/>
  <c r="BE81" i="1"/>
  <c r="G82" i="1"/>
  <c r="S82" i="1"/>
  <c r="T82" i="1"/>
  <c r="AC82" i="1" s="1"/>
  <c r="W82" i="1"/>
  <c r="AD82" i="1"/>
  <c r="AE82" i="1"/>
  <c r="AL82" i="1" s="1"/>
  <c r="AM82" i="1"/>
  <c r="AN82" i="1"/>
  <c r="AO82" i="1"/>
  <c r="AQ82" i="1"/>
  <c r="H83" i="1"/>
  <c r="N83" i="1"/>
  <c r="Q83" i="1"/>
  <c r="R83" i="1"/>
  <c r="S83" i="1"/>
  <c r="T83" i="1"/>
  <c r="AC83" i="1" s="1"/>
  <c r="W83" i="1"/>
  <c r="AD83" i="1"/>
  <c r="BC83" i="1" s="1"/>
  <c r="AE83" i="1"/>
  <c r="AL83" i="1" s="1"/>
  <c r="AM83" i="1"/>
  <c r="AN83" i="1"/>
  <c r="AQ83" i="1"/>
  <c r="H84" i="1"/>
  <c r="N84" i="1"/>
  <c r="Q84" i="1"/>
  <c r="R84" i="1"/>
  <c r="S84" i="1"/>
  <c r="W84" i="1"/>
  <c r="AC84" i="1"/>
  <c r="AD84" i="1"/>
  <c r="AE84" i="1"/>
  <c r="AL84" i="1" s="1"/>
  <c r="AM84" i="1"/>
  <c r="AN84" i="1"/>
  <c r="AQ84" i="1"/>
  <c r="G85" i="1"/>
  <c r="Q85" i="1"/>
  <c r="R85" i="1"/>
  <c r="S85" i="1"/>
  <c r="W85" i="1"/>
  <c r="AC85" i="1"/>
  <c r="AD85" i="1"/>
  <c r="AT85" i="1" s="1"/>
  <c r="AL85" i="1"/>
  <c r="AM85" i="1"/>
  <c r="AN85" i="1"/>
  <c r="AP85" i="1"/>
  <c r="AQ85" i="1"/>
  <c r="N86" i="1"/>
  <c r="G86" i="1" s="1"/>
  <c r="Q86" i="1"/>
  <c r="R86" i="1"/>
  <c r="S86" i="1"/>
  <c r="W86" i="1"/>
  <c r="AC86" i="1"/>
  <c r="AD86" i="1"/>
  <c r="AE86" i="1"/>
  <c r="AL86" i="1" s="1"/>
  <c r="AM86" i="1"/>
  <c r="AN86" i="1"/>
  <c r="AP86" i="1"/>
  <c r="AQ86" i="1"/>
  <c r="K87" i="1"/>
  <c r="AN87" i="1"/>
  <c r="AP87" i="1"/>
  <c r="AQ87" i="1"/>
  <c r="AU87" i="1"/>
  <c r="AX87" i="1"/>
  <c r="AY87" i="1"/>
  <c r="AZ87" i="1"/>
  <c r="BD87" i="1"/>
  <c r="BA88" i="1"/>
  <c r="AD88" i="1"/>
  <c r="AN88" i="1"/>
  <c r="AP88" i="1"/>
  <c r="AQ88" i="1"/>
  <c r="AU88" i="1"/>
  <c r="AX88" i="1"/>
  <c r="AY88" i="1"/>
  <c r="AZ88" i="1"/>
  <c r="BD88" i="1"/>
  <c r="G89" i="1"/>
  <c r="Q89" i="1"/>
  <c r="R89" i="1"/>
  <c r="S89" i="1"/>
  <c r="W89" i="1"/>
  <c r="AC89" i="1"/>
  <c r="AY89" i="1" s="1"/>
  <c r="AD89" i="1"/>
  <c r="I89" i="1" s="1"/>
  <c r="AL89" i="1"/>
  <c r="AM89" i="1"/>
  <c r="AN89" i="1"/>
  <c r="AP89" i="1"/>
  <c r="AQ89" i="1"/>
  <c r="G90" i="1"/>
  <c r="AU90" i="1" s="1"/>
  <c r="AL90" i="1"/>
  <c r="AN90" i="1"/>
  <c r="AP90" i="1"/>
  <c r="AQ90" i="1"/>
  <c r="AY90" i="1"/>
  <c r="G91" i="1"/>
  <c r="AU91" i="1" s="1"/>
  <c r="AC91" i="1"/>
  <c r="AD91" i="1"/>
  <c r="AL91" i="1"/>
  <c r="AN91" i="1"/>
  <c r="AP91" i="1"/>
  <c r="AQ91" i="1"/>
  <c r="AN92" i="1"/>
  <c r="AP92" i="1"/>
  <c r="AQ92" i="1"/>
  <c r="AU92" i="1"/>
  <c r="AX92" i="1"/>
  <c r="AY92" i="1"/>
  <c r="AZ92" i="1"/>
  <c r="BD92" i="1"/>
  <c r="AN93" i="1"/>
  <c r="AP93" i="1"/>
  <c r="AQ93" i="1"/>
  <c r="AU93" i="1"/>
  <c r="AX93" i="1"/>
  <c r="AY93" i="1"/>
  <c r="AZ93" i="1"/>
  <c r="BD93" i="1"/>
  <c r="AR94" i="1"/>
  <c r="AN94" i="1"/>
  <c r="AP94" i="1"/>
  <c r="AQ94" i="1"/>
  <c r="AU94" i="1"/>
  <c r="AX94" i="1"/>
  <c r="AY94" i="1"/>
  <c r="AZ94" i="1"/>
  <c r="BD94" i="1"/>
  <c r="G95" i="1"/>
  <c r="Q95" i="1"/>
  <c r="R95" i="1"/>
  <c r="S95" i="1"/>
  <c r="AC95" i="1"/>
  <c r="AD95" i="1"/>
  <c r="AN95" i="1"/>
  <c r="AP95" i="1"/>
  <c r="AQ95" i="1"/>
  <c r="AZ95" i="1"/>
  <c r="G96" i="1"/>
  <c r="Q96" i="1"/>
  <c r="R96" i="1"/>
  <c r="S96" i="1"/>
  <c r="W96" i="1"/>
  <c r="AC96" i="1"/>
  <c r="AD96" i="1"/>
  <c r="I96" i="1" s="1"/>
  <c r="AL96" i="1"/>
  <c r="AM96" i="1"/>
  <c r="AN96" i="1"/>
  <c r="AP96" i="1"/>
  <c r="AQ96" i="1"/>
  <c r="G97" i="1"/>
  <c r="Q97" i="1"/>
  <c r="R97" i="1"/>
  <c r="S97" i="1"/>
  <c r="W97" i="1"/>
  <c r="AC97" i="1"/>
  <c r="AY97" i="1" s="1"/>
  <c r="AD97" i="1"/>
  <c r="AT97" i="1" s="1"/>
  <c r="AL97" i="1"/>
  <c r="AZ97" i="1" s="1"/>
  <c r="AN97" i="1"/>
  <c r="AP97" i="1"/>
  <c r="AQ97" i="1"/>
  <c r="AN98" i="1"/>
  <c r="AP98" i="1"/>
  <c r="AQ98" i="1"/>
  <c r="AU98" i="1"/>
  <c r="AX98" i="1"/>
  <c r="AY98" i="1"/>
  <c r="AZ98" i="1"/>
  <c r="BD98" i="1"/>
  <c r="G99" i="1"/>
  <c r="Q99" i="1"/>
  <c r="R99" i="1"/>
  <c r="S99" i="1"/>
  <c r="AC99" i="1"/>
  <c r="AD99" i="1"/>
  <c r="AL99" i="1"/>
  <c r="AN99" i="1"/>
  <c r="AP99" i="1"/>
  <c r="AQ99" i="1"/>
  <c r="AR100" i="1"/>
  <c r="AN100" i="1"/>
  <c r="AP100" i="1"/>
  <c r="AQ100" i="1"/>
  <c r="AU100" i="1"/>
  <c r="AX100" i="1"/>
  <c r="AY100" i="1"/>
  <c r="AZ100" i="1"/>
  <c r="BD100" i="1"/>
  <c r="AN101" i="1"/>
  <c r="AP101" i="1"/>
  <c r="AQ101" i="1"/>
  <c r="AU101" i="1"/>
  <c r="AX101" i="1"/>
  <c r="AY101" i="1"/>
  <c r="AZ101" i="1"/>
  <c r="BD101" i="1"/>
  <c r="AR102" i="1"/>
  <c r="G102" i="1"/>
  <c r="BD102" i="1" s="1"/>
  <c r="AC102" i="1"/>
  <c r="AD102" i="1"/>
  <c r="AL102" i="1"/>
  <c r="AZ102" i="1" s="1"/>
  <c r="AN102" i="1"/>
  <c r="AP102" i="1"/>
  <c r="AQ102" i="1"/>
  <c r="G103" i="1"/>
  <c r="AX103" i="1" s="1"/>
  <c r="AC103" i="1"/>
  <c r="AD103" i="1"/>
  <c r="AT103" i="1" s="1"/>
  <c r="AL103" i="1"/>
  <c r="AN103" i="1"/>
  <c r="AP103" i="1"/>
  <c r="AQ103" i="1"/>
  <c r="AN104" i="1"/>
  <c r="AP104" i="1"/>
  <c r="AQ104" i="1"/>
  <c r="AU104" i="1"/>
  <c r="AX104" i="1"/>
  <c r="AY104" i="1"/>
  <c r="AZ104" i="1"/>
  <c r="BD104" i="1"/>
  <c r="Q105" i="1"/>
  <c r="R105" i="1"/>
  <c r="S105" i="1"/>
  <c r="W105" i="1"/>
  <c r="AN105" i="1"/>
  <c r="AP105" i="1"/>
  <c r="AQ105" i="1"/>
  <c r="AU105" i="1"/>
  <c r="AX105" i="1"/>
  <c r="AY105" i="1"/>
  <c r="AZ105" i="1"/>
  <c r="BD105" i="1"/>
  <c r="G106" i="1"/>
  <c r="Q106" i="1"/>
  <c r="R106" i="1"/>
  <c r="S106" i="1"/>
  <c r="W106" i="1"/>
  <c r="AC106" i="1"/>
  <c r="AD106" i="1"/>
  <c r="AL106" i="1"/>
  <c r="AN106" i="1"/>
  <c r="AQ106" i="1"/>
  <c r="AN107" i="1"/>
  <c r="AQ107" i="1"/>
  <c r="AU107" i="1"/>
  <c r="AX107" i="1"/>
  <c r="AY107" i="1"/>
  <c r="AZ107" i="1"/>
  <c r="BD107" i="1"/>
  <c r="AN108" i="1"/>
  <c r="AQ108" i="1"/>
  <c r="AU108" i="1"/>
  <c r="AX108" i="1"/>
  <c r="AY108" i="1"/>
  <c r="AZ108" i="1"/>
  <c r="BD108" i="1"/>
  <c r="G109" i="1"/>
  <c r="Q109" i="1"/>
  <c r="R109" i="1"/>
  <c r="S109" i="1"/>
  <c r="W109" i="1"/>
  <c r="AC109" i="1"/>
  <c r="AD109" i="1"/>
  <c r="AL109" i="1"/>
  <c r="AZ109" i="1" s="1"/>
  <c r="AN109" i="1"/>
  <c r="AQ109" i="1"/>
  <c r="G110" i="1"/>
  <c r="Q110" i="1"/>
  <c r="R110" i="1"/>
  <c r="S110" i="1"/>
  <c r="W110" i="1"/>
  <c r="AC110" i="1"/>
  <c r="AY110" i="1" s="1"/>
  <c r="AD110" i="1"/>
  <c r="AL110" i="1"/>
  <c r="AZ110" i="1" s="1"/>
  <c r="AN110" i="1"/>
  <c r="AO110" i="1"/>
  <c r="AQ110" i="1"/>
  <c r="G111" i="1"/>
  <c r="BD111" i="1" s="1"/>
  <c r="Q111" i="1"/>
  <c r="R111" i="1"/>
  <c r="S111" i="1"/>
  <c r="AC111" i="1"/>
  <c r="AD111" i="1"/>
  <c r="AL111" i="1"/>
  <c r="AZ111" i="1" s="1"/>
  <c r="AN111" i="1"/>
  <c r="AO111" i="1"/>
  <c r="AP113" i="1" s="1"/>
  <c r="AQ111" i="1"/>
  <c r="K112" i="1"/>
  <c r="AN112" i="1"/>
  <c r="AQ112" i="1"/>
  <c r="AU112" i="1"/>
  <c r="AX112" i="1"/>
  <c r="AY112" i="1"/>
  <c r="AZ112" i="1"/>
  <c r="BD112" i="1"/>
  <c r="G113" i="1"/>
  <c r="AU113" i="1" s="1"/>
  <c r="AC113" i="1"/>
  <c r="AY113" i="1" s="1"/>
  <c r="AD113" i="1"/>
  <c r="AL113" i="1"/>
  <c r="AZ113" i="1" s="1"/>
  <c r="AN113" i="1"/>
  <c r="AQ113" i="1"/>
  <c r="K114" i="1"/>
  <c r="AN114" i="1"/>
  <c r="AQ114" i="1"/>
  <c r="AU114" i="1"/>
  <c r="AX114" i="1"/>
  <c r="AY114" i="1"/>
  <c r="AZ114" i="1"/>
  <c r="BD114" i="1"/>
  <c r="AN115" i="1"/>
  <c r="AQ115" i="1"/>
  <c r="AU115" i="1"/>
  <c r="AX115" i="1"/>
  <c r="AY115" i="1"/>
  <c r="AZ115" i="1"/>
  <c r="BD115" i="1"/>
  <c r="AR116" i="1"/>
  <c r="G116" i="1"/>
  <c r="AC116" i="1"/>
  <c r="AD116" i="1"/>
  <c r="AL116" i="1"/>
  <c r="AZ116" i="1" s="1"/>
  <c r="AN116" i="1"/>
  <c r="AQ116" i="1"/>
  <c r="AN117" i="1"/>
  <c r="AQ117" i="1"/>
  <c r="AU117" i="1"/>
  <c r="AX117" i="1"/>
  <c r="AY117" i="1"/>
  <c r="AZ117" i="1"/>
  <c r="BD117" i="1"/>
  <c r="G118" i="1"/>
  <c r="Q118" i="1"/>
  <c r="R118" i="1"/>
  <c r="S118" i="1"/>
  <c r="AC118" i="1"/>
  <c r="AD118" i="1"/>
  <c r="AL118" i="1"/>
  <c r="AZ118" i="1" s="1"/>
  <c r="AN118" i="1"/>
  <c r="AO118" i="1"/>
  <c r="AP117" i="1" s="1"/>
  <c r="AQ118" i="1"/>
  <c r="G119" i="1"/>
  <c r="Q119" i="1"/>
  <c r="R119" i="1"/>
  <c r="S119" i="1"/>
  <c r="W119" i="1"/>
  <c r="AD119" i="1"/>
  <c r="BE119" i="1" s="1"/>
  <c r="AL119" i="1"/>
  <c r="AZ119" i="1" s="1"/>
  <c r="AN119" i="1"/>
  <c r="AQ119" i="1"/>
  <c r="AY119" i="1"/>
  <c r="G120" i="1"/>
  <c r="I120" i="1"/>
  <c r="Q120" i="1"/>
  <c r="R120" i="1"/>
  <c r="S120" i="1"/>
  <c r="W120" i="1"/>
  <c r="AL120" i="1"/>
  <c r="AN120" i="1"/>
  <c r="AQ120" i="1"/>
  <c r="AT120" i="1"/>
  <c r="AY120" i="1"/>
  <c r="BC120" i="1"/>
  <c r="BE120" i="1"/>
  <c r="I121" i="1"/>
  <c r="AW121" i="1" s="1"/>
  <c r="AN121" i="1"/>
  <c r="AQ121" i="1"/>
  <c r="AT121" i="1"/>
  <c r="AU121" i="1"/>
  <c r="AX121" i="1"/>
  <c r="AY121" i="1"/>
  <c r="AZ121" i="1"/>
  <c r="BC121" i="1"/>
  <c r="BD121" i="1"/>
  <c r="BE121" i="1"/>
  <c r="I122" i="1"/>
  <c r="AW122" i="1" s="1"/>
  <c r="AN122" i="1"/>
  <c r="AQ122" i="1"/>
  <c r="AT122" i="1"/>
  <c r="AU122" i="1"/>
  <c r="AX122" i="1"/>
  <c r="AY122" i="1"/>
  <c r="AZ122" i="1"/>
  <c r="BC122" i="1"/>
  <c r="BD122" i="1"/>
  <c r="BE122" i="1"/>
  <c r="I123" i="1"/>
  <c r="AN123" i="1"/>
  <c r="AQ123" i="1"/>
  <c r="AT123" i="1"/>
  <c r="AU123" i="1"/>
  <c r="AX123" i="1"/>
  <c r="AY123" i="1"/>
  <c r="AZ123" i="1"/>
  <c r="BC123" i="1"/>
  <c r="BD123" i="1"/>
  <c r="BE123" i="1"/>
  <c r="G124" i="1"/>
  <c r="I124" i="1"/>
  <c r="AS124" i="1" s="1"/>
  <c r="Q124" i="1"/>
  <c r="R124" i="1"/>
  <c r="S124" i="1"/>
  <c r="AL124" i="1"/>
  <c r="AN124" i="1"/>
  <c r="AQ124" i="1"/>
  <c r="AT124" i="1"/>
  <c r="AY124" i="1"/>
  <c r="BC124" i="1"/>
  <c r="BE124" i="1"/>
  <c r="I125" i="1"/>
  <c r="AN125" i="1"/>
  <c r="AO125" i="1"/>
  <c r="AP127" i="1" s="1"/>
  <c r="AQ125" i="1"/>
  <c r="AT125" i="1"/>
  <c r="AU125" i="1"/>
  <c r="AX125" i="1"/>
  <c r="AY125" i="1"/>
  <c r="AZ125" i="1"/>
  <c r="BC125" i="1"/>
  <c r="BD125" i="1"/>
  <c r="BE125" i="1"/>
  <c r="I126" i="1"/>
  <c r="Q126" i="1"/>
  <c r="R126" i="1"/>
  <c r="S126" i="1"/>
  <c r="W126" i="1"/>
  <c r="AN126" i="1"/>
  <c r="AQ126" i="1"/>
  <c r="AT126" i="1"/>
  <c r="AU126" i="1"/>
  <c r="AX126" i="1"/>
  <c r="AY126" i="1"/>
  <c r="AZ126" i="1"/>
  <c r="BC126" i="1"/>
  <c r="BD126" i="1"/>
  <c r="BE126" i="1"/>
  <c r="G127" i="1"/>
  <c r="AX127" i="1" s="1"/>
  <c r="Q127" i="1"/>
  <c r="R127" i="1"/>
  <c r="S127" i="1"/>
  <c r="W127" i="1"/>
  <c r="AC127" i="1"/>
  <c r="AD127" i="1"/>
  <c r="AL127" i="1"/>
  <c r="AZ127" i="1" s="1"/>
  <c r="AN127" i="1"/>
  <c r="AQ127" i="1"/>
  <c r="K128" i="1"/>
  <c r="AN128" i="1"/>
  <c r="AQ128" i="1"/>
  <c r="AU128" i="1"/>
  <c r="AX128" i="1"/>
  <c r="AY128" i="1"/>
  <c r="AZ128" i="1"/>
  <c r="BD128" i="1"/>
  <c r="H129" i="1"/>
  <c r="G129" i="1" s="1"/>
  <c r="BD129" i="1" s="1"/>
  <c r="AC129" i="1"/>
  <c r="AD129" i="1"/>
  <c r="BC129" i="1" s="1"/>
  <c r="AL129" i="1"/>
  <c r="AZ129" i="1" s="1"/>
  <c r="AN129" i="1"/>
  <c r="AQ129" i="1"/>
  <c r="Q130" i="1"/>
  <c r="R130" i="1"/>
  <c r="S130" i="1"/>
  <c r="W130" i="1"/>
  <c r="AN130" i="1"/>
  <c r="AQ130" i="1"/>
  <c r="AU130" i="1"/>
  <c r="AX130" i="1"/>
  <c r="AY130" i="1"/>
  <c r="AZ130" i="1"/>
  <c r="BD130" i="1"/>
  <c r="G131" i="1"/>
  <c r="Q131" i="1"/>
  <c r="R131" i="1"/>
  <c r="S131" i="1"/>
  <c r="W131" i="1"/>
  <c r="AC131" i="1"/>
  <c r="AD131" i="1"/>
  <c r="BC131" i="1" s="1"/>
  <c r="AL131" i="1"/>
  <c r="AZ131" i="1" s="1"/>
  <c r="AN131" i="1"/>
  <c r="AQ131" i="1"/>
  <c r="G132" i="1"/>
  <c r="AU132" i="1" s="1"/>
  <c r="Q132" i="1"/>
  <c r="R132" i="1"/>
  <c r="S132" i="1"/>
  <c r="W132" i="1"/>
  <c r="AC132" i="1"/>
  <c r="AD132" i="1"/>
  <c r="AT132" i="1" s="1"/>
  <c r="AL132" i="1"/>
  <c r="AZ132" i="1" s="1"/>
  <c r="AN132" i="1"/>
  <c r="AO132" i="1"/>
  <c r="AQ132" i="1"/>
  <c r="W133" i="1"/>
  <c r="AC133" i="1"/>
  <c r="AD133" i="1"/>
  <c r="AL133" i="1"/>
  <c r="AN133" i="1"/>
  <c r="AQ133" i="1"/>
  <c r="G134" i="1"/>
  <c r="BD134" i="1" s="1"/>
  <c r="Q134" i="1"/>
  <c r="R134" i="1"/>
  <c r="S134" i="1"/>
  <c r="W134" i="1"/>
  <c r="AC134" i="1"/>
  <c r="AY134" i="1" s="1"/>
  <c r="AD134" i="1"/>
  <c r="AL134" i="1"/>
  <c r="AN134" i="1"/>
  <c r="AQ134" i="1"/>
  <c r="AN135" i="1"/>
  <c r="AQ135" i="1"/>
  <c r="AU135" i="1"/>
  <c r="AX135" i="1"/>
  <c r="AY135" i="1"/>
  <c r="AZ135" i="1"/>
  <c r="BD135" i="1"/>
  <c r="AN136" i="1"/>
  <c r="AQ136" i="1"/>
  <c r="AU136" i="1"/>
  <c r="AX136" i="1"/>
  <c r="AY136" i="1"/>
  <c r="AZ136" i="1"/>
  <c r="BD136" i="1"/>
  <c r="G137" i="1"/>
  <c r="Q137" i="1"/>
  <c r="R137" i="1"/>
  <c r="S137" i="1"/>
  <c r="W137" i="1"/>
  <c r="AC137" i="1"/>
  <c r="AY137" i="1" s="1"/>
  <c r="AD137" i="1"/>
  <c r="AL137" i="1"/>
  <c r="AZ137" i="1" s="1"/>
  <c r="AN137" i="1"/>
  <c r="AQ137" i="1"/>
  <c r="G138" i="1"/>
  <c r="Q138" i="1"/>
  <c r="R138" i="1"/>
  <c r="S138" i="1"/>
  <c r="AC138" i="1"/>
  <c r="AD138" i="1"/>
  <c r="AL138" i="1"/>
  <c r="AZ138" i="1" s="1"/>
  <c r="AN138" i="1"/>
  <c r="AQ138" i="1"/>
  <c r="G139" i="1"/>
  <c r="Q139" i="1"/>
  <c r="R139" i="1"/>
  <c r="S139" i="1"/>
  <c r="AC139" i="1"/>
  <c r="AD139" i="1"/>
  <c r="I139" i="1" s="1"/>
  <c r="AF139" i="1"/>
  <c r="AL139" i="1"/>
  <c r="AN139" i="1"/>
  <c r="AO139" i="1"/>
  <c r="AQ139" i="1"/>
  <c r="AD140" i="1"/>
  <c r="AF140" i="1"/>
  <c r="AL140" i="1"/>
  <c r="AZ140" i="1" s="1"/>
  <c r="AN140" i="1"/>
  <c r="AQ140" i="1"/>
  <c r="AU140" i="1"/>
  <c r="AX140" i="1"/>
  <c r="AY140" i="1"/>
  <c r="BD140" i="1"/>
  <c r="I141" i="1"/>
  <c r="M141" i="1" s="1"/>
  <c r="AN141" i="1"/>
  <c r="AQ141" i="1"/>
  <c r="AT141" i="1"/>
  <c r="AU141" i="1"/>
  <c r="AX141" i="1"/>
  <c r="AY141" i="1"/>
  <c r="AZ141" i="1"/>
  <c r="BC141" i="1"/>
  <c r="BD141" i="1"/>
  <c r="BE141" i="1"/>
  <c r="I142" i="1"/>
  <c r="AW142" i="1" s="1"/>
  <c r="AN142" i="1"/>
  <c r="AQ142" i="1"/>
  <c r="AT142" i="1"/>
  <c r="AU142" i="1"/>
  <c r="AX142" i="1"/>
  <c r="AY142" i="1"/>
  <c r="AZ142" i="1"/>
  <c r="BC142" i="1"/>
  <c r="BD142" i="1"/>
  <c r="BE142" i="1"/>
  <c r="I143" i="1"/>
  <c r="M143" i="1" s="1"/>
  <c r="AN143" i="1"/>
  <c r="AQ143" i="1"/>
  <c r="AT143" i="1"/>
  <c r="AU143" i="1"/>
  <c r="AX143" i="1"/>
  <c r="AY143" i="1"/>
  <c r="AZ143" i="1"/>
  <c r="BC143" i="1"/>
  <c r="BD143" i="1"/>
  <c r="BE143" i="1"/>
  <c r="AD144" i="1"/>
  <c r="AN144" i="1"/>
  <c r="AO144" i="1"/>
  <c r="AQ144" i="1"/>
  <c r="AU144" i="1"/>
  <c r="AX144" i="1"/>
  <c r="AY144" i="1"/>
  <c r="AZ144" i="1"/>
  <c r="BD144" i="1"/>
  <c r="AD145" i="1"/>
  <c r="AN145" i="1"/>
  <c r="AQ145" i="1"/>
  <c r="AU145" i="1"/>
  <c r="AX145" i="1"/>
  <c r="AY145" i="1"/>
  <c r="AZ145" i="1"/>
  <c r="BD145" i="1"/>
  <c r="AD146" i="1"/>
  <c r="I146" i="1" s="1"/>
  <c r="M146" i="1" s="1"/>
  <c r="AN146" i="1"/>
  <c r="AQ146" i="1"/>
  <c r="AU146" i="1"/>
  <c r="AX146" i="1"/>
  <c r="AY146" i="1"/>
  <c r="AZ146" i="1"/>
  <c r="BD146" i="1"/>
  <c r="AD147" i="1"/>
  <c r="I147" i="1" s="1"/>
  <c r="M147" i="1" s="1"/>
  <c r="AN147" i="1"/>
  <c r="AQ147" i="1"/>
  <c r="AU147" i="1"/>
  <c r="AX147" i="1"/>
  <c r="AY147" i="1"/>
  <c r="AZ147" i="1"/>
  <c r="BD147" i="1"/>
  <c r="Q148" i="1"/>
  <c r="R148" i="1"/>
  <c r="S148" i="1"/>
  <c r="W148" i="1"/>
  <c r="AD148" i="1"/>
  <c r="BC148" i="1" s="1"/>
  <c r="AN148" i="1"/>
  <c r="AQ148" i="1"/>
  <c r="AU148" i="1"/>
  <c r="AX148" i="1"/>
  <c r="AY148" i="1"/>
  <c r="AZ148" i="1"/>
  <c r="BD148" i="1"/>
  <c r="K149" i="1"/>
  <c r="AD149" i="1"/>
  <c r="BE149" i="1" s="1"/>
  <c r="AN149" i="1"/>
  <c r="AQ149" i="1"/>
  <c r="AU149" i="1"/>
  <c r="AX149" i="1"/>
  <c r="AY149" i="1"/>
  <c r="AZ149" i="1"/>
  <c r="BD149" i="1"/>
  <c r="AD150" i="1"/>
  <c r="AN150" i="1"/>
  <c r="AQ150" i="1"/>
  <c r="AU150" i="1"/>
  <c r="AX150" i="1"/>
  <c r="AY150" i="1"/>
  <c r="AZ150" i="1"/>
  <c r="BD150" i="1"/>
  <c r="G151" i="1"/>
  <c r="Q151" i="1"/>
  <c r="R151" i="1"/>
  <c r="S151" i="1"/>
  <c r="AC151" i="1"/>
  <c r="AD151" i="1"/>
  <c r="I151" i="1" s="1"/>
  <c r="AF151" i="1"/>
  <c r="AL151" i="1"/>
  <c r="AZ151" i="1" s="1"/>
  <c r="AN151" i="1"/>
  <c r="AO151" i="1"/>
  <c r="AP152" i="1" s="1"/>
  <c r="BF152" i="1" s="1"/>
  <c r="AQ151" i="1"/>
  <c r="K152" i="1"/>
  <c r="I152" i="1"/>
  <c r="AN152" i="1"/>
  <c r="AQ152" i="1"/>
  <c r="AT152" i="1"/>
  <c r="AU152" i="1"/>
  <c r="AX152" i="1"/>
  <c r="AY152" i="1"/>
  <c r="AZ152" i="1"/>
  <c r="BC152" i="1"/>
  <c r="BD152" i="1"/>
  <c r="BE152" i="1"/>
  <c r="I153" i="1"/>
  <c r="BB153" i="1" s="1"/>
  <c r="AN153" i="1"/>
  <c r="AQ153" i="1"/>
  <c r="AT153" i="1"/>
  <c r="AU153" i="1"/>
  <c r="AX153" i="1"/>
  <c r="AY153" i="1"/>
  <c r="AZ153" i="1"/>
  <c r="BC153" i="1"/>
  <c r="BD153" i="1"/>
  <c r="BE153" i="1"/>
  <c r="G154" i="1"/>
  <c r="Q154" i="1"/>
  <c r="R154" i="1"/>
  <c r="S154" i="1"/>
  <c r="AC154" i="1"/>
  <c r="AD154" i="1"/>
  <c r="AT154" i="1" s="1"/>
  <c r="AL154" i="1"/>
  <c r="AM154" i="1"/>
  <c r="AN154" i="1"/>
  <c r="AP154" i="1"/>
  <c r="AQ154" i="1"/>
  <c r="G155" i="1"/>
  <c r="BD155" i="1" s="1"/>
  <c r="Q155" i="1"/>
  <c r="R155" i="1"/>
  <c r="S155" i="1"/>
  <c r="AC155" i="1"/>
  <c r="AD155" i="1"/>
  <c r="AL155" i="1"/>
  <c r="AZ155" i="1" s="1"/>
  <c r="AN155" i="1"/>
  <c r="AP155" i="1"/>
  <c r="AQ155" i="1"/>
  <c r="G156" i="1"/>
  <c r="I156" i="1"/>
  <c r="AS156" i="1" s="1"/>
  <c r="AN156" i="1"/>
  <c r="AP156" i="1"/>
  <c r="BF156" i="1" s="1"/>
  <c r="AQ156" i="1"/>
  <c r="AT156" i="1"/>
  <c r="AY156" i="1"/>
  <c r="AZ156" i="1"/>
  <c r="BC156" i="1"/>
  <c r="BE156" i="1"/>
  <c r="G157" i="1"/>
  <c r="I157" i="1"/>
  <c r="AS157" i="1" s="1"/>
  <c r="AM157" i="1"/>
  <c r="AN157" i="1"/>
  <c r="AQ157" i="1"/>
  <c r="AT157" i="1"/>
  <c r="AY157" i="1"/>
  <c r="BC157" i="1"/>
  <c r="BE157" i="1"/>
  <c r="I158" i="1"/>
  <c r="M158" i="1" s="1"/>
  <c r="AN158" i="1"/>
  <c r="AQ158" i="1"/>
  <c r="AT158" i="1"/>
  <c r="AX158" i="1"/>
  <c r="AY158" i="1"/>
  <c r="AZ158" i="1"/>
  <c r="BC158" i="1"/>
  <c r="BD158" i="1"/>
  <c r="BE158" i="1"/>
  <c r="G159" i="1"/>
  <c r="Q159" i="1"/>
  <c r="R159" i="1"/>
  <c r="S159" i="1"/>
  <c r="W159" i="1"/>
  <c r="AC159" i="1"/>
  <c r="AY159" i="1" s="1"/>
  <c r="AD159" i="1"/>
  <c r="I159" i="1" s="1"/>
  <c r="AF159" i="1"/>
  <c r="AL159" i="1"/>
  <c r="AM159" i="1"/>
  <c r="AN159" i="1"/>
  <c r="AQ159" i="1"/>
  <c r="G160" i="1"/>
  <c r="Q160" i="1"/>
  <c r="R160" i="1"/>
  <c r="S160" i="1"/>
  <c r="W160" i="1"/>
  <c r="AC160" i="1"/>
  <c r="AD160" i="1"/>
  <c r="I160" i="1" s="1"/>
  <c r="AF160" i="1"/>
  <c r="AL160" i="1"/>
  <c r="AN160" i="1"/>
  <c r="AQ160" i="1"/>
  <c r="G161" i="1"/>
  <c r="Q161" i="1"/>
  <c r="R161" i="1"/>
  <c r="S161" i="1"/>
  <c r="W161" i="1"/>
  <c r="AC161" i="1"/>
  <c r="AY161" i="1" s="1"/>
  <c r="AD161" i="1"/>
  <c r="AF161" i="1"/>
  <c r="AL161" i="1"/>
  <c r="AN161" i="1"/>
  <c r="AO161" i="1"/>
  <c r="AQ161" i="1"/>
  <c r="AV162" i="1"/>
  <c r="G162" i="1"/>
  <c r="AX162" i="1" s="1"/>
  <c r="AC162" i="1"/>
  <c r="AD162" i="1"/>
  <c r="BC162" i="1" s="1"/>
  <c r="AN162" i="1"/>
  <c r="AQ162" i="1"/>
  <c r="AZ162" i="1"/>
  <c r="K163" i="1"/>
  <c r="AD163" i="1"/>
  <c r="BC163" i="1" s="1"/>
  <c r="AN163" i="1"/>
  <c r="AQ163" i="1"/>
  <c r="AX163" i="1"/>
  <c r="AY163" i="1"/>
  <c r="AZ163" i="1"/>
  <c r="BD163" i="1"/>
  <c r="K164" i="1"/>
  <c r="AD164" i="1"/>
  <c r="I164" i="1" s="1"/>
  <c r="M164" i="1" s="1"/>
  <c r="AN164" i="1"/>
  <c r="AQ164" i="1"/>
  <c r="AX164" i="1"/>
  <c r="AY164" i="1"/>
  <c r="AZ164" i="1"/>
  <c r="BD164" i="1"/>
  <c r="AR165" i="1"/>
  <c r="G165" i="1"/>
  <c r="AD165" i="1"/>
  <c r="AT165" i="1" s="1"/>
  <c r="AL165" i="1"/>
  <c r="AZ165" i="1" s="1"/>
  <c r="AN165" i="1"/>
  <c r="AO165" i="1"/>
  <c r="AQ165" i="1"/>
  <c r="AY165" i="1"/>
  <c r="G166" i="1"/>
  <c r="Q166" i="1"/>
  <c r="R166" i="1"/>
  <c r="S166" i="1"/>
  <c r="W166" i="1"/>
  <c r="AC166" i="1"/>
  <c r="AD166" i="1"/>
  <c r="AF166" i="1"/>
  <c r="AL166" i="1"/>
  <c r="AN166" i="1"/>
  <c r="AQ166" i="1"/>
  <c r="G167" i="1"/>
  <c r="Q167" i="1"/>
  <c r="R167" i="1"/>
  <c r="S167" i="1"/>
  <c r="AC167" i="1"/>
  <c r="AD167" i="1"/>
  <c r="AF167" i="1"/>
  <c r="AL167" i="1"/>
  <c r="AN167" i="1"/>
  <c r="AO167" i="1"/>
  <c r="AQ167" i="1"/>
  <c r="H168" i="1"/>
  <c r="G168" i="1" s="1"/>
  <c r="Q168" i="1"/>
  <c r="R168" i="1"/>
  <c r="S168" i="1"/>
  <c r="AC168" i="1"/>
  <c r="AD168" i="1"/>
  <c r="AF168" i="1"/>
  <c r="AL168" i="1"/>
  <c r="AN168" i="1"/>
  <c r="AQ168" i="1"/>
  <c r="G169" i="1"/>
  <c r="Q169" i="1"/>
  <c r="R169" i="1"/>
  <c r="S169" i="1"/>
  <c r="W169" i="1"/>
  <c r="AC169" i="1"/>
  <c r="AD169" i="1"/>
  <c r="AF169" i="1"/>
  <c r="AL169" i="1"/>
  <c r="AZ169" i="1" s="1"/>
  <c r="AN169" i="1"/>
  <c r="AQ169" i="1"/>
  <c r="H170" i="1"/>
  <c r="G170" i="1" s="1"/>
  <c r="AN170" i="1"/>
  <c r="AQ170" i="1"/>
  <c r="AY170" i="1"/>
  <c r="AZ170" i="1"/>
  <c r="AF171" i="1"/>
  <c r="AN171" i="1"/>
  <c r="AQ171" i="1"/>
  <c r="AU171" i="1"/>
  <c r="AX171" i="1"/>
  <c r="AY171" i="1"/>
  <c r="AZ171" i="1"/>
  <c r="BD171" i="1"/>
  <c r="G172" i="1"/>
  <c r="AU172" i="1" s="1"/>
  <c r="Q172" i="1"/>
  <c r="R172" i="1"/>
  <c r="S172" i="1"/>
  <c r="W172" i="1"/>
  <c r="AC172" i="1"/>
  <c r="AD172" i="1"/>
  <c r="AF172" i="1"/>
  <c r="AL172" i="1"/>
  <c r="AN172" i="1"/>
  <c r="AQ172" i="1"/>
  <c r="G173" i="1"/>
  <c r="AX173" i="1" s="1"/>
  <c r="W173" i="1"/>
  <c r="AC173" i="1"/>
  <c r="AY173" i="1" s="1"/>
  <c r="AD173" i="1"/>
  <c r="I173" i="1" s="1"/>
  <c r="AF173" i="1"/>
  <c r="AL173" i="1"/>
  <c r="AZ173" i="1" s="1"/>
  <c r="AN173" i="1"/>
  <c r="AQ173" i="1"/>
  <c r="G174" i="1"/>
  <c r="Q174" i="1"/>
  <c r="R174" i="1"/>
  <c r="S174" i="1"/>
  <c r="AC174" i="1"/>
  <c r="AD174" i="1"/>
  <c r="I174" i="1" s="1"/>
  <c r="AF174" i="1"/>
  <c r="AL174" i="1"/>
  <c r="AN174" i="1"/>
  <c r="AO174" i="1"/>
  <c r="AQ174" i="1"/>
  <c r="G175" i="1"/>
  <c r="H175" i="1"/>
  <c r="AC175" i="1"/>
  <c r="AD175" i="1"/>
  <c r="AF175" i="1"/>
  <c r="AL175" i="1"/>
  <c r="AZ175" i="1" s="1"/>
  <c r="AN175" i="1"/>
  <c r="AQ175" i="1"/>
  <c r="K176" i="1"/>
  <c r="AN176" i="1"/>
  <c r="AO176" i="1"/>
  <c r="AQ176" i="1"/>
  <c r="AX176" i="1"/>
  <c r="AY176" i="1"/>
  <c r="AZ176" i="1"/>
  <c r="BD176" i="1"/>
  <c r="AN177" i="1"/>
  <c r="AQ177" i="1"/>
  <c r="AX177" i="1"/>
  <c r="AY177" i="1"/>
  <c r="AZ177" i="1"/>
  <c r="BD177" i="1"/>
  <c r="AN178" i="1"/>
  <c r="AQ178" i="1"/>
  <c r="AX178" i="1"/>
  <c r="AY178" i="1"/>
  <c r="AZ178" i="1"/>
  <c r="BD178" i="1"/>
  <c r="AN179" i="1"/>
  <c r="AQ179" i="1"/>
  <c r="AX179" i="1"/>
  <c r="AY179" i="1"/>
  <c r="AZ179" i="1"/>
  <c r="BD179" i="1"/>
  <c r="G180" i="1"/>
  <c r="Q180" i="1"/>
  <c r="R180" i="1"/>
  <c r="S180" i="1"/>
  <c r="W180" i="1"/>
  <c r="AC180" i="1"/>
  <c r="AY180" i="1" s="1"/>
  <c r="AD180" i="1"/>
  <c r="AF180" i="1"/>
  <c r="AL180" i="1"/>
  <c r="AZ180" i="1" s="1"/>
  <c r="AN180" i="1"/>
  <c r="AQ180" i="1"/>
  <c r="G181" i="1"/>
  <c r="Q181" i="1"/>
  <c r="R181" i="1"/>
  <c r="S181" i="1"/>
  <c r="AC181" i="1"/>
  <c r="AD181" i="1"/>
  <c r="I181" i="1" s="1"/>
  <c r="AF181" i="1"/>
  <c r="AL181" i="1"/>
  <c r="AN181" i="1"/>
  <c r="AO181" i="1"/>
  <c r="AP180" i="1" s="1"/>
  <c r="AQ181" i="1"/>
  <c r="G182" i="1"/>
  <c r="AX182" i="1" s="1"/>
  <c r="AF182" i="1"/>
  <c r="AL182" i="1"/>
  <c r="AN182" i="1"/>
  <c r="AQ182" i="1"/>
  <c r="AY182" i="1"/>
  <c r="AV183" i="1"/>
  <c r="AN183" i="1"/>
  <c r="AQ183" i="1"/>
  <c r="AX183" i="1"/>
  <c r="AY183" i="1"/>
  <c r="AZ183" i="1"/>
  <c r="BD183" i="1"/>
  <c r="K184" i="1"/>
  <c r="AN184" i="1"/>
  <c r="AQ184" i="1"/>
  <c r="AX184" i="1"/>
  <c r="AY184" i="1"/>
  <c r="AZ184" i="1"/>
  <c r="BD184" i="1"/>
  <c r="K185" i="1"/>
  <c r="AN185" i="1"/>
  <c r="AQ185" i="1"/>
  <c r="AX185" i="1"/>
  <c r="AY185" i="1"/>
  <c r="AZ185" i="1"/>
  <c r="BD185" i="1"/>
  <c r="AN186" i="1"/>
  <c r="AQ186" i="1"/>
  <c r="AX186" i="1"/>
  <c r="AY186" i="1"/>
  <c r="AZ186" i="1"/>
  <c r="BD186" i="1"/>
  <c r="AN187" i="1"/>
  <c r="AQ187" i="1"/>
  <c r="AX187" i="1"/>
  <c r="AY187" i="1"/>
  <c r="AZ187" i="1"/>
  <c r="BD187" i="1"/>
  <c r="G188" i="1"/>
  <c r="AX188" i="1" s="1"/>
  <c r="Q188" i="1"/>
  <c r="R188" i="1"/>
  <c r="S188" i="1"/>
  <c r="W188" i="1"/>
  <c r="AC188" i="1"/>
  <c r="AY188" i="1" s="1"/>
  <c r="AD188" i="1"/>
  <c r="AF188" i="1"/>
  <c r="AL188" i="1"/>
  <c r="AN188" i="1"/>
  <c r="AO188" i="1"/>
  <c r="AP184" i="1" s="1"/>
  <c r="AQ188" i="1"/>
  <c r="G189" i="1"/>
  <c r="AF189" i="1"/>
  <c r="AN189" i="1"/>
  <c r="AQ189" i="1"/>
  <c r="AY189" i="1"/>
  <c r="AZ189" i="1"/>
  <c r="K190" i="1"/>
  <c r="AF190" i="1"/>
  <c r="AN190" i="1"/>
  <c r="AQ190" i="1"/>
  <c r="AX190" i="1"/>
  <c r="AY190" i="1"/>
  <c r="AZ190" i="1"/>
  <c r="BD190" i="1"/>
  <c r="AD191" i="1"/>
  <c r="AN191" i="1"/>
  <c r="AQ191" i="1"/>
  <c r="AU191" i="1"/>
  <c r="AX191" i="1"/>
  <c r="AY191" i="1"/>
  <c r="AZ191" i="1"/>
  <c r="BD191" i="1"/>
  <c r="AD192" i="1"/>
  <c r="AT192" i="1" s="1"/>
  <c r="AN192" i="1"/>
  <c r="AQ192" i="1"/>
  <c r="AU192" i="1"/>
  <c r="AX192" i="1"/>
  <c r="AY192" i="1"/>
  <c r="AZ192" i="1"/>
  <c r="BD192" i="1"/>
  <c r="G193" i="1"/>
  <c r="Q193" i="1"/>
  <c r="R193" i="1"/>
  <c r="S193" i="1"/>
  <c r="W193" i="1"/>
  <c r="AC193" i="1"/>
  <c r="AD193" i="1"/>
  <c r="BC193" i="1" s="1"/>
  <c r="AL193" i="1"/>
  <c r="AZ193" i="1" s="1"/>
  <c r="AN193" i="1"/>
  <c r="AQ193" i="1"/>
  <c r="G194" i="1"/>
  <c r="Q194" i="1"/>
  <c r="R194" i="1"/>
  <c r="S194" i="1"/>
  <c r="W194" i="1"/>
  <c r="AC194" i="1"/>
  <c r="AD194" i="1"/>
  <c r="I194" i="1" s="1"/>
  <c r="AL194" i="1"/>
  <c r="AN194" i="1"/>
  <c r="AO194" i="1"/>
  <c r="AQ194" i="1"/>
  <c r="AN195" i="1"/>
  <c r="AQ195" i="1"/>
  <c r="AU195" i="1"/>
  <c r="AX195" i="1"/>
  <c r="AY195" i="1"/>
  <c r="AZ195" i="1"/>
  <c r="BD195" i="1"/>
  <c r="G196" i="1"/>
  <c r="AC196" i="1"/>
  <c r="AD196" i="1"/>
  <c r="AT196" i="1" s="1"/>
  <c r="AL196" i="1"/>
  <c r="AZ196" i="1" s="1"/>
  <c r="AN196" i="1"/>
  <c r="AQ196" i="1"/>
  <c r="G197" i="1"/>
  <c r="AC197" i="1"/>
  <c r="AL197" i="1"/>
  <c r="AZ197" i="1" s="1"/>
  <c r="AN197" i="1"/>
  <c r="AP197" i="1"/>
  <c r="AQ197" i="1"/>
  <c r="BA198" i="1"/>
  <c r="AN198" i="1"/>
  <c r="AP198" i="1"/>
  <c r="AQ198" i="1"/>
  <c r="AU198" i="1"/>
  <c r="AX198" i="1"/>
  <c r="AY198" i="1"/>
  <c r="AZ198" i="1"/>
  <c r="BD198" i="1"/>
  <c r="K199" i="1"/>
  <c r="AN199" i="1"/>
  <c r="AP199" i="1"/>
  <c r="AQ199" i="1"/>
  <c r="AU199" i="1"/>
  <c r="AX199" i="1"/>
  <c r="AY199" i="1"/>
  <c r="AZ199" i="1"/>
  <c r="BD199" i="1"/>
  <c r="G200" i="1"/>
  <c r="Q200" i="1"/>
  <c r="R200" i="1"/>
  <c r="S200" i="1"/>
  <c r="AC200" i="1"/>
  <c r="AD200" i="1"/>
  <c r="BE200" i="1" s="1"/>
  <c r="AL200" i="1"/>
  <c r="AZ200" i="1" s="1"/>
  <c r="AN200" i="1"/>
  <c r="AQ200" i="1"/>
  <c r="G201" i="1"/>
  <c r="Q201" i="1"/>
  <c r="R201" i="1"/>
  <c r="S201" i="1"/>
  <c r="W201" i="1"/>
  <c r="AC201" i="1"/>
  <c r="AD201" i="1"/>
  <c r="BE201" i="1" s="1"/>
  <c r="AL201" i="1"/>
  <c r="AN201" i="1"/>
  <c r="AQ201" i="1"/>
  <c r="G202" i="1"/>
  <c r="AX202" i="1" s="1"/>
  <c r="Q202" i="1"/>
  <c r="R202" i="1"/>
  <c r="S202" i="1"/>
  <c r="W202" i="1"/>
  <c r="AC202" i="1"/>
  <c r="AD202" i="1"/>
  <c r="BE202" i="1" s="1"/>
  <c r="AL202" i="1"/>
  <c r="AN202" i="1"/>
  <c r="AQ202" i="1"/>
  <c r="G203" i="1"/>
  <c r="BD203" i="1" s="1"/>
  <c r="Q203" i="1"/>
  <c r="R203" i="1"/>
  <c r="S203" i="1"/>
  <c r="W203" i="1"/>
  <c r="AC203" i="1"/>
  <c r="AY203" i="1" s="1"/>
  <c r="AD203" i="1"/>
  <c r="AL203" i="1"/>
  <c r="AZ203" i="1" s="1"/>
  <c r="AN203" i="1"/>
  <c r="AQ203" i="1"/>
  <c r="G204" i="1"/>
  <c r="BD204" i="1" s="1"/>
  <c r="Q204" i="1"/>
  <c r="R204" i="1"/>
  <c r="S204" i="1"/>
  <c r="W204" i="1"/>
  <c r="AC204" i="1"/>
  <c r="AY204" i="1" s="1"/>
  <c r="AD204" i="1"/>
  <c r="AT204" i="1" s="1"/>
  <c r="AL204" i="1"/>
  <c r="AZ204" i="1" s="1"/>
  <c r="AN204" i="1"/>
  <c r="AO204" i="1"/>
  <c r="AQ204" i="1"/>
  <c r="AF205" i="1"/>
  <c r="AN205" i="1"/>
  <c r="AQ205" i="1"/>
  <c r="AU205" i="1"/>
  <c r="AX205" i="1"/>
  <c r="AY205" i="1"/>
  <c r="AZ205" i="1"/>
  <c r="BD205" i="1"/>
  <c r="AF206" i="1"/>
  <c r="AN206" i="1"/>
  <c r="AQ206" i="1"/>
  <c r="AU206" i="1"/>
  <c r="AX206" i="1"/>
  <c r="AY206" i="1"/>
  <c r="AZ206" i="1"/>
  <c r="BD206" i="1"/>
  <c r="G207" i="1"/>
  <c r="AX207" i="1" s="1"/>
  <c r="Q207" i="1"/>
  <c r="R207" i="1"/>
  <c r="S207" i="1"/>
  <c r="W207" i="1"/>
  <c r="AC207" i="1"/>
  <c r="AD207" i="1"/>
  <c r="AL207" i="1"/>
  <c r="AZ207" i="1" s="1"/>
  <c r="AN207" i="1"/>
  <c r="AQ207" i="1"/>
  <c r="G208" i="1"/>
  <c r="Q208" i="1"/>
  <c r="R208" i="1"/>
  <c r="S208" i="1"/>
  <c r="W208" i="1"/>
  <c r="AC208" i="1"/>
  <c r="AD208" i="1"/>
  <c r="AL208" i="1"/>
  <c r="AZ208" i="1" s="1"/>
  <c r="AN208" i="1"/>
  <c r="AQ208" i="1"/>
  <c r="G209" i="1"/>
  <c r="BD209" i="1" s="1"/>
  <c r="Q209" i="1"/>
  <c r="R209" i="1"/>
  <c r="S209" i="1"/>
  <c r="W209" i="1"/>
  <c r="AC209" i="1"/>
  <c r="AD209" i="1"/>
  <c r="AT209" i="1" s="1"/>
  <c r="AL209" i="1"/>
  <c r="AZ209" i="1" s="1"/>
  <c r="AN209" i="1"/>
  <c r="AO209" i="1"/>
  <c r="AP209" i="1" s="1"/>
  <c r="AQ209" i="1"/>
  <c r="G210" i="1"/>
  <c r="AU210" i="1" s="1"/>
  <c r="Q210" i="1"/>
  <c r="R210" i="1"/>
  <c r="S210" i="1"/>
  <c r="W210" i="1"/>
  <c r="AC210" i="1"/>
  <c r="AD210" i="1"/>
  <c r="I210" i="1" s="1"/>
  <c r="AL210" i="1"/>
  <c r="AZ210" i="1" s="1"/>
  <c r="AN210" i="1"/>
  <c r="AQ210" i="1"/>
  <c r="AV211" i="1"/>
  <c r="G211" i="1"/>
  <c r="AX211" i="1" s="1"/>
  <c r="I211" i="1"/>
  <c r="AC211" i="1"/>
  <c r="AN211" i="1"/>
  <c r="AQ211" i="1"/>
  <c r="AT211" i="1"/>
  <c r="AZ211" i="1"/>
  <c r="BE211" i="1"/>
  <c r="I212" i="1"/>
  <c r="AS212" i="1" s="1"/>
  <c r="AN212" i="1"/>
  <c r="AQ212" i="1"/>
  <c r="AT212" i="1"/>
  <c r="AU212" i="1"/>
  <c r="AX212" i="1"/>
  <c r="AY212" i="1"/>
  <c r="AZ212" i="1"/>
  <c r="BD212" i="1"/>
  <c r="BE212" i="1"/>
  <c r="K213" i="1"/>
  <c r="I213" i="1"/>
  <c r="AN213" i="1"/>
  <c r="AQ213" i="1"/>
  <c r="AT213" i="1"/>
  <c r="AU213" i="1"/>
  <c r="AX213" i="1"/>
  <c r="AY213" i="1"/>
  <c r="AZ213" i="1"/>
  <c r="BD213" i="1"/>
  <c r="BE213" i="1"/>
  <c r="G214" i="1"/>
  <c r="AC214" i="1"/>
  <c r="AY214" i="1" s="1"/>
  <c r="AD214" i="1"/>
  <c r="AL214" i="1"/>
  <c r="AN214" i="1"/>
  <c r="AQ214" i="1"/>
  <c r="G215" i="1"/>
  <c r="BD215" i="1" s="1"/>
  <c r="Q215" i="1"/>
  <c r="R215" i="1"/>
  <c r="S215" i="1"/>
  <c r="W215" i="1"/>
  <c r="AC215" i="1"/>
  <c r="AY215" i="1" s="1"/>
  <c r="AD215" i="1"/>
  <c r="BC215" i="1" s="1"/>
  <c r="AL215" i="1"/>
  <c r="AZ215" i="1" s="1"/>
  <c r="AN215" i="1"/>
  <c r="AO215" i="1"/>
  <c r="AQ215" i="1"/>
  <c r="G216" i="1"/>
  <c r="BD216" i="1" s="1"/>
  <c r="Q216" i="1"/>
  <c r="R216" i="1"/>
  <c r="S216" i="1"/>
  <c r="W216" i="1"/>
  <c r="AC216" i="1"/>
  <c r="AD216" i="1"/>
  <c r="AE216" i="1"/>
  <c r="AL216" i="1" s="1"/>
  <c r="AN216" i="1"/>
  <c r="AO216" i="1"/>
  <c r="AQ216" i="1"/>
  <c r="I217" i="1"/>
  <c r="AW217" i="1" s="1"/>
  <c r="AN217" i="1"/>
  <c r="AQ217" i="1"/>
  <c r="AT217" i="1"/>
  <c r="AU217" i="1"/>
  <c r="AX217" i="1"/>
  <c r="AY217" i="1"/>
  <c r="AZ217" i="1"/>
  <c r="BD217" i="1"/>
  <c r="BE217" i="1"/>
  <c r="G218" i="1"/>
  <c r="I218" i="1"/>
  <c r="AC218" i="1"/>
  <c r="AL218" i="1"/>
  <c r="AN218" i="1"/>
  <c r="AQ218" i="1"/>
  <c r="AT218" i="1"/>
  <c r="BC218" i="1"/>
  <c r="BE218" i="1"/>
  <c r="I219" i="1"/>
  <c r="AN219" i="1"/>
  <c r="AQ219" i="1"/>
  <c r="AT219" i="1"/>
  <c r="AU219" i="1"/>
  <c r="AX219" i="1"/>
  <c r="AY219" i="1"/>
  <c r="AZ219" i="1"/>
  <c r="BD219" i="1"/>
  <c r="BE219" i="1"/>
  <c r="H220" i="1"/>
  <c r="N220" i="1"/>
  <c r="Q220" i="1"/>
  <c r="R220" i="1"/>
  <c r="S220" i="1"/>
  <c r="T220" i="1"/>
  <c r="AC220" i="1" s="1"/>
  <c r="W220" i="1"/>
  <c r="AD220" i="1"/>
  <c r="I220" i="1" s="1"/>
  <c r="AE220" i="1"/>
  <c r="AL220" i="1" s="1"/>
  <c r="AM220" i="1"/>
  <c r="AN220" i="1"/>
  <c r="AQ220" i="1"/>
  <c r="H221" i="1"/>
  <c r="I221" i="1"/>
  <c r="AS221" i="1" s="1"/>
  <c r="N221" i="1"/>
  <c r="Q221" i="1"/>
  <c r="R221" i="1"/>
  <c r="S221" i="1"/>
  <c r="T221" i="1"/>
  <c r="AC221" i="1" s="1"/>
  <c r="W221" i="1"/>
  <c r="AE221" i="1"/>
  <c r="AL221" i="1" s="1"/>
  <c r="AM221" i="1"/>
  <c r="AN221" i="1"/>
  <c r="AQ221" i="1"/>
  <c r="AT221" i="1"/>
  <c r="BC221" i="1"/>
  <c r="BE221" i="1"/>
  <c r="G222" i="1"/>
  <c r="AX222" i="1" s="1"/>
  <c r="Q222" i="1"/>
  <c r="R222" i="1"/>
  <c r="S222" i="1"/>
  <c r="W222" i="1"/>
  <c r="AC222" i="1"/>
  <c r="AY222" i="1" s="1"/>
  <c r="AD222" i="1"/>
  <c r="AL222" i="1"/>
  <c r="AN222" i="1"/>
  <c r="AQ222" i="1"/>
  <c r="G223" i="1"/>
  <c r="AX223" i="1" s="1"/>
  <c r="Q223" i="1"/>
  <c r="R223" i="1"/>
  <c r="S223" i="1"/>
  <c r="T223" i="1"/>
  <c r="AC223" i="1" s="1"/>
  <c r="W223" i="1"/>
  <c r="AD223" i="1"/>
  <c r="BE223" i="1" s="1"/>
  <c r="AE223" i="1"/>
  <c r="AL223" i="1" s="1"/>
  <c r="AZ223" i="1" s="1"/>
  <c r="AN223" i="1"/>
  <c r="AQ223" i="1"/>
  <c r="I224" i="1"/>
  <c r="Q224" i="1"/>
  <c r="R224" i="1"/>
  <c r="S224" i="1"/>
  <c r="W224" i="1"/>
  <c r="AL224" i="1"/>
  <c r="AZ224" i="1" s="1"/>
  <c r="AN224" i="1"/>
  <c r="AO224" i="1"/>
  <c r="AP223" i="1" s="1"/>
  <c r="AQ224" i="1"/>
  <c r="AT224" i="1"/>
  <c r="AU224" i="1"/>
  <c r="AX224" i="1"/>
  <c r="AY224" i="1"/>
  <c r="BD224" i="1"/>
  <c r="BE224" i="1"/>
  <c r="H225" i="1"/>
  <c r="N225" i="1"/>
  <c r="Q225" i="1"/>
  <c r="R225" i="1"/>
  <c r="S225" i="1"/>
  <c r="T225" i="1"/>
  <c r="AC225" i="1" s="1"/>
  <c r="AD225" i="1"/>
  <c r="AE225" i="1"/>
  <c r="AL225" i="1" s="1"/>
  <c r="AM225" i="1"/>
  <c r="AN225" i="1"/>
  <c r="AQ225" i="1"/>
  <c r="K226" i="1"/>
  <c r="I226" i="1"/>
  <c r="AC226" i="1"/>
  <c r="AY226" i="1" s="1"/>
  <c r="AL226" i="1"/>
  <c r="AN226" i="1"/>
  <c r="AQ226" i="1"/>
  <c r="AT226" i="1"/>
  <c r="AU226" i="1"/>
  <c r="AX226" i="1"/>
  <c r="BD226" i="1"/>
  <c r="BE226" i="1"/>
  <c r="I227" i="1"/>
  <c r="M227" i="1" s="1"/>
  <c r="AC227" i="1"/>
  <c r="AL227" i="1"/>
  <c r="AN227" i="1"/>
  <c r="AQ227" i="1"/>
  <c r="AT227" i="1"/>
  <c r="AU227" i="1"/>
  <c r="AX227" i="1"/>
  <c r="BD227" i="1"/>
  <c r="BE227" i="1"/>
  <c r="G228" i="1"/>
  <c r="AU228" i="1" s="1"/>
  <c r="Q228" i="1"/>
  <c r="R228" i="1"/>
  <c r="S228" i="1"/>
  <c r="W228" i="1"/>
  <c r="AC228" i="1"/>
  <c r="AD228" i="1"/>
  <c r="AT228" i="1" s="1"/>
  <c r="AL228" i="1"/>
  <c r="AZ228" i="1" s="1"/>
  <c r="AN228" i="1"/>
  <c r="AQ228" i="1"/>
  <c r="H229" i="1"/>
  <c r="I229" i="1"/>
  <c r="N229" i="1"/>
  <c r="Q229" i="1"/>
  <c r="R229" i="1"/>
  <c r="S229" i="1"/>
  <c r="W229" i="1"/>
  <c r="AC229" i="1"/>
  <c r="AM229" i="1"/>
  <c r="AN229" i="1"/>
  <c r="AO229" i="1"/>
  <c r="AQ229" i="1"/>
  <c r="AT229" i="1"/>
  <c r="BE229" i="1"/>
  <c r="G230" i="1"/>
  <c r="BD230" i="1" s="1"/>
  <c r="Q230" i="1"/>
  <c r="R230" i="1"/>
  <c r="S230" i="1"/>
  <c r="W230" i="1"/>
  <c r="AC230" i="1"/>
  <c r="AD230" i="1"/>
  <c r="BC230" i="1" s="1"/>
  <c r="AL230" i="1"/>
  <c r="AZ230" i="1" s="1"/>
  <c r="AN230" i="1"/>
  <c r="AQ230" i="1"/>
  <c r="G231" i="1"/>
  <c r="BD231" i="1" s="1"/>
  <c r="Q231" i="1"/>
  <c r="R231" i="1"/>
  <c r="S231" i="1"/>
  <c r="W231" i="1"/>
  <c r="AC231" i="1"/>
  <c r="AD231" i="1"/>
  <c r="AL231" i="1"/>
  <c r="AN231" i="1"/>
  <c r="AQ231" i="1"/>
  <c r="G232" i="1"/>
  <c r="Q232" i="1"/>
  <c r="R232" i="1"/>
  <c r="S232" i="1"/>
  <c r="W232" i="1"/>
  <c r="AC232" i="1"/>
  <c r="AY232" i="1" s="1"/>
  <c r="AD232" i="1"/>
  <c r="AL232" i="1"/>
  <c r="AZ232" i="1" s="1"/>
  <c r="AN232" i="1"/>
  <c r="AQ232" i="1"/>
  <c r="I233" i="1"/>
  <c r="M233" i="1" s="1"/>
  <c r="AN233" i="1"/>
  <c r="AQ233" i="1"/>
  <c r="AT233" i="1"/>
  <c r="AU233" i="1"/>
  <c r="AY233" i="1"/>
  <c r="AZ233" i="1"/>
  <c r="BD233" i="1"/>
  <c r="BE233" i="1"/>
  <c r="K234" i="1"/>
  <c r="I234" i="1"/>
  <c r="AN234" i="1"/>
  <c r="AQ234" i="1"/>
  <c r="AT234" i="1"/>
  <c r="AU234" i="1"/>
  <c r="AY234" i="1"/>
  <c r="AZ234" i="1"/>
  <c r="BD234" i="1"/>
  <c r="BE234" i="1"/>
  <c r="G235" i="1"/>
  <c r="Q235" i="1"/>
  <c r="R235" i="1"/>
  <c r="S235" i="1"/>
  <c r="AD235" i="1"/>
  <c r="BE235" i="1" s="1"/>
  <c r="AN235" i="1"/>
  <c r="AQ235" i="1"/>
  <c r="AY235" i="1"/>
  <c r="AZ235" i="1"/>
  <c r="H236" i="1"/>
  <c r="I236" i="1"/>
  <c r="N236" i="1"/>
  <c r="Q236" i="1"/>
  <c r="R236" i="1"/>
  <c r="S236" i="1"/>
  <c r="T236" i="1"/>
  <c r="AC236" i="1" s="1"/>
  <c r="W236" i="1"/>
  <c r="AE236" i="1"/>
  <c r="AJ236" i="1"/>
  <c r="AL236" i="1"/>
  <c r="AM236" i="1"/>
  <c r="AN236" i="1"/>
  <c r="AO236" i="1"/>
  <c r="AQ236" i="1"/>
  <c r="AT236" i="1"/>
  <c r="BC236" i="1"/>
  <c r="H237" i="1"/>
  <c r="N237" i="1"/>
  <c r="Q237" i="1"/>
  <c r="R237" i="1"/>
  <c r="S237" i="1"/>
  <c r="T237" i="1"/>
  <c r="AC237" i="1" s="1"/>
  <c r="U237" i="1"/>
  <c r="W237" i="1" s="1"/>
  <c r="AD237" i="1"/>
  <c r="AE237" i="1"/>
  <c r="AM237" i="1"/>
  <c r="AN237" i="1"/>
  <c r="AQ237" i="1"/>
  <c r="H238" i="1"/>
  <c r="N238" i="1"/>
  <c r="Q238" i="1"/>
  <c r="R238" i="1"/>
  <c r="S238" i="1"/>
  <c r="T238" i="1"/>
  <c r="AC238" i="1" s="1"/>
  <c r="U238" i="1"/>
  <c r="W238" i="1" s="1"/>
  <c r="AD238" i="1"/>
  <c r="AT238" i="1" s="1"/>
  <c r="AE238" i="1"/>
  <c r="AL238" i="1" s="1"/>
  <c r="AM238" i="1"/>
  <c r="AN238" i="1"/>
  <c r="AQ238" i="1"/>
  <c r="H239" i="1"/>
  <c r="N239" i="1"/>
  <c r="Q239" i="1"/>
  <c r="R239" i="1"/>
  <c r="S239" i="1"/>
  <c r="T239" i="1"/>
  <c r="AC239" i="1" s="1"/>
  <c r="U239" i="1"/>
  <c r="W239" i="1" s="1"/>
  <c r="AD239" i="1"/>
  <c r="AE239" i="1"/>
  <c r="AL239" i="1" s="1"/>
  <c r="AM239" i="1"/>
  <c r="AN239" i="1"/>
  <c r="AP239" i="1"/>
  <c r="AQ239" i="1"/>
  <c r="I240" i="1"/>
  <c r="AN240" i="1"/>
  <c r="AP240" i="1"/>
  <c r="BF240" i="1" s="1"/>
  <c r="AQ240" i="1"/>
  <c r="AT240" i="1"/>
  <c r="AU240" i="1"/>
  <c r="AX240" i="1"/>
  <c r="AY240" i="1"/>
  <c r="AZ240" i="1"/>
  <c r="BC240" i="1"/>
  <c r="BD240" i="1"/>
  <c r="BE240" i="1"/>
  <c r="I241" i="1"/>
  <c r="AN241" i="1"/>
  <c r="AP241" i="1"/>
  <c r="BF241" i="1" s="1"/>
  <c r="AT241" i="1"/>
  <c r="AU241" i="1"/>
  <c r="AX241" i="1"/>
  <c r="AY241" i="1"/>
  <c r="AZ241" i="1"/>
  <c r="BC241" i="1"/>
  <c r="BD241" i="1"/>
  <c r="BE241" i="1"/>
  <c r="H242" i="1"/>
  <c r="N242" i="1"/>
  <c r="Q242" i="1"/>
  <c r="R242" i="1"/>
  <c r="S242" i="1"/>
  <c r="T242" i="1"/>
  <c r="AC242" i="1" s="1"/>
  <c r="U242" i="1"/>
  <c r="W242" i="1" s="1"/>
  <c r="AD242" i="1"/>
  <c r="AE242" i="1"/>
  <c r="AL242" i="1" s="1"/>
  <c r="AM242" i="1"/>
  <c r="AN242" i="1"/>
  <c r="AP242" i="1"/>
  <c r="H243" i="1"/>
  <c r="N243" i="1"/>
  <c r="Q243" i="1"/>
  <c r="R243" i="1"/>
  <c r="S243" i="1"/>
  <c r="T243" i="1"/>
  <c r="AC243" i="1" s="1"/>
  <c r="W243" i="1"/>
  <c r="AD243" i="1"/>
  <c r="AE243" i="1"/>
  <c r="AL243" i="1" s="1"/>
  <c r="AM243" i="1"/>
  <c r="AN243" i="1"/>
  <c r="AP243" i="1"/>
  <c r="H244" i="1"/>
  <c r="N244" i="1"/>
  <c r="Q244" i="1"/>
  <c r="R244" i="1"/>
  <c r="S244" i="1"/>
  <c r="T244" i="1"/>
  <c r="AC244" i="1" s="1"/>
  <c r="AD244" i="1"/>
  <c r="AE244" i="1"/>
  <c r="AL244" i="1" s="1"/>
  <c r="AM244" i="1"/>
  <c r="AN244" i="1"/>
  <c r="AP244" i="1"/>
  <c r="I245" i="1"/>
  <c r="AL245" i="1"/>
  <c r="AM245" i="1"/>
  <c r="AX245" i="1" s="1"/>
  <c r="AN245" i="1"/>
  <c r="AP245" i="1"/>
  <c r="BF245" i="1" s="1"/>
  <c r="AT245" i="1"/>
  <c r="AY245" i="1"/>
  <c r="BC245" i="1"/>
  <c r="BE245" i="1"/>
  <c r="I246" i="1"/>
  <c r="M246" i="1" s="1"/>
  <c r="Q246" i="1"/>
  <c r="R246" i="1"/>
  <c r="S246" i="1"/>
  <c r="W246" i="1"/>
  <c r="AN246" i="1"/>
  <c r="AP246" i="1"/>
  <c r="BF246" i="1" s="1"/>
  <c r="AT246" i="1"/>
  <c r="AU246" i="1"/>
  <c r="AX246" i="1"/>
  <c r="AY246" i="1"/>
  <c r="AZ246" i="1"/>
  <c r="BC246" i="1"/>
  <c r="BD246" i="1"/>
  <c r="BE246" i="1"/>
  <c r="I247" i="1"/>
  <c r="M247" i="1" s="1"/>
  <c r="AN247" i="1"/>
  <c r="AP247" i="1"/>
  <c r="BF247" i="1" s="1"/>
  <c r="AT247" i="1"/>
  <c r="AU247" i="1"/>
  <c r="AX247" i="1"/>
  <c r="AY247" i="1"/>
  <c r="AZ247" i="1"/>
  <c r="BC247" i="1"/>
  <c r="BD247" i="1"/>
  <c r="BE247" i="1"/>
  <c r="I248" i="1"/>
  <c r="BB248" i="1" s="1"/>
  <c r="AN248" i="1"/>
  <c r="AP248" i="1"/>
  <c r="BF248" i="1" s="1"/>
  <c r="AT248" i="1"/>
  <c r="AU248" i="1"/>
  <c r="AX248" i="1"/>
  <c r="AY248" i="1"/>
  <c r="AZ248" i="1"/>
  <c r="BC248" i="1"/>
  <c r="BD248" i="1"/>
  <c r="BE248" i="1"/>
  <c r="H249" i="1"/>
  <c r="N249" i="1"/>
  <c r="Q249" i="1"/>
  <c r="R249" i="1"/>
  <c r="S249" i="1"/>
  <c r="T249" i="1"/>
  <c r="AC249" i="1" s="1"/>
  <c r="W249" i="1"/>
  <c r="AD249" i="1"/>
  <c r="AE249" i="1"/>
  <c r="AL249" i="1" s="1"/>
  <c r="AM249" i="1"/>
  <c r="AN249" i="1"/>
  <c r="AP249" i="1"/>
  <c r="I250" i="1"/>
  <c r="AS250" i="1" s="1"/>
  <c r="AN250" i="1"/>
  <c r="AP250" i="1"/>
  <c r="BF250" i="1" s="1"/>
  <c r="AT250" i="1"/>
  <c r="AU250" i="1"/>
  <c r="AX250" i="1"/>
  <c r="AY250" i="1"/>
  <c r="AZ250" i="1"/>
  <c r="BD250" i="1"/>
  <c r="BE250" i="1"/>
  <c r="H251" i="1"/>
  <c r="N251" i="1"/>
  <c r="Q251" i="1"/>
  <c r="R251" i="1"/>
  <c r="S251" i="1"/>
  <c r="T251" i="1"/>
  <c r="AC251" i="1" s="1"/>
  <c r="W251" i="1"/>
  <c r="AD251" i="1"/>
  <c r="I251" i="1" s="1"/>
  <c r="AE251" i="1"/>
  <c r="AL251" i="1" s="1"/>
  <c r="AF251" i="1"/>
  <c r="AM251" i="1"/>
  <c r="AN251" i="1"/>
  <c r="AP251" i="1"/>
  <c r="H252" i="1"/>
  <c r="N252" i="1"/>
  <c r="Q252" i="1"/>
  <c r="R252" i="1"/>
  <c r="S252" i="1"/>
  <c r="T252" i="1"/>
  <c r="AC252" i="1" s="1"/>
  <c r="W252" i="1"/>
  <c r="AD252" i="1"/>
  <c r="I252" i="1" s="1"/>
  <c r="AE252" i="1"/>
  <c r="AL252" i="1" s="1"/>
  <c r="AF252" i="1"/>
  <c r="AM252" i="1"/>
  <c r="AN252" i="1"/>
  <c r="AP252" i="1"/>
  <c r="H253" i="1"/>
  <c r="N253" i="1"/>
  <c r="Q253" i="1"/>
  <c r="R253" i="1"/>
  <c r="S253" i="1"/>
  <c r="T253" i="1"/>
  <c r="AC253" i="1" s="1"/>
  <c r="W253" i="1"/>
  <c r="AD253" i="1"/>
  <c r="AE253" i="1"/>
  <c r="AL253" i="1" s="1"/>
  <c r="AF253" i="1"/>
  <c r="AM253" i="1"/>
  <c r="AN253" i="1"/>
  <c r="AP253" i="1"/>
  <c r="K254" i="1"/>
  <c r="I254" i="1"/>
  <c r="M254" i="1" s="1"/>
  <c r="AN254" i="1"/>
  <c r="AP254" i="1"/>
  <c r="BF254" i="1" s="1"/>
  <c r="AT254" i="1"/>
  <c r="AU254" i="1"/>
  <c r="AX254" i="1"/>
  <c r="AY254" i="1"/>
  <c r="AZ254" i="1"/>
  <c r="BD254" i="1"/>
  <c r="BE254" i="1"/>
  <c r="K255" i="1"/>
  <c r="I255" i="1"/>
  <c r="AN255" i="1"/>
  <c r="AP255" i="1"/>
  <c r="BF255" i="1" s="1"/>
  <c r="AT255" i="1"/>
  <c r="AU255" i="1"/>
  <c r="AX255" i="1"/>
  <c r="AY255" i="1"/>
  <c r="AZ255" i="1"/>
  <c r="BD255" i="1"/>
  <c r="BE255" i="1"/>
  <c r="H256" i="1"/>
  <c r="N256" i="1"/>
  <c r="Q256" i="1"/>
  <c r="R256" i="1"/>
  <c r="S256" i="1"/>
  <c r="T256" i="1"/>
  <c r="AC256" i="1" s="1"/>
  <c r="W256" i="1"/>
  <c r="AD256" i="1"/>
  <c r="I256" i="1" s="1"/>
  <c r="M256" i="1" s="1"/>
  <c r="AE256" i="1"/>
  <c r="AL256" i="1" s="1"/>
  <c r="AM256" i="1"/>
  <c r="AN256" i="1"/>
  <c r="AP256" i="1"/>
  <c r="H257" i="1"/>
  <c r="N257" i="1"/>
  <c r="Q257" i="1"/>
  <c r="R257" i="1"/>
  <c r="S257" i="1"/>
  <c r="T257" i="1"/>
  <c r="W257" i="1"/>
  <c r="AC257" i="1"/>
  <c r="AD257" i="1"/>
  <c r="I257" i="1" s="1"/>
  <c r="AE257" i="1"/>
  <c r="AL257" i="1" s="1"/>
  <c r="AF257" i="1"/>
  <c r="AM257" i="1"/>
  <c r="AN257" i="1"/>
  <c r="AP257" i="1"/>
  <c r="I258" i="1"/>
  <c r="M258" i="1" s="1"/>
  <c r="AN258" i="1"/>
  <c r="AP258" i="1"/>
  <c r="BF258" i="1" s="1"/>
  <c r="AT258" i="1"/>
  <c r="AU258" i="1"/>
  <c r="AX258" i="1"/>
  <c r="AY258" i="1"/>
  <c r="AZ258" i="1"/>
  <c r="BD258" i="1"/>
  <c r="BE258" i="1"/>
  <c r="I259" i="1"/>
  <c r="M259" i="1" s="1"/>
  <c r="AN259" i="1"/>
  <c r="AP259" i="1"/>
  <c r="BF259" i="1" s="1"/>
  <c r="AT259" i="1"/>
  <c r="AU259" i="1"/>
  <c r="AX259" i="1"/>
  <c r="AY259" i="1"/>
  <c r="AZ259" i="1"/>
  <c r="BD259" i="1"/>
  <c r="BE259" i="1"/>
  <c r="K260" i="1"/>
  <c r="I260" i="1"/>
  <c r="M260" i="1" s="1"/>
  <c r="AN260" i="1"/>
  <c r="AP260" i="1"/>
  <c r="BF260" i="1" s="1"/>
  <c r="AT260" i="1"/>
  <c r="AU260" i="1"/>
  <c r="AX260" i="1"/>
  <c r="AY260" i="1"/>
  <c r="AZ260" i="1"/>
  <c r="BD260" i="1"/>
  <c r="BE260" i="1"/>
  <c r="I261" i="1"/>
  <c r="AN261" i="1"/>
  <c r="AP261" i="1"/>
  <c r="BF261" i="1" s="1"/>
  <c r="AT261" i="1"/>
  <c r="AU261" i="1"/>
  <c r="AX261" i="1"/>
  <c r="AY261" i="1"/>
  <c r="AZ261" i="1"/>
  <c r="BD261" i="1"/>
  <c r="BE261" i="1"/>
  <c r="I262" i="1"/>
  <c r="AN262" i="1"/>
  <c r="AP262" i="1"/>
  <c r="BF262" i="1" s="1"/>
  <c r="AT262" i="1"/>
  <c r="AU262" i="1"/>
  <c r="AX262" i="1"/>
  <c r="AY262" i="1"/>
  <c r="AZ262" i="1"/>
  <c r="BD262" i="1"/>
  <c r="BE262" i="1"/>
  <c r="I263" i="1"/>
  <c r="AN263" i="1"/>
  <c r="AP263" i="1"/>
  <c r="BF263" i="1" s="1"/>
  <c r="AT263" i="1"/>
  <c r="AU263" i="1"/>
  <c r="AX263" i="1"/>
  <c r="AY263" i="1"/>
  <c r="AZ263" i="1"/>
  <c r="BD263" i="1"/>
  <c r="BE263" i="1"/>
  <c r="H264" i="1"/>
  <c r="G264" i="1" s="1"/>
  <c r="Q264" i="1"/>
  <c r="R264" i="1"/>
  <c r="S264" i="1"/>
  <c r="W264" i="1"/>
  <c r="AC264" i="1"/>
  <c r="AD264" i="1"/>
  <c r="AE264" i="1"/>
  <c r="AM264" i="1"/>
  <c r="AN264" i="1"/>
  <c r="AP264" i="1"/>
  <c r="AR265" i="1"/>
  <c r="G265" i="1"/>
  <c r="AX265" i="1" s="1"/>
  <c r="AC265" i="1"/>
  <c r="AD265" i="1"/>
  <c r="AT265" i="1" s="1"/>
  <c r="AL265" i="1"/>
  <c r="AZ265" i="1" s="1"/>
  <c r="AN265" i="1"/>
  <c r="AP265" i="1"/>
  <c r="I266" i="1"/>
  <c r="M266" i="1" s="1"/>
  <c r="AN266" i="1"/>
  <c r="AP266" i="1"/>
  <c r="BF266" i="1" s="1"/>
  <c r="AT266" i="1"/>
  <c r="AU266" i="1"/>
  <c r="AX266" i="1"/>
  <c r="AY266" i="1"/>
  <c r="AZ266" i="1"/>
  <c r="BD266" i="1"/>
  <c r="BE266" i="1"/>
  <c r="G267" i="1"/>
  <c r="Q267" i="1"/>
  <c r="R267" i="1"/>
  <c r="S267" i="1"/>
  <c r="W267" i="1"/>
  <c r="AC267" i="1"/>
  <c r="AD267" i="1"/>
  <c r="AE267" i="1"/>
  <c r="AL267" i="1" s="1"/>
  <c r="AZ267" i="1" s="1"/>
  <c r="AN267" i="1"/>
  <c r="AP267" i="1"/>
  <c r="I268" i="1"/>
  <c r="M268" i="1" s="1"/>
  <c r="AN268" i="1"/>
  <c r="AP268" i="1"/>
  <c r="BF268" i="1" s="1"/>
  <c r="AT268" i="1"/>
  <c r="AU268" i="1"/>
  <c r="AX268" i="1"/>
  <c r="AY268" i="1"/>
  <c r="AZ268" i="1"/>
  <c r="BD268" i="1"/>
  <c r="BE268" i="1"/>
  <c r="I269" i="1"/>
  <c r="AN269" i="1"/>
  <c r="AP269" i="1"/>
  <c r="BF269" i="1" s="1"/>
  <c r="AT269" i="1"/>
  <c r="AU269" i="1"/>
  <c r="AX269" i="1"/>
  <c r="AY269" i="1"/>
  <c r="AZ269" i="1"/>
  <c r="BD269" i="1"/>
  <c r="BE269" i="1"/>
  <c r="H270" i="1"/>
  <c r="N270" i="1"/>
  <c r="Q270" i="1"/>
  <c r="R270" i="1"/>
  <c r="S270" i="1"/>
  <c r="T270" i="1"/>
  <c r="AC270" i="1" s="1"/>
  <c r="W270" i="1"/>
  <c r="AD270" i="1"/>
  <c r="AE270" i="1"/>
  <c r="AL270" i="1" s="1"/>
  <c r="AM270" i="1"/>
  <c r="AN270" i="1"/>
  <c r="AP270" i="1"/>
  <c r="H271" i="1"/>
  <c r="N271" i="1"/>
  <c r="Q271" i="1"/>
  <c r="R271" i="1"/>
  <c r="S271" i="1"/>
  <c r="T271" i="1"/>
  <c r="AC271" i="1" s="1"/>
  <c r="W271" i="1"/>
  <c r="AD271" i="1"/>
  <c r="AE271" i="1"/>
  <c r="AL271" i="1" s="1"/>
  <c r="AF271" i="1"/>
  <c r="AM271" i="1"/>
  <c r="AN271" i="1"/>
  <c r="AP271" i="1"/>
  <c r="AN272" i="1"/>
  <c r="AP272" i="1"/>
  <c r="BF272" i="1" s="1"/>
  <c r="AT272" i="1"/>
  <c r="AU272" i="1"/>
  <c r="AW272" i="1"/>
  <c r="AX272" i="1"/>
  <c r="AY272" i="1"/>
  <c r="AZ272" i="1"/>
  <c r="BB272" i="1"/>
  <c r="BD272" i="1"/>
  <c r="BE272" i="1"/>
  <c r="H273" i="1"/>
  <c r="N273" i="1"/>
  <c r="T273" i="1"/>
  <c r="AC273" i="1" s="1"/>
  <c r="AD273" i="1"/>
  <c r="I273" i="1" s="1"/>
  <c r="AE273" i="1"/>
  <c r="AL273" i="1" s="1"/>
  <c r="AF273" i="1"/>
  <c r="AM273" i="1"/>
  <c r="AN273" i="1"/>
  <c r="AP273" i="1"/>
  <c r="AN274" i="1"/>
  <c r="AP274" i="1"/>
  <c r="BF274" i="1" s="1"/>
  <c r="AT274" i="1"/>
  <c r="AU274" i="1"/>
  <c r="AW274" i="1"/>
  <c r="AX274" i="1"/>
  <c r="AY274" i="1"/>
  <c r="AZ274" i="1"/>
  <c r="BB274" i="1"/>
  <c r="BD274" i="1"/>
  <c r="BE274" i="1"/>
  <c r="AN275" i="1"/>
  <c r="AP275" i="1"/>
  <c r="BF275" i="1" s="1"/>
  <c r="AT275" i="1"/>
  <c r="AU275" i="1"/>
  <c r="AW275" i="1"/>
  <c r="AX275" i="1"/>
  <c r="AY275" i="1"/>
  <c r="AZ275" i="1"/>
  <c r="BB275" i="1"/>
  <c r="BD275" i="1"/>
  <c r="BE275" i="1"/>
  <c r="AN276" i="1"/>
  <c r="AP276" i="1"/>
  <c r="AT276" i="1"/>
  <c r="AU276" i="1"/>
  <c r="AW276" i="1"/>
  <c r="AX276" i="1"/>
  <c r="AY276" i="1"/>
  <c r="AZ276" i="1"/>
  <c r="BB276" i="1"/>
  <c r="BD276" i="1"/>
  <c r="BE276" i="1"/>
  <c r="H277" i="1"/>
  <c r="N277" i="1"/>
  <c r="T277" i="1"/>
  <c r="AC277" i="1" s="1"/>
  <c r="AD277" i="1"/>
  <c r="AE277" i="1"/>
  <c r="AL277" i="1" s="1"/>
  <c r="AM277" i="1"/>
  <c r="AN277" i="1"/>
  <c r="AP277" i="1"/>
  <c r="G278" i="1"/>
  <c r="Q278" i="1"/>
  <c r="R278" i="1"/>
  <c r="S278" i="1"/>
  <c r="W278" i="1"/>
  <c r="AC278" i="1"/>
  <c r="AD278" i="1"/>
  <c r="AL278" i="1"/>
  <c r="AZ278" i="1" s="1"/>
  <c r="AN278" i="1"/>
  <c r="AP278" i="1"/>
  <c r="K279" i="1"/>
  <c r="I279" i="1"/>
  <c r="AL279" i="1"/>
  <c r="AZ279" i="1" s="1"/>
  <c r="AN279" i="1"/>
  <c r="AP279" i="1"/>
  <c r="BF279" i="1" s="1"/>
  <c r="AT279" i="1"/>
  <c r="AX279" i="1"/>
  <c r="AY279" i="1"/>
  <c r="BD279" i="1"/>
  <c r="BE279" i="1"/>
  <c r="H280" i="1"/>
  <c r="N280" i="1"/>
  <c r="Q280" i="1"/>
  <c r="R280" i="1"/>
  <c r="S280" i="1"/>
  <c r="T280" i="1"/>
  <c r="AC280" i="1" s="1"/>
  <c r="W280" i="1"/>
  <c r="AD280" i="1"/>
  <c r="AE280" i="1"/>
  <c r="AL280" i="1" s="1"/>
  <c r="AM280" i="1"/>
  <c r="AN280" i="1"/>
  <c r="AP280" i="1"/>
  <c r="AN281" i="1"/>
  <c r="AP281" i="1"/>
  <c r="BF281" i="1" s="1"/>
  <c r="AT281" i="1"/>
  <c r="AU281" i="1"/>
  <c r="AW281" i="1"/>
  <c r="AX281" i="1"/>
  <c r="AY281" i="1"/>
  <c r="AZ281" i="1"/>
  <c r="BB281" i="1"/>
  <c r="BD281" i="1"/>
  <c r="BE281" i="1"/>
  <c r="I282" i="1"/>
  <c r="AN282" i="1"/>
  <c r="AP282" i="1"/>
  <c r="BF282" i="1" s="1"/>
  <c r="AT282" i="1"/>
  <c r="AU282" i="1"/>
  <c r="AX282" i="1"/>
  <c r="AY282" i="1"/>
  <c r="AZ282" i="1"/>
  <c r="BD282" i="1"/>
  <c r="BE282" i="1"/>
  <c r="AN283" i="1"/>
  <c r="AP283" i="1"/>
  <c r="BF283" i="1" s="1"/>
  <c r="AT283" i="1"/>
  <c r="AU283" i="1"/>
  <c r="AW283" i="1"/>
  <c r="AX283" i="1"/>
  <c r="AY283" i="1"/>
  <c r="AZ283" i="1"/>
  <c r="BB283" i="1"/>
  <c r="BD283" i="1"/>
  <c r="BE283" i="1"/>
  <c r="AN284" i="1"/>
  <c r="AP284" i="1"/>
  <c r="BF284" i="1" s="1"/>
  <c r="AT284" i="1"/>
  <c r="AU284" i="1"/>
  <c r="AW284" i="1"/>
  <c r="AX284" i="1"/>
  <c r="AY284" i="1"/>
  <c r="AZ284" i="1"/>
  <c r="BB284" i="1"/>
  <c r="BD284" i="1"/>
  <c r="BE284" i="1"/>
  <c r="AN285" i="1"/>
  <c r="AP285" i="1"/>
  <c r="BF285" i="1" s="1"/>
  <c r="AT285" i="1"/>
  <c r="AU285" i="1"/>
  <c r="AW285" i="1"/>
  <c r="AX285" i="1"/>
  <c r="AY285" i="1"/>
  <c r="AZ285" i="1"/>
  <c r="BB285" i="1"/>
  <c r="BD285" i="1"/>
  <c r="BE285" i="1"/>
  <c r="AN286" i="1"/>
  <c r="AP286" i="1"/>
  <c r="BF286" i="1" s="1"/>
  <c r="AT286" i="1"/>
  <c r="AU286" i="1"/>
  <c r="AW286" i="1"/>
  <c r="AX286" i="1"/>
  <c r="AY286" i="1"/>
  <c r="AZ286" i="1"/>
  <c r="BB286" i="1"/>
  <c r="BD286" i="1"/>
  <c r="BE286" i="1"/>
  <c r="AN287" i="1"/>
  <c r="AP287" i="1"/>
  <c r="BF287" i="1" s="1"/>
  <c r="AT287" i="1"/>
  <c r="AU287" i="1"/>
  <c r="AW287" i="1"/>
  <c r="AX287" i="1"/>
  <c r="AY287" i="1"/>
  <c r="AZ287" i="1"/>
  <c r="BB287" i="1"/>
  <c r="BD287" i="1"/>
  <c r="BE287" i="1"/>
  <c r="AN288" i="1"/>
  <c r="AP288" i="1"/>
  <c r="BF288" i="1" s="1"/>
  <c r="AT288" i="1"/>
  <c r="AU288" i="1"/>
  <c r="AW288" i="1"/>
  <c r="AX288" i="1"/>
  <c r="AY288" i="1"/>
  <c r="AZ288" i="1"/>
  <c r="BB288" i="1"/>
  <c r="BD288" i="1"/>
  <c r="BE288" i="1"/>
  <c r="AN289" i="1"/>
  <c r="AP289" i="1"/>
  <c r="BF289" i="1" s="1"/>
  <c r="AT289" i="1"/>
  <c r="AU289" i="1"/>
  <c r="AW289" i="1"/>
  <c r="AX289" i="1"/>
  <c r="AY289" i="1"/>
  <c r="AZ289" i="1"/>
  <c r="BB289" i="1"/>
  <c r="BD289" i="1"/>
  <c r="BE289" i="1"/>
  <c r="K290" i="1"/>
  <c r="AN290" i="1"/>
  <c r="AP290" i="1"/>
  <c r="BF290" i="1" s="1"/>
  <c r="AT290" i="1"/>
  <c r="AU290" i="1"/>
  <c r="AW290" i="1"/>
  <c r="AX290" i="1"/>
  <c r="AY290" i="1"/>
  <c r="AZ290" i="1"/>
  <c r="BB290" i="1"/>
  <c r="BD290" i="1"/>
  <c r="BE290" i="1"/>
  <c r="H291" i="1"/>
  <c r="N291" i="1"/>
  <c r="Q291" i="1"/>
  <c r="R291" i="1"/>
  <c r="S291" i="1"/>
  <c r="T291" i="1"/>
  <c r="AC291" i="1" s="1"/>
  <c r="W291" i="1"/>
  <c r="AD291" i="1"/>
  <c r="AE291" i="1"/>
  <c r="AF291" i="1"/>
  <c r="AM291" i="1"/>
  <c r="AN291" i="1"/>
  <c r="AP291" i="1"/>
  <c r="BA292" i="1"/>
  <c r="AN292" i="1"/>
  <c r="AP292" i="1"/>
  <c r="BF292" i="1" s="1"/>
  <c r="AT292" i="1"/>
  <c r="AU292" i="1"/>
  <c r="AW292" i="1"/>
  <c r="AX292" i="1"/>
  <c r="AY292" i="1"/>
  <c r="AZ292" i="1"/>
  <c r="BB292" i="1"/>
  <c r="BC292" i="1"/>
  <c r="BD292" i="1"/>
  <c r="BE292" i="1"/>
  <c r="AN293" i="1"/>
  <c r="AP293" i="1"/>
  <c r="BF293" i="1" s="1"/>
  <c r="AT293" i="1"/>
  <c r="AU293" i="1"/>
  <c r="AW293" i="1"/>
  <c r="AX293" i="1"/>
  <c r="AY293" i="1"/>
  <c r="AZ293" i="1"/>
  <c r="BB293" i="1"/>
  <c r="BC293" i="1"/>
  <c r="BD293" i="1"/>
  <c r="BE293" i="1"/>
  <c r="AN294" i="1"/>
  <c r="AP294" i="1"/>
  <c r="BF294" i="1" s="1"/>
  <c r="AT294" i="1"/>
  <c r="AU294" i="1"/>
  <c r="AW294" i="1"/>
  <c r="AX294" i="1"/>
  <c r="AY294" i="1"/>
  <c r="AZ294" i="1"/>
  <c r="BB294" i="1"/>
  <c r="BC294" i="1"/>
  <c r="BD294" i="1"/>
  <c r="BE294" i="1"/>
  <c r="BA295" i="1"/>
  <c r="AN295" i="1"/>
  <c r="AP295" i="1"/>
  <c r="BF295" i="1" s="1"/>
  <c r="AT295" i="1"/>
  <c r="AU295" i="1"/>
  <c r="AW295" i="1"/>
  <c r="AX295" i="1"/>
  <c r="AY295" i="1"/>
  <c r="AZ295" i="1"/>
  <c r="BB295" i="1"/>
  <c r="BC295" i="1"/>
  <c r="BD295" i="1"/>
  <c r="BE295" i="1"/>
  <c r="AR296" i="1"/>
  <c r="AN296" i="1"/>
  <c r="AP296" i="1"/>
  <c r="BF296" i="1" s="1"/>
  <c r="AT296" i="1"/>
  <c r="AU296" i="1"/>
  <c r="AW296" i="1"/>
  <c r="AX296" i="1"/>
  <c r="AY296" i="1"/>
  <c r="AZ296" i="1"/>
  <c r="BB296" i="1"/>
  <c r="BC296" i="1"/>
  <c r="BD296" i="1"/>
  <c r="BE296" i="1"/>
  <c r="AR297" i="1"/>
  <c r="AN297" i="1"/>
  <c r="AP297" i="1"/>
  <c r="BF297" i="1" s="1"/>
  <c r="AT297" i="1"/>
  <c r="AU297" i="1"/>
  <c r="AW297" i="1"/>
  <c r="AX297" i="1"/>
  <c r="AY297" i="1"/>
  <c r="AZ297" i="1"/>
  <c r="BB297" i="1"/>
  <c r="BC297" i="1"/>
  <c r="BD297" i="1"/>
  <c r="BE297" i="1"/>
  <c r="AN298" i="1"/>
  <c r="AP298" i="1"/>
  <c r="BF298" i="1" s="1"/>
  <c r="AT298" i="1"/>
  <c r="AU298" i="1"/>
  <c r="AW298" i="1"/>
  <c r="AX298" i="1"/>
  <c r="AY298" i="1"/>
  <c r="AZ298" i="1"/>
  <c r="BB298" i="1"/>
  <c r="BC298" i="1"/>
  <c r="BD298" i="1"/>
  <c r="BE298" i="1"/>
  <c r="G299" i="1"/>
  <c r="Q299" i="1"/>
  <c r="R299" i="1"/>
  <c r="S299" i="1"/>
  <c r="T299" i="1"/>
  <c r="AC299" i="1" s="1"/>
  <c r="W299" i="1"/>
  <c r="AD299" i="1"/>
  <c r="AE299" i="1"/>
  <c r="AL299" i="1" s="1"/>
  <c r="AF299" i="1"/>
  <c r="AM299" i="1"/>
  <c r="AN299" i="1"/>
  <c r="AP299" i="1"/>
  <c r="AR300" i="1"/>
  <c r="AN300" i="1"/>
  <c r="AP300" i="1"/>
  <c r="BF300" i="1" s="1"/>
  <c r="AS300" i="1"/>
  <c r="AT300" i="1"/>
  <c r="AU300" i="1"/>
  <c r="AW300" i="1"/>
  <c r="AX300" i="1"/>
  <c r="AY300" i="1"/>
  <c r="AZ300" i="1"/>
  <c r="BB300" i="1"/>
  <c r="BC300" i="1"/>
  <c r="BD300" i="1"/>
  <c r="BE300" i="1"/>
  <c r="BA301" i="1"/>
  <c r="AN301" i="1"/>
  <c r="AP301" i="1"/>
  <c r="BF301" i="1" s="1"/>
  <c r="AS301" i="1"/>
  <c r="AT301" i="1"/>
  <c r="AU301" i="1"/>
  <c r="AW301" i="1"/>
  <c r="AX301" i="1"/>
  <c r="AY301" i="1"/>
  <c r="AZ301" i="1"/>
  <c r="BB301" i="1"/>
  <c r="BC301" i="1"/>
  <c r="BD301" i="1"/>
  <c r="BE301" i="1"/>
  <c r="AN302" i="1"/>
  <c r="AP302" i="1"/>
  <c r="BF302" i="1" s="1"/>
  <c r="AS302" i="1"/>
  <c r="AT302" i="1"/>
  <c r="AU302" i="1"/>
  <c r="AW302" i="1"/>
  <c r="AX302" i="1"/>
  <c r="AY302" i="1"/>
  <c r="AZ302" i="1"/>
  <c r="BB302" i="1"/>
  <c r="BC302" i="1"/>
  <c r="BD302" i="1"/>
  <c r="BE302" i="1"/>
  <c r="AN303" i="1"/>
  <c r="AP303" i="1"/>
  <c r="BF303" i="1" s="1"/>
  <c r="AS303" i="1"/>
  <c r="AT303" i="1"/>
  <c r="AU303" i="1"/>
  <c r="AW303" i="1"/>
  <c r="AX303" i="1"/>
  <c r="AY303" i="1"/>
  <c r="AZ303" i="1"/>
  <c r="BB303" i="1"/>
  <c r="BC303" i="1"/>
  <c r="BD303" i="1"/>
  <c r="BE303" i="1"/>
  <c r="AN304" i="1"/>
  <c r="AP304" i="1"/>
  <c r="BF304" i="1" s="1"/>
  <c r="AS304" i="1"/>
  <c r="AT304" i="1"/>
  <c r="AU304" i="1"/>
  <c r="AW304" i="1"/>
  <c r="AX304" i="1"/>
  <c r="AY304" i="1"/>
  <c r="AZ304" i="1"/>
  <c r="BB304" i="1"/>
  <c r="BC304" i="1"/>
  <c r="BD304" i="1"/>
  <c r="BE304" i="1"/>
  <c r="AN305" i="1"/>
  <c r="AP305" i="1"/>
  <c r="BF305" i="1" s="1"/>
  <c r="AS305" i="1"/>
  <c r="AT305" i="1"/>
  <c r="AU305" i="1"/>
  <c r="AW305" i="1"/>
  <c r="AX305" i="1"/>
  <c r="AY305" i="1"/>
  <c r="AZ305" i="1"/>
  <c r="BB305" i="1"/>
  <c r="BC305" i="1"/>
  <c r="BD305" i="1"/>
  <c r="BE305" i="1"/>
  <c r="BA306" i="1"/>
  <c r="AN306" i="1"/>
  <c r="AP306" i="1"/>
  <c r="BF306" i="1" s="1"/>
  <c r="AS306" i="1"/>
  <c r="AT306" i="1"/>
  <c r="AU306" i="1"/>
  <c r="AW306" i="1"/>
  <c r="AX306" i="1"/>
  <c r="AY306" i="1"/>
  <c r="AZ306" i="1"/>
  <c r="BB306" i="1"/>
  <c r="BC306" i="1"/>
  <c r="BD306" i="1"/>
  <c r="BE306" i="1"/>
  <c r="BA307" i="1"/>
  <c r="AN307" i="1"/>
  <c r="AP307" i="1"/>
  <c r="BF307" i="1" s="1"/>
  <c r="AS307" i="1"/>
  <c r="AT307" i="1"/>
  <c r="AU307" i="1"/>
  <c r="AW307" i="1"/>
  <c r="AX307" i="1"/>
  <c r="AY307" i="1"/>
  <c r="AZ307" i="1"/>
  <c r="BB307" i="1"/>
  <c r="BC307" i="1"/>
  <c r="BD307" i="1"/>
  <c r="BE307" i="1"/>
  <c r="AN308" i="1"/>
  <c r="AP308" i="1"/>
  <c r="BF308" i="1" s="1"/>
  <c r="AS308" i="1"/>
  <c r="AT308" i="1"/>
  <c r="AU308" i="1"/>
  <c r="AW308" i="1"/>
  <c r="AX308" i="1"/>
  <c r="AY308" i="1"/>
  <c r="AZ308" i="1"/>
  <c r="BB308" i="1"/>
  <c r="BC308" i="1"/>
  <c r="BD308" i="1"/>
  <c r="BE308" i="1"/>
  <c r="AN309" i="1"/>
  <c r="AP309" i="1"/>
  <c r="BF309" i="1" s="1"/>
  <c r="AS309" i="1"/>
  <c r="AT309" i="1"/>
  <c r="AU309" i="1"/>
  <c r="AW309" i="1"/>
  <c r="AX309" i="1"/>
  <c r="AY309" i="1"/>
  <c r="AZ309" i="1"/>
  <c r="BB309" i="1"/>
  <c r="BC309" i="1"/>
  <c r="BD309" i="1"/>
  <c r="BE309" i="1"/>
  <c r="AN310" i="1"/>
  <c r="AP310" i="1"/>
  <c r="BF310" i="1" s="1"/>
  <c r="AS310" i="1"/>
  <c r="AT310" i="1"/>
  <c r="AU310" i="1"/>
  <c r="AW310" i="1"/>
  <c r="AX310" i="1"/>
  <c r="AY310" i="1"/>
  <c r="AZ310" i="1"/>
  <c r="BB310" i="1"/>
  <c r="BC310" i="1"/>
  <c r="BD310" i="1"/>
  <c r="BE310" i="1"/>
  <c r="AN311" i="1"/>
  <c r="AP311" i="1"/>
  <c r="BF311" i="1" s="1"/>
  <c r="AS311" i="1"/>
  <c r="AT311" i="1"/>
  <c r="AU311" i="1"/>
  <c r="AW311" i="1"/>
  <c r="AX311" i="1"/>
  <c r="AY311" i="1"/>
  <c r="AZ311" i="1"/>
  <c r="BB311" i="1"/>
  <c r="BC311" i="1"/>
  <c r="BD311" i="1"/>
  <c r="BE311" i="1"/>
  <c r="G312" i="1"/>
  <c r="AU312" i="1" s="1"/>
  <c r="Q312" i="1"/>
  <c r="R312" i="1"/>
  <c r="S312" i="1"/>
  <c r="W312" i="1"/>
  <c r="AC312" i="1"/>
  <c r="AD312" i="1"/>
  <c r="I312" i="1" s="1"/>
  <c r="AE312" i="1"/>
  <c r="AL312" i="1" s="1"/>
  <c r="AZ312" i="1" s="1"/>
  <c r="AF312" i="1"/>
  <c r="AN312" i="1"/>
  <c r="AP312" i="1"/>
  <c r="G313" i="1"/>
  <c r="Q313" i="1"/>
  <c r="R313" i="1"/>
  <c r="S313" i="1"/>
  <c r="W313" i="1"/>
  <c r="AC313" i="1"/>
  <c r="AY313" i="1" s="1"/>
  <c r="AD313" i="1"/>
  <c r="AF313" i="1"/>
  <c r="AL313" i="1"/>
  <c r="AZ313" i="1" s="1"/>
  <c r="AN313" i="1"/>
  <c r="AP313" i="1"/>
  <c r="AN314" i="1"/>
  <c r="AP314" i="1"/>
  <c r="BF314" i="1" s="1"/>
  <c r="AS314" i="1"/>
  <c r="AT314" i="1"/>
  <c r="AU314" i="1"/>
  <c r="AW314" i="1"/>
  <c r="AX314" i="1"/>
  <c r="AY314" i="1"/>
  <c r="AZ314" i="1"/>
  <c r="BB314" i="1"/>
  <c r="BC314" i="1"/>
  <c r="BD314" i="1"/>
  <c r="BE314" i="1"/>
  <c r="AN315" i="1"/>
  <c r="AP315" i="1"/>
  <c r="BF315" i="1" s="1"/>
  <c r="AS315" i="1"/>
  <c r="AT315" i="1"/>
  <c r="AU315" i="1"/>
  <c r="AW315" i="1"/>
  <c r="AX315" i="1"/>
  <c r="AY315" i="1"/>
  <c r="AZ315" i="1"/>
  <c r="BB315" i="1"/>
  <c r="BC315" i="1"/>
  <c r="BD315" i="1"/>
  <c r="BE315" i="1"/>
  <c r="Q316" i="1"/>
  <c r="R316" i="1"/>
  <c r="S316" i="1"/>
  <c r="W316" i="1"/>
  <c r="AN316" i="1"/>
  <c r="AP316" i="1"/>
  <c r="BF316" i="1" s="1"/>
  <c r="AS316" i="1"/>
  <c r="AT316" i="1"/>
  <c r="AU316" i="1"/>
  <c r="AW316" i="1"/>
  <c r="AX316" i="1"/>
  <c r="AY316" i="1"/>
  <c r="AZ316" i="1"/>
  <c r="BB316" i="1"/>
  <c r="BC316" i="1"/>
  <c r="BD316" i="1"/>
  <c r="BE316" i="1"/>
  <c r="BA317" i="1"/>
  <c r="AN317" i="1"/>
  <c r="AP317" i="1"/>
  <c r="BF317" i="1" s="1"/>
  <c r="AS317" i="1"/>
  <c r="AT317" i="1"/>
  <c r="AU317" i="1"/>
  <c r="AW317" i="1"/>
  <c r="AX317" i="1"/>
  <c r="AY317" i="1"/>
  <c r="AZ317" i="1"/>
  <c r="BB317" i="1"/>
  <c r="BC317" i="1"/>
  <c r="BD317" i="1"/>
  <c r="BE317" i="1"/>
  <c r="AL318" i="1"/>
  <c r="AZ318" i="1" s="1"/>
  <c r="AN318" i="1"/>
  <c r="AP318" i="1"/>
  <c r="BF318" i="1" s="1"/>
  <c r="AS318" i="1"/>
  <c r="AT318" i="1"/>
  <c r="AU318" i="1"/>
  <c r="AW318" i="1"/>
  <c r="AX318" i="1"/>
  <c r="AY318" i="1"/>
  <c r="BB318" i="1"/>
  <c r="BC318" i="1"/>
  <c r="BD318" i="1"/>
  <c r="BE318" i="1"/>
  <c r="G319" i="1"/>
  <c r="Q319" i="1"/>
  <c r="R319" i="1"/>
  <c r="S319" i="1"/>
  <c r="W319" i="1"/>
  <c r="AC319" i="1"/>
  <c r="AY319" i="1" s="1"/>
  <c r="AD319" i="1"/>
  <c r="AL319" i="1"/>
  <c r="AM319" i="1"/>
  <c r="AN319" i="1"/>
  <c r="AP319" i="1"/>
  <c r="AN320" i="1"/>
  <c r="AP320" i="1"/>
  <c r="BF320" i="1" s="1"/>
  <c r="AS320" i="1"/>
  <c r="AT320" i="1"/>
  <c r="AU320" i="1"/>
  <c r="AW320" i="1"/>
  <c r="AX320" i="1"/>
  <c r="AY320" i="1"/>
  <c r="AZ320" i="1"/>
  <c r="BB320" i="1"/>
  <c r="BC320" i="1"/>
  <c r="BD320" i="1"/>
  <c r="BE320" i="1"/>
  <c r="H321" i="1"/>
  <c r="N321" i="1"/>
  <c r="T321" i="1"/>
  <c r="AC321" i="1" s="1"/>
  <c r="AD321" i="1"/>
  <c r="BC321" i="1" s="1"/>
  <c r="AE321" i="1"/>
  <c r="AL321" i="1" s="1"/>
  <c r="AM321" i="1"/>
  <c r="AN321" i="1"/>
  <c r="AP321" i="1"/>
  <c r="AN322" i="1"/>
  <c r="AP322" i="1"/>
  <c r="BF322" i="1" s="1"/>
  <c r="AS322" i="1"/>
  <c r="AT322" i="1"/>
  <c r="AU322" i="1"/>
  <c r="AW322" i="1"/>
  <c r="AX322" i="1"/>
  <c r="AY322" i="1"/>
  <c r="AZ322" i="1"/>
  <c r="BB322" i="1"/>
  <c r="BC322" i="1"/>
  <c r="BD322" i="1"/>
  <c r="BE322" i="1"/>
  <c r="Q323" i="1"/>
  <c r="R323" i="1"/>
  <c r="S323" i="1"/>
  <c r="W323" i="1"/>
  <c r="AN323" i="1"/>
  <c r="AP323" i="1"/>
  <c r="BF323" i="1" s="1"/>
  <c r="AS323" i="1"/>
  <c r="AT323" i="1"/>
  <c r="AU323" i="1"/>
  <c r="AW323" i="1"/>
  <c r="AX323" i="1"/>
  <c r="AY323" i="1"/>
  <c r="AZ323" i="1"/>
  <c r="BB323" i="1"/>
  <c r="BC323" i="1"/>
  <c r="BD323" i="1"/>
  <c r="BE323" i="1"/>
  <c r="AN324" i="1"/>
  <c r="AP324" i="1"/>
  <c r="BF324" i="1" s="1"/>
  <c r="AS324" i="1"/>
  <c r="AT324" i="1"/>
  <c r="AU324" i="1"/>
  <c r="AW324" i="1"/>
  <c r="AX324" i="1"/>
  <c r="AY324" i="1"/>
  <c r="AZ324" i="1"/>
  <c r="BB324" i="1"/>
  <c r="BC324" i="1"/>
  <c r="BD324" i="1"/>
  <c r="BE324" i="1"/>
  <c r="AN325" i="1"/>
  <c r="AP325" i="1"/>
  <c r="BF325" i="1" s="1"/>
  <c r="AS325" i="1"/>
  <c r="AT325" i="1"/>
  <c r="AU325" i="1"/>
  <c r="AW325" i="1"/>
  <c r="AX325" i="1"/>
  <c r="AY325" i="1"/>
  <c r="AZ325" i="1"/>
  <c r="BB325" i="1"/>
  <c r="BC325" i="1"/>
  <c r="BD325" i="1"/>
  <c r="BE325" i="1"/>
  <c r="AN326" i="1"/>
  <c r="AP326" i="1"/>
  <c r="BF326" i="1" s="1"/>
  <c r="AS326" i="1"/>
  <c r="AT326" i="1"/>
  <c r="AU326" i="1"/>
  <c r="AW326" i="1"/>
  <c r="AX326" i="1"/>
  <c r="AY326" i="1"/>
  <c r="AZ326" i="1"/>
  <c r="BB326" i="1"/>
  <c r="BC326" i="1"/>
  <c r="BD326" i="1"/>
  <c r="BE326" i="1"/>
  <c r="Q327" i="1"/>
  <c r="R327" i="1"/>
  <c r="S327" i="1"/>
  <c r="V327" i="1"/>
  <c r="W327" i="1" s="1"/>
  <c r="AN327" i="1"/>
  <c r="AP327" i="1"/>
  <c r="BF327" i="1" s="1"/>
  <c r="AS327" i="1"/>
  <c r="AT327" i="1"/>
  <c r="AU327" i="1"/>
  <c r="AW327" i="1"/>
  <c r="AX327" i="1"/>
  <c r="AY327" i="1"/>
  <c r="AZ327" i="1"/>
  <c r="BB327" i="1"/>
  <c r="BC327" i="1"/>
  <c r="BD327" i="1"/>
  <c r="BE327" i="1"/>
  <c r="AN328" i="1"/>
  <c r="AP328" i="1"/>
  <c r="BF328" i="1" s="1"/>
  <c r="AS328" i="1"/>
  <c r="AT328" i="1"/>
  <c r="AU328" i="1"/>
  <c r="AW328" i="1"/>
  <c r="AX328" i="1"/>
  <c r="AY328" i="1"/>
  <c r="AZ328" i="1"/>
  <c r="BB328" i="1"/>
  <c r="BC328" i="1"/>
  <c r="BD328" i="1"/>
  <c r="BE328" i="1"/>
  <c r="AN329" i="1"/>
  <c r="AP329" i="1"/>
  <c r="BF329" i="1" s="1"/>
  <c r="AS329" i="1"/>
  <c r="AT329" i="1"/>
  <c r="AU329" i="1"/>
  <c r="AW329" i="1"/>
  <c r="AX329" i="1"/>
  <c r="AY329" i="1"/>
  <c r="AZ329" i="1"/>
  <c r="BB329" i="1"/>
  <c r="BC329" i="1"/>
  <c r="BD329" i="1"/>
  <c r="BE329" i="1"/>
  <c r="K330" i="1"/>
  <c r="AN330" i="1"/>
  <c r="AP330" i="1"/>
  <c r="BF330" i="1" s="1"/>
  <c r="AS330" i="1"/>
  <c r="AT330" i="1"/>
  <c r="AU330" i="1"/>
  <c r="AW330" i="1"/>
  <c r="AX330" i="1"/>
  <c r="AY330" i="1"/>
  <c r="AZ330" i="1"/>
  <c r="BB330" i="1"/>
  <c r="BC330" i="1"/>
  <c r="BD330" i="1"/>
  <c r="BE330" i="1"/>
  <c r="AN331" i="1"/>
  <c r="AP331" i="1"/>
  <c r="BF331" i="1" s="1"/>
  <c r="AS331" i="1"/>
  <c r="AT331" i="1"/>
  <c r="AU331" i="1"/>
  <c r="AW331" i="1"/>
  <c r="AX331" i="1"/>
  <c r="AY331" i="1"/>
  <c r="AZ331" i="1"/>
  <c r="BB331" i="1"/>
  <c r="BC331" i="1"/>
  <c r="BD331" i="1"/>
  <c r="BE331" i="1"/>
  <c r="AV332" i="1"/>
  <c r="AN332" i="1"/>
  <c r="AP332" i="1"/>
  <c r="BF332" i="1" s="1"/>
  <c r="AS332" i="1"/>
  <c r="AT332" i="1"/>
  <c r="AU332" i="1"/>
  <c r="AW332" i="1"/>
  <c r="AX332" i="1"/>
  <c r="AY332" i="1"/>
  <c r="AZ332" i="1"/>
  <c r="BB332" i="1"/>
  <c r="BC332" i="1"/>
  <c r="BD332" i="1"/>
  <c r="BE332" i="1"/>
  <c r="G333" i="1"/>
  <c r="Q333" i="1"/>
  <c r="R333" i="1"/>
  <c r="S333" i="1"/>
  <c r="W333" i="1"/>
  <c r="AC333" i="1"/>
  <c r="AY333" i="1" s="1"/>
  <c r="AD333" i="1"/>
  <c r="I333" i="1" s="1"/>
  <c r="AF333" i="1"/>
  <c r="AL333" i="1"/>
  <c r="AM333" i="1"/>
  <c r="AN333" i="1"/>
  <c r="AP333" i="1"/>
  <c r="BA334" i="1"/>
  <c r="AN334" i="1"/>
  <c r="AP334" i="1"/>
  <c r="BF334" i="1" s="1"/>
  <c r="AS334" i="1"/>
  <c r="AT334" i="1"/>
  <c r="AU334" i="1"/>
  <c r="AW334" i="1"/>
  <c r="AX334" i="1"/>
  <c r="AY334" i="1"/>
  <c r="AZ334" i="1"/>
  <c r="BB334" i="1"/>
  <c r="BD334" i="1"/>
  <c r="BE334" i="1"/>
  <c r="G335" i="1"/>
  <c r="AC335" i="1"/>
  <c r="AY335" i="1" s="1"/>
  <c r="AD335" i="1"/>
  <c r="I335" i="1" s="1"/>
  <c r="AF335" i="1"/>
  <c r="AL335" i="1"/>
  <c r="AM335" i="1"/>
  <c r="AN335" i="1"/>
  <c r="AP335" i="1"/>
  <c r="AN336" i="1"/>
  <c r="AP336" i="1"/>
  <c r="BF336" i="1" s="1"/>
  <c r="AS336" i="1"/>
  <c r="AT336" i="1"/>
  <c r="AU336" i="1"/>
  <c r="AW336" i="1"/>
  <c r="AX336" i="1"/>
  <c r="AY336" i="1"/>
  <c r="AZ336" i="1"/>
  <c r="BB336" i="1"/>
  <c r="BD336" i="1"/>
  <c r="BE336" i="1"/>
  <c r="AN337" i="1"/>
  <c r="AP337" i="1"/>
  <c r="BF337" i="1" s="1"/>
  <c r="AS337" i="1"/>
  <c r="AT337" i="1"/>
  <c r="AU337" i="1"/>
  <c r="AW337" i="1"/>
  <c r="AX337" i="1"/>
  <c r="AY337" i="1"/>
  <c r="AZ337" i="1"/>
  <c r="BB337" i="1"/>
  <c r="BD337" i="1"/>
  <c r="BE337" i="1"/>
  <c r="AN338" i="1"/>
  <c r="AP338" i="1"/>
  <c r="BF338" i="1" s="1"/>
  <c r="AS338" i="1"/>
  <c r="AT338" i="1"/>
  <c r="AU338" i="1"/>
  <c r="AW338" i="1"/>
  <c r="AX338" i="1"/>
  <c r="AY338" i="1"/>
  <c r="AZ338" i="1"/>
  <c r="BB338" i="1"/>
  <c r="BD338" i="1"/>
  <c r="BE338" i="1"/>
  <c r="AN339" i="1"/>
  <c r="AP339" i="1"/>
  <c r="BF339" i="1" s="1"/>
  <c r="AS339" i="1"/>
  <c r="AT339" i="1"/>
  <c r="AU339" i="1"/>
  <c r="AW339" i="1"/>
  <c r="AX339" i="1"/>
  <c r="AY339" i="1"/>
  <c r="AZ339" i="1"/>
  <c r="BB339" i="1"/>
  <c r="BD339" i="1"/>
  <c r="BE339" i="1"/>
  <c r="AN340" i="1"/>
  <c r="AP340" i="1"/>
  <c r="BF340" i="1" s="1"/>
  <c r="AS340" i="1"/>
  <c r="AT340" i="1"/>
  <c r="AU340" i="1"/>
  <c r="AW340" i="1"/>
  <c r="AX340" i="1"/>
  <c r="AY340" i="1"/>
  <c r="AZ340" i="1"/>
  <c r="BB340" i="1"/>
  <c r="BD340" i="1"/>
  <c r="BE340" i="1"/>
  <c r="L341" i="1"/>
  <c r="AN341" i="1"/>
  <c r="AP341" i="1"/>
  <c r="BF341" i="1" s="1"/>
  <c r="AS341" i="1"/>
  <c r="AT341" i="1"/>
  <c r="AU341" i="1"/>
  <c r="AW341" i="1"/>
  <c r="AX341" i="1"/>
  <c r="AY341" i="1"/>
  <c r="AZ341" i="1"/>
  <c r="BB341" i="1"/>
  <c r="BD341" i="1"/>
  <c r="BE341" i="1"/>
  <c r="K342" i="1"/>
  <c r="AN342" i="1"/>
  <c r="AP342" i="1"/>
  <c r="BF342" i="1" s="1"/>
  <c r="AS342" i="1"/>
  <c r="AT342" i="1"/>
  <c r="AU342" i="1"/>
  <c r="AW342" i="1"/>
  <c r="AX342" i="1"/>
  <c r="AY342" i="1"/>
  <c r="AZ342" i="1"/>
  <c r="BB342" i="1"/>
  <c r="BD342" i="1"/>
  <c r="BE342" i="1"/>
  <c r="AN343" i="1"/>
  <c r="AP343" i="1"/>
  <c r="BF343" i="1" s="1"/>
  <c r="AS343" i="1"/>
  <c r="AT343" i="1"/>
  <c r="AU343" i="1"/>
  <c r="AW343" i="1"/>
  <c r="AX343" i="1"/>
  <c r="AY343" i="1"/>
  <c r="AZ343" i="1"/>
  <c r="BB343" i="1"/>
  <c r="BD343" i="1"/>
  <c r="BE343" i="1"/>
  <c r="BA344" i="1"/>
  <c r="AN344" i="1"/>
  <c r="AP344" i="1"/>
  <c r="BF344" i="1" s="1"/>
  <c r="AS344" i="1"/>
  <c r="AT344" i="1"/>
  <c r="AU344" i="1"/>
  <c r="AW344" i="1"/>
  <c r="AX344" i="1"/>
  <c r="AY344" i="1"/>
  <c r="AZ344" i="1"/>
  <c r="BB344" i="1"/>
  <c r="BD344" i="1"/>
  <c r="BE344" i="1"/>
  <c r="BA345" i="1"/>
  <c r="AN345" i="1"/>
  <c r="AP345" i="1"/>
  <c r="BF345" i="1" s="1"/>
  <c r="AS345" i="1"/>
  <c r="AT345" i="1"/>
  <c r="AU345" i="1"/>
  <c r="AW345" i="1"/>
  <c r="AX345" i="1"/>
  <c r="AY345" i="1"/>
  <c r="AZ345" i="1"/>
  <c r="BB345" i="1"/>
  <c r="BD345" i="1"/>
  <c r="BE345" i="1"/>
  <c r="AN346" i="1"/>
  <c r="AP346" i="1"/>
  <c r="BF346" i="1" s="1"/>
  <c r="AS346" i="1"/>
  <c r="AT346" i="1"/>
  <c r="AU346" i="1"/>
  <c r="AW346" i="1"/>
  <c r="AX346" i="1"/>
  <c r="AY346" i="1"/>
  <c r="AZ346" i="1"/>
  <c r="BB346" i="1"/>
  <c r="BD346" i="1"/>
  <c r="BE346" i="1"/>
  <c r="H347" i="1"/>
  <c r="G347" i="1" s="1"/>
  <c r="AX347" i="1" s="1"/>
  <c r="I347" i="1"/>
  <c r="AS347" i="1" s="1"/>
  <c r="Q347" i="1"/>
  <c r="R347" i="1"/>
  <c r="S347" i="1"/>
  <c r="W347" i="1"/>
  <c r="AC347" i="1"/>
  <c r="AY347" i="1" s="1"/>
  <c r="AL347" i="1"/>
  <c r="AZ347" i="1" s="1"/>
  <c r="AN347" i="1"/>
  <c r="AP347" i="1"/>
  <c r="BF347" i="1" s="1"/>
  <c r="AT347" i="1"/>
  <c r="BE347" i="1"/>
  <c r="AN348" i="1"/>
  <c r="AP348" i="1"/>
  <c r="BF348" i="1" s="1"/>
  <c r="AS348" i="1"/>
  <c r="AT348" i="1"/>
  <c r="AU348" i="1"/>
  <c r="AW348" i="1"/>
  <c r="AX348" i="1"/>
  <c r="AY348" i="1"/>
  <c r="AZ348" i="1"/>
  <c r="BB348" i="1"/>
  <c r="BD348" i="1"/>
  <c r="BE348" i="1"/>
  <c r="AN349" i="1"/>
  <c r="AP349" i="1"/>
  <c r="BF349" i="1" s="1"/>
  <c r="AS349" i="1"/>
  <c r="AT349" i="1"/>
  <c r="AU349" i="1"/>
  <c r="AW349" i="1"/>
  <c r="AX349" i="1"/>
  <c r="AY349" i="1"/>
  <c r="AZ349" i="1"/>
  <c r="BB349" i="1"/>
  <c r="BD349" i="1"/>
  <c r="BE349" i="1"/>
  <c r="AV350" i="1"/>
  <c r="AN350" i="1"/>
  <c r="AP350" i="1"/>
  <c r="BF350" i="1" s="1"/>
  <c r="AS350" i="1"/>
  <c r="AT350" i="1"/>
  <c r="AU350" i="1"/>
  <c r="AW350" i="1"/>
  <c r="AX350" i="1"/>
  <c r="AY350" i="1"/>
  <c r="AZ350" i="1"/>
  <c r="BB350" i="1"/>
  <c r="BD350" i="1"/>
  <c r="BE350" i="1"/>
  <c r="AN351" i="1"/>
  <c r="AP351" i="1"/>
  <c r="BF351" i="1" s="1"/>
  <c r="AS351" i="1"/>
  <c r="AT351" i="1"/>
  <c r="AU351" i="1"/>
  <c r="AW351" i="1"/>
  <c r="AX351" i="1"/>
  <c r="AY351" i="1"/>
  <c r="AZ351" i="1"/>
  <c r="BB351" i="1"/>
  <c r="BD351" i="1"/>
  <c r="BE351" i="1"/>
  <c r="AN352" i="1"/>
  <c r="AP352" i="1"/>
  <c r="BF352" i="1" s="1"/>
  <c r="AS352" i="1"/>
  <c r="AT352" i="1"/>
  <c r="AU352" i="1"/>
  <c r="AW352" i="1"/>
  <c r="AX352" i="1"/>
  <c r="AY352" i="1"/>
  <c r="AZ352" i="1"/>
  <c r="BB352" i="1"/>
  <c r="BD352" i="1"/>
  <c r="BE352" i="1"/>
  <c r="BA353" i="1"/>
  <c r="AN353" i="1"/>
  <c r="AP353" i="1"/>
  <c r="BF353" i="1" s="1"/>
  <c r="AS353" i="1"/>
  <c r="AT353" i="1"/>
  <c r="AU353" i="1"/>
  <c r="AW353" i="1"/>
  <c r="AX353" i="1"/>
  <c r="AY353" i="1"/>
  <c r="AZ353" i="1"/>
  <c r="BB353" i="1"/>
  <c r="BD353" i="1"/>
  <c r="BE353" i="1"/>
  <c r="AN354" i="1"/>
  <c r="AP354" i="1"/>
  <c r="BF354" i="1" s="1"/>
  <c r="AS354" i="1"/>
  <c r="AT354" i="1"/>
  <c r="AU354" i="1"/>
  <c r="AW354" i="1"/>
  <c r="AX354" i="1"/>
  <c r="AY354" i="1"/>
  <c r="AZ354" i="1"/>
  <c r="BB354" i="1"/>
  <c r="BD354" i="1"/>
  <c r="BE354" i="1"/>
  <c r="N355" i="1"/>
  <c r="G355" i="1" s="1"/>
  <c r="Q355" i="1"/>
  <c r="R355" i="1"/>
  <c r="S355" i="1"/>
  <c r="T355" i="1"/>
  <c r="AC355" i="1" s="1"/>
  <c r="W355" i="1"/>
  <c r="AD355" i="1"/>
  <c r="I355" i="1" s="1"/>
  <c r="AE355" i="1"/>
  <c r="AL355" i="1" s="1"/>
  <c r="AF355" i="1"/>
  <c r="AM355" i="1"/>
  <c r="AN355" i="1"/>
  <c r="AP355" i="1"/>
  <c r="AN356" i="1"/>
  <c r="AP356" i="1"/>
  <c r="BF356" i="1" s="1"/>
  <c r="AW356" i="1"/>
  <c r="AX356" i="1"/>
  <c r="AY356" i="1"/>
  <c r="AZ356" i="1"/>
  <c r="BB356" i="1"/>
  <c r="BC356" i="1"/>
  <c r="BD356" i="1"/>
  <c r="BE356" i="1"/>
  <c r="AN357" i="1"/>
  <c r="AP357" i="1"/>
  <c r="BF357" i="1" s="1"/>
  <c r="AW357" i="1"/>
  <c r="AX357" i="1"/>
  <c r="AY357" i="1"/>
  <c r="AZ357" i="1"/>
  <c r="BB357" i="1"/>
  <c r="BC357" i="1"/>
  <c r="BD357" i="1"/>
  <c r="BE357" i="1"/>
  <c r="AN358" i="1"/>
  <c r="AW358" i="1"/>
  <c r="AX358" i="1"/>
  <c r="AY358" i="1"/>
  <c r="AZ358" i="1"/>
  <c r="BB358" i="1"/>
  <c r="BC358" i="1"/>
  <c r="BD358" i="1"/>
  <c r="BE358" i="1"/>
  <c r="AN359" i="1"/>
  <c r="AW359" i="1"/>
  <c r="AX359" i="1"/>
  <c r="AY359" i="1"/>
  <c r="AZ359" i="1"/>
  <c r="BB359" i="1"/>
  <c r="BC359" i="1"/>
  <c r="BD359" i="1"/>
  <c r="BE359" i="1"/>
  <c r="BF359" i="1"/>
  <c r="AN360" i="1"/>
  <c r="AW360" i="1"/>
  <c r="AX360" i="1"/>
  <c r="AY360" i="1"/>
  <c r="AZ360" i="1"/>
  <c r="BB360" i="1"/>
  <c r="BC360" i="1"/>
  <c r="BD360" i="1"/>
  <c r="BE360" i="1"/>
  <c r="AN361" i="1"/>
  <c r="AW361" i="1"/>
  <c r="AX361" i="1"/>
  <c r="AY361" i="1"/>
  <c r="AZ361" i="1"/>
  <c r="BB361" i="1"/>
  <c r="BC361" i="1"/>
  <c r="BD361" i="1"/>
  <c r="BE361" i="1"/>
  <c r="AN362" i="1"/>
  <c r="AO362" i="1"/>
  <c r="AW362" i="1"/>
  <c r="AX362" i="1"/>
  <c r="AY362" i="1"/>
  <c r="AZ362" i="1"/>
  <c r="BB362" i="1"/>
  <c r="BC362" i="1"/>
  <c r="BD362" i="1"/>
  <c r="BE362" i="1"/>
  <c r="H363" i="1"/>
  <c r="I363" i="1"/>
  <c r="N363" i="1"/>
  <c r="Q363" i="1"/>
  <c r="R363" i="1"/>
  <c r="S363" i="1"/>
  <c r="T363" i="1"/>
  <c r="AC363" i="1" s="1"/>
  <c r="AY363" i="1" s="1"/>
  <c r="W363" i="1"/>
  <c r="AF363" i="1"/>
  <c r="BC363" i="1" s="1"/>
  <c r="AL363" i="1"/>
  <c r="AM363" i="1"/>
  <c r="AN363" i="1"/>
  <c r="AV364" i="1"/>
  <c r="AN364" i="1"/>
  <c r="AW364" i="1"/>
  <c r="AX364" i="1"/>
  <c r="AY364" i="1"/>
  <c r="AZ364" i="1"/>
  <c r="BB364" i="1"/>
  <c r="BC364" i="1"/>
  <c r="BD364" i="1"/>
  <c r="BE364" i="1"/>
  <c r="AN365" i="1"/>
  <c r="AP365" i="1"/>
  <c r="BF365" i="1" s="1"/>
  <c r="AW365" i="1"/>
  <c r="AX365" i="1"/>
  <c r="AY365" i="1"/>
  <c r="AZ365" i="1"/>
  <c r="BB365" i="1"/>
  <c r="BC365" i="1"/>
  <c r="BD365" i="1"/>
  <c r="BE365" i="1"/>
  <c r="AN366" i="1"/>
  <c r="AP366" i="1"/>
  <c r="BF366" i="1" s="1"/>
  <c r="AW366" i="1"/>
  <c r="AX366" i="1"/>
  <c r="AY366" i="1"/>
  <c r="AZ366" i="1"/>
  <c r="BB366" i="1"/>
  <c r="BC366" i="1"/>
  <c r="BD366" i="1"/>
  <c r="BE366" i="1"/>
  <c r="AN367" i="1"/>
  <c r="AP367" i="1"/>
  <c r="BF367" i="1" s="1"/>
  <c r="AW367" i="1"/>
  <c r="AX367" i="1"/>
  <c r="AY367" i="1"/>
  <c r="AZ367" i="1"/>
  <c r="BB367" i="1"/>
  <c r="BC367" i="1"/>
  <c r="BD367" i="1"/>
  <c r="BE367" i="1"/>
  <c r="AN368" i="1"/>
  <c r="AP368" i="1"/>
  <c r="BF368" i="1" s="1"/>
  <c r="AW368" i="1"/>
  <c r="AX368" i="1"/>
  <c r="AY368" i="1"/>
  <c r="AZ368" i="1"/>
  <c r="BB368" i="1"/>
  <c r="BC368" i="1"/>
  <c r="BD368" i="1"/>
  <c r="BE368" i="1"/>
  <c r="H369" i="1"/>
  <c r="N369" i="1"/>
  <c r="Q369" i="1"/>
  <c r="R369" i="1"/>
  <c r="S369" i="1"/>
  <c r="T369" i="1"/>
  <c r="AC369" i="1" s="1"/>
  <c r="AY369" i="1" s="1"/>
  <c r="W369" i="1"/>
  <c r="AD369" i="1"/>
  <c r="I369" i="1" s="1"/>
  <c r="AF369" i="1"/>
  <c r="AL369" i="1"/>
  <c r="AM369" i="1"/>
  <c r="AN369" i="1"/>
  <c r="AP369" i="1"/>
  <c r="AN370" i="1"/>
  <c r="AP370" i="1"/>
  <c r="BF370" i="1" s="1"/>
  <c r="AT370" i="1"/>
  <c r="AU370" i="1"/>
  <c r="AW370" i="1"/>
  <c r="AX370" i="1"/>
  <c r="AY370" i="1"/>
  <c r="AZ370" i="1"/>
  <c r="BB370" i="1"/>
  <c r="BC370" i="1"/>
  <c r="BD370" i="1"/>
  <c r="BE370" i="1"/>
  <c r="K371" i="1"/>
  <c r="AD371" i="1"/>
  <c r="AF371" i="1"/>
  <c r="AN371" i="1"/>
  <c r="AP371" i="1"/>
  <c r="AU371" i="1"/>
  <c r="AX371" i="1"/>
  <c r="AY371" i="1"/>
  <c r="AZ371" i="1"/>
  <c r="BD371" i="1"/>
  <c r="H372" i="1"/>
  <c r="N372" i="1"/>
  <c r="Q372" i="1"/>
  <c r="R372" i="1"/>
  <c r="S372" i="1"/>
  <c r="T372" i="1"/>
  <c r="AC372" i="1" s="1"/>
  <c r="U372" i="1"/>
  <c r="W372" i="1" s="1"/>
  <c r="AD372" i="1"/>
  <c r="I372" i="1" s="1"/>
  <c r="AE372" i="1"/>
  <c r="AL372" i="1" s="1"/>
  <c r="AF372" i="1"/>
  <c r="AM372" i="1"/>
  <c r="AN372" i="1"/>
  <c r="AP372" i="1"/>
  <c r="BA373" i="1"/>
  <c r="AN373" i="1"/>
  <c r="AP373" i="1"/>
  <c r="BF373" i="1" s="1"/>
  <c r="AT373" i="1"/>
  <c r="AU373" i="1"/>
  <c r="AW373" i="1"/>
  <c r="AX373" i="1"/>
  <c r="AY373" i="1"/>
  <c r="AZ373" i="1"/>
  <c r="BB373" i="1"/>
  <c r="BC373" i="1"/>
  <c r="BD373" i="1"/>
  <c r="BE373" i="1"/>
  <c r="K374" i="1"/>
  <c r="AN374" i="1"/>
  <c r="AP374" i="1"/>
  <c r="BF374" i="1" s="1"/>
  <c r="AT374" i="1"/>
  <c r="AU374" i="1"/>
  <c r="AW374" i="1"/>
  <c r="AX374" i="1"/>
  <c r="AY374" i="1"/>
  <c r="AZ374" i="1"/>
  <c r="BB374" i="1"/>
  <c r="BD374" i="1"/>
  <c r="BE374" i="1"/>
  <c r="K375" i="1"/>
  <c r="AN375" i="1"/>
  <c r="AT375" i="1"/>
  <c r="AU375" i="1"/>
  <c r="AW375" i="1"/>
  <c r="AX375" i="1"/>
  <c r="AY375" i="1"/>
  <c r="AZ375" i="1"/>
  <c r="BB375" i="1"/>
  <c r="BD375" i="1"/>
  <c r="BE375" i="1"/>
  <c r="G376" i="1"/>
  <c r="AU376" i="1" s="1"/>
  <c r="I376" i="1"/>
  <c r="Q376" i="1"/>
  <c r="R376" i="1"/>
  <c r="S376" i="1"/>
  <c r="U376" i="1"/>
  <c r="V376" i="1"/>
  <c r="AC376" i="1"/>
  <c r="AY376" i="1" s="1"/>
  <c r="AL376" i="1"/>
  <c r="AZ376" i="1" s="1"/>
  <c r="AN376" i="1"/>
  <c r="AT376" i="1"/>
  <c r="BC376" i="1"/>
  <c r="BE376" i="1"/>
  <c r="I377" i="1"/>
  <c r="AN377" i="1"/>
  <c r="AT377" i="1"/>
  <c r="AU377" i="1"/>
  <c r="AX377" i="1"/>
  <c r="AY377" i="1"/>
  <c r="AZ377" i="1"/>
  <c r="BC377" i="1"/>
  <c r="BD377" i="1"/>
  <c r="BE377" i="1"/>
  <c r="AV378" i="1"/>
  <c r="AN378" i="1"/>
  <c r="AT378" i="1"/>
  <c r="AU378" i="1"/>
  <c r="AW378" i="1"/>
  <c r="AX378" i="1"/>
  <c r="AY378" i="1"/>
  <c r="AZ378" i="1"/>
  <c r="BB378" i="1"/>
  <c r="BC378" i="1"/>
  <c r="BD378" i="1"/>
  <c r="BE378" i="1"/>
  <c r="BA379" i="1"/>
  <c r="AN379" i="1"/>
  <c r="AO379" i="1"/>
  <c r="AT379" i="1"/>
  <c r="AU379" i="1"/>
  <c r="AW379" i="1"/>
  <c r="AX379" i="1"/>
  <c r="AY379" i="1"/>
  <c r="AZ379" i="1"/>
  <c r="BB379" i="1"/>
  <c r="BC379" i="1"/>
  <c r="BD379" i="1"/>
  <c r="BE379" i="1"/>
  <c r="BA380" i="1"/>
  <c r="AN380" i="1"/>
  <c r="AT380" i="1"/>
  <c r="AU380" i="1"/>
  <c r="AW380" i="1"/>
  <c r="AX380" i="1"/>
  <c r="AY380" i="1"/>
  <c r="AZ380" i="1"/>
  <c r="BB380" i="1"/>
  <c r="BC380" i="1"/>
  <c r="BD380" i="1"/>
  <c r="BE380" i="1"/>
  <c r="AV381" i="1"/>
  <c r="AN381" i="1"/>
  <c r="AT381" i="1"/>
  <c r="AU381" i="1"/>
  <c r="AW381" i="1"/>
  <c r="AX381" i="1"/>
  <c r="AY381" i="1"/>
  <c r="AZ381" i="1"/>
  <c r="BB381" i="1"/>
  <c r="BC381" i="1"/>
  <c r="BD381" i="1"/>
  <c r="BE381" i="1"/>
  <c r="H382" i="1"/>
  <c r="N382" i="1"/>
  <c r="Q382" i="1"/>
  <c r="R382" i="1"/>
  <c r="S382" i="1"/>
  <c r="T382" i="1"/>
  <c r="AC382" i="1" s="1"/>
  <c r="W382" i="1"/>
  <c r="AD382" i="1"/>
  <c r="AE382" i="1"/>
  <c r="AF382" i="1"/>
  <c r="AM382" i="1"/>
  <c r="AN382" i="1"/>
  <c r="AP382" i="1"/>
  <c r="AN383" i="1"/>
  <c r="AP383" i="1"/>
  <c r="BF383" i="1" s="1"/>
  <c r="AT383" i="1"/>
  <c r="AU383" i="1"/>
  <c r="AW383" i="1"/>
  <c r="AX383" i="1"/>
  <c r="AY383" i="1"/>
  <c r="AZ383" i="1"/>
  <c r="BB383" i="1"/>
  <c r="BC383" i="1"/>
  <c r="BD383" i="1"/>
  <c r="BE383" i="1"/>
  <c r="AN384" i="1"/>
  <c r="AP384" i="1"/>
  <c r="BF384" i="1" s="1"/>
  <c r="AT384" i="1"/>
  <c r="AU384" i="1"/>
  <c r="AW384" i="1"/>
  <c r="AX384" i="1"/>
  <c r="AY384" i="1"/>
  <c r="AZ384" i="1"/>
  <c r="BB384" i="1"/>
  <c r="BD384" i="1"/>
  <c r="BE384" i="1"/>
  <c r="AR385" i="1"/>
  <c r="AN385" i="1"/>
  <c r="AP385" i="1"/>
  <c r="BF385" i="1" s="1"/>
  <c r="AT385" i="1"/>
  <c r="AU385" i="1"/>
  <c r="AW385" i="1"/>
  <c r="AX385" i="1"/>
  <c r="AY385" i="1"/>
  <c r="AZ385" i="1"/>
  <c r="BB385" i="1"/>
  <c r="BC385" i="1"/>
  <c r="BD385" i="1"/>
  <c r="BE385" i="1"/>
  <c r="AN386" i="1"/>
  <c r="AP386" i="1"/>
  <c r="BF386" i="1" s="1"/>
  <c r="AT386" i="1"/>
  <c r="AU386" i="1"/>
  <c r="AW386" i="1"/>
  <c r="AX386" i="1"/>
  <c r="AY386" i="1"/>
  <c r="AZ386" i="1"/>
  <c r="BB386" i="1"/>
  <c r="BD386" i="1"/>
  <c r="BE386" i="1"/>
  <c r="AN387" i="1"/>
  <c r="AP387" i="1"/>
  <c r="BF387" i="1" s="1"/>
  <c r="AT387" i="1"/>
  <c r="AU387" i="1"/>
  <c r="AW387" i="1"/>
  <c r="AX387" i="1"/>
  <c r="AY387" i="1"/>
  <c r="AZ387" i="1"/>
  <c r="BB387" i="1"/>
  <c r="BC387" i="1"/>
  <c r="BD387" i="1"/>
  <c r="BE387" i="1"/>
  <c r="AN388" i="1"/>
  <c r="AP388" i="1"/>
  <c r="BF388" i="1" s="1"/>
  <c r="AT388" i="1"/>
  <c r="AU388" i="1"/>
  <c r="AW388" i="1"/>
  <c r="AX388" i="1"/>
  <c r="AY388" i="1"/>
  <c r="AZ388" i="1"/>
  <c r="BB388" i="1"/>
  <c r="BD388" i="1"/>
  <c r="BE388" i="1"/>
  <c r="AN389" i="1"/>
  <c r="AP389" i="1"/>
  <c r="BF389" i="1" s="1"/>
  <c r="AT389" i="1"/>
  <c r="AU389" i="1"/>
  <c r="AW389" i="1"/>
  <c r="AX389" i="1"/>
  <c r="AY389" i="1"/>
  <c r="AZ389" i="1"/>
  <c r="BB389" i="1"/>
  <c r="BD389" i="1"/>
  <c r="BE389" i="1"/>
  <c r="AV390" i="1"/>
  <c r="AN390" i="1"/>
  <c r="AP390" i="1"/>
  <c r="BF390" i="1" s="1"/>
  <c r="AT390" i="1"/>
  <c r="AU390" i="1"/>
  <c r="AW390" i="1"/>
  <c r="AX390" i="1"/>
  <c r="AY390" i="1"/>
  <c r="AZ390" i="1"/>
  <c r="BB390" i="1"/>
  <c r="BD390" i="1"/>
  <c r="BE390" i="1"/>
  <c r="K391" i="1"/>
  <c r="AN391" i="1"/>
  <c r="AP391" i="1"/>
  <c r="BF391" i="1" s="1"/>
  <c r="AT391" i="1"/>
  <c r="AU391" i="1"/>
  <c r="AW391" i="1"/>
  <c r="AX391" i="1"/>
  <c r="AY391" i="1"/>
  <c r="AZ391" i="1"/>
  <c r="BB391" i="1"/>
  <c r="BD391" i="1"/>
  <c r="BE391" i="1"/>
  <c r="AN392" i="1"/>
  <c r="AP392" i="1"/>
  <c r="BF392" i="1" s="1"/>
  <c r="AT392" i="1"/>
  <c r="AU392" i="1"/>
  <c r="AW392" i="1"/>
  <c r="AX392" i="1"/>
  <c r="AY392" i="1"/>
  <c r="AZ392" i="1"/>
  <c r="BB392" i="1"/>
  <c r="BD392" i="1"/>
  <c r="BE392" i="1"/>
  <c r="AN393" i="1"/>
  <c r="AP393" i="1"/>
  <c r="BF393" i="1" s="1"/>
  <c r="AT393" i="1"/>
  <c r="AU393" i="1"/>
  <c r="AW393" i="1"/>
  <c r="AX393" i="1"/>
  <c r="AY393" i="1"/>
  <c r="AZ393" i="1"/>
  <c r="BB393" i="1"/>
  <c r="BC393" i="1"/>
  <c r="BD393" i="1"/>
  <c r="BE393" i="1"/>
  <c r="H394" i="1"/>
  <c r="N394" i="1"/>
  <c r="Q394" i="1"/>
  <c r="R394" i="1"/>
  <c r="S394" i="1"/>
  <c r="T394" i="1"/>
  <c r="AC394" i="1" s="1"/>
  <c r="U394" i="1"/>
  <c r="V394" i="1"/>
  <c r="AD394" i="1"/>
  <c r="AE394" i="1"/>
  <c r="AL394" i="1" s="1"/>
  <c r="AF394" i="1"/>
  <c r="AM394" i="1"/>
  <c r="AN394" i="1"/>
  <c r="AP394" i="1"/>
  <c r="AN395" i="1"/>
  <c r="AP395" i="1"/>
  <c r="BF395" i="1" s="1"/>
  <c r="AT395" i="1"/>
  <c r="AU395" i="1"/>
  <c r="AW395" i="1"/>
  <c r="AX395" i="1"/>
  <c r="AY395" i="1"/>
  <c r="AZ395" i="1"/>
  <c r="BB395" i="1"/>
  <c r="BC395" i="1"/>
  <c r="BD395" i="1"/>
  <c r="BE395" i="1"/>
  <c r="AN396" i="1"/>
  <c r="AP396" i="1"/>
  <c r="BF396" i="1" s="1"/>
  <c r="AT396" i="1"/>
  <c r="AU396" i="1"/>
  <c r="AW396" i="1"/>
  <c r="AX396" i="1"/>
  <c r="AY396" i="1"/>
  <c r="AZ396" i="1"/>
  <c r="BB396" i="1"/>
  <c r="BC396" i="1"/>
  <c r="BD396" i="1"/>
  <c r="BE396" i="1"/>
  <c r="AN397" i="1"/>
  <c r="AP397" i="1"/>
  <c r="BF397" i="1" s="1"/>
  <c r="AT397" i="1"/>
  <c r="AU397" i="1"/>
  <c r="AW397" i="1"/>
  <c r="AX397" i="1"/>
  <c r="AY397" i="1"/>
  <c r="AZ397" i="1"/>
  <c r="BB397" i="1"/>
  <c r="BC397" i="1"/>
  <c r="BD397" i="1"/>
  <c r="BE397" i="1"/>
  <c r="AN398" i="1"/>
  <c r="AP398" i="1"/>
  <c r="BF398" i="1" s="1"/>
  <c r="AT398" i="1"/>
  <c r="AU398" i="1"/>
  <c r="AW398" i="1"/>
  <c r="AX398" i="1"/>
  <c r="AY398" i="1"/>
  <c r="AZ398" i="1"/>
  <c r="BB398" i="1"/>
  <c r="BC398" i="1"/>
  <c r="BD398" i="1"/>
  <c r="BE398" i="1"/>
  <c r="AN399" i="1"/>
  <c r="AP399" i="1"/>
  <c r="BF399" i="1" s="1"/>
  <c r="AT399" i="1"/>
  <c r="AU399" i="1"/>
  <c r="AW399" i="1"/>
  <c r="AX399" i="1"/>
  <c r="AY399" i="1"/>
  <c r="AZ399" i="1"/>
  <c r="BB399" i="1"/>
  <c r="BD399" i="1"/>
  <c r="BE399" i="1"/>
  <c r="H400" i="1"/>
  <c r="N400" i="1"/>
  <c r="T400" i="1"/>
  <c r="AC400" i="1" s="1"/>
  <c r="AD400" i="1"/>
  <c r="AE400" i="1"/>
  <c r="AL400" i="1" s="1"/>
  <c r="AF400" i="1"/>
  <c r="AM400" i="1"/>
  <c r="AN400" i="1"/>
  <c r="AP400" i="1"/>
  <c r="AV401" i="1"/>
  <c r="AK401" i="1"/>
  <c r="AN401" i="1" s="1"/>
  <c r="AP401" i="1"/>
  <c r="BF401" i="1" s="1"/>
  <c r="AS401" i="1"/>
  <c r="AT401" i="1"/>
  <c r="AU401" i="1"/>
  <c r="AW401" i="1"/>
  <c r="AX401" i="1"/>
  <c r="AY401" i="1"/>
  <c r="AZ401" i="1"/>
  <c r="BB401" i="1"/>
  <c r="BC401" i="1"/>
  <c r="BD401" i="1"/>
  <c r="BE401" i="1"/>
  <c r="AE402" i="1"/>
  <c r="AF402" i="1"/>
  <c r="AK402" i="1"/>
  <c r="AN402" i="1" s="1"/>
  <c r="AM402" i="1"/>
  <c r="AP402" i="1"/>
  <c r="Q403" i="1"/>
  <c r="R403" i="1"/>
  <c r="S403" i="1"/>
  <c r="W403" i="1"/>
  <c r="AK403" i="1"/>
  <c r="AN403" i="1" s="1"/>
  <c r="AP403" i="1"/>
  <c r="BF403" i="1" s="1"/>
  <c r="AS403" i="1"/>
  <c r="AT403" i="1"/>
  <c r="AU403" i="1"/>
  <c r="AW403" i="1"/>
  <c r="AX403" i="1"/>
  <c r="AY403" i="1"/>
  <c r="AZ403" i="1"/>
  <c r="BB403" i="1"/>
  <c r="BC403" i="1"/>
  <c r="BD403" i="1"/>
  <c r="BE403" i="1"/>
  <c r="AK404" i="1"/>
  <c r="AN404" i="1" s="1"/>
  <c r="AP404" i="1"/>
  <c r="BF404" i="1" s="1"/>
  <c r="AS404" i="1"/>
  <c r="AT404" i="1"/>
  <c r="AU404" i="1"/>
  <c r="AW404" i="1"/>
  <c r="AX404" i="1"/>
  <c r="AY404" i="1"/>
  <c r="AZ404" i="1"/>
  <c r="BB404" i="1"/>
  <c r="BC404" i="1"/>
  <c r="BD404" i="1"/>
  <c r="BE404" i="1"/>
  <c r="H405" i="1"/>
  <c r="N405" i="1"/>
  <c r="Q405" i="1"/>
  <c r="R405" i="1"/>
  <c r="S405" i="1"/>
  <c r="T405" i="1"/>
  <c r="AC405" i="1" s="1"/>
  <c r="AY405" i="1" s="1"/>
  <c r="W405" i="1"/>
  <c r="AD405" i="1"/>
  <c r="AK405" i="1"/>
  <c r="AN405" i="1" s="1"/>
  <c r="AM405" i="1"/>
  <c r="AP405" i="1"/>
  <c r="AK406" i="1"/>
  <c r="AN406" i="1" s="1"/>
  <c r="AP406" i="1"/>
  <c r="BF406" i="1" s="1"/>
  <c r="AS406" i="1"/>
  <c r="AT406" i="1"/>
  <c r="AU406" i="1"/>
  <c r="AW406" i="1"/>
  <c r="AX406" i="1"/>
  <c r="AY406" i="1"/>
  <c r="AZ406" i="1"/>
  <c r="BB406" i="1"/>
  <c r="BC406" i="1"/>
  <c r="BD406" i="1"/>
  <c r="BE406" i="1"/>
  <c r="AK407" i="1"/>
  <c r="AN407" i="1" s="1"/>
  <c r="AP407" i="1"/>
  <c r="BF407" i="1" s="1"/>
  <c r="AS407" i="1"/>
  <c r="AT407" i="1"/>
  <c r="AU407" i="1"/>
  <c r="AW407" i="1"/>
  <c r="AX407" i="1"/>
  <c r="AY407" i="1"/>
  <c r="AZ407" i="1"/>
  <c r="BB407" i="1"/>
  <c r="BC407" i="1"/>
  <c r="BD407" i="1"/>
  <c r="BE407" i="1"/>
  <c r="BA408" i="1"/>
  <c r="AK408" i="1"/>
  <c r="AN408" i="1" s="1"/>
  <c r="AP408" i="1"/>
  <c r="BF408" i="1" s="1"/>
  <c r="AS408" i="1"/>
  <c r="AT408" i="1"/>
  <c r="AU408" i="1"/>
  <c r="AW408" i="1"/>
  <c r="AX408" i="1"/>
  <c r="AY408" i="1"/>
  <c r="AZ408" i="1"/>
  <c r="BB408" i="1"/>
  <c r="BC408" i="1"/>
  <c r="BD408" i="1"/>
  <c r="BE408" i="1"/>
  <c r="AK409" i="1"/>
  <c r="AN409" i="1" s="1"/>
  <c r="AP409" i="1"/>
  <c r="BF409" i="1" s="1"/>
  <c r="AS409" i="1"/>
  <c r="AT409" i="1"/>
  <c r="AU409" i="1"/>
  <c r="AW409" i="1"/>
  <c r="AX409" i="1"/>
  <c r="AY409" i="1"/>
  <c r="AZ409" i="1"/>
  <c r="BB409" i="1"/>
  <c r="BC409" i="1"/>
  <c r="BD409" i="1"/>
  <c r="BE409" i="1"/>
  <c r="AR410" i="1"/>
  <c r="AK410" i="1"/>
  <c r="AN410" i="1" s="1"/>
  <c r="AP410" i="1"/>
  <c r="BF410" i="1" s="1"/>
  <c r="AS410" i="1"/>
  <c r="AT410" i="1"/>
  <c r="AU410" i="1"/>
  <c r="AW410" i="1"/>
  <c r="AX410" i="1"/>
  <c r="AY410" i="1"/>
  <c r="AZ410" i="1"/>
  <c r="BB410" i="1"/>
  <c r="BC410" i="1"/>
  <c r="BD410" i="1"/>
  <c r="BE410" i="1"/>
  <c r="AK411" i="1"/>
  <c r="AN411" i="1" s="1"/>
  <c r="AP411" i="1"/>
  <c r="BF411" i="1" s="1"/>
  <c r="AS411" i="1"/>
  <c r="AT411" i="1"/>
  <c r="AU411" i="1"/>
  <c r="AW411" i="1"/>
  <c r="AX411" i="1"/>
  <c r="AY411" i="1"/>
  <c r="AZ411" i="1"/>
  <c r="BB411" i="1"/>
  <c r="BC411" i="1"/>
  <c r="BD411" i="1"/>
  <c r="BE411" i="1"/>
  <c r="AK412" i="1"/>
  <c r="AN412" i="1" s="1"/>
  <c r="AP412" i="1"/>
  <c r="BF412" i="1" s="1"/>
  <c r="AS412" i="1"/>
  <c r="AT412" i="1"/>
  <c r="AU412" i="1"/>
  <c r="AW412" i="1"/>
  <c r="AX412" i="1"/>
  <c r="AY412" i="1"/>
  <c r="AZ412" i="1"/>
  <c r="BB412" i="1"/>
  <c r="BC412" i="1"/>
  <c r="BD412" i="1"/>
  <c r="BE412" i="1"/>
  <c r="K413" i="1"/>
  <c r="AK413" i="1"/>
  <c r="AN413" i="1" s="1"/>
  <c r="AP413" i="1"/>
  <c r="BF413" i="1" s="1"/>
  <c r="AS413" i="1"/>
  <c r="AT413" i="1"/>
  <c r="AU413" i="1"/>
  <c r="AW413" i="1"/>
  <c r="AX413" i="1"/>
  <c r="AY413" i="1"/>
  <c r="AZ413" i="1"/>
  <c r="BB413" i="1"/>
  <c r="BC413" i="1"/>
  <c r="BD413" i="1"/>
  <c r="BE413" i="1"/>
  <c r="AV414" i="1"/>
  <c r="AK414" i="1"/>
  <c r="AN414" i="1" s="1"/>
  <c r="AP414" i="1"/>
  <c r="BF414" i="1" s="1"/>
  <c r="AS414" i="1"/>
  <c r="AT414" i="1"/>
  <c r="AU414" i="1"/>
  <c r="AW414" i="1"/>
  <c r="AX414" i="1"/>
  <c r="AY414" i="1"/>
  <c r="AZ414" i="1"/>
  <c r="BB414" i="1"/>
  <c r="BC414" i="1"/>
  <c r="BD414" i="1"/>
  <c r="BE414" i="1"/>
  <c r="AK415" i="1"/>
  <c r="AN415" i="1" s="1"/>
  <c r="AP415" i="1"/>
  <c r="BF415" i="1" s="1"/>
  <c r="AS415" i="1"/>
  <c r="AT415" i="1"/>
  <c r="AU415" i="1"/>
  <c r="AW415" i="1"/>
  <c r="AX415" i="1"/>
  <c r="AY415" i="1"/>
  <c r="AZ415" i="1"/>
  <c r="BB415" i="1"/>
  <c r="BC415" i="1"/>
  <c r="BD415" i="1"/>
  <c r="BE415" i="1"/>
  <c r="BA416" i="1"/>
  <c r="AK416" i="1"/>
  <c r="AN416" i="1" s="1"/>
  <c r="AP416" i="1"/>
  <c r="BF416" i="1" s="1"/>
  <c r="AS416" i="1"/>
  <c r="AT416" i="1"/>
  <c r="AU416" i="1"/>
  <c r="AW416" i="1"/>
  <c r="AX416" i="1"/>
  <c r="AY416" i="1"/>
  <c r="AZ416" i="1"/>
  <c r="BB416" i="1"/>
  <c r="BC416" i="1"/>
  <c r="BD416" i="1"/>
  <c r="BE416" i="1"/>
  <c r="AK417" i="1"/>
  <c r="AN417" i="1" s="1"/>
  <c r="AP417" i="1"/>
  <c r="BF417" i="1" s="1"/>
  <c r="AS417" i="1"/>
  <c r="AT417" i="1"/>
  <c r="AU417" i="1"/>
  <c r="AW417" i="1"/>
  <c r="AX417" i="1"/>
  <c r="AY417" i="1"/>
  <c r="AZ417" i="1"/>
  <c r="BB417" i="1"/>
  <c r="BC417" i="1"/>
  <c r="BD417" i="1"/>
  <c r="BE417" i="1"/>
  <c r="K418" i="1"/>
  <c r="AK418" i="1"/>
  <c r="AN418" i="1" s="1"/>
  <c r="AP418" i="1"/>
  <c r="BF418" i="1" s="1"/>
  <c r="AS418" i="1"/>
  <c r="AT418" i="1"/>
  <c r="AU418" i="1"/>
  <c r="AW418" i="1"/>
  <c r="AX418" i="1"/>
  <c r="AY418" i="1"/>
  <c r="AZ418" i="1"/>
  <c r="BB418" i="1"/>
  <c r="BC418" i="1"/>
  <c r="BD418" i="1"/>
  <c r="BE418" i="1"/>
  <c r="BA419" i="1"/>
  <c r="AK419" i="1"/>
  <c r="AN419" i="1" s="1"/>
  <c r="AP419" i="1"/>
  <c r="BF419" i="1" s="1"/>
  <c r="AS419" i="1"/>
  <c r="AT419" i="1"/>
  <c r="AU419" i="1"/>
  <c r="AW419" i="1"/>
  <c r="AX419" i="1"/>
  <c r="AY419" i="1"/>
  <c r="AZ419" i="1"/>
  <c r="BB419" i="1"/>
  <c r="BC419" i="1"/>
  <c r="BD419" i="1"/>
  <c r="BE419" i="1"/>
  <c r="AV420" i="1"/>
  <c r="AK420" i="1"/>
  <c r="AN420" i="1" s="1"/>
  <c r="AP420" i="1"/>
  <c r="BF420" i="1" s="1"/>
  <c r="AS420" i="1"/>
  <c r="AT420" i="1"/>
  <c r="AU420" i="1"/>
  <c r="AW420" i="1"/>
  <c r="AX420" i="1"/>
  <c r="AY420" i="1"/>
  <c r="AZ420" i="1"/>
  <c r="BB420" i="1"/>
  <c r="BC420" i="1"/>
  <c r="BD420" i="1"/>
  <c r="BE420" i="1"/>
  <c r="K421" i="1"/>
  <c r="AK421" i="1"/>
  <c r="AN421" i="1" s="1"/>
  <c r="AP421" i="1"/>
  <c r="BF421" i="1" s="1"/>
  <c r="AS421" i="1"/>
  <c r="AT421" i="1"/>
  <c r="AU421" i="1"/>
  <c r="AW421" i="1"/>
  <c r="AX421" i="1"/>
  <c r="AY421" i="1"/>
  <c r="AZ421" i="1"/>
  <c r="BB421" i="1"/>
  <c r="BC421" i="1"/>
  <c r="BD421" i="1"/>
  <c r="BE421" i="1"/>
  <c r="AK422" i="1"/>
  <c r="AN422" i="1" s="1"/>
  <c r="AP422" i="1"/>
  <c r="BF422" i="1" s="1"/>
  <c r="AS422" i="1"/>
  <c r="AT422" i="1"/>
  <c r="AU422" i="1"/>
  <c r="AW422" i="1"/>
  <c r="AX422" i="1"/>
  <c r="AY422" i="1"/>
  <c r="AZ422" i="1"/>
  <c r="BB422" i="1"/>
  <c r="BC422" i="1"/>
  <c r="BD422" i="1"/>
  <c r="BE422" i="1"/>
  <c r="AK423" i="1"/>
  <c r="AN423" i="1" s="1"/>
  <c r="AP423" i="1"/>
  <c r="BF423" i="1" s="1"/>
  <c r="AS423" i="1"/>
  <c r="AT423" i="1"/>
  <c r="AU423" i="1"/>
  <c r="AW423" i="1"/>
  <c r="AX423" i="1"/>
  <c r="AY423" i="1"/>
  <c r="AZ423" i="1"/>
  <c r="BB423" i="1"/>
  <c r="BC423" i="1"/>
  <c r="BD423" i="1"/>
  <c r="BE423" i="1"/>
  <c r="AK424" i="1"/>
  <c r="AN424" i="1" s="1"/>
  <c r="AP424" i="1"/>
  <c r="BF424" i="1" s="1"/>
  <c r="AS424" i="1"/>
  <c r="AT424" i="1"/>
  <c r="AU424" i="1"/>
  <c r="AW424" i="1"/>
  <c r="AX424" i="1"/>
  <c r="AY424" i="1"/>
  <c r="AZ424" i="1"/>
  <c r="BB424" i="1"/>
  <c r="BC424" i="1"/>
  <c r="BD424" i="1"/>
  <c r="BE424" i="1"/>
  <c r="AK425" i="1"/>
  <c r="AN425" i="1" s="1"/>
  <c r="AP425" i="1"/>
  <c r="BF425" i="1" s="1"/>
  <c r="AS425" i="1"/>
  <c r="AT425" i="1"/>
  <c r="AU425" i="1"/>
  <c r="AW425" i="1"/>
  <c r="AX425" i="1"/>
  <c r="AY425" i="1"/>
  <c r="AZ425" i="1"/>
  <c r="BB425" i="1"/>
  <c r="BC425" i="1"/>
  <c r="BD425" i="1"/>
  <c r="BE425" i="1"/>
  <c r="AK426" i="1"/>
  <c r="AN426" i="1" s="1"/>
  <c r="AP426" i="1"/>
  <c r="BF426" i="1" s="1"/>
  <c r="AS426" i="1"/>
  <c r="AT426" i="1"/>
  <c r="AU426" i="1"/>
  <c r="AW426" i="1"/>
  <c r="AX426" i="1"/>
  <c r="AY426" i="1"/>
  <c r="AZ426" i="1"/>
  <c r="BB426" i="1"/>
  <c r="BC426" i="1"/>
  <c r="BD426" i="1"/>
  <c r="BE426" i="1"/>
  <c r="AK427" i="1"/>
  <c r="AN427" i="1" s="1"/>
  <c r="AP427" i="1"/>
  <c r="BF427" i="1" s="1"/>
  <c r="AS427" i="1"/>
  <c r="AT427" i="1"/>
  <c r="AU427" i="1"/>
  <c r="AW427" i="1"/>
  <c r="AX427" i="1"/>
  <c r="AY427" i="1"/>
  <c r="AZ427" i="1"/>
  <c r="BB427" i="1"/>
  <c r="BC427" i="1"/>
  <c r="BD427" i="1"/>
  <c r="BE427" i="1"/>
  <c r="AK428" i="1"/>
  <c r="AN428" i="1" s="1"/>
  <c r="AP428" i="1"/>
  <c r="BF428" i="1" s="1"/>
  <c r="AS428" i="1"/>
  <c r="AT428" i="1"/>
  <c r="AU428" i="1"/>
  <c r="AW428" i="1"/>
  <c r="AX428" i="1"/>
  <c r="AY428" i="1"/>
  <c r="AZ428" i="1"/>
  <c r="BB428" i="1"/>
  <c r="BC428" i="1"/>
  <c r="BD428" i="1"/>
  <c r="BE428" i="1"/>
  <c r="K429" i="1"/>
  <c r="AK429" i="1"/>
  <c r="AN429" i="1" s="1"/>
  <c r="AP429" i="1"/>
  <c r="BF429" i="1" s="1"/>
  <c r="AS429" i="1"/>
  <c r="AT429" i="1"/>
  <c r="AU429" i="1"/>
  <c r="AW429" i="1"/>
  <c r="AX429" i="1"/>
  <c r="AY429" i="1"/>
  <c r="AZ429" i="1"/>
  <c r="BB429" i="1"/>
  <c r="BC429" i="1"/>
  <c r="BD429" i="1"/>
  <c r="BE429" i="1"/>
  <c r="H430" i="1"/>
  <c r="N430" i="1"/>
  <c r="T430" i="1"/>
  <c r="AC430" i="1" s="1"/>
  <c r="AD430" i="1"/>
  <c r="BE430" i="1" s="1"/>
  <c r="AE430" i="1"/>
  <c r="AL430" i="1" s="1"/>
  <c r="AK430" i="1"/>
  <c r="AN430" i="1" s="1"/>
  <c r="AM430" i="1"/>
  <c r="AP430" i="1"/>
  <c r="Q431" i="1"/>
  <c r="R431" i="1"/>
  <c r="S431" i="1"/>
  <c r="L431" i="1" s="1"/>
  <c r="AK431" i="1"/>
  <c r="AN431" i="1" s="1"/>
  <c r="AP431" i="1"/>
  <c r="BF431" i="1" s="1"/>
  <c r="AS431" i="1"/>
  <c r="AT431" i="1"/>
  <c r="AU431" i="1"/>
  <c r="AW431" i="1"/>
  <c r="AX431" i="1"/>
  <c r="AY431" i="1"/>
  <c r="AZ431" i="1"/>
  <c r="BB431" i="1"/>
  <c r="BD431" i="1"/>
  <c r="BE431" i="1"/>
  <c r="AK432" i="1"/>
  <c r="AN432" i="1" s="1"/>
  <c r="AP432" i="1"/>
  <c r="BF432" i="1" s="1"/>
  <c r="AS432" i="1"/>
  <c r="AT432" i="1"/>
  <c r="AU432" i="1"/>
  <c r="AW432" i="1"/>
  <c r="AX432" i="1"/>
  <c r="AY432" i="1"/>
  <c r="AZ432" i="1"/>
  <c r="BB432" i="1"/>
  <c r="BC432" i="1"/>
  <c r="BD432" i="1"/>
  <c r="BE432" i="1"/>
  <c r="H433" i="1"/>
  <c r="N433" i="1"/>
  <c r="Q433" i="1"/>
  <c r="R433" i="1"/>
  <c r="S433" i="1"/>
  <c r="T433" i="1"/>
  <c r="AC433" i="1" s="1"/>
  <c r="W433" i="1"/>
  <c r="AD433" i="1"/>
  <c r="I433" i="1" s="1"/>
  <c r="AE433" i="1"/>
  <c r="AL433" i="1" s="1"/>
  <c r="AK433" i="1"/>
  <c r="AN433" i="1" s="1"/>
  <c r="AM433" i="1"/>
  <c r="AP433" i="1"/>
  <c r="H434" i="1"/>
  <c r="N434" i="1"/>
  <c r="Q434" i="1"/>
  <c r="R434" i="1"/>
  <c r="S434" i="1"/>
  <c r="T434" i="1"/>
  <c r="AC434" i="1" s="1"/>
  <c r="W434" i="1"/>
  <c r="AD434" i="1"/>
  <c r="AT434" i="1" s="1"/>
  <c r="AE434" i="1"/>
  <c r="AL434" i="1" s="1"/>
  <c r="AK434" i="1"/>
  <c r="AN434" i="1" s="1"/>
  <c r="AM434" i="1"/>
  <c r="AP434" i="1"/>
  <c r="H435" i="1"/>
  <c r="N435" i="1"/>
  <c r="Q435" i="1"/>
  <c r="R435" i="1"/>
  <c r="S435" i="1"/>
  <c r="T435" i="1"/>
  <c r="AC435" i="1" s="1"/>
  <c r="W435" i="1"/>
  <c r="AD435" i="1"/>
  <c r="BC435" i="1" s="1"/>
  <c r="AE435" i="1"/>
  <c r="AL435" i="1" s="1"/>
  <c r="AK435" i="1"/>
  <c r="AN435" i="1" s="1"/>
  <c r="AM435" i="1"/>
  <c r="AP435" i="1"/>
  <c r="I436" i="1"/>
  <c r="M436" i="1" s="1"/>
  <c r="AK436" i="1"/>
  <c r="AN436" i="1" s="1"/>
  <c r="AP436" i="1"/>
  <c r="BF436" i="1" s="1"/>
  <c r="AT436" i="1"/>
  <c r="AU436" i="1"/>
  <c r="AX436" i="1"/>
  <c r="AY436" i="1"/>
  <c r="AZ436" i="1"/>
  <c r="BC436" i="1"/>
  <c r="BD436" i="1"/>
  <c r="BE436" i="1"/>
  <c r="G437" i="1"/>
  <c r="AC437" i="1"/>
  <c r="AD437" i="1"/>
  <c r="AE437" i="1"/>
  <c r="AL437" i="1" s="1"/>
  <c r="AK437" i="1"/>
  <c r="AN437" i="1" s="1"/>
  <c r="AM437" i="1"/>
  <c r="AP437" i="1"/>
  <c r="H438" i="1"/>
  <c r="N438" i="1"/>
  <c r="AC438" i="1"/>
  <c r="AD438" i="1"/>
  <c r="AE438" i="1"/>
  <c r="AK438" i="1"/>
  <c r="AN438" i="1" s="1"/>
  <c r="AM438" i="1"/>
  <c r="AP438" i="1"/>
  <c r="H439" i="1"/>
  <c r="N439" i="1"/>
  <c r="Q439" i="1"/>
  <c r="R439" i="1"/>
  <c r="S439" i="1"/>
  <c r="T439" i="1"/>
  <c r="AC439" i="1" s="1"/>
  <c r="U439" i="1"/>
  <c r="W439" i="1" s="1"/>
  <c r="AD439" i="1"/>
  <c r="AE439" i="1"/>
  <c r="AL439" i="1" s="1"/>
  <c r="AK439" i="1"/>
  <c r="AN439" i="1" s="1"/>
  <c r="AM439" i="1"/>
  <c r="AP439" i="1"/>
  <c r="G440" i="1"/>
  <c r="AD440" i="1"/>
  <c r="AE440" i="1"/>
  <c r="AL440" i="1" s="1"/>
  <c r="AK440" i="1"/>
  <c r="AN440" i="1" s="1"/>
  <c r="AM440" i="1"/>
  <c r="AP440" i="1"/>
  <c r="H441" i="1"/>
  <c r="N441" i="1"/>
  <c r="Q441" i="1"/>
  <c r="R441" i="1"/>
  <c r="S441" i="1"/>
  <c r="T441" i="1"/>
  <c r="AC441" i="1" s="1"/>
  <c r="W441" i="1"/>
  <c r="AD441" i="1"/>
  <c r="BC441" i="1" s="1"/>
  <c r="AE441" i="1"/>
  <c r="AL441" i="1" s="1"/>
  <c r="AJ441" i="1"/>
  <c r="AK441" i="1"/>
  <c r="AN441" i="1" s="1"/>
  <c r="AM441" i="1"/>
  <c r="AP441" i="1"/>
  <c r="AJ442" i="1"/>
  <c r="BE442" i="1" s="1"/>
  <c r="AK442" i="1"/>
  <c r="AN442" i="1" s="1"/>
  <c r="AP442" i="1"/>
  <c r="AS442" i="1"/>
  <c r="AU442" i="1"/>
  <c r="AW442" i="1"/>
  <c r="AX442" i="1"/>
  <c r="AY442" i="1"/>
  <c r="AZ442" i="1"/>
  <c r="BB442" i="1"/>
  <c r="BD442" i="1"/>
  <c r="AJ443" i="1"/>
  <c r="AK443" i="1"/>
  <c r="AN443" i="1" s="1"/>
  <c r="AP443" i="1"/>
  <c r="AS443" i="1"/>
  <c r="AT443" i="1"/>
  <c r="AU443" i="1"/>
  <c r="AW443" i="1"/>
  <c r="AX443" i="1"/>
  <c r="AY443" i="1"/>
  <c r="AZ443" i="1"/>
  <c r="BB443" i="1"/>
  <c r="BC443" i="1"/>
  <c r="BD443" i="1"/>
  <c r="L444" i="1"/>
  <c r="AJ444" i="1"/>
  <c r="BE444" i="1" s="1"/>
  <c r="AK444" i="1"/>
  <c r="AN444" i="1" s="1"/>
  <c r="AP444" i="1"/>
  <c r="AQ444" i="1"/>
  <c r="AS444" i="1"/>
  <c r="AT444" i="1"/>
  <c r="AU444" i="1"/>
  <c r="AW444" i="1"/>
  <c r="AX444" i="1"/>
  <c r="AY444" i="1"/>
  <c r="AZ444" i="1"/>
  <c r="BA444" i="1"/>
  <c r="BB444" i="1"/>
  <c r="BC444" i="1"/>
  <c r="BD444" i="1"/>
  <c r="AJ445" i="1"/>
  <c r="BE445" i="1" s="1"/>
  <c r="AK445" i="1"/>
  <c r="AN445" i="1" s="1"/>
  <c r="AP445" i="1"/>
  <c r="AQ445" i="1"/>
  <c r="AS445" i="1"/>
  <c r="AT445" i="1"/>
  <c r="AU445" i="1"/>
  <c r="AW445" i="1"/>
  <c r="AX445" i="1"/>
  <c r="AY445" i="1"/>
  <c r="AZ445" i="1"/>
  <c r="BB445" i="1"/>
  <c r="BC445" i="1"/>
  <c r="BD445" i="1"/>
  <c r="H446" i="1"/>
  <c r="N446" i="1"/>
  <c r="Q446" i="1"/>
  <c r="R446" i="1"/>
  <c r="S446" i="1"/>
  <c r="U446" i="1"/>
  <c r="V446" i="1"/>
  <c r="AC446" i="1"/>
  <c r="AD446" i="1"/>
  <c r="AE446" i="1"/>
  <c r="AL446" i="1" s="1"/>
  <c r="AJ446" i="1"/>
  <c r="AK446" i="1"/>
  <c r="AN446" i="1" s="1"/>
  <c r="AM446" i="1"/>
  <c r="AP446" i="1"/>
  <c r="I447" i="1"/>
  <c r="M447" i="1" s="1"/>
  <c r="AJ447" i="1"/>
  <c r="BE447" i="1" s="1"/>
  <c r="AK447" i="1"/>
  <c r="AN447" i="1" s="1"/>
  <c r="AP447" i="1"/>
  <c r="AT447" i="1"/>
  <c r="AU447" i="1"/>
  <c r="AX447" i="1"/>
  <c r="AY447" i="1"/>
  <c r="AZ447" i="1"/>
  <c r="BC447" i="1"/>
  <c r="BD447" i="1"/>
  <c r="I448" i="1"/>
  <c r="M448" i="1" s="1"/>
  <c r="AJ448" i="1"/>
  <c r="AK448" i="1"/>
  <c r="AN448" i="1" s="1"/>
  <c r="AP448" i="1"/>
  <c r="AQ448" i="1"/>
  <c r="AU448" i="1"/>
  <c r="AX448" i="1"/>
  <c r="AY448" i="1"/>
  <c r="AZ448" i="1"/>
  <c r="BD448" i="1"/>
  <c r="AR449" i="1"/>
  <c r="I449" i="1"/>
  <c r="AJ449" i="1"/>
  <c r="BE449" i="1" s="1"/>
  <c r="AK449" i="1"/>
  <c r="AN449" i="1" s="1"/>
  <c r="AU449" i="1"/>
  <c r="AX449" i="1"/>
  <c r="AY449" i="1"/>
  <c r="AZ449" i="1"/>
  <c r="BD449" i="1"/>
  <c r="I450" i="1"/>
  <c r="AJ450" i="1"/>
  <c r="BE450" i="1" s="1"/>
  <c r="AK450" i="1"/>
  <c r="AN450" i="1" s="1"/>
  <c r="AU450" i="1"/>
  <c r="AX450" i="1"/>
  <c r="AY450" i="1"/>
  <c r="AZ450" i="1"/>
  <c r="BD450" i="1"/>
  <c r="I451" i="1"/>
  <c r="M451" i="1" s="1"/>
  <c r="AJ451" i="1"/>
  <c r="AK451" i="1"/>
  <c r="AN451" i="1" s="1"/>
  <c r="AT451" i="1"/>
  <c r="AU451" i="1"/>
  <c r="AX451" i="1"/>
  <c r="AY451" i="1"/>
  <c r="AZ451" i="1"/>
  <c r="BC451" i="1"/>
  <c r="BD451" i="1"/>
  <c r="BA452" i="1"/>
  <c r="AC452" i="1"/>
  <c r="AD452" i="1"/>
  <c r="AE452" i="1"/>
  <c r="AL452" i="1" s="1"/>
  <c r="AJ452" i="1"/>
  <c r="AK452" i="1"/>
  <c r="AN452" i="1" s="1"/>
  <c r="AM452" i="1"/>
  <c r="AX452" i="1" s="1"/>
  <c r="H453" i="1"/>
  <c r="Q453" i="1"/>
  <c r="R453" i="1"/>
  <c r="S453" i="1"/>
  <c r="K453" i="1" s="1"/>
  <c r="T453" i="1"/>
  <c r="AC453" i="1" s="1"/>
  <c r="W453" i="1"/>
  <c r="AD453" i="1"/>
  <c r="I453" i="1" s="1"/>
  <c r="M453" i="1" s="1"/>
  <c r="AE453" i="1"/>
  <c r="AL453" i="1" s="1"/>
  <c r="AJ453" i="1"/>
  <c r="AK453" i="1"/>
  <c r="AN453" i="1" s="1"/>
  <c r="AM453" i="1"/>
  <c r="AO453" i="1"/>
  <c r="AP449" i="1" s="1"/>
  <c r="AQ453" i="1"/>
  <c r="I454" i="1"/>
  <c r="AJ454" i="1"/>
  <c r="BE454" i="1" s="1"/>
  <c r="AK454" i="1"/>
  <c r="AN454" i="1" s="1"/>
  <c r="AU454" i="1"/>
  <c r="AX454" i="1"/>
  <c r="AY454" i="1"/>
  <c r="AZ454" i="1"/>
  <c r="BD454" i="1"/>
  <c r="I455" i="1"/>
  <c r="M455" i="1" s="1"/>
  <c r="AJ455" i="1"/>
  <c r="BE455" i="1" s="1"/>
  <c r="AK455" i="1"/>
  <c r="AN455" i="1" s="1"/>
  <c r="AU455" i="1"/>
  <c r="AX455" i="1"/>
  <c r="AY455" i="1"/>
  <c r="AZ455" i="1"/>
  <c r="BD455" i="1"/>
  <c r="H456" i="1"/>
  <c r="G456" i="1" s="1"/>
  <c r="T456" i="1"/>
  <c r="AC456" i="1" s="1"/>
  <c r="AY456" i="1" s="1"/>
  <c r="AD456" i="1"/>
  <c r="I456" i="1" s="1"/>
  <c r="AJ456" i="1"/>
  <c r="AK456" i="1"/>
  <c r="AN456" i="1" s="1"/>
  <c r="AL456" i="1"/>
  <c r="AM456" i="1"/>
  <c r="BA457" i="1"/>
  <c r="I457" i="1"/>
  <c r="M457" i="1" s="1"/>
  <c r="AK457" i="1"/>
  <c r="AN457" i="1" s="1"/>
  <c r="AU457" i="1"/>
  <c r="AX457" i="1"/>
  <c r="AY457" i="1"/>
  <c r="AZ457" i="1"/>
  <c r="BD457" i="1"/>
  <c r="BE457" i="1"/>
  <c r="I458" i="1"/>
  <c r="AK458" i="1"/>
  <c r="AN458" i="1" s="1"/>
  <c r="AU458" i="1"/>
  <c r="AX458" i="1"/>
  <c r="AY458" i="1"/>
  <c r="AZ458" i="1"/>
  <c r="BD458" i="1"/>
  <c r="BE458" i="1"/>
  <c r="I459" i="1"/>
  <c r="AK459" i="1"/>
  <c r="AN459" i="1" s="1"/>
  <c r="AU459" i="1"/>
  <c r="AX459" i="1"/>
  <c r="AY459" i="1"/>
  <c r="AZ459" i="1"/>
  <c r="BD459" i="1"/>
  <c r="BE459" i="1"/>
  <c r="H460" i="1"/>
  <c r="G460" i="1" s="1"/>
  <c r="Q460" i="1"/>
  <c r="R460" i="1"/>
  <c r="S460" i="1"/>
  <c r="T460" i="1"/>
  <c r="AC460" i="1" s="1"/>
  <c r="U460" i="1"/>
  <c r="W460" i="1" s="1"/>
  <c r="AD460" i="1"/>
  <c r="I460" i="1" s="1"/>
  <c r="AE460" i="1"/>
  <c r="AL460" i="1" s="1"/>
  <c r="AK460" i="1"/>
  <c r="AN460" i="1" s="1"/>
  <c r="AM460" i="1"/>
  <c r="I461" i="1"/>
  <c r="M461" i="1" s="1"/>
  <c r="AK461" i="1"/>
  <c r="AN461" i="1" s="1"/>
  <c r="AU461" i="1"/>
  <c r="AX461" i="1"/>
  <c r="AY461" i="1"/>
  <c r="AZ461" i="1"/>
  <c r="BD461" i="1"/>
  <c r="BE461" i="1"/>
  <c r="H462" i="1"/>
  <c r="G462" i="1" s="1"/>
  <c r="Q462" i="1"/>
  <c r="R462" i="1"/>
  <c r="S462" i="1"/>
  <c r="T462" i="1"/>
  <c r="AC462" i="1" s="1"/>
  <c r="AY462" i="1" s="1"/>
  <c r="W462" i="1"/>
  <c r="AD462" i="1"/>
  <c r="BE462" i="1" s="1"/>
  <c r="AK462" i="1"/>
  <c r="AN462" i="1" s="1"/>
  <c r="AL462" i="1"/>
  <c r="AM462" i="1"/>
  <c r="AO462" i="1"/>
  <c r="AP462" i="1" s="1"/>
  <c r="AQ462" i="1"/>
  <c r="I463" i="1"/>
  <c r="AW463" i="1" s="1"/>
  <c r="AK463" i="1"/>
  <c r="AN463" i="1" s="1"/>
  <c r="AU463" i="1"/>
  <c r="BD463" i="1"/>
  <c r="BE463" i="1"/>
  <c r="K464" i="1"/>
  <c r="I464" i="1"/>
  <c r="AW464" i="1" s="1"/>
  <c r="AK464" i="1"/>
  <c r="AN464" i="1" s="1"/>
  <c r="AU464" i="1"/>
  <c r="BD464" i="1"/>
  <c r="BE464" i="1"/>
  <c r="AK465" i="1"/>
  <c r="AN465" i="1" s="1"/>
  <c r="AS465" i="1"/>
  <c r="AU465" i="1"/>
  <c r="BB465" i="1"/>
  <c r="BD465" i="1"/>
  <c r="BE465" i="1"/>
  <c r="AV466" i="1"/>
  <c r="AK466" i="1"/>
  <c r="AN466" i="1" s="1"/>
  <c r="AS466" i="1"/>
  <c r="AU466" i="1"/>
  <c r="BB466" i="1"/>
  <c r="BD466" i="1"/>
  <c r="BE466" i="1"/>
  <c r="K467" i="1"/>
  <c r="AK467" i="1"/>
  <c r="AN467" i="1" s="1"/>
  <c r="AO467" i="1"/>
  <c r="AP469" i="1" s="1"/>
  <c r="BF469" i="1" s="1"/>
  <c r="AQ467" i="1"/>
  <c r="AS467" i="1"/>
  <c r="AU467" i="1"/>
  <c r="BB467" i="1"/>
  <c r="BD467" i="1"/>
  <c r="BE467" i="1"/>
  <c r="U468" i="1"/>
  <c r="AD468" i="1"/>
  <c r="AT468" i="1" s="1"/>
  <c r="AK468" i="1"/>
  <c r="AN468" i="1" s="1"/>
  <c r="AL468" i="1"/>
  <c r="AZ468" i="1" s="1"/>
  <c r="AU468" i="1"/>
  <c r="BD468" i="1"/>
  <c r="I469" i="1"/>
  <c r="AW469" i="1" s="1"/>
  <c r="AK469" i="1"/>
  <c r="AN469" i="1" s="1"/>
  <c r="AT469" i="1"/>
  <c r="AU469" i="1"/>
  <c r="BC469" i="1"/>
  <c r="BD469" i="1"/>
  <c r="BE469" i="1"/>
  <c r="I470" i="1"/>
  <c r="AW470" i="1" s="1"/>
  <c r="U470" i="1"/>
  <c r="V470" i="1"/>
  <c r="AK470" i="1"/>
  <c r="AN470" i="1" s="1"/>
  <c r="AP470" i="1"/>
  <c r="BF470" i="1" s="1"/>
  <c r="AT470" i="1"/>
  <c r="AU470" i="1"/>
  <c r="BC470" i="1"/>
  <c r="BD470" i="1"/>
  <c r="BE470" i="1"/>
  <c r="AV471" i="1"/>
  <c r="I471" i="1"/>
  <c r="AW471" i="1" s="1"/>
  <c r="AK471" i="1"/>
  <c r="AN471" i="1" s="1"/>
  <c r="AP471" i="1"/>
  <c r="BF471" i="1" s="1"/>
  <c r="AT471" i="1"/>
  <c r="AU471" i="1"/>
  <c r="BC471" i="1"/>
  <c r="BD471" i="1"/>
  <c r="BE471" i="1"/>
  <c r="AV472" i="1"/>
  <c r="I472" i="1"/>
  <c r="AW472" i="1" s="1"/>
  <c r="AK472" i="1"/>
  <c r="AN472" i="1" s="1"/>
  <c r="AP472" i="1"/>
  <c r="BF472" i="1" s="1"/>
  <c r="AT472" i="1"/>
  <c r="AU472" i="1"/>
  <c r="BE472" i="1"/>
  <c r="T473" i="1"/>
  <c r="AC473" i="1" s="1"/>
  <c r="AY473" i="1" s="1"/>
  <c r="AD473" i="1"/>
  <c r="BE473" i="1" s="1"/>
  <c r="AK473" i="1"/>
  <c r="AN473" i="1" s="1"/>
  <c r="AL473" i="1"/>
  <c r="AM473" i="1"/>
  <c r="AX473" i="1" s="1"/>
  <c r="AP473" i="1"/>
  <c r="I474" i="1"/>
  <c r="AW474" i="1" s="1"/>
  <c r="AK474" i="1"/>
  <c r="AN474" i="1" s="1"/>
  <c r="AP474" i="1"/>
  <c r="BF474" i="1" s="1"/>
  <c r="AT474" i="1"/>
  <c r="AU474" i="1"/>
  <c r="BE474" i="1"/>
  <c r="I475" i="1"/>
  <c r="AK475" i="1"/>
  <c r="AN475" i="1" s="1"/>
  <c r="AP475" i="1"/>
  <c r="BF475" i="1" s="1"/>
  <c r="AT475" i="1"/>
  <c r="AU475" i="1"/>
  <c r="BE475" i="1"/>
  <c r="I476" i="1"/>
  <c r="AK476" i="1"/>
  <c r="AN476" i="1" s="1"/>
  <c r="AP476" i="1"/>
  <c r="BF476" i="1" s="1"/>
  <c r="AT476" i="1"/>
  <c r="AU476" i="1"/>
  <c r="BE476" i="1"/>
  <c r="K477" i="1"/>
  <c r="I477" i="1"/>
  <c r="AW477" i="1" s="1"/>
  <c r="AK477" i="1"/>
  <c r="AN477" i="1" s="1"/>
  <c r="AP477" i="1"/>
  <c r="BF477" i="1" s="1"/>
  <c r="AT477" i="1"/>
  <c r="AU477" i="1"/>
  <c r="BE477" i="1"/>
  <c r="I478" i="1"/>
  <c r="AK478" i="1"/>
  <c r="AN478" i="1" s="1"/>
  <c r="AP478" i="1"/>
  <c r="BF478" i="1" s="1"/>
  <c r="AT478" i="1"/>
  <c r="AU478" i="1"/>
  <c r="BE478" i="1"/>
  <c r="AV479" i="1"/>
  <c r="I479" i="1"/>
  <c r="AK479" i="1"/>
  <c r="AN479" i="1" s="1"/>
  <c r="AP479" i="1"/>
  <c r="BF479" i="1" s="1"/>
  <c r="AT479" i="1"/>
  <c r="AU479" i="1"/>
  <c r="BE479" i="1"/>
  <c r="AV480" i="1"/>
  <c r="I480" i="1"/>
  <c r="AW480" i="1" s="1"/>
  <c r="AK480" i="1"/>
  <c r="AN480" i="1" s="1"/>
  <c r="AP480" i="1"/>
  <c r="BF480" i="1" s="1"/>
  <c r="AT480" i="1"/>
  <c r="AU480" i="1"/>
  <c r="BE480" i="1"/>
  <c r="I481" i="1"/>
  <c r="AW481" i="1" s="1"/>
  <c r="AK481" i="1"/>
  <c r="AN481" i="1" s="1"/>
  <c r="AP481" i="1"/>
  <c r="BF481" i="1" s="1"/>
  <c r="AT481" i="1"/>
  <c r="AU481" i="1"/>
  <c r="BE481" i="1"/>
  <c r="K482" i="1"/>
  <c r="I482" i="1"/>
  <c r="AK482" i="1"/>
  <c r="AN482" i="1" s="1"/>
  <c r="AP482" i="1"/>
  <c r="BF482" i="1" s="1"/>
  <c r="AT482" i="1"/>
  <c r="AU482" i="1"/>
  <c r="BE482" i="1"/>
  <c r="AV483" i="1"/>
  <c r="I483" i="1"/>
  <c r="AW483" i="1" s="1"/>
  <c r="AK483" i="1"/>
  <c r="AN483" i="1" s="1"/>
  <c r="AP483" i="1"/>
  <c r="BF483" i="1" s="1"/>
  <c r="AT483" i="1"/>
  <c r="AU483" i="1"/>
  <c r="BE483" i="1"/>
  <c r="H484" i="1"/>
  <c r="N484" i="1"/>
  <c r="Q484" i="1"/>
  <c r="R484" i="1"/>
  <c r="S484" i="1"/>
  <c r="T484" i="1"/>
  <c r="AC484" i="1" s="1"/>
  <c r="U484" i="1"/>
  <c r="V484" i="1"/>
  <c r="AD484" i="1"/>
  <c r="BE484" i="1" s="1"/>
  <c r="AE484" i="1"/>
  <c r="AL484" i="1" s="1"/>
  <c r="AK484" i="1"/>
  <c r="AN484" i="1" s="1"/>
  <c r="AM484" i="1"/>
  <c r="AP484" i="1"/>
  <c r="AV485" i="1"/>
  <c r="I485" i="1"/>
  <c r="AK485" i="1"/>
  <c r="AN485" i="1" s="1"/>
  <c r="AP485" i="1"/>
  <c r="BF485" i="1" s="1"/>
  <c r="AT485" i="1"/>
  <c r="AU485" i="1"/>
  <c r="BE485" i="1"/>
  <c r="I486" i="1"/>
  <c r="AK486" i="1"/>
  <c r="AN486" i="1" s="1"/>
  <c r="AP486" i="1"/>
  <c r="BF486" i="1" s="1"/>
  <c r="AT486" i="1"/>
  <c r="AU486" i="1"/>
  <c r="BE486" i="1"/>
  <c r="I487" i="1"/>
  <c r="AW487" i="1" s="1"/>
  <c r="AK487" i="1"/>
  <c r="AN487" i="1" s="1"/>
  <c r="AP487" i="1"/>
  <c r="BF487" i="1" s="1"/>
  <c r="AT487" i="1"/>
  <c r="AU487" i="1"/>
  <c r="BE487" i="1"/>
  <c r="H488" i="1"/>
  <c r="N488" i="1"/>
  <c r="Q488" i="1"/>
  <c r="R488" i="1"/>
  <c r="S488" i="1"/>
  <c r="U488" i="1"/>
  <c r="V488" i="1"/>
  <c r="AC488" i="1"/>
  <c r="AD488" i="1"/>
  <c r="AE488" i="1"/>
  <c r="AL488" i="1" s="1"/>
  <c r="AK488" i="1"/>
  <c r="AN488" i="1" s="1"/>
  <c r="AM488" i="1"/>
  <c r="AP488" i="1"/>
  <c r="H489" i="1"/>
  <c r="N489" i="1"/>
  <c r="Q489" i="1"/>
  <c r="R489" i="1"/>
  <c r="S489" i="1"/>
  <c r="U489" i="1"/>
  <c r="V489" i="1"/>
  <c r="AC489" i="1"/>
  <c r="AD489" i="1"/>
  <c r="I489" i="1" s="1"/>
  <c r="AW489" i="1" s="1"/>
  <c r="AE489" i="1"/>
  <c r="AL489" i="1" s="1"/>
  <c r="AK489" i="1"/>
  <c r="AN489" i="1" s="1"/>
  <c r="AM489" i="1"/>
  <c r="AP489" i="1"/>
  <c r="H490" i="1"/>
  <c r="N490" i="1"/>
  <c r="Q490" i="1"/>
  <c r="R490" i="1"/>
  <c r="S490" i="1"/>
  <c r="U490" i="1"/>
  <c r="V490" i="1"/>
  <c r="AC490" i="1"/>
  <c r="AD490" i="1"/>
  <c r="AE490" i="1"/>
  <c r="AL490" i="1" s="1"/>
  <c r="AK490" i="1"/>
  <c r="AN490" i="1" s="1"/>
  <c r="AM490" i="1"/>
  <c r="AP490" i="1"/>
  <c r="AV491" i="1"/>
  <c r="I491" i="1"/>
  <c r="AW491" i="1" s="1"/>
  <c r="AK491" i="1"/>
  <c r="AN491" i="1" s="1"/>
  <c r="AM491" i="1"/>
  <c r="AP491" i="1"/>
  <c r="BF491" i="1" s="1"/>
  <c r="AT491" i="1"/>
  <c r="BE491" i="1"/>
  <c r="I492" i="1"/>
  <c r="AW492" i="1" s="1"/>
  <c r="AK492" i="1"/>
  <c r="AN492" i="1" s="1"/>
  <c r="AP492" i="1"/>
  <c r="BF492" i="1" s="1"/>
  <c r="AT492" i="1"/>
  <c r="AU492" i="1"/>
  <c r="BE492" i="1"/>
  <c r="AV493" i="1"/>
  <c r="I493" i="1"/>
  <c r="AK493" i="1"/>
  <c r="AN493" i="1" s="1"/>
  <c r="AP493" i="1"/>
  <c r="BF493" i="1" s="1"/>
  <c r="AT493" i="1"/>
  <c r="AU493" i="1"/>
  <c r="BE493" i="1"/>
  <c r="G494" i="1"/>
  <c r="I494" i="1"/>
  <c r="AK494" i="1"/>
  <c r="AN494" i="1" s="1"/>
  <c r="AM494" i="1"/>
  <c r="AP494" i="1"/>
  <c r="BF494" i="1" s="1"/>
  <c r="AT494" i="1"/>
  <c r="BE494" i="1"/>
  <c r="H495" i="1"/>
  <c r="N495" i="1"/>
  <c r="Q495" i="1"/>
  <c r="R495" i="1"/>
  <c r="S495" i="1"/>
  <c r="T495" i="1"/>
  <c r="AC495" i="1" s="1"/>
  <c r="U495" i="1"/>
  <c r="V495" i="1"/>
  <c r="AD495" i="1"/>
  <c r="AE495" i="1"/>
  <c r="AK495" i="1"/>
  <c r="AN495" i="1" s="1"/>
  <c r="AM495" i="1"/>
  <c r="AP495" i="1"/>
  <c r="AV496" i="1"/>
  <c r="I496" i="1"/>
  <c r="AK496" i="1"/>
  <c r="AN496" i="1" s="1"/>
  <c r="AP496" i="1"/>
  <c r="BF496" i="1" s="1"/>
  <c r="AT496" i="1"/>
  <c r="AU496" i="1"/>
  <c r="BE496" i="1"/>
  <c r="AV497" i="1"/>
  <c r="I497" i="1"/>
  <c r="M497" i="1" s="1"/>
  <c r="AK497" i="1"/>
  <c r="AN497" i="1" s="1"/>
  <c r="AP497" i="1"/>
  <c r="BF497" i="1" s="1"/>
  <c r="AT497" i="1"/>
  <c r="AU497" i="1"/>
  <c r="BE497" i="1"/>
  <c r="I498" i="1"/>
  <c r="AW498" i="1" s="1"/>
  <c r="AK498" i="1"/>
  <c r="AN498" i="1" s="1"/>
  <c r="AP498" i="1"/>
  <c r="BF498" i="1" s="1"/>
  <c r="AT498" i="1"/>
  <c r="AU498" i="1"/>
  <c r="BE498" i="1"/>
  <c r="I499" i="1"/>
  <c r="AW499" i="1" s="1"/>
  <c r="AK499" i="1"/>
  <c r="AN499" i="1" s="1"/>
  <c r="AP499" i="1"/>
  <c r="BF499" i="1" s="1"/>
  <c r="AT499" i="1"/>
  <c r="AU499" i="1"/>
  <c r="BE499" i="1"/>
  <c r="I500" i="1"/>
  <c r="AK500" i="1"/>
  <c r="AN500" i="1" s="1"/>
  <c r="AP500" i="1"/>
  <c r="BF500" i="1" s="1"/>
  <c r="AT500" i="1"/>
  <c r="AU500" i="1"/>
  <c r="BE500" i="1"/>
  <c r="AV501" i="1"/>
  <c r="I501" i="1"/>
  <c r="AW501" i="1" s="1"/>
  <c r="AK501" i="1"/>
  <c r="AN501" i="1" s="1"/>
  <c r="AP501" i="1"/>
  <c r="BF501" i="1" s="1"/>
  <c r="AT501" i="1"/>
  <c r="AU501" i="1"/>
  <c r="BE501" i="1"/>
  <c r="AV502" i="1"/>
  <c r="I502" i="1"/>
  <c r="AW502" i="1" s="1"/>
  <c r="AK502" i="1"/>
  <c r="AN502" i="1" s="1"/>
  <c r="AP502" i="1"/>
  <c r="BF502" i="1" s="1"/>
  <c r="AT502" i="1"/>
  <c r="AU502" i="1"/>
  <c r="BE502" i="1"/>
  <c r="AV503" i="1"/>
  <c r="I503" i="1"/>
  <c r="AK503" i="1"/>
  <c r="AN503" i="1" s="1"/>
  <c r="AP503" i="1"/>
  <c r="BF503" i="1" s="1"/>
  <c r="AT503" i="1"/>
  <c r="AU503" i="1"/>
  <c r="BE503" i="1"/>
  <c r="AV504" i="1"/>
  <c r="I504" i="1"/>
  <c r="M504" i="1" s="1"/>
  <c r="AK504" i="1"/>
  <c r="AN504" i="1" s="1"/>
  <c r="AP504" i="1"/>
  <c r="BF504" i="1" s="1"/>
  <c r="AT504" i="1"/>
  <c r="AU504" i="1"/>
  <c r="BE504" i="1"/>
  <c r="AV505" i="1"/>
  <c r="I505" i="1"/>
  <c r="AK505" i="1"/>
  <c r="AP505" i="1"/>
  <c r="BF505" i="1" s="1"/>
  <c r="AT505" i="1"/>
  <c r="AU505" i="1"/>
  <c r="BE505" i="1"/>
  <c r="I506" i="1"/>
  <c r="AW506" i="1" s="1"/>
  <c r="AK506" i="1"/>
  <c r="AP506" i="1"/>
  <c r="BF506" i="1" s="1"/>
  <c r="AT506" i="1"/>
  <c r="AU506" i="1"/>
  <c r="BE506" i="1"/>
  <c r="AR507" i="1"/>
  <c r="I507" i="1"/>
  <c r="AW507" i="1" s="1"/>
  <c r="AK507" i="1"/>
  <c r="AP507" i="1"/>
  <c r="BF507" i="1" s="1"/>
  <c r="AT507" i="1"/>
  <c r="AU507" i="1"/>
  <c r="BE507" i="1"/>
  <c r="I508" i="1"/>
  <c r="AK508" i="1"/>
  <c r="AP508" i="1"/>
  <c r="BF508" i="1" s="1"/>
  <c r="AT508" i="1"/>
  <c r="AU508" i="1"/>
  <c r="BE508" i="1"/>
  <c r="AR509" i="1"/>
  <c r="I509" i="1"/>
  <c r="AW509" i="1" s="1"/>
  <c r="AK509" i="1"/>
  <c r="AP509" i="1"/>
  <c r="BF509" i="1" s="1"/>
  <c r="AT509" i="1"/>
  <c r="AU509" i="1"/>
  <c r="BE509" i="1"/>
  <c r="I510" i="1"/>
  <c r="AK510" i="1"/>
  <c r="AP510" i="1"/>
  <c r="BF510" i="1" s="1"/>
  <c r="AT510" i="1"/>
  <c r="AU510" i="1"/>
  <c r="BE510" i="1"/>
  <c r="K511" i="1"/>
  <c r="I511" i="1"/>
  <c r="AW511" i="1" s="1"/>
  <c r="AK511" i="1"/>
  <c r="AP511" i="1"/>
  <c r="BF511" i="1" s="1"/>
  <c r="AT511" i="1"/>
  <c r="AU511" i="1"/>
  <c r="BE511" i="1"/>
  <c r="I512" i="1"/>
  <c r="AW512" i="1" s="1"/>
  <c r="AK512" i="1"/>
  <c r="AP512" i="1"/>
  <c r="BF512" i="1" s="1"/>
  <c r="AT512" i="1"/>
  <c r="AU512" i="1"/>
  <c r="BE512" i="1"/>
  <c r="I513" i="1"/>
  <c r="AK513" i="1"/>
  <c r="AP513" i="1"/>
  <c r="BF513" i="1" s="1"/>
  <c r="AT513" i="1"/>
  <c r="AU513" i="1"/>
  <c r="BE513" i="1"/>
  <c r="AV514" i="1"/>
  <c r="I514" i="1"/>
  <c r="AW514" i="1" s="1"/>
  <c r="AK514" i="1"/>
  <c r="AP514" i="1"/>
  <c r="BF514" i="1" s="1"/>
  <c r="AT514" i="1"/>
  <c r="AU514" i="1"/>
  <c r="BE514" i="1"/>
  <c r="AV515" i="1"/>
  <c r="I515" i="1"/>
  <c r="AW515" i="1" s="1"/>
  <c r="AK515" i="1"/>
  <c r="AP515" i="1"/>
  <c r="BF515" i="1" s="1"/>
  <c r="AT515" i="1"/>
  <c r="AU515" i="1"/>
  <c r="BE515" i="1"/>
  <c r="H516" i="1"/>
  <c r="N516" i="1"/>
  <c r="Q516" i="1"/>
  <c r="R516" i="1"/>
  <c r="S516" i="1"/>
  <c r="U516" i="1"/>
  <c r="V516" i="1"/>
  <c r="AC516" i="1"/>
  <c r="AD516" i="1"/>
  <c r="BE516" i="1" s="1"/>
  <c r="AE516" i="1"/>
  <c r="AL516" i="1" s="1"/>
  <c r="AK516" i="1"/>
  <c r="AM516" i="1"/>
  <c r="AP516" i="1"/>
  <c r="AV517" i="1"/>
  <c r="I517" i="1"/>
  <c r="AK517" i="1"/>
  <c r="AP517" i="1"/>
  <c r="BF517" i="1" s="1"/>
  <c r="AT517" i="1"/>
  <c r="AU517" i="1"/>
  <c r="BE517" i="1"/>
  <c r="I518" i="1"/>
  <c r="AK518" i="1"/>
  <c r="AP518" i="1"/>
  <c r="BF518" i="1" s="1"/>
  <c r="AT518" i="1"/>
  <c r="AU518" i="1"/>
  <c r="BE518" i="1"/>
  <c r="AV519" i="1"/>
  <c r="I519" i="1"/>
  <c r="M519" i="1" s="1"/>
  <c r="AK519" i="1"/>
  <c r="AP519" i="1"/>
  <c r="BF519" i="1" s="1"/>
  <c r="AT519" i="1"/>
  <c r="AU519" i="1"/>
  <c r="BE519" i="1"/>
  <c r="AV520" i="1"/>
  <c r="I520" i="1"/>
  <c r="AK520" i="1"/>
  <c r="AP520" i="1"/>
  <c r="BF520" i="1" s="1"/>
  <c r="AT520" i="1"/>
  <c r="AU520" i="1"/>
  <c r="BE520" i="1"/>
  <c r="I521" i="1"/>
  <c r="M521" i="1" s="1"/>
  <c r="AK521" i="1"/>
  <c r="AP521" i="1"/>
  <c r="BF521" i="1" s="1"/>
  <c r="AT521" i="1"/>
  <c r="AU521" i="1"/>
  <c r="BE521" i="1"/>
  <c r="I522" i="1"/>
  <c r="AW522" i="1" s="1"/>
  <c r="AK522" i="1"/>
  <c r="AP522" i="1"/>
  <c r="BF522" i="1" s="1"/>
  <c r="AT522" i="1"/>
  <c r="AU522" i="1"/>
  <c r="BE522" i="1"/>
  <c r="I523" i="1"/>
  <c r="AW523" i="1" s="1"/>
  <c r="AK523" i="1"/>
  <c r="AP523" i="1"/>
  <c r="BF523" i="1" s="1"/>
  <c r="AT523" i="1"/>
  <c r="AU523" i="1"/>
  <c r="BE523" i="1"/>
  <c r="I524" i="1"/>
  <c r="AW524" i="1" s="1"/>
  <c r="AK524" i="1"/>
  <c r="AP524" i="1"/>
  <c r="BF524" i="1" s="1"/>
  <c r="AT524" i="1"/>
  <c r="AU524" i="1"/>
  <c r="BE524" i="1"/>
  <c r="AV525" i="1"/>
  <c r="I525" i="1"/>
  <c r="AW525" i="1" s="1"/>
  <c r="AK525" i="1"/>
  <c r="AP525" i="1"/>
  <c r="BF525" i="1" s="1"/>
  <c r="AT525" i="1"/>
  <c r="AU525" i="1"/>
  <c r="BE525" i="1"/>
  <c r="AV526" i="1"/>
  <c r="I526" i="1"/>
  <c r="M526" i="1" s="1"/>
  <c r="AK526" i="1"/>
  <c r="AP526" i="1"/>
  <c r="BF526" i="1" s="1"/>
  <c r="AT526" i="1"/>
  <c r="AU526" i="1"/>
  <c r="BE526" i="1"/>
  <c r="I527" i="1"/>
  <c r="AK527" i="1"/>
  <c r="AP527" i="1"/>
  <c r="BF527" i="1" s="1"/>
  <c r="AT527" i="1"/>
  <c r="AU527" i="1"/>
  <c r="BE527" i="1"/>
  <c r="AV528" i="1"/>
  <c r="I528" i="1"/>
  <c r="AS528" i="1" s="1"/>
  <c r="AK528" i="1"/>
  <c r="AP528" i="1"/>
  <c r="BF528" i="1" s="1"/>
  <c r="AT528" i="1"/>
  <c r="AU528" i="1"/>
  <c r="BE528" i="1"/>
  <c r="AR529" i="1"/>
  <c r="I529" i="1"/>
  <c r="AK529" i="1"/>
  <c r="AP529" i="1"/>
  <c r="BF529" i="1" s="1"/>
  <c r="AT529" i="1"/>
  <c r="AU529" i="1"/>
  <c r="BE529" i="1"/>
  <c r="I530" i="1"/>
  <c r="AW530" i="1" s="1"/>
  <c r="AK530" i="1"/>
  <c r="AP530" i="1"/>
  <c r="BF530" i="1" s="1"/>
  <c r="AT530" i="1"/>
  <c r="AU530" i="1"/>
  <c r="BE530" i="1"/>
  <c r="AV531" i="1"/>
  <c r="I531" i="1"/>
  <c r="M531" i="1" s="1"/>
  <c r="AK531" i="1"/>
  <c r="AP531" i="1"/>
  <c r="BF531" i="1" s="1"/>
  <c r="AT531" i="1"/>
  <c r="AU531" i="1"/>
  <c r="BE531" i="1"/>
  <c r="AV532" i="1"/>
  <c r="I532" i="1"/>
  <c r="AK532" i="1"/>
  <c r="AP532" i="1"/>
  <c r="BF532" i="1" s="1"/>
  <c r="AT532" i="1"/>
  <c r="AU532" i="1"/>
  <c r="BE532" i="1"/>
  <c r="AV533" i="1"/>
  <c r="I533" i="1"/>
  <c r="AK533" i="1"/>
  <c r="AP533" i="1"/>
  <c r="BF533" i="1" s="1"/>
  <c r="AT533" i="1"/>
  <c r="AU533" i="1"/>
  <c r="BE533" i="1"/>
  <c r="I534" i="1"/>
  <c r="AW534" i="1" s="1"/>
  <c r="AK534" i="1"/>
  <c r="AP534" i="1"/>
  <c r="BF534" i="1" s="1"/>
  <c r="AT534" i="1"/>
  <c r="AU534" i="1"/>
  <c r="BE534" i="1"/>
  <c r="I535" i="1"/>
  <c r="AW535" i="1" s="1"/>
  <c r="AK535" i="1"/>
  <c r="AP535" i="1"/>
  <c r="BF535" i="1" s="1"/>
  <c r="AT535" i="1"/>
  <c r="AU535" i="1"/>
  <c r="BE535" i="1"/>
  <c r="I536" i="1"/>
  <c r="AW536" i="1" s="1"/>
  <c r="AK536" i="1"/>
  <c r="AP536" i="1"/>
  <c r="BF536" i="1" s="1"/>
  <c r="AT536" i="1"/>
  <c r="AU536" i="1"/>
  <c r="BE536" i="1"/>
  <c r="AV537" i="1"/>
  <c r="I537" i="1"/>
  <c r="AK537" i="1"/>
  <c r="AP537" i="1"/>
  <c r="BF537" i="1" s="1"/>
  <c r="AT537" i="1"/>
  <c r="AU537" i="1"/>
  <c r="BE537" i="1"/>
  <c r="K538" i="1"/>
  <c r="I538" i="1"/>
  <c r="M538" i="1" s="1"/>
  <c r="AK538" i="1"/>
  <c r="AP538" i="1"/>
  <c r="BF538" i="1" s="1"/>
  <c r="AT538" i="1"/>
  <c r="AU538" i="1"/>
  <c r="BE538" i="1"/>
  <c r="H539" i="1"/>
  <c r="G539" i="1" s="1"/>
  <c r="AX539" i="1" s="1"/>
  <c r="I539" i="1"/>
  <c r="AW539" i="1" s="1"/>
  <c r="Q539" i="1"/>
  <c r="R539" i="1"/>
  <c r="S539" i="1"/>
  <c r="U539" i="1"/>
  <c r="V539" i="1"/>
  <c r="AK539" i="1"/>
  <c r="AP539" i="1"/>
  <c r="BF539" i="1" s="1"/>
  <c r="AT539" i="1"/>
  <c r="BE539" i="1"/>
  <c r="AV540" i="1"/>
  <c r="I540" i="1"/>
  <c r="AW540" i="1" s="1"/>
  <c r="AK540" i="1"/>
  <c r="AP540" i="1"/>
  <c r="BF540" i="1" s="1"/>
  <c r="AT540" i="1"/>
  <c r="AU540" i="1"/>
  <c r="BE540" i="1"/>
  <c r="AV541" i="1"/>
  <c r="I541" i="1"/>
  <c r="AK541" i="1"/>
  <c r="AP541" i="1"/>
  <c r="BF541" i="1" s="1"/>
  <c r="AT541" i="1"/>
  <c r="AU541" i="1"/>
  <c r="BE541" i="1"/>
  <c r="AV542" i="1"/>
  <c r="I542" i="1"/>
  <c r="AW542" i="1" s="1"/>
  <c r="AK542" i="1"/>
  <c r="AP542" i="1"/>
  <c r="BF542" i="1" s="1"/>
  <c r="AT542" i="1"/>
  <c r="AU542" i="1"/>
  <c r="BE542" i="1"/>
  <c r="AV543" i="1"/>
  <c r="I543" i="1"/>
  <c r="M543" i="1" s="1"/>
  <c r="AK543" i="1"/>
  <c r="AP543" i="1"/>
  <c r="BF543" i="1" s="1"/>
  <c r="AT543" i="1"/>
  <c r="AU543" i="1"/>
  <c r="BE543" i="1"/>
  <c r="H544" i="1"/>
  <c r="G544" i="1" s="1"/>
  <c r="I544" i="1"/>
  <c r="Q544" i="1"/>
  <c r="R544" i="1"/>
  <c r="S544" i="1"/>
  <c r="U544" i="1"/>
  <c r="V544" i="1"/>
  <c r="AK544" i="1"/>
  <c r="AP544" i="1"/>
  <c r="BF544" i="1" s="1"/>
  <c r="AT544" i="1"/>
  <c r="BE544" i="1"/>
  <c r="I545" i="1"/>
  <c r="AW545" i="1" s="1"/>
  <c r="AK545" i="1"/>
  <c r="AP545" i="1"/>
  <c r="BF545" i="1" s="1"/>
  <c r="AT545" i="1"/>
  <c r="AU545" i="1"/>
  <c r="BE545" i="1"/>
  <c r="H546" i="1"/>
  <c r="G546" i="1" s="1"/>
  <c r="AX546" i="1" s="1"/>
  <c r="I546" i="1"/>
  <c r="AW546" i="1" s="1"/>
  <c r="Q546" i="1"/>
  <c r="R546" i="1"/>
  <c r="S546" i="1"/>
  <c r="U546" i="1"/>
  <c r="V546" i="1"/>
  <c r="AK546" i="1"/>
  <c r="AP546" i="1"/>
  <c r="BF546" i="1" s="1"/>
  <c r="AT546" i="1"/>
  <c r="BE546" i="1"/>
  <c r="I547" i="1"/>
  <c r="AW547" i="1" s="1"/>
  <c r="AK547" i="1"/>
  <c r="AP547" i="1"/>
  <c r="BF547" i="1" s="1"/>
  <c r="AT547" i="1"/>
  <c r="AU547" i="1"/>
  <c r="BE547" i="1"/>
  <c r="I548" i="1"/>
  <c r="AW548" i="1" s="1"/>
  <c r="AK548" i="1"/>
  <c r="AP548" i="1"/>
  <c r="BF548" i="1" s="1"/>
  <c r="AT548" i="1"/>
  <c r="AU548" i="1"/>
  <c r="BE548" i="1"/>
  <c r="AV549" i="1"/>
  <c r="I549" i="1"/>
  <c r="AW549" i="1" s="1"/>
  <c r="AK549" i="1"/>
  <c r="AP549" i="1"/>
  <c r="BF549" i="1" s="1"/>
  <c r="AT549" i="1"/>
  <c r="AU549" i="1"/>
  <c r="BE549" i="1"/>
  <c r="K550" i="1"/>
  <c r="I550" i="1"/>
  <c r="AK550" i="1"/>
  <c r="AP550" i="1"/>
  <c r="BF550" i="1" s="1"/>
  <c r="AT550" i="1"/>
  <c r="AU550" i="1"/>
  <c r="BE550" i="1"/>
  <c r="I551" i="1"/>
  <c r="Q551" i="1"/>
  <c r="R551" i="1"/>
  <c r="S551" i="1"/>
  <c r="U551" i="1"/>
  <c r="V551" i="1"/>
  <c r="AK551" i="1"/>
  <c r="AP551" i="1"/>
  <c r="BF551" i="1" s="1"/>
  <c r="AT551" i="1"/>
  <c r="AU551" i="1"/>
  <c r="BE551" i="1"/>
  <c r="I552" i="1"/>
  <c r="M552" i="1" s="1"/>
  <c r="Q552" i="1"/>
  <c r="R552" i="1"/>
  <c r="S552" i="1"/>
  <c r="U552" i="1"/>
  <c r="V552" i="1"/>
  <c r="AK552" i="1"/>
  <c r="AP552" i="1"/>
  <c r="BF552" i="1" s="1"/>
  <c r="AT552" i="1"/>
  <c r="AU552" i="1"/>
  <c r="BE552" i="1"/>
  <c r="I553" i="1"/>
  <c r="Q553" i="1"/>
  <c r="R553" i="1"/>
  <c r="S553" i="1"/>
  <c r="K553" i="1" s="1"/>
  <c r="U553" i="1"/>
  <c r="V553" i="1"/>
  <c r="AK553" i="1"/>
  <c r="AP553" i="1"/>
  <c r="BF553" i="1" s="1"/>
  <c r="AT553" i="1"/>
  <c r="AU553" i="1"/>
  <c r="BE553" i="1"/>
  <c r="I554" i="1"/>
  <c r="M554" i="1" s="1"/>
  <c r="AK554" i="1"/>
  <c r="AP554" i="1"/>
  <c r="BF554" i="1" s="1"/>
  <c r="AT554" i="1"/>
  <c r="AU554" i="1"/>
  <c r="BE554" i="1"/>
  <c r="H555" i="1"/>
  <c r="N555" i="1"/>
  <c r="Q555" i="1"/>
  <c r="R555" i="1"/>
  <c r="S555" i="1"/>
  <c r="U555" i="1"/>
  <c r="V555" i="1"/>
  <c r="AC555" i="1"/>
  <c r="AD555" i="1"/>
  <c r="AE555" i="1"/>
  <c r="AL555" i="1" s="1"/>
  <c r="AK555" i="1"/>
  <c r="AM555" i="1"/>
  <c r="AP555" i="1"/>
  <c r="AV556" i="1"/>
  <c r="I556" i="1"/>
  <c r="AW556" i="1" s="1"/>
  <c r="AK556" i="1"/>
  <c r="AP556" i="1"/>
  <c r="BF556" i="1" s="1"/>
  <c r="AT556" i="1"/>
  <c r="AU556" i="1"/>
  <c r="BE556" i="1"/>
  <c r="I557" i="1"/>
  <c r="AW557" i="1" s="1"/>
  <c r="AK557" i="1"/>
  <c r="AP557" i="1"/>
  <c r="BF557" i="1" s="1"/>
  <c r="AT557" i="1"/>
  <c r="AU557" i="1"/>
  <c r="BE557" i="1"/>
  <c r="AV558" i="1"/>
  <c r="I558" i="1"/>
  <c r="AW558" i="1" s="1"/>
  <c r="AK558" i="1"/>
  <c r="AP558" i="1"/>
  <c r="BF558" i="1" s="1"/>
  <c r="AT558" i="1"/>
  <c r="AU558" i="1"/>
  <c r="BE558" i="1"/>
  <c r="I559" i="1"/>
  <c r="AK559" i="1"/>
  <c r="AP559" i="1"/>
  <c r="BF559" i="1" s="1"/>
  <c r="AT559" i="1"/>
  <c r="AU559" i="1"/>
  <c r="BE559" i="1"/>
  <c r="I560" i="1"/>
  <c r="AW560" i="1" s="1"/>
  <c r="Q560" i="1"/>
  <c r="R560" i="1"/>
  <c r="S560" i="1"/>
  <c r="U560" i="1"/>
  <c r="V560" i="1"/>
  <c r="AK560" i="1"/>
  <c r="AP560" i="1"/>
  <c r="BF560" i="1" s="1"/>
  <c r="AT560" i="1"/>
  <c r="AU560" i="1"/>
  <c r="BE560" i="1"/>
  <c r="AV561" i="1"/>
  <c r="I561" i="1"/>
  <c r="AW561" i="1" s="1"/>
  <c r="AK561" i="1"/>
  <c r="AP561" i="1"/>
  <c r="BF561" i="1" s="1"/>
  <c r="AT561" i="1"/>
  <c r="AU561" i="1"/>
  <c r="BE561" i="1"/>
  <c r="AV562" i="1"/>
  <c r="I562" i="1"/>
  <c r="M562" i="1" s="1"/>
  <c r="AK562" i="1"/>
  <c r="AP562" i="1"/>
  <c r="BF562" i="1" s="1"/>
  <c r="AT562" i="1"/>
  <c r="AU562" i="1"/>
  <c r="BE562" i="1"/>
  <c r="AV563" i="1"/>
  <c r="I563" i="1"/>
  <c r="AK563" i="1"/>
  <c r="AP563" i="1"/>
  <c r="BF563" i="1" s="1"/>
  <c r="AT563" i="1"/>
  <c r="AU563" i="1"/>
  <c r="BE563" i="1"/>
  <c r="I564" i="1"/>
  <c r="AK564" i="1"/>
  <c r="AP564" i="1"/>
  <c r="BF564" i="1" s="1"/>
  <c r="AT564" i="1"/>
  <c r="AU564" i="1"/>
  <c r="BE564" i="1"/>
  <c r="I565" i="1"/>
  <c r="Q565" i="1"/>
  <c r="R565" i="1"/>
  <c r="S565" i="1"/>
  <c r="U565" i="1"/>
  <c r="V565" i="1"/>
  <c r="AK565" i="1"/>
  <c r="AP565" i="1"/>
  <c r="BF565" i="1" s="1"/>
  <c r="AT565" i="1"/>
  <c r="AU565" i="1"/>
  <c r="BE565" i="1"/>
  <c r="I566" i="1"/>
  <c r="M566" i="1" s="1"/>
  <c r="AK566" i="1"/>
  <c r="AP566" i="1"/>
  <c r="BF566" i="1" s="1"/>
  <c r="AT566" i="1"/>
  <c r="AU566" i="1"/>
  <c r="BE566" i="1"/>
  <c r="AV567" i="1"/>
  <c r="I567" i="1"/>
  <c r="M567" i="1" s="1"/>
  <c r="AK567" i="1"/>
  <c r="AP567" i="1"/>
  <c r="BF567" i="1" s="1"/>
  <c r="AT567" i="1"/>
  <c r="AU567" i="1"/>
  <c r="H568" i="1"/>
  <c r="N568" i="1"/>
  <c r="Q568" i="1"/>
  <c r="R568" i="1"/>
  <c r="S568" i="1"/>
  <c r="U568" i="1"/>
  <c r="V568" i="1"/>
  <c r="AC568" i="1"/>
  <c r="AD568" i="1"/>
  <c r="AT568" i="1" s="1"/>
  <c r="AE568" i="1"/>
  <c r="AK568" i="1"/>
  <c r="AM568" i="1"/>
  <c r="AP568" i="1"/>
  <c r="AD569" i="1"/>
  <c r="AK569" i="1"/>
  <c r="AP569" i="1"/>
  <c r="AU569" i="1"/>
  <c r="AV570" i="1"/>
  <c r="I570" i="1"/>
  <c r="AW570" i="1" s="1"/>
  <c r="AK570" i="1"/>
  <c r="AP570" i="1"/>
  <c r="BF570" i="1" s="1"/>
  <c r="AT570" i="1"/>
  <c r="AU570" i="1"/>
  <c r="I571" i="1"/>
  <c r="AW571" i="1" s="1"/>
  <c r="AK571" i="1"/>
  <c r="AP571" i="1"/>
  <c r="BF571" i="1" s="1"/>
  <c r="AT571" i="1"/>
  <c r="AU571" i="1"/>
  <c r="I572" i="1"/>
  <c r="M572" i="1" s="1"/>
  <c r="AK572" i="1"/>
  <c r="AP572" i="1"/>
  <c r="BF572" i="1" s="1"/>
  <c r="AT572" i="1"/>
  <c r="AU572" i="1"/>
  <c r="AV573" i="1"/>
  <c r="I573" i="1"/>
  <c r="AK573" i="1"/>
  <c r="AP573" i="1"/>
  <c r="BF573" i="1" s="1"/>
  <c r="AT573" i="1"/>
  <c r="AU573" i="1"/>
  <c r="I574" i="1"/>
  <c r="AW574" i="1" s="1"/>
  <c r="AK574" i="1"/>
  <c r="AP574" i="1"/>
  <c r="BF574" i="1" s="1"/>
  <c r="AT574" i="1"/>
  <c r="AU574" i="1"/>
  <c r="AV575" i="1"/>
  <c r="I575" i="1"/>
  <c r="AW575" i="1" s="1"/>
  <c r="AK575" i="1"/>
  <c r="AP575" i="1"/>
  <c r="BF575" i="1" s="1"/>
  <c r="AT575" i="1"/>
  <c r="AU575" i="1"/>
  <c r="AV576" i="1"/>
  <c r="I576" i="1"/>
  <c r="M576" i="1" s="1"/>
  <c r="AK576" i="1"/>
  <c r="AP576" i="1"/>
  <c r="BF576" i="1" s="1"/>
  <c r="AT576" i="1"/>
  <c r="AU576" i="1"/>
  <c r="AV577" i="1"/>
  <c r="I577" i="1"/>
  <c r="AK577" i="1"/>
  <c r="AP577" i="1"/>
  <c r="BF577" i="1" s="1"/>
  <c r="AT577" i="1"/>
  <c r="AU577" i="1"/>
  <c r="I578" i="1"/>
  <c r="M578" i="1" s="1"/>
  <c r="AK578" i="1"/>
  <c r="AP578" i="1"/>
  <c r="BF578" i="1" s="1"/>
  <c r="AT578" i="1"/>
  <c r="AU578" i="1"/>
  <c r="AV579" i="1"/>
  <c r="I579" i="1"/>
  <c r="AS579" i="1" s="1"/>
  <c r="AK579" i="1"/>
  <c r="AP579" i="1"/>
  <c r="BF579" i="1" s="1"/>
  <c r="AT579" i="1"/>
  <c r="AU579" i="1"/>
  <c r="H580" i="1"/>
  <c r="N580" i="1"/>
  <c r="Q580" i="1"/>
  <c r="R580" i="1"/>
  <c r="S580" i="1"/>
  <c r="T580" i="1"/>
  <c r="AC580" i="1" s="1"/>
  <c r="U580" i="1"/>
  <c r="V580" i="1"/>
  <c r="AD580" i="1"/>
  <c r="AE580" i="1"/>
  <c r="AL580" i="1" s="1"/>
  <c r="AK580" i="1"/>
  <c r="AM580" i="1"/>
  <c r="AP580" i="1"/>
  <c r="H581" i="1"/>
  <c r="N581" i="1"/>
  <c r="Q581" i="1"/>
  <c r="R581" i="1"/>
  <c r="S581" i="1"/>
  <c r="T581" i="1"/>
  <c r="AC581" i="1" s="1"/>
  <c r="U581" i="1"/>
  <c r="V581" i="1"/>
  <c r="AD581" i="1"/>
  <c r="BE581" i="1" s="1"/>
  <c r="AE581" i="1"/>
  <c r="AL581" i="1" s="1"/>
  <c r="AK581" i="1"/>
  <c r="AM581" i="1"/>
  <c r="AP581" i="1"/>
  <c r="AV582" i="1"/>
  <c r="AD582" i="1"/>
  <c r="BE582" i="1" s="1"/>
  <c r="AK582" i="1"/>
  <c r="AP582" i="1"/>
  <c r="AU582" i="1"/>
  <c r="BD582" i="1"/>
  <c r="AD583" i="1"/>
  <c r="I583" i="1" s="1"/>
  <c r="AW583" i="1" s="1"/>
  <c r="AK583" i="1"/>
  <c r="AP583" i="1"/>
  <c r="AU583" i="1"/>
  <c r="BD583" i="1"/>
  <c r="AD584" i="1"/>
  <c r="BE584" i="1" s="1"/>
  <c r="AK584" i="1"/>
  <c r="AP584" i="1"/>
  <c r="AU584" i="1"/>
  <c r="BD584" i="1"/>
  <c r="AD585" i="1"/>
  <c r="AK585" i="1"/>
  <c r="AP585" i="1"/>
  <c r="AU585" i="1"/>
  <c r="BD585" i="1"/>
  <c r="H586" i="1"/>
  <c r="N586" i="1"/>
  <c r="T586" i="1"/>
  <c r="AC586" i="1" s="1"/>
  <c r="U586" i="1"/>
  <c r="V586" i="1"/>
  <c r="AD586" i="1"/>
  <c r="AT586" i="1" s="1"/>
  <c r="AE586" i="1"/>
  <c r="AH586" i="1"/>
  <c r="AJ586" i="1"/>
  <c r="AK586" i="1"/>
  <c r="AP586" i="1"/>
  <c r="AV587" i="1"/>
  <c r="I587" i="1"/>
  <c r="AW587" i="1" s="1"/>
  <c r="AH587" i="1"/>
  <c r="AJ587" i="1"/>
  <c r="AK587" i="1"/>
  <c r="AP587" i="1"/>
  <c r="AT587" i="1"/>
  <c r="BC587" i="1"/>
  <c r="AV588" i="1"/>
  <c r="I588" i="1"/>
  <c r="AW588" i="1" s="1"/>
  <c r="AJ588" i="1"/>
  <c r="BE588" i="1" s="1"/>
  <c r="AK588" i="1"/>
  <c r="AP588" i="1"/>
  <c r="AT588" i="1"/>
  <c r="BC588" i="1"/>
  <c r="H589" i="1"/>
  <c r="N589" i="1"/>
  <c r="Q589" i="1"/>
  <c r="R589" i="1"/>
  <c r="S589" i="1"/>
  <c r="T589" i="1"/>
  <c r="AC589" i="1" s="1"/>
  <c r="U589" i="1"/>
  <c r="V589" i="1"/>
  <c r="AD589" i="1"/>
  <c r="AE589" i="1"/>
  <c r="AL589" i="1" s="1"/>
  <c r="AJ589" i="1"/>
  <c r="AK589" i="1"/>
  <c r="AM589" i="1"/>
  <c r="AP589" i="1"/>
  <c r="AD590" i="1"/>
  <c r="I590" i="1" s="1"/>
  <c r="AJ590" i="1"/>
  <c r="AK590" i="1"/>
  <c r="AP590" i="1"/>
  <c r="BD590" i="1"/>
  <c r="AV591" i="1"/>
  <c r="AD591" i="1"/>
  <c r="I591" i="1" s="1"/>
  <c r="M591" i="1" s="1"/>
  <c r="AJ591" i="1"/>
  <c r="AK591" i="1"/>
  <c r="AP591" i="1"/>
  <c r="BD591" i="1"/>
  <c r="AV592" i="1"/>
  <c r="H592" i="1"/>
  <c r="I592" i="1"/>
  <c r="AW592" i="1" s="1"/>
  <c r="N592" i="1"/>
  <c r="T592" i="1"/>
  <c r="AE592" i="1"/>
  <c r="AY592" i="1" s="1"/>
  <c r="AJ592" i="1"/>
  <c r="BE592" i="1" s="1"/>
  <c r="AK592" i="1"/>
  <c r="AM592" i="1"/>
  <c r="AP592" i="1"/>
  <c r="AT592" i="1"/>
  <c r="BC592" i="1"/>
  <c r="I593" i="1"/>
  <c r="AJ593" i="1"/>
  <c r="AK593" i="1"/>
  <c r="AP593" i="1"/>
  <c r="AT593" i="1"/>
  <c r="BC593" i="1"/>
  <c r="BD593" i="1"/>
  <c r="AD594" i="1"/>
  <c r="AT594" i="1" s="1"/>
  <c r="AE594" i="1"/>
  <c r="AY594" i="1" s="1"/>
  <c r="AJ594" i="1"/>
  <c r="AK594" i="1"/>
  <c r="AM594" i="1"/>
  <c r="AX594" i="1" s="1"/>
  <c r="AP594" i="1"/>
  <c r="AD595" i="1"/>
  <c r="AT595" i="1" s="1"/>
  <c r="AJ595" i="1"/>
  <c r="AK595" i="1"/>
  <c r="AP595" i="1"/>
  <c r="BD595" i="1"/>
  <c r="AD596" i="1"/>
  <c r="AJ596" i="1"/>
  <c r="AK596" i="1"/>
  <c r="AP596" i="1"/>
  <c r="BD596" i="1"/>
  <c r="AV597" i="1"/>
  <c r="AD597" i="1"/>
  <c r="AT597" i="1" s="1"/>
  <c r="AJ597" i="1"/>
  <c r="AK597" i="1"/>
  <c r="AP597" i="1"/>
  <c r="BD597" i="1"/>
  <c r="AV598" i="1"/>
  <c r="AD598" i="1"/>
  <c r="AJ598" i="1"/>
  <c r="AK598" i="1"/>
  <c r="AP598" i="1"/>
  <c r="BD598" i="1"/>
  <c r="AV599" i="1"/>
  <c r="AC599" i="1"/>
  <c r="AD599" i="1"/>
  <c r="AT599" i="1" s="1"/>
  <c r="AE599" i="1"/>
  <c r="AL599" i="1" s="1"/>
  <c r="AJ599" i="1"/>
  <c r="AK599" i="1"/>
  <c r="AM599" i="1"/>
  <c r="AX599" i="1" s="1"/>
  <c r="AP599" i="1"/>
  <c r="AD600" i="1"/>
  <c r="I600" i="1" s="1"/>
  <c r="AW600" i="1" s="1"/>
  <c r="AJ600" i="1"/>
  <c r="AK600" i="1"/>
  <c r="AP600" i="1"/>
  <c r="BD600" i="1"/>
  <c r="K601" i="1"/>
  <c r="H601" i="1"/>
  <c r="AD601" i="1"/>
  <c r="AT601" i="1" s="1"/>
  <c r="AE601" i="1"/>
  <c r="AY601" i="1" s="1"/>
  <c r="AJ601" i="1"/>
  <c r="AK601" i="1"/>
  <c r="AM601" i="1"/>
  <c r="AX601" i="1" s="1"/>
  <c r="AP601" i="1"/>
  <c r="AD602" i="1"/>
  <c r="AT602" i="1" s="1"/>
  <c r="AJ602" i="1"/>
  <c r="AK602" i="1"/>
  <c r="AP602" i="1"/>
  <c r="BD602" i="1"/>
  <c r="AV603" i="1"/>
  <c r="AD603" i="1"/>
  <c r="AJ603" i="1"/>
  <c r="AK603" i="1"/>
  <c r="AP603" i="1"/>
  <c r="BD603" i="1"/>
  <c r="AD604" i="1"/>
  <c r="BC604" i="1" s="1"/>
  <c r="AJ604" i="1"/>
  <c r="AK604" i="1"/>
  <c r="AP604" i="1"/>
  <c r="BD604" i="1"/>
  <c r="AV605" i="1"/>
  <c r="AD605" i="1"/>
  <c r="AJ605" i="1"/>
  <c r="AK605" i="1"/>
  <c r="AP605" i="1"/>
  <c r="BD605" i="1"/>
  <c r="AV606" i="1"/>
  <c r="AD606" i="1"/>
  <c r="AJ606" i="1"/>
  <c r="AK606" i="1"/>
  <c r="AP606" i="1"/>
  <c r="BD606" i="1"/>
  <c r="AD607" i="1"/>
  <c r="I607" i="1" s="1"/>
  <c r="AJ607" i="1"/>
  <c r="AK607" i="1"/>
  <c r="AP607" i="1"/>
  <c r="BD607" i="1"/>
  <c r="AV608" i="1"/>
  <c r="AD608" i="1"/>
  <c r="AJ608" i="1"/>
  <c r="AK608" i="1"/>
  <c r="AP608" i="1"/>
  <c r="BD608" i="1"/>
  <c r="AV609" i="1"/>
  <c r="AD609" i="1"/>
  <c r="AK609" i="1"/>
  <c r="AP609" i="1"/>
  <c r="BD609" i="1"/>
  <c r="AD610" i="1"/>
  <c r="BC610" i="1" s="1"/>
  <c r="AJ610" i="1"/>
  <c r="AK610" i="1"/>
  <c r="AP610" i="1"/>
  <c r="BD610" i="1"/>
  <c r="AV611" i="1"/>
  <c r="I611" i="1"/>
  <c r="AW611" i="1" s="1"/>
  <c r="AJ611" i="1"/>
  <c r="AK611" i="1"/>
  <c r="AP611" i="1"/>
  <c r="AT611" i="1"/>
  <c r="AU611" i="1"/>
  <c r="BC611" i="1"/>
  <c r="BD611" i="1"/>
  <c r="AV612" i="1"/>
  <c r="I612" i="1"/>
  <c r="AW612" i="1" s="1"/>
  <c r="AJ612" i="1"/>
  <c r="BE612" i="1" s="1"/>
  <c r="AK612" i="1"/>
  <c r="AP612" i="1"/>
  <c r="AT612" i="1"/>
  <c r="AU612" i="1"/>
  <c r="BC612" i="1"/>
  <c r="BD612" i="1"/>
  <c r="AV613" i="1"/>
  <c r="H613" i="1"/>
  <c r="G613" i="1" s="1"/>
  <c r="I613" i="1"/>
  <c r="AC613" i="1"/>
  <c r="AY613" i="1" s="1"/>
  <c r="AJ613" i="1"/>
  <c r="BE613" i="1" s="1"/>
  <c r="AK613" i="1"/>
  <c r="AL613" i="1"/>
  <c r="AM613" i="1"/>
  <c r="AP613" i="1"/>
  <c r="AT613" i="1"/>
  <c r="BC613" i="1"/>
  <c r="I614" i="1"/>
  <c r="AJ614" i="1"/>
  <c r="BE614" i="1" s="1"/>
  <c r="AK614" i="1"/>
  <c r="AP614" i="1"/>
  <c r="AT614" i="1"/>
  <c r="BC614" i="1"/>
  <c r="BD614" i="1"/>
  <c r="AV615" i="1"/>
  <c r="I615" i="1"/>
  <c r="M615" i="1" s="1"/>
  <c r="AJ615" i="1"/>
  <c r="AK615" i="1"/>
  <c r="AP615" i="1"/>
  <c r="AT615" i="1"/>
  <c r="BC615" i="1"/>
  <c r="BD615" i="1"/>
  <c r="AV616" i="1"/>
  <c r="I616" i="1"/>
  <c r="AJ616" i="1"/>
  <c r="AK616" i="1"/>
  <c r="AP616" i="1"/>
  <c r="AT616" i="1"/>
  <c r="BC616" i="1"/>
  <c r="BD616" i="1"/>
  <c r="I617" i="1"/>
  <c r="AJ617" i="1"/>
  <c r="BE617" i="1" s="1"/>
  <c r="AK617" i="1"/>
  <c r="AP617" i="1"/>
  <c r="AT617" i="1"/>
  <c r="BC617" i="1"/>
  <c r="BD617" i="1"/>
  <c r="I618" i="1"/>
  <c r="AW618" i="1" s="1"/>
  <c r="AJ618" i="1"/>
  <c r="BE618" i="1" s="1"/>
  <c r="AK618" i="1"/>
  <c r="AP618" i="1"/>
  <c r="AT618" i="1"/>
  <c r="BC618" i="1"/>
  <c r="BD618" i="1"/>
  <c r="AV619" i="1"/>
  <c r="I619" i="1"/>
  <c r="AW619" i="1" s="1"/>
  <c r="AJ619" i="1"/>
  <c r="BE619" i="1" s="1"/>
  <c r="AK619" i="1"/>
  <c r="AP619" i="1"/>
  <c r="AT619" i="1"/>
  <c r="BC619" i="1"/>
  <c r="BD619" i="1"/>
  <c r="I620" i="1"/>
  <c r="AW620" i="1" s="1"/>
  <c r="AJ620" i="1"/>
  <c r="AK620" i="1"/>
  <c r="AP620" i="1"/>
  <c r="AT620" i="1"/>
  <c r="BC620" i="1"/>
  <c r="BD620" i="1"/>
  <c r="AV621" i="1"/>
  <c r="I621" i="1"/>
  <c r="AW621" i="1" s="1"/>
  <c r="AJ621" i="1"/>
  <c r="BE621" i="1" s="1"/>
  <c r="AK621" i="1"/>
  <c r="AP621" i="1"/>
  <c r="BC621" i="1"/>
  <c r="BD621" i="1"/>
  <c r="AV622" i="1"/>
  <c r="H622" i="1"/>
  <c r="G622" i="1" s="1"/>
  <c r="I622" i="1"/>
  <c r="AC622" i="1"/>
  <c r="AY622" i="1" s="1"/>
  <c r="AF622" i="1"/>
  <c r="BC622" i="1" s="1"/>
  <c r="AJ622" i="1"/>
  <c r="AK622" i="1"/>
  <c r="AL622" i="1"/>
  <c r="AM622" i="1"/>
  <c r="AP622" i="1"/>
  <c r="H623" i="1"/>
  <c r="N623" i="1"/>
  <c r="AC623" i="1"/>
  <c r="AD623" i="1"/>
  <c r="AE623" i="1"/>
  <c r="AL623" i="1" s="1"/>
  <c r="AF623" i="1"/>
  <c r="AJ623" i="1"/>
  <c r="AK623" i="1"/>
  <c r="AM623" i="1"/>
  <c r="AP623" i="1"/>
  <c r="AV624" i="1"/>
  <c r="I624" i="1"/>
  <c r="AW624" i="1" s="1"/>
  <c r="AJ624" i="1"/>
  <c r="BE624" i="1" s="1"/>
  <c r="AK624" i="1"/>
  <c r="AP624" i="1"/>
  <c r="AT624" i="1"/>
  <c r="BC624" i="1"/>
  <c r="BD624" i="1"/>
  <c r="BA625" i="1"/>
  <c r="I625" i="1"/>
  <c r="AW625" i="1" s="1"/>
  <c r="AJ625" i="1"/>
  <c r="AK625" i="1"/>
  <c r="AP625" i="1"/>
  <c r="AT625" i="1"/>
  <c r="BC625" i="1"/>
  <c r="BD625" i="1"/>
  <c r="I626" i="1"/>
  <c r="BB626" i="1" s="1"/>
  <c r="AE626" i="1"/>
  <c r="AL626" i="1" s="1"/>
  <c r="AJ626" i="1"/>
  <c r="BE626" i="1" s="1"/>
  <c r="AK626" i="1"/>
  <c r="AM626" i="1"/>
  <c r="AX626" i="1" s="1"/>
  <c r="AP626" i="1"/>
  <c r="AT626" i="1"/>
  <c r="BC626" i="1"/>
  <c r="AV627" i="1"/>
  <c r="I627" i="1"/>
  <c r="AJ627" i="1"/>
  <c r="BE627" i="1" s="1"/>
  <c r="AK627" i="1"/>
  <c r="AP627" i="1"/>
  <c r="AT627" i="1"/>
  <c r="BC627" i="1"/>
  <c r="BD627" i="1"/>
  <c r="AV628" i="1"/>
  <c r="I628" i="1"/>
  <c r="AJ628" i="1"/>
  <c r="AK628" i="1"/>
  <c r="AP628" i="1"/>
  <c r="AT628" i="1"/>
  <c r="BC628" i="1"/>
  <c r="BD628" i="1"/>
  <c r="AV629" i="1"/>
  <c r="I629" i="1"/>
  <c r="M629" i="1" s="1"/>
  <c r="AJ629" i="1"/>
  <c r="AK629" i="1"/>
  <c r="AP629" i="1"/>
  <c r="AT629" i="1"/>
  <c r="BC629" i="1"/>
  <c r="BD629" i="1"/>
  <c r="AV630" i="1"/>
  <c r="H630" i="1"/>
  <c r="I630" i="1"/>
  <c r="N630" i="1"/>
  <c r="AC630" i="1"/>
  <c r="AE630" i="1"/>
  <c r="AL630" i="1" s="1"/>
  <c r="AZ630" i="1" s="1"/>
  <c r="AF630" i="1"/>
  <c r="BC630" i="1" s="1"/>
  <c r="AJ630" i="1"/>
  <c r="AK630" i="1"/>
  <c r="AP630" i="1"/>
  <c r="AV631" i="1"/>
  <c r="I631" i="1"/>
  <c r="AW631" i="1" s="1"/>
  <c r="AJ631" i="1"/>
  <c r="BE631" i="1" s="1"/>
  <c r="AK631" i="1"/>
  <c r="AP631" i="1"/>
  <c r="AT631" i="1"/>
  <c r="BC631" i="1"/>
  <c r="BD631" i="1"/>
  <c r="AV632" i="1"/>
  <c r="I632" i="1"/>
  <c r="AW632" i="1" s="1"/>
  <c r="AJ632" i="1"/>
  <c r="BE632" i="1" s="1"/>
  <c r="AK632" i="1"/>
  <c r="AP632" i="1"/>
  <c r="AT632" i="1"/>
  <c r="BC632" i="1"/>
  <c r="BD632" i="1"/>
  <c r="I633" i="1"/>
  <c r="AW633" i="1" s="1"/>
  <c r="AK633" i="1"/>
  <c r="AP633" i="1"/>
  <c r="AT633" i="1"/>
  <c r="BC633" i="1"/>
  <c r="BD633" i="1"/>
  <c r="BE633" i="1"/>
  <c r="AV634" i="1"/>
  <c r="I634" i="1"/>
  <c r="AW634" i="1" s="1"/>
  <c r="AJ634" i="1"/>
  <c r="BE634" i="1" s="1"/>
  <c r="AK634" i="1"/>
  <c r="AP634" i="1"/>
  <c r="AT634" i="1"/>
  <c r="BC634" i="1"/>
  <c r="BD634" i="1"/>
  <c r="AV635" i="1"/>
  <c r="I635" i="1"/>
  <c r="AJ635" i="1"/>
  <c r="BE635" i="1" s="1"/>
  <c r="AK635" i="1"/>
  <c r="AL635" i="1"/>
  <c r="AE635" i="1" s="1"/>
  <c r="AY635" i="1" s="1"/>
  <c r="AM635" i="1"/>
  <c r="AX635" i="1" s="1"/>
  <c r="AP635" i="1"/>
  <c r="BC635" i="1"/>
  <c r="I636" i="1"/>
  <c r="BB636" i="1" s="1"/>
  <c r="AJ636" i="1"/>
  <c r="BE636" i="1" s="1"/>
  <c r="AK636" i="1"/>
  <c r="AP636" i="1"/>
  <c r="BC636" i="1"/>
  <c r="BD636" i="1"/>
  <c r="I637" i="1"/>
  <c r="AW637" i="1" s="1"/>
  <c r="AJ637" i="1"/>
  <c r="BE637" i="1" s="1"/>
  <c r="AK637" i="1"/>
  <c r="AP637" i="1"/>
  <c r="AT637" i="1"/>
  <c r="BC637" i="1"/>
  <c r="BD637" i="1"/>
  <c r="H638" i="1"/>
  <c r="N638" i="1"/>
  <c r="Q638" i="1"/>
  <c r="R638" i="1"/>
  <c r="S638" i="1"/>
  <c r="T638" i="1"/>
  <c r="AC638" i="1" s="1"/>
  <c r="U638" i="1"/>
  <c r="V638" i="1"/>
  <c r="AD638" i="1"/>
  <c r="I638" i="1" s="1"/>
  <c r="AW638" i="1" s="1"/>
  <c r="AE638" i="1"/>
  <c r="AJ638" i="1"/>
  <c r="AK638" i="1"/>
  <c r="AM638" i="1"/>
  <c r="AP638" i="1"/>
  <c r="I639" i="1"/>
  <c r="AW639" i="1" s="1"/>
  <c r="AJ639" i="1"/>
  <c r="BE639" i="1" s="1"/>
  <c r="AK639" i="1"/>
  <c r="AP639" i="1"/>
  <c r="BD639" i="1"/>
  <c r="AV640" i="1"/>
  <c r="I640" i="1"/>
  <c r="AW640" i="1" s="1"/>
  <c r="AJ640" i="1"/>
  <c r="BE640" i="1" s="1"/>
  <c r="AK640" i="1"/>
  <c r="AP640" i="1"/>
  <c r="BD640" i="1"/>
  <c r="AV641" i="1"/>
  <c r="I641" i="1"/>
  <c r="BB641" i="1" s="1"/>
  <c r="AJ641" i="1"/>
  <c r="BE641" i="1" s="1"/>
  <c r="AK641" i="1"/>
  <c r="AP641" i="1"/>
  <c r="BD641" i="1"/>
  <c r="H642" i="1"/>
  <c r="I642" i="1"/>
  <c r="AW642" i="1" s="1"/>
  <c r="N642" i="1"/>
  <c r="Q642" i="1"/>
  <c r="R642" i="1"/>
  <c r="S642" i="1"/>
  <c r="U642" i="1"/>
  <c r="V642" i="1"/>
  <c r="AJ642" i="1"/>
  <c r="BE642" i="1" s="1"/>
  <c r="AK642" i="1"/>
  <c r="AL642" i="1"/>
  <c r="AM642" i="1"/>
  <c r="AP642" i="1"/>
  <c r="I643" i="1"/>
  <c r="AW643" i="1" s="1"/>
  <c r="N643" i="1"/>
  <c r="Q643" i="1"/>
  <c r="R643" i="1"/>
  <c r="S643" i="1"/>
  <c r="U643" i="1"/>
  <c r="V643" i="1"/>
  <c r="AC643" i="1"/>
  <c r="AE643" i="1"/>
  <c r="AL643" i="1" s="1"/>
  <c r="AJ643" i="1"/>
  <c r="BE643" i="1" s="1"/>
  <c r="AK643" i="1"/>
  <c r="AM643" i="1"/>
  <c r="H643" i="1" s="1"/>
  <c r="AP643" i="1"/>
  <c r="AT643" i="1"/>
  <c r="AV644" i="1"/>
  <c r="G644" i="1"/>
  <c r="AX644" i="1" s="1"/>
  <c r="I644" i="1"/>
  <c r="AW644" i="1" s="1"/>
  <c r="AJ644" i="1"/>
  <c r="BE644" i="1" s="1"/>
  <c r="AK644" i="1"/>
  <c r="AP644" i="1"/>
  <c r="H645" i="1"/>
  <c r="I645" i="1"/>
  <c r="AS645" i="1" s="1"/>
  <c r="N645" i="1"/>
  <c r="Q645" i="1"/>
  <c r="R645" i="1"/>
  <c r="S645" i="1"/>
  <c r="T645" i="1"/>
  <c r="AC645" i="1" s="1"/>
  <c r="AY645" i="1" s="1"/>
  <c r="U645" i="1"/>
  <c r="V645" i="1"/>
  <c r="AJ645" i="1"/>
  <c r="BE645" i="1" s="1"/>
  <c r="AK645" i="1"/>
  <c r="AM645" i="1"/>
  <c r="AP645" i="1"/>
  <c r="AT645" i="1"/>
  <c r="AV646" i="1"/>
  <c r="I646" i="1"/>
  <c r="AW646" i="1" s="1"/>
  <c r="AJ646" i="1"/>
  <c r="BE646" i="1" s="1"/>
  <c r="AK646" i="1"/>
  <c r="AP646" i="1"/>
  <c r="BD646" i="1"/>
  <c r="AV647" i="1"/>
  <c r="I647" i="1"/>
  <c r="AW647" i="1" s="1"/>
  <c r="AJ647" i="1"/>
  <c r="BE647" i="1" s="1"/>
  <c r="AK647" i="1"/>
  <c r="AL647" i="1"/>
  <c r="AM647" i="1"/>
  <c r="AX647" i="1" s="1"/>
  <c r="AP647" i="1"/>
  <c r="AV648" i="1"/>
  <c r="I648" i="1"/>
  <c r="M648" i="1" s="1"/>
  <c r="AJ648" i="1"/>
  <c r="BE648" i="1" s="1"/>
  <c r="AK648" i="1"/>
  <c r="AL648" i="1"/>
  <c r="AM648" i="1"/>
  <c r="AP648" i="1"/>
  <c r="I649" i="1"/>
  <c r="AJ649" i="1"/>
  <c r="BE649" i="1" s="1"/>
  <c r="AK649" i="1"/>
  <c r="AP649" i="1"/>
  <c r="BD649" i="1"/>
  <c r="I650" i="1"/>
  <c r="M650" i="1" s="1"/>
  <c r="AJ650" i="1"/>
  <c r="BE650" i="1" s="1"/>
  <c r="AK650" i="1"/>
  <c r="AP650" i="1"/>
  <c r="BD650" i="1"/>
  <c r="I651" i="1"/>
  <c r="AJ651" i="1"/>
  <c r="BE651" i="1" s="1"/>
  <c r="AK651" i="1"/>
  <c r="AP651" i="1"/>
  <c r="BD651" i="1"/>
  <c r="H652" i="1"/>
  <c r="I652" i="1"/>
  <c r="AW652" i="1" s="1"/>
  <c r="N652" i="1"/>
  <c r="Q652" i="1"/>
  <c r="R652" i="1"/>
  <c r="S652" i="1"/>
  <c r="U652" i="1"/>
  <c r="V652" i="1"/>
  <c r="AC652" i="1"/>
  <c r="AE652" i="1"/>
  <c r="AJ652" i="1"/>
  <c r="AK652" i="1"/>
  <c r="AM652" i="1"/>
  <c r="AP652" i="1"/>
  <c r="AT652" i="1"/>
  <c r="K653" i="1"/>
  <c r="I653" i="1"/>
  <c r="AW653" i="1" s="1"/>
  <c r="AE653" i="1"/>
  <c r="AY653" i="1" s="1"/>
  <c r="AK653" i="1"/>
  <c r="AP653" i="1"/>
  <c r="BF653" i="1" s="1"/>
  <c r="AT653" i="1"/>
  <c r="BD653" i="1"/>
  <c r="BE653" i="1"/>
  <c r="I654" i="1"/>
  <c r="AW654" i="1" s="1"/>
  <c r="AJ654" i="1"/>
  <c r="AK654" i="1"/>
  <c r="AP654" i="1"/>
  <c r="BD654" i="1"/>
  <c r="I655" i="1"/>
  <c r="AW655" i="1" s="1"/>
  <c r="AE655" i="1"/>
  <c r="AL655" i="1" s="1"/>
  <c r="AJ655" i="1"/>
  <c r="BE655" i="1" s="1"/>
  <c r="AK655" i="1"/>
  <c r="AM655" i="1"/>
  <c r="BD655" i="1" s="1"/>
  <c r="AP655" i="1"/>
  <c r="AV656" i="1"/>
  <c r="I656" i="1"/>
  <c r="AW656" i="1" s="1"/>
  <c r="AJ656" i="1"/>
  <c r="BE656" i="1" s="1"/>
  <c r="AK656" i="1"/>
  <c r="AP656" i="1"/>
  <c r="BD656" i="1"/>
  <c r="H657" i="1"/>
  <c r="I657" i="1"/>
  <c r="AW657" i="1" s="1"/>
  <c r="N657" i="1"/>
  <c r="Q657" i="1"/>
  <c r="R657" i="1"/>
  <c r="S657" i="1"/>
  <c r="U657" i="1"/>
  <c r="V657" i="1"/>
  <c r="AC657" i="1"/>
  <c r="AE657" i="1"/>
  <c r="AL657" i="1" s="1"/>
  <c r="AJ657" i="1"/>
  <c r="BE657" i="1" s="1"/>
  <c r="AK657" i="1"/>
  <c r="AM657" i="1"/>
  <c r="AP657" i="1"/>
  <c r="AV658" i="1"/>
  <c r="I658" i="1"/>
  <c r="AW658" i="1" s="1"/>
  <c r="AJ658" i="1"/>
  <c r="BE658" i="1" s="1"/>
  <c r="AK658" i="1"/>
  <c r="AP658" i="1"/>
  <c r="BD658" i="1"/>
  <c r="AV659" i="1"/>
  <c r="I659" i="1"/>
  <c r="AW659" i="1" s="1"/>
  <c r="AJ659" i="1"/>
  <c r="AK659" i="1"/>
  <c r="AP659" i="1"/>
  <c r="BD659" i="1"/>
  <c r="AV660" i="1"/>
  <c r="I660" i="1"/>
  <c r="M660" i="1" s="1"/>
  <c r="AJ660" i="1"/>
  <c r="BE660" i="1" s="1"/>
  <c r="AK660" i="1"/>
  <c r="AP660" i="1"/>
  <c r="BD660" i="1"/>
  <c r="AV661" i="1"/>
  <c r="I661" i="1"/>
  <c r="AW661" i="1" s="1"/>
  <c r="AJ661" i="1"/>
  <c r="AK661" i="1"/>
  <c r="AP661" i="1"/>
  <c r="BD661" i="1"/>
  <c r="I662" i="1"/>
  <c r="AW662" i="1" s="1"/>
  <c r="AJ662" i="1"/>
  <c r="AK662" i="1"/>
  <c r="AP662" i="1"/>
  <c r="BD662" i="1"/>
  <c r="AV663" i="1"/>
  <c r="I663" i="1"/>
  <c r="AW663" i="1" s="1"/>
  <c r="AJ663" i="1"/>
  <c r="AK663" i="1"/>
  <c r="AP663" i="1"/>
  <c r="BD663" i="1"/>
  <c r="AV664" i="1"/>
  <c r="I664" i="1"/>
  <c r="AW664" i="1" s="1"/>
  <c r="AK664" i="1"/>
  <c r="AP664" i="1"/>
  <c r="BF664" i="1" s="1"/>
  <c r="BD664" i="1"/>
  <c r="BE664" i="1"/>
  <c r="H665" i="1"/>
  <c r="I665" i="1"/>
  <c r="AS665" i="1" s="1"/>
  <c r="N665" i="1"/>
  <c r="Q665" i="1"/>
  <c r="R665" i="1"/>
  <c r="U665" i="1"/>
  <c r="V665" i="1"/>
  <c r="AC665" i="1"/>
  <c r="AE665" i="1"/>
  <c r="AL665" i="1" s="1"/>
  <c r="AJ665" i="1"/>
  <c r="BE665" i="1" s="1"/>
  <c r="AK665" i="1"/>
  <c r="AM665" i="1"/>
  <c r="AP665" i="1"/>
  <c r="H666" i="1"/>
  <c r="I666" i="1"/>
  <c r="AW666" i="1" s="1"/>
  <c r="N666" i="1"/>
  <c r="Q666" i="1"/>
  <c r="R666" i="1"/>
  <c r="U666" i="1"/>
  <c r="V666" i="1"/>
  <c r="AC666" i="1"/>
  <c r="AE666" i="1"/>
  <c r="AL666" i="1" s="1"/>
  <c r="AK666" i="1"/>
  <c r="AM666" i="1"/>
  <c r="AP666" i="1"/>
  <c r="BF666" i="1" s="1"/>
  <c r="BE666" i="1"/>
  <c r="AV667" i="1"/>
  <c r="I667" i="1"/>
  <c r="AJ667" i="1"/>
  <c r="BE667" i="1" s="1"/>
  <c r="AK667" i="1"/>
  <c r="AP667" i="1"/>
  <c r="BD667" i="1"/>
  <c r="AV668" i="1"/>
  <c r="I668" i="1"/>
  <c r="M668" i="1" s="1"/>
  <c r="AE668" i="1"/>
  <c r="AJ668" i="1"/>
  <c r="BE668" i="1" s="1"/>
  <c r="AK668" i="1"/>
  <c r="AM668" i="1"/>
  <c r="AX668" i="1" s="1"/>
  <c r="AP668" i="1"/>
  <c r="AV669" i="1"/>
  <c r="I669" i="1"/>
  <c r="AJ669" i="1"/>
  <c r="BE669" i="1" s="1"/>
  <c r="AK669" i="1"/>
  <c r="AP669" i="1"/>
  <c r="BD669" i="1"/>
  <c r="AV670" i="1"/>
  <c r="I670" i="1"/>
  <c r="AW670" i="1" s="1"/>
  <c r="AK670" i="1"/>
  <c r="AP670" i="1"/>
  <c r="BD670" i="1"/>
  <c r="BE670" i="1"/>
  <c r="AV671" i="1"/>
  <c r="I671" i="1"/>
  <c r="AW671" i="1" s="1"/>
  <c r="AK671" i="1"/>
  <c r="AP671" i="1"/>
  <c r="BD671" i="1"/>
  <c r="BE671" i="1"/>
  <c r="I672" i="1"/>
  <c r="AW672" i="1" s="1"/>
  <c r="AK672" i="1"/>
  <c r="AP672" i="1"/>
  <c r="BD672" i="1"/>
  <c r="BE672" i="1"/>
  <c r="I673" i="1"/>
  <c r="AW673" i="1" s="1"/>
  <c r="AK673" i="1"/>
  <c r="AM673" i="1"/>
  <c r="AP673" i="1"/>
  <c r="BE673" i="1"/>
  <c r="AV674" i="1"/>
  <c r="I674" i="1"/>
  <c r="M674" i="1" s="1"/>
  <c r="AK674" i="1"/>
  <c r="AP674" i="1"/>
  <c r="BD674" i="1"/>
  <c r="BE674" i="1"/>
  <c r="AV675" i="1"/>
  <c r="I675" i="1"/>
  <c r="M675" i="1" s="1"/>
  <c r="AK675" i="1"/>
  <c r="AP675" i="1"/>
  <c r="BD675" i="1"/>
  <c r="BE675" i="1"/>
  <c r="I676" i="1"/>
  <c r="AE676" i="1"/>
  <c r="AY676" i="1" s="1"/>
  <c r="AK676" i="1"/>
  <c r="AM676" i="1"/>
  <c r="AX676" i="1" s="1"/>
  <c r="AP676" i="1"/>
  <c r="BE676" i="1"/>
  <c r="AV677" i="1"/>
  <c r="I677" i="1"/>
  <c r="M677" i="1" s="1"/>
  <c r="AE677" i="1"/>
  <c r="AY677" i="1" s="1"/>
  <c r="AK677" i="1"/>
  <c r="AM677" i="1"/>
  <c r="BD677" i="1" s="1"/>
  <c r="AP677" i="1"/>
  <c r="BE677" i="1"/>
  <c r="I678" i="1"/>
  <c r="AW678" i="1" s="1"/>
  <c r="N678" i="1"/>
  <c r="Q678" i="1"/>
  <c r="R678" i="1"/>
  <c r="W678" i="1"/>
  <c r="AK678" i="1"/>
  <c r="AP678" i="1"/>
  <c r="BD678" i="1"/>
  <c r="BE678" i="1"/>
  <c r="I679" i="1"/>
  <c r="AW679" i="1" s="1"/>
  <c r="AK679" i="1"/>
  <c r="AP679" i="1"/>
  <c r="BD679" i="1"/>
  <c r="H680" i="1"/>
  <c r="I680" i="1"/>
  <c r="AW680" i="1" s="1"/>
  <c r="N680" i="1"/>
  <c r="Q680" i="1"/>
  <c r="R680" i="1"/>
  <c r="W680" i="1"/>
  <c r="AE680" i="1"/>
  <c r="AK680" i="1"/>
  <c r="AM680" i="1"/>
  <c r="AP680" i="1"/>
  <c r="AT680" i="1"/>
  <c r="AV681" i="1"/>
  <c r="I681" i="1"/>
  <c r="AW681" i="1" s="1"/>
  <c r="AK681" i="1"/>
  <c r="AP681" i="1"/>
  <c r="BD681" i="1"/>
  <c r="AV682" i="1"/>
  <c r="I682" i="1"/>
  <c r="AW682" i="1" s="1"/>
  <c r="AK682" i="1"/>
  <c r="AP682" i="1"/>
  <c r="BD682" i="1"/>
  <c r="I683" i="1"/>
  <c r="AW683" i="1" s="1"/>
  <c r="AK683" i="1"/>
  <c r="AP683" i="1"/>
  <c r="BF683" i="1" s="1"/>
  <c r="BD683" i="1"/>
  <c r="I684" i="1"/>
  <c r="AW684" i="1" s="1"/>
  <c r="AK684" i="1"/>
  <c r="AP684" i="1"/>
  <c r="BF684" i="1" s="1"/>
  <c r="BD684" i="1"/>
  <c r="I685" i="1"/>
  <c r="AW685" i="1" s="1"/>
  <c r="AE685" i="1"/>
  <c r="AK685" i="1"/>
  <c r="AP685" i="1"/>
  <c r="BF685" i="1" s="1"/>
  <c r="AU685" i="1"/>
  <c r="BD685" i="1"/>
  <c r="AV686" i="1"/>
  <c r="I686" i="1"/>
  <c r="AW686" i="1" s="1"/>
  <c r="AK686" i="1"/>
  <c r="AP686" i="1"/>
  <c r="BF686" i="1" s="1"/>
  <c r="BD686" i="1"/>
  <c r="AV687" i="1"/>
  <c r="AC687" i="1"/>
  <c r="AD687" i="1"/>
  <c r="I687" i="1" s="1"/>
  <c r="AW687" i="1" s="1"/>
  <c r="AE687" i="1"/>
  <c r="AL687" i="1" s="1"/>
  <c r="AK687" i="1"/>
  <c r="AM687" i="1"/>
  <c r="AP687" i="1"/>
  <c r="H688" i="1"/>
  <c r="I688" i="1"/>
  <c r="AW688" i="1" s="1"/>
  <c r="N688" i="1"/>
  <c r="S688" i="1"/>
  <c r="AV688" i="1" s="1"/>
  <c r="AK688" i="1"/>
  <c r="AP688" i="1"/>
  <c r="BF688" i="1" s="1"/>
  <c r="AV689" i="1"/>
  <c r="I689" i="1"/>
  <c r="AW689" i="1" s="1"/>
  <c r="AK689" i="1"/>
  <c r="AP689" i="1"/>
  <c r="BF689" i="1" s="1"/>
  <c r="BD689" i="1"/>
  <c r="AV690" i="1"/>
  <c r="I690" i="1"/>
  <c r="AK690" i="1"/>
  <c r="AP690" i="1"/>
  <c r="BF690" i="1" s="1"/>
  <c r="BD690" i="1"/>
  <c r="AV691" i="1"/>
  <c r="I691" i="1"/>
  <c r="AW691" i="1" s="1"/>
  <c r="AK691" i="1"/>
  <c r="AP691" i="1"/>
  <c r="BF691" i="1" s="1"/>
  <c r="BD691" i="1"/>
  <c r="AV692" i="1"/>
  <c r="I692" i="1"/>
  <c r="AE692" i="1"/>
  <c r="AK692" i="1"/>
  <c r="AM692" i="1"/>
  <c r="AP692" i="1"/>
  <c r="BF692" i="1" s="1"/>
  <c r="I693" i="1"/>
  <c r="AE693" i="1"/>
  <c r="AK693" i="1"/>
  <c r="AM693" i="1"/>
  <c r="AU693" i="1" s="1"/>
  <c r="AP693" i="1"/>
  <c r="BF693" i="1" s="1"/>
  <c r="AT693" i="1"/>
  <c r="I694" i="1"/>
  <c r="AW694" i="1" s="1"/>
  <c r="AK694" i="1"/>
  <c r="AP694" i="1"/>
  <c r="BF694" i="1" s="1"/>
  <c r="AT694" i="1"/>
  <c r="AU694" i="1"/>
  <c r="AV695" i="1"/>
  <c r="I695" i="1"/>
  <c r="AW695" i="1" s="1"/>
  <c r="AK695" i="1"/>
  <c r="AP695" i="1"/>
  <c r="BF695" i="1" s="1"/>
  <c r="AT695" i="1"/>
  <c r="AU695" i="1"/>
  <c r="I696" i="1"/>
  <c r="M696" i="1" s="1"/>
  <c r="AK696" i="1"/>
  <c r="AP696" i="1"/>
  <c r="BF696" i="1" s="1"/>
  <c r="AT696" i="1"/>
  <c r="AU696" i="1"/>
  <c r="AV697" i="1"/>
  <c r="I697" i="1"/>
  <c r="AW697" i="1" s="1"/>
  <c r="AK697" i="1"/>
  <c r="AP697" i="1"/>
  <c r="AT697" i="1"/>
  <c r="AU697" i="1"/>
  <c r="I698" i="1"/>
  <c r="AW698" i="1" s="1"/>
  <c r="AK698" i="1"/>
  <c r="AP698" i="1"/>
  <c r="AT698" i="1"/>
  <c r="AU698" i="1"/>
  <c r="AV699" i="1"/>
  <c r="I699" i="1"/>
  <c r="AW699" i="1" s="1"/>
  <c r="AK699" i="1"/>
  <c r="AP699" i="1"/>
  <c r="AT699" i="1"/>
  <c r="AU699" i="1"/>
  <c r="I700" i="1"/>
  <c r="AK700" i="1"/>
  <c r="AP700" i="1"/>
  <c r="AT700" i="1"/>
  <c r="AU700" i="1"/>
  <c r="I701" i="1"/>
  <c r="AW701" i="1" s="1"/>
  <c r="AK701" i="1"/>
  <c r="AP701" i="1"/>
  <c r="AT701" i="1"/>
  <c r="AU701" i="1"/>
  <c r="AV702" i="1"/>
  <c r="I702" i="1"/>
  <c r="AW702" i="1" s="1"/>
  <c r="AK702" i="1"/>
  <c r="AP702" i="1"/>
  <c r="AT702" i="1"/>
  <c r="AU702" i="1"/>
  <c r="AV703" i="1"/>
  <c r="I703" i="1"/>
  <c r="AW703" i="1" s="1"/>
  <c r="AK703" i="1"/>
  <c r="AP703" i="1"/>
  <c r="BF703" i="1" s="1"/>
  <c r="AT703" i="1"/>
  <c r="AU703" i="1"/>
  <c r="AV704" i="1"/>
  <c r="I704" i="1"/>
  <c r="AW704" i="1" s="1"/>
  <c r="AK704" i="1"/>
  <c r="AP704" i="1"/>
  <c r="BF704" i="1" s="1"/>
  <c r="AT704" i="1"/>
  <c r="AU704" i="1"/>
  <c r="AV705" i="1"/>
  <c r="I705" i="1"/>
  <c r="AW705" i="1" s="1"/>
  <c r="AK705" i="1"/>
  <c r="AP705" i="1"/>
  <c r="BF705" i="1" s="1"/>
  <c r="AT705" i="1"/>
  <c r="AU705" i="1"/>
  <c r="AR706" i="1"/>
  <c r="I706" i="1"/>
  <c r="AW706" i="1" s="1"/>
  <c r="AK706" i="1"/>
  <c r="AP706" i="1"/>
  <c r="BF706" i="1" s="1"/>
  <c r="AT706" i="1"/>
  <c r="AU706" i="1"/>
  <c r="AV707" i="1"/>
  <c r="I707" i="1"/>
  <c r="AW707" i="1" s="1"/>
  <c r="AK707" i="1"/>
  <c r="AP707" i="1"/>
  <c r="BF707" i="1" s="1"/>
  <c r="AT707" i="1"/>
  <c r="AU707" i="1"/>
  <c r="I708" i="1"/>
  <c r="M708" i="1" s="1"/>
  <c r="AK708" i="1"/>
  <c r="AP708" i="1"/>
  <c r="AT708" i="1"/>
  <c r="AU708" i="1"/>
  <c r="AV709" i="1"/>
  <c r="I709" i="1"/>
  <c r="AW709" i="1" s="1"/>
  <c r="AK709" i="1"/>
  <c r="AP709" i="1"/>
  <c r="AT709" i="1"/>
  <c r="AU709" i="1"/>
  <c r="I710" i="1"/>
  <c r="AW710" i="1" s="1"/>
  <c r="AK710" i="1"/>
  <c r="AP710" i="1"/>
  <c r="AT710" i="1"/>
  <c r="AU710" i="1"/>
  <c r="AR711" i="1"/>
  <c r="I711" i="1"/>
  <c r="M711" i="1" s="1"/>
  <c r="AK711" i="1"/>
  <c r="AP711" i="1"/>
  <c r="AT711" i="1"/>
  <c r="AU711" i="1"/>
  <c r="I712" i="1"/>
  <c r="AW712" i="1" s="1"/>
  <c r="AK712" i="1"/>
  <c r="AP712" i="1"/>
  <c r="AT712" i="1"/>
  <c r="AU712" i="1"/>
  <c r="I713" i="1"/>
  <c r="AW713" i="1" s="1"/>
  <c r="AK713" i="1"/>
  <c r="AP713" i="1"/>
  <c r="AT713" i="1"/>
  <c r="AU713" i="1"/>
  <c r="AV714" i="1"/>
  <c r="I714" i="1"/>
  <c r="AK714" i="1"/>
  <c r="AP714" i="1"/>
  <c r="AT714" i="1"/>
  <c r="AU714" i="1"/>
  <c r="AV715" i="1"/>
  <c r="I715" i="1"/>
  <c r="AW715" i="1" s="1"/>
  <c r="Q715" i="1"/>
  <c r="R715" i="1"/>
  <c r="AK715" i="1"/>
  <c r="AP715" i="1"/>
  <c r="AT715" i="1"/>
  <c r="AU715" i="1"/>
  <c r="AR716" i="1"/>
  <c r="I716" i="1"/>
  <c r="AW716" i="1" s="1"/>
  <c r="AK716" i="1"/>
  <c r="AP716" i="1"/>
  <c r="AT716" i="1"/>
  <c r="AU716" i="1"/>
  <c r="AV717" i="1"/>
  <c r="I717" i="1"/>
  <c r="AW717" i="1" s="1"/>
  <c r="AK717" i="1"/>
  <c r="AP717" i="1"/>
  <c r="AT717" i="1"/>
  <c r="AU717" i="1"/>
  <c r="AV718" i="1"/>
  <c r="I718" i="1"/>
  <c r="M718" i="1" s="1"/>
  <c r="AK718" i="1"/>
  <c r="AP718" i="1"/>
  <c r="BF718" i="1" s="1"/>
  <c r="AT718" i="1"/>
  <c r="AU718" i="1"/>
  <c r="AV719" i="1"/>
  <c r="I719" i="1"/>
  <c r="AW719" i="1" s="1"/>
  <c r="AK719" i="1"/>
  <c r="AP719" i="1"/>
  <c r="BF719" i="1" s="1"/>
  <c r="AT719" i="1"/>
  <c r="AU719" i="1"/>
  <c r="AV720" i="1"/>
  <c r="I720" i="1"/>
  <c r="AW720" i="1" s="1"/>
  <c r="AK720" i="1"/>
  <c r="AP720" i="1"/>
  <c r="BF720" i="1" s="1"/>
  <c r="AT720" i="1"/>
  <c r="AU720" i="1"/>
  <c r="AV721" i="1"/>
  <c r="I721" i="1"/>
  <c r="AW721" i="1" s="1"/>
  <c r="AK721" i="1"/>
  <c r="AP721" i="1"/>
  <c r="BF721" i="1" s="1"/>
  <c r="AT721" i="1"/>
  <c r="AU721" i="1"/>
  <c r="I722" i="1"/>
  <c r="AW722" i="1" s="1"/>
  <c r="Q722" i="1"/>
  <c r="R722" i="1"/>
  <c r="W722" i="1"/>
  <c r="AK722" i="1"/>
  <c r="AP722" i="1"/>
  <c r="BF722" i="1" s="1"/>
  <c r="AT722" i="1"/>
  <c r="AU722" i="1"/>
  <c r="AV723" i="1"/>
  <c r="I723" i="1"/>
  <c r="AW723" i="1" s="1"/>
  <c r="AK723" i="1"/>
  <c r="AP723" i="1"/>
  <c r="BF723" i="1" s="1"/>
  <c r="AT723" i="1"/>
  <c r="AU723" i="1"/>
  <c r="AV724" i="1"/>
  <c r="I724" i="1"/>
  <c r="AW724" i="1" s="1"/>
  <c r="AK724" i="1"/>
  <c r="AP724" i="1"/>
  <c r="BF724" i="1" s="1"/>
  <c r="AT724" i="1"/>
  <c r="AU724" i="1"/>
  <c r="AV725" i="1"/>
  <c r="I725" i="1"/>
  <c r="AW725" i="1" s="1"/>
  <c r="AK725" i="1"/>
  <c r="AP725" i="1"/>
  <c r="BF725" i="1" s="1"/>
  <c r="AT725" i="1"/>
  <c r="AU725" i="1"/>
  <c r="H726" i="1"/>
  <c r="N726" i="1"/>
  <c r="Q726" i="1"/>
  <c r="R726" i="1"/>
  <c r="T726" i="1"/>
  <c r="AC726" i="1" s="1"/>
  <c r="W726" i="1"/>
  <c r="AD726" i="1"/>
  <c r="AE726" i="1"/>
  <c r="AL726" i="1" s="1"/>
  <c r="AK726" i="1"/>
  <c r="AM726" i="1"/>
  <c r="AP726" i="1"/>
  <c r="I727" i="1"/>
  <c r="AW727" i="1" s="1"/>
  <c r="AK727" i="1"/>
  <c r="AP727" i="1"/>
  <c r="BF727" i="1" s="1"/>
  <c r="AT727" i="1"/>
  <c r="AU727" i="1"/>
  <c r="AV728" i="1"/>
  <c r="I728" i="1"/>
  <c r="AW728" i="1" s="1"/>
  <c r="AK728" i="1"/>
  <c r="AP728" i="1"/>
  <c r="BF728" i="1" s="1"/>
  <c r="AT728" i="1"/>
  <c r="AU728" i="1"/>
  <c r="I729" i="1"/>
  <c r="AW729" i="1" s="1"/>
  <c r="AK729" i="1"/>
  <c r="AP729" i="1"/>
  <c r="AT729" i="1"/>
  <c r="AU729" i="1"/>
  <c r="I730" i="1"/>
  <c r="AW730" i="1" s="1"/>
  <c r="AK730" i="1"/>
  <c r="AP730" i="1"/>
  <c r="AT730" i="1"/>
  <c r="AU730" i="1"/>
  <c r="I731" i="1"/>
  <c r="AW731" i="1" s="1"/>
  <c r="AK731" i="1"/>
  <c r="AP731" i="1"/>
  <c r="AT731" i="1"/>
  <c r="AU731" i="1"/>
  <c r="AV732" i="1"/>
  <c r="I732" i="1"/>
  <c r="AW732" i="1" s="1"/>
  <c r="AK732" i="1"/>
  <c r="AP732" i="1"/>
  <c r="AT732" i="1"/>
  <c r="AU732" i="1"/>
  <c r="AV733" i="1"/>
  <c r="I733" i="1"/>
  <c r="AK733" i="1"/>
  <c r="AP733" i="1"/>
  <c r="BF733" i="1" s="1"/>
  <c r="AT733" i="1"/>
  <c r="AU733" i="1"/>
  <c r="AV734" i="1"/>
  <c r="I734" i="1"/>
  <c r="AW734" i="1" s="1"/>
  <c r="AK734" i="1"/>
  <c r="AP734" i="1"/>
  <c r="BF734" i="1" s="1"/>
  <c r="AT734" i="1"/>
  <c r="AU734" i="1"/>
  <c r="AV735" i="1"/>
  <c r="I735" i="1"/>
  <c r="M735" i="1" s="1"/>
  <c r="AK735" i="1"/>
  <c r="AP735" i="1"/>
  <c r="BF735" i="1" s="1"/>
  <c r="AT735" i="1"/>
  <c r="AU735" i="1"/>
  <c r="I736" i="1"/>
  <c r="AW736" i="1" s="1"/>
  <c r="Q736" i="1"/>
  <c r="R736" i="1"/>
  <c r="W736" i="1"/>
  <c r="AK736" i="1"/>
  <c r="AP736" i="1"/>
  <c r="BF736" i="1" s="1"/>
  <c r="AT736" i="1"/>
  <c r="AU736" i="1"/>
  <c r="I737" i="1"/>
  <c r="AW737" i="1" s="1"/>
  <c r="AK737" i="1"/>
  <c r="AP737" i="1"/>
  <c r="BF737" i="1" s="1"/>
  <c r="AT737" i="1"/>
  <c r="AU737" i="1"/>
  <c r="I738" i="1"/>
  <c r="AK738" i="1"/>
  <c r="AP738" i="1"/>
  <c r="BF738" i="1" s="1"/>
  <c r="AT738" i="1"/>
  <c r="AU738" i="1"/>
  <c r="I739" i="1"/>
  <c r="AW739" i="1" s="1"/>
  <c r="AK739" i="1"/>
  <c r="AP739" i="1"/>
  <c r="BF739" i="1" s="1"/>
  <c r="AT739" i="1"/>
  <c r="AU739" i="1"/>
  <c r="AV740" i="1"/>
  <c r="I740" i="1"/>
  <c r="AW740" i="1" s="1"/>
  <c r="AK740" i="1"/>
  <c r="AP740" i="1"/>
  <c r="BF740" i="1" s="1"/>
  <c r="AT740" i="1"/>
  <c r="AU740" i="1"/>
  <c r="I741" i="1"/>
  <c r="AW741" i="1" s="1"/>
  <c r="AK741" i="1"/>
  <c r="AP741" i="1"/>
  <c r="BF741" i="1" s="1"/>
  <c r="AT741" i="1"/>
  <c r="AU741" i="1"/>
  <c r="I742" i="1"/>
  <c r="AW742" i="1" s="1"/>
  <c r="AK742" i="1"/>
  <c r="AP742" i="1"/>
  <c r="BF742" i="1" s="1"/>
  <c r="AT742" i="1"/>
  <c r="AU742" i="1"/>
  <c r="I743" i="1"/>
  <c r="AW743" i="1" s="1"/>
  <c r="AK743" i="1"/>
  <c r="AP743" i="1"/>
  <c r="BF743" i="1" s="1"/>
  <c r="AT743" i="1"/>
  <c r="AU743" i="1"/>
  <c r="AV744" i="1"/>
  <c r="I744" i="1"/>
  <c r="AW744" i="1" s="1"/>
  <c r="AK744" i="1"/>
  <c r="AP744" i="1"/>
  <c r="BF744" i="1" s="1"/>
  <c r="AT744" i="1"/>
  <c r="AU744" i="1"/>
  <c r="AV745" i="1"/>
  <c r="I745" i="1"/>
  <c r="AW745" i="1" s="1"/>
  <c r="AK745" i="1"/>
  <c r="AP745" i="1"/>
  <c r="BF745" i="1" s="1"/>
  <c r="AT745" i="1"/>
  <c r="AU745" i="1"/>
  <c r="AV746" i="1"/>
  <c r="I746" i="1"/>
  <c r="AW746" i="1" s="1"/>
  <c r="AK746" i="1"/>
  <c r="AP746" i="1"/>
  <c r="BF746" i="1" s="1"/>
  <c r="AT746" i="1"/>
  <c r="AU746" i="1"/>
  <c r="AV747" i="1"/>
  <c r="I747" i="1"/>
  <c r="AW747" i="1" s="1"/>
  <c r="AK747" i="1"/>
  <c r="AP747" i="1"/>
  <c r="BF747" i="1" s="1"/>
  <c r="AT747" i="1"/>
  <c r="AU747" i="1"/>
  <c r="AV748" i="1"/>
  <c r="I748" i="1"/>
  <c r="AW748" i="1" s="1"/>
  <c r="AK748" i="1"/>
  <c r="AP748" i="1"/>
  <c r="BF748" i="1" s="1"/>
  <c r="AT748" i="1"/>
  <c r="AU748" i="1"/>
  <c r="H749" i="1"/>
  <c r="N749" i="1"/>
  <c r="Q749" i="1"/>
  <c r="R749" i="1"/>
  <c r="W749" i="1"/>
  <c r="AC749" i="1"/>
  <c r="AD749" i="1"/>
  <c r="AT749" i="1" s="1"/>
  <c r="AE749" i="1"/>
  <c r="AL749" i="1" s="1"/>
  <c r="AK749" i="1"/>
  <c r="AM749" i="1"/>
  <c r="AP749" i="1"/>
  <c r="I750" i="1"/>
  <c r="AW750" i="1" s="1"/>
  <c r="AK750" i="1"/>
  <c r="AP750" i="1"/>
  <c r="BF750" i="1" s="1"/>
  <c r="AT750" i="1"/>
  <c r="AU750" i="1"/>
  <c r="AV751" i="1"/>
  <c r="I751" i="1"/>
  <c r="AW751" i="1" s="1"/>
  <c r="AK751" i="1"/>
  <c r="AP751" i="1"/>
  <c r="BF751" i="1" s="1"/>
  <c r="AT751" i="1"/>
  <c r="AU751" i="1"/>
  <c r="I752" i="1"/>
  <c r="AW752" i="1" s="1"/>
  <c r="AK752" i="1"/>
  <c r="AP752" i="1"/>
  <c r="BF752" i="1" s="1"/>
  <c r="AT752" i="1"/>
  <c r="AU752" i="1"/>
  <c r="I753" i="1"/>
  <c r="AW753" i="1" s="1"/>
  <c r="Q753" i="1"/>
  <c r="R753" i="1"/>
  <c r="W753" i="1"/>
  <c r="AK753" i="1"/>
  <c r="AP753" i="1"/>
  <c r="BF753" i="1" s="1"/>
  <c r="AT753" i="1"/>
  <c r="AU753" i="1"/>
  <c r="I754" i="1"/>
  <c r="AW754" i="1" s="1"/>
  <c r="AK754" i="1"/>
  <c r="AP754" i="1"/>
  <c r="BF754" i="1" s="1"/>
  <c r="AT754" i="1"/>
  <c r="AU754" i="1"/>
  <c r="I755" i="1"/>
  <c r="AW755" i="1" s="1"/>
  <c r="AK755" i="1"/>
  <c r="AP755" i="1"/>
  <c r="BF755" i="1" s="1"/>
  <c r="AT755" i="1"/>
  <c r="AU755" i="1"/>
  <c r="AV756" i="1"/>
  <c r="I756" i="1"/>
  <c r="AW756" i="1" s="1"/>
  <c r="AK756" i="1"/>
  <c r="AP756" i="1"/>
  <c r="AT756" i="1"/>
  <c r="AU756" i="1"/>
  <c r="AV757" i="1"/>
  <c r="I757" i="1"/>
  <c r="AW757" i="1" s="1"/>
  <c r="AK757" i="1"/>
  <c r="AP757" i="1"/>
  <c r="AT757" i="1"/>
  <c r="AU757" i="1"/>
  <c r="AV758" i="1"/>
  <c r="I758" i="1"/>
  <c r="AK758" i="1"/>
  <c r="AP758" i="1"/>
  <c r="AT758" i="1"/>
  <c r="AU758" i="1"/>
  <c r="AV759" i="1"/>
  <c r="I759" i="1"/>
  <c r="AW759" i="1" s="1"/>
  <c r="AK759" i="1"/>
  <c r="AP759" i="1"/>
  <c r="AT759" i="1"/>
  <c r="AU759" i="1"/>
  <c r="AV760" i="1"/>
  <c r="I760" i="1"/>
  <c r="AW760" i="1" s="1"/>
  <c r="AK760" i="1"/>
  <c r="AP760" i="1"/>
  <c r="AT760" i="1"/>
  <c r="AU760" i="1"/>
  <c r="AV761" i="1"/>
  <c r="I761" i="1"/>
  <c r="AW761" i="1" s="1"/>
  <c r="AK761" i="1"/>
  <c r="AP761" i="1"/>
  <c r="AT761" i="1"/>
  <c r="AU761" i="1"/>
  <c r="I762" i="1"/>
  <c r="AK762" i="1"/>
  <c r="AP762" i="1"/>
  <c r="AT762" i="1"/>
  <c r="AU762" i="1"/>
  <c r="AV763" i="1"/>
  <c r="I763" i="1"/>
  <c r="AW763" i="1" s="1"/>
  <c r="AK763" i="1"/>
  <c r="AP763" i="1"/>
  <c r="AT763" i="1"/>
  <c r="AU763" i="1"/>
  <c r="H764" i="1"/>
  <c r="N764" i="1"/>
  <c r="Q764" i="1"/>
  <c r="R764" i="1"/>
  <c r="W764" i="1"/>
  <c r="AC764" i="1"/>
  <c r="AY764" i="1" s="1"/>
  <c r="AD764" i="1"/>
  <c r="AK764" i="1"/>
  <c r="AL764" i="1"/>
  <c r="AM764" i="1"/>
  <c r="AP764" i="1"/>
  <c r="I765" i="1"/>
  <c r="AW765" i="1" s="1"/>
  <c r="AK765" i="1"/>
  <c r="AP765" i="1"/>
  <c r="AT765" i="1"/>
  <c r="AU765" i="1"/>
  <c r="AC766" i="1"/>
  <c r="AY766" i="1" s="1"/>
  <c r="AD766" i="1"/>
  <c r="AK766" i="1"/>
  <c r="AL766" i="1"/>
  <c r="AZ766" i="1" s="1"/>
  <c r="AP766" i="1"/>
  <c r="AU766" i="1"/>
  <c r="T767" i="1"/>
  <c r="AC767" i="1" s="1"/>
  <c r="W767" i="1"/>
  <c r="AD767" i="1"/>
  <c r="AE767" i="1"/>
  <c r="AL767" i="1" s="1"/>
  <c r="AK767" i="1"/>
  <c r="AM767" i="1"/>
  <c r="AP767" i="1"/>
  <c r="AV768" i="1"/>
  <c r="T768" i="1"/>
  <c r="AC768" i="1" s="1"/>
  <c r="AY768" i="1" s="1"/>
  <c r="AD768" i="1"/>
  <c r="AK768" i="1"/>
  <c r="AL768" i="1"/>
  <c r="AZ768" i="1" s="1"/>
  <c r="AP768" i="1"/>
  <c r="AU768" i="1"/>
  <c r="AV769" i="1"/>
  <c r="AC769" i="1"/>
  <c r="AY769" i="1" s="1"/>
  <c r="AD769" i="1"/>
  <c r="AT769" i="1" s="1"/>
  <c r="AK769" i="1"/>
  <c r="AL769" i="1"/>
  <c r="AZ769" i="1" s="1"/>
  <c r="AP769" i="1"/>
  <c r="AU769" i="1"/>
  <c r="AV770" i="1"/>
  <c r="I770" i="1"/>
  <c r="AW770" i="1" s="1"/>
  <c r="AK770" i="1"/>
  <c r="AP770" i="1"/>
  <c r="AT770" i="1"/>
  <c r="AU770" i="1"/>
  <c r="AV771" i="1"/>
  <c r="I771" i="1"/>
  <c r="AW771" i="1" s="1"/>
  <c r="AK771" i="1"/>
  <c r="AP771" i="1"/>
  <c r="AT771" i="1"/>
  <c r="AU771" i="1"/>
  <c r="AV772" i="1"/>
  <c r="I772" i="1"/>
  <c r="AW772" i="1" s="1"/>
  <c r="AK772" i="1"/>
  <c r="AP772" i="1"/>
  <c r="AT772" i="1"/>
  <c r="AU772" i="1"/>
  <c r="AV773" i="1"/>
  <c r="I773" i="1"/>
  <c r="M773" i="1" s="1"/>
  <c r="AK773" i="1"/>
  <c r="AP773" i="1"/>
  <c r="AT773" i="1"/>
  <c r="AU773" i="1"/>
  <c r="AV774" i="1"/>
  <c r="I774" i="1"/>
  <c r="AE774" i="1"/>
  <c r="AK774" i="1"/>
  <c r="AP774" i="1"/>
  <c r="AT774" i="1"/>
  <c r="AU774" i="1"/>
  <c r="H775" i="1"/>
  <c r="N775" i="1"/>
  <c r="S775" i="1"/>
  <c r="W775" i="1"/>
  <c r="AC775" i="1"/>
  <c r="AY775" i="1" s="1"/>
  <c r="AD775" i="1"/>
  <c r="AK775" i="1"/>
  <c r="AL775" i="1"/>
  <c r="AM775" i="1"/>
  <c r="AP775" i="1"/>
  <c r="AV776" i="1"/>
  <c r="I776" i="1"/>
  <c r="AW776" i="1" s="1"/>
  <c r="AK776" i="1"/>
  <c r="AP776" i="1"/>
  <c r="AT776" i="1"/>
  <c r="I777" i="1"/>
  <c r="AW777" i="1" s="1"/>
  <c r="AK777" i="1"/>
  <c r="AP777" i="1"/>
  <c r="AT777" i="1"/>
  <c r="AC778" i="1"/>
  <c r="AY778" i="1" s="1"/>
  <c r="AD778" i="1"/>
  <c r="AK778" i="1"/>
  <c r="AL778" i="1"/>
  <c r="AM778" i="1"/>
  <c r="AU778" i="1" s="1"/>
  <c r="AP778" i="1"/>
  <c r="I779" i="1"/>
  <c r="AK779" i="1"/>
  <c r="AP779" i="1"/>
  <c r="I780" i="1"/>
  <c r="M780" i="1" s="1"/>
  <c r="AK780" i="1"/>
  <c r="AP780" i="1"/>
  <c r="BF780" i="1" s="1"/>
  <c r="I781" i="1"/>
  <c r="AK781" i="1"/>
  <c r="AP781" i="1"/>
  <c r="BF781" i="1" s="1"/>
  <c r="AV782" i="1"/>
  <c r="I782" i="1"/>
  <c r="M782" i="1" s="1"/>
  <c r="AK782" i="1"/>
  <c r="AM782" i="1"/>
  <c r="AP782" i="1"/>
  <c r="BF782" i="1" s="1"/>
  <c r="H783" i="1"/>
  <c r="N783" i="1"/>
  <c r="Q783" i="1"/>
  <c r="R783" i="1"/>
  <c r="W783" i="1"/>
  <c r="AC783" i="1"/>
  <c r="AY783" i="1" s="1"/>
  <c r="AD783" i="1"/>
  <c r="AJ783" i="1"/>
  <c r="AK783" i="1"/>
  <c r="AL783" i="1"/>
  <c r="AM783" i="1"/>
  <c r="AP783" i="1"/>
  <c r="H784" i="1"/>
  <c r="N784" i="1"/>
  <c r="Q784" i="1"/>
  <c r="R784" i="1"/>
  <c r="W784" i="1"/>
  <c r="AC784" i="1"/>
  <c r="AY784" i="1" s="1"/>
  <c r="AD784" i="1"/>
  <c r="I784" i="1" s="1"/>
  <c r="AW784" i="1" s="1"/>
  <c r="AJ784" i="1"/>
  <c r="AK784" i="1"/>
  <c r="AL784" i="1"/>
  <c r="AM784" i="1"/>
  <c r="AP784" i="1"/>
  <c r="AV785" i="1"/>
  <c r="I785" i="1"/>
  <c r="M785" i="1" s="1"/>
  <c r="AJ785" i="1"/>
  <c r="BE785" i="1" s="1"/>
  <c r="AK785" i="1"/>
  <c r="AP785" i="1"/>
  <c r="AV786" i="1"/>
  <c r="I786" i="1"/>
  <c r="AJ786" i="1"/>
  <c r="BE786" i="1" s="1"/>
  <c r="AK786" i="1"/>
  <c r="AP786" i="1"/>
  <c r="AC787" i="1"/>
  <c r="AY787" i="1" s="1"/>
  <c r="AD787" i="1"/>
  <c r="I787" i="1" s="1"/>
  <c r="AW787" i="1" s="1"/>
  <c r="AJ787" i="1"/>
  <c r="AK787" i="1"/>
  <c r="AM787" i="1"/>
  <c r="AU787" i="1" s="1"/>
  <c r="AP787" i="1"/>
  <c r="I788" i="1"/>
  <c r="AW788" i="1" s="1"/>
  <c r="Q788" i="1"/>
  <c r="R788" i="1"/>
  <c r="W788" i="1"/>
  <c r="AJ788" i="1"/>
  <c r="BE788" i="1" s="1"/>
  <c r="AK788" i="1"/>
  <c r="AP788" i="1"/>
  <c r="AT788" i="1"/>
  <c r="I789" i="1"/>
  <c r="AW789" i="1" s="1"/>
  <c r="Q789" i="1"/>
  <c r="R789" i="1"/>
  <c r="W789" i="1"/>
  <c r="AJ789" i="1"/>
  <c r="BE789" i="1" s="1"/>
  <c r="AK789" i="1"/>
  <c r="AP789" i="1"/>
  <c r="AT789" i="1"/>
  <c r="I790" i="1"/>
  <c r="AW790" i="1" s="1"/>
  <c r="AJ790" i="1"/>
  <c r="BE790" i="1" s="1"/>
  <c r="AK790" i="1"/>
  <c r="AP790" i="1"/>
  <c r="AT790" i="1"/>
  <c r="AU790" i="1"/>
  <c r="I791" i="1"/>
  <c r="AW791" i="1" s="1"/>
  <c r="Q791" i="1"/>
  <c r="R791" i="1"/>
  <c r="W791" i="1"/>
  <c r="AJ791" i="1"/>
  <c r="BE791" i="1" s="1"/>
  <c r="AK791" i="1"/>
  <c r="AP791" i="1"/>
  <c r="AT791" i="1"/>
  <c r="I792" i="1"/>
  <c r="AW792" i="1" s="1"/>
  <c r="Q792" i="1"/>
  <c r="R792" i="1"/>
  <c r="W792" i="1"/>
  <c r="AJ792" i="1"/>
  <c r="BE792" i="1" s="1"/>
  <c r="AK792" i="1"/>
  <c r="AP792" i="1"/>
  <c r="AT792" i="1"/>
  <c r="I793" i="1"/>
  <c r="AW793" i="1" s="1"/>
  <c r="AJ793" i="1"/>
  <c r="BE793" i="1" s="1"/>
  <c r="AK793" i="1"/>
  <c r="AP793" i="1"/>
  <c r="AT793" i="1"/>
  <c r="I794" i="1"/>
  <c r="AW794" i="1" s="1"/>
  <c r="Q794" i="1"/>
  <c r="R794" i="1"/>
  <c r="W794" i="1"/>
  <c r="AJ794" i="1"/>
  <c r="AK794" i="1"/>
  <c r="AP794" i="1"/>
  <c r="AV795" i="1"/>
  <c r="I795" i="1"/>
  <c r="M795" i="1" s="1"/>
  <c r="AJ795" i="1"/>
  <c r="BE795" i="1" s="1"/>
  <c r="AK795" i="1"/>
  <c r="AP795" i="1"/>
  <c r="AV796" i="1"/>
  <c r="I796" i="1"/>
  <c r="AW796" i="1" s="1"/>
  <c r="AK796" i="1"/>
  <c r="AP796" i="1"/>
  <c r="BF796" i="1" s="1"/>
  <c r="BE796" i="1"/>
  <c r="AV797" i="1"/>
  <c r="I797" i="1"/>
  <c r="AW797" i="1" s="1"/>
  <c r="AK797" i="1"/>
  <c r="AP797" i="1"/>
  <c r="BE797" i="1"/>
  <c r="AV798" i="1"/>
  <c r="I798" i="1"/>
  <c r="AW798" i="1" s="1"/>
  <c r="AJ798" i="1"/>
  <c r="BE798" i="1" s="1"/>
  <c r="AK798" i="1"/>
  <c r="AP798" i="1"/>
  <c r="AU798" i="1"/>
  <c r="I799" i="1"/>
  <c r="AW799" i="1" s="1"/>
  <c r="AJ799" i="1"/>
  <c r="AK799" i="1"/>
  <c r="AP799" i="1"/>
  <c r="AV800" i="1"/>
  <c r="I800" i="1"/>
  <c r="AW800" i="1" s="1"/>
  <c r="AJ800" i="1"/>
  <c r="AK800" i="1"/>
  <c r="AP800" i="1"/>
  <c r="AT800" i="1"/>
  <c r="AV801" i="1"/>
  <c r="I801" i="1"/>
  <c r="AJ801" i="1"/>
  <c r="BE801" i="1" s="1"/>
  <c r="AK801" i="1"/>
  <c r="AP801" i="1"/>
  <c r="AT801" i="1"/>
  <c r="AU801" i="1"/>
  <c r="H802" i="1"/>
  <c r="N802" i="1"/>
  <c r="Q802" i="1"/>
  <c r="R802" i="1"/>
  <c r="W802" i="1"/>
  <c r="AC802" i="1"/>
  <c r="AY802" i="1" s="1"/>
  <c r="AD802" i="1"/>
  <c r="I802" i="1" s="1"/>
  <c r="AW802" i="1" s="1"/>
  <c r="AJ802" i="1"/>
  <c r="AK802" i="1"/>
  <c r="AL802" i="1"/>
  <c r="AM802" i="1"/>
  <c r="AP802" i="1"/>
  <c r="I803" i="1"/>
  <c r="AW803" i="1" s="1"/>
  <c r="Q803" i="1"/>
  <c r="R803" i="1"/>
  <c r="W803" i="1"/>
  <c r="AJ803" i="1"/>
  <c r="BE803" i="1" s="1"/>
  <c r="AK803" i="1"/>
  <c r="AP803" i="1"/>
  <c r="AT803" i="1"/>
  <c r="I804" i="1"/>
  <c r="AW804" i="1" s="1"/>
  <c r="AJ804" i="1"/>
  <c r="AK804" i="1"/>
  <c r="AP804" i="1"/>
  <c r="AT804" i="1"/>
  <c r="I805" i="1"/>
  <c r="AW805" i="1" s="1"/>
  <c r="AJ805" i="1"/>
  <c r="BE805" i="1" s="1"/>
  <c r="AK805" i="1"/>
  <c r="AP805" i="1"/>
  <c r="AT805" i="1"/>
  <c r="AV806" i="1"/>
  <c r="I806" i="1"/>
  <c r="AW806" i="1" s="1"/>
  <c r="AJ806" i="1"/>
  <c r="BE806" i="1" s="1"/>
  <c r="AK806" i="1"/>
  <c r="AP806" i="1"/>
  <c r="AT806" i="1"/>
  <c r="AV807" i="1"/>
  <c r="I807" i="1"/>
  <c r="AW807" i="1" s="1"/>
  <c r="AJ807" i="1"/>
  <c r="BE807" i="1" s="1"/>
  <c r="AK807" i="1"/>
  <c r="AP807" i="1"/>
  <c r="AT807" i="1"/>
  <c r="I808" i="1"/>
  <c r="AW808" i="1" s="1"/>
  <c r="AJ808" i="1"/>
  <c r="AK808" i="1"/>
  <c r="AP808" i="1"/>
  <c r="AT808" i="1"/>
  <c r="AV809" i="1"/>
  <c r="I809" i="1"/>
  <c r="AW809" i="1" s="1"/>
  <c r="AJ809" i="1"/>
  <c r="AK809" i="1"/>
  <c r="AP809" i="1"/>
  <c r="AT809" i="1"/>
  <c r="AV810" i="1"/>
  <c r="I810" i="1"/>
  <c r="AJ810" i="1"/>
  <c r="BE810" i="1" s="1"/>
  <c r="AK810" i="1"/>
  <c r="AP810" i="1"/>
  <c r="AT810" i="1"/>
  <c r="AV811" i="1"/>
  <c r="I811" i="1"/>
  <c r="AJ811" i="1"/>
  <c r="AK811" i="1"/>
  <c r="AP811" i="1"/>
  <c r="AT811" i="1"/>
  <c r="H812" i="1"/>
  <c r="N812" i="1"/>
  <c r="Q812" i="1"/>
  <c r="R812" i="1"/>
  <c r="W812" i="1"/>
  <c r="AC812" i="1"/>
  <c r="AD812" i="1"/>
  <c r="I812" i="1" s="1"/>
  <c r="AW812" i="1" s="1"/>
  <c r="AE812" i="1"/>
  <c r="AL812" i="1" s="1"/>
  <c r="AJ812" i="1"/>
  <c r="AK812" i="1"/>
  <c r="AM812" i="1"/>
  <c r="AP812" i="1"/>
  <c r="AV813" i="1"/>
  <c r="I813" i="1"/>
  <c r="AW813" i="1" s="1"/>
  <c r="AJ813" i="1"/>
  <c r="AK813" i="1"/>
  <c r="AP813" i="1"/>
  <c r="AT813" i="1"/>
  <c r="K814" i="1"/>
  <c r="I814" i="1"/>
  <c r="AW814" i="1" s="1"/>
  <c r="AJ814" i="1"/>
  <c r="BE814" i="1" s="1"/>
  <c r="AK814" i="1"/>
  <c r="AP814" i="1"/>
  <c r="AT814" i="1"/>
  <c r="AV815" i="1"/>
  <c r="I815" i="1"/>
  <c r="AW815" i="1" s="1"/>
  <c r="AJ815" i="1"/>
  <c r="AK815" i="1"/>
  <c r="AP815" i="1"/>
  <c r="AT815" i="1"/>
  <c r="AV816" i="1"/>
  <c r="I816" i="1"/>
  <c r="AW816" i="1" s="1"/>
  <c r="AJ816" i="1"/>
  <c r="BE816" i="1" s="1"/>
  <c r="AK816" i="1"/>
  <c r="AP816" i="1"/>
  <c r="AT816" i="1"/>
  <c r="I817" i="1"/>
  <c r="AW817" i="1" s="1"/>
  <c r="Q817" i="1"/>
  <c r="R817" i="1"/>
  <c r="W817" i="1"/>
  <c r="AJ817" i="1"/>
  <c r="AK817" i="1"/>
  <c r="AP817" i="1"/>
  <c r="AV818" i="1"/>
  <c r="I818" i="1"/>
  <c r="AW818" i="1" s="1"/>
  <c r="AJ818" i="1"/>
  <c r="BE818" i="1" s="1"/>
  <c r="AK818" i="1"/>
  <c r="AP818" i="1"/>
  <c r="H819" i="1"/>
  <c r="N819" i="1"/>
  <c r="Q819" i="1"/>
  <c r="R819" i="1"/>
  <c r="W819" i="1"/>
  <c r="AD819" i="1"/>
  <c r="I819" i="1" s="1"/>
  <c r="AW819" i="1" s="1"/>
  <c r="AJ819" i="1"/>
  <c r="AK819" i="1"/>
  <c r="AL819" i="1"/>
  <c r="AM819" i="1"/>
  <c r="AP819" i="1"/>
  <c r="AV820" i="1"/>
  <c r="I820" i="1"/>
  <c r="AJ820" i="1"/>
  <c r="BE820" i="1" s="1"/>
  <c r="AK820" i="1"/>
  <c r="AP820" i="1"/>
  <c r="I821" i="1"/>
  <c r="AW821" i="1" s="1"/>
  <c r="AJ821" i="1"/>
  <c r="BE821" i="1" s="1"/>
  <c r="AK821" i="1"/>
  <c r="AP821" i="1"/>
  <c r="AT821" i="1"/>
  <c r="AU821" i="1"/>
  <c r="AV822" i="1"/>
  <c r="I822" i="1"/>
  <c r="AW822" i="1" s="1"/>
  <c r="AJ822" i="1"/>
  <c r="BE822" i="1" s="1"/>
  <c r="AK822" i="1"/>
  <c r="AP822" i="1"/>
  <c r="AT822" i="1"/>
  <c r="AU822" i="1"/>
  <c r="I823" i="1"/>
  <c r="AW823" i="1" s="1"/>
  <c r="AJ823" i="1"/>
  <c r="BE823" i="1" s="1"/>
  <c r="AK823" i="1"/>
  <c r="AP823" i="1"/>
  <c r="AT823" i="1"/>
  <c r="AU823" i="1"/>
  <c r="AV824" i="1"/>
  <c r="I824" i="1"/>
  <c r="M824" i="1" s="1"/>
  <c r="AJ824" i="1"/>
  <c r="BE824" i="1" s="1"/>
  <c r="AK824" i="1"/>
  <c r="AP824" i="1"/>
  <c r="AT824" i="1"/>
  <c r="AU824" i="1"/>
  <c r="AV825" i="1"/>
  <c r="I825" i="1"/>
  <c r="AW825" i="1" s="1"/>
  <c r="AJ825" i="1"/>
  <c r="BE825" i="1" s="1"/>
  <c r="AK825" i="1"/>
  <c r="AP825" i="1"/>
  <c r="AT825" i="1"/>
  <c r="AU825" i="1"/>
  <c r="AV826" i="1"/>
  <c r="I826" i="1"/>
  <c r="AW826" i="1" s="1"/>
  <c r="AJ826" i="1"/>
  <c r="BE826" i="1" s="1"/>
  <c r="AK826" i="1"/>
  <c r="AP826" i="1"/>
  <c r="AT826" i="1"/>
  <c r="AU826" i="1"/>
  <c r="AV827" i="1"/>
  <c r="I827" i="1"/>
  <c r="AJ827" i="1"/>
  <c r="BE827" i="1" s="1"/>
  <c r="AK827" i="1"/>
  <c r="AP827" i="1"/>
  <c r="AT827" i="1"/>
  <c r="AU827" i="1"/>
  <c r="AV828" i="1"/>
  <c r="I828" i="1"/>
  <c r="AW828" i="1" s="1"/>
  <c r="AJ828" i="1"/>
  <c r="BE828" i="1" s="1"/>
  <c r="AK828" i="1"/>
  <c r="AP828" i="1"/>
  <c r="AT828" i="1"/>
  <c r="AU828" i="1"/>
  <c r="I829" i="1"/>
  <c r="AW829" i="1" s="1"/>
  <c r="AJ829" i="1"/>
  <c r="BE829" i="1" s="1"/>
  <c r="AK829" i="1"/>
  <c r="AP829" i="1"/>
  <c r="AT829" i="1"/>
  <c r="AU829" i="1"/>
  <c r="AV830" i="1"/>
  <c r="I830" i="1"/>
  <c r="AW830" i="1" s="1"/>
  <c r="AJ830" i="1"/>
  <c r="BE830" i="1" s="1"/>
  <c r="AK830" i="1"/>
  <c r="AP830" i="1"/>
  <c r="AT830" i="1"/>
  <c r="AU830" i="1"/>
  <c r="I831" i="1"/>
  <c r="AW831" i="1" s="1"/>
  <c r="AJ831" i="1"/>
  <c r="BE831" i="1" s="1"/>
  <c r="AK831" i="1"/>
  <c r="AP831" i="1"/>
  <c r="AU831" i="1"/>
  <c r="AV832" i="1"/>
  <c r="I832" i="1"/>
  <c r="AW832" i="1" s="1"/>
  <c r="AJ832" i="1"/>
  <c r="BE832" i="1" s="1"/>
  <c r="AK832" i="1"/>
  <c r="AT832" i="1"/>
  <c r="AU832" i="1"/>
  <c r="I833" i="1"/>
  <c r="AW833" i="1" s="1"/>
  <c r="AJ833" i="1"/>
  <c r="BF833" i="1" s="1"/>
  <c r="AT833" i="1"/>
  <c r="AU833" i="1"/>
  <c r="K834" i="1"/>
  <c r="I834" i="1"/>
  <c r="BE834" i="1"/>
  <c r="BF834" i="1"/>
  <c r="BE835" i="1"/>
  <c r="BE836" i="1"/>
  <c r="BE837" i="1"/>
  <c r="BE838" i="1"/>
  <c r="BE839" i="1"/>
  <c r="BE840" i="1"/>
  <c r="BE841" i="1"/>
  <c r="BE842" i="1"/>
  <c r="BE843" i="1"/>
  <c r="BE844" i="1"/>
  <c r="BE845" i="1"/>
  <c r="BE846" i="1"/>
  <c r="BE847" i="1"/>
  <c r="BE848" i="1"/>
  <c r="BE849" i="1"/>
  <c r="BE850" i="1"/>
  <c r="BE851" i="1"/>
  <c r="BE852" i="1"/>
  <c r="BE853" i="1"/>
  <c r="BE854" i="1"/>
  <c r="BE855" i="1"/>
  <c r="BE856" i="1"/>
  <c r="BE857" i="1"/>
  <c r="BE858" i="1"/>
  <c r="BE859" i="1"/>
  <c r="BE860" i="1"/>
  <c r="BE861" i="1"/>
  <c r="BE862" i="1"/>
  <c r="BE863" i="1"/>
  <c r="BE864" i="1"/>
  <c r="BE865" i="1"/>
  <c r="BE866" i="1"/>
  <c r="BE867" i="1"/>
  <c r="BE868" i="1"/>
  <c r="BE869" i="1"/>
  <c r="BE870" i="1"/>
  <c r="BE871" i="1"/>
  <c r="BE872" i="1"/>
  <c r="BE873" i="1"/>
  <c r="BE874" i="1"/>
  <c r="BE875" i="1"/>
  <c r="BE876" i="1"/>
  <c r="BE877" i="1"/>
  <c r="BE878" i="1"/>
  <c r="BE879" i="1"/>
  <c r="BE880" i="1"/>
  <c r="BE881" i="1"/>
  <c r="BA51" i="1" l="1"/>
  <c r="AR168" i="1"/>
  <c r="AR50" i="1"/>
  <c r="BA38" i="1"/>
  <c r="AV50" i="1"/>
  <c r="AV99" i="1"/>
  <c r="L51" i="1"/>
  <c r="BA50" i="1"/>
  <c r="AR49" i="1"/>
  <c r="BA45" i="1"/>
  <c r="AV37" i="1"/>
  <c r="K38" i="1"/>
  <c r="AV51" i="1"/>
  <c r="K37" i="1"/>
  <c r="AV38" i="1"/>
  <c r="BA48" i="1"/>
  <c r="K51" i="1"/>
  <c r="AV48" i="1"/>
  <c r="BA17" i="1"/>
  <c r="L17" i="1"/>
  <c r="K17" i="1"/>
  <c r="AV17" i="1"/>
  <c r="AR15" i="1"/>
  <c r="L16" i="1"/>
  <c r="BA16" i="1"/>
  <c r="K16" i="1"/>
  <c r="L15" i="1"/>
  <c r="AR14" i="1"/>
  <c r="AV13" i="1"/>
  <c r="K15" i="1"/>
  <c r="L14" i="1"/>
  <c r="AR353" i="1"/>
  <c r="K204" i="1"/>
  <c r="BF665" i="1"/>
  <c r="AW636" i="1"/>
  <c r="AP77" i="1"/>
  <c r="BF77" i="1" s="1"/>
  <c r="BB642" i="1"/>
  <c r="K222" i="1"/>
  <c r="BC47" i="1"/>
  <c r="AW675" i="1"/>
  <c r="AZ648" i="1"/>
  <c r="G581" i="1"/>
  <c r="AX581" i="1" s="1"/>
  <c r="AY652" i="1"/>
  <c r="BC209" i="1"/>
  <c r="AW567" i="1"/>
  <c r="AT210" i="1"/>
  <c r="AZ726" i="1"/>
  <c r="AV509" i="1"/>
  <c r="AX778" i="1"/>
  <c r="AT147" i="1"/>
  <c r="AU41" i="1"/>
  <c r="AY568" i="1"/>
  <c r="AW668" i="1"/>
  <c r="AV477" i="1"/>
  <c r="AV775" i="1"/>
  <c r="AV464" i="1"/>
  <c r="AZ581" i="1"/>
  <c r="BD376" i="1"/>
  <c r="AV536" i="1"/>
  <c r="AZ655" i="1"/>
  <c r="AZ643" i="1"/>
  <c r="AW528" i="1"/>
  <c r="AZ749" i="1"/>
  <c r="AX622" i="1"/>
  <c r="AY580" i="1"/>
  <c r="G434" i="1"/>
  <c r="BD434" i="1" s="1"/>
  <c r="AV482" i="1"/>
  <c r="AY749" i="1"/>
  <c r="K456" i="1"/>
  <c r="AY555" i="1"/>
  <c r="BA281" i="1"/>
  <c r="AW782" i="1"/>
  <c r="AV778" i="1"/>
  <c r="AX655" i="1"/>
  <c r="AV625" i="1"/>
  <c r="AW562" i="1"/>
  <c r="AW497" i="1"/>
  <c r="AZ767" i="1"/>
  <c r="AV767" i="1"/>
  <c r="AY488" i="1"/>
  <c r="AY489" i="1"/>
  <c r="AV706" i="1"/>
  <c r="AY655" i="1"/>
  <c r="AZ775" i="1"/>
  <c r="AY767" i="1"/>
  <c r="AY726" i="1"/>
  <c r="AW504" i="1"/>
  <c r="AZ623" i="1"/>
  <c r="AY666" i="1"/>
  <c r="AW622" i="1"/>
  <c r="AS773" i="1"/>
  <c r="AY665" i="1"/>
  <c r="AT583" i="1"/>
  <c r="AS159" i="1"/>
  <c r="AV653" i="1"/>
  <c r="AW641" i="1"/>
  <c r="AW591" i="1"/>
  <c r="AZ635" i="1"/>
  <c r="AV814" i="1"/>
  <c r="AW615" i="1"/>
  <c r="AZ613" i="1"/>
  <c r="AZ599" i="1"/>
  <c r="AZ589" i="1"/>
  <c r="AZ516" i="1"/>
  <c r="AZ626" i="1"/>
  <c r="AZ665" i="1"/>
  <c r="AY599" i="1"/>
  <c r="AY516" i="1"/>
  <c r="AY495" i="1"/>
  <c r="AZ647" i="1"/>
  <c r="AW630" i="1"/>
  <c r="BC594" i="1"/>
  <c r="AY589" i="1"/>
  <c r="BF583" i="1"/>
  <c r="AS469" i="1"/>
  <c r="M456" i="1"/>
  <c r="G400" i="1"/>
  <c r="AU400" i="1" s="1"/>
  <c r="AY162" i="1"/>
  <c r="AR144" i="1"/>
  <c r="AW718" i="1"/>
  <c r="AW665" i="1"/>
  <c r="AW552" i="1"/>
  <c r="AL774" i="1"/>
  <c r="AZ774" i="1" s="1"/>
  <c r="AY774" i="1"/>
  <c r="AS762" i="1"/>
  <c r="AW762" i="1"/>
  <c r="M758" i="1"/>
  <c r="AS758" i="1"/>
  <c r="AW758" i="1"/>
  <c r="BB651" i="1"/>
  <c r="AW651" i="1"/>
  <c r="M649" i="1"/>
  <c r="AW649" i="1"/>
  <c r="BB627" i="1"/>
  <c r="AW627" i="1"/>
  <c r="K604" i="1"/>
  <c r="AV604" i="1"/>
  <c r="BA651" i="1"/>
  <c r="AV651" i="1"/>
  <c r="AZ645" i="1"/>
  <c r="BA623" i="1"/>
  <c r="AV623" i="1"/>
  <c r="AS617" i="1"/>
  <c r="AW617" i="1"/>
  <c r="M614" i="1"/>
  <c r="AW614" i="1"/>
  <c r="BA610" i="1"/>
  <c r="AV610" i="1"/>
  <c r="M593" i="1"/>
  <c r="AW593" i="1"/>
  <c r="M590" i="1"/>
  <c r="AW590" i="1"/>
  <c r="AR694" i="1"/>
  <c r="AV694" i="1"/>
  <c r="M692" i="1"/>
  <c r="AW692" i="1"/>
  <c r="BD687" i="1"/>
  <c r="AX687" i="1"/>
  <c r="M667" i="1"/>
  <c r="AW667" i="1"/>
  <c r="BA655" i="1"/>
  <c r="AV655" i="1"/>
  <c r="AY643" i="1"/>
  <c r="AZ687" i="1"/>
  <c r="AZ657" i="1"/>
  <c r="AY581" i="1"/>
  <c r="BE808" i="1"/>
  <c r="BF808" i="1"/>
  <c r="AU782" i="1"/>
  <c r="AX782" i="1"/>
  <c r="AZ782" i="1"/>
  <c r="M774" i="1"/>
  <c r="AW774" i="1"/>
  <c r="K762" i="1"/>
  <c r="AV762" i="1"/>
  <c r="AR481" i="1"/>
  <c r="AV481" i="1"/>
  <c r="M810" i="1"/>
  <c r="AW810" i="1"/>
  <c r="AS810" i="1"/>
  <c r="AZ802" i="1"/>
  <c r="AZ784" i="1"/>
  <c r="AZ783" i="1"/>
  <c r="AS518" i="1"/>
  <c r="AW518" i="1"/>
  <c r="M500" i="1"/>
  <c r="AW500" i="1"/>
  <c r="M485" i="1"/>
  <c r="AW485" i="1"/>
  <c r="M479" i="1"/>
  <c r="AW479" i="1"/>
  <c r="AL586" i="1"/>
  <c r="AZ586" i="1" s="1"/>
  <c r="AY586" i="1"/>
  <c r="M820" i="1"/>
  <c r="AW820" i="1"/>
  <c r="AV530" i="1"/>
  <c r="AR530" i="1"/>
  <c r="AS505" i="1"/>
  <c r="AW505" i="1"/>
  <c r="AS494" i="1"/>
  <c r="AW494" i="1"/>
  <c r="AR465" i="1"/>
  <c r="AV465" i="1"/>
  <c r="AR463" i="1"/>
  <c r="AV463" i="1"/>
  <c r="AV507" i="1"/>
  <c r="AR535" i="1"/>
  <c r="AV535" i="1"/>
  <c r="M510" i="1"/>
  <c r="AW510" i="1"/>
  <c r="BE118" i="1"/>
  <c r="BC118" i="1"/>
  <c r="AV467" i="1"/>
  <c r="AW795" i="1"/>
  <c r="M827" i="1"/>
  <c r="AW827" i="1"/>
  <c r="K578" i="1"/>
  <c r="AV578" i="1"/>
  <c r="K574" i="1"/>
  <c r="AV574" i="1"/>
  <c r="AS564" i="1"/>
  <c r="AW564" i="1"/>
  <c r="M550" i="1"/>
  <c r="AW550" i="1"/>
  <c r="M541" i="1"/>
  <c r="AW541" i="1"/>
  <c r="M533" i="1"/>
  <c r="AW533" i="1"/>
  <c r="AW645" i="1"/>
  <c r="BB645" i="1"/>
  <c r="AL638" i="1"/>
  <c r="AZ638" i="1" s="1"/>
  <c r="AY638" i="1"/>
  <c r="AS613" i="1"/>
  <c r="AW613" i="1"/>
  <c r="BA328" i="1"/>
  <c r="AR328" i="1"/>
  <c r="AW543" i="1"/>
  <c r="AY490" i="1"/>
  <c r="AZ489" i="1"/>
  <c r="AL668" i="1"/>
  <c r="AZ668" i="1" s="1"/>
  <c r="AY668" i="1"/>
  <c r="AZ83" i="1"/>
  <c r="AW785" i="1"/>
  <c r="AX693" i="1"/>
  <c r="AX648" i="1"/>
  <c r="AV601" i="1"/>
  <c r="AL685" i="1"/>
  <c r="AZ685" i="1" s="1"/>
  <c r="AY685" i="1"/>
  <c r="AZ580" i="1"/>
  <c r="K564" i="1"/>
  <c r="AV564" i="1"/>
  <c r="AS503" i="1"/>
  <c r="AW503" i="1"/>
  <c r="K468" i="1"/>
  <c r="AV468" i="1"/>
  <c r="AW521" i="1"/>
  <c r="AY687" i="1"/>
  <c r="AZ764" i="1"/>
  <c r="BA676" i="1"/>
  <c r="AV676" i="1"/>
  <c r="M607" i="1"/>
  <c r="AW607" i="1"/>
  <c r="M565" i="1"/>
  <c r="AW565" i="1"/>
  <c r="AU544" i="1"/>
  <c r="AX544" i="1"/>
  <c r="K513" i="1"/>
  <c r="AV513" i="1"/>
  <c r="M226" i="1"/>
  <c r="BB226" i="1"/>
  <c r="AW711" i="1"/>
  <c r="AW648" i="1"/>
  <c r="AW579" i="1"/>
  <c r="AV545" i="1"/>
  <c r="K808" i="1"/>
  <c r="AV808" i="1"/>
  <c r="K614" i="1"/>
  <c r="AV614" i="1"/>
  <c r="M496" i="1"/>
  <c r="AW496" i="1"/>
  <c r="AZ473" i="1"/>
  <c r="AZ819" i="1"/>
  <c r="M801" i="1"/>
  <c r="AW801" i="1"/>
  <c r="M577" i="1"/>
  <c r="AW577" i="1"/>
  <c r="M573" i="1"/>
  <c r="AW573" i="1"/>
  <c r="AS544" i="1"/>
  <c r="AW544" i="1"/>
  <c r="AR508" i="1"/>
  <c r="AV508" i="1"/>
  <c r="K492" i="1"/>
  <c r="AV492" i="1"/>
  <c r="M486" i="1"/>
  <c r="AW486" i="1"/>
  <c r="M693" i="1"/>
  <c r="AW693" i="1"/>
  <c r="BE819" i="1"/>
  <c r="S794" i="1"/>
  <c r="AV794" i="1" s="1"/>
  <c r="M781" i="1"/>
  <c r="AW781" i="1"/>
  <c r="AZ778" i="1"/>
  <c r="AU767" i="1"/>
  <c r="AX767" i="1"/>
  <c r="AS696" i="1"/>
  <c r="K693" i="1"/>
  <c r="AV693" i="1"/>
  <c r="AZ666" i="1"/>
  <c r="BA654" i="1"/>
  <c r="AV654" i="1"/>
  <c r="M635" i="1"/>
  <c r="AW635" i="1"/>
  <c r="BA618" i="1"/>
  <c r="AV618" i="1"/>
  <c r="AX613" i="1"/>
  <c r="BF597" i="1"/>
  <c r="AZ555" i="1"/>
  <c r="M529" i="1"/>
  <c r="AW529" i="1"/>
  <c r="AS517" i="1"/>
  <c r="AW517" i="1"/>
  <c r="K506" i="1"/>
  <c r="AV506" i="1"/>
  <c r="AZ488" i="1"/>
  <c r="AR268" i="1"/>
  <c r="AZ787" i="1"/>
  <c r="AV711" i="1"/>
  <c r="AW708" i="1"/>
  <c r="AW696" i="1"/>
  <c r="AW576" i="1"/>
  <c r="AW554" i="1"/>
  <c r="AW538" i="1"/>
  <c r="AW526" i="1"/>
  <c r="AS508" i="1"/>
  <c r="AW508" i="1"/>
  <c r="M482" i="1"/>
  <c r="AW482" i="1"/>
  <c r="AL693" i="1"/>
  <c r="AZ693" i="1" s="1"/>
  <c r="AY693" i="1"/>
  <c r="AZ812" i="1"/>
  <c r="AY812" i="1"/>
  <c r="M738" i="1"/>
  <c r="AW738" i="1"/>
  <c r="AV722" i="1"/>
  <c r="AL680" i="1"/>
  <c r="AZ680" i="1" s="1"/>
  <c r="AY680" i="1"/>
  <c r="AS551" i="1"/>
  <c r="AW551" i="1"/>
  <c r="M478" i="1"/>
  <c r="AW478" i="1"/>
  <c r="AR469" i="1"/>
  <c r="AV469" i="1"/>
  <c r="AR324" i="1"/>
  <c r="AV637" i="1"/>
  <c r="AV538" i="1"/>
  <c r="AV529" i="1"/>
  <c r="AV511" i="1"/>
  <c r="AZ490" i="1"/>
  <c r="M786" i="1"/>
  <c r="AW786" i="1"/>
  <c r="M676" i="1"/>
  <c r="AW676" i="1"/>
  <c r="M475" i="1"/>
  <c r="AW475" i="1"/>
  <c r="K738" i="1"/>
  <c r="AV738" i="1"/>
  <c r="AS714" i="1"/>
  <c r="AW714" i="1"/>
  <c r="AS700" i="1"/>
  <c r="AW700" i="1"/>
  <c r="AU692" i="1"/>
  <c r="AX692" i="1"/>
  <c r="BD673" i="1"/>
  <c r="AX673" i="1"/>
  <c r="AZ673" i="1"/>
  <c r="M563" i="1"/>
  <c r="AW563" i="1"/>
  <c r="M532" i="1"/>
  <c r="AW532" i="1"/>
  <c r="M527" i="1"/>
  <c r="AW527" i="1"/>
  <c r="M493" i="1"/>
  <c r="AW493" i="1"/>
  <c r="AU491" i="1"/>
  <c r="AX491" i="1"/>
  <c r="AY484" i="1"/>
  <c r="K478" i="1"/>
  <c r="AV478" i="1"/>
  <c r="AX787" i="1"/>
  <c r="AW780" i="1"/>
  <c r="AW773" i="1"/>
  <c r="AW735" i="1"/>
  <c r="AX677" i="1"/>
  <c r="AW674" i="1"/>
  <c r="AW660" i="1"/>
  <c r="AY626" i="1"/>
  <c r="AW566" i="1"/>
  <c r="M779" i="1"/>
  <c r="AW779" i="1"/>
  <c r="AZ642" i="1"/>
  <c r="K600" i="1"/>
  <c r="AV600" i="1"/>
  <c r="M733" i="1"/>
  <c r="AW733" i="1"/>
  <c r="BA683" i="1"/>
  <c r="AV683" i="1"/>
  <c r="M628" i="1"/>
  <c r="AW628" i="1"/>
  <c r="AZ622" i="1"/>
  <c r="M559" i="1"/>
  <c r="AW559" i="1"/>
  <c r="L513" i="1"/>
  <c r="AW513" i="1"/>
  <c r="AZ484" i="1"/>
  <c r="AR710" i="1"/>
  <c r="AV710" i="1"/>
  <c r="AR698" i="1"/>
  <c r="AV698" i="1"/>
  <c r="M690" i="1"/>
  <c r="AW690" i="1"/>
  <c r="BA662" i="1"/>
  <c r="AV662" i="1"/>
  <c r="AY630" i="1"/>
  <c r="M616" i="1"/>
  <c r="AW616" i="1"/>
  <c r="M553" i="1"/>
  <c r="AW553" i="1"/>
  <c r="M537" i="1"/>
  <c r="AW537" i="1"/>
  <c r="AR527" i="1"/>
  <c r="AV527" i="1"/>
  <c r="M520" i="1"/>
  <c r="AW520" i="1"/>
  <c r="M476" i="1"/>
  <c r="AW476" i="1"/>
  <c r="AV373" i="1"/>
  <c r="BA333" i="1"/>
  <c r="AW824" i="1"/>
  <c r="AW677" i="1"/>
  <c r="AW650" i="1"/>
  <c r="AW629" i="1"/>
  <c r="AW626" i="1"/>
  <c r="AW572" i="1"/>
  <c r="AZ491" i="1"/>
  <c r="AR585" i="1"/>
  <c r="AV585" i="1"/>
  <c r="K510" i="1"/>
  <c r="AV510" i="1"/>
  <c r="AY657" i="1"/>
  <c r="M811" i="1"/>
  <c r="AW811" i="1"/>
  <c r="AL692" i="1"/>
  <c r="AZ692" i="1" s="1"/>
  <c r="AY692" i="1"/>
  <c r="M669" i="1"/>
  <c r="AW669" i="1"/>
  <c r="AS653" i="1"/>
  <c r="G642" i="1"/>
  <c r="AX642" i="1" s="1"/>
  <c r="K626" i="1"/>
  <c r="AV626" i="1"/>
  <c r="AY623" i="1"/>
  <c r="BF581" i="1"/>
  <c r="AR564" i="1"/>
  <c r="AX494" i="1"/>
  <c r="L471" i="1"/>
  <c r="AW436" i="1"/>
  <c r="AV805" i="1"/>
  <c r="AV716" i="1"/>
  <c r="AV713" i="1"/>
  <c r="AW578" i="1"/>
  <c r="AV550" i="1"/>
  <c r="AW531" i="1"/>
  <c r="AW519" i="1"/>
  <c r="AZ494" i="1"/>
  <c r="G430" i="1"/>
  <c r="BD430" i="1" s="1"/>
  <c r="BF209" i="1"/>
  <c r="M51" i="1"/>
  <c r="AZ400" i="1"/>
  <c r="K95" i="1"/>
  <c r="BF76" i="1"/>
  <c r="M42" i="1"/>
  <c r="BB173" i="1"/>
  <c r="W589" i="1"/>
  <c r="AV589" i="1" s="1"/>
  <c r="I230" i="1"/>
  <c r="M230" i="1" s="1"/>
  <c r="L470" i="1"/>
  <c r="G229" i="1"/>
  <c r="M229" i="1" s="1"/>
  <c r="BD21" i="1"/>
  <c r="K364" i="1"/>
  <c r="BE129" i="1"/>
  <c r="G22" i="1"/>
  <c r="K177" i="1"/>
  <c r="AW461" i="1"/>
  <c r="AV268" i="1"/>
  <c r="AV438" i="1"/>
  <c r="L240" i="1"/>
  <c r="AY225" i="1"/>
  <c r="BB461" i="1"/>
  <c r="BF663" i="1"/>
  <c r="M210" i="1"/>
  <c r="BE663" i="1"/>
  <c r="AS461" i="1"/>
  <c r="G221" i="1"/>
  <c r="M221" i="1" s="1"/>
  <c r="BA410" i="1"/>
  <c r="AX155" i="1"/>
  <c r="K328" i="1"/>
  <c r="AU155" i="1"/>
  <c r="L159" i="1"/>
  <c r="AY267" i="1"/>
  <c r="BA117" i="1"/>
  <c r="BA116" i="1"/>
  <c r="AD38" i="1"/>
  <c r="AT38" i="1" s="1"/>
  <c r="K33" i="1"/>
  <c r="BA94" i="1"/>
  <c r="AZ64" i="1"/>
  <c r="BF602" i="1"/>
  <c r="G812" i="1"/>
  <c r="AU812" i="1" s="1"/>
  <c r="G555" i="1"/>
  <c r="AY439" i="1"/>
  <c r="BD245" i="1"/>
  <c r="L241" i="1"/>
  <c r="K196" i="1"/>
  <c r="BD182" i="1"/>
  <c r="I162" i="1"/>
  <c r="AS162" i="1" s="1"/>
  <c r="BA145" i="1"/>
  <c r="BA144" i="1"/>
  <c r="AZ15" i="1"/>
  <c r="M40" i="1"/>
  <c r="BD347" i="1"/>
  <c r="BB159" i="1"/>
  <c r="M139" i="1"/>
  <c r="BC110" i="1"/>
  <c r="BA102" i="1"/>
  <c r="AV340" i="1"/>
  <c r="M335" i="1"/>
  <c r="BC252" i="1"/>
  <c r="AX203" i="1"/>
  <c r="AY201" i="1"/>
  <c r="L375" i="1"/>
  <c r="AR304" i="1"/>
  <c r="BE299" i="1"/>
  <c r="G257" i="1"/>
  <c r="AU257" i="1" s="1"/>
  <c r="AT253" i="1"/>
  <c r="AV226" i="1"/>
  <c r="L213" i="1"/>
  <c r="AU203" i="1"/>
  <c r="AT201" i="1"/>
  <c r="BE162" i="1"/>
  <c r="AX113" i="1"/>
  <c r="BF113" i="1"/>
  <c r="M347" i="1"/>
  <c r="AR513" i="1"/>
  <c r="AR506" i="1"/>
  <c r="BA437" i="1"/>
  <c r="BE435" i="1"/>
  <c r="I435" i="1"/>
  <c r="AS435" i="1" s="1"/>
  <c r="G666" i="1"/>
  <c r="M666" i="1" s="1"/>
  <c r="BF656" i="1"/>
  <c r="AV254" i="1"/>
  <c r="K85" i="1"/>
  <c r="BC72" i="1"/>
  <c r="W657" i="1"/>
  <c r="BA657" i="1" s="1"/>
  <c r="AP57" i="1"/>
  <c r="BF57" i="1" s="1"/>
  <c r="BC600" i="1"/>
  <c r="AV344" i="1"/>
  <c r="BE252" i="1"/>
  <c r="BA241" i="1"/>
  <c r="G645" i="1"/>
  <c r="K645" i="1" s="1"/>
  <c r="AS514" i="1"/>
  <c r="L814" i="1"/>
  <c r="AL601" i="1"/>
  <c r="AZ601" i="1" s="1"/>
  <c r="L542" i="1"/>
  <c r="AR536" i="1"/>
  <c r="K319" i="1"/>
  <c r="AR306" i="1"/>
  <c r="K231" i="1"/>
  <c r="AR229" i="1"/>
  <c r="AV144" i="1"/>
  <c r="BC88" i="1"/>
  <c r="K60" i="1"/>
  <c r="K390" i="1"/>
  <c r="AZ54" i="1"/>
  <c r="AZ335" i="1"/>
  <c r="L285" i="1"/>
  <c r="AV33" i="1"/>
  <c r="AV333" i="1"/>
  <c r="L576" i="1"/>
  <c r="I602" i="1"/>
  <c r="AW602" i="1" s="1"/>
  <c r="BA390" i="1"/>
  <c r="BA98" i="1"/>
  <c r="I43" i="1"/>
  <c r="BE784" i="1"/>
  <c r="S749" i="1"/>
  <c r="L616" i="1"/>
  <c r="BB613" i="1"/>
  <c r="L613" i="1"/>
  <c r="BF593" i="1"/>
  <c r="AR421" i="1"/>
  <c r="G369" i="1"/>
  <c r="AX369" i="1" s="1"/>
  <c r="AU222" i="1"/>
  <c r="M218" i="1"/>
  <c r="AU182" i="1"/>
  <c r="K103" i="1"/>
  <c r="BC97" i="1"/>
  <c r="G62" i="1"/>
  <c r="AX62" i="1" s="1"/>
  <c r="AZ19" i="1"/>
  <c r="K171" i="1"/>
  <c r="L413" i="1"/>
  <c r="AY55" i="1"/>
  <c r="L600" i="1"/>
  <c r="AT787" i="1"/>
  <c r="BB635" i="1"/>
  <c r="BC602" i="1"/>
  <c r="I594" i="1"/>
  <c r="AS594" i="1" s="1"/>
  <c r="AS570" i="1"/>
  <c r="AY435" i="1"/>
  <c r="BA372" i="1"/>
  <c r="AV371" i="1"/>
  <c r="AV285" i="1"/>
  <c r="AR201" i="1"/>
  <c r="L146" i="1"/>
  <c r="K144" i="1"/>
  <c r="BA262" i="1"/>
  <c r="AR400" i="1"/>
  <c r="AY355" i="1"/>
  <c r="BF620" i="1"/>
  <c r="AV429" i="1"/>
  <c r="AW221" i="1"/>
  <c r="AY127" i="1"/>
  <c r="AS795" i="1"/>
  <c r="AS711" i="1"/>
  <c r="G652" i="1"/>
  <c r="AU652" i="1" s="1"/>
  <c r="AZ433" i="1"/>
  <c r="AY372" i="1"/>
  <c r="K155" i="1"/>
  <c r="BE131" i="1"/>
  <c r="AU103" i="1"/>
  <c r="AX54" i="1"/>
  <c r="L255" i="1"/>
  <c r="M551" i="1"/>
  <c r="L371" i="1"/>
  <c r="L258" i="1"/>
  <c r="AZ65" i="1"/>
  <c r="K183" i="1"/>
  <c r="BA371" i="1"/>
  <c r="AY394" i="1"/>
  <c r="S783" i="1"/>
  <c r="G775" i="1"/>
  <c r="K775" i="1" s="1"/>
  <c r="BA653" i="1"/>
  <c r="BD647" i="1"/>
  <c r="AU613" i="1"/>
  <c r="BC607" i="1"/>
  <c r="BE595" i="1"/>
  <c r="L537" i="1"/>
  <c r="BA421" i="1"/>
  <c r="AR371" i="1"/>
  <c r="BC204" i="1"/>
  <c r="I200" i="1"/>
  <c r="M200" i="1" s="1"/>
  <c r="AV161" i="1"/>
  <c r="BB157" i="1"/>
  <c r="K156" i="1"/>
  <c r="BF97" i="1"/>
  <c r="L254" i="1"/>
  <c r="W565" i="1"/>
  <c r="BA429" i="1"/>
  <c r="L526" i="1"/>
  <c r="W553" i="1"/>
  <c r="AR553" i="1" s="1"/>
  <c r="AS811" i="1"/>
  <c r="AS801" i="1"/>
  <c r="BF726" i="1"/>
  <c r="AS718" i="1"/>
  <c r="BF473" i="1"/>
  <c r="BF430" i="1"/>
  <c r="G271" i="1"/>
  <c r="AU271" i="1" s="1"/>
  <c r="AV265" i="1"/>
  <c r="AR262" i="1"/>
  <c r="AV241" i="1"/>
  <c r="BE238" i="1"/>
  <c r="AZ68" i="1"/>
  <c r="L226" i="1"/>
  <c r="K88" i="1"/>
  <c r="M514" i="1"/>
  <c r="L532" i="1"/>
  <c r="BB262" i="1"/>
  <c r="G623" i="1"/>
  <c r="AX623" i="1" s="1"/>
  <c r="AR401" i="1"/>
  <c r="AV326" i="1"/>
  <c r="BC238" i="1"/>
  <c r="I238" i="1"/>
  <c r="BD172" i="1"/>
  <c r="BE166" i="1"/>
  <c r="AZ157" i="1"/>
  <c r="L429" i="1"/>
  <c r="L418" i="1"/>
  <c r="K408" i="1"/>
  <c r="L330" i="1"/>
  <c r="M219" i="1"/>
  <c r="BB219" i="1"/>
  <c r="K612" i="1"/>
  <c r="L612" i="1"/>
  <c r="K729" i="1"/>
  <c r="L729" i="1"/>
  <c r="BB454" i="1"/>
  <c r="M454" i="1"/>
  <c r="AR395" i="1"/>
  <c r="BA395" i="1"/>
  <c r="L395" i="1"/>
  <c r="K395" i="1"/>
  <c r="AS152" i="1"/>
  <c r="M152" i="1"/>
  <c r="AR91" i="1"/>
  <c r="K91" i="1"/>
  <c r="AZ36" i="1"/>
  <c r="L696" i="1"/>
  <c r="M622" i="1"/>
  <c r="I604" i="1"/>
  <c r="BA601" i="1"/>
  <c r="W516" i="1"/>
  <c r="AR516" i="1" s="1"/>
  <c r="BA441" i="1"/>
  <c r="G435" i="1"/>
  <c r="K435" i="1" s="1"/>
  <c r="BA296" i="1"/>
  <c r="I265" i="1"/>
  <c r="L265" i="1" s="1"/>
  <c r="AZ227" i="1"/>
  <c r="AW173" i="1"/>
  <c r="M579" i="1"/>
  <c r="K296" i="1"/>
  <c r="BF442" i="1"/>
  <c r="K440" i="1"/>
  <c r="K410" i="1"/>
  <c r="AV410" i="1"/>
  <c r="BD278" i="1"/>
  <c r="AS261" i="1"/>
  <c r="BB261" i="1"/>
  <c r="AZ243" i="1"/>
  <c r="AU196" i="1"/>
  <c r="BD196" i="1"/>
  <c r="BE88" i="1"/>
  <c r="L79" i="1"/>
  <c r="L260" i="1"/>
  <c r="M471" i="1"/>
  <c r="L410" i="1"/>
  <c r="L245" i="1"/>
  <c r="AZ229" i="1"/>
  <c r="AR129" i="1"/>
  <c r="K129" i="1"/>
  <c r="M125" i="1"/>
  <c r="K121" i="1"/>
  <c r="BA121" i="1"/>
  <c r="L121" i="1"/>
  <c r="AZ8" i="1"/>
  <c r="S802" i="1"/>
  <c r="AV802" i="1" s="1"/>
  <c r="AS742" i="1"/>
  <c r="M742" i="1"/>
  <c r="S726" i="1"/>
  <c r="BB666" i="1"/>
  <c r="L311" i="1"/>
  <c r="K311" i="1"/>
  <c r="BA311" i="1"/>
  <c r="M211" i="1"/>
  <c r="AY172" i="1"/>
  <c r="AV92" i="1"/>
  <c r="K92" i="1"/>
  <c r="AR59" i="1"/>
  <c r="K59" i="1"/>
  <c r="M212" i="1"/>
  <c r="K820" i="1"/>
  <c r="L820" i="1"/>
  <c r="AR496" i="1"/>
  <c r="K496" i="1"/>
  <c r="L496" i="1"/>
  <c r="L367" i="1"/>
  <c r="K367" i="1"/>
  <c r="G280" i="1"/>
  <c r="L212" i="1"/>
  <c r="K770" i="1"/>
  <c r="L770" i="1"/>
  <c r="K765" i="1"/>
  <c r="L765" i="1"/>
  <c r="M734" i="1"/>
  <c r="AS734" i="1"/>
  <c r="BD648" i="1"/>
  <c r="BB624" i="1"/>
  <c r="M624" i="1"/>
  <c r="AR352" i="1"/>
  <c r="BC70" i="1"/>
  <c r="AT70" i="1"/>
  <c r="BC60" i="1"/>
  <c r="BE604" i="1"/>
  <c r="AS506" i="1"/>
  <c r="M506" i="1"/>
  <c r="BA465" i="1"/>
  <c r="AX453" i="1"/>
  <c r="AU453" i="1"/>
  <c r="AV348" i="1"/>
  <c r="BA348" i="1"/>
  <c r="AR337" i="1"/>
  <c r="BA337" i="1"/>
  <c r="K289" i="1"/>
  <c r="L289" i="1"/>
  <c r="AZ280" i="1"/>
  <c r="AR161" i="1"/>
  <c r="AV59" i="1"/>
  <c r="AX40" i="1"/>
  <c r="AU40" i="1"/>
  <c r="K818" i="1"/>
  <c r="L818" i="1"/>
  <c r="AS816" i="1"/>
  <c r="M816" i="1"/>
  <c r="AR693" i="1"/>
  <c r="M655" i="1"/>
  <c r="AT312" i="1"/>
  <c r="AR285" i="1"/>
  <c r="I109" i="1"/>
  <c r="L63" i="1"/>
  <c r="BF820" i="1"/>
  <c r="K816" i="1"/>
  <c r="L816" i="1"/>
  <c r="AS735" i="1"/>
  <c r="I726" i="1"/>
  <c r="AT726" i="1"/>
  <c r="W666" i="1"/>
  <c r="BE593" i="1"/>
  <c r="BF592" i="1"/>
  <c r="W586" i="1"/>
  <c r="BA586" i="1" s="1"/>
  <c r="AR545" i="1"/>
  <c r="W488" i="1"/>
  <c r="AR488" i="1" s="1"/>
  <c r="AU347" i="1"/>
  <c r="BF312" i="1"/>
  <c r="K187" i="1"/>
  <c r="BA187" i="1"/>
  <c r="BA160" i="1"/>
  <c r="K160" i="1"/>
  <c r="AS153" i="1"/>
  <c r="AW153" i="1"/>
  <c r="AV145" i="1"/>
  <c r="I88" i="1"/>
  <c r="L88" i="1" s="1"/>
  <c r="AR85" i="1"/>
  <c r="AX69" i="1"/>
  <c r="G64" i="1"/>
  <c r="K64" i="1" s="1"/>
  <c r="AP46" i="1"/>
  <c r="BD40" i="1"/>
  <c r="K145" i="1"/>
  <c r="L527" i="1"/>
  <c r="G819" i="1"/>
  <c r="AU819" i="1" s="1"/>
  <c r="BB622" i="1"/>
  <c r="M512" i="1"/>
  <c r="AS512" i="1"/>
  <c r="AS750" i="1"/>
  <c r="M750" i="1"/>
  <c r="AS741" i="1"/>
  <c r="M741" i="1"/>
  <c r="AS693" i="1"/>
  <c r="M654" i="1"/>
  <c r="AS827" i="1"/>
  <c r="BF790" i="1"/>
  <c r="I599" i="1"/>
  <c r="BC599" i="1"/>
  <c r="AS820" i="1"/>
  <c r="AT784" i="1"/>
  <c r="G783" i="1"/>
  <c r="AU783" i="1" s="1"/>
  <c r="AS733" i="1"/>
  <c r="K681" i="1"/>
  <c r="BA681" i="1"/>
  <c r="M658" i="1"/>
  <c r="BE607" i="1"/>
  <c r="AR468" i="1"/>
  <c r="AZ453" i="1"/>
  <c r="AV395" i="1"/>
  <c r="AW355" i="1"/>
  <c r="AS262" i="1"/>
  <c r="AS252" i="1"/>
  <c r="L252" i="1"/>
  <c r="BB252" i="1"/>
  <c r="AW240" i="1"/>
  <c r="M240" i="1"/>
  <c r="M213" i="1"/>
  <c r="AW213" i="1"/>
  <c r="K153" i="1"/>
  <c r="L153" i="1"/>
  <c r="AV153" i="1"/>
  <c r="L25" i="1"/>
  <c r="K569" i="1"/>
  <c r="AR569" i="1"/>
  <c r="M557" i="1"/>
  <c r="AS830" i="1"/>
  <c r="M830" i="1"/>
  <c r="AS729" i="1"/>
  <c r="M729" i="1"/>
  <c r="AZ270" i="1"/>
  <c r="L125" i="1"/>
  <c r="AV125" i="1"/>
  <c r="AZ77" i="1"/>
  <c r="BC71" i="1"/>
  <c r="M511" i="1"/>
  <c r="S803" i="1"/>
  <c r="AS788" i="1"/>
  <c r="M788" i="1"/>
  <c r="K744" i="1"/>
  <c r="L744" i="1"/>
  <c r="G363" i="1"/>
  <c r="K363" i="1" s="1"/>
  <c r="AU230" i="1"/>
  <c r="AY228" i="1"/>
  <c r="M481" i="1"/>
  <c r="AS481" i="1"/>
  <c r="BF786" i="1"/>
  <c r="AS757" i="1"/>
  <c r="M757" i="1"/>
  <c r="AS738" i="1"/>
  <c r="AS708" i="1"/>
  <c r="BB654" i="1"/>
  <c r="BB653" i="1"/>
  <c r="M641" i="1"/>
  <c r="AR542" i="1"/>
  <c r="K542" i="1"/>
  <c r="K509" i="1"/>
  <c r="L509" i="1"/>
  <c r="K417" i="1"/>
  <c r="BA417" i="1"/>
  <c r="G225" i="1"/>
  <c r="K225" i="1" s="1"/>
  <c r="AV205" i="1"/>
  <c r="BD131" i="1"/>
  <c r="AU129" i="1"/>
  <c r="M126" i="1"/>
  <c r="AS126" i="1"/>
  <c r="BA123" i="1"/>
  <c r="L123" i="1"/>
  <c r="L520" i="1"/>
  <c r="M26" i="1"/>
  <c r="BF584" i="1"/>
  <c r="W551" i="1"/>
  <c r="AR551" i="1" s="1"/>
  <c r="AR520" i="1"/>
  <c r="K520" i="1"/>
  <c r="W490" i="1"/>
  <c r="AV490" i="1" s="1"/>
  <c r="W484" i="1"/>
  <c r="AR484" i="1" s="1"/>
  <c r="BB463" i="1"/>
  <c r="M463" i="1"/>
  <c r="AV398" i="1"/>
  <c r="AZ355" i="1"/>
  <c r="K262" i="1"/>
  <c r="L262" i="1"/>
  <c r="AY210" i="1"/>
  <c r="AT188" i="1"/>
  <c r="AP168" i="1"/>
  <c r="BF168" i="1" s="1"/>
  <c r="AP169" i="1"/>
  <c r="BF169" i="1" s="1"/>
  <c r="AX154" i="1"/>
  <c r="BA133" i="1"/>
  <c r="AR133" i="1"/>
  <c r="AT43" i="1"/>
  <c r="K245" i="1"/>
  <c r="L355" i="1"/>
  <c r="BA325" i="1"/>
  <c r="K325" i="1"/>
  <c r="L325" i="1"/>
  <c r="AZ319" i="1"/>
  <c r="K261" i="1"/>
  <c r="L261" i="1"/>
  <c r="AR224" i="1"/>
  <c r="K217" i="1"/>
  <c r="L217" i="1"/>
  <c r="AT194" i="1"/>
  <c r="K159" i="1"/>
  <c r="K154" i="1"/>
  <c r="AT55" i="1"/>
  <c r="AZ22" i="1"/>
  <c r="L224" i="1"/>
  <c r="L156" i="1"/>
  <c r="BF587" i="1"/>
  <c r="K481" i="1"/>
  <c r="L481" i="1"/>
  <c r="K458" i="1"/>
  <c r="L458" i="1"/>
  <c r="AX376" i="1"/>
  <c r="AR334" i="1"/>
  <c r="K334" i="1"/>
  <c r="L334" i="1"/>
  <c r="AY321" i="1"/>
  <c r="BE273" i="1"/>
  <c r="BC257" i="1"/>
  <c r="K235" i="1"/>
  <c r="AX139" i="1"/>
  <c r="I129" i="1"/>
  <c r="AW129" i="1" s="1"/>
  <c r="I97" i="1"/>
  <c r="BB97" i="1" s="1"/>
  <c r="I91" i="1"/>
  <c r="M91" i="1" s="1"/>
  <c r="L7" i="1"/>
  <c r="K224" i="1"/>
  <c r="W581" i="1"/>
  <c r="AV581" i="1" s="1"/>
  <c r="W568" i="1"/>
  <c r="AR568" i="1" s="1"/>
  <c r="S736" i="1"/>
  <c r="BF569" i="1"/>
  <c r="M517" i="1"/>
  <c r="BF489" i="1"/>
  <c r="L486" i="1"/>
  <c r="BF484" i="1"/>
  <c r="W446" i="1"/>
  <c r="BA446" i="1" s="1"/>
  <c r="G438" i="1"/>
  <c r="AU438" i="1" s="1"/>
  <c r="G405" i="1"/>
  <c r="AU405" i="1" s="1"/>
  <c r="AU402" i="1"/>
  <c r="AX402" i="1"/>
  <c r="BD402" i="1"/>
  <c r="G238" i="1"/>
  <c r="BD238" i="1" s="1"/>
  <c r="K94" i="1"/>
  <c r="AV94" i="1"/>
  <c r="BE76" i="1"/>
  <c r="G27" i="1"/>
  <c r="K349" i="1"/>
  <c r="W489" i="1"/>
  <c r="AR489" i="1" s="1"/>
  <c r="G382" i="1"/>
  <c r="K382" i="1" s="1"/>
  <c r="K313" i="1"/>
  <c r="AY299" i="1"/>
  <c r="L220" i="1"/>
  <c r="AT174" i="1"/>
  <c r="AT167" i="1"/>
  <c r="BB156" i="1"/>
  <c r="AT151" i="1"/>
  <c r="K139" i="1"/>
  <c r="BD103" i="1"/>
  <c r="L464" i="1"/>
  <c r="BE446" i="1"/>
  <c r="G441" i="1"/>
  <c r="K441" i="1" s="1"/>
  <c r="AZ439" i="1"/>
  <c r="M355" i="1"/>
  <c r="BA280" i="1"/>
  <c r="AY242" i="1"/>
  <c r="AF187" i="1"/>
  <c r="AP55" i="1"/>
  <c r="BF55" i="1" s="1"/>
  <c r="AT372" i="1"/>
  <c r="K174" i="1"/>
  <c r="BC159" i="1"/>
  <c r="BC17" i="1"/>
  <c r="K401" i="1"/>
  <c r="K644" i="1"/>
  <c r="L644" i="1"/>
  <c r="L593" i="1"/>
  <c r="BA593" i="1"/>
  <c r="K593" i="1"/>
  <c r="AR534" i="1"/>
  <c r="L534" i="1"/>
  <c r="K534" i="1"/>
  <c r="L335" i="1"/>
  <c r="K335" i="1"/>
  <c r="AR335" i="1"/>
  <c r="L257" i="1"/>
  <c r="AZ218" i="1"/>
  <c r="AY166" i="1"/>
  <c r="AV101" i="1"/>
  <c r="K101" i="1"/>
  <c r="AS808" i="1"/>
  <c r="M808" i="1"/>
  <c r="L808" i="1"/>
  <c r="K786" i="1"/>
  <c r="L786" i="1"/>
  <c r="L638" i="1"/>
  <c r="AR498" i="1"/>
  <c r="K498" i="1"/>
  <c r="L498" i="1"/>
  <c r="K339" i="1"/>
  <c r="L339" i="1"/>
  <c r="AS832" i="1"/>
  <c r="M832" i="1"/>
  <c r="AS746" i="1"/>
  <c r="M746" i="1"/>
  <c r="AS705" i="1"/>
  <c r="M705" i="1"/>
  <c r="AS701" i="1"/>
  <c r="M701" i="1"/>
  <c r="BB679" i="1"/>
  <c r="M679" i="1"/>
  <c r="BA647" i="1"/>
  <c r="K647" i="1"/>
  <c r="L647" i="1"/>
  <c r="I775" i="1"/>
  <c r="AT775" i="1"/>
  <c r="AS721" i="1"/>
  <c r="M721" i="1"/>
  <c r="AR697" i="1"/>
  <c r="K697" i="1"/>
  <c r="L697" i="1"/>
  <c r="AS695" i="1"/>
  <c r="M695" i="1"/>
  <c r="K692" i="1"/>
  <c r="L692" i="1"/>
  <c r="BA682" i="1"/>
  <c r="K682" i="1"/>
  <c r="L682" i="1"/>
  <c r="BA672" i="1"/>
  <c r="K672" i="1"/>
  <c r="L672" i="1"/>
  <c r="BA648" i="1"/>
  <c r="K648" i="1"/>
  <c r="L648" i="1"/>
  <c r="BA644" i="1"/>
  <c r="AS633" i="1"/>
  <c r="M633" i="1"/>
  <c r="BB633" i="1"/>
  <c r="I609" i="1"/>
  <c r="BC609" i="1"/>
  <c r="BE609" i="1"/>
  <c r="M540" i="1"/>
  <c r="AR537" i="1"/>
  <c r="K537" i="1"/>
  <c r="L529" i="1"/>
  <c r="K529" i="1"/>
  <c r="AR500" i="1"/>
  <c r="K500" i="1"/>
  <c r="L500" i="1"/>
  <c r="BA459" i="1"/>
  <c r="K459" i="1"/>
  <c r="L459" i="1"/>
  <c r="L445" i="1"/>
  <c r="BA445" i="1"/>
  <c r="AR445" i="1"/>
  <c r="K445" i="1"/>
  <c r="AL402" i="1"/>
  <c r="AZ402" i="1" s="1"/>
  <c r="AY402" i="1"/>
  <c r="L387" i="1"/>
  <c r="K387" i="1"/>
  <c r="AR386" i="1"/>
  <c r="K386" i="1"/>
  <c r="K351" i="1"/>
  <c r="L351" i="1"/>
  <c r="K318" i="1"/>
  <c r="L318" i="1"/>
  <c r="BA318" i="1"/>
  <c r="BA316" i="1"/>
  <c r="L316" i="1"/>
  <c r="K316" i="1"/>
  <c r="AR307" i="1"/>
  <c r="L307" i="1"/>
  <c r="K307" i="1"/>
  <c r="AY249" i="1"/>
  <c r="BB224" i="1"/>
  <c r="M224" i="1"/>
  <c r="BC216" i="1"/>
  <c r="BE216" i="1"/>
  <c r="AT216" i="1"/>
  <c r="K197" i="1"/>
  <c r="AZ182" i="1"/>
  <c r="K157" i="1"/>
  <c r="L157" i="1"/>
  <c r="BA157" i="1"/>
  <c r="AR157" i="1"/>
  <c r="AZ63" i="1"/>
  <c r="M627" i="1"/>
  <c r="AS627" i="1"/>
  <c r="L489" i="1"/>
  <c r="K810" i="1"/>
  <c r="L810" i="1"/>
  <c r="M647" i="1"/>
  <c r="AP363" i="1"/>
  <c r="BF363" i="1" s="1"/>
  <c r="AP358" i="1"/>
  <c r="BF358" i="1" s="1"/>
  <c r="AP360" i="1"/>
  <c r="BF360" i="1" s="1"/>
  <c r="K233" i="1"/>
  <c r="L233" i="1"/>
  <c r="K122" i="1"/>
  <c r="L122" i="1"/>
  <c r="K55" i="1"/>
  <c r="BA629" i="1"/>
  <c r="K629" i="1"/>
  <c r="L629" i="1"/>
  <c r="AW459" i="1"/>
  <c r="M459" i="1"/>
  <c r="BB459" i="1"/>
  <c r="L363" i="1"/>
  <c r="AS719" i="1"/>
  <c r="M719" i="1"/>
  <c r="AR712" i="1"/>
  <c r="K712" i="1"/>
  <c r="L712" i="1"/>
  <c r="BA684" i="1"/>
  <c r="K684" i="1"/>
  <c r="L684" i="1"/>
  <c r="BA668" i="1"/>
  <c r="K668" i="1"/>
  <c r="L668" i="1"/>
  <c r="BA632" i="1"/>
  <c r="K632" i="1"/>
  <c r="L632" i="1"/>
  <c r="BA631" i="1"/>
  <c r="K631" i="1"/>
  <c r="L631" i="1"/>
  <c r="AR577" i="1"/>
  <c r="L577" i="1"/>
  <c r="K577" i="1"/>
  <c r="AR572" i="1"/>
  <c r="K572" i="1"/>
  <c r="L572" i="1"/>
  <c r="M530" i="1"/>
  <c r="K523" i="1"/>
  <c r="L523" i="1"/>
  <c r="AR523" i="1"/>
  <c r="AS501" i="1"/>
  <c r="M501" i="1"/>
  <c r="K460" i="1"/>
  <c r="L460" i="1"/>
  <c r="AV455" i="1"/>
  <c r="L455" i="1"/>
  <c r="K455" i="1"/>
  <c r="K358" i="1"/>
  <c r="L358" i="1"/>
  <c r="AS802" i="1"/>
  <c r="AS777" i="1"/>
  <c r="M777" i="1"/>
  <c r="K774" i="1"/>
  <c r="L774" i="1"/>
  <c r="AS772" i="1"/>
  <c r="M772" i="1"/>
  <c r="AS770" i="1"/>
  <c r="M770" i="1"/>
  <c r="K767" i="1"/>
  <c r="K727" i="1"/>
  <c r="L727" i="1"/>
  <c r="AR721" i="1"/>
  <c r="K721" i="1"/>
  <c r="L721" i="1"/>
  <c r="K719" i="1"/>
  <c r="L719" i="1"/>
  <c r="AR719" i="1"/>
  <c r="AS717" i="1"/>
  <c r="M717" i="1"/>
  <c r="L717" i="1"/>
  <c r="AR695" i="1"/>
  <c r="K695" i="1"/>
  <c r="L695" i="1"/>
  <c r="BB634" i="1"/>
  <c r="M634" i="1"/>
  <c r="AS634" i="1"/>
  <c r="BA633" i="1"/>
  <c r="K633" i="1"/>
  <c r="L633" i="1"/>
  <c r="BA609" i="1"/>
  <c r="K609" i="1"/>
  <c r="K602" i="1"/>
  <c r="K596" i="1"/>
  <c r="BB587" i="1"/>
  <c r="BF582" i="1"/>
  <c r="AR566" i="1"/>
  <c r="L566" i="1"/>
  <c r="K566" i="1"/>
  <c r="L565" i="1"/>
  <c r="K565" i="1"/>
  <c r="M539" i="1"/>
  <c r="AS539" i="1"/>
  <c r="K512" i="1"/>
  <c r="L512" i="1"/>
  <c r="AR512" i="1"/>
  <c r="M502" i="1"/>
  <c r="AS502" i="1"/>
  <c r="L501" i="1"/>
  <c r="AR501" i="1"/>
  <c r="K501" i="1"/>
  <c r="L409" i="1"/>
  <c r="K409" i="1"/>
  <c r="K402" i="1"/>
  <c r="L402" i="1"/>
  <c r="AR329" i="1"/>
  <c r="K329" i="1"/>
  <c r="L329" i="1"/>
  <c r="AV329" i="1"/>
  <c r="K327" i="1"/>
  <c r="L327" i="1"/>
  <c r="L323" i="1"/>
  <c r="K323" i="1"/>
  <c r="AW312" i="1"/>
  <c r="M312" i="1"/>
  <c r="BB312" i="1"/>
  <c r="L302" i="1"/>
  <c r="K302" i="1"/>
  <c r="L293" i="1"/>
  <c r="K293" i="1"/>
  <c r="AR293" i="1"/>
  <c r="K259" i="1"/>
  <c r="L259" i="1"/>
  <c r="AP225" i="1"/>
  <c r="BF225" i="1" s="1"/>
  <c r="AP231" i="1"/>
  <c r="K207" i="1"/>
  <c r="AY197" i="1"/>
  <c r="K168" i="1"/>
  <c r="AU75" i="1"/>
  <c r="K75" i="1"/>
  <c r="K558" i="1"/>
  <c r="L558" i="1"/>
  <c r="AR558" i="1"/>
  <c r="M549" i="1"/>
  <c r="AR497" i="1"/>
  <c r="L497" i="1"/>
  <c r="K497" i="1"/>
  <c r="L483" i="1"/>
  <c r="K483" i="1"/>
  <c r="M279" i="1"/>
  <c r="AW279" i="1"/>
  <c r="BB279" i="1"/>
  <c r="AY175" i="1"/>
  <c r="AT53" i="1"/>
  <c r="AS806" i="1"/>
  <c r="M806" i="1"/>
  <c r="K800" i="1"/>
  <c r="L800" i="1"/>
  <c r="AS794" i="1"/>
  <c r="M794" i="1"/>
  <c r="K651" i="1"/>
  <c r="L651" i="1"/>
  <c r="AR549" i="1"/>
  <c r="L549" i="1"/>
  <c r="K549" i="1"/>
  <c r="W539" i="1"/>
  <c r="AR539" i="1" s="1"/>
  <c r="AS269" i="1"/>
  <c r="M269" i="1"/>
  <c r="AW269" i="1"/>
  <c r="K804" i="1"/>
  <c r="L804" i="1"/>
  <c r="AS748" i="1"/>
  <c r="M748" i="1"/>
  <c r="AR528" i="1"/>
  <c r="K528" i="1"/>
  <c r="L528" i="1"/>
  <c r="AV345" i="1"/>
  <c r="L345" i="1"/>
  <c r="K345" i="1"/>
  <c r="BB282" i="1"/>
  <c r="M282" i="1"/>
  <c r="BA248" i="1"/>
  <c r="K248" i="1"/>
  <c r="L248" i="1"/>
  <c r="AY202" i="1"/>
  <c r="K198" i="1"/>
  <c r="K172" i="1"/>
  <c r="BA172" i="1"/>
  <c r="K701" i="1"/>
  <c r="AR701" i="1"/>
  <c r="L701" i="1"/>
  <c r="M678" i="1"/>
  <c r="BB678" i="1"/>
  <c r="M793" i="1"/>
  <c r="AS793" i="1"/>
  <c r="AS724" i="1"/>
  <c r="M724" i="1"/>
  <c r="BF819" i="1"/>
  <c r="BF615" i="1"/>
  <c r="BE615" i="1"/>
  <c r="AR541" i="1"/>
  <c r="L541" i="1"/>
  <c r="K541" i="1"/>
  <c r="AS833" i="1"/>
  <c r="M833" i="1"/>
  <c r="M831" i="1"/>
  <c r="AS831" i="1"/>
  <c r="AS823" i="1"/>
  <c r="M823" i="1"/>
  <c r="S817" i="1"/>
  <c r="AV817" i="1" s="1"/>
  <c r="BF815" i="1"/>
  <c r="BE815" i="1"/>
  <c r="BF813" i="1"/>
  <c r="K807" i="1"/>
  <c r="L807" i="1"/>
  <c r="BE794" i="1"/>
  <c r="BF794" i="1"/>
  <c r="AS784" i="1"/>
  <c r="K752" i="1"/>
  <c r="L752" i="1"/>
  <c r="K750" i="1"/>
  <c r="L750" i="1"/>
  <c r="I749" i="1"/>
  <c r="AW749" i="1" s="1"/>
  <c r="AS747" i="1"/>
  <c r="M747" i="1"/>
  <c r="M745" i="1"/>
  <c r="AS745" i="1"/>
  <c r="AS715" i="1"/>
  <c r="M715" i="1"/>
  <c r="K708" i="1"/>
  <c r="L708" i="1"/>
  <c r="AR708" i="1"/>
  <c r="AS706" i="1"/>
  <c r="M706" i="1"/>
  <c r="AS704" i="1"/>
  <c r="M704" i="1"/>
  <c r="AS702" i="1"/>
  <c r="M702" i="1"/>
  <c r="BA669" i="1"/>
  <c r="K669" i="1"/>
  <c r="L669" i="1"/>
  <c r="BB661" i="1"/>
  <c r="M661" i="1"/>
  <c r="W652" i="1"/>
  <c r="BA652" i="1" s="1"/>
  <c r="AS619" i="1"/>
  <c r="M619" i="1"/>
  <c r="BA590" i="1"/>
  <c r="K590" i="1"/>
  <c r="L590" i="1"/>
  <c r="BA588" i="1"/>
  <c r="L588" i="1"/>
  <c r="BA582" i="1"/>
  <c r="K582" i="1"/>
  <c r="AR582" i="1"/>
  <c r="L546" i="1"/>
  <c r="K546" i="1"/>
  <c r="BB470" i="1"/>
  <c r="M470" i="1"/>
  <c r="AR450" i="1"/>
  <c r="L450" i="1"/>
  <c r="K450" i="1"/>
  <c r="AV445" i="1"/>
  <c r="AT430" i="1"/>
  <c r="I430" i="1"/>
  <c r="AW430" i="1" s="1"/>
  <c r="BC430" i="1"/>
  <c r="BB371" i="1"/>
  <c r="AW371" i="1"/>
  <c r="K353" i="1"/>
  <c r="L353" i="1"/>
  <c r="AV353" i="1"/>
  <c r="AR350" i="1"/>
  <c r="K350" i="1"/>
  <c r="BA350" i="1"/>
  <c r="L350" i="1"/>
  <c r="AY278" i="1"/>
  <c r="G277" i="1"/>
  <c r="AX277" i="1" s="1"/>
  <c r="BB250" i="1"/>
  <c r="M250" i="1"/>
  <c r="AW250" i="1"/>
  <c r="AU207" i="1"/>
  <c r="BD207" i="1"/>
  <c r="K206" i="1"/>
  <c r="K194" i="1"/>
  <c r="L194" i="1"/>
  <c r="AP188" i="1"/>
  <c r="BF188" i="1" s="1"/>
  <c r="M181" i="1"/>
  <c r="L181" i="1"/>
  <c r="M151" i="1"/>
  <c r="L151" i="1"/>
  <c r="AT148" i="1"/>
  <c r="I148" i="1"/>
  <c r="AS148" i="1" s="1"/>
  <c r="AP143" i="1"/>
  <c r="BF143" i="1" s="1"/>
  <c r="AP145" i="1"/>
  <c r="BF145" i="1" s="1"/>
  <c r="AP140" i="1"/>
  <c r="BF140" i="1" s="1"/>
  <c r="AP142" i="1"/>
  <c r="BF142" i="1" s="1"/>
  <c r="AY6" i="1"/>
  <c r="L643" i="1"/>
  <c r="AS571" i="1"/>
  <c r="M571" i="1"/>
  <c r="AR494" i="1"/>
  <c r="L494" i="1"/>
  <c r="K494" i="1"/>
  <c r="AR487" i="1"/>
  <c r="L487" i="1"/>
  <c r="AR422" i="1"/>
  <c r="K422" i="1"/>
  <c r="L422" i="1"/>
  <c r="BA584" i="1"/>
  <c r="K584" i="1"/>
  <c r="AR584" i="1"/>
  <c r="M561" i="1"/>
  <c r="AR303" i="1"/>
  <c r="K303" i="1"/>
  <c r="L303" i="1"/>
  <c r="BA279" i="1"/>
  <c r="L279" i="1"/>
  <c r="AR279" i="1"/>
  <c r="AO220" i="1"/>
  <c r="AP222" i="1" s="1"/>
  <c r="BF222" i="1" s="1"/>
  <c r="AD177" i="1"/>
  <c r="I177" i="1" s="1"/>
  <c r="AD178" i="1"/>
  <c r="I178" i="1" s="1"/>
  <c r="K148" i="1"/>
  <c r="BD120" i="1"/>
  <c r="AU120" i="1"/>
  <c r="AX120" i="1"/>
  <c r="M120" i="1"/>
  <c r="AS753" i="1"/>
  <c r="M753" i="1"/>
  <c r="BA686" i="1"/>
  <c r="K686" i="1"/>
  <c r="L686" i="1"/>
  <c r="BA656" i="1"/>
  <c r="K656" i="1"/>
  <c r="L656" i="1"/>
  <c r="K539" i="1"/>
  <c r="L539" i="1"/>
  <c r="AS536" i="1"/>
  <c r="M536" i="1"/>
  <c r="L536" i="1"/>
  <c r="M522" i="1"/>
  <c r="AR521" i="1"/>
  <c r="L521" i="1"/>
  <c r="K521" i="1"/>
  <c r="AR499" i="1"/>
  <c r="K499" i="1"/>
  <c r="L499" i="1"/>
  <c r="BA426" i="1"/>
  <c r="K426" i="1"/>
  <c r="L426" i="1"/>
  <c r="I382" i="1"/>
  <c r="AS382" i="1" s="1"/>
  <c r="BE382" i="1"/>
  <c r="BE102" i="1"/>
  <c r="AS814" i="1"/>
  <c r="M814" i="1"/>
  <c r="S764" i="1"/>
  <c r="AV764" i="1" s="1"/>
  <c r="AS712" i="1"/>
  <c r="M712" i="1"/>
  <c r="AR699" i="1"/>
  <c r="K699" i="1"/>
  <c r="L699" i="1"/>
  <c r="BB682" i="1"/>
  <c r="M682" i="1"/>
  <c r="BA679" i="1"/>
  <c r="K679" i="1"/>
  <c r="L679" i="1"/>
  <c r="L642" i="1"/>
  <c r="K595" i="1"/>
  <c r="I585" i="1"/>
  <c r="BE585" i="1"/>
  <c r="AT585" i="1"/>
  <c r="BA396" i="1"/>
  <c r="L396" i="1"/>
  <c r="K396" i="1"/>
  <c r="AV396" i="1"/>
  <c r="K347" i="1"/>
  <c r="L347" i="1"/>
  <c r="AR65" i="1"/>
  <c r="AV65" i="1"/>
  <c r="BA65" i="1"/>
  <c r="K65" i="1"/>
  <c r="L634" i="1"/>
  <c r="K634" i="1"/>
  <c r="BA634" i="1"/>
  <c r="AR476" i="1"/>
  <c r="K476" i="1"/>
  <c r="L476" i="1"/>
  <c r="BB220" i="1"/>
  <c r="M174" i="1"/>
  <c r="L174" i="1"/>
  <c r="K138" i="1"/>
  <c r="BE116" i="1"/>
  <c r="I116" i="1"/>
  <c r="BB116" i="1" s="1"/>
  <c r="BE64" i="1"/>
  <c r="BC64" i="1"/>
  <c r="I64" i="1"/>
  <c r="BB64" i="1" s="1"/>
  <c r="AT64" i="1"/>
  <c r="L386" i="1"/>
  <c r="K828" i="1"/>
  <c r="L828" i="1"/>
  <c r="AS819" i="1"/>
  <c r="AS807" i="1"/>
  <c r="M807" i="1"/>
  <c r="M805" i="1"/>
  <c r="AS805" i="1"/>
  <c r="K793" i="1"/>
  <c r="L793" i="1"/>
  <c r="K787" i="1"/>
  <c r="L787" i="1"/>
  <c r="K781" i="1"/>
  <c r="L781" i="1"/>
  <c r="BA649" i="1"/>
  <c r="K649" i="1"/>
  <c r="L649" i="1"/>
  <c r="AS614" i="1"/>
  <c r="L614" i="1"/>
  <c r="BC597" i="1"/>
  <c r="I597" i="1"/>
  <c r="AR578" i="1"/>
  <c r="L578" i="1"/>
  <c r="AR573" i="1"/>
  <c r="L573" i="1"/>
  <c r="K573" i="1"/>
  <c r="L515" i="1"/>
  <c r="K515" i="1"/>
  <c r="AR515" i="1"/>
  <c r="AR483" i="1"/>
  <c r="K472" i="1"/>
  <c r="L472" i="1"/>
  <c r="AR471" i="1"/>
  <c r="K471" i="1"/>
  <c r="AV279" i="1"/>
  <c r="BC278" i="1"/>
  <c r="BE278" i="1"/>
  <c r="K272" i="1"/>
  <c r="L272" i="1"/>
  <c r="AY227" i="1"/>
  <c r="K214" i="1"/>
  <c r="K182" i="1"/>
  <c r="K487" i="1"/>
  <c r="AS826" i="1"/>
  <c r="M826" i="1"/>
  <c r="BF818" i="1"/>
  <c r="BF749" i="1"/>
  <c r="K747" i="1"/>
  <c r="L747" i="1"/>
  <c r="K743" i="1"/>
  <c r="L743" i="1"/>
  <c r="K739" i="1"/>
  <c r="L739" i="1"/>
  <c r="K734" i="1"/>
  <c r="L734" i="1"/>
  <c r="AS730" i="1"/>
  <c r="M730" i="1"/>
  <c r="AS728" i="1"/>
  <c r="M728" i="1"/>
  <c r="AS713" i="1"/>
  <c r="M713" i="1"/>
  <c r="AR704" i="1"/>
  <c r="K704" i="1"/>
  <c r="L704" i="1"/>
  <c r="AR702" i="1"/>
  <c r="K702" i="1"/>
  <c r="L702" i="1"/>
  <c r="L681" i="1"/>
  <c r="M681" i="1"/>
  <c r="BB681" i="1"/>
  <c r="AS680" i="1"/>
  <c r="BB637" i="1"/>
  <c r="M637" i="1"/>
  <c r="BA636" i="1"/>
  <c r="K636" i="1"/>
  <c r="L636" i="1"/>
  <c r="M620" i="1"/>
  <c r="AL594" i="1"/>
  <c r="AZ594" i="1" s="1"/>
  <c r="AR485" i="1"/>
  <c r="K485" i="1"/>
  <c r="L485" i="1"/>
  <c r="K473" i="1"/>
  <c r="AR473" i="1"/>
  <c r="BF443" i="1"/>
  <c r="G372" i="1"/>
  <c r="K372" i="1" s="1"/>
  <c r="L369" i="1"/>
  <c r="AV295" i="1"/>
  <c r="L295" i="1"/>
  <c r="K295" i="1"/>
  <c r="L292" i="1"/>
  <c r="K292" i="1"/>
  <c r="AV275" i="1"/>
  <c r="K275" i="1"/>
  <c r="BA263" i="1"/>
  <c r="K263" i="1"/>
  <c r="L263" i="1"/>
  <c r="AR263" i="1"/>
  <c r="AV263" i="1"/>
  <c r="K250" i="1"/>
  <c r="L250" i="1"/>
  <c r="AV207" i="1"/>
  <c r="BA191" i="1"/>
  <c r="K191" i="1"/>
  <c r="K108" i="1"/>
  <c r="L139" i="1"/>
  <c r="M626" i="1"/>
  <c r="L626" i="1"/>
  <c r="K607" i="1"/>
  <c r="L607" i="1"/>
  <c r="BA607" i="1"/>
  <c r="BA594" i="1"/>
  <c r="K594" i="1"/>
  <c r="AR548" i="1"/>
  <c r="K548" i="1"/>
  <c r="L548" i="1"/>
  <c r="BA427" i="1"/>
  <c r="K427" i="1"/>
  <c r="L427" i="1"/>
  <c r="M499" i="1"/>
  <c r="AS499" i="1"/>
  <c r="K751" i="1"/>
  <c r="L751" i="1"/>
  <c r="K707" i="1"/>
  <c r="L707" i="1"/>
  <c r="AR707" i="1"/>
  <c r="AS699" i="1"/>
  <c r="M699" i="1"/>
  <c r="AU676" i="1"/>
  <c r="BD676" i="1"/>
  <c r="BB657" i="1"/>
  <c r="L657" i="1"/>
  <c r="AR561" i="1"/>
  <c r="L561" i="1"/>
  <c r="K561" i="1"/>
  <c r="BE394" i="1"/>
  <c r="AT394" i="1"/>
  <c r="BC394" i="1"/>
  <c r="BB684" i="1"/>
  <c r="M684" i="1"/>
  <c r="BA362" i="1"/>
  <c r="AV362" i="1"/>
  <c r="L362" i="1"/>
  <c r="K362" i="1"/>
  <c r="L310" i="1"/>
  <c r="AV310" i="1"/>
  <c r="K310" i="1"/>
  <c r="BA310" i="1"/>
  <c r="AU218" i="1"/>
  <c r="K203" i="1"/>
  <c r="K142" i="1"/>
  <c r="L142" i="1"/>
  <c r="AP115" i="1"/>
  <c r="K811" i="1"/>
  <c r="L811" i="1"/>
  <c r="AS809" i="1"/>
  <c r="M809" i="1"/>
  <c r="K785" i="1"/>
  <c r="L785" i="1"/>
  <c r="K777" i="1"/>
  <c r="L777" i="1"/>
  <c r="I768" i="1"/>
  <c r="AW768" i="1" s="1"/>
  <c r="AT768" i="1"/>
  <c r="AS710" i="1"/>
  <c r="M710" i="1"/>
  <c r="BA604" i="1"/>
  <c r="AR563" i="1"/>
  <c r="K563" i="1"/>
  <c r="L563" i="1"/>
  <c r="M477" i="1"/>
  <c r="BE437" i="1"/>
  <c r="BC437" i="1"/>
  <c r="I437" i="1"/>
  <c r="M437" i="1" s="1"/>
  <c r="K247" i="1"/>
  <c r="L247" i="1"/>
  <c r="BA673" i="1"/>
  <c r="K673" i="1"/>
  <c r="L673" i="1"/>
  <c r="K833" i="1"/>
  <c r="L833" i="1"/>
  <c r="K831" i="1"/>
  <c r="L831" i="1"/>
  <c r="AS824" i="1"/>
  <c r="K823" i="1"/>
  <c r="L823" i="1"/>
  <c r="AS815" i="1"/>
  <c r="M815" i="1"/>
  <c r="K741" i="1"/>
  <c r="L741" i="1"/>
  <c r="AS737" i="1"/>
  <c r="M737" i="1"/>
  <c r="AS732" i="1"/>
  <c r="M732" i="1"/>
  <c r="AR715" i="1"/>
  <c r="K715" i="1"/>
  <c r="L715" i="1"/>
  <c r="K706" i="1"/>
  <c r="L706" i="1"/>
  <c r="BA641" i="1"/>
  <c r="K641" i="1"/>
  <c r="L641" i="1"/>
  <c r="BE606" i="1"/>
  <c r="BC606" i="1"/>
  <c r="I606" i="1"/>
  <c r="AS829" i="1"/>
  <c r="M829" i="1"/>
  <c r="K826" i="1"/>
  <c r="L826" i="1"/>
  <c r="AS821" i="1"/>
  <c r="M821" i="1"/>
  <c r="AS817" i="1"/>
  <c r="M817" i="1"/>
  <c r="K815" i="1"/>
  <c r="L815" i="1"/>
  <c r="K813" i="1"/>
  <c r="L813" i="1"/>
  <c r="AS812" i="1"/>
  <c r="M803" i="1"/>
  <c r="AS803" i="1"/>
  <c r="G802" i="1"/>
  <c r="AU802" i="1" s="1"/>
  <c r="K796" i="1"/>
  <c r="L796" i="1"/>
  <c r="AS776" i="1"/>
  <c r="M776" i="1"/>
  <c r="I766" i="1"/>
  <c r="AW766" i="1" s="1"/>
  <c r="AT766" i="1"/>
  <c r="BB670" i="1"/>
  <c r="M670" i="1"/>
  <c r="L618" i="1"/>
  <c r="K618" i="1"/>
  <c r="M617" i="1"/>
  <c r="BB617" i="1"/>
  <c r="K616" i="1"/>
  <c r="BA616" i="1"/>
  <c r="BA606" i="1"/>
  <c r="K606" i="1"/>
  <c r="M545" i="1"/>
  <c r="AS545" i="1"/>
  <c r="AR533" i="1"/>
  <c r="K533" i="1"/>
  <c r="L533" i="1"/>
  <c r="AR519" i="1"/>
  <c r="K519" i="1"/>
  <c r="L519" i="1"/>
  <c r="AS507" i="1"/>
  <c r="M507" i="1"/>
  <c r="M505" i="1"/>
  <c r="AR415" i="1"/>
  <c r="K415" i="1"/>
  <c r="L415" i="1"/>
  <c r="AV415" i="1"/>
  <c r="K399" i="1"/>
  <c r="L399" i="1"/>
  <c r="AR380" i="1"/>
  <c r="L380" i="1"/>
  <c r="AV380" i="1"/>
  <c r="K380" i="1"/>
  <c r="W376" i="1"/>
  <c r="BA376" i="1" s="1"/>
  <c r="AZ372" i="1"/>
  <c r="AV301" i="1"/>
  <c r="L301" i="1"/>
  <c r="AR301" i="1"/>
  <c r="K301" i="1"/>
  <c r="I299" i="1"/>
  <c r="L299" i="1" s="1"/>
  <c r="BC299" i="1"/>
  <c r="K287" i="1"/>
  <c r="L287" i="1"/>
  <c r="M234" i="1"/>
  <c r="BB234" i="1"/>
  <c r="L229" i="1"/>
  <c r="I216" i="1"/>
  <c r="BD210" i="1"/>
  <c r="AX210" i="1"/>
  <c r="AU201" i="1"/>
  <c r="AX201" i="1"/>
  <c r="AP189" i="1"/>
  <c r="K161" i="1"/>
  <c r="M160" i="1"/>
  <c r="L160" i="1"/>
  <c r="BD96" i="1"/>
  <c r="AU96" i="1"/>
  <c r="K188" i="1"/>
  <c r="K305" i="1"/>
  <c r="K766" i="1"/>
  <c r="BD622" i="1"/>
  <c r="AS498" i="1"/>
  <c r="M498" i="1"/>
  <c r="L336" i="1"/>
  <c r="K336" i="1"/>
  <c r="BA297" i="1"/>
  <c r="K297" i="1"/>
  <c r="L297" i="1"/>
  <c r="K769" i="1"/>
  <c r="BB656" i="1"/>
  <c r="M656" i="1"/>
  <c r="AS652" i="1"/>
  <c r="BA627" i="1"/>
  <c r="K627" i="1"/>
  <c r="L627" i="1"/>
  <c r="AR576" i="1"/>
  <c r="K576" i="1"/>
  <c r="AR571" i="1"/>
  <c r="K571" i="1"/>
  <c r="L571" i="1"/>
  <c r="K560" i="1"/>
  <c r="L560" i="1"/>
  <c r="M535" i="1"/>
  <c r="AS535" i="1"/>
  <c r="AS460" i="1"/>
  <c r="M460" i="1"/>
  <c r="L378" i="1"/>
  <c r="K378" i="1"/>
  <c r="AS703" i="1"/>
  <c r="M703" i="1"/>
  <c r="AR559" i="1"/>
  <c r="K559" i="1"/>
  <c r="L559" i="1"/>
  <c r="K551" i="1"/>
  <c r="L551" i="1"/>
  <c r="BA422" i="1"/>
  <c r="AT355" i="1"/>
  <c r="BB355" i="1"/>
  <c r="K223" i="1"/>
  <c r="AX167" i="1"/>
  <c r="AU167" i="1"/>
  <c r="BD167" i="1"/>
  <c r="K167" i="1"/>
  <c r="AY155" i="1"/>
  <c r="AS142" i="1"/>
  <c r="M142" i="1"/>
  <c r="BA140" i="1"/>
  <c r="K140" i="1"/>
  <c r="AR140" i="1"/>
  <c r="AP132" i="1"/>
  <c r="BF132" i="1" s="1"/>
  <c r="AP133" i="1"/>
  <c r="BF133" i="1" s="1"/>
  <c r="AP129" i="1"/>
  <c r="BF129" i="1" s="1"/>
  <c r="AP130" i="1"/>
  <c r="AR714" i="1"/>
  <c r="K714" i="1"/>
  <c r="L714" i="1"/>
  <c r="AS697" i="1"/>
  <c r="M697" i="1"/>
  <c r="BA690" i="1"/>
  <c r="K690" i="1"/>
  <c r="L690" i="1"/>
  <c r="AZ441" i="1"/>
  <c r="AV300" i="1"/>
  <c r="L300" i="1"/>
  <c r="K300" i="1"/>
  <c r="AP167" i="1"/>
  <c r="BF167" i="1" s="1"/>
  <c r="AP165" i="1"/>
  <c r="BF165" i="1" s="1"/>
  <c r="AP166" i="1"/>
  <c r="BF166" i="1" s="1"/>
  <c r="K113" i="1"/>
  <c r="L342" i="1"/>
  <c r="AS790" i="1"/>
  <c r="M790" i="1"/>
  <c r="BA635" i="1"/>
  <c r="K635" i="1"/>
  <c r="L635" i="1"/>
  <c r="I605" i="1"/>
  <c r="BC605" i="1"/>
  <c r="K462" i="1"/>
  <c r="AR448" i="1"/>
  <c r="L448" i="1"/>
  <c r="BA448" i="1"/>
  <c r="K448" i="1"/>
  <c r="K210" i="1"/>
  <c r="L210" i="1"/>
  <c r="K809" i="1"/>
  <c r="L809" i="1"/>
  <c r="K790" i="1"/>
  <c r="L790" i="1"/>
  <c r="K605" i="1"/>
  <c r="BA605" i="1"/>
  <c r="M503" i="1"/>
  <c r="AS813" i="1"/>
  <c r="M813" i="1"/>
  <c r="K829" i="1"/>
  <c r="L829" i="1"/>
  <c r="K821" i="1"/>
  <c r="L821" i="1"/>
  <c r="AT802" i="1"/>
  <c r="BF800" i="1"/>
  <c r="BE800" i="1"/>
  <c r="AS798" i="1"/>
  <c r="M798" i="1"/>
  <c r="AS791" i="1"/>
  <c r="M791" i="1"/>
  <c r="K780" i="1"/>
  <c r="L780" i="1"/>
  <c r="AT778" i="1"/>
  <c r="I778" i="1"/>
  <c r="AW778" i="1" s="1"/>
  <c r="AR722" i="1"/>
  <c r="K722" i="1"/>
  <c r="L722" i="1"/>
  <c r="AR720" i="1"/>
  <c r="K720" i="1"/>
  <c r="L720" i="1"/>
  <c r="M694" i="1"/>
  <c r="AS694" i="1"/>
  <c r="BB690" i="1"/>
  <c r="BA688" i="1"/>
  <c r="L688" i="1"/>
  <c r="BB680" i="1"/>
  <c r="AS625" i="1"/>
  <c r="M625" i="1"/>
  <c r="BB625" i="1"/>
  <c r="BA621" i="1"/>
  <c r="L621" i="1"/>
  <c r="K621" i="1"/>
  <c r="L617" i="1"/>
  <c r="BA617" i="1"/>
  <c r="K617" i="1"/>
  <c r="BB592" i="1"/>
  <c r="AS592" i="1"/>
  <c r="BA591" i="1"/>
  <c r="K591" i="1"/>
  <c r="L591" i="1"/>
  <c r="BA583" i="1"/>
  <c r="K583" i="1"/>
  <c r="L583" i="1"/>
  <c r="K570" i="1"/>
  <c r="L570" i="1"/>
  <c r="AR570" i="1"/>
  <c r="AL568" i="1"/>
  <c r="AZ568" i="1" s="1"/>
  <c r="M558" i="1"/>
  <c r="K552" i="1"/>
  <c r="L552" i="1"/>
  <c r="AS548" i="1"/>
  <c r="M548" i="1"/>
  <c r="M546" i="1"/>
  <c r="M534" i="1"/>
  <c r="AS534" i="1"/>
  <c r="AS487" i="1"/>
  <c r="M487" i="1"/>
  <c r="AR486" i="1"/>
  <c r="K486" i="1"/>
  <c r="BE456" i="1"/>
  <c r="AR452" i="1"/>
  <c r="AV452" i="1"/>
  <c r="K452" i="1"/>
  <c r="AV448" i="1"/>
  <c r="AV419" i="1"/>
  <c r="L419" i="1"/>
  <c r="K419" i="1"/>
  <c r="AR419" i="1"/>
  <c r="AV409" i="1"/>
  <c r="AR407" i="1"/>
  <c r="L407" i="1"/>
  <c r="BA407" i="1"/>
  <c r="K407" i="1"/>
  <c r="K393" i="1"/>
  <c r="L393" i="1"/>
  <c r="AV392" i="1"/>
  <c r="L392" i="1"/>
  <c r="K392" i="1"/>
  <c r="AR392" i="1"/>
  <c r="AW377" i="1"/>
  <c r="M377" i="1"/>
  <c r="L376" i="1"/>
  <c r="K376" i="1"/>
  <c r="BA214" i="1"/>
  <c r="K201" i="1"/>
  <c r="M194" i="1"/>
  <c r="K193" i="1"/>
  <c r="K186" i="1"/>
  <c r="AZ174" i="1"/>
  <c r="AT166" i="1"/>
  <c r="BD50" i="1"/>
  <c r="AU50" i="1"/>
  <c r="AX50" i="1"/>
  <c r="BD48" i="1"/>
  <c r="AX48" i="1"/>
  <c r="AU48" i="1"/>
  <c r="L234" i="1"/>
  <c r="I111" i="1"/>
  <c r="AW111" i="1" s="1"/>
  <c r="AT111" i="1"/>
  <c r="BC111" i="1"/>
  <c r="AR60" i="1"/>
  <c r="BA60" i="1"/>
  <c r="AS796" i="1"/>
  <c r="M796" i="1"/>
  <c r="AS752" i="1"/>
  <c r="M752" i="1"/>
  <c r="AS736" i="1"/>
  <c r="M736" i="1"/>
  <c r="K710" i="1"/>
  <c r="L710" i="1"/>
  <c r="BB673" i="1"/>
  <c r="M673" i="1"/>
  <c r="BA660" i="1"/>
  <c r="K660" i="1"/>
  <c r="L660" i="1"/>
  <c r="M632" i="1"/>
  <c r="AS631" i="1"/>
  <c r="M631" i="1"/>
  <c r="BA630" i="1"/>
  <c r="L630" i="1"/>
  <c r="K624" i="1"/>
  <c r="L624" i="1"/>
  <c r="BB621" i="1"/>
  <c r="M621" i="1"/>
  <c r="BA620" i="1"/>
  <c r="K620" i="1"/>
  <c r="L620" i="1"/>
  <c r="K619" i="1"/>
  <c r="L619" i="1"/>
  <c r="M618" i="1"/>
  <c r="BF616" i="1"/>
  <c r="BE596" i="1"/>
  <c r="I595" i="1"/>
  <c r="AW595" i="1" s="1"/>
  <c r="BC595" i="1"/>
  <c r="W580" i="1"/>
  <c r="AR580" i="1" s="1"/>
  <c r="AR562" i="1"/>
  <c r="L562" i="1"/>
  <c r="M560" i="1"/>
  <c r="AS529" i="1"/>
  <c r="M523" i="1"/>
  <c r="AR522" i="1"/>
  <c r="L522" i="1"/>
  <c r="K522" i="1"/>
  <c r="AT490" i="1"/>
  <c r="BE490" i="1"/>
  <c r="AR470" i="1"/>
  <c r="K470" i="1"/>
  <c r="BB450" i="1"/>
  <c r="M450" i="1"/>
  <c r="BC382" i="1"/>
  <c r="L379" i="1"/>
  <c r="K379" i="1"/>
  <c r="K377" i="1"/>
  <c r="L377" i="1"/>
  <c r="AZ321" i="1"/>
  <c r="K314" i="1"/>
  <c r="L314" i="1"/>
  <c r="BA314" i="1"/>
  <c r="AV314" i="1"/>
  <c r="BD313" i="1"/>
  <c r="AR299" i="1"/>
  <c r="K299" i="1"/>
  <c r="K278" i="1"/>
  <c r="M263" i="1"/>
  <c r="AW263" i="1"/>
  <c r="K256" i="1"/>
  <c r="L256" i="1"/>
  <c r="AR256" i="1"/>
  <c r="AV252" i="1"/>
  <c r="BB241" i="1"/>
  <c r="M241" i="1"/>
  <c r="AW241" i="1"/>
  <c r="K228" i="1"/>
  <c r="AR219" i="1"/>
  <c r="K219" i="1"/>
  <c r="L219" i="1"/>
  <c r="K218" i="1"/>
  <c r="L218" i="1"/>
  <c r="AR204" i="1"/>
  <c r="K162" i="1"/>
  <c r="AZ160" i="1"/>
  <c r="K158" i="1"/>
  <c r="AV158" i="1"/>
  <c r="L158" i="1"/>
  <c r="AR158" i="1"/>
  <c r="K147" i="1"/>
  <c r="L147" i="1"/>
  <c r="K143" i="1"/>
  <c r="L143" i="1"/>
  <c r="K134" i="1"/>
  <c r="BE111" i="1"/>
  <c r="AX99" i="1"/>
  <c r="M96" i="1"/>
  <c r="BF95" i="1"/>
  <c r="AT91" i="1"/>
  <c r="K72" i="1"/>
  <c r="AV72" i="1"/>
  <c r="L401" i="1"/>
  <c r="AY64" i="1"/>
  <c r="M834" i="1"/>
  <c r="L834" i="1"/>
  <c r="K832" i="1"/>
  <c r="L832" i="1"/>
  <c r="K806" i="1"/>
  <c r="L806" i="1"/>
  <c r="AS804" i="1"/>
  <c r="M804" i="1"/>
  <c r="BF802" i="1"/>
  <c r="AS800" i="1"/>
  <c r="M800" i="1"/>
  <c r="K798" i="1"/>
  <c r="L798" i="1"/>
  <c r="AT764" i="1"/>
  <c r="I764" i="1"/>
  <c r="AW764" i="1" s="1"/>
  <c r="AS763" i="1"/>
  <c r="M763" i="1"/>
  <c r="AS761" i="1"/>
  <c r="M761" i="1"/>
  <c r="AS759" i="1"/>
  <c r="M759" i="1"/>
  <c r="K737" i="1"/>
  <c r="L737" i="1"/>
  <c r="K732" i="1"/>
  <c r="L732" i="1"/>
  <c r="K730" i="1"/>
  <c r="L730" i="1"/>
  <c r="K728" i="1"/>
  <c r="L728" i="1"/>
  <c r="AS722" i="1"/>
  <c r="M722" i="1"/>
  <c r="AS720" i="1"/>
  <c r="M720" i="1"/>
  <c r="K713" i="1"/>
  <c r="L713" i="1"/>
  <c r="M683" i="1"/>
  <c r="BB683" i="1"/>
  <c r="BA677" i="1"/>
  <c r="K677" i="1"/>
  <c r="L677" i="1"/>
  <c r="BA661" i="1"/>
  <c r="K661" i="1"/>
  <c r="L661" i="1"/>
  <c r="M636" i="1"/>
  <c r="AS636" i="1"/>
  <c r="BA626" i="1"/>
  <c r="BA622" i="1"/>
  <c r="K622" i="1"/>
  <c r="L622" i="1"/>
  <c r="BA619" i="1"/>
  <c r="BE616" i="1"/>
  <c r="AU599" i="1"/>
  <c r="BF588" i="1"/>
  <c r="G586" i="1"/>
  <c r="AU586" i="1" s="1"/>
  <c r="M583" i="1"/>
  <c r="W546" i="1"/>
  <c r="AR546" i="1" s="1"/>
  <c r="K514" i="1"/>
  <c r="L514" i="1"/>
  <c r="AR514" i="1"/>
  <c r="AR502" i="1"/>
  <c r="K502" i="1"/>
  <c r="L502" i="1"/>
  <c r="AV451" i="1"/>
  <c r="K451" i="1"/>
  <c r="L451" i="1"/>
  <c r="BA451" i="1"/>
  <c r="AR451" i="1"/>
  <c r="K444" i="1"/>
  <c r="AR444" i="1"/>
  <c r="AV444" i="1"/>
  <c r="K424" i="1"/>
  <c r="L424" i="1"/>
  <c r="BA412" i="1"/>
  <c r="K412" i="1"/>
  <c r="L412" i="1"/>
  <c r="K403" i="1"/>
  <c r="L403" i="1"/>
  <c r="K389" i="1"/>
  <c r="L389" i="1"/>
  <c r="L388" i="1"/>
  <c r="K388" i="1"/>
  <c r="AR388" i="1"/>
  <c r="K361" i="1"/>
  <c r="L361" i="1"/>
  <c r="L288" i="1"/>
  <c r="K288" i="1"/>
  <c r="K286" i="1"/>
  <c r="L286" i="1"/>
  <c r="L282" i="1"/>
  <c r="K282" i="1"/>
  <c r="AR282" i="1"/>
  <c r="BE264" i="1"/>
  <c r="I264" i="1"/>
  <c r="L264" i="1" s="1"/>
  <c r="AT264" i="1"/>
  <c r="L251" i="1"/>
  <c r="K232" i="1"/>
  <c r="AR227" i="1"/>
  <c r="K227" i="1"/>
  <c r="L227" i="1"/>
  <c r="K211" i="1"/>
  <c r="L211" i="1"/>
  <c r="BA211" i="1"/>
  <c r="K209" i="1"/>
  <c r="AX209" i="1"/>
  <c r="AZ120" i="1"/>
  <c r="K115" i="1"/>
  <c r="AV115" i="1"/>
  <c r="K107" i="1"/>
  <c r="AR106" i="1"/>
  <c r="BA105" i="1"/>
  <c r="K105" i="1"/>
  <c r="K104" i="1"/>
  <c r="BA104" i="1"/>
  <c r="AY95" i="1"/>
  <c r="AR93" i="1"/>
  <c r="K93" i="1"/>
  <c r="BC91" i="1"/>
  <c r="K63" i="1"/>
  <c r="M63" i="1"/>
  <c r="AU21" i="1"/>
  <c r="K21" i="1"/>
  <c r="L164" i="1"/>
  <c r="M542" i="1"/>
  <c r="L408" i="1"/>
  <c r="AS725" i="1"/>
  <c r="M725" i="1"/>
  <c r="BA670" i="1"/>
  <c r="K670" i="1"/>
  <c r="L670" i="1"/>
  <c r="BB662" i="1"/>
  <c r="M662" i="1"/>
  <c r="BB644" i="1"/>
  <c r="M644" i="1"/>
  <c r="K637" i="1"/>
  <c r="L637" i="1"/>
  <c r="BF599" i="1"/>
  <c r="BA587" i="1"/>
  <c r="L587" i="1"/>
  <c r="BA585" i="1"/>
  <c r="K585" i="1"/>
  <c r="AS547" i="1"/>
  <c r="M547" i="1"/>
  <c r="W544" i="1"/>
  <c r="AR544" i="1" s="1"/>
  <c r="K517" i="1"/>
  <c r="L517" i="1"/>
  <c r="AR517" i="1"/>
  <c r="L503" i="1"/>
  <c r="K503" i="1"/>
  <c r="AR503" i="1"/>
  <c r="M458" i="1"/>
  <c r="BB458" i="1"/>
  <c r="L453" i="1"/>
  <c r="BA432" i="1"/>
  <c r="L432" i="1"/>
  <c r="K432" i="1"/>
  <c r="AR432" i="1"/>
  <c r="AV423" i="1"/>
  <c r="K423" i="1"/>
  <c r="AR423" i="1"/>
  <c r="AV416" i="1"/>
  <c r="K416" i="1"/>
  <c r="L416" i="1"/>
  <c r="AR416" i="1"/>
  <c r="K411" i="1"/>
  <c r="L411" i="1"/>
  <c r="L360" i="1"/>
  <c r="K360" i="1"/>
  <c r="AR331" i="1"/>
  <c r="K331" i="1"/>
  <c r="L331" i="1"/>
  <c r="AV331" i="1"/>
  <c r="AV290" i="1"/>
  <c r="L290" i="1"/>
  <c r="AR290" i="1"/>
  <c r="K274" i="1"/>
  <c r="L274" i="1"/>
  <c r="L273" i="1"/>
  <c r="AV273" i="1"/>
  <c r="AR269" i="1"/>
  <c r="K269" i="1"/>
  <c r="L269" i="1"/>
  <c r="K267" i="1"/>
  <c r="AY230" i="1"/>
  <c r="K180" i="1"/>
  <c r="BE163" i="1"/>
  <c r="I163" i="1"/>
  <c r="BB163" i="1" s="1"/>
  <c r="AT163" i="1"/>
  <c r="M123" i="1"/>
  <c r="BB123" i="1"/>
  <c r="AY116" i="1"/>
  <c r="BA34" i="1"/>
  <c r="K34" i="1"/>
  <c r="AR34" i="1"/>
  <c r="L625" i="1"/>
  <c r="K562" i="1"/>
  <c r="L457" i="1"/>
  <c r="K355" i="1"/>
  <c r="AT33" i="1"/>
  <c r="BC33" i="1"/>
  <c r="AX18" i="1"/>
  <c r="BE811" i="1"/>
  <c r="BF811" i="1"/>
  <c r="K757" i="1"/>
  <c r="L757" i="1"/>
  <c r="K755" i="1"/>
  <c r="L755" i="1"/>
  <c r="M828" i="1"/>
  <c r="AS828" i="1"/>
  <c r="K825" i="1"/>
  <c r="L825" i="1"/>
  <c r="BF809" i="1"/>
  <c r="BF801" i="1"/>
  <c r="I767" i="1"/>
  <c r="AT767" i="1"/>
  <c r="M751" i="1"/>
  <c r="AS751" i="1"/>
  <c r="BB688" i="1"/>
  <c r="BB686" i="1"/>
  <c r="M686" i="1"/>
  <c r="S678" i="1"/>
  <c r="AV678" i="1" s="1"/>
  <c r="K674" i="1"/>
  <c r="L674" i="1"/>
  <c r="BA674" i="1"/>
  <c r="W643" i="1"/>
  <c r="BA643" i="1" s="1"/>
  <c r="K608" i="1"/>
  <c r="BA608" i="1"/>
  <c r="BF591" i="1"/>
  <c r="BE583" i="1"/>
  <c r="BF580" i="1"/>
  <c r="L557" i="1"/>
  <c r="AR557" i="1"/>
  <c r="K557" i="1"/>
  <c r="AR547" i="1"/>
  <c r="K547" i="1"/>
  <c r="L547" i="1"/>
  <c r="K544" i="1"/>
  <c r="L544" i="1"/>
  <c r="K518" i="1"/>
  <c r="L518" i="1"/>
  <c r="AR518" i="1"/>
  <c r="AR504" i="1"/>
  <c r="K504" i="1"/>
  <c r="L504" i="1"/>
  <c r="AZ456" i="1"/>
  <c r="L454" i="1"/>
  <c r="K454" i="1"/>
  <c r="AZ446" i="1"/>
  <c r="AR431" i="1"/>
  <c r="K431" i="1"/>
  <c r="BA343" i="1"/>
  <c r="K343" i="1"/>
  <c r="L343" i="1"/>
  <c r="K298" i="1"/>
  <c r="L298" i="1"/>
  <c r="AR284" i="1"/>
  <c r="K284" i="1"/>
  <c r="L284" i="1"/>
  <c r="AV284" i="1"/>
  <c r="K276" i="1"/>
  <c r="L276" i="1"/>
  <c r="AV271" i="1"/>
  <c r="I270" i="1"/>
  <c r="BC270" i="1"/>
  <c r="BE270" i="1"/>
  <c r="AW248" i="1"/>
  <c r="AS248" i="1"/>
  <c r="M248" i="1"/>
  <c r="K240" i="1"/>
  <c r="AR240" i="1"/>
  <c r="AY238" i="1"/>
  <c r="AU215" i="1"/>
  <c r="AX215" i="1"/>
  <c r="K195" i="1"/>
  <c r="BA195" i="1"/>
  <c r="K166" i="1"/>
  <c r="K137" i="1"/>
  <c r="AV104" i="1"/>
  <c r="AX102" i="1"/>
  <c r="AW49" i="1"/>
  <c r="M49" i="1"/>
  <c r="L49" i="1"/>
  <c r="K625" i="1"/>
  <c r="K457" i="1"/>
  <c r="L423" i="1"/>
  <c r="BD89" i="1"/>
  <c r="L52" i="1"/>
  <c r="M52" i="1"/>
  <c r="M700" i="1"/>
  <c r="K824" i="1"/>
  <c r="L824" i="1"/>
  <c r="K797" i="1"/>
  <c r="L797" i="1"/>
  <c r="S792" i="1"/>
  <c r="AV792" i="1" s="1"/>
  <c r="K776" i="1"/>
  <c r="L776" i="1"/>
  <c r="AS765" i="1"/>
  <c r="M765" i="1"/>
  <c r="K748" i="1"/>
  <c r="L748" i="1"/>
  <c r="K746" i="1"/>
  <c r="L746" i="1"/>
  <c r="AS744" i="1"/>
  <c r="M744" i="1"/>
  <c r="AR725" i="1"/>
  <c r="K725" i="1"/>
  <c r="L725" i="1"/>
  <c r="BB689" i="1"/>
  <c r="M689" i="1"/>
  <c r="BB687" i="1"/>
  <c r="M687" i="1"/>
  <c r="BA675" i="1"/>
  <c r="K675" i="1"/>
  <c r="L675" i="1"/>
  <c r="BF667" i="1"/>
  <c r="W665" i="1"/>
  <c r="K662" i="1"/>
  <c r="L662" i="1"/>
  <c r="BA658" i="1"/>
  <c r="K658" i="1"/>
  <c r="L658" i="1"/>
  <c r="L652" i="1"/>
  <c r="BF626" i="1"/>
  <c r="BF611" i="1"/>
  <c r="K610" i="1"/>
  <c r="BF600" i="1"/>
  <c r="K598" i="1"/>
  <c r="BA598" i="1"/>
  <c r="G592" i="1"/>
  <c r="M592" i="1" s="1"/>
  <c r="M574" i="1"/>
  <c r="AR567" i="1"/>
  <c r="K567" i="1"/>
  <c r="L567" i="1"/>
  <c r="M564" i="1"/>
  <c r="M544" i="1"/>
  <c r="AR543" i="1"/>
  <c r="K543" i="1"/>
  <c r="L543" i="1"/>
  <c r="K530" i="1"/>
  <c r="L530" i="1"/>
  <c r="M524" i="1"/>
  <c r="AS511" i="1"/>
  <c r="AS509" i="1"/>
  <c r="M509" i="1"/>
  <c r="M508" i="1"/>
  <c r="L507" i="1"/>
  <c r="K507" i="1"/>
  <c r="AR505" i="1"/>
  <c r="K505" i="1"/>
  <c r="L505" i="1"/>
  <c r="AS491" i="1"/>
  <c r="M491" i="1"/>
  <c r="M474" i="1"/>
  <c r="AP468" i="1"/>
  <c r="BF468" i="1" s="1"/>
  <c r="AP465" i="1"/>
  <c r="BF465" i="1" s="1"/>
  <c r="AP466" i="1"/>
  <c r="BF466" i="1" s="1"/>
  <c r="AS464" i="1"/>
  <c r="M464" i="1"/>
  <c r="L443" i="1"/>
  <c r="K443" i="1"/>
  <c r="BF433" i="1"/>
  <c r="AR429" i="1"/>
  <c r="BF400" i="1"/>
  <c r="AV354" i="1"/>
  <c r="L354" i="1"/>
  <c r="AR349" i="1"/>
  <c r="AR241" i="1"/>
  <c r="AR236" i="1"/>
  <c r="M217" i="1"/>
  <c r="AY209" i="1"/>
  <c r="K179" i="1"/>
  <c r="M173" i="1"/>
  <c r="AU156" i="1"/>
  <c r="M156" i="1"/>
  <c r="AS121" i="1"/>
  <c r="M121" i="1"/>
  <c r="BD90" i="1"/>
  <c r="AV80" i="1"/>
  <c r="L80" i="1"/>
  <c r="BA80" i="1"/>
  <c r="K73" i="1"/>
  <c r="L73" i="1"/>
  <c r="AL41" i="1"/>
  <c r="AS7" i="1"/>
  <c r="AW7" i="1"/>
  <c r="L506" i="1"/>
  <c r="K354" i="1"/>
  <c r="M653" i="1"/>
  <c r="M762" i="1"/>
  <c r="L738" i="1"/>
  <c r="M714" i="1"/>
  <c r="BC48" i="1"/>
  <c r="AZ40" i="1"/>
  <c r="AT11" i="1"/>
  <c r="K830" i="1"/>
  <c r="L830" i="1"/>
  <c r="K827" i="1"/>
  <c r="L827" i="1"/>
  <c r="AS822" i="1"/>
  <c r="M822" i="1"/>
  <c r="K801" i="1"/>
  <c r="L801" i="1"/>
  <c r="AS792" i="1"/>
  <c r="M792" i="1"/>
  <c r="AS789" i="1"/>
  <c r="M789" i="1"/>
  <c r="K768" i="1"/>
  <c r="AS740" i="1"/>
  <c r="M740" i="1"/>
  <c r="K735" i="1"/>
  <c r="L735" i="1"/>
  <c r="AR718" i="1"/>
  <c r="K718" i="1"/>
  <c r="L718" i="1"/>
  <c r="AR700" i="1"/>
  <c r="K700" i="1"/>
  <c r="L700" i="1"/>
  <c r="AS698" i="1"/>
  <c r="M698" i="1"/>
  <c r="BA689" i="1"/>
  <c r="K689" i="1"/>
  <c r="L689" i="1"/>
  <c r="M663" i="1"/>
  <c r="BA650" i="1"/>
  <c r="K650" i="1"/>
  <c r="L650" i="1"/>
  <c r="BB639" i="1"/>
  <c r="M639" i="1"/>
  <c r="BF627" i="1"/>
  <c r="AS611" i="1"/>
  <c r="M611" i="1"/>
  <c r="BA597" i="1"/>
  <c r="BF594" i="1"/>
  <c r="BA592" i="1"/>
  <c r="L592" i="1"/>
  <c r="AR579" i="1"/>
  <c r="K579" i="1"/>
  <c r="L579" i="1"/>
  <c r="AR574" i="1"/>
  <c r="L574" i="1"/>
  <c r="AR531" i="1"/>
  <c r="K531" i="1"/>
  <c r="AR524" i="1"/>
  <c r="K524" i="1"/>
  <c r="L524" i="1"/>
  <c r="K508" i="1"/>
  <c r="L508" i="1"/>
  <c r="M469" i="1"/>
  <c r="BA463" i="1"/>
  <c r="K463" i="1"/>
  <c r="BA461" i="1"/>
  <c r="L461" i="1"/>
  <c r="K442" i="1"/>
  <c r="L442" i="1"/>
  <c r="BC434" i="1"/>
  <c r="I434" i="1"/>
  <c r="AS434" i="1" s="1"/>
  <c r="AR425" i="1"/>
  <c r="K425" i="1"/>
  <c r="L425" i="1"/>
  <c r="BA425" i="1"/>
  <c r="AV385" i="1"/>
  <c r="K385" i="1"/>
  <c r="L385" i="1"/>
  <c r="L384" i="1"/>
  <c r="K384" i="1"/>
  <c r="AV356" i="1"/>
  <c r="L356" i="1"/>
  <c r="AS355" i="1"/>
  <c r="AV352" i="1"/>
  <c r="L352" i="1"/>
  <c r="K352" i="1"/>
  <c r="K341" i="1"/>
  <c r="AV341" i="1"/>
  <c r="AV324" i="1"/>
  <c r="L324" i="1"/>
  <c r="BA324" i="1"/>
  <c r="K324" i="1"/>
  <c r="AR322" i="1"/>
  <c r="L322" i="1"/>
  <c r="K322" i="1"/>
  <c r="L315" i="1"/>
  <c r="K315" i="1"/>
  <c r="L693" i="1"/>
  <c r="AS818" i="1"/>
  <c r="M818" i="1"/>
  <c r="AS799" i="1"/>
  <c r="M799" i="1"/>
  <c r="K795" i="1"/>
  <c r="L795" i="1"/>
  <c r="K799" i="1"/>
  <c r="L799" i="1"/>
  <c r="K782" i="1"/>
  <c r="L782" i="1"/>
  <c r="AS760" i="1"/>
  <c r="M760" i="1"/>
  <c r="AS723" i="1"/>
  <c r="M723" i="1"/>
  <c r="AS716" i="1"/>
  <c r="M716" i="1"/>
  <c r="K711" i="1"/>
  <c r="L711" i="1"/>
  <c r="AS709" i="1"/>
  <c r="M709" i="1"/>
  <c r="BB691" i="1"/>
  <c r="M691" i="1"/>
  <c r="BB671" i="1"/>
  <c r="M671" i="1"/>
  <c r="BB612" i="1"/>
  <c r="M612" i="1"/>
  <c r="M600" i="1"/>
  <c r="BB600" i="1"/>
  <c r="L474" i="1"/>
  <c r="K474" i="1"/>
  <c r="L283" i="1"/>
  <c r="K283" i="1"/>
  <c r="AV283" i="1"/>
  <c r="BF277" i="1"/>
  <c r="AW260" i="1"/>
  <c r="K230" i="1"/>
  <c r="BA230" i="1"/>
  <c r="AZ222" i="1"/>
  <c r="BB212" i="1"/>
  <c r="AW212" i="1"/>
  <c r="AR205" i="1"/>
  <c r="K205" i="1"/>
  <c r="AT200" i="1"/>
  <c r="BC200" i="1"/>
  <c r="K146" i="1"/>
  <c r="AV146" i="1"/>
  <c r="BD138" i="1"/>
  <c r="AU138" i="1"/>
  <c r="I137" i="1"/>
  <c r="AT137" i="1"/>
  <c r="AR90" i="1"/>
  <c r="K90" i="1"/>
  <c r="AV90" i="1"/>
  <c r="BA90" i="1"/>
  <c r="I48" i="1"/>
  <c r="BB48" i="1" s="1"/>
  <c r="BE41" i="1"/>
  <c r="I11" i="1"/>
  <c r="M11" i="1" s="1"/>
  <c r="K597" i="1"/>
  <c r="M570" i="1"/>
  <c r="L463" i="1"/>
  <c r="L653" i="1"/>
  <c r="L805" i="1"/>
  <c r="L762" i="1"/>
  <c r="K822" i="1"/>
  <c r="L822" i="1"/>
  <c r="AS771" i="1"/>
  <c r="M771" i="1"/>
  <c r="K760" i="1"/>
  <c r="L760" i="1"/>
  <c r="AS756" i="1"/>
  <c r="M756" i="1"/>
  <c r="AS754" i="1"/>
  <c r="M754" i="1"/>
  <c r="K742" i="1"/>
  <c r="L742" i="1"/>
  <c r="K740" i="1"/>
  <c r="L740" i="1"/>
  <c r="AS731" i="1"/>
  <c r="M731" i="1"/>
  <c r="AR723" i="1"/>
  <c r="K723" i="1"/>
  <c r="L723" i="1"/>
  <c r="K716" i="1"/>
  <c r="L716" i="1"/>
  <c r="AR709" i="1"/>
  <c r="K709" i="1"/>
  <c r="L709" i="1"/>
  <c r="K698" i="1"/>
  <c r="L698" i="1"/>
  <c r="BA691" i="1"/>
  <c r="K691" i="1"/>
  <c r="L691" i="1"/>
  <c r="BA687" i="1"/>
  <c r="K687" i="1"/>
  <c r="L687" i="1"/>
  <c r="BB685" i="1"/>
  <c r="M685" i="1"/>
  <c r="BA671" i="1"/>
  <c r="K671" i="1"/>
  <c r="L671" i="1"/>
  <c r="BA667" i="1"/>
  <c r="K667" i="1"/>
  <c r="L667" i="1"/>
  <c r="M664" i="1"/>
  <c r="BA663" i="1"/>
  <c r="K663" i="1"/>
  <c r="L663" i="1"/>
  <c r="M659" i="1"/>
  <c r="K654" i="1"/>
  <c r="L654" i="1"/>
  <c r="M646" i="1"/>
  <c r="BB640" i="1"/>
  <c r="M640" i="1"/>
  <c r="BA639" i="1"/>
  <c r="K639" i="1"/>
  <c r="L639" i="1"/>
  <c r="K613" i="1"/>
  <c r="K611" i="1"/>
  <c r="L611" i="1"/>
  <c r="K603" i="1"/>
  <c r="I601" i="1"/>
  <c r="BF589" i="1"/>
  <c r="BF568" i="1"/>
  <c r="G568" i="1"/>
  <c r="AU568" i="1" s="1"/>
  <c r="M556" i="1"/>
  <c r="L553" i="1"/>
  <c r="M525" i="1"/>
  <c r="AR510" i="1"/>
  <c r="L510" i="1"/>
  <c r="I484" i="1"/>
  <c r="AW484" i="1" s="1"/>
  <c r="AT484" i="1"/>
  <c r="K469" i="1"/>
  <c r="L469" i="1"/>
  <c r="BA467" i="1"/>
  <c r="L467" i="1"/>
  <c r="L456" i="1"/>
  <c r="AV434" i="1"/>
  <c r="L404" i="1"/>
  <c r="K404" i="1"/>
  <c r="BA398" i="1"/>
  <c r="K398" i="1"/>
  <c r="L398" i="1"/>
  <c r="G394" i="1"/>
  <c r="K394" i="1" s="1"/>
  <c r="AR383" i="1"/>
  <c r="K383" i="1"/>
  <c r="BA383" i="1"/>
  <c r="L383" i="1"/>
  <c r="BA368" i="1"/>
  <c r="L368" i="1"/>
  <c r="K368" i="1"/>
  <c r="AV368" i="1"/>
  <c r="BA354" i="1"/>
  <c r="BA352" i="1"/>
  <c r="K338" i="1"/>
  <c r="L338" i="1"/>
  <c r="AR326" i="1"/>
  <c r="K326" i="1"/>
  <c r="L326" i="1"/>
  <c r="BF321" i="1"/>
  <c r="L320" i="1"/>
  <c r="K320" i="1"/>
  <c r="BF270" i="1"/>
  <c r="BF264" i="1"/>
  <c r="M262" i="1"/>
  <c r="AW262" i="1"/>
  <c r="BE222" i="1"/>
  <c r="BC222" i="1"/>
  <c r="K216" i="1"/>
  <c r="K212" i="1"/>
  <c r="BE210" i="1"/>
  <c r="BC210" i="1"/>
  <c r="AY200" i="1"/>
  <c r="AX196" i="1"/>
  <c r="BC194" i="1"/>
  <c r="BE194" i="1"/>
  <c r="AU181" i="1"/>
  <c r="BD181" i="1"/>
  <c r="AX181" i="1"/>
  <c r="K178" i="1"/>
  <c r="BC161" i="1"/>
  <c r="BE159" i="1"/>
  <c r="AT159" i="1"/>
  <c r="K141" i="1"/>
  <c r="L141" i="1"/>
  <c r="K132" i="1"/>
  <c r="AD128" i="1"/>
  <c r="AT128" i="1" s="1"/>
  <c r="BE127" i="1"/>
  <c r="K116" i="1"/>
  <c r="BA103" i="1"/>
  <c r="AR103" i="1"/>
  <c r="AX90" i="1"/>
  <c r="AL24" i="1"/>
  <c r="AZ24" i="1" s="1"/>
  <c r="K181" i="1"/>
  <c r="M124" i="1"/>
  <c r="L531" i="1"/>
  <c r="L309" i="1"/>
  <c r="AS825" i="1"/>
  <c r="M825" i="1"/>
  <c r="AS787" i="1"/>
  <c r="M787" i="1"/>
  <c r="K779" i="1"/>
  <c r="L779" i="1"/>
  <c r="K773" i="1"/>
  <c r="L773" i="1"/>
  <c r="K771" i="1"/>
  <c r="L771" i="1"/>
  <c r="K758" i="1"/>
  <c r="L758" i="1"/>
  <c r="K756" i="1"/>
  <c r="L756" i="1"/>
  <c r="K754" i="1"/>
  <c r="L754" i="1"/>
  <c r="K733" i="1"/>
  <c r="L733" i="1"/>
  <c r="K731" i="1"/>
  <c r="L731" i="1"/>
  <c r="AS727" i="1"/>
  <c r="M727" i="1"/>
  <c r="AS707" i="1"/>
  <c r="M707" i="1"/>
  <c r="AR696" i="1"/>
  <c r="K696" i="1"/>
  <c r="BA685" i="1"/>
  <c r="K685" i="1"/>
  <c r="L685" i="1"/>
  <c r="K676" i="1"/>
  <c r="L676" i="1"/>
  <c r="BB672" i="1"/>
  <c r="M672" i="1"/>
  <c r="L645" i="1"/>
  <c r="AS630" i="1"/>
  <c r="L628" i="1"/>
  <c r="K628" i="1"/>
  <c r="BA599" i="1"/>
  <c r="K599" i="1"/>
  <c r="AR575" i="1"/>
  <c r="K575" i="1"/>
  <c r="L575" i="1"/>
  <c r="K556" i="1"/>
  <c r="L556" i="1"/>
  <c r="AR556" i="1"/>
  <c r="AR554" i="1"/>
  <c r="K554" i="1"/>
  <c r="L554" i="1"/>
  <c r="W552" i="1"/>
  <c r="AR552" i="1" s="1"/>
  <c r="AR532" i="1"/>
  <c r="K532" i="1"/>
  <c r="AR525" i="1"/>
  <c r="L525" i="1"/>
  <c r="K525" i="1"/>
  <c r="AS513" i="1"/>
  <c r="M513" i="1"/>
  <c r="AR493" i="1"/>
  <c r="L493" i="1"/>
  <c r="K493" i="1"/>
  <c r="BF490" i="1"/>
  <c r="G490" i="1"/>
  <c r="AU490" i="1" s="1"/>
  <c r="AR475" i="1"/>
  <c r="L475" i="1"/>
  <c r="K475" i="1"/>
  <c r="AS449" i="1"/>
  <c r="M449" i="1"/>
  <c r="K436" i="1"/>
  <c r="L436" i="1"/>
  <c r="L397" i="1"/>
  <c r="K397" i="1"/>
  <c r="BA385" i="1"/>
  <c r="BF382" i="1"/>
  <c r="AR372" i="1"/>
  <c r="L372" i="1"/>
  <c r="BA366" i="1"/>
  <c r="K366" i="1"/>
  <c r="L366" i="1"/>
  <c r="K365" i="1"/>
  <c r="L365" i="1"/>
  <c r="L364" i="1"/>
  <c r="BA364" i="1"/>
  <c r="AS363" i="1"/>
  <c r="BC355" i="1"/>
  <c r="AV349" i="1"/>
  <c r="L349" i="1"/>
  <c r="AW347" i="1"/>
  <c r="L344" i="1"/>
  <c r="K344" i="1"/>
  <c r="BA341" i="1"/>
  <c r="L332" i="1"/>
  <c r="K332" i="1"/>
  <c r="BA332" i="1"/>
  <c r="BE312" i="1"/>
  <c r="BC312" i="1"/>
  <c r="BB260" i="1"/>
  <c r="AW245" i="1"/>
  <c r="M245" i="1"/>
  <c r="BB245" i="1"/>
  <c r="AS245" i="1"/>
  <c r="AY239" i="1"/>
  <c r="K215" i="1"/>
  <c r="AX214" i="1"/>
  <c r="K208" i="1"/>
  <c r="K200" i="1"/>
  <c r="L200" i="1"/>
  <c r="BE192" i="1"/>
  <c r="I192" i="1"/>
  <c r="AS192" i="1" s="1"/>
  <c r="BC192" i="1"/>
  <c r="BF180" i="1"/>
  <c r="AV165" i="1"/>
  <c r="K165" i="1"/>
  <c r="M159" i="1"/>
  <c r="K150" i="1"/>
  <c r="AV128" i="1"/>
  <c r="BA62" i="1"/>
  <c r="AY39" i="1"/>
  <c r="BD26" i="1"/>
  <c r="AT13" i="1"/>
  <c r="BC13" i="1"/>
  <c r="M255" i="1"/>
  <c r="L246" i="1"/>
  <c r="L236" i="1"/>
  <c r="K80" i="1"/>
  <c r="L62" i="1"/>
  <c r="K461" i="1"/>
  <c r="L281" i="1"/>
  <c r="L646" i="1"/>
  <c r="AR540" i="1"/>
  <c r="K540" i="1"/>
  <c r="L540" i="1"/>
  <c r="L535" i="1"/>
  <c r="AR526" i="1"/>
  <c r="K526" i="1"/>
  <c r="M518" i="1"/>
  <c r="AS515" i="1"/>
  <c r="M515" i="1"/>
  <c r="AR511" i="1"/>
  <c r="L511" i="1"/>
  <c r="AS493" i="1"/>
  <c r="L477" i="1"/>
  <c r="K466" i="1"/>
  <c r="L466" i="1"/>
  <c r="AV449" i="1"/>
  <c r="L449" i="1"/>
  <c r="AY441" i="1"/>
  <c r="AY437" i="1"/>
  <c r="L433" i="1"/>
  <c r="AY430" i="1"/>
  <c r="AV421" i="1"/>
  <c r="L421" i="1"/>
  <c r="BA414" i="1"/>
  <c r="K414" i="1"/>
  <c r="L414" i="1"/>
  <c r="AV391" i="1"/>
  <c r="L391" i="1"/>
  <c r="M376" i="1"/>
  <c r="AV374" i="1"/>
  <c r="L374" i="1"/>
  <c r="K359" i="1"/>
  <c r="L359" i="1"/>
  <c r="BF355" i="1"/>
  <c r="L346" i="1"/>
  <c r="K346" i="1"/>
  <c r="M333" i="1"/>
  <c r="AV328" i="1"/>
  <c r="L328" i="1"/>
  <c r="AY312" i="1"/>
  <c r="AV304" i="1"/>
  <c r="L304" i="1"/>
  <c r="K304" i="1"/>
  <c r="BF299" i="1"/>
  <c r="BA294" i="1"/>
  <c r="L294" i="1"/>
  <c r="K294" i="1"/>
  <c r="K264" i="1"/>
  <c r="BF249" i="1"/>
  <c r="AV230" i="1"/>
  <c r="BA175" i="1"/>
  <c r="K175" i="1"/>
  <c r="BE172" i="1"/>
  <c r="K136" i="1"/>
  <c r="I76" i="1"/>
  <c r="AT76" i="1"/>
  <c r="BC76" i="1"/>
  <c r="K527" i="1"/>
  <c r="K285" i="1"/>
  <c r="AS797" i="1"/>
  <c r="M797" i="1"/>
  <c r="K772" i="1"/>
  <c r="L772" i="1"/>
  <c r="K763" i="1"/>
  <c r="L763" i="1"/>
  <c r="K761" i="1"/>
  <c r="L761" i="1"/>
  <c r="K759" i="1"/>
  <c r="L759" i="1"/>
  <c r="AS755" i="1"/>
  <c r="M755" i="1"/>
  <c r="K745" i="1"/>
  <c r="L745" i="1"/>
  <c r="AS743" i="1"/>
  <c r="M743" i="1"/>
  <c r="AS739" i="1"/>
  <c r="M739" i="1"/>
  <c r="AR724" i="1"/>
  <c r="K724" i="1"/>
  <c r="AR717" i="1"/>
  <c r="K717" i="1"/>
  <c r="AR705" i="1"/>
  <c r="K705" i="1"/>
  <c r="L705" i="1"/>
  <c r="AR703" i="1"/>
  <c r="K703" i="1"/>
  <c r="L703" i="1"/>
  <c r="K694" i="1"/>
  <c r="L694" i="1"/>
  <c r="K683" i="1"/>
  <c r="L683" i="1"/>
  <c r="G665" i="1"/>
  <c r="M665" i="1" s="1"/>
  <c r="BA664" i="1"/>
  <c r="K664" i="1"/>
  <c r="L664" i="1"/>
  <c r="BA659" i="1"/>
  <c r="K659" i="1"/>
  <c r="L659" i="1"/>
  <c r="K655" i="1"/>
  <c r="L655" i="1"/>
  <c r="M651" i="1"/>
  <c r="BA646" i="1"/>
  <c r="K646" i="1"/>
  <c r="BA640" i="1"/>
  <c r="K640" i="1"/>
  <c r="L640" i="1"/>
  <c r="G638" i="1"/>
  <c r="BD638" i="1" s="1"/>
  <c r="AT623" i="1"/>
  <c r="K615" i="1"/>
  <c r="L615" i="1"/>
  <c r="M613" i="1"/>
  <c r="BF601" i="1"/>
  <c r="AS575" i="1"/>
  <c r="M575" i="1"/>
  <c r="AR550" i="1"/>
  <c r="L550" i="1"/>
  <c r="L545" i="1"/>
  <c r="G516" i="1"/>
  <c r="K516" i="1" s="1"/>
  <c r="M494" i="1"/>
  <c r="AS492" i="1"/>
  <c r="M492" i="1"/>
  <c r="AR491" i="1"/>
  <c r="L491" i="1"/>
  <c r="K491" i="1"/>
  <c r="AR482" i="1"/>
  <c r="L482" i="1"/>
  <c r="AS480" i="1"/>
  <c r="M480" i="1"/>
  <c r="AR478" i="1"/>
  <c r="L478" i="1"/>
  <c r="K465" i="1"/>
  <c r="L465" i="1"/>
  <c r="AX460" i="1"/>
  <c r="BB451" i="1"/>
  <c r="BA449" i="1"/>
  <c r="K447" i="1"/>
  <c r="L447" i="1"/>
  <c r="BA438" i="1"/>
  <c r="AU437" i="1"/>
  <c r="K428" i="1"/>
  <c r="L428" i="1"/>
  <c r="W394" i="1"/>
  <c r="BA394" i="1" s="1"/>
  <c r="L370" i="1"/>
  <c r="K370" i="1"/>
  <c r="BA346" i="1"/>
  <c r="AV317" i="1"/>
  <c r="L317" i="1"/>
  <c r="K317" i="1"/>
  <c r="L312" i="1"/>
  <c r="K312" i="1"/>
  <c r="BA308" i="1"/>
  <c r="L308" i="1"/>
  <c r="K308" i="1"/>
  <c r="L306" i="1"/>
  <c r="BA268" i="1"/>
  <c r="K268" i="1"/>
  <c r="L268" i="1"/>
  <c r="K266" i="1"/>
  <c r="L266" i="1"/>
  <c r="AU265" i="1"/>
  <c r="BD265" i="1"/>
  <c r="M261" i="1"/>
  <c r="AV258" i="1"/>
  <c r="K258" i="1"/>
  <c r="AT252" i="1"/>
  <c r="AP224" i="1"/>
  <c r="BF224" i="1" s="1"/>
  <c r="AZ221" i="1"/>
  <c r="G220" i="1"/>
  <c r="K220" i="1" s="1"/>
  <c r="K189" i="1"/>
  <c r="AV170" i="1"/>
  <c r="K170" i="1"/>
  <c r="BC165" i="1"/>
  <c r="BE165" i="1"/>
  <c r="AY118" i="1"/>
  <c r="BA79" i="1"/>
  <c r="K79" i="1"/>
  <c r="AV79" i="1"/>
  <c r="BB42" i="1"/>
  <c r="AS42" i="1"/>
  <c r="BC36" i="1"/>
  <c r="AT36" i="1"/>
  <c r="L6" i="1"/>
  <c r="K151" i="1"/>
  <c r="L74" i="1"/>
  <c r="L381" i="1"/>
  <c r="K306" i="1"/>
  <c r="L724" i="1"/>
  <c r="AR538" i="1"/>
  <c r="L538" i="1"/>
  <c r="M528" i="1"/>
  <c r="AR492" i="1"/>
  <c r="L492" i="1"/>
  <c r="AS483" i="1"/>
  <c r="M483" i="1"/>
  <c r="AR480" i="1"/>
  <c r="K480" i="1"/>
  <c r="L480" i="1"/>
  <c r="AR479" i="1"/>
  <c r="K479" i="1"/>
  <c r="L479" i="1"/>
  <c r="M472" i="1"/>
  <c r="AR437" i="1"/>
  <c r="K437" i="1"/>
  <c r="G433" i="1"/>
  <c r="M433" i="1" s="1"/>
  <c r="BA420" i="1"/>
  <c r="L420" i="1"/>
  <c r="K420" i="1"/>
  <c r="K406" i="1"/>
  <c r="L406" i="1"/>
  <c r="BA400" i="1"/>
  <c r="AR390" i="1"/>
  <c r="L390" i="1"/>
  <c r="AR373" i="1"/>
  <c r="L373" i="1"/>
  <c r="L357" i="1"/>
  <c r="K357" i="1"/>
  <c r="AR348" i="1"/>
  <c r="L348" i="1"/>
  <c r="K348" i="1"/>
  <c r="AR340" i="1"/>
  <c r="L340" i="1"/>
  <c r="K340" i="1"/>
  <c r="AV337" i="1"/>
  <c r="L337" i="1"/>
  <c r="K333" i="1"/>
  <c r="L333" i="1"/>
  <c r="AU299" i="1"/>
  <c r="AV296" i="1"/>
  <c r="L296" i="1"/>
  <c r="BF278" i="1"/>
  <c r="G270" i="1"/>
  <c r="AU270" i="1" s="1"/>
  <c r="BA265" i="1"/>
  <c r="K265" i="1"/>
  <c r="AU264" i="1"/>
  <c r="AY256" i="1"/>
  <c r="K246" i="1"/>
  <c r="AR246" i="1"/>
  <c r="BE243" i="1"/>
  <c r="BC243" i="1"/>
  <c r="G239" i="1"/>
  <c r="AU239" i="1" s="1"/>
  <c r="AR237" i="1"/>
  <c r="G237" i="1"/>
  <c r="K237" i="1" s="1"/>
  <c r="AP206" i="1"/>
  <c r="AP204" i="1"/>
  <c r="BF204" i="1" s="1"/>
  <c r="AR194" i="1"/>
  <c r="AR172" i="1"/>
  <c r="BA169" i="1"/>
  <c r="K169" i="1"/>
  <c r="BD165" i="1"/>
  <c r="AX165" i="1"/>
  <c r="BC147" i="1"/>
  <c r="BE147" i="1"/>
  <c r="AY131" i="1"/>
  <c r="AS122" i="1"/>
  <c r="M122" i="1"/>
  <c r="K120" i="1"/>
  <c r="L120" i="1"/>
  <c r="AT110" i="1"/>
  <c r="K78" i="1"/>
  <c r="I55" i="1"/>
  <c r="L55" i="1" s="1"/>
  <c r="BE55" i="1"/>
  <c r="L564" i="1"/>
  <c r="K535" i="1"/>
  <c r="K449" i="1"/>
  <c r="L417" i="1"/>
  <c r="K381" i="1"/>
  <c r="K373" i="1"/>
  <c r="AD187" i="1"/>
  <c r="AT181" i="1"/>
  <c r="AT175" i="1"/>
  <c r="AZ96" i="1"/>
  <c r="AT84" i="1"/>
  <c r="AZ6" i="1"/>
  <c r="K100" i="1"/>
  <c r="BE271" i="1"/>
  <c r="AR238" i="1"/>
  <c r="AV209" i="1"/>
  <c r="K202" i="1"/>
  <c r="I175" i="1"/>
  <c r="BA159" i="1"/>
  <c r="AW156" i="1"/>
  <c r="M153" i="1"/>
  <c r="AT129" i="1"/>
  <c r="AV121" i="1"/>
  <c r="BE109" i="1"/>
  <c r="BF102" i="1"/>
  <c r="K98" i="1"/>
  <c r="BC84" i="1"/>
  <c r="G61" i="1"/>
  <c r="AX61" i="1" s="1"/>
  <c r="BF11" i="1"/>
  <c r="L221" i="1"/>
  <c r="L152" i="1"/>
  <c r="M157" i="1"/>
  <c r="AR125" i="1"/>
  <c r="AS89" i="1"/>
  <c r="M89" i="1"/>
  <c r="AT88" i="1"/>
  <c r="K86" i="1"/>
  <c r="BD76" i="1"/>
  <c r="AT72" i="1"/>
  <c r="AR58" i="1"/>
  <c r="K58" i="1"/>
  <c r="BC34" i="1"/>
  <c r="K125" i="1"/>
  <c r="K99" i="1"/>
  <c r="BE97" i="1"/>
  <c r="AX89" i="1"/>
  <c r="BA59" i="1"/>
  <c r="AP41" i="1"/>
  <c r="BF41" i="1" s="1"/>
  <c r="AU95" i="1"/>
  <c r="AW73" i="1"/>
  <c r="G70" i="1"/>
  <c r="AU70" i="1" s="1"/>
  <c r="G56" i="1"/>
  <c r="K56" i="1" s="1"/>
  <c r="BE43" i="1"/>
  <c r="G39" i="1"/>
  <c r="AU39" i="1" s="1"/>
  <c r="K102" i="1"/>
  <c r="BF56" i="1"/>
  <c r="AZ55" i="1"/>
  <c r="BC26" i="1"/>
  <c r="AR270" i="1"/>
  <c r="AV270" i="1"/>
  <c r="BF628" i="1"/>
  <c r="AY382" i="1"/>
  <c r="AL382" i="1"/>
  <c r="AZ382" i="1" s="1"/>
  <c r="BC244" i="1"/>
  <c r="BE244" i="1"/>
  <c r="BA185" i="1"/>
  <c r="AV185" i="1"/>
  <c r="BE833" i="1"/>
  <c r="G749" i="1"/>
  <c r="BB669" i="1"/>
  <c r="AS629" i="1"/>
  <c r="AS628" i="1"/>
  <c r="BB628" i="1"/>
  <c r="BE623" i="1"/>
  <c r="BE620" i="1"/>
  <c r="BB619" i="1"/>
  <c r="AT591" i="1"/>
  <c r="BC591" i="1"/>
  <c r="AS590" i="1"/>
  <c r="AT569" i="1"/>
  <c r="I569" i="1"/>
  <c r="AW569" i="1" s="1"/>
  <c r="AS566" i="1"/>
  <c r="AS531" i="1"/>
  <c r="BD460" i="1"/>
  <c r="AW455" i="1"/>
  <c r="AS455" i="1"/>
  <c r="BB455" i="1"/>
  <c r="BE451" i="1"/>
  <c r="BE441" i="1"/>
  <c r="I441" i="1"/>
  <c r="AW441" i="1" s="1"/>
  <c r="AR403" i="1"/>
  <c r="AV403" i="1"/>
  <c r="AR397" i="1"/>
  <c r="AV397" i="1"/>
  <c r="BA397" i="1"/>
  <c r="AV339" i="1"/>
  <c r="AR339" i="1"/>
  <c r="AV336" i="1"/>
  <c r="BA336" i="1"/>
  <c r="BD335" i="1"/>
  <c r="AU335" i="1"/>
  <c r="AX231" i="1"/>
  <c r="AU231" i="1"/>
  <c r="AT589" i="1"/>
  <c r="BC589" i="1"/>
  <c r="BE589" i="1"/>
  <c r="I589" i="1"/>
  <c r="AW589" i="1" s="1"/>
  <c r="BB665" i="1"/>
  <c r="BB630" i="1"/>
  <c r="AS591" i="1"/>
  <c r="AS576" i="1"/>
  <c r="AR472" i="1"/>
  <c r="AS451" i="1"/>
  <c r="AW451" i="1"/>
  <c r="AS448" i="1"/>
  <c r="BB448" i="1"/>
  <c r="AY433" i="1"/>
  <c r="BC369" i="1"/>
  <c r="BF369" i="1"/>
  <c r="AV274" i="1"/>
  <c r="BA274" i="1"/>
  <c r="AR274" i="1"/>
  <c r="AV229" i="1"/>
  <c r="BA229" i="1"/>
  <c r="BB227" i="1"/>
  <c r="BA192" i="1"/>
  <c r="AR192" i="1"/>
  <c r="AY7" i="1"/>
  <c r="G764" i="1"/>
  <c r="AU764" i="1" s="1"/>
  <c r="BB631" i="1"/>
  <c r="AS567" i="1"/>
  <c r="AS563" i="1"/>
  <c r="AS553" i="1"/>
  <c r="BE787" i="1"/>
  <c r="BF784" i="1"/>
  <c r="G784" i="1"/>
  <c r="AU784" i="1" s="1"/>
  <c r="S753" i="1"/>
  <c r="AV753" i="1" s="1"/>
  <c r="S680" i="1"/>
  <c r="AV680" i="1" s="1"/>
  <c r="BB649" i="1"/>
  <c r="BB648" i="1"/>
  <c r="AT638" i="1"/>
  <c r="AT580" i="1"/>
  <c r="I580" i="1"/>
  <c r="BE580" i="1"/>
  <c r="AL495" i="1"/>
  <c r="AZ495" i="1" s="1"/>
  <c r="G489" i="1"/>
  <c r="AU489" i="1" s="1"/>
  <c r="AP450" i="1"/>
  <c r="BF450" i="1" s="1"/>
  <c r="AP452" i="1"/>
  <c r="BF452" i="1" s="1"/>
  <c r="AP451" i="1"/>
  <c r="BF451" i="1" s="1"/>
  <c r="AP455" i="1"/>
  <c r="BF455" i="1" s="1"/>
  <c r="AP458" i="1"/>
  <c r="BF458" i="1" s="1"/>
  <c r="AP453" i="1"/>
  <c r="BF453" i="1" s="1"/>
  <c r="AV393" i="1"/>
  <c r="BA393" i="1"/>
  <c r="AR393" i="1"/>
  <c r="AR281" i="1"/>
  <c r="AV281" i="1"/>
  <c r="AY207" i="1"/>
  <c r="BA184" i="1"/>
  <c r="AV184" i="1"/>
  <c r="BA154" i="1"/>
  <c r="AV154" i="1"/>
  <c r="I598" i="1"/>
  <c r="BC598" i="1"/>
  <c r="BE598" i="1"/>
  <c r="AS593" i="1"/>
  <c r="BB593" i="1"/>
  <c r="BA458" i="1"/>
  <c r="AV458" i="1"/>
  <c r="AR458" i="1"/>
  <c r="AS257" i="1"/>
  <c r="AW257" i="1"/>
  <c r="BE452" i="1"/>
  <c r="BC452" i="1"/>
  <c r="BA322" i="1"/>
  <c r="AL264" i="1"/>
  <c r="AZ264" i="1" s="1"/>
  <c r="AV164" i="1"/>
  <c r="BA164" i="1"/>
  <c r="BF629" i="1"/>
  <c r="BA464" i="1"/>
  <c r="AU644" i="1"/>
  <c r="BD644" i="1"/>
  <c r="BB620" i="1"/>
  <c r="BE591" i="1"/>
  <c r="BE587" i="1"/>
  <c r="AR440" i="1"/>
  <c r="BA440" i="1"/>
  <c r="BE812" i="1"/>
  <c r="BF795" i="1"/>
  <c r="BB650" i="1"/>
  <c r="BB646" i="1"/>
  <c r="BB629" i="1"/>
  <c r="AS624" i="1"/>
  <c r="AT598" i="1"/>
  <c r="BB590" i="1"/>
  <c r="G589" i="1"/>
  <c r="BD589" i="1" s="1"/>
  <c r="AS577" i="1"/>
  <c r="I568" i="1"/>
  <c r="AW568" i="1" s="1"/>
  <c r="AS552" i="1"/>
  <c r="AS523" i="1"/>
  <c r="AR474" i="1"/>
  <c r="AZ462" i="1"/>
  <c r="AV441" i="1"/>
  <c r="BA243" i="1"/>
  <c r="AR243" i="1"/>
  <c r="AZ236" i="1"/>
  <c r="AD90" i="1"/>
  <c r="BF90" i="1" s="1"/>
  <c r="AT89" i="1"/>
  <c r="BC89" i="1"/>
  <c r="BE89" i="1"/>
  <c r="BF89" i="1"/>
  <c r="BB668" i="1"/>
  <c r="AU473" i="1"/>
  <c r="AT488" i="1"/>
  <c r="I488" i="1"/>
  <c r="BE488" i="1"/>
  <c r="BF488" i="1"/>
  <c r="AR466" i="1"/>
  <c r="BA466" i="1"/>
  <c r="I405" i="1"/>
  <c r="M405" i="1" s="1"/>
  <c r="AT405" i="1"/>
  <c r="BC405" i="1"/>
  <c r="BE405" i="1"/>
  <c r="AL676" i="1"/>
  <c r="AZ676" i="1" s="1"/>
  <c r="BE495" i="1"/>
  <c r="I495" i="1"/>
  <c r="AW495" i="1" s="1"/>
  <c r="AT495" i="1"/>
  <c r="BB659" i="1"/>
  <c r="BB658" i="1"/>
  <c r="BF624" i="1"/>
  <c r="BF622" i="1"/>
  <c r="BB591" i="1"/>
  <c r="AS557" i="1"/>
  <c r="AS537" i="1"/>
  <c r="AS522" i="1"/>
  <c r="AS486" i="1"/>
  <c r="AS457" i="1"/>
  <c r="AW457" i="1"/>
  <c r="BB457" i="1"/>
  <c r="AV413" i="1"/>
  <c r="AR413" i="1"/>
  <c r="BA413" i="1"/>
  <c r="BF244" i="1"/>
  <c r="BB643" i="1"/>
  <c r="AS621" i="1"/>
  <c r="AL592" i="1"/>
  <c r="AZ592" i="1" s="1"/>
  <c r="BA321" i="1"/>
  <c r="AR321" i="1"/>
  <c r="AV321" i="1"/>
  <c r="AV289" i="1"/>
  <c r="BA289" i="1"/>
  <c r="AR289" i="1"/>
  <c r="AT208" i="1"/>
  <c r="AD206" i="1"/>
  <c r="BE206" i="1" s="1"/>
  <c r="I208" i="1"/>
  <c r="M208" i="1" s="1"/>
  <c r="BC208" i="1"/>
  <c r="AD205" i="1"/>
  <c r="BC205" i="1" s="1"/>
  <c r="BE208" i="1"/>
  <c r="AS479" i="1"/>
  <c r="AU440" i="1"/>
  <c r="AX440" i="1"/>
  <c r="BB402" i="1"/>
  <c r="BE402" i="1"/>
  <c r="AT402" i="1"/>
  <c r="AS402" i="1"/>
  <c r="AW402" i="1"/>
  <c r="BC402" i="1"/>
  <c r="AP378" i="1"/>
  <c r="BF378" i="1" s="1"/>
  <c r="AP379" i="1"/>
  <c r="BF379" i="1" s="1"/>
  <c r="AP380" i="1"/>
  <c r="BF380" i="1" s="1"/>
  <c r="AP376" i="1"/>
  <c r="BF376" i="1" s="1"/>
  <c r="AP377" i="1"/>
  <c r="BF377" i="1" s="1"/>
  <c r="AP375" i="1"/>
  <c r="BF375" i="1" s="1"/>
  <c r="AP381" i="1"/>
  <c r="BF381" i="1" s="1"/>
  <c r="AV221" i="1"/>
  <c r="BB89" i="1"/>
  <c r="S784" i="1"/>
  <c r="AV784" i="1" s="1"/>
  <c r="BF658" i="1"/>
  <c r="AS612" i="1"/>
  <c r="BA387" i="1"/>
  <c r="AR387" i="1"/>
  <c r="AS519" i="1"/>
  <c r="AR456" i="1"/>
  <c r="AV456" i="1"/>
  <c r="BA456" i="1"/>
  <c r="AV363" i="1"/>
  <c r="AR363" i="1"/>
  <c r="AV361" i="1"/>
  <c r="BA361" i="1"/>
  <c r="AV322" i="1"/>
  <c r="AV122" i="1"/>
  <c r="BF821" i="1"/>
  <c r="S819" i="1"/>
  <c r="AV819" i="1" s="1"/>
  <c r="BF785" i="1"/>
  <c r="AL677" i="1"/>
  <c r="AZ677" i="1" s="1"/>
  <c r="BF623" i="1"/>
  <c r="I623" i="1"/>
  <c r="BB616" i="1"/>
  <c r="AS616" i="1"/>
  <c r="AS556" i="1"/>
  <c r="AU546" i="1"/>
  <c r="AS476" i="1"/>
  <c r="AZ452" i="1"/>
  <c r="AV387" i="1"/>
  <c r="AS254" i="1"/>
  <c r="AR226" i="1"/>
  <c r="AP159" i="1"/>
  <c r="BF159" i="1" s="1"/>
  <c r="AP158" i="1"/>
  <c r="BF158" i="1" s="1"/>
  <c r="AP157" i="1"/>
  <c r="BF157" i="1" s="1"/>
  <c r="AP162" i="1"/>
  <c r="BF162" i="1" s="1"/>
  <c r="AP160" i="1"/>
  <c r="BF160" i="1" s="1"/>
  <c r="BF814" i="1"/>
  <c r="BF788" i="1"/>
  <c r="BF787" i="1"/>
  <c r="BF783" i="1"/>
  <c r="BB677" i="1"/>
  <c r="BB652" i="1"/>
  <c r="AS643" i="1"/>
  <c r="W642" i="1"/>
  <c r="AR642" i="1" s="1"/>
  <c r="AS615" i="1"/>
  <c r="BB615" i="1"/>
  <c r="AS578" i="1"/>
  <c r="AS543" i="1"/>
  <c r="AS436" i="1"/>
  <c r="BB436" i="1"/>
  <c r="AR430" i="1"/>
  <c r="BA430" i="1"/>
  <c r="BF405" i="1"/>
  <c r="AV370" i="1"/>
  <c r="BA370" i="1"/>
  <c r="AR370" i="1"/>
  <c r="AR313" i="1"/>
  <c r="AV313" i="1"/>
  <c r="BA313" i="1"/>
  <c r="AR309" i="1"/>
  <c r="AV309" i="1"/>
  <c r="BA309" i="1"/>
  <c r="AS147" i="1"/>
  <c r="AW147" i="1"/>
  <c r="BB147" i="1"/>
  <c r="BE802" i="1"/>
  <c r="I783" i="1"/>
  <c r="AW783" i="1" s="1"/>
  <c r="AT783" i="1"/>
  <c r="BB667" i="1"/>
  <c r="AL652" i="1"/>
  <c r="AZ652" i="1" s="1"/>
  <c r="BF590" i="1"/>
  <c r="AS497" i="1"/>
  <c r="AR477" i="1"/>
  <c r="AR464" i="1"/>
  <c r="AW458" i="1"/>
  <c r="AS458" i="1"/>
  <c r="BC439" i="1"/>
  <c r="AT439" i="1"/>
  <c r="BE439" i="1"/>
  <c r="I439" i="1"/>
  <c r="AR399" i="1"/>
  <c r="BA399" i="1"/>
  <c r="BB369" i="1"/>
  <c r="BA256" i="1"/>
  <c r="I203" i="1"/>
  <c r="M203" i="1" s="1"/>
  <c r="AT203" i="1"/>
  <c r="BC203" i="1"/>
  <c r="BE203" i="1"/>
  <c r="AR197" i="1"/>
  <c r="AV174" i="1"/>
  <c r="BA174" i="1"/>
  <c r="AR174" i="1"/>
  <c r="BE590" i="1"/>
  <c r="W560" i="1"/>
  <c r="AR560" i="1" s="1"/>
  <c r="W555" i="1"/>
  <c r="AV555" i="1" s="1"/>
  <c r="W495" i="1"/>
  <c r="AR495" i="1" s="1"/>
  <c r="BF449" i="1"/>
  <c r="G446" i="1"/>
  <c r="AX446" i="1" s="1"/>
  <c r="BF444" i="1"/>
  <c r="AZ440" i="1"/>
  <c r="BB433" i="1"/>
  <c r="AW433" i="1"/>
  <c r="BA405" i="1"/>
  <c r="AV379" i="1"/>
  <c r="AR379" i="1"/>
  <c r="AU313" i="1"/>
  <c r="AX313" i="1"/>
  <c r="G291" i="1"/>
  <c r="AU291" i="1" s="1"/>
  <c r="AS268" i="1"/>
  <c r="AZ239" i="1"/>
  <c r="BC232" i="1"/>
  <c r="BE232" i="1"/>
  <c r="BE230" i="1"/>
  <c r="AV214" i="1"/>
  <c r="AR214" i="1"/>
  <c r="AY132" i="1"/>
  <c r="AY109" i="1"/>
  <c r="I57" i="1"/>
  <c r="AS57" i="1" s="1"/>
  <c r="BE57" i="1"/>
  <c r="AT57" i="1"/>
  <c r="BC57" i="1"/>
  <c r="AR453" i="1"/>
  <c r="AR441" i="1"/>
  <c r="BC440" i="1"/>
  <c r="BE440" i="1"/>
  <c r="AR402" i="1"/>
  <c r="AV402" i="1"/>
  <c r="AR384" i="1"/>
  <c r="AV384" i="1"/>
  <c r="AV369" i="1"/>
  <c r="AR369" i="1"/>
  <c r="BA369" i="1"/>
  <c r="AV359" i="1"/>
  <c r="BA359" i="1"/>
  <c r="AV315" i="1"/>
  <c r="BA315" i="1"/>
  <c r="BA277" i="1"/>
  <c r="AS266" i="1"/>
  <c r="AW266" i="1"/>
  <c r="AY265" i="1"/>
  <c r="BD201" i="1"/>
  <c r="AV176" i="1"/>
  <c r="AV113" i="1"/>
  <c r="BA113" i="1"/>
  <c r="AR68" i="1"/>
  <c r="AZ67" i="1"/>
  <c r="BC590" i="1"/>
  <c r="AY460" i="1"/>
  <c r="BD440" i="1"/>
  <c r="BA378" i="1"/>
  <c r="AR378" i="1"/>
  <c r="AZ369" i="1"/>
  <c r="AV358" i="1"/>
  <c r="BA358" i="1"/>
  <c r="AR351" i="1"/>
  <c r="AV351" i="1"/>
  <c r="BA349" i="1"/>
  <c r="AV291" i="1"/>
  <c r="AR266" i="1"/>
  <c r="BA234" i="1"/>
  <c r="AV234" i="1"/>
  <c r="AY223" i="1"/>
  <c r="BB210" i="1"/>
  <c r="I207" i="1"/>
  <c r="AT207" i="1"/>
  <c r="BE207" i="1"/>
  <c r="AY194" i="1"/>
  <c r="AW164" i="1"/>
  <c r="AS164" i="1"/>
  <c r="AX137" i="1"/>
  <c r="BD137" i="1"/>
  <c r="AU137" i="1"/>
  <c r="BA132" i="1"/>
  <c r="AR132" i="1"/>
  <c r="BD63" i="1"/>
  <c r="AU63" i="1"/>
  <c r="AX63" i="1"/>
  <c r="G688" i="1"/>
  <c r="G680" i="1"/>
  <c r="M680" i="1" s="1"/>
  <c r="AT609" i="1"/>
  <c r="AT600" i="1"/>
  <c r="BB588" i="1"/>
  <c r="BF585" i="1"/>
  <c r="AS549" i="1"/>
  <c r="BF495" i="1"/>
  <c r="I490" i="1"/>
  <c r="AW490" i="1" s="1"/>
  <c r="AS477" i="1"/>
  <c r="AS474" i="1"/>
  <c r="AY452" i="1"/>
  <c r="I446" i="1"/>
  <c r="AS446" i="1" s="1"/>
  <c r="AT446" i="1"/>
  <c r="BF439" i="1" a="1"/>
  <c r="BF439" i="1" s="1"/>
  <c r="AX437" i="1"/>
  <c r="AV436" i="1"/>
  <c r="AR436" i="1"/>
  <c r="AR396" i="1"/>
  <c r="BA384" i="1"/>
  <c r="AS369" i="1"/>
  <c r="AW369" i="1"/>
  <c r="BA351" i="1"/>
  <c r="AV346" i="1"/>
  <c r="AR346" i="1"/>
  <c r="AX278" i="1"/>
  <c r="AU278" i="1"/>
  <c r="AR272" i="1"/>
  <c r="BA272" i="1"/>
  <c r="AV272" i="1"/>
  <c r="AW233" i="1"/>
  <c r="BB233" i="1"/>
  <c r="BE231" i="1"/>
  <c r="I231" i="1"/>
  <c r="AT231" i="1"/>
  <c r="AY211" i="1"/>
  <c r="AP147" i="1"/>
  <c r="BF147" i="1" s="1"/>
  <c r="AP148" i="1"/>
  <c r="BF148" i="1" s="1"/>
  <c r="AP153" i="1"/>
  <c r="BF153" i="1" s="1"/>
  <c r="BD124" i="1"/>
  <c r="BF657" i="1"/>
  <c r="G657" i="1"/>
  <c r="AU657" i="1" s="1"/>
  <c r="BF617" i="1"/>
  <c r="BF605" i="1"/>
  <c r="BE602" i="1"/>
  <c r="BE597" i="1"/>
  <c r="AS574" i="1"/>
  <c r="G495" i="1"/>
  <c r="AU495" i="1" s="1"/>
  <c r="G488" i="1"/>
  <c r="AU488" i="1" s="1"/>
  <c r="BB464" i="1"/>
  <c r="AS459" i="1"/>
  <c r="BB447" i="1"/>
  <c r="AW447" i="1"/>
  <c r="AY446" i="1"/>
  <c r="BE443" i="1"/>
  <c r="BA409" i="1"/>
  <c r="AR409" i="1"/>
  <c r="AR332" i="1"/>
  <c r="AR318" i="1"/>
  <c r="AV318" i="1"/>
  <c r="AX312" i="1"/>
  <c r="BD312" i="1"/>
  <c r="BA244" i="1"/>
  <c r="BA240" i="1"/>
  <c r="AV240" i="1"/>
  <c r="AW224" i="1"/>
  <c r="AY218" i="1"/>
  <c r="AW211" i="1"/>
  <c r="AS211" i="1"/>
  <c r="BC207" i="1"/>
  <c r="AR202" i="1"/>
  <c r="BA200" i="1"/>
  <c r="AR200" i="1"/>
  <c r="AZ168" i="1"/>
  <c r="AY167" i="1"/>
  <c r="AZ139" i="1"/>
  <c r="I99" i="1"/>
  <c r="M99" i="1" s="1"/>
  <c r="BE99" i="1"/>
  <c r="AT99" i="1"/>
  <c r="I769" i="1"/>
  <c r="AW769" i="1" s="1"/>
  <c r="BF687" i="1"/>
  <c r="BF649" i="1"/>
  <c r="BF648" i="1"/>
  <c r="W638" i="1"/>
  <c r="BA638" i="1" s="1"/>
  <c r="BD613" i="1"/>
  <c r="BF610" i="1"/>
  <c r="BF595" i="1"/>
  <c r="BF555" i="1"/>
  <c r="AS546" i="1"/>
  <c r="BD462" i="1"/>
  <c r="AR455" i="1"/>
  <c r="BE433" i="1"/>
  <c r="AV388" i="1"/>
  <c r="BA388" i="1"/>
  <c r="AR375" i="1"/>
  <c r="BA375" i="1"/>
  <c r="I313" i="1"/>
  <c r="M313" i="1" s="1"/>
  <c r="BF313" i="1"/>
  <c r="AV293" i="1"/>
  <c r="BA293" i="1"/>
  <c r="BB255" i="1"/>
  <c r="AW255" i="1"/>
  <c r="I242" i="1"/>
  <c r="BC242" i="1"/>
  <c r="I235" i="1"/>
  <c r="AT235" i="1"/>
  <c r="AT232" i="1"/>
  <c r="AR216" i="1"/>
  <c r="AS213" i="1"/>
  <c r="BB213" i="1"/>
  <c r="AV187" i="1"/>
  <c r="AU169" i="1"/>
  <c r="AX169" i="1"/>
  <c r="BD169" i="1"/>
  <c r="AW143" i="1"/>
  <c r="AV135" i="1"/>
  <c r="AR135" i="1"/>
  <c r="BA135" i="1"/>
  <c r="AX109" i="1"/>
  <c r="BC99" i="1"/>
  <c r="S665" i="1"/>
  <c r="BF650" i="1"/>
  <c r="AT590" i="1"/>
  <c r="BF586" i="1"/>
  <c r="G580" i="1"/>
  <c r="AU580" i="1" s="1"/>
  <c r="BF462" i="1"/>
  <c r="BE460" i="1"/>
  <c r="AV411" i="1"/>
  <c r="AR411" i="1"/>
  <c r="BF402" i="1"/>
  <c r="AR333" i="1"/>
  <c r="G321" i="1"/>
  <c r="AR255" i="1"/>
  <c r="AP236" i="1"/>
  <c r="BF236" i="1" s="1"/>
  <c r="AP234" i="1"/>
  <c r="BF234" i="1" s="1"/>
  <c r="AW236" i="1"/>
  <c r="AS236" i="1"/>
  <c r="I232" i="1"/>
  <c r="M232" i="1" s="1"/>
  <c r="AT230" i="1"/>
  <c r="AT225" i="1"/>
  <c r="BC225" i="1"/>
  <c r="AS218" i="1"/>
  <c r="AW218" i="1"/>
  <c r="AV213" i="1"/>
  <c r="BB181" i="1"/>
  <c r="AS181" i="1"/>
  <c r="AW181" i="1"/>
  <c r="AR169" i="1"/>
  <c r="AT168" i="1"/>
  <c r="AU69" i="1"/>
  <c r="AU622" i="1"/>
  <c r="BE599" i="1"/>
  <c r="AS588" i="1"/>
  <c r="AS530" i="1"/>
  <c r="AS525" i="1"/>
  <c r="AT489" i="1"/>
  <c r="AV422" i="1"/>
  <c r="BA411" i="1"/>
  <c r="AR381" i="1"/>
  <c r="BA381" i="1"/>
  <c r="AP364" i="1"/>
  <c r="BF364" i="1" s="1"/>
  <c r="AP361" i="1"/>
  <c r="BF361" i="1" s="1"/>
  <c r="AR354" i="1"/>
  <c r="AR347" i="1"/>
  <c r="BA347" i="1"/>
  <c r="G273" i="1"/>
  <c r="AV267" i="1"/>
  <c r="AR267" i="1"/>
  <c r="BA267" i="1"/>
  <c r="AR258" i="1"/>
  <c r="G251" i="1"/>
  <c r="BB218" i="1"/>
  <c r="AZ214" i="1"/>
  <c r="AU202" i="1"/>
  <c r="AY154" i="1"/>
  <c r="BA114" i="1"/>
  <c r="AV114" i="1"/>
  <c r="BA201" i="1"/>
  <c r="AU174" i="1"/>
  <c r="AX174" i="1"/>
  <c r="BD174" i="1"/>
  <c r="BB158" i="1"/>
  <c r="AS158" i="1"/>
  <c r="BD157" i="1"/>
  <c r="AU157" i="1"/>
  <c r="AT144" i="1"/>
  <c r="I144" i="1"/>
  <c r="BE144" i="1"/>
  <c r="BA143" i="1"/>
  <c r="I50" i="1"/>
  <c r="AV425" i="1"/>
  <c r="AV407" i="1"/>
  <c r="AR391" i="1"/>
  <c r="AR374" i="1"/>
  <c r="AV366" i="1"/>
  <c r="BB347" i="1"/>
  <c r="AU333" i="1"/>
  <c r="AV319" i="1"/>
  <c r="AS312" i="1"/>
  <c r="AR310" i="1"/>
  <c r="BA283" i="1"/>
  <c r="AR283" i="1"/>
  <c r="BE265" i="1"/>
  <c r="AZ249" i="1"/>
  <c r="AV248" i="1"/>
  <c r="AS241" i="1"/>
  <c r="BA238" i="1"/>
  <c r="AL237" i="1"/>
  <c r="AX218" i="1"/>
  <c r="AZ188" i="1"/>
  <c r="BD175" i="1"/>
  <c r="AX175" i="1"/>
  <c r="AU160" i="1"/>
  <c r="AX160" i="1"/>
  <c r="AV157" i="1"/>
  <c r="BC150" i="1"/>
  <c r="BE150" i="1"/>
  <c r="I150" i="1"/>
  <c r="M150" i="1" s="1"/>
  <c r="AV143" i="1"/>
  <c r="BE140" i="1"/>
  <c r="BC140" i="1"/>
  <c r="AT140" i="1"/>
  <c r="AP122" i="1"/>
  <c r="BF122" i="1" s="1"/>
  <c r="AP121" i="1"/>
  <c r="BF121" i="1" s="1"/>
  <c r="AP124" i="1"/>
  <c r="BF124" i="1" s="1"/>
  <c r="AP125" i="1"/>
  <c r="BF125" i="1" s="1"/>
  <c r="AP123" i="1"/>
  <c r="BF123" i="1" s="1"/>
  <c r="AP126" i="1"/>
  <c r="BF126" i="1" s="1"/>
  <c r="AR107" i="1"/>
  <c r="BA107" i="1"/>
  <c r="AY106" i="1"/>
  <c r="BC103" i="1"/>
  <c r="I103" i="1"/>
  <c r="AS103" i="1" s="1"/>
  <c r="BE103" i="1"/>
  <c r="AS74" i="1"/>
  <c r="AT50" i="1"/>
  <c r="BD355" i="1"/>
  <c r="AX264" i="1"/>
  <c r="AV261" i="1"/>
  <c r="AT257" i="1"/>
  <c r="G243" i="1"/>
  <c r="AX243" i="1" s="1"/>
  <c r="AZ220" i="1"/>
  <c r="AP210" i="1"/>
  <c r="BF210" i="1" s="1"/>
  <c r="AP208" i="1"/>
  <c r="BF208" i="1" s="1"/>
  <c r="BD180" i="1"/>
  <c r="AW158" i="1"/>
  <c r="AW124" i="1"/>
  <c r="BB124" i="1"/>
  <c r="AV87" i="1"/>
  <c r="AR87" i="1"/>
  <c r="BA87" i="1"/>
  <c r="AY434" i="1"/>
  <c r="AR420" i="1"/>
  <c r="AZ394" i="1"/>
  <c r="BF271" i="1"/>
  <c r="BA254" i="1"/>
  <c r="AR254" i="1"/>
  <c r="AW252" i="1"/>
  <c r="BA233" i="1"/>
  <c r="AR233" i="1"/>
  <c r="AR223" i="1"/>
  <c r="AV223" i="1"/>
  <c r="BE215" i="1"/>
  <c r="I215" i="1"/>
  <c r="AW215" i="1" s="1"/>
  <c r="AV198" i="1"/>
  <c r="AX194" i="1"/>
  <c r="BD194" i="1"/>
  <c r="AR191" i="1"/>
  <c r="BA161" i="1"/>
  <c r="AR143" i="1"/>
  <c r="AZ133" i="1"/>
  <c r="AR120" i="1"/>
  <c r="AP106" i="1"/>
  <c r="BF106" i="1" s="1"/>
  <c r="AP107" i="1"/>
  <c r="AP110" i="1"/>
  <c r="BF110" i="1" s="1"/>
  <c r="AP109" i="1"/>
  <c r="BF109" i="1" s="1"/>
  <c r="AP112" i="1"/>
  <c r="AV55" i="1"/>
  <c r="AY453" i="1"/>
  <c r="BF445" i="1"/>
  <c r="BF441" i="1"/>
  <c r="AZ435" i="1"/>
  <c r="BA434" i="1"/>
  <c r="BA423" i="1"/>
  <c r="AY400" i="1"/>
  <c r="BF394" i="1"/>
  <c r="I394" i="1"/>
  <c r="AZ333" i="1"/>
  <c r="AR317" i="1"/>
  <c r="BA290" i="1"/>
  <c r="BA285" i="1"/>
  <c r="AY264" i="1"/>
  <c r="G252" i="1"/>
  <c r="BF242" i="1"/>
  <c r="BB221" i="1"/>
  <c r="BB217" i="1"/>
  <c r="AX216" i="1"/>
  <c r="I209" i="1"/>
  <c r="BE209" i="1"/>
  <c r="AV178" i="1"/>
  <c r="AU173" i="1"/>
  <c r="BD173" i="1"/>
  <c r="AT150" i="1"/>
  <c r="AP108" i="1"/>
  <c r="AW62" i="1"/>
  <c r="BB62" i="1"/>
  <c r="BA47" i="1"/>
  <c r="AX456" i="1"/>
  <c r="BF437" i="1"/>
  <c r="BE355" i="1"/>
  <c r="AX335" i="1"/>
  <c r="BA331" i="1"/>
  <c r="BA329" i="1"/>
  <c r="BA326" i="1"/>
  <c r="BF319" i="1"/>
  <c r="BA304" i="1"/>
  <c r="BA302" i="1"/>
  <c r="AT299" i="1"/>
  <c r="AW282" i="1"/>
  <c r="BD256" i="1"/>
  <c r="AX256" i="1"/>
  <c r="AR217" i="1"/>
  <c r="AR195" i="1"/>
  <c r="AV195" i="1"/>
  <c r="AX180" i="1"/>
  <c r="BC144" i="1"/>
  <c r="AV134" i="1"/>
  <c r="BA134" i="1"/>
  <c r="AS123" i="1"/>
  <c r="AW123" i="1"/>
  <c r="AT75" i="1"/>
  <c r="BE75" i="1"/>
  <c r="BA386" i="1"/>
  <c r="AT382" i="1"/>
  <c r="AV297" i="1"/>
  <c r="AV282" i="1"/>
  <c r="AV262" i="1"/>
  <c r="AW261" i="1"/>
  <c r="AY237" i="1"/>
  <c r="AV227" i="1"/>
  <c r="BD218" i="1"/>
  <c r="AT215" i="1"/>
  <c r="BE204" i="1"/>
  <c r="I204" i="1"/>
  <c r="AV191" i="1"/>
  <c r="AU180" i="1"/>
  <c r="AZ172" i="1"/>
  <c r="AS141" i="1"/>
  <c r="AW141" i="1"/>
  <c r="BB141" i="1"/>
  <c r="BC50" i="1"/>
  <c r="BB377" i="1"/>
  <c r="BE335" i="1"/>
  <c r="BC313" i="1"/>
  <c r="BC264" i="1"/>
  <c r="AT243" i="1"/>
  <c r="I243" i="1"/>
  <c r="AS243" i="1" s="1"/>
  <c r="AW234" i="1"/>
  <c r="BD193" i="1"/>
  <c r="AU193" i="1"/>
  <c r="BC175" i="1"/>
  <c r="AT164" i="1"/>
  <c r="BE164" i="1"/>
  <c r="BC164" i="1"/>
  <c r="AV132" i="1"/>
  <c r="AZ103" i="1"/>
  <c r="AZ16" i="1"/>
  <c r="AY13" i="1"/>
  <c r="AP33" i="1"/>
  <c r="BF33" i="1" s="1"/>
  <c r="AP36" i="1"/>
  <c r="BF36" i="1" s="1"/>
  <c r="AP35" i="1"/>
  <c r="AP146" i="1"/>
  <c r="BF146" i="1" s="1"/>
  <c r="AR142" i="1"/>
  <c r="BA142" i="1"/>
  <c r="AP136" i="1"/>
  <c r="AP138" i="1"/>
  <c r="BF138" i="1" s="1"/>
  <c r="AP139" i="1"/>
  <c r="BF139" i="1" s="1"/>
  <c r="AV139" i="1"/>
  <c r="AR117" i="1"/>
  <c r="AV117" i="1"/>
  <c r="AR112" i="1"/>
  <c r="BA112" i="1"/>
  <c r="AV112" i="1"/>
  <c r="AX78" i="1"/>
  <c r="AR74" i="1"/>
  <c r="AV74" i="1"/>
  <c r="G68" i="1"/>
  <c r="K68" i="1" s="1"/>
  <c r="BD69" i="1"/>
  <c r="AY11" i="1"/>
  <c r="BC167" i="1"/>
  <c r="I165" i="1"/>
  <c r="AV150" i="1"/>
  <c r="AV142" i="1"/>
  <c r="BE138" i="1"/>
  <c r="BC138" i="1"/>
  <c r="I138" i="1"/>
  <c r="M138" i="1" s="1"/>
  <c r="AW125" i="1"/>
  <c r="AS125" i="1"/>
  <c r="BB125" i="1"/>
  <c r="AU116" i="1"/>
  <c r="BA115" i="1"/>
  <c r="BA108" i="1"/>
  <c r="AR108" i="1"/>
  <c r="AV108" i="1"/>
  <c r="AY102" i="1"/>
  <c r="AS96" i="1"/>
  <c r="AW96" i="1"/>
  <c r="BC82" i="1"/>
  <c r="AR78" i="1"/>
  <c r="BA78" i="1"/>
  <c r="AV78" i="1"/>
  <c r="BD75" i="1"/>
  <c r="AW63" i="1"/>
  <c r="AS63" i="1"/>
  <c r="BB63" i="1"/>
  <c r="AY257" i="1"/>
  <c r="BF243" i="1"/>
  <c r="AY174" i="1"/>
  <c r="BE173" i="1"/>
  <c r="BC172" i="1"/>
  <c r="AT162" i="1"/>
  <c r="AU162" i="1"/>
  <c r="BD162" i="1"/>
  <c r="AZ161" i="1"/>
  <c r="AX157" i="1"/>
  <c r="BB152" i="1"/>
  <c r="AR150" i="1"/>
  <c r="AY72" i="1"/>
  <c r="AZ70" i="1"/>
  <c r="AL49" i="1"/>
  <c r="AY18" i="1"/>
  <c r="AY216" i="1"/>
  <c r="BA162" i="1"/>
  <c r="AW157" i="1"/>
  <c r="AV129" i="1"/>
  <c r="BA129" i="1"/>
  <c r="AR115" i="1"/>
  <c r="BB96" i="1"/>
  <c r="AP72" i="1"/>
  <c r="BF72" i="1" s="1"/>
  <c r="AP69" i="1"/>
  <c r="BF69" i="1" s="1"/>
  <c r="AP70" i="1"/>
  <c r="BF70" i="1" s="1"/>
  <c r="AY49" i="1"/>
  <c r="G244" i="1"/>
  <c r="BD244" i="1" s="1"/>
  <c r="BA216" i="1"/>
  <c r="BC173" i="1"/>
  <c r="AT173" i="1"/>
  <c r="AR159" i="1"/>
  <c r="AR156" i="1"/>
  <c r="AR153" i="1"/>
  <c r="BA153" i="1"/>
  <c r="BE151" i="1"/>
  <c r="BA150" i="1"/>
  <c r="AP144" i="1"/>
  <c r="BF144" i="1" s="1"/>
  <c r="AV133" i="1"/>
  <c r="BB126" i="1"/>
  <c r="BC96" i="1"/>
  <c r="AT96" i="1"/>
  <c r="BE96" i="1"/>
  <c r="AZ91" i="1"/>
  <c r="AV85" i="1"/>
  <c r="AR72" i="1"/>
  <c r="BA72" i="1"/>
  <c r="BF155" i="1"/>
  <c r="AZ154" i="1"/>
  <c r="AY151" i="1"/>
  <c r="AP141" i="1"/>
  <c r="BF141" i="1" s="1"/>
  <c r="AU119" i="1"/>
  <c r="AP116" i="1"/>
  <c r="BF116" i="1" s="1"/>
  <c r="AP118" i="1"/>
  <c r="BF118" i="1" s="1"/>
  <c r="AP114" i="1"/>
  <c r="AZ106" i="1"/>
  <c r="BA74" i="1"/>
  <c r="AT25" i="1"/>
  <c r="BB25" i="1"/>
  <c r="AY19" i="1"/>
  <c r="G6" i="1"/>
  <c r="M6" i="1" s="1"/>
  <c r="BF96" i="1"/>
  <c r="I95" i="1"/>
  <c r="AW95" i="1" s="1"/>
  <c r="BE95" i="1"/>
  <c r="AY75" i="1"/>
  <c r="BE54" i="1"/>
  <c r="AU53" i="1"/>
  <c r="AX53" i="1"/>
  <c r="AP49" i="1"/>
  <c r="BF49" i="1" s="1"/>
  <c r="BA25" i="1"/>
  <c r="AR19" i="1"/>
  <c r="BC109" i="1"/>
  <c r="G83" i="1"/>
  <c r="BE71" i="1"/>
  <c r="AY22" i="1"/>
  <c r="G19" i="1"/>
  <c r="AX96" i="1"/>
  <c r="AR88" i="1"/>
  <c r="AY67" i="1"/>
  <c r="AU60" i="1"/>
  <c r="AX57" i="1"/>
  <c r="BE50" i="1"/>
  <c r="AX49" i="1"/>
  <c r="AX42" i="1"/>
  <c r="BE34" i="1"/>
  <c r="AT34" i="1"/>
  <c r="BD139" i="1"/>
  <c r="AP111" i="1"/>
  <c r="BF111" i="1" s="1"/>
  <c r="AT95" i="1"/>
  <c r="BD77" i="1"/>
  <c r="AT69" i="1"/>
  <c r="BC69" i="1"/>
  <c r="AT62" i="1"/>
  <c r="AL57" i="1"/>
  <c r="AY57" i="1"/>
  <c r="BD53" i="1"/>
  <c r="AP48" i="1"/>
  <c r="BF48" i="1" s="1"/>
  <c r="AL47" i="1"/>
  <c r="AY47" i="1"/>
  <c r="AY40" i="1"/>
  <c r="AZ25" i="1"/>
  <c r="AY8" i="1"/>
  <c r="BA7" i="1"/>
  <c r="AV7" i="1"/>
  <c r="BE148" i="1"/>
  <c r="AY139" i="1"/>
  <c r="AT131" i="1"/>
  <c r="AX129" i="1"/>
  <c r="AX111" i="1"/>
  <c r="AU89" i="1"/>
  <c r="AR79" i="1"/>
  <c r="AX77" i="1"/>
  <c r="AZ76" i="1"/>
  <c r="I71" i="1"/>
  <c r="M71" i="1" s="1"/>
  <c r="BE62" i="1"/>
  <c r="I56" i="1"/>
  <c r="AS56" i="1" s="1"/>
  <c r="BE56" i="1"/>
  <c r="W53" i="1"/>
  <c r="AY25" i="1"/>
  <c r="AR7" i="1"/>
  <c r="AW159" i="1"/>
  <c r="AR145" i="1"/>
  <c r="BB142" i="1"/>
  <c r="BC137" i="1"/>
  <c r="AD130" i="1"/>
  <c r="BA125" i="1"/>
  <c r="AT109" i="1"/>
  <c r="AR104" i="1"/>
  <c r="AU102" i="1"/>
  <c r="AD98" i="1"/>
  <c r="BF98" i="1" s="1"/>
  <c r="AX91" i="1"/>
  <c r="AU77" i="1"/>
  <c r="AS73" i="1"/>
  <c r="BB73" i="1"/>
  <c r="AX71" i="1"/>
  <c r="I70" i="1"/>
  <c r="BB70" i="1" s="1"/>
  <c r="BE70" i="1"/>
  <c r="AY56" i="1"/>
  <c r="AY53" i="1"/>
  <c r="BE48" i="1"/>
  <c r="AP44" i="1"/>
  <c r="AY36" i="1"/>
  <c r="AD35" i="1"/>
  <c r="BE35" i="1" s="1"/>
  <c r="AD37" i="1"/>
  <c r="BE37" i="1" s="1"/>
  <c r="I36" i="1"/>
  <c r="BE36" i="1"/>
  <c r="BD18" i="1"/>
  <c r="AZ18" i="1"/>
  <c r="AZ9" i="1"/>
  <c r="AU139" i="1"/>
  <c r="AU111" i="1"/>
  <c r="BE110" i="1"/>
  <c r="AR98" i="1"/>
  <c r="I84" i="1"/>
  <c r="BB84" i="1" s="1"/>
  <c r="BE84" i="1"/>
  <c r="AR80" i="1"/>
  <c r="AR77" i="1"/>
  <c r="AP75" i="1"/>
  <c r="BF75" i="1" s="1"/>
  <c r="AP74" i="1"/>
  <c r="BF74" i="1" s="1"/>
  <c r="AR25" i="1"/>
  <c r="AX21" i="1"/>
  <c r="BF99" i="1"/>
  <c r="BC95" i="1"/>
  <c r="BD91" i="1"/>
  <c r="BC85" i="1"/>
  <c r="AX76" i="1"/>
  <c r="AZ69" i="1"/>
  <c r="I69" i="1"/>
  <c r="M69" i="1" s="1"/>
  <c r="AP65" i="1"/>
  <c r="AP66" i="1"/>
  <c r="BC62" i="1"/>
  <c r="I54" i="1"/>
  <c r="G47" i="1"/>
  <c r="AX47" i="1" s="1"/>
  <c r="I34" i="1"/>
  <c r="AL27" i="1"/>
  <c r="AZ27" i="1" s="1"/>
  <c r="AZ14" i="1"/>
  <c r="AZ75" i="1"/>
  <c r="AR62" i="1"/>
  <c r="AT48" i="1"/>
  <c r="AW42" i="1"/>
  <c r="AW25" i="1"/>
  <c r="AZ21" i="1"/>
  <c r="BC11" i="1"/>
  <c r="AP53" i="1"/>
  <c r="BF53" i="1" s="1"/>
  <c r="AZ39" i="1"/>
  <c r="AY16" i="1"/>
  <c r="G7" i="1"/>
  <c r="K7" i="1" s="1"/>
  <c r="AV58" i="1"/>
  <c r="AZ43" i="1"/>
  <c r="AZ61" i="1"/>
  <c r="AY41" i="1"/>
  <c r="G25" i="1"/>
  <c r="K25" i="1" s="1"/>
  <c r="S69" i="1"/>
  <c r="AV69" i="1" s="1"/>
  <c r="I41" i="1"/>
  <c r="BE611" i="1"/>
  <c r="BB675" i="1"/>
  <c r="BB655" i="1"/>
  <c r="BF614" i="1"/>
  <c r="AS600" i="1"/>
  <c r="BF812" i="1"/>
  <c r="AS676" i="1"/>
  <c r="BB660" i="1"/>
  <c r="BE628" i="1"/>
  <c r="BB583" i="1"/>
  <c r="AS583" i="1"/>
  <c r="AS550" i="1"/>
  <c r="BD668" i="1"/>
  <c r="AU668" i="1"/>
  <c r="I608" i="1"/>
  <c r="BC608" i="1"/>
  <c r="BE608" i="1"/>
  <c r="BE817" i="1"/>
  <c r="BF817" i="1"/>
  <c r="BB674" i="1"/>
  <c r="BE610" i="1"/>
  <c r="AT610" i="1"/>
  <c r="I610" i="1"/>
  <c r="AR330" i="1"/>
  <c r="AV330" i="1"/>
  <c r="BA330" i="1"/>
  <c r="AU626" i="1"/>
  <c r="BD626" i="1"/>
  <c r="AS618" i="1"/>
  <c r="BB618" i="1"/>
  <c r="BE661" i="1"/>
  <c r="BF661" i="1"/>
  <c r="AV342" i="1"/>
  <c r="BA342" i="1"/>
  <c r="AR342" i="1"/>
  <c r="BB676" i="1"/>
  <c r="AU601" i="1"/>
  <c r="BD601" i="1"/>
  <c r="BD594" i="1"/>
  <c r="BE804" i="1"/>
  <c r="BF804" i="1"/>
  <c r="BE799" i="1"/>
  <c r="BF799" i="1"/>
  <c r="AS666" i="1"/>
  <c r="BF598" i="1"/>
  <c r="AV442" i="1"/>
  <c r="BA442" i="1"/>
  <c r="AR442" i="1"/>
  <c r="AV418" i="1"/>
  <c r="BA418" i="1"/>
  <c r="AR418" i="1"/>
  <c r="BE662" i="1"/>
  <c r="BF662" i="1"/>
  <c r="BE654" i="1"/>
  <c r="BF654" i="1"/>
  <c r="AU635" i="1"/>
  <c r="BD635" i="1"/>
  <c r="BE625" i="1"/>
  <c r="BF625" i="1"/>
  <c r="BE603" i="1"/>
  <c r="BF603" i="1"/>
  <c r="BF596" i="1"/>
  <c r="BB638" i="1"/>
  <c r="AS638" i="1"/>
  <c r="BB607" i="1"/>
  <c r="AS607" i="1"/>
  <c r="AS538" i="1"/>
  <c r="AV327" i="1"/>
  <c r="BA327" i="1"/>
  <c r="AV320" i="1"/>
  <c r="BA320" i="1"/>
  <c r="AR320" i="1"/>
  <c r="AV312" i="1"/>
  <c r="AR305" i="1"/>
  <c r="AV305" i="1"/>
  <c r="BF816" i="1"/>
  <c r="BF810" i="1"/>
  <c r="BF793" i="1"/>
  <c r="AL653" i="1"/>
  <c r="AZ653" i="1" s="1"/>
  <c r="AS637" i="1"/>
  <c r="BE630" i="1"/>
  <c r="AT630" i="1"/>
  <c r="AS620" i="1"/>
  <c r="BF612" i="1"/>
  <c r="AT603" i="1"/>
  <c r="I603" i="1"/>
  <c r="BC603" i="1"/>
  <c r="AS573" i="1"/>
  <c r="AS562" i="1"/>
  <c r="AS540" i="1"/>
  <c r="AS496" i="1"/>
  <c r="BE448" i="1"/>
  <c r="BF448" i="1"/>
  <c r="AT335" i="1"/>
  <c r="AS273" i="1"/>
  <c r="AW273" i="1"/>
  <c r="AV188" i="1"/>
  <c r="BA188" i="1"/>
  <c r="AR188" i="1"/>
  <c r="BB6" i="1"/>
  <c r="AW6" i="1"/>
  <c r="AS6" i="1"/>
  <c r="AU267" i="1"/>
  <c r="BD267" i="1"/>
  <c r="AX267" i="1"/>
  <c r="AZ242" i="1"/>
  <c r="BE813" i="1"/>
  <c r="BC638" i="1"/>
  <c r="BE638" i="1"/>
  <c r="AT605" i="1"/>
  <c r="AT582" i="1"/>
  <c r="I582" i="1"/>
  <c r="AS565" i="1"/>
  <c r="AS542" i="1"/>
  <c r="AS533" i="1"/>
  <c r="AS532" i="1"/>
  <c r="AS524" i="1"/>
  <c r="AS485" i="1"/>
  <c r="AS472" i="1"/>
  <c r="AR460" i="1"/>
  <c r="AV460" i="1"/>
  <c r="BA460" i="1"/>
  <c r="BA454" i="1"/>
  <c r="AV454" i="1"/>
  <c r="AY440" i="1"/>
  <c r="BA439" i="1"/>
  <c r="AR439" i="1"/>
  <c r="AV439" i="1"/>
  <c r="AZ437" i="1"/>
  <c r="BA428" i="1"/>
  <c r="AR428" i="1"/>
  <c r="AV428" i="1"/>
  <c r="BA415" i="1"/>
  <c r="BB376" i="1"/>
  <c r="AW376" i="1"/>
  <c r="BA360" i="1"/>
  <c r="AV360" i="1"/>
  <c r="BA319" i="1"/>
  <c r="AR312" i="1"/>
  <c r="BA305" i="1"/>
  <c r="AR286" i="1"/>
  <c r="BA286" i="1"/>
  <c r="AZ253" i="1"/>
  <c r="AS632" i="1"/>
  <c r="BE600" i="1"/>
  <c r="AS558" i="1"/>
  <c r="AS478" i="1"/>
  <c r="AS475" i="1"/>
  <c r="BC468" i="1"/>
  <c r="BE468" i="1"/>
  <c r="I468" i="1"/>
  <c r="BB460" i="1"/>
  <c r="AU452" i="1"/>
  <c r="AR417" i="1"/>
  <c r="AV417" i="1"/>
  <c r="AR325" i="1"/>
  <c r="AR278" i="1"/>
  <c r="BA278" i="1"/>
  <c r="AV278" i="1"/>
  <c r="G726" i="1"/>
  <c r="AU726" i="1" s="1"/>
  <c r="BB647" i="1"/>
  <c r="G630" i="1"/>
  <c r="AS626" i="1"/>
  <c r="BE594" i="1"/>
  <c r="I581" i="1"/>
  <c r="AT581" i="1"/>
  <c r="AS541" i="1"/>
  <c r="AS527" i="1"/>
  <c r="AS526" i="1"/>
  <c r="AW460" i="1"/>
  <c r="AP459" i="1"/>
  <c r="BF459" i="1" s="1"/>
  <c r="AS453" i="1"/>
  <c r="AW453" i="1"/>
  <c r="BB453" i="1"/>
  <c r="BC400" i="1"/>
  <c r="BE400" i="1"/>
  <c r="I400" i="1"/>
  <c r="AT400" i="1"/>
  <c r="BE280" i="1"/>
  <c r="I280" i="1"/>
  <c r="AT280" i="1"/>
  <c r="BC280" i="1"/>
  <c r="AY271" i="1"/>
  <c r="BE659" i="1"/>
  <c r="BF659" i="1"/>
  <c r="BB614" i="1"/>
  <c r="BF613" i="1"/>
  <c r="BE605" i="1"/>
  <c r="AS554" i="1"/>
  <c r="AS510" i="1"/>
  <c r="G439" i="1"/>
  <c r="AU439" i="1" s="1"/>
  <c r="AY438" i="1"/>
  <c r="AL438" i="1"/>
  <c r="AZ438" i="1" s="1"/>
  <c r="BA435" i="1"/>
  <c r="AR435" i="1"/>
  <c r="AV435" i="1"/>
  <c r="BA424" i="1"/>
  <c r="AR424" i="1"/>
  <c r="AV424" i="1"/>
  <c r="AV405" i="1"/>
  <c r="AR405" i="1"/>
  <c r="AW372" i="1"/>
  <c r="AR341" i="1"/>
  <c r="AV323" i="1"/>
  <c r="BA323" i="1"/>
  <c r="AR323" i="1"/>
  <c r="AV308" i="1"/>
  <c r="AR308" i="1"/>
  <c r="BD299" i="1"/>
  <c r="AY280" i="1"/>
  <c r="AV242" i="1"/>
  <c r="AR242" i="1"/>
  <c r="BA242" i="1"/>
  <c r="S788" i="1"/>
  <c r="AV788" i="1" s="1"/>
  <c r="AT606" i="1"/>
  <c r="I516" i="1"/>
  <c r="AW516" i="1" s="1"/>
  <c r="BF516" i="1"/>
  <c r="AT516" i="1"/>
  <c r="AP457" i="1"/>
  <c r="BF457" i="1" s="1"/>
  <c r="AS456" i="1"/>
  <c r="AW456" i="1"/>
  <c r="BA450" i="1"/>
  <c r="AV450" i="1"/>
  <c r="AZ430" i="1"/>
  <c r="AR406" i="1"/>
  <c r="AV406" i="1"/>
  <c r="AR404" i="1"/>
  <c r="AV404" i="1"/>
  <c r="AV367" i="1"/>
  <c r="BA367" i="1"/>
  <c r="I319" i="1"/>
  <c r="BC319" i="1"/>
  <c r="BE319" i="1"/>
  <c r="AT319" i="1"/>
  <c r="AZ299" i="1"/>
  <c r="AV249" i="1"/>
  <c r="BA249" i="1"/>
  <c r="AR249" i="1"/>
  <c r="AU235" i="1"/>
  <c r="BD235" i="1"/>
  <c r="AS520" i="1"/>
  <c r="AU460" i="1"/>
  <c r="AX299" i="1"/>
  <c r="AR228" i="1"/>
  <c r="BA228" i="1"/>
  <c r="AV228" i="1"/>
  <c r="S789" i="1"/>
  <c r="AV789" i="1" s="1"/>
  <c r="BE652" i="1"/>
  <c r="BF652" i="1"/>
  <c r="W645" i="1"/>
  <c r="AR645" i="1" s="1"/>
  <c r="BE622" i="1"/>
  <c r="AZ460" i="1"/>
  <c r="AV377" i="1"/>
  <c r="BA377" i="1"/>
  <c r="AR377" i="1"/>
  <c r="BB372" i="1"/>
  <c r="BC372" i="1"/>
  <c r="BF372" i="1"/>
  <c r="BC333" i="1"/>
  <c r="BF333" i="1"/>
  <c r="BE629" i="1"/>
  <c r="BF803" i="1"/>
  <c r="BF798" i="1"/>
  <c r="BF789" i="1"/>
  <c r="BB664" i="1"/>
  <c r="BB663" i="1"/>
  <c r="BF651" i="1"/>
  <c r="BB632" i="1"/>
  <c r="AS622" i="1"/>
  <c r="BB611" i="1"/>
  <c r="AT596" i="1"/>
  <c r="I596" i="1"/>
  <c r="BC596" i="1"/>
  <c r="I586" i="1"/>
  <c r="BC586" i="1"/>
  <c r="BE586" i="1"/>
  <c r="AR583" i="1"/>
  <c r="AU494" i="1"/>
  <c r="G484" i="1"/>
  <c r="AU484" i="1" s="1"/>
  <c r="AP461" i="1"/>
  <c r="BF461" i="1" s="1"/>
  <c r="AR454" i="1"/>
  <c r="BA443" i="1"/>
  <c r="AR443" i="1"/>
  <c r="AV443" i="1"/>
  <c r="AR426" i="1"/>
  <c r="AV426" i="1"/>
  <c r="AR389" i="1"/>
  <c r="AV389" i="1"/>
  <c r="BA389" i="1"/>
  <c r="AV383" i="1"/>
  <c r="AV382" i="1"/>
  <c r="BA382" i="1"/>
  <c r="AZ363" i="1"/>
  <c r="AR343" i="1"/>
  <c r="AV343" i="1"/>
  <c r="AV325" i="1"/>
  <c r="AV311" i="1"/>
  <c r="AR311" i="1"/>
  <c r="AR298" i="1"/>
  <c r="AV298" i="1"/>
  <c r="BA298" i="1"/>
  <c r="AV286" i="1"/>
  <c r="AR259" i="1"/>
  <c r="BA259" i="1"/>
  <c r="AV259" i="1"/>
  <c r="AS559" i="1"/>
  <c r="AS521" i="1"/>
  <c r="AS504" i="1"/>
  <c r="AS489" i="1"/>
  <c r="BA447" i="1"/>
  <c r="AV447" i="1"/>
  <c r="BC438" i="1"/>
  <c r="BE438" i="1"/>
  <c r="I438" i="1"/>
  <c r="AT438" i="1"/>
  <c r="BF438" i="1"/>
  <c r="BA433" i="1"/>
  <c r="AR433" i="1"/>
  <c r="AR427" i="1"/>
  <c r="AV427" i="1"/>
  <c r="AT291" i="1"/>
  <c r="BC291" i="1"/>
  <c r="BE291" i="1"/>
  <c r="BF291" i="1"/>
  <c r="I291" i="1"/>
  <c r="AW256" i="1"/>
  <c r="AS256" i="1"/>
  <c r="BB256" i="1"/>
  <c r="AS246" i="1"/>
  <c r="BB246" i="1"/>
  <c r="AW246" i="1"/>
  <c r="G643" i="1"/>
  <c r="M643" i="1" s="1"/>
  <c r="AS471" i="1"/>
  <c r="AR462" i="1"/>
  <c r="AV462" i="1"/>
  <c r="BA462" i="1"/>
  <c r="AV453" i="1"/>
  <c r="BA453" i="1"/>
  <c r="AV433" i="1"/>
  <c r="AV431" i="1"/>
  <c r="BA431" i="1"/>
  <c r="BF335" i="1"/>
  <c r="AW335" i="1"/>
  <c r="BB335" i="1"/>
  <c r="AR327" i="1"/>
  <c r="AY231" i="1"/>
  <c r="AV231" i="1"/>
  <c r="S791" i="1"/>
  <c r="AV791" i="1" s="1"/>
  <c r="AS657" i="1"/>
  <c r="BE601" i="1"/>
  <c r="BE555" i="1"/>
  <c r="I555" i="1"/>
  <c r="AT555" i="1"/>
  <c r="S812" i="1"/>
  <c r="AV812" i="1" s="1"/>
  <c r="BE809" i="1"/>
  <c r="BF805" i="1"/>
  <c r="BF792" i="1"/>
  <c r="BF791" i="1"/>
  <c r="BE783" i="1"/>
  <c r="AT687" i="1"/>
  <c r="S666" i="1"/>
  <c r="BC623" i="1"/>
  <c r="BF604" i="1"/>
  <c r="BC601" i="1"/>
  <c r="AS587" i="1"/>
  <c r="AT584" i="1"/>
  <c r="I584" i="1"/>
  <c r="AS561" i="1"/>
  <c r="AS560" i="1"/>
  <c r="AU539" i="1"/>
  <c r="AS500" i="1"/>
  <c r="I462" i="1"/>
  <c r="M462" i="1" s="1"/>
  <c r="AU456" i="1"/>
  <c r="BA406" i="1"/>
  <c r="BA404" i="1"/>
  <c r="AR382" i="1"/>
  <c r="AT371" i="1"/>
  <c r="BF371" i="1"/>
  <c r="BC371" i="1"/>
  <c r="BE371" i="1"/>
  <c r="BA357" i="1"/>
  <c r="AV357" i="1"/>
  <c r="BA312" i="1"/>
  <c r="BA220" i="1"/>
  <c r="AV220" i="1"/>
  <c r="AR220" i="1"/>
  <c r="AS687" i="1"/>
  <c r="AS635" i="1"/>
  <c r="AS572" i="1"/>
  <c r="AS482" i="1"/>
  <c r="BB471" i="1"/>
  <c r="AP460" i="1"/>
  <c r="AP464" i="1"/>
  <c r="BF464" i="1" s="1"/>
  <c r="AP456" i="1"/>
  <c r="BF456" i="1" s="1"/>
  <c r="AP463" i="1"/>
  <c r="BF463" i="1" s="1"/>
  <c r="AU462" i="1"/>
  <c r="AX462" i="1"/>
  <c r="AW449" i="1"/>
  <c r="BB449" i="1"/>
  <c r="AZ434" i="1"/>
  <c r="BA365" i="1"/>
  <c r="AV365" i="1"/>
  <c r="AR319" i="1"/>
  <c r="BA239" i="1"/>
  <c r="AR239" i="1"/>
  <c r="AV239" i="1"/>
  <c r="I473" i="1"/>
  <c r="AV461" i="1"/>
  <c r="AV459" i="1"/>
  <c r="AV457" i="1"/>
  <c r="AW454" i="1"/>
  <c r="BE453" i="1"/>
  <c r="AW450" i="1"/>
  <c r="BF434" i="1"/>
  <c r="AT433" i="1"/>
  <c r="AV432" i="1"/>
  <c r="BB363" i="1"/>
  <c r="AX355" i="1"/>
  <c r="BB333" i="1"/>
  <c r="AR314" i="1"/>
  <c r="AV303" i="1"/>
  <c r="AV299" i="1"/>
  <c r="AR292" i="1"/>
  <c r="AR288" i="1"/>
  <c r="BA288" i="1"/>
  <c r="AV288" i="1"/>
  <c r="AZ277" i="1"/>
  <c r="AZ273" i="1"/>
  <c r="BF256" i="1"/>
  <c r="AR221" i="1"/>
  <c r="BA221" i="1"/>
  <c r="AZ216" i="1"/>
  <c r="I214" i="1"/>
  <c r="M214" i="1" s="1"/>
  <c r="BC214" i="1"/>
  <c r="BE214" i="1"/>
  <c r="AT214" i="1"/>
  <c r="AZ202" i="1"/>
  <c r="I169" i="1"/>
  <c r="BE169" i="1"/>
  <c r="AD170" i="1"/>
  <c r="BC169" i="1"/>
  <c r="AD171" i="1"/>
  <c r="AT169" i="1"/>
  <c r="AT473" i="1"/>
  <c r="AS470" i="1"/>
  <c r="AS463" i="1"/>
  <c r="BA455" i="1"/>
  <c r="BC446" i="1"/>
  <c r="AV440" i="1"/>
  <c r="I440" i="1"/>
  <c r="M440" i="1" s="1"/>
  <c r="BE434" i="1"/>
  <c r="AR434" i="1"/>
  <c r="AS433" i="1"/>
  <c r="AV408" i="1"/>
  <c r="BA392" i="1"/>
  <c r="BA374" i="1"/>
  <c r="BE372" i="1"/>
  <c r="BA363" i="1"/>
  <c r="AT363" i="1"/>
  <c r="BE363" i="1"/>
  <c r="AP362" i="1"/>
  <c r="BF362" i="1" s="1"/>
  <c r="BA339" i="1"/>
  <c r="AV334" i="1"/>
  <c r="BE333" i="1"/>
  <c r="AX333" i="1"/>
  <c r="AV316" i="1"/>
  <c r="BA303" i="1"/>
  <c r="AV302" i="1"/>
  <c r="BA300" i="1"/>
  <c r="BE277" i="1"/>
  <c r="I277" i="1"/>
  <c r="AT277" i="1"/>
  <c r="BC277" i="1"/>
  <c r="AR276" i="1"/>
  <c r="BA276" i="1"/>
  <c r="AR271" i="1"/>
  <c r="AY252" i="1"/>
  <c r="AY208" i="1"/>
  <c r="BB469" i="1"/>
  <c r="AW448" i="1"/>
  <c r="BF447" i="1"/>
  <c r="AR414" i="1"/>
  <c r="AR412" i="1"/>
  <c r="AV355" i="1"/>
  <c r="AR344" i="1"/>
  <c r="AW333" i="1"/>
  <c r="AX319" i="1"/>
  <c r="AR291" i="1"/>
  <c r="BA291" i="1"/>
  <c r="AV280" i="1"/>
  <c r="AR264" i="1"/>
  <c r="BA264" i="1"/>
  <c r="AS251" i="1"/>
  <c r="AW251" i="1"/>
  <c r="BB251" i="1"/>
  <c r="BB247" i="1"/>
  <c r="AW247" i="1"/>
  <c r="AS247" i="1"/>
  <c r="AR215" i="1"/>
  <c r="BA215" i="1"/>
  <c r="AV215" i="1"/>
  <c r="AZ201" i="1"/>
  <c r="AR467" i="1"/>
  <c r="AR461" i="1"/>
  <c r="AR459" i="1"/>
  <c r="AR457" i="1"/>
  <c r="AS454" i="1"/>
  <c r="AS450" i="1"/>
  <c r="AS447" i="1"/>
  <c r="BF440" i="1"/>
  <c r="AT440" i="1"/>
  <c r="BF435" i="1"/>
  <c r="AT435" i="1"/>
  <c r="AV430" i="1"/>
  <c r="AV399" i="1"/>
  <c r="AV386" i="1"/>
  <c r="AV375" i="1"/>
  <c r="AV372" i="1"/>
  <c r="AU355" i="1"/>
  <c r="BA335" i="1"/>
  <c r="AL291" i="1"/>
  <c r="AY291" i="1"/>
  <c r="AT267" i="1"/>
  <c r="BC267" i="1"/>
  <c r="BE267" i="1"/>
  <c r="AY253" i="1"/>
  <c r="AV250" i="1"/>
  <c r="AR250" i="1"/>
  <c r="BA250" i="1"/>
  <c r="AR247" i="1"/>
  <c r="BA247" i="1"/>
  <c r="AX232" i="1"/>
  <c r="AU232" i="1"/>
  <c r="BB229" i="1"/>
  <c r="AW229" i="1"/>
  <c r="AS194" i="1"/>
  <c r="BB194" i="1"/>
  <c r="AW194" i="1"/>
  <c r="BA179" i="1"/>
  <c r="AV179" i="1"/>
  <c r="AS258" i="1"/>
  <c r="BB258" i="1"/>
  <c r="AW258" i="1"/>
  <c r="AT256" i="1"/>
  <c r="BE256" i="1"/>
  <c r="AR252" i="1"/>
  <c r="BA252" i="1"/>
  <c r="AR225" i="1"/>
  <c r="AV225" i="1"/>
  <c r="AR210" i="1"/>
  <c r="BA210" i="1"/>
  <c r="AV210" i="1"/>
  <c r="AR86" i="1"/>
  <c r="AV86" i="1"/>
  <c r="BA86" i="1"/>
  <c r="BF655" i="1"/>
  <c r="BF621" i="1"/>
  <c r="BE489" i="1"/>
  <c r="AP467" i="1"/>
  <c r="BF467" i="1" s="1"/>
  <c r="AP454" i="1"/>
  <c r="BF454" i="1" s="1"/>
  <c r="AT452" i="1"/>
  <c r="I452" i="1"/>
  <c r="M452" i="1" s="1"/>
  <c r="AT441" i="1"/>
  <c r="AT437" i="1"/>
  <c r="AR408" i="1"/>
  <c r="AZ405" i="1"/>
  <c r="BA391" i="1"/>
  <c r="AW363" i="1"/>
  <c r="BA355" i="1"/>
  <c r="AV347" i="1"/>
  <c r="AR345" i="1"/>
  <c r="AR336" i="1"/>
  <c r="BC335" i="1"/>
  <c r="AT333" i="1"/>
  <c r="BE321" i="1"/>
  <c r="AT321" i="1"/>
  <c r="I321" i="1"/>
  <c r="AU319" i="1"/>
  <c r="AR316" i="1"/>
  <c r="BE313" i="1"/>
  <c r="AV307" i="1"/>
  <c r="AR302" i="1"/>
  <c r="AR295" i="1"/>
  <c r="AR280" i="1"/>
  <c r="AY273" i="1"/>
  <c r="AV264" i="1"/>
  <c r="AZ257" i="1"/>
  <c r="AR257" i="1"/>
  <c r="BA257" i="1"/>
  <c r="AV257" i="1"/>
  <c r="AY129" i="1"/>
  <c r="AT369" i="1"/>
  <c r="BE369" i="1"/>
  <c r="AR355" i="1"/>
  <c r="AR338" i="1"/>
  <c r="AS333" i="1"/>
  <c r="BD333" i="1"/>
  <c r="AT313" i="1"/>
  <c r="AV306" i="1"/>
  <c r="BA299" i="1"/>
  <c r="AV294" i="1"/>
  <c r="BF280" i="1"/>
  <c r="AY277" i="1"/>
  <c r="AR260" i="1"/>
  <c r="BA260" i="1"/>
  <c r="AV260" i="1"/>
  <c r="BC256" i="1"/>
  <c r="AV236" i="1"/>
  <c r="BA236" i="1"/>
  <c r="BA190" i="1"/>
  <c r="AV190" i="1"/>
  <c r="BA356" i="1"/>
  <c r="BA338" i="1"/>
  <c r="AS335" i="1"/>
  <c r="AV292" i="1"/>
  <c r="AR287" i="1"/>
  <c r="BA287" i="1"/>
  <c r="AV287" i="1"/>
  <c r="I278" i="1"/>
  <c r="M278" i="1" s="1"/>
  <c r="AT278" i="1"/>
  <c r="AY251" i="1"/>
  <c r="AZ238" i="1"/>
  <c r="BE236" i="1"/>
  <c r="AV235" i="1"/>
  <c r="BA235" i="1"/>
  <c r="AR235" i="1"/>
  <c r="BD232" i="1"/>
  <c r="AV224" i="1"/>
  <c r="BA224" i="1"/>
  <c r="AU223" i="1"/>
  <c r="BD223" i="1"/>
  <c r="AX208" i="1"/>
  <c r="AU208" i="1"/>
  <c r="BD208" i="1"/>
  <c r="AV196" i="1"/>
  <c r="AR196" i="1"/>
  <c r="BA196" i="1"/>
  <c r="BA193" i="1"/>
  <c r="AV335" i="1"/>
  <c r="BD319" i="1"/>
  <c r="AZ271" i="1"/>
  <c r="BA245" i="1"/>
  <c r="AV245" i="1"/>
  <c r="AY243" i="1"/>
  <c r="AT239" i="1"/>
  <c r="BC239" i="1"/>
  <c r="BE239" i="1"/>
  <c r="I239" i="1"/>
  <c r="BF239" i="1"/>
  <c r="AY236" i="1"/>
  <c r="AP214" i="1"/>
  <c r="AP213" i="1"/>
  <c r="BF213" i="1" s="1"/>
  <c r="AP212" i="1"/>
  <c r="BF212" i="1" s="1"/>
  <c r="AZ194" i="1"/>
  <c r="BD189" i="1"/>
  <c r="AX189" i="1"/>
  <c r="AS372" i="1"/>
  <c r="AR273" i="1"/>
  <c r="BA273" i="1"/>
  <c r="I271" i="1"/>
  <c r="AT271" i="1"/>
  <c r="AY270" i="1"/>
  <c r="I267" i="1"/>
  <c r="M267" i="1" s="1"/>
  <c r="AS259" i="1"/>
  <c r="BB259" i="1"/>
  <c r="AW259" i="1"/>
  <c r="AZ256" i="1"/>
  <c r="BA253" i="1"/>
  <c r="AR253" i="1"/>
  <c r="AV253" i="1"/>
  <c r="AV247" i="1"/>
  <c r="BA237" i="1"/>
  <c r="AV237" i="1"/>
  <c r="AV232" i="1"/>
  <c r="AY229" i="1"/>
  <c r="AY220" i="1"/>
  <c r="BA275" i="1"/>
  <c r="AR275" i="1"/>
  <c r="AS240" i="1"/>
  <c r="AT237" i="1"/>
  <c r="BC237" i="1"/>
  <c r="BE237" i="1"/>
  <c r="AX228" i="1"/>
  <c r="BA222" i="1"/>
  <c r="AW219" i="1"/>
  <c r="AV199" i="1"/>
  <c r="BA199" i="1"/>
  <c r="AT191" i="1"/>
  <c r="I191" i="1"/>
  <c r="M191" i="1" s="1"/>
  <c r="BC191" i="1"/>
  <c r="BA183" i="1"/>
  <c r="AP183" i="1"/>
  <c r="AP179" i="1"/>
  <c r="AP178" i="1"/>
  <c r="AP182" i="1"/>
  <c r="AP181" i="1"/>
  <c r="BF181" i="1" s="1"/>
  <c r="AT160" i="1"/>
  <c r="BC160" i="1"/>
  <c r="BE160" i="1"/>
  <c r="AS160" i="1"/>
  <c r="AV277" i="1"/>
  <c r="BB263" i="1"/>
  <c r="BE257" i="1"/>
  <c r="BE253" i="1"/>
  <c r="BC253" i="1"/>
  <c r="AR248" i="1"/>
  <c r="AR244" i="1"/>
  <c r="AP235" i="1"/>
  <c r="AX230" i="1"/>
  <c r="AP228" i="1"/>
  <c r="AP226" i="1"/>
  <c r="BF226" i="1" s="1"/>
  <c r="AP230" i="1"/>
  <c r="AP229" i="1"/>
  <c r="AP227" i="1"/>
  <c r="BF227" i="1" s="1"/>
  <c r="AV219" i="1"/>
  <c r="AU197" i="1"/>
  <c r="BD197" i="1"/>
  <c r="AX197" i="1"/>
  <c r="BA186" i="1"/>
  <c r="AV186" i="1"/>
  <c r="AY181" i="1"/>
  <c r="AS263" i="1"/>
  <c r="AZ251" i="1"/>
  <c r="AR251" i="1"/>
  <c r="BA251" i="1"/>
  <c r="AZ225" i="1"/>
  <c r="BC220" i="1"/>
  <c r="AV216" i="1"/>
  <c r="AP194" i="1"/>
  <c r="BF194" i="1" s="1"/>
  <c r="AP193" i="1"/>
  <c r="BF193" i="1" s="1"/>
  <c r="AP196" i="1"/>
  <c r="BF196" i="1" s="1"/>
  <c r="AP190" i="1"/>
  <c r="AP191" i="1"/>
  <c r="BF191" i="1" s="1"/>
  <c r="AP192" i="1"/>
  <c r="BF192" i="1" s="1"/>
  <c r="BE191" i="1"/>
  <c r="BC251" i="1"/>
  <c r="BE251" i="1"/>
  <c r="AT249" i="1"/>
  <c r="BC249" i="1"/>
  <c r="I249" i="1"/>
  <c r="AV222" i="1"/>
  <c r="AR222" i="1"/>
  <c r="AV218" i="1"/>
  <c r="BA284" i="1"/>
  <c r="AR277" i="1"/>
  <c r="AT270" i="1"/>
  <c r="AV269" i="1"/>
  <c r="AW268" i="1"/>
  <c r="AV266" i="1"/>
  <c r="AR261" i="1"/>
  <c r="AS260" i="1"/>
  <c r="AV255" i="1"/>
  <c r="AW254" i="1"/>
  <c r="I244" i="1"/>
  <c r="AT244" i="1"/>
  <c r="AR232" i="1"/>
  <c r="BA232" i="1"/>
  <c r="I225" i="1"/>
  <c r="BE225" i="1"/>
  <c r="BF223" i="1"/>
  <c r="BA223" i="1"/>
  <c r="AT222" i="1"/>
  <c r="AV204" i="1"/>
  <c r="BA204" i="1"/>
  <c r="AV189" i="1"/>
  <c r="BA189" i="1"/>
  <c r="AF186" i="1"/>
  <c r="AF183" i="1"/>
  <c r="AF185" i="1"/>
  <c r="AF184" i="1"/>
  <c r="AR166" i="1"/>
  <c r="BA166" i="1"/>
  <c r="AV166" i="1"/>
  <c r="AT273" i="1"/>
  <c r="BA270" i="1"/>
  <c r="AY244" i="1"/>
  <c r="AT242" i="1"/>
  <c r="AP238" i="1"/>
  <c r="BF238" i="1" s="1"/>
  <c r="AP232" i="1"/>
  <c r="AP233" i="1"/>
  <c r="BF233" i="1" s="1"/>
  <c r="G236" i="1"/>
  <c r="M236" i="1" s="1"/>
  <c r="BD228" i="1"/>
  <c r="AW227" i="1"/>
  <c r="I222" i="1"/>
  <c r="M222" i="1" s="1"/>
  <c r="AS220" i="1"/>
  <c r="AW220" i="1"/>
  <c r="AR218" i="1"/>
  <c r="I133" i="1"/>
  <c r="BC133" i="1"/>
  <c r="AT133" i="1"/>
  <c r="BE133" i="1"/>
  <c r="BB269" i="1"/>
  <c r="BB266" i="1"/>
  <c r="BC265" i="1"/>
  <c r="BA258" i="1"/>
  <c r="BB257" i="1"/>
  <c r="AV256" i="1"/>
  <c r="BE249" i="1"/>
  <c r="BA246" i="1"/>
  <c r="AV246" i="1"/>
  <c r="AZ245" i="1"/>
  <c r="AU245" i="1"/>
  <c r="AZ244" i="1"/>
  <c r="G242" i="1"/>
  <c r="BB240" i="1"/>
  <c r="AP237" i="1"/>
  <c r="BF237" i="1" s="1"/>
  <c r="I237" i="1"/>
  <c r="AV233" i="1"/>
  <c r="AR231" i="1"/>
  <c r="BA231" i="1"/>
  <c r="AR230" i="1"/>
  <c r="AZ226" i="1"/>
  <c r="AW226" i="1"/>
  <c r="BD222" i="1"/>
  <c r="AR199" i="1"/>
  <c r="AP195" i="1"/>
  <c r="BA182" i="1"/>
  <c r="AV182" i="1"/>
  <c r="AR181" i="1"/>
  <c r="AV181" i="1"/>
  <c r="BA181" i="1"/>
  <c r="AY168" i="1"/>
  <c r="BA269" i="1"/>
  <c r="BB268" i="1"/>
  <c r="BA266" i="1"/>
  <c r="AU256" i="1"/>
  <c r="BA255" i="1"/>
  <c r="AS255" i="1"/>
  <c r="BB254" i="1"/>
  <c r="G253" i="1"/>
  <c r="K253" i="1" s="1"/>
  <c r="AZ252" i="1"/>
  <c r="AV251" i="1"/>
  <c r="BE242" i="1"/>
  <c r="BB236" i="1"/>
  <c r="AR234" i="1"/>
  <c r="AZ231" i="1"/>
  <c r="I228" i="1"/>
  <c r="M228" i="1" s="1"/>
  <c r="BE228" i="1"/>
  <c r="BC228" i="1"/>
  <c r="I223" i="1"/>
  <c r="M223" i="1" s="1"/>
  <c r="AT223" i="1"/>
  <c r="BC223" i="1"/>
  <c r="AY221" i="1"/>
  <c r="BA207" i="1"/>
  <c r="AR207" i="1"/>
  <c r="AD197" i="1"/>
  <c r="BF197" i="1" s="1"/>
  <c r="AD198" i="1"/>
  <c r="BF198" i="1" s="1"/>
  <c r="BE196" i="1"/>
  <c r="I196" i="1"/>
  <c r="BC196" i="1"/>
  <c r="BA194" i="1"/>
  <c r="AV194" i="1"/>
  <c r="AF176" i="1"/>
  <c r="AF177" i="1"/>
  <c r="AF179" i="1"/>
  <c r="AF178" i="1"/>
  <c r="I253" i="1"/>
  <c r="AT251" i="1"/>
  <c r="G249" i="1"/>
  <c r="K249" i="1" s="1"/>
  <c r="AV244" i="1"/>
  <c r="AV238" i="1"/>
  <c r="BE220" i="1"/>
  <c r="AT220" i="1"/>
  <c r="AO219" i="1"/>
  <c r="AP219" i="1"/>
  <c r="BF219" i="1" s="1"/>
  <c r="AU216" i="1"/>
  <c r="AD195" i="1"/>
  <c r="AU188" i="1"/>
  <c r="BD188" i="1"/>
  <c r="AV167" i="1"/>
  <c r="AR167" i="1"/>
  <c r="BA167" i="1"/>
  <c r="AV148" i="1"/>
  <c r="AR148" i="1"/>
  <c r="BA148" i="1"/>
  <c r="BC235" i="1"/>
  <c r="BB211" i="1"/>
  <c r="I201" i="1"/>
  <c r="M201" i="1" s="1"/>
  <c r="BC201" i="1"/>
  <c r="BA177" i="1"/>
  <c r="AU170" i="1"/>
  <c r="BD170" i="1"/>
  <c r="AX170" i="1"/>
  <c r="AY169" i="1"/>
  <c r="AU166" i="1"/>
  <c r="AX166" i="1"/>
  <c r="BD166" i="1"/>
  <c r="AZ159" i="1"/>
  <c r="AY138" i="1"/>
  <c r="AZ134" i="1"/>
  <c r="AU211" i="1"/>
  <c r="BD211" i="1"/>
  <c r="AU194" i="1"/>
  <c r="AD186" i="1"/>
  <c r="AD183" i="1"/>
  <c r="AD182" i="1"/>
  <c r="AD185" i="1"/>
  <c r="BE188" i="1"/>
  <c r="I188" i="1"/>
  <c r="BC188" i="1"/>
  <c r="AD184" i="1"/>
  <c r="AD189" i="1"/>
  <c r="AR180" i="1"/>
  <c r="BA180" i="1"/>
  <c r="AV180" i="1"/>
  <c r="AV155" i="1"/>
  <c r="AR155" i="1"/>
  <c r="BA155" i="1"/>
  <c r="I134" i="1"/>
  <c r="M134" i="1" s="1"/>
  <c r="AD135" i="1"/>
  <c r="BC134" i="1"/>
  <c r="AT134" i="1"/>
  <c r="BE134" i="1"/>
  <c r="AR212" i="1"/>
  <c r="BA212" i="1"/>
  <c r="AR209" i="1"/>
  <c r="BA209" i="1"/>
  <c r="BA202" i="1"/>
  <c r="AV202" i="1"/>
  <c r="BC168" i="1"/>
  <c r="I168" i="1"/>
  <c r="M168" i="1" s="1"/>
  <c r="BE168" i="1"/>
  <c r="AV136" i="1"/>
  <c r="BA136" i="1"/>
  <c r="AR136" i="1"/>
  <c r="AU204" i="1"/>
  <c r="BA203" i="1"/>
  <c r="AT202" i="1"/>
  <c r="BC202" i="1"/>
  <c r="I202" i="1"/>
  <c r="AU200" i="1"/>
  <c r="BD200" i="1"/>
  <c r="AX200" i="1"/>
  <c r="I193" i="1"/>
  <c r="M193" i="1" s="1"/>
  <c r="BE193" i="1"/>
  <c r="BE180" i="1"/>
  <c r="BC180" i="1"/>
  <c r="I180" i="1"/>
  <c r="M180" i="1" s="1"/>
  <c r="AV168" i="1"/>
  <c r="BA168" i="1"/>
  <c r="BA163" i="1"/>
  <c r="AR163" i="1"/>
  <c r="AV163" i="1"/>
  <c r="AR149" i="1"/>
  <c r="BA149" i="1"/>
  <c r="AV149" i="1"/>
  <c r="AZ99" i="1"/>
  <c r="AX86" i="1"/>
  <c r="AV243" i="1"/>
  <c r="BC231" i="1"/>
  <c r="AV217" i="1"/>
  <c r="AV212" i="1"/>
  <c r="AR208" i="1"/>
  <c r="BA208" i="1"/>
  <c r="AR206" i="1"/>
  <c r="BA206" i="1"/>
  <c r="AX204" i="1"/>
  <c r="AP205" i="1"/>
  <c r="AP201" i="1"/>
  <c r="BF201" i="1" s="1"/>
  <c r="AP203" i="1"/>
  <c r="BF203" i="1" s="1"/>
  <c r="AP202" i="1"/>
  <c r="BF202" i="1" s="1"/>
  <c r="AV203" i="1"/>
  <c r="AP200" i="1"/>
  <c r="BF200" i="1" s="1"/>
  <c r="AV200" i="1"/>
  <c r="AY193" i="1"/>
  <c r="AT180" i="1"/>
  <c r="BD161" i="1"/>
  <c r="AU161" i="1"/>
  <c r="AX161" i="1"/>
  <c r="BB151" i="1"/>
  <c r="AW151" i="1"/>
  <c r="AS151" i="1"/>
  <c r="BE146" i="1"/>
  <c r="AT146" i="1"/>
  <c r="BC146" i="1"/>
  <c r="AW146" i="1"/>
  <c r="AS146" i="1"/>
  <c r="BB146" i="1"/>
  <c r="AR138" i="1"/>
  <c r="BA138" i="1"/>
  <c r="AV138" i="1"/>
  <c r="AR211" i="1"/>
  <c r="AU209" i="1"/>
  <c r="AV208" i="1"/>
  <c r="BA197" i="1"/>
  <c r="AV197" i="1"/>
  <c r="AY196" i="1"/>
  <c r="AT193" i="1"/>
  <c r="AV193" i="1"/>
  <c r="AR193" i="1"/>
  <c r="AV177" i="1"/>
  <c r="AD179" i="1"/>
  <c r="BA141" i="1"/>
  <c r="AR141" i="1"/>
  <c r="AV141" i="1"/>
  <c r="BA137" i="1"/>
  <c r="AV137" i="1"/>
  <c r="AR137" i="1"/>
  <c r="AU214" i="1"/>
  <c r="BD214" i="1"/>
  <c r="AW210" i="1"/>
  <c r="AS210" i="1"/>
  <c r="AP211" i="1"/>
  <c r="BF211" i="1" s="1"/>
  <c r="AP207" i="1"/>
  <c r="BF207" i="1" s="1"/>
  <c r="AV206" i="1"/>
  <c r="AR203" i="1"/>
  <c r="AV201" i="1"/>
  <c r="AP187" i="1"/>
  <c r="AP186" i="1"/>
  <c r="AP185" i="1"/>
  <c r="BD159" i="1"/>
  <c r="AU159" i="1"/>
  <c r="AW139" i="1"/>
  <c r="BE139" i="1"/>
  <c r="BB139" i="1"/>
  <c r="BC139" i="1"/>
  <c r="AT139" i="1"/>
  <c r="BE132" i="1"/>
  <c r="I132" i="1"/>
  <c r="BC132" i="1"/>
  <c r="BA213" i="1"/>
  <c r="AR198" i="1"/>
  <c r="AP177" i="1"/>
  <c r="AP174" i="1"/>
  <c r="BF174" i="1" s="1"/>
  <c r="I172" i="1"/>
  <c r="M172" i="1" s="1"/>
  <c r="BA170" i="1"/>
  <c r="AU165" i="1"/>
  <c r="AY160" i="1"/>
  <c r="AX151" i="1"/>
  <c r="BD151" i="1"/>
  <c r="AY133" i="1"/>
  <c r="AR213" i="1"/>
  <c r="AV175" i="1"/>
  <c r="AP173" i="1"/>
  <c r="BF173" i="1" s="1"/>
  <c r="AP172" i="1"/>
  <c r="BF172" i="1" s="1"/>
  <c r="AP175" i="1"/>
  <c r="BF175" i="1" s="1"/>
  <c r="AP176" i="1"/>
  <c r="AP171" i="1"/>
  <c r="BA165" i="1"/>
  <c r="AR64" i="1"/>
  <c r="BA64" i="1"/>
  <c r="AV64" i="1"/>
  <c r="AL50" i="1"/>
  <c r="AY50" i="1"/>
  <c r="AZ181" i="1"/>
  <c r="AD176" i="1"/>
  <c r="AW174" i="1"/>
  <c r="AP170" i="1"/>
  <c r="AR164" i="1"/>
  <c r="AT155" i="1"/>
  <c r="BC155" i="1"/>
  <c r="I155" i="1"/>
  <c r="BC151" i="1"/>
  <c r="AV140" i="1"/>
  <c r="AT119" i="1"/>
  <c r="I119" i="1"/>
  <c r="M119" i="1" s="1"/>
  <c r="BC119" i="1"/>
  <c r="AZ84" i="1"/>
  <c r="AU168" i="1"/>
  <c r="BD168" i="1"/>
  <c r="AX168" i="1"/>
  <c r="AT161" i="1"/>
  <c r="I161" i="1"/>
  <c r="M161" i="1" s="1"/>
  <c r="G133" i="1"/>
  <c r="K133" i="1" s="1"/>
  <c r="AX132" i="1"/>
  <c r="BD132" i="1"/>
  <c r="AY103" i="1"/>
  <c r="BD202" i="1"/>
  <c r="AV192" i="1"/>
  <c r="AS174" i="1"/>
  <c r="BE174" i="1"/>
  <c r="BC174" i="1"/>
  <c r="AS173" i="1"/>
  <c r="AT172" i="1"/>
  <c r="AV171" i="1"/>
  <c r="AX134" i="1"/>
  <c r="AU134" i="1"/>
  <c r="AX193" i="1"/>
  <c r="BE175" i="1"/>
  <c r="AV169" i="1"/>
  <c r="AZ167" i="1"/>
  <c r="AZ166" i="1"/>
  <c r="BD160" i="1"/>
  <c r="AV156" i="1"/>
  <c r="BA156" i="1"/>
  <c r="AU151" i="1"/>
  <c r="AV172" i="1"/>
  <c r="BC166" i="1"/>
  <c r="I166" i="1"/>
  <c r="M166" i="1" s="1"/>
  <c r="AR162" i="1"/>
  <c r="AR160" i="1"/>
  <c r="AV160" i="1"/>
  <c r="BC154" i="1"/>
  <c r="I154" i="1"/>
  <c r="BE154" i="1"/>
  <c r="BA151" i="1"/>
  <c r="AR151" i="1"/>
  <c r="AV151" i="1"/>
  <c r="BA139" i="1"/>
  <c r="AR139" i="1"/>
  <c r="G81" i="1"/>
  <c r="BD82" i="1"/>
  <c r="AU82" i="1"/>
  <c r="AX82" i="1"/>
  <c r="BE181" i="1"/>
  <c r="BC181" i="1"/>
  <c r="BA178" i="1"/>
  <c r="BA176" i="1"/>
  <c r="AU175" i="1"/>
  <c r="BB174" i="1"/>
  <c r="S173" i="1"/>
  <c r="I167" i="1"/>
  <c r="BE167" i="1"/>
  <c r="BE161" i="1"/>
  <c r="AV159" i="1"/>
  <c r="BE155" i="1"/>
  <c r="AV152" i="1"/>
  <c r="AR152" i="1"/>
  <c r="BA152" i="1"/>
  <c r="AT145" i="1"/>
  <c r="BC145" i="1"/>
  <c r="I145" i="1"/>
  <c r="BE145" i="1"/>
  <c r="AX138" i="1"/>
  <c r="AY111" i="1"/>
  <c r="AV75" i="1"/>
  <c r="AR75" i="1"/>
  <c r="BA75" i="1"/>
  <c r="AT127" i="1"/>
  <c r="BC127" i="1"/>
  <c r="I127" i="1"/>
  <c r="M127" i="1" s="1"/>
  <c r="AY99" i="1"/>
  <c r="AV95" i="1"/>
  <c r="BA95" i="1"/>
  <c r="AR95" i="1"/>
  <c r="AZ86" i="1"/>
  <c r="AL60" i="1"/>
  <c r="BB164" i="1"/>
  <c r="BD154" i="1"/>
  <c r="AR154" i="1"/>
  <c r="AP151" i="1"/>
  <c r="BF151" i="1" s="1"/>
  <c r="AP150" i="1"/>
  <c r="BF150" i="1" s="1"/>
  <c r="AP149" i="1"/>
  <c r="BF149" i="1" s="1"/>
  <c r="AV147" i="1"/>
  <c r="BA146" i="1"/>
  <c r="BE137" i="1"/>
  <c r="BB122" i="1"/>
  <c r="AR121" i="1"/>
  <c r="AX106" i="1"/>
  <c r="BD106" i="1"/>
  <c r="AU106" i="1"/>
  <c r="AD104" i="1"/>
  <c r="BF104" i="1" s="1"/>
  <c r="AY96" i="1"/>
  <c r="AY86" i="1"/>
  <c r="AR146" i="1"/>
  <c r="AW160" i="1"/>
  <c r="I149" i="1"/>
  <c r="BC149" i="1"/>
  <c r="BB143" i="1"/>
  <c r="AS143" i="1"/>
  <c r="I140" i="1"/>
  <c r="M140" i="1" s="1"/>
  <c r="AX124" i="1"/>
  <c r="AZ124" i="1"/>
  <c r="BA120" i="1"/>
  <c r="AU118" i="1"/>
  <c r="BD118" i="1"/>
  <c r="AX118" i="1"/>
  <c r="BA92" i="1"/>
  <c r="AR92" i="1"/>
  <c r="AX172" i="1"/>
  <c r="AP164" i="1"/>
  <c r="BF164" i="1" s="1"/>
  <c r="AP163" i="1"/>
  <c r="BF163" i="1" s="1"/>
  <c r="AP161" i="1"/>
  <c r="BF161" i="1" s="1"/>
  <c r="BB160" i="1"/>
  <c r="AX159" i="1"/>
  <c r="AT149" i="1"/>
  <c r="BA147" i="1"/>
  <c r="AR147" i="1"/>
  <c r="AT138" i="1"/>
  <c r="AZ82" i="1"/>
  <c r="AY69" i="1"/>
  <c r="AZ62" i="1"/>
  <c r="I106" i="1"/>
  <c r="M106" i="1" s="1"/>
  <c r="BE106" i="1"/>
  <c r="BC106" i="1"/>
  <c r="AT106" i="1"/>
  <c r="AD107" i="1"/>
  <c r="AZ90" i="1"/>
  <c r="BF154" i="1"/>
  <c r="AR134" i="1"/>
  <c r="AP128" i="1"/>
  <c r="AP134" i="1"/>
  <c r="BF134" i="1" s="1"/>
  <c r="AP131" i="1"/>
  <c r="BF131" i="1" s="1"/>
  <c r="AU127" i="1"/>
  <c r="AR123" i="1"/>
  <c r="AU97" i="1"/>
  <c r="BD97" i="1"/>
  <c r="AX97" i="1"/>
  <c r="AT77" i="1"/>
  <c r="I77" i="1"/>
  <c r="M77" i="1" s="1"/>
  <c r="BE77" i="1"/>
  <c r="BC77" i="1"/>
  <c r="AY48" i="1"/>
  <c r="AU154" i="1"/>
  <c r="AW152" i="1"/>
  <c r="AP137" i="1"/>
  <c r="BF137" i="1" s="1"/>
  <c r="AP135" i="1"/>
  <c r="AS139" i="1"/>
  <c r="AU131" i="1"/>
  <c r="AX131" i="1"/>
  <c r="BD127" i="1"/>
  <c r="AV123" i="1"/>
  <c r="I118" i="1"/>
  <c r="M118" i="1" s="1"/>
  <c r="AD117" i="1"/>
  <c r="AT118" i="1"/>
  <c r="AY77" i="1"/>
  <c r="BD156" i="1"/>
  <c r="AX156" i="1"/>
  <c r="AU124" i="1"/>
  <c r="AT113" i="1"/>
  <c r="BC113" i="1"/>
  <c r="AD112" i="1"/>
  <c r="I113" i="1"/>
  <c r="M113" i="1" s="1"/>
  <c r="AD114" i="1"/>
  <c r="BE113" i="1"/>
  <c r="BD86" i="1"/>
  <c r="AU86" i="1"/>
  <c r="AW120" i="1"/>
  <c r="BD110" i="1"/>
  <c r="AU110" i="1"/>
  <c r="AX110" i="1"/>
  <c r="AR105" i="1"/>
  <c r="AD87" i="1"/>
  <c r="BE86" i="1"/>
  <c r="BC86" i="1"/>
  <c r="AP81" i="1"/>
  <c r="BF81" i="1" s="1"/>
  <c r="AP84" i="1"/>
  <c r="BF84" i="1" s="1"/>
  <c r="AP78" i="1"/>
  <c r="BF78" i="1" s="1"/>
  <c r="AP79" i="1"/>
  <c r="BF79" i="1" s="1"/>
  <c r="AP80" i="1"/>
  <c r="BF80" i="1" s="1"/>
  <c r="AP82" i="1"/>
  <c r="BF82" i="1" s="1"/>
  <c r="BA81" i="1"/>
  <c r="AV81" i="1"/>
  <c r="AR81" i="1"/>
  <c r="AT61" i="1"/>
  <c r="BC61" i="1"/>
  <c r="I61" i="1"/>
  <c r="L61" i="1" s="1"/>
  <c r="AR99" i="1"/>
  <c r="AV91" i="1"/>
  <c r="BE91" i="1"/>
  <c r="AD92" i="1"/>
  <c r="BF92" i="1" s="1"/>
  <c r="BF91" i="1"/>
  <c r="AT86" i="1"/>
  <c r="AY83" i="1"/>
  <c r="BE68" i="1"/>
  <c r="AT68" i="1"/>
  <c r="I68" i="1"/>
  <c r="BC68" i="1"/>
  <c r="AY62" i="1"/>
  <c r="AY61" i="1"/>
  <c r="AU55" i="1"/>
  <c r="BD55" i="1"/>
  <c r="AZ53" i="1"/>
  <c r="BD33" i="1"/>
  <c r="AU33" i="1"/>
  <c r="BA128" i="1"/>
  <c r="BF127" i="1"/>
  <c r="BA122" i="1"/>
  <c r="AP120" i="1"/>
  <c r="BF120" i="1" s="1"/>
  <c r="AX119" i="1"/>
  <c r="AP119" i="1"/>
  <c r="BF119" i="1" s="1"/>
  <c r="AY91" i="1"/>
  <c r="AY71" i="1"/>
  <c r="AR61" i="1"/>
  <c r="I131" i="1"/>
  <c r="M131" i="1" s="1"/>
  <c r="AR128" i="1"/>
  <c r="AR122" i="1"/>
  <c r="BB121" i="1"/>
  <c r="AV120" i="1"/>
  <c r="BD119" i="1"/>
  <c r="I110" i="1"/>
  <c r="M110" i="1" s="1"/>
  <c r="AD100" i="1"/>
  <c r="AT102" i="1"/>
  <c r="BC102" i="1"/>
  <c r="BA99" i="1"/>
  <c r="BD65" i="1"/>
  <c r="AU65" i="1"/>
  <c r="BA91" i="1"/>
  <c r="AX85" i="1"/>
  <c r="AY84" i="1"/>
  <c r="AV68" i="1"/>
  <c r="BA68" i="1"/>
  <c r="BB120" i="1"/>
  <c r="AR113" i="1"/>
  <c r="AU109" i="1"/>
  <c r="BD109" i="1"/>
  <c r="AV107" i="1"/>
  <c r="I102" i="1"/>
  <c r="AR101" i="1"/>
  <c r="BA101" i="1"/>
  <c r="AU85" i="1"/>
  <c r="AZ85" i="1"/>
  <c r="AP83" i="1"/>
  <c r="BF83" i="1" s="1"/>
  <c r="AY82" i="1"/>
  <c r="AX65" i="1"/>
  <c r="BA63" i="1"/>
  <c r="AV63" i="1"/>
  <c r="AR63" i="1"/>
  <c r="AZ56" i="1"/>
  <c r="AW126" i="1"/>
  <c r="AS120" i="1"/>
  <c r="AX116" i="1"/>
  <c r="BD116" i="1"/>
  <c r="BD113" i="1"/>
  <c r="AV103" i="1"/>
  <c r="AV93" i="1"/>
  <c r="AV88" i="1"/>
  <c r="BF86" i="1"/>
  <c r="I85" i="1"/>
  <c r="BE85" i="1"/>
  <c r="BF85" i="1"/>
  <c r="BA70" i="1"/>
  <c r="AR70" i="1"/>
  <c r="AV70" i="1"/>
  <c r="AY43" i="1"/>
  <c r="BE22" i="1"/>
  <c r="AV116" i="1"/>
  <c r="AV105" i="1"/>
  <c r="BF103" i="1"/>
  <c r="AV102" i="1"/>
  <c r="I86" i="1"/>
  <c r="AY85" i="1"/>
  <c r="BE61" i="1"/>
  <c r="AZ48" i="1"/>
  <c r="AY65" i="1"/>
  <c r="AR55" i="1"/>
  <c r="AW52" i="1"/>
  <c r="AD65" i="1"/>
  <c r="BC67" i="1"/>
  <c r="AT67" i="1"/>
  <c r="AX60" i="1"/>
  <c r="AS51" i="1"/>
  <c r="BB51" i="1"/>
  <c r="AR47" i="1"/>
  <c r="AV47" i="1"/>
  <c r="BF88" i="1"/>
  <c r="BA85" i="1"/>
  <c r="BE82" i="1"/>
  <c r="I82" i="1"/>
  <c r="M82" i="1" s="1"/>
  <c r="AP73" i="1"/>
  <c r="BF73" i="1" s="1"/>
  <c r="AP71" i="1"/>
  <c r="BF71" i="1" s="1"/>
  <c r="AR56" i="1"/>
  <c r="BA56" i="1"/>
  <c r="AV56" i="1"/>
  <c r="AX55" i="1"/>
  <c r="AY54" i="1"/>
  <c r="AW51" i="1"/>
  <c r="AP23" i="1"/>
  <c r="AP24" i="1"/>
  <c r="AP26" i="1"/>
  <c r="BF26" i="1" s="1"/>
  <c r="AP28" i="1"/>
  <c r="AP27" i="1"/>
  <c r="BF27" i="1" s="1"/>
  <c r="AP22" i="1"/>
  <c r="BF22" i="1" s="1"/>
  <c r="AP25" i="1"/>
  <c r="BF25" i="1" s="1"/>
  <c r="BC116" i="1"/>
  <c r="AW89" i="1"/>
  <c r="G84" i="1"/>
  <c r="AW74" i="1"/>
  <c r="AZ71" i="1"/>
  <c r="AY68" i="1"/>
  <c r="I60" i="1"/>
  <c r="M60" i="1" s="1"/>
  <c r="BE60" i="1"/>
  <c r="AD58" i="1"/>
  <c r="AD59" i="1" s="1"/>
  <c r="BB52" i="1"/>
  <c r="AS52" i="1"/>
  <c r="AV100" i="1"/>
  <c r="AX95" i="1"/>
  <c r="I75" i="1"/>
  <c r="AU71" i="1"/>
  <c r="AY70" i="1"/>
  <c r="AP68" i="1"/>
  <c r="BF68" i="1" s="1"/>
  <c r="G67" i="1"/>
  <c r="AP63" i="1"/>
  <c r="BF63" i="1" s="1"/>
  <c r="AY60" i="1"/>
  <c r="AL33" i="1"/>
  <c r="AD28" i="1"/>
  <c r="I27" i="1"/>
  <c r="AD32" i="1"/>
  <c r="AD31" i="1"/>
  <c r="AD30" i="1"/>
  <c r="AT27" i="1"/>
  <c r="BC27" i="1"/>
  <c r="AD29" i="1"/>
  <c r="AZ13" i="1"/>
  <c r="AY12" i="1"/>
  <c r="AT116" i="1"/>
  <c r="AR114" i="1"/>
  <c r="AT82" i="1"/>
  <c r="AU76" i="1"/>
  <c r="AX75" i="1"/>
  <c r="AV73" i="1"/>
  <c r="BA73" i="1"/>
  <c r="AT71" i="1"/>
  <c r="AR54" i="1"/>
  <c r="AV54" i="1"/>
  <c r="BA100" i="1"/>
  <c r="AU99" i="1"/>
  <c r="BD99" i="1"/>
  <c r="BD95" i="1"/>
  <c r="AZ89" i="1"/>
  <c r="BD85" i="1"/>
  <c r="AU78" i="1"/>
  <c r="BD78" i="1"/>
  <c r="BB74" i="1"/>
  <c r="AP67" i="1"/>
  <c r="BF67" i="1" s="1"/>
  <c r="I67" i="1"/>
  <c r="AP64" i="1"/>
  <c r="BF64" i="1" s="1"/>
  <c r="BD60" i="1"/>
  <c r="AT54" i="1"/>
  <c r="BC54" i="1"/>
  <c r="AS49" i="1"/>
  <c r="BE49" i="1"/>
  <c r="BB49" i="1"/>
  <c r="BC49" i="1"/>
  <c r="AT49" i="1"/>
  <c r="BE47" i="1"/>
  <c r="BE83" i="1"/>
  <c r="I83" i="1"/>
  <c r="AT83" i="1"/>
  <c r="AY76" i="1"/>
  <c r="BC75" i="1"/>
  <c r="BD71" i="1"/>
  <c r="AP52" i="1"/>
  <c r="BF52" i="1" s="1"/>
  <c r="AP54" i="1"/>
  <c r="BF54" i="1" s="1"/>
  <c r="AP50" i="1"/>
  <c r="BF50" i="1" s="1"/>
  <c r="AP51" i="1"/>
  <c r="BF51" i="1" s="1"/>
  <c r="BA39" i="1"/>
  <c r="AV39" i="1"/>
  <c r="AR39" i="1"/>
  <c r="AU49" i="1"/>
  <c r="AD44" i="1"/>
  <c r="I47" i="1"/>
  <c r="AT47" i="1"/>
  <c r="AT19" i="1"/>
  <c r="BC19" i="1"/>
  <c r="I72" i="1"/>
  <c r="M72" i="1" s="1"/>
  <c r="BE72" i="1"/>
  <c r="S71" i="1"/>
  <c r="BA61" i="1"/>
  <c r="AV61" i="1"/>
  <c r="AU57" i="1"/>
  <c r="I53" i="1"/>
  <c r="M53" i="1" s="1"/>
  <c r="BE53" i="1"/>
  <c r="BC53" i="1"/>
  <c r="AS62" i="1"/>
  <c r="AP60" i="1"/>
  <c r="BF60" i="1" s="1"/>
  <c r="AP58" i="1"/>
  <c r="AP61" i="1"/>
  <c r="BF61" i="1" s="1"/>
  <c r="AR33" i="1"/>
  <c r="BA33" i="1"/>
  <c r="BD49" i="1"/>
  <c r="AP47" i="1"/>
  <c r="BF47" i="1" s="1"/>
  <c r="BB40" i="1"/>
  <c r="AW40" i="1"/>
  <c r="AS40" i="1"/>
  <c r="AX11" i="1"/>
  <c r="AZ11" i="1"/>
  <c r="AP45" i="1"/>
  <c r="AP43" i="1"/>
  <c r="BF43" i="1" s="1"/>
  <c r="AZ34" i="1"/>
  <c r="AP62" i="1"/>
  <c r="BF62" i="1" s="1"/>
  <c r="AZ42" i="1"/>
  <c r="AU42" i="1"/>
  <c r="BD42" i="1"/>
  <c r="AS26" i="1"/>
  <c r="BB26" i="1"/>
  <c r="AV6" i="1"/>
  <c r="BA6" i="1"/>
  <c r="AT40" i="1"/>
  <c r="BC40" i="1"/>
  <c r="I39" i="1"/>
  <c r="AT39" i="1"/>
  <c r="BC39" i="1"/>
  <c r="BE39" i="1"/>
  <c r="BD34" i="1"/>
  <c r="AX33" i="1"/>
  <c r="AR27" i="1"/>
  <c r="AX26" i="1"/>
  <c r="AZ26" i="1"/>
  <c r="BE19" i="1"/>
  <c r="I19" i="1"/>
  <c r="AU43" i="1"/>
  <c r="BD43" i="1"/>
  <c r="AU34" i="1"/>
  <c r="AX34" i="1"/>
  <c r="BA27" i="1"/>
  <c r="AW26" i="1"/>
  <c r="BD57" i="1"/>
  <c r="BC56" i="1"/>
  <c r="BD54" i="1"/>
  <c r="AX41" i="1"/>
  <c r="I33" i="1"/>
  <c r="BE33" i="1"/>
  <c r="AV27" i="1"/>
  <c r="AU26" i="1"/>
  <c r="BE26" i="1"/>
  <c r="AT26" i="1"/>
  <c r="BC25" i="1"/>
  <c r="AY15" i="1"/>
  <c r="AZ12" i="1"/>
  <c r="BD11" i="1"/>
  <c r="AU11" i="1"/>
  <c r="AR6" i="1"/>
  <c r="AT56" i="1"/>
  <c r="BC55" i="1"/>
  <c r="AT41" i="1"/>
  <c r="BE40" i="1"/>
  <c r="AY33" i="1"/>
  <c r="AY26" i="1"/>
  <c r="AS25" i="1"/>
  <c r="AT21" i="1"/>
  <c r="BC21" i="1"/>
  <c r="I21" i="1"/>
  <c r="BE21" i="1"/>
  <c r="AY34" i="1"/>
  <c r="AY27" i="1"/>
  <c r="AY21" i="1"/>
  <c r="AP19" i="1"/>
  <c r="BF19" i="1" s="1"/>
  <c r="AP15" i="1"/>
  <c r="BF15" i="1" s="1"/>
  <c r="AP21" i="1"/>
  <c r="BF21" i="1" s="1"/>
  <c r="AP17" i="1"/>
  <c r="BF17" i="1" s="1"/>
  <c r="AP20" i="1"/>
  <c r="BF20" i="1" s="1"/>
  <c r="AP18" i="1"/>
  <c r="BF18" i="1" s="1"/>
  <c r="BB7" i="1"/>
  <c r="G36" i="1"/>
  <c r="AV25" i="1"/>
  <c r="AY14" i="1"/>
  <c r="AZ10" i="1"/>
  <c r="BA21" i="1"/>
  <c r="AV21" i="1"/>
  <c r="AU18" i="1"/>
  <c r="AZ7" i="1"/>
  <c r="AP40" i="1"/>
  <c r="BF40" i="1" s="1"/>
  <c r="AP39" i="1"/>
  <c r="BF39" i="1" s="1"/>
  <c r="AP38" i="1"/>
  <c r="AD23" i="1"/>
  <c r="I22" i="1"/>
  <c r="AT22" i="1"/>
  <c r="BC22" i="1"/>
  <c r="AT18" i="1"/>
  <c r="BC18" i="1"/>
  <c r="AY10" i="1"/>
  <c r="AP32" i="1"/>
  <c r="BE25" i="1"/>
  <c r="AP34" i="1"/>
  <c r="BF34" i="1" s="1"/>
  <c r="I18" i="1"/>
  <c r="M18" i="1" s="1"/>
  <c r="AV34" i="1"/>
  <c r="AP30" i="1"/>
  <c r="AP31" i="1"/>
  <c r="BE11" i="1"/>
  <c r="L230" i="1" l="1"/>
  <c r="AS230" i="1"/>
  <c r="AW230" i="1"/>
  <c r="BD581" i="1"/>
  <c r="AU581" i="1"/>
  <c r="M237" i="1"/>
  <c r="K581" i="1"/>
  <c r="BB230" i="1"/>
  <c r="AX434" i="1"/>
  <c r="AR589" i="1"/>
  <c r="BB162" i="1"/>
  <c r="AX237" i="1"/>
  <c r="BA589" i="1"/>
  <c r="K434" i="1"/>
  <c r="AU434" i="1"/>
  <c r="BD237" i="1"/>
  <c r="AU382" i="1"/>
  <c r="K221" i="1"/>
  <c r="AX221" i="1"/>
  <c r="AW162" i="1"/>
  <c r="K400" i="1"/>
  <c r="AX568" i="1"/>
  <c r="M83" i="1"/>
  <c r="BD400" i="1"/>
  <c r="K257" i="1"/>
  <c r="M400" i="1"/>
  <c r="BE187" i="1"/>
  <c r="AS207" i="1"/>
  <c r="BD438" i="1"/>
  <c r="AW84" i="1"/>
  <c r="AU221" i="1"/>
  <c r="L794" i="1"/>
  <c r="AV551" i="1"/>
  <c r="AS84" i="1"/>
  <c r="BD221" i="1"/>
  <c r="M602" i="1"/>
  <c r="AV489" i="1"/>
  <c r="BD22" i="1"/>
  <c r="BC38" i="1"/>
  <c r="AV539" i="1"/>
  <c r="M22" i="1"/>
  <c r="BB446" i="1"/>
  <c r="I38" i="1"/>
  <c r="M38" i="1" s="1"/>
  <c r="AU430" i="1"/>
  <c r="BD229" i="1"/>
  <c r="K794" i="1"/>
  <c r="AU642" i="1"/>
  <c r="AU280" i="1"/>
  <c r="AU22" i="1"/>
  <c r="L148" i="1"/>
  <c r="AW238" i="1"/>
  <c r="AX783" i="1"/>
  <c r="AV488" i="1"/>
  <c r="AU229" i="1"/>
  <c r="AX657" i="1"/>
  <c r="AW116" i="1"/>
  <c r="BA581" i="1"/>
  <c r="AX784" i="1"/>
  <c r="AW76" i="1"/>
  <c r="BD666" i="1"/>
  <c r="M645" i="1"/>
  <c r="BD6" i="1"/>
  <c r="AX666" i="1"/>
  <c r="AR555" i="1"/>
  <c r="K642" i="1"/>
  <c r="AS238" i="1"/>
  <c r="AX802" i="1"/>
  <c r="AS265" i="1"/>
  <c r="BA66" i="1"/>
  <c r="K66" i="1"/>
  <c r="AX490" i="1"/>
  <c r="AZ41" i="1"/>
  <c r="BB243" i="1"/>
  <c r="BB382" i="1"/>
  <c r="AX645" i="1"/>
  <c r="AU623" i="1"/>
  <c r="AX400" i="1"/>
  <c r="K623" i="1"/>
  <c r="AU645" i="1"/>
  <c r="AV553" i="1"/>
  <c r="BB200" i="1"/>
  <c r="BD645" i="1"/>
  <c r="AV665" i="1"/>
  <c r="AX652" i="1"/>
  <c r="BD623" i="1"/>
  <c r="K438" i="1"/>
  <c r="M642" i="1"/>
  <c r="AU666" i="1"/>
  <c r="BD642" i="1"/>
  <c r="AV484" i="1"/>
  <c r="AX516" i="1"/>
  <c r="K229" i="1"/>
  <c r="AV643" i="1"/>
  <c r="M584" i="1"/>
  <c r="AW584" i="1"/>
  <c r="M604" i="1"/>
  <c r="AW604" i="1"/>
  <c r="M62" i="1"/>
  <c r="M594" i="1"/>
  <c r="AW594" i="1"/>
  <c r="AX819" i="1"/>
  <c r="M555" i="1"/>
  <c r="AW555" i="1"/>
  <c r="BD688" i="1"/>
  <c r="AX688" i="1"/>
  <c r="AX484" i="1"/>
  <c r="AX665" i="1"/>
  <c r="AV568" i="1"/>
  <c r="AX39" i="1"/>
  <c r="BB264" i="1"/>
  <c r="BD363" i="1"/>
  <c r="L488" i="1"/>
  <c r="AW488" i="1"/>
  <c r="K277" i="1"/>
  <c r="M605" i="1"/>
  <c r="AW605" i="1"/>
  <c r="AR794" i="1"/>
  <c r="AR749" i="1"/>
  <c r="AV749" i="1"/>
  <c r="AV546" i="1"/>
  <c r="AV657" i="1"/>
  <c r="AV495" i="1"/>
  <c r="AV560" i="1"/>
  <c r="L775" i="1"/>
  <c r="AW775" i="1"/>
  <c r="M598" i="1"/>
  <c r="AW598" i="1"/>
  <c r="M39" i="1"/>
  <c r="BD586" i="1"/>
  <c r="AX586" i="1"/>
  <c r="AR803" i="1"/>
  <c r="AV803" i="1"/>
  <c r="AS726" i="1"/>
  <c r="AW726" i="1"/>
  <c r="AU775" i="1"/>
  <c r="AX775" i="1"/>
  <c r="AX764" i="1"/>
  <c r="AU6" i="1"/>
  <c r="AU237" i="1"/>
  <c r="AV666" i="1"/>
  <c r="BD277" i="1"/>
  <c r="AU363" i="1"/>
  <c r="AR490" i="1"/>
  <c r="K430" i="1"/>
  <c r="AR783" i="1"/>
  <c r="AV783" i="1"/>
  <c r="AX680" i="1"/>
  <c r="AX592" i="1"/>
  <c r="AX489" i="1"/>
  <c r="AV586" i="1"/>
  <c r="AR726" i="1"/>
  <c r="AV726" i="1"/>
  <c r="L580" i="1"/>
  <c r="AW580" i="1"/>
  <c r="L767" i="1"/>
  <c r="AW767" i="1"/>
  <c r="AT178" i="1"/>
  <c r="AX430" i="1"/>
  <c r="AU277" i="1"/>
  <c r="M468" i="1"/>
  <c r="AW468" i="1"/>
  <c r="M610" i="1"/>
  <c r="AW610" i="1"/>
  <c r="L116" i="1"/>
  <c r="AR802" i="1"/>
  <c r="K652" i="1"/>
  <c r="L585" i="1"/>
  <c r="AW585" i="1"/>
  <c r="AV580" i="1"/>
  <c r="AX580" i="1"/>
  <c r="M473" i="1"/>
  <c r="AW473" i="1"/>
  <c r="K736" i="1"/>
  <c r="AV736" i="1"/>
  <c r="M608" i="1"/>
  <c r="AW608" i="1"/>
  <c r="AX229" i="1"/>
  <c r="M630" i="1"/>
  <c r="AX630" i="1"/>
  <c r="AX363" i="1"/>
  <c r="AW55" i="1"/>
  <c r="M586" i="1"/>
  <c r="AW586" i="1"/>
  <c r="BA642" i="1"/>
  <c r="K592" i="1"/>
  <c r="K586" i="1"/>
  <c r="AV642" i="1"/>
  <c r="AV552" i="1"/>
  <c r="AV516" i="1"/>
  <c r="AX495" i="1"/>
  <c r="M582" i="1"/>
  <c r="AW582" i="1"/>
  <c r="K555" i="1"/>
  <c r="AX555" i="1"/>
  <c r="L609" i="1"/>
  <c r="AW609" i="1"/>
  <c r="AX643" i="1"/>
  <c r="BA127" i="1"/>
  <c r="AV66" i="1"/>
  <c r="M603" i="1"/>
  <c r="AW603" i="1"/>
  <c r="AU749" i="1"/>
  <c r="AX749" i="1"/>
  <c r="M363" i="1"/>
  <c r="BB601" i="1"/>
  <c r="AW601" i="1"/>
  <c r="L162" i="1"/>
  <c r="L802" i="1"/>
  <c r="AR565" i="1"/>
  <c r="AV565" i="1"/>
  <c r="AV645" i="1"/>
  <c r="AX726" i="1"/>
  <c r="AX488" i="1"/>
  <c r="AX812" i="1"/>
  <c r="AX589" i="1"/>
  <c r="AV544" i="1"/>
  <c r="M623" i="1"/>
  <c r="AW623" i="1"/>
  <c r="L597" i="1"/>
  <c r="AW597" i="1"/>
  <c r="BB599" i="1"/>
  <c r="AW599" i="1"/>
  <c r="M581" i="1"/>
  <c r="AW581" i="1"/>
  <c r="AS264" i="1"/>
  <c r="M277" i="1"/>
  <c r="AR581" i="1"/>
  <c r="M596" i="1"/>
  <c r="AW596" i="1"/>
  <c r="L606" i="1"/>
  <c r="AW606" i="1"/>
  <c r="AX638" i="1"/>
  <c r="AV638" i="1"/>
  <c r="AV652" i="1"/>
  <c r="AU251" i="1"/>
  <c r="AU555" i="1"/>
  <c r="L91" i="1"/>
  <c r="BB11" i="1"/>
  <c r="AS11" i="1"/>
  <c r="AX56" i="1"/>
  <c r="M271" i="1"/>
  <c r="BB91" i="1"/>
  <c r="AU25" i="1"/>
  <c r="AU394" i="1"/>
  <c r="BB602" i="1"/>
  <c r="M162" i="1"/>
  <c r="AW57" i="1"/>
  <c r="AX394" i="1"/>
  <c r="L163" i="1"/>
  <c r="K271" i="1"/>
  <c r="AU68" i="1"/>
  <c r="AW99" i="1"/>
  <c r="AW109" i="1"/>
  <c r="BB129" i="1"/>
  <c r="AU238" i="1"/>
  <c r="AR657" i="1"/>
  <c r="AS604" i="1"/>
  <c r="BB609" i="1"/>
  <c r="AU441" i="1"/>
  <c r="BD243" i="1"/>
  <c r="AU638" i="1"/>
  <c r="BD25" i="1"/>
  <c r="AW437" i="1"/>
  <c r="G23" i="1"/>
  <c r="K23" i="1" s="1"/>
  <c r="I187" i="1"/>
  <c r="M187" i="1" s="1"/>
  <c r="AX22" i="1"/>
  <c r="BA111" i="1"/>
  <c r="AS109" i="1"/>
  <c r="BB203" i="1"/>
  <c r="AW265" i="1"/>
  <c r="BD382" i="1"/>
  <c r="M257" i="1"/>
  <c r="M638" i="1"/>
  <c r="BB299" i="1"/>
  <c r="L599" i="1"/>
  <c r="M25" i="1"/>
  <c r="AW34" i="1"/>
  <c r="BD257" i="1"/>
  <c r="M812" i="1"/>
  <c r="AR111" i="1"/>
  <c r="AR82" i="1"/>
  <c r="BB265" i="1"/>
  <c r="AX382" i="1"/>
  <c r="BB88" i="1"/>
  <c r="AX271" i="1"/>
  <c r="K484" i="1"/>
  <c r="L238" i="1"/>
  <c r="L803" i="1"/>
  <c r="BB238" i="1"/>
  <c r="AX225" i="1"/>
  <c r="BE38" i="1"/>
  <c r="AS200" i="1"/>
  <c r="K280" i="1"/>
  <c r="K803" i="1"/>
  <c r="BD64" i="1"/>
  <c r="AS137" i="1"/>
  <c r="AW200" i="1"/>
  <c r="AX435" i="1"/>
  <c r="AR736" i="1"/>
  <c r="K39" i="1"/>
  <c r="BB597" i="1"/>
  <c r="AU435" i="1"/>
  <c r="M435" i="1"/>
  <c r="BD225" i="1"/>
  <c r="BB435" i="1"/>
  <c r="AU64" i="1"/>
  <c r="M133" i="1"/>
  <c r="BD435" i="1"/>
  <c r="BD446" i="1"/>
  <c r="BB605" i="1"/>
  <c r="AX238" i="1"/>
  <c r="AU225" i="1"/>
  <c r="BF38" i="1"/>
  <c r="BC206" i="1"/>
  <c r="BD270" i="1"/>
  <c r="AW435" i="1"/>
  <c r="M652" i="1"/>
  <c r="L602" i="1"/>
  <c r="K580" i="1"/>
  <c r="AT206" i="1"/>
  <c r="BF65" i="1"/>
  <c r="AV111" i="1"/>
  <c r="AS97" i="1"/>
  <c r="AX257" i="1"/>
  <c r="L435" i="1"/>
  <c r="AX405" i="1"/>
  <c r="K405" i="1"/>
  <c r="AX64" i="1"/>
  <c r="M253" i="1"/>
  <c r="M280" i="1"/>
  <c r="AU62" i="1"/>
  <c r="BD405" i="1"/>
  <c r="AX270" i="1"/>
  <c r="BD652" i="1"/>
  <c r="BD62" i="1"/>
  <c r="K62" i="1"/>
  <c r="BD280" i="1"/>
  <c r="AS602" i="1"/>
  <c r="AS299" i="1"/>
  <c r="M438" i="1"/>
  <c r="AX438" i="1"/>
  <c r="K433" i="1"/>
  <c r="L726" i="1"/>
  <c r="K802" i="1"/>
  <c r="L166" i="1"/>
  <c r="L34" i="1"/>
  <c r="M599" i="1"/>
  <c r="L594" i="1"/>
  <c r="M369" i="1"/>
  <c r="M321" i="1"/>
  <c r="K251" i="1"/>
  <c r="AW36" i="1"/>
  <c r="AT98" i="1"/>
  <c r="BC90" i="1"/>
  <c r="AX251" i="1"/>
  <c r="AU369" i="1"/>
  <c r="AS599" i="1"/>
  <c r="K726" i="1"/>
  <c r="L736" i="1"/>
  <c r="L582" i="1"/>
  <c r="L596" i="1"/>
  <c r="M802" i="1"/>
  <c r="M249" i="1"/>
  <c r="AS437" i="1"/>
  <c r="I37" i="1"/>
  <c r="AW37" i="1" s="1"/>
  <c r="BB36" i="1"/>
  <c r="AW97" i="1"/>
  <c r="BE90" i="1"/>
  <c r="AR127" i="1"/>
  <c r="BF187" i="1"/>
  <c r="BB207" i="1"/>
  <c r="AU592" i="1"/>
  <c r="M516" i="1"/>
  <c r="AW148" i="1"/>
  <c r="AS595" i="1"/>
  <c r="M7" i="1"/>
  <c r="L60" i="1"/>
  <c r="L223" i="1"/>
  <c r="L595" i="1"/>
  <c r="K27" i="1"/>
  <c r="M43" i="1"/>
  <c r="AU516" i="1"/>
  <c r="AU56" i="1"/>
  <c r="AS36" i="1"/>
  <c r="AW446" i="1"/>
  <c r="BD27" i="1"/>
  <c r="K238" i="1"/>
  <c r="AX27" i="1"/>
  <c r="AW43" i="1"/>
  <c r="BD56" i="1"/>
  <c r="AU27" i="1"/>
  <c r="BD441" i="1"/>
  <c r="AU680" i="1"/>
  <c r="AR643" i="1"/>
  <c r="M97" i="1"/>
  <c r="L216" i="1"/>
  <c r="L516" i="1"/>
  <c r="M238" i="1"/>
  <c r="AX441" i="1"/>
  <c r="BC187" i="1"/>
  <c r="BB43" i="1"/>
  <c r="BB594" i="1"/>
  <c r="M56" i="1"/>
  <c r="BF35" i="1"/>
  <c r="AR376" i="1"/>
  <c r="K369" i="1"/>
  <c r="AS208" i="1"/>
  <c r="BD680" i="1"/>
  <c r="BD7" i="1"/>
  <c r="AS43" i="1"/>
  <c r="BD251" i="1"/>
  <c r="AU243" i="1"/>
  <c r="BD369" i="1"/>
  <c r="AR652" i="1"/>
  <c r="BA665" i="1"/>
  <c r="K630" i="1"/>
  <c r="L462" i="1"/>
  <c r="M819" i="1"/>
  <c r="BB109" i="1"/>
  <c r="AP218" i="1"/>
  <c r="AT187" i="1"/>
  <c r="AW91" i="1"/>
  <c r="AR446" i="1"/>
  <c r="AW434" i="1"/>
  <c r="BA645" i="1"/>
  <c r="AU446" i="1"/>
  <c r="AR66" i="1"/>
  <c r="L437" i="1"/>
  <c r="AV446" i="1"/>
  <c r="K243" i="1"/>
  <c r="K783" i="1"/>
  <c r="BA26" i="1"/>
  <c r="BB99" i="1"/>
  <c r="AU61" i="1"/>
  <c r="AS91" i="1"/>
  <c r="BB441" i="1"/>
  <c r="BD394" i="1"/>
  <c r="BB604" i="1"/>
  <c r="M243" i="1"/>
  <c r="AX239" i="1"/>
  <c r="BB430" i="1"/>
  <c r="M439" i="1"/>
  <c r="L237" i="1"/>
  <c r="L267" i="1"/>
  <c r="K568" i="1"/>
  <c r="L604" i="1"/>
  <c r="M265" i="1"/>
  <c r="AS129" i="1"/>
  <c r="M490" i="1"/>
  <c r="AS484" i="1"/>
  <c r="BB57" i="1"/>
  <c r="M129" i="1"/>
  <c r="AW88" i="1"/>
  <c r="BD61" i="1"/>
  <c r="AR26" i="1"/>
  <c r="BC128" i="1"/>
  <c r="BD433" i="1"/>
  <c r="AW41" i="1"/>
  <c r="AU665" i="1"/>
  <c r="AX433" i="1"/>
  <c r="AW69" i="1"/>
  <c r="AS313" i="1"/>
  <c r="L201" i="1"/>
  <c r="BB69" i="1"/>
  <c r="BB270" i="1"/>
  <c r="K688" i="1"/>
  <c r="L430" i="1"/>
  <c r="L129" i="1"/>
  <c r="BA110" i="1"/>
  <c r="BE98" i="1"/>
  <c r="BE128" i="1"/>
  <c r="AS216" i="1"/>
  <c r="AS270" i="1"/>
  <c r="AX220" i="1"/>
  <c r="M291" i="1"/>
  <c r="AS609" i="1"/>
  <c r="AT205" i="1"/>
  <c r="AV376" i="1"/>
  <c r="BF206" i="1"/>
  <c r="L438" i="1"/>
  <c r="L270" i="1"/>
  <c r="M109" i="1"/>
  <c r="L468" i="1"/>
  <c r="M688" i="1"/>
  <c r="L134" i="1"/>
  <c r="L452" i="1"/>
  <c r="L203" i="1"/>
  <c r="AX280" i="1"/>
  <c r="M220" i="1"/>
  <c r="AS601" i="1"/>
  <c r="M88" i="1"/>
  <c r="AW313" i="1"/>
  <c r="I128" i="1"/>
  <c r="AS128" i="1" s="1"/>
  <c r="BD665" i="1"/>
  <c r="L473" i="1"/>
  <c r="AU7" i="1"/>
  <c r="AS71" i="1"/>
  <c r="AS41" i="1"/>
  <c r="AW270" i="1"/>
  <c r="BD239" i="1"/>
  <c r="M242" i="1"/>
  <c r="M446" i="1"/>
  <c r="L400" i="1"/>
  <c r="L208" i="1"/>
  <c r="BB216" i="1"/>
  <c r="AU220" i="1"/>
  <c r="BB313" i="1"/>
  <c r="BB437" i="1"/>
  <c r="M657" i="1"/>
  <c r="AS34" i="1"/>
  <c r="M47" i="1"/>
  <c r="BD39" i="1"/>
  <c r="BF128" i="1"/>
  <c r="BB208" i="1"/>
  <c r="BD220" i="1"/>
  <c r="BD372" i="1"/>
  <c r="AX25" i="1"/>
  <c r="AS88" i="1"/>
  <c r="M394" i="1"/>
  <c r="K490" i="1"/>
  <c r="K270" i="1"/>
  <c r="M489" i="1"/>
  <c r="K638" i="1"/>
  <c r="K61" i="1"/>
  <c r="M726" i="1"/>
  <c r="M382" i="1"/>
  <c r="M372" i="1"/>
  <c r="M178" i="1"/>
  <c r="L178" i="1"/>
  <c r="BB242" i="1"/>
  <c r="AX291" i="1"/>
  <c r="AR791" i="1"/>
  <c r="K791" i="1"/>
  <c r="L791" i="1"/>
  <c r="BB439" i="1"/>
  <c r="AX372" i="1"/>
  <c r="AU372" i="1"/>
  <c r="AR665" i="1"/>
  <c r="AR11" i="1"/>
  <c r="L11" i="1"/>
  <c r="K11" i="1"/>
  <c r="AW382" i="1"/>
  <c r="AR784" i="1"/>
  <c r="K784" i="1"/>
  <c r="L784" i="1"/>
  <c r="AR753" i="1"/>
  <c r="K753" i="1"/>
  <c r="L753" i="1"/>
  <c r="L150" i="1"/>
  <c r="K242" i="1"/>
  <c r="K495" i="1"/>
  <c r="L232" i="1"/>
  <c r="L113" i="1"/>
  <c r="AS606" i="1"/>
  <c r="M606" i="1"/>
  <c r="BB606" i="1"/>
  <c r="AR764" i="1"/>
  <c r="K764" i="1"/>
  <c r="L764" i="1"/>
  <c r="BB148" i="1"/>
  <c r="M148" i="1"/>
  <c r="L124" i="1"/>
  <c r="K124" i="1"/>
  <c r="M95" i="1"/>
  <c r="L95" i="1"/>
  <c r="K273" i="1"/>
  <c r="AS589" i="1"/>
  <c r="M589" i="1"/>
  <c r="M48" i="1"/>
  <c r="L48" i="1"/>
  <c r="M778" i="1"/>
  <c r="L778" i="1"/>
  <c r="AS778" i="1"/>
  <c r="AS394" i="1"/>
  <c r="BB434" i="1"/>
  <c r="M434" i="1"/>
  <c r="K657" i="1"/>
  <c r="L439" i="1"/>
  <c r="BC35" i="1"/>
  <c r="K76" i="1"/>
  <c r="L76" i="1"/>
  <c r="M149" i="1"/>
  <c r="L149" i="1"/>
  <c r="M196" i="1"/>
  <c r="L196" i="1"/>
  <c r="L239" i="1"/>
  <c r="M239" i="1"/>
  <c r="AS242" i="1"/>
  <c r="K812" i="1"/>
  <c r="L812" i="1"/>
  <c r="AS439" i="1"/>
  <c r="K110" i="1"/>
  <c r="L110" i="1"/>
  <c r="M495" i="1"/>
  <c r="L495" i="1"/>
  <c r="BA680" i="1"/>
  <c r="K680" i="1"/>
  <c r="L680" i="1"/>
  <c r="L253" i="1"/>
  <c r="BB76" i="1"/>
  <c r="M76" i="1"/>
  <c r="L242" i="1"/>
  <c r="L394" i="1"/>
  <c r="BA678" i="1"/>
  <c r="K678" i="1"/>
  <c r="L678" i="1"/>
  <c r="L228" i="1"/>
  <c r="AS111" i="1"/>
  <c r="M111" i="1"/>
  <c r="L161" i="1"/>
  <c r="M177" i="1"/>
  <c r="L177" i="1"/>
  <c r="K439" i="1"/>
  <c r="L434" i="1"/>
  <c r="M21" i="1"/>
  <c r="L21" i="1"/>
  <c r="M19" i="1"/>
  <c r="BA77" i="1"/>
  <c r="AX68" i="1"/>
  <c r="BB55" i="1"/>
  <c r="K89" i="1"/>
  <c r="L89" i="1"/>
  <c r="K126" i="1"/>
  <c r="L126" i="1"/>
  <c r="M132" i="1"/>
  <c r="L132" i="1"/>
  <c r="AS203" i="1"/>
  <c r="M225" i="1"/>
  <c r="L225" i="1"/>
  <c r="K22" i="1"/>
  <c r="L22" i="1"/>
  <c r="AW11" i="1"/>
  <c r="AS55" i="1"/>
  <c r="M86" i="1"/>
  <c r="L86" i="1"/>
  <c r="AX70" i="1"/>
  <c r="I98" i="1"/>
  <c r="BB98" i="1" s="1"/>
  <c r="I35" i="1"/>
  <c r="AW35" i="1" s="1"/>
  <c r="M202" i="1"/>
  <c r="L202" i="1"/>
  <c r="AX244" i="1"/>
  <c r="AV394" i="1"/>
  <c r="BB34" i="1"/>
  <c r="M34" i="1"/>
  <c r="M84" i="1"/>
  <c r="AV127" i="1"/>
  <c r="K127" i="1"/>
  <c r="L127" i="1"/>
  <c r="AS783" i="1"/>
  <c r="M783" i="1"/>
  <c r="M488" i="1"/>
  <c r="K239" i="1"/>
  <c r="L243" i="1"/>
  <c r="L440" i="1"/>
  <c r="K236" i="1"/>
  <c r="L555" i="1"/>
  <c r="L598" i="1"/>
  <c r="L589" i="1"/>
  <c r="L586" i="1"/>
  <c r="L39" i="1"/>
  <c r="L214" i="1"/>
  <c r="M116" i="1"/>
  <c r="AS116" i="1"/>
  <c r="L584" i="1"/>
  <c r="AS749" i="1"/>
  <c r="M749" i="1"/>
  <c r="L749" i="1"/>
  <c r="L140" i="1"/>
  <c r="K84" i="1"/>
  <c r="L84" i="1"/>
  <c r="M175" i="1"/>
  <c r="L175" i="1"/>
  <c r="K57" i="1"/>
  <c r="L57" i="1"/>
  <c r="BA82" i="1"/>
  <c r="K82" i="1"/>
  <c r="L82" i="1"/>
  <c r="M585" i="1"/>
  <c r="K43" i="1"/>
  <c r="L43" i="1"/>
  <c r="M169" i="1"/>
  <c r="L169" i="1"/>
  <c r="AW439" i="1"/>
  <c r="M85" i="1"/>
  <c r="L85" i="1"/>
  <c r="BD70" i="1"/>
  <c r="K69" i="1"/>
  <c r="L69" i="1"/>
  <c r="AS766" i="1"/>
  <c r="M766" i="1"/>
  <c r="K488" i="1"/>
  <c r="M167" i="1"/>
  <c r="L167" i="1"/>
  <c r="AS585" i="1"/>
  <c r="M165" i="1"/>
  <c r="L165" i="1"/>
  <c r="AS580" i="1"/>
  <c r="M580" i="1"/>
  <c r="M137" i="1"/>
  <c r="L137" i="1"/>
  <c r="AS163" i="1"/>
  <c r="M163" i="1"/>
  <c r="L277" i="1"/>
  <c r="L47" i="1"/>
  <c r="K817" i="1"/>
  <c r="L817" i="1"/>
  <c r="L249" i="1"/>
  <c r="AX36" i="1"/>
  <c r="K36" i="1"/>
  <c r="L75" i="1"/>
  <c r="M75" i="1"/>
  <c r="AS76" i="1"/>
  <c r="L68" i="1"/>
  <c r="M68" i="1"/>
  <c r="AT90" i="1"/>
  <c r="AW137" i="1"/>
  <c r="AR69" i="1"/>
  <c r="K109" i="1"/>
  <c r="L109" i="1"/>
  <c r="M81" i="1"/>
  <c r="K81" i="1"/>
  <c r="M154" i="1"/>
  <c r="L154" i="1"/>
  <c r="K130" i="1"/>
  <c r="M155" i="1"/>
  <c r="L155" i="1"/>
  <c r="M188" i="1"/>
  <c r="L188" i="1"/>
  <c r="BB177" i="1"/>
  <c r="AU244" i="1"/>
  <c r="K666" i="1"/>
  <c r="L666" i="1"/>
  <c r="BB585" i="1"/>
  <c r="BD657" i="1"/>
  <c r="M36" i="1"/>
  <c r="L36" i="1"/>
  <c r="L103" i="1"/>
  <c r="M103" i="1"/>
  <c r="AR819" i="1"/>
  <c r="K819" i="1"/>
  <c r="L819" i="1"/>
  <c r="M569" i="1"/>
  <c r="L569" i="1"/>
  <c r="K749" i="1"/>
  <c r="L133" i="1"/>
  <c r="L72" i="1"/>
  <c r="L605" i="1"/>
  <c r="K47" i="1"/>
  <c r="L138" i="1"/>
  <c r="K291" i="1"/>
  <c r="L172" i="1"/>
  <c r="L313" i="1"/>
  <c r="L581" i="1"/>
  <c r="M609" i="1"/>
  <c r="AW144" i="1"/>
  <c r="M144" i="1"/>
  <c r="L144" i="1"/>
  <c r="AW192" i="1"/>
  <c r="M192" i="1"/>
  <c r="BB192" i="1"/>
  <c r="L192" i="1"/>
  <c r="AS768" i="1"/>
  <c r="M768" i="1"/>
  <c r="M27" i="1"/>
  <c r="L27" i="1"/>
  <c r="K131" i="1"/>
  <c r="L131" i="1"/>
  <c r="L768" i="1"/>
  <c r="L271" i="1"/>
  <c r="K83" i="1"/>
  <c r="L83" i="1"/>
  <c r="K18" i="1"/>
  <c r="L18" i="1"/>
  <c r="AT35" i="1"/>
  <c r="M145" i="1"/>
  <c r="L145" i="1"/>
  <c r="AW242" i="1"/>
  <c r="M54" i="1"/>
  <c r="L54" i="1"/>
  <c r="L41" i="1"/>
  <c r="M41" i="1"/>
  <c r="K42" i="1"/>
  <c r="L42" i="1"/>
  <c r="AS50" i="1"/>
  <c r="M50" i="1"/>
  <c r="L50" i="1"/>
  <c r="AS769" i="1"/>
  <c r="M769" i="1"/>
  <c r="L382" i="1"/>
  <c r="AR792" i="1"/>
  <c r="K792" i="1"/>
  <c r="L792" i="1"/>
  <c r="M33" i="1"/>
  <c r="L33" i="1"/>
  <c r="BA69" i="1"/>
  <c r="BB394" i="1"/>
  <c r="AW50" i="1"/>
  <c r="K119" i="1"/>
  <c r="L119" i="1"/>
  <c r="BF135" i="1"/>
  <c r="I90" i="1"/>
  <c r="K173" i="1"/>
  <c r="L173" i="1"/>
  <c r="AW394" i="1"/>
  <c r="AR788" i="1"/>
  <c r="K788" i="1"/>
  <c r="L788" i="1"/>
  <c r="K19" i="1"/>
  <c r="L19" i="1"/>
  <c r="AX252" i="1"/>
  <c r="K252" i="1"/>
  <c r="M252" i="1"/>
  <c r="M215" i="1"/>
  <c r="L215" i="1"/>
  <c r="M57" i="1"/>
  <c r="L56" i="1"/>
  <c r="L222" i="1"/>
  <c r="M484" i="1"/>
  <c r="L608" i="1"/>
  <c r="AV106" i="1"/>
  <c r="K106" i="1"/>
  <c r="BA106" i="1"/>
  <c r="L106" i="1"/>
  <c r="M264" i="1"/>
  <c r="AW264" i="1"/>
  <c r="L278" i="1"/>
  <c r="K643" i="1"/>
  <c r="L291" i="1"/>
  <c r="K489" i="1"/>
  <c r="AS775" i="1"/>
  <c r="M775" i="1"/>
  <c r="BF58" i="1"/>
  <c r="AV82" i="1"/>
  <c r="M102" i="1"/>
  <c r="L102" i="1"/>
  <c r="K96" i="1"/>
  <c r="L96" i="1"/>
  <c r="M61" i="1"/>
  <c r="BB137" i="1"/>
  <c r="AS215" i="1"/>
  <c r="I206" i="1"/>
  <c r="M244" i="1"/>
  <c r="L244" i="1"/>
  <c r="BB589" i="1"/>
  <c r="M70" i="1"/>
  <c r="L70" i="1"/>
  <c r="AX7" i="1"/>
  <c r="K26" i="1"/>
  <c r="L26" i="1"/>
  <c r="AW163" i="1"/>
  <c r="AS175" i="1"/>
  <c r="AS209" i="1"/>
  <c r="M209" i="1"/>
  <c r="L209" i="1"/>
  <c r="AU433" i="1"/>
  <c r="M235" i="1"/>
  <c r="L235" i="1"/>
  <c r="M568" i="1"/>
  <c r="L99" i="1"/>
  <c r="L490" i="1"/>
  <c r="L321" i="1"/>
  <c r="M601" i="1"/>
  <c r="L601" i="1"/>
  <c r="K111" i="1"/>
  <c r="L111" i="1"/>
  <c r="K244" i="1"/>
  <c r="L180" i="1"/>
  <c r="L405" i="1"/>
  <c r="AS764" i="1"/>
  <c r="M764" i="1"/>
  <c r="BB595" i="1"/>
  <c r="M595" i="1"/>
  <c r="L623" i="1"/>
  <c r="M299" i="1"/>
  <c r="AW299" i="1"/>
  <c r="L191" i="1"/>
  <c r="M251" i="1"/>
  <c r="M597" i="1"/>
  <c r="AS597" i="1"/>
  <c r="M784" i="1"/>
  <c r="L446" i="1"/>
  <c r="M273" i="1"/>
  <c r="M231" i="1"/>
  <c r="L231" i="1"/>
  <c r="K97" i="1"/>
  <c r="L97" i="1"/>
  <c r="BB175" i="1"/>
  <c r="AW175" i="1"/>
  <c r="AR789" i="1"/>
  <c r="K789" i="1"/>
  <c r="L789" i="1"/>
  <c r="AR638" i="1"/>
  <c r="K77" i="1"/>
  <c r="L77" i="1"/>
  <c r="AW48" i="1"/>
  <c r="K665" i="1"/>
  <c r="L665" i="1"/>
  <c r="AR394" i="1"/>
  <c r="M441" i="1"/>
  <c r="L441" i="1"/>
  <c r="M55" i="1"/>
  <c r="L610" i="1"/>
  <c r="L193" i="1"/>
  <c r="K589" i="1"/>
  <c r="L64" i="1"/>
  <c r="M64" i="1"/>
  <c r="AS64" i="1"/>
  <c r="AW64" i="1"/>
  <c r="M430" i="1"/>
  <c r="AS430" i="1"/>
  <c r="AX6" i="1"/>
  <c r="AZ47" i="1"/>
  <c r="L53" i="1"/>
  <c r="K53" i="1"/>
  <c r="M67" i="1"/>
  <c r="K67" i="1"/>
  <c r="L67" i="1"/>
  <c r="K118" i="1"/>
  <c r="L118" i="1"/>
  <c r="BB41" i="1"/>
  <c r="AZ237" i="1"/>
  <c r="AS441" i="1"/>
  <c r="AS495" i="1"/>
  <c r="L319" i="1"/>
  <c r="M319" i="1"/>
  <c r="AS605" i="1"/>
  <c r="AS48" i="1"/>
  <c r="BB111" i="1"/>
  <c r="BB204" i="1"/>
  <c r="L204" i="1"/>
  <c r="M204" i="1"/>
  <c r="BD321" i="1"/>
  <c r="K321" i="1"/>
  <c r="M207" i="1"/>
  <c r="L207" i="1"/>
  <c r="L603" i="1"/>
  <c r="K70" i="1"/>
  <c r="L280" i="1"/>
  <c r="M270" i="1"/>
  <c r="AS767" i="1"/>
  <c r="M767" i="1"/>
  <c r="L568" i="1"/>
  <c r="L783" i="1"/>
  <c r="L769" i="1"/>
  <c r="L766" i="1"/>
  <c r="AW216" i="1"/>
  <c r="M216" i="1"/>
  <c r="L484" i="1"/>
  <c r="L168" i="1"/>
  <c r="K446" i="1"/>
  <c r="BB144" i="1"/>
  <c r="BC178" i="1"/>
  <c r="AX439" i="1"/>
  <c r="AS490" i="1"/>
  <c r="AS144" i="1"/>
  <c r="AS99" i="1"/>
  <c r="BB623" i="1"/>
  <c r="AS623" i="1"/>
  <c r="BB405" i="1"/>
  <c r="AS405" i="1"/>
  <c r="AW405" i="1"/>
  <c r="AS568" i="1"/>
  <c r="AW54" i="1"/>
  <c r="AW209" i="1"/>
  <c r="AP215" i="1"/>
  <c r="AU273" i="1"/>
  <c r="AX273" i="1"/>
  <c r="AV19" i="1"/>
  <c r="BA19" i="1"/>
  <c r="BB150" i="1"/>
  <c r="AW150" i="1"/>
  <c r="AS150" i="1"/>
  <c r="AR110" i="1"/>
  <c r="AV110" i="1"/>
  <c r="BB232" i="1"/>
  <c r="AW232" i="1"/>
  <c r="AS232" i="1"/>
  <c r="AW203" i="1"/>
  <c r="AW235" i="1"/>
  <c r="BB235" i="1"/>
  <c r="AS235" i="1"/>
  <c r="BB50" i="1"/>
  <c r="AU589" i="1"/>
  <c r="AS69" i="1"/>
  <c r="AX83" i="1"/>
  <c r="AU83" i="1"/>
  <c r="BD83" i="1"/>
  <c r="BF130" i="1"/>
  <c r="BB138" i="1"/>
  <c r="AS138" i="1"/>
  <c r="AW138" i="1"/>
  <c r="AW207" i="1"/>
  <c r="AV11" i="1"/>
  <c r="BA11" i="1"/>
  <c r="BF177" i="1"/>
  <c r="G587" i="1"/>
  <c r="AZ49" i="1"/>
  <c r="AS569" i="1"/>
  <c r="AS204" i="1"/>
  <c r="AW231" i="1"/>
  <c r="BB231" i="1"/>
  <c r="AS231" i="1"/>
  <c r="BB209" i="1"/>
  <c r="AU19" i="1"/>
  <c r="AX19" i="1"/>
  <c r="BD19" i="1"/>
  <c r="BD68" i="1"/>
  <c r="BB215" i="1"/>
  <c r="BB103" i="1"/>
  <c r="AW103" i="1"/>
  <c r="BF31" i="1"/>
  <c r="BF107" i="1"/>
  <c r="AU252" i="1"/>
  <c r="AX321" i="1"/>
  <c r="BB95" i="1"/>
  <c r="AS95" i="1"/>
  <c r="AW208" i="1"/>
  <c r="BB598" i="1"/>
  <c r="AS598" i="1"/>
  <c r="BF30" i="1"/>
  <c r="BB54" i="1"/>
  <c r="BF185" i="1"/>
  <c r="I205" i="1"/>
  <c r="AS205" i="1" s="1"/>
  <c r="AW204" i="1"/>
  <c r="BD291" i="1"/>
  <c r="AV77" i="1"/>
  <c r="AW56" i="1"/>
  <c r="BB56" i="1"/>
  <c r="AS488" i="1"/>
  <c r="I130" i="1"/>
  <c r="M130" i="1" s="1"/>
  <c r="BC130" i="1"/>
  <c r="BE130" i="1"/>
  <c r="AT130" i="1"/>
  <c r="BF32" i="1"/>
  <c r="AS54" i="1"/>
  <c r="BF171" i="1"/>
  <c r="BF205" i="1"/>
  <c r="BE205" i="1"/>
  <c r="BF184" i="1"/>
  <c r="BD252" i="1"/>
  <c r="AU321" i="1"/>
  <c r="BC98" i="1"/>
  <c r="AZ57" i="1"/>
  <c r="AV26" i="1"/>
  <c r="BB165" i="1"/>
  <c r="AS165" i="1"/>
  <c r="AW165" i="1"/>
  <c r="BF178" i="1"/>
  <c r="AU47" i="1"/>
  <c r="BD47" i="1"/>
  <c r="AT37" i="1"/>
  <c r="BC37" i="1"/>
  <c r="AS70" i="1"/>
  <c r="AW70" i="1"/>
  <c r="BB71" i="1"/>
  <c r="AW71" i="1"/>
  <c r="BF37" i="1"/>
  <c r="AW243" i="1"/>
  <c r="BE59" i="1"/>
  <c r="AT59" i="1"/>
  <c r="I59" i="1"/>
  <c r="BC59" i="1"/>
  <c r="BF59" i="1"/>
  <c r="AW167" i="1"/>
  <c r="BB167" i="1"/>
  <c r="AS167" i="1"/>
  <c r="AU249" i="1"/>
  <c r="BD249" i="1"/>
  <c r="BD236" i="1"/>
  <c r="AU236" i="1"/>
  <c r="AX236" i="1"/>
  <c r="BE30" i="1"/>
  <c r="AT30" i="1"/>
  <c r="BC30" i="1"/>
  <c r="I30" i="1"/>
  <c r="BF176" i="1"/>
  <c r="AS191" i="1"/>
  <c r="BB191" i="1"/>
  <c r="AW191" i="1"/>
  <c r="AS586" i="1"/>
  <c r="BB586" i="1"/>
  <c r="BB400" i="1"/>
  <c r="AS400" i="1"/>
  <c r="AW400" i="1"/>
  <c r="BB21" i="1"/>
  <c r="AS21" i="1"/>
  <c r="AW21" i="1"/>
  <c r="BE31" i="1"/>
  <c r="AT31" i="1"/>
  <c r="BC31" i="1"/>
  <c r="I31" i="1"/>
  <c r="BE65" i="1"/>
  <c r="AD66" i="1"/>
  <c r="BC65" i="1"/>
  <c r="AT65" i="1"/>
  <c r="I65" i="1"/>
  <c r="AW85" i="1"/>
  <c r="BB85" i="1"/>
  <c r="AS85" i="1"/>
  <c r="AW110" i="1"/>
  <c r="BB110" i="1"/>
  <c r="AS110" i="1"/>
  <c r="BB131" i="1"/>
  <c r="AW131" i="1"/>
  <c r="AS131" i="1"/>
  <c r="AR119" i="1"/>
  <c r="BA119" i="1"/>
  <c r="AV119" i="1"/>
  <c r="AW68" i="1"/>
  <c r="BB68" i="1"/>
  <c r="AS68" i="1"/>
  <c r="BB106" i="1"/>
  <c r="AS106" i="1"/>
  <c r="AW106" i="1"/>
  <c r="AV97" i="1"/>
  <c r="BA97" i="1"/>
  <c r="AR97" i="1"/>
  <c r="BA173" i="1"/>
  <c r="AR173" i="1"/>
  <c r="AV173" i="1"/>
  <c r="BE186" i="1"/>
  <c r="AT186" i="1"/>
  <c r="I186" i="1"/>
  <c r="BC186" i="1"/>
  <c r="AT177" i="1"/>
  <c r="BB253" i="1"/>
  <c r="AS253" i="1"/>
  <c r="AW253" i="1"/>
  <c r="AS187" i="1"/>
  <c r="BB440" i="1"/>
  <c r="AW440" i="1"/>
  <c r="AS440" i="1"/>
  <c r="AW169" i="1"/>
  <c r="BB169" i="1"/>
  <c r="AS169" i="1"/>
  <c r="AU630" i="1"/>
  <c r="BD630" i="1"/>
  <c r="AS610" i="1"/>
  <c r="BB610" i="1"/>
  <c r="BB67" i="1"/>
  <c r="AW67" i="1"/>
  <c r="AS67" i="1"/>
  <c r="AT117" i="1"/>
  <c r="I117" i="1"/>
  <c r="BE117" i="1"/>
  <c r="BC117" i="1"/>
  <c r="AS132" i="1"/>
  <c r="AW132" i="1"/>
  <c r="BB132" i="1"/>
  <c r="I170" i="1"/>
  <c r="BC170" i="1"/>
  <c r="AT170" i="1"/>
  <c r="BE170" i="1"/>
  <c r="AS555" i="1"/>
  <c r="BB277" i="1"/>
  <c r="AW277" i="1"/>
  <c r="AS277" i="1"/>
  <c r="AU36" i="1"/>
  <c r="BD36" i="1"/>
  <c r="BE32" i="1"/>
  <c r="I32" i="1"/>
  <c r="BC32" i="1"/>
  <c r="AT32" i="1"/>
  <c r="BB75" i="1"/>
  <c r="AS75" i="1"/>
  <c r="AW75" i="1"/>
  <c r="AV76" i="1"/>
  <c r="AR76" i="1"/>
  <c r="BA76" i="1"/>
  <c r="AS118" i="1"/>
  <c r="BB118" i="1"/>
  <c r="AW118" i="1"/>
  <c r="AR124" i="1"/>
  <c r="BA124" i="1"/>
  <c r="AV124" i="1"/>
  <c r="BF117" i="1"/>
  <c r="AS166" i="1"/>
  <c r="AW166" i="1"/>
  <c r="BB166" i="1"/>
  <c r="BC177" i="1"/>
  <c r="AS133" i="1"/>
  <c r="AW133" i="1"/>
  <c r="BB133" i="1"/>
  <c r="AS321" i="1"/>
  <c r="AW321" i="1"/>
  <c r="BB321" i="1"/>
  <c r="AW177" i="1"/>
  <c r="AR666" i="1"/>
  <c r="BA666" i="1"/>
  <c r="AS596" i="1"/>
  <c r="BB596" i="1"/>
  <c r="BC44" i="1"/>
  <c r="BE44" i="1"/>
  <c r="AT44" i="1"/>
  <c r="I44" i="1"/>
  <c r="I92" i="1"/>
  <c r="AD93" i="1"/>
  <c r="BE92" i="1"/>
  <c r="BC92" i="1"/>
  <c r="AT92" i="1"/>
  <c r="AT112" i="1"/>
  <c r="BE112" i="1"/>
  <c r="BF112" i="1"/>
  <c r="BC112" i="1"/>
  <c r="I112" i="1"/>
  <c r="AT182" i="1"/>
  <c r="BC182" i="1"/>
  <c r="BE182" i="1"/>
  <c r="I182" i="1"/>
  <c r="AS462" i="1"/>
  <c r="BB462" i="1"/>
  <c r="AW462" i="1"/>
  <c r="BB468" i="1"/>
  <c r="AS468" i="1"/>
  <c r="BB18" i="1"/>
  <c r="AS18" i="1"/>
  <c r="AW18" i="1"/>
  <c r="AW149" i="1"/>
  <c r="AS149" i="1"/>
  <c r="BB149" i="1"/>
  <c r="BF195" i="1"/>
  <c r="AS19" i="1"/>
  <c r="BB19" i="1"/>
  <c r="AW19" i="1"/>
  <c r="AS72" i="1"/>
  <c r="AW72" i="1"/>
  <c r="BB72" i="1"/>
  <c r="AW27" i="1"/>
  <c r="AS27" i="1"/>
  <c r="BB27" i="1"/>
  <c r="BE58" i="1"/>
  <c r="AT58" i="1"/>
  <c r="BC58" i="1"/>
  <c r="I58" i="1"/>
  <c r="BB86" i="1"/>
  <c r="AS86" i="1"/>
  <c r="AW86" i="1"/>
  <c r="BA109" i="1"/>
  <c r="AR109" i="1"/>
  <c r="AV109" i="1"/>
  <c r="BA131" i="1"/>
  <c r="AV131" i="1"/>
  <c r="AR131" i="1"/>
  <c r="AV130" i="1"/>
  <c r="AR130" i="1"/>
  <c r="BA130" i="1"/>
  <c r="BF170" i="1"/>
  <c r="AW193" i="1"/>
  <c r="AS193" i="1"/>
  <c r="BB193" i="1"/>
  <c r="AT135" i="1"/>
  <c r="I135" i="1"/>
  <c r="BC135" i="1"/>
  <c r="AD136" i="1"/>
  <c r="BE135" i="1"/>
  <c r="BE177" i="1"/>
  <c r="AW196" i="1"/>
  <c r="BB196" i="1"/>
  <c r="AS196" i="1"/>
  <c r="AS223" i="1"/>
  <c r="BB223" i="1"/>
  <c r="AW223" i="1"/>
  <c r="BB244" i="1"/>
  <c r="AW244" i="1"/>
  <c r="AS244" i="1"/>
  <c r="AS278" i="1"/>
  <c r="BB278" i="1"/>
  <c r="AW278" i="1"/>
  <c r="AS177" i="1"/>
  <c r="BA43" i="1"/>
  <c r="AR43" i="1"/>
  <c r="AV43" i="1"/>
  <c r="AS180" i="1"/>
  <c r="BB180" i="1"/>
  <c r="AW180" i="1"/>
  <c r="AS271" i="1"/>
  <c r="AW271" i="1"/>
  <c r="BB82" i="1"/>
  <c r="AS82" i="1"/>
  <c r="AW82" i="1"/>
  <c r="AS102" i="1"/>
  <c r="BB102" i="1"/>
  <c r="AW102" i="1"/>
  <c r="BE87" i="1"/>
  <c r="AT87" i="1"/>
  <c r="BC87" i="1"/>
  <c r="I87" i="1"/>
  <c r="BA57" i="1"/>
  <c r="AV57" i="1"/>
  <c r="AR57" i="1"/>
  <c r="AR89" i="1"/>
  <c r="AV89" i="1"/>
  <c r="BA89" i="1"/>
  <c r="AX81" i="1"/>
  <c r="BD81" i="1"/>
  <c r="AU81" i="1"/>
  <c r="BE183" i="1"/>
  <c r="I183" i="1"/>
  <c r="BC183" i="1"/>
  <c r="AT183" i="1"/>
  <c r="BD242" i="1"/>
  <c r="AU242" i="1"/>
  <c r="AR53" i="1"/>
  <c r="AV53" i="1"/>
  <c r="AW83" i="1"/>
  <c r="BB83" i="1"/>
  <c r="AS83" i="1"/>
  <c r="BE28" i="1"/>
  <c r="BC28" i="1"/>
  <c r="I28" i="1"/>
  <c r="AT28" i="1"/>
  <c r="BF28" i="1"/>
  <c r="AR83" i="1"/>
  <c r="BA83" i="1"/>
  <c r="AV83" i="1"/>
  <c r="BA96" i="1"/>
  <c r="AV96" i="1"/>
  <c r="AR96" i="1"/>
  <c r="AS61" i="1"/>
  <c r="AW61" i="1"/>
  <c r="BB61" i="1"/>
  <c r="AS172" i="1"/>
  <c r="AW172" i="1"/>
  <c r="BB172" i="1"/>
  <c r="BF186" i="1"/>
  <c r="AS134" i="1"/>
  <c r="AW134" i="1"/>
  <c r="BB134" i="1"/>
  <c r="AP220" i="1"/>
  <c r="BF220" i="1" s="1"/>
  <c r="AP221" i="1"/>
  <c r="BF221" i="1" s="1"/>
  <c r="AP217" i="1"/>
  <c r="BF217" i="1" s="1"/>
  <c r="BF182" i="1"/>
  <c r="BB239" i="1"/>
  <c r="AW239" i="1"/>
  <c r="AS239" i="1"/>
  <c r="AX242" i="1"/>
  <c r="AS582" i="1"/>
  <c r="BB582" i="1"/>
  <c r="AS608" i="1"/>
  <c r="BB608" i="1"/>
  <c r="AV126" i="1"/>
  <c r="AR126" i="1"/>
  <c r="BA126" i="1"/>
  <c r="BB237" i="1"/>
  <c r="AW237" i="1"/>
  <c r="AS237" i="1"/>
  <c r="BF179" i="1"/>
  <c r="AZ291" i="1"/>
  <c r="BB280" i="1"/>
  <c r="AW280" i="1"/>
  <c r="AS280" i="1"/>
  <c r="AS603" i="1"/>
  <c r="BB603" i="1"/>
  <c r="I23" i="1"/>
  <c r="AT23" i="1"/>
  <c r="BC23" i="1"/>
  <c r="AD24" i="1"/>
  <c r="BE23" i="1"/>
  <c r="AZ33" i="1"/>
  <c r="AR67" i="1"/>
  <c r="BA67" i="1"/>
  <c r="AV67" i="1"/>
  <c r="BF23" i="1"/>
  <c r="BF87" i="1"/>
  <c r="AD105" i="1"/>
  <c r="AT104" i="1"/>
  <c r="BE104" i="1"/>
  <c r="BC104" i="1"/>
  <c r="I104" i="1"/>
  <c r="AZ60" i="1"/>
  <c r="AW161" i="1"/>
  <c r="AS161" i="1"/>
  <c r="BB161" i="1"/>
  <c r="AS202" i="1"/>
  <c r="BB202" i="1"/>
  <c r="AW202" i="1"/>
  <c r="AU253" i="1"/>
  <c r="BD253" i="1"/>
  <c r="AX253" i="1"/>
  <c r="AW225" i="1"/>
  <c r="AS225" i="1"/>
  <c r="BB225" i="1"/>
  <c r="BB249" i="1"/>
  <c r="AW249" i="1"/>
  <c r="AS249" i="1"/>
  <c r="BF183" i="1"/>
  <c r="BB267" i="1"/>
  <c r="AW267" i="1"/>
  <c r="AS267" i="1"/>
  <c r="BB452" i="1"/>
  <c r="AS452" i="1"/>
  <c r="AW452" i="1"/>
  <c r="AS214" i="1"/>
  <c r="AW214" i="1"/>
  <c r="BB214" i="1"/>
  <c r="BD643" i="1"/>
  <c r="AU643" i="1"/>
  <c r="AS291" i="1"/>
  <c r="BB291" i="1"/>
  <c r="AW291" i="1"/>
  <c r="BB581" i="1"/>
  <c r="AS581" i="1"/>
  <c r="BB22" i="1"/>
  <c r="AW22" i="1"/>
  <c r="AS22" i="1"/>
  <c r="BC176" i="1"/>
  <c r="AT176" i="1"/>
  <c r="BE176" i="1"/>
  <c r="I176" i="1"/>
  <c r="I198" i="1"/>
  <c r="BE198" i="1"/>
  <c r="AD199" i="1"/>
  <c r="BC198" i="1"/>
  <c r="AT198" i="1"/>
  <c r="I29" i="1"/>
  <c r="BE29" i="1"/>
  <c r="BF29" i="1"/>
  <c r="AT29" i="1"/>
  <c r="BC29" i="1"/>
  <c r="AX133" i="1"/>
  <c r="BD133" i="1"/>
  <c r="AU133" i="1"/>
  <c r="AW228" i="1"/>
  <c r="BB228" i="1"/>
  <c r="AS228" i="1"/>
  <c r="BB584" i="1"/>
  <c r="AS584" i="1"/>
  <c r="BB438" i="1"/>
  <c r="AS438" i="1"/>
  <c r="AW438" i="1"/>
  <c r="AS516" i="1"/>
  <c r="BA22" i="1"/>
  <c r="AV22" i="1"/>
  <c r="AR22" i="1"/>
  <c r="AU67" i="1"/>
  <c r="BD67" i="1"/>
  <c r="AX67" i="1"/>
  <c r="BE107" i="1"/>
  <c r="AT107" i="1"/>
  <c r="BC107" i="1"/>
  <c r="I107" i="1"/>
  <c r="AD108" i="1"/>
  <c r="AS140" i="1"/>
  <c r="BB140" i="1"/>
  <c r="AW140" i="1"/>
  <c r="AW145" i="1"/>
  <c r="AS145" i="1"/>
  <c r="BB145" i="1"/>
  <c r="AS155" i="1"/>
  <c r="BB155" i="1"/>
  <c r="AW155" i="1"/>
  <c r="BE179" i="1"/>
  <c r="BC179" i="1"/>
  <c r="AT179" i="1"/>
  <c r="I179" i="1"/>
  <c r="AW168" i="1"/>
  <c r="BB168" i="1"/>
  <c r="AS168" i="1"/>
  <c r="BB188" i="1"/>
  <c r="AS188" i="1"/>
  <c r="AW188" i="1"/>
  <c r="AX249" i="1"/>
  <c r="BE178" i="1"/>
  <c r="BF44" i="1"/>
  <c r="BA118" i="1"/>
  <c r="AV118" i="1"/>
  <c r="AR118" i="1"/>
  <c r="BE189" i="1"/>
  <c r="I189" i="1"/>
  <c r="AD190" i="1"/>
  <c r="BF190" i="1" s="1"/>
  <c r="AT189" i="1"/>
  <c r="BC189" i="1"/>
  <c r="AW222" i="1"/>
  <c r="AS222" i="1"/>
  <c r="BB222" i="1"/>
  <c r="BA42" i="1"/>
  <c r="AR42" i="1"/>
  <c r="AV42" i="1"/>
  <c r="AS53" i="1"/>
  <c r="BB53" i="1"/>
  <c r="AW53" i="1"/>
  <c r="AS60" i="1"/>
  <c r="AW60" i="1"/>
  <c r="BB60" i="1"/>
  <c r="AS119" i="1"/>
  <c r="BB119" i="1"/>
  <c r="AW119" i="1"/>
  <c r="AT184" i="1"/>
  <c r="I184" i="1"/>
  <c r="BC184" i="1"/>
  <c r="BE184" i="1"/>
  <c r="AT195" i="1"/>
  <c r="I195" i="1"/>
  <c r="BC195" i="1"/>
  <c r="BE195" i="1"/>
  <c r="AT197" i="1"/>
  <c r="BC197" i="1"/>
  <c r="I197" i="1"/>
  <c r="BE197" i="1"/>
  <c r="BB39" i="1"/>
  <c r="AW39" i="1"/>
  <c r="AS39" i="1"/>
  <c r="BC100" i="1"/>
  <c r="AT100" i="1"/>
  <c r="I100" i="1"/>
  <c r="AD101" i="1"/>
  <c r="BE100" i="1"/>
  <c r="BF100" i="1"/>
  <c r="AS127" i="1"/>
  <c r="BB127" i="1"/>
  <c r="AW127" i="1"/>
  <c r="AZ50" i="1"/>
  <c r="BB178" i="1"/>
  <c r="AS178" i="1"/>
  <c r="AW178" i="1"/>
  <c r="I171" i="1"/>
  <c r="AT171" i="1"/>
  <c r="BC171" i="1"/>
  <c r="BE171" i="1"/>
  <c r="AS473" i="1"/>
  <c r="AS154" i="1"/>
  <c r="BB154" i="1"/>
  <c r="AW154" i="1"/>
  <c r="AW201" i="1"/>
  <c r="AS201" i="1"/>
  <c r="BB201" i="1"/>
  <c r="AW33" i="1"/>
  <c r="AS33" i="1"/>
  <c r="BB33" i="1"/>
  <c r="BA84" i="1"/>
  <c r="AR84" i="1"/>
  <c r="AV84" i="1"/>
  <c r="AU84" i="1"/>
  <c r="BD84" i="1"/>
  <c r="AX84" i="1"/>
  <c r="BA18" i="1"/>
  <c r="AV18" i="1"/>
  <c r="AR18" i="1"/>
  <c r="BB47" i="1"/>
  <c r="AW47" i="1"/>
  <c r="AS47" i="1"/>
  <c r="AD115" i="1"/>
  <c r="AT114" i="1"/>
  <c r="I114" i="1"/>
  <c r="BE114" i="1"/>
  <c r="BC114" i="1"/>
  <c r="BF114" i="1"/>
  <c r="AD45" i="1"/>
  <c r="BF45" i="1" s="1"/>
  <c r="AW113" i="1"/>
  <c r="BB113" i="1"/>
  <c r="AS113" i="1"/>
  <c r="AW77" i="1"/>
  <c r="BB77" i="1"/>
  <c r="AS77" i="1"/>
  <c r="AT185" i="1"/>
  <c r="BC185" i="1"/>
  <c r="I185" i="1"/>
  <c r="BE185" i="1"/>
  <c r="BF189" i="1"/>
  <c r="AP216" i="1"/>
  <c r="AS319" i="1"/>
  <c r="AW319" i="1"/>
  <c r="BB319" i="1"/>
  <c r="AS38" i="1" l="1"/>
  <c r="AW38" i="1"/>
  <c r="BB38" i="1"/>
  <c r="L38" i="1"/>
  <c r="BD587" i="1"/>
  <c r="AX587" i="1"/>
  <c r="AU23" i="1"/>
  <c r="AX23" i="1"/>
  <c r="BB37" i="1"/>
  <c r="BD23" i="1"/>
  <c r="L187" i="1"/>
  <c r="AS98" i="1"/>
  <c r="BB187" i="1"/>
  <c r="L37" i="1"/>
  <c r="M37" i="1"/>
  <c r="AW187" i="1"/>
  <c r="AS37" i="1"/>
  <c r="G24" i="1"/>
  <c r="K24" i="1" s="1"/>
  <c r="BB205" i="1"/>
  <c r="AW205" i="1"/>
  <c r="AS90" i="1"/>
  <c r="BB90" i="1"/>
  <c r="AW128" i="1"/>
  <c r="BB128" i="1"/>
  <c r="BB35" i="1"/>
  <c r="AS35" i="1"/>
  <c r="L128" i="1"/>
  <c r="AW90" i="1"/>
  <c r="AW98" i="1"/>
  <c r="M128" i="1"/>
  <c r="M117" i="1"/>
  <c r="L117" i="1"/>
  <c r="M195" i="1"/>
  <c r="L195" i="1"/>
  <c r="M189" i="1"/>
  <c r="L189" i="1"/>
  <c r="M58" i="1"/>
  <c r="L58" i="1"/>
  <c r="M182" i="1"/>
  <c r="L182" i="1"/>
  <c r="L44" i="1"/>
  <c r="M44" i="1"/>
  <c r="M170" i="1"/>
  <c r="L170" i="1"/>
  <c r="L59" i="1"/>
  <c r="M59" i="1"/>
  <c r="G588" i="1"/>
  <c r="AW206" i="1"/>
  <c r="M29" i="1"/>
  <c r="L29" i="1"/>
  <c r="M183" i="1"/>
  <c r="L183" i="1"/>
  <c r="L32" i="1"/>
  <c r="M32" i="1"/>
  <c r="M186" i="1"/>
  <c r="L186" i="1"/>
  <c r="M35" i="1"/>
  <c r="L35" i="1"/>
  <c r="M171" i="1"/>
  <c r="L171" i="1"/>
  <c r="AS206" i="1"/>
  <c r="K71" i="1"/>
  <c r="L71" i="1"/>
  <c r="M114" i="1"/>
  <c r="L114" i="1"/>
  <c r="L23" i="1"/>
  <c r="M23" i="1"/>
  <c r="M112" i="1"/>
  <c r="L112" i="1"/>
  <c r="M205" i="1"/>
  <c r="L205" i="1"/>
  <c r="L130" i="1"/>
  <c r="L87" i="1"/>
  <c r="M87" i="1"/>
  <c r="M65" i="1"/>
  <c r="L65" i="1"/>
  <c r="L31" i="1"/>
  <c r="M31" i="1"/>
  <c r="AU587" i="1"/>
  <c r="M98" i="1"/>
  <c r="L98" i="1"/>
  <c r="M30" i="1"/>
  <c r="L30" i="1"/>
  <c r="M90" i="1"/>
  <c r="L90" i="1"/>
  <c r="M107" i="1"/>
  <c r="L107" i="1"/>
  <c r="M198" i="1"/>
  <c r="L198" i="1"/>
  <c r="M104" i="1"/>
  <c r="L104" i="1"/>
  <c r="M135" i="1"/>
  <c r="L135" i="1"/>
  <c r="M206" i="1"/>
  <c r="L206" i="1"/>
  <c r="M587" i="1"/>
  <c r="K587" i="1"/>
  <c r="M185" i="1"/>
  <c r="L185" i="1"/>
  <c r="BB206" i="1"/>
  <c r="M179" i="1"/>
  <c r="L179" i="1"/>
  <c r="L28" i="1"/>
  <c r="M28" i="1"/>
  <c r="M100" i="1"/>
  <c r="L100" i="1"/>
  <c r="M197" i="1"/>
  <c r="L197" i="1"/>
  <c r="M184" i="1"/>
  <c r="L184" i="1"/>
  <c r="L176" i="1"/>
  <c r="M176" i="1"/>
  <c r="L92" i="1"/>
  <c r="M92" i="1"/>
  <c r="AW130" i="1"/>
  <c r="BB130" i="1"/>
  <c r="AS130" i="1"/>
  <c r="AS100" i="1"/>
  <c r="BB100" i="1"/>
  <c r="AW100" i="1"/>
  <c r="BB135" i="1"/>
  <c r="AS135" i="1"/>
  <c r="AW135" i="1"/>
  <c r="BB114" i="1"/>
  <c r="AW114" i="1"/>
  <c r="AS114" i="1"/>
  <c r="BB171" i="1"/>
  <c r="AW171" i="1"/>
  <c r="AS171" i="1"/>
  <c r="AS65" i="1"/>
  <c r="BB65" i="1"/>
  <c r="AW65" i="1"/>
  <c r="AS31" i="1"/>
  <c r="BB31" i="1"/>
  <c r="AW31" i="1"/>
  <c r="AW59" i="1"/>
  <c r="BB59" i="1"/>
  <c r="AS59" i="1"/>
  <c r="AS185" i="1"/>
  <c r="BB185" i="1"/>
  <c r="AW185" i="1"/>
  <c r="BE190" i="1"/>
  <c r="BC190" i="1"/>
  <c r="AT190" i="1"/>
  <c r="I190" i="1"/>
  <c r="I108" i="1"/>
  <c r="AT108" i="1"/>
  <c r="BC108" i="1"/>
  <c r="BE108" i="1"/>
  <c r="BF108" i="1"/>
  <c r="AW198" i="1"/>
  <c r="BB198" i="1"/>
  <c r="AS198" i="1"/>
  <c r="AW183" i="1"/>
  <c r="BB183" i="1"/>
  <c r="AS183" i="1"/>
  <c r="AS87" i="1"/>
  <c r="BB87" i="1"/>
  <c r="AW87" i="1"/>
  <c r="AS182" i="1"/>
  <c r="BB182" i="1"/>
  <c r="AW182" i="1"/>
  <c r="BB44" i="1"/>
  <c r="AW44" i="1"/>
  <c r="AS44" i="1"/>
  <c r="BB104" i="1"/>
  <c r="AS104" i="1"/>
  <c r="AW104" i="1"/>
  <c r="BE24" i="1"/>
  <c r="AT24" i="1"/>
  <c r="BC24" i="1"/>
  <c r="I24" i="1"/>
  <c r="AS197" i="1"/>
  <c r="BB197" i="1"/>
  <c r="AW197" i="1"/>
  <c r="BB184" i="1"/>
  <c r="AW184" i="1"/>
  <c r="AS184" i="1"/>
  <c r="AS179" i="1"/>
  <c r="BB179" i="1"/>
  <c r="AW179" i="1"/>
  <c r="BE199" i="1"/>
  <c r="BC199" i="1"/>
  <c r="I199" i="1"/>
  <c r="BF199" i="1"/>
  <c r="AT199" i="1"/>
  <c r="AT115" i="1"/>
  <c r="BC115" i="1"/>
  <c r="I115" i="1"/>
  <c r="BE115" i="1"/>
  <c r="BF115" i="1"/>
  <c r="AW189" i="1"/>
  <c r="BB189" i="1"/>
  <c r="AS189" i="1"/>
  <c r="BB107" i="1"/>
  <c r="AW107" i="1"/>
  <c r="AS107" i="1"/>
  <c r="AW176" i="1"/>
  <c r="BB176" i="1"/>
  <c r="AS176" i="1"/>
  <c r="AW23" i="1"/>
  <c r="AS23" i="1"/>
  <c r="BB23" i="1"/>
  <c r="AS186" i="1"/>
  <c r="BB186" i="1"/>
  <c r="AW186" i="1"/>
  <c r="AW112" i="1"/>
  <c r="BB112" i="1"/>
  <c r="AS112" i="1"/>
  <c r="AT66" i="1"/>
  <c r="BC66" i="1"/>
  <c r="I66" i="1"/>
  <c r="BE66" i="1"/>
  <c r="BF66" i="1"/>
  <c r="AR71" i="1"/>
  <c r="AV71" i="1"/>
  <c r="BA71" i="1"/>
  <c r="I105" i="1"/>
  <c r="BE105" i="1"/>
  <c r="BF105" i="1"/>
  <c r="BC105" i="1"/>
  <c r="AT105" i="1"/>
  <c r="AW58" i="1"/>
  <c r="AS58" i="1"/>
  <c r="BB58" i="1"/>
  <c r="AS28" i="1"/>
  <c r="BB28" i="1"/>
  <c r="AW28" i="1"/>
  <c r="I93" i="1"/>
  <c r="BC93" i="1"/>
  <c r="AD94" i="1"/>
  <c r="BF93" i="1"/>
  <c r="AT93" i="1"/>
  <c r="BE93" i="1"/>
  <c r="AW32" i="1"/>
  <c r="BB32" i="1"/>
  <c r="AS32" i="1"/>
  <c r="BB117" i="1"/>
  <c r="AW117" i="1"/>
  <c r="AS117" i="1"/>
  <c r="AT101" i="1"/>
  <c r="I101" i="1"/>
  <c r="BC101" i="1"/>
  <c r="BE101" i="1"/>
  <c r="BF101" i="1"/>
  <c r="I136" i="1"/>
  <c r="BC136" i="1"/>
  <c r="AT136" i="1"/>
  <c r="BE136" i="1"/>
  <c r="BF136" i="1"/>
  <c r="AS30" i="1"/>
  <c r="BB30" i="1"/>
  <c r="AW30" i="1"/>
  <c r="AT45" i="1"/>
  <c r="BC45" i="1"/>
  <c r="I45" i="1"/>
  <c r="BE45" i="1"/>
  <c r="AD46" i="1"/>
  <c r="BB195" i="1"/>
  <c r="AS195" i="1"/>
  <c r="AW195" i="1"/>
  <c r="BF24" i="1"/>
  <c r="AS29" i="1"/>
  <c r="BB29" i="1"/>
  <c r="AW29" i="1"/>
  <c r="AS92" i="1"/>
  <c r="BB92" i="1"/>
  <c r="AW92" i="1"/>
  <c r="AS170" i="1"/>
  <c r="AW170" i="1"/>
  <c r="BB170" i="1"/>
  <c r="BD588" i="1" l="1"/>
  <c r="AX588" i="1"/>
  <c r="AX24" i="1"/>
  <c r="AU24" i="1"/>
  <c r="BD24" i="1"/>
  <c r="M66" i="1"/>
  <c r="L66" i="1"/>
  <c r="M105" i="1"/>
  <c r="L105" i="1"/>
  <c r="M115" i="1"/>
  <c r="L115" i="1"/>
  <c r="M190" i="1"/>
  <c r="L190" i="1"/>
  <c r="L45" i="1"/>
  <c r="M45" i="1"/>
  <c r="M101" i="1"/>
  <c r="L101" i="1"/>
  <c r="M93" i="1"/>
  <c r="L93" i="1"/>
  <c r="M199" i="1"/>
  <c r="L199" i="1"/>
  <c r="M588" i="1"/>
  <c r="K588" i="1"/>
  <c r="M136" i="1"/>
  <c r="L136" i="1"/>
  <c r="M108" i="1"/>
  <c r="L108" i="1"/>
  <c r="AU588" i="1"/>
  <c r="L24" i="1"/>
  <c r="M24" i="1"/>
  <c r="AW93" i="1"/>
  <c r="BB93" i="1"/>
  <c r="AS93" i="1"/>
  <c r="BB108" i="1"/>
  <c r="AW108" i="1"/>
  <c r="AS108" i="1"/>
  <c r="AS66" i="1"/>
  <c r="BB66" i="1"/>
  <c r="AW66" i="1"/>
  <c r="AS101" i="1"/>
  <c r="AW101" i="1"/>
  <c r="BB101" i="1"/>
  <c r="AW136" i="1"/>
  <c r="AS136" i="1"/>
  <c r="BB136" i="1"/>
  <c r="AS190" i="1"/>
  <c r="BB190" i="1"/>
  <c r="AW190" i="1"/>
  <c r="AW199" i="1"/>
  <c r="BB199" i="1"/>
  <c r="AS199" i="1"/>
  <c r="AW105" i="1"/>
  <c r="BB105" i="1"/>
  <c r="AS105" i="1"/>
  <c r="BB45" i="1"/>
  <c r="AW45" i="1"/>
  <c r="AS45" i="1"/>
  <c r="AW24" i="1"/>
  <c r="AS24" i="1"/>
  <c r="BB24" i="1"/>
  <c r="I94" i="1"/>
  <c r="AT94" i="1"/>
  <c r="BC94" i="1"/>
  <c r="BE94" i="1"/>
  <c r="BF94" i="1"/>
  <c r="I46" i="1"/>
  <c r="AT46" i="1"/>
  <c r="BE46" i="1"/>
  <c r="BC46" i="1"/>
  <c r="BF46" i="1"/>
  <c r="AW115" i="1"/>
  <c r="AS115" i="1"/>
  <c r="BB115" i="1"/>
  <c r="L46" i="1" l="1"/>
  <c r="M46" i="1"/>
  <c r="M94" i="1"/>
  <c r="L94" i="1"/>
  <c r="AS46" i="1"/>
  <c r="BB46" i="1"/>
  <c r="AW46" i="1"/>
  <c r="AS94" i="1"/>
  <c r="BB94" i="1"/>
  <c r="AW9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<sst xmlns="http://schemas.openxmlformats.org/spreadsheetml/2006/main" count="336" uniqueCount="264">
  <si>
    <t>testing real wastewater+COD</t>
  </si>
  <si>
    <t>testing real wastewater</t>
  </si>
  <si>
    <t xml:space="preserve">double nitrte testing </t>
  </si>
  <si>
    <t>ace-nitrate</t>
  </si>
  <si>
    <t xml:space="preserve">forgot to put nitrite tube back/ pH fuck up </t>
  </si>
  <si>
    <t>pro-nitrate</t>
  </si>
  <si>
    <t>ace-aer</t>
  </si>
  <si>
    <t>pro-aer</t>
  </si>
  <si>
    <t>ace-nitrite</t>
  </si>
  <si>
    <t>pro-nitrte</t>
  </si>
  <si>
    <t>left ver COD dilute to 80</t>
  </si>
  <si>
    <t>letover COD 105</t>
  </si>
  <si>
    <t>adjust anoxic to be 9:30 -11:00</t>
  </si>
  <si>
    <t>fucked up by adding shit ton of Nitrite</t>
  </si>
  <si>
    <t xml:space="preserve">nitrite 20 </t>
  </si>
  <si>
    <t>nitrite to 25</t>
  </si>
  <si>
    <t>VII</t>
  </si>
  <si>
    <t>Switch COD to pro:ace = 1:1; gas 0.2 to 0.1 lPM</t>
  </si>
  <si>
    <t>aerbic mix COD batch test</t>
  </si>
  <si>
    <t>no addition of nitrite</t>
  </si>
  <si>
    <t>gas 0.2 to 0.1 LPM</t>
  </si>
  <si>
    <t>no finish '</t>
  </si>
  <si>
    <t>gas 0.08 LPN to 0.18 LPM</t>
  </si>
  <si>
    <t xml:space="preserve">didn't finish NO2? </t>
  </si>
  <si>
    <t>flatline high ORP</t>
  </si>
  <si>
    <t>woerd high ORP cycle</t>
  </si>
  <si>
    <t xml:space="preserve">open wasting 16 seconds, decrease DO from 0.5*2 to 0.3 LPN*2 </t>
  </si>
  <si>
    <t>ORP not really rising, but DO goes up to 0.883?</t>
  </si>
  <si>
    <t xml:space="preserve">deteriation </t>
  </si>
  <si>
    <t>weird cycle</t>
  </si>
  <si>
    <t xml:space="preserve">reduce of COD due to pressure gas builidup </t>
    <phoneticPr fontId="0" type="noConversion"/>
  </si>
  <si>
    <t>nitratepro</t>
  </si>
  <si>
    <t>nitrateace</t>
  </si>
  <si>
    <t>play double NO2</t>
    <phoneticPr fontId="0" type="noConversion"/>
  </si>
  <si>
    <t>aerpro</t>
  </si>
  <si>
    <t>aerace</t>
  </si>
  <si>
    <t>nitritepro</t>
  </si>
  <si>
    <t>nitriteace</t>
  </si>
  <si>
    <t>aeraerace</t>
  </si>
  <si>
    <t>nitrite pro</t>
  </si>
  <si>
    <t>reocover tubing</t>
  </si>
  <si>
    <t>high ph=9</t>
  </si>
  <si>
    <t>put tubing in low rise</t>
  </si>
  <si>
    <t>VI</t>
  </si>
  <si>
    <t>drop NO2 back down to 25 ppm</t>
  </si>
  <si>
    <t>system crash couldn’t finish</t>
  </si>
  <si>
    <t>bump No2 to 31 ppm, increase aeration</t>
  </si>
  <si>
    <t>Return all biomass in wastebin back to system</t>
  </si>
  <si>
    <t>low pH? DO super high= incredible biomass loss?</t>
  </si>
  <si>
    <t>weird high ORP at 7:30</t>
  </si>
  <si>
    <t>MLSS seems too low</t>
  </si>
  <si>
    <t>aeration seemed to be turned on during aerobic phase?</t>
  </si>
  <si>
    <t xml:space="preserve">ORP drop really low during the settling phase (rinse the probe) </t>
  </si>
  <si>
    <t xml:space="preserve">Orp return </t>
  </si>
  <si>
    <t xml:space="preserve">turn off wasting </t>
  </si>
  <si>
    <t xml:space="preserve">pH upset </t>
  </si>
  <si>
    <t>that when stop feeding COD at the right speed</t>
  </si>
  <si>
    <t>measure aeration , add in 79</t>
  </si>
  <si>
    <t>switch to NO2 28 ppm</t>
  </si>
  <si>
    <t xml:space="preserve">get two airstones </t>
  </si>
  <si>
    <t>switch to NO2 25 ppm</t>
  </si>
  <si>
    <t>dilute the COD+P by 20%, it is decreased COD</t>
  </si>
  <si>
    <t>wasting turn on t o16 sec, notice could not finish COD</t>
  </si>
  <si>
    <t xml:space="preserve">apparently a highish pH upset 24 afternoon to 25 morning? </t>
  </si>
  <si>
    <t>14,5</t>
  </si>
  <si>
    <t>; Loss of 75% biomass, return biomass from wasting bin to system</t>
  </si>
  <si>
    <t>turn wasting back on to 15 seconds</t>
  </si>
  <si>
    <t>ran out of acid (tube not to the bottom)</t>
  </si>
  <si>
    <t>Sunday/ no influent for 4 cycles</t>
  </si>
  <si>
    <t>Turn off wasting</t>
  </si>
  <si>
    <t>ace-nitrate batch</t>
  </si>
  <si>
    <t>ace-aer batch</t>
  </si>
  <si>
    <t>ace-aerobic</t>
  </si>
  <si>
    <t>incycle test</t>
  </si>
  <si>
    <t xml:space="preserve">Drop back down to 20 ppm </t>
  </si>
  <si>
    <t>gradual increase N</t>
  </si>
  <si>
    <t>gradual increase N (improce P or C?)</t>
  </si>
  <si>
    <t>avg</t>
  </si>
  <si>
    <t xml:space="preserve">accidently added shit ton of Carbon/ N2O probe calibration </t>
  </si>
  <si>
    <t>N2O porbe overnight</t>
  </si>
  <si>
    <t>1/26 Yiran burrowed probe</t>
  </si>
  <si>
    <t>back to taiwam</t>
  </si>
  <si>
    <t>wed-prospectus</t>
  </si>
  <si>
    <t>V</t>
  </si>
  <si>
    <t>V pH is not accurate (measured lower)</t>
  </si>
  <si>
    <t xml:space="preserve">change the anoxic aphse length </t>
  </si>
  <si>
    <t xml:space="preserve">weird low op release? </t>
  </si>
  <si>
    <t xml:space="preserve">mondY </t>
  </si>
  <si>
    <t>pro-nitrite</t>
  </si>
  <si>
    <t>last in cycle test profile</t>
  </si>
  <si>
    <t>daily</t>
  </si>
  <si>
    <t>pH upset, pH went up to 8.9</t>
  </si>
  <si>
    <t>pH upset</t>
  </si>
  <si>
    <t xml:space="preserve">pH upset for 1 day; pH went up to 8.4 </t>
  </si>
  <si>
    <t>bring back ORP</t>
  </si>
  <si>
    <t>pro-aco</t>
  </si>
  <si>
    <t>ace-ano</t>
  </si>
  <si>
    <t>back to original COD</t>
  </si>
  <si>
    <t>reocvery</t>
  </si>
  <si>
    <t>adjusmest ORP broke?</t>
  </si>
  <si>
    <t xml:space="preserve">low pH alert, switch on </t>
  </si>
  <si>
    <t>iV</t>
  </si>
  <si>
    <t>only one airstone; loss of COD uptake</t>
  </si>
  <si>
    <t>Turn off wasting/ORP broke?</t>
  </si>
  <si>
    <t>zhen</t>
  </si>
  <si>
    <t xml:space="preserve">seeing N2O production in aerobic phse  </t>
  </si>
  <si>
    <t xml:space="preserve">acetate aerobic batch </t>
  </si>
  <si>
    <t>aerobic phase has N2O?</t>
  </si>
  <si>
    <r>
      <t xml:space="preserve">acetate anoxic batch / </t>
    </r>
    <r>
      <rPr>
        <sz val="11"/>
        <color theme="5"/>
        <rFont val="Aptos Narrow"/>
        <family val="2"/>
        <scheme val="minor"/>
      </rPr>
      <t>N2O appears in aerobic phase instead??</t>
    </r>
  </si>
  <si>
    <t>propionate anoxic test</t>
  </si>
  <si>
    <r>
      <t xml:space="preserve">accidentaly releaae 1L of biomass ; </t>
    </r>
    <r>
      <rPr>
        <sz val="11"/>
        <color theme="5"/>
        <rFont val="Aptos Narrow"/>
        <family val="2"/>
        <scheme val="minor"/>
      </rPr>
      <t>did propionate aerobic test, created high N2O production afterwards</t>
    </r>
    <r>
      <rPr>
        <sz val="11"/>
        <color theme="1"/>
        <rFont val="Aptos Narrow"/>
        <family val="2"/>
        <scheme val="minor"/>
      </rPr>
      <t xml:space="preserve">? </t>
    </r>
  </si>
  <si>
    <t xml:space="preserve">zhen burrower </t>
  </si>
  <si>
    <t>aerobic batch test  ex-situ</t>
  </si>
  <si>
    <t xml:space="preserve">mixre stopped over night/zhen burrowed N2O </t>
  </si>
  <si>
    <t xml:space="preserve">no idea what happened here? </t>
  </si>
  <si>
    <t>adjust wasting to 22 seconds</t>
  </si>
  <si>
    <t>ph dosing pump broke</t>
  </si>
  <si>
    <t xml:space="preserve">base ph dosing pump broke, zhen burrowed </t>
  </si>
  <si>
    <t xml:space="preserve">bunch of base added into system over weekend </t>
  </si>
  <si>
    <t xml:space="preserve">N2O production went into aerobic phase? </t>
  </si>
  <si>
    <t>Zhen burrowed N2O probe</t>
  </si>
  <si>
    <t>pH was highish</t>
  </si>
  <si>
    <t>NO2 was 25/COD was only 59</t>
  </si>
  <si>
    <t>III</t>
  </si>
  <si>
    <t>small test with Ammonia test</t>
  </si>
  <si>
    <t>bacteria stinks and got floaty, no clear ORP switch or change occurred. N2O probe time calibration/DST to right time  at 14:45 pm</t>
  </si>
  <si>
    <t>calibrate N2O sensor</t>
  </si>
  <si>
    <t>left over NO2 cause P uptake loss</t>
  </si>
  <si>
    <t xml:space="preserve">zhen burrow N2O sensor </t>
  </si>
  <si>
    <t xml:space="preserve">did a half COD input recovery cycle </t>
  </si>
  <si>
    <t>stop eating COD</t>
  </si>
  <si>
    <t>stop eating PHA though VFA was eaten /bad VFA</t>
  </si>
  <si>
    <t xml:space="preserve">no COD added to system fro two cycle </t>
  </si>
  <si>
    <t xml:space="preserve">proceeded to dump a whole buttload of COD ito the system/fedding tube fell out </t>
  </si>
  <si>
    <t>ran out of COD a cycle prior</t>
  </si>
  <si>
    <t xml:space="preserve">weird no COD testing to prove it </t>
  </si>
  <si>
    <t>II</t>
  </si>
  <si>
    <t xml:space="preserve">in cycletest/ removal of a lot of biomass </t>
  </si>
  <si>
    <t>batch aerobic</t>
  </si>
  <si>
    <t>batch test both</t>
  </si>
  <si>
    <t xml:space="preserve">bacteria frothing </t>
  </si>
  <si>
    <t xml:space="preserve">mixer shut down at 2 am </t>
  </si>
  <si>
    <t xml:space="preserve">Ph  drop at AnA stage </t>
  </si>
  <si>
    <t>the COD/N bottles got switched back</t>
  </si>
  <si>
    <t xml:space="preserve">the COD/N bottles got switched </t>
  </si>
  <si>
    <t>frothing, then super low pH (to 6 instance), NaoH shut off for 1 hour. Though the pH climb back up itself. Did a influent wash, decrease NO2 by half : 8.18 at 7:28:00 PM</t>
  </si>
  <si>
    <t xml:space="preserve">when reaction starts in ANA. There is a little bit of N2O production </t>
  </si>
  <si>
    <t xml:space="preserve">ORP abnormality  prediction during anoxic phase… </t>
  </si>
  <si>
    <t xml:space="preserve">ORP had a drop </t>
  </si>
  <si>
    <t xml:space="preserve">aerobic aphse ORP didn’t go up </t>
  </si>
  <si>
    <t>start on 120 ppm COD</t>
  </si>
  <si>
    <t>couldn't finish COD</t>
  </si>
  <si>
    <t xml:space="preserve">mixer got shut off by air stone wrapping around the mixer </t>
  </si>
  <si>
    <t>prodution of N2O in ana phase, return COD back to 200 ppm</t>
  </si>
  <si>
    <t>decrease COD to 140</t>
  </si>
  <si>
    <t xml:space="preserve">2 high pH 9 cycles , aicd tubing fell out </t>
  </si>
  <si>
    <t>back to 8:10</t>
  </si>
  <si>
    <t>was 9:30</t>
  </si>
  <si>
    <t>Added a bunch of stored biomass</t>
  </si>
  <si>
    <t>day light saving, clock time -1</t>
  </si>
  <si>
    <t>switch new bottle COD</t>
  </si>
  <si>
    <t>saw high Orp peal when switch into AER PHASE</t>
  </si>
  <si>
    <t>weird high ORP influent/ clear out half MLSS</t>
  </si>
  <si>
    <t>cut to half COD</t>
  </si>
  <si>
    <t>deep scrubs/ adjust wasting to 25 sec</t>
  </si>
  <si>
    <t>fixing effluent height and wasting/ remeasure the L height</t>
  </si>
  <si>
    <t>pH upset to 8.6 for 3 cycles form Friday afternoon</t>
  </si>
  <si>
    <t xml:space="preserve">batch test, had funcky cycle in morning </t>
  </si>
  <si>
    <t xml:space="preserve">after night cycle start producing </t>
  </si>
  <si>
    <t xml:space="preserve">weird weekend upset, weird cycle happened Sunday morning </t>
  </si>
  <si>
    <t xml:space="preserve">more P activity return </t>
  </si>
  <si>
    <t xml:space="preserve">some P activity retrun </t>
  </si>
  <si>
    <t>did 2 cycle half COD test</t>
  </si>
  <si>
    <t>COD left over cause PAO unable to activate</t>
  </si>
  <si>
    <t xml:space="preserve">ORP abnormality  prediction: NO2 weird dosing </t>
  </si>
  <si>
    <t>adjust wasting to 22 sec</t>
  </si>
  <si>
    <t xml:space="preserve">very obvious clear effluent </t>
  </si>
  <si>
    <t>baby granules formation occurred over weekend</t>
  </si>
  <si>
    <t>adjust wasting to 15 sec</t>
    <phoneticPr fontId="10" type="noConversion"/>
  </si>
  <si>
    <t>N2O data is zhen's</t>
    <phoneticPr fontId="10" type="noConversion"/>
  </si>
  <si>
    <t>high ORP upset</t>
    <phoneticPr fontId="10" type="noConversion"/>
  </si>
  <si>
    <t>turbid effluent</t>
    <phoneticPr fontId="10" type="noConversion"/>
  </si>
  <si>
    <t>pH_max set to 7.8</t>
    <phoneticPr fontId="10" type="noConversion"/>
  </si>
  <si>
    <t>change tubing</t>
    <phoneticPr fontId="10" type="noConversion"/>
  </si>
  <si>
    <t>adjust pH to fluctuate between 6.8 to 7.9</t>
    <phoneticPr fontId="10" type="noConversion"/>
  </si>
  <si>
    <t>P%</t>
    <phoneticPr fontId="10" type="noConversion"/>
  </si>
  <si>
    <t>N2O%</t>
  </si>
  <si>
    <t>N%</t>
  </si>
  <si>
    <t>COD%</t>
  </si>
  <si>
    <t>1*2</t>
  </si>
  <si>
    <t>add new biomass from stickney ; N2O change time so is correct</t>
    <phoneticPr fontId="10" type="noConversion"/>
  </si>
  <si>
    <r>
      <t>PO</t>
    </r>
    <r>
      <rPr>
        <sz val="11"/>
        <color theme="1"/>
        <rFont val="Times New Roman Uni"/>
        <family val="1"/>
        <charset val="136"/>
      </rPr>
      <t>₄³⁻</t>
    </r>
    <r>
      <rPr>
        <sz val="7.7"/>
        <color theme="1"/>
        <rFont val="新細明體"/>
        <family val="1"/>
        <charset val="136"/>
      </rPr>
      <t>-P</t>
    </r>
    <r>
      <rPr>
        <sz val="11"/>
        <color theme="1"/>
        <rFont val="Aptos Narrow"/>
        <family val="2"/>
        <scheme val="minor"/>
      </rPr>
      <t xml:space="preserve"> removal (mg/L)</t>
    </r>
  </si>
  <si>
    <r>
      <t>NO</t>
    </r>
    <r>
      <rPr>
        <sz val="11"/>
        <color theme="1"/>
        <rFont val="Tahoma"/>
        <family val="2"/>
        <charset val="1"/>
      </rPr>
      <t>₂⁻</t>
    </r>
    <r>
      <rPr>
        <sz val="11"/>
        <color theme="1"/>
        <rFont val="Aptos Narrow"/>
        <family val="2"/>
        <scheme val="minor"/>
      </rPr>
      <t>-N removal (mg/L)</t>
    </r>
  </si>
  <si>
    <r>
      <t>PO</t>
    </r>
    <r>
      <rPr>
        <sz val="11"/>
        <color theme="1"/>
        <rFont val="Times New Roman Uni"/>
        <family val="1"/>
        <charset val="136"/>
      </rPr>
      <t>₄³⁻</t>
    </r>
    <r>
      <rPr>
        <sz val="7.7"/>
        <color theme="1"/>
        <rFont val="新細明體"/>
        <family val="1"/>
        <charset val="136"/>
      </rPr>
      <t>-P</t>
    </r>
    <r>
      <rPr>
        <sz val="11"/>
        <color theme="1"/>
        <rFont val="Aptos Narrow"/>
        <family val="2"/>
        <scheme val="minor"/>
      </rPr>
      <t xml:space="preserve"> removal </t>
    </r>
  </si>
  <si>
    <r>
      <t>NO</t>
    </r>
    <r>
      <rPr>
        <sz val="11"/>
        <color theme="1"/>
        <rFont val="Times New Roman Uni"/>
        <family val="1"/>
        <charset val="136"/>
      </rPr>
      <t>₂⁻</t>
    </r>
    <r>
      <rPr>
        <sz val="11"/>
        <color theme="1"/>
        <rFont val="Aptos Narrow"/>
        <family val="1"/>
        <charset val="136"/>
        <scheme val="minor"/>
      </rPr>
      <t>-N</t>
    </r>
    <r>
      <rPr>
        <sz val="11"/>
        <color theme="1"/>
        <rFont val="Aptos Narrow"/>
        <family val="2"/>
        <scheme val="minor"/>
      </rPr>
      <t xml:space="preserve"> to N</t>
    </r>
    <r>
      <rPr>
        <vertAlign val="subscript"/>
        <sz val="11"/>
        <color theme="1"/>
        <rFont val="Tahoma"/>
        <family val="1"/>
        <charset val="1"/>
      </rPr>
      <t>₂</t>
    </r>
    <r>
      <rPr>
        <sz val="11"/>
        <color theme="1"/>
        <rFont val="Aptos Narrow"/>
        <family val="2"/>
        <scheme val="minor"/>
      </rPr>
      <t xml:space="preserve">O-N conversion </t>
    </r>
  </si>
  <si>
    <r>
      <t>NO</t>
    </r>
    <r>
      <rPr>
        <sz val="11"/>
        <color theme="1"/>
        <rFont val="Tahoma"/>
        <family val="2"/>
        <charset val="1"/>
      </rPr>
      <t>₂⁻</t>
    </r>
    <r>
      <rPr>
        <sz val="11"/>
        <color theme="1"/>
        <rFont val="Aptos Narrow"/>
        <family val="2"/>
        <scheme val="minor"/>
      </rPr>
      <t xml:space="preserve">-N removal </t>
    </r>
  </si>
  <si>
    <t>measured</t>
  </si>
  <si>
    <t>bottle</t>
  </si>
  <si>
    <t>bottle</t>
    <phoneticPr fontId="10" type="noConversion"/>
  </si>
  <si>
    <t>cal</t>
    <phoneticPr fontId="10" type="noConversion"/>
  </si>
  <si>
    <t>day</t>
  </si>
  <si>
    <t xml:space="preserve">Date </t>
  </si>
  <si>
    <t>mg NO2–N g−1 VSS−1 h−1</t>
  </si>
  <si>
    <t>mg NO2–N  h−1</t>
  </si>
  <si>
    <t>AER-P-ppm</t>
  </si>
  <si>
    <t>ANO-P-ppm</t>
  </si>
  <si>
    <t>P-ppm</t>
    <phoneticPr fontId="10" type="noConversion"/>
  </si>
  <si>
    <t>N-ppn</t>
    <phoneticPr fontId="10" type="noConversion"/>
  </si>
  <si>
    <t>COD-ppm</t>
    <phoneticPr fontId="10" type="noConversion"/>
  </si>
  <si>
    <t>minutes</t>
  </si>
  <si>
    <t>mg/L</t>
  </si>
  <si>
    <t>mV</t>
  </si>
  <si>
    <t>COD mg/L</t>
  </si>
  <si>
    <t>unit</t>
  </si>
  <si>
    <t>P removal (ppm)</t>
  </si>
  <si>
    <t>N removal (ppm)</t>
  </si>
  <si>
    <t>Cod removal (ppm)</t>
  </si>
  <si>
    <t xml:space="preserve">P removal </t>
  </si>
  <si>
    <t xml:space="preserve">N to N2O conversion </t>
  </si>
  <si>
    <t>N removal</t>
  </si>
  <si>
    <t>COD removal</t>
  </si>
  <si>
    <t>specific denitrification rates</t>
  </si>
  <si>
    <t>denitrification rate</t>
  </si>
  <si>
    <t xml:space="preserve">Aerobic P removal </t>
  </si>
  <si>
    <t xml:space="preserve">Anoxic P removal </t>
  </si>
  <si>
    <t>SRT</t>
  </si>
  <si>
    <t>MLSS</t>
  </si>
  <si>
    <t>A_time</t>
  </si>
  <si>
    <t>P_A-2</t>
  </si>
  <si>
    <t>P_A-1</t>
  </si>
  <si>
    <t>Ax_time</t>
  </si>
  <si>
    <t>Ax_react_time</t>
  </si>
  <si>
    <t>ORP_Ax-2</t>
  </si>
  <si>
    <t>pN2O_time</t>
  </si>
  <si>
    <t>peakN2O</t>
  </si>
  <si>
    <t>N_Ax-2</t>
  </si>
  <si>
    <t>P_Ax-2</t>
  </si>
  <si>
    <t>N_Ax-1</t>
  </si>
  <si>
    <t>P_Ax-1</t>
  </si>
  <si>
    <t>An_time</t>
  </si>
  <si>
    <t>OPR_An-2</t>
  </si>
  <si>
    <t>OPR_An-1</t>
  </si>
  <si>
    <t>DO_An-2</t>
  </si>
  <si>
    <t>DO_An-1</t>
  </si>
  <si>
    <t>COD_An_2</t>
  </si>
  <si>
    <t>Propionate ppm</t>
  </si>
  <si>
    <t>Acetate ppm</t>
  </si>
  <si>
    <t>P_An-2</t>
  </si>
  <si>
    <t>COD_An_1</t>
  </si>
  <si>
    <t>P_An-1</t>
  </si>
  <si>
    <t>N:P</t>
  </si>
  <si>
    <t>COD:N</t>
  </si>
  <si>
    <t>COD:P</t>
  </si>
  <si>
    <t>N-Inf</t>
  </si>
  <si>
    <t>P-return</t>
  </si>
  <si>
    <t>P-Inf</t>
  </si>
  <si>
    <t>COD-Inf</t>
  </si>
  <si>
    <t>Calculated Parameters</t>
  </si>
  <si>
    <t>Sludge/SRT</t>
  </si>
  <si>
    <t>Direct measurments (AerobicTank)</t>
  </si>
  <si>
    <t>Direct measurments (Anoxic Tank)</t>
  </si>
  <si>
    <t>Direct measurments (Anaerobic Tank 1/initial)</t>
  </si>
  <si>
    <t>Ratios-measured</t>
  </si>
  <si>
    <t>Calculated Influent Assuming 9 L influent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</si>
</sst>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6" formatCode="0.0"/>
    <numFmt numFmtId="167" formatCode="0.00_ "/>
    <numFmt numFmtId="168" formatCode="[$-F400]h:mm:ss\ AM/P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6" tint="0.3999755851924192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7" tint="0.3999755851924192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1"/>
      <color theme="4" tint="0.79998168889431442"/>
      <name val="Aptos Narrow"/>
      <family val="2"/>
      <scheme val="minor"/>
    </font>
    <font>
      <sz val="11"/>
      <color theme="7" tint="0.79998168889431442"/>
      <name val="Aptos Narrow"/>
      <family val="2"/>
      <scheme val="minor"/>
    </font>
    <font>
      <sz val="12"/>
      <color theme="1"/>
      <name val="Times New Roman"/>
      <family val="1"/>
    </font>
    <font>
      <sz val="11"/>
      <color theme="4" tint="0.39997558519241921"/>
      <name val="Aptos Narrow"/>
      <family val="2"/>
      <scheme val="minor"/>
    </font>
    <font>
      <sz val="10.5"/>
      <color theme="1"/>
      <name val="Courier New"/>
      <family val="3"/>
    </font>
    <font>
      <sz val="11"/>
      <color theme="6"/>
      <name val="Aptos Narrow"/>
      <family val="2"/>
      <scheme val="minor"/>
    </font>
    <font>
      <b/>
      <sz val="11"/>
      <color theme="6" tint="0.59999389629810485"/>
      <name val="Aptos Narrow"/>
      <family val="2"/>
      <scheme val="minor"/>
    </font>
    <font>
      <sz val="11"/>
      <color theme="7" tint="0.59999389629810485"/>
      <name val="Aptos Narrow"/>
      <family val="2"/>
      <scheme val="minor"/>
    </font>
    <font>
      <sz val="11"/>
      <color theme="6" tint="0.59999389629810485"/>
      <name val="Aptos Narrow"/>
      <family val="2"/>
      <scheme val="minor"/>
    </font>
    <font>
      <sz val="11"/>
      <color theme="4" tint="0.59999389629810485"/>
      <name val="Aptos Narrow"/>
      <family val="2"/>
      <scheme val="minor"/>
    </font>
    <font>
      <sz val="11"/>
      <color rgb="FFCCECFF"/>
      <name val="Aptos Narrow"/>
      <family val="2"/>
      <scheme val="minor"/>
    </font>
    <font>
      <sz val="11"/>
      <color theme="9" tint="0.39997558519241921"/>
      <name val="Aptos Narrow"/>
      <family val="2"/>
      <scheme val="minor"/>
    </font>
    <font>
      <b/>
      <sz val="11"/>
      <color rgb="FFCCECFF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9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rgb="FF6699FF"/>
      <name val="Aptos Narrow"/>
      <family val="2"/>
      <scheme val="minor"/>
    </font>
    <font>
      <sz val="11"/>
      <color theme="4"/>
      <name val="Aptos Narrow"/>
      <family val="2"/>
      <scheme val="minor"/>
    </font>
    <font>
      <sz val="11"/>
      <color rgb="FFFD8F87"/>
      <name val="Aptos Narrow"/>
      <family val="2"/>
      <scheme val="minor"/>
    </font>
    <font>
      <b/>
      <sz val="11"/>
      <color rgb="FFFD8F8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8" tint="0.79998168889431442"/>
      <name val="Aptos Narrow"/>
      <family val="2"/>
      <scheme val="minor"/>
    </font>
    <font>
      <sz val="11"/>
      <color theme="1"/>
      <name val="Times New Roman Uni"/>
      <family val="1"/>
      <charset val="136"/>
    </font>
    <font>
      <sz val="7.7"/>
      <color theme="1"/>
      <name val="新細明體"/>
      <family val="1"/>
      <charset val="136"/>
    </font>
    <font>
      <sz val="11"/>
      <color theme="1"/>
      <name val="Tahoma"/>
      <family val="2"/>
      <charset val="1"/>
    </font>
    <font>
      <sz val="11"/>
      <color theme="1"/>
      <name val="Aptos Narrow"/>
      <family val="1"/>
      <charset val="136"/>
      <scheme val="minor"/>
    </font>
    <font>
      <vertAlign val="subscript"/>
      <sz val="11"/>
      <color theme="1"/>
      <name val="Tahoma"/>
      <family val="1"/>
      <charset val="1"/>
    </font>
    <font>
      <b/>
      <i/>
      <sz val="11"/>
      <color rgb="FFFF0000"/>
      <name val="Aptos Narrow"/>
      <family val="2"/>
      <scheme val="minor"/>
    </font>
    <font>
      <i/>
      <sz val="11"/>
      <color rgb="FFFF000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AC2EC"/>
        <bgColor indexed="64"/>
      </patternFill>
    </fill>
    <fill>
      <patternFill patternType="solid">
        <fgColor rgb="FFFED4D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9"/>
        <bgColor indexed="64"/>
      </patternFill>
    </fill>
  </fills>
  <borders count="2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auto="1"/>
      </bottom>
      <diagonal/>
    </border>
    <border>
      <left/>
      <right style="medium">
        <color indexed="64"/>
      </right>
      <top/>
      <bottom style="thick">
        <color auto="1"/>
      </bottom>
      <diagonal/>
    </border>
    <border>
      <left style="medium">
        <color indexed="64"/>
      </left>
      <right/>
      <top/>
      <bottom style="thick">
        <color auto="1"/>
      </bottom>
      <diagonal/>
    </border>
    <border>
      <left/>
      <right/>
      <top/>
      <bottom style="thin">
        <color rgb="FF92D050"/>
      </bottom>
      <diagonal/>
    </border>
    <border>
      <left/>
      <right/>
      <top/>
      <bottom style="thin">
        <color rgb="FFFFFF00"/>
      </bottom>
      <diagonal/>
    </border>
    <border>
      <left/>
      <right/>
      <top/>
      <bottom style="thin">
        <color rgb="FFFFC000"/>
      </bottom>
      <diagonal/>
    </border>
    <border>
      <left/>
      <right/>
      <top/>
      <bottom style="thin">
        <color rgb="FFC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6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9" fontId="0" fillId="0" borderId="2" xfId="2" applyFont="1" applyBorder="1" applyAlignment="1">
      <alignment horizontal="center" vertical="center"/>
    </xf>
    <xf numFmtId="9" fontId="0" fillId="3" borderId="0" xfId="2" applyFont="1" applyFill="1" applyBorder="1" applyAlignment="1">
      <alignment horizontal="center" vertical="center"/>
    </xf>
    <xf numFmtId="9" fontId="0" fillId="3" borderId="2" xfId="2" applyFont="1" applyFill="1" applyBorder="1" applyAlignment="1">
      <alignment horizontal="center" vertical="center"/>
    </xf>
    <xf numFmtId="21" fontId="0" fillId="0" borderId="0" xfId="0" applyNumberFormat="1"/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0" fillId="0" borderId="0" xfId="0" applyNumberFormat="1"/>
    <xf numFmtId="2" fontId="7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9" fontId="0" fillId="0" borderId="3" xfId="2" applyFont="1" applyBorder="1" applyAlignment="1">
      <alignment horizontal="center" vertical="center"/>
    </xf>
    <xf numFmtId="9" fontId="0" fillId="0" borderId="5" xfId="2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4" fontId="3" fillId="0" borderId="3" xfId="0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2" fontId="10" fillId="0" borderId="0" xfId="0" applyNumberFormat="1" applyFont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6" xfId="2" applyFont="1" applyBorder="1" applyAlignment="1">
      <alignment horizontal="center" vertical="center"/>
    </xf>
    <xf numFmtId="9" fontId="0" fillId="0" borderId="8" xfId="2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" fontId="4" fillId="0" borderId="6" xfId="0" applyNumberFormat="1" applyFon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2" fontId="6" fillId="0" borderId="6" xfId="0" applyNumberFormat="1" applyFont="1" applyBorder="1" applyAlignment="1">
      <alignment horizontal="center" vertical="center"/>
    </xf>
    <xf numFmtId="2" fontId="10" fillId="0" borderId="6" xfId="0" applyNumberFormat="1" applyFont="1" applyBorder="1" applyAlignment="1">
      <alignment horizontal="center" vertical="center"/>
    </xf>
    <xf numFmtId="14" fontId="3" fillId="0" borderId="6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9" fontId="0" fillId="0" borderId="0" xfId="1" applyFont="1" applyFill="1" applyAlignment="1">
      <alignment horizontal="center" vertical="center"/>
    </xf>
    <xf numFmtId="166" fontId="11" fillId="0" borderId="0" xfId="0" applyNumberFormat="1" applyFont="1"/>
    <xf numFmtId="2" fontId="12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9" fontId="0" fillId="3" borderId="0" xfId="1" applyFont="1" applyFill="1" applyAlignment="1">
      <alignment horizontal="center" vertical="center"/>
    </xf>
    <xf numFmtId="9" fontId="7" fillId="0" borderId="0" xfId="2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0" fontId="14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14" fontId="15" fillId="2" borderId="0" xfId="0" applyNumberFormat="1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2" fontId="16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14" fontId="15" fillId="0" borderId="0" xfId="0" applyNumberFormat="1" applyFont="1" applyAlignment="1">
      <alignment horizontal="center" vertical="center"/>
    </xf>
    <xf numFmtId="166" fontId="11" fillId="0" borderId="3" xfId="0" applyNumberFormat="1" applyFont="1" applyBorder="1"/>
    <xf numFmtId="2" fontId="0" fillId="0" borderId="4" xfId="0" applyNumberFormat="1" applyBorder="1" applyAlignment="1">
      <alignment horizontal="center" vertical="center"/>
    </xf>
    <xf numFmtId="164" fontId="0" fillId="0" borderId="3" xfId="0" applyNumberFormat="1" applyBorder="1"/>
    <xf numFmtId="0" fontId="13" fillId="0" borderId="3" xfId="0" applyFont="1" applyBorder="1" applyAlignment="1">
      <alignment vertical="center"/>
    </xf>
    <xf numFmtId="2" fontId="6" fillId="0" borderId="3" xfId="0" applyNumberFormat="1" applyFont="1" applyBorder="1" applyAlignment="1">
      <alignment horizontal="center" vertical="center"/>
    </xf>
    <xf numFmtId="0" fontId="0" fillId="5" borderId="3" xfId="0" applyFill="1" applyBorder="1" applyAlignment="1">
      <alignment horizontal="center" vertical="center" wrapText="1"/>
    </xf>
    <xf numFmtId="2" fontId="0" fillId="6" borderId="0" xfId="0" applyNumberFormat="1" applyFill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4" fontId="3" fillId="7" borderId="0" xfId="0" applyNumberFormat="1" applyFont="1" applyFill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3" borderId="3" xfId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7" fontId="0" fillId="0" borderId="4" xfId="0" applyNumberFormat="1" applyBorder="1" applyAlignment="1">
      <alignment horizontal="center" vertical="center"/>
    </xf>
    <xf numFmtId="0" fontId="8" fillId="0" borderId="0" xfId="0" applyFont="1"/>
    <xf numFmtId="0" fontId="10" fillId="0" borderId="3" xfId="0" applyFont="1" applyBorder="1" applyAlignment="1">
      <alignment horizontal="center" vertical="center"/>
    </xf>
    <xf numFmtId="14" fontId="3" fillId="8" borderId="3" xfId="0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4" fontId="3" fillId="8" borderId="0" xfId="0" applyNumberFormat="1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20" fillId="0" borderId="0" xfId="0" applyNumberFormat="1" applyFont="1" applyAlignment="1">
      <alignment horizontal="center" vertical="center"/>
    </xf>
    <xf numFmtId="14" fontId="21" fillId="8" borderId="0" xfId="0" applyNumberFormat="1" applyFont="1" applyFill="1" applyAlignment="1">
      <alignment horizontal="center" vertical="center"/>
    </xf>
    <xf numFmtId="0" fontId="0" fillId="4" borderId="0" xfId="0" applyFill="1"/>
    <xf numFmtId="21" fontId="8" fillId="0" borderId="0" xfId="0" applyNumberFormat="1" applyFont="1"/>
    <xf numFmtId="9" fontId="6" fillId="0" borderId="0" xfId="1" applyFont="1" applyFill="1" applyAlignment="1">
      <alignment horizontal="center" vertical="center"/>
    </xf>
    <xf numFmtId="168" fontId="0" fillId="0" borderId="0" xfId="0" applyNumberFormat="1"/>
    <xf numFmtId="0" fontId="0" fillId="0" borderId="0" xfId="0" applyAlignment="1">
      <alignment horizontal="center"/>
    </xf>
    <xf numFmtId="1" fontId="22" fillId="0" borderId="0" xfId="0" applyNumberFormat="1" applyFont="1" applyAlignment="1">
      <alignment horizontal="center" vertical="center"/>
    </xf>
    <xf numFmtId="168" fontId="0" fillId="0" borderId="3" xfId="0" applyNumberFormat="1" applyBorder="1"/>
    <xf numFmtId="167" fontId="0" fillId="0" borderId="0" xfId="0" applyNumberForma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6" fontId="2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3" fillId="8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14" fontId="23" fillId="0" borderId="0" xfId="0" applyNumberFormat="1" applyFont="1" applyAlignment="1">
      <alignment horizontal="center" vertical="center"/>
    </xf>
    <xf numFmtId="9" fontId="0" fillId="0" borderId="3" xfId="1" applyFont="1" applyBorder="1" applyAlignment="1">
      <alignment horizontal="center" vertical="center"/>
    </xf>
    <xf numFmtId="0" fontId="0" fillId="0" borderId="3" xfId="0" applyBorder="1"/>
    <xf numFmtId="14" fontId="3" fillId="0" borderId="9" xfId="0" applyNumberFormat="1" applyFont="1" applyBorder="1" applyAlignment="1">
      <alignment horizontal="center" vertical="center"/>
    </xf>
    <xf numFmtId="0" fontId="0" fillId="6" borderId="9" xfId="0" applyFill="1" applyBorder="1" applyAlignment="1">
      <alignment horizontal="center" vertical="center" wrapText="1"/>
    </xf>
    <xf numFmtId="19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9" fontId="0" fillId="11" borderId="0" xfId="1" applyFont="1" applyFill="1" applyAlignment="1">
      <alignment horizontal="center" vertical="center"/>
    </xf>
    <xf numFmtId="2" fontId="25" fillId="0" borderId="0" xfId="0" applyNumberFormat="1" applyFont="1" applyAlignment="1">
      <alignment horizontal="center" vertical="center"/>
    </xf>
    <xf numFmtId="19" fontId="0" fillId="0" borderId="3" xfId="0" applyNumberFormat="1" applyBorder="1"/>
    <xf numFmtId="1" fontId="6" fillId="0" borderId="0" xfId="0" applyNumberFormat="1" applyFont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14" fontId="3" fillId="8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2" fillId="12" borderId="0" xfId="0" applyFont="1" applyFill="1" applyAlignment="1">
      <alignment horizontal="center" vertical="center" wrapText="1"/>
    </xf>
    <xf numFmtId="1" fontId="10" fillId="0" borderId="0" xfId="0" applyNumberFormat="1" applyFont="1" applyAlignment="1">
      <alignment horizontal="center" vertical="center"/>
    </xf>
    <xf numFmtId="0" fontId="0" fillId="13" borderId="0" xfId="0" applyFill="1" applyAlignment="1">
      <alignment horizontal="center" vertical="center"/>
    </xf>
    <xf numFmtId="14" fontId="3" fillId="13" borderId="0" xfId="0" applyNumberFormat="1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5" borderId="0" xfId="0" applyFill="1" applyAlignment="1">
      <alignment horizontal="center" vertical="center"/>
    </xf>
    <xf numFmtId="166" fontId="11" fillId="15" borderId="0" xfId="0" applyNumberFormat="1" applyFont="1" applyFill="1"/>
    <xf numFmtId="9" fontId="0" fillId="15" borderId="0" xfId="2" applyFont="1" applyFill="1" applyBorder="1" applyAlignment="1">
      <alignment horizontal="center" vertical="center"/>
    </xf>
    <xf numFmtId="9" fontId="0" fillId="15" borderId="2" xfId="2" applyFont="1" applyFill="1" applyBorder="1" applyAlignment="1">
      <alignment horizontal="center" vertical="center"/>
    </xf>
    <xf numFmtId="0" fontId="0" fillId="15" borderId="2" xfId="0" applyFill="1" applyBorder="1" applyAlignment="1">
      <alignment horizontal="center" vertical="center"/>
    </xf>
    <xf numFmtId="2" fontId="6" fillId="15" borderId="0" xfId="0" applyNumberFormat="1" applyFont="1" applyFill="1" applyAlignment="1">
      <alignment horizontal="center" vertical="center"/>
    </xf>
    <xf numFmtId="1" fontId="6" fillId="15" borderId="0" xfId="0" applyNumberFormat="1" applyFont="1" applyFill="1" applyAlignment="1">
      <alignment horizontal="center" vertical="center"/>
    </xf>
    <xf numFmtId="167" fontId="0" fillId="15" borderId="1" xfId="0" applyNumberForma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19" fontId="0" fillId="15" borderId="0" xfId="0" applyNumberFormat="1" applyFill="1"/>
    <xf numFmtId="0" fontId="0" fillId="15" borderId="0" xfId="0" applyFill="1"/>
    <xf numFmtId="0" fontId="26" fillId="15" borderId="0" xfId="0" applyFont="1" applyFill="1" applyAlignment="1">
      <alignment horizontal="center" vertical="center"/>
    </xf>
    <xf numFmtId="2" fontId="0" fillId="15" borderId="1" xfId="0" applyNumberFormat="1" applyFill="1" applyBorder="1" applyAlignment="1">
      <alignment horizontal="center" vertical="center"/>
    </xf>
    <xf numFmtId="2" fontId="0" fillId="15" borderId="0" xfId="0" applyNumberFormat="1" applyFill="1" applyAlignment="1">
      <alignment horizontal="center" vertical="center"/>
    </xf>
    <xf numFmtId="2" fontId="0" fillId="15" borderId="2" xfId="0" applyNumberFormat="1" applyFill="1" applyBorder="1" applyAlignment="1">
      <alignment horizontal="center" vertical="center"/>
    </xf>
    <xf numFmtId="2" fontId="2" fillId="15" borderId="1" xfId="0" applyNumberFormat="1" applyFont="1" applyFill="1" applyBorder="1" applyAlignment="1">
      <alignment horizontal="center" vertical="center"/>
    </xf>
    <xf numFmtId="2" fontId="2" fillId="15" borderId="0" xfId="0" applyNumberFormat="1" applyFont="1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9" fontId="0" fillId="0" borderId="0" xfId="2" applyFont="1" applyFill="1" applyBorder="1" applyAlignment="1">
      <alignment horizontal="center" vertical="center"/>
    </xf>
    <xf numFmtId="9" fontId="0" fillId="0" borderId="2" xfId="2" applyFont="1" applyFill="1" applyBorder="1" applyAlignment="1">
      <alignment horizontal="center" vertical="center"/>
    </xf>
    <xf numFmtId="9" fontId="0" fillId="9" borderId="0" xfId="1" applyFont="1" applyFill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14" fontId="3" fillId="8" borderId="1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2" fontId="27" fillId="0" borderId="0" xfId="0" applyNumberFormat="1" applyFont="1" applyAlignment="1">
      <alignment horizontal="center" vertical="center"/>
    </xf>
    <xf numFmtId="0" fontId="27" fillId="0" borderId="0" xfId="0" applyFont="1"/>
    <xf numFmtId="0" fontId="6" fillId="0" borderId="0" xfId="0" applyFont="1" applyAlignment="1">
      <alignment horizontal="center" vertical="center"/>
    </xf>
    <xf numFmtId="0" fontId="0" fillId="14" borderId="0" xfId="0" applyFill="1" applyAlignment="1">
      <alignment horizontal="center" vertical="center"/>
    </xf>
    <xf numFmtId="14" fontId="3" fillId="14" borderId="0" xfId="0" applyNumberFormat="1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25" fillId="15" borderId="0" xfId="0" applyFont="1" applyFill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14" fontId="29" fillId="15" borderId="0" xfId="0" applyNumberFormat="1" applyFont="1" applyFill="1" applyAlignment="1">
      <alignment horizontal="center" vertical="center"/>
    </xf>
    <xf numFmtId="0" fontId="28" fillId="14" borderId="0" xfId="0" applyFont="1" applyFill="1" applyAlignment="1">
      <alignment horizontal="center" vertical="center"/>
    </xf>
    <xf numFmtId="14" fontId="29" fillId="14" borderId="0" xfId="0" applyNumberFormat="1" applyFont="1" applyFill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14" fontId="3" fillId="13" borderId="12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6" fontId="6" fillId="0" borderId="0" xfId="0" applyNumberFormat="1" applyFont="1"/>
    <xf numFmtId="14" fontId="0" fillId="0" borderId="0" xfId="0" applyNumberFormat="1"/>
    <xf numFmtId="0" fontId="24" fillId="13" borderId="0" xfId="0" applyFont="1" applyFill="1" applyAlignment="1">
      <alignment horizontal="center" vertical="center"/>
    </xf>
    <xf numFmtId="14" fontId="30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14" fontId="31" fillId="13" borderId="0" xfId="0" applyNumberFormat="1" applyFont="1" applyFill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14" fontId="31" fillId="0" borderId="3" xfId="0" applyNumberFormat="1" applyFont="1" applyBorder="1" applyAlignment="1">
      <alignment horizontal="center" vertical="center"/>
    </xf>
    <xf numFmtId="2" fontId="6" fillId="12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2" fontId="0" fillId="4" borderId="0" xfId="0" applyNumberFormat="1" applyFill="1"/>
    <xf numFmtId="2" fontId="2" fillId="4" borderId="0" xfId="0" applyNumberFormat="1" applyFont="1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2" fontId="32" fillId="0" borderId="0" xfId="0" applyNumberFormat="1" applyFont="1" applyAlignment="1">
      <alignment horizontal="center" vertical="center"/>
    </xf>
    <xf numFmtId="1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right" vertical="center"/>
    </xf>
    <xf numFmtId="2" fontId="32" fillId="0" borderId="13" xfId="0" applyNumberFormat="1" applyFont="1" applyBorder="1" applyAlignment="1">
      <alignment horizontal="center" vertical="center"/>
    </xf>
    <xf numFmtId="19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2" fontId="6" fillId="0" borderId="2" xfId="0" applyNumberFormat="1" applyFont="1" applyBorder="1" applyAlignment="1">
      <alignment horizontal="center" vertical="center"/>
    </xf>
    <xf numFmtId="2" fontId="25" fillId="0" borderId="2" xfId="0" applyNumberFormat="1" applyFont="1" applyBorder="1" applyAlignment="1">
      <alignment horizontal="center" vertical="center"/>
    </xf>
    <xf numFmtId="2" fontId="6" fillId="0" borderId="13" xfId="0" applyNumberFormat="1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4" fontId="3" fillId="0" borderId="14" xfId="0" applyNumberFormat="1" applyFont="1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166" fontId="11" fillId="0" borderId="14" xfId="0" applyNumberFormat="1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31" fillId="0" borderId="0" xfId="0" applyNumberFormat="1" applyFont="1" applyAlignment="1">
      <alignment horizontal="center" vertical="center"/>
    </xf>
    <xf numFmtId="2" fontId="31" fillId="0" borderId="2" xfId="0" applyNumberFormat="1" applyFont="1" applyBorder="1" applyAlignment="1">
      <alignment horizontal="center" vertical="center"/>
    </xf>
    <xf numFmtId="0" fontId="11" fillId="10" borderId="0" xfId="0" applyFont="1" applyFill="1" applyAlignment="1">
      <alignment horizontal="center" vertical="center" wrapText="1"/>
    </xf>
    <xf numFmtId="0" fontId="11" fillId="10" borderId="17" xfId="0" applyFont="1" applyFill="1" applyBorder="1" applyAlignment="1">
      <alignment horizontal="center" vertical="center" wrapText="1"/>
    </xf>
    <xf numFmtId="0" fontId="11" fillId="17" borderId="0" xfId="0" applyFont="1" applyFill="1" applyAlignment="1">
      <alignment horizontal="center" vertical="center" wrapText="1"/>
    </xf>
    <xf numFmtId="0" fontId="11" fillId="10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0" fontId="38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8" fillId="0" borderId="20" xfId="0" applyFont="1" applyBorder="1" applyAlignment="1">
      <alignment horizontal="center" vertical="center"/>
    </xf>
    <xf numFmtId="2" fontId="38" fillId="0" borderId="19" xfId="0" applyNumberFormat="1" applyFont="1" applyBorder="1" applyAlignment="1">
      <alignment horizontal="center" vertical="center"/>
    </xf>
    <xf numFmtId="2" fontId="38" fillId="0" borderId="18" xfId="0" applyNumberFormat="1" applyFont="1" applyBorder="1" applyAlignment="1">
      <alignment horizontal="center" vertical="center"/>
    </xf>
    <xf numFmtId="2" fontId="38" fillId="0" borderId="20" xfId="0" applyNumberFormat="1" applyFont="1" applyBorder="1" applyAlignment="1">
      <alignment horizontal="center" vertical="center"/>
    </xf>
    <xf numFmtId="2" fontId="38" fillId="0" borderId="19" xfId="0" applyNumberFormat="1" applyFont="1" applyBorder="1" applyAlignment="1">
      <alignment horizontal="center" vertical="center" wrapText="1"/>
    </xf>
    <xf numFmtId="2" fontId="38" fillId="0" borderId="18" xfId="0" applyNumberFormat="1" applyFont="1" applyBorder="1" applyAlignment="1">
      <alignment horizontal="center" vertical="center" wrapText="1"/>
    </xf>
    <xf numFmtId="2" fontId="38" fillId="0" borderId="20" xfId="0" applyNumberFormat="1" applyFont="1" applyBorder="1" applyAlignment="1">
      <alignment horizontal="center" vertical="center" wrapText="1"/>
    </xf>
    <xf numFmtId="0" fontId="38" fillId="0" borderId="1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14" fontId="38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 wrapText="1"/>
    </xf>
  </cellXfs>
  <cellStyles count="3">
    <cellStyle name="Normal" xfId="0" builtinId="0"/>
    <cellStyle name="Percent" xfId="1" builtinId="5"/>
    <cellStyle name="Percent 2" xfId="2" xr:uid="{BD756D09-21A4-426F-85E6-C7D5909E351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E_EERE/Reactor%20experiments/graphing%20data.xlsx" TargetMode="External"/><Relationship Id="rId2" Type="http://schemas.openxmlformats.org/officeDocument/2006/relationships/externalLinkPath" Target="file:///C:\DOE_EERE\Reactor%20experiments\graphing%20data.xlsx" TargetMode="External"/><Relationship Id="rId1" Type="http://schemas.openxmlformats.org/officeDocument/2006/relationships/externalLinkPath" Target="/DOE_EERE/Reactor%20experiments/graphing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E_EERE/Reactor%20experiments/incycletest-withoutPHA.xlsx" TargetMode="External"/><Relationship Id="rId2" Type="http://schemas.openxmlformats.org/officeDocument/2006/relationships/externalLinkPath" Target="file:///C:\DOE_EERE\Reactor%20experiments\incycletest-withoutPHA.xlsx" TargetMode="External"/><Relationship Id="rId1" Type="http://schemas.openxmlformats.org/officeDocument/2006/relationships/externalLinkPath" Target="/DOE_EERE/Reactor%20experiments/incycletest-withoutP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rganizeforR_pjt2"/>
      <sheetName val="Daily monitoring final (2)"/>
      <sheetName val="PHA Spearsman (2)"/>
      <sheetName val="TSS_VSS"/>
      <sheetName val="pairwise_Utests_holm_all_vars"/>
      <sheetName val="pairwise_ttests_holm_all_vars"/>
      <sheetName val="Statistics"/>
      <sheetName val="organizeforR"/>
      <sheetName val="meanstd"/>
      <sheetName val="COD+P feed "/>
      <sheetName val="PHA Spearsman"/>
      <sheetName val="HRT_SRT"/>
    </sheetNames>
    <sheetDataSet>
      <sheetData sheetId="0"/>
      <sheetData sheetId="1">
        <row r="5">
          <cell r="D5">
            <v>0</v>
          </cell>
        </row>
        <row r="6">
          <cell r="D6">
            <v>1</v>
          </cell>
        </row>
        <row r="7">
          <cell r="D7">
            <v>2</v>
          </cell>
        </row>
        <row r="8">
          <cell r="D8">
            <v>3</v>
          </cell>
        </row>
        <row r="9">
          <cell r="D9">
            <v>4</v>
          </cell>
        </row>
        <row r="10">
          <cell r="D10">
            <v>5</v>
          </cell>
        </row>
        <row r="11">
          <cell r="D11">
            <v>6</v>
          </cell>
        </row>
        <row r="12">
          <cell r="D12">
            <v>7</v>
          </cell>
        </row>
        <row r="13">
          <cell r="D13">
            <v>8</v>
          </cell>
        </row>
        <row r="14">
          <cell r="D14">
            <v>9</v>
          </cell>
        </row>
        <row r="15">
          <cell r="D15">
            <v>10</v>
          </cell>
        </row>
        <row r="16">
          <cell r="D16">
            <v>11</v>
          </cell>
        </row>
        <row r="17">
          <cell r="D17">
            <v>12</v>
          </cell>
        </row>
        <row r="18">
          <cell r="D18">
            <v>13</v>
          </cell>
        </row>
        <row r="19">
          <cell r="D19">
            <v>14</v>
          </cell>
        </row>
        <row r="20">
          <cell r="D20">
            <v>15</v>
          </cell>
        </row>
        <row r="21">
          <cell r="D21">
            <v>16</v>
          </cell>
        </row>
        <row r="22">
          <cell r="D22">
            <v>17</v>
          </cell>
        </row>
        <row r="23">
          <cell r="D23">
            <v>18</v>
          </cell>
        </row>
        <row r="24">
          <cell r="D24">
            <v>19</v>
          </cell>
        </row>
        <row r="25">
          <cell r="D25">
            <v>20</v>
          </cell>
        </row>
        <row r="26">
          <cell r="D26">
            <v>21</v>
          </cell>
        </row>
        <row r="27">
          <cell r="D27">
            <v>22</v>
          </cell>
        </row>
        <row r="28">
          <cell r="D28">
            <v>23</v>
          </cell>
        </row>
        <row r="29">
          <cell r="D29">
            <v>24</v>
          </cell>
        </row>
        <row r="30">
          <cell r="D30">
            <v>25</v>
          </cell>
        </row>
        <row r="31">
          <cell r="D31">
            <v>26</v>
          </cell>
        </row>
        <row r="32">
          <cell r="D32">
            <v>27</v>
          </cell>
        </row>
        <row r="33">
          <cell r="D33">
            <v>28</v>
          </cell>
        </row>
        <row r="34">
          <cell r="D34">
            <v>29</v>
          </cell>
        </row>
        <row r="35">
          <cell r="D35">
            <v>30</v>
          </cell>
        </row>
        <row r="36">
          <cell r="D36">
            <v>31</v>
          </cell>
        </row>
        <row r="37">
          <cell r="D37">
            <v>32</v>
          </cell>
        </row>
        <row r="38">
          <cell r="D38">
            <v>33</v>
          </cell>
        </row>
        <row r="39">
          <cell r="D39">
            <v>34</v>
          </cell>
        </row>
        <row r="40">
          <cell r="D40">
            <v>35</v>
          </cell>
        </row>
        <row r="41">
          <cell r="D41">
            <v>36</v>
          </cell>
        </row>
        <row r="42">
          <cell r="D42">
            <v>37</v>
          </cell>
        </row>
        <row r="43">
          <cell r="D43">
            <v>38</v>
          </cell>
        </row>
        <row r="44">
          <cell r="D44">
            <v>39</v>
          </cell>
        </row>
        <row r="45">
          <cell r="D45">
            <v>40</v>
          </cell>
        </row>
        <row r="46">
          <cell r="D46">
            <v>41</v>
          </cell>
        </row>
        <row r="47">
          <cell r="D47">
            <v>42</v>
          </cell>
        </row>
        <row r="48">
          <cell r="D48">
            <v>43</v>
          </cell>
        </row>
        <row r="49">
          <cell r="D49">
            <v>44</v>
          </cell>
        </row>
        <row r="50">
          <cell r="D50">
            <v>45</v>
          </cell>
        </row>
        <row r="51">
          <cell r="D51">
            <v>46</v>
          </cell>
        </row>
        <row r="52">
          <cell r="D52">
            <v>47</v>
          </cell>
        </row>
        <row r="53">
          <cell r="D53">
            <v>48</v>
          </cell>
        </row>
        <row r="54">
          <cell r="D54">
            <v>49</v>
          </cell>
        </row>
        <row r="55">
          <cell r="D55">
            <v>50</v>
          </cell>
        </row>
        <row r="56">
          <cell r="D56">
            <v>51</v>
          </cell>
        </row>
        <row r="57">
          <cell r="D57">
            <v>52</v>
          </cell>
        </row>
        <row r="58">
          <cell r="D58">
            <v>53</v>
          </cell>
        </row>
        <row r="59">
          <cell r="D59">
            <v>54</v>
          </cell>
        </row>
        <row r="60">
          <cell r="D60">
            <v>55</v>
          </cell>
        </row>
        <row r="61">
          <cell r="D61">
            <v>56</v>
          </cell>
        </row>
        <row r="62">
          <cell r="D62">
            <v>57</v>
          </cell>
        </row>
        <row r="63">
          <cell r="D63">
            <v>58</v>
          </cell>
        </row>
        <row r="64">
          <cell r="D64">
            <v>59</v>
          </cell>
        </row>
        <row r="65">
          <cell r="D65">
            <v>60</v>
          </cell>
        </row>
        <row r="66">
          <cell r="D66">
            <v>61</v>
          </cell>
        </row>
        <row r="67">
          <cell r="D67">
            <v>62</v>
          </cell>
        </row>
        <row r="68">
          <cell r="D68">
            <v>63</v>
          </cell>
        </row>
        <row r="69">
          <cell r="D69">
            <v>64</v>
          </cell>
        </row>
        <row r="70">
          <cell r="D70">
            <v>65</v>
          </cell>
        </row>
        <row r="71">
          <cell r="D71">
            <v>66</v>
          </cell>
        </row>
        <row r="72">
          <cell r="D72">
            <v>67</v>
          </cell>
        </row>
        <row r="73">
          <cell r="D73">
            <v>68</v>
          </cell>
        </row>
        <row r="74">
          <cell r="D74">
            <v>69</v>
          </cell>
        </row>
        <row r="75">
          <cell r="D75">
            <v>70</v>
          </cell>
        </row>
        <row r="76">
          <cell r="D76">
            <v>71</v>
          </cell>
        </row>
        <row r="77">
          <cell r="D77">
            <v>72</v>
          </cell>
        </row>
        <row r="78">
          <cell r="D78">
            <v>73</v>
          </cell>
        </row>
        <row r="79">
          <cell r="D79">
            <v>74</v>
          </cell>
        </row>
        <row r="80">
          <cell r="D80">
            <v>75</v>
          </cell>
        </row>
        <row r="81">
          <cell r="D81">
            <v>76</v>
          </cell>
        </row>
        <row r="82">
          <cell r="D82">
            <v>77</v>
          </cell>
        </row>
        <row r="83">
          <cell r="D83">
            <v>78</v>
          </cell>
        </row>
        <row r="84">
          <cell r="D84">
            <v>79</v>
          </cell>
        </row>
        <row r="85">
          <cell r="D85">
            <v>80</v>
          </cell>
        </row>
        <row r="86">
          <cell r="D86">
            <v>81</v>
          </cell>
        </row>
        <row r="87">
          <cell r="D87">
            <v>82</v>
          </cell>
        </row>
        <row r="88">
          <cell r="D88">
            <v>83</v>
          </cell>
        </row>
        <row r="89">
          <cell r="D89">
            <v>84</v>
          </cell>
        </row>
        <row r="90">
          <cell r="D90">
            <v>85</v>
          </cell>
        </row>
        <row r="91">
          <cell r="D91">
            <v>86</v>
          </cell>
        </row>
        <row r="92">
          <cell r="D92">
            <v>87</v>
          </cell>
        </row>
        <row r="93">
          <cell r="D93">
            <v>88</v>
          </cell>
        </row>
        <row r="94">
          <cell r="D94">
            <v>89</v>
          </cell>
        </row>
        <row r="95">
          <cell r="D95">
            <v>90</v>
          </cell>
        </row>
        <row r="96">
          <cell r="D96">
            <v>91</v>
          </cell>
        </row>
        <row r="97">
          <cell r="D97">
            <v>92</v>
          </cell>
        </row>
        <row r="98">
          <cell r="D98">
            <v>93</v>
          </cell>
        </row>
        <row r="99">
          <cell r="D99">
            <v>94</v>
          </cell>
        </row>
        <row r="100">
          <cell r="D100">
            <v>95</v>
          </cell>
        </row>
        <row r="101">
          <cell r="D101">
            <v>96</v>
          </cell>
        </row>
        <row r="102">
          <cell r="D102">
            <v>97</v>
          </cell>
        </row>
        <row r="103">
          <cell r="D103">
            <v>98</v>
          </cell>
        </row>
        <row r="104">
          <cell r="D104">
            <v>99</v>
          </cell>
        </row>
        <row r="105">
          <cell r="D105">
            <v>100</v>
          </cell>
        </row>
        <row r="106">
          <cell r="D106">
            <v>101</v>
          </cell>
        </row>
        <row r="107">
          <cell r="D107">
            <v>102</v>
          </cell>
        </row>
        <row r="108">
          <cell r="D108">
            <v>103</v>
          </cell>
        </row>
        <row r="109">
          <cell r="D109">
            <v>104</v>
          </cell>
        </row>
        <row r="110">
          <cell r="D110">
            <v>105</v>
          </cell>
        </row>
        <row r="111">
          <cell r="D111">
            <v>106</v>
          </cell>
        </row>
        <row r="112">
          <cell r="D112">
            <v>107</v>
          </cell>
        </row>
        <row r="113">
          <cell r="D113">
            <v>108</v>
          </cell>
        </row>
        <row r="114">
          <cell r="D114">
            <v>109</v>
          </cell>
        </row>
        <row r="115">
          <cell r="D115">
            <v>110</v>
          </cell>
        </row>
        <row r="116">
          <cell r="D116">
            <v>111</v>
          </cell>
        </row>
        <row r="117">
          <cell r="D117">
            <v>112</v>
          </cell>
        </row>
        <row r="118">
          <cell r="D118">
            <v>113</v>
          </cell>
        </row>
        <row r="119">
          <cell r="D119">
            <v>114</v>
          </cell>
        </row>
        <row r="120">
          <cell r="D120">
            <v>115</v>
          </cell>
        </row>
        <row r="121">
          <cell r="D121">
            <v>116</v>
          </cell>
        </row>
        <row r="122">
          <cell r="D122">
            <v>117</v>
          </cell>
        </row>
        <row r="123">
          <cell r="D123">
            <v>118</v>
          </cell>
        </row>
        <row r="124">
          <cell r="D124">
            <v>119</v>
          </cell>
        </row>
        <row r="125">
          <cell r="D125">
            <v>120</v>
          </cell>
        </row>
        <row r="126">
          <cell r="D126">
            <v>121</v>
          </cell>
        </row>
        <row r="127">
          <cell r="D127">
            <v>122</v>
          </cell>
        </row>
        <row r="128">
          <cell r="D128">
            <v>123</v>
          </cell>
        </row>
        <row r="129">
          <cell r="D129">
            <v>124</v>
          </cell>
        </row>
        <row r="130">
          <cell r="D130">
            <v>125</v>
          </cell>
        </row>
        <row r="131">
          <cell r="D131">
            <v>126</v>
          </cell>
        </row>
        <row r="132">
          <cell r="D132">
            <v>127</v>
          </cell>
        </row>
        <row r="133">
          <cell r="D133">
            <v>128</v>
          </cell>
        </row>
        <row r="134">
          <cell r="D134">
            <v>129</v>
          </cell>
        </row>
        <row r="135">
          <cell r="D135">
            <v>130</v>
          </cell>
        </row>
        <row r="136">
          <cell r="D136">
            <v>131</v>
          </cell>
        </row>
        <row r="137">
          <cell r="D137">
            <v>132</v>
          </cell>
        </row>
        <row r="138">
          <cell r="D138">
            <v>133</v>
          </cell>
        </row>
        <row r="139">
          <cell r="D139">
            <v>134</v>
          </cell>
        </row>
        <row r="140">
          <cell r="D140">
            <v>135</v>
          </cell>
        </row>
        <row r="141">
          <cell r="D141">
            <v>136</v>
          </cell>
        </row>
        <row r="142">
          <cell r="D142">
            <v>137</v>
          </cell>
        </row>
        <row r="143">
          <cell r="D143">
            <v>138</v>
          </cell>
        </row>
        <row r="144">
          <cell r="D144">
            <v>139</v>
          </cell>
        </row>
        <row r="145">
          <cell r="D145">
            <v>140</v>
          </cell>
        </row>
        <row r="146">
          <cell r="D146">
            <v>141</v>
          </cell>
        </row>
        <row r="147">
          <cell r="D147">
            <v>142</v>
          </cell>
        </row>
        <row r="148">
          <cell r="D148">
            <v>143</v>
          </cell>
        </row>
        <row r="149">
          <cell r="D149">
            <v>144</v>
          </cell>
        </row>
        <row r="150">
          <cell r="D150">
            <v>145</v>
          </cell>
        </row>
        <row r="151">
          <cell r="D151">
            <v>146</v>
          </cell>
        </row>
        <row r="152">
          <cell r="D152">
            <v>147</v>
          </cell>
        </row>
        <row r="153">
          <cell r="D153">
            <v>148</v>
          </cell>
        </row>
        <row r="154">
          <cell r="D154">
            <v>149</v>
          </cell>
        </row>
        <row r="155">
          <cell r="D155">
            <v>150</v>
          </cell>
        </row>
        <row r="156">
          <cell r="D156">
            <v>151</v>
          </cell>
        </row>
        <row r="157">
          <cell r="D157">
            <v>152</v>
          </cell>
        </row>
        <row r="158">
          <cell r="D158">
            <v>153</v>
          </cell>
        </row>
        <row r="159">
          <cell r="D159">
            <v>154</v>
          </cell>
        </row>
        <row r="160">
          <cell r="D160">
            <v>155</v>
          </cell>
        </row>
        <row r="161">
          <cell r="D161">
            <v>156</v>
          </cell>
        </row>
        <row r="162">
          <cell r="D162">
            <v>157</v>
          </cell>
        </row>
        <row r="163">
          <cell r="D163">
            <v>158</v>
          </cell>
        </row>
        <row r="164">
          <cell r="D164">
            <v>159</v>
          </cell>
        </row>
        <row r="165">
          <cell r="D165">
            <v>160</v>
          </cell>
        </row>
        <row r="166">
          <cell r="D166">
            <v>161</v>
          </cell>
        </row>
        <row r="167">
          <cell r="D167">
            <v>162</v>
          </cell>
        </row>
        <row r="168">
          <cell r="D168">
            <v>163</v>
          </cell>
        </row>
        <row r="169">
          <cell r="D169">
            <v>164</v>
          </cell>
        </row>
        <row r="170">
          <cell r="D170">
            <v>165</v>
          </cell>
        </row>
        <row r="171">
          <cell r="D171">
            <v>166</v>
          </cell>
        </row>
        <row r="172">
          <cell r="D172">
            <v>167</v>
          </cell>
        </row>
        <row r="173">
          <cell r="D173">
            <v>168</v>
          </cell>
        </row>
        <row r="174">
          <cell r="D174">
            <v>169</v>
          </cell>
        </row>
        <row r="175">
          <cell r="D175">
            <v>170</v>
          </cell>
        </row>
        <row r="176">
          <cell r="D176">
            <v>171</v>
          </cell>
        </row>
        <row r="177">
          <cell r="D177">
            <v>172</v>
          </cell>
        </row>
        <row r="178">
          <cell r="D178">
            <v>173</v>
          </cell>
        </row>
        <row r="179">
          <cell r="D179">
            <v>174</v>
          </cell>
        </row>
        <row r="180">
          <cell r="D180">
            <v>175</v>
          </cell>
        </row>
        <row r="181">
          <cell r="D181">
            <v>176</v>
          </cell>
        </row>
        <row r="182">
          <cell r="D182">
            <v>177</v>
          </cell>
        </row>
        <row r="183">
          <cell r="D183">
            <v>178</v>
          </cell>
        </row>
        <row r="184">
          <cell r="D184">
            <v>179</v>
          </cell>
        </row>
        <row r="185">
          <cell r="D185">
            <v>180</v>
          </cell>
        </row>
        <row r="186">
          <cell r="D186">
            <v>181</v>
          </cell>
        </row>
        <row r="187">
          <cell r="D187">
            <v>182</v>
          </cell>
        </row>
        <row r="188">
          <cell r="D188">
            <v>183</v>
          </cell>
        </row>
        <row r="189">
          <cell r="D189">
            <v>184</v>
          </cell>
        </row>
        <row r="190">
          <cell r="D190">
            <v>185</v>
          </cell>
        </row>
        <row r="191">
          <cell r="D191">
            <v>186</v>
          </cell>
        </row>
        <row r="192">
          <cell r="D192">
            <v>187</v>
          </cell>
        </row>
        <row r="193">
          <cell r="D193">
            <v>188</v>
          </cell>
        </row>
        <row r="194">
          <cell r="D194">
            <v>189</v>
          </cell>
        </row>
        <row r="195">
          <cell r="D195">
            <v>190</v>
          </cell>
        </row>
        <row r="196">
          <cell r="D196">
            <v>191</v>
          </cell>
        </row>
        <row r="197">
          <cell r="D197">
            <v>192</v>
          </cell>
        </row>
        <row r="198">
          <cell r="D198">
            <v>193</v>
          </cell>
        </row>
        <row r="199">
          <cell r="D199">
            <v>194</v>
          </cell>
        </row>
        <row r="200">
          <cell r="D200">
            <v>195</v>
          </cell>
        </row>
        <row r="201">
          <cell r="D201">
            <v>196</v>
          </cell>
        </row>
        <row r="202">
          <cell r="D202">
            <v>197</v>
          </cell>
        </row>
        <row r="203">
          <cell r="D203">
            <v>198</v>
          </cell>
        </row>
        <row r="204">
          <cell r="D204">
            <v>199</v>
          </cell>
        </row>
        <row r="205">
          <cell r="D205">
            <v>200</v>
          </cell>
        </row>
        <row r="206">
          <cell r="D206">
            <v>201</v>
          </cell>
        </row>
        <row r="207">
          <cell r="D207">
            <v>202</v>
          </cell>
        </row>
        <row r="208">
          <cell r="D208">
            <v>203</v>
          </cell>
        </row>
        <row r="209">
          <cell r="D209">
            <v>204</v>
          </cell>
        </row>
        <row r="210">
          <cell r="D210">
            <v>205</v>
          </cell>
        </row>
        <row r="211">
          <cell r="D211">
            <v>206</v>
          </cell>
        </row>
        <row r="212">
          <cell r="D212">
            <v>207</v>
          </cell>
        </row>
        <row r="213">
          <cell r="D213">
            <v>208</v>
          </cell>
        </row>
        <row r="214">
          <cell r="D214">
            <v>209</v>
          </cell>
        </row>
        <row r="215">
          <cell r="D215">
            <v>210</v>
          </cell>
        </row>
        <row r="216">
          <cell r="D216">
            <v>211</v>
          </cell>
        </row>
        <row r="217">
          <cell r="D217">
            <v>212</v>
          </cell>
        </row>
        <row r="218">
          <cell r="D218">
            <v>213</v>
          </cell>
        </row>
        <row r="219">
          <cell r="D219">
            <v>214</v>
          </cell>
        </row>
        <row r="220">
          <cell r="D220">
            <v>215</v>
          </cell>
        </row>
        <row r="221">
          <cell r="D221">
            <v>216</v>
          </cell>
        </row>
        <row r="222">
          <cell r="D222">
            <v>217</v>
          </cell>
        </row>
        <row r="223">
          <cell r="D223">
            <v>218</v>
          </cell>
        </row>
        <row r="224">
          <cell r="D224">
            <v>219</v>
          </cell>
        </row>
        <row r="225">
          <cell r="D225">
            <v>220</v>
          </cell>
        </row>
        <row r="226">
          <cell r="D226">
            <v>221</v>
          </cell>
        </row>
        <row r="227">
          <cell r="D227">
            <v>222</v>
          </cell>
        </row>
        <row r="228">
          <cell r="D228">
            <v>223</v>
          </cell>
        </row>
        <row r="229">
          <cell r="D229">
            <v>224</v>
          </cell>
        </row>
        <row r="230">
          <cell r="D230">
            <v>225</v>
          </cell>
        </row>
        <row r="231">
          <cell r="D231">
            <v>226</v>
          </cell>
        </row>
        <row r="232">
          <cell r="D232">
            <v>227</v>
          </cell>
        </row>
        <row r="233">
          <cell r="D233">
            <v>228</v>
          </cell>
        </row>
        <row r="234">
          <cell r="D234">
            <v>229</v>
          </cell>
        </row>
        <row r="235">
          <cell r="D235">
            <v>230</v>
          </cell>
        </row>
        <row r="236">
          <cell r="D236">
            <v>231</v>
          </cell>
        </row>
        <row r="237">
          <cell r="D237">
            <v>232</v>
          </cell>
        </row>
        <row r="238">
          <cell r="D238">
            <v>233</v>
          </cell>
        </row>
        <row r="239">
          <cell r="D239">
            <v>234</v>
          </cell>
        </row>
        <row r="240">
          <cell r="D240">
            <v>235</v>
          </cell>
        </row>
        <row r="241">
          <cell r="D241">
            <v>236</v>
          </cell>
        </row>
        <row r="242">
          <cell r="D242">
            <v>237</v>
          </cell>
        </row>
        <row r="243">
          <cell r="D243">
            <v>238</v>
          </cell>
        </row>
        <row r="244">
          <cell r="D244">
            <v>239</v>
          </cell>
        </row>
        <row r="245">
          <cell r="D245">
            <v>240</v>
          </cell>
        </row>
        <row r="246">
          <cell r="D246">
            <v>241</v>
          </cell>
        </row>
        <row r="247">
          <cell r="D247">
            <v>242</v>
          </cell>
        </row>
        <row r="248">
          <cell r="D248">
            <v>243</v>
          </cell>
        </row>
        <row r="249">
          <cell r="D249">
            <v>244</v>
          </cell>
        </row>
        <row r="250">
          <cell r="D250">
            <v>245</v>
          </cell>
        </row>
        <row r="251">
          <cell r="D251">
            <v>246</v>
          </cell>
        </row>
        <row r="252">
          <cell r="D252">
            <v>247</v>
          </cell>
        </row>
        <row r="253">
          <cell r="D253">
            <v>248</v>
          </cell>
        </row>
        <row r="254">
          <cell r="D254">
            <v>249</v>
          </cell>
        </row>
        <row r="255">
          <cell r="D255">
            <v>250</v>
          </cell>
        </row>
        <row r="256">
          <cell r="D256">
            <v>251</v>
          </cell>
        </row>
        <row r="257">
          <cell r="D257">
            <v>252</v>
          </cell>
        </row>
        <row r="258">
          <cell r="D258">
            <v>253</v>
          </cell>
        </row>
        <row r="259">
          <cell r="D259">
            <v>254</v>
          </cell>
        </row>
        <row r="260">
          <cell r="D260">
            <v>255</v>
          </cell>
        </row>
        <row r="261">
          <cell r="D261">
            <v>256</v>
          </cell>
        </row>
        <row r="262">
          <cell r="D262">
            <v>257</v>
          </cell>
        </row>
        <row r="263">
          <cell r="D263">
            <v>258</v>
          </cell>
        </row>
        <row r="264">
          <cell r="D264">
            <v>259</v>
          </cell>
        </row>
        <row r="265">
          <cell r="D265">
            <v>260</v>
          </cell>
        </row>
        <row r="266">
          <cell r="D266">
            <v>261</v>
          </cell>
        </row>
        <row r="267">
          <cell r="D267">
            <v>262</v>
          </cell>
        </row>
        <row r="268">
          <cell r="D268">
            <v>263</v>
          </cell>
        </row>
        <row r="269">
          <cell r="D269">
            <v>264</v>
          </cell>
        </row>
        <row r="270">
          <cell r="D270">
            <v>265</v>
          </cell>
        </row>
        <row r="271">
          <cell r="D271">
            <v>266</v>
          </cell>
        </row>
        <row r="272">
          <cell r="D272">
            <v>267</v>
          </cell>
        </row>
        <row r="273">
          <cell r="D273">
            <v>268</v>
          </cell>
        </row>
        <row r="274">
          <cell r="D274">
            <v>269</v>
          </cell>
        </row>
        <row r="275">
          <cell r="D275">
            <v>270</v>
          </cell>
        </row>
        <row r="276">
          <cell r="D276">
            <v>271</v>
          </cell>
        </row>
        <row r="277">
          <cell r="D277">
            <v>272</v>
          </cell>
        </row>
        <row r="278">
          <cell r="D278">
            <v>273</v>
          </cell>
        </row>
        <row r="279">
          <cell r="D279">
            <v>274</v>
          </cell>
        </row>
        <row r="280">
          <cell r="D280">
            <v>275</v>
          </cell>
        </row>
        <row r="281">
          <cell r="D281">
            <v>276</v>
          </cell>
        </row>
        <row r="282">
          <cell r="D282">
            <v>277</v>
          </cell>
        </row>
        <row r="283">
          <cell r="D283">
            <v>278</v>
          </cell>
        </row>
        <row r="284">
          <cell r="D284">
            <v>279</v>
          </cell>
        </row>
        <row r="285">
          <cell r="D285">
            <v>280</v>
          </cell>
        </row>
        <row r="286">
          <cell r="D286">
            <v>281</v>
          </cell>
        </row>
        <row r="287">
          <cell r="D287">
            <v>282</v>
          </cell>
        </row>
        <row r="288">
          <cell r="D288">
            <v>283</v>
          </cell>
        </row>
        <row r="289">
          <cell r="D289">
            <v>284</v>
          </cell>
        </row>
        <row r="290">
          <cell r="D290">
            <v>285</v>
          </cell>
        </row>
        <row r="291">
          <cell r="D291">
            <v>286</v>
          </cell>
        </row>
        <row r="292">
          <cell r="D292">
            <v>287</v>
          </cell>
        </row>
        <row r="293">
          <cell r="D293">
            <v>288</v>
          </cell>
        </row>
        <row r="294">
          <cell r="D294">
            <v>289</v>
          </cell>
        </row>
        <row r="295">
          <cell r="D295">
            <v>290</v>
          </cell>
        </row>
        <row r="296">
          <cell r="D296">
            <v>291</v>
          </cell>
        </row>
        <row r="297">
          <cell r="D297">
            <v>292</v>
          </cell>
        </row>
        <row r="298">
          <cell r="D298">
            <v>293</v>
          </cell>
        </row>
        <row r="299">
          <cell r="D299">
            <v>294</v>
          </cell>
        </row>
        <row r="300">
          <cell r="D300">
            <v>295</v>
          </cell>
        </row>
        <row r="301">
          <cell r="D301">
            <v>296</v>
          </cell>
        </row>
        <row r="302">
          <cell r="D302">
            <v>297</v>
          </cell>
        </row>
        <row r="303">
          <cell r="D303">
            <v>298</v>
          </cell>
        </row>
        <row r="304">
          <cell r="D304">
            <v>299</v>
          </cell>
        </row>
        <row r="305">
          <cell r="D305">
            <v>300</v>
          </cell>
        </row>
        <row r="306">
          <cell r="D306">
            <v>301</v>
          </cell>
        </row>
        <row r="307">
          <cell r="D307">
            <v>302</v>
          </cell>
        </row>
        <row r="308">
          <cell r="D308">
            <v>303</v>
          </cell>
        </row>
        <row r="309">
          <cell r="D309">
            <v>304</v>
          </cell>
        </row>
        <row r="310">
          <cell r="D310">
            <v>305</v>
          </cell>
        </row>
        <row r="311">
          <cell r="D311">
            <v>306</v>
          </cell>
        </row>
        <row r="312">
          <cell r="D312">
            <v>307</v>
          </cell>
        </row>
        <row r="313">
          <cell r="D313">
            <v>308</v>
          </cell>
        </row>
        <row r="314">
          <cell r="D314">
            <v>309</v>
          </cell>
        </row>
        <row r="315">
          <cell r="D315">
            <v>310</v>
          </cell>
        </row>
        <row r="316">
          <cell r="D316">
            <v>311</v>
          </cell>
        </row>
        <row r="317">
          <cell r="D317">
            <v>312</v>
          </cell>
        </row>
        <row r="318">
          <cell r="D318">
            <v>313</v>
          </cell>
        </row>
        <row r="319">
          <cell r="D319">
            <v>314</v>
          </cell>
        </row>
        <row r="320">
          <cell r="D320">
            <v>315</v>
          </cell>
        </row>
        <row r="321">
          <cell r="D321">
            <v>316</v>
          </cell>
        </row>
        <row r="322">
          <cell r="D322">
            <v>317</v>
          </cell>
        </row>
        <row r="323">
          <cell r="D323">
            <v>318</v>
          </cell>
        </row>
        <row r="324">
          <cell r="D324">
            <v>319</v>
          </cell>
        </row>
        <row r="325">
          <cell r="D325">
            <v>320</v>
          </cell>
        </row>
        <row r="326">
          <cell r="D326">
            <v>321</v>
          </cell>
        </row>
        <row r="327">
          <cell r="D327">
            <v>322</v>
          </cell>
        </row>
        <row r="328">
          <cell r="D328">
            <v>323</v>
          </cell>
        </row>
        <row r="329">
          <cell r="D329">
            <v>324</v>
          </cell>
        </row>
        <row r="330">
          <cell r="D330">
            <v>325</v>
          </cell>
        </row>
        <row r="331">
          <cell r="D331">
            <v>326</v>
          </cell>
        </row>
        <row r="332">
          <cell r="D332">
            <v>327</v>
          </cell>
        </row>
        <row r="333">
          <cell r="D333">
            <v>328</v>
          </cell>
        </row>
        <row r="334">
          <cell r="D334">
            <v>329</v>
          </cell>
        </row>
        <row r="335">
          <cell r="D335">
            <v>330</v>
          </cell>
        </row>
        <row r="336">
          <cell r="D336">
            <v>331</v>
          </cell>
        </row>
        <row r="337">
          <cell r="D337">
            <v>332</v>
          </cell>
        </row>
        <row r="338">
          <cell r="D338">
            <v>333</v>
          </cell>
        </row>
        <row r="339">
          <cell r="D339">
            <v>334</v>
          </cell>
        </row>
        <row r="340">
          <cell r="D340">
            <v>335</v>
          </cell>
        </row>
        <row r="341">
          <cell r="D341">
            <v>336</v>
          </cell>
        </row>
        <row r="342">
          <cell r="D342">
            <v>337</v>
          </cell>
        </row>
        <row r="343">
          <cell r="D343">
            <v>338</v>
          </cell>
        </row>
        <row r="344">
          <cell r="D344">
            <v>339</v>
          </cell>
        </row>
        <row r="345">
          <cell r="D345">
            <v>340</v>
          </cell>
        </row>
        <row r="346">
          <cell r="D346">
            <v>341</v>
          </cell>
        </row>
        <row r="347">
          <cell r="D347">
            <v>342</v>
          </cell>
        </row>
        <row r="348">
          <cell r="D348">
            <v>343</v>
          </cell>
        </row>
        <row r="349">
          <cell r="D349">
            <v>344</v>
          </cell>
        </row>
        <row r="350">
          <cell r="D350">
            <v>345</v>
          </cell>
        </row>
        <row r="351">
          <cell r="D351">
            <v>346</v>
          </cell>
        </row>
        <row r="352">
          <cell r="D352">
            <v>347</v>
          </cell>
        </row>
        <row r="353">
          <cell r="D353">
            <v>348</v>
          </cell>
        </row>
        <row r="354">
          <cell r="D354">
            <v>349</v>
          </cell>
        </row>
        <row r="355">
          <cell r="D355">
            <v>350</v>
          </cell>
        </row>
        <row r="356">
          <cell r="D356">
            <v>351</v>
          </cell>
        </row>
        <row r="357">
          <cell r="D357">
            <v>352</v>
          </cell>
        </row>
        <row r="358">
          <cell r="D358">
            <v>353</v>
          </cell>
        </row>
        <row r="359">
          <cell r="D359">
            <v>354</v>
          </cell>
        </row>
        <row r="360">
          <cell r="D360">
            <v>355</v>
          </cell>
        </row>
        <row r="361">
          <cell r="D361">
            <v>356</v>
          </cell>
        </row>
        <row r="362">
          <cell r="D362">
            <v>357</v>
          </cell>
        </row>
        <row r="363">
          <cell r="D363">
            <v>358</v>
          </cell>
        </row>
        <row r="364">
          <cell r="D364">
            <v>359</v>
          </cell>
        </row>
        <row r="365">
          <cell r="D365">
            <v>360</v>
          </cell>
        </row>
        <row r="366">
          <cell r="D366">
            <v>361</v>
          </cell>
        </row>
        <row r="367">
          <cell r="D367">
            <v>362</v>
          </cell>
        </row>
        <row r="368">
          <cell r="D368">
            <v>363</v>
          </cell>
        </row>
        <row r="369">
          <cell r="D369">
            <v>364</v>
          </cell>
        </row>
        <row r="370">
          <cell r="D370">
            <v>365</v>
          </cell>
        </row>
        <row r="371">
          <cell r="D371">
            <v>366</v>
          </cell>
        </row>
        <row r="372">
          <cell r="D372">
            <v>367</v>
          </cell>
        </row>
        <row r="373">
          <cell r="D373">
            <v>368</v>
          </cell>
        </row>
        <row r="374">
          <cell r="D374">
            <v>369</v>
          </cell>
        </row>
        <row r="375">
          <cell r="D375">
            <v>370</v>
          </cell>
        </row>
        <row r="376">
          <cell r="D376">
            <v>371</v>
          </cell>
        </row>
        <row r="377">
          <cell r="D377">
            <v>372</v>
          </cell>
        </row>
        <row r="378">
          <cell r="D378">
            <v>373</v>
          </cell>
        </row>
        <row r="379">
          <cell r="D379">
            <v>374</v>
          </cell>
        </row>
        <row r="380">
          <cell r="D380">
            <v>375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498">
          <cell r="R498">
            <v>19.860627177700351</v>
          </cell>
        </row>
        <row r="499">
          <cell r="R499">
            <v>16.410149750415989</v>
          </cell>
        </row>
        <row r="502">
          <cell r="R502">
            <v>16.207888249794596</v>
          </cell>
        </row>
        <row r="507">
          <cell r="P507">
            <v>1899.9999999999545</v>
          </cell>
          <cell r="R507">
            <v>27.243759957514385</v>
          </cell>
        </row>
        <row r="516">
          <cell r="P516">
            <v>2070.0000000000273</v>
          </cell>
          <cell r="R516">
            <v>27.296703296703427</v>
          </cell>
        </row>
        <row r="521">
          <cell r="P521">
            <v>1960.0000000000364</v>
          </cell>
          <cell r="R521">
            <v>26.068965517241562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092525"/>
      <sheetName val="091725-skwierd"/>
      <sheetName val="071025-skwierd"/>
      <sheetName val="021324_good"/>
      <sheetName val="020624_good"/>
      <sheetName val="010325"/>
      <sheetName val="graph"/>
      <sheetName val="111124"/>
      <sheetName val="102224"/>
      <sheetName val="091224"/>
      <sheetName val="Daily monitoring final (2)"/>
      <sheetName val="090524_good"/>
      <sheetName val="082724_bad"/>
      <sheetName val="082024_bad"/>
      <sheetName val="plots"/>
      <sheetName val="073024"/>
      <sheetName val="072324"/>
      <sheetName val="mis07110723"/>
      <sheetName val="071624"/>
      <sheetName val="071124"/>
      <sheetName val="06262024 "/>
      <sheetName val="06212024"/>
      <sheetName val="plots (2)"/>
      <sheetName val="COD+P feed "/>
      <sheetName val="Daily monitoring final"/>
      <sheetName val="HRT_SRT"/>
      <sheetName val="TSS_VSS"/>
      <sheetName val="06112024"/>
      <sheetName val="06052024"/>
      <sheetName val="05292024"/>
      <sheetName val="05222024 "/>
      <sheetName val="05152024"/>
      <sheetName val="04172024"/>
      <sheetName val="04092024"/>
      <sheetName val="04-4-2024"/>
      <sheetName val="03-27-2024"/>
      <sheetName val="03-19-2024"/>
      <sheetName val="03-12-2024"/>
      <sheetName val="03-05-2024 "/>
      <sheetName val="02-27-2024 "/>
      <sheetName val="02-20-2024 "/>
      <sheetName val="02-13-2024"/>
      <sheetName val="02-06-2024"/>
      <sheetName val="1-30-2024"/>
      <sheetName val="1-23-2024"/>
      <sheetName val="1-16-2024"/>
      <sheetName val="1-8-2024"/>
      <sheetName val="1-3-2024"/>
      <sheetName val="12-26-2023 "/>
      <sheetName val="12-19-2023 "/>
      <sheetName val="12-07-2023"/>
      <sheetName val="in cycle -format"/>
      <sheetName val="Goa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59">
          <cell r="I59">
            <v>0</v>
          </cell>
        </row>
        <row r="61">
          <cell r="R61">
            <v>47.341772151898304</v>
          </cell>
        </row>
        <row r="73">
          <cell r="R73">
            <v>26.525955504847722</v>
          </cell>
        </row>
        <row r="76">
          <cell r="R76">
            <v>25.340309493192478</v>
          </cell>
        </row>
        <row r="80">
          <cell r="R80">
            <v>16.187050359712767</v>
          </cell>
        </row>
        <row r="88">
          <cell r="R88">
            <v>26.3437998935599</v>
          </cell>
        </row>
        <row r="93">
          <cell r="R93">
            <v>25.888761467890088</v>
          </cell>
        </row>
        <row r="101">
          <cell r="R101">
            <v>24.440421329821888</v>
          </cell>
        </row>
        <row r="107">
          <cell r="R107">
            <v>26.162790697674417</v>
          </cell>
        </row>
        <row r="108">
          <cell r="R108">
            <v>20.820011284559385</v>
          </cell>
        </row>
        <row r="115">
          <cell r="R115">
            <v>18.328784379592992</v>
          </cell>
        </row>
        <row r="118">
          <cell r="R118">
            <v>18.317982787256888</v>
          </cell>
        </row>
        <row r="122">
          <cell r="R122">
            <v>22.433234421365103</v>
          </cell>
        </row>
        <row r="125">
          <cell r="R125">
            <v>17.540924301347882</v>
          </cell>
        </row>
        <row r="129">
          <cell r="R129">
            <v>15.710415558027979</v>
          </cell>
        </row>
        <row r="136">
          <cell r="R136">
            <v>19.412556053811581</v>
          </cell>
        </row>
        <row r="138">
          <cell r="R138">
            <v>17.790697674418574</v>
          </cell>
        </row>
        <row r="143">
          <cell r="R143">
            <v>17.466539196940555</v>
          </cell>
        </row>
        <row r="150">
          <cell r="R150">
            <v>13.530664395229964</v>
          </cell>
        </row>
        <row r="157">
          <cell r="R157">
            <v>10.674418604651027</v>
          </cell>
        </row>
        <row r="164">
          <cell r="P164">
            <v>4330.0000000000182</v>
          </cell>
          <cell r="R164">
            <v>14.655885671304931</v>
          </cell>
        </row>
        <row r="165">
          <cell r="P165">
            <v>4770.0000000000273</v>
          </cell>
          <cell r="R165">
            <v>15.142857142857082</v>
          </cell>
        </row>
        <row r="172">
          <cell r="P172">
            <v>5330.0000000000182</v>
          </cell>
          <cell r="R172">
            <v>17.21267357996366</v>
          </cell>
        </row>
        <row r="179">
          <cell r="P179">
            <v>1400</v>
          </cell>
          <cell r="R179">
            <v>2.5004961301845725</v>
          </cell>
        </row>
        <row r="186">
          <cell r="P186">
            <v>4540.0000000000091</v>
          </cell>
          <cell r="R186">
            <v>14.266759776536155</v>
          </cell>
        </row>
        <row r="193">
          <cell r="P193">
            <v>3690.0000000000091</v>
          </cell>
          <cell r="R193">
            <v>14.19230769230745</v>
          </cell>
        </row>
        <row r="198">
          <cell r="P198">
            <v>2809.9999999999909</v>
          </cell>
          <cell r="R198">
            <v>15.898660966869924</v>
          </cell>
        </row>
        <row r="205">
          <cell r="P205">
            <v>2760.0000000000364</v>
          </cell>
          <cell r="R205">
            <v>15.159282314171131</v>
          </cell>
        </row>
        <row r="215">
          <cell r="P215">
            <v>2617.7777777777974</v>
          </cell>
          <cell r="R215">
            <v>16.772927905835825</v>
          </cell>
        </row>
        <row r="219">
          <cell r="P219">
            <v>2719.9999999999818</v>
          </cell>
          <cell r="R219">
            <v>16.787820600740432</v>
          </cell>
        </row>
        <row r="221">
          <cell r="P221">
            <v>2200.0000000000455</v>
          </cell>
          <cell r="R221">
            <v>16.541353383458706</v>
          </cell>
        </row>
        <row r="228">
          <cell r="P228">
            <v>1320.0000000000273</v>
          </cell>
          <cell r="R228">
            <v>14.905149051490479</v>
          </cell>
        </row>
        <row r="230">
          <cell r="P230">
            <v>1800</v>
          </cell>
          <cell r="R230">
            <v>16.605166051660376</v>
          </cell>
        </row>
        <row r="235">
          <cell r="P235">
            <v>1449.9999999999545</v>
          </cell>
          <cell r="R235">
            <v>14.974182444062361</v>
          </cell>
        </row>
        <row r="242">
          <cell r="P242">
            <v>1319.4444444444925</v>
          </cell>
          <cell r="R242">
            <v>21.852476614017071</v>
          </cell>
        </row>
        <row r="248">
          <cell r="P248">
            <v>2010.0000000000364</v>
          </cell>
          <cell r="R248">
            <v>23.147792706334364</v>
          </cell>
        </row>
        <row r="258">
          <cell r="P258">
            <v>1380.0000000000182</v>
          </cell>
          <cell r="R258">
            <v>23.10783657066391</v>
          </cell>
        </row>
        <row r="263">
          <cell r="P263">
            <v>940.00000000000909</v>
          </cell>
          <cell r="R263">
            <v>17.172783371223936</v>
          </cell>
        </row>
        <row r="269">
          <cell r="P269">
            <v>1160.0000000000364</v>
          </cell>
          <cell r="R269">
            <v>20.422535211267853</v>
          </cell>
        </row>
        <row r="270">
          <cell r="P270">
            <v>1150</v>
          </cell>
          <cell r="R270">
            <v>19.999999999997787</v>
          </cell>
        </row>
        <row r="278">
          <cell r="P278">
            <v>1500</v>
          </cell>
          <cell r="R278">
            <v>16.129032258065148</v>
          </cell>
        </row>
        <row r="283">
          <cell r="P283">
            <v>1830.0000000000637</v>
          </cell>
          <cell r="R283">
            <v>19.276685393260173</v>
          </cell>
        </row>
        <row r="290">
          <cell r="P290">
            <v>1720.0000000000273</v>
          </cell>
          <cell r="R290">
            <v>10.97094259390509</v>
          </cell>
        </row>
        <row r="291">
          <cell r="R291" t="e">
            <v>#DIV/0!</v>
          </cell>
        </row>
        <row r="292">
          <cell r="R292" t="e">
            <v>#DIV/0!</v>
          </cell>
        </row>
        <row r="293">
          <cell r="R293" t="e">
            <v>#DIV/0!</v>
          </cell>
        </row>
        <row r="294">
          <cell r="R294" t="e">
            <v>#DIV/0!</v>
          </cell>
        </row>
      </sheetData>
      <sheetData sheetId="26">
        <row r="12">
          <cell r="H12">
            <v>1940.0000000000091</v>
          </cell>
        </row>
        <row r="71">
          <cell r="H71">
            <v>2790.0000000000091</v>
          </cell>
        </row>
        <row r="80">
          <cell r="H80">
            <v>2700.0000000000455</v>
          </cell>
        </row>
        <row r="86">
          <cell r="H86">
            <v>2860.0000000000364</v>
          </cell>
        </row>
        <row r="92">
          <cell r="H92">
            <v>3009.9999999999909</v>
          </cell>
        </row>
        <row r="98">
          <cell r="H98">
            <v>2640.0000000000091</v>
          </cell>
        </row>
        <row r="104">
          <cell r="H104">
            <v>2530.0000000000182</v>
          </cell>
        </row>
        <row r="107">
          <cell r="H107">
            <v>2459.9999999999909</v>
          </cell>
        </row>
        <row r="113">
          <cell r="H113">
            <v>3880.0000000000182</v>
          </cell>
        </row>
        <row r="119">
          <cell r="H119">
            <v>3370.0000000000273</v>
          </cell>
        </row>
        <row r="122">
          <cell r="H122">
            <v>3359.9999999999909</v>
          </cell>
        </row>
        <row r="128">
          <cell r="H128">
            <v>4309.9999999999909</v>
          </cell>
        </row>
        <row r="132">
          <cell r="H132">
            <v>4319.9999999999818</v>
          </cell>
        </row>
        <row r="140">
          <cell r="H140">
            <v>4809.9999999999909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>
        <row r="6">
          <cell r="Q6">
            <v>183.358</v>
          </cell>
        </row>
        <row r="12">
          <cell r="Q12">
            <v>105.262</v>
          </cell>
        </row>
      </sheetData>
      <sheetData sheetId="41"/>
      <sheetData sheetId="42"/>
      <sheetData sheetId="43">
        <row r="6">
          <cell r="I6">
            <v>26.8</v>
          </cell>
        </row>
        <row r="12">
          <cell r="I12">
            <v>62.47</v>
          </cell>
        </row>
        <row r="13">
          <cell r="G13">
            <v>29.7</v>
          </cell>
        </row>
        <row r="21">
          <cell r="G21">
            <v>0.83</v>
          </cell>
          <cell r="I21">
            <v>34.24</v>
          </cell>
        </row>
        <row r="27">
          <cell r="I27">
            <v>19.309999999999999</v>
          </cell>
        </row>
        <row r="28">
          <cell r="I28">
            <v>15.02</v>
          </cell>
        </row>
      </sheetData>
      <sheetData sheetId="44">
        <row r="6">
          <cell r="I6">
            <v>31.14</v>
          </cell>
        </row>
        <row r="12">
          <cell r="I12">
            <v>36.729999999999997</v>
          </cell>
        </row>
        <row r="13">
          <cell r="G13">
            <v>30.92</v>
          </cell>
        </row>
        <row r="20">
          <cell r="G20">
            <v>0.34</v>
          </cell>
        </row>
        <row r="21">
          <cell r="I21">
            <v>38.79</v>
          </cell>
        </row>
        <row r="27">
          <cell r="I27">
            <v>29</v>
          </cell>
        </row>
      </sheetData>
      <sheetData sheetId="45">
        <row r="6">
          <cell r="I6">
            <v>25.33</v>
          </cell>
          <cell r="Q6">
            <v>189.922</v>
          </cell>
        </row>
        <row r="12">
          <cell r="I12">
            <v>56.38</v>
          </cell>
          <cell r="Q12">
            <v>7.8840000000000003</v>
          </cell>
        </row>
        <row r="13">
          <cell r="G13">
            <v>27.83</v>
          </cell>
        </row>
        <row r="20">
          <cell r="I20">
            <v>40.15</v>
          </cell>
        </row>
        <row r="21">
          <cell r="G21">
            <v>8.52</v>
          </cell>
        </row>
        <row r="27">
          <cell r="I27">
            <v>28.24</v>
          </cell>
        </row>
        <row r="28">
          <cell r="I28">
            <v>25.66</v>
          </cell>
        </row>
      </sheetData>
      <sheetData sheetId="46">
        <row r="6">
          <cell r="I6">
            <v>31.83</v>
          </cell>
          <cell r="Q6">
            <v>189.922</v>
          </cell>
        </row>
        <row r="12">
          <cell r="I12">
            <v>71.22</v>
          </cell>
          <cell r="Q12">
            <v>7.8840000000000003</v>
          </cell>
        </row>
        <row r="13">
          <cell r="G13">
            <v>24.11</v>
          </cell>
        </row>
        <row r="21">
          <cell r="G21">
            <v>1.3</v>
          </cell>
          <cell r="I21">
            <v>46.25</v>
          </cell>
        </row>
        <row r="27">
          <cell r="I27">
            <v>29.19</v>
          </cell>
        </row>
        <row r="28">
          <cell r="I28">
            <v>29.25</v>
          </cell>
        </row>
        <row r="42">
          <cell r="AR42">
            <v>152.029</v>
          </cell>
        </row>
        <row r="85">
          <cell r="AR85">
            <v>34.25</v>
          </cell>
        </row>
      </sheetData>
      <sheetData sheetId="47">
        <row r="6">
          <cell r="Q6">
            <v>163.98500000000001</v>
          </cell>
        </row>
        <row r="12">
          <cell r="I12">
            <v>65.069999999999993</v>
          </cell>
          <cell r="Q12">
            <v>8.5429999999999993</v>
          </cell>
        </row>
        <row r="13">
          <cell r="G13">
            <v>20.99</v>
          </cell>
        </row>
        <row r="21">
          <cell r="G21">
            <v>0.43</v>
          </cell>
          <cell r="I21">
            <v>37.89</v>
          </cell>
        </row>
        <row r="27">
          <cell r="I27">
            <v>20.6</v>
          </cell>
        </row>
      </sheetData>
      <sheetData sheetId="48">
        <row r="6">
          <cell r="I6">
            <v>34.35</v>
          </cell>
          <cell r="Q6">
            <v>179.185</v>
          </cell>
        </row>
        <row r="12">
          <cell r="I12">
            <v>65.02</v>
          </cell>
          <cell r="Q12">
            <v>3.835</v>
          </cell>
        </row>
        <row r="13">
          <cell r="G13">
            <v>16.13</v>
          </cell>
        </row>
        <row r="20">
          <cell r="I20">
            <v>55.57</v>
          </cell>
        </row>
        <row r="21">
          <cell r="G21">
            <v>1.52</v>
          </cell>
        </row>
        <row r="27">
          <cell r="I27">
            <v>35.86</v>
          </cell>
        </row>
      </sheetData>
      <sheetData sheetId="49">
        <row r="6">
          <cell r="I6">
            <v>18.61</v>
          </cell>
          <cell r="Q6">
            <v>116.834</v>
          </cell>
        </row>
        <row r="12">
          <cell r="I12">
            <v>47.14</v>
          </cell>
          <cell r="Q12">
            <v>7.85</v>
          </cell>
        </row>
        <row r="13">
          <cell r="G13">
            <v>14.5</v>
          </cell>
        </row>
        <row r="21">
          <cell r="G21">
            <v>0.57999999999999996</v>
          </cell>
          <cell r="I21">
            <v>29.07</v>
          </cell>
        </row>
        <row r="27">
          <cell r="I27">
            <v>13.99</v>
          </cell>
        </row>
        <row r="28">
          <cell r="I28">
            <v>9.33</v>
          </cell>
        </row>
        <row r="33">
          <cell r="AR33">
            <v>4.7169999999999996</v>
          </cell>
        </row>
        <row r="34">
          <cell r="AR34">
            <v>56.688000000000002</v>
          </cell>
        </row>
        <row r="35">
          <cell r="AR35">
            <v>72.283000000000001</v>
          </cell>
        </row>
        <row r="69">
          <cell r="AR69">
            <v>3.0489999999999999</v>
          </cell>
        </row>
        <row r="70">
          <cell r="AR70">
            <v>15.438000000000001</v>
          </cell>
        </row>
        <row r="71">
          <cell r="AR71">
            <v>17.838000000000001</v>
          </cell>
        </row>
      </sheetData>
      <sheetData sheetId="50"/>
      <sheetData sheetId="51"/>
      <sheetData sheetId="5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6A56B-58E6-4725-8005-8880CC6CB16A}">
  <sheetPr>
    <tabColor rgb="FFFF0000"/>
  </sheetPr>
  <dimension ref="A1:BF881"/>
  <sheetViews>
    <sheetView tabSelected="1" zoomScale="85" zoomScaleNormal="85" workbookViewId="0">
      <pane xSplit="4" ySplit="5" topLeftCell="AG305" activePane="bottomRight" state="frozen"/>
      <selection pane="topRight" activeCell="E1" sqref="E1"/>
      <selection pane="bottomLeft" activeCell="A6" sqref="A6"/>
      <selection pane="bottomRight" activeCell="AR2" sqref="AR2:AU2"/>
    </sheetView>
  </sheetViews>
  <sheetFormatPr defaultColWidth="9.140625" defaultRowHeight="15"/>
  <cols>
    <col min="1" max="1" width="54.85546875" style="12" customWidth="1"/>
    <col min="2" max="2" width="17.5703125" style="11" customWidth="1"/>
    <col min="3" max="3" width="7.5703125" style="1" customWidth="1"/>
    <col min="4" max="4" width="0" style="3" hidden="1" customWidth="1"/>
    <col min="5" max="5" width="8.140625" style="10" bestFit="1" customWidth="1"/>
    <col min="6" max="6" width="9.85546875" style="9" bestFit="1" customWidth="1"/>
    <col min="7" max="7" width="8.140625" style="9" customWidth="1"/>
    <col min="8" max="8" width="9.85546875" style="9" bestFit="1" customWidth="1"/>
    <col min="9" max="9" width="6.85546875" style="9" customWidth="1"/>
    <col min="10" max="10" width="9.85546875" style="8" customWidth="1"/>
    <col min="11" max="11" width="9.85546875" style="10" customWidth="1"/>
    <col min="12" max="12" width="9.85546875" style="9" customWidth="1"/>
    <col min="13" max="13" width="9.85546875" style="8" customWidth="1"/>
    <col min="14" max="14" width="8.85546875" style="7" bestFit="1" customWidth="1"/>
    <col min="15" max="18" width="7.140625" style="6" customWidth="1"/>
    <col min="19" max="19" width="10.140625" style="6" bestFit="1" customWidth="1"/>
    <col min="20" max="20" width="7.85546875" style="6" bestFit="1" customWidth="1"/>
    <col min="21" max="22" width="7.85546875" style="6" customWidth="1"/>
    <col min="23" max="23" width="10.42578125" style="6" bestFit="1" customWidth="1"/>
    <col min="24" max="25" width="9.140625" style="6" bestFit="1" customWidth="1"/>
    <col min="26" max="27" width="10.140625" style="6" bestFit="1" customWidth="1"/>
    <col min="28" max="28" width="14.42578125" style="5" bestFit="1" customWidth="1"/>
    <col min="29" max="29" width="7.85546875" style="4" bestFit="1" customWidth="1"/>
    <col min="30" max="30" width="7.42578125" style="1" bestFit="1" customWidth="1"/>
    <col min="31" max="31" width="7.42578125" style="1" customWidth="1"/>
    <col min="32" max="32" width="7.85546875" style="1" customWidth="1"/>
    <col min="33" max="33" width="9.85546875" style="1" customWidth="1"/>
    <col min="34" max="34" width="14.85546875" style="1" customWidth="1"/>
    <col min="35" max="35" width="10" style="1" bestFit="1" customWidth="1"/>
    <col min="36" max="36" width="10" style="1" customWidth="1"/>
    <col min="37" max="37" width="14.42578125" style="3" bestFit="1" customWidth="1"/>
    <col min="38" max="38" width="6" style="4" bestFit="1" customWidth="1"/>
    <col min="39" max="39" width="7" style="1" bestFit="1" customWidth="1"/>
    <col min="40" max="40" width="14.42578125" style="3" bestFit="1" customWidth="1"/>
    <col min="41" max="43" width="14.42578125" style="2" customWidth="1"/>
    <col min="44" max="44" width="12.42578125" style="4" bestFit="1" customWidth="1"/>
    <col min="45" max="45" width="10.140625" style="1" bestFit="1" customWidth="1"/>
    <col min="46" max="46" width="19.85546875" style="1" bestFit="1" customWidth="1"/>
    <col min="47" max="47" width="10.140625" style="1" bestFit="1" customWidth="1"/>
    <col min="48" max="48" width="15.42578125" style="2" customWidth="1"/>
    <col min="49" max="49" width="14.42578125" style="2" customWidth="1"/>
    <col min="50" max="52" width="16.140625" style="2" customWidth="1"/>
    <col min="53" max="56" width="9.140625" style="1"/>
    <col min="57" max="57" width="15.28515625" style="1" customWidth="1"/>
    <col min="58" max="58" width="13.7109375" style="1" customWidth="1"/>
    <col min="59" max="16384" width="9.140625" style="1"/>
  </cols>
  <sheetData>
    <row r="1" spans="1:58" s="229" customFormat="1" ht="22.35" customHeight="1">
      <c r="A1" s="245"/>
      <c r="B1" s="244"/>
      <c r="C1" s="243"/>
      <c r="D1" s="242"/>
      <c r="E1" s="241" t="s">
        <v>263</v>
      </c>
      <c r="F1" s="240"/>
      <c r="G1" s="240"/>
      <c r="H1" s="240"/>
      <c r="I1" s="240"/>
      <c r="J1" s="239"/>
      <c r="K1" s="241" t="s">
        <v>262</v>
      </c>
      <c r="L1" s="240"/>
      <c r="M1" s="239"/>
      <c r="N1" s="238" t="s">
        <v>261</v>
      </c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6"/>
      <c r="AC1" s="235" t="s">
        <v>260</v>
      </c>
      <c r="AD1" s="234"/>
      <c r="AE1" s="234"/>
      <c r="AF1" s="234"/>
      <c r="AG1" s="234"/>
      <c r="AH1" s="234"/>
      <c r="AI1" s="234"/>
      <c r="AJ1" s="234"/>
      <c r="AK1" s="233"/>
      <c r="AL1" s="235" t="s">
        <v>259</v>
      </c>
      <c r="AM1" s="234"/>
      <c r="AN1" s="233"/>
      <c r="AO1" s="232" t="s">
        <v>258</v>
      </c>
      <c r="AP1" s="230"/>
      <c r="AQ1" s="230"/>
      <c r="AR1" s="232" t="s">
        <v>257</v>
      </c>
      <c r="AS1" s="231"/>
      <c r="AT1" s="231"/>
      <c r="AU1" s="231"/>
      <c r="AV1" s="231"/>
      <c r="AW1" s="231"/>
      <c r="AX1" s="231"/>
      <c r="AY1" s="231"/>
      <c r="AZ1" s="231"/>
    </row>
    <row r="2" spans="1:58" s="181" customFormat="1" ht="26.1" customHeight="1">
      <c r="A2" s="210"/>
      <c r="B2" s="11"/>
      <c r="C2" s="1"/>
      <c r="D2" s="216"/>
      <c r="E2" s="221" t="s">
        <v>256</v>
      </c>
      <c r="F2" s="220" t="s">
        <v>256</v>
      </c>
      <c r="G2" s="220" t="s">
        <v>255</v>
      </c>
      <c r="H2" s="220" t="s">
        <v>254</v>
      </c>
      <c r="I2" s="220" t="s">
        <v>253</v>
      </c>
      <c r="J2" s="219" t="s">
        <v>253</v>
      </c>
      <c r="K2" s="221" t="s">
        <v>252</v>
      </c>
      <c r="L2" s="220" t="s">
        <v>251</v>
      </c>
      <c r="M2" s="219" t="s">
        <v>250</v>
      </c>
      <c r="N2" s="228" t="s">
        <v>249</v>
      </c>
      <c r="O2" s="228" t="s">
        <v>246</v>
      </c>
      <c r="P2" s="228" t="s">
        <v>245</v>
      </c>
      <c r="Q2" s="228" t="s">
        <v>246</v>
      </c>
      <c r="R2" s="228" t="s">
        <v>245</v>
      </c>
      <c r="S2" s="228" t="s">
        <v>248</v>
      </c>
      <c r="T2" s="228" t="s">
        <v>247</v>
      </c>
      <c r="U2" s="228" t="s">
        <v>246</v>
      </c>
      <c r="V2" s="228" t="s">
        <v>245</v>
      </c>
      <c r="W2" s="228" t="s">
        <v>244</v>
      </c>
      <c r="X2" s="228" t="s">
        <v>243</v>
      </c>
      <c r="Y2" s="228" t="s">
        <v>242</v>
      </c>
      <c r="Z2" s="228" t="s">
        <v>241</v>
      </c>
      <c r="AA2" s="228" t="s">
        <v>240</v>
      </c>
      <c r="AB2" s="227" t="s">
        <v>239</v>
      </c>
      <c r="AC2" s="226" t="s">
        <v>238</v>
      </c>
      <c r="AD2" s="210" t="s">
        <v>237</v>
      </c>
      <c r="AE2" s="210" t="s">
        <v>236</v>
      </c>
      <c r="AF2" s="210" t="s">
        <v>235</v>
      </c>
      <c r="AG2" s="210" t="s">
        <v>234</v>
      </c>
      <c r="AH2" s="210" t="s">
        <v>233</v>
      </c>
      <c r="AI2" s="210" t="s">
        <v>232</v>
      </c>
      <c r="AJ2" s="227" t="s">
        <v>231</v>
      </c>
      <c r="AK2" s="227" t="s">
        <v>230</v>
      </c>
      <c r="AL2" s="226" t="s">
        <v>229</v>
      </c>
      <c r="AM2" s="210" t="s">
        <v>228</v>
      </c>
      <c r="AN2" s="227" t="s">
        <v>227</v>
      </c>
      <c r="AO2" s="220" t="s">
        <v>226</v>
      </c>
      <c r="AP2" s="220" t="s">
        <v>226</v>
      </c>
      <c r="AQ2" s="220" t="s">
        <v>225</v>
      </c>
      <c r="AR2" s="225" t="s">
        <v>220</v>
      </c>
      <c r="AS2" s="222" t="s">
        <v>219</v>
      </c>
      <c r="AT2" s="222" t="s">
        <v>218</v>
      </c>
      <c r="AU2" s="222" t="s">
        <v>217</v>
      </c>
      <c r="AV2" s="224" t="s">
        <v>216</v>
      </c>
      <c r="AW2" s="224" t="s">
        <v>215</v>
      </c>
      <c r="AX2" s="224" t="s">
        <v>214</v>
      </c>
      <c r="AY2" s="224" t="s">
        <v>224</v>
      </c>
      <c r="AZ2" s="224" t="s">
        <v>223</v>
      </c>
      <c r="BA2" s="223" t="s">
        <v>220</v>
      </c>
      <c r="BB2" s="222" t="s">
        <v>219</v>
      </c>
      <c r="BC2" s="222" t="s">
        <v>218</v>
      </c>
      <c r="BD2" s="222" t="s">
        <v>217</v>
      </c>
      <c r="BE2" s="181" t="s">
        <v>222</v>
      </c>
      <c r="BF2" s="181" t="s">
        <v>221</v>
      </c>
    </row>
    <row r="3" spans="1:58" s="181" customFormat="1" ht="16.5" thickBot="1">
      <c r="A3" s="210"/>
      <c r="B3" s="11" t="s">
        <v>213</v>
      </c>
      <c r="C3" s="1"/>
      <c r="D3" s="216"/>
      <c r="E3" s="221" t="s">
        <v>210</v>
      </c>
      <c r="F3" s="220" t="s">
        <v>210</v>
      </c>
      <c r="G3" s="220" t="s">
        <v>210</v>
      </c>
      <c r="H3" s="220" t="s">
        <v>210</v>
      </c>
      <c r="I3" s="220" t="s">
        <v>210</v>
      </c>
      <c r="J3" s="219" t="s">
        <v>210</v>
      </c>
      <c r="K3" s="221"/>
      <c r="L3" s="220"/>
      <c r="M3" s="219"/>
      <c r="N3" s="218" t="s">
        <v>210</v>
      </c>
      <c r="O3" s="218" t="s">
        <v>210</v>
      </c>
      <c r="P3" s="218" t="s">
        <v>210</v>
      </c>
      <c r="Q3" s="218" t="s">
        <v>212</v>
      </c>
      <c r="R3" s="218" t="s">
        <v>212</v>
      </c>
      <c r="S3" s="218" t="s">
        <v>212</v>
      </c>
      <c r="T3" s="218" t="s">
        <v>212</v>
      </c>
      <c r="U3" s="218" t="s">
        <v>210</v>
      </c>
      <c r="V3" s="218" t="s">
        <v>210</v>
      </c>
      <c r="W3" s="218" t="s">
        <v>212</v>
      </c>
      <c r="X3" s="218" t="s">
        <v>210</v>
      </c>
      <c r="Y3" s="218" t="s">
        <v>210</v>
      </c>
      <c r="Z3" s="218" t="s">
        <v>211</v>
      </c>
      <c r="AA3" s="218" t="s">
        <v>211</v>
      </c>
      <c r="AB3" s="216" t="s">
        <v>209</v>
      </c>
      <c r="AC3" s="217" t="s">
        <v>210</v>
      </c>
      <c r="AD3" s="181" t="s">
        <v>210</v>
      </c>
      <c r="AE3" s="181" t="s">
        <v>210</v>
      </c>
      <c r="AF3" s="181" t="s">
        <v>210</v>
      </c>
      <c r="AG3" s="181" t="s">
        <v>210</v>
      </c>
      <c r="AH3" s="181" t="s">
        <v>209</v>
      </c>
      <c r="AI3" s="181" t="s">
        <v>211</v>
      </c>
      <c r="AJ3" s="216" t="s">
        <v>209</v>
      </c>
      <c r="AK3" s="216" t="s">
        <v>209</v>
      </c>
      <c r="AL3" s="217" t="s">
        <v>210</v>
      </c>
      <c r="AM3" s="181" t="s">
        <v>210</v>
      </c>
      <c r="AN3" s="216" t="s">
        <v>209</v>
      </c>
      <c r="AO3" s="215"/>
      <c r="AP3" s="215" t="s">
        <v>77</v>
      </c>
      <c r="AQ3" s="215"/>
      <c r="AR3" s="214" t="s">
        <v>188</v>
      </c>
      <c r="AS3" s="208" t="s">
        <v>187</v>
      </c>
      <c r="AT3" s="208" t="s">
        <v>186</v>
      </c>
      <c r="AU3" s="208" t="s">
        <v>185</v>
      </c>
      <c r="AV3" s="213" t="s">
        <v>208</v>
      </c>
      <c r="AW3" s="213" t="s">
        <v>207</v>
      </c>
      <c r="AX3" s="213" t="s">
        <v>206</v>
      </c>
      <c r="AY3" s="213" t="s">
        <v>205</v>
      </c>
      <c r="AZ3" s="213" t="s">
        <v>204</v>
      </c>
      <c r="BA3" s="209" t="s">
        <v>188</v>
      </c>
      <c r="BB3" s="208" t="s">
        <v>187</v>
      </c>
      <c r="BC3" s="208" t="s">
        <v>186</v>
      </c>
      <c r="BD3" s="208" t="s">
        <v>185</v>
      </c>
      <c r="BE3" s="1" t="s">
        <v>203</v>
      </c>
      <c r="BF3" s="1" t="s">
        <v>202</v>
      </c>
    </row>
    <row r="4" spans="1:58" ht="18" thickBot="1">
      <c r="A4" s="212"/>
      <c r="B4" s="211" t="s">
        <v>201</v>
      </c>
      <c r="D4" s="3" t="s">
        <v>200</v>
      </c>
      <c r="E4" s="10" t="s">
        <v>197</v>
      </c>
      <c r="F4" s="9" t="s">
        <v>196</v>
      </c>
      <c r="G4" s="9" t="s">
        <v>199</v>
      </c>
      <c r="H4" s="9" t="s">
        <v>198</v>
      </c>
      <c r="I4" s="9" t="s">
        <v>197</v>
      </c>
      <c r="J4" s="8" t="s">
        <v>196</v>
      </c>
      <c r="AS4" s="102" t="s">
        <v>195</v>
      </c>
      <c r="AT4" s="102" t="s">
        <v>194</v>
      </c>
      <c r="AU4" s="102" t="s">
        <v>193</v>
      </c>
      <c r="AW4" s="102" t="s">
        <v>192</v>
      </c>
      <c r="AX4" s="102" t="s">
        <v>191</v>
      </c>
      <c r="AY4" s="102"/>
      <c r="AZ4" s="102"/>
    </row>
    <row r="5" spans="1:58" s="27" customFormat="1" ht="15" customHeight="1">
      <c r="A5" s="39" t="s">
        <v>190</v>
      </c>
      <c r="B5" s="38">
        <v>45265</v>
      </c>
      <c r="D5" s="29">
        <v>0</v>
      </c>
      <c r="E5" s="37"/>
      <c r="F5" s="36"/>
      <c r="G5" s="36"/>
      <c r="H5" s="36"/>
      <c r="I5" s="36"/>
      <c r="J5" s="35" t="s">
        <v>189</v>
      </c>
      <c r="K5" s="37"/>
      <c r="L5" s="36"/>
      <c r="M5" s="35"/>
      <c r="N5" s="34"/>
      <c r="O5" s="33"/>
      <c r="P5" s="33"/>
      <c r="Q5" s="33"/>
      <c r="R5" s="33"/>
      <c r="S5" s="33"/>
      <c r="T5" s="33"/>
      <c r="U5" s="33"/>
      <c r="V5" s="33"/>
      <c r="W5" s="33"/>
      <c r="X5" s="33">
        <v>9.5399999999999991</v>
      </c>
      <c r="Y5" s="33"/>
      <c r="Z5" s="33"/>
      <c r="AA5" s="33"/>
      <c r="AB5" s="74">
        <v>80</v>
      </c>
      <c r="AC5" s="32"/>
      <c r="AJ5" s="27">
        <v>175</v>
      </c>
      <c r="AK5" s="29">
        <v>180</v>
      </c>
      <c r="AL5" s="32"/>
      <c r="AN5" s="87">
        <f>360-AK5-AB5</f>
        <v>100</v>
      </c>
      <c r="AO5" s="28"/>
      <c r="AP5" s="13">
        <f>AVERAGE(AO5:AO11)</f>
        <v>3740.0000000000091</v>
      </c>
      <c r="AQ5" s="2" t="str">
        <f>IF(ISNUMBER([2]HRT_SRT!R59),[2]HRT_SRT!R59,"")</f>
        <v/>
      </c>
      <c r="AR5" s="31" t="e">
        <f>(E5-W5)/E5</f>
        <v>#DIV/0!</v>
      </c>
      <c r="AS5" s="30" t="e">
        <f>(I5-AF5)/I5</f>
        <v>#DIV/0!</v>
      </c>
      <c r="AT5" s="16" t="e">
        <f>AG5/(AD5-AF5)</f>
        <v>#DIV/0!</v>
      </c>
      <c r="AU5" s="30" t="e">
        <f>(G5-AM5)/G5</f>
        <v>#DIV/0!</v>
      </c>
      <c r="AV5" s="57" t="str">
        <f>IF(AND(ISNUMBER(E5),ISNUMBER(W5)),E5-W5,"")</f>
        <v/>
      </c>
      <c r="AW5" s="57" t="str">
        <f>IF(AND(ISNUMBER(I5),ISNUMBER(AF5)),I5-AF5,"")</f>
        <v/>
      </c>
      <c r="AX5" s="57" t="str">
        <f>IF(AND(ISNUMBER(AM5),ISNUMBER(G5)),G5-AM5,"")</f>
        <v/>
      </c>
      <c r="AY5" s="57"/>
      <c r="AZ5" s="57"/>
      <c r="BE5" s="6" t="str">
        <f>IF((AD5-AF5)/(AJ5/60)&lt;=0,"",(AD5-AF5)/(AJ5/60))</f>
        <v/>
      </c>
      <c r="BF5" s="6" t="str">
        <f>IF(OR(AJ5=0,AP4=0,NOT(ISNUMBER(AD5)),NOT(ISNUMBER(AF5)),NOT(ISNUMBER(AJ5)),NOT(ISNUMBER(AP4))),"",
IFERROR(IF((AD6-AF6)/(AJ6/60)/(AP5/1000)&lt;=0,"",(AD6-AF6)/(AJ6/60)/(AP5/1000)),""))</f>
        <v/>
      </c>
    </row>
    <row r="6" spans="1:58" ht="15" customHeight="1">
      <c r="A6" s="25" t="s">
        <v>184</v>
      </c>
      <c r="B6" s="11">
        <v>45266</v>
      </c>
      <c r="D6" s="3">
        <v>1</v>
      </c>
      <c r="E6" s="205">
        <f>IF(OR(S6="",S6=0),"",S6*2)</f>
        <v>69.676000000000002</v>
      </c>
      <c r="F6" s="15"/>
      <c r="G6" s="15">
        <f>(N6*18.5-H6*11)/9</f>
        <v>9.0499999999999989</v>
      </c>
      <c r="H6" s="15">
        <f>5*4.54</f>
        <v>22.7</v>
      </c>
      <c r="I6" s="15">
        <f>AD6</f>
        <v>4.49</v>
      </c>
      <c r="K6" s="10">
        <f>IF(OR(E6="",G6="",E6=0,G6=0),"",E6/G6)</f>
        <v>7.6990055248618798</v>
      </c>
      <c r="L6" s="9">
        <f>IF(OR(E6="",I6="",E6=0,I6=0),"",E6/(I6*2))</f>
        <v>7.7590200445434299</v>
      </c>
      <c r="M6" s="8">
        <f>IF(OR(I6="",G6="",I6=0,G6=0),"",I6*2/G6)</f>
        <v>0.99226519337016594</v>
      </c>
      <c r="N6" s="7">
        <f>5*3.58</f>
        <v>17.899999999999999</v>
      </c>
      <c r="S6" s="6">
        <v>34.838000000000001</v>
      </c>
      <c r="T6" s="6">
        <f>10*2.9</f>
        <v>29</v>
      </c>
      <c r="W6" s="6">
        <v>2.87</v>
      </c>
      <c r="X6" s="6">
        <v>1.1200000000000001</v>
      </c>
      <c r="Y6" s="6">
        <v>0.23</v>
      </c>
      <c r="Z6" s="6">
        <v>-72</v>
      </c>
      <c r="AA6" s="6">
        <v>-165</v>
      </c>
      <c r="AB6" s="5">
        <v>80</v>
      </c>
      <c r="AC6" s="7">
        <f>T6</f>
        <v>29</v>
      </c>
      <c r="AD6" s="1">
        <v>4.49</v>
      </c>
      <c r="AE6" s="1">
        <f>10*3.48</f>
        <v>34.799999999999997</v>
      </c>
      <c r="AF6" s="1">
        <v>1.0000000000000001E-5</v>
      </c>
      <c r="AI6" s="1">
        <f>-163</f>
        <v>-163</v>
      </c>
      <c r="AJ6" s="1">
        <v>175</v>
      </c>
      <c r="AK6" s="3">
        <v>180</v>
      </c>
      <c r="AL6" s="4">
        <f>AE6</f>
        <v>34.799999999999997</v>
      </c>
      <c r="AM6" s="1">
        <f>5*1.39</f>
        <v>6.9499999999999993</v>
      </c>
      <c r="AN6" s="80">
        <f>360-AK6-AB6</f>
        <v>100</v>
      </c>
      <c r="AO6" s="165"/>
      <c r="AP6" s="13">
        <f>AVERAGE(AO6:AO12)</f>
        <v>3740.0000000000091</v>
      </c>
      <c r="AQ6" s="207" t="str">
        <f>IF(ISNUMBER([2]HRT_SRT!R60),[2]HRT_SRT!R60,"")</f>
        <v/>
      </c>
      <c r="AR6" s="17">
        <f>(E6-W6)/E6</f>
        <v>0.95880934611630975</v>
      </c>
      <c r="AS6" s="16">
        <f>(I6-AF6)/I6</f>
        <v>0.99999777282850788</v>
      </c>
      <c r="AT6" s="16">
        <f>AG6/(AD6-AF6)</f>
        <v>0</v>
      </c>
      <c r="AU6" s="16">
        <f>(G6-AM6)/G6</f>
        <v>0.23204419889502761</v>
      </c>
      <c r="AV6" s="57">
        <f>IF(AND(ISNUMBER(E6),ISNUMBER(W6)),E6-W6,"")</f>
        <v>66.805999999999997</v>
      </c>
      <c r="AW6" s="57">
        <f>IF(AND(ISNUMBER(I6),ISNUMBER(AF6)),I6-AF6,"")</f>
        <v>4.4899900000000006</v>
      </c>
      <c r="AX6" s="57">
        <f>IF(AND(ISNUMBER(AM6),ISNUMBER(G6)),G6-AM6,"")</f>
        <v>2.0999999999999996</v>
      </c>
      <c r="AY6" s="57">
        <f>IF(AND(ISNUMBER(AC6),ISNUMBER(AE6)),AC6-AE6,"")</f>
        <v>-5.7999999999999972</v>
      </c>
      <c r="AZ6" s="57">
        <f>IF(AND(ISNUMBER(AL6),ISNUMBER(AM6)),AL6-AM6,"")</f>
        <v>27.849999999999998</v>
      </c>
      <c r="BA6" s="84">
        <f>IF(AND($E6&gt;0,$W6&gt;0),IF(($E6-$W6)/$E6&gt;0,($E6-$W6)/$E6,0),"")</f>
        <v>0.95880934611630975</v>
      </c>
      <c r="BB6" s="84">
        <f>IF(AND($I6&gt;0,$AF6&gt;=0),IF(($I6-$AF6)/$I6&gt;0,($I6-$AF6)/$I6,0),"")</f>
        <v>0.99999777282850788</v>
      </c>
      <c r="BC6" s="84">
        <f>IF(AND($AG6&gt;=0,$AD6&gt;=0,$AF6&gt;=0),IF($AG6/($AD6-$AF6)&gt;0,$AG6/($AD6-$AF6),0),"")</f>
        <v>0</v>
      </c>
      <c r="BD6" s="84">
        <f>IF(AND($G6&gt;0,$AM6&gt;0),IF(($G6-$AM6)/$G6&gt;0,($G6-$AM6)/$G6,0),"")</f>
        <v>0.23204419889502761</v>
      </c>
      <c r="BE6" s="6">
        <f>IF((AD6-AF6)/(AJ6/60)&lt;=0,"",(AD6-AF6)/(AJ6/60))</f>
        <v>1.539425142857143</v>
      </c>
      <c r="BF6" s="6">
        <f>IF(OR(AJ6=0,AP6=0,NOT(ISNUMBER(AD6)),NOT(ISNUMBER(AF6)),NOT(ISNUMBER(AJ6)),NOT(ISNUMBER(AP6))),"",
IFERROR(IF((AD6-AF6)/(AJ6/60)/(AP6/1000)&lt;=0,"",(AD6-AF6)/(AJ6/60)/(AP6/1000)),""))</f>
        <v>0.41161100076394097</v>
      </c>
    </row>
    <row r="7" spans="1:58" ht="15" customHeight="1">
      <c r="A7" s="39"/>
      <c r="B7" s="167">
        <v>45267</v>
      </c>
      <c r="C7" s="166"/>
      <c r="D7" s="136">
        <v>2</v>
      </c>
      <c r="E7" s="205">
        <f t="shared" ref="E7:E70" si="0">IF(OR(S7="",S7=0),"",S7*2)</f>
        <v>71.676000000000002</v>
      </c>
      <c r="G7" s="124">
        <f>(N7*18.5-H7*11)/9</f>
        <v>9.0499999999999989</v>
      </c>
      <c r="H7" s="124">
        <f>5*4.54</f>
        <v>22.7</v>
      </c>
      <c r="I7" s="15">
        <f>AD7</f>
        <v>4.49</v>
      </c>
      <c r="K7" s="10">
        <f t="shared" ref="K7:K36" si="1">IF(OR(E7="",G7="",E7=0,G7=0),"",E7/G7)</f>
        <v>7.9200000000000008</v>
      </c>
      <c r="L7" s="9">
        <f t="shared" ref="L7:L36" si="2">IF(OR(E7="",I7="",E7=0,I7=0),"",E7/(I7*2))</f>
        <v>7.9817371937639194</v>
      </c>
      <c r="M7" s="8">
        <f t="shared" ref="M7:M36" si="3">IF(OR(I7="",G7="",I7=0,G7=0),"",I7*2/G7)</f>
        <v>0.99226519337016594</v>
      </c>
      <c r="N7" s="206">
        <f>5*3.58</f>
        <v>17.899999999999999</v>
      </c>
      <c r="O7" s="124"/>
      <c r="P7" s="124"/>
      <c r="Q7" s="124"/>
      <c r="R7" s="124"/>
      <c r="S7" s="124">
        <v>35.838000000000001</v>
      </c>
      <c r="T7" s="124">
        <f>10*2.9</f>
        <v>29</v>
      </c>
      <c r="U7" s="124"/>
      <c r="V7" s="124"/>
      <c r="W7" s="124">
        <v>2.87</v>
      </c>
      <c r="X7" s="124">
        <v>2.06</v>
      </c>
      <c r="Y7" s="124">
        <v>0.23</v>
      </c>
      <c r="Z7" s="124">
        <v>-72</v>
      </c>
      <c r="AA7" s="124">
        <v>-165</v>
      </c>
      <c r="AB7" s="5">
        <v>80</v>
      </c>
      <c r="AC7" s="7">
        <f>T7</f>
        <v>29</v>
      </c>
      <c r="AD7" s="168">
        <v>4.49</v>
      </c>
      <c r="AE7" s="168">
        <f>10*3.48</f>
        <v>34.799999999999997</v>
      </c>
      <c r="AF7" s="168">
        <v>1.0000000000000001E-5</v>
      </c>
      <c r="AI7" s="168">
        <f>-163</f>
        <v>-163</v>
      </c>
      <c r="AJ7" s="1">
        <v>175</v>
      </c>
      <c r="AK7" s="3">
        <v>180</v>
      </c>
      <c r="AL7" s="4">
        <f>AE7</f>
        <v>34.799999999999997</v>
      </c>
      <c r="AM7" s="168">
        <f>5*1.39</f>
        <v>6.9499999999999993</v>
      </c>
      <c r="AN7" s="80">
        <f>360-AK7-AB7</f>
        <v>100</v>
      </c>
      <c r="AO7" s="165">
        <v>3740.0000000000091</v>
      </c>
      <c r="AP7" s="13">
        <f>AVERAGE(AO5:AO11)</f>
        <v>3740.0000000000091</v>
      </c>
      <c r="AQ7" s="15">
        <f>IF(ISNUMBER([2]HRT_SRT!R61),[2]HRT_SRT!R61,"")</f>
        <v>47.341772151898304</v>
      </c>
      <c r="AR7" s="17">
        <f>(E7-W7)/E7</f>
        <v>0.95995870305262565</v>
      </c>
      <c r="AS7" s="16">
        <f>(I7-AF7)/I7</f>
        <v>0.99999777282850788</v>
      </c>
      <c r="AT7" s="16">
        <f>AG7/(AD7-AF7)</f>
        <v>0</v>
      </c>
      <c r="AU7" s="16">
        <f>(G7-AM7)/G7</f>
        <v>0.23204419889502761</v>
      </c>
      <c r="AV7" s="57">
        <f>IF(AND(ISNUMBER(E7),ISNUMBER(W7)),E7-W7,"")</f>
        <v>68.805999999999997</v>
      </c>
      <c r="AW7" s="57">
        <f>IF(AND(ISNUMBER(I7),ISNUMBER(AF7)),I7-AF7,"")</f>
        <v>4.4899900000000006</v>
      </c>
      <c r="AX7" s="57">
        <f>IF(AND(ISNUMBER(AM7),ISNUMBER(G7)),G7-AM7,"")</f>
        <v>2.0999999999999996</v>
      </c>
      <c r="AY7" s="57">
        <f>IF(AND(ISNUMBER(AC7),ISNUMBER(AE7)),AC7-AE7,"")</f>
        <v>-5.7999999999999972</v>
      </c>
      <c r="AZ7" s="57">
        <f>IF(AND(ISNUMBER(AL7),ISNUMBER(AM7)),AL7-AM7,"")</f>
        <v>27.849999999999998</v>
      </c>
      <c r="BA7" s="84">
        <f>IF(AND($E7&gt;0,$W7&gt;0),IF(($E7-$W7)/$E7&gt;0,($E7-$W7)/$E7,0),"")</f>
        <v>0.95995870305262565</v>
      </c>
      <c r="BB7" s="84">
        <f>IF(AND($I7&gt;0,$AF7&gt;=0),IF(($I7-$AF7)/$I7&gt;0,($I7-$AF7)/$I7,0),"")</f>
        <v>0.99999777282850788</v>
      </c>
      <c r="BC7" s="84">
        <f>IF(AND($AG7&gt;=0,$AD7&gt;=0,$AF7&gt;=0),IF($AG7/($AD7-$AF7)&gt;0,$AG7/($AD7-$AF7),0),"")</f>
        <v>0</v>
      </c>
      <c r="BD7" s="84">
        <f>IF(AND($G7&gt;0,$AM7&gt;0),IF(($G7-$AM7)/$G7&gt;0,($G7-$AM7)/$G7,0),"")</f>
        <v>0.23204419889502761</v>
      </c>
      <c r="BE7" s="6">
        <f>IF((AD7-AF7)/(AJ7/60)&lt;=0,"",(AD7-AF7)/(AJ7/60))</f>
        <v>1.539425142857143</v>
      </c>
      <c r="BF7" s="6">
        <f>IF(OR(AJ7=0,AP7=0,NOT(ISNUMBER(AD7)),NOT(ISNUMBER(AF7)),NOT(ISNUMBER(AJ7)),NOT(ISNUMBER(AP7))),"",
IFERROR(IF((AD7-AF7)/(AJ7/60)/(AP7/1000)&lt;=0,"",(AD7-AF7)/(AJ7/60)/(AP7/1000)),""))</f>
        <v>0.41161100076394097</v>
      </c>
    </row>
    <row r="8" spans="1:58" ht="15" customHeight="1">
      <c r="B8" s="11">
        <v>45268</v>
      </c>
      <c r="D8" s="3">
        <v>3</v>
      </c>
      <c r="E8" s="205" t="str">
        <f t="shared" si="0"/>
        <v/>
      </c>
      <c r="G8" s="124">
        <v>9.0499999999999989</v>
      </c>
      <c r="K8" s="10" t="str">
        <f t="shared" si="1"/>
        <v/>
      </c>
      <c r="L8" s="9" t="str">
        <f t="shared" si="2"/>
        <v/>
      </c>
      <c r="M8" s="8" t="str">
        <f t="shared" si="3"/>
        <v/>
      </c>
      <c r="X8" s="6">
        <v>5.61</v>
      </c>
      <c r="AB8" s="5">
        <v>80</v>
      </c>
      <c r="AC8" s="7">
        <f>T8</f>
        <v>0</v>
      </c>
      <c r="AJ8" s="1">
        <v>175</v>
      </c>
      <c r="AK8" s="3">
        <v>180</v>
      </c>
      <c r="AL8" s="4">
        <f>AE8</f>
        <v>0</v>
      </c>
      <c r="AN8" s="80">
        <f>360-AK8-AB8</f>
        <v>100</v>
      </c>
      <c r="AO8" s="165"/>
      <c r="AP8" s="13">
        <f>AVERAGE(AO6:AO12)</f>
        <v>3740.0000000000091</v>
      </c>
      <c r="AQ8" s="15" t="str">
        <f>IF(ISNUMBER([2]HRT_SRT!R62),[2]HRT_SRT!R62,"")</f>
        <v/>
      </c>
      <c r="AR8" s="17" t="e">
        <f>(E8-W8)/E8</f>
        <v>#VALUE!</v>
      </c>
      <c r="AS8" s="16" t="e">
        <f>(I8-AF8)/I8</f>
        <v>#DIV/0!</v>
      </c>
      <c r="AT8" s="16" t="e">
        <f>AG8/(AD8-AF8)</f>
        <v>#DIV/0!</v>
      </c>
      <c r="AU8" s="16">
        <f>(G8-AM8)/G8</f>
        <v>1</v>
      </c>
      <c r="AV8" s="57" t="str">
        <f>IF(AND(ISNUMBER(E8),ISNUMBER(W8)),E8-W8,"")</f>
        <v/>
      </c>
      <c r="AW8" s="57" t="str">
        <f>IF(AND(ISNUMBER(I8),ISNUMBER(AF8)),I8-AF8,"")</f>
        <v/>
      </c>
      <c r="AX8" s="57" t="str">
        <f>IF(AND(ISNUMBER(AM8),ISNUMBER(G8)),G8-AM8,"")</f>
        <v/>
      </c>
      <c r="AY8" s="57" t="str">
        <f>IF(AND(ISNUMBER(AC8),ISNUMBER(AE8)),AC8-AE8,"")</f>
        <v/>
      </c>
      <c r="AZ8" s="57" t="str">
        <f>IF(AND(ISNUMBER(AL8),ISNUMBER(AM8)),AL8-AM8,"")</f>
        <v/>
      </c>
      <c r="BA8" s="84" t="str">
        <f>IF(AND($E8&gt;0,$W8&gt;0),IF(($E8-$W8)/$E8&gt;0,($E8-$W8)/$E8,0),"")</f>
        <v/>
      </c>
      <c r="BB8" s="84" t="str">
        <f>IF(AND($I8&gt;0,$AF8&gt;=0),IF(($I8-$AF8)/$I8&gt;0,($I8-$AF8)/$I8,0),"")</f>
        <v/>
      </c>
      <c r="BC8" s="84" t="e">
        <f>IF(AND($AG8&gt;=0,$AD8&gt;=0,$AF8&gt;=0),IF($AG8/($AD8-$AF8)&gt;0,$AG8/($AD8-$AF8),0),"")</f>
        <v>#DIV/0!</v>
      </c>
      <c r="BD8" s="84" t="str">
        <f>IF(AND($G8&gt;0,$AM8&gt;0),IF(($G8-$AM8)/$G8&gt;0,($G8-$AM8)/$G8,0),"")</f>
        <v/>
      </c>
      <c r="BE8" s="6" t="str">
        <f>IF((AD8-AF8)/(AJ8/60)&lt;=0,"",(AD8-AF8)/(AJ8/60))</f>
        <v/>
      </c>
      <c r="BF8" s="6" t="str">
        <f>IF(OR(AJ8=0,AP8=0,NOT(ISNUMBER(AD8)),NOT(ISNUMBER(AF8)),NOT(ISNUMBER(AJ8)),NOT(ISNUMBER(AP8))),"",
IFERROR(IF((AD8-AF8)/(AJ8/60)/(AP8/1000)&lt;=0,"",(AD8-AF8)/(AJ8/60)/(AP8/1000)),""))</f>
        <v/>
      </c>
    </row>
    <row r="9" spans="1:58" ht="15" customHeight="1">
      <c r="B9" s="11">
        <v>45269</v>
      </c>
      <c r="D9" s="3">
        <v>4</v>
      </c>
      <c r="E9" s="205" t="str">
        <f t="shared" si="0"/>
        <v/>
      </c>
      <c r="G9" s="124">
        <v>9.0499999999999989</v>
      </c>
      <c r="K9" s="10" t="str">
        <f t="shared" si="1"/>
        <v/>
      </c>
      <c r="L9" s="9" t="str">
        <f t="shared" si="2"/>
        <v/>
      </c>
      <c r="M9" s="8" t="str">
        <f t="shared" si="3"/>
        <v/>
      </c>
      <c r="X9" s="6">
        <v>9.49</v>
      </c>
      <c r="AB9" s="5">
        <v>80</v>
      </c>
      <c r="AC9" s="7">
        <f>T9</f>
        <v>0</v>
      </c>
      <c r="AJ9" s="1">
        <v>175</v>
      </c>
      <c r="AK9" s="3">
        <v>180</v>
      </c>
      <c r="AL9" s="4">
        <f>AE9</f>
        <v>0</v>
      </c>
      <c r="AN9" s="80">
        <f>360-AK9-AB9</f>
        <v>100</v>
      </c>
      <c r="AO9" s="165"/>
      <c r="AP9" s="13">
        <f>AVERAGE(AO7:AO13)</f>
        <v>3740.0000000000091</v>
      </c>
      <c r="AQ9" s="15" t="str">
        <f>IF(ISNUMBER([2]HRT_SRT!R63),[2]HRT_SRT!R63,"")</f>
        <v/>
      </c>
      <c r="AR9" s="17" t="e">
        <f>(E9-W9)/E9</f>
        <v>#VALUE!</v>
      </c>
      <c r="AS9" s="16" t="e">
        <f>(I9-AF9)/I9</f>
        <v>#DIV/0!</v>
      </c>
      <c r="AT9" s="16" t="e">
        <f>AG9/(AD9-AF9)</f>
        <v>#DIV/0!</v>
      </c>
      <c r="AU9" s="16">
        <f>(G9-AM9)/G9</f>
        <v>1</v>
      </c>
      <c r="AV9" s="57" t="str">
        <f>IF(AND(ISNUMBER(E9),ISNUMBER(W9)),E9-W9,"")</f>
        <v/>
      </c>
      <c r="AW9" s="57" t="str">
        <f>IF(AND(ISNUMBER(I9),ISNUMBER(AF9)),I9-AF9,"")</f>
        <v/>
      </c>
      <c r="AX9" s="57" t="str">
        <f>IF(AND(ISNUMBER(AM9),ISNUMBER(G9)),G9-AM9,"")</f>
        <v/>
      </c>
      <c r="AY9" s="57" t="str">
        <f>IF(AND(ISNUMBER(AC9),ISNUMBER(AE9)),AC9-AE9,"")</f>
        <v/>
      </c>
      <c r="AZ9" s="57" t="str">
        <f>IF(AND(ISNUMBER(AL9),ISNUMBER(AM9)),AL9-AM9,"")</f>
        <v/>
      </c>
      <c r="BA9" s="84" t="str">
        <f>IF(AND($E9&gt;0,$W9&gt;0),IF(($E9-$W9)/$E9&gt;0,($E9-$W9)/$E9,0),"")</f>
        <v/>
      </c>
      <c r="BB9" s="84" t="str">
        <f>IF(AND($I9&gt;0,$AF9&gt;=0),IF(($I9-$AF9)/$I9&gt;0,($I9-$AF9)/$I9,0),"")</f>
        <v/>
      </c>
      <c r="BC9" s="84" t="e">
        <f>IF(AND($AG9&gt;=0,$AD9&gt;=0,$AF9&gt;=0),IF($AG9/($AD9-$AF9)&gt;0,$AG9/($AD9-$AF9),0),"")</f>
        <v>#DIV/0!</v>
      </c>
      <c r="BD9" s="84" t="str">
        <f>IF(AND($G9&gt;0,$AM9&gt;0),IF(($G9-$AM9)/$G9&gt;0,($G9-$AM9)/$G9,0),"")</f>
        <v/>
      </c>
      <c r="BE9" s="6" t="str">
        <f>IF((AD9-AF9)/(AJ9/60)&lt;=0,"",(AD9-AF9)/(AJ9/60))</f>
        <v/>
      </c>
      <c r="BF9" s="6" t="str">
        <f>IF(OR(AJ9=0,AP9=0,NOT(ISNUMBER(AD9)),NOT(ISNUMBER(AF9)),NOT(ISNUMBER(AJ9)),NOT(ISNUMBER(AP9))),"",
IFERROR(IF((AD9-AF9)/(AJ9/60)/(AP9/1000)&lt;=0,"",(AD9-AF9)/(AJ9/60)/(AP9/1000)),""))</f>
        <v/>
      </c>
    </row>
    <row r="10" spans="1:58" ht="15" customHeight="1">
      <c r="B10" s="11">
        <v>45270</v>
      </c>
      <c r="D10" s="3">
        <v>5</v>
      </c>
      <c r="E10" s="205" t="str">
        <f t="shared" si="0"/>
        <v/>
      </c>
      <c r="G10" s="124">
        <v>9.0499999999999989</v>
      </c>
      <c r="K10" s="10" t="str">
        <f t="shared" si="1"/>
        <v/>
      </c>
      <c r="L10" s="9" t="str">
        <f t="shared" si="2"/>
        <v/>
      </c>
      <c r="M10" s="8" t="str">
        <f t="shared" si="3"/>
        <v/>
      </c>
      <c r="X10" s="6">
        <v>7.24</v>
      </c>
      <c r="AB10" s="5">
        <v>80</v>
      </c>
      <c r="AC10" s="7">
        <f>T10</f>
        <v>0</v>
      </c>
      <c r="AJ10" s="1">
        <v>175</v>
      </c>
      <c r="AK10" s="3">
        <v>180</v>
      </c>
      <c r="AL10" s="4">
        <f>AE10</f>
        <v>0</v>
      </c>
      <c r="AN10" s="80">
        <f>360-AK10-AB10</f>
        <v>100</v>
      </c>
      <c r="AO10" s="165"/>
      <c r="AP10" s="13" t="e">
        <f>AVERAGE(AO8:AO14)</f>
        <v>#DIV/0!</v>
      </c>
      <c r="AQ10" s="15" t="str">
        <f>IF(ISNUMBER([2]HRT_SRT!R64),[2]HRT_SRT!R64,"")</f>
        <v/>
      </c>
      <c r="AR10" s="17" t="e">
        <f>(E10-W10)/E10</f>
        <v>#VALUE!</v>
      </c>
      <c r="AS10" s="16" t="e">
        <f>(I10-AF10)/I10</f>
        <v>#DIV/0!</v>
      </c>
      <c r="AT10" s="16" t="e">
        <f>AG10/(AD10-AF10)</f>
        <v>#DIV/0!</v>
      </c>
      <c r="AU10" s="16">
        <f>(G10-AM10)/G10</f>
        <v>1</v>
      </c>
      <c r="AV10" s="57" t="str">
        <f>IF(AND(ISNUMBER(E10),ISNUMBER(W10)),E10-W10,"")</f>
        <v/>
      </c>
      <c r="AW10" s="57" t="str">
        <f>IF(AND(ISNUMBER(I10),ISNUMBER(AF10)),I10-AF10,"")</f>
        <v/>
      </c>
      <c r="AX10" s="57" t="str">
        <f>IF(AND(ISNUMBER(AM10),ISNUMBER(G10)),G10-AM10,"")</f>
        <v/>
      </c>
      <c r="AY10" s="57" t="str">
        <f>IF(AND(ISNUMBER(AC10),ISNUMBER(AE10)),AC10-AE10,"")</f>
        <v/>
      </c>
      <c r="AZ10" s="57" t="str">
        <f>IF(AND(ISNUMBER(AL10),ISNUMBER(AM10)),AL10-AM10,"")</f>
        <v/>
      </c>
      <c r="BA10" s="84" t="str">
        <f>IF(AND($E10&gt;0,$W10&gt;0),IF(($E10-$W10)/$E10&gt;0,($E10-$W10)/$E10,0),"")</f>
        <v/>
      </c>
      <c r="BB10" s="84" t="str">
        <f>IF(AND($I10&gt;0,$AF10&gt;=0),IF(($I10-$AF10)/$I10&gt;0,($I10-$AF10)/$I10,0),"")</f>
        <v/>
      </c>
      <c r="BC10" s="84" t="e">
        <f>IF(AND($AG10&gt;=0,$AD10&gt;=0,$AF10&gt;=0),IF($AG10/($AD10-$AF10)&gt;0,$AG10/($AD10-$AF10),0),"")</f>
        <v>#DIV/0!</v>
      </c>
      <c r="BD10" s="84" t="str">
        <f>IF(AND($G10&gt;0,$AM10&gt;0),IF(($G10-$AM10)/$G10&gt;0,($G10-$AM10)/$G10,0),"")</f>
        <v/>
      </c>
      <c r="BE10" s="6" t="str">
        <f>IF((AD10-AF10)/(AJ10/60)&lt;=0,"",(AD10-AF10)/(AJ10/60))</f>
        <v/>
      </c>
      <c r="BF10" s="6" t="e">
        <f>IF(OR(AJ10=0,AP10=0,NOT(ISNUMBER(AD10)),NOT(ISNUMBER(AF10)),NOT(ISNUMBER(AJ10)),NOT(ISNUMBER(AP10))),"",
IFERROR(IF((AD10-AF10)/(AJ10/60)/(AP10/1000)&lt;=0,"",(AD10-AF10)/(AJ10/60)/(AP10/1000)),""))</f>
        <v>#DIV/0!</v>
      </c>
    </row>
    <row r="11" spans="1:58" ht="15" customHeight="1">
      <c r="A11" s="12" t="s">
        <v>183</v>
      </c>
      <c r="B11" s="11">
        <v>45271</v>
      </c>
      <c r="D11" s="3">
        <v>6</v>
      </c>
      <c r="E11" s="205">
        <f t="shared" si="0"/>
        <v>121.82400000000001</v>
      </c>
      <c r="G11" s="15">
        <f>(N11*18-H11*18)/9</f>
        <v>10.064</v>
      </c>
      <c r="H11" s="15">
        <f>2*0.894</f>
        <v>1.788</v>
      </c>
      <c r="I11" s="15">
        <f>AD11</f>
        <v>9.92</v>
      </c>
      <c r="K11" s="10">
        <f t="shared" si="1"/>
        <v>12.104928457869635</v>
      </c>
      <c r="L11" s="9">
        <f t="shared" si="2"/>
        <v>6.1403225806451616</v>
      </c>
      <c r="M11" s="8">
        <f t="shared" si="3"/>
        <v>1.971383147853736</v>
      </c>
      <c r="N11" s="7">
        <v>6.82</v>
      </c>
      <c r="S11" s="6">
        <f>11.605+49.307</f>
        <v>60.912000000000006</v>
      </c>
      <c r="T11" s="6">
        <f>10*1.42</f>
        <v>14.2</v>
      </c>
      <c r="W11" s="6">
        <f>2.72</f>
        <v>2.72</v>
      </c>
      <c r="X11" s="6">
        <v>7.58</v>
      </c>
      <c r="AB11" s="5">
        <v>80</v>
      </c>
      <c r="AC11" s="7">
        <f>T11</f>
        <v>14.2</v>
      </c>
      <c r="AD11" s="1">
        <f>2*4.96</f>
        <v>9.92</v>
      </c>
      <c r="AE11" s="1">
        <f>10*1.18</f>
        <v>11.799999999999999</v>
      </c>
      <c r="AF11" s="1">
        <v>1.0000000000000001E-5</v>
      </c>
      <c r="AG11" s="204">
        <f>0.06-0.05</f>
        <v>9.999999999999995E-3</v>
      </c>
      <c r="AH11" s="203">
        <v>0.39826388888888892</v>
      </c>
      <c r="AJ11" s="1">
        <v>175</v>
      </c>
      <c r="AK11" s="3">
        <v>180</v>
      </c>
      <c r="AL11" s="4">
        <f>AE11</f>
        <v>11.799999999999999</v>
      </c>
      <c r="AM11" s="1">
        <f>2*4.02</f>
        <v>8.0399999999999991</v>
      </c>
      <c r="AN11" s="80">
        <f>360-AK11-AB11</f>
        <v>100</v>
      </c>
      <c r="AO11" s="165"/>
      <c r="AP11" s="13" t="e">
        <f>AVERAGE(AO9:AO15)</f>
        <v>#DIV/0!</v>
      </c>
      <c r="AQ11" s="15" t="str">
        <f>IF(ISNUMBER([2]HRT_SRT!R65),[2]HRT_SRT!R65,"")</f>
        <v/>
      </c>
      <c r="AR11" s="17">
        <f>(E11-W11)/E11</f>
        <v>0.97767270816916207</v>
      </c>
      <c r="AS11" s="16">
        <f>(I11-AF11)/I11</f>
        <v>0.99999899193548392</v>
      </c>
      <c r="AT11" s="16">
        <f>AG11/(AD11-AF11)</f>
        <v>1.0080655323241247E-3</v>
      </c>
      <c r="AU11" s="16">
        <f>(G11-AM11)/G11</f>
        <v>0.20111287758346591</v>
      </c>
      <c r="AV11" s="57">
        <f>IF(AND(ISNUMBER(E11),ISNUMBER(W11)),E11-W11,"")</f>
        <v>119.10400000000001</v>
      </c>
      <c r="AW11" s="57">
        <f>IF(AND(ISNUMBER(I11),ISNUMBER(AF11)),I11-AF11,"")</f>
        <v>9.9199900000000003</v>
      </c>
      <c r="AX11" s="57">
        <f>IF(AND(ISNUMBER(AM11),ISNUMBER(G11)),G11-AM11,"")</f>
        <v>2.0240000000000009</v>
      </c>
      <c r="AY11" s="57">
        <f>IF(AND(ISNUMBER(AC11),ISNUMBER(AE11)),AC11-AE11,"")</f>
        <v>2.4000000000000004</v>
      </c>
      <c r="AZ11" s="57">
        <f>IF(AND(ISNUMBER(AL11),ISNUMBER(AM11)),AL11-AM11,"")</f>
        <v>3.76</v>
      </c>
      <c r="BA11" s="84">
        <f>IF(AND($E11&gt;0,$W11&gt;0),IF(($E11-$W11)/$E11&gt;0,($E11-$W11)/$E11,0),"")</f>
        <v>0.97767270816916207</v>
      </c>
      <c r="BB11" s="84">
        <f>IF(AND($I11&gt;0,$AF11&gt;=0),IF(($I11-$AF11)/$I11&gt;0,($I11-$AF11)/$I11,0),"")</f>
        <v>0.99999899193548392</v>
      </c>
      <c r="BC11" s="84">
        <f>IF(AND($AG11&gt;=0,$AD11&gt;=0,$AF11&gt;=0),IF($AG11/($AD11-$AF11)&gt;0,$AG11/($AD11-$AF11),0),"")</f>
        <v>1.0080655323241247E-3</v>
      </c>
      <c r="BD11" s="84">
        <f>IF(AND($G11&gt;0,$AM11&gt;0),IF(($G11-$AM11)/$G11&gt;0,($G11-$AM11)/$G11,0),"")</f>
        <v>0.20111287758346591</v>
      </c>
      <c r="BE11" s="6">
        <f>IF((AD11-AF11)/(AJ11/60)&lt;=0,"",(AD11-AF11)/(AJ11/60))</f>
        <v>3.4011394285714287</v>
      </c>
      <c r="BF11" s="6" t="e">
        <f>IF(OR(AJ11=0,AP11=0,NOT(ISNUMBER(AD11)),NOT(ISNUMBER(AF11)),NOT(ISNUMBER(AJ11)),NOT(ISNUMBER(AP11))),"",
IFERROR(IF((AD11-AF11)/(AJ11/60)/(AP11/1000)&lt;=0,"",(AD11-AF11)/(AJ11/60)/(AP11/1000)),""))</f>
        <v>#DIV/0!</v>
      </c>
    </row>
    <row r="12" spans="1:58" ht="15" customHeight="1">
      <c r="A12" s="12" t="s">
        <v>182</v>
      </c>
      <c r="B12" s="11">
        <v>45272</v>
      </c>
      <c r="D12" s="3">
        <v>7</v>
      </c>
      <c r="E12" s="205" t="str">
        <f t="shared" si="0"/>
        <v/>
      </c>
      <c r="G12" s="124">
        <v>10.064</v>
      </c>
      <c r="K12" s="10" t="str">
        <f t="shared" si="1"/>
        <v/>
      </c>
      <c r="L12" s="9" t="str">
        <f t="shared" si="2"/>
        <v/>
      </c>
      <c r="M12" s="8" t="str">
        <f t="shared" si="3"/>
        <v/>
      </c>
      <c r="X12" s="6">
        <v>6.44</v>
      </c>
      <c r="AB12" s="5">
        <v>80</v>
      </c>
      <c r="AC12" s="7">
        <f>T12</f>
        <v>0</v>
      </c>
      <c r="AJ12" s="1">
        <v>175</v>
      </c>
      <c r="AK12" s="3">
        <v>180</v>
      </c>
      <c r="AL12" s="4">
        <f>AE12</f>
        <v>0</v>
      </c>
      <c r="AN12" s="80">
        <f>360-AK12-AB12</f>
        <v>100</v>
      </c>
      <c r="AO12" s="165"/>
      <c r="AP12" s="13" t="e">
        <f>AVERAGE(AO10:AO16)</f>
        <v>#DIV/0!</v>
      </c>
      <c r="AQ12" s="15" t="str">
        <f>IF(ISNUMBER([2]HRT_SRT!R66),[2]HRT_SRT!R66,"")</f>
        <v/>
      </c>
      <c r="AR12" s="17" t="e">
        <f>(E12-W12)/E12</f>
        <v>#VALUE!</v>
      </c>
      <c r="AS12" s="16" t="e">
        <f>(I12-AF12)/I12</f>
        <v>#DIV/0!</v>
      </c>
      <c r="AT12" s="16" t="e">
        <f>AG12/(AD12-AF12)</f>
        <v>#DIV/0!</v>
      </c>
      <c r="AU12" s="16">
        <f>(G12-AM12)/G12</f>
        <v>1</v>
      </c>
      <c r="AV12" s="57" t="str">
        <f>IF(AND(ISNUMBER(E12),ISNUMBER(W12)),E12-W12,"")</f>
        <v/>
      </c>
      <c r="AW12" s="57" t="str">
        <f>IF(AND(ISNUMBER(I12),ISNUMBER(AF12)),I12-AF12,"")</f>
        <v/>
      </c>
      <c r="AX12" s="57" t="str">
        <f>IF(AND(ISNUMBER(AM12),ISNUMBER(G12)),G12-AM12,"")</f>
        <v/>
      </c>
      <c r="AY12" s="57" t="str">
        <f>IF(AND(ISNUMBER(AC12),ISNUMBER(AE12)),AC12-AE12,"")</f>
        <v/>
      </c>
      <c r="AZ12" s="57" t="str">
        <f>IF(AND(ISNUMBER(AL12),ISNUMBER(AM12)),AL12-AM12,"")</f>
        <v/>
      </c>
      <c r="BA12" s="84" t="str">
        <f>IF(AND($E12&gt;0,$W12&gt;0),IF(($E12-$W12)/$E12&gt;0,($E12-$W12)/$E12,0),"")</f>
        <v/>
      </c>
      <c r="BB12" s="84" t="str">
        <f>IF(AND($I12&gt;0,$AF12&gt;=0),IF(($I12-$AF12)/$I12&gt;0,($I12-$AF12)/$I12,0),"")</f>
        <v/>
      </c>
      <c r="BC12" s="84" t="e">
        <f>IF(AND($AG12&gt;=0,$AD12&gt;=0,$AF12&gt;=0),IF($AG12/($AD12-$AF12)&gt;0,$AG12/($AD12-$AF12),0),"")</f>
        <v>#DIV/0!</v>
      </c>
      <c r="BD12" s="84" t="str">
        <f>IF(AND($G12&gt;0,$AM12&gt;0),IF(($G12-$AM12)/$G12&gt;0,($G12-$AM12)/$G12,0),"")</f>
        <v/>
      </c>
      <c r="BE12" s="6" t="str">
        <f>IF((AD12-AF12)/(AJ12/60)&lt;=0,"",(AD12-AF12)/(AJ12/60))</f>
        <v/>
      </c>
      <c r="BF12" s="6" t="e">
        <f>IF(OR(AJ12=0,AP12=0,NOT(ISNUMBER(AD12)),NOT(ISNUMBER(AF12)),NOT(ISNUMBER(AJ12)),NOT(ISNUMBER(AP12))),"",
IFERROR(IF((AD12-AF12)/(AJ12/60)/(AP12/1000)&lt;=0,"",(AD12-AF12)/(AJ12/60)/(AP12/1000)),""))</f>
        <v>#DIV/0!</v>
      </c>
    </row>
    <row r="13" spans="1:58" ht="15" customHeight="1">
      <c r="B13" s="11">
        <v>45273</v>
      </c>
      <c r="D13" s="3">
        <v>8</v>
      </c>
      <c r="E13" s="205" t="str">
        <f t="shared" si="0"/>
        <v/>
      </c>
      <c r="G13" s="124">
        <v>10.064</v>
      </c>
      <c r="K13" s="10" t="str">
        <f t="shared" si="1"/>
        <v/>
      </c>
      <c r="L13" s="9" t="str">
        <f t="shared" si="2"/>
        <v/>
      </c>
      <c r="M13" s="8" t="str">
        <f t="shared" si="3"/>
        <v/>
      </c>
      <c r="X13" s="6">
        <v>8.08</v>
      </c>
      <c r="AB13" s="5">
        <v>80</v>
      </c>
      <c r="AC13" s="7">
        <f>T13</f>
        <v>0</v>
      </c>
      <c r="AG13" s="204">
        <f>0.13-0.05</f>
        <v>0.08</v>
      </c>
      <c r="AH13" s="203">
        <v>0.40995370370370371</v>
      </c>
      <c r="AJ13" s="1">
        <v>175</v>
      </c>
      <c r="AK13" s="3">
        <v>180</v>
      </c>
      <c r="AL13" s="4">
        <f>AE13</f>
        <v>0</v>
      </c>
      <c r="AN13" s="80">
        <f>360-AK13-AB13</f>
        <v>100</v>
      </c>
      <c r="AO13" s="165"/>
      <c r="AP13" s="13" t="e">
        <f>AVERAGE(AO11:AO17)</f>
        <v>#DIV/0!</v>
      </c>
      <c r="AQ13" s="15" t="str">
        <f>IF(ISNUMBER([2]HRT_SRT!R67),[2]HRT_SRT!R67,"")</f>
        <v/>
      </c>
      <c r="AR13" s="17" t="e">
        <f>(E13-W13)/E13</f>
        <v>#VALUE!</v>
      </c>
      <c r="AS13" s="16" t="e">
        <f>(I13-AF13)/I13</f>
        <v>#DIV/0!</v>
      </c>
      <c r="AT13" s="16" t="e">
        <f>AG13/(AD13-AF13)</f>
        <v>#DIV/0!</v>
      </c>
      <c r="AU13" s="16">
        <f>(G13-AM13)/G13</f>
        <v>1</v>
      </c>
      <c r="AV13" s="57" t="str">
        <f>IF(AND(ISNUMBER(E13),ISNUMBER(W13)),E13-W13,"")</f>
        <v/>
      </c>
      <c r="AW13" s="57" t="str">
        <f>IF(AND(ISNUMBER(I13),ISNUMBER(AF13)),I13-AF13,"")</f>
        <v/>
      </c>
      <c r="AX13" s="57" t="str">
        <f>IF(AND(ISNUMBER(AM13),ISNUMBER(G13)),G13-AM13,"")</f>
        <v/>
      </c>
      <c r="AY13" s="57" t="str">
        <f>IF(AND(ISNUMBER(AC13),ISNUMBER(AE13)),AC13-AE13,"")</f>
        <v/>
      </c>
      <c r="AZ13" s="57" t="str">
        <f>IF(AND(ISNUMBER(AL13),ISNUMBER(AM13)),AL13-AM13,"")</f>
        <v/>
      </c>
      <c r="BA13" s="84" t="str">
        <f>IF(AND($E13&gt;0,$W13&gt;0),IF(($E13-$W13)/$E13&gt;0,($E13-$W13)/$E13,0),"")</f>
        <v/>
      </c>
      <c r="BB13" s="84" t="str">
        <f>IF(AND($I13&gt;0,$AF13&gt;=0),IF(($I13-$AF13)/$I13&gt;0,($I13-$AF13)/$I13,0),"")</f>
        <v/>
      </c>
      <c r="BC13" s="84" t="e">
        <f>IF(AND($AG13&gt;=0,$AD13&gt;=0,$AF13&gt;=0),IF($AG13/($AD13-$AF13)&gt;0,$AG13/($AD13-$AF13),0),"")</f>
        <v>#DIV/0!</v>
      </c>
      <c r="BD13" s="84" t="str">
        <f>IF(AND($G13&gt;0,$AM13&gt;0),IF(($G13-$AM13)/$G13&gt;0,($G13-$AM13)/$G13,0),"")</f>
        <v/>
      </c>
      <c r="BE13" s="6" t="str">
        <f>IF((AD13-AF13)/(AJ13/60)&lt;=0,"",(AD13-AF13)/(AJ13/60))</f>
        <v/>
      </c>
      <c r="BF13" s="6" t="e">
        <f>IF(OR(AJ13=0,AP13=0,NOT(ISNUMBER(AD13)),NOT(ISNUMBER(AF13)),NOT(ISNUMBER(AJ13)),NOT(ISNUMBER(AP13))),"",
IFERROR(IF((AD13-AF13)/(AJ13/60)/(AP13/1000)&lt;=0,"",(AD13-AF13)/(AJ13/60)/(AP13/1000)),""))</f>
        <v>#DIV/0!</v>
      </c>
    </row>
    <row r="14" spans="1:58" ht="15" customHeight="1">
      <c r="B14" s="11">
        <v>45274</v>
      </c>
      <c r="D14" s="3">
        <v>9</v>
      </c>
      <c r="E14" s="205" t="str">
        <f t="shared" si="0"/>
        <v/>
      </c>
      <c r="G14" s="124">
        <v>10.064</v>
      </c>
      <c r="K14" s="10" t="str">
        <f t="shared" si="1"/>
        <v/>
      </c>
      <c r="L14" s="9" t="str">
        <f t="shared" si="2"/>
        <v/>
      </c>
      <c r="M14" s="8" t="str">
        <f t="shared" si="3"/>
        <v/>
      </c>
      <c r="X14" s="6">
        <v>8.16</v>
      </c>
      <c r="AB14" s="5">
        <v>80</v>
      </c>
      <c r="AC14" s="7">
        <f>T14</f>
        <v>0</v>
      </c>
      <c r="AJ14" s="1">
        <v>175</v>
      </c>
      <c r="AK14" s="3">
        <v>180</v>
      </c>
      <c r="AL14" s="4">
        <f>AE14</f>
        <v>0</v>
      </c>
      <c r="AN14" s="80">
        <f>360-AK14-AB14</f>
        <v>100</v>
      </c>
      <c r="AO14" s="165"/>
      <c r="AP14" s="13" t="e">
        <f>AVERAGE(AO12:AO18)</f>
        <v>#DIV/0!</v>
      </c>
      <c r="AQ14" s="15" t="str">
        <f>IF(ISNUMBER([2]HRT_SRT!R68),[2]HRT_SRT!R68,"")</f>
        <v/>
      </c>
      <c r="AR14" s="17" t="e">
        <f>(E14-W14)/E14</f>
        <v>#VALUE!</v>
      </c>
      <c r="AS14" s="16" t="e">
        <f>(I14-AF14)/I14</f>
        <v>#DIV/0!</v>
      </c>
      <c r="AT14" s="16" t="e">
        <f>AG14/(AD14-AF14)</f>
        <v>#DIV/0!</v>
      </c>
      <c r="AU14" s="16">
        <f>(G14-AM14)/G14</f>
        <v>1</v>
      </c>
      <c r="AV14" s="57" t="str">
        <f>IF(AND(ISNUMBER(E14),ISNUMBER(W14)),E14-W14,"")</f>
        <v/>
      </c>
      <c r="AW14" s="57" t="str">
        <f>IF(AND(ISNUMBER(I14),ISNUMBER(AF14)),I14-AF14,"")</f>
        <v/>
      </c>
      <c r="AX14" s="57" t="str">
        <f>IF(AND(ISNUMBER(AM14),ISNUMBER(G14)),G14-AM14,"")</f>
        <v/>
      </c>
      <c r="AY14" s="57" t="str">
        <f>IF(AND(ISNUMBER(AC14),ISNUMBER(AE14)),AC14-AE14,"")</f>
        <v/>
      </c>
      <c r="AZ14" s="57" t="str">
        <f>IF(AND(ISNUMBER(AL14),ISNUMBER(AM14)),AL14-AM14,"")</f>
        <v/>
      </c>
      <c r="BA14" s="84" t="str">
        <f>IF(AND($E14&gt;0,$W14&gt;0),IF(($E14-$W14)/$E14&gt;0,($E14-$W14)/$E14,0),"")</f>
        <v/>
      </c>
      <c r="BB14" s="84" t="str">
        <f>IF(AND($I14&gt;0,$AF14&gt;=0),IF(($I14-$AF14)/$I14&gt;0,($I14-$AF14)/$I14,0),"")</f>
        <v/>
      </c>
      <c r="BC14" s="84" t="e">
        <f>IF(AND($AG14&gt;=0,$AD14&gt;=0,$AF14&gt;=0),IF($AG14/($AD14-$AF14)&gt;0,$AG14/($AD14-$AF14),0),"")</f>
        <v>#DIV/0!</v>
      </c>
      <c r="BD14" s="84" t="str">
        <f>IF(AND($G14&gt;0,$AM14&gt;0),IF(($G14-$AM14)/$G14&gt;0,($G14-$AM14)/$G14,0),"")</f>
        <v/>
      </c>
      <c r="BE14" s="6" t="str">
        <f>IF((AD14-AF14)/(AJ14/60)&lt;=0,"",(AD14-AF14)/(AJ14/60))</f>
        <v/>
      </c>
      <c r="BF14" s="6" t="e">
        <f>IF(OR(AJ14=0,AP14=0,NOT(ISNUMBER(AD14)),NOT(ISNUMBER(AF14)),NOT(ISNUMBER(AJ14)),NOT(ISNUMBER(AP14))),"",
IFERROR(IF((AD14-AF14)/(AJ14/60)/(AP14/1000)&lt;=0,"",(AD14-AF14)/(AJ14/60)/(AP14/1000)),""))</f>
        <v>#DIV/0!</v>
      </c>
    </row>
    <row r="15" spans="1:58" ht="15" customHeight="1">
      <c r="B15" s="11">
        <v>45275</v>
      </c>
      <c r="D15" s="3">
        <v>10</v>
      </c>
      <c r="E15" s="205" t="str">
        <f t="shared" si="0"/>
        <v/>
      </c>
      <c r="G15" s="124">
        <v>10.064</v>
      </c>
      <c r="K15" s="10" t="str">
        <f t="shared" si="1"/>
        <v/>
      </c>
      <c r="L15" s="9" t="str">
        <f t="shared" si="2"/>
        <v/>
      </c>
      <c r="M15" s="8" t="str">
        <f t="shared" si="3"/>
        <v/>
      </c>
      <c r="X15" s="6">
        <v>6.12</v>
      </c>
      <c r="AB15" s="5">
        <v>80</v>
      </c>
      <c r="AC15" s="7">
        <f>T15</f>
        <v>0</v>
      </c>
      <c r="AJ15" s="1">
        <v>175</v>
      </c>
      <c r="AK15" s="3">
        <v>180</v>
      </c>
      <c r="AL15" s="4">
        <f>AE15</f>
        <v>0</v>
      </c>
      <c r="AN15" s="80">
        <f>360-AK15-AB15</f>
        <v>100</v>
      </c>
      <c r="AO15" s="165"/>
      <c r="AP15" s="13">
        <f>AVERAGE(AO13:AO19)</f>
        <v>2790.0000000000091</v>
      </c>
      <c r="AQ15" s="15" t="str">
        <f>IF(ISNUMBER([2]HRT_SRT!R69),[2]HRT_SRT!R69,"")</f>
        <v/>
      </c>
      <c r="AR15" s="17" t="e">
        <f>(E15-W15)/E15</f>
        <v>#VALUE!</v>
      </c>
      <c r="AS15" s="16" t="e">
        <f>(I15-AF15)/I15</f>
        <v>#DIV/0!</v>
      </c>
      <c r="AT15" s="16" t="e">
        <f>AG15/(AD15-AF15)</f>
        <v>#DIV/0!</v>
      </c>
      <c r="AU15" s="16">
        <f>(G15-AM15)/G15</f>
        <v>1</v>
      </c>
      <c r="AV15" s="57" t="str">
        <f>IF(AND(ISNUMBER(E15),ISNUMBER(W15)),E15-W15,"")</f>
        <v/>
      </c>
      <c r="AW15" s="57" t="str">
        <f>IF(AND(ISNUMBER(I15),ISNUMBER(AF15)),I15-AF15,"")</f>
        <v/>
      </c>
      <c r="AX15" s="57" t="str">
        <f>IF(AND(ISNUMBER(AM15),ISNUMBER(G15)),G15-AM15,"")</f>
        <v/>
      </c>
      <c r="AY15" s="57" t="str">
        <f>IF(AND(ISNUMBER(AC15),ISNUMBER(AE15)),AC15-AE15,"")</f>
        <v/>
      </c>
      <c r="AZ15" s="57" t="str">
        <f>IF(AND(ISNUMBER(AL15),ISNUMBER(AM15)),AL15-AM15,"")</f>
        <v/>
      </c>
      <c r="BA15" s="84" t="str">
        <f>IF(AND($E15&gt;0,$W15&gt;0),IF(($E15-$W15)/$E15&gt;0,($E15-$W15)/$E15,0),"")</f>
        <v/>
      </c>
      <c r="BB15" s="84" t="str">
        <f>IF(AND($I15&gt;0,$AF15&gt;=0),IF(($I15-$AF15)/$I15&gt;0,($I15-$AF15)/$I15,0),"")</f>
        <v/>
      </c>
      <c r="BC15" s="84" t="e">
        <f>IF(AND($AG15&gt;=0,$AD15&gt;=0,$AF15&gt;=0),IF($AG15/($AD15-$AF15)&gt;0,$AG15/($AD15-$AF15),0),"")</f>
        <v>#DIV/0!</v>
      </c>
      <c r="BD15" s="84" t="str">
        <f>IF(AND($G15&gt;0,$AM15&gt;0),IF(($G15-$AM15)/$G15&gt;0,($G15-$AM15)/$G15,0),"")</f>
        <v/>
      </c>
      <c r="BE15" s="6" t="str">
        <f>IF((AD15-AF15)/(AJ15/60)&lt;=0,"",(AD15-AF15)/(AJ15/60))</f>
        <v/>
      </c>
      <c r="BF15" s="6" t="str">
        <f>IF(OR(AJ15=0,AP15=0,NOT(ISNUMBER(AD15)),NOT(ISNUMBER(AF15)),NOT(ISNUMBER(AJ15)),NOT(ISNUMBER(AP15))),"",
IFERROR(IF((AD15-AF15)/(AJ15/60)/(AP15/1000)&lt;=0,"",(AD15-AF15)/(AJ15/60)/(AP15/1000)),""))</f>
        <v/>
      </c>
    </row>
    <row r="16" spans="1:58" ht="15" customHeight="1">
      <c r="B16" s="11">
        <v>45276</v>
      </c>
      <c r="D16" s="3">
        <v>11</v>
      </c>
      <c r="E16" s="205" t="str">
        <f t="shared" si="0"/>
        <v/>
      </c>
      <c r="G16" s="124">
        <v>10.064</v>
      </c>
      <c r="K16" s="10" t="str">
        <f t="shared" si="1"/>
        <v/>
      </c>
      <c r="L16" s="9" t="str">
        <f t="shared" si="2"/>
        <v/>
      </c>
      <c r="M16" s="8" t="str">
        <f t="shared" si="3"/>
        <v/>
      </c>
      <c r="X16" s="6">
        <v>6.3</v>
      </c>
      <c r="AB16" s="5">
        <v>80</v>
      </c>
      <c r="AC16" s="7">
        <f>T16</f>
        <v>0</v>
      </c>
      <c r="AG16" s="204"/>
      <c r="AH16" s="203"/>
      <c r="AJ16" s="1">
        <v>175</v>
      </c>
      <c r="AK16" s="3">
        <v>180</v>
      </c>
      <c r="AL16" s="4">
        <f>AE16</f>
        <v>0</v>
      </c>
      <c r="AN16" s="80">
        <f>360-AK16-AB16</f>
        <v>100</v>
      </c>
      <c r="AO16" s="165"/>
      <c r="AP16" s="13">
        <f>AVERAGE(AO14:AO20)</f>
        <v>2790.0000000000091</v>
      </c>
      <c r="AQ16" s="15" t="str">
        <f>IF(ISNUMBER([2]HRT_SRT!R70),[2]HRT_SRT!R70,"")</f>
        <v/>
      </c>
      <c r="AR16" s="17" t="e">
        <f>(E16-W16)/E16</f>
        <v>#VALUE!</v>
      </c>
      <c r="AS16" s="16" t="e">
        <f>(I16-AF16)/I16</f>
        <v>#DIV/0!</v>
      </c>
      <c r="AT16" s="16" t="e">
        <f>AG16/(AD16-AF16)</f>
        <v>#DIV/0!</v>
      </c>
      <c r="AU16" s="16">
        <f>(G16-AM16)/G16</f>
        <v>1</v>
      </c>
      <c r="AV16" s="57" t="str">
        <f>IF(AND(ISNUMBER(E16),ISNUMBER(W16)),E16-W16,"")</f>
        <v/>
      </c>
      <c r="AW16" s="57" t="str">
        <f>IF(AND(ISNUMBER(I16),ISNUMBER(AF16)),I16-AF16,"")</f>
        <v/>
      </c>
      <c r="AX16" s="57" t="str">
        <f>IF(AND(ISNUMBER(AM16),ISNUMBER(G16)),G16-AM16,"")</f>
        <v/>
      </c>
      <c r="AY16" s="57" t="str">
        <f>IF(AND(ISNUMBER(AC16),ISNUMBER(AE16)),AC16-AE16,"")</f>
        <v/>
      </c>
      <c r="AZ16" s="57" t="str">
        <f>IF(AND(ISNUMBER(AL16),ISNUMBER(AM16)),AL16-AM16,"")</f>
        <v/>
      </c>
      <c r="BA16" s="84" t="str">
        <f>IF(AND($E16&gt;0,$W16&gt;0),IF(($E16-$W16)/$E16&gt;0,($E16-$W16)/$E16,0),"")</f>
        <v/>
      </c>
      <c r="BB16" s="84" t="str">
        <f>IF(AND($I16&gt;0,$AF16&gt;=0),IF(($I16-$AF16)/$I16&gt;0,($I16-$AF16)/$I16,0),"")</f>
        <v/>
      </c>
      <c r="BC16" s="84" t="e">
        <f>IF(AND($AG16&gt;=0,$AD16&gt;=0,$AF16&gt;=0),IF($AG16/($AD16-$AF16)&gt;0,$AG16/($AD16-$AF16),0),"")</f>
        <v>#DIV/0!</v>
      </c>
      <c r="BD16" s="84" t="str">
        <f>IF(AND($G16&gt;0,$AM16&gt;0),IF(($G16-$AM16)/$G16&gt;0,($G16-$AM16)/$G16,0),"")</f>
        <v/>
      </c>
      <c r="BE16" s="6" t="str">
        <f>IF((AD16-AF16)/(AJ16/60)&lt;=0,"",(AD16-AF16)/(AJ16/60))</f>
        <v/>
      </c>
      <c r="BF16" s="6" t="str">
        <f>IF(OR(AJ16=0,AP16=0,NOT(ISNUMBER(AD16)),NOT(ISNUMBER(AF16)),NOT(ISNUMBER(AJ16)),NOT(ISNUMBER(AP16))),"",
IFERROR(IF((AD16-AF16)/(AJ16/60)/(AP16/1000)&lt;=0,"",(AD16-AF16)/(AJ16/60)/(AP16/1000)),""))</f>
        <v/>
      </c>
    </row>
    <row r="17" spans="1:58" ht="15" customHeight="1">
      <c r="B17" s="11">
        <v>45277</v>
      </c>
      <c r="D17" s="3">
        <v>12</v>
      </c>
      <c r="E17" s="205" t="str">
        <f t="shared" si="0"/>
        <v/>
      </c>
      <c r="G17" s="124">
        <v>10.064</v>
      </c>
      <c r="K17" s="10" t="str">
        <f t="shared" si="1"/>
        <v/>
      </c>
      <c r="L17" s="9" t="str">
        <f t="shared" si="2"/>
        <v/>
      </c>
      <c r="M17" s="8" t="str">
        <f t="shared" si="3"/>
        <v/>
      </c>
      <c r="X17" s="6">
        <v>4.08</v>
      </c>
      <c r="AB17" s="5">
        <v>80</v>
      </c>
      <c r="AC17" s="7">
        <f>T17</f>
        <v>0</v>
      </c>
      <c r="AG17" s="204">
        <f>0.17-0.05</f>
        <v>0.12000000000000001</v>
      </c>
      <c r="AH17" s="203">
        <v>0.42418981481481483</v>
      </c>
      <c r="AJ17" s="1">
        <v>175</v>
      </c>
      <c r="AK17" s="3">
        <v>180</v>
      </c>
      <c r="AL17" s="4">
        <f>AE17</f>
        <v>0</v>
      </c>
      <c r="AN17" s="80">
        <f>360-AK17-AB17</f>
        <v>100</v>
      </c>
      <c r="AO17" s="165"/>
      <c r="AP17" s="13">
        <f>AVERAGE(AO15:AO21)</f>
        <v>2790.0000000000091</v>
      </c>
      <c r="AQ17" s="15" t="str">
        <f>IF(ISNUMBER([2]HRT_SRT!R71),[2]HRT_SRT!R71,"")</f>
        <v/>
      </c>
      <c r="AR17" s="17" t="e">
        <f>(E17-W17)/E17</f>
        <v>#VALUE!</v>
      </c>
      <c r="AS17" s="16" t="e">
        <f>(I17-AF17)/I17</f>
        <v>#DIV/0!</v>
      </c>
      <c r="AT17" s="16" t="e">
        <f>AG17/(AD17-AF17)</f>
        <v>#DIV/0!</v>
      </c>
      <c r="AU17" s="16">
        <f>(G17-AM17)/G17</f>
        <v>1</v>
      </c>
      <c r="AV17" s="57" t="str">
        <f>IF(AND(ISNUMBER(E17),ISNUMBER(W17)),E17-W17,"")</f>
        <v/>
      </c>
      <c r="AW17" s="57" t="str">
        <f>IF(AND(ISNUMBER(I17),ISNUMBER(AF17)),I17-AF17,"")</f>
        <v/>
      </c>
      <c r="AX17" s="57" t="str">
        <f>IF(AND(ISNUMBER(AM17),ISNUMBER(G17)),G17-AM17,"")</f>
        <v/>
      </c>
      <c r="AY17" s="57" t="str">
        <f>IF(AND(ISNUMBER(AC17),ISNUMBER(AE17)),AC17-AE17,"")</f>
        <v/>
      </c>
      <c r="AZ17" s="57" t="str">
        <f>IF(AND(ISNUMBER(AL17),ISNUMBER(AM17)),AL17-AM17,"")</f>
        <v/>
      </c>
      <c r="BA17" s="84" t="str">
        <f>IF(AND($E17&gt;0,$W17&gt;0),IF(($E17-$W17)/$E17&gt;0,($E17-$W17)/$E17,0),"")</f>
        <v/>
      </c>
      <c r="BB17" s="84" t="str">
        <f>IF(AND($I17&gt;0,$AF17&gt;=0),IF(($I17-$AF17)/$I17&gt;0,($I17-$AF17)/$I17,0),"")</f>
        <v/>
      </c>
      <c r="BC17" s="84" t="e">
        <f>IF(AND($AG17&gt;=0,$AD17&gt;=0,$AF17&gt;=0),IF($AG17/($AD17-$AF17)&gt;0,$AG17/($AD17-$AF17),0),"")</f>
        <v>#DIV/0!</v>
      </c>
      <c r="BD17" s="84" t="str">
        <f>IF(AND($G17&gt;0,$AM17&gt;0),IF(($G17-$AM17)/$G17&gt;0,($G17-$AM17)/$G17,0),"")</f>
        <v/>
      </c>
      <c r="BE17" s="6" t="str">
        <f>IF((AD17-AF17)/(AJ17/60)&lt;=0,"",(AD17-AF17)/(AJ17/60))</f>
        <v/>
      </c>
      <c r="BF17" s="6" t="str">
        <f>IF(OR(AJ17=0,AP17=0,NOT(ISNUMBER(AD17)),NOT(ISNUMBER(AF17)),NOT(ISNUMBER(AJ17)),NOT(ISNUMBER(AP17))),"",
IFERROR(IF((AD17-AF17)/(AJ17/60)/(AP17/1000)&lt;=0,"",(AD17-AF17)/(AJ17/60)/(AP17/1000)),""))</f>
        <v/>
      </c>
    </row>
    <row r="18" spans="1:58" ht="15" customHeight="1">
      <c r="B18" s="11">
        <v>45278</v>
      </c>
      <c r="D18" s="3">
        <v>13</v>
      </c>
      <c r="E18" s="205">
        <f t="shared" si="0"/>
        <v>144.25200000000001</v>
      </c>
      <c r="F18" s="9">
        <f>'[2]12-19-2023 '!AR71+'[2]12-19-2023 '!AR35</f>
        <v>90.121000000000009</v>
      </c>
      <c r="G18" s="124">
        <f>H18*2</f>
        <v>13.42</v>
      </c>
      <c r="H18" s="9">
        <v>6.71</v>
      </c>
      <c r="I18" s="15">
        <f>AD18</f>
        <v>9.42</v>
      </c>
      <c r="K18" s="10">
        <f t="shared" si="1"/>
        <v>10.74903129657228</v>
      </c>
      <c r="L18" s="9">
        <f t="shared" si="2"/>
        <v>7.6566878980891726</v>
      </c>
      <c r="M18" s="8">
        <f t="shared" si="3"/>
        <v>1.4038748137108792</v>
      </c>
      <c r="N18" s="7">
        <f>10*1.39</f>
        <v>13.899999999999999</v>
      </c>
      <c r="S18" s="6">
        <f>'[2]12-19-2023 '!AR34+'[2]12-19-2023 '!AR70</f>
        <v>72.126000000000005</v>
      </c>
      <c r="T18" s="6">
        <f>20*1.49</f>
        <v>29.8</v>
      </c>
      <c r="W18" s="6">
        <f>'[2]12-19-2023 '!AR69+'[2]12-19-2023 '!AR33</f>
        <v>7.766</v>
      </c>
      <c r="X18" s="6">
        <v>9.31</v>
      </c>
      <c r="Y18" s="6">
        <v>0.21</v>
      </c>
      <c r="AB18" s="5">
        <v>80</v>
      </c>
      <c r="AC18" s="7">
        <f>T18</f>
        <v>29.8</v>
      </c>
      <c r="AD18" s="1">
        <f>2*4.71</f>
        <v>9.42</v>
      </c>
      <c r="AE18" s="1">
        <f>10*1.9</f>
        <v>19</v>
      </c>
      <c r="AF18" s="1">
        <v>1.0000000000000001E-5</v>
      </c>
      <c r="AG18" s="204">
        <f>0.46-0.05</f>
        <v>0.41000000000000003</v>
      </c>
      <c r="AH18" s="203">
        <v>0.45439814814814811</v>
      </c>
      <c r="AJ18" s="1">
        <v>175</v>
      </c>
      <c r="AK18" s="3">
        <v>180</v>
      </c>
      <c r="AL18" s="4">
        <f>AE18</f>
        <v>19</v>
      </c>
      <c r="AM18" s="1">
        <f>10*0.964</f>
        <v>9.64</v>
      </c>
      <c r="AN18" s="80">
        <f>360-AK18-AB18</f>
        <v>100</v>
      </c>
      <c r="AO18" s="165"/>
      <c r="AP18" s="13">
        <f>AVERAGE(AO16:AO22)</f>
        <v>2790.0000000000091</v>
      </c>
      <c r="AQ18" s="15" t="str">
        <f>IF(ISNUMBER([2]HRT_SRT!R72),[2]HRT_SRT!R72,"")</f>
        <v/>
      </c>
      <c r="AR18" s="17">
        <f>(E18-W18)/E18</f>
        <v>0.9461636580428695</v>
      </c>
      <c r="AS18" s="16">
        <f>(I18-AF18)/I18</f>
        <v>0.99999893842887477</v>
      </c>
      <c r="AT18" s="16">
        <f>AG18/(AD18-AF18)</f>
        <v>4.3524462340193568E-2</v>
      </c>
      <c r="AU18" s="16">
        <f>(G18-AM18)/G18</f>
        <v>0.28166915052160951</v>
      </c>
      <c r="AV18" s="57">
        <f>IF(AND(ISNUMBER(E18),ISNUMBER(W18)),E18-W18,"")</f>
        <v>136.48600000000002</v>
      </c>
      <c r="AW18" s="57">
        <f>IF(AND(ISNUMBER(I18),ISNUMBER(AF18)),I18-AF18,"")</f>
        <v>9.4199900000000003</v>
      </c>
      <c r="AX18" s="57">
        <f>IF(AND(ISNUMBER(AM18),ISNUMBER(G18)),G18-AM18,"")</f>
        <v>3.7799999999999994</v>
      </c>
      <c r="AY18" s="57">
        <f>IF(AND(ISNUMBER(AC18),ISNUMBER(AE18)),AC18-AE18,"")</f>
        <v>10.8</v>
      </c>
      <c r="AZ18" s="57">
        <f>IF(AND(ISNUMBER(AL18),ISNUMBER(AM18)),AL18-AM18,"")</f>
        <v>9.36</v>
      </c>
      <c r="BA18" s="84">
        <f>IF(AND($E18&gt;0,$W18&gt;0),IF(($E18-$W18)/$E18&gt;0,($E18-$W18)/$E18,0),"")</f>
        <v>0.9461636580428695</v>
      </c>
      <c r="BB18" s="84">
        <f>IF(AND($I18&gt;0,$AF18&gt;=0),IF(($I18-$AF18)/$I18&gt;0,($I18-$AF18)/$I18,0),"")</f>
        <v>0.99999893842887477</v>
      </c>
      <c r="BC18" s="84">
        <f>IF(AND($AG18&gt;=0,$AD18&gt;=0,$AF18&gt;=0),IF($AG18/($AD18-$AF18)&gt;0,$AG18/($AD18-$AF18),0),"")</f>
        <v>4.3524462340193568E-2</v>
      </c>
      <c r="BD18" s="84">
        <f>IF(AND($G18&gt;0,$AM18&gt;0),IF(($G18-$AM18)/$G18&gt;0,($G18-$AM18)/$G18,0),"")</f>
        <v>0.28166915052160951</v>
      </c>
      <c r="BE18" s="6">
        <f>IF((AD18-AF18)/(AJ18/60)&lt;=0,"",(AD18-AF18)/(AJ18/60))</f>
        <v>3.2297108571428574</v>
      </c>
      <c r="BF18" s="6">
        <f>IF(OR(AJ18=0,AP18=0,NOT(ISNUMBER(AD18)),NOT(ISNUMBER(AF18)),NOT(ISNUMBER(AJ18)),NOT(ISNUMBER(AP18))),"",
IFERROR(IF((AD18-AF18)/(AJ18/60)/(AP18/1000)&lt;=0,"",(AD18-AF18)/(AJ18/60)/(AP18/1000)),""))</f>
        <v>1.157602457757293</v>
      </c>
    </row>
    <row r="19" spans="1:58" ht="15" customHeight="1">
      <c r="A19" s="12" t="s">
        <v>181</v>
      </c>
      <c r="B19" s="167">
        <v>45279</v>
      </c>
      <c r="C19" s="166"/>
      <c r="D19" s="136">
        <v>14</v>
      </c>
      <c r="E19" s="205">
        <f t="shared" si="0"/>
        <v>233.66800000000001</v>
      </c>
      <c r="G19" s="9">
        <f>(N19*18-H19*18)/9</f>
        <v>18.560000000000002</v>
      </c>
      <c r="H19" s="9">
        <f>'[2]12-19-2023 '!I28</f>
        <v>9.33</v>
      </c>
      <c r="I19" s="15">
        <f>AD19</f>
        <v>14.5</v>
      </c>
      <c r="K19" s="10">
        <f t="shared" si="1"/>
        <v>12.589870689655172</v>
      </c>
      <c r="L19" s="9">
        <f t="shared" si="2"/>
        <v>8.0575172413793101</v>
      </c>
      <c r="M19" s="8">
        <f t="shared" si="3"/>
        <v>1.5624999999999998</v>
      </c>
      <c r="N19" s="6">
        <f>'[2]12-19-2023 '!I6</f>
        <v>18.61</v>
      </c>
      <c r="S19" s="6">
        <f>'[2]12-19-2023 '!Q6</f>
        <v>116.834</v>
      </c>
      <c r="T19" s="6">
        <f>'[2]12-19-2023 '!I12</f>
        <v>47.14</v>
      </c>
      <c r="W19" s="6">
        <f>'[2]12-19-2023 '!Q12</f>
        <v>7.85</v>
      </c>
      <c r="X19" s="6">
        <v>8.16</v>
      </c>
      <c r="AB19" s="5">
        <v>80</v>
      </c>
      <c r="AC19" s="6">
        <f>T19</f>
        <v>47.14</v>
      </c>
      <c r="AD19" s="1">
        <f>'[2]12-19-2023 '!G13</f>
        <v>14.5</v>
      </c>
      <c r="AE19" s="1">
        <f>'[2]12-19-2023 '!I21</f>
        <v>29.07</v>
      </c>
      <c r="AF19" s="1">
        <f>'[2]12-19-2023 '!G21</f>
        <v>0.57999999999999996</v>
      </c>
      <c r="AG19" s="1">
        <f>1.49-0.05</f>
        <v>1.44</v>
      </c>
      <c r="AH19" s="203">
        <v>0.48680555555555555</v>
      </c>
      <c r="AJ19" s="1">
        <v>175</v>
      </c>
      <c r="AK19" s="3">
        <v>180</v>
      </c>
      <c r="AL19" s="1">
        <f>AE19</f>
        <v>29.07</v>
      </c>
      <c r="AM19" s="6">
        <f>'[2]12-19-2023 '!I27</f>
        <v>13.99</v>
      </c>
      <c r="AN19" s="80">
        <f>360-AK19-AB19</f>
        <v>100</v>
      </c>
      <c r="AO19" s="165">
        <f>[2]TSS_VSS!H71</f>
        <v>2790.0000000000091</v>
      </c>
      <c r="AP19" s="13">
        <f>AVERAGE(AO17:AO23)</f>
        <v>2790.0000000000091</v>
      </c>
      <c r="AQ19" s="15">
        <f>IF(ISNUMBER([2]HRT_SRT!R73),[2]HRT_SRT!R73,"")</f>
        <v>26.525955504847722</v>
      </c>
      <c r="AR19" s="17">
        <f>(E19-W19)/E19</f>
        <v>0.9664053272163925</v>
      </c>
      <c r="AS19" s="16">
        <f>(I19-AF19)/I19</f>
        <v>0.96</v>
      </c>
      <c r="AT19" s="16">
        <f>AG19/(AD19-AF19)</f>
        <v>0.10344827586206896</v>
      </c>
      <c r="AU19" s="16">
        <f>(G19-AM19)/G19</f>
        <v>0.24622844827586216</v>
      </c>
      <c r="AV19" s="57">
        <f>IF(AND(ISNUMBER(E19),ISNUMBER(W19)),E19-W19,"")</f>
        <v>225.81800000000001</v>
      </c>
      <c r="AW19" s="57">
        <f>IF(AND(ISNUMBER(I19),ISNUMBER(AF19)),I19-AF19,"")</f>
        <v>13.92</v>
      </c>
      <c r="AX19" s="57">
        <f>IF(AND(ISNUMBER(AM19),ISNUMBER(G19)),G19-AM19,"")</f>
        <v>4.5700000000000021</v>
      </c>
      <c r="AY19" s="57">
        <f>IF(AND(ISNUMBER(AC19),ISNUMBER(AE19)),AC19-AE19,"")</f>
        <v>18.07</v>
      </c>
      <c r="AZ19" s="57">
        <f>IF(AND(ISNUMBER(AL19),ISNUMBER(AM19)),AL19-AM19,"")</f>
        <v>15.08</v>
      </c>
      <c r="BA19" s="84">
        <f>IF(AND($E19&gt;0,$W19&gt;0),IF(($E19-$W19)/$E19&gt;0,($E19-$W19)/$E19,0),"")</f>
        <v>0.9664053272163925</v>
      </c>
      <c r="BB19" s="84">
        <f>IF(AND($I19&gt;0,$AF19&gt;=0),IF(($I19-$AF19)/$I19&gt;0,($I19-$AF19)/$I19,0),"")</f>
        <v>0.96</v>
      </c>
      <c r="BC19" s="84">
        <f>IF(AND($AG19&gt;=0,$AD19&gt;=0,$AF19&gt;=0),IF($AG19/($AD19-$AF19)&gt;0,$AG19/($AD19-$AF19),0),"")</f>
        <v>0.10344827586206896</v>
      </c>
      <c r="BD19" s="84">
        <f>IF(AND($G19&gt;0,$AM19&gt;0),IF(($G19-$AM19)/$G19&gt;0,($G19-$AM19)/$G19,0),"")</f>
        <v>0.24622844827586216</v>
      </c>
      <c r="BE19" s="6">
        <f>IF((AD19-AF19)/(AJ19/60)&lt;=0,"",(AD19-AF19)/(AJ19/60))</f>
        <v>4.7725714285714291</v>
      </c>
      <c r="BF19" s="6">
        <f>IF(OR(AJ19=0,AP19=0,NOT(ISNUMBER(AD19)),NOT(ISNUMBER(AF19)),NOT(ISNUMBER(AJ19)),NOT(ISNUMBER(AP19))),"",
IFERROR(IF((AD19-AF19)/(AJ19/60)/(AP19/1000)&lt;=0,"",(AD19-AF19)/(AJ19/60)/(AP19/1000)),""))</f>
        <v>1.7105990783410085</v>
      </c>
    </row>
    <row r="20" spans="1:58" ht="15" customHeight="1">
      <c r="B20" s="11">
        <v>45280</v>
      </c>
      <c r="D20" s="3">
        <v>15</v>
      </c>
      <c r="E20" s="205" t="str">
        <f t="shared" si="0"/>
        <v/>
      </c>
      <c r="I20" s="15"/>
      <c r="K20" s="10" t="str">
        <f t="shared" si="1"/>
        <v/>
      </c>
      <c r="L20" s="9" t="str">
        <f t="shared" si="2"/>
        <v/>
      </c>
      <c r="M20" s="8" t="str">
        <f t="shared" si="3"/>
        <v/>
      </c>
      <c r="X20" s="6">
        <v>8.32</v>
      </c>
      <c r="AB20" s="5">
        <v>80</v>
      </c>
      <c r="AF20" s="6"/>
      <c r="AG20" s="204">
        <v>1.23</v>
      </c>
      <c r="AH20" s="203">
        <v>0.47442129629629631</v>
      </c>
      <c r="AJ20" s="1">
        <v>175</v>
      </c>
      <c r="AK20" s="3">
        <v>180</v>
      </c>
      <c r="AN20" s="80">
        <f>360-AK20-AB20</f>
        <v>100</v>
      </c>
      <c r="AO20" s="165"/>
      <c r="AP20" s="13">
        <f>AVERAGE(AO18:AO24)</f>
        <v>2790.0000000000091</v>
      </c>
      <c r="AQ20" s="15" t="str">
        <f>IF(ISNUMBER([2]HRT_SRT!R74),[2]HRT_SRT!R74,"")</f>
        <v/>
      </c>
      <c r="AR20" s="17" t="e">
        <f>(E20-W20)/E20</f>
        <v>#VALUE!</v>
      </c>
      <c r="AS20" s="16" t="e">
        <f>(I20-AF20)/I20</f>
        <v>#DIV/0!</v>
      </c>
      <c r="AT20" s="16" t="e">
        <f>AG20/(AD20-AF20)</f>
        <v>#DIV/0!</v>
      </c>
      <c r="AU20" s="16" t="e">
        <f>(G20-AM20)/G20</f>
        <v>#DIV/0!</v>
      </c>
      <c r="AV20" s="57" t="str">
        <f>IF(AND(ISNUMBER(E20),ISNUMBER(W20)),E20-W20,"")</f>
        <v/>
      </c>
      <c r="AW20" s="57" t="str">
        <f>IF(AND(ISNUMBER(I20),ISNUMBER(AF20)),I20-AF20,"")</f>
        <v/>
      </c>
      <c r="AX20" s="57" t="str">
        <f>IF(AND(ISNUMBER(AM20),ISNUMBER(G20)),G20-AM20,"")</f>
        <v/>
      </c>
      <c r="AY20" s="57" t="str">
        <f>IF(AND(ISNUMBER(AC20),ISNUMBER(AE20)),AC20-AE20,"")</f>
        <v/>
      </c>
      <c r="AZ20" s="57" t="str">
        <f>IF(AND(ISNUMBER(AL20),ISNUMBER(AM20)),AL20-AM20,"")</f>
        <v/>
      </c>
      <c r="BA20" s="84" t="str">
        <f>IF(AND($E20&gt;0,$W20&gt;0),IF(($E20-$W20)/$E20&gt;0,($E20-$W20)/$E20,0),"")</f>
        <v/>
      </c>
      <c r="BB20" s="84" t="str">
        <f>IF(AND($I20&gt;0,$AF20&gt;=0),IF(($I20-$AF20)/$I20&gt;0,($I20-$AF20)/$I20,0),"")</f>
        <v/>
      </c>
      <c r="BC20" s="84" t="e">
        <f>IF(AND($AG20&gt;=0,$AD20&gt;=0,$AF20&gt;=0),IF($AG20/($AD20-$AF20)&gt;0,$AG20/($AD20-$AF20),0),"")</f>
        <v>#DIV/0!</v>
      </c>
      <c r="BD20" s="84" t="str">
        <f>IF(AND($G20&gt;0,$AM20&gt;0),IF(($G20-$AM20)/$G20&gt;0,($G20-$AM20)/$G20,0),"")</f>
        <v/>
      </c>
      <c r="BE20" s="6" t="str">
        <f>IF((AD20-AF20)/(AJ20/60)&lt;=0,"",(AD20-AF20)/(AJ20/60))</f>
        <v/>
      </c>
      <c r="BF20" s="6" t="str">
        <f>IF(OR(AJ20=0,AP20=0,NOT(ISNUMBER(AD20)),NOT(ISNUMBER(AF20)),NOT(ISNUMBER(AJ20)),NOT(ISNUMBER(AP20))),"",
IFERROR(IF((AD20-AF20)/(AJ20/60)/(AP20/1000)&lt;=0,"",(AD20-AF20)/(AJ20/60)/(AP20/1000)),""))</f>
        <v/>
      </c>
    </row>
    <row r="21" spans="1:58" ht="15" customHeight="1">
      <c r="B21" s="11">
        <v>45281</v>
      </c>
      <c r="D21" s="3">
        <v>16</v>
      </c>
      <c r="E21" s="205">
        <f t="shared" si="0"/>
        <v>202.77600000000001</v>
      </c>
      <c r="G21" s="9">
        <f>(N21*18-H21*17)/9</f>
        <v>17.33666666666667</v>
      </c>
      <c r="H21" s="9">
        <f>10*0.861</f>
        <v>8.61</v>
      </c>
      <c r="I21" s="15">
        <f>AD21</f>
        <v>13.5</v>
      </c>
      <c r="K21" s="10">
        <f t="shared" si="1"/>
        <v>11.69636608344549</v>
      </c>
      <c r="L21" s="9">
        <f t="shared" si="2"/>
        <v>7.5102222222222226</v>
      </c>
      <c r="M21" s="8">
        <f t="shared" si="3"/>
        <v>1.5573928090751776</v>
      </c>
      <c r="N21" s="7">
        <v>16.8</v>
      </c>
      <c r="S21" s="6">
        <f>82.604+18.784</f>
        <v>101.38800000000001</v>
      </c>
      <c r="T21" s="6">
        <f>20*1.84</f>
        <v>36.800000000000004</v>
      </c>
      <c r="W21" s="6">
        <v>1.0569999999999999</v>
      </c>
      <c r="X21" s="6">
        <v>7.18</v>
      </c>
      <c r="AB21" s="5">
        <v>80</v>
      </c>
      <c r="AC21" s="7">
        <f>T21</f>
        <v>36.800000000000004</v>
      </c>
      <c r="AD21" s="1">
        <f>2.7*5</f>
        <v>13.5</v>
      </c>
      <c r="AE21" s="1">
        <f>10*2.38</f>
        <v>23.799999999999997</v>
      </c>
      <c r="AF21" s="6">
        <v>0.63500000000000001</v>
      </c>
      <c r="AG21" s="204">
        <v>1.84</v>
      </c>
      <c r="AH21" s="203">
        <v>0.48668981481481483</v>
      </c>
      <c r="AJ21" s="1">
        <v>175</v>
      </c>
      <c r="AK21" s="3">
        <v>180</v>
      </c>
      <c r="AL21" s="4">
        <f>AE21</f>
        <v>23.799999999999997</v>
      </c>
      <c r="AM21" s="1">
        <f>10*1.27</f>
        <v>12.7</v>
      </c>
      <c r="AN21" s="80">
        <f>360-AK21-AB21</f>
        <v>100</v>
      </c>
      <c r="AO21" s="165"/>
      <c r="AP21" s="13">
        <f>AVERAGE(AO19:AO25)</f>
        <v>2790.0000000000091</v>
      </c>
      <c r="AQ21" s="15" t="str">
        <f>IF(ISNUMBER([2]HRT_SRT!R75),[2]HRT_SRT!R75,"")</f>
        <v/>
      </c>
      <c r="AR21" s="17">
        <f>(E21-W21)/E21</f>
        <v>0.99478735156034248</v>
      </c>
      <c r="AS21" s="16">
        <f>(I21-AF21)/I21</f>
        <v>0.95296296296296301</v>
      </c>
      <c r="AT21" s="16">
        <f>AG21/(AD21-AF21)</f>
        <v>0.14302370773416245</v>
      </c>
      <c r="AU21" s="16">
        <f>(G21-AM21)/G21</f>
        <v>0.26744856758315727</v>
      </c>
      <c r="AV21" s="57">
        <f>IF(AND(ISNUMBER(E21),ISNUMBER(W21)),E21-W21,"")</f>
        <v>201.71900000000002</v>
      </c>
      <c r="AW21" s="57">
        <f>IF(AND(ISNUMBER(I21),ISNUMBER(AF21)),I21-AF21,"")</f>
        <v>12.865</v>
      </c>
      <c r="AX21" s="57">
        <f>IF(AND(ISNUMBER(AM21),ISNUMBER(G21)),G21-AM21,"")</f>
        <v>4.6366666666666703</v>
      </c>
      <c r="AY21" s="57">
        <f>IF(AND(ISNUMBER(AC21),ISNUMBER(AE21)),AC21-AE21,"")</f>
        <v>13.000000000000007</v>
      </c>
      <c r="AZ21" s="57">
        <f>IF(AND(ISNUMBER(AL21),ISNUMBER(AM21)),AL21-AM21,"")</f>
        <v>11.099999999999998</v>
      </c>
      <c r="BA21" s="84">
        <f>IF(AND($E21&gt;0,$W21&gt;0),IF(($E21-$W21)/$E21&gt;0,($E21-$W21)/$E21,0),"")</f>
        <v>0.99478735156034248</v>
      </c>
      <c r="BB21" s="84">
        <f>IF(AND($I21&gt;0,$AF21&gt;=0),IF(($I21-$AF21)/$I21&gt;0,($I21-$AF21)/$I21,0),"")</f>
        <v>0.95296296296296301</v>
      </c>
      <c r="BC21" s="84">
        <f>IF(AND($AG21&gt;=0,$AD21&gt;=0,$AF21&gt;=0),IF($AG21/($AD21-$AF21)&gt;0,$AG21/($AD21-$AF21),0),"")</f>
        <v>0.14302370773416245</v>
      </c>
      <c r="BD21" s="84">
        <f>IF(AND($G21&gt;0,$AM21&gt;0),IF(($G21-$AM21)/$G21&gt;0,($G21-$AM21)/$G21,0),"")</f>
        <v>0.26744856758315727</v>
      </c>
      <c r="BE21" s="6">
        <f>IF((AD21-AF21)/(AJ21/60)&lt;=0,"",(AD21-AF21)/(AJ21/60))</f>
        <v>4.410857142857143</v>
      </c>
      <c r="BF21" s="6">
        <f>IF(OR(AJ21=0,AP21=0,NOT(ISNUMBER(AD21)),NOT(ISNUMBER(AF21)),NOT(ISNUMBER(AJ21)),NOT(ISNUMBER(AP21))),"",
IFERROR(IF((AD21-AF21)/(AJ21/60)/(AP21/1000)&lt;=0,"",(AD21-AF21)/(AJ21/60)/(AP21/1000)),""))</f>
        <v>1.580952380952376</v>
      </c>
    </row>
    <row r="22" spans="1:58" ht="15" customHeight="1">
      <c r="B22" s="11">
        <v>45282</v>
      </c>
      <c r="D22" s="3">
        <v>17</v>
      </c>
      <c r="E22" s="205">
        <f t="shared" si="0"/>
        <v>221</v>
      </c>
      <c r="F22" s="9">
        <f>100.299+23.956</f>
        <v>124.25500000000001</v>
      </c>
      <c r="G22" s="9">
        <f>(N22*18-H22*18)/9</f>
        <v>18.240000000000002</v>
      </c>
      <c r="H22" s="9">
        <f>10*0.818</f>
        <v>8.18</v>
      </c>
      <c r="I22" s="15">
        <f>AD22</f>
        <v>16.350000000000001</v>
      </c>
      <c r="K22" s="10">
        <f t="shared" si="1"/>
        <v>12.116228070175437</v>
      </c>
      <c r="L22" s="9">
        <f t="shared" si="2"/>
        <v>6.758409785932721</v>
      </c>
      <c r="M22" s="8">
        <f t="shared" si="3"/>
        <v>1.7927631578947367</v>
      </c>
      <c r="N22" s="7">
        <f>10*1.73</f>
        <v>17.3</v>
      </c>
      <c r="S22" s="6">
        <f>19.014+91.486</f>
        <v>110.5</v>
      </c>
      <c r="T22" s="6">
        <f>20*2</f>
        <v>40</v>
      </c>
      <c r="W22" s="6">
        <v>1.0469999999999999</v>
      </c>
      <c r="X22" s="6">
        <v>4.54</v>
      </c>
      <c r="AB22" s="5">
        <v>80</v>
      </c>
      <c r="AC22" s="7">
        <f>T22</f>
        <v>40</v>
      </c>
      <c r="AD22" s="1">
        <f>5*3.27</f>
        <v>16.350000000000001</v>
      </c>
      <c r="AE22" s="1">
        <f>10*2.4</f>
        <v>24</v>
      </c>
      <c r="AF22" s="1">
        <f>3.63</f>
        <v>3.63</v>
      </c>
      <c r="AG22" s="204">
        <v>2.4500000000000002</v>
      </c>
      <c r="AH22" s="203">
        <v>0.49942129629629628</v>
      </c>
      <c r="AJ22" s="1">
        <v>175</v>
      </c>
      <c r="AK22" s="3">
        <v>180</v>
      </c>
      <c r="AL22" s="4">
        <f>AE22</f>
        <v>24</v>
      </c>
      <c r="AM22" s="1">
        <f>10*1.43</f>
        <v>14.299999999999999</v>
      </c>
      <c r="AN22" s="80">
        <f>360-AK22-AB22</f>
        <v>100</v>
      </c>
      <c r="AO22" s="165"/>
      <c r="AP22" s="13">
        <f>AVERAGE(AO20:AO26)</f>
        <v>2700.0000000000455</v>
      </c>
      <c r="AQ22" s="15">
        <f>IF(ISNUMBER([2]HRT_SRT!R76),[2]HRT_SRT!R76,"")</f>
        <v>25.340309493192478</v>
      </c>
      <c r="AR22" s="17">
        <f>(E22-W22)/E22</f>
        <v>0.99526244343891401</v>
      </c>
      <c r="AS22" s="16">
        <f>(I22-AF22)/I22</f>
        <v>0.77798165137614683</v>
      </c>
      <c r="AT22" s="16">
        <f>AG22/(AD22-AF22)</f>
        <v>0.19261006289308175</v>
      </c>
      <c r="AU22" s="16">
        <f>(G22-AM22)/G22</f>
        <v>0.21600877192982471</v>
      </c>
      <c r="AV22" s="57">
        <f>IF(AND(ISNUMBER(E22),ISNUMBER(W22)),E22-W22,"")</f>
        <v>219.953</v>
      </c>
      <c r="AW22" s="57">
        <f>IF(AND(ISNUMBER(I22),ISNUMBER(AF22)),I22-AF22,"")</f>
        <v>12.720000000000002</v>
      </c>
      <c r="AX22" s="57">
        <f>IF(AND(ISNUMBER(AM22),ISNUMBER(G22)),G22-AM22,"")</f>
        <v>3.9400000000000031</v>
      </c>
      <c r="AY22" s="57">
        <f>IF(AND(ISNUMBER(AC22),ISNUMBER(AE22)),AC22-AE22,"")</f>
        <v>16</v>
      </c>
      <c r="AZ22" s="57">
        <f>IF(AND(ISNUMBER(AL22),ISNUMBER(AM22)),AL22-AM22,"")</f>
        <v>9.7000000000000011</v>
      </c>
      <c r="BA22" s="84">
        <f>IF(AND($E22&gt;0,$W22&gt;0),IF(($E22-$W22)/$E22&gt;0,($E22-$W22)/$E22,0),"")</f>
        <v>0.99526244343891401</v>
      </c>
      <c r="BB22" s="84">
        <f>IF(AND($I22&gt;0,$AF22&gt;=0),IF(($I22-$AF22)/$I22&gt;0,($I22-$AF22)/$I22,0),"")</f>
        <v>0.77798165137614683</v>
      </c>
      <c r="BC22" s="84">
        <f>IF(AND($AG22&gt;=0,$AD22&gt;=0,$AF22&gt;=0),IF($AG22/($AD22-$AF22)&gt;0,$AG22/($AD22-$AF22),0),"")</f>
        <v>0.19261006289308175</v>
      </c>
      <c r="BD22" s="84">
        <f>IF(AND($G22&gt;0,$AM22&gt;0),IF(($G22-$AM22)/$G22&gt;0,($G22-$AM22)/$G22,0),"")</f>
        <v>0.21600877192982471</v>
      </c>
      <c r="BE22" s="6">
        <f>IF((AD22-AF22)/(AJ22/60)&lt;=0,"",(AD22-AF22)/(AJ22/60))</f>
        <v>4.3611428571428581</v>
      </c>
      <c r="BF22" s="6">
        <f>IF(OR(AJ22=0,AP22=0,NOT(ISNUMBER(AD22)),NOT(ISNUMBER(AF22)),NOT(ISNUMBER(AJ22)),NOT(ISNUMBER(AP22))),"",
IFERROR(IF((AD22-AF22)/(AJ22/60)/(AP22/1000)&lt;=0,"",(AD22-AF22)/(AJ22/60)/(AP22/1000)),""))</f>
        <v>1.6152380952380685</v>
      </c>
    </row>
    <row r="23" spans="1:58" ht="15" customHeight="1">
      <c r="B23" s="11">
        <v>45283</v>
      </c>
      <c r="D23" s="3">
        <v>18</v>
      </c>
      <c r="E23" s="205" t="str">
        <f t="shared" si="0"/>
        <v/>
      </c>
      <c r="G23" s="198">
        <f>(G25-G22)/3+G22</f>
        <v>18.96</v>
      </c>
      <c r="I23" s="15">
        <f>AD23</f>
        <v>17.216666666666669</v>
      </c>
      <c r="K23" s="10" t="str">
        <f t="shared" si="1"/>
        <v/>
      </c>
      <c r="L23" s="9" t="str">
        <f t="shared" si="2"/>
        <v/>
      </c>
      <c r="M23" s="8">
        <f t="shared" si="3"/>
        <v>1.8161040787623068</v>
      </c>
      <c r="AB23" s="5">
        <v>80</v>
      </c>
      <c r="AC23" s="7"/>
      <c r="AD23" s="188">
        <f>(AD25-AD22)/3+AD22</f>
        <v>17.216666666666669</v>
      </c>
      <c r="AG23" s="204">
        <v>2.41</v>
      </c>
      <c r="AH23" s="203">
        <v>0.50868055555555558</v>
      </c>
      <c r="AJ23" s="1">
        <v>175</v>
      </c>
      <c r="AK23" s="3">
        <v>180</v>
      </c>
      <c r="AN23" s="80">
        <f>360-AK23-AB23</f>
        <v>100</v>
      </c>
      <c r="AO23" s="165"/>
      <c r="AP23" s="13">
        <f>AVERAGE(AO21:AO27)</f>
        <v>2700.0000000000455</v>
      </c>
      <c r="AQ23" s="15" t="str">
        <f>IF(ISNUMBER([2]HRT_SRT!R77),[2]HRT_SRT!R77,"")</f>
        <v/>
      </c>
      <c r="AR23" s="17" t="e">
        <f>(E23-W23)/E23</f>
        <v>#VALUE!</v>
      </c>
      <c r="AS23" s="16">
        <f>(I23-AF23)/I23</f>
        <v>1</v>
      </c>
      <c r="AT23" s="16">
        <f>AG23/(AD23-AF23)</f>
        <v>0.13998063891577928</v>
      </c>
      <c r="AU23" s="16">
        <f>(G23-AM23)/G23</f>
        <v>1</v>
      </c>
      <c r="AV23" s="57" t="str">
        <f>IF(AND(ISNUMBER(E23),ISNUMBER(W23)),E23-W23,"")</f>
        <v/>
      </c>
      <c r="AW23" s="57" t="str">
        <f>IF(AND(ISNUMBER(I23),ISNUMBER(AF23)),I23-AF23,"")</f>
        <v/>
      </c>
      <c r="AX23" s="57" t="str">
        <f>IF(AND(ISNUMBER(AM23),ISNUMBER(G23)),G23-AM23,"")</f>
        <v/>
      </c>
      <c r="AY23" s="57" t="str">
        <f>IF(AND(ISNUMBER(AC23),ISNUMBER(AE23)),AC23-AE23,"")</f>
        <v/>
      </c>
      <c r="AZ23" s="57" t="str">
        <f>IF(AND(ISNUMBER(AL23),ISNUMBER(AM23)),AL23-AM23,"")</f>
        <v/>
      </c>
      <c r="BA23" s="84" t="str">
        <f>IF(AND($E23&gt;0,$W23&gt;0),IF(($E23-$W23)/$E23&gt;0,($E23-$W23)/$E23,0),"")</f>
        <v/>
      </c>
      <c r="BB23" s="84">
        <f>IF(AND($I23&gt;0,$AF23&gt;=0),IF(($I23-$AF23)/$I23&gt;0,($I23-$AF23)/$I23,0),"")</f>
        <v>1</v>
      </c>
      <c r="BC23" s="84">
        <f>IF(AND($AG23&gt;=0,$AD23&gt;=0,$AF23&gt;=0),IF($AG23/($AD23-$AF23)&gt;0,$AG23/($AD23-$AF23),0),"")</f>
        <v>0.13998063891577928</v>
      </c>
      <c r="BD23" s="84" t="str">
        <f>IF(AND($G23&gt;0,$AM23&gt;0),IF(($G23-$AM23)/$G23&gt;0,($G23-$AM23)/$G23,0),"")</f>
        <v/>
      </c>
      <c r="BE23" s="6">
        <f>IF((AD23-AF23)/(AJ23/60)&lt;=0,"",(AD23-AF23)/(AJ23/60))</f>
        <v>5.9028571428571439</v>
      </c>
      <c r="BF23" s="6" t="str">
        <f>IF(OR(AJ23=0,AP23=0,NOT(ISNUMBER(AD23)),NOT(ISNUMBER(AF23)),NOT(ISNUMBER(AJ23)),NOT(ISNUMBER(AP23))),"",
IFERROR(IF((AD23-AF23)/(AJ23/60)/(AP23/1000)&lt;=0,"",(AD23-AF23)/(AJ23/60)/(AP23/1000)),""))</f>
        <v/>
      </c>
    </row>
    <row r="24" spans="1:58" ht="15" customHeight="1">
      <c r="B24" s="11">
        <v>45284</v>
      </c>
      <c r="D24" s="3">
        <v>19</v>
      </c>
      <c r="E24" s="205" t="str">
        <f t="shared" si="0"/>
        <v/>
      </c>
      <c r="G24" s="198">
        <f>(G25-G23)/3+G23</f>
        <v>19.439999999999998</v>
      </c>
      <c r="I24" s="15">
        <f>AD24</f>
        <v>17.794444444444444</v>
      </c>
      <c r="K24" s="10" t="str">
        <f t="shared" si="1"/>
        <v/>
      </c>
      <c r="L24" s="9" t="str">
        <f t="shared" si="2"/>
        <v/>
      </c>
      <c r="M24" s="8">
        <f t="shared" si="3"/>
        <v>1.8307041609510748</v>
      </c>
      <c r="AB24" s="5">
        <v>80</v>
      </c>
      <c r="AC24" s="7"/>
      <c r="AD24" s="188">
        <f>(AD25-AD23)/3+AD23</f>
        <v>17.794444444444444</v>
      </c>
      <c r="AE24" s="1">
        <f>10*2.79</f>
        <v>27.9</v>
      </c>
      <c r="AF24" s="1">
        <v>3.31</v>
      </c>
      <c r="AG24" s="204">
        <v>2.31</v>
      </c>
      <c r="AH24" s="203">
        <v>0.49664351851851851</v>
      </c>
      <c r="AJ24" s="1">
        <v>175</v>
      </c>
      <c r="AK24" s="3">
        <v>180</v>
      </c>
      <c r="AL24" s="4">
        <f>AE24</f>
        <v>27.9</v>
      </c>
      <c r="AM24" s="1">
        <f>5*3.31</f>
        <v>16.55</v>
      </c>
      <c r="AN24" s="80">
        <f>360-AK24-AB24</f>
        <v>100</v>
      </c>
      <c r="AO24" s="165"/>
      <c r="AP24" s="13">
        <f>AVERAGE(AO22:AO28)</f>
        <v>2700.0000000000455</v>
      </c>
      <c r="AQ24" s="15" t="str">
        <f>IF(ISNUMBER([2]HRT_SRT!R78),[2]HRT_SRT!R78,"")</f>
        <v/>
      </c>
      <c r="AR24" s="17" t="e">
        <f>(E24-W24)/E24</f>
        <v>#VALUE!</v>
      </c>
      <c r="AS24" s="16">
        <f>(I24-AF24)/I24</f>
        <v>0.8139868872931626</v>
      </c>
      <c r="AT24" s="16">
        <f>AG24/(AD24-AF24)</f>
        <v>0.15948143602332004</v>
      </c>
      <c r="AU24" s="16">
        <f>(G24-AM24)/G24</f>
        <v>0.14866255144032908</v>
      </c>
      <c r="AV24" s="57" t="str">
        <f>IF(AND(ISNUMBER(E24),ISNUMBER(W24)),E24-W24,"")</f>
        <v/>
      </c>
      <c r="AW24" s="57">
        <f>IF(AND(ISNUMBER(I24),ISNUMBER(AF24)),I24-AF24,"")</f>
        <v>14.484444444444444</v>
      </c>
      <c r="AX24" s="57">
        <f>IF(AND(ISNUMBER(AM24),ISNUMBER(G24)),G24-AM24,"")</f>
        <v>2.889999999999997</v>
      </c>
      <c r="AY24" s="57" t="str">
        <f>IF(AND(ISNUMBER(AC24),ISNUMBER(AE24)),AC24-AE24,"")</f>
        <v/>
      </c>
      <c r="AZ24" s="57">
        <f>IF(AND(ISNUMBER(AL24),ISNUMBER(AM24)),AL24-AM24,"")</f>
        <v>11.349999999999998</v>
      </c>
      <c r="BA24" s="84" t="str">
        <f>IF(AND($E24&gt;0,$W24&gt;0),IF(($E24-$W24)/$E24&gt;0,($E24-$W24)/$E24,0),"")</f>
        <v/>
      </c>
      <c r="BB24" s="84">
        <f>IF(AND($I24&gt;0,$AF24&gt;=0),IF(($I24-$AF24)/$I24&gt;0,($I24-$AF24)/$I24,0),"")</f>
        <v>0.8139868872931626</v>
      </c>
      <c r="BC24" s="84">
        <f>IF(AND($AG24&gt;=0,$AD24&gt;=0,$AF24&gt;=0),IF($AG24/($AD24-$AF24)&gt;0,$AG24/($AD24-$AF24),0),"")</f>
        <v>0.15948143602332004</v>
      </c>
      <c r="BD24" s="84">
        <f>IF(AND($G24&gt;0,$AM24&gt;0),IF(($G24-$AM24)/$G24&gt;0,($G24-$AM24)/$G24,0),"")</f>
        <v>0.14866255144032908</v>
      </c>
      <c r="BE24" s="6">
        <f>IF((AD24-AF24)/(AJ24/60)&lt;=0,"",(AD24-AF24)/(AJ24/60))</f>
        <v>4.9660952380952379</v>
      </c>
      <c r="BF24" s="6">
        <f>IF(OR(AJ24=0,AP24=0,NOT(ISNUMBER(AD24)),NOT(ISNUMBER(AF24)),NOT(ISNUMBER(AJ24)),NOT(ISNUMBER(AP24))),"",
IFERROR(IF((AD24-AF24)/(AJ24/60)/(AP24/1000)&lt;=0,"",(AD24-AF24)/(AJ24/60)/(AP24/1000)),""))</f>
        <v>1.8392945326278349</v>
      </c>
    </row>
    <row r="25" spans="1:58" ht="15" customHeight="1">
      <c r="B25" s="11">
        <v>45285</v>
      </c>
      <c r="D25" s="3">
        <v>20</v>
      </c>
      <c r="E25" s="205">
        <f t="shared" si="0"/>
        <v>235.59800000000001</v>
      </c>
      <c r="G25" s="9">
        <f>(N25*18-H25*18)/9</f>
        <v>20.399999999999995</v>
      </c>
      <c r="H25" s="9">
        <f>10*1.05</f>
        <v>10.5</v>
      </c>
      <c r="I25" s="15">
        <f>AD25</f>
        <v>18.95</v>
      </c>
      <c r="K25" s="10">
        <f t="shared" si="1"/>
        <v>11.548921568627454</v>
      </c>
      <c r="L25" s="9">
        <f t="shared" si="2"/>
        <v>6.2163060686015834</v>
      </c>
      <c r="M25" s="8">
        <f t="shared" si="3"/>
        <v>1.8578431372549022</v>
      </c>
      <c r="N25" s="7">
        <f>10*2.07</f>
        <v>20.7</v>
      </c>
      <c r="S25" s="6">
        <f>96.787+21.012</f>
        <v>117.79900000000001</v>
      </c>
      <c r="T25" s="6">
        <f>20*2.31</f>
        <v>46.2</v>
      </c>
      <c r="W25" s="6">
        <f>0</f>
        <v>0</v>
      </c>
      <c r="X25" s="6">
        <v>5.25</v>
      </c>
      <c r="AB25" s="5">
        <v>80</v>
      </c>
      <c r="AC25" s="7">
        <f>T25</f>
        <v>46.2</v>
      </c>
      <c r="AD25" s="1">
        <f>5*3.79</f>
        <v>18.95</v>
      </c>
      <c r="AE25" s="1">
        <f>10*3.11</f>
        <v>31.099999999999998</v>
      </c>
      <c r="AF25" s="1">
        <f>2.22</f>
        <v>2.2200000000000002</v>
      </c>
      <c r="AG25" s="204">
        <v>2.0499999999999998</v>
      </c>
      <c r="AH25" s="203">
        <v>0.49548611111111113</v>
      </c>
      <c r="AJ25" s="1">
        <v>175</v>
      </c>
      <c r="AK25" s="3">
        <v>180</v>
      </c>
      <c r="AL25" s="4">
        <f>AE25</f>
        <v>31.099999999999998</v>
      </c>
      <c r="AM25" s="1">
        <f>10*1.71</f>
        <v>17.100000000000001</v>
      </c>
      <c r="AN25" s="80">
        <f>360-AK25-AB25</f>
        <v>100</v>
      </c>
      <c r="AO25" s="165"/>
      <c r="AP25" s="13">
        <f>AVERAGE(AO23:AO29)</f>
        <v>2700.0000000000455</v>
      </c>
      <c r="AQ25" s="15" t="str">
        <f>IF(ISNUMBER([2]HRT_SRT!R79),[2]HRT_SRT!R79,"")</f>
        <v/>
      </c>
      <c r="AR25" s="17">
        <f>(E25-W25)/E25</f>
        <v>1</v>
      </c>
      <c r="AS25" s="16">
        <f>(I25-AF25)/I25</f>
        <v>0.88284960422163594</v>
      </c>
      <c r="AT25" s="16">
        <f>AG25/(AD25-AF25)</f>
        <v>0.12253436939629407</v>
      </c>
      <c r="AU25" s="16">
        <f>(G25-AM25)/G25</f>
        <v>0.16176470588235267</v>
      </c>
      <c r="AV25" s="57">
        <f>IF(AND(ISNUMBER(E25),ISNUMBER(W25)),E25-W25,"")</f>
        <v>235.59800000000001</v>
      </c>
      <c r="AW25" s="57">
        <f>IF(AND(ISNUMBER(I25),ISNUMBER(AF25)),I25-AF25,"")</f>
        <v>16.73</v>
      </c>
      <c r="AX25" s="57">
        <f>IF(AND(ISNUMBER(AM25),ISNUMBER(G25)),G25-AM25,"")</f>
        <v>3.2999999999999936</v>
      </c>
      <c r="AY25" s="57">
        <f>IF(AND(ISNUMBER(AC25),ISNUMBER(AE25)),AC25-AE25,"")</f>
        <v>15.100000000000005</v>
      </c>
      <c r="AZ25" s="57">
        <f>IF(AND(ISNUMBER(AL25),ISNUMBER(AM25)),AL25-AM25,"")</f>
        <v>13.999999999999996</v>
      </c>
      <c r="BA25" s="84" t="str">
        <f>IF(AND($E25&gt;0,$W25&gt;0),IF(($E25-$W25)/$E25&gt;0,($E25-$W25)/$E25,0),"")</f>
        <v/>
      </c>
      <c r="BB25" s="84">
        <f>IF(AND($I25&gt;0,$AF25&gt;=0),IF(($I25-$AF25)/$I25&gt;0,($I25-$AF25)/$I25,0),"")</f>
        <v>0.88284960422163594</v>
      </c>
      <c r="BC25" s="84">
        <f>IF(AND($AG25&gt;=0,$AD25&gt;=0,$AF25&gt;=0),IF($AG25/($AD25-$AF25)&gt;0,$AG25/($AD25-$AF25),0),"")</f>
        <v>0.12253436939629407</v>
      </c>
      <c r="BD25" s="84">
        <f>IF(AND($G25&gt;0,$AM25&gt;0),IF(($G25-$AM25)/$G25&gt;0,($G25-$AM25)/$G25,0),"")</f>
        <v>0.16176470588235267</v>
      </c>
      <c r="BE25" s="6">
        <f>IF((AD25-AF25)/(AJ25/60)&lt;=0,"",(AD25-AF25)/(AJ25/60))</f>
        <v>5.7360000000000007</v>
      </c>
      <c r="BF25" s="6">
        <f>IF(OR(AJ25=0,AP25=0,NOT(ISNUMBER(AD25)),NOT(ISNUMBER(AF25)),NOT(ISNUMBER(AJ25)),NOT(ISNUMBER(AP25))),"",
IFERROR(IF((AD25-AF25)/(AJ25/60)/(AP25/1000)&lt;=0,"",(AD25-AF25)/(AJ25/60)/(AP25/1000)),""))</f>
        <v>2.1244444444444088</v>
      </c>
    </row>
    <row r="26" spans="1:58" ht="15" customHeight="1">
      <c r="A26" s="12" t="s">
        <v>180</v>
      </c>
      <c r="B26" s="167">
        <v>45286</v>
      </c>
      <c r="C26" s="166"/>
      <c r="D26" s="136">
        <v>21</v>
      </c>
      <c r="E26" s="205">
        <f t="shared" si="0"/>
        <v>358.37</v>
      </c>
      <c r="G26" s="9">
        <f>(N26*18-H26*10)/9</f>
        <v>25.977777777777785</v>
      </c>
      <c r="H26" s="9">
        <v>38.450000000000003</v>
      </c>
      <c r="I26" s="15">
        <f>AD26</f>
        <v>16.13</v>
      </c>
      <c r="K26" s="10">
        <f t="shared" si="1"/>
        <v>13.795252352437977</v>
      </c>
      <c r="L26" s="9">
        <f t="shared" si="2"/>
        <v>11.108803471791694</v>
      </c>
      <c r="M26" s="8">
        <f t="shared" si="3"/>
        <v>1.2418306244653545</v>
      </c>
      <c r="N26" s="7">
        <f>'[2]12-26-2023 '!I6</f>
        <v>34.35</v>
      </c>
      <c r="S26" s="6">
        <f>'[2]12-26-2023 '!Q6</f>
        <v>179.185</v>
      </c>
      <c r="T26" s="6">
        <f>'[2]12-26-2023 '!I12</f>
        <v>65.02</v>
      </c>
      <c r="W26" s="6">
        <f>'[2]12-26-2023 '!Q12</f>
        <v>3.835</v>
      </c>
      <c r="X26" s="6">
        <v>2.71</v>
      </c>
      <c r="AB26" s="5">
        <v>80</v>
      </c>
      <c r="AC26" s="7">
        <f>T26</f>
        <v>65.02</v>
      </c>
      <c r="AD26" s="1">
        <f>'[2]12-26-2023 '!G13</f>
        <v>16.13</v>
      </c>
      <c r="AE26" s="1">
        <f>'[2]12-26-2023 '!I20</f>
        <v>55.57</v>
      </c>
      <c r="AF26" s="1">
        <f>'[2]12-26-2023 '!G21</f>
        <v>1.52</v>
      </c>
      <c r="AG26" s="204">
        <v>0.36</v>
      </c>
      <c r="AH26" s="203">
        <v>0.47638888888888892</v>
      </c>
      <c r="AJ26" s="1">
        <v>175</v>
      </c>
      <c r="AK26" s="3">
        <v>180</v>
      </c>
      <c r="AL26" s="4">
        <f>AE26</f>
        <v>55.57</v>
      </c>
      <c r="AM26" s="6">
        <f>'[2]12-26-2023 '!I27</f>
        <v>35.86</v>
      </c>
      <c r="AN26" s="80">
        <f>360-AK26-AB26</f>
        <v>100</v>
      </c>
      <c r="AO26" s="165">
        <f>[2]TSS_VSS!H80</f>
        <v>2700.0000000000455</v>
      </c>
      <c r="AP26" s="13">
        <f>AVERAGE(AO24:AO30)</f>
        <v>2700.0000000000455</v>
      </c>
      <c r="AQ26" s="15">
        <f>IF(ISNUMBER([2]HRT_SRT!R80),[2]HRT_SRT!R80,"")</f>
        <v>16.187050359712767</v>
      </c>
      <c r="AR26" s="17">
        <f>(E26-W26)/E26</f>
        <v>0.98929876942824457</v>
      </c>
      <c r="AS26" s="16">
        <f>(I26-AF26)/I26</f>
        <v>0.90576565406075638</v>
      </c>
      <c r="AT26" s="16">
        <f>AG26/(AD26-AF26)</f>
        <v>2.4640657084188913E-2</v>
      </c>
      <c r="AU26" s="16">
        <f>(G26-AM26)/G26</f>
        <v>-0.38041060735671473</v>
      </c>
      <c r="AV26" s="57">
        <f>IF(AND(ISNUMBER(E26),ISNUMBER(W26)),E26-W26,"")</f>
        <v>354.53500000000003</v>
      </c>
      <c r="AW26" s="57">
        <f>IF(AND(ISNUMBER(I26),ISNUMBER(AF26)),I26-AF26,"")</f>
        <v>14.61</v>
      </c>
      <c r="AX26" s="57">
        <f>IF(AND(ISNUMBER(AM26),ISNUMBER(G26)),G26-AM26,"")</f>
        <v>-9.8822222222222145</v>
      </c>
      <c r="AY26" s="57">
        <f>IF(AND(ISNUMBER(AC26),ISNUMBER(AE26)),AC26-AE26,"")</f>
        <v>9.4499999999999957</v>
      </c>
      <c r="AZ26" s="57">
        <f>IF(AND(ISNUMBER(AL26),ISNUMBER(AM26)),AL26-AM26,"")</f>
        <v>19.71</v>
      </c>
      <c r="BA26" s="84">
        <f>IF(AND($E26&gt;0,$W26&gt;0),IF(($E26-$W26)/$E26&gt;0,($E26-$W26)/$E26,0),"")</f>
        <v>0.98929876942824457</v>
      </c>
      <c r="BB26" s="84">
        <f>IF(AND($I26&gt;0,$AF26&gt;=0),IF(($I26-$AF26)/$I26&gt;0,($I26-$AF26)/$I26,0),"")</f>
        <v>0.90576565406075638</v>
      </c>
      <c r="BC26" s="84">
        <f>IF(AND($AG26&gt;=0,$AD26&gt;=0,$AF26&gt;=0),IF($AG26/($AD26-$AF26)&gt;0,$AG26/($AD26-$AF26),0),"")</f>
        <v>2.4640657084188913E-2</v>
      </c>
      <c r="BD26" s="84">
        <f>IF(AND($G26&gt;0,$AM26&gt;0),IF(($G26-$AM26)/$G26&gt;0,($G26-$AM26)/$G26,0),"")</f>
        <v>0</v>
      </c>
      <c r="BE26" s="6">
        <f>IF((AD26-AF26)/(AJ26/60)&lt;=0,"",(AD26-AF26)/(AJ26/60))</f>
        <v>5.0091428571428569</v>
      </c>
      <c r="BF26" s="6">
        <f>IF(OR(AJ26=0,AP26=0,NOT(ISNUMBER(AD26)),NOT(ISNUMBER(AF26)),NOT(ISNUMBER(AJ26)),NOT(ISNUMBER(AP26))),"",
IFERROR(IF((AD26-AF26)/(AJ26/60)/(AP26/1000)&lt;=0,"",(AD26-AF26)/(AJ26/60)/(AP26/1000)),""))</f>
        <v>1.8552380952380638</v>
      </c>
    </row>
    <row r="27" spans="1:58" ht="15" customHeight="1">
      <c r="A27" s="12">
        <v>94.4</v>
      </c>
      <c r="B27" s="11">
        <v>45287</v>
      </c>
      <c r="D27" s="3">
        <v>22</v>
      </c>
      <c r="E27" s="205">
        <f t="shared" si="0"/>
        <v>304.77800000000002</v>
      </c>
      <c r="F27" s="9">
        <f>152.062+33.605</f>
        <v>185.667</v>
      </c>
      <c r="G27" s="9">
        <f>(N27*18-H27*13)/9</f>
        <v>25.577777777777769</v>
      </c>
      <c r="H27" s="9">
        <f>2*11.5</f>
        <v>23</v>
      </c>
      <c r="I27" s="15">
        <f>AD27</f>
        <v>16.55</v>
      </c>
      <c r="K27" s="10">
        <f t="shared" si="1"/>
        <v>11.915734144222421</v>
      </c>
      <c r="L27" s="9">
        <f t="shared" si="2"/>
        <v>9.2077945619335342</v>
      </c>
      <c r="M27" s="8">
        <f t="shared" si="3"/>
        <v>1.2940920938314515</v>
      </c>
      <c r="N27" s="7">
        <f>2*14.7</f>
        <v>29.4</v>
      </c>
      <c r="S27" s="6">
        <f>123.26+29.129</f>
        <v>152.38900000000001</v>
      </c>
      <c r="T27" s="6">
        <f>2*22.5</f>
        <v>45</v>
      </c>
      <c r="W27" s="6">
        <f>2.775+18.436</f>
        <v>21.210999999999999</v>
      </c>
      <c r="AB27" s="5">
        <v>80</v>
      </c>
      <c r="AC27" s="7">
        <f>T27</f>
        <v>45</v>
      </c>
      <c r="AD27" s="1">
        <f>5*3.31</f>
        <v>16.55</v>
      </c>
      <c r="AE27" s="1">
        <f>2*22</f>
        <v>44</v>
      </c>
      <c r="AF27" s="1">
        <v>1.0000000000000001E-5</v>
      </c>
      <c r="AG27" s="204">
        <v>0.6</v>
      </c>
      <c r="AH27" s="203">
        <v>0.47222222222222227</v>
      </c>
      <c r="AJ27" s="1">
        <v>175</v>
      </c>
      <c r="AK27" s="3">
        <v>180</v>
      </c>
      <c r="AL27" s="4">
        <f>AE27</f>
        <v>44</v>
      </c>
      <c r="AM27" s="1">
        <f>2*13.3</f>
        <v>26.6</v>
      </c>
      <c r="AN27" s="80">
        <f>360-AK27-AB27</f>
        <v>100</v>
      </c>
      <c r="AO27" s="165"/>
      <c r="AP27" s="13">
        <f>AVERAGE(AO25:AO31)</f>
        <v>2700.0000000000455</v>
      </c>
      <c r="AQ27" s="15" t="str">
        <f>IF(ISNUMBER([2]HRT_SRT!R81),[2]HRT_SRT!R81,"")</f>
        <v/>
      </c>
      <c r="AR27" s="17">
        <f>(E27-W27)/E27</f>
        <v>0.93040508173162106</v>
      </c>
      <c r="AS27" s="16">
        <f>(I27-AF27)/I27</f>
        <v>0.99999939577039276</v>
      </c>
      <c r="AT27" s="16">
        <f>AG27/(AD27-AF27)</f>
        <v>3.6253798340663647E-2</v>
      </c>
      <c r="AU27" s="16">
        <f>(G27-AM27)/G27</f>
        <v>-3.996524761077367E-2</v>
      </c>
      <c r="AV27" s="57">
        <f>IF(AND(ISNUMBER(E27),ISNUMBER(W27)),E27-W27,"")</f>
        <v>283.56700000000001</v>
      </c>
      <c r="AW27" s="57">
        <f>IF(AND(ISNUMBER(I27),ISNUMBER(AF27)),I27-AF27,"")</f>
        <v>16.549990000000001</v>
      </c>
      <c r="AX27" s="57">
        <f>IF(AND(ISNUMBER(AM27),ISNUMBER(G27)),G27-AM27,"")</f>
        <v>-1.0222222222222328</v>
      </c>
      <c r="AY27" s="57">
        <f>IF(AND(ISNUMBER(AC27),ISNUMBER(AE27)),AC27-AE27,"")</f>
        <v>1</v>
      </c>
      <c r="AZ27" s="57">
        <f>IF(AND(ISNUMBER(AL27),ISNUMBER(AM27)),AL27-AM27,"")</f>
        <v>17.399999999999999</v>
      </c>
      <c r="BA27" s="84">
        <f>IF(AND($E27&gt;0,$W27&gt;0),IF(($E27-$W27)/$E27&gt;0,($E27-$W27)/$E27,0),"")</f>
        <v>0.93040508173162106</v>
      </c>
      <c r="BB27" s="84">
        <f>IF(AND($I27&gt;0,$AF27&gt;=0),IF(($I27-$AF27)/$I27&gt;0,($I27-$AF27)/$I27,0),"")</f>
        <v>0.99999939577039276</v>
      </c>
      <c r="BC27" s="84">
        <f>IF(AND($AG27&gt;=0,$AD27&gt;=0,$AF27&gt;=0),IF($AG27/($AD27-$AF27)&gt;0,$AG27/($AD27-$AF27),0),"")</f>
        <v>3.6253798340663647E-2</v>
      </c>
      <c r="BD27" s="84">
        <f>IF(AND($G27&gt;0,$AM27&gt;0),IF(($G27-$AM27)/$G27&gt;0,($G27-$AM27)/$G27,0),"")</f>
        <v>0</v>
      </c>
      <c r="BE27" s="6">
        <f>IF((AD27-AF27)/(AJ27/60)&lt;=0,"",(AD27-AF27)/(AJ27/60))</f>
        <v>5.6742822857142867</v>
      </c>
      <c r="BF27" s="6">
        <f>IF(OR(AJ27=0,AP27=0,NOT(ISNUMBER(AD27)),NOT(ISNUMBER(AF27)),NOT(ISNUMBER(AJ27)),NOT(ISNUMBER(AP27))),"",
IFERROR(IF((AD27-AF27)/(AJ27/60)/(AP27/1000)&lt;=0,"",(AD27-AF27)/(AJ27/60)/(AP27/1000)),""))</f>
        <v>2.1015860317459967</v>
      </c>
    </row>
    <row r="28" spans="1:58" ht="15" customHeight="1">
      <c r="B28" s="11">
        <v>45288</v>
      </c>
      <c r="D28" s="3">
        <v>23</v>
      </c>
      <c r="E28" s="205" t="str">
        <f t="shared" si="0"/>
        <v/>
      </c>
      <c r="I28" s="15">
        <f>AD28</f>
        <v>16.825000000000003</v>
      </c>
      <c r="K28" s="10" t="str">
        <f t="shared" si="1"/>
        <v/>
      </c>
      <c r="L28" s="9" t="str">
        <f t="shared" si="2"/>
        <v/>
      </c>
      <c r="M28" s="8" t="str">
        <f t="shared" si="3"/>
        <v/>
      </c>
      <c r="AB28" s="5">
        <v>80</v>
      </c>
      <c r="AD28" s="188">
        <f>($AD$27+$AD$33)/2</f>
        <v>16.825000000000003</v>
      </c>
      <c r="AG28" s="204">
        <v>1.58</v>
      </c>
      <c r="AH28" s="203">
        <v>0.4773148148148148</v>
      </c>
      <c r="AJ28" s="1">
        <v>175</v>
      </c>
      <c r="AK28" s="3">
        <v>180</v>
      </c>
      <c r="AN28" s="80">
        <f>360-AK28-AB28</f>
        <v>100</v>
      </c>
      <c r="AO28" s="165"/>
      <c r="AP28" s="13">
        <f>AVERAGE(AO26:AO32)</f>
        <v>2700.0000000000455</v>
      </c>
      <c r="AQ28" s="15" t="str">
        <f>IF(ISNUMBER([2]HRT_SRT!R82),[2]HRT_SRT!R82,"")</f>
        <v/>
      </c>
      <c r="AR28" s="17" t="e">
        <f>(E28-W28)/E28</f>
        <v>#VALUE!</v>
      </c>
      <c r="AS28" s="16">
        <f>(I28-AF28)/I28</f>
        <v>1</v>
      </c>
      <c r="AT28" s="16">
        <f>AG28/(AD28-AF28)</f>
        <v>9.3907875185735498E-2</v>
      </c>
      <c r="AU28" s="16" t="e">
        <f>(G28-AM28)/G28</f>
        <v>#DIV/0!</v>
      </c>
      <c r="AV28" s="57" t="str">
        <f>IF(AND(ISNUMBER(E28),ISNUMBER(W28)),E28-W28,"")</f>
        <v/>
      </c>
      <c r="AW28" s="57" t="str">
        <f>IF(AND(ISNUMBER(I28),ISNUMBER(AF28)),I28-AF28,"")</f>
        <v/>
      </c>
      <c r="AX28" s="57" t="str">
        <f>IF(AND(ISNUMBER(AM28),ISNUMBER(G28)),G28-AM28,"")</f>
        <v/>
      </c>
      <c r="AY28" s="57" t="str">
        <f>IF(AND(ISNUMBER(AC28),ISNUMBER(AE28)),AC28-AE28,"")</f>
        <v/>
      </c>
      <c r="AZ28" s="57" t="str">
        <f>IF(AND(ISNUMBER(AL28),ISNUMBER(AM28)),AL28-AM28,"")</f>
        <v/>
      </c>
      <c r="BA28" s="84" t="str">
        <f>IF(AND($E28&gt;0,$W28&gt;0),IF(($E28-$W28)/$E28&gt;0,($E28-$W28)/$E28,0),"")</f>
        <v/>
      </c>
      <c r="BB28" s="84">
        <f>IF(AND($I28&gt;0,$AF28&gt;=0),IF(($I28-$AF28)/$I28&gt;0,($I28-$AF28)/$I28,0),"")</f>
        <v>1</v>
      </c>
      <c r="BC28" s="84">
        <f>IF(AND($AG28&gt;=0,$AD28&gt;=0,$AF28&gt;=0),IF($AG28/($AD28-$AF28)&gt;0,$AG28/($AD28-$AF28),0),"")</f>
        <v>9.3907875185735498E-2</v>
      </c>
      <c r="BD28" s="84" t="str">
        <f>IF(AND($G28&gt;0,$AM28&gt;0),IF(($G28-$AM28)/$G28&gt;0,($G28-$AM28)/$G28,0),"")</f>
        <v/>
      </c>
      <c r="BE28" s="6">
        <f>IF((AD28-AF28)/(AJ28/60)&lt;=0,"",(AD28-AF28)/(AJ28/60))</f>
        <v>5.7685714285714296</v>
      </c>
      <c r="BF28" s="6" t="str">
        <f>IF(OR(AJ28=0,AP28=0,NOT(ISNUMBER(AD28)),NOT(ISNUMBER(AF28)),NOT(ISNUMBER(AJ28)),NOT(ISNUMBER(AP28))),"",
IFERROR(IF((AD28-AF28)/(AJ28/60)/(AP28/1000)&lt;=0,"",(AD28-AF28)/(AJ28/60)/(AP28/1000)),""))</f>
        <v/>
      </c>
    </row>
    <row r="29" spans="1:58" ht="15" customHeight="1">
      <c r="B29" s="11">
        <v>45289</v>
      </c>
      <c r="D29" s="3">
        <v>24</v>
      </c>
      <c r="E29" s="205" t="str">
        <f t="shared" si="0"/>
        <v/>
      </c>
      <c r="I29" s="15">
        <f>AD29</f>
        <v>16.825000000000003</v>
      </c>
      <c r="K29" s="10" t="str">
        <f t="shared" si="1"/>
        <v/>
      </c>
      <c r="L29" s="9" t="str">
        <f t="shared" si="2"/>
        <v/>
      </c>
      <c r="M29" s="8" t="str">
        <f t="shared" si="3"/>
        <v/>
      </c>
      <c r="AB29" s="5">
        <v>80</v>
      </c>
      <c r="AD29" s="188">
        <f>($AD$27+$AD$33)/2</f>
        <v>16.825000000000003</v>
      </c>
      <c r="AG29" s="204">
        <v>2.2400000000000002</v>
      </c>
      <c r="AH29" s="203">
        <v>0.47673611111111108</v>
      </c>
      <c r="AJ29" s="1">
        <v>175</v>
      </c>
      <c r="AK29" s="3">
        <v>180</v>
      </c>
      <c r="AN29" s="80">
        <f>360-AK29-AB29</f>
        <v>100</v>
      </c>
      <c r="AO29" s="165"/>
      <c r="AP29" s="13" t="e">
        <f>AVERAGE(AO27:AO33)</f>
        <v>#DIV/0!</v>
      </c>
      <c r="AQ29" s="15" t="str">
        <f>IF(ISNUMBER([2]HRT_SRT!R83),[2]HRT_SRT!R83,"")</f>
        <v/>
      </c>
      <c r="AR29" s="17" t="e">
        <f>(E29-W29)/E29</f>
        <v>#VALUE!</v>
      </c>
      <c r="AS29" s="16">
        <f>(I29-AF29)/I29</f>
        <v>1</v>
      </c>
      <c r="AT29" s="16">
        <f>AG29/(AD29-AF29)</f>
        <v>0.13313521545319465</v>
      </c>
      <c r="AU29" s="16" t="e">
        <f>(G29-AM29)/G29</f>
        <v>#DIV/0!</v>
      </c>
      <c r="AV29" s="57" t="str">
        <f>IF(AND(ISNUMBER(E29),ISNUMBER(W29)),E29-W29,"")</f>
        <v/>
      </c>
      <c r="AW29" s="57" t="str">
        <f>IF(AND(ISNUMBER(I29),ISNUMBER(AF29)),I29-AF29,"")</f>
        <v/>
      </c>
      <c r="AX29" s="57" t="str">
        <f>IF(AND(ISNUMBER(AM29),ISNUMBER(G29)),G29-AM29,"")</f>
        <v/>
      </c>
      <c r="AY29" s="57" t="str">
        <f>IF(AND(ISNUMBER(AC29),ISNUMBER(AE29)),AC29-AE29,"")</f>
        <v/>
      </c>
      <c r="AZ29" s="57" t="str">
        <f>IF(AND(ISNUMBER(AL29),ISNUMBER(AM29)),AL29-AM29,"")</f>
        <v/>
      </c>
      <c r="BA29" s="84" t="str">
        <f>IF(AND($E29&gt;0,$W29&gt;0),IF(($E29-$W29)/$E29&gt;0,($E29-$W29)/$E29,0),"")</f>
        <v/>
      </c>
      <c r="BB29" s="84">
        <f>IF(AND($I29&gt;0,$AF29&gt;=0),IF(($I29-$AF29)/$I29&gt;0,($I29-$AF29)/$I29,0),"")</f>
        <v>1</v>
      </c>
      <c r="BC29" s="84">
        <f>IF(AND($AG29&gt;=0,$AD29&gt;=0,$AF29&gt;=0),IF($AG29/($AD29-$AF29)&gt;0,$AG29/($AD29-$AF29),0),"")</f>
        <v>0.13313521545319465</v>
      </c>
      <c r="BD29" s="84" t="str">
        <f>IF(AND($G29&gt;0,$AM29&gt;0),IF(($G29-$AM29)/$G29&gt;0,($G29-$AM29)/$G29,0),"")</f>
        <v/>
      </c>
      <c r="BE29" s="6">
        <f>IF((AD29-AF29)/(AJ29/60)&lt;=0,"",(AD29-AF29)/(AJ29/60))</f>
        <v>5.7685714285714296</v>
      </c>
      <c r="BF29" s="6" t="e">
        <f>IF(OR(AJ29=0,AP29=0,NOT(ISNUMBER(AD29)),NOT(ISNUMBER(AF29)),NOT(ISNUMBER(AJ29)),NOT(ISNUMBER(AP29))),"",
IFERROR(IF((AD29-AF29)/(AJ29/60)/(AP29/1000)&lt;=0,"",(AD29-AF29)/(AJ29/60)/(AP29/1000)),""))</f>
        <v>#DIV/0!</v>
      </c>
    </row>
    <row r="30" spans="1:58" ht="15" customHeight="1">
      <c r="B30" s="11">
        <v>45290</v>
      </c>
      <c r="D30" s="3">
        <v>25</v>
      </c>
      <c r="E30" s="205" t="str">
        <f t="shared" si="0"/>
        <v/>
      </c>
      <c r="I30" s="15">
        <f>AD30</f>
        <v>16.825000000000003</v>
      </c>
      <c r="K30" s="10" t="str">
        <f t="shared" si="1"/>
        <v/>
      </c>
      <c r="L30" s="9" t="str">
        <f t="shared" si="2"/>
        <v/>
      </c>
      <c r="M30" s="8" t="str">
        <f t="shared" si="3"/>
        <v/>
      </c>
      <c r="AB30" s="5">
        <v>80</v>
      </c>
      <c r="AD30" s="188">
        <f>($AD$27+$AD$33)/2</f>
        <v>16.825000000000003</v>
      </c>
      <c r="AG30" s="204">
        <v>2.61</v>
      </c>
      <c r="AH30" s="203">
        <v>0.48425925925925922</v>
      </c>
      <c r="AJ30" s="1">
        <v>175</v>
      </c>
      <c r="AK30" s="3">
        <v>180</v>
      </c>
      <c r="AN30" s="80">
        <f>360-AK30-AB30</f>
        <v>100</v>
      </c>
      <c r="AO30" s="165"/>
      <c r="AP30" s="13">
        <f>AVERAGE(AO28:AO34)</f>
        <v>2860.0000000000364</v>
      </c>
      <c r="AQ30" s="15" t="str">
        <f>IF(ISNUMBER([2]HRT_SRT!R84),[2]HRT_SRT!R84,"")</f>
        <v/>
      </c>
      <c r="AR30" s="17" t="e">
        <f>(E30-W30)/E30</f>
        <v>#VALUE!</v>
      </c>
      <c r="AS30" s="16">
        <f>(I30-AF30)/I30</f>
        <v>1</v>
      </c>
      <c r="AT30" s="16">
        <f>AG30/(AD30-AF30)</f>
        <v>0.15512630014858839</v>
      </c>
      <c r="AU30" s="16" t="e">
        <f>(G30-AM30)/G30</f>
        <v>#DIV/0!</v>
      </c>
      <c r="AV30" s="57" t="str">
        <f>IF(AND(ISNUMBER(E30),ISNUMBER(W30)),E30-W30,"")</f>
        <v/>
      </c>
      <c r="AW30" s="57" t="str">
        <f>IF(AND(ISNUMBER(I30),ISNUMBER(AF30)),I30-AF30,"")</f>
        <v/>
      </c>
      <c r="AX30" s="57" t="str">
        <f>IF(AND(ISNUMBER(AM30),ISNUMBER(G30)),G30-AM30,"")</f>
        <v/>
      </c>
      <c r="AY30" s="57" t="str">
        <f>IF(AND(ISNUMBER(AC30),ISNUMBER(AE30)),AC30-AE30,"")</f>
        <v/>
      </c>
      <c r="AZ30" s="57" t="str">
        <f>IF(AND(ISNUMBER(AL30),ISNUMBER(AM30)),AL30-AM30,"")</f>
        <v/>
      </c>
      <c r="BA30" s="84" t="str">
        <f>IF(AND($E30&gt;0,$W30&gt;0),IF(($E30-$W30)/$E30&gt;0,($E30-$W30)/$E30,0),"")</f>
        <v/>
      </c>
      <c r="BB30" s="84">
        <f>IF(AND($I30&gt;0,$AF30&gt;=0),IF(($I30-$AF30)/$I30&gt;0,($I30-$AF30)/$I30,0),"")</f>
        <v>1</v>
      </c>
      <c r="BC30" s="84">
        <f>IF(AND($AG30&gt;=0,$AD30&gt;=0,$AF30&gt;=0),IF($AG30/($AD30-$AF30)&gt;0,$AG30/($AD30-$AF30),0),"")</f>
        <v>0.15512630014858839</v>
      </c>
      <c r="BD30" s="84" t="str">
        <f>IF(AND($G30&gt;0,$AM30&gt;0),IF(($G30-$AM30)/$G30&gt;0,($G30-$AM30)/$G30,0),"")</f>
        <v/>
      </c>
      <c r="BE30" s="6">
        <f>IF((AD30-AF30)/(AJ30/60)&lt;=0,"",(AD30-AF30)/(AJ30/60))</f>
        <v>5.7685714285714296</v>
      </c>
      <c r="BF30" s="6" t="str">
        <f>IF(OR(AJ30=0,AP30=0,NOT(ISNUMBER(AD30)),NOT(ISNUMBER(AF30)),NOT(ISNUMBER(AJ30)),NOT(ISNUMBER(AP30))),"",
IFERROR(IF((AD30-AF30)/(AJ30/60)/(AP30/1000)&lt;=0,"",(AD30-AF30)/(AJ30/60)/(AP30/1000)),""))</f>
        <v/>
      </c>
    </row>
    <row r="31" spans="1:58" ht="15" customHeight="1">
      <c r="B31" s="11">
        <v>45291</v>
      </c>
      <c r="D31" s="3">
        <v>26</v>
      </c>
      <c r="E31" s="205" t="str">
        <f t="shared" si="0"/>
        <v/>
      </c>
      <c r="I31" s="15">
        <f>AD31</f>
        <v>16.825000000000003</v>
      </c>
      <c r="K31" s="10" t="str">
        <f t="shared" si="1"/>
        <v/>
      </c>
      <c r="L31" s="9" t="str">
        <f t="shared" si="2"/>
        <v/>
      </c>
      <c r="M31" s="8" t="str">
        <f t="shared" si="3"/>
        <v/>
      </c>
      <c r="AB31" s="5">
        <v>80</v>
      </c>
      <c r="AD31" s="188">
        <f>($AD$27+$AD$33)/2</f>
        <v>16.825000000000003</v>
      </c>
      <c r="AG31" s="204">
        <v>2.87</v>
      </c>
      <c r="AH31" s="203">
        <v>0.47962962962962963</v>
      </c>
      <c r="AJ31" s="1">
        <v>175</v>
      </c>
      <c r="AK31" s="3">
        <v>180</v>
      </c>
      <c r="AN31" s="80">
        <f>360-AK31-AB31</f>
        <v>100</v>
      </c>
      <c r="AO31" s="165"/>
      <c r="AP31" s="13">
        <f>AVERAGE(AO29:AO35)</f>
        <v>2860.0000000000364</v>
      </c>
      <c r="AQ31" s="15" t="str">
        <f>IF(ISNUMBER([2]HRT_SRT!R85),[2]HRT_SRT!R85,"")</f>
        <v/>
      </c>
      <c r="AR31" s="17" t="e">
        <f>(E31-W31)/E31</f>
        <v>#VALUE!</v>
      </c>
      <c r="AS31" s="16">
        <f>(I31-AF31)/I31</f>
        <v>1</v>
      </c>
      <c r="AT31" s="16">
        <f>AG31/(AD31-AF31)</f>
        <v>0.17057949479940562</v>
      </c>
      <c r="AU31" s="16" t="e">
        <f>(G31-AM31)/G31</f>
        <v>#DIV/0!</v>
      </c>
      <c r="AV31" s="57" t="str">
        <f>IF(AND(ISNUMBER(E31),ISNUMBER(W31)),E31-W31,"")</f>
        <v/>
      </c>
      <c r="AW31" s="57" t="str">
        <f>IF(AND(ISNUMBER(I31),ISNUMBER(AF31)),I31-AF31,"")</f>
        <v/>
      </c>
      <c r="AX31" s="57" t="str">
        <f>IF(AND(ISNUMBER(AM31),ISNUMBER(G31)),G31-AM31,"")</f>
        <v/>
      </c>
      <c r="AY31" s="57" t="str">
        <f>IF(AND(ISNUMBER(AC31),ISNUMBER(AE31)),AC31-AE31,"")</f>
        <v/>
      </c>
      <c r="AZ31" s="57" t="str">
        <f>IF(AND(ISNUMBER(AL31),ISNUMBER(AM31)),AL31-AM31,"")</f>
        <v/>
      </c>
      <c r="BA31" s="84" t="str">
        <f>IF(AND($E31&gt;0,$W31&gt;0),IF(($E31-$W31)/$E31&gt;0,($E31-$W31)/$E31,0),"")</f>
        <v/>
      </c>
      <c r="BB31" s="84">
        <f>IF(AND($I31&gt;0,$AF31&gt;=0),IF(($I31-$AF31)/$I31&gt;0,($I31-$AF31)/$I31,0),"")</f>
        <v>1</v>
      </c>
      <c r="BC31" s="84">
        <f>IF(AND($AG31&gt;=0,$AD31&gt;=0,$AF31&gt;=0),IF($AG31/($AD31-$AF31)&gt;0,$AG31/($AD31-$AF31),0),"")</f>
        <v>0.17057949479940562</v>
      </c>
      <c r="BD31" s="84" t="str">
        <f>IF(AND($G31&gt;0,$AM31&gt;0),IF(($G31-$AM31)/$G31&gt;0,($G31-$AM31)/$G31,0),"")</f>
        <v/>
      </c>
      <c r="BE31" s="6">
        <f>IF((AD31-AF31)/(AJ31/60)&lt;=0,"",(AD31-AF31)/(AJ31/60))</f>
        <v>5.7685714285714296</v>
      </c>
      <c r="BF31" s="6" t="str">
        <f>IF(OR(AJ31=0,AP31=0,NOT(ISNUMBER(AD31)),NOT(ISNUMBER(AF31)),NOT(ISNUMBER(AJ31)),NOT(ISNUMBER(AP31))),"",
IFERROR(IF((AD31-AF31)/(AJ31/60)/(AP31/1000)&lt;=0,"",(AD31-AF31)/(AJ31/60)/(AP31/1000)),""))</f>
        <v/>
      </c>
    </row>
    <row r="32" spans="1:58" ht="15" customHeight="1">
      <c r="B32" s="11">
        <v>45292</v>
      </c>
      <c r="D32" s="3">
        <v>27</v>
      </c>
      <c r="E32" s="205" t="str">
        <f t="shared" si="0"/>
        <v/>
      </c>
      <c r="I32" s="15">
        <f>AD32</f>
        <v>16.825000000000003</v>
      </c>
      <c r="K32" s="10" t="str">
        <f t="shared" si="1"/>
        <v/>
      </c>
      <c r="L32" s="9" t="str">
        <f t="shared" si="2"/>
        <v/>
      </c>
      <c r="M32" s="8" t="str">
        <f t="shared" si="3"/>
        <v/>
      </c>
      <c r="AB32" s="5">
        <v>80</v>
      </c>
      <c r="AD32" s="188">
        <f>($AD$27+$AD$33)/2</f>
        <v>16.825000000000003</v>
      </c>
      <c r="AG32" s="204">
        <v>3.53</v>
      </c>
      <c r="AH32" s="203">
        <v>0.49456018518518513</v>
      </c>
      <c r="AJ32" s="1">
        <v>175</v>
      </c>
      <c r="AK32" s="3">
        <v>180</v>
      </c>
      <c r="AN32" s="80">
        <f>360-AK32-AB32</f>
        <v>100</v>
      </c>
      <c r="AO32" s="165"/>
      <c r="AP32" s="13">
        <f>AVERAGE(AO30:AO36)</f>
        <v>2860.0000000000364</v>
      </c>
      <c r="AQ32" s="15" t="str">
        <f>IF(ISNUMBER([2]HRT_SRT!R86),[2]HRT_SRT!R86,"")</f>
        <v/>
      </c>
      <c r="AR32" s="17" t="e">
        <f>(E32-W32)/E32</f>
        <v>#VALUE!</v>
      </c>
      <c r="AS32" s="16">
        <f>(I32-AF32)/I32</f>
        <v>1</v>
      </c>
      <c r="AT32" s="16">
        <f>AG32/(AD32-AF32)</f>
        <v>0.20980683506686473</v>
      </c>
      <c r="AU32" s="16" t="e">
        <f>(G32-AM32)/G32</f>
        <v>#DIV/0!</v>
      </c>
      <c r="AV32" s="57" t="str">
        <f>IF(AND(ISNUMBER(E32),ISNUMBER(W32)),E32-W32,"")</f>
        <v/>
      </c>
      <c r="AW32" s="57" t="str">
        <f>IF(AND(ISNUMBER(I32),ISNUMBER(AF32)),I32-AF32,"")</f>
        <v/>
      </c>
      <c r="AX32" s="57" t="str">
        <f>IF(AND(ISNUMBER(AM32),ISNUMBER(G32)),G32-AM32,"")</f>
        <v/>
      </c>
      <c r="AY32" s="57" t="str">
        <f>IF(AND(ISNUMBER(AC32),ISNUMBER(AE32)),AC32-AE32,"")</f>
        <v/>
      </c>
      <c r="AZ32" s="57" t="str">
        <f>IF(AND(ISNUMBER(AL32),ISNUMBER(AM32)),AL32-AM32,"")</f>
        <v/>
      </c>
      <c r="BA32" s="84" t="str">
        <f>IF(AND($E32&gt;0,$W32&gt;0),IF(($E32-$W32)/$E32&gt;0,($E32-$W32)/$E32,0),"")</f>
        <v/>
      </c>
      <c r="BB32" s="84">
        <f>IF(AND($I32&gt;0,$AF32&gt;=0),IF(($I32-$AF32)/$I32&gt;0,($I32-$AF32)/$I32,0),"")</f>
        <v>1</v>
      </c>
      <c r="BC32" s="84">
        <f>IF(AND($AG32&gt;=0,$AD32&gt;=0,$AF32&gt;=0),IF($AG32/($AD32-$AF32)&gt;0,$AG32/($AD32-$AF32),0),"")</f>
        <v>0.20980683506686473</v>
      </c>
      <c r="BD32" s="84" t="str">
        <f>IF(AND($G32&gt;0,$AM32&gt;0),IF(($G32-$AM32)/$G32&gt;0,($G32-$AM32)/$G32,0),"")</f>
        <v/>
      </c>
      <c r="BE32" s="6">
        <f>IF((AD32-AF32)/(AJ32/60)&lt;=0,"",(AD32-AF32)/(AJ32/60))</f>
        <v>5.7685714285714296</v>
      </c>
      <c r="BF32" s="6" t="str">
        <f>IF(OR(AJ32=0,AP32=0,NOT(ISNUMBER(AD32)),NOT(ISNUMBER(AF32)),NOT(ISNUMBER(AJ32)),NOT(ISNUMBER(AP32))),"",
IFERROR(IF((AD32-AF32)/(AJ32/60)/(AP32/1000)&lt;=0,"",(AD32-AF32)/(AJ32/60)/(AP32/1000)),""))</f>
        <v/>
      </c>
    </row>
    <row r="33" spans="1:58" ht="15" customHeight="1">
      <c r="A33" s="12" t="s">
        <v>179</v>
      </c>
      <c r="B33" s="11">
        <v>45293</v>
      </c>
      <c r="D33" s="3">
        <v>28</v>
      </c>
      <c r="E33" s="205">
        <f t="shared" si="0"/>
        <v>268.54359999999997</v>
      </c>
      <c r="F33" s="9">
        <f>29.9134+125.7853</f>
        <v>155.6987</v>
      </c>
      <c r="G33" s="9" t="e">
        <f>#REF!*2</f>
        <v>#REF!</v>
      </c>
      <c r="I33" s="15">
        <f>AD33</f>
        <v>17.100000000000001</v>
      </c>
      <c r="K33" s="10" t="e">
        <f t="shared" si="1"/>
        <v>#REF!</v>
      </c>
      <c r="L33" s="9">
        <f t="shared" si="2"/>
        <v>7.8521520467836243</v>
      </c>
      <c r="M33" s="8" t="e">
        <f t="shared" si="3"/>
        <v>#REF!</v>
      </c>
      <c r="N33" s="7">
        <f>2*12</f>
        <v>24</v>
      </c>
      <c r="S33" s="6">
        <f>107.023+27.2488</f>
        <v>134.27179999999998</v>
      </c>
      <c r="T33" s="6">
        <f>2*25.4</f>
        <v>50.8</v>
      </c>
      <c r="W33" s="1">
        <f>3.9198+4.9139</f>
        <v>8.8337000000000003</v>
      </c>
      <c r="AB33" s="5">
        <v>80</v>
      </c>
      <c r="AC33" s="7">
        <f>T33</f>
        <v>50.8</v>
      </c>
      <c r="AD33" s="1">
        <f>5*3.42</f>
        <v>17.100000000000001</v>
      </c>
      <c r="AE33" s="1">
        <f>2*16.8</f>
        <v>33.6</v>
      </c>
      <c r="AF33" s="1">
        <v>1.0000000000000001E-5</v>
      </c>
      <c r="AG33" s="204">
        <v>4.07</v>
      </c>
      <c r="AH33" s="203">
        <v>0.14166666666666666</v>
      </c>
      <c r="AJ33" s="1">
        <v>175</v>
      </c>
      <c r="AK33" s="3">
        <v>180</v>
      </c>
      <c r="AL33" s="4">
        <f>AE33</f>
        <v>33.6</v>
      </c>
      <c r="AM33" s="1">
        <f>2*9.46</f>
        <v>18.920000000000002</v>
      </c>
      <c r="AN33" s="80">
        <f>360-AK33-AB33</f>
        <v>100</v>
      </c>
      <c r="AO33" s="165"/>
      <c r="AP33" s="13">
        <f>AVERAGE(AO31:AO37)</f>
        <v>2860.0000000000364</v>
      </c>
      <c r="AQ33" s="15" t="str">
        <f>IF(ISNUMBER([2]HRT_SRT!R87),[2]HRT_SRT!R87,"")</f>
        <v/>
      </c>
      <c r="AR33" s="17">
        <f>(E33-W33)/E33</f>
        <v>0.96710515536397057</v>
      </c>
      <c r="AS33" s="16">
        <f>(I33-AF33)/I33</f>
        <v>0.99999941520467839</v>
      </c>
      <c r="AT33" s="16">
        <f>AG33/(AD33-AF33)</f>
        <v>0.23801183509464041</v>
      </c>
      <c r="AU33" s="16" t="e">
        <f>(G33-AM33)/G33</f>
        <v>#REF!</v>
      </c>
      <c r="AV33" s="57">
        <f>IF(AND(ISNUMBER(E33),ISNUMBER(W33)),E33-W33,"")</f>
        <v>259.70989999999995</v>
      </c>
      <c r="AW33" s="57">
        <f>IF(AND(ISNUMBER(I33),ISNUMBER(AF33)),I33-AF33,"")</f>
        <v>17.099990000000002</v>
      </c>
      <c r="AX33" s="57" t="str">
        <f>IF(AND(ISNUMBER(AM33),ISNUMBER(G33)),G33-AM33,"")</f>
        <v/>
      </c>
      <c r="AY33" s="57">
        <f>IF(AND(ISNUMBER(AC33),ISNUMBER(AE33)),AC33-AE33,"")</f>
        <v>17.199999999999996</v>
      </c>
      <c r="AZ33" s="57">
        <f>IF(AND(ISNUMBER(AL33),ISNUMBER(AM33)),AL33-AM33,"")</f>
        <v>14.68</v>
      </c>
      <c r="BA33" s="84">
        <f>IF(AND($E33&gt;0,$W33&gt;0),IF(($E33-$W33)/$E33&gt;0,($E33-$W33)/$E33,0),"")</f>
        <v>0.96710515536397057</v>
      </c>
      <c r="BB33" s="84">
        <f>IF(AND($I33&gt;0,$AF33&gt;=0),IF(($I33-$AF33)/$I33&gt;0,($I33-$AF33)/$I33,0),"")</f>
        <v>0.99999941520467839</v>
      </c>
      <c r="BC33" s="84">
        <f>IF(AND($AG33&gt;=0,$AD33&gt;=0,$AF33&gt;=0),IF($AG33/($AD33-$AF33)&gt;0,$AG33/($AD33-$AF33),0),"")</f>
        <v>0.23801183509464041</v>
      </c>
      <c r="BD33" s="84" t="e">
        <f>IF(AND($G33&gt;0,$AM33&gt;0),IF(($G33-$AM33)/$G33&gt;0,($G33-$AM33)/$G33,0),"")</f>
        <v>#REF!</v>
      </c>
      <c r="BE33" s="6">
        <f>IF((AD33-AF33)/(AJ33/60)&lt;=0,"",(AD33-AF33)/(AJ33/60))</f>
        <v>5.8628537142857153</v>
      </c>
      <c r="BF33" s="6">
        <f>IF(OR(AJ33=0,AP33=0,NOT(ISNUMBER(AD33)),NOT(ISNUMBER(AF33)),NOT(ISNUMBER(AJ33)),NOT(ISNUMBER(AP33))),"",
IFERROR(IF((AD33-AF33)/(AJ33/60)/(AP33/1000)&lt;=0,"",(AD33-AF33)/(AJ33/60)/(AP33/1000)),""))</f>
        <v>2.0499488511488253</v>
      </c>
    </row>
    <row r="34" spans="1:58" ht="15" customHeight="1">
      <c r="A34" s="12" t="s">
        <v>178</v>
      </c>
      <c r="B34" s="167">
        <v>45294</v>
      </c>
      <c r="C34" s="166"/>
      <c r="D34" s="136">
        <v>29</v>
      </c>
      <c r="E34" s="205">
        <f t="shared" si="0"/>
        <v>327.97</v>
      </c>
      <c r="G34" s="9">
        <f>(N34*18-H34*9)/9</f>
        <v>34.379999999999995</v>
      </c>
      <c r="H34" s="9">
        <v>21.12</v>
      </c>
      <c r="I34" s="15">
        <f>AD34</f>
        <v>20.99</v>
      </c>
      <c r="K34" s="10">
        <f t="shared" si="1"/>
        <v>9.5395578824898219</v>
      </c>
      <c r="L34" s="9">
        <f t="shared" si="2"/>
        <v>7.812529776083851</v>
      </c>
      <c r="M34" s="8">
        <f t="shared" si="3"/>
        <v>1.2210587550901688</v>
      </c>
      <c r="N34" s="7">
        <v>27.75</v>
      </c>
      <c r="S34" s="6">
        <f>'[2]1-3-2024'!Q6</f>
        <v>163.98500000000001</v>
      </c>
      <c r="T34" s="6">
        <f>'[2]1-3-2024'!I12</f>
        <v>65.069999999999993</v>
      </c>
      <c r="W34" s="6">
        <f>'[2]1-3-2024'!Q12</f>
        <v>8.5429999999999993</v>
      </c>
      <c r="AB34" s="5">
        <v>80</v>
      </c>
      <c r="AC34" s="7">
        <f>T34</f>
        <v>65.069999999999993</v>
      </c>
      <c r="AD34" s="1">
        <f>'[2]1-3-2024'!G13</f>
        <v>20.99</v>
      </c>
      <c r="AE34" s="1">
        <f>'[2]1-3-2024'!I21</f>
        <v>37.89</v>
      </c>
      <c r="AF34" s="1">
        <f>'[2]1-3-2024'!G21</f>
        <v>0.43</v>
      </c>
      <c r="AG34" s="204">
        <v>5.12</v>
      </c>
      <c r="AH34" s="203">
        <v>0.49421296296296297</v>
      </c>
      <c r="AJ34" s="1">
        <v>175</v>
      </c>
      <c r="AK34" s="3">
        <v>180</v>
      </c>
      <c r="AL34" s="4">
        <f>AE34</f>
        <v>37.89</v>
      </c>
      <c r="AM34" s="6">
        <f>'[2]1-3-2024'!I27</f>
        <v>20.6</v>
      </c>
      <c r="AN34" s="80">
        <f>360-AK34-AB34</f>
        <v>100</v>
      </c>
      <c r="AO34" s="165">
        <f>[2]TSS_VSS!H86</f>
        <v>2860.0000000000364</v>
      </c>
      <c r="AP34" s="13">
        <f>AVERAGE(AO32:AO38)</f>
        <v>2860.0000000000364</v>
      </c>
      <c r="AQ34" s="15">
        <f>IF(ISNUMBER([2]HRT_SRT!R88),[2]HRT_SRT!R88,"")</f>
        <v>26.3437998935599</v>
      </c>
      <c r="AR34" s="17">
        <f>(E34-W34)/E34</f>
        <v>0.97395188584321735</v>
      </c>
      <c r="AS34" s="16">
        <f>(I34-AF34)/I34</f>
        <v>0.9795140543115769</v>
      </c>
      <c r="AT34" s="16">
        <f>AG34/(AD34-AF34)</f>
        <v>0.24902723735408563</v>
      </c>
      <c r="AU34" s="16">
        <f>(G34-AM34)/G34</f>
        <v>0.40081442699243736</v>
      </c>
      <c r="AV34" s="57">
        <f>IF(AND(ISNUMBER(E34),ISNUMBER(W34)),E34-W34,"")</f>
        <v>319.42700000000002</v>
      </c>
      <c r="AW34" s="57">
        <f>IF(AND(ISNUMBER(I34),ISNUMBER(AF34)),I34-AF34,"")</f>
        <v>20.56</v>
      </c>
      <c r="AX34" s="57">
        <f>IF(AND(ISNUMBER(AM34),ISNUMBER(G34)),G34-AM34,"")</f>
        <v>13.779999999999994</v>
      </c>
      <c r="AY34" s="57">
        <f>IF(AND(ISNUMBER(AC34),ISNUMBER(AE34)),AC34-AE34,"")</f>
        <v>27.179999999999993</v>
      </c>
      <c r="AZ34" s="57">
        <f>IF(AND(ISNUMBER(AL34),ISNUMBER(AM34)),AL34-AM34,"")</f>
        <v>17.29</v>
      </c>
      <c r="BA34" s="84">
        <f>IF(AND($E34&gt;0,$W34&gt;0),IF(($E34-$W34)/$E34&gt;0,($E34-$W34)/$E34,0),"")</f>
        <v>0.97395188584321735</v>
      </c>
      <c r="BB34" s="84">
        <f>IF(AND($I34&gt;0,$AF34&gt;=0),IF(($I34-$AF34)/$I34&gt;0,($I34-$AF34)/$I34,0),"")</f>
        <v>0.9795140543115769</v>
      </c>
      <c r="BC34" s="84">
        <f>IF(AND($AG34&gt;=0,$AD34&gt;=0,$AF34&gt;=0),IF($AG34/($AD34-$AF34)&gt;0,$AG34/($AD34-$AF34),0),"")</f>
        <v>0.24902723735408563</v>
      </c>
      <c r="BD34" s="84">
        <f>IF(AND($G34&gt;0,$AM34&gt;0),IF(($G34-$AM34)/$G34&gt;0,($G34-$AM34)/$G34,0),"")</f>
        <v>0.40081442699243736</v>
      </c>
      <c r="BE34" s="6">
        <f>IF((AD34-AF34)/(AJ34/60)&lt;=0,"",(AD34-AF34)/(AJ34/60))</f>
        <v>7.0491428571428569</v>
      </c>
      <c r="BF34" s="6">
        <f>IF(OR(AJ34=0,AP34=0,NOT(ISNUMBER(AD34)),NOT(ISNUMBER(AF34)),NOT(ISNUMBER(AJ34)),NOT(ISNUMBER(AP34))),"",
IFERROR(IF((AD34-AF34)/(AJ34/60)/(AP34/1000)&lt;=0,"",(AD34-AF34)/(AJ34/60)/(AP34/1000)),""))</f>
        <v>2.4647352647352334</v>
      </c>
    </row>
    <row r="35" spans="1:58" ht="15" customHeight="1">
      <c r="B35" s="11">
        <v>45295</v>
      </c>
      <c r="D35" s="3">
        <v>30</v>
      </c>
      <c r="E35" s="205" t="str">
        <f t="shared" si="0"/>
        <v/>
      </c>
      <c r="I35" s="15">
        <f>AD35</f>
        <v>20.594999999999999</v>
      </c>
      <c r="K35" s="10" t="str">
        <f t="shared" si="1"/>
        <v/>
      </c>
      <c r="L35" s="9" t="str">
        <f t="shared" si="2"/>
        <v/>
      </c>
      <c r="M35" s="8" t="str">
        <f t="shared" si="3"/>
        <v/>
      </c>
      <c r="AB35" s="5">
        <v>80</v>
      </c>
      <c r="AD35" s="188">
        <f>(AD34+AD36)/2</f>
        <v>20.594999999999999</v>
      </c>
      <c r="AG35" s="204">
        <v>5.19</v>
      </c>
      <c r="AH35" s="203">
        <v>0.50023148148148155</v>
      </c>
      <c r="AJ35" s="1">
        <v>175</v>
      </c>
      <c r="AK35" s="3">
        <v>180</v>
      </c>
      <c r="AN35" s="80">
        <f>360-AK35-AB35</f>
        <v>100</v>
      </c>
      <c r="AO35" s="165"/>
      <c r="AP35" s="13">
        <f>AVERAGE(AO33:AO39)</f>
        <v>2935.0000000000136</v>
      </c>
      <c r="AQ35" s="15" t="str">
        <f>IF(ISNUMBER([2]HRT_SRT!R89),[2]HRT_SRT!R89,"")</f>
        <v/>
      </c>
      <c r="AR35" s="17" t="e">
        <f>(E35-W35)/E35</f>
        <v>#VALUE!</v>
      </c>
      <c r="AS35" s="16">
        <f>(I35-AF35)/I35</f>
        <v>1</v>
      </c>
      <c r="AT35" s="16">
        <f>AG35/(AD35-AF35)</f>
        <v>0.2520029133284778</v>
      </c>
      <c r="AU35" s="16" t="e">
        <f>(G35-AM35)/G35</f>
        <v>#DIV/0!</v>
      </c>
      <c r="AV35" s="57" t="str">
        <f>IF(AND(ISNUMBER(E35),ISNUMBER(W35)),E35-W35,"")</f>
        <v/>
      </c>
      <c r="AW35" s="57" t="str">
        <f>IF(AND(ISNUMBER(I35),ISNUMBER(AF35)),I35-AF35,"")</f>
        <v/>
      </c>
      <c r="AX35" s="57" t="str">
        <f>IF(AND(ISNUMBER(AM35),ISNUMBER(G35)),G35-AM35,"")</f>
        <v/>
      </c>
      <c r="AY35" s="57" t="str">
        <f>IF(AND(ISNUMBER(AC35),ISNUMBER(AE35)),AC35-AE35,"")</f>
        <v/>
      </c>
      <c r="AZ35" s="57" t="str">
        <f>IF(AND(ISNUMBER(AL35),ISNUMBER(AM35)),AL35-AM35,"")</f>
        <v/>
      </c>
      <c r="BA35" s="84" t="str">
        <f>IF(AND($E35&gt;0,$W35&gt;0),IF(($E35-$W35)/$E35&gt;0,($E35-$W35)/$E35,0),"")</f>
        <v/>
      </c>
      <c r="BB35" s="84">
        <f>IF(AND($I35&gt;0,$AF35&gt;=0),IF(($I35-$AF35)/$I35&gt;0,($I35-$AF35)/$I35,0),"")</f>
        <v>1</v>
      </c>
      <c r="BC35" s="84">
        <f>IF(AND($AG35&gt;=0,$AD35&gt;=0,$AF35&gt;=0),IF($AG35/($AD35-$AF35)&gt;0,$AG35/($AD35-$AF35),0),"")</f>
        <v>0.2520029133284778</v>
      </c>
      <c r="BD35" s="84" t="str">
        <f>IF(AND($G35&gt;0,$AM35&gt;0),IF(($G35-$AM35)/$G35&gt;0,($G35-$AM35)/$G35,0),"")</f>
        <v/>
      </c>
      <c r="BE35" s="6">
        <f>IF((AD35-AF35)/(AJ35/60)&lt;=0,"",(AD35-AF35)/(AJ35/60))</f>
        <v>7.0611428571428574</v>
      </c>
      <c r="BF35" s="6" t="str">
        <f>IF(OR(AJ35=0,AP35=0,NOT(ISNUMBER(AD35)),NOT(ISNUMBER(AF35)),NOT(ISNUMBER(AJ35)),NOT(ISNUMBER(AP35))),"",
IFERROR(IF((AD35-AF35)/(AJ35/60)/(AP35/1000)&lt;=0,"",(AD35-AF35)/(AJ35/60)/(AP35/1000)),""))</f>
        <v/>
      </c>
    </row>
    <row r="36" spans="1:58" ht="15" customHeight="1">
      <c r="B36" s="11">
        <v>45296</v>
      </c>
      <c r="D36" s="3">
        <v>31</v>
      </c>
      <c r="E36" s="205" t="str">
        <f t="shared" si="0"/>
        <v/>
      </c>
      <c r="G36" s="9">
        <f>(N36*18-H36*9)/9</f>
        <v>33.64</v>
      </c>
      <c r="H36" s="9">
        <f>2*5.18</f>
        <v>10.36</v>
      </c>
      <c r="I36" s="15">
        <f>AD36</f>
        <v>20.2</v>
      </c>
      <c r="K36" s="10" t="str">
        <f t="shared" si="1"/>
        <v/>
      </c>
      <c r="L36" s="9" t="str">
        <f t="shared" si="2"/>
        <v/>
      </c>
      <c r="M36" s="8">
        <f t="shared" si="3"/>
        <v>1.2009512485136742</v>
      </c>
      <c r="N36" s="7">
        <f>2*11</f>
        <v>22</v>
      </c>
      <c r="T36" s="6">
        <f>2*23.6</f>
        <v>47.2</v>
      </c>
      <c r="X36" s="6">
        <v>2.77</v>
      </c>
      <c r="AB36" s="5">
        <v>80</v>
      </c>
      <c r="AC36" s="7">
        <f>T36</f>
        <v>47.2</v>
      </c>
      <c r="AD36" s="1">
        <f>5*4.04</f>
        <v>20.2</v>
      </c>
      <c r="AE36" s="1">
        <f>2*14.8</f>
        <v>29.6</v>
      </c>
      <c r="AF36" s="1">
        <v>0.249</v>
      </c>
      <c r="AG36" s="204">
        <v>5.89</v>
      </c>
      <c r="AH36" s="203">
        <v>0.50520833333333337</v>
      </c>
      <c r="AJ36" s="1">
        <v>175</v>
      </c>
      <c r="AK36" s="3">
        <v>180</v>
      </c>
      <c r="AL36" s="4">
        <f>AE36</f>
        <v>29.6</v>
      </c>
      <c r="AM36" s="1">
        <f>2*5.1</f>
        <v>10.199999999999999</v>
      </c>
      <c r="AN36" s="80">
        <f>360-AK36-AB36</f>
        <v>100</v>
      </c>
      <c r="AO36" s="165"/>
      <c r="AP36" s="13">
        <f>AVERAGE(AO34:AO40)</f>
        <v>2935.0000000000136</v>
      </c>
      <c r="AQ36" s="15" t="str">
        <f>IF(ISNUMBER([2]HRT_SRT!R90),[2]HRT_SRT!R90,"")</f>
        <v/>
      </c>
      <c r="AR36" s="17" t="e">
        <f>(E36-W36)/E36</f>
        <v>#VALUE!</v>
      </c>
      <c r="AS36" s="16">
        <f>(I36-AF36)/I36</f>
        <v>0.98767326732673277</v>
      </c>
      <c r="AT36" s="16">
        <f>AG36/(AD36-AF36)</f>
        <v>0.29522329707784067</v>
      </c>
      <c r="AU36" s="16">
        <f>(G36-AM36)/G36</f>
        <v>0.69678953626634965</v>
      </c>
      <c r="AV36" s="57" t="str">
        <f>IF(AND(ISNUMBER(E36),ISNUMBER(W36)),E36-W36,"")</f>
        <v/>
      </c>
      <c r="AW36" s="57">
        <f>IF(AND(ISNUMBER(I36),ISNUMBER(AF36)),I36-AF36,"")</f>
        <v>19.951000000000001</v>
      </c>
      <c r="AX36" s="57">
        <f>IF(AND(ISNUMBER(AM36),ISNUMBER(G36)),G36-AM36,"")</f>
        <v>23.44</v>
      </c>
      <c r="AY36" s="57">
        <f>IF(AND(ISNUMBER(AC36),ISNUMBER(AE36)),AC36-AE36,"")</f>
        <v>17.600000000000001</v>
      </c>
      <c r="AZ36" s="57">
        <f>IF(AND(ISNUMBER(AL36),ISNUMBER(AM36)),AL36-AM36,"")</f>
        <v>19.400000000000002</v>
      </c>
      <c r="BA36" s="84" t="str">
        <f>IF(AND($E36&gt;0,$W36&gt;0),IF(($E36-$W36)/$E36&gt;0,($E36-$W36)/$E36,0),"")</f>
        <v/>
      </c>
      <c r="BB36" s="84">
        <f>IF(AND($I36&gt;0,$AF36&gt;=0),IF(($I36-$AF36)/$I36&gt;0,($I36-$AF36)/$I36,0),"")</f>
        <v>0.98767326732673277</v>
      </c>
      <c r="BC36" s="84">
        <f>IF(AND($AG36&gt;=0,$AD36&gt;=0,$AF36&gt;=0),IF($AG36/($AD36-$AF36)&gt;0,$AG36/($AD36-$AF36),0),"")</f>
        <v>0.29522329707784067</v>
      </c>
      <c r="BD36" s="84">
        <f>IF(AND($G36&gt;0,$AM36&gt;0),IF(($G36-$AM36)/$G36&gt;0,($G36-$AM36)/$G36,0),"")</f>
        <v>0.69678953626634965</v>
      </c>
      <c r="BE36" s="6">
        <f>IF((AD36-AF36)/(AJ36/60)&lt;=0,"",(AD36-AF36)/(AJ36/60))</f>
        <v>6.8403428571428577</v>
      </c>
      <c r="BF36" s="6">
        <f>IF(OR(AJ36=0,AP36=0,NOT(ISNUMBER(AD36)),NOT(ISNUMBER(AF36)),NOT(ISNUMBER(AJ36)),NOT(ISNUMBER(AP36))),"",
IFERROR(IF((AD36-AF36)/(AJ36/60)/(AP36/1000)&lt;=0,"",(AD36-AF36)/(AJ36/60)/(AP36/1000)),""))</f>
        <v>2.330610854222428</v>
      </c>
    </row>
    <row r="37" spans="1:58" ht="15" customHeight="1">
      <c r="A37" s="12" t="s">
        <v>177</v>
      </c>
      <c r="B37" s="11">
        <v>45297</v>
      </c>
      <c r="D37" s="3">
        <v>32</v>
      </c>
      <c r="E37" s="205" t="str">
        <f t="shared" si="0"/>
        <v/>
      </c>
      <c r="I37" s="15">
        <f>AD37</f>
        <v>20.2</v>
      </c>
      <c r="K37" s="10" t="str">
        <f t="shared" ref="K37:K100" si="4">IF(OR(E37="",G37="",E37=0,G37=0),"",E37/G37)</f>
        <v/>
      </c>
      <c r="L37" s="9" t="str">
        <f t="shared" ref="L37:L100" si="5">IF(OR(E37="",I37="",E37=0,I37=0),"",E37/(I37*2))</f>
        <v/>
      </c>
      <c r="M37" s="8" t="str">
        <f t="shared" ref="M37:M100" si="6">IF(OR(I37="",G37="",I37=0,G37=0),"",I37*2/G37)</f>
        <v/>
      </c>
      <c r="AB37" s="5">
        <v>80</v>
      </c>
      <c r="AD37" s="188">
        <f>AD36</f>
        <v>20.2</v>
      </c>
      <c r="AG37" s="204">
        <v>6.59</v>
      </c>
      <c r="AH37" s="203">
        <v>0.50520833333333337</v>
      </c>
      <c r="AJ37" s="1">
        <v>175</v>
      </c>
      <c r="AK37" s="3">
        <v>180</v>
      </c>
      <c r="AN37" s="80">
        <f>360-AK37-AB37</f>
        <v>100</v>
      </c>
      <c r="AO37" s="165"/>
      <c r="AP37" s="13">
        <f>AVERAGE(AO35:AO41)</f>
        <v>3009.9999999999909</v>
      </c>
      <c r="AQ37" s="15" t="str">
        <f>IF(ISNUMBER([2]HRT_SRT!R91),[2]HRT_SRT!R91,"")</f>
        <v/>
      </c>
      <c r="AR37" s="17" t="e">
        <f>(E37-W37)/E37</f>
        <v>#VALUE!</v>
      </c>
      <c r="AS37" s="16">
        <f>(I37-AF37)/I37</f>
        <v>1</v>
      </c>
      <c r="AT37" s="16">
        <f>AG37/(AD37-AF37)</f>
        <v>0.32623762376237625</v>
      </c>
      <c r="AU37" s="16" t="e">
        <f>(G37-AM37)/G37</f>
        <v>#DIV/0!</v>
      </c>
      <c r="AV37" s="57" t="str">
        <f>IF(AND(ISNUMBER(E37),ISNUMBER(W37)),E37-W37,"")</f>
        <v/>
      </c>
      <c r="AW37" s="57" t="str">
        <f>IF(AND(ISNUMBER(I37),ISNUMBER(AF37)),I37-AF37,"")</f>
        <v/>
      </c>
      <c r="AX37" s="57" t="str">
        <f>IF(AND(ISNUMBER(AM37),ISNUMBER(G37)),G37-AM37,"")</f>
        <v/>
      </c>
      <c r="AY37" s="57" t="str">
        <f>IF(AND(ISNUMBER(AC37),ISNUMBER(AE37)),AC37-AE37,"")</f>
        <v/>
      </c>
      <c r="AZ37" s="57" t="str">
        <f>IF(AND(ISNUMBER(AL37),ISNUMBER(AM37)),AL37-AM37,"")</f>
        <v/>
      </c>
      <c r="BA37" s="84" t="str">
        <f>IF(AND($E37&gt;0,$W37&gt;0),IF(($E37-$W37)/$E37&gt;0,($E37-$W37)/$E37,0),"")</f>
        <v/>
      </c>
      <c r="BB37" s="84">
        <f>IF(AND($I37&gt;0,$AF37&gt;=0),IF(($I37-$AF37)/$I37&gt;0,($I37-$AF37)/$I37,0),"")</f>
        <v>1</v>
      </c>
      <c r="BC37" s="84">
        <f>IF(AND($AG37&gt;=0,$AD37&gt;=0,$AF37&gt;=0),IF($AG37/($AD37-$AF37)&gt;0,$AG37/($AD37-$AF37),0),"")</f>
        <v>0.32623762376237625</v>
      </c>
      <c r="BD37" s="84" t="str">
        <f>IF(AND($G37&gt;0,$AM37&gt;0),IF(($G37-$AM37)/$G37&gt;0,($G37-$AM37)/$G37,0),"")</f>
        <v/>
      </c>
      <c r="BE37" s="6">
        <f>IF((AD37-AF37)/(AJ37/60)&lt;=0,"",(AD37-AF37)/(AJ37/60))</f>
        <v>6.9257142857142862</v>
      </c>
      <c r="BF37" s="6" t="str">
        <f>IF(OR(AJ37=0,AP37=0,NOT(ISNUMBER(AD37)),NOT(ISNUMBER(AF37)),NOT(ISNUMBER(AJ37)),NOT(ISNUMBER(AP37))),"",
IFERROR(IF((AD37-AF37)/(AJ37/60)/(AP37/1000)&lt;=0,"",(AD37-AF37)/(AJ37/60)/(AP37/1000)),""))</f>
        <v/>
      </c>
    </row>
    <row r="38" spans="1:58" ht="15" customHeight="1">
      <c r="B38" s="11">
        <v>45298</v>
      </c>
      <c r="D38" s="3">
        <v>33</v>
      </c>
      <c r="E38" s="205" t="str">
        <f t="shared" si="0"/>
        <v/>
      </c>
      <c r="I38" s="15">
        <f>AD38</f>
        <v>20.2</v>
      </c>
      <c r="K38" s="10" t="str">
        <f t="shared" si="4"/>
        <v/>
      </c>
      <c r="L38" s="9" t="str">
        <f t="shared" si="5"/>
        <v/>
      </c>
      <c r="M38" s="8" t="str">
        <f t="shared" si="6"/>
        <v/>
      </c>
      <c r="AB38" s="5">
        <v>80</v>
      </c>
      <c r="AD38" s="188">
        <f>AD36</f>
        <v>20.2</v>
      </c>
      <c r="AG38" s="204">
        <v>6.81</v>
      </c>
      <c r="AH38" s="203">
        <v>0.50462962962962965</v>
      </c>
      <c r="AJ38" s="1">
        <v>175</v>
      </c>
      <c r="AK38" s="3">
        <v>180</v>
      </c>
      <c r="AN38" s="80">
        <f>360-AK38-AB38</f>
        <v>100</v>
      </c>
      <c r="AO38" s="165"/>
      <c r="AP38" s="13">
        <f>AVERAGE(AO36:AO42)</f>
        <v>3009.9999999999909</v>
      </c>
      <c r="AQ38" s="15" t="str">
        <f>IF(ISNUMBER([2]HRT_SRT!R92),[2]HRT_SRT!R92,"")</f>
        <v/>
      </c>
      <c r="AR38" s="17" t="e">
        <f>(E38-W38)/E38</f>
        <v>#VALUE!</v>
      </c>
      <c r="AS38" s="16">
        <f>(I38-AF38)/I38</f>
        <v>1</v>
      </c>
      <c r="AT38" s="16">
        <f>AG38/(AD38-AF38)</f>
        <v>0.3371287128712871</v>
      </c>
      <c r="AU38" s="16" t="e">
        <f>(G38-AM38)/G38</f>
        <v>#DIV/0!</v>
      </c>
      <c r="AV38" s="57" t="str">
        <f>IF(AND(ISNUMBER(E38),ISNUMBER(W38)),E38-W38,"")</f>
        <v/>
      </c>
      <c r="AW38" s="57" t="str">
        <f>IF(AND(ISNUMBER(I38),ISNUMBER(AF38)),I38-AF38,"")</f>
        <v/>
      </c>
      <c r="AX38" s="57" t="str">
        <f>IF(AND(ISNUMBER(AM38),ISNUMBER(G38)),G38-AM38,"")</f>
        <v/>
      </c>
      <c r="AY38" s="57" t="str">
        <f>IF(AND(ISNUMBER(AC38),ISNUMBER(AE38)),AC38-AE38,"")</f>
        <v/>
      </c>
      <c r="AZ38" s="57" t="str">
        <f>IF(AND(ISNUMBER(AL38),ISNUMBER(AM38)),AL38-AM38,"")</f>
        <v/>
      </c>
      <c r="BA38" s="84" t="str">
        <f>IF(AND($E38&gt;0,$W38&gt;0),IF(($E38-$W38)/$E38&gt;0,($E38-$W38)/$E38,0),"")</f>
        <v/>
      </c>
      <c r="BB38" s="84">
        <f>IF(AND($I38&gt;0,$AF38&gt;=0),IF(($I38-$AF38)/$I38&gt;0,($I38-$AF38)/$I38,0),"")</f>
        <v>1</v>
      </c>
      <c r="BC38" s="84">
        <f>IF(AND($AG38&gt;=0,$AD38&gt;=0,$AF38&gt;=0),IF($AG38/($AD38-$AF38)&gt;0,$AG38/($AD38-$AF38),0),"")</f>
        <v>0.3371287128712871</v>
      </c>
      <c r="BD38" s="84" t="str">
        <f>IF(AND($G38&gt;0,$AM38&gt;0),IF(($G38-$AM38)/$G38&gt;0,($G38-$AM38)/$G38,0),"")</f>
        <v/>
      </c>
      <c r="BE38" s="6">
        <f>IF((AD38-AF38)/(AJ38/60)&lt;=0,"",(AD38-AF38)/(AJ38/60))</f>
        <v>6.9257142857142862</v>
      </c>
      <c r="BF38" s="6" t="str">
        <f>IF(OR(AJ38=0,AP38=0,NOT(ISNUMBER(AD38)),NOT(ISNUMBER(AF38)),NOT(ISNUMBER(AJ38)),NOT(ISNUMBER(AP38))),"",
IFERROR(IF((AD38-AF38)/(AJ38/60)/(AP38/1000)&lt;=0,"",(AD38-AF38)/(AJ38/60)/(AP38/1000)),""))</f>
        <v/>
      </c>
    </row>
    <row r="39" spans="1:58" ht="15" customHeight="1">
      <c r="A39" s="12" t="s">
        <v>176</v>
      </c>
      <c r="B39" s="167">
        <v>45299</v>
      </c>
      <c r="C39" s="166"/>
      <c r="D39" s="136">
        <v>34</v>
      </c>
      <c r="E39" s="205">
        <f t="shared" si="0"/>
        <v>379.84399999999999</v>
      </c>
      <c r="F39" s="9">
        <f>'[2]1-8-2024'!$AR$42+'[2]1-8-2024'!$AR$85</f>
        <v>186.279</v>
      </c>
      <c r="G39" s="9">
        <f>(N39*18-H39*9)/9</f>
        <v>34.409999999999997</v>
      </c>
      <c r="H39" s="9">
        <f>'[2]1-8-2024'!$I$28</f>
        <v>29.25</v>
      </c>
      <c r="I39" s="15">
        <f>AD39</f>
        <v>24.11</v>
      </c>
      <c r="K39" s="10">
        <f t="shared" si="4"/>
        <v>11.038767800058123</v>
      </c>
      <c r="L39" s="9">
        <f t="shared" si="5"/>
        <v>7.8773123185400253</v>
      </c>
      <c r="M39" s="8">
        <f t="shared" si="6"/>
        <v>1.4013368206916594</v>
      </c>
      <c r="N39" s="7">
        <f>'[2]1-8-2024'!$I$6</f>
        <v>31.83</v>
      </c>
      <c r="S39" s="6">
        <f>'[2]1-8-2024'!$Q$6</f>
        <v>189.922</v>
      </c>
      <c r="T39" s="6">
        <f>'[2]1-8-2024'!$I$12</f>
        <v>71.22</v>
      </c>
      <c r="W39" s="6">
        <f>'[2]1-8-2024'!$Q$12</f>
        <v>7.8840000000000003</v>
      </c>
      <c r="X39" s="6">
        <v>4.92</v>
      </c>
      <c r="AB39" s="5">
        <v>80</v>
      </c>
      <c r="AC39" s="7">
        <f>T39</f>
        <v>71.22</v>
      </c>
      <c r="AD39" s="1">
        <f>'[2]1-8-2024'!G13</f>
        <v>24.11</v>
      </c>
      <c r="AE39" s="1">
        <f>'[2]1-8-2024'!$I$21</f>
        <v>46.25</v>
      </c>
      <c r="AF39" s="1">
        <f>'[2]1-8-2024'!G21</f>
        <v>1.3</v>
      </c>
      <c r="AG39" s="204">
        <v>6.74</v>
      </c>
      <c r="AH39" s="203">
        <v>0.50787037037037031</v>
      </c>
      <c r="AJ39" s="1">
        <v>175</v>
      </c>
      <c r="AK39" s="3">
        <v>180</v>
      </c>
      <c r="AL39" s="4">
        <f>AE39</f>
        <v>46.25</v>
      </c>
      <c r="AM39" s="6">
        <f>'[2]1-8-2024'!$I$27</f>
        <v>29.19</v>
      </c>
      <c r="AN39" s="80">
        <f>360-AK39-AB39</f>
        <v>100</v>
      </c>
      <c r="AO39" s="165">
        <f>[2]TSS_VSS!H92</f>
        <v>3009.9999999999909</v>
      </c>
      <c r="AP39" s="13">
        <f>AVERAGE(AO37:AO43)</f>
        <v>3009.9999999999909</v>
      </c>
      <c r="AQ39" s="15">
        <f>IF(ISNUMBER([2]HRT_SRT!R93),[2]HRT_SRT!R93,"")</f>
        <v>25.888761467890088</v>
      </c>
      <c r="AR39" s="17">
        <f>(E39-W39)/E39</f>
        <v>0.97924411074019857</v>
      </c>
      <c r="AS39" s="16">
        <f>(I39-AF39)/I39</f>
        <v>0.94608046453753625</v>
      </c>
      <c r="AT39" s="16">
        <f>AG39/(AD39-AF39)</f>
        <v>0.29548443665059188</v>
      </c>
      <c r="AU39" s="16">
        <f>(G39-AM39)/G39</f>
        <v>0.15170008718395803</v>
      </c>
      <c r="AV39" s="57">
        <f>IF(AND(ISNUMBER(E39),ISNUMBER(W39)),E39-W39,"")</f>
        <v>371.96</v>
      </c>
      <c r="AW39" s="57">
        <f>IF(AND(ISNUMBER(I39),ISNUMBER(AF39)),I39-AF39,"")</f>
        <v>22.81</v>
      </c>
      <c r="AX39" s="57">
        <f>IF(AND(ISNUMBER(AM39),ISNUMBER(G39)),G39-AM39,"")</f>
        <v>5.2199999999999953</v>
      </c>
      <c r="AY39" s="57">
        <f>IF(AND(ISNUMBER(AC39),ISNUMBER(AE39)),AC39-AE39,"")</f>
        <v>24.97</v>
      </c>
      <c r="AZ39" s="57">
        <f>IF(AND(ISNUMBER(AL39),ISNUMBER(AM39)),AL39-AM39,"")</f>
        <v>17.059999999999999</v>
      </c>
      <c r="BA39" s="123">
        <f>IF(AND($E39&gt;0,$W39&gt;0),IF(($E39-$W39)/$E39&gt;0,($E39-$W39)/$E39,0),"")</f>
        <v>0.97924411074019857</v>
      </c>
      <c r="BB39" s="123">
        <f>IF(AND($I39&gt;0,$AF39&gt;=0),IF(($I39-$AF39)/$I39&gt;0,($I39-$AF39)/$I39,0),"")</f>
        <v>0.94608046453753625</v>
      </c>
      <c r="BC39" s="123">
        <f>IF(AND($AG39&gt;=0,$AD39&gt;=0,$AF39&gt;=0),IF($AG39/($AD39-$AF39)&gt;0,$AG39/($AD39-$AF39),0),"")</f>
        <v>0.29548443665059188</v>
      </c>
      <c r="BD39" s="123">
        <f>IF(AND($G39&gt;0,$AM39&gt;0),IF(($G39-$AM39)/$G39&gt;0,($G39-$AM39)/$G39,0),"")</f>
        <v>0.15170008718395803</v>
      </c>
      <c r="BE39" s="6">
        <f>IF((AD39-AF39)/(AJ39/60)&lt;=0,"",(AD39-AF39)/(AJ39/60))</f>
        <v>7.8205714285714283</v>
      </c>
      <c r="BF39" s="6">
        <f>IF(OR(AJ39=0,AP39=0,NOT(ISNUMBER(AD39)),NOT(ISNUMBER(AF39)),NOT(ISNUMBER(AJ39)),NOT(ISNUMBER(AP39))),"",
IFERROR(IF((AD39-AF39)/(AJ39/60)/(AP39/1000)&lt;=0,"",(AD39-AF39)/(AJ39/60)/(AP39/1000)),""))</f>
        <v>2.5981964878974924</v>
      </c>
    </row>
    <row r="40" spans="1:58" ht="15" customHeight="1">
      <c r="B40" s="11">
        <v>45300</v>
      </c>
      <c r="D40" s="3">
        <v>35</v>
      </c>
      <c r="E40" s="205" t="str">
        <f t="shared" si="0"/>
        <v/>
      </c>
      <c r="G40" s="71">
        <v>34.409999999999997</v>
      </c>
      <c r="I40" s="15">
        <f>AD40</f>
        <v>23.75</v>
      </c>
      <c r="K40" s="10" t="str">
        <f t="shared" si="4"/>
        <v/>
      </c>
      <c r="L40" s="9" t="str">
        <f t="shared" si="5"/>
        <v/>
      </c>
      <c r="M40" s="8">
        <f t="shared" si="6"/>
        <v>1.3804126707352515</v>
      </c>
      <c r="AB40" s="5">
        <v>80</v>
      </c>
      <c r="AC40" s="4">
        <f>5*10.9</f>
        <v>54.5</v>
      </c>
      <c r="AD40" s="1">
        <f>5*4.75</f>
        <v>23.75</v>
      </c>
      <c r="AE40" s="1">
        <f>5*6.54</f>
        <v>32.700000000000003</v>
      </c>
      <c r="AF40" s="1">
        <v>2.35</v>
      </c>
      <c r="AG40" s="204">
        <v>7.21</v>
      </c>
      <c r="AH40" s="203">
        <v>0.51157407407407407</v>
      </c>
      <c r="AJ40" s="1">
        <v>175</v>
      </c>
      <c r="AK40" s="3">
        <v>180</v>
      </c>
      <c r="AL40" s="4">
        <f>AE40</f>
        <v>32.700000000000003</v>
      </c>
      <c r="AM40" s="1">
        <f>5*4.14</f>
        <v>20.7</v>
      </c>
      <c r="AN40" s="80">
        <f>360-AK40-AB40</f>
        <v>100</v>
      </c>
      <c r="AO40" s="165"/>
      <c r="AP40" s="13">
        <f>AVERAGE(AO38:AO44)</f>
        <v>3009.9999999999909</v>
      </c>
      <c r="AQ40" s="15" t="str">
        <f>IF(ISNUMBER([2]HRT_SRT!R94),[2]HRT_SRT!R94,"")</f>
        <v/>
      </c>
      <c r="AR40" s="17" t="e">
        <f>(E40-W40)/E40</f>
        <v>#VALUE!</v>
      </c>
      <c r="AS40" s="16">
        <f>(I40-AF40)/I40</f>
        <v>0.90105263157894733</v>
      </c>
      <c r="AT40" s="16">
        <f>AG40/(AD40-AF40)</f>
        <v>0.33691588785046733</v>
      </c>
      <c r="AU40" s="16">
        <f>(G40-AM40)/G40</f>
        <v>0.39843068875326937</v>
      </c>
      <c r="AV40" s="57" t="str">
        <f>IF(AND(ISNUMBER(E40),ISNUMBER(W40)),E40-W40,"")</f>
        <v/>
      </c>
      <c r="AW40" s="57">
        <f>IF(AND(ISNUMBER(I40),ISNUMBER(AF40)),I40-AF40,"")</f>
        <v>21.4</v>
      </c>
      <c r="AX40" s="57">
        <f>IF(AND(ISNUMBER(AM40),ISNUMBER(G40)),G40-AM40,"")</f>
        <v>13.709999999999997</v>
      </c>
      <c r="AY40" s="57">
        <f>IF(AND(ISNUMBER(AC40),ISNUMBER(AE40)),AC40-AE40,"")</f>
        <v>21.799999999999997</v>
      </c>
      <c r="AZ40" s="57">
        <f>IF(AND(ISNUMBER(AL40),ISNUMBER(AM40)),AL40-AM40,"")</f>
        <v>12.000000000000004</v>
      </c>
      <c r="BA40" s="123" t="str">
        <f>IF(AND($E40&gt;0,$W40&gt;0),IF(($E40-$W40)/$E40&gt;0,($E40-$W40)/$E40,0),"")</f>
        <v/>
      </c>
      <c r="BB40" s="123">
        <f>IF(AND($I40&gt;0,$AF40&gt;=0),IF(($I40-$AF40)/$I40&gt;0,($I40-$AF40)/$I40,0),"")</f>
        <v>0.90105263157894733</v>
      </c>
      <c r="BC40" s="123">
        <f>IF(AND($AG40&gt;=0,$AD40&gt;=0,$AF40&gt;=0),IF($AG40/($AD40-$AF40)&gt;0,$AG40/($AD40-$AF40),0),"")</f>
        <v>0.33691588785046733</v>
      </c>
      <c r="BD40" s="123">
        <f>IF(AND($G40&gt;0,$AM40&gt;0),IF(($G40-$AM40)/$G40&gt;0,($G40-$AM40)/$G40,0),"")</f>
        <v>0.39843068875326937</v>
      </c>
      <c r="BE40" s="6">
        <f>IF((AD40-AF40)/(AJ40/60)&lt;=0,"",(AD40-AF40)/(AJ40/60))</f>
        <v>7.3371428571428572</v>
      </c>
      <c r="BF40" s="6">
        <f>IF(OR(AJ40=0,AP40=0,NOT(ISNUMBER(AD40)),NOT(ISNUMBER(AF40)),NOT(ISNUMBER(AJ40)),NOT(ISNUMBER(AP40))),"",
IFERROR(IF((AD40-AF40)/(AJ40/60)/(AP40/1000)&lt;=0,"",(AD40-AF40)/(AJ40/60)/(AP40/1000)),""))</f>
        <v>2.4375889890840132</v>
      </c>
    </row>
    <row r="41" spans="1:58" ht="15" customHeight="1">
      <c r="A41" s="12" t="s">
        <v>175</v>
      </c>
      <c r="B41" s="11">
        <v>45301</v>
      </c>
      <c r="D41" s="3">
        <v>36</v>
      </c>
      <c r="E41" s="205" t="str">
        <f t="shared" si="0"/>
        <v/>
      </c>
      <c r="G41" s="71">
        <v>34.409999999999997</v>
      </c>
      <c r="I41" s="15">
        <f>AD41</f>
        <v>25.299999999999997</v>
      </c>
      <c r="K41" s="10" t="str">
        <f t="shared" si="4"/>
        <v/>
      </c>
      <c r="L41" s="9" t="str">
        <f t="shared" si="5"/>
        <v/>
      </c>
      <c r="M41" s="8">
        <f t="shared" si="6"/>
        <v>1.4705027608253414</v>
      </c>
      <c r="AB41" s="5">
        <v>80</v>
      </c>
      <c r="AC41" s="4">
        <f>5*12</f>
        <v>60</v>
      </c>
      <c r="AD41" s="1">
        <f>5*5.06</f>
        <v>25.299999999999997</v>
      </c>
      <c r="AE41" s="1">
        <f>5*7.93</f>
        <v>39.65</v>
      </c>
      <c r="AF41" s="1">
        <v>3.2</v>
      </c>
      <c r="AG41">
        <v>8.2899999999999991</v>
      </c>
      <c r="AH41" s="119">
        <v>0.51886574074074077</v>
      </c>
      <c r="AJ41" s="1">
        <v>175</v>
      </c>
      <c r="AK41" s="3">
        <v>180</v>
      </c>
      <c r="AL41" s="4">
        <f>AE41</f>
        <v>39.65</v>
      </c>
      <c r="AM41" s="1">
        <f>5*4.79</f>
        <v>23.95</v>
      </c>
      <c r="AN41" s="80">
        <f>360-AK41-AB41</f>
        <v>100</v>
      </c>
      <c r="AO41" s="165"/>
      <c r="AP41" s="13">
        <f>AVERAGE(AO39:AO45)</f>
        <v>3009.9999999999909</v>
      </c>
      <c r="AQ41" s="15" t="str">
        <f>IF(ISNUMBER([2]HRT_SRT!R95),[2]HRT_SRT!R95,"")</f>
        <v/>
      </c>
      <c r="AR41" s="17" t="e">
        <f>(E41-W41)/E41</f>
        <v>#VALUE!</v>
      </c>
      <c r="AS41" s="16">
        <f>(I41-AF41)/I41</f>
        <v>0.87351778656126489</v>
      </c>
      <c r="AT41" s="16">
        <f>AG41/(AD41-AF41)</f>
        <v>0.3751131221719457</v>
      </c>
      <c r="AU41" s="16">
        <f>(G41-AM41)/G41</f>
        <v>0.30398140075559427</v>
      </c>
      <c r="AV41" s="57" t="str">
        <f>IF(AND(ISNUMBER(E41),ISNUMBER(W41)),E41-W41,"")</f>
        <v/>
      </c>
      <c r="AW41" s="57">
        <f>IF(AND(ISNUMBER(I41),ISNUMBER(AF41)),I41-AF41,"")</f>
        <v>22.099999999999998</v>
      </c>
      <c r="AX41" s="57">
        <f>IF(AND(ISNUMBER(AM41),ISNUMBER(G41)),G41-AM41,"")</f>
        <v>10.459999999999997</v>
      </c>
      <c r="AY41" s="57">
        <f>IF(AND(ISNUMBER(AC41),ISNUMBER(AE41)),AC41-AE41,"")</f>
        <v>20.350000000000001</v>
      </c>
      <c r="AZ41" s="57">
        <f>IF(AND(ISNUMBER(AL41),ISNUMBER(AM41)),AL41-AM41,"")</f>
        <v>15.7</v>
      </c>
      <c r="BA41" s="123" t="str">
        <f>IF(AND($E41&gt;0,$W41&gt;0),IF(($E41-$W41)/$E41&gt;0,($E41-$W41)/$E41,0),"")</f>
        <v/>
      </c>
      <c r="BB41" s="123">
        <f>IF(AND($I41&gt;0,$AF41&gt;=0),IF(($I41-$AF41)/$I41&gt;0,($I41-$AF41)/$I41,0),"")</f>
        <v>0.87351778656126489</v>
      </c>
      <c r="BC41" s="123">
        <f>IF(AND($AG41&gt;=0,$AD41&gt;=0,$AF41&gt;=0),IF($AG41/($AD41-$AF41)&gt;0,$AG41/($AD41-$AF41),0),"")</f>
        <v>0.3751131221719457</v>
      </c>
      <c r="BD41" s="123">
        <f>IF(AND($G41&gt;0,$AM41&gt;0),IF(($G41-$AM41)/$G41&gt;0,($G41-$AM41)/$G41,0),"")</f>
        <v>0.30398140075559427</v>
      </c>
      <c r="BE41" s="6">
        <f>IF((AD41-AF41)/(AJ41/60)&lt;=0,"",(AD41-AF41)/(AJ41/60))</f>
        <v>7.5771428571428565</v>
      </c>
      <c r="BF41" s="6">
        <f>IF(OR(AJ41=0,AP41=0,NOT(ISNUMBER(AD41)),NOT(ISNUMBER(AF41)),NOT(ISNUMBER(AJ41)),NOT(ISNUMBER(AP41))),"",
IFERROR(IF((AD41-AF41)/(AJ41/60)/(AP41/1000)&lt;=0,"",(AD41-AF41)/(AJ41/60)/(AP41/1000)),""))</f>
        <v>2.5173232083531163</v>
      </c>
    </row>
    <row r="42" spans="1:58" ht="15" customHeight="1">
      <c r="B42" s="11">
        <v>45302</v>
      </c>
      <c r="D42" s="3">
        <v>37</v>
      </c>
      <c r="E42" s="205" t="e">
        <f t="shared" si="0"/>
        <v>#REF!</v>
      </c>
      <c r="G42" s="71">
        <f>(G41+G43)/2</f>
        <v>30.204999999999998</v>
      </c>
      <c r="I42" s="15">
        <f>AD42</f>
        <v>25.35</v>
      </c>
      <c r="K42" s="10" t="e">
        <f t="shared" si="4"/>
        <v>#REF!</v>
      </c>
      <c r="L42" s="9" t="e">
        <f t="shared" si="5"/>
        <v>#REF!</v>
      </c>
      <c r="M42" s="8">
        <f t="shared" si="6"/>
        <v>1.6785300446945872</v>
      </c>
      <c r="S42" s="6" t="e">
        <f>#REF!</f>
        <v>#REF!</v>
      </c>
      <c r="X42" s="6">
        <v>3.94</v>
      </c>
      <c r="AB42" s="5">
        <v>80</v>
      </c>
      <c r="AD42" s="188">
        <v>25.35</v>
      </c>
      <c r="AF42" s="1">
        <v>4.09</v>
      </c>
      <c r="AG42">
        <v>8.6199999999999992</v>
      </c>
      <c r="AH42" s="119">
        <v>0.51898148148148149</v>
      </c>
      <c r="AJ42" s="1">
        <v>175</v>
      </c>
      <c r="AK42" s="3">
        <v>180</v>
      </c>
      <c r="AM42" s="1">
        <f>2*11.3</f>
        <v>22.6</v>
      </c>
      <c r="AN42" s="80">
        <f>360-AK42-AB42</f>
        <v>100</v>
      </c>
      <c r="AO42" s="165"/>
      <c r="AP42" s="13" t="e">
        <f>AVERAGE(AO40:AO46)</f>
        <v>#DIV/0!</v>
      </c>
      <c r="AQ42" s="15" t="str">
        <f>IF(ISNUMBER([2]HRT_SRT!R96),[2]HRT_SRT!R96,"")</f>
        <v/>
      </c>
      <c r="AR42" s="17" t="e">
        <f>(E42-W42)/E42</f>
        <v>#REF!</v>
      </c>
      <c r="AS42" s="16">
        <f>(I42-AF42)/I42</f>
        <v>0.83865877712031556</v>
      </c>
      <c r="AT42" s="16">
        <f>AG42/(AD42-AF42)</f>
        <v>0.405456255879586</v>
      </c>
      <c r="AU42" s="16">
        <f>(G42-AM42)/G42</f>
        <v>0.25177950670418797</v>
      </c>
      <c r="AV42" s="57" t="str">
        <f>IF(AND(ISNUMBER(E42),ISNUMBER(W42)),E42-W42,"")</f>
        <v/>
      </c>
      <c r="AW42" s="57">
        <f>IF(AND(ISNUMBER(I42),ISNUMBER(AF42)),I42-AF42,"")</f>
        <v>21.26</v>
      </c>
      <c r="AX42" s="57">
        <f>IF(AND(ISNUMBER(AM42),ISNUMBER(G42)),G42-AM42,"")</f>
        <v>7.6049999999999969</v>
      </c>
      <c r="AY42" s="57" t="str">
        <f>IF(AND(ISNUMBER(AC42),ISNUMBER(AE42)),AC42-AE42,"")</f>
        <v/>
      </c>
      <c r="AZ42" s="57" t="str">
        <f>IF(AND(ISNUMBER(AL42),ISNUMBER(AM42)),AL42-AM42,"")</f>
        <v/>
      </c>
      <c r="BA42" s="123" t="e">
        <f>IF(AND($E42&gt;0,$W42&gt;0),IF(($E42-$W42)/$E42&gt;0,($E42-$W42)/$E42,0),"")</f>
        <v>#REF!</v>
      </c>
      <c r="BB42" s="123">
        <f>IF(AND($I42&gt;0,$AF42&gt;=0),IF(($I42-$AF42)/$I42&gt;0,($I42-$AF42)/$I42,0),"")</f>
        <v>0.83865877712031556</v>
      </c>
      <c r="BC42" s="123">
        <f>IF(AND($AG42&gt;=0,$AD42&gt;=0,$AF42&gt;=0),IF($AG42/($AD42-$AF42)&gt;0,$AG42/($AD42-$AF42),0),"")</f>
        <v>0.405456255879586</v>
      </c>
      <c r="BD42" s="123">
        <f>IF(AND($G42&gt;0,$AM42&gt;0),IF(($G42-$AM42)/$G42&gt;0,($G42-$AM42)/$G42,0),"")</f>
        <v>0.25177950670418797</v>
      </c>
      <c r="BE42" s="6">
        <f>IF((AD42-AF42)/(AJ42/60)&lt;=0,"",(AD42-AF42)/(AJ42/60))</f>
        <v>7.289142857142858</v>
      </c>
      <c r="BF42" s="6" t="e">
        <f>IF(OR(AJ42=0,AP42=0,NOT(ISNUMBER(AD42)),NOT(ISNUMBER(AF42)),NOT(ISNUMBER(AJ42)),NOT(ISNUMBER(AP42))),"",
IFERROR(IF((AD42-AF42)/(AJ42/60)/(AP42/1000)&lt;=0,"",(AD42-AF42)/(AJ42/60)/(AP42/1000)),""))</f>
        <v>#DIV/0!</v>
      </c>
    </row>
    <row r="43" spans="1:58" ht="15" customHeight="1">
      <c r="B43" s="11">
        <v>45303</v>
      </c>
      <c r="D43" s="3">
        <v>38</v>
      </c>
      <c r="E43" s="205" t="e">
        <f t="shared" si="0"/>
        <v>#REF!</v>
      </c>
      <c r="G43" s="198">
        <v>26</v>
      </c>
      <c r="I43" s="15">
        <f>AD43</f>
        <v>25.4</v>
      </c>
      <c r="K43" s="10" t="e">
        <f t="shared" si="4"/>
        <v>#REF!</v>
      </c>
      <c r="L43" s="9" t="e">
        <f t="shared" si="5"/>
        <v>#REF!</v>
      </c>
      <c r="M43" s="8">
        <f t="shared" si="6"/>
        <v>1.9538461538461538</v>
      </c>
      <c r="S43" s="6" t="e">
        <f>#REF!</f>
        <v>#REF!</v>
      </c>
      <c r="W43" s="6">
        <f>2.323+1.869</f>
        <v>4.1920000000000002</v>
      </c>
      <c r="X43" s="6">
        <v>7.34</v>
      </c>
      <c r="AB43" s="5">
        <v>80</v>
      </c>
      <c r="AC43" s="4">
        <f>25*2.57</f>
        <v>64.25</v>
      </c>
      <c r="AD43" s="1">
        <f>5*5.08</f>
        <v>25.4</v>
      </c>
      <c r="AE43" s="1">
        <f>25*1.78</f>
        <v>44.5</v>
      </c>
      <c r="AF43" s="1">
        <v>5.03</v>
      </c>
      <c r="AG43">
        <v>7.53</v>
      </c>
      <c r="AH43" s="119">
        <v>0.51863425925925932</v>
      </c>
      <c r="AJ43" s="1">
        <v>175</v>
      </c>
      <c r="AK43" s="3">
        <v>180</v>
      </c>
      <c r="AL43" s="4">
        <f>AE43</f>
        <v>44.5</v>
      </c>
      <c r="AM43" s="1">
        <f>25*1.18</f>
        <v>29.5</v>
      </c>
      <c r="AN43" s="80">
        <f>360-AK43-AB43</f>
        <v>100</v>
      </c>
      <c r="AO43" s="165"/>
      <c r="AP43" s="13">
        <f>AVERAGE(AO41:AO47)</f>
        <v>2640.0000000000091</v>
      </c>
      <c r="AQ43" s="15" t="str">
        <f>IF(ISNUMBER([2]HRT_SRT!R97),[2]HRT_SRT!R97,"")</f>
        <v/>
      </c>
      <c r="AR43" s="17" t="e">
        <f>(E43-W43)/E43</f>
        <v>#REF!</v>
      </c>
      <c r="AS43" s="16">
        <f>(I43-AF43)/I43</f>
        <v>0.8019685039370078</v>
      </c>
      <c r="AT43" s="16">
        <f>AG43/(AD43-AF43)</f>
        <v>0.36966126656848314</v>
      </c>
      <c r="AU43" s="16">
        <f>(G43-AM43)/G43</f>
        <v>-0.13461538461538461</v>
      </c>
      <c r="AV43" s="57" t="str">
        <f>IF(AND(ISNUMBER(E43),ISNUMBER(W43)),E43-W43,"")</f>
        <v/>
      </c>
      <c r="AW43" s="57">
        <f>IF(AND(ISNUMBER(I43),ISNUMBER(AF43)),I43-AF43,"")</f>
        <v>20.369999999999997</v>
      </c>
      <c r="AX43" s="57">
        <f>IF(AND(ISNUMBER(AM43),ISNUMBER(G43)),G43-AM43,"")</f>
        <v>-3.5</v>
      </c>
      <c r="AY43" s="57">
        <f>IF(AND(ISNUMBER(AC43),ISNUMBER(AE43)),AC43-AE43,"")</f>
        <v>19.75</v>
      </c>
      <c r="AZ43" s="57">
        <f>IF(AND(ISNUMBER(AL43),ISNUMBER(AM43)),AL43-AM43,"")</f>
        <v>15</v>
      </c>
      <c r="BA43" s="123" t="e">
        <f>IF(AND($E43&gt;0,$W43&gt;0),IF(($E43-$W43)/$E43&gt;0,($E43-$W43)/$E43,0),"")</f>
        <v>#REF!</v>
      </c>
      <c r="BB43" s="123">
        <f>IF(AND($I43&gt;0,$AF43&gt;=0),IF(($I43-$AF43)/$I43&gt;0,($I43-$AF43)/$I43,0),"")</f>
        <v>0.8019685039370078</v>
      </c>
      <c r="BC43" s="123">
        <f>IF(AND($AG43&gt;=0,$AD43&gt;=0,$AF43&gt;=0),IF($AG43/($AD43-$AF43)&gt;0,$AG43/($AD43-$AF43),0),"")</f>
        <v>0.36966126656848314</v>
      </c>
      <c r="BD43" s="123">
        <f>IF(AND($G43&gt;0,$AM43&gt;0),IF(($G43-$AM43)/$G43&gt;0,($G43-$AM43)/$G43,0),"")</f>
        <v>0</v>
      </c>
      <c r="BE43" s="6">
        <f>IF((AD43-AF43)/(AJ43/60)&lt;=0,"",(AD43-AF43)/(AJ43/60))</f>
        <v>6.9839999999999991</v>
      </c>
      <c r="BF43" s="6">
        <f>IF(OR(AJ43=0,AP43=0,NOT(ISNUMBER(AD43)),NOT(ISNUMBER(AF43)),NOT(ISNUMBER(AJ43)),NOT(ISNUMBER(AP43))),"",
IFERROR(IF((AD43-AF43)/(AJ43/60)/(AP43/1000)&lt;=0,"",(AD43-AF43)/(AJ43/60)/(AP43/1000)),""))</f>
        <v>2.6454545454545362</v>
      </c>
    </row>
    <row r="44" spans="1:58" ht="15" customHeight="1">
      <c r="B44" s="11">
        <v>45304</v>
      </c>
      <c r="D44" s="3">
        <v>39</v>
      </c>
      <c r="E44" s="205" t="str">
        <f t="shared" si="0"/>
        <v/>
      </c>
      <c r="G44" s="198">
        <v>26</v>
      </c>
      <c r="I44" s="15">
        <f>AD44</f>
        <v>26.209999999999997</v>
      </c>
      <c r="K44" s="10" t="str">
        <f t="shared" si="4"/>
        <v/>
      </c>
      <c r="L44" s="9" t="str">
        <f t="shared" si="5"/>
        <v/>
      </c>
      <c r="M44" s="8">
        <f t="shared" si="6"/>
        <v>2.0161538461538457</v>
      </c>
      <c r="AB44" s="5">
        <v>80</v>
      </c>
      <c r="AD44" s="188">
        <f>(AD47-AD43)/3+AD43</f>
        <v>26.209999999999997</v>
      </c>
      <c r="AG44">
        <v>8.4499999999999993</v>
      </c>
      <c r="AH44" s="119">
        <v>0.51874999999999993</v>
      </c>
      <c r="AJ44" s="1">
        <v>175</v>
      </c>
      <c r="AK44" s="3">
        <v>180</v>
      </c>
      <c r="AN44" s="80">
        <f>360-AK44-AB44</f>
        <v>100</v>
      </c>
      <c r="AO44" s="165"/>
      <c r="AP44" s="13">
        <f>AVERAGE(AO42:AO48)</f>
        <v>2640.0000000000091</v>
      </c>
      <c r="AQ44" s="15" t="str">
        <f>IF(ISNUMBER([2]HRT_SRT!R98),[2]HRT_SRT!R98,"")</f>
        <v/>
      </c>
      <c r="AR44" s="17" t="e">
        <f>(E44-W44)/E44</f>
        <v>#VALUE!</v>
      </c>
      <c r="AS44" s="16">
        <f>(I44-AF44)/I44</f>
        <v>1</v>
      </c>
      <c r="AT44" s="16">
        <f>AG44/(AD44-AF44)</f>
        <v>0.32239603204883632</v>
      </c>
      <c r="AU44" s="16">
        <f>(G44-AM44)/G44</f>
        <v>1</v>
      </c>
      <c r="AV44" s="57" t="str">
        <f>IF(AND(ISNUMBER(E44),ISNUMBER(W44)),E44-W44,"")</f>
        <v/>
      </c>
      <c r="AW44" s="57" t="str">
        <f>IF(AND(ISNUMBER(I44),ISNUMBER(AF44)),I44-AF44,"")</f>
        <v/>
      </c>
      <c r="AX44" s="57" t="str">
        <f>IF(AND(ISNUMBER(AM44),ISNUMBER(G44)),G44-AM44,"")</f>
        <v/>
      </c>
      <c r="AY44" s="57" t="str">
        <f>IF(AND(ISNUMBER(AC44),ISNUMBER(AE44)),AC44-AE44,"")</f>
        <v/>
      </c>
      <c r="AZ44" s="57" t="str">
        <f>IF(AND(ISNUMBER(AL44),ISNUMBER(AM44)),AL44-AM44,"")</f>
        <v/>
      </c>
      <c r="BA44" s="123" t="str">
        <f>IF(AND($E44&gt;0,$W44&gt;0),IF(($E44-$W44)/$E44&gt;0,($E44-$W44)/$E44,0),"")</f>
        <v/>
      </c>
      <c r="BB44" s="123">
        <f>IF(AND($I44&gt;0,$AF44&gt;=0),IF(($I44-$AF44)/$I44&gt;0,($I44-$AF44)/$I44,0),"")</f>
        <v>1</v>
      </c>
      <c r="BC44" s="123">
        <f>IF(AND($AG44&gt;=0,$AD44&gt;=0,$AF44&gt;=0),IF($AG44/($AD44-$AF44)&gt;0,$AG44/($AD44-$AF44),0),"")</f>
        <v>0.32239603204883632</v>
      </c>
      <c r="BD44" s="123" t="str">
        <f>IF(AND($G44&gt;0,$AM44&gt;0),IF(($G44-$AM44)/$G44&gt;0,($G44-$AM44)/$G44,0),"")</f>
        <v/>
      </c>
      <c r="BE44" s="6">
        <f>IF((AD44-AF44)/(AJ44/60)&lt;=0,"",(AD44-AF44)/(AJ44/60))</f>
        <v>8.9862857142857138</v>
      </c>
      <c r="BF44" s="6" t="str">
        <f>IF(OR(AJ44=0,AP44=0,NOT(ISNUMBER(AD44)),NOT(ISNUMBER(AF44)),NOT(ISNUMBER(AJ44)),NOT(ISNUMBER(AP44))),"",
IFERROR(IF((AD44-AF44)/(AJ44/60)/(AP44/1000)&lt;=0,"",(AD44-AF44)/(AJ44/60)/(AP44/1000)),""))</f>
        <v/>
      </c>
    </row>
    <row r="45" spans="1:58" ht="15" customHeight="1">
      <c r="B45" s="11">
        <v>45305</v>
      </c>
      <c r="D45" s="3">
        <v>40</v>
      </c>
      <c r="E45" s="205" t="str">
        <f t="shared" si="0"/>
        <v/>
      </c>
      <c r="G45" s="198">
        <v>26</v>
      </c>
      <c r="I45" s="15">
        <f>AD45</f>
        <v>26.749999999999996</v>
      </c>
      <c r="K45" s="10" t="str">
        <f t="shared" si="4"/>
        <v/>
      </c>
      <c r="L45" s="9" t="str">
        <f t="shared" si="5"/>
        <v/>
      </c>
      <c r="M45" s="8">
        <f t="shared" si="6"/>
        <v>2.0576923076923075</v>
      </c>
      <c r="AB45" s="5">
        <v>80</v>
      </c>
      <c r="AD45" s="188">
        <f>(AD47-AD44)/3+AD44</f>
        <v>26.749999999999996</v>
      </c>
      <c r="AG45">
        <v>7.32</v>
      </c>
      <c r="AH45" s="119">
        <v>0.51886574074074077</v>
      </c>
      <c r="AJ45" s="1">
        <v>175</v>
      </c>
      <c r="AK45" s="3">
        <v>180</v>
      </c>
      <c r="AN45" s="80">
        <f>360-AK45-AB45</f>
        <v>100</v>
      </c>
      <c r="AO45" s="165"/>
      <c r="AP45" s="13">
        <f>AVERAGE(AO43:AO49)</f>
        <v>2640.0000000000091</v>
      </c>
      <c r="AQ45" s="15" t="str">
        <f>IF(ISNUMBER([2]HRT_SRT!R99),[2]HRT_SRT!R99,"")</f>
        <v/>
      </c>
      <c r="AR45" s="17" t="e">
        <f>(E45-W45)/E45</f>
        <v>#VALUE!</v>
      </c>
      <c r="AS45" s="16">
        <f>(I45-AF45)/I45</f>
        <v>1</v>
      </c>
      <c r="AT45" s="16">
        <f>AG45/(AD45-AF45)</f>
        <v>0.27364485981308417</v>
      </c>
      <c r="AU45" s="16">
        <f>(G45-AM45)/G45</f>
        <v>1</v>
      </c>
      <c r="AV45" s="57" t="str">
        <f>IF(AND(ISNUMBER(E45),ISNUMBER(W45)),E45-W45,"")</f>
        <v/>
      </c>
      <c r="AW45" s="57" t="str">
        <f>IF(AND(ISNUMBER(I45),ISNUMBER(AF45)),I45-AF45,"")</f>
        <v/>
      </c>
      <c r="AX45" s="57" t="str">
        <f>IF(AND(ISNUMBER(AM45),ISNUMBER(G45)),G45-AM45,"")</f>
        <v/>
      </c>
      <c r="AY45" s="57" t="str">
        <f>IF(AND(ISNUMBER(AC45),ISNUMBER(AE45)),AC45-AE45,"")</f>
        <v/>
      </c>
      <c r="AZ45" s="57" t="str">
        <f>IF(AND(ISNUMBER(AL45),ISNUMBER(AM45)),AL45-AM45,"")</f>
        <v/>
      </c>
      <c r="BA45" s="123" t="str">
        <f>IF(AND($E45&gt;0,$W45&gt;0),IF(($E45-$W45)/$E45&gt;0,($E45-$W45)/$E45,0),"")</f>
        <v/>
      </c>
      <c r="BB45" s="123">
        <f>IF(AND($I45&gt;0,$AF45&gt;=0),IF(($I45-$AF45)/$I45&gt;0,($I45-$AF45)/$I45,0),"")</f>
        <v>1</v>
      </c>
      <c r="BC45" s="123">
        <f>IF(AND($AG45&gt;=0,$AD45&gt;=0,$AF45&gt;=0),IF($AG45/($AD45-$AF45)&gt;0,$AG45/($AD45-$AF45),0),"")</f>
        <v>0.27364485981308417</v>
      </c>
      <c r="BD45" s="123" t="str">
        <f>IF(AND($G45&gt;0,$AM45&gt;0),IF(($G45-$AM45)/$G45&gt;0,($G45-$AM45)/$G45,0),"")</f>
        <v/>
      </c>
      <c r="BE45" s="6">
        <f>IF((AD45-AF45)/(AJ45/60)&lt;=0,"",(AD45-AF45)/(AJ45/60))</f>
        <v>9.1714285714285708</v>
      </c>
      <c r="BF45" s="6" t="str">
        <f>IF(OR(AJ45=0,AP45=0,NOT(ISNUMBER(AD45)),NOT(ISNUMBER(AF45)),NOT(ISNUMBER(AJ45)),NOT(ISNUMBER(AP45))),"",
IFERROR(IF((AD45-AF45)/(AJ45/60)/(AP45/1000)&lt;=0,"",(AD45-AF45)/(AJ45/60)/(AP45/1000)),""))</f>
        <v/>
      </c>
    </row>
    <row r="46" spans="1:58" ht="15" customHeight="1">
      <c r="B46" s="11">
        <v>45306</v>
      </c>
      <c r="D46" s="3">
        <v>41</v>
      </c>
      <c r="E46" s="205" t="str">
        <f t="shared" si="0"/>
        <v/>
      </c>
      <c r="G46" s="198">
        <v>26</v>
      </c>
      <c r="I46" s="15">
        <f>AD46</f>
        <v>27.109999999999996</v>
      </c>
      <c r="K46" s="10" t="str">
        <f t="shared" si="4"/>
        <v/>
      </c>
      <c r="L46" s="9" t="str">
        <f t="shared" si="5"/>
        <v/>
      </c>
      <c r="M46" s="8">
        <f t="shared" si="6"/>
        <v>2.0853846153846152</v>
      </c>
      <c r="AB46" s="5">
        <v>80</v>
      </c>
      <c r="AD46" s="188">
        <f>(AD47-AD45)/3+AD45</f>
        <v>27.109999999999996</v>
      </c>
      <c r="AG46">
        <v>7.58</v>
      </c>
      <c r="AH46" s="119">
        <v>0.51898148148148149</v>
      </c>
      <c r="AJ46" s="1">
        <v>175</v>
      </c>
      <c r="AK46" s="3">
        <v>180</v>
      </c>
      <c r="AN46" s="80">
        <f>360-AK46-AB46</f>
        <v>100</v>
      </c>
      <c r="AO46" s="165"/>
      <c r="AP46" s="13">
        <f>AVERAGE(AO44:AO50)</f>
        <v>2640.0000000000091</v>
      </c>
      <c r="AQ46" s="15" t="str">
        <f>IF(ISNUMBER([2]HRT_SRT!R100),[2]HRT_SRT!R100,"")</f>
        <v/>
      </c>
      <c r="AR46" s="17" t="e">
        <f>(E46-W46)/E46</f>
        <v>#VALUE!</v>
      </c>
      <c r="AS46" s="16">
        <f>(I46-AF46)/I46</f>
        <v>1</v>
      </c>
      <c r="AT46" s="16">
        <f>AG46/(AD46-AF46)</f>
        <v>0.27960162301733682</v>
      </c>
      <c r="AU46" s="16">
        <f>(G46-AM46)/G46</f>
        <v>1</v>
      </c>
      <c r="AV46" s="57" t="str">
        <f>IF(AND(ISNUMBER(E46),ISNUMBER(W46)),E46-W46,"")</f>
        <v/>
      </c>
      <c r="AW46" s="57" t="str">
        <f>IF(AND(ISNUMBER(I46),ISNUMBER(AF46)),I46-AF46,"")</f>
        <v/>
      </c>
      <c r="AX46" s="57" t="str">
        <f>IF(AND(ISNUMBER(AM46),ISNUMBER(G46)),G46-AM46,"")</f>
        <v/>
      </c>
      <c r="AY46" s="57" t="str">
        <f>IF(AND(ISNUMBER(AC46),ISNUMBER(AE46)),AC46-AE46,"")</f>
        <v/>
      </c>
      <c r="AZ46" s="57" t="str">
        <f>IF(AND(ISNUMBER(AL46),ISNUMBER(AM46)),AL46-AM46,"")</f>
        <v/>
      </c>
      <c r="BA46" s="123" t="str">
        <f>IF(AND($E46&gt;0,$W46&gt;0),IF(($E46-$W46)/$E46&gt;0,($E46-$W46)/$E46,0),"")</f>
        <v/>
      </c>
      <c r="BB46" s="123">
        <f>IF(AND($I46&gt;0,$AF46&gt;=0),IF(($I46-$AF46)/$I46&gt;0,($I46-$AF46)/$I46,0),"")</f>
        <v>1</v>
      </c>
      <c r="BC46" s="123">
        <f>IF(AND($AG46&gt;=0,$AD46&gt;=0,$AF46&gt;=0),IF($AG46/($AD46-$AF46)&gt;0,$AG46/($AD46-$AF46),0),"")</f>
        <v>0.27960162301733682</v>
      </c>
      <c r="BD46" s="123" t="str">
        <f>IF(AND($G46&gt;0,$AM46&gt;0),IF(($G46-$AM46)/$G46&gt;0,($G46-$AM46)/$G46,0),"")</f>
        <v/>
      </c>
      <c r="BE46" s="6">
        <f>IF((AD46-AF46)/(AJ46/60)&lt;=0,"",(AD46-AF46)/(AJ46/60))</f>
        <v>9.2948571428571416</v>
      </c>
      <c r="BF46" s="6" t="str">
        <f>IF(OR(AJ46=0,AP46=0,NOT(ISNUMBER(AD46)),NOT(ISNUMBER(AF46)),NOT(ISNUMBER(AJ46)),NOT(ISNUMBER(AP46))),"",
IFERROR(IF((AD46-AF46)/(AJ46/60)/(AP46/1000)&lt;=0,"",(AD46-AF46)/(AJ46/60)/(AP46/1000)),""))</f>
        <v/>
      </c>
    </row>
    <row r="47" spans="1:58" ht="15" customHeight="1">
      <c r="B47" s="167">
        <v>45307</v>
      </c>
      <c r="C47" s="166"/>
      <c r="D47" s="136">
        <v>42</v>
      </c>
      <c r="E47" s="205">
        <f t="shared" si="0"/>
        <v>379.84399999999999</v>
      </c>
      <c r="G47" s="9">
        <f>(N47*18-H47*9)/9</f>
        <v>24.999999999999993</v>
      </c>
      <c r="H47" s="9">
        <f>'[2]1-16-2024'!I28</f>
        <v>25.66</v>
      </c>
      <c r="I47" s="15">
        <f>AD47</f>
        <v>27.83</v>
      </c>
      <c r="K47" s="10">
        <f t="shared" si="4"/>
        <v>15.193760000000005</v>
      </c>
      <c r="L47" s="9">
        <f t="shared" si="5"/>
        <v>6.8243621990657566</v>
      </c>
      <c r="M47" s="8">
        <f t="shared" si="6"/>
        <v>2.2264000000000004</v>
      </c>
      <c r="N47" s="7">
        <f>'[2]1-16-2024'!I6</f>
        <v>25.33</v>
      </c>
      <c r="S47" s="6">
        <f>'[2]1-16-2024'!Q6</f>
        <v>189.922</v>
      </c>
      <c r="T47" s="6">
        <f>'[2]1-16-2024'!I12</f>
        <v>56.38</v>
      </c>
      <c r="W47" s="6">
        <f>'[2]1-16-2024'!Q12</f>
        <v>7.8840000000000003</v>
      </c>
      <c r="X47" s="6">
        <v>7.82</v>
      </c>
      <c r="AB47" s="5">
        <v>80</v>
      </c>
      <c r="AC47" s="7">
        <f>T47</f>
        <v>56.38</v>
      </c>
      <c r="AD47" s="1">
        <f>'[2]1-16-2024'!G13</f>
        <v>27.83</v>
      </c>
      <c r="AE47" s="1">
        <f>'[2]1-16-2024'!I20</f>
        <v>40.15</v>
      </c>
      <c r="AF47" s="1">
        <f>'[2]1-16-2024'!G21</f>
        <v>8.52</v>
      </c>
      <c r="AG47">
        <v>7.36</v>
      </c>
      <c r="AH47" s="119">
        <v>0.51851851851851849</v>
      </c>
      <c r="AJ47" s="1">
        <v>175</v>
      </c>
      <c r="AK47" s="3">
        <v>180</v>
      </c>
      <c r="AL47" s="4">
        <f>AE47</f>
        <v>40.15</v>
      </c>
      <c r="AM47" s="6">
        <f>'[2]1-16-2024'!I27</f>
        <v>28.24</v>
      </c>
      <c r="AN47" s="80">
        <f>360-AK47-AB47</f>
        <v>100</v>
      </c>
      <c r="AO47" s="165">
        <f>[2]TSS_VSS!H98</f>
        <v>2640.0000000000091</v>
      </c>
      <c r="AP47" s="13">
        <f>AVERAGE(AO45:AO51)</f>
        <v>2640.0000000000091</v>
      </c>
      <c r="AQ47" s="15">
        <f>IF(ISNUMBER([2]HRT_SRT!R101),[2]HRT_SRT!R101,"")</f>
        <v>24.440421329821888</v>
      </c>
      <c r="AR47" s="17">
        <f>(E47-W47)/E47</f>
        <v>0.97924411074019857</v>
      </c>
      <c r="AS47" s="16">
        <f>(I47-AF47)/I47</f>
        <v>0.69385555156306145</v>
      </c>
      <c r="AT47" s="16">
        <f>AG47/(AD47-AF47)</f>
        <v>0.38114966338684625</v>
      </c>
      <c r="AU47" s="16">
        <f>(G47-AM47)/G47</f>
        <v>-0.12960000000000027</v>
      </c>
      <c r="AV47" s="57">
        <f>IF(AND(ISNUMBER(E47),ISNUMBER(W47)),E47-W47,"")</f>
        <v>371.96</v>
      </c>
      <c r="AW47" s="57">
        <f>IF(AND(ISNUMBER(I47),ISNUMBER(AF47)),I47-AF47,"")</f>
        <v>19.309999999999999</v>
      </c>
      <c r="AX47" s="57">
        <f>IF(AND(ISNUMBER(AM47),ISNUMBER(G47)),G47-AM47,"")</f>
        <v>-3.2400000000000055</v>
      </c>
      <c r="AY47" s="57">
        <f>IF(AND(ISNUMBER(AC47),ISNUMBER(AE47)),AC47-AE47,"")</f>
        <v>16.230000000000004</v>
      </c>
      <c r="AZ47" s="57">
        <f>IF(AND(ISNUMBER(AL47),ISNUMBER(AM47)),AL47-AM47,"")</f>
        <v>11.91</v>
      </c>
      <c r="BA47" s="123">
        <f>IF(AND($E47&gt;0,$W47&gt;0),IF(($E47-$W47)/$E47&gt;0,($E47-$W47)/$E47,0),"")</f>
        <v>0.97924411074019857</v>
      </c>
      <c r="BB47" s="123">
        <f>IF(AND($I47&gt;0,$AF47&gt;=0),IF(($I47-$AF47)/$I47&gt;0,($I47-$AF47)/$I47,0),"")</f>
        <v>0.69385555156306145</v>
      </c>
      <c r="BC47" s="123">
        <f>IF(AND($AG47&gt;=0,$AD47&gt;=0,$AF47&gt;=0),IF($AG47/($AD47-$AF47)&gt;0,$AG47/($AD47-$AF47),0),"")</f>
        <v>0.38114966338684625</v>
      </c>
      <c r="BD47" s="123">
        <f>IF(AND($G47&gt;0,$AM47&gt;0),IF(($G47-$AM47)/$G47&gt;0,($G47-$AM47)/$G47,0),"")</f>
        <v>0</v>
      </c>
      <c r="BE47" s="6">
        <f>IF((AD47-AF47)/(AJ47/60)&lt;=0,"",(AD47-AF47)/(AJ47/60))</f>
        <v>6.6205714285714281</v>
      </c>
      <c r="BF47" s="6">
        <f>IF(OR(AJ47=0,AP47=0,NOT(ISNUMBER(AD47)),NOT(ISNUMBER(AF47)),NOT(ISNUMBER(AJ47)),NOT(ISNUMBER(AP47))),"",
IFERROR(IF((AD47-AF47)/(AJ47/60)/(AP47/1000)&lt;=0,"",(AD47-AF47)/(AJ47/60)/(AP47/1000)),""))</f>
        <v>2.5077922077921992</v>
      </c>
    </row>
    <row r="48" spans="1:58" ht="15.75">
      <c r="B48" s="11">
        <v>45308</v>
      </c>
      <c r="D48" s="3">
        <v>43</v>
      </c>
      <c r="E48" s="205" t="str">
        <f t="shared" si="0"/>
        <v/>
      </c>
      <c r="G48" s="202">
        <v>26</v>
      </c>
      <c r="I48" s="15">
        <f>AD48</f>
        <v>25.8</v>
      </c>
      <c r="K48" s="10" t="str">
        <f t="shared" si="4"/>
        <v/>
      </c>
      <c r="L48" s="9" t="str">
        <f t="shared" si="5"/>
        <v/>
      </c>
      <c r="M48" s="8">
        <f t="shared" si="6"/>
        <v>1.9846153846153847</v>
      </c>
      <c r="AB48" s="5">
        <v>80</v>
      </c>
      <c r="AC48" s="4">
        <f>25*2.26</f>
        <v>56.499999999999993</v>
      </c>
      <c r="AD48" s="1">
        <f>5*5.16</f>
        <v>25.8</v>
      </c>
      <c r="AE48" s="1">
        <f>25*1.56</f>
        <v>39</v>
      </c>
      <c r="AF48" s="1">
        <f>2*4.47</f>
        <v>8.94</v>
      </c>
      <c r="AG48" s="201">
        <v>6.04</v>
      </c>
      <c r="AH48" s="119">
        <v>0.51886574074074077</v>
      </c>
      <c r="AJ48" s="1">
        <v>175</v>
      </c>
      <c r="AK48" s="3">
        <v>180</v>
      </c>
      <c r="AL48" s="4">
        <f>AE48</f>
        <v>39</v>
      </c>
      <c r="AM48" s="1">
        <f>25*1.08</f>
        <v>27</v>
      </c>
      <c r="AN48" s="80">
        <f>360-AK48-AB48</f>
        <v>100</v>
      </c>
      <c r="AO48" s="165"/>
      <c r="AP48" s="13">
        <f>AVERAGE(AO46:AO52)</f>
        <v>2640.0000000000091</v>
      </c>
      <c r="AQ48" s="15" t="str">
        <f>IF(ISNUMBER([2]HRT_SRT!R102),[2]HRT_SRT!R102,"")</f>
        <v/>
      </c>
      <c r="AR48" s="17" t="e">
        <f>(E48-W48)/E48</f>
        <v>#VALUE!</v>
      </c>
      <c r="AS48" s="16">
        <f>(I48-AF48)/I48</f>
        <v>0.65348837209302324</v>
      </c>
      <c r="AT48" s="16">
        <f>AG48/(AD48-AF48)</f>
        <v>0.3582443653618031</v>
      </c>
      <c r="AU48" s="16">
        <f>(G48-AM48)/G48</f>
        <v>-3.8461538461538464E-2</v>
      </c>
      <c r="AV48" s="57" t="str">
        <f>IF(AND(ISNUMBER(E48),ISNUMBER(W48)),E48-W48,"")</f>
        <v/>
      </c>
      <c r="AW48" s="57">
        <f>IF(AND(ISNUMBER(I48),ISNUMBER(AF48)),I48-AF48,"")</f>
        <v>16.86</v>
      </c>
      <c r="AX48" s="57">
        <f>IF(AND(ISNUMBER(AM48),ISNUMBER(G48)),G48-AM48,"")</f>
        <v>-1</v>
      </c>
      <c r="AY48" s="57">
        <f>IF(AND(ISNUMBER(AC48),ISNUMBER(AE48)),AC48-AE48,"")</f>
        <v>17.499999999999993</v>
      </c>
      <c r="AZ48" s="57">
        <f>IF(AND(ISNUMBER(AL48),ISNUMBER(AM48)),AL48-AM48,"")</f>
        <v>12</v>
      </c>
      <c r="BA48" s="123" t="str">
        <f>IF(AND($E48&gt;0,$W48&gt;0),IF(($E48-$W48)/$E48&gt;0,($E48-$W48)/$E48,0),"")</f>
        <v/>
      </c>
      <c r="BB48" s="123">
        <f>IF(AND($I48&gt;0,$AF48&gt;=0),IF(($I48-$AF48)/$I48&gt;0,($I48-$AF48)/$I48,0),"")</f>
        <v>0.65348837209302324</v>
      </c>
      <c r="BC48" s="123">
        <f>IF(AND($AG48&gt;=0,$AD48&gt;=0,$AF48&gt;=0),IF($AG48/($AD48-$AF48)&gt;0,$AG48/($AD48-$AF48),0),"")</f>
        <v>0.3582443653618031</v>
      </c>
      <c r="BD48" s="123">
        <f>IF(AND($G48&gt;0,$AM48&gt;0),IF(($G48-$AM48)/$G48&gt;0,($G48-$AM48)/$G48,0),"")</f>
        <v>0</v>
      </c>
      <c r="BE48" s="6">
        <f>IF((AD48-AF48)/(AJ48/60)&lt;=0,"",(AD48-AF48)/(AJ48/60))</f>
        <v>5.7805714285714282</v>
      </c>
      <c r="BF48" s="6">
        <f>IF(OR(AJ48=0,AP48=0,NOT(ISNUMBER(AD48)),NOT(ISNUMBER(AF48)),NOT(ISNUMBER(AJ48)),NOT(ISNUMBER(AP48))),"",
IFERROR(IF((AD48-AF48)/(AJ48/60)/(AP48/1000)&lt;=0,"",(AD48-AF48)/(AJ48/60)/(AP48/1000)),""))</f>
        <v>2.1896103896103822</v>
      </c>
    </row>
    <row r="49" spans="1:58" ht="15.75">
      <c r="B49" s="11">
        <v>45309</v>
      </c>
      <c r="D49" s="3">
        <v>44</v>
      </c>
      <c r="E49" s="205" t="str">
        <f t="shared" si="0"/>
        <v/>
      </c>
      <c r="G49" s="198">
        <v>26</v>
      </c>
      <c r="I49" s="15">
        <f>AD49</f>
        <v>25</v>
      </c>
      <c r="K49" s="10" t="str">
        <f t="shared" si="4"/>
        <v/>
      </c>
      <c r="L49" s="9" t="str">
        <f t="shared" si="5"/>
        <v/>
      </c>
      <c r="M49" s="8">
        <f t="shared" si="6"/>
        <v>1.9230769230769231</v>
      </c>
      <c r="AB49" s="5">
        <v>80</v>
      </c>
      <c r="AD49" s="26">
        <v>25</v>
      </c>
      <c r="AE49" s="1">
        <f>25*0.994</f>
        <v>24.85</v>
      </c>
      <c r="AF49" s="1">
        <f>2*6.56</f>
        <v>13.12</v>
      </c>
      <c r="AG49" s="201">
        <v>3.87</v>
      </c>
      <c r="AH49" s="119">
        <v>0.51863425925925932</v>
      </c>
      <c r="AJ49" s="1">
        <v>175</v>
      </c>
      <c r="AK49" s="3">
        <v>180</v>
      </c>
      <c r="AL49" s="4">
        <f>AE49</f>
        <v>24.85</v>
      </c>
      <c r="AM49" s="1">
        <f>25*0.786</f>
        <v>19.650000000000002</v>
      </c>
      <c r="AN49" s="80">
        <f>360-AK49-AB49</f>
        <v>100</v>
      </c>
      <c r="AO49" s="165"/>
      <c r="AP49" s="13">
        <f>AVERAGE(AO47:AO53)</f>
        <v>2585.0000000000136</v>
      </c>
      <c r="AQ49" s="15" t="str">
        <f>IF(ISNUMBER([2]HRT_SRT!R103),[2]HRT_SRT!R103,"")</f>
        <v/>
      </c>
      <c r="AR49" s="17" t="e">
        <f>(E49-W49)/E49</f>
        <v>#VALUE!</v>
      </c>
      <c r="AS49" s="16">
        <f>(I49-AF49)/I49</f>
        <v>0.47520000000000001</v>
      </c>
      <c r="AT49" s="16">
        <f>AG49/(AD49-AF49)</f>
        <v>0.32575757575757575</v>
      </c>
      <c r="AU49" s="16">
        <f>(G49-AM49)/G49</f>
        <v>0.24423076923076914</v>
      </c>
      <c r="AV49" s="57" t="str">
        <f>IF(AND(ISNUMBER(E49),ISNUMBER(W49)),E49-W49,"")</f>
        <v/>
      </c>
      <c r="AW49" s="57">
        <f>IF(AND(ISNUMBER(I49),ISNUMBER(AF49)),I49-AF49,"")</f>
        <v>11.88</v>
      </c>
      <c r="AX49" s="57">
        <f>IF(AND(ISNUMBER(AM49),ISNUMBER(G49)),G49-AM49,"")</f>
        <v>6.3499999999999979</v>
      </c>
      <c r="AY49" s="57" t="str">
        <f>IF(AND(ISNUMBER(AC49),ISNUMBER(AE49)),AC49-AE49,"")</f>
        <v/>
      </c>
      <c r="AZ49" s="57">
        <f>IF(AND(ISNUMBER(AL49),ISNUMBER(AM49)),AL49-AM49,"")</f>
        <v>5.1999999999999993</v>
      </c>
      <c r="BA49" s="123" t="str">
        <f>IF(AND($E49&gt;0,$W49&gt;0),IF(($E49-$W49)/$E49&gt;0,($E49-$W49)/$E49,0),"")</f>
        <v/>
      </c>
      <c r="BB49" s="123">
        <f>IF(AND($I49&gt;0,$AF49&gt;=0),IF(($I49-$AF49)/$I49&gt;0,($I49-$AF49)/$I49,0),"")</f>
        <v>0.47520000000000001</v>
      </c>
      <c r="BC49" s="123">
        <f>IF(AND($AG49&gt;=0,$AD49&gt;=0,$AF49&gt;=0),IF($AG49/($AD49-$AF49)&gt;0,$AG49/($AD49-$AF49),0),"")</f>
        <v>0.32575757575757575</v>
      </c>
      <c r="BD49" s="123">
        <f>IF(AND($G49&gt;0,$AM49&gt;0),IF(($G49-$AM49)/$G49&gt;0,($G49-$AM49)/$G49,0),"")</f>
        <v>0.24423076923076914</v>
      </c>
      <c r="BE49" s="6">
        <f>IF((AD49-AF49)/(AJ49/60)&lt;=0,"",(AD49-AF49)/(AJ49/60))</f>
        <v>4.0731428571428578</v>
      </c>
      <c r="BF49" s="6">
        <f>IF(OR(AJ49=0,AP49=0,NOT(ISNUMBER(AD49)),NOT(ISNUMBER(AF49)),NOT(ISNUMBER(AJ49)),NOT(ISNUMBER(AP49))),"",
IFERROR(IF((AD49-AF49)/(AJ49/60)/(AP49/1000)&lt;=0,"",(AD49-AF49)/(AJ49/60)/(AP49/1000)),""))</f>
        <v>1.5756838905774995</v>
      </c>
    </row>
    <row r="50" spans="1:58" ht="15.75">
      <c r="B50" s="11">
        <v>45310</v>
      </c>
      <c r="D50" s="3">
        <v>45</v>
      </c>
      <c r="E50" s="205" t="str">
        <f t="shared" si="0"/>
        <v/>
      </c>
      <c r="G50" s="198">
        <v>26</v>
      </c>
      <c r="I50" s="15">
        <f>AD50</f>
        <v>23.450000000000003</v>
      </c>
      <c r="K50" s="10" t="str">
        <f t="shared" si="4"/>
        <v/>
      </c>
      <c r="L50" s="9" t="str">
        <f t="shared" si="5"/>
        <v/>
      </c>
      <c r="M50" s="8">
        <f t="shared" si="6"/>
        <v>1.8038461538461541</v>
      </c>
      <c r="AB50" s="5">
        <v>80</v>
      </c>
      <c r="AC50" s="4">
        <f>25*2.4</f>
        <v>60</v>
      </c>
      <c r="AD50" s="165">
        <f>5*4.69</f>
        <v>23.450000000000003</v>
      </c>
      <c r="AE50" s="1">
        <f>25*1.76</f>
        <v>44</v>
      </c>
      <c r="AF50" s="1">
        <f>2*4.87</f>
        <v>9.74</v>
      </c>
      <c r="AG50">
        <v>5.3</v>
      </c>
      <c r="AH50" s="119">
        <v>0.51909722222222221</v>
      </c>
      <c r="AJ50" s="1">
        <v>175</v>
      </c>
      <c r="AK50" s="3">
        <v>180</v>
      </c>
      <c r="AL50" s="4">
        <f>AE50</f>
        <v>44</v>
      </c>
      <c r="AM50" s="1">
        <f>12.5*2.36</f>
        <v>29.5</v>
      </c>
      <c r="AN50" s="80">
        <f>360-AK50-AB50</f>
        <v>100</v>
      </c>
      <c r="AO50" s="165"/>
      <c r="AP50" s="13">
        <f>AVERAGE(AO48:AO54)</f>
        <v>2495.0000000000045</v>
      </c>
      <c r="AQ50" s="15" t="str">
        <f>IF(ISNUMBER([2]HRT_SRT!R104),[2]HRT_SRT!R104,"")</f>
        <v/>
      </c>
      <c r="AR50" s="17" t="e">
        <f>(E50-W50)/E50</f>
        <v>#VALUE!</v>
      </c>
      <c r="AS50" s="16">
        <f>(I50-AF50)/I50</f>
        <v>0.58464818763326232</v>
      </c>
      <c r="AT50" s="16">
        <f>AG50/(AD50-AF50)</f>
        <v>0.38657913931436899</v>
      </c>
      <c r="AU50" s="16">
        <f>(G50-AM50)/G50</f>
        <v>-0.13461538461538461</v>
      </c>
      <c r="AV50" s="57" t="str">
        <f>IF(AND(ISNUMBER(E50),ISNUMBER(W50)),E50-W50,"")</f>
        <v/>
      </c>
      <c r="AW50" s="57">
        <f>IF(AND(ISNUMBER(I50),ISNUMBER(AF50)),I50-AF50,"")</f>
        <v>13.710000000000003</v>
      </c>
      <c r="AX50" s="57">
        <f>IF(AND(ISNUMBER(AM50),ISNUMBER(G50)),G50-AM50,"")</f>
        <v>-3.5</v>
      </c>
      <c r="AY50" s="57">
        <f>IF(AND(ISNUMBER(AC50),ISNUMBER(AE50)),AC50-AE50,"")</f>
        <v>16</v>
      </c>
      <c r="AZ50" s="57">
        <f>IF(AND(ISNUMBER(AL50),ISNUMBER(AM50)),AL50-AM50,"")</f>
        <v>14.5</v>
      </c>
      <c r="BA50" s="123" t="str">
        <f>IF(AND($E50&gt;0,$W50&gt;0),IF(($E50-$W50)/$E50&gt;0,($E50-$W50)/$E50,0),"")</f>
        <v/>
      </c>
      <c r="BB50" s="123">
        <f>IF(AND($I50&gt;0,$AF50&gt;=0),IF(($I50-$AF50)/$I50&gt;0,($I50-$AF50)/$I50,0),"")</f>
        <v>0.58464818763326232</v>
      </c>
      <c r="BC50" s="123">
        <f>IF(AND($AG50&gt;=0,$AD50&gt;=0,$AF50&gt;=0),IF($AG50/($AD50-$AF50)&gt;0,$AG50/($AD50-$AF50),0),"")</f>
        <v>0.38657913931436899</v>
      </c>
      <c r="BD50" s="123">
        <f>IF(AND($G50&gt;0,$AM50&gt;0),IF(($G50-$AM50)/$G50&gt;0,($G50-$AM50)/$G50,0),"")</f>
        <v>0</v>
      </c>
      <c r="BE50" s="6">
        <f>IF((AD50-AF50)/(AJ50/60)&lt;=0,"",(AD50-AF50)/(AJ50/60))</f>
        <v>4.70057142857143</v>
      </c>
      <c r="BF50" s="6">
        <f>IF(OR(AJ50=0,AP50=0,NOT(ISNUMBER(AD50)),NOT(ISNUMBER(AF50)),NOT(ISNUMBER(AJ50)),NOT(ISNUMBER(AP50))),"",
IFERROR(IF((AD50-AF50)/(AJ50/60)/(AP50/1000)&lt;=0,"",(AD50-AF50)/(AJ50/60)/(AP50/1000)),""))</f>
        <v>1.8839965645576839</v>
      </c>
    </row>
    <row r="51" spans="1:58" ht="15.75">
      <c r="B51" s="11">
        <v>45311</v>
      </c>
      <c r="D51" s="3">
        <v>46</v>
      </c>
      <c r="E51" s="205" t="str">
        <f t="shared" si="0"/>
        <v/>
      </c>
      <c r="I51" s="15">
        <f>AD51</f>
        <v>25</v>
      </c>
      <c r="K51" s="10" t="str">
        <f t="shared" si="4"/>
        <v/>
      </c>
      <c r="L51" s="9" t="str">
        <f t="shared" si="5"/>
        <v/>
      </c>
      <c r="M51" s="8" t="str">
        <f t="shared" si="6"/>
        <v/>
      </c>
      <c r="AB51" s="5">
        <v>80</v>
      </c>
      <c r="AD51" s="26">
        <v>25</v>
      </c>
      <c r="AG51">
        <v>6.14</v>
      </c>
      <c r="AH51" s="119">
        <v>0.51932870370370365</v>
      </c>
      <c r="AJ51" s="1">
        <v>175</v>
      </c>
      <c r="AK51" s="3">
        <v>180</v>
      </c>
      <c r="AN51" s="80">
        <f>360-AK51-AB51</f>
        <v>100</v>
      </c>
      <c r="AO51" s="165"/>
      <c r="AP51" s="13">
        <f>AVERAGE(AO49:AO55)</f>
        <v>2495.0000000000045</v>
      </c>
      <c r="AQ51" s="15" t="str">
        <f>IF(ISNUMBER([2]HRT_SRT!R105),[2]HRT_SRT!R105,"")</f>
        <v/>
      </c>
      <c r="AR51" s="17" t="e">
        <f>(E51-W51)/E51</f>
        <v>#VALUE!</v>
      </c>
      <c r="AS51" s="16">
        <f>(I51-AF51)/I51</f>
        <v>1</v>
      </c>
      <c r="AT51" s="16">
        <f>AG51/(AD51-AF51)</f>
        <v>0.24559999999999998</v>
      </c>
      <c r="AU51" s="16" t="e">
        <f>(G51-AM51)/G51</f>
        <v>#DIV/0!</v>
      </c>
      <c r="AV51" s="57" t="str">
        <f>IF(AND(ISNUMBER(E51),ISNUMBER(W51)),E51-W51,"")</f>
        <v/>
      </c>
      <c r="AW51" s="57" t="str">
        <f>IF(AND(ISNUMBER(I51),ISNUMBER(AF51)),I51-AF51,"")</f>
        <v/>
      </c>
      <c r="AX51" s="57" t="str">
        <f>IF(AND(ISNUMBER(AM51),ISNUMBER(G51)),G51-AM51,"")</f>
        <v/>
      </c>
      <c r="AY51" s="57" t="str">
        <f>IF(AND(ISNUMBER(AC51),ISNUMBER(AE51)),AC51-AE51,"")</f>
        <v/>
      </c>
      <c r="AZ51" s="57" t="str">
        <f>IF(AND(ISNUMBER(AL51),ISNUMBER(AM51)),AL51-AM51,"")</f>
        <v/>
      </c>
      <c r="BA51" s="123" t="str">
        <f>IF(AND($E51&gt;0,$W51&gt;0),IF(($E51-$W51)/$E51&gt;0,($E51-$W51)/$E51,0),"")</f>
        <v/>
      </c>
      <c r="BB51" s="123">
        <f>IF(AND($I51&gt;0,$AF51&gt;=0),IF(($I51-$AF51)/$I51&gt;0,($I51-$AF51)/$I51,0),"")</f>
        <v>1</v>
      </c>
      <c r="BC51" s="123">
        <f>IF(AND($AG51&gt;=0,$AD51&gt;=0,$AF51&gt;=0),IF($AG51/($AD51-$AF51)&gt;0,$AG51/($AD51-$AF51),0),"")</f>
        <v>0.24559999999999998</v>
      </c>
      <c r="BD51" s="123" t="str">
        <f>IF(AND($G51&gt;0,$AM51&gt;0),IF(($G51-$AM51)/$G51&gt;0,($G51-$AM51)/$G51,0),"")</f>
        <v/>
      </c>
      <c r="BE51" s="6">
        <f>IF((AD51-AF51)/(AJ51/60)&lt;=0,"",(AD51-AF51)/(AJ51/60))</f>
        <v>8.5714285714285712</v>
      </c>
      <c r="BF51" s="6" t="str">
        <f>IF(OR(AJ51=0,AP51=0,NOT(ISNUMBER(AD51)),NOT(ISNUMBER(AF51)),NOT(ISNUMBER(AJ51)),NOT(ISNUMBER(AP51))),"",
IFERROR(IF((AD51-AF51)/(AJ51/60)/(AP51/1000)&lt;=0,"",(AD51-AF51)/(AJ51/60)/(AP51/1000)),""))</f>
        <v/>
      </c>
    </row>
    <row r="52" spans="1:58" ht="15.75">
      <c r="A52" s="12" t="s">
        <v>174</v>
      </c>
      <c r="B52" s="11">
        <v>45312</v>
      </c>
      <c r="D52" s="3">
        <v>47</v>
      </c>
      <c r="E52" s="205" t="str">
        <f t="shared" si="0"/>
        <v/>
      </c>
      <c r="G52" s="198">
        <v>26</v>
      </c>
      <c r="I52" s="15">
        <f>AD52</f>
        <v>25</v>
      </c>
      <c r="K52" s="10" t="str">
        <f t="shared" si="4"/>
        <v/>
      </c>
      <c r="L52" s="9" t="str">
        <f t="shared" si="5"/>
        <v/>
      </c>
      <c r="M52" s="8">
        <f t="shared" si="6"/>
        <v>1.9230769230769231</v>
      </c>
      <c r="N52" s="6"/>
      <c r="AB52" s="6">
        <v>80</v>
      </c>
      <c r="AC52" s="1"/>
      <c r="AD52" s="26">
        <v>25</v>
      </c>
      <c r="AG52" s="200">
        <v>2.93</v>
      </c>
      <c r="AH52" s="199">
        <v>0.40925925925925927</v>
      </c>
      <c r="AJ52" s="1">
        <v>175</v>
      </c>
      <c r="AK52" s="3">
        <v>180</v>
      </c>
      <c r="AL52" s="1"/>
      <c r="AN52" s="80">
        <f>360-AK52-AB52</f>
        <v>100</v>
      </c>
      <c r="AO52" s="165"/>
      <c r="AP52" s="13">
        <f>AVERAGE(AO50:AO56)</f>
        <v>2495.0000000000045</v>
      </c>
      <c r="AQ52" s="15" t="str">
        <f>IF(ISNUMBER([2]HRT_SRT!R106),[2]HRT_SRT!R106,"")</f>
        <v/>
      </c>
      <c r="AR52" s="17" t="e">
        <f>(E52-W52)/E52</f>
        <v>#VALUE!</v>
      </c>
      <c r="AS52" s="16">
        <f>(I52-AF52)/I52</f>
        <v>1</v>
      </c>
      <c r="AT52" s="16">
        <f>AG52/(AD52-AF52)</f>
        <v>0.11720000000000001</v>
      </c>
      <c r="AU52" s="16">
        <f>(G52-AM52)/G52</f>
        <v>1</v>
      </c>
      <c r="AV52" s="57" t="str">
        <f>IF(AND(ISNUMBER(E52),ISNUMBER(W52)),E52-W52,"")</f>
        <v/>
      </c>
      <c r="AW52" s="57" t="str">
        <f>IF(AND(ISNUMBER(I52),ISNUMBER(AF52)),I52-AF52,"")</f>
        <v/>
      </c>
      <c r="AX52" s="57" t="str">
        <f>IF(AND(ISNUMBER(AM52),ISNUMBER(G52)),G52-AM52,"")</f>
        <v/>
      </c>
      <c r="AY52" s="57" t="str">
        <f>IF(AND(ISNUMBER(AC52),ISNUMBER(AE52)),AC52-AE52,"")</f>
        <v/>
      </c>
      <c r="AZ52" s="57" t="str">
        <f>IF(AND(ISNUMBER(AL52),ISNUMBER(AM52)),AL52-AM52,"")</f>
        <v/>
      </c>
      <c r="BA52" s="123" t="str">
        <f>IF(AND($E52&gt;0,$W52&gt;0),IF(($E52-$W52)/$E52&gt;0,($E52-$W52)/$E52,0),"")</f>
        <v/>
      </c>
      <c r="BB52" s="123">
        <f>IF(AND($I52&gt;0,$AF52&gt;=0),IF(($I52-$AF52)/$I52&gt;0,($I52-$AF52)/$I52,0),"")</f>
        <v>1</v>
      </c>
      <c r="BC52" s="123">
        <f>IF(AND($AG52&gt;=0,$AD52&gt;=0,$AF52&gt;=0),IF($AG52/($AD52-$AF52)&gt;0,$AG52/($AD52-$AF52),0),"")</f>
        <v>0.11720000000000001</v>
      </c>
      <c r="BD52" s="123" t="str">
        <f>IF(AND($G52&gt;0,$AM52&gt;0),IF(($G52-$AM52)/$G52&gt;0,($G52-$AM52)/$G52,0),"")</f>
        <v/>
      </c>
      <c r="BE52" s="6">
        <f>IF((AD52-AF52)/(AJ52/60)&lt;=0,"",(AD52-AF52)/(AJ52/60))</f>
        <v>8.5714285714285712</v>
      </c>
      <c r="BF52" s="6" t="str">
        <f>IF(OR(AJ52=0,AP52=0,NOT(ISNUMBER(AD52)),NOT(ISNUMBER(AF52)),NOT(ISNUMBER(AJ52)),NOT(ISNUMBER(AP52))),"",
IFERROR(IF((AD52-AF52)/(AJ52/60)/(AP52/1000)&lt;=0,"",(AD52-AF52)/(AJ52/60)/(AP52/1000)),""))</f>
        <v/>
      </c>
    </row>
    <row r="53" spans="1:58" ht="15.75">
      <c r="A53" s="25" t="s">
        <v>173</v>
      </c>
      <c r="B53" s="11">
        <v>45313</v>
      </c>
      <c r="D53" s="3">
        <v>48</v>
      </c>
      <c r="E53" s="205">
        <f t="shared" si="0"/>
        <v>425.68141199999997</v>
      </c>
      <c r="G53" s="198">
        <v>26</v>
      </c>
      <c r="I53" s="15">
        <f>AD53</f>
        <v>26.9</v>
      </c>
      <c r="K53" s="10">
        <f t="shared" si="4"/>
        <v>16.372361999999999</v>
      </c>
      <c r="L53" s="9">
        <f t="shared" si="5"/>
        <v>7.9122939033457245</v>
      </c>
      <c r="M53" s="8">
        <f t="shared" si="6"/>
        <v>2.069230769230769</v>
      </c>
      <c r="N53" s="6">
        <f>20*1.55</f>
        <v>31</v>
      </c>
      <c r="O53" s="6">
        <v>149.36199999999999</v>
      </c>
      <c r="P53" s="6">
        <v>35.317999999999998</v>
      </c>
      <c r="Q53" s="6">
        <f>O53*1.067</f>
        <v>159.36925399999998</v>
      </c>
      <c r="R53" s="6">
        <f>P53*1.514</f>
        <v>53.471451999999999</v>
      </c>
      <c r="S53" s="23">
        <f>P53*1.514+O53*1.067</f>
        <v>212.84070599999998</v>
      </c>
      <c r="T53" s="6">
        <f>20*1.6</f>
        <v>32</v>
      </c>
      <c r="U53" s="6">
        <f>130.4*1.067</f>
        <v>139.13679999999999</v>
      </c>
      <c r="V53" s="6">
        <f>21.679*1.514</f>
        <v>32.822005999999995</v>
      </c>
      <c r="W53" s="23">
        <f>U53*1.067+V53*1.514</f>
        <v>198.151482684</v>
      </c>
      <c r="X53" s="6">
        <v>6.23</v>
      </c>
      <c r="AB53" s="6">
        <v>80</v>
      </c>
      <c r="AC53" s="6">
        <f>T53</f>
        <v>32</v>
      </c>
      <c r="AD53" s="1">
        <f>5*5.38</f>
        <v>26.9</v>
      </c>
      <c r="AE53" s="1">
        <f>20*1.56</f>
        <v>31.200000000000003</v>
      </c>
      <c r="AF53" s="1">
        <v>0</v>
      </c>
      <c r="AG53">
        <v>0.04</v>
      </c>
      <c r="AH53" s="119">
        <v>0.52083333333333337</v>
      </c>
      <c r="AJ53" s="1">
        <v>175</v>
      </c>
      <c r="AK53" s="3">
        <v>180</v>
      </c>
      <c r="AL53" s="1">
        <f>AE53</f>
        <v>31.200000000000003</v>
      </c>
      <c r="AM53" s="1">
        <f>10*2.97</f>
        <v>29.700000000000003</v>
      </c>
      <c r="AN53" s="80">
        <f>360-AK53-AB53</f>
        <v>100</v>
      </c>
      <c r="AO53" s="165">
        <f>[2]TSS_VSS!H104</f>
        <v>2530.0000000000182</v>
      </c>
      <c r="AP53" s="13">
        <f>AVERAGE(AO51:AO57)</f>
        <v>2495.0000000000045</v>
      </c>
      <c r="AQ53" s="15">
        <f>IF(ISNUMBER([2]HRT_SRT!R107),[2]HRT_SRT!R107,"")</f>
        <v>26.162790697674417</v>
      </c>
      <c r="AR53" s="17">
        <f>(E53-W53)/E53</f>
        <v>0.53450755166166375</v>
      </c>
      <c r="AS53" s="16">
        <f>(I53-AF53)/I53</f>
        <v>1</v>
      </c>
      <c r="AT53" s="16">
        <f>AG53/(AD53-AF53)</f>
        <v>1.4869888475836433E-3</v>
      </c>
      <c r="AU53" s="16">
        <f>(G53-AM53)/G53</f>
        <v>-0.14230769230769241</v>
      </c>
      <c r="AV53" s="57">
        <f>IF(AND(ISNUMBER(E53),ISNUMBER(W53)),E53-W53,"")</f>
        <v>227.52992931599996</v>
      </c>
      <c r="AW53" s="57">
        <f>IF(AND(ISNUMBER(I53),ISNUMBER(AF53)),I53-AF53,"")</f>
        <v>26.9</v>
      </c>
      <c r="AX53" s="57">
        <f>IF(AND(ISNUMBER(AM53),ISNUMBER(G53)),G53-AM53,"")</f>
        <v>-3.7000000000000028</v>
      </c>
      <c r="AY53" s="57">
        <f>IF(AND(ISNUMBER(AC53),ISNUMBER(AE53)),AC53-AE53,"")</f>
        <v>0.79999999999999716</v>
      </c>
      <c r="AZ53" s="57">
        <f>IF(AND(ISNUMBER(AL53),ISNUMBER(AM53)),AL53-AM53,"")</f>
        <v>1.5</v>
      </c>
      <c r="BA53" s="123"/>
      <c r="BB53" s="123">
        <f>IF(AND($I53&gt;0,$AF53&gt;=0),IF(($I53-$AF53)/$I53&gt;0,($I53-$AF53)/$I53,0),"")</f>
        <v>1</v>
      </c>
      <c r="BC53" s="123">
        <f>IF(AND($AG53&gt;=0,$AD53&gt;=0,$AF53&gt;=0),IF($AG53/($AD53-$AF53)&gt;0,$AG53/($AD53-$AF53),0),"")</f>
        <v>1.4869888475836433E-3</v>
      </c>
      <c r="BD53" s="123">
        <f>IF(AND($G53&gt;0,$AM53&gt;0),IF(($G53-$AM53)/$G53&gt;0,($G53-$AM53)/$G53,0),"")</f>
        <v>0</v>
      </c>
      <c r="BE53" s="6">
        <f>IF((AD53-AF53)/(AJ53/60)&lt;=0,"",(AD53-AF53)/(AJ53/60))</f>
        <v>9.2228571428571424</v>
      </c>
      <c r="BF53" s="6">
        <f>IF(OR(AJ53=0,AP53=0,NOT(ISNUMBER(AD53)),NOT(ISNUMBER(AF53)),NOT(ISNUMBER(AJ53)),NOT(ISNUMBER(AP53))),"",
IFERROR(IF((AD53-AF53)/(AJ53/60)/(AP53/1000)&lt;=0,"",(AD53-AF53)/(AJ53/60)/(AP53/1000)),""))</f>
        <v>3.6965359290008521</v>
      </c>
    </row>
    <row r="54" spans="1:58" ht="15.75">
      <c r="A54" s="197" t="s">
        <v>172</v>
      </c>
      <c r="B54" s="11">
        <v>45314</v>
      </c>
      <c r="D54" s="3">
        <v>49</v>
      </c>
      <c r="E54" s="205">
        <f t="shared" si="0"/>
        <v>369.74020599999994</v>
      </c>
      <c r="G54" s="198">
        <v>26</v>
      </c>
      <c r="I54" s="15">
        <f>AD54</f>
        <v>30.92</v>
      </c>
      <c r="K54" s="10">
        <f t="shared" si="4"/>
        <v>14.220777153846152</v>
      </c>
      <c r="L54" s="9">
        <f t="shared" si="5"/>
        <v>5.9789813389391968</v>
      </c>
      <c r="M54" s="8">
        <f t="shared" si="6"/>
        <v>2.3784615384615386</v>
      </c>
      <c r="N54" s="6">
        <f>'[2]1-23-2024'!I6</f>
        <v>31.14</v>
      </c>
      <c r="O54" s="6">
        <v>129.77699999999999</v>
      </c>
      <c r="P54" s="6">
        <v>30.646000000000001</v>
      </c>
      <c r="Q54" s="6">
        <f>O54*1.067</f>
        <v>138.47205899999997</v>
      </c>
      <c r="R54" s="6">
        <f>P54*1.514</f>
        <v>46.398043999999999</v>
      </c>
      <c r="S54" s="23">
        <f>P54*1.514+O54*1.067</f>
        <v>184.87010299999997</v>
      </c>
      <c r="T54" s="6">
        <f>'[2]1-23-2024'!I12</f>
        <v>36.729999999999997</v>
      </c>
      <c r="U54" s="6">
        <f>116.082*1.067</f>
        <v>123.85949399999998</v>
      </c>
      <c r="V54" s="6">
        <v>5.7270000000000003</v>
      </c>
      <c r="W54" s="23">
        <f>U54*1.067+V54*1.514</f>
        <v>140.82875809799998</v>
      </c>
      <c r="AB54" s="6">
        <v>80</v>
      </c>
      <c r="AC54" s="6">
        <f>T54</f>
        <v>36.729999999999997</v>
      </c>
      <c r="AD54" s="1">
        <f>'[2]1-23-2024'!G13</f>
        <v>30.92</v>
      </c>
      <c r="AE54" s="1">
        <f>'[2]1-23-2024'!I21</f>
        <v>38.79</v>
      </c>
      <c r="AF54" s="1">
        <f>'[2]1-23-2024'!G20</f>
        <v>0.34</v>
      </c>
      <c r="AG54">
        <v>0.06</v>
      </c>
      <c r="AH54" s="119">
        <v>0.52083333333333337</v>
      </c>
      <c r="AJ54" s="1">
        <v>175</v>
      </c>
      <c r="AK54" s="3">
        <v>180</v>
      </c>
      <c r="AL54" s="1">
        <f>'[2]1-23-2024'!I21</f>
        <v>38.79</v>
      </c>
      <c r="AM54" s="6">
        <f>'[2]1-23-2024'!I27</f>
        <v>29</v>
      </c>
      <c r="AN54" s="80">
        <f>360-AK54-AB54</f>
        <v>100</v>
      </c>
      <c r="AO54" s="165">
        <f>[2]TSS_VSS!H107</f>
        <v>2459.9999999999909</v>
      </c>
      <c r="AP54" s="13">
        <f>AVERAGE(AO52:AO58)</f>
        <v>2495.0000000000045</v>
      </c>
      <c r="AQ54" s="15">
        <f>IF(ISNUMBER([2]HRT_SRT!R108),[2]HRT_SRT!R108,"")</f>
        <v>20.820011284559385</v>
      </c>
      <c r="AR54" s="17">
        <f>(E54-W54)/E54</f>
        <v>0.61911429751840408</v>
      </c>
      <c r="AS54" s="16">
        <f>(I54-AF54)/I54</f>
        <v>0.98900388098318237</v>
      </c>
      <c r="AT54" s="16">
        <f>AG54/(AD54-AF54)</f>
        <v>1.9620667102681491E-3</v>
      </c>
      <c r="AU54" s="16">
        <f>(G54-AM54)/G54</f>
        <v>-0.11538461538461539</v>
      </c>
      <c r="AV54" s="57">
        <f>IF(AND(ISNUMBER(E54),ISNUMBER(W54)),E54-W54,"")</f>
        <v>228.91144790199996</v>
      </c>
      <c r="AW54" s="57">
        <f>IF(AND(ISNUMBER(I54),ISNUMBER(AF54)),I54-AF54,"")</f>
        <v>30.580000000000002</v>
      </c>
      <c r="AX54" s="57">
        <f>IF(AND(ISNUMBER(AM54),ISNUMBER(G54)),G54-AM54,"")</f>
        <v>-3</v>
      </c>
      <c r="AY54" s="57">
        <f>IF(AND(ISNUMBER(AC54),ISNUMBER(AE54)),AC54-AE54,"")</f>
        <v>-2.0600000000000023</v>
      </c>
      <c r="AZ54" s="57">
        <f>IF(AND(ISNUMBER(AL54),ISNUMBER(AM54)),AL54-AM54,"")</f>
        <v>9.7899999999999991</v>
      </c>
      <c r="BA54" s="123"/>
      <c r="BB54" s="123">
        <f>IF(AND($I54&gt;0,$AF54&gt;=0),IF(($I54-$AF54)/$I54&gt;0,($I54-$AF54)/$I54,0),"")</f>
        <v>0.98900388098318237</v>
      </c>
      <c r="BC54" s="123">
        <f>IF(AND($AG54&gt;=0,$AD54&gt;=0,$AF54&gt;=0),IF($AG54/($AD54-$AF54)&gt;0,$AG54/($AD54-$AF54),0),"")</f>
        <v>1.9620667102681491E-3</v>
      </c>
      <c r="BD54" s="123">
        <f>IF(AND($G54&gt;0,$AM54&gt;0),IF(($G54-$AM54)/$G54&gt;0,($G54-$AM54)/$G54,0),"")</f>
        <v>0</v>
      </c>
      <c r="BE54" s="6">
        <f>IF((AD54-AF54)/(AJ54/60)&lt;=0,"",(AD54-AF54)/(AJ54/60))</f>
        <v>10.48457142857143</v>
      </c>
      <c r="BF54" s="6">
        <f>IF(OR(AJ54=0,AP54=0,NOT(ISNUMBER(AD54)),NOT(ISNUMBER(AF54)),NOT(ISNUMBER(AJ54)),NOT(ISNUMBER(AP54))),"",
IFERROR(IF((AD54-AF54)/(AJ54/60)/(AP54/1000)&lt;=0,"",(AD54-AF54)/(AJ54/60)/(AP54/1000)),""))</f>
        <v>4.2022330375035715</v>
      </c>
    </row>
    <row r="55" spans="1:58" s="67" customFormat="1" ht="15.75">
      <c r="A55" s="197" t="s">
        <v>171</v>
      </c>
      <c r="B55" s="167">
        <v>45315</v>
      </c>
      <c r="C55" s="166"/>
      <c r="D55" s="136">
        <v>50</v>
      </c>
      <c r="E55" s="205">
        <f t="shared" si="0"/>
        <v>299.15425799999997</v>
      </c>
      <c r="F55" s="196"/>
      <c r="G55" s="195" t="e">
        <f>#REF!</f>
        <v>#REF!</v>
      </c>
      <c r="H55" s="98"/>
      <c r="I55" s="15">
        <f>AD55</f>
        <v>25</v>
      </c>
      <c r="J55" s="8"/>
      <c r="K55" s="10" t="e">
        <f t="shared" si="4"/>
        <v>#REF!</v>
      </c>
      <c r="L55" s="9">
        <f t="shared" si="5"/>
        <v>5.983085159999999</v>
      </c>
      <c r="M55" s="8" t="e">
        <f t="shared" si="6"/>
        <v>#REF!</v>
      </c>
      <c r="N55" s="194">
        <f>20*0.703</f>
        <v>14.059999999999999</v>
      </c>
      <c r="O55" s="194">
        <v>106.041</v>
      </c>
      <c r="P55" s="194">
        <v>24.062999999999999</v>
      </c>
      <c r="Q55" s="6">
        <f>O55*1.067</f>
        <v>113.14574699999999</v>
      </c>
      <c r="R55" s="6">
        <f>P55*1.514</f>
        <v>36.431381999999999</v>
      </c>
      <c r="S55" s="23">
        <f>P55*1.514+O55*1.067</f>
        <v>149.57712899999999</v>
      </c>
      <c r="T55" s="194">
        <f>20*1.46</f>
        <v>29.2</v>
      </c>
      <c r="U55" s="194">
        <f>35.817*1.067</f>
        <v>38.216738999999997</v>
      </c>
      <c r="V55" s="194">
        <v>1.363</v>
      </c>
      <c r="W55" s="23">
        <f>U55*1.067+V55*1.514</f>
        <v>42.840842512999991</v>
      </c>
      <c r="X55" s="194">
        <v>0.98</v>
      </c>
      <c r="Y55" s="194"/>
      <c r="Z55" s="194"/>
      <c r="AA55" s="194"/>
      <c r="AB55" s="194">
        <v>80</v>
      </c>
      <c r="AC55" s="194">
        <f>T55</f>
        <v>29.2</v>
      </c>
      <c r="AD55" s="67">
        <f>5*5</f>
        <v>25</v>
      </c>
      <c r="AE55" s="67">
        <f>20*0.863</f>
        <v>17.259999999999998</v>
      </c>
      <c r="AF55" s="67">
        <v>0</v>
      </c>
      <c r="AG55">
        <v>0.06</v>
      </c>
      <c r="AH55" s="119">
        <v>0.52083333333333337</v>
      </c>
      <c r="AJ55" s="1">
        <v>175</v>
      </c>
      <c r="AK55" s="3">
        <v>180</v>
      </c>
      <c r="AL55" s="67">
        <f>AE55</f>
        <v>17.259999999999998</v>
      </c>
      <c r="AM55" s="67">
        <f>10*0.887</f>
        <v>8.870000000000001</v>
      </c>
      <c r="AN55" s="80">
        <f>360-AK55-AB55</f>
        <v>100</v>
      </c>
      <c r="AO55" s="193"/>
      <c r="AP55" s="13">
        <f>AVERAGE(AO53:AO59)</f>
        <v>2495.0000000000045</v>
      </c>
      <c r="AQ55" s="15" t="str">
        <f>IF(ISNUMBER([2]HRT_SRT!R109),[2]HRT_SRT!R109,"")</f>
        <v/>
      </c>
      <c r="AR55" s="17">
        <f>(E55-W55)/E55</f>
        <v>0.85679347237303916</v>
      </c>
      <c r="AS55" s="16">
        <f>(I55-AF55)/I55</f>
        <v>1</v>
      </c>
      <c r="AT55" s="16">
        <f>AG55/(AD55-AF55)</f>
        <v>2.3999999999999998E-3</v>
      </c>
      <c r="AU55" s="16" t="e">
        <f>(G55-AM55)/G55</f>
        <v>#REF!</v>
      </c>
      <c r="AV55" s="57">
        <f>IF(AND(ISNUMBER(E55),ISNUMBER(W55)),E55-W55,"")</f>
        <v>256.31341548699999</v>
      </c>
      <c r="AW55" s="57">
        <f>IF(AND(ISNUMBER(I55),ISNUMBER(AF55)),I55-AF55,"")</f>
        <v>25</v>
      </c>
      <c r="AX55" s="57" t="str">
        <f>IF(AND(ISNUMBER(AM55),ISNUMBER(G55)),G55-AM55,"")</f>
        <v/>
      </c>
      <c r="AY55" s="57">
        <f>IF(AND(ISNUMBER(AC55),ISNUMBER(AE55)),AC55-AE55,"")</f>
        <v>11.940000000000001</v>
      </c>
      <c r="AZ55" s="57">
        <f>IF(AND(ISNUMBER(AL55),ISNUMBER(AM55)),AL55-AM55,"")</f>
        <v>8.389999999999997</v>
      </c>
      <c r="BA55" s="123"/>
      <c r="BB55" s="123">
        <f>IF(AND($I55&gt;0,$AF55&gt;=0),IF(($I55-$AF55)/$I55&gt;0,($I55-$AF55)/$I55,0),"")</f>
        <v>1</v>
      </c>
      <c r="BC55" s="123">
        <f>IF(AND($AG55&gt;=0,$AD55&gt;=0,$AF55&gt;=0),IF($AG55/($AD55-$AF55)&gt;0,$AG55/($AD55-$AF55),0),"")</f>
        <v>2.3999999999999998E-3</v>
      </c>
      <c r="BD55" s="123" t="e">
        <f>IF(AND($G55&gt;0,$AM55&gt;0),IF(($G55-$AM55)/$G55&gt;0,($G55-$AM55)/$G55,0),"")</f>
        <v>#REF!</v>
      </c>
      <c r="BE55" s="6">
        <f>IF((AD55-AF55)/(AJ55/60)&lt;=0,"",(AD55-AF55)/(AJ55/60))</f>
        <v>8.5714285714285712</v>
      </c>
      <c r="BF55" s="6">
        <f>IF(OR(AJ55=0,AP55=0,NOT(ISNUMBER(AD55)),NOT(ISNUMBER(AF55)),NOT(ISNUMBER(AJ55)),NOT(ISNUMBER(AP55))),"",
IFERROR(IF((AD55-AF55)/(AJ55/60)/(AP55/1000)&lt;=0,"",(AD55-AF55)/(AJ55/60)/(AP55/1000)),""))</f>
        <v>3.435442313197818</v>
      </c>
    </row>
    <row r="56" spans="1:58" ht="15.75">
      <c r="A56" s="12" t="s">
        <v>170</v>
      </c>
      <c r="B56" s="11">
        <v>45316</v>
      </c>
      <c r="D56" s="3">
        <v>51</v>
      </c>
      <c r="E56" s="205">
        <f t="shared" si="0"/>
        <v>420.10449599999998</v>
      </c>
      <c r="G56" s="9">
        <f>(N56*18-H56*18)/9</f>
        <v>27</v>
      </c>
      <c r="H56">
        <f>10*0.81</f>
        <v>8.1000000000000014</v>
      </c>
      <c r="I56" s="15">
        <f>AD56</f>
        <v>22.5</v>
      </c>
      <c r="K56" s="10">
        <f t="shared" si="4"/>
        <v>15.559425777777777</v>
      </c>
      <c r="L56" s="9">
        <f t="shared" si="5"/>
        <v>9.3356554666666671</v>
      </c>
      <c r="M56" s="8">
        <f t="shared" si="6"/>
        <v>1.6666666666666667</v>
      </c>
      <c r="N56" s="6">
        <f>20*1.08</f>
        <v>21.6</v>
      </c>
      <c r="O56" s="6">
        <v>148.02000000000001</v>
      </c>
      <c r="P56" s="6">
        <v>34.421999999999997</v>
      </c>
      <c r="Q56" s="6">
        <f>O56*1.067</f>
        <v>157.93734000000001</v>
      </c>
      <c r="R56" s="6">
        <f>P56*1.514</f>
        <v>52.114907999999993</v>
      </c>
      <c r="S56" s="23">
        <f>P56*1.514+O56*1.067</f>
        <v>210.05224799999999</v>
      </c>
      <c r="T56" s="6">
        <f>20*2.16</f>
        <v>43.2</v>
      </c>
      <c r="U56" s="6">
        <f>18.332*1.067</f>
        <v>19.560244000000001</v>
      </c>
      <c r="V56" s="6">
        <v>1.353</v>
      </c>
      <c r="W56" s="23">
        <f>U56*1.067+V56*1.514</f>
        <v>22.919222348000002</v>
      </c>
      <c r="X56" s="6">
        <v>0.79</v>
      </c>
      <c r="AB56" s="6">
        <v>80</v>
      </c>
      <c r="AC56" s="6">
        <f>T56</f>
        <v>43.2</v>
      </c>
      <c r="AD56" s="1">
        <f>5*4.5</f>
        <v>22.5</v>
      </c>
      <c r="AE56" s="1">
        <f>20*1.34</f>
        <v>26.8</v>
      </c>
      <c r="AF56" s="1">
        <v>0</v>
      </c>
      <c r="AG56">
        <v>3.75</v>
      </c>
      <c r="AH56" s="119">
        <v>0.48101851851851851</v>
      </c>
      <c r="AJ56" s="1">
        <v>175</v>
      </c>
      <c r="AK56" s="3">
        <v>180</v>
      </c>
      <c r="AL56" s="1">
        <f>AE56</f>
        <v>26.8</v>
      </c>
      <c r="AM56" s="1">
        <f>5*3.58</f>
        <v>17.899999999999999</v>
      </c>
      <c r="AN56" s="80">
        <f>360-AK56-AB56</f>
        <v>100</v>
      </c>
      <c r="AO56" s="165"/>
      <c r="AP56" s="13">
        <f>AVERAGE(AO54:AO60)</f>
        <v>2459.9999999999909</v>
      </c>
      <c r="AQ56" s="15" t="str">
        <f>IF(ISNUMBER([2]HRT_SRT!R110),[2]HRT_SRT!R110,"")</f>
        <v/>
      </c>
      <c r="AR56" s="17">
        <f>(E56-W56)/E56</f>
        <v>0.94544399651461952</v>
      </c>
      <c r="AS56" s="16">
        <f>(I56-AF56)/I56</f>
        <v>1</v>
      </c>
      <c r="AT56" s="16">
        <f>AG56/(AD56-AF56)</f>
        <v>0.16666666666666666</v>
      </c>
      <c r="AU56" s="16">
        <f>(G56-AM56)/G56</f>
        <v>0.33703703703703708</v>
      </c>
      <c r="AV56" s="57">
        <f>IF(AND(ISNUMBER(E56),ISNUMBER(W56)),E56-W56,"")</f>
        <v>397.18527365199998</v>
      </c>
      <c r="AW56" s="57">
        <f>IF(AND(ISNUMBER(I56),ISNUMBER(AF56)),I56-AF56,"")</f>
        <v>22.5</v>
      </c>
      <c r="AX56" s="57">
        <f>IF(AND(ISNUMBER(AM56),ISNUMBER(G56)),G56-AM56,"")</f>
        <v>9.1000000000000014</v>
      </c>
      <c r="AY56" s="57">
        <f>IF(AND(ISNUMBER(AC56),ISNUMBER(AE56)),AC56-AE56,"")</f>
        <v>16.400000000000002</v>
      </c>
      <c r="AZ56" s="57">
        <f>IF(AND(ISNUMBER(AL56),ISNUMBER(AM56)),AL56-AM56,"")</f>
        <v>8.9000000000000021</v>
      </c>
      <c r="BA56" s="123">
        <f>IF(AND($E56&gt;0,$W56&gt;0),IF(($E56-$W56)/$E56&gt;0,($E56-$W56)/$E56,0),"")</f>
        <v>0.94544399651461952</v>
      </c>
      <c r="BB56" s="123">
        <f>IF(AND($I56&gt;0,$AF56&gt;=0),IF(($I56-$AF56)/$I56&gt;0,($I56-$AF56)/$I56,0),"")</f>
        <v>1</v>
      </c>
      <c r="BC56" s="123">
        <f>IF(AND($AG56&gt;=0,$AD56&gt;=0,$AF56&gt;=0),IF($AG56/($AD56-$AF56)&gt;0,$AG56/($AD56-$AF56),0),"")</f>
        <v>0.16666666666666666</v>
      </c>
      <c r="BD56" s="123">
        <f>IF(AND($G56&gt;0,$AM56&gt;0),IF(($G56-$AM56)/$G56&gt;0,($G56-$AM56)/$G56,0),"")</f>
        <v>0.33703703703703708</v>
      </c>
      <c r="BE56" s="6">
        <f>IF((AD56-AF56)/(AJ56/60)&lt;=0,"",(AD56-AF56)/(AJ56/60))</f>
        <v>7.7142857142857144</v>
      </c>
      <c r="BF56" s="6">
        <f>IF(OR(AJ56=0,AP56=0,NOT(ISNUMBER(AD56)),NOT(ISNUMBER(AF56)),NOT(ISNUMBER(AJ56)),NOT(ISNUMBER(AP56))),"",
IFERROR(IF((AD56-AF56)/(AJ56/60)/(AP56/1000)&lt;=0,"",(AD56-AF56)/(AJ56/60)/(AP56/1000)),""))</f>
        <v>3.1358885017421718</v>
      </c>
    </row>
    <row r="57" spans="1:58" ht="15.75">
      <c r="B57" s="11">
        <v>45317</v>
      </c>
      <c r="D57" s="3">
        <v>52</v>
      </c>
      <c r="E57" s="205">
        <f t="shared" si="0"/>
        <v>365.00570199999999</v>
      </c>
      <c r="G57" s="15">
        <f>2*12.9</f>
        <v>25.8</v>
      </c>
      <c r="H57"/>
      <c r="I57" s="15">
        <f>AD57</f>
        <v>20.9</v>
      </c>
      <c r="K57" s="10">
        <f t="shared" si="4"/>
        <v>14.147507829457364</v>
      </c>
      <c r="L57" s="9">
        <f t="shared" si="5"/>
        <v>8.7321938277511961</v>
      </c>
      <c r="M57" s="8">
        <f t="shared" si="6"/>
        <v>1.6201550387596897</v>
      </c>
      <c r="N57" s="6"/>
      <c r="O57" s="6">
        <v>127.259</v>
      </c>
      <c r="P57" s="6">
        <v>30.856999999999999</v>
      </c>
      <c r="Q57" s="6">
        <f>O57*1.067</f>
        <v>135.78535299999999</v>
      </c>
      <c r="R57" s="6">
        <f>P57*1.514</f>
        <v>46.717497999999999</v>
      </c>
      <c r="S57" s="23">
        <f>P57*1.514+O57*1.067</f>
        <v>182.50285099999999</v>
      </c>
      <c r="U57" s="6">
        <f>1.24*1.067</f>
        <v>1.32308</v>
      </c>
      <c r="W57" s="23">
        <f>U57*1.067+V57*1.514</f>
        <v>1.4117263600000001</v>
      </c>
      <c r="X57" s="6">
        <v>3.82</v>
      </c>
      <c r="AB57" s="6">
        <v>80</v>
      </c>
      <c r="AC57" s="1">
        <f>20*2.42</f>
        <v>48.4</v>
      </c>
      <c r="AD57" s="1">
        <f>5*4.18</f>
        <v>20.9</v>
      </c>
      <c r="AE57" s="1">
        <f>20*1.3</f>
        <v>26</v>
      </c>
      <c r="AF57" s="168">
        <v>1E-3</v>
      </c>
      <c r="AG57">
        <v>4.74</v>
      </c>
      <c r="AH57" s="119">
        <v>0.49201388888888892</v>
      </c>
      <c r="AJ57" s="1">
        <v>175</v>
      </c>
      <c r="AK57" s="3">
        <v>180</v>
      </c>
      <c r="AL57" s="1">
        <f>AE57</f>
        <v>26</v>
      </c>
      <c r="AM57" s="1">
        <f>5*3.59</f>
        <v>17.95</v>
      </c>
      <c r="AN57" s="80">
        <f>360-AK57-AB57</f>
        <v>100</v>
      </c>
      <c r="AO57" s="165"/>
      <c r="AP57" s="13">
        <f>AVERAGE(AO55:AO61)</f>
        <v>3880.0000000000182</v>
      </c>
      <c r="AQ57" s="15" t="str">
        <f>IF(ISNUMBER([2]HRT_SRT!R111),[2]HRT_SRT!R111,"")</f>
        <v/>
      </c>
      <c r="AR57" s="17">
        <f>(E57-W57)/E57</f>
        <v>0.99613231696857163</v>
      </c>
      <c r="AS57" s="16">
        <f>(I57-AF57)/I57</f>
        <v>0.99995215311004781</v>
      </c>
      <c r="AT57" s="16">
        <f>AG57/(AD57-AF57)</f>
        <v>0.22680511029235853</v>
      </c>
      <c r="AU57" s="16">
        <f>(G57-AM57)/G57</f>
        <v>0.30426356589147291</v>
      </c>
      <c r="AV57" s="57">
        <f>IF(AND(ISNUMBER(E57),ISNUMBER(W57)),E57-W57,"")</f>
        <v>363.59397564</v>
      </c>
      <c r="AW57" s="57">
        <f>IF(AND(ISNUMBER(I57),ISNUMBER(AF57)),I57-AF57,"")</f>
        <v>20.898999999999997</v>
      </c>
      <c r="AX57" s="57">
        <f>IF(AND(ISNUMBER(AM57),ISNUMBER(G57)),G57-AM57,"")</f>
        <v>7.8500000000000014</v>
      </c>
      <c r="AY57" s="57">
        <f>IF(AND(ISNUMBER(AC57),ISNUMBER(AE57)),AC57-AE57,"")</f>
        <v>22.4</v>
      </c>
      <c r="AZ57" s="57">
        <f>IF(AND(ISNUMBER(AL57),ISNUMBER(AM57)),AL57-AM57,"")</f>
        <v>8.0500000000000007</v>
      </c>
      <c r="BA57" s="123">
        <f>IF(AND($E57&gt;0,$W57&gt;0),IF(($E57-$W57)/$E57&gt;0,($E57-$W57)/$E57,0),"")</f>
        <v>0.99613231696857163</v>
      </c>
      <c r="BB57" s="123">
        <f>IF(AND($I57&gt;0,$AF57&gt;=0),IF(($I57-$AF57)/$I57&gt;0,($I57-$AF57)/$I57,0),"")</f>
        <v>0.99995215311004781</v>
      </c>
      <c r="BC57" s="123">
        <f>IF(AND($AG57&gt;=0,$AD57&gt;=0,$AF57&gt;=0),IF($AG57/($AD57-$AF57)&gt;0,$AG57/($AD57-$AF57),0),"")</f>
        <v>0.22680511029235853</v>
      </c>
      <c r="BD57" s="123">
        <f>IF(AND($G57&gt;0,$AM57&gt;0),IF(($G57-$AM57)/$G57&gt;0,($G57-$AM57)/$G57,0),"")</f>
        <v>0.30426356589147291</v>
      </c>
      <c r="BE57" s="6">
        <f>IF((AD57-AF57)/(AJ57/60)&lt;=0,"",(AD57-AF57)/(AJ57/60))</f>
        <v>7.1653714285714276</v>
      </c>
      <c r="BF57" s="6">
        <f>IF(OR(AJ57=0,AP57=0,NOT(ISNUMBER(AD57)),NOT(ISNUMBER(AF57)),NOT(ISNUMBER(AJ57)),NOT(ISNUMBER(AP57))),"",
IFERROR(IF((AD57-AF57)/(AJ57/60)/(AP57/1000)&lt;=0,"",(AD57-AF57)/(AJ57/60)/(AP57/1000)),""))</f>
        <v>1.8467452135493283</v>
      </c>
    </row>
    <row r="58" spans="1:58" ht="15.75">
      <c r="B58" s="11">
        <v>45318</v>
      </c>
      <c r="D58" s="3">
        <v>53</v>
      </c>
      <c r="E58" s="205" t="str">
        <f t="shared" si="0"/>
        <v/>
      </c>
      <c r="G58"/>
      <c r="H58"/>
      <c r="I58" s="15">
        <f>AD58</f>
        <v>22.2</v>
      </c>
      <c r="K58" s="10" t="str">
        <f t="shared" si="4"/>
        <v/>
      </c>
      <c r="L58" s="9" t="str">
        <f t="shared" si="5"/>
        <v/>
      </c>
      <c r="M58" s="8" t="str">
        <f t="shared" si="6"/>
        <v/>
      </c>
      <c r="N58" s="6"/>
      <c r="X58" s="6">
        <v>0.25</v>
      </c>
      <c r="AB58" s="6">
        <v>80</v>
      </c>
      <c r="AC58" s="1"/>
      <c r="AD58" s="188">
        <f>(AD60-AD57)/3+AD57</f>
        <v>22.2</v>
      </c>
      <c r="AG58">
        <v>4.8</v>
      </c>
      <c r="AH58" s="119">
        <v>0.49131944444444442</v>
      </c>
      <c r="AJ58" s="1">
        <v>175</v>
      </c>
      <c r="AK58" s="3">
        <v>180</v>
      </c>
      <c r="AL58" s="1"/>
      <c r="AN58" s="80">
        <f>360-AK58-AB58</f>
        <v>100</v>
      </c>
      <c r="AO58" s="165"/>
      <c r="AP58" s="13">
        <f>AVERAGE(AO56:AO62)</f>
        <v>3880.0000000000182</v>
      </c>
      <c r="AQ58" s="15" t="str">
        <f>IF(ISNUMBER([2]HRT_SRT!R112),[2]HRT_SRT!R112,"")</f>
        <v/>
      </c>
      <c r="AR58" s="17" t="e">
        <f>(E58-W58)/E58</f>
        <v>#VALUE!</v>
      </c>
      <c r="AS58" s="16">
        <f>(I58-AF58)/I58</f>
        <v>1</v>
      </c>
      <c r="AT58" s="16">
        <f>AG58/(AD58-AF58)</f>
        <v>0.21621621621621623</v>
      </c>
      <c r="AU58" s="16" t="e">
        <f>(G58-AM58)/G58</f>
        <v>#DIV/0!</v>
      </c>
      <c r="AV58" s="57" t="str">
        <f>IF(AND(ISNUMBER(E58),ISNUMBER(W58)),E58-W58,"")</f>
        <v/>
      </c>
      <c r="AW58" s="57" t="str">
        <f>IF(AND(ISNUMBER(I58),ISNUMBER(AF58)),I58-AF58,"")</f>
        <v/>
      </c>
      <c r="AX58" s="57" t="str">
        <f>IF(AND(ISNUMBER(AM58),ISNUMBER(G58)),G58-AM58,"")</f>
        <v/>
      </c>
      <c r="AY58" s="57" t="str">
        <f>IF(AND(ISNUMBER(AC58),ISNUMBER(AE58)),AC58-AE58,"")</f>
        <v/>
      </c>
      <c r="AZ58" s="57" t="str">
        <f>IF(AND(ISNUMBER(AL58),ISNUMBER(AM58)),AL58-AM58,"")</f>
        <v/>
      </c>
      <c r="BA58" s="123" t="str">
        <f>IF(AND($E58&gt;0,$W58&gt;0),IF(($E58-$W58)/$E58&gt;0,($E58-$W58)/$E58,0),"")</f>
        <v/>
      </c>
      <c r="BB58" s="123">
        <f>IF(AND($I58&gt;0,$AF58&gt;=0),IF(($I58-$AF58)/$I58&gt;0,($I58-$AF58)/$I58,0),"")</f>
        <v>1</v>
      </c>
      <c r="BC58" s="123">
        <f>IF(AND($AG58&gt;=0,$AD58&gt;=0,$AF58&gt;=0),IF($AG58/($AD58-$AF58)&gt;0,$AG58/($AD58-$AF58),0),"")</f>
        <v>0.21621621621621623</v>
      </c>
      <c r="BD58" s="123" t="str">
        <f>IF(AND($G58&gt;0,$AM58&gt;0),IF(($G58-$AM58)/$G58&gt;0,($G58-$AM58)/$G58,0),"")</f>
        <v/>
      </c>
      <c r="BE58" s="6">
        <f>IF((AD58-AF58)/(AJ58/60)&lt;=0,"",(AD58-AF58)/(AJ58/60))</f>
        <v>7.6114285714285712</v>
      </c>
      <c r="BF58" s="6" t="str">
        <f>IF(OR(AJ58=0,AP58=0,NOT(ISNUMBER(AD58)),NOT(ISNUMBER(AF58)),NOT(ISNUMBER(AJ58)),NOT(ISNUMBER(AP58))),"",
IFERROR(IF((AD58-AF58)/(AJ58/60)/(AP58/1000)&lt;=0,"",(AD58-AF58)/(AJ58/60)/(AP58/1000)),""))</f>
        <v/>
      </c>
    </row>
    <row r="59" spans="1:58" ht="30">
      <c r="A59" s="12" t="s">
        <v>169</v>
      </c>
      <c r="B59" s="11">
        <v>45319</v>
      </c>
      <c r="D59" s="3">
        <v>54</v>
      </c>
      <c r="E59" s="205" t="str">
        <f t="shared" si="0"/>
        <v/>
      </c>
      <c r="G59"/>
      <c r="H59"/>
      <c r="I59" s="15">
        <f>AD59</f>
        <v>23.066666666666666</v>
      </c>
      <c r="K59" s="10" t="str">
        <f t="shared" si="4"/>
        <v/>
      </c>
      <c r="L59" s="9" t="str">
        <f t="shared" si="5"/>
        <v/>
      </c>
      <c r="M59" s="8" t="str">
        <f t="shared" si="6"/>
        <v/>
      </c>
      <c r="N59" s="6"/>
      <c r="X59" s="6">
        <v>0.25</v>
      </c>
      <c r="AB59" s="6">
        <v>80</v>
      </c>
      <c r="AC59" s="1"/>
      <c r="AD59" s="188">
        <f>(AD60-AD58)/3+AD58</f>
        <v>23.066666666666666</v>
      </c>
      <c r="AG59">
        <v>7.0000000000000007E-2</v>
      </c>
      <c r="AH59" s="119">
        <v>0.52083333333333337</v>
      </c>
      <c r="AJ59" s="1">
        <v>175</v>
      </c>
      <c r="AK59" s="3">
        <v>180</v>
      </c>
      <c r="AL59" s="1"/>
      <c r="AN59" s="80">
        <f>360-AK59-AB59</f>
        <v>100</v>
      </c>
      <c r="AO59" s="165"/>
      <c r="AP59" s="13">
        <f>AVERAGE(AO57:AO63)</f>
        <v>3880.0000000000182</v>
      </c>
      <c r="AQ59" s="15" t="str">
        <f>IF(ISNUMBER([2]HRT_SRT!R113),[2]HRT_SRT!R113,"")</f>
        <v/>
      </c>
      <c r="AR59" s="17" t="e">
        <f>(E59-W59)/E59</f>
        <v>#VALUE!</v>
      </c>
      <c r="AS59" s="16">
        <f>(I59-AF59)/I59</f>
        <v>1</v>
      </c>
      <c r="AT59" s="16">
        <f>AG59/(AD59-AF59)</f>
        <v>3.0346820809248557E-3</v>
      </c>
      <c r="AU59" s="16" t="e">
        <f>(G59-AM59)/G59</f>
        <v>#DIV/0!</v>
      </c>
      <c r="AV59" s="57" t="str">
        <f>IF(AND(ISNUMBER(E59),ISNUMBER(W59)),E59-W59,"")</f>
        <v/>
      </c>
      <c r="AW59" s="57" t="str">
        <f>IF(AND(ISNUMBER(I59),ISNUMBER(AF59)),I59-AF59,"")</f>
        <v/>
      </c>
      <c r="AX59" s="57" t="str">
        <f>IF(AND(ISNUMBER(AM59),ISNUMBER(G59)),G59-AM59,"")</f>
        <v/>
      </c>
      <c r="AY59" s="57" t="str">
        <f>IF(AND(ISNUMBER(AC59),ISNUMBER(AE59)),AC59-AE59,"")</f>
        <v/>
      </c>
      <c r="AZ59" s="57" t="str">
        <f>IF(AND(ISNUMBER(AL59),ISNUMBER(AM59)),AL59-AM59,"")</f>
        <v/>
      </c>
      <c r="BA59" s="123" t="str">
        <f>IF(AND($E59&gt;0,$W59&gt;0),IF(($E59-$W59)/$E59&gt;0,($E59-$W59)/$E59,0),"")</f>
        <v/>
      </c>
      <c r="BB59" s="123">
        <f>IF(AND($I59&gt;0,$AF59&gt;=0),IF(($I59-$AF59)/$I59&gt;0,($I59-$AF59)/$I59,0),"")</f>
        <v>1</v>
      </c>
      <c r="BC59" s="123">
        <f>IF(AND($AG59&gt;=0,$AD59&gt;=0,$AF59&gt;=0),IF($AG59/($AD59-$AF59)&gt;0,$AG59/($AD59-$AF59),0),"")</f>
        <v>3.0346820809248557E-3</v>
      </c>
      <c r="BD59" s="123" t="str">
        <f>IF(AND($G59&gt;0,$AM59&gt;0),IF(($G59-$AM59)/$G59&gt;0,($G59-$AM59)/$G59,0),"")</f>
        <v/>
      </c>
      <c r="BE59" s="6">
        <f>IF((AD59-AF59)/(AJ59/60)&lt;=0,"",(AD59-AF59)/(AJ59/60))</f>
        <v>7.9085714285714293</v>
      </c>
      <c r="BF59" s="6" t="str">
        <f>IF(OR(AJ59=0,AP59=0,NOT(ISNUMBER(AD59)),NOT(ISNUMBER(AF59)),NOT(ISNUMBER(AJ59)),NOT(ISNUMBER(AP59))),"",
IFERROR(IF((AD59-AF59)/(AJ59/60)/(AP59/1000)&lt;=0,"",(AD59-AF59)/(AJ59/60)/(AP59/1000)),""))</f>
        <v/>
      </c>
    </row>
    <row r="60" spans="1:58" ht="15.75">
      <c r="A60" s="12" t="s">
        <v>168</v>
      </c>
      <c r="B60" s="11">
        <v>45320</v>
      </c>
      <c r="D60" s="3">
        <v>55</v>
      </c>
      <c r="E60" s="205" t="str">
        <f t="shared" si="0"/>
        <v/>
      </c>
      <c r="G60" s="6">
        <f>15.4*2</f>
        <v>30.8</v>
      </c>
      <c r="H60"/>
      <c r="I60" s="15">
        <f>AD60</f>
        <v>24.8</v>
      </c>
      <c r="K60" s="10" t="str">
        <f t="shared" si="4"/>
        <v/>
      </c>
      <c r="L60" s="9" t="str">
        <f t="shared" si="5"/>
        <v/>
      </c>
      <c r="M60" s="8">
        <f t="shared" si="6"/>
        <v>1.6103896103896105</v>
      </c>
      <c r="N60" s="6">
        <f>10*2.9</f>
        <v>29</v>
      </c>
      <c r="T60" s="6">
        <f>25*2.06</f>
        <v>51.5</v>
      </c>
      <c r="X60" s="6">
        <v>0.25</v>
      </c>
      <c r="AB60" s="6">
        <v>80</v>
      </c>
      <c r="AC60" s="6">
        <f>T60</f>
        <v>51.5</v>
      </c>
      <c r="AD60" s="1">
        <f>5*4.96</f>
        <v>24.8</v>
      </c>
      <c r="AE60" s="1">
        <f>37.7</f>
        <v>37.700000000000003</v>
      </c>
      <c r="AF60" s="168">
        <v>1E-3</v>
      </c>
      <c r="AG60">
        <v>0.08</v>
      </c>
      <c r="AH60" s="119">
        <v>0.52083333333333337</v>
      </c>
      <c r="AJ60" s="1">
        <v>175</v>
      </c>
      <c r="AK60" s="3">
        <v>180</v>
      </c>
      <c r="AL60" s="1">
        <f>AE60</f>
        <v>37.700000000000003</v>
      </c>
      <c r="AM60" s="1">
        <f>16.8</f>
        <v>16.8</v>
      </c>
      <c r="AN60" s="80">
        <f>360-AK60-AB60</f>
        <v>100</v>
      </c>
      <c r="AO60" s="165"/>
      <c r="AP60" s="13">
        <f>AVERAGE(AO58:AO64)</f>
        <v>3625.0000000000227</v>
      </c>
      <c r="AQ60" s="15" t="str">
        <f>IF(ISNUMBER([2]HRT_SRT!R114),[2]HRT_SRT!R114,"")</f>
        <v/>
      </c>
      <c r="AR60" s="17" t="e">
        <f>(E60-W60)/E60</f>
        <v>#VALUE!</v>
      </c>
      <c r="AS60" s="16">
        <f>(I60-AF60)/I60</f>
        <v>0.99995967741935476</v>
      </c>
      <c r="AT60" s="16">
        <f>AG60/(AD60-AF60)</f>
        <v>3.2259365296987783E-3</v>
      </c>
      <c r="AU60" s="16">
        <f>(G60-AM60)/G60</f>
        <v>0.45454545454545453</v>
      </c>
      <c r="AV60" s="57" t="str">
        <f>IF(AND(ISNUMBER(E60),ISNUMBER(W60)),E60-W60,"")</f>
        <v/>
      </c>
      <c r="AW60" s="57">
        <f>IF(AND(ISNUMBER(I60),ISNUMBER(AF60)),I60-AF60,"")</f>
        <v>24.798999999999999</v>
      </c>
      <c r="AX60" s="57">
        <f>IF(AND(ISNUMBER(AM60),ISNUMBER(G60)),G60-AM60,"")</f>
        <v>14</v>
      </c>
      <c r="AY60" s="57">
        <f>IF(AND(ISNUMBER(AC60),ISNUMBER(AE60)),AC60-AE60,"")</f>
        <v>13.799999999999997</v>
      </c>
      <c r="AZ60" s="57">
        <f>IF(AND(ISNUMBER(AL60),ISNUMBER(AM60)),AL60-AM60,"")</f>
        <v>20.900000000000002</v>
      </c>
      <c r="BA60" s="123" t="str">
        <f>IF(AND($E60&gt;0,$W60&gt;0),IF(($E60-$W60)/$E60&gt;0,($E60-$W60)/$E60,0),"")</f>
        <v/>
      </c>
      <c r="BB60" s="123">
        <f>IF(AND($I60&gt;0,$AF60&gt;=0),IF(($I60-$AF60)/$I60&gt;0,($I60-$AF60)/$I60,0),"")</f>
        <v>0.99995967741935476</v>
      </c>
      <c r="BC60" s="123">
        <f>IF(AND($AG60&gt;=0,$AD60&gt;=0,$AF60&gt;=0),IF($AG60/($AD60-$AF60)&gt;0,$AG60/($AD60-$AF60),0),"")</f>
        <v>3.2259365296987783E-3</v>
      </c>
      <c r="BD60" s="123">
        <f>IF(AND($G60&gt;0,$AM60&gt;0),IF(($G60-$AM60)/$G60&gt;0,($G60-$AM60)/$G60,0),"")</f>
        <v>0.45454545454545453</v>
      </c>
      <c r="BE60" s="6">
        <f>IF((AD60-AF60)/(AJ60/60)&lt;=0,"",(AD60-AF60)/(AJ60/60))</f>
        <v>8.5025142857142857</v>
      </c>
      <c r="BF60" s="6">
        <f>IF(OR(AJ60=0,AP60=0,NOT(ISNUMBER(AD60)),NOT(ISNUMBER(AF60)),NOT(ISNUMBER(AJ60)),NOT(ISNUMBER(AP60))),"",
IFERROR(IF((AD60-AF60)/(AJ60/60)/(AP60/1000)&lt;=0,"",(AD60-AF60)/(AJ60/60)/(AP60/1000)),""))</f>
        <v>2.3455211822659954</v>
      </c>
    </row>
    <row r="61" spans="1:58" ht="15.75">
      <c r="B61" s="167">
        <v>45321</v>
      </c>
      <c r="C61" s="166"/>
      <c r="D61" s="136">
        <v>56</v>
      </c>
      <c r="E61" s="205">
        <f t="shared" si="0"/>
        <v>370.43572199999994</v>
      </c>
      <c r="G61" s="192">
        <f>(N61*18-H61*18)/9</f>
        <v>23.560000000000002</v>
      </c>
      <c r="H61">
        <f>'[2]1-30-2024'!I28</f>
        <v>15.02</v>
      </c>
      <c r="I61" s="15">
        <f>AD61</f>
        <v>29.7</v>
      </c>
      <c r="K61" s="10">
        <f t="shared" si="4"/>
        <v>15.723078183361626</v>
      </c>
      <c r="L61" s="9">
        <f t="shared" si="5"/>
        <v>6.2362916161616155</v>
      </c>
      <c r="M61" s="8">
        <f t="shared" si="6"/>
        <v>2.5212224108658741</v>
      </c>
      <c r="N61" s="6">
        <f>'[2]1-30-2024'!I6</f>
        <v>26.8</v>
      </c>
      <c r="O61" s="6">
        <v>132.86699999999999</v>
      </c>
      <c r="P61" s="6">
        <v>28.698</v>
      </c>
      <c r="Q61" s="6">
        <f>O61*1.067</f>
        <v>141.76908899999998</v>
      </c>
      <c r="R61" s="6">
        <f>P61*1.514</f>
        <v>43.448771999999998</v>
      </c>
      <c r="S61" s="23">
        <f>P61*1.514+O61*1.067</f>
        <v>185.21786099999997</v>
      </c>
      <c r="T61" s="6">
        <f>'[2]1-30-2024'!I12</f>
        <v>62.47</v>
      </c>
      <c r="U61" s="6">
        <f>1.067*1.067</f>
        <v>1.1384889999999999</v>
      </c>
      <c r="V61" s="6">
        <v>0.246</v>
      </c>
      <c r="W61" s="23">
        <f>U61*1.067+V61*1.514</f>
        <v>1.5872117629999998</v>
      </c>
      <c r="X61" s="6">
        <v>0.56999999999999995</v>
      </c>
      <c r="Y61" s="6">
        <v>0.2</v>
      </c>
      <c r="Z61" s="6">
        <v>-95.6</v>
      </c>
      <c r="AA61" s="6">
        <v>-181</v>
      </c>
      <c r="AB61" s="6">
        <v>80</v>
      </c>
      <c r="AC61" s="6">
        <f>T61</f>
        <v>62.47</v>
      </c>
      <c r="AD61" s="1">
        <f>'[2]1-30-2024'!G13</f>
        <v>29.7</v>
      </c>
      <c r="AE61" s="1">
        <f>'[2]1-30-2024'!I21</f>
        <v>34.24</v>
      </c>
      <c r="AF61" s="1">
        <f>'[2]1-30-2024'!G21</f>
        <v>0.83</v>
      </c>
      <c r="AG61">
        <v>5.13</v>
      </c>
      <c r="AH61" s="119">
        <v>0.48067129629629629</v>
      </c>
      <c r="AI61" s="1">
        <v>-168.6</v>
      </c>
      <c r="AJ61" s="1">
        <v>175</v>
      </c>
      <c r="AK61" s="3">
        <v>180</v>
      </c>
      <c r="AL61" s="1">
        <f>AE61</f>
        <v>34.24</v>
      </c>
      <c r="AM61" s="6">
        <f>'[2]1-30-2024'!I27</f>
        <v>19.309999999999999</v>
      </c>
      <c r="AN61" s="80">
        <f>360-AK61-AB61</f>
        <v>100</v>
      </c>
      <c r="AO61" s="165">
        <f>[2]TSS_VSS!H113</f>
        <v>3880.0000000000182</v>
      </c>
      <c r="AP61" s="13">
        <f>AVERAGE(AO59:AO65)</f>
        <v>3625.0000000000227</v>
      </c>
      <c r="AQ61" s="15">
        <f>IF(ISNUMBER([2]HRT_SRT!R115),[2]HRT_SRT!R115,"")</f>
        <v>18.328784379592992</v>
      </c>
      <c r="AR61" s="17">
        <f>(E61-W61)/E61</f>
        <v>0.99571528427541867</v>
      </c>
      <c r="AS61" s="16">
        <f>(I61-AF61)/I61</f>
        <v>0.97205387205387206</v>
      </c>
      <c r="AT61" s="16">
        <f>AG61/(AD61-AF61)</f>
        <v>0.17769310703152061</v>
      </c>
      <c r="AU61" s="16">
        <f>(G61-AM61)/G61</f>
        <v>0.18039049235993221</v>
      </c>
      <c r="AV61" s="57">
        <f>IF(AND(ISNUMBER(E61),ISNUMBER(W61)),E61-W61,"")</f>
        <v>368.84851023699991</v>
      </c>
      <c r="AW61" s="57">
        <f>IF(AND(ISNUMBER(I61),ISNUMBER(AF61)),I61-AF61,"")</f>
        <v>28.87</v>
      </c>
      <c r="AX61" s="57">
        <f>IF(AND(ISNUMBER(AM61),ISNUMBER(G61)),G61-AM61,"")</f>
        <v>4.2500000000000036</v>
      </c>
      <c r="AY61" s="57">
        <f>IF(AND(ISNUMBER(AC61),ISNUMBER(AE61)),AC61-AE61,"")</f>
        <v>28.229999999999997</v>
      </c>
      <c r="AZ61" s="57">
        <f>IF(AND(ISNUMBER(AL61),ISNUMBER(AM61)),AL61-AM61,"")</f>
        <v>14.930000000000003</v>
      </c>
      <c r="BA61" s="123">
        <f>IF(AND($E61&gt;0,$W61&gt;0),IF(($E61-$W61)/$E61&gt;0,($E61-$W61)/$E61,0),"")</f>
        <v>0.99571528427541867</v>
      </c>
      <c r="BB61" s="123">
        <f>IF(AND($I61&gt;0,$AF61&gt;=0),IF(($I61-$AF61)/$I61&gt;0,($I61-$AF61)/$I61,0),"")</f>
        <v>0.97205387205387206</v>
      </c>
      <c r="BC61" s="123">
        <f>IF(AND($AG61&gt;=0,$AD61&gt;=0,$AF61&gt;=0),IF($AG61/($AD61-$AF61)&gt;0,$AG61/($AD61-$AF61),0),"")</f>
        <v>0.17769310703152061</v>
      </c>
      <c r="BD61" s="123">
        <f>IF(AND($G61&gt;0,$AM61&gt;0),IF(($G61-$AM61)/$G61&gt;0,($G61-$AM61)/$G61,0),"")</f>
        <v>0.18039049235993221</v>
      </c>
      <c r="BE61" s="6">
        <f>IF((AD61-AF61)/(AJ61/60)&lt;=0,"",(AD61-AF61)/(AJ61/60))</f>
        <v>9.8982857142857146</v>
      </c>
      <c r="BF61" s="6">
        <f>IF(OR(AJ61=0,AP61=0,NOT(ISNUMBER(AD61)),NOT(ISNUMBER(AF61)),NOT(ISNUMBER(AJ61)),NOT(ISNUMBER(AP61))),"",
IFERROR(IF((AD61-AF61)/(AJ61/60)/(AP61/1000)&lt;=0,"",(AD61-AF61)/(AJ61/60)/(AP61/1000)),""))</f>
        <v>2.7305615763546629</v>
      </c>
    </row>
    <row r="62" spans="1:58" ht="15.75">
      <c r="B62" s="11">
        <v>45322</v>
      </c>
      <c r="D62" s="3">
        <v>57</v>
      </c>
      <c r="E62" s="205" t="str">
        <f t="shared" si="0"/>
        <v/>
      </c>
      <c r="G62" s="15">
        <f>(N62*18-H62*18)/9</f>
        <v>26.999999999999996</v>
      </c>
      <c r="H62">
        <f>10*1.03</f>
        <v>10.3</v>
      </c>
      <c r="I62" s="15">
        <f>AD62</f>
        <v>25.25</v>
      </c>
      <c r="K62" s="10" t="str">
        <f t="shared" si="4"/>
        <v/>
      </c>
      <c r="L62" s="9" t="str">
        <f t="shared" si="5"/>
        <v/>
      </c>
      <c r="M62" s="8">
        <f t="shared" si="6"/>
        <v>1.8703703703703707</v>
      </c>
      <c r="N62" s="7">
        <f>10*2.38</f>
        <v>23.799999999999997</v>
      </c>
      <c r="T62" s="6">
        <f>20*2.62</f>
        <v>52.400000000000006</v>
      </c>
      <c r="X62" s="6">
        <v>0.26</v>
      </c>
      <c r="Y62" s="6">
        <v>0.23</v>
      </c>
      <c r="Z62" s="6">
        <v>-97</v>
      </c>
      <c r="AA62" s="6">
        <v>-181</v>
      </c>
      <c r="AB62" s="5">
        <v>80</v>
      </c>
      <c r="AC62" s="7">
        <f>T62</f>
        <v>52.400000000000006</v>
      </c>
      <c r="AD62" s="1">
        <f>5*5.05</f>
        <v>25.25</v>
      </c>
      <c r="AE62" s="1">
        <f>10*2.75</f>
        <v>27.5</v>
      </c>
      <c r="AF62" s="168">
        <v>1E-3</v>
      </c>
      <c r="AG62">
        <v>5.34</v>
      </c>
      <c r="AH62" s="119">
        <v>0.47951388888888885</v>
      </c>
      <c r="AI62" s="1">
        <v>-178</v>
      </c>
      <c r="AJ62" s="1">
        <v>175</v>
      </c>
      <c r="AK62" s="3">
        <v>180</v>
      </c>
      <c r="AL62" s="4">
        <f>AE62</f>
        <v>27.5</v>
      </c>
      <c r="AM62" s="1">
        <f>10*1.63</f>
        <v>16.299999999999997</v>
      </c>
      <c r="AN62" s="80">
        <f>360-AK62-AB62</f>
        <v>100</v>
      </c>
      <c r="AO62" s="165"/>
      <c r="AP62" s="13">
        <f>AVERAGE(AO60:AO66)</f>
        <v>3625.0000000000227</v>
      </c>
      <c r="AQ62" s="15" t="str">
        <f>IF(ISNUMBER([2]HRT_SRT!R116),[2]HRT_SRT!R116,"")</f>
        <v/>
      </c>
      <c r="AR62" s="17" t="e">
        <f>(E62-W62)/E62</f>
        <v>#VALUE!</v>
      </c>
      <c r="AS62" s="16">
        <f>(I62-AF62)/I62</f>
        <v>0.99996039603960396</v>
      </c>
      <c r="AT62" s="16">
        <f>AG62/(AD62-AF62)</f>
        <v>0.21149352449601966</v>
      </c>
      <c r="AU62" s="16">
        <f>(G62-AM62)/G62</f>
        <v>0.39629629629629631</v>
      </c>
      <c r="AV62" s="57" t="str">
        <f>IF(AND(ISNUMBER(E62),ISNUMBER(W62)),E62-W62,"")</f>
        <v/>
      </c>
      <c r="AW62" s="57">
        <f>IF(AND(ISNUMBER(I62),ISNUMBER(AF62)),I62-AF62,"")</f>
        <v>25.248999999999999</v>
      </c>
      <c r="AX62" s="57">
        <f>IF(AND(ISNUMBER(AM62),ISNUMBER(G62)),G62-AM62,"")</f>
        <v>10.7</v>
      </c>
      <c r="AY62" s="57">
        <f>IF(AND(ISNUMBER(AC62),ISNUMBER(AE62)),AC62-AE62,"")</f>
        <v>24.900000000000006</v>
      </c>
      <c r="AZ62" s="57">
        <f>IF(AND(ISNUMBER(AL62),ISNUMBER(AM62)),AL62-AM62,"")</f>
        <v>11.200000000000003</v>
      </c>
      <c r="BA62" s="123" t="str">
        <f>IF(AND($E62&gt;0,$W62&gt;0),IF(($E62-$W62)/$E62&gt;0,($E62-$W62)/$E62,0),"")</f>
        <v/>
      </c>
      <c r="BB62" s="123">
        <f>IF(AND($I62&gt;0,$AF62&gt;=0),IF(($I62-$AF62)/$I62&gt;0,($I62-$AF62)/$I62,0),"")</f>
        <v>0.99996039603960396</v>
      </c>
      <c r="BC62" s="123">
        <f>IF(AND($AG62&gt;=0,$AD62&gt;=0,$AF62&gt;=0),IF($AG62/($AD62-$AF62)&gt;0,$AG62/($AD62-$AF62),0),"")</f>
        <v>0.21149352449601966</v>
      </c>
      <c r="BD62" s="123">
        <f>IF(AND($G62&gt;0,$AM62&gt;0),IF(($G62-$AM62)/$G62&gt;0,($G62-$AM62)/$G62,0),"")</f>
        <v>0.39629629629629631</v>
      </c>
      <c r="BE62" s="6">
        <f>IF((AD62-AF62)/(AJ62/60)&lt;=0,"",(AD62-AF62)/(AJ62/60))</f>
        <v>8.6568000000000005</v>
      </c>
      <c r="BF62" s="6">
        <f>IF(OR(AJ62=0,AP62=0,NOT(ISNUMBER(AD62)),NOT(ISNUMBER(AF62)),NOT(ISNUMBER(AJ62)),NOT(ISNUMBER(AP62))),"",
IFERROR(IF((AD62-AF62)/(AJ62/60)/(AP62/1000)&lt;=0,"",(AD62-AF62)/(AJ62/60)/(AP62/1000)),""))</f>
        <v>2.388082758620675</v>
      </c>
    </row>
    <row r="63" spans="1:58" ht="15.75">
      <c r="A63" s="12" t="s">
        <v>167</v>
      </c>
      <c r="B63" s="11">
        <v>45323</v>
      </c>
      <c r="D63" s="3">
        <v>58</v>
      </c>
      <c r="E63" s="205" t="str">
        <f t="shared" si="0"/>
        <v/>
      </c>
      <c r="G63" s="163">
        <f>(N63*18-H63*10)/9</f>
        <v>29.311111111111114</v>
      </c>
      <c r="H63" s="164">
        <v>12.5</v>
      </c>
      <c r="I63" s="15">
        <f>AD63</f>
        <v>0</v>
      </c>
      <c r="K63" s="10" t="str">
        <f t="shared" si="4"/>
        <v/>
      </c>
      <c r="L63" s="9" t="str">
        <f t="shared" si="5"/>
        <v/>
      </c>
      <c r="M63" s="8" t="str">
        <f t="shared" si="6"/>
        <v/>
      </c>
      <c r="N63" s="7">
        <v>21.6</v>
      </c>
      <c r="X63" s="6">
        <v>0.41</v>
      </c>
      <c r="AB63" s="5">
        <v>80</v>
      </c>
      <c r="AG63"/>
      <c r="AH63" s="119">
        <v>0.46527777777777773</v>
      </c>
      <c r="AJ63" s="1">
        <v>175</v>
      </c>
      <c r="AK63" s="3">
        <v>180</v>
      </c>
      <c r="AM63" s="162">
        <f>13</f>
        <v>13</v>
      </c>
      <c r="AN63" s="80">
        <f>360-AK63-AB63</f>
        <v>100</v>
      </c>
      <c r="AO63" s="165"/>
      <c r="AP63" s="13">
        <f>AVERAGE(AO61:AO67)</f>
        <v>3625.0000000000227</v>
      </c>
      <c r="AQ63" s="15" t="str">
        <f>IF(ISNUMBER([2]HRT_SRT!R117),[2]HRT_SRT!R117,"")</f>
        <v/>
      </c>
      <c r="AR63" s="17" t="e">
        <f>(E63-W63)/E63</f>
        <v>#VALUE!</v>
      </c>
      <c r="AS63" s="16" t="e">
        <f>(I63-AF63)/I63</f>
        <v>#DIV/0!</v>
      </c>
      <c r="AT63" s="16" t="e">
        <f>AG63/(AD63-AF63)</f>
        <v>#DIV/0!</v>
      </c>
      <c r="AU63" s="16">
        <f>(G63-AM63)/G63</f>
        <v>0.55648218347232759</v>
      </c>
      <c r="AV63" s="57" t="str">
        <f>IF(AND(ISNUMBER(E63),ISNUMBER(W63)),E63-W63,"")</f>
        <v/>
      </c>
      <c r="AW63" s="57" t="str">
        <f>IF(AND(ISNUMBER(I63),ISNUMBER(AF63)),I63-AF63,"")</f>
        <v/>
      </c>
      <c r="AX63" s="57">
        <f>IF(AND(ISNUMBER(AM63),ISNUMBER(G63)),G63-AM63,"")</f>
        <v>16.311111111111114</v>
      </c>
      <c r="AY63" s="57" t="str">
        <f>IF(AND(ISNUMBER(AC63),ISNUMBER(AE63)),AC63-AE63,"")</f>
        <v/>
      </c>
      <c r="AZ63" s="57" t="str">
        <f>IF(AND(ISNUMBER(AL63),ISNUMBER(AM63)),AL63-AM63,"")</f>
        <v/>
      </c>
      <c r="BA63" s="123" t="str">
        <f>IF(AND($E63&gt;0,$W63&gt;0),IF(($E63-$W63)/$E63&gt;0,($E63-$W63)/$E63,0),"")</f>
        <v/>
      </c>
      <c r="BB63" s="123" t="str">
        <f>IF(AND($I63&gt;0,$AF63&gt;=0),IF(($I63-$AF63)/$I63&gt;0,($I63-$AF63)/$I63,0),"")</f>
        <v/>
      </c>
      <c r="BC63" s="123"/>
      <c r="BD63" s="123">
        <f>IF(AND($G63&gt;0,$AM63&gt;0),IF(($G63-$AM63)/$G63&gt;0,($G63-$AM63)/$G63,0),"")</f>
        <v>0.55648218347232759</v>
      </c>
      <c r="BE63" s="6" t="str">
        <f>IF((AD63-AF63)/(AJ63/60)&lt;=0,"",(AD63-AF63)/(AJ63/60))</f>
        <v/>
      </c>
      <c r="BF63" s="6" t="str">
        <f>IF(OR(AJ63=0,AP63=0,NOT(ISNUMBER(AD63)),NOT(ISNUMBER(AF63)),NOT(ISNUMBER(AJ63)),NOT(ISNUMBER(AP63))),"",
IFERROR(IF((AD63-AF63)/(AJ63/60)/(AP63/1000)&lt;=0,"",(AD63-AF63)/(AJ63/60)/(AP63/1000)),""))</f>
        <v/>
      </c>
    </row>
    <row r="64" spans="1:58" ht="15.75">
      <c r="B64" s="11">
        <v>45324</v>
      </c>
      <c r="D64" s="3">
        <v>59</v>
      </c>
      <c r="E64" s="205" t="str">
        <f t="shared" si="0"/>
        <v/>
      </c>
      <c r="G64" s="15">
        <f>(N64*18-H64*18)/9</f>
        <v>25.4</v>
      </c>
      <c r="H64">
        <f>10*1.29</f>
        <v>12.9</v>
      </c>
      <c r="I64" s="15">
        <f>AD64</f>
        <v>24.3</v>
      </c>
      <c r="K64" s="10" t="str">
        <f t="shared" si="4"/>
        <v/>
      </c>
      <c r="L64" s="9" t="str">
        <f t="shared" si="5"/>
        <v/>
      </c>
      <c r="M64" s="8">
        <f t="shared" si="6"/>
        <v>1.9133858267716537</v>
      </c>
      <c r="N64" s="7">
        <f>25.6</f>
        <v>25.6</v>
      </c>
      <c r="T64" s="6">
        <f>20*2.69</f>
        <v>53.8</v>
      </c>
      <c r="X64" s="6">
        <v>0.25</v>
      </c>
      <c r="AB64" s="5">
        <v>80</v>
      </c>
      <c r="AC64" s="7">
        <f>T64</f>
        <v>53.8</v>
      </c>
      <c r="AD64" s="1">
        <f>5*4.86</f>
        <v>24.3</v>
      </c>
      <c r="AE64" s="1">
        <f>10*2.911</f>
        <v>29.11</v>
      </c>
      <c r="AF64" s="168">
        <v>1E-3</v>
      </c>
      <c r="AG64">
        <v>6.14</v>
      </c>
      <c r="AH64" s="119">
        <v>0.47870370370370369</v>
      </c>
      <c r="AJ64" s="1">
        <v>175</v>
      </c>
      <c r="AK64" s="3">
        <v>180</v>
      </c>
      <c r="AL64" s="4">
        <f>AE64</f>
        <v>29.11</v>
      </c>
      <c r="AM64" s="1">
        <f>20.3</f>
        <v>20.3</v>
      </c>
      <c r="AN64" s="80">
        <f>360-AK64-AB64</f>
        <v>100</v>
      </c>
      <c r="AO64" s="165">
        <f>[2]TSS_VSS!H119</f>
        <v>3370.0000000000273</v>
      </c>
      <c r="AP64" s="13">
        <f>AVERAGE(AO62:AO68)</f>
        <v>3365.0000000000091</v>
      </c>
      <c r="AQ64" s="15">
        <f>IF(ISNUMBER([2]HRT_SRT!R118),[2]HRT_SRT!R118,"")</f>
        <v>18.317982787256888</v>
      </c>
      <c r="AR64" s="17" t="e">
        <f>(E64-W64)/E64</f>
        <v>#VALUE!</v>
      </c>
      <c r="AS64" s="16">
        <f>(I64-AF64)/I64</f>
        <v>0.99995884773662547</v>
      </c>
      <c r="AT64" s="16">
        <f>AG64/(AD64-AF64)</f>
        <v>0.2526852956911807</v>
      </c>
      <c r="AU64" s="16">
        <f>(G64-AM64)/G64</f>
        <v>0.20078740157480307</v>
      </c>
      <c r="AV64" s="57" t="str">
        <f>IF(AND(ISNUMBER(E64),ISNUMBER(W64)),E64-W64,"")</f>
        <v/>
      </c>
      <c r="AW64" s="57">
        <f>IF(AND(ISNUMBER(I64),ISNUMBER(AF64)),I64-AF64,"")</f>
        <v>24.298999999999999</v>
      </c>
      <c r="AX64" s="57">
        <f>IF(AND(ISNUMBER(AM64),ISNUMBER(G64)),G64-AM64,"")</f>
        <v>5.0999999999999979</v>
      </c>
      <c r="AY64" s="57">
        <f>IF(AND(ISNUMBER(AC64),ISNUMBER(AE64)),AC64-AE64,"")</f>
        <v>24.689999999999998</v>
      </c>
      <c r="AZ64" s="57">
        <f>IF(AND(ISNUMBER(AL64),ISNUMBER(AM64)),AL64-AM64,"")</f>
        <v>8.8099999999999987</v>
      </c>
      <c r="BA64" s="123" t="str">
        <f>IF(AND($E64&gt;0,$W64&gt;0),IF(($E64-$W64)/$E64&gt;0,($E64-$W64)/$E64,0),"")</f>
        <v/>
      </c>
      <c r="BB64" s="123">
        <f>IF(AND($I64&gt;0,$AF64&gt;=0),IF(($I64-$AF64)/$I64&gt;0,($I64-$AF64)/$I64,0),"")</f>
        <v>0.99995884773662547</v>
      </c>
      <c r="BC64" s="123">
        <f>IF(AND($AG64&gt;=0,$AD64&gt;=0,$AF64&gt;=0),IF($AG64/($AD64-$AF64)&gt;0,$AG64/($AD64-$AF64),0),"")</f>
        <v>0.2526852956911807</v>
      </c>
      <c r="BD64" s="123">
        <f>IF(AND($G64&gt;0,$AM64&gt;0),IF(($G64-$AM64)/$G64&gt;0,($G64-$AM64)/$G64,0),"")</f>
        <v>0.20078740157480307</v>
      </c>
      <c r="BE64" s="6">
        <f>IF((AD64-AF64)/(AJ64/60)&lt;=0,"",(AD64-AF64)/(AJ64/60))</f>
        <v>8.3310857142857149</v>
      </c>
      <c r="BF64" s="6">
        <f>IF(OR(AJ64=0,AP64=0,NOT(ISNUMBER(AD64)),NOT(ISNUMBER(AF64)),NOT(ISNUMBER(AJ64)),NOT(ISNUMBER(AP64))),"",
IFERROR(IF((AD64-AF64)/(AJ64/60)/(AP64/1000)&lt;=0,"",(AD64-AF64)/(AJ64/60)/(AP64/1000)),""))</f>
        <v>2.4758055614519145</v>
      </c>
    </row>
    <row r="65" spans="1:58" s="27" customFormat="1" ht="15.75">
      <c r="A65" s="39" t="s">
        <v>166</v>
      </c>
      <c r="B65" s="191">
        <v>45325</v>
      </c>
      <c r="C65" s="28"/>
      <c r="D65" s="29">
        <v>60</v>
      </c>
      <c r="E65" s="205" t="str">
        <f t="shared" si="0"/>
        <v/>
      </c>
      <c r="F65" s="36"/>
      <c r="G65" s="116"/>
      <c r="H65" s="116"/>
      <c r="I65" s="15">
        <f>AD65</f>
        <v>25.200000000000003</v>
      </c>
      <c r="J65" s="35"/>
      <c r="K65" s="10" t="str">
        <f t="shared" si="4"/>
        <v/>
      </c>
      <c r="L65" s="9" t="str">
        <f t="shared" si="5"/>
        <v/>
      </c>
      <c r="M65" s="8" t="str">
        <f t="shared" si="6"/>
        <v/>
      </c>
      <c r="N65" s="34"/>
      <c r="O65" s="33"/>
      <c r="P65" s="33"/>
      <c r="Q65" s="33"/>
      <c r="R65" s="33"/>
      <c r="S65" s="33"/>
      <c r="T65" s="33"/>
      <c r="U65" s="33"/>
      <c r="V65" s="33"/>
      <c r="W65" s="33"/>
      <c r="X65" s="33">
        <v>1.03</v>
      </c>
      <c r="Y65" s="33"/>
      <c r="Z65" s="33"/>
      <c r="AA65" s="33"/>
      <c r="AB65" s="74">
        <v>80</v>
      </c>
      <c r="AC65" s="32"/>
      <c r="AD65" s="190">
        <f>(AD64-AD67)/2+AD64</f>
        <v>25.200000000000003</v>
      </c>
      <c r="AE65" s="27">
        <f>25*1.78</f>
        <v>44.5</v>
      </c>
      <c r="AF65" s="177">
        <v>1E-3</v>
      </c>
      <c r="AG65" s="116">
        <v>1.95</v>
      </c>
      <c r="AH65" s="125">
        <v>0.43460648148148145</v>
      </c>
      <c r="AJ65" s="1">
        <v>175</v>
      </c>
      <c r="AK65" s="29">
        <v>180</v>
      </c>
      <c r="AL65" s="32">
        <f>AE65</f>
        <v>44.5</v>
      </c>
      <c r="AM65" s="27">
        <f>25*1.18</f>
        <v>29.5</v>
      </c>
      <c r="AN65" s="87">
        <f>360-AK65-AB65</f>
        <v>100</v>
      </c>
      <c r="AO65" s="189"/>
      <c r="AP65" s="13">
        <f>AVERAGE(AO63:AO69)</f>
        <v>3365.0000000000091</v>
      </c>
      <c r="AQ65" s="77" t="str">
        <f>IF(ISNUMBER([2]HRT_SRT!R119),[2]HRT_SRT!R119,"")</f>
        <v/>
      </c>
      <c r="AR65" s="31" t="e">
        <f>(E65-W65)/E65</f>
        <v>#VALUE!</v>
      </c>
      <c r="AS65" s="30">
        <f>(I65-AF65)/I65</f>
        <v>0.99996031746031744</v>
      </c>
      <c r="AT65" s="30">
        <f>AG65/(AD65-AF65)</f>
        <v>7.7384023175522829E-2</v>
      </c>
      <c r="AU65" s="30" t="e">
        <f>(G65-AM65)/G65</f>
        <v>#DIV/0!</v>
      </c>
      <c r="AV65" s="73" t="str">
        <f>IF(AND(ISNUMBER(E65),ISNUMBER(W65)),E65-W65,"")</f>
        <v/>
      </c>
      <c r="AW65" s="73">
        <f>IF(AND(ISNUMBER(I65),ISNUMBER(AF65)),I65-AF65,"")</f>
        <v>25.199000000000002</v>
      </c>
      <c r="AX65" s="73" t="str">
        <f>IF(AND(ISNUMBER(AM65),ISNUMBER(G65)),G65-AM65,"")</f>
        <v/>
      </c>
      <c r="AY65" s="57" t="str">
        <f>IF(AND(ISNUMBER(AC65),ISNUMBER(AE65)),AC65-AE65,"")</f>
        <v/>
      </c>
      <c r="AZ65" s="57">
        <f>IF(AND(ISNUMBER(AL65),ISNUMBER(AM65)),AL65-AM65,"")</f>
        <v>15</v>
      </c>
      <c r="BA65" s="123" t="str">
        <f>IF(AND($E65&gt;0,$W65&gt;0),IF(($E65-$W65)/$E65&gt;0,($E65-$W65)/$E65,0),"")</f>
        <v/>
      </c>
      <c r="BB65" s="123">
        <f>IF(AND($I65&gt;0,$AF65&gt;=0),IF(($I65-$AF65)/$I65&gt;0,($I65-$AF65)/$I65,0),"")</f>
        <v>0.99996031746031744</v>
      </c>
      <c r="BC65" s="123">
        <f>IF(AND($AG65&gt;=0,$AD65&gt;=0,$AF65&gt;=0),IF($AG65/($AD65-$AF65)&gt;0,$AG65/($AD65-$AF65),0),"")</f>
        <v>7.7384023175522829E-2</v>
      </c>
      <c r="BD65" s="123" t="str">
        <f>IF(AND($G65&gt;0,$AM65&gt;0),IF(($G65-$AM65)/$G65&gt;0,($G65-$AM65)/$G65,0),"")</f>
        <v/>
      </c>
      <c r="BE65" s="6">
        <f>IF((AD65-AF65)/(AJ65/60)&lt;=0,"",(AD65-AF65)/(AJ65/60))</f>
        <v>8.6396571428571445</v>
      </c>
      <c r="BF65" s="6">
        <f>IF(OR(AJ65=0,AP65=0,NOT(ISNUMBER(AD65)),NOT(ISNUMBER(AF65)),NOT(ISNUMBER(AJ65)),NOT(ISNUMBER(AP65))),"",
IFERROR(IF((AD65-AF65)/(AJ65/60)/(AP65/1000)&lt;=0,"",(AD65-AF65)/(AJ65/60)/(AP65/1000)),""))</f>
        <v>2.5675058374018191</v>
      </c>
    </row>
    <row r="66" spans="1:58" ht="15.75">
      <c r="B66" s="187">
        <v>45326</v>
      </c>
      <c r="C66" s="186"/>
      <c r="D66" s="3">
        <v>61</v>
      </c>
      <c r="E66" s="205" t="str">
        <f t="shared" si="0"/>
        <v/>
      </c>
      <c r="G66"/>
      <c r="H66"/>
      <c r="I66" s="15">
        <f>AD66</f>
        <v>26.550000000000004</v>
      </c>
      <c r="K66" s="10" t="str">
        <f t="shared" si="4"/>
        <v/>
      </c>
      <c r="L66" s="9" t="str">
        <f t="shared" si="5"/>
        <v/>
      </c>
      <c r="M66" s="8" t="str">
        <f t="shared" si="6"/>
        <v/>
      </c>
      <c r="Q66" s="6">
        <f>O66*1.067</f>
        <v>0</v>
      </c>
      <c r="R66" s="6">
        <f>P66*1.514</f>
        <v>0</v>
      </c>
      <c r="S66" s="23">
        <f>P66*1.514+O66*1.067</f>
        <v>0</v>
      </c>
      <c r="X66" s="6">
        <v>0.25</v>
      </c>
      <c r="AB66" s="5">
        <v>80</v>
      </c>
      <c r="AD66" s="188">
        <f>(AD65-AD67)/2+AD65</f>
        <v>26.550000000000004</v>
      </c>
      <c r="AG66">
        <v>0.08</v>
      </c>
      <c r="AH66" s="119">
        <v>0.52083333333333337</v>
      </c>
      <c r="AJ66" s="1">
        <v>175</v>
      </c>
      <c r="AK66" s="3">
        <v>180</v>
      </c>
      <c r="AN66" s="80">
        <f>360-AK66-AB66</f>
        <v>100</v>
      </c>
      <c r="AO66" s="165"/>
      <c r="AP66" s="13">
        <f>AVERAGE(AO64:AO70)</f>
        <v>3365.0000000000091</v>
      </c>
      <c r="AQ66" s="15" t="str">
        <f>IF(ISNUMBER([2]HRT_SRT!R120),[2]HRT_SRT!R120,"")</f>
        <v/>
      </c>
      <c r="AR66" s="156" t="e">
        <f>(E66-W66)/E66</f>
        <v>#VALUE!</v>
      </c>
      <c r="AS66" s="155">
        <f>(I66-AF66)/I66</f>
        <v>1</v>
      </c>
      <c r="AT66" s="155">
        <f>AG66/(AD66-AF66)</f>
        <v>3.0131826741996229E-3</v>
      </c>
      <c r="AU66" s="155" t="e">
        <f>(G66-AM66)/G66</f>
        <v>#DIV/0!</v>
      </c>
      <c r="AV66" s="57" t="str">
        <f>IF(AND(ISNUMBER(E66),ISNUMBER(W66)),E66-W66,"")</f>
        <v/>
      </c>
      <c r="AW66" s="57" t="str">
        <f>IF(AND(ISNUMBER(I66),ISNUMBER(AF66)),I66-AF66,"")</f>
        <v/>
      </c>
      <c r="AX66" s="57" t="str">
        <f>IF(AND(ISNUMBER(AM66),ISNUMBER(G66)),G66-AM66,"")</f>
        <v/>
      </c>
      <c r="AY66" s="57" t="str">
        <f>IF(AND(ISNUMBER(AC66),ISNUMBER(AE66)),AC66-AE66,"")</f>
        <v/>
      </c>
      <c r="AZ66" s="57" t="str">
        <f>IF(AND(ISNUMBER(AL66),ISNUMBER(AM66)),AL66-AM66,"")</f>
        <v/>
      </c>
      <c r="BA66" s="84" t="str">
        <f>IF(AND($E66&gt;0,$W66&gt;0),IF(($E66-$W66)/$E66&gt;0,($E66-$W66)/$E66,0),"")</f>
        <v/>
      </c>
      <c r="BB66" s="84">
        <f>IF(AND($I66&gt;0,$AF66&gt;=0),IF(($I66-$AF66)/$I66&gt;0,($I66-$AF66)/$I66,0),"")</f>
        <v>1</v>
      </c>
      <c r="BC66" s="84">
        <f>IF(AND($AG66&gt;=0,$AD66&gt;=0,$AF66&gt;=0),IF($AG66/($AD66-$AF66)&gt;0,$AG66/($AD66-$AF66),0),"")</f>
        <v>3.0131826741996229E-3</v>
      </c>
      <c r="BD66" s="84" t="str">
        <f>IF(AND($G66&gt;0,$AM66&gt;0),IF(($G66-$AM66)/$G66&gt;0,($G66-$AM66)/$G66,0),"")</f>
        <v/>
      </c>
      <c r="BE66" s="6">
        <f>IF((AD66-AF66)/(AJ66/60)&lt;=0,"",(AD66-AF66)/(AJ66/60))</f>
        <v>9.102857142857145</v>
      </c>
      <c r="BF66" s="6" t="str">
        <f>IF(OR(AJ66=0,AP66=0,NOT(ISNUMBER(AD66)),NOT(ISNUMBER(AF66)),NOT(ISNUMBER(AJ66)),NOT(ISNUMBER(AP66))),"",
IFERROR(IF((AD66-AF66)/(AJ66/60)/(AP66/1000)&lt;=0,"",(AD66-AF66)/(AJ66/60)/(AP66/1000)),""))</f>
        <v/>
      </c>
    </row>
    <row r="67" spans="1:58" ht="15.75">
      <c r="B67" s="187">
        <v>45327</v>
      </c>
      <c r="C67" s="186"/>
      <c r="D67" s="3">
        <v>62</v>
      </c>
      <c r="E67" s="205">
        <f t="shared" si="0"/>
        <v>338.64</v>
      </c>
      <c r="G67" s="15">
        <f>(N67*18-H67*18)/9</f>
        <v>32</v>
      </c>
      <c r="H67">
        <f>10*2.4</f>
        <v>24</v>
      </c>
      <c r="I67" s="15">
        <f>AD67</f>
        <v>22.5</v>
      </c>
      <c r="K67" s="10">
        <f t="shared" si="4"/>
        <v>10.5825</v>
      </c>
      <c r="L67" s="9">
        <f t="shared" si="5"/>
        <v>7.5253333333333332</v>
      </c>
      <c r="M67" s="8">
        <f t="shared" si="6"/>
        <v>1.40625</v>
      </c>
      <c r="N67" s="7">
        <f>40</f>
        <v>40</v>
      </c>
      <c r="O67" s="6">
        <v>138.04599999999999</v>
      </c>
      <c r="P67" s="6">
        <v>31.274000000000001</v>
      </c>
      <c r="S67" s="6">
        <f>138.046+31.274</f>
        <v>169.32</v>
      </c>
      <c r="T67" s="6">
        <f>20*2.56</f>
        <v>51.2</v>
      </c>
      <c r="U67" s="6">
        <v>24.591000000000001</v>
      </c>
      <c r="W67" s="23">
        <f>U67*1.067+V67*1.514</f>
        <v>26.238596999999999</v>
      </c>
      <c r="X67" s="6">
        <v>1.1100000000000001</v>
      </c>
      <c r="Y67" s="6">
        <v>0.24</v>
      </c>
      <c r="Z67" s="6">
        <v>-131</v>
      </c>
      <c r="AA67" s="6">
        <v>-185</v>
      </c>
      <c r="AB67" s="5">
        <v>80</v>
      </c>
      <c r="AC67" s="7">
        <f>T67</f>
        <v>51.2</v>
      </c>
      <c r="AD67" s="1">
        <f>5*4.5</f>
        <v>22.5</v>
      </c>
      <c r="AE67" s="1">
        <f>10*5.11</f>
        <v>51.1</v>
      </c>
      <c r="AF67" s="168">
        <v>1E-3</v>
      </c>
      <c r="AG67">
        <v>0.08</v>
      </c>
      <c r="AH67" s="119">
        <v>0.52083333333333337</v>
      </c>
      <c r="AI67" s="1">
        <v>-187</v>
      </c>
      <c r="AJ67" s="1">
        <v>175</v>
      </c>
      <c r="AK67" s="3">
        <v>180</v>
      </c>
      <c r="AL67" s="4">
        <f>AE67</f>
        <v>51.1</v>
      </c>
      <c r="AM67" s="1">
        <f>37.9</f>
        <v>37.9</v>
      </c>
      <c r="AN67" s="80">
        <f>360-AK67-AB67</f>
        <v>100</v>
      </c>
      <c r="AO67" s="165"/>
      <c r="AP67" s="13">
        <f>AVERAGE(AO65:AO71)</f>
        <v>3834.9999999999909</v>
      </c>
      <c r="AQ67" s="15" t="str">
        <f>IF(ISNUMBER([2]HRT_SRT!R121),[2]HRT_SRT!R121,"")</f>
        <v/>
      </c>
      <c r="AR67" s="156">
        <f>(E67-W67)/E67</f>
        <v>0.92251772678951094</v>
      </c>
      <c r="AS67" s="155">
        <f>(I67-AF67)/I67</f>
        <v>0.99995555555555549</v>
      </c>
      <c r="AT67" s="155">
        <f>AG67/(AD67-AF67)</f>
        <v>3.5557135872705458E-3</v>
      </c>
      <c r="AU67" s="155">
        <f>(G67-AM67)/G67</f>
        <v>-0.18437499999999996</v>
      </c>
      <c r="AV67" s="57">
        <f>IF(AND(ISNUMBER(E67),ISNUMBER(W67)),E67-W67,"")</f>
        <v>312.40140299999996</v>
      </c>
      <c r="AW67" s="57">
        <f>IF(AND(ISNUMBER(I67),ISNUMBER(AF67)),I67-AF67,"")</f>
        <v>22.498999999999999</v>
      </c>
      <c r="AX67" s="57">
        <f>IF(AND(ISNUMBER(AM67),ISNUMBER(G67)),G67-AM67,"")</f>
        <v>-5.8999999999999986</v>
      </c>
      <c r="AY67" s="57">
        <f>IF(AND(ISNUMBER(AC67),ISNUMBER(AE67)),AC67-AE67,"")</f>
        <v>0.10000000000000142</v>
      </c>
      <c r="AZ67" s="57">
        <f>IF(AND(ISNUMBER(AL67),ISNUMBER(AM67)),AL67-AM67,"")</f>
        <v>13.200000000000003</v>
      </c>
      <c r="BA67" s="84">
        <f>IF(AND($E67&gt;0,$W67&gt;0),IF(($E67-$W67)/$E67&gt;0,($E67-$W67)/$E67,0),"")</f>
        <v>0.92251772678951094</v>
      </c>
      <c r="BB67" s="84">
        <f>IF(AND($I67&gt;0,$AF67&gt;=0),IF(($I67-$AF67)/$I67&gt;0,($I67-$AF67)/$I67,0),"")</f>
        <v>0.99995555555555549</v>
      </c>
      <c r="BC67" s="84">
        <f>IF(AND($AG67&gt;=0,$AD67&gt;=0,$AF67&gt;=0),IF($AG67/($AD67-$AF67)&gt;0,$AG67/($AD67-$AF67),0),"")</f>
        <v>3.5557135872705458E-3</v>
      </c>
      <c r="BD67" s="84">
        <f>IF(AND($G67&gt;0,$AM67&gt;0),IF(($G67-$AM67)/$G67&gt;0,($G67-$AM67)/$G67,0),"")</f>
        <v>0</v>
      </c>
      <c r="BE67" s="6">
        <f>IF((AD67-AF67)/(AJ67/60)&lt;=0,"",(AD67-AF67)/(AJ67/60))</f>
        <v>7.7139428571428574</v>
      </c>
      <c r="BF67" s="6">
        <f>IF(OR(AJ67=0,AP67=0,NOT(ISNUMBER(AD67)),NOT(ISNUMBER(AF67)),NOT(ISNUMBER(AJ67)),NOT(ISNUMBER(AP67))),"",
IFERROR(IF((AD67-AF67)/(AJ67/60)/(AP67/1000)&lt;=0,"",(AD67-AF67)/(AJ67/60)/(AP67/1000)),""))</f>
        <v>2.0114583721363428</v>
      </c>
    </row>
    <row r="68" spans="1:58" ht="15.75">
      <c r="B68" s="187">
        <v>45328</v>
      </c>
      <c r="C68" s="186"/>
      <c r="D68" s="3">
        <v>63</v>
      </c>
      <c r="E68" s="205" t="str">
        <f t="shared" si="0"/>
        <v/>
      </c>
      <c r="G68" s="163">
        <f>G69</f>
        <v>28.600000000000005</v>
      </c>
      <c r="H68">
        <f>26.9</f>
        <v>26.9</v>
      </c>
      <c r="I68" s="15">
        <f>AD68</f>
        <v>20.65</v>
      </c>
      <c r="K68" s="10" t="str">
        <f t="shared" si="4"/>
        <v/>
      </c>
      <c r="L68" s="9" t="str">
        <f t="shared" si="5"/>
        <v/>
      </c>
      <c r="M68" s="8">
        <f t="shared" si="6"/>
        <v>1.4440559440559437</v>
      </c>
      <c r="N68" s="7">
        <v>31.6</v>
      </c>
      <c r="T68" s="6">
        <f>20*2.06</f>
        <v>41.2</v>
      </c>
      <c r="X68" s="6">
        <v>1.48</v>
      </c>
      <c r="Y68" s="6">
        <v>0.28000000000000003</v>
      </c>
      <c r="Z68" s="6">
        <v>-135.69999999999999</v>
      </c>
      <c r="AA68" s="6">
        <v>-177</v>
      </c>
      <c r="AB68" s="5">
        <v>80</v>
      </c>
      <c r="AC68" s="7">
        <f>T68</f>
        <v>41.2</v>
      </c>
      <c r="AD68" s="1">
        <f>5*4.13</f>
        <v>20.65</v>
      </c>
      <c r="AE68" s="1">
        <f>40.1</f>
        <v>40.1</v>
      </c>
      <c r="AF68" s="168">
        <v>1E-3</v>
      </c>
      <c r="AG68" s="1">
        <v>0.09</v>
      </c>
      <c r="AH68" s="119">
        <v>0.52083333333333337</v>
      </c>
      <c r="AI68" s="1">
        <v>-179.5</v>
      </c>
      <c r="AJ68" s="1">
        <v>175</v>
      </c>
      <c r="AK68" s="3">
        <v>180</v>
      </c>
      <c r="AL68" s="4">
        <f>AE68</f>
        <v>40.1</v>
      </c>
      <c r="AM68" s="1">
        <f>26.2</f>
        <v>26.2</v>
      </c>
      <c r="AN68" s="80">
        <f>360-AK68-AB68</f>
        <v>100</v>
      </c>
      <c r="AO68" s="165">
        <f>[2]TSS_VSS!H122</f>
        <v>3359.9999999999909</v>
      </c>
      <c r="AP68" s="13">
        <f>AVERAGE(AO66:AO72)</f>
        <v>3834.9999999999909</v>
      </c>
      <c r="AQ68" s="15">
        <f>IF(ISNUMBER([2]HRT_SRT!R122),[2]HRT_SRT!R122,"")</f>
        <v>22.433234421365103</v>
      </c>
      <c r="AR68" s="156" t="e">
        <f>(E68-W68)/E68</f>
        <v>#VALUE!</v>
      </c>
      <c r="AS68" s="155">
        <f>(I68-AF68)/I68</f>
        <v>0.99995157384987887</v>
      </c>
      <c r="AT68" s="155">
        <f>AG68/(AD68-AF68)</f>
        <v>4.3585645793985184E-3</v>
      </c>
      <c r="AU68" s="155">
        <f>(G68-AM68)/G68</f>
        <v>8.39160839160841E-2</v>
      </c>
      <c r="AV68" s="57" t="str">
        <f>IF(AND(ISNUMBER(E68),ISNUMBER(W68)),E68-W68,"")</f>
        <v/>
      </c>
      <c r="AW68" s="57">
        <f>IF(AND(ISNUMBER(I68),ISNUMBER(AF68)),I68-AF68,"")</f>
        <v>20.648999999999997</v>
      </c>
      <c r="AX68" s="57">
        <f>IF(AND(ISNUMBER(AM68),ISNUMBER(G68)),G68-AM68,"")</f>
        <v>2.4000000000000057</v>
      </c>
      <c r="AY68" s="57">
        <f>IF(AND(ISNUMBER(AC68),ISNUMBER(AE68)),AC68-AE68,"")</f>
        <v>1.1000000000000014</v>
      </c>
      <c r="AZ68" s="57">
        <f>IF(AND(ISNUMBER(AL68),ISNUMBER(AM68)),AL68-AM68,"")</f>
        <v>13.900000000000002</v>
      </c>
      <c r="BA68" s="84" t="str">
        <f>IF(AND($E68&gt;0,$W68&gt;0),IF(($E68-$W68)/$E68&gt;0,($E68-$W68)/$E68,0),"")</f>
        <v/>
      </c>
      <c r="BB68" s="84">
        <f>IF(AND($I68&gt;0,$AF68&gt;=0),IF(($I68-$AF68)/$I68&gt;0,($I68-$AF68)/$I68,0),"")</f>
        <v>0.99995157384987887</v>
      </c>
      <c r="BC68" s="84">
        <f>IF(AND($AG68&gt;=0,$AD68&gt;=0,$AF68&gt;=0),IF($AG68/($AD68-$AF68)&gt;0,$AG68/($AD68-$AF68),0),"")</f>
        <v>4.3585645793985184E-3</v>
      </c>
      <c r="BD68" s="84">
        <f>IF(AND($G68&gt;0,$AM68&gt;0),IF(($G68-$AM68)/$G68&gt;0,($G68-$AM68)/$G68,0),"")</f>
        <v>8.39160839160841E-2</v>
      </c>
      <c r="BE68" s="6">
        <f>IF((AD68-AF68)/(AJ68/60)&lt;=0,"",(AD68-AF68)/(AJ68/60))</f>
        <v>7.0796571428571422</v>
      </c>
      <c r="BF68" s="6">
        <f>IF(OR(AJ68=0,AP68=0,NOT(ISNUMBER(AD68)),NOT(ISNUMBER(AF68)),NOT(ISNUMBER(AJ68)),NOT(ISNUMBER(AP68))),"",
IFERROR(IF((AD68-AF68)/(AJ68/60)/(AP68/1000)&lt;=0,"",(AD68-AF68)/(AJ68/60)/(AP68/1000)),""))</f>
        <v>1.8460644440305498</v>
      </c>
    </row>
    <row r="69" spans="1:58" ht="15.75">
      <c r="B69" s="187">
        <v>45329</v>
      </c>
      <c r="C69" s="186"/>
      <c r="D69" s="3">
        <v>64</v>
      </c>
      <c r="E69" s="205">
        <f t="shared" si="0"/>
        <v>414.18306000000001</v>
      </c>
      <c r="G69" s="15">
        <f>(N69*18-H69*18)/9</f>
        <v>28.600000000000005</v>
      </c>
      <c r="H69">
        <v>14.8</v>
      </c>
      <c r="I69" s="15">
        <f>AD69</f>
        <v>21.8</v>
      </c>
      <c r="K69" s="10">
        <f t="shared" si="4"/>
        <v>14.481925174825173</v>
      </c>
      <c r="L69" s="9">
        <f t="shared" si="5"/>
        <v>9.499611467889908</v>
      </c>
      <c r="M69" s="8">
        <f t="shared" si="6"/>
        <v>1.5244755244755244</v>
      </c>
      <c r="N69" s="7">
        <v>29.1</v>
      </c>
      <c r="O69" s="6">
        <f>2*(75.381)</f>
        <v>150.762</v>
      </c>
      <c r="P69" s="6">
        <f>2*15.267</f>
        <v>30.533999999999999</v>
      </c>
      <c r="Q69" s="6">
        <f>O69*1.067</f>
        <v>160.86305400000001</v>
      </c>
      <c r="R69" s="6">
        <f>P69*1.514</f>
        <v>46.228476000000001</v>
      </c>
      <c r="S69" s="23">
        <f>P69*1.514+O69*1.067</f>
        <v>207.09153000000001</v>
      </c>
      <c r="T69" s="6">
        <f>20*2.01</f>
        <v>40.199999999999996</v>
      </c>
      <c r="X69" s="6">
        <v>0.8</v>
      </c>
      <c r="Y69" s="6">
        <v>0.24</v>
      </c>
      <c r="Z69" s="6">
        <v>-129</v>
      </c>
      <c r="AA69" s="6">
        <v>-188</v>
      </c>
      <c r="AB69" s="5">
        <v>80</v>
      </c>
      <c r="AC69" s="7">
        <f>T69</f>
        <v>40.199999999999996</v>
      </c>
      <c r="AD69" s="1">
        <f>5*4.36</f>
        <v>21.8</v>
      </c>
      <c r="AE69" s="1">
        <f>39.1</f>
        <v>39.1</v>
      </c>
      <c r="AF69" s="168">
        <v>1E-3</v>
      </c>
      <c r="AG69">
        <v>0.09</v>
      </c>
      <c r="AH69" s="119">
        <v>0.52083333333333337</v>
      </c>
      <c r="AI69" s="1">
        <v>-194</v>
      </c>
      <c r="AJ69" s="1">
        <v>175</v>
      </c>
      <c r="AK69" s="3">
        <v>180</v>
      </c>
      <c r="AL69" s="4">
        <f>AE69</f>
        <v>39.1</v>
      </c>
      <c r="AM69" s="1">
        <f>24.2</f>
        <v>24.2</v>
      </c>
      <c r="AN69" s="80">
        <f>360-AK69-AB69</f>
        <v>100</v>
      </c>
      <c r="AO69" s="165"/>
      <c r="AP69" s="13">
        <f>AVERAGE(AO67:AO73)</f>
        <v>3834.9999999999909</v>
      </c>
      <c r="AQ69" s="15" t="str">
        <f>IF(ISNUMBER([2]HRT_SRT!R123),[2]HRT_SRT!R123,"")</f>
        <v/>
      </c>
      <c r="AR69" s="156">
        <f>(E69-W69)/E69</f>
        <v>1</v>
      </c>
      <c r="AS69" s="155">
        <f>(I69-AF69)/I69</f>
        <v>0.99995412844036691</v>
      </c>
      <c r="AT69" s="155">
        <f>AG69/(AD69-AF69)</f>
        <v>4.1286297536584247E-3</v>
      </c>
      <c r="AU69" s="155">
        <f>(G69-AM69)/G69</f>
        <v>0.15384615384615402</v>
      </c>
      <c r="AV69" s="57" t="str">
        <f>IF(AND(ISNUMBER(E69),ISNUMBER(W69)),E69-W69,"")</f>
        <v/>
      </c>
      <c r="AW69" s="57">
        <f>IF(AND(ISNUMBER(I69),ISNUMBER(AF69)),I69-AF69,"")</f>
        <v>21.798999999999999</v>
      </c>
      <c r="AX69" s="57">
        <f>IF(AND(ISNUMBER(AM69),ISNUMBER(G69)),G69-AM69,"")</f>
        <v>4.4000000000000057</v>
      </c>
      <c r="AY69" s="57">
        <f>IF(AND(ISNUMBER(AC69),ISNUMBER(AE69)),AC69-AE69,"")</f>
        <v>1.0999999999999943</v>
      </c>
      <c r="AZ69" s="57">
        <f>IF(AND(ISNUMBER(AL69),ISNUMBER(AM69)),AL69-AM69,"")</f>
        <v>14.900000000000002</v>
      </c>
      <c r="BA69" s="84" t="str">
        <f>IF(AND($E69&gt;0,$W69&gt;0),IF(($E69-$W69)/$E69&gt;0,($E69-$W69)/$E69,0),"")</f>
        <v/>
      </c>
      <c r="BB69" s="84">
        <f>IF(AND($I69&gt;0,$AF69&gt;=0),IF(($I69-$AF69)/$I69&gt;0,($I69-$AF69)/$I69,0),"")</f>
        <v>0.99995412844036691</v>
      </c>
      <c r="BC69" s="84">
        <f>IF(AND($AG69&gt;=0,$AD69&gt;=0,$AF69&gt;=0),IF($AG69/($AD69-$AF69)&gt;0,$AG69/($AD69-$AF69),0),"")</f>
        <v>4.1286297536584247E-3</v>
      </c>
      <c r="BD69" s="84">
        <f>IF(AND($G69&gt;0,$AM69&gt;0),IF(($G69-$AM69)/$G69&gt;0,($G69-$AM69)/$G69,0),"")</f>
        <v>0.15384615384615402</v>
      </c>
      <c r="BE69" s="6">
        <f>IF((AD69-AF69)/(AJ69/60)&lt;=0,"",(AD69-AF69)/(AJ69/60))</f>
        <v>7.4739428571428572</v>
      </c>
      <c r="BF69" s="6">
        <f>IF(OR(AJ69=0,AP69=0,NOT(ISNUMBER(AD69)),NOT(ISNUMBER(AF69)),NOT(ISNUMBER(AJ69)),NOT(ISNUMBER(AP69))),"",
IFERROR(IF((AD69-AF69)/(AJ69/60)/(AP69/1000)&lt;=0,"",(AD69-AF69)/(AJ69/60)/(AP69/1000)),""))</f>
        <v>1.948876885826043</v>
      </c>
    </row>
    <row r="70" spans="1:58" ht="15.75">
      <c r="A70" s="12" t="s">
        <v>165</v>
      </c>
      <c r="B70" s="187">
        <v>45330</v>
      </c>
      <c r="C70" s="186"/>
      <c r="D70" s="3">
        <v>65</v>
      </c>
      <c r="E70" s="205" t="str">
        <f t="shared" si="0"/>
        <v/>
      </c>
      <c r="G70" s="15">
        <f>(N70*18-H70*18)/9</f>
        <v>24.800000000000004</v>
      </c>
      <c r="H70" s="6">
        <f>10*1.5</f>
        <v>15</v>
      </c>
      <c r="I70" s="15">
        <f>AD70</f>
        <v>22.15</v>
      </c>
      <c r="K70" s="10" t="str">
        <f t="shared" si="4"/>
        <v/>
      </c>
      <c r="L70" s="9" t="str">
        <f t="shared" si="5"/>
        <v/>
      </c>
      <c r="M70" s="8">
        <f t="shared" si="6"/>
        <v>1.7862903225806448</v>
      </c>
      <c r="N70" s="6">
        <f>10*2.74</f>
        <v>27.400000000000002</v>
      </c>
      <c r="T70" s="6">
        <f>20*1.8</f>
        <v>36</v>
      </c>
      <c r="X70" s="6">
        <v>0.26</v>
      </c>
      <c r="AB70" s="5">
        <v>80</v>
      </c>
      <c r="AC70" s="7">
        <f>T70</f>
        <v>36</v>
      </c>
      <c r="AD70" s="1">
        <f>5*4.43</f>
        <v>22.15</v>
      </c>
      <c r="AE70" s="1">
        <f>10*3.6</f>
        <v>36</v>
      </c>
      <c r="AF70" s="168">
        <v>1E-3</v>
      </c>
      <c r="AG70">
        <v>0.09</v>
      </c>
      <c r="AH70" s="119">
        <v>0.52083333333333337</v>
      </c>
      <c r="AJ70" s="1">
        <v>175</v>
      </c>
      <c r="AK70" s="3">
        <v>180</v>
      </c>
      <c r="AL70" s="4">
        <f>AE70</f>
        <v>36</v>
      </c>
      <c r="AM70" s="1">
        <f>10*2.16</f>
        <v>21.6</v>
      </c>
      <c r="AN70" s="80">
        <f>360-AK70-AB70</f>
        <v>100</v>
      </c>
      <c r="AO70" s="165"/>
      <c r="AP70" s="13">
        <f>AVERAGE(AO68:AO74)</f>
        <v>3834.9999999999909</v>
      </c>
      <c r="AQ70" s="15" t="str">
        <f>IF(ISNUMBER([2]HRT_SRT!R124),[2]HRT_SRT!R124,"")</f>
        <v/>
      </c>
      <c r="AR70" s="156" t="e">
        <f>(E70-W70)/E70</f>
        <v>#VALUE!</v>
      </c>
      <c r="AS70" s="155">
        <f>(I70-AF70)/I70</f>
        <v>0.9999548532731376</v>
      </c>
      <c r="AT70" s="155">
        <f>AG70/(AD70-AF70)</f>
        <v>4.0633888663145065E-3</v>
      </c>
      <c r="AU70" s="155">
        <f>(G70-AM70)/G70</f>
        <v>0.12903225806451621</v>
      </c>
      <c r="AV70" s="57" t="str">
        <f>IF(AND(ISNUMBER(E70),ISNUMBER(W70)),E70-W70,"")</f>
        <v/>
      </c>
      <c r="AW70" s="57">
        <f>IF(AND(ISNUMBER(I70),ISNUMBER(AF70)),I70-AF70,"")</f>
        <v>22.148999999999997</v>
      </c>
      <c r="AX70" s="57">
        <f>IF(AND(ISNUMBER(AM70),ISNUMBER(G70)),G70-AM70,"")</f>
        <v>3.2000000000000028</v>
      </c>
      <c r="AY70" s="57">
        <f>IF(AND(ISNUMBER(AC70),ISNUMBER(AE70)),AC70-AE70,"")</f>
        <v>0</v>
      </c>
      <c r="AZ70" s="57">
        <f>IF(AND(ISNUMBER(AL70),ISNUMBER(AM70)),AL70-AM70,"")</f>
        <v>14.399999999999999</v>
      </c>
      <c r="BA70" s="84" t="str">
        <f>IF(AND($E70&gt;0,$W70&gt;0),IF(($E70-$W70)/$E70&gt;0,($E70-$W70)/$E70,0),"")</f>
        <v/>
      </c>
      <c r="BB70" s="84">
        <f>IF(AND($I70&gt;0,$AF70&gt;=0),IF(($I70-$AF70)/$I70&gt;0,($I70-$AF70)/$I70,0),"")</f>
        <v>0.9999548532731376</v>
      </c>
      <c r="BC70" s="84">
        <f>IF(AND($AG70&gt;=0,$AD70&gt;=0,$AF70&gt;=0),IF($AG70/($AD70-$AF70)&gt;0,$AG70/($AD70-$AF70),0),"")</f>
        <v>4.0633888663145065E-3</v>
      </c>
      <c r="BD70" s="84">
        <f>IF(AND($G70&gt;0,$AM70&gt;0),IF(($G70-$AM70)/$G70&gt;0,($G70-$AM70)/$G70,0),"")</f>
        <v>0.12903225806451621</v>
      </c>
      <c r="BE70" s="6">
        <f>IF((AD70-AF70)/(AJ70/60)&lt;=0,"",(AD70-AF70)/(AJ70/60))</f>
        <v>7.5939428571428564</v>
      </c>
      <c r="BF70" s="6">
        <f>IF(OR(AJ70=0,AP70=0,NOT(ISNUMBER(AD70)),NOT(ISNUMBER(AF70)),NOT(ISNUMBER(AJ70)),NOT(ISNUMBER(AP70))),"",
IFERROR(IF((AD70-AF70)/(AJ70/60)/(AP70/1000)&lt;=0,"",(AD70-AF70)/(AJ70/60)/(AP70/1000)),""))</f>
        <v>1.9801676289811927</v>
      </c>
    </row>
    <row r="71" spans="1:58" ht="15.75">
      <c r="A71" s="12" t="s">
        <v>164</v>
      </c>
      <c r="B71" s="187">
        <v>45331</v>
      </c>
      <c r="C71" s="186"/>
      <c r="D71" s="3">
        <v>66</v>
      </c>
      <c r="E71" s="205">
        <f t="shared" ref="E71:E134" si="7">IF(OR(S71="",S71=0),"",S71*2)</f>
        <v>382.83155999999997</v>
      </c>
      <c r="G71" s="15">
        <f>(N71*18-H71*18)/9</f>
        <v>27</v>
      </c>
      <c r="H71">
        <v>14.5</v>
      </c>
      <c r="I71" s="15">
        <f>AD71</f>
        <v>21.7</v>
      </c>
      <c r="K71" s="10">
        <f t="shared" si="4"/>
        <v>14.178946666666665</v>
      </c>
      <c r="L71" s="9">
        <f t="shared" si="5"/>
        <v>8.8210036866359438</v>
      </c>
      <c r="M71" s="8">
        <f t="shared" si="6"/>
        <v>1.6074074074074074</v>
      </c>
      <c r="N71" s="7">
        <v>28</v>
      </c>
      <c r="O71" s="6">
        <f>67.594*2</f>
        <v>135.18799999999999</v>
      </c>
      <c r="P71" s="6">
        <f>15.578*2</f>
        <v>31.155999999999999</v>
      </c>
      <c r="Q71" s="6">
        <f>O71*1.067</f>
        <v>144.24559599999998</v>
      </c>
      <c r="R71" s="6">
        <f>P71*1.514</f>
        <v>47.170183999999999</v>
      </c>
      <c r="S71" s="23">
        <f>P71*1.514+O71*1.067</f>
        <v>191.41577999999998</v>
      </c>
      <c r="T71" s="6">
        <f>20*1.63</f>
        <v>32.599999999999994</v>
      </c>
      <c r="X71" s="6">
        <v>0.45</v>
      </c>
      <c r="AB71" s="5">
        <v>80</v>
      </c>
      <c r="AC71" s="7">
        <f>T71</f>
        <v>32.599999999999994</v>
      </c>
      <c r="AD71" s="1">
        <f>5*4.34</f>
        <v>21.7</v>
      </c>
      <c r="AE71" s="1">
        <v>35.1</v>
      </c>
      <c r="AF71" s="168">
        <v>1E-3</v>
      </c>
      <c r="AG71">
        <v>0.08</v>
      </c>
      <c r="AH71" s="119">
        <v>0.52083333333333337</v>
      </c>
      <c r="AJ71" s="1">
        <v>175</v>
      </c>
      <c r="AK71" s="3">
        <v>180</v>
      </c>
      <c r="AL71" s="4">
        <f>AE71</f>
        <v>35.1</v>
      </c>
      <c r="AM71" s="1">
        <v>26.1</v>
      </c>
      <c r="AN71" s="80">
        <f>360-AK71-AB71</f>
        <v>100</v>
      </c>
      <c r="AO71" s="165">
        <f>[2]TSS_VSS!H128</f>
        <v>4309.9999999999909</v>
      </c>
      <c r="AP71" s="13">
        <f>AVERAGE(AO69:AO75)</f>
        <v>4314.9999999999864</v>
      </c>
      <c r="AQ71" s="15">
        <f>IF(ISNUMBER([2]HRT_SRT!R125),[2]HRT_SRT!R125,"")</f>
        <v>17.540924301347882</v>
      </c>
      <c r="AR71" s="156">
        <f>(E71-W71)/E71</f>
        <v>1</v>
      </c>
      <c r="AS71" s="155">
        <f>(I71-AF71)/I71</f>
        <v>0.99995391705069114</v>
      </c>
      <c r="AT71" s="155">
        <f>AG71/(AD71-AF71)</f>
        <v>3.6868058435872626E-3</v>
      </c>
      <c r="AU71" s="155">
        <f>(G71-AM71)/G71</f>
        <v>3.3333333333333277E-2</v>
      </c>
      <c r="AV71" s="57" t="str">
        <f>IF(AND(ISNUMBER(E71),ISNUMBER(W71)),E71-W71,"")</f>
        <v/>
      </c>
      <c r="AW71" s="57">
        <f>IF(AND(ISNUMBER(I71),ISNUMBER(AF71)),I71-AF71,"")</f>
        <v>21.698999999999998</v>
      </c>
      <c r="AX71" s="57">
        <f>IF(AND(ISNUMBER(AM71),ISNUMBER(G71)),G71-AM71,"")</f>
        <v>0.89999999999999858</v>
      </c>
      <c r="AY71" s="57">
        <f>IF(AND(ISNUMBER(AC71),ISNUMBER(AE71)),AC71-AE71,"")</f>
        <v>-2.5000000000000071</v>
      </c>
      <c r="AZ71" s="57">
        <f>IF(AND(ISNUMBER(AL71),ISNUMBER(AM71)),AL71-AM71,"")</f>
        <v>9</v>
      </c>
      <c r="BA71" s="84" t="str">
        <f>IF(AND($E71&gt;0,$W71&gt;0),IF(($E71-$W71)/$E71&gt;0,($E71-$W71)/$E71,0),"")</f>
        <v/>
      </c>
      <c r="BB71" s="84">
        <f>IF(AND($I71&gt;0,$AF71&gt;=0),IF(($I71-$AF71)/$I71&gt;0,($I71-$AF71)/$I71,0),"")</f>
        <v>0.99995391705069114</v>
      </c>
      <c r="BC71" s="84">
        <f>IF(AND($AG71&gt;=0,$AD71&gt;=0,$AF71&gt;=0),IF($AG71/($AD71-$AF71)&gt;0,$AG71/($AD71-$AF71),0),"")</f>
        <v>3.6868058435872626E-3</v>
      </c>
      <c r="BD71" s="84">
        <f>IF(AND($G71&gt;0,$AM71&gt;0),IF(($G71-$AM71)/$G71&gt;0,($G71-$AM71)/$G71,0),"")</f>
        <v>3.3333333333333277E-2</v>
      </c>
      <c r="BE71" s="6">
        <f>IF((AD71-AF71)/(AJ71/60)&lt;=0,"",(AD71-AF71)/(AJ71/60))</f>
        <v>7.4396571428571425</v>
      </c>
      <c r="BF71" s="6">
        <f>IF(OR(AJ71=0,AP71=0,NOT(ISNUMBER(AD71)),NOT(ISNUMBER(AF71)),NOT(ISNUMBER(AJ71)),NOT(ISNUMBER(AP71))),"",
IFERROR(IF((AD71-AF71)/(AJ71/60)/(AP71/1000)&lt;=0,"",(AD71-AF71)/(AJ71/60)/(AP71/1000)),""))</f>
        <v>1.7241383876841636</v>
      </c>
    </row>
    <row r="72" spans="1:58" ht="15.75">
      <c r="B72" s="187">
        <v>45332</v>
      </c>
      <c r="C72" s="186"/>
      <c r="D72" s="3">
        <v>67</v>
      </c>
      <c r="E72" s="205" t="str">
        <f t="shared" si="7"/>
        <v/>
      </c>
      <c r="G72"/>
      <c r="H72">
        <v>15</v>
      </c>
      <c r="I72" s="15">
        <f>AD72</f>
        <v>22.349999999999998</v>
      </c>
      <c r="K72" s="10" t="str">
        <f t="shared" si="4"/>
        <v/>
      </c>
      <c r="L72" s="9" t="str">
        <f t="shared" si="5"/>
        <v/>
      </c>
      <c r="M72" s="8" t="str">
        <f t="shared" si="6"/>
        <v/>
      </c>
      <c r="N72" s="7">
        <f>28</f>
        <v>28</v>
      </c>
      <c r="T72" s="6">
        <f>20*1.65</f>
        <v>33</v>
      </c>
      <c r="X72" s="6">
        <v>0.26</v>
      </c>
      <c r="AB72" s="5">
        <v>80</v>
      </c>
      <c r="AC72" s="7">
        <f>T72</f>
        <v>33</v>
      </c>
      <c r="AD72" s="1">
        <f>5*4.47</f>
        <v>22.349999999999998</v>
      </c>
      <c r="AF72" s="168">
        <v>1E-3</v>
      </c>
      <c r="AG72">
        <v>0.09</v>
      </c>
      <c r="AH72" s="119">
        <v>0.52083333333333337</v>
      </c>
      <c r="AJ72" s="1">
        <v>175</v>
      </c>
      <c r="AK72" s="3">
        <v>180</v>
      </c>
      <c r="AM72" s="1">
        <v>25.1</v>
      </c>
      <c r="AN72" s="80">
        <f>360-AK72-AB72</f>
        <v>100</v>
      </c>
      <c r="AO72" s="165"/>
      <c r="AP72" s="13">
        <f>AVERAGE(AO70:AO76)</f>
        <v>4314.9999999999864</v>
      </c>
      <c r="AQ72" s="15" t="str">
        <f>IF(ISNUMBER([2]HRT_SRT!R126),[2]HRT_SRT!R126,"")</f>
        <v/>
      </c>
      <c r="AR72" s="156" t="e">
        <f>(E72-W72)/E72</f>
        <v>#VALUE!</v>
      </c>
      <c r="AS72" s="155">
        <f>(I72-AF72)/I72</f>
        <v>0.99995525727069345</v>
      </c>
      <c r="AT72" s="155">
        <f>AG72/(AD72-AF72)</f>
        <v>4.0270258177099649E-3</v>
      </c>
      <c r="AU72" s="155" t="e">
        <f>(G72-AM72)/G72</f>
        <v>#DIV/0!</v>
      </c>
      <c r="AV72" s="57" t="str">
        <f>IF(AND(ISNUMBER(E72),ISNUMBER(W72)),E72-W72,"")</f>
        <v/>
      </c>
      <c r="AW72" s="57">
        <f>IF(AND(ISNUMBER(I72),ISNUMBER(AF72)),I72-AF72,"")</f>
        <v>22.348999999999997</v>
      </c>
      <c r="AX72" s="57" t="str">
        <f>IF(AND(ISNUMBER(AM72),ISNUMBER(G72)),G72-AM72,"")</f>
        <v/>
      </c>
      <c r="AY72" s="57" t="str">
        <f>IF(AND(ISNUMBER(AC72),ISNUMBER(AE72)),AC72-AE72,"")</f>
        <v/>
      </c>
      <c r="AZ72" s="57" t="str">
        <f>IF(AND(ISNUMBER(AL72),ISNUMBER(AM72)),AL72-AM72,"")</f>
        <v/>
      </c>
      <c r="BA72" s="84" t="str">
        <f>IF(AND($E72&gt;0,$W72&gt;0),IF(($E72-$W72)/$E72&gt;0,($E72-$W72)/$E72,0),"")</f>
        <v/>
      </c>
      <c r="BB72" s="84">
        <f>IF(AND($I72&gt;0,$AF72&gt;=0),IF(($I72-$AF72)/$I72&gt;0,($I72-$AF72)/$I72,0),"")</f>
        <v>0.99995525727069345</v>
      </c>
      <c r="BC72" s="84">
        <f>IF(AND($AG72&gt;=0,$AD72&gt;=0,$AF72&gt;=0),IF($AG72/($AD72-$AF72)&gt;0,$AG72/($AD72-$AF72),0),"")</f>
        <v>4.0270258177099649E-3</v>
      </c>
      <c r="BD72" s="84" t="str">
        <f>IF(AND($G72&gt;0,$AM72&gt;0),IF(($G72-$AM72)/$G72&gt;0,($G72-$AM72)/$G72,0),"")</f>
        <v/>
      </c>
      <c r="BE72" s="6">
        <f>IF((AD72-AF72)/(AJ72/60)&lt;=0,"",(AD72-AF72)/(AJ72/60))</f>
        <v>7.6625142857142849</v>
      </c>
      <c r="BF72" s="6">
        <f>IF(OR(AJ72=0,AP72=0,NOT(ISNUMBER(AD72)),NOT(ISNUMBER(AF72)),NOT(ISNUMBER(AJ72)),NOT(ISNUMBER(AP72))),"",
IFERROR(IF((AD72-AF72)/(AJ72/60)/(AP72/1000)&lt;=0,"",(AD72-AF72)/(AJ72/60)/(AP72/1000)),""))</f>
        <v>1.7757854659824588</v>
      </c>
    </row>
    <row r="73" spans="1:58" ht="15.75">
      <c r="B73" s="187">
        <v>45333</v>
      </c>
      <c r="C73" s="186"/>
      <c r="D73" s="3">
        <v>68</v>
      </c>
      <c r="E73" s="205" t="str">
        <f t="shared" si="7"/>
        <v/>
      </c>
      <c r="G73"/>
      <c r="H73"/>
      <c r="I73" s="15">
        <f>AD73</f>
        <v>0</v>
      </c>
      <c r="K73" s="10" t="str">
        <f t="shared" si="4"/>
        <v/>
      </c>
      <c r="L73" s="9" t="str">
        <f t="shared" si="5"/>
        <v/>
      </c>
      <c r="M73" s="8" t="str">
        <f t="shared" si="6"/>
        <v/>
      </c>
      <c r="X73" s="6">
        <v>0.26</v>
      </c>
      <c r="AB73" s="5">
        <v>80</v>
      </c>
      <c r="AG73">
        <v>0.09</v>
      </c>
      <c r="AH73" s="119">
        <v>0.52083333333333337</v>
      </c>
      <c r="AJ73" s="1">
        <v>175</v>
      </c>
      <c r="AK73" s="3">
        <v>180</v>
      </c>
      <c r="AN73" s="80">
        <f>360-AK73-AB73</f>
        <v>100</v>
      </c>
      <c r="AO73" s="165"/>
      <c r="AP73" s="13">
        <f>AVERAGE(AO71:AO77)</f>
        <v>4314.9999999999864</v>
      </c>
      <c r="AQ73" s="15" t="str">
        <f>IF(ISNUMBER([2]HRT_SRT!R127),[2]HRT_SRT!R127,"")</f>
        <v/>
      </c>
      <c r="AR73" s="156" t="e">
        <f>(E73-W73)/E73</f>
        <v>#VALUE!</v>
      </c>
      <c r="AS73" s="155" t="e">
        <f>(I73-AF73)/I73</f>
        <v>#DIV/0!</v>
      </c>
      <c r="AT73" s="155" t="e">
        <f>AG73/(AD73-AF73)</f>
        <v>#DIV/0!</v>
      </c>
      <c r="AU73" s="155" t="e">
        <f>(G73-AM73)/G73</f>
        <v>#DIV/0!</v>
      </c>
      <c r="AV73" s="57" t="str">
        <f>IF(AND(ISNUMBER(E73),ISNUMBER(W73)),E73-W73,"")</f>
        <v/>
      </c>
      <c r="AW73" s="57" t="str">
        <f>IF(AND(ISNUMBER(I73),ISNUMBER(AF73)),I73-AF73,"")</f>
        <v/>
      </c>
      <c r="AX73" s="57" t="str">
        <f>IF(AND(ISNUMBER(AM73),ISNUMBER(G73)),G73-AM73,"")</f>
        <v/>
      </c>
      <c r="AY73" s="57" t="str">
        <f>IF(AND(ISNUMBER(AC73),ISNUMBER(AE73)),AC73-AE73,"")</f>
        <v/>
      </c>
      <c r="AZ73" s="57" t="str">
        <f>IF(AND(ISNUMBER(AL73),ISNUMBER(AM73)),AL73-AM73,"")</f>
        <v/>
      </c>
      <c r="BA73" s="84" t="str">
        <f>IF(AND($E73&gt;0,$W73&gt;0),IF(($E73-$W73)/$E73&gt;0,($E73-$W73)/$E73,0),"")</f>
        <v/>
      </c>
      <c r="BB73" s="84" t="str">
        <f>IF(AND($I73&gt;0,$AF73&gt;=0),IF(($I73-$AF73)/$I73&gt;0,($I73-$AF73)/$I73,0),"")</f>
        <v/>
      </c>
      <c r="BC73" s="84" t="e">
        <f>IF(AND($AG73&gt;=0,$AD73&gt;=0,$AF73&gt;=0),IF($AG73/($AD73-$AF73)&gt;0,$AG73/($AD73-$AF73),0),"")</f>
        <v>#DIV/0!</v>
      </c>
      <c r="BD73" s="84" t="str">
        <f>IF(AND($G73&gt;0,$AM73&gt;0),IF(($G73-$AM73)/$G73&gt;0,($G73-$AM73)/$G73,0),"")</f>
        <v/>
      </c>
      <c r="BE73" s="6" t="str">
        <f>IF((AD73-AF73)/(AJ73/60)&lt;=0,"",(AD73-AF73)/(AJ73/60))</f>
        <v/>
      </c>
      <c r="BF73" s="6" t="str">
        <f>IF(OR(AJ73=0,AP73=0,NOT(ISNUMBER(AD73)),NOT(ISNUMBER(AF73)),NOT(ISNUMBER(AJ73)),NOT(ISNUMBER(AP73))),"",
IFERROR(IF((AD73-AF73)/(AJ73/60)/(AP73/1000)&lt;=0,"",(AD73-AF73)/(AJ73/60)/(AP73/1000)),""))</f>
        <v/>
      </c>
    </row>
    <row r="74" spans="1:58" ht="15.75">
      <c r="B74" s="187">
        <v>45334</v>
      </c>
      <c r="C74" s="186"/>
      <c r="D74" s="3">
        <v>69</v>
      </c>
      <c r="E74" s="205" t="str">
        <f t="shared" si="7"/>
        <v/>
      </c>
      <c r="G74"/>
      <c r="H74"/>
      <c r="I74" s="15">
        <f>AD74</f>
        <v>0</v>
      </c>
      <c r="K74" s="10" t="str">
        <f t="shared" si="4"/>
        <v/>
      </c>
      <c r="L74" s="9" t="str">
        <f t="shared" si="5"/>
        <v/>
      </c>
      <c r="M74" s="8" t="str">
        <f t="shared" si="6"/>
        <v/>
      </c>
      <c r="W74" s="6">
        <f>37.061+1.48</f>
        <v>38.540999999999997</v>
      </c>
      <c r="X74" s="6">
        <v>0.47</v>
      </c>
      <c r="AB74" s="5">
        <v>80</v>
      </c>
      <c r="AG74">
        <v>0.09</v>
      </c>
      <c r="AH74" s="119">
        <v>0.52083333333333337</v>
      </c>
      <c r="AJ74" s="1">
        <v>175</v>
      </c>
      <c r="AK74" s="3">
        <v>180</v>
      </c>
      <c r="AN74" s="80">
        <f>360-AK74-AB74</f>
        <v>100</v>
      </c>
      <c r="AO74" s="165"/>
      <c r="AP74" s="13">
        <f>AVERAGE(AO72:AO78)</f>
        <v>4319.9999999999818</v>
      </c>
      <c r="AQ74" s="15" t="str">
        <f>IF(ISNUMBER([2]HRT_SRT!R128),[2]HRT_SRT!R128,"")</f>
        <v/>
      </c>
      <c r="AR74" s="156" t="e">
        <f>(E74-W74)/E74</f>
        <v>#VALUE!</v>
      </c>
      <c r="AS74" s="155" t="e">
        <f>(I74-AF74)/I74</f>
        <v>#DIV/0!</v>
      </c>
      <c r="AT74" s="155" t="e">
        <f>AG74/(AD74-AF74)</f>
        <v>#DIV/0!</v>
      </c>
      <c r="AU74" s="155" t="e">
        <f>(G74-AM74)/G74</f>
        <v>#DIV/0!</v>
      </c>
      <c r="AV74" s="57" t="str">
        <f>IF(AND(ISNUMBER(E74),ISNUMBER(W74)),E74-W74,"")</f>
        <v/>
      </c>
      <c r="AW74" s="57" t="str">
        <f>IF(AND(ISNUMBER(I74),ISNUMBER(AF74)),I74-AF74,"")</f>
        <v/>
      </c>
      <c r="AX74" s="57" t="str">
        <f>IF(AND(ISNUMBER(AM74),ISNUMBER(G74)),G74-AM74,"")</f>
        <v/>
      </c>
      <c r="AY74" s="57" t="str">
        <f>IF(AND(ISNUMBER(AC74),ISNUMBER(AE74)),AC74-AE74,"")</f>
        <v/>
      </c>
      <c r="AZ74" s="57" t="str">
        <f>IF(AND(ISNUMBER(AL74),ISNUMBER(AM74)),AL74-AM74,"")</f>
        <v/>
      </c>
      <c r="BA74" s="84" t="e">
        <f>IF(AND($E74&gt;0,$W74&gt;0),IF(($E74-$W74)/$E74&gt;0,($E74-$W74)/$E74,0),"")</f>
        <v>#VALUE!</v>
      </c>
      <c r="BB74" s="84" t="str">
        <f>IF(AND($I74&gt;0,$AF74&gt;=0),IF(($I74-$AF74)/$I74&gt;0,($I74-$AF74)/$I74,0),"")</f>
        <v/>
      </c>
      <c r="BC74" s="84" t="e">
        <f>IF(AND($AG74&gt;=0,$AD74&gt;=0,$AF74&gt;=0),IF($AG74/($AD74-$AF74)&gt;0,$AG74/($AD74-$AF74),0),"")</f>
        <v>#DIV/0!</v>
      </c>
      <c r="BD74" s="84" t="str">
        <f>IF(AND($G74&gt;0,$AM74&gt;0),IF(($G74-$AM74)/$G74&gt;0,($G74-$AM74)/$G74,0),"")</f>
        <v/>
      </c>
      <c r="BE74" s="6" t="str">
        <f>IF((AD74-AF74)/(AJ74/60)&lt;=0,"",(AD74-AF74)/(AJ74/60))</f>
        <v/>
      </c>
      <c r="BF74" s="6" t="str">
        <f>IF(OR(AJ74=0,AP74=0,NOT(ISNUMBER(AD74)),NOT(ISNUMBER(AF74)),NOT(ISNUMBER(AJ74)),NOT(ISNUMBER(AP74))),"",
IFERROR(IF((AD74-AF74)/(AJ74/60)/(AP74/1000)&lt;=0,"",(AD74-AF74)/(AJ74/60)/(AP74/1000)),""))</f>
        <v/>
      </c>
    </row>
    <row r="75" spans="1:58" ht="15.75">
      <c r="B75" s="134">
        <v>45335</v>
      </c>
      <c r="C75" s="133"/>
      <c r="D75" s="3">
        <v>70</v>
      </c>
      <c r="E75" s="205">
        <f t="shared" si="7"/>
        <v>335.22986400000002</v>
      </c>
      <c r="G75" s="15">
        <f>(N75*18-H75*18)/9</f>
        <v>23.6</v>
      </c>
      <c r="H75">
        <v>11.3</v>
      </c>
      <c r="I75" s="15">
        <f>AD75</f>
        <v>22.5</v>
      </c>
      <c r="K75" s="10">
        <f t="shared" si="4"/>
        <v>14.204655254237288</v>
      </c>
      <c r="L75" s="9">
        <f t="shared" si="5"/>
        <v>7.4495525333333337</v>
      </c>
      <c r="M75" s="8">
        <f t="shared" si="6"/>
        <v>1.906779661016949</v>
      </c>
      <c r="N75" s="7">
        <f>23.1</f>
        <v>23.1</v>
      </c>
      <c r="O75" s="6">
        <v>118.932</v>
      </c>
      <c r="P75" s="6">
        <v>26.891999999999999</v>
      </c>
      <c r="Q75" s="6">
        <f>O75*1.067</f>
        <v>126.90044399999999</v>
      </c>
      <c r="R75" s="6">
        <f>P75*1.514</f>
        <v>40.714488000000003</v>
      </c>
      <c r="S75" s="23">
        <f>P75*1.514+O75*1.067</f>
        <v>167.61493200000001</v>
      </c>
      <c r="T75" s="6">
        <f>2*19.5</f>
        <v>39</v>
      </c>
      <c r="U75" s="6">
        <v>2.0150000000000001</v>
      </c>
      <c r="V75" s="6">
        <v>1.663</v>
      </c>
      <c r="W75" s="23">
        <f>U75*1.067+V75*1.514</f>
        <v>4.6677870000000006</v>
      </c>
      <c r="X75" s="6">
        <v>0.6</v>
      </c>
      <c r="AB75" s="5">
        <v>80</v>
      </c>
      <c r="AC75" s="7">
        <f>T75</f>
        <v>39</v>
      </c>
      <c r="AD75" s="1">
        <f>5*4.5</f>
        <v>22.5</v>
      </c>
      <c r="AE75" s="1">
        <f>28.7</f>
        <v>28.7</v>
      </c>
      <c r="AF75" s="168">
        <v>1E-3</v>
      </c>
      <c r="AG75">
        <v>0.09</v>
      </c>
      <c r="AH75" s="119">
        <v>0.52083333333333337</v>
      </c>
      <c r="AJ75" s="1">
        <v>175</v>
      </c>
      <c r="AK75" s="3">
        <v>180</v>
      </c>
      <c r="AL75" s="4">
        <f>AE75</f>
        <v>28.7</v>
      </c>
      <c r="AM75" s="1">
        <f>17.1</f>
        <v>17.100000000000001</v>
      </c>
      <c r="AN75" s="80">
        <f>360-AK75-AB75</f>
        <v>100</v>
      </c>
      <c r="AO75" s="165">
        <f>[2]TSS_VSS!H132</f>
        <v>4319.9999999999818</v>
      </c>
      <c r="AP75" s="13">
        <f>AVERAGE(AO73:AO79)</f>
        <v>4319.9999999999818</v>
      </c>
      <c r="AQ75" s="15">
        <f>IF(ISNUMBER([2]HRT_SRT!R129),[2]HRT_SRT!R129,"")</f>
        <v>15.710415558027979</v>
      </c>
      <c r="AR75" s="156">
        <f>(E75-W75)/E75</f>
        <v>0.98607586166607164</v>
      </c>
      <c r="AS75" s="155">
        <f>(I75-AF75)/I75</f>
        <v>0.99995555555555549</v>
      </c>
      <c r="AT75" s="155">
        <f>AG75/(AD75-AF75)</f>
        <v>4.0001777856793633E-3</v>
      </c>
      <c r="AU75" s="155">
        <f>(G75-AM75)/G75</f>
        <v>0.27542372881355931</v>
      </c>
      <c r="AV75" s="57">
        <f>IF(AND(ISNUMBER(E75),ISNUMBER(W75)),E75-W75,"")</f>
        <v>330.56207700000004</v>
      </c>
      <c r="AW75" s="57">
        <f>IF(AND(ISNUMBER(I75),ISNUMBER(AF75)),I75-AF75,"")</f>
        <v>22.498999999999999</v>
      </c>
      <c r="AX75" s="57">
        <f>IF(AND(ISNUMBER(AM75),ISNUMBER(G75)),G75-AM75,"")</f>
        <v>6.5</v>
      </c>
      <c r="AY75" s="57">
        <f>IF(AND(ISNUMBER(AC75),ISNUMBER(AE75)),AC75-AE75,"")</f>
        <v>10.3</v>
      </c>
      <c r="AZ75" s="57">
        <f>IF(AND(ISNUMBER(AL75),ISNUMBER(AM75)),AL75-AM75,"")</f>
        <v>11.599999999999998</v>
      </c>
      <c r="BA75" s="84">
        <f>IF(AND($E75&gt;0,$W75&gt;0),IF(($E75-$W75)/$E75&gt;0,($E75-$W75)/$E75,0),"")</f>
        <v>0.98607586166607164</v>
      </c>
      <c r="BB75" s="84">
        <f>IF(AND($I75&gt;0,$AF75&gt;=0),IF(($I75-$AF75)/$I75&gt;0,($I75-$AF75)/$I75,0),"")</f>
        <v>0.99995555555555549</v>
      </c>
      <c r="BC75" s="84">
        <f>IF(AND($AG75&gt;=0,$AD75&gt;=0,$AF75&gt;=0),IF($AG75/($AD75-$AF75)&gt;0,$AG75/($AD75-$AF75),0),"")</f>
        <v>4.0001777856793633E-3</v>
      </c>
      <c r="BD75" s="84">
        <f>IF(AND($G75&gt;0,$AM75&gt;0),IF(($G75-$AM75)/$G75&gt;0,($G75-$AM75)/$G75,0),"")</f>
        <v>0.27542372881355931</v>
      </c>
      <c r="BE75" s="6">
        <f>IF((AD75-AF75)/(AJ75/60)&lt;=0,"",(AD75-AF75)/(AJ75/60))</f>
        <v>7.7139428571428574</v>
      </c>
      <c r="BF75" s="6">
        <f>IF(OR(AJ75=0,AP75=0,NOT(ISNUMBER(AD75)),NOT(ISNUMBER(AF75)),NOT(ISNUMBER(AJ75)),NOT(ISNUMBER(AP75))),"",
IFERROR(IF((AD75-AF75)/(AJ75/60)/(AP75/1000)&lt;=0,"",(AD75-AF75)/(AJ75/60)/(AP75/1000)),""))</f>
        <v>1.7856349206349282</v>
      </c>
    </row>
    <row r="76" spans="1:58" ht="15.75">
      <c r="B76" s="134">
        <v>45336</v>
      </c>
      <c r="C76" s="133"/>
      <c r="D76" s="3">
        <v>71</v>
      </c>
      <c r="E76" s="205">
        <f t="shared" si="7"/>
        <v>337.93861000000004</v>
      </c>
      <c r="G76" s="15">
        <f>(N76*18-H76*18)/9</f>
        <v>25.12</v>
      </c>
      <c r="H76">
        <v>7.54</v>
      </c>
      <c r="I76" s="15">
        <f>AD76</f>
        <v>21.75</v>
      </c>
      <c r="K76" s="10">
        <f t="shared" si="4"/>
        <v>13.452970143312102</v>
      </c>
      <c r="L76" s="9">
        <f t="shared" si="5"/>
        <v>7.7687036781609207</v>
      </c>
      <c r="M76" s="8">
        <f t="shared" si="6"/>
        <v>1.7316878980891719</v>
      </c>
      <c r="N76" s="7">
        <v>20.100000000000001</v>
      </c>
      <c r="O76" s="6">
        <v>119.78700000000001</v>
      </c>
      <c r="P76" s="6">
        <v>27.184000000000001</v>
      </c>
      <c r="Q76" s="6">
        <f>O76*1.067</f>
        <v>127.812729</v>
      </c>
      <c r="R76" s="6">
        <f>P76*1.514</f>
        <v>41.156576000000001</v>
      </c>
      <c r="S76" s="23">
        <f>P76*1.514+O76*1.067</f>
        <v>168.96930500000002</v>
      </c>
      <c r="T76" s="6">
        <f>20*1.65</f>
        <v>33</v>
      </c>
      <c r="U76" s="6">
        <v>1.5189999999999999</v>
      </c>
      <c r="V76" s="6">
        <v>1.234</v>
      </c>
      <c r="W76" s="23">
        <f>U76*1.067+V76*1.514</f>
        <v>3.4890489999999996</v>
      </c>
      <c r="X76" s="6">
        <v>0.68</v>
      </c>
      <c r="AB76" s="5">
        <v>80</v>
      </c>
      <c r="AC76" s="7">
        <f>T76</f>
        <v>33</v>
      </c>
      <c r="AD76" s="6">
        <f>5*4.35</f>
        <v>21.75</v>
      </c>
      <c r="AE76" s="1">
        <v>25.1</v>
      </c>
      <c r="AF76" s="168">
        <v>1E-3</v>
      </c>
      <c r="AG76">
        <v>0.09</v>
      </c>
      <c r="AH76" s="119">
        <v>0.52083333333333337</v>
      </c>
      <c r="AJ76" s="1">
        <v>175</v>
      </c>
      <c r="AK76" s="3">
        <v>180</v>
      </c>
      <c r="AL76" s="4">
        <f>AE76</f>
        <v>25.1</v>
      </c>
      <c r="AM76" s="1">
        <f>13.6</f>
        <v>13.6</v>
      </c>
      <c r="AN76" s="80">
        <f>360-AK76-AB76</f>
        <v>100</v>
      </c>
      <c r="AO76" s="165"/>
      <c r="AP76" s="13">
        <f>AVERAGE(AO74:AO80)</f>
        <v>4319.9999999999818</v>
      </c>
      <c r="AQ76" s="15" t="str">
        <f>IF(ISNUMBER([2]HRT_SRT!R130),[2]HRT_SRT!R130,"")</f>
        <v/>
      </c>
      <c r="AR76" s="156">
        <f>(E76-W76)/E76</f>
        <v>0.98967549461128446</v>
      </c>
      <c r="AS76" s="155">
        <f>(I76-AF76)/I76</f>
        <v>0.99995402298850566</v>
      </c>
      <c r="AT76" s="155">
        <f>AG76/(AD76-AF76)</f>
        <v>4.1381212929330084E-3</v>
      </c>
      <c r="AU76" s="155">
        <f>(G76-AM76)/G76</f>
        <v>0.45859872611464969</v>
      </c>
      <c r="AV76" s="57">
        <f>IF(AND(ISNUMBER(E76),ISNUMBER(W76)),E76-W76,"")</f>
        <v>334.44956100000002</v>
      </c>
      <c r="AW76" s="57">
        <f>IF(AND(ISNUMBER(I76),ISNUMBER(AF76)),I76-AF76,"")</f>
        <v>21.748999999999999</v>
      </c>
      <c r="AX76" s="57">
        <f>IF(AND(ISNUMBER(AM76),ISNUMBER(G76)),G76-AM76,"")</f>
        <v>11.520000000000001</v>
      </c>
      <c r="AY76" s="57">
        <f>IF(AND(ISNUMBER(AC76),ISNUMBER(AE76)),AC76-AE76,"")</f>
        <v>7.8999999999999986</v>
      </c>
      <c r="AZ76" s="57">
        <f>IF(AND(ISNUMBER(AL76),ISNUMBER(AM76)),AL76-AM76,"")</f>
        <v>11.500000000000002</v>
      </c>
      <c r="BA76" s="84">
        <f>IF(AND($E76&gt;0,$W76&gt;0),IF(($E76-$W76)/$E76&gt;0,($E76-$W76)/$E76,0),"")</f>
        <v>0.98967549461128446</v>
      </c>
      <c r="BB76" s="84">
        <f>IF(AND($I76&gt;0,$AF76&gt;=0),IF(($I76-$AF76)/$I76&gt;0,($I76-$AF76)/$I76,0),"")</f>
        <v>0.99995402298850566</v>
      </c>
      <c r="BC76" s="84">
        <f>IF(AND($AG76&gt;=0,$AD76&gt;=0,$AF76&gt;=0),IF($AG76/($AD76-$AF76)&gt;0,$AG76/($AD76-$AF76),0),"")</f>
        <v>4.1381212929330084E-3</v>
      </c>
      <c r="BD76" s="84">
        <f>IF(AND($G76&gt;0,$AM76&gt;0),IF(($G76-$AM76)/$G76&gt;0,($G76-$AM76)/$G76,0),"")</f>
        <v>0.45859872611464969</v>
      </c>
      <c r="BE76" s="6">
        <f>IF((AD76-AF76)/(AJ76/60)&lt;=0,"",(AD76-AF76)/(AJ76/60))</f>
        <v>7.4568000000000003</v>
      </c>
      <c r="BF76" s="6">
        <f>IF(OR(AJ76=0,AP76=0,NOT(ISNUMBER(AD76)),NOT(ISNUMBER(AF76)),NOT(ISNUMBER(AJ76)),NOT(ISNUMBER(AP76))),"",
IFERROR(IF((AD76-AF76)/(AJ76/60)/(AP76/1000)&lt;=0,"",(AD76-AF76)/(AJ76/60)/(AP76/1000)),""))</f>
        <v>1.7261111111111185</v>
      </c>
    </row>
    <row r="77" spans="1:58" ht="15.75">
      <c r="B77" s="134">
        <v>45337</v>
      </c>
      <c r="C77" s="133"/>
      <c r="D77" s="3">
        <v>72</v>
      </c>
      <c r="E77" s="205">
        <f t="shared" si="7"/>
        <v>348.09218799999996</v>
      </c>
      <c r="G77" s="15">
        <f>(N77*18-H77*18)/9</f>
        <v>31.480000000000004</v>
      </c>
      <c r="H77">
        <f>9.36</f>
        <v>9.36</v>
      </c>
      <c r="I77" s="15">
        <f>AD77</f>
        <v>21.9</v>
      </c>
      <c r="K77" s="10">
        <f t="shared" si="4"/>
        <v>11.057566327827189</v>
      </c>
      <c r="L77" s="9">
        <f t="shared" si="5"/>
        <v>7.9473102283105019</v>
      </c>
      <c r="M77" s="8">
        <f t="shared" si="6"/>
        <v>1.3913595933926299</v>
      </c>
      <c r="N77" s="7">
        <v>25.1</v>
      </c>
      <c r="O77" s="6">
        <v>127.258</v>
      </c>
      <c r="P77" s="6">
        <v>25.271999999999998</v>
      </c>
      <c r="Q77" s="6">
        <f>O77*1.067</f>
        <v>135.78428599999998</v>
      </c>
      <c r="R77" s="6">
        <f>P77*1.514</f>
        <v>38.261807999999995</v>
      </c>
      <c r="S77" s="23">
        <f>P77*1.514+O77*1.067</f>
        <v>174.04609399999998</v>
      </c>
      <c r="T77" s="6">
        <f>20*1.78</f>
        <v>35.6</v>
      </c>
      <c r="X77" s="6">
        <v>0.28000000000000003</v>
      </c>
      <c r="AB77" s="5">
        <v>80</v>
      </c>
      <c r="AC77" s="7">
        <f>T77</f>
        <v>35.6</v>
      </c>
      <c r="AD77" s="1">
        <f>5*4.38</f>
        <v>21.9</v>
      </c>
      <c r="AE77" s="1">
        <f>36.4</f>
        <v>36.4</v>
      </c>
      <c r="AF77" s="168">
        <v>1E-3</v>
      </c>
      <c r="AG77">
        <v>0.1</v>
      </c>
      <c r="AH77" s="119">
        <v>0.52083333333333337</v>
      </c>
      <c r="AJ77" s="1">
        <v>175</v>
      </c>
      <c r="AK77" s="3">
        <v>180</v>
      </c>
      <c r="AL77" s="4">
        <f>AE77</f>
        <v>36.4</v>
      </c>
      <c r="AM77" s="1">
        <f>26.2</f>
        <v>26.2</v>
      </c>
      <c r="AN77" s="80">
        <f>360-AK77-AB77</f>
        <v>100</v>
      </c>
      <c r="AO77" s="165"/>
      <c r="AP77" s="13">
        <f>AVERAGE(AO75:AO81)</f>
        <v>4319.9999999999818</v>
      </c>
      <c r="AQ77" s="15" t="str">
        <f>IF(ISNUMBER([2]HRT_SRT!R131),[2]HRT_SRT!R131,"")</f>
        <v/>
      </c>
      <c r="AR77" s="156">
        <f>(E77-W77)/E77</f>
        <v>1</v>
      </c>
      <c r="AS77" s="155">
        <f>(I77-AF77)/I77</f>
        <v>0.99995433789954336</v>
      </c>
      <c r="AT77" s="155">
        <f>AG77/(AD77-AF77)</f>
        <v>4.5664185579250205E-3</v>
      </c>
      <c r="AU77" s="155">
        <f>(G77-AM77)/G77</f>
        <v>0.16772554002541309</v>
      </c>
      <c r="AV77" s="57" t="str">
        <f>IF(AND(ISNUMBER(E77),ISNUMBER(W77)),E77-W77,"")</f>
        <v/>
      </c>
      <c r="AW77" s="57">
        <f>IF(AND(ISNUMBER(I77),ISNUMBER(AF77)),I77-AF77,"")</f>
        <v>21.898999999999997</v>
      </c>
      <c r="AX77" s="57">
        <f>IF(AND(ISNUMBER(AM77),ISNUMBER(G77)),G77-AM77,"")</f>
        <v>5.2800000000000047</v>
      </c>
      <c r="AY77" s="57">
        <f>IF(AND(ISNUMBER(AC77),ISNUMBER(AE77)),AC77-AE77,"")</f>
        <v>-0.79999999999999716</v>
      </c>
      <c r="AZ77" s="57">
        <f>IF(AND(ISNUMBER(AL77),ISNUMBER(AM77)),AL77-AM77,"")</f>
        <v>10.199999999999999</v>
      </c>
      <c r="BA77" s="84" t="str">
        <f>IF(AND($E77&gt;0,$W77&gt;0),IF(($E77-$W77)/$E77&gt;0,($E77-$W77)/$E77,0),"")</f>
        <v/>
      </c>
      <c r="BB77" s="84">
        <f>IF(AND($I77&gt;0,$AF77&gt;=0),IF(($I77-$AF77)/$I77&gt;0,($I77-$AF77)/$I77,0),"")</f>
        <v>0.99995433789954336</v>
      </c>
      <c r="BC77" s="84">
        <f>IF(AND($AG77&gt;=0,$AD77&gt;=0,$AF77&gt;=0),IF($AG77/($AD77-$AF77)&gt;0,$AG77/($AD77-$AF77),0),"")</f>
        <v>4.5664185579250205E-3</v>
      </c>
      <c r="BD77" s="84">
        <f>IF(AND($G77&gt;0,$AM77&gt;0),IF(($G77-$AM77)/$G77&gt;0,($G77-$AM77)/$G77,0),"")</f>
        <v>0.16772554002541309</v>
      </c>
      <c r="BE77" s="6">
        <f>IF((AD77-AF77)/(AJ77/60)&lt;=0,"",(AD77-AF77)/(AJ77/60))</f>
        <v>7.508228571428571</v>
      </c>
      <c r="BF77" s="6">
        <f>IF(OR(AJ77=0,AP77=0,NOT(ISNUMBER(AD77)),NOT(ISNUMBER(AF77)),NOT(ISNUMBER(AJ77)),NOT(ISNUMBER(AP77))),"",
IFERROR(IF((AD77-AF77)/(AJ77/60)/(AP77/1000)&lt;=0,"",(AD77-AF77)/(AJ77/60)/(AP77/1000)),""))</f>
        <v>1.7380158730158803</v>
      </c>
    </row>
    <row r="78" spans="1:58" ht="15.75">
      <c r="B78" s="134">
        <v>45338</v>
      </c>
      <c r="C78" s="133"/>
      <c r="D78" s="3">
        <v>73</v>
      </c>
      <c r="E78" s="205" t="str">
        <f t="shared" si="7"/>
        <v/>
      </c>
      <c r="G78" s="124">
        <f>G77</f>
        <v>31.480000000000004</v>
      </c>
      <c r="I78" s="15"/>
      <c r="K78" s="10" t="str">
        <f t="shared" si="4"/>
        <v/>
      </c>
      <c r="L78" s="9" t="str">
        <f t="shared" si="5"/>
        <v/>
      </c>
      <c r="M78" s="8" t="str">
        <f t="shared" si="6"/>
        <v/>
      </c>
      <c r="X78" s="6">
        <v>0.27</v>
      </c>
      <c r="AB78" s="5">
        <v>80</v>
      </c>
      <c r="AG78">
        <v>0.09</v>
      </c>
      <c r="AH78" s="119">
        <v>0.52083333333333337</v>
      </c>
      <c r="AJ78" s="1">
        <v>175</v>
      </c>
      <c r="AK78" s="3">
        <v>180</v>
      </c>
      <c r="AM78" s="1">
        <v>29.1</v>
      </c>
      <c r="AN78" s="80">
        <f>360-AK78-AB78</f>
        <v>100</v>
      </c>
      <c r="AO78" s="165"/>
      <c r="AP78" s="13">
        <f>AVERAGE(AO76:AO82)</f>
        <v>4809.9999999999909</v>
      </c>
      <c r="AQ78" s="15" t="str">
        <f>IF(ISNUMBER([2]HRT_SRT!R132),[2]HRT_SRT!R132,"")</f>
        <v/>
      </c>
      <c r="AR78" s="156" t="e">
        <f>(E78-W78)/E78</f>
        <v>#VALUE!</v>
      </c>
      <c r="AS78" s="155" t="e">
        <f>(I78-AF78)/I78</f>
        <v>#DIV/0!</v>
      </c>
      <c r="AT78" s="155" t="e">
        <f>AG78/(AD78-AF78)</f>
        <v>#DIV/0!</v>
      </c>
      <c r="AU78" s="155">
        <f>(G78-AM78)/G78</f>
        <v>7.5603557814485453E-2</v>
      </c>
      <c r="AV78" s="57" t="str">
        <f>IF(AND(ISNUMBER(E78),ISNUMBER(W78)),E78-W78,"")</f>
        <v/>
      </c>
      <c r="AW78" s="57" t="str">
        <f>IF(AND(ISNUMBER(I78),ISNUMBER(AF78)),I78-AF78,"")</f>
        <v/>
      </c>
      <c r="AX78" s="57">
        <f>IF(AND(ISNUMBER(AM78),ISNUMBER(G78)),G78-AM78,"")</f>
        <v>2.3800000000000026</v>
      </c>
      <c r="AY78" s="57" t="str">
        <f>IF(AND(ISNUMBER(AC78),ISNUMBER(AE78)),AC78-AE78,"")</f>
        <v/>
      </c>
      <c r="AZ78" s="57" t="str">
        <f>IF(AND(ISNUMBER(AL78),ISNUMBER(AM78)),AL78-AM78,"")</f>
        <v/>
      </c>
      <c r="BA78" s="84" t="str">
        <f>IF(AND($E78&gt;0,$W78&gt;0),IF(($E78-$W78)/$E78&gt;0,($E78-$W78)/$E78,0),"")</f>
        <v/>
      </c>
      <c r="BB78" s="84" t="str">
        <f>IF(AND($I78&gt;0,$AF78&gt;=0),IF(($I78-$AF78)/$I78&gt;0,($I78-$AF78)/$I78,0),"")</f>
        <v/>
      </c>
      <c r="BC78" s="84" t="e">
        <f>IF(AND($AG78&gt;=0,$AD78&gt;=0,$AF78&gt;=0),IF($AG78/($AD78-$AF78)&gt;0,$AG78/($AD78-$AF78),0),"")</f>
        <v>#DIV/0!</v>
      </c>
      <c r="BD78" s="84">
        <f>IF(AND($G78&gt;0,$AM78&gt;0),IF(($G78-$AM78)/$G78&gt;0,($G78-$AM78)/$G78,0),"")</f>
        <v>7.5603557814485453E-2</v>
      </c>
      <c r="BE78" s="6" t="str">
        <f>IF((AD78-AF78)/(AJ78/60)&lt;=0,"",(AD78-AF78)/(AJ78/60))</f>
        <v/>
      </c>
      <c r="BF78" s="6" t="str">
        <f>IF(OR(AJ78=0,AP78=0,NOT(ISNUMBER(AD78)),NOT(ISNUMBER(AF78)),NOT(ISNUMBER(AJ78)),NOT(ISNUMBER(AP78))),"",
IFERROR(IF((AD78-AF78)/(AJ78/60)/(AP78/1000)&lt;=0,"",(AD78-AF78)/(AJ78/60)/(AP78/1000)),""))</f>
        <v/>
      </c>
    </row>
    <row r="79" spans="1:58" ht="15.75">
      <c r="B79" s="134">
        <v>45339</v>
      </c>
      <c r="C79" s="133"/>
      <c r="D79" s="3">
        <v>74</v>
      </c>
      <c r="E79" s="205" t="str">
        <f t="shared" si="7"/>
        <v/>
      </c>
      <c r="I79" s="15"/>
      <c r="K79" s="10" t="str">
        <f t="shared" si="4"/>
        <v/>
      </c>
      <c r="L79" s="9" t="str">
        <f t="shared" si="5"/>
        <v/>
      </c>
      <c r="M79" s="8" t="str">
        <f t="shared" si="6"/>
        <v/>
      </c>
      <c r="X79" s="6">
        <v>0.28000000000000003</v>
      </c>
      <c r="AB79" s="5">
        <v>80</v>
      </c>
      <c r="AG79">
        <v>0.08</v>
      </c>
      <c r="AH79" s="119">
        <v>0.52083333333333337</v>
      </c>
      <c r="AJ79" s="1">
        <v>175</v>
      </c>
      <c r="AK79" s="3">
        <v>180</v>
      </c>
      <c r="AN79" s="80">
        <f>360-AK79-AB79</f>
        <v>100</v>
      </c>
      <c r="AO79" s="165"/>
      <c r="AP79" s="13">
        <f>AVERAGE(AO77:AO83)</f>
        <v>4809.9999999999909</v>
      </c>
      <c r="AQ79" s="15" t="str">
        <f>IF(ISNUMBER([2]HRT_SRT!R133),[2]HRT_SRT!R133,"")</f>
        <v/>
      </c>
      <c r="AR79" s="156" t="e">
        <f>(E79-W79)/E79</f>
        <v>#VALUE!</v>
      </c>
      <c r="AS79" s="155" t="e">
        <f>(I79-AF79)/I79</f>
        <v>#DIV/0!</v>
      </c>
      <c r="AT79" s="155" t="e">
        <f>AG79/(AD79-AF79)</f>
        <v>#DIV/0!</v>
      </c>
      <c r="AU79" s="155" t="e">
        <f>(G79-AM79)/G79</f>
        <v>#DIV/0!</v>
      </c>
      <c r="AV79" s="57" t="str">
        <f>IF(AND(ISNUMBER(E79),ISNUMBER(W79)),E79-W79,"")</f>
        <v/>
      </c>
      <c r="AW79" s="57" t="str">
        <f>IF(AND(ISNUMBER(I79),ISNUMBER(AF79)),I79-AF79,"")</f>
        <v/>
      </c>
      <c r="AX79" s="57" t="str">
        <f>IF(AND(ISNUMBER(AM79),ISNUMBER(G79)),G79-AM79,"")</f>
        <v/>
      </c>
      <c r="AY79" s="57" t="str">
        <f>IF(AND(ISNUMBER(AC79),ISNUMBER(AE79)),AC79-AE79,"")</f>
        <v/>
      </c>
      <c r="AZ79" s="57" t="str">
        <f>IF(AND(ISNUMBER(AL79),ISNUMBER(AM79)),AL79-AM79,"")</f>
        <v/>
      </c>
      <c r="BA79" s="84" t="str">
        <f>IF(AND($E79&gt;0,$W79&gt;0),IF(($E79-$W79)/$E79&gt;0,($E79-$W79)/$E79,0),"")</f>
        <v/>
      </c>
      <c r="BB79" s="84" t="str">
        <f>IF(AND($I79&gt;0,$AF79&gt;=0),IF(($I79-$AF79)/$I79&gt;0,($I79-$AF79)/$I79,0),"")</f>
        <v/>
      </c>
      <c r="BC79" s="84" t="e">
        <f>IF(AND($AG79&gt;=0,$AD79&gt;=0,$AF79&gt;=0),IF($AG79/($AD79-$AF79)&gt;0,$AG79/($AD79-$AF79),0),"")</f>
        <v>#DIV/0!</v>
      </c>
      <c r="BD79" s="84" t="str">
        <f>IF(AND($G79&gt;0,$AM79&gt;0),IF(($G79-$AM79)/$G79&gt;0,($G79-$AM79)/$G79,0),"")</f>
        <v/>
      </c>
      <c r="BE79" s="6" t="str">
        <f>IF((AD79-AF79)/(AJ79/60)&lt;=0,"",(AD79-AF79)/(AJ79/60))</f>
        <v/>
      </c>
      <c r="BF79" s="6" t="str">
        <f>IF(OR(AJ79=0,AP79=0,NOT(ISNUMBER(AD79)),NOT(ISNUMBER(AF79)),NOT(ISNUMBER(AJ79)),NOT(ISNUMBER(AP79))),"",
IFERROR(IF((AD79-AF79)/(AJ79/60)/(AP79/1000)&lt;=0,"",(AD79-AF79)/(AJ79/60)/(AP79/1000)),""))</f>
        <v/>
      </c>
    </row>
    <row r="80" spans="1:58" ht="15.75">
      <c r="B80" s="134">
        <v>45340</v>
      </c>
      <c r="C80" s="133"/>
      <c r="D80" s="3">
        <v>75</v>
      </c>
      <c r="E80" s="205" t="str">
        <f t="shared" si="7"/>
        <v/>
      </c>
      <c r="H80" s="15"/>
      <c r="I80" s="15"/>
      <c r="K80" s="10" t="str">
        <f t="shared" si="4"/>
        <v/>
      </c>
      <c r="L80" s="9" t="str">
        <f t="shared" si="5"/>
        <v/>
      </c>
      <c r="M80" s="8" t="str">
        <f t="shared" si="6"/>
        <v/>
      </c>
      <c r="X80" s="6">
        <v>0.28000000000000003</v>
      </c>
      <c r="AB80" s="5">
        <v>80</v>
      </c>
      <c r="AG80">
        <v>0.09</v>
      </c>
      <c r="AH80" s="119">
        <v>0.52083333333333337</v>
      </c>
      <c r="AJ80" s="1">
        <v>175</v>
      </c>
      <c r="AK80" s="3">
        <v>180</v>
      </c>
      <c r="AN80" s="80">
        <f>360-AK80-AB80</f>
        <v>100</v>
      </c>
      <c r="AO80" s="165"/>
      <c r="AP80" s="13">
        <f>AVERAGE(AO78:AO84)</f>
        <v>3850.0000000000227</v>
      </c>
      <c r="AQ80" s="15" t="str">
        <f>IF(ISNUMBER([2]HRT_SRT!R134),[2]HRT_SRT!R134,"")</f>
        <v/>
      </c>
      <c r="AR80" s="156" t="e">
        <f>(E80-W80)/E80</f>
        <v>#VALUE!</v>
      </c>
      <c r="AS80" s="155" t="e">
        <f>(I80-AF80)/I80</f>
        <v>#DIV/0!</v>
      </c>
      <c r="AT80" s="155" t="e">
        <f>AG80/(AD80-AF80)</f>
        <v>#DIV/0!</v>
      </c>
      <c r="AU80" s="155" t="e">
        <f>(G80-AM80)/G80</f>
        <v>#DIV/0!</v>
      </c>
      <c r="AV80" s="57" t="str">
        <f>IF(AND(ISNUMBER(E80),ISNUMBER(W80)),E80-W80,"")</f>
        <v/>
      </c>
      <c r="AW80" s="57" t="str">
        <f>IF(AND(ISNUMBER(I80),ISNUMBER(AF80)),I80-AF80,"")</f>
        <v/>
      </c>
      <c r="AX80" s="57" t="str">
        <f>IF(AND(ISNUMBER(AM80),ISNUMBER(G80)),G80-AM80,"")</f>
        <v/>
      </c>
      <c r="AY80" s="57" t="str">
        <f>IF(AND(ISNUMBER(AC80),ISNUMBER(AE80)),AC80-AE80,"")</f>
        <v/>
      </c>
      <c r="AZ80" s="57" t="str">
        <f>IF(AND(ISNUMBER(AL80),ISNUMBER(AM80)),AL80-AM80,"")</f>
        <v/>
      </c>
      <c r="BA80" s="84" t="str">
        <f>IF(AND($E80&gt;0,$W80&gt;0),IF(($E80-$W80)/$E80&gt;0,($E80-$W80)/$E80,0),"")</f>
        <v/>
      </c>
      <c r="BB80" s="84" t="str">
        <f>IF(AND($I80&gt;0,$AF80&gt;=0),IF(($I80-$AF80)/$I80&gt;0,($I80-$AF80)/$I80,0),"")</f>
        <v/>
      </c>
      <c r="BC80" s="84" t="e">
        <f>IF(AND($AG80&gt;=0,$AD80&gt;=0,$AF80&gt;=0),IF($AG80/($AD80-$AF80)&gt;0,$AG80/($AD80-$AF80),0),"")</f>
        <v>#DIV/0!</v>
      </c>
      <c r="BD80" s="84" t="str">
        <f>IF(AND($G80&gt;0,$AM80&gt;0),IF(($G80-$AM80)/$G80&gt;0,($G80-$AM80)/$G80,0),"")</f>
        <v/>
      </c>
      <c r="BE80" s="6" t="str">
        <f>IF((AD80-AF80)/(AJ80/60)&lt;=0,"",(AD80-AF80)/(AJ80/60))</f>
        <v/>
      </c>
      <c r="BF80" s="6" t="str">
        <f>IF(OR(AJ80=0,AP80=0,NOT(ISNUMBER(AD80)),NOT(ISNUMBER(AF80)),NOT(ISNUMBER(AJ80)),NOT(ISNUMBER(AP80))),"",
IFERROR(IF((AD80-AF80)/(AJ80/60)/(AP80/1000)&lt;=0,"",(AD80-AF80)/(AJ80/60)/(AP80/1000)),""))</f>
        <v/>
      </c>
    </row>
    <row r="81" spans="1:58" ht="15.75">
      <c r="B81" s="134">
        <v>45341</v>
      </c>
      <c r="C81" s="133"/>
      <c r="D81" s="3">
        <v>76</v>
      </c>
      <c r="E81" s="205" t="str">
        <f t="shared" si="7"/>
        <v/>
      </c>
      <c r="G81" s="124">
        <f>G82</f>
        <v>31.399999999999995</v>
      </c>
      <c r="H81" s="15"/>
      <c r="I81" s="15"/>
      <c r="K81" s="10" t="str">
        <f t="shared" si="4"/>
        <v/>
      </c>
      <c r="L81" s="9" t="str">
        <f t="shared" si="5"/>
        <v/>
      </c>
      <c r="M81" s="8" t="str">
        <f t="shared" si="6"/>
        <v/>
      </c>
      <c r="X81" s="6">
        <v>0.27</v>
      </c>
      <c r="AB81" s="5">
        <v>80</v>
      </c>
      <c r="AG81">
        <v>0.08</v>
      </c>
      <c r="AH81" s="119">
        <v>0.52083333333333337</v>
      </c>
      <c r="AJ81" s="1">
        <v>175</v>
      </c>
      <c r="AK81" s="3">
        <v>180</v>
      </c>
      <c r="AM81" s="1">
        <v>25.4</v>
      </c>
      <c r="AN81" s="80">
        <f>360-AK81-AB81</f>
        <v>100</v>
      </c>
      <c r="AO81" s="165"/>
      <c r="AP81" s="13">
        <f>AVERAGE(AO79:AO85)</f>
        <v>3850.0000000000227</v>
      </c>
      <c r="AQ81" s="15" t="str">
        <f>IF(ISNUMBER([2]HRT_SRT!R135),[2]HRT_SRT!R135,"")</f>
        <v/>
      </c>
      <c r="AR81" s="156" t="e">
        <f>(E81-W81)/E81</f>
        <v>#VALUE!</v>
      </c>
      <c r="AS81" s="155" t="e">
        <f>(I81-AF81)/I81</f>
        <v>#DIV/0!</v>
      </c>
      <c r="AT81" s="155" t="e">
        <f>AG81/(AD81-AF81)</f>
        <v>#DIV/0!</v>
      </c>
      <c r="AU81" s="155">
        <f>(G81-AM81)/G81</f>
        <v>0.19108280254777063</v>
      </c>
      <c r="AV81" s="57" t="str">
        <f>IF(AND(ISNUMBER(E81),ISNUMBER(W81)),E81-W81,"")</f>
        <v/>
      </c>
      <c r="AW81" s="57" t="str">
        <f>IF(AND(ISNUMBER(I81),ISNUMBER(AF81)),I81-AF81,"")</f>
        <v/>
      </c>
      <c r="AX81" s="57">
        <f>IF(AND(ISNUMBER(AM81),ISNUMBER(G81)),G81-AM81,"")</f>
        <v>5.9999999999999964</v>
      </c>
      <c r="AY81" s="57" t="str">
        <f>IF(AND(ISNUMBER(AC81),ISNUMBER(AE81)),AC81-AE81,"")</f>
        <v/>
      </c>
      <c r="AZ81" s="57" t="str">
        <f>IF(AND(ISNUMBER(AL81),ISNUMBER(AM81)),AL81-AM81,"")</f>
        <v/>
      </c>
      <c r="BA81" s="84" t="str">
        <f>IF(AND($E81&gt;0,$W81&gt;0),IF(($E81-$W81)/$E81&gt;0,($E81-$W81)/$E81,0),"")</f>
        <v/>
      </c>
      <c r="BB81" s="84" t="str">
        <f>IF(AND($I81&gt;0,$AF81&gt;=0),IF(($I81-$AF81)/$I81&gt;0,($I81-$AF81)/$I81,0),"")</f>
        <v/>
      </c>
      <c r="BC81" s="84" t="e">
        <f>IF(AND($AG81&gt;=0,$AD81&gt;=0,$AF81&gt;=0),IF($AG81/($AD81-$AF81)&gt;0,$AG81/($AD81-$AF81),0),"")</f>
        <v>#DIV/0!</v>
      </c>
      <c r="BD81" s="84">
        <f>IF(AND($G81&gt;0,$AM81&gt;0),IF(($G81-$AM81)/$G81&gt;0,($G81-$AM81)/$G81,0),"")</f>
        <v>0.19108280254777063</v>
      </c>
      <c r="BE81" s="6" t="str">
        <f>IF((AD81-AF81)/(AJ81/60)&lt;=0,"",(AD81-AF81)/(AJ81/60))</f>
        <v/>
      </c>
      <c r="BF81" s="6" t="str">
        <f>IF(OR(AJ81=0,AP81=0,NOT(ISNUMBER(AD81)),NOT(ISNUMBER(AF81)),NOT(ISNUMBER(AJ81)),NOT(ISNUMBER(AP81))),"",
IFERROR(IF((AD81-AF81)/(AJ81/60)/(AP81/1000)&lt;=0,"",(AD81-AF81)/(AJ81/60)/(AP81/1000)),""))</f>
        <v/>
      </c>
    </row>
    <row r="82" spans="1:58" ht="15.75">
      <c r="A82" s="12" t="s">
        <v>163</v>
      </c>
      <c r="B82" s="187">
        <v>45342</v>
      </c>
      <c r="C82" s="186"/>
      <c r="D82" s="3">
        <v>77</v>
      </c>
      <c r="E82" s="205">
        <f t="shared" si="7"/>
        <v>366.71600000000001</v>
      </c>
      <c r="G82" s="15">
        <f>(N82*18-H82*18)/9</f>
        <v>31.399999999999995</v>
      </c>
      <c r="H82" s="15">
        <v>17.600000000000001</v>
      </c>
      <c r="I82" s="15">
        <f>AD82</f>
        <v>23.55</v>
      </c>
      <c r="K82" s="10">
        <f t="shared" si="4"/>
        <v>11.678853503184715</v>
      </c>
      <c r="L82" s="9">
        <f t="shared" si="5"/>
        <v>7.7859023354564751</v>
      </c>
      <c r="M82" s="8">
        <f t="shared" si="6"/>
        <v>1.5000000000000002</v>
      </c>
      <c r="N82" s="7">
        <v>33.299999999999997</v>
      </c>
      <c r="S82" s="6">
        <f>'[2]02-20-2024 '!Q6</f>
        <v>183.358</v>
      </c>
      <c r="T82" s="6">
        <f>36.3</f>
        <v>36.299999999999997</v>
      </c>
      <c r="W82" s="6">
        <f>'[2]02-20-2024 '!Q12</f>
        <v>105.262</v>
      </c>
      <c r="X82" s="6">
        <v>0.28000000000000003</v>
      </c>
      <c r="AB82" s="5">
        <v>80</v>
      </c>
      <c r="AC82" s="7">
        <f>T82</f>
        <v>36.299999999999997</v>
      </c>
      <c r="AD82" s="1">
        <f>5*4.71</f>
        <v>23.55</v>
      </c>
      <c r="AE82" s="1">
        <f>35.6</f>
        <v>35.6</v>
      </c>
      <c r="AF82" s="168">
        <v>1E-3</v>
      </c>
      <c r="AG82">
        <v>0.08</v>
      </c>
      <c r="AH82" s="119">
        <v>0.52083333333333337</v>
      </c>
      <c r="AJ82" s="1">
        <v>175</v>
      </c>
      <c r="AK82" s="3">
        <v>180</v>
      </c>
      <c r="AL82" s="4">
        <f>AE82</f>
        <v>35.6</v>
      </c>
      <c r="AM82" s="1">
        <f>32.6</f>
        <v>32.6</v>
      </c>
      <c r="AN82" s="80">
        <f>360-AK82-AB82</f>
        <v>100</v>
      </c>
      <c r="AO82" s="165">
        <f>[2]TSS_VSS!H140</f>
        <v>4809.9999999999909</v>
      </c>
      <c r="AP82" s="13">
        <f>AVERAGE(AO80:AO86)</f>
        <v>3850.0000000000227</v>
      </c>
      <c r="AQ82" s="15">
        <f>IF(ISNUMBER([2]HRT_SRT!R136),[2]HRT_SRT!R136,"")</f>
        <v>19.412556053811581</v>
      </c>
      <c r="AR82" s="156">
        <f>(E82-W82)/E82</f>
        <v>0.7129604380501533</v>
      </c>
      <c r="AS82" s="155">
        <f>(I82-AF82)/I82</f>
        <v>0.99995753715498936</v>
      </c>
      <c r="AT82" s="155">
        <f>AG82/(AD82-AF82)</f>
        <v>3.397171854431186E-3</v>
      </c>
      <c r="AU82" s="155">
        <f>(G82-AM82)/G82</f>
        <v>-3.8216560509554347E-2</v>
      </c>
      <c r="AV82" s="57">
        <f>IF(AND(ISNUMBER(E82),ISNUMBER(W82)),E82-W82,"")</f>
        <v>261.45400000000001</v>
      </c>
      <c r="AW82" s="57">
        <f>IF(AND(ISNUMBER(I82),ISNUMBER(AF82)),I82-AF82,"")</f>
        <v>23.548999999999999</v>
      </c>
      <c r="AX82" s="57">
        <f>IF(AND(ISNUMBER(AM82),ISNUMBER(G82)),G82-AM82,"")</f>
        <v>-1.2000000000000064</v>
      </c>
      <c r="AY82" s="57">
        <f>IF(AND(ISNUMBER(AC82),ISNUMBER(AE82)),AC82-AE82,"")</f>
        <v>0.69999999999999574</v>
      </c>
      <c r="AZ82" s="57">
        <f>IF(AND(ISNUMBER(AL82),ISNUMBER(AM82)),AL82-AM82,"")</f>
        <v>3</v>
      </c>
      <c r="BA82" s="84">
        <f>IF(AND($E82&gt;0,$W82&gt;0),IF(($E82-$W82)/$E82&gt;0,($E82-$W82)/$E82,0),"")</f>
        <v>0.7129604380501533</v>
      </c>
      <c r="BB82" s="84">
        <f>IF(AND($I82&gt;0,$AF82&gt;=0),IF(($I82-$AF82)/$I82&gt;0,($I82-$AF82)/$I82,0),"")</f>
        <v>0.99995753715498936</v>
      </c>
      <c r="BC82" s="84">
        <f>IF(AND($AG82&gt;=0,$AD82&gt;=0,$AF82&gt;=0),IF($AG82/($AD82-$AF82)&gt;0,$AG82/($AD82-$AF82),0),"")</f>
        <v>3.397171854431186E-3</v>
      </c>
      <c r="BD82" s="84">
        <f>IF(AND($G82&gt;0,$AM82&gt;0),IF(($G82-$AM82)/$G82&gt;0,($G82-$AM82)/$G82,0),"")</f>
        <v>0</v>
      </c>
      <c r="BE82" s="6">
        <f>IF((AD82-AF82)/(AJ82/60)&lt;=0,"",(AD82-AF82)/(AJ82/60))</f>
        <v>8.0739428571428569</v>
      </c>
      <c r="BF82" s="6">
        <f>IF(OR(AJ82=0,AP82=0,NOT(ISNUMBER(AD82)),NOT(ISNUMBER(AF82)),NOT(ISNUMBER(AJ82)),NOT(ISNUMBER(AP82))),"",
IFERROR(IF((AD82-AF82)/(AJ82/60)/(AP82/1000)&lt;=0,"",(AD82-AF82)/(AJ82/60)/(AP82/1000)),""))</f>
        <v>2.0971280148422879</v>
      </c>
    </row>
    <row r="83" spans="1:58" ht="15.75">
      <c r="A83" s="12" t="s">
        <v>162</v>
      </c>
      <c r="B83" s="185">
        <v>45343</v>
      </c>
      <c r="C83" s="184"/>
      <c r="D83" s="3">
        <v>78</v>
      </c>
      <c r="E83" s="205">
        <f t="shared" si="7"/>
        <v>280.08691799999997</v>
      </c>
      <c r="G83" s="15">
        <f>(N83*18-H83*18)/9</f>
        <v>13.600000000000001</v>
      </c>
      <c r="H83" s="15">
        <f>10.8</f>
        <v>10.8</v>
      </c>
      <c r="I83" s="15">
        <f>AD83</f>
        <v>24.4</v>
      </c>
      <c r="K83" s="10">
        <f t="shared" si="4"/>
        <v>20.594626323529408</v>
      </c>
      <c r="L83" s="9">
        <f t="shared" si="5"/>
        <v>5.739486024590164</v>
      </c>
      <c r="M83" s="8">
        <f t="shared" si="6"/>
        <v>3.5882352941176463</v>
      </c>
      <c r="N83" s="7">
        <f>17.6</f>
        <v>17.600000000000001</v>
      </c>
      <c r="O83" s="6">
        <v>108.815</v>
      </c>
      <c r="P83" s="6">
        <v>15.811</v>
      </c>
      <c r="Q83" s="6">
        <f>O83*1.067</f>
        <v>116.105605</v>
      </c>
      <c r="R83" s="6">
        <f>P83*1.514</f>
        <v>23.937854000000002</v>
      </c>
      <c r="S83" s="23">
        <f>P83*1.514+O83*1.067</f>
        <v>140.04345899999998</v>
      </c>
      <c r="T83" s="6">
        <f>20.4</f>
        <v>20.399999999999999</v>
      </c>
      <c r="U83" s="6">
        <v>1.569</v>
      </c>
      <c r="V83" s="6">
        <v>0.98499999999999999</v>
      </c>
      <c r="W83" s="23">
        <f>U83*1.067+V83*1.514</f>
        <v>3.165413</v>
      </c>
      <c r="X83" s="6">
        <v>0.88</v>
      </c>
      <c r="AB83" s="5">
        <v>80</v>
      </c>
      <c r="AC83" s="7">
        <f>T83</f>
        <v>20.399999999999999</v>
      </c>
      <c r="AD83" s="1">
        <f>5*4.88</f>
        <v>24.4</v>
      </c>
      <c r="AE83" s="1">
        <f>21.7</f>
        <v>21.7</v>
      </c>
      <c r="AF83" s="168">
        <v>1E-3</v>
      </c>
      <c r="AG83">
        <v>0.09</v>
      </c>
      <c r="AH83" s="119">
        <v>0.52083333333333337</v>
      </c>
      <c r="AJ83" s="1">
        <v>175</v>
      </c>
      <c r="AK83" s="3">
        <v>180</v>
      </c>
      <c r="AL83" s="4">
        <f>AE83</f>
        <v>21.7</v>
      </c>
      <c r="AM83" s="1">
        <f>15.3</f>
        <v>15.3</v>
      </c>
      <c r="AN83" s="80">
        <f>360-AK83-AB83</f>
        <v>100</v>
      </c>
      <c r="AO83" s="165"/>
      <c r="AP83" s="13">
        <f>AVERAGE(AO81:AO87)</f>
        <v>3850.0000000000227</v>
      </c>
      <c r="AQ83" s="15" t="str">
        <f>IF(ISNUMBER([2]HRT_SRT!R137),[2]HRT_SRT!R137,"")</f>
        <v/>
      </c>
      <c r="AR83" s="156">
        <f>(E83-W83)/E83</f>
        <v>0.98869846181105825</v>
      </c>
      <c r="AS83" s="155">
        <f>(I83-AF83)/I83</f>
        <v>0.99995901639344253</v>
      </c>
      <c r="AT83" s="155">
        <f>AG83/(AD83-AF83)</f>
        <v>3.6886757654002217E-3</v>
      </c>
      <c r="AU83" s="155">
        <f>(G83-AM83)/G83</f>
        <v>-0.12499999999999993</v>
      </c>
      <c r="AV83" s="57">
        <f>IF(AND(ISNUMBER(E83),ISNUMBER(W83)),E83-W83,"")</f>
        <v>276.92150499999997</v>
      </c>
      <c r="AW83" s="57">
        <f>IF(AND(ISNUMBER(I83),ISNUMBER(AF83)),I83-AF83,"")</f>
        <v>24.398999999999997</v>
      </c>
      <c r="AX83" s="57">
        <f>IF(AND(ISNUMBER(AM83),ISNUMBER(G83)),G83-AM83,"")</f>
        <v>-1.6999999999999993</v>
      </c>
      <c r="AY83" s="57">
        <f>IF(AND(ISNUMBER(AC83),ISNUMBER(AE83)),AC83-AE83,"")</f>
        <v>-1.3000000000000007</v>
      </c>
      <c r="AZ83" s="57">
        <f>IF(AND(ISNUMBER(AL83),ISNUMBER(AM83)),AL83-AM83,"")</f>
        <v>6.3999999999999986</v>
      </c>
      <c r="BA83" s="84">
        <f>IF(AND($E83&gt;0,$W83&gt;0),IF(($E83-$W83)/$E83&gt;0,($E83-$W83)/$E83,0),"")</f>
        <v>0.98869846181105825</v>
      </c>
      <c r="BB83" s="84">
        <f>IF(AND($I83&gt;0,$AF83&gt;=0),IF(($I83-$AF83)/$I83&gt;0,($I83-$AF83)/$I83,0),"")</f>
        <v>0.99995901639344253</v>
      </c>
      <c r="BC83" s="84">
        <f>IF(AND($AG83&gt;=0,$AD83&gt;=0,$AF83&gt;=0),IF($AG83/($AD83-$AF83)&gt;0,$AG83/($AD83-$AF83),0),"")</f>
        <v>3.6886757654002217E-3</v>
      </c>
      <c r="BD83" s="84">
        <f>IF(AND($G83&gt;0,$AM83&gt;0),IF(($G83-$AM83)/$G83&gt;0,($G83-$AM83)/$G83,0),"")</f>
        <v>0</v>
      </c>
      <c r="BE83" s="6">
        <f>IF((AD83-AF83)/(AJ83/60)&lt;=0,"",(AD83-AF83)/(AJ83/60))</f>
        <v>8.3653714285714287</v>
      </c>
      <c r="BF83" s="6">
        <f>IF(OR(AJ83=0,AP83=0,NOT(ISNUMBER(AD83)),NOT(ISNUMBER(AF83)),NOT(ISNUMBER(AJ83)),NOT(ISNUMBER(AP83))),"",
IFERROR(IF((AD83-AF83)/(AJ83/60)/(AP83/1000)&lt;=0,"",(AD83-AF83)/(AJ83/60)/(AP83/1000)),""))</f>
        <v>2.1728237476808778</v>
      </c>
    </row>
    <row r="84" spans="1:58" ht="15.75">
      <c r="B84" s="185">
        <v>45344</v>
      </c>
      <c r="C84" s="184"/>
      <c r="D84" s="3">
        <v>79</v>
      </c>
      <c r="E84" s="205">
        <f t="shared" si="7"/>
        <v>226.47586999999999</v>
      </c>
      <c r="G84" s="15">
        <f>(N84*18-H84*18)/9</f>
        <v>12.000000000000004</v>
      </c>
      <c r="H84" s="15">
        <f>2*1.7</f>
        <v>3.4</v>
      </c>
      <c r="I84" s="15">
        <f>AD84</f>
        <v>23.35</v>
      </c>
      <c r="K84" s="10">
        <f t="shared" si="4"/>
        <v>18.87298916666666</v>
      </c>
      <c r="L84" s="9">
        <f t="shared" si="5"/>
        <v>4.849590364025695</v>
      </c>
      <c r="M84" s="8">
        <f t="shared" si="6"/>
        <v>3.8916666666666657</v>
      </c>
      <c r="N84" s="7">
        <f>9.4</f>
        <v>9.4</v>
      </c>
      <c r="O84" s="6">
        <v>68.966999999999999</v>
      </c>
      <c r="P84" s="6">
        <v>26.189</v>
      </c>
      <c r="Q84" s="6">
        <f>O84*1.067</f>
        <v>73.587789000000001</v>
      </c>
      <c r="R84" s="6">
        <f>P84*1.514</f>
        <v>39.650145999999999</v>
      </c>
      <c r="S84" s="23">
        <f>P84*1.514+O84*1.067</f>
        <v>113.23793499999999</v>
      </c>
      <c r="T84" s="6">
        <v>13.4</v>
      </c>
      <c r="U84" s="6">
        <v>1.6319999999999999</v>
      </c>
      <c r="V84" s="6">
        <v>1.083</v>
      </c>
      <c r="W84" s="23">
        <f>U84*1.067+V84*1.514</f>
        <v>3.3810059999999997</v>
      </c>
      <c r="X84" s="6">
        <v>2.8</v>
      </c>
      <c r="AB84" s="5">
        <v>80</v>
      </c>
      <c r="AC84" s="7">
        <f>T84</f>
        <v>13.4</v>
      </c>
      <c r="AD84" s="1">
        <f>5*4.67</f>
        <v>23.35</v>
      </c>
      <c r="AE84" s="1">
        <f>10.2</f>
        <v>10.199999999999999</v>
      </c>
      <c r="AF84" s="1">
        <v>0.24299999999999999</v>
      </c>
      <c r="AG84">
        <v>0.08</v>
      </c>
      <c r="AH84" s="119">
        <v>0.52083333333333337</v>
      </c>
      <c r="AJ84" s="1">
        <v>175</v>
      </c>
      <c r="AK84" s="3">
        <v>180</v>
      </c>
      <c r="AL84" s="4">
        <f>AE84</f>
        <v>10.199999999999999</v>
      </c>
      <c r="AM84" s="1">
        <f>2*2.33</f>
        <v>4.66</v>
      </c>
      <c r="AN84" s="80">
        <f>360-AK84-AB84</f>
        <v>100</v>
      </c>
      <c r="AO84" s="165">
        <v>2890.0000000000546</v>
      </c>
      <c r="AP84" s="13">
        <f>AVERAGE(AO82:AO88)</f>
        <v>3850.0000000000227</v>
      </c>
      <c r="AQ84" s="15">
        <f>IF(ISNUMBER([2]HRT_SRT!R138),[2]HRT_SRT!R138,"")</f>
        <v>17.790697674418574</v>
      </c>
      <c r="AR84" s="156">
        <f>(E84-W84)/E84</f>
        <v>0.98507123076732184</v>
      </c>
      <c r="AS84" s="155">
        <f>(I84-AF84)/I84</f>
        <v>0.98959314775160601</v>
      </c>
      <c r="AT84" s="155">
        <f>AG84/(AD84-AF84)</f>
        <v>3.4621543255290601E-3</v>
      </c>
      <c r="AU84" s="155">
        <f>(G84-AM84)/G84</f>
        <v>0.6116666666666668</v>
      </c>
      <c r="AV84" s="57">
        <f>IF(AND(ISNUMBER(E84),ISNUMBER(W84)),E84-W84,"")</f>
        <v>223.09486399999997</v>
      </c>
      <c r="AW84" s="57">
        <f>IF(AND(ISNUMBER(I84),ISNUMBER(AF84)),I84-AF84,"")</f>
        <v>23.107000000000003</v>
      </c>
      <c r="AX84" s="57">
        <f>IF(AND(ISNUMBER(AM84),ISNUMBER(G84)),G84-AM84,"")</f>
        <v>7.3400000000000034</v>
      </c>
      <c r="AY84" s="57">
        <f>IF(AND(ISNUMBER(AC84),ISNUMBER(AE84)),AC84-AE84,"")</f>
        <v>3.2000000000000011</v>
      </c>
      <c r="AZ84" s="57">
        <f>IF(AND(ISNUMBER(AL84),ISNUMBER(AM84)),AL84-AM84,"")</f>
        <v>5.5399999999999991</v>
      </c>
      <c r="BA84" s="84">
        <f>IF(AND($E84&gt;0,$W84&gt;0),IF(($E84-$W84)/$E84&gt;0,($E84-$W84)/$E84,0),"")</f>
        <v>0.98507123076732184</v>
      </c>
      <c r="BB84" s="84">
        <f>IF(AND($I84&gt;0,$AF84&gt;=0),IF(($I84-$AF84)/$I84&gt;0,($I84-$AF84)/$I84,0),"")</f>
        <v>0.98959314775160601</v>
      </c>
      <c r="BC84" s="84">
        <f>IF(AND($AG84&gt;=0,$AD84&gt;=0,$AF84&gt;=0),IF($AG84/($AD84-$AF84)&gt;0,$AG84/($AD84-$AF84),0),"")</f>
        <v>3.4621543255290601E-3</v>
      </c>
      <c r="BD84" s="84">
        <f>IF(AND($G84&gt;0,$AM84&gt;0),IF(($G84-$AM84)/$G84&gt;0,($G84-$AM84)/$G84,0),"")</f>
        <v>0.6116666666666668</v>
      </c>
      <c r="BE84" s="6">
        <f>IF((AD84-AF84)/(AJ84/60)&lt;=0,"",(AD84-AF84)/(AJ84/60))</f>
        <v>7.9224000000000014</v>
      </c>
      <c r="BF84" s="6">
        <f>IF(OR(AJ84=0,AP84=0,NOT(ISNUMBER(AD84)),NOT(ISNUMBER(AF84)),NOT(ISNUMBER(AJ84)),NOT(ISNUMBER(AP84))),"",
IFERROR(IF((AD84-AF84)/(AJ84/60)/(AP84/1000)&lt;=0,"",(AD84-AF84)/(AJ84/60)/(AP84/1000)),""))</f>
        <v>2.0577662337662219</v>
      </c>
    </row>
    <row r="85" spans="1:58" ht="15.75">
      <c r="B85" s="185">
        <v>45345</v>
      </c>
      <c r="C85" s="184"/>
      <c r="D85" s="3">
        <v>80</v>
      </c>
      <c r="E85" s="205">
        <f t="shared" si="7"/>
        <v>356.59082999999998</v>
      </c>
      <c r="G85" s="15">
        <f>(N85*18-H85*18)/9</f>
        <v>26.2</v>
      </c>
      <c r="H85" s="15">
        <v>8.6</v>
      </c>
      <c r="I85" s="15">
        <f>AD85</f>
        <v>25.8</v>
      </c>
      <c r="K85" s="10">
        <f t="shared" si="4"/>
        <v>13.610337022900763</v>
      </c>
      <c r="L85" s="9">
        <f t="shared" si="5"/>
        <v>6.9106749999999995</v>
      </c>
      <c r="M85" s="8">
        <f t="shared" si="6"/>
        <v>1.969465648854962</v>
      </c>
      <c r="N85" s="7">
        <v>21.7</v>
      </c>
      <c r="O85" s="6">
        <v>125.867</v>
      </c>
      <c r="P85" s="6">
        <v>29.059000000000001</v>
      </c>
      <c r="Q85" s="6">
        <f>O85*1.067</f>
        <v>134.30008899999999</v>
      </c>
      <c r="R85" s="6">
        <f>P85*1.514</f>
        <v>43.995325999999999</v>
      </c>
      <c r="S85" s="23">
        <f>P85*1.514+O85*1.067</f>
        <v>178.29541499999999</v>
      </c>
      <c r="T85" s="6">
        <v>26.8</v>
      </c>
      <c r="U85" s="6">
        <v>1.538</v>
      </c>
      <c r="V85" s="6">
        <v>2.0379999999999998</v>
      </c>
      <c r="W85" s="23">
        <f>U85*1.067+V85*1.514</f>
        <v>4.7265779999999999</v>
      </c>
      <c r="X85" s="6">
        <v>0.86</v>
      </c>
      <c r="AB85" s="5">
        <v>80</v>
      </c>
      <c r="AC85" s="7">
        <f>T85</f>
        <v>26.8</v>
      </c>
      <c r="AD85" s="1">
        <f>5*5.16</f>
        <v>25.8</v>
      </c>
      <c r="AE85" s="1">
        <v>26.6</v>
      </c>
      <c r="AF85" s="1">
        <v>6.9999999999999999E-4</v>
      </c>
      <c r="AG85">
        <v>0.09</v>
      </c>
      <c r="AH85" s="119">
        <v>0.52083333333333337</v>
      </c>
      <c r="AJ85" s="1">
        <v>175</v>
      </c>
      <c r="AK85" s="3">
        <v>180</v>
      </c>
      <c r="AL85" s="4">
        <f>AE85</f>
        <v>26.6</v>
      </c>
      <c r="AM85" s="1">
        <f>5*4.68</f>
        <v>23.4</v>
      </c>
      <c r="AN85" s="80">
        <f>360-AK85-AB85</f>
        <v>100</v>
      </c>
      <c r="AO85" s="165"/>
      <c r="AP85" s="13">
        <f>AVERAGE(AO83:AO89)</f>
        <v>3475.0000000000455</v>
      </c>
      <c r="AQ85" s="15" t="str">
        <f>IF(ISNUMBER([2]HRT_SRT!R139),[2]HRT_SRT!R139,"")</f>
        <v/>
      </c>
      <c r="AR85" s="156">
        <f>(E85-W85)/E85</f>
        <v>0.98674509380961928</v>
      </c>
      <c r="AS85" s="155">
        <f>(I85-AF85)/I85</f>
        <v>0.99997286821705433</v>
      </c>
      <c r="AT85" s="155">
        <f>AG85/(AD85-AF85)</f>
        <v>3.4884667413456949E-3</v>
      </c>
      <c r="AU85" s="155">
        <f>(G85-AM85)/G85</f>
        <v>0.10687022900763361</v>
      </c>
      <c r="AV85" s="57">
        <f>IF(AND(ISNUMBER(E85),ISNUMBER(W85)),E85-W85,"")</f>
        <v>351.86425199999996</v>
      </c>
      <c r="AW85" s="57">
        <f>IF(AND(ISNUMBER(I85),ISNUMBER(AF85)),I85-AF85,"")</f>
        <v>25.799300000000002</v>
      </c>
      <c r="AX85" s="57">
        <f>IF(AND(ISNUMBER(AM85),ISNUMBER(G85)),G85-AM85,"")</f>
        <v>2.8000000000000007</v>
      </c>
      <c r="AY85" s="57">
        <f>IF(AND(ISNUMBER(AC85),ISNUMBER(AE85)),AC85-AE85,"")</f>
        <v>0.19999999999999929</v>
      </c>
      <c r="AZ85" s="57">
        <f>IF(AND(ISNUMBER(AL85),ISNUMBER(AM85)),AL85-AM85,"")</f>
        <v>3.2000000000000028</v>
      </c>
      <c r="BA85" s="84">
        <f>IF(AND($E85&gt;0,$W85&gt;0),IF(($E85-$W85)/$E85&gt;0,($E85-$W85)/$E85,0),"")</f>
        <v>0.98674509380961928</v>
      </c>
      <c r="BB85" s="84">
        <f>IF(AND($I85&gt;0,$AF85&gt;=0),IF(($I85-$AF85)/$I85&gt;0,($I85-$AF85)/$I85,0),"")</f>
        <v>0.99997286821705433</v>
      </c>
      <c r="BC85" s="84">
        <f>IF(AND($AG85&gt;=0,$AD85&gt;=0,$AF85&gt;=0),IF($AG85/($AD85-$AF85)&gt;0,$AG85/($AD85-$AF85),0),"")</f>
        <v>3.4884667413456949E-3</v>
      </c>
      <c r="BD85" s="84">
        <f>IF(AND($G85&gt;0,$AM85&gt;0),IF(($G85-$AM85)/$G85&gt;0,($G85-$AM85)/$G85,0),"")</f>
        <v>0.10687022900763361</v>
      </c>
      <c r="BE85" s="6">
        <f>IF((AD85-AF85)/(AJ85/60)&lt;=0,"",(AD85-AF85)/(AJ85/60))</f>
        <v>8.8454742857142872</v>
      </c>
      <c r="BF85" s="6">
        <f>IF(OR(AJ85=0,AP85=0,NOT(ISNUMBER(AD85)),NOT(ISNUMBER(AF85)),NOT(ISNUMBER(AJ85)),NOT(ISNUMBER(AP85))),"",
IFERROR(IF((AD85-AF85)/(AJ85/60)/(AP85/1000)&lt;=0,"",(AD85-AF85)/(AJ85/60)/(AP85/1000)),""))</f>
        <v>2.5454602261047974</v>
      </c>
    </row>
    <row r="86" spans="1:58" ht="15.75">
      <c r="B86" s="185">
        <v>45346</v>
      </c>
      <c r="C86" s="184"/>
      <c r="D86" s="3">
        <v>81</v>
      </c>
      <c r="E86" s="205">
        <f t="shared" si="7"/>
        <v>389.79335199999997</v>
      </c>
      <c r="G86" s="15">
        <f>(N86*18-H86*18)/9</f>
        <v>26.8</v>
      </c>
      <c r="H86" s="15">
        <v>13.2</v>
      </c>
      <c r="I86" s="15">
        <f>AD86</f>
        <v>24.4</v>
      </c>
      <c r="K86" s="10">
        <f t="shared" si="4"/>
        <v>14.544528059701491</v>
      </c>
      <c r="L86" s="9">
        <f t="shared" si="5"/>
        <v>7.9875686885245898</v>
      </c>
      <c r="M86" s="8">
        <f t="shared" si="6"/>
        <v>1.8208955223880596</v>
      </c>
      <c r="N86" s="7">
        <f>26.6</f>
        <v>26.6</v>
      </c>
      <c r="O86" s="6">
        <v>137.36199999999999</v>
      </c>
      <c r="P86" s="6">
        <v>31.922999999999998</v>
      </c>
      <c r="Q86" s="6">
        <f>O86*1.067</f>
        <v>146.56525399999998</v>
      </c>
      <c r="R86" s="6">
        <f>P86*1.514</f>
        <v>48.331421999999996</v>
      </c>
      <c r="S86" s="23">
        <f>P86*1.514+O86*1.067</f>
        <v>194.89667599999999</v>
      </c>
      <c r="T86" s="6">
        <v>30.3</v>
      </c>
      <c r="U86" s="6">
        <v>3.1349999999999998</v>
      </c>
      <c r="V86" s="6">
        <v>2.2000000000000002</v>
      </c>
      <c r="W86" s="23">
        <f>U86*1.067+V86*1.514</f>
        <v>6.6758450000000007</v>
      </c>
      <c r="X86" s="6">
        <v>5.48</v>
      </c>
      <c r="AB86" s="5">
        <v>80</v>
      </c>
      <c r="AC86" s="7">
        <f>T86</f>
        <v>30.3</v>
      </c>
      <c r="AD86" s="1">
        <f>5*4.88</f>
        <v>24.4</v>
      </c>
      <c r="AE86" s="1">
        <f>30.7</f>
        <v>30.7</v>
      </c>
      <c r="AF86" s="168">
        <v>1E-3</v>
      </c>
      <c r="AG86">
        <v>0.09</v>
      </c>
      <c r="AH86" s="119">
        <v>0.52083333333333337</v>
      </c>
      <c r="AJ86" s="1">
        <v>175</v>
      </c>
      <c r="AK86" s="3">
        <v>180</v>
      </c>
      <c r="AL86" s="4">
        <f>AE86</f>
        <v>30.7</v>
      </c>
      <c r="AM86" s="1">
        <f>23.7</f>
        <v>23.7</v>
      </c>
      <c r="AN86" s="80">
        <f>360-AK86-AB86</f>
        <v>100</v>
      </c>
      <c r="AO86" s="165"/>
      <c r="AP86" s="13">
        <f>AVERAGE(AO84:AO90)</f>
        <v>3475.0000000000455</v>
      </c>
      <c r="AQ86" s="15" t="str">
        <f>IF(ISNUMBER([2]HRT_SRT!R140),[2]HRT_SRT!R140,"")</f>
        <v/>
      </c>
      <c r="AR86" s="156">
        <f>(E86-W86)/E86</f>
        <v>0.98287337388966045</v>
      </c>
      <c r="AS86" s="155">
        <f>(I86-AF86)/I86</f>
        <v>0.99995901639344253</v>
      </c>
      <c r="AT86" s="155">
        <f>AG86/(AD86-AF86)</f>
        <v>3.6886757654002217E-3</v>
      </c>
      <c r="AU86" s="155">
        <f>(G86-AM86)/G86</f>
        <v>0.11567164179104483</v>
      </c>
      <c r="AV86" s="57">
        <f>IF(AND(ISNUMBER(E86),ISNUMBER(W86)),E86-W86,"")</f>
        <v>383.11750699999999</v>
      </c>
      <c r="AW86" s="57">
        <f>IF(AND(ISNUMBER(I86),ISNUMBER(AF86)),I86-AF86,"")</f>
        <v>24.398999999999997</v>
      </c>
      <c r="AX86" s="57">
        <f>IF(AND(ISNUMBER(AM86),ISNUMBER(G86)),G86-AM86,"")</f>
        <v>3.1000000000000014</v>
      </c>
      <c r="AY86" s="57">
        <f>IF(AND(ISNUMBER(AC86),ISNUMBER(AE86)),AC86-AE86,"")</f>
        <v>-0.39999999999999858</v>
      </c>
      <c r="AZ86" s="57">
        <f>IF(AND(ISNUMBER(AL86),ISNUMBER(AM86)),AL86-AM86,"")</f>
        <v>7</v>
      </c>
      <c r="BA86" s="84">
        <f>IF(AND($E86&gt;0,$W86&gt;0),IF(($E86-$W86)/$E86&gt;0,($E86-$W86)/$E86,0),"")</f>
        <v>0.98287337388966045</v>
      </c>
      <c r="BB86" s="84">
        <f>IF(AND($I86&gt;0,$AF86&gt;=0),IF(($I86-$AF86)/$I86&gt;0,($I86-$AF86)/$I86,0),"")</f>
        <v>0.99995901639344253</v>
      </c>
      <c r="BC86" s="84">
        <f>IF(AND($AG86&gt;=0,$AD86&gt;=0,$AF86&gt;=0),IF($AG86/($AD86-$AF86)&gt;0,$AG86/($AD86-$AF86),0),"")</f>
        <v>3.6886757654002217E-3</v>
      </c>
      <c r="BD86" s="84">
        <f>IF(AND($G86&gt;0,$AM86&gt;0),IF(($G86-$AM86)/$G86&gt;0,($G86-$AM86)/$G86,0),"")</f>
        <v>0.11567164179104483</v>
      </c>
      <c r="BE86" s="6">
        <f>IF((AD86-AF86)/(AJ86/60)&lt;=0,"",(AD86-AF86)/(AJ86/60))</f>
        <v>8.3653714285714287</v>
      </c>
      <c r="BF86" s="6">
        <f>IF(OR(AJ86=0,AP86=0,NOT(ISNUMBER(AD86)),NOT(ISNUMBER(AF86)),NOT(ISNUMBER(AJ86)),NOT(ISNUMBER(AP86))),"",
IFERROR(IF((AD86-AF86)/(AJ86/60)/(AP86/1000)&lt;=0,"",(AD86-AF86)/(AJ86/60)/(AP86/1000)),""))</f>
        <v>2.4073011305241208</v>
      </c>
    </row>
    <row r="87" spans="1:58" ht="15.75">
      <c r="B87" s="134">
        <v>45347</v>
      </c>
      <c r="C87" s="133"/>
      <c r="D87" s="3">
        <v>82</v>
      </c>
      <c r="E87" s="205" t="str">
        <f t="shared" si="7"/>
        <v/>
      </c>
      <c r="I87" s="15">
        <f>AD87</f>
        <v>22.2</v>
      </c>
      <c r="K87" s="10" t="str">
        <f t="shared" si="4"/>
        <v/>
      </c>
      <c r="L87" s="9" t="str">
        <f t="shared" si="5"/>
        <v/>
      </c>
      <c r="M87" s="8" t="str">
        <f t="shared" si="6"/>
        <v/>
      </c>
      <c r="X87" s="6">
        <v>0.56000000000000005</v>
      </c>
      <c r="AB87" s="5">
        <v>80</v>
      </c>
      <c r="AD87" s="168">
        <f>(AD86+AD88)/2</f>
        <v>22.2</v>
      </c>
      <c r="AG87">
        <v>0.08</v>
      </c>
      <c r="AH87" s="119">
        <v>0.52083333333333337</v>
      </c>
      <c r="AJ87" s="1">
        <v>175</v>
      </c>
      <c r="AK87" s="3">
        <v>180</v>
      </c>
      <c r="AN87" s="80">
        <f>360-AK87-AB87</f>
        <v>100</v>
      </c>
      <c r="AO87" s="165"/>
      <c r="AP87" s="13">
        <f>AVERAGE(AO85:AO91)</f>
        <v>4060.0000000000364</v>
      </c>
      <c r="AQ87" s="15" t="str">
        <f>IF(ISNUMBER([2]HRT_SRT!R141),[2]HRT_SRT!R141,"")</f>
        <v/>
      </c>
      <c r="AR87" s="156" t="e">
        <f>(E87-W87)/E87</f>
        <v>#VALUE!</v>
      </c>
      <c r="AS87" s="155">
        <f>(I87-AF87)/I87</f>
        <v>1</v>
      </c>
      <c r="AT87" s="155">
        <f>AG87/(AD87-AF87)</f>
        <v>3.6036036036036037E-3</v>
      </c>
      <c r="AU87" s="155" t="e">
        <f>(G87-AM87)/G87</f>
        <v>#DIV/0!</v>
      </c>
      <c r="AV87" s="57" t="str">
        <f>IF(AND(ISNUMBER(E87),ISNUMBER(W87)),E87-W87,"")</f>
        <v/>
      </c>
      <c r="AW87" s="57" t="str">
        <f>IF(AND(ISNUMBER(I87),ISNUMBER(AF87)),I87-AF87,"")</f>
        <v/>
      </c>
      <c r="AX87" s="57" t="str">
        <f>IF(AND(ISNUMBER(AM87),ISNUMBER(G87)),G87-AM87,"")</f>
        <v/>
      </c>
      <c r="AY87" s="57" t="str">
        <f>IF(AND(ISNUMBER(AC87),ISNUMBER(AE87)),AC87-AE87,"")</f>
        <v/>
      </c>
      <c r="AZ87" s="57" t="str">
        <f>IF(AND(ISNUMBER(AL87),ISNUMBER(AM87)),AL87-AM87,"")</f>
        <v/>
      </c>
      <c r="BA87" s="84" t="str">
        <f>IF(AND($E87&gt;0,$W87&gt;0),IF(($E87-$W87)/$E87&gt;0,($E87-$W87)/$E87,0),"")</f>
        <v/>
      </c>
      <c r="BB87" s="84">
        <f>IF(AND($I87&gt;0,$AF87&gt;=0),IF(($I87-$AF87)/$I87&gt;0,($I87-$AF87)/$I87,0),"")</f>
        <v>1</v>
      </c>
      <c r="BC87" s="84">
        <f>IF(AND($AG87&gt;=0,$AD87&gt;=0,$AF87&gt;=0),IF($AG87/($AD87-$AF87)&gt;0,$AG87/($AD87-$AF87),0),"")</f>
        <v>3.6036036036036037E-3</v>
      </c>
      <c r="BD87" s="84" t="str">
        <f>IF(AND($G87&gt;0,$AM87&gt;0),IF(($G87-$AM87)/$G87&gt;0,($G87-$AM87)/$G87,0),"")</f>
        <v/>
      </c>
      <c r="BE87" s="6">
        <f>IF((AD87-AF87)/(AJ87/60)&lt;=0,"",(AD87-AF87)/(AJ87/60))</f>
        <v>7.6114285714285712</v>
      </c>
      <c r="BF87" s="6" t="str">
        <f>IF(OR(AJ87=0,AP87=0,NOT(ISNUMBER(AD87)),NOT(ISNUMBER(AF87)),NOT(ISNUMBER(AJ87)),NOT(ISNUMBER(AP87))),"",
IFERROR(IF((AD87-AF87)/(AJ87/60)/(AP87/1000)&lt;=0,"",(AD87-AF87)/(AJ87/60)/(AP87/1000)),""))</f>
        <v/>
      </c>
    </row>
    <row r="88" spans="1:58" ht="15.75">
      <c r="B88" s="134">
        <v>45348</v>
      </c>
      <c r="C88" s="133"/>
      <c r="D88" s="3">
        <v>83</v>
      </c>
      <c r="E88" s="205" t="str">
        <f t="shared" si="7"/>
        <v/>
      </c>
      <c r="G88" s="124">
        <v>30.399999999999995</v>
      </c>
      <c r="I88" s="15">
        <f>AD88</f>
        <v>20</v>
      </c>
      <c r="K88" s="10" t="str">
        <f t="shared" si="4"/>
        <v/>
      </c>
      <c r="L88" s="9" t="str">
        <f t="shared" si="5"/>
        <v/>
      </c>
      <c r="M88" s="8">
        <f t="shared" si="6"/>
        <v>1.3157894736842108</v>
      </c>
      <c r="X88" s="6">
        <v>0.28000000000000003</v>
      </c>
      <c r="AB88" s="5">
        <v>80</v>
      </c>
      <c r="AC88" s="4">
        <v>27.7</v>
      </c>
      <c r="AD88" s="1">
        <f>4*5</f>
        <v>20</v>
      </c>
      <c r="AE88" s="1">
        <v>30.1</v>
      </c>
      <c r="AF88" s="168">
        <v>1E-3</v>
      </c>
      <c r="AG88">
        <v>0.09</v>
      </c>
      <c r="AH88" s="119">
        <v>0.52083333333333337</v>
      </c>
      <c r="AJ88" s="1">
        <v>175</v>
      </c>
      <c r="AK88" s="3">
        <v>180</v>
      </c>
      <c r="AL88" s="4">
        <v>30.1</v>
      </c>
      <c r="AM88" s="1">
        <v>27.2</v>
      </c>
      <c r="AN88" s="80">
        <f>360-AK88-AB88</f>
        <v>100</v>
      </c>
      <c r="AO88" s="165"/>
      <c r="AP88" s="13">
        <f>AVERAGE(AO86:AO92)</f>
        <v>4060.0000000000364</v>
      </c>
      <c r="AQ88" s="15" t="str">
        <f>IF(ISNUMBER([2]HRT_SRT!R142),[2]HRT_SRT!R142,"")</f>
        <v/>
      </c>
      <c r="AR88" s="156" t="e">
        <f>(E88-W88)/E88</f>
        <v>#VALUE!</v>
      </c>
      <c r="AS88" s="155">
        <f>(I88-AF88)/I88</f>
        <v>0.99994999999999989</v>
      </c>
      <c r="AT88" s="155">
        <f>AG88/(AD88-AF88)</f>
        <v>4.500225011250563E-3</v>
      </c>
      <c r="AU88" s="155">
        <f>(G88-AM88)/G88</f>
        <v>0.10526315789473673</v>
      </c>
      <c r="AV88" s="57" t="str">
        <f>IF(AND(ISNUMBER(E88),ISNUMBER(W88)),E88-W88,"")</f>
        <v/>
      </c>
      <c r="AW88" s="57">
        <f>IF(AND(ISNUMBER(I88),ISNUMBER(AF88)),I88-AF88,"")</f>
        <v>19.998999999999999</v>
      </c>
      <c r="AX88" s="57">
        <f>IF(AND(ISNUMBER(AM88),ISNUMBER(G88)),G88-AM88,"")</f>
        <v>3.1999999999999957</v>
      </c>
      <c r="AY88" s="57">
        <f>IF(AND(ISNUMBER(AC88),ISNUMBER(AE88)),AC88-AE88,"")</f>
        <v>-2.4000000000000021</v>
      </c>
      <c r="AZ88" s="57">
        <f>IF(AND(ISNUMBER(AL88),ISNUMBER(AM88)),AL88-AM88,"")</f>
        <v>2.9000000000000021</v>
      </c>
      <c r="BA88" s="84" t="str">
        <f>IF(AND($E88&gt;0,$W88&gt;0),IF(($E88-$W88)/$E88&gt;0,($E88-$W88)/$E88,0),"")</f>
        <v/>
      </c>
      <c r="BB88" s="84">
        <f>IF(AND($I88&gt;0,$AF88&gt;=0),IF(($I88-$AF88)/$I88&gt;0,($I88-$AF88)/$I88,0),"")</f>
        <v>0.99994999999999989</v>
      </c>
      <c r="BC88" s="84">
        <f>IF(AND($AG88&gt;=0,$AD88&gt;=0,$AF88&gt;=0),IF($AG88/($AD88-$AF88)&gt;0,$AG88/($AD88-$AF88),0),"")</f>
        <v>4.500225011250563E-3</v>
      </c>
      <c r="BD88" s="84">
        <f>IF(AND($G88&gt;0,$AM88&gt;0),IF(($G88-$AM88)/$G88&gt;0,($G88-$AM88)/$G88,0),"")</f>
        <v>0.10526315789473673</v>
      </c>
      <c r="BE88" s="6">
        <f>IF((AD88-AF88)/(AJ88/60)&lt;=0,"",(AD88-AF88)/(AJ88/60))</f>
        <v>6.8567999999999998</v>
      </c>
      <c r="BF88" s="6">
        <f>IF(OR(AJ88=0,AP88=0,NOT(ISNUMBER(AD88)),NOT(ISNUMBER(AF88)),NOT(ISNUMBER(AJ88)),NOT(ISNUMBER(AP88))),"",
IFERROR(IF((AD88-AF88)/(AJ88/60)/(AP88/1000)&lt;=0,"",(AD88-AF88)/(AJ88/60)/(AP88/1000)),""))</f>
        <v>1.6888669950738766</v>
      </c>
    </row>
    <row r="89" spans="1:58" ht="15.75">
      <c r="B89" s="134">
        <v>45349</v>
      </c>
      <c r="C89" s="133"/>
      <c r="D89" s="3">
        <v>84</v>
      </c>
      <c r="E89" s="205">
        <f t="shared" si="7"/>
        <v>361.61693000000002</v>
      </c>
      <c r="G89" s="15">
        <f>(N89*18-H89*18)/9</f>
        <v>30.399999999999995</v>
      </c>
      <c r="H89" s="9">
        <v>12</v>
      </c>
      <c r="I89" s="15">
        <f>AD89</f>
        <v>24.5</v>
      </c>
      <c r="K89" s="10">
        <f t="shared" si="4"/>
        <v>11.895293750000002</v>
      </c>
      <c r="L89" s="9">
        <f t="shared" si="5"/>
        <v>7.3799373469387763</v>
      </c>
      <c r="M89" s="8">
        <f t="shared" si="6"/>
        <v>1.6118421052631582</v>
      </c>
      <c r="N89" s="7">
        <v>27.2</v>
      </c>
      <c r="O89" s="6">
        <v>129.16300000000001</v>
      </c>
      <c r="P89" s="6">
        <v>28.396000000000001</v>
      </c>
      <c r="Q89" s="6">
        <f>O89*1.067</f>
        <v>137.81692100000001</v>
      </c>
      <c r="R89" s="6">
        <f>P89*1.514</f>
        <v>42.991544000000005</v>
      </c>
      <c r="S89" s="23">
        <f>P89*1.514+O89*1.067</f>
        <v>180.80846500000001</v>
      </c>
      <c r="T89" s="6">
        <v>29</v>
      </c>
      <c r="W89" s="6">
        <f>2.426+3.542</f>
        <v>5.968</v>
      </c>
      <c r="X89" s="6">
        <v>0.28999999999999998</v>
      </c>
      <c r="AB89" s="5">
        <v>80</v>
      </c>
      <c r="AC89" s="7">
        <f>T89</f>
        <v>29</v>
      </c>
      <c r="AD89" s="1">
        <f>5*4.9</f>
        <v>24.5</v>
      </c>
      <c r="AE89" s="1">
        <v>28.6</v>
      </c>
      <c r="AF89" s="168">
        <v>1E-3</v>
      </c>
      <c r="AG89">
        <v>0.1</v>
      </c>
      <c r="AH89" s="119">
        <v>0.52083333333333337</v>
      </c>
      <c r="AJ89" s="1">
        <v>175</v>
      </c>
      <c r="AK89" s="3">
        <v>180</v>
      </c>
      <c r="AL89" s="4">
        <f>AE89</f>
        <v>28.6</v>
      </c>
      <c r="AM89" s="1">
        <f>26.8</f>
        <v>26.8</v>
      </c>
      <c r="AN89" s="80">
        <f>360-AK89-AB89</f>
        <v>100</v>
      </c>
      <c r="AO89" s="182">
        <v>4060.0000000000364</v>
      </c>
      <c r="AP89" s="13">
        <f>AVERAGE(AO87:AO93)</f>
        <v>4060.0000000000364</v>
      </c>
      <c r="AQ89" s="15">
        <f>IF(ISNUMBER([2]HRT_SRT!R143),[2]HRT_SRT!R143,"")</f>
        <v>17.466539196940555</v>
      </c>
      <c r="AR89" s="156">
        <f>(E89-W89)/E89</f>
        <v>0.98349634791711771</v>
      </c>
      <c r="AS89" s="155">
        <f>(I89-AF89)/I89</f>
        <v>0.99995918367346937</v>
      </c>
      <c r="AT89" s="155">
        <f>AG89/(AD89-AF89)</f>
        <v>4.0817992571125358E-3</v>
      </c>
      <c r="AU89" s="155">
        <f>(G89-AM89)/G89</f>
        <v>0.11842105263157877</v>
      </c>
      <c r="AV89" s="57">
        <f>IF(AND(ISNUMBER(E89),ISNUMBER(W89)),E89-W89,"")</f>
        <v>355.64893000000001</v>
      </c>
      <c r="AW89" s="57">
        <f>IF(AND(ISNUMBER(I89),ISNUMBER(AF89)),I89-AF89,"")</f>
        <v>24.498999999999999</v>
      </c>
      <c r="AX89" s="57">
        <f>IF(AND(ISNUMBER(AM89),ISNUMBER(G89)),G89-AM89,"")</f>
        <v>3.5999999999999943</v>
      </c>
      <c r="AY89" s="57">
        <f>IF(AND(ISNUMBER(AC89),ISNUMBER(AE89)),AC89-AE89,"")</f>
        <v>0.39999999999999858</v>
      </c>
      <c r="AZ89" s="57">
        <f>IF(AND(ISNUMBER(AL89),ISNUMBER(AM89)),AL89-AM89,"")</f>
        <v>1.8000000000000007</v>
      </c>
      <c r="BA89" s="84">
        <f>IF(AND($E89&gt;0,$W89&gt;0),IF(($E89-$W89)/$E89&gt;0,($E89-$W89)/$E89,0),"")</f>
        <v>0.98349634791711771</v>
      </c>
      <c r="BB89" s="84">
        <f>IF(AND($I89&gt;0,$AF89&gt;=0),IF(($I89-$AF89)/$I89&gt;0,($I89-$AF89)/$I89,0),"")</f>
        <v>0.99995918367346937</v>
      </c>
      <c r="BC89" s="84">
        <f>IF(AND($AG89&gt;=0,$AD89&gt;=0,$AF89&gt;=0),IF($AG89/($AD89-$AF89)&gt;0,$AG89/($AD89-$AF89),0),"")</f>
        <v>4.0817992571125358E-3</v>
      </c>
      <c r="BD89" s="84">
        <f>IF(AND($G89&gt;0,$AM89&gt;0),IF(($G89-$AM89)/$G89&gt;0,($G89-$AM89)/$G89,0),"")</f>
        <v>0.11842105263157877</v>
      </c>
      <c r="BE89" s="6">
        <f>IF((AD89-AF89)/(AJ89/60)&lt;=0,"",(AD89-AF89)/(AJ89/60))</f>
        <v>8.3996571428571425</v>
      </c>
      <c r="BF89" s="6">
        <f>IF(OR(AJ89=0,AP89=0,NOT(ISNUMBER(AD89)),NOT(ISNUMBER(AF89)),NOT(ISNUMBER(AJ89)),NOT(ISNUMBER(AP89))),"",
IFERROR(IF((AD89-AF89)/(AJ89/60)/(AP89/1000)&lt;=0,"",(AD89-AF89)/(AJ89/60)/(AP89/1000)),""))</f>
        <v>2.0688810696692284</v>
      </c>
    </row>
    <row r="90" spans="1:58" ht="15.75">
      <c r="B90" s="134">
        <v>45350</v>
      </c>
      <c r="C90" s="133"/>
      <c r="D90" s="3">
        <v>85</v>
      </c>
      <c r="E90" s="205" t="str">
        <f t="shared" si="7"/>
        <v/>
      </c>
      <c r="G90" s="15">
        <f>(N90*18-H90*18)/9</f>
        <v>26.399999999999995</v>
      </c>
      <c r="H90" s="9">
        <v>13.5</v>
      </c>
      <c r="I90" s="15">
        <f>AD90</f>
        <v>25.25</v>
      </c>
      <c r="K90" s="10" t="str">
        <f t="shared" si="4"/>
        <v/>
      </c>
      <c r="L90" s="9" t="str">
        <f t="shared" si="5"/>
        <v/>
      </c>
      <c r="M90" s="8">
        <f t="shared" si="6"/>
        <v>1.9128787878787883</v>
      </c>
      <c r="N90" s="7">
        <v>26.7</v>
      </c>
      <c r="X90" s="6">
        <v>1.67</v>
      </c>
      <c r="AB90" s="5">
        <v>80</v>
      </c>
      <c r="AD90" s="168">
        <f>(AD89+AD91)/2</f>
        <v>25.25</v>
      </c>
      <c r="AE90" s="1">
        <v>26.6</v>
      </c>
      <c r="AF90" s="1">
        <v>0.108</v>
      </c>
      <c r="AG90">
        <v>0.1</v>
      </c>
      <c r="AH90" s="119">
        <v>0.52083333333333337</v>
      </c>
      <c r="AJ90" s="1">
        <v>175</v>
      </c>
      <c r="AK90" s="3">
        <v>180</v>
      </c>
      <c r="AL90" s="4">
        <f>AE90</f>
        <v>26.6</v>
      </c>
      <c r="AM90" s="1">
        <v>24.2</v>
      </c>
      <c r="AN90" s="80">
        <f>360-AK90-AB90</f>
        <v>100</v>
      </c>
      <c r="AO90" s="182"/>
      <c r="AP90" s="13">
        <f>AVERAGE(AO88:AO94)</f>
        <v>4060.0000000000364</v>
      </c>
      <c r="AQ90" s="15" t="str">
        <f>IF(ISNUMBER([2]HRT_SRT!R144),[2]HRT_SRT!R144,"")</f>
        <v/>
      </c>
      <c r="AR90" s="156" t="e">
        <f>(E90-W90)/E90</f>
        <v>#VALUE!</v>
      </c>
      <c r="AS90" s="155">
        <f>(I90-AF90)/I90</f>
        <v>0.99572277227722772</v>
      </c>
      <c r="AT90" s="155">
        <f>AG90/(AD90-AF90)</f>
        <v>3.9774083207382077E-3</v>
      </c>
      <c r="AU90" s="155">
        <f>(G90-AM90)/G90</f>
        <v>8.333333333333319E-2</v>
      </c>
      <c r="AV90" s="57" t="str">
        <f>IF(AND(ISNUMBER(E90),ISNUMBER(W90)),E90-W90,"")</f>
        <v/>
      </c>
      <c r="AW90" s="57">
        <f>IF(AND(ISNUMBER(I90),ISNUMBER(AF90)),I90-AF90,"")</f>
        <v>25.141999999999999</v>
      </c>
      <c r="AX90" s="57">
        <f>IF(AND(ISNUMBER(AM90),ISNUMBER(G90)),G90-AM90,"")</f>
        <v>2.1999999999999957</v>
      </c>
      <c r="AY90" s="57" t="str">
        <f>IF(AND(ISNUMBER(AC90),ISNUMBER(AE90)),AC90-AE90,"")</f>
        <v/>
      </c>
      <c r="AZ90" s="57">
        <f>IF(AND(ISNUMBER(AL90),ISNUMBER(AM90)),AL90-AM90,"")</f>
        <v>2.4000000000000021</v>
      </c>
      <c r="BA90" s="84" t="str">
        <f>IF(AND($E90&gt;0,$W90&gt;0),IF(($E90-$W90)/$E90&gt;0,($E90-$W90)/$E90,0),"")</f>
        <v/>
      </c>
      <c r="BB90" s="84">
        <f>IF(AND($I90&gt;0,$AF90&gt;=0),IF(($I90-$AF90)/$I90&gt;0,($I90-$AF90)/$I90,0),"")</f>
        <v>0.99572277227722772</v>
      </c>
      <c r="BC90" s="84">
        <f>IF(AND($AG90&gt;=0,$AD90&gt;=0,$AF90&gt;=0),IF($AG90/($AD90-$AF90)&gt;0,$AG90/($AD90-$AF90),0),"")</f>
        <v>3.9774083207382077E-3</v>
      </c>
      <c r="BD90" s="84">
        <f>IF(AND($G90&gt;0,$AM90&gt;0),IF(($G90-$AM90)/$G90&gt;0,($G90-$AM90)/$G90,0),"")</f>
        <v>8.333333333333319E-2</v>
      </c>
      <c r="BE90" s="6">
        <f>IF((AD90-AF90)/(AJ90/60)&lt;=0,"",(AD90-AF90)/(AJ90/60))</f>
        <v>8.6201142857142852</v>
      </c>
      <c r="BF90" s="6">
        <f>IF(OR(AJ90=0,AP90=0,NOT(ISNUMBER(AD90)),NOT(ISNUMBER(AF90)),NOT(ISNUMBER(AJ90)),NOT(ISNUMBER(AP90))),"",
IFERROR(IF((AD90-AF90)/(AJ90/60)/(AP90/1000)&lt;=0,"",(AD90-AF90)/(AJ90/60)/(AP90/1000)),""))</f>
        <v>2.1231808585502976</v>
      </c>
    </row>
    <row r="91" spans="1:58" ht="15.75">
      <c r="B91" s="134">
        <v>45351</v>
      </c>
      <c r="C91" s="133"/>
      <c r="D91" s="3">
        <v>86</v>
      </c>
      <c r="E91" s="205" t="str">
        <f t="shared" si="7"/>
        <v/>
      </c>
      <c r="G91" s="15">
        <f>(N91*18-H91*18)/9</f>
        <v>23.6</v>
      </c>
      <c r="H91" s="9">
        <v>12.3</v>
      </c>
      <c r="I91" s="15">
        <f>AD91</f>
        <v>26</v>
      </c>
      <c r="K91" s="10" t="str">
        <f t="shared" si="4"/>
        <v/>
      </c>
      <c r="L91" s="9" t="str">
        <f t="shared" si="5"/>
        <v/>
      </c>
      <c r="M91" s="8">
        <f t="shared" si="6"/>
        <v>2.2033898305084745</v>
      </c>
      <c r="N91" s="7">
        <v>24.1</v>
      </c>
      <c r="T91" s="6">
        <v>27.1</v>
      </c>
      <c r="X91" s="6">
        <v>2.33</v>
      </c>
      <c r="AB91" s="5">
        <v>80</v>
      </c>
      <c r="AC91" s="7">
        <f>T91</f>
        <v>27.1</v>
      </c>
      <c r="AD91" s="1">
        <f>5*5.2</f>
        <v>26</v>
      </c>
      <c r="AE91" s="1">
        <v>22.9</v>
      </c>
      <c r="AF91" s="168">
        <v>1E-3</v>
      </c>
      <c r="AG91">
        <v>0.09</v>
      </c>
      <c r="AH91" s="119">
        <v>0.52083333333333337</v>
      </c>
      <c r="AJ91" s="1">
        <v>175</v>
      </c>
      <c r="AK91" s="3">
        <v>180</v>
      </c>
      <c r="AL91" s="4">
        <f>AE91</f>
        <v>22.9</v>
      </c>
      <c r="AM91" s="1">
        <v>20.5</v>
      </c>
      <c r="AN91" s="80">
        <f>360-AK91-AB91</f>
        <v>100</v>
      </c>
      <c r="AO91" s="182"/>
      <c r="AP91" s="13">
        <f>AVERAGE(AO89:AO95)</f>
        <v>4060.0000000000364</v>
      </c>
      <c r="AQ91" s="15" t="str">
        <f>IF(ISNUMBER([2]HRT_SRT!R145),[2]HRT_SRT!R145,"")</f>
        <v/>
      </c>
      <c r="AR91" s="156" t="e">
        <f>(E91-W91)/E91</f>
        <v>#VALUE!</v>
      </c>
      <c r="AS91" s="155">
        <f>(I91-AF91)/I91</f>
        <v>0.99996153846153846</v>
      </c>
      <c r="AT91" s="155">
        <f>AG91/(AD91-AF91)</f>
        <v>3.4616716027539522E-3</v>
      </c>
      <c r="AU91" s="155">
        <f>(G91-AM91)/G91</f>
        <v>0.13135593220338987</v>
      </c>
      <c r="AV91" s="57" t="str">
        <f>IF(AND(ISNUMBER(E91),ISNUMBER(W91)),E91-W91,"")</f>
        <v/>
      </c>
      <c r="AW91" s="57">
        <f>IF(AND(ISNUMBER(I91),ISNUMBER(AF91)),I91-AF91,"")</f>
        <v>25.998999999999999</v>
      </c>
      <c r="AX91" s="57">
        <f>IF(AND(ISNUMBER(AM91),ISNUMBER(G91)),G91-AM91,"")</f>
        <v>3.1000000000000014</v>
      </c>
      <c r="AY91" s="57">
        <f>IF(AND(ISNUMBER(AC91),ISNUMBER(AE91)),AC91-AE91,"")</f>
        <v>4.2000000000000028</v>
      </c>
      <c r="AZ91" s="57">
        <f>IF(AND(ISNUMBER(AL91),ISNUMBER(AM91)),AL91-AM91,"")</f>
        <v>2.3999999999999986</v>
      </c>
      <c r="BA91" s="84" t="str">
        <f>IF(AND($E91&gt;0,$W91&gt;0),IF(($E91-$W91)/$E91&gt;0,($E91-$W91)/$E91,0),"")</f>
        <v/>
      </c>
      <c r="BB91" s="84">
        <f>IF(AND($I91&gt;0,$AF91&gt;=0),IF(($I91-$AF91)/$I91&gt;0,($I91-$AF91)/$I91,0),"")</f>
        <v>0.99996153846153846</v>
      </c>
      <c r="BC91" s="84">
        <f>IF(AND($AG91&gt;=0,$AD91&gt;=0,$AF91&gt;=0),IF($AG91/($AD91-$AF91)&gt;0,$AG91/($AD91-$AF91),0),"")</f>
        <v>3.4616716027539522E-3</v>
      </c>
      <c r="BD91" s="84">
        <f>IF(AND($G91&gt;0,$AM91&gt;0),IF(($G91-$AM91)/$G91&gt;0,($G91-$AM91)/$G91,0),"")</f>
        <v>0.13135593220338987</v>
      </c>
      <c r="BE91" s="6">
        <f>IF((AD91-AF91)/(AJ91/60)&lt;=0,"",(AD91-AF91)/(AJ91/60))</f>
        <v>8.9139428571428567</v>
      </c>
      <c r="BF91" s="6">
        <f>IF(OR(AJ91=0,AP91=0,NOT(ISNUMBER(AD91)),NOT(ISNUMBER(AF91)),NOT(ISNUMBER(AJ91)),NOT(ISNUMBER(AP91))),"",
IFERROR(IF((AD91-AF91)/(AJ91/60)/(AP91/1000)&lt;=0,"",(AD91-AF91)/(AJ91/60)/(AP91/1000)),""))</f>
        <v>2.1955524278676792</v>
      </c>
    </row>
    <row r="92" spans="1:58" ht="15.75">
      <c r="B92" s="134">
        <v>45352</v>
      </c>
      <c r="C92" s="133"/>
      <c r="D92" s="3">
        <v>87</v>
      </c>
      <c r="E92" s="205" t="str">
        <f t="shared" si="7"/>
        <v/>
      </c>
      <c r="I92" s="15">
        <f>AD92</f>
        <v>25.516666666666666</v>
      </c>
      <c r="K92" s="10" t="str">
        <f t="shared" si="4"/>
        <v/>
      </c>
      <c r="L92" s="9" t="str">
        <f t="shared" si="5"/>
        <v/>
      </c>
      <c r="M92" s="8" t="str">
        <f t="shared" si="6"/>
        <v/>
      </c>
      <c r="X92" s="6">
        <v>1.03</v>
      </c>
      <c r="AB92" s="5">
        <v>80</v>
      </c>
      <c r="AD92" s="168">
        <f>(AD91*2/3+AD95*1/3)</f>
        <v>25.516666666666666</v>
      </c>
      <c r="AG92">
        <v>0.18</v>
      </c>
      <c r="AH92" s="119">
        <v>0.52650462962962963</v>
      </c>
      <c r="AJ92" s="1">
        <v>175</v>
      </c>
      <c r="AK92" s="3">
        <v>180</v>
      </c>
      <c r="AN92" s="80">
        <f>360-AK92-AB92</f>
        <v>100</v>
      </c>
      <c r="AO92" s="182"/>
      <c r="AP92" s="13">
        <f>AVERAGE(AO90:AO96)</f>
        <v>3530.0000000000182</v>
      </c>
      <c r="AQ92" s="15" t="str">
        <f>IF(ISNUMBER([2]HRT_SRT!R146),[2]HRT_SRT!R146,"")</f>
        <v/>
      </c>
      <c r="AR92" s="156" t="e">
        <f>(E92-W92)/E92</f>
        <v>#VALUE!</v>
      </c>
      <c r="AS92" s="155">
        <f>(I92-AF92)/I92</f>
        <v>1</v>
      </c>
      <c r="AT92" s="155">
        <f>AG92/(AD92-AF92)</f>
        <v>7.0542129327237097E-3</v>
      </c>
      <c r="AU92" s="155" t="e">
        <f>(G92-AM92)/G92</f>
        <v>#DIV/0!</v>
      </c>
      <c r="AV92" s="57" t="str">
        <f>IF(AND(ISNUMBER(E92),ISNUMBER(W92)),E92-W92,"")</f>
        <v/>
      </c>
      <c r="AW92" s="57" t="str">
        <f>IF(AND(ISNUMBER(I92),ISNUMBER(AF92)),I92-AF92,"")</f>
        <v/>
      </c>
      <c r="AX92" s="57" t="str">
        <f>IF(AND(ISNUMBER(AM92),ISNUMBER(G92)),G92-AM92,"")</f>
        <v/>
      </c>
      <c r="AY92" s="57" t="str">
        <f>IF(AND(ISNUMBER(AC92),ISNUMBER(AE92)),AC92-AE92,"")</f>
        <v/>
      </c>
      <c r="AZ92" s="57" t="str">
        <f>IF(AND(ISNUMBER(AL92),ISNUMBER(AM92)),AL92-AM92,"")</f>
        <v/>
      </c>
      <c r="BA92" s="84" t="str">
        <f>IF(AND($E92&gt;0,$W92&gt;0),IF(($E92-$W92)/$E92&gt;0,($E92-$W92)/$E92,0),"")</f>
        <v/>
      </c>
      <c r="BB92" s="84">
        <f>IF(AND($I92&gt;0,$AF92&gt;=0),IF(($I92-$AF92)/$I92&gt;0,($I92-$AF92)/$I92,0),"")</f>
        <v>1</v>
      </c>
      <c r="BC92" s="84">
        <f>IF(AND($AG92&gt;=0,$AD92&gt;=0,$AF92&gt;=0),IF($AG92/($AD92-$AF92)&gt;0,$AG92/($AD92-$AF92),0),"")</f>
        <v>7.0542129327237097E-3</v>
      </c>
      <c r="BD92" s="84" t="str">
        <f>IF(AND($G92&gt;0,$AM92&gt;0),IF(($G92-$AM92)/$G92&gt;0,($G92-$AM92)/$G92,0),"")</f>
        <v/>
      </c>
      <c r="BE92" s="6">
        <f>IF((AD92-AF92)/(AJ92/60)&lt;=0,"",(AD92-AF92)/(AJ92/60))</f>
        <v>8.7485714285714291</v>
      </c>
      <c r="BF92" s="6" t="str">
        <f>IF(OR(AJ92=0,AP92=0,NOT(ISNUMBER(AD92)),NOT(ISNUMBER(AF92)),NOT(ISNUMBER(AJ92)),NOT(ISNUMBER(AP92))),"",
IFERROR(IF((AD92-AF92)/(AJ92/60)/(AP92/1000)&lt;=0,"",(AD92-AF92)/(AJ92/60)/(AP92/1000)),""))</f>
        <v/>
      </c>
    </row>
    <row r="93" spans="1:58" ht="15.75">
      <c r="B93" s="134">
        <v>45353</v>
      </c>
      <c r="C93" s="133"/>
      <c r="D93" s="3">
        <v>88</v>
      </c>
      <c r="E93" s="205" t="str">
        <f t="shared" si="7"/>
        <v/>
      </c>
      <c r="I93" s="15">
        <f>AD93</f>
        <v>25.033333333333331</v>
      </c>
      <c r="K93" s="10" t="str">
        <f t="shared" si="4"/>
        <v/>
      </c>
      <c r="L93" s="9" t="str">
        <f t="shared" si="5"/>
        <v/>
      </c>
      <c r="M93" s="8" t="str">
        <f t="shared" si="6"/>
        <v/>
      </c>
      <c r="X93" s="6">
        <v>0.28000000000000003</v>
      </c>
      <c r="AB93" s="5">
        <v>80</v>
      </c>
      <c r="AD93" s="168">
        <f>(AD92*1/2+AD95*1/2)</f>
        <v>25.033333333333331</v>
      </c>
      <c r="AG93">
        <v>0.11</v>
      </c>
      <c r="AH93" s="119">
        <v>0.52662037037037035</v>
      </c>
      <c r="AJ93" s="1">
        <v>175</v>
      </c>
      <c r="AK93" s="3">
        <v>180</v>
      </c>
      <c r="AN93" s="80">
        <f>360-AK93-AB93</f>
        <v>100</v>
      </c>
      <c r="AO93" s="182"/>
      <c r="AP93" s="13">
        <f>AVERAGE(AO91:AO97)</f>
        <v>3530.0000000000182</v>
      </c>
      <c r="AQ93" s="15" t="str">
        <f>IF(ISNUMBER([2]HRT_SRT!R147),[2]HRT_SRT!R147,"")</f>
        <v/>
      </c>
      <c r="AR93" s="156" t="e">
        <f>(E93-W93)/E93</f>
        <v>#VALUE!</v>
      </c>
      <c r="AS93" s="155">
        <f>(I93-AF93)/I93</f>
        <v>1</v>
      </c>
      <c r="AT93" s="155">
        <f>AG93/(AD93-AF93)</f>
        <v>4.3941411451398141E-3</v>
      </c>
      <c r="AU93" s="155" t="e">
        <f>(G93-AM93)/G93</f>
        <v>#DIV/0!</v>
      </c>
      <c r="AV93" s="57" t="str">
        <f>IF(AND(ISNUMBER(E93),ISNUMBER(W93)),E93-W93,"")</f>
        <v/>
      </c>
      <c r="AW93" s="57" t="str">
        <f>IF(AND(ISNUMBER(I93),ISNUMBER(AF93)),I93-AF93,"")</f>
        <v/>
      </c>
      <c r="AX93" s="57" t="str">
        <f>IF(AND(ISNUMBER(AM93),ISNUMBER(G93)),G93-AM93,"")</f>
        <v/>
      </c>
      <c r="AY93" s="57" t="str">
        <f>IF(AND(ISNUMBER(AC93),ISNUMBER(AE93)),AC93-AE93,"")</f>
        <v/>
      </c>
      <c r="AZ93" s="57" t="str">
        <f>IF(AND(ISNUMBER(AL93),ISNUMBER(AM93)),AL93-AM93,"")</f>
        <v/>
      </c>
      <c r="BA93" s="84" t="str">
        <f>IF(AND($E93&gt;0,$W93&gt;0),IF(($E93-$W93)/$E93&gt;0,($E93-$W93)/$E93,0),"")</f>
        <v/>
      </c>
      <c r="BB93" s="84">
        <f>IF(AND($I93&gt;0,$AF93&gt;=0),IF(($I93-$AF93)/$I93&gt;0,($I93-$AF93)/$I93,0),"")</f>
        <v>1</v>
      </c>
      <c r="BC93" s="84">
        <f>IF(AND($AG93&gt;=0,$AD93&gt;=0,$AF93&gt;=0),IF($AG93/($AD93-$AF93)&gt;0,$AG93/($AD93-$AF93),0),"")</f>
        <v>4.3941411451398141E-3</v>
      </c>
      <c r="BD93" s="84" t="str">
        <f>IF(AND($G93&gt;0,$AM93&gt;0),IF(($G93-$AM93)/$G93&gt;0,($G93-$AM93)/$G93,0),"")</f>
        <v/>
      </c>
      <c r="BE93" s="6">
        <f>IF((AD93-AF93)/(AJ93/60)&lt;=0,"",(AD93-AF93)/(AJ93/60))</f>
        <v>8.5828571428571419</v>
      </c>
      <c r="BF93" s="6" t="str">
        <f>IF(OR(AJ93=0,AP93=0,NOT(ISNUMBER(AD93)),NOT(ISNUMBER(AF93)),NOT(ISNUMBER(AJ93)),NOT(ISNUMBER(AP93))),"",
IFERROR(IF((AD93-AF93)/(AJ93/60)/(AP93/1000)&lt;=0,"",(AD93-AF93)/(AJ93/60)/(AP93/1000)),""))</f>
        <v/>
      </c>
    </row>
    <row r="94" spans="1:58" ht="15.75">
      <c r="A94" s="12" t="s">
        <v>161</v>
      </c>
      <c r="B94" s="134">
        <v>45354</v>
      </c>
      <c r="C94" s="133"/>
      <c r="D94" s="3">
        <v>89</v>
      </c>
      <c r="E94" s="205" t="str">
        <f t="shared" si="7"/>
        <v/>
      </c>
      <c r="I94" s="15">
        <f>AD94</f>
        <v>24.711111111111109</v>
      </c>
      <c r="K94" s="10" t="str">
        <f t="shared" si="4"/>
        <v/>
      </c>
      <c r="L94" s="9" t="str">
        <f t="shared" si="5"/>
        <v/>
      </c>
      <c r="M94" s="8" t="str">
        <f t="shared" si="6"/>
        <v/>
      </c>
      <c r="X94" s="6">
        <v>0.26</v>
      </c>
      <c r="AB94" s="5">
        <v>80</v>
      </c>
      <c r="AD94" s="168">
        <f>(AD93*1/3+AD95*2/3)</f>
        <v>24.711111111111109</v>
      </c>
      <c r="AG94">
        <v>0.23</v>
      </c>
      <c r="AH94" s="119">
        <v>0.52060185185185182</v>
      </c>
      <c r="AJ94" s="1">
        <v>175</v>
      </c>
      <c r="AK94" s="3">
        <v>180</v>
      </c>
      <c r="AM94" s="1">
        <v>27.2</v>
      </c>
      <c r="AN94" s="80">
        <f>360-AK94-AB94</f>
        <v>100</v>
      </c>
      <c r="AO94" s="182"/>
      <c r="AP94" s="13">
        <f>AVERAGE(AO92:AO98)</f>
        <v>3530.0000000000182</v>
      </c>
      <c r="AQ94" s="15" t="str">
        <f>IF(ISNUMBER([2]HRT_SRT!R148),[2]HRT_SRT!R148,"")</f>
        <v/>
      </c>
      <c r="AR94" s="156" t="e">
        <f>(E94-W94)/E94</f>
        <v>#VALUE!</v>
      </c>
      <c r="AS94" s="155">
        <f>(I94-AF94)/I94</f>
        <v>1</v>
      </c>
      <c r="AT94" s="155">
        <f>AG94/(AD94-AF94)</f>
        <v>9.3075539568345331E-3</v>
      </c>
      <c r="AU94" s="155" t="e">
        <f>(G94-AM94)/G94</f>
        <v>#DIV/0!</v>
      </c>
      <c r="AV94" s="57" t="str">
        <f>IF(AND(ISNUMBER(E94),ISNUMBER(W94)),E94-W94,"")</f>
        <v/>
      </c>
      <c r="AW94" s="57" t="str">
        <f>IF(AND(ISNUMBER(I94),ISNUMBER(AF94)),I94-AF94,"")</f>
        <v/>
      </c>
      <c r="AX94" s="57" t="str">
        <f>IF(AND(ISNUMBER(AM94),ISNUMBER(G94)),G94-AM94,"")</f>
        <v/>
      </c>
      <c r="AY94" s="57" t="str">
        <f>IF(AND(ISNUMBER(AC94),ISNUMBER(AE94)),AC94-AE94,"")</f>
        <v/>
      </c>
      <c r="AZ94" s="57" t="str">
        <f>IF(AND(ISNUMBER(AL94),ISNUMBER(AM94)),AL94-AM94,"")</f>
        <v/>
      </c>
      <c r="BA94" s="84" t="str">
        <f>IF(AND($E94&gt;0,$W94&gt;0),IF(($E94-$W94)/$E94&gt;0,($E94-$W94)/$E94,0),"")</f>
        <v/>
      </c>
      <c r="BB94" s="84">
        <f>IF(AND($I94&gt;0,$AF94&gt;=0),IF(($I94-$AF94)/$I94&gt;0,($I94-$AF94)/$I94,0),"")</f>
        <v>1</v>
      </c>
      <c r="BC94" s="84">
        <f>IF(AND($AG94&gt;=0,$AD94&gt;=0,$AF94&gt;=0),IF($AG94/($AD94-$AF94)&gt;0,$AG94/($AD94-$AF94),0),"")</f>
        <v>9.3075539568345331E-3</v>
      </c>
      <c r="BD94" s="84" t="str">
        <f>IF(AND($G94&gt;0,$AM94&gt;0),IF(($G94-$AM94)/$G94&gt;0,($G94-$AM94)/$G94,0),"")</f>
        <v/>
      </c>
      <c r="BE94" s="6">
        <f>IF((AD94-AF94)/(AJ94/60)&lt;=0,"",(AD94-AF94)/(AJ94/60))</f>
        <v>8.4723809523809521</v>
      </c>
      <c r="BF94" s="6" t="str">
        <f>IF(OR(AJ94=0,AP94=0,NOT(ISNUMBER(AD94)),NOT(ISNUMBER(AF94)),NOT(ISNUMBER(AJ94)),NOT(ISNUMBER(AP94))),"",
IFERROR(IF((AD94-AF94)/(AJ94/60)/(AP94/1000)&lt;=0,"",(AD94-AF94)/(AJ94/60)/(AP94/1000)),""))</f>
        <v/>
      </c>
    </row>
    <row r="95" spans="1:58" ht="15.75">
      <c r="B95" s="134">
        <v>45355</v>
      </c>
      <c r="C95" s="133"/>
      <c r="D95" s="3">
        <v>90</v>
      </c>
      <c r="E95" s="205">
        <f t="shared" si="7"/>
        <v>397.95424199999991</v>
      </c>
      <c r="G95" s="15">
        <f>(N95*18-H95*18)/9</f>
        <v>25.8</v>
      </c>
      <c r="H95" s="9">
        <v>13.7</v>
      </c>
      <c r="I95" s="15">
        <f>AD95</f>
        <v>24.55</v>
      </c>
      <c r="K95" s="10">
        <f t="shared" si="4"/>
        <v>15.42458302325581</v>
      </c>
      <c r="L95" s="9">
        <f t="shared" si="5"/>
        <v>8.1049743788187349</v>
      </c>
      <c r="M95" s="8">
        <f t="shared" si="6"/>
        <v>1.9031007751937985</v>
      </c>
      <c r="N95" s="7">
        <v>26.6</v>
      </c>
      <c r="O95" s="6">
        <v>142.03899999999999</v>
      </c>
      <c r="P95" s="6">
        <v>31.321999999999999</v>
      </c>
      <c r="Q95" s="6">
        <f>O95*1.067</f>
        <v>151.55561299999997</v>
      </c>
      <c r="R95" s="6">
        <f>P95*1.514</f>
        <v>47.421507999999996</v>
      </c>
      <c r="S95" s="23">
        <f>P95*1.514+O95*1.067</f>
        <v>198.97712099999995</v>
      </c>
      <c r="T95" s="6">
        <v>28.4</v>
      </c>
      <c r="W95" s="6">
        <v>0.33</v>
      </c>
      <c r="X95" s="6">
        <v>2.04</v>
      </c>
      <c r="AB95" s="5">
        <v>80</v>
      </c>
      <c r="AC95" s="7">
        <f>T95</f>
        <v>28.4</v>
      </c>
      <c r="AD95" s="1">
        <f>5*4.91</f>
        <v>24.55</v>
      </c>
      <c r="AF95" s="168">
        <v>1E-3</v>
      </c>
      <c r="AG95">
        <v>0.1</v>
      </c>
      <c r="AH95" s="119">
        <v>0.52083333333333337</v>
      </c>
      <c r="AJ95" s="1">
        <v>175</v>
      </c>
      <c r="AK95" s="3">
        <v>180</v>
      </c>
      <c r="AM95" s="1">
        <v>24.1</v>
      </c>
      <c r="AN95" s="80">
        <f>360-AK95-AB95</f>
        <v>100</v>
      </c>
      <c r="AO95" s="182"/>
      <c r="AP95" s="13">
        <f>AVERAGE(AO93:AO99)</f>
        <v>3530.0000000000182</v>
      </c>
      <c r="AQ95" s="15" t="str">
        <f>IF(ISNUMBER([2]HRT_SRT!R149),[2]HRT_SRT!R149,"")</f>
        <v/>
      </c>
      <c r="AR95" s="156">
        <f>(E95-W95)/E95</f>
        <v>0.99917075893363638</v>
      </c>
      <c r="AS95" s="155">
        <f>(I95-AF95)/I95</f>
        <v>0.99995926680244396</v>
      </c>
      <c r="AT95" s="155">
        <f>AG95/(AD95-AF95)</f>
        <v>4.0734856816978292E-3</v>
      </c>
      <c r="AU95" s="155">
        <f>(G95-AM95)/G95</f>
        <v>6.5891472868217019E-2</v>
      </c>
      <c r="AV95" s="57">
        <f>IF(AND(ISNUMBER(E95),ISNUMBER(W95)),E95-W95,"")</f>
        <v>397.62424199999992</v>
      </c>
      <c r="AW95" s="57">
        <f>IF(AND(ISNUMBER(I95),ISNUMBER(AF95)),I95-AF95,"")</f>
        <v>24.548999999999999</v>
      </c>
      <c r="AX95" s="57">
        <f>IF(AND(ISNUMBER(AM95),ISNUMBER(G95)),G95-AM95,"")</f>
        <v>1.6999999999999993</v>
      </c>
      <c r="AY95" s="57" t="str">
        <f>IF(AND(ISNUMBER(AC95),ISNUMBER(AE95)),AC95-AE95,"")</f>
        <v/>
      </c>
      <c r="AZ95" s="57" t="str">
        <f>IF(AND(ISNUMBER(AL95),ISNUMBER(AM95)),AL95-AM95,"")</f>
        <v/>
      </c>
      <c r="BA95" s="84">
        <f>IF(AND($E95&gt;0,$W95&gt;0),IF(($E95-$W95)/$E95&gt;0,($E95-$W95)/$E95,0),"")</f>
        <v>0.99917075893363638</v>
      </c>
      <c r="BB95" s="84">
        <f>IF(AND($I95&gt;0,$AF95&gt;=0),IF(($I95-$AF95)/$I95&gt;0,($I95-$AF95)/$I95,0),"")</f>
        <v>0.99995926680244396</v>
      </c>
      <c r="BC95" s="84">
        <f>IF(AND($AG95&gt;=0,$AD95&gt;=0,$AF95&gt;=0),IF($AG95/($AD95-$AF95)&gt;0,$AG95/($AD95-$AF95),0),"")</f>
        <v>4.0734856816978292E-3</v>
      </c>
      <c r="BD95" s="84">
        <f>IF(AND($G95&gt;0,$AM95&gt;0),IF(($G95-$AM95)/$G95&gt;0,($G95-$AM95)/$G95,0),"")</f>
        <v>6.5891472868217019E-2</v>
      </c>
      <c r="BE95" s="6">
        <f>IF((AD95-AF95)/(AJ95/60)&lt;=0,"",(AD95-AF95)/(AJ95/60))</f>
        <v>8.4168000000000003</v>
      </c>
      <c r="BF95" s="6">
        <f>IF(OR(AJ95=0,AP95=0,NOT(ISNUMBER(AD95)),NOT(ISNUMBER(AF95)),NOT(ISNUMBER(AJ95)),NOT(ISNUMBER(AP95))),"",
IFERROR(IF((AD95-AF95)/(AJ95/60)/(AP95/1000)&lt;=0,"",(AD95-AF95)/(AJ95/60)/(AP95/1000)),""))</f>
        <v>2.3843626062322825</v>
      </c>
    </row>
    <row r="96" spans="1:58" ht="15.75">
      <c r="A96" s="112"/>
      <c r="B96" s="134">
        <v>45356</v>
      </c>
      <c r="C96" s="133"/>
      <c r="D96" s="3">
        <v>91</v>
      </c>
      <c r="E96" s="205">
        <f t="shared" si="7"/>
        <v>369.246894</v>
      </c>
      <c r="G96" s="15">
        <f>(N96*18-H96*18)/9</f>
        <v>28.840000000000007</v>
      </c>
      <c r="H96" s="9">
        <v>8.8800000000000008</v>
      </c>
      <c r="I96" s="15">
        <f>AD96</f>
        <v>24.5</v>
      </c>
      <c r="K96" s="10">
        <f t="shared" si="4"/>
        <v>12.80329036061026</v>
      </c>
      <c r="L96" s="9">
        <f t="shared" si="5"/>
        <v>7.5356508979591839</v>
      </c>
      <c r="M96" s="8">
        <f t="shared" si="6"/>
        <v>1.6990291262135919</v>
      </c>
      <c r="N96" s="7">
        <v>23.3</v>
      </c>
      <c r="O96" s="6">
        <v>131.68700000000001</v>
      </c>
      <c r="P96" s="6">
        <v>29.137</v>
      </c>
      <c r="Q96" s="6">
        <f>O96*1.067</f>
        <v>140.510029</v>
      </c>
      <c r="R96" s="6">
        <f>P96*1.514</f>
        <v>44.113418000000003</v>
      </c>
      <c r="S96" s="23">
        <f>P96*1.514+O96*1.067</f>
        <v>184.623447</v>
      </c>
      <c r="T96" s="6">
        <v>27.1</v>
      </c>
      <c r="W96" s="6">
        <f>0.88+0.495</f>
        <v>1.375</v>
      </c>
      <c r="X96" s="6">
        <v>3.66</v>
      </c>
      <c r="AB96" s="5">
        <v>80</v>
      </c>
      <c r="AC96" s="7">
        <f>T96</f>
        <v>27.1</v>
      </c>
      <c r="AD96" s="1">
        <f>5*4.9</f>
        <v>24.5</v>
      </c>
      <c r="AE96" s="1">
        <v>23.7</v>
      </c>
      <c r="AF96" s="168">
        <v>1E-3</v>
      </c>
      <c r="AG96" s="1">
        <v>0.1</v>
      </c>
      <c r="AH96" s="119">
        <v>0.52141203703703709</v>
      </c>
      <c r="AJ96" s="1">
        <v>175</v>
      </c>
      <c r="AK96" s="3">
        <v>180</v>
      </c>
      <c r="AL96" s="4">
        <f>AE96</f>
        <v>23.7</v>
      </c>
      <c r="AM96" s="1">
        <f>19.6</f>
        <v>19.600000000000001</v>
      </c>
      <c r="AN96" s="80">
        <f>360-AK96-AB96</f>
        <v>100</v>
      </c>
      <c r="AO96" s="182">
        <v>3530.0000000000182</v>
      </c>
      <c r="AP96" s="13">
        <f>AVERAGE(AO94:AO100)</f>
        <v>3530.0000000000182</v>
      </c>
      <c r="AQ96" s="15">
        <f>IF(ISNUMBER([2]HRT_SRT!R150),[2]HRT_SRT!R150,"")</f>
        <v>13.530664395229964</v>
      </c>
      <c r="AR96" s="156">
        <f>(E96-W96)/E96</f>
        <v>0.99627620428948005</v>
      </c>
      <c r="AS96" s="155">
        <f>(I96-AF96)/I96</f>
        <v>0.99995918367346937</v>
      </c>
      <c r="AT96" s="155">
        <f>AG96/(AD96-AF96)</f>
        <v>4.0817992571125358E-3</v>
      </c>
      <c r="AU96" s="155">
        <f>(G96-AM96)/G96</f>
        <v>0.32038834951456324</v>
      </c>
      <c r="AV96" s="57">
        <f>IF(AND(ISNUMBER(E96),ISNUMBER(W96)),E96-W96,"")</f>
        <v>367.871894</v>
      </c>
      <c r="AW96" s="57">
        <f>IF(AND(ISNUMBER(I96),ISNUMBER(AF96)),I96-AF96,"")</f>
        <v>24.498999999999999</v>
      </c>
      <c r="AX96" s="57">
        <f>IF(AND(ISNUMBER(AM96),ISNUMBER(G96)),G96-AM96,"")</f>
        <v>9.2400000000000055</v>
      </c>
      <c r="AY96" s="57">
        <f>IF(AND(ISNUMBER(AC96),ISNUMBER(AE96)),AC96-AE96,"")</f>
        <v>3.4000000000000021</v>
      </c>
      <c r="AZ96" s="57">
        <f>IF(AND(ISNUMBER(AL96),ISNUMBER(AM96)),AL96-AM96,"")</f>
        <v>4.0999999999999979</v>
      </c>
      <c r="BA96" s="84">
        <f>IF(AND($E96&gt;0,$W96&gt;0),IF(($E96-$W96)/$E96&gt;0,($E96-$W96)/$E96,0),"")</f>
        <v>0.99627620428948005</v>
      </c>
      <c r="BB96" s="84">
        <f>IF(AND($I96&gt;0,$AF96&gt;=0),IF(($I96-$AF96)/$I96&gt;0,($I96-$AF96)/$I96,0),"")</f>
        <v>0.99995918367346937</v>
      </c>
      <c r="BC96" s="84">
        <f>IF(AND($AG96&gt;=0,$AD96&gt;=0,$AF96&gt;=0),IF($AG96/($AD96-$AF96)&gt;0,$AG96/($AD96-$AF96),0),"")</f>
        <v>4.0817992571125358E-3</v>
      </c>
      <c r="BD96" s="84">
        <f>IF(AND($G96&gt;0,$AM96&gt;0),IF(($G96-$AM96)/$G96&gt;0,($G96-$AM96)/$G96,0),"")</f>
        <v>0.32038834951456324</v>
      </c>
      <c r="BE96" s="6">
        <f>IF((AD96-AF96)/(AJ96/60)&lt;=0,"",(AD96-AF96)/(AJ96/60))</f>
        <v>8.3996571428571425</v>
      </c>
      <c r="BF96" s="6">
        <f>IF(OR(AJ96=0,AP96=0,NOT(ISNUMBER(AD96)),NOT(ISNUMBER(AF96)),NOT(ISNUMBER(AJ96)),NOT(ISNUMBER(AP96))),"",
IFERROR(IF((AD96-AF96)/(AJ96/60)/(AP96/1000)&lt;=0,"",(AD96-AF96)/(AJ96/60)/(AP96/1000)),""))</f>
        <v>2.379506272764051</v>
      </c>
    </row>
    <row r="97" spans="1:58" ht="15.75">
      <c r="B97" s="134">
        <v>45357</v>
      </c>
      <c r="C97" s="133"/>
      <c r="D97" s="3">
        <v>92</v>
      </c>
      <c r="E97" s="205">
        <f t="shared" si="7"/>
        <v>379.99569799999995</v>
      </c>
      <c r="G97" s="15">
        <f>(N97*18-H97*18)/9</f>
        <v>29.800000000000004</v>
      </c>
      <c r="H97" s="9">
        <v>10.1</v>
      </c>
      <c r="I97" s="15">
        <f>AD97</f>
        <v>25.950000000000003</v>
      </c>
      <c r="K97" s="10">
        <f t="shared" si="4"/>
        <v>12.751533489932882</v>
      </c>
      <c r="L97" s="9">
        <f t="shared" si="5"/>
        <v>7.3216897495183026</v>
      </c>
      <c r="M97" s="8">
        <f t="shared" si="6"/>
        <v>1.7416107382550334</v>
      </c>
      <c r="N97" s="7">
        <v>25</v>
      </c>
      <c r="O97" s="6">
        <v>135.72499999999999</v>
      </c>
      <c r="P97" s="6">
        <v>29.841000000000001</v>
      </c>
      <c r="Q97" s="6">
        <f>O97*1.067</f>
        <v>144.81857499999998</v>
      </c>
      <c r="R97" s="6">
        <f>P97*1.514</f>
        <v>45.179273999999999</v>
      </c>
      <c r="S97" s="23">
        <f>P97*1.514+O97*1.067</f>
        <v>189.99784899999997</v>
      </c>
      <c r="T97" s="6">
        <v>30.3</v>
      </c>
      <c r="W97" s="6">
        <f>0.105</f>
        <v>0.105</v>
      </c>
      <c r="X97" s="6">
        <v>1.42</v>
      </c>
      <c r="AB97" s="5">
        <v>80</v>
      </c>
      <c r="AC97" s="7">
        <f>T97</f>
        <v>30.3</v>
      </c>
      <c r="AD97" s="1">
        <f>5*5.19</f>
        <v>25.950000000000003</v>
      </c>
      <c r="AE97" s="1">
        <v>25.3</v>
      </c>
      <c r="AF97" s="1">
        <v>2.2999999999999998</v>
      </c>
      <c r="AG97">
        <v>0.11</v>
      </c>
      <c r="AH97" s="119">
        <v>0.52129629629629626</v>
      </c>
      <c r="AJ97" s="1">
        <v>175</v>
      </c>
      <c r="AK97" s="3">
        <v>180</v>
      </c>
      <c r="AL97" s="4">
        <f>AE97</f>
        <v>25.3</v>
      </c>
      <c r="AM97" s="1">
        <v>20.399999999999999</v>
      </c>
      <c r="AN97" s="80">
        <f>360-AK97-AB97</f>
        <v>100</v>
      </c>
      <c r="AO97" s="182"/>
      <c r="AP97" s="13">
        <f>AVERAGE(AO95:AO101)</f>
        <v>3530.0000000000182</v>
      </c>
      <c r="AQ97" s="15" t="str">
        <f>IF(ISNUMBER([2]HRT_SRT!R151),[2]HRT_SRT!R151,"")</f>
        <v/>
      </c>
      <c r="AR97" s="156">
        <f>(E97-W97)/E97</f>
        <v>0.99972368108230525</v>
      </c>
      <c r="AS97" s="155">
        <f>(I97-AF97)/I97</f>
        <v>0.91136801541425816</v>
      </c>
      <c r="AT97" s="155">
        <f>AG97/(AD97-AF97)</f>
        <v>4.6511627906976744E-3</v>
      </c>
      <c r="AU97" s="155">
        <f>(G97-AM97)/G97</f>
        <v>0.31543624161073841</v>
      </c>
      <c r="AV97" s="57">
        <f>IF(AND(ISNUMBER(E97),ISNUMBER(W97)),E97-W97,"")</f>
        <v>379.89069799999993</v>
      </c>
      <c r="AW97" s="57">
        <f>IF(AND(ISNUMBER(I97),ISNUMBER(AF97)),I97-AF97,"")</f>
        <v>23.650000000000002</v>
      </c>
      <c r="AX97" s="57">
        <f>IF(AND(ISNUMBER(AM97),ISNUMBER(G97)),G97-AM97,"")</f>
        <v>9.4000000000000057</v>
      </c>
      <c r="AY97" s="57">
        <f>IF(AND(ISNUMBER(AC97),ISNUMBER(AE97)),AC97-AE97,"")</f>
        <v>5</v>
      </c>
      <c r="AZ97" s="57">
        <f>IF(AND(ISNUMBER(AL97),ISNUMBER(AM97)),AL97-AM97,"")</f>
        <v>4.9000000000000021</v>
      </c>
      <c r="BA97" s="84">
        <f>IF(AND($E97&gt;0,$W97&gt;0),IF(($E97-$W97)/$E97&gt;0,($E97-$W97)/$E97,0),"")</f>
        <v>0.99972368108230525</v>
      </c>
      <c r="BB97" s="84">
        <f>IF(AND($I97&gt;0,$AF97&gt;=0),IF(($I97-$AF97)/$I97&gt;0,($I97-$AF97)/$I97,0),"")</f>
        <v>0.91136801541425816</v>
      </c>
      <c r="BC97" s="84">
        <f>IF(AND($AG97&gt;=0,$AD97&gt;=0,$AF97&gt;=0),IF($AG97/($AD97-$AF97)&gt;0,$AG97/($AD97-$AF97),0),"")</f>
        <v>4.6511627906976744E-3</v>
      </c>
      <c r="BD97" s="84">
        <f>IF(AND($G97&gt;0,$AM97&gt;0),IF(($G97-$AM97)/$G97&gt;0,($G97-$AM97)/$G97,0),"")</f>
        <v>0.31543624161073841</v>
      </c>
      <c r="BE97" s="6">
        <f>IF((AD97-AF97)/(AJ97/60)&lt;=0,"",(AD97-AF97)/(AJ97/60))</f>
        <v>8.1085714285714303</v>
      </c>
      <c r="BF97" s="6">
        <f>IF(OR(AJ97=0,AP97=0,NOT(ISNUMBER(AD97)),NOT(ISNUMBER(AF97)),NOT(ISNUMBER(AJ97)),NOT(ISNUMBER(AP97))),"",
IFERROR(IF((AD97-AF97)/(AJ97/60)/(AP97/1000)&lt;=0,"",(AD97-AF97)/(AJ97/60)/(AP97/1000)),""))</f>
        <v>2.2970457304734815</v>
      </c>
    </row>
    <row r="98" spans="1:58" ht="15.75">
      <c r="B98" s="134">
        <v>45358</v>
      </c>
      <c r="C98" s="133"/>
      <c r="D98" s="3">
        <v>93</v>
      </c>
      <c r="E98" s="205" t="str">
        <f t="shared" si="7"/>
        <v/>
      </c>
      <c r="I98" s="15">
        <f>AD98</f>
        <v>24.9</v>
      </c>
      <c r="K98" s="10" t="str">
        <f t="shared" si="4"/>
        <v/>
      </c>
      <c r="L98" s="9" t="str">
        <f t="shared" si="5"/>
        <v/>
      </c>
      <c r="M98" s="8" t="str">
        <f t="shared" si="6"/>
        <v/>
      </c>
      <c r="X98" s="6">
        <v>8.36</v>
      </c>
      <c r="AB98" s="5">
        <v>80</v>
      </c>
      <c r="AD98" s="168">
        <f>(AD97+AD99)/2</f>
        <v>24.9</v>
      </c>
      <c r="AG98">
        <v>2.3199999999999998</v>
      </c>
      <c r="AH98" s="183">
        <v>45358</v>
      </c>
      <c r="AJ98" s="1">
        <v>175</v>
      </c>
      <c r="AK98" s="3">
        <v>180</v>
      </c>
      <c r="AN98" s="80">
        <f>360-AK98-AB98</f>
        <v>100</v>
      </c>
      <c r="AO98" s="182"/>
      <c r="AP98" s="13">
        <f>AVERAGE(AO96:AO102)</f>
        <v>3530.0000000000182</v>
      </c>
      <c r="AQ98" s="15" t="str">
        <f>IF(ISNUMBER([2]HRT_SRT!R152),[2]HRT_SRT!R152,"")</f>
        <v/>
      </c>
      <c r="AR98" s="156" t="e">
        <f>(E98-W98)/E98</f>
        <v>#VALUE!</v>
      </c>
      <c r="AS98" s="155">
        <f>(I98-AF98)/I98</f>
        <v>1</v>
      </c>
      <c r="AT98" s="155">
        <f>AG98/(AD98-AF98)</f>
        <v>9.3172690763052207E-2</v>
      </c>
      <c r="AU98" s="155" t="e">
        <f>(G98-AM98)/G98</f>
        <v>#DIV/0!</v>
      </c>
      <c r="AV98" s="57" t="str">
        <f>IF(AND(ISNUMBER(E98),ISNUMBER(W98)),E98-W98,"")</f>
        <v/>
      </c>
      <c r="AW98" s="57" t="str">
        <f>IF(AND(ISNUMBER(I98),ISNUMBER(AF98)),I98-AF98,"")</f>
        <v/>
      </c>
      <c r="AX98" s="57" t="str">
        <f>IF(AND(ISNUMBER(AM98),ISNUMBER(G98)),G98-AM98,"")</f>
        <v/>
      </c>
      <c r="AY98" s="57" t="str">
        <f>IF(AND(ISNUMBER(AC98),ISNUMBER(AE98)),AC98-AE98,"")</f>
        <v/>
      </c>
      <c r="AZ98" s="57" t="str">
        <f>IF(AND(ISNUMBER(AL98),ISNUMBER(AM98)),AL98-AM98,"")</f>
        <v/>
      </c>
      <c r="BA98" s="84" t="str">
        <f>IF(AND($E98&gt;0,$W98&gt;0),IF(($E98-$W98)/$E98&gt;0,($E98-$W98)/$E98,0),"")</f>
        <v/>
      </c>
      <c r="BB98" s="84">
        <f>IF(AND($I98&gt;0,$AF98&gt;=0),IF(($I98-$AF98)/$I98&gt;0,($I98-$AF98)/$I98,0),"")</f>
        <v>1</v>
      </c>
      <c r="BC98" s="84">
        <f>IF(AND($AG98&gt;=0,$AD98&gt;=0,$AF98&gt;=0),IF($AG98/($AD98-$AF98)&gt;0,$AG98/($AD98-$AF98),0),"")</f>
        <v>9.3172690763052207E-2</v>
      </c>
      <c r="BD98" s="84" t="str">
        <f>IF(AND($G98&gt;0,$AM98&gt;0),IF(($G98-$AM98)/$G98&gt;0,($G98-$AM98)/$G98,0),"")</f>
        <v/>
      </c>
      <c r="BE98" s="6">
        <f>IF((AD98-AF98)/(AJ98/60)&lt;=0,"",(AD98-AF98)/(AJ98/60))</f>
        <v>8.5371428571428574</v>
      </c>
      <c r="BF98" s="6" t="str">
        <f>IF(OR(AJ98=0,AP98=0,NOT(ISNUMBER(AD98)),NOT(ISNUMBER(AF98)),NOT(ISNUMBER(AJ98)),NOT(ISNUMBER(AP98))),"",
IFERROR(IF((AD98-AF98)/(AJ98/60)/(AP98/1000)&lt;=0,"",(AD98-AF98)/(AJ98/60)/(AP98/1000)),""))</f>
        <v/>
      </c>
    </row>
    <row r="99" spans="1:58" ht="15.75">
      <c r="A99" s="12" t="s">
        <v>160</v>
      </c>
      <c r="B99" s="134">
        <v>45359</v>
      </c>
      <c r="C99" s="133"/>
      <c r="D99" s="3">
        <v>94</v>
      </c>
      <c r="E99" s="205">
        <f t="shared" si="7"/>
        <v>381.79304200000001</v>
      </c>
      <c r="G99" s="15">
        <f>(N99*18-H99*18)/9</f>
        <v>24</v>
      </c>
      <c r="H99" s="9">
        <v>15.4</v>
      </c>
      <c r="I99" s="15">
        <f>AD99</f>
        <v>23.849999999999998</v>
      </c>
      <c r="K99" s="10">
        <f t="shared" si="4"/>
        <v>15.908043416666667</v>
      </c>
      <c r="L99" s="9">
        <f t="shared" si="5"/>
        <v>8.0040470020964367</v>
      </c>
      <c r="M99" s="8">
        <f t="shared" si="6"/>
        <v>1.9874999999999998</v>
      </c>
      <c r="N99" s="7">
        <v>27.4</v>
      </c>
      <c r="O99" s="6">
        <v>136.72900000000001</v>
      </c>
      <c r="P99" s="6">
        <v>29.727</v>
      </c>
      <c r="Q99" s="6">
        <f>O99*1.067</f>
        <v>145.88984300000001</v>
      </c>
      <c r="R99" s="6">
        <f>P99*1.514</f>
        <v>45.006678000000001</v>
      </c>
      <c r="S99" s="23">
        <f>P99*1.514+O99*1.067</f>
        <v>190.89652100000001</v>
      </c>
      <c r="T99" s="6">
        <v>32.4</v>
      </c>
      <c r="W99" s="6">
        <v>8.5000000000000006E-2</v>
      </c>
      <c r="X99" s="6">
        <v>0.28000000000000003</v>
      </c>
      <c r="AB99" s="5">
        <v>80</v>
      </c>
      <c r="AC99" s="7">
        <f>T99</f>
        <v>32.4</v>
      </c>
      <c r="AD99" s="1">
        <f>5*4.77</f>
        <v>23.849999999999998</v>
      </c>
      <c r="AE99" s="1">
        <v>32.5</v>
      </c>
      <c r="AF99" s="168">
        <v>1E-3</v>
      </c>
      <c r="AG99">
        <v>0.1</v>
      </c>
      <c r="AH99" s="119">
        <v>0.52222222222222225</v>
      </c>
      <c r="AJ99" s="1">
        <v>175</v>
      </c>
      <c r="AK99" s="3">
        <v>180</v>
      </c>
      <c r="AL99" s="4">
        <f>AE99</f>
        <v>32.5</v>
      </c>
      <c r="AM99" s="1">
        <v>29</v>
      </c>
      <c r="AN99" s="80">
        <f>360-AK99-AB99</f>
        <v>100</v>
      </c>
      <c r="AO99" s="182"/>
      <c r="AP99" s="13">
        <f>AVERAGE(AO97:AO103)</f>
        <v>4589.9999999999636</v>
      </c>
      <c r="AQ99" s="15" t="str">
        <f>IF(ISNUMBER([2]HRT_SRT!R153),[2]HRT_SRT!R153,"")</f>
        <v/>
      </c>
      <c r="AR99" s="156">
        <f>(E99-W99)/E99</f>
        <v>0.99977736629364766</v>
      </c>
      <c r="AS99" s="155">
        <f>(I99-AF99)/I99</f>
        <v>0.99995807127882597</v>
      </c>
      <c r="AT99" s="155">
        <f>AG99/(AD99-AF99)</f>
        <v>4.1930479265378014E-3</v>
      </c>
      <c r="AU99" s="155">
        <f>(G99-AM99)/G99</f>
        <v>-0.20833333333333334</v>
      </c>
      <c r="AV99" s="57">
        <f>IF(AND(ISNUMBER(E99),ISNUMBER(W99)),E99-W99,"")</f>
        <v>381.70804200000003</v>
      </c>
      <c r="AW99" s="57">
        <f>IF(AND(ISNUMBER(I99),ISNUMBER(AF99)),I99-AF99,"")</f>
        <v>23.848999999999997</v>
      </c>
      <c r="AX99" s="57">
        <f>IF(AND(ISNUMBER(AM99),ISNUMBER(G99)),G99-AM99,"")</f>
        <v>-5</v>
      </c>
      <c r="AY99" s="57">
        <f>IF(AND(ISNUMBER(AC99),ISNUMBER(AE99)),AC99-AE99,"")</f>
        <v>-0.10000000000000142</v>
      </c>
      <c r="AZ99" s="57">
        <f>IF(AND(ISNUMBER(AL99),ISNUMBER(AM99)),AL99-AM99,"")</f>
        <v>3.5</v>
      </c>
      <c r="BA99" s="123">
        <f>IF(AND($E99&gt;0,$W99&gt;0),IF(($E99-$W99)/$E99&gt;0,($E99-$W99)/$E99,0),"")</f>
        <v>0.99977736629364766</v>
      </c>
      <c r="BB99" s="123">
        <f>IF(AND($I99&gt;0,$AF99&gt;=0),IF(($I99-$AF99)/$I99&gt;0,($I99-$AF99)/$I99,0),"")</f>
        <v>0.99995807127882597</v>
      </c>
      <c r="BC99" s="123">
        <f>IF(AND($AG99&gt;=0,$AD99&gt;=0,$AF99&gt;=0),IF($AG99/($AD99-$AF99)&gt;0,$AG99/($AD99-$AF99),0),"")</f>
        <v>4.1930479265378014E-3</v>
      </c>
      <c r="BD99" s="123">
        <f>IF(AND($G99&gt;0,$AM99&gt;0),IF(($G99-$AM99)/$G99&gt;0,($G99-$AM99)/$G99,0),"")</f>
        <v>0</v>
      </c>
      <c r="BE99" s="6">
        <f>IF((AD99-AF99)/(AJ99/60)&lt;=0,"",(AD99-AF99)/(AJ99/60))</f>
        <v>8.1768000000000001</v>
      </c>
      <c r="BF99" s="6">
        <f>IF(OR(AJ99=0,AP99=0,NOT(ISNUMBER(AD99)),NOT(ISNUMBER(AF99)),NOT(ISNUMBER(AJ99)),NOT(ISNUMBER(AP99))),"",
IFERROR(IF((AD99-AF99)/(AJ99/60)/(AP99/1000)&lt;=0,"",(AD99-AF99)/(AJ99/60)/(AP99/1000)),""))</f>
        <v>1.7814379084967462</v>
      </c>
    </row>
    <row r="100" spans="1:58" ht="15.75">
      <c r="B100" s="134">
        <v>45360</v>
      </c>
      <c r="C100" s="133"/>
      <c r="D100" s="3">
        <v>95</v>
      </c>
      <c r="E100" s="205" t="str">
        <f t="shared" si="7"/>
        <v/>
      </c>
      <c r="I100" s="15">
        <f>AD100</f>
        <v>24.5</v>
      </c>
      <c r="K100" s="10" t="str">
        <f t="shared" si="4"/>
        <v/>
      </c>
      <c r="L100" s="9" t="str">
        <f t="shared" si="5"/>
        <v/>
      </c>
      <c r="M100" s="8" t="str">
        <f t="shared" si="6"/>
        <v/>
      </c>
      <c r="X100" s="6">
        <v>0.28000000000000003</v>
      </c>
      <c r="AB100" s="5">
        <v>80</v>
      </c>
      <c r="AD100" s="168">
        <f>(AD99*2/3+AD102*1/3)</f>
        <v>24.5</v>
      </c>
      <c r="AG100" s="1">
        <v>0.11</v>
      </c>
      <c r="AH100" s="119">
        <v>0.40127314814814813</v>
      </c>
      <c r="AJ100" s="1">
        <v>175</v>
      </c>
      <c r="AK100" s="3">
        <v>180</v>
      </c>
      <c r="AN100" s="80">
        <f>360-AK100-AB100</f>
        <v>100</v>
      </c>
      <c r="AO100" s="182"/>
      <c r="AP100" s="13">
        <f>AVERAGE(AO98:AO104)</f>
        <v>4589.9999999999636</v>
      </c>
      <c r="AQ100" s="15" t="str">
        <f>IF(ISNUMBER([2]HRT_SRT!R154),[2]HRT_SRT!R154,"")</f>
        <v/>
      </c>
      <c r="AR100" s="156" t="e">
        <f>(E100-W100)/E100</f>
        <v>#VALUE!</v>
      </c>
      <c r="AS100" s="155">
        <f>(I100-AF100)/I100</f>
        <v>1</v>
      </c>
      <c r="AT100" s="155">
        <f>AG100/(AD100-AF100)</f>
        <v>4.489795918367347E-3</v>
      </c>
      <c r="AU100" s="155" t="e">
        <f>(G100-AM100)/G100</f>
        <v>#DIV/0!</v>
      </c>
      <c r="AV100" s="57" t="str">
        <f>IF(AND(ISNUMBER(E100),ISNUMBER(W100)),E100-W100,"")</f>
        <v/>
      </c>
      <c r="AW100" s="57" t="str">
        <f>IF(AND(ISNUMBER(I100),ISNUMBER(AF100)),I100-AF100,"")</f>
        <v/>
      </c>
      <c r="AX100" s="57" t="str">
        <f>IF(AND(ISNUMBER(AM100),ISNUMBER(G100)),G100-AM100,"")</f>
        <v/>
      </c>
      <c r="AY100" s="57" t="str">
        <f>IF(AND(ISNUMBER(AC100),ISNUMBER(AE100)),AC100-AE100,"")</f>
        <v/>
      </c>
      <c r="AZ100" s="57" t="str">
        <f>IF(AND(ISNUMBER(AL100),ISNUMBER(AM100)),AL100-AM100,"")</f>
        <v/>
      </c>
      <c r="BA100" s="123" t="str">
        <f>IF(AND($E100&gt;0,$W100&gt;0),IF(($E100-$W100)/$E100&gt;0,($E100-$W100)/$E100,0),"")</f>
        <v/>
      </c>
      <c r="BB100" s="123">
        <f>IF(AND($I100&gt;0,$AF100&gt;=0),IF(($I100-$AF100)/$I100&gt;0,($I100-$AF100)/$I100,0),"")</f>
        <v>1</v>
      </c>
      <c r="BC100" s="123">
        <f>IF(AND($AG100&gt;=0,$AD100&gt;=0,$AF100&gt;=0),IF($AG100/($AD100-$AF100)&gt;0,$AG100/($AD100-$AF100),0),"")</f>
        <v>4.489795918367347E-3</v>
      </c>
      <c r="BD100" s="123" t="str">
        <f>IF(AND($G100&gt;0,$AM100&gt;0),IF(($G100-$AM100)/$G100&gt;0,($G100-$AM100)/$G100,0),"")</f>
        <v/>
      </c>
      <c r="BE100" s="6">
        <f>IF((AD100-AF100)/(AJ100/60)&lt;=0,"",(AD100-AF100)/(AJ100/60))</f>
        <v>8.4</v>
      </c>
      <c r="BF100" s="6" t="str">
        <f>IF(OR(AJ100=0,AP100=0,NOT(ISNUMBER(AD100)),NOT(ISNUMBER(AF100)),NOT(ISNUMBER(AJ100)),NOT(ISNUMBER(AP100))),"",
IFERROR(IF((AD100-AF100)/(AJ100/60)/(AP100/1000)&lt;=0,"",(AD100-AF100)/(AJ100/60)/(AP100/1000)),""))</f>
        <v/>
      </c>
    </row>
    <row r="101" spans="1:58" ht="15.75">
      <c r="A101" s="12" t="s">
        <v>159</v>
      </c>
      <c r="B101" s="134">
        <v>45361</v>
      </c>
      <c r="C101" s="133"/>
      <c r="D101" s="3">
        <v>96</v>
      </c>
      <c r="E101" s="205" t="str">
        <f t="shared" si="7"/>
        <v/>
      </c>
      <c r="I101" s="15">
        <f>AD101</f>
        <v>25.366666666666667</v>
      </c>
      <c r="K101" s="10" t="str">
        <f t="shared" ref="K101:K164" si="8">IF(OR(E101="",G101="",E101=0,G101=0),"",E101/G101)</f>
        <v/>
      </c>
      <c r="L101" s="9" t="str">
        <f t="shared" ref="L101:L164" si="9">IF(OR(E101="",I101="",E101=0,I101=0),"",E101/(I101*2))</f>
        <v/>
      </c>
      <c r="M101" s="8" t="str">
        <f t="shared" ref="M101:M164" si="10">IF(OR(I101="",G101="",I101=0,G101=0),"",I101*2/G101)</f>
        <v/>
      </c>
      <c r="X101" s="6">
        <v>0.28999999999999998</v>
      </c>
      <c r="AB101" s="5">
        <v>80</v>
      </c>
      <c r="AD101" s="168">
        <f>(AD100*1/3+AD102*2/3)</f>
        <v>25.366666666666667</v>
      </c>
      <c r="AG101" s="1">
        <v>0.12</v>
      </c>
      <c r="AH101" s="119">
        <v>0.39537037037037037</v>
      </c>
      <c r="AJ101" s="1">
        <v>175</v>
      </c>
      <c r="AK101" s="3">
        <v>180</v>
      </c>
      <c r="AN101" s="80">
        <f>360-AK101-AB101</f>
        <v>100</v>
      </c>
      <c r="AO101" s="182"/>
      <c r="AP101" s="13">
        <f>AVERAGE(AO99:AO105)</f>
        <v>4589.9999999999636</v>
      </c>
      <c r="AQ101" s="15" t="str">
        <f>IF(ISNUMBER([2]HRT_SRT!R155),[2]HRT_SRT!R155,"")</f>
        <v/>
      </c>
      <c r="AR101" s="156" t="e">
        <f>(E101-W101)/E101</f>
        <v>#VALUE!</v>
      </c>
      <c r="AS101" s="155">
        <f>(I101-AF101)/I101</f>
        <v>1</v>
      </c>
      <c r="AT101" s="155">
        <f>AG101/(AD101-AF101)</f>
        <v>4.7306176084099868E-3</v>
      </c>
      <c r="AU101" s="155" t="e">
        <f>(G101-AM101)/G101</f>
        <v>#DIV/0!</v>
      </c>
      <c r="AV101" s="57" t="str">
        <f>IF(AND(ISNUMBER(E101),ISNUMBER(W101)),E101-W101,"")</f>
        <v/>
      </c>
      <c r="AW101" s="57" t="str">
        <f>IF(AND(ISNUMBER(I101),ISNUMBER(AF101)),I101-AF101,"")</f>
        <v/>
      </c>
      <c r="AX101" s="57" t="str">
        <f>IF(AND(ISNUMBER(AM101),ISNUMBER(G101)),G101-AM101,"")</f>
        <v/>
      </c>
      <c r="AY101" s="57" t="str">
        <f>IF(AND(ISNUMBER(AC101),ISNUMBER(AE101)),AC101-AE101,"")</f>
        <v/>
      </c>
      <c r="AZ101" s="57" t="str">
        <f>IF(AND(ISNUMBER(AL101),ISNUMBER(AM101)),AL101-AM101,"")</f>
        <v/>
      </c>
      <c r="BA101" s="123" t="str">
        <f>IF(AND($E101&gt;0,$W101&gt;0),IF(($E101-$W101)/$E101&gt;0,($E101-$W101)/$E101,0),"")</f>
        <v/>
      </c>
      <c r="BB101" s="123">
        <f>IF(AND($I101&gt;0,$AF101&gt;=0),IF(($I101-$AF101)/$I101&gt;0,($I101-$AF101)/$I101,0),"")</f>
        <v>1</v>
      </c>
      <c r="BC101" s="123">
        <f>IF(AND($AG101&gt;=0,$AD101&gt;=0,$AF101&gt;=0),IF($AG101/($AD101-$AF101)&gt;0,$AG101/($AD101-$AF101),0),"")</f>
        <v>4.7306176084099868E-3</v>
      </c>
      <c r="BD101" s="123" t="str">
        <f>IF(AND($G101&gt;0,$AM101&gt;0),IF(($G101-$AM101)/$G101&gt;0,($G101-$AM101)/$G101,0),"")</f>
        <v/>
      </c>
      <c r="BE101" s="6">
        <f>IF((AD101-AF101)/(AJ101/60)&lt;=0,"",(AD101-AF101)/(AJ101/60))</f>
        <v>8.6971428571428575</v>
      </c>
      <c r="BF101" s="6" t="str">
        <f>IF(OR(AJ101=0,AP101=0,NOT(ISNUMBER(AD101)),NOT(ISNUMBER(AF101)),NOT(ISNUMBER(AJ101)),NOT(ISNUMBER(AP101))),"",
IFERROR(IF((AD101-AF101)/(AJ101/60)/(AP101/1000)&lt;=0,"",(AD101-AF101)/(AJ101/60)/(AP101/1000)),""))</f>
        <v/>
      </c>
    </row>
    <row r="102" spans="1:58" ht="15.75">
      <c r="A102" s="25" t="s">
        <v>158</v>
      </c>
      <c r="B102" s="134">
        <v>45362</v>
      </c>
      <c r="C102" s="133"/>
      <c r="D102" s="3">
        <v>97</v>
      </c>
      <c r="E102" s="205" t="str">
        <f t="shared" si="7"/>
        <v/>
      </c>
      <c r="G102" s="9" t="e">
        <f>#REF!</f>
        <v>#REF!</v>
      </c>
      <c r="I102" s="15">
        <f>AD102</f>
        <v>25.8</v>
      </c>
      <c r="K102" s="10" t="e">
        <f t="shared" si="8"/>
        <v>#REF!</v>
      </c>
      <c r="L102" s="9" t="str">
        <f t="shared" si="9"/>
        <v/>
      </c>
      <c r="M102" s="8" t="e">
        <f t="shared" si="10"/>
        <v>#REF!</v>
      </c>
      <c r="N102" s="7">
        <v>29.2</v>
      </c>
      <c r="T102" s="6">
        <v>33.1</v>
      </c>
      <c r="X102" s="6">
        <v>1.0900000000000001</v>
      </c>
      <c r="AB102" s="5">
        <v>80</v>
      </c>
      <c r="AC102" s="7">
        <f>T102</f>
        <v>33.1</v>
      </c>
      <c r="AD102" s="1">
        <f>5*5.16</f>
        <v>25.8</v>
      </c>
      <c r="AE102" s="1">
        <v>32.799999999999997</v>
      </c>
      <c r="AF102" s="168">
        <v>1E-3</v>
      </c>
      <c r="AG102" s="1">
        <v>0.14000000000000001</v>
      </c>
      <c r="AH102" s="119">
        <v>0.3991898148148148</v>
      </c>
      <c r="AJ102" s="1">
        <v>175</v>
      </c>
      <c r="AK102" s="3">
        <v>180</v>
      </c>
      <c r="AL102" s="4">
        <f>AE102</f>
        <v>32.799999999999997</v>
      </c>
      <c r="AM102" s="1">
        <v>30.5</v>
      </c>
      <c r="AN102" s="80">
        <f>360-AK102-AB102</f>
        <v>100</v>
      </c>
      <c r="AO102" s="182"/>
      <c r="AP102" s="13">
        <f>AVERAGE(AO100:AO106)</f>
        <v>4589.9999999999636</v>
      </c>
      <c r="AQ102" s="15" t="str">
        <f>IF(ISNUMBER([2]HRT_SRT!R156),[2]HRT_SRT!R156,"")</f>
        <v/>
      </c>
      <c r="AR102" s="156" t="e">
        <f>(E102-W102)/E102</f>
        <v>#VALUE!</v>
      </c>
      <c r="AS102" s="155">
        <f>(I102-AF102)/I102</f>
        <v>0.99996124031007749</v>
      </c>
      <c r="AT102" s="155">
        <f>AG102/(AD102-AF102)</f>
        <v>5.4265669211984967E-3</v>
      </c>
      <c r="AU102" s="155" t="e">
        <f>(G102-AM102)/G102</f>
        <v>#REF!</v>
      </c>
      <c r="AV102" s="57" t="str">
        <f>IF(AND(ISNUMBER(E102),ISNUMBER(W102)),E102-W102,"")</f>
        <v/>
      </c>
      <c r="AW102" s="57">
        <f>IF(AND(ISNUMBER(I102),ISNUMBER(AF102)),I102-AF102,"")</f>
        <v>25.798999999999999</v>
      </c>
      <c r="AX102" s="57" t="str">
        <f>IF(AND(ISNUMBER(AM102),ISNUMBER(G102)),G102-AM102,"")</f>
        <v/>
      </c>
      <c r="AY102" s="57">
        <f>IF(AND(ISNUMBER(AC102),ISNUMBER(AE102)),AC102-AE102,"")</f>
        <v>0.30000000000000426</v>
      </c>
      <c r="AZ102" s="57">
        <f>IF(AND(ISNUMBER(AL102),ISNUMBER(AM102)),AL102-AM102,"")</f>
        <v>2.2999999999999972</v>
      </c>
      <c r="BA102" s="123" t="str">
        <f>IF(AND($E102&gt;0,$W102&gt;0),IF(($E102-$W102)/$E102&gt;0,($E102-$W102)/$E102,0),"")</f>
        <v/>
      </c>
      <c r="BB102" s="123">
        <f>IF(AND($I102&gt;0,$AF102&gt;=0),IF(($I102-$AF102)/$I102&gt;0,($I102-$AF102)/$I102,0),"")</f>
        <v>0.99996124031007749</v>
      </c>
      <c r="BC102" s="123">
        <f>IF(AND($AG102&gt;=0,$AD102&gt;=0,$AF102&gt;=0),IF($AG102/($AD102-$AF102)&gt;0,$AG102/($AD102-$AF102),0),"")</f>
        <v>5.4265669211984967E-3</v>
      </c>
      <c r="BD102" s="123" t="e">
        <f>IF(AND($G102&gt;0,$AM102&gt;0),IF(($G102-$AM102)/$G102&gt;0,($G102-$AM102)/$G102,0),"")</f>
        <v>#REF!</v>
      </c>
      <c r="BE102" s="6">
        <f>IF((AD102-AF102)/(AJ102/60)&lt;=0,"",(AD102-AF102)/(AJ102/60))</f>
        <v>8.8453714285714291</v>
      </c>
      <c r="BF102" s="6">
        <f>IF(OR(AJ102=0,AP102=0,NOT(ISNUMBER(AD102)),NOT(ISNUMBER(AF102)),NOT(ISNUMBER(AJ102)),NOT(ISNUMBER(AP102))),"",
IFERROR(IF((AD102-AF102)/(AJ102/60)/(AP102/1000)&lt;=0,"",(AD102-AF102)/(AJ102/60)/(AP102/1000)),""))</f>
        <v>1.9270961718020696</v>
      </c>
    </row>
    <row r="103" spans="1:58" ht="15.75">
      <c r="A103" s="12" t="s">
        <v>157</v>
      </c>
      <c r="B103" s="134">
        <v>45363</v>
      </c>
      <c r="C103" s="133"/>
      <c r="D103" s="3">
        <v>98</v>
      </c>
      <c r="E103" s="205" t="str">
        <f t="shared" si="7"/>
        <v/>
      </c>
      <c r="G103" s="15">
        <f>(N103*18-H103*18)/9</f>
        <v>25.600000000000005</v>
      </c>
      <c r="H103" s="9">
        <v>11</v>
      </c>
      <c r="I103" s="15">
        <f>AD103</f>
        <v>26.85</v>
      </c>
      <c r="K103" s="10" t="str">
        <f t="shared" si="8"/>
        <v/>
      </c>
      <c r="L103" s="9" t="str">
        <f t="shared" si="9"/>
        <v/>
      </c>
      <c r="M103" s="8">
        <f t="shared" si="10"/>
        <v>2.0976562499999996</v>
      </c>
      <c r="N103" s="7">
        <v>23.8</v>
      </c>
      <c r="T103" s="6">
        <v>26.2</v>
      </c>
      <c r="X103" s="6">
        <v>1.37</v>
      </c>
      <c r="AB103" s="5">
        <v>80</v>
      </c>
      <c r="AC103" s="7">
        <f>T103</f>
        <v>26.2</v>
      </c>
      <c r="AD103" s="1">
        <f>5*5.37</f>
        <v>26.85</v>
      </c>
      <c r="AE103" s="1">
        <v>23.8</v>
      </c>
      <c r="AG103" s="1">
        <v>0.08</v>
      </c>
      <c r="AH103" s="119">
        <v>0.39884259259259258</v>
      </c>
      <c r="AJ103" s="1">
        <v>175</v>
      </c>
      <c r="AK103" s="3">
        <v>180</v>
      </c>
      <c r="AL103" s="4">
        <f>AE103</f>
        <v>23.8</v>
      </c>
      <c r="AM103" s="1">
        <v>19.399999999999999</v>
      </c>
      <c r="AN103" s="80">
        <f>360-AK103-AB103</f>
        <v>100</v>
      </c>
      <c r="AO103" s="182">
        <v>4589.9999999999636</v>
      </c>
      <c r="AP103" s="13">
        <f>AVERAGE(AO101:AO107)</f>
        <v>4589.9999999999636</v>
      </c>
      <c r="AQ103" s="15">
        <f>IF(ISNUMBER([2]HRT_SRT!R157),[2]HRT_SRT!R157,"")</f>
        <v>10.674418604651027</v>
      </c>
      <c r="AR103" s="156" t="e">
        <f>(E103-W103)/E103</f>
        <v>#VALUE!</v>
      </c>
      <c r="AS103" s="155">
        <f>(I103-AF103)/I103</f>
        <v>1</v>
      </c>
      <c r="AT103" s="155">
        <f>AG103/(AD103-AF103)</f>
        <v>2.9795158286778397E-3</v>
      </c>
      <c r="AU103" s="155">
        <f>(G103-AM103)/G103</f>
        <v>0.24218750000000019</v>
      </c>
      <c r="AV103" s="57" t="str">
        <f>IF(AND(ISNUMBER(E103),ISNUMBER(W103)),E103-W103,"")</f>
        <v/>
      </c>
      <c r="AW103" s="57" t="str">
        <f>IF(AND(ISNUMBER(I103),ISNUMBER(AF103)),I103-AF103,"")</f>
        <v/>
      </c>
      <c r="AX103" s="57">
        <f>IF(AND(ISNUMBER(AM103),ISNUMBER(G103)),G103-AM103,"")</f>
        <v>6.2000000000000064</v>
      </c>
      <c r="AY103" s="57">
        <f>IF(AND(ISNUMBER(AC103),ISNUMBER(AE103)),AC103-AE103,"")</f>
        <v>2.3999999999999986</v>
      </c>
      <c r="AZ103" s="57">
        <f>IF(AND(ISNUMBER(AL103),ISNUMBER(AM103)),AL103-AM103,"")</f>
        <v>4.4000000000000021</v>
      </c>
      <c r="BA103" s="123" t="str">
        <f>IF(AND($E103&gt;0,$W103&gt;0),IF(($E103-$W103)/$E103&gt;0,($E103-$W103)/$E103,0),"")</f>
        <v/>
      </c>
      <c r="BB103" s="123">
        <f>IF(AND($I103&gt;0,$AF103&gt;=0),IF(($I103-$AF103)/$I103&gt;0,($I103-$AF103)/$I103,0),"")</f>
        <v>1</v>
      </c>
      <c r="BC103" s="123">
        <f>IF(AND($AG103&gt;=0,$AD103&gt;=0,$AF103&gt;=0),IF($AG103/($AD103-$AF103)&gt;0,$AG103/($AD103-$AF103),0),"")</f>
        <v>2.9795158286778397E-3</v>
      </c>
      <c r="BD103" s="123">
        <f>IF(AND($G103&gt;0,$AM103&gt;0),IF(($G103-$AM103)/$G103&gt;0,($G103-$AM103)/$G103,0),"")</f>
        <v>0.24218750000000019</v>
      </c>
      <c r="BE103" s="6">
        <f>IF((AD103-AF103)/(AJ103/60)&lt;=0,"",(AD103-AF103)/(AJ103/60))</f>
        <v>9.2057142857142864</v>
      </c>
      <c r="BF103" s="6" t="str">
        <f>IF(OR(AJ103=0,AP103=0,NOT(ISNUMBER(AD103)),NOT(ISNUMBER(AF103)),NOT(ISNUMBER(AJ103)),NOT(ISNUMBER(AP103))),"",
IFERROR(IF((AD103-AF103)/(AJ103/60)/(AP103/1000)&lt;=0,"",(AD103-AF103)/(AJ103/60)/(AP103/1000)),""))</f>
        <v/>
      </c>
    </row>
    <row r="104" spans="1:58" ht="15.75">
      <c r="B104" s="134">
        <v>45364</v>
      </c>
      <c r="C104" s="133"/>
      <c r="D104" s="3">
        <v>99</v>
      </c>
      <c r="E104" s="205" t="str">
        <f t="shared" si="7"/>
        <v/>
      </c>
      <c r="G104" s="124">
        <v>25.600000000000005</v>
      </c>
      <c r="I104" s="15">
        <f>AD104</f>
        <v>26.400000000000002</v>
      </c>
      <c r="K104" s="10" t="str">
        <f t="shared" si="8"/>
        <v/>
      </c>
      <c r="L104" s="9" t="str">
        <f t="shared" si="9"/>
        <v/>
      </c>
      <c r="M104" s="8">
        <f t="shared" si="10"/>
        <v>2.0624999999999996</v>
      </c>
      <c r="X104" s="6">
        <v>0.36</v>
      </c>
      <c r="AB104" s="5">
        <v>80</v>
      </c>
      <c r="AD104" s="168">
        <f>(AD103*2/3+AD106*1/3)</f>
        <v>26.400000000000002</v>
      </c>
      <c r="AG104" s="1">
        <v>8.76</v>
      </c>
      <c r="AH104" s="119">
        <v>0.57418981481481479</v>
      </c>
      <c r="AJ104" s="1">
        <v>175</v>
      </c>
      <c r="AK104" s="3">
        <v>180</v>
      </c>
      <c r="AM104" s="1">
        <v>19.3</v>
      </c>
      <c r="AN104" s="80">
        <f>360-AK104-AB104</f>
        <v>100</v>
      </c>
      <c r="AO104" s="165"/>
      <c r="AP104" s="13">
        <f>AVERAGE(AO102:AO108)</f>
        <v>4589.9999999999636</v>
      </c>
      <c r="AQ104" s="15" t="str">
        <f>IF(ISNUMBER([2]HRT_SRT!R158),[2]HRT_SRT!R158,"")</f>
        <v/>
      </c>
      <c r="AR104" s="156" t="e">
        <f>(E104-W104)/E104</f>
        <v>#VALUE!</v>
      </c>
      <c r="AS104" s="155">
        <f>(I104-AF104)/I104</f>
        <v>1</v>
      </c>
      <c r="AT104" s="155">
        <f>AG104/(AD104-AF104)</f>
        <v>0.33181818181818179</v>
      </c>
      <c r="AU104" s="155">
        <f>(G104-AM104)/G104</f>
        <v>0.24609375000000011</v>
      </c>
      <c r="AV104" s="57" t="str">
        <f>IF(AND(ISNUMBER(E104),ISNUMBER(W104)),E104-W104,"")</f>
        <v/>
      </c>
      <c r="AW104" s="57" t="str">
        <f>IF(AND(ISNUMBER(I104),ISNUMBER(AF104)),I104-AF104,"")</f>
        <v/>
      </c>
      <c r="AX104" s="57">
        <f>IF(AND(ISNUMBER(AM104),ISNUMBER(G104)),G104-AM104,"")</f>
        <v>6.3000000000000043</v>
      </c>
      <c r="AY104" s="57" t="str">
        <f>IF(AND(ISNUMBER(AC104),ISNUMBER(AE104)),AC104-AE104,"")</f>
        <v/>
      </c>
      <c r="AZ104" s="57" t="str">
        <f>IF(AND(ISNUMBER(AL104),ISNUMBER(AM104)),AL104-AM104,"")</f>
        <v/>
      </c>
      <c r="BA104" s="123" t="str">
        <f>IF(AND($E104&gt;0,$W104&gt;0),IF(($E104-$W104)/$E104&gt;0,($E104-$W104)/$E104,0),"")</f>
        <v/>
      </c>
      <c r="BB104" s="123">
        <f>IF(AND($I104&gt;0,$AF104&gt;=0),IF(($I104-$AF104)/$I104&gt;0,($I104-$AF104)/$I104,0),"")</f>
        <v>1</v>
      </c>
      <c r="BC104" s="123">
        <f>IF(AND($AG104&gt;=0,$AD104&gt;=0,$AF104&gt;=0),IF($AG104/($AD104-$AF104)&gt;0,$AG104/($AD104-$AF104),0),"")</f>
        <v>0.33181818181818179</v>
      </c>
      <c r="BD104" s="123">
        <f>IF(AND($G104&gt;0,$AM104&gt;0),IF(($G104-$AM104)/$G104&gt;0,($G104-$AM104)/$G104,0),"")</f>
        <v>0.24609375000000011</v>
      </c>
      <c r="BE104" s="6">
        <f>IF((AD104-AF104)/(AJ104/60)&lt;=0,"",(AD104-AF104)/(AJ104/60))</f>
        <v>9.0514285714285734</v>
      </c>
      <c r="BF104" s="6" t="str">
        <f>IF(OR(AJ104=0,AP104=0,NOT(ISNUMBER(AD104)),NOT(ISNUMBER(AF104)),NOT(ISNUMBER(AJ104)),NOT(ISNUMBER(AP104))),"",
IFERROR(IF((AD104-AF104)/(AJ104/60)/(AP104/1000)&lt;=0,"",(AD104-AF104)/(AJ104/60)/(AP104/1000)),""))</f>
        <v/>
      </c>
    </row>
    <row r="105" spans="1:58" ht="15.75">
      <c r="B105" s="134">
        <v>45365</v>
      </c>
      <c r="C105" s="133"/>
      <c r="D105" s="3">
        <v>100</v>
      </c>
      <c r="E105" s="205">
        <f t="shared" si="7"/>
        <v>387.92850800000002</v>
      </c>
      <c r="F105" s="2"/>
      <c r="G105" s="2"/>
      <c r="H105" s="2"/>
      <c r="I105" s="15">
        <f>AD105</f>
        <v>25.8</v>
      </c>
      <c r="K105" s="10" t="str">
        <f t="shared" si="8"/>
        <v/>
      </c>
      <c r="L105" s="9">
        <f t="shared" si="9"/>
        <v>7.5179943410852719</v>
      </c>
      <c r="M105" s="8" t="str">
        <f t="shared" si="10"/>
        <v/>
      </c>
      <c r="O105" s="6">
        <v>137.34800000000001</v>
      </c>
      <c r="P105" s="6">
        <v>31.317</v>
      </c>
      <c r="Q105" s="6">
        <f>O105*1.067</f>
        <v>146.55031600000001</v>
      </c>
      <c r="R105" s="6">
        <f>P105*1.514</f>
        <v>47.413938000000002</v>
      </c>
      <c r="S105" s="23">
        <f>P105*1.514+O105*1.067</f>
        <v>193.96425400000001</v>
      </c>
      <c r="W105" s="6">
        <f>2.104+1.017</f>
        <v>3.121</v>
      </c>
      <c r="X105" s="6">
        <v>0.43</v>
      </c>
      <c r="AB105" s="5">
        <v>80</v>
      </c>
      <c r="AD105" s="168">
        <f>(AD104*1/3+AD106*2/3)</f>
        <v>25.8</v>
      </c>
      <c r="AG105" s="1">
        <v>3.45</v>
      </c>
      <c r="AH105" s="119">
        <v>0.57002314814814814</v>
      </c>
      <c r="AJ105" s="1">
        <v>175</v>
      </c>
      <c r="AK105" s="3">
        <v>180</v>
      </c>
      <c r="AN105" s="80">
        <f>360-AK105-AB105</f>
        <v>100</v>
      </c>
      <c r="AO105" s="165"/>
      <c r="AP105" s="13">
        <f>AVERAGE(AO103:AO109)</f>
        <v>4589.9999999999636</v>
      </c>
      <c r="AQ105" s="15" t="str">
        <f>IF(ISNUMBER([2]HRT_SRT!R159),[2]HRT_SRT!R159,"")</f>
        <v/>
      </c>
      <c r="AR105" s="156">
        <f>(E105-W105)/E105</f>
        <v>0.99195470315886147</v>
      </c>
      <c r="AS105" s="155">
        <f>(I105-AF105)/I105</f>
        <v>1</v>
      </c>
      <c r="AT105" s="155">
        <f>AG105/(AD105-AF105)</f>
        <v>0.13372093023255816</v>
      </c>
      <c r="AU105" s="155" t="e">
        <f>(G105-AM105)/G105</f>
        <v>#DIV/0!</v>
      </c>
      <c r="AV105" s="57">
        <f>IF(AND(ISNUMBER(E105),ISNUMBER(W105)),E105-W105,"")</f>
        <v>384.80750800000004</v>
      </c>
      <c r="AW105" s="57" t="str">
        <f>IF(AND(ISNUMBER(I105),ISNUMBER(AF105)),I105-AF105,"")</f>
        <v/>
      </c>
      <c r="AX105" s="57" t="str">
        <f>IF(AND(ISNUMBER(AM105),ISNUMBER(G105)),G105-AM105,"")</f>
        <v/>
      </c>
      <c r="AY105" s="57" t="str">
        <f>IF(AND(ISNUMBER(AC105),ISNUMBER(AE105)),AC105-AE105,"")</f>
        <v/>
      </c>
      <c r="AZ105" s="57" t="str">
        <f>IF(AND(ISNUMBER(AL105),ISNUMBER(AM105)),AL105-AM105,"")</f>
        <v/>
      </c>
      <c r="BA105" s="123">
        <f>IF(AND($E105&gt;0,$W105&gt;0),IF(($E105-$W105)/$E105&gt;0,($E105-$W105)/$E105,0),"")</f>
        <v>0.99195470315886147</v>
      </c>
      <c r="BB105" s="123">
        <f>IF(AND($I105&gt;0,$AF105&gt;=0),IF(($I105-$AF105)/$I105&gt;0,($I105-$AF105)/$I105,0),"")</f>
        <v>1</v>
      </c>
      <c r="BC105" s="123">
        <f>IF(AND($AG105&gt;=0,$AD105&gt;=0,$AF105&gt;=0),IF($AG105/($AD105-$AF105)&gt;0,$AG105/($AD105-$AF105),0),"")</f>
        <v>0.13372093023255816</v>
      </c>
      <c r="BD105" s="123" t="str">
        <f>IF(AND($G105&gt;0,$AM105&gt;0),IF(($G105-$AM105)/$G105&gt;0,($G105-$AM105)/$G105,0),"")</f>
        <v/>
      </c>
      <c r="BE105" s="6">
        <f>IF((AD105-AF105)/(AJ105/60)&lt;=0,"",(AD105-AF105)/(AJ105/60))</f>
        <v>8.845714285714287</v>
      </c>
      <c r="BF105" s="6" t="str">
        <f>IF(OR(AJ105=0,AP105=0,NOT(ISNUMBER(AD105)),NOT(ISNUMBER(AF105)),NOT(ISNUMBER(AJ105)),NOT(ISNUMBER(AP105))),"",
IFERROR(IF((AD105-AF105)/(AJ105/60)/(AP105/1000)&lt;=0,"",(AD105-AF105)/(AJ105/60)/(AP105/1000)),""))</f>
        <v/>
      </c>
    </row>
    <row r="106" spans="1:58" ht="15.75">
      <c r="A106" s="12" t="s">
        <v>156</v>
      </c>
      <c r="B106" s="134">
        <v>45366</v>
      </c>
      <c r="C106" s="133"/>
      <c r="D106" s="3">
        <v>101</v>
      </c>
      <c r="E106" s="205">
        <f t="shared" si="7"/>
        <v>329.15263800000002</v>
      </c>
      <c r="F106" s="1"/>
      <c r="G106" s="15">
        <f>(N106*18-H106*18)/9</f>
        <v>25.64</v>
      </c>
      <c r="H106" s="1">
        <v>8.7799999999999994</v>
      </c>
      <c r="I106" s="15">
        <f>AD106</f>
        <v>25.5</v>
      </c>
      <c r="K106" s="10">
        <f t="shared" si="8"/>
        <v>12.837466380655227</v>
      </c>
      <c r="L106" s="9">
        <f t="shared" si="9"/>
        <v>6.453973294117648</v>
      </c>
      <c r="M106" s="8">
        <f t="shared" si="10"/>
        <v>1.9890795631825273</v>
      </c>
      <c r="N106" s="7">
        <v>21.6</v>
      </c>
      <c r="O106" s="6">
        <v>115.965</v>
      </c>
      <c r="P106" s="6">
        <v>26.975999999999999</v>
      </c>
      <c r="Q106" s="6">
        <f>O106*1.067</f>
        <v>123.734655</v>
      </c>
      <c r="R106" s="6">
        <f>P106*1.514</f>
        <v>40.841664000000002</v>
      </c>
      <c r="S106" s="23">
        <f>P106*1.514+O106*1.067</f>
        <v>164.57631900000001</v>
      </c>
      <c r="T106" s="6">
        <v>28.2</v>
      </c>
      <c r="W106" s="6">
        <f>1.998+0.841</f>
        <v>2.839</v>
      </c>
      <c r="X106" s="6">
        <v>4.21</v>
      </c>
      <c r="AB106" s="5">
        <v>80</v>
      </c>
      <c r="AC106" s="7">
        <f>T106</f>
        <v>28.2</v>
      </c>
      <c r="AD106" s="1">
        <f>5*5.1</f>
        <v>25.5</v>
      </c>
      <c r="AE106" s="1">
        <v>20.7</v>
      </c>
      <c r="AF106" s="1">
        <v>2.0099999999999998</v>
      </c>
      <c r="AG106" s="1">
        <v>1.94</v>
      </c>
      <c r="AH106" s="119">
        <v>0.42986111111111114</v>
      </c>
      <c r="AJ106" s="1">
        <v>175</v>
      </c>
      <c r="AK106" s="3">
        <v>180</v>
      </c>
      <c r="AL106" s="4">
        <f>AE106</f>
        <v>20.7</v>
      </c>
      <c r="AM106" s="1">
        <v>15.8</v>
      </c>
      <c r="AN106" s="80">
        <f>360-AK106-AB106</f>
        <v>100</v>
      </c>
      <c r="AO106" s="165"/>
      <c r="AP106" s="13">
        <f>AVERAGE(AO104:AO110)</f>
        <v>4330.0000000000182</v>
      </c>
      <c r="AQ106" s="15" t="str">
        <f>IF(ISNUMBER([2]HRT_SRT!R160),[2]HRT_SRT!R160,"")</f>
        <v/>
      </c>
      <c r="AR106" s="156">
        <f>(E106-W106)/E106</f>
        <v>0.99137482227926121</v>
      </c>
      <c r="AS106" s="155">
        <f>(I106-AF106)/I106</f>
        <v>0.92117647058823537</v>
      </c>
      <c r="AT106" s="155">
        <f>AG106/(AD106-AF106)</f>
        <v>8.2588335461898671E-2</v>
      </c>
      <c r="AU106" s="155">
        <f>(G106-AM106)/G106</f>
        <v>0.38377535101404053</v>
      </c>
      <c r="AV106" s="57">
        <f>IF(AND(ISNUMBER(E106),ISNUMBER(W106)),E106-W106,"")</f>
        <v>326.31363800000003</v>
      </c>
      <c r="AW106" s="57">
        <f>IF(AND(ISNUMBER(I106),ISNUMBER(AF106)),I106-AF106,"")</f>
        <v>23.490000000000002</v>
      </c>
      <c r="AX106" s="57">
        <f>IF(AND(ISNUMBER(AM106),ISNUMBER(G106)),G106-AM106,"")</f>
        <v>9.84</v>
      </c>
      <c r="AY106" s="57">
        <f>IF(AND(ISNUMBER(AC106),ISNUMBER(AE106)),AC106-AE106,"")</f>
        <v>7.5</v>
      </c>
      <c r="AZ106" s="57">
        <f>IF(AND(ISNUMBER(AL106),ISNUMBER(AM106)),AL106-AM106,"")</f>
        <v>4.8999999999999986</v>
      </c>
      <c r="BA106" s="123">
        <f>IF(AND($E106&gt;0,$W106&gt;0),IF(($E106-$W106)/$E106&gt;0,($E106-$W106)/$E106,0),"")</f>
        <v>0.99137482227926121</v>
      </c>
      <c r="BB106" s="123">
        <f>IF(AND($I106&gt;0,$AF106&gt;=0),IF(($I106-$AF106)/$I106&gt;0,($I106-$AF106)/$I106,0),"")</f>
        <v>0.92117647058823537</v>
      </c>
      <c r="BC106" s="123">
        <f>IF(AND($AG106&gt;=0,$AD106&gt;=0,$AF106&gt;=0),IF($AG106/($AD106-$AF106)&gt;0,$AG106/($AD106-$AF106),0),"")</f>
        <v>8.2588335461898671E-2</v>
      </c>
      <c r="BD106" s="123">
        <f>IF(AND($G106&gt;0,$AM106&gt;0),IF(($G106-$AM106)/$G106&gt;0,($G106-$AM106)/$G106,0),"")</f>
        <v>0.38377535101404053</v>
      </c>
      <c r="BE106" s="6">
        <f>IF((AD106-AF106)/(AJ106/60)&lt;=0,"",(AD106-AF106)/(AJ106/60))</f>
        <v>8.0537142857142872</v>
      </c>
      <c r="BF106" s="6">
        <f>IF(OR(AJ106=0,AP106=0,NOT(ISNUMBER(AD106)),NOT(ISNUMBER(AF106)),NOT(ISNUMBER(AJ106)),NOT(ISNUMBER(AP106))),"",
IFERROR(IF((AD106-AF106)/(AJ106/60)/(AP106/1000)&lt;=0,"",(AD106-AF106)/(AJ106/60)/(AP106/1000)),""))</f>
        <v>1.8599802045529454</v>
      </c>
    </row>
    <row r="107" spans="1:58" ht="15.75">
      <c r="B107" s="134">
        <v>45367</v>
      </c>
      <c r="C107" s="133"/>
      <c r="D107" s="3">
        <v>102</v>
      </c>
      <c r="E107" s="205" t="str">
        <f t="shared" si="7"/>
        <v/>
      </c>
      <c r="F107" s="2"/>
      <c r="G107" s="2"/>
      <c r="H107" s="2"/>
      <c r="I107" s="15">
        <f>AD107</f>
        <v>24.766666666666666</v>
      </c>
      <c r="K107" s="10" t="str">
        <f t="shared" si="8"/>
        <v/>
      </c>
      <c r="L107" s="9" t="str">
        <f t="shared" si="9"/>
        <v/>
      </c>
      <c r="M107" s="8" t="str">
        <f t="shared" si="10"/>
        <v/>
      </c>
      <c r="X107" s="6">
        <v>1.3</v>
      </c>
      <c r="AB107" s="5">
        <v>80</v>
      </c>
      <c r="AD107" s="168">
        <f>(AD106*2/3+AD109*1/3)</f>
        <v>24.766666666666666</v>
      </c>
      <c r="AG107" s="1">
        <v>0.12</v>
      </c>
      <c r="AH107" s="119">
        <v>0.97939814814814818</v>
      </c>
      <c r="AJ107" s="1">
        <v>175</v>
      </c>
      <c r="AK107" s="3">
        <v>180</v>
      </c>
      <c r="AN107" s="80">
        <f>360-AK107-AB107</f>
        <v>100</v>
      </c>
      <c r="AP107" s="13">
        <f>AVERAGE(AO105:AO111)</f>
        <v>4550.0000000000227</v>
      </c>
      <c r="AQ107" s="15" t="str">
        <f>IF(ISNUMBER([2]HRT_SRT!R161),[2]HRT_SRT!R161,"")</f>
        <v/>
      </c>
      <c r="AR107" s="156" t="e">
        <f>(E107-W107)/E107</f>
        <v>#VALUE!</v>
      </c>
      <c r="AS107" s="155">
        <f>(I107-AF107)/I107</f>
        <v>1</v>
      </c>
      <c r="AT107" s="155">
        <f>AG107/(AD107-AF107)</f>
        <v>4.845222072678331E-3</v>
      </c>
      <c r="AU107" s="155" t="e">
        <f>(G107-AM107)/G107</f>
        <v>#DIV/0!</v>
      </c>
      <c r="AV107" s="57" t="str">
        <f>IF(AND(ISNUMBER(E107),ISNUMBER(W107)),E107-W107,"")</f>
        <v/>
      </c>
      <c r="AW107" s="57" t="str">
        <f>IF(AND(ISNUMBER(I107),ISNUMBER(AF107)),I107-AF107,"")</f>
        <v/>
      </c>
      <c r="AX107" s="57" t="str">
        <f>IF(AND(ISNUMBER(AM107),ISNUMBER(G107)),G107-AM107,"")</f>
        <v/>
      </c>
      <c r="AY107" s="57" t="str">
        <f>IF(AND(ISNUMBER(AC107),ISNUMBER(AE107)),AC107-AE107,"")</f>
        <v/>
      </c>
      <c r="AZ107" s="57" t="str">
        <f>IF(AND(ISNUMBER(AL107),ISNUMBER(AM107)),AL107-AM107,"")</f>
        <v/>
      </c>
      <c r="BA107" s="123" t="str">
        <f>IF(AND($E107&gt;0,$W107&gt;0),IF(($E107-$W107)/$E107&gt;0,($E107-$W107)/$E107,0),"")</f>
        <v/>
      </c>
      <c r="BB107" s="123">
        <f>IF(AND($I107&gt;0,$AF107&gt;=0),IF(($I107-$AF107)/$I107&gt;0,($I107-$AF107)/$I107,0),"")</f>
        <v>1</v>
      </c>
      <c r="BC107" s="123">
        <f>IF(AND($AG107&gt;=0,$AD107&gt;=0,$AF107&gt;=0),IF($AG107/($AD107-$AF107)&gt;0,$AG107/($AD107-$AF107),0),"")</f>
        <v>4.845222072678331E-3</v>
      </c>
      <c r="BD107" s="123" t="str">
        <f>IF(AND($G107&gt;0,$AM107&gt;0),IF(($G107-$AM107)/$G107&gt;0,($G107-$AM107)/$G107,0),"")</f>
        <v/>
      </c>
      <c r="BE107" s="6">
        <f>IF((AD107-AF107)/(AJ107/60)&lt;=0,"",(AD107-AF107)/(AJ107/60))</f>
        <v>8.4914285714285711</v>
      </c>
      <c r="BF107" s="6" t="str">
        <f>IF(OR(AJ107=0,AP107=0,NOT(ISNUMBER(AD107)),NOT(ISNUMBER(AF107)),NOT(ISNUMBER(AJ107)),NOT(ISNUMBER(AP107))),"",
IFERROR(IF((AD107-AF107)/(AJ107/60)/(AP107/1000)&lt;=0,"",(AD107-AF107)/(AJ107/60)/(AP107/1000)),""))</f>
        <v/>
      </c>
    </row>
    <row r="108" spans="1:58" ht="15.75">
      <c r="B108" s="134">
        <v>45368</v>
      </c>
      <c r="C108" s="133"/>
      <c r="D108" s="3">
        <v>103</v>
      </c>
      <c r="E108" s="205" t="str">
        <f t="shared" si="7"/>
        <v/>
      </c>
      <c r="I108" s="15">
        <f>AD108</f>
        <v>23.788888888888888</v>
      </c>
      <c r="K108" s="10" t="str">
        <f t="shared" si="8"/>
        <v/>
      </c>
      <c r="L108" s="9" t="str">
        <f t="shared" si="9"/>
        <v/>
      </c>
      <c r="M108" s="8" t="str">
        <f t="shared" si="10"/>
        <v/>
      </c>
      <c r="X108" s="6">
        <v>0.41</v>
      </c>
      <c r="AB108" s="5">
        <v>80</v>
      </c>
      <c r="AD108" s="168">
        <f>(AD107*1/3+AD109*2/3)</f>
        <v>23.788888888888888</v>
      </c>
      <c r="AG108">
        <v>0.12</v>
      </c>
      <c r="AH108" s="119">
        <v>0.97939814814814818</v>
      </c>
      <c r="AJ108" s="1">
        <v>175</v>
      </c>
      <c r="AK108" s="3">
        <v>180</v>
      </c>
      <c r="AM108" s="1">
        <v>20.2</v>
      </c>
      <c r="AN108" s="80">
        <f>360-AK108-AB108</f>
        <v>100</v>
      </c>
      <c r="AP108" s="13">
        <f>AVERAGE(AO106:AO112)</f>
        <v>4550.0000000000227</v>
      </c>
      <c r="AQ108" s="15" t="str">
        <f>IF(ISNUMBER([2]HRT_SRT!R162),[2]HRT_SRT!R162,"")</f>
        <v/>
      </c>
      <c r="AR108" s="156" t="e">
        <f>(E108-W108)/E108</f>
        <v>#VALUE!</v>
      </c>
      <c r="AS108" s="155">
        <f>(I108-AF108)/I108</f>
        <v>1</v>
      </c>
      <c r="AT108" s="155">
        <f>AG108/(AD108-AF108)</f>
        <v>5.0443717888836994E-3</v>
      </c>
      <c r="AU108" s="155" t="e">
        <f>(G108-AM108)/G108</f>
        <v>#DIV/0!</v>
      </c>
      <c r="AV108" s="57" t="str">
        <f>IF(AND(ISNUMBER(E108),ISNUMBER(W108)),E108-W108,"")</f>
        <v/>
      </c>
      <c r="AW108" s="57" t="str">
        <f>IF(AND(ISNUMBER(I108),ISNUMBER(AF108)),I108-AF108,"")</f>
        <v/>
      </c>
      <c r="AX108" s="57" t="str">
        <f>IF(AND(ISNUMBER(AM108),ISNUMBER(G108)),G108-AM108,"")</f>
        <v/>
      </c>
      <c r="AY108" s="57" t="str">
        <f>IF(AND(ISNUMBER(AC108),ISNUMBER(AE108)),AC108-AE108,"")</f>
        <v/>
      </c>
      <c r="AZ108" s="57" t="str">
        <f>IF(AND(ISNUMBER(AL108),ISNUMBER(AM108)),AL108-AM108,"")</f>
        <v/>
      </c>
      <c r="BA108" s="123" t="str">
        <f>IF(AND($E108&gt;0,$W108&gt;0),IF(($E108-$W108)/$E108&gt;0,($E108-$W108)/$E108,0),"")</f>
        <v/>
      </c>
      <c r="BB108" s="123">
        <f>IF(AND($I108&gt;0,$AF108&gt;=0),IF(($I108-$AF108)/$I108&gt;0,($I108-$AF108)/$I108,0),"")</f>
        <v>1</v>
      </c>
      <c r="BC108" s="123">
        <f>IF(AND($AG108&gt;=0,$AD108&gt;=0,$AF108&gt;=0),IF($AG108/($AD108-$AF108)&gt;0,$AG108/($AD108-$AF108),0),"")</f>
        <v>5.0443717888836994E-3</v>
      </c>
      <c r="BD108" s="123" t="str">
        <f>IF(AND($G108&gt;0,$AM108&gt;0),IF(($G108-$AM108)/$G108&gt;0,($G108-$AM108)/$G108,0),"")</f>
        <v/>
      </c>
      <c r="BE108" s="6">
        <f>IF((AD108-AF108)/(AJ108/60)&lt;=0,"",(AD108-AF108)/(AJ108/60))</f>
        <v>8.156190476190476</v>
      </c>
      <c r="BF108" s="6" t="str">
        <f>IF(OR(AJ108=0,AP108=0,NOT(ISNUMBER(AD108)),NOT(ISNUMBER(AF108)),NOT(ISNUMBER(AJ108)),NOT(ISNUMBER(AP108))),"",
IFERROR(IF((AD108-AF108)/(AJ108/60)/(AP108/1000)&lt;=0,"",(AD108-AF108)/(AJ108/60)/(AP108/1000)),""))</f>
        <v/>
      </c>
    </row>
    <row r="109" spans="1:58" ht="15.75">
      <c r="B109" s="134">
        <v>45369</v>
      </c>
      <c r="C109" s="133"/>
      <c r="D109" s="3">
        <v>104</v>
      </c>
      <c r="E109" s="205">
        <f t="shared" si="7"/>
        <v>337.00817199999995</v>
      </c>
      <c r="G109" s="15">
        <f>(N109*18-H109*18)/9</f>
        <v>23.400000000000002</v>
      </c>
      <c r="H109" s="15">
        <v>14.7</v>
      </c>
      <c r="I109" s="15">
        <f>AD109</f>
        <v>23.3</v>
      </c>
      <c r="K109" s="10">
        <f t="shared" si="8"/>
        <v>14.402058632478628</v>
      </c>
      <c r="L109" s="9">
        <f t="shared" si="9"/>
        <v>7.2319350214592264</v>
      </c>
      <c r="M109" s="8">
        <f t="shared" si="10"/>
        <v>1.9914529914529913</v>
      </c>
      <c r="N109" s="7">
        <v>26.4</v>
      </c>
      <c r="O109" s="6">
        <v>120.086</v>
      </c>
      <c r="P109" s="6">
        <v>26.666</v>
      </c>
      <c r="Q109" s="6">
        <f>O109*1.067</f>
        <v>128.13176199999998</v>
      </c>
      <c r="R109" s="6">
        <f>P109*1.514</f>
        <v>40.372323999999999</v>
      </c>
      <c r="S109" s="23">
        <f>P109*1.514+O109*1.067</f>
        <v>168.50408599999997</v>
      </c>
      <c r="T109" s="6">
        <v>34.1</v>
      </c>
      <c r="W109" s="6">
        <f>0.682+1.027</f>
        <v>1.7090000000000001</v>
      </c>
      <c r="X109" s="6">
        <v>4.13</v>
      </c>
      <c r="AB109" s="5">
        <v>80</v>
      </c>
      <c r="AC109" s="7">
        <f>T109</f>
        <v>34.1</v>
      </c>
      <c r="AD109" s="1">
        <f>5*4.66</f>
        <v>23.3</v>
      </c>
      <c r="AE109" s="1">
        <v>34.1</v>
      </c>
      <c r="AF109" s="1">
        <v>0</v>
      </c>
      <c r="AG109">
        <v>0.1</v>
      </c>
      <c r="AH109" s="119">
        <v>0.97939814814814818</v>
      </c>
      <c r="AJ109" s="1">
        <v>175</v>
      </c>
      <c r="AK109" s="3">
        <v>180</v>
      </c>
      <c r="AL109" s="4">
        <f>AE109</f>
        <v>34.1</v>
      </c>
      <c r="AM109" s="1">
        <v>28.5</v>
      </c>
      <c r="AN109" s="80">
        <f>360-AK109-AB109</f>
        <v>100</v>
      </c>
      <c r="AP109" s="13">
        <f>AVERAGE(AO107:AO113)</f>
        <v>4550.0000000000227</v>
      </c>
      <c r="AQ109" s="15" t="str">
        <f>IF(ISNUMBER([2]HRT_SRT!R163),[2]HRT_SRT!R163,"")</f>
        <v/>
      </c>
      <c r="AR109" s="156">
        <f>(E109-W109)/E109</f>
        <v>0.99492890635304831</v>
      </c>
      <c r="AS109" s="155">
        <f>(I109-AF109)/I109</f>
        <v>1</v>
      </c>
      <c r="AT109" s="155">
        <f>AG109/(AD109-AF109)</f>
        <v>4.2918454935622317E-3</v>
      </c>
      <c r="AU109" s="155">
        <f>(G109-AM109)/G109</f>
        <v>-0.21794871794871784</v>
      </c>
      <c r="AV109" s="57">
        <f>IF(AND(ISNUMBER(E109),ISNUMBER(W109)),E109-W109,"")</f>
        <v>335.29917199999994</v>
      </c>
      <c r="AW109" s="57">
        <f>IF(AND(ISNUMBER(I109),ISNUMBER(AF109)),I109-AF109,"")</f>
        <v>23.3</v>
      </c>
      <c r="AX109" s="57">
        <f>IF(AND(ISNUMBER(AM109),ISNUMBER(G109)),G109-AM109,"")</f>
        <v>-5.0999999999999979</v>
      </c>
      <c r="AY109" s="57">
        <f>IF(AND(ISNUMBER(AC109),ISNUMBER(AE109)),AC109-AE109,"")</f>
        <v>0</v>
      </c>
      <c r="AZ109" s="57">
        <f>IF(AND(ISNUMBER(AL109),ISNUMBER(AM109)),AL109-AM109,"")</f>
        <v>5.6000000000000014</v>
      </c>
      <c r="BA109" s="123">
        <f>IF(AND($E109&gt;0,$W109&gt;0),IF(($E109-$W109)/$E109&gt;0,($E109-$W109)/$E109,0),"")</f>
        <v>0.99492890635304831</v>
      </c>
      <c r="BB109" s="123">
        <f>IF(AND($I109&gt;0,$AF109&gt;=0),IF(($I109-$AF109)/$I109&gt;0,($I109-$AF109)/$I109,0),"")</f>
        <v>1</v>
      </c>
      <c r="BC109" s="123">
        <f>IF(AND($AG109&gt;=0,$AD109&gt;=0,$AF109&gt;=0),IF($AG109/($AD109-$AF109)&gt;0,$AG109/($AD109-$AF109),0),"")</f>
        <v>4.2918454935622317E-3</v>
      </c>
      <c r="BD109" s="123">
        <f>IF(AND($G109&gt;0,$AM109&gt;0),IF(($G109-$AM109)/$G109&gt;0,($G109-$AM109)/$G109,0),"")</f>
        <v>0</v>
      </c>
      <c r="BE109" s="6">
        <f>IF((AD109-AF109)/(AJ109/60)&lt;=0,"",(AD109-AF109)/(AJ109/60))</f>
        <v>7.9885714285714293</v>
      </c>
      <c r="BF109" s="6">
        <f>IF(OR(AJ109=0,AP109=0,NOT(ISNUMBER(AD109)),NOT(ISNUMBER(AF109)),NOT(ISNUMBER(AJ109)),NOT(ISNUMBER(AP109))),"",
IFERROR(IF((AD109-AF109)/(AJ109/60)/(AP109/1000)&lt;=0,"",(AD109-AF109)/(AJ109/60)/(AP109/1000)),""))</f>
        <v>1.7557299843014043</v>
      </c>
    </row>
    <row r="110" spans="1:58" ht="15.75">
      <c r="B110" s="134">
        <v>45370</v>
      </c>
      <c r="C110" s="133"/>
      <c r="D110" s="3">
        <v>105</v>
      </c>
      <c r="E110" s="205">
        <f t="shared" si="7"/>
        <v>347.26455599999997</v>
      </c>
      <c r="G110" s="15">
        <f>(N110*18-H110*18)/9</f>
        <v>26.999999999999993</v>
      </c>
      <c r="H110" s="15">
        <v>17.399999999999999</v>
      </c>
      <c r="I110" s="15">
        <f>AD110</f>
        <v>23.2</v>
      </c>
      <c r="K110" s="10">
        <f t="shared" si="8"/>
        <v>12.861650222222224</v>
      </c>
      <c r="L110" s="9">
        <f t="shared" si="9"/>
        <v>7.4841499137931029</v>
      </c>
      <c r="M110" s="8">
        <f t="shared" si="10"/>
        <v>1.718518518518519</v>
      </c>
      <c r="N110" s="7">
        <v>30.9</v>
      </c>
      <c r="O110" s="6">
        <v>123.11</v>
      </c>
      <c r="P110" s="6">
        <v>27.922000000000001</v>
      </c>
      <c r="Q110" s="6">
        <f>O110*1.067</f>
        <v>131.35836999999998</v>
      </c>
      <c r="R110" s="6">
        <f>P110*1.514</f>
        <v>42.273907999999999</v>
      </c>
      <c r="S110" s="23">
        <f>P110*1.514+O110*1.067</f>
        <v>173.63227799999999</v>
      </c>
      <c r="T110" s="6">
        <v>37</v>
      </c>
      <c r="W110" s="6">
        <f>0.654+0.941</f>
        <v>1.595</v>
      </c>
      <c r="X110" s="6">
        <v>0.52</v>
      </c>
      <c r="AB110" s="5">
        <v>80</v>
      </c>
      <c r="AC110" s="7">
        <f>T110</f>
        <v>37</v>
      </c>
      <c r="AD110" s="1">
        <f>5*4.64</f>
        <v>23.2</v>
      </c>
      <c r="AE110" s="1">
        <v>37.9</v>
      </c>
      <c r="AF110" s="1">
        <v>0</v>
      </c>
      <c r="AG110">
        <v>0.09</v>
      </c>
      <c r="AH110" s="119">
        <v>0.97939814814814818</v>
      </c>
      <c r="AJ110" s="1">
        <v>175</v>
      </c>
      <c r="AK110" s="3">
        <v>180</v>
      </c>
      <c r="AL110" s="4">
        <f>AE110</f>
        <v>37.9</v>
      </c>
      <c r="AM110" s="1">
        <v>34.6</v>
      </c>
      <c r="AN110" s="80">
        <f>360-AK110-AB110</f>
        <v>100</v>
      </c>
      <c r="AO110" s="165">
        <f>[2]HRT_SRT!P164</f>
        <v>4330.0000000000182</v>
      </c>
      <c r="AP110" s="13">
        <f>AVERAGE(AO108:AO114)</f>
        <v>4550.0000000000227</v>
      </c>
      <c r="AQ110" s="15">
        <f>IF(ISNUMBER([2]HRT_SRT!R164),[2]HRT_SRT!R164,"")</f>
        <v>14.655885671304931</v>
      </c>
      <c r="AR110" s="156">
        <f>(E110-W110)/E110</f>
        <v>0.99540695998931716</v>
      </c>
      <c r="AS110" s="155">
        <f>(I110-AF110)/I110</f>
        <v>1</v>
      </c>
      <c r="AT110" s="155">
        <f>AG110/(AD110-AF110)</f>
        <v>3.8793103448275862E-3</v>
      </c>
      <c r="AU110" s="155">
        <f>(G110-AM110)/G110</f>
        <v>-0.28148148148148189</v>
      </c>
      <c r="AV110" s="57">
        <f>IF(AND(ISNUMBER(E110),ISNUMBER(W110)),E110-W110,"")</f>
        <v>345.66955599999994</v>
      </c>
      <c r="AW110" s="57">
        <f>IF(AND(ISNUMBER(I110),ISNUMBER(AF110)),I110-AF110,"")</f>
        <v>23.2</v>
      </c>
      <c r="AX110" s="57">
        <f>IF(AND(ISNUMBER(AM110),ISNUMBER(G110)),G110-AM110,"")</f>
        <v>-7.6000000000000085</v>
      </c>
      <c r="AY110" s="57">
        <f>IF(AND(ISNUMBER(AC110),ISNUMBER(AE110)),AC110-AE110,"")</f>
        <v>-0.89999999999999858</v>
      </c>
      <c r="AZ110" s="57">
        <f>IF(AND(ISNUMBER(AL110),ISNUMBER(AM110)),AL110-AM110,"")</f>
        <v>3.2999999999999972</v>
      </c>
      <c r="BA110" s="123">
        <f>IF(AND($E110&gt;0,$W110&gt;0),IF(($E110-$W110)/$E110&gt;0,($E110-$W110)/$E110,0),"")</f>
        <v>0.99540695998931716</v>
      </c>
      <c r="BB110" s="123">
        <f>IF(AND($I110&gt;0,$AF110&gt;=0),IF(($I110-$AF110)/$I110&gt;0,($I110-$AF110)/$I110,0),"")</f>
        <v>1</v>
      </c>
      <c r="BC110" s="123">
        <f>IF(AND($AG110&gt;=0,$AD110&gt;=0,$AF110&gt;=0),IF($AG110/($AD110-$AF110)&gt;0,$AG110/($AD110-$AF110),0),"")</f>
        <v>3.8793103448275862E-3</v>
      </c>
      <c r="BD110" s="123">
        <f>IF(AND($G110&gt;0,$AM110&gt;0),IF(($G110-$AM110)/$G110&gt;0,($G110-$AM110)/$G110,0),"")</f>
        <v>0</v>
      </c>
      <c r="BE110" s="6">
        <f>IF((AD110-AF110)/(AJ110/60)&lt;=0,"",(AD110-AF110)/(AJ110/60))</f>
        <v>7.9542857142857146</v>
      </c>
      <c r="BF110" s="6">
        <f>IF(OR(AJ110=0,AP110=0,NOT(ISNUMBER(AD110)),NOT(ISNUMBER(AF110)),NOT(ISNUMBER(AJ110)),NOT(ISNUMBER(AP110))),"",
IFERROR(IF((AD110-AF110)/(AJ110/60)/(AP110/1000)&lt;=0,"",(AD110-AF110)/(AJ110/60)/(AP110/1000)),""))</f>
        <v>1.7481946624803681</v>
      </c>
    </row>
    <row r="111" spans="1:58" ht="15.75">
      <c r="A111" s="12" t="s">
        <v>155</v>
      </c>
      <c r="B111" s="134">
        <v>45371</v>
      </c>
      <c r="C111" s="133"/>
      <c r="D111" s="3">
        <v>106</v>
      </c>
      <c r="E111" s="205">
        <f t="shared" si="7"/>
        <v>348.51129399999996</v>
      </c>
      <c r="G111" s="15">
        <f>(N111*18-H111*18)/9</f>
        <v>24.200000000000006</v>
      </c>
      <c r="H111" s="15">
        <v>17.5</v>
      </c>
      <c r="I111" s="15">
        <f>AD111</f>
        <v>20.7</v>
      </c>
      <c r="K111" s="10">
        <f t="shared" si="8"/>
        <v>14.401293140495863</v>
      </c>
      <c r="L111" s="9">
        <f t="shared" si="9"/>
        <v>8.4181471980676328</v>
      </c>
      <c r="M111" s="8">
        <f t="shared" si="10"/>
        <v>1.710743801652892</v>
      </c>
      <c r="N111" s="7">
        <v>29.6</v>
      </c>
      <c r="O111" s="6">
        <v>125.64100000000001</v>
      </c>
      <c r="P111" s="6">
        <v>26.55</v>
      </c>
      <c r="Q111" s="6">
        <f>O111*1.067</f>
        <v>134.05894699999999</v>
      </c>
      <c r="R111" s="6">
        <f>P111*1.514</f>
        <v>40.1967</v>
      </c>
      <c r="S111" s="23">
        <f>P111*1.514+O111*1.067</f>
        <v>174.25564699999998</v>
      </c>
      <c r="T111" s="6">
        <v>55.5</v>
      </c>
      <c r="W111" s="6">
        <v>3.2189999999999999</v>
      </c>
      <c r="X111" s="6">
        <v>0.56999999999999995</v>
      </c>
      <c r="AB111" s="5">
        <v>80</v>
      </c>
      <c r="AC111" s="7">
        <f>T111</f>
        <v>55.5</v>
      </c>
      <c r="AD111" s="1">
        <f>20.7</f>
        <v>20.7</v>
      </c>
      <c r="AE111" s="1">
        <v>31.7</v>
      </c>
      <c r="AF111" s="1">
        <v>0</v>
      </c>
      <c r="AG111">
        <v>0.09</v>
      </c>
      <c r="AH111" s="119">
        <v>0.97939814814814818</v>
      </c>
      <c r="AJ111" s="1">
        <v>175</v>
      </c>
      <c r="AK111" s="3">
        <v>180</v>
      </c>
      <c r="AL111" s="4">
        <f>AE111</f>
        <v>31.7</v>
      </c>
      <c r="AM111" s="1">
        <v>25.2</v>
      </c>
      <c r="AN111" s="80">
        <f>360-AK111-AB111</f>
        <v>100</v>
      </c>
      <c r="AO111" s="165">
        <f>[2]HRT_SRT!P165</f>
        <v>4770.0000000000273</v>
      </c>
      <c r="AP111" s="13">
        <f>AVERAGE(AO109:AO115)</f>
        <v>4550.0000000000227</v>
      </c>
      <c r="AQ111" s="15">
        <f>IF(ISNUMBER([2]HRT_SRT!R165),[2]HRT_SRT!R165,"")</f>
        <v>15.142857142857082</v>
      </c>
      <c r="AR111" s="156">
        <f>(E111-W111)/E111</f>
        <v>0.99076357049134833</v>
      </c>
      <c r="AS111" s="155">
        <f>(I111-AF111)/I111</f>
        <v>1</v>
      </c>
      <c r="AT111" s="155">
        <f>AG111/(AD111-AF111)</f>
        <v>4.3478260869565218E-3</v>
      </c>
      <c r="AU111" s="155">
        <f>(G111-AM111)/G111</f>
        <v>-4.1322314049586473E-2</v>
      </c>
      <c r="AV111" s="57">
        <f>IF(AND(ISNUMBER(E111),ISNUMBER(W111)),E111-W111,"")</f>
        <v>345.29229399999997</v>
      </c>
      <c r="AW111" s="57">
        <f>IF(AND(ISNUMBER(I111),ISNUMBER(AF111)),I111-AF111,"")</f>
        <v>20.7</v>
      </c>
      <c r="AX111" s="57">
        <f>IF(AND(ISNUMBER(AM111),ISNUMBER(G111)),G111-AM111,"")</f>
        <v>-0.99999999999999289</v>
      </c>
      <c r="AY111" s="57">
        <f>IF(AND(ISNUMBER(AC111),ISNUMBER(AE111)),AC111-AE111,"")</f>
        <v>23.8</v>
      </c>
      <c r="AZ111" s="57">
        <f>IF(AND(ISNUMBER(AL111),ISNUMBER(AM111)),AL111-AM111,"")</f>
        <v>6.5</v>
      </c>
      <c r="BA111" s="123">
        <f>IF(AND($E111&gt;0,$W111&gt;0),IF(($E111-$W111)/$E111&gt;0,($E111-$W111)/$E111,0),"")</f>
        <v>0.99076357049134833</v>
      </c>
      <c r="BB111" s="123">
        <f>IF(AND($I111&gt;0,$AF111&gt;=0),IF(($I111-$AF111)/$I111&gt;0,($I111-$AF111)/$I111,0),"")</f>
        <v>1</v>
      </c>
      <c r="BC111" s="123">
        <f>IF(AND($AG111&gt;=0,$AD111&gt;=0,$AF111&gt;=0),IF($AG111/($AD111-$AF111)&gt;0,$AG111/($AD111-$AF111),0),"")</f>
        <v>4.3478260869565218E-3</v>
      </c>
      <c r="BD111" s="123">
        <f>IF(AND($G111&gt;0,$AM111&gt;0),IF(($G111-$AM111)/$G111&gt;0,($G111-$AM111)/$G111,0),"")</f>
        <v>0</v>
      </c>
      <c r="BE111" s="6">
        <f>IF((AD111-AF111)/(AJ111/60)&lt;=0,"",(AD111-AF111)/(AJ111/60))</f>
        <v>7.097142857142857</v>
      </c>
      <c r="BF111" s="6">
        <f>IF(OR(AJ111=0,AP111=0,NOT(ISNUMBER(AD111)),NOT(ISNUMBER(AF111)),NOT(ISNUMBER(AJ111)),NOT(ISNUMBER(AP111))),"",
IFERROR(IF((AD111-AF111)/(AJ111/60)/(AP111/1000)&lt;=0,"",(AD111-AF111)/(AJ111/60)/(AP111/1000)),""))</f>
        <v>1.5598116169544662</v>
      </c>
    </row>
    <row r="112" spans="1:58" ht="15.75">
      <c r="B112" s="134">
        <v>45372</v>
      </c>
      <c r="C112" s="133"/>
      <c r="D112" s="3">
        <v>107</v>
      </c>
      <c r="E112" s="205" t="str">
        <f t="shared" si="7"/>
        <v/>
      </c>
      <c r="I112" s="15">
        <f>AD112</f>
        <v>22.825000000000003</v>
      </c>
      <c r="K112" s="10" t="str">
        <f t="shared" si="8"/>
        <v/>
      </c>
      <c r="L112" s="9" t="str">
        <f t="shared" si="9"/>
        <v/>
      </c>
      <c r="M112" s="8" t="str">
        <f t="shared" si="10"/>
        <v/>
      </c>
      <c r="X112" s="6">
        <v>0.28000000000000003</v>
      </c>
      <c r="AB112" s="5">
        <v>80</v>
      </c>
      <c r="AD112" s="168">
        <f>(AD111+AD113)/2</f>
        <v>22.825000000000003</v>
      </c>
      <c r="AG112">
        <v>0.09</v>
      </c>
      <c r="AH112" s="119">
        <v>0.97939814814814818</v>
      </c>
      <c r="AJ112" s="1">
        <v>175</v>
      </c>
      <c r="AK112" s="3">
        <v>180</v>
      </c>
      <c r="AN112" s="80">
        <f>360-AK112-AB112</f>
        <v>100</v>
      </c>
      <c r="AO112" s="165"/>
      <c r="AP112" s="13">
        <f>AVERAGE(AO110:AO116)</f>
        <v>4550.0000000000227</v>
      </c>
      <c r="AQ112" s="15" t="str">
        <f>IF(ISNUMBER([2]HRT_SRT!R166),[2]HRT_SRT!R166,"")</f>
        <v/>
      </c>
      <c r="AR112" s="156" t="e">
        <f>(E112-W112)/E112</f>
        <v>#VALUE!</v>
      </c>
      <c r="AS112" s="155">
        <f>(I112-AF112)/I112</f>
        <v>1</v>
      </c>
      <c r="AT112" s="155">
        <f>AG112/(AD112-AF112)</f>
        <v>3.943044906900328E-3</v>
      </c>
      <c r="AU112" s="155" t="e">
        <f>(G112-AM112)/G112</f>
        <v>#DIV/0!</v>
      </c>
      <c r="AV112" s="57" t="str">
        <f>IF(AND(ISNUMBER(E112),ISNUMBER(W112)),E112-W112,"")</f>
        <v/>
      </c>
      <c r="AW112" s="57" t="str">
        <f>IF(AND(ISNUMBER(I112),ISNUMBER(AF112)),I112-AF112,"")</f>
        <v/>
      </c>
      <c r="AX112" s="57" t="str">
        <f>IF(AND(ISNUMBER(AM112),ISNUMBER(G112)),G112-AM112,"")</f>
        <v/>
      </c>
      <c r="AY112" s="57" t="str">
        <f>IF(AND(ISNUMBER(AC112),ISNUMBER(AE112)),AC112-AE112,"")</f>
        <v/>
      </c>
      <c r="AZ112" s="57" t="str">
        <f>IF(AND(ISNUMBER(AL112),ISNUMBER(AM112)),AL112-AM112,"")</f>
        <v/>
      </c>
      <c r="BA112" s="123" t="str">
        <f>IF(AND($E112&gt;0,$W112&gt;0),IF(($E112-$W112)/$E112&gt;0,($E112-$W112)/$E112,0),"")</f>
        <v/>
      </c>
      <c r="BB112" s="123">
        <f>IF(AND($I112&gt;0,$AF112&gt;=0),IF(($I112-$AF112)/$I112&gt;0,($I112-$AF112)/$I112,0),"")</f>
        <v>1</v>
      </c>
      <c r="BC112" s="123">
        <f>IF(AND($AG112&gt;=0,$AD112&gt;=0,$AF112&gt;=0),IF($AG112/($AD112-$AF112)&gt;0,$AG112/($AD112-$AF112),0),"")</f>
        <v>3.943044906900328E-3</v>
      </c>
      <c r="BD112" s="123" t="str">
        <f>IF(AND($G112&gt;0,$AM112&gt;0),IF(($G112-$AM112)/$G112&gt;0,($G112-$AM112)/$G112,0),"")</f>
        <v/>
      </c>
      <c r="BE112" s="6">
        <f>IF((AD112-AF112)/(AJ112/60)&lt;=0,"",(AD112-AF112)/(AJ112/60))</f>
        <v>7.8257142857142874</v>
      </c>
      <c r="BF112" s="6" t="str">
        <f>IF(OR(AJ112=0,AP112=0,NOT(ISNUMBER(AD112)),NOT(ISNUMBER(AF112)),NOT(ISNUMBER(AJ112)),NOT(ISNUMBER(AP112))),"",
IFERROR(IF((AD112-AF112)/(AJ112/60)/(AP112/1000)&lt;=0,"",(AD112-AF112)/(AJ112/60)/(AP112/1000)),""))</f>
        <v/>
      </c>
    </row>
    <row r="113" spans="1:58" ht="15.75">
      <c r="A113" s="12" t="s">
        <v>154</v>
      </c>
      <c r="B113" s="134">
        <v>45373</v>
      </c>
      <c r="C113" s="133"/>
      <c r="D113" s="3">
        <v>108</v>
      </c>
      <c r="E113" s="205" t="str">
        <f t="shared" si="7"/>
        <v/>
      </c>
      <c r="G113" s="15">
        <f>2*10*1.26</f>
        <v>25.2</v>
      </c>
      <c r="I113" s="15">
        <f>AD113</f>
        <v>24.950000000000003</v>
      </c>
      <c r="K113" s="10" t="str">
        <f t="shared" si="8"/>
        <v/>
      </c>
      <c r="L113" s="9" t="str">
        <f t="shared" si="9"/>
        <v/>
      </c>
      <c r="M113" s="8">
        <f t="shared" si="10"/>
        <v>1.9801587301587305</v>
      </c>
      <c r="S113"/>
      <c r="T113" s="6">
        <v>24.3</v>
      </c>
      <c r="W113">
        <v>45.856999999999999</v>
      </c>
      <c r="X113" s="6">
        <v>0.28999999999999998</v>
      </c>
      <c r="AB113" s="5">
        <v>80</v>
      </c>
      <c r="AC113" s="7">
        <f>T113</f>
        <v>24.3</v>
      </c>
      <c r="AD113" s="1">
        <f>5*4.99</f>
        <v>24.950000000000003</v>
      </c>
      <c r="AE113" s="1">
        <v>23.9</v>
      </c>
      <c r="AF113" s="1">
        <v>0</v>
      </c>
      <c r="AG113">
        <v>0.09</v>
      </c>
      <c r="AH113" s="119">
        <v>0.97939814814814818</v>
      </c>
      <c r="AJ113" s="1">
        <v>175</v>
      </c>
      <c r="AK113" s="3">
        <v>180</v>
      </c>
      <c r="AL113" s="4">
        <f>AE113</f>
        <v>23.9</v>
      </c>
      <c r="AM113" s="1">
        <v>21.3</v>
      </c>
      <c r="AN113" s="80">
        <f>360-AK113-AB113</f>
        <v>100</v>
      </c>
      <c r="AO113" s="165"/>
      <c r="AP113" s="13">
        <f>AVERAGE(AO111:AO117)</f>
        <v>4770.0000000000273</v>
      </c>
      <c r="AQ113" s="15" t="str">
        <f>IF(ISNUMBER([2]HRT_SRT!R167),[2]HRT_SRT!R167,"")</f>
        <v/>
      </c>
      <c r="AR113" s="156" t="e">
        <f>(E113-W113)/E113</f>
        <v>#VALUE!</v>
      </c>
      <c r="AS113" s="155">
        <f>(I113-AF113)/I113</f>
        <v>1</v>
      </c>
      <c r="AT113" s="155">
        <f>AG113/(AD113-AF113)</f>
        <v>3.607214428857715E-3</v>
      </c>
      <c r="AU113" s="155">
        <f>(G113-AM113)/G113</f>
        <v>0.15476190476190471</v>
      </c>
      <c r="AV113" s="57" t="str">
        <f>IF(AND(ISNUMBER(E113),ISNUMBER(W113)),E113-W113,"")</f>
        <v/>
      </c>
      <c r="AW113" s="57">
        <f>IF(AND(ISNUMBER(I113),ISNUMBER(AF113)),I113-AF113,"")</f>
        <v>24.950000000000003</v>
      </c>
      <c r="AX113" s="57">
        <f>IF(AND(ISNUMBER(AM113),ISNUMBER(G113)),G113-AM113,"")</f>
        <v>3.8999999999999986</v>
      </c>
      <c r="AY113" s="57">
        <f>IF(AND(ISNUMBER(AC113),ISNUMBER(AE113)),AC113-AE113,"")</f>
        <v>0.40000000000000213</v>
      </c>
      <c r="AZ113" s="57">
        <f>IF(AND(ISNUMBER(AL113),ISNUMBER(AM113)),AL113-AM113,"")</f>
        <v>2.5999999999999979</v>
      </c>
      <c r="BA113" s="123" t="e">
        <f>IF(AND($E113&gt;0,$W113&gt;0),IF(($E113-$W113)/$E113&gt;0,($E113-$W113)/$E113,0),"")</f>
        <v>#VALUE!</v>
      </c>
      <c r="BB113" s="123">
        <f>IF(AND($I113&gt;0,$AF113&gt;=0),IF(($I113-$AF113)/$I113&gt;0,($I113-$AF113)/$I113,0),"")</f>
        <v>1</v>
      </c>
      <c r="BC113" s="123">
        <f>IF(AND($AG113&gt;=0,$AD113&gt;=0,$AF113&gt;=0),IF($AG113/($AD113-$AF113)&gt;0,$AG113/($AD113-$AF113),0),"")</f>
        <v>3.607214428857715E-3</v>
      </c>
      <c r="BD113" s="123">
        <f>IF(AND($G113&gt;0,$AM113&gt;0),IF(($G113-$AM113)/$G113&gt;0,($G113-$AM113)/$G113,0),"")</f>
        <v>0.15476190476190471</v>
      </c>
      <c r="BE113" s="6">
        <f>IF((AD113-AF113)/(AJ113/60)&lt;=0,"",(AD113-AF113)/(AJ113/60))</f>
        <v>8.5542857142857152</v>
      </c>
      <c r="BF113" s="6">
        <f>IF(OR(AJ113=0,AP113=0,NOT(ISNUMBER(AD113)),NOT(ISNUMBER(AF113)),NOT(ISNUMBER(AJ113)),NOT(ISNUMBER(AP113))),"",
IFERROR(IF((AD113-AF113)/(AJ113/60)/(AP113/1000)&lt;=0,"",(AD113-AF113)/(AJ113/60)/(AP113/1000)),""))</f>
        <v>1.793351302785255</v>
      </c>
    </row>
    <row r="114" spans="1:58" ht="15.75">
      <c r="B114" s="134">
        <v>45374</v>
      </c>
      <c r="C114" s="133"/>
      <c r="D114" s="3">
        <v>109</v>
      </c>
      <c r="E114" s="205" t="str">
        <f t="shared" si="7"/>
        <v/>
      </c>
      <c r="G114" s="15"/>
      <c r="H114" s="15"/>
      <c r="I114" s="15">
        <f>AD114</f>
        <v>25.933333333333337</v>
      </c>
      <c r="K114" s="10" t="str">
        <f t="shared" si="8"/>
        <v/>
      </c>
      <c r="L114" s="9" t="str">
        <f t="shared" si="9"/>
        <v/>
      </c>
      <c r="M114" s="8" t="str">
        <f t="shared" si="10"/>
        <v/>
      </c>
      <c r="X114" s="6">
        <v>0.28999999999999998</v>
      </c>
      <c r="AB114" s="5">
        <v>80</v>
      </c>
      <c r="AD114" s="168">
        <f>(AD113*2/3+AD116*1/3)</f>
        <v>25.933333333333337</v>
      </c>
      <c r="AG114">
        <v>0.08</v>
      </c>
      <c r="AH114" s="119">
        <v>0.97939814814814818</v>
      </c>
      <c r="AJ114" s="1">
        <v>175</v>
      </c>
      <c r="AK114" s="3">
        <v>180</v>
      </c>
      <c r="AN114" s="80">
        <f>360-AK114-AB114</f>
        <v>100</v>
      </c>
      <c r="AO114" s="165"/>
      <c r="AP114" s="13">
        <f>AVERAGE(AO112:AO118)</f>
        <v>5330.0000000000182</v>
      </c>
      <c r="AQ114" s="15" t="str">
        <f>IF(ISNUMBER([2]HRT_SRT!R168),[2]HRT_SRT!R168,"")</f>
        <v/>
      </c>
      <c r="AR114" s="156" t="e">
        <f>(E114-W114)/E114</f>
        <v>#VALUE!</v>
      </c>
      <c r="AS114" s="155">
        <f>(I114-AF114)/I114</f>
        <v>1</v>
      </c>
      <c r="AT114" s="155">
        <f>AG114/(AD114-AF114)</f>
        <v>3.0848329048843185E-3</v>
      </c>
      <c r="AU114" s="155" t="e">
        <f>(G114-AM114)/G114</f>
        <v>#DIV/0!</v>
      </c>
      <c r="AV114" s="57" t="str">
        <f>IF(AND(ISNUMBER(E114),ISNUMBER(W114)),E114-W114,"")</f>
        <v/>
      </c>
      <c r="AW114" s="57" t="str">
        <f>IF(AND(ISNUMBER(I114),ISNUMBER(AF114)),I114-AF114,"")</f>
        <v/>
      </c>
      <c r="AX114" s="57" t="str">
        <f>IF(AND(ISNUMBER(AM114),ISNUMBER(G114)),G114-AM114,"")</f>
        <v/>
      </c>
      <c r="AY114" s="57" t="str">
        <f>IF(AND(ISNUMBER(AC114),ISNUMBER(AE114)),AC114-AE114,"")</f>
        <v/>
      </c>
      <c r="AZ114" s="57" t="str">
        <f>IF(AND(ISNUMBER(AL114),ISNUMBER(AM114)),AL114-AM114,"")</f>
        <v/>
      </c>
      <c r="BA114" s="123" t="str">
        <f>IF(AND($E114&gt;0,$W114&gt;0),IF(($E114-$W114)/$E114&gt;0,($E114-$W114)/$E114,0),"")</f>
        <v/>
      </c>
      <c r="BB114" s="123">
        <f>IF(AND($I114&gt;0,$AF114&gt;=0),IF(($I114-$AF114)/$I114&gt;0,($I114-$AF114)/$I114,0),"")</f>
        <v>1</v>
      </c>
      <c r="BC114" s="123">
        <f>IF(AND($AG114&gt;=0,$AD114&gt;=0,$AF114&gt;=0),IF($AG114/($AD114-$AF114)&gt;0,$AG114/($AD114-$AF114),0),"")</f>
        <v>3.0848329048843185E-3</v>
      </c>
      <c r="BD114" s="123" t="str">
        <f>IF(AND($G114&gt;0,$AM114&gt;0),IF(($G114-$AM114)/$G114&gt;0,($G114-$AM114)/$G114,0),"")</f>
        <v/>
      </c>
      <c r="BE114" s="6">
        <f>IF((AD114-AF114)/(AJ114/60)&lt;=0,"",(AD114-AF114)/(AJ114/60))</f>
        <v>8.8914285714285732</v>
      </c>
      <c r="BF114" s="6" t="str">
        <f>IF(OR(AJ114=0,AP114=0,NOT(ISNUMBER(AD114)),NOT(ISNUMBER(AF114)),NOT(ISNUMBER(AJ114)),NOT(ISNUMBER(AP114))),"",
IFERROR(IF((AD114-AF114)/(AJ114/60)/(AP114/1000)&lt;=0,"",(AD114-AF114)/(AJ114/60)/(AP114/1000)),""))</f>
        <v/>
      </c>
    </row>
    <row r="115" spans="1:58" ht="15.75">
      <c r="B115" s="134">
        <v>45375</v>
      </c>
      <c r="C115" s="133"/>
      <c r="D115" s="3">
        <v>110</v>
      </c>
      <c r="E115" s="205" t="str">
        <f t="shared" si="7"/>
        <v/>
      </c>
      <c r="G115" s="15"/>
      <c r="H115" s="15"/>
      <c r="I115" s="15">
        <f>AD115</f>
        <v>27.244444444444444</v>
      </c>
      <c r="K115" s="10" t="str">
        <f t="shared" si="8"/>
        <v/>
      </c>
      <c r="L115" s="9" t="str">
        <f t="shared" si="9"/>
        <v/>
      </c>
      <c r="M115" s="8" t="str">
        <f t="shared" si="10"/>
        <v/>
      </c>
      <c r="X115" s="6">
        <v>0.28999999999999998</v>
      </c>
      <c r="AB115" s="5">
        <v>80</v>
      </c>
      <c r="AD115" s="168">
        <f>(AD114*1/3+AD116*2/3)</f>
        <v>27.244444444444444</v>
      </c>
      <c r="AG115">
        <v>0.09</v>
      </c>
      <c r="AH115" s="119">
        <v>0.97939814814814818</v>
      </c>
      <c r="AJ115" s="1">
        <v>175</v>
      </c>
      <c r="AK115" s="3">
        <v>180</v>
      </c>
      <c r="AN115" s="80">
        <f>360-AK115-AB115</f>
        <v>100</v>
      </c>
      <c r="AO115" s="165"/>
      <c r="AP115" s="13">
        <f>AVERAGE(AO113:AO119)</f>
        <v>5330.0000000000182</v>
      </c>
      <c r="AQ115" s="15" t="str">
        <f>IF(ISNUMBER([2]HRT_SRT!R169),[2]HRT_SRT!R169,"")</f>
        <v/>
      </c>
      <c r="AR115" s="156" t="e">
        <f>(E115-W115)/E115</f>
        <v>#VALUE!</v>
      </c>
      <c r="AS115" s="155">
        <f>(I115-AF115)/I115</f>
        <v>1</v>
      </c>
      <c r="AT115" s="155">
        <f>AG115/(AD115-AF115)</f>
        <v>3.3034257748776508E-3</v>
      </c>
      <c r="AU115" s="155" t="e">
        <f>(G115-AM115)/G115</f>
        <v>#DIV/0!</v>
      </c>
      <c r="AV115" s="57" t="str">
        <f>IF(AND(ISNUMBER(E115),ISNUMBER(W115)),E115-W115,"")</f>
        <v/>
      </c>
      <c r="AW115" s="57" t="str">
        <f>IF(AND(ISNUMBER(I115),ISNUMBER(AF115)),I115-AF115,"")</f>
        <v/>
      </c>
      <c r="AX115" s="57" t="str">
        <f>IF(AND(ISNUMBER(AM115),ISNUMBER(G115)),G115-AM115,"")</f>
        <v/>
      </c>
      <c r="AY115" s="57" t="str">
        <f>IF(AND(ISNUMBER(AC115),ISNUMBER(AE115)),AC115-AE115,"")</f>
        <v/>
      </c>
      <c r="AZ115" s="57" t="str">
        <f>IF(AND(ISNUMBER(AL115),ISNUMBER(AM115)),AL115-AM115,"")</f>
        <v/>
      </c>
      <c r="BA115" s="123" t="str">
        <f>IF(AND($E115&gt;0,$W115&gt;0),IF(($E115-$W115)/$E115&gt;0,($E115-$W115)/$E115,0),"")</f>
        <v/>
      </c>
      <c r="BB115" s="123">
        <f>IF(AND($I115&gt;0,$AF115&gt;=0),IF(($I115-$AF115)/$I115&gt;0,($I115-$AF115)/$I115,0),"")</f>
        <v>1</v>
      </c>
      <c r="BC115" s="123">
        <f>IF(AND($AG115&gt;=0,$AD115&gt;=0,$AF115&gt;=0),IF($AG115/($AD115-$AF115)&gt;0,$AG115/($AD115-$AF115),0),"")</f>
        <v>3.3034257748776508E-3</v>
      </c>
      <c r="BD115" s="123" t="str">
        <f>IF(AND($G115&gt;0,$AM115&gt;0),IF(($G115-$AM115)/$G115&gt;0,($G115-$AM115)/$G115,0),"")</f>
        <v/>
      </c>
      <c r="BE115" s="6">
        <f>IF((AD115-AF115)/(AJ115/60)&lt;=0,"",(AD115-AF115)/(AJ115/60))</f>
        <v>9.3409523809523805</v>
      </c>
      <c r="BF115" s="6" t="str">
        <f>IF(OR(AJ115=0,AP115=0,NOT(ISNUMBER(AD115)),NOT(ISNUMBER(AF115)),NOT(ISNUMBER(AJ115)),NOT(ISNUMBER(AP115))),"",
IFERROR(IF((AD115-AF115)/(AJ115/60)/(AP115/1000)&lt;=0,"",(AD115-AF115)/(AJ115/60)/(AP115/1000)),""))</f>
        <v/>
      </c>
    </row>
    <row r="116" spans="1:58" ht="15.75">
      <c r="A116" s="12" t="s">
        <v>153</v>
      </c>
      <c r="B116" s="134">
        <v>45376</v>
      </c>
      <c r="C116" s="133"/>
      <c r="D116" s="3">
        <v>111</v>
      </c>
      <c r="E116" s="205" t="str">
        <f t="shared" si="7"/>
        <v/>
      </c>
      <c r="G116" s="15">
        <f>2*10*0.847</f>
        <v>16.939999999999998</v>
      </c>
      <c r="H116" s="15"/>
      <c r="I116" s="15">
        <f>AD116</f>
        <v>27.9</v>
      </c>
      <c r="K116" s="10" t="str">
        <f t="shared" si="8"/>
        <v/>
      </c>
      <c r="L116" s="9" t="str">
        <f t="shared" si="9"/>
        <v/>
      </c>
      <c r="M116" s="8">
        <f t="shared" si="10"/>
        <v>3.2939787485242031</v>
      </c>
      <c r="T116" s="6">
        <v>20.9</v>
      </c>
      <c r="X116" s="6">
        <v>0.28999999999999998</v>
      </c>
      <c r="AB116" s="5">
        <v>80</v>
      </c>
      <c r="AC116" s="7">
        <f>T116</f>
        <v>20.9</v>
      </c>
      <c r="AD116" s="1">
        <f>5*5.58</f>
        <v>27.9</v>
      </c>
      <c r="AE116" s="1">
        <v>11.4</v>
      </c>
      <c r="AF116" s="1">
        <v>0</v>
      </c>
      <c r="AG116">
        <v>2.02</v>
      </c>
      <c r="AH116" s="119">
        <v>0.40520833333333334</v>
      </c>
      <c r="AJ116" s="1">
        <v>175</v>
      </c>
      <c r="AK116" s="3">
        <v>180</v>
      </c>
      <c r="AL116" s="4">
        <f>AE116</f>
        <v>11.4</v>
      </c>
      <c r="AM116" s="1">
        <v>7.65</v>
      </c>
      <c r="AN116" s="80">
        <f>360-AK116-AB116</f>
        <v>100</v>
      </c>
      <c r="AO116" s="165"/>
      <c r="AP116" s="13">
        <f>AVERAGE(AO114:AO120)</f>
        <v>5330.0000000000182</v>
      </c>
      <c r="AQ116" s="15" t="str">
        <f>IF(ISNUMBER([2]HRT_SRT!R170),[2]HRT_SRT!R170,"")</f>
        <v/>
      </c>
      <c r="AR116" s="156" t="e">
        <f>(E116-W116)/E116</f>
        <v>#VALUE!</v>
      </c>
      <c r="AS116" s="155">
        <f>(I116-AF116)/I116</f>
        <v>1</v>
      </c>
      <c r="AT116" s="155">
        <f>AG116/(AD116-AF116)</f>
        <v>7.2401433691756278E-2</v>
      </c>
      <c r="AU116" s="155">
        <f>(G116-AM116)/G116</f>
        <v>0.54840613931523019</v>
      </c>
      <c r="AV116" s="57" t="str">
        <f>IF(AND(ISNUMBER(E116),ISNUMBER(W116)),E116-W116,"")</f>
        <v/>
      </c>
      <c r="AW116" s="57">
        <f>IF(AND(ISNUMBER(I116),ISNUMBER(AF116)),I116-AF116,"")</f>
        <v>27.9</v>
      </c>
      <c r="AX116" s="57">
        <f>IF(AND(ISNUMBER(AM116),ISNUMBER(G116)),G116-AM116,"")</f>
        <v>9.2899999999999974</v>
      </c>
      <c r="AY116" s="57">
        <f>IF(AND(ISNUMBER(AC116),ISNUMBER(AE116)),AC116-AE116,"")</f>
        <v>9.4999999999999982</v>
      </c>
      <c r="AZ116" s="57">
        <f>IF(AND(ISNUMBER(AL116),ISNUMBER(AM116)),AL116-AM116,"")</f>
        <v>3.75</v>
      </c>
      <c r="BA116" s="123" t="str">
        <f>IF(AND($E116&gt;0,$W116&gt;0),IF(($E116-$W116)/$E116&gt;0,($E116-$W116)/$E116,0),"")</f>
        <v/>
      </c>
      <c r="BB116" s="123">
        <f>IF(AND($I116&gt;0,$AF116&gt;=0),IF(($I116-$AF116)/$I116&gt;0,($I116-$AF116)/$I116,0),"")</f>
        <v>1</v>
      </c>
      <c r="BC116" s="123">
        <f>IF(AND($AG116&gt;=0,$AD116&gt;=0,$AF116&gt;=0),IF($AG116/($AD116-$AF116)&gt;0,$AG116/($AD116-$AF116),0),"")</f>
        <v>7.2401433691756278E-2</v>
      </c>
      <c r="BD116" s="123">
        <f>IF(AND($G116&gt;0,$AM116&gt;0),IF(($G116-$AM116)/$G116&gt;0,($G116-$AM116)/$G116,0),"")</f>
        <v>0.54840613931523019</v>
      </c>
      <c r="BE116" s="6">
        <f>IF((AD116-AF116)/(AJ116/60)&lt;=0,"",(AD116-AF116)/(AJ116/60))</f>
        <v>9.5657142857142858</v>
      </c>
      <c r="BF116" s="6">
        <f>IF(OR(AJ116=0,AP116=0,NOT(ISNUMBER(AD116)),NOT(ISNUMBER(AF116)),NOT(ISNUMBER(AJ116)),NOT(ISNUMBER(AP116))),"",
IFERROR(IF((AD116-AF116)/(AJ116/60)/(AP116/1000)&lt;=0,"",(AD116-AF116)/(AJ116/60)/(AP116/1000)),""))</f>
        <v>1.7946931117662765</v>
      </c>
    </row>
    <row r="117" spans="1:58" ht="15.75">
      <c r="B117" s="134">
        <v>45377</v>
      </c>
      <c r="C117" s="133"/>
      <c r="D117" s="3">
        <v>112</v>
      </c>
      <c r="E117" s="205" t="str">
        <f t="shared" si="7"/>
        <v/>
      </c>
      <c r="G117" s="15"/>
      <c r="H117" s="15"/>
      <c r="I117" s="15">
        <f>AD117</f>
        <v>28.45</v>
      </c>
      <c r="K117" s="10" t="str">
        <f t="shared" si="8"/>
        <v/>
      </c>
      <c r="L117" s="9" t="str">
        <f t="shared" si="9"/>
        <v/>
      </c>
      <c r="M117" s="8" t="str">
        <f t="shared" si="10"/>
        <v/>
      </c>
      <c r="X117" s="6">
        <v>0.3</v>
      </c>
      <c r="AB117" s="5">
        <v>80</v>
      </c>
      <c r="AD117" s="168">
        <f>(AD116+AD118)/2</f>
        <v>28.45</v>
      </c>
      <c r="AG117">
        <v>0.09</v>
      </c>
      <c r="AH117" s="119">
        <v>0.97939814814814818</v>
      </c>
      <c r="AJ117" s="1">
        <v>175</v>
      </c>
      <c r="AK117" s="3">
        <v>180</v>
      </c>
      <c r="AN117" s="80">
        <f>360-AK117-AB117</f>
        <v>100</v>
      </c>
      <c r="AO117" s="165"/>
      <c r="AP117" s="13">
        <f>AVERAGE(AO115:AO121)</f>
        <v>5330.0000000000182</v>
      </c>
      <c r="AQ117" s="15" t="str">
        <f>IF(ISNUMBER([2]HRT_SRT!R171),[2]HRT_SRT!R171,"")</f>
        <v/>
      </c>
      <c r="AR117" s="156" t="e">
        <f>(E117-W117)/E117</f>
        <v>#VALUE!</v>
      </c>
      <c r="AS117" s="155">
        <f>(I117-AF117)/I117</f>
        <v>1</v>
      </c>
      <c r="AT117" s="155">
        <f>AG117/(AD117-AF117)</f>
        <v>3.1634446397188049E-3</v>
      </c>
      <c r="AU117" s="155" t="e">
        <f>(G117-AM117)/G117</f>
        <v>#DIV/0!</v>
      </c>
      <c r="AV117" s="57" t="str">
        <f>IF(AND(ISNUMBER(E117),ISNUMBER(W117)),E117-W117,"")</f>
        <v/>
      </c>
      <c r="AW117" s="57" t="str">
        <f>IF(AND(ISNUMBER(I117),ISNUMBER(AF117)),I117-AF117,"")</f>
        <v/>
      </c>
      <c r="AX117" s="57" t="str">
        <f>IF(AND(ISNUMBER(AM117),ISNUMBER(G117)),G117-AM117,"")</f>
        <v/>
      </c>
      <c r="AY117" s="57" t="str">
        <f>IF(AND(ISNUMBER(AC117),ISNUMBER(AE117)),AC117-AE117,"")</f>
        <v/>
      </c>
      <c r="AZ117" s="57" t="str">
        <f>IF(AND(ISNUMBER(AL117),ISNUMBER(AM117)),AL117-AM117,"")</f>
        <v/>
      </c>
      <c r="BA117" s="123" t="str">
        <f>IF(AND($E117&gt;0,$W117&gt;0),IF(($E117-$W117)/$E117&gt;0,($E117-$W117)/$E117,0),"")</f>
        <v/>
      </c>
      <c r="BB117" s="123">
        <f>IF(AND($I117&gt;0,$AF117&gt;=0),IF(($I117-$AF117)/$I117&gt;0,($I117-$AF117)/$I117,0),"")</f>
        <v>1</v>
      </c>
      <c r="BC117" s="123">
        <f>IF(AND($AG117&gt;=0,$AD117&gt;=0,$AF117&gt;=0),IF($AG117/($AD117-$AF117)&gt;0,$AG117/($AD117-$AF117),0),"")</f>
        <v>3.1634446397188049E-3</v>
      </c>
      <c r="BD117" s="123" t="str">
        <f>IF(AND($G117&gt;0,$AM117&gt;0),IF(($G117-$AM117)/$G117&gt;0,($G117-$AM117)/$G117,0),"")</f>
        <v/>
      </c>
      <c r="BE117" s="6">
        <f>IF((AD117-AF117)/(AJ117/60)&lt;=0,"",(AD117-AF117)/(AJ117/60))</f>
        <v>9.7542857142857144</v>
      </c>
      <c r="BF117" s="6" t="str">
        <f>IF(OR(AJ117=0,AP117=0,NOT(ISNUMBER(AD117)),NOT(ISNUMBER(AF117)),NOT(ISNUMBER(AJ117)),NOT(ISNUMBER(AP117))),"",
IFERROR(IF((AD117-AF117)/(AJ117/60)/(AP117/1000)&lt;=0,"",(AD117-AF117)/(AJ117/60)/(AP117/1000)),""))</f>
        <v/>
      </c>
    </row>
    <row r="118" spans="1:58" ht="15.75">
      <c r="B118" s="134">
        <v>45378</v>
      </c>
      <c r="C118" s="133"/>
      <c r="D118" s="3">
        <v>113</v>
      </c>
      <c r="E118" s="205">
        <f t="shared" si="7"/>
        <v>371.690538</v>
      </c>
      <c r="G118" s="15">
        <f>(N118*18-H118*18)/9</f>
        <v>20.800000000000011</v>
      </c>
      <c r="H118" s="15">
        <v>22.2</v>
      </c>
      <c r="I118" s="15">
        <f>AD118</f>
        <v>29</v>
      </c>
      <c r="K118" s="10">
        <f t="shared" si="8"/>
        <v>17.869737403846145</v>
      </c>
      <c r="L118" s="9">
        <f t="shared" si="9"/>
        <v>6.4084575517241378</v>
      </c>
      <c r="M118" s="8">
        <f t="shared" si="10"/>
        <v>2.788461538461537</v>
      </c>
      <c r="N118" s="7">
        <v>32.6</v>
      </c>
      <c r="O118" s="6">
        <v>133.709</v>
      </c>
      <c r="P118" s="6">
        <v>28.518999999999998</v>
      </c>
      <c r="Q118" s="6">
        <f>O118*1.067</f>
        <v>142.66750300000001</v>
      </c>
      <c r="R118" s="6">
        <f>P118*1.514</f>
        <v>43.177765999999998</v>
      </c>
      <c r="S118" s="23">
        <f>P118*1.514+O118*1.067</f>
        <v>185.845269</v>
      </c>
      <c r="T118" s="6">
        <v>39.5</v>
      </c>
      <c r="W118" s="6">
        <v>0</v>
      </c>
      <c r="X118" s="6">
        <v>0.49</v>
      </c>
      <c r="AB118" s="5">
        <v>80</v>
      </c>
      <c r="AC118" s="7">
        <f>T118</f>
        <v>39.5</v>
      </c>
      <c r="AD118" s="1">
        <f>5*5.8</f>
        <v>29</v>
      </c>
      <c r="AE118" s="1">
        <v>40.200000000000003</v>
      </c>
      <c r="AF118" s="1">
        <v>0</v>
      </c>
      <c r="AG118">
        <v>0.08</v>
      </c>
      <c r="AH118" s="119">
        <v>0.97939814814814818</v>
      </c>
      <c r="AJ118" s="1">
        <v>175</v>
      </c>
      <c r="AK118" s="3">
        <v>180</v>
      </c>
      <c r="AL118" s="4">
        <f>AE118</f>
        <v>40.200000000000003</v>
      </c>
      <c r="AM118" s="1">
        <v>38.4</v>
      </c>
      <c r="AN118" s="80">
        <f>360-AK118-AB118</f>
        <v>100</v>
      </c>
      <c r="AO118" s="165">
        <f>[2]HRT_SRT!P172</f>
        <v>5330.0000000000182</v>
      </c>
      <c r="AP118" s="13">
        <f>AVERAGE(AO116:AO122)</f>
        <v>5330.0000000000182</v>
      </c>
      <c r="AQ118" s="15">
        <f>IF(ISNUMBER([2]HRT_SRT!R172),[2]HRT_SRT!R172,"")</f>
        <v>17.21267357996366</v>
      </c>
      <c r="AR118" s="156">
        <f>(E118-W118)/E118</f>
        <v>1</v>
      </c>
      <c r="AS118" s="155">
        <f>(I118-AF118)/I118</f>
        <v>1</v>
      </c>
      <c r="AT118" s="155">
        <f>AG118/(AD118-AF118)</f>
        <v>2.7586206896551726E-3</v>
      </c>
      <c r="AU118" s="155">
        <f>(G118-AM118)/G118</f>
        <v>-0.84615384615384504</v>
      </c>
      <c r="AV118" s="57">
        <f>IF(AND(ISNUMBER(E118),ISNUMBER(W118)),E118-W118,"")</f>
        <v>371.690538</v>
      </c>
      <c r="AW118" s="57">
        <f>IF(AND(ISNUMBER(I118),ISNUMBER(AF118)),I118-AF118,"")</f>
        <v>29</v>
      </c>
      <c r="AX118" s="57">
        <f>IF(AND(ISNUMBER(AM118),ISNUMBER(G118)),G118-AM118,"")</f>
        <v>-17.599999999999987</v>
      </c>
      <c r="AY118" s="57">
        <f>IF(AND(ISNUMBER(AC118),ISNUMBER(AE118)),AC118-AE118,"")</f>
        <v>-0.70000000000000284</v>
      </c>
      <c r="AZ118" s="57">
        <f>IF(AND(ISNUMBER(AL118),ISNUMBER(AM118)),AL118-AM118,"")</f>
        <v>1.8000000000000043</v>
      </c>
      <c r="BA118" s="123" t="str">
        <f>IF(AND($E118&gt;0,$W118&gt;0),IF(($E118-$W118)/$E118&gt;0,($E118-$W118)/$E118,0),"")</f>
        <v/>
      </c>
      <c r="BB118" s="123">
        <f>IF(AND($I118&gt;0,$AF118&gt;=0),IF(($I118-$AF118)/$I118&gt;0,($I118-$AF118)/$I118,0),"")</f>
        <v>1</v>
      </c>
      <c r="BC118" s="123">
        <f>IF(AND($AG118&gt;=0,$AD118&gt;=0,$AF118&gt;=0),IF($AG118/($AD118-$AF118)&gt;0,$AG118/($AD118-$AF118),0),"")</f>
        <v>2.7586206896551726E-3</v>
      </c>
      <c r="BD118" s="123">
        <f>IF(AND($G118&gt;0,$AM118&gt;0),IF(($G118-$AM118)/$G118&gt;0,($G118-$AM118)/$G118,0),"")</f>
        <v>0</v>
      </c>
      <c r="BE118" s="6">
        <f>IF((AD118-AF118)/(AJ118/60)&lt;=0,"",(AD118-AF118)/(AJ118/60))</f>
        <v>9.9428571428571431</v>
      </c>
      <c r="BF118" s="6">
        <f>IF(OR(AJ118=0,AP118=0,NOT(ISNUMBER(AD118)),NOT(ISNUMBER(AF118)),NOT(ISNUMBER(AJ118)),NOT(ISNUMBER(AP118))),"",
IFERROR(IF((AD118-AF118)/(AJ118/60)/(AP118/1000)&lt;=0,"",(AD118-AF118)/(AJ118/60)/(AP118/1000)),""))</f>
        <v>1.8654516215491763</v>
      </c>
    </row>
    <row r="119" spans="1:58" ht="15.75">
      <c r="A119" s="180">
        <v>0.08</v>
      </c>
      <c r="B119" s="134">
        <v>45379</v>
      </c>
      <c r="C119" s="133"/>
      <c r="D119" s="3">
        <v>114</v>
      </c>
      <c r="E119" s="205">
        <f t="shared" si="7"/>
        <v>381.81617</v>
      </c>
      <c r="G119" s="15">
        <f>2*13.6</f>
        <v>27.2</v>
      </c>
      <c r="H119" s="15"/>
      <c r="I119" s="15">
        <f>AD119</f>
        <v>22.75</v>
      </c>
      <c r="K119" s="10">
        <f t="shared" si="8"/>
        <v>14.037359191176471</v>
      </c>
      <c r="L119" s="9">
        <f t="shared" si="9"/>
        <v>8.3915641758241755</v>
      </c>
      <c r="M119" s="8">
        <f t="shared" si="10"/>
        <v>1.6727941176470589</v>
      </c>
      <c r="O119" s="6">
        <v>133.709</v>
      </c>
      <c r="P119" s="6">
        <v>31.863</v>
      </c>
      <c r="Q119" s="6">
        <f>O119*1.067</f>
        <v>142.66750300000001</v>
      </c>
      <c r="R119" s="6">
        <f>P119*1.514</f>
        <v>48.240581999999996</v>
      </c>
      <c r="S119" s="23">
        <f>P119*1.514+O119*1.067</f>
        <v>190.908085</v>
      </c>
      <c r="W119" s="6">
        <f>0.857+0.665</f>
        <v>1.522</v>
      </c>
      <c r="X119" s="6">
        <v>0.3</v>
      </c>
      <c r="AB119" s="5">
        <v>80</v>
      </c>
      <c r="AC119" s="4">
        <v>31.3</v>
      </c>
      <c r="AD119" s="1">
        <f>5*4.55</f>
        <v>22.75</v>
      </c>
      <c r="AE119" s="1">
        <v>24.7</v>
      </c>
      <c r="AF119" s="1">
        <v>0</v>
      </c>
      <c r="AG119">
        <v>0.08</v>
      </c>
      <c r="AH119" s="119">
        <v>0.97939814814814818</v>
      </c>
      <c r="AJ119" s="1">
        <v>175</v>
      </c>
      <c r="AK119" s="3">
        <v>180</v>
      </c>
      <c r="AL119" s="4">
        <f>AE119</f>
        <v>24.7</v>
      </c>
      <c r="AM119" s="1">
        <v>21.3</v>
      </c>
      <c r="AN119" s="80">
        <f>360-AK119-AB119</f>
        <v>100</v>
      </c>
      <c r="AO119" s="165"/>
      <c r="AP119" s="13">
        <f>AVERAGE(AO117:AO123)</f>
        <v>5330.0000000000182</v>
      </c>
      <c r="AQ119" s="15" t="str">
        <f>IF(ISNUMBER([2]HRT_SRT!R173),[2]HRT_SRT!R173,"")</f>
        <v/>
      </c>
      <c r="AR119" s="156">
        <f>(E119-W119)/E119</f>
        <v>0.99601378852027145</v>
      </c>
      <c r="AS119" s="155">
        <f>(I119-AF119)/I119</f>
        <v>1</v>
      </c>
      <c r="AT119" s="155">
        <f>AG119/(AD119-AF119)</f>
        <v>3.5164835164835165E-3</v>
      </c>
      <c r="AU119" s="155">
        <f>(G119-AM119)/G119</f>
        <v>0.2169117647058823</v>
      </c>
      <c r="AV119" s="57">
        <f>IF(AND(ISNUMBER(E119),ISNUMBER(W119)),E119-W119,"")</f>
        <v>380.29417000000001</v>
      </c>
      <c r="AW119" s="57">
        <f>IF(AND(ISNUMBER(I119),ISNUMBER(AF119)),I119-AF119,"")</f>
        <v>22.75</v>
      </c>
      <c r="AX119" s="57">
        <f>IF(AND(ISNUMBER(AM119),ISNUMBER(G119)),G119-AM119,"")</f>
        <v>5.8999999999999986</v>
      </c>
      <c r="AY119" s="57">
        <f>IF(AND(ISNUMBER(AC119),ISNUMBER(AE119)),AC119-AE119,"")</f>
        <v>6.6000000000000014</v>
      </c>
      <c r="AZ119" s="57">
        <f>IF(AND(ISNUMBER(AL119),ISNUMBER(AM119)),AL119-AM119,"")</f>
        <v>3.3999999999999986</v>
      </c>
      <c r="BA119" s="123">
        <f>IF(AND($E119&gt;0,$W119&gt;0),IF(($E119-$W119)/$E119&gt;0,($E119-$W119)/$E119,0),"")</f>
        <v>0.99601378852027145</v>
      </c>
      <c r="BB119" s="123">
        <f>IF(AND($I119&gt;0,$AF119&gt;=0),IF(($I119-$AF119)/$I119&gt;0,($I119-$AF119)/$I119,0),"")</f>
        <v>1</v>
      </c>
      <c r="BC119" s="123">
        <f>IF(AND($AG119&gt;=0,$AD119&gt;=0,$AF119&gt;=0),IF($AG119/($AD119-$AF119)&gt;0,$AG119/($AD119-$AF119),0),"")</f>
        <v>3.5164835164835165E-3</v>
      </c>
      <c r="BD119" s="123">
        <f>IF(AND($G119&gt;0,$AM119&gt;0),IF(($G119-$AM119)/$G119&gt;0,($G119-$AM119)/$G119,0),"")</f>
        <v>0.2169117647058823</v>
      </c>
      <c r="BE119" s="6">
        <f>IF((AD119-AF119)/(AJ119/60)&lt;=0,"",(AD119-AF119)/(AJ119/60))</f>
        <v>7.8000000000000007</v>
      </c>
      <c r="BF119" s="6">
        <f>IF(OR(AJ119=0,AP119=0,NOT(ISNUMBER(AD119)),NOT(ISNUMBER(AF119)),NOT(ISNUMBER(AJ119)),NOT(ISNUMBER(AP119))),"",
IFERROR(IF((AD119-AF119)/(AJ119/60)/(AP119/1000)&lt;=0,"",(AD119-AF119)/(AJ119/60)/(AP119/1000)),""))</f>
        <v>1.4634146341463368</v>
      </c>
    </row>
    <row r="120" spans="1:58" ht="15.75">
      <c r="B120" s="134">
        <v>45380</v>
      </c>
      <c r="C120" s="133"/>
      <c r="D120" s="3">
        <v>115</v>
      </c>
      <c r="E120" s="205">
        <f t="shared" si="7"/>
        <v>396.78582799999998</v>
      </c>
      <c r="G120" s="15">
        <f>2*9.67</f>
        <v>19.34</v>
      </c>
      <c r="H120" s="15"/>
      <c r="I120" s="15">
        <f>AD120</f>
        <v>25</v>
      </c>
      <c r="K120" s="10">
        <f t="shared" si="8"/>
        <v>20.516330299896588</v>
      </c>
      <c r="L120" s="9">
        <f t="shared" si="9"/>
        <v>7.9357165599999995</v>
      </c>
      <c r="M120" s="8">
        <f t="shared" si="10"/>
        <v>2.5853154084798344</v>
      </c>
      <c r="O120" s="6">
        <v>139.52199999999999</v>
      </c>
      <c r="P120" s="6">
        <v>32.71</v>
      </c>
      <c r="Q120" s="6">
        <f>O120*1.067</f>
        <v>148.86997399999998</v>
      </c>
      <c r="R120" s="6">
        <f>P120*1.514</f>
        <v>49.522939999999998</v>
      </c>
      <c r="S120" s="23">
        <f>P120*1.514+O120*1.067</f>
        <v>198.39291399999999</v>
      </c>
      <c r="W120" s="6">
        <f>0.808+0.654</f>
        <v>1.4620000000000002</v>
      </c>
      <c r="X120" s="6">
        <v>0.28999999999999998</v>
      </c>
      <c r="AB120" s="5">
        <v>80</v>
      </c>
      <c r="AC120" s="4">
        <v>35.6</v>
      </c>
      <c r="AD120" s="168">
        <v>25</v>
      </c>
      <c r="AE120" s="1">
        <v>30.6</v>
      </c>
      <c r="AG120">
        <v>0.09</v>
      </c>
      <c r="AH120" s="119">
        <v>0.97939814814814818</v>
      </c>
      <c r="AJ120" s="1">
        <v>175</v>
      </c>
      <c r="AK120" s="3">
        <v>180</v>
      </c>
      <c r="AL120" s="4">
        <f>AE120</f>
        <v>30.6</v>
      </c>
      <c r="AM120" s="1">
        <v>17.3</v>
      </c>
      <c r="AN120" s="80">
        <f>360-AK120-AB120</f>
        <v>100</v>
      </c>
      <c r="AO120" s="165"/>
      <c r="AP120" s="13">
        <f>AVERAGE(AO118:AO124)</f>
        <v>5330.0000000000182</v>
      </c>
      <c r="AQ120" s="15" t="str">
        <f>IF(ISNUMBER([2]HRT_SRT!R174),[2]HRT_SRT!R174,"")</f>
        <v/>
      </c>
      <c r="AR120" s="156">
        <f>(E120-W120)/E120</f>
        <v>0.99631539259512059</v>
      </c>
      <c r="AS120" s="155">
        <f>(I120-AF120)/I120</f>
        <v>1</v>
      </c>
      <c r="AT120" s="155">
        <f>AG120/(AD120-AF120)</f>
        <v>3.5999999999999999E-3</v>
      </c>
      <c r="AU120" s="155">
        <f>(G120-AM120)/G120</f>
        <v>0.10548086866597721</v>
      </c>
      <c r="AV120" s="57">
        <f>IF(AND(ISNUMBER(E120),ISNUMBER(W120)),E120-W120,"")</f>
        <v>395.32382799999999</v>
      </c>
      <c r="AW120" s="57" t="str">
        <f>IF(AND(ISNUMBER(I120),ISNUMBER(AF120)),I120-AF120,"")</f>
        <v/>
      </c>
      <c r="AX120" s="57">
        <f>IF(AND(ISNUMBER(AM120),ISNUMBER(G120)),G120-AM120,"")</f>
        <v>2.0399999999999991</v>
      </c>
      <c r="AY120" s="57">
        <f>IF(AND(ISNUMBER(AC120),ISNUMBER(AE120)),AC120-AE120,"")</f>
        <v>5</v>
      </c>
      <c r="AZ120" s="57">
        <f>IF(AND(ISNUMBER(AL120),ISNUMBER(AM120)),AL120-AM120,"")</f>
        <v>13.3</v>
      </c>
      <c r="BA120" s="123">
        <f>IF(AND($E120&gt;0,$W120&gt;0),IF(($E120-$W120)/$E120&gt;0,($E120-$W120)/$E120,0),"")</f>
        <v>0.99631539259512059</v>
      </c>
      <c r="BB120" s="123">
        <f>IF(AND($I120&gt;0,$AF120&gt;=0),IF(($I120-$AF120)/$I120&gt;0,($I120-$AF120)/$I120,0),"")</f>
        <v>1</v>
      </c>
      <c r="BC120" s="123">
        <f>IF(AND($AG120&gt;=0,$AD120&gt;=0,$AF120&gt;=0),IF($AG120/($AD120-$AF120)&gt;0,$AG120/($AD120-$AF120),0),"")</f>
        <v>3.5999999999999999E-3</v>
      </c>
      <c r="BD120" s="123">
        <f>IF(AND($G120&gt;0,$AM120&gt;0),IF(($G120-$AM120)/$G120&gt;0,($G120-$AM120)/$G120,0),"")</f>
        <v>0.10548086866597721</v>
      </c>
      <c r="BE120" s="6">
        <f>IF((AD120-AF120)/(AJ120/60)&lt;=0,"",(AD120-AF120)/(AJ120/60))</f>
        <v>8.5714285714285712</v>
      </c>
      <c r="BF120" s="6" t="str">
        <f>IF(OR(AJ120=0,AP120=0,NOT(ISNUMBER(AD120)),NOT(ISNUMBER(AF120)),NOT(ISNUMBER(AJ120)),NOT(ISNUMBER(AP120))),"",
IFERROR(IF((AD120-AF120)/(AJ120/60)/(AP120/1000)&lt;=0,"",(AD120-AF120)/(AJ120/60)/(AP120/1000)),""))</f>
        <v/>
      </c>
    </row>
    <row r="121" spans="1:58" ht="15.75">
      <c r="B121" s="134">
        <v>45381</v>
      </c>
      <c r="C121" s="133"/>
      <c r="D121" s="3">
        <v>116</v>
      </c>
      <c r="E121" s="205" t="str">
        <f t="shared" si="7"/>
        <v/>
      </c>
      <c r="G121" s="15"/>
      <c r="H121" s="15"/>
      <c r="I121" s="15">
        <f>AD121</f>
        <v>25</v>
      </c>
      <c r="K121" s="10" t="str">
        <f t="shared" si="8"/>
        <v/>
      </c>
      <c r="L121" s="9" t="str">
        <f t="shared" si="9"/>
        <v/>
      </c>
      <c r="M121" s="8" t="str">
        <f t="shared" si="10"/>
        <v/>
      </c>
      <c r="X121" s="6">
        <v>0.31</v>
      </c>
      <c r="AB121" s="5">
        <v>80</v>
      </c>
      <c r="AD121" s="168">
        <v>25</v>
      </c>
      <c r="AG121">
        <v>0.08</v>
      </c>
      <c r="AH121" s="119">
        <v>0.97939814814814818</v>
      </c>
      <c r="AJ121" s="1">
        <v>175</v>
      </c>
      <c r="AK121" s="3">
        <v>180</v>
      </c>
      <c r="AN121" s="80">
        <f>360-AK121-AB121</f>
        <v>100</v>
      </c>
      <c r="AO121" s="165"/>
      <c r="AP121" s="13">
        <f>AVERAGE(AO119:AO125)</f>
        <v>1400</v>
      </c>
      <c r="AQ121" s="15" t="str">
        <f>IF(ISNUMBER([2]HRT_SRT!R175),[2]HRT_SRT!R175,"")</f>
        <v/>
      </c>
      <c r="AR121" s="156" t="e">
        <f>(E121-W121)/E121</f>
        <v>#VALUE!</v>
      </c>
      <c r="AS121" s="155">
        <f>(I121-AF121)/I121</f>
        <v>1</v>
      </c>
      <c r="AT121" s="155">
        <f>AG121/(AD121-AF121)</f>
        <v>3.2000000000000002E-3</v>
      </c>
      <c r="AU121" s="155" t="e">
        <f>(G121-AM121)/G121</f>
        <v>#DIV/0!</v>
      </c>
      <c r="AV121" s="57" t="str">
        <f>IF(AND(ISNUMBER(E121),ISNUMBER(W121)),E121-W121,"")</f>
        <v/>
      </c>
      <c r="AW121" s="57" t="str">
        <f>IF(AND(ISNUMBER(I121),ISNUMBER(AF121)),I121-AF121,"")</f>
        <v/>
      </c>
      <c r="AX121" s="57" t="str">
        <f>IF(AND(ISNUMBER(AM121),ISNUMBER(G121)),G121-AM121,"")</f>
        <v/>
      </c>
      <c r="AY121" s="57" t="str">
        <f>IF(AND(ISNUMBER(AC121),ISNUMBER(AE121)),AC121-AE121,"")</f>
        <v/>
      </c>
      <c r="AZ121" s="57" t="str">
        <f>IF(AND(ISNUMBER(AL121),ISNUMBER(AM121)),AL121-AM121,"")</f>
        <v/>
      </c>
      <c r="BA121" s="123" t="str">
        <f>IF(AND($E121&gt;0,$W121&gt;0),IF(($E121-$W121)/$E121&gt;0,($E121-$W121)/$E121,0),"")</f>
        <v/>
      </c>
      <c r="BB121" s="123">
        <f>IF(AND($I121&gt;0,$AF121&gt;=0),IF(($I121-$AF121)/$I121&gt;0,($I121-$AF121)/$I121,0),"")</f>
        <v>1</v>
      </c>
      <c r="BC121" s="123">
        <f>IF(AND($AG121&gt;=0,$AD121&gt;=0,$AF121&gt;=0),IF($AG121/($AD121-$AF121)&gt;0,$AG121/($AD121-$AF121),0),"")</f>
        <v>3.2000000000000002E-3</v>
      </c>
      <c r="BD121" s="123" t="str">
        <f>IF(AND($G121&gt;0,$AM121&gt;0),IF(($G121-$AM121)/$G121&gt;0,($G121-$AM121)/$G121,0),"")</f>
        <v/>
      </c>
      <c r="BE121" s="6">
        <f>IF((AD121-AF121)/(AJ121/60)&lt;=0,"",(AD121-AF121)/(AJ121/60))</f>
        <v>8.5714285714285712</v>
      </c>
      <c r="BF121" s="6" t="str">
        <f>IF(OR(AJ121=0,AP121=0,NOT(ISNUMBER(AD121)),NOT(ISNUMBER(AF121)),NOT(ISNUMBER(AJ121)),NOT(ISNUMBER(AP121))),"",
IFERROR(IF((AD121-AF121)/(AJ121/60)/(AP121/1000)&lt;=0,"",(AD121-AF121)/(AJ121/60)/(AP121/1000)),""))</f>
        <v/>
      </c>
    </row>
    <row r="122" spans="1:58" ht="15.75">
      <c r="B122" s="134">
        <v>45382</v>
      </c>
      <c r="C122" s="133"/>
      <c r="D122" s="3">
        <v>117</v>
      </c>
      <c r="E122" s="205" t="str">
        <f t="shared" si="7"/>
        <v/>
      </c>
      <c r="G122" s="15"/>
      <c r="H122" s="15"/>
      <c r="I122" s="15">
        <f>AD122</f>
        <v>25</v>
      </c>
      <c r="K122" s="10" t="str">
        <f t="shared" si="8"/>
        <v/>
      </c>
      <c r="L122" s="9" t="str">
        <f t="shared" si="9"/>
        <v/>
      </c>
      <c r="M122" s="8" t="str">
        <f t="shared" si="10"/>
        <v/>
      </c>
      <c r="X122" s="6">
        <v>0.28999999999999998</v>
      </c>
      <c r="AB122" s="5">
        <v>80</v>
      </c>
      <c r="AD122" s="168">
        <v>25</v>
      </c>
      <c r="AG122">
        <v>0.11</v>
      </c>
      <c r="AH122" s="119">
        <v>0.35405092592592591</v>
      </c>
      <c r="AJ122" s="1">
        <v>175</v>
      </c>
      <c r="AK122" s="3">
        <v>180</v>
      </c>
      <c r="AN122" s="80">
        <f>360-AK122-AB122</f>
        <v>100</v>
      </c>
      <c r="AO122" s="165"/>
      <c r="AP122" s="13">
        <f>AVERAGE(AO120:AO126)</f>
        <v>1400</v>
      </c>
      <c r="AQ122" s="15" t="str">
        <f>IF(ISNUMBER([2]HRT_SRT!R176),[2]HRT_SRT!R176,"")</f>
        <v/>
      </c>
      <c r="AR122" s="156" t="e">
        <f>(E122-W122)/E122</f>
        <v>#VALUE!</v>
      </c>
      <c r="AS122" s="155">
        <f>(I122-AF122)/I122</f>
        <v>1</v>
      </c>
      <c r="AT122" s="155">
        <f>AG122/(AD122-AF122)</f>
        <v>4.4000000000000003E-3</v>
      </c>
      <c r="AU122" s="155" t="e">
        <f>(G122-AM122)/G122</f>
        <v>#DIV/0!</v>
      </c>
      <c r="AV122" s="57" t="str">
        <f>IF(AND(ISNUMBER(E122),ISNUMBER(W122)),E122-W122,"")</f>
        <v/>
      </c>
      <c r="AW122" s="57" t="str">
        <f>IF(AND(ISNUMBER(I122),ISNUMBER(AF122)),I122-AF122,"")</f>
        <v/>
      </c>
      <c r="AX122" s="57" t="str">
        <f>IF(AND(ISNUMBER(AM122),ISNUMBER(G122)),G122-AM122,"")</f>
        <v/>
      </c>
      <c r="AY122" s="57" t="str">
        <f>IF(AND(ISNUMBER(AC122),ISNUMBER(AE122)),AC122-AE122,"")</f>
        <v/>
      </c>
      <c r="AZ122" s="57" t="str">
        <f>IF(AND(ISNUMBER(AL122),ISNUMBER(AM122)),AL122-AM122,"")</f>
        <v/>
      </c>
      <c r="BA122" s="123" t="str">
        <f>IF(AND($E122&gt;0,$W122&gt;0),IF(($E122-$W122)/$E122&gt;0,($E122-$W122)/$E122,0),"")</f>
        <v/>
      </c>
      <c r="BB122" s="123">
        <f>IF(AND($I122&gt;0,$AF122&gt;=0),IF(($I122-$AF122)/$I122&gt;0,($I122-$AF122)/$I122,0),"")</f>
        <v>1</v>
      </c>
      <c r="BC122" s="123">
        <f>IF(AND($AG122&gt;=0,$AD122&gt;=0,$AF122&gt;=0),IF($AG122/($AD122-$AF122)&gt;0,$AG122/($AD122-$AF122),0),"")</f>
        <v>4.4000000000000003E-3</v>
      </c>
      <c r="BD122" s="123" t="str">
        <f>IF(AND($G122&gt;0,$AM122&gt;0),IF(($G122-$AM122)/$G122&gt;0,($G122-$AM122)/$G122,0),"")</f>
        <v/>
      </c>
      <c r="BE122" s="6">
        <f>IF((AD122-AF122)/(AJ122/60)&lt;=0,"",(AD122-AF122)/(AJ122/60))</f>
        <v>8.5714285714285712</v>
      </c>
      <c r="BF122" s="6" t="str">
        <f>IF(OR(AJ122=0,AP122=0,NOT(ISNUMBER(AD122)),NOT(ISNUMBER(AF122)),NOT(ISNUMBER(AJ122)),NOT(ISNUMBER(AP122))),"",
IFERROR(IF((AD122-AF122)/(AJ122/60)/(AP122/1000)&lt;=0,"",(AD122-AF122)/(AJ122/60)/(AP122/1000)),""))</f>
        <v/>
      </c>
    </row>
    <row r="123" spans="1:58" ht="15.75">
      <c r="B123" s="134">
        <v>45383</v>
      </c>
      <c r="C123" s="133"/>
      <c r="D123" s="3">
        <v>118</v>
      </c>
      <c r="E123" s="205" t="str">
        <f t="shared" si="7"/>
        <v/>
      </c>
      <c r="G123" s="15"/>
      <c r="H123" s="15"/>
      <c r="I123" s="15">
        <f>AD123</f>
        <v>25</v>
      </c>
      <c r="K123" s="10" t="str">
        <f t="shared" si="8"/>
        <v/>
      </c>
      <c r="L123" s="9" t="str">
        <f t="shared" si="9"/>
        <v/>
      </c>
      <c r="M123" s="8" t="str">
        <f t="shared" si="10"/>
        <v/>
      </c>
      <c r="X123" s="6">
        <v>0.42</v>
      </c>
      <c r="AB123" s="5">
        <v>80</v>
      </c>
      <c r="AD123" s="168">
        <v>25</v>
      </c>
      <c r="AG123">
        <v>0.08</v>
      </c>
      <c r="AH123" s="119">
        <v>0.97939814814814818</v>
      </c>
      <c r="AJ123" s="1">
        <v>175</v>
      </c>
      <c r="AK123" s="3">
        <v>180</v>
      </c>
      <c r="AN123" s="80">
        <f>360-AK123-AB123</f>
        <v>100</v>
      </c>
      <c r="AO123" s="165"/>
      <c r="AP123" s="13">
        <f>AVERAGE(AO121:AO127)</f>
        <v>1400</v>
      </c>
      <c r="AQ123" s="15" t="str">
        <f>IF(ISNUMBER([2]HRT_SRT!R177),[2]HRT_SRT!R177,"")</f>
        <v/>
      </c>
      <c r="AR123" s="156" t="e">
        <f>(E123-W123)/E123</f>
        <v>#VALUE!</v>
      </c>
      <c r="AS123" s="155">
        <f>(I123-AF123)/I123</f>
        <v>1</v>
      </c>
      <c r="AT123" s="155">
        <f>AG123/(AD123-AF123)</f>
        <v>3.2000000000000002E-3</v>
      </c>
      <c r="AU123" s="155" t="e">
        <f>(G123-AM123)/G123</f>
        <v>#DIV/0!</v>
      </c>
      <c r="AV123" s="57" t="str">
        <f>IF(AND(ISNUMBER(E123),ISNUMBER(W123)),E123-W123,"")</f>
        <v/>
      </c>
      <c r="AW123" s="57" t="str">
        <f>IF(AND(ISNUMBER(I123),ISNUMBER(AF123)),I123-AF123,"")</f>
        <v/>
      </c>
      <c r="AX123" s="57" t="str">
        <f>IF(AND(ISNUMBER(AM123),ISNUMBER(G123)),G123-AM123,"")</f>
        <v/>
      </c>
      <c r="AY123" s="57" t="str">
        <f>IF(AND(ISNUMBER(AC123),ISNUMBER(AE123)),AC123-AE123,"")</f>
        <v/>
      </c>
      <c r="AZ123" s="57" t="str">
        <f>IF(AND(ISNUMBER(AL123),ISNUMBER(AM123)),AL123-AM123,"")</f>
        <v/>
      </c>
      <c r="BA123" s="123" t="str">
        <f>IF(AND($E123&gt;0,$W123&gt;0),IF(($E123-$W123)/$E123&gt;0,($E123-$W123)/$E123,0),"")</f>
        <v/>
      </c>
      <c r="BB123" s="123">
        <f>IF(AND($I123&gt;0,$AF123&gt;=0),IF(($I123-$AF123)/$I123&gt;0,($I123-$AF123)/$I123,0),"")</f>
        <v>1</v>
      </c>
      <c r="BC123" s="123">
        <f>IF(AND($AG123&gt;=0,$AD123&gt;=0,$AF123&gt;=0),IF($AG123/($AD123-$AF123)&gt;0,$AG123/($AD123-$AF123),0),"")</f>
        <v>3.2000000000000002E-3</v>
      </c>
      <c r="BD123" s="123" t="str">
        <f>IF(AND($G123&gt;0,$AM123&gt;0),IF(($G123-$AM123)/$G123&gt;0,($G123-$AM123)/$G123,0),"")</f>
        <v/>
      </c>
      <c r="BE123" s="6">
        <f>IF((AD123-AF123)/(AJ123/60)&lt;=0,"",(AD123-AF123)/(AJ123/60))</f>
        <v>8.5714285714285712</v>
      </c>
      <c r="BF123" s="6" t="str">
        <f>IF(OR(AJ123=0,AP123=0,NOT(ISNUMBER(AD123)),NOT(ISNUMBER(AF123)),NOT(ISNUMBER(AJ123)),NOT(ISNUMBER(AP123))),"",
IFERROR(IF((AD123-AF123)/(AJ123/60)/(AP123/1000)&lt;=0,"",(AD123-AF123)/(AJ123/60)/(AP123/1000)),""))</f>
        <v/>
      </c>
    </row>
    <row r="124" spans="1:58" ht="15.75">
      <c r="A124" s="12" t="s">
        <v>152</v>
      </c>
      <c r="B124" s="134">
        <v>45384</v>
      </c>
      <c r="C124" s="133"/>
      <c r="D124" s="3">
        <v>119</v>
      </c>
      <c r="E124" s="205">
        <f t="shared" si="7"/>
        <v>451.23765199999997</v>
      </c>
      <c r="G124" s="15">
        <f>(N124*18-H124*18)/9</f>
        <v>20.600000000000005</v>
      </c>
      <c r="H124" s="15">
        <v>10.5</v>
      </c>
      <c r="I124" s="15">
        <f>AD124</f>
        <v>25</v>
      </c>
      <c r="K124" s="10">
        <f t="shared" si="8"/>
        <v>21.904740388349509</v>
      </c>
      <c r="L124" s="9">
        <f t="shared" si="9"/>
        <v>9.0247530400000002</v>
      </c>
      <c r="M124" s="8">
        <f t="shared" si="10"/>
        <v>2.4271844660194168</v>
      </c>
      <c r="N124" s="7">
        <v>20.8</v>
      </c>
      <c r="O124" s="6">
        <v>162.64599999999999</v>
      </c>
      <c r="P124" s="6">
        <v>34.396000000000001</v>
      </c>
      <c r="Q124" s="6">
        <f>O124*1.067</f>
        <v>173.54328199999998</v>
      </c>
      <c r="R124" s="6">
        <f>P124*1.514</f>
        <v>52.075544000000001</v>
      </c>
      <c r="S124" s="23">
        <f>P124*1.514+O124*1.067</f>
        <v>225.61882599999998</v>
      </c>
      <c r="X124" s="6">
        <v>0.3</v>
      </c>
      <c r="AB124" s="5">
        <v>80</v>
      </c>
      <c r="AD124" s="168">
        <v>25</v>
      </c>
      <c r="AE124" s="1">
        <v>24.8</v>
      </c>
      <c r="AF124" s="1">
        <v>0</v>
      </c>
      <c r="AG124">
        <v>0.06</v>
      </c>
      <c r="AH124" s="119">
        <v>0.97939814814814818</v>
      </c>
      <c r="AJ124" s="1">
        <v>175</v>
      </c>
      <c r="AK124" s="3">
        <v>180</v>
      </c>
      <c r="AL124" s="4">
        <f>AE124</f>
        <v>24.8</v>
      </c>
      <c r="AM124" s="1">
        <v>19.899999999999999</v>
      </c>
      <c r="AN124" s="80">
        <f>360-AK124-AB124</f>
        <v>100</v>
      </c>
      <c r="AO124" s="165"/>
      <c r="AP124" s="13">
        <f>AVERAGE(AO122:AO128)</f>
        <v>1400</v>
      </c>
      <c r="AQ124" s="15" t="str">
        <f>IF(ISNUMBER([2]HRT_SRT!R178),[2]HRT_SRT!R178,"")</f>
        <v/>
      </c>
      <c r="AR124" s="156">
        <f>(E124-W124)/E124</f>
        <v>1</v>
      </c>
      <c r="AS124" s="155">
        <f>(I124-AF124)/I124</f>
        <v>1</v>
      </c>
      <c r="AT124" s="155">
        <f>AG124/(AD124-AF124)</f>
        <v>2.3999999999999998E-3</v>
      </c>
      <c r="AU124" s="155">
        <f>(G124-AM124)/G124</f>
        <v>3.3980582524272149E-2</v>
      </c>
      <c r="AV124" s="57" t="str">
        <f>IF(AND(ISNUMBER(E124),ISNUMBER(W124)),E124-W124,"")</f>
        <v/>
      </c>
      <c r="AW124" s="57">
        <f>IF(AND(ISNUMBER(I124),ISNUMBER(AF124)),I124-AF124,"")</f>
        <v>25</v>
      </c>
      <c r="AX124" s="57">
        <f>IF(AND(ISNUMBER(AM124),ISNUMBER(G124)),G124-AM124,"")</f>
        <v>0.70000000000000639</v>
      </c>
      <c r="AY124" s="57" t="str">
        <f>IF(AND(ISNUMBER(AC124),ISNUMBER(AE124)),AC124-AE124,"")</f>
        <v/>
      </c>
      <c r="AZ124" s="57">
        <f>IF(AND(ISNUMBER(AL124),ISNUMBER(AM124)),AL124-AM124,"")</f>
        <v>4.9000000000000021</v>
      </c>
      <c r="BA124" s="123" t="str">
        <f>IF(AND($E124&gt;0,$W124&gt;0),IF(($E124-$W124)/$E124&gt;0,($E124-$W124)/$E124,0),"")</f>
        <v/>
      </c>
      <c r="BB124" s="123">
        <f>IF(AND($I124&gt;0,$AF124&gt;=0),IF(($I124-$AF124)/$I124&gt;0,($I124-$AF124)/$I124,0),"")</f>
        <v>1</v>
      </c>
      <c r="BC124" s="123">
        <f>IF(AND($AG124&gt;=0,$AD124&gt;=0,$AF124&gt;=0),IF($AG124/($AD124-$AF124)&gt;0,$AG124/($AD124-$AF124),0),"")</f>
        <v>2.3999999999999998E-3</v>
      </c>
      <c r="BD124" s="123">
        <f>IF(AND($G124&gt;0,$AM124&gt;0),IF(($G124-$AM124)/$G124&gt;0,($G124-$AM124)/$G124,0),"")</f>
        <v>3.3980582524272149E-2</v>
      </c>
      <c r="BE124" s="6">
        <f>IF((AD124-AF124)/(AJ124/60)&lt;=0,"",(AD124-AF124)/(AJ124/60))</f>
        <v>8.5714285714285712</v>
      </c>
      <c r="BF124" s="6">
        <f>IF(OR(AJ124=0,AP124=0,NOT(ISNUMBER(AD124)),NOT(ISNUMBER(AF124)),NOT(ISNUMBER(AJ124)),NOT(ISNUMBER(AP124))),"",
IFERROR(IF((AD124-AF124)/(AJ124/60)/(AP124/1000)&lt;=0,"",(AD124-AF124)/(AJ124/60)/(AP124/1000)),""))</f>
        <v>6.1224489795918373</v>
      </c>
    </row>
    <row r="125" spans="1:58" s="27" customFormat="1" ht="15.75">
      <c r="A125" s="179" t="s">
        <v>151</v>
      </c>
      <c r="B125" s="178">
        <v>45385</v>
      </c>
      <c r="C125" s="133"/>
      <c r="D125" s="29">
        <v>120</v>
      </c>
      <c r="E125" s="205" t="str">
        <f t="shared" si="7"/>
        <v/>
      </c>
      <c r="F125" s="36"/>
      <c r="G125" s="36"/>
      <c r="H125" s="36"/>
      <c r="I125" s="15">
        <f>AD125</f>
        <v>25</v>
      </c>
      <c r="J125" s="35"/>
      <c r="K125" s="10" t="str">
        <f t="shared" si="8"/>
        <v/>
      </c>
      <c r="L125" s="9" t="str">
        <f t="shared" si="9"/>
        <v/>
      </c>
      <c r="M125" s="8" t="str">
        <f t="shared" si="10"/>
        <v/>
      </c>
      <c r="N125" s="34"/>
      <c r="O125" s="33"/>
      <c r="P125" s="33"/>
      <c r="Q125" s="33"/>
      <c r="R125" s="33"/>
      <c r="S125" s="33"/>
      <c r="T125" s="33"/>
      <c r="U125" s="33"/>
      <c r="V125" s="33"/>
      <c r="W125" s="33"/>
      <c r="X125" s="33">
        <v>0.33</v>
      </c>
      <c r="Y125" s="33"/>
      <c r="Z125" s="33"/>
      <c r="AA125" s="33"/>
      <c r="AB125" s="74">
        <v>80</v>
      </c>
      <c r="AC125" s="32"/>
      <c r="AD125" s="177">
        <v>25</v>
      </c>
      <c r="AG125" s="116">
        <v>0.06</v>
      </c>
      <c r="AH125" s="125">
        <v>0.97939814814814818</v>
      </c>
      <c r="AJ125" s="27">
        <v>175</v>
      </c>
      <c r="AK125" s="29">
        <v>180</v>
      </c>
      <c r="AL125" s="32"/>
      <c r="AN125" s="87">
        <f>360-AK125-AB125</f>
        <v>100</v>
      </c>
      <c r="AO125" s="176">
        <f>[2]HRT_SRT!P179</f>
        <v>1400</v>
      </c>
      <c r="AP125" s="13">
        <f>AVERAGE(AO123:AO129)</f>
        <v>1400</v>
      </c>
      <c r="AQ125" s="77">
        <f>IF(ISNUMBER([2]HRT_SRT!R179),[2]HRT_SRT!R179,"")</f>
        <v>2.5004961301845725</v>
      </c>
      <c r="AR125" s="156" t="e">
        <f>(E125-W125)/E125</f>
        <v>#VALUE!</v>
      </c>
      <c r="AS125" s="155">
        <f>(I125-AF125)/I125</f>
        <v>1</v>
      </c>
      <c r="AT125" s="155">
        <f>AG125/(AD125-AF125)</f>
        <v>2.3999999999999998E-3</v>
      </c>
      <c r="AU125" s="155" t="e">
        <f>(G125-AM125)/G125</f>
        <v>#DIV/0!</v>
      </c>
      <c r="AV125" s="57" t="str">
        <f>IF(AND(ISNUMBER(E125),ISNUMBER(W125)),E125-W125,"")</f>
        <v/>
      </c>
      <c r="AW125" s="57" t="str">
        <f>IF(AND(ISNUMBER(I125),ISNUMBER(AF125)),I125-AF125,"")</f>
        <v/>
      </c>
      <c r="AX125" s="57" t="str">
        <f>IF(AND(ISNUMBER(AM125),ISNUMBER(G125)),G125-AM125,"")</f>
        <v/>
      </c>
      <c r="AY125" s="57" t="str">
        <f>IF(AND(ISNUMBER(AC125),ISNUMBER(AE125)),AC125-AE125,"")</f>
        <v/>
      </c>
      <c r="AZ125" s="57" t="str">
        <f>IF(AND(ISNUMBER(AL125),ISNUMBER(AM125)),AL125-AM125,"")</f>
        <v/>
      </c>
      <c r="BA125" s="123" t="str">
        <f>IF(AND($E125&gt;0,$W125&gt;0),IF(($E125-$W125)/$E125&gt;0,($E125-$W125)/$E125,0),"")</f>
        <v/>
      </c>
      <c r="BB125" s="123">
        <f>IF(AND($I125&gt;0,$AF125&gt;=0),IF(($I125-$AF125)/$I125&gt;0,($I125-$AF125)/$I125,0),"")</f>
        <v>1</v>
      </c>
      <c r="BC125" s="123">
        <f>IF(AND($AG125&gt;=0,$AD125&gt;=0,$AF125&gt;=0),IF($AG125/($AD125-$AF125)&gt;0,$AG125/($AD125-$AF125),0),"")</f>
        <v>2.3999999999999998E-3</v>
      </c>
      <c r="BD125" s="123" t="str">
        <f>IF(AND($G125&gt;0,$AM125&gt;0),IF(($G125-$AM125)/$G125&gt;0,($G125-$AM125)/$G125,0),"")</f>
        <v/>
      </c>
      <c r="BE125" s="6">
        <f>IF((AD125-AF125)/(AJ125/60)&lt;=0,"",(AD125-AF125)/(AJ125/60))</f>
        <v>8.5714285714285712</v>
      </c>
      <c r="BF125" s="6" t="str">
        <f>IF(OR(AJ125=0,AP125=0,NOT(ISNUMBER(AD125)),NOT(ISNUMBER(AF125)),NOT(ISNUMBER(AJ125)),NOT(ISNUMBER(AP125))),"",
IFERROR(IF((AD125-AF125)/(AJ125/60)/(AP125/1000)&lt;=0,"",(AD125-AF125)/(AJ125/60)/(AP125/1000)),""))</f>
        <v/>
      </c>
    </row>
    <row r="126" spans="1:58" ht="15.75">
      <c r="A126" s="12" t="s">
        <v>150</v>
      </c>
      <c r="B126" s="11">
        <v>45386</v>
      </c>
      <c r="D126" s="3">
        <v>121</v>
      </c>
      <c r="E126" s="205">
        <f t="shared" si="7"/>
        <v>473.47846399999997</v>
      </c>
      <c r="I126" s="15">
        <f>AD126</f>
        <v>25</v>
      </c>
      <c r="K126" s="10" t="str">
        <f t="shared" si="8"/>
        <v/>
      </c>
      <c r="L126" s="9">
        <f t="shared" si="9"/>
        <v>9.46956928</v>
      </c>
      <c r="M126" s="8" t="str">
        <f t="shared" si="10"/>
        <v/>
      </c>
      <c r="O126" s="6">
        <v>174.34800000000001</v>
      </c>
      <c r="P126" s="6">
        <v>33.494</v>
      </c>
      <c r="Q126" s="6">
        <f>O126*1.067</f>
        <v>186.02931599999999</v>
      </c>
      <c r="R126" s="6">
        <f>P126*1.514</f>
        <v>50.709916</v>
      </c>
      <c r="S126" s="23">
        <f>P126*1.514+O126*1.067</f>
        <v>236.73923199999999</v>
      </c>
      <c r="W126" s="6">
        <f>0.687+84.128</f>
        <v>84.814999999999998</v>
      </c>
      <c r="AB126" s="5">
        <v>80</v>
      </c>
      <c r="AD126" s="168">
        <v>25</v>
      </c>
      <c r="AG126">
        <v>0.06</v>
      </c>
      <c r="AH126" s="119">
        <v>0.97939814814814818</v>
      </c>
      <c r="AJ126" s="1">
        <v>175</v>
      </c>
      <c r="AK126" s="3">
        <v>180</v>
      </c>
      <c r="AN126" s="80">
        <f>360-AK126-AB126</f>
        <v>100</v>
      </c>
      <c r="AO126" s="165"/>
      <c r="AP126" s="13">
        <f>AVERAGE(AO124:AO130)</f>
        <v>1400</v>
      </c>
      <c r="AQ126" s="15" t="str">
        <f>IF(ISNUMBER([2]HRT_SRT!R180),[2]HRT_SRT!R180,"")</f>
        <v/>
      </c>
      <c r="AR126" s="17">
        <f>(E126-W126)/E126</f>
        <v>0.82086830458248672</v>
      </c>
      <c r="AS126" s="16">
        <f>(I126-AF126)/I126</f>
        <v>1</v>
      </c>
      <c r="AT126" s="16">
        <f>AG126/(AD126-AF126)</f>
        <v>2.3999999999999998E-3</v>
      </c>
      <c r="AU126" s="16" t="e">
        <f>(G126-AM126)/G126</f>
        <v>#DIV/0!</v>
      </c>
      <c r="AV126" s="57">
        <f>IF(AND(ISNUMBER(E126),ISNUMBER(W126)),E126-W126,"")</f>
        <v>388.66346399999998</v>
      </c>
      <c r="AW126" s="57" t="str">
        <f>IF(AND(ISNUMBER(I126),ISNUMBER(AF126)),I126-AF126,"")</f>
        <v/>
      </c>
      <c r="AX126" s="57" t="str">
        <f>IF(AND(ISNUMBER(AM126),ISNUMBER(G126)),G126-AM126,"")</f>
        <v/>
      </c>
      <c r="AY126" s="57" t="str">
        <f>IF(AND(ISNUMBER(AC126),ISNUMBER(AE126)),AC126-AE126,"")</f>
        <v/>
      </c>
      <c r="AZ126" s="57" t="str">
        <f>IF(AND(ISNUMBER(AL126),ISNUMBER(AM126)),AL126-AM126,"")</f>
        <v/>
      </c>
      <c r="BA126" s="84">
        <f>IF(AND($E126&gt;0,$W126&gt;0),IF(($E126-$W126)/$E126&gt;0,($E126-$W126)/$E126,0),#N/A)</f>
        <v>0.82086830458248672</v>
      </c>
      <c r="BB126" s="84">
        <f>IF(AND($I126&gt;0,$AF126&gt;=0),IF(($I126-$AF126)/$I126&gt;0,($I126-$AF126)/$I126,0),#N/A)</f>
        <v>1</v>
      </c>
      <c r="BC126" s="84">
        <f>IF(AND($AG126&gt;=0,$AD126&gt;=0,$AF126&gt;=0),IF($AG126/($AD126-$AF126)&gt;0,$AG126/($AD126-$AF126),0),#N/A)</f>
        <v>2.3999999999999998E-3</v>
      </c>
      <c r="BD126" s="84" t="str">
        <f>IF(AND($G126&gt;0,$AM126&gt;0),IF(($G126-$AM126)/$G126&gt;0,($G126-$AM126)/$G126,0),"")</f>
        <v/>
      </c>
      <c r="BE126" s="6">
        <f>IF((AD126-AF126)/(AJ126/60)&lt;=0,"",(AD126-AF126)/(AJ126/60))</f>
        <v>8.5714285714285712</v>
      </c>
      <c r="BF126" s="6" t="str">
        <f>IF(OR(AJ126=0,AP126=0,NOT(ISNUMBER(AD126)),NOT(ISNUMBER(AF126)),NOT(ISNUMBER(AJ126)),NOT(ISNUMBER(AP126))),"",
IFERROR(IF((AD126-AF126)/(AJ126/60)/(AP126/1000)&lt;=0,"",(AD126-AF126)/(AJ126/60)/(AP126/1000)),""))</f>
        <v/>
      </c>
    </row>
    <row r="127" spans="1:58" ht="15.75">
      <c r="B127" s="11">
        <v>45387</v>
      </c>
      <c r="D127" s="3">
        <v>122</v>
      </c>
      <c r="E127" s="205">
        <f t="shared" si="7"/>
        <v>215.67633599999999</v>
      </c>
      <c r="G127" s="15">
        <f>(N127*18-H127*18)/9</f>
        <v>21.18</v>
      </c>
      <c r="H127" s="15">
        <v>5.51</v>
      </c>
      <c r="I127" s="15">
        <f>AD127</f>
        <v>23.450000000000003</v>
      </c>
      <c r="K127" s="10">
        <f t="shared" si="8"/>
        <v>10.183018696883853</v>
      </c>
      <c r="L127" s="9">
        <f t="shared" si="9"/>
        <v>4.5986425586353938</v>
      </c>
      <c r="M127" s="8">
        <f t="shared" si="10"/>
        <v>2.2143531633616624</v>
      </c>
      <c r="N127" s="7">
        <v>16.100000000000001</v>
      </c>
      <c r="O127" s="6">
        <v>80.268000000000001</v>
      </c>
      <c r="P127" s="6">
        <v>14.657999999999999</v>
      </c>
      <c r="Q127" s="6">
        <f>O127*1.067</f>
        <v>85.645955999999998</v>
      </c>
      <c r="R127" s="6">
        <f>P127*1.514</f>
        <v>22.192211999999998</v>
      </c>
      <c r="S127" s="23">
        <f>P127*1.514+O127*1.067</f>
        <v>107.838168</v>
      </c>
      <c r="T127" s="6">
        <v>18.899999999999999</v>
      </c>
      <c r="W127" s="6">
        <f>8.725</f>
        <v>8.7249999999999996</v>
      </c>
      <c r="X127" s="6">
        <v>4.08</v>
      </c>
      <c r="AB127" s="5">
        <v>80</v>
      </c>
      <c r="AC127" s="7">
        <f>T127</f>
        <v>18.899999999999999</v>
      </c>
      <c r="AD127" s="1">
        <f>5*4.69</f>
        <v>23.450000000000003</v>
      </c>
      <c r="AE127" s="1">
        <v>15.9</v>
      </c>
      <c r="AF127" s="1">
        <v>0</v>
      </c>
      <c r="AG127">
        <v>0.08</v>
      </c>
      <c r="AH127" s="119">
        <v>0.35775462962962962</v>
      </c>
      <c r="AJ127" s="1">
        <v>175</v>
      </c>
      <c r="AK127" s="3">
        <v>180</v>
      </c>
      <c r="AL127" s="4">
        <f>AE127</f>
        <v>15.9</v>
      </c>
      <c r="AM127" s="1">
        <v>13.4</v>
      </c>
      <c r="AN127" s="80">
        <f>360-AK127-AB127</f>
        <v>100</v>
      </c>
      <c r="AO127" s="165"/>
      <c r="AP127" s="13">
        <f>AVERAGE(AO125:AO131)</f>
        <v>1400</v>
      </c>
      <c r="AQ127" s="15" t="str">
        <f>IF(ISNUMBER([2]HRT_SRT!R181),[2]HRT_SRT!R181,"")</f>
        <v/>
      </c>
      <c r="AR127" s="17">
        <f>(E127-W127)/E127</f>
        <v>0.95954586320494617</v>
      </c>
      <c r="AS127" s="16">
        <f>(I127-AF127)/I127</f>
        <v>1</v>
      </c>
      <c r="AT127" s="16">
        <f>AG127/(AD127-AF127)</f>
        <v>3.4115138592750532E-3</v>
      </c>
      <c r="AU127" s="16">
        <f>(G127-AM127)/G127</f>
        <v>0.3673276676109537</v>
      </c>
      <c r="AV127" s="57">
        <f>IF(AND(ISNUMBER(E127),ISNUMBER(W127)),E127-W127,"")</f>
        <v>206.951336</v>
      </c>
      <c r="AW127" s="57">
        <f>IF(AND(ISNUMBER(I127),ISNUMBER(AF127)),I127-AF127,"")</f>
        <v>23.450000000000003</v>
      </c>
      <c r="AX127" s="57">
        <f>IF(AND(ISNUMBER(AM127),ISNUMBER(G127)),G127-AM127,"")</f>
        <v>7.7799999999999994</v>
      </c>
      <c r="AY127" s="57">
        <f>IF(AND(ISNUMBER(AC127),ISNUMBER(AE127)),AC127-AE127,"")</f>
        <v>2.9999999999999982</v>
      </c>
      <c r="AZ127" s="57">
        <f>IF(AND(ISNUMBER(AL127),ISNUMBER(AM127)),AL127-AM127,"")</f>
        <v>2.5</v>
      </c>
      <c r="BA127" s="84">
        <f>IF(AND($E127&gt;0,$W127&gt;0),IF(($E127-$W127)/$E127&gt;0,($E127-$W127)/$E127,0),"")</f>
        <v>0.95954586320494617</v>
      </c>
      <c r="BB127" s="84">
        <f>IF(AND($I127&gt;0,$AF127&gt;=0),IF(($I127-$AF127)/$I127&gt;0,($I127-$AF127)/$I127,0),"")</f>
        <v>1</v>
      </c>
      <c r="BC127" s="84">
        <f>IF(AND($AG127&gt;=0,$AD127&gt;=0,$AF127&gt;=0),IF($AG127/($AD127-$AF127)&gt;0,$AG127/($AD127-$AF127),0),"")</f>
        <v>3.4115138592750532E-3</v>
      </c>
      <c r="BD127" s="84">
        <f>IF(AND($G127&gt;0,$AM127&gt;0),IF(($G127-$AM127)/$G127&gt;0,($G127-$AM127)/$G127,0),"")</f>
        <v>0.3673276676109537</v>
      </c>
      <c r="BE127" s="6">
        <f>IF((AD127-AF127)/(AJ127/60)&lt;=0,"",(AD127-AF127)/(AJ127/60))</f>
        <v>8.0400000000000009</v>
      </c>
      <c r="BF127" s="6">
        <f>IF(OR(AJ127=0,AP127=0,NOT(ISNUMBER(AD127)),NOT(ISNUMBER(AF127)),NOT(ISNUMBER(AJ127)),NOT(ISNUMBER(AP127))),"",
IFERROR(IF((AD127-AF127)/(AJ127/60)/(AP127/1000)&lt;=0,"",(AD127-AF127)/(AJ127/60)/(AP127/1000)),""))</f>
        <v>5.7428571428571438</v>
      </c>
    </row>
    <row r="128" spans="1:58" ht="15.75">
      <c r="B128" s="11">
        <v>45388</v>
      </c>
      <c r="D128" s="3">
        <v>123</v>
      </c>
      <c r="E128" s="205" t="str">
        <f t="shared" si="7"/>
        <v/>
      </c>
      <c r="H128" s="15"/>
      <c r="I128" s="15">
        <f>AD128</f>
        <v>24.675000000000001</v>
      </c>
      <c r="K128" s="10" t="str">
        <f t="shared" si="8"/>
        <v/>
      </c>
      <c r="L128" s="9" t="str">
        <f t="shared" si="9"/>
        <v/>
      </c>
      <c r="M128" s="8" t="str">
        <f t="shared" si="10"/>
        <v/>
      </c>
      <c r="AB128" s="5">
        <v>80</v>
      </c>
      <c r="AD128" s="168">
        <f>(AD127+AD129)/2</f>
        <v>24.675000000000001</v>
      </c>
      <c r="AG128">
        <v>0.15</v>
      </c>
      <c r="AH128" s="119">
        <v>0.36412037037037037</v>
      </c>
      <c r="AJ128" s="1">
        <v>175</v>
      </c>
      <c r="AK128" s="3">
        <v>180</v>
      </c>
      <c r="AN128" s="80">
        <f>360-AK128-AB128</f>
        <v>100</v>
      </c>
      <c r="AO128" s="165"/>
      <c r="AP128" s="13">
        <f>AVERAGE(AO126:AO132)</f>
        <v>4540.0000000000091</v>
      </c>
      <c r="AQ128" s="15" t="str">
        <f>IF(ISNUMBER([2]HRT_SRT!R182),[2]HRT_SRT!R182,"")</f>
        <v/>
      </c>
      <c r="AR128" s="17" t="e">
        <f>(E128-W128)/E128</f>
        <v>#VALUE!</v>
      </c>
      <c r="AS128" s="16">
        <f>(I128-AF128)/I128</f>
        <v>1</v>
      </c>
      <c r="AT128" s="16">
        <f>AG128/(AD128-AF128)</f>
        <v>6.0790273556231003E-3</v>
      </c>
      <c r="AU128" s="16" t="e">
        <f>(G128-AM128)/G128</f>
        <v>#DIV/0!</v>
      </c>
      <c r="AV128" s="57" t="str">
        <f>IF(AND(ISNUMBER(E128),ISNUMBER(W128)),E128-W128,"")</f>
        <v/>
      </c>
      <c r="AW128" s="57" t="str">
        <f>IF(AND(ISNUMBER(I128),ISNUMBER(AF128)),I128-AF128,"")</f>
        <v/>
      </c>
      <c r="AX128" s="57" t="str">
        <f>IF(AND(ISNUMBER(AM128),ISNUMBER(G128)),G128-AM128,"")</f>
        <v/>
      </c>
      <c r="AY128" s="57" t="str">
        <f>IF(AND(ISNUMBER(AC128),ISNUMBER(AE128)),AC128-AE128,"")</f>
        <v/>
      </c>
      <c r="AZ128" s="57" t="str">
        <f>IF(AND(ISNUMBER(AL128),ISNUMBER(AM128)),AL128-AM128,"")</f>
        <v/>
      </c>
      <c r="BA128" s="84" t="str">
        <f>IF(AND($E128&gt;0,$W128&gt;0),IF(($E128-$W128)/$E128&gt;0,($E128-$W128)/$E128,0),"")</f>
        <v/>
      </c>
      <c r="BB128" s="84">
        <f>IF(AND($I128&gt;0,$AF128&gt;=0),IF(($I128-$AF128)/$I128&gt;0,($I128-$AF128)/$I128,0),"")</f>
        <v>1</v>
      </c>
      <c r="BC128" s="84">
        <f>IF(AND($AG128&gt;=0,$AD128&gt;=0,$AF128&gt;=0),IF($AG128/($AD128-$AF128)&gt;0,$AG128/($AD128-$AF128),0),"")</f>
        <v>6.0790273556231003E-3</v>
      </c>
      <c r="BD128" s="84" t="str">
        <f>IF(AND($G128&gt;0,$AM128&gt;0),IF(($G128-$AM128)/$G128&gt;0,($G128-$AM128)/$G128,0),"")</f>
        <v/>
      </c>
      <c r="BE128" s="6">
        <f>IF((AD128-AF128)/(AJ128/60)&lt;=0,"",(AD128-AF128)/(AJ128/60))</f>
        <v>8.4600000000000009</v>
      </c>
      <c r="BF128" s="6" t="str">
        <f>IF(OR(AJ128=0,AP128=0,NOT(ISNUMBER(AD128)),NOT(ISNUMBER(AF128)),NOT(ISNUMBER(AJ128)),NOT(ISNUMBER(AP128))),"",
IFERROR(IF((AD128-AF128)/(AJ128/60)/(AP128/1000)&lt;=0,"",(AD128-AF128)/(AJ128/60)/(AP128/1000)),""))</f>
        <v/>
      </c>
    </row>
    <row r="129" spans="1:58" ht="15.75">
      <c r="A129" s="12" t="s">
        <v>149</v>
      </c>
      <c r="B129" s="11">
        <v>45389</v>
      </c>
      <c r="D129" s="3">
        <v>124</v>
      </c>
      <c r="E129" s="205" t="str">
        <f t="shared" si="7"/>
        <v/>
      </c>
      <c r="G129" s="15">
        <f>(N129*18-H129*18)/9</f>
        <v>27.199999999999989</v>
      </c>
      <c r="H129" s="15">
        <f>4.16*10/2</f>
        <v>20.8</v>
      </c>
      <c r="I129" s="15">
        <f>AD129</f>
        <v>25.9</v>
      </c>
      <c r="K129" s="10" t="str">
        <f t="shared" si="8"/>
        <v/>
      </c>
      <c r="L129" s="9" t="str">
        <f t="shared" si="9"/>
        <v/>
      </c>
      <c r="M129" s="8">
        <f t="shared" si="10"/>
        <v>1.9044117647058831</v>
      </c>
      <c r="N129" s="7">
        <v>34.4</v>
      </c>
      <c r="T129" s="6">
        <v>41.7</v>
      </c>
      <c r="AB129" s="5">
        <v>80</v>
      </c>
      <c r="AC129" s="7">
        <f>T129</f>
        <v>41.7</v>
      </c>
      <c r="AD129" s="1">
        <f>5*5.18</f>
        <v>25.9</v>
      </c>
      <c r="AE129" s="1">
        <v>42.4</v>
      </c>
      <c r="AF129" s="1">
        <v>0</v>
      </c>
      <c r="AG129">
        <v>1.86</v>
      </c>
      <c r="AH129" s="119">
        <v>0.41226851851851853</v>
      </c>
      <c r="AJ129" s="1">
        <v>175</v>
      </c>
      <c r="AK129" s="3">
        <v>180</v>
      </c>
      <c r="AL129" s="4">
        <f>AE129</f>
        <v>42.4</v>
      </c>
      <c r="AM129" s="1">
        <v>41.6</v>
      </c>
      <c r="AN129" s="80">
        <f>360-AK129-AB129</f>
        <v>100</v>
      </c>
      <c r="AO129" s="165"/>
      <c r="AP129" s="13">
        <f>AVERAGE(AO127:AO133)</f>
        <v>4540.0000000000091</v>
      </c>
      <c r="AQ129" s="15" t="str">
        <f>IF(ISNUMBER([2]HRT_SRT!R183),[2]HRT_SRT!R183,"")</f>
        <v/>
      </c>
      <c r="AR129" s="17" t="e">
        <f>(E129-W129)/E129</f>
        <v>#VALUE!</v>
      </c>
      <c r="AS129" s="16">
        <f>(I129-AF129)/I129</f>
        <v>1</v>
      </c>
      <c r="AT129" s="16">
        <f>AG129/(AD129-AF129)</f>
        <v>7.1814671814671827E-2</v>
      </c>
      <c r="AU129" s="16">
        <f>(G129-AM129)/G129</f>
        <v>-0.52941176470588303</v>
      </c>
      <c r="AV129" s="57" t="str">
        <f>IF(AND(ISNUMBER(E129),ISNUMBER(W129)),E129-W129,"")</f>
        <v/>
      </c>
      <c r="AW129" s="57">
        <f>IF(AND(ISNUMBER(I129),ISNUMBER(AF129)),I129-AF129,"")</f>
        <v>25.9</v>
      </c>
      <c r="AX129" s="57">
        <f>IF(AND(ISNUMBER(AM129),ISNUMBER(G129)),G129-AM129,"")</f>
        <v>-14.400000000000013</v>
      </c>
      <c r="AY129" s="57">
        <f>IF(AND(ISNUMBER(AC129),ISNUMBER(AE129)),AC129-AE129,"")</f>
        <v>-0.69999999999999574</v>
      </c>
      <c r="AZ129" s="57">
        <f>IF(AND(ISNUMBER(AL129),ISNUMBER(AM129)),AL129-AM129,"")</f>
        <v>0.79999999999999716</v>
      </c>
      <c r="BA129" s="84" t="str">
        <f>IF(AND($E129&gt;0,$W129&gt;0),IF(($E129-$W129)/$E129&gt;0,($E129-$W129)/$E129,0),"")</f>
        <v/>
      </c>
      <c r="BB129" s="84">
        <f>IF(AND($I129&gt;0,$AF129&gt;=0),IF(($I129-$AF129)/$I129&gt;0,($I129-$AF129)/$I129,0),"")</f>
        <v>1</v>
      </c>
      <c r="BC129" s="84">
        <f>IF(AND($AG129&gt;=0,$AD129&gt;=0,$AF129&gt;=0),IF($AG129/($AD129-$AF129)&gt;0,$AG129/($AD129-$AF129),0),"")</f>
        <v>7.1814671814671827E-2</v>
      </c>
      <c r="BD129" s="84">
        <f>IF(AND($G129&gt;0,$AM129&gt;0),IF(($G129-$AM129)/$G129&gt;0,($G129-$AM129)/$G129,0),"")</f>
        <v>0</v>
      </c>
      <c r="BE129" s="6">
        <f>IF((AD129-AF129)/(AJ129/60)&lt;=0,"",(AD129-AF129)/(AJ129/60))</f>
        <v>8.8800000000000008</v>
      </c>
      <c r="BF129" s="6">
        <f>IF(OR(AJ129=0,AP129=0,NOT(ISNUMBER(AD129)),NOT(ISNUMBER(AF129)),NOT(ISNUMBER(AJ129)),NOT(ISNUMBER(AP129))),"",
IFERROR(IF((AD129-AF129)/(AJ129/60)/(AP129/1000)&lt;=0,"",(AD129-AF129)/(AJ129/60)/(AP129/1000)),""))</f>
        <v>1.955947136563873</v>
      </c>
    </row>
    <row r="130" spans="1:58" ht="15.75">
      <c r="B130" s="11">
        <v>45390</v>
      </c>
      <c r="D130" s="3">
        <v>125</v>
      </c>
      <c r="E130" s="205">
        <f t="shared" si="7"/>
        <v>328.15544799999998</v>
      </c>
      <c r="H130" s="15"/>
      <c r="I130" s="15">
        <f>AD130</f>
        <v>27.424999999999997</v>
      </c>
      <c r="K130" s="10" t="str">
        <f t="shared" si="8"/>
        <v/>
      </c>
      <c r="L130" s="9">
        <f t="shared" si="9"/>
        <v>5.9827793618960801</v>
      </c>
      <c r="M130" s="8" t="str">
        <f t="shared" si="10"/>
        <v/>
      </c>
      <c r="O130" s="6">
        <v>123.404</v>
      </c>
      <c r="P130" s="6">
        <v>21.404</v>
      </c>
      <c r="Q130" s="6">
        <f>O130*1.067</f>
        <v>131.672068</v>
      </c>
      <c r="R130" s="6">
        <f>P130*1.514</f>
        <v>32.405656</v>
      </c>
      <c r="S130" s="23">
        <f>P130*1.514+O130*1.067</f>
        <v>164.07772399999999</v>
      </c>
      <c r="W130" s="6">
        <f>3.488+3.751</f>
        <v>7.2389999999999999</v>
      </c>
      <c r="AB130" s="5">
        <v>80</v>
      </c>
      <c r="AD130" s="168">
        <f>(AD129+AD131)/2</f>
        <v>27.424999999999997</v>
      </c>
      <c r="AG130">
        <v>0.27</v>
      </c>
      <c r="AH130" s="119">
        <v>0.35810185185185184</v>
      </c>
      <c r="AJ130" s="1">
        <v>175</v>
      </c>
      <c r="AK130" s="3">
        <v>180</v>
      </c>
      <c r="AN130" s="80">
        <f>360-AK130-AB130</f>
        <v>100</v>
      </c>
      <c r="AO130" s="165"/>
      <c r="AP130" s="13">
        <f>AVERAGE(AO128:AO134)</f>
        <v>4540.0000000000091</v>
      </c>
      <c r="AQ130" s="15" t="str">
        <f>IF(ISNUMBER([2]HRT_SRT!R184),[2]HRT_SRT!R184,"")</f>
        <v/>
      </c>
      <c r="AR130" s="17">
        <f>(E130-W130)/E130</f>
        <v>0.97794033271695069</v>
      </c>
      <c r="AS130" s="16">
        <f>(I130-AF130)/I130</f>
        <v>1</v>
      </c>
      <c r="AT130" s="16">
        <f>AG130/(AD130-AF130)</f>
        <v>9.84503190519599E-3</v>
      </c>
      <c r="AU130" s="16" t="e">
        <f>(G130-AM130)/G130</f>
        <v>#DIV/0!</v>
      </c>
      <c r="AV130" s="57">
        <f>IF(AND(ISNUMBER(E130),ISNUMBER(W130)),E130-W130,"")</f>
        <v>320.916448</v>
      </c>
      <c r="AW130" s="57" t="str">
        <f>IF(AND(ISNUMBER(I130),ISNUMBER(AF130)),I130-AF130,"")</f>
        <v/>
      </c>
      <c r="AX130" s="57" t="str">
        <f>IF(AND(ISNUMBER(AM130),ISNUMBER(G130)),G130-AM130,"")</f>
        <v/>
      </c>
      <c r="AY130" s="57" t="str">
        <f>IF(AND(ISNUMBER(AC130),ISNUMBER(AE130)),AC130-AE130,"")</f>
        <v/>
      </c>
      <c r="AZ130" s="57" t="str">
        <f>IF(AND(ISNUMBER(AL130),ISNUMBER(AM130)),AL130-AM130,"")</f>
        <v/>
      </c>
      <c r="BA130" s="84">
        <f>IF(AND($E130&gt;0,$W130&gt;0),IF(($E130-$W130)/$E130&gt;0,($E130-$W130)/$E130,0),"")</f>
        <v>0.97794033271695069</v>
      </c>
      <c r="BB130" s="84">
        <f>IF(AND($I130&gt;0,$AF130&gt;=0),IF(($I130-$AF130)/$I130&gt;0,($I130-$AF130)/$I130,0),"")</f>
        <v>1</v>
      </c>
      <c r="BC130" s="84">
        <f>IF(AND($AG130&gt;=0,$AD130&gt;=0,$AF130&gt;=0),IF($AG130/($AD130-$AF130)&gt;0,$AG130/($AD130-$AF130),0),"")</f>
        <v>9.84503190519599E-3</v>
      </c>
      <c r="BD130" s="84" t="str">
        <f>IF(AND($G130&gt;0,$AM130&gt;0),IF(($G130-$AM130)/$G130&gt;0,($G130-$AM130)/$G130,0),"")</f>
        <v/>
      </c>
      <c r="BE130" s="6">
        <f>IF((AD130-AF130)/(AJ130/60)&lt;=0,"",(AD130-AF130)/(AJ130/60))</f>
        <v>9.4028571428571421</v>
      </c>
      <c r="BF130" s="6" t="str">
        <f>IF(OR(AJ130=0,AP130=0,NOT(ISNUMBER(AD130)),NOT(ISNUMBER(AF130)),NOT(ISNUMBER(AJ130)),NOT(ISNUMBER(AP130))),"",
IFERROR(IF((AD130-AF130)/(AJ130/60)/(AP130/1000)&lt;=0,"",(AD130-AF130)/(AJ130/60)/(AP130/1000)),""))</f>
        <v/>
      </c>
    </row>
    <row r="131" spans="1:58" ht="15.75">
      <c r="B131" s="11">
        <v>45391</v>
      </c>
      <c r="D131" s="3">
        <v>126</v>
      </c>
      <c r="E131" s="205">
        <f t="shared" si="7"/>
        <v>390.824434</v>
      </c>
      <c r="G131" s="15" t="e">
        <f>#REF!</f>
        <v>#REF!</v>
      </c>
      <c r="H131" s="15">
        <v>7.36</v>
      </c>
      <c r="I131" s="15">
        <f>AD131</f>
        <v>28.95</v>
      </c>
      <c r="K131" s="10" t="e">
        <f t="shared" si="8"/>
        <v>#REF!</v>
      </c>
      <c r="L131" s="9">
        <f t="shared" si="9"/>
        <v>6.7499902245250434</v>
      </c>
      <c r="M131" s="8" t="e">
        <f t="shared" si="10"/>
        <v>#REF!</v>
      </c>
      <c r="N131" s="7">
        <v>23.3</v>
      </c>
      <c r="O131" s="6">
        <v>147.71100000000001</v>
      </c>
      <c r="P131" s="6">
        <v>24.97</v>
      </c>
      <c r="Q131" s="6">
        <f>O131*1.067</f>
        <v>157.60763700000001</v>
      </c>
      <c r="R131" s="6">
        <f>P131*1.514</f>
        <v>37.804580000000001</v>
      </c>
      <c r="S131" s="23">
        <f>P131*1.514+O131*1.067</f>
        <v>195.412217</v>
      </c>
      <c r="T131" s="6">
        <v>32.6</v>
      </c>
      <c r="W131" s="6">
        <f>3.491+3.69</f>
        <v>7.181</v>
      </c>
      <c r="AB131" s="5">
        <v>80</v>
      </c>
      <c r="AC131" s="7">
        <f>T131</f>
        <v>32.6</v>
      </c>
      <c r="AD131" s="1">
        <f>5*5.79</f>
        <v>28.95</v>
      </c>
      <c r="AE131" s="1">
        <v>17.7</v>
      </c>
      <c r="AF131" s="1">
        <v>0</v>
      </c>
      <c r="AG131">
        <v>0.64</v>
      </c>
      <c r="AH131" s="119">
        <v>0.39456018518518521</v>
      </c>
      <c r="AJ131" s="1">
        <v>175</v>
      </c>
      <c r="AK131" s="3">
        <v>180</v>
      </c>
      <c r="AL131" s="4">
        <f>AE131</f>
        <v>17.7</v>
      </c>
      <c r="AM131" s="1">
        <v>12.6</v>
      </c>
      <c r="AN131" s="80">
        <f>360-AK131-AB131</f>
        <v>100</v>
      </c>
      <c r="AO131" s="165"/>
      <c r="AP131" s="13">
        <f>AVERAGE(AO129:AO135)</f>
        <v>4540.0000000000091</v>
      </c>
      <c r="AQ131" s="15" t="str">
        <f>IF(ISNUMBER([2]HRT_SRT!R185),[2]HRT_SRT!R185,"")</f>
        <v/>
      </c>
      <c r="AR131" s="17">
        <f>(E131-W131)/E131</f>
        <v>0.98162602085416184</v>
      </c>
      <c r="AS131" s="16">
        <f>(I131-AF131)/I131</f>
        <v>1</v>
      </c>
      <c r="AT131" s="16">
        <f>AG131/(AD131-AF131)</f>
        <v>2.210708117443869E-2</v>
      </c>
      <c r="AU131" s="16" t="e">
        <f>(G131-AM131)/G131</f>
        <v>#REF!</v>
      </c>
      <c r="AV131" s="57">
        <f>IF(AND(ISNUMBER(E131),ISNUMBER(W131)),E131-W131,"")</f>
        <v>383.64343400000001</v>
      </c>
      <c r="AW131" s="57">
        <f>IF(AND(ISNUMBER(I131),ISNUMBER(AF131)),I131-AF131,"")</f>
        <v>28.95</v>
      </c>
      <c r="AX131" s="57" t="str">
        <f>IF(AND(ISNUMBER(AM131),ISNUMBER(G131)),G131-AM131,"")</f>
        <v/>
      </c>
      <c r="AY131" s="57">
        <f>IF(AND(ISNUMBER(AC131),ISNUMBER(AE131)),AC131-AE131,"")</f>
        <v>14.900000000000002</v>
      </c>
      <c r="AZ131" s="57">
        <f>IF(AND(ISNUMBER(AL131),ISNUMBER(AM131)),AL131-AM131,"")</f>
        <v>5.0999999999999996</v>
      </c>
      <c r="BA131" s="84">
        <f>IF(AND($E131&gt;0,$W131&gt;0),IF(($E131-$W131)/$E131&gt;0,($E131-$W131)/$E131,0),"")</f>
        <v>0.98162602085416184</v>
      </c>
      <c r="BB131" s="84">
        <f>IF(AND($I131&gt;0,$AF131&gt;=0),IF(($I131-$AF131)/$I131&gt;0,($I131-$AF131)/$I131,0),"")</f>
        <v>1</v>
      </c>
      <c r="BC131" s="84">
        <f>IF(AND($AG131&gt;=0,$AD131&gt;=0,$AF131&gt;=0),IF($AG131/($AD131-$AF131)&gt;0,$AG131/($AD131-$AF131),0),"")</f>
        <v>2.210708117443869E-2</v>
      </c>
      <c r="BD131" s="84" t="e">
        <f>IF(AND($G131&gt;0,$AM131&gt;0),IF(($G131-$AM131)/$G131&gt;0,($G131-$AM131)/$G131,0),"")</f>
        <v>#REF!</v>
      </c>
      <c r="BE131" s="6">
        <f>IF((AD131-AF131)/(AJ131/60)&lt;=0,"",(AD131-AF131)/(AJ131/60))</f>
        <v>9.9257142857142853</v>
      </c>
      <c r="BF131" s="6">
        <f>IF(OR(AJ131=0,AP131=0,NOT(ISNUMBER(AD131)),NOT(ISNUMBER(AF131)),NOT(ISNUMBER(AJ131)),NOT(ISNUMBER(AP131))),"",
IFERROR(IF((AD131-AF131)/(AJ131/60)/(AP131/1000)&lt;=0,"",(AD131-AF131)/(AJ131/60)/(AP131/1000)),""))</f>
        <v>2.1862806796727456</v>
      </c>
    </row>
    <row r="132" spans="1:58" ht="15.75">
      <c r="A132" s="12" t="s">
        <v>148</v>
      </c>
      <c r="B132" s="167">
        <v>45392</v>
      </c>
      <c r="C132" s="166"/>
      <c r="D132" s="136">
        <v>127</v>
      </c>
      <c r="E132" s="205">
        <f t="shared" si="7"/>
        <v>195.39061800000002</v>
      </c>
      <c r="G132" s="15">
        <f>(N132*18-H132*18)/9</f>
        <v>23.000000000000007</v>
      </c>
      <c r="H132" s="15">
        <v>18.100000000000001</v>
      </c>
      <c r="I132" s="15">
        <f>AD132</f>
        <v>24.2</v>
      </c>
      <c r="K132" s="10">
        <f t="shared" si="8"/>
        <v>8.4952442608695637</v>
      </c>
      <c r="L132" s="9">
        <f t="shared" si="9"/>
        <v>4.0369962396694223</v>
      </c>
      <c r="M132" s="8">
        <f t="shared" si="10"/>
        <v>2.1043478260869559</v>
      </c>
      <c r="N132" s="7">
        <v>29.6</v>
      </c>
      <c r="O132" s="6">
        <v>70.789000000000001</v>
      </c>
      <c r="P132" s="6">
        <v>14.638999999999999</v>
      </c>
      <c r="Q132" s="6">
        <f>O132*1.067</f>
        <v>75.531863000000001</v>
      </c>
      <c r="R132" s="6">
        <f>P132*1.514</f>
        <v>22.163446</v>
      </c>
      <c r="S132" s="23">
        <f>P132*1.514+O132*1.067</f>
        <v>97.695309000000009</v>
      </c>
      <c r="T132" s="6">
        <v>31.6</v>
      </c>
      <c r="W132" s="6">
        <f>29.186</f>
        <v>29.186</v>
      </c>
      <c r="AB132" s="5">
        <v>80</v>
      </c>
      <c r="AC132" s="7">
        <f>T132</f>
        <v>31.6</v>
      </c>
      <c r="AD132" s="1">
        <f>5*4.84</f>
        <v>24.2</v>
      </c>
      <c r="AE132" s="1">
        <v>32.700000000000003</v>
      </c>
      <c r="AF132" s="1">
        <v>0</v>
      </c>
      <c r="AG132">
        <v>0.83</v>
      </c>
      <c r="AH132" s="119">
        <v>0.35833333333333334</v>
      </c>
      <c r="AJ132" s="1">
        <v>175</v>
      </c>
      <c r="AK132" s="3">
        <v>180</v>
      </c>
      <c r="AL132" s="4">
        <f>AE132</f>
        <v>32.700000000000003</v>
      </c>
      <c r="AM132" s="1">
        <v>28.5</v>
      </c>
      <c r="AN132" s="80">
        <f>360-AK132-AB132</f>
        <v>100</v>
      </c>
      <c r="AO132" s="165">
        <f>[2]HRT_SRT!P186</f>
        <v>4540.0000000000091</v>
      </c>
      <c r="AP132" s="13">
        <f>AVERAGE(AO130:AO136)</f>
        <v>4540.0000000000091</v>
      </c>
      <c r="AQ132" s="15">
        <f>IF(ISNUMBER([2]HRT_SRT!R186),[2]HRT_SRT!R186,"")</f>
        <v>14.266759776536155</v>
      </c>
      <c r="AR132" s="17">
        <f>(E132-W132)/E132</f>
        <v>0.85062742367701605</v>
      </c>
      <c r="AS132" s="16">
        <f>(I132-AF132)/I132</f>
        <v>1</v>
      </c>
      <c r="AT132" s="16">
        <f>AG132/(AD132-AF132)</f>
        <v>3.4297520661157023E-2</v>
      </c>
      <c r="AU132" s="16">
        <f>(G132-AM132)/G132</f>
        <v>-0.23913043478260831</v>
      </c>
      <c r="AV132" s="57">
        <f>IF(AND(ISNUMBER(E132),ISNUMBER(W132)),E132-W132,"")</f>
        <v>166.20461800000001</v>
      </c>
      <c r="AW132" s="57">
        <f>IF(AND(ISNUMBER(I132),ISNUMBER(AF132)),I132-AF132,"")</f>
        <v>24.2</v>
      </c>
      <c r="AX132" s="57">
        <f>IF(AND(ISNUMBER(AM132),ISNUMBER(G132)),G132-AM132,"")</f>
        <v>-5.4999999999999929</v>
      </c>
      <c r="AY132" s="57">
        <f>IF(AND(ISNUMBER(AC132),ISNUMBER(AE132)),AC132-AE132,"")</f>
        <v>-1.1000000000000014</v>
      </c>
      <c r="AZ132" s="57">
        <f>IF(AND(ISNUMBER(AL132),ISNUMBER(AM132)),AL132-AM132,"")</f>
        <v>4.2000000000000028</v>
      </c>
      <c r="BA132" s="84">
        <f>IF(AND($E132&gt;0,$W132&gt;0),IF(($E132-$W132)/$E132&gt;0,($E132-$W132)/$E132,0),"")</f>
        <v>0.85062742367701605</v>
      </c>
      <c r="BB132" s="84">
        <f>IF(AND($I132&gt;0,$AF132&gt;=0),IF(($I132-$AF132)/$I132&gt;0,($I132-$AF132)/$I132,0),"")</f>
        <v>1</v>
      </c>
      <c r="BC132" s="84">
        <f>IF(AND($AG132&gt;=0,$AD132&gt;=0,$AF132&gt;=0),IF($AG132/($AD132-$AF132)&gt;0,$AG132/($AD132-$AF132),0),"")</f>
        <v>3.4297520661157023E-2</v>
      </c>
      <c r="BD132" s="84">
        <f>IF(AND($G132&gt;0,$AM132&gt;0),IF(($G132-$AM132)/$G132&gt;0,($G132-$AM132)/$G132,0),"")</f>
        <v>0</v>
      </c>
      <c r="BE132" s="6">
        <f>IF((AD132-AF132)/(AJ132/60)&lt;=0,"",(AD132-AF132)/(AJ132/60))</f>
        <v>8.2971428571428572</v>
      </c>
      <c r="BF132" s="6">
        <f>IF(OR(AJ132=0,AP132=0,NOT(ISNUMBER(AD132)),NOT(ISNUMBER(AF132)),NOT(ISNUMBER(AJ132)),NOT(ISNUMBER(AP132))),"",
IFERROR(IF((AD132-AF132)/(AJ132/60)/(AP132/1000)&lt;=0,"",(AD132-AF132)/(AJ132/60)/(AP132/1000)),""))</f>
        <v>1.8275645059785992</v>
      </c>
    </row>
    <row r="133" spans="1:58" ht="15.75">
      <c r="B133" s="11">
        <v>45393</v>
      </c>
      <c r="D133" s="3">
        <v>128</v>
      </c>
      <c r="E133" s="205" t="str">
        <f t="shared" si="7"/>
        <v/>
      </c>
      <c r="G133" s="163">
        <f>G132</f>
        <v>23.000000000000007</v>
      </c>
      <c r="H133" s="15"/>
      <c r="I133" s="15">
        <f>AD133</f>
        <v>25.5</v>
      </c>
      <c r="K133" s="10" t="str">
        <f t="shared" si="8"/>
        <v/>
      </c>
      <c r="L133" s="9" t="str">
        <f t="shared" si="9"/>
        <v/>
      </c>
      <c r="M133" s="8">
        <f t="shared" si="10"/>
        <v>2.2173913043478253</v>
      </c>
      <c r="T133" s="6">
        <v>27.5</v>
      </c>
      <c r="W133" s="6">
        <f>0.146+0.152</f>
        <v>0.29799999999999999</v>
      </c>
      <c r="AB133" s="5">
        <v>80</v>
      </c>
      <c r="AC133" s="7">
        <f>T133</f>
        <v>27.5</v>
      </c>
      <c r="AD133" s="1">
        <f>5*5.1</f>
        <v>25.5</v>
      </c>
      <c r="AE133" s="1">
        <v>15</v>
      </c>
      <c r="AF133" s="1">
        <v>0</v>
      </c>
      <c r="AG133">
        <v>1.69</v>
      </c>
      <c r="AH133" s="119">
        <v>0.39456018518518521</v>
      </c>
      <c r="AJ133" s="1">
        <v>175</v>
      </c>
      <c r="AK133" s="3">
        <v>180</v>
      </c>
      <c r="AL133" s="4">
        <f>AE133</f>
        <v>15</v>
      </c>
      <c r="AM133" s="1">
        <v>10.8</v>
      </c>
      <c r="AN133" s="80">
        <f>360-AK133-AB133</f>
        <v>100</v>
      </c>
      <c r="AO133" s="165"/>
      <c r="AP133" s="13">
        <f>AVERAGE(AO131:AO137)</f>
        <v>4540.0000000000091</v>
      </c>
      <c r="AQ133" s="15" t="str">
        <f>IF(ISNUMBER([2]HRT_SRT!R187),[2]HRT_SRT!R187,"")</f>
        <v/>
      </c>
      <c r="AR133" s="17" t="e">
        <f>(E133-W133)/E133</f>
        <v>#VALUE!</v>
      </c>
      <c r="AS133" s="16">
        <f>(I133-AF133)/I133</f>
        <v>1</v>
      </c>
      <c r="AT133" s="16">
        <f>AG133/(AD133-AF133)</f>
        <v>6.6274509803921564E-2</v>
      </c>
      <c r="AU133" s="16">
        <f>(G133-AM133)/G133</f>
        <v>0.53043478260869581</v>
      </c>
      <c r="AV133" s="57" t="str">
        <f>IF(AND(ISNUMBER(E133),ISNUMBER(W133)),E133-W133,"")</f>
        <v/>
      </c>
      <c r="AW133" s="57">
        <f>IF(AND(ISNUMBER(I133),ISNUMBER(AF133)),I133-AF133,"")</f>
        <v>25.5</v>
      </c>
      <c r="AX133" s="57">
        <f>IF(AND(ISNUMBER(AM133),ISNUMBER(G133)),G133-AM133,"")</f>
        <v>12.200000000000006</v>
      </c>
      <c r="AY133" s="57">
        <f>IF(AND(ISNUMBER(AC133),ISNUMBER(AE133)),AC133-AE133,"")</f>
        <v>12.5</v>
      </c>
      <c r="AZ133" s="57">
        <f>IF(AND(ISNUMBER(AL133),ISNUMBER(AM133)),AL133-AM133,"")</f>
        <v>4.1999999999999993</v>
      </c>
      <c r="BA133" s="84" t="e">
        <f>IF(AND($E133&gt;0,$W133&gt;0),IF(($E133-$W133)/$E133&gt;0,($E133-$W133)/$E133,0),"")</f>
        <v>#VALUE!</v>
      </c>
      <c r="BB133" s="84">
        <f>IF(AND($I133&gt;0,$AF133&gt;=0),IF(($I133-$AF133)/$I133&gt;0,($I133-$AF133)/$I133,0),"")</f>
        <v>1</v>
      </c>
      <c r="BC133" s="84">
        <f>IF(AND($AG133&gt;=0,$AD133&gt;=0,$AF133&gt;=0),IF($AG133/($AD133-$AF133)&gt;0,$AG133/($AD133-$AF133),0),"")</f>
        <v>6.6274509803921564E-2</v>
      </c>
      <c r="BD133" s="84">
        <f>IF(AND($G133&gt;0,$AM133&gt;0),IF(($G133-$AM133)/$G133&gt;0,($G133-$AM133)/$G133,0),"")</f>
        <v>0.53043478260869581</v>
      </c>
      <c r="BE133" s="6">
        <f>IF((AD133-AF133)/(AJ133/60)&lt;=0,"",(AD133-AF133)/(AJ133/60))</f>
        <v>8.7428571428571438</v>
      </c>
      <c r="BF133" s="6">
        <f>IF(OR(AJ133=0,AP133=0,NOT(ISNUMBER(AD133)),NOT(ISNUMBER(AF133)),NOT(ISNUMBER(AJ133)),NOT(ISNUMBER(AP133))),"",
IFERROR(IF((AD133-AF133)/(AJ133/60)/(AP133/1000)&lt;=0,"",(AD133-AF133)/(AJ133/60)/(AP133/1000)),""))</f>
        <v>1.9257394587791028</v>
      </c>
    </row>
    <row r="134" spans="1:58" ht="15.75">
      <c r="B134" s="11">
        <v>45394</v>
      </c>
      <c r="D134" s="3">
        <v>129</v>
      </c>
      <c r="E134" s="205">
        <f t="shared" si="7"/>
        <v>255.31097799999998</v>
      </c>
      <c r="G134" s="15">
        <f>(N134*18-H134*18)/9</f>
        <v>25.580000000000002</v>
      </c>
      <c r="H134" s="15">
        <v>6.51</v>
      </c>
      <c r="I134" s="15">
        <f>AD134</f>
        <v>25.5</v>
      </c>
      <c r="K134" s="10">
        <f t="shared" si="8"/>
        <v>9.9808826426896005</v>
      </c>
      <c r="L134" s="9">
        <f t="shared" si="9"/>
        <v>5.0060976078431372</v>
      </c>
      <c r="M134" s="8">
        <f t="shared" si="10"/>
        <v>1.9937451133698201</v>
      </c>
      <c r="N134" s="7">
        <v>19.3</v>
      </c>
      <c r="O134" s="6">
        <v>81.966999999999999</v>
      </c>
      <c r="P134" s="6">
        <v>26.55</v>
      </c>
      <c r="Q134" s="6">
        <f>O134*1.067</f>
        <v>87.458788999999996</v>
      </c>
      <c r="R134" s="6">
        <f>P134*1.514</f>
        <v>40.1967</v>
      </c>
      <c r="S134" s="23">
        <f>P134*1.514+O134*1.067</f>
        <v>127.65548899999999</v>
      </c>
      <c r="T134" s="6">
        <v>32.299999999999997</v>
      </c>
      <c r="W134" s="6">
        <f>0.144+0.023</f>
        <v>0.16699999999999998</v>
      </c>
      <c r="AB134" s="5">
        <v>80</v>
      </c>
      <c r="AC134" s="7">
        <f>T134</f>
        <v>32.299999999999997</v>
      </c>
      <c r="AD134" s="1">
        <f>5*5.1</f>
        <v>25.5</v>
      </c>
      <c r="AE134" s="1">
        <v>15.7</v>
      </c>
      <c r="AF134" s="1">
        <v>0.08</v>
      </c>
      <c r="AG134">
        <v>3.41</v>
      </c>
      <c r="AH134" s="119">
        <v>0.42442129629629627</v>
      </c>
      <c r="AJ134" s="1">
        <v>175</v>
      </c>
      <c r="AK134" s="3">
        <v>180</v>
      </c>
      <c r="AL134" s="4">
        <f>AE134</f>
        <v>15.7</v>
      </c>
      <c r="AM134" s="1">
        <v>10.4</v>
      </c>
      <c r="AN134" s="80">
        <f>360-AK134-AB134</f>
        <v>100</v>
      </c>
      <c r="AO134" s="165"/>
      <c r="AP134" s="13">
        <f>AVERAGE(AO132:AO138)</f>
        <v>4540.0000000000091</v>
      </c>
      <c r="AQ134" s="15" t="str">
        <f>IF(ISNUMBER([2]HRT_SRT!R188),[2]HRT_SRT!R188,"")</f>
        <v/>
      </c>
      <c r="AR134" s="17">
        <f>(E134-W134)/E134</f>
        <v>0.99934589573347687</v>
      </c>
      <c r="AS134" s="16">
        <f>(I134-AF134)/I134</f>
        <v>0.99686274509803929</v>
      </c>
      <c r="AT134" s="16">
        <f>AG134/(AD134-AF134)</f>
        <v>0.13414634146341464</v>
      </c>
      <c r="AU134" s="16">
        <f>(G134-AM134)/G134</f>
        <v>0.5934323690383112</v>
      </c>
      <c r="AV134" s="57">
        <f>IF(AND(ISNUMBER(E134),ISNUMBER(W134)),E134-W134,"")</f>
        <v>255.14397799999998</v>
      </c>
      <c r="AW134" s="57">
        <f>IF(AND(ISNUMBER(I134),ISNUMBER(AF134)),I134-AF134,"")</f>
        <v>25.42</v>
      </c>
      <c r="AX134" s="57">
        <f>IF(AND(ISNUMBER(AM134),ISNUMBER(G134)),G134-AM134,"")</f>
        <v>15.180000000000001</v>
      </c>
      <c r="AY134" s="57">
        <f>IF(AND(ISNUMBER(AC134),ISNUMBER(AE134)),AC134-AE134,"")</f>
        <v>16.599999999999998</v>
      </c>
      <c r="AZ134" s="57">
        <f>IF(AND(ISNUMBER(AL134),ISNUMBER(AM134)),AL134-AM134,"")</f>
        <v>5.2999999999999989</v>
      </c>
      <c r="BA134" s="84">
        <f>IF(AND($E134&gt;0,$W134&gt;0),IF(($E134-$W134)/$E134&gt;0,($E134-$W134)/$E134,0),"")</f>
        <v>0.99934589573347687</v>
      </c>
      <c r="BB134" s="84">
        <f>IF(AND($I134&gt;0,$AF134&gt;=0),IF(($I134-$AF134)/$I134&gt;0,($I134-$AF134)/$I134,0),"")</f>
        <v>0.99686274509803929</v>
      </c>
      <c r="BC134" s="84">
        <f>IF(AND($AG134&gt;=0,$AD134&gt;=0,$AF134&gt;=0),IF($AG134/($AD134-$AF134)&gt;0,$AG134/($AD134-$AF134),0),"")</f>
        <v>0.13414634146341464</v>
      </c>
      <c r="BD134" s="84">
        <f>IF(AND($G134&gt;0,$AM134&gt;0),IF(($G134-$AM134)/$G134&gt;0,($G134-$AM134)/$G134,0),"")</f>
        <v>0.5934323690383112</v>
      </c>
      <c r="BE134" s="6">
        <f>IF((AD134-AF134)/(AJ134/60)&lt;=0,"",(AD134-AF134)/(AJ134/60))</f>
        <v>8.7154285714285731</v>
      </c>
      <c r="BF134" s="6">
        <f>IF(OR(AJ134=0,AP134=0,NOT(ISNUMBER(AD134)),NOT(ISNUMBER(AF134)),NOT(ISNUMBER(AJ134)),NOT(ISNUMBER(AP134))),"",
IFERROR(IF((AD134-AF134)/(AJ134/60)/(AP134/1000)&lt;=0,"",(AD134-AF134)/(AJ134/60)/(AP134/1000)),""))</f>
        <v>1.9196979232221489</v>
      </c>
    </row>
    <row r="135" spans="1:58" ht="15.75">
      <c r="B135" s="11">
        <v>45395</v>
      </c>
      <c r="D135" s="3">
        <v>130</v>
      </c>
      <c r="E135" s="205" t="str">
        <f t="shared" ref="E135:E198" si="11">IF(OR(S135="",S135=0),"",S135*2)</f>
        <v/>
      </c>
      <c r="I135" s="15">
        <f>AD135</f>
        <v>26.383333333333333</v>
      </c>
      <c r="K135" s="10" t="str">
        <f t="shared" si="8"/>
        <v/>
      </c>
      <c r="L135" s="9" t="str">
        <f t="shared" si="9"/>
        <v/>
      </c>
      <c r="M135" s="8" t="str">
        <f t="shared" si="10"/>
        <v/>
      </c>
      <c r="AB135" s="5">
        <v>80</v>
      </c>
      <c r="AD135" s="168">
        <f>(AD134*2/3+AD137*1/3)</f>
        <v>26.383333333333333</v>
      </c>
      <c r="AG135">
        <v>2.8</v>
      </c>
      <c r="AH135" s="119">
        <v>0.43263888888888891</v>
      </c>
      <c r="AJ135" s="1">
        <v>175</v>
      </c>
      <c r="AK135" s="3">
        <v>180</v>
      </c>
      <c r="AN135" s="80">
        <f>360-AK135-AB135</f>
        <v>100</v>
      </c>
      <c r="AO135" s="165"/>
      <c r="AP135" s="13">
        <f>AVERAGE(AO133:AO139)</f>
        <v>3690.0000000000091</v>
      </c>
      <c r="AQ135" s="15" t="str">
        <f>IF(ISNUMBER([2]HRT_SRT!R189),[2]HRT_SRT!R189,"")</f>
        <v/>
      </c>
      <c r="AR135" s="17" t="e">
        <f>(E135-W135)/E135</f>
        <v>#VALUE!</v>
      </c>
      <c r="AS135" s="16">
        <f>(I135-AF135)/I135</f>
        <v>1</v>
      </c>
      <c r="AT135" s="16">
        <f>AG135/(AD135-AF135)</f>
        <v>0.10612760581174983</v>
      </c>
      <c r="AU135" s="16" t="e">
        <f>(G135-AM135)/G135</f>
        <v>#DIV/0!</v>
      </c>
      <c r="AV135" s="57" t="str">
        <f>IF(AND(ISNUMBER(E135),ISNUMBER(W135)),E135-W135,"")</f>
        <v/>
      </c>
      <c r="AW135" s="57" t="str">
        <f>IF(AND(ISNUMBER(I135),ISNUMBER(AF135)),I135-AF135,"")</f>
        <v/>
      </c>
      <c r="AX135" s="57" t="str">
        <f>IF(AND(ISNUMBER(AM135),ISNUMBER(G135)),G135-AM135,"")</f>
        <v/>
      </c>
      <c r="AY135" s="57" t="str">
        <f>IF(AND(ISNUMBER(AC135),ISNUMBER(AE135)),AC135-AE135,"")</f>
        <v/>
      </c>
      <c r="AZ135" s="57" t="str">
        <f>IF(AND(ISNUMBER(AL135),ISNUMBER(AM135)),AL135-AM135,"")</f>
        <v/>
      </c>
      <c r="BA135" s="84" t="str">
        <f>IF(AND($E135&gt;0,$W135&gt;0),IF(($E135-$W135)/$E135&gt;0,($E135-$W135)/$E135,0),"")</f>
        <v/>
      </c>
      <c r="BB135" s="84">
        <f>IF(AND($I135&gt;0,$AF135&gt;=0),IF(($I135-$AF135)/$I135&gt;0,($I135-$AF135)/$I135,0),"")</f>
        <v>1</v>
      </c>
      <c r="BC135" s="84">
        <f>IF(AND($AG135&gt;=0,$AD135&gt;=0,$AF135&gt;=0),IF($AG135/($AD135-$AF135)&gt;0,$AG135/($AD135-$AF135),0),"")</f>
        <v>0.10612760581174983</v>
      </c>
      <c r="BD135" s="84" t="str">
        <f>IF(AND($G135&gt;0,$AM135&gt;0),IF(($G135-$AM135)/$G135&gt;0,($G135-$AM135)/$G135,0),"")</f>
        <v/>
      </c>
      <c r="BE135" s="6">
        <f>IF((AD135-AF135)/(AJ135/60)&lt;=0,"",(AD135-AF135)/(AJ135/60))</f>
        <v>9.0457142857142863</v>
      </c>
      <c r="BF135" s="6" t="str">
        <f>IF(OR(AJ135=0,AP135=0,NOT(ISNUMBER(AD135)),NOT(ISNUMBER(AF135)),NOT(ISNUMBER(AJ135)),NOT(ISNUMBER(AP135))),"",
IFERROR(IF((AD135-AF135)/(AJ135/60)/(AP135/1000)&lt;=0,"",(AD135-AF135)/(AJ135/60)/(AP135/1000)),""))</f>
        <v/>
      </c>
    </row>
    <row r="136" spans="1:58" ht="15.75">
      <c r="A136" s="12" t="s">
        <v>147</v>
      </c>
      <c r="B136" s="11">
        <v>45396</v>
      </c>
      <c r="D136" s="3">
        <v>131</v>
      </c>
      <c r="E136" s="205" t="str">
        <f t="shared" si="11"/>
        <v/>
      </c>
      <c r="I136" s="15">
        <f>AD136</f>
        <v>27.56111111111111</v>
      </c>
      <c r="K136" s="10" t="str">
        <f t="shared" si="8"/>
        <v/>
      </c>
      <c r="L136" s="9" t="str">
        <f t="shared" si="9"/>
        <v/>
      </c>
      <c r="M136" s="8" t="str">
        <f t="shared" si="10"/>
        <v/>
      </c>
      <c r="AB136" s="5">
        <v>80</v>
      </c>
      <c r="AD136" s="168">
        <f>(AD135*1/3+AD137*2/3)</f>
        <v>27.56111111111111</v>
      </c>
      <c r="AG136">
        <v>2.72</v>
      </c>
      <c r="AH136" s="119">
        <v>0.43993055555555555</v>
      </c>
      <c r="AJ136" s="1">
        <v>175</v>
      </c>
      <c r="AK136" s="3">
        <v>180</v>
      </c>
      <c r="AN136" s="80">
        <f>360-AK136-AB136</f>
        <v>100</v>
      </c>
      <c r="AO136" s="165"/>
      <c r="AP136" s="13">
        <f>AVERAGE(AO134:AO140)</f>
        <v>3690.0000000000091</v>
      </c>
      <c r="AQ136" s="15" t="str">
        <f>IF(ISNUMBER([2]HRT_SRT!R190),[2]HRT_SRT!R190,"")</f>
        <v/>
      </c>
      <c r="AR136" s="17" t="e">
        <f>(E136-W136)/E136</f>
        <v>#VALUE!</v>
      </c>
      <c r="AS136" s="16">
        <f>(I136-AF136)/I136</f>
        <v>1</v>
      </c>
      <c r="AT136" s="16">
        <f>AG136/(AD136-AF136)</f>
        <v>9.8689780286232626E-2</v>
      </c>
      <c r="AU136" s="16" t="e">
        <f>(G136-AM136)/G136</f>
        <v>#DIV/0!</v>
      </c>
      <c r="AV136" s="57" t="str">
        <f>IF(AND(ISNUMBER(E136),ISNUMBER(W136)),E136-W136,"")</f>
        <v/>
      </c>
      <c r="AW136" s="57" t="str">
        <f>IF(AND(ISNUMBER(I136),ISNUMBER(AF136)),I136-AF136,"")</f>
        <v/>
      </c>
      <c r="AX136" s="57" t="str">
        <f>IF(AND(ISNUMBER(AM136),ISNUMBER(G136)),G136-AM136,"")</f>
        <v/>
      </c>
      <c r="AY136" s="57" t="str">
        <f>IF(AND(ISNUMBER(AC136),ISNUMBER(AE136)),AC136-AE136,"")</f>
        <v/>
      </c>
      <c r="AZ136" s="57" t="str">
        <f>IF(AND(ISNUMBER(AL136),ISNUMBER(AM136)),AL136-AM136,"")</f>
        <v/>
      </c>
      <c r="BA136" s="84" t="str">
        <f>IF(AND($E136&gt;0,$W136&gt;0),IF(($E136-$W136)/$E136&gt;0,($E136-$W136)/$E136,0),"")</f>
        <v/>
      </c>
      <c r="BB136" s="84">
        <f>IF(AND($I136&gt;0,$AF136&gt;=0),IF(($I136-$AF136)/$I136&gt;0,($I136-$AF136)/$I136,0),"")</f>
        <v>1</v>
      </c>
      <c r="BC136" s="84">
        <f>IF(AND($AG136&gt;=0,$AD136&gt;=0,$AF136&gt;=0),IF($AG136/($AD136-$AF136)&gt;0,$AG136/($AD136-$AF136),0),"")</f>
        <v>9.8689780286232626E-2</v>
      </c>
      <c r="BD136" s="84" t="str">
        <f>IF(AND($G136&gt;0,$AM136&gt;0),IF(($G136-$AM136)/$G136&gt;0,($G136-$AM136)/$G136,0),"")</f>
        <v/>
      </c>
      <c r="BE136" s="6">
        <f>IF((AD136-AF136)/(AJ136/60)&lt;=0,"",(AD136-AF136)/(AJ136/60))</f>
        <v>9.449523809523809</v>
      </c>
      <c r="BF136" s="6" t="str">
        <f>IF(OR(AJ136=0,AP136=0,NOT(ISNUMBER(AD136)),NOT(ISNUMBER(AF136)),NOT(ISNUMBER(AJ136)),NOT(ISNUMBER(AP136))),"",
IFERROR(IF((AD136-AF136)/(AJ136/60)/(AP136/1000)&lt;=0,"",(AD136-AF136)/(AJ136/60)/(AP136/1000)),""))</f>
        <v/>
      </c>
    </row>
    <row r="137" spans="1:58" ht="30">
      <c r="A137" s="12" t="s">
        <v>146</v>
      </c>
      <c r="B137" s="11">
        <v>45397</v>
      </c>
      <c r="D137" s="3">
        <v>132</v>
      </c>
      <c r="E137" s="205">
        <f t="shared" si="11"/>
        <v>185.51476000000002</v>
      </c>
      <c r="G137" s="15">
        <f>(N137*18-H137*18)/9</f>
        <v>21.600000000000005</v>
      </c>
      <c r="H137" s="15">
        <v>24.9</v>
      </c>
      <c r="I137" s="15">
        <f>AD137</f>
        <v>28.15</v>
      </c>
      <c r="K137" s="10">
        <f t="shared" si="8"/>
        <v>8.5886462962962948</v>
      </c>
      <c r="L137" s="9">
        <f t="shared" si="9"/>
        <v>3.2951111900532863</v>
      </c>
      <c r="M137" s="8">
        <f t="shared" si="10"/>
        <v>2.606481481481481</v>
      </c>
      <c r="N137" s="7">
        <v>35.700000000000003</v>
      </c>
      <c r="O137" s="6">
        <v>68.894000000000005</v>
      </c>
      <c r="P137" s="6">
        <v>12.712999999999999</v>
      </c>
      <c r="Q137" s="6">
        <f>O137*1.067</f>
        <v>73.509898000000007</v>
      </c>
      <c r="R137" s="6">
        <f>P137*1.514</f>
        <v>19.247481999999998</v>
      </c>
      <c r="S137" s="23">
        <f>P137*1.514+O137*1.067</f>
        <v>92.757380000000012</v>
      </c>
      <c r="T137" s="6">
        <v>44.8</v>
      </c>
      <c r="W137" s="6">
        <f>0.174+0.432</f>
        <v>0.60599999999999998</v>
      </c>
      <c r="AB137" s="5">
        <v>80</v>
      </c>
      <c r="AC137" s="7">
        <f>T137</f>
        <v>44.8</v>
      </c>
      <c r="AD137" s="1">
        <f>5*5.63</f>
        <v>28.15</v>
      </c>
      <c r="AE137" s="1">
        <v>48.8</v>
      </c>
      <c r="AF137" s="1">
        <v>0</v>
      </c>
      <c r="AG137">
        <v>0.36</v>
      </c>
      <c r="AH137"/>
      <c r="AJ137" s="1">
        <v>175</v>
      </c>
      <c r="AK137" s="3">
        <v>180</v>
      </c>
      <c r="AL137" s="4">
        <f>AE137</f>
        <v>48.8</v>
      </c>
      <c r="AM137" s="1">
        <v>45</v>
      </c>
      <c r="AN137" s="80">
        <f>360-AK137-AB137</f>
        <v>100</v>
      </c>
      <c r="AO137" s="165"/>
      <c r="AP137" s="13">
        <f>AVERAGE(AO135:AO141)</f>
        <v>3690.0000000000091</v>
      </c>
      <c r="AQ137" s="15" t="str">
        <f>IF(ISNUMBER([2]HRT_SRT!R191),[2]HRT_SRT!R191,"")</f>
        <v/>
      </c>
      <c r="AR137" s="17">
        <f>(E137-W137)/E137</f>
        <v>0.9967334135569591</v>
      </c>
      <c r="AS137" s="16">
        <f>(I137-AF137)/I137</f>
        <v>1</v>
      </c>
      <c r="AT137" s="16">
        <f>AG137/(AD137-AF137)</f>
        <v>1.2788632326820605E-2</v>
      </c>
      <c r="AU137" s="16">
        <f>(G137-AM137)/G137</f>
        <v>-1.0833333333333328</v>
      </c>
      <c r="AV137" s="57">
        <f>IF(AND(ISNUMBER(E137),ISNUMBER(W137)),E137-W137,"")</f>
        <v>184.90876000000003</v>
      </c>
      <c r="AW137" s="57">
        <f>IF(AND(ISNUMBER(I137),ISNUMBER(AF137)),I137-AF137,"")</f>
        <v>28.15</v>
      </c>
      <c r="AX137" s="57">
        <f>IF(AND(ISNUMBER(AM137),ISNUMBER(G137)),G137-AM137,"")</f>
        <v>-23.399999999999995</v>
      </c>
      <c r="AY137" s="57">
        <f>IF(AND(ISNUMBER(AC137),ISNUMBER(AE137)),AC137-AE137,"")</f>
        <v>-4</v>
      </c>
      <c r="AZ137" s="57">
        <f>IF(AND(ISNUMBER(AL137),ISNUMBER(AM137)),AL137-AM137,"")</f>
        <v>3.7999999999999972</v>
      </c>
      <c r="BA137" s="84">
        <f>IF(AND($E137&gt;0,$W137&gt;0),IF(($E137-$W137)/$E137&gt;0,($E137-$W137)/$E137,0),"")</f>
        <v>0.9967334135569591</v>
      </c>
      <c r="BB137" s="84">
        <f>IF(AND($I137&gt;0,$AF137&gt;=0),IF(($I137-$AF137)/$I137&gt;0,($I137-$AF137)/$I137,0),"")</f>
        <v>1</v>
      </c>
      <c r="BC137" s="84">
        <f>IF(AND($AG137&gt;=0,$AD137&gt;=0,$AF137&gt;=0),IF($AG137/($AD137-$AF137)&gt;0,$AG137/($AD137-$AF137),0),"")</f>
        <v>1.2788632326820605E-2</v>
      </c>
      <c r="BD137" s="84">
        <f>IF(AND($G137&gt;0,$AM137&gt;0),IF(($G137-$AM137)/$G137&gt;0,($G137-$AM137)/$G137,0),"")</f>
        <v>0</v>
      </c>
      <c r="BE137" s="6">
        <f>IF((AD137-AF137)/(AJ137/60)&lt;=0,"",(AD137-AF137)/(AJ137/60))</f>
        <v>9.6514285714285712</v>
      </c>
      <c r="BF137" s="6">
        <f>IF(OR(AJ137=0,AP137=0,NOT(ISNUMBER(AD137)),NOT(ISNUMBER(AF137)),NOT(ISNUMBER(AJ137)),NOT(ISNUMBER(AP137))),"",
IFERROR(IF((AD137-AF137)/(AJ137/60)/(AP137/1000)&lt;=0,"",(AD137-AF137)/(AJ137/60)/(AP137/1000)),""))</f>
        <v>2.6155632984901209</v>
      </c>
    </row>
    <row r="138" spans="1:58" ht="15.75">
      <c r="B138" s="11">
        <v>45398</v>
      </c>
      <c r="D138" s="3">
        <v>133</v>
      </c>
      <c r="E138" s="205">
        <f t="shared" si="11"/>
        <v>256.16678000000002</v>
      </c>
      <c r="G138" s="15">
        <f>(N138*18-H138*18)/9</f>
        <v>27.56</v>
      </c>
      <c r="H138" s="9">
        <v>8.7200000000000006</v>
      </c>
      <c r="I138" s="15">
        <f>AD138</f>
        <v>25.4</v>
      </c>
      <c r="K138" s="10">
        <f t="shared" si="8"/>
        <v>9.2948759071117575</v>
      </c>
      <c r="L138" s="9">
        <f t="shared" si="9"/>
        <v>5.0426531496062994</v>
      </c>
      <c r="M138" s="8">
        <f t="shared" si="10"/>
        <v>1.8432510885341074</v>
      </c>
      <c r="N138" s="7">
        <v>22.5</v>
      </c>
      <c r="O138" s="6">
        <v>93.938000000000002</v>
      </c>
      <c r="P138" s="6">
        <v>18.396000000000001</v>
      </c>
      <c r="Q138" s="6">
        <f>O138*1.067</f>
        <v>100.231846</v>
      </c>
      <c r="R138" s="6">
        <f>P138*1.514</f>
        <v>27.851544000000001</v>
      </c>
      <c r="S138" s="23">
        <f>P138*1.514+O138*1.067</f>
        <v>128.08339000000001</v>
      </c>
      <c r="T138" s="6">
        <v>33.299999999999997</v>
      </c>
      <c r="W138" s="6">
        <v>0</v>
      </c>
      <c r="AB138" s="5">
        <v>80</v>
      </c>
      <c r="AC138" s="7">
        <f>T138</f>
        <v>33.299999999999997</v>
      </c>
      <c r="AD138" s="1">
        <f>5*5.08</f>
        <v>25.4</v>
      </c>
      <c r="AE138" s="1">
        <v>19.100000000000001</v>
      </c>
      <c r="AF138" s="1">
        <v>0</v>
      </c>
      <c r="AG138">
        <v>1.74</v>
      </c>
      <c r="AH138" s="119">
        <v>0.3994212962962963</v>
      </c>
      <c r="AJ138" s="1">
        <v>175</v>
      </c>
      <c r="AK138" s="3">
        <v>180</v>
      </c>
      <c r="AL138" s="4">
        <f>AE138</f>
        <v>19.100000000000001</v>
      </c>
      <c r="AM138" s="1">
        <v>13</v>
      </c>
      <c r="AN138" s="80">
        <f>360-AK138-AB138</f>
        <v>100</v>
      </c>
      <c r="AO138" s="165"/>
      <c r="AP138" s="13">
        <f>AVERAGE(AO136:AO142)</f>
        <v>3690.0000000000091</v>
      </c>
      <c r="AQ138" s="15" t="str">
        <f>IF(ISNUMBER([2]HRT_SRT!R192),[2]HRT_SRT!R192,"")</f>
        <v/>
      </c>
      <c r="AR138" s="17">
        <f>(E138-W138)/E138</f>
        <v>1</v>
      </c>
      <c r="AS138" s="16">
        <f>(I138-AF138)/I138</f>
        <v>1</v>
      </c>
      <c r="AT138" s="16">
        <f>AG138/(AD138-AF138)</f>
        <v>6.8503937007874022E-2</v>
      </c>
      <c r="AU138" s="16">
        <f>(G138-AM138)/G138</f>
        <v>0.52830188679245282</v>
      </c>
      <c r="AV138" s="57">
        <f>IF(AND(ISNUMBER(E138),ISNUMBER(W138)),E138-W138,"")</f>
        <v>256.16678000000002</v>
      </c>
      <c r="AW138" s="57">
        <f>IF(AND(ISNUMBER(I138),ISNUMBER(AF138)),I138-AF138,"")</f>
        <v>25.4</v>
      </c>
      <c r="AX138" s="57">
        <f>IF(AND(ISNUMBER(AM138),ISNUMBER(G138)),G138-AM138,"")</f>
        <v>14.559999999999999</v>
      </c>
      <c r="AY138" s="57">
        <f>IF(AND(ISNUMBER(AC138),ISNUMBER(AE138)),AC138-AE138,"")</f>
        <v>14.199999999999996</v>
      </c>
      <c r="AZ138" s="57">
        <f>IF(AND(ISNUMBER(AL138),ISNUMBER(AM138)),AL138-AM138,"")</f>
        <v>6.1000000000000014</v>
      </c>
      <c r="BA138" s="84" t="str">
        <f>IF(AND($E138&gt;0,$W138&gt;0),IF(($E138-$W138)/$E138&gt;0,($E138-$W138)/$E138,0),"")</f>
        <v/>
      </c>
      <c r="BB138" s="84">
        <f>IF(AND($I138&gt;0,$AF138&gt;=0),IF(($I138-$AF138)/$I138&gt;0,($I138-$AF138)/$I138,0),"")</f>
        <v>1</v>
      </c>
      <c r="BC138" s="84">
        <f>IF(AND($AG138&gt;=0,$AD138&gt;=0,$AF138&gt;=0),IF($AG138/($AD138-$AF138)&gt;0,$AG138/($AD138-$AF138),0),"")</f>
        <v>6.8503937007874022E-2</v>
      </c>
      <c r="BD138" s="84">
        <f>IF(AND($G138&gt;0,$AM138&gt;0),IF(($G138-$AM138)/$G138&gt;0,($G138-$AM138)/$G138,0),"")</f>
        <v>0.52830188679245282</v>
      </c>
      <c r="BE138" s="6">
        <f>IF((AD138-AF138)/(AJ138/60)&lt;=0,"",(AD138-AF138)/(AJ138/60))</f>
        <v>8.7085714285714282</v>
      </c>
      <c r="BF138" s="6">
        <f>IF(OR(AJ138=0,AP138=0,NOT(ISNUMBER(AD138)),NOT(ISNUMBER(AF138)),NOT(ISNUMBER(AJ138)),NOT(ISNUMBER(AP138))),"",
IFERROR(IF((AD138-AF138)/(AJ138/60)/(AP138/1000)&lt;=0,"",(AD138-AF138)/(AJ138/60)/(AP138/1000)),""))</f>
        <v>2.3600464576074272</v>
      </c>
    </row>
    <row r="139" spans="1:58" ht="15.75">
      <c r="B139" s="167">
        <v>45399</v>
      </c>
      <c r="C139" s="166"/>
      <c r="D139" s="136">
        <v>134</v>
      </c>
      <c r="E139" s="205">
        <f t="shared" si="11"/>
        <v>306.13541599999996</v>
      </c>
      <c r="G139" s="15">
        <f>(N139*18-H139*18)/9</f>
        <v>25.639999999999997</v>
      </c>
      <c r="H139" s="9">
        <v>8.8800000000000008</v>
      </c>
      <c r="I139" s="15">
        <f>AD139</f>
        <v>27.450000000000003</v>
      </c>
      <c r="K139" s="10">
        <f t="shared" si="8"/>
        <v>11.939758814352574</v>
      </c>
      <c r="L139" s="9">
        <f t="shared" si="9"/>
        <v>5.5762370856101988</v>
      </c>
      <c r="M139" s="8">
        <f t="shared" si="10"/>
        <v>2.1411856474258975</v>
      </c>
      <c r="N139" s="7">
        <v>21.7</v>
      </c>
      <c r="O139" s="6">
        <v>87.712000000000003</v>
      </c>
      <c r="P139" s="6">
        <v>39.286000000000001</v>
      </c>
      <c r="Q139" s="6">
        <f>O139*1.067</f>
        <v>93.588703999999993</v>
      </c>
      <c r="R139" s="6">
        <f>P139*1.514</f>
        <v>59.479004000000003</v>
      </c>
      <c r="S139" s="23">
        <f>P139*1.514+O139*1.067</f>
        <v>153.06770799999998</v>
      </c>
      <c r="T139" s="6">
        <v>33.200000000000003</v>
      </c>
      <c r="W139" s="6">
        <v>0</v>
      </c>
      <c r="X139" s="6">
        <v>5.7</v>
      </c>
      <c r="AB139" s="5">
        <v>80</v>
      </c>
      <c r="AC139" s="7">
        <f>T139</f>
        <v>33.200000000000003</v>
      </c>
      <c r="AD139" s="1">
        <f>5*5.49</f>
        <v>27.450000000000003</v>
      </c>
      <c r="AE139" s="1">
        <v>20.3</v>
      </c>
      <c r="AF139" s="1">
        <f>2*3.19</f>
        <v>6.38</v>
      </c>
      <c r="AG139">
        <v>3.64</v>
      </c>
      <c r="AH139" s="119">
        <v>0.44849537037037035</v>
      </c>
      <c r="AJ139" s="1">
        <v>175</v>
      </c>
      <c r="AK139" s="3">
        <v>180</v>
      </c>
      <c r="AL139" s="4">
        <f>AE139</f>
        <v>20.3</v>
      </c>
      <c r="AM139" s="1">
        <v>14.9</v>
      </c>
      <c r="AN139" s="80">
        <f>360-AK139-AB139</f>
        <v>100</v>
      </c>
      <c r="AO139" s="165">
        <f>[2]HRT_SRT!P193</f>
        <v>3690.0000000000091</v>
      </c>
      <c r="AP139" s="13">
        <f>AVERAGE(AO137:AO143)</f>
        <v>3690.0000000000091</v>
      </c>
      <c r="AQ139" s="15">
        <f>IF(ISNUMBER([2]HRT_SRT!R193),[2]HRT_SRT!R193,"")</f>
        <v>14.19230769230745</v>
      </c>
      <c r="AR139" s="17">
        <f>(E139-W139)/E139</f>
        <v>1</v>
      </c>
      <c r="AS139" s="16">
        <f>(I139-AF139)/I139</f>
        <v>0.76757741347905284</v>
      </c>
      <c r="AT139" s="16">
        <f>AG139/(AD139-AF139)</f>
        <v>0.17275747508305644</v>
      </c>
      <c r="AU139" s="16">
        <f>(G139-AM139)/G139</f>
        <v>0.41887675507020272</v>
      </c>
      <c r="AV139" s="57">
        <f>IF(AND(ISNUMBER(E139),ISNUMBER(W139)),E139-W139,"")</f>
        <v>306.13541599999996</v>
      </c>
      <c r="AW139" s="57">
        <f>IF(AND(ISNUMBER(I139),ISNUMBER(AF139)),I139-AF139,"")</f>
        <v>21.070000000000004</v>
      </c>
      <c r="AX139" s="57">
        <f>IF(AND(ISNUMBER(AM139),ISNUMBER(G139)),G139-AM139,"")</f>
        <v>10.739999999999997</v>
      </c>
      <c r="AY139" s="57">
        <f>IF(AND(ISNUMBER(AC139),ISNUMBER(AE139)),AC139-AE139,"")</f>
        <v>12.900000000000002</v>
      </c>
      <c r="AZ139" s="57">
        <f>IF(AND(ISNUMBER(AL139),ISNUMBER(AM139)),AL139-AM139,"")</f>
        <v>5.4</v>
      </c>
      <c r="BA139" s="84" t="str">
        <f>IF(AND($E139&gt;0,$W139&gt;0),IF(($E139-$W139)/$E139&gt;0,($E139-$W139)/$E139,0),"")</f>
        <v/>
      </c>
      <c r="BB139" s="84">
        <f>IF(AND($I139&gt;0,$AF139&gt;=0),IF(($I139-$AF139)/$I139&gt;0,($I139-$AF139)/$I139,0),"")</f>
        <v>0.76757741347905284</v>
      </c>
      <c r="BC139" s="84">
        <f>IF(AND($AG139&gt;=0,$AD139&gt;=0,$AF139&gt;=0),IF($AG139/($AD139-$AF139)&gt;0,$AG139/($AD139-$AF139),0),"")</f>
        <v>0.17275747508305644</v>
      </c>
      <c r="BD139" s="84">
        <f>IF(AND($G139&gt;0,$AM139&gt;0),IF(($G139-$AM139)/$G139&gt;0,($G139-$AM139)/$G139,0),"")</f>
        <v>0.41887675507020272</v>
      </c>
      <c r="BE139" s="6">
        <f>IF((AD139-AF139)/(AJ139/60)&lt;=0,"",(AD139-AF139)/(AJ139/60))</f>
        <v>7.224000000000002</v>
      </c>
      <c r="BF139" s="6">
        <f>IF(OR(AJ139=0,AP139=0,NOT(ISNUMBER(AD139)),NOT(ISNUMBER(AF139)),NOT(ISNUMBER(AJ139)),NOT(ISNUMBER(AP139))),"",
IFERROR(IF((AD139-AF139)/(AJ139/60)/(AP139/1000)&lt;=0,"",(AD139-AF139)/(AJ139/60)/(AP139/1000)),""))</f>
        <v>1.957723577235768</v>
      </c>
    </row>
    <row r="140" spans="1:58" ht="45">
      <c r="A140" s="12" t="s">
        <v>145</v>
      </c>
      <c r="B140" s="11">
        <v>45400</v>
      </c>
      <c r="D140" s="3">
        <v>135</v>
      </c>
      <c r="E140" s="205" t="str">
        <f t="shared" si="11"/>
        <v/>
      </c>
      <c r="I140" s="15">
        <f>AD140</f>
        <v>26.25</v>
      </c>
      <c r="K140" s="10" t="str">
        <f t="shared" si="8"/>
        <v/>
      </c>
      <c r="L140" s="9" t="str">
        <f t="shared" si="9"/>
        <v/>
      </c>
      <c r="M140" s="8" t="str">
        <f t="shared" si="10"/>
        <v/>
      </c>
      <c r="X140" s="6">
        <v>7.64</v>
      </c>
      <c r="AB140" s="5">
        <v>80</v>
      </c>
      <c r="AC140" s="4">
        <v>33.6</v>
      </c>
      <c r="AD140" s="1">
        <f>5*5.25</f>
        <v>26.25</v>
      </c>
      <c r="AE140" s="1">
        <v>64</v>
      </c>
      <c r="AF140" s="1">
        <f>2*4.87</f>
        <v>9.74</v>
      </c>
      <c r="AG140">
        <v>3.88</v>
      </c>
      <c r="AH140" s="119">
        <v>0.47824074074074074</v>
      </c>
      <c r="AJ140" s="1">
        <v>175</v>
      </c>
      <c r="AK140" s="3">
        <v>180</v>
      </c>
      <c r="AL140" s="4">
        <f>AE140</f>
        <v>64</v>
      </c>
      <c r="AM140" s="1">
        <v>60.5</v>
      </c>
      <c r="AN140" s="80">
        <f>360-AK140-AB140</f>
        <v>100</v>
      </c>
      <c r="AO140" s="165"/>
      <c r="AP140" s="13">
        <f>AVERAGE(AO138:AO144)</f>
        <v>3250</v>
      </c>
      <c r="AQ140" s="15" t="str">
        <f>IF(ISNUMBER([2]HRT_SRT!R194),[2]HRT_SRT!R194,"")</f>
        <v/>
      </c>
      <c r="AR140" s="17" t="e">
        <f>(E140-W140)/E140</f>
        <v>#VALUE!</v>
      </c>
      <c r="AS140" s="16">
        <f>(I140-AF140)/I140</f>
        <v>0.62895238095238093</v>
      </c>
      <c r="AT140" s="16">
        <f>AG140/(AD140-AF140)</f>
        <v>0.2350090854027862</v>
      </c>
      <c r="AU140" s="16" t="e">
        <f>(G140-AM140)/G140</f>
        <v>#DIV/0!</v>
      </c>
      <c r="AV140" s="57" t="str">
        <f>IF(AND(ISNUMBER(E140),ISNUMBER(W140)),E140-W140,"")</f>
        <v/>
      </c>
      <c r="AW140" s="57">
        <f>IF(AND(ISNUMBER(I140),ISNUMBER(AF140)),I140-AF140,"")</f>
        <v>16.509999999999998</v>
      </c>
      <c r="AX140" s="57" t="str">
        <f>IF(AND(ISNUMBER(AM140),ISNUMBER(G140)),G140-AM140,"")</f>
        <v/>
      </c>
      <c r="AY140" s="57">
        <f>IF(AND(ISNUMBER(AC140),ISNUMBER(AE140)),AC140-AE140,"")</f>
        <v>-30.4</v>
      </c>
      <c r="AZ140" s="57">
        <f>IF(AND(ISNUMBER(AL140),ISNUMBER(AM140)),AL140-AM140,"")</f>
        <v>3.5</v>
      </c>
      <c r="BA140" s="84" t="str">
        <f>IF(AND($E140&gt;0,$W140&gt;0),IF(($E140-$W140)/$E140&gt;0,($E140-$W140)/$E140,0),"")</f>
        <v/>
      </c>
      <c r="BB140" s="84">
        <f>IF(AND($I140&gt;0,$AF140&gt;=0),IF(($I140-$AF140)/$I140&gt;0,($I140-$AF140)/$I140,0),"")</f>
        <v>0.62895238095238093</v>
      </c>
      <c r="BC140" s="84">
        <f>IF(AND($AG140&gt;=0,$AD140&gt;=0,$AF140&gt;=0),IF($AG140/($AD140-$AF140)&gt;0,$AG140/($AD140-$AF140),0),"")</f>
        <v>0.2350090854027862</v>
      </c>
      <c r="BD140" s="84" t="str">
        <f>IF(AND($G140&gt;0,$AM140&gt;0),IF(($G140-$AM140)/$G140&gt;0,($G140-$AM140)/$G140,0),"")</f>
        <v/>
      </c>
      <c r="BE140" s="6">
        <f>IF((AD140-AF140)/(AJ140/60)&lt;=0,"",(AD140-AF140)/(AJ140/60))</f>
        <v>5.6605714285714281</v>
      </c>
      <c r="BF140" s="6">
        <f>IF(OR(AJ140=0,AP140=0,NOT(ISNUMBER(AD140)),NOT(ISNUMBER(AF140)),NOT(ISNUMBER(AJ140)),NOT(ISNUMBER(AP140))),"",
IFERROR(IF((AD140-AF140)/(AJ140/60)/(AP140/1000)&lt;=0,"",(AD140-AF140)/(AJ140/60)/(AP140/1000)),""))</f>
        <v>1.7417142857142855</v>
      </c>
    </row>
    <row r="141" spans="1:58" s="137" customFormat="1" ht="15.75">
      <c r="A141" s="154" t="s">
        <v>144</v>
      </c>
      <c r="B141" s="173">
        <v>45401</v>
      </c>
      <c r="C141" s="172"/>
      <c r="D141" s="145">
        <v>136</v>
      </c>
      <c r="E141" s="205" t="str">
        <f t="shared" si="11"/>
        <v/>
      </c>
      <c r="F141" s="153"/>
      <c r="G141" s="153"/>
      <c r="H141" s="153"/>
      <c r="I141" s="15">
        <f>AD141</f>
        <v>0</v>
      </c>
      <c r="J141" s="152"/>
      <c r="K141" s="10" t="str">
        <f t="shared" si="8"/>
        <v/>
      </c>
      <c r="L141" s="9" t="str">
        <f t="shared" si="9"/>
        <v/>
      </c>
      <c r="M141" s="8" t="str">
        <f t="shared" si="10"/>
        <v/>
      </c>
      <c r="N141" s="151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>
        <v>4.9000000000000004</v>
      </c>
      <c r="Y141" s="150"/>
      <c r="Z141" s="150"/>
      <c r="AA141" s="150"/>
      <c r="AB141" s="149">
        <v>80</v>
      </c>
      <c r="AC141" s="141"/>
      <c r="AG141" s="147">
        <v>0.82</v>
      </c>
      <c r="AH141" s="146">
        <v>0.42905092592592592</v>
      </c>
      <c r="AJ141" s="170">
        <v>175</v>
      </c>
      <c r="AK141" s="145">
        <v>180</v>
      </c>
      <c r="AL141" s="141"/>
      <c r="AN141" s="144">
        <f>360-AK141-AB141</f>
        <v>100</v>
      </c>
      <c r="AO141" s="169"/>
      <c r="AP141" s="13">
        <f>AVERAGE(AO139:AO145)</f>
        <v>3250</v>
      </c>
      <c r="AQ141" s="142" t="str">
        <f>IF(ISNUMBER([2]HRT_SRT!R195),[2]HRT_SRT!R195,"")</f>
        <v/>
      </c>
      <c r="AR141" s="17" t="e">
        <f>(E141-W141)/E141</f>
        <v>#VALUE!</v>
      </c>
      <c r="AS141" s="16" t="e">
        <f>(I141-AF141)/I141</f>
        <v>#DIV/0!</v>
      </c>
      <c r="AT141" s="16" t="e">
        <f>AG141/(AD141-AF141)</f>
        <v>#DIV/0!</v>
      </c>
      <c r="AU141" s="16" t="e">
        <f>(G141-AM141)/G141</f>
        <v>#DIV/0!</v>
      </c>
      <c r="AV141" s="57" t="str">
        <f>IF(AND(ISNUMBER(E141),ISNUMBER(W141)),E141-W141,"")</f>
        <v/>
      </c>
      <c r="AW141" s="57" t="str">
        <f>IF(AND(ISNUMBER(I141),ISNUMBER(AF141)),I141-AF141,"")</f>
        <v/>
      </c>
      <c r="AX141" s="57" t="str">
        <f>IF(AND(ISNUMBER(AM141),ISNUMBER(G141)),G141-AM141,"")</f>
        <v/>
      </c>
      <c r="AY141" s="57" t="str">
        <f>IF(AND(ISNUMBER(AC141),ISNUMBER(AE141)),AC141-AE141,"")</f>
        <v/>
      </c>
      <c r="AZ141" s="57" t="str">
        <f>IF(AND(ISNUMBER(AL141),ISNUMBER(AM141)),AL141-AM141,"")</f>
        <v/>
      </c>
      <c r="BA141" s="84" t="str">
        <f>IF(AND($E141&gt;0,$W141&gt;0),IF(($E141-$W141)/$E141&gt;0,($E141-$W141)/$E141,0),"")</f>
        <v/>
      </c>
      <c r="BB141" s="84" t="str">
        <f>IF(AND($I141&gt;0,$AF141&gt;=0),IF(($I141-$AF141)/$I141&gt;0,($I141-$AF141)/$I141,0),"")</f>
        <v/>
      </c>
      <c r="BC141" s="84" t="e">
        <f>IF(AND($AG141&gt;=0,$AD141&gt;=0,$AF141&gt;=0),IF($AG141/($AD141-$AF141)&gt;0,$AG141/($AD141-$AF141),0),"")</f>
        <v>#DIV/0!</v>
      </c>
      <c r="BD141" s="84" t="str">
        <f>IF(AND($G141&gt;0,$AM141&gt;0),IF(($G141-$AM141)/$G141&gt;0,($G141-$AM141)/$G141,0),"")</f>
        <v/>
      </c>
      <c r="BE141" s="6" t="str">
        <f>IF((AD141-AF141)/(AJ141/60)&lt;=0,"",(AD141-AF141)/(AJ141/60))</f>
        <v/>
      </c>
      <c r="BF141" s="6" t="str">
        <f>IF(OR(AJ141=0,AP141=0,NOT(ISNUMBER(AD141)),NOT(ISNUMBER(AF141)),NOT(ISNUMBER(AJ141)),NOT(ISNUMBER(AP141))),"",
IFERROR(IF((AD141-AF141)/(AJ141/60)/(AP141/1000)&lt;=0,"",(AD141-AF141)/(AJ141/60)/(AP141/1000)),""))</f>
        <v/>
      </c>
    </row>
    <row r="142" spans="1:58" s="137" customFormat="1" ht="15.75">
      <c r="A142" s="154" t="s">
        <v>144</v>
      </c>
      <c r="B142" s="173">
        <v>45402</v>
      </c>
      <c r="C142" s="172"/>
      <c r="D142" s="145">
        <v>137</v>
      </c>
      <c r="E142" s="205" t="str">
        <f t="shared" si="11"/>
        <v/>
      </c>
      <c r="F142" s="153"/>
      <c r="G142" s="153"/>
      <c r="H142" s="153"/>
      <c r="I142" s="15">
        <f>AD142</f>
        <v>0</v>
      </c>
      <c r="J142" s="152"/>
      <c r="K142" s="10" t="str">
        <f t="shared" si="8"/>
        <v/>
      </c>
      <c r="L142" s="9" t="str">
        <f t="shared" si="9"/>
        <v/>
      </c>
      <c r="M142" s="8" t="str">
        <f t="shared" si="10"/>
        <v/>
      </c>
      <c r="N142" s="151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  <c r="AA142" s="150"/>
      <c r="AB142" s="149">
        <v>80</v>
      </c>
      <c r="AC142" s="141"/>
      <c r="AJ142" s="170">
        <v>175</v>
      </c>
      <c r="AK142" s="145">
        <v>180</v>
      </c>
      <c r="AL142" s="141"/>
      <c r="AN142" s="144">
        <f>360-AK142-AB142</f>
        <v>100</v>
      </c>
      <c r="AO142" s="169"/>
      <c r="AP142" s="13">
        <f>AVERAGE(AO140:AO146)</f>
        <v>2809.9999999999909</v>
      </c>
      <c r="AQ142" s="142" t="str">
        <f>IF(ISNUMBER([2]HRT_SRT!R196),[2]HRT_SRT!R196,"")</f>
        <v/>
      </c>
      <c r="AR142" s="17" t="e">
        <f>(E142-W142)/E142</f>
        <v>#VALUE!</v>
      </c>
      <c r="AS142" s="16" t="e">
        <f>(I142-AF142)/I142</f>
        <v>#DIV/0!</v>
      </c>
      <c r="AT142" s="16" t="e">
        <f>AG142/(AD142-AF142)</f>
        <v>#DIV/0!</v>
      </c>
      <c r="AU142" s="16" t="e">
        <f>(G142-AM142)/G142</f>
        <v>#DIV/0!</v>
      </c>
      <c r="AV142" s="57" t="str">
        <f>IF(AND(ISNUMBER(E142),ISNUMBER(W142)),E142-W142,"")</f>
        <v/>
      </c>
      <c r="AW142" s="57" t="str">
        <f>IF(AND(ISNUMBER(I142),ISNUMBER(AF142)),I142-AF142,"")</f>
        <v/>
      </c>
      <c r="AX142" s="57" t="str">
        <f>IF(AND(ISNUMBER(AM142),ISNUMBER(G142)),G142-AM142,"")</f>
        <v/>
      </c>
      <c r="AY142" s="57" t="str">
        <f>IF(AND(ISNUMBER(AC142),ISNUMBER(AE142)),AC142-AE142,"")</f>
        <v/>
      </c>
      <c r="AZ142" s="57" t="str">
        <f>IF(AND(ISNUMBER(AL142),ISNUMBER(AM142)),AL142-AM142,"")</f>
        <v/>
      </c>
      <c r="BA142" s="84" t="str">
        <f>IF(AND($E142&gt;0,$W142&gt;0),IF(($E142-$W142)/$E142&gt;0,($E142-$W142)/$E142,0),"")</f>
        <v/>
      </c>
      <c r="BB142" s="84" t="str">
        <f>IF(AND($I142&gt;0,$AF142&gt;=0),IF(($I142-$AF142)/$I142&gt;0,($I142-$AF142)/$I142,0),"")</f>
        <v/>
      </c>
      <c r="BC142" s="84" t="e">
        <f>IF(AND($AG142&gt;=0,$AD142&gt;=0,$AF142&gt;=0),IF($AG142/($AD142-$AF142)&gt;0,$AG142/($AD142-$AF142),0),"")</f>
        <v>#DIV/0!</v>
      </c>
      <c r="BD142" s="84" t="str">
        <f>IF(AND($G142&gt;0,$AM142&gt;0),IF(($G142-$AM142)/$G142&gt;0,($G142-$AM142)/$G142,0),"")</f>
        <v/>
      </c>
      <c r="BE142" s="6" t="str">
        <f>IF((AD142-AF142)/(AJ142/60)&lt;=0,"",(AD142-AF142)/(AJ142/60))</f>
        <v/>
      </c>
      <c r="BF142" s="6" t="str">
        <f>IF(OR(AJ142=0,AP142=0,NOT(ISNUMBER(AD142)),NOT(ISNUMBER(AF142)),NOT(ISNUMBER(AJ142)),NOT(ISNUMBER(AP142))),"",
IFERROR(IF((AD142-AF142)/(AJ142/60)/(AP142/1000)&lt;=0,"",(AD142-AF142)/(AJ142/60)/(AP142/1000)),""))</f>
        <v/>
      </c>
    </row>
    <row r="143" spans="1:58" s="137" customFormat="1" ht="15.75">
      <c r="A143" s="154" t="s">
        <v>144</v>
      </c>
      <c r="B143" s="173">
        <v>45403</v>
      </c>
      <c r="C143" s="172"/>
      <c r="D143" s="145">
        <v>138</v>
      </c>
      <c r="E143" s="205" t="str">
        <f t="shared" si="11"/>
        <v/>
      </c>
      <c r="F143" s="153"/>
      <c r="G143" s="153"/>
      <c r="H143" s="153"/>
      <c r="I143" s="15">
        <f>AD143</f>
        <v>0</v>
      </c>
      <c r="J143" s="152"/>
      <c r="K143" s="10" t="str">
        <f t="shared" si="8"/>
        <v/>
      </c>
      <c r="L143" s="9" t="str">
        <f t="shared" si="9"/>
        <v/>
      </c>
      <c r="M143" s="8" t="str">
        <f t="shared" si="10"/>
        <v/>
      </c>
      <c r="N143" s="151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>
        <v>9.77</v>
      </c>
      <c r="Y143" s="150"/>
      <c r="Z143" s="150"/>
      <c r="AA143" s="150"/>
      <c r="AB143" s="149">
        <v>80</v>
      </c>
      <c r="AC143" s="141"/>
      <c r="AJ143" s="170">
        <v>175</v>
      </c>
      <c r="AK143" s="145">
        <v>180</v>
      </c>
      <c r="AL143" s="141"/>
      <c r="AN143" s="144">
        <f>360-AK143-AB143</f>
        <v>100</v>
      </c>
      <c r="AO143" s="169"/>
      <c r="AP143" s="13">
        <f>AVERAGE(AO141:AO147)</f>
        <v>2809.9999999999909</v>
      </c>
      <c r="AQ143" s="142" t="str">
        <f>IF(ISNUMBER([2]HRT_SRT!R197),[2]HRT_SRT!R197,"")</f>
        <v/>
      </c>
      <c r="AR143" s="17" t="e">
        <f>(E143-W143)/E143</f>
        <v>#VALUE!</v>
      </c>
      <c r="AS143" s="16" t="e">
        <f>(I143-AF143)/I143</f>
        <v>#DIV/0!</v>
      </c>
      <c r="AT143" s="16" t="e">
        <f>AG143/(AD143-AF143)</f>
        <v>#DIV/0!</v>
      </c>
      <c r="AU143" s="16" t="e">
        <f>(G143-AM143)/G143</f>
        <v>#DIV/0!</v>
      </c>
      <c r="AV143" s="57" t="str">
        <f>IF(AND(ISNUMBER(E143),ISNUMBER(W143)),E143-W143,"")</f>
        <v/>
      </c>
      <c r="AW143" s="57" t="str">
        <f>IF(AND(ISNUMBER(I143),ISNUMBER(AF143)),I143-AF143,"")</f>
        <v/>
      </c>
      <c r="AX143" s="57" t="str">
        <f>IF(AND(ISNUMBER(AM143),ISNUMBER(G143)),G143-AM143,"")</f>
        <v/>
      </c>
      <c r="AY143" s="57" t="str">
        <f>IF(AND(ISNUMBER(AC143),ISNUMBER(AE143)),AC143-AE143,"")</f>
        <v/>
      </c>
      <c r="AZ143" s="57" t="str">
        <f>IF(AND(ISNUMBER(AL143),ISNUMBER(AM143)),AL143-AM143,"")</f>
        <v/>
      </c>
      <c r="BA143" s="84" t="str">
        <f>IF(AND($E143&gt;0,$W143&gt;0),IF(($E143-$W143)/$E143&gt;0,($E143-$W143)/$E143,0),"")</f>
        <v/>
      </c>
      <c r="BB143" s="84" t="str">
        <f>IF(AND($I143&gt;0,$AF143&gt;=0),IF(($I143-$AF143)/$I143&gt;0,($I143-$AF143)/$I143,0),"")</f>
        <v/>
      </c>
      <c r="BC143" s="84" t="e">
        <f>IF(AND($AG143&gt;=0,$AD143&gt;=0,$AF143&gt;=0),IF($AG143/($AD143-$AF143)&gt;0,$AG143/($AD143-$AF143),0),"")</f>
        <v>#DIV/0!</v>
      </c>
      <c r="BD143" s="84" t="str">
        <f>IF(AND($G143&gt;0,$AM143&gt;0),IF(($G143-$AM143)/$G143&gt;0,($G143-$AM143)/$G143,0),"")</f>
        <v/>
      </c>
      <c r="BE143" s="6" t="str">
        <f>IF((AD143-AF143)/(AJ143/60)&lt;=0,"",(AD143-AF143)/(AJ143/60))</f>
        <v/>
      </c>
      <c r="BF143" s="6" t="str">
        <f>IF(OR(AJ143=0,AP143=0,NOT(ISNUMBER(AD143)),NOT(ISNUMBER(AF143)),NOT(ISNUMBER(AJ143)),NOT(ISNUMBER(AP143))),"",
IFERROR(IF((AD143-AF143)/(AJ143/60)/(AP143/1000)&lt;=0,"",(AD143-AF143)/(AJ143/60)/(AP143/1000)),""))</f>
        <v/>
      </c>
    </row>
    <row r="144" spans="1:58" s="137" customFormat="1" ht="15.75">
      <c r="A144" s="154" t="s">
        <v>144</v>
      </c>
      <c r="B144" s="175">
        <v>45404</v>
      </c>
      <c r="C144" s="174"/>
      <c r="D144" s="136">
        <v>139</v>
      </c>
      <c r="E144" s="205" t="str">
        <f t="shared" si="11"/>
        <v/>
      </c>
      <c r="F144" s="153"/>
      <c r="G144" s="153"/>
      <c r="H144" s="153">
        <v>9.99</v>
      </c>
      <c r="I144" s="15">
        <f>AD144</f>
        <v>8.6999999999999993</v>
      </c>
      <c r="J144" s="152"/>
      <c r="K144" s="10" t="str">
        <f t="shared" si="8"/>
        <v/>
      </c>
      <c r="L144" s="9" t="str">
        <f t="shared" si="9"/>
        <v/>
      </c>
      <c r="M144" s="8" t="str">
        <f t="shared" si="10"/>
        <v/>
      </c>
      <c r="N144" s="151">
        <v>20.2</v>
      </c>
      <c r="O144" s="150"/>
      <c r="P144" s="150"/>
      <c r="Q144" s="150"/>
      <c r="R144" s="150"/>
      <c r="S144" s="150"/>
      <c r="T144" s="150">
        <v>14.3</v>
      </c>
      <c r="U144" s="150"/>
      <c r="V144" s="150"/>
      <c r="W144" s="150"/>
      <c r="X144" s="150">
        <v>8.24</v>
      </c>
      <c r="Y144" s="150"/>
      <c r="Z144" s="150"/>
      <c r="AA144" s="150"/>
      <c r="AB144" s="149">
        <v>80</v>
      </c>
      <c r="AC144" s="141">
        <v>33.6</v>
      </c>
      <c r="AD144" s="137">
        <f>5*1.74</f>
        <v>8.6999999999999993</v>
      </c>
      <c r="AE144" s="137">
        <v>30.2</v>
      </c>
      <c r="AF144" s="137">
        <v>22.9</v>
      </c>
      <c r="AJ144" s="170">
        <v>175</v>
      </c>
      <c r="AK144" s="145">
        <v>180</v>
      </c>
      <c r="AL144" s="141"/>
      <c r="AN144" s="144">
        <f>360-AK144-AB144</f>
        <v>100</v>
      </c>
      <c r="AO144" s="169">
        <f>[2]HRT_SRT!P198</f>
        <v>2809.9999999999909</v>
      </c>
      <c r="AP144" s="13">
        <f>AVERAGE(AO142:AO148)</f>
        <v>2809.9999999999909</v>
      </c>
      <c r="AQ144" s="142">
        <f>IF(ISNUMBER([2]HRT_SRT!R198),[2]HRT_SRT!R198,"")</f>
        <v>15.898660966869924</v>
      </c>
      <c r="AR144" s="17" t="e">
        <f>(E144-W144)/E144</f>
        <v>#VALUE!</v>
      </c>
      <c r="AS144" s="16">
        <f>(I144-AF144)/I144</f>
        <v>-1.632183908045977</v>
      </c>
      <c r="AT144" s="16">
        <f>AG144/(AD144-AF144)</f>
        <v>0</v>
      </c>
      <c r="AU144" s="16" t="e">
        <f>(G144-AM144)/G144</f>
        <v>#DIV/0!</v>
      </c>
      <c r="AV144" s="57" t="str">
        <f>IF(AND(ISNUMBER(E144),ISNUMBER(W144)),E144-W144,"")</f>
        <v/>
      </c>
      <c r="AW144" s="57">
        <f>IF(AND(ISNUMBER(I144),ISNUMBER(AF144)),I144-AF144,"")</f>
        <v>-14.2</v>
      </c>
      <c r="AX144" s="57" t="str">
        <f>IF(AND(ISNUMBER(AM144),ISNUMBER(G144)),G144-AM144,"")</f>
        <v/>
      </c>
      <c r="AY144" s="57">
        <f>IF(AND(ISNUMBER(AC144),ISNUMBER(AE144)),AC144-AE144,"")</f>
        <v>3.4000000000000021</v>
      </c>
      <c r="AZ144" s="57" t="str">
        <f>IF(AND(ISNUMBER(AL144),ISNUMBER(AM144)),AL144-AM144,"")</f>
        <v/>
      </c>
      <c r="BA144" s="84" t="str">
        <f>IF(AND($E144&gt;0,$W144&gt;0),IF(($E144-$W144)/$E144&gt;0,($E144-$W144)/$E144,0),"")</f>
        <v/>
      </c>
      <c r="BB144" s="84">
        <f>IF(AND($I144&gt;0,$AF144&gt;=0),IF(($I144-$AF144)/$I144&gt;0,($I144-$AF144)/$I144,0),"")</f>
        <v>0</v>
      </c>
      <c r="BC144" s="84">
        <f>IF(AND($AG144&gt;=0,$AD144&gt;=0,$AF144&gt;=0),IF($AG144/($AD144-$AF144)&gt;0,$AG144/($AD144-$AF144),0),"")</f>
        <v>0</v>
      </c>
      <c r="BD144" s="84" t="str">
        <f>IF(AND($G144&gt;0,$AM144&gt;0),IF(($G144-$AM144)/$G144&gt;0,($G144-$AM144)/$G144,0),"")</f>
        <v/>
      </c>
      <c r="BE144" s="6" t="str">
        <f>IF((AD144-AF144)/(AJ144/60)&lt;=0,"",(AD144-AF144)/(AJ144/60))</f>
        <v/>
      </c>
      <c r="BF144" s="6" t="str">
        <f>IF(OR(AJ144=0,AP144=0,NOT(ISNUMBER(AD144)),NOT(ISNUMBER(AF144)),NOT(ISNUMBER(AJ144)),NOT(ISNUMBER(AP144))),"",
IFERROR(IF((AD144-AF144)/(AJ144/60)/(AP144/1000)&lt;=0,"",(AD144-AF144)/(AJ144/60)/(AP144/1000)),""))</f>
        <v/>
      </c>
    </row>
    <row r="145" spans="1:58" s="137" customFormat="1" ht="15.75">
      <c r="A145" s="154" t="s">
        <v>143</v>
      </c>
      <c r="B145" s="173">
        <v>45405</v>
      </c>
      <c r="C145" s="172"/>
      <c r="D145" s="145">
        <v>140</v>
      </c>
      <c r="E145" s="205" t="str">
        <f t="shared" si="11"/>
        <v/>
      </c>
      <c r="F145" s="153"/>
      <c r="G145" s="153"/>
      <c r="H145" s="153"/>
      <c r="I145" s="15">
        <f>AD145</f>
        <v>28.650000000000002</v>
      </c>
      <c r="J145" s="152"/>
      <c r="K145" s="10" t="str">
        <f t="shared" si="8"/>
        <v/>
      </c>
      <c r="L145" s="9" t="str">
        <f t="shared" si="9"/>
        <v/>
      </c>
      <c r="M145" s="8" t="str">
        <f t="shared" si="10"/>
        <v/>
      </c>
      <c r="N145" s="151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>
        <v>8.7100000000000009</v>
      </c>
      <c r="Y145" s="150"/>
      <c r="Z145" s="150"/>
      <c r="AA145" s="150"/>
      <c r="AB145" s="149">
        <v>80</v>
      </c>
      <c r="AC145" s="141"/>
      <c r="AD145" s="171">
        <f>5*5.73</f>
        <v>28.650000000000002</v>
      </c>
      <c r="AG145" s="147">
        <v>2.27</v>
      </c>
      <c r="AH145" s="146">
        <v>0.47719907407407408</v>
      </c>
      <c r="AJ145" s="170">
        <v>175</v>
      </c>
      <c r="AK145" s="145">
        <v>180</v>
      </c>
      <c r="AL145" s="141"/>
      <c r="AN145" s="144">
        <f>360-AK145-AB145</f>
        <v>100</v>
      </c>
      <c r="AO145" s="169"/>
      <c r="AP145" s="13">
        <f>AVERAGE(AO143:AO149)</f>
        <v>2809.9999999999909</v>
      </c>
      <c r="AQ145" s="142" t="str">
        <f>IF(ISNUMBER([2]HRT_SRT!R199),[2]HRT_SRT!R199,"")</f>
        <v/>
      </c>
      <c r="AR145" s="17" t="e">
        <f>(E145-W145)/E145</f>
        <v>#VALUE!</v>
      </c>
      <c r="AS145" s="16">
        <f>(I145-AF145)/I145</f>
        <v>1</v>
      </c>
      <c r="AT145" s="16">
        <f>AG145/(AD145-AF145)</f>
        <v>7.9232111692844678E-2</v>
      </c>
      <c r="AU145" s="16" t="e">
        <f>(G145-AM145)/G145</f>
        <v>#DIV/0!</v>
      </c>
      <c r="AV145" s="57" t="str">
        <f>IF(AND(ISNUMBER(E145),ISNUMBER(W145)),E145-W145,"")</f>
        <v/>
      </c>
      <c r="AW145" s="57" t="str">
        <f>IF(AND(ISNUMBER(I145),ISNUMBER(AF145)),I145-AF145,"")</f>
        <v/>
      </c>
      <c r="AX145" s="57" t="str">
        <f>IF(AND(ISNUMBER(AM145),ISNUMBER(G145)),G145-AM145,"")</f>
        <v/>
      </c>
      <c r="AY145" s="57" t="str">
        <f>IF(AND(ISNUMBER(AC145),ISNUMBER(AE145)),AC145-AE145,"")</f>
        <v/>
      </c>
      <c r="AZ145" s="57" t="str">
        <f>IF(AND(ISNUMBER(AL145),ISNUMBER(AM145)),AL145-AM145,"")</f>
        <v/>
      </c>
      <c r="BA145" s="84" t="str">
        <f>IF(AND($E145&gt;0,$W145&gt;0),IF(($E145-$W145)/$E145&gt;0,($E145-$W145)/$E145,0),"")</f>
        <v/>
      </c>
      <c r="BB145" s="84">
        <f>IF(AND($I145&gt;0,$AF145&gt;=0),IF(($I145-$AF145)/$I145&gt;0,($I145-$AF145)/$I145,0),"")</f>
        <v>1</v>
      </c>
      <c r="BC145" s="84">
        <f>IF(AND($AG145&gt;=0,$AD145&gt;=0,$AF145&gt;=0),IF($AG145/($AD145-$AF145)&gt;0,$AG145/($AD145-$AF145),0),"")</f>
        <v>7.9232111692844678E-2</v>
      </c>
      <c r="BD145" s="84" t="str">
        <f>IF(AND($G145&gt;0,$AM145&gt;0),IF(($G145-$AM145)/$G145&gt;0,($G145-$AM145)/$G145,0),"")</f>
        <v/>
      </c>
      <c r="BE145" s="6">
        <f>IF((AD145-AF145)/(AJ145/60)&lt;=0,"",(AD145-AF145)/(AJ145/60))</f>
        <v>9.8228571428571438</v>
      </c>
      <c r="BF145" s="6" t="str">
        <f>IF(OR(AJ145=0,AP145=0,NOT(ISNUMBER(AD145)),NOT(ISNUMBER(AF145)),NOT(ISNUMBER(AJ145)),NOT(ISNUMBER(AP145))),"",
IFERROR(IF((AD145-AF145)/(AJ145/60)/(AP145/1000)&lt;=0,"",(AD145-AF145)/(AJ145/60)/(AP145/1000)),""))</f>
        <v/>
      </c>
    </row>
    <row r="146" spans="1:58" ht="15.75">
      <c r="B146" s="11">
        <v>45406</v>
      </c>
      <c r="D146" s="3">
        <v>141</v>
      </c>
      <c r="E146" s="205" t="str">
        <f t="shared" si="11"/>
        <v/>
      </c>
      <c r="I146" s="15">
        <f>AD146</f>
        <v>28.650000000000002</v>
      </c>
      <c r="K146" s="10" t="str">
        <f t="shared" si="8"/>
        <v/>
      </c>
      <c r="L146" s="9" t="str">
        <f t="shared" si="9"/>
        <v/>
      </c>
      <c r="M146" s="8" t="str">
        <f t="shared" si="10"/>
        <v/>
      </c>
      <c r="X146" s="6">
        <v>8.32</v>
      </c>
      <c r="AB146" s="5">
        <v>80</v>
      </c>
      <c r="AD146" s="168">
        <f>5*5.73</f>
        <v>28.650000000000002</v>
      </c>
      <c r="AG146">
        <v>2</v>
      </c>
      <c r="AH146" s="119">
        <v>0.47708333333333336</v>
      </c>
      <c r="AJ146" s="1">
        <v>175</v>
      </c>
      <c r="AK146" s="3">
        <v>180</v>
      </c>
      <c r="AN146" s="80">
        <f>360-AK146-AB146</f>
        <v>100</v>
      </c>
      <c r="AO146" s="165"/>
      <c r="AP146" s="13">
        <f>AVERAGE(AO144:AO150)</f>
        <v>2809.9999999999909</v>
      </c>
      <c r="AQ146" s="15" t="str">
        <f>IF(ISNUMBER([2]HRT_SRT!R200),[2]HRT_SRT!R200,"")</f>
        <v/>
      </c>
      <c r="AR146" s="17" t="e">
        <f>(E146-W146)/E146</f>
        <v>#VALUE!</v>
      </c>
      <c r="AS146" s="16">
        <f>(I146-AF146)/I146</f>
        <v>1</v>
      </c>
      <c r="AT146" s="16">
        <f>AG146/(AD146-AF146)</f>
        <v>6.9808027923211169E-2</v>
      </c>
      <c r="AU146" s="16" t="e">
        <f>(G146-AM146)/G146</f>
        <v>#DIV/0!</v>
      </c>
      <c r="AV146" s="57" t="str">
        <f>IF(AND(ISNUMBER(E146),ISNUMBER(W146)),E146-W146,"")</f>
        <v/>
      </c>
      <c r="AW146" s="57" t="str">
        <f>IF(AND(ISNUMBER(I146),ISNUMBER(AF146)),I146-AF146,"")</f>
        <v/>
      </c>
      <c r="AX146" s="57" t="str">
        <f>IF(AND(ISNUMBER(AM146),ISNUMBER(G146)),G146-AM146,"")</f>
        <v/>
      </c>
      <c r="AY146" s="57" t="str">
        <f>IF(AND(ISNUMBER(AC146),ISNUMBER(AE146)),AC146-AE146,"")</f>
        <v/>
      </c>
      <c r="AZ146" s="57" t="str">
        <f>IF(AND(ISNUMBER(AL146),ISNUMBER(AM146)),AL146-AM146,"")</f>
        <v/>
      </c>
      <c r="BA146" s="84" t="str">
        <f>IF(AND($E146&gt;0,$W146&gt;0),IF(($E146-$W146)/$E146&gt;0,($E146-$W146)/$E146,0),"")</f>
        <v/>
      </c>
      <c r="BB146" s="84">
        <f>IF(AND($I146&gt;0,$AF146&gt;=0),IF(($I146-$AF146)/$I146&gt;0,($I146-$AF146)/$I146,0),"")</f>
        <v>1</v>
      </c>
      <c r="BC146" s="84">
        <f>IF(AND($AG146&gt;=0,$AD146&gt;=0,$AF146&gt;=0),IF($AG146/($AD146-$AF146)&gt;0,$AG146/($AD146-$AF146),0),"")</f>
        <v>6.9808027923211169E-2</v>
      </c>
      <c r="BD146" s="84" t="str">
        <f>IF(AND($G146&gt;0,$AM146&gt;0),IF(($G146-$AM146)/$G146&gt;0,($G146-$AM146)/$G146,0),"")</f>
        <v/>
      </c>
      <c r="BE146" s="6">
        <f>IF((AD146-AF146)/(AJ146/60)&lt;=0,"",(AD146-AF146)/(AJ146/60))</f>
        <v>9.8228571428571438</v>
      </c>
      <c r="BF146" s="6" t="str">
        <f>IF(OR(AJ146=0,AP146=0,NOT(ISNUMBER(AD146)),NOT(ISNUMBER(AF146)),NOT(ISNUMBER(AJ146)),NOT(ISNUMBER(AP146))),"",
IFERROR(IF((AD146-AF146)/(AJ146/60)/(AP146/1000)&lt;=0,"",(AD146-AF146)/(AJ146/60)/(AP146/1000)),""))</f>
        <v/>
      </c>
    </row>
    <row r="147" spans="1:58" ht="15.75">
      <c r="B147" s="11">
        <v>45407</v>
      </c>
      <c r="D147" s="3">
        <v>142</v>
      </c>
      <c r="E147" s="205" t="str">
        <f t="shared" si="11"/>
        <v/>
      </c>
      <c r="I147" s="15">
        <f>AD147</f>
        <v>28.650000000000002</v>
      </c>
      <c r="K147" s="10" t="str">
        <f t="shared" si="8"/>
        <v/>
      </c>
      <c r="L147" s="9" t="str">
        <f t="shared" si="9"/>
        <v/>
      </c>
      <c r="M147" s="8" t="str">
        <f t="shared" si="10"/>
        <v/>
      </c>
      <c r="X147" s="6">
        <v>7.13</v>
      </c>
      <c r="AB147" s="5">
        <v>80</v>
      </c>
      <c r="AD147" s="168">
        <f>5*5.73</f>
        <v>28.650000000000002</v>
      </c>
      <c r="AG147">
        <v>2.4300000000000002</v>
      </c>
      <c r="AH147" s="119">
        <v>0.46956018518518516</v>
      </c>
      <c r="AJ147" s="1">
        <v>175</v>
      </c>
      <c r="AK147" s="3">
        <v>180</v>
      </c>
      <c r="AN147" s="80">
        <f>360-AK147-AB147</f>
        <v>100</v>
      </c>
      <c r="AO147" s="165"/>
      <c r="AP147" s="13">
        <f>AVERAGE(AO145:AO151)</f>
        <v>2760.0000000000364</v>
      </c>
      <c r="AQ147" s="15" t="str">
        <f>IF(ISNUMBER([2]HRT_SRT!R201),[2]HRT_SRT!R201,"")</f>
        <v/>
      </c>
      <c r="AR147" s="17" t="e">
        <f>(E147-W147)/E147</f>
        <v>#VALUE!</v>
      </c>
      <c r="AS147" s="16">
        <f>(I147-AF147)/I147</f>
        <v>1</v>
      </c>
      <c r="AT147" s="16">
        <f>AG147/(AD147-AF147)</f>
        <v>8.4816753926701571E-2</v>
      </c>
      <c r="AU147" s="16" t="e">
        <f>(G147-AM147)/G147</f>
        <v>#DIV/0!</v>
      </c>
      <c r="AV147" s="57" t="str">
        <f>IF(AND(ISNUMBER(E147),ISNUMBER(W147)),E147-W147,"")</f>
        <v/>
      </c>
      <c r="AW147" s="57" t="str">
        <f>IF(AND(ISNUMBER(I147),ISNUMBER(AF147)),I147-AF147,"")</f>
        <v/>
      </c>
      <c r="AX147" s="57" t="str">
        <f>IF(AND(ISNUMBER(AM147),ISNUMBER(G147)),G147-AM147,"")</f>
        <v/>
      </c>
      <c r="AY147" s="57" t="str">
        <f>IF(AND(ISNUMBER(AC147),ISNUMBER(AE147)),AC147-AE147,"")</f>
        <v/>
      </c>
      <c r="AZ147" s="57" t="str">
        <f>IF(AND(ISNUMBER(AL147),ISNUMBER(AM147)),AL147-AM147,"")</f>
        <v/>
      </c>
      <c r="BA147" s="84" t="str">
        <f>IF(AND($E147&gt;0,$W147&gt;0),IF(($E147-$W147)/$E147&gt;0,($E147-$W147)/$E147,0),"")</f>
        <v/>
      </c>
      <c r="BB147" s="84">
        <f>IF(AND($I147&gt;0,$AF147&gt;=0),IF(($I147-$AF147)/$I147&gt;0,($I147-$AF147)/$I147,0),"")</f>
        <v>1</v>
      </c>
      <c r="BC147" s="84">
        <f>IF(AND($AG147&gt;=0,$AD147&gt;=0,$AF147&gt;=0),IF($AG147/($AD147-$AF147)&gt;0,$AG147/($AD147-$AF147),0),"")</f>
        <v>8.4816753926701571E-2</v>
      </c>
      <c r="BD147" s="84" t="str">
        <f>IF(AND($G147&gt;0,$AM147&gt;0),IF(($G147-$AM147)/$G147&gt;0,($G147-$AM147)/$G147,0),"")</f>
        <v/>
      </c>
      <c r="BE147" s="6">
        <f>IF((AD147-AF147)/(AJ147/60)&lt;=0,"",(AD147-AF147)/(AJ147/60))</f>
        <v>9.8228571428571438</v>
      </c>
      <c r="BF147" s="6" t="str">
        <f>IF(OR(AJ147=0,AP147=0,NOT(ISNUMBER(AD147)),NOT(ISNUMBER(AF147)),NOT(ISNUMBER(AJ147)),NOT(ISNUMBER(AP147))),"",
IFERROR(IF((AD147-AF147)/(AJ147/60)/(AP147/1000)&lt;=0,"",(AD147-AF147)/(AJ147/60)/(AP147/1000)),""))</f>
        <v/>
      </c>
    </row>
    <row r="148" spans="1:58" ht="15.75">
      <c r="B148" s="11">
        <v>45408</v>
      </c>
      <c r="D148" s="3">
        <v>143</v>
      </c>
      <c r="E148" s="205">
        <f t="shared" si="11"/>
        <v>208.94158800000002</v>
      </c>
      <c r="I148" s="15">
        <f>AD148</f>
        <v>28.650000000000002</v>
      </c>
      <c r="K148" s="10" t="str">
        <f t="shared" si="8"/>
        <v/>
      </c>
      <c r="L148" s="9">
        <f t="shared" si="9"/>
        <v>3.646450052356021</v>
      </c>
      <c r="M148" s="8" t="str">
        <f t="shared" si="10"/>
        <v/>
      </c>
      <c r="O148" s="6">
        <v>70.436000000000007</v>
      </c>
      <c r="P148" s="6">
        <v>19.363</v>
      </c>
      <c r="Q148" s="6">
        <f>O148*1.067</f>
        <v>75.155212000000006</v>
      </c>
      <c r="R148" s="6">
        <f>P148*1.514</f>
        <v>29.315581999999999</v>
      </c>
      <c r="S148" s="23">
        <f>P148*1.514+O148*1.067</f>
        <v>104.47079400000001</v>
      </c>
      <c r="W148">
        <f>6.141+6.181</f>
        <v>12.321999999999999</v>
      </c>
      <c r="X148" s="6">
        <v>5.19</v>
      </c>
      <c r="AB148" s="5">
        <v>80</v>
      </c>
      <c r="AD148" s="168">
        <f>5*5.73</f>
        <v>28.650000000000002</v>
      </c>
      <c r="AG148">
        <v>3.81</v>
      </c>
      <c r="AH148" s="119">
        <v>0.4773148148148148</v>
      </c>
      <c r="AJ148" s="1">
        <v>175</v>
      </c>
      <c r="AK148" s="3">
        <v>180</v>
      </c>
      <c r="AN148" s="80">
        <f>360-AK148-AB148</f>
        <v>100</v>
      </c>
      <c r="AO148" s="165"/>
      <c r="AP148" s="13">
        <f>AVERAGE(AO146:AO152)</f>
        <v>2760.0000000000364</v>
      </c>
      <c r="AQ148" s="15" t="str">
        <f>IF(ISNUMBER([2]HRT_SRT!R202),[2]HRT_SRT!R202,"")</f>
        <v/>
      </c>
      <c r="AR148" s="17">
        <f>(E148-W148)/E148</f>
        <v>0.94102658011769302</v>
      </c>
      <c r="AS148" s="16">
        <f>(I148-AF148)/I148</f>
        <v>1</v>
      </c>
      <c r="AT148" s="16">
        <f>AG148/(AD148-AF148)</f>
        <v>0.13298429319371727</v>
      </c>
      <c r="AU148" s="16" t="e">
        <f>(G148-AM148)/G148</f>
        <v>#DIV/0!</v>
      </c>
      <c r="AV148" s="57">
        <f>IF(AND(ISNUMBER(E148),ISNUMBER(W148)),E148-W148,"")</f>
        <v>196.61958800000002</v>
      </c>
      <c r="AW148" s="57" t="str">
        <f>IF(AND(ISNUMBER(I148),ISNUMBER(AF148)),I148-AF148,"")</f>
        <v/>
      </c>
      <c r="AX148" s="57" t="str">
        <f>IF(AND(ISNUMBER(AM148),ISNUMBER(G148)),G148-AM148,"")</f>
        <v/>
      </c>
      <c r="AY148" s="57" t="str">
        <f>IF(AND(ISNUMBER(AC148),ISNUMBER(AE148)),AC148-AE148,"")</f>
        <v/>
      </c>
      <c r="AZ148" s="57" t="str">
        <f>IF(AND(ISNUMBER(AL148),ISNUMBER(AM148)),AL148-AM148,"")</f>
        <v/>
      </c>
      <c r="BA148" s="84">
        <f>IF(AND($E148&gt;0,$W148&gt;0),IF(($E148-$W148)/$E148&gt;0,($E148-$W148)/$E148,0),"")</f>
        <v>0.94102658011769302</v>
      </c>
      <c r="BB148" s="84">
        <f>IF(AND($I148&gt;0,$AF148&gt;=0),IF(($I148-$AF148)/$I148&gt;0,($I148-$AF148)/$I148,0),"")</f>
        <v>1</v>
      </c>
      <c r="BC148" s="84">
        <f>IF(AND($AG148&gt;=0,$AD148&gt;=0,$AF148&gt;=0),IF($AG148/($AD148-$AF148)&gt;0,$AG148/($AD148-$AF148),0),"")</f>
        <v>0.13298429319371727</v>
      </c>
      <c r="BD148" s="84" t="str">
        <f>IF(AND($G148&gt;0,$AM148&gt;0),IF(($G148-$AM148)/$G148&gt;0,($G148-$AM148)/$G148,0),"")</f>
        <v/>
      </c>
      <c r="BE148" s="6">
        <f>IF((AD148-AF148)/(AJ148/60)&lt;=0,"",(AD148-AF148)/(AJ148/60))</f>
        <v>9.8228571428571438</v>
      </c>
      <c r="BF148" s="6" t="str">
        <f>IF(OR(AJ148=0,AP148=0,NOT(ISNUMBER(AD148)),NOT(ISNUMBER(AF148)),NOT(ISNUMBER(AJ148)),NOT(ISNUMBER(AP148))),"",
IFERROR(IF((AD148-AF148)/(AJ148/60)/(AP148/1000)&lt;=0,"",(AD148-AF148)/(AJ148/60)/(AP148/1000)),""))</f>
        <v/>
      </c>
    </row>
    <row r="149" spans="1:58" ht="15.75">
      <c r="B149" s="11">
        <v>45409</v>
      </c>
      <c r="D149" s="3">
        <v>144</v>
      </c>
      <c r="E149" s="205" t="str">
        <f t="shared" si="11"/>
        <v/>
      </c>
      <c r="I149" s="15">
        <f>AD149</f>
        <v>28.650000000000002</v>
      </c>
      <c r="K149" s="10" t="str">
        <f t="shared" si="8"/>
        <v/>
      </c>
      <c r="L149" s="9" t="str">
        <f t="shared" si="9"/>
        <v/>
      </c>
      <c r="M149" s="8" t="str">
        <f t="shared" si="10"/>
        <v/>
      </c>
      <c r="AB149" s="5">
        <v>80</v>
      </c>
      <c r="AD149" s="168">
        <f>5*5.73</f>
        <v>28.650000000000002</v>
      </c>
      <c r="AG149">
        <v>7.0000000000000007E-2</v>
      </c>
      <c r="AH149" s="119">
        <v>0.47916666666666669</v>
      </c>
      <c r="AJ149" s="1">
        <v>175</v>
      </c>
      <c r="AK149" s="3">
        <v>180</v>
      </c>
      <c r="AN149" s="80">
        <f>360-AK149-AB149</f>
        <v>100</v>
      </c>
      <c r="AO149" s="165"/>
      <c r="AP149" s="13">
        <f>AVERAGE(AO147:AO153)</f>
        <v>2760.0000000000364</v>
      </c>
      <c r="AQ149" s="15" t="str">
        <f>IF(ISNUMBER([2]HRT_SRT!R203),[2]HRT_SRT!R203,"")</f>
        <v/>
      </c>
      <c r="AR149" s="17" t="e">
        <f>(E149-W149)/E149</f>
        <v>#VALUE!</v>
      </c>
      <c r="AS149" s="16">
        <f>(I149-AF149)/I149</f>
        <v>1</v>
      </c>
      <c r="AT149" s="16">
        <f>AG149/(AD149-AF149)</f>
        <v>2.4432809773123911E-3</v>
      </c>
      <c r="AU149" s="16" t="e">
        <f>(G149-AM149)/G149</f>
        <v>#DIV/0!</v>
      </c>
      <c r="AV149" s="57" t="str">
        <f>IF(AND(ISNUMBER(E149),ISNUMBER(W149)),E149-W149,"")</f>
        <v/>
      </c>
      <c r="AW149" s="57" t="str">
        <f>IF(AND(ISNUMBER(I149),ISNUMBER(AF149)),I149-AF149,"")</f>
        <v/>
      </c>
      <c r="AX149" s="57" t="str">
        <f>IF(AND(ISNUMBER(AM149),ISNUMBER(G149)),G149-AM149,"")</f>
        <v/>
      </c>
      <c r="AY149" s="57" t="str">
        <f>IF(AND(ISNUMBER(AC149),ISNUMBER(AE149)),AC149-AE149,"")</f>
        <v/>
      </c>
      <c r="AZ149" s="57" t="str">
        <f>IF(AND(ISNUMBER(AL149),ISNUMBER(AM149)),AL149-AM149,"")</f>
        <v/>
      </c>
      <c r="BA149" s="84" t="str">
        <f>IF(AND($E149&gt;0,$W149&gt;0),IF(($E149-$W149)/$E149&gt;0,($E149-$W149)/$E149,0),"")</f>
        <v/>
      </c>
      <c r="BB149" s="84">
        <f>IF(AND($I149&gt;0,$AF149&gt;=0),IF(($I149-$AF149)/$I149&gt;0,($I149-$AF149)/$I149,0),"")</f>
        <v>1</v>
      </c>
      <c r="BC149" s="84">
        <f>IF(AND($AG149&gt;=0,$AD149&gt;=0,$AF149&gt;=0),IF($AG149/($AD149-$AF149)&gt;0,$AG149/($AD149-$AF149),0),"")</f>
        <v>2.4432809773123911E-3</v>
      </c>
      <c r="BD149" s="84" t="str">
        <f>IF(AND($G149&gt;0,$AM149&gt;0),IF(($G149-$AM149)/$G149&gt;0,($G149-$AM149)/$G149,0),"")</f>
        <v/>
      </c>
      <c r="BE149" s="6">
        <f>IF((AD149-AF149)/(AJ149/60)&lt;=0,"",(AD149-AF149)/(AJ149/60))</f>
        <v>9.8228571428571438</v>
      </c>
      <c r="BF149" s="6" t="str">
        <f>IF(OR(AJ149=0,AP149=0,NOT(ISNUMBER(AD149)),NOT(ISNUMBER(AF149)),NOT(ISNUMBER(AJ149)),NOT(ISNUMBER(AP149))),"",
IFERROR(IF((AD149-AF149)/(AJ149/60)/(AP149/1000)&lt;=0,"",(AD149-AF149)/(AJ149/60)/(AP149/1000)),""))</f>
        <v/>
      </c>
    </row>
    <row r="150" spans="1:58" ht="15.75">
      <c r="B150" s="11">
        <v>45410</v>
      </c>
      <c r="D150" s="3">
        <v>145</v>
      </c>
      <c r="E150" s="205" t="str">
        <f t="shared" si="11"/>
        <v/>
      </c>
      <c r="I150" s="15">
        <f>AD150</f>
        <v>28.650000000000002</v>
      </c>
      <c r="K150" s="10" t="str">
        <f t="shared" si="8"/>
        <v/>
      </c>
      <c r="L150" s="9" t="str">
        <f t="shared" si="9"/>
        <v/>
      </c>
      <c r="M150" s="8" t="str">
        <f t="shared" si="10"/>
        <v/>
      </c>
      <c r="AB150" s="5">
        <v>80</v>
      </c>
      <c r="AD150" s="168">
        <f>5*5.73</f>
        <v>28.650000000000002</v>
      </c>
      <c r="AG150">
        <v>0.57999999999999996</v>
      </c>
      <c r="AH150" s="119">
        <v>0.40879629629629627</v>
      </c>
      <c r="AJ150" s="1">
        <v>175</v>
      </c>
      <c r="AK150" s="3">
        <v>180</v>
      </c>
      <c r="AN150" s="80">
        <f>360-AK150-AB150</f>
        <v>100</v>
      </c>
      <c r="AO150" s="165"/>
      <c r="AP150" s="13">
        <f>AVERAGE(AO148:AO154)</f>
        <v>2760.0000000000364</v>
      </c>
      <c r="AQ150" s="15" t="str">
        <f>IF(ISNUMBER([2]HRT_SRT!R204),[2]HRT_SRT!R204,"")</f>
        <v/>
      </c>
      <c r="AR150" s="17" t="e">
        <f>(E150-W150)/E150</f>
        <v>#VALUE!</v>
      </c>
      <c r="AS150" s="16">
        <f>(I150-AF150)/I150</f>
        <v>1</v>
      </c>
      <c r="AT150" s="16">
        <f>AG150/(AD150-AF150)</f>
        <v>2.0244328097731235E-2</v>
      </c>
      <c r="AU150" s="16" t="e">
        <f>(G150-AM150)/G150</f>
        <v>#DIV/0!</v>
      </c>
      <c r="AV150" s="57" t="str">
        <f>IF(AND(ISNUMBER(E150),ISNUMBER(W150)),E150-W150,"")</f>
        <v/>
      </c>
      <c r="AW150" s="57" t="str">
        <f>IF(AND(ISNUMBER(I150),ISNUMBER(AF150)),I150-AF150,"")</f>
        <v/>
      </c>
      <c r="AX150" s="57" t="str">
        <f>IF(AND(ISNUMBER(AM150),ISNUMBER(G150)),G150-AM150,"")</f>
        <v/>
      </c>
      <c r="AY150" s="57" t="str">
        <f>IF(AND(ISNUMBER(AC150),ISNUMBER(AE150)),AC150-AE150,"")</f>
        <v/>
      </c>
      <c r="AZ150" s="57" t="str">
        <f>IF(AND(ISNUMBER(AL150),ISNUMBER(AM150)),AL150-AM150,"")</f>
        <v/>
      </c>
      <c r="BA150" s="84" t="str">
        <f>IF(AND($E150&gt;0,$W150&gt;0),IF(($E150-$W150)/$E150&gt;0,($E150-$W150)/$E150,0),"")</f>
        <v/>
      </c>
      <c r="BB150" s="84">
        <f>IF(AND($I150&gt;0,$AF150&gt;=0),IF(($I150-$AF150)/$I150&gt;0,($I150-$AF150)/$I150,0),"")</f>
        <v>1</v>
      </c>
      <c r="BC150" s="84">
        <f>IF(AND($AG150&gt;=0,$AD150&gt;=0,$AF150&gt;=0),IF($AG150/($AD150-$AF150)&gt;0,$AG150/($AD150-$AF150),0),"")</f>
        <v>2.0244328097731235E-2</v>
      </c>
      <c r="BD150" s="84" t="str">
        <f>IF(AND($G150&gt;0,$AM150&gt;0),IF(($G150-$AM150)/$G150&gt;0,($G150-$AM150)/$G150,0),"")</f>
        <v/>
      </c>
      <c r="BE150" s="6">
        <f>IF((AD150-AF150)/(AJ150/60)&lt;=0,"",(AD150-AF150)/(AJ150/60))</f>
        <v>9.8228571428571438</v>
      </c>
      <c r="BF150" s="6" t="str">
        <f>IF(OR(AJ150=0,AP150=0,NOT(ISNUMBER(AD150)),NOT(ISNUMBER(AF150)),NOT(ISNUMBER(AJ150)),NOT(ISNUMBER(AP150))),"",
IFERROR(IF((AD150-AF150)/(AJ150/60)/(AP150/1000)&lt;=0,"",(AD150-AF150)/(AJ150/60)/(AP150/1000)),""))</f>
        <v/>
      </c>
    </row>
    <row r="151" spans="1:58" ht="15.75">
      <c r="B151" s="167">
        <v>45411</v>
      </c>
      <c r="C151" s="166"/>
      <c r="D151" s="136">
        <v>146</v>
      </c>
      <c r="E151" s="205">
        <f t="shared" si="11"/>
        <v>196.80445800000001</v>
      </c>
      <c r="G151" s="15">
        <f>(N151*18-H151*18)/9</f>
        <v>25.599999999999991</v>
      </c>
      <c r="H151" s="9">
        <v>20.6</v>
      </c>
      <c r="I151" s="15">
        <f>AD151</f>
        <v>28.650000000000002</v>
      </c>
      <c r="K151" s="10">
        <f t="shared" si="8"/>
        <v>7.6876741406250035</v>
      </c>
      <c r="L151" s="9">
        <f t="shared" si="9"/>
        <v>3.4346327748691099</v>
      </c>
      <c r="M151" s="8">
        <f t="shared" si="10"/>
        <v>2.2382812500000009</v>
      </c>
      <c r="N151" s="7">
        <v>33.4</v>
      </c>
      <c r="O151" s="6">
        <v>72.581000000000003</v>
      </c>
      <c r="P151" s="6">
        <v>13.843</v>
      </c>
      <c r="Q151" s="6">
        <f>O151*1.067</f>
        <v>77.443927000000002</v>
      </c>
      <c r="R151" s="6">
        <f>P151*1.514</f>
        <v>20.958302</v>
      </c>
      <c r="S151" s="23">
        <f>P151*1.514+O151*1.067</f>
        <v>98.402229000000005</v>
      </c>
      <c r="T151" s="6">
        <v>37.200000000000003</v>
      </c>
      <c r="W151" s="6">
        <v>0</v>
      </c>
      <c r="AB151" s="5">
        <v>80</v>
      </c>
      <c r="AC151" s="7">
        <f>T151</f>
        <v>37.200000000000003</v>
      </c>
      <c r="AD151" s="1">
        <f>5*5.73</f>
        <v>28.650000000000002</v>
      </c>
      <c r="AE151" s="1">
        <v>39.200000000000003</v>
      </c>
      <c r="AF151" s="1">
        <f>0</f>
        <v>0</v>
      </c>
      <c r="AG151">
        <v>0.08</v>
      </c>
      <c r="AH151" s="119">
        <v>0.47916666666666669</v>
      </c>
      <c r="AJ151" s="1">
        <v>175</v>
      </c>
      <c r="AK151" s="3">
        <v>180</v>
      </c>
      <c r="AL151" s="4">
        <f>AE151</f>
        <v>39.200000000000003</v>
      </c>
      <c r="AM151" s="1">
        <v>34.200000000000003</v>
      </c>
      <c r="AN151" s="80">
        <f>360-AK151-AB151</f>
        <v>100</v>
      </c>
      <c r="AO151" s="165">
        <f>[2]HRT_SRT!P205</f>
        <v>2760.0000000000364</v>
      </c>
      <c r="AP151" s="13">
        <f>AVERAGE(AO149:AO155)</f>
        <v>2760.0000000000364</v>
      </c>
      <c r="AQ151" s="15">
        <f>IF(ISNUMBER([2]HRT_SRT!R205),[2]HRT_SRT!R205,"")</f>
        <v>15.159282314171131</v>
      </c>
      <c r="AR151" s="17">
        <f>(E151-W151)/E151</f>
        <v>1</v>
      </c>
      <c r="AS151" s="16">
        <f>(I151-AF151)/I151</f>
        <v>1</v>
      </c>
      <c r="AT151" s="16">
        <f>AG151/(AD151-AF151)</f>
        <v>2.7923211169284465E-3</v>
      </c>
      <c r="AU151" s="16">
        <f>(G151-AM151)/G151</f>
        <v>-0.33593750000000061</v>
      </c>
      <c r="AV151" s="57">
        <f>IF(AND(ISNUMBER(E151),ISNUMBER(W151)),E151-W151,"")</f>
        <v>196.80445800000001</v>
      </c>
      <c r="AW151" s="57">
        <f>IF(AND(ISNUMBER(I151),ISNUMBER(AF151)),I151-AF151,"")</f>
        <v>28.650000000000002</v>
      </c>
      <c r="AX151" s="57">
        <f>IF(AND(ISNUMBER(AM151),ISNUMBER(G151)),G151-AM151,"")</f>
        <v>-8.6000000000000121</v>
      </c>
      <c r="AY151" s="57">
        <f>IF(AND(ISNUMBER(AC151),ISNUMBER(AE151)),AC151-AE151,"")</f>
        <v>-2</v>
      </c>
      <c r="AZ151" s="57">
        <f>IF(AND(ISNUMBER(AL151),ISNUMBER(AM151)),AL151-AM151,"")</f>
        <v>5</v>
      </c>
      <c r="BA151" s="84" t="str">
        <f>IF(AND($E151&gt;0,$W151&gt;0),IF(($E151-$W151)/$E151&gt;0,($E151-$W151)/$E151,0),"")</f>
        <v/>
      </c>
      <c r="BB151" s="84">
        <f>IF(AND($I151&gt;0,$AF151&gt;=0),IF(($I151-$AF151)/$I151&gt;0,($I151-$AF151)/$I151,0),"")</f>
        <v>1</v>
      </c>
      <c r="BC151" s="84">
        <f>IF(AND($AG151&gt;=0,$AD151&gt;=0,$AF151&gt;=0),IF($AG151/($AD151-$AF151)&gt;0,$AG151/($AD151-$AF151),0),"")</f>
        <v>2.7923211169284465E-3</v>
      </c>
      <c r="BD151" s="84">
        <f>IF(AND($G151&gt;0,$AM151&gt;0),IF(($G151-$AM151)/$G151&gt;0,($G151-$AM151)/$G151,0),"")</f>
        <v>0</v>
      </c>
      <c r="BE151" s="6">
        <f>IF((AD151-AF151)/(AJ151/60)&lt;=0,"",(AD151-AF151)/(AJ151/60))</f>
        <v>9.8228571428571438</v>
      </c>
      <c r="BF151" s="6">
        <f>IF(OR(AJ151=0,AP151=0,NOT(ISNUMBER(AD151)),NOT(ISNUMBER(AF151)),NOT(ISNUMBER(AJ151)),NOT(ISNUMBER(AP151))),"",
IFERROR(IF((AD151-AF151)/(AJ151/60)/(AP151/1000)&lt;=0,"",(AD151-AF151)/(AJ151/60)/(AP151/1000)),""))</f>
        <v>3.559006211180078</v>
      </c>
    </row>
    <row r="152" spans="1:58" ht="15.75">
      <c r="A152" s="12" t="s">
        <v>142</v>
      </c>
      <c r="B152" s="11">
        <v>45412</v>
      </c>
      <c r="D152" s="3">
        <v>147</v>
      </c>
      <c r="E152" s="205" t="str">
        <f t="shared" si="11"/>
        <v/>
      </c>
      <c r="I152" s="15">
        <f>AD152</f>
        <v>28.64</v>
      </c>
      <c r="K152" s="10" t="str">
        <f t="shared" si="8"/>
        <v/>
      </c>
      <c r="L152" s="9" t="str">
        <f t="shared" si="9"/>
        <v/>
      </c>
      <c r="M152" s="8" t="str">
        <f t="shared" si="10"/>
        <v/>
      </c>
      <c r="X152" s="6">
        <v>4.1500000000000004</v>
      </c>
      <c r="AB152" s="5">
        <v>80</v>
      </c>
      <c r="AD152" s="168">
        <v>28.64</v>
      </c>
      <c r="AG152">
        <v>0.08</v>
      </c>
      <c r="AH152" s="119">
        <v>0.47916666666666669</v>
      </c>
      <c r="AJ152" s="1">
        <v>175</v>
      </c>
      <c r="AK152" s="3">
        <v>180</v>
      </c>
      <c r="AN152" s="80">
        <f>360-AK152-AB152</f>
        <v>100</v>
      </c>
      <c r="AO152" s="165"/>
      <c r="AP152" s="13">
        <f>AVERAGE(AO150:AO156)</f>
        <v>2760.0000000000364</v>
      </c>
      <c r="AQ152" s="15" t="str">
        <f>IF(ISNUMBER([2]HRT_SRT!R206),[2]HRT_SRT!R206,"")</f>
        <v/>
      </c>
      <c r="AR152" s="17" t="e">
        <f>(E152-W152)/E152</f>
        <v>#VALUE!</v>
      </c>
      <c r="AS152" s="16">
        <f>(I152-AF152)/I152</f>
        <v>1</v>
      </c>
      <c r="AT152" s="16">
        <f>AG152/(AD152-AF152)</f>
        <v>2.7932960893854749E-3</v>
      </c>
      <c r="AU152" s="16" t="e">
        <f>(G152-AM152)/G152</f>
        <v>#DIV/0!</v>
      </c>
      <c r="AV152" s="57" t="str">
        <f>IF(AND(ISNUMBER(E152),ISNUMBER(W152)),E152-W152,"")</f>
        <v/>
      </c>
      <c r="AW152" s="57" t="str">
        <f>IF(AND(ISNUMBER(I152),ISNUMBER(AF152)),I152-AF152,"")</f>
        <v/>
      </c>
      <c r="AX152" s="57" t="str">
        <f>IF(AND(ISNUMBER(AM152),ISNUMBER(G152)),G152-AM152,"")</f>
        <v/>
      </c>
      <c r="AY152" s="57" t="str">
        <f>IF(AND(ISNUMBER(AC152),ISNUMBER(AE152)),AC152-AE152,"")</f>
        <v/>
      </c>
      <c r="AZ152" s="57" t="str">
        <f>IF(AND(ISNUMBER(AL152),ISNUMBER(AM152)),AL152-AM152,"")</f>
        <v/>
      </c>
      <c r="BA152" s="84" t="str">
        <f>IF(AND($E152&gt;0,$W152&gt;0),IF(($E152-$W152)/$E152&gt;0,($E152-$W152)/$E152,0),"")</f>
        <v/>
      </c>
      <c r="BB152" s="84">
        <f>IF(AND($I152&gt;0,$AF152&gt;=0),IF(($I152-$AF152)/$I152&gt;0,($I152-$AF152)/$I152,0),"")</f>
        <v>1</v>
      </c>
      <c r="BC152" s="84">
        <f>IF(AND($AG152&gt;=0,$AD152&gt;=0,$AF152&gt;=0),IF($AG152/($AD152-$AF152)&gt;0,$AG152/($AD152-$AF152),0),"")</f>
        <v>2.7932960893854749E-3</v>
      </c>
      <c r="BD152" s="84" t="str">
        <f>IF(AND($G152&gt;0,$AM152&gt;0),IF(($G152-$AM152)/$G152&gt;0,($G152-$AM152)/$G152,0),"")</f>
        <v/>
      </c>
      <c r="BE152" s="6">
        <f>IF((AD152-AF152)/(AJ152/60)&lt;=0,"",(AD152-AF152)/(AJ152/60))</f>
        <v>9.8194285714285723</v>
      </c>
      <c r="BF152" s="6" t="str">
        <f>IF(OR(AJ152=0,AP152=0,NOT(ISNUMBER(AD152)),NOT(ISNUMBER(AF152)),NOT(ISNUMBER(AJ152)),NOT(ISNUMBER(AP152))),"",
IFERROR(IF((AD152-AF152)/(AJ152/60)/(AP152/1000)&lt;=0,"",(AD152-AF152)/(AJ152/60)/(AP152/1000)),""))</f>
        <v/>
      </c>
    </row>
    <row r="153" spans="1:58" ht="15.75">
      <c r="B153" s="11">
        <v>45413</v>
      </c>
      <c r="D153" s="3">
        <v>148</v>
      </c>
      <c r="E153" s="205" t="str">
        <f t="shared" si="11"/>
        <v/>
      </c>
      <c r="I153" s="15">
        <f>AD153</f>
        <v>28.63</v>
      </c>
      <c r="K153" s="10" t="str">
        <f t="shared" si="8"/>
        <v/>
      </c>
      <c r="L153" s="9" t="str">
        <f t="shared" si="9"/>
        <v/>
      </c>
      <c r="M153" s="8" t="str">
        <f t="shared" si="10"/>
        <v/>
      </c>
      <c r="AB153" s="5">
        <v>80</v>
      </c>
      <c r="AD153" s="168">
        <v>28.63</v>
      </c>
      <c r="AG153">
        <v>3.95</v>
      </c>
      <c r="AH153" s="119">
        <v>0.47314814814814815</v>
      </c>
      <c r="AJ153" s="1">
        <v>175</v>
      </c>
      <c r="AK153" s="3">
        <v>180</v>
      </c>
      <c r="AN153" s="80">
        <f>360-AK153-AB153</f>
        <v>100</v>
      </c>
      <c r="AO153" s="165"/>
      <c r="AP153" s="13">
        <f>AVERAGE(AO151:AO157)</f>
        <v>2760.0000000000364</v>
      </c>
      <c r="AQ153" s="15" t="str">
        <f>IF(ISNUMBER([2]HRT_SRT!R207),[2]HRT_SRT!R207,"")</f>
        <v/>
      </c>
      <c r="AR153" s="17" t="e">
        <f>(E153-W153)/E153</f>
        <v>#VALUE!</v>
      </c>
      <c r="AS153" s="16">
        <f>(I153-AF153)/I153</f>
        <v>1</v>
      </c>
      <c r="AT153" s="16">
        <f>AG153/(AD153-AF153)</f>
        <v>0.13796716730702061</v>
      </c>
      <c r="AU153" s="16" t="e">
        <f>(G153-AM153)/G153</f>
        <v>#DIV/0!</v>
      </c>
      <c r="AV153" s="57" t="str">
        <f>IF(AND(ISNUMBER(E153),ISNUMBER(W153)),E153-W153,"")</f>
        <v/>
      </c>
      <c r="AW153" s="57" t="str">
        <f>IF(AND(ISNUMBER(I153),ISNUMBER(AF153)),I153-AF153,"")</f>
        <v/>
      </c>
      <c r="AX153" s="57" t="str">
        <f>IF(AND(ISNUMBER(AM153),ISNUMBER(G153)),G153-AM153,"")</f>
        <v/>
      </c>
      <c r="AY153" s="57" t="str">
        <f>IF(AND(ISNUMBER(AC153),ISNUMBER(AE153)),AC153-AE153,"")</f>
        <v/>
      </c>
      <c r="AZ153" s="57" t="str">
        <f>IF(AND(ISNUMBER(AL153),ISNUMBER(AM153)),AL153-AM153,"")</f>
        <v/>
      </c>
      <c r="BA153" s="84" t="str">
        <f>IF(AND($E153&gt;0,$W153&gt;0),IF(($E153-$W153)/$E153&gt;0,($E153-$W153)/$E153,0),"")</f>
        <v/>
      </c>
      <c r="BB153" s="84">
        <f>IF(AND($I153&gt;0,$AF153&gt;=0),IF(($I153-$AF153)/$I153&gt;0,($I153-$AF153)/$I153,0),"")</f>
        <v>1</v>
      </c>
      <c r="BC153" s="84">
        <f>IF(AND($AG153&gt;=0,$AD153&gt;=0,$AF153&gt;=0),IF($AG153/($AD153-$AF153)&gt;0,$AG153/($AD153-$AF153),0),"")</f>
        <v>0.13796716730702061</v>
      </c>
      <c r="BD153" s="84" t="str">
        <f>IF(AND($G153&gt;0,$AM153&gt;0),IF(($G153-$AM153)/$G153&gt;0,($G153-$AM153)/$G153,0),"")</f>
        <v/>
      </c>
      <c r="BE153" s="6">
        <f>IF((AD153-AF153)/(AJ153/60)&lt;=0,"",(AD153-AF153)/(AJ153/60))</f>
        <v>9.8160000000000007</v>
      </c>
      <c r="BF153" s="6" t="str">
        <f>IF(OR(AJ153=0,AP153=0,NOT(ISNUMBER(AD153)),NOT(ISNUMBER(AF153)),NOT(ISNUMBER(AJ153)),NOT(ISNUMBER(AP153))),"",
IFERROR(IF((AD153-AF153)/(AJ153/60)/(AP153/1000)&lt;=0,"",(AD153-AF153)/(AJ153/60)/(AP153/1000)),""))</f>
        <v/>
      </c>
    </row>
    <row r="154" spans="1:58" ht="15.75">
      <c r="B154" s="11">
        <v>45414</v>
      </c>
      <c r="D154" s="3">
        <v>149</v>
      </c>
      <c r="E154" s="205">
        <f t="shared" si="11"/>
        <v>189.55564800000002</v>
      </c>
      <c r="G154" s="15">
        <f>(N154*18-H154*18)/9</f>
        <v>23.599999999999994</v>
      </c>
      <c r="H154" s="9">
        <v>10.4</v>
      </c>
      <c r="I154" s="15">
        <f>AD154</f>
        <v>28.599999999999998</v>
      </c>
      <c r="K154" s="10">
        <f t="shared" si="8"/>
        <v>8.0320189830508504</v>
      </c>
      <c r="L154" s="9">
        <f t="shared" si="9"/>
        <v>3.3139099300699306</v>
      </c>
      <c r="M154" s="8">
        <f t="shared" si="10"/>
        <v>2.4237288135593222</v>
      </c>
      <c r="N154" s="7">
        <v>22.2</v>
      </c>
      <c r="O154" s="6">
        <v>70.010000000000005</v>
      </c>
      <c r="P154" s="6">
        <v>13.260999999999999</v>
      </c>
      <c r="Q154" s="6">
        <f>O154*1.067</f>
        <v>74.700670000000002</v>
      </c>
      <c r="R154" s="6">
        <f>P154*1.514</f>
        <v>20.077154</v>
      </c>
      <c r="S154" s="23">
        <f>P154*1.514+O154*1.067</f>
        <v>94.77782400000001</v>
      </c>
      <c r="T154" s="6">
        <v>32.5</v>
      </c>
      <c r="W154" s="6">
        <v>0</v>
      </c>
      <c r="AB154" s="5">
        <v>80</v>
      </c>
      <c r="AC154" s="7">
        <f>T154</f>
        <v>32.5</v>
      </c>
      <c r="AD154" s="1">
        <f>5*5.72</f>
        <v>28.599999999999998</v>
      </c>
      <c r="AE154" s="1">
        <v>22.4</v>
      </c>
      <c r="AF154" s="1">
        <v>0</v>
      </c>
      <c r="AG154">
        <v>4.55</v>
      </c>
      <c r="AH154" s="119">
        <v>0.47708333333333336</v>
      </c>
      <c r="AJ154" s="1">
        <v>175</v>
      </c>
      <c r="AK154" s="3">
        <v>180</v>
      </c>
      <c r="AL154" s="4">
        <f>AE154</f>
        <v>22.4</v>
      </c>
      <c r="AM154" s="1">
        <f>19.2</f>
        <v>19.2</v>
      </c>
      <c r="AN154" s="80">
        <f>360-AK154-AB154</f>
        <v>100</v>
      </c>
      <c r="AO154" s="165"/>
      <c r="AP154" s="13" t="e">
        <f>AVERAGE(AO152:AO158)</f>
        <v>#DIV/0!</v>
      </c>
      <c r="AQ154" s="15" t="str">
        <f>IF(ISNUMBER([2]HRT_SRT!R208),[2]HRT_SRT!R208,"")</f>
        <v/>
      </c>
      <c r="AR154" s="17">
        <f>(E154-W154)/E154</f>
        <v>1</v>
      </c>
      <c r="AS154" s="16">
        <f>(I154-AF154)/I154</f>
        <v>1</v>
      </c>
      <c r="AT154" s="16">
        <f>AG154/(AD154-AF154)</f>
        <v>0.15909090909090909</v>
      </c>
      <c r="AU154" s="16">
        <f>(G154-AM154)/G154</f>
        <v>0.18644067796610153</v>
      </c>
      <c r="AV154" s="57">
        <f>IF(AND(ISNUMBER(E154),ISNUMBER(W154)),E154-W154,"")</f>
        <v>189.55564800000002</v>
      </c>
      <c r="AW154" s="57">
        <f>IF(AND(ISNUMBER(I154),ISNUMBER(AF154)),I154-AF154,"")</f>
        <v>28.599999999999998</v>
      </c>
      <c r="AX154" s="57">
        <f>IF(AND(ISNUMBER(AM154),ISNUMBER(G154)),G154-AM154,"")</f>
        <v>4.399999999999995</v>
      </c>
      <c r="AY154" s="57">
        <f>IF(AND(ISNUMBER(AC154),ISNUMBER(AE154)),AC154-AE154,"")</f>
        <v>10.100000000000001</v>
      </c>
      <c r="AZ154" s="57">
        <f>IF(AND(ISNUMBER(AL154),ISNUMBER(AM154)),AL154-AM154,"")</f>
        <v>3.1999999999999993</v>
      </c>
      <c r="BA154" s="84" t="str">
        <f>IF(AND($E154&gt;0,$W154&gt;0),IF(($E154-$W154)/$E154&gt;0,($E154-$W154)/$E154,0),"")</f>
        <v/>
      </c>
      <c r="BB154" s="84">
        <f>IF(AND($I154&gt;0,$AF154&gt;=0),IF(($I154-$AF154)/$I154&gt;0,($I154-$AF154)/$I154,0),"")</f>
        <v>1</v>
      </c>
      <c r="BC154" s="84">
        <f>IF(AND($AG154&gt;=0,$AD154&gt;=0,$AF154&gt;=0),IF($AG154/($AD154-$AF154)&gt;0,$AG154/($AD154-$AF154),0),"")</f>
        <v>0.15909090909090909</v>
      </c>
      <c r="BD154" s="84">
        <f>IF(AND($G154&gt;0,$AM154&gt;0),IF(($G154-$AM154)/$G154&gt;0,($G154-$AM154)/$G154,0),"")</f>
        <v>0.18644067796610153</v>
      </c>
      <c r="BE154" s="6">
        <f>IF((AD154-AF154)/(AJ154/60)&lt;=0,"",(AD154-AF154)/(AJ154/60))</f>
        <v>9.805714285714286</v>
      </c>
      <c r="BF154" s="6" t="e">
        <f>IF(OR(AJ154=0,AP154=0,NOT(ISNUMBER(AD154)),NOT(ISNUMBER(AF154)),NOT(ISNUMBER(AJ154)),NOT(ISNUMBER(AP154))),"",
IFERROR(IF((AD154-AF154)/(AJ154/60)/(AP154/1000)&lt;=0,"",(AD154-AF154)/(AJ154/60)/(AP154/1000)),""))</f>
        <v>#DIV/0!</v>
      </c>
    </row>
    <row r="155" spans="1:58" ht="15.75">
      <c r="B155" s="11">
        <v>45415</v>
      </c>
      <c r="D155" s="3">
        <v>150</v>
      </c>
      <c r="E155" s="205">
        <f t="shared" si="11"/>
        <v>223.46002799999997</v>
      </c>
      <c r="G155" s="15">
        <f>(N155*18-H155*18)/9</f>
        <v>23.799999999999997</v>
      </c>
      <c r="H155" s="9">
        <v>22.1</v>
      </c>
      <c r="I155" s="15">
        <f>AD155</f>
        <v>25.25</v>
      </c>
      <c r="K155" s="10">
        <f t="shared" si="8"/>
        <v>9.389076806722688</v>
      </c>
      <c r="L155" s="9">
        <f t="shared" si="9"/>
        <v>4.4249510495049496</v>
      </c>
      <c r="M155" s="8">
        <f t="shared" si="10"/>
        <v>2.1218487394957988</v>
      </c>
      <c r="N155" s="7">
        <v>34</v>
      </c>
      <c r="O155" s="6">
        <v>81.691999999999993</v>
      </c>
      <c r="P155" s="6">
        <v>16.225000000000001</v>
      </c>
      <c r="Q155" s="6">
        <f>O155*1.067</f>
        <v>87.165363999999983</v>
      </c>
      <c r="R155" s="6">
        <f>P155*1.514</f>
        <v>24.564650000000004</v>
      </c>
      <c r="S155" s="23">
        <f>P155*1.514+O155*1.067</f>
        <v>111.73001399999998</v>
      </c>
      <c r="T155" s="6">
        <v>42.6</v>
      </c>
      <c r="W155" s="6">
        <v>0</v>
      </c>
      <c r="X155" s="6">
        <v>6.85</v>
      </c>
      <c r="AB155" s="5">
        <v>80</v>
      </c>
      <c r="AC155" s="7">
        <f>T155</f>
        <v>42.6</v>
      </c>
      <c r="AD155" s="1">
        <f>5*5.05</f>
        <v>25.25</v>
      </c>
      <c r="AE155" s="1">
        <v>40.799999999999997</v>
      </c>
      <c r="AF155" s="1">
        <v>0</v>
      </c>
      <c r="AG155">
        <v>0.1</v>
      </c>
      <c r="AH155" s="119">
        <v>0.47916666666666669</v>
      </c>
      <c r="AJ155" s="1">
        <v>175</v>
      </c>
      <c r="AK155" s="3">
        <v>180</v>
      </c>
      <c r="AL155" s="4">
        <f>AE155</f>
        <v>40.799999999999997</v>
      </c>
      <c r="AM155" s="1">
        <v>30.5</v>
      </c>
      <c r="AN155" s="80">
        <f>360-AK155-AB155</f>
        <v>100</v>
      </c>
      <c r="AO155" s="165"/>
      <c r="AP155" s="13" t="e">
        <f>AVERAGE(AO153:AO159)</f>
        <v>#DIV/0!</v>
      </c>
      <c r="AQ155" s="15" t="str">
        <f>IF(ISNUMBER([2]HRT_SRT!R209),[2]HRT_SRT!R209,"")</f>
        <v/>
      </c>
      <c r="AR155" s="17">
        <f>(E155-W155)/E155</f>
        <v>1</v>
      </c>
      <c r="AS155" s="16">
        <f>(I155-AF155)/I155</f>
        <v>1</v>
      </c>
      <c r="AT155" s="16">
        <f>AG155/(AD155-AF155)</f>
        <v>3.9603960396039604E-3</v>
      </c>
      <c r="AU155" s="16">
        <f>(G155-AM155)/G155</f>
        <v>-0.28151260504201697</v>
      </c>
      <c r="AV155" s="57">
        <f>IF(AND(ISNUMBER(E155),ISNUMBER(W155)),E155-W155,"")</f>
        <v>223.46002799999997</v>
      </c>
      <c r="AW155" s="57">
        <f>IF(AND(ISNUMBER(I155),ISNUMBER(AF155)),I155-AF155,"")</f>
        <v>25.25</v>
      </c>
      <c r="AX155" s="57">
        <f>IF(AND(ISNUMBER(AM155),ISNUMBER(G155)),G155-AM155,"")</f>
        <v>-6.7000000000000028</v>
      </c>
      <c r="AY155" s="57">
        <f>IF(AND(ISNUMBER(AC155),ISNUMBER(AE155)),AC155-AE155,"")</f>
        <v>1.8000000000000043</v>
      </c>
      <c r="AZ155" s="57">
        <f>IF(AND(ISNUMBER(AL155),ISNUMBER(AM155)),AL155-AM155,"")</f>
        <v>10.299999999999997</v>
      </c>
      <c r="BA155" s="84" t="str">
        <f>IF(AND($E155&gt;0,$W155&gt;0),IF(($E155-$W155)/$E155&gt;0,($E155-$W155)/$E155,0),"")</f>
        <v/>
      </c>
      <c r="BB155" s="84">
        <f>IF(AND($I155&gt;0,$AF155&gt;=0),IF(($I155-$AF155)/$I155&gt;0,($I155-$AF155)/$I155,0),"")</f>
        <v>1</v>
      </c>
      <c r="BC155" s="84">
        <f>IF(AND($AG155&gt;=0,$AD155&gt;=0,$AF155&gt;=0),IF($AG155/($AD155-$AF155)&gt;0,$AG155/($AD155-$AF155),0),"")</f>
        <v>3.9603960396039604E-3</v>
      </c>
      <c r="BD155" s="84">
        <f>IF(AND($G155&gt;0,$AM155&gt;0),IF(($G155-$AM155)/$G155&gt;0,($G155-$AM155)/$G155,0),"")</f>
        <v>0</v>
      </c>
      <c r="BE155" s="6">
        <f>IF((AD155-AF155)/(AJ155/60)&lt;=0,"",(AD155-AF155)/(AJ155/60))</f>
        <v>8.6571428571428584</v>
      </c>
      <c r="BF155" s="6" t="e">
        <f>IF(OR(AJ155=0,AP155=0,NOT(ISNUMBER(AD155)),NOT(ISNUMBER(AF155)),NOT(ISNUMBER(AJ155)),NOT(ISNUMBER(AP155))),"",
IFERROR(IF((AD155-AF155)/(AJ155/60)/(AP155/1000)&lt;=0,"",(AD155-AF155)/(AJ155/60)/(AP155/1000)),""))</f>
        <v>#DIV/0!</v>
      </c>
    </row>
    <row r="156" spans="1:58" ht="15.75">
      <c r="B156" s="11">
        <v>45416</v>
      </c>
      <c r="D156" s="3">
        <v>151</v>
      </c>
      <c r="E156" s="205" t="str">
        <f t="shared" si="11"/>
        <v/>
      </c>
      <c r="G156" s="9">
        <f>23.7</f>
        <v>23.7</v>
      </c>
      <c r="I156" s="15">
        <f>AD156</f>
        <v>26</v>
      </c>
      <c r="K156" s="10" t="str">
        <f t="shared" si="8"/>
        <v/>
      </c>
      <c r="L156" s="9" t="str">
        <f t="shared" si="9"/>
        <v/>
      </c>
      <c r="M156" s="8">
        <f t="shared" si="10"/>
        <v>2.1940928270042193</v>
      </c>
      <c r="X156" s="6">
        <v>8.19</v>
      </c>
      <c r="AB156" s="5">
        <v>80</v>
      </c>
      <c r="AD156" s="168">
        <v>26</v>
      </c>
      <c r="AG156">
        <v>3.13</v>
      </c>
      <c r="AH156" s="119">
        <v>0.78703703703703709</v>
      </c>
      <c r="AJ156" s="1">
        <v>175</v>
      </c>
      <c r="AK156" s="3">
        <v>180</v>
      </c>
      <c r="AM156" s="1">
        <v>12.2</v>
      </c>
      <c r="AN156" s="80">
        <f>360-AK156-AB156</f>
        <v>100</v>
      </c>
      <c r="AO156" s="165"/>
      <c r="AP156" s="13" t="e">
        <f>AVERAGE(AO154:AO160)</f>
        <v>#DIV/0!</v>
      </c>
      <c r="AQ156" s="15" t="str">
        <f>IF(ISNUMBER([2]HRT_SRT!R210),[2]HRT_SRT!R210,"")</f>
        <v/>
      </c>
      <c r="AR156" s="17" t="e">
        <f>(E156-W156)/E156</f>
        <v>#VALUE!</v>
      </c>
      <c r="AS156" s="16">
        <f>(I156-AF156)/I156</f>
        <v>1</v>
      </c>
      <c r="AT156" s="16">
        <f>AG156/(AD156-AF156)</f>
        <v>0.12038461538461538</v>
      </c>
      <c r="AU156" s="16">
        <f>(G156-AM156)/G156</f>
        <v>0.48523206751054854</v>
      </c>
      <c r="AV156" s="57" t="str">
        <f>IF(AND(ISNUMBER(E156),ISNUMBER(W156)),E156-W156,"")</f>
        <v/>
      </c>
      <c r="AW156" s="57" t="str">
        <f>IF(AND(ISNUMBER(I156),ISNUMBER(AF156)),I156-AF156,"")</f>
        <v/>
      </c>
      <c r="AX156" s="57">
        <f>IF(AND(ISNUMBER(AM156),ISNUMBER(G156)),G156-AM156,"")</f>
        <v>11.5</v>
      </c>
      <c r="AY156" s="57" t="str">
        <f>IF(AND(ISNUMBER(AC156),ISNUMBER(AE156)),AC156-AE156,"")</f>
        <v/>
      </c>
      <c r="AZ156" s="57" t="str">
        <f>IF(AND(ISNUMBER(AL156),ISNUMBER(AM156)),AL156-AM156,"")</f>
        <v/>
      </c>
      <c r="BA156" s="84" t="str">
        <f>IF(AND($E156&gt;0,$W156&gt;0),IF(($E156-$W156)/$E156&gt;0,($E156-$W156)/$E156,0),"")</f>
        <v/>
      </c>
      <c r="BB156" s="84">
        <f>IF(AND($I156&gt;0,$AF156&gt;=0),IF(($I156-$AF156)/$I156&gt;0,($I156-$AF156)/$I156,0),"")</f>
        <v>1</v>
      </c>
      <c r="BC156" s="84">
        <f>IF(AND($AG156&gt;=0,$AD156&gt;=0,$AF156&gt;=0),IF($AG156/($AD156-$AF156)&gt;0,$AG156/($AD156-$AF156),0),"")</f>
        <v>0.12038461538461538</v>
      </c>
      <c r="BD156" s="84">
        <f>IF(AND($G156&gt;0,$AM156&gt;0),IF(($G156-$AM156)/$G156&gt;0,($G156-$AM156)/$G156,0),"")</f>
        <v>0.48523206751054854</v>
      </c>
      <c r="BE156" s="6">
        <f>IF((AD156-AF156)/(AJ156/60)&lt;=0,"",(AD156-AF156)/(AJ156/60))</f>
        <v>8.9142857142857146</v>
      </c>
      <c r="BF156" s="6" t="e">
        <f>IF(OR(AJ156=0,AP156=0,NOT(ISNUMBER(AD156)),NOT(ISNUMBER(AF156)),NOT(ISNUMBER(AJ156)),NOT(ISNUMBER(AP156))),"",
IFERROR(IF((AD156-AF156)/(AJ156/60)/(AP156/1000)&lt;=0,"",(AD156-AF156)/(AJ156/60)/(AP156/1000)),""))</f>
        <v>#DIV/0!</v>
      </c>
    </row>
    <row r="157" spans="1:58" ht="15.75">
      <c r="B157" s="11">
        <v>45417</v>
      </c>
      <c r="D157" s="3">
        <v>152</v>
      </c>
      <c r="E157" s="205" t="str">
        <f t="shared" si="11"/>
        <v/>
      </c>
      <c r="G157" s="9">
        <f>23.7</f>
        <v>23.7</v>
      </c>
      <c r="I157" s="15">
        <f>AD157</f>
        <v>27</v>
      </c>
      <c r="K157" s="10" t="str">
        <f t="shared" si="8"/>
        <v/>
      </c>
      <c r="L157" s="9" t="str">
        <f t="shared" si="9"/>
        <v/>
      </c>
      <c r="M157" s="8">
        <f t="shared" si="10"/>
        <v>2.278481012658228</v>
      </c>
      <c r="X157" s="6">
        <v>4.9800000000000004</v>
      </c>
      <c r="AB157" s="5">
        <v>80</v>
      </c>
      <c r="AD157" s="168">
        <v>27</v>
      </c>
      <c r="AG157">
        <v>4.33</v>
      </c>
      <c r="AH157" s="119">
        <v>0.47708333333333336</v>
      </c>
      <c r="AJ157" s="1">
        <v>175</v>
      </c>
      <c r="AK157" s="3">
        <v>180</v>
      </c>
      <c r="AM157" s="1">
        <f>5*3.08</f>
        <v>15.4</v>
      </c>
      <c r="AN157" s="80">
        <f>360-AK157-AB157</f>
        <v>100</v>
      </c>
      <c r="AO157" s="165"/>
      <c r="AP157" s="13">
        <f>AVERAGE(AO155:AO161)</f>
        <v>2617.7777777777974</v>
      </c>
      <c r="AQ157" s="15" t="str">
        <f>IF(ISNUMBER([2]HRT_SRT!R211),[2]HRT_SRT!R211,"")</f>
        <v/>
      </c>
      <c r="AR157" s="17" t="e">
        <f>(E157-W157)/E157</f>
        <v>#VALUE!</v>
      </c>
      <c r="AS157" s="16">
        <f>(I157-AF157)/I157</f>
        <v>1</v>
      </c>
      <c r="AT157" s="16">
        <f>AG157/(AD157-AF157)</f>
        <v>0.16037037037037039</v>
      </c>
      <c r="AU157" s="16">
        <f>(G157-AM157)/G157</f>
        <v>0.35021097046413496</v>
      </c>
      <c r="AV157" s="57" t="str">
        <f>IF(AND(ISNUMBER(E157),ISNUMBER(W157)),E157-W157,"")</f>
        <v/>
      </c>
      <c r="AW157" s="57" t="str">
        <f>IF(AND(ISNUMBER(I157),ISNUMBER(AF157)),I157-AF157,"")</f>
        <v/>
      </c>
      <c r="AX157" s="57">
        <f>IF(AND(ISNUMBER(AM157),ISNUMBER(G157)),G157-AM157,"")</f>
        <v>8.2999999999999989</v>
      </c>
      <c r="AY157" s="57" t="str">
        <f>IF(AND(ISNUMBER(AC157),ISNUMBER(AE157)),AC157-AE157,"")</f>
        <v/>
      </c>
      <c r="AZ157" s="57" t="str">
        <f>IF(AND(ISNUMBER(AL157),ISNUMBER(AM157)),AL157-AM157,"")</f>
        <v/>
      </c>
      <c r="BA157" s="84" t="str">
        <f>IF(AND($E157&gt;0,$W157&gt;0),IF(($E157-$W157)/$E157&gt;0,($E157-$W157)/$E157,0),"")</f>
        <v/>
      </c>
      <c r="BB157" s="84">
        <f>IF(AND($I157&gt;0,$AF157&gt;=0),IF(($I157-$AF157)/$I157&gt;0,($I157-$AF157)/$I157,0),"")</f>
        <v>1</v>
      </c>
      <c r="BC157" s="84">
        <f>IF(AND($AG157&gt;=0,$AD157&gt;=0,$AF157&gt;=0),IF($AG157/($AD157-$AF157)&gt;0,$AG157/($AD157-$AF157),0),"")</f>
        <v>0.16037037037037039</v>
      </c>
      <c r="BD157" s="84">
        <f>IF(AND($G157&gt;0,$AM157&gt;0),IF(($G157-$AM157)/$G157&gt;0,($G157-$AM157)/$G157,0),"")</f>
        <v>0.35021097046413496</v>
      </c>
      <c r="BE157" s="6">
        <f>IF((AD157-AF157)/(AJ157/60)&lt;=0,"",(AD157-AF157)/(AJ157/60))</f>
        <v>9.257142857142858</v>
      </c>
      <c r="BF157" s="6" t="str">
        <f>IF(OR(AJ157=0,AP157=0,NOT(ISNUMBER(AD157)),NOT(ISNUMBER(AF157)),NOT(ISNUMBER(AJ157)),NOT(ISNUMBER(AP157))),"",
IFERROR(IF((AD157-AF157)/(AJ157/60)/(AP157/1000)&lt;=0,"",(AD157-AF157)/(AJ157/60)/(AP157/1000)),""))</f>
        <v/>
      </c>
    </row>
    <row r="158" spans="1:58" ht="15.75">
      <c r="A158" s="12" t="s">
        <v>141</v>
      </c>
      <c r="B158" s="11">
        <v>45418</v>
      </c>
      <c r="D158" s="3">
        <v>153</v>
      </c>
      <c r="E158" s="205" t="str">
        <f t="shared" si="11"/>
        <v/>
      </c>
      <c r="I158" s="15">
        <f>AD158</f>
        <v>28</v>
      </c>
      <c r="K158" s="10" t="str">
        <f t="shared" si="8"/>
        <v/>
      </c>
      <c r="L158" s="9" t="str">
        <f t="shared" si="9"/>
        <v/>
      </c>
      <c r="M158" s="8" t="str">
        <f t="shared" si="10"/>
        <v/>
      </c>
      <c r="X158" s="6">
        <v>8.35</v>
      </c>
      <c r="AB158" s="5">
        <v>80</v>
      </c>
      <c r="AD158" s="168">
        <v>28</v>
      </c>
      <c r="AG158">
        <v>0.09</v>
      </c>
      <c r="AH158" s="119">
        <v>0.47916666666666669</v>
      </c>
      <c r="AJ158" s="1">
        <v>175</v>
      </c>
      <c r="AK158" s="3">
        <v>180</v>
      </c>
      <c r="AN158" s="80">
        <f>360-AK158-AB158</f>
        <v>100</v>
      </c>
      <c r="AO158" s="165"/>
      <c r="AP158" s="13">
        <f>AVERAGE(AO156:AO162)</f>
        <v>2617.7777777777974</v>
      </c>
      <c r="AQ158" s="15" t="str">
        <f>IF(ISNUMBER([2]HRT_SRT!R212),[2]HRT_SRT!R212,"")</f>
        <v/>
      </c>
      <c r="AR158" s="17" t="e">
        <f>(E158-W158)/E158</f>
        <v>#VALUE!</v>
      </c>
      <c r="AS158" s="16">
        <f>(I158-AF158)/I158</f>
        <v>1</v>
      </c>
      <c r="AT158" s="16">
        <f>AG158/(AD158-AF158)</f>
        <v>3.2142857142857142E-3</v>
      </c>
      <c r="AU158" s="16"/>
      <c r="AV158" s="57" t="str">
        <f>IF(AND(ISNUMBER(E158),ISNUMBER(W158)),E158-W158,"")</f>
        <v/>
      </c>
      <c r="AW158" s="57" t="str">
        <f>IF(AND(ISNUMBER(I158),ISNUMBER(AF158)),I158-AF158,"")</f>
        <v/>
      </c>
      <c r="AX158" s="57" t="str">
        <f>IF(AND(ISNUMBER(AM158),ISNUMBER(G158)),G158-AM158,"")</f>
        <v/>
      </c>
      <c r="AY158" s="57" t="str">
        <f>IF(AND(ISNUMBER(AC158),ISNUMBER(AE158)),AC158-AE158,"")</f>
        <v/>
      </c>
      <c r="AZ158" s="57" t="str">
        <f>IF(AND(ISNUMBER(AL158),ISNUMBER(AM158)),AL158-AM158,"")</f>
        <v/>
      </c>
      <c r="BA158" s="84" t="str">
        <f>IF(AND($E158&gt;0,$W158&gt;0),IF(($E158-$W158)/$E158&gt;0,($E158-$W158)/$E158,0),"")</f>
        <v/>
      </c>
      <c r="BB158" s="84">
        <f>IF(AND($I158&gt;0,$AF158&gt;=0),IF(($I158-$AF158)/$I158&gt;0,($I158-$AF158)/$I158,0),"")</f>
        <v>1</v>
      </c>
      <c r="BC158" s="84">
        <f>IF(AND($AG158&gt;=0,$AD158&gt;=0,$AF158&gt;=0),IF($AG158/($AD158-$AF158)&gt;0,$AG158/($AD158-$AF158),0),"")</f>
        <v>3.2142857142857142E-3</v>
      </c>
      <c r="BD158" s="84" t="str">
        <f>IF(AND($G158&gt;0,$AM158&gt;0),IF(($G158-$AM158)/$G158&gt;0,($G158-$AM158)/$G158,0),"")</f>
        <v/>
      </c>
      <c r="BE158" s="6">
        <f>IF((AD158-AF158)/(AJ158/60)&lt;=0,"",(AD158-AF158)/(AJ158/60))</f>
        <v>9.6</v>
      </c>
      <c r="BF158" s="6" t="str">
        <f>IF(OR(AJ158=0,AP158=0,NOT(ISNUMBER(AD158)),NOT(ISNUMBER(AF158)),NOT(ISNUMBER(AJ158)),NOT(ISNUMBER(AP158))),"",
IFERROR(IF((AD158-AF158)/(AJ158/60)/(AP158/1000)&lt;=0,"",(AD158-AF158)/(AJ158/60)/(AP158/1000)),""))</f>
        <v/>
      </c>
    </row>
    <row r="159" spans="1:58" ht="15.75">
      <c r="B159" s="11">
        <v>45419</v>
      </c>
      <c r="D159" s="3">
        <v>154</v>
      </c>
      <c r="E159" s="205">
        <f t="shared" si="11"/>
        <v>277.94694800000002</v>
      </c>
      <c r="G159" s="15">
        <f>(N159*18-H159*18)/9</f>
        <v>28.2</v>
      </c>
      <c r="H159" s="9">
        <v>11.1</v>
      </c>
      <c r="I159" s="15">
        <f>AD159</f>
        <v>28.450000000000003</v>
      </c>
      <c r="K159" s="10">
        <f t="shared" si="8"/>
        <v>9.85627475177305</v>
      </c>
      <c r="L159" s="9">
        <f t="shared" si="9"/>
        <v>4.8848321265377859</v>
      </c>
      <c r="M159" s="8">
        <f t="shared" si="10"/>
        <v>2.0177304964539009</v>
      </c>
      <c r="N159" s="7">
        <v>25.2</v>
      </c>
      <c r="O159" s="6">
        <v>100.27200000000001</v>
      </c>
      <c r="P159" s="6">
        <v>21.125</v>
      </c>
      <c r="Q159" s="6">
        <f>O159*1.067</f>
        <v>106.990224</v>
      </c>
      <c r="R159" s="6">
        <f>P159*1.514</f>
        <v>31.983250000000002</v>
      </c>
      <c r="S159" s="23">
        <f>P159*1.514+O159*1.067</f>
        <v>138.97347400000001</v>
      </c>
      <c r="T159" s="6">
        <v>38.200000000000003</v>
      </c>
      <c r="W159">
        <f>2.039+1.677</f>
        <v>3.7160000000000002</v>
      </c>
      <c r="X159" s="6">
        <v>8.48</v>
      </c>
      <c r="AB159" s="5">
        <v>80</v>
      </c>
      <c r="AC159" s="7">
        <f>T159</f>
        <v>38.200000000000003</v>
      </c>
      <c r="AD159" s="1">
        <f>5*5.69</f>
        <v>28.450000000000003</v>
      </c>
      <c r="AE159" s="1">
        <v>26.2</v>
      </c>
      <c r="AF159" s="1">
        <f>2*4.61</f>
        <v>9.2200000000000006</v>
      </c>
      <c r="AG159">
        <v>2.59</v>
      </c>
      <c r="AH159" s="119">
        <v>0.47650462962962964</v>
      </c>
      <c r="AJ159" s="1">
        <v>175</v>
      </c>
      <c r="AK159" s="3">
        <v>180</v>
      </c>
      <c r="AL159" s="4">
        <f>AE159</f>
        <v>26.2</v>
      </c>
      <c r="AM159" s="1">
        <f>22.5</f>
        <v>22.5</v>
      </c>
      <c r="AN159" s="80">
        <f>360-AK159-AB159</f>
        <v>100</v>
      </c>
      <c r="AO159" s="165"/>
      <c r="AP159" s="13">
        <f>AVERAGE(AO157:AO163)</f>
        <v>2617.7777777777974</v>
      </c>
      <c r="AQ159" s="15" t="str">
        <f>IF(ISNUMBER([2]HRT_SRT!R213),[2]HRT_SRT!R213,"")</f>
        <v/>
      </c>
      <c r="AR159" s="17">
        <f>(E159-W159)/E159</f>
        <v>0.98663054217094692</v>
      </c>
      <c r="AS159" s="16">
        <f>(I159-AF159)/I159</f>
        <v>0.67592267135325135</v>
      </c>
      <c r="AT159" s="16">
        <f>AG159/(AD159-AF159)</f>
        <v>0.13468538741549657</v>
      </c>
      <c r="AU159" s="16">
        <f>(G159-AM159)/G159</f>
        <v>0.20212765957446807</v>
      </c>
      <c r="AV159" s="57">
        <f>IF(AND(ISNUMBER(E159),ISNUMBER(W159)),E159-W159,"")</f>
        <v>274.23094800000001</v>
      </c>
      <c r="AW159" s="57">
        <f>IF(AND(ISNUMBER(I159),ISNUMBER(AF159)),I159-AF159,"")</f>
        <v>19.230000000000004</v>
      </c>
      <c r="AX159" s="57">
        <f>IF(AND(ISNUMBER(AM159),ISNUMBER(G159)),G159-AM159,"")</f>
        <v>5.6999999999999993</v>
      </c>
      <c r="AY159" s="57">
        <f>IF(AND(ISNUMBER(AC159),ISNUMBER(AE159)),AC159-AE159,"")</f>
        <v>12.000000000000004</v>
      </c>
      <c r="AZ159" s="57">
        <f>IF(AND(ISNUMBER(AL159),ISNUMBER(AM159)),AL159-AM159,"")</f>
        <v>3.6999999999999993</v>
      </c>
      <c r="BA159" s="84">
        <f>IF(AND($E159&gt;0,$W159&gt;0),IF(($E159-$W159)/$E159&gt;0,($E159-$W159)/$E159,0),"")</f>
        <v>0.98663054217094692</v>
      </c>
      <c r="BB159" s="84">
        <f>IF(AND($I159&gt;0,$AF159&gt;=0),IF(($I159-$AF159)/$I159&gt;0,($I159-$AF159)/$I159,0),"")</f>
        <v>0.67592267135325135</v>
      </c>
      <c r="BC159" s="84">
        <f>IF(AND($AG159&gt;=0,$AD159&gt;=0,$AF159&gt;=0),IF($AG159/($AD159-$AF159)&gt;0,$AG159/($AD159-$AF159),0),"")</f>
        <v>0.13468538741549657</v>
      </c>
      <c r="BD159" s="84">
        <f>IF(AND($G159&gt;0,$AM159&gt;0),IF(($G159-$AM159)/$G159&gt;0,($G159-$AM159)/$G159,0),"")</f>
        <v>0.20212765957446807</v>
      </c>
      <c r="BE159" s="6">
        <f>IF((AD159-AF159)/(AJ159/60)&lt;=0,"",(AD159-AF159)/(AJ159/60))</f>
        <v>6.5931428571428592</v>
      </c>
      <c r="BF159" s="6">
        <f>IF(OR(AJ159=0,AP159=0,NOT(ISNUMBER(AD159)),NOT(ISNUMBER(AF159)),NOT(ISNUMBER(AJ159)),NOT(ISNUMBER(AP159))),"",
IFERROR(IF((AD159-AF159)/(AJ159/60)/(AP159/1000)&lt;=0,"",(AD159-AF159)/(AJ159/60)/(AP159/1000)),""))</f>
        <v>2.5186029590104111</v>
      </c>
    </row>
    <row r="160" spans="1:58" ht="15.75">
      <c r="B160" s="167">
        <v>45420</v>
      </c>
      <c r="C160" s="166"/>
      <c r="D160" s="136">
        <v>155</v>
      </c>
      <c r="E160" s="205">
        <f t="shared" si="11"/>
        <v>240.543138</v>
      </c>
      <c r="G160" s="15">
        <f>(N160*17-H160*17)/9</f>
        <v>27.011111111111113</v>
      </c>
      <c r="H160" s="9">
        <v>15.3</v>
      </c>
      <c r="I160" s="15">
        <f>AD160</f>
        <v>25.299999999999997</v>
      </c>
      <c r="K160" s="10">
        <f t="shared" si="8"/>
        <v>8.9053403619909499</v>
      </c>
      <c r="L160" s="9">
        <f t="shared" si="9"/>
        <v>4.7538169565217396</v>
      </c>
      <c r="M160" s="8">
        <f t="shared" si="10"/>
        <v>1.873303167420814</v>
      </c>
      <c r="N160" s="7">
        <v>29.6</v>
      </c>
      <c r="O160" s="6">
        <v>86.278999999999996</v>
      </c>
      <c r="P160" s="6">
        <v>18.634</v>
      </c>
      <c r="Q160" s="6">
        <f>O160*1.067</f>
        <v>92.059692999999996</v>
      </c>
      <c r="R160" s="6">
        <f>P160*1.514</f>
        <v>28.211876</v>
      </c>
      <c r="S160" s="23">
        <f>P160*1.514+O160*1.067</f>
        <v>120.271569</v>
      </c>
      <c r="T160" s="6">
        <v>41</v>
      </c>
      <c r="W160">
        <f>3.755+4.036</f>
        <v>7.7909999999999995</v>
      </c>
      <c r="X160" s="6">
        <v>7.06</v>
      </c>
      <c r="AB160" s="5">
        <v>80</v>
      </c>
      <c r="AC160" s="7">
        <f>T160</f>
        <v>41</v>
      </c>
      <c r="AD160" s="1">
        <f>5*5.06</f>
        <v>25.299999999999997</v>
      </c>
      <c r="AE160" s="1">
        <v>30.9</v>
      </c>
      <c r="AF160" s="1">
        <f>2*4.34</f>
        <v>8.68</v>
      </c>
      <c r="AG160">
        <v>2.57</v>
      </c>
      <c r="AH160" s="119">
        <v>0.47824074074074074</v>
      </c>
      <c r="AJ160" s="1">
        <v>175</v>
      </c>
      <c r="AK160" s="3">
        <v>180</v>
      </c>
      <c r="AL160" s="4">
        <f>AE160</f>
        <v>30.9</v>
      </c>
      <c r="AM160" s="1">
        <v>27.1</v>
      </c>
      <c r="AN160" s="80">
        <f>360-AK160-AB160</f>
        <v>100</v>
      </c>
      <c r="AO160" s="165"/>
      <c r="AP160" s="13">
        <f>AVERAGE(AO158:AO164)</f>
        <v>2617.7777777777974</v>
      </c>
      <c r="AQ160" s="15" t="str">
        <f>IF(ISNUMBER([2]HRT_SRT!R214),[2]HRT_SRT!R214,"")</f>
        <v/>
      </c>
      <c r="AR160" s="17">
        <f>(E160-W160)/E160</f>
        <v>0.96761079919062165</v>
      </c>
      <c r="AS160" s="16">
        <f>(I160-AF160)/I160</f>
        <v>0.65691699604743081</v>
      </c>
      <c r="AT160" s="16">
        <f>AG160/(AD160-AF160)</f>
        <v>0.15463297232250303</v>
      </c>
      <c r="AU160" s="16">
        <f>(G160-AM160)/G160</f>
        <v>-3.290826820238573E-3</v>
      </c>
      <c r="AV160" s="57">
        <f>IF(AND(ISNUMBER(E160),ISNUMBER(W160)),E160-W160,"")</f>
        <v>232.752138</v>
      </c>
      <c r="AW160" s="57">
        <f>IF(AND(ISNUMBER(I160),ISNUMBER(AF160)),I160-AF160,"")</f>
        <v>16.619999999999997</v>
      </c>
      <c r="AX160" s="57">
        <f>IF(AND(ISNUMBER(AM160),ISNUMBER(G160)),G160-AM160,"")</f>
        <v>-8.8888888888888573E-2</v>
      </c>
      <c r="AY160" s="57">
        <f>IF(AND(ISNUMBER(AC160),ISNUMBER(AE160)),AC160-AE160,"")</f>
        <v>10.100000000000001</v>
      </c>
      <c r="AZ160" s="57">
        <f>IF(AND(ISNUMBER(AL160),ISNUMBER(AM160)),AL160-AM160,"")</f>
        <v>3.7999999999999972</v>
      </c>
      <c r="BA160" s="84">
        <f>IF(AND($E160&gt;0,$W160&gt;0),IF(($E160-$W160)/$E160&gt;0,($E160-$W160)/$E160,0),"")</f>
        <v>0.96761079919062165</v>
      </c>
      <c r="BB160" s="84">
        <f>IF(AND($I160&gt;0,$AF160&gt;=0),IF(($I160-$AF160)/$I160&gt;0,($I160-$AF160)/$I160,0),"")</f>
        <v>0.65691699604743081</v>
      </c>
      <c r="BC160" s="84">
        <f>IF(AND($AG160&gt;=0,$AD160&gt;=0,$AF160&gt;=0),IF($AG160/($AD160-$AF160)&gt;0,$AG160/($AD160-$AF160),0),"")</f>
        <v>0.15463297232250303</v>
      </c>
      <c r="BD160" s="84">
        <f>IF(AND($G160&gt;0,$AM160&gt;0),IF(($G160-$AM160)/$G160&gt;0,($G160-$AM160)/$G160,0),"")</f>
        <v>0</v>
      </c>
      <c r="BE160" s="6">
        <f>IF((AD160-AF160)/(AJ160/60)&lt;=0,"",(AD160-AF160)/(AJ160/60))</f>
        <v>5.6982857142857135</v>
      </c>
      <c r="BF160" s="6">
        <f>IF(OR(AJ160=0,AP160=0,NOT(ISNUMBER(AD160)),NOT(ISNUMBER(AF160)),NOT(ISNUMBER(AJ160)),NOT(ISNUMBER(AP160))),"",
IFERROR(IF((AD160-AF160)/(AJ160/60)/(AP160/1000)&lt;=0,"",(AD160-AF160)/(AJ160/60)/(AP160/1000)),""))</f>
        <v>2.1767644918748319</v>
      </c>
    </row>
    <row r="161" spans="1:58" ht="15.75">
      <c r="A161" s="12" t="s">
        <v>140</v>
      </c>
      <c r="B161" s="11">
        <v>45421</v>
      </c>
      <c r="D161" s="3">
        <v>156</v>
      </c>
      <c r="E161" s="205">
        <f t="shared" si="11"/>
        <v>262.63851399999999</v>
      </c>
      <c r="G161" s="15">
        <f>(N161*19-H161*19)/9</f>
        <v>28.288888888888888</v>
      </c>
      <c r="H161" s="9">
        <v>12.9</v>
      </c>
      <c r="I161" s="15">
        <f>AD161</f>
        <v>22.549999999999997</v>
      </c>
      <c r="K161" s="10">
        <f t="shared" si="8"/>
        <v>9.2841579968578163</v>
      </c>
      <c r="L161" s="9">
        <f t="shared" si="9"/>
        <v>5.8234703769401337</v>
      </c>
      <c r="M161" s="8">
        <f t="shared" si="10"/>
        <v>1.5942655145325999</v>
      </c>
      <c r="N161" s="7">
        <v>26.3</v>
      </c>
      <c r="O161" s="6">
        <v>93.727000000000004</v>
      </c>
      <c r="P161" s="6">
        <v>20.681999999999999</v>
      </c>
      <c r="Q161" s="6">
        <f>O161*1.067</f>
        <v>100.006709</v>
      </c>
      <c r="R161" s="6">
        <f>P161*1.514</f>
        <v>31.312548</v>
      </c>
      <c r="S161" s="23">
        <f>P161*1.514+O161*1.067</f>
        <v>131.31925699999999</v>
      </c>
      <c r="T161" s="6">
        <v>40.299999999999997</v>
      </c>
      <c r="W161">
        <f>3.756+4.005</f>
        <v>7.7609999999999992</v>
      </c>
      <c r="X161" s="6">
        <v>8.73</v>
      </c>
      <c r="AB161" s="5">
        <v>80</v>
      </c>
      <c r="AC161" s="7">
        <f>T161</f>
        <v>40.299999999999997</v>
      </c>
      <c r="AD161" s="1">
        <f>5*4.51</f>
        <v>22.549999999999997</v>
      </c>
      <c r="AE161" s="1">
        <v>28.5</v>
      </c>
      <c r="AF161" s="1">
        <f>2*4.18</f>
        <v>8.36</v>
      </c>
      <c r="AG161">
        <v>2.65</v>
      </c>
      <c r="AH161" s="119">
        <v>0.4775462962962963</v>
      </c>
      <c r="AJ161" s="1">
        <v>175</v>
      </c>
      <c r="AK161" s="3">
        <v>180</v>
      </c>
      <c r="AL161" s="4">
        <f>AE161</f>
        <v>28.5</v>
      </c>
      <c r="AM161" s="1">
        <v>25.2</v>
      </c>
      <c r="AN161" s="80">
        <f>360-AK161-AB161</f>
        <v>100</v>
      </c>
      <c r="AO161" s="126">
        <f>[2]HRT_SRT!P215</f>
        <v>2617.7777777777974</v>
      </c>
      <c r="AP161" s="13">
        <f>AVERAGE(AO159:AO165)</f>
        <v>2668.8888888888896</v>
      </c>
      <c r="AQ161" s="15">
        <f>IF(ISNUMBER([2]HRT_SRT!R215),[2]HRT_SRT!R215,"")</f>
        <v>16.772927905835825</v>
      </c>
      <c r="AR161" s="17">
        <f>(E161-W161)/E161</f>
        <v>0.9704498784972565</v>
      </c>
      <c r="AS161" s="16">
        <f>(I161-AF161)/I161</f>
        <v>0.62926829268292683</v>
      </c>
      <c r="AT161" s="16">
        <f>AG161/(AD161-AF161)</f>
        <v>0.18675123326286119</v>
      </c>
      <c r="AU161" s="16">
        <f>(G161-AM161)/G161</f>
        <v>0.10919088766692851</v>
      </c>
      <c r="AV161" s="57">
        <f>IF(AND(ISNUMBER(E161),ISNUMBER(W161)),E161-W161,"")</f>
        <v>254.87751399999999</v>
      </c>
      <c r="AW161" s="57">
        <f>IF(AND(ISNUMBER(I161),ISNUMBER(AF161)),I161-AF161,"")</f>
        <v>14.189999999999998</v>
      </c>
      <c r="AX161" s="57">
        <f>IF(AND(ISNUMBER(AM161),ISNUMBER(G161)),G161-AM161,"")</f>
        <v>3.0888888888888886</v>
      </c>
      <c r="AY161" s="57">
        <f>IF(AND(ISNUMBER(AC161),ISNUMBER(AE161)),AC161-AE161,"")</f>
        <v>11.799999999999997</v>
      </c>
      <c r="AZ161" s="57">
        <f>IF(AND(ISNUMBER(AL161),ISNUMBER(AM161)),AL161-AM161,"")</f>
        <v>3.3000000000000007</v>
      </c>
      <c r="BA161" s="84">
        <f>IF(AND($E161&gt;0,$W161&gt;0),IF(($E161-$W161)/$E161&gt;0,($E161-$W161)/$E161,0),"")</f>
        <v>0.9704498784972565</v>
      </c>
      <c r="BB161" s="84">
        <f>IF(AND($I161&gt;0,$AF161&gt;=0),IF(($I161-$AF161)/$I161&gt;0,($I161-$AF161)/$I161,0),"")</f>
        <v>0.62926829268292683</v>
      </c>
      <c r="BC161" s="84">
        <f>IF(AND($AG161&gt;=0,$AD161&gt;=0,$AF161&gt;=0),IF($AG161/($AD161-$AF161)&gt;0,$AG161/($AD161-$AF161),0),"")</f>
        <v>0.18675123326286119</v>
      </c>
      <c r="BD161" s="84">
        <f>IF(AND($G161&gt;0,$AM161&gt;0),IF(($G161-$AM161)/$G161&gt;0,($G161-$AM161)/$G161,0),"")</f>
        <v>0.10919088766692851</v>
      </c>
      <c r="BE161" s="6">
        <f>IF((AD161-AF161)/(AJ161/60)&lt;=0,"",(AD161-AF161)/(AJ161/60))</f>
        <v>4.8651428571428568</v>
      </c>
      <c r="BF161" s="6">
        <f>IF(OR(AJ161=0,AP161=0,NOT(ISNUMBER(AD161)),NOT(ISNUMBER(AF161)),NOT(ISNUMBER(AJ161)),NOT(ISNUMBER(AP161))),"",
IFERROR(IF((AD161-AF161)/(AJ161/60)/(AP161/1000)&lt;=0,"",(AD161-AF161)/(AJ161/60)/(AP161/1000)),""))</f>
        <v>1.8229094801950749</v>
      </c>
    </row>
    <row r="162" spans="1:58" ht="15.75">
      <c r="B162" s="11">
        <v>45422</v>
      </c>
      <c r="D162" s="3">
        <v>157</v>
      </c>
      <c r="E162" s="205" t="str">
        <f t="shared" si="11"/>
        <v/>
      </c>
      <c r="G162" s="15">
        <f>(N162*18-H162*18)/9</f>
        <v>27.4</v>
      </c>
      <c r="H162" s="9">
        <v>13.8</v>
      </c>
      <c r="I162" s="15">
        <f>AD162</f>
        <v>24.4</v>
      </c>
      <c r="K162" s="10" t="str">
        <f t="shared" si="8"/>
        <v/>
      </c>
      <c r="L162" s="9" t="str">
        <f t="shared" si="9"/>
        <v/>
      </c>
      <c r="M162" s="8">
        <f t="shared" si="10"/>
        <v>1.781021897810219</v>
      </c>
      <c r="N162" s="7">
        <v>27.5</v>
      </c>
      <c r="T162" s="6">
        <v>39</v>
      </c>
      <c r="X162" s="6">
        <v>7.95</v>
      </c>
      <c r="AB162" s="5">
        <v>80</v>
      </c>
      <c r="AC162" s="7">
        <f>T162</f>
        <v>39</v>
      </c>
      <c r="AD162" s="165">
        <f>5*4.88</f>
        <v>24.4</v>
      </c>
      <c r="AF162" s="162">
        <v>8.3000000000000007</v>
      </c>
      <c r="AG162">
        <v>2.94</v>
      </c>
      <c r="AH162" s="119">
        <v>0.47696759259259258</v>
      </c>
      <c r="AJ162" s="1">
        <v>175</v>
      </c>
      <c r="AK162" s="3">
        <v>180</v>
      </c>
      <c r="AM162" s="1">
        <v>26.1</v>
      </c>
      <c r="AN162" s="80">
        <f>360-AK162-AB162</f>
        <v>100</v>
      </c>
      <c r="AO162" s="126"/>
      <c r="AP162" s="13">
        <f>AVERAGE(AO160:AO166)</f>
        <v>2668.8888888888896</v>
      </c>
      <c r="AQ162" s="15" t="str">
        <f>IF(ISNUMBER([2]HRT_SRT!R216),[2]HRT_SRT!R216,"")</f>
        <v/>
      </c>
      <c r="AR162" s="17" t="e">
        <f>(E162-W162)/E162</f>
        <v>#VALUE!</v>
      </c>
      <c r="AS162" s="16">
        <f>(I162-AF162)/I162</f>
        <v>0.65983606557377039</v>
      </c>
      <c r="AT162" s="16">
        <f>AG162/(AD162-AF162)</f>
        <v>0.18260869565217394</v>
      </c>
      <c r="AU162" s="16">
        <f>(G162-AM162)/G162</f>
        <v>4.7445255474452455E-2</v>
      </c>
      <c r="AV162" s="57" t="str">
        <f>IF(AND(ISNUMBER(E162),ISNUMBER(W162)),E162-W162,"")</f>
        <v/>
      </c>
      <c r="AW162" s="57">
        <f>IF(AND(ISNUMBER(I162),ISNUMBER(AF162)),I162-AF162,"")</f>
        <v>16.099999999999998</v>
      </c>
      <c r="AX162" s="57">
        <f>IF(AND(ISNUMBER(AM162),ISNUMBER(G162)),G162-AM162,"")</f>
        <v>1.2999999999999972</v>
      </c>
      <c r="AY162" s="57" t="str">
        <f>IF(AND(ISNUMBER(AC162),ISNUMBER(AE162)),AC162-AE162,"")</f>
        <v/>
      </c>
      <c r="AZ162" s="57" t="str">
        <f>IF(AND(ISNUMBER(AL162),ISNUMBER(AM162)),AL162-AM162,"")</f>
        <v/>
      </c>
      <c r="BA162" s="84" t="str">
        <f>IF(AND($E162&gt;0,$W162&gt;0),IF(($E162-$W162)/$E162&gt;0,($E162-$W162)/$E162,0),"")</f>
        <v/>
      </c>
      <c r="BB162" s="84">
        <f>IF(AND($I162&gt;0,$AF162&gt;=0),IF(($I162-$AF162)/$I162&gt;0,($I162-$AF162)/$I162,0),"")</f>
        <v>0.65983606557377039</v>
      </c>
      <c r="BC162" s="84">
        <f>IF(AND($AG162&gt;=0,$AD162&gt;=0,$AF162&gt;=0),IF($AG162/($AD162-$AF162)&gt;0,$AG162/($AD162-$AF162),0),"")</f>
        <v>0.18260869565217394</v>
      </c>
      <c r="BD162" s="84">
        <f>IF(AND($G162&gt;0,$AM162&gt;0),IF(($G162-$AM162)/$G162&gt;0,($G162-$AM162)/$G162,0),"")</f>
        <v>4.7445255474452455E-2</v>
      </c>
      <c r="BE162" s="6">
        <f>IF((AD162-AF162)/(AJ162/60)&lt;=0,"",(AD162-AF162)/(AJ162/60))</f>
        <v>5.52</v>
      </c>
      <c r="BF162" s="6">
        <f>IF(OR(AJ162=0,AP162=0,NOT(ISNUMBER(AD162)),NOT(ISNUMBER(AF162)),NOT(ISNUMBER(AJ162)),NOT(ISNUMBER(AP162))),"",
IFERROR(IF((AD162-AF162)/(AJ162/60)/(AP162/1000)&lt;=0,"",(AD162-AF162)/(AJ162/60)/(AP162/1000)),""))</f>
        <v>2.0682764363030799</v>
      </c>
    </row>
    <row r="163" spans="1:58" ht="15.75">
      <c r="B163" s="11">
        <v>45423</v>
      </c>
      <c r="D163" s="3">
        <v>158</v>
      </c>
      <c r="E163" s="205" t="str">
        <f t="shared" si="11"/>
        <v/>
      </c>
      <c r="I163" s="15">
        <f>AD163</f>
        <v>25</v>
      </c>
      <c r="K163" s="10" t="str">
        <f t="shared" si="8"/>
        <v/>
      </c>
      <c r="L163" s="9" t="str">
        <f t="shared" si="9"/>
        <v/>
      </c>
      <c r="M163" s="8" t="str">
        <f t="shared" si="10"/>
        <v/>
      </c>
      <c r="X163" s="6">
        <v>4.78</v>
      </c>
      <c r="AB163" s="5">
        <v>80</v>
      </c>
      <c r="AD163" s="162">
        <f>25</f>
        <v>25</v>
      </c>
      <c r="AF163" s="162">
        <v>8.3000000000000007</v>
      </c>
      <c r="AG163">
        <v>2.52</v>
      </c>
      <c r="AH163" s="119">
        <v>0.4775462962962963</v>
      </c>
      <c r="AJ163" s="1">
        <v>175</v>
      </c>
      <c r="AK163" s="3">
        <v>180</v>
      </c>
      <c r="AN163" s="80">
        <f>360-AK163-AB163</f>
        <v>100</v>
      </c>
      <c r="AO163" s="126"/>
      <c r="AP163" s="13">
        <f>AVERAGE(AO161:AO167)</f>
        <v>2512.5925925926081</v>
      </c>
      <c r="AQ163" s="15" t="str">
        <f>IF(ISNUMBER([2]HRT_SRT!R217),[2]HRT_SRT!R217,"")</f>
        <v/>
      </c>
      <c r="AR163" s="17" t="e">
        <f>(E163-W163)/E163</f>
        <v>#VALUE!</v>
      </c>
      <c r="AS163" s="16">
        <f>(I163-AF163)/I163</f>
        <v>0.66799999999999993</v>
      </c>
      <c r="AT163" s="16">
        <f>AG163/(AD163-AF163)</f>
        <v>0.15089820359281439</v>
      </c>
      <c r="AU163" s="16"/>
      <c r="AV163" s="57" t="str">
        <f>IF(AND(ISNUMBER(E163),ISNUMBER(W163)),E163-W163,"")</f>
        <v/>
      </c>
      <c r="AW163" s="57">
        <f>IF(AND(ISNUMBER(I163),ISNUMBER(AF163)),I163-AF163,"")</f>
        <v>16.7</v>
      </c>
      <c r="AX163" s="57" t="str">
        <f>IF(AND(ISNUMBER(AM163),ISNUMBER(G163)),G163-AM163,"")</f>
        <v/>
      </c>
      <c r="AY163" s="57" t="str">
        <f>IF(AND(ISNUMBER(AC163),ISNUMBER(AE163)),AC163-AE163,"")</f>
        <v/>
      </c>
      <c r="AZ163" s="57" t="str">
        <f>IF(AND(ISNUMBER(AL163),ISNUMBER(AM163)),AL163-AM163,"")</f>
        <v/>
      </c>
      <c r="BA163" s="84" t="str">
        <f>IF(AND($E163&gt;0,$W163&gt;0),IF(($E163-$W163)/$E163&gt;0,($E163-$W163)/$E163,0),"")</f>
        <v/>
      </c>
      <c r="BB163" s="84">
        <f>IF(AND($I163&gt;0,$AF163&gt;=0),IF(($I163-$AF163)/$I163&gt;0,($I163-$AF163)/$I163,0),"")</f>
        <v>0.66799999999999993</v>
      </c>
      <c r="BC163" s="84">
        <f>IF(AND($AG163&gt;=0,$AD163&gt;=0,$AF163&gt;=0),IF($AG163/($AD163-$AF163)&gt;0,$AG163/($AD163-$AF163),0),"")</f>
        <v>0.15089820359281439</v>
      </c>
      <c r="BD163" s="84" t="str">
        <f>IF(AND($G163&gt;0,$AM163&gt;0),IF(($G163-$AM163)/$G163&gt;0,($G163-$AM163)/$G163,0),"")</f>
        <v/>
      </c>
      <c r="BE163" s="6">
        <f>IF((AD163-AF163)/(AJ163/60)&lt;=0,"",(AD163-AF163)/(AJ163/60))</f>
        <v>5.725714285714286</v>
      </c>
      <c r="BF163" s="6">
        <f>IF(OR(AJ163=0,AP163=0,NOT(ISNUMBER(AD163)),NOT(ISNUMBER(AF163)),NOT(ISNUMBER(AJ163)),NOT(ISNUMBER(AP163))),"",
IFERROR(IF((AD163-AF163)/(AJ163/60)/(AP163/1000)&lt;=0,"",(AD163-AF163)/(AJ163/60)/(AP163/1000)),""))</f>
        <v>2.2788072776280184</v>
      </c>
    </row>
    <row r="164" spans="1:58" ht="15.75">
      <c r="B164" s="11">
        <v>45424</v>
      </c>
      <c r="D164" s="3">
        <v>159</v>
      </c>
      <c r="E164" s="205" t="str">
        <f t="shared" si="11"/>
        <v/>
      </c>
      <c r="I164" s="15">
        <f>AD164</f>
        <v>25</v>
      </c>
      <c r="K164" s="10" t="str">
        <f t="shared" si="8"/>
        <v/>
      </c>
      <c r="L164" s="9" t="str">
        <f t="shared" si="9"/>
        <v/>
      </c>
      <c r="M164" s="8" t="str">
        <f t="shared" si="10"/>
        <v/>
      </c>
      <c r="AB164" s="5">
        <v>80</v>
      </c>
      <c r="AD164" s="162">
        <f>25</f>
        <v>25</v>
      </c>
      <c r="AF164" s="162">
        <v>8.3000000000000007</v>
      </c>
      <c r="AG164">
        <v>2.36</v>
      </c>
      <c r="AH164" s="119">
        <v>0.47835648148148147</v>
      </c>
      <c r="AJ164" s="1">
        <v>175</v>
      </c>
      <c r="AK164" s="3">
        <v>180</v>
      </c>
      <c r="AN164" s="80">
        <f>360-AK164-AB164</f>
        <v>100</v>
      </c>
      <c r="AO164" s="126"/>
      <c r="AP164" s="13">
        <f>AVERAGE(AO162:AO168)</f>
        <v>2460.0000000000136</v>
      </c>
      <c r="AQ164" s="15" t="str">
        <f>IF(ISNUMBER([2]HRT_SRT!R218),[2]HRT_SRT!R218,"")</f>
        <v/>
      </c>
      <c r="AR164" s="17" t="e">
        <f>(E164-W164)/E164</f>
        <v>#VALUE!</v>
      </c>
      <c r="AS164" s="16">
        <f>(I164-AF164)/I164</f>
        <v>0.66799999999999993</v>
      </c>
      <c r="AT164" s="16">
        <f>AG164/(AD164-AF164)</f>
        <v>0.14131736526946106</v>
      </c>
      <c r="AU164" s="16"/>
      <c r="AV164" s="57" t="str">
        <f>IF(AND(ISNUMBER(E164),ISNUMBER(W164)),E164-W164,"")</f>
        <v/>
      </c>
      <c r="AW164" s="57">
        <f>IF(AND(ISNUMBER(I164),ISNUMBER(AF164)),I164-AF164,"")</f>
        <v>16.7</v>
      </c>
      <c r="AX164" s="57" t="str">
        <f>IF(AND(ISNUMBER(AM164),ISNUMBER(G164)),G164-AM164,"")</f>
        <v/>
      </c>
      <c r="AY164" s="57" t="str">
        <f>IF(AND(ISNUMBER(AC164),ISNUMBER(AE164)),AC164-AE164,"")</f>
        <v/>
      </c>
      <c r="AZ164" s="57" t="str">
        <f>IF(AND(ISNUMBER(AL164),ISNUMBER(AM164)),AL164-AM164,"")</f>
        <v/>
      </c>
      <c r="BA164" s="84" t="str">
        <f>IF(AND($E164&gt;0,$W164&gt;0),IF(($E164-$W164)/$E164&gt;0,($E164-$W164)/$E164,0),"")</f>
        <v/>
      </c>
      <c r="BB164" s="84">
        <f>IF(AND($I164&gt;0,$AF164&gt;=0),IF(($I164-$AF164)/$I164&gt;0,($I164-$AF164)/$I164,0),"")</f>
        <v>0.66799999999999993</v>
      </c>
      <c r="BC164" s="84">
        <f>IF(AND($AG164&gt;=0,$AD164&gt;=0,$AF164&gt;=0),IF($AG164/($AD164-$AF164)&gt;0,$AG164/($AD164-$AF164),0),"")</f>
        <v>0.14131736526946106</v>
      </c>
      <c r="BD164" s="84" t="str">
        <f>IF(AND($G164&gt;0,$AM164&gt;0),IF(($G164-$AM164)/$G164&gt;0,($G164-$AM164)/$G164,0),"")</f>
        <v/>
      </c>
      <c r="BE164" s="6">
        <f>IF((AD164-AF164)/(AJ164/60)&lt;=0,"",(AD164-AF164)/(AJ164/60))</f>
        <v>5.725714285714286</v>
      </c>
      <c r="BF164" s="6">
        <f>IF(OR(AJ164=0,AP164=0,NOT(ISNUMBER(AD164)),NOT(ISNUMBER(AF164)),NOT(ISNUMBER(AJ164)),NOT(ISNUMBER(AP164))),"",
IFERROR(IF((AD164-AF164)/(AJ164/60)/(AP164/1000)&lt;=0,"",(AD164-AF164)/(AJ164/60)/(AP164/1000)),""))</f>
        <v>2.3275261324041683</v>
      </c>
    </row>
    <row r="165" spans="1:58" ht="15.75">
      <c r="B165" s="11">
        <v>45425</v>
      </c>
      <c r="D165" s="3">
        <v>160</v>
      </c>
      <c r="E165" s="205" t="str">
        <f t="shared" si="11"/>
        <v/>
      </c>
      <c r="G165" s="15">
        <f>(N165*17.8-H165*17.8)/9</f>
        <v>27.688888888888886</v>
      </c>
      <c r="H165" s="9">
        <v>22.4</v>
      </c>
      <c r="I165" s="15">
        <f>AD165</f>
        <v>25.049999999999997</v>
      </c>
      <c r="K165" s="10" t="str">
        <f t="shared" ref="K165:K228" si="12">IF(OR(E165="",G165="",E165=0,G165=0),"",E165/G165)</f>
        <v/>
      </c>
      <c r="L165" s="9" t="str">
        <f t="shared" ref="L165:L228" si="13">IF(OR(E165="",I165="",E165=0,I165=0),"",E165/(I165*2))</f>
        <v/>
      </c>
      <c r="M165" s="8">
        <f t="shared" ref="M165:M228" si="14">IF(OR(I165="",G165="",I165=0,G165=0),"",I165*2/G165)</f>
        <v>1.809390048154093</v>
      </c>
      <c r="N165" s="7">
        <v>36.4</v>
      </c>
      <c r="T165" s="6">
        <v>46.7</v>
      </c>
      <c r="X165" s="6">
        <v>5.8</v>
      </c>
      <c r="AB165" s="5">
        <v>80</v>
      </c>
      <c r="AC165" s="4">
        <v>46.7</v>
      </c>
      <c r="AD165" s="1">
        <f>5*5.01</f>
        <v>25.049999999999997</v>
      </c>
      <c r="AE165" s="1">
        <v>49.2</v>
      </c>
      <c r="AF165" s="1">
        <v>0</v>
      </c>
      <c r="AG165" s="1">
        <v>0</v>
      </c>
      <c r="AH165" s="119">
        <v>0.47835648148148147</v>
      </c>
      <c r="AJ165" s="1">
        <v>175</v>
      </c>
      <c r="AK165" s="3">
        <v>180</v>
      </c>
      <c r="AL165" s="4">
        <f>AE165</f>
        <v>49.2</v>
      </c>
      <c r="AM165" s="1">
        <v>41.4</v>
      </c>
      <c r="AN165" s="80">
        <f>360-AK165-AB165</f>
        <v>100</v>
      </c>
      <c r="AO165" s="126">
        <f>[2]HRT_SRT!P219</f>
        <v>2719.9999999999818</v>
      </c>
      <c r="AP165" s="13">
        <f>AVERAGE(AO163:AO169)</f>
        <v>2460.0000000000136</v>
      </c>
      <c r="AQ165" s="15">
        <f>IF(ISNUMBER([2]HRT_SRT!R219),[2]HRT_SRT!R219,"")</f>
        <v>16.787820600740432</v>
      </c>
      <c r="AR165" s="17" t="e">
        <f>(E165-W165)/E165</f>
        <v>#VALUE!</v>
      </c>
      <c r="AS165" s="16">
        <f>(I165-AF165)/I165</f>
        <v>1</v>
      </c>
      <c r="AT165" s="16">
        <f>AG165/(AD165-AF165)</f>
        <v>0</v>
      </c>
      <c r="AU165" s="16">
        <f>(G165-AM165)/G165</f>
        <v>-0.49518459069020876</v>
      </c>
      <c r="AV165" s="57" t="str">
        <f>IF(AND(ISNUMBER(E165),ISNUMBER(W165)),E165-W165,"")</f>
        <v/>
      </c>
      <c r="AW165" s="57">
        <f>IF(AND(ISNUMBER(I165),ISNUMBER(AF165)),I165-AF165,"")</f>
        <v>25.049999999999997</v>
      </c>
      <c r="AX165" s="57">
        <f>IF(AND(ISNUMBER(AM165),ISNUMBER(G165)),G165-AM165,"")</f>
        <v>-13.711111111111112</v>
      </c>
      <c r="AY165" s="57">
        <f>IF(AND(ISNUMBER(AC165),ISNUMBER(AE165)),AC165-AE165,"")</f>
        <v>-2.5</v>
      </c>
      <c r="AZ165" s="57">
        <f>IF(AND(ISNUMBER(AL165),ISNUMBER(AM165)),AL165-AM165,"")</f>
        <v>7.8000000000000043</v>
      </c>
      <c r="BA165" s="84" t="str">
        <f>IF(AND($E165&gt;0,$W165&gt;0),IF(($E165-$W165)/$E165&gt;0,($E165-$W165)/$E165,0),"")</f>
        <v/>
      </c>
      <c r="BB165" s="84">
        <f>IF(AND($I165&gt;0,$AF165&gt;=0),IF(($I165-$AF165)/$I165&gt;0,($I165-$AF165)/$I165,0),"")</f>
        <v>1</v>
      </c>
      <c r="BC165" s="84">
        <f>IF(AND($AG165&gt;=0,$AD165&gt;=0,$AF165&gt;=0),IF($AG165/($AD165-$AF165)&gt;0,$AG165/($AD165-$AF165),0),"")</f>
        <v>0</v>
      </c>
      <c r="BD165" s="84">
        <f>IF(AND($G165&gt;0,$AM165&gt;0),IF(($G165-$AM165)/$G165&gt;0,($G165-$AM165)/$G165,0),"")</f>
        <v>0</v>
      </c>
      <c r="BE165" s="6">
        <f>IF((AD165-AF165)/(AJ165/60)&lt;=0,"",(AD165-AF165)/(AJ165/60))</f>
        <v>8.5885714285714272</v>
      </c>
      <c r="BF165" s="6">
        <f>IF(OR(AJ165=0,AP165=0,NOT(ISNUMBER(AD165)),NOT(ISNUMBER(AF165)),NOT(ISNUMBER(AJ165)),NOT(ISNUMBER(AP165))),"",
IFERROR(IF((AD165-AF165)/(AJ165/60)/(AP165/1000)&lt;=0,"",(AD165-AF165)/(AJ165/60)/(AP165/1000)),""))</f>
        <v>3.4912891986062515</v>
      </c>
    </row>
    <row r="166" spans="1:58" ht="15.75">
      <c r="B166" s="94">
        <v>45426</v>
      </c>
      <c r="C166" s="128"/>
      <c r="D166" s="3">
        <v>161</v>
      </c>
      <c r="E166" s="205">
        <f t="shared" si="11"/>
        <v>256.53330599999998</v>
      </c>
      <c r="G166" s="15">
        <f>(N166*18-H166*18)/9</f>
        <v>25.9</v>
      </c>
      <c r="H166" s="6">
        <v>8.9499999999999993</v>
      </c>
      <c r="I166" s="15">
        <f>AD166</f>
        <v>26.9</v>
      </c>
      <c r="K166" s="10">
        <f t="shared" si="12"/>
        <v>9.9047608494208497</v>
      </c>
      <c r="L166" s="9">
        <f t="shared" si="13"/>
        <v>4.7682770631970257</v>
      </c>
      <c r="M166" s="8">
        <f t="shared" si="14"/>
        <v>2.0772200772200771</v>
      </c>
      <c r="N166" s="7">
        <v>21.9</v>
      </c>
      <c r="O166" s="6">
        <v>92.748999999999995</v>
      </c>
      <c r="P166" s="6">
        <v>19.355</v>
      </c>
      <c r="Q166" s="6">
        <f>O166*1.067</f>
        <v>98.963182999999987</v>
      </c>
      <c r="R166" s="6">
        <f>P166*1.514</f>
        <v>29.303470000000001</v>
      </c>
      <c r="S166" s="23">
        <f>P166*1.514+O166*1.067</f>
        <v>128.26665299999999</v>
      </c>
      <c r="T166" s="6">
        <v>32.799999999999997</v>
      </c>
      <c r="W166" s="6">
        <f>0.592+0.586</f>
        <v>1.1779999999999999</v>
      </c>
      <c r="X166" s="6">
        <v>6.47</v>
      </c>
      <c r="AB166" s="5">
        <v>80</v>
      </c>
      <c r="AC166" s="7">
        <f>T166</f>
        <v>32.799999999999997</v>
      </c>
      <c r="AD166" s="1">
        <f>5*5.38</f>
        <v>26.9</v>
      </c>
      <c r="AE166" s="1">
        <v>20.2</v>
      </c>
      <c r="AF166" s="1">
        <f>2*2.92</f>
        <v>5.84</v>
      </c>
      <c r="AG166">
        <v>0.78</v>
      </c>
      <c r="AH166" s="119">
        <v>0.44872685185185185</v>
      </c>
      <c r="AJ166" s="1">
        <v>175</v>
      </c>
      <c r="AK166" s="3">
        <v>180</v>
      </c>
      <c r="AL166" s="4">
        <f>AE166</f>
        <v>20.2</v>
      </c>
      <c r="AM166" s="1">
        <v>16</v>
      </c>
      <c r="AN166" s="80">
        <f>360-AK166-AB166</f>
        <v>100</v>
      </c>
      <c r="AO166" s="126"/>
      <c r="AP166" s="13">
        <f>AVERAGE(AO164:AO170)</f>
        <v>2460.0000000000136</v>
      </c>
      <c r="AQ166" s="15" t="str">
        <f>IF(ISNUMBER([2]HRT_SRT!R220),[2]HRT_SRT!R220,"")</f>
        <v/>
      </c>
      <c r="AR166" s="156">
        <f>(E166-W166)/E166</f>
        <v>0.99540800366873217</v>
      </c>
      <c r="AS166" s="155">
        <f>(I166-AF166)/I166</f>
        <v>0.78289962825278814</v>
      </c>
      <c r="AT166" s="155">
        <f>AG166/(AD166-AF166)</f>
        <v>3.7037037037037042E-2</v>
      </c>
      <c r="AU166" s="16">
        <f>(G166-AM166)/G166</f>
        <v>0.3822393822393822</v>
      </c>
      <c r="AV166" s="57">
        <f>IF(AND(ISNUMBER(E166),ISNUMBER(W166)),E166-W166,"")</f>
        <v>255.35530599999998</v>
      </c>
      <c r="AW166" s="57">
        <f>IF(AND(ISNUMBER(I166),ISNUMBER(AF166)),I166-AF166,"")</f>
        <v>21.06</v>
      </c>
      <c r="AX166" s="57">
        <f>IF(AND(ISNUMBER(AM166),ISNUMBER(G166)),G166-AM166,"")</f>
        <v>9.8999999999999986</v>
      </c>
      <c r="AY166" s="57">
        <f>IF(AND(ISNUMBER(AC166),ISNUMBER(AE166)),AC166-AE166,"")</f>
        <v>12.599999999999998</v>
      </c>
      <c r="AZ166" s="57">
        <f>IF(AND(ISNUMBER(AL166),ISNUMBER(AM166)),AL166-AM166,"")</f>
        <v>4.1999999999999993</v>
      </c>
      <c r="BA166" s="123">
        <f>IF(AND($E166&gt;0,$W166&gt;0),IF(($E166-$W166)/$E166&gt;0,($E166-$W166)/$E166,0),"")</f>
        <v>0.99540800366873217</v>
      </c>
      <c r="BB166" s="123">
        <f>IF(AND($I166&gt;0,$AF166&gt;=0),IF(($I166-$AF166)/$I166&gt;0,($I166-$AF166)/$I166,0),"")</f>
        <v>0.78289962825278814</v>
      </c>
      <c r="BC166" s="123">
        <f>IF(AND($AG166&gt;=0,$AD166&gt;=0,$AF166&gt;=0),IF($AG166/($AD166-$AF166)&gt;0,$AG166/($AD166-$AF166),0),"")</f>
        <v>3.7037037037037042E-2</v>
      </c>
      <c r="BD166" s="123">
        <f>IF(AND($G166&gt;0,$AM166&gt;0),IF(($G166-$AM166)/$G166&gt;0,($G166-$AM166)/$G166,0),"")</f>
        <v>0.3822393822393822</v>
      </c>
      <c r="BE166" s="6">
        <f>IF((AD166-AF166)/(AJ166/60)&lt;=0,"",(AD166-AF166)/(AJ166/60))</f>
        <v>7.2205714285714286</v>
      </c>
      <c r="BF166" s="6">
        <f>IF(OR(AJ166=0,AP166=0,NOT(ISNUMBER(AD166)),NOT(ISNUMBER(AF166)),NOT(ISNUMBER(AJ166)),NOT(ISNUMBER(AP166))),"",
IFERROR(IF((AD166-AF166)/(AJ166/60)/(AP166/1000)&lt;=0,"",(AD166-AF166)/(AJ166/60)/(AP166/1000)),""))</f>
        <v>2.9351916376306457</v>
      </c>
    </row>
    <row r="167" spans="1:58" ht="13.35" customHeight="1">
      <c r="A167" s="112"/>
      <c r="B167" s="94">
        <v>45427</v>
      </c>
      <c r="C167" s="128"/>
      <c r="D167" s="136">
        <v>162</v>
      </c>
      <c r="E167" s="205">
        <f t="shared" si="11"/>
        <v>220.592038</v>
      </c>
      <c r="G167" s="15">
        <f>(N167*19-H167*19)/9</f>
        <v>25.586666666666666</v>
      </c>
      <c r="H167" s="6">
        <v>9.58</v>
      </c>
      <c r="I167" s="15">
        <f>AD167</f>
        <v>24.8</v>
      </c>
      <c r="K167" s="10">
        <f t="shared" si="12"/>
        <v>8.6213667795726945</v>
      </c>
      <c r="L167" s="9">
        <f t="shared" si="13"/>
        <v>4.4474201209677418</v>
      </c>
      <c r="M167" s="8">
        <f t="shared" si="14"/>
        <v>1.938509640437728</v>
      </c>
      <c r="N167" s="7">
        <v>21.7</v>
      </c>
      <c r="O167" s="6">
        <v>80.838999999999999</v>
      </c>
      <c r="P167" s="6">
        <v>15.879</v>
      </c>
      <c r="Q167" s="6">
        <f>O167*1.067</f>
        <v>86.255212999999998</v>
      </c>
      <c r="R167" s="6">
        <f>P167*1.514</f>
        <v>24.040806</v>
      </c>
      <c r="S167" s="23">
        <f>P167*1.514+O167*1.067</f>
        <v>110.296019</v>
      </c>
      <c r="T167" s="6">
        <v>32.299999999999997</v>
      </c>
      <c r="W167" s="6">
        <v>0</v>
      </c>
      <c r="AB167" s="5">
        <v>80</v>
      </c>
      <c r="AC167" s="7">
        <f>T167</f>
        <v>32.299999999999997</v>
      </c>
      <c r="AD167" s="1">
        <f>5*4.96</f>
        <v>24.8</v>
      </c>
      <c r="AE167" s="1">
        <v>21.7</v>
      </c>
      <c r="AF167" s="1">
        <f>2*4.96</f>
        <v>9.92</v>
      </c>
      <c r="AG167" s="67">
        <v>2.74</v>
      </c>
      <c r="AH167" s="119">
        <v>0.4775462962962963</v>
      </c>
      <c r="AJ167" s="1">
        <v>175</v>
      </c>
      <c r="AK167" s="3">
        <v>180</v>
      </c>
      <c r="AL167" s="4">
        <f>AE167</f>
        <v>21.7</v>
      </c>
      <c r="AM167" s="1">
        <v>19</v>
      </c>
      <c r="AN167" s="80">
        <f>360-AK167-AB167</f>
        <v>100</v>
      </c>
      <c r="AO167" s="126">
        <f>[2]HRT_SRT!P221</f>
        <v>2200.0000000000455</v>
      </c>
      <c r="AP167" s="13">
        <f>AVERAGE(AO165:AO171)</f>
        <v>2460.0000000000136</v>
      </c>
      <c r="AQ167" s="15">
        <f>IF(ISNUMBER([2]HRT_SRT!R221),[2]HRT_SRT!R221,"")</f>
        <v>16.541353383458706</v>
      </c>
      <c r="AR167" s="156">
        <f>(E167-W167)/E167</f>
        <v>1</v>
      </c>
      <c r="AS167" s="155">
        <f>(I167-AF167)/I167</f>
        <v>0.6</v>
      </c>
      <c r="AT167" s="155">
        <f>AG167/(AD167-AF167)</f>
        <v>0.18413978494623656</v>
      </c>
      <c r="AU167" s="16">
        <f>(G167-AM167)/G167</f>
        <v>0.25742574257425743</v>
      </c>
      <c r="AV167" s="57">
        <f>IF(AND(ISNUMBER(E167),ISNUMBER(W167)),E167-W167,"")</f>
        <v>220.592038</v>
      </c>
      <c r="AW167" s="57">
        <f>IF(AND(ISNUMBER(I167),ISNUMBER(AF167)),I167-AF167,"")</f>
        <v>14.88</v>
      </c>
      <c r="AX167" s="57">
        <f>IF(AND(ISNUMBER(AM167),ISNUMBER(G167)),G167-AM167,"")</f>
        <v>6.586666666666666</v>
      </c>
      <c r="AY167" s="57">
        <f>IF(AND(ISNUMBER(AC167),ISNUMBER(AE167)),AC167-AE167,"")</f>
        <v>10.599999999999998</v>
      </c>
      <c r="AZ167" s="57">
        <f>IF(AND(ISNUMBER(AL167),ISNUMBER(AM167)),AL167-AM167,"")</f>
        <v>2.6999999999999993</v>
      </c>
      <c r="BA167" s="123" t="str">
        <f>IF(AND($E167&gt;0,$W167&gt;0),IF(($E167-$W167)/$E167&gt;0,($E167-$W167)/$E167,0),"")</f>
        <v/>
      </c>
      <c r="BB167" s="123">
        <f>IF(AND($I167&gt;0,$AF167&gt;=0),IF(($I167-$AF167)/$I167&gt;0,($I167-$AF167)/$I167,0),"")</f>
        <v>0.6</v>
      </c>
      <c r="BC167" s="123">
        <f>IF(AND($AG167&gt;=0,$AD167&gt;=0,$AF167&gt;=0),IF($AG167/($AD167-$AF167)&gt;0,$AG167/($AD167-$AF167),0),"")</f>
        <v>0.18413978494623656</v>
      </c>
      <c r="BD167" s="123">
        <f>IF(AND($G167&gt;0,$AM167&gt;0),IF(($G167-$AM167)/$G167&gt;0,($G167-$AM167)/$G167,0),"")</f>
        <v>0.25742574257425743</v>
      </c>
      <c r="BE167" s="6">
        <f>IF((AD167-AF167)/(AJ167/60)&lt;=0,"",(AD167-AF167)/(AJ167/60))</f>
        <v>5.1017142857142863</v>
      </c>
      <c r="BF167" s="6">
        <f>IF(OR(AJ167=0,AP167=0,NOT(ISNUMBER(AD167)),NOT(ISNUMBER(AF167)),NOT(ISNUMBER(AJ167)),NOT(ISNUMBER(AP167))),"",
IFERROR(IF((AD167-AF167)/(AJ167/60)/(AP167/1000)&lt;=0,"",(AD167-AF167)/(AJ167/60)/(AP167/1000)),""))</f>
        <v>2.073867595818804</v>
      </c>
    </row>
    <row r="168" spans="1:58" ht="15.75">
      <c r="B168" s="94">
        <v>45428</v>
      </c>
      <c r="C168" s="128"/>
      <c r="D168" s="3">
        <v>163</v>
      </c>
      <c r="E168" s="205">
        <f t="shared" si="11"/>
        <v>156.69629599999999</v>
      </c>
      <c r="G168" s="15">
        <f>(N168*19-H168*19)/9</f>
        <v>41.800000000000004</v>
      </c>
      <c r="H168" s="9">
        <f>26.2/2</f>
        <v>13.1</v>
      </c>
      <c r="I168" s="15">
        <f>AD168</f>
        <v>24.8</v>
      </c>
      <c r="K168" s="10">
        <f t="shared" si="12"/>
        <v>3.7487152153110039</v>
      </c>
      <c r="L168" s="9">
        <f t="shared" si="13"/>
        <v>3.159199516129032</v>
      </c>
      <c r="M168" s="8">
        <f t="shared" si="14"/>
        <v>1.1866028708133971</v>
      </c>
      <c r="N168" s="7">
        <v>32.9</v>
      </c>
      <c r="O168" s="6">
        <v>51.12</v>
      </c>
      <c r="P168" s="6">
        <v>15.722</v>
      </c>
      <c r="Q168" s="6">
        <f>O168*1.067</f>
        <v>54.545039999999993</v>
      </c>
      <c r="R168" s="6">
        <f>P168*1.514</f>
        <v>23.803107999999998</v>
      </c>
      <c r="S168" s="23">
        <f>P168*1.514+O168*1.067</f>
        <v>78.348147999999995</v>
      </c>
      <c r="W168" s="6">
        <v>0</v>
      </c>
      <c r="X168" s="6">
        <v>7.74</v>
      </c>
      <c r="AB168" s="5">
        <v>80</v>
      </c>
      <c r="AC168" s="7">
        <f>T168</f>
        <v>0</v>
      </c>
      <c r="AD168" s="162">
        <f>5*4.96</f>
        <v>24.8</v>
      </c>
      <c r="AE168" s="1">
        <v>28.9</v>
      </c>
      <c r="AF168" s="1">
        <f>5*3.02</f>
        <v>15.1</v>
      </c>
      <c r="AG168" s="98">
        <v>1.61</v>
      </c>
      <c r="AH168" s="119">
        <v>0.47719907407407408</v>
      </c>
      <c r="AJ168" s="1">
        <v>175</v>
      </c>
      <c r="AK168" s="3">
        <v>180</v>
      </c>
      <c r="AL168" s="4">
        <f>AE168</f>
        <v>28.9</v>
      </c>
      <c r="AM168" s="1">
        <v>26.2</v>
      </c>
      <c r="AN168" s="80">
        <f>360-AK168-AB168</f>
        <v>100</v>
      </c>
      <c r="AO168" s="126"/>
      <c r="AP168" s="13">
        <f>AVERAGE(AO166:AO172)</f>
        <v>2200.0000000000455</v>
      </c>
      <c r="AQ168" s="15" t="str">
        <f>IF(ISNUMBER([2]HRT_SRT!R222),[2]HRT_SRT!R222,"")</f>
        <v/>
      </c>
      <c r="AR168" s="156">
        <f>(E168-W168)/E168</f>
        <v>1</v>
      </c>
      <c r="AS168" s="155">
        <f>(I168-AF168)/I168</f>
        <v>0.39112903225806456</v>
      </c>
      <c r="AT168" s="155">
        <f>AG168/(AD168-AF168)</f>
        <v>0.16597938144329896</v>
      </c>
      <c r="AU168" s="16">
        <f>(G168-AM168)/G168</f>
        <v>0.37320574162679432</v>
      </c>
      <c r="AV168" s="57">
        <f>IF(AND(ISNUMBER(E168),ISNUMBER(W168)),E168-W168,"")</f>
        <v>156.69629599999999</v>
      </c>
      <c r="AW168" s="57">
        <f>IF(AND(ISNUMBER(I168),ISNUMBER(AF168)),I168-AF168,"")</f>
        <v>9.7000000000000011</v>
      </c>
      <c r="AX168" s="57">
        <f>IF(AND(ISNUMBER(AM168),ISNUMBER(G168)),G168-AM168,"")</f>
        <v>15.600000000000005</v>
      </c>
      <c r="AY168" s="57">
        <f>IF(AND(ISNUMBER(AC168),ISNUMBER(AE168)),AC168-AE168,"")</f>
        <v>-28.9</v>
      </c>
      <c r="AZ168" s="57">
        <f>IF(AND(ISNUMBER(AL168),ISNUMBER(AM168)),AL168-AM168,"")</f>
        <v>2.6999999999999993</v>
      </c>
      <c r="BA168" s="123" t="str">
        <f>IF(AND($E168&gt;0,$W168&gt;0),IF(($E168-$W168)/$E168&gt;0,($E168-$W168)/$E168,0),"")</f>
        <v/>
      </c>
      <c r="BB168" s="123">
        <f>IF(AND($I168&gt;0,$AF168&gt;=0),IF(($I168-$AF168)/$I168&gt;0,($I168-$AF168)/$I168,0),"")</f>
        <v>0.39112903225806456</v>
      </c>
      <c r="BC168" s="123">
        <f>IF(AND($AG168&gt;=0,$AD168&gt;=0,$AF168&gt;=0),IF($AG168/($AD168-$AF168)&gt;0,$AG168/($AD168-$AF168),0),"")</f>
        <v>0.16597938144329896</v>
      </c>
      <c r="BD168" s="123">
        <f>IF(AND($G168&gt;0,$AM168&gt;0),IF(($G168-$AM168)/$G168&gt;0,($G168-$AM168)/$G168,0),"")</f>
        <v>0.37320574162679432</v>
      </c>
      <c r="BE168" s="6">
        <f>IF((AD168-AF168)/(AJ168/60)&lt;=0,"",(AD168-AF168)/(AJ168/60))</f>
        <v>3.3257142857142861</v>
      </c>
      <c r="BF168" s="6">
        <f>IF(OR(AJ168=0,AP168=0,NOT(ISNUMBER(AD168)),NOT(ISNUMBER(AF168)),NOT(ISNUMBER(AJ168)),NOT(ISNUMBER(AP168))),"",
IFERROR(IF((AD168-AF168)/(AJ168/60)/(AP168/1000)&lt;=0,"",(AD168-AF168)/(AJ168/60)/(AP168/1000)),""))</f>
        <v>1.5116883116882807</v>
      </c>
    </row>
    <row r="169" spans="1:58" ht="15.75">
      <c r="B169" s="94">
        <v>45429</v>
      </c>
      <c r="C169" s="128"/>
      <c r="D169" s="3">
        <v>164</v>
      </c>
      <c r="E169" s="205">
        <f t="shared" si="11"/>
        <v>219.26710199999999</v>
      </c>
      <c r="G169" s="15">
        <f>(N169*19-H169*19)/9</f>
        <v>26.177777777777788</v>
      </c>
      <c r="H169" s="9">
        <v>19.399999999999999</v>
      </c>
      <c r="I169" s="15">
        <f>AD169</f>
        <v>27.3</v>
      </c>
      <c r="K169" s="10">
        <f t="shared" si="12"/>
        <v>8.3760777504244448</v>
      </c>
      <c r="L169" s="9">
        <f t="shared" si="13"/>
        <v>4.0158809890109888</v>
      </c>
      <c r="M169" s="8">
        <f t="shared" si="14"/>
        <v>2.0857385398981316</v>
      </c>
      <c r="N169" s="7">
        <v>31.8</v>
      </c>
      <c r="O169" s="6">
        <v>73.192999999999998</v>
      </c>
      <c r="P169" s="6">
        <v>20.83</v>
      </c>
      <c r="Q169" s="6">
        <f>O169*1.067</f>
        <v>78.096930999999998</v>
      </c>
      <c r="R169" s="6">
        <f>P169*1.514</f>
        <v>31.536619999999999</v>
      </c>
      <c r="S169" s="23">
        <f>P169*1.514+O169*1.067</f>
        <v>109.633551</v>
      </c>
      <c r="T169" s="6">
        <v>38.5</v>
      </c>
      <c r="W169">
        <f>5.719+5.629</f>
        <v>11.347999999999999</v>
      </c>
      <c r="AB169" s="5">
        <v>80</v>
      </c>
      <c r="AC169" s="7">
        <f>T169</f>
        <v>38.5</v>
      </c>
      <c r="AD169" s="1">
        <f>5*5.46</f>
        <v>27.3</v>
      </c>
      <c r="AE169" s="1">
        <v>31.1</v>
      </c>
      <c r="AF169" s="1">
        <f>5*3.3</f>
        <v>16.5</v>
      </c>
      <c r="AG169" s="98">
        <v>1.28</v>
      </c>
      <c r="AH169" s="119">
        <v>0.4775462962962963</v>
      </c>
      <c r="AJ169" s="1">
        <v>175</v>
      </c>
      <c r="AK169" s="3">
        <v>180</v>
      </c>
      <c r="AL169" s="4">
        <f>AE169</f>
        <v>31.1</v>
      </c>
      <c r="AM169" s="1">
        <v>30</v>
      </c>
      <c r="AN169" s="80">
        <f>360-AK169-AB169</f>
        <v>100</v>
      </c>
      <c r="AO169" s="126"/>
      <c r="AP169" s="13">
        <f>AVERAGE(AO167:AO173)</f>
        <v>2200.0000000000455</v>
      </c>
      <c r="AQ169" s="15" t="str">
        <f>IF(ISNUMBER([2]HRT_SRT!R223),[2]HRT_SRT!R223,"")</f>
        <v/>
      </c>
      <c r="AR169" s="156">
        <f>(E169-W169)/E169</f>
        <v>0.94824577012925548</v>
      </c>
      <c r="AS169" s="155">
        <f>(I169-AF169)/I169</f>
        <v>0.39560439560439564</v>
      </c>
      <c r="AT169" s="155">
        <f>AG169/(AD169-AF169)</f>
        <v>0.11851851851851851</v>
      </c>
      <c r="AU169" s="16">
        <f>(G169-AM169)/G169</f>
        <v>-0.14601018675721519</v>
      </c>
      <c r="AV169" s="57">
        <f>IF(AND(ISNUMBER(E169),ISNUMBER(W169)),E169-W169,"")</f>
        <v>207.91910200000001</v>
      </c>
      <c r="AW169" s="57">
        <f>IF(AND(ISNUMBER(I169),ISNUMBER(AF169)),I169-AF169,"")</f>
        <v>10.8</v>
      </c>
      <c r="AX169" s="57">
        <f>IF(AND(ISNUMBER(AM169),ISNUMBER(G169)),G169-AM169,"")</f>
        <v>-3.8222222222222122</v>
      </c>
      <c r="AY169" s="57">
        <f>IF(AND(ISNUMBER(AC169),ISNUMBER(AE169)),AC169-AE169,"")</f>
        <v>7.3999999999999986</v>
      </c>
      <c r="AZ169" s="57">
        <f>IF(AND(ISNUMBER(AL169),ISNUMBER(AM169)),AL169-AM169,"")</f>
        <v>1.1000000000000014</v>
      </c>
      <c r="BA169" s="123">
        <f>IF(AND($E169&gt;0,$W169&gt;0),IF(($E169-$W169)/$E169&gt;0,($E169-$W169)/$E169,0),"")</f>
        <v>0.94824577012925548</v>
      </c>
      <c r="BB169" s="123">
        <f>IF(AND($I169&gt;0,$AF169&gt;=0),IF(($I169-$AF169)/$I169&gt;0,($I169-$AF169)/$I169,0),"")</f>
        <v>0.39560439560439564</v>
      </c>
      <c r="BC169" s="123">
        <f>IF(AND($AG169&gt;=0,$AD169&gt;=0,$AF169&gt;=0),IF($AG169/($AD169-$AF169)&gt;0,$AG169/($AD169-$AF169),0),"")</f>
        <v>0.11851851851851851</v>
      </c>
      <c r="BD169" s="123">
        <f>IF(AND($G169&gt;0,$AM169&gt;0),IF(($G169-$AM169)/$G169&gt;0,($G169-$AM169)/$G169,0),"")</f>
        <v>0</v>
      </c>
      <c r="BE169" s="6">
        <f>IF((AD169-AF169)/(AJ169/60)&lt;=0,"",(AD169-AF169)/(AJ169/60))</f>
        <v>3.7028571428571433</v>
      </c>
      <c r="BF169" s="6">
        <f>IF(OR(AJ169=0,AP169=0,NOT(ISNUMBER(AD169)),NOT(ISNUMBER(AF169)),NOT(ISNUMBER(AJ169)),NOT(ISNUMBER(AP169))),"",
IFERROR(IF((AD169-AF169)/(AJ169/60)/(AP169/1000)&lt;=0,"",(AD169-AF169)/(AJ169/60)/(AP169/1000)),""))</f>
        <v>1.6831168831168486</v>
      </c>
    </row>
    <row r="170" spans="1:58" ht="15.75">
      <c r="B170" s="94">
        <v>45430</v>
      </c>
      <c r="C170" s="128"/>
      <c r="D170" s="3">
        <v>165</v>
      </c>
      <c r="E170" s="205" t="str">
        <f t="shared" si="11"/>
        <v/>
      </c>
      <c r="G170" s="15">
        <f>(N170*19-H170*19)/9</f>
        <v>34.938888888888897</v>
      </c>
      <c r="H170" s="9">
        <f>AM170/2</f>
        <v>14.35</v>
      </c>
      <c r="I170" s="15">
        <f>AD170</f>
        <v>26.483333333333334</v>
      </c>
      <c r="K170" s="10" t="str">
        <f t="shared" si="12"/>
        <v/>
      </c>
      <c r="L170" s="9" t="str">
        <f t="shared" si="13"/>
        <v/>
      </c>
      <c r="M170" s="8">
        <f t="shared" si="14"/>
        <v>1.5159802830338684</v>
      </c>
      <c r="N170" s="7">
        <v>30.9</v>
      </c>
      <c r="X170" s="6">
        <v>5.93</v>
      </c>
      <c r="AB170" s="5">
        <v>80</v>
      </c>
      <c r="AD170" s="162">
        <f>(AD169*2/3+AD172*1/3)</f>
        <v>26.483333333333334</v>
      </c>
      <c r="AG170" s="98">
        <v>1.23</v>
      </c>
      <c r="AH170" s="119">
        <v>0.4775462962962963</v>
      </c>
      <c r="AJ170" s="1">
        <v>175</v>
      </c>
      <c r="AK170" s="3">
        <v>180</v>
      </c>
      <c r="AM170" s="1">
        <v>28.7</v>
      </c>
      <c r="AN170" s="80">
        <f>360-AK170-AB170</f>
        <v>100</v>
      </c>
      <c r="AO170" s="126"/>
      <c r="AP170" s="13">
        <f>AVERAGE(AO168:AO174)</f>
        <v>1320.0000000000273</v>
      </c>
      <c r="AQ170" s="15" t="str">
        <f>IF(ISNUMBER([2]HRT_SRT!R224),[2]HRT_SRT!R224,"")</f>
        <v/>
      </c>
      <c r="AR170" s="156"/>
      <c r="AS170" s="155">
        <f>(I170-AF170)/I170</f>
        <v>1</v>
      </c>
      <c r="AT170" s="155">
        <f>AG170/(AD170-AF170)</f>
        <v>4.6444304594084329E-2</v>
      </c>
      <c r="AU170" s="16">
        <f>(G170-AM170)/G170</f>
        <v>0.17856574972173658</v>
      </c>
      <c r="AV170" s="57" t="str">
        <f>IF(AND(ISNUMBER(E170),ISNUMBER(W170)),E170-W170,"")</f>
        <v/>
      </c>
      <c r="AW170" s="57" t="str">
        <f>IF(AND(ISNUMBER(I170),ISNUMBER(AF170)),I170-AF170,"")</f>
        <v/>
      </c>
      <c r="AX170" s="57">
        <f>IF(AND(ISNUMBER(AM170),ISNUMBER(G170)),G170-AM170,"")</f>
        <v>6.2388888888888978</v>
      </c>
      <c r="AY170" s="57" t="str">
        <f>IF(AND(ISNUMBER(AC170),ISNUMBER(AE170)),AC170-AE170,"")</f>
        <v/>
      </c>
      <c r="AZ170" s="57" t="str">
        <f>IF(AND(ISNUMBER(AL170),ISNUMBER(AM170)),AL170-AM170,"")</f>
        <v/>
      </c>
      <c r="BA170" s="123" t="str">
        <f>IF(AND($E170&gt;0,$W170&gt;0),IF(($E170-$W170)/$E170&gt;0,($E170-$W170)/$E170,0),"")</f>
        <v/>
      </c>
      <c r="BB170" s="123">
        <f>IF(AND($I170&gt;0,$AF170&gt;=0),IF(($I170-$AF170)/$I170&gt;0,($I170-$AF170)/$I170,0),"")</f>
        <v>1</v>
      </c>
      <c r="BC170" s="123">
        <f>IF(AND($AG170&gt;=0,$AD170&gt;=0,$AF170&gt;=0),IF($AG170/($AD170-$AF170)&gt;0,$AG170/($AD170-$AF170),0),"")</f>
        <v>4.6444304594084329E-2</v>
      </c>
      <c r="BD170" s="123">
        <f>IF(AND($G170&gt;0,$AM170&gt;0),IF(($G170-$AM170)/$G170&gt;0,($G170-$AM170)/$G170,0),"")</f>
        <v>0.17856574972173658</v>
      </c>
      <c r="BE170" s="6">
        <f>IF((AD170-AF170)/(AJ170/60)&lt;=0,"",(AD170-AF170)/(AJ170/60))</f>
        <v>9.08</v>
      </c>
      <c r="BF170" s="6" t="str">
        <f>IF(OR(AJ170=0,AP170=0,NOT(ISNUMBER(AD170)),NOT(ISNUMBER(AF170)),NOT(ISNUMBER(AJ170)),NOT(ISNUMBER(AP170))),"",
IFERROR(IF((AD170-AF170)/(AJ170/60)/(AP170/1000)&lt;=0,"",(AD170-AF170)/(AJ170/60)/(AP170/1000)),""))</f>
        <v/>
      </c>
    </row>
    <row r="171" spans="1:58" ht="15.75">
      <c r="B171" s="94">
        <v>45431</v>
      </c>
      <c r="C171" s="128"/>
      <c r="D171" s="3">
        <v>166</v>
      </c>
      <c r="E171" s="205" t="str">
        <f t="shared" si="11"/>
        <v/>
      </c>
      <c r="G171" s="163">
        <v>26.177777777777788</v>
      </c>
      <c r="I171" s="15">
        <f>AD171</f>
        <v>25.666666666666664</v>
      </c>
      <c r="K171" s="10" t="str">
        <f t="shared" si="12"/>
        <v/>
      </c>
      <c r="L171" s="9" t="str">
        <f t="shared" si="13"/>
        <v/>
      </c>
      <c r="M171" s="8">
        <f t="shared" si="14"/>
        <v>1.9609507640067902</v>
      </c>
      <c r="X171" s="6">
        <v>8.02</v>
      </c>
      <c r="AB171" s="5">
        <v>80</v>
      </c>
      <c r="AD171" s="162">
        <f>(AD169*1/3+AD172*2/3)</f>
        <v>25.666666666666664</v>
      </c>
      <c r="AF171" s="1">
        <f>5*2.73</f>
        <v>13.65</v>
      </c>
      <c r="AG171" s="98">
        <v>1.19</v>
      </c>
      <c r="AH171" s="119">
        <v>0.4775462962962963</v>
      </c>
      <c r="AJ171" s="1">
        <v>175</v>
      </c>
      <c r="AK171" s="3">
        <v>180</v>
      </c>
      <c r="AM171" s="1">
        <v>20.7</v>
      </c>
      <c r="AN171" s="80">
        <f>360-AK171-AB171</f>
        <v>100</v>
      </c>
      <c r="AO171" s="126"/>
      <c r="AP171" s="13">
        <f>AVERAGE(AO169:AO175)</f>
        <v>1320.0000000000273</v>
      </c>
      <c r="AQ171" s="15" t="str">
        <f>IF(ISNUMBER([2]HRT_SRT!R225),[2]HRT_SRT!R225,"")</f>
        <v/>
      </c>
      <c r="AR171" s="156"/>
      <c r="AS171" s="155">
        <f>(I171-AF171)/I171</f>
        <v>0.46818181818181814</v>
      </c>
      <c r="AT171" s="155">
        <f>AG171/(AD171-AF171)</f>
        <v>9.902912621359225E-2</v>
      </c>
      <c r="AU171" s="16">
        <f>(G171-AM171)/G171</f>
        <v>0.20925297113752156</v>
      </c>
      <c r="AV171" s="57" t="str">
        <f>IF(AND(ISNUMBER(E171),ISNUMBER(W171)),E171-W171,"")</f>
        <v/>
      </c>
      <c r="AW171" s="57">
        <f>IF(AND(ISNUMBER(I171),ISNUMBER(AF171)),I171-AF171,"")</f>
        <v>12.016666666666664</v>
      </c>
      <c r="AX171" s="57">
        <f>IF(AND(ISNUMBER(AM171),ISNUMBER(G171)),G171-AM171,"")</f>
        <v>5.4777777777777885</v>
      </c>
      <c r="AY171" s="57" t="str">
        <f>IF(AND(ISNUMBER(AC171),ISNUMBER(AE171)),AC171-AE171,"")</f>
        <v/>
      </c>
      <c r="AZ171" s="57" t="str">
        <f>IF(AND(ISNUMBER(AL171),ISNUMBER(AM171)),AL171-AM171,"")</f>
        <v/>
      </c>
      <c r="BA171" s="123" t="str">
        <f>IF(AND($E171&gt;0,$W171&gt;0),IF(($E171-$W171)/$E171&gt;0,($E171-$W171)/$E171,0),"")</f>
        <v/>
      </c>
      <c r="BB171" s="123">
        <f>IF(AND($I171&gt;0,$AF171&gt;=0),IF(($I171-$AF171)/$I171&gt;0,($I171-$AF171)/$I171,0),"")</f>
        <v>0.46818181818181814</v>
      </c>
      <c r="BC171" s="123">
        <f>IF(AND($AG171&gt;=0,$AD171&gt;=0,$AF171&gt;=0),IF($AG171/($AD171-$AF171)&gt;0,$AG171/($AD171-$AF171),0),"")</f>
        <v>9.902912621359225E-2</v>
      </c>
      <c r="BD171" s="123">
        <f>IF(AND($G171&gt;0,$AM171&gt;0),IF(($G171-$AM171)/$G171&gt;0,($G171-$AM171)/$G171,0),"")</f>
        <v>0.20925297113752156</v>
      </c>
      <c r="BE171" s="6">
        <f>IF((AD171-AF171)/(AJ171/60)&lt;=0,"",(AD171-AF171)/(AJ171/60))</f>
        <v>4.1199999999999992</v>
      </c>
      <c r="BF171" s="6">
        <f>IF(OR(AJ171=0,AP171=0,NOT(ISNUMBER(AD171)),NOT(ISNUMBER(AF171)),NOT(ISNUMBER(AJ171)),NOT(ISNUMBER(AP171))),"",
IFERROR(IF((AD171-AF171)/(AJ171/60)/(AP171/1000)&lt;=0,"",(AD171-AF171)/(AJ171/60)/(AP171/1000)),""))</f>
        <v>3.1212121212120558</v>
      </c>
    </row>
    <row r="172" spans="1:58" ht="15.75">
      <c r="B172" s="94">
        <v>45432</v>
      </c>
      <c r="C172" s="128"/>
      <c r="D172" s="3">
        <v>167</v>
      </c>
      <c r="E172" s="205">
        <f t="shared" si="11"/>
        <v>199.29919599999999</v>
      </c>
      <c r="G172" s="15">
        <f>(N172*19-H172*19)/9</f>
        <v>29.133333333333326</v>
      </c>
      <c r="H172" s="9">
        <v>23</v>
      </c>
      <c r="I172" s="15">
        <f>AD172</f>
        <v>24.849999999999998</v>
      </c>
      <c r="K172" s="10">
        <f t="shared" si="12"/>
        <v>6.8409335011441668</v>
      </c>
      <c r="L172" s="9">
        <f t="shared" si="13"/>
        <v>4.0100441851106643</v>
      </c>
      <c r="M172" s="8">
        <f t="shared" si="14"/>
        <v>1.7059496567505723</v>
      </c>
      <c r="N172" s="7">
        <v>36.799999999999997</v>
      </c>
      <c r="O172" s="6">
        <v>70.433999999999997</v>
      </c>
      <c r="P172" s="6">
        <v>16.18</v>
      </c>
      <c r="Q172" s="6">
        <f>O172*1.067</f>
        <v>75.153077999999994</v>
      </c>
      <c r="R172" s="6">
        <f>P172*1.514</f>
        <v>24.49652</v>
      </c>
      <c r="S172" s="23">
        <f>P172*1.514+O172*1.067</f>
        <v>99.649597999999997</v>
      </c>
      <c r="T172" s="6">
        <v>39</v>
      </c>
      <c r="W172" s="6">
        <f>1.063+0.762</f>
        <v>1.825</v>
      </c>
      <c r="AB172" s="5">
        <v>80</v>
      </c>
      <c r="AC172" s="7">
        <f>T172</f>
        <v>39</v>
      </c>
      <c r="AD172" s="1">
        <f>5*4.97</f>
        <v>24.849999999999998</v>
      </c>
      <c r="AE172" s="1">
        <v>31.4</v>
      </c>
      <c r="AF172" s="1">
        <f>5*2.79</f>
        <v>13.95</v>
      </c>
      <c r="AG172" s="98">
        <v>1.41</v>
      </c>
      <c r="AH172" s="119">
        <v>0.47847222222222224</v>
      </c>
      <c r="AJ172" s="1">
        <v>175</v>
      </c>
      <c r="AK172" s="3">
        <v>180</v>
      </c>
      <c r="AL172" s="4">
        <f>AE172</f>
        <v>31.4</v>
      </c>
      <c r="AM172" s="1">
        <v>30.6</v>
      </c>
      <c r="AN172" s="80">
        <f>360-AK172-AB172</f>
        <v>100</v>
      </c>
      <c r="AO172" s="126"/>
      <c r="AP172" s="13">
        <f>AVERAGE(AO170:AO176)</f>
        <v>1560.0000000000136</v>
      </c>
      <c r="AQ172" s="15" t="str">
        <f>IF(ISNUMBER([2]HRT_SRT!R226),[2]HRT_SRT!R226,"")</f>
        <v/>
      </c>
      <c r="AR172" s="156">
        <f>(E172-W172)/E172</f>
        <v>0.99084291338536068</v>
      </c>
      <c r="AS172" s="155">
        <f>(I172-AF172)/I172</f>
        <v>0.43863179074446679</v>
      </c>
      <c r="AT172" s="155">
        <f>AG172/(AD172-AF172)</f>
        <v>0.12935779816513762</v>
      </c>
      <c r="AU172" s="16">
        <f>(G172-AM172)/G172</f>
        <v>-5.0343249427917944E-2</v>
      </c>
      <c r="AV172" s="57">
        <f>IF(AND(ISNUMBER(E172),ISNUMBER(W172)),E172-W172,"")</f>
        <v>197.47419600000001</v>
      </c>
      <c r="AW172" s="57">
        <f>IF(AND(ISNUMBER(I172),ISNUMBER(AF172)),I172-AF172,"")</f>
        <v>10.899999999999999</v>
      </c>
      <c r="AX172" s="57">
        <f>IF(AND(ISNUMBER(AM172),ISNUMBER(G172)),G172-AM172,"")</f>
        <v>-1.4666666666666757</v>
      </c>
      <c r="AY172" s="57">
        <f>IF(AND(ISNUMBER(AC172),ISNUMBER(AE172)),AC172-AE172,"")</f>
        <v>7.6000000000000014</v>
      </c>
      <c r="AZ172" s="57">
        <f>IF(AND(ISNUMBER(AL172),ISNUMBER(AM172)),AL172-AM172,"")</f>
        <v>0.79999999999999716</v>
      </c>
      <c r="BA172" s="157">
        <f>IF(AND($E172&gt;0,$W172&gt;0),IF(($E172-$W172)/$E172&gt;0,($E172-$W172)/$E172,0),"")</f>
        <v>0.99084291338536068</v>
      </c>
      <c r="BB172" s="157">
        <f>IF(AND($I172&gt;0,$AF172&gt;=0),IF(($I172-$AF172)/$I172&gt;0,($I172-$AF172)/$I172,0),"")</f>
        <v>0.43863179074446679</v>
      </c>
      <c r="BC172" s="157">
        <f>IF(AND($AG172&gt;=0,$AD172&gt;=0,$AF172&gt;=0),IF($AG172/($AD172-$AF172)&gt;0,$AG172/($AD172-$AF172),0),"")</f>
        <v>0.12935779816513762</v>
      </c>
      <c r="BD172" s="157">
        <f>IF(AND($G172&gt;0,$AM172&gt;0),IF(($G172-$AM172)/$G172&gt;0,($G172-$AM172)/$G172,0),"")</f>
        <v>0</v>
      </c>
      <c r="BE172" s="6">
        <f>IF((AD172-AF172)/(AJ172/60)&lt;=0,"",(AD172-AF172)/(AJ172/60))</f>
        <v>3.7371428571428567</v>
      </c>
      <c r="BF172" s="6">
        <f>IF(OR(AJ172=0,AP172=0,NOT(ISNUMBER(AD172)),NOT(ISNUMBER(AF172)),NOT(ISNUMBER(AJ172)),NOT(ISNUMBER(AP172))),"",
IFERROR(IF((AD172-AF172)/(AJ172/60)/(AP172/1000)&lt;=0,"",(AD172-AF172)/(AJ172/60)/(AP172/1000)),""))</f>
        <v>2.3956043956043742</v>
      </c>
    </row>
    <row r="173" spans="1:58" ht="15.75">
      <c r="B173" s="94">
        <v>45433</v>
      </c>
      <c r="C173" s="128"/>
      <c r="D173" s="3">
        <v>168</v>
      </c>
      <c r="E173" s="205">
        <f t="shared" si="11"/>
        <v>217.921976</v>
      </c>
      <c r="G173" s="15">
        <f>(N173*18-H173*18)/9</f>
        <v>27.400000000000009</v>
      </c>
      <c r="H173" s="9">
        <v>23.9</v>
      </c>
      <c r="I173" s="15">
        <f>AD173</f>
        <v>25.2</v>
      </c>
      <c r="K173" s="10">
        <f t="shared" si="12"/>
        <v>7.9533567883211651</v>
      </c>
      <c r="L173" s="9">
        <f t="shared" si="13"/>
        <v>4.3238487301587307</v>
      </c>
      <c r="M173" s="8">
        <f t="shared" si="14"/>
        <v>1.8394160583941599</v>
      </c>
      <c r="N173" s="7">
        <v>37.6</v>
      </c>
      <c r="S173" s="164">
        <f>(S172+S174)/2</f>
        <v>108.960988</v>
      </c>
      <c r="T173" s="6">
        <v>48.6</v>
      </c>
      <c r="W173" s="6">
        <f>0.737+0.973</f>
        <v>1.71</v>
      </c>
      <c r="X173" s="6">
        <v>8.58</v>
      </c>
      <c r="AB173" s="5">
        <v>80</v>
      </c>
      <c r="AC173" s="7">
        <f>T173</f>
        <v>48.6</v>
      </c>
      <c r="AD173" s="1">
        <f>5*5.04</f>
        <v>25.2</v>
      </c>
      <c r="AE173" s="1">
        <v>40.299999999999997</v>
      </c>
      <c r="AF173" s="1">
        <f>5*2.56</f>
        <v>12.8</v>
      </c>
      <c r="AG173" s="98">
        <v>2.68</v>
      </c>
      <c r="AH173" s="119">
        <v>0.47800925925925924</v>
      </c>
      <c r="AJ173" s="1">
        <v>175</v>
      </c>
      <c r="AK173" s="3">
        <v>180</v>
      </c>
      <c r="AL173" s="4">
        <f>AE173</f>
        <v>40.299999999999997</v>
      </c>
      <c r="AM173" s="1">
        <v>37.200000000000003</v>
      </c>
      <c r="AN173" s="80">
        <f>360-AK173-AB173</f>
        <v>100</v>
      </c>
      <c r="AO173" s="126"/>
      <c r="AP173" s="13">
        <f>AVERAGE(AO171:AO177)</f>
        <v>1560.0000000000136</v>
      </c>
      <c r="AQ173" s="15" t="str">
        <f>IF(ISNUMBER([2]HRT_SRT!R227),[2]HRT_SRT!R227,"")</f>
        <v/>
      </c>
      <c r="AR173" s="156">
        <f>(E173-W173)/E173</f>
        <v>0.99215315485208333</v>
      </c>
      <c r="AS173" s="155">
        <f>(I173-AF173)/I173</f>
        <v>0.49206349206349204</v>
      </c>
      <c r="AT173" s="155">
        <f>AG173/(AD173-AF173)</f>
        <v>0.21612903225806454</v>
      </c>
      <c r="AU173" s="16">
        <f>(G173-AM173)/G173</f>
        <v>-0.35766423357664195</v>
      </c>
      <c r="AV173" s="57">
        <f>IF(AND(ISNUMBER(E173),ISNUMBER(W173)),E173-W173,"")</f>
        <v>216.21197599999999</v>
      </c>
      <c r="AW173" s="57">
        <f>IF(AND(ISNUMBER(I173),ISNUMBER(AF173)),I173-AF173,"")</f>
        <v>12.399999999999999</v>
      </c>
      <c r="AX173" s="57">
        <f>IF(AND(ISNUMBER(AM173),ISNUMBER(G173)),G173-AM173,"")</f>
        <v>-9.7999999999999936</v>
      </c>
      <c r="AY173" s="57">
        <f>IF(AND(ISNUMBER(AC173),ISNUMBER(AE173)),AC173-AE173,"")</f>
        <v>8.3000000000000043</v>
      </c>
      <c r="AZ173" s="57">
        <f>IF(AND(ISNUMBER(AL173),ISNUMBER(AM173)),AL173-AM173,"")</f>
        <v>3.0999999999999943</v>
      </c>
      <c r="BA173" s="157">
        <f>IF(AND($E173&gt;0,$W173&gt;0),IF(($E173-$W173)/$E173&gt;0,($E173-$W173)/$E173,0),"")</f>
        <v>0.99215315485208333</v>
      </c>
      <c r="BB173" s="157">
        <f>IF(AND($I173&gt;0,$AF173&gt;=0),IF(($I173-$AF173)/$I173&gt;0,($I173-$AF173)/$I173,0),"")</f>
        <v>0.49206349206349204</v>
      </c>
      <c r="BC173" s="157">
        <f>IF(AND($AG173&gt;=0,$AD173&gt;=0,$AF173&gt;=0),IF($AG173/($AD173-$AF173)&gt;0,$AG173/($AD173-$AF173),0),"")</f>
        <v>0.21612903225806454</v>
      </c>
      <c r="BD173" s="157">
        <f>IF(AND($G173&gt;0,$AM173&gt;0),IF(($G173-$AM173)/$G173&gt;0,($G173-$AM173)/$G173,0),"")</f>
        <v>0</v>
      </c>
      <c r="BE173" s="6">
        <f>IF((AD173-AF173)/(AJ173/60)&lt;=0,"",(AD173-AF173)/(AJ173/60))</f>
        <v>4.2514285714285709</v>
      </c>
      <c r="BF173" s="6">
        <f>IF(OR(AJ173=0,AP173=0,NOT(ISNUMBER(AD173)),NOT(ISNUMBER(AF173)),NOT(ISNUMBER(AJ173)),NOT(ISNUMBER(AP173))),"",
IFERROR(IF((AD173-AF173)/(AJ173/60)/(AP173/1000)&lt;=0,"",(AD173-AF173)/(AJ173/60)/(AP173/1000)),""))</f>
        <v>2.7252747252747014</v>
      </c>
    </row>
    <row r="174" spans="1:58" ht="15.75">
      <c r="A174" s="12" t="s">
        <v>73</v>
      </c>
      <c r="B174" s="94">
        <v>45434</v>
      </c>
      <c r="C174" s="128"/>
      <c r="D174" s="136">
        <v>169</v>
      </c>
      <c r="E174" s="205">
        <f t="shared" si="11"/>
        <v>236.54475600000001</v>
      </c>
      <c r="G174" s="15">
        <f>(N174*18-H174*18)/9</f>
        <v>25.799999999999997</v>
      </c>
      <c r="H174" s="15">
        <v>16.8</v>
      </c>
      <c r="I174" s="15">
        <f>AD174</f>
        <v>24.8</v>
      </c>
      <c r="K174" s="10">
        <f t="shared" si="12"/>
        <v>9.1684013953488392</v>
      </c>
      <c r="L174" s="9">
        <f t="shared" si="13"/>
        <v>4.7690475000000001</v>
      </c>
      <c r="M174" s="8">
        <f t="shared" si="14"/>
        <v>1.9224806201550391</v>
      </c>
      <c r="N174" s="7">
        <v>29.7</v>
      </c>
      <c r="O174" s="6">
        <v>85.233999999999995</v>
      </c>
      <c r="P174" s="6">
        <v>18.05</v>
      </c>
      <c r="Q174" s="6">
        <f>O174*1.067</f>
        <v>90.944677999999996</v>
      </c>
      <c r="R174" s="6">
        <f>P174*1.514</f>
        <v>27.3277</v>
      </c>
      <c r="S174" s="23">
        <f>P174*1.514+O174*1.067</f>
        <v>118.272378</v>
      </c>
      <c r="T174" s="6">
        <v>42.9</v>
      </c>
      <c r="W174" s="6">
        <v>0</v>
      </c>
      <c r="X174" s="6">
        <v>6.03</v>
      </c>
      <c r="AB174" s="5">
        <v>80</v>
      </c>
      <c r="AC174" s="7">
        <f>T174</f>
        <v>42.9</v>
      </c>
      <c r="AD174" s="1">
        <f>5*4.96</f>
        <v>24.8</v>
      </c>
      <c r="AE174" s="1">
        <v>31.2</v>
      </c>
      <c r="AF174" s="1">
        <f>5*2.25</f>
        <v>11.25</v>
      </c>
      <c r="AG174" s="98">
        <v>3.33</v>
      </c>
      <c r="AH174" s="119">
        <v>0.47812500000000002</v>
      </c>
      <c r="AJ174" s="1">
        <v>175</v>
      </c>
      <c r="AK174" s="3">
        <v>180</v>
      </c>
      <c r="AL174" s="4">
        <f>AE174</f>
        <v>31.2</v>
      </c>
      <c r="AM174" s="1">
        <v>28.2</v>
      </c>
      <c r="AN174" s="80">
        <f>360-AK174-AB174</f>
        <v>100</v>
      </c>
      <c r="AO174" s="126">
        <f>[2]HRT_SRT!P228</f>
        <v>1320.0000000000273</v>
      </c>
      <c r="AP174" s="13">
        <f>AVERAGE(AO172:AO178)</f>
        <v>1560.0000000000136</v>
      </c>
      <c r="AQ174" s="15">
        <f>IF(ISNUMBER([2]HRT_SRT!R228),[2]HRT_SRT!R228,"")</f>
        <v>14.905149051490479</v>
      </c>
      <c r="AR174" s="156">
        <f>(E174-W174)/E174</f>
        <v>1</v>
      </c>
      <c r="AS174" s="155">
        <f>(I174-AF174)/I174</f>
        <v>0.5463709677419355</v>
      </c>
      <c r="AT174" s="155">
        <f>AG174/(AD174-AF174)</f>
        <v>0.24575645756457565</v>
      </c>
      <c r="AU174" s="16">
        <f>(G174-AM174)/G174</f>
        <v>-9.3023255813953584E-2</v>
      </c>
      <c r="AV174" s="57">
        <f>IF(AND(ISNUMBER(E174),ISNUMBER(W174)),E174-W174,"")</f>
        <v>236.54475600000001</v>
      </c>
      <c r="AW174" s="57">
        <f>IF(AND(ISNUMBER(I174),ISNUMBER(AF174)),I174-AF174,"")</f>
        <v>13.55</v>
      </c>
      <c r="AX174" s="57">
        <f>IF(AND(ISNUMBER(AM174),ISNUMBER(G174)),G174-AM174,"")</f>
        <v>-2.4000000000000021</v>
      </c>
      <c r="AY174" s="57">
        <f>IF(AND(ISNUMBER(AC174),ISNUMBER(AE174)),AC174-AE174,"")</f>
        <v>11.7</v>
      </c>
      <c r="AZ174" s="57">
        <f>IF(AND(ISNUMBER(AL174),ISNUMBER(AM174)),AL174-AM174,"")</f>
        <v>3</v>
      </c>
      <c r="BA174" s="157" t="str">
        <f>IF(AND($E174&gt;0,$W174&gt;0),IF(($E174-$W174)/$E174&gt;0,($E174-$W174)/$E174,0),"")</f>
        <v/>
      </c>
      <c r="BB174" s="157">
        <f>IF(AND($I174&gt;0,$AF174&gt;=0),IF(($I174-$AF174)/$I174&gt;0,($I174-$AF174)/$I174,0),"")</f>
        <v>0.5463709677419355</v>
      </c>
      <c r="BC174" s="157">
        <f>IF(AND($AG174&gt;=0,$AD174&gt;=0,$AF174&gt;=0),IF($AG174/($AD174-$AF174)&gt;0,$AG174/($AD174-$AF174),0),"")</f>
        <v>0.24575645756457565</v>
      </c>
      <c r="BD174" s="157">
        <f>IF(AND($G174&gt;0,$AM174&gt;0),IF(($G174-$AM174)/$G174&gt;0,($G174-$AM174)/$G174,0),"")</f>
        <v>0</v>
      </c>
      <c r="BE174" s="6">
        <f>IF((AD174-AF174)/(AJ174/60)&lt;=0,"",(AD174-AF174)/(AJ174/60))</f>
        <v>4.6457142857142859</v>
      </c>
      <c r="BF174" s="6">
        <f>IF(OR(AJ174=0,AP174=0,NOT(ISNUMBER(AD174)),NOT(ISNUMBER(AF174)),NOT(ISNUMBER(AJ174)),NOT(ISNUMBER(AP174))),"",
IFERROR(IF((AD174-AF174)/(AJ174/60)/(AP174/1000)&lt;=0,"",(AD174-AF174)/(AJ174/60)/(AP174/1000)),""))</f>
        <v>2.9780219780219523</v>
      </c>
    </row>
    <row r="175" spans="1:58" ht="15.75">
      <c r="B175" s="94">
        <v>45435</v>
      </c>
      <c r="C175" s="128"/>
      <c r="D175" s="3">
        <v>170</v>
      </c>
      <c r="E175" s="205" t="str">
        <f t="shared" si="11"/>
        <v/>
      </c>
      <c r="G175" s="163">
        <f>25.8*65/63</f>
        <v>26.61904761904762</v>
      </c>
      <c r="H175" s="15">
        <f>AM175/2</f>
        <v>18.2</v>
      </c>
      <c r="I175" s="15">
        <f>AD175</f>
        <v>25.6</v>
      </c>
      <c r="K175" s="10" t="str">
        <f t="shared" si="12"/>
        <v/>
      </c>
      <c r="L175" s="9" t="str">
        <f t="shared" si="13"/>
        <v/>
      </c>
      <c r="M175" s="8">
        <f t="shared" si="14"/>
        <v>1.9234347048300537</v>
      </c>
      <c r="N175" s="7">
        <v>38.1</v>
      </c>
      <c r="T175" s="6">
        <v>57.1</v>
      </c>
      <c r="X175" s="6">
        <v>7.19</v>
      </c>
      <c r="AB175" s="5">
        <v>80</v>
      </c>
      <c r="AC175" s="7">
        <f>T175</f>
        <v>57.1</v>
      </c>
      <c r="AD175" s="1">
        <f>5*5.12</f>
        <v>25.6</v>
      </c>
      <c r="AE175" s="1">
        <v>39.1</v>
      </c>
      <c r="AF175" s="1">
        <f>5*2.05</f>
        <v>10.25</v>
      </c>
      <c r="AG175" s="98">
        <v>3.96</v>
      </c>
      <c r="AH175" s="119">
        <v>0.47824074074074074</v>
      </c>
      <c r="AJ175" s="1">
        <v>175</v>
      </c>
      <c r="AK175" s="3">
        <v>180</v>
      </c>
      <c r="AL175" s="4">
        <f>AE175</f>
        <v>39.1</v>
      </c>
      <c r="AM175" s="1">
        <v>36.4</v>
      </c>
      <c r="AN175" s="80">
        <f>360-AK175-AB175</f>
        <v>100</v>
      </c>
      <c r="AO175" s="126"/>
      <c r="AP175" s="13">
        <f>AVERAGE(AO173:AO179)</f>
        <v>1560.0000000000136</v>
      </c>
      <c r="AQ175" s="15" t="str">
        <f>IF(ISNUMBER([2]HRT_SRT!R229),[2]HRT_SRT!R229,"")</f>
        <v/>
      </c>
      <c r="AR175" s="156"/>
      <c r="AS175" s="155">
        <f>(I175-AF175)/I175</f>
        <v>0.599609375</v>
      </c>
      <c r="AT175" s="155">
        <f>AG175/(AD175-AF175)</f>
        <v>0.25798045602605862</v>
      </c>
      <c r="AU175" s="16">
        <f>(G175-AM175)/G175</f>
        <v>-0.36744186046511618</v>
      </c>
      <c r="AV175" s="57" t="str">
        <f>IF(AND(ISNUMBER(E175),ISNUMBER(W175)),E175-W175,"")</f>
        <v/>
      </c>
      <c r="AW175" s="57">
        <f>IF(AND(ISNUMBER(I175),ISNUMBER(AF175)),I175-AF175,"")</f>
        <v>15.350000000000001</v>
      </c>
      <c r="AX175" s="57">
        <f>IF(AND(ISNUMBER(AM175),ISNUMBER(G175)),G175-AM175,"")</f>
        <v>-9.7809523809523782</v>
      </c>
      <c r="AY175" s="57">
        <f>IF(AND(ISNUMBER(AC175),ISNUMBER(AE175)),AC175-AE175,"")</f>
        <v>18</v>
      </c>
      <c r="AZ175" s="57">
        <f>IF(AND(ISNUMBER(AL175),ISNUMBER(AM175)),AL175-AM175,"")</f>
        <v>2.7000000000000028</v>
      </c>
      <c r="BA175" s="157" t="str">
        <f>IF(AND($E175&gt;0,$W175&gt;0),IF(($E175-$W175)/$E175&gt;0,($E175-$W175)/$E175,0),"")</f>
        <v/>
      </c>
      <c r="BB175" s="157">
        <f>IF(AND($I175&gt;0,$AF175&gt;=0),IF(($I175-$AF175)/$I175&gt;0,($I175-$AF175)/$I175,0),"")</f>
        <v>0.599609375</v>
      </c>
      <c r="BC175" s="157">
        <f>IF(AND($AG175&gt;=0,$AD175&gt;=0,$AF175&gt;=0),IF($AG175/($AD175-$AF175)&gt;0,$AG175/($AD175-$AF175),0),"")</f>
        <v>0.25798045602605862</v>
      </c>
      <c r="BD175" s="157">
        <f>IF(AND($G175&gt;0,$AM175&gt;0),IF(($G175-$AM175)/$G175&gt;0,($G175-$AM175)/$G175,0),"")</f>
        <v>0</v>
      </c>
      <c r="BE175" s="6">
        <f>IF((AD175-AF175)/(AJ175/60)&lt;=0,"",(AD175-AF175)/(AJ175/60))</f>
        <v>5.2628571428571433</v>
      </c>
      <c r="BF175" s="6">
        <f>IF(OR(AJ175=0,AP175=0,NOT(ISNUMBER(AD175)),NOT(ISNUMBER(AF175)),NOT(ISNUMBER(AJ175)),NOT(ISNUMBER(AP175))),"",
IFERROR(IF((AD175-AF175)/(AJ175/60)/(AP175/1000)&lt;=0,"",(AD175-AF175)/(AJ175/60)/(AP175/1000)),""))</f>
        <v>3.3736263736263443</v>
      </c>
    </row>
    <row r="176" spans="1:58" ht="15.75">
      <c r="A176" s="12" t="s">
        <v>139</v>
      </c>
      <c r="B176" s="94">
        <v>45436</v>
      </c>
      <c r="C176" s="128"/>
      <c r="D176" s="3">
        <v>171</v>
      </c>
      <c r="E176" s="205" t="str">
        <f t="shared" si="11"/>
        <v/>
      </c>
      <c r="G176" s="15"/>
      <c r="H176" s="15"/>
      <c r="I176" s="15">
        <f>AD176</f>
        <v>25.77</v>
      </c>
      <c r="K176" s="10" t="str">
        <f t="shared" si="12"/>
        <v/>
      </c>
      <c r="L176" s="9" t="str">
        <f t="shared" si="13"/>
        <v/>
      </c>
      <c r="M176" s="8" t="str">
        <f t="shared" si="14"/>
        <v/>
      </c>
      <c r="X176" s="6">
        <v>8.34</v>
      </c>
      <c r="AB176" s="5">
        <v>80</v>
      </c>
      <c r="AD176" s="162">
        <f>($AD$175*4/5+$AD$180*1/5)</f>
        <v>25.77</v>
      </c>
      <c r="AF176" s="162">
        <f>($AF$175*4/5+$AF$180*1/5)</f>
        <v>10.579999999999998</v>
      </c>
      <c r="AG176" s="98">
        <v>2.66</v>
      </c>
      <c r="AH176" s="119">
        <v>0.47789351851851852</v>
      </c>
      <c r="AJ176" s="1">
        <v>175</v>
      </c>
      <c r="AK176" s="3">
        <v>180</v>
      </c>
      <c r="AN176" s="80">
        <f>360-AK176-AB176</f>
        <v>100</v>
      </c>
      <c r="AO176" s="126">
        <f>[2]HRT_SRT!P230</f>
        <v>1800</v>
      </c>
      <c r="AP176" s="13">
        <f>AVERAGE(AO174:AO180)</f>
        <v>1560.0000000000136</v>
      </c>
      <c r="AQ176" s="15">
        <f>IF(ISNUMBER([2]HRT_SRT!R230),[2]HRT_SRT!R230,"")</f>
        <v>16.605166051660376</v>
      </c>
      <c r="AR176" s="156"/>
      <c r="AS176" s="155">
        <f>(I176-AF176)/I176</f>
        <v>0.58944509119130784</v>
      </c>
      <c r="AT176" s="155">
        <f>AG176/(AD176-AF176)</f>
        <v>0.17511520737327188</v>
      </c>
      <c r="AU176" s="16"/>
      <c r="AV176" s="57" t="str">
        <f>IF(AND(ISNUMBER(E176),ISNUMBER(W176)),E176-W176,"")</f>
        <v/>
      </c>
      <c r="AW176" s="57">
        <f>IF(AND(ISNUMBER(I176),ISNUMBER(AF176)),I176-AF176,"")</f>
        <v>15.190000000000001</v>
      </c>
      <c r="AX176" s="57" t="str">
        <f>IF(AND(ISNUMBER(AM176),ISNUMBER(G176)),G176-AM176,"")</f>
        <v/>
      </c>
      <c r="AY176" s="57" t="str">
        <f>IF(AND(ISNUMBER(AC176),ISNUMBER(AE176)),AC176-AE176,"")</f>
        <v/>
      </c>
      <c r="AZ176" s="57" t="str">
        <f>IF(AND(ISNUMBER(AL176),ISNUMBER(AM176)),AL176-AM176,"")</f>
        <v/>
      </c>
      <c r="BA176" s="157" t="str">
        <f>IF(AND($E176&gt;0,$W176&gt;0),IF(($E176-$W176)/$E176&gt;0,($E176-$W176)/$E176,0),"")</f>
        <v/>
      </c>
      <c r="BB176" s="157">
        <f>IF(AND($I176&gt;0,$AF176&gt;=0),IF(($I176-$AF176)/$I176&gt;0,($I176-$AF176)/$I176,0),"")</f>
        <v>0.58944509119130784</v>
      </c>
      <c r="BC176" s="157">
        <f>IF(AND($AG176&gt;=0,$AD176&gt;=0,$AF176&gt;=0),IF($AG176/($AD176-$AF176)&gt;0,$AG176/($AD176-$AF176),0),"")</f>
        <v>0.17511520737327188</v>
      </c>
      <c r="BD176" s="157" t="str">
        <f>IF(AND($G176&gt;0,$AM176&gt;0),IF(($G176-$AM176)/$G176&gt;0,($G176-$AM176)/$G176,0),"")</f>
        <v/>
      </c>
      <c r="BE176" s="6">
        <f>IF((AD176-AF176)/(AJ176/60)&lt;=0,"",(AD176-AF176)/(AJ176/60))</f>
        <v>5.2080000000000011</v>
      </c>
      <c r="BF176" s="6">
        <f>IF(OR(AJ176=0,AP176=0,NOT(ISNUMBER(AD176)),NOT(ISNUMBER(AF176)),NOT(ISNUMBER(AJ176)),NOT(ISNUMBER(AP176))),"",
IFERROR(IF((AD176-AF176)/(AJ176/60)/(AP176/1000)&lt;=0,"",(AD176-AF176)/(AJ176/60)/(AP176/1000)),""))</f>
        <v>3.3384615384615102</v>
      </c>
    </row>
    <row r="177" spans="1:58" ht="15.75">
      <c r="B177" s="94">
        <v>45437</v>
      </c>
      <c r="C177" s="128"/>
      <c r="D177" s="3">
        <v>172</v>
      </c>
      <c r="E177" s="205" t="str">
        <f t="shared" si="11"/>
        <v/>
      </c>
      <c r="G177" s="15"/>
      <c r="H177" s="15"/>
      <c r="I177" s="15">
        <f>AD177</f>
        <v>25.940000000000005</v>
      </c>
      <c r="K177" s="10" t="str">
        <f t="shared" si="12"/>
        <v/>
      </c>
      <c r="L177" s="9" t="str">
        <f t="shared" si="13"/>
        <v/>
      </c>
      <c r="M177" s="8" t="str">
        <f t="shared" si="14"/>
        <v/>
      </c>
      <c r="X177" s="6">
        <v>7.64</v>
      </c>
      <c r="AB177" s="5">
        <v>80</v>
      </c>
      <c r="AD177" s="162">
        <f>($AD$175*3/5+$AD$180*2/5)</f>
        <v>25.940000000000005</v>
      </c>
      <c r="AF177" s="162">
        <f>($AF$175*3/5+$AF$180*2/5)</f>
        <v>10.91</v>
      </c>
      <c r="AG177" s="98">
        <v>3.21</v>
      </c>
      <c r="AH177" s="119">
        <v>0.47789351851851852</v>
      </c>
      <c r="AJ177" s="1">
        <v>175</v>
      </c>
      <c r="AK177" s="3">
        <v>180</v>
      </c>
      <c r="AN177" s="80">
        <f>360-AK177-AB177</f>
        <v>100</v>
      </c>
      <c r="AO177" s="126"/>
      <c r="AP177" s="13">
        <f>AVERAGE(AO175:AO181)</f>
        <v>1624.9999999999773</v>
      </c>
      <c r="AQ177" s="15" t="str">
        <f>IF(ISNUMBER([2]HRT_SRT!R231),[2]HRT_SRT!R231,"")</f>
        <v/>
      </c>
      <c r="AR177" s="156"/>
      <c r="AS177" s="155">
        <f>(I177-AF177)/I177</f>
        <v>0.57941403238242106</v>
      </c>
      <c r="AT177" s="155">
        <f>AG177/(AD177-AF177)</f>
        <v>0.21357285429141709</v>
      </c>
      <c r="AU177" s="16"/>
      <c r="AV177" s="57" t="str">
        <f>IF(AND(ISNUMBER(E177),ISNUMBER(W177)),E177-W177,"")</f>
        <v/>
      </c>
      <c r="AW177" s="57">
        <f>IF(AND(ISNUMBER(I177),ISNUMBER(AF177)),I177-AF177,"")</f>
        <v>15.030000000000005</v>
      </c>
      <c r="AX177" s="57" t="str">
        <f>IF(AND(ISNUMBER(AM177),ISNUMBER(G177)),G177-AM177,"")</f>
        <v/>
      </c>
      <c r="AY177" s="57" t="str">
        <f>IF(AND(ISNUMBER(AC177),ISNUMBER(AE177)),AC177-AE177,"")</f>
        <v/>
      </c>
      <c r="AZ177" s="57" t="str">
        <f>IF(AND(ISNUMBER(AL177),ISNUMBER(AM177)),AL177-AM177,"")</f>
        <v/>
      </c>
      <c r="BA177" s="157" t="str">
        <f>IF(AND($E177&gt;0,$W177&gt;0),IF(($E177-$W177)/$E177&gt;0,($E177-$W177)/$E177,0),"")</f>
        <v/>
      </c>
      <c r="BB177" s="157">
        <f>IF(AND($I177&gt;0,$AF177&gt;=0),IF(($I177-$AF177)/$I177&gt;0,($I177-$AF177)/$I177,0),"")</f>
        <v>0.57941403238242106</v>
      </c>
      <c r="BC177" s="157">
        <f>IF(AND($AG177&gt;=0,$AD177&gt;=0,$AF177&gt;=0),IF($AG177/($AD177-$AF177)&gt;0,$AG177/($AD177-$AF177),0),"")</f>
        <v>0.21357285429141709</v>
      </c>
      <c r="BD177" s="157" t="str">
        <f>IF(AND($G177&gt;0,$AM177&gt;0),IF(($G177-$AM177)/$G177&gt;0,($G177-$AM177)/$G177,0),"")</f>
        <v/>
      </c>
      <c r="BE177" s="6">
        <f>IF((AD177-AF177)/(AJ177/60)&lt;=0,"",(AD177-AF177)/(AJ177/60))</f>
        <v>5.1531428571428588</v>
      </c>
      <c r="BF177" s="6">
        <f>IF(OR(AJ177=0,AP177=0,NOT(ISNUMBER(AD177)),NOT(ISNUMBER(AF177)),NOT(ISNUMBER(AJ177)),NOT(ISNUMBER(AP177))),"",
IFERROR(IF((AD177-AF177)/(AJ177/60)/(AP177/1000)&lt;=0,"",(AD177-AF177)/(AJ177/60)/(AP177/1000)),""))</f>
        <v>3.1711648351648805</v>
      </c>
    </row>
    <row r="178" spans="1:58" ht="15.75">
      <c r="B178" s="94">
        <v>45438</v>
      </c>
      <c r="C178" s="128"/>
      <c r="D178" s="3">
        <v>173</v>
      </c>
      <c r="E178" s="205" t="str">
        <f t="shared" si="11"/>
        <v/>
      </c>
      <c r="G178" s="15"/>
      <c r="H178" s="15"/>
      <c r="I178" s="15">
        <f>AD178</f>
        <v>26.11</v>
      </c>
      <c r="K178" s="10" t="str">
        <f t="shared" si="12"/>
        <v/>
      </c>
      <c r="L178" s="9" t="str">
        <f t="shared" si="13"/>
        <v/>
      </c>
      <c r="M178" s="8" t="str">
        <f t="shared" si="14"/>
        <v/>
      </c>
      <c r="X178" s="6">
        <v>6.66</v>
      </c>
      <c r="AB178" s="5">
        <v>80</v>
      </c>
      <c r="AD178" s="162">
        <f>($AD$175*2/5+$AD$180*3/5)</f>
        <v>26.11</v>
      </c>
      <c r="AF178" s="162">
        <f>($AF$175*2/5+$AF$180*3/5)</f>
        <v>11.239999999999998</v>
      </c>
      <c r="AG178" s="98">
        <v>2.75</v>
      </c>
      <c r="AH178" s="119">
        <v>0.47743055555555558</v>
      </c>
      <c r="AJ178" s="1">
        <v>175</v>
      </c>
      <c r="AK178" s="3">
        <v>180</v>
      </c>
      <c r="AN178" s="80">
        <f>360-AK178-AB178</f>
        <v>100</v>
      </c>
      <c r="AO178" s="126"/>
      <c r="AP178" s="13">
        <f>AVERAGE(AO176:AO182)</f>
        <v>1624.9999999999773</v>
      </c>
      <c r="AQ178" s="15" t="str">
        <f>IF(ISNUMBER([2]HRT_SRT!R232),[2]HRT_SRT!R232,"")</f>
        <v/>
      </c>
      <c r="AR178" s="156"/>
      <c r="AS178" s="155">
        <f>(I178-AF178)/I178</f>
        <v>0.56951359632324783</v>
      </c>
      <c r="AT178" s="155">
        <f>AG178/(AD178-AF178)</f>
        <v>0.18493611297915263</v>
      </c>
      <c r="AU178" s="16"/>
      <c r="AV178" s="57" t="str">
        <f>IF(AND(ISNUMBER(E178),ISNUMBER(W178)),E178-W178,"")</f>
        <v/>
      </c>
      <c r="AW178" s="57">
        <f>IF(AND(ISNUMBER(I178),ISNUMBER(AF178)),I178-AF178,"")</f>
        <v>14.870000000000001</v>
      </c>
      <c r="AX178" s="57" t="str">
        <f>IF(AND(ISNUMBER(AM178),ISNUMBER(G178)),G178-AM178,"")</f>
        <v/>
      </c>
      <c r="AY178" s="57" t="str">
        <f>IF(AND(ISNUMBER(AC178),ISNUMBER(AE178)),AC178-AE178,"")</f>
        <v/>
      </c>
      <c r="AZ178" s="57" t="str">
        <f>IF(AND(ISNUMBER(AL178),ISNUMBER(AM178)),AL178-AM178,"")</f>
        <v/>
      </c>
      <c r="BA178" s="157" t="str">
        <f>IF(AND($E178&gt;0,$W178&gt;0),IF(($E178-$W178)/$E178&gt;0,($E178-$W178)/$E178,0),"")</f>
        <v/>
      </c>
      <c r="BB178" s="157">
        <f>IF(AND($I178&gt;0,$AF178&gt;=0),IF(($I178-$AF178)/$I178&gt;0,($I178-$AF178)/$I178,0),"")</f>
        <v>0.56951359632324783</v>
      </c>
      <c r="BC178" s="157">
        <f>IF(AND($AG178&gt;=0,$AD178&gt;=0,$AF178&gt;=0),IF($AG178/($AD178-$AF178)&gt;0,$AG178/($AD178-$AF178),0),"")</f>
        <v>0.18493611297915263</v>
      </c>
      <c r="BD178" s="157" t="str">
        <f>IF(AND($G178&gt;0,$AM178&gt;0),IF(($G178-$AM178)/$G178&gt;0,($G178-$AM178)/$G178,0),"")</f>
        <v/>
      </c>
      <c r="BE178" s="6">
        <f>IF((AD178-AF178)/(AJ178/60)&lt;=0,"",(AD178-AF178)/(AJ178/60))</f>
        <v>5.0982857142857148</v>
      </c>
      <c r="BF178" s="6">
        <f>IF(OR(AJ178=0,AP178=0,NOT(ISNUMBER(AD178)),NOT(ISNUMBER(AF178)),NOT(ISNUMBER(AJ178)),NOT(ISNUMBER(AP178))),"",
IFERROR(IF((AD178-AF178)/(AJ178/60)/(AP178/1000)&lt;=0,"",(AD178-AF178)/(AJ178/60)/(AP178/1000)),""))</f>
        <v>3.1374065934066375</v>
      </c>
    </row>
    <row r="179" spans="1:58" ht="15.75">
      <c r="B179" s="94">
        <v>45439</v>
      </c>
      <c r="C179" s="128"/>
      <c r="D179" s="3">
        <v>174</v>
      </c>
      <c r="E179" s="205" t="str">
        <f t="shared" si="11"/>
        <v/>
      </c>
      <c r="G179" s="15"/>
      <c r="H179" s="15"/>
      <c r="I179" s="15">
        <f>AD179</f>
        <v>26.28</v>
      </c>
      <c r="K179" s="10" t="str">
        <f t="shared" si="12"/>
        <v/>
      </c>
      <c r="L179" s="9" t="str">
        <f t="shared" si="13"/>
        <v/>
      </c>
      <c r="M179" s="8" t="str">
        <f t="shared" si="14"/>
        <v/>
      </c>
      <c r="AB179" s="5">
        <v>80</v>
      </c>
      <c r="AD179" s="162">
        <f>($AD$175*1/5+$AD$180*4/5)</f>
        <v>26.28</v>
      </c>
      <c r="AF179" s="162">
        <f>($AF$175*1/5+$AF$180*4/5)</f>
        <v>11.57</v>
      </c>
      <c r="AG179" s="98">
        <v>3.17</v>
      </c>
      <c r="AH179" s="119">
        <v>0.4777777777777778</v>
      </c>
      <c r="AJ179" s="1">
        <v>175</v>
      </c>
      <c r="AK179" s="3">
        <v>180</v>
      </c>
      <c r="AN179" s="80">
        <f>360-AK179-AB179</f>
        <v>100</v>
      </c>
      <c r="AO179" s="126"/>
      <c r="AP179" s="13">
        <f>AVERAGE(AO177:AO183)</f>
        <v>1449.9999999999545</v>
      </c>
      <c r="AQ179" s="15" t="str">
        <f>IF(ISNUMBER([2]HRT_SRT!R233),[2]HRT_SRT!R233,"")</f>
        <v/>
      </c>
      <c r="AR179" s="156"/>
      <c r="AS179" s="155">
        <f>(I179-AF179)/I179</f>
        <v>0.55974124809741244</v>
      </c>
      <c r="AT179" s="155">
        <f>AG179/(AD179-AF179)</f>
        <v>0.21549966009517332</v>
      </c>
      <c r="AU179" s="16"/>
      <c r="AV179" s="57" t="str">
        <f>IF(AND(ISNUMBER(E179),ISNUMBER(W179)),E179-W179,"")</f>
        <v/>
      </c>
      <c r="AW179" s="57">
        <f>IF(AND(ISNUMBER(I179),ISNUMBER(AF179)),I179-AF179,"")</f>
        <v>14.71</v>
      </c>
      <c r="AX179" s="57" t="str">
        <f>IF(AND(ISNUMBER(AM179),ISNUMBER(G179)),G179-AM179,"")</f>
        <v/>
      </c>
      <c r="AY179" s="57" t="str">
        <f>IF(AND(ISNUMBER(AC179),ISNUMBER(AE179)),AC179-AE179,"")</f>
        <v/>
      </c>
      <c r="AZ179" s="57" t="str">
        <f>IF(AND(ISNUMBER(AL179),ISNUMBER(AM179)),AL179-AM179,"")</f>
        <v/>
      </c>
      <c r="BA179" s="157" t="str">
        <f>IF(AND($E179&gt;0,$W179&gt;0),IF(($E179-$W179)/$E179&gt;0,($E179-$W179)/$E179,0),"")</f>
        <v/>
      </c>
      <c r="BB179" s="157">
        <f>IF(AND($I179&gt;0,$AF179&gt;=0),IF(($I179-$AF179)/$I179&gt;0,($I179-$AF179)/$I179,0),"")</f>
        <v>0.55974124809741244</v>
      </c>
      <c r="BC179" s="157">
        <f>IF(AND($AG179&gt;=0,$AD179&gt;=0,$AF179&gt;=0),IF($AG179/($AD179-$AF179)&gt;0,$AG179/($AD179-$AF179),0),"")</f>
        <v>0.21549966009517332</v>
      </c>
      <c r="BD179" s="157" t="str">
        <f>IF(AND($G179&gt;0,$AM179&gt;0),IF(($G179-$AM179)/$G179&gt;0,($G179-$AM179)/$G179,0),"")</f>
        <v/>
      </c>
      <c r="BE179" s="6">
        <f>IF((AD179-AF179)/(AJ179/60)&lt;=0,"",(AD179-AF179)/(AJ179/60))</f>
        <v>5.0434285714285716</v>
      </c>
      <c r="BF179" s="6">
        <f>IF(OR(AJ179=0,AP179=0,NOT(ISNUMBER(AD179)),NOT(ISNUMBER(AF179)),NOT(ISNUMBER(AJ179)),NOT(ISNUMBER(AP179))),"",
IFERROR(IF((AD179-AF179)/(AJ179/60)/(AP179/1000)&lt;=0,"",(AD179-AF179)/(AJ179/60)/(AP179/1000)),""))</f>
        <v>3.4782266009853311</v>
      </c>
    </row>
    <row r="180" spans="1:58" ht="15.75">
      <c r="A180" s="12" t="s">
        <v>138</v>
      </c>
      <c r="B180" s="94">
        <v>45440</v>
      </c>
      <c r="C180" s="128"/>
      <c r="D180" s="3">
        <v>175</v>
      </c>
      <c r="E180" s="205">
        <f t="shared" si="11"/>
        <v>170.38939999999999</v>
      </c>
      <c r="G180" s="15">
        <f>(N180*17-H180*17)/9</f>
        <v>19.927777777777781</v>
      </c>
      <c r="H180" s="15">
        <v>7.75</v>
      </c>
      <c r="I180" s="15">
        <f>AD180</f>
        <v>26.45</v>
      </c>
      <c r="K180" s="10">
        <f t="shared" si="12"/>
        <v>8.5503462503484791</v>
      </c>
      <c r="L180" s="9">
        <f t="shared" si="13"/>
        <v>3.2209716446124763</v>
      </c>
      <c r="M180" s="8">
        <f t="shared" si="14"/>
        <v>2.6545860050181207</v>
      </c>
      <c r="N180" s="7">
        <v>18.3</v>
      </c>
      <c r="O180" s="6">
        <v>60.322000000000003</v>
      </c>
      <c r="P180" s="6">
        <v>13.759</v>
      </c>
      <c r="Q180" s="6">
        <f>O180*1.067</f>
        <v>64.363574</v>
      </c>
      <c r="R180" s="6">
        <f>P180*1.514</f>
        <v>20.831126000000001</v>
      </c>
      <c r="S180" s="23">
        <f>P180*1.514+O180*1.067</f>
        <v>85.194699999999997</v>
      </c>
      <c r="T180" s="6">
        <v>29.7</v>
      </c>
      <c r="W180">
        <f>0.409+0.651</f>
        <v>1.06</v>
      </c>
      <c r="X180" s="6">
        <v>9.23</v>
      </c>
      <c r="AB180" s="5">
        <v>80</v>
      </c>
      <c r="AC180" s="7">
        <f>T180</f>
        <v>29.7</v>
      </c>
      <c r="AD180" s="1">
        <f>5*5.29</f>
        <v>26.45</v>
      </c>
      <c r="AE180" s="1">
        <v>18.399999999999999</v>
      </c>
      <c r="AF180" s="1">
        <f>5*2.38</f>
        <v>11.899999999999999</v>
      </c>
      <c r="AG180" s="98">
        <v>2.84</v>
      </c>
      <c r="AH180" s="119">
        <v>0.4773148148148148</v>
      </c>
      <c r="AJ180" s="1">
        <v>175</v>
      </c>
      <c r="AK180" s="3">
        <v>180</v>
      </c>
      <c r="AL180" s="4">
        <f>AE180</f>
        <v>18.399999999999999</v>
      </c>
      <c r="AM180" s="1">
        <v>15.9</v>
      </c>
      <c r="AN180" s="80">
        <f>360-AK180-AB180</f>
        <v>100</v>
      </c>
      <c r="AO180" s="126"/>
      <c r="AP180" s="13">
        <f>AVERAGE(AO178:AO184)</f>
        <v>1449.9999999999545</v>
      </c>
      <c r="AQ180" s="15" t="str">
        <f>IF(ISNUMBER([2]HRT_SRT!R234),[2]HRT_SRT!R234,"")</f>
        <v/>
      </c>
      <c r="AR180" s="156">
        <f>(E180-W180)/E180</f>
        <v>0.99377895573316177</v>
      </c>
      <c r="AS180" s="155">
        <f>(I180-AF180)/I180</f>
        <v>0.55009451795841213</v>
      </c>
      <c r="AT180" s="155">
        <f>AG180/(AD180-AF180)</f>
        <v>0.19518900343642609</v>
      </c>
      <c r="AU180" s="16">
        <f>(G180-AM180)/G180</f>
        <v>0.20211876219682195</v>
      </c>
      <c r="AV180" s="57">
        <f>IF(AND(ISNUMBER(E180),ISNUMBER(W180)),E180-W180,"")</f>
        <v>169.32939999999999</v>
      </c>
      <c r="AW180" s="57">
        <f>IF(AND(ISNUMBER(I180),ISNUMBER(AF180)),I180-AF180,"")</f>
        <v>14.55</v>
      </c>
      <c r="AX180" s="57">
        <f>IF(AND(ISNUMBER(AM180),ISNUMBER(G180)),G180-AM180,"")</f>
        <v>4.0277777777777803</v>
      </c>
      <c r="AY180" s="57">
        <f>IF(AND(ISNUMBER(AC180),ISNUMBER(AE180)),AC180-AE180,"")</f>
        <v>11.3</v>
      </c>
      <c r="AZ180" s="57">
        <f>IF(AND(ISNUMBER(AL180),ISNUMBER(AM180)),AL180-AM180,"")</f>
        <v>2.4999999999999982</v>
      </c>
      <c r="BA180" s="123">
        <f>IF(AND($E180&gt;0,$W180&gt;0),IF(($E180-$W180)/$E180&gt;0,($E180-$W180)/$E180,0),"")</f>
        <v>0.99377895573316177</v>
      </c>
      <c r="BB180" s="123">
        <f>IF(AND($I180&gt;0,$AF180&gt;=0),IF(($I180-$AF180)/$I180&gt;0,($I180-$AF180)/$I180,0),"")</f>
        <v>0.55009451795841213</v>
      </c>
      <c r="BC180" s="123">
        <f>IF(AND($AG180&gt;=0,$AD180&gt;=0,$AF180&gt;=0),IF($AG180/($AD180-$AF180)&gt;0,$AG180/($AD180-$AF180),0),"")</f>
        <v>0.19518900343642609</v>
      </c>
      <c r="BD180" s="123">
        <f>IF(AND($G180&gt;0,$AM180&gt;0),IF(($G180-$AM180)/$G180&gt;0,($G180-$AM180)/$G180,0),"")</f>
        <v>0.20211876219682195</v>
      </c>
      <c r="BE180" s="6">
        <f>IF((AD180-AF180)/(AJ180/60)&lt;=0,"",(AD180-AF180)/(AJ180/60))</f>
        <v>4.9885714285714293</v>
      </c>
      <c r="BF180" s="6">
        <f>IF(OR(AJ180=0,AP180=0,NOT(ISNUMBER(AD180)),NOT(ISNUMBER(AF180)),NOT(ISNUMBER(AJ180)),NOT(ISNUMBER(AP180))),"",
IFERROR(IF((AD180-AF180)/(AJ180/60)/(AP180/1000)&lt;=0,"",(AD180-AF180)/(AJ180/60)/(AP180/1000)),""))</f>
        <v>3.4403940886700592</v>
      </c>
    </row>
    <row r="181" spans="1:58" ht="15.75">
      <c r="A181" s="12" t="s">
        <v>137</v>
      </c>
      <c r="B181" s="94">
        <v>45441</v>
      </c>
      <c r="C181" s="128"/>
      <c r="D181" s="136">
        <v>176</v>
      </c>
      <c r="E181" s="205">
        <f t="shared" si="11"/>
        <v>282.89629799999994</v>
      </c>
      <c r="G181" s="15">
        <f>(N181*18-H181*18)/9</f>
        <v>23.779999999999998</v>
      </c>
      <c r="H181" s="15">
        <v>8.2100000000000009</v>
      </c>
      <c r="I181" s="15">
        <f>AD181</f>
        <v>26.400000000000002</v>
      </c>
      <c r="K181" s="10">
        <f t="shared" si="12"/>
        <v>11.896396047098401</v>
      </c>
      <c r="L181" s="9">
        <f t="shared" si="13"/>
        <v>5.3578844318181806</v>
      </c>
      <c r="M181" s="8">
        <f t="shared" si="14"/>
        <v>2.2203532380151394</v>
      </c>
      <c r="N181" s="7">
        <v>20.100000000000001</v>
      </c>
      <c r="O181" s="6">
        <v>104.18899999999999</v>
      </c>
      <c r="P181" s="6">
        <v>19.998999999999999</v>
      </c>
      <c r="Q181" s="6">
        <f>O181*1.067</f>
        <v>111.16966299999999</v>
      </c>
      <c r="R181" s="6">
        <f>P181*1.514</f>
        <v>30.278485999999997</v>
      </c>
      <c r="S181" s="23">
        <f>P181*1.514+O181*1.067</f>
        <v>141.44814899999997</v>
      </c>
      <c r="T181" s="6">
        <v>34.299999999999997</v>
      </c>
      <c r="W181">
        <v>0</v>
      </c>
      <c r="AB181" s="5">
        <v>80</v>
      </c>
      <c r="AC181" s="7">
        <f>T181</f>
        <v>34.299999999999997</v>
      </c>
      <c r="AD181" s="1">
        <f>5*5.28</f>
        <v>26.400000000000002</v>
      </c>
      <c r="AE181" s="1">
        <v>20.6</v>
      </c>
      <c r="AF181" s="1">
        <f>5*2.31</f>
        <v>11.55</v>
      </c>
      <c r="AG181" s="67">
        <v>2.9</v>
      </c>
      <c r="AJ181" s="1">
        <v>175</v>
      </c>
      <c r="AK181" s="3">
        <v>180</v>
      </c>
      <c r="AL181" s="4">
        <f>AE181</f>
        <v>20.6</v>
      </c>
      <c r="AM181" s="1">
        <v>18.7</v>
      </c>
      <c r="AN181" s="80">
        <f>360-AK181-AB181</f>
        <v>100</v>
      </c>
      <c r="AO181" s="126">
        <f>[2]HRT_SRT!P235</f>
        <v>1449.9999999999545</v>
      </c>
      <c r="AP181" s="13">
        <f>AVERAGE(AO179:AO185)</f>
        <v>1449.9999999999545</v>
      </c>
      <c r="AQ181" s="15">
        <f>IF(ISNUMBER([2]HRT_SRT!R235),[2]HRT_SRT!R235,"")</f>
        <v>14.974182444062361</v>
      </c>
      <c r="AR181" s="156">
        <f>(E181-W181)/E181</f>
        <v>1</v>
      </c>
      <c r="AS181" s="155">
        <f>(I181-AF181)/I181</f>
        <v>0.5625</v>
      </c>
      <c r="AT181" s="155">
        <f>AG181/(AD181-AF181)</f>
        <v>0.19528619528619526</v>
      </c>
      <c r="AU181" s="16">
        <f>(G181-AM181)/G181</f>
        <v>0.21362489486963832</v>
      </c>
      <c r="AV181" s="57">
        <f>IF(AND(ISNUMBER(E181),ISNUMBER(W181)),E181-W181,"")</f>
        <v>282.89629799999994</v>
      </c>
      <c r="AW181" s="57">
        <f>IF(AND(ISNUMBER(I181),ISNUMBER(AF181)),I181-AF181,"")</f>
        <v>14.850000000000001</v>
      </c>
      <c r="AX181" s="57">
        <f>IF(AND(ISNUMBER(AM181),ISNUMBER(G181)),G181-AM181,"")</f>
        <v>5.0799999999999983</v>
      </c>
      <c r="AY181" s="57">
        <f>IF(AND(ISNUMBER(AC181),ISNUMBER(AE181)),AC181-AE181,"")</f>
        <v>13.699999999999996</v>
      </c>
      <c r="AZ181" s="57">
        <f>IF(AND(ISNUMBER(AL181),ISNUMBER(AM181)),AL181-AM181,"")</f>
        <v>1.9000000000000021</v>
      </c>
      <c r="BA181" s="123" t="str">
        <f>IF(AND($E181&gt;0,$W181&gt;0),IF(($E181-$W181)/$E181&gt;0,($E181-$W181)/$E181,0),"")</f>
        <v/>
      </c>
      <c r="BB181" s="123">
        <f>IF(AND($I181&gt;0,$AF181&gt;=0),IF(($I181-$AF181)/$I181&gt;0,($I181-$AF181)/$I181,0),"")</f>
        <v>0.5625</v>
      </c>
      <c r="BC181" s="123">
        <f>IF(AND($AG181&gt;=0,$AD181&gt;=0,$AF181&gt;=0),IF($AG181/($AD181-$AF181)&gt;0,$AG181/($AD181-$AF181),0),"")</f>
        <v>0.19528619528619526</v>
      </c>
      <c r="BD181" s="123">
        <f>IF(AND($G181&gt;0,$AM181&gt;0),IF(($G181-$AM181)/$G181&gt;0,($G181-$AM181)/$G181,0),"")</f>
        <v>0.21362489486963832</v>
      </c>
      <c r="BE181" s="6">
        <f>IF((AD181-AF181)/(AJ181/60)&lt;=0,"",(AD181-AF181)/(AJ181/60))</f>
        <v>5.0914285714285725</v>
      </c>
      <c r="BF181" s="6">
        <f>IF(OR(AJ181=0,AP181=0,NOT(ISNUMBER(AD181)),NOT(ISNUMBER(AF181)),NOT(ISNUMBER(AJ181)),NOT(ISNUMBER(AP181))),"",
IFERROR(IF((AD181-AF181)/(AJ181/60)/(AP181/1000)&lt;=0,"",(AD181-AF181)/(AJ181/60)/(AP181/1000)),""))</f>
        <v>3.5113300492611947</v>
      </c>
    </row>
    <row r="182" spans="1:58" ht="15.75">
      <c r="B182" s="94">
        <v>45442</v>
      </c>
      <c r="C182" s="128"/>
      <c r="D182" s="3">
        <v>177</v>
      </c>
      <c r="E182" s="205" t="str">
        <f t="shared" si="11"/>
        <v/>
      </c>
      <c r="G182" s="15">
        <f>(N182*18-H182*18)/9</f>
        <v>20.399999999999999</v>
      </c>
      <c r="H182" s="15">
        <v>13.2</v>
      </c>
      <c r="I182" s="15">
        <f>AD182</f>
        <v>26</v>
      </c>
      <c r="K182" s="10" t="str">
        <f t="shared" si="12"/>
        <v/>
      </c>
      <c r="L182" s="9" t="str">
        <f t="shared" si="13"/>
        <v/>
      </c>
      <c r="M182" s="8">
        <f t="shared" si="14"/>
        <v>2.5490196078431375</v>
      </c>
      <c r="N182" s="7">
        <v>23.4</v>
      </c>
      <c r="AB182" s="5">
        <v>80</v>
      </c>
      <c r="AD182" s="162">
        <f>($AD$181*6/7+$AD$188 *1/7)</f>
        <v>26</v>
      </c>
      <c r="AE182" s="1">
        <v>26.1</v>
      </c>
      <c r="AF182" s="1">
        <f>5*1.81</f>
        <v>9.0500000000000007</v>
      </c>
      <c r="AG182" s="67"/>
      <c r="AJ182" s="1">
        <v>175</v>
      </c>
      <c r="AK182" s="3">
        <v>180</v>
      </c>
      <c r="AL182" s="4">
        <f>AE182</f>
        <v>26.1</v>
      </c>
      <c r="AM182" s="1">
        <v>22.4</v>
      </c>
      <c r="AN182" s="80">
        <f>360-AK182-AB182</f>
        <v>100</v>
      </c>
      <c r="AO182" s="126"/>
      <c r="AP182" s="13">
        <f>AVERAGE(AO180:AO186)</f>
        <v>1449.9999999999545</v>
      </c>
      <c r="AQ182" s="15" t="str">
        <f>IF(ISNUMBER([2]HRT_SRT!R236),[2]HRT_SRT!R236,"")</f>
        <v/>
      </c>
      <c r="AR182" s="156"/>
      <c r="AS182" s="155">
        <f>(I182-AF182)/I182</f>
        <v>0.65192307692307694</v>
      </c>
      <c r="AT182" s="155">
        <f>AG182/(AD182-AF182)</f>
        <v>0</v>
      </c>
      <c r="AU182" s="16">
        <f>(G182-AM182)/G182</f>
        <v>-9.8039215686274522E-2</v>
      </c>
      <c r="AV182" s="57" t="str">
        <f>IF(AND(ISNUMBER(E182),ISNUMBER(W182)),E182-W182,"")</f>
        <v/>
      </c>
      <c r="AW182" s="57">
        <f>IF(AND(ISNUMBER(I182),ISNUMBER(AF182)),I182-AF182,"")</f>
        <v>16.95</v>
      </c>
      <c r="AX182" s="57">
        <f>IF(AND(ISNUMBER(AM182),ISNUMBER(G182)),G182-AM182,"")</f>
        <v>-2</v>
      </c>
      <c r="AY182" s="57" t="str">
        <f>IF(AND(ISNUMBER(AC182),ISNUMBER(AE182)),AC182-AE182,"")</f>
        <v/>
      </c>
      <c r="AZ182" s="57">
        <f>IF(AND(ISNUMBER(AL182),ISNUMBER(AM182)),AL182-AM182,"")</f>
        <v>3.7000000000000028</v>
      </c>
      <c r="BA182" s="157" t="str">
        <f>IF(AND($E182&gt;0,$W182&gt;0),IF(($E182-$W182)/$E182&gt;0,($E182-$W182)/$E182,0),"")</f>
        <v/>
      </c>
      <c r="BB182" s="157">
        <f>IF(AND($I182&gt;0,$AF182&gt;=0),IF(($I182-$AF182)/$I182&gt;0,($I182-$AF182)/$I182,0),"")</f>
        <v>0.65192307692307694</v>
      </c>
      <c r="BC182" s="157">
        <f>IF(AND($AG182&gt;=0,$AD182&gt;=0,$AF182&gt;=0),IF($AG182/($AD182-$AF182)&gt;0,$AG182/($AD182-$AF182),0),"")</f>
        <v>0</v>
      </c>
      <c r="BD182" s="157">
        <f>IF(AND($G182&gt;0,$AM182&gt;0),IF(($G182-$AM182)/$G182&gt;0,($G182-$AM182)/$G182,0),"")</f>
        <v>0</v>
      </c>
      <c r="BE182" s="6">
        <f>IF((AD182-AF182)/(AJ182/60)&lt;=0,"",(AD182-AF182)/(AJ182/60))</f>
        <v>5.8114285714285714</v>
      </c>
      <c r="BF182" s="6">
        <f>IF(OR(AJ182=0,AP182=0,NOT(ISNUMBER(AD182)),NOT(ISNUMBER(AF182)),NOT(ISNUMBER(AJ182)),NOT(ISNUMBER(AP182))),"",
IFERROR(IF((AD182-AF182)/(AJ182/60)/(AP182/1000)&lt;=0,"",(AD182-AF182)/(AJ182/60)/(AP182/1000)),""))</f>
        <v>4.0078817733991405</v>
      </c>
    </row>
    <row r="183" spans="1:58" ht="15.75">
      <c r="B183" s="94">
        <v>45443</v>
      </c>
      <c r="C183" s="128"/>
      <c r="D183" s="3">
        <v>178</v>
      </c>
      <c r="E183" s="205" t="str">
        <f t="shared" si="11"/>
        <v/>
      </c>
      <c r="H183" s="15"/>
      <c r="I183" s="15">
        <f>AD183</f>
        <v>25.6</v>
      </c>
      <c r="K183" s="10" t="str">
        <f t="shared" si="12"/>
        <v/>
      </c>
      <c r="L183" s="9" t="str">
        <f t="shared" si="13"/>
        <v/>
      </c>
      <c r="M183" s="8" t="str">
        <f t="shared" si="14"/>
        <v/>
      </c>
      <c r="X183" s="6">
        <v>6.45</v>
      </c>
      <c r="AB183" s="5">
        <v>80</v>
      </c>
      <c r="AD183" s="162">
        <f>($AD$181*5/7+$AD$188 *2/7)</f>
        <v>25.6</v>
      </c>
      <c r="AF183" s="162">
        <f>($AF$182*6/7+$AF$188*1/7)</f>
        <v>9.3857142857142861</v>
      </c>
      <c r="AG183" s="67"/>
      <c r="AJ183" s="1">
        <v>175</v>
      </c>
      <c r="AK183" s="3">
        <v>180</v>
      </c>
      <c r="AN183" s="80">
        <f>360-AK183-AB183</f>
        <v>100</v>
      </c>
      <c r="AO183" s="126"/>
      <c r="AP183" s="13">
        <f>AVERAGE(AO181:AO187)</f>
        <v>1449.9999999999545</v>
      </c>
      <c r="AQ183" s="15" t="str">
        <f>IF(ISNUMBER([2]HRT_SRT!R237),[2]HRT_SRT!R237,"")</f>
        <v/>
      </c>
      <c r="AR183" s="156"/>
      <c r="AS183" s="155">
        <f>(I183-AF183)/I183</f>
        <v>0.6333705357142857</v>
      </c>
      <c r="AT183" s="155">
        <f>AG183/(AD183-AF183)</f>
        <v>0</v>
      </c>
      <c r="AU183" s="16"/>
      <c r="AV183" s="57" t="str">
        <f>IF(AND(ISNUMBER(E183),ISNUMBER(W183)),E183-W183,"")</f>
        <v/>
      </c>
      <c r="AW183" s="57">
        <f>IF(AND(ISNUMBER(I183),ISNUMBER(AF183)),I183-AF183,"")</f>
        <v>16.214285714285715</v>
      </c>
      <c r="AX183" s="57" t="str">
        <f>IF(AND(ISNUMBER(AM183),ISNUMBER(G183)),G183-AM183,"")</f>
        <v/>
      </c>
      <c r="AY183" s="57" t="str">
        <f>IF(AND(ISNUMBER(AC183),ISNUMBER(AE183)),AC183-AE183,"")</f>
        <v/>
      </c>
      <c r="AZ183" s="57" t="str">
        <f>IF(AND(ISNUMBER(AL183),ISNUMBER(AM183)),AL183-AM183,"")</f>
        <v/>
      </c>
      <c r="BA183" s="157" t="str">
        <f>IF(AND($E183&gt;0,$W183&gt;0),IF(($E183-$W183)/$E183&gt;0,($E183-$W183)/$E183,0),"")</f>
        <v/>
      </c>
      <c r="BB183" s="157">
        <f>IF(AND($I183&gt;0,$AF183&gt;=0),IF(($I183-$AF183)/$I183&gt;0,($I183-$AF183)/$I183,0),"")</f>
        <v>0.6333705357142857</v>
      </c>
      <c r="BC183" s="157">
        <f>IF(AND($AG183&gt;=0,$AD183&gt;=0,$AF183&gt;=0),IF($AG183/($AD183-$AF183)&gt;0,$AG183/($AD183-$AF183),0),"")</f>
        <v>0</v>
      </c>
      <c r="BD183" s="157" t="str">
        <f>IF(AND($G183&gt;0,$AM183&gt;0),IF(($G183-$AM183)/$G183&gt;0,($G183-$AM183)/$G183,0),"")</f>
        <v/>
      </c>
      <c r="BE183" s="6">
        <f>IF((AD183-AF183)/(AJ183/60)&lt;=0,"",(AD183-AF183)/(AJ183/60))</f>
        <v>5.5591836734693887</v>
      </c>
      <c r="BF183" s="6">
        <f>IF(OR(AJ183=0,AP183=0,NOT(ISNUMBER(AD183)),NOT(ISNUMBER(AF183)),NOT(ISNUMBER(AJ183)),NOT(ISNUMBER(AP183))),"",
IFERROR(IF((AD183-AF183)/(AJ183/60)/(AP183/1000)&lt;=0,"",(AD183-AF183)/(AJ183/60)/(AP183/1000)),""))</f>
        <v>3.8339197748065956</v>
      </c>
    </row>
    <row r="184" spans="1:58" ht="15.75">
      <c r="B184" s="94">
        <v>45444</v>
      </c>
      <c r="C184" s="128"/>
      <c r="D184" s="3">
        <v>179</v>
      </c>
      <c r="E184" s="205" t="str">
        <f t="shared" si="11"/>
        <v/>
      </c>
      <c r="I184" s="15">
        <f>AD184</f>
        <v>25.200000000000003</v>
      </c>
      <c r="K184" s="10" t="str">
        <f t="shared" si="12"/>
        <v/>
      </c>
      <c r="L184" s="9" t="str">
        <f t="shared" si="13"/>
        <v/>
      </c>
      <c r="M184" s="8" t="str">
        <f t="shared" si="14"/>
        <v/>
      </c>
      <c r="AB184" s="5">
        <v>80</v>
      </c>
      <c r="AD184" s="162">
        <f>($AD$181*4/7+$AD$188 *3/7)</f>
        <v>25.200000000000003</v>
      </c>
      <c r="AF184" s="162">
        <f>($AF$182*5/7+$AF$188*2/7)</f>
        <v>9.7214285714285715</v>
      </c>
      <c r="AG184" s="67"/>
      <c r="AJ184" s="1">
        <v>175</v>
      </c>
      <c r="AK184" s="3">
        <v>180</v>
      </c>
      <c r="AN184" s="80">
        <f>360-AK184-AB184</f>
        <v>100</v>
      </c>
      <c r="AO184" s="126"/>
      <c r="AP184" s="13">
        <f>AVERAGE(AO182:AO188)</f>
        <v>1319.4444444444925</v>
      </c>
      <c r="AQ184" s="15" t="str">
        <f>IF(ISNUMBER([2]HRT_SRT!R238),[2]HRT_SRT!R238,"")</f>
        <v/>
      </c>
      <c r="AR184" s="156"/>
      <c r="AS184" s="155">
        <f>(I184-AF184)/I184</f>
        <v>0.61422902494331066</v>
      </c>
      <c r="AT184" s="155">
        <f>AG184/(AD184-AF184)</f>
        <v>0</v>
      </c>
      <c r="AU184" s="16"/>
      <c r="AV184" s="57" t="str">
        <f>IF(AND(ISNUMBER(E184),ISNUMBER(W184)),E184-W184,"")</f>
        <v/>
      </c>
      <c r="AW184" s="57">
        <f>IF(AND(ISNUMBER(I184),ISNUMBER(AF184)),I184-AF184,"")</f>
        <v>15.478571428571431</v>
      </c>
      <c r="AX184" s="57" t="str">
        <f>IF(AND(ISNUMBER(AM184),ISNUMBER(G184)),G184-AM184,"")</f>
        <v/>
      </c>
      <c r="AY184" s="57" t="str">
        <f>IF(AND(ISNUMBER(AC184),ISNUMBER(AE184)),AC184-AE184,"")</f>
        <v/>
      </c>
      <c r="AZ184" s="57" t="str">
        <f>IF(AND(ISNUMBER(AL184),ISNUMBER(AM184)),AL184-AM184,"")</f>
        <v/>
      </c>
      <c r="BA184" s="157" t="str">
        <f>IF(AND($E184&gt;0,$W184&gt;0),IF(($E184-$W184)/$E184&gt;0,($E184-$W184)/$E184,0),"")</f>
        <v/>
      </c>
      <c r="BB184" s="157">
        <f>IF(AND($I184&gt;0,$AF184&gt;=0),IF(($I184-$AF184)/$I184&gt;0,($I184-$AF184)/$I184,0),"")</f>
        <v>0.61422902494331066</v>
      </c>
      <c r="BC184" s="157">
        <f>IF(AND($AG184&gt;=0,$AD184&gt;=0,$AF184&gt;=0),IF($AG184/($AD184-$AF184)&gt;0,$AG184/($AD184-$AF184),0),"")</f>
        <v>0</v>
      </c>
      <c r="BD184" s="157" t="str">
        <f>IF(AND($G184&gt;0,$AM184&gt;0),IF(($G184-$AM184)/$G184&gt;0,($G184-$AM184)/$G184,0),"")</f>
        <v/>
      </c>
      <c r="BE184" s="6">
        <f>IF((AD184-AF184)/(AJ184/60)&lt;=0,"",(AD184-AF184)/(AJ184/60))</f>
        <v>5.3069387755102051</v>
      </c>
      <c r="BF184" s="6">
        <f>IF(OR(AJ184=0,AP184=0,NOT(ISNUMBER(AD184)),NOT(ISNUMBER(AF184)),NOT(ISNUMBER(AJ184)),NOT(ISNUMBER(AP184))),"",
IFERROR(IF((AD184-AF184)/(AJ184/60)/(AP184/1000)&lt;=0,"",(AD184-AF184)/(AJ184/60)/(AP184/1000)),""))</f>
        <v>4.0221009667023244</v>
      </c>
    </row>
    <row r="185" spans="1:58" ht="15.75">
      <c r="B185" s="94">
        <v>45445</v>
      </c>
      <c r="C185" s="128"/>
      <c r="D185" s="3">
        <v>180</v>
      </c>
      <c r="E185" s="205" t="str">
        <f t="shared" si="11"/>
        <v/>
      </c>
      <c r="I185" s="15">
        <f>AD185</f>
        <v>24.799999999999997</v>
      </c>
      <c r="K185" s="10" t="str">
        <f t="shared" si="12"/>
        <v/>
      </c>
      <c r="L185" s="9" t="str">
        <f t="shared" si="13"/>
        <v/>
      </c>
      <c r="M185" s="8" t="str">
        <f t="shared" si="14"/>
        <v/>
      </c>
      <c r="N185" s="6"/>
      <c r="AB185" s="5">
        <v>80</v>
      </c>
      <c r="AC185" s="1"/>
      <c r="AD185" s="162">
        <f>($AD$181*3/7+$AD$188 *4/7)</f>
        <v>24.799999999999997</v>
      </c>
      <c r="AF185" s="162">
        <f>($AF$182*4/7+$AF$188*3/7)</f>
        <v>10.057142857142857</v>
      </c>
      <c r="AG185" s="98">
        <v>3.74</v>
      </c>
      <c r="AH185" s="119">
        <v>0.81168981481481484</v>
      </c>
      <c r="AJ185" s="1">
        <v>175</v>
      </c>
      <c r="AK185" s="3">
        <v>180</v>
      </c>
      <c r="AL185" s="1"/>
      <c r="AN185" s="80">
        <f>360-AK185-AB185</f>
        <v>100</v>
      </c>
      <c r="AO185" s="126"/>
      <c r="AP185" s="13">
        <f>AVERAGE(AO183:AO189)</f>
        <v>1319.4444444444925</v>
      </c>
      <c r="AQ185" s="15" t="str">
        <f>IF(ISNUMBER([2]HRT_SRT!R239),[2]HRT_SRT!R239,"")</f>
        <v/>
      </c>
      <c r="AR185" s="156"/>
      <c r="AS185" s="155">
        <f>(I185-AF185)/I185</f>
        <v>0.59447004608294929</v>
      </c>
      <c r="AT185" s="155">
        <f>AG185/(AD185-AF185)</f>
        <v>0.2536821705426357</v>
      </c>
      <c r="AU185" s="16"/>
      <c r="AV185" s="57" t="str">
        <f>IF(AND(ISNUMBER(E185),ISNUMBER(W185)),E185-W185,"")</f>
        <v/>
      </c>
      <c r="AW185" s="57">
        <f>IF(AND(ISNUMBER(I185),ISNUMBER(AF185)),I185-AF185,"")</f>
        <v>14.74285714285714</v>
      </c>
      <c r="AX185" s="57" t="str">
        <f>IF(AND(ISNUMBER(AM185),ISNUMBER(G185)),G185-AM185,"")</f>
        <v/>
      </c>
      <c r="AY185" s="57" t="str">
        <f>IF(AND(ISNUMBER(AC185),ISNUMBER(AE185)),AC185-AE185,"")</f>
        <v/>
      </c>
      <c r="AZ185" s="57" t="str">
        <f>IF(AND(ISNUMBER(AL185),ISNUMBER(AM185)),AL185-AM185,"")</f>
        <v/>
      </c>
      <c r="BA185" s="157" t="str">
        <f>IF(AND($E185&gt;0,$W185&gt;0),IF(($E185-$W185)/$E185&gt;0,($E185-$W185)/$E185,0),"")</f>
        <v/>
      </c>
      <c r="BB185" s="157">
        <f>IF(AND($I185&gt;0,$AF185&gt;=0),IF(($I185-$AF185)/$I185&gt;0,($I185-$AF185)/$I185,0),"")</f>
        <v>0.59447004608294929</v>
      </c>
      <c r="BC185" s="157">
        <f>IF(AND($AG185&gt;=0,$AD185&gt;=0,$AF185&gt;=0),IF($AG185/($AD185-$AF185)&gt;0,$AG185/($AD185-$AF185),0),"")</f>
        <v>0.2536821705426357</v>
      </c>
      <c r="BD185" s="157" t="str">
        <f>IF(AND($G185&gt;0,$AM185&gt;0),IF(($G185-$AM185)/$G185&gt;0,($G185-$AM185)/$G185,0),"")</f>
        <v/>
      </c>
      <c r="BE185" s="6">
        <f>IF((AD185-AF185)/(AJ185/60)&lt;=0,"",(AD185-AF185)/(AJ185/60))</f>
        <v>5.0546938775510197</v>
      </c>
      <c r="BF185" s="6">
        <f>IF(OR(AJ185=0,AP185=0,NOT(ISNUMBER(AD185)),NOT(ISNUMBER(AF185)),NOT(ISNUMBER(AJ185)),NOT(ISNUMBER(AP185))),"",
IFERROR(IF((AD185-AF185)/(AJ185/60)/(AP185/1000)&lt;=0,"",(AD185-AF185)/(AJ185/60)/(AP185/1000)),""))</f>
        <v>3.8309258861437909</v>
      </c>
    </row>
    <row r="186" spans="1:58" ht="15.75">
      <c r="B186" s="94">
        <v>45446</v>
      </c>
      <c r="C186" s="128"/>
      <c r="D186" s="3">
        <v>181</v>
      </c>
      <c r="E186" s="205" t="str">
        <f t="shared" si="11"/>
        <v/>
      </c>
      <c r="I186" s="15">
        <f>AD186</f>
        <v>24.4</v>
      </c>
      <c r="K186" s="10" t="str">
        <f t="shared" si="12"/>
        <v/>
      </c>
      <c r="L186" s="9" t="str">
        <f t="shared" si="13"/>
        <v/>
      </c>
      <c r="M186" s="8" t="str">
        <f t="shared" si="14"/>
        <v/>
      </c>
      <c r="AB186" s="5">
        <v>80</v>
      </c>
      <c r="AD186" s="162">
        <f>($AD$181*2/7+$AD$188 *5/7)</f>
        <v>24.4</v>
      </c>
      <c r="AF186" s="162">
        <f>($AF$182*2/7+$AF$188*5/7)</f>
        <v>10.728571428571428</v>
      </c>
      <c r="AG186" s="98">
        <v>3.79</v>
      </c>
      <c r="AH186" s="119">
        <v>0.47789351851851852</v>
      </c>
      <c r="AJ186" s="1">
        <v>175</v>
      </c>
      <c r="AK186" s="3">
        <v>180</v>
      </c>
      <c r="AN186" s="80">
        <f>360-AK186-AB186</f>
        <v>100</v>
      </c>
      <c r="AO186" s="126"/>
      <c r="AP186" s="13">
        <f>AVERAGE(AO184:AO190)</f>
        <v>1319.4444444444925</v>
      </c>
      <c r="AQ186" s="15" t="str">
        <f>IF(ISNUMBER([2]HRT_SRT!R240),[2]HRT_SRT!R240,"")</f>
        <v/>
      </c>
      <c r="AR186" s="156"/>
      <c r="AS186" s="155">
        <f>(I186-AF186)/I186</f>
        <v>0.56030444964871196</v>
      </c>
      <c r="AT186" s="155">
        <f>AG186/(AD186-AF186)</f>
        <v>0.27722048066875654</v>
      </c>
      <c r="AU186" s="16"/>
      <c r="AV186" s="57" t="str">
        <f>IF(AND(ISNUMBER(E186),ISNUMBER(W186)),E186-W186,"")</f>
        <v/>
      </c>
      <c r="AW186" s="57">
        <f>IF(AND(ISNUMBER(I186),ISNUMBER(AF186)),I186-AF186,"")</f>
        <v>13.671428571428571</v>
      </c>
      <c r="AX186" s="57" t="str">
        <f>IF(AND(ISNUMBER(AM186),ISNUMBER(G186)),G186-AM186,"")</f>
        <v/>
      </c>
      <c r="AY186" s="57" t="str">
        <f>IF(AND(ISNUMBER(AC186),ISNUMBER(AE186)),AC186-AE186,"")</f>
        <v/>
      </c>
      <c r="AZ186" s="57" t="str">
        <f>IF(AND(ISNUMBER(AL186),ISNUMBER(AM186)),AL186-AM186,"")</f>
        <v/>
      </c>
      <c r="BA186" s="157" t="str">
        <f>IF(AND($E186&gt;0,$W186&gt;0),IF(($E186-$W186)/$E186&gt;0,($E186-$W186)/$E186,0),"")</f>
        <v/>
      </c>
      <c r="BB186" s="157">
        <f>IF(AND($I186&gt;0,$AF186&gt;=0),IF(($I186-$AF186)/$I186&gt;0,($I186-$AF186)/$I186,0),"")</f>
        <v>0.56030444964871196</v>
      </c>
      <c r="BC186" s="157">
        <f>IF(AND($AG186&gt;=0,$AD186&gt;=0,$AF186&gt;=0),IF($AG186/($AD186-$AF186)&gt;0,$AG186/($AD186-$AF186),0),"")</f>
        <v>0.27722048066875654</v>
      </c>
      <c r="BD186" s="157" t="str">
        <f>IF(AND($G186&gt;0,$AM186&gt;0),IF(($G186-$AM186)/$G186&gt;0,($G186-$AM186)/$G186,0),"")</f>
        <v/>
      </c>
      <c r="BE186" s="6">
        <f>IF((AD186-AF186)/(AJ186/60)&lt;=0,"",(AD186-AF186)/(AJ186/60))</f>
        <v>4.6873469387755105</v>
      </c>
      <c r="BF186" s="6">
        <f>IF(OR(AJ186=0,AP186=0,NOT(ISNUMBER(AD186)),NOT(ISNUMBER(AF186)),NOT(ISNUMBER(AJ186)),NOT(ISNUMBER(AP186))),"",
IFERROR(IF((AD186-AF186)/(AJ186/60)/(AP186/1000)&lt;=0,"",(AD186-AF186)/(AJ186/60)/(AP186/1000)),""))</f>
        <v>3.5525155746507835</v>
      </c>
    </row>
    <row r="187" spans="1:58" ht="15.75">
      <c r="B187" s="94">
        <v>45447</v>
      </c>
      <c r="C187" s="128"/>
      <c r="D187" s="3">
        <v>182</v>
      </c>
      <c r="E187" s="205" t="str">
        <f t="shared" si="11"/>
        <v/>
      </c>
      <c r="I187" s="15">
        <f>AD187</f>
        <v>24</v>
      </c>
      <c r="K187" s="10" t="str">
        <f t="shared" si="12"/>
        <v/>
      </c>
      <c r="L187" s="9" t="str">
        <f t="shared" si="13"/>
        <v/>
      </c>
      <c r="M187" s="8" t="str">
        <f t="shared" si="14"/>
        <v/>
      </c>
      <c r="AB187" s="5">
        <v>80</v>
      </c>
      <c r="AD187" s="162">
        <f>($AD$181*1/7+$AD$188 *6/7)</f>
        <v>24</v>
      </c>
      <c r="AF187" s="162">
        <f>($AF$182*1/7+$AF$188*6/7)</f>
        <v>11.064285714285713</v>
      </c>
      <c r="AG187" s="98">
        <v>4.7300000000000004</v>
      </c>
      <c r="AH187" s="119">
        <v>0.47800925925925924</v>
      </c>
      <c r="AJ187" s="1">
        <v>175</v>
      </c>
      <c r="AK187" s="3">
        <v>180</v>
      </c>
      <c r="AN187" s="80">
        <f>360-AK187-AB187</f>
        <v>100</v>
      </c>
      <c r="AO187" s="126"/>
      <c r="AP187" s="13">
        <f>AVERAGE(AO185:AO191)</f>
        <v>1319.4444444444925</v>
      </c>
      <c r="AQ187" s="15" t="str">
        <f>IF(ISNUMBER([2]HRT_SRT!R241),[2]HRT_SRT!R241,"")</f>
        <v/>
      </c>
      <c r="AR187" s="156"/>
      <c r="AS187" s="155">
        <f>(I187-AF187)/I187</f>
        <v>0.53898809523809532</v>
      </c>
      <c r="AT187" s="155">
        <f>AG187/(AD187-AF187)</f>
        <v>0.36565433462175595</v>
      </c>
      <c r="AU187" s="16"/>
      <c r="AV187" s="57" t="str">
        <f>IF(AND(ISNUMBER(E187),ISNUMBER(W187)),E187-W187,"")</f>
        <v/>
      </c>
      <c r="AW187" s="57">
        <f>IF(AND(ISNUMBER(I187),ISNUMBER(AF187)),I187-AF187,"")</f>
        <v>12.935714285714287</v>
      </c>
      <c r="AX187" s="57" t="str">
        <f>IF(AND(ISNUMBER(AM187),ISNUMBER(G187)),G187-AM187,"")</f>
        <v/>
      </c>
      <c r="AY187" s="57" t="str">
        <f>IF(AND(ISNUMBER(AC187),ISNUMBER(AE187)),AC187-AE187,"")</f>
        <v/>
      </c>
      <c r="AZ187" s="57" t="str">
        <f>IF(AND(ISNUMBER(AL187),ISNUMBER(AM187)),AL187-AM187,"")</f>
        <v/>
      </c>
      <c r="BA187" s="157" t="str">
        <f>IF(AND($E187&gt;0,$W187&gt;0),IF(($E187-$W187)/$E187&gt;0,($E187-$W187)/$E187,0),"")</f>
        <v/>
      </c>
      <c r="BB187" s="157">
        <f>IF(AND($I187&gt;0,$AF187&gt;=0),IF(($I187-$AF187)/$I187&gt;0,($I187-$AF187)/$I187,0),"")</f>
        <v>0.53898809523809532</v>
      </c>
      <c r="BC187" s="157">
        <f>IF(AND($AG187&gt;=0,$AD187&gt;=0,$AF187&gt;=0),IF($AG187/($AD187-$AF187)&gt;0,$AG187/($AD187-$AF187),0),"")</f>
        <v>0.36565433462175595</v>
      </c>
      <c r="BD187" s="157" t="str">
        <f>IF(AND($G187&gt;0,$AM187&gt;0),IF(($G187-$AM187)/$G187&gt;0,($G187-$AM187)/$G187,0),"")</f>
        <v/>
      </c>
      <c r="BE187" s="6">
        <f>IF((AD187-AF187)/(AJ187/60)&lt;=0,"",(AD187-AF187)/(AJ187/60))</f>
        <v>4.4351020408163269</v>
      </c>
      <c r="BF187" s="6">
        <f>IF(OR(AJ187=0,AP187=0,NOT(ISNUMBER(AD187)),NOT(ISNUMBER(AF187)),NOT(ISNUMBER(AJ187)),NOT(ISNUMBER(AP187))),"",
IFERROR(IF((AD187-AF187)/(AJ187/60)/(AP187/1000)&lt;=0,"",(AD187-AF187)/(AJ187/60)/(AP187/1000)),""))</f>
        <v>3.3613404940922513</v>
      </c>
    </row>
    <row r="188" spans="1:58" ht="15.75">
      <c r="A188" s="121">
        <v>8.4000000000000005E-2</v>
      </c>
      <c r="B188" s="94">
        <v>45448</v>
      </c>
      <c r="C188" s="128"/>
      <c r="D188" s="161">
        <v>183</v>
      </c>
      <c r="E188" s="205">
        <f t="shared" si="11"/>
        <v>220.79176600000002</v>
      </c>
      <c r="G188" s="15">
        <f>(N188*18-H188*18)/9</f>
        <v>21.400000000000002</v>
      </c>
      <c r="H188" s="15">
        <v>16.899999999999999</v>
      </c>
      <c r="I188" s="15">
        <f>AD188</f>
        <v>23.599999999999998</v>
      </c>
      <c r="K188" s="10">
        <f t="shared" si="12"/>
        <v>10.317372242990654</v>
      </c>
      <c r="L188" s="9">
        <f t="shared" si="13"/>
        <v>4.6777916525423739</v>
      </c>
      <c r="M188" s="8">
        <f t="shared" si="14"/>
        <v>2.2056074766355138</v>
      </c>
      <c r="N188" s="7">
        <v>27.6</v>
      </c>
      <c r="O188" s="6">
        <v>78.055000000000007</v>
      </c>
      <c r="P188" s="6">
        <v>17.907</v>
      </c>
      <c r="Q188" s="6">
        <f>O188*1.067</f>
        <v>83.28468500000001</v>
      </c>
      <c r="R188" s="6">
        <f>P188*1.514</f>
        <v>27.111198000000002</v>
      </c>
      <c r="S188" s="23">
        <f>P188*1.514+O188*1.067</f>
        <v>110.39588300000001</v>
      </c>
      <c r="T188" s="6">
        <v>34</v>
      </c>
      <c r="W188" s="6">
        <f>0.737+0.997</f>
        <v>1.734</v>
      </c>
      <c r="X188" s="6">
        <v>9.01</v>
      </c>
      <c r="AB188" s="5">
        <v>80</v>
      </c>
      <c r="AC188" s="7">
        <f>T188</f>
        <v>34</v>
      </c>
      <c r="AD188" s="1">
        <f>5*4.72</f>
        <v>23.599999999999998</v>
      </c>
      <c r="AE188" s="1">
        <v>25.4</v>
      </c>
      <c r="AF188" s="1">
        <f>5*2.28</f>
        <v>11.399999999999999</v>
      </c>
      <c r="AG188" s="98">
        <v>2.27</v>
      </c>
      <c r="AH188" s="119">
        <v>0.47766203703703702</v>
      </c>
      <c r="AJ188" s="1">
        <v>175</v>
      </c>
      <c r="AK188" s="3">
        <v>180</v>
      </c>
      <c r="AL188" s="4">
        <f>AE188</f>
        <v>25.4</v>
      </c>
      <c r="AM188" s="1">
        <v>24.7</v>
      </c>
      <c r="AN188" s="80">
        <f>360-AK188-AB188</f>
        <v>100</v>
      </c>
      <c r="AO188" s="126">
        <f>[2]HRT_SRT!P242</f>
        <v>1319.4444444444925</v>
      </c>
      <c r="AP188" s="13">
        <f>AVERAGE(AO186:AO192)</f>
        <v>1319.4444444444925</v>
      </c>
      <c r="AQ188" s="15">
        <f>IF(ISNUMBER([2]HRT_SRT!R242),[2]HRT_SRT!R242,"")</f>
        <v>21.852476614017071</v>
      </c>
      <c r="AR188" s="156">
        <f>(E188-W188)/E188</f>
        <v>0.99214644625832649</v>
      </c>
      <c r="AS188" s="155">
        <f>(I188-AF188)/I188</f>
        <v>0.51694915254237295</v>
      </c>
      <c r="AT188" s="155">
        <f>AG188/(AD188-AF188)</f>
        <v>0.18606557377049182</v>
      </c>
      <c r="AU188" s="16">
        <f>(G188-AM188)/G188</f>
        <v>-0.15420560747663536</v>
      </c>
      <c r="AV188" s="57">
        <f>IF(AND(ISNUMBER(E188),ISNUMBER(W188)),E188-W188,"")</f>
        <v>219.05776600000002</v>
      </c>
      <c r="AW188" s="57">
        <f>IF(AND(ISNUMBER(I188),ISNUMBER(AF188)),I188-AF188,"")</f>
        <v>12.2</v>
      </c>
      <c r="AX188" s="57">
        <f>IF(AND(ISNUMBER(AM188),ISNUMBER(G188)),G188-AM188,"")</f>
        <v>-3.2999999999999972</v>
      </c>
      <c r="AY188" s="57">
        <f>IF(AND(ISNUMBER(AC188),ISNUMBER(AE188)),AC188-AE188,"")</f>
        <v>8.6000000000000014</v>
      </c>
      <c r="AZ188" s="57">
        <f>IF(AND(ISNUMBER(AL188),ISNUMBER(AM188)),AL188-AM188,"")</f>
        <v>0.69999999999999929</v>
      </c>
      <c r="BA188" s="157">
        <f>IF(AND($E188&gt;0,$W188&gt;0),IF(($E188-$W188)/$E188&gt;0,($E188-$W188)/$E188,0),"")</f>
        <v>0.99214644625832649</v>
      </c>
      <c r="BB188" s="157">
        <f>IF(AND($I188&gt;0,$AF188&gt;=0),IF(($I188-$AF188)/$I188&gt;0,($I188-$AF188)/$I188,0),"")</f>
        <v>0.51694915254237295</v>
      </c>
      <c r="BC188" s="157">
        <f>IF(AND($AG188&gt;=0,$AD188&gt;=0,$AF188&gt;=0),IF($AG188/($AD188-$AF188)&gt;0,$AG188/($AD188-$AF188),0),"")</f>
        <v>0.18606557377049182</v>
      </c>
      <c r="BD188" s="157">
        <f>IF(AND($G188&gt;0,$AM188&gt;0),IF(($G188-$AM188)/$G188&gt;0,($G188-$AM188)/$G188,0),"")</f>
        <v>0</v>
      </c>
      <c r="BE188" s="6">
        <f>IF((AD188-AF188)/(AJ188/60)&lt;=0,"",(AD188-AF188)/(AJ188/60))</f>
        <v>4.1828571428571424</v>
      </c>
      <c r="BF188" s="6">
        <f>IF(OR(AJ188=0,AP188=0,NOT(ISNUMBER(AD188)),NOT(ISNUMBER(AF188)),NOT(ISNUMBER(AJ188)),NOT(ISNUMBER(AP188))),"",
IFERROR(IF((AD188-AF188)/(AJ188/60)/(AP188/1000)&lt;=0,"",(AD188-AF188)/(AJ188/60)/(AP188/1000)),""))</f>
        <v>3.1701654135337187</v>
      </c>
    </row>
    <row r="189" spans="1:58" ht="15.75">
      <c r="B189" s="94">
        <v>45449</v>
      </c>
      <c r="C189" s="128"/>
      <c r="D189" s="3">
        <v>184</v>
      </c>
      <c r="E189" s="205" t="str">
        <f t="shared" si="11"/>
        <v/>
      </c>
      <c r="G189" s="15">
        <f>(N189*18-H189*18)/9</f>
        <v>0</v>
      </c>
      <c r="I189" s="15">
        <f>AD189</f>
        <v>23.599999999999998</v>
      </c>
      <c r="K189" s="10" t="str">
        <f t="shared" si="12"/>
        <v/>
      </c>
      <c r="L189" s="9" t="str">
        <f t="shared" si="13"/>
        <v/>
      </c>
      <c r="M189" s="8" t="str">
        <f t="shared" si="14"/>
        <v/>
      </c>
      <c r="X189" s="6">
        <v>8.7200000000000006</v>
      </c>
      <c r="AB189" s="5">
        <v>80</v>
      </c>
      <c r="AD189" s="135">
        <f>AD188</f>
        <v>23.599999999999998</v>
      </c>
      <c r="AF189" s="135">
        <f>5*2.28</f>
        <v>11.399999999999999</v>
      </c>
      <c r="AG189" s="98">
        <v>3.44</v>
      </c>
      <c r="AH189" s="119">
        <v>0.46886574074074072</v>
      </c>
      <c r="AJ189" s="1">
        <v>175</v>
      </c>
      <c r="AK189" s="3">
        <v>180</v>
      </c>
      <c r="AN189" s="80">
        <f>360-AK189-AB189</f>
        <v>100</v>
      </c>
      <c r="AO189" s="126"/>
      <c r="AP189" s="13">
        <f>AVERAGE(AO187:AO193)</f>
        <v>1319.4444444444925</v>
      </c>
      <c r="AQ189" s="15" t="str">
        <f>IF(ISNUMBER([2]HRT_SRT!R243),[2]HRT_SRT!R243,"")</f>
        <v/>
      </c>
      <c r="AR189" s="156"/>
      <c r="AS189" s="155">
        <f>(I189-AF189)/I189</f>
        <v>0.51694915254237295</v>
      </c>
      <c r="AT189" s="155">
        <f>AG189/(AD189-AF189)</f>
        <v>0.28196721311475409</v>
      </c>
      <c r="AU189" s="16"/>
      <c r="AV189" s="57" t="str">
        <f>IF(AND(ISNUMBER(E189),ISNUMBER(W189)),E189-W189,"")</f>
        <v/>
      </c>
      <c r="AW189" s="57">
        <f>IF(AND(ISNUMBER(I189),ISNUMBER(AF189)),I189-AF189,"")</f>
        <v>12.2</v>
      </c>
      <c r="AX189" s="57" t="str">
        <f>IF(AND(ISNUMBER(AM189),ISNUMBER(G189)),G189-AM189,"")</f>
        <v/>
      </c>
      <c r="AY189" s="57" t="str">
        <f>IF(AND(ISNUMBER(AC189),ISNUMBER(AE189)),AC189-AE189,"")</f>
        <v/>
      </c>
      <c r="AZ189" s="57" t="str">
        <f>IF(AND(ISNUMBER(AL189),ISNUMBER(AM189)),AL189-AM189,"")</f>
        <v/>
      </c>
      <c r="BA189" s="157" t="str">
        <f>IF(AND($E189&gt;0,$W189&gt;0),IF(($E189-$W189)/$E189&gt;0,($E189-$W189)/$E189,0),"")</f>
        <v/>
      </c>
      <c r="BB189" s="157">
        <f>IF(AND($I189&gt;0,$AF189&gt;=0),IF(($I189-$AF189)/$I189&gt;0,($I189-$AF189)/$I189,0),"")</f>
        <v>0.51694915254237295</v>
      </c>
      <c r="BC189" s="157">
        <f>IF(AND($AG189&gt;=0,$AD189&gt;=0,$AF189&gt;=0),IF($AG189/($AD189-$AF189)&gt;0,$AG189/($AD189-$AF189),0),"")</f>
        <v>0.28196721311475409</v>
      </c>
      <c r="BD189" s="157" t="str">
        <f>IF(AND($G189&gt;0,$AM189&gt;0),IF(($G189-$AM189)/$G189&gt;0,($G189-$AM189)/$G189,0),"")</f>
        <v/>
      </c>
      <c r="BE189" s="6">
        <f>IF((AD189-AF189)/(AJ189/60)&lt;=0,"",(AD189-AF189)/(AJ189/60))</f>
        <v>4.1828571428571424</v>
      </c>
      <c r="BF189" s="6">
        <f>IF(OR(AJ189=0,AP189=0,NOT(ISNUMBER(AD189)),NOT(ISNUMBER(AF189)),NOT(ISNUMBER(AJ189)),NOT(ISNUMBER(AP189))),"",
IFERROR(IF((AD189-AF189)/(AJ189/60)/(AP189/1000)&lt;=0,"",(AD189-AF189)/(AJ189/60)/(AP189/1000)),""))</f>
        <v>3.1701654135337187</v>
      </c>
    </row>
    <row r="190" spans="1:58" s="27" customFormat="1" ht="15.75">
      <c r="A190" s="160"/>
      <c r="B190" s="159">
        <v>45450</v>
      </c>
      <c r="C190" s="128"/>
      <c r="D190" s="29">
        <v>185</v>
      </c>
      <c r="E190" s="205" t="str">
        <f t="shared" si="11"/>
        <v/>
      </c>
      <c r="F190" s="36"/>
      <c r="G190" s="36"/>
      <c r="H190" s="36"/>
      <c r="I190" s="15">
        <f>AD190</f>
        <v>23.599999999999998</v>
      </c>
      <c r="J190" s="35"/>
      <c r="K190" s="10" t="str">
        <f t="shared" si="12"/>
        <v/>
      </c>
      <c r="L190" s="9" t="str">
        <f t="shared" si="13"/>
        <v/>
      </c>
      <c r="M190" s="8" t="str">
        <f t="shared" si="14"/>
        <v/>
      </c>
      <c r="N190" s="34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74">
        <v>80</v>
      </c>
      <c r="AC190" s="32"/>
      <c r="AD190" s="158">
        <f>AD189</f>
        <v>23.599999999999998</v>
      </c>
      <c r="AF190" s="158">
        <f>5*2.28</f>
        <v>11.399999999999999</v>
      </c>
      <c r="AG190" s="116">
        <v>0.02</v>
      </c>
      <c r="AH190" s="125">
        <v>0.47939814814814813</v>
      </c>
      <c r="AJ190" s="27">
        <v>175</v>
      </c>
      <c r="AK190" s="29">
        <v>180</v>
      </c>
      <c r="AL190" s="32"/>
      <c r="AN190" s="87">
        <f>360-AK190-AB190</f>
        <v>100</v>
      </c>
      <c r="AO190" s="127"/>
      <c r="AP190" s="13">
        <f>AVERAGE(AO188:AO194)</f>
        <v>1664.7222222222645</v>
      </c>
      <c r="AQ190" s="77" t="str">
        <f>IF(ISNUMBER([2]HRT_SRT!R244),[2]HRT_SRT!R244,"")</f>
        <v/>
      </c>
      <c r="AR190" s="156"/>
      <c r="AS190" s="155">
        <f>(I190-AF190)/I190</f>
        <v>0.51694915254237295</v>
      </c>
      <c r="AT190" s="155">
        <f>AG190/(AD190-AF190)</f>
        <v>1.6393442622950822E-3</v>
      </c>
      <c r="AU190" s="16"/>
      <c r="AV190" s="57" t="str">
        <f>IF(AND(ISNUMBER(E190),ISNUMBER(W190)),E190-W190,"")</f>
        <v/>
      </c>
      <c r="AW190" s="57">
        <f>IF(AND(ISNUMBER(I190),ISNUMBER(AF190)),I190-AF190,"")</f>
        <v>12.2</v>
      </c>
      <c r="AX190" s="57" t="str">
        <f>IF(AND(ISNUMBER(AM190),ISNUMBER(G190)),G190-AM190,"")</f>
        <v/>
      </c>
      <c r="AY190" s="57" t="str">
        <f>IF(AND(ISNUMBER(AC190),ISNUMBER(AE190)),AC190-AE190,"")</f>
        <v/>
      </c>
      <c r="AZ190" s="57" t="str">
        <f>IF(AND(ISNUMBER(AL190),ISNUMBER(AM190)),AL190-AM190,"")</f>
        <v/>
      </c>
      <c r="BA190" s="157" t="str">
        <f>IF(AND($E190&gt;0,$W190&gt;0),IF(($E190-$W190)/$E190&gt;0,($E190-$W190)/$E190,0),"")</f>
        <v/>
      </c>
      <c r="BB190" s="157">
        <f>IF(AND($I190&gt;0,$AF190&gt;=0),IF(($I190-$AF190)/$I190&gt;0,($I190-$AF190)/$I190,0),"")</f>
        <v>0.51694915254237295</v>
      </c>
      <c r="BC190" s="157">
        <f>IF(AND($AG190&gt;=0,$AD190&gt;=0,$AF190&gt;=0),IF($AG190/($AD190-$AF190)&gt;0,$AG190/($AD190-$AF190),0),"")</f>
        <v>1.6393442622950822E-3</v>
      </c>
      <c r="BD190" s="157" t="str">
        <f>IF(AND($G190&gt;0,$AM190&gt;0),IF(($G190-$AM190)/$G190&gt;0,($G190-$AM190)/$G190,0),"")</f>
        <v/>
      </c>
      <c r="BE190" s="6">
        <f>IF((AD190-AF190)/(AJ190/60)&lt;=0,"",(AD190-AF190)/(AJ190/60))</f>
        <v>4.1828571428571424</v>
      </c>
      <c r="BF190" s="6">
        <f>IF(OR(AJ190=0,AP190=0,NOT(ISNUMBER(AD190)),NOT(ISNUMBER(AF190)),NOT(ISNUMBER(AJ190)),NOT(ISNUMBER(AP190))),"",
IFERROR(IF((AD190-AF190)/(AJ190/60)/(AP190/1000)&lt;=0,"",(AD190-AF190)/(AJ190/60)/(AP190/1000)),""))</f>
        <v>2.5126457057042102</v>
      </c>
    </row>
    <row r="191" spans="1:58" ht="15.75">
      <c r="A191" s="12" t="s">
        <v>136</v>
      </c>
      <c r="B191" s="134">
        <v>45451</v>
      </c>
      <c r="C191" s="133"/>
      <c r="D191" s="3">
        <v>186</v>
      </c>
      <c r="E191" s="205" t="str">
        <f t="shared" si="11"/>
        <v/>
      </c>
      <c r="I191" s="15">
        <f>AD191</f>
        <v>15</v>
      </c>
      <c r="K191" s="10" t="str">
        <f t="shared" si="12"/>
        <v/>
      </c>
      <c r="L191" s="9" t="str">
        <f t="shared" si="13"/>
        <v/>
      </c>
      <c r="M191" s="8" t="str">
        <f t="shared" si="14"/>
        <v/>
      </c>
      <c r="AB191" s="5">
        <v>80</v>
      </c>
      <c r="AD191" s="135">
        <f>15</f>
        <v>15</v>
      </c>
      <c r="AF191" s="135">
        <v>0</v>
      </c>
      <c r="AG191">
        <v>1</v>
      </c>
      <c r="AH191" s="119">
        <v>0.40057870370370369</v>
      </c>
      <c r="AK191" s="3">
        <v>180</v>
      </c>
      <c r="AN191" s="80">
        <f>360-AK191-AB191</f>
        <v>100</v>
      </c>
      <c r="AO191" s="126"/>
      <c r="AP191" s="13">
        <f>AVERAGE(AO189:AO195)</f>
        <v>2010.0000000000364</v>
      </c>
      <c r="AQ191" s="15" t="str">
        <f>IF(ISNUMBER([2]HRT_SRT!R245),[2]HRT_SRT!R245,"")</f>
        <v/>
      </c>
      <c r="AR191" s="156" t="e">
        <f>(E191-W191)/E191</f>
        <v>#VALUE!</v>
      </c>
      <c r="AS191" s="155">
        <f>(I191-AF191)/I191</f>
        <v>1</v>
      </c>
      <c r="AT191" s="155">
        <f>AG191/(AD191-AF191)</f>
        <v>6.6666666666666666E-2</v>
      </c>
      <c r="AU191" s="16" t="e">
        <f>(G191-AM191)/G191</f>
        <v>#DIV/0!</v>
      </c>
      <c r="AV191" s="57" t="str">
        <f>IF(AND(ISNUMBER(E191),ISNUMBER(W191)),E191-W191,"")</f>
        <v/>
      </c>
      <c r="AW191" s="57">
        <f>IF(AND(ISNUMBER(I191),ISNUMBER(AF191)),I191-AF191,"")</f>
        <v>15</v>
      </c>
      <c r="AX191" s="57" t="str">
        <f>IF(AND(ISNUMBER(AM191),ISNUMBER(G191)),G191-AM191,"")</f>
        <v/>
      </c>
      <c r="AY191" s="57" t="str">
        <f>IF(AND(ISNUMBER(AC191),ISNUMBER(AE191)),AC191-AE191,"")</f>
        <v/>
      </c>
      <c r="AZ191" s="57" t="str">
        <f>IF(AND(ISNUMBER(AL191),ISNUMBER(AM191)),AL191-AM191,"")</f>
        <v/>
      </c>
      <c r="BA191" s="84" t="str">
        <f>IF(AND($E191&gt;0,$W191&gt;0),IF(($E191-$W191)/$E191&gt;0,($E191-$W191)/$E191,0),"")</f>
        <v/>
      </c>
      <c r="BB191" s="84">
        <f>IF(AND($I191&gt;0,$AF191&gt;=0),IF(($I191-$AF191)/$I191&gt;0,($I191-$AF191)/$I191,0),"")</f>
        <v>1</v>
      </c>
      <c r="BC191" s="84">
        <f>IF(AND($AG191&gt;=0,$AD191&gt;=0,$AF191&gt;=0),IF($AG191/($AD191-$AF191)&gt;0,$AG191/($AD191-$AF191),0),"")</f>
        <v>6.6666666666666666E-2</v>
      </c>
      <c r="BD191" s="84" t="str">
        <f>IF(AND($G191&gt;0,$AM191&gt;0),IF(($G191-$AM191)/$G191&gt;0,($G191-$AM191)/$G191,0),"")</f>
        <v/>
      </c>
      <c r="BE191" s="6" t="e">
        <f>IF((AD191-AF191)/(AJ191/60)&lt;=0,"",(AD191-AF191)/(AJ191/60))</f>
        <v>#DIV/0!</v>
      </c>
      <c r="BF191" s="6" t="str">
        <f>IF(OR(AJ191=0,AP191=0,NOT(ISNUMBER(AD191)),NOT(ISNUMBER(AF191)),NOT(ISNUMBER(AJ191)),NOT(ISNUMBER(AP191))),"",
IFERROR(IF((AD191-AF191)/(AJ191/60)/(AP191/1000)&lt;=0,"",(AD191-AF191)/(AJ191/60)/(AP191/1000)),""))</f>
        <v/>
      </c>
    </row>
    <row r="192" spans="1:58" ht="15.75">
      <c r="B192" s="134">
        <v>45452</v>
      </c>
      <c r="C192" s="133"/>
      <c r="D192" s="3">
        <v>187</v>
      </c>
      <c r="E192" s="205" t="str">
        <f t="shared" si="11"/>
        <v/>
      </c>
      <c r="I192" s="15">
        <f>AD192</f>
        <v>15</v>
      </c>
      <c r="K192" s="10" t="str">
        <f t="shared" si="12"/>
        <v/>
      </c>
      <c r="L192" s="9" t="str">
        <f t="shared" si="13"/>
        <v/>
      </c>
      <c r="M192" s="8" t="str">
        <f t="shared" si="14"/>
        <v/>
      </c>
      <c r="AB192" s="5">
        <v>80</v>
      </c>
      <c r="AD192" s="135">
        <f>15</f>
        <v>15</v>
      </c>
      <c r="AF192" s="135">
        <v>0</v>
      </c>
      <c r="AG192">
        <v>1.29</v>
      </c>
      <c r="AH192" s="119">
        <v>0.40381944444444445</v>
      </c>
      <c r="AK192" s="3">
        <v>180</v>
      </c>
      <c r="AN192" s="80">
        <f>360-AK192-AB192</f>
        <v>100</v>
      </c>
      <c r="AO192" s="126"/>
      <c r="AP192" s="13">
        <f>AVERAGE(AO190:AO196)</f>
        <v>2010.0000000000364</v>
      </c>
      <c r="AQ192" s="15" t="str">
        <f>IF(ISNUMBER([2]HRT_SRT!R246),[2]HRT_SRT!R246,"")</f>
        <v/>
      </c>
      <c r="AR192" s="17" t="e">
        <f>(E192-W192)/E192</f>
        <v>#VALUE!</v>
      </c>
      <c r="AS192" s="16">
        <f>(I192-AF192)/I192</f>
        <v>1</v>
      </c>
      <c r="AT192" s="16">
        <f>AG192/(AD192-AF192)</f>
        <v>8.6000000000000007E-2</v>
      </c>
      <c r="AU192" s="16" t="e">
        <f>(G192-AM192)/G192</f>
        <v>#DIV/0!</v>
      </c>
      <c r="AV192" s="57" t="str">
        <f>IF(AND(ISNUMBER(E192),ISNUMBER(W192)),E192-W192,"")</f>
        <v/>
      </c>
      <c r="AW192" s="57">
        <f>IF(AND(ISNUMBER(I192),ISNUMBER(AF192)),I192-AF192,"")</f>
        <v>15</v>
      </c>
      <c r="AX192" s="57" t="str">
        <f>IF(AND(ISNUMBER(AM192),ISNUMBER(G192)),G192-AM192,"")</f>
        <v/>
      </c>
      <c r="AY192" s="57" t="str">
        <f>IF(AND(ISNUMBER(AC192),ISNUMBER(AE192)),AC192-AE192,"")</f>
        <v/>
      </c>
      <c r="AZ192" s="57" t="str">
        <f>IF(AND(ISNUMBER(AL192),ISNUMBER(AM192)),AL192-AM192,"")</f>
        <v/>
      </c>
      <c r="BA192" s="84" t="str">
        <f>IF(AND($E192&gt;0,$W192&gt;0),IF(($E192-$W192)/$E192&gt;0,($E192-$W192)/$E192,0),"")</f>
        <v/>
      </c>
      <c r="BB192" s="84">
        <f>IF(AND($I192&gt;0,$AF192&gt;=0),IF(($I192-$AF192)/$I192&gt;0,($I192-$AF192)/$I192,0),"")</f>
        <v>1</v>
      </c>
      <c r="BC192" s="84">
        <f>IF(AND($AG192&gt;=0,$AD192&gt;=0,$AF192&gt;=0),IF($AG192/($AD192-$AF192)&gt;0,$AG192/($AD192-$AF192),0),"")</f>
        <v>8.6000000000000007E-2</v>
      </c>
      <c r="BD192" s="84" t="str">
        <f>IF(AND($G192&gt;0,$AM192&gt;0),IF(($G192-$AM192)/$G192&gt;0,($G192-$AM192)/$G192,0),"")</f>
        <v/>
      </c>
      <c r="BE192" s="6" t="e">
        <f>IF((AD192-AF192)/(AJ192/60)&lt;=0,"",(AD192-AF192)/(AJ192/60))</f>
        <v>#DIV/0!</v>
      </c>
      <c r="BF192" s="6" t="str">
        <f>IF(OR(AJ192=0,AP192=0,NOT(ISNUMBER(AD192)),NOT(ISNUMBER(AF192)),NOT(ISNUMBER(AJ192)),NOT(ISNUMBER(AP192))),"",
IFERROR(IF((AD192-AF192)/(AJ192/60)/(AP192/1000)&lt;=0,"",(AD192-AF192)/(AJ192/60)/(AP192/1000)),""))</f>
        <v/>
      </c>
    </row>
    <row r="193" spans="1:58" ht="15.75">
      <c r="B193" s="134">
        <v>45453</v>
      </c>
      <c r="C193" s="133"/>
      <c r="D193" s="3">
        <v>188</v>
      </c>
      <c r="E193" s="205">
        <f t="shared" si="11"/>
        <v>203.98202399999997</v>
      </c>
      <c r="G193" s="15">
        <f>(N193*18-H193*18)/9</f>
        <v>24.399999999999995</v>
      </c>
      <c r="H193" s="15">
        <v>25.2</v>
      </c>
      <c r="I193" s="15">
        <f>AD193</f>
        <v>15.5</v>
      </c>
      <c r="K193" s="10">
        <f t="shared" si="12"/>
        <v>8.3599190163934427</v>
      </c>
      <c r="L193" s="9">
        <f t="shared" si="13"/>
        <v>6.5800652903225796</v>
      </c>
      <c r="M193" s="8">
        <f t="shared" si="14"/>
        <v>1.2704918032786887</v>
      </c>
      <c r="N193" s="7">
        <v>37.4</v>
      </c>
      <c r="O193" s="6">
        <v>74.367999999999995</v>
      </c>
      <c r="P193" s="6">
        <v>14.954000000000001</v>
      </c>
      <c r="Q193" s="6">
        <f>O193*1.067</f>
        <v>79.350655999999987</v>
      </c>
      <c r="R193" s="6">
        <f>P193*1.514</f>
        <v>22.640356000000001</v>
      </c>
      <c r="S193" s="23">
        <f>P193*1.514+O193*1.067</f>
        <v>101.99101199999998</v>
      </c>
      <c r="T193" s="6">
        <v>53.5</v>
      </c>
      <c r="W193">
        <f>2.669+1.57</f>
        <v>4.2389999999999999</v>
      </c>
      <c r="X193" s="6">
        <v>7.88</v>
      </c>
      <c r="AB193" s="5">
        <v>80</v>
      </c>
      <c r="AC193" s="7">
        <f>T193</f>
        <v>53.5</v>
      </c>
      <c r="AD193" s="1">
        <f>5*3.1</f>
        <v>15.5</v>
      </c>
      <c r="AE193" s="1">
        <v>38.4</v>
      </c>
      <c r="AF193" s="1">
        <v>0</v>
      </c>
      <c r="AG193">
        <v>2.94</v>
      </c>
      <c r="AH193" s="119">
        <v>0.42546296296296299</v>
      </c>
      <c r="AK193" s="3">
        <v>180</v>
      </c>
      <c r="AL193" s="4">
        <f>AE193</f>
        <v>38.4</v>
      </c>
      <c r="AM193" s="1">
        <v>34.4</v>
      </c>
      <c r="AN193" s="80">
        <f>360-AK193-AB193</f>
        <v>100</v>
      </c>
      <c r="AO193" s="126"/>
      <c r="AP193" s="13">
        <f>AVERAGE(AO191:AO197)</f>
        <v>2010.0000000000364</v>
      </c>
      <c r="AQ193" s="15" t="str">
        <f>IF(ISNUMBER([2]HRT_SRT!R247),[2]HRT_SRT!R247,"")</f>
        <v/>
      </c>
      <c r="AR193" s="17">
        <f>(E193-W193)/E193</f>
        <v>0.97921875704106154</v>
      </c>
      <c r="AS193" s="16">
        <f>(I193-AF193)/I193</f>
        <v>1</v>
      </c>
      <c r="AT193" s="16">
        <f>AG193/(AD193-AF193)</f>
        <v>0.1896774193548387</v>
      </c>
      <c r="AU193" s="16">
        <f>(G193-AM193)/G193</f>
        <v>-0.40983606557377072</v>
      </c>
      <c r="AV193" s="57">
        <f>IF(AND(ISNUMBER(E193),ISNUMBER(W193)),E193-W193,"")</f>
        <v>199.74302399999996</v>
      </c>
      <c r="AW193" s="57">
        <f>IF(AND(ISNUMBER(I193),ISNUMBER(AF193)),I193-AF193,"")</f>
        <v>15.5</v>
      </c>
      <c r="AX193" s="57">
        <f>IF(AND(ISNUMBER(AM193),ISNUMBER(G193)),G193-AM193,"")</f>
        <v>-10.000000000000004</v>
      </c>
      <c r="AY193" s="57">
        <f>IF(AND(ISNUMBER(AC193),ISNUMBER(AE193)),AC193-AE193,"")</f>
        <v>15.100000000000001</v>
      </c>
      <c r="AZ193" s="57">
        <f>IF(AND(ISNUMBER(AL193),ISNUMBER(AM193)),AL193-AM193,"")</f>
        <v>4</v>
      </c>
      <c r="BA193" s="84">
        <f>IF(AND($E193&gt;0,$W193&gt;0),IF(($E193-$W193)/$E193&gt;0,($E193-$W193)/$E193,0),"")</f>
        <v>0.97921875704106154</v>
      </c>
      <c r="BB193" s="84">
        <f>IF(AND($I193&gt;0,$AF193&gt;=0),IF(($I193-$AF193)/$I193&gt;0,($I193-$AF193)/$I193,0),"")</f>
        <v>1</v>
      </c>
      <c r="BC193" s="84">
        <f>IF(AND($AG193&gt;=0,$AD193&gt;=0,$AF193&gt;=0),IF($AG193/($AD193-$AF193)&gt;0,$AG193/($AD193-$AF193),0),"")</f>
        <v>0.1896774193548387</v>
      </c>
      <c r="BD193" s="84">
        <f>IF(AND($G193&gt;0,$AM193&gt;0),IF(($G193-$AM193)/$G193&gt;0,($G193-$AM193)/$G193,0),"")</f>
        <v>0</v>
      </c>
      <c r="BE193" s="6" t="e">
        <f>IF((AD193-AF193)/(AJ193/60)&lt;=0,"",(AD193-AF193)/(AJ193/60))</f>
        <v>#DIV/0!</v>
      </c>
      <c r="BF193" s="6" t="str">
        <f>IF(OR(AJ193=0,AP193=0,NOT(ISNUMBER(AD193)),NOT(ISNUMBER(AF193)),NOT(ISNUMBER(AJ193)),NOT(ISNUMBER(AP193))),"",
IFERROR(IF((AD193-AF193)/(AJ193/60)/(AP193/1000)&lt;=0,"",(AD193-AF193)/(AJ193/60)/(AP193/1000)),""))</f>
        <v/>
      </c>
    </row>
    <row r="194" spans="1:58" ht="15.75">
      <c r="B194" s="134">
        <v>45454</v>
      </c>
      <c r="C194" s="133"/>
      <c r="D194" s="136">
        <v>189</v>
      </c>
      <c r="E194" s="205">
        <f t="shared" si="11"/>
        <v>221.05169199999997</v>
      </c>
      <c r="G194" s="15">
        <f>(N194*18-H194*18)/9</f>
        <v>24.000000000000007</v>
      </c>
      <c r="H194" s="15">
        <v>27.7</v>
      </c>
      <c r="I194" s="15">
        <f>AD194</f>
        <v>13.95</v>
      </c>
      <c r="K194" s="10">
        <f t="shared" si="12"/>
        <v>9.2104871666666632</v>
      </c>
      <c r="L194" s="9">
        <f t="shared" si="13"/>
        <v>7.9229997132616479</v>
      </c>
      <c r="M194" s="8">
        <f t="shared" si="14"/>
        <v>1.1624999999999996</v>
      </c>
      <c r="N194" s="7">
        <v>39.700000000000003</v>
      </c>
      <c r="O194" s="6">
        <v>77.622</v>
      </c>
      <c r="P194" s="6">
        <v>18.297999999999998</v>
      </c>
      <c r="Q194" s="6">
        <f>O194*1.067</f>
        <v>82.822673999999992</v>
      </c>
      <c r="R194" s="6">
        <f>P194*1.514</f>
        <v>27.703171999999999</v>
      </c>
      <c r="S194" s="23">
        <f>P194*1.514+O194*1.067</f>
        <v>110.52584599999999</v>
      </c>
      <c r="T194" s="6">
        <v>52</v>
      </c>
      <c r="W194">
        <f>1.9+1.535</f>
        <v>3.4349999999999996</v>
      </c>
      <c r="X194" s="6">
        <v>6.58</v>
      </c>
      <c r="AB194" s="5">
        <v>80</v>
      </c>
      <c r="AC194" s="7">
        <f>T194</f>
        <v>52</v>
      </c>
      <c r="AD194" s="1">
        <f>5*2.79</f>
        <v>13.95</v>
      </c>
      <c r="AE194" s="1">
        <v>40.200000000000003</v>
      </c>
      <c r="AF194" s="1">
        <v>0</v>
      </c>
      <c r="AG194">
        <v>2.38</v>
      </c>
      <c r="AH194" s="119">
        <v>0.41608796296296297</v>
      </c>
      <c r="AK194" s="3">
        <v>180</v>
      </c>
      <c r="AL194" s="4">
        <f>AE194</f>
        <v>40.200000000000003</v>
      </c>
      <c r="AM194" s="1">
        <v>46</v>
      </c>
      <c r="AN194" s="80">
        <f>360-AK194-AB194</f>
        <v>100</v>
      </c>
      <c r="AO194" s="126">
        <f>[2]HRT_SRT!P248</f>
        <v>2010.0000000000364</v>
      </c>
      <c r="AP194" s="13">
        <f>AVERAGE(AO192:AO198)</f>
        <v>2010.0000000000364</v>
      </c>
      <c r="AQ194" s="15">
        <f>IF(ISNUMBER([2]HRT_SRT!R248),[2]HRT_SRT!R248,"")</f>
        <v>23.147792706334364</v>
      </c>
      <c r="AR194" s="17">
        <f>(E194-W194)/E194</f>
        <v>0.9844606482360696</v>
      </c>
      <c r="AS194" s="16">
        <f>(I194-AF194)/I194</f>
        <v>1</v>
      </c>
      <c r="AT194" s="16">
        <f>AG194/(AD194-AF194)</f>
        <v>0.17060931899641577</v>
      </c>
      <c r="AU194" s="16">
        <f>(G194-AM194)/G194</f>
        <v>-0.91666666666666607</v>
      </c>
      <c r="AV194" s="57">
        <f>IF(AND(ISNUMBER(E194),ISNUMBER(W194)),E194-W194,"")</f>
        <v>217.61669199999997</v>
      </c>
      <c r="AW194" s="57">
        <f>IF(AND(ISNUMBER(I194),ISNUMBER(AF194)),I194-AF194,"")</f>
        <v>13.95</v>
      </c>
      <c r="AX194" s="57">
        <f>IF(AND(ISNUMBER(AM194),ISNUMBER(G194)),G194-AM194,"")</f>
        <v>-21.999999999999993</v>
      </c>
      <c r="AY194" s="57">
        <f>IF(AND(ISNUMBER(AC194),ISNUMBER(AE194)),AC194-AE194,"")</f>
        <v>11.799999999999997</v>
      </c>
      <c r="AZ194" s="57">
        <f>IF(AND(ISNUMBER(AL194),ISNUMBER(AM194)),AL194-AM194,"")</f>
        <v>-5.7999999999999972</v>
      </c>
      <c r="BA194" s="84">
        <f>IF(AND($E194&gt;0,$W194&gt;0),IF(($E194-$W194)/$E194&gt;0,($E194-$W194)/$E194,0),"")</f>
        <v>0.9844606482360696</v>
      </c>
      <c r="BB194" s="84">
        <f>IF(AND($I194&gt;0,$AF194&gt;=0),IF(($I194-$AF194)/$I194&gt;0,($I194-$AF194)/$I194,0),"")</f>
        <v>1</v>
      </c>
      <c r="BC194" s="84">
        <f>IF(AND($AG194&gt;=0,$AD194&gt;=0,$AF194&gt;=0),IF($AG194/($AD194-$AF194)&gt;0,$AG194/($AD194-$AF194),0),"")</f>
        <v>0.17060931899641577</v>
      </c>
      <c r="BD194" s="84">
        <f>IF(AND($G194&gt;0,$AM194&gt;0),IF(($G194-$AM194)/$G194&gt;0,($G194-$AM194)/$G194,0),"")</f>
        <v>0</v>
      </c>
      <c r="BE194" s="6" t="e">
        <f>IF((AD194-AF194)/(AJ194/60)&lt;=0,"",(AD194-AF194)/(AJ194/60))</f>
        <v>#DIV/0!</v>
      </c>
      <c r="BF194" s="6" t="str">
        <f>IF(OR(AJ194=0,AP194=0,NOT(ISNUMBER(AD194)),NOT(ISNUMBER(AF194)),NOT(ISNUMBER(AJ194)),NOT(ISNUMBER(AP194))),"",
IFERROR(IF((AD194-AF194)/(AJ194/60)/(AP194/1000)&lt;=0,"",(AD194-AF194)/(AJ194/60)/(AP194/1000)),""))</f>
        <v/>
      </c>
    </row>
    <row r="195" spans="1:58" s="137" customFormat="1" ht="15.75">
      <c r="A195" s="154" t="s">
        <v>135</v>
      </c>
      <c r="B195" s="134">
        <v>45455</v>
      </c>
      <c r="C195" s="133"/>
      <c r="D195" s="145">
        <v>190</v>
      </c>
      <c r="E195" s="205" t="str">
        <f t="shared" si="11"/>
        <v/>
      </c>
      <c r="F195" s="153"/>
      <c r="G195" s="153"/>
      <c r="H195" s="153"/>
      <c r="I195" s="15">
        <f>AD195</f>
        <v>15</v>
      </c>
      <c r="J195" s="152"/>
      <c r="K195" s="10" t="str">
        <f t="shared" si="12"/>
        <v/>
      </c>
      <c r="L195" s="9" t="str">
        <f t="shared" si="13"/>
        <v/>
      </c>
      <c r="M195" s="8" t="str">
        <f t="shared" si="14"/>
        <v/>
      </c>
      <c r="N195" s="151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>
        <v>8.6300000000000008</v>
      </c>
      <c r="Y195" s="150"/>
      <c r="Z195" s="150"/>
      <c r="AA195" s="150"/>
      <c r="AB195" s="149">
        <v>80</v>
      </c>
      <c r="AC195" s="141"/>
      <c r="AD195" s="148">
        <f>(AD194+AD196)/2</f>
        <v>15</v>
      </c>
      <c r="AF195" s="148">
        <v>0</v>
      </c>
      <c r="AG195" s="147">
        <v>2.63</v>
      </c>
      <c r="AH195" s="146">
        <v>0.43379629629629629</v>
      </c>
      <c r="AK195" s="145">
        <v>180</v>
      </c>
      <c r="AL195" s="141"/>
      <c r="AN195" s="144">
        <f>360-AK195-AB195</f>
        <v>100</v>
      </c>
      <c r="AO195" s="143"/>
      <c r="AP195" s="13">
        <f>AVERAGE(AO193:AO199)</f>
        <v>2010.0000000000364</v>
      </c>
      <c r="AQ195" s="142" t="str">
        <f>IF(ISNUMBER([2]HRT_SRT!R249),[2]HRT_SRT!R249,"")</f>
        <v/>
      </c>
      <c r="AR195" s="140" t="e">
        <f>(E195-W195)/E195</f>
        <v>#VALUE!</v>
      </c>
      <c r="AS195" s="139">
        <f>(I195-AF195)/I195</f>
        <v>1</v>
      </c>
      <c r="AT195" s="139">
        <f>AG195/(AD195-AF195)</f>
        <v>0.17533333333333331</v>
      </c>
      <c r="AU195" s="139" t="e">
        <f>(G195-AM195)/G195</f>
        <v>#DIV/0!</v>
      </c>
      <c r="AV195" s="138" t="str">
        <f>IF(AND(ISNUMBER(E195),ISNUMBER(W195)),E195-W195,"")</f>
        <v/>
      </c>
      <c r="AW195" s="138">
        <f>IF(AND(ISNUMBER(I195),ISNUMBER(AF195)),I195-AF195,"")</f>
        <v>15</v>
      </c>
      <c r="AX195" s="138" t="str">
        <f>IF(AND(ISNUMBER(AM195),ISNUMBER(G195)),G195-AM195,"")</f>
        <v/>
      </c>
      <c r="AY195" s="57" t="str">
        <f>IF(AND(ISNUMBER(AC195),ISNUMBER(AE195)),AC195-AE195,"")</f>
        <v/>
      </c>
      <c r="AZ195" s="57" t="str">
        <f>IF(AND(ISNUMBER(AL195),ISNUMBER(AM195)),AL195-AM195,"")</f>
        <v/>
      </c>
      <c r="BA195" s="84" t="str">
        <f>IF(AND($E195&gt;0,$W195&gt;0),IF(($E195-$W195)/$E195&gt;0,($E195-$W195)/$E195,0),"")</f>
        <v/>
      </c>
      <c r="BB195" s="84">
        <f>IF(AND($I195&gt;0,$AF195&gt;=0),IF(($I195-$AF195)/$I195&gt;0,($I195-$AF195)/$I195,0),"")</f>
        <v>1</v>
      </c>
      <c r="BC195" s="84">
        <f>IF(AND($AG195&gt;=0,$AD195&gt;=0,$AF195&gt;=0),IF($AG195/($AD195-$AF195)&gt;0,$AG195/($AD195-$AF195),0),"")</f>
        <v>0.17533333333333331</v>
      </c>
      <c r="BD195" s="84" t="str">
        <f>IF(AND($G195&gt;0,$AM195&gt;0),IF(($G195-$AM195)/$G195&gt;0,($G195-$AM195)/$G195,0),"")</f>
        <v/>
      </c>
      <c r="BE195" s="6" t="e">
        <f>IF((AD195-AF195)/(AJ195/60)&lt;=0,"",(AD195-AF195)/(AJ195/60))</f>
        <v>#DIV/0!</v>
      </c>
      <c r="BF195" s="6" t="str">
        <f>IF(OR(AJ195=0,AP195=0,NOT(ISNUMBER(AD195)),NOT(ISNUMBER(AF195)),NOT(ISNUMBER(AJ195)),NOT(ISNUMBER(AP195))),"",
IFERROR(IF((AD195-AF195)/(AJ195/60)/(AP195/1000)&lt;=0,"",(AD195-AF195)/(AJ195/60)/(AP195/1000)),""))</f>
        <v/>
      </c>
    </row>
    <row r="196" spans="1:58" s="137" customFormat="1" ht="15.75">
      <c r="A196" s="154"/>
      <c r="B196" s="134">
        <v>45456</v>
      </c>
      <c r="C196" s="133"/>
      <c r="D196" s="145">
        <v>191</v>
      </c>
      <c r="E196" s="205" t="str">
        <f t="shared" si="11"/>
        <v/>
      </c>
      <c r="F196" s="153"/>
      <c r="G196" s="142">
        <f>(N196*18-H196*18)/9</f>
        <v>11</v>
      </c>
      <c r="H196" s="142">
        <v>48.2</v>
      </c>
      <c r="I196" s="15">
        <f>AD196</f>
        <v>16.05</v>
      </c>
      <c r="J196" s="152"/>
      <c r="K196" s="10" t="str">
        <f t="shared" si="12"/>
        <v/>
      </c>
      <c r="L196" s="9" t="str">
        <f t="shared" si="13"/>
        <v/>
      </c>
      <c r="M196" s="8">
        <f t="shared" si="14"/>
        <v>2.9181818181818184</v>
      </c>
      <c r="N196" s="151">
        <v>53.7</v>
      </c>
      <c r="O196" s="150"/>
      <c r="P196" s="150"/>
      <c r="Q196" s="150"/>
      <c r="R196" s="150"/>
      <c r="S196" s="150"/>
      <c r="T196" s="150">
        <v>58</v>
      </c>
      <c r="U196" s="150"/>
      <c r="V196" s="150"/>
      <c r="W196" s="150"/>
      <c r="X196" s="150">
        <v>0.14000000000000001</v>
      </c>
      <c r="Y196" s="150"/>
      <c r="Z196" s="150"/>
      <c r="AA196" s="150"/>
      <c r="AB196" s="149">
        <v>80</v>
      </c>
      <c r="AC196" s="151">
        <f>T196</f>
        <v>58</v>
      </c>
      <c r="AD196" s="137">
        <f>5*3.21</f>
        <v>16.05</v>
      </c>
      <c r="AE196" s="137">
        <v>48</v>
      </c>
      <c r="AF196" s="137">
        <v>0</v>
      </c>
      <c r="AG196" s="147"/>
      <c r="AH196" s="146">
        <v>0.47916666666666669</v>
      </c>
      <c r="AK196" s="145">
        <v>180</v>
      </c>
      <c r="AL196" s="141">
        <f>AE196</f>
        <v>48</v>
      </c>
      <c r="AM196" s="137">
        <v>31.3</v>
      </c>
      <c r="AN196" s="144">
        <f>360-AK196-AB196</f>
        <v>100</v>
      </c>
      <c r="AO196" s="143"/>
      <c r="AP196" s="13">
        <f>AVERAGE(AO194:AO200)</f>
        <v>2010.0000000000364</v>
      </c>
      <c r="AQ196" s="142" t="str">
        <f>IF(ISNUMBER([2]HRT_SRT!R250),[2]HRT_SRT!R250,"")</f>
        <v/>
      </c>
      <c r="AR196" s="140" t="e">
        <f>(E196-W196)/E196</f>
        <v>#VALUE!</v>
      </c>
      <c r="AS196" s="139">
        <f>(I196-AF196)/I196</f>
        <v>1</v>
      </c>
      <c r="AT196" s="139">
        <f>AG196/(AD196-AF196)</f>
        <v>0</v>
      </c>
      <c r="AU196" s="139">
        <f>(G196-AM196)/G196</f>
        <v>-1.8454545454545455</v>
      </c>
      <c r="AV196" s="138" t="str">
        <f>IF(AND(ISNUMBER(E196),ISNUMBER(W196)),E196-W196,"")</f>
        <v/>
      </c>
      <c r="AW196" s="138">
        <f>IF(AND(ISNUMBER(I196),ISNUMBER(AF196)),I196-AF196,"")</f>
        <v>16.05</v>
      </c>
      <c r="AX196" s="138">
        <f>IF(AND(ISNUMBER(AM196),ISNUMBER(G196)),G196-AM196,"")</f>
        <v>-20.3</v>
      </c>
      <c r="AY196" s="57">
        <f>IF(AND(ISNUMBER(AC196),ISNUMBER(AE196)),AC196-AE196,"")</f>
        <v>10</v>
      </c>
      <c r="AZ196" s="57">
        <f>IF(AND(ISNUMBER(AL196),ISNUMBER(AM196)),AL196-AM196,"")</f>
        <v>16.7</v>
      </c>
      <c r="BA196" s="84" t="str">
        <f>IF(AND($E196&gt;0,$W196&gt;0),IF(($E196-$W196)/$E196&gt;0,($E196-$W196)/$E196,0),"")</f>
        <v/>
      </c>
      <c r="BB196" s="84">
        <f>IF(AND($I196&gt;0,$AF196&gt;=0),IF(($I196-$AF196)/$I196&gt;0,($I196-$AF196)/$I196,0),"")</f>
        <v>1</v>
      </c>
      <c r="BC196" s="84">
        <f>IF(AND($AG196&gt;=0,$AD196&gt;=0,$AF196&gt;=0),IF($AG196/($AD196-$AF196)&gt;0,$AG196/($AD196-$AF196),0),"")</f>
        <v>0</v>
      </c>
      <c r="BD196" s="84">
        <f>IF(AND($G196&gt;0,$AM196&gt;0),IF(($G196-$AM196)/$G196&gt;0,($G196-$AM196)/$G196,0),"")</f>
        <v>0</v>
      </c>
      <c r="BE196" s="6" t="e">
        <f>IF((AD196-AF196)/(AJ196/60)&lt;=0,"",(AD196-AF196)/(AJ196/60))</f>
        <v>#DIV/0!</v>
      </c>
      <c r="BF196" s="6" t="str">
        <f>IF(OR(AJ196=0,AP196=0,NOT(ISNUMBER(AD196)),NOT(ISNUMBER(AF196)),NOT(ISNUMBER(AJ196)),NOT(ISNUMBER(AP196))),"",
IFERROR(IF((AD196-AF196)/(AJ196/60)/(AP196/1000)&lt;=0,"",(AD196-AF196)/(AJ196/60)/(AP196/1000)),""))</f>
        <v/>
      </c>
    </row>
    <row r="197" spans="1:58" s="137" customFormat="1" ht="15.75">
      <c r="A197" s="154"/>
      <c r="B197" s="134">
        <v>45457</v>
      </c>
      <c r="C197" s="133"/>
      <c r="D197" s="145">
        <v>192</v>
      </c>
      <c r="E197" s="205" t="str">
        <f t="shared" si="11"/>
        <v/>
      </c>
      <c r="F197" s="153"/>
      <c r="G197" s="142">
        <f>(N197*18-H197*18)/9</f>
        <v>8.9100000000000019</v>
      </c>
      <c r="H197" s="142">
        <v>5.2249999999999996</v>
      </c>
      <c r="I197" s="15">
        <f>AD197</f>
        <v>15.05</v>
      </c>
      <c r="J197" s="152"/>
      <c r="K197" s="10" t="str">
        <f t="shared" si="12"/>
        <v/>
      </c>
      <c r="L197" s="9" t="str">
        <f t="shared" si="13"/>
        <v/>
      </c>
      <c r="M197" s="8">
        <f t="shared" si="14"/>
        <v>3.3782267115600444</v>
      </c>
      <c r="N197" s="151">
        <v>9.68</v>
      </c>
      <c r="O197" s="150"/>
      <c r="P197" s="150"/>
      <c r="Q197" s="150"/>
      <c r="R197" s="150"/>
      <c r="S197" s="150"/>
      <c r="T197" s="150">
        <v>14.6</v>
      </c>
      <c r="U197" s="150"/>
      <c r="V197" s="150"/>
      <c r="W197" s="150"/>
      <c r="X197" s="150">
        <v>6.33</v>
      </c>
      <c r="Y197" s="150"/>
      <c r="Z197" s="150"/>
      <c r="AA197" s="150"/>
      <c r="AB197" s="149">
        <v>80</v>
      </c>
      <c r="AC197" s="151">
        <f>T197</f>
        <v>14.6</v>
      </c>
      <c r="AD197" s="148">
        <f>(AD196*2/3+AD200*1/3)</f>
        <v>15.05</v>
      </c>
      <c r="AE197" s="137">
        <v>8.11</v>
      </c>
      <c r="AF197" s="148">
        <v>0</v>
      </c>
      <c r="AG197" s="147">
        <v>3.37</v>
      </c>
      <c r="AH197" s="146">
        <v>0.43958333333333333</v>
      </c>
      <c r="AK197" s="145">
        <v>180</v>
      </c>
      <c r="AL197" s="141">
        <f>AE197</f>
        <v>8.11</v>
      </c>
      <c r="AM197" s="137">
        <v>6.35</v>
      </c>
      <c r="AN197" s="144">
        <f>360-AK197-AB197</f>
        <v>100</v>
      </c>
      <c r="AO197" s="143"/>
      <c r="AP197" s="13" t="e">
        <f>AVERAGE(AO195:AO201)</f>
        <v>#DIV/0!</v>
      </c>
      <c r="AQ197" s="142" t="str">
        <f>IF(ISNUMBER([2]HRT_SRT!R251),[2]HRT_SRT!R251,"")</f>
        <v/>
      </c>
      <c r="AR197" s="140" t="e">
        <f>(E197-W197)/E197</f>
        <v>#VALUE!</v>
      </c>
      <c r="AS197" s="139">
        <f>(I197-AF197)/I197</f>
        <v>1</v>
      </c>
      <c r="AT197" s="139">
        <f>AG197/(AD197-AF197)</f>
        <v>0.2239202657807309</v>
      </c>
      <c r="AU197" s="139">
        <f>(G197-AM197)/G197</f>
        <v>0.28731762065095418</v>
      </c>
      <c r="AV197" s="138" t="str">
        <f>IF(AND(ISNUMBER(E197),ISNUMBER(W197)),E197-W197,"")</f>
        <v/>
      </c>
      <c r="AW197" s="138">
        <f>IF(AND(ISNUMBER(I197),ISNUMBER(AF197)),I197-AF197,"")</f>
        <v>15.05</v>
      </c>
      <c r="AX197" s="138">
        <f>IF(AND(ISNUMBER(AM197),ISNUMBER(G197)),G197-AM197,"")</f>
        <v>2.5600000000000023</v>
      </c>
      <c r="AY197" s="57">
        <f>IF(AND(ISNUMBER(AC197),ISNUMBER(AE197)),AC197-AE197,"")</f>
        <v>6.49</v>
      </c>
      <c r="AZ197" s="57">
        <f>IF(AND(ISNUMBER(AL197),ISNUMBER(AM197)),AL197-AM197,"")</f>
        <v>1.7599999999999998</v>
      </c>
      <c r="BA197" s="84" t="str">
        <f>IF(AND($E197&gt;0,$W197&gt;0),IF(($E197-$W197)/$E197&gt;0,($E197-$W197)/$E197,0),"")</f>
        <v/>
      </c>
      <c r="BB197" s="84">
        <f>IF(AND($I197&gt;0,$AF197&gt;=0),IF(($I197-$AF197)/$I197&gt;0,($I197-$AF197)/$I197,0),"")</f>
        <v>1</v>
      </c>
      <c r="BC197" s="84">
        <f>IF(AND($AG197&gt;=0,$AD197&gt;=0,$AF197&gt;=0),IF($AG197/($AD197-$AF197)&gt;0,$AG197/($AD197-$AF197),0),"")</f>
        <v>0.2239202657807309</v>
      </c>
      <c r="BD197" s="84">
        <f>IF(AND($G197&gt;0,$AM197&gt;0),IF(($G197-$AM197)/$G197&gt;0,($G197-$AM197)/$G197,0),"")</f>
        <v>0.28731762065095418</v>
      </c>
      <c r="BE197" s="6" t="e">
        <f>IF((AD197-AF197)/(AJ197/60)&lt;=0,"",(AD197-AF197)/(AJ197/60))</f>
        <v>#DIV/0!</v>
      </c>
      <c r="BF197" s="6" t="e">
        <f>IF(OR(AJ197=0,AP197=0,NOT(ISNUMBER(AD197)),NOT(ISNUMBER(AF197)),NOT(ISNUMBER(AJ197)),NOT(ISNUMBER(AP197))),"",
IFERROR(IF((AD197-AF197)/(AJ197/60)/(AP197/1000)&lt;=0,"",(AD197-AF197)/(AJ197/60)/(AP197/1000)),""))</f>
        <v>#DIV/0!</v>
      </c>
    </row>
    <row r="198" spans="1:58" s="137" customFormat="1" ht="15.75">
      <c r="A198" s="154"/>
      <c r="B198" s="134">
        <v>45458</v>
      </c>
      <c r="C198" s="133"/>
      <c r="D198" s="145">
        <v>193</v>
      </c>
      <c r="E198" s="205" t="str">
        <f t="shared" si="11"/>
        <v/>
      </c>
      <c r="F198" s="153"/>
      <c r="G198" s="153"/>
      <c r="H198" s="153"/>
      <c r="I198" s="15">
        <f>AD198</f>
        <v>14.55</v>
      </c>
      <c r="J198" s="152"/>
      <c r="K198" s="10" t="str">
        <f t="shared" si="12"/>
        <v/>
      </c>
      <c r="L198" s="9" t="str">
        <f t="shared" si="13"/>
        <v/>
      </c>
      <c r="M198" s="8" t="str">
        <f t="shared" si="14"/>
        <v/>
      </c>
      <c r="N198" s="151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  <c r="AA198" s="150"/>
      <c r="AB198" s="149">
        <v>80</v>
      </c>
      <c r="AC198" s="141"/>
      <c r="AD198" s="148">
        <f>(AD196+AD200)/2</f>
        <v>14.55</v>
      </c>
      <c r="AF198" s="148">
        <v>0</v>
      </c>
      <c r="AG198" s="147">
        <v>2.4700000000000002</v>
      </c>
      <c r="AH198" s="146">
        <v>0.46747685185185184</v>
      </c>
      <c r="AK198" s="145">
        <v>180</v>
      </c>
      <c r="AL198" s="141"/>
      <c r="AN198" s="144">
        <f>360-AK198-AB198</f>
        <v>100</v>
      </c>
      <c r="AO198" s="143"/>
      <c r="AP198" s="13" t="e">
        <f>AVERAGE(AO196:AO202)</f>
        <v>#DIV/0!</v>
      </c>
      <c r="AQ198" s="142" t="str">
        <f>IF(ISNUMBER([2]HRT_SRT!R252),[2]HRT_SRT!R252,"")</f>
        <v/>
      </c>
      <c r="AR198" s="140" t="e">
        <f>(E198-W198)/E198</f>
        <v>#VALUE!</v>
      </c>
      <c r="AS198" s="139">
        <f>(I198-AF198)/I198</f>
        <v>1</v>
      </c>
      <c r="AT198" s="139">
        <f>AG198/(AD198-AF198)</f>
        <v>0.16975945017182131</v>
      </c>
      <c r="AU198" s="139" t="e">
        <f>(G198-AM198)/G198</f>
        <v>#DIV/0!</v>
      </c>
      <c r="AV198" s="138" t="str">
        <f>IF(AND(ISNUMBER(E198),ISNUMBER(W198)),E198-W198,"")</f>
        <v/>
      </c>
      <c r="AW198" s="138">
        <f>IF(AND(ISNUMBER(I198),ISNUMBER(AF198)),I198-AF198,"")</f>
        <v>14.55</v>
      </c>
      <c r="AX198" s="138" t="str">
        <f>IF(AND(ISNUMBER(AM198),ISNUMBER(G198)),G198-AM198,"")</f>
        <v/>
      </c>
      <c r="AY198" s="57" t="str">
        <f>IF(AND(ISNUMBER(AC198),ISNUMBER(AE198)),AC198-AE198,"")</f>
        <v/>
      </c>
      <c r="AZ198" s="57" t="str">
        <f>IF(AND(ISNUMBER(AL198),ISNUMBER(AM198)),AL198-AM198,"")</f>
        <v/>
      </c>
      <c r="BA198" s="84" t="str">
        <f>IF(AND($E198&gt;0,$W198&gt;0),IF(($E198-$W198)/$E198&gt;0,($E198-$W198)/$E198,0),"")</f>
        <v/>
      </c>
      <c r="BB198" s="84">
        <f>IF(AND($I198&gt;0,$AF198&gt;=0),IF(($I198-$AF198)/$I198&gt;0,($I198-$AF198)/$I198,0),"")</f>
        <v>1</v>
      </c>
      <c r="BC198" s="84">
        <f>IF(AND($AG198&gt;=0,$AD198&gt;=0,$AF198&gt;=0),IF($AG198/($AD198-$AF198)&gt;0,$AG198/($AD198-$AF198),0),"")</f>
        <v>0.16975945017182131</v>
      </c>
      <c r="BD198" s="84" t="str">
        <f>IF(AND($G198&gt;0,$AM198&gt;0),IF(($G198-$AM198)/$G198&gt;0,($G198-$AM198)/$G198,0),"")</f>
        <v/>
      </c>
      <c r="BE198" s="6" t="e">
        <f>IF((AD198-AF198)/(AJ198/60)&lt;=0,"",(AD198-AF198)/(AJ198/60))</f>
        <v>#DIV/0!</v>
      </c>
      <c r="BF198" s="6" t="e">
        <f>IF(OR(AJ198=0,AP198=0,NOT(ISNUMBER(AD198)),NOT(ISNUMBER(AF198)),NOT(ISNUMBER(AJ198)),NOT(ISNUMBER(AP198))),"",
IFERROR(IF((AD198-AF198)/(AJ198/60)/(AP198/1000)&lt;=0,"",(AD198-AF198)/(AJ198/60)/(AP198/1000)),""))</f>
        <v>#DIV/0!</v>
      </c>
    </row>
    <row r="199" spans="1:58" s="137" customFormat="1" ht="15.75">
      <c r="A199" s="154"/>
      <c r="B199" s="134">
        <v>45459</v>
      </c>
      <c r="C199" s="133"/>
      <c r="D199" s="145">
        <v>194</v>
      </c>
      <c r="E199" s="205" t="str">
        <f t="shared" ref="E199:E262" si="15">IF(OR(S199="",S199=0),"",S199*2)</f>
        <v/>
      </c>
      <c r="F199" s="153"/>
      <c r="G199" s="153"/>
      <c r="H199" s="153"/>
      <c r="I199" s="15">
        <f>AD199</f>
        <v>13.8</v>
      </c>
      <c r="J199" s="152"/>
      <c r="K199" s="10" t="str">
        <f t="shared" si="12"/>
        <v/>
      </c>
      <c r="L199" s="9" t="str">
        <f t="shared" si="13"/>
        <v/>
      </c>
      <c r="M199" s="8" t="str">
        <f t="shared" si="14"/>
        <v/>
      </c>
      <c r="N199" s="151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  <c r="AA199" s="150"/>
      <c r="AB199" s="149">
        <v>80</v>
      </c>
      <c r="AC199" s="141"/>
      <c r="AD199" s="148">
        <f>(AD198+AD200)/2</f>
        <v>13.8</v>
      </c>
      <c r="AF199" s="148">
        <v>0</v>
      </c>
      <c r="AG199" s="147">
        <v>1.51</v>
      </c>
      <c r="AH199" s="146">
        <v>0.46620370370370373</v>
      </c>
      <c r="AK199" s="145">
        <v>180</v>
      </c>
      <c r="AL199" s="141"/>
      <c r="AN199" s="144">
        <f>360-AK199-AB199</f>
        <v>100</v>
      </c>
      <c r="AO199" s="143"/>
      <c r="AP199" s="13" t="e">
        <f>AVERAGE(AO197:AO203)</f>
        <v>#DIV/0!</v>
      </c>
      <c r="AQ199" s="142" t="str">
        <f>IF(ISNUMBER([2]HRT_SRT!R253),[2]HRT_SRT!R253,"")</f>
        <v/>
      </c>
      <c r="AR199" s="140" t="e">
        <f>(E199-W199)/E199</f>
        <v>#VALUE!</v>
      </c>
      <c r="AS199" s="139">
        <f>(I199-AF199)/I199</f>
        <v>1</v>
      </c>
      <c r="AT199" s="139">
        <f>AG199/(AD199-AF199)</f>
        <v>0.10942028985507246</v>
      </c>
      <c r="AU199" s="139" t="e">
        <f>(G199-AM199)/G199</f>
        <v>#DIV/0!</v>
      </c>
      <c r="AV199" s="138" t="str">
        <f>IF(AND(ISNUMBER(E199),ISNUMBER(W199)),E199-W199,"")</f>
        <v/>
      </c>
      <c r="AW199" s="138">
        <f>IF(AND(ISNUMBER(I199),ISNUMBER(AF199)),I199-AF199,"")</f>
        <v>13.8</v>
      </c>
      <c r="AX199" s="138" t="str">
        <f>IF(AND(ISNUMBER(AM199),ISNUMBER(G199)),G199-AM199,"")</f>
        <v/>
      </c>
      <c r="AY199" s="57" t="str">
        <f>IF(AND(ISNUMBER(AC199),ISNUMBER(AE199)),AC199-AE199,"")</f>
        <v/>
      </c>
      <c r="AZ199" s="57" t="str">
        <f>IF(AND(ISNUMBER(AL199),ISNUMBER(AM199)),AL199-AM199,"")</f>
        <v/>
      </c>
      <c r="BA199" s="84" t="str">
        <f>IF(AND($E199&gt;0,$W199&gt;0),IF(($E199-$W199)/$E199&gt;0,($E199-$W199)/$E199,0),"")</f>
        <v/>
      </c>
      <c r="BB199" s="84">
        <f>IF(AND($I199&gt;0,$AF199&gt;=0),IF(($I199-$AF199)/$I199&gt;0,($I199-$AF199)/$I199,0),"")</f>
        <v>1</v>
      </c>
      <c r="BC199" s="84">
        <f>IF(AND($AG199&gt;=0,$AD199&gt;=0,$AF199&gt;=0),IF($AG199/($AD199-$AF199)&gt;0,$AG199/($AD199-$AF199),0),"")</f>
        <v>0.10942028985507246</v>
      </c>
      <c r="BD199" s="84" t="str">
        <f>IF(AND($G199&gt;0,$AM199&gt;0),IF(($G199-$AM199)/$G199&gt;0,($G199-$AM199)/$G199,0),"")</f>
        <v/>
      </c>
      <c r="BE199" s="6" t="e">
        <f>IF((AD199-AF199)/(AJ199/60)&lt;=0,"",(AD199-AF199)/(AJ199/60))</f>
        <v>#DIV/0!</v>
      </c>
      <c r="BF199" s="6" t="e">
        <f>IF(OR(AJ199=0,AP199=0,NOT(ISNUMBER(AD199)),NOT(ISNUMBER(AF199)),NOT(ISNUMBER(AJ199)),NOT(ISNUMBER(AP199))),"",
IFERROR(IF((AD199-AF199)/(AJ199/60)/(AP199/1000)&lt;=0,"",(AD199-AF199)/(AJ199/60)/(AP199/1000)),""))</f>
        <v>#DIV/0!</v>
      </c>
    </row>
    <row r="200" spans="1:58" ht="15.75">
      <c r="B200" s="134">
        <v>45460</v>
      </c>
      <c r="C200" s="133"/>
      <c r="D200" s="136">
        <v>195</v>
      </c>
      <c r="E200" s="205">
        <f t="shared" si="15"/>
        <v>186.10834400000002</v>
      </c>
      <c r="G200" s="15">
        <f>(N200*18-H200*18)/9</f>
        <v>18.000000000000004</v>
      </c>
      <c r="H200" s="15">
        <v>12.1</v>
      </c>
      <c r="I200" s="15">
        <f>AD200</f>
        <v>13.049999999999999</v>
      </c>
      <c r="K200" s="10">
        <f t="shared" si="12"/>
        <v>10.339352444444444</v>
      </c>
      <c r="L200" s="9">
        <f t="shared" si="13"/>
        <v>7.1305878927203077</v>
      </c>
      <c r="M200" s="8">
        <f t="shared" si="14"/>
        <v>1.4499999999999995</v>
      </c>
      <c r="N200" s="7">
        <v>21.1</v>
      </c>
      <c r="O200" s="6">
        <v>66.882000000000005</v>
      </c>
      <c r="P200" s="6">
        <v>14.327</v>
      </c>
      <c r="Q200" s="6">
        <f>O200*1.067</f>
        <v>71.363094000000004</v>
      </c>
      <c r="R200" s="6">
        <f>P200*1.514</f>
        <v>21.691078000000001</v>
      </c>
      <c r="S200" s="23">
        <f>P200*1.514+O200*1.067</f>
        <v>93.054172000000008</v>
      </c>
      <c r="T200" s="6">
        <v>27</v>
      </c>
      <c r="W200">
        <v>1.8440000000000001</v>
      </c>
      <c r="X200" s="6">
        <v>6.75</v>
      </c>
      <c r="AB200" s="5">
        <v>80</v>
      </c>
      <c r="AC200" s="7">
        <f>T200</f>
        <v>27</v>
      </c>
      <c r="AD200" s="1">
        <f>5*2.61</f>
        <v>13.049999999999999</v>
      </c>
      <c r="AE200" s="1">
        <v>19.8</v>
      </c>
      <c r="AF200" s="1">
        <v>0</v>
      </c>
      <c r="AG200">
        <v>0.01</v>
      </c>
      <c r="AH200" s="119">
        <v>0.47916666666666669</v>
      </c>
      <c r="AK200" s="3">
        <v>180</v>
      </c>
      <c r="AL200" s="4">
        <f>AE200</f>
        <v>19.8</v>
      </c>
      <c r="AM200" s="1">
        <v>12.9</v>
      </c>
      <c r="AN200" s="80">
        <f>360-AK200-AB200</f>
        <v>100</v>
      </c>
      <c r="AO200" s="126"/>
      <c r="AP200" s="13">
        <f>AVERAGE(AO198:AO204)</f>
        <v>1380.0000000000182</v>
      </c>
      <c r="AQ200" s="15" t="str">
        <f>IF(ISNUMBER([2]HRT_SRT!R254),[2]HRT_SRT!R254,"")</f>
        <v/>
      </c>
      <c r="AR200" s="17">
        <f>(E200-W200)/E200</f>
        <v>0.99009179298269401</v>
      </c>
      <c r="AS200" s="16">
        <f>(I200-AF200)/I200</f>
        <v>1</v>
      </c>
      <c r="AT200" s="16">
        <f>AG200/(AD200-AF200)</f>
        <v>7.6628352490421458E-4</v>
      </c>
      <c r="AU200" s="16">
        <f>(G200-AM200)/G200</f>
        <v>0.28333333333333344</v>
      </c>
      <c r="AV200" s="57">
        <f>IF(AND(ISNUMBER(E200),ISNUMBER(W200)),E200-W200,"")</f>
        <v>184.26434400000002</v>
      </c>
      <c r="AW200" s="57">
        <f>IF(AND(ISNUMBER(I200),ISNUMBER(AF200)),I200-AF200,"")</f>
        <v>13.049999999999999</v>
      </c>
      <c r="AX200" s="57">
        <f>IF(AND(ISNUMBER(AM200),ISNUMBER(G200)),G200-AM200,"")</f>
        <v>5.1000000000000032</v>
      </c>
      <c r="AY200" s="57">
        <f>IF(AND(ISNUMBER(AC200),ISNUMBER(AE200)),AC200-AE200,"")</f>
        <v>7.1999999999999993</v>
      </c>
      <c r="AZ200" s="57">
        <f>IF(AND(ISNUMBER(AL200),ISNUMBER(AM200)),AL200-AM200,"")</f>
        <v>6.9</v>
      </c>
      <c r="BA200" s="84">
        <f>IF(AND($E200&gt;0,$W200&gt;0),IF(($E200-$W200)/$E200&gt;0,($E200-$W200)/$E200,0),"")</f>
        <v>0.99009179298269401</v>
      </c>
      <c r="BB200" s="84">
        <f>IF(AND($I200&gt;0,$AF200&gt;=0),IF(($I200-$AF200)/$I200&gt;0,($I200-$AF200)/$I200,0),"")</f>
        <v>1</v>
      </c>
      <c r="BC200" s="84">
        <f>IF(AND($AG200&gt;=0,$AD200&gt;=0,$AF200&gt;=0),IF($AG200/($AD200-$AF200)&gt;0,$AG200/($AD200-$AF200),0),"")</f>
        <v>7.6628352490421458E-4</v>
      </c>
      <c r="BD200" s="84">
        <f>IF(AND($G200&gt;0,$AM200&gt;0),IF(($G200-$AM200)/$G200&gt;0,($G200-$AM200)/$G200,0),"")</f>
        <v>0.28333333333333344</v>
      </c>
      <c r="BE200" s="6" t="e">
        <f>IF((AD200-AF200)/(AJ200/60)&lt;=0,"",(AD200-AF200)/(AJ200/60))</f>
        <v>#DIV/0!</v>
      </c>
      <c r="BF200" s="6" t="str">
        <f>IF(OR(AJ200=0,AP200=0,NOT(ISNUMBER(AD200)),NOT(ISNUMBER(AF200)),NOT(ISNUMBER(AJ200)),NOT(ISNUMBER(AP200))),"",
IFERROR(IF((AD200-AF200)/(AJ200/60)/(AP200/1000)&lt;=0,"",(AD200-AF200)/(AJ200/60)/(AP200/1000)),""))</f>
        <v/>
      </c>
    </row>
    <row r="201" spans="1:58" ht="15.75">
      <c r="B201" s="134">
        <v>45461</v>
      </c>
      <c r="C201" s="133"/>
      <c r="D201" s="3">
        <v>196</v>
      </c>
      <c r="E201" s="205">
        <f t="shared" si="15"/>
        <v>250.325536</v>
      </c>
      <c r="G201" s="15">
        <f>(N201*18-H201*18)/9</f>
        <v>25.86</v>
      </c>
      <c r="H201" s="15">
        <v>8.57</v>
      </c>
      <c r="I201" s="15">
        <f>AD201</f>
        <v>14.9</v>
      </c>
      <c r="K201" s="10">
        <f t="shared" si="12"/>
        <v>9.680028460943543</v>
      </c>
      <c r="L201" s="9">
        <f t="shared" si="13"/>
        <v>8.4001857718120796</v>
      </c>
      <c r="M201" s="8">
        <f t="shared" si="14"/>
        <v>1.1523588553750967</v>
      </c>
      <c r="N201" s="7">
        <v>21.5</v>
      </c>
      <c r="O201" s="6">
        <v>84.921999999999997</v>
      </c>
      <c r="P201" s="6">
        <v>22.821000000000002</v>
      </c>
      <c r="Q201" s="6">
        <f>O201*1.067</f>
        <v>90.611773999999997</v>
      </c>
      <c r="R201" s="6">
        <f>P201*1.514</f>
        <v>34.550994000000003</v>
      </c>
      <c r="S201" s="23">
        <f>P201*1.514+O201*1.067</f>
        <v>125.162768</v>
      </c>
      <c r="T201" s="6">
        <v>35.299999999999997</v>
      </c>
      <c r="W201">
        <f>4.691+4.096</f>
        <v>8.786999999999999</v>
      </c>
      <c r="AB201" s="5">
        <v>80</v>
      </c>
      <c r="AC201" s="7">
        <f>T201</f>
        <v>35.299999999999997</v>
      </c>
      <c r="AD201" s="1">
        <f>5*2.98</f>
        <v>14.9</v>
      </c>
      <c r="AE201" s="1">
        <v>22.8</v>
      </c>
      <c r="AF201" s="1">
        <v>0</v>
      </c>
      <c r="AG201">
        <v>0.01</v>
      </c>
      <c r="AH201" s="119">
        <v>0.47916666666666669</v>
      </c>
      <c r="AK201" s="3">
        <v>180</v>
      </c>
      <c r="AL201" s="4">
        <f>AE201</f>
        <v>22.8</v>
      </c>
      <c r="AM201" s="1">
        <v>17.100000000000001</v>
      </c>
      <c r="AN201" s="80">
        <f>360-AK201-AB201</f>
        <v>100</v>
      </c>
      <c r="AO201" s="126"/>
      <c r="AP201" s="13">
        <f>AVERAGE(AO199:AO205)</f>
        <v>1380.0000000000182</v>
      </c>
      <c r="AQ201" s="15" t="str">
        <f>IF(ISNUMBER([2]HRT_SRT!R255),[2]HRT_SRT!R255,"")</f>
        <v/>
      </c>
      <c r="AR201" s="17">
        <f>(E201-W201)/E201</f>
        <v>0.96489770823860332</v>
      </c>
      <c r="AS201" s="16">
        <f>(I201-AF201)/I201</f>
        <v>1</v>
      </c>
      <c r="AT201" s="16">
        <f>AG201/(AD201-AF201)</f>
        <v>6.711409395973154E-4</v>
      </c>
      <c r="AU201" s="16">
        <f>(G201-AM201)/G201</f>
        <v>0.3387470997679814</v>
      </c>
      <c r="AV201" s="57">
        <f>IF(AND(ISNUMBER(E201),ISNUMBER(W201)),E201-W201,"")</f>
        <v>241.53853599999999</v>
      </c>
      <c r="AW201" s="57">
        <f>IF(AND(ISNUMBER(I201),ISNUMBER(AF201)),I201-AF201,"")</f>
        <v>14.9</v>
      </c>
      <c r="AX201" s="57">
        <f>IF(AND(ISNUMBER(AM201),ISNUMBER(G201)),G201-AM201,"")</f>
        <v>8.759999999999998</v>
      </c>
      <c r="AY201" s="57">
        <f>IF(AND(ISNUMBER(AC201),ISNUMBER(AE201)),AC201-AE201,"")</f>
        <v>12.499999999999996</v>
      </c>
      <c r="AZ201" s="57">
        <f>IF(AND(ISNUMBER(AL201),ISNUMBER(AM201)),AL201-AM201,"")</f>
        <v>5.6999999999999993</v>
      </c>
      <c r="BA201" s="84">
        <f>IF(AND($E201&gt;0,$W201&gt;0),IF(($E201-$W201)/$E201&gt;0,($E201-$W201)/$E201,0),"")</f>
        <v>0.96489770823860332</v>
      </c>
      <c r="BB201" s="84">
        <f>IF(AND($I201&gt;0,$AF201&gt;=0),IF(($I201-$AF201)/$I201&gt;0,($I201-$AF201)/$I201,0),"")</f>
        <v>1</v>
      </c>
      <c r="BC201" s="84">
        <f>IF(AND($AG201&gt;=0,$AD201&gt;=0,$AF201&gt;=0),IF($AG201/($AD201-$AF201)&gt;0,$AG201/($AD201-$AF201),0),"")</f>
        <v>6.711409395973154E-4</v>
      </c>
      <c r="BD201" s="84">
        <f>IF(AND($G201&gt;0,$AM201&gt;0),IF(($G201-$AM201)/$G201&gt;0,($G201-$AM201)/$G201,0),"")</f>
        <v>0.3387470997679814</v>
      </c>
      <c r="BE201" s="6" t="e">
        <f>IF((AD201-AF201)/(AJ201/60)&lt;=0,"",(AD201-AF201)/(AJ201/60))</f>
        <v>#DIV/0!</v>
      </c>
      <c r="BF201" s="6" t="str">
        <f>IF(OR(AJ201=0,AP201=0,NOT(ISNUMBER(AD201)),NOT(ISNUMBER(AF201)),NOT(ISNUMBER(AJ201)),NOT(ISNUMBER(AP201))),"",
IFERROR(IF((AD201-AF201)/(AJ201/60)/(AP201/1000)&lt;=0,"",(AD201-AF201)/(AJ201/60)/(AP201/1000)),""))</f>
        <v/>
      </c>
    </row>
    <row r="202" spans="1:58" ht="15.75">
      <c r="B202" s="134">
        <v>45462</v>
      </c>
      <c r="C202" s="133"/>
      <c r="D202" s="3">
        <v>197</v>
      </c>
      <c r="E202" s="205">
        <f t="shared" si="15"/>
        <v>230.08207200000001</v>
      </c>
      <c r="G202" s="15">
        <f>(N202*18-H202*18)/9</f>
        <v>24.08</v>
      </c>
      <c r="H202" s="15">
        <v>8.86</v>
      </c>
      <c r="I202" s="15">
        <f>AD202</f>
        <v>15.549999999999999</v>
      </c>
      <c r="K202" s="10">
        <f t="shared" si="12"/>
        <v>9.554903322259138</v>
      </c>
      <c r="L202" s="9">
        <f t="shared" si="13"/>
        <v>7.3981373633440519</v>
      </c>
      <c r="M202" s="8">
        <f t="shared" si="14"/>
        <v>1.2915282392026579</v>
      </c>
      <c r="N202" s="7">
        <v>20.9</v>
      </c>
      <c r="O202" s="6">
        <v>78.146000000000001</v>
      </c>
      <c r="P202" s="6">
        <v>20.911000000000001</v>
      </c>
      <c r="Q202" s="6">
        <f>O202*1.067</f>
        <v>83.381782000000001</v>
      </c>
      <c r="R202" s="6">
        <f>P202*1.514</f>
        <v>31.659254000000001</v>
      </c>
      <c r="S202" s="23">
        <f>P202*1.514+O202*1.067</f>
        <v>115.04103600000001</v>
      </c>
      <c r="T202" s="6">
        <v>33.799999999999997</v>
      </c>
      <c r="W202">
        <f>4.484+4.083</f>
        <v>8.5670000000000002</v>
      </c>
      <c r="AB202" s="5">
        <v>80</v>
      </c>
      <c r="AC202" s="7">
        <f>T202</f>
        <v>33.799999999999997</v>
      </c>
      <c r="AD202" s="1">
        <f>5*3.11</f>
        <v>15.549999999999999</v>
      </c>
      <c r="AF202" s="1">
        <v>0</v>
      </c>
      <c r="AG202">
        <v>1.61</v>
      </c>
      <c r="AH202" s="119">
        <v>0.46909722222222222</v>
      </c>
      <c r="AK202" s="3">
        <v>180</v>
      </c>
      <c r="AL202" s="4">
        <f>AE202</f>
        <v>0</v>
      </c>
      <c r="AM202" s="1">
        <v>19.7</v>
      </c>
      <c r="AN202" s="80">
        <f>360-AK202-AB202</f>
        <v>100</v>
      </c>
      <c r="AO202" s="126"/>
      <c r="AP202" s="13">
        <f>AVERAGE(AO200:AO206)</f>
        <v>1380.0000000000182</v>
      </c>
      <c r="AQ202" s="15" t="str">
        <f>IF(ISNUMBER([2]HRT_SRT!R256),[2]HRT_SRT!R256,"")</f>
        <v/>
      </c>
      <c r="AR202" s="17">
        <f>(E202-W202)/E202</f>
        <v>0.96276546049185441</v>
      </c>
      <c r="AS202" s="16">
        <f>(I202-AF202)/I202</f>
        <v>1</v>
      </c>
      <c r="AT202" s="16">
        <f>AG202/(AD202-AF202)</f>
        <v>0.10353697749196143</v>
      </c>
      <c r="AU202" s="16">
        <f>(G202-AM202)/G202</f>
        <v>0.18189368770764117</v>
      </c>
      <c r="AV202" s="57">
        <f>IF(AND(ISNUMBER(E202),ISNUMBER(W202)),E202-W202,"")</f>
        <v>221.515072</v>
      </c>
      <c r="AW202" s="57">
        <f>IF(AND(ISNUMBER(I202),ISNUMBER(AF202)),I202-AF202,"")</f>
        <v>15.549999999999999</v>
      </c>
      <c r="AX202" s="57">
        <f>IF(AND(ISNUMBER(AM202),ISNUMBER(G202)),G202-AM202,"")</f>
        <v>4.379999999999999</v>
      </c>
      <c r="AY202" s="57" t="str">
        <f>IF(AND(ISNUMBER(AC202),ISNUMBER(AE202)),AC202-AE202,"")</f>
        <v/>
      </c>
      <c r="AZ202" s="57">
        <f>IF(AND(ISNUMBER(AL202),ISNUMBER(AM202)),AL202-AM202,"")</f>
        <v>-19.7</v>
      </c>
      <c r="BA202" s="84">
        <f>IF(AND($E202&gt;0,$W202&gt;0),IF(($E202-$W202)/$E202&gt;0,($E202-$W202)/$E202,0),"")</f>
        <v>0.96276546049185441</v>
      </c>
      <c r="BB202" s="84">
        <f>IF(AND($I202&gt;0,$AF202&gt;=0),IF(($I202-$AF202)/$I202&gt;0,($I202-$AF202)/$I202,0),"")</f>
        <v>1</v>
      </c>
      <c r="BC202" s="84">
        <f>IF(AND($AG202&gt;=0,$AD202&gt;=0,$AF202&gt;=0),IF($AG202/($AD202-$AF202)&gt;0,$AG202/($AD202-$AF202),0),"")</f>
        <v>0.10353697749196143</v>
      </c>
      <c r="BD202" s="84">
        <f>IF(AND($G202&gt;0,$AM202&gt;0),IF(($G202-$AM202)/$G202&gt;0,($G202-$AM202)/$G202,0),"")</f>
        <v>0.18189368770764117</v>
      </c>
      <c r="BE202" s="6" t="e">
        <f>IF((AD202-AF202)/(AJ202/60)&lt;=0,"",(AD202-AF202)/(AJ202/60))</f>
        <v>#DIV/0!</v>
      </c>
      <c r="BF202" s="6" t="str">
        <f>IF(OR(AJ202=0,AP202=0,NOT(ISNUMBER(AD202)),NOT(ISNUMBER(AF202)),NOT(ISNUMBER(AJ202)),NOT(ISNUMBER(AP202))),"",
IFERROR(IF((AD202-AF202)/(AJ202/60)/(AP202/1000)&lt;=0,"",(AD202-AF202)/(AJ202/60)/(AP202/1000)),""))</f>
        <v/>
      </c>
    </row>
    <row r="203" spans="1:58" ht="15.75">
      <c r="B203" s="134">
        <v>45463</v>
      </c>
      <c r="C203" s="133"/>
      <c r="D203" s="3">
        <v>198</v>
      </c>
      <c r="E203" s="205">
        <f t="shared" si="15"/>
        <v>212.581096</v>
      </c>
      <c r="G203" s="15">
        <f>(N203*18-H203*18)/9</f>
        <v>24.799999999999997</v>
      </c>
      <c r="H203" s="15">
        <v>10.5</v>
      </c>
      <c r="I203" s="15">
        <f>AD203</f>
        <v>14.9</v>
      </c>
      <c r="K203" s="10">
        <f t="shared" si="12"/>
        <v>8.5718183870967746</v>
      </c>
      <c r="L203" s="9">
        <f t="shared" si="13"/>
        <v>7.1335938255033557</v>
      </c>
      <c r="M203" s="8">
        <f t="shared" si="14"/>
        <v>1.2016129032258067</v>
      </c>
      <c r="N203" s="7">
        <v>22.9</v>
      </c>
      <c r="O203" s="6">
        <v>72.150000000000006</v>
      </c>
      <c r="P203" s="6">
        <v>19.356999999999999</v>
      </c>
      <c r="Q203" s="6">
        <f>O203*1.067</f>
        <v>76.984049999999996</v>
      </c>
      <c r="R203" s="6">
        <f>P203*1.514</f>
        <v>29.306497999999998</v>
      </c>
      <c r="S203" s="23">
        <f>P203*1.514+O203*1.067</f>
        <v>106.290548</v>
      </c>
      <c r="T203" s="6">
        <v>34.799999999999997</v>
      </c>
      <c r="W203">
        <f>4.327+4.083</f>
        <v>8.41</v>
      </c>
      <c r="X203" s="6">
        <v>8.1</v>
      </c>
      <c r="AB203" s="5">
        <v>80</v>
      </c>
      <c r="AC203" s="7">
        <f>T203</f>
        <v>34.799999999999997</v>
      </c>
      <c r="AD203" s="1">
        <f>5*2.98</f>
        <v>14.9</v>
      </c>
      <c r="AE203" s="1">
        <v>20.2</v>
      </c>
      <c r="AF203" s="1">
        <v>0.62</v>
      </c>
      <c r="AG203">
        <v>2.15</v>
      </c>
      <c r="AH203" s="119">
        <v>0.4309027777777778</v>
      </c>
      <c r="AK203" s="3">
        <v>180</v>
      </c>
      <c r="AL203" s="4">
        <f>AE203</f>
        <v>20.2</v>
      </c>
      <c r="AM203" s="1">
        <v>17.3</v>
      </c>
      <c r="AN203" s="80">
        <f>360-AK203-AB203</f>
        <v>100</v>
      </c>
      <c r="AO203" s="126"/>
      <c r="AP203" s="13">
        <f>AVERAGE(AO201:AO207)</f>
        <v>1380.0000000000182</v>
      </c>
      <c r="AQ203" s="15" t="str">
        <f>IF(ISNUMBER([2]HRT_SRT!R257),[2]HRT_SRT!R257,"")</f>
        <v/>
      </c>
      <c r="AR203" s="17">
        <f>(E203-W203)/E203</f>
        <v>0.96043862714867179</v>
      </c>
      <c r="AS203" s="16">
        <f>(I203-AF203)/I203</f>
        <v>0.95838926174496653</v>
      </c>
      <c r="AT203" s="16">
        <f>AG203/(AD203-AF203)</f>
        <v>0.15056022408963585</v>
      </c>
      <c r="AU203" s="16">
        <f>(G203-AM203)/G203</f>
        <v>0.30241935483870958</v>
      </c>
      <c r="AV203" s="57">
        <f>IF(AND(ISNUMBER(E203),ISNUMBER(W203)),E203-W203,"")</f>
        <v>204.17109600000001</v>
      </c>
      <c r="AW203" s="57">
        <f>IF(AND(ISNUMBER(I203),ISNUMBER(AF203)),I203-AF203,"")</f>
        <v>14.280000000000001</v>
      </c>
      <c r="AX203" s="57">
        <f>IF(AND(ISNUMBER(AM203),ISNUMBER(G203)),G203-AM203,"")</f>
        <v>7.4999999999999964</v>
      </c>
      <c r="AY203" s="57">
        <f>IF(AND(ISNUMBER(AC203),ISNUMBER(AE203)),AC203-AE203,"")</f>
        <v>14.599999999999998</v>
      </c>
      <c r="AZ203" s="57">
        <f>IF(AND(ISNUMBER(AL203),ISNUMBER(AM203)),AL203-AM203,"")</f>
        <v>2.8999999999999986</v>
      </c>
      <c r="BA203" s="84">
        <f>IF(AND($E203&gt;0,$W203&gt;0),IF(($E203-$W203)/$E203&gt;0,($E203-$W203)/$E203,0),"")</f>
        <v>0.96043862714867179</v>
      </c>
      <c r="BB203" s="84">
        <f>IF(AND($I203&gt;0,$AF203&gt;=0),IF(($I203-$AF203)/$I203&gt;0,($I203-$AF203)/$I203,0),"")</f>
        <v>0.95838926174496653</v>
      </c>
      <c r="BC203" s="84">
        <f>IF(AND($AG203&gt;=0,$AD203&gt;=0,$AF203&gt;=0),IF($AG203/($AD203-$AF203)&gt;0,$AG203/($AD203-$AF203),0),"")</f>
        <v>0.15056022408963585</v>
      </c>
      <c r="BD203" s="84">
        <f>IF(AND($G203&gt;0,$AM203&gt;0),IF(($G203-$AM203)/$G203&gt;0,($G203-$AM203)/$G203,0),"")</f>
        <v>0.30241935483870958</v>
      </c>
      <c r="BE203" s="6" t="e">
        <f>IF((AD203-AF203)/(AJ203/60)&lt;=0,"",(AD203-AF203)/(AJ203/60))</f>
        <v>#DIV/0!</v>
      </c>
      <c r="BF203" s="6" t="str">
        <f>IF(OR(AJ203=0,AP203=0,NOT(ISNUMBER(AD203)),NOT(ISNUMBER(AF203)),NOT(ISNUMBER(AJ203)),NOT(ISNUMBER(AP203))),"",
IFERROR(IF((AD203-AF203)/(AJ203/60)/(AP203/1000)&lt;=0,"",(AD203-AF203)/(AJ203/60)/(AP203/1000)),""))</f>
        <v/>
      </c>
    </row>
    <row r="204" spans="1:58" ht="15.75">
      <c r="A204" s="112"/>
      <c r="B204" s="134">
        <v>45464</v>
      </c>
      <c r="C204" s="133"/>
      <c r="D204" s="3">
        <v>199</v>
      </c>
      <c r="E204" s="205">
        <f t="shared" si="15"/>
        <v>252.70779199999998</v>
      </c>
      <c r="G204" s="15">
        <f>(N204*18-H204*18)/9</f>
        <v>23.52</v>
      </c>
      <c r="H204" s="9">
        <v>9.74</v>
      </c>
      <c r="I204" s="15">
        <f>AD204</f>
        <v>13.55</v>
      </c>
      <c r="K204" s="10">
        <f t="shared" si="12"/>
        <v>10.744378911564626</v>
      </c>
      <c r="L204" s="9">
        <f t="shared" si="13"/>
        <v>9.3250107749077475</v>
      </c>
      <c r="M204" s="8">
        <f t="shared" si="14"/>
        <v>1.1522108843537415</v>
      </c>
      <c r="N204" s="7">
        <v>21.5</v>
      </c>
      <c r="O204" s="6">
        <v>86.507999999999996</v>
      </c>
      <c r="P204" s="6">
        <v>22.49</v>
      </c>
      <c r="Q204" s="6">
        <f>O204*1.067</f>
        <v>92.304035999999996</v>
      </c>
      <c r="R204" s="6">
        <f>P204*1.514</f>
        <v>34.049859999999995</v>
      </c>
      <c r="S204" s="23">
        <f>P204*1.514+O204*1.067</f>
        <v>126.35389599999999</v>
      </c>
      <c r="T204" s="6">
        <v>32</v>
      </c>
      <c r="W204">
        <f>4.546+4.072</f>
        <v>8.6180000000000003</v>
      </c>
      <c r="X204" s="6">
        <v>8.56</v>
      </c>
      <c r="AB204" s="5">
        <v>80</v>
      </c>
      <c r="AC204" s="4">
        <f>T204</f>
        <v>32</v>
      </c>
      <c r="AD204" s="1">
        <f>5*2.71</f>
        <v>13.55</v>
      </c>
      <c r="AE204" s="1">
        <v>21.5</v>
      </c>
      <c r="AF204" s="1">
        <v>2.42</v>
      </c>
      <c r="AG204">
        <v>2.36</v>
      </c>
      <c r="AH204" s="119">
        <v>0.44039351851851855</v>
      </c>
      <c r="AK204" s="3">
        <v>180</v>
      </c>
      <c r="AL204" s="4">
        <f>AE204</f>
        <v>21.5</v>
      </c>
      <c r="AM204" s="1">
        <v>19.600000000000001</v>
      </c>
      <c r="AN204" s="80">
        <f>360-AK204-AB204</f>
        <v>100</v>
      </c>
      <c r="AO204" s="126">
        <f>[2]HRT_SRT!P258</f>
        <v>1380.0000000000182</v>
      </c>
      <c r="AP204" s="13">
        <f>AVERAGE(AO202:AO208)</f>
        <v>1380.0000000000182</v>
      </c>
      <c r="AQ204" s="15">
        <f>IF(ISNUMBER([2]HRT_SRT!R258),[2]HRT_SRT!R258,"")</f>
        <v>23.10783657066391</v>
      </c>
      <c r="AR204" s="17">
        <f>(E204-W204)/E204</f>
        <v>0.96589737130068398</v>
      </c>
      <c r="AS204" s="16">
        <f>(I204-AF204)/I204</f>
        <v>0.8214022140221402</v>
      </c>
      <c r="AT204" s="16">
        <f>AG204/(AD204-AF204)</f>
        <v>0.21203953279424975</v>
      </c>
      <c r="AU204" s="16">
        <f>(G204-AM204)/G204</f>
        <v>0.1666666666666666</v>
      </c>
      <c r="AV204" s="57">
        <f>IF(AND(ISNUMBER(E204),ISNUMBER(W204)),E204-W204,"")</f>
        <v>244.08979199999999</v>
      </c>
      <c r="AW204" s="57">
        <f>IF(AND(ISNUMBER(I204),ISNUMBER(AF204)),I204-AF204,"")</f>
        <v>11.13</v>
      </c>
      <c r="AX204" s="57">
        <f>IF(AND(ISNUMBER(AM204),ISNUMBER(G204)),G204-AM204,"")</f>
        <v>3.9199999999999982</v>
      </c>
      <c r="AY204" s="57">
        <f>IF(AND(ISNUMBER(AC204),ISNUMBER(AE204)),AC204-AE204,"")</f>
        <v>10.5</v>
      </c>
      <c r="AZ204" s="57">
        <f>IF(AND(ISNUMBER(AL204),ISNUMBER(AM204)),AL204-AM204,"")</f>
        <v>1.8999999999999986</v>
      </c>
      <c r="BA204" s="84">
        <f>IF(AND($E204&gt;0,$W204&gt;0),IF(($E204-$W204)/$E204&gt;0,($E204-$W204)/$E204,0),"")</f>
        <v>0.96589737130068398</v>
      </c>
      <c r="BB204" s="84">
        <f>IF(AND($I204&gt;0,$AF204&gt;=0),IF(($I204-$AF204)/$I204&gt;0,($I204-$AF204)/$I204,0),"")</f>
        <v>0.8214022140221402</v>
      </c>
      <c r="BC204" s="84">
        <f>IF(AND($AG204&gt;=0,$AD204&gt;=0,$AF204&gt;=0),IF($AG204/($AD204-$AF204)&gt;0,$AG204/($AD204-$AF204),0),"")</f>
        <v>0.21203953279424975</v>
      </c>
      <c r="BD204" s="84">
        <f>IF(AND($G204&gt;0,$AM204&gt;0),IF(($G204-$AM204)/$G204&gt;0,($G204-$AM204)/$G204,0),"")</f>
        <v>0.1666666666666666</v>
      </c>
      <c r="BE204" s="6" t="e">
        <f>IF((AD204-AF204)/(AJ204/60)&lt;=0,"",(AD204-AF204)/(AJ204/60))</f>
        <v>#DIV/0!</v>
      </c>
      <c r="BF204" s="6" t="str">
        <f>IF(OR(AJ204=0,AP204=0,NOT(ISNUMBER(AD204)),NOT(ISNUMBER(AF204)),NOT(ISNUMBER(AJ204)),NOT(ISNUMBER(AP204))),"",
IFERROR(IF((AD204-AF204)/(AJ204/60)/(AP204/1000)&lt;=0,"",(AD204-AF204)/(AJ204/60)/(AP204/1000)),""))</f>
        <v/>
      </c>
    </row>
    <row r="205" spans="1:58" ht="15.75">
      <c r="B205" s="134">
        <v>45465</v>
      </c>
      <c r="C205" s="133"/>
      <c r="D205" s="3">
        <v>200</v>
      </c>
      <c r="E205" s="205" t="str">
        <f t="shared" si="15"/>
        <v/>
      </c>
      <c r="I205" s="15">
        <f>AD205</f>
        <v>13.233333333333334</v>
      </c>
      <c r="K205" s="10" t="str">
        <f t="shared" si="12"/>
        <v/>
      </c>
      <c r="L205" s="9" t="str">
        <f t="shared" si="13"/>
        <v/>
      </c>
      <c r="M205" s="8" t="str">
        <f t="shared" si="14"/>
        <v/>
      </c>
      <c r="X205" s="6">
        <v>4.3899999999999997</v>
      </c>
      <c r="AB205" s="5">
        <v>80</v>
      </c>
      <c r="AD205" s="135">
        <f>(AD204*2/3+AD208*1/3)</f>
        <v>13.233333333333334</v>
      </c>
      <c r="AF205" s="135">
        <f>(AF204*2/3+AF207*1/3)</f>
        <v>3.166666666666667</v>
      </c>
      <c r="AG205">
        <v>2.71</v>
      </c>
      <c r="AH205" s="119">
        <v>0.44976851851851851</v>
      </c>
      <c r="AK205" s="3">
        <v>180</v>
      </c>
      <c r="AN205" s="80">
        <f>360-AK205-AB205</f>
        <v>100</v>
      </c>
      <c r="AO205" s="126"/>
      <c r="AP205" s="13">
        <f>AVERAGE(AO203:AO209)</f>
        <v>1160.0000000000136</v>
      </c>
      <c r="AQ205" s="15" t="str">
        <f>IF(ISNUMBER([2]HRT_SRT!R259),[2]HRT_SRT!R259,"")</f>
        <v/>
      </c>
      <c r="AR205" s="17" t="e">
        <f>(E205-W205)/E205</f>
        <v>#VALUE!</v>
      </c>
      <c r="AS205" s="16">
        <f>(I205-AF205)/I205</f>
        <v>0.76070528967254403</v>
      </c>
      <c r="AT205" s="16">
        <f>AG205/(AD205-AF205)</f>
        <v>0.26920529801324505</v>
      </c>
      <c r="AU205" s="16" t="e">
        <f>(G205-AM205)/G205</f>
        <v>#DIV/0!</v>
      </c>
      <c r="AV205" s="57" t="str">
        <f>IF(AND(ISNUMBER(E205),ISNUMBER(W205)),E205-W205,"")</f>
        <v/>
      </c>
      <c r="AW205" s="57">
        <f>IF(AND(ISNUMBER(I205),ISNUMBER(AF205)),I205-AF205,"")</f>
        <v>10.066666666666666</v>
      </c>
      <c r="AX205" s="57" t="str">
        <f>IF(AND(ISNUMBER(AM205),ISNUMBER(G205)),G205-AM205,"")</f>
        <v/>
      </c>
      <c r="AY205" s="57" t="str">
        <f>IF(AND(ISNUMBER(AC205),ISNUMBER(AE205)),AC205-AE205,"")</f>
        <v/>
      </c>
      <c r="AZ205" s="57" t="str">
        <f>IF(AND(ISNUMBER(AL205),ISNUMBER(AM205)),AL205-AM205,"")</f>
        <v/>
      </c>
      <c r="BA205" s="84" t="str">
        <f>IF(AND($E205&gt;0,$W205&gt;0),IF(($E205-$W205)/$E205&gt;0,($E205-$W205)/$E205,0),"")</f>
        <v/>
      </c>
      <c r="BB205" s="84">
        <f>IF(AND($I205&gt;0,$AF205&gt;=0),IF(($I205-$AF205)/$I205&gt;0,($I205-$AF205)/$I205,0),"")</f>
        <v>0.76070528967254403</v>
      </c>
      <c r="BC205" s="84">
        <f>IF(AND($AG205&gt;=0,$AD205&gt;=0,$AF205&gt;=0),IF($AG205/($AD205-$AF205)&gt;0,$AG205/($AD205-$AF205),0),"")</f>
        <v>0.26920529801324505</v>
      </c>
      <c r="BD205" s="84" t="str">
        <f>IF(AND($G205&gt;0,$AM205&gt;0),IF(($G205-$AM205)/$G205&gt;0,($G205-$AM205)/$G205,0),"")</f>
        <v/>
      </c>
      <c r="BE205" s="6" t="e">
        <f>IF((AD205-AF205)/(AJ205/60)&lt;=0,"",(AD205-AF205)/(AJ205/60))</f>
        <v>#DIV/0!</v>
      </c>
      <c r="BF205" s="6" t="str">
        <f>IF(OR(AJ205=0,AP205=0,NOT(ISNUMBER(AD205)),NOT(ISNUMBER(AF205)),NOT(ISNUMBER(AJ205)),NOT(ISNUMBER(AP205))),"",
IFERROR(IF((AD205-AF205)/(AJ205/60)/(AP205/1000)&lt;=0,"",(AD205-AF205)/(AJ205/60)/(AP205/1000)),""))</f>
        <v/>
      </c>
    </row>
    <row r="206" spans="1:58" ht="15.75">
      <c r="B206" s="134">
        <v>45466</v>
      </c>
      <c r="C206" s="133"/>
      <c r="D206" s="3">
        <v>201</v>
      </c>
      <c r="E206" s="205" t="str">
        <f t="shared" si="15"/>
        <v/>
      </c>
      <c r="I206" s="15">
        <f>AD206</f>
        <v>13.074999999999999</v>
      </c>
      <c r="K206" s="10" t="str">
        <f t="shared" si="12"/>
        <v/>
      </c>
      <c r="L206" s="9" t="str">
        <f t="shared" si="13"/>
        <v/>
      </c>
      <c r="M206" s="8" t="str">
        <f t="shared" si="14"/>
        <v/>
      </c>
      <c r="X206" s="6">
        <v>4.1500000000000004</v>
      </c>
      <c r="AB206" s="5">
        <v>80</v>
      </c>
      <c r="AD206" s="135">
        <f>(AD204+AD208)/2</f>
        <v>13.074999999999999</v>
      </c>
      <c r="AF206" s="135">
        <f>(AF204*1/3+AF207*2/3)</f>
        <v>3.9133333333333336</v>
      </c>
      <c r="AG206">
        <v>0.14000000000000001</v>
      </c>
      <c r="AH206" s="119">
        <v>0.47916666666666669</v>
      </c>
      <c r="AK206" s="3">
        <v>180</v>
      </c>
      <c r="AN206" s="80">
        <f>360-AK206-AB206</f>
        <v>100</v>
      </c>
      <c r="AO206" s="126"/>
      <c r="AP206" s="13">
        <f>AVERAGE(AO204:AO210)</f>
        <v>1160.0000000000136</v>
      </c>
      <c r="AQ206" s="15" t="str">
        <f>IF(ISNUMBER([2]HRT_SRT!R260),[2]HRT_SRT!R260,"")</f>
        <v/>
      </c>
      <c r="AR206" s="17" t="e">
        <f>(E206-W206)/E206</f>
        <v>#VALUE!</v>
      </c>
      <c r="AS206" s="16">
        <f>(I206-AF206)/I206</f>
        <v>0.70070108349267046</v>
      </c>
      <c r="AT206" s="16">
        <f>AG206/(AD206-AF206)</f>
        <v>1.5281062397671462E-2</v>
      </c>
      <c r="AU206" s="16" t="e">
        <f>(G206-AM206)/G206</f>
        <v>#DIV/0!</v>
      </c>
      <c r="AV206" s="57" t="str">
        <f>IF(AND(ISNUMBER(E206),ISNUMBER(W206)),E206-W206,"")</f>
        <v/>
      </c>
      <c r="AW206" s="57">
        <f>IF(AND(ISNUMBER(I206),ISNUMBER(AF206)),I206-AF206,"")</f>
        <v>9.1616666666666653</v>
      </c>
      <c r="AX206" s="57" t="str">
        <f>IF(AND(ISNUMBER(AM206),ISNUMBER(G206)),G206-AM206,"")</f>
        <v/>
      </c>
      <c r="AY206" s="57" t="str">
        <f>IF(AND(ISNUMBER(AC206),ISNUMBER(AE206)),AC206-AE206,"")</f>
        <v/>
      </c>
      <c r="AZ206" s="57" t="str">
        <f>IF(AND(ISNUMBER(AL206),ISNUMBER(AM206)),AL206-AM206,"")</f>
        <v/>
      </c>
      <c r="BA206" s="84" t="str">
        <f>IF(AND($E206&gt;0,$W206&gt;0),IF(($E206-$W206)/$E206&gt;0,($E206-$W206)/$E206,0),"")</f>
        <v/>
      </c>
      <c r="BB206" s="84">
        <f>IF(AND($I206&gt;0,$AF206&gt;=0),IF(($I206-$AF206)/$I206&gt;0,($I206-$AF206)/$I206,0),"")</f>
        <v>0.70070108349267046</v>
      </c>
      <c r="BC206" s="84">
        <f>IF(AND($AG206&gt;=0,$AD206&gt;=0,$AF206&gt;=0),IF($AG206/($AD206-$AF206)&gt;0,$AG206/($AD206-$AF206),0),"")</f>
        <v>1.5281062397671462E-2</v>
      </c>
      <c r="BD206" s="84" t="str">
        <f>IF(AND($G206&gt;0,$AM206&gt;0),IF(($G206-$AM206)/$G206&gt;0,($G206-$AM206)/$G206,0),"")</f>
        <v/>
      </c>
      <c r="BE206" s="6" t="e">
        <f>IF((AD206-AF206)/(AJ206/60)&lt;=0,"",(AD206-AF206)/(AJ206/60))</f>
        <v>#DIV/0!</v>
      </c>
      <c r="BF206" s="6" t="str">
        <f>IF(OR(AJ206=0,AP206=0,NOT(ISNUMBER(AD206)),NOT(ISNUMBER(AF206)),NOT(ISNUMBER(AJ206)),NOT(ISNUMBER(AP206))),"",
IFERROR(IF((AD206-AF206)/(AJ206/60)/(AP206/1000)&lt;=0,"",(AD206-AF206)/(AJ206/60)/(AP206/1000)),""))</f>
        <v/>
      </c>
    </row>
    <row r="207" spans="1:58" ht="15.75">
      <c r="A207" s="12" t="s">
        <v>120</v>
      </c>
      <c r="B207" s="134">
        <v>45467</v>
      </c>
      <c r="C207" s="133"/>
      <c r="D207" s="3">
        <v>202</v>
      </c>
      <c r="E207" s="205">
        <f t="shared" si="15"/>
        <v>226.66494600000001</v>
      </c>
      <c r="G207" s="15">
        <f>(N207*18-H207*18)/9</f>
        <v>20.700000000000003</v>
      </c>
      <c r="H207" s="9">
        <v>5.95</v>
      </c>
      <c r="I207" s="15">
        <f>AD207</f>
        <v>12.2</v>
      </c>
      <c r="K207" s="10">
        <f t="shared" si="12"/>
        <v>10.949997391304347</v>
      </c>
      <c r="L207" s="9">
        <f t="shared" si="13"/>
        <v>9.2895469672131163</v>
      </c>
      <c r="M207" s="8">
        <f t="shared" si="14"/>
        <v>1.1787439613526567</v>
      </c>
      <c r="N207" s="7">
        <v>16.3</v>
      </c>
      <c r="O207" s="6">
        <v>80.373000000000005</v>
      </c>
      <c r="P207" s="6">
        <v>18.213000000000001</v>
      </c>
      <c r="Q207" s="6">
        <f>O207*1.067</f>
        <v>85.757991000000004</v>
      </c>
      <c r="R207" s="6">
        <f>P207*1.514</f>
        <v>27.574482000000003</v>
      </c>
      <c r="S207" s="23">
        <f>P207*1.514+O207*1.067</f>
        <v>113.33247300000001</v>
      </c>
      <c r="T207" s="6">
        <v>25</v>
      </c>
      <c r="W207">
        <f>1.571+0.508</f>
        <v>2.0789999999999997</v>
      </c>
      <c r="X207" s="6">
        <v>6.62</v>
      </c>
      <c r="AB207" s="5">
        <v>80</v>
      </c>
      <c r="AC207" s="7">
        <f>T207</f>
        <v>25</v>
      </c>
      <c r="AD207" s="1">
        <f>5*2.44</f>
        <v>12.2</v>
      </c>
      <c r="AE207" s="1">
        <v>19.100000000000001</v>
      </c>
      <c r="AF207" s="1">
        <v>4.66</v>
      </c>
      <c r="AG207" s="1">
        <v>0.01</v>
      </c>
      <c r="AH207" s="119">
        <v>0.47916666666666669</v>
      </c>
      <c r="AK207" s="3">
        <v>180</v>
      </c>
      <c r="AL207" s="4">
        <f>AE207</f>
        <v>19.100000000000001</v>
      </c>
      <c r="AM207" s="1">
        <v>17.899999999999999</v>
      </c>
      <c r="AN207" s="80">
        <f>360-AK207-AB207</f>
        <v>100</v>
      </c>
      <c r="AO207" s="126"/>
      <c r="AP207" s="13">
        <f>AVERAGE(AO205:AO211)</f>
        <v>940.00000000000909</v>
      </c>
      <c r="AQ207" s="15" t="str">
        <f>IF(ISNUMBER([2]HRT_SRT!R261),[2]HRT_SRT!R261,"")</f>
        <v/>
      </c>
      <c r="AR207" s="17">
        <f>(E207-W207)/E207</f>
        <v>0.99082787154922491</v>
      </c>
      <c r="AS207" s="16">
        <f>(I207-AF207)/I207</f>
        <v>0.61803278688524588</v>
      </c>
      <c r="AT207" s="16">
        <f>AG207/(AD207-AF207)</f>
        <v>1.3262599469496023E-3</v>
      </c>
      <c r="AU207" s="16">
        <f>(G207-AM207)/G207</f>
        <v>0.13526570048309197</v>
      </c>
      <c r="AV207" s="57">
        <f>IF(AND(ISNUMBER(E207),ISNUMBER(W207)),E207-W207,"")</f>
        <v>224.58594600000001</v>
      </c>
      <c r="AW207" s="57">
        <f>IF(AND(ISNUMBER(I207),ISNUMBER(AF207)),I207-AF207,"")</f>
        <v>7.5399999999999991</v>
      </c>
      <c r="AX207" s="57">
        <f>IF(AND(ISNUMBER(AM207),ISNUMBER(G207)),G207-AM207,"")</f>
        <v>2.8000000000000043</v>
      </c>
      <c r="AY207" s="57">
        <f>IF(AND(ISNUMBER(AC207),ISNUMBER(AE207)),AC207-AE207,"")</f>
        <v>5.8999999999999986</v>
      </c>
      <c r="AZ207" s="57">
        <f>IF(AND(ISNUMBER(AL207),ISNUMBER(AM207)),AL207-AM207,"")</f>
        <v>1.2000000000000028</v>
      </c>
      <c r="BA207" s="84">
        <f>IF(AND($E207&gt;0,$W207&gt;0),IF(($E207-$W207)/$E207&gt;0,($E207-$W207)/$E207,0),"")</f>
        <v>0.99082787154922491</v>
      </c>
      <c r="BB207" s="84">
        <f>IF(AND($I207&gt;0,$AF207&gt;=0),IF(($I207-$AF207)/$I207&gt;0,($I207-$AF207)/$I207,0),"")</f>
        <v>0.61803278688524588</v>
      </c>
      <c r="BC207" s="84">
        <f>IF(AND($AG207&gt;=0,$AD207&gt;=0,$AF207&gt;=0),IF($AG207/($AD207-$AF207)&gt;0,$AG207/($AD207-$AF207),0),"")</f>
        <v>1.3262599469496023E-3</v>
      </c>
      <c r="BD207" s="84">
        <f>IF(AND($G207&gt;0,$AM207&gt;0),IF(($G207-$AM207)/$G207&gt;0,($G207-$AM207)/$G207,0),"")</f>
        <v>0.13526570048309197</v>
      </c>
      <c r="BE207" s="6" t="e">
        <f>IF((AD207-AF207)/(AJ207/60)&lt;=0,"",(AD207-AF207)/(AJ207/60))</f>
        <v>#DIV/0!</v>
      </c>
      <c r="BF207" s="6" t="str">
        <f>IF(OR(AJ207=0,AP207=0,NOT(ISNUMBER(AD207)),NOT(ISNUMBER(AF207)),NOT(ISNUMBER(AJ207)),NOT(ISNUMBER(AP207))),"",
IFERROR(IF((AD207-AF207)/(AJ207/60)/(AP207/1000)&lt;=0,"",(AD207-AF207)/(AJ207/60)/(AP207/1000)),""))</f>
        <v/>
      </c>
    </row>
    <row r="208" spans="1:58" ht="15.75">
      <c r="B208" s="134">
        <v>45468</v>
      </c>
      <c r="C208" s="133"/>
      <c r="D208" s="3">
        <v>203</v>
      </c>
      <c r="E208" s="205">
        <f t="shared" si="15"/>
        <v>248.18599599999999</v>
      </c>
      <c r="G208" s="15">
        <f>(N208*18-H208*18)/9</f>
        <v>23.599999999999994</v>
      </c>
      <c r="H208" s="9">
        <v>12.9</v>
      </c>
      <c r="I208" s="15">
        <f>AD208</f>
        <v>12.6</v>
      </c>
      <c r="K208" s="10">
        <f t="shared" si="12"/>
        <v>10.516355762711866</v>
      </c>
      <c r="L208" s="9">
        <f t="shared" si="13"/>
        <v>9.8486506349206344</v>
      </c>
      <c r="M208" s="8">
        <f t="shared" si="14"/>
        <v>1.0677966101694918</v>
      </c>
      <c r="N208" s="7">
        <v>24.7</v>
      </c>
      <c r="O208" s="6">
        <v>79.542000000000002</v>
      </c>
      <c r="P208" s="6">
        <v>25.905999999999999</v>
      </c>
      <c r="Q208" s="6">
        <f>O208*1.067</f>
        <v>84.871313999999998</v>
      </c>
      <c r="R208" s="6">
        <f>P208*1.514</f>
        <v>39.221683999999996</v>
      </c>
      <c r="S208" s="23">
        <f>P208*1.514+O208*1.067</f>
        <v>124.09299799999999</v>
      </c>
      <c r="T208" s="6">
        <v>33.700000000000003</v>
      </c>
      <c r="W208">
        <f>0.577+0.43</f>
        <v>1.0069999999999999</v>
      </c>
      <c r="AB208" s="5">
        <v>80</v>
      </c>
      <c r="AC208" s="7">
        <f>T208</f>
        <v>33.700000000000003</v>
      </c>
      <c r="AD208" s="1">
        <f>5*2.52</f>
        <v>12.6</v>
      </c>
      <c r="AE208" s="1">
        <v>25.3</v>
      </c>
      <c r="AF208" s="1">
        <v>4.41</v>
      </c>
      <c r="AG208">
        <v>1.25</v>
      </c>
      <c r="AH208" s="119">
        <v>0.46875</v>
      </c>
      <c r="AK208" s="3">
        <v>180</v>
      </c>
      <c r="AL208" s="4">
        <f>AE208</f>
        <v>25.3</v>
      </c>
      <c r="AM208" s="1">
        <v>24.2</v>
      </c>
      <c r="AN208" s="80">
        <f>360-AK208-AB208</f>
        <v>100</v>
      </c>
      <c r="AO208" s="126"/>
      <c r="AP208" s="13">
        <f>AVERAGE(AO206:AO212)</f>
        <v>940.00000000000909</v>
      </c>
      <c r="AQ208" s="15" t="str">
        <f>IF(ISNUMBER([2]HRT_SRT!R262),[2]HRT_SRT!R262,"")</f>
        <v/>
      </c>
      <c r="AR208" s="17">
        <f>(E208-W208)/E208</f>
        <v>0.99594255914423147</v>
      </c>
      <c r="AS208" s="16">
        <f>(I208-AF208)/I208</f>
        <v>0.65</v>
      </c>
      <c r="AT208" s="16">
        <f>AG208/(AD208-AF208)</f>
        <v>0.15262515262515264</v>
      </c>
      <c r="AU208" s="16">
        <f>(G208-AM208)/G208</f>
        <v>-2.5423728813559539E-2</v>
      </c>
      <c r="AV208" s="57">
        <f>IF(AND(ISNUMBER(E208),ISNUMBER(W208)),E208-W208,"")</f>
        <v>247.17899599999998</v>
      </c>
      <c r="AW208" s="57">
        <f>IF(AND(ISNUMBER(I208),ISNUMBER(AF208)),I208-AF208,"")</f>
        <v>8.19</v>
      </c>
      <c r="AX208" s="57">
        <f>IF(AND(ISNUMBER(AM208),ISNUMBER(G208)),G208-AM208,"")</f>
        <v>-0.60000000000000497</v>
      </c>
      <c r="AY208" s="57">
        <f>IF(AND(ISNUMBER(AC208),ISNUMBER(AE208)),AC208-AE208,"")</f>
        <v>8.4000000000000021</v>
      </c>
      <c r="AZ208" s="57">
        <f>IF(AND(ISNUMBER(AL208),ISNUMBER(AM208)),AL208-AM208,"")</f>
        <v>1.1000000000000014</v>
      </c>
      <c r="BA208" s="84">
        <f>IF(AND($E208&gt;0,$W208&gt;0),IF(($E208-$W208)/$E208&gt;0,($E208-$W208)/$E208,0),"")</f>
        <v>0.99594255914423147</v>
      </c>
      <c r="BB208" s="84">
        <f>IF(AND($I208&gt;0,$AF208&gt;=0),IF(($I208-$AF208)/$I208&gt;0,($I208-$AF208)/$I208,0),"")</f>
        <v>0.65</v>
      </c>
      <c r="BC208" s="84">
        <f>IF(AND($AG208&gt;=0,$AD208&gt;=0,$AF208&gt;=0),IF($AG208/($AD208-$AF208)&gt;0,$AG208/($AD208-$AF208),0),"")</f>
        <v>0.15262515262515264</v>
      </c>
      <c r="BD208" s="84">
        <f>IF(AND($G208&gt;0,$AM208&gt;0),IF(($G208-$AM208)/$G208&gt;0,($G208-$AM208)/$G208,0),"")</f>
        <v>0</v>
      </c>
      <c r="BE208" s="6" t="e">
        <f>IF((AD208-AF208)/(AJ208/60)&lt;=0,"",(AD208-AF208)/(AJ208/60))</f>
        <v>#DIV/0!</v>
      </c>
      <c r="BF208" s="6" t="str">
        <f>IF(OR(AJ208=0,AP208=0,NOT(ISNUMBER(AD208)),NOT(ISNUMBER(AF208)),NOT(ISNUMBER(AJ208)),NOT(ISNUMBER(AP208))),"",
IFERROR(IF((AD208-AF208)/(AJ208/60)/(AP208/1000)&lt;=0,"",(AD208-AF208)/(AJ208/60)/(AP208/1000)),""))</f>
        <v/>
      </c>
    </row>
    <row r="209" spans="1:58" ht="15.75">
      <c r="B209" s="134">
        <v>45469</v>
      </c>
      <c r="C209" s="133"/>
      <c r="D209" s="3">
        <v>204</v>
      </c>
      <c r="E209" s="205">
        <f t="shared" si="15"/>
        <v>236.518486</v>
      </c>
      <c r="G209" s="15">
        <f>(N209*18-H209*18)/9</f>
        <v>22.200000000000006</v>
      </c>
      <c r="H209" s="9">
        <v>16.2</v>
      </c>
      <c r="I209" s="15">
        <f>AD209</f>
        <v>12</v>
      </c>
      <c r="K209" s="10">
        <f t="shared" si="12"/>
        <v>10.653985855855852</v>
      </c>
      <c r="L209" s="9">
        <f t="shared" si="13"/>
        <v>9.8549369166666665</v>
      </c>
      <c r="M209" s="8">
        <f t="shared" si="14"/>
        <v>1.0810810810810807</v>
      </c>
      <c r="N209" s="7">
        <v>27.3</v>
      </c>
      <c r="O209" s="6">
        <v>83.641000000000005</v>
      </c>
      <c r="P209" s="6">
        <v>19.164000000000001</v>
      </c>
      <c r="Q209" s="6">
        <f>O209*1.067</f>
        <v>89.244946999999996</v>
      </c>
      <c r="R209" s="6">
        <f>P209*1.514</f>
        <v>29.014296000000002</v>
      </c>
      <c r="S209" s="23">
        <f>P209*1.514+O209*1.067</f>
        <v>118.259243</v>
      </c>
      <c r="T209" s="6">
        <v>33.6</v>
      </c>
      <c r="W209">
        <f>8.694+0.435</f>
        <v>9.1290000000000013</v>
      </c>
      <c r="AB209" s="5">
        <v>80</v>
      </c>
      <c r="AC209" s="7">
        <f>T209</f>
        <v>33.6</v>
      </c>
      <c r="AD209" s="1">
        <f>5*2.4</f>
        <v>12</v>
      </c>
      <c r="AE209" s="1">
        <v>29.3</v>
      </c>
      <c r="AF209" s="1">
        <v>2.44</v>
      </c>
      <c r="AG209">
        <v>0.64</v>
      </c>
      <c r="AH209" s="119">
        <v>0.45104166666666667</v>
      </c>
      <c r="AK209" s="3">
        <v>180</v>
      </c>
      <c r="AL209" s="4">
        <f>AE209</f>
        <v>29.3</v>
      </c>
      <c r="AM209" s="1">
        <v>28.7</v>
      </c>
      <c r="AN209" s="80">
        <f>360-AK209-AB209</f>
        <v>100</v>
      </c>
      <c r="AO209" s="126">
        <f>[2]HRT_SRT!P263</f>
        <v>940.00000000000909</v>
      </c>
      <c r="AP209" s="13">
        <f>AVERAGE(AO207:AO213)</f>
        <v>940.00000000000909</v>
      </c>
      <c r="AQ209" s="15">
        <f>IF(ISNUMBER([2]HRT_SRT!R263),[2]HRT_SRT!R263,"")</f>
        <v>17.172783371223936</v>
      </c>
      <c r="AR209" s="17">
        <f>(E209-W209)/E209</f>
        <v>0.96140259412957685</v>
      </c>
      <c r="AS209" s="16">
        <f>(I209-AF209)/I209</f>
        <v>0.79666666666666675</v>
      </c>
      <c r="AT209" s="16">
        <f>AG209/(AD209-AF209)</f>
        <v>6.6945606694560664E-2</v>
      </c>
      <c r="AU209" s="16">
        <f>(G209-AM209)/G209</f>
        <v>-0.29279279279279241</v>
      </c>
      <c r="AV209" s="57">
        <f>IF(AND(ISNUMBER(E209),ISNUMBER(W209)),E209-W209,"")</f>
        <v>227.38948600000001</v>
      </c>
      <c r="AW209" s="57">
        <f>IF(AND(ISNUMBER(I209),ISNUMBER(AF209)),I209-AF209,"")</f>
        <v>9.56</v>
      </c>
      <c r="AX209" s="57">
        <f>IF(AND(ISNUMBER(AM209),ISNUMBER(G209)),G209-AM209,"")</f>
        <v>-6.4999999999999929</v>
      </c>
      <c r="AY209" s="57">
        <f>IF(AND(ISNUMBER(AC209),ISNUMBER(AE209)),AC209-AE209,"")</f>
        <v>4.3000000000000007</v>
      </c>
      <c r="AZ209" s="57">
        <f>IF(AND(ISNUMBER(AL209),ISNUMBER(AM209)),AL209-AM209,"")</f>
        <v>0.60000000000000142</v>
      </c>
      <c r="BA209" s="84">
        <f>IF(AND($E209&gt;0,$W209&gt;0),IF(($E209-$W209)/$E209&gt;0,($E209-$W209)/$E209,0),"")</f>
        <v>0.96140259412957685</v>
      </c>
      <c r="BB209" s="84">
        <f>IF(AND($I209&gt;0,$AF209&gt;=0),IF(($I209-$AF209)/$I209&gt;0,($I209-$AF209)/$I209,0),"")</f>
        <v>0.79666666666666675</v>
      </c>
      <c r="BC209" s="84">
        <f>IF(AND($AG209&gt;=0,$AD209&gt;=0,$AF209&gt;=0),IF($AG209/($AD209-$AF209)&gt;0,$AG209/($AD209-$AF209),0),"")</f>
        <v>6.6945606694560664E-2</v>
      </c>
      <c r="BD209" s="84">
        <f>IF(AND($G209&gt;0,$AM209&gt;0),IF(($G209-$AM209)/$G209&gt;0,($G209-$AM209)/$G209,0),"")</f>
        <v>0</v>
      </c>
      <c r="BE209" s="6" t="e">
        <f>IF((AD209-AF209)/(AJ209/60)&lt;=0,"",(AD209-AF209)/(AJ209/60))</f>
        <v>#DIV/0!</v>
      </c>
      <c r="BF209" s="6" t="str">
        <f>IF(OR(AJ209=0,AP209=0,NOT(ISNUMBER(AD209)),NOT(ISNUMBER(AF209)),NOT(ISNUMBER(AJ209)),NOT(ISNUMBER(AP209))),"",
IFERROR(IF((AD209-AF209)/(AJ209/60)/(AP209/1000)&lt;=0,"",(AD209-AF209)/(AJ209/60)/(AP209/1000)),""))</f>
        <v/>
      </c>
    </row>
    <row r="210" spans="1:58" ht="15.75">
      <c r="B210" s="134">
        <v>45470</v>
      </c>
      <c r="C210" s="133"/>
      <c r="D210" s="3">
        <v>205</v>
      </c>
      <c r="E210" s="205">
        <f t="shared" si="15"/>
        <v>238.04884000000001</v>
      </c>
      <c r="G210" s="15">
        <f>2*13.1</f>
        <v>26.2</v>
      </c>
      <c r="I210" s="15">
        <f>AD210</f>
        <v>13.149999999999999</v>
      </c>
      <c r="K210" s="10">
        <f t="shared" si="12"/>
        <v>9.0858335877862597</v>
      </c>
      <c r="L210" s="9">
        <f t="shared" si="13"/>
        <v>9.0512866920152106</v>
      </c>
      <c r="M210" s="8">
        <f t="shared" si="14"/>
        <v>1.0038167938931297</v>
      </c>
      <c r="O210" s="6">
        <v>83.494</v>
      </c>
      <c r="P210" s="6">
        <v>19.773</v>
      </c>
      <c r="Q210" s="6">
        <f>O210*1.067</f>
        <v>89.088098000000002</v>
      </c>
      <c r="R210" s="6">
        <f>P210*1.514</f>
        <v>29.936322000000001</v>
      </c>
      <c r="S210" s="23">
        <f>P210*1.514+O210*1.067</f>
        <v>119.02442000000001</v>
      </c>
      <c r="T210" s="6">
        <v>33.799999999999997</v>
      </c>
      <c r="W210">
        <f>0.424+0.572</f>
        <v>0.996</v>
      </c>
      <c r="X210" s="6">
        <v>6.13</v>
      </c>
      <c r="AB210" s="5">
        <v>80</v>
      </c>
      <c r="AC210" s="7">
        <f>T210</f>
        <v>33.799999999999997</v>
      </c>
      <c r="AD210" s="1">
        <f>5*2.63</f>
        <v>13.149999999999999</v>
      </c>
      <c r="AE210" s="1">
        <v>28.1</v>
      </c>
      <c r="AF210" s="1">
        <v>2.27</v>
      </c>
      <c r="AG210" s="1">
        <v>0</v>
      </c>
      <c r="AH210" s="119">
        <v>0.47974537037037035</v>
      </c>
      <c r="AK210" s="3">
        <v>180</v>
      </c>
      <c r="AL210" s="4">
        <f>AE210</f>
        <v>28.1</v>
      </c>
      <c r="AM210" s="1">
        <v>24.8</v>
      </c>
      <c r="AN210" s="80">
        <f>360-AK210-AB210</f>
        <v>100</v>
      </c>
      <c r="AO210" s="126"/>
      <c r="AP210" s="13">
        <f>AVERAGE(AO208:AO214)</f>
        <v>940.00000000000909</v>
      </c>
      <c r="AQ210" s="15" t="str">
        <f>IF(ISNUMBER([2]HRT_SRT!R264),[2]HRT_SRT!R264,"")</f>
        <v/>
      </c>
      <c r="AR210" s="17">
        <f>(E210-W210)/E210</f>
        <v>0.99581598465256116</v>
      </c>
      <c r="AS210" s="16">
        <f>(I210-AF210)/I210</f>
        <v>0.8273764258555133</v>
      </c>
      <c r="AT210" s="16">
        <f>AG210/(AD210-AF210)</f>
        <v>0</v>
      </c>
      <c r="AU210" s="16">
        <f>(G210-AM210)/G210</f>
        <v>5.3435114503816744E-2</v>
      </c>
      <c r="AV210" s="57">
        <f>IF(AND(ISNUMBER(E210),ISNUMBER(W210)),E210-W210,"")</f>
        <v>237.05284</v>
      </c>
      <c r="AW210" s="57">
        <f>IF(AND(ISNUMBER(I210),ISNUMBER(AF210)),I210-AF210,"")</f>
        <v>10.879999999999999</v>
      </c>
      <c r="AX210" s="57">
        <f>IF(AND(ISNUMBER(AM210),ISNUMBER(G210)),G210-AM210,"")</f>
        <v>1.3999999999999986</v>
      </c>
      <c r="AY210" s="57">
        <f>IF(AND(ISNUMBER(AC210),ISNUMBER(AE210)),AC210-AE210,"")</f>
        <v>5.6999999999999957</v>
      </c>
      <c r="AZ210" s="57">
        <f>IF(AND(ISNUMBER(AL210),ISNUMBER(AM210)),AL210-AM210,"")</f>
        <v>3.3000000000000007</v>
      </c>
      <c r="BA210" s="84">
        <f>IF(AND($E210&gt;0,$W210&gt;0),IF(($E210-$W210)/$E210&gt;0,($E210-$W210)/$E210,0),"")</f>
        <v>0.99581598465256116</v>
      </c>
      <c r="BB210" s="84">
        <f>IF(AND($I210&gt;0,$AF210&gt;=0),IF(($I210-$AF210)/$I210&gt;0,($I210-$AF210)/$I210,0),"")</f>
        <v>0.8273764258555133</v>
      </c>
      <c r="BC210" s="84">
        <f>IF(AND($AG210&gt;=0,$AD210&gt;=0,$AF210&gt;=0),IF($AG210/($AD210-$AF210)&gt;0,$AG210/($AD210-$AF210),0),"")</f>
        <v>0</v>
      </c>
      <c r="BD210" s="84">
        <f>IF(AND($G210&gt;0,$AM210&gt;0),IF(($G210-$AM210)/$G210&gt;0,($G210-$AM210)/$G210,0),"")</f>
        <v>5.3435114503816744E-2</v>
      </c>
      <c r="BE210" s="6" t="e">
        <f>IF((AD210-AF210)/(AJ210/60)&lt;=0,"",(AD210-AF210)/(AJ210/60))</f>
        <v>#DIV/0!</v>
      </c>
      <c r="BF210" s="6" t="str">
        <f>IF(OR(AJ210=0,AP210=0,NOT(ISNUMBER(AD210)),NOT(ISNUMBER(AF210)),NOT(ISNUMBER(AJ210)),NOT(ISNUMBER(AP210))),"",
IFERROR(IF((AD210-AF210)/(AJ210/60)/(AP210/1000)&lt;=0,"",(AD210-AF210)/(AJ210/60)/(AP210/1000)),""))</f>
        <v/>
      </c>
    </row>
    <row r="211" spans="1:58" ht="15.75">
      <c r="B211" s="134">
        <v>45471</v>
      </c>
      <c r="C211" s="133"/>
      <c r="D211" s="3">
        <v>206</v>
      </c>
      <c r="E211" s="205" t="str">
        <f t="shared" si="15"/>
        <v/>
      </c>
      <c r="G211" s="15">
        <f>(N211*18-H211*18)/9</f>
        <v>0</v>
      </c>
      <c r="I211" s="15">
        <f>AD211</f>
        <v>0</v>
      </c>
      <c r="K211" s="10" t="str">
        <f t="shared" si="12"/>
        <v/>
      </c>
      <c r="L211" s="9" t="str">
        <f t="shared" si="13"/>
        <v/>
      </c>
      <c r="M211" s="8" t="str">
        <f t="shared" si="14"/>
        <v/>
      </c>
      <c r="AB211" s="5">
        <v>80</v>
      </c>
      <c r="AC211" s="7">
        <f>T211</f>
        <v>0</v>
      </c>
      <c r="AG211" s="1">
        <v>0</v>
      </c>
      <c r="AH211" s="119">
        <v>0.52141203703703698</v>
      </c>
      <c r="AK211" s="3">
        <v>180</v>
      </c>
      <c r="AN211" s="80">
        <f>360-AK211-AB211</f>
        <v>100</v>
      </c>
      <c r="AO211" s="126"/>
      <c r="AP211" s="13">
        <f>AVERAGE(AO209:AO215)</f>
        <v>1050.0000000000227</v>
      </c>
      <c r="AQ211" s="15" t="str">
        <f>IF(ISNUMBER([2]HRT_SRT!R265),[2]HRT_SRT!R265,"")</f>
        <v/>
      </c>
      <c r="AR211" s="17" t="e">
        <f>(E211-W211)/E211</f>
        <v>#VALUE!</v>
      </c>
      <c r="AS211" s="16" t="e">
        <f>(I211-AF211)/I211</f>
        <v>#DIV/0!</v>
      </c>
      <c r="AT211" s="16" t="e">
        <f>AG211/(AD211-AF211)</f>
        <v>#DIV/0!</v>
      </c>
      <c r="AU211" s="16" t="e">
        <f>(G211-AM211)/G211</f>
        <v>#DIV/0!</v>
      </c>
      <c r="AV211" s="57" t="str">
        <f>IF(AND(ISNUMBER(E211),ISNUMBER(W211)),E211-W211,"")</f>
        <v/>
      </c>
      <c r="AW211" s="57" t="str">
        <f>IF(AND(ISNUMBER(I211),ISNUMBER(AF211)),I211-AF211,"")</f>
        <v/>
      </c>
      <c r="AX211" s="57" t="str">
        <f>IF(AND(ISNUMBER(AM211),ISNUMBER(G211)),G211-AM211,"")</f>
        <v/>
      </c>
      <c r="AY211" s="57" t="str">
        <f>IF(AND(ISNUMBER(AC211),ISNUMBER(AE211)),AC211-AE211,"")</f>
        <v/>
      </c>
      <c r="AZ211" s="57" t="str">
        <f>IF(AND(ISNUMBER(AL211),ISNUMBER(AM211)),AL211-AM211,"")</f>
        <v/>
      </c>
      <c r="BA211" s="84" t="str">
        <f>IF(AND($E211&gt;0,$W211&gt;0),IF(($E211-$W211)/$E211&gt;0,($E211-$W211)/$E211,0),"")</f>
        <v/>
      </c>
      <c r="BB211" s="84" t="str">
        <f>IF(AND($I211&gt;0,$AF211&gt;=0),IF(($I211-$AF211)/$I211&gt;0,($I211-$AF211)/$I211,0),"")</f>
        <v/>
      </c>
      <c r="BC211" s="84"/>
      <c r="BD211" s="84" t="str">
        <f>IF(AND($G211&gt;0,$AM211&gt;0),IF(($G211-$AM211)/$G211&gt;0,($G211-$AM211)/$G211,0),"")</f>
        <v/>
      </c>
      <c r="BE211" s="6" t="e">
        <f>IF((AD211-AF211)/(AJ211/60)&lt;=0,"",(AD211-AF211)/(AJ211/60))</f>
        <v>#DIV/0!</v>
      </c>
      <c r="BF211" s="6" t="str">
        <f>IF(OR(AJ211=0,AP211=0,NOT(ISNUMBER(AD211)),NOT(ISNUMBER(AF211)),NOT(ISNUMBER(AJ211)),NOT(ISNUMBER(AP211))),"",
IFERROR(IF((AD211-AF211)/(AJ211/60)/(AP211/1000)&lt;=0,"",(AD211-AF211)/(AJ211/60)/(AP211/1000)),""))</f>
        <v/>
      </c>
    </row>
    <row r="212" spans="1:58" ht="15.75">
      <c r="B212" s="134">
        <v>45472</v>
      </c>
      <c r="C212" s="133"/>
      <c r="D212" s="3">
        <v>207</v>
      </c>
      <c r="E212" s="205" t="str">
        <f t="shared" si="15"/>
        <v/>
      </c>
      <c r="I212" s="15">
        <f>AD212</f>
        <v>0</v>
      </c>
      <c r="K212" s="10" t="str">
        <f t="shared" si="12"/>
        <v/>
      </c>
      <c r="L212" s="9" t="str">
        <f t="shared" si="13"/>
        <v/>
      </c>
      <c r="M212" s="8" t="str">
        <f t="shared" si="14"/>
        <v/>
      </c>
      <c r="AB212" s="5">
        <v>80</v>
      </c>
      <c r="AG212" s="1">
        <v>0</v>
      </c>
      <c r="AH212" s="119">
        <v>0.56307870370370405</v>
      </c>
      <c r="AK212" s="3">
        <v>180</v>
      </c>
      <c r="AN212" s="80">
        <f>360-AK212-AB212</f>
        <v>100</v>
      </c>
      <c r="AO212" s="126"/>
      <c r="AP212" s="13">
        <f>AVERAGE(AO210:AO216)</f>
        <v>1155.0000000000182</v>
      </c>
      <c r="AQ212" s="15" t="str">
        <f>IF(ISNUMBER([2]HRT_SRT!R266),[2]HRT_SRT!R266,"")</f>
        <v/>
      </c>
      <c r="AR212" s="17" t="e">
        <f>(E212-W212)/E212</f>
        <v>#VALUE!</v>
      </c>
      <c r="AS212" s="16" t="e">
        <f>(I212-AF212)/I212</f>
        <v>#DIV/0!</v>
      </c>
      <c r="AT212" s="16" t="e">
        <f>AG212/(AD212-AF212)</f>
        <v>#DIV/0!</v>
      </c>
      <c r="AU212" s="16" t="e">
        <f>(G212-AM212)/G212</f>
        <v>#DIV/0!</v>
      </c>
      <c r="AV212" s="57" t="str">
        <f>IF(AND(ISNUMBER(E212),ISNUMBER(W212)),E212-W212,"")</f>
        <v/>
      </c>
      <c r="AW212" s="57" t="str">
        <f>IF(AND(ISNUMBER(I212),ISNUMBER(AF212)),I212-AF212,"")</f>
        <v/>
      </c>
      <c r="AX212" s="57" t="str">
        <f>IF(AND(ISNUMBER(AM212),ISNUMBER(G212)),G212-AM212,"")</f>
        <v/>
      </c>
      <c r="AY212" s="57" t="str">
        <f>IF(AND(ISNUMBER(AC212),ISNUMBER(AE212)),AC212-AE212,"")</f>
        <v/>
      </c>
      <c r="AZ212" s="57" t="str">
        <f>IF(AND(ISNUMBER(AL212),ISNUMBER(AM212)),AL212-AM212,"")</f>
        <v/>
      </c>
      <c r="BA212" s="84" t="str">
        <f>IF(AND($E212&gt;0,$W212&gt;0),IF(($E212-$W212)/$E212&gt;0,($E212-$W212)/$E212,0),"")</f>
        <v/>
      </c>
      <c r="BB212" s="84" t="str">
        <f>IF(AND($I212&gt;0,$AF212&gt;=0),IF(($I212-$AF212)/$I212&gt;0,($I212-$AF212)/$I212,0),"")</f>
        <v/>
      </c>
      <c r="BC212" s="84"/>
      <c r="BD212" s="84" t="str">
        <f>IF(AND($G212&gt;0,$AM212&gt;0),IF(($G212-$AM212)/$G212&gt;0,($G212-$AM212)/$G212,0),"")</f>
        <v/>
      </c>
      <c r="BE212" s="6" t="e">
        <f>IF((AD212-AF212)/(AJ212/60)&lt;=0,"",(AD212-AF212)/(AJ212/60))</f>
        <v>#DIV/0!</v>
      </c>
      <c r="BF212" s="6" t="str">
        <f>IF(OR(AJ212=0,AP212=0,NOT(ISNUMBER(AD212)),NOT(ISNUMBER(AF212)),NOT(ISNUMBER(AJ212)),NOT(ISNUMBER(AP212))),"",
IFERROR(IF((AD212-AF212)/(AJ212/60)/(AP212/1000)&lt;=0,"",(AD212-AF212)/(AJ212/60)/(AP212/1000)),""))</f>
        <v/>
      </c>
    </row>
    <row r="213" spans="1:58" ht="15.75">
      <c r="B213" s="134">
        <v>45473</v>
      </c>
      <c r="C213" s="133"/>
      <c r="D213" s="3">
        <v>208</v>
      </c>
      <c r="E213" s="205" t="str">
        <f t="shared" si="15"/>
        <v/>
      </c>
      <c r="I213" s="15">
        <f>AD213</f>
        <v>0</v>
      </c>
      <c r="K213" s="10" t="str">
        <f t="shared" si="12"/>
        <v/>
      </c>
      <c r="L213" s="9" t="str">
        <f t="shared" si="13"/>
        <v/>
      </c>
      <c r="M213" s="8" t="str">
        <f t="shared" si="14"/>
        <v/>
      </c>
      <c r="AB213" s="5">
        <v>80</v>
      </c>
      <c r="AG213" s="1">
        <v>0</v>
      </c>
      <c r="AH213" s="119">
        <v>0.60474537037037002</v>
      </c>
      <c r="AJ213" s="93">
        <v>93.6</v>
      </c>
      <c r="AK213" s="3">
        <v>180</v>
      </c>
      <c r="AN213" s="80">
        <f>360-AK213-AB213</f>
        <v>100</v>
      </c>
      <c r="AO213" s="126"/>
      <c r="AP213" s="13">
        <f>AVERAGE(AO211:AO217)</f>
        <v>1155.0000000000182</v>
      </c>
      <c r="AQ213" s="15" t="str">
        <f>IF(ISNUMBER([2]HRT_SRT!R267),[2]HRT_SRT!R267,"")</f>
        <v/>
      </c>
      <c r="AR213" s="17" t="e">
        <f>(E213-W213)/E213</f>
        <v>#VALUE!</v>
      </c>
      <c r="AS213" s="16" t="e">
        <f>(I213-AF213)/I213</f>
        <v>#DIV/0!</v>
      </c>
      <c r="AT213" s="16" t="e">
        <f>AG213/(AD213-AF213)</f>
        <v>#DIV/0!</v>
      </c>
      <c r="AU213" s="16" t="e">
        <f>(G213-AM213)/G213</f>
        <v>#DIV/0!</v>
      </c>
      <c r="AV213" s="57" t="str">
        <f>IF(AND(ISNUMBER(E213),ISNUMBER(W213)),E213-W213,"")</f>
        <v/>
      </c>
      <c r="AW213" s="57" t="str">
        <f>IF(AND(ISNUMBER(I213),ISNUMBER(AF213)),I213-AF213,"")</f>
        <v/>
      </c>
      <c r="AX213" s="57" t="str">
        <f>IF(AND(ISNUMBER(AM213),ISNUMBER(G213)),G213-AM213,"")</f>
        <v/>
      </c>
      <c r="AY213" s="57" t="str">
        <f>IF(AND(ISNUMBER(AC213),ISNUMBER(AE213)),AC213-AE213,"")</f>
        <v/>
      </c>
      <c r="AZ213" s="57" t="str">
        <f>IF(AND(ISNUMBER(AL213),ISNUMBER(AM213)),AL213-AM213,"")</f>
        <v/>
      </c>
      <c r="BA213" s="84" t="str">
        <f>IF(AND($E213&gt;0,$W213&gt;0),IF(($E213-$W213)/$E213&gt;0,($E213-$W213)/$E213,0),"")</f>
        <v/>
      </c>
      <c r="BB213" s="84" t="str">
        <f>IF(AND($I213&gt;0,$AF213&gt;=0),IF(($I213-$AF213)/$I213&gt;0,($I213-$AF213)/$I213,0),"")</f>
        <v/>
      </c>
      <c r="BC213" s="84"/>
      <c r="BD213" s="84" t="str">
        <f>IF(AND($G213&gt;0,$AM213&gt;0),IF(($G213-$AM213)/$G213&gt;0,($G213-$AM213)/$G213,0),"")</f>
        <v/>
      </c>
      <c r="BE213" s="6" t="str">
        <f>IF((AD213-AF213)/(AJ213/60)&lt;=0,"",(AD213-AF213)/(AJ213/60))</f>
        <v/>
      </c>
      <c r="BF213" s="6" t="str">
        <f>IF(OR(AJ213=0,AP213=0,NOT(ISNUMBER(AD213)),NOT(ISNUMBER(AF213)),NOT(ISNUMBER(AJ213)),NOT(ISNUMBER(AP213))),"",
IFERROR(IF((AD213-AF213)/(AJ213/60)/(AP213/1000)&lt;=0,"",(AD213-AF213)/(AJ213/60)/(AP213/1000)),""))</f>
        <v/>
      </c>
    </row>
    <row r="214" spans="1:58" ht="15.75">
      <c r="A214" s="12" t="s">
        <v>134</v>
      </c>
      <c r="B214" s="94">
        <v>45474</v>
      </c>
      <c r="C214" s="128"/>
      <c r="D214" s="3">
        <v>209</v>
      </c>
      <c r="E214" s="205" t="str">
        <f t="shared" si="15"/>
        <v/>
      </c>
      <c r="G214" s="15">
        <f>(N214*18-H214*18)/9</f>
        <v>22.200000000000003</v>
      </c>
      <c r="H214" s="9">
        <v>15.5</v>
      </c>
      <c r="I214" s="15">
        <f>AD214</f>
        <v>6.8000000000000007</v>
      </c>
      <c r="K214" s="10" t="str">
        <f t="shared" si="12"/>
        <v/>
      </c>
      <c r="L214" s="9" t="str">
        <f t="shared" si="13"/>
        <v/>
      </c>
      <c r="M214" s="8">
        <f t="shared" si="14"/>
        <v>0.61261261261261257</v>
      </c>
      <c r="N214" s="7">
        <v>26.6</v>
      </c>
      <c r="T214" s="6">
        <v>30.4</v>
      </c>
      <c r="AB214" s="5">
        <v>80</v>
      </c>
      <c r="AC214" s="7">
        <f>T214</f>
        <v>30.4</v>
      </c>
      <c r="AD214" s="1">
        <f>5*1.36</f>
        <v>6.8000000000000007</v>
      </c>
      <c r="AE214" s="1">
        <v>29.3</v>
      </c>
      <c r="AF214" s="1">
        <v>0</v>
      </c>
      <c r="AG214" s="1">
        <v>0</v>
      </c>
      <c r="AH214" s="119">
        <v>0.64641203703703698</v>
      </c>
      <c r="AJ214" s="93"/>
      <c r="AK214" s="3">
        <v>180</v>
      </c>
      <c r="AL214" s="4">
        <f>AE214</f>
        <v>29.3</v>
      </c>
      <c r="AM214" s="1">
        <v>26.4</v>
      </c>
      <c r="AN214" s="80">
        <f>360-AK214-AB214</f>
        <v>100</v>
      </c>
      <c r="AO214" s="126"/>
      <c r="AP214" s="13">
        <f>AVERAGE(AO212:AO218)</f>
        <v>1155.0000000000182</v>
      </c>
      <c r="AQ214" s="15" t="str">
        <f>IF(ISNUMBER([2]HRT_SRT!R268),[2]HRT_SRT!R268,"")</f>
        <v/>
      </c>
      <c r="AR214" s="17" t="e">
        <f>(E214-W214)/E214</f>
        <v>#VALUE!</v>
      </c>
      <c r="AS214" s="16">
        <f>(I214-AF214)/I214</f>
        <v>1</v>
      </c>
      <c r="AT214" s="16">
        <f>AG214/(AD214-AF214)</f>
        <v>0</v>
      </c>
      <c r="AU214" s="16">
        <f>(G214-AM214)/G214</f>
        <v>-0.18918918918918898</v>
      </c>
      <c r="AV214" s="57" t="str">
        <f>IF(AND(ISNUMBER(E214),ISNUMBER(W214)),E214-W214,"")</f>
        <v/>
      </c>
      <c r="AW214" s="57">
        <f>IF(AND(ISNUMBER(I214),ISNUMBER(AF214)),I214-AF214,"")</f>
        <v>6.8000000000000007</v>
      </c>
      <c r="AX214" s="57">
        <f>IF(AND(ISNUMBER(AM214),ISNUMBER(G214)),G214-AM214,"")</f>
        <v>-4.1999999999999957</v>
      </c>
      <c r="AY214" s="57">
        <f>IF(AND(ISNUMBER(AC214),ISNUMBER(AE214)),AC214-AE214,"")</f>
        <v>1.0999999999999979</v>
      </c>
      <c r="AZ214" s="57">
        <f>IF(AND(ISNUMBER(AL214),ISNUMBER(AM214)),AL214-AM214,"")</f>
        <v>2.9000000000000021</v>
      </c>
      <c r="BA214" s="123" t="str">
        <f>IF(AND($E214&gt;0,$W214&gt;0),IF(($E214-$W214)/$E214&gt;0,($E214-$W214)/$E214,0),"")</f>
        <v/>
      </c>
      <c r="BB214" s="123">
        <f>IF(AND($I214&gt;0,$AF214&gt;=0),IF(($I214-$AF214)/$I214&gt;0,($I214-$AF214)/$I214,0),"")</f>
        <v>1</v>
      </c>
      <c r="BC214" s="123">
        <f>IF(AND($AG214&gt;=0,$AD214&gt;=0,$AF214&gt;=0),IF($AG214/($AD214-$AF214)&gt;0,$AG214/($AD214-$AF214),0),"")</f>
        <v>0</v>
      </c>
      <c r="BD214" s="123">
        <f>IF(AND($G214&gt;0,$AM214&gt;0),IF(($G214-$AM214)/$G214&gt;0,($G214-$AM214)/$G214,0),"")</f>
        <v>0</v>
      </c>
      <c r="BE214" s="6" t="e">
        <f>IF((AD214-AF214)/(AJ214/60)&lt;=0,"",(AD214-AF214)/(AJ214/60))</f>
        <v>#DIV/0!</v>
      </c>
      <c r="BF214" s="6"/>
    </row>
    <row r="215" spans="1:58" ht="30">
      <c r="A215" s="12" t="s">
        <v>133</v>
      </c>
      <c r="B215" s="94">
        <v>45475</v>
      </c>
      <c r="C215" s="128"/>
      <c r="D215" s="3">
        <v>210</v>
      </c>
      <c r="E215" s="205">
        <f t="shared" si="15"/>
        <v>213.95895999999999</v>
      </c>
      <c r="G215" s="15">
        <f>(N215*18-H215*18)/9</f>
        <v>0</v>
      </c>
      <c r="I215" s="15">
        <f>AD215</f>
        <v>7.05</v>
      </c>
      <c r="K215" s="10" t="str">
        <f t="shared" si="12"/>
        <v/>
      </c>
      <c r="L215" s="9">
        <f t="shared" si="13"/>
        <v>15.174394326241135</v>
      </c>
      <c r="M215" s="8" t="str">
        <f t="shared" si="14"/>
        <v/>
      </c>
      <c r="O215" s="6">
        <v>76.238</v>
      </c>
      <c r="P215" s="6">
        <v>16.931000000000001</v>
      </c>
      <c r="Q215" s="6">
        <f>O215*1.067</f>
        <v>81.345945999999998</v>
      </c>
      <c r="R215" s="6">
        <f>P215*1.514</f>
        <v>25.633534000000001</v>
      </c>
      <c r="S215" s="23">
        <f>P215*1.514+O215*1.067</f>
        <v>106.97948</v>
      </c>
      <c r="T215" s="6">
        <v>19.600000000000001</v>
      </c>
      <c r="W215">
        <f>0.481+1.489</f>
        <v>1.9700000000000002</v>
      </c>
      <c r="X215" s="6">
        <v>6.82</v>
      </c>
      <c r="AB215" s="5">
        <v>80</v>
      </c>
      <c r="AC215" s="7">
        <f>T215</f>
        <v>19.600000000000001</v>
      </c>
      <c r="AD215" s="1">
        <f>5*1.41</f>
        <v>7.05</v>
      </c>
      <c r="AE215" s="1">
        <v>16.8</v>
      </c>
      <c r="AF215" s="1">
        <v>0</v>
      </c>
      <c r="AG215" s="1">
        <v>0</v>
      </c>
      <c r="AH215" s="119">
        <v>0.68807870370370405</v>
      </c>
      <c r="AJ215" s="93"/>
      <c r="AK215" s="3">
        <v>180</v>
      </c>
      <c r="AL215" s="4">
        <f>AE215</f>
        <v>16.8</v>
      </c>
      <c r="AM215" s="1">
        <v>14.6</v>
      </c>
      <c r="AN215" s="80">
        <f>360-AK215-AB215</f>
        <v>100</v>
      </c>
      <c r="AO215" s="126">
        <f>[2]HRT_SRT!P269</f>
        <v>1160.0000000000364</v>
      </c>
      <c r="AP215" s="13">
        <f>AVERAGE(AO213:AO219)</f>
        <v>1211.6666666666788</v>
      </c>
      <c r="AQ215" s="15">
        <f>IF(ISNUMBER([2]HRT_SRT!R269),[2]HRT_SRT!R269,"")</f>
        <v>20.422535211267853</v>
      </c>
      <c r="AR215" s="17">
        <f>(E215-W215)/E215</f>
        <v>0.99079262677291013</v>
      </c>
      <c r="AS215" s="16">
        <f>(I215-AF215)/I215</f>
        <v>1</v>
      </c>
      <c r="AT215" s="16">
        <f>AG215/(AD215-AF215)</f>
        <v>0</v>
      </c>
      <c r="AU215" s="16" t="e">
        <f>(G215-AM215)/G215</f>
        <v>#DIV/0!</v>
      </c>
      <c r="AV215" s="57">
        <f>IF(AND(ISNUMBER(E215),ISNUMBER(W215)),E215-W215,"")</f>
        <v>211.98895999999999</v>
      </c>
      <c r="AW215" s="57">
        <f>IF(AND(ISNUMBER(I215),ISNUMBER(AF215)),I215-AF215,"")</f>
        <v>7.05</v>
      </c>
      <c r="AX215" s="57">
        <f>IF(AND(ISNUMBER(AM215),ISNUMBER(G215)),G215-AM215,"")</f>
        <v>-14.6</v>
      </c>
      <c r="AY215" s="57">
        <f>IF(AND(ISNUMBER(AC215),ISNUMBER(AE215)),AC215-AE215,"")</f>
        <v>2.8000000000000007</v>
      </c>
      <c r="AZ215" s="57">
        <f>IF(AND(ISNUMBER(AL215),ISNUMBER(AM215)),AL215-AM215,"")</f>
        <v>2.2000000000000011</v>
      </c>
      <c r="BA215" s="123">
        <f>IF(AND($E215&gt;0,$W215&gt;0),IF(($E215-$W215)/$E215&gt;0,($E215-$W215)/$E215,0),"")</f>
        <v>0.99079262677291013</v>
      </c>
      <c r="BB215" s="123">
        <f>IF(AND($I215&gt;0,$AF215&gt;=0),IF(($I215-$AF215)/$I215&gt;0,($I215-$AF215)/$I215,0),"")</f>
        <v>1</v>
      </c>
      <c r="BC215" s="123">
        <f>IF(AND($AG215&gt;=0,$AD215&gt;=0,$AF215&gt;=0),IF($AG215/($AD215-$AF215)&gt;0,$AG215/($AD215-$AF215),0),"")</f>
        <v>0</v>
      </c>
      <c r="BD215" s="123" t="str">
        <f>IF(AND($G215&gt;0,$AM215&gt;0),IF(($G215-$AM215)/$G215&gt;0,($G215-$AM215)/$G215,0),"")</f>
        <v/>
      </c>
      <c r="BE215" s="6" t="e">
        <f>IF((AD215-AF215)/(AJ215/60)&lt;=0,"",(AD215-AF215)/(AJ215/60))</f>
        <v>#DIV/0!</v>
      </c>
      <c r="BF215" s="6"/>
    </row>
    <row r="216" spans="1:58" ht="15.75">
      <c r="B216" s="94">
        <v>45476</v>
      </c>
      <c r="C216" s="128"/>
      <c r="D216" s="3">
        <v>211</v>
      </c>
      <c r="E216" s="205">
        <f t="shared" si="15"/>
        <v>242.10198400000002</v>
      </c>
      <c r="G216" s="15">
        <f>(N216*18-H216*18)/9</f>
        <v>22.4</v>
      </c>
      <c r="H216" s="9">
        <v>11.3</v>
      </c>
      <c r="I216" s="15">
        <f>AD216</f>
        <v>26.25</v>
      </c>
      <c r="K216" s="10">
        <f t="shared" si="12"/>
        <v>10.808124285714287</v>
      </c>
      <c r="L216" s="9">
        <f t="shared" si="13"/>
        <v>4.6114663619047622</v>
      </c>
      <c r="M216" s="8">
        <f t="shared" si="14"/>
        <v>2.34375</v>
      </c>
      <c r="N216" s="7">
        <v>22.5</v>
      </c>
      <c r="O216" s="6">
        <v>86.134</v>
      </c>
      <c r="P216" s="6">
        <v>19.251000000000001</v>
      </c>
      <c r="Q216" s="6">
        <f>O216*1.067</f>
        <v>91.904978</v>
      </c>
      <c r="R216" s="6">
        <f>P216*1.514</f>
        <v>29.146014000000001</v>
      </c>
      <c r="S216" s="23">
        <f>P216*1.514+O216*1.067</f>
        <v>121.05099200000001</v>
      </c>
      <c r="T216" s="6">
        <v>25.5</v>
      </c>
      <c r="W216">
        <f>0.5+0.68</f>
        <v>1.1800000000000002</v>
      </c>
      <c r="AB216" s="5">
        <v>80</v>
      </c>
      <c r="AC216" s="7">
        <f>T216</f>
        <v>25.5</v>
      </c>
      <c r="AD216" s="1">
        <f>5*5.25</f>
        <v>26.25</v>
      </c>
      <c r="AE216" s="1">
        <f>23</f>
        <v>23</v>
      </c>
      <c r="AF216" s="1">
        <v>0.17499999999999999</v>
      </c>
      <c r="AG216" s="1">
        <v>0</v>
      </c>
      <c r="AH216" s="119">
        <v>0.72974537037037002</v>
      </c>
      <c r="AJ216" s="93">
        <v>93.6</v>
      </c>
      <c r="AK216" s="3">
        <v>180</v>
      </c>
      <c r="AL216" s="4">
        <f>AE216</f>
        <v>23</v>
      </c>
      <c r="AM216" s="1">
        <v>21.6</v>
      </c>
      <c r="AN216" s="80">
        <f>360-AK216-AB216</f>
        <v>100</v>
      </c>
      <c r="AO216" s="126">
        <f>[2]HRT_SRT!P270</f>
        <v>1150</v>
      </c>
      <c r="AP216" s="13">
        <f>AVERAGE(AO214:AO220)</f>
        <v>1240.0000000000091</v>
      </c>
      <c r="AQ216" s="15">
        <f>IF(ISNUMBER([2]HRT_SRT!R270),[2]HRT_SRT!R270,"")</f>
        <v>19.999999999997787</v>
      </c>
      <c r="AR216" s="17">
        <f>(E216-W216)/E216</f>
        <v>0.99512602094165403</v>
      </c>
      <c r="AS216" s="16">
        <f>(I216-AF216)/I216</f>
        <v>0.99333333333333329</v>
      </c>
      <c r="AT216" s="16">
        <f>AG216/(AD216-AF216)</f>
        <v>0</v>
      </c>
      <c r="AU216" s="16">
        <f>(G216-AM216)/G216</f>
        <v>3.5714285714285587E-2</v>
      </c>
      <c r="AV216" s="57">
        <f>IF(AND(ISNUMBER(E216),ISNUMBER(W216)),E216-W216,"")</f>
        <v>240.92198400000001</v>
      </c>
      <c r="AW216" s="57">
        <f>IF(AND(ISNUMBER(I216),ISNUMBER(AF216)),I216-AF216,"")</f>
        <v>26.074999999999999</v>
      </c>
      <c r="AX216" s="57">
        <f>IF(AND(ISNUMBER(AM216),ISNUMBER(G216)),G216-AM216,"")</f>
        <v>0.79999999999999716</v>
      </c>
      <c r="AY216" s="57">
        <f>IF(AND(ISNUMBER(AC216),ISNUMBER(AE216)),AC216-AE216,"")</f>
        <v>2.5</v>
      </c>
      <c r="AZ216" s="57">
        <f>IF(AND(ISNUMBER(AL216),ISNUMBER(AM216)),AL216-AM216,"")</f>
        <v>1.3999999999999986</v>
      </c>
      <c r="BA216" s="123">
        <f>IF(AND($E216&gt;0,$W216&gt;0),IF(($E216-$W216)/$E216&gt;0,($E216-$W216)/$E216,0),"")</f>
        <v>0.99512602094165403</v>
      </c>
      <c r="BB216" s="123">
        <f>IF(AND($I216&gt;0,$AF216&gt;=0),IF(($I216-$AF216)/$I216&gt;0,($I216-$AF216)/$I216,0),"")</f>
        <v>0.99333333333333329</v>
      </c>
      <c r="BC216" s="123">
        <f>IF(AND($AG216&gt;=0,$AD216&gt;=0,$AF216&gt;=0),IF($AG216/($AD216-$AF216)&gt;0,$AG216/($AD216-$AF216),0),"")</f>
        <v>0</v>
      </c>
      <c r="BD216" s="123">
        <f>IF(AND($G216&gt;0,$AM216&gt;0),IF(($G216-$AM216)/$G216&gt;0,($G216-$AM216)/$G216,0),"")</f>
        <v>3.5714285714285587E-2</v>
      </c>
      <c r="BE216" s="6">
        <f>IF((AD216-AF216)/(AJ216/60)&lt;=0,"",(AD216-AF216)/(AJ216/60))</f>
        <v>16.714743589743591</v>
      </c>
      <c r="BF216" s="6"/>
    </row>
    <row r="217" spans="1:58" ht="15.75">
      <c r="A217" s="12" t="s">
        <v>132</v>
      </c>
      <c r="B217" s="94">
        <v>45477</v>
      </c>
      <c r="C217" s="128"/>
      <c r="D217" s="3">
        <v>212</v>
      </c>
      <c r="E217" s="205" t="str">
        <f t="shared" si="15"/>
        <v/>
      </c>
      <c r="I217" s="15">
        <f>AD217</f>
        <v>0</v>
      </c>
      <c r="K217" s="10" t="str">
        <f t="shared" si="12"/>
        <v/>
      </c>
      <c r="L217" s="9" t="str">
        <f t="shared" si="13"/>
        <v/>
      </c>
      <c r="M217" s="8" t="str">
        <f t="shared" si="14"/>
        <v/>
      </c>
      <c r="S217" s="23"/>
      <c r="X217" s="6">
        <v>2.67</v>
      </c>
      <c r="AB217" s="5">
        <v>80</v>
      </c>
      <c r="AG217" s="1">
        <v>0</v>
      </c>
      <c r="AH217" s="119">
        <v>0.77141203703703698</v>
      </c>
      <c r="AJ217" s="93">
        <v>93.6</v>
      </c>
      <c r="AK217" s="3">
        <v>180</v>
      </c>
      <c r="AN217" s="80">
        <f>360-AK217-AB217</f>
        <v>100</v>
      </c>
      <c r="AO217" s="126"/>
      <c r="AP217" s="13">
        <f>AVERAGE(AO215:AO221)</f>
        <v>1240.0000000000091</v>
      </c>
      <c r="AQ217" s="15" t="str">
        <f>IF(ISNUMBER([2]HRT_SRT!R271),[2]HRT_SRT!R271,"")</f>
        <v/>
      </c>
      <c r="AR217" s="17" t="e">
        <f>(E217-W217)/E217</f>
        <v>#VALUE!</v>
      </c>
      <c r="AS217" s="16"/>
      <c r="AT217" s="16" t="e">
        <f>AG217/(AD217-AF217)</f>
        <v>#DIV/0!</v>
      </c>
      <c r="AU217" s="16" t="e">
        <f>(G217-AM217)/G217</f>
        <v>#DIV/0!</v>
      </c>
      <c r="AV217" s="57" t="str">
        <f>IF(AND(ISNUMBER(E217),ISNUMBER(W217)),E217-W217,"")</f>
        <v/>
      </c>
      <c r="AW217" s="57" t="str">
        <f>IF(AND(ISNUMBER(I217),ISNUMBER(AF217)),I217-AF217,"")</f>
        <v/>
      </c>
      <c r="AX217" s="57" t="str">
        <f>IF(AND(ISNUMBER(AM217),ISNUMBER(G217)),G217-AM217,"")</f>
        <v/>
      </c>
      <c r="AY217" s="57" t="str">
        <f>IF(AND(ISNUMBER(AC217),ISNUMBER(AE217)),AC217-AE217,"")</f>
        <v/>
      </c>
      <c r="AZ217" s="57" t="str">
        <f>IF(AND(ISNUMBER(AL217),ISNUMBER(AM217)),AL217-AM217,"")</f>
        <v/>
      </c>
      <c r="BA217" s="123"/>
      <c r="BB217" s="123" t="str">
        <f>IF(AND($I217&gt;0,$AF217&gt;=0),IF(($I217-$AF217)/$I217&gt;0,($I217-$AF217)/$I217,0),"")</f>
        <v/>
      </c>
      <c r="BC217" s="123"/>
      <c r="BD217" s="123" t="str">
        <f>IF(AND($G217&gt;0,$AM217&gt;0),IF(($G217-$AM217)/$G217&gt;0,($G217-$AM217)/$G217,0),"")</f>
        <v/>
      </c>
      <c r="BE217" s="6" t="str">
        <f>IF((AD217-AF217)/(AJ217/60)&lt;=0,"",(AD217-AF217)/(AJ217/60))</f>
        <v/>
      </c>
      <c r="BF217" s="6" t="str">
        <f>IF(OR(AJ217=0,AP217=0,NOT(ISNUMBER(AD217)),NOT(ISNUMBER(AF217)),NOT(ISNUMBER(AJ217)),NOT(ISNUMBER(AP217))),"",
IFERROR(IF((AD217-AF217)/(AJ217/60)/(AP217/1000)&lt;=0,"",(AD217-AF217)/(AJ217/60)/(AP217/1000)),""))</f>
        <v/>
      </c>
    </row>
    <row r="218" spans="1:58" ht="15.75">
      <c r="B218" s="94">
        <v>45478</v>
      </c>
      <c r="C218" s="128"/>
      <c r="D218" s="3">
        <v>213</v>
      </c>
      <c r="E218" s="205" t="str">
        <f t="shared" si="15"/>
        <v/>
      </c>
      <c r="G218" s="15">
        <f>(N218*18-H218*18)/9</f>
        <v>22.6</v>
      </c>
      <c r="H218" s="9">
        <v>11.6</v>
      </c>
      <c r="I218" s="15">
        <f>AD218</f>
        <v>14.8</v>
      </c>
      <c r="K218" s="10" t="str">
        <f t="shared" si="12"/>
        <v/>
      </c>
      <c r="L218" s="9" t="str">
        <f t="shared" si="13"/>
        <v/>
      </c>
      <c r="M218" s="8">
        <f t="shared" si="14"/>
        <v>1.3097345132743363</v>
      </c>
      <c r="N218" s="7">
        <v>22.9</v>
      </c>
      <c r="S218" s="23"/>
      <c r="T218" s="6">
        <v>25.7</v>
      </c>
      <c r="AB218" s="5">
        <v>80</v>
      </c>
      <c r="AC218" s="7">
        <f>T218</f>
        <v>25.7</v>
      </c>
      <c r="AD218" s="1">
        <v>14.8</v>
      </c>
      <c r="AE218" s="1">
        <v>23.7</v>
      </c>
      <c r="AF218" s="1">
        <v>7.66</v>
      </c>
      <c r="AG218" s="1">
        <v>0</v>
      </c>
      <c r="AH218" s="119">
        <v>0.81307870370370405</v>
      </c>
      <c r="AJ218" s="93">
        <v>93.6</v>
      </c>
      <c r="AK218" s="3">
        <v>180</v>
      </c>
      <c r="AL218" s="4">
        <f>AE218</f>
        <v>23.7</v>
      </c>
      <c r="AM218" s="1">
        <v>22.5</v>
      </c>
      <c r="AN218" s="80">
        <f>360-AK218-AB218</f>
        <v>100</v>
      </c>
      <c r="AO218" s="126"/>
      <c r="AP218" s="13">
        <f>AVERAGE(AO216:AO222)</f>
        <v>1266.6666666666667</v>
      </c>
      <c r="AQ218" s="15" t="str">
        <f>IF(ISNUMBER([2]HRT_SRT!R272),[2]HRT_SRT!R272,"")</f>
        <v/>
      </c>
      <c r="AR218" s="17" t="e">
        <f>(E218-W218)/E218</f>
        <v>#VALUE!</v>
      </c>
      <c r="AS218" s="16">
        <f>(I218-AF218)/I218</f>
        <v>0.48243243243243245</v>
      </c>
      <c r="AT218" s="16">
        <f>AG218/(AD218-AF218)</f>
        <v>0</v>
      </c>
      <c r="AU218" s="16">
        <f>(G218-AM218)/G218</f>
        <v>4.4247787610620093E-3</v>
      </c>
      <c r="AV218" s="57" t="str">
        <f>IF(AND(ISNUMBER(E218),ISNUMBER(W218)),E218-W218,"")</f>
        <v/>
      </c>
      <c r="AW218" s="57">
        <f>IF(AND(ISNUMBER(I218),ISNUMBER(AF218)),I218-AF218,"")</f>
        <v>7.1400000000000006</v>
      </c>
      <c r="AX218" s="57">
        <f>IF(AND(ISNUMBER(AM218),ISNUMBER(G218)),G218-AM218,"")</f>
        <v>0.10000000000000142</v>
      </c>
      <c r="AY218" s="57">
        <f>IF(AND(ISNUMBER(AC218),ISNUMBER(AE218)),AC218-AE218,"")</f>
        <v>2</v>
      </c>
      <c r="AZ218" s="57">
        <f>IF(AND(ISNUMBER(AL218),ISNUMBER(AM218)),AL218-AM218,"")</f>
        <v>1.1999999999999993</v>
      </c>
      <c r="BA218" s="123"/>
      <c r="BB218" s="123">
        <f>IF(AND($I218&gt;0,$AF218&gt;=0),IF(($I218-$AF218)/$I218&gt;0,($I218-$AF218)/$I218,0),"")</f>
        <v>0.48243243243243245</v>
      </c>
      <c r="BC218" s="123">
        <f>IF(AND($AG218&gt;=0,$AD218&gt;=0,$AF218&gt;=0),IF($AG218/($AD218-$AF218)&gt;0,$AG218/($AD218-$AF218),0),"")</f>
        <v>0</v>
      </c>
      <c r="BD218" s="123">
        <f>IF(AND($G218&gt;0,$AM218&gt;0),IF(($G218-$AM218)/$G218&gt;0,($G218-$AM218)/$G218,0),"")</f>
        <v>4.4247787610620093E-3</v>
      </c>
      <c r="BE218" s="6">
        <f>IF((AD218-AF218)/(AJ218/60)&lt;=0,"",(AD218-AF218)/(AJ218/60))</f>
        <v>4.5769230769230775</v>
      </c>
      <c r="BF218" s="6"/>
    </row>
    <row r="219" spans="1:58" ht="15.75">
      <c r="B219" s="94">
        <v>45479</v>
      </c>
      <c r="C219" s="128"/>
      <c r="D219" s="3">
        <v>214</v>
      </c>
      <c r="E219" s="205" t="str">
        <f t="shared" si="15"/>
        <v/>
      </c>
      <c r="I219" s="15">
        <f>AD219</f>
        <v>0</v>
      </c>
      <c r="K219" s="10" t="str">
        <f t="shared" si="12"/>
        <v/>
      </c>
      <c r="L219" s="9" t="str">
        <f t="shared" si="13"/>
        <v/>
      </c>
      <c r="M219" s="8" t="str">
        <f t="shared" si="14"/>
        <v/>
      </c>
      <c r="S219" s="23"/>
      <c r="AB219" s="5">
        <v>80</v>
      </c>
      <c r="AG219" s="1">
        <v>0</v>
      </c>
      <c r="AH219" s="119">
        <v>0.85474537037037002</v>
      </c>
      <c r="AJ219" s="93">
        <v>93.6</v>
      </c>
      <c r="AK219" s="3">
        <v>180</v>
      </c>
      <c r="AN219" s="80">
        <f>360-AK219-AB219</f>
        <v>100</v>
      </c>
      <c r="AO219" s="132">
        <f>(AO216+AO224)/2</f>
        <v>1325</v>
      </c>
      <c r="AP219" s="13">
        <f>(AO216+AO224)/2</f>
        <v>1325</v>
      </c>
      <c r="AQ219" s="15" t="str">
        <f>IF(ISNUMBER([2]HRT_SRT!R273),[2]HRT_SRT!R273,"")</f>
        <v/>
      </c>
      <c r="AR219" s="17" t="e">
        <f>(E219-W219)/E219</f>
        <v>#VALUE!</v>
      </c>
      <c r="AS219" s="16"/>
      <c r="AT219" s="16" t="e">
        <f>AG219/(AD219-AF219)</f>
        <v>#DIV/0!</v>
      </c>
      <c r="AU219" s="16" t="e">
        <f>(G219-AM219)/G219</f>
        <v>#DIV/0!</v>
      </c>
      <c r="AV219" s="57" t="str">
        <f>IF(AND(ISNUMBER(E219),ISNUMBER(W219)),E219-W219,"")</f>
        <v/>
      </c>
      <c r="AW219" s="57" t="str">
        <f>IF(AND(ISNUMBER(I219),ISNUMBER(AF219)),I219-AF219,"")</f>
        <v/>
      </c>
      <c r="AX219" s="57" t="str">
        <f>IF(AND(ISNUMBER(AM219),ISNUMBER(G219)),G219-AM219,"")</f>
        <v/>
      </c>
      <c r="AY219" s="57" t="str">
        <f>IF(AND(ISNUMBER(AC219),ISNUMBER(AE219)),AC219-AE219,"")</f>
        <v/>
      </c>
      <c r="AZ219" s="57" t="str">
        <f>IF(AND(ISNUMBER(AL219),ISNUMBER(AM219)),AL219-AM219,"")</f>
        <v/>
      </c>
      <c r="BA219" s="123"/>
      <c r="BB219" s="123" t="str">
        <f>IF(AND($I219&gt;0,$AF219&gt;=0),IF(($I219-$AF219)/$I219&gt;0,($I219-$AF219)/$I219,0),"")</f>
        <v/>
      </c>
      <c r="BC219" s="123"/>
      <c r="BD219" s="123" t="str">
        <f>IF(AND($G219&gt;0,$AM219&gt;0),IF(($G219-$AM219)/$G219&gt;0,($G219-$AM219)/$G219,0),"")</f>
        <v/>
      </c>
      <c r="BE219" s="6" t="str">
        <f>IF((AD219-AF219)/(AJ219/60)&lt;=0,"",(AD219-AF219)/(AJ219/60))</f>
        <v/>
      </c>
      <c r="BF219" s="6" t="str">
        <f>IF(OR(AJ219=0,AP219=0,NOT(ISNUMBER(AD219)),NOT(ISNUMBER(AF219)),NOT(ISNUMBER(AJ219)),NOT(ISNUMBER(AP219))),"",
IFERROR(IF((AD219-AF219)/(AJ219/60)/(AP219/1000)&lt;=0,"",(AD219-AF219)/(AJ219/60)/(AP219/1000)),""))</f>
        <v/>
      </c>
    </row>
    <row r="220" spans="1:58" ht="15.75">
      <c r="B220" s="94">
        <v>45480</v>
      </c>
      <c r="C220" s="128"/>
      <c r="D220" s="3">
        <v>215</v>
      </c>
      <c r="E220" s="205">
        <f t="shared" si="15"/>
        <v>246.39510200000001</v>
      </c>
      <c r="G220" s="15">
        <f>(N220*18-H220*18)/9</f>
        <v>16.050000000000004</v>
      </c>
      <c r="H220" s="9">
        <f>5/2*5.01</f>
        <v>12.524999999999999</v>
      </c>
      <c r="I220" s="15">
        <f>AD220</f>
        <v>14.8</v>
      </c>
      <c r="K220" s="10">
        <f t="shared" si="12"/>
        <v>15.351719750778813</v>
      </c>
      <c r="L220" s="9">
        <f t="shared" si="13"/>
        <v>8.3241588513513509</v>
      </c>
      <c r="M220" s="8">
        <f t="shared" si="14"/>
        <v>1.8442367601246101</v>
      </c>
      <c r="N220" s="7">
        <f>5/2*8.22</f>
        <v>20.55</v>
      </c>
      <c r="O220" s="6">
        <v>86.619</v>
      </c>
      <c r="P220" s="6">
        <v>20.327000000000002</v>
      </c>
      <c r="Q220" s="6">
        <f>O220*1.067</f>
        <v>92.422472999999997</v>
      </c>
      <c r="R220" s="6">
        <f>P220*1.514</f>
        <v>30.775078000000004</v>
      </c>
      <c r="S220" s="23">
        <f>P220*1.514+O220*1.067</f>
        <v>123.197551</v>
      </c>
      <c r="T220" s="6">
        <f>5/2*11</f>
        <v>27.5</v>
      </c>
      <c r="W220" s="6">
        <f>4.038+0.997</f>
        <v>5.0350000000000001</v>
      </c>
      <c r="X220" s="6">
        <v>3.89</v>
      </c>
      <c r="AB220" s="5">
        <v>80</v>
      </c>
      <c r="AC220" s="7">
        <f>T220</f>
        <v>27.5</v>
      </c>
      <c r="AD220" s="1">
        <f>14.8</f>
        <v>14.8</v>
      </c>
      <c r="AE220" s="1">
        <f>5/2*10.7</f>
        <v>26.75</v>
      </c>
      <c r="AF220" s="1">
        <v>0.26200000000000001</v>
      </c>
      <c r="AG220" s="1">
        <v>0</v>
      </c>
      <c r="AH220" s="119">
        <v>0.89641203703703698</v>
      </c>
      <c r="AJ220" s="93">
        <v>93.6</v>
      </c>
      <c r="AK220" s="3">
        <v>180</v>
      </c>
      <c r="AL220" s="4">
        <f>AE220</f>
        <v>26.75</v>
      </c>
      <c r="AM220" s="1">
        <f>5/2*10</f>
        <v>25</v>
      </c>
      <c r="AN220" s="80">
        <f>360-AK220-AB220</f>
        <v>100</v>
      </c>
      <c r="AO220" s="132">
        <f>(AO216+AO224)/2</f>
        <v>1325</v>
      </c>
      <c r="AP220" s="13">
        <f>AVERAGE(AO218:AO224)</f>
        <v>1383.3333333333333</v>
      </c>
      <c r="AQ220" s="15" t="str">
        <f>IF(ISNUMBER([2]HRT_SRT!R274),[2]HRT_SRT!R274,"")</f>
        <v/>
      </c>
      <c r="AR220" s="17">
        <f>(E220-W220)/E220</f>
        <v>0.97956534054804389</v>
      </c>
      <c r="AS220" s="16">
        <f>(I220-AF220)/I220</f>
        <v>0.98229729729729731</v>
      </c>
      <c r="AT220" s="16">
        <f>AG220/(AD220-AF220)</f>
        <v>0</v>
      </c>
      <c r="AU220" s="16">
        <f>(G220-AM220)/G220</f>
        <v>-0.5576323987538937</v>
      </c>
      <c r="AV220" s="57">
        <f>IF(AND(ISNUMBER(E220),ISNUMBER(W220)),E220-W220,"")</f>
        <v>241.36010200000001</v>
      </c>
      <c r="AW220" s="57">
        <f>IF(AND(ISNUMBER(I220),ISNUMBER(AF220)),I220-AF220,"")</f>
        <v>14.538</v>
      </c>
      <c r="AX220" s="57">
        <f>IF(AND(ISNUMBER(AM220),ISNUMBER(G220)),G220-AM220,"")</f>
        <v>-8.9499999999999957</v>
      </c>
      <c r="AY220" s="57">
        <f>IF(AND(ISNUMBER(AC220),ISNUMBER(AE220)),AC220-AE220,"")</f>
        <v>0.75</v>
      </c>
      <c r="AZ220" s="57">
        <f>IF(AND(ISNUMBER(AL220),ISNUMBER(AM220)),AL220-AM220,"")</f>
        <v>1.75</v>
      </c>
      <c r="BA220" s="123">
        <f>IF(AND($E220&gt;0,$W220&gt;0),IF(($E220-$W220)/$E220&gt;0,($E220-$W220)/$E220,0),"")</f>
        <v>0.97956534054804389</v>
      </c>
      <c r="BB220" s="123">
        <f>IF(AND($I220&gt;0,$AF220&gt;=0),IF(($I220-$AF220)/$I220&gt;0,($I220-$AF220)/$I220,0),"")</f>
        <v>0.98229729729729731</v>
      </c>
      <c r="BC220" s="123">
        <f>IF(AND($AG220&gt;=0,$AD220&gt;=0,$AF220&gt;=0),IF($AG220/($AD220-$AF220)&gt;0,$AG220/($AD220-$AF220),0),"")</f>
        <v>0</v>
      </c>
      <c r="BD220" s="123">
        <f>IF(AND($G220&gt;0,$AM220&gt;0),IF(($G220-$AM220)/$G220&gt;0,($G220-$AM220)/$G220,0),"")</f>
        <v>0</v>
      </c>
      <c r="BE220" s="6">
        <f>IF((AD220-AF220)/(AJ220/60)&lt;=0,"",(AD220-AF220)/(AJ220/60))</f>
        <v>9.3192307692307708</v>
      </c>
      <c r="BF220" s="6">
        <f>IF(OR(AJ220=0,AP220=0,NOT(ISNUMBER(AD220)),NOT(ISNUMBER(AF220)),NOT(ISNUMBER(AJ220)),NOT(ISNUMBER(AP220))),"",
IFERROR(IF((AD220-AF220)/(AJ220/60)/(AP220/1000)&lt;=0,"",(AD220-AF220)/(AJ220/60)/(AP220/1000)),""))</f>
        <v>6.736793327154774</v>
      </c>
    </row>
    <row r="221" spans="1:58" ht="15.75">
      <c r="B221" s="94">
        <v>45481</v>
      </c>
      <c r="C221" s="128"/>
      <c r="D221" s="3">
        <v>216</v>
      </c>
      <c r="E221" s="205">
        <f t="shared" si="15"/>
        <v>269.69346999999999</v>
      </c>
      <c r="G221" s="15">
        <f>(N221*18-H221*18)/9</f>
        <v>14.740000000000002</v>
      </c>
      <c r="H221" s="9">
        <f>4.255*2</f>
        <v>8.51</v>
      </c>
      <c r="I221" s="15">
        <f>AD221</f>
        <v>14.9</v>
      </c>
      <c r="K221" s="10">
        <f t="shared" si="12"/>
        <v>18.296707598371775</v>
      </c>
      <c r="L221" s="9">
        <f t="shared" si="13"/>
        <v>9.0501164429530192</v>
      </c>
      <c r="M221" s="8">
        <f t="shared" si="14"/>
        <v>2.0217096336499321</v>
      </c>
      <c r="N221" s="6">
        <f>2*7.94</f>
        <v>15.88</v>
      </c>
      <c r="O221" s="6">
        <v>95.010999999999996</v>
      </c>
      <c r="P221" s="6">
        <v>22.106999999999999</v>
      </c>
      <c r="Q221" s="6">
        <f>O221*1.067</f>
        <v>101.37673699999999</v>
      </c>
      <c r="R221" s="6">
        <f>P221*1.514</f>
        <v>33.469997999999997</v>
      </c>
      <c r="S221" s="23">
        <f>P221*1.514+O221*1.067</f>
        <v>134.846735</v>
      </c>
      <c r="T221" s="6">
        <f>2*9.29</f>
        <v>18.579999999999998</v>
      </c>
      <c r="W221" s="6">
        <f>8.084+1.088</f>
        <v>9.1720000000000006</v>
      </c>
      <c r="AB221" s="5">
        <v>80</v>
      </c>
      <c r="AC221" s="7">
        <f>T221</f>
        <v>18.579999999999998</v>
      </c>
      <c r="AD221" s="1">
        <v>14.9</v>
      </c>
      <c r="AE221" s="1">
        <f>2*8.51</f>
        <v>17.02</v>
      </c>
      <c r="AF221" s="1">
        <v>0</v>
      </c>
      <c r="AG221" s="1">
        <v>0</v>
      </c>
      <c r="AH221" s="119">
        <v>0.93807870370370405</v>
      </c>
      <c r="AJ221" s="93">
        <v>93.6</v>
      </c>
      <c r="AK221" s="3">
        <v>180</v>
      </c>
      <c r="AL221" s="4">
        <f>AE221</f>
        <v>17.02</v>
      </c>
      <c r="AM221" s="1">
        <f>2*8.51</f>
        <v>17.02</v>
      </c>
      <c r="AN221" s="80">
        <f>360-AK221-AB221</f>
        <v>100</v>
      </c>
      <c r="AO221" s="126"/>
      <c r="AP221" s="13">
        <f>AVERAGE(AO219:AO225)</f>
        <v>1383.3333333333333</v>
      </c>
      <c r="AQ221" s="15" t="str">
        <f>IF(ISNUMBER([2]HRT_SRT!R275),[2]HRT_SRT!R275,"")</f>
        <v/>
      </c>
      <c r="AR221" s="17">
        <f>(E221-W221)/E221</f>
        <v>0.96599101935986798</v>
      </c>
      <c r="AS221" s="16">
        <f>(I221-AF221)/I221</f>
        <v>1</v>
      </c>
      <c r="AT221" s="16">
        <f>AG221/(AD221-AF221)</f>
        <v>0</v>
      </c>
      <c r="AU221" s="16">
        <f>(G221-AM221)/G221</f>
        <v>-0.15468113975576644</v>
      </c>
      <c r="AV221" s="57">
        <f>IF(AND(ISNUMBER(E221),ISNUMBER(W221)),E221-W221,"")</f>
        <v>260.52146999999997</v>
      </c>
      <c r="AW221" s="57">
        <f>IF(AND(ISNUMBER(I221),ISNUMBER(AF221)),I221-AF221,"")</f>
        <v>14.9</v>
      </c>
      <c r="AX221" s="57">
        <f>IF(AND(ISNUMBER(AM221),ISNUMBER(G221)),G221-AM221,"")</f>
        <v>-2.2799999999999976</v>
      </c>
      <c r="AY221" s="57">
        <f>IF(AND(ISNUMBER(AC221),ISNUMBER(AE221)),AC221-AE221,"")</f>
        <v>1.5599999999999987</v>
      </c>
      <c r="AZ221" s="57">
        <f>IF(AND(ISNUMBER(AL221),ISNUMBER(AM221)),AL221-AM221,"")</f>
        <v>0</v>
      </c>
      <c r="BA221" s="123">
        <f>IF(AND($E221&gt;0,$W221&gt;0),IF(($E221-$W221)/$E221&gt;0,($E221-$W221)/$E221,0),"")</f>
        <v>0.96599101935986798</v>
      </c>
      <c r="BB221" s="123">
        <f>IF(AND($I221&gt;0,$AF221&gt;=0),IF(($I221-$AF221)/$I221&gt;0,($I221-$AF221)/$I221,0),"")</f>
        <v>1</v>
      </c>
      <c r="BC221" s="123">
        <f>IF(AND($AG221&gt;=0,$AD221&gt;=0,$AF221&gt;=0),IF($AG221/($AD221-$AF221)&gt;0,$AG221/($AD221-$AF221),0),"")</f>
        <v>0</v>
      </c>
      <c r="BD221" s="123">
        <f>IF(AND($G221&gt;0,$AM221&gt;0),IF(($G221-$AM221)/$G221&gt;0,($G221-$AM221)/$G221,0),"")</f>
        <v>0</v>
      </c>
      <c r="BE221" s="6">
        <f>IF((AD221-AF221)/(AJ221/60)&lt;=0,"",(AD221-AF221)/(AJ221/60))</f>
        <v>9.5512820512820529</v>
      </c>
      <c r="BF221" s="6">
        <f>IF(OR(AJ221=0,AP221=0,NOT(ISNUMBER(AD221)),NOT(ISNUMBER(AF221)),NOT(ISNUMBER(AJ221)),NOT(ISNUMBER(AP221))),"",
IFERROR(IF((AD221-AF221)/(AJ221/60)/(AP221/1000)&lt;=0,"",(AD221-AF221)/(AJ221/60)/(AP221/1000)),""))</f>
        <v>6.9045412418906409</v>
      </c>
    </row>
    <row r="222" spans="1:58" ht="15.75">
      <c r="B222" s="94">
        <v>45482</v>
      </c>
      <c r="C222" s="128"/>
      <c r="D222" s="3">
        <v>217</v>
      </c>
      <c r="E222" s="205">
        <f t="shared" si="15"/>
        <v>265.92080399999998</v>
      </c>
      <c r="G222" s="15">
        <f>(N222*18-H222*18)/9</f>
        <v>15.919999999999996</v>
      </c>
      <c r="H222" s="9">
        <v>7.44</v>
      </c>
      <c r="I222" s="15">
        <f>AD222</f>
        <v>15.95</v>
      </c>
      <c r="K222" s="10">
        <f t="shared" si="12"/>
        <v>16.703568090452265</v>
      </c>
      <c r="L222" s="9">
        <f t="shared" si="13"/>
        <v>8.3360753605015674</v>
      </c>
      <c r="M222" s="8">
        <f t="shared" si="14"/>
        <v>2.0037688442211059</v>
      </c>
      <c r="N222" s="7">
        <v>15.4</v>
      </c>
      <c r="O222" s="6">
        <v>93.953999999999994</v>
      </c>
      <c r="P222" s="6">
        <v>21.606000000000002</v>
      </c>
      <c r="Q222" s="6">
        <f>O222*1.067</f>
        <v>100.24891799999999</v>
      </c>
      <c r="R222" s="6">
        <f>P222*1.514</f>
        <v>32.711484000000006</v>
      </c>
      <c r="S222" s="23">
        <f>P222*1.514+O222*1.067</f>
        <v>132.96040199999999</v>
      </c>
      <c r="T222" s="6">
        <v>17.2</v>
      </c>
      <c r="W222" s="6">
        <f>0.909+1.059</f>
        <v>1.968</v>
      </c>
      <c r="AB222" s="5">
        <v>80</v>
      </c>
      <c r="AC222" s="7">
        <f>T222</f>
        <v>17.2</v>
      </c>
      <c r="AD222" s="1">
        <f>5*3.19</f>
        <v>15.95</v>
      </c>
      <c r="AE222" s="1">
        <v>15.6</v>
      </c>
      <c r="AF222" s="1">
        <v>0</v>
      </c>
      <c r="AG222" s="1">
        <v>0</v>
      </c>
      <c r="AH222" s="119">
        <v>0.97974537037037002</v>
      </c>
      <c r="AJ222" s="93">
        <v>93.6</v>
      </c>
      <c r="AK222" s="3">
        <v>180</v>
      </c>
      <c r="AL222" s="4">
        <f>AE222</f>
        <v>15.6</v>
      </c>
      <c r="AM222" s="1">
        <v>13</v>
      </c>
      <c r="AN222" s="80">
        <f>360-AK222-AB222</f>
        <v>100</v>
      </c>
      <c r="AO222" s="126"/>
      <c r="AP222" s="13">
        <f>AVERAGE(AO220:AO226)</f>
        <v>1412.5</v>
      </c>
      <c r="AQ222" s="15" t="str">
        <f>IF(ISNUMBER([2]HRT_SRT!R276),[2]HRT_SRT!R276,"")</f>
        <v/>
      </c>
      <c r="AR222" s="17">
        <f>(E222-W222)/E222</f>
        <v>0.99259930035410082</v>
      </c>
      <c r="AS222" s="16">
        <f>(I222-AF222)/I222</f>
        <v>1</v>
      </c>
      <c r="AT222" s="16">
        <f>AG222/(AD222-AF222)</f>
        <v>0</v>
      </c>
      <c r="AU222" s="16">
        <f>(G222-AM222)/G222</f>
        <v>0.1834170854271355</v>
      </c>
      <c r="AV222" s="57">
        <f>IF(AND(ISNUMBER(E222),ISNUMBER(W222)),E222-W222,"")</f>
        <v>263.95280399999996</v>
      </c>
      <c r="AW222" s="57">
        <f>IF(AND(ISNUMBER(I222),ISNUMBER(AF222)),I222-AF222,"")</f>
        <v>15.95</v>
      </c>
      <c r="AX222" s="57">
        <f>IF(AND(ISNUMBER(AM222),ISNUMBER(G222)),G222-AM222,"")</f>
        <v>2.9199999999999964</v>
      </c>
      <c r="AY222" s="57">
        <f>IF(AND(ISNUMBER(AC222),ISNUMBER(AE222)),AC222-AE222,"")</f>
        <v>1.5999999999999996</v>
      </c>
      <c r="AZ222" s="57">
        <f>IF(AND(ISNUMBER(AL222),ISNUMBER(AM222)),AL222-AM222,"")</f>
        <v>2.5999999999999996</v>
      </c>
      <c r="BA222" s="123">
        <f>IF(AND($E222&gt;0,$W222&gt;0),IF(($E222-$W222)/$E222&gt;0,($E222-$W222)/$E222,0),"")</f>
        <v>0.99259930035410082</v>
      </c>
      <c r="BB222" s="123">
        <f>IF(AND($I222&gt;0,$AF222&gt;=0),IF(($I222-$AF222)/$I222&gt;0,($I222-$AF222)/$I222,0),"")</f>
        <v>1</v>
      </c>
      <c r="BC222" s="123">
        <f>IF(AND($AG222&gt;=0,$AD222&gt;=0,$AF222&gt;=0),IF($AG222/($AD222-$AF222)&gt;0,$AG222/($AD222-$AF222),0),"")</f>
        <v>0</v>
      </c>
      <c r="BD222" s="123">
        <f>IF(AND($G222&gt;0,$AM222&gt;0),IF(($G222-$AM222)/$G222&gt;0,($G222-$AM222)/$G222,0),"")</f>
        <v>0.1834170854271355</v>
      </c>
      <c r="BE222" s="6">
        <f>IF((AD222-AF222)/(AJ222/60)&lt;=0,"",(AD222-AF222)/(AJ222/60))</f>
        <v>10.224358974358974</v>
      </c>
      <c r="BF222" s="6">
        <f>IF(OR(AJ222=0,AP222=0,NOT(ISNUMBER(AD222)),NOT(ISNUMBER(AF222)),NOT(ISNUMBER(AJ222)),NOT(ISNUMBER(AP222))),"",
IFERROR(IF((AD222-AF222)/(AJ222/60)/(AP222/1000)&lt;=0,"",(AD222-AF222)/(AJ222/60)/(AP222/1000)),""))</f>
        <v>7.2384842296346719</v>
      </c>
    </row>
    <row r="223" spans="1:58" ht="15.75">
      <c r="B223" s="94">
        <v>45483</v>
      </c>
      <c r="C223" s="128"/>
      <c r="D223" s="3">
        <v>218</v>
      </c>
      <c r="E223" s="205">
        <f t="shared" si="15"/>
        <v>226.04100799999998</v>
      </c>
      <c r="G223" s="15">
        <f>(N223*18-H223*18)/9</f>
        <v>22.999999999999996</v>
      </c>
      <c r="H223" s="9">
        <v>12.9</v>
      </c>
      <c r="I223" s="15">
        <f>AD223</f>
        <v>14.7</v>
      </c>
      <c r="K223" s="10">
        <f t="shared" si="12"/>
        <v>9.8278699130434788</v>
      </c>
      <c r="L223" s="9">
        <f t="shared" si="13"/>
        <v>7.6884696598639453</v>
      </c>
      <c r="M223" s="8">
        <f t="shared" si="14"/>
        <v>1.2782608695652176</v>
      </c>
      <c r="N223" s="7">
        <v>24.4</v>
      </c>
      <c r="O223" s="6">
        <v>78.7</v>
      </c>
      <c r="P223" s="6">
        <v>19.186</v>
      </c>
      <c r="Q223" s="6">
        <f>O223*1.067</f>
        <v>83.972899999999996</v>
      </c>
      <c r="R223" s="6">
        <f>P223*1.514</f>
        <v>29.047604</v>
      </c>
      <c r="S223" s="23">
        <f>P223*1.514+O223*1.067</f>
        <v>113.02050399999999</v>
      </c>
      <c r="T223" s="6">
        <f>2*13.1</f>
        <v>26.2</v>
      </c>
      <c r="W223" s="6">
        <f>2.904+2.862</f>
        <v>5.766</v>
      </c>
      <c r="X223" s="6">
        <v>7.04</v>
      </c>
      <c r="AB223" s="5">
        <v>80</v>
      </c>
      <c r="AC223" s="7">
        <f>T223</f>
        <v>26.2</v>
      </c>
      <c r="AD223" s="1">
        <f>5*2.94</f>
        <v>14.7</v>
      </c>
      <c r="AE223" s="1">
        <f>2*11.7</f>
        <v>23.4</v>
      </c>
      <c r="AF223" s="1">
        <v>0</v>
      </c>
      <c r="AG223" s="1">
        <v>0</v>
      </c>
      <c r="AH223" s="119">
        <v>1.0214120370370401</v>
      </c>
      <c r="AJ223" s="93">
        <v>93.6</v>
      </c>
      <c r="AK223" s="3">
        <v>180</v>
      </c>
      <c r="AL223" s="4">
        <f>AE223</f>
        <v>23.4</v>
      </c>
      <c r="AM223" s="1">
        <v>22.1</v>
      </c>
      <c r="AN223" s="80">
        <f>360-AK223-AB223</f>
        <v>100</v>
      </c>
      <c r="AO223" s="126"/>
      <c r="AP223" s="13">
        <f>AVERAGE(AO221:AO227)</f>
        <v>1500</v>
      </c>
      <c r="AQ223" s="15" t="str">
        <f>IF(ISNUMBER([2]HRT_SRT!R277),[2]HRT_SRT!R277,"")</f>
        <v/>
      </c>
      <c r="AR223" s="17">
        <f>(E223-W223)/E223</f>
        <v>0.9744913542413508</v>
      </c>
      <c r="AS223" s="16">
        <f>(I223-AF223)/I223</f>
        <v>1</v>
      </c>
      <c r="AT223" s="16">
        <f>AG223/(AD223-AF223)</f>
        <v>0</v>
      </c>
      <c r="AU223" s="16">
        <f>(G223-AM223)/G223</f>
        <v>3.9130434782608484E-2</v>
      </c>
      <c r="AV223" s="57">
        <f>IF(AND(ISNUMBER(E223),ISNUMBER(W223)),E223-W223,"")</f>
        <v>220.27500799999999</v>
      </c>
      <c r="AW223" s="57">
        <f>IF(AND(ISNUMBER(I223),ISNUMBER(AF223)),I223-AF223,"")</f>
        <v>14.7</v>
      </c>
      <c r="AX223" s="57">
        <f>IF(AND(ISNUMBER(AM223),ISNUMBER(G223)),G223-AM223,"")</f>
        <v>0.89999999999999503</v>
      </c>
      <c r="AY223" s="57">
        <f>IF(AND(ISNUMBER(AC223),ISNUMBER(AE223)),AC223-AE223,"")</f>
        <v>2.8000000000000007</v>
      </c>
      <c r="AZ223" s="57">
        <f>IF(AND(ISNUMBER(AL223),ISNUMBER(AM223)),AL223-AM223,"")</f>
        <v>1.2999999999999972</v>
      </c>
      <c r="BA223" s="123">
        <f>IF(AND($E223&gt;0,$W223&gt;0),IF(($E223-$W223)/$E223&gt;0,($E223-$W223)/$E223,0),"")</f>
        <v>0.9744913542413508</v>
      </c>
      <c r="BB223" s="123">
        <f>IF(AND($I223&gt;0,$AF223&gt;=0),IF(($I223-$AF223)/$I223&gt;0,($I223-$AF223)/$I223,0),"")</f>
        <v>1</v>
      </c>
      <c r="BC223" s="123">
        <f>IF(AND($AG223&gt;=0,$AD223&gt;=0,$AF223&gt;=0),IF($AG223/($AD223-$AF223)&gt;0,$AG223/($AD223-$AF223),0),"")</f>
        <v>0</v>
      </c>
      <c r="BD223" s="123">
        <f>IF(AND($G223&gt;0,$AM223&gt;0),IF(($G223-$AM223)/$G223&gt;0,($G223-$AM223)/$G223,0),"")</f>
        <v>3.9130434782608484E-2</v>
      </c>
      <c r="BE223" s="6">
        <f>IF((AD223-AF223)/(AJ223/60)&lt;=0,"",(AD223-AF223)/(AJ223/60))</f>
        <v>9.4230769230769234</v>
      </c>
      <c r="BF223" s="6">
        <f>IF(OR(AJ223=0,AP223=0,NOT(ISNUMBER(AD223)),NOT(ISNUMBER(AF223)),NOT(ISNUMBER(AJ223)),NOT(ISNUMBER(AP223))),"",
IFERROR(IF((AD223-AF223)/(AJ223/60)/(AP223/1000)&lt;=0,"",(AD223-AF223)/(AJ223/60)/(AP223/1000)),""))</f>
        <v>6.2820512820512819</v>
      </c>
    </row>
    <row r="224" spans="1:58" ht="15.75">
      <c r="A224" s="131" t="s">
        <v>131</v>
      </c>
      <c r="B224" s="94">
        <v>45484</v>
      </c>
      <c r="C224" s="128"/>
      <c r="D224" s="3">
        <v>219</v>
      </c>
      <c r="E224" s="205">
        <f t="shared" si="15"/>
        <v>228.875854</v>
      </c>
      <c r="I224" s="15">
        <f>AD224</f>
        <v>14.84</v>
      </c>
      <c r="K224" s="10" t="str">
        <f t="shared" si="12"/>
        <v/>
      </c>
      <c r="L224" s="9">
        <f t="shared" si="13"/>
        <v>7.7114506064690032</v>
      </c>
      <c r="M224" s="8" t="str">
        <f t="shared" si="14"/>
        <v/>
      </c>
      <c r="O224" s="6">
        <v>81.540999999999997</v>
      </c>
      <c r="P224" s="6">
        <v>18.12</v>
      </c>
      <c r="Q224" s="6">
        <f>O224*1.067</f>
        <v>87.004246999999992</v>
      </c>
      <c r="R224" s="6">
        <f>P224*1.514</f>
        <v>27.433680000000003</v>
      </c>
      <c r="S224" s="23">
        <f>P224*1.514+O224*1.067</f>
        <v>114.437927</v>
      </c>
      <c r="W224">
        <f>8.625+0.75</f>
        <v>9.375</v>
      </c>
      <c r="X224" s="6">
        <v>4.92</v>
      </c>
      <c r="AB224" s="5">
        <v>80</v>
      </c>
      <c r="AD224" s="1">
        <v>14.84</v>
      </c>
      <c r="AF224" s="1">
        <v>0.35</v>
      </c>
      <c r="AG224">
        <v>0.01</v>
      </c>
      <c r="AH224" s="119">
        <v>0.47974537037037035</v>
      </c>
      <c r="AJ224">
        <v>75</v>
      </c>
      <c r="AK224" s="3">
        <v>180</v>
      </c>
      <c r="AL224" s="4">
        <f>AE224</f>
        <v>0</v>
      </c>
      <c r="AN224" s="80">
        <f>360-AK224-AB224</f>
        <v>100</v>
      </c>
      <c r="AO224" s="126">
        <f>[2]HRT_SRT!P278</f>
        <v>1500</v>
      </c>
      <c r="AP224" s="13">
        <f>AVERAGE(AO222:AO228)</f>
        <v>1500</v>
      </c>
      <c r="AQ224" s="15">
        <f>IF(ISNUMBER([2]HRT_SRT!R278),[2]HRT_SRT!R278,"")</f>
        <v>16.129032258065148</v>
      </c>
      <c r="AR224" s="17">
        <f>(E224-W224)/E224</f>
        <v>0.95903892946260727</v>
      </c>
      <c r="AS224" s="16"/>
      <c r="AT224" s="16">
        <f>AG224/(AD224-AF224)</f>
        <v>6.9013112491373362E-4</v>
      </c>
      <c r="AU224" s="16" t="e">
        <f>(G224-AM224)/G224</f>
        <v>#DIV/0!</v>
      </c>
      <c r="AV224" s="57">
        <f>IF(AND(ISNUMBER(E224),ISNUMBER(W224)),E224-W224,"")</f>
        <v>219.500854</v>
      </c>
      <c r="AW224" s="57">
        <f>IF(AND(ISNUMBER(I224),ISNUMBER(AF224)),I224-AF224,"")</f>
        <v>14.49</v>
      </c>
      <c r="AX224" s="57" t="str">
        <f>IF(AND(ISNUMBER(AM224),ISNUMBER(G224)),G224-AM224,"")</f>
        <v/>
      </c>
      <c r="AY224" s="57" t="str">
        <f>IF(AND(ISNUMBER(AC224),ISNUMBER(AE224)),AC224-AE224,"")</f>
        <v/>
      </c>
      <c r="AZ224" s="57" t="str">
        <f>IF(AND(ISNUMBER(AL224),ISNUMBER(AM224)),AL224-AM224,"")</f>
        <v/>
      </c>
      <c r="BA224" s="123">
        <f>IF(AND($E224&gt;0,$W224&gt;0),IF(($E224-$W224)/$E224&gt;0,($E224-$W224)/$E224,0),"")</f>
        <v>0.95903892946260727</v>
      </c>
      <c r="BB224" s="123">
        <f>IF(AND($I224&gt;0,$AF224&gt;=0),IF(($I224-$AF224)/$I224&gt;0,($I224-$AF224)/$I224,0),"")</f>
        <v>0.9764150943396227</v>
      </c>
      <c r="BC224" s="123"/>
      <c r="BD224" s="123" t="str">
        <f>IF(AND($G224&gt;0,$AM224&gt;0),IF(($G224-$AM224)/$G224&gt;0,($G224-$AM224)/$G224,0),"")</f>
        <v/>
      </c>
      <c r="BE224" s="6">
        <f>IF((AD224-AF224)/(AJ224/60)&lt;=0,"",(AD224-AF224)/(AJ224/60))</f>
        <v>11.592000000000001</v>
      </c>
      <c r="BF224" s="6">
        <f>IF(OR(AJ224=0,AP224=0,NOT(ISNUMBER(AD224)),NOT(ISNUMBER(AF224)),NOT(ISNUMBER(AJ224)),NOT(ISNUMBER(AP224))),"",
IFERROR(IF((AD224-AF224)/(AJ224/60)/(AP224/1000)&lt;=0,"",(AD224-AF224)/(AJ224/60)/(AP224/1000)),""))</f>
        <v>7.7280000000000006</v>
      </c>
    </row>
    <row r="225" spans="1:58" ht="15.75">
      <c r="A225" s="12" t="s">
        <v>130</v>
      </c>
      <c r="B225" s="94">
        <v>45485</v>
      </c>
      <c r="C225" s="128"/>
      <c r="D225" s="3">
        <v>220</v>
      </c>
      <c r="E225" s="205">
        <f t="shared" si="15"/>
        <v>208.06699199999997</v>
      </c>
      <c r="G225" s="15">
        <f>(N225*18-H225*18)/9</f>
        <v>22.439999999999998</v>
      </c>
      <c r="H225" s="9">
        <f>2*6.09</f>
        <v>12.18</v>
      </c>
      <c r="I225" s="15">
        <f>AD225</f>
        <v>10.700000000000001</v>
      </c>
      <c r="K225" s="10">
        <f t="shared" si="12"/>
        <v>9.2721475935828881</v>
      </c>
      <c r="L225" s="9">
        <f t="shared" si="13"/>
        <v>9.7227566355140169</v>
      </c>
      <c r="M225" s="8">
        <f t="shared" si="14"/>
        <v>0.95365418894830678</v>
      </c>
      <c r="N225" s="7">
        <f>2*11.7</f>
        <v>23.4</v>
      </c>
      <c r="O225" s="6">
        <v>76.19</v>
      </c>
      <c r="P225" s="6">
        <v>15.019</v>
      </c>
      <c r="Q225" s="6">
        <f>O225*1.067</f>
        <v>81.294729999999987</v>
      </c>
      <c r="R225" s="6">
        <f>P225*1.514</f>
        <v>22.738766000000002</v>
      </c>
      <c r="S225" s="23">
        <f>P225*1.514+O225*1.067</f>
        <v>104.03349599999999</v>
      </c>
      <c r="T225" s="6">
        <f>2*11.9</f>
        <v>23.8</v>
      </c>
      <c r="W225">
        <v>48.079000000000001</v>
      </c>
      <c r="X225" s="6">
        <v>3.37</v>
      </c>
      <c r="AB225" s="5">
        <v>80</v>
      </c>
      <c r="AC225" s="7">
        <f>T225</f>
        <v>23.8</v>
      </c>
      <c r="AD225" s="1">
        <f>5*2.14</f>
        <v>10.700000000000001</v>
      </c>
      <c r="AE225" s="1">
        <f>2*11.8</f>
        <v>23.6</v>
      </c>
      <c r="AF225" s="1">
        <v>0</v>
      </c>
      <c r="AG225">
        <v>0.01</v>
      </c>
      <c r="AH225" s="119">
        <v>0.47974537037037035</v>
      </c>
      <c r="AJ225">
        <v>93</v>
      </c>
      <c r="AK225" s="3">
        <v>180</v>
      </c>
      <c r="AL225" s="4">
        <f>AE225</f>
        <v>23.6</v>
      </c>
      <c r="AM225" s="1">
        <f>2*10.9</f>
        <v>21.8</v>
      </c>
      <c r="AN225" s="80">
        <f>360-AK225-AB225</f>
        <v>100</v>
      </c>
      <c r="AO225" s="126"/>
      <c r="AP225" s="13">
        <f>AVERAGE(AO223:AO229)</f>
        <v>1665.0000000000318</v>
      </c>
      <c r="AQ225" s="15" t="str">
        <f>IF(ISNUMBER([2]HRT_SRT!R279),[2]HRT_SRT!R279,"")</f>
        <v/>
      </c>
      <c r="AR225" s="17">
        <f>(E225-W225)/E225</f>
        <v>0.76892538533935251</v>
      </c>
      <c r="AS225" s="16">
        <f>(I225-AF225)/I225</f>
        <v>1</v>
      </c>
      <c r="AT225" s="16">
        <f>AG225/(AD225-AF225)</f>
        <v>9.3457943925233638E-4</v>
      </c>
      <c r="AU225" s="16">
        <f>(G225-AM225)/G225</f>
        <v>2.8520499108734273E-2</v>
      </c>
      <c r="AV225" s="57">
        <f>IF(AND(ISNUMBER(E225),ISNUMBER(W225)),E225-W225,"")</f>
        <v>159.98799199999996</v>
      </c>
      <c r="AW225" s="57">
        <f>IF(AND(ISNUMBER(I225),ISNUMBER(AF225)),I225-AF225,"")</f>
        <v>10.700000000000001</v>
      </c>
      <c r="AX225" s="57">
        <f>IF(AND(ISNUMBER(AM225),ISNUMBER(G225)),G225-AM225,"")</f>
        <v>0.63999999999999702</v>
      </c>
      <c r="AY225" s="57">
        <f>IF(AND(ISNUMBER(AC225),ISNUMBER(AE225)),AC225-AE225,"")</f>
        <v>0.19999999999999929</v>
      </c>
      <c r="AZ225" s="57">
        <f>IF(AND(ISNUMBER(AL225),ISNUMBER(AM225)),AL225-AM225,"")</f>
        <v>1.8000000000000007</v>
      </c>
      <c r="BA225" s="123"/>
      <c r="BB225" s="123">
        <f>IF(AND($I225&gt;0,$AF225&gt;=0),IF(($I225-$AF225)/$I225&gt;0,($I225-$AF225)/$I225,0),"")</f>
        <v>1</v>
      </c>
      <c r="BC225" s="123">
        <f>IF(AND($AG225&gt;=0,$AD225&gt;=0,$AF225&gt;=0),IF($AG225/($AD225-$AF225)&gt;0,$AG225/($AD225-$AF225),0),"")</f>
        <v>9.3457943925233638E-4</v>
      </c>
      <c r="BD225" s="123">
        <f>IF(AND($G225&gt;0,$AM225&gt;0),IF(($G225-$AM225)/$G225&gt;0,($G225-$AM225)/$G225,0),"")</f>
        <v>2.8520499108734273E-2</v>
      </c>
      <c r="BE225" s="6">
        <f>IF((AD225-AF225)/(AJ225/60)&lt;=0,"",(AD225-AF225)/(AJ225/60))</f>
        <v>6.903225806451613</v>
      </c>
      <c r="BF225" s="6">
        <f>IF(OR(AJ225=0,AP225=0,NOT(ISNUMBER(AD225)),NOT(ISNUMBER(AF225)),NOT(ISNUMBER(AJ225)),NOT(ISNUMBER(AP225))),"",
IFERROR(IF((AD225-AF225)/(AJ225/60)/(AP225/1000)&lt;=0,"",(AD225-AF225)/(AJ225/60)/(AP225/1000)),""))</f>
        <v>4.146081565436325</v>
      </c>
    </row>
    <row r="226" spans="1:58" ht="15.75">
      <c r="A226" s="12" t="s">
        <v>129</v>
      </c>
      <c r="B226" s="94">
        <v>45486</v>
      </c>
      <c r="C226" s="128"/>
      <c r="D226" s="3">
        <v>221</v>
      </c>
      <c r="E226" s="205" t="str">
        <f t="shared" si="15"/>
        <v/>
      </c>
      <c r="I226" s="15">
        <f>AD226</f>
        <v>0</v>
      </c>
      <c r="K226" s="10" t="str">
        <f t="shared" si="12"/>
        <v/>
      </c>
      <c r="L226" s="9" t="str">
        <f t="shared" si="13"/>
        <v/>
      </c>
      <c r="M226" s="8" t="str">
        <f t="shared" si="14"/>
        <v/>
      </c>
      <c r="N226" s="6"/>
      <c r="S226" s="23"/>
      <c r="AB226" s="5">
        <v>80</v>
      </c>
      <c r="AC226" s="7">
        <f>T226</f>
        <v>0</v>
      </c>
      <c r="AG226">
        <v>0.01</v>
      </c>
      <c r="AH226" s="119">
        <v>0.47974537037037035</v>
      </c>
      <c r="AJ226">
        <v>89</v>
      </c>
      <c r="AK226" s="1">
        <v>180</v>
      </c>
      <c r="AL226" s="4">
        <f>AE226</f>
        <v>0</v>
      </c>
      <c r="AN226" s="80">
        <f>360-AK226-AB226</f>
        <v>100</v>
      </c>
      <c r="AO226" s="126"/>
      <c r="AP226" s="13">
        <f>AVERAGE(AO224:AO230)</f>
        <v>1665.0000000000318</v>
      </c>
      <c r="AQ226" s="15" t="str">
        <f>IF(ISNUMBER([2]HRT_SRT!R280),[2]HRT_SRT!R280,"")</f>
        <v/>
      </c>
      <c r="AR226" s="17" t="e">
        <f>(E226-W226)/E226</f>
        <v>#VALUE!</v>
      </c>
      <c r="AS226" s="16"/>
      <c r="AT226" s="16" t="e">
        <f>AG226/(AD226-AF226)</f>
        <v>#DIV/0!</v>
      </c>
      <c r="AU226" s="16" t="e">
        <f>(G226-AM226)/G226</f>
        <v>#DIV/0!</v>
      </c>
      <c r="AV226" s="57" t="str">
        <f>IF(AND(ISNUMBER(E226),ISNUMBER(W226)),E226-W226,"")</f>
        <v/>
      </c>
      <c r="AW226" s="57" t="str">
        <f>IF(AND(ISNUMBER(I226),ISNUMBER(AF226)),I226-AF226,"")</f>
        <v/>
      </c>
      <c r="AX226" s="57" t="str">
        <f>IF(AND(ISNUMBER(AM226),ISNUMBER(G226)),G226-AM226,"")</f>
        <v/>
      </c>
      <c r="AY226" s="57" t="str">
        <f>IF(AND(ISNUMBER(AC226),ISNUMBER(AE226)),AC226-AE226,"")</f>
        <v/>
      </c>
      <c r="AZ226" s="57" t="str">
        <f>IF(AND(ISNUMBER(AL226),ISNUMBER(AM226)),AL226-AM226,"")</f>
        <v/>
      </c>
      <c r="BA226" s="123"/>
      <c r="BB226" s="123" t="str">
        <f>IF(AND($I226&gt;0,$AF226&gt;=0),IF(($I226-$AF226)/$I226&gt;0,($I226-$AF226)/$I226,0),"")</f>
        <v/>
      </c>
      <c r="BC226" s="123"/>
      <c r="BD226" s="123" t="str">
        <f>IF(AND($G226&gt;0,$AM226&gt;0),IF(($G226-$AM226)/$G226&gt;0,($G226-$AM226)/$G226,0),"")</f>
        <v/>
      </c>
      <c r="BE226" s="6" t="str">
        <f>IF((AD226-AF226)/(AJ226/60)&lt;=0,"",(AD226-AF226)/(AJ226/60))</f>
        <v/>
      </c>
      <c r="BF226" s="6" t="str">
        <f>IF(OR(AJ226=0,AP226=0,NOT(ISNUMBER(AD226)),NOT(ISNUMBER(AF226)),NOT(ISNUMBER(AJ226)),NOT(ISNUMBER(AP226))),"",
IFERROR(IF((AD226-AF226)/(AJ226/60)/(AP226/1000)&lt;=0,"",(AD226-AF226)/(AJ226/60)/(AP226/1000)),""))</f>
        <v/>
      </c>
    </row>
    <row r="227" spans="1:58" ht="15.75">
      <c r="B227" s="94">
        <v>45487</v>
      </c>
      <c r="C227" s="128"/>
      <c r="D227" s="3">
        <v>222</v>
      </c>
      <c r="E227" s="205" t="str">
        <f t="shared" si="15"/>
        <v/>
      </c>
      <c r="I227" s="15">
        <f>AD227</f>
        <v>0</v>
      </c>
      <c r="K227" s="10" t="str">
        <f t="shared" si="12"/>
        <v/>
      </c>
      <c r="L227" s="9" t="str">
        <f t="shared" si="13"/>
        <v/>
      </c>
      <c r="M227" s="8" t="str">
        <f t="shared" si="14"/>
        <v/>
      </c>
      <c r="S227" s="23"/>
      <c r="AB227" s="5">
        <v>80</v>
      </c>
      <c r="AC227" s="7">
        <f>T227</f>
        <v>0</v>
      </c>
      <c r="AG227" s="1">
        <v>0.02</v>
      </c>
      <c r="AH227" s="119">
        <v>0.47974537037037035</v>
      </c>
      <c r="AJ227" s="93">
        <v>93.6</v>
      </c>
      <c r="AK227" s="3">
        <v>180</v>
      </c>
      <c r="AL227" s="4">
        <f>AE227</f>
        <v>0</v>
      </c>
      <c r="AN227" s="80">
        <f>360-AK227-AB227</f>
        <v>100</v>
      </c>
      <c r="AO227" s="126"/>
      <c r="AP227" s="13">
        <f>AVERAGE(AO225:AO231)</f>
        <v>1830.0000000000637</v>
      </c>
      <c r="AQ227" s="15" t="str">
        <f>IF(ISNUMBER([2]HRT_SRT!R281),[2]HRT_SRT!R281,"")</f>
        <v/>
      </c>
      <c r="AR227" s="17" t="e">
        <f>(E227-W227)/E227</f>
        <v>#VALUE!</v>
      </c>
      <c r="AS227" s="16"/>
      <c r="AT227" s="16" t="e">
        <f>AG227/(AD227-AF227)</f>
        <v>#DIV/0!</v>
      </c>
      <c r="AU227" s="16" t="e">
        <f>(G227-AM227)/G227</f>
        <v>#DIV/0!</v>
      </c>
      <c r="AV227" s="57" t="str">
        <f>IF(AND(ISNUMBER(E227),ISNUMBER(W227)),E227-W227,"")</f>
        <v/>
      </c>
      <c r="AW227" s="57" t="str">
        <f>IF(AND(ISNUMBER(I227),ISNUMBER(AF227)),I227-AF227,"")</f>
        <v/>
      </c>
      <c r="AX227" s="57" t="str">
        <f>IF(AND(ISNUMBER(AM227),ISNUMBER(G227)),G227-AM227,"")</f>
        <v/>
      </c>
      <c r="AY227" s="57" t="str">
        <f>IF(AND(ISNUMBER(AC227),ISNUMBER(AE227)),AC227-AE227,"")</f>
        <v/>
      </c>
      <c r="AZ227" s="57" t="str">
        <f>IF(AND(ISNUMBER(AL227),ISNUMBER(AM227)),AL227-AM227,"")</f>
        <v/>
      </c>
      <c r="BA227" s="123"/>
      <c r="BB227" s="123" t="str">
        <f>IF(AND($I227&gt;0,$AF227&gt;=0),IF(($I227-$AF227)/$I227&gt;0,($I227-$AF227)/$I227,0),"")</f>
        <v/>
      </c>
      <c r="BC227" s="123"/>
      <c r="BD227" s="123" t="str">
        <f>IF(AND($G227&gt;0,$AM227&gt;0),IF(($G227-$AM227)/$G227&gt;0,($G227-$AM227)/$G227,0),"")</f>
        <v/>
      </c>
      <c r="BE227" s="6" t="str">
        <f>IF((AD227-AF227)/(AJ227/60)&lt;=0,"",(AD227-AF227)/(AJ227/60))</f>
        <v/>
      </c>
      <c r="BF227" s="6" t="str">
        <f>IF(OR(AJ227=0,AP227=0,NOT(ISNUMBER(AD227)),NOT(ISNUMBER(AF227)),NOT(ISNUMBER(AJ227)),NOT(ISNUMBER(AP227))),"",
IFERROR(IF((AD227-AF227)/(AJ227/60)/(AP227/1000)&lt;=0,"",(AD227-AF227)/(AJ227/60)/(AP227/1000)),""))</f>
        <v/>
      </c>
    </row>
    <row r="228" spans="1:58" ht="15.75">
      <c r="B228" s="94">
        <v>45488</v>
      </c>
      <c r="C228" s="128"/>
      <c r="D228" s="3">
        <v>223</v>
      </c>
      <c r="E228" s="205">
        <f t="shared" si="15"/>
        <v>198.92297000000002</v>
      </c>
      <c r="G228" s="15">
        <f>(N228*18-H228*18)/9</f>
        <v>22.879999999999995</v>
      </c>
      <c r="H228" s="9">
        <v>8.9600000000000009</v>
      </c>
      <c r="I228" s="15">
        <f>AD228</f>
        <v>10.45</v>
      </c>
      <c r="K228" s="10">
        <f t="shared" si="12"/>
        <v>8.6941857517482539</v>
      </c>
      <c r="L228" s="9">
        <f t="shared" si="13"/>
        <v>9.5178454545454567</v>
      </c>
      <c r="M228" s="8">
        <f t="shared" si="14"/>
        <v>0.91346153846153855</v>
      </c>
      <c r="N228" s="7">
        <v>20.399999999999999</v>
      </c>
      <c r="O228" s="6">
        <v>70.655000000000001</v>
      </c>
      <c r="P228" s="6">
        <v>15.9</v>
      </c>
      <c r="Q228" s="6">
        <f>O228*1.067</f>
        <v>75.388885000000002</v>
      </c>
      <c r="R228" s="6">
        <f>P228*1.514</f>
        <v>24.072600000000001</v>
      </c>
      <c r="S228" s="23">
        <f>P228*1.514+O228*1.067</f>
        <v>99.46148500000001</v>
      </c>
      <c r="T228" s="6">
        <v>22.2</v>
      </c>
      <c r="W228" s="6">
        <f>1.262+1.214</f>
        <v>2.476</v>
      </c>
      <c r="AB228" s="5">
        <v>80</v>
      </c>
      <c r="AC228" s="7">
        <f>T228</f>
        <v>22.2</v>
      </c>
      <c r="AD228" s="1">
        <f>5*2.09</f>
        <v>10.45</v>
      </c>
      <c r="AE228" s="1">
        <v>21.2</v>
      </c>
      <c r="AF228" s="1">
        <v>0</v>
      </c>
      <c r="AG228" s="1">
        <v>0.02</v>
      </c>
      <c r="AH228" s="119">
        <v>0.47974537037037035</v>
      </c>
      <c r="AJ228" s="93">
        <v>93.6</v>
      </c>
      <c r="AK228" s="3">
        <v>180</v>
      </c>
      <c r="AL228" s="4">
        <f>AE228</f>
        <v>21.2</v>
      </c>
      <c r="AM228" s="1">
        <v>19.54</v>
      </c>
      <c r="AN228" s="80">
        <f>360-AK228-AB228</f>
        <v>100</v>
      </c>
      <c r="AO228" s="126"/>
      <c r="AP228" s="13">
        <f>AVERAGE(AO226:AO232)</f>
        <v>1830.0000000000637</v>
      </c>
      <c r="AQ228" s="15" t="str">
        <f>IF(ISNUMBER([2]HRT_SRT!R282),[2]HRT_SRT!R282,"")</f>
        <v/>
      </c>
      <c r="AR228" s="17">
        <f>(E228-W228)/E228</f>
        <v>0.98755297088114058</v>
      </c>
      <c r="AS228" s="16">
        <f>(I228-AF228)/I228</f>
        <v>1</v>
      </c>
      <c r="AT228" s="16">
        <f>AG228/(AD228-AF228)</f>
        <v>1.9138755980861247E-3</v>
      </c>
      <c r="AU228" s="16">
        <f>(G228-AM228)/G228</f>
        <v>0.14597902097902085</v>
      </c>
      <c r="AV228" s="57">
        <f>IF(AND(ISNUMBER(E228),ISNUMBER(W228)),E228-W228,"")</f>
        <v>196.44697000000002</v>
      </c>
      <c r="AW228" s="57">
        <f>IF(AND(ISNUMBER(I228),ISNUMBER(AF228)),I228-AF228,"")</f>
        <v>10.45</v>
      </c>
      <c r="AX228" s="57">
        <f>IF(AND(ISNUMBER(AM228),ISNUMBER(G228)),G228-AM228,"")</f>
        <v>3.3399999999999963</v>
      </c>
      <c r="AY228" s="57">
        <f>IF(AND(ISNUMBER(AC228),ISNUMBER(AE228)),AC228-AE228,"")</f>
        <v>1</v>
      </c>
      <c r="AZ228" s="57">
        <f>IF(AND(ISNUMBER(AL228),ISNUMBER(AM228)),AL228-AM228,"")</f>
        <v>1.6600000000000001</v>
      </c>
      <c r="BA228" s="123">
        <f>IF(AND($E228&gt;0,$W228&gt;0),IF(($E228-$W228)/$E228&gt;0,($E228-$W228)/$E228,0),"")</f>
        <v>0.98755297088114058</v>
      </c>
      <c r="BB228" s="123">
        <f>IF(AND($I228&gt;0,$AF228&gt;=0),IF(($I228-$AF228)/$I228&gt;0,($I228-$AF228)/$I228,0),"")</f>
        <v>1</v>
      </c>
      <c r="BC228" s="123">
        <f>IF(AND($AG228&gt;=0,$AD228&gt;=0,$AF228&gt;=0),IF($AG228/($AD228-$AF228)&gt;0,$AG228/($AD228-$AF228),0),"")</f>
        <v>1.9138755980861247E-3</v>
      </c>
      <c r="BD228" s="123">
        <f>IF(AND($G228&gt;0,$AM228&gt;0),IF(($G228-$AM228)/$G228&gt;0,($G228-$AM228)/$G228,0),"")</f>
        <v>0.14597902097902085</v>
      </c>
      <c r="BE228" s="6">
        <f>IF((AD228-AF228)/(AJ228/60)&lt;=0,"",(AD228-AF228)/(AJ228/60))</f>
        <v>6.6987179487179489</v>
      </c>
      <c r="BF228" s="6"/>
    </row>
    <row r="229" spans="1:58" ht="15.75">
      <c r="B229" s="94">
        <v>45489</v>
      </c>
      <c r="C229" s="128"/>
      <c r="D229" s="120">
        <v>224</v>
      </c>
      <c r="E229" s="205">
        <f t="shared" si="15"/>
        <v>256.86887400000001</v>
      </c>
      <c r="G229" s="15">
        <f>(N229*18-H229*18)/9</f>
        <v>21.45</v>
      </c>
      <c r="H229" s="6">
        <f>5*3.83/2</f>
        <v>9.5749999999999993</v>
      </c>
      <c r="I229" s="15">
        <f>AD229</f>
        <v>13.89</v>
      </c>
      <c r="K229" s="10">
        <f t="shared" ref="K229:K292" si="16">IF(OR(E229="",G229="",E229=0,G229=0),"",E229/G229)</f>
        <v>11.975238881118882</v>
      </c>
      <c r="L229" s="9">
        <f t="shared" ref="L229:L292" si="17">IF(OR(E229="",I229="",E229=0,I229=0),"",E229/(I229*2))</f>
        <v>9.2465397408207348</v>
      </c>
      <c r="M229" s="8">
        <f t="shared" ref="M229:M292" si="18">IF(OR(I229="",G229="",I229=0,G229=0),"",I229*2/G229)</f>
        <v>1.2951048951048951</v>
      </c>
      <c r="N229" s="7">
        <f>5*4.06</f>
        <v>20.299999999999997</v>
      </c>
      <c r="O229" s="6">
        <v>95.361000000000004</v>
      </c>
      <c r="P229" s="6">
        <v>17.625</v>
      </c>
      <c r="Q229" s="6">
        <f>O229*1.067</f>
        <v>101.750187</v>
      </c>
      <c r="R229" s="6">
        <f>P229*1.514</f>
        <v>26.684249999999999</v>
      </c>
      <c r="S229" s="23">
        <f>P229*1.514+O229*1.067</f>
        <v>128.434437</v>
      </c>
      <c r="W229" s="6">
        <f>2.748+2.131</f>
        <v>4.8789999999999996</v>
      </c>
      <c r="X229" s="6">
        <v>7.52</v>
      </c>
      <c r="AB229" s="5">
        <v>80</v>
      </c>
      <c r="AC229" s="7">
        <f>T229</f>
        <v>0</v>
      </c>
      <c r="AD229" s="1">
        <v>13.89</v>
      </c>
      <c r="AF229" s="1">
        <v>0</v>
      </c>
      <c r="AG229" s="1">
        <v>0.04</v>
      </c>
      <c r="AH229" s="119">
        <v>0.47974537037037035</v>
      </c>
      <c r="AJ229" s="1">
        <v>180</v>
      </c>
      <c r="AK229" s="3">
        <v>180</v>
      </c>
      <c r="AM229" s="1">
        <f>5*3.58</f>
        <v>17.899999999999999</v>
      </c>
      <c r="AN229" s="80">
        <f>360-AK229-AB229</f>
        <v>100</v>
      </c>
      <c r="AO229" s="126">
        <f>[2]HRT_SRT!P283</f>
        <v>1830.0000000000637</v>
      </c>
      <c r="AP229" s="13">
        <f>AVERAGE(AO227:AO233)</f>
        <v>1830.0000000000637</v>
      </c>
      <c r="AQ229" s="15">
        <f>IF(ISNUMBER([2]HRT_SRT!R283),[2]HRT_SRT!R283,"")</f>
        <v>19.276685393260173</v>
      </c>
      <c r="AR229" s="17">
        <f>(E229-W229)/E229</f>
        <v>0.98100587305879661</v>
      </c>
      <c r="AS229" s="16"/>
      <c r="AT229" s="16">
        <f>AG229/(AD229-AF229)</f>
        <v>2.8797696184305254E-3</v>
      </c>
      <c r="AU229" s="16">
        <f>(G229-AM229)/G229</f>
        <v>0.16550116550116553</v>
      </c>
      <c r="AV229" s="57">
        <f>IF(AND(ISNUMBER(E229),ISNUMBER(W229)),E229-W229,"")</f>
        <v>251.98987400000001</v>
      </c>
      <c r="AW229" s="57">
        <f>IF(AND(ISNUMBER(I229),ISNUMBER(AF229)),I229-AF229,"")</f>
        <v>13.89</v>
      </c>
      <c r="AX229" s="57">
        <f>IF(AND(ISNUMBER(AM229),ISNUMBER(G229)),G229-AM229,"")</f>
        <v>3.5500000000000007</v>
      </c>
      <c r="AY229" s="57" t="str">
        <f>IF(AND(ISNUMBER(AC229),ISNUMBER(AE229)),AC229-AE229,"")</f>
        <v/>
      </c>
      <c r="AZ229" s="57" t="str">
        <f>IF(AND(ISNUMBER(AL229),ISNUMBER(AM229)),AL229-AM229,"")</f>
        <v/>
      </c>
      <c r="BA229" s="123">
        <f>IF(AND($E229&gt;0,$W229&gt;0),IF(($E229-$W229)/$E229&gt;0,($E229-$W229)/$E229,0),"")</f>
        <v>0.98100587305879661</v>
      </c>
      <c r="BB229" s="123">
        <f>IF(AND($I229&gt;0,$AF229&gt;=0),IF(($I229-$AF229)/$I229&gt;0,($I229-$AF229)/$I229,0),"")</f>
        <v>1</v>
      </c>
      <c r="BC229" s="123"/>
      <c r="BD229" s="123">
        <f>IF(AND($G229&gt;0,$AM229&gt;0),IF(($G229-$AM229)/$G229&gt;0,($G229-$AM229)/$G229,0),"")</f>
        <v>0.16550116550116553</v>
      </c>
      <c r="BE229" s="6">
        <f>IF((AD229-AF229)/(AJ229/60)&lt;=0,"",(AD229-AF229)/(AJ229/60))</f>
        <v>4.63</v>
      </c>
      <c r="BF229" s="6"/>
    </row>
    <row r="230" spans="1:58" ht="15.75">
      <c r="B230" s="94">
        <v>45490</v>
      </c>
      <c r="C230" s="128"/>
      <c r="D230" s="3">
        <v>225</v>
      </c>
      <c r="E230" s="205">
        <f t="shared" si="15"/>
        <v>228.31905799999998</v>
      </c>
      <c r="G230" s="15">
        <f>(N230*18-H230*18)/9</f>
        <v>27.04</v>
      </c>
      <c r="H230" s="9">
        <v>10.7</v>
      </c>
      <c r="I230" s="15">
        <f>AD230</f>
        <v>13.65</v>
      </c>
      <c r="K230" s="10">
        <f t="shared" si="16"/>
        <v>8.4437521449704143</v>
      </c>
      <c r="L230" s="9">
        <f t="shared" si="17"/>
        <v>8.3633354578754577</v>
      </c>
      <c r="M230" s="8">
        <f t="shared" si="18"/>
        <v>1.0096153846153846</v>
      </c>
      <c r="N230" s="7">
        <v>24.22</v>
      </c>
      <c r="O230" s="6">
        <v>77.991</v>
      </c>
      <c r="P230" s="6">
        <v>20.437999999999999</v>
      </c>
      <c r="Q230" s="6">
        <f>O230*1.067</f>
        <v>83.216397000000001</v>
      </c>
      <c r="R230" s="6">
        <f>P230*1.514</f>
        <v>30.943131999999999</v>
      </c>
      <c r="S230" s="23">
        <f>P230*1.514+O230*1.067</f>
        <v>114.15952899999999</v>
      </c>
      <c r="T230" s="6">
        <v>28.13</v>
      </c>
      <c r="W230">
        <f>3.749+3.788</f>
        <v>7.5369999999999999</v>
      </c>
      <c r="X230" s="6">
        <v>5.19</v>
      </c>
      <c r="AB230" s="5">
        <v>80</v>
      </c>
      <c r="AC230" s="7">
        <f>T230</f>
        <v>28.13</v>
      </c>
      <c r="AD230" s="1">
        <f>5*2.73</f>
        <v>13.65</v>
      </c>
      <c r="AE230" s="1">
        <v>24.52</v>
      </c>
      <c r="AF230" s="1">
        <v>4.2</v>
      </c>
      <c r="AG230" s="1">
        <v>7.0000000000000007E-2</v>
      </c>
      <c r="AH230" s="119">
        <v>0.47974537037037035</v>
      </c>
      <c r="AJ230" s="93">
        <v>93.6</v>
      </c>
      <c r="AK230" s="3">
        <v>180</v>
      </c>
      <c r="AL230" s="4">
        <f>AE230</f>
        <v>24.52</v>
      </c>
      <c r="AM230" s="1">
        <v>21.97</v>
      </c>
      <c r="AN230" s="80">
        <f>360-AK230-AB230</f>
        <v>100</v>
      </c>
      <c r="AO230" s="126"/>
      <c r="AP230" s="13">
        <f>AVERAGE(AO228:AO234)</f>
        <v>1830.0000000000637</v>
      </c>
      <c r="AQ230" s="15" t="str">
        <f>IF(ISNUMBER([2]HRT_SRT!R284),[2]HRT_SRT!R284,"")</f>
        <v/>
      </c>
      <c r="AR230" s="17">
        <f>(E230-W230)/E230</f>
        <v>0.96698917704889964</v>
      </c>
      <c r="AS230" s="16">
        <f>(I230-AF230)/I230</f>
        <v>0.69230769230769229</v>
      </c>
      <c r="AT230" s="16">
        <f>AG230/(AD230-AF230)</f>
        <v>7.4074074074074086E-3</v>
      </c>
      <c r="AU230" s="16">
        <f>(G230-AM230)/G230</f>
        <v>0.18750000000000003</v>
      </c>
      <c r="AV230" s="57">
        <f>IF(AND(ISNUMBER(E230),ISNUMBER(W230)),E230-W230,"")</f>
        <v>220.78205799999998</v>
      </c>
      <c r="AW230" s="57">
        <f>IF(AND(ISNUMBER(I230),ISNUMBER(AF230)),I230-AF230,"")</f>
        <v>9.4499999999999993</v>
      </c>
      <c r="AX230" s="57">
        <f>IF(AND(ISNUMBER(AM230),ISNUMBER(G230)),G230-AM230,"")</f>
        <v>5.07</v>
      </c>
      <c r="AY230" s="57">
        <f>IF(AND(ISNUMBER(AC230),ISNUMBER(AE230)),AC230-AE230,"")</f>
        <v>3.6099999999999994</v>
      </c>
      <c r="AZ230" s="57">
        <f>IF(AND(ISNUMBER(AL230),ISNUMBER(AM230)),AL230-AM230,"")</f>
        <v>2.5500000000000007</v>
      </c>
      <c r="BA230" s="123">
        <f>IF(AND($E230&gt;0,$W230&gt;0),IF(($E230-$W230)/$E230&gt;0,($E230-$W230)/$E230,0),"")</f>
        <v>0.96698917704889964</v>
      </c>
      <c r="BB230" s="123">
        <f>IF(AND($I230&gt;0,$AF230&gt;=0),IF(($I230-$AF230)/$I230&gt;0,($I230-$AF230)/$I230,0),"")</f>
        <v>0.69230769230769229</v>
      </c>
      <c r="BC230" s="123">
        <f>IF(AND($AG230&gt;=0,$AD230&gt;=0,$AF230&gt;=0),IF($AG230/($AD230-$AF230)&gt;0,$AG230/($AD230-$AF230),0),"")</f>
        <v>7.4074074074074086E-3</v>
      </c>
      <c r="BD230" s="123">
        <f>IF(AND($G230&gt;0,$AM230&gt;0),IF(($G230-$AM230)/$G230&gt;0,($G230-$AM230)/$G230,0),"")</f>
        <v>0.18750000000000003</v>
      </c>
      <c r="BE230" s="6">
        <f>IF((AD230-AF230)/(AJ230/60)&lt;=0,"",(AD230-AF230)/(AJ230/60))</f>
        <v>6.0576923076923075</v>
      </c>
      <c r="BF230" s="6"/>
    </row>
    <row r="231" spans="1:58" ht="15.75">
      <c r="A231" s="12" t="s">
        <v>128</v>
      </c>
      <c r="B231" s="94">
        <v>45491</v>
      </c>
      <c r="C231" s="128"/>
      <c r="D231" s="3">
        <v>226</v>
      </c>
      <c r="E231" s="205">
        <f t="shared" si="15"/>
        <v>240.95952999999997</v>
      </c>
      <c r="G231" s="9">
        <f>2*14.27</f>
        <v>28.54</v>
      </c>
      <c r="I231" s="15">
        <f>AD231</f>
        <v>12.7</v>
      </c>
      <c r="J231" s="9"/>
      <c r="K231" s="10">
        <f t="shared" si="16"/>
        <v>8.442870707778555</v>
      </c>
      <c r="L231" s="9">
        <f t="shared" si="17"/>
        <v>9.4865956692913382</v>
      </c>
      <c r="M231" s="8">
        <f t="shared" si="18"/>
        <v>0.88997897687456196</v>
      </c>
      <c r="N231" s="6"/>
      <c r="O231" s="6">
        <v>81.802999999999997</v>
      </c>
      <c r="P231" s="6">
        <v>21.925999999999998</v>
      </c>
      <c r="Q231" s="6">
        <f>O231*1.067</f>
        <v>87.283800999999997</v>
      </c>
      <c r="R231" s="6">
        <f>P231*1.514</f>
        <v>33.195963999999996</v>
      </c>
      <c r="S231" s="23">
        <f>P231*1.514+O231*1.067</f>
        <v>120.47976499999999</v>
      </c>
      <c r="T231" s="6">
        <v>28.25</v>
      </c>
      <c r="W231">
        <f>3.761+3.977</f>
        <v>7.7379999999999995</v>
      </c>
      <c r="X231" s="6">
        <v>8</v>
      </c>
      <c r="AB231" s="6">
        <v>80</v>
      </c>
      <c r="AC231" s="7">
        <f>T231</f>
        <v>28.25</v>
      </c>
      <c r="AD231" s="1">
        <f>5*2.54</f>
        <v>12.7</v>
      </c>
      <c r="AE231" s="1">
        <v>24.3</v>
      </c>
      <c r="AF231" s="1">
        <v>3.11</v>
      </c>
      <c r="AG231">
        <v>0.38</v>
      </c>
      <c r="AH231" s="119">
        <v>0.76412037037037039</v>
      </c>
      <c r="AJ231" s="93">
        <v>93.6</v>
      </c>
      <c r="AK231" s="3">
        <v>180</v>
      </c>
      <c r="AL231" s="4">
        <f>AE231</f>
        <v>24.3</v>
      </c>
      <c r="AM231" s="1">
        <v>22.4</v>
      </c>
      <c r="AN231" s="80">
        <f>360-AK231-AB231</f>
        <v>100</v>
      </c>
      <c r="AO231" s="126"/>
      <c r="AP231" s="13">
        <f>AVERAGE(AO229:AO235)</f>
        <v>1830.0000000000637</v>
      </c>
      <c r="AQ231" s="15" t="str">
        <f>IF(ISNUMBER([2]HRT_SRT!R285),[2]HRT_SRT!R285,"")</f>
        <v/>
      </c>
      <c r="AR231" s="17">
        <f>(E231-W231)/E231</f>
        <v>0.9678867235506311</v>
      </c>
      <c r="AS231" s="16">
        <f>(I231-AF231)/I231</f>
        <v>0.75511811023622055</v>
      </c>
      <c r="AT231" s="16">
        <f>AG231/(AD231-AF231)</f>
        <v>3.9624608967674661E-2</v>
      </c>
      <c r="AU231" s="16">
        <f>(G231-AM231)/G231</f>
        <v>0.2151366503153469</v>
      </c>
      <c r="AV231" s="57">
        <f>IF(AND(ISNUMBER(E231),ISNUMBER(W231)),E231-W231,"")</f>
        <v>233.22152999999997</v>
      </c>
      <c r="AW231" s="57">
        <f>IF(AND(ISNUMBER(I231),ISNUMBER(AF231)),I231-AF231,"")</f>
        <v>9.59</v>
      </c>
      <c r="AX231" s="57">
        <f>IF(AND(ISNUMBER(AM231),ISNUMBER(G231)),G231-AM231,"")</f>
        <v>6.1400000000000006</v>
      </c>
      <c r="AY231" s="57">
        <f>IF(AND(ISNUMBER(AC231),ISNUMBER(AE231)),AC231-AE231,"")</f>
        <v>3.9499999999999993</v>
      </c>
      <c r="AZ231" s="57">
        <f>IF(AND(ISNUMBER(AL231),ISNUMBER(AM231)),AL231-AM231,"")</f>
        <v>1.9000000000000021</v>
      </c>
      <c r="BA231" s="123">
        <f>IF(AND($E231&gt;0,$W231&gt;0),IF(($E231-$W231)/$E231&gt;0,($E231-$W231)/$E231,0),"")</f>
        <v>0.9678867235506311</v>
      </c>
      <c r="BB231" s="123">
        <f>IF(AND($I231&gt;0,$AF231&gt;=0),IF(($I231-$AF231)/$I231&gt;0,($I231-$AF231)/$I231,0),"")</f>
        <v>0.75511811023622055</v>
      </c>
      <c r="BC231" s="123">
        <f>IF(AND($AG231&gt;=0,$AD231&gt;=0,$AF231&gt;=0),IF($AG231/($AD231-$AF231)&gt;0,$AG231/($AD231-$AF231),0),"")</f>
        <v>3.9624608967674661E-2</v>
      </c>
      <c r="BD231" s="123">
        <f>IF(AND($G231&gt;0,$AM231&gt;0),IF(($G231-$AM231)/$G231&gt;0,($G231-$AM231)/$G231,0),"")</f>
        <v>0.2151366503153469</v>
      </c>
      <c r="BE231" s="6">
        <f>IF((AD231-AF231)/(AJ231/60)&lt;=0,"",(AD231-AF231)/(AJ231/60))</f>
        <v>6.1474358974358978</v>
      </c>
      <c r="BF231" s="6"/>
    </row>
    <row r="232" spans="1:58" ht="15.75">
      <c r="A232" s="25" t="s">
        <v>127</v>
      </c>
      <c r="B232" s="94">
        <v>45492</v>
      </c>
      <c r="C232" s="128"/>
      <c r="D232" s="3">
        <v>227</v>
      </c>
      <c r="E232" s="205">
        <f t="shared" si="15"/>
        <v>212.68141999999997</v>
      </c>
      <c r="G232" s="15">
        <f>(N232*18-H232*18)/9</f>
        <v>30.220000000000002</v>
      </c>
      <c r="H232" s="9">
        <v>8.19</v>
      </c>
      <c r="I232" s="15">
        <f>AD232</f>
        <v>10.3</v>
      </c>
      <c r="K232" s="10">
        <f t="shared" si="16"/>
        <v>7.0377703507610843</v>
      </c>
      <c r="L232" s="9">
        <f t="shared" si="17"/>
        <v>10.324340776699028</v>
      </c>
      <c r="M232" s="8">
        <f t="shared" si="18"/>
        <v>0.68166776968894771</v>
      </c>
      <c r="N232" s="7">
        <v>23.3</v>
      </c>
      <c r="O232" s="6">
        <v>75.373999999999995</v>
      </c>
      <c r="P232" s="6">
        <v>17.117999999999999</v>
      </c>
      <c r="Q232" s="6">
        <f>O232*1.067</f>
        <v>80.424057999999988</v>
      </c>
      <c r="R232" s="6">
        <f>P232*1.514</f>
        <v>25.916651999999999</v>
      </c>
      <c r="S232" s="23">
        <f>P232*1.514+O232*1.067</f>
        <v>106.34070999999999</v>
      </c>
      <c r="T232" s="6">
        <v>32.04</v>
      </c>
      <c r="W232">
        <f>1.111+1.23</f>
        <v>2.3410000000000002</v>
      </c>
      <c r="X232" s="6">
        <v>7.14</v>
      </c>
      <c r="AB232" s="5">
        <v>80</v>
      </c>
      <c r="AC232" s="7">
        <f>T232</f>
        <v>32.04</v>
      </c>
      <c r="AD232" s="1">
        <f>5*2.06</f>
        <v>10.3</v>
      </c>
      <c r="AE232" s="1">
        <v>29.65</v>
      </c>
      <c r="AF232" s="1">
        <v>3.42</v>
      </c>
      <c r="AG232">
        <v>0.19</v>
      </c>
      <c r="AH232" s="119">
        <v>0.47916666666666669</v>
      </c>
      <c r="AJ232" s="93">
        <v>93.6</v>
      </c>
      <c r="AK232" s="3">
        <v>180</v>
      </c>
      <c r="AL232" s="4">
        <f>AE232</f>
        <v>29.65</v>
      </c>
      <c r="AM232" s="1">
        <v>25.89</v>
      </c>
      <c r="AN232" s="80">
        <f>360-AK232-AB232</f>
        <v>100</v>
      </c>
      <c r="AO232" s="126"/>
      <c r="AP232" s="13">
        <f>AVERAGE(AO230:AO236)</f>
        <v>1720.0000000000273</v>
      </c>
      <c r="AQ232" s="15" t="str">
        <f>IF(ISNUMBER([2]HRT_SRT!R286),[2]HRT_SRT!R286,"")</f>
        <v/>
      </c>
      <c r="AR232" s="17">
        <f>(E232-W232)/E232</f>
        <v>0.98899292660355564</v>
      </c>
      <c r="AS232" s="16">
        <f>(I232-AF232)/I232</f>
        <v>0.66796116504854375</v>
      </c>
      <c r="AT232" s="16">
        <f>AG232/(AD232-AF232)</f>
        <v>2.7616279069767439E-2</v>
      </c>
      <c r="AU232" s="16">
        <f>(G232-AM232)/G232</f>
        <v>0.14328259430840509</v>
      </c>
      <c r="AV232" s="57">
        <f>IF(AND(ISNUMBER(E232),ISNUMBER(W232)),E232-W232,"")</f>
        <v>210.34041999999997</v>
      </c>
      <c r="AW232" s="57">
        <f>IF(AND(ISNUMBER(I232),ISNUMBER(AF232)),I232-AF232,"")</f>
        <v>6.8800000000000008</v>
      </c>
      <c r="AX232" s="2">
        <f>IF(AND(ISNUMBER(AM232),ISNUMBER(G232)),G232-AM232,"")</f>
        <v>4.3300000000000018</v>
      </c>
      <c r="AY232" s="57">
        <f>IF(AND(ISNUMBER(AC232),ISNUMBER(AE232)),AC232-AE232,"")</f>
        <v>2.3900000000000006</v>
      </c>
      <c r="AZ232" s="57">
        <f>IF(AND(ISNUMBER(AL232),ISNUMBER(AM232)),AL232-AM232,"")</f>
        <v>3.759999999999998</v>
      </c>
      <c r="BA232" s="123">
        <f>IF(AND($E232&gt;0,$W232&gt;0),IF(($E232-$W232)/$E232&gt;0,($E232-$W232)/$E232,0),"")</f>
        <v>0.98899292660355564</v>
      </c>
      <c r="BB232" s="123">
        <f>IF(AND($I232&gt;0,$AF232&gt;=0),IF(($I232-$AF232)/$I232&gt;0,($I232-$AF232)/$I232,0),"")</f>
        <v>0.66796116504854375</v>
      </c>
      <c r="BC232" s="123">
        <f>IF(AND($AG232&gt;=0,$AD232&gt;=0,$AF232&gt;=0),IF($AG232/($AD232-$AF232)&gt;0,$AG232/($AD232-$AF232),0),"")</f>
        <v>2.7616279069767439E-2</v>
      </c>
      <c r="BD232" s="123">
        <f>IF(AND($G232&gt;0,$AM232&gt;0),IF(($G232-$AM232)/$G232&gt;0,($G232-$AM232)/$G232,0),"")</f>
        <v>0.14328259430840509</v>
      </c>
      <c r="BE232" s="6">
        <f>IF((AD232-AF232)/(AJ232/60)&lt;=0,"",(AD232-AF232)/(AJ232/60))</f>
        <v>4.4102564102564115</v>
      </c>
      <c r="BF232" s="6"/>
    </row>
    <row r="233" spans="1:58" ht="15.75">
      <c r="A233" s="12" t="s">
        <v>126</v>
      </c>
      <c r="B233" s="94">
        <v>45493</v>
      </c>
      <c r="C233" s="128"/>
      <c r="D233" s="3">
        <v>228</v>
      </c>
      <c r="E233" s="205" t="str">
        <f t="shared" si="15"/>
        <v/>
      </c>
      <c r="I233" s="15">
        <f>AD233</f>
        <v>0</v>
      </c>
      <c r="K233" s="10" t="str">
        <f t="shared" si="16"/>
        <v/>
      </c>
      <c r="L233" s="9" t="str">
        <f t="shared" si="17"/>
        <v/>
      </c>
      <c r="M233" s="8" t="str">
        <f t="shared" si="18"/>
        <v/>
      </c>
      <c r="S233" s="23"/>
      <c r="AB233" s="5">
        <v>80</v>
      </c>
      <c r="AJ233" s="93">
        <v>93.6</v>
      </c>
      <c r="AK233" s="3">
        <v>180</v>
      </c>
      <c r="AN233" s="80">
        <f>360-AK233-AB233</f>
        <v>100</v>
      </c>
      <c r="AO233" s="126"/>
      <c r="AP233" s="13">
        <f>AVERAGE(AO231:AO237)</f>
        <v>1720.0000000000273</v>
      </c>
      <c r="AQ233" s="15" t="str">
        <f>IF(ISNUMBER([2]HRT_SRT!R287),[2]HRT_SRT!R287,"")</f>
        <v/>
      </c>
      <c r="AR233" s="17" t="e">
        <f>(E233-W233)/E233</f>
        <v>#VALUE!</v>
      </c>
      <c r="AS233" s="16"/>
      <c r="AT233" s="16" t="e">
        <f>AG233/(AD233-AF233)</f>
        <v>#DIV/0!</v>
      </c>
      <c r="AU233" s="16" t="e">
        <f>(G233-AM233)/G233</f>
        <v>#DIV/0!</v>
      </c>
      <c r="AV233" s="57" t="str">
        <f>IF(AND(ISNUMBER(E233),ISNUMBER(W233)),E233-W233,"")</f>
        <v/>
      </c>
      <c r="AW233" s="57" t="str">
        <f>IF(AND(ISNUMBER(I233),ISNUMBER(AF233)),I233-AF233,"")</f>
        <v/>
      </c>
      <c r="AY233" s="57" t="str">
        <f>IF(AND(ISNUMBER(AC233),ISNUMBER(AE233)),AC233-AE233,"")</f>
        <v/>
      </c>
      <c r="AZ233" s="57" t="str">
        <f>IF(AND(ISNUMBER(AL233),ISNUMBER(AM233)),AL233-AM233,"")</f>
        <v/>
      </c>
      <c r="BA233" s="123" t="str">
        <f>IF(AND($E233&gt;0,$W233&gt;0),IF(($E233-$W233)/$E233&gt;0,($E233-$W233)/$E233,0),"")</f>
        <v/>
      </c>
      <c r="BB233" s="123" t="str">
        <f>IF(AND($I233&gt;0,$AF233&gt;=0),IF(($I233-$AF233)/$I233&gt;0,($I233-$AF233)/$I233,0),"")</f>
        <v/>
      </c>
      <c r="BC233" s="123"/>
      <c r="BD233" s="123" t="str">
        <f>IF(AND($G233&gt;0,$AM233&gt;0),IF(($G233-$AM233)/$G233&gt;0,($G233-$AM233)/$G233,0),"")</f>
        <v/>
      </c>
      <c r="BE233" s="6" t="str">
        <f>IF((AD233-AF233)/(AJ233/60)&lt;=0,"",(AD233-AF233)/(AJ233/60))</f>
        <v/>
      </c>
      <c r="BF233" s="6" t="str">
        <f>IF(OR(AJ233=0,AP233=0,NOT(ISNUMBER(AD233)),NOT(ISNUMBER(AF233)),NOT(ISNUMBER(AJ233)),NOT(ISNUMBER(AP233))),"",
IFERROR(IF((AD233-AF233)/(AJ233/60)/(AP233/1000)&lt;=0,"",(AD233-AF233)/(AJ233/60)/(AP233/1000)),""))</f>
        <v/>
      </c>
    </row>
    <row r="234" spans="1:58" ht="15.75">
      <c r="A234" s="121">
        <v>8.8999999999999996E-2</v>
      </c>
      <c r="B234" s="94">
        <v>45494</v>
      </c>
      <c r="C234" s="128"/>
      <c r="D234" s="3">
        <v>229</v>
      </c>
      <c r="E234" s="205" t="str">
        <f t="shared" si="15"/>
        <v/>
      </c>
      <c r="I234" s="15">
        <f>AD234</f>
        <v>0</v>
      </c>
      <c r="J234" s="9"/>
      <c r="K234" s="10" t="str">
        <f t="shared" si="16"/>
        <v/>
      </c>
      <c r="L234" s="9" t="str">
        <f t="shared" si="17"/>
        <v/>
      </c>
      <c r="M234" s="8" t="str">
        <f t="shared" si="18"/>
        <v/>
      </c>
      <c r="N234" s="6"/>
      <c r="S234" s="23"/>
      <c r="AB234" s="5">
        <v>80</v>
      </c>
      <c r="AC234" s="1"/>
      <c r="AJ234" s="93">
        <v>93.6</v>
      </c>
      <c r="AK234" s="3">
        <v>180</v>
      </c>
      <c r="AL234" s="1"/>
      <c r="AN234" s="80">
        <f>360-AK234-AB234</f>
        <v>100</v>
      </c>
      <c r="AO234" s="126"/>
      <c r="AP234" s="13">
        <f>AVERAGE(AO232:AO238)</f>
        <v>1720.0000000000273</v>
      </c>
      <c r="AQ234" s="15" t="str">
        <f>IF(ISNUMBER([2]HRT_SRT!R288),[2]HRT_SRT!R288,"")</f>
        <v/>
      </c>
      <c r="AR234" s="17" t="e">
        <f>(E234-W234)/E234</f>
        <v>#VALUE!</v>
      </c>
      <c r="AS234" s="16"/>
      <c r="AT234" s="16" t="e">
        <f>AG234/(AD234-AF234)</f>
        <v>#DIV/0!</v>
      </c>
      <c r="AU234" s="16" t="e">
        <f>(G234-AM234)/G234</f>
        <v>#DIV/0!</v>
      </c>
      <c r="AV234" s="57" t="str">
        <f>IF(AND(ISNUMBER(E234),ISNUMBER(W234)),E234-W234,"")</f>
        <v/>
      </c>
      <c r="AW234" s="57" t="str">
        <f>IF(AND(ISNUMBER(I234),ISNUMBER(AF234)),I234-AF234,"")</f>
        <v/>
      </c>
      <c r="AY234" s="57" t="str">
        <f>IF(AND(ISNUMBER(AC234),ISNUMBER(AE234)),AC234-AE234,"")</f>
        <v/>
      </c>
      <c r="AZ234" s="57" t="str">
        <f>IF(AND(ISNUMBER(AL234),ISNUMBER(AM234)),AL234-AM234,"")</f>
        <v/>
      </c>
      <c r="BA234" s="123" t="str">
        <f>IF(AND($E234&gt;0,$W234&gt;0),IF(($E234-$W234)/$E234&gt;0,($E234-$W234)/$E234,0),"")</f>
        <v/>
      </c>
      <c r="BB234" s="123" t="str">
        <f>IF(AND($I234&gt;0,$AF234&gt;=0),IF(($I234-$AF234)/$I234&gt;0,($I234-$AF234)/$I234,0),"")</f>
        <v/>
      </c>
      <c r="BC234" s="123"/>
      <c r="BD234" s="123" t="str">
        <f>IF(AND($G234&gt;0,$AM234&gt;0),IF(($G234-$AM234)/$G234&gt;0,($G234-$AM234)/$G234,0),"")</f>
        <v/>
      </c>
      <c r="BE234" s="6" t="str">
        <f>IF((AD234-AF234)/(AJ234/60)&lt;=0,"",(AD234-AF234)/(AJ234/60))</f>
        <v/>
      </c>
      <c r="BF234" s="6" t="str">
        <f>IF(OR(AJ234=0,AP234=0,NOT(ISNUMBER(AD234)),NOT(ISNUMBER(AF234)),NOT(ISNUMBER(AJ234)),NOT(ISNUMBER(AP234))),"",
IFERROR(IF((AD234-AF234)/(AJ234/60)/(AP234/1000)&lt;=0,"",(AD234-AF234)/(AJ234/60)/(AP234/1000)),""))</f>
        <v/>
      </c>
    </row>
    <row r="235" spans="1:58" s="27" customFormat="1" ht="15.75">
      <c r="A235" s="130" t="s">
        <v>120</v>
      </c>
      <c r="B235" s="129">
        <v>45495</v>
      </c>
      <c r="C235" s="128"/>
      <c r="D235" s="29">
        <v>230</v>
      </c>
      <c r="E235" s="205">
        <f t="shared" si="15"/>
        <v>251.44638199999997</v>
      </c>
      <c r="F235" s="36"/>
      <c r="G235" s="77">
        <f>(N235*18-H235*18)/9</f>
        <v>0</v>
      </c>
      <c r="H235" s="36"/>
      <c r="I235" s="15">
        <f>AD235</f>
        <v>13.799999999999999</v>
      </c>
      <c r="J235" s="35"/>
      <c r="K235" s="10" t="str">
        <f t="shared" si="16"/>
        <v/>
      </c>
      <c r="L235" s="9">
        <f t="shared" si="17"/>
        <v>9.110376159420289</v>
      </c>
      <c r="M235" s="8" t="str">
        <f t="shared" si="18"/>
        <v/>
      </c>
      <c r="N235" s="34"/>
      <c r="O235" s="33">
        <v>91.200999999999993</v>
      </c>
      <c r="P235" s="33">
        <v>18.765999999999998</v>
      </c>
      <c r="Q235" s="6">
        <f>O235*1.067</f>
        <v>97.311466999999993</v>
      </c>
      <c r="R235" s="6">
        <f>P235*1.514</f>
        <v>28.411723999999996</v>
      </c>
      <c r="S235" s="23">
        <f>P235*1.514+O235*1.067</f>
        <v>125.72319099999999</v>
      </c>
      <c r="T235" s="33"/>
      <c r="U235" s="33"/>
      <c r="V235" s="33"/>
      <c r="W235" s="33">
        <v>0</v>
      </c>
      <c r="X235" s="33"/>
      <c r="Y235" s="33"/>
      <c r="Z235" s="33"/>
      <c r="AA235" s="33"/>
      <c r="AB235" s="74">
        <v>80</v>
      </c>
      <c r="AC235" s="32"/>
      <c r="AD235" s="27">
        <f>5*2.76</f>
        <v>13.799999999999999</v>
      </c>
      <c r="AF235" s="27">
        <v>6.05</v>
      </c>
      <c r="AJ235" s="93">
        <v>93.6</v>
      </c>
      <c r="AK235" s="29">
        <v>180</v>
      </c>
      <c r="AL235" s="32"/>
      <c r="AN235" s="87">
        <f>360-AK235-AB235</f>
        <v>100</v>
      </c>
      <c r="AO235" s="127"/>
      <c r="AP235" s="13">
        <f>AVERAGE(AO233:AO239)</f>
        <v>1720.0000000000273</v>
      </c>
      <c r="AQ235" s="77" t="str">
        <f>IF(ISNUMBER([2]HRT_SRT!R289),[2]HRT_SRT!R289,"")</f>
        <v/>
      </c>
      <c r="AR235" s="31">
        <f>(E235-W235)/E235</f>
        <v>1</v>
      </c>
      <c r="AS235" s="30">
        <f>(I235-AF235)/I235</f>
        <v>0.56159420289855067</v>
      </c>
      <c r="AT235" s="30">
        <f>AG235/(AD235-AF235)</f>
        <v>0</v>
      </c>
      <c r="AU235" s="30" t="e">
        <f>(G235-AM235)/G235</f>
        <v>#DIV/0!</v>
      </c>
      <c r="AV235" s="73">
        <f>IF(AND(ISNUMBER(E235),ISNUMBER(W235)),E235-W235,"")</f>
        <v>251.44638199999997</v>
      </c>
      <c r="AW235" s="73">
        <f>IF(AND(ISNUMBER(I235),ISNUMBER(AF235)),I235-AF235,"")</f>
        <v>7.7499999999999991</v>
      </c>
      <c r="AX235" s="28"/>
      <c r="AY235" s="57" t="str">
        <f>IF(AND(ISNUMBER(AC235),ISNUMBER(AE235)),AC235-AE235,"")</f>
        <v/>
      </c>
      <c r="AZ235" s="57" t="str">
        <f>IF(AND(ISNUMBER(AL235),ISNUMBER(AM235)),AL235-AM235,"")</f>
        <v/>
      </c>
      <c r="BA235" s="123" t="str">
        <f>IF(AND($E235&gt;0,$W235&gt;0),IF(($E235-$W235)/$E235&gt;0,($E235-$W235)/$E235,0),"")</f>
        <v/>
      </c>
      <c r="BB235" s="123">
        <f>IF(AND($I235&gt;0,$AF235&gt;=0),IF(($I235-$AF235)/$I235&gt;0,($I235-$AF235)/$I235,0),"")</f>
        <v>0.56159420289855067</v>
      </c>
      <c r="BC235" s="123">
        <f>IF(AND($AG235&gt;=0,$AD235&gt;=0,$AF235&gt;=0),IF($AG235/($AD235-$AF235)&gt;0,$AG235/($AD235-$AF235),0),"")</f>
        <v>0</v>
      </c>
      <c r="BD235" s="123" t="str">
        <f>IF(AND($G235&gt;0,$AM235&gt;0),IF(($G235-$AM235)/$G235&gt;0,($G235-$AM235)/$G235,0),"")</f>
        <v/>
      </c>
      <c r="BE235" s="6">
        <f>IF((AD235-AF235)/(AJ235/60)&lt;=0,"",(AD235-AF235)/(AJ235/60))</f>
        <v>4.9679487179487181</v>
      </c>
      <c r="BF235" s="6"/>
    </row>
    <row r="236" spans="1:58" ht="45">
      <c r="A236" s="12" t="s">
        <v>125</v>
      </c>
      <c r="B236" s="11">
        <v>45496</v>
      </c>
      <c r="D236" s="3">
        <v>231</v>
      </c>
      <c r="E236" s="205">
        <f t="shared" si="15"/>
        <v>156.63560000000001</v>
      </c>
      <c r="G236" s="15">
        <f>(N236*18-H236*18)/9</f>
        <v>21.9</v>
      </c>
      <c r="H236" s="9">
        <f>5*1.59</f>
        <v>7.95</v>
      </c>
      <c r="I236" s="15">
        <f>AD236</f>
        <v>17.809999999999999</v>
      </c>
      <c r="K236" s="10">
        <f t="shared" si="16"/>
        <v>7.1523105022831057</v>
      </c>
      <c r="L236" s="9">
        <f t="shared" si="17"/>
        <v>4.3974059517125212</v>
      </c>
      <c r="M236" s="8">
        <f t="shared" si="18"/>
        <v>1.6264840182648401</v>
      </c>
      <c r="N236" s="7">
        <f>5*3.78</f>
        <v>18.899999999999999</v>
      </c>
      <c r="O236">
        <v>73.400000000000006</v>
      </c>
      <c r="Q236" s="6">
        <f>O236*1.067</f>
        <v>78.317800000000005</v>
      </c>
      <c r="R236" s="6">
        <f>P236*1.514</f>
        <v>0</v>
      </c>
      <c r="S236" s="23">
        <f>P236*1.514+O236*1.067</f>
        <v>78.317800000000005</v>
      </c>
      <c r="T236" s="6">
        <f>5*4.5</f>
        <v>22.5</v>
      </c>
      <c r="W236" s="23">
        <f>U236*1.067+V236*1.514</f>
        <v>0</v>
      </c>
      <c r="X236" s="6">
        <v>4.72</v>
      </c>
      <c r="AB236" s="5">
        <v>80</v>
      </c>
      <c r="AC236" s="7">
        <f>T236</f>
        <v>22.5</v>
      </c>
      <c r="AD236" s="6">
        <v>17.809999999999999</v>
      </c>
      <c r="AE236" s="1">
        <f>5*4.55</f>
        <v>22.75</v>
      </c>
      <c r="AF236" s="6">
        <v>1.42</v>
      </c>
      <c r="AG236" s="1">
        <v>0</v>
      </c>
      <c r="AH236" s="119">
        <v>0.52083333333333337</v>
      </c>
      <c r="AJ236" s="1">
        <f>134-84</f>
        <v>50</v>
      </c>
      <c r="AK236" s="3">
        <v>180</v>
      </c>
      <c r="AL236" s="1">
        <f>5*4.55</f>
        <v>22.75</v>
      </c>
      <c r="AM236" s="1">
        <f>5*4.27</f>
        <v>21.349999999999998</v>
      </c>
      <c r="AN236" s="80">
        <f>360-AK236-AB236</f>
        <v>100</v>
      </c>
      <c r="AO236" s="126">
        <f>[2]HRT_SRT!P290</f>
        <v>1720.0000000000273</v>
      </c>
      <c r="AP236" s="13">
        <f>AVERAGE(AO234:AO240)</f>
        <v>1720.0000000000273</v>
      </c>
      <c r="AQ236" s="15">
        <f>IF(ISNUMBER([2]HRT_SRT!R290),[2]HRT_SRT!R290,"")</f>
        <v>10.97094259390509</v>
      </c>
      <c r="AR236" s="17">
        <f>(E236-W236)/E236</f>
        <v>1</v>
      </c>
      <c r="AS236" s="16">
        <f>(I236-AF236)/I236</f>
        <v>0.92026951151038749</v>
      </c>
      <c r="AT236" s="16">
        <f>AG236/(AD236-AF236)</f>
        <v>0</v>
      </c>
      <c r="AU236" s="16">
        <f>(G236-AM236)/G236</f>
        <v>2.5114155251141586E-2</v>
      </c>
      <c r="AV236" s="57">
        <f>IF(AND(ISNUMBER(E236),ISNUMBER(W236)),E236-W236,"")</f>
        <v>156.63560000000001</v>
      </c>
      <c r="AW236" s="57">
        <f>IF(AND(ISNUMBER(I236),ISNUMBER(AF236)),I236-AF236,"")</f>
        <v>16.39</v>
      </c>
      <c r="AX236" s="57">
        <f>IF(AND(ISNUMBER(AM236),ISNUMBER(G236)),G236-AM236,"")</f>
        <v>0.55000000000000071</v>
      </c>
      <c r="AY236" s="57">
        <f>IF(AND(ISNUMBER(AC236),ISNUMBER(AE236)),AC236-AE236,"")</f>
        <v>-0.25</v>
      </c>
      <c r="AZ236" s="57">
        <f>IF(AND(ISNUMBER(AL236),ISNUMBER(AM236)),AL236-AM236,"")</f>
        <v>1.4000000000000021</v>
      </c>
      <c r="BA236" s="84" t="str">
        <f>IF(AND($E236&gt;0,$W236&gt;0),IF(($E236-$W236)/$E236&gt;0,($E236-$W236)/$E236,0),"")</f>
        <v/>
      </c>
      <c r="BB236" s="84">
        <f>IF(AND($I236&gt;0,$AF236&gt;=0),IF(($I236-$AF236)/$I236&gt;0,($I236-$AF236)/$I236,0),"")</f>
        <v>0.92026951151038749</v>
      </c>
      <c r="BC236" s="84">
        <f>IF(AND($AG236&gt;=0,$AD236&gt;=0,$AF236&gt;=0),IF($AG236/($AD236-$AF236)&gt;0,$AG236/($AD236-$AF236),0),"")</f>
        <v>0</v>
      </c>
      <c r="BD236" s="84">
        <f>IF(AND($G236&gt;0,$AM236&gt;0),IF(($G236-$AM236)/$G236&gt;0,($G236-$AM236)/$G236,0),"")</f>
        <v>2.5114155251141586E-2</v>
      </c>
      <c r="BE236" s="6">
        <f>IF((AD236-AF236)/(AJ236/60)&lt;=0,"",(AD236-AF236)/(AJ236/60))</f>
        <v>19.667999999999999</v>
      </c>
      <c r="BF236" s="6">
        <f>IF(OR(AJ236=0,AP236=0,NOT(ISNUMBER(AD236)),NOT(ISNUMBER(AF236)),NOT(ISNUMBER(AJ236)),NOT(ISNUMBER(AP236))),"",
IFERROR(IF((AD236-AF236)/(AJ236/60)/(AP236/1000)&lt;=0,"",(AD236-AF236)/(AJ236/60)/(AP236/1000)),""))</f>
        <v>11.434883720930051</v>
      </c>
    </row>
    <row r="237" spans="1:58" ht="15.75">
      <c r="B237" s="11">
        <v>45497</v>
      </c>
      <c r="D237" s="3">
        <v>232</v>
      </c>
      <c r="E237" s="205">
        <f t="shared" si="15"/>
        <v>194.430182</v>
      </c>
      <c r="G237" s="15">
        <f>(N237*18-H237*18)/9</f>
        <v>19.950000000000003</v>
      </c>
      <c r="H237" s="6">
        <f>5/2*3.8</f>
        <v>9.5</v>
      </c>
      <c r="I237" s="15">
        <f>AD237</f>
        <v>14.65</v>
      </c>
      <c r="K237" s="10">
        <f t="shared" si="16"/>
        <v>9.7458737844611516</v>
      </c>
      <c r="L237" s="9">
        <f t="shared" si="17"/>
        <v>6.6358423890784985</v>
      </c>
      <c r="M237" s="8">
        <f t="shared" si="18"/>
        <v>1.4686716791979948</v>
      </c>
      <c r="N237" s="7">
        <f>5/2*7.79</f>
        <v>19.475000000000001</v>
      </c>
      <c r="O237">
        <v>66.881</v>
      </c>
      <c r="P237">
        <v>17.076000000000001</v>
      </c>
      <c r="Q237" s="6">
        <f>O237*1.067</f>
        <v>71.362026999999998</v>
      </c>
      <c r="R237" s="6">
        <f>P237*1.514</f>
        <v>25.853064</v>
      </c>
      <c r="S237" s="23">
        <f>P237*1.514+O237*1.067</f>
        <v>97.215091000000001</v>
      </c>
      <c r="T237" s="6">
        <f>5/2*8.95</f>
        <v>22.375</v>
      </c>
      <c r="U237">
        <f>3.316*1.067</f>
        <v>3.5381719999999999</v>
      </c>
      <c r="V237">
        <v>3.3519999999999999</v>
      </c>
      <c r="W237" s="23">
        <f>U237*1.067+V237*1.514</f>
        <v>8.8501575240000001</v>
      </c>
      <c r="X237" s="6">
        <v>7.27</v>
      </c>
      <c r="AB237" s="5">
        <v>80</v>
      </c>
      <c r="AC237" s="7">
        <f>T237</f>
        <v>22.375</v>
      </c>
      <c r="AD237" s="6">
        <f>5*2.93</f>
        <v>14.65</v>
      </c>
      <c r="AE237" s="6">
        <f>5/2*7.36</f>
        <v>18.400000000000002</v>
      </c>
      <c r="AF237" s="6">
        <v>3.09</v>
      </c>
      <c r="AG237">
        <v>0.04</v>
      </c>
      <c r="AH237" s="119">
        <v>0.52083333333333337</v>
      </c>
      <c r="AJ237" s="1">
        <v>180</v>
      </c>
      <c r="AK237" s="3">
        <v>180</v>
      </c>
      <c r="AL237" s="4">
        <f>AE237</f>
        <v>18.400000000000002</v>
      </c>
      <c r="AM237" s="6">
        <f>5/2*6.76</f>
        <v>16.899999999999999</v>
      </c>
      <c r="AN237" s="80">
        <f>360-AK237-AB237</f>
        <v>100</v>
      </c>
      <c r="AP237" s="13">
        <f>AVERAGE(AO235:AO241)</f>
        <v>1720.0000000000273</v>
      </c>
      <c r="AQ237" s="15" t="str">
        <f>IF(ISNUMBER([2]HRT_SRT!R291),[2]HRT_SRT!R291,"")</f>
        <v/>
      </c>
      <c r="AR237" s="17">
        <f>(E237-W237)/E237</f>
        <v>0.95448156539811291</v>
      </c>
      <c r="AS237" s="16">
        <f>(I237-AF237)/I237</f>
        <v>0.7890784982935154</v>
      </c>
      <c r="AT237" s="16">
        <f>AG237/(AD237-AF237)</f>
        <v>3.4602076124567475E-3</v>
      </c>
      <c r="AU237" s="16">
        <f>(G237-AM237)/G237</f>
        <v>0.15288220551378465</v>
      </c>
      <c r="AV237" s="57">
        <f>IF(AND(ISNUMBER(E237),ISNUMBER(W237)),E237-W237,"")</f>
        <v>185.58002447600001</v>
      </c>
      <c r="AW237" s="57">
        <f>IF(AND(ISNUMBER(I237),ISNUMBER(AF237)),I237-AF237,"")</f>
        <v>11.56</v>
      </c>
      <c r="AX237" s="57">
        <f>IF(AND(ISNUMBER(AM237),ISNUMBER(G237)),G237-AM237,"")</f>
        <v>3.0500000000000043</v>
      </c>
      <c r="AY237" s="57">
        <f>IF(AND(ISNUMBER(AC237),ISNUMBER(AE237)),AC237-AE237,"")</f>
        <v>3.9749999999999979</v>
      </c>
      <c r="AZ237" s="57">
        <f>IF(AND(ISNUMBER(AL237),ISNUMBER(AM237)),AL237-AM237,"")</f>
        <v>1.5000000000000036</v>
      </c>
      <c r="BA237" s="84">
        <f>IF(AND($E237&gt;0,$W237&gt;0),IF(($E237-$W237)/$E237&gt;0,($E237-$W237)/$E237,0),"")</f>
        <v>0.95448156539811291</v>
      </c>
      <c r="BB237" s="84">
        <f>IF(AND($I237&gt;0,$AF237&gt;=0),IF(($I237-$AF237)/$I237&gt;0,($I237-$AF237)/$I237,0),"")</f>
        <v>0.7890784982935154</v>
      </c>
      <c r="BC237" s="84">
        <f>IF(AND($AG237&gt;=0,$AD237&gt;=0,$AF237&gt;=0),IF($AG237/($AD237-$AF237)&gt;0,$AG237/($AD237-$AF237),0),"")</f>
        <v>3.4602076124567475E-3</v>
      </c>
      <c r="BD237" s="84">
        <f>IF(AND($G237&gt;0,$AM237&gt;0),IF(($G237-$AM237)/$G237&gt;0,($G237-$AM237)/$G237,0),"")</f>
        <v>0.15288220551378465</v>
      </c>
      <c r="BE237" s="6">
        <f>IF((AD237-AF237)/(AJ237/60)&lt;=0,"",(AD237-AF237)/(AJ237/60))</f>
        <v>3.8533333333333335</v>
      </c>
      <c r="BF237" s="6">
        <f>IF(OR(AJ237=0,AP237=0,NOT(ISNUMBER(AD237)),NOT(ISNUMBER(AF237)),NOT(ISNUMBER(AJ237)),NOT(ISNUMBER(AP237))),"",
IFERROR(IF((AD237-AF237)/(AJ237/60)/(AP237/1000)&lt;=0,"",(AD237-AF237)/(AJ237/60)/(AP237/1000)),""))</f>
        <v>2.2403100775193443</v>
      </c>
    </row>
    <row r="238" spans="1:58" ht="15.75">
      <c r="B238" s="11">
        <v>45498</v>
      </c>
      <c r="D238" s="3">
        <v>233</v>
      </c>
      <c r="E238" s="205">
        <f t="shared" si="15"/>
        <v>234.61115999999998</v>
      </c>
      <c r="G238" s="15">
        <f>(N238*18-H238*18)/9</f>
        <v>21.749999999999996</v>
      </c>
      <c r="H238" s="6">
        <f>5/2*3.58</f>
        <v>8.9499999999999993</v>
      </c>
      <c r="I238" s="15">
        <f>AD238</f>
        <v>15.25</v>
      </c>
      <c r="K238" s="10">
        <f t="shared" si="16"/>
        <v>10.786720000000001</v>
      </c>
      <c r="L238" s="9">
        <f t="shared" si="17"/>
        <v>7.692169180327868</v>
      </c>
      <c r="M238" s="8">
        <f t="shared" si="18"/>
        <v>1.4022988505747129</v>
      </c>
      <c r="N238" s="7">
        <f>5/2*7.93</f>
        <v>19.824999999999999</v>
      </c>
      <c r="O238">
        <v>83.81</v>
      </c>
      <c r="P238">
        <v>18.414999999999999</v>
      </c>
      <c r="Q238" s="6">
        <f>O238*1.067</f>
        <v>89.425269999999998</v>
      </c>
      <c r="R238" s="6">
        <f>P238*1.514</f>
        <v>27.880309999999998</v>
      </c>
      <c r="S238" s="23">
        <f>P238*1.514+O238*1.067</f>
        <v>117.30557999999999</v>
      </c>
      <c r="T238" s="6">
        <f>5/2*9.2</f>
        <v>23</v>
      </c>
      <c r="U238">
        <f>0.257*1.067</f>
        <v>0.27421899999999999</v>
      </c>
      <c r="V238">
        <v>0.29599999999999999</v>
      </c>
      <c r="W238" s="23">
        <f>U238*1.067+V238*1.514</f>
        <v>0.74073567299999998</v>
      </c>
      <c r="AB238" s="5">
        <v>80</v>
      </c>
      <c r="AC238" s="7">
        <f>T238</f>
        <v>23</v>
      </c>
      <c r="AD238" s="6">
        <f>5*3.05</f>
        <v>15.25</v>
      </c>
      <c r="AE238" s="6">
        <f>5/2*7.95</f>
        <v>19.875</v>
      </c>
      <c r="AF238" s="6">
        <v>6.56</v>
      </c>
      <c r="AG238">
        <v>0.02</v>
      </c>
      <c r="AH238" s="119">
        <v>0.52083333333333337</v>
      </c>
      <c r="AJ238" s="1">
        <v>180</v>
      </c>
      <c r="AK238" s="3">
        <v>180</v>
      </c>
      <c r="AL238" s="4">
        <f>AE238</f>
        <v>19.875</v>
      </c>
      <c r="AM238" s="6">
        <f>5/2*7.67</f>
        <v>19.175000000000001</v>
      </c>
      <c r="AN238" s="80">
        <f>360-AK238-AB238</f>
        <v>100</v>
      </c>
      <c r="AP238" s="13">
        <f>AVERAGE(AO236:AO242)</f>
        <v>1720.0000000000273</v>
      </c>
      <c r="AQ238" s="15" t="str">
        <f>IF(ISNUMBER([2]HRT_SRT!R292),[2]HRT_SRT!R292,"")</f>
        <v/>
      </c>
      <c r="AR238" s="17">
        <f>(E238-W238)/E238</f>
        <v>0.99684270913199535</v>
      </c>
      <c r="AS238" s="16">
        <f>(I238-AF238)/I238</f>
        <v>0.56983606557377053</v>
      </c>
      <c r="AT238" s="16">
        <f>AG238/(AD238-AF238)</f>
        <v>2.3014959723820479E-3</v>
      </c>
      <c r="AU238" s="16">
        <f>(G238-AM238)/G238</f>
        <v>0.11839080459770097</v>
      </c>
      <c r="AV238" s="57">
        <f>IF(AND(ISNUMBER(E238),ISNUMBER(W238)),E238-W238,"")</f>
        <v>233.87042432699999</v>
      </c>
      <c r="AW238" s="57">
        <f>IF(AND(ISNUMBER(I238),ISNUMBER(AF238)),I238-AF238,"")</f>
        <v>8.6900000000000013</v>
      </c>
      <c r="AX238" s="57">
        <f>IF(AND(ISNUMBER(AM238),ISNUMBER(G238)),G238-AM238,"")</f>
        <v>2.5749999999999957</v>
      </c>
      <c r="AY238" s="57">
        <f>IF(AND(ISNUMBER(AC238),ISNUMBER(AE238)),AC238-AE238,"")</f>
        <v>3.125</v>
      </c>
      <c r="AZ238" s="57">
        <f>IF(AND(ISNUMBER(AL238),ISNUMBER(AM238)),AL238-AM238,"")</f>
        <v>0.69999999999999929</v>
      </c>
      <c r="BA238" s="84">
        <f>IF(AND($E238&gt;0,$W238&gt;0),IF(($E238-$W238)/$E238&gt;0,($E238-$W238)/$E238,0),"")</f>
        <v>0.99684270913199535</v>
      </c>
      <c r="BB238" s="84">
        <f>IF(AND($I238&gt;0,$AF238&gt;=0),IF(($I238-$AF238)/$I238&gt;0,($I238-$AF238)/$I238,0),"")</f>
        <v>0.56983606557377053</v>
      </c>
      <c r="BC238" s="84">
        <f>IF(AND($AG238&gt;=0,$AD238&gt;=0,$AF238&gt;=0),IF($AG238/($AD238-$AF238)&gt;0,$AG238/($AD238-$AF238),0),"")</f>
        <v>2.3014959723820479E-3</v>
      </c>
      <c r="BD238" s="84">
        <f>IF(AND($G238&gt;0,$AM238&gt;0),IF(($G238-$AM238)/$G238&gt;0,($G238-$AM238)/$G238,0),"")</f>
        <v>0.11839080459770097</v>
      </c>
      <c r="BE238" s="6">
        <f>IF((AD238-AF238)/(AJ238/60)&lt;=0,"",(AD238-AF238)/(AJ238/60))</f>
        <v>2.8966666666666669</v>
      </c>
      <c r="BF238" s="6">
        <f>IF(OR(AJ238=0,AP238=0,NOT(ISNUMBER(AD238)),NOT(ISNUMBER(AF238)),NOT(ISNUMBER(AJ238)),NOT(ISNUMBER(AP238))),"",
IFERROR(IF((AD238-AF238)/(AJ238/60)/(AP238/1000)&lt;=0,"",(AD238-AF238)/(AJ238/60)/(AP238/1000)),""))</f>
        <v>1.6841085271317564</v>
      </c>
    </row>
    <row r="239" spans="1:58" ht="15.75">
      <c r="B239" s="11">
        <v>45499</v>
      </c>
      <c r="D239" s="3">
        <v>234</v>
      </c>
      <c r="E239" s="205">
        <f t="shared" si="15"/>
        <v>200.10993200000001</v>
      </c>
      <c r="G239" s="9">
        <f>(N239*18-H239*18)/9</f>
        <v>10.600000000000001</v>
      </c>
      <c r="H239" s="6">
        <f>5/2*3.86</f>
        <v>9.65</v>
      </c>
      <c r="I239" s="15">
        <f>AD239</f>
        <v>15</v>
      </c>
      <c r="K239" s="10">
        <f t="shared" si="16"/>
        <v>18.878295471698113</v>
      </c>
      <c r="L239" s="9">
        <f t="shared" si="17"/>
        <v>6.6703310666666669</v>
      </c>
      <c r="M239" s="8">
        <f t="shared" si="18"/>
        <v>2.8301886792452828</v>
      </c>
      <c r="N239" s="7">
        <f>5/2*5.98</f>
        <v>14.950000000000001</v>
      </c>
      <c r="O239">
        <v>72.903999999999996</v>
      </c>
      <c r="P239">
        <v>14.707000000000001</v>
      </c>
      <c r="Q239" s="6">
        <f>O239*1.067</f>
        <v>77.788567999999998</v>
      </c>
      <c r="R239" s="6">
        <f>P239*1.514</f>
        <v>22.266398000000002</v>
      </c>
      <c r="S239" s="23">
        <f>P239*1.514+O239*1.067</f>
        <v>100.05496600000001</v>
      </c>
      <c r="T239" s="6">
        <f>5/2*9.13</f>
        <v>22.825000000000003</v>
      </c>
      <c r="U239">
        <f>0.16*1.067</f>
        <v>0.17071999999999998</v>
      </c>
      <c r="V239" s="6">
        <v>0</v>
      </c>
      <c r="W239" s="23">
        <f>U239*1.067+V239*1.514</f>
        <v>0.18215823999999997</v>
      </c>
      <c r="AB239" s="5">
        <v>80</v>
      </c>
      <c r="AC239" s="7">
        <f>T239</f>
        <v>22.825000000000003</v>
      </c>
      <c r="AD239" s="6">
        <f>4*3.75</f>
        <v>15</v>
      </c>
      <c r="AE239" s="6">
        <f>5/2*7.67</f>
        <v>19.175000000000001</v>
      </c>
      <c r="AF239" s="6">
        <v>0</v>
      </c>
      <c r="AG239" s="1">
        <v>0</v>
      </c>
      <c r="AH239" s="119">
        <v>0.52083333333333337</v>
      </c>
      <c r="AJ239" s="93">
        <v>97</v>
      </c>
      <c r="AK239" s="3">
        <v>180</v>
      </c>
      <c r="AL239" s="4">
        <f>AE239</f>
        <v>19.175000000000001</v>
      </c>
      <c r="AM239" s="6">
        <f>5/2*7.15</f>
        <v>17.875</v>
      </c>
      <c r="AN239" s="80">
        <f>360-AK239-AB239</f>
        <v>100</v>
      </c>
      <c r="AP239" s="13">
        <f>AVERAGE(AO237:AO243)</f>
        <v>2060.0000000000364</v>
      </c>
      <c r="AQ239" s="15" t="str">
        <f>IF(ISNUMBER([2]HRT_SRT!R293),[2]HRT_SRT!R293,"")</f>
        <v/>
      </c>
      <c r="AR239" s="17">
        <f>(E239-W239)/E239</f>
        <v>0.99908970915046835</v>
      </c>
      <c r="AS239" s="16">
        <f>(I239-AF239)/I239</f>
        <v>1</v>
      </c>
      <c r="AT239" s="16">
        <f>AG239/(AD239-AF239)</f>
        <v>0</v>
      </c>
      <c r="AU239" s="16">
        <f>(G239-AM239)/G239</f>
        <v>-0.68632075471698095</v>
      </c>
      <c r="AV239" s="57">
        <f>IF(AND(ISNUMBER(E239),ISNUMBER(W239)),E239-W239,"")</f>
        <v>199.92777376000001</v>
      </c>
      <c r="AW239" s="57">
        <f>IF(AND(ISNUMBER(I239),ISNUMBER(AF239)),I239-AF239,"")</f>
        <v>15</v>
      </c>
      <c r="AX239" s="57">
        <f>IF(AND(ISNUMBER(AM239),ISNUMBER(G239)),G239-AM239,"")</f>
        <v>-7.2749999999999986</v>
      </c>
      <c r="AY239" s="57">
        <f>IF(AND(ISNUMBER(AC239),ISNUMBER(AE239)),AC239-AE239,"")</f>
        <v>3.6500000000000021</v>
      </c>
      <c r="AZ239" s="57">
        <f>IF(AND(ISNUMBER(AL239),ISNUMBER(AM239)),AL239-AM239,"")</f>
        <v>1.3000000000000007</v>
      </c>
      <c r="BA239" s="84">
        <f>IF(AND($E239&gt;0,$W239&gt;0),IF(($E239-$W239)/$E239&gt;0,($E239-$W239)/$E239,0),"")</f>
        <v>0.99908970915046835</v>
      </c>
      <c r="BB239" s="84">
        <f>IF(AND($I239&gt;0,$AF239&gt;=0),IF(($I239-$AF239)/$I239&gt;0,($I239-$AF239)/$I239,0),"")</f>
        <v>1</v>
      </c>
      <c r="BC239" s="84">
        <f>IF(AND($AG239&gt;=0,$AD239&gt;=0,$AF239&gt;=0),IF($AG239/($AD239-$AF239)&gt;0,$AG239/($AD239-$AF239),0),"")</f>
        <v>0</v>
      </c>
      <c r="BD239" s="84">
        <f>IF(AND($G239&gt;0,$AM239&gt;0),IF(($G239-$AM239)/$G239&gt;0,($G239-$AM239)/$G239,0),"")</f>
        <v>0</v>
      </c>
      <c r="BE239" s="6">
        <f>IF((AD239-AF239)/(AJ239/60)&lt;=0,"",(AD239-AF239)/(AJ239/60))</f>
        <v>9.2783505154639165</v>
      </c>
      <c r="BF239" s="6">
        <f>IF(OR(AJ239=0,AP239=0,NOT(ISNUMBER(AD239)),NOT(ISNUMBER(AF239)),NOT(ISNUMBER(AJ239)),NOT(ISNUMBER(AP239))),"",
IFERROR(IF((AD239-AF239)/(AJ239/60)/(AP239/1000)&lt;=0,"",(AD239-AF239)/(AJ239/60)/(AP239/1000)),""))</f>
        <v>4.5040536482833753</v>
      </c>
    </row>
    <row r="240" spans="1:58" ht="15.75">
      <c r="B240" s="11">
        <v>45500</v>
      </c>
      <c r="D240" s="3">
        <v>235</v>
      </c>
      <c r="E240" s="205" t="str">
        <f t="shared" si="15"/>
        <v/>
      </c>
      <c r="I240" s="15">
        <f>AD240</f>
        <v>0</v>
      </c>
      <c r="K240" s="10" t="str">
        <f t="shared" si="16"/>
        <v/>
      </c>
      <c r="L240" s="9" t="str">
        <f t="shared" si="17"/>
        <v/>
      </c>
      <c r="M240" s="8" t="str">
        <f t="shared" si="18"/>
        <v/>
      </c>
      <c r="AB240" s="5">
        <v>80</v>
      </c>
      <c r="AD240" s="6"/>
      <c r="AF240" s="6"/>
      <c r="AG240" s="1">
        <v>0</v>
      </c>
      <c r="AH240" s="119">
        <v>0.52083333333333337</v>
      </c>
      <c r="AJ240" s="93">
        <v>97</v>
      </c>
      <c r="AK240" s="3">
        <v>180</v>
      </c>
      <c r="AN240" s="80">
        <f>360-AK240-AB240</f>
        <v>100</v>
      </c>
      <c r="AP240" s="13">
        <f>AVERAGE(AO238:AO244)</f>
        <v>2060.0000000000364</v>
      </c>
      <c r="AQ240" s="15" t="str">
        <f>IF(ISNUMBER([2]HRT_SRT!R294),[2]HRT_SRT!R294,"")</f>
        <v/>
      </c>
      <c r="AR240" s="17" t="e">
        <f>(E240-W240)/E240</f>
        <v>#VALUE!</v>
      </c>
      <c r="AS240" s="16" t="e">
        <f>(I240-AF240)/I240</f>
        <v>#DIV/0!</v>
      </c>
      <c r="AT240" s="16" t="e">
        <f>AG240/(AD240-AF240)</f>
        <v>#DIV/0!</v>
      </c>
      <c r="AU240" s="16" t="e">
        <f>(G240-AM240)/G240</f>
        <v>#DIV/0!</v>
      </c>
      <c r="AV240" s="57" t="str">
        <f>IF(AND(ISNUMBER(E240),ISNUMBER(W240)),E240-W240,"")</f>
        <v/>
      </c>
      <c r="AW240" s="57" t="str">
        <f>IF(AND(ISNUMBER(I240),ISNUMBER(AF240)),I240-AF240,"")</f>
        <v/>
      </c>
      <c r="AX240" s="57" t="str">
        <f>IF(AND(ISNUMBER(AM240),ISNUMBER(G240)),G240-AM240,"")</f>
        <v/>
      </c>
      <c r="AY240" s="57" t="str">
        <f>IF(AND(ISNUMBER(AC240),ISNUMBER(AE240)),AC240-AE240,"")</f>
        <v/>
      </c>
      <c r="AZ240" s="57" t="str">
        <f>IF(AND(ISNUMBER(AL240),ISNUMBER(AM240)),AL240-AM240,"")</f>
        <v/>
      </c>
      <c r="BA240" s="84" t="str">
        <f>IF(AND($E240&gt;0,$W240&gt;0),IF(($E240-$W240)/$E240&gt;0,($E240-$W240)/$E240,0),"")</f>
        <v/>
      </c>
      <c r="BB240" s="84" t="str">
        <f>IF(AND($I240&gt;0,$AF240&gt;=0),IF(($I240-$AF240)/$I240&gt;0,($I240-$AF240)/$I240,0),"")</f>
        <v/>
      </c>
      <c r="BC240" s="84" t="e">
        <f>IF(AND($AG240&gt;=0,$AD240&gt;=0,$AF240&gt;=0),IF($AG240/($AD240-$AF240)&gt;0,$AG240/($AD240-$AF240),0),"")</f>
        <v>#DIV/0!</v>
      </c>
      <c r="BD240" s="84" t="str">
        <f>IF(AND($G240&gt;0,$AM240&gt;0),IF(($G240-$AM240)/$G240&gt;0,($G240-$AM240)/$G240,0),"")</f>
        <v/>
      </c>
      <c r="BE240" s="6" t="str">
        <f>IF((AD240-AF240)/(AJ240/60)&lt;=0,"",(AD240-AF240)/(AJ240/60))</f>
        <v/>
      </c>
      <c r="BF240" s="6" t="str">
        <f>IF(OR(AJ240=0,AP240=0,NOT(ISNUMBER(AD240)),NOT(ISNUMBER(AF240)),NOT(ISNUMBER(AJ240)),NOT(ISNUMBER(AP240))),"",
IFERROR(IF((AD240-AF240)/(AJ240/60)/(AP240/1000)&lt;=0,"",(AD240-AF240)/(AJ240/60)/(AP240/1000)),""))</f>
        <v/>
      </c>
    </row>
    <row r="241" spans="1:58" ht="15.75">
      <c r="B241" s="11">
        <v>45501</v>
      </c>
      <c r="D241" s="3">
        <v>236</v>
      </c>
      <c r="E241" s="205" t="str">
        <f t="shared" si="15"/>
        <v/>
      </c>
      <c r="I241" s="15">
        <f>AD241</f>
        <v>0</v>
      </c>
      <c r="K241" s="10" t="str">
        <f t="shared" si="16"/>
        <v/>
      </c>
      <c r="L241" s="9" t="str">
        <f t="shared" si="17"/>
        <v/>
      </c>
      <c r="M241" s="8" t="str">
        <f t="shared" si="18"/>
        <v/>
      </c>
      <c r="AB241" s="5">
        <v>80</v>
      </c>
      <c r="AG241">
        <v>0.35</v>
      </c>
      <c r="AH241" s="119">
        <v>0.48298611111111112</v>
      </c>
      <c r="AJ241" s="93">
        <v>97</v>
      </c>
      <c r="AK241" s="3">
        <v>180</v>
      </c>
      <c r="AN241" s="80">
        <f>360-AK241-AB241</f>
        <v>100</v>
      </c>
      <c r="AP241" s="13">
        <f>AVERAGE(AO239:AO245)</f>
        <v>2060.0000000000364</v>
      </c>
      <c r="AQ241" s="15"/>
      <c r="AR241" s="17" t="e">
        <f>(E241-W241)/E241</f>
        <v>#VALUE!</v>
      </c>
      <c r="AS241" s="16" t="e">
        <f>(I241-AF241)/I241</f>
        <v>#DIV/0!</v>
      </c>
      <c r="AT241" s="16" t="e">
        <f>AG241/(AD241-AF241)</f>
        <v>#DIV/0!</v>
      </c>
      <c r="AU241" s="16" t="e">
        <f>(G241-AM241)/G241</f>
        <v>#DIV/0!</v>
      </c>
      <c r="AV241" s="57" t="str">
        <f>IF(AND(ISNUMBER(E241),ISNUMBER(W241)),E241-W241,"")</f>
        <v/>
      </c>
      <c r="AW241" s="57" t="str">
        <f>IF(AND(ISNUMBER(I241),ISNUMBER(AF241)),I241-AF241,"")</f>
        <v/>
      </c>
      <c r="AX241" s="57" t="str">
        <f>IF(AND(ISNUMBER(AM241),ISNUMBER(G241)),G241-AM241,"")</f>
        <v/>
      </c>
      <c r="AY241" s="57" t="str">
        <f>IF(AND(ISNUMBER(AC241),ISNUMBER(AE241)),AC241-AE241,"")</f>
        <v/>
      </c>
      <c r="AZ241" s="57" t="str">
        <f>IF(AND(ISNUMBER(AL241),ISNUMBER(AM241)),AL241-AM241,"")</f>
        <v/>
      </c>
      <c r="BA241" s="84" t="str">
        <f>IF(AND($E241&gt;0,$W241&gt;0),IF(($E241-$W241)/$E241&gt;0,($E241-$W241)/$E241,0),"")</f>
        <v/>
      </c>
      <c r="BB241" s="84" t="str">
        <f>IF(AND($I241&gt;0,$AF241&gt;=0),IF(($I241-$AF241)/$I241&gt;0,($I241-$AF241)/$I241,0),"")</f>
        <v/>
      </c>
      <c r="BC241" s="84" t="e">
        <f>IF(AND($AG241&gt;=0,$AD241&gt;=0,$AF241&gt;=0),IF($AG241/($AD241-$AF241)&gt;0,$AG241/($AD241-$AF241),0),"")</f>
        <v>#DIV/0!</v>
      </c>
      <c r="BD241" s="84" t="str">
        <f>IF(AND($G241&gt;0,$AM241&gt;0),IF(($G241-$AM241)/$G241&gt;0,($G241-$AM241)/$G241,0),"")</f>
        <v/>
      </c>
      <c r="BE241" s="6" t="str">
        <f>IF((AD241-AF241)/(AJ241/60)&lt;=0,"",(AD241-AF241)/(AJ241/60))</f>
        <v/>
      </c>
      <c r="BF241" s="6" t="str">
        <f>IF(OR(AJ241=0,AP241=0,NOT(ISNUMBER(AD241)),NOT(ISNUMBER(AF241)),NOT(ISNUMBER(AJ241)),NOT(ISNUMBER(AP241))),"",
IFERROR(IF((AD241-AF241)/(AJ241/60)/(AP241/1000)&lt;=0,"",(AD241-AF241)/(AJ241/60)/(AP241/1000)),""))</f>
        <v/>
      </c>
    </row>
    <row r="242" spans="1:58" ht="15.75">
      <c r="A242" s="12" t="s">
        <v>120</v>
      </c>
      <c r="B242" s="11">
        <v>45502</v>
      </c>
      <c r="D242" s="3">
        <v>237</v>
      </c>
      <c r="E242" s="205">
        <f t="shared" si="15"/>
        <v>169.29057599999999</v>
      </c>
      <c r="G242" s="15">
        <f>(N242*18-H242*18)/9</f>
        <v>15.800000000000002</v>
      </c>
      <c r="H242" s="9">
        <f>2*6.55</f>
        <v>13.1</v>
      </c>
      <c r="I242" s="15">
        <f>AD242</f>
        <v>13.55</v>
      </c>
      <c r="K242" s="10">
        <f t="shared" si="16"/>
        <v>10.714593417721517</v>
      </c>
      <c r="L242" s="9">
        <f t="shared" si="17"/>
        <v>6.2468847232472315</v>
      </c>
      <c r="M242" s="8">
        <f t="shared" si="18"/>
        <v>1.7151898734177213</v>
      </c>
      <c r="N242" s="7">
        <f>2*10.5</f>
        <v>21</v>
      </c>
      <c r="O242">
        <v>60.64</v>
      </c>
      <c r="P242">
        <v>13.172000000000001</v>
      </c>
      <c r="Q242" s="6">
        <f>O242*1.067</f>
        <v>64.702879999999993</v>
      </c>
      <c r="R242" s="6">
        <f>P242*1.514</f>
        <v>19.942408</v>
      </c>
      <c r="S242" s="23">
        <f>P242*1.514+O242*1.067</f>
        <v>84.645287999999994</v>
      </c>
      <c r="T242" s="6">
        <f>2*11.8</f>
        <v>23.6</v>
      </c>
      <c r="U242">
        <f>0.741*1.067</f>
        <v>0.79064699999999999</v>
      </c>
      <c r="V242">
        <v>0.57299999999999995</v>
      </c>
      <c r="W242" s="23">
        <f>U242*1.067+V242*1.514</f>
        <v>1.7111423489999997</v>
      </c>
      <c r="X242" s="6">
        <v>4.0599999999999996</v>
      </c>
      <c r="AB242" s="5">
        <v>80</v>
      </c>
      <c r="AC242" s="7">
        <f>T242</f>
        <v>23.6</v>
      </c>
      <c r="AD242" s="1">
        <f>5*2.71</f>
        <v>13.55</v>
      </c>
      <c r="AE242" s="1">
        <f>2*12.6</f>
        <v>25.2</v>
      </c>
      <c r="AF242" s="1">
        <v>0</v>
      </c>
      <c r="AG242" s="1">
        <v>0</v>
      </c>
      <c r="AH242" s="119">
        <v>0.89583333333333337</v>
      </c>
      <c r="AJ242" s="93">
        <v>97</v>
      </c>
      <c r="AK242" s="3">
        <v>180</v>
      </c>
      <c r="AL242" s="4">
        <f>AE242</f>
        <v>25.2</v>
      </c>
      <c r="AM242" s="1">
        <f>2*11.4</f>
        <v>22.8</v>
      </c>
      <c r="AN242" s="80">
        <f>360-AK242-AB242</f>
        <v>100</v>
      </c>
      <c r="AP242" s="13">
        <f>AVERAGE(AO240:AO246)</f>
        <v>2060.0000000000364</v>
      </c>
      <c r="AQ242" s="15"/>
      <c r="AR242" s="17">
        <f>(E242-W242)/E242</f>
        <v>0.98989227640763655</v>
      </c>
      <c r="AS242" s="16">
        <f>(I242-AF242)/I242</f>
        <v>1</v>
      </c>
      <c r="AT242" s="16">
        <f>AG242/(AD242-AF242)</f>
        <v>0</v>
      </c>
      <c r="AU242" s="16">
        <f>(G242-AM242)/G242</f>
        <v>-0.44303797468354411</v>
      </c>
      <c r="AV242" s="57">
        <f>IF(AND(ISNUMBER(E242),ISNUMBER(W242)),E242-W242,"")</f>
        <v>167.57943365099999</v>
      </c>
      <c r="AW242" s="57">
        <f>IF(AND(ISNUMBER(I242),ISNUMBER(AF242)),I242-AF242,"")</f>
        <v>13.55</v>
      </c>
      <c r="AX242" s="57">
        <f>IF(AND(ISNUMBER(AM242),ISNUMBER(G242)),G242-AM242,"")</f>
        <v>-6.9999999999999982</v>
      </c>
      <c r="AY242" s="57">
        <f>IF(AND(ISNUMBER(AC242),ISNUMBER(AE242)),AC242-AE242,"")</f>
        <v>-1.5999999999999979</v>
      </c>
      <c r="AZ242" s="57">
        <f>IF(AND(ISNUMBER(AL242),ISNUMBER(AM242)),AL242-AM242,"")</f>
        <v>2.3999999999999986</v>
      </c>
      <c r="BA242" s="84">
        <f>IF(AND($E242&gt;0,$W242&gt;0),IF(($E242-$W242)/$E242&gt;0,($E242-$W242)/$E242,0),"")</f>
        <v>0.98989227640763655</v>
      </c>
      <c r="BB242" s="84">
        <f>IF(AND($I242&gt;0,$AF242&gt;=0),IF(($I242-$AF242)/$I242&gt;0,($I242-$AF242)/$I242,0),"")</f>
        <v>1</v>
      </c>
      <c r="BC242" s="84">
        <f>IF(AND($AG242&gt;=0,$AD242&gt;=0,$AF242&gt;=0),IF($AG242/($AD242-$AF242)&gt;0,$AG242/($AD242-$AF242),0),"")</f>
        <v>0</v>
      </c>
      <c r="BD242" s="84">
        <f>IF(AND($G242&gt;0,$AM242&gt;0),IF(($G242-$AM242)/$G242&gt;0,($G242-$AM242)/$G242,0),"")</f>
        <v>0</v>
      </c>
      <c r="BE242" s="6">
        <f>IF((AD242-AF242)/(AJ242/60)&lt;=0,"",(AD242-AF242)/(AJ242/60))</f>
        <v>8.3814432989690726</v>
      </c>
      <c r="BF242" s="6">
        <f>IF(OR(AJ242=0,AP242=0,NOT(ISNUMBER(AD242)),NOT(ISNUMBER(AF242)),NOT(ISNUMBER(AJ242)),NOT(ISNUMBER(AP242))),"",
IFERROR(IF((AD242-AF242)/(AJ242/60)/(AP242/1000)&lt;=0,"",(AD242-AF242)/(AJ242/60)/(AP242/1000)),""))</f>
        <v>4.0686617956159825</v>
      </c>
    </row>
    <row r="243" spans="1:58" ht="15.75">
      <c r="B243" s="11">
        <v>45503</v>
      </c>
      <c r="D243" s="3">
        <v>238</v>
      </c>
      <c r="E243" s="205">
        <f t="shared" si="15"/>
        <v>149.547686</v>
      </c>
      <c r="G243" s="15">
        <f>(N243*18-H243*18)/9</f>
        <v>16.350000000000005</v>
      </c>
      <c r="H243" s="9">
        <f>5/2*3.65</f>
        <v>9.125</v>
      </c>
      <c r="I243" s="15">
        <f>AD243</f>
        <v>15.8</v>
      </c>
      <c r="K243" s="10">
        <f t="shared" si="16"/>
        <v>9.1466474617736981</v>
      </c>
      <c r="L243" s="9">
        <f t="shared" si="17"/>
        <v>4.7325217088607596</v>
      </c>
      <c r="M243" s="8">
        <f t="shared" si="18"/>
        <v>1.9327217125382259</v>
      </c>
      <c r="N243" s="7">
        <f>5/2*6.92</f>
        <v>17.3</v>
      </c>
      <c r="O243">
        <v>53.741</v>
      </c>
      <c r="P243">
        <v>11.513999999999999</v>
      </c>
      <c r="Q243" s="6">
        <f>O243*1.067</f>
        <v>57.341646999999995</v>
      </c>
      <c r="R243" s="6">
        <f>P243*1.514</f>
        <v>17.432195999999998</v>
      </c>
      <c r="S243" s="23">
        <f>P243*1.514+O243*1.067</f>
        <v>74.773842999999999</v>
      </c>
      <c r="T243" s="6">
        <f>5/2*7.7</f>
        <v>19.25</v>
      </c>
      <c r="U243">
        <v>0.81599999999999995</v>
      </c>
      <c r="V243">
        <v>0.57399999999999995</v>
      </c>
      <c r="W243" s="23">
        <f>U243*1.067+V243*1.514</f>
        <v>1.7397079999999998</v>
      </c>
      <c r="X243" s="6">
        <v>3.73</v>
      </c>
      <c r="AB243" s="5">
        <v>80</v>
      </c>
      <c r="AC243" s="7">
        <f>T243</f>
        <v>19.25</v>
      </c>
      <c r="AD243" s="1">
        <f>5*3.16</f>
        <v>15.8</v>
      </c>
      <c r="AE243" s="1">
        <f>5/2*7.75</f>
        <v>19.375</v>
      </c>
      <c r="AF243" s="1">
        <v>0</v>
      </c>
      <c r="AG243" s="1">
        <v>0</v>
      </c>
      <c r="AH243" s="119">
        <v>0.52083333333333337</v>
      </c>
      <c r="AJ243" s="93">
        <v>97</v>
      </c>
      <c r="AK243" s="3">
        <v>180</v>
      </c>
      <c r="AL243" s="4">
        <f>AE243</f>
        <v>19.375</v>
      </c>
      <c r="AM243" s="1">
        <f>5/2*6.58</f>
        <v>16.45</v>
      </c>
      <c r="AN243" s="80">
        <f>360-AK243-AB243</f>
        <v>100</v>
      </c>
      <c r="AO243" s="2">
        <v>2060.0000000000364</v>
      </c>
      <c r="AP243" s="13">
        <f>AVERAGE(AO241:AO247)</f>
        <v>2060.0000000000364</v>
      </c>
      <c r="AQ243" s="15">
        <v>13.804914370811934</v>
      </c>
      <c r="AR243" s="17">
        <f>(E243-W243)/E243</f>
        <v>0.988366867809643</v>
      </c>
      <c r="AS243" s="16">
        <f>(I243-AF243)/I243</f>
        <v>1</v>
      </c>
      <c r="AT243" s="16">
        <f>AG243/(AD243-AF243)</f>
        <v>0</v>
      </c>
      <c r="AU243" s="16">
        <f>(G243-AM243)/G243</f>
        <v>-6.1162079510699869E-3</v>
      </c>
      <c r="AV243" s="57">
        <f>IF(AND(ISNUMBER(E243),ISNUMBER(W243)),E243-W243,"")</f>
        <v>147.80797799999999</v>
      </c>
      <c r="AW243" s="57">
        <f>IF(AND(ISNUMBER(I243),ISNUMBER(AF243)),I243-AF243,"")</f>
        <v>15.8</v>
      </c>
      <c r="AX243" s="57">
        <f>IF(AND(ISNUMBER(AM243),ISNUMBER(G243)),G243-AM243,"")</f>
        <v>-9.9999999999994316E-2</v>
      </c>
      <c r="AY243" s="57">
        <f>IF(AND(ISNUMBER(AC243),ISNUMBER(AE243)),AC243-AE243,"")</f>
        <v>-0.125</v>
      </c>
      <c r="AZ243" s="57">
        <f>IF(AND(ISNUMBER(AL243),ISNUMBER(AM243)),AL243-AM243,"")</f>
        <v>2.9250000000000007</v>
      </c>
      <c r="BA243" s="84">
        <f>IF(AND($E243&gt;0,$W243&gt;0),IF(($E243-$W243)/$E243&gt;0,($E243-$W243)/$E243,0),"")</f>
        <v>0.988366867809643</v>
      </c>
      <c r="BB243" s="84">
        <f>IF(AND($I243&gt;0,$AF243&gt;=0),IF(($I243-$AF243)/$I243&gt;0,($I243-$AF243)/$I243,0),"")</f>
        <v>1</v>
      </c>
      <c r="BC243" s="84">
        <f>IF(AND($AG243&gt;=0,$AD243&gt;=0,$AF243&gt;=0),IF($AG243/($AD243-$AF243)&gt;0,$AG243/($AD243-$AF243),0),"")</f>
        <v>0</v>
      </c>
      <c r="BD243" s="84">
        <f>IF(AND($G243&gt;0,$AM243&gt;0),IF(($G243-$AM243)/$G243&gt;0,($G243-$AM243)/$G243,0),"")</f>
        <v>0</v>
      </c>
      <c r="BE243" s="6">
        <f>IF((AD243-AF243)/(AJ243/60)&lt;=0,"",(AD243-AF243)/(AJ243/60))</f>
        <v>9.7731958762886606</v>
      </c>
      <c r="BF243" s="6">
        <f>IF(OR(AJ243=0,AP243=0,NOT(ISNUMBER(AD243)),NOT(ISNUMBER(AF243)),NOT(ISNUMBER(AJ243)),NOT(ISNUMBER(AP243))),"",
IFERROR(IF((AD243-AF243)/(AJ243/60)/(AP243/1000)&lt;=0,"",(AD243-AF243)/(AJ243/60)/(AP243/1000)),""))</f>
        <v>4.7442698428584889</v>
      </c>
    </row>
    <row r="244" spans="1:58" s="27" customFormat="1" ht="15.75">
      <c r="A244" s="39" t="s">
        <v>124</v>
      </c>
      <c r="B244" s="38">
        <v>45504</v>
      </c>
      <c r="D244" s="29">
        <v>239</v>
      </c>
      <c r="E244" s="205">
        <f t="shared" si="15"/>
        <v>236.97861799999998</v>
      </c>
      <c r="F244" s="36"/>
      <c r="G244" s="77">
        <f>(N244*18-H244*18)/9</f>
        <v>14.08</v>
      </c>
      <c r="H244" s="36">
        <f>2*5.14</f>
        <v>10.28</v>
      </c>
      <c r="I244" s="15">
        <f>AD244</f>
        <v>15.049999999999999</v>
      </c>
      <c r="J244" s="35"/>
      <c r="K244" s="10">
        <f t="shared" si="16"/>
        <v>16.830867755681815</v>
      </c>
      <c r="L244" s="9">
        <f t="shared" si="17"/>
        <v>7.8730437873754155</v>
      </c>
      <c r="M244" s="8">
        <f t="shared" si="18"/>
        <v>2.1377840909090908</v>
      </c>
      <c r="N244" s="34">
        <f>2*8.66</f>
        <v>17.32</v>
      </c>
      <c r="O244" s="116">
        <v>84.094999999999999</v>
      </c>
      <c r="P244" s="116">
        <v>18.995999999999999</v>
      </c>
      <c r="Q244" s="33">
        <f>O244*1.067</f>
        <v>89.729365000000001</v>
      </c>
      <c r="R244" s="33">
        <f>P244*1.514</f>
        <v>28.759943999999997</v>
      </c>
      <c r="S244" s="75">
        <f>P244*1.514+O244*1.067</f>
        <v>118.48930899999999</v>
      </c>
      <c r="T244" s="33">
        <f>2*9.94</f>
        <v>19.88</v>
      </c>
      <c r="U244" s="116">
        <v>1.895</v>
      </c>
      <c r="V244" s="116">
        <v>1.734</v>
      </c>
      <c r="W244" s="33"/>
      <c r="X244" s="33">
        <v>4.7</v>
      </c>
      <c r="Y244" s="33"/>
      <c r="Z244" s="33"/>
      <c r="AA244" s="33"/>
      <c r="AB244" s="74">
        <v>80</v>
      </c>
      <c r="AC244" s="34">
        <f>T244</f>
        <v>19.88</v>
      </c>
      <c r="AD244" s="27">
        <f>5*3.01</f>
        <v>15.049999999999999</v>
      </c>
      <c r="AE244" s="27">
        <f>2*8.66</f>
        <v>17.32</v>
      </c>
      <c r="AF244" s="27">
        <v>0</v>
      </c>
      <c r="AG244" s="27">
        <v>0</v>
      </c>
      <c r="AH244" s="125">
        <v>0.52083333333333337</v>
      </c>
      <c r="AJ244">
        <v>97</v>
      </c>
      <c r="AK244" s="29">
        <v>180</v>
      </c>
      <c r="AL244" s="32">
        <f>AE244</f>
        <v>17.32</v>
      </c>
      <c r="AM244" s="27">
        <f>2*7.65</f>
        <v>15.3</v>
      </c>
      <c r="AN244" s="87">
        <f>360-AK244-AB244</f>
        <v>100</v>
      </c>
      <c r="AO244" s="28"/>
      <c r="AP244" s="13">
        <f>AVERAGE(AO242:AO248)</f>
        <v>2060.0000000000364</v>
      </c>
      <c r="AQ244" s="77"/>
      <c r="AR244" s="31">
        <f>(E244-W246)/E244</f>
        <v>0.98038961894865972</v>
      </c>
      <c r="AS244" s="30">
        <f>(I244-AF244)/I244</f>
        <v>1</v>
      </c>
      <c r="AT244" s="30">
        <f>AG244/(AD244-AF244)</f>
        <v>0</v>
      </c>
      <c r="AU244" s="30">
        <f>(G244-AM244)/G244</f>
        <v>-8.6647727272727321E-2</v>
      </c>
      <c r="AV244" s="73">
        <f>IF(AND(ISNUMBER(E244),ISNUMBER(W246)),E244-W246,"")</f>
        <v>232.33137699999997</v>
      </c>
      <c r="AW244" s="73">
        <f>IF(AND(ISNUMBER(I244),ISNUMBER(AF244)),I244-AF244,"")</f>
        <v>15.049999999999999</v>
      </c>
      <c r="AX244" s="73">
        <f>IF(AND(ISNUMBER(AM244),ISNUMBER(G244)),G244-AM244,"")</f>
        <v>-1.2200000000000006</v>
      </c>
      <c r="AY244" s="73">
        <f>IF(AND(ISNUMBER(AC244),ISNUMBER(AE244)),AC244-AE244,"")</f>
        <v>2.5599999999999987</v>
      </c>
      <c r="AZ244" s="73">
        <f>IF(AND(ISNUMBER(AL244),ISNUMBER(AM244)),AL244-AM244,"")</f>
        <v>2.0199999999999996</v>
      </c>
      <c r="BA244" s="115" t="str">
        <f>IF(AND($E244&gt;0,$W244&gt;0),IF(($E244-$W244)/$E244&gt;0,($E244-$W244)/$E244,0),"")</f>
        <v/>
      </c>
      <c r="BB244" s="115">
        <f>IF(AND($I244&gt;0,$AF244&gt;=0),IF(($I244-$AF244)/$I244&gt;0,($I244-$AF244)/$I244,0),"")</f>
        <v>1</v>
      </c>
      <c r="BC244" s="115">
        <f>IF(AND($AG244&gt;=0,$AD244&gt;=0,$AF244&gt;=0),IF($AG244/($AD244-$AF244)&gt;0,$AG244/($AD244-$AF244),0),"")</f>
        <v>0</v>
      </c>
      <c r="BD244" s="115">
        <f>IF(AND($G244&gt;0,$AM244&gt;0),IF(($G244-$AM244)/$G244&gt;0,($G244-$AM244)/$G244,0),"")</f>
        <v>0</v>
      </c>
      <c r="BE244" s="6">
        <f>IF((AD244-AF244)/(AJ244/60)&lt;=0,"",(AD244-AF244)/(AJ244/60))</f>
        <v>9.3092783505154628</v>
      </c>
      <c r="BF244" s="6">
        <f>IF(OR(AJ244=0,AP244=0,NOT(ISNUMBER(AD244)),NOT(ISNUMBER(AF244)),NOT(ISNUMBER(AJ244)),NOT(ISNUMBER(AP244))),"",
IFERROR(IF((AD244-AF244)/(AJ244/60)/(AP244/1000)&lt;=0,"",(AD244-AF244)/(AJ244/60)/(AP244/1000)),""))</f>
        <v>4.5190671604443198</v>
      </c>
    </row>
    <row r="245" spans="1:58" ht="15.75">
      <c r="A245" s="12" t="s">
        <v>123</v>
      </c>
      <c r="B245" s="11">
        <v>45505</v>
      </c>
      <c r="C245" s="1">
        <v>1</v>
      </c>
      <c r="D245" s="3">
        <v>240</v>
      </c>
      <c r="E245" s="205" t="str">
        <f t="shared" si="15"/>
        <v/>
      </c>
      <c r="I245" s="15">
        <f>AD245</f>
        <v>0</v>
      </c>
      <c r="K245" s="10" t="str">
        <f t="shared" si="16"/>
        <v/>
      </c>
      <c r="L245" s="9" t="str">
        <f t="shared" si="17"/>
        <v/>
      </c>
      <c r="M245" s="8" t="str">
        <f t="shared" si="18"/>
        <v/>
      </c>
      <c r="AB245" s="5">
        <v>80</v>
      </c>
      <c r="AG245" s="1">
        <v>0</v>
      </c>
      <c r="AH245" s="119">
        <v>0.52083333333333337</v>
      </c>
      <c r="AK245" s="3">
        <v>180</v>
      </c>
      <c r="AL245" s="4">
        <f>5/2*8.56</f>
        <v>21.400000000000002</v>
      </c>
      <c r="AM245" s="1">
        <f>5/2*7.72</f>
        <v>19.3</v>
      </c>
      <c r="AN245" s="80">
        <f>360-AK245-AB245</f>
        <v>100</v>
      </c>
      <c r="AP245" s="13">
        <f>AVERAGE(AO243:AO249)</f>
        <v>2060.0000000000364</v>
      </c>
      <c r="AQ245" s="15"/>
      <c r="AR245" s="17" t="e">
        <f>(E245-W245)/E245</f>
        <v>#VALUE!</v>
      </c>
      <c r="AS245" s="16" t="e">
        <f>(I245-AF245)/I245</f>
        <v>#DIV/0!</v>
      </c>
      <c r="AT245" s="16" t="e">
        <f>AG245/(AD245-AF245)</f>
        <v>#DIV/0!</v>
      </c>
      <c r="AU245" s="16" t="e">
        <f>(G245-AM245)/G245</f>
        <v>#DIV/0!</v>
      </c>
      <c r="AV245" s="57" t="str">
        <f>IF(AND(ISNUMBER(E245),ISNUMBER(W245)),E245-W245,"")</f>
        <v/>
      </c>
      <c r="AW245" s="57" t="str">
        <f>IF(AND(ISNUMBER(I245),ISNUMBER(AF245)),I245-AF245,"")</f>
        <v/>
      </c>
      <c r="AX245" s="57" t="str">
        <f>IF(AND(ISNUMBER(AM245),ISNUMBER(G245)),G245-AM245,"")</f>
        <v/>
      </c>
      <c r="AY245" s="57" t="str">
        <f>IF(AND(ISNUMBER(AC245),ISNUMBER(AE245)),AC245-AE245,"")</f>
        <v/>
      </c>
      <c r="AZ245" s="57">
        <f>IF(AND(ISNUMBER(AL245),ISNUMBER(AM245)),AL245-AM245,"")</f>
        <v>2.1000000000000014</v>
      </c>
      <c r="BA245" s="84" t="str">
        <f>IF(AND($E245&gt;0,$W245&gt;0),IF(($E245-$W245)/$E245&gt;0,($E245-$W245)/$E245,0),"")</f>
        <v/>
      </c>
      <c r="BB245" s="84" t="str">
        <f>IF(AND($I245&gt;0,$AF245&gt;=0),IF(($I245-$AF245)/$I245&gt;0,($I245-$AF245)/$I245,0),"")</f>
        <v/>
      </c>
      <c r="BC245" s="84" t="e">
        <f>IF(AND($AG245&gt;=0,$AD245&gt;=0,$AF245&gt;=0),IF($AG245/($AD245-$AF245)&gt;0,$AG245/($AD245-$AF245),0),"")</f>
        <v>#DIV/0!</v>
      </c>
      <c r="BD245" s="84" t="str">
        <f>IF(AND($G245&gt;0,$AM245&gt;0),IF(($G245-$AM245)/$G245&gt;0,($G245-$AM245)/$G245,0),"")</f>
        <v/>
      </c>
      <c r="BE245" s="6" t="e">
        <f>IF((AD245-AF245)/(AJ245/60)&lt;=0,"",(AD245-AF245)/(AJ245/60))</f>
        <v>#DIV/0!</v>
      </c>
      <c r="BF245" s="6" t="str">
        <f>IF(OR(AJ245=0,AP245=0,NOT(ISNUMBER(AD245)),NOT(ISNUMBER(AF245)),NOT(ISNUMBER(AJ245)),NOT(ISNUMBER(AP245))),"",
IFERROR(IF((AD245-AF245)/(AJ245/60)/(AP245/1000)&lt;=0,"",(AD245-AF245)/(AJ245/60)/(AP245/1000)),""))</f>
        <v/>
      </c>
    </row>
    <row r="246" spans="1:58" ht="15.75">
      <c r="B246" s="11">
        <v>45506</v>
      </c>
      <c r="C246" s="1">
        <v>2</v>
      </c>
      <c r="D246" s="3">
        <v>241</v>
      </c>
      <c r="E246" s="205">
        <f t="shared" si="15"/>
        <v>200.98292199999997</v>
      </c>
      <c r="I246" s="15">
        <f>AD246</f>
        <v>0</v>
      </c>
      <c r="K246" s="10" t="str">
        <f t="shared" si="16"/>
        <v/>
      </c>
      <c r="L246" s="9" t="str">
        <f t="shared" si="17"/>
        <v/>
      </c>
      <c r="M246" s="8" t="str">
        <f t="shared" si="18"/>
        <v/>
      </c>
      <c r="O246">
        <v>72.736999999999995</v>
      </c>
      <c r="P246">
        <v>15.113</v>
      </c>
      <c r="Q246" s="6">
        <f>O246*1.067</f>
        <v>77.610378999999995</v>
      </c>
      <c r="R246" s="6">
        <f>P246*1.514</f>
        <v>22.881081999999999</v>
      </c>
      <c r="S246" s="23">
        <f>P246*1.514+O246*1.067</f>
        <v>100.49146099999999</v>
      </c>
      <c r="U246" s="6">
        <v>0</v>
      </c>
      <c r="V246" s="6">
        <v>0</v>
      </c>
      <c r="W246" s="23">
        <f>U244*1.067+V244*1.514</f>
        <v>4.6472409999999993</v>
      </c>
      <c r="AB246" s="5">
        <v>80</v>
      </c>
      <c r="AG246" s="1">
        <v>0</v>
      </c>
      <c r="AH246" s="119">
        <v>0.52083333333333337</v>
      </c>
      <c r="AK246" s="3">
        <v>180</v>
      </c>
      <c r="AN246" s="80">
        <f>360-AK246-AB246</f>
        <v>100</v>
      </c>
      <c r="AP246" s="13">
        <f>AVERAGE(AO244:AO250)</f>
        <v>2040.0000000000546</v>
      </c>
      <c r="AQ246" s="15"/>
      <c r="AR246" s="17" t="e">
        <f>(E246-#REF!)/E246</f>
        <v>#REF!</v>
      </c>
      <c r="AS246" s="16" t="e">
        <f>(I246-AF246)/I246</f>
        <v>#DIV/0!</v>
      </c>
      <c r="AT246" s="16" t="e">
        <f>AG246/(AD246-AF246)</f>
        <v>#DIV/0!</v>
      </c>
      <c r="AU246" s="16" t="e">
        <f>(G246-AM246)/G246</f>
        <v>#DIV/0!</v>
      </c>
      <c r="AV246" s="57" t="str">
        <f>IF(AND(ISNUMBER(E246),ISNUMBER(#REF!)),E246-#REF!,"")</f>
        <v/>
      </c>
      <c r="AW246" s="57" t="str">
        <f>IF(AND(ISNUMBER(I246),ISNUMBER(AF246)),I246-AF246,"")</f>
        <v/>
      </c>
      <c r="AX246" s="57" t="str">
        <f>IF(AND(ISNUMBER(AM246),ISNUMBER(G246)),G246-AM246,"")</f>
        <v/>
      </c>
      <c r="AY246" s="57" t="str">
        <f>IF(AND(ISNUMBER(AC246),ISNUMBER(AE246)),AC246-AE246,"")</f>
        <v/>
      </c>
      <c r="AZ246" s="57" t="str">
        <f>IF(AND(ISNUMBER(AL246),ISNUMBER(AM246)),AL246-AM246,"")</f>
        <v/>
      </c>
      <c r="BA246" s="84">
        <f>IF(AND($E246&gt;0,$W246&gt;0),IF(($E246-$W246)/$E246&gt;0,($E246-$W246)/$E246,0),"")</f>
        <v>0.97687743339705246</v>
      </c>
      <c r="BB246" s="84" t="str">
        <f>IF(AND($I246&gt;0,$AF246&gt;=0),IF(($I246-$AF246)/$I246&gt;0,($I246-$AF246)/$I246,0),"")</f>
        <v/>
      </c>
      <c r="BC246" s="84" t="e">
        <f>IF(AND($AG246&gt;=0,$AD246&gt;=0,$AF246&gt;=0),IF($AG246/($AD246-$AF246)&gt;0,$AG246/($AD246-$AF246),0),"")</f>
        <v>#DIV/0!</v>
      </c>
      <c r="BD246" s="84" t="str">
        <f>IF(AND($G246&gt;0,$AM246&gt;0),IF(($G246-$AM246)/$G246&gt;0,($G246-$AM246)/$G246,0),"")</f>
        <v/>
      </c>
      <c r="BE246" s="6" t="e">
        <f>IF((AD246-AF246)/(AJ246/60)&lt;=0,"",(AD246-AF246)/(AJ246/60))</f>
        <v>#DIV/0!</v>
      </c>
      <c r="BF246" s="6" t="str">
        <f>IF(OR(AJ246=0,AP246=0,NOT(ISNUMBER(AD246)),NOT(ISNUMBER(AF246)),NOT(ISNUMBER(AJ246)),NOT(ISNUMBER(AP246))),"",
IFERROR(IF((AD246-AF246)/(AJ246/60)/(AP246/1000)&lt;=0,"",(AD246-AF246)/(AJ246/60)/(AP246/1000)),""))</f>
        <v/>
      </c>
    </row>
    <row r="247" spans="1:58" ht="15.75">
      <c r="B247" s="11">
        <v>45507</v>
      </c>
      <c r="C247" s="1">
        <v>3</v>
      </c>
      <c r="D247" s="3">
        <v>242</v>
      </c>
      <c r="E247" s="205" t="str">
        <f t="shared" si="15"/>
        <v/>
      </c>
      <c r="I247" s="15">
        <f>AD247</f>
        <v>0</v>
      </c>
      <c r="K247" s="10" t="str">
        <f t="shared" si="16"/>
        <v/>
      </c>
      <c r="L247" s="9" t="str">
        <f t="shared" si="17"/>
        <v/>
      </c>
      <c r="M247" s="8" t="str">
        <f t="shared" si="18"/>
        <v/>
      </c>
      <c r="AB247" s="5">
        <v>80</v>
      </c>
      <c r="AG247">
        <v>0.03</v>
      </c>
      <c r="AH247" s="119">
        <v>0.46041666666666664</v>
      </c>
      <c r="AK247" s="3">
        <v>180</v>
      </c>
      <c r="AN247" s="80">
        <f>360-AK247-AB247</f>
        <v>100</v>
      </c>
      <c r="AP247" s="13">
        <f>AVERAGE(AO245:AO251)</f>
        <v>2040.0000000000546</v>
      </c>
      <c r="AQ247" s="15"/>
      <c r="AR247" s="17" t="e">
        <f>(E247-W247)/E247</f>
        <v>#VALUE!</v>
      </c>
      <c r="AS247" s="16" t="e">
        <f>(I247-AF247)/I247</f>
        <v>#DIV/0!</v>
      </c>
      <c r="AT247" s="16" t="e">
        <f>AG247/(AD247-AF247)</f>
        <v>#DIV/0!</v>
      </c>
      <c r="AU247" s="16" t="e">
        <f>(G247-AM247)/G247</f>
        <v>#DIV/0!</v>
      </c>
      <c r="AV247" s="57" t="str">
        <f>IF(AND(ISNUMBER(E247),ISNUMBER(W247)),E247-W247,"")</f>
        <v/>
      </c>
      <c r="AW247" s="57" t="str">
        <f>IF(AND(ISNUMBER(I247),ISNUMBER(AF247)),I247-AF247,"")</f>
        <v/>
      </c>
      <c r="AX247" s="57" t="str">
        <f>IF(AND(ISNUMBER(AM247),ISNUMBER(G247)),G247-AM247,"")</f>
        <v/>
      </c>
      <c r="AY247" s="57" t="str">
        <f>IF(AND(ISNUMBER(AC247),ISNUMBER(AE247)),AC247-AE247,"")</f>
        <v/>
      </c>
      <c r="AZ247" s="57" t="str">
        <f>IF(AND(ISNUMBER(AL247),ISNUMBER(AM247)),AL247-AM247,"")</f>
        <v/>
      </c>
      <c r="BA247" s="84" t="str">
        <f>IF(AND($E247&gt;0,$W247&gt;0),IF(($E247-$W247)/$E247&gt;0,($E247-$W247)/$E247,0),"")</f>
        <v/>
      </c>
      <c r="BB247" s="84" t="str">
        <f>IF(AND($I247&gt;0,$AF247&gt;=0),IF(($I247-$AF247)/$I247&gt;0,($I247-$AF247)/$I247,0),"")</f>
        <v/>
      </c>
      <c r="BC247" s="84" t="e">
        <f>IF(AND($AG247&gt;=0,$AD247&gt;=0,$AF247&gt;=0),IF($AG247/($AD247-$AF247)&gt;0,$AG247/($AD247-$AF247),0),"")</f>
        <v>#DIV/0!</v>
      </c>
      <c r="BD247" s="84" t="str">
        <f>IF(AND($G247&gt;0,$AM247&gt;0),IF(($G247-$AM247)/$G247&gt;0,($G247-$AM247)/$G247,0),"")</f>
        <v/>
      </c>
      <c r="BE247" s="6" t="e">
        <f>IF((AD247-AF247)/(AJ247/60)&lt;=0,"",(AD247-AF247)/(AJ247/60))</f>
        <v>#DIV/0!</v>
      </c>
      <c r="BF247" s="6" t="str">
        <f>IF(OR(AJ247=0,AP247=0,NOT(ISNUMBER(AD247)),NOT(ISNUMBER(AF247)),NOT(ISNUMBER(AJ247)),NOT(ISNUMBER(AP247))),"",
IFERROR(IF((AD247-AF247)/(AJ247/60)/(AP247/1000)&lt;=0,"",(AD247-AF247)/(AJ247/60)/(AP247/1000)),""))</f>
        <v/>
      </c>
    </row>
    <row r="248" spans="1:58" ht="15.75">
      <c r="B248" s="11">
        <v>45508</v>
      </c>
      <c r="C248" s="1">
        <v>4</v>
      </c>
      <c r="D248" s="3">
        <v>243</v>
      </c>
      <c r="E248" s="205" t="str">
        <f t="shared" si="15"/>
        <v/>
      </c>
      <c r="I248" s="15">
        <f>AD248</f>
        <v>0</v>
      </c>
      <c r="K248" s="10" t="str">
        <f t="shared" si="16"/>
        <v/>
      </c>
      <c r="L248" s="9" t="str">
        <f t="shared" si="17"/>
        <v/>
      </c>
      <c r="M248" s="8" t="str">
        <f t="shared" si="18"/>
        <v/>
      </c>
      <c r="AB248" s="5">
        <v>80</v>
      </c>
      <c r="AG248">
        <v>0.47</v>
      </c>
      <c r="AH248" s="119">
        <v>0.49687500000000001</v>
      </c>
      <c r="AK248" s="3">
        <v>180</v>
      </c>
      <c r="AN248" s="80">
        <f>360-AK248-AB248</f>
        <v>100</v>
      </c>
      <c r="AP248" s="13">
        <f>AVERAGE(AO246:AO252)</f>
        <v>2040.0000000000546</v>
      </c>
      <c r="AQ248" s="15"/>
      <c r="AR248" s="17" t="e">
        <f>(E248-W248)/E248</f>
        <v>#VALUE!</v>
      </c>
      <c r="AS248" s="16" t="e">
        <f>(I248-AF248)/I248</f>
        <v>#DIV/0!</v>
      </c>
      <c r="AT248" s="16" t="e">
        <f>AG248/(AD248-AF248)</f>
        <v>#DIV/0!</v>
      </c>
      <c r="AU248" s="16" t="e">
        <f>(G248-AM248)/G248</f>
        <v>#DIV/0!</v>
      </c>
      <c r="AV248" s="57" t="str">
        <f>IF(AND(ISNUMBER(E248),ISNUMBER(W248)),E248-W248,"")</f>
        <v/>
      </c>
      <c r="AW248" s="57" t="str">
        <f>IF(AND(ISNUMBER(I248),ISNUMBER(AF248)),I248-AF248,"")</f>
        <v/>
      </c>
      <c r="AX248" s="57" t="str">
        <f>IF(AND(ISNUMBER(AM248),ISNUMBER(G248)),G248-AM248,"")</f>
        <v/>
      </c>
      <c r="AY248" s="57" t="str">
        <f>IF(AND(ISNUMBER(AC248),ISNUMBER(AE248)),AC248-AE248,"")</f>
        <v/>
      </c>
      <c r="AZ248" s="57" t="str">
        <f>IF(AND(ISNUMBER(AL248),ISNUMBER(AM248)),AL248-AM248,"")</f>
        <v/>
      </c>
      <c r="BA248" s="84" t="str">
        <f>IF(AND($E248&gt;0,$W248&gt;0),IF(($E248-$W248)/$E248&gt;0,($E248-$W248)/$E248,0),"")</f>
        <v/>
      </c>
      <c r="BB248" s="84" t="str">
        <f>IF(AND($I248&gt;0,$AF248&gt;=0),IF(($I248-$AF248)/$I248&gt;0,($I248-$AF248)/$I248,0),"")</f>
        <v/>
      </c>
      <c r="BC248" s="84" t="e">
        <f>IF(AND($AG248&gt;=0,$AD248&gt;=0,$AF248&gt;=0),IF($AG248/($AD248-$AF248)&gt;0,$AG248/($AD248-$AF248),0),"")</f>
        <v>#DIV/0!</v>
      </c>
      <c r="BD248" s="84" t="str">
        <f>IF(AND($G248&gt;0,$AM248&gt;0),IF(($G248-$AM248)/$G248&gt;0,($G248-$AM248)/$G248,0),"")</f>
        <v/>
      </c>
      <c r="BE248" s="6" t="e">
        <f>IF((AD248-AF248)/(AJ248/60)&lt;=0,"",(AD248-AF248)/(AJ248/60))</f>
        <v>#DIV/0!</v>
      </c>
      <c r="BF248" s="6" t="str">
        <f>IF(OR(AJ248=0,AP248=0,NOT(ISNUMBER(AD248)),NOT(ISNUMBER(AF248)),NOT(ISNUMBER(AJ248)),NOT(ISNUMBER(AP248))),"",
IFERROR(IF((AD248-AF248)/(AJ248/60)/(AP248/1000)&lt;=0,"",(AD248-AF248)/(AJ248/60)/(AP248/1000)),""))</f>
        <v/>
      </c>
    </row>
    <row r="249" spans="1:58" ht="15.75">
      <c r="A249" s="12" t="s">
        <v>120</v>
      </c>
      <c r="B249" s="94">
        <v>45509</v>
      </c>
      <c r="C249" s="1">
        <v>5</v>
      </c>
      <c r="D249" s="3">
        <v>244</v>
      </c>
      <c r="E249" s="205" t="str">
        <f t="shared" si="15"/>
        <v/>
      </c>
      <c r="G249" s="15">
        <f>(N249*18-H249*18)/9</f>
        <v>14.880000000000003</v>
      </c>
      <c r="H249" s="9">
        <f>2*2.98</f>
        <v>5.96</v>
      </c>
      <c r="I249" s="15">
        <f>AD249</f>
        <v>16.8</v>
      </c>
      <c r="K249" s="10" t="str">
        <f t="shared" si="16"/>
        <v/>
      </c>
      <c r="L249" s="9" t="str">
        <f t="shared" si="17"/>
        <v/>
      </c>
      <c r="M249" s="8">
        <f t="shared" si="18"/>
        <v>2.258064516129032</v>
      </c>
      <c r="N249" s="10">
        <f>2*6.7</f>
        <v>13.4</v>
      </c>
      <c r="O249" s="9"/>
      <c r="P249" s="9"/>
      <c r="Q249" s="6">
        <f>O249*1.067</f>
        <v>0</v>
      </c>
      <c r="R249" s="6">
        <f>P249*1.514</f>
        <v>0</v>
      </c>
      <c r="S249" s="23">
        <f>P249*1.514+O249*1.067</f>
        <v>0</v>
      </c>
      <c r="T249" s="6">
        <f>2*7.77</f>
        <v>15.54</v>
      </c>
      <c r="W249" s="23">
        <f>U249*1.067+V249*1.514</f>
        <v>0</v>
      </c>
      <c r="AB249" s="5">
        <v>80</v>
      </c>
      <c r="AC249" s="7">
        <f>T249</f>
        <v>15.54</v>
      </c>
      <c r="AD249" s="1">
        <f>5*3.36</f>
        <v>16.8</v>
      </c>
      <c r="AE249" s="1">
        <f>2*6.14</f>
        <v>12.28</v>
      </c>
      <c r="AG249">
        <v>0.4</v>
      </c>
      <c r="AH249" s="119">
        <v>0.84444444444444444</v>
      </c>
      <c r="AK249" s="3">
        <v>180</v>
      </c>
      <c r="AL249" s="4">
        <f>AE249</f>
        <v>12.28</v>
      </c>
      <c r="AM249" s="1">
        <f>2*5.02</f>
        <v>10.039999999999999</v>
      </c>
      <c r="AN249" s="80">
        <f>360-AK249-AB249</f>
        <v>100</v>
      </c>
      <c r="AP249" s="13">
        <f>AVERAGE(AO247:AO253)</f>
        <v>2040.0000000000546</v>
      </c>
      <c r="AQ249" s="15"/>
      <c r="AR249" s="17" t="e">
        <f>(E249-W249)/E249</f>
        <v>#VALUE!</v>
      </c>
      <c r="AS249" s="16">
        <f>(I249-AF249)/I249</f>
        <v>1</v>
      </c>
      <c r="AT249" s="16">
        <f>AG249/(AD249-AF249)</f>
        <v>2.3809523809523808E-2</v>
      </c>
      <c r="AU249" s="16">
        <f>(G249-AM249)/G249</f>
        <v>0.32526881720430123</v>
      </c>
      <c r="AV249" s="57" t="str">
        <f>IF(AND(ISNUMBER(E249),ISNUMBER(W249)),E249-W249,"")</f>
        <v/>
      </c>
      <c r="AW249" s="57" t="str">
        <f>IF(AND(ISNUMBER(I249),ISNUMBER(AF249)),I249-AF249,"")</f>
        <v/>
      </c>
      <c r="AX249" s="57">
        <f>IF(AND(ISNUMBER(AM249),ISNUMBER(G249)),G249-AM249,"")</f>
        <v>4.8400000000000034</v>
      </c>
      <c r="AY249" s="57">
        <f>IF(AND(ISNUMBER(AC249),ISNUMBER(AE249)),AC249-AE249,"")</f>
        <v>3.26</v>
      </c>
      <c r="AZ249" s="57">
        <f>IF(AND(ISNUMBER(AL249),ISNUMBER(AM249)),AL249-AM249,"")</f>
        <v>2.2400000000000002</v>
      </c>
      <c r="BA249" s="123" t="str">
        <f>IF(AND($E249&gt;0,$W249&gt;0),IF(($E249-$W249)/$E249&gt;0,($E249-$W249)/$E249,0),"")</f>
        <v/>
      </c>
      <c r="BB249" s="123">
        <f>IF(AND($I249&gt;0,$AF249&gt;=0),IF(($I249-$AF249)/$I249&gt;0,($I249-$AF249)/$I249,0),"")</f>
        <v>1</v>
      </c>
      <c r="BC249" s="123">
        <f>IF(AND($AG249&gt;=0,$AD249&gt;=0,$AF249&gt;=0),IF($AG249/($AD249-$AF249)&gt;0,$AG249/($AD249-$AF249),0),"")</f>
        <v>2.3809523809523808E-2</v>
      </c>
      <c r="BD249" s="123">
        <f>IF(AND($G249&gt;0,$AM249&gt;0),IF(($G249-$AM249)/$G249&gt;0,($G249-$AM249)/$G249,0),"")</f>
        <v>0.32526881720430123</v>
      </c>
      <c r="BE249" s="6" t="e">
        <f>IF((AD249-AF249)/(AJ249/60)&lt;=0,"",(AD249-AF249)/(AJ249/60))</f>
        <v>#DIV/0!</v>
      </c>
      <c r="BF249" s="6" t="str">
        <f>IF(OR(AJ249=0,AP249=0,NOT(ISNUMBER(AD249)),NOT(ISNUMBER(AF249)),NOT(ISNUMBER(AJ249)),NOT(ISNUMBER(AP249))),"",
IFERROR(IF((AD249-AF249)/(AJ249/60)/(AP249/1000)&lt;=0,"",(AD249-AF249)/(AJ249/60)/(AP249/1000)),""))</f>
        <v/>
      </c>
    </row>
    <row r="250" spans="1:58" ht="15.75">
      <c r="B250" s="94">
        <v>45510</v>
      </c>
      <c r="C250" s="1">
        <v>6</v>
      </c>
      <c r="D250" s="3">
        <v>245</v>
      </c>
      <c r="E250" s="205" t="str">
        <f t="shared" si="15"/>
        <v/>
      </c>
      <c r="I250" s="15">
        <f>AD250</f>
        <v>0</v>
      </c>
      <c r="K250" s="10" t="str">
        <f t="shared" si="16"/>
        <v/>
      </c>
      <c r="L250" s="9" t="str">
        <f t="shared" si="17"/>
        <v/>
      </c>
      <c r="M250" s="8" t="str">
        <f t="shared" si="18"/>
        <v/>
      </c>
      <c r="X250" s="6">
        <v>6.64</v>
      </c>
      <c r="AB250" s="5">
        <v>80</v>
      </c>
      <c r="AG250">
        <v>0.28999999999999998</v>
      </c>
      <c r="AH250" s="119">
        <v>0.50787037037037042</v>
      </c>
      <c r="AK250" s="3">
        <v>180</v>
      </c>
      <c r="AN250" s="80">
        <f>360-AK250-AB250</f>
        <v>100</v>
      </c>
      <c r="AO250" s="2">
        <v>2040.0000000000546</v>
      </c>
      <c r="AP250" s="13">
        <f>AVERAGE(AO248:AO254)</f>
        <v>2040.0000000000546</v>
      </c>
      <c r="AQ250" s="15">
        <v>28.140518668383148</v>
      </c>
      <c r="AR250" s="17" t="e">
        <f>(E250-W250)/E250</f>
        <v>#VALUE!</v>
      </c>
      <c r="AS250" s="16" t="e">
        <f>(I250-AF250)/I250</f>
        <v>#DIV/0!</v>
      </c>
      <c r="AT250" s="16" t="e">
        <f>AG250/(AD250-AF250)</f>
        <v>#DIV/0!</v>
      </c>
      <c r="AU250" s="16" t="e">
        <f>(G250-AM250)/G250</f>
        <v>#DIV/0!</v>
      </c>
      <c r="AV250" s="57" t="str">
        <f>IF(AND(ISNUMBER(E250),ISNUMBER(W250)),E250-W250,"")</f>
        <v/>
      </c>
      <c r="AW250" s="57" t="str">
        <f>IF(AND(ISNUMBER(I250),ISNUMBER(AF250)),I250-AF250,"")</f>
        <v/>
      </c>
      <c r="AX250" s="57" t="str">
        <f>IF(AND(ISNUMBER(AM250),ISNUMBER(G250)),G250-AM250,"")</f>
        <v/>
      </c>
      <c r="AY250" s="57" t="str">
        <f>IF(AND(ISNUMBER(AC250),ISNUMBER(AE250)),AC250-AE250,"")</f>
        <v/>
      </c>
      <c r="AZ250" s="57" t="str">
        <f>IF(AND(ISNUMBER(AL250),ISNUMBER(AM250)),AL250-AM250,"")</f>
        <v/>
      </c>
      <c r="BA250" s="123" t="str">
        <f>IF(AND($E250&gt;0,$W250&gt;0),IF(($E250-$W250)/$E250&gt;0,($E250-$W250)/$E250,0),"")</f>
        <v/>
      </c>
      <c r="BB250" s="123" t="str">
        <f>IF(AND($I250&gt;0,$AF250&gt;=0),IF(($I250-$AF250)/$I250&gt;0,($I250-$AF250)/$I250,0),"")</f>
        <v/>
      </c>
      <c r="BC250" s="123"/>
      <c r="BD250" s="123" t="str">
        <f>IF(AND($G250&gt;0,$AM250&gt;0),IF(($G250-$AM250)/$G250&gt;0,($G250-$AM250)/$G250,0),"")</f>
        <v/>
      </c>
      <c r="BE250" s="6" t="e">
        <f>IF((AD250-AF250)/(AJ250/60)&lt;=0,"",(AD250-AF250)/(AJ250/60))</f>
        <v>#DIV/0!</v>
      </c>
      <c r="BF250" s="6" t="str">
        <f>IF(OR(AJ250=0,AP250=0,NOT(ISNUMBER(AD250)),NOT(ISNUMBER(AF250)),NOT(ISNUMBER(AJ250)),NOT(ISNUMBER(AP250))),"",
IFERROR(IF((AD250-AF250)/(AJ250/60)/(AP250/1000)&lt;=0,"",(AD250-AF250)/(AJ250/60)/(AP250/1000)),""))</f>
        <v/>
      </c>
    </row>
    <row r="251" spans="1:58" ht="15.75">
      <c r="A251" s="12" t="s">
        <v>122</v>
      </c>
      <c r="B251" s="94">
        <v>45511</v>
      </c>
      <c r="C251" s="1">
        <v>7</v>
      </c>
      <c r="D251" s="3">
        <v>246</v>
      </c>
      <c r="E251" s="205">
        <f t="shared" si="15"/>
        <v>202.21132599999999</v>
      </c>
      <c r="G251" s="15">
        <f>(N251*18-H251*18)/9</f>
        <v>13.399999999999999</v>
      </c>
      <c r="H251" s="9">
        <f>5/2*1.83</f>
        <v>4.5750000000000002</v>
      </c>
      <c r="I251" s="15">
        <f>AD251</f>
        <v>18.95</v>
      </c>
      <c r="K251" s="10">
        <f t="shared" si="16"/>
        <v>15.090397462686568</v>
      </c>
      <c r="L251" s="9">
        <f t="shared" si="17"/>
        <v>5.3353911873350919</v>
      </c>
      <c r="M251" s="8">
        <f t="shared" si="18"/>
        <v>2.8283582089552239</v>
      </c>
      <c r="N251" s="7">
        <f>5/2*4.51</f>
        <v>11.274999999999999</v>
      </c>
      <c r="O251">
        <v>73.385000000000005</v>
      </c>
      <c r="P251">
        <v>15.061999999999999</v>
      </c>
      <c r="Q251" s="6">
        <f>O251*1.067</f>
        <v>78.301794999999998</v>
      </c>
      <c r="R251" s="6">
        <f>P251*1.514</f>
        <v>22.803867999999998</v>
      </c>
      <c r="S251" s="23">
        <f>P251*1.514+O251*1.067</f>
        <v>101.10566299999999</v>
      </c>
      <c r="T251" s="6">
        <f>2.5*5.36</f>
        <v>13.4</v>
      </c>
      <c r="U251">
        <v>0.108</v>
      </c>
      <c r="V251" s="6">
        <v>0</v>
      </c>
      <c r="W251" s="23">
        <f>U251*1.067+V251*1.514</f>
        <v>0.11523599999999999</v>
      </c>
      <c r="X251" s="6">
        <v>7.47</v>
      </c>
      <c r="AB251" s="5">
        <v>80</v>
      </c>
      <c r="AC251" s="7">
        <f>T251</f>
        <v>13.4</v>
      </c>
      <c r="AD251" s="1">
        <f>5*3.79</f>
        <v>18.95</v>
      </c>
      <c r="AE251" s="1">
        <f>2.5*4.7</f>
        <v>11.75</v>
      </c>
      <c r="AF251" s="1">
        <f>2*5.63</f>
        <v>11.26</v>
      </c>
      <c r="AG251">
        <v>0.14000000000000001</v>
      </c>
      <c r="AH251" s="119">
        <v>0.52083333333333337</v>
      </c>
      <c r="AJ251" s="93">
        <v>175</v>
      </c>
      <c r="AK251" s="3">
        <v>180</v>
      </c>
      <c r="AL251" s="4">
        <f>AE251</f>
        <v>11.75</v>
      </c>
      <c r="AM251" s="1">
        <f>2.5*4.27</f>
        <v>10.674999999999999</v>
      </c>
      <c r="AN251" s="80">
        <f>360-AK251-AB251</f>
        <v>100</v>
      </c>
      <c r="AP251" s="13">
        <f>AVERAGE(AO249:AO255)</f>
        <v>2040.0000000000546</v>
      </c>
      <c r="AQ251" s="15"/>
      <c r="AR251" s="17">
        <f>(E251-W251)/E251</f>
        <v>0.99943012094189021</v>
      </c>
      <c r="AS251" s="16">
        <f>(I251-AF251)/I251</f>
        <v>0.40580474934036936</v>
      </c>
      <c r="AT251" s="16">
        <f>AG251/(AD251-AF251)</f>
        <v>1.820546163849155E-2</v>
      </c>
      <c r="AU251" s="16">
        <f>(G251-AM251)/G251</f>
        <v>0.20335820895522388</v>
      </c>
      <c r="AV251" s="57">
        <f>IF(AND(ISNUMBER(E251),ISNUMBER(W251)),E251-W251,"")</f>
        <v>202.09608999999998</v>
      </c>
      <c r="AW251" s="57">
        <f>IF(AND(ISNUMBER(I251),ISNUMBER(AF251)),I251-AF251,"")</f>
        <v>7.6899999999999995</v>
      </c>
      <c r="AX251" s="57">
        <f>IF(AND(ISNUMBER(AM251),ISNUMBER(G251)),G251-AM251,"")</f>
        <v>2.7249999999999996</v>
      </c>
      <c r="AY251" s="57">
        <f>IF(AND(ISNUMBER(AC251),ISNUMBER(AE251)),AC251-AE251,"")</f>
        <v>1.6500000000000004</v>
      </c>
      <c r="AZ251" s="57">
        <f>IF(AND(ISNUMBER(AL251),ISNUMBER(AM251)),AL251-AM251,"")</f>
        <v>1.0750000000000011</v>
      </c>
      <c r="BA251" s="123">
        <f>IF(AND($E251&gt;0,$W251&gt;0),IF(($E251-$W251)/$E251&gt;0,($E251-$W251)/$E251,0),"")</f>
        <v>0.99943012094189021</v>
      </c>
      <c r="BB251" s="123">
        <f>IF(AND($I251&gt;0,$AF251&gt;=0),IF(($I251-$AF251)/$I251&gt;0,($I251-$AF251)/$I251,0),"")</f>
        <v>0.40580474934036936</v>
      </c>
      <c r="BC251" s="123">
        <f>IF(AND($AG251&gt;=0,$AD251&gt;=0,$AF251&gt;=0),IF($AG251/($AD251-$AF251)&gt;0,$AG251/($AD251-$AF251),0),"")</f>
        <v>1.820546163849155E-2</v>
      </c>
      <c r="BD251" s="123">
        <f>IF(AND($G251&gt;0,$AM251&gt;0),IF(($G251-$AM251)/$G251&gt;0,($G251-$AM251)/$G251,0),"")</f>
        <v>0.20335820895522388</v>
      </c>
      <c r="BE251" s="6">
        <f>IF((AD251-AF251)/(AJ251/60)&lt;=0,"",(AD251-AF251)/(AJ251/60))</f>
        <v>2.6365714285714286</v>
      </c>
      <c r="BF251" s="6"/>
    </row>
    <row r="252" spans="1:58" ht="15.75">
      <c r="A252" s="12" t="s">
        <v>121</v>
      </c>
      <c r="B252" s="94">
        <v>45512</v>
      </c>
      <c r="C252" s="1">
        <v>8</v>
      </c>
      <c r="D252" s="3">
        <v>247</v>
      </c>
      <c r="E252" s="205" t="str">
        <f t="shared" si="15"/>
        <v/>
      </c>
      <c r="G252" s="15">
        <f>(N252*18-H252*18)/9</f>
        <v>13.76</v>
      </c>
      <c r="H252" s="9">
        <f>2*2.98</f>
        <v>5.96</v>
      </c>
      <c r="I252" s="15">
        <f>AD252</f>
        <v>19.3</v>
      </c>
      <c r="K252" s="10" t="str">
        <f t="shared" si="16"/>
        <v/>
      </c>
      <c r="L252" s="9" t="str">
        <f t="shared" si="17"/>
        <v/>
      </c>
      <c r="M252" s="8">
        <f t="shared" si="18"/>
        <v>2.8052325581395352</v>
      </c>
      <c r="N252" s="7">
        <f>2*6.42</f>
        <v>12.84</v>
      </c>
      <c r="Q252" s="6">
        <f>O252*1.067</f>
        <v>0</v>
      </c>
      <c r="R252" s="6">
        <f>P252*1.514</f>
        <v>0</v>
      </c>
      <c r="S252" s="23">
        <f>P252*1.514+O252*1.067</f>
        <v>0</v>
      </c>
      <c r="T252" s="6">
        <f>2*7.66</f>
        <v>15.32</v>
      </c>
      <c r="W252" s="23">
        <f>U252*1.067+V252*1.514</f>
        <v>0</v>
      </c>
      <c r="AB252" s="5">
        <v>80</v>
      </c>
      <c r="AC252" s="7">
        <f>T252</f>
        <v>15.32</v>
      </c>
      <c r="AD252" s="1">
        <f>5*3.86</f>
        <v>19.3</v>
      </c>
      <c r="AE252" s="1">
        <f>2*6.3</f>
        <v>12.6</v>
      </c>
      <c r="AF252" s="1">
        <f>2*6.33</f>
        <v>12.66</v>
      </c>
      <c r="AG252">
        <v>0.43</v>
      </c>
      <c r="AH252" s="119">
        <v>0.52060185185185182</v>
      </c>
      <c r="AJ252" s="93">
        <v>175</v>
      </c>
      <c r="AK252" s="3">
        <v>180</v>
      </c>
      <c r="AL252" s="4">
        <f>AE252</f>
        <v>12.6</v>
      </c>
      <c r="AM252" s="1">
        <f>2*5.7</f>
        <v>11.4</v>
      </c>
      <c r="AN252" s="80">
        <f>360-AK252-AB252</f>
        <v>100</v>
      </c>
      <c r="AP252" s="13">
        <f>AVERAGE(AO250:AO256)</f>
        <v>2040.0000000000546</v>
      </c>
      <c r="AQ252" s="15"/>
      <c r="AR252" s="17" t="e">
        <f>(E252-W252)/E252</f>
        <v>#VALUE!</v>
      </c>
      <c r="AS252" s="16">
        <f>(I252-AF252)/I252</f>
        <v>0.34404145077720211</v>
      </c>
      <c r="AT252" s="16">
        <f>AG252/(AD252-AF252)</f>
        <v>6.4759036144578314E-2</v>
      </c>
      <c r="AU252" s="16">
        <f>(G252-AM252)/G252</f>
        <v>0.17151162790697672</v>
      </c>
      <c r="AV252" s="57" t="str">
        <f>IF(AND(ISNUMBER(E252),ISNUMBER(W252)),E252-W252,"")</f>
        <v/>
      </c>
      <c r="AW252" s="57">
        <f>IF(AND(ISNUMBER(I252),ISNUMBER(AF252)),I252-AF252,"")</f>
        <v>6.6400000000000006</v>
      </c>
      <c r="AX252" s="57">
        <f>IF(AND(ISNUMBER(AM252),ISNUMBER(G252)),G252-AM252,"")</f>
        <v>2.3599999999999994</v>
      </c>
      <c r="AY252" s="57">
        <f>IF(AND(ISNUMBER(AC252),ISNUMBER(AE252)),AC252-AE252,"")</f>
        <v>2.7200000000000006</v>
      </c>
      <c r="AZ252" s="57">
        <f>IF(AND(ISNUMBER(AL252),ISNUMBER(AM252)),AL252-AM252,"")</f>
        <v>1.1999999999999993</v>
      </c>
      <c r="BA252" s="123" t="str">
        <f>IF(AND($E252&gt;0,$W252&gt;0),IF(($E252-$W252)/$E252&gt;0,($E252-$W252)/$E252,0),"")</f>
        <v/>
      </c>
      <c r="BB252" s="123">
        <f>IF(AND($I252&gt;0,$AF252&gt;=0),IF(($I252-$AF252)/$I252&gt;0,($I252-$AF252)/$I252,0),"")</f>
        <v>0.34404145077720211</v>
      </c>
      <c r="BC252" s="123">
        <f>IF(AND($AG252&gt;=0,$AD252&gt;=0,$AF252&gt;=0),IF($AG252/($AD252-$AF252)&gt;0,$AG252/($AD252-$AF252),0),"")</f>
        <v>6.4759036144578314E-2</v>
      </c>
      <c r="BD252" s="123">
        <f>IF(AND($G252&gt;0,$AM252&gt;0),IF(($G252-$AM252)/$G252&gt;0,($G252-$AM252)/$G252,0),"")</f>
        <v>0.17151162790697672</v>
      </c>
      <c r="BE252" s="6">
        <f>IF((AD252-AF252)/(AJ252/60)&lt;=0,"",(AD252-AF252)/(AJ252/60))</f>
        <v>2.2765714285714287</v>
      </c>
      <c r="BF252" s="6"/>
    </row>
    <row r="253" spans="1:58" ht="15.75">
      <c r="B253" s="94">
        <v>45513</v>
      </c>
      <c r="C253" s="1">
        <v>9</v>
      </c>
      <c r="D253" s="3">
        <v>248</v>
      </c>
      <c r="E253" s="205" t="str">
        <f t="shared" si="15"/>
        <v/>
      </c>
      <c r="G253" s="15">
        <f>(N253*18-H253*18)/9</f>
        <v>13.559999999999999</v>
      </c>
      <c r="H253" s="9">
        <f>2*3.5</f>
        <v>7</v>
      </c>
      <c r="I253" s="15">
        <f>AD253</f>
        <v>19.75</v>
      </c>
      <c r="K253" s="10" t="str">
        <f t="shared" si="16"/>
        <v/>
      </c>
      <c r="L253" s="9" t="str">
        <f t="shared" si="17"/>
        <v/>
      </c>
      <c r="M253" s="8">
        <f t="shared" si="18"/>
        <v>2.9129793510324489</v>
      </c>
      <c r="N253" s="7">
        <f>2*6.89</f>
        <v>13.78</v>
      </c>
      <c r="Q253" s="6">
        <f>O253*1.067</f>
        <v>0</v>
      </c>
      <c r="R253" s="6">
        <f>P253*1.514</f>
        <v>0</v>
      </c>
      <c r="S253" s="23">
        <f>P253*1.514+O253*1.067</f>
        <v>0</v>
      </c>
      <c r="T253" s="6">
        <f>2*7.88</f>
        <v>15.76</v>
      </c>
      <c r="W253" s="23">
        <f>U253*1.067+V253*1.514</f>
        <v>0</v>
      </c>
      <c r="AB253" s="5">
        <v>80</v>
      </c>
      <c r="AC253" s="7">
        <f>T253</f>
        <v>15.76</v>
      </c>
      <c r="AD253" s="1">
        <f>5*3.95</f>
        <v>19.75</v>
      </c>
      <c r="AE253" s="1">
        <f>2*6.96</f>
        <v>13.92</v>
      </c>
      <c r="AF253" s="1">
        <f>5*2.24</f>
        <v>11.200000000000001</v>
      </c>
      <c r="AG253">
        <v>0.34</v>
      </c>
      <c r="AH253" s="119">
        <v>0.51747685185185188</v>
      </c>
      <c r="AJ253" s="93">
        <v>175</v>
      </c>
      <c r="AK253" s="3">
        <v>180</v>
      </c>
      <c r="AL253" s="4">
        <f>AE253</f>
        <v>13.92</v>
      </c>
      <c r="AM253" s="1">
        <f>2*4.87</f>
        <v>9.74</v>
      </c>
      <c r="AN253" s="80">
        <f>360-AK253-AB253</f>
        <v>100</v>
      </c>
      <c r="AP253" s="13">
        <f>AVERAGE(AO251:AO257)</f>
        <v>2009.9999999999909</v>
      </c>
      <c r="AQ253" s="15"/>
      <c r="AR253" s="17" t="e">
        <f>(E253-W253)/E253</f>
        <v>#VALUE!</v>
      </c>
      <c r="AS253" s="16">
        <f>(I253-AF253)/I253</f>
        <v>0.43291139240506321</v>
      </c>
      <c r="AT253" s="16">
        <f>AG253/(AD253-AF253)</f>
        <v>3.976608187134504E-2</v>
      </c>
      <c r="AU253" s="16">
        <f>(G253-AM253)/G253</f>
        <v>0.28171091445427721</v>
      </c>
      <c r="AV253" s="57" t="str">
        <f>IF(AND(ISNUMBER(E253),ISNUMBER(W253)),E253-W253,"")</f>
        <v/>
      </c>
      <c r="AW253" s="57">
        <f>IF(AND(ISNUMBER(I253),ISNUMBER(AF253)),I253-AF253,"")</f>
        <v>8.5499999999999989</v>
      </c>
      <c r="AX253" s="57">
        <f>IF(AND(ISNUMBER(AM253),ISNUMBER(G253)),G253-AM253,"")</f>
        <v>3.8199999999999985</v>
      </c>
      <c r="AY253" s="57">
        <f>IF(AND(ISNUMBER(AC253),ISNUMBER(AE253)),AC253-AE253,"")</f>
        <v>1.8399999999999999</v>
      </c>
      <c r="AZ253" s="57">
        <f>IF(AND(ISNUMBER(AL253),ISNUMBER(AM253)),AL253-AM253,"")</f>
        <v>4.18</v>
      </c>
      <c r="BA253" s="123" t="str">
        <f>IF(AND($E253&gt;0,$W253&gt;0),IF(($E253-$W253)/$E253&gt;0,($E253-$W253)/$E253,0),"")</f>
        <v/>
      </c>
      <c r="BB253" s="123">
        <f>IF(AND($I253&gt;0,$AF253&gt;=0),IF(($I253-$AF253)/$I253&gt;0,($I253-$AF253)/$I253,0),"")</f>
        <v>0.43291139240506321</v>
      </c>
      <c r="BC253" s="123">
        <f>IF(AND($AG253&gt;=0,$AD253&gt;=0,$AF253&gt;=0),IF($AG253/($AD253-$AF253)&gt;0,$AG253/($AD253-$AF253),0),"")</f>
        <v>3.976608187134504E-2</v>
      </c>
      <c r="BD253" s="123">
        <f>IF(AND($G253&gt;0,$AM253&gt;0),IF(($G253-$AM253)/$G253&gt;0,($G253-$AM253)/$G253,0),"")</f>
        <v>0.28171091445427721</v>
      </c>
      <c r="BE253" s="6">
        <f>IF((AD253-AF253)/(AJ253/60)&lt;=0,"",(AD253-AF253)/(AJ253/60))</f>
        <v>2.9314285714285711</v>
      </c>
      <c r="BF253" s="6"/>
    </row>
    <row r="254" spans="1:58" ht="15.75">
      <c r="A254" s="122" t="s">
        <v>119</v>
      </c>
      <c r="B254" s="94">
        <v>45514</v>
      </c>
      <c r="C254" s="1">
        <v>10</v>
      </c>
      <c r="D254" s="3">
        <v>249</v>
      </c>
      <c r="E254" s="205" t="str">
        <f t="shared" si="15"/>
        <v/>
      </c>
      <c r="I254" s="15">
        <f>AD254</f>
        <v>0</v>
      </c>
      <c r="K254" s="10" t="str">
        <f t="shared" si="16"/>
        <v/>
      </c>
      <c r="L254" s="9" t="str">
        <f t="shared" si="17"/>
        <v/>
      </c>
      <c r="M254" s="8" t="str">
        <f t="shared" si="18"/>
        <v/>
      </c>
      <c r="AB254" s="5">
        <v>80</v>
      </c>
      <c r="AG254">
        <v>0.17</v>
      </c>
      <c r="AH254" s="119">
        <v>0.53796296296296298</v>
      </c>
      <c r="AJ254" s="93">
        <v>175</v>
      </c>
      <c r="AK254" s="3">
        <v>180</v>
      </c>
      <c r="AN254" s="80">
        <f>360-AK254-AB254</f>
        <v>100</v>
      </c>
      <c r="AP254" s="13">
        <f>AVERAGE(AO252:AO258)</f>
        <v>2009.9999999999909</v>
      </c>
      <c r="AQ254" s="15"/>
      <c r="AR254" s="17" t="e">
        <f>(E254-W254)/E254</f>
        <v>#VALUE!</v>
      </c>
      <c r="AS254" s="16" t="e">
        <f>(I254-AF254)/I254</f>
        <v>#DIV/0!</v>
      </c>
      <c r="AT254" s="16" t="e">
        <f>AG254/(AD254-AF254)</f>
        <v>#DIV/0!</v>
      </c>
      <c r="AU254" s="16" t="e">
        <f>(G254-AM254)/G254</f>
        <v>#DIV/0!</v>
      </c>
      <c r="AV254" s="57" t="str">
        <f>IF(AND(ISNUMBER(E254),ISNUMBER(W254)),E254-W254,"")</f>
        <v/>
      </c>
      <c r="AW254" s="57" t="str">
        <f>IF(AND(ISNUMBER(I254),ISNUMBER(AF254)),I254-AF254,"")</f>
        <v/>
      </c>
      <c r="AX254" s="57" t="str">
        <f>IF(AND(ISNUMBER(AM254),ISNUMBER(G254)),G254-AM254,"")</f>
        <v/>
      </c>
      <c r="AY254" s="57" t="str">
        <f>IF(AND(ISNUMBER(AC254),ISNUMBER(AE254)),AC254-AE254,"")</f>
        <v/>
      </c>
      <c r="AZ254" s="57" t="str">
        <f>IF(AND(ISNUMBER(AL254),ISNUMBER(AM254)),AL254-AM254,"")</f>
        <v/>
      </c>
      <c r="BA254" s="123" t="str">
        <f>IF(AND($E254&gt;0,$W254&gt;0),IF(($E254-$W254)/$E254&gt;0,($E254-$W254)/$E254,0),"")</f>
        <v/>
      </c>
      <c r="BB254" s="123" t="str">
        <f>IF(AND($I254&gt;0,$AF254&gt;=0),IF(($I254-$AF254)/$I254&gt;0,($I254-$AF254)/$I254,0),"")</f>
        <v/>
      </c>
      <c r="BC254" s="123"/>
      <c r="BD254" s="123" t="str">
        <f>IF(AND($G254&gt;0,$AM254&gt;0),IF(($G254-$AM254)/$G254&gt;0,($G254-$AM254)/$G254,0),"")</f>
        <v/>
      </c>
      <c r="BE254" s="6" t="str">
        <f>IF((AD254-AF254)/(AJ254/60)&lt;=0,"",(AD254-AF254)/(AJ254/60))</f>
        <v/>
      </c>
      <c r="BF254" s="6" t="str">
        <f>IF(OR(AJ254=0,AP254=0,NOT(ISNUMBER(AD254)),NOT(ISNUMBER(AF254)),NOT(ISNUMBER(AJ254)),NOT(ISNUMBER(AP254))),"",
IFERROR(IF((AD254-AF254)/(AJ254/60)/(AP254/1000)&lt;=0,"",(AD254-AF254)/(AJ254/60)/(AP254/1000)),""))</f>
        <v/>
      </c>
    </row>
    <row r="255" spans="1:58" ht="15.75">
      <c r="B255" s="94">
        <v>45515</v>
      </c>
      <c r="C255" s="1">
        <v>11</v>
      </c>
      <c r="D255" s="3">
        <v>250</v>
      </c>
      <c r="E255" s="205" t="str">
        <f t="shared" si="15"/>
        <v/>
      </c>
      <c r="I255" s="15">
        <f>AD255</f>
        <v>0</v>
      </c>
      <c r="K255" s="10" t="str">
        <f t="shared" si="16"/>
        <v/>
      </c>
      <c r="L255" s="9" t="str">
        <f t="shared" si="17"/>
        <v/>
      </c>
      <c r="M255" s="8" t="str">
        <f t="shared" si="18"/>
        <v/>
      </c>
      <c r="AB255" s="5">
        <v>80</v>
      </c>
      <c r="AG255" s="1">
        <v>0</v>
      </c>
      <c r="AH255" s="119">
        <v>0.52083333333333337</v>
      </c>
      <c r="AJ255" s="93">
        <v>175</v>
      </c>
      <c r="AK255" s="3">
        <v>180</v>
      </c>
      <c r="AN255" s="80">
        <f>360-AK255-AB255</f>
        <v>100</v>
      </c>
      <c r="AP255" s="13">
        <f>AVERAGE(AO253:AO259)</f>
        <v>2009.9999999999909</v>
      </c>
      <c r="AQ255" s="15"/>
      <c r="AR255" s="17" t="e">
        <f>(E255-W255)/E255</f>
        <v>#VALUE!</v>
      </c>
      <c r="AS255" s="16" t="e">
        <f>(I255-AF255)/I255</f>
        <v>#DIV/0!</v>
      </c>
      <c r="AT255" s="16" t="e">
        <f>AG255/(AD255-AF255)</f>
        <v>#DIV/0!</v>
      </c>
      <c r="AU255" s="16" t="e">
        <f>(G255-AM255)/G255</f>
        <v>#DIV/0!</v>
      </c>
      <c r="AV255" s="57" t="str">
        <f>IF(AND(ISNUMBER(E255),ISNUMBER(W255)),E255-W255,"")</f>
        <v/>
      </c>
      <c r="AW255" s="57" t="str">
        <f>IF(AND(ISNUMBER(I255),ISNUMBER(AF255)),I255-AF255,"")</f>
        <v/>
      </c>
      <c r="AX255" s="57" t="str">
        <f>IF(AND(ISNUMBER(AM255),ISNUMBER(G255)),G255-AM255,"")</f>
        <v/>
      </c>
      <c r="AY255" s="57" t="str">
        <f>IF(AND(ISNUMBER(AC255),ISNUMBER(AE255)),AC255-AE255,"")</f>
        <v/>
      </c>
      <c r="AZ255" s="57" t="str">
        <f>IF(AND(ISNUMBER(AL255),ISNUMBER(AM255)),AL255-AM255,"")</f>
        <v/>
      </c>
      <c r="BA255" s="123" t="str">
        <f>IF(AND($E255&gt;0,$W255&gt;0),IF(($E255-$W255)/$E255&gt;0,($E255-$W255)/$E255,0),"")</f>
        <v/>
      </c>
      <c r="BB255" s="123" t="str">
        <f>IF(AND($I255&gt;0,$AF255&gt;=0),IF(($I255-$AF255)/$I255&gt;0,($I255-$AF255)/$I255,0),"")</f>
        <v/>
      </c>
      <c r="BC255" s="123"/>
      <c r="BD255" s="123" t="str">
        <f>IF(AND($G255&gt;0,$AM255&gt;0),IF(($G255-$AM255)/$G255&gt;0,($G255-$AM255)/$G255,0),"")</f>
        <v/>
      </c>
      <c r="BE255" s="6" t="str">
        <f>IF((AD255-AF255)/(AJ255/60)&lt;=0,"",(AD255-AF255)/(AJ255/60))</f>
        <v/>
      </c>
      <c r="BF255" s="6" t="str">
        <f>IF(OR(AJ255=0,AP255=0,NOT(ISNUMBER(AD255)),NOT(ISNUMBER(AF255)),NOT(ISNUMBER(AJ255)),NOT(ISNUMBER(AP255))),"",
IFERROR(IF((AD255-AF255)/(AJ255/60)/(AP255/1000)&lt;=0,"",(AD255-AF255)/(AJ255/60)/(AP255/1000)),""))</f>
        <v/>
      </c>
    </row>
    <row r="256" spans="1:58" ht="15.75">
      <c r="A256" s="12" t="s">
        <v>120</v>
      </c>
      <c r="B256" s="94">
        <v>45516</v>
      </c>
      <c r="C256" s="1">
        <v>12</v>
      </c>
      <c r="D256" s="3">
        <v>251</v>
      </c>
      <c r="E256" s="205" t="str">
        <f t="shared" si="15"/>
        <v/>
      </c>
      <c r="G256" s="124">
        <v>13.240000000000002</v>
      </c>
      <c r="H256" s="9">
        <f>2*1.29</f>
        <v>2.58</v>
      </c>
      <c r="I256" s="15">
        <f>AD256</f>
        <v>17.549999999999997</v>
      </c>
      <c r="K256" s="10" t="str">
        <f t="shared" si="16"/>
        <v/>
      </c>
      <c r="L256" s="9" t="str">
        <f t="shared" si="17"/>
        <v/>
      </c>
      <c r="M256" s="8">
        <f t="shared" si="18"/>
        <v>2.6510574018126878</v>
      </c>
      <c r="N256" s="7">
        <f>2*6.35</f>
        <v>12.7</v>
      </c>
      <c r="Q256" s="6">
        <f>O256*1.067</f>
        <v>0</v>
      </c>
      <c r="R256" s="6">
        <f>P256*1.514</f>
        <v>0</v>
      </c>
      <c r="S256" s="23">
        <f>P256*1.514+O256*1.067</f>
        <v>0</v>
      </c>
      <c r="T256" s="6">
        <f>2*8.78</f>
        <v>17.559999999999999</v>
      </c>
      <c r="W256" s="23">
        <f>U256*1.067+V256*1.514</f>
        <v>0</v>
      </c>
      <c r="AB256" s="5">
        <v>80</v>
      </c>
      <c r="AC256" s="7">
        <f>T256</f>
        <v>17.559999999999999</v>
      </c>
      <c r="AD256" s="1">
        <f>5*3.51</f>
        <v>17.549999999999997</v>
      </c>
      <c r="AE256" s="1">
        <f>2*7.06</f>
        <v>14.12</v>
      </c>
      <c r="AF256" s="1">
        <v>0.129</v>
      </c>
      <c r="AG256" s="1">
        <v>0</v>
      </c>
      <c r="AH256" s="119">
        <v>0.52083333333333337</v>
      </c>
      <c r="AJ256" s="93">
        <v>175</v>
      </c>
      <c r="AK256" s="3">
        <v>180</v>
      </c>
      <c r="AL256" s="4">
        <f>AE256</f>
        <v>14.12</v>
      </c>
      <c r="AM256" s="1">
        <f>2*5.25</f>
        <v>10.5</v>
      </c>
      <c r="AN256" s="80">
        <f>360-AK256-AB256</f>
        <v>100</v>
      </c>
      <c r="AP256" s="13">
        <f>AVERAGE(AO254:AO260)</f>
        <v>2009.9999999999909</v>
      </c>
      <c r="AQ256" s="15"/>
      <c r="AR256" s="17" t="e">
        <f>(E256-W256)/E256</f>
        <v>#VALUE!</v>
      </c>
      <c r="AS256" s="16">
        <f>(I256-AF256)/I256</f>
        <v>0.99264957264957254</v>
      </c>
      <c r="AT256" s="16">
        <f>AG256/(AD256-AF256)</f>
        <v>0</v>
      </c>
      <c r="AU256" s="16">
        <f>(G256-AM256)/G256</f>
        <v>0.20694864048338379</v>
      </c>
      <c r="AV256" s="57" t="str">
        <f>IF(AND(ISNUMBER(E256),ISNUMBER(W256)),E256-W256,"")</f>
        <v/>
      </c>
      <c r="AW256" s="57">
        <f>IF(AND(ISNUMBER(I256),ISNUMBER(AF256)),I256-AF256,"")</f>
        <v>17.420999999999996</v>
      </c>
      <c r="AX256" s="57">
        <f>IF(AND(ISNUMBER(AM256),ISNUMBER(G256)),G256-AM256,"")</f>
        <v>2.740000000000002</v>
      </c>
      <c r="AY256" s="57">
        <f>IF(AND(ISNUMBER(AC256),ISNUMBER(AE256)),AC256-AE256,"")</f>
        <v>3.4399999999999995</v>
      </c>
      <c r="AZ256" s="57">
        <f>IF(AND(ISNUMBER(AL256),ISNUMBER(AM256)),AL256-AM256,"")</f>
        <v>3.6199999999999992</v>
      </c>
      <c r="BA256" s="123" t="str">
        <f>IF(AND($E256&gt;0,$W256&gt;0),IF(($E256-$W256)/$E256&gt;0,($E256-$W256)/$E256,0),"")</f>
        <v/>
      </c>
      <c r="BB256" s="123">
        <f>IF(AND($I256&gt;0,$AF256&gt;=0),IF(($I256-$AF256)/$I256&gt;0,($I256-$AF256)/$I256,0),"")</f>
        <v>0.99264957264957254</v>
      </c>
      <c r="BC256" s="123">
        <f>IF(AND($AG256&gt;=0,$AD256&gt;=0,$AF256&gt;=0),IF($AG256/($AD256-$AF256)&gt;0,$AG256/($AD256-$AF256),0),"")</f>
        <v>0</v>
      </c>
      <c r="BD256" s="123">
        <f>IF(AND($G256&gt;0,$AM256&gt;0),IF(($G256-$AM256)/$G256&gt;0,($G256-$AM256)/$G256,0),"")</f>
        <v>0.20694864048338379</v>
      </c>
      <c r="BE256" s="6">
        <f>IF((AD256-AF256)/(AJ256/60)&lt;=0,"",(AD256-AF256)/(AJ256/60))</f>
        <v>5.9729142857142845</v>
      </c>
      <c r="BF256" s="6">
        <f>IF(OR(AJ256=0,AP256=0,NOT(ISNUMBER(AD256)),NOT(ISNUMBER(AF256)),NOT(ISNUMBER(AJ256)),NOT(ISNUMBER(AP256))),"",
IFERROR(IF((AD256-AF256)/(AJ256/60)/(AP256/1000)&lt;=0,"",(AD256-AF256)/(AJ256/60)/(AP256/1000)),""))</f>
        <v>2.9715991471215482</v>
      </c>
    </row>
    <row r="257" spans="1:58" ht="15.75">
      <c r="A257" s="122" t="s">
        <v>119</v>
      </c>
      <c r="B257" s="94">
        <v>45517</v>
      </c>
      <c r="C257" s="1">
        <v>13</v>
      </c>
      <c r="D257" s="3">
        <v>252</v>
      </c>
      <c r="E257" s="205">
        <f t="shared" si="15"/>
        <v>218.51859199999998</v>
      </c>
      <c r="G257" s="15">
        <f>(N257*18-H257*18)/9</f>
        <v>13.240000000000002</v>
      </c>
      <c r="H257" s="9">
        <f>2*2.92</f>
        <v>5.84</v>
      </c>
      <c r="I257" s="15">
        <f>AD257</f>
        <v>18.75</v>
      </c>
      <c r="K257" s="10">
        <f t="shared" si="16"/>
        <v>16.5044253776435</v>
      </c>
      <c r="L257" s="9">
        <f t="shared" si="17"/>
        <v>5.827162453333333</v>
      </c>
      <c r="M257" s="8">
        <f t="shared" si="18"/>
        <v>2.8323262839879151</v>
      </c>
      <c r="N257" s="7">
        <f>2*6.23</f>
        <v>12.46</v>
      </c>
      <c r="O257">
        <v>78.64</v>
      </c>
      <c r="P257">
        <v>16.744</v>
      </c>
      <c r="Q257" s="6">
        <f>O257*1.067</f>
        <v>83.908879999999996</v>
      </c>
      <c r="R257" s="6">
        <f>P257*1.514</f>
        <v>25.350415999999999</v>
      </c>
      <c r="S257" s="23">
        <f>P257*1.514+O257*1.067</f>
        <v>109.25929599999999</v>
      </c>
      <c r="T257" s="6">
        <f>2*7.59</f>
        <v>15.18</v>
      </c>
      <c r="U257">
        <v>0.55000000000000004</v>
      </c>
      <c r="V257">
        <v>0.253</v>
      </c>
      <c r="W257" s="23">
        <f>U257*1.067+V257*1.514</f>
        <v>0.96989199999999998</v>
      </c>
      <c r="X257" s="6">
        <v>8.5500000000000007</v>
      </c>
      <c r="AB257" s="5">
        <v>80</v>
      </c>
      <c r="AC257" s="4">
        <f>2*6.67</f>
        <v>13.34</v>
      </c>
      <c r="AD257" s="1">
        <f>5*3.75</f>
        <v>18.75</v>
      </c>
      <c r="AE257" s="1">
        <f>2*6.67</f>
        <v>13.34</v>
      </c>
      <c r="AF257" s="1">
        <f>5*1.49</f>
        <v>7.45</v>
      </c>
      <c r="AG257">
        <v>0.15</v>
      </c>
      <c r="AH257" s="119">
        <v>0.53784722222222225</v>
      </c>
      <c r="AJ257" s="93">
        <v>175</v>
      </c>
      <c r="AK257" s="3">
        <v>180</v>
      </c>
      <c r="AL257" s="4">
        <f>AE257</f>
        <v>13.34</v>
      </c>
      <c r="AM257" s="1">
        <f>5.7*2</f>
        <v>11.4</v>
      </c>
      <c r="AN257" s="80">
        <f>360-AK257-AB257</f>
        <v>100</v>
      </c>
      <c r="AO257" s="2">
        <v>2009.9999999999909</v>
      </c>
      <c r="AP257" s="13">
        <f>AVERAGE(AO255:AO261)</f>
        <v>2009.9999999999909</v>
      </c>
      <c r="AQ257" s="15">
        <v>17.238421955402778</v>
      </c>
      <c r="AR257" s="17">
        <f>(E257-W257)/E257</f>
        <v>0.99556151267897608</v>
      </c>
      <c r="AS257" s="16">
        <f>(I257-AF257)/I257</f>
        <v>0.60266666666666668</v>
      </c>
      <c r="AT257" s="16">
        <f>AG257/(AD257-AF257)</f>
        <v>1.3274336283185839E-2</v>
      </c>
      <c r="AU257" s="16">
        <f>(G257-AM257)/G257</f>
        <v>0.13897280966767381</v>
      </c>
      <c r="AV257" s="57">
        <f>IF(AND(ISNUMBER(E257),ISNUMBER(W257)),E257-W257,"")</f>
        <v>217.5487</v>
      </c>
      <c r="AW257" s="57">
        <f>IF(AND(ISNUMBER(I257),ISNUMBER(AF257)),I257-AF257,"")</f>
        <v>11.3</v>
      </c>
      <c r="AX257" s="57">
        <f>IF(AND(ISNUMBER(AM257),ISNUMBER(G257)),G257-AM257,"")</f>
        <v>1.8400000000000016</v>
      </c>
      <c r="AY257" s="57">
        <f>IF(AND(ISNUMBER(AC257),ISNUMBER(AE257)),AC257-AE257,"")</f>
        <v>0</v>
      </c>
      <c r="AZ257" s="57">
        <f>IF(AND(ISNUMBER(AL257),ISNUMBER(AM257)),AL257-AM257,"")</f>
        <v>1.9399999999999995</v>
      </c>
      <c r="BA257" s="123">
        <f>IF(AND($E257&gt;0,$W257&gt;0),IF(($E257-$W257)/$E257&gt;0,($E257-$W257)/$E257,0),"")</f>
        <v>0.99556151267897608</v>
      </c>
      <c r="BB257" s="123">
        <f>IF(AND($I257&gt;0,$AF257&gt;=0),IF(($I257-$AF257)/$I257&gt;0,($I257-$AF257)/$I257,0),"")</f>
        <v>0.60266666666666668</v>
      </c>
      <c r="BC257" s="123">
        <f>IF(AND($AG257&gt;=0,$AD257&gt;=0,$AF257&gt;=0),IF($AG257/($AD257-$AF257)&gt;0,$AG257/($AD257-$AF257),0),"")</f>
        <v>1.3274336283185839E-2</v>
      </c>
      <c r="BD257" s="123">
        <f>IF(AND($G257&gt;0,$AM257&gt;0),IF(($G257-$AM257)/$G257&gt;0,($G257-$AM257)/$G257,0),"")</f>
        <v>0.13897280966767381</v>
      </c>
      <c r="BE257" s="6">
        <f>IF((AD257-AF257)/(AJ257/60)&lt;=0,"",(AD257-AF257)/(AJ257/60))</f>
        <v>3.8742857142857146</v>
      </c>
      <c r="BF257" s="6"/>
    </row>
    <row r="258" spans="1:58" ht="15.75">
      <c r="B258" s="94">
        <v>45518</v>
      </c>
      <c r="C258" s="1">
        <v>14</v>
      </c>
      <c r="D258" s="3">
        <v>253</v>
      </c>
      <c r="E258" s="205" t="str">
        <f t="shared" si="15"/>
        <v/>
      </c>
      <c r="I258" s="15">
        <f>AD258</f>
        <v>18.75</v>
      </c>
      <c r="K258" s="10" t="str">
        <f t="shared" si="16"/>
        <v/>
      </c>
      <c r="L258" s="9" t="str">
        <f t="shared" si="17"/>
        <v/>
      </c>
      <c r="M258" s="8" t="str">
        <f t="shared" si="18"/>
        <v/>
      </c>
      <c r="X258" s="6">
        <v>8.15</v>
      </c>
      <c r="AB258" s="5">
        <v>80</v>
      </c>
      <c r="AD258" s="93">
        <v>18.75</v>
      </c>
      <c r="AG258">
        <v>0.31</v>
      </c>
      <c r="AH258" s="119">
        <v>0.51770833333333333</v>
      </c>
      <c r="AJ258">
        <v>83</v>
      </c>
      <c r="AK258" s="3">
        <v>180</v>
      </c>
      <c r="AN258" s="80">
        <f>360-AK258-AB258</f>
        <v>100</v>
      </c>
      <c r="AP258" s="13">
        <f>AVERAGE(AO256:AO262)</f>
        <v>2009.9999999999909</v>
      </c>
      <c r="AQ258" s="15"/>
      <c r="AR258" s="17" t="e">
        <f>(E258-W258)/E258</f>
        <v>#VALUE!</v>
      </c>
      <c r="AS258" s="16">
        <f>(I258-AF258)/I258</f>
        <v>1</v>
      </c>
      <c r="AT258" s="16">
        <f>AG258/(AD258-AF258)</f>
        <v>1.6533333333333334E-2</v>
      </c>
      <c r="AU258" s="16" t="e">
        <f>(G258-AM258)/G258</f>
        <v>#DIV/0!</v>
      </c>
      <c r="AV258" s="57" t="str">
        <f>IF(AND(ISNUMBER(E258),ISNUMBER(W258)),E258-W258,"")</f>
        <v/>
      </c>
      <c r="AW258" s="57" t="str">
        <f>IF(AND(ISNUMBER(I258),ISNUMBER(AF258)),I258-AF258,"")</f>
        <v/>
      </c>
      <c r="AX258" s="57" t="str">
        <f>IF(AND(ISNUMBER(AM258),ISNUMBER(G258)),G258-AM258,"")</f>
        <v/>
      </c>
      <c r="AY258" s="57" t="str">
        <f>IF(AND(ISNUMBER(AC258),ISNUMBER(AE258)),AC258-AE258,"")</f>
        <v/>
      </c>
      <c r="AZ258" s="57" t="str">
        <f>IF(AND(ISNUMBER(AL258),ISNUMBER(AM258)),AL258-AM258,"")</f>
        <v/>
      </c>
      <c r="BA258" s="123" t="str">
        <f>IF(AND($E258&gt;0,$W258&gt;0),IF(($E258-$W258)/$E258&gt;0,($E258-$W258)/$E258,0),"")</f>
        <v/>
      </c>
      <c r="BB258" s="123">
        <f>IF(AND($I258&gt;0,$AF258&gt;=0),IF(($I258-$AF258)/$I258&gt;0,($I258-$AF258)/$I258,0),"")</f>
        <v>1</v>
      </c>
      <c r="BC258" s="123"/>
      <c r="BD258" s="123" t="str">
        <f>IF(AND($G258&gt;0,$AM258&gt;0),IF(($G258-$AM258)/$G258&gt;0,($G258-$AM258)/$G258,0),"")</f>
        <v/>
      </c>
      <c r="BE258" s="6">
        <f>IF((AD258-AF258)/(AJ258/60)&lt;=0,"",(AD258-AF258)/(AJ258/60))</f>
        <v>13.554216867469879</v>
      </c>
      <c r="BF258" s="6" t="str">
        <f>IF(OR(AJ258=0,AP258=0,NOT(ISNUMBER(AD258)),NOT(ISNUMBER(AF258)),NOT(ISNUMBER(AJ258)),NOT(ISNUMBER(AP258))),"",
IFERROR(IF((AD258-AF258)/(AJ258/60)/(AP258/1000)&lt;=0,"",(AD258-AF258)/(AJ258/60)/(AP258/1000)),""))</f>
        <v/>
      </c>
    </row>
    <row r="259" spans="1:58" ht="15.75">
      <c r="B259" s="94">
        <v>45519</v>
      </c>
      <c r="C259" s="1">
        <v>15</v>
      </c>
      <c r="D259" s="3">
        <v>254</v>
      </c>
      <c r="E259" s="205" t="str">
        <f t="shared" si="15"/>
        <v/>
      </c>
      <c r="I259" s="15">
        <f>AD259</f>
        <v>18.75</v>
      </c>
      <c r="K259" s="10" t="str">
        <f t="shared" si="16"/>
        <v/>
      </c>
      <c r="L259" s="9" t="str">
        <f t="shared" si="17"/>
        <v/>
      </c>
      <c r="M259" s="8" t="str">
        <f t="shared" si="18"/>
        <v/>
      </c>
      <c r="X259" s="6">
        <v>5.38</v>
      </c>
      <c r="AB259" s="5">
        <v>80</v>
      </c>
      <c r="AD259" s="93">
        <v>18.75</v>
      </c>
      <c r="AG259">
        <v>0.17</v>
      </c>
      <c r="AH259" s="119">
        <v>0.53703703703703709</v>
      </c>
      <c r="AJ259" s="93">
        <v>88</v>
      </c>
      <c r="AK259" s="3">
        <v>180</v>
      </c>
      <c r="AN259" s="80">
        <f>360-AK259-AB259</f>
        <v>100</v>
      </c>
      <c r="AP259" s="13">
        <f>AVERAGE(AO257:AO263)</f>
        <v>2009.9999999999909</v>
      </c>
      <c r="AQ259" s="15"/>
      <c r="AR259" s="17" t="e">
        <f>(E259-W259)/E259</f>
        <v>#VALUE!</v>
      </c>
      <c r="AS259" s="16">
        <f>(I259-AF259)/I259</f>
        <v>1</v>
      </c>
      <c r="AT259" s="16">
        <f>AG259/(AD259-AF259)</f>
        <v>9.0666666666666673E-3</v>
      </c>
      <c r="AU259" s="16" t="e">
        <f>(G259-AM259)/G259</f>
        <v>#DIV/0!</v>
      </c>
      <c r="AV259" s="57" t="str">
        <f>IF(AND(ISNUMBER(E259),ISNUMBER(W259)),E259-W259,"")</f>
        <v/>
      </c>
      <c r="AW259" s="57" t="str">
        <f>IF(AND(ISNUMBER(I259),ISNUMBER(AF259)),I259-AF259,"")</f>
        <v/>
      </c>
      <c r="AX259" s="57" t="str">
        <f>IF(AND(ISNUMBER(AM259),ISNUMBER(G259)),G259-AM259,"")</f>
        <v/>
      </c>
      <c r="AY259" s="57" t="str">
        <f>IF(AND(ISNUMBER(AC259),ISNUMBER(AE259)),AC259-AE259,"")</f>
        <v/>
      </c>
      <c r="AZ259" s="57" t="str">
        <f>IF(AND(ISNUMBER(AL259),ISNUMBER(AM259)),AL259-AM259,"")</f>
        <v/>
      </c>
      <c r="BA259" s="123" t="str">
        <f>IF(AND($E259&gt;0,$W259&gt;0),IF(($E259-$W259)/$E259&gt;0,($E259-$W259)/$E259,0),"")</f>
        <v/>
      </c>
      <c r="BB259" s="123">
        <f>IF(AND($I259&gt;0,$AF259&gt;=0),IF(($I259-$AF259)/$I259&gt;0,($I259-$AF259)/$I259,0),"")</f>
        <v>1</v>
      </c>
      <c r="BC259" s="123"/>
      <c r="BD259" s="123" t="str">
        <f>IF(AND($G259&gt;0,$AM259&gt;0),IF(($G259-$AM259)/$G259&gt;0,($G259-$AM259)/$G259,0),"")</f>
        <v/>
      </c>
      <c r="BE259" s="6">
        <f>IF((AD259-AF259)/(AJ259/60)&lt;=0,"",(AD259-AF259)/(AJ259/60))</f>
        <v>12.78409090909091</v>
      </c>
      <c r="BF259" s="6" t="str">
        <f>IF(OR(AJ259=0,AP259=0,NOT(ISNUMBER(AD259)),NOT(ISNUMBER(AF259)),NOT(ISNUMBER(AJ259)),NOT(ISNUMBER(AP259))),"",
IFERROR(IF((AD259-AF259)/(AJ259/60)/(AP259/1000)&lt;=0,"",(AD259-AF259)/(AJ259/60)/(AP259/1000)),""))</f>
        <v/>
      </c>
    </row>
    <row r="260" spans="1:58" ht="15.75">
      <c r="B260" s="94">
        <v>45520</v>
      </c>
      <c r="C260" s="1">
        <v>16</v>
      </c>
      <c r="D260" s="3">
        <v>255</v>
      </c>
      <c r="E260" s="205" t="str">
        <f t="shared" si="15"/>
        <v/>
      </c>
      <c r="I260" s="15">
        <f>AD260</f>
        <v>18.75</v>
      </c>
      <c r="K260" s="10" t="str">
        <f t="shared" si="16"/>
        <v/>
      </c>
      <c r="L260" s="9" t="str">
        <f t="shared" si="17"/>
        <v/>
      </c>
      <c r="M260" s="8" t="str">
        <f t="shared" si="18"/>
        <v/>
      </c>
      <c r="X260" s="6">
        <v>6.41</v>
      </c>
      <c r="AB260" s="5">
        <v>80</v>
      </c>
      <c r="AD260" s="93">
        <v>18.75</v>
      </c>
      <c r="AJ260">
        <v>93</v>
      </c>
      <c r="AK260" s="3">
        <v>180</v>
      </c>
      <c r="AN260" s="80">
        <f>360-AK260-AB260</f>
        <v>100</v>
      </c>
      <c r="AP260" s="13">
        <f>AVERAGE(AO258:AO264)</f>
        <v>2210.0000000000364</v>
      </c>
      <c r="AQ260" s="15"/>
      <c r="AR260" s="17" t="e">
        <f>(E260-W260)/E260</f>
        <v>#VALUE!</v>
      </c>
      <c r="AS260" s="16">
        <f>(I260-AF260)/I260</f>
        <v>1</v>
      </c>
      <c r="AT260" s="16">
        <f>AG260/(AD260-AF260)</f>
        <v>0</v>
      </c>
      <c r="AU260" s="16" t="e">
        <f>(G260-AM260)/G260</f>
        <v>#DIV/0!</v>
      </c>
      <c r="AV260" s="57" t="str">
        <f>IF(AND(ISNUMBER(E260),ISNUMBER(W260)),E260-W260,"")</f>
        <v/>
      </c>
      <c r="AW260" s="57" t="str">
        <f>IF(AND(ISNUMBER(I260),ISNUMBER(AF260)),I260-AF260,"")</f>
        <v/>
      </c>
      <c r="AX260" s="57" t="str">
        <f>IF(AND(ISNUMBER(AM260),ISNUMBER(G260)),G260-AM260,"")</f>
        <v/>
      </c>
      <c r="AY260" s="57" t="str">
        <f>IF(AND(ISNUMBER(AC260),ISNUMBER(AE260)),AC260-AE260,"")</f>
        <v/>
      </c>
      <c r="AZ260" s="57" t="str">
        <f>IF(AND(ISNUMBER(AL260),ISNUMBER(AM260)),AL260-AM260,"")</f>
        <v/>
      </c>
      <c r="BA260" s="123" t="str">
        <f>IF(AND($E260&gt;0,$W260&gt;0),IF(($E260-$W260)/$E260&gt;0,($E260-$W260)/$E260,0),"")</f>
        <v/>
      </c>
      <c r="BB260" s="123">
        <f>IF(AND($I260&gt;0,$AF260&gt;=0),IF(($I260-$AF260)/$I260&gt;0,($I260-$AF260)/$I260,0),"")</f>
        <v>1</v>
      </c>
      <c r="BC260" s="123"/>
      <c r="BD260" s="123" t="str">
        <f>IF(AND($G260&gt;0,$AM260&gt;0),IF(($G260-$AM260)/$G260&gt;0,($G260-$AM260)/$G260,0),"")</f>
        <v/>
      </c>
      <c r="BE260" s="6">
        <f>IF((AD260-AF260)/(AJ260/60)&lt;=0,"",(AD260-AF260)/(AJ260/60))</f>
        <v>12.096774193548386</v>
      </c>
      <c r="BF260" s="6" t="str">
        <f>IF(OR(AJ260=0,AP260=0,NOT(ISNUMBER(AD260)),NOT(ISNUMBER(AF260)),NOT(ISNUMBER(AJ260)),NOT(ISNUMBER(AP260))),"",
IFERROR(IF((AD260-AF260)/(AJ260/60)/(AP260/1000)&lt;=0,"",(AD260-AF260)/(AJ260/60)/(AP260/1000)),""))</f>
        <v/>
      </c>
    </row>
    <row r="261" spans="1:58" ht="15.75">
      <c r="A261" s="12" t="s">
        <v>118</v>
      </c>
      <c r="B261" s="94">
        <v>45521</v>
      </c>
      <c r="C261" s="1">
        <v>17</v>
      </c>
      <c r="D261" s="3">
        <v>256</v>
      </c>
      <c r="E261" s="205" t="str">
        <f t="shared" si="15"/>
        <v/>
      </c>
      <c r="I261" s="15">
        <f>AD261</f>
        <v>18.75</v>
      </c>
      <c r="K261" s="10" t="str">
        <f t="shared" si="16"/>
        <v/>
      </c>
      <c r="L261" s="9" t="str">
        <f t="shared" si="17"/>
        <v/>
      </c>
      <c r="M261" s="8" t="str">
        <f t="shared" si="18"/>
        <v/>
      </c>
      <c r="X261" s="6">
        <v>5.68</v>
      </c>
      <c r="AB261" s="5">
        <v>80</v>
      </c>
      <c r="AD261" s="93">
        <v>18.75</v>
      </c>
      <c r="AK261" s="3">
        <v>180</v>
      </c>
      <c r="AN261" s="80">
        <f>360-AK261-AB261</f>
        <v>100</v>
      </c>
      <c r="AP261" s="13">
        <f>AVERAGE(AO259:AO265)</f>
        <v>2210.0000000000364</v>
      </c>
      <c r="AQ261" s="15"/>
      <c r="AR261" s="17" t="e">
        <f>(E261-W261)/E261</f>
        <v>#VALUE!</v>
      </c>
      <c r="AS261" s="16">
        <f>(I261-AF261)/I261</f>
        <v>1</v>
      </c>
      <c r="AT261" s="16">
        <f>AG261/(AD261-AF261)</f>
        <v>0</v>
      </c>
      <c r="AU261" s="16" t="e">
        <f>(G261-AM261)/G261</f>
        <v>#DIV/0!</v>
      </c>
      <c r="AV261" s="57" t="str">
        <f>IF(AND(ISNUMBER(E261),ISNUMBER(W261)),E261-W261,"")</f>
        <v/>
      </c>
      <c r="AW261" s="57" t="str">
        <f>IF(AND(ISNUMBER(I261),ISNUMBER(AF261)),I261-AF261,"")</f>
        <v/>
      </c>
      <c r="AX261" s="57" t="str">
        <f>IF(AND(ISNUMBER(AM261),ISNUMBER(G261)),G261-AM261,"")</f>
        <v/>
      </c>
      <c r="AY261" s="57" t="str">
        <f>IF(AND(ISNUMBER(AC261),ISNUMBER(AE261)),AC261-AE261,"")</f>
        <v/>
      </c>
      <c r="AZ261" s="57" t="str">
        <f>IF(AND(ISNUMBER(AL261),ISNUMBER(AM261)),AL261-AM261,"")</f>
        <v/>
      </c>
      <c r="BA261" s="123" t="str">
        <f>IF(AND($E261&gt;0,$W261&gt;0),IF(($E261-$W261)/$E261&gt;0,($E261-$W261)/$E261,0),"")</f>
        <v/>
      </c>
      <c r="BB261" s="123">
        <f>IF(AND($I261&gt;0,$AF261&gt;=0),IF(($I261-$AF261)/$I261&gt;0,($I261-$AF261)/$I261,0),"")</f>
        <v>1</v>
      </c>
      <c r="BC261" s="123"/>
      <c r="BD261" s="123" t="str">
        <f>IF(AND($G261&gt;0,$AM261&gt;0),IF(($G261-$AM261)/$G261&gt;0,($G261-$AM261)/$G261,0),"")</f>
        <v/>
      </c>
      <c r="BE261" s="6" t="e">
        <f>IF((AD261-AF261)/(AJ261/60)&lt;=0,"",(AD261-AF261)/(AJ261/60))</f>
        <v>#DIV/0!</v>
      </c>
      <c r="BF261" s="6" t="str">
        <f>IF(OR(AJ261=0,AP261=0,NOT(ISNUMBER(AD261)),NOT(ISNUMBER(AF261)),NOT(ISNUMBER(AJ261)),NOT(ISNUMBER(AP261))),"",
IFERROR(IF((AD261-AF261)/(AJ261/60)/(AP261/1000)&lt;=0,"",(AD261-AF261)/(AJ261/60)/(AP261/1000)),""))</f>
        <v/>
      </c>
    </row>
    <row r="262" spans="1:58" ht="15.75">
      <c r="B262" s="94">
        <v>45522</v>
      </c>
      <c r="C262" s="1">
        <v>18</v>
      </c>
      <c r="D262" s="3">
        <v>257</v>
      </c>
      <c r="E262" s="205" t="str">
        <f t="shared" si="15"/>
        <v/>
      </c>
      <c r="I262" s="15">
        <f>AD262</f>
        <v>18.75</v>
      </c>
      <c r="K262" s="10" t="str">
        <f t="shared" si="16"/>
        <v/>
      </c>
      <c r="L262" s="9" t="str">
        <f t="shared" si="17"/>
        <v/>
      </c>
      <c r="M262" s="8" t="str">
        <f t="shared" si="18"/>
        <v/>
      </c>
      <c r="X262" s="6">
        <v>7.44</v>
      </c>
      <c r="AB262" s="5">
        <v>80</v>
      </c>
      <c r="AD262" s="93">
        <v>18.75</v>
      </c>
      <c r="AF262" s="93">
        <v>0</v>
      </c>
      <c r="AK262" s="3">
        <v>180</v>
      </c>
      <c r="AN262" s="80">
        <f>360-AK262-AB262</f>
        <v>100</v>
      </c>
      <c r="AP262" s="13">
        <f>AVERAGE(AO260:AO266)</f>
        <v>2210.0000000000364</v>
      </c>
      <c r="AQ262" s="15"/>
      <c r="AR262" s="17" t="e">
        <f>(E262-W262)/E262</f>
        <v>#VALUE!</v>
      </c>
      <c r="AS262" s="16">
        <f>(I262-AF262)/I262</f>
        <v>1</v>
      </c>
      <c r="AT262" s="16">
        <f>AG262/(AD262-AF262)</f>
        <v>0</v>
      </c>
      <c r="AU262" s="16" t="e">
        <f>(G262-AM262)/G262</f>
        <v>#DIV/0!</v>
      </c>
      <c r="AV262" s="57" t="str">
        <f>IF(AND(ISNUMBER(E262),ISNUMBER(W262)),E262-W262,"")</f>
        <v/>
      </c>
      <c r="AW262" s="57">
        <f>IF(AND(ISNUMBER(I262),ISNUMBER(AF262)),I262-AF262,"")</f>
        <v>18.75</v>
      </c>
      <c r="AX262" s="57" t="str">
        <f>IF(AND(ISNUMBER(AM262),ISNUMBER(G262)),G262-AM262,"")</f>
        <v/>
      </c>
      <c r="AY262" s="57" t="str">
        <f>IF(AND(ISNUMBER(AC262),ISNUMBER(AE262)),AC262-AE262,"")</f>
        <v/>
      </c>
      <c r="AZ262" s="57" t="str">
        <f>IF(AND(ISNUMBER(AL262),ISNUMBER(AM262)),AL262-AM262,"")</f>
        <v/>
      </c>
      <c r="BA262" s="123" t="str">
        <f>IF(AND($E262&gt;0,$W262&gt;0),IF(($E262-$W262)/$E262&gt;0,($E262-$W262)/$E262,0),"")</f>
        <v/>
      </c>
      <c r="BB262" s="123">
        <f>IF(AND($I262&gt;0,$AF262&gt;=0),IF(($I262-$AF262)/$I262&gt;0,($I262-$AF262)/$I262,0),"")</f>
        <v>1</v>
      </c>
      <c r="BC262" s="123"/>
      <c r="BD262" s="123" t="str">
        <f>IF(AND($G262&gt;0,$AM262&gt;0),IF(($G262-$AM262)/$G262&gt;0,($G262-$AM262)/$G262,0),"")</f>
        <v/>
      </c>
      <c r="BE262" s="6" t="e">
        <f>IF((AD262-AF262)/(AJ262/60)&lt;=0,"",(AD262-AF262)/(AJ262/60))</f>
        <v>#DIV/0!</v>
      </c>
      <c r="BF262" s="6" t="str">
        <f>IF(OR(AJ262=0,AP262=0,NOT(ISNUMBER(AD262)),NOT(ISNUMBER(AF262)),NOT(ISNUMBER(AJ262)),NOT(ISNUMBER(AP262))),"",
IFERROR(IF((AD262-AF262)/(AJ262/60)/(AP262/1000)&lt;=0,"",(AD262-AF262)/(AJ262/60)/(AP262/1000)),""))</f>
        <v/>
      </c>
    </row>
    <row r="263" spans="1:58" ht="15.75">
      <c r="A263" s="12" t="s">
        <v>117</v>
      </c>
      <c r="B263" s="94">
        <v>45523</v>
      </c>
      <c r="C263" s="1">
        <v>19</v>
      </c>
      <c r="D263" s="3">
        <v>258</v>
      </c>
      <c r="E263" s="205" t="str">
        <f t="shared" ref="E263:E326" si="19">IF(OR(S263="",S263=0),"",S263*2)</f>
        <v/>
      </c>
      <c r="I263" s="15">
        <f>AD263</f>
        <v>18.75</v>
      </c>
      <c r="K263" s="10" t="str">
        <f t="shared" si="16"/>
        <v/>
      </c>
      <c r="L263" s="9" t="str">
        <f t="shared" si="17"/>
        <v/>
      </c>
      <c r="M263" s="8" t="str">
        <f t="shared" si="18"/>
        <v/>
      </c>
      <c r="X263" s="6">
        <v>8.27</v>
      </c>
      <c r="AB263" s="5">
        <v>80</v>
      </c>
      <c r="AD263" s="93">
        <v>18.75</v>
      </c>
      <c r="AF263" s="93">
        <v>0</v>
      </c>
      <c r="AK263" s="3">
        <v>180</v>
      </c>
      <c r="AN263" s="80">
        <f>360-AK263-AB263</f>
        <v>100</v>
      </c>
      <c r="AP263" s="13">
        <f>AVERAGE(AO261:AO267)</f>
        <v>2210.0000000000364</v>
      </c>
      <c r="AQ263" s="15"/>
      <c r="AR263" s="17" t="e">
        <f>(E263-W263)/E263</f>
        <v>#VALUE!</v>
      </c>
      <c r="AS263" s="16">
        <f>(I263-AF263)/I263</f>
        <v>1</v>
      </c>
      <c r="AT263" s="16">
        <f>AG263/(AD263-AF263)</f>
        <v>0</v>
      </c>
      <c r="AU263" s="16" t="e">
        <f>(G263-AM263)/G263</f>
        <v>#DIV/0!</v>
      </c>
      <c r="AV263" s="57" t="str">
        <f>IF(AND(ISNUMBER(E263),ISNUMBER(W263)),E263-W263,"")</f>
        <v/>
      </c>
      <c r="AW263" s="57">
        <f>IF(AND(ISNUMBER(I263),ISNUMBER(AF263)),I263-AF263,"")</f>
        <v>18.75</v>
      </c>
      <c r="AX263" s="57" t="str">
        <f>IF(AND(ISNUMBER(AM263),ISNUMBER(G263)),G263-AM263,"")</f>
        <v/>
      </c>
      <c r="AY263" s="57" t="str">
        <f>IF(AND(ISNUMBER(AC263),ISNUMBER(AE263)),AC263-AE263,"")</f>
        <v/>
      </c>
      <c r="AZ263" s="57" t="str">
        <f>IF(AND(ISNUMBER(AL263),ISNUMBER(AM263)),AL263-AM263,"")</f>
        <v/>
      </c>
      <c r="BA263" s="123" t="str">
        <f>IF(AND($E263&gt;0,$W263&gt;0),IF(($E263-$W263)/$E263&gt;0,($E263-$W263)/$E263,0),"")</f>
        <v/>
      </c>
      <c r="BB263" s="123">
        <f>IF(AND($I263&gt;0,$AF263&gt;=0),IF(($I263-$AF263)/$I263&gt;0,($I263-$AF263)/$I263,0),"")</f>
        <v>1</v>
      </c>
      <c r="BC263" s="123"/>
      <c r="BD263" s="123" t="str">
        <f>IF(AND($G263&gt;0,$AM263&gt;0),IF(($G263-$AM263)/$G263&gt;0,($G263-$AM263)/$G263,0),"")</f>
        <v/>
      </c>
      <c r="BE263" s="6" t="e">
        <f>IF((AD263-AF263)/(AJ263/60)&lt;=0,"",(AD263-AF263)/(AJ263/60))</f>
        <v>#DIV/0!</v>
      </c>
      <c r="BF263" s="6" t="str">
        <f>IF(OR(AJ263=0,AP263=0,NOT(ISNUMBER(AD263)),NOT(ISNUMBER(AF263)),NOT(ISNUMBER(AJ263)),NOT(ISNUMBER(AP263))),"",
IFERROR(IF((AD263-AF263)/(AJ263/60)/(AP263/1000)&lt;=0,"",(AD263-AF263)/(AJ263/60)/(AP263/1000)),""))</f>
        <v/>
      </c>
    </row>
    <row r="264" spans="1:58" ht="15.75">
      <c r="A264" s="12" t="s">
        <v>116</v>
      </c>
      <c r="B264" s="94">
        <v>45524</v>
      </c>
      <c r="C264" s="1">
        <v>20</v>
      </c>
      <c r="D264" s="3">
        <v>259</v>
      </c>
      <c r="E264" s="205">
        <f t="shared" si="19"/>
        <v>249.41438199999996</v>
      </c>
      <c r="G264" s="15">
        <f>(N264*18-H264*18)/9</f>
        <v>11.400000000000006</v>
      </c>
      <c r="H264" s="9">
        <f>12.6</f>
        <v>12.6</v>
      </c>
      <c r="I264" s="15">
        <f>AD264</f>
        <v>16.850000000000001</v>
      </c>
      <c r="K264" s="10">
        <f t="shared" si="16"/>
        <v>21.878454561403494</v>
      </c>
      <c r="L264" s="9">
        <f t="shared" si="17"/>
        <v>7.4010202373887219</v>
      </c>
      <c r="M264" s="8">
        <f t="shared" si="18"/>
        <v>2.9561403508771917</v>
      </c>
      <c r="N264" s="7">
        <v>18.3</v>
      </c>
      <c r="O264">
        <v>90.218999999999994</v>
      </c>
      <c r="P264">
        <v>18.786999999999999</v>
      </c>
      <c r="Q264" s="6">
        <f>O264*1.067</f>
        <v>96.263672999999983</v>
      </c>
      <c r="R264" s="6">
        <f>P264*1.514</f>
        <v>28.443517999999997</v>
      </c>
      <c r="S264" s="23">
        <f>P264*1.514+O264*1.067</f>
        <v>124.70719099999998</v>
      </c>
      <c r="T264" s="6">
        <v>21.8</v>
      </c>
      <c r="U264">
        <v>0.78300000000000003</v>
      </c>
      <c r="V264">
        <v>0.96299999999999997</v>
      </c>
      <c r="W264" s="23">
        <f>U264*1.067+V264*1.514</f>
        <v>2.2934429999999999</v>
      </c>
      <c r="AB264" s="5">
        <v>80</v>
      </c>
      <c r="AC264" s="7">
        <f>T264</f>
        <v>21.8</v>
      </c>
      <c r="AD264" s="1">
        <f>5*3.37</f>
        <v>16.850000000000001</v>
      </c>
      <c r="AE264" s="1">
        <f>23.2</f>
        <v>23.2</v>
      </c>
      <c r="AF264" s="1">
        <v>0</v>
      </c>
      <c r="AJ264" s="93">
        <v>109</v>
      </c>
      <c r="AK264" s="3">
        <v>180</v>
      </c>
      <c r="AL264" s="4">
        <f>AE264</f>
        <v>23.2</v>
      </c>
      <c r="AM264" s="1">
        <f>22.3</f>
        <v>22.3</v>
      </c>
      <c r="AN264" s="80">
        <f>360-AK264-AB264</f>
        <v>100</v>
      </c>
      <c r="AO264" s="2">
        <v>2210.0000000000364</v>
      </c>
      <c r="AP264" s="13">
        <f>AVERAGE(AO262:AO268)</f>
        <v>2210.0000000000364</v>
      </c>
      <c r="AQ264" s="15">
        <v>27.306425041183832</v>
      </c>
      <c r="AR264" s="17">
        <f>(E264-W264)/E264</f>
        <v>0.99080468823967016</v>
      </c>
      <c r="AS264" s="18">
        <f>(I264-AF264)/I264</f>
        <v>1</v>
      </c>
      <c r="AT264" s="16">
        <f>AG264/(AD264-AF264)</f>
        <v>0</v>
      </c>
      <c r="AU264" s="16">
        <f>(G264-AM264)/G264</f>
        <v>-0.95614035087719207</v>
      </c>
      <c r="AV264" s="57">
        <f>IF(AND(ISNUMBER(E264),ISNUMBER(W264)),E264-W264,"")</f>
        <v>247.12093899999996</v>
      </c>
      <c r="AW264" s="57">
        <f>IF(AND(ISNUMBER(I264),ISNUMBER(AF264)),I264-AF264,"")</f>
        <v>16.850000000000001</v>
      </c>
      <c r="AX264" s="57">
        <f>IF(AND(ISNUMBER(AM264),ISNUMBER(G264)),G264-AM264,"")</f>
        <v>-10.899999999999995</v>
      </c>
      <c r="AY264" s="57">
        <f>IF(AND(ISNUMBER(AC264),ISNUMBER(AE264)),AC264-AE264,"")</f>
        <v>-1.3999999999999986</v>
      </c>
      <c r="AZ264" s="57">
        <f>IF(AND(ISNUMBER(AL264),ISNUMBER(AM264)),AL264-AM264,"")</f>
        <v>0.89999999999999858</v>
      </c>
      <c r="BA264" s="123">
        <f>IF(AND($E264&gt;0,$W264&gt;0),IF(($E264-$W264)/$E264&gt;0,($E264-$W264)/$E264,0),"")</f>
        <v>0.99080468823967016</v>
      </c>
      <c r="BB264" s="123">
        <f>IF(AND($I264&gt;0,$AF264&gt;=0),IF(($I264-$AF264)/$I264&gt;0,($I264-$AF264)/$I264,0),"")</f>
        <v>1</v>
      </c>
      <c r="BC264" s="123">
        <f>IF(AND($AG264&gt;=0,$AD264&gt;=0,$AF264&gt;=0),IF($AG264/($AD264-$AF264)&gt;0,$AG264/($AD264-$AF264),0),"")</f>
        <v>0</v>
      </c>
      <c r="BD264" s="123"/>
      <c r="BE264" s="6">
        <f>IF((AD264-AF264)/(AJ264/60)&lt;=0,"",(AD264-AF264)/(AJ264/60))</f>
        <v>9.2752293577981657</v>
      </c>
      <c r="BF264" s="6">
        <f>IF(OR(AJ264=0,AP264=0,NOT(ISNUMBER(AD264)),NOT(ISNUMBER(AF264)),NOT(ISNUMBER(AJ264)),NOT(ISNUMBER(AP264))),"",
IFERROR(IF((AD264-AF264)/(AJ264/60)/(AP264/1000)&lt;=0,"",(AD264-AF264)/(AJ264/60)/(AP264/1000)),""))</f>
        <v>4.1969363609945765</v>
      </c>
    </row>
    <row r="265" spans="1:58" ht="15.75">
      <c r="B265" s="94">
        <v>45525</v>
      </c>
      <c r="C265" s="1">
        <v>21</v>
      </c>
      <c r="D265" s="3">
        <v>260</v>
      </c>
      <c r="E265" s="205" t="str">
        <f t="shared" si="19"/>
        <v/>
      </c>
      <c r="G265" s="15">
        <f>(N265*18-H265*18)/9</f>
        <v>0</v>
      </c>
      <c r="I265" s="15">
        <f>AD265</f>
        <v>0.30612244897959184</v>
      </c>
      <c r="K265" s="10" t="str">
        <f t="shared" si="16"/>
        <v/>
      </c>
      <c r="L265" s="9" t="str">
        <f t="shared" si="17"/>
        <v/>
      </c>
      <c r="M265" s="8" t="str">
        <f t="shared" si="18"/>
        <v/>
      </c>
      <c r="AB265" s="5">
        <v>80</v>
      </c>
      <c r="AC265" s="7">
        <f>T265</f>
        <v>0</v>
      </c>
      <c r="AD265" s="1">
        <f>5*3/49</f>
        <v>0.30612244897959184</v>
      </c>
      <c r="AF265" s="1">
        <v>0</v>
      </c>
      <c r="AJ265" s="93">
        <v>109</v>
      </c>
      <c r="AK265" s="3">
        <v>180</v>
      </c>
      <c r="AL265" s="4">
        <f>AE265</f>
        <v>0</v>
      </c>
      <c r="AN265" s="80">
        <f>360-AK265-AB265</f>
        <v>100</v>
      </c>
      <c r="AP265" s="13">
        <f>AVERAGE(AO263:AO269)</f>
        <v>2210.0000000000364</v>
      </c>
      <c r="AQ265" s="15"/>
      <c r="AR265" s="17" t="e">
        <f>(E265-W265)/E265</f>
        <v>#VALUE!</v>
      </c>
      <c r="AS265" s="18">
        <f>(I265-AF265)/I265</f>
        <v>1</v>
      </c>
      <c r="AT265" s="16">
        <f>AG265/(AD265-AF265)</f>
        <v>0</v>
      </c>
      <c r="AU265" s="16" t="e">
        <f>(G265-AM265)/G265</f>
        <v>#DIV/0!</v>
      </c>
      <c r="AV265" s="57" t="str">
        <f>IF(AND(ISNUMBER(E265),ISNUMBER(W265)),E265-W265,"")</f>
        <v/>
      </c>
      <c r="AW265" s="57">
        <f>IF(AND(ISNUMBER(I265),ISNUMBER(AF265)),I265-AF265,"")</f>
        <v>0.30612244897959184</v>
      </c>
      <c r="AX265" s="57" t="str">
        <f>IF(AND(ISNUMBER(AM265),ISNUMBER(G265)),G265-AM265,"")</f>
        <v/>
      </c>
      <c r="AY265" s="57" t="str">
        <f>IF(AND(ISNUMBER(AC265),ISNUMBER(AE265)),AC265-AE265,"")</f>
        <v/>
      </c>
      <c r="AZ265" s="57" t="str">
        <f>IF(AND(ISNUMBER(AL265),ISNUMBER(AM265)),AL265-AM265,"")</f>
        <v/>
      </c>
      <c r="BA265" s="123" t="str">
        <f>IF(AND($E265&gt;0,$W265&gt;0),IF(($E265-$W265)/$E265&gt;0,($E265-$W265)/$E265,0),"")</f>
        <v/>
      </c>
      <c r="BB265" s="123">
        <f>IF(AND($I265&gt;0,$AF265&gt;=0),IF(($I265-$AF265)/$I265&gt;0,($I265-$AF265)/$I265,0),"")</f>
        <v>1</v>
      </c>
      <c r="BC265" s="123">
        <f>IF(AND($AG265&gt;=0,$AD265&gt;=0,$AF265&gt;=0),IF($AG265/($AD265-$AF265)&gt;0,$AG265/($AD265-$AF265),0),"")</f>
        <v>0</v>
      </c>
      <c r="BD265" s="123" t="str">
        <f>IF(AND($G265&gt;0,$AM265&gt;0),IF(($G265-$AM265)/$G265&gt;0,($G265-$AM265)/$G265,0),"")</f>
        <v/>
      </c>
      <c r="BE265" s="6">
        <f>IF((AD265-AF265)/(AJ265/60)&lt;=0,"",(AD265-AF265)/(AJ265/60))</f>
        <v>0.16850777008050927</v>
      </c>
      <c r="BF265" s="6"/>
    </row>
    <row r="266" spans="1:58" ht="15.75">
      <c r="B266" s="94">
        <v>45526</v>
      </c>
      <c r="C266" s="1">
        <v>22</v>
      </c>
      <c r="D266" s="3">
        <v>261</v>
      </c>
      <c r="E266" s="205" t="str">
        <f t="shared" si="19"/>
        <v/>
      </c>
      <c r="I266" s="15">
        <f>AD266</f>
        <v>18.75</v>
      </c>
      <c r="K266" s="10" t="str">
        <f t="shared" si="16"/>
        <v/>
      </c>
      <c r="L266" s="9" t="str">
        <f t="shared" si="17"/>
        <v/>
      </c>
      <c r="M266" s="8" t="str">
        <f t="shared" si="18"/>
        <v/>
      </c>
      <c r="AB266" s="5">
        <v>80</v>
      </c>
      <c r="AC266" s="7"/>
      <c r="AD266" s="93">
        <v>18.75</v>
      </c>
      <c r="AF266" s="93">
        <v>0</v>
      </c>
      <c r="AJ266">
        <v>109</v>
      </c>
      <c r="AK266" s="3">
        <v>180</v>
      </c>
      <c r="AN266" s="80">
        <f>360-AK266-AB266</f>
        <v>100</v>
      </c>
      <c r="AP266" s="13">
        <f>AVERAGE(AO264:AO270)</f>
        <v>2210.0000000000364</v>
      </c>
      <c r="AQ266" s="15"/>
      <c r="AR266" s="17" t="e">
        <f>(E266-W266)/E266</f>
        <v>#VALUE!</v>
      </c>
      <c r="AS266" s="18">
        <f>(I266-AF266)/I266</f>
        <v>1</v>
      </c>
      <c r="AT266" s="16">
        <f>AG266/(AD266-AF266)</f>
        <v>0</v>
      </c>
      <c r="AU266" s="16" t="e">
        <f>(G266-AM266)/G266</f>
        <v>#DIV/0!</v>
      </c>
      <c r="AV266" s="57" t="str">
        <f>IF(AND(ISNUMBER(E266),ISNUMBER(W266)),E266-W266,"")</f>
        <v/>
      </c>
      <c r="AW266" s="57">
        <f>IF(AND(ISNUMBER(I266),ISNUMBER(AF266)),I266-AF266,"")</f>
        <v>18.75</v>
      </c>
      <c r="AX266" s="57" t="str">
        <f>IF(AND(ISNUMBER(AM266),ISNUMBER(G266)),G266-AM266,"")</f>
        <v/>
      </c>
      <c r="AY266" s="57" t="str">
        <f>IF(AND(ISNUMBER(AC266),ISNUMBER(AE266)),AC266-AE266,"")</f>
        <v/>
      </c>
      <c r="AZ266" s="57" t="str">
        <f>IF(AND(ISNUMBER(AL266),ISNUMBER(AM266)),AL266-AM266,"")</f>
        <v/>
      </c>
      <c r="BA266" s="123" t="str">
        <f>IF(AND($E266&gt;0,$W266&gt;0),IF(($E266-$W266)/$E266&gt;0,($E266-$W266)/$E266,0),"")</f>
        <v/>
      </c>
      <c r="BB266" s="123">
        <f>IF(AND($I266&gt;0,$AF266&gt;=0),IF(($I266-$AF266)/$I266&gt;0,($I266-$AF266)/$I266,0),"")</f>
        <v>1</v>
      </c>
      <c r="BC266" s="123"/>
      <c r="BD266" s="123" t="str">
        <f>IF(AND($G266&gt;0,$AM266&gt;0),IF(($G266-$AM266)/$G266&gt;0,($G266-$AM266)/$G266,0),"")</f>
        <v/>
      </c>
      <c r="BE266" s="6">
        <f>IF((AD266-AF266)/(AJ266/60)&lt;=0,"",(AD266-AF266)/(AJ266/60))</f>
        <v>10.321100917431194</v>
      </c>
      <c r="BF266" s="6">
        <f>IF(OR(AJ266=0,AP266=0,NOT(ISNUMBER(AD266)),NOT(ISNUMBER(AF266)),NOT(ISNUMBER(AJ266)),NOT(ISNUMBER(AP266))),"",
IFERROR(IF((AD266-AF266)/(AJ266/60)/(AP266/1000)&lt;=0,"",(AD266-AF266)/(AJ266/60)/(AP266/1000)),""))</f>
        <v>4.6701814106022734</v>
      </c>
    </row>
    <row r="267" spans="1:58" ht="15.75">
      <c r="A267" s="12" t="s">
        <v>115</v>
      </c>
      <c r="B267" s="94">
        <v>45527</v>
      </c>
      <c r="C267" s="1">
        <v>23</v>
      </c>
      <c r="D267" s="3">
        <v>262</v>
      </c>
      <c r="E267" s="205">
        <f t="shared" si="19"/>
        <v>202.10548599999998</v>
      </c>
      <c r="G267" s="15">
        <f>(N267*18-H267*18)/9</f>
        <v>13.339999999999998</v>
      </c>
      <c r="H267" s="9">
        <v>5.43</v>
      </c>
      <c r="I267" s="15">
        <f>AD267</f>
        <v>0.15957446808510639</v>
      </c>
      <c r="K267" s="10">
        <f t="shared" si="16"/>
        <v>15.150336281859072</v>
      </c>
      <c r="L267" s="9">
        <f t="shared" si="17"/>
        <v>633.26385613333321</v>
      </c>
      <c r="M267" s="8">
        <f t="shared" si="18"/>
        <v>2.3924208108711608E-2</v>
      </c>
      <c r="N267" s="7">
        <v>12.1</v>
      </c>
      <c r="O267">
        <v>73.605000000000004</v>
      </c>
      <c r="P267">
        <v>14.872</v>
      </c>
      <c r="Q267" s="6">
        <f>O267*1.067</f>
        <v>78.536535000000001</v>
      </c>
      <c r="R267" s="6">
        <f>P267*1.514</f>
        <v>22.516207999999999</v>
      </c>
      <c r="S267" s="23">
        <f>P267*1.514+O267*1.067</f>
        <v>101.05274299999999</v>
      </c>
      <c r="T267" s="6">
        <v>14.3</v>
      </c>
      <c r="U267" s="6">
        <v>0</v>
      </c>
      <c r="V267" s="6">
        <v>0</v>
      </c>
      <c r="W267" s="23">
        <f>U267*1.067+V267*1.514</f>
        <v>0</v>
      </c>
      <c r="AB267" s="5">
        <v>80</v>
      </c>
      <c r="AC267" s="7">
        <f>T267</f>
        <v>14.3</v>
      </c>
      <c r="AD267" s="1">
        <f>5*3/94</f>
        <v>0.15957446808510639</v>
      </c>
      <c r="AE267" s="1">
        <f>13.1</f>
        <v>13.1</v>
      </c>
      <c r="AF267" s="1">
        <v>0</v>
      </c>
      <c r="AJ267" s="1">
        <v>131</v>
      </c>
      <c r="AK267" s="3">
        <v>180</v>
      </c>
      <c r="AL267" s="4">
        <f>AE267</f>
        <v>13.1</v>
      </c>
      <c r="AM267" s="1">
        <v>8.83</v>
      </c>
      <c r="AN267" s="80">
        <f>360-AK267-AB267</f>
        <v>100</v>
      </c>
      <c r="AP267" s="13">
        <f>AVERAGE(AO265:AO271)</f>
        <v>2739.9999999999636</v>
      </c>
      <c r="AQ267" s="15"/>
      <c r="AR267" s="17">
        <f>(E267-W267)/E267</f>
        <v>1</v>
      </c>
      <c r="AS267" s="18">
        <f>(I267-AF267)/I267</f>
        <v>1</v>
      </c>
      <c r="AT267" s="16">
        <f>AG267/(AD267-AF267)</f>
        <v>0</v>
      </c>
      <c r="AU267" s="16">
        <f>(G267-AM267)/G267</f>
        <v>0.33808095952023975</v>
      </c>
      <c r="AV267" s="57">
        <f>IF(AND(ISNUMBER(E267),ISNUMBER(W267)),E267-W267,"")</f>
        <v>202.10548599999998</v>
      </c>
      <c r="AW267" s="57">
        <f>IF(AND(ISNUMBER(I267),ISNUMBER(AF267)),I267-AF267,"")</f>
        <v>0.15957446808510639</v>
      </c>
      <c r="AX267" s="57">
        <f>IF(AND(ISNUMBER(AM267),ISNUMBER(G267)),G267-AM267,"")</f>
        <v>4.509999999999998</v>
      </c>
      <c r="AY267" s="57">
        <f>IF(AND(ISNUMBER(AC267),ISNUMBER(AE267)),AC267-AE267,"")</f>
        <v>1.2000000000000011</v>
      </c>
      <c r="AZ267" s="57">
        <f>IF(AND(ISNUMBER(AL267),ISNUMBER(AM267)),AL267-AM267,"")</f>
        <v>4.2699999999999996</v>
      </c>
      <c r="BA267" s="123" t="str">
        <f>IF(AND($E267&gt;0,$W267&gt;0),IF(($E267-$W267)/$E267&gt;0,($E267-$W267)/$E267,0),"")</f>
        <v/>
      </c>
      <c r="BB267" s="123">
        <f>IF(AND($I267&gt;0,$AF267&gt;=0),IF(($I267-$AF267)/$I267&gt;0,($I267-$AF267)/$I267,0),"")</f>
        <v>1</v>
      </c>
      <c r="BC267" s="123">
        <f>IF(AND($AG267&gt;=0,$AD267&gt;=0,$AF267&gt;=0),IF($AG267/($AD267-$AF267)&gt;0,$AG267/($AD267-$AF267),0),"")</f>
        <v>0</v>
      </c>
      <c r="BD267" s="123">
        <f>IF(AND($G267&gt;0,$AM267&gt;0),IF(($G267-$AM267)/$G267&gt;0,($G267-$AM267)/$G267,0),"")</f>
        <v>0.33808095952023975</v>
      </c>
      <c r="BE267" s="6">
        <f>IF((AD267-AF267)/(AJ267/60)&lt;=0,"",(AD267-AF267)/(AJ267/60))</f>
        <v>7.3087542634399885E-2</v>
      </c>
      <c r="BF267" s="6"/>
    </row>
    <row r="268" spans="1:58" ht="15.75">
      <c r="B268" s="94">
        <v>45528</v>
      </c>
      <c r="C268" s="1">
        <v>24</v>
      </c>
      <c r="D268" s="3">
        <v>263</v>
      </c>
      <c r="E268" s="205" t="str">
        <f t="shared" si="19"/>
        <v/>
      </c>
      <c r="I268" s="15">
        <f>AD268</f>
        <v>18.75</v>
      </c>
      <c r="K268" s="10" t="str">
        <f t="shared" si="16"/>
        <v/>
      </c>
      <c r="L268" s="9" t="str">
        <f t="shared" si="17"/>
        <v/>
      </c>
      <c r="M268" s="8" t="str">
        <f t="shared" si="18"/>
        <v/>
      </c>
      <c r="AB268" s="5">
        <v>80</v>
      </c>
      <c r="AD268" s="93">
        <v>18.75</v>
      </c>
      <c r="AF268" s="93">
        <v>0</v>
      </c>
      <c r="AJ268" s="1">
        <v>173</v>
      </c>
      <c r="AK268" s="3">
        <v>180</v>
      </c>
      <c r="AN268" s="80">
        <f>360-AK268-AB268</f>
        <v>100</v>
      </c>
      <c r="AP268" s="13">
        <f>AVERAGE(AO266:AO272)</f>
        <v>2739.9999999999636</v>
      </c>
      <c r="AQ268" s="15"/>
      <c r="AR268" s="17" t="e">
        <f>(E268-W268)/E268</f>
        <v>#VALUE!</v>
      </c>
      <c r="AS268" s="18">
        <f>(I268-AF268)/I268</f>
        <v>1</v>
      </c>
      <c r="AT268" s="16">
        <f>AG268/(AD268-AF268)</f>
        <v>0</v>
      </c>
      <c r="AU268" s="16" t="e">
        <f>(G268-AM268)/G268</f>
        <v>#DIV/0!</v>
      </c>
      <c r="AV268" s="57" t="str">
        <f>IF(AND(ISNUMBER(E268),ISNUMBER(W268)),E268-W268,"")</f>
        <v/>
      </c>
      <c r="AW268" s="57">
        <f>IF(AND(ISNUMBER(I268),ISNUMBER(AF268)),I268-AF268,"")</f>
        <v>18.75</v>
      </c>
      <c r="AX268" s="57" t="str">
        <f>IF(AND(ISNUMBER(AM268),ISNUMBER(G268)),G268-AM268,"")</f>
        <v/>
      </c>
      <c r="AY268" s="57" t="str">
        <f>IF(AND(ISNUMBER(AC268),ISNUMBER(AE268)),AC268-AE268,"")</f>
        <v/>
      </c>
      <c r="AZ268" s="57" t="str">
        <f>IF(AND(ISNUMBER(AL268),ISNUMBER(AM268)),AL268-AM268,"")</f>
        <v/>
      </c>
      <c r="BA268" s="123" t="str">
        <f>IF(AND($E268&gt;0,$W268&gt;0),IF(($E268-$W268)/$E268&gt;0,($E268-$W268)/$E268,0),"")</f>
        <v/>
      </c>
      <c r="BB268" s="123">
        <f>IF(AND($I268&gt;0,$AF268&gt;=0),IF(($I268-$AF268)/$I268&gt;0,($I268-$AF268)/$I268,0),"")</f>
        <v>1</v>
      </c>
      <c r="BC268" s="123"/>
      <c r="BD268" s="123" t="str">
        <f>IF(AND($G268&gt;0,$AM268&gt;0),IF(($G268-$AM268)/$G268&gt;0,($G268-$AM268)/$G268,0),"")</f>
        <v/>
      </c>
      <c r="BE268" s="6">
        <f>IF((AD268-AF268)/(AJ268/60)&lt;=0,"",(AD268-AF268)/(AJ268/60))</f>
        <v>6.502890173410405</v>
      </c>
      <c r="BF268" s="6">
        <f>IF(OR(AJ268=0,AP268=0,NOT(ISNUMBER(AD268)),NOT(ISNUMBER(AF268)),NOT(ISNUMBER(AJ268)),NOT(ISNUMBER(AP268))),"",
IFERROR(IF((AD268-AF268)/(AJ268/60)/(AP268/1000)&lt;=0,"",(AD268-AF268)/(AJ268/60)/(AP268/1000)),""))</f>
        <v>2.3733175815366754</v>
      </c>
    </row>
    <row r="269" spans="1:58" ht="15.75">
      <c r="B269" s="94">
        <v>45529</v>
      </c>
      <c r="C269" s="1">
        <v>25</v>
      </c>
      <c r="D269" s="3">
        <v>264</v>
      </c>
      <c r="E269" s="205" t="str">
        <f t="shared" si="19"/>
        <v/>
      </c>
      <c r="I269" s="15">
        <f>AD269</f>
        <v>18.75</v>
      </c>
      <c r="K269" s="10" t="str">
        <f t="shared" si="16"/>
        <v/>
      </c>
      <c r="L269" s="9" t="str">
        <f t="shared" si="17"/>
        <v/>
      </c>
      <c r="M269" s="8" t="str">
        <f t="shared" si="18"/>
        <v/>
      </c>
      <c r="AB269" s="5">
        <v>80</v>
      </c>
      <c r="AD269" s="93">
        <v>18.75</v>
      </c>
      <c r="AF269" s="93">
        <v>0</v>
      </c>
      <c r="AJ269" s="1">
        <v>105</v>
      </c>
      <c r="AK269" s="3">
        <v>180</v>
      </c>
      <c r="AN269" s="80">
        <f>360-AK269-AB269</f>
        <v>100</v>
      </c>
      <c r="AP269" s="13">
        <f>AVERAGE(AO267:AO273)</f>
        <v>2739.9999999999636</v>
      </c>
      <c r="AQ269" s="15"/>
      <c r="AR269" s="17" t="e">
        <f>(E269-W269)/E269</f>
        <v>#VALUE!</v>
      </c>
      <c r="AS269" s="18">
        <f>(I269-AF269)/I269</f>
        <v>1</v>
      </c>
      <c r="AT269" s="16">
        <f>AG269/(AD269-AF269)</f>
        <v>0</v>
      </c>
      <c r="AU269" s="16" t="e">
        <f>(G269-AM269)/G269</f>
        <v>#DIV/0!</v>
      </c>
      <c r="AV269" s="57" t="str">
        <f>IF(AND(ISNUMBER(E269),ISNUMBER(W269)),E269-W269,"")</f>
        <v/>
      </c>
      <c r="AW269" s="57">
        <f>IF(AND(ISNUMBER(I269),ISNUMBER(AF269)),I269-AF269,"")</f>
        <v>18.75</v>
      </c>
      <c r="AX269" s="57" t="str">
        <f>IF(AND(ISNUMBER(AM269),ISNUMBER(G269)),G269-AM269,"")</f>
        <v/>
      </c>
      <c r="AY269" s="57" t="str">
        <f>IF(AND(ISNUMBER(AC269),ISNUMBER(AE269)),AC269-AE269,"")</f>
        <v/>
      </c>
      <c r="AZ269" s="57" t="str">
        <f>IF(AND(ISNUMBER(AL269),ISNUMBER(AM269)),AL269-AM269,"")</f>
        <v/>
      </c>
      <c r="BA269" s="123" t="str">
        <f>IF(AND($E269&gt;0,$W269&gt;0),IF(($E269-$W269)/$E269&gt;0,($E269-$W269)/$E269,0),"")</f>
        <v/>
      </c>
      <c r="BB269" s="123">
        <f>IF(AND($I269&gt;0,$AF269&gt;=0),IF(($I269-$AF269)/$I269&gt;0,($I269-$AF269)/$I269,0),"")</f>
        <v>1</v>
      </c>
      <c r="BC269" s="123"/>
      <c r="BD269" s="123" t="str">
        <f>IF(AND($G269&gt;0,$AM269&gt;0),IF(($G269-$AM269)/$G269&gt;0,($G269-$AM269)/$G269,0),"")</f>
        <v/>
      </c>
      <c r="BE269" s="6">
        <f>IF((AD269-AF269)/(AJ269/60)&lt;=0,"",(AD269-AF269)/(AJ269/60))</f>
        <v>10.714285714285714</v>
      </c>
      <c r="BF269" s="6">
        <f>IF(OR(AJ269=0,AP269=0,NOT(ISNUMBER(AD269)),NOT(ISNUMBER(AF269)),NOT(ISNUMBER(AJ269)),NOT(ISNUMBER(AP269))),"",
IFERROR(IF((AD269-AF269)/(AJ269/60)/(AP269/1000)&lt;=0,"",(AD269-AF269)/(AJ269/60)/(AP269/1000)),""))</f>
        <v>3.9103232533889982</v>
      </c>
    </row>
    <row r="270" spans="1:58" ht="15.75">
      <c r="B270" s="94">
        <v>45530</v>
      </c>
      <c r="C270" s="1">
        <v>26</v>
      </c>
      <c r="D270" s="3">
        <v>265</v>
      </c>
      <c r="E270" s="205">
        <f t="shared" si="19"/>
        <v>202.77666999999997</v>
      </c>
      <c r="G270" s="15">
        <f>(N270*18-H270*18)/9</f>
        <v>34.999999999999993</v>
      </c>
      <c r="H270" s="9">
        <f>5*3.58</f>
        <v>17.899999999999999</v>
      </c>
      <c r="I270" s="15">
        <f>AD270</f>
        <v>18.75</v>
      </c>
      <c r="K270" s="10">
        <f t="shared" si="16"/>
        <v>5.7936191428571435</v>
      </c>
      <c r="L270" s="9">
        <f t="shared" si="17"/>
        <v>5.4073778666666659</v>
      </c>
      <c r="M270" s="8">
        <f t="shared" si="18"/>
        <v>1.0714285714285716</v>
      </c>
      <c r="N270" s="7">
        <f>10*3.54</f>
        <v>35.4</v>
      </c>
      <c r="O270">
        <v>71.766999999999996</v>
      </c>
      <c r="P270">
        <v>16.388999999999999</v>
      </c>
      <c r="Q270" s="6">
        <f>O270*1.067</f>
        <v>76.575388999999987</v>
      </c>
      <c r="R270" s="6">
        <f>P270*1.514</f>
        <v>24.812946</v>
      </c>
      <c r="S270" s="23">
        <f>P270*1.514+O270*1.067</f>
        <v>101.38833499999998</v>
      </c>
      <c r="T270" s="6">
        <f>10*4.58</f>
        <v>45.8</v>
      </c>
      <c r="U270">
        <v>1.5669999999999999</v>
      </c>
      <c r="V270">
        <v>1.331</v>
      </c>
      <c r="W270" s="23">
        <f>U270*1.067+V270*1.514</f>
        <v>3.6871229999999997</v>
      </c>
      <c r="AB270" s="5">
        <v>80</v>
      </c>
      <c r="AC270" s="7">
        <f>T270</f>
        <v>45.8</v>
      </c>
      <c r="AD270" s="1">
        <f>5*3.75</f>
        <v>18.75</v>
      </c>
      <c r="AE270" s="1">
        <f>20*4.21</f>
        <v>84.2</v>
      </c>
      <c r="AF270" s="1">
        <v>0</v>
      </c>
      <c r="AJ270" s="1">
        <v>111</v>
      </c>
      <c r="AK270" s="3">
        <v>180</v>
      </c>
      <c r="AL270" s="4">
        <f>AE270</f>
        <v>84.2</v>
      </c>
      <c r="AM270" s="1">
        <f>5*4.37</f>
        <v>21.85</v>
      </c>
      <c r="AN270" s="80">
        <f>360-AK270-AB270</f>
        <v>100</v>
      </c>
      <c r="AP270" s="13">
        <f>AVERAGE(AO268:AO274)</f>
        <v>2739.9999999999636</v>
      </c>
      <c r="AQ270" s="15"/>
      <c r="AR270" s="17">
        <f>(E270-W270)/E270</f>
        <v>0.98181682833631712</v>
      </c>
      <c r="AS270" s="18">
        <f>(I270-AF270)/I270</f>
        <v>1</v>
      </c>
      <c r="AT270" s="16">
        <f>AG270/(AD270-AF270)</f>
        <v>0</v>
      </c>
      <c r="AU270" s="16">
        <f>(G270-AM270)/G270</f>
        <v>0.37571428571428556</v>
      </c>
      <c r="AV270" s="57">
        <f>IF(AND(ISNUMBER(E270),ISNUMBER(W270)),E270-W270,"")</f>
        <v>199.08954699999998</v>
      </c>
      <c r="AW270" s="57">
        <f>IF(AND(ISNUMBER(I270),ISNUMBER(AF270)),I270-AF270,"")</f>
        <v>18.75</v>
      </c>
      <c r="AX270" s="57">
        <f>IF(AND(ISNUMBER(AM270),ISNUMBER(G270)),G270-AM270,"")</f>
        <v>13.149999999999991</v>
      </c>
      <c r="AY270" s="57">
        <f>IF(AND(ISNUMBER(AC270),ISNUMBER(AE270)),AC270-AE270,"")</f>
        <v>-38.400000000000006</v>
      </c>
      <c r="AZ270" s="57">
        <f>IF(AND(ISNUMBER(AL270),ISNUMBER(AM270)),AL270-AM270,"")</f>
        <v>62.35</v>
      </c>
      <c r="BA270" s="123">
        <f>IF(AND($E270&gt;0,$W270&gt;0),IF(($E270-$W270)/$E270&gt;0,($E270-$W270)/$E270,0),"")</f>
        <v>0.98181682833631712</v>
      </c>
      <c r="BB270" s="123">
        <f>IF(AND($I270&gt;0,$AF270&gt;=0),IF(($I270-$AF270)/$I270&gt;0,($I270-$AF270)/$I270,0),"")</f>
        <v>1</v>
      </c>
      <c r="BC270" s="123">
        <f>IF(AND($AG270&gt;=0,$AD270&gt;=0,$AF270&gt;=0),IF($AG270/($AD270-$AF270)&gt;0,$AG270/($AD270-$AF270),0),"")</f>
        <v>0</v>
      </c>
      <c r="BD270" s="123">
        <f>IF(AND($G270&gt;0,$AM270&gt;0),IF(($G270-$AM270)/$G270&gt;0,($G270-$AM270)/$G270,0),"")</f>
        <v>0.37571428571428556</v>
      </c>
      <c r="BE270" s="6">
        <f>IF((AD270-AF270)/(AJ270/60)&lt;=0,"",(AD270-AF270)/(AJ270/60))</f>
        <v>10.135135135135135</v>
      </c>
      <c r="BF270" s="6">
        <f>IF(OR(AJ270=0,AP270=0,NOT(ISNUMBER(AD270)),NOT(ISNUMBER(AF270)),NOT(ISNUMBER(AJ270)),NOT(ISNUMBER(AP270))),"",
IFERROR(IF((AD270-AF270)/(AJ270/60)/(AP270/1000)&lt;=0,"",(AD270-AF270)/(AJ270/60)/(AP270/1000)),""))</f>
        <v>3.6989544288814851</v>
      </c>
    </row>
    <row r="271" spans="1:58" ht="15.75">
      <c r="A271" s="25" t="s">
        <v>114</v>
      </c>
      <c r="B271" s="94">
        <v>45531</v>
      </c>
      <c r="C271" s="1">
        <v>27</v>
      </c>
      <c r="D271" s="3">
        <v>266</v>
      </c>
      <c r="E271" s="205">
        <f t="shared" si="19"/>
        <v>263.60517199999998</v>
      </c>
      <c r="G271" s="15">
        <f>(N271*18-H271*18)/9</f>
        <v>0.39999999999998992</v>
      </c>
      <c r="H271" s="9">
        <f>20*5.32</f>
        <v>106.4</v>
      </c>
      <c r="I271" s="15">
        <f>AD271</f>
        <v>19.350000000000001</v>
      </c>
      <c r="K271" s="10">
        <f t="shared" si="16"/>
        <v>659.01293000001658</v>
      </c>
      <c r="L271" s="9">
        <f t="shared" si="17"/>
        <v>6.8115031524547796</v>
      </c>
      <c r="M271" s="8">
        <f t="shared" si="18"/>
        <v>96.750000000002444</v>
      </c>
      <c r="N271" s="7">
        <f>20*5.33</f>
        <v>106.6</v>
      </c>
      <c r="O271">
        <v>94.975999999999999</v>
      </c>
      <c r="P271">
        <v>20.120999999999999</v>
      </c>
      <c r="Q271" s="6">
        <f>O271*1.067</f>
        <v>101.33939199999999</v>
      </c>
      <c r="R271" s="6">
        <f>P271*1.514</f>
        <v>30.463193999999998</v>
      </c>
      <c r="S271" s="23">
        <f>P271*1.514+O271*1.067</f>
        <v>131.80258599999999</v>
      </c>
      <c r="T271" s="6">
        <f>20*5.41</f>
        <v>108.2</v>
      </c>
      <c r="U271">
        <v>83.856999999999999</v>
      </c>
      <c r="V271">
        <v>7.2590000000000003</v>
      </c>
      <c r="W271" s="23">
        <f>U271*1.067+V271*1.514</f>
        <v>100.46554499999999</v>
      </c>
      <c r="AB271" s="5">
        <v>80</v>
      </c>
      <c r="AC271" s="7">
        <f>T271</f>
        <v>108.2</v>
      </c>
      <c r="AD271" s="1">
        <f>5*3.87</f>
        <v>19.350000000000001</v>
      </c>
      <c r="AE271" s="1">
        <f>20*5.44</f>
        <v>108.80000000000001</v>
      </c>
      <c r="AF271" s="1">
        <f>0.061</f>
        <v>6.0999999999999999E-2</v>
      </c>
      <c r="AG271" s="1">
        <v>0</v>
      </c>
      <c r="AH271" s="119">
        <v>0.52083333333333337</v>
      </c>
      <c r="AJ271" s="1">
        <v>77</v>
      </c>
      <c r="AK271" s="3">
        <v>180</v>
      </c>
      <c r="AL271" s="4">
        <f>AE271</f>
        <v>108.80000000000001</v>
      </c>
      <c r="AM271" s="1">
        <f>20*4.86</f>
        <v>97.2</v>
      </c>
      <c r="AN271" s="80">
        <f>360-AK271-AB271</f>
        <v>100</v>
      </c>
      <c r="AO271" s="2">
        <v>2739.9999999999636</v>
      </c>
      <c r="AP271" s="13">
        <f>AVERAGE(AO269:AO275)</f>
        <v>2739.9999999999636</v>
      </c>
      <c r="AQ271" s="15">
        <v>19.86786980341564</v>
      </c>
      <c r="AR271" s="17">
        <f>(E271-W271)/E271</f>
        <v>0.61887870318416971</v>
      </c>
      <c r="AS271" s="18">
        <f>(I271-AF271)/I271</f>
        <v>0.99684754521963825</v>
      </c>
      <c r="AT271" s="16">
        <f>AG271/(AD271-AF271)</f>
        <v>0</v>
      </c>
      <c r="AU271" s="16">
        <f>(G271-AM271)/G271</f>
        <v>-242.00000000000614</v>
      </c>
      <c r="AV271" s="57">
        <f>IF(AND(ISNUMBER(E271),ISNUMBER(W271)),E271-W271,"")</f>
        <v>163.13962699999999</v>
      </c>
      <c r="AW271" s="57">
        <f>IF(AND(ISNUMBER(I271),ISNUMBER(AF271)),I271-AF271,"")</f>
        <v>19.289000000000001</v>
      </c>
      <c r="AX271" s="57">
        <f>IF(AND(ISNUMBER(AM271),ISNUMBER(G271)),G271-AM271,"")</f>
        <v>-96.800000000000011</v>
      </c>
      <c r="AY271" s="57">
        <f>IF(AND(ISNUMBER(AC271),ISNUMBER(AE271)),AC271-AE271,"")</f>
        <v>-0.60000000000000853</v>
      </c>
      <c r="AZ271" s="57">
        <f>IF(AND(ISNUMBER(AL271),ISNUMBER(AM271)),AL271-AM271,"")</f>
        <v>11.600000000000009</v>
      </c>
      <c r="BA271" s="123"/>
      <c r="BB271" s="123"/>
      <c r="BC271" s="123"/>
      <c r="BD271" s="123"/>
      <c r="BE271" s="6">
        <f>IF((AD271-AF271)/(AJ271/60)&lt;=0,"",(AD271-AF271)/(AJ271/60))</f>
        <v>15.03038961038961</v>
      </c>
      <c r="BF271" s="6">
        <f>IF(OR(AJ271=0,AP271=0,NOT(ISNUMBER(AD271)),NOT(ISNUMBER(AF271)),NOT(ISNUMBER(AJ271)),NOT(ISNUMBER(AP271))),"",
IFERROR(IF((AD271-AF271)/(AJ271/60)/(AP271/1000)&lt;=0,"",(AD271-AF271)/(AJ271/60)/(AP271/1000)),""))</f>
        <v>5.4855436534269373</v>
      </c>
    </row>
    <row r="272" spans="1:58" ht="15.75">
      <c r="B272" s="94">
        <v>45532</v>
      </c>
      <c r="C272" s="1">
        <v>28</v>
      </c>
      <c r="D272" s="3">
        <v>267</v>
      </c>
      <c r="E272" s="205" t="str">
        <f t="shared" si="19"/>
        <v/>
      </c>
      <c r="I272" s="15"/>
      <c r="K272" s="10" t="str">
        <f t="shared" si="16"/>
        <v/>
      </c>
      <c r="L272" s="9" t="str">
        <f t="shared" si="17"/>
        <v/>
      </c>
      <c r="M272" s="8" t="str">
        <f t="shared" si="18"/>
        <v/>
      </c>
      <c r="AB272" s="5">
        <v>80</v>
      </c>
      <c r="AD272" s="93">
        <v>18.75</v>
      </c>
      <c r="AF272" s="93">
        <v>2</v>
      </c>
      <c r="AG272" s="1">
        <v>0</v>
      </c>
      <c r="AH272" s="119">
        <v>0.52083333333333337</v>
      </c>
      <c r="AJ272" s="1">
        <v>129</v>
      </c>
      <c r="AK272" s="3">
        <v>180</v>
      </c>
      <c r="AN272" s="80">
        <f>360-AK272-AB272</f>
        <v>100</v>
      </c>
      <c r="AP272" s="13">
        <f>AVERAGE(AO270:AO276)</f>
        <v>2739.9999999999636</v>
      </c>
      <c r="AQ272" s="15"/>
      <c r="AR272" s="17" t="e">
        <f>(E272-W272)/E272</f>
        <v>#VALUE!</v>
      </c>
      <c r="AS272" s="18"/>
      <c r="AT272" s="16">
        <f>AG272/(AD272-AF272)</f>
        <v>0</v>
      </c>
      <c r="AU272" s="16" t="e">
        <f>(G272-AM272)/G272</f>
        <v>#DIV/0!</v>
      </c>
      <c r="AV272" s="57" t="str">
        <f>IF(AND(ISNUMBER(E272),ISNUMBER(W272)),E272-W272,"")</f>
        <v/>
      </c>
      <c r="AW272" s="57" t="str">
        <f>IF(AND(ISNUMBER(I272),ISNUMBER(AF272)),I272-AF272,"")</f>
        <v/>
      </c>
      <c r="AX272" s="57" t="str">
        <f>IF(AND(ISNUMBER(AM272),ISNUMBER(G272)),G272-AM272,"")</f>
        <v/>
      </c>
      <c r="AY272" s="57" t="str">
        <f>IF(AND(ISNUMBER(AC272),ISNUMBER(AE272)),AC272-AE272,"")</f>
        <v/>
      </c>
      <c r="AZ272" s="57" t="str">
        <f>IF(AND(ISNUMBER(AL272),ISNUMBER(AM272)),AL272-AM272,"")</f>
        <v/>
      </c>
      <c r="BA272" s="123" t="str">
        <f>IF(AND($E272&gt;0,$W272&gt;0),IF(($E272-$W272)/$E272&gt;0,($E272-$W272)/$E272,0),"")</f>
        <v/>
      </c>
      <c r="BB272" s="123" t="str">
        <f>IF(AND($I272&gt;0,$AF272&gt;=0),IF(($I272-$AF272)/$I272&gt;0,($I272-$AF272)/$I272,0),"")</f>
        <v/>
      </c>
      <c r="BC272" s="123"/>
      <c r="BD272" s="123" t="str">
        <f>IF(AND($G272&gt;0,$AM272&gt;0),IF(($G272-$AM272)/$G272&gt;0,($G272-$AM272)/$G272,0),"")</f>
        <v/>
      </c>
      <c r="BE272" s="6">
        <f>IF((AD272-AF272)/(AJ272/60)&lt;=0,"",(AD272-AF272)/(AJ272/60))</f>
        <v>7.7906976744186052</v>
      </c>
      <c r="BF272" s="6">
        <f>IF(OR(AJ272=0,AP272=0,NOT(ISNUMBER(AD272)),NOT(ISNUMBER(AF272)),NOT(ISNUMBER(AJ272)),NOT(ISNUMBER(AP272))),"",
IFERROR(IF((AD272-AF272)/(AJ272/60)/(AP272/1000)&lt;=0,"",(AD272-AF272)/(AJ272/60)/(AP272/1000)),""))</f>
        <v>2.8433203191309153</v>
      </c>
    </row>
    <row r="273" spans="1:58" ht="15.75">
      <c r="B273" s="94">
        <v>45533</v>
      </c>
      <c r="C273" s="1">
        <v>29</v>
      </c>
      <c r="D273" s="3">
        <v>268</v>
      </c>
      <c r="E273" s="205" t="str">
        <f t="shared" si="19"/>
        <v/>
      </c>
      <c r="G273" s="15">
        <f>(N273*18-H273*18)/9</f>
        <v>11</v>
      </c>
      <c r="H273" s="9">
        <f>50*5.86</f>
        <v>293</v>
      </c>
      <c r="I273" s="15">
        <f>AD273</f>
        <v>18.100000000000001</v>
      </c>
      <c r="K273" s="10" t="str">
        <f t="shared" si="16"/>
        <v/>
      </c>
      <c r="L273" s="9" t="str">
        <f t="shared" si="17"/>
        <v/>
      </c>
      <c r="M273" s="8">
        <f t="shared" si="18"/>
        <v>3.290909090909091</v>
      </c>
      <c r="N273" s="7">
        <f>50*5.97</f>
        <v>298.5</v>
      </c>
      <c r="T273" s="6">
        <f>50*6.17</f>
        <v>308.5</v>
      </c>
      <c r="AB273" s="5">
        <v>80</v>
      </c>
      <c r="AC273" s="7">
        <f>T273</f>
        <v>308.5</v>
      </c>
      <c r="AD273" s="1">
        <f>5*3.62</f>
        <v>18.100000000000001</v>
      </c>
      <c r="AE273" s="1">
        <f>50*5.9</f>
        <v>295</v>
      </c>
      <c r="AF273" s="1">
        <f>4.31</f>
        <v>4.3099999999999996</v>
      </c>
      <c r="AG273">
        <v>7.0000000000000007E-2</v>
      </c>
      <c r="AH273" s="119">
        <v>0.50335648148148149</v>
      </c>
      <c r="AJ273" s="1">
        <v>165</v>
      </c>
      <c r="AK273" s="3">
        <v>180</v>
      </c>
      <c r="AL273" s="4">
        <f>AE273</f>
        <v>295</v>
      </c>
      <c r="AM273" s="1">
        <f>50*5.96</f>
        <v>298</v>
      </c>
      <c r="AN273" s="80">
        <f>360-AK273-AB273</f>
        <v>100</v>
      </c>
      <c r="AP273" s="13">
        <f>AVERAGE(AO271:AO277)</f>
        <v>2739.9999999999636</v>
      </c>
      <c r="AQ273" s="15"/>
      <c r="AR273" s="17" t="e">
        <f>(E273-W273)/E273</f>
        <v>#VALUE!</v>
      </c>
      <c r="AS273" s="18">
        <f>(I273-AF273)/I273</f>
        <v>0.76187845303867407</v>
      </c>
      <c r="AT273" s="16">
        <f>AG273/(AD273-AF273)</f>
        <v>5.076142131979695E-3</v>
      </c>
      <c r="AU273" s="16">
        <f>(G273-AM273)/G273</f>
        <v>-26.09090909090909</v>
      </c>
      <c r="AV273" s="57" t="str">
        <f>IF(AND(ISNUMBER(E273),ISNUMBER(W273)),E273-W273,"")</f>
        <v/>
      </c>
      <c r="AW273" s="57">
        <f>IF(AND(ISNUMBER(I273),ISNUMBER(AF273)),I273-AF273,"")</f>
        <v>13.790000000000003</v>
      </c>
      <c r="AX273" s="57">
        <f>IF(AND(ISNUMBER(AM273),ISNUMBER(G273)),G273-AM273,"")</f>
        <v>-287</v>
      </c>
      <c r="AY273" s="57">
        <f>IF(AND(ISNUMBER(AC273),ISNUMBER(AE273)),AC273-AE273,"")</f>
        <v>13.5</v>
      </c>
      <c r="AZ273" s="57">
        <f>IF(AND(ISNUMBER(AL273),ISNUMBER(AM273)),AL273-AM273,"")</f>
        <v>-3</v>
      </c>
      <c r="BA273" s="123" t="str">
        <f>IF(AND($E273&gt;0,$W273&gt;0),IF(($E273-$W273)/$E273&gt;0,($E273-$W273)/$E273,0),"")</f>
        <v/>
      </c>
      <c r="BB273" s="123"/>
      <c r="BC273" s="123"/>
      <c r="BD273" s="123"/>
      <c r="BE273" s="6">
        <f>IF((AD273-AF273)/(AJ273/60)&lt;=0,"",(AD273-AF273)/(AJ273/60))</f>
        <v>5.0145454545454555</v>
      </c>
      <c r="BF273" s="6"/>
    </row>
    <row r="274" spans="1:58" ht="15.75">
      <c r="B274" s="94">
        <v>45534</v>
      </c>
      <c r="C274" s="1">
        <v>30</v>
      </c>
      <c r="D274" s="3">
        <v>269</v>
      </c>
      <c r="E274" s="205" t="str">
        <f t="shared" si="19"/>
        <v/>
      </c>
      <c r="I274" s="15"/>
      <c r="K274" s="10" t="str">
        <f t="shared" si="16"/>
        <v/>
      </c>
      <c r="L274" s="9" t="str">
        <f t="shared" si="17"/>
        <v/>
      </c>
      <c r="M274" s="8" t="str">
        <f t="shared" si="18"/>
        <v/>
      </c>
      <c r="AB274" s="5">
        <v>80</v>
      </c>
      <c r="AD274" s="93">
        <v>18.75</v>
      </c>
      <c r="AF274" s="93">
        <v>0</v>
      </c>
      <c r="AG274">
        <v>0.63</v>
      </c>
      <c r="AH274" s="119">
        <v>0.50868055555555558</v>
      </c>
      <c r="AJ274" s="1">
        <v>169</v>
      </c>
      <c r="AK274" s="3">
        <v>180</v>
      </c>
      <c r="AN274" s="80">
        <f>360-AK274-AB274</f>
        <v>100</v>
      </c>
      <c r="AP274" s="96">
        <f>($AO$271+$AO$280)/2</f>
        <v>2844.9999999999591</v>
      </c>
      <c r="AQ274" s="15"/>
      <c r="AR274" s="17" t="e">
        <f>(E274-W274)/E274</f>
        <v>#VALUE!</v>
      </c>
      <c r="AS274" s="18"/>
      <c r="AT274" s="16">
        <f>AG274/(AD274-AF274)</f>
        <v>3.3599999999999998E-2</v>
      </c>
      <c r="AU274" s="16" t="e">
        <f>(G274-AM274)/G274</f>
        <v>#DIV/0!</v>
      </c>
      <c r="AV274" s="57" t="str">
        <f>IF(AND(ISNUMBER(E274),ISNUMBER(W274)),E274-W274,"")</f>
        <v/>
      </c>
      <c r="AW274" s="57" t="str">
        <f>IF(AND(ISNUMBER(I274),ISNUMBER(AF274)),I274-AF274,"")</f>
        <v/>
      </c>
      <c r="AX274" s="57" t="str">
        <f>IF(AND(ISNUMBER(AM274),ISNUMBER(G274)),G274-AM274,"")</f>
        <v/>
      </c>
      <c r="AY274" s="57" t="str">
        <f>IF(AND(ISNUMBER(AC274),ISNUMBER(AE274)),AC274-AE274,"")</f>
        <v/>
      </c>
      <c r="AZ274" s="57" t="str">
        <f>IF(AND(ISNUMBER(AL274),ISNUMBER(AM274)),AL274-AM274,"")</f>
        <v/>
      </c>
      <c r="BA274" s="123" t="str">
        <f>IF(AND($E274&gt;0,$W274&gt;0),IF(($E274-$W274)/$E274&gt;0,($E274-$W274)/$E274,0),"")</f>
        <v/>
      </c>
      <c r="BB274" s="123" t="str">
        <f>IF(AND($I274&gt;0,$AF274&gt;=0),IF(($I274-$AF274)/$I274&gt;0,($I274-$AF274)/$I274,0),"")</f>
        <v/>
      </c>
      <c r="BC274" s="123"/>
      <c r="BD274" s="123" t="str">
        <f>IF(AND($G274&gt;0,$AM274&gt;0),IF(($G274-$AM274)/$G274&gt;0,($G274-$AM274)/$G274,0),"")</f>
        <v/>
      </c>
      <c r="BE274" s="6">
        <f>IF((AD274-AF274)/(AJ274/60)&lt;=0,"",(AD274-AF274)/(AJ274/60))</f>
        <v>6.6568047337278102</v>
      </c>
      <c r="BF274" s="6">
        <f>IF(OR(AJ274=0,AP274=0,NOT(ISNUMBER(AD274)),NOT(ISNUMBER(AF274)),NOT(ISNUMBER(AJ274)),NOT(ISNUMBER(AP274))),"",
IFERROR(IF((AD274-AF274)/(AJ274/60)/(AP274/1000)&lt;=0,"",(AD274-AF274)/(AJ274/60)/(AP274/1000)),""))</f>
        <v>2.3398259169518125</v>
      </c>
    </row>
    <row r="275" spans="1:58" ht="15.75">
      <c r="B275" s="94">
        <v>45535</v>
      </c>
      <c r="C275" s="1">
        <v>31</v>
      </c>
      <c r="D275" s="3">
        <v>270</v>
      </c>
      <c r="E275" s="205" t="str">
        <f t="shared" si="19"/>
        <v/>
      </c>
      <c r="I275" s="15"/>
      <c r="K275" s="10" t="str">
        <f t="shared" si="16"/>
        <v/>
      </c>
      <c r="L275" s="9" t="str">
        <f t="shared" si="17"/>
        <v/>
      </c>
      <c r="M275" s="8" t="str">
        <f t="shared" si="18"/>
        <v/>
      </c>
      <c r="AB275" s="5">
        <v>80</v>
      </c>
      <c r="AD275" s="93">
        <v>18.75</v>
      </c>
      <c r="AF275" s="93">
        <v>0</v>
      </c>
      <c r="AG275" s="1">
        <v>0</v>
      </c>
      <c r="AH275" s="119">
        <v>0.52083333333333337</v>
      </c>
      <c r="AJ275" s="1">
        <v>101</v>
      </c>
      <c r="AK275" s="3">
        <v>180</v>
      </c>
      <c r="AN275" s="80">
        <f>360-AK275-AB275</f>
        <v>100</v>
      </c>
      <c r="AP275" s="96">
        <f>($AO$271+$AO$280)/2</f>
        <v>2844.9999999999591</v>
      </c>
      <c r="AQ275" s="15"/>
      <c r="AR275" s="17" t="e">
        <f>(E275-W275)/E275</f>
        <v>#VALUE!</v>
      </c>
      <c r="AS275" s="18"/>
      <c r="AT275" s="16">
        <f>AG275/(AD275-AF275)</f>
        <v>0</v>
      </c>
      <c r="AU275" s="16" t="e">
        <f>(G275-AM275)/G275</f>
        <v>#DIV/0!</v>
      </c>
      <c r="AV275" s="57" t="str">
        <f>IF(AND(ISNUMBER(E275),ISNUMBER(W275)),E275-W275,"")</f>
        <v/>
      </c>
      <c r="AW275" s="57" t="str">
        <f>IF(AND(ISNUMBER(I275),ISNUMBER(AF275)),I275-AF275,"")</f>
        <v/>
      </c>
      <c r="AX275" s="57" t="str">
        <f>IF(AND(ISNUMBER(AM275),ISNUMBER(G275)),G275-AM275,"")</f>
        <v/>
      </c>
      <c r="AY275" s="57" t="str">
        <f>IF(AND(ISNUMBER(AC275),ISNUMBER(AE275)),AC275-AE275,"")</f>
        <v/>
      </c>
      <c r="AZ275" s="57" t="str">
        <f>IF(AND(ISNUMBER(AL275),ISNUMBER(AM275)),AL275-AM275,"")</f>
        <v/>
      </c>
      <c r="BA275" s="123" t="str">
        <f>IF(AND($E275&gt;0,$W275&gt;0),IF(($E275-$W275)/$E275&gt;0,($E275-$W275)/$E275,0),"")</f>
        <v/>
      </c>
      <c r="BB275" s="123" t="str">
        <f>IF(AND($I275&gt;0,$AF275&gt;=0),IF(($I275-$AF275)/$I275&gt;0,($I275-$AF275)/$I275,0),"")</f>
        <v/>
      </c>
      <c r="BC275" s="123"/>
      <c r="BD275" s="123" t="str">
        <f>IF(AND($G275&gt;0,$AM275&gt;0),IF(($G275-$AM275)/$G275&gt;0,($G275-$AM275)/$G275,0),"")</f>
        <v/>
      </c>
      <c r="BE275" s="6">
        <f>IF((AD275-AF275)/(AJ275/60)&lt;=0,"",(AD275-AF275)/(AJ275/60))</f>
        <v>11.138613861386139</v>
      </c>
      <c r="BF275" s="6">
        <f>IF(OR(AJ275=0,AP275=0,NOT(ISNUMBER(AD275)),NOT(ISNUMBER(AF275)),NOT(ISNUMBER(AJ275)),NOT(ISNUMBER(AP275))),"",
IFERROR(IF((AD275-AF275)/(AJ275/60)/(AP275/1000)&lt;=0,"",(AD275-AF275)/(AJ275/60)/(AP275/1000)),""))</f>
        <v>3.9151542570777855</v>
      </c>
    </row>
    <row r="276" spans="1:58" ht="15.75">
      <c r="B276" s="94">
        <v>45536</v>
      </c>
      <c r="C276" s="1">
        <v>32</v>
      </c>
      <c r="D276" s="3">
        <v>271</v>
      </c>
      <c r="E276" s="205" t="str">
        <f t="shared" si="19"/>
        <v/>
      </c>
      <c r="I276" s="15"/>
      <c r="K276" s="10" t="str">
        <f t="shared" si="16"/>
        <v/>
      </c>
      <c r="L276" s="9" t="str">
        <f t="shared" si="17"/>
        <v/>
      </c>
      <c r="M276" s="8" t="str">
        <f t="shared" si="18"/>
        <v/>
      </c>
      <c r="AB276" s="5">
        <v>80</v>
      </c>
      <c r="AD276" s="93">
        <v>18.75</v>
      </c>
      <c r="AF276" s="1">
        <v>6.45</v>
      </c>
      <c r="AG276" s="1">
        <v>0</v>
      </c>
      <c r="AH276" s="119">
        <v>0.52083333333333337</v>
      </c>
      <c r="AJ276" s="1">
        <v>169</v>
      </c>
      <c r="AK276" s="3">
        <v>180</v>
      </c>
      <c r="AN276" s="80">
        <f>360-AK276-AB276</f>
        <v>100</v>
      </c>
      <c r="AP276" s="96">
        <f>($AO$271+$AO$280)/2</f>
        <v>2844.9999999999591</v>
      </c>
      <c r="AQ276" s="15"/>
      <c r="AR276" s="17" t="e">
        <f>(E276-W276)/E276</f>
        <v>#VALUE!</v>
      </c>
      <c r="AS276" s="18"/>
      <c r="AT276" s="16">
        <f>AG276/(AD276-AF276)</f>
        <v>0</v>
      </c>
      <c r="AU276" s="16" t="e">
        <f>(G276-AM276)/G276</f>
        <v>#DIV/0!</v>
      </c>
      <c r="AV276" s="57" t="str">
        <f>IF(AND(ISNUMBER(E276),ISNUMBER(W276)),E276-W276,"")</f>
        <v/>
      </c>
      <c r="AW276" s="57" t="str">
        <f>IF(AND(ISNUMBER(I276),ISNUMBER(AF276)),I276-AF276,"")</f>
        <v/>
      </c>
      <c r="AX276" s="57" t="str">
        <f>IF(AND(ISNUMBER(AM276),ISNUMBER(G276)),G276-AM276,"")</f>
        <v/>
      </c>
      <c r="AY276" s="57" t="str">
        <f>IF(AND(ISNUMBER(AC276),ISNUMBER(AE276)),AC276-AE276,"")</f>
        <v/>
      </c>
      <c r="AZ276" s="57" t="str">
        <f>IF(AND(ISNUMBER(AL276),ISNUMBER(AM276)),AL276-AM276,"")</f>
        <v/>
      </c>
      <c r="BA276" s="123" t="str">
        <f>IF(AND($E276&gt;0,$W276&gt;0),IF(($E276-$W276)/$E276&gt;0,($E276-$W276)/$E276,0),"")</f>
        <v/>
      </c>
      <c r="BB276" s="123" t="str">
        <f>IF(AND($I276&gt;0,$AF276&gt;=0),IF(($I276-$AF276)/$I276&gt;0,($I276-$AF276)/$I276,0),"")</f>
        <v/>
      </c>
      <c r="BC276" s="123"/>
      <c r="BD276" s="123" t="str">
        <f>IF(AND($G276&gt;0,$AM276&gt;0),IF(($G276-$AM276)/$G276&gt;0,($G276-$AM276)/$G276,0),"")</f>
        <v/>
      </c>
      <c r="BE276" s="6">
        <f>IF((AD276-AF276)/(AJ276/60)&lt;=0,"",(AD276-AF276)/(AJ276/60))</f>
        <v>4.3668639053254434</v>
      </c>
      <c r="BF276" s="6"/>
    </row>
    <row r="277" spans="1:58" ht="15.75">
      <c r="A277" s="12" t="s">
        <v>113</v>
      </c>
      <c r="B277" s="94">
        <v>45537</v>
      </c>
      <c r="C277" s="1">
        <v>33</v>
      </c>
      <c r="D277" s="3">
        <v>272</v>
      </c>
      <c r="E277" s="205" t="str">
        <f t="shared" si="19"/>
        <v/>
      </c>
      <c r="G277" s="15">
        <f>(N277*18-H277*18)/9</f>
        <v>12.190000000000001</v>
      </c>
      <c r="H277" s="9">
        <f>5*0.431</f>
        <v>2.1549999999999998</v>
      </c>
      <c r="I277" s="15">
        <f>AD277</f>
        <v>16.7</v>
      </c>
      <c r="K277" s="10" t="str">
        <f t="shared" si="16"/>
        <v/>
      </c>
      <c r="L277" s="9" t="str">
        <f t="shared" si="17"/>
        <v/>
      </c>
      <c r="M277" s="8">
        <f t="shared" si="18"/>
        <v>2.7399507793273172</v>
      </c>
      <c r="N277" s="7">
        <f>5*1.65</f>
        <v>8.25</v>
      </c>
      <c r="T277" s="6">
        <f>5*3</f>
        <v>15</v>
      </c>
      <c r="AB277" s="5">
        <v>80</v>
      </c>
      <c r="AC277" s="7">
        <f>T277</f>
        <v>15</v>
      </c>
      <c r="AD277" s="1">
        <f>5*3.34</f>
        <v>16.7</v>
      </c>
      <c r="AE277" s="1">
        <f>5*1.45</f>
        <v>7.25</v>
      </c>
      <c r="AF277" s="1">
        <v>0</v>
      </c>
      <c r="AG277">
        <v>0.01</v>
      </c>
      <c r="AH277" s="119">
        <v>0.81574074074074077</v>
      </c>
      <c r="AJ277" s="1">
        <v>173</v>
      </c>
      <c r="AK277" s="3">
        <v>180</v>
      </c>
      <c r="AL277" s="4">
        <f>AE277</f>
        <v>7.25</v>
      </c>
      <c r="AM277" s="1">
        <f>5*0.755</f>
        <v>3.7749999999999999</v>
      </c>
      <c r="AN277" s="80">
        <f>360-AK277-AB277</f>
        <v>100</v>
      </c>
      <c r="AP277" s="96">
        <f>($AO$271+$AO$280)/2</f>
        <v>2844.9999999999591</v>
      </c>
      <c r="AQ277" s="15"/>
      <c r="AR277" s="17" t="e">
        <f>(E277-W277)/E277</f>
        <v>#VALUE!</v>
      </c>
      <c r="AS277" s="18">
        <f>(I277-AF277)/I277</f>
        <v>1</v>
      </c>
      <c r="AT277" s="16">
        <f>AG277/(AD277-AF277)</f>
        <v>5.9880239520958083E-4</v>
      </c>
      <c r="AU277" s="16">
        <f>(G277-AM277)/G277</f>
        <v>0.69031993437243644</v>
      </c>
      <c r="AV277" s="57" t="str">
        <f>IF(AND(ISNUMBER(E277),ISNUMBER(W277)),E277-W277,"")</f>
        <v/>
      </c>
      <c r="AW277" s="57">
        <f>IF(AND(ISNUMBER(I277),ISNUMBER(AF277)),I277-AF277,"")</f>
        <v>16.7</v>
      </c>
      <c r="AX277" s="57">
        <f>IF(AND(ISNUMBER(AM277),ISNUMBER(G277)),G277-AM277,"")</f>
        <v>8.4150000000000009</v>
      </c>
      <c r="AY277" s="57">
        <f>IF(AND(ISNUMBER(AC277),ISNUMBER(AE277)),AC277-AE277,"")</f>
        <v>7.75</v>
      </c>
      <c r="AZ277" s="57">
        <f>IF(AND(ISNUMBER(AL277),ISNUMBER(AM277)),AL277-AM277,"")</f>
        <v>3.4750000000000001</v>
      </c>
      <c r="BA277" s="123" t="str">
        <f>IF(AND($E277&gt;0,$W277&gt;0),IF(($E277-$W277)/$E277&gt;0,($E277-$W277)/$E277,0),"")</f>
        <v/>
      </c>
      <c r="BB277" s="123">
        <f>IF(AND($I277&gt;0,$AF277&gt;=0),IF(($I277-$AF277)/$I277&gt;0,($I277-$AF277)/$I277,0),"")</f>
        <v>1</v>
      </c>
      <c r="BC277" s="123">
        <f>IF(AND($AG277&gt;=0,$AD277&gt;=0,$AF277&gt;=0),IF($AG277/($AD277-$AF277)&gt;0,$AG277/($AD277-$AF277),0),"")</f>
        <v>5.9880239520958083E-4</v>
      </c>
      <c r="BD277" s="123">
        <f>IF(AND($G277&gt;0,$AM277&gt;0),IF(($G277-$AM277)/$G277&gt;0,($G277-$AM277)/$G277,0),"")</f>
        <v>0.69031993437243644</v>
      </c>
      <c r="BE277" s="6">
        <f>IF((AD277-AF277)/(AJ277/60)&lt;=0,"",(AD277-AF277)/(AJ277/60))</f>
        <v>5.7919075144508669</v>
      </c>
      <c r="BF277" s="6">
        <f>IF(OR(AJ277=0,AP277=0,NOT(ISNUMBER(AD277)),NOT(ISNUMBER(AF277)),NOT(ISNUMBER(AJ277)),NOT(ISNUMBER(AP277))),"",
IFERROR(IF((AD277-AF277)/(AJ277/60)/(AP277/1000)&lt;=0,"",(AD277-AF277)/(AJ277/60)/(AP277/1000)),""))</f>
        <v>2.0358198644818808</v>
      </c>
    </row>
    <row r="278" spans="1:58" ht="15.75">
      <c r="B278" s="94">
        <v>45538</v>
      </c>
      <c r="C278" s="1">
        <v>34</v>
      </c>
      <c r="D278" s="3">
        <v>273</v>
      </c>
      <c r="E278" s="205">
        <f t="shared" si="19"/>
        <v>217.73629999999997</v>
      </c>
      <c r="G278" s="15">
        <f>(N278*18-H278*18)/9</f>
        <v>14.220000000000002</v>
      </c>
      <c r="H278" s="9">
        <v>7.19</v>
      </c>
      <c r="I278" s="15">
        <f>AD278</f>
        <v>17.3</v>
      </c>
      <c r="K278" s="10">
        <f t="shared" si="16"/>
        <v>15.31197609001406</v>
      </c>
      <c r="L278" s="9">
        <f t="shared" si="17"/>
        <v>6.2929566473988432</v>
      </c>
      <c r="M278" s="8">
        <f t="shared" si="18"/>
        <v>2.4331926863572431</v>
      </c>
      <c r="N278" s="7">
        <v>14.3</v>
      </c>
      <c r="O278">
        <v>77.177999999999997</v>
      </c>
      <c r="P278">
        <v>17.515999999999998</v>
      </c>
      <c r="Q278" s="6">
        <f>O278*1.067</f>
        <v>82.348925999999992</v>
      </c>
      <c r="R278" s="6">
        <f>P278*1.514</f>
        <v>26.519223999999998</v>
      </c>
      <c r="S278" s="23">
        <f>P278*1.514+O278*1.067</f>
        <v>108.86814999999999</v>
      </c>
      <c r="T278" s="6">
        <v>17.5</v>
      </c>
      <c r="U278">
        <v>0.21</v>
      </c>
      <c r="V278">
        <v>0.125</v>
      </c>
      <c r="W278" s="23">
        <f>U278*1.067+V278*1.514</f>
        <v>0.41332000000000002</v>
      </c>
      <c r="AB278" s="5">
        <v>80</v>
      </c>
      <c r="AC278" s="7">
        <f>T278</f>
        <v>17.5</v>
      </c>
      <c r="AD278" s="1">
        <f>5*3.46</f>
        <v>17.3</v>
      </c>
      <c r="AE278" s="1">
        <v>10.7</v>
      </c>
      <c r="AF278" s="1">
        <v>0</v>
      </c>
      <c r="AG278" s="1">
        <v>0</v>
      </c>
      <c r="AH278" s="119">
        <v>0.52083333333333337</v>
      </c>
      <c r="AJ278" s="1">
        <v>139</v>
      </c>
      <c r="AK278" s="3">
        <v>180</v>
      </c>
      <c r="AL278" s="4">
        <f>AE278</f>
        <v>10.7</v>
      </c>
      <c r="AM278" s="1">
        <v>8.2100000000000009</v>
      </c>
      <c r="AN278" s="80">
        <f>360-AK278-AB278</f>
        <v>100</v>
      </c>
      <c r="AP278" s="13">
        <f>AVERAGE(AO276:AO282)</f>
        <v>2949.9999999999545</v>
      </c>
      <c r="AQ278" s="15"/>
      <c r="AR278" s="17">
        <f>(E278-W278)/E278</f>
        <v>0.99810174049986156</v>
      </c>
      <c r="AS278" s="18">
        <f>(I278-AF278)/I278</f>
        <v>1</v>
      </c>
      <c r="AT278" s="16">
        <f>AG278/(AD278-AF278)</f>
        <v>0</v>
      </c>
      <c r="AU278" s="16">
        <f>(G278-AM278)/G278</f>
        <v>0.4226441631504923</v>
      </c>
      <c r="AV278" s="57">
        <f>IF(AND(ISNUMBER(E278),ISNUMBER(W278)),E278-W278,"")</f>
        <v>217.32297999999997</v>
      </c>
      <c r="AW278" s="57">
        <f>IF(AND(ISNUMBER(I278),ISNUMBER(AF278)),I278-AF278,"")</f>
        <v>17.3</v>
      </c>
      <c r="AX278" s="57">
        <f>IF(AND(ISNUMBER(AM278),ISNUMBER(G278)),G278-AM278,"")</f>
        <v>6.0100000000000016</v>
      </c>
      <c r="AY278" s="57">
        <f>IF(AND(ISNUMBER(AC278),ISNUMBER(AE278)),AC278-AE278,"")</f>
        <v>6.8000000000000007</v>
      </c>
      <c r="AZ278" s="57">
        <f>IF(AND(ISNUMBER(AL278),ISNUMBER(AM278)),AL278-AM278,"")</f>
        <v>2.4899999999999984</v>
      </c>
      <c r="BA278" s="123">
        <f>IF(AND($E278&gt;0,$W278&gt;0),IF(($E278-$W278)/$E278&gt;0,($E278-$W278)/$E278,0),"")</f>
        <v>0.99810174049986156</v>
      </c>
      <c r="BB278" s="123">
        <f>IF(AND($I278&gt;0,$AF278&gt;=0),IF(($I278-$AF278)/$I278&gt;0,($I278-$AF278)/$I278,0),"")</f>
        <v>1</v>
      </c>
      <c r="BC278" s="123">
        <f>IF(AND($AG278&gt;=0,$AD278&gt;=0,$AF278&gt;=0),IF($AG278/($AD278-$AF278)&gt;0,$AG278/($AD278-$AF278),0),"")</f>
        <v>0</v>
      </c>
      <c r="BD278" s="123">
        <f>IF(AND($G278&gt;0,$AM278&gt;0),IF(($G278-$AM278)/$G278&gt;0,($G278-$AM278)/$G278,0),"")</f>
        <v>0.4226441631504923</v>
      </c>
      <c r="BE278" s="6">
        <f>IF((AD278-AF278)/(AJ278/60)&lt;=0,"",(AD278-AF278)/(AJ278/60))</f>
        <v>7.4676258992805753</v>
      </c>
      <c r="BF278" s="6">
        <f>IF(OR(AJ278=0,AP278=0,NOT(ISNUMBER(AD278)),NOT(ISNUMBER(AF278)),NOT(ISNUMBER(AJ278)),NOT(ISNUMBER(AP278))),"",
IFERROR(IF((AD278-AF278)/(AJ278/60)/(AP278/1000)&lt;=0,"",(AD278-AF278)/(AJ278/60)/(AP278/1000)),""))</f>
        <v>2.5313986099256578</v>
      </c>
    </row>
    <row r="279" spans="1:58" ht="15.75">
      <c r="A279" s="12" t="s">
        <v>112</v>
      </c>
      <c r="B279" s="94">
        <v>45539</v>
      </c>
      <c r="C279" s="1">
        <v>35</v>
      </c>
      <c r="D279" s="3">
        <v>274</v>
      </c>
      <c r="E279" s="205" t="str">
        <f t="shared" si="19"/>
        <v/>
      </c>
      <c r="I279" s="15">
        <f>AD279</f>
        <v>0</v>
      </c>
      <c r="K279" s="10" t="str">
        <f t="shared" si="16"/>
        <v/>
      </c>
      <c r="L279" s="9" t="str">
        <f t="shared" si="17"/>
        <v/>
      </c>
      <c r="M279" s="8" t="str">
        <f t="shared" si="18"/>
        <v/>
      </c>
      <c r="W279" s="23"/>
      <c r="AB279" s="5">
        <v>80</v>
      </c>
      <c r="AF279" s="1">
        <v>5.75</v>
      </c>
      <c r="AG279" s="1">
        <v>0</v>
      </c>
      <c r="AH279" s="119">
        <v>0.52083333333333337</v>
      </c>
      <c r="AJ279" s="1">
        <v>123</v>
      </c>
      <c r="AK279" s="3">
        <v>180</v>
      </c>
      <c r="AL279" s="4">
        <f>AE279</f>
        <v>0</v>
      </c>
      <c r="AM279" s="1">
        <v>11.8</v>
      </c>
      <c r="AN279" s="80">
        <f>360-AK279-AB279</f>
        <v>100</v>
      </c>
      <c r="AP279" s="13">
        <f>AVERAGE(AO277:AO283)</f>
        <v>2949.9999999999545</v>
      </c>
      <c r="AQ279" s="15"/>
      <c r="AR279" s="17" t="e">
        <f>(E279-W279)/E279</f>
        <v>#VALUE!</v>
      </c>
      <c r="AS279" s="18"/>
      <c r="AT279" s="16">
        <f>AG279/(AD279-AF279)</f>
        <v>0</v>
      </c>
      <c r="AU279" s="16"/>
      <c r="AV279" s="57" t="str">
        <f>IF(AND(ISNUMBER(E279),ISNUMBER(W279)),E279-W279,"")</f>
        <v/>
      </c>
      <c r="AW279" s="57">
        <f>IF(AND(ISNUMBER(I279),ISNUMBER(AF279)),I279-AF279,"")</f>
        <v>-5.75</v>
      </c>
      <c r="AX279" s="57" t="str">
        <f>IF(AND(ISNUMBER(AM279),ISNUMBER(G279)),G279-AM279,"")</f>
        <v/>
      </c>
      <c r="AY279" s="57" t="str">
        <f>IF(AND(ISNUMBER(AC279),ISNUMBER(AE279)),AC279-AE279,"")</f>
        <v/>
      </c>
      <c r="AZ279" s="57">
        <f>IF(AND(ISNUMBER(AL279),ISNUMBER(AM279)),AL279-AM279,"")</f>
        <v>-11.8</v>
      </c>
      <c r="BA279" s="123" t="str">
        <f>IF(AND($E279&gt;0,$W279&gt;0),IF(($E279-$W279)/$E279&gt;0,($E279-$W279)/$E279,0),"")</f>
        <v/>
      </c>
      <c r="BB279" s="123" t="str">
        <f>IF(AND($I279&gt;0,$AF279&gt;=0),IF(($I279-$AF279)/$I279&gt;0,($I279-$AF279)/$I279,0),"")</f>
        <v/>
      </c>
      <c r="BC279" s="123"/>
      <c r="BD279" s="123" t="str">
        <f>IF(AND($G279&gt;0,$AM279&gt;0),IF(($G279-$AM279)/$G279&gt;0,($G279-$AM279)/$G279,0),"")</f>
        <v/>
      </c>
      <c r="BE279" s="6" t="str">
        <f>IF((AD279-AF279)/(AJ279/60)&lt;=0,"",(AD279-AF279)/(AJ279/60))</f>
        <v/>
      </c>
      <c r="BF279" s="6" t="str">
        <f>IF(OR(AJ279=0,AP279=0,NOT(ISNUMBER(AD279)),NOT(ISNUMBER(AF279)),NOT(ISNUMBER(AJ279)),NOT(ISNUMBER(AP279))),"",
IFERROR(IF((AD279-AF279)/(AJ279/60)/(AP279/1000)&lt;=0,"",(AD279-AF279)/(AJ279/60)/(AP279/1000)),""))</f>
        <v/>
      </c>
    </row>
    <row r="280" spans="1:58" ht="15.75">
      <c r="A280" s="112"/>
      <c r="B280" s="94">
        <v>45540</v>
      </c>
      <c r="C280" s="1">
        <v>36</v>
      </c>
      <c r="D280" s="3">
        <v>275</v>
      </c>
      <c r="E280" s="205">
        <f t="shared" si="19"/>
        <v>227.23379799999998</v>
      </c>
      <c r="G280" s="15">
        <f>(N280*18-H280*18)/9</f>
        <v>13.72</v>
      </c>
      <c r="H280" s="9">
        <f>5*0.878</f>
        <v>4.3899999999999997</v>
      </c>
      <c r="I280" s="15">
        <f>AD280</f>
        <v>18.850000000000001</v>
      </c>
      <c r="K280" s="10">
        <f t="shared" si="16"/>
        <v>16.562230174927112</v>
      </c>
      <c r="L280" s="9">
        <f t="shared" si="17"/>
        <v>6.0274216976127315</v>
      </c>
      <c r="M280" s="8">
        <f t="shared" si="18"/>
        <v>2.7478134110787171</v>
      </c>
      <c r="N280" s="7">
        <f>5*2.25</f>
        <v>11.25</v>
      </c>
      <c r="O280">
        <v>82.320999999999998</v>
      </c>
      <c r="P280">
        <v>17.027999999999999</v>
      </c>
      <c r="Q280" s="6">
        <f>O280*1.067</f>
        <v>87.836506999999997</v>
      </c>
      <c r="R280" s="6">
        <f>P280*1.514</f>
        <v>25.780391999999999</v>
      </c>
      <c r="S280" s="23">
        <f>P280*1.514+O280*1.067</f>
        <v>113.61689899999999</v>
      </c>
      <c r="T280" s="6">
        <f>5*3.07</f>
        <v>15.35</v>
      </c>
      <c r="U280" s="6">
        <v>0</v>
      </c>
      <c r="V280">
        <v>0</v>
      </c>
      <c r="W280" s="23">
        <f>U280*1.067+V280*1.514</f>
        <v>0</v>
      </c>
      <c r="AB280" s="5">
        <v>80</v>
      </c>
      <c r="AC280" s="7">
        <f>T280</f>
        <v>15.35</v>
      </c>
      <c r="AD280" s="1">
        <f>5*3.77</f>
        <v>18.850000000000001</v>
      </c>
      <c r="AE280" s="1">
        <f>5*1.51</f>
        <v>7.55</v>
      </c>
      <c r="AF280" s="1">
        <v>0</v>
      </c>
      <c r="AG280" s="1">
        <v>0</v>
      </c>
      <c r="AH280" s="119">
        <v>0.52083333333333337</v>
      </c>
      <c r="AJ280" s="1">
        <v>135</v>
      </c>
      <c r="AK280" s="3">
        <v>180</v>
      </c>
      <c r="AL280" s="4">
        <f>AE280</f>
        <v>7.55</v>
      </c>
      <c r="AM280" s="1">
        <f>5*1.11</f>
        <v>5.5500000000000007</v>
      </c>
      <c r="AN280" s="80">
        <f>360-AK280-AB280</f>
        <v>100</v>
      </c>
      <c r="AO280" s="2">
        <v>2949.9999999999545</v>
      </c>
      <c r="AP280" s="13">
        <f>AVERAGE(AO278:AO284)</f>
        <v>2949.9999999999545</v>
      </c>
      <c r="AQ280" s="15">
        <v>18.21612349914243</v>
      </c>
      <c r="AR280" s="17">
        <f>(E280-W280)/E280</f>
        <v>1</v>
      </c>
      <c r="AS280" s="18">
        <f>(I280-AF280)/I280</f>
        <v>1</v>
      </c>
      <c r="AT280" s="16">
        <f>AG280/(AD280-AF280)</f>
        <v>0</v>
      </c>
      <c r="AU280" s="16">
        <f>(G280-AM280)/G280</f>
        <v>0.59548104956268222</v>
      </c>
      <c r="AV280" s="57">
        <f>IF(AND(ISNUMBER(E280),ISNUMBER(W280)),E280-W280,"")</f>
        <v>227.23379799999998</v>
      </c>
      <c r="AW280" s="57">
        <f>IF(AND(ISNUMBER(I280),ISNUMBER(AF280)),I280-AF280,"")</f>
        <v>18.850000000000001</v>
      </c>
      <c r="AX280" s="57">
        <f>IF(AND(ISNUMBER(AM280),ISNUMBER(G280)),G280-AM280,"")</f>
        <v>8.17</v>
      </c>
      <c r="AY280" s="57">
        <f>IF(AND(ISNUMBER(AC280),ISNUMBER(AE280)),AC280-AE280,"")</f>
        <v>7.8</v>
      </c>
      <c r="AZ280" s="57">
        <f>IF(AND(ISNUMBER(AL280),ISNUMBER(AM280)),AL280-AM280,"")</f>
        <v>1.9999999999999991</v>
      </c>
      <c r="BA280" s="123" t="str">
        <f>IF(AND($E280&gt;0,$W280&gt;0),IF(($E280-$W280)/$E280&gt;0,($E280-$W280)/$E280,0),"")</f>
        <v/>
      </c>
      <c r="BB280" s="123">
        <f>IF(AND($I280&gt;0,$AF280&gt;=0),IF(($I280-$AF280)/$I280&gt;0,($I280-$AF280)/$I280,0),"")</f>
        <v>1</v>
      </c>
      <c r="BC280" s="123">
        <f>IF(AND($AG280&gt;=0,$AD280&gt;=0,$AF280&gt;=0),IF($AG280/($AD280-$AF280)&gt;0,$AG280/($AD280-$AF280),0),"")</f>
        <v>0</v>
      </c>
      <c r="BD280" s="123">
        <f>IF(AND($G280&gt;0,$AM280&gt;0),IF(($G280-$AM280)/$G280&gt;0,($G280-$AM280)/$G280,0),"")</f>
        <v>0.59548104956268222</v>
      </c>
      <c r="BE280" s="6">
        <f>IF((AD280-AF280)/(AJ280/60)&lt;=0,"",(AD280-AF280)/(AJ280/60))</f>
        <v>8.3777777777777782</v>
      </c>
      <c r="BF280" s="6">
        <f>IF(OR(AJ280=0,AP280=0,NOT(ISNUMBER(AD280)),NOT(ISNUMBER(AF280)),NOT(ISNUMBER(AJ280)),NOT(ISNUMBER(AP280))),"",
IFERROR(IF((AD280-AF280)/(AJ280/60)/(AP280/1000)&lt;=0,"",(AD280-AF280)/(AJ280/60)/(AP280/1000)),""))</f>
        <v>2.8399246704331889</v>
      </c>
    </row>
    <row r="281" spans="1:58" ht="15.75">
      <c r="B281" s="11">
        <v>45541</v>
      </c>
      <c r="C281" s="1">
        <v>37</v>
      </c>
      <c r="D281" s="3">
        <v>276</v>
      </c>
      <c r="E281" s="205" t="str">
        <f t="shared" si="19"/>
        <v/>
      </c>
      <c r="I281" s="41">
        <v>18.8</v>
      </c>
      <c r="K281" s="10" t="str">
        <f t="shared" si="16"/>
        <v/>
      </c>
      <c r="L281" s="9" t="str">
        <f t="shared" si="17"/>
        <v/>
      </c>
      <c r="M281" s="8" t="str">
        <f t="shared" si="18"/>
        <v/>
      </c>
      <c r="AB281" s="5">
        <v>80</v>
      </c>
      <c r="AG281" s="1">
        <v>0</v>
      </c>
      <c r="AH281" s="119">
        <v>0.52083333333333337</v>
      </c>
      <c r="AK281" s="3">
        <v>180</v>
      </c>
      <c r="AN281" s="80">
        <f>360-AK281-AB281</f>
        <v>100</v>
      </c>
      <c r="AP281" s="13">
        <f>AVERAGE(AO279:AO285)</f>
        <v>2949.9999999999545</v>
      </c>
      <c r="AQ281" s="15"/>
      <c r="AR281" s="17" t="e">
        <f>(E281-W281)/E281</f>
        <v>#VALUE!</v>
      </c>
      <c r="AS281" s="16"/>
      <c r="AT281" s="16" t="e">
        <f>AG281/(AD281-AF281)</f>
        <v>#DIV/0!</v>
      </c>
      <c r="AU281" s="16" t="e">
        <f>(G281-AM281)/G281</f>
        <v>#DIV/0!</v>
      </c>
      <c r="AV281" s="57" t="str">
        <f>IF(AND(ISNUMBER(E281),ISNUMBER(W281)),E281-W281,"")</f>
        <v/>
      </c>
      <c r="AW281" s="57" t="str">
        <f>IF(AND(ISNUMBER(I281),ISNUMBER(AF281)),I281-AF281,"")</f>
        <v/>
      </c>
      <c r="AX281" s="57" t="str">
        <f>IF(AND(ISNUMBER(AM281),ISNUMBER(G281)),G281-AM281,"")</f>
        <v/>
      </c>
      <c r="AY281" s="57" t="str">
        <f>IF(AND(ISNUMBER(AC281),ISNUMBER(AE281)),AC281-AE281,"")</f>
        <v/>
      </c>
      <c r="AZ281" s="57" t="str">
        <f>IF(AND(ISNUMBER(AL281),ISNUMBER(AM281)),AL281-AM281,"")</f>
        <v/>
      </c>
      <c r="BA281" s="84" t="str">
        <f>IF(AND($E281&gt;0,$W281&gt;0),IF(($E281-$W281)/$E281&gt;0,($E281-$W281)/$E281,0),"")</f>
        <v/>
      </c>
      <c r="BB281" s="84">
        <f>IF(AND($I281&gt;0,$AF281&gt;=0),IF(($I281-$AF281)/$I281&gt;0,($I281-$AF281)/$I281,0),"")</f>
        <v>1</v>
      </c>
      <c r="BC281" s="84"/>
      <c r="BD281" s="84" t="str">
        <f>IF(AND($G281&gt;0,$AM281&gt;0),IF(($G281-$AM281)/$G281&gt;0,($G281-$AM281)/$G281,0),"")</f>
        <v/>
      </c>
      <c r="BE281" s="6" t="e">
        <f>IF((AD281-AF281)/(AJ281/60)&lt;=0,"",(AD281-AF281)/(AJ281/60))</f>
        <v>#DIV/0!</v>
      </c>
      <c r="BF281" s="6" t="str">
        <f>IF(OR(AJ281=0,AP281=0,NOT(ISNUMBER(AD281)),NOT(ISNUMBER(AF281)),NOT(ISNUMBER(AJ281)),NOT(ISNUMBER(AP281))),"",
IFERROR(IF((AD281-AF281)/(AJ281/60)/(AP281/1000)&lt;=0,"",(AD281-AF281)/(AJ281/60)/(AP281/1000)),""))</f>
        <v/>
      </c>
    </row>
    <row r="282" spans="1:58" ht="15.75">
      <c r="B282" s="11">
        <v>45542</v>
      </c>
      <c r="C282" s="1">
        <v>38</v>
      </c>
      <c r="D282" s="3">
        <v>277</v>
      </c>
      <c r="E282" s="205" t="str">
        <f t="shared" si="19"/>
        <v/>
      </c>
      <c r="I282" s="41">
        <f>AD282</f>
        <v>0</v>
      </c>
      <c r="K282" s="10" t="str">
        <f t="shared" si="16"/>
        <v/>
      </c>
      <c r="L282" s="9" t="str">
        <f t="shared" si="17"/>
        <v/>
      </c>
      <c r="M282" s="8" t="str">
        <f t="shared" si="18"/>
        <v/>
      </c>
      <c r="AB282" s="5">
        <v>80</v>
      </c>
      <c r="AG282" s="1">
        <v>0.01</v>
      </c>
      <c r="AH282" s="119">
        <v>0.52083333333333337</v>
      </c>
      <c r="AJ282" s="1">
        <v>143</v>
      </c>
      <c r="AK282" s="3">
        <v>180</v>
      </c>
      <c r="AN282" s="80">
        <f>360-AK282-AB282</f>
        <v>100</v>
      </c>
      <c r="AP282" s="13">
        <f>AVERAGE(AO280:AO286)</f>
        <v>2949.9999999999545</v>
      </c>
      <c r="AQ282" s="15"/>
      <c r="AR282" s="17" t="e">
        <f>(E282-W282)/E282</f>
        <v>#VALUE!</v>
      </c>
      <c r="AS282" s="16"/>
      <c r="AT282" s="16" t="e">
        <f>AG282/(AD282-AF282)</f>
        <v>#DIV/0!</v>
      </c>
      <c r="AU282" s="16" t="e">
        <f>(G282-AM282)/G282</f>
        <v>#DIV/0!</v>
      </c>
      <c r="AV282" s="57" t="str">
        <f>IF(AND(ISNUMBER(E282),ISNUMBER(W282)),E282-W282,"")</f>
        <v/>
      </c>
      <c r="AW282" s="57" t="str">
        <f>IF(AND(ISNUMBER(I282),ISNUMBER(AF282)),I282-AF282,"")</f>
        <v/>
      </c>
      <c r="AX282" s="57" t="str">
        <f>IF(AND(ISNUMBER(AM282),ISNUMBER(G282)),G282-AM282,"")</f>
        <v/>
      </c>
      <c r="AY282" s="57" t="str">
        <f>IF(AND(ISNUMBER(AC282),ISNUMBER(AE282)),AC282-AE282,"")</f>
        <v/>
      </c>
      <c r="AZ282" s="57" t="str">
        <f>IF(AND(ISNUMBER(AL282),ISNUMBER(AM282)),AL282-AM282,"")</f>
        <v/>
      </c>
      <c r="BA282" s="84" t="str">
        <f>IF(AND($E282&gt;0,$W282&gt;0),IF(($E282-$W282)/$E282&gt;0,($E282-$W282)/$E282,0),"")</f>
        <v/>
      </c>
      <c r="BB282" s="84" t="str">
        <f>IF(AND($I282&gt;0,$AF282&gt;=0),IF(($I282-$AF282)/$I282&gt;0,($I282-$AF282)/$I282,0),"")</f>
        <v/>
      </c>
      <c r="BC282" s="84"/>
      <c r="BD282" s="84" t="str">
        <f>IF(AND($G282&gt;0,$AM282&gt;0),IF(($G282-$AM282)/$G282&gt;0,($G282-$AM282)/$G282,0),"")</f>
        <v/>
      </c>
      <c r="BE282" s="6" t="str">
        <f>IF((AD282-AF282)/(AJ282/60)&lt;=0,"",(AD282-AF282)/(AJ282/60))</f>
        <v/>
      </c>
      <c r="BF282" s="6" t="str">
        <f>IF(OR(AJ282=0,AP282=0,NOT(ISNUMBER(AD282)),NOT(ISNUMBER(AF282)),NOT(ISNUMBER(AJ282)),NOT(ISNUMBER(AP282))),"",
IFERROR(IF((AD282-AF282)/(AJ282/60)/(AP282/1000)&lt;=0,"",(AD282-AF282)/(AJ282/60)/(AP282/1000)),""))</f>
        <v/>
      </c>
    </row>
    <row r="283" spans="1:58" ht="15.75">
      <c r="B283" s="11">
        <v>45543</v>
      </c>
      <c r="C283" s="1">
        <v>39</v>
      </c>
      <c r="D283" s="3">
        <v>278</v>
      </c>
      <c r="E283" s="205" t="str">
        <f t="shared" si="19"/>
        <v/>
      </c>
      <c r="I283" s="41">
        <v>18.899999999999999</v>
      </c>
      <c r="K283" s="10" t="str">
        <f t="shared" si="16"/>
        <v/>
      </c>
      <c r="L283" s="9" t="str">
        <f t="shared" si="17"/>
        <v/>
      </c>
      <c r="M283" s="8" t="str">
        <f t="shared" si="18"/>
        <v/>
      </c>
      <c r="AB283" s="5">
        <v>80</v>
      </c>
      <c r="AG283">
        <v>1.05</v>
      </c>
      <c r="AH283" s="119">
        <v>0.50937500000000002</v>
      </c>
      <c r="AJ283" s="1">
        <v>143</v>
      </c>
      <c r="AK283" s="3">
        <v>180</v>
      </c>
      <c r="AN283" s="80">
        <f>360-AK283-AB283</f>
        <v>100</v>
      </c>
      <c r="AP283" s="13">
        <f>AVERAGE(AO281:AO287)</f>
        <v>2019.9999999999818</v>
      </c>
      <c r="AQ283" s="15"/>
      <c r="AR283" s="17" t="e">
        <f>(E283-W283)/E283</f>
        <v>#VALUE!</v>
      </c>
      <c r="AS283" s="16"/>
      <c r="AT283" s="16" t="e">
        <f>AG283/(AD283-AF283)</f>
        <v>#DIV/0!</v>
      </c>
      <c r="AU283" s="16" t="e">
        <f>(G283-AM283)/G283</f>
        <v>#DIV/0!</v>
      </c>
      <c r="AV283" s="57" t="str">
        <f>IF(AND(ISNUMBER(E283),ISNUMBER(W283)),E283-W283,"")</f>
        <v/>
      </c>
      <c r="AW283" s="57" t="str">
        <f>IF(AND(ISNUMBER(I283),ISNUMBER(AF283)),I283-AF283,"")</f>
        <v/>
      </c>
      <c r="AX283" s="57" t="str">
        <f>IF(AND(ISNUMBER(AM283),ISNUMBER(G283)),G283-AM283,"")</f>
        <v/>
      </c>
      <c r="AY283" s="57" t="str">
        <f>IF(AND(ISNUMBER(AC283),ISNUMBER(AE283)),AC283-AE283,"")</f>
        <v/>
      </c>
      <c r="AZ283" s="57" t="str">
        <f>IF(AND(ISNUMBER(AL283),ISNUMBER(AM283)),AL283-AM283,"")</f>
        <v/>
      </c>
      <c r="BA283" s="84" t="str">
        <f>IF(AND($E283&gt;0,$W283&gt;0),IF(($E283-$W283)/$E283&gt;0,($E283-$W283)/$E283,0),"")</f>
        <v/>
      </c>
      <c r="BB283" s="84">
        <f>IF(AND($I283&gt;0,$AF283&gt;=0),IF(($I283-$AF283)/$I283&gt;0,($I283-$AF283)/$I283,0),"")</f>
        <v>1</v>
      </c>
      <c r="BC283" s="84"/>
      <c r="BD283" s="84" t="str">
        <f>IF(AND($G283&gt;0,$AM283&gt;0),IF(($G283-$AM283)/$G283&gt;0,($G283-$AM283)/$G283,0),"")</f>
        <v/>
      </c>
      <c r="BE283" s="6" t="str">
        <f>IF((AD283-AF283)/(AJ283/60)&lt;=0,"",(AD283-AF283)/(AJ283/60))</f>
        <v/>
      </c>
      <c r="BF283" s="6" t="str">
        <f>IF(OR(AJ283=0,AP283=0,NOT(ISNUMBER(AD283)),NOT(ISNUMBER(AF283)),NOT(ISNUMBER(AJ283)),NOT(ISNUMBER(AP283))),"",
IFERROR(IF((AD283-AF283)/(AJ283/60)/(AP283/1000)&lt;=0,"",(AD283-AF283)/(AJ283/60)/(AP283/1000)),""))</f>
        <v/>
      </c>
    </row>
    <row r="284" spans="1:58" ht="15.75">
      <c r="A284" s="12" t="s">
        <v>111</v>
      </c>
      <c r="B284" s="11">
        <v>45544</v>
      </c>
      <c r="C284" s="1">
        <v>40</v>
      </c>
      <c r="D284" s="3">
        <v>279</v>
      </c>
      <c r="E284" s="205" t="str">
        <f t="shared" si="19"/>
        <v/>
      </c>
      <c r="I284" s="41">
        <v>19</v>
      </c>
      <c r="K284" s="10" t="str">
        <f t="shared" si="16"/>
        <v/>
      </c>
      <c r="L284" s="9" t="str">
        <f t="shared" si="17"/>
        <v/>
      </c>
      <c r="M284" s="8" t="str">
        <f t="shared" si="18"/>
        <v/>
      </c>
      <c r="AB284" s="5">
        <v>80</v>
      </c>
      <c r="AG284">
        <v>0.17</v>
      </c>
      <c r="AH284" s="119">
        <v>0.85046296296296298</v>
      </c>
      <c r="AK284" s="3">
        <v>180</v>
      </c>
      <c r="AN284" s="80">
        <f>360-AK284-AB284</f>
        <v>100</v>
      </c>
      <c r="AP284" s="13">
        <f>AVERAGE(AO282:AO288)</f>
        <v>2019.9999999999818</v>
      </c>
      <c r="AQ284" s="15"/>
      <c r="AR284" s="17" t="e">
        <f>(E284-W284)/E284</f>
        <v>#VALUE!</v>
      </c>
      <c r="AS284" s="16"/>
      <c r="AT284" s="16" t="e">
        <f>AG284/(AD284-AF284)</f>
        <v>#DIV/0!</v>
      </c>
      <c r="AU284" s="16" t="e">
        <f>(G284-AM284)/G284</f>
        <v>#DIV/0!</v>
      </c>
      <c r="AV284" s="57" t="str">
        <f>IF(AND(ISNUMBER(E284),ISNUMBER(W284)),E284-W284,"")</f>
        <v/>
      </c>
      <c r="AW284" s="57" t="str">
        <f>IF(AND(ISNUMBER(I284),ISNUMBER(AF284)),I284-AF284,"")</f>
        <v/>
      </c>
      <c r="AX284" s="57" t="str">
        <f>IF(AND(ISNUMBER(AM284),ISNUMBER(G284)),G284-AM284,"")</f>
        <v/>
      </c>
      <c r="AY284" s="57" t="str">
        <f>IF(AND(ISNUMBER(AC284),ISNUMBER(AE284)),AC284-AE284,"")</f>
        <v/>
      </c>
      <c r="AZ284" s="57" t="str">
        <f>IF(AND(ISNUMBER(AL284),ISNUMBER(AM284)),AL284-AM284,"")</f>
        <v/>
      </c>
      <c r="BA284" s="84" t="str">
        <f>IF(AND($E284&gt;0,$W284&gt;0),IF(($E284-$W284)/$E284&gt;0,($E284-$W284)/$E284,0),"")</f>
        <v/>
      </c>
      <c r="BB284" s="84">
        <f>IF(AND($I284&gt;0,$AF284&gt;=0),IF(($I284-$AF284)/$I284&gt;0,($I284-$AF284)/$I284,0),"")</f>
        <v>1</v>
      </c>
      <c r="BC284" s="84"/>
      <c r="BD284" s="84" t="str">
        <f>IF(AND($G284&gt;0,$AM284&gt;0),IF(($G284-$AM284)/$G284&gt;0,($G284-$AM284)/$G284,0),"")</f>
        <v/>
      </c>
      <c r="BE284" s="6" t="e">
        <f>IF((AD284-AF284)/(AJ284/60)&lt;=0,"",(AD284-AF284)/(AJ284/60))</f>
        <v>#DIV/0!</v>
      </c>
      <c r="BF284" s="6" t="str">
        <f>IF(OR(AJ284=0,AP284=0,NOT(ISNUMBER(AD284)),NOT(ISNUMBER(AF284)),NOT(ISNUMBER(AJ284)),NOT(ISNUMBER(AP284))),"",
IFERROR(IF((AD284-AF284)/(AJ284/60)/(AP284/1000)&lt;=0,"",(AD284-AF284)/(AJ284/60)/(AP284/1000)),""))</f>
        <v/>
      </c>
    </row>
    <row r="285" spans="1:58" ht="15.75">
      <c r="B285" s="11">
        <v>45545</v>
      </c>
      <c r="C285" s="1">
        <v>41</v>
      </c>
      <c r="D285" s="3">
        <v>280</v>
      </c>
      <c r="E285" s="205" t="str">
        <f t="shared" si="19"/>
        <v/>
      </c>
      <c r="I285" s="41">
        <v>19.399999999999999</v>
      </c>
      <c r="K285" s="10" t="str">
        <f t="shared" si="16"/>
        <v/>
      </c>
      <c r="L285" s="9" t="str">
        <f t="shared" si="17"/>
        <v/>
      </c>
      <c r="M285" s="8" t="str">
        <f t="shared" si="18"/>
        <v/>
      </c>
      <c r="X285" s="6">
        <v>8.39</v>
      </c>
      <c r="AB285" s="5">
        <v>80</v>
      </c>
      <c r="AG285">
        <v>0.39</v>
      </c>
      <c r="AH285" s="119">
        <v>0.52048611111111109</v>
      </c>
      <c r="AK285" s="3">
        <v>180</v>
      </c>
      <c r="AN285" s="80">
        <f>360-AK285-AB285</f>
        <v>100</v>
      </c>
      <c r="AP285" s="13">
        <f>AVERAGE(AO283:AO289)</f>
        <v>2019.9999999999818</v>
      </c>
      <c r="AQ285" s="15"/>
      <c r="AR285" s="17" t="e">
        <f>(E285-W285)/E285</f>
        <v>#VALUE!</v>
      </c>
      <c r="AS285" s="16"/>
      <c r="AT285" s="16" t="e">
        <f>AG285/(AD285-AF285)</f>
        <v>#DIV/0!</v>
      </c>
      <c r="AU285" s="16" t="e">
        <f>(G285-AM285)/G285</f>
        <v>#DIV/0!</v>
      </c>
      <c r="AV285" s="57" t="str">
        <f>IF(AND(ISNUMBER(E285),ISNUMBER(W285)),E285-W285,"")</f>
        <v/>
      </c>
      <c r="AW285" s="57" t="str">
        <f>IF(AND(ISNUMBER(I285),ISNUMBER(AF285)),I285-AF285,"")</f>
        <v/>
      </c>
      <c r="AX285" s="57" t="str">
        <f>IF(AND(ISNUMBER(AM285),ISNUMBER(G285)),G285-AM285,"")</f>
        <v/>
      </c>
      <c r="AY285" s="57" t="str">
        <f>IF(AND(ISNUMBER(AC285),ISNUMBER(AE285)),AC285-AE285,"")</f>
        <v/>
      </c>
      <c r="AZ285" s="57" t="str">
        <f>IF(AND(ISNUMBER(AL285),ISNUMBER(AM285)),AL285-AM285,"")</f>
        <v/>
      </c>
      <c r="BA285" s="84" t="str">
        <f>IF(AND($E285&gt;0,$W285&gt;0),IF(($E285-$W285)/$E285&gt;0,($E285-$W285)/$E285,0),"")</f>
        <v/>
      </c>
      <c r="BB285" s="84">
        <f>IF(AND($I285&gt;0,$AF285&gt;=0),IF(($I285-$AF285)/$I285&gt;0,($I285-$AF285)/$I285,0),"")</f>
        <v>1</v>
      </c>
      <c r="BC285" s="84"/>
      <c r="BD285" s="84" t="str">
        <f>IF(AND($G285&gt;0,$AM285&gt;0),IF(($G285-$AM285)/$G285&gt;0,($G285-$AM285)/$G285,0),"")</f>
        <v/>
      </c>
      <c r="BE285" s="6" t="e">
        <f>IF((AD285-AF285)/(AJ285/60)&lt;=0,"",(AD285-AF285)/(AJ285/60))</f>
        <v>#DIV/0!</v>
      </c>
      <c r="BF285" s="6" t="str">
        <f>IF(OR(AJ285=0,AP285=0,NOT(ISNUMBER(AD285)),NOT(ISNUMBER(AF285)),NOT(ISNUMBER(AJ285)),NOT(ISNUMBER(AP285))),"",
IFERROR(IF((AD285-AF285)/(AJ285/60)/(AP285/1000)&lt;=0,"",(AD285-AF285)/(AJ285/60)/(AP285/1000)),""))</f>
        <v/>
      </c>
    </row>
    <row r="286" spans="1:58" ht="30">
      <c r="A286" s="12" t="s">
        <v>110</v>
      </c>
      <c r="B286" s="11">
        <v>45546</v>
      </c>
      <c r="C286" s="1">
        <v>42</v>
      </c>
      <c r="D286" s="3">
        <v>281</v>
      </c>
      <c r="E286" s="205" t="str">
        <f t="shared" si="19"/>
        <v/>
      </c>
      <c r="I286" s="41">
        <v>19.899999999999999</v>
      </c>
      <c r="K286" s="10" t="str">
        <f t="shared" si="16"/>
        <v/>
      </c>
      <c r="L286" s="9" t="str">
        <f t="shared" si="17"/>
        <v/>
      </c>
      <c r="M286" s="8" t="str">
        <f t="shared" si="18"/>
        <v/>
      </c>
      <c r="X286" s="6">
        <v>8.81</v>
      </c>
      <c r="AB286" s="5">
        <v>80</v>
      </c>
      <c r="AG286">
        <v>0.74</v>
      </c>
      <c r="AH286" s="119">
        <v>0.79305555555555551</v>
      </c>
      <c r="AK286" s="3">
        <v>180</v>
      </c>
      <c r="AN286" s="80">
        <f>360-AK286-AB286</f>
        <v>100</v>
      </c>
      <c r="AP286" s="13">
        <f>AVERAGE(AO284:AO290)</f>
        <v>2019.9999999999818</v>
      </c>
      <c r="AQ286" s="15"/>
      <c r="AR286" s="17" t="e">
        <f>(E286-W286)/E286</f>
        <v>#VALUE!</v>
      </c>
      <c r="AS286" s="16"/>
      <c r="AT286" s="16" t="e">
        <f>AG286/(AD286-AF286)</f>
        <v>#DIV/0!</v>
      </c>
      <c r="AU286" s="16" t="e">
        <f>(G286-AM286)/G286</f>
        <v>#DIV/0!</v>
      </c>
      <c r="AV286" s="57" t="str">
        <f>IF(AND(ISNUMBER(E286),ISNUMBER(W286)),E286-W286,"")</f>
        <v/>
      </c>
      <c r="AW286" s="57" t="str">
        <f>IF(AND(ISNUMBER(I286),ISNUMBER(AF286)),I286-AF286,"")</f>
        <v/>
      </c>
      <c r="AX286" s="57" t="str">
        <f>IF(AND(ISNUMBER(AM286),ISNUMBER(G286)),G286-AM286,"")</f>
        <v/>
      </c>
      <c r="AY286" s="57" t="str">
        <f>IF(AND(ISNUMBER(AC286),ISNUMBER(AE286)),AC286-AE286,"")</f>
        <v/>
      </c>
      <c r="AZ286" s="57" t="str">
        <f>IF(AND(ISNUMBER(AL286),ISNUMBER(AM286)),AL286-AM286,"")</f>
        <v/>
      </c>
      <c r="BA286" s="84" t="str">
        <f>IF(AND($E286&gt;0,$W286&gt;0),IF(($E286-$W286)/$E286&gt;0,($E286-$W286)/$E286,0),"")</f>
        <v/>
      </c>
      <c r="BB286" s="84">
        <f>IF(AND($I286&gt;0,$AF286&gt;=0),IF(($I286-$AF286)/$I286&gt;0,($I286-$AF286)/$I286,0),"")</f>
        <v>1</v>
      </c>
      <c r="BC286" s="84"/>
      <c r="BD286" s="84" t="str">
        <f>IF(AND($G286&gt;0,$AM286&gt;0),IF(($G286-$AM286)/$G286&gt;0,($G286-$AM286)/$G286,0),"")</f>
        <v/>
      </c>
      <c r="BE286" s="6" t="e">
        <f>IF((AD286-AF286)/(AJ286/60)&lt;=0,"",(AD286-AF286)/(AJ286/60))</f>
        <v>#DIV/0!</v>
      </c>
      <c r="BF286" s="6" t="str">
        <f>IF(OR(AJ286=0,AP286=0,NOT(ISNUMBER(AD286)),NOT(ISNUMBER(AF286)),NOT(ISNUMBER(AJ286)),NOT(ISNUMBER(AP286))),"",
IFERROR(IF((AD286-AF286)/(AJ286/60)/(AP286/1000)&lt;=0,"",(AD286-AF286)/(AJ286/60)/(AP286/1000)),""))</f>
        <v/>
      </c>
    </row>
    <row r="287" spans="1:58" ht="15.75">
      <c r="A287" s="12" t="s">
        <v>109</v>
      </c>
      <c r="B287" s="11">
        <v>45547</v>
      </c>
      <c r="C287" s="1">
        <v>43</v>
      </c>
      <c r="D287" s="3">
        <v>282</v>
      </c>
      <c r="E287" s="205" t="str">
        <f t="shared" si="19"/>
        <v/>
      </c>
      <c r="I287" s="41">
        <v>20.2</v>
      </c>
      <c r="K287" s="10" t="str">
        <f t="shared" si="16"/>
        <v/>
      </c>
      <c r="L287" s="9" t="str">
        <f t="shared" si="17"/>
        <v/>
      </c>
      <c r="M287" s="8" t="str">
        <f t="shared" si="18"/>
        <v/>
      </c>
      <c r="X287" s="6">
        <v>7.82</v>
      </c>
      <c r="AB287" s="5">
        <v>80</v>
      </c>
      <c r="AG287">
        <v>0.91</v>
      </c>
      <c r="AH287" s="119">
        <v>0.85416666666666663</v>
      </c>
      <c r="AK287" s="3">
        <v>180</v>
      </c>
      <c r="AN287" s="80">
        <f>360-AK287-AB287</f>
        <v>100</v>
      </c>
      <c r="AO287" s="2">
        <v>2019.9999999999818</v>
      </c>
      <c r="AP287" s="13">
        <f>AVERAGE(AO285:AO291)</f>
        <v>2019.9999999999818</v>
      </c>
      <c r="AQ287" s="15">
        <v>17.412125275356672</v>
      </c>
      <c r="AR287" s="17" t="e">
        <f>(E287-W287)/E287</f>
        <v>#VALUE!</v>
      </c>
      <c r="AS287" s="16"/>
      <c r="AT287" s="16" t="e">
        <f>AG287/(AD287-AF287)</f>
        <v>#DIV/0!</v>
      </c>
      <c r="AU287" s="16" t="e">
        <f>(G287-AM287)/G287</f>
        <v>#DIV/0!</v>
      </c>
      <c r="AV287" s="57" t="str">
        <f>IF(AND(ISNUMBER(E287),ISNUMBER(W287)),E287-W287,"")</f>
        <v/>
      </c>
      <c r="AW287" s="57" t="str">
        <f>IF(AND(ISNUMBER(I287),ISNUMBER(AF287)),I287-AF287,"")</f>
        <v/>
      </c>
      <c r="AX287" s="57" t="str">
        <f>IF(AND(ISNUMBER(AM287),ISNUMBER(G287)),G287-AM287,"")</f>
        <v/>
      </c>
      <c r="AY287" s="57" t="str">
        <f>IF(AND(ISNUMBER(AC287),ISNUMBER(AE287)),AC287-AE287,"")</f>
        <v/>
      </c>
      <c r="AZ287" s="57" t="str">
        <f>IF(AND(ISNUMBER(AL287),ISNUMBER(AM287)),AL287-AM287,"")</f>
        <v/>
      </c>
      <c r="BA287" s="84" t="str">
        <f>IF(AND($E287&gt;0,$W287&gt;0),IF(($E287-$W287)/$E287&gt;0,($E287-$W287)/$E287,0),"")</f>
        <v/>
      </c>
      <c r="BB287" s="84">
        <f>IF(AND($I287&gt;0,$AF287&gt;=0),IF(($I287-$AF287)/$I287&gt;0,($I287-$AF287)/$I287,0),"")</f>
        <v>1</v>
      </c>
      <c r="BC287" s="84"/>
      <c r="BD287" s="84" t="str">
        <f>IF(AND($G287&gt;0,$AM287&gt;0),IF(($G287-$AM287)/$G287&gt;0,($G287-$AM287)/$G287,0),"")</f>
        <v/>
      </c>
      <c r="BE287" s="6" t="e">
        <f>IF((AD287-AF287)/(AJ287/60)&lt;=0,"",(AD287-AF287)/(AJ287/60))</f>
        <v>#DIV/0!</v>
      </c>
      <c r="BF287" s="6" t="str">
        <f>IF(OR(AJ287=0,AP287=0,NOT(ISNUMBER(AD287)),NOT(ISNUMBER(AF287)),NOT(ISNUMBER(AJ287)),NOT(ISNUMBER(AP287))),"",
IFERROR(IF((AD287-AF287)/(AJ287/60)/(AP287/1000)&lt;=0,"",(AD287-AF287)/(AJ287/60)/(AP287/1000)),""))</f>
        <v/>
      </c>
    </row>
    <row r="288" spans="1:58" ht="15.75">
      <c r="B288" s="11">
        <v>45548</v>
      </c>
      <c r="C288" s="1">
        <v>44</v>
      </c>
      <c r="D288" s="3">
        <v>283</v>
      </c>
      <c r="E288" s="205" t="str">
        <f t="shared" si="19"/>
        <v/>
      </c>
      <c r="I288" s="41">
        <v>20.399999999999999</v>
      </c>
      <c r="K288" s="10" t="str">
        <f t="shared" si="16"/>
        <v/>
      </c>
      <c r="L288" s="9" t="str">
        <f t="shared" si="17"/>
        <v/>
      </c>
      <c r="M288" s="8" t="str">
        <f t="shared" si="18"/>
        <v/>
      </c>
      <c r="AB288" s="5">
        <v>80</v>
      </c>
      <c r="AG288">
        <v>0.62</v>
      </c>
      <c r="AH288" s="119">
        <v>0.51724537037037033</v>
      </c>
      <c r="AK288" s="3">
        <v>180</v>
      </c>
      <c r="AN288" s="80">
        <f>360-AK288-AB288</f>
        <v>100</v>
      </c>
      <c r="AP288" s="13">
        <f>AVERAGE(AO286:AO292)</f>
        <v>1944.9999999999818</v>
      </c>
      <c r="AQ288" s="15"/>
      <c r="AR288" s="17" t="e">
        <f>(E288-W288)/E288</f>
        <v>#VALUE!</v>
      </c>
      <c r="AS288" s="16"/>
      <c r="AT288" s="16" t="e">
        <f>AG288/(AD288-AF288)</f>
        <v>#DIV/0!</v>
      </c>
      <c r="AU288" s="16" t="e">
        <f>(G288-AM288)/G288</f>
        <v>#DIV/0!</v>
      </c>
      <c r="AV288" s="57" t="str">
        <f>IF(AND(ISNUMBER(E288),ISNUMBER(W288)),E288-W288,"")</f>
        <v/>
      </c>
      <c r="AW288" s="57" t="str">
        <f>IF(AND(ISNUMBER(I288),ISNUMBER(AF288)),I288-AF288,"")</f>
        <v/>
      </c>
      <c r="AX288" s="57" t="str">
        <f>IF(AND(ISNUMBER(AM288),ISNUMBER(G288)),G288-AM288,"")</f>
        <v/>
      </c>
      <c r="AY288" s="57" t="str">
        <f>IF(AND(ISNUMBER(AC288),ISNUMBER(AE288)),AC288-AE288,"")</f>
        <v/>
      </c>
      <c r="AZ288" s="57" t="str">
        <f>IF(AND(ISNUMBER(AL288),ISNUMBER(AM288)),AL288-AM288,"")</f>
        <v/>
      </c>
      <c r="BA288" s="84" t="str">
        <f>IF(AND($E288&gt;0,$W288&gt;0),IF(($E288-$W288)/$E288&gt;0,($E288-$W288)/$E288,0),"")</f>
        <v/>
      </c>
      <c r="BB288" s="84">
        <f>IF(AND($I288&gt;0,$AF288&gt;=0),IF(($I288-$AF288)/$I288&gt;0,($I288-$AF288)/$I288,0),"")</f>
        <v>1</v>
      </c>
      <c r="BC288" s="84"/>
      <c r="BD288" s="84" t="str">
        <f>IF(AND($G288&gt;0,$AM288&gt;0),IF(($G288-$AM288)/$G288&gt;0,($G288-$AM288)/$G288,0),"")</f>
        <v/>
      </c>
      <c r="BE288" s="6" t="e">
        <f>IF((AD288-AF288)/(AJ288/60)&lt;=0,"",(AD288-AF288)/(AJ288/60))</f>
        <v>#DIV/0!</v>
      </c>
      <c r="BF288" s="6" t="str">
        <f>IF(OR(AJ288=0,AP288=0,NOT(ISNUMBER(AD288)),NOT(ISNUMBER(AF288)),NOT(ISNUMBER(AJ288)),NOT(ISNUMBER(AP288))),"",
IFERROR(IF((AD288-AF288)/(AJ288/60)/(AP288/1000)&lt;=0,"",(AD288-AF288)/(AJ288/60)/(AP288/1000)),""))</f>
        <v/>
      </c>
    </row>
    <row r="289" spans="1:58" ht="15.75">
      <c r="B289" s="11">
        <v>45549</v>
      </c>
      <c r="C289" s="1">
        <v>45</v>
      </c>
      <c r="D289" s="3">
        <v>284</v>
      </c>
      <c r="E289" s="205" t="str">
        <f t="shared" si="19"/>
        <v/>
      </c>
      <c r="I289" s="41">
        <v>208</v>
      </c>
      <c r="K289" s="10" t="str">
        <f t="shared" si="16"/>
        <v/>
      </c>
      <c r="L289" s="9" t="str">
        <f t="shared" si="17"/>
        <v/>
      </c>
      <c r="M289" s="8" t="str">
        <f t="shared" si="18"/>
        <v/>
      </c>
      <c r="AB289" s="5">
        <v>80</v>
      </c>
      <c r="AG289">
        <v>0.81</v>
      </c>
      <c r="AH289" s="119">
        <v>0.8525462962962963</v>
      </c>
      <c r="AK289" s="3">
        <v>180</v>
      </c>
      <c r="AN289" s="80">
        <f>360-AK289-AB289</f>
        <v>100</v>
      </c>
      <c r="AP289" s="13">
        <f>AVERAGE(AO287:AO293)</f>
        <v>1944.9999999999818</v>
      </c>
      <c r="AQ289" s="15"/>
      <c r="AR289" s="17" t="e">
        <f>(E289-W289)/E289</f>
        <v>#VALUE!</v>
      </c>
      <c r="AS289" s="16"/>
      <c r="AT289" s="16" t="e">
        <f>AG289/(AD289-AF289)</f>
        <v>#DIV/0!</v>
      </c>
      <c r="AU289" s="16" t="e">
        <f>(G289-AM289)/G289</f>
        <v>#DIV/0!</v>
      </c>
      <c r="AV289" s="57" t="str">
        <f>IF(AND(ISNUMBER(E289),ISNUMBER(W289)),E289-W289,"")</f>
        <v/>
      </c>
      <c r="AW289" s="57" t="str">
        <f>IF(AND(ISNUMBER(I289),ISNUMBER(AF289)),I289-AF289,"")</f>
        <v/>
      </c>
      <c r="AX289" s="57" t="str">
        <f>IF(AND(ISNUMBER(AM289),ISNUMBER(G289)),G289-AM289,"")</f>
        <v/>
      </c>
      <c r="AY289" s="57" t="str">
        <f>IF(AND(ISNUMBER(AC289),ISNUMBER(AE289)),AC289-AE289,"")</f>
        <v/>
      </c>
      <c r="AZ289" s="57" t="str">
        <f>IF(AND(ISNUMBER(AL289),ISNUMBER(AM289)),AL289-AM289,"")</f>
        <v/>
      </c>
      <c r="BA289" s="84" t="str">
        <f>IF(AND($E289&gt;0,$W289&gt;0),IF(($E289-$W289)/$E289&gt;0,($E289-$W289)/$E289,0),"")</f>
        <v/>
      </c>
      <c r="BB289" s="84">
        <f>IF(AND($I289&gt;0,$AF289&gt;=0),IF(($I289-$AF289)/$I289&gt;0,($I289-$AF289)/$I289,0),"")</f>
        <v>1</v>
      </c>
      <c r="BC289" s="84"/>
      <c r="BD289" s="84" t="str">
        <f>IF(AND($G289&gt;0,$AM289&gt;0),IF(($G289-$AM289)/$G289&gt;0,($G289-$AM289)/$G289,0),"")</f>
        <v/>
      </c>
      <c r="BE289" s="6" t="e">
        <f>IF((AD289-AF289)/(AJ289/60)&lt;=0,"",(AD289-AF289)/(AJ289/60))</f>
        <v>#DIV/0!</v>
      </c>
      <c r="BF289" s="6" t="str">
        <f>IF(OR(AJ289=0,AP289=0,NOT(ISNUMBER(AD289)),NOT(ISNUMBER(AF289)),NOT(ISNUMBER(AJ289)),NOT(ISNUMBER(AP289))),"",
IFERROR(IF((AD289-AF289)/(AJ289/60)/(AP289/1000)&lt;=0,"",(AD289-AF289)/(AJ289/60)/(AP289/1000)),""))</f>
        <v/>
      </c>
    </row>
    <row r="290" spans="1:58" ht="15.75">
      <c r="B290" s="11">
        <v>45550</v>
      </c>
      <c r="C290" s="1">
        <v>46</v>
      </c>
      <c r="D290" s="3">
        <v>285</v>
      </c>
      <c r="E290" s="205" t="str">
        <f t="shared" si="19"/>
        <v/>
      </c>
      <c r="I290" s="41">
        <v>21</v>
      </c>
      <c r="K290" s="10" t="str">
        <f t="shared" si="16"/>
        <v/>
      </c>
      <c r="L290" s="9" t="str">
        <f t="shared" si="17"/>
        <v/>
      </c>
      <c r="M290" s="8" t="str">
        <f t="shared" si="18"/>
        <v/>
      </c>
      <c r="AB290" s="5">
        <v>80</v>
      </c>
      <c r="AG290">
        <v>0.67</v>
      </c>
      <c r="AH290" s="119">
        <v>0.51875000000000004</v>
      </c>
      <c r="AK290" s="3">
        <v>180</v>
      </c>
      <c r="AN290" s="80">
        <f>360-AK290-AB290</f>
        <v>100</v>
      </c>
      <c r="AP290" s="13">
        <f>AVERAGE(AO288:AO294)</f>
        <v>1869.9999999999818</v>
      </c>
      <c r="AQ290" s="15"/>
      <c r="AR290" s="17" t="e">
        <f>(E290-W290)/E290</f>
        <v>#VALUE!</v>
      </c>
      <c r="AS290" s="16"/>
      <c r="AT290" s="16" t="e">
        <f>AG290/(AD290-AF290)</f>
        <v>#DIV/0!</v>
      </c>
      <c r="AU290" s="16" t="e">
        <f>(G290-AM290)/G290</f>
        <v>#DIV/0!</v>
      </c>
      <c r="AV290" s="57" t="str">
        <f>IF(AND(ISNUMBER(E290),ISNUMBER(W290)),E290-W290,"")</f>
        <v/>
      </c>
      <c r="AW290" s="57" t="str">
        <f>IF(AND(ISNUMBER(I290),ISNUMBER(AF290)),I290-AF290,"")</f>
        <v/>
      </c>
      <c r="AX290" s="57" t="str">
        <f>IF(AND(ISNUMBER(AM290),ISNUMBER(G290)),G290-AM290,"")</f>
        <v/>
      </c>
      <c r="AY290" s="57" t="str">
        <f>IF(AND(ISNUMBER(AC290),ISNUMBER(AE290)),AC290-AE290,"")</f>
        <v/>
      </c>
      <c r="AZ290" s="57" t="str">
        <f>IF(AND(ISNUMBER(AL290),ISNUMBER(AM290)),AL290-AM290,"")</f>
        <v/>
      </c>
      <c r="BA290" s="84" t="str">
        <f>IF(AND($E290&gt;0,$W290&gt;0),IF(($E290-$W290)/$E290&gt;0,($E290-$W290)/$E290,0),"")</f>
        <v/>
      </c>
      <c r="BB290" s="84">
        <f>IF(AND($I290&gt;0,$AF290&gt;=0),IF(($I290-$AF290)/$I290&gt;0,($I290-$AF290)/$I290,0),"")</f>
        <v>1</v>
      </c>
      <c r="BC290" s="84"/>
      <c r="BD290" s="84" t="str">
        <f>IF(AND($G290&gt;0,$AM290&gt;0),IF(($G290-$AM290)/$G290&gt;0,($G290-$AM290)/$G290,0),"")</f>
        <v/>
      </c>
      <c r="BE290" s="6" t="e">
        <f>IF((AD290-AF290)/(AJ290/60)&lt;=0,"",(AD290-AF290)/(AJ290/60))</f>
        <v>#DIV/0!</v>
      </c>
      <c r="BF290" s="6" t="str">
        <f>IF(OR(AJ290=0,AP290=0,NOT(ISNUMBER(AD290)),NOT(ISNUMBER(AF290)),NOT(ISNUMBER(AJ290)),NOT(ISNUMBER(AP290))),"",
IFERROR(IF((AD290-AF290)/(AJ290/60)/(AP290/1000)&lt;=0,"",(AD290-AF290)/(AJ290/60)/(AP290/1000)),""))</f>
        <v/>
      </c>
    </row>
    <row r="291" spans="1:58" ht="15.75">
      <c r="A291" s="12" t="s">
        <v>104</v>
      </c>
      <c r="B291" s="11">
        <v>45551</v>
      </c>
      <c r="C291" s="1">
        <v>47</v>
      </c>
      <c r="D291" s="3">
        <v>286</v>
      </c>
      <c r="E291" s="205">
        <f t="shared" si="19"/>
        <v>253.35398200000003</v>
      </c>
      <c r="G291" s="15">
        <f>(N291*18-H291*18)/9</f>
        <v>15.000000000000004</v>
      </c>
      <c r="H291" s="9">
        <f>5*2.02</f>
        <v>10.1</v>
      </c>
      <c r="I291" s="15">
        <f>AD291</f>
        <v>21.25</v>
      </c>
      <c r="K291" s="10">
        <f t="shared" si="16"/>
        <v>16.890265466666666</v>
      </c>
      <c r="L291" s="9">
        <f t="shared" si="17"/>
        <v>5.9612701647058834</v>
      </c>
      <c r="M291" s="8">
        <f t="shared" si="18"/>
        <v>2.8333333333333326</v>
      </c>
      <c r="N291" s="7">
        <f>5*3.52</f>
        <v>17.600000000000001</v>
      </c>
      <c r="O291">
        <v>87.245000000000005</v>
      </c>
      <c r="P291">
        <v>22.184000000000001</v>
      </c>
      <c r="Q291" s="6">
        <f>O291*1.067</f>
        <v>93.090415000000007</v>
      </c>
      <c r="R291" s="6">
        <f>P291*1.514</f>
        <v>33.586576000000001</v>
      </c>
      <c r="S291" s="23">
        <f>P291*1.514+O291*1.067</f>
        <v>126.67699100000002</v>
      </c>
      <c r="T291" s="6">
        <f>5*4.93</f>
        <v>24.65</v>
      </c>
      <c r="U291">
        <v>3.5249999999999999</v>
      </c>
      <c r="V291">
        <v>3.2210000000000001</v>
      </c>
      <c r="W291" s="23">
        <f>U291*1.067+V291*1.514</f>
        <v>8.6377689999999987</v>
      </c>
      <c r="X291" s="6">
        <v>6.99</v>
      </c>
      <c r="AB291" s="5">
        <v>80</v>
      </c>
      <c r="AC291" s="7">
        <f>T291</f>
        <v>24.65</v>
      </c>
      <c r="AD291" s="1">
        <f>5*4.25</f>
        <v>21.25</v>
      </c>
      <c r="AE291" s="1">
        <f>5*3.67</f>
        <v>18.350000000000001</v>
      </c>
      <c r="AF291" s="1">
        <f>2*5.31</f>
        <v>10.62</v>
      </c>
      <c r="AG291">
        <v>0.12</v>
      </c>
      <c r="AH291" s="119">
        <v>0.85416666666666663</v>
      </c>
      <c r="AK291" s="3">
        <v>180</v>
      </c>
      <c r="AL291" s="4">
        <f>AE291</f>
        <v>18.350000000000001</v>
      </c>
      <c r="AM291" s="1">
        <f>5*3.29</f>
        <v>16.45</v>
      </c>
      <c r="AN291" s="80">
        <f>360-AK291-AB291</f>
        <v>100</v>
      </c>
      <c r="AP291" s="13">
        <f>AVERAGE(AO289:AO295)</f>
        <v>1644.9999999999818</v>
      </c>
      <c r="AQ291" s="15"/>
      <c r="AR291" s="17">
        <f>(E291-W291)/E291</f>
        <v>0.96590632232494378</v>
      </c>
      <c r="AS291" s="16">
        <f>(I291-AF291)/I291</f>
        <v>0.50023529411764711</v>
      </c>
      <c r="AT291" s="16">
        <f>AG291/(AD291-AF291)</f>
        <v>1.1288805268109124E-2</v>
      </c>
      <c r="AU291" s="16">
        <f>(G291-AM291)/G291</f>
        <v>-9.6666666666666359E-2</v>
      </c>
      <c r="AV291" s="57">
        <f>IF(AND(ISNUMBER(E291),ISNUMBER(W291)),E291-W291,"")</f>
        <v>244.71621300000004</v>
      </c>
      <c r="AW291" s="57">
        <f>IF(AND(ISNUMBER(I291),ISNUMBER(AF291)),I291-AF291,"")</f>
        <v>10.63</v>
      </c>
      <c r="AX291" s="57">
        <f>IF(AND(ISNUMBER(AM291),ISNUMBER(G291)),G291-AM291,"")</f>
        <v>-1.4499999999999957</v>
      </c>
      <c r="AY291" s="57">
        <f>IF(AND(ISNUMBER(AC291),ISNUMBER(AE291)),AC291-AE291,"")</f>
        <v>6.2999999999999972</v>
      </c>
      <c r="AZ291" s="57">
        <f>IF(AND(ISNUMBER(AL291),ISNUMBER(AM291)),AL291-AM291,"")</f>
        <v>1.9000000000000021</v>
      </c>
      <c r="BA291" s="84">
        <f>IF(AND($E291&gt;0,$W291&gt;0),IF(($E291-$W291)/$E291&gt;0,($E291-$W291)/$E291,0),"")</f>
        <v>0.96590632232494378</v>
      </c>
      <c r="BB291" s="84">
        <f>IF(AND($I291&gt;0,$AF291&gt;=0),IF(($I291-$AF291)/$I291&gt;0,($I291-$AF291)/$I291,0),"")</f>
        <v>0.50023529411764711</v>
      </c>
      <c r="BC291" s="84">
        <f>IF(AND($AG291&gt;=0,$AD291&gt;=0,$AF291&gt;=0),IF($AG291/($AD291-$AF291)&gt;0,$AG291/($AD291-$AF291),0),"")</f>
        <v>1.1288805268109124E-2</v>
      </c>
      <c r="BD291" s="84">
        <f>IF(AND($G291&gt;0,$AM291&gt;0),IF(($G291-$AM291)/$G291&gt;0,($G291-$AM291)/$G291,0),"")</f>
        <v>0</v>
      </c>
      <c r="BE291" s="6" t="e">
        <f>IF((AD291-AF291)/(AJ291/60)&lt;=0,"",(AD291-AF291)/(AJ291/60))</f>
        <v>#DIV/0!</v>
      </c>
      <c r="BF291" s="6" t="str">
        <f>IF(OR(AJ291=0,AP291=0,NOT(ISNUMBER(AD291)),NOT(ISNUMBER(AF291)),NOT(ISNUMBER(AJ291)),NOT(ISNUMBER(AP291))),"",
IFERROR(IF((AD291-AF291)/(AJ291/60)/(AP291/1000)&lt;=0,"",(AD291-AF291)/(AJ291/60)/(AP291/1000)),""))</f>
        <v/>
      </c>
    </row>
    <row r="292" spans="1:58" ht="30">
      <c r="A292" s="12" t="s">
        <v>108</v>
      </c>
      <c r="B292" s="11">
        <v>45552</v>
      </c>
      <c r="C292" s="1">
        <v>48</v>
      </c>
      <c r="D292" s="3">
        <v>287</v>
      </c>
      <c r="E292" s="205" t="str">
        <f t="shared" si="19"/>
        <v/>
      </c>
      <c r="I292" s="41">
        <v>21</v>
      </c>
      <c r="K292" s="10" t="str">
        <f t="shared" si="16"/>
        <v/>
      </c>
      <c r="L292" s="9" t="str">
        <f t="shared" si="17"/>
        <v/>
      </c>
      <c r="M292" s="8" t="str">
        <f t="shared" si="18"/>
        <v/>
      </c>
      <c r="X292" s="6">
        <v>6.83</v>
      </c>
      <c r="AB292" s="5">
        <v>80</v>
      </c>
      <c r="AG292"/>
      <c r="AK292" s="3">
        <v>180</v>
      </c>
      <c r="AN292" s="80">
        <f>360-AK292-AB292</f>
        <v>100</v>
      </c>
      <c r="AO292" s="2">
        <v>1869.9999999999818</v>
      </c>
      <c r="AP292" s="13">
        <f>AVERAGE(AO290:AO296)</f>
        <v>1644.9999999999818</v>
      </c>
      <c r="AQ292" s="15">
        <v>17.420556878169634</v>
      </c>
      <c r="AR292" s="17" t="e">
        <f>(E292-W292)/E292</f>
        <v>#VALUE!</v>
      </c>
      <c r="AS292" s="16"/>
      <c r="AT292" s="16" t="e">
        <f>AG292/(AD292-AF292)</f>
        <v>#DIV/0!</v>
      </c>
      <c r="AU292" s="16" t="e">
        <f>(G292-AM292)/G292</f>
        <v>#DIV/0!</v>
      </c>
      <c r="AV292" s="57" t="str">
        <f>IF(AND(ISNUMBER(E292),ISNUMBER(W292)),E292-W292,"")</f>
        <v/>
      </c>
      <c r="AW292" s="57" t="str">
        <f>IF(AND(ISNUMBER(I292),ISNUMBER(AF292)),I292-AF292,"")</f>
        <v/>
      </c>
      <c r="AX292" s="57" t="str">
        <f>IF(AND(ISNUMBER(AM292),ISNUMBER(G292)),G292-AM292,"")</f>
        <v/>
      </c>
      <c r="AY292" s="57" t="str">
        <f>IF(AND(ISNUMBER(AC292),ISNUMBER(AE292)),AC292-AE292,"")</f>
        <v/>
      </c>
      <c r="AZ292" s="57" t="str">
        <f>IF(AND(ISNUMBER(AL292),ISNUMBER(AM292)),AL292-AM292,"")</f>
        <v/>
      </c>
      <c r="BA292" s="84" t="str">
        <f>IF(AND($E292&gt;0,$W292&gt;0),IF(($E292-$W292)/$E292&gt;0,($E292-$W292)/$E292,0),"")</f>
        <v/>
      </c>
      <c r="BB292" s="84">
        <f>IF(AND($I292&gt;0,$AF292&gt;=0),IF(($I292-$AF292)/$I292&gt;0,($I292-$AF292)/$I292,0),"")</f>
        <v>1</v>
      </c>
      <c r="BC292" s="84" t="e">
        <f>IF(AND($AG292&gt;=0,$AD292&gt;=0,$AF292&gt;=0),IF($AG292/($AD292-$AF292)&gt;0,$AG292/($AD292-$AF292),0),"")</f>
        <v>#DIV/0!</v>
      </c>
      <c r="BD292" s="84" t="str">
        <f>IF(AND($G292&gt;0,$AM292&gt;0),IF(($G292-$AM292)/$G292&gt;0,($G292-$AM292)/$G292,0),"")</f>
        <v/>
      </c>
      <c r="BE292" s="6" t="e">
        <f>IF((AD292-AF292)/(AJ292/60)&lt;=0,"",(AD292-AF292)/(AJ292/60))</f>
        <v>#DIV/0!</v>
      </c>
      <c r="BF292" s="6" t="str">
        <f>IF(OR(AJ292=0,AP292=0,NOT(ISNUMBER(AD292)),NOT(ISNUMBER(AF292)),NOT(ISNUMBER(AJ292)),NOT(ISNUMBER(AP292))),"",
IFERROR(IF((AD292-AF292)/(AJ292/60)/(AP292/1000)&lt;=0,"",(AD292-AF292)/(AJ292/60)/(AP292/1000)),""))</f>
        <v/>
      </c>
    </row>
    <row r="293" spans="1:58" ht="15.75">
      <c r="A293" s="12" t="s">
        <v>107</v>
      </c>
      <c r="B293" s="11">
        <v>45553</v>
      </c>
      <c r="C293" s="1">
        <v>49</v>
      </c>
      <c r="D293" s="3">
        <v>288</v>
      </c>
      <c r="E293" s="205" t="str">
        <f t="shared" si="19"/>
        <v/>
      </c>
      <c r="I293" s="41">
        <v>21</v>
      </c>
      <c r="K293" s="10" t="str">
        <f t="shared" ref="K293:K356" si="20">IF(OR(E293="",G293="",E293=0,G293=0),"",E293/G293)</f>
        <v/>
      </c>
      <c r="L293" s="9" t="str">
        <f t="shared" ref="L293:L356" si="21">IF(OR(E293="",I293="",E293=0,I293=0),"",E293/(I293*2))</f>
        <v/>
      </c>
      <c r="M293" s="8" t="str">
        <f t="shared" ref="M293:M356" si="22">IF(OR(I293="",G293="",I293=0,G293=0),"",I293*2/G293)</f>
        <v/>
      </c>
      <c r="AB293" s="5">
        <v>80</v>
      </c>
      <c r="AG293">
        <v>0.16</v>
      </c>
      <c r="AH293" s="119">
        <v>0.55659722222222219</v>
      </c>
      <c r="AK293" s="3">
        <v>180</v>
      </c>
      <c r="AN293" s="80">
        <f>360-AK293-AB293</f>
        <v>100</v>
      </c>
      <c r="AP293" s="13">
        <f>AVERAGE(AO291:AO297)</f>
        <v>1644.9999999999818</v>
      </c>
      <c r="AQ293" s="15"/>
      <c r="AR293" s="17" t="e">
        <f>(E293-W293)/E293</f>
        <v>#VALUE!</v>
      </c>
      <c r="AS293" s="16"/>
      <c r="AT293" s="16" t="e">
        <f>AG293/(AD293-AF293)</f>
        <v>#DIV/0!</v>
      </c>
      <c r="AU293" s="16" t="e">
        <f>(G293-AM293)/G293</f>
        <v>#DIV/0!</v>
      </c>
      <c r="AV293" s="57" t="str">
        <f>IF(AND(ISNUMBER(E293),ISNUMBER(W293)),E293-W293,"")</f>
        <v/>
      </c>
      <c r="AW293" s="57" t="str">
        <f>IF(AND(ISNUMBER(I293),ISNUMBER(AF293)),I293-AF293,"")</f>
        <v/>
      </c>
      <c r="AX293" s="57" t="str">
        <f>IF(AND(ISNUMBER(AM293),ISNUMBER(G293)),G293-AM293,"")</f>
        <v/>
      </c>
      <c r="AY293" s="57" t="str">
        <f>IF(AND(ISNUMBER(AC293),ISNUMBER(AE293)),AC293-AE293,"")</f>
        <v/>
      </c>
      <c r="AZ293" s="57" t="str">
        <f>IF(AND(ISNUMBER(AL293),ISNUMBER(AM293)),AL293-AM293,"")</f>
        <v/>
      </c>
      <c r="BA293" s="84" t="str">
        <f>IF(AND($E293&gt;0,$W293&gt;0),IF(($E293-$W293)/$E293&gt;0,($E293-$W293)/$E293,0),"")</f>
        <v/>
      </c>
      <c r="BB293" s="84">
        <f>IF(AND($I293&gt;0,$AF293&gt;=0),IF(($I293-$AF293)/$I293&gt;0,($I293-$AF293)/$I293,0),"")</f>
        <v>1</v>
      </c>
      <c r="BC293" s="84" t="e">
        <f>IF(AND($AG293&gt;=0,$AD293&gt;=0,$AF293&gt;=0),IF($AG293/($AD293-$AF293)&gt;0,$AG293/($AD293-$AF293),0),"")</f>
        <v>#DIV/0!</v>
      </c>
      <c r="BD293" s="84" t="str">
        <f>IF(AND($G293&gt;0,$AM293&gt;0),IF(($G293-$AM293)/$G293&gt;0,($G293-$AM293)/$G293,0),"")</f>
        <v/>
      </c>
      <c r="BE293" s="6" t="e">
        <f>IF((AD293-AF293)/(AJ293/60)&lt;=0,"",(AD293-AF293)/(AJ293/60))</f>
        <v>#DIV/0!</v>
      </c>
      <c r="BF293" s="6" t="str">
        <f>IF(OR(AJ293=0,AP293=0,NOT(ISNUMBER(AD293)),NOT(ISNUMBER(AF293)),NOT(ISNUMBER(AJ293)),NOT(ISNUMBER(AP293))),"",
IFERROR(IF((AD293-AF293)/(AJ293/60)/(AP293/1000)&lt;=0,"",(AD293-AF293)/(AJ293/60)/(AP293/1000)),""))</f>
        <v/>
      </c>
    </row>
    <row r="294" spans="1:58" ht="15.75">
      <c r="B294" s="11">
        <v>45554</v>
      </c>
      <c r="C294" s="1">
        <v>50</v>
      </c>
      <c r="D294" s="3">
        <v>289</v>
      </c>
      <c r="E294" s="205" t="str">
        <f t="shared" si="19"/>
        <v/>
      </c>
      <c r="I294" s="41">
        <v>21</v>
      </c>
      <c r="K294" s="10" t="str">
        <f t="shared" si="20"/>
        <v/>
      </c>
      <c r="L294" s="9" t="str">
        <f t="shared" si="21"/>
        <v/>
      </c>
      <c r="M294" s="8" t="str">
        <f t="shared" si="22"/>
        <v/>
      </c>
      <c r="AB294" s="5">
        <v>80</v>
      </c>
      <c r="AK294" s="3">
        <v>180</v>
      </c>
      <c r="AN294" s="80">
        <f>360-AK294-AB294</f>
        <v>100</v>
      </c>
      <c r="AP294" s="13">
        <f>AVERAGE(AO292:AO298)</f>
        <v>1644.9999999999818</v>
      </c>
      <c r="AQ294" s="15"/>
      <c r="AR294" s="17" t="e">
        <f>(E294-W294)/E294</f>
        <v>#VALUE!</v>
      </c>
      <c r="AS294" s="16"/>
      <c r="AT294" s="16" t="e">
        <f>AG294/(AD294-AF294)</f>
        <v>#DIV/0!</v>
      </c>
      <c r="AU294" s="16" t="e">
        <f>(G294-AM294)/G294</f>
        <v>#DIV/0!</v>
      </c>
      <c r="AV294" s="57" t="str">
        <f>IF(AND(ISNUMBER(E294),ISNUMBER(W294)),E294-W294,"")</f>
        <v/>
      </c>
      <c r="AW294" s="57" t="str">
        <f>IF(AND(ISNUMBER(I294),ISNUMBER(AF294)),I294-AF294,"")</f>
        <v/>
      </c>
      <c r="AX294" s="57" t="str">
        <f>IF(AND(ISNUMBER(AM294),ISNUMBER(G294)),G294-AM294,"")</f>
        <v/>
      </c>
      <c r="AY294" s="57" t="str">
        <f>IF(AND(ISNUMBER(AC294),ISNUMBER(AE294)),AC294-AE294,"")</f>
        <v/>
      </c>
      <c r="AZ294" s="57" t="str">
        <f>IF(AND(ISNUMBER(AL294),ISNUMBER(AM294)),AL294-AM294,"")</f>
        <v/>
      </c>
      <c r="BA294" s="84" t="str">
        <f>IF(AND($E294&gt;0,$W294&gt;0),IF(($E294-$W294)/$E294&gt;0,($E294-$W294)/$E294,0),"")</f>
        <v/>
      </c>
      <c r="BB294" s="84">
        <f>IF(AND($I294&gt;0,$AF294&gt;=0),IF(($I294-$AF294)/$I294&gt;0,($I294-$AF294)/$I294,0),"")</f>
        <v>1</v>
      </c>
      <c r="BC294" s="84" t="e">
        <f>IF(AND($AG294&gt;=0,$AD294&gt;=0,$AF294&gt;=0),IF($AG294/($AD294-$AF294)&gt;0,$AG294/($AD294-$AF294),0),"")</f>
        <v>#DIV/0!</v>
      </c>
      <c r="BD294" s="84" t="str">
        <f>IF(AND($G294&gt;0,$AM294&gt;0),IF(($G294-$AM294)/$G294&gt;0,($G294-$AM294)/$G294,0),"")</f>
        <v/>
      </c>
      <c r="BE294" s="6" t="e">
        <f>IF((AD294-AF294)/(AJ294/60)&lt;=0,"",(AD294-AF294)/(AJ294/60))</f>
        <v>#DIV/0!</v>
      </c>
      <c r="BF294" s="6" t="str">
        <f>IF(OR(AJ294=0,AP294=0,NOT(ISNUMBER(AD294)),NOT(ISNUMBER(AF294)),NOT(ISNUMBER(AJ294)),NOT(ISNUMBER(AP294))),"",
IFERROR(IF((AD294-AF294)/(AJ294/60)/(AP294/1000)&lt;=0,"",(AD294-AF294)/(AJ294/60)/(AP294/1000)),""))</f>
        <v/>
      </c>
    </row>
    <row r="295" spans="1:58" ht="15.75">
      <c r="A295" s="12" t="s">
        <v>106</v>
      </c>
      <c r="B295" s="11">
        <v>45555</v>
      </c>
      <c r="C295" s="1">
        <v>51</v>
      </c>
      <c r="D295" s="3">
        <v>290</v>
      </c>
      <c r="E295" s="205" t="str">
        <f t="shared" si="19"/>
        <v/>
      </c>
      <c r="I295" s="41">
        <v>21</v>
      </c>
      <c r="K295" s="10" t="str">
        <f t="shared" si="20"/>
        <v/>
      </c>
      <c r="L295" s="9" t="str">
        <f t="shared" si="21"/>
        <v/>
      </c>
      <c r="M295" s="8" t="str">
        <f t="shared" si="22"/>
        <v/>
      </c>
      <c r="X295" s="6">
        <v>7.55</v>
      </c>
      <c r="AB295" s="5">
        <v>80</v>
      </c>
      <c r="AK295" s="3">
        <v>180</v>
      </c>
      <c r="AN295" s="80">
        <f>360-AK295-AB295</f>
        <v>100</v>
      </c>
      <c r="AO295" s="2">
        <v>1419.9999999999818</v>
      </c>
      <c r="AP295" s="13">
        <f>AVERAGE(AO293:AO299)</f>
        <v>1419.9999999999818</v>
      </c>
      <c r="AQ295" s="15"/>
      <c r="AR295" s="17" t="e">
        <f>(E295-W295)/E295</f>
        <v>#VALUE!</v>
      </c>
      <c r="AS295" s="16"/>
      <c r="AT295" s="16" t="e">
        <f>AG295/(AD295-AF295)</f>
        <v>#DIV/0!</v>
      </c>
      <c r="AU295" s="16" t="e">
        <f>(G295-AM295)/G295</f>
        <v>#DIV/0!</v>
      </c>
      <c r="AV295" s="57" t="str">
        <f>IF(AND(ISNUMBER(E295),ISNUMBER(W295)),E295-W295,"")</f>
        <v/>
      </c>
      <c r="AW295" s="57" t="str">
        <f>IF(AND(ISNUMBER(I295),ISNUMBER(AF295)),I295-AF295,"")</f>
        <v/>
      </c>
      <c r="AX295" s="57" t="str">
        <f>IF(AND(ISNUMBER(AM295),ISNUMBER(G295)),G295-AM295,"")</f>
        <v/>
      </c>
      <c r="AY295" s="57" t="str">
        <f>IF(AND(ISNUMBER(AC295),ISNUMBER(AE295)),AC295-AE295,"")</f>
        <v/>
      </c>
      <c r="AZ295" s="57" t="str">
        <f>IF(AND(ISNUMBER(AL295),ISNUMBER(AM295)),AL295-AM295,"")</f>
        <v/>
      </c>
      <c r="BA295" s="84" t="str">
        <f>IF(AND($E295&gt;0,$W295&gt;0),IF(($E295-$W295)/$E295&gt;0,($E295-$W295)/$E295,0),"")</f>
        <v/>
      </c>
      <c r="BB295" s="84">
        <f>IF(AND($I295&gt;0,$AF295&gt;=0),IF(($I295-$AF295)/$I295&gt;0,($I295-$AF295)/$I295,0),"")</f>
        <v>1</v>
      </c>
      <c r="BC295" s="84" t="e">
        <f>IF(AND($AG295&gt;=0,$AD295&gt;=0,$AF295&gt;=0),IF($AG295/($AD295-$AF295)&gt;0,$AG295/($AD295-$AF295),0),"")</f>
        <v>#DIV/0!</v>
      </c>
      <c r="BD295" s="84" t="str">
        <f>IF(AND($G295&gt;0,$AM295&gt;0),IF(($G295-$AM295)/$G295&gt;0,($G295-$AM295)/$G295,0),"")</f>
        <v/>
      </c>
      <c r="BE295" s="6" t="e">
        <f>IF((AD295-AF295)/(AJ295/60)&lt;=0,"",(AD295-AF295)/(AJ295/60))</f>
        <v>#DIV/0!</v>
      </c>
      <c r="BF295" s="6" t="str">
        <f>IF(OR(AJ295=0,AP295=0,NOT(ISNUMBER(AD295)),NOT(ISNUMBER(AF295)),NOT(ISNUMBER(AJ295)),NOT(ISNUMBER(AP295))),"",
IFERROR(IF((AD295-AF295)/(AJ295/60)/(AP295/1000)&lt;=0,"",(AD295-AF295)/(AJ295/60)/(AP295/1000)),""))</f>
        <v/>
      </c>
    </row>
    <row r="296" spans="1:58" ht="15.75">
      <c r="B296" s="11">
        <v>45556</v>
      </c>
      <c r="C296" s="1">
        <v>52</v>
      </c>
      <c r="D296" s="3">
        <v>291</v>
      </c>
      <c r="E296" s="205" t="str">
        <f t="shared" si="19"/>
        <v/>
      </c>
      <c r="I296" s="41">
        <v>21</v>
      </c>
      <c r="K296" s="10" t="str">
        <f t="shared" si="20"/>
        <v/>
      </c>
      <c r="L296" s="9" t="str">
        <f t="shared" si="21"/>
        <v/>
      </c>
      <c r="M296" s="8" t="str">
        <f t="shared" si="22"/>
        <v/>
      </c>
      <c r="AB296" s="5">
        <v>80</v>
      </c>
      <c r="AK296" s="3">
        <v>180</v>
      </c>
      <c r="AN296" s="80">
        <f>360-AK296-AB296</f>
        <v>100</v>
      </c>
      <c r="AP296" s="13">
        <f>AVERAGE(AO294:AO300)</f>
        <v>1419.9999999999818</v>
      </c>
      <c r="AQ296" s="15"/>
      <c r="AR296" s="17" t="e">
        <f>(E296-W296)/E296</f>
        <v>#VALUE!</v>
      </c>
      <c r="AS296" s="16"/>
      <c r="AT296" s="16" t="e">
        <f>AG296/(AD296-AF296)</f>
        <v>#DIV/0!</v>
      </c>
      <c r="AU296" s="16" t="e">
        <f>(G296-AM296)/G296</f>
        <v>#DIV/0!</v>
      </c>
      <c r="AV296" s="57" t="str">
        <f>IF(AND(ISNUMBER(E296),ISNUMBER(W296)),E296-W296,"")</f>
        <v/>
      </c>
      <c r="AW296" s="57" t="str">
        <f>IF(AND(ISNUMBER(I296),ISNUMBER(AF296)),I296-AF296,"")</f>
        <v/>
      </c>
      <c r="AX296" s="57" t="str">
        <f>IF(AND(ISNUMBER(AM296),ISNUMBER(G296)),G296-AM296,"")</f>
        <v/>
      </c>
      <c r="AY296" s="57" t="str">
        <f>IF(AND(ISNUMBER(AC296),ISNUMBER(AE296)),AC296-AE296,"")</f>
        <v/>
      </c>
      <c r="AZ296" s="57" t="str">
        <f>IF(AND(ISNUMBER(AL296),ISNUMBER(AM296)),AL296-AM296,"")</f>
        <v/>
      </c>
      <c r="BA296" s="84" t="str">
        <f>IF(AND($E296&gt;0,$W296&gt;0),IF(($E296-$W296)/$E296&gt;0,($E296-$W296)/$E296,0),"")</f>
        <v/>
      </c>
      <c r="BB296" s="84">
        <f>IF(AND($I296&gt;0,$AF296&gt;=0),IF(($I296-$AF296)/$I296&gt;0,($I296-$AF296)/$I296,0),"")</f>
        <v>1</v>
      </c>
      <c r="BC296" s="84" t="e">
        <f>IF(AND($AG296&gt;=0,$AD296&gt;=0,$AF296&gt;=0),IF($AG296/($AD296-$AF296)&gt;0,$AG296/($AD296-$AF296),0),"")</f>
        <v>#DIV/0!</v>
      </c>
      <c r="BD296" s="84" t="str">
        <f>IF(AND($G296&gt;0,$AM296&gt;0),IF(($G296-$AM296)/$G296&gt;0,($G296-$AM296)/$G296,0),"")</f>
        <v/>
      </c>
      <c r="BE296" s="6" t="e">
        <f>IF((AD296-AF296)/(AJ296/60)&lt;=0,"",(AD296-AF296)/(AJ296/60))</f>
        <v>#DIV/0!</v>
      </c>
      <c r="BF296" s="6" t="str">
        <f>IF(OR(AJ296=0,AP296=0,NOT(ISNUMBER(AD296)),NOT(ISNUMBER(AF296)),NOT(ISNUMBER(AJ296)),NOT(ISNUMBER(AP296))),"",
IFERROR(IF((AD296-AF296)/(AJ296/60)/(AP296/1000)&lt;=0,"",(AD296-AF296)/(AJ296/60)/(AP296/1000)),""))</f>
        <v/>
      </c>
    </row>
    <row r="297" spans="1:58" ht="15.75">
      <c r="B297" s="11">
        <v>45557</v>
      </c>
      <c r="C297" s="1">
        <v>53</v>
      </c>
      <c r="D297" s="3">
        <v>292</v>
      </c>
      <c r="E297" s="205" t="str">
        <f t="shared" si="19"/>
        <v/>
      </c>
      <c r="I297" s="41">
        <v>21</v>
      </c>
      <c r="K297" s="10" t="str">
        <f t="shared" si="20"/>
        <v/>
      </c>
      <c r="L297" s="9" t="str">
        <f t="shared" si="21"/>
        <v/>
      </c>
      <c r="M297" s="8" t="str">
        <f t="shared" si="22"/>
        <v/>
      </c>
      <c r="AB297" s="5">
        <v>80</v>
      </c>
      <c r="AF297" s="1">
        <v>10</v>
      </c>
      <c r="AK297" s="3">
        <v>180</v>
      </c>
      <c r="AN297" s="80">
        <f>360-AK297-AB297</f>
        <v>100</v>
      </c>
      <c r="AP297" s="13">
        <f>AVERAGE(AO295:AO301)</f>
        <v>1419.9999999999818</v>
      </c>
      <c r="AQ297" s="15"/>
      <c r="AR297" s="17" t="e">
        <f>(E297-W297)/E297</f>
        <v>#VALUE!</v>
      </c>
      <c r="AS297" s="16"/>
      <c r="AT297" s="16">
        <f>AG297/(AD297-AF297)</f>
        <v>0</v>
      </c>
      <c r="AU297" s="16" t="e">
        <f>(G297-AM297)/G297</f>
        <v>#DIV/0!</v>
      </c>
      <c r="AV297" s="57" t="str">
        <f>IF(AND(ISNUMBER(E297),ISNUMBER(W297)),E297-W297,"")</f>
        <v/>
      </c>
      <c r="AW297" s="57">
        <f>IF(AND(ISNUMBER(I297),ISNUMBER(AF297)),I297-AF297,"")</f>
        <v>11</v>
      </c>
      <c r="AX297" s="57" t="str">
        <f>IF(AND(ISNUMBER(AM297),ISNUMBER(G297)),G297-AM297,"")</f>
        <v/>
      </c>
      <c r="AY297" s="57" t="str">
        <f>IF(AND(ISNUMBER(AC297),ISNUMBER(AE297)),AC297-AE297,"")</f>
        <v/>
      </c>
      <c r="AZ297" s="57" t="str">
        <f>IF(AND(ISNUMBER(AL297),ISNUMBER(AM297)),AL297-AM297,"")</f>
        <v/>
      </c>
      <c r="BA297" s="84" t="str">
        <f>IF(AND($E297&gt;0,$W297&gt;0),IF(($E297-$W297)/$E297&gt;0,($E297-$W297)/$E297,0),"")</f>
        <v/>
      </c>
      <c r="BB297" s="84">
        <f>IF(AND($I297&gt;0,$AF297&gt;=0),IF(($I297-$AF297)/$I297&gt;0,($I297-$AF297)/$I297,0),"")</f>
        <v>0.52380952380952384</v>
      </c>
      <c r="BC297" s="84">
        <f>IF(AND($AG297&gt;=0,$AD297&gt;=0,$AF297&gt;=0),IF($AG297/($AD297-$AF297)&gt;0,$AG297/($AD297-$AF297),0),"")</f>
        <v>0</v>
      </c>
      <c r="BD297" s="84" t="str">
        <f>IF(AND($G297&gt;0,$AM297&gt;0),IF(($G297-$AM297)/$G297&gt;0,($G297-$AM297)/$G297,0),"")</f>
        <v/>
      </c>
      <c r="BE297" s="6" t="e">
        <f>IF((AD297-AF297)/(AJ297/60)&lt;=0,"",(AD297-AF297)/(AJ297/60))</f>
        <v>#DIV/0!</v>
      </c>
      <c r="BF297" s="6" t="str">
        <f>IF(OR(AJ297=0,AP297=0,NOT(ISNUMBER(AD297)),NOT(ISNUMBER(AF297)),NOT(ISNUMBER(AJ297)),NOT(ISNUMBER(AP297))),"",
IFERROR(IF((AD297-AF297)/(AJ297/60)/(AP297/1000)&lt;=0,"",(AD297-AF297)/(AJ297/60)/(AP297/1000)),""))</f>
        <v/>
      </c>
    </row>
    <row r="298" spans="1:58" ht="15.75">
      <c r="A298" s="12" t="s">
        <v>104</v>
      </c>
      <c r="B298" s="11">
        <v>45558</v>
      </c>
      <c r="C298" s="1">
        <v>54</v>
      </c>
      <c r="D298" s="3">
        <v>293</v>
      </c>
      <c r="E298" s="205" t="str">
        <f t="shared" si="19"/>
        <v/>
      </c>
      <c r="I298" s="41">
        <v>21</v>
      </c>
      <c r="K298" s="10" t="str">
        <f t="shared" si="20"/>
        <v/>
      </c>
      <c r="L298" s="9" t="str">
        <f t="shared" si="21"/>
        <v/>
      </c>
      <c r="M298" s="8" t="str">
        <f t="shared" si="22"/>
        <v/>
      </c>
      <c r="AB298" s="5">
        <v>80</v>
      </c>
      <c r="AK298" s="3">
        <v>180</v>
      </c>
      <c r="AN298" s="80">
        <f>360-AK298-AB298</f>
        <v>100</v>
      </c>
      <c r="AP298" s="13" t="e">
        <f>AVERAGE(AO296:AO302)</f>
        <v>#DIV/0!</v>
      </c>
      <c r="AQ298" s="15"/>
      <c r="AR298" s="17" t="e">
        <f>(E298-W298)/E298</f>
        <v>#VALUE!</v>
      </c>
      <c r="AS298" s="16"/>
      <c r="AT298" s="16" t="e">
        <f>AG298/(AD298-AF298)</f>
        <v>#DIV/0!</v>
      </c>
      <c r="AU298" s="16" t="e">
        <f>(G298-AM298)/G298</f>
        <v>#DIV/0!</v>
      </c>
      <c r="AV298" s="57" t="str">
        <f>IF(AND(ISNUMBER(E298),ISNUMBER(W298)),E298-W298,"")</f>
        <v/>
      </c>
      <c r="AW298" s="57" t="str">
        <f>IF(AND(ISNUMBER(I298),ISNUMBER(AF298)),I298-AF298,"")</f>
        <v/>
      </c>
      <c r="AX298" s="57" t="str">
        <f>IF(AND(ISNUMBER(AM298),ISNUMBER(G298)),G298-AM298,"")</f>
        <v/>
      </c>
      <c r="AY298" s="57" t="str">
        <f>IF(AND(ISNUMBER(AC298),ISNUMBER(AE298)),AC298-AE298,"")</f>
        <v/>
      </c>
      <c r="AZ298" s="57" t="str">
        <f>IF(AND(ISNUMBER(AL298),ISNUMBER(AM298)),AL298-AM298,"")</f>
        <v/>
      </c>
      <c r="BA298" s="84" t="str">
        <f>IF(AND($E298&gt;0,$W298&gt;0),IF(($E298-$W298)/$E298&gt;0,($E298-$W298)/$E298,0),"")</f>
        <v/>
      </c>
      <c r="BB298" s="84">
        <f>IF(AND($I298&gt;0,$AF298&gt;=0),IF(($I298-$AF298)/$I298&gt;0,($I298-$AF298)/$I298,0),"")</f>
        <v>1</v>
      </c>
      <c r="BC298" s="84" t="e">
        <f>IF(AND($AG298&gt;=0,$AD298&gt;=0,$AF298&gt;=0),IF($AG298/($AD298-$AF298)&gt;0,$AG298/($AD298-$AF298),0),"")</f>
        <v>#DIV/0!</v>
      </c>
      <c r="BD298" s="84" t="str">
        <f>IF(AND($G298&gt;0,$AM298&gt;0),IF(($G298-$AM298)/$G298&gt;0,($G298-$AM298)/$G298,0),"")</f>
        <v/>
      </c>
      <c r="BE298" s="6" t="e">
        <f>IF((AD298-AF298)/(AJ298/60)&lt;=0,"",(AD298-AF298)/(AJ298/60))</f>
        <v>#DIV/0!</v>
      </c>
      <c r="BF298" s="6" t="e">
        <f>IF(OR(AJ298=0,AP298=0,NOT(ISNUMBER(AD298)),NOT(ISNUMBER(AF298)),NOT(ISNUMBER(AJ298)),NOT(ISNUMBER(AP298))),"",
IFERROR(IF((AD298-AF298)/(AJ298/60)/(AP298/1000)&lt;=0,"",(AD298-AF298)/(AJ298/60)/(AP298/1000)),""))</f>
        <v>#DIV/0!</v>
      </c>
    </row>
    <row r="299" spans="1:58" ht="15.75">
      <c r="A299" s="122" t="s">
        <v>105</v>
      </c>
      <c r="B299" s="11">
        <v>45559</v>
      </c>
      <c r="C299" s="1">
        <v>55</v>
      </c>
      <c r="D299" s="3">
        <v>294</v>
      </c>
      <c r="E299" s="205">
        <f t="shared" si="19"/>
        <v>225.053574</v>
      </c>
      <c r="G299" s="15">
        <f>(N299*18-H299*18)/9</f>
        <v>12.76</v>
      </c>
      <c r="H299" s="9">
        <v>9.2200000000000006</v>
      </c>
      <c r="I299" s="15">
        <f>AD299</f>
        <v>21.349999999999998</v>
      </c>
      <c r="K299" s="10">
        <f t="shared" si="20"/>
        <v>17.637427429467085</v>
      </c>
      <c r="L299" s="9">
        <f t="shared" si="21"/>
        <v>5.2705755035128812</v>
      </c>
      <c r="M299" s="8">
        <f t="shared" si="22"/>
        <v>3.3463949843260186</v>
      </c>
      <c r="N299" s="7">
        <v>15.6</v>
      </c>
      <c r="O299">
        <v>70.540999999999997</v>
      </c>
      <c r="P299">
        <v>24.61</v>
      </c>
      <c r="Q299" s="6">
        <f>O299*1.067</f>
        <v>75.267246999999998</v>
      </c>
      <c r="R299" s="6">
        <f>P299*1.514</f>
        <v>37.259540000000001</v>
      </c>
      <c r="S299" s="23">
        <f>P299*1.514+O299*1.067</f>
        <v>112.526787</v>
      </c>
      <c r="T299" s="6">
        <f>20.4</f>
        <v>20.399999999999999</v>
      </c>
      <c r="U299">
        <v>0.49399999999999999</v>
      </c>
      <c r="V299">
        <v>0.21</v>
      </c>
      <c r="W299" s="23">
        <f>U299*1.067+V299*1.514</f>
        <v>0.84503799999999996</v>
      </c>
      <c r="X299" s="6">
        <v>8.84</v>
      </c>
      <c r="AB299" s="5">
        <v>80</v>
      </c>
      <c r="AC299" s="7">
        <f>T299</f>
        <v>20.399999999999999</v>
      </c>
      <c r="AD299" s="1">
        <f>5*4.27</f>
        <v>21.349999999999998</v>
      </c>
      <c r="AE299" s="1">
        <f>16.5</f>
        <v>16.5</v>
      </c>
      <c r="AF299" s="1">
        <f>5*2.27</f>
        <v>11.35</v>
      </c>
      <c r="AK299" s="3">
        <v>180</v>
      </c>
      <c r="AL299" s="4">
        <f>AE299</f>
        <v>16.5</v>
      </c>
      <c r="AM299" s="1">
        <f>14.4</f>
        <v>14.4</v>
      </c>
      <c r="AN299" s="80">
        <f>360-AK299-AB299</f>
        <v>100</v>
      </c>
      <c r="AP299" s="13" t="e">
        <f>AVERAGE(AO297:AO303)</f>
        <v>#DIV/0!</v>
      </c>
      <c r="AQ299" s="15"/>
      <c r="AR299" s="17">
        <f>(E299-W299)/E299</f>
        <v>0.99624516960570464</v>
      </c>
      <c r="AS299" s="16">
        <f>(I299-AF299)/I299</f>
        <v>0.46838407494145196</v>
      </c>
      <c r="AT299" s="16">
        <f>AG299/(AD299-AF299)</f>
        <v>0</v>
      </c>
      <c r="AU299" s="16">
        <f>(G299-AM299)/G299</f>
        <v>-0.12852664576802514</v>
      </c>
      <c r="AV299" s="57">
        <f>IF(AND(ISNUMBER(E299),ISNUMBER(W299)),E299-W299,"")</f>
        <v>224.20853600000001</v>
      </c>
      <c r="AW299" s="57">
        <f>IF(AND(ISNUMBER(I299),ISNUMBER(AF299)),I299-AF299,"")</f>
        <v>9.9999999999999982</v>
      </c>
      <c r="AX299" s="57">
        <f>IF(AND(ISNUMBER(AM299),ISNUMBER(G299)),G299-AM299,"")</f>
        <v>-1.6400000000000006</v>
      </c>
      <c r="AY299" s="57">
        <f>IF(AND(ISNUMBER(AC299),ISNUMBER(AE299)),AC299-AE299,"")</f>
        <v>3.8999999999999986</v>
      </c>
      <c r="AZ299" s="57">
        <f>IF(AND(ISNUMBER(AL299),ISNUMBER(AM299)),AL299-AM299,"")</f>
        <v>2.0999999999999996</v>
      </c>
      <c r="BA299" s="84">
        <f>IF(AND($E299&gt;0,$W299&gt;0),IF(($E299-$W299)/$E299&gt;0,($E299-$W299)/$E299,0),"")</f>
        <v>0.99624516960570464</v>
      </c>
      <c r="BB299" s="84">
        <f>IF(AND($I299&gt;0,$AF299&gt;=0),IF(($I299-$AF299)/$I299&gt;0,($I299-$AF299)/$I299,0),"")</f>
        <v>0.46838407494145196</v>
      </c>
      <c r="BC299" s="84">
        <f>IF(AND($AG299&gt;=0,$AD299&gt;=0,$AF299&gt;=0),IF($AG299/($AD299-$AF299)&gt;0,$AG299/($AD299-$AF299),0),"")</f>
        <v>0</v>
      </c>
      <c r="BD299" s="84">
        <f>IF(AND($G299&gt;0,$AM299&gt;0),IF(($G299-$AM299)/$G299&gt;0,($G299-$AM299)/$G299,0),"")</f>
        <v>0</v>
      </c>
      <c r="BE299" s="6" t="e">
        <f>IF((AD299-AF299)/(AJ299/60)&lt;=0,"",(AD299-AF299)/(AJ299/60))</f>
        <v>#DIV/0!</v>
      </c>
      <c r="BF299" s="6" t="e">
        <f>IF(OR(AJ299=0,AP299=0,NOT(ISNUMBER(AD299)),NOT(ISNUMBER(AF299)),NOT(ISNUMBER(AJ299)),NOT(ISNUMBER(AP299))),"",
IFERROR(IF((AD299-AF299)/(AJ299/60)/(AP299/1000)&lt;=0,"",(AD299-AF299)/(AJ299/60)/(AP299/1000)),""))</f>
        <v>#DIV/0!</v>
      </c>
    </row>
    <row r="300" spans="1:58" ht="15.75">
      <c r="B300" s="11">
        <v>45560</v>
      </c>
      <c r="C300" s="1">
        <v>56</v>
      </c>
      <c r="D300" s="3">
        <v>295</v>
      </c>
      <c r="E300" s="205" t="str">
        <f t="shared" si="19"/>
        <v/>
      </c>
      <c r="I300" s="41">
        <v>21</v>
      </c>
      <c r="K300" s="10" t="str">
        <f t="shared" si="20"/>
        <v/>
      </c>
      <c r="L300" s="9" t="str">
        <f t="shared" si="21"/>
        <v/>
      </c>
      <c r="M300" s="8" t="str">
        <f t="shared" si="22"/>
        <v/>
      </c>
      <c r="X300" s="6">
        <v>5.55</v>
      </c>
      <c r="AB300" s="5">
        <v>80</v>
      </c>
      <c r="AG300">
        <v>0.08</v>
      </c>
      <c r="AH300" s="119">
        <v>0.53993055555555558</v>
      </c>
      <c r="AK300" s="3">
        <v>180</v>
      </c>
      <c r="AN300" s="80">
        <f>360-AK300-AB300</f>
        <v>100</v>
      </c>
      <c r="AP300" s="13" t="e">
        <f>AVERAGE(AO298:AO304)</f>
        <v>#DIV/0!</v>
      </c>
      <c r="AQ300" s="15"/>
      <c r="AR300" s="17" t="e">
        <f>(E300-W300)/E300</f>
        <v>#VALUE!</v>
      </c>
      <c r="AS300" s="16">
        <f>(I300-AF300)/I300</f>
        <v>1</v>
      </c>
      <c r="AT300" s="16" t="e">
        <f>AG300/(AD300-AF300)</f>
        <v>#DIV/0!</v>
      </c>
      <c r="AU300" s="16" t="e">
        <f>(G300-AM300)/G300</f>
        <v>#DIV/0!</v>
      </c>
      <c r="AV300" s="57" t="str">
        <f>IF(AND(ISNUMBER(E300),ISNUMBER(W300)),E300-W300,"")</f>
        <v/>
      </c>
      <c r="AW300" s="57" t="str">
        <f>IF(AND(ISNUMBER(I300),ISNUMBER(AF300)),I300-AF300,"")</f>
        <v/>
      </c>
      <c r="AX300" s="57" t="str">
        <f>IF(AND(ISNUMBER(AM300),ISNUMBER(G300)),G300-AM300,"")</f>
        <v/>
      </c>
      <c r="AY300" s="57" t="str">
        <f>IF(AND(ISNUMBER(AC300),ISNUMBER(AE300)),AC300-AE300,"")</f>
        <v/>
      </c>
      <c r="AZ300" s="57" t="str">
        <f>IF(AND(ISNUMBER(AL300),ISNUMBER(AM300)),AL300-AM300,"")</f>
        <v/>
      </c>
      <c r="BA300" s="84" t="str">
        <f>IF(AND($E300&gt;0,$W300&gt;0),IF(($E300-$W300)/$E300&gt;0,($E300-$W300)/$E300,0),"")</f>
        <v/>
      </c>
      <c r="BB300" s="84">
        <f>IF(AND($I300&gt;0,$AF300&gt;=0),IF(($I300-$AF300)/$I300&gt;0,($I300-$AF300)/$I300,0),"")</f>
        <v>1</v>
      </c>
      <c r="BC300" s="84" t="e">
        <f>IF(AND($AG300&gt;=0,$AD300&gt;=0,$AF300&gt;=0),IF($AG300/($AD300-$AF300)&gt;0,$AG300/($AD300-$AF300),0),"")</f>
        <v>#DIV/0!</v>
      </c>
      <c r="BD300" s="84" t="str">
        <f>IF(AND($G300&gt;0,$AM300&gt;0),IF(($G300-$AM300)/$G300&gt;0,($G300-$AM300)/$G300,0),"")</f>
        <v/>
      </c>
      <c r="BE300" s="6" t="e">
        <f>IF((AD300-AF300)/(AJ300/60)&lt;=0,"",(AD300-AF300)/(AJ300/60))</f>
        <v>#DIV/0!</v>
      </c>
      <c r="BF300" s="6" t="e">
        <f>IF(OR(AJ300=0,AP300=0,NOT(ISNUMBER(AD300)),NOT(ISNUMBER(AF300)),NOT(ISNUMBER(AJ300)),NOT(ISNUMBER(AP300))),"",
IFERROR(IF((AD300-AF300)/(AJ300/60)/(AP300/1000)&lt;=0,"",(AD300-AF300)/(AJ300/60)/(AP300/1000)),""))</f>
        <v>#DIV/0!</v>
      </c>
    </row>
    <row r="301" spans="1:58" ht="15.75">
      <c r="B301" s="11">
        <v>45561</v>
      </c>
      <c r="C301" s="1">
        <v>57</v>
      </c>
      <c r="D301" s="3">
        <v>296</v>
      </c>
      <c r="E301" s="205" t="str">
        <f t="shared" si="19"/>
        <v/>
      </c>
      <c r="I301" s="41">
        <v>21</v>
      </c>
      <c r="K301" s="10" t="str">
        <f t="shared" si="20"/>
        <v/>
      </c>
      <c r="L301" s="9" t="str">
        <f t="shared" si="21"/>
        <v/>
      </c>
      <c r="M301" s="8" t="str">
        <f t="shared" si="22"/>
        <v/>
      </c>
      <c r="AB301" s="5">
        <v>80</v>
      </c>
      <c r="AG301">
        <v>0.19</v>
      </c>
      <c r="AH301" s="119">
        <v>0.65115740740740746</v>
      </c>
      <c r="AK301" s="3">
        <v>180</v>
      </c>
      <c r="AN301" s="80">
        <f>360-AK301-AB301</f>
        <v>100</v>
      </c>
      <c r="AP301" s="13" t="e">
        <f>AVERAGE(AO299:AO305)</f>
        <v>#DIV/0!</v>
      </c>
      <c r="AQ301" s="15"/>
      <c r="AR301" s="17" t="e">
        <f>(E301-W301)/E301</f>
        <v>#VALUE!</v>
      </c>
      <c r="AS301" s="16">
        <f>(I301-AF301)/I301</f>
        <v>1</v>
      </c>
      <c r="AT301" s="16" t="e">
        <f>AG301/(AD301-AF301)</f>
        <v>#DIV/0!</v>
      </c>
      <c r="AU301" s="16" t="e">
        <f>(G301-AM301)/G301</f>
        <v>#DIV/0!</v>
      </c>
      <c r="AV301" s="57" t="str">
        <f>IF(AND(ISNUMBER(E301),ISNUMBER(W301)),E301-W301,"")</f>
        <v/>
      </c>
      <c r="AW301" s="57" t="str">
        <f>IF(AND(ISNUMBER(I301),ISNUMBER(AF301)),I301-AF301,"")</f>
        <v/>
      </c>
      <c r="AX301" s="57" t="str">
        <f>IF(AND(ISNUMBER(AM301),ISNUMBER(G301)),G301-AM301,"")</f>
        <v/>
      </c>
      <c r="AY301" s="57" t="str">
        <f>IF(AND(ISNUMBER(AC301),ISNUMBER(AE301)),AC301-AE301,"")</f>
        <v/>
      </c>
      <c r="AZ301" s="57" t="str">
        <f>IF(AND(ISNUMBER(AL301),ISNUMBER(AM301)),AL301-AM301,"")</f>
        <v/>
      </c>
      <c r="BA301" s="84" t="str">
        <f>IF(AND($E301&gt;0,$W301&gt;0),IF(($E301-$W301)/$E301&gt;0,($E301-$W301)/$E301,0),"")</f>
        <v/>
      </c>
      <c r="BB301" s="84">
        <f>IF(AND($I301&gt;0,$AF301&gt;=0),IF(($I301-$AF301)/$I301&gt;0,($I301-$AF301)/$I301,0),"")</f>
        <v>1</v>
      </c>
      <c r="BC301" s="84" t="e">
        <f>IF(AND($AG301&gt;=0,$AD301&gt;=0,$AF301&gt;=0),IF($AG301/($AD301-$AF301)&gt;0,$AG301/($AD301-$AF301),0),"")</f>
        <v>#DIV/0!</v>
      </c>
      <c r="BD301" s="84" t="str">
        <f>IF(AND($G301&gt;0,$AM301&gt;0),IF(($G301-$AM301)/$G301&gt;0,($G301-$AM301)/$G301,0),"")</f>
        <v/>
      </c>
      <c r="BE301" s="6" t="e">
        <f>IF((AD301-AF301)/(AJ301/60)&lt;=0,"",(AD301-AF301)/(AJ301/60))</f>
        <v>#DIV/0!</v>
      </c>
      <c r="BF301" s="6" t="e">
        <f>IF(OR(AJ301=0,AP301=0,NOT(ISNUMBER(AD301)),NOT(ISNUMBER(AF301)),NOT(ISNUMBER(AJ301)),NOT(ISNUMBER(AP301))),"",
IFERROR(IF((AD301-AF301)/(AJ301/60)/(AP301/1000)&lt;=0,"",(AD301-AF301)/(AJ301/60)/(AP301/1000)),""))</f>
        <v>#DIV/0!</v>
      </c>
    </row>
    <row r="302" spans="1:58" ht="15.75">
      <c r="B302" s="11">
        <v>45562</v>
      </c>
      <c r="C302" s="1">
        <v>58</v>
      </c>
      <c r="D302" s="3">
        <v>297</v>
      </c>
      <c r="E302" s="205" t="str">
        <f t="shared" si="19"/>
        <v/>
      </c>
      <c r="I302" s="41">
        <v>21</v>
      </c>
      <c r="K302" s="10" t="str">
        <f t="shared" si="20"/>
        <v/>
      </c>
      <c r="L302" s="9" t="str">
        <f t="shared" si="21"/>
        <v/>
      </c>
      <c r="M302" s="8" t="str">
        <f t="shared" si="22"/>
        <v/>
      </c>
      <c r="AB302" s="5">
        <v>80</v>
      </c>
      <c r="AG302">
        <v>0.1</v>
      </c>
      <c r="AH302" s="119">
        <v>0.54027777777777775</v>
      </c>
      <c r="AK302" s="3">
        <v>180</v>
      </c>
      <c r="AN302" s="80">
        <f>360-AK302-AB302</f>
        <v>100</v>
      </c>
      <c r="AP302" s="13">
        <f>AVERAGE(AO300:AO306)</f>
        <v>979.99999999997272</v>
      </c>
      <c r="AQ302" s="15"/>
      <c r="AR302" s="17" t="e">
        <f>(E302-W302)/E302</f>
        <v>#VALUE!</v>
      </c>
      <c r="AS302" s="16">
        <f>(I302-AF302)/I302</f>
        <v>1</v>
      </c>
      <c r="AT302" s="16" t="e">
        <f>AG302/(AD302-AF302)</f>
        <v>#DIV/0!</v>
      </c>
      <c r="AU302" s="16" t="e">
        <f>(G302-AM302)/G302</f>
        <v>#DIV/0!</v>
      </c>
      <c r="AV302" s="57" t="str">
        <f>IF(AND(ISNUMBER(E302),ISNUMBER(W302)),E302-W302,"")</f>
        <v/>
      </c>
      <c r="AW302" s="57" t="str">
        <f>IF(AND(ISNUMBER(I302),ISNUMBER(AF302)),I302-AF302,"")</f>
        <v/>
      </c>
      <c r="AX302" s="57" t="str">
        <f>IF(AND(ISNUMBER(AM302),ISNUMBER(G302)),G302-AM302,"")</f>
        <v/>
      </c>
      <c r="AY302" s="57" t="str">
        <f>IF(AND(ISNUMBER(AC302),ISNUMBER(AE302)),AC302-AE302,"")</f>
        <v/>
      </c>
      <c r="AZ302" s="57" t="str">
        <f>IF(AND(ISNUMBER(AL302),ISNUMBER(AM302)),AL302-AM302,"")</f>
        <v/>
      </c>
      <c r="BA302" s="84" t="str">
        <f>IF(AND($E302&gt;0,$W302&gt;0),IF(($E302-$W302)/$E302&gt;0,($E302-$W302)/$E302,0),"")</f>
        <v/>
      </c>
      <c r="BB302" s="84">
        <f>IF(AND($I302&gt;0,$AF302&gt;=0),IF(($I302-$AF302)/$I302&gt;0,($I302-$AF302)/$I302,0),"")</f>
        <v>1</v>
      </c>
      <c r="BC302" s="84" t="e">
        <f>IF(AND($AG302&gt;=0,$AD302&gt;=0,$AF302&gt;=0),IF($AG302/($AD302-$AF302)&gt;0,$AG302/($AD302-$AF302),0),"")</f>
        <v>#DIV/0!</v>
      </c>
      <c r="BD302" s="84" t="str">
        <f>IF(AND($G302&gt;0,$AM302&gt;0),IF(($G302-$AM302)/$G302&gt;0,($G302-$AM302)/$G302,0),"")</f>
        <v/>
      </c>
      <c r="BE302" s="6" t="e">
        <f>IF((AD302-AF302)/(AJ302/60)&lt;=0,"",(AD302-AF302)/(AJ302/60))</f>
        <v>#DIV/0!</v>
      </c>
      <c r="BF302" s="6" t="str">
        <f>IF(OR(AJ302=0,AP302=0,NOT(ISNUMBER(AD302)),NOT(ISNUMBER(AF302)),NOT(ISNUMBER(AJ302)),NOT(ISNUMBER(AP302))),"",
IFERROR(IF((AD302-AF302)/(AJ302/60)/(AP302/1000)&lt;=0,"",(AD302-AF302)/(AJ302/60)/(AP302/1000)),""))</f>
        <v/>
      </c>
    </row>
    <row r="303" spans="1:58" ht="15.75">
      <c r="B303" s="11">
        <v>45563</v>
      </c>
      <c r="C303" s="1">
        <v>59</v>
      </c>
      <c r="D303" s="3">
        <v>298</v>
      </c>
      <c r="E303" s="205" t="str">
        <f t="shared" si="19"/>
        <v/>
      </c>
      <c r="I303" s="41">
        <v>21</v>
      </c>
      <c r="K303" s="10" t="str">
        <f t="shared" si="20"/>
        <v/>
      </c>
      <c r="L303" s="9" t="str">
        <f t="shared" si="21"/>
        <v/>
      </c>
      <c r="M303" s="8" t="str">
        <f t="shared" si="22"/>
        <v/>
      </c>
      <c r="AB303" s="5">
        <v>80</v>
      </c>
      <c r="AG303">
        <v>0.19</v>
      </c>
      <c r="AH303" s="119">
        <v>0.63310185185185186</v>
      </c>
      <c r="AK303" s="3">
        <v>180</v>
      </c>
      <c r="AN303" s="80">
        <f>360-AK303-AB303</f>
        <v>100</v>
      </c>
      <c r="AP303" s="13">
        <f>AVERAGE(AO301:AO307)</f>
        <v>979.99999999997272</v>
      </c>
      <c r="AQ303" s="15"/>
      <c r="AR303" s="17" t="e">
        <f>(E303-W303)/E303</f>
        <v>#VALUE!</v>
      </c>
      <c r="AS303" s="16">
        <f>(I303-AF303)/I303</f>
        <v>1</v>
      </c>
      <c r="AT303" s="16" t="e">
        <f>AG303/(AD303-AF303)</f>
        <v>#DIV/0!</v>
      </c>
      <c r="AU303" s="16" t="e">
        <f>(G303-AM303)/G303</f>
        <v>#DIV/0!</v>
      </c>
      <c r="AV303" s="57" t="str">
        <f>IF(AND(ISNUMBER(E303),ISNUMBER(W303)),E303-W303,"")</f>
        <v/>
      </c>
      <c r="AW303" s="57" t="str">
        <f>IF(AND(ISNUMBER(I303),ISNUMBER(AF303)),I303-AF303,"")</f>
        <v/>
      </c>
      <c r="AX303" s="57" t="str">
        <f>IF(AND(ISNUMBER(AM303),ISNUMBER(G303)),G303-AM303,"")</f>
        <v/>
      </c>
      <c r="AY303" s="57" t="str">
        <f>IF(AND(ISNUMBER(AC303),ISNUMBER(AE303)),AC303-AE303,"")</f>
        <v/>
      </c>
      <c r="AZ303" s="57" t="str">
        <f>IF(AND(ISNUMBER(AL303),ISNUMBER(AM303)),AL303-AM303,"")</f>
        <v/>
      </c>
      <c r="BA303" s="84" t="str">
        <f>IF(AND($E303&gt;0,$W303&gt;0),IF(($E303-$W303)/$E303&gt;0,($E303-$W303)/$E303,0),"")</f>
        <v/>
      </c>
      <c r="BB303" s="84">
        <f>IF(AND($I303&gt;0,$AF303&gt;=0),IF(($I303-$AF303)/$I303&gt;0,($I303-$AF303)/$I303,0),"")</f>
        <v>1</v>
      </c>
      <c r="BC303" s="84" t="e">
        <f>IF(AND($AG303&gt;=0,$AD303&gt;=0,$AF303&gt;=0),IF($AG303/($AD303-$AF303)&gt;0,$AG303/($AD303-$AF303),0),"")</f>
        <v>#DIV/0!</v>
      </c>
      <c r="BD303" s="84" t="str">
        <f>IF(AND($G303&gt;0,$AM303&gt;0),IF(($G303-$AM303)/$G303&gt;0,($G303-$AM303)/$G303,0),"")</f>
        <v/>
      </c>
      <c r="BE303" s="6" t="e">
        <f>IF((AD303-AF303)/(AJ303/60)&lt;=0,"",(AD303-AF303)/(AJ303/60))</f>
        <v>#DIV/0!</v>
      </c>
      <c r="BF303" s="6" t="str">
        <f>IF(OR(AJ303=0,AP303=0,NOT(ISNUMBER(AD303)),NOT(ISNUMBER(AF303)),NOT(ISNUMBER(AJ303)),NOT(ISNUMBER(AP303))),"",
IFERROR(IF((AD303-AF303)/(AJ303/60)/(AP303/1000)&lt;=0,"",(AD303-AF303)/(AJ303/60)/(AP303/1000)),""))</f>
        <v/>
      </c>
    </row>
    <row r="304" spans="1:58" ht="15.75">
      <c r="A304" s="121">
        <v>0.28000000000000003</v>
      </c>
      <c r="B304" s="11">
        <v>45564</v>
      </c>
      <c r="C304" s="1">
        <v>60</v>
      </c>
      <c r="D304" s="3">
        <v>299</v>
      </c>
      <c r="E304" s="205" t="str">
        <f t="shared" si="19"/>
        <v/>
      </c>
      <c r="I304" s="41">
        <v>21</v>
      </c>
      <c r="K304" s="10" t="str">
        <f t="shared" si="20"/>
        <v/>
      </c>
      <c r="L304" s="9" t="str">
        <f t="shared" si="21"/>
        <v/>
      </c>
      <c r="M304" s="8" t="str">
        <f t="shared" si="22"/>
        <v/>
      </c>
      <c r="AB304" s="5">
        <v>80</v>
      </c>
      <c r="AG304">
        <v>0.14000000000000001</v>
      </c>
      <c r="AH304" s="119">
        <v>0.64074074074074072</v>
      </c>
      <c r="AK304" s="3">
        <v>180</v>
      </c>
      <c r="AN304" s="80">
        <f>360-AK304-AB304</f>
        <v>100</v>
      </c>
      <c r="AP304" s="13">
        <f>AVERAGE(AO302:AO308)</f>
        <v>979.99999999997272</v>
      </c>
      <c r="AQ304" s="15"/>
      <c r="AR304" s="17" t="e">
        <f>(E304-W304)/E304</f>
        <v>#VALUE!</v>
      </c>
      <c r="AS304" s="16">
        <f>(I304-AF304)/I304</f>
        <v>1</v>
      </c>
      <c r="AT304" s="16" t="e">
        <f>AG304/(AD304-AF304)</f>
        <v>#DIV/0!</v>
      </c>
      <c r="AU304" s="16" t="e">
        <f>(G304-AM304)/G304</f>
        <v>#DIV/0!</v>
      </c>
      <c r="AV304" s="57" t="str">
        <f>IF(AND(ISNUMBER(E304),ISNUMBER(W304)),E304-W304,"")</f>
        <v/>
      </c>
      <c r="AW304" s="57" t="str">
        <f>IF(AND(ISNUMBER(I304),ISNUMBER(AF304)),I304-AF304,"")</f>
        <v/>
      </c>
      <c r="AX304" s="57" t="str">
        <f>IF(AND(ISNUMBER(AM304),ISNUMBER(G304)),G304-AM304,"")</f>
        <v/>
      </c>
      <c r="AY304" s="57" t="str">
        <f>IF(AND(ISNUMBER(AC304),ISNUMBER(AE304)),AC304-AE304,"")</f>
        <v/>
      </c>
      <c r="AZ304" s="57" t="str">
        <f>IF(AND(ISNUMBER(AL304),ISNUMBER(AM304)),AL304-AM304,"")</f>
        <v/>
      </c>
      <c r="BA304" s="84" t="str">
        <f>IF(AND($E304&gt;0,$W304&gt;0),IF(($E304-$W304)/$E304&gt;0,($E304-$W304)/$E304,0),"")</f>
        <v/>
      </c>
      <c r="BB304" s="84">
        <f>IF(AND($I304&gt;0,$AF304&gt;=0),IF(($I304-$AF304)/$I304&gt;0,($I304-$AF304)/$I304,0),"")</f>
        <v>1</v>
      </c>
      <c r="BC304" s="84" t="e">
        <f>IF(AND($AG304&gt;=0,$AD304&gt;=0,$AF304&gt;=0),IF($AG304/($AD304-$AF304)&gt;0,$AG304/($AD304-$AF304),0),"")</f>
        <v>#DIV/0!</v>
      </c>
      <c r="BD304" s="84" t="str">
        <f>IF(AND($G304&gt;0,$AM304&gt;0),IF(($G304-$AM304)/$G304&gt;0,($G304-$AM304)/$G304,0),"")</f>
        <v/>
      </c>
      <c r="BE304" s="6" t="e">
        <f>IF((AD304-AF304)/(AJ304/60)&lt;=0,"",(AD304-AF304)/(AJ304/60))</f>
        <v>#DIV/0!</v>
      </c>
      <c r="BF304" s="6" t="str">
        <f>IF(OR(AJ304=0,AP304=0,NOT(ISNUMBER(AD304)),NOT(ISNUMBER(AF304)),NOT(ISNUMBER(AJ304)),NOT(ISNUMBER(AP304))),"",
IFERROR(IF((AD304-AF304)/(AJ304/60)/(AP304/1000)&lt;=0,"",(AD304-AF304)/(AJ304/60)/(AP304/1000)),""))</f>
        <v/>
      </c>
    </row>
    <row r="305" spans="1:58" ht="15.75">
      <c r="A305" s="12" t="s">
        <v>104</v>
      </c>
      <c r="B305" s="11">
        <v>45565</v>
      </c>
      <c r="C305" s="1">
        <v>61</v>
      </c>
      <c r="D305" s="3">
        <v>300</v>
      </c>
      <c r="E305" s="205" t="str">
        <f t="shared" si="19"/>
        <v/>
      </c>
      <c r="I305" s="41">
        <v>21</v>
      </c>
      <c r="K305" s="10" t="str">
        <f t="shared" si="20"/>
        <v/>
      </c>
      <c r="L305" s="9" t="str">
        <f t="shared" si="21"/>
        <v/>
      </c>
      <c r="M305" s="8" t="str">
        <f t="shared" si="22"/>
        <v/>
      </c>
      <c r="X305" s="6">
        <v>7.1</v>
      </c>
      <c r="AB305" s="5">
        <v>80</v>
      </c>
      <c r="AG305">
        <v>0.24</v>
      </c>
      <c r="AH305" s="119">
        <v>0.88078703703703709</v>
      </c>
      <c r="AK305" s="3">
        <v>180</v>
      </c>
      <c r="AN305" s="80">
        <f>360-AK305-AB305</f>
        <v>100</v>
      </c>
      <c r="AP305" s="13">
        <f>AVERAGE(AO303:AO309)</f>
        <v>979.99999999997272</v>
      </c>
      <c r="AQ305" s="15"/>
      <c r="AR305" s="17" t="e">
        <f>(E305-W305)/E305</f>
        <v>#VALUE!</v>
      </c>
      <c r="AS305" s="16">
        <f>(I305-AF305)/I305</f>
        <v>1</v>
      </c>
      <c r="AT305" s="16" t="e">
        <f>AG305/(AD305-AF305)</f>
        <v>#DIV/0!</v>
      </c>
      <c r="AU305" s="16" t="e">
        <f>(G305-AM305)/G305</f>
        <v>#DIV/0!</v>
      </c>
      <c r="AV305" s="57" t="str">
        <f>IF(AND(ISNUMBER(E305),ISNUMBER(W305)),E305-W305,"")</f>
        <v/>
      </c>
      <c r="AW305" s="57" t="str">
        <f>IF(AND(ISNUMBER(I305),ISNUMBER(AF305)),I305-AF305,"")</f>
        <v/>
      </c>
      <c r="AX305" s="57" t="str">
        <f>IF(AND(ISNUMBER(AM305),ISNUMBER(G305)),G305-AM305,"")</f>
        <v/>
      </c>
      <c r="AY305" s="57" t="str">
        <f>IF(AND(ISNUMBER(AC305),ISNUMBER(AE305)),AC305-AE305,"")</f>
        <v/>
      </c>
      <c r="AZ305" s="57" t="str">
        <f>IF(AND(ISNUMBER(AL305),ISNUMBER(AM305)),AL305-AM305,"")</f>
        <v/>
      </c>
      <c r="BA305" s="84" t="str">
        <f>IF(AND($E305&gt;0,$W305&gt;0),IF(($E305-$W305)/$E305&gt;0,($E305-$W305)/$E305,0),"")</f>
        <v/>
      </c>
      <c r="BB305" s="84">
        <f>IF(AND($I305&gt;0,$AF305&gt;=0),IF(($I305-$AF305)/$I305&gt;0,($I305-$AF305)/$I305,0),"")</f>
        <v>1</v>
      </c>
      <c r="BC305" s="84" t="e">
        <f>IF(AND($AG305&gt;=0,$AD305&gt;=0,$AF305&gt;=0),IF($AG305/($AD305-$AF305)&gt;0,$AG305/($AD305-$AF305),0),"")</f>
        <v>#DIV/0!</v>
      </c>
      <c r="BD305" s="84" t="str">
        <f>IF(AND($G305&gt;0,$AM305&gt;0),IF(($G305-$AM305)/$G305&gt;0,($G305-$AM305)/$G305,0),"")</f>
        <v/>
      </c>
      <c r="BE305" s="6" t="e">
        <f>IF((AD305-AF305)/(AJ305/60)&lt;=0,"",(AD305-AF305)/(AJ305/60))</f>
        <v>#DIV/0!</v>
      </c>
      <c r="BF305" s="6" t="str">
        <f>IF(OR(AJ305=0,AP305=0,NOT(ISNUMBER(AD305)),NOT(ISNUMBER(AF305)),NOT(ISNUMBER(AJ305)),NOT(ISNUMBER(AP305))),"",
IFERROR(IF((AD305-AF305)/(AJ305/60)/(AP305/1000)&lt;=0,"",(AD305-AF305)/(AJ305/60)/(AP305/1000)),""))</f>
        <v/>
      </c>
    </row>
    <row r="306" spans="1:58" ht="15.75">
      <c r="B306" s="11">
        <v>45566</v>
      </c>
      <c r="C306" s="1">
        <v>62</v>
      </c>
      <c r="D306" s="120">
        <v>301</v>
      </c>
      <c r="E306" s="205" t="str">
        <f t="shared" si="19"/>
        <v/>
      </c>
      <c r="I306" s="41">
        <v>21</v>
      </c>
      <c r="K306" s="10" t="str">
        <f t="shared" si="20"/>
        <v/>
      </c>
      <c r="L306" s="9" t="str">
        <f t="shared" si="21"/>
        <v/>
      </c>
      <c r="M306" s="8" t="str">
        <f t="shared" si="22"/>
        <v/>
      </c>
      <c r="X306" s="6">
        <v>6.64</v>
      </c>
      <c r="AB306" s="5">
        <v>80</v>
      </c>
      <c r="AG306">
        <v>0.23</v>
      </c>
      <c r="AH306" s="119">
        <v>0.21990740740740741</v>
      </c>
      <c r="AK306" s="3">
        <v>180</v>
      </c>
      <c r="AN306" s="80">
        <f>360-AK306-AB306</f>
        <v>100</v>
      </c>
      <c r="AO306" s="2">
        <v>979.99999999997272</v>
      </c>
      <c r="AP306" s="13">
        <f>AVERAGE(AO304:AO310)</f>
        <v>979.99999999997272</v>
      </c>
      <c r="AQ306" s="15">
        <v>14.788732394365907</v>
      </c>
      <c r="AR306" s="17" t="e">
        <f>(E306-W306)/E306</f>
        <v>#VALUE!</v>
      </c>
      <c r="AS306" s="16">
        <f>(I306-AF306)/I306</f>
        <v>1</v>
      </c>
      <c r="AT306" s="16" t="e">
        <f>AG306/(AD306-AF306)</f>
        <v>#DIV/0!</v>
      </c>
      <c r="AU306" s="16" t="e">
        <f>(G306-AM306)/G306</f>
        <v>#DIV/0!</v>
      </c>
      <c r="AV306" s="57" t="str">
        <f>IF(AND(ISNUMBER(E306),ISNUMBER(W306)),E306-W306,"")</f>
        <v/>
      </c>
      <c r="AW306" s="57" t="str">
        <f>IF(AND(ISNUMBER(I306),ISNUMBER(AF306)),I306-AF306,"")</f>
        <v/>
      </c>
      <c r="AX306" s="57" t="str">
        <f>IF(AND(ISNUMBER(AM306),ISNUMBER(G306)),G306-AM306,"")</f>
        <v/>
      </c>
      <c r="AY306" s="57" t="str">
        <f>IF(AND(ISNUMBER(AC306),ISNUMBER(AE306)),AC306-AE306,"")</f>
        <v/>
      </c>
      <c r="AZ306" s="57" t="str">
        <f>IF(AND(ISNUMBER(AL306),ISNUMBER(AM306)),AL306-AM306,"")</f>
        <v/>
      </c>
      <c r="BA306" s="84" t="str">
        <f>IF(AND($E306&gt;0,$W306&gt;0),IF(($E306-$W306)/$E306&gt;0,($E306-$W306)/$E306,0),"")</f>
        <v/>
      </c>
      <c r="BB306" s="84">
        <f>IF(AND($I306&gt;0,$AF306&gt;=0),IF(($I306-$AF306)/$I306&gt;0,($I306-$AF306)/$I306,0),"")</f>
        <v>1</v>
      </c>
      <c r="BC306" s="84" t="e">
        <f>IF(AND($AG306&gt;=0,$AD306&gt;=0,$AF306&gt;=0),IF($AG306/($AD306-$AF306)&gt;0,$AG306/($AD306-$AF306),0),"")</f>
        <v>#DIV/0!</v>
      </c>
      <c r="BD306" s="84" t="str">
        <f>IF(AND($G306&gt;0,$AM306&gt;0),IF(($G306-$AM306)/$G306&gt;0,($G306-$AM306)/$G306,0),"")</f>
        <v/>
      </c>
      <c r="BE306" s="6" t="e">
        <f>IF((AD306-AF306)/(AJ306/60)&lt;=0,"",(AD306-AF306)/(AJ306/60))</f>
        <v>#DIV/0!</v>
      </c>
      <c r="BF306" s="6" t="str">
        <f>IF(OR(AJ306=0,AP306=0,NOT(ISNUMBER(AD306)),NOT(ISNUMBER(AF306)),NOT(ISNUMBER(AJ306)),NOT(ISNUMBER(AP306))),"",
IFERROR(IF((AD306-AF306)/(AJ306/60)/(AP306/1000)&lt;=0,"",(AD306-AF306)/(AJ306/60)/(AP306/1000)),""))</f>
        <v/>
      </c>
    </row>
    <row r="307" spans="1:58" ht="15.75">
      <c r="B307" s="11">
        <v>45567</v>
      </c>
      <c r="C307" s="1">
        <v>63</v>
      </c>
      <c r="D307" s="3">
        <v>302</v>
      </c>
      <c r="E307" s="205" t="str">
        <f t="shared" si="19"/>
        <v/>
      </c>
      <c r="I307" s="41">
        <v>21</v>
      </c>
      <c r="K307" s="10" t="str">
        <f t="shared" si="20"/>
        <v/>
      </c>
      <c r="L307" s="9" t="str">
        <f t="shared" si="21"/>
        <v/>
      </c>
      <c r="M307" s="8" t="str">
        <f t="shared" si="22"/>
        <v/>
      </c>
      <c r="X307" s="6">
        <v>7.47</v>
      </c>
      <c r="AB307" s="5">
        <v>80</v>
      </c>
      <c r="AG307" s="1">
        <v>0.03</v>
      </c>
      <c r="AH307" s="101">
        <v>0.1275462962962963</v>
      </c>
      <c r="AK307" s="3">
        <v>180</v>
      </c>
      <c r="AN307" s="80">
        <f>360-AK307-AB307</f>
        <v>100</v>
      </c>
      <c r="AP307" s="13">
        <f>AVERAGE(AO305:AO311)</f>
        <v>979.99999999997272</v>
      </c>
      <c r="AQ307" s="15"/>
      <c r="AR307" s="17" t="e">
        <f>(E307-W307)/E307</f>
        <v>#VALUE!</v>
      </c>
      <c r="AS307" s="16">
        <f>(I307-AF307)/I307</f>
        <v>1</v>
      </c>
      <c r="AT307" s="16" t="e">
        <f>AG307/(AD307-AF307)</f>
        <v>#DIV/0!</v>
      </c>
      <c r="AU307" s="16" t="e">
        <f>(G307-AM307)/G307</f>
        <v>#DIV/0!</v>
      </c>
      <c r="AV307" s="57" t="str">
        <f>IF(AND(ISNUMBER(E307),ISNUMBER(W307)),E307-W307,"")</f>
        <v/>
      </c>
      <c r="AW307" s="57" t="str">
        <f>IF(AND(ISNUMBER(I307),ISNUMBER(AF307)),I307-AF307,"")</f>
        <v/>
      </c>
      <c r="AX307" s="57" t="str">
        <f>IF(AND(ISNUMBER(AM307),ISNUMBER(G307)),G307-AM307,"")</f>
        <v/>
      </c>
      <c r="AY307" s="57" t="str">
        <f>IF(AND(ISNUMBER(AC307),ISNUMBER(AE307)),AC307-AE307,"")</f>
        <v/>
      </c>
      <c r="AZ307" s="57" t="str">
        <f>IF(AND(ISNUMBER(AL307),ISNUMBER(AM307)),AL307-AM307,"")</f>
        <v/>
      </c>
      <c r="BA307" s="84" t="str">
        <f>IF(AND($E307&gt;0,$W307&gt;0),IF(($E307-$W307)/$E307&gt;0,($E307-$W307)/$E307,0),"")</f>
        <v/>
      </c>
      <c r="BB307" s="84">
        <f>IF(AND($I307&gt;0,$AF307&gt;=0),IF(($I307-$AF307)/$I307&gt;0,($I307-$AF307)/$I307,0),"")</f>
        <v>1</v>
      </c>
      <c r="BC307" s="84" t="e">
        <f>IF(AND($AG307&gt;=0,$AD307&gt;=0,$AF307&gt;=0),IF($AG307/($AD307-$AF307)&gt;0,$AG307/($AD307-$AF307),0),"")</f>
        <v>#DIV/0!</v>
      </c>
      <c r="BD307" s="84" t="str">
        <f>IF(AND($G307&gt;0,$AM307&gt;0),IF(($G307-$AM307)/$G307&gt;0,($G307-$AM307)/$G307,0),"")</f>
        <v/>
      </c>
      <c r="BE307" s="6" t="e">
        <f>IF((AD307-AF307)/(AJ307/60)&lt;=0,"",(AD307-AF307)/(AJ307/60))</f>
        <v>#DIV/0!</v>
      </c>
      <c r="BF307" s="6" t="str">
        <f>IF(OR(AJ307=0,AP307=0,NOT(ISNUMBER(AD307)),NOT(ISNUMBER(AF307)),NOT(ISNUMBER(AJ307)),NOT(ISNUMBER(AP307))),"",
IFERROR(IF((AD307-AF307)/(AJ307/60)/(AP307/1000)&lt;=0,"",(AD307-AF307)/(AJ307/60)/(AP307/1000)),""))</f>
        <v/>
      </c>
    </row>
    <row r="308" spans="1:58" ht="15.75">
      <c r="B308" s="11">
        <v>45568</v>
      </c>
      <c r="C308" s="1">
        <v>64</v>
      </c>
      <c r="D308" s="3">
        <v>303</v>
      </c>
      <c r="E308" s="205" t="str">
        <f t="shared" si="19"/>
        <v/>
      </c>
      <c r="I308" s="41">
        <v>21</v>
      </c>
      <c r="K308" s="10" t="str">
        <f t="shared" si="20"/>
        <v/>
      </c>
      <c r="L308" s="9" t="str">
        <f t="shared" si="21"/>
        <v/>
      </c>
      <c r="M308" s="8" t="str">
        <f t="shared" si="22"/>
        <v/>
      </c>
      <c r="AB308" s="5">
        <v>80</v>
      </c>
      <c r="AG308" s="1">
        <v>0.01</v>
      </c>
      <c r="AH308" s="101">
        <v>7.1759259259259259E-2</v>
      </c>
      <c r="AK308" s="3">
        <v>180</v>
      </c>
      <c r="AN308" s="80">
        <f>360-AK308-AB308</f>
        <v>100</v>
      </c>
      <c r="AP308" s="13">
        <f>AVERAGE(AO306:AO312)</f>
        <v>979.99999999997272</v>
      </c>
      <c r="AQ308" s="15"/>
      <c r="AR308" s="17" t="e">
        <f>(E308-W308)/E308</f>
        <v>#VALUE!</v>
      </c>
      <c r="AS308" s="16">
        <f>(I308-AF308)/I308</f>
        <v>1</v>
      </c>
      <c r="AT308" s="16" t="e">
        <f>AG308/(AD308-AF308)</f>
        <v>#DIV/0!</v>
      </c>
      <c r="AU308" s="16" t="e">
        <f>(G308-AM308)/G308</f>
        <v>#DIV/0!</v>
      </c>
      <c r="AV308" s="57" t="str">
        <f>IF(AND(ISNUMBER(E308),ISNUMBER(W308)),E308-W308,"")</f>
        <v/>
      </c>
      <c r="AW308" s="57" t="str">
        <f>IF(AND(ISNUMBER(I308),ISNUMBER(AF308)),I308-AF308,"")</f>
        <v/>
      </c>
      <c r="AX308" s="57" t="str">
        <f>IF(AND(ISNUMBER(AM308),ISNUMBER(G308)),G308-AM308,"")</f>
        <v/>
      </c>
      <c r="AY308" s="57" t="str">
        <f>IF(AND(ISNUMBER(AC308),ISNUMBER(AE308)),AC308-AE308,"")</f>
        <v/>
      </c>
      <c r="AZ308" s="57" t="str">
        <f>IF(AND(ISNUMBER(AL308),ISNUMBER(AM308)),AL308-AM308,"")</f>
        <v/>
      </c>
      <c r="BA308" s="84" t="str">
        <f>IF(AND($E308&gt;0,$W308&gt;0),IF(($E308-$W308)/$E308&gt;0,($E308-$W308)/$E308,0),"")</f>
        <v/>
      </c>
      <c r="BB308" s="84">
        <f>IF(AND($I308&gt;0,$AF308&gt;=0),IF(($I308-$AF308)/$I308&gt;0,($I308-$AF308)/$I308,0),"")</f>
        <v>1</v>
      </c>
      <c r="BC308" s="84" t="e">
        <f>IF(AND($AG308&gt;=0,$AD308&gt;=0,$AF308&gt;=0),IF($AG308/($AD308-$AF308)&gt;0,$AG308/($AD308-$AF308),0),"")</f>
        <v>#DIV/0!</v>
      </c>
      <c r="BD308" s="84" t="str">
        <f>IF(AND($G308&gt;0,$AM308&gt;0),IF(($G308-$AM308)/$G308&gt;0,($G308-$AM308)/$G308,0),"")</f>
        <v/>
      </c>
      <c r="BE308" s="6" t="e">
        <f>IF((AD308-AF308)/(AJ308/60)&lt;=0,"",(AD308-AF308)/(AJ308/60))</f>
        <v>#DIV/0!</v>
      </c>
      <c r="BF308" s="6" t="str">
        <f>IF(OR(AJ308=0,AP308=0,NOT(ISNUMBER(AD308)),NOT(ISNUMBER(AF308)),NOT(ISNUMBER(AJ308)),NOT(ISNUMBER(AP308))),"",
IFERROR(IF((AD308-AF308)/(AJ308/60)/(AP308/1000)&lt;=0,"",(AD308-AF308)/(AJ308/60)/(AP308/1000)),""))</f>
        <v/>
      </c>
    </row>
    <row r="309" spans="1:58" ht="15.75">
      <c r="B309" s="11">
        <v>45569</v>
      </c>
      <c r="C309" s="1">
        <v>65</v>
      </c>
      <c r="D309" s="3">
        <v>304</v>
      </c>
      <c r="E309" s="205" t="str">
        <f t="shared" si="19"/>
        <v/>
      </c>
      <c r="I309" s="41">
        <v>21</v>
      </c>
      <c r="K309" s="10" t="str">
        <f t="shared" si="20"/>
        <v/>
      </c>
      <c r="L309" s="9" t="str">
        <f t="shared" si="21"/>
        <v/>
      </c>
      <c r="M309" s="8" t="str">
        <f t="shared" si="22"/>
        <v/>
      </c>
      <c r="AB309" s="5">
        <v>80</v>
      </c>
      <c r="AG309" s="1">
        <v>0.19</v>
      </c>
      <c r="AH309" s="101">
        <v>9.5138888888888884E-2</v>
      </c>
      <c r="AK309" s="3">
        <v>180</v>
      </c>
      <c r="AN309" s="80">
        <f>360-AK309-AB309</f>
        <v>100</v>
      </c>
      <c r="AP309" s="13" t="e">
        <f>AVERAGE(AO307:AO313)</f>
        <v>#DIV/0!</v>
      </c>
      <c r="AQ309" s="15"/>
      <c r="AR309" s="17" t="e">
        <f>(E309-W309)/E309</f>
        <v>#VALUE!</v>
      </c>
      <c r="AS309" s="16">
        <f>(I309-AF309)/I309</f>
        <v>1</v>
      </c>
      <c r="AT309" s="16" t="e">
        <f>AG309/(AD309-AF309)</f>
        <v>#DIV/0!</v>
      </c>
      <c r="AU309" s="16" t="e">
        <f>(G309-AM309)/G309</f>
        <v>#DIV/0!</v>
      </c>
      <c r="AV309" s="57" t="str">
        <f>IF(AND(ISNUMBER(E309),ISNUMBER(W309)),E309-W309,"")</f>
        <v/>
      </c>
      <c r="AW309" s="57" t="str">
        <f>IF(AND(ISNUMBER(I309),ISNUMBER(AF309)),I309-AF309,"")</f>
        <v/>
      </c>
      <c r="AX309" s="57" t="str">
        <f>IF(AND(ISNUMBER(AM309),ISNUMBER(G309)),G309-AM309,"")</f>
        <v/>
      </c>
      <c r="AY309" s="57" t="str">
        <f>IF(AND(ISNUMBER(AC309),ISNUMBER(AE309)),AC309-AE309,"")</f>
        <v/>
      </c>
      <c r="AZ309" s="57" t="str">
        <f>IF(AND(ISNUMBER(AL309),ISNUMBER(AM309)),AL309-AM309,"")</f>
        <v/>
      </c>
      <c r="BA309" s="84" t="str">
        <f>IF(AND($E309&gt;0,$W309&gt;0),IF(($E309-$W309)/$E309&gt;0,($E309-$W309)/$E309,0),"")</f>
        <v/>
      </c>
      <c r="BB309" s="84">
        <f>IF(AND($I309&gt;0,$AF309&gt;=0),IF(($I309-$AF309)/$I309&gt;0,($I309-$AF309)/$I309,0),"")</f>
        <v>1</v>
      </c>
      <c r="BC309" s="84" t="e">
        <f>IF(AND($AG309&gt;=0,$AD309&gt;=0,$AF309&gt;=0),IF($AG309/($AD309-$AF309)&gt;0,$AG309/($AD309-$AF309),0),"")</f>
        <v>#DIV/0!</v>
      </c>
      <c r="BD309" s="84" t="str">
        <f>IF(AND($G309&gt;0,$AM309&gt;0),IF(($G309-$AM309)/$G309&gt;0,($G309-$AM309)/$G309,0),"")</f>
        <v/>
      </c>
      <c r="BE309" s="6" t="e">
        <f>IF((AD309-AF309)/(AJ309/60)&lt;=0,"",(AD309-AF309)/(AJ309/60))</f>
        <v>#DIV/0!</v>
      </c>
      <c r="BF309" s="6" t="e">
        <f>IF(OR(AJ309=0,AP309=0,NOT(ISNUMBER(AD309)),NOT(ISNUMBER(AF309)),NOT(ISNUMBER(AJ309)),NOT(ISNUMBER(AP309))),"",
IFERROR(IF((AD309-AF309)/(AJ309/60)/(AP309/1000)&lt;=0,"",(AD309-AF309)/(AJ309/60)/(AP309/1000)),""))</f>
        <v>#DIV/0!</v>
      </c>
    </row>
    <row r="310" spans="1:58" ht="15.75">
      <c r="A310" s="25"/>
      <c r="B310" s="11">
        <v>45570</v>
      </c>
      <c r="C310" s="1">
        <v>66</v>
      </c>
      <c r="D310" s="3">
        <v>305</v>
      </c>
      <c r="E310" s="205" t="str">
        <f t="shared" si="19"/>
        <v/>
      </c>
      <c r="I310" s="41">
        <v>21</v>
      </c>
      <c r="K310" s="10" t="str">
        <f t="shared" si="20"/>
        <v/>
      </c>
      <c r="L310" s="9" t="str">
        <f t="shared" si="21"/>
        <v/>
      </c>
      <c r="M310" s="8" t="str">
        <f t="shared" si="22"/>
        <v/>
      </c>
      <c r="AB310" s="5">
        <v>80</v>
      </c>
      <c r="AG310" s="1">
        <v>0.05</v>
      </c>
      <c r="AH310" s="101">
        <v>0.12511574074074075</v>
      </c>
      <c r="AK310" s="3">
        <v>180</v>
      </c>
      <c r="AN310" s="80">
        <f>360-AK310-AB310</f>
        <v>100</v>
      </c>
      <c r="AP310" s="13" t="e">
        <f>AVERAGE(AO308:AO314)</f>
        <v>#DIV/0!</v>
      </c>
      <c r="AQ310" s="15"/>
      <c r="AR310" s="17" t="e">
        <f>(E310-W310)/E310</f>
        <v>#VALUE!</v>
      </c>
      <c r="AS310" s="16">
        <f>(I310-AF310)/I310</f>
        <v>1</v>
      </c>
      <c r="AT310" s="16" t="e">
        <f>AG310/(AD310-AF310)</f>
        <v>#DIV/0!</v>
      </c>
      <c r="AU310" s="16" t="e">
        <f>(G310-AM310)/G310</f>
        <v>#DIV/0!</v>
      </c>
      <c r="AV310" s="57" t="str">
        <f>IF(AND(ISNUMBER(E310),ISNUMBER(W310)),E310-W310,"")</f>
        <v/>
      </c>
      <c r="AW310" s="57" t="str">
        <f>IF(AND(ISNUMBER(I310),ISNUMBER(AF310)),I310-AF310,"")</f>
        <v/>
      </c>
      <c r="AX310" s="57" t="str">
        <f>IF(AND(ISNUMBER(AM310),ISNUMBER(G310)),G310-AM310,"")</f>
        <v/>
      </c>
      <c r="AY310" s="57" t="str">
        <f>IF(AND(ISNUMBER(AC310),ISNUMBER(AE310)),AC310-AE310,"")</f>
        <v/>
      </c>
      <c r="AZ310" s="57" t="str">
        <f>IF(AND(ISNUMBER(AL310),ISNUMBER(AM310)),AL310-AM310,"")</f>
        <v/>
      </c>
      <c r="BA310" s="84" t="str">
        <f>IF(AND($E310&gt;0,$W310&gt;0),IF(($E310-$W310)/$E310&gt;0,($E310-$W310)/$E310,0),"")</f>
        <v/>
      </c>
      <c r="BB310" s="84">
        <f>IF(AND($I310&gt;0,$AF310&gt;=0),IF(($I310-$AF310)/$I310&gt;0,($I310-$AF310)/$I310,0),"")</f>
        <v>1</v>
      </c>
      <c r="BC310" s="84" t="e">
        <f>IF(AND($AG310&gt;=0,$AD310&gt;=0,$AF310&gt;=0),IF($AG310/($AD310-$AF310)&gt;0,$AG310/($AD310-$AF310),0),"")</f>
        <v>#DIV/0!</v>
      </c>
      <c r="BD310" s="84" t="str">
        <f>IF(AND($G310&gt;0,$AM310&gt;0),IF(($G310-$AM310)/$G310&gt;0,($G310-$AM310)/$G310,0),"")</f>
        <v/>
      </c>
      <c r="BE310" s="6" t="e">
        <f>IF((AD310-AF310)/(AJ310/60)&lt;=0,"",(AD310-AF310)/(AJ310/60))</f>
        <v>#DIV/0!</v>
      </c>
      <c r="BF310" s="6" t="e">
        <f>IF(OR(AJ310=0,AP310=0,NOT(ISNUMBER(AD310)),NOT(ISNUMBER(AF310)),NOT(ISNUMBER(AJ310)),NOT(ISNUMBER(AP310))),"",
IFERROR(IF((AD310-AF310)/(AJ310/60)/(AP310/1000)&lt;=0,"",(AD310-AF310)/(AJ310/60)/(AP310/1000)),""))</f>
        <v>#DIV/0!</v>
      </c>
    </row>
    <row r="311" spans="1:58" ht="15.75">
      <c r="B311" s="11">
        <v>45571</v>
      </c>
      <c r="C311" s="1">
        <v>67</v>
      </c>
      <c r="D311" s="3">
        <v>306</v>
      </c>
      <c r="E311" s="205" t="str">
        <f t="shared" si="19"/>
        <v/>
      </c>
      <c r="I311" s="41">
        <v>21</v>
      </c>
      <c r="K311" s="10" t="str">
        <f t="shared" si="20"/>
        <v/>
      </c>
      <c r="L311" s="9" t="str">
        <f t="shared" si="21"/>
        <v/>
      </c>
      <c r="M311" s="8" t="str">
        <f t="shared" si="22"/>
        <v/>
      </c>
      <c r="AB311" s="5">
        <v>80</v>
      </c>
      <c r="AG311" s="1">
        <v>0</v>
      </c>
      <c r="AH311" s="101">
        <v>8.3796296296296299E-2</v>
      </c>
      <c r="AK311" s="3">
        <v>180</v>
      </c>
      <c r="AN311" s="80">
        <f>360-AK311-AB311</f>
        <v>100</v>
      </c>
      <c r="AP311" s="13" t="e">
        <f>AVERAGE(AO309:AO315)</f>
        <v>#DIV/0!</v>
      </c>
      <c r="AQ311" s="15"/>
      <c r="AR311" s="17" t="e">
        <f>(E311-W311)/E311</f>
        <v>#VALUE!</v>
      </c>
      <c r="AS311" s="16">
        <f>(I311-AF311)/I311</f>
        <v>1</v>
      </c>
      <c r="AT311" s="16" t="e">
        <f>AG311/(AD311-AF311)</f>
        <v>#DIV/0!</v>
      </c>
      <c r="AU311" s="16" t="e">
        <f>(G311-AM311)/G311</f>
        <v>#DIV/0!</v>
      </c>
      <c r="AV311" s="57" t="str">
        <f>IF(AND(ISNUMBER(E311),ISNUMBER(W311)),E311-W311,"")</f>
        <v/>
      </c>
      <c r="AW311" s="57" t="str">
        <f>IF(AND(ISNUMBER(I311),ISNUMBER(AF311)),I311-AF311,"")</f>
        <v/>
      </c>
      <c r="AX311" s="57" t="str">
        <f>IF(AND(ISNUMBER(AM311),ISNUMBER(G311)),G311-AM311,"")</f>
        <v/>
      </c>
      <c r="AY311" s="57" t="str">
        <f>IF(AND(ISNUMBER(AC311),ISNUMBER(AE311)),AC311-AE311,"")</f>
        <v/>
      </c>
      <c r="AZ311" s="57" t="str">
        <f>IF(AND(ISNUMBER(AL311),ISNUMBER(AM311)),AL311-AM311,"")</f>
        <v/>
      </c>
      <c r="BA311" s="84" t="str">
        <f>IF(AND($E311&gt;0,$W311&gt;0),IF(($E311-$W311)/$E311&gt;0,($E311-$W311)/$E311,0),"")</f>
        <v/>
      </c>
      <c r="BB311" s="84">
        <f>IF(AND($I311&gt;0,$AF311&gt;=0),IF(($I311-$AF311)/$I311&gt;0,($I311-$AF311)/$I311,0),"")</f>
        <v>1</v>
      </c>
      <c r="BC311" s="84" t="e">
        <f>IF(AND($AG311&gt;=0,$AD311&gt;=0,$AF311&gt;=0),IF($AG311/($AD311-$AF311)&gt;0,$AG311/($AD311-$AF311),0),"")</f>
        <v>#DIV/0!</v>
      </c>
      <c r="BD311" s="84" t="str">
        <f>IF(AND($G311&gt;0,$AM311&gt;0),IF(($G311-$AM311)/$G311&gt;0,($G311-$AM311)/$G311,0),"")</f>
        <v/>
      </c>
      <c r="BE311" s="6" t="e">
        <f>IF((AD311-AF311)/(AJ311/60)&lt;=0,"",(AD311-AF311)/(AJ311/60))</f>
        <v>#DIV/0!</v>
      </c>
      <c r="BF311" s="6" t="e">
        <f>IF(OR(AJ311=0,AP311=0,NOT(ISNUMBER(AD311)),NOT(ISNUMBER(AF311)),NOT(ISNUMBER(AJ311)),NOT(ISNUMBER(AP311))),"",
IFERROR(IF((AD311-AF311)/(AJ311/60)/(AP311/1000)&lt;=0,"",(AD311-AF311)/(AJ311/60)/(AP311/1000)),""))</f>
        <v>#DIV/0!</v>
      </c>
    </row>
    <row r="312" spans="1:58" ht="15.75">
      <c r="A312" s="111" t="s">
        <v>103</v>
      </c>
      <c r="B312" s="114">
        <v>45572</v>
      </c>
      <c r="C312" s="1">
        <v>68</v>
      </c>
      <c r="D312" s="3">
        <v>307</v>
      </c>
      <c r="E312" s="205">
        <f t="shared" si="19"/>
        <v>257.01515599999999</v>
      </c>
      <c r="G312" s="15">
        <f>(N312*18-H312*18)/9</f>
        <v>14.399999999999997</v>
      </c>
      <c r="H312" s="9">
        <v>8</v>
      </c>
      <c r="I312" s="15">
        <f>AD312</f>
        <v>19.350000000000001</v>
      </c>
      <c r="K312" s="10">
        <f t="shared" si="20"/>
        <v>17.848274722222225</v>
      </c>
      <c r="L312" s="9">
        <f t="shared" si="21"/>
        <v>6.6412185012919887</v>
      </c>
      <c r="M312" s="8">
        <f t="shared" si="22"/>
        <v>2.6875000000000009</v>
      </c>
      <c r="N312" s="7">
        <v>15.2</v>
      </c>
      <c r="O312">
        <v>79.424000000000007</v>
      </c>
      <c r="P312">
        <v>28.905000000000001</v>
      </c>
      <c r="Q312" s="6">
        <f>O312*1.067</f>
        <v>84.745407999999998</v>
      </c>
      <c r="R312" s="6">
        <f>P312*1.514</f>
        <v>43.762170000000005</v>
      </c>
      <c r="S312" s="23">
        <f>P312*1.514+O312*1.067</f>
        <v>128.507578</v>
      </c>
      <c r="T312" s="6">
        <v>19.100000000000001</v>
      </c>
      <c r="U312">
        <v>31.800999999999998</v>
      </c>
      <c r="V312">
        <v>3.9790000000000001</v>
      </c>
      <c r="W312" s="23">
        <f>U312*1.067+V312*1.514</f>
        <v>39.955872999999997</v>
      </c>
      <c r="AB312" s="5">
        <v>80</v>
      </c>
      <c r="AC312" s="7">
        <f>T312</f>
        <v>19.100000000000001</v>
      </c>
      <c r="AD312" s="1">
        <f>5*3.87</f>
        <v>19.350000000000001</v>
      </c>
      <c r="AE312" s="1">
        <f>16.5</f>
        <v>16.5</v>
      </c>
      <c r="AF312" s="1">
        <f>5*0.696</f>
        <v>3.4799999999999995</v>
      </c>
      <c r="AG312" s="1">
        <v>0.08</v>
      </c>
      <c r="AH312" s="101">
        <v>0.12476851851851851</v>
      </c>
      <c r="AK312" s="3">
        <v>180</v>
      </c>
      <c r="AL312" s="4">
        <f>AE312</f>
        <v>16.5</v>
      </c>
      <c r="AM312" s="1">
        <v>15</v>
      </c>
      <c r="AN312" s="80">
        <f>360-AK312-AB312</f>
        <v>100</v>
      </c>
      <c r="AP312" s="13" t="e">
        <f>AVERAGE(AO310:AO316)</f>
        <v>#DIV/0!</v>
      </c>
      <c r="AQ312" s="15"/>
      <c r="AR312" s="17">
        <f>(E312-W312)/E312</f>
        <v>0.84453884501659504</v>
      </c>
      <c r="AS312" s="16">
        <f>(I312-AF312)/I312</f>
        <v>0.82015503875968987</v>
      </c>
      <c r="AT312" s="16">
        <f>AG312/(AD312-AF312)</f>
        <v>5.0409577819785761E-3</v>
      </c>
      <c r="AU312" s="16">
        <f>(G312-AM312)/G312</f>
        <v>-4.16666666666669E-2</v>
      </c>
      <c r="AV312" s="57">
        <f>IF(AND(ISNUMBER(E312),ISNUMBER(W312)),E312-W312,"")</f>
        <v>217.05928299999999</v>
      </c>
      <c r="AW312" s="57">
        <f>IF(AND(ISNUMBER(I312),ISNUMBER(AF312)),I312-AF312,"")</f>
        <v>15.870000000000001</v>
      </c>
      <c r="AX312" s="57">
        <f>IF(AND(ISNUMBER(AM312),ISNUMBER(G312)),G312-AM312,"")</f>
        <v>-0.6000000000000032</v>
      </c>
      <c r="AY312" s="57">
        <f>IF(AND(ISNUMBER(AC312),ISNUMBER(AE312)),AC312-AE312,"")</f>
        <v>2.6000000000000014</v>
      </c>
      <c r="AZ312" s="57">
        <f>IF(AND(ISNUMBER(AL312),ISNUMBER(AM312)),AL312-AM312,"")</f>
        <v>1.5</v>
      </c>
      <c r="BA312" s="84">
        <f>IF(AND($E312&gt;0,$W312&gt;0),IF(($E312-$W312)/$E312&gt;0,($E312-$W312)/$E312,0),"")</f>
        <v>0.84453884501659504</v>
      </c>
      <c r="BB312" s="84">
        <f>IF(AND($I312&gt;0,$AF312&gt;=0),IF(($I312-$AF312)/$I312&gt;0,($I312-$AF312)/$I312,0),"")</f>
        <v>0.82015503875968987</v>
      </c>
      <c r="BC312" s="84">
        <f>IF(AND($AG312&gt;=0,$AD312&gt;=0,$AF312&gt;=0),IF($AG312/($AD312-$AF312)&gt;0,$AG312/($AD312-$AF312),0),"")</f>
        <v>5.0409577819785761E-3</v>
      </c>
      <c r="BD312" s="84">
        <f>IF(AND($G312&gt;0,$AM312&gt;0),IF(($G312-$AM312)/$G312&gt;0,($G312-$AM312)/$G312,0),"")</f>
        <v>0</v>
      </c>
      <c r="BE312" s="6" t="e">
        <f>IF((AD312-AF312)/(AJ312/60)&lt;=0,"",(AD312-AF312)/(AJ312/60))</f>
        <v>#DIV/0!</v>
      </c>
      <c r="BF312" s="6" t="e">
        <f>IF(OR(AJ312=0,AP312=0,NOT(ISNUMBER(AD312)),NOT(ISNUMBER(AF312)),NOT(ISNUMBER(AJ312)),NOT(ISNUMBER(AP312))),"",
IFERROR(IF((AD312-AF312)/(AJ312/60)/(AP312/1000)&lt;=0,"",(AD312-AF312)/(AJ312/60)/(AP312/1000)),""))</f>
        <v>#DIV/0!</v>
      </c>
    </row>
    <row r="313" spans="1:58" s="27" customFormat="1" ht="15.75">
      <c r="A313" s="118" t="s">
        <v>102</v>
      </c>
      <c r="B313" s="117">
        <v>45573</v>
      </c>
      <c r="C313" s="1">
        <v>69</v>
      </c>
      <c r="D313" s="29">
        <v>308</v>
      </c>
      <c r="E313" s="205">
        <f t="shared" si="19"/>
        <v>245.56203600000001</v>
      </c>
      <c r="F313" s="36"/>
      <c r="G313" s="77">
        <f>(N313*18-H313*18)/9</f>
        <v>15.260000000000003</v>
      </c>
      <c r="H313" s="36">
        <v>8.17</v>
      </c>
      <c r="I313" s="77">
        <f>AD313</f>
        <v>20.099999999999998</v>
      </c>
      <c r="J313" s="35"/>
      <c r="K313" s="10">
        <f t="shared" si="20"/>
        <v>16.091876539973786</v>
      </c>
      <c r="L313" s="9">
        <f t="shared" si="21"/>
        <v>6.1085083582089563</v>
      </c>
      <c r="M313" s="8">
        <f t="shared" si="22"/>
        <v>2.634338138925294</v>
      </c>
      <c r="N313" s="34">
        <v>15.8</v>
      </c>
      <c r="O313" s="116">
        <v>75.554000000000002</v>
      </c>
      <c r="P313" s="116">
        <v>27.85</v>
      </c>
      <c r="Q313" s="33">
        <f>O313*1.067</f>
        <v>80.616118</v>
      </c>
      <c r="R313" s="33">
        <f>P313*1.514</f>
        <v>42.164900000000003</v>
      </c>
      <c r="S313" s="75">
        <f>P313*1.514+O313*1.067</f>
        <v>122.781018</v>
      </c>
      <c r="T313" s="33">
        <v>19.5</v>
      </c>
      <c r="U313" s="116">
        <v>48.603000000000002</v>
      </c>
      <c r="V313" s="116">
        <v>6.6319999999999997</v>
      </c>
      <c r="W313" s="75">
        <f>U313*1.067+V313*1.514</f>
        <v>61.900249000000002</v>
      </c>
      <c r="X313" s="33">
        <v>6.53</v>
      </c>
      <c r="Y313" s="33"/>
      <c r="Z313" s="33"/>
      <c r="AA313" s="33"/>
      <c r="AB313" s="74">
        <v>80</v>
      </c>
      <c r="AC313" s="34">
        <f>T313</f>
        <v>19.5</v>
      </c>
      <c r="AD313" s="27">
        <f>5*4.02</f>
        <v>20.099999999999998</v>
      </c>
      <c r="AE313" s="27">
        <v>20.6</v>
      </c>
      <c r="AF313" s="27">
        <f>0</f>
        <v>0</v>
      </c>
      <c r="AG313" s="27">
        <v>0.05</v>
      </c>
      <c r="AH313" s="101">
        <v>0.10902777777777778</v>
      </c>
      <c r="AK313" s="29">
        <v>180</v>
      </c>
      <c r="AL313" s="32">
        <f>AE313</f>
        <v>20.6</v>
      </c>
      <c r="AM313" s="27">
        <v>18.8</v>
      </c>
      <c r="AN313" s="87">
        <f>360-AK313-AB313</f>
        <v>100</v>
      </c>
      <c r="AO313" s="28"/>
      <c r="AP313" s="13" t="e">
        <f>AVERAGE(AO311:AO317)</f>
        <v>#DIV/0!</v>
      </c>
      <c r="AQ313" s="77"/>
      <c r="AR313" s="31">
        <f>(E313-W313)/E313</f>
        <v>0.74792419052919079</v>
      </c>
      <c r="AS313" s="30">
        <f>(I313-AF313)/I313</f>
        <v>1</v>
      </c>
      <c r="AT313" s="30">
        <f>AG313/(AD313-AF313)</f>
        <v>2.4875621890547268E-3</v>
      </c>
      <c r="AU313" s="30">
        <f>(G313-AM313)/G313</f>
        <v>-0.23197903014416754</v>
      </c>
      <c r="AV313" s="73">
        <f>IF(AND(ISNUMBER(E313),ISNUMBER(W313)),E313-W313,"")</f>
        <v>183.661787</v>
      </c>
      <c r="AW313" s="73">
        <f>IF(AND(ISNUMBER(I313),ISNUMBER(AF313)),I313-AF313,"")</f>
        <v>20.099999999999998</v>
      </c>
      <c r="AX313" s="73">
        <f>IF(AND(ISNUMBER(AM313),ISNUMBER(G313)),G313-AM313,"")</f>
        <v>-3.5399999999999974</v>
      </c>
      <c r="AY313" s="73">
        <f>IF(AND(ISNUMBER(AC313),ISNUMBER(AE313)),AC313-AE313,"")</f>
        <v>-1.1000000000000014</v>
      </c>
      <c r="AZ313" s="73">
        <f>IF(AND(ISNUMBER(AL313),ISNUMBER(AM313)),AL313-AM313,"")</f>
        <v>1.8000000000000007</v>
      </c>
      <c r="BA313" s="84">
        <f>IF(AND($E313&gt;0,$W313&gt;0),IF(($E313-$W313)/$E313&gt;0,($E313-$W313)/$E313,0),"")</f>
        <v>0.74792419052919079</v>
      </c>
      <c r="BB313" s="84">
        <f>IF(AND($I313&gt;0,$AF313&gt;=0),IF(($I313-$AF313)/$I313&gt;0,($I313-$AF313)/$I313,0),"")</f>
        <v>1</v>
      </c>
      <c r="BC313" s="84">
        <f>IF(AND($AG313&gt;=0,$AD313&gt;=0,$AF313&gt;=0),IF($AG313/($AD313-$AF313)&gt;0,$AG313/($AD313-$AF313),0),"")</f>
        <v>2.4875621890547268E-3</v>
      </c>
      <c r="BD313" s="84">
        <f>IF(AND($G313&gt;0,$AM313&gt;0),IF(($G313-$AM313)/$G313&gt;0,($G313-$AM313)/$G313,0),"")</f>
        <v>0</v>
      </c>
      <c r="BE313" s="6" t="e">
        <f>IF((AD313-AF313)/(AJ313/60)&lt;=0,"",(AD313-AF313)/(AJ313/60))</f>
        <v>#DIV/0!</v>
      </c>
      <c r="BF313" s="6" t="e">
        <f>IF(OR(AJ313=0,AP313=0,NOT(ISNUMBER(AD313)),NOT(ISNUMBER(AF313)),NOT(ISNUMBER(AJ313)),NOT(ISNUMBER(AP313))),"",
IFERROR(IF((AD313-AF313)/(AJ313/60)/(AP313/1000)&lt;=0,"",(AD313-AF313)/(AJ313/60)/(AP313/1000)),""))</f>
        <v>#DIV/0!</v>
      </c>
    </row>
    <row r="314" spans="1:58" ht="15.75">
      <c r="A314" s="12" t="s">
        <v>101</v>
      </c>
      <c r="B314" s="11">
        <v>45574</v>
      </c>
      <c r="C314" s="1">
        <v>70</v>
      </c>
      <c r="D314" s="3">
        <v>309</v>
      </c>
      <c r="E314" s="205" t="str">
        <f t="shared" si="19"/>
        <v/>
      </c>
      <c r="K314" s="10" t="str">
        <f t="shared" si="20"/>
        <v/>
      </c>
      <c r="L314" s="9" t="str">
        <f t="shared" si="21"/>
        <v/>
      </c>
      <c r="M314" s="8" t="str">
        <f t="shared" si="22"/>
        <v/>
      </c>
      <c r="X314" s="6">
        <v>1.64</v>
      </c>
      <c r="AB314" s="5">
        <v>80</v>
      </c>
      <c r="AG314"/>
      <c r="AK314" s="3">
        <v>180</v>
      </c>
      <c r="AN314" s="80">
        <f>360-AK314-AB314</f>
        <v>100</v>
      </c>
      <c r="AP314" s="13" t="e">
        <f>AVERAGE(AO312:AO318)</f>
        <v>#DIV/0!</v>
      </c>
      <c r="AQ314" s="15"/>
      <c r="AR314" s="17" t="e">
        <f>(E314-W314)/E314</f>
        <v>#VALUE!</v>
      </c>
      <c r="AS314" s="16" t="e">
        <f>(I314-AF314)/I314</f>
        <v>#DIV/0!</v>
      </c>
      <c r="AT314" s="16" t="e">
        <f>AG314/(AD314-AF314)</f>
        <v>#DIV/0!</v>
      </c>
      <c r="AU314" s="16" t="e">
        <f>(G314-AM314)/G314</f>
        <v>#DIV/0!</v>
      </c>
      <c r="AV314" s="57" t="str">
        <f>IF(AND(ISNUMBER(E314),ISNUMBER(W314)),E314-W314,"")</f>
        <v/>
      </c>
      <c r="AW314" s="57" t="str">
        <f>IF(AND(ISNUMBER(I314),ISNUMBER(AF314)),I314-AF314,"")</f>
        <v/>
      </c>
      <c r="AX314" s="57" t="str">
        <f>IF(AND(ISNUMBER(AM314),ISNUMBER(G314)),G314-AM314,"")</f>
        <v/>
      </c>
      <c r="AY314" s="57" t="str">
        <f>IF(AND(ISNUMBER(AC314),ISNUMBER(AE314)),AC314-AE314,"")</f>
        <v/>
      </c>
      <c r="AZ314" s="57" t="str">
        <f>IF(AND(ISNUMBER(AL314),ISNUMBER(AM314)),AL314-AM314,"")</f>
        <v/>
      </c>
      <c r="BA314" s="84" t="str">
        <f>IF(AND($E314&gt;0,$W314&gt;0),IF(($E314-$W314)/$E314&gt;0,($E314-$W314)/$E314,0),"")</f>
        <v/>
      </c>
      <c r="BB314" s="84" t="str">
        <f>IF(AND($I314&gt;0,$AF314&gt;=0),IF(($I314-$AF314)/$I314&gt;0,($I314-$AF314)/$I314,0),"")</f>
        <v/>
      </c>
      <c r="BC314" s="84" t="e">
        <f>IF(AND($AG314&gt;=0,$AD314&gt;=0,$AF314&gt;=0),IF($AG314/($AD314-$AF314)&gt;0,$AG314/($AD314-$AF314),0),"")</f>
        <v>#DIV/0!</v>
      </c>
      <c r="BD314" s="84" t="str">
        <f>IF(AND($G314&gt;0,$AM314&gt;0),IF(($G314-$AM314)/$G314&gt;0,($G314-$AM314)/$G314,0),"")</f>
        <v/>
      </c>
      <c r="BE314" s="6" t="e">
        <f>IF((AD314-AF314)/(AJ314/60)&lt;=0,"",(AD314-AF314)/(AJ314/60))</f>
        <v>#DIV/0!</v>
      </c>
      <c r="BF314" s="6" t="e">
        <f>IF(OR(AJ314=0,AP314=0,NOT(ISNUMBER(AD314)),NOT(ISNUMBER(AF314)),NOT(ISNUMBER(AJ314)),NOT(ISNUMBER(AP314))),"",
IFERROR(IF((AD314-AF314)/(AJ314/60)/(AP314/1000)&lt;=0,"",(AD314-AF314)/(AJ314/60)/(AP314/1000)),""))</f>
        <v>#DIV/0!</v>
      </c>
    </row>
    <row r="315" spans="1:58" ht="15.75">
      <c r="B315" s="11">
        <v>45575</v>
      </c>
      <c r="C315" s="1">
        <v>71</v>
      </c>
      <c r="D315" s="3">
        <v>310</v>
      </c>
      <c r="E315" s="205" t="str">
        <f t="shared" si="19"/>
        <v/>
      </c>
      <c r="K315" s="10" t="str">
        <f t="shared" si="20"/>
        <v/>
      </c>
      <c r="L315" s="9" t="str">
        <f t="shared" si="21"/>
        <v/>
      </c>
      <c r="M315" s="8" t="str">
        <f t="shared" si="22"/>
        <v/>
      </c>
      <c r="X315" s="6">
        <v>0.47</v>
      </c>
      <c r="AB315" s="5">
        <v>80</v>
      </c>
      <c r="AG315"/>
      <c r="AJ315" s="1">
        <v>175</v>
      </c>
      <c r="AK315" s="3">
        <v>180</v>
      </c>
      <c r="AN315" s="80">
        <f>360-AK315-AB315</f>
        <v>100</v>
      </c>
      <c r="AP315" s="13">
        <f>AVERAGE(AO313:AO319)</f>
        <v>809.99999999999091</v>
      </c>
      <c r="AQ315" s="15"/>
      <c r="AR315" s="17" t="e">
        <f>(E315-W315)/E315</f>
        <v>#VALUE!</v>
      </c>
      <c r="AS315" s="16" t="e">
        <f>(I315-AF315)/I315</f>
        <v>#DIV/0!</v>
      </c>
      <c r="AT315" s="16" t="e">
        <f>AG315/(AD315-AF315)</f>
        <v>#DIV/0!</v>
      </c>
      <c r="AU315" s="16" t="e">
        <f>(G315-AM315)/G315</f>
        <v>#DIV/0!</v>
      </c>
      <c r="AV315" s="57" t="str">
        <f>IF(AND(ISNUMBER(E315),ISNUMBER(W315)),E315-W315,"")</f>
        <v/>
      </c>
      <c r="AW315" s="57" t="str">
        <f>IF(AND(ISNUMBER(I315),ISNUMBER(AF315)),I315-AF315,"")</f>
        <v/>
      </c>
      <c r="AX315" s="57" t="str">
        <f>IF(AND(ISNUMBER(AM315),ISNUMBER(G315)),G315-AM315,"")</f>
        <v/>
      </c>
      <c r="AY315" s="57" t="str">
        <f>IF(AND(ISNUMBER(AC315),ISNUMBER(AE315)),AC315-AE315,"")</f>
        <v/>
      </c>
      <c r="AZ315" s="57" t="str">
        <f>IF(AND(ISNUMBER(AL315),ISNUMBER(AM315)),AL315-AM315,"")</f>
        <v/>
      </c>
      <c r="BA315" s="84" t="str">
        <f>IF(AND($E315&gt;0,$W315&gt;0),IF(($E315-$W315)/$E315&gt;0,($E315-$W315)/$E315,0),"")</f>
        <v/>
      </c>
      <c r="BB315" s="84" t="str">
        <f>IF(AND($I315&gt;0,$AF315&gt;=0),IF(($I315-$AF315)/$I315&gt;0,($I315-$AF315)/$I315,0),"")</f>
        <v/>
      </c>
      <c r="BC315" s="84" t="e">
        <f>IF(AND($AG315&gt;=0,$AD315&gt;=0,$AF315&gt;=0),IF($AG315/($AD315-$AF315)&gt;0,$AG315/($AD315-$AF315),0),"")</f>
        <v>#DIV/0!</v>
      </c>
      <c r="BD315" s="84" t="str">
        <f>IF(AND($G315&gt;0,$AM315&gt;0),IF(($G315-$AM315)/$G315&gt;0,($G315-$AM315)/$G315,0),"")</f>
        <v/>
      </c>
      <c r="BE315" s="6" t="str">
        <f>IF((AD315-AF315)/(AJ315/60)&lt;=0,"",(AD315-AF315)/(AJ315/60))</f>
        <v/>
      </c>
      <c r="BF315" s="6" t="str">
        <f>IF(OR(AJ315=0,AP315=0,NOT(ISNUMBER(AD315)),NOT(ISNUMBER(AF315)),NOT(ISNUMBER(AJ315)),NOT(ISNUMBER(AP315))),"",
IFERROR(IF((AD315-AF315)/(AJ315/60)/(AP315/1000)&lt;=0,"",(AD315-AF315)/(AJ315/60)/(AP315/1000)),""))</f>
        <v/>
      </c>
    </row>
    <row r="316" spans="1:58" ht="15.75">
      <c r="B316" s="11">
        <v>45576</v>
      </c>
      <c r="C316" s="1">
        <v>72</v>
      </c>
      <c r="D316" s="3">
        <v>311</v>
      </c>
      <c r="E316" s="205">
        <f t="shared" si="19"/>
        <v>231.66356400000001</v>
      </c>
      <c r="K316" s="10" t="str">
        <f t="shared" si="20"/>
        <v/>
      </c>
      <c r="L316" s="9" t="str">
        <f t="shared" si="21"/>
        <v/>
      </c>
      <c r="M316" s="8" t="str">
        <f t="shared" si="22"/>
        <v/>
      </c>
      <c r="O316">
        <v>70.006</v>
      </c>
      <c r="P316">
        <v>27.17</v>
      </c>
      <c r="Q316" s="6">
        <f>O316*1.067</f>
        <v>74.696401999999992</v>
      </c>
      <c r="R316" s="6">
        <f>P316*1.514</f>
        <v>41.135380000000005</v>
      </c>
      <c r="S316" s="23">
        <f>P316*1.514+O316*1.067</f>
        <v>115.831782</v>
      </c>
      <c r="U316">
        <v>54.856999999999999</v>
      </c>
      <c r="V316">
        <v>15.903</v>
      </c>
      <c r="W316" s="23">
        <f>U316*1.067+V316*1.514</f>
        <v>82.609560999999999</v>
      </c>
      <c r="X316" s="6">
        <v>6.6</v>
      </c>
      <c r="AB316" s="5">
        <v>80</v>
      </c>
      <c r="AG316"/>
      <c r="AJ316" s="1">
        <v>175</v>
      </c>
      <c r="AK316" s="3">
        <v>180</v>
      </c>
      <c r="AN316" s="80">
        <f>360-AK316-AB316</f>
        <v>100</v>
      </c>
      <c r="AP316" s="13">
        <f>AVERAGE(AO314:AO320)</f>
        <v>809.99999999999091</v>
      </c>
      <c r="AQ316" s="15"/>
      <c r="AR316" s="17">
        <f>(E316-W316)/E316</f>
        <v>0.64340719112825195</v>
      </c>
      <c r="AS316" s="16" t="e">
        <f>(I316-AF316)/I316</f>
        <v>#DIV/0!</v>
      </c>
      <c r="AT316" s="16" t="e">
        <f>AG316/(AD316-AF316)</f>
        <v>#DIV/0!</v>
      </c>
      <c r="AU316" s="16" t="e">
        <f>(G316-AM316)/G316</f>
        <v>#DIV/0!</v>
      </c>
      <c r="AV316" s="57">
        <f>IF(AND(ISNUMBER(E316),ISNUMBER(W316)),E316-W316,"")</f>
        <v>149.05400300000002</v>
      </c>
      <c r="AW316" s="57" t="str">
        <f>IF(AND(ISNUMBER(I316),ISNUMBER(AF316)),I316-AF316,"")</f>
        <v/>
      </c>
      <c r="AX316" s="57" t="str">
        <f>IF(AND(ISNUMBER(AM316),ISNUMBER(G316)),G316-AM316,"")</f>
        <v/>
      </c>
      <c r="AY316" s="57" t="str">
        <f>IF(AND(ISNUMBER(AC316),ISNUMBER(AE316)),AC316-AE316,"")</f>
        <v/>
      </c>
      <c r="AZ316" s="57" t="str">
        <f>IF(AND(ISNUMBER(AL316),ISNUMBER(AM316)),AL316-AM316,"")</f>
        <v/>
      </c>
      <c r="BA316" s="84">
        <f>IF(AND($E316&gt;0,$W316&gt;0),IF(($E316-$W316)/$E316&gt;0,($E316-$W316)/$E316,0),"")</f>
        <v>0.64340719112825195</v>
      </c>
      <c r="BB316" s="84" t="str">
        <f>IF(AND($I316&gt;0,$AF316&gt;=0),IF(($I316-$AF316)/$I316&gt;0,($I316-$AF316)/$I316,0),"")</f>
        <v/>
      </c>
      <c r="BC316" s="84" t="e">
        <f>IF(AND($AG316&gt;=0,$AD316&gt;=0,$AF316&gt;=0),IF($AG316/($AD316-$AF316)&gt;0,$AG316/($AD316-$AF316),0),"")</f>
        <v>#DIV/0!</v>
      </c>
      <c r="BD316" s="84" t="str">
        <f>IF(AND($G316&gt;0,$AM316&gt;0),IF(($G316-$AM316)/$G316&gt;0,($G316-$AM316)/$G316,0),"")</f>
        <v/>
      </c>
      <c r="BE316" s="6" t="str">
        <f>IF((AD316-AF316)/(AJ316/60)&lt;=0,"",(AD316-AF316)/(AJ316/60))</f>
        <v/>
      </c>
      <c r="BF316" s="6" t="str">
        <f>IF(OR(AJ316=0,AP316=0,NOT(ISNUMBER(AD316)),NOT(ISNUMBER(AF316)),NOT(ISNUMBER(AJ316)),NOT(ISNUMBER(AP316))),"",
IFERROR(IF((AD316-AF316)/(AJ316/60)/(AP316/1000)&lt;=0,"",(AD316-AF316)/(AJ316/60)/(AP316/1000)),""))</f>
        <v/>
      </c>
    </row>
    <row r="317" spans="1:58" ht="15.75">
      <c r="B317" s="11">
        <v>45577</v>
      </c>
      <c r="C317" s="1">
        <v>73</v>
      </c>
      <c r="D317" s="3">
        <v>312</v>
      </c>
      <c r="E317" s="205" t="str">
        <f t="shared" si="19"/>
        <v/>
      </c>
      <c r="K317" s="10" t="str">
        <f t="shared" si="20"/>
        <v/>
      </c>
      <c r="L317" s="9" t="str">
        <f t="shared" si="21"/>
        <v/>
      </c>
      <c r="M317" s="8" t="str">
        <f t="shared" si="22"/>
        <v/>
      </c>
      <c r="X317" s="6">
        <v>3.09</v>
      </c>
      <c r="AB317" s="5">
        <v>80</v>
      </c>
      <c r="AG317"/>
      <c r="AJ317" s="1">
        <v>175</v>
      </c>
      <c r="AK317" s="3">
        <v>180</v>
      </c>
      <c r="AN317" s="80">
        <f>360-AK317-AB317</f>
        <v>100</v>
      </c>
      <c r="AP317" s="13">
        <f>AVERAGE(AO315:AO321)</f>
        <v>809.99999999999091</v>
      </c>
      <c r="AQ317" s="15"/>
      <c r="AR317" s="17" t="e">
        <f>(E317-W317)/E317</f>
        <v>#VALUE!</v>
      </c>
      <c r="AS317" s="16" t="e">
        <f>(I317-AF317)/I317</f>
        <v>#DIV/0!</v>
      </c>
      <c r="AT317" s="16" t="e">
        <f>AG317/(AD317-AF317)</f>
        <v>#DIV/0!</v>
      </c>
      <c r="AU317" s="16" t="e">
        <f>(G317-AM317)/G317</f>
        <v>#DIV/0!</v>
      </c>
      <c r="AV317" s="57" t="str">
        <f>IF(AND(ISNUMBER(E317),ISNUMBER(W317)),E317-W317,"")</f>
        <v/>
      </c>
      <c r="AW317" s="57" t="str">
        <f>IF(AND(ISNUMBER(I317),ISNUMBER(AF317)),I317-AF317,"")</f>
        <v/>
      </c>
      <c r="AX317" s="57" t="str">
        <f>IF(AND(ISNUMBER(AM317),ISNUMBER(G317)),G317-AM317,"")</f>
        <v/>
      </c>
      <c r="AY317" s="57" t="str">
        <f>IF(AND(ISNUMBER(AC317),ISNUMBER(AE317)),AC317-AE317,"")</f>
        <v/>
      </c>
      <c r="AZ317" s="57" t="str">
        <f>IF(AND(ISNUMBER(AL317),ISNUMBER(AM317)),AL317-AM317,"")</f>
        <v/>
      </c>
      <c r="BA317" s="84" t="str">
        <f>IF(AND($E317&gt;0,$W317&gt;0),IF(($E317-$W317)/$E317&gt;0,($E317-$W317)/$E317,0),"")</f>
        <v/>
      </c>
      <c r="BB317" s="84" t="str">
        <f>IF(AND($I317&gt;0,$AF317&gt;=0),IF(($I317-$AF317)/$I317&gt;0,($I317-$AF317)/$I317,0),"")</f>
        <v/>
      </c>
      <c r="BC317" s="84" t="e">
        <f>IF(AND($AG317&gt;=0,$AD317&gt;=0,$AF317&gt;=0),IF($AG317/($AD317-$AF317)&gt;0,$AG317/($AD317-$AF317),0),"")</f>
        <v>#DIV/0!</v>
      </c>
      <c r="BD317" s="84" t="str">
        <f>IF(AND($G317&gt;0,$AM317&gt;0),IF(($G317-$AM317)/$G317&gt;0,($G317-$AM317)/$G317,0),"")</f>
        <v/>
      </c>
      <c r="BE317" s="6" t="str">
        <f>IF((AD317-AF317)/(AJ317/60)&lt;=0,"",(AD317-AF317)/(AJ317/60))</f>
        <v/>
      </c>
      <c r="BF317" s="6" t="str">
        <f>IF(OR(AJ317=0,AP317=0,NOT(ISNUMBER(AD317)),NOT(ISNUMBER(AF317)),NOT(ISNUMBER(AJ317)),NOT(ISNUMBER(AP317))),"",
IFERROR(IF((AD317-AF317)/(AJ317/60)/(AP317/1000)&lt;=0,"",(AD317-AF317)/(AJ317/60)/(AP317/1000)),""))</f>
        <v/>
      </c>
    </row>
    <row r="318" spans="1:58" ht="15.75">
      <c r="A318" s="12" t="s">
        <v>100</v>
      </c>
      <c r="B318" s="11">
        <v>45578</v>
      </c>
      <c r="C318" s="1">
        <v>74</v>
      </c>
      <c r="D318" s="3">
        <v>313</v>
      </c>
      <c r="E318" s="205" t="str">
        <f t="shared" si="19"/>
        <v/>
      </c>
      <c r="K318" s="10" t="str">
        <f t="shared" si="20"/>
        <v/>
      </c>
      <c r="L318" s="9" t="str">
        <f t="shared" si="21"/>
        <v/>
      </c>
      <c r="M318" s="8" t="str">
        <f t="shared" si="22"/>
        <v/>
      </c>
      <c r="X318" s="6">
        <v>0.18</v>
      </c>
      <c r="AB318" s="5">
        <v>80</v>
      </c>
      <c r="AG318"/>
      <c r="AJ318" s="1">
        <v>175</v>
      </c>
      <c r="AK318" s="3">
        <v>180</v>
      </c>
      <c r="AL318" s="4">
        <f>AE318</f>
        <v>0</v>
      </c>
      <c r="AN318" s="80">
        <f>360-AK318-AB318</f>
        <v>100</v>
      </c>
      <c r="AP318" s="13">
        <f>AVERAGE(AO316:AO322)</f>
        <v>829.99999999999545</v>
      </c>
      <c r="AQ318" s="15"/>
      <c r="AR318" s="17" t="e">
        <f>(E318-W318)/E318</f>
        <v>#VALUE!</v>
      </c>
      <c r="AS318" s="16" t="e">
        <f>(I318-AF318)/I318</f>
        <v>#DIV/0!</v>
      </c>
      <c r="AT318" s="16" t="e">
        <f>AG318/(AD318-AF318)</f>
        <v>#DIV/0!</v>
      </c>
      <c r="AU318" s="16" t="e">
        <f>(G318-AM318)/G318</f>
        <v>#DIV/0!</v>
      </c>
      <c r="AV318" s="57" t="str">
        <f>IF(AND(ISNUMBER(E318),ISNUMBER(W318)),E318-W318,"")</f>
        <v/>
      </c>
      <c r="AW318" s="57" t="str">
        <f>IF(AND(ISNUMBER(I318),ISNUMBER(AF318)),I318-AF318,"")</f>
        <v/>
      </c>
      <c r="AX318" s="57" t="str">
        <f>IF(AND(ISNUMBER(AM318),ISNUMBER(G318)),G318-AM318,"")</f>
        <v/>
      </c>
      <c r="AY318" s="57" t="str">
        <f>IF(AND(ISNUMBER(AC318),ISNUMBER(AE318)),AC318-AE318,"")</f>
        <v/>
      </c>
      <c r="AZ318" s="57" t="str">
        <f>IF(AND(ISNUMBER(AL318),ISNUMBER(AM318)),AL318-AM318,"")</f>
        <v/>
      </c>
      <c r="BA318" s="84" t="str">
        <f>IF(AND($E318&gt;0,$W318&gt;0),IF(($E318-$W318)/$E318&gt;0,($E318-$W318)/$E318,0),"")</f>
        <v/>
      </c>
      <c r="BB318" s="84" t="str">
        <f>IF(AND($I318&gt;0,$AF318&gt;=0),IF(($I318-$AF318)/$I318&gt;0,($I318-$AF318)/$I318,0),"")</f>
        <v/>
      </c>
      <c r="BC318" s="84" t="e">
        <f>IF(AND($AG318&gt;=0,$AD318&gt;=0,$AF318&gt;=0),IF($AG318/($AD318-$AF318)&gt;0,$AG318/($AD318-$AF318),0),"")</f>
        <v>#DIV/0!</v>
      </c>
      <c r="BD318" s="84" t="str">
        <f>IF(AND($G318&gt;0,$AM318&gt;0),IF(($G318-$AM318)/$G318&gt;0,($G318-$AM318)/$G318,0),"")</f>
        <v/>
      </c>
      <c r="BE318" s="6" t="str">
        <f>IF((AD318-AF318)/(AJ318/60)&lt;=0,"",(AD318-AF318)/(AJ318/60))</f>
        <v/>
      </c>
      <c r="BF318" s="6" t="str">
        <f>IF(OR(AJ318=0,AP318=0,NOT(ISNUMBER(AD318)),NOT(ISNUMBER(AF318)),NOT(ISNUMBER(AJ318)),NOT(ISNUMBER(AP318))),"",
IFERROR(IF((AD318-AF318)/(AJ318/60)/(AP318/1000)&lt;=0,"",(AD318-AF318)/(AJ318/60)/(AP318/1000)),""))</f>
        <v/>
      </c>
    </row>
    <row r="319" spans="1:58" ht="15.75">
      <c r="B319" s="11">
        <v>45579</v>
      </c>
      <c r="C319" s="1">
        <v>75</v>
      </c>
      <c r="D319" s="3">
        <v>314</v>
      </c>
      <c r="E319" s="205">
        <f t="shared" si="19"/>
        <v>262.59618399999999</v>
      </c>
      <c r="G319" s="15">
        <f>(N319*18-H319*18)/9</f>
        <v>12.459999999999999</v>
      </c>
      <c r="H319" s="9">
        <v>5.87</v>
      </c>
      <c r="I319" s="15">
        <f>AD319</f>
        <v>19.650000000000002</v>
      </c>
      <c r="K319" s="10">
        <f t="shared" si="20"/>
        <v>21.075135152487963</v>
      </c>
      <c r="L319" s="9">
        <f t="shared" si="21"/>
        <v>6.6818367430025436</v>
      </c>
      <c r="M319" s="8">
        <f t="shared" si="22"/>
        <v>3.1540930979133233</v>
      </c>
      <c r="N319" s="7">
        <v>12.1</v>
      </c>
      <c r="O319">
        <v>82.902000000000001</v>
      </c>
      <c r="P319">
        <v>28.297000000000001</v>
      </c>
      <c r="Q319" s="6">
        <f>O319*1.067</f>
        <v>88.456434000000002</v>
      </c>
      <c r="R319" s="6">
        <f>P319*1.514</f>
        <v>42.841658000000002</v>
      </c>
      <c r="S319" s="23">
        <f>P319*1.514+O319*1.067</f>
        <v>131.298092</v>
      </c>
      <c r="T319" s="6">
        <v>12.6</v>
      </c>
      <c r="U319">
        <v>71.808999999999997</v>
      </c>
      <c r="V319">
        <v>20.925000000000001</v>
      </c>
      <c r="W319" s="23">
        <f>U319*1.067+V319*1.514</f>
        <v>108.30065299999998</v>
      </c>
      <c r="X319" s="6">
        <v>0.59</v>
      </c>
      <c r="AB319" s="5">
        <v>80</v>
      </c>
      <c r="AC319" s="7">
        <f>T319</f>
        <v>12.6</v>
      </c>
      <c r="AD319" s="1">
        <f>5*3.93</f>
        <v>19.650000000000002</v>
      </c>
      <c r="AE319" s="1">
        <v>12.2</v>
      </c>
      <c r="AF319" s="1">
        <v>0</v>
      </c>
      <c r="AG319"/>
      <c r="AJ319" s="1">
        <v>175</v>
      </c>
      <c r="AK319" s="3">
        <v>180</v>
      </c>
      <c r="AL319" s="4">
        <f>AE319</f>
        <v>12.2</v>
      </c>
      <c r="AM319" s="1">
        <f>11.3</f>
        <v>11.3</v>
      </c>
      <c r="AN319" s="80">
        <f>360-AK319-AB319</f>
        <v>100</v>
      </c>
      <c r="AO319" s="2">
        <v>809.99999999999091</v>
      </c>
      <c r="AP319" s="13">
        <f>AVERAGE(AO317:AO323)</f>
        <v>829.99999999999545</v>
      </c>
      <c r="AQ319" s="2">
        <v>29.779411764706744</v>
      </c>
      <c r="AR319" s="17">
        <f>(E319-W319)/E319</f>
        <v>0.58757720180731954</v>
      </c>
      <c r="AS319" s="16">
        <f>(I319-AF319)/I319</f>
        <v>1</v>
      </c>
      <c r="AT319" s="16">
        <f>AG319/(AD319-AF319)</f>
        <v>0</v>
      </c>
      <c r="AU319" s="16">
        <f>(G319-AM319)/G319</f>
        <v>9.30979133226323E-2</v>
      </c>
      <c r="AV319" s="57">
        <f>IF(AND(ISNUMBER(E319),ISNUMBER(W319)),E319-W319,"")</f>
        <v>154.29553100000001</v>
      </c>
      <c r="AW319" s="57">
        <f>IF(AND(ISNUMBER(I319),ISNUMBER(AF319)),I319-AF319,"")</f>
        <v>19.650000000000002</v>
      </c>
      <c r="AX319" s="57">
        <f>IF(AND(ISNUMBER(AM319),ISNUMBER(G319)),G319-AM319,"")</f>
        <v>1.1599999999999984</v>
      </c>
      <c r="AY319" s="57">
        <f>IF(AND(ISNUMBER(AC319),ISNUMBER(AE319)),AC319-AE319,"")</f>
        <v>0.40000000000000036</v>
      </c>
      <c r="AZ319" s="57">
        <f>IF(AND(ISNUMBER(AL319),ISNUMBER(AM319)),AL319-AM319,"")</f>
        <v>0.89999999999999858</v>
      </c>
      <c r="BA319" s="84">
        <f>IF(AND($E319&gt;0,$W319&gt;0),IF(($E319-$W319)/$E319&gt;0,($E319-$W319)/$E319,0),"")</f>
        <v>0.58757720180731954</v>
      </c>
      <c r="BB319" s="84">
        <f>IF(AND($I319&gt;0,$AF319&gt;=0),IF(($I319-$AF319)/$I319&gt;0,($I319-$AF319)/$I319,0),"")</f>
        <v>1</v>
      </c>
      <c r="BC319" s="84">
        <f>IF(AND($AG319&gt;=0,$AD319&gt;=0,$AF319&gt;=0),IF($AG319/($AD319-$AF319)&gt;0,$AG319/($AD319-$AF319),0),"")</f>
        <v>0</v>
      </c>
      <c r="BD319" s="84">
        <f>IF(AND($G319&gt;0,$AM319&gt;0),IF(($G319-$AM319)/$G319&gt;0,($G319-$AM319)/$G319,0),"")</f>
        <v>9.30979133226323E-2</v>
      </c>
      <c r="BE319" s="6">
        <f>IF((AD319-AF319)/(AJ319/60)&lt;=0,"",(AD319-AF319)/(AJ319/60))</f>
        <v>6.7371428571428584</v>
      </c>
      <c r="BF319" s="6">
        <f>IF(OR(AJ319=0,AP319=0,NOT(ISNUMBER(AD319)),NOT(ISNUMBER(AF319)),NOT(ISNUMBER(AJ319)),NOT(ISNUMBER(AP319))),"",
IFERROR(IF((AD319-AF319)/(AJ319/60)/(AP319/1000)&lt;=0,"",(AD319-AF319)/(AJ319/60)/(AP319/1000)),""))</f>
        <v>8.1170395869191516</v>
      </c>
    </row>
    <row r="320" spans="1:58" ht="15.75">
      <c r="B320" s="11">
        <v>45580</v>
      </c>
      <c r="C320" s="1">
        <v>76</v>
      </c>
      <c r="D320" s="3">
        <v>315</v>
      </c>
      <c r="E320" s="205" t="str">
        <f t="shared" si="19"/>
        <v/>
      </c>
      <c r="I320" s="41">
        <v>20</v>
      </c>
      <c r="K320" s="10" t="str">
        <f t="shared" si="20"/>
        <v/>
      </c>
      <c r="L320" s="9" t="str">
        <f t="shared" si="21"/>
        <v/>
      </c>
      <c r="M320" s="8" t="str">
        <f t="shared" si="22"/>
        <v/>
      </c>
      <c r="X320" s="6">
        <v>0.88</v>
      </c>
      <c r="AB320" s="5">
        <v>80</v>
      </c>
      <c r="AG320"/>
      <c r="AJ320" s="1">
        <v>175</v>
      </c>
      <c r="AK320" s="3">
        <v>180</v>
      </c>
      <c r="AN320" s="80">
        <f>360-AK320-AB320</f>
        <v>100</v>
      </c>
      <c r="AP320" s="13">
        <f>AVERAGE(AO318:AO324)</f>
        <v>829.99999999999545</v>
      </c>
      <c r="AR320" s="17" t="e">
        <f>(E320-W320)/E320</f>
        <v>#VALUE!</v>
      </c>
      <c r="AS320" s="16">
        <f>(I320-AF320)/I320</f>
        <v>1</v>
      </c>
      <c r="AT320" s="16" t="e">
        <f>AG320/(AD320-AF320)</f>
        <v>#DIV/0!</v>
      </c>
      <c r="AU320" s="16" t="e">
        <f>(G320-AM320)/G320</f>
        <v>#DIV/0!</v>
      </c>
      <c r="AV320" s="57" t="str">
        <f>IF(AND(ISNUMBER(E320),ISNUMBER(W320)),E320-W320,"")</f>
        <v/>
      </c>
      <c r="AW320" s="57" t="str">
        <f>IF(AND(ISNUMBER(I320),ISNUMBER(AF320)),I320-AF320,"")</f>
        <v/>
      </c>
      <c r="AX320" s="57" t="str">
        <f>IF(AND(ISNUMBER(AM320),ISNUMBER(G320)),G320-AM320,"")</f>
        <v/>
      </c>
      <c r="AY320" s="57" t="str">
        <f>IF(AND(ISNUMBER(AC320),ISNUMBER(AE320)),AC320-AE320,"")</f>
        <v/>
      </c>
      <c r="AZ320" s="57" t="str">
        <f>IF(AND(ISNUMBER(AL320),ISNUMBER(AM320)),AL320-AM320,"")</f>
        <v/>
      </c>
      <c r="BA320" s="84" t="str">
        <f>IF(AND($E320&gt;0,$W320&gt;0),IF(($E320-$W320)/$E320&gt;0,($E320-$W320)/$E320,0),"")</f>
        <v/>
      </c>
      <c r="BB320" s="84">
        <f>IF(AND($I320&gt;0,$AF320&gt;=0),IF(($I320-$AF320)/$I320&gt;0,($I320-$AF320)/$I320,0),"")</f>
        <v>1</v>
      </c>
      <c r="BC320" s="84" t="e">
        <f>IF(AND($AG320&gt;=0,$AD320&gt;=0,$AF320&gt;=0),IF($AG320/($AD320-$AF320)&gt;0,$AG320/($AD320-$AF320),0),"")</f>
        <v>#DIV/0!</v>
      </c>
      <c r="BD320" s="84" t="str">
        <f>IF(AND($G320&gt;0,$AM320&gt;0),IF(($G320-$AM320)/$G320&gt;0,($G320-$AM320)/$G320,0),"")</f>
        <v/>
      </c>
      <c r="BE320" s="6" t="str">
        <f>IF((AD320-AF320)/(AJ320/60)&lt;=0,"",(AD320-AF320)/(AJ320/60))</f>
        <v/>
      </c>
      <c r="BF320" s="6" t="str">
        <f>IF(OR(AJ320=0,AP320=0,NOT(ISNUMBER(AD320)),NOT(ISNUMBER(AF320)),NOT(ISNUMBER(AJ320)),NOT(ISNUMBER(AP320))),"",
IFERROR(IF((AD320-AF320)/(AJ320/60)/(AP320/1000)&lt;=0,"",(AD320-AF320)/(AJ320/60)/(AP320/1000)),""))</f>
        <v/>
      </c>
    </row>
    <row r="321" spans="1:58" ht="12.75" customHeight="1">
      <c r="B321" s="11">
        <v>45581</v>
      </c>
      <c r="C321" s="1">
        <v>77</v>
      </c>
      <c r="D321" s="3">
        <v>316</v>
      </c>
      <c r="E321" s="205" t="str">
        <f t="shared" si="19"/>
        <v/>
      </c>
      <c r="G321" s="15">
        <f>(N321*18-H321*18)/9</f>
        <v>13.199999999999996</v>
      </c>
      <c r="H321" s="9">
        <f>5*1.29</f>
        <v>6.45</v>
      </c>
      <c r="I321" s="15">
        <f>AD321</f>
        <v>20.6</v>
      </c>
      <c r="K321" s="10" t="str">
        <f t="shared" si="20"/>
        <v/>
      </c>
      <c r="L321" s="9" t="str">
        <f t="shared" si="21"/>
        <v/>
      </c>
      <c r="M321" s="8">
        <f t="shared" si="22"/>
        <v>3.1212121212121224</v>
      </c>
      <c r="N321" s="7">
        <f>5*2.61</f>
        <v>13.049999999999999</v>
      </c>
      <c r="T321" s="6">
        <f>5*2.66</f>
        <v>13.3</v>
      </c>
      <c r="X321" s="6">
        <v>0.49</v>
      </c>
      <c r="AB321" s="5">
        <v>80</v>
      </c>
      <c r="AC321" s="7">
        <f>T321</f>
        <v>13.3</v>
      </c>
      <c r="AD321" s="1">
        <f>5*4.12</f>
        <v>20.6</v>
      </c>
      <c r="AE321" s="1">
        <f>5*2.62</f>
        <v>13.100000000000001</v>
      </c>
      <c r="AF321" s="1">
        <v>0</v>
      </c>
      <c r="AG321"/>
      <c r="AJ321" s="1">
        <v>175</v>
      </c>
      <c r="AK321" s="3">
        <v>180</v>
      </c>
      <c r="AL321" s="4">
        <f>AE321</f>
        <v>13.100000000000001</v>
      </c>
      <c r="AM321" s="1">
        <f>5*2.58</f>
        <v>12.9</v>
      </c>
      <c r="AN321" s="80">
        <f>360-AK321-AB321</f>
        <v>100</v>
      </c>
      <c r="AP321" s="13">
        <f>AVERAGE(AO319:AO325)</f>
        <v>829.99999999999545</v>
      </c>
      <c r="AR321" s="17" t="e">
        <f>(E321-W321)/E321</f>
        <v>#VALUE!</v>
      </c>
      <c r="AS321" s="16">
        <f>(I321-AF321)/I321</f>
        <v>1</v>
      </c>
      <c r="AT321" s="16">
        <f>AG321/(AD321-AF321)</f>
        <v>0</v>
      </c>
      <c r="AU321" s="16">
        <f>(G321-AM321)/G321</f>
        <v>2.2727272727272384E-2</v>
      </c>
      <c r="AV321" s="57" t="str">
        <f>IF(AND(ISNUMBER(E321),ISNUMBER(W321)),E321-W321,"")</f>
        <v/>
      </c>
      <c r="AW321" s="57">
        <f>IF(AND(ISNUMBER(I321),ISNUMBER(AF321)),I321-AF321,"")</f>
        <v>20.6</v>
      </c>
      <c r="AX321" s="57">
        <f>IF(AND(ISNUMBER(AM321),ISNUMBER(G321)),G321-AM321,"")</f>
        <v>0.29999999999999538</v>
      </c>
      <c r="AY321" s="57">
        <f>IF(AND(ISNUMBER(AC321),ISNUMBER(AE321)),AC321-AE321,"")</f>
        <v>0.19999999999999929</v>
      </c>
      <c r="AZ321" s="57">
        <f>IF(AND(ISNUMBER(AL321),ISNUMBER(AM321)),AL321-AM321,"")</f>
        <v>0.20000000000000107</v>
      </c>
      <c r="BA321" s="84" t="str">
        <f>IF(AND($E321&gt;0,$W321&gt;0),IF(($E321-$W321)/$E321&gt;0,($E321-$W321)/$E321,0),"")</f>
        <v/>
      </c>
      <c r="BB321" s="84">
        <f>IF(AND($I321&gt;0,$AF321&gt;=0),IF(($I321-$AF321)/$I321&gt;0,($I321-$AF321)/$I321,0),"")</f>
        <v>1</v>
      </c>
      <c r="BC321" s="84">
        <f>IF(AND($AG321&gt;=0,$AD321&gt;=0,$AF321&gt;=0),IF($AG321/($AD321-$AF321)&gt;0,$AG321/($AD321-$AF321),0),"")</f>
        <v>0</v>
      </c>
      <c r="BD321" s="84">
        <f>IF(AND($G321&gt;0,$AM321&gt;0),IF(($G321-$AM321)/$G321&gt;0,($G321-$AM321)/$G321,0),"")</f>
        <v>2.2727272727272384E-2</v>
      </c>
      <c r="BE321" s="6">
        <f>IF((AD321-AF321)/(AJ321/60)&lt;=0,"",(AD321-AF321)/(AJ321/60))</f>
        <v>7.0628571428571441</v>
      </c>
      <c r="BF321" s="6">
        <f>IF(OR(AJ321=0,AP321=0,NOT(ISNUMBER(AD321)),NOT(ISNUMBER(AF321)),NOT(ISNUMBER(AJ321)),NOT(ISNUMBER(AP321))),"",
IFERROR(IF((AD321-AF321)/(AJ321/60)/(AP321/1000)&lt;=0,"",(AD321-AF321)/(AJ321/60)/(AP321/1000)),""))</f>
        <v>8.5094664371773288</v>
      </c>
    </row>
    <row r="322" spans="1:58" ht="15.75">
      <c r="A322" s="111" t="s">
        <v>99</v>
      </c>
      <c r="B322" s="114">
        <v>45582</v>
      </c>
      <c r="C322" s="1">
        <v>78</v>
      </c>
      <c r="D322" s="3">
        <v>317</v>
      </c>
      <c r="E322" s="205" t="str">
        <f t="shared" si="19"/>
        <v/>
      </c>
      <c r="K322" s="10" t="str">
        <f t="shared" si="20"/>
        <v/>
      </c>
      <c r="L322" s="9" t="str">
        <f t="shared" si="21"/>
        <v/>
      </c>
      <c r="M322" s="8" t="str">
        <f t="shared" si="22"/>
        <v/>
      </c>
      <c r="X322" s="6">
        <v>1.39</v>
      </c>
      <c r="AB322" s="5">
        <v>80</v>
      </c>
      <c r="AG322"/>
      <c r="AJ322" s="1">
        <v>175</v>
      </c>
      <c r="AK322" s="3">
        <v>180</v>
      </c>
      <c r="AN322" s="80">
        <f>360-AK322-AB322</f>
        <v>100</v>
      </c>
      <c r="AO322" s="2">
        <v>850</v>
      </c>
      <c r="AP322" s="13">
        <f>AVERAGE(AO320:AO326)</f>
        <v>850</v>
      </c>
      <c r="AQ322" s="2">
        <v>31.250000000001254</v>
      </c>
      <c r="AR322" s="17" t="e">
        <f>(E322-W322)/E322</f>
        <v>#VALUE!</v>
      </c>
      <c r="AS322" s="16" t="e">
        <f>(I322-AF322)/I322</f>
        <v>#DIV/0!</v>
      </c>
      <c r="AT322" s="16" t="e">
        <f>AG322/(AD322-AF322)</f>
        <v>#DIV/0!</v>
      </c>
      <c r="AU322" s="16" t="e">
        <f>(G322-AM322)/G322</f>
        <v>#DIV/0!</v>
      </c>
      <c r="AV322" s="57" t="str">
        <f>IF(AND(ISNUMBER(E322),ISNUMBER(W322)),E322-W322,"")</f>
        <v/>
      </c>
      <c r="AW322" s="57" t="str">
        <f>IF(AND(ISNUMBER(I322),ISNUMBER(AF322)),I322-AF322,"")</f>
        <v/>
      </c>
      <c r="AX322" s="57" t="str">
        <f>IF(AND(ISNUMBER(AM322),ISNUMBER(G322)),G322-AM322,"")</f>
        <v/>
      </c>
      <c r="AY322" s="57" t="str">
        <f>IF(AND(ISNUMBER(AC322),ISNUMBER(AE322)),AC322-AE322,"")</f>
        <v/>
      </c>
      <c r="AZ322" s="57" t="str">
        <f>IF(AND(ISNUMBER(AL322),ISNUMBER(AM322)),AL322-AM322,"")</f>
        <v/>
      </c>
      <c r="BA322" s="84" t="str">
        <f>IF(AND($E322&gt;0,$W322&gt;0),IF(($E322-$W322)/$E322&gt;0,($E322-$W322)/$E322,0),"")</f>
        <v/>
      </c>
      <c r="BB322" s="84" t="str">
        <f>IF(AND($I322&gt;0,$AF322&gt;=0),IF(($I322-$AF322)/$I322&gt;0,($I322-$AF322)/$I322,0),"")</f>
        <v/>
      </c>
      <c r="BC322" s="84" t="e">
        <f>IF(AND($AG322&gt;=0,$AD322&gt;=0,$AF322&gt;=0),IF($AG322/($AD322-$AF322)&gt;0,$AG322/($AD322-$AF322),0),"")</f>
        <v>#DIV/0!</v>
      </c>
      <c r="BD322" s="84" t="str">
        <f>IF(AND($G322&gt;0,$AM322&gt;0),IF(($G322-$AM322)/$G322&gt;0,($G322-$AM322)/$G322,0),"")</f>
        <v/>
      </c>
      <c r="BE322" s="6" t="str">
        <f>IF((AD322-AF322)/(AJ322/60)&lt;=0,"",(AD322-AF322)/(AJ322/60))</f>
        <v/>
      </c>
      <c r="BF322" s="6" t="str">
        <f>IF(OR(AJ322=0,AP322=0,NOT(ISNUMBER(AD322)),NOT(ISNUMBER(AF322)),NOT(ISNUMBER(AJ322)),NOT(ISNUMBER(AP322))),"",
IFERROR(IF((AD322-AF322)/(AJ322/60)/(AP322/1000)&lt;=0,"",(AD322-AF322)/(AJ322/60)/(AP322/1000)),""))</f>
        <v/>
      </c>
    </row>
    <row r="323" spans="1:58" ht="15.75">
      <c r="B323" s="11">
        <v>45583</v>
      </c>
      <c r="C323" s="1">
        <v>79</v>
      </c>
      <c r="D323" s="3">
        <v>318</v>
      </c>
      <c r="E323" s="205">
        <f t="shared" si="19"/>
        <v>152.48227</v>
      </c>
      <c r="K323" s="10" t="str">
        <f t="shared" si="20"/>
        <v/>
      </c>
      <c r="L323" s="9" t="str">
        <f t="shared" si="21"/>
        <v/>
      </c>
      <c r="M323" s="8" t="str">
        <f t="shared" si="22"/>
        <v/>
      </c>
      <c r="O323">
        <v>48.179000000000002</v>
      </c>
      <c r="P323">
        <v>16.402999999999999</v>
      </c>
      <c r="Q323" s="6">
        <f>O323*1.067</f>
        <v>51.406993</v>
      </c>
      <c r="R323" s="6">
        <f>P323*1.514</f>
        <v>24.834142</v>
      </c>
      <c r="S323" s="23">
        <f>P323*1.514+O323*1.067</f>
        <v>76.241135</v>
      </c>
      <c r="U323">
        <v>30.155999999999999</v>
      </c>
      <c r="V323">
        <v>1.8460000000000001</v>
      </c>
      <c r="W323" s="23">
        <f>U323*1.067+V323*1.514</f>
        <v>34.971295999999995</v>
      </c>
      <c r="X323" s="6">
        <v>0.18</v>
      </c>
      <c r="AB323" s="5">
        <v>80</v>
      </c>
      <c r="AJ323" s="1">
        <v>175</v>
      </c>
      <c r="AK323" s="3">
        <v>180</v>
      </c>
      <c r="AN323" s="80">
        <f>360-AK323-AB323</f>
        <v>100</v>
      </c>
      <c r="AP323" s="13">
        <f>AVERAGE(AO321:AO327)</f>
        <v>850</v>
      </c>
      <c r="AR323" s="17">
        <f>(E323-W323)/E323</f>
        <v>0.77065336186298905</v>
      </c>
      <c r="AS323" s="16" t="e">
        <f>(I323-AF323)/I323</f>
        <v>#DIV/0!</v>
      </c>
      <c r="AT323" s="16" t="e">
        <f>AG323/(AD323-AF323)</f>
        <v>#DIV/0!</v>
      </c>
      <c r="AU323" s="16" t="e">
        <f>(G323-AM323)/G323</f>
        <v>#DIV/0!</v>
      </c>
      <c r="AV323" s="57">
        <f>IF(AND(ISNUMBER(E323),ISNUMBER(W323)),E323-W323,"")</f>
        <v>117.510974</v>
      </c>
      <c r="AW323" s="57" t="str">
        <f>IF(AND(ISNUMBER(I323),ISNUMBER(AF323)),I323-AF323,"")</f>
        <v/>
      </c>
      <c r="AX323" s="57" t="str">
        <f>IF(AND(ISNUMBER(AM323),ISNUMBER(G323)),G323-AM323,"")</f>
        <v/>
      </c>
      <c r="AY323" s="57" t="str">
        <f>IF(AND(ISNUMBER(AC323),ISNUMBER(AE323)),AC323-AE323,"")</f>
        <v/>
      </c>
      <c r="AZ323" s="57" t="str">
        <f>IF(AND(ISNUMBER(AL323),ISNUMBER(AM323)),AL323-AM323,"")</f>
        <v/>
      </c>
      <c r="BA323" s="84">
        <f>IF(AND($E323&gt;0,$W323&gt;0),IF(($E323-$W323)/$E323&gt;0,($E323-$W323)/$E323,0),"")</f>
        <v>0.77065336186298905</v>
      </c>
      <c r="BB323" s="84" t="str">
        <f>IF(AND($I323&gt;0,$AF323&gt;=0),IF(($I323-$AF323)/$I323&gt;0,($I323-$AF323)/$I323,0),"")</f>
        <v/>
      </c>
      <c r="BC323" s="84" t="e">
        <f>IF(AND($AG323&gt;=0,$AD323&gt;=0,$AF323&gt;=0),IF($AG323/($AD323-$AF323)&gt;0,$AG323/($AD323-$AF323),0),"")</f>
        <v>#DIV/0!</v>
      </c>
      <c r="BD323" s="84" t="str">
        <f>IF(AND($G323&gt;0,$AM323&gt;0),IF(($G323-$AM323)/$G323&gt;0,($G323-$AM323)/$G323,0),"")</f>
        <v/>
      </c>
      <c r="BE323" s="6" t="str">
        <f>IF((AD323-AF323)/(AJ323/60)&lt;=0,"",(AD323-AF323)/(AJ323/60))</f>
        <v/>
      </c>
      <c r="BF323" s="6" t="str">
        <f>IF(OR(AJ323=0,AP323=0,NOT(ISNUMBER(AD323)),NOT(ISNUMBER(AF323)),NOT(ISNUMBER(AJ323)),NOT(ISNUMBER(AP323))),"",
IFERROR(IF((AD323-AF323)/(AJ323/60)/(AP323/1000)&lt;=0,"",(AD323-AF323)/(AJ323/60)/(AP323/1000)),""))</f>
        <v/>
      </c>
    </row>
    <row r="324" spans="1:58" ht="15.75">
      <c r="B324" s="11">
        <v>45584</v>
      </c>
      <c r="C324" s="1">
        <v>80</v>
      </c>
      <c r="D324" s="3">
        <v>319</v>
      </c>
      <c r="E324" s="205" t="str">
        <f t="shared" si="19"/>
        <v/>
      </c>
      <c r="K324" s="10" t="str">
        <f t="shared" si="20"/>
        <v/>
      </c>
      <c r="L324" s="9" t="str">
        <f t="shared" si="21"/>
        <v/>
      </c>
      <c r="M324" s="8" t="str">
        <f t="shared" si="22"/>
        <v/>
      </c>
      <c r="X324" s="6">
        <v>0.49</v>
      </c>
      <c r="AB324" s="5">
        <v>80</v>
      </c>
      <c r="AG324" s="1">
        <v>0.18</v>
      </c>
      <c r="AH324" s="101">
        <v>0.47893518518518519</v>
      </c>
      <c r="AJ324" s="1">
        <v>175</v>
      </c>
      <c r="AK324" s="3">
        <v>180</v>
      </c>
      <c r="AN324" s="80">
        <f>360-AK324-AB324</f>
        <v>100</v>
      </c>
      <c r="AP324" s="13">
        <f>AVERAGE(AO322:AO328)</f>
        <v>850</v>
      </c>
      <c r="AR324" s="17" t="e">
        <f>(E324-W324)/E324</f>
        <v>#VALUE!</v>
      </c>
      <c r="AS324" s="16" t="e">
        <f>(I324-AF324)/I324</f>
        <v>#DIV/0!</v>
      </c>
      <c r="AT324" s="16" t="e">
        <f>AG324/(AD324-AF324)</f>
        <v>#DIV/0!</v>
      </c>
      <c r="AU324" s="16" t="e">
        <f>(G324-AM324)/G324</f>
        <v>#DIV/0!</v>
      </c>
      <c r="AV324" s="57" t="str">
        <f>IF(AND(ISNUMBER(E324),ISNUMBER(W324)),E324-W324,"")</f>
        <v/>
      </c>
      <c r="AW324" s="57" t="str">
        <f>IF(AND(ISNUMBER(I324),ISNUMBER(AF324)),I324-AF324,"")</f>
        <v/>
      </c>
      <c r="AX324" s="57" t="str">
        <f>IF(AND(ISNUMBER(AM324),ISNUMBER(G324)),G324-AM324,"")</f>
        <v/>
      </c>
      <c r="AY324" s="57" t="str">
        <f>IF(AND(ISNUMBER(AC324),ISNUMBER(AE324)),AC324-AE324,"")</f>
        <v/>
      </c>
      <c r="AZ324" s="57" t="str">
        <f>IF(AND(ISNUMBER(AL324),ISNUMBER(AM324)),AL324-AM324,"")</f>
        <v/>
      </c>
      <c r="BA324" s="84" t="str">
        <f>IF(AND($E324&gt;0,$W324&gt;0),IF(($E324-$W324)/$E324&gt;0,($E324-$W324)/$E324,0),"")</f>
        <v/>
      </c>
      <c r="BB324" s="84" t="str">
        <f>IF(AND($I324&gt;0,$AF324&gt;=0),IF(($I324-$AF324)/$I324&gt;0,($I324-$AF324)/$I324,0),"")</f>
        <v/>
      </c>
      <c r="BC324" s="84" t="e">
        <f>IF(AND($AG324&gt;=0,$AD324&gt;=0,$AF324&gt;=0),IF($AG324/($AD324-$AF324)&gt;0,$AG324/($AD324-$AF324),0),"")</f>
        <v>#DIV/0!</v>
      </c>
      <c r="BD324" s="84" t="str">
        <f>IF(AND($G324&gt;0,$AM324&gt;0),IF(($G324-$AM324)/$G324&gt;0,($G324-$AM324)/$G324,0),"")</f>
        <v/>
      </c>
      <c r="BE324" s="6" t="str">
        <f>IF((AD324-AF324)/(AJ324/60)&lt;=0,"",(AD324-AF324)/(AJ324/60))</f>
        <v/>
      </c>
      <c r="BF324" s="6" t="str">
        <f>IF(OR(AJ324=0,AP324=0,NOT(ISNUMBER(AD324)),NOT(ISNUMBER(AF324)),NOT(ISNUMBER(AJ324)),NOT(ISNUMBER(AP324))),"",
IFERROR(IF((AD324-AF324)/(AJ324/60)/(AP324/1000)&lt;=0,"",(AD324-AF324)/(AJ324/60)/(AP324/1000)),""))</f>
        <v/>
      </c>
    </row>
    <row r="325" spans="1:58" ht="15.75">
      <c r="B325" s="11">
        <v>45585</v>
      </c>
      <c r="C325" s="1">
        <v>81</v>
      </c>
      <c r="D325" s="3">
        <v>320</v>
      </c>
      <c r="E325" s="205" t="str">
        <f t="shared" si="19"/>
        <v/>
      </c>
      <c r="K325" s="10" t="str">
        <f t="shared" si="20"/>
        <v/>
      </c>
      <c r="L325" s="9" t="str">
        <f t="shared" si="21"/>
        <v/>
      </c>
      <c r="M325" s="8" t="str">
        <f t="shared" si="22"/>
        <v/>
      </c>
      <c r="X325" s="6">
        <v>0.45</v>
      </c>
      <c r="AB325" s="5">
        <v>80</v>
      </c>
      <c r="AG325" s="1">
        <v>0.24</v>
      </c>
      <c r="AH325" s="101">
        <v>0.44710648148148147</v>
      </c>
      <c r="AJ325" s="1">
        <v>175</v>
      </c>
      <c r="AK325" s="3">
        <v>180</v>
      </c>
      <c r="AN325" s="80">
        <f>360-AK325-AB325</f>
        <v>100</v>
      </c>
      <c r="AP325" s="13">
        <f>AVERAGE(AO323:AO329)</f>
        <v>1109.9999999999909</v>
      </c>
      <c r="AR325" s="17" t="e">
        <f>(E325-W325)/E325</f>
        <v>#VALUE!</v>
      </c>
      <c r="AS325" s="16" t="e">
        <f>(I325-AF325)/I325</f>
        <v>#DIV/0!</v>
      </c>
      <c r="AT325" s="16" t="e">
        <f>AG325/(AD325-AF325)</f>
        <v>#DIV/0!</v>
      </c>
      <c r="AU325" s="16" t="e">
        <f>(G325-AM325)/G325</f>
        <v>#DIV/0!</v>
      </c>
      <c r="AV325" s="57" t="str">
        <f>IF(AND(ISNUMBER(E325),ISNUMBER(W325)),E325-W325,"")</f>
        <v/>
      </c>
      <c r="AW325" s="57" t="str">
        <f>IF(AND(ISNUMBER(I325),ISNUMBER(AF325)),I325-AF325,"")</f>
        <v/>
      </c>
      <c r="AX325" s="57" t="str">
        <f>IF(AND(ISNUMBER(AM325),ISNUMBER(G325)),G325-AM325,"")</f>
        <v/>
      </c>
      <c r="AY325" s="57" t="str">
        <f>IF(AND(ISNUMBER(AC325),ISNUMBER(AE325)),AC325-AE325,"")</f>
        <v/>
      </c>
      <c r="AZ325" s="57" t="str">
        <f>IF(AND(ISNUMBER(AL325),ISNUMBER(AM325)),AL325-AM325,"")</f>
        <v/>
      </c>
      <c r="BA325" s="84" t="str">
        <f>IF(AND($E325&gt;0,$W325&gt;0),IF(($E325-$W325)/$E325&gt;0,($E325-$W325)/$E325,0),"")</f>
        <v/>
      </c>
      <c r="BB325" s="84" t="str">
        <f>IF(AND($I325&gt;0,$AF325&gt;=0),IF(($I325-$AF325)/$I325&gt;0,($I325-$AF325)/$I325,0),"")</f>
        <v/>
      </c>
      <c r="BC325" s="84" t="e">
        <f>IF(AND($AG325&gt;=0,$AD325&gt;=0,$AF325&gt;=0),IF($AG325/($AD325-$AF325)&gt;0,$AG325/($AD325-$AF325),0),"")</f>
        <v>#DIV/0!</v>
      </c>
      <c r="BD325" s="84" t="str">
        <f>IF(AND($G325&gt;0,$AM325&gt;0),IF(($G325-$AM325)/$G325&gt;0,($G325-$AM325)/$G325,0),"")</f>
        <v/>
      </c>
      <c r="BE325" s="6" t="str">
        <f>IF((AD325-AF325)/(AJ325/60)&lt;=0,"",(AD325-AF325)/(AJ325/60))</f>
        <v/>
      </c>
      <c r="BF325" s="6" t="str">
        <f>IF(OR(AJ325=0,AP325=0,NOT(ISNUMBER(AD325)),NOT(ISNUMBER(AF325)),NOT(ISNUMBER(AJ325)),NOT(ISNUMBER(AP325))),"",
IFERROR(IF((AD325-AF325)/(AJ325/60)/(AP325/1000)&lt;=0,"",(AD325-AF325)/(AJ325/60)/(AP325/1000)),""))</f>
        <v/>
      </c>
    </row>
    <row r="326" spans="1:58" ht="15.75">
      <c r="B326" s="11">
        <v>45586</v>
      </c>
      <c r="C326" s="1">
        <v>82</v>
      </c>
      <c r="D326" s="3">
        <v>321</v>
      </c>
      <c r="E326" s="205" t="str">
        <f t="shared" si="19"/>
        <v/>
      </c>
      <c r="K326" s="10" t="str">
        <f t="shared" si="20"/>
        <v/>
      </c>
      <c r="L326" s="9" t="str">
        <f t="shared" si="21"/>
        <v/>
      </c>
      <c r="M326" s="8" t="str">
        <f t="shared" si="22"/>
        <v/>
      </c>
      <c r="X326" s="6">
        <v>5.82</v>
      </c>
      <c r="AB326" s="5">
        <v>80</v>
      </c>
      <c r="AG326" s="1">
        <v>6.18</v>
      </c>
      <c r="AH326" s="101">
        <v>0.47916666666666669</v>
      </c>
      <c r="AJ326" s="1">
        <v>175</v>
      </c>
      <c r="AK326" s="3">
        <v>180</v>
      </c>
      <c r="AN326" s="80">
        <f>360-AK326-AB326</f>
        <v>100</v>
      </c>
      <c r="AP326" s="13">
        <f>AVERAGE(AO324:AO330)</f>
        <v>1109.9999999999909</v>
      </c>
      <c r="AR326" s="17" t="e">
        <f>(E326-W326)/E326</f>
        <v>#VALUE!</v>
      </c>
      <c r="AS326" s="16" t="e">
        <f>(I326-AF326)/I326</f>
        <v>#DIV/0!</v>
      </c>
      <c r="AT326" s="16" t="e">
        <f>AG326/(AD326-AF326)</f>
        <v>#DIV/0!</v>
      </c>
      <c r="AU326" s="16" t="e">
        <f>(G326-AM326)/G326</f>
        <v>#DIV/0!</v>
      </c>
      <c r="AV326" s="57" t="str">
        <f>IF(AND(ISNUMBER(E326),ISNUMBER(W326)),E326-W326,"")</f>
        <v/>
      </c>
      <c r="AW326" s="57" t="str">
        <f>IF(AND(ISNUMBER(I326),ISNUMBER(AF326)),I326-AF326,"")</f>
        <v/>
      </c>
      <c r="AX326" s="57" t="str">
        <f>IF(AND(ISNUMBER(AM326),ISNUMBER(G326)),G326-AM326,"")</f>
        <v/>
      </c>
      <c r="AY326" s="57" t="str">
        <f>IF(AND(ISNUMBER(AC326),ISNUMBER(AE326)),AC326-AE326,"")</f>
        <v/>
      </c>
      <c r="AZ326" s="57" t="str">
        <f>IF(AND(ISNUMBER(AL326),ISNUMBER(AM326)),AL326-AM326,"")</f>
        <v/>
      </c>
      <c r="BA326" s="84" t="str">
        <f>IF(AND($E326&gt;0,$W326&gt;0),IF(($E326-$W326)/$E326&gt;0,($E326-$W326)/$E326,0),"")</f>
        <v/>
      </c>
      <c r="BB326" s="84" t="str">
        <f>IF(AND($I326&gt;0,$AF326&gt;=0),IF(($I326-$AF326)/$I326&gt;0,($I326-$AF326)/$I326,0),"")</f>
        <v/>
      </c>
      <c r="BC326" s="84" t="e">
        <f>IF(AND($AG326&gt;=0,$AD326&gt;=0,$AF326&gt;=0),IF($AG326/($AD326-$AF326)&gt;0,$AG326/($AD326-$AF326),0),"")</f>
        <v>#DIV/0!</v>
      </c>
      <c r="BD326" s="84" t="str">
        <f>IF(AND($G326&gt;0,$AM326&gt;0),IF(($G326-$AM326)/$G326&gt;0,($G326-$AM326)/$G326,0),"")</f>
        <v/>
      </c>
      <c r="BE326" s="6" t="str">
        <f>IF((AD326-AF326)/(AJ326/60)&lt;=0,"",(AD326-AF326)/(AJ326/60))</f>
        <v/>
      </c>
      <c r="BF326" s="6" t="str">
        <f>IF(OR(AJ326=0,AP326=0,NOT(ISNUMBER(AD326)),NOT(ISNUMBER(AF326)),NOT(ISNUMBER(AJ326)),NOT(ISNUMBER(AP326))),"",
IFERROR(IF((AD326-AF326)/(AJ326/60)/(AP326/1000)&lt;=0,"",(AD326-AF326)/(AJ326/60)/(AP326/1000)),""))</f>
        <v/>
      </c>
    </row>
    <row r="327" spans="1:58" ht="15.75">
      <c r="B327" s="11">
        <v>45587</v>
      </c>
      <c r="C327" s="1">
        <v>83</v>
      </c>
      <c r="D327" s="3">
        <v>322</v>
      </c>
      <c r="E327" s="205">
        <f t="shared" ref="E327:E390" si="23">IF(OR(S327="",S327=0),"",S327*2)</f>
        <v>205.47292399999998</v>
      </c>
      <c r="K327" s="10" t="str">
        <f t="shared" si="20"/>
        <v/>
      </c>
      <c r="L327" s="9" t="str">
        <f t="shared" si="21"/>
        <v/>
      </c>
      <c r="M327" s="8" t="str">
        <f t="shared" si="22"/>
        <v/>
      </c>
      <c r="O327">
        <v>63.805999999999997</v>
      </c>
      <c r="P327">
        <v>22.89</v>
      </c>
      <c r="Q327" s="6">
        <f>O327*1.067</f>
        <v>68.081001999999998</v>
      </c>
      <c r="R327" s="6">
        <f>P327*1.514</f>
        <v>34.655459999999998</v>
      </c>
      <c r="S327" s="23">
        <f>P327*1.514+O327*1.067</f>
        <v>102.73646199999999</v>
      </c>
      <c r="U327">
        <v>2.4809999999999999</v>
      </c>
      <c r="V327">
        <f>2.478*1.514</f>
        <v>3.7516920000000002</v>
      </c>
      <c r="W327" s="23">
        <f>U327*1.067+V327*1.514</f>
        <v>8.3272886879999994</v>
      </c>
      <c r="X327" s="6">
        <v>5.07</v>
      </c>
      <c r="AB327" s="5">
        <v>80</v>
      </c>
      <c r="AG327" s="1">
        <v>0.78</v>
      </c>
      <c r="AH327" s="101">
        <v>0.47824074074074074</v>
      </c>
      <c r="AJ327" s="1">
        <v>175</v>
      </c>
      <c r="AK327" s="3">
        <v>180</v>
      </c>
      <c r="AN327" s="80">
        <f>360-AK327-AB327</f>
        <v>100</v>
      </c>
      <c r="AP327" s="13">
        <f>AVERAGE(AO325:AO331)</f>
        <v>1109.9999999999909</v>
      </c>
      <c r="AR327" s="17">
        <f>(E327-W327)/E327</f>
        <v>0.95947257416748488</v>
      </c>
      <c r="AS327" s="16" t="e">
        <f>(I327-AF327)/I327</f>
        <v>#DIV/0!</v>
      </c>
      <c r="AT327" s="16" t="e">
        <f>AG327/(AD327-AF327)</f>
        <v>#DIV/0!</v>
      </c>
      <c r="AU327" s="16" t="e">
        <f>(G327-AM327)/G327</f>
        <v>#DIV/0!</v>
      </c>
      <c r="AV327" s="57">
        <f>IF(AND(ISNUMBER(E327),ISNUMBER(W327)),E327-W327,"")</f>
        <v>197.14563531199997</v>
      </c>
      <c r="AW327" s="57" t="str">
        <f>IF(AND(ISNUMBER(I327),ISNUMBER(AF327)),I327-AF327,"")</f>
        <v/>
      </c>
      <c r="AX327" s="57" t="str">
        <f>IF(AND(ISNUMBER(AM327),ISNUMBER(G327)),G327-AM327,"")</f>
        <v/>
      </c>
      <c r="AY327" s="57" t="str">
        <f>IF(AND(ISNUMBER(AC327),ISNUMBER(AE327)),AC327-AE327,"")</f>
        <v/>
      </c>
      <c r="AZ327" s="57" t="str">
        <f>IF(AND(ISNUMBER(AL327),ISNUMBER(AM327)),AL327-AM327,"")</f>
        <v/>
      </c>
      <c r="BA327" s="84">
        <f>IF(AND($E327&gt;0,$W327&gt;0),IF(($E327-$W327)/$E327&gt;0,($E327-$W327)/$E327,0),"")</f>
        <v>0.95947257416748488</v>
      </c>
      <c r="BB327" s="84" t="str">
        <f>IF(AND($I327&gt;0,$AF327&gt;=0),IF(($I327-$AF327)/$I327&gt;0,($I327-$AF327)/$I327,0),"")</f>
        <v/>
      </c>
      <c r="BC327" s="84" t="e">
        <f>IF(AND($AG327&gt;=0,$AD327&gt;=0,$AF327&gt;=0),IF($AG327/($AD327-$AF327)&gt;0,$AG327/($AD327-$AF327),0),"")</f>
        <v>#DIV/0!</v>
      </c>
      <c r="BD327" s="84" t="str">
        <f>IF(AND($G327&gt;0,$AM327&gt;0),IF(($G327-$AM327)/$G327&gt;0,($G327-$AM327)/$G327,0),"")</f>
        <v/>
      </c>
      <c r="BE327" s="6" t="str">
        <f>IF((AD327-AF327)/(AJ327/60)&lt;=0,"",(AD327-AF327)/(AJ327/60))</f>
        <v/>
      </c>
      <c r="BF327" s="6" t="str">
        <f>IF(OR(AJ327=0,AP327=0,NOT(ISNUMBER(AD327)),NOT(ISNUMBER(AF327)),NOT(ISNUMBER(AJ327)),NOT(ISNUMBER(AP327))),"",
IFERROR(IF((AD327-AF327)/(AJ327/60)/(AP327/1000)&lt;=0,"",(AD327-AF327)/(AJ327/60)/(AP327/1000)),""))</f>
        <v/>
      </c>
    </row>
    <row r="328" spans="1:58" ht="15.75">
      <c r="A328" s="12" t="s">
        <v>98</v>
      </c>
      <c r="B328" s="11">
        <v>45588</v>
      </c>
      <c r="C328" s="1">
        <v>84</v>
      </c>
      <c r="D328" s="3">
        <v>323</v>
      </c>
      <c r="E328" s="205" t="str">
        <f t="shared" si="23"/>
        <v/>
      </c>
      <c r="K328" s="10" t="str">
        <f t="shared" si="20"/>
        <v/>
      </c>
      <c r="L328" s="9" t="str">
        <f t="shared" si="21"/>
        <v/>
      </c>
      <c r="M328" s="8" t="str">
        <f t="shared" si="22"/>
        <v/>
      </c>
      <c r="X328" s="6">
        <v>3.51</v>
      </c>
      <c r="AB328" s="5">
        <v>80</v>
      </c>
      <c r="AG328" s="1">
        <v>1.05</v>
      </c>
      <c r="AH328" s="101">
        <v>0.47835648148148147</v>
      </c>
      <c r="AJ328" s="1">
        <v>175</v>
      </c>
      <c r="AK328" s="3">
        <v>180</v>
      </c>
      <c r="AN328" s="80">
        <f>360-AK328-AB328</f>
        <v>100</v>
      </c>
      <c r="AP328" s="13">
        <f>AVERAGE(AO326:AO332)</f>
        <v>1109.9999999999909</v>
      </c>
      <c r="AR328" s="17" t="e">
        <f>(E328-W328)/E328</f>
        <v>#VALUE!</v>
      </c>
      <c r="AS328" s="16" t="e">
        <f>(I328-AF328)/I328</f>
        <v>#DIV/0!</v>
      </c>
      <c r="AT328" s="16" t="e">
        <f>AG328/(AD328-AF328)</f>
        <v>#DIV/0!</v>
      </c>
      <c r="AU328" s="16" t="e">
        <f>(G328-AM328)/G328</f>
        <v>#DIV/0!</v>
      </c>
      <c r="AV328" s="57" t="str">
        <f>IF(AND(ISNUMBER(E328),ISNUMBER(W328)),E328-W328,"")</f>
        <v/>
      </c>
      <c r="AW328" s="57" t="str">
        <f>IF(AND(ISNUMBER(I328),ISNUMBER(AF328)),I328-AF328,"")</f>
        <v/>
      </c>
      <c r="AX328" s="57" t="str">
        <f>IF(AND(ISNUMBER(AM328),ISNUMBER(G328)),G328-AM328,"")</f>
        <v/>
      </c>
      <c r="AY328" s="57" t="str">
        <f>IF(AND(ISNUMBER(AC328),ISNUMBER(AE328)),AC328-AE328,"")</f>
        <v/>
      </c>
      <c r="AZ328" s="57" t="str">
        <f>IF(AND(ISNUMBER(AL328),ISNUMBER(AM328)),AL328-AM328,"")</f>
        <v/>
      </c>
      <c r="BA328" s="84" t="str">
        <f>IF(AND($E328&gt;0,$W328&gt;0),IF(($E328-$W328)/$E328&gt;0,($E328-$W328)/$E328,0),"")</f>
        <v/>
      </c>
      <c r="BB328" s="84" t="str">
        <f>IF(AND($I328&gt;0,$AF328&gt;=0),IF(($I328-$AF328)/$I328&gt;0,($I328-$AF328)/$I328,0),"")</f>
        <v/>
      </c>
      <c r="BC328" s="84" t="e">
        <f>IF(AND($AG328&gt;=0,$AD328&gt;=0,$AF328&gt;=0),IF($AG328/($AD328-$AF328)&gt;0,$AG328/($AD328-$AF328),0),"")</f>
        <v>#DIV/0!</v>
      </c>
      <c r="BD328" s="84" t="str">
        <f>IF(AND($G328&gt;0,$AM328&gt;0),IF(($G328-$AM328)/$G328&gt;0,($G328-$AM328)/$G328,0),"")</f>
        <v/>
      </c>
      <c r="BE328" s="6" t="str">
        <f>IF((AD328-AF328)/(AJ328/60)&lt;=0,"",(AD328-AF328)/(AJ328/60))</f>
        <v/>
      </c>
      <c r="BF328" s="6" t="str">
        <f>IF(OR(AJ328=0,AP328=0,NOT(ISNUMBER(AD328)),NOT(ISNUMBER(AF328)),NOT(ISNUMBER(AJ328)),NOT(ISNUMBER(AP328))),"",
IFERROR(IF((AD328-AF328)/(AJ328/60)/(AP328/1000)&lt;=0,"",(AD328-AF328)/(AJ328/60)/(AP328/1000)),""))</f>
        <v/>
      </c>
    </row>
    <row r="329" spans="1:58" ht="15.75">
      <c r="A329" s="113" t="s">
        <v>97</v>
      </c>
      <c r="B329" s="11">
        <v>45589</v>
      </c>
      <c r="C329" s="1">
        <v>85</v>
      </c>
      <c r="D329" s="3">
        <v>324</v>
      </c>
      <c r="E329" s="205" t="str">
        <f t="shared" si="23"/>
        <v/>
      </c>
      <c r="K329" s="10" t="str">
        <f t="shared" si="20"/>
        <v/>
      </c>
      <c r="L329" s="9" t="str">
        <f t="shared" si="21"/>
        <v/>
      </c>
      <c r="M329" s="8" t="str">
        <f t="shared" si="22"/>
        <v/>
      </c>
      <c r="X329" s="6">
        <v>0.23</v>
      </c>
      <c r="AB329" s="5">
        <v>80</v>
      </c>
      <c r="AG329" s="1">
        <v>1.36</v>
      </c>
      <c r="AH329" s="101">
        <v>0.47835648148148147</v>
      </c>
      <c r="AJ329" s="1">
        <v>175</v>
      </c>
      <c r="AK329" s="3">
        <v>180</v>
      </c>
      <c r="AN329" s="80">
        <f>360-AK329-AB329</f>
        <v>100</v>
      </c>
      <c r="AO329" s="2">
        <v>1109.9999999999909</v>
      </c>
      <c r="AP329" s="13">
        <f>AVERAGE(AO327:AO333)</f>
        <v>1109.9999999999909</v>
      </c>
      <c r="AQ329" s="2">
        <v>36.393442622951063</v>
      </c>
      <c r="AR329" s="17" t="e">
        <f>(E329-W329)/E329</f>
        <v>#VALUE!</v>
      </c>
      <c r="AS329" s="16" t="e">
        <f>(I329-AF329)/I329</f>
        <v>#DIV/0!</v>
      </c>
      <c r="AT329" s="16" t="e">
        <f>AG329/(AD329-AF329)</f>
        <v>#DIV/0!</v>
      </c>
      <c r="AU329" s="16" t="e">
        <f>(G329-AM329)/G329</f>
        <v>#DIV/0!</v>
      </c>
      <c r="AV329" s="57" t="str">
        <f>IF(AND(ISNUMBER(E329),ISNUMBER(W329)),E329-W329,"")</f>
        <v/>
      </c>
      <c r="AW329" s="57" t="str">
        <f>IF(AND(ISNUMBER(I329),ISNUMBER(AF329)),I329-AF329,"")</f>
        <v/>
      </c>
      <c r="AX329" s="57" t="str">
        <f>IF(AND(ISNUMBER(AM329),ISNUMBER(G329)),G329-AM329,"")</f>
        <v/>
      </c>
      <c r="AY329" s="57" t="str">
        <f>IF(AND(ISNUMBER(AC329),ISNUMBER(AE329)),AC329-AE329,"")</f>
        <v/>
      </c>
      <c r="AZ329" s="57" t="str">
        <f>IF(AND(ISNUMBER(AL329),ISNUMBER(AM329)),AL329-AM329,"")</f>
        <v/>
      </c>
      <c r="BA329" s="84" t="str">
        <f>IF(AND($E329&gt;0,$W329&gt;0),IF(($E329-$W329)/$E329&gt;0,($E329-$W329)/$E329,0),"")</f>
        <v/>
      </c>
      <c r="BB329" s="84" t="str">
        <f>IF(AND($I329&gt;0,$AF329&gt;=0),IF(($I329-$AF329)/$I329&gt;0,($I329-$AF329)/$I329,0),"")</f>
        <v/>
      </c>
      <c r="BC329" s="84" t="e">
        <f>IF(AND($AG329&gt;=0,$AD329&gt;=0,$AF329&gt;=0),IF($AG329/($AD329-$AF329)&gt;0,$AG329/($AD329-$AF329),0),"")</f>
        <v>#DIV/0!</v>
      </c>
      <c r="BD329" s="84" t="str">
        <f>IF(AND($G329&gt;0,$AM329&gt;0),IF(($G329-$AM329)/$G329&gt;0,($G329-$AM329)/$G329,0),"")</f>
        <v/>
      </c>
      <c r="BE329" s="6" t="str">
        <f>IF((AD329-AF329)/(AJ329/60)&lt;=0,"",(AD329-AF329)/(AJ329/60))</f>
        <v/>
      </c>
      <c r="BF329" s="6" t="str">
        <f>IF(OR(AJ329=0,AP329=0,NOT(ISNUMBER(AD329)),NOT(ISNUMBER(AF329)),NOT(ISNUMBER(AJ329)),NOT(ISNUMBER(AP329))),"",
IFERROR(IF((AD329-AF329)/(AJ329/60)/(AP329/1000)&lt;=0,"",(AD329-AF329)/(AJ329/60)/(AP329/1000)),""))</f>
        <v/>
      </c>
    </row>
    <row r="330" spans="1:58" ht="15.75">
      <c r="B330" s="11">
        <v>45590</v>
      </c>
      <c r="C330" s="1">
        <v>86</v>
      </c>
      <c r="D330" s="3">
        <v>325</v>
      </c>
      <c r="E330" s="205" t="str">
        <f t="shared" si="23"/>
        <v/>
      </c>
      <c r="K330" s="10" t="str">
        <f t="shared" si="20"/>
        <v/>
      </c>
      <c r="L330" s="9" t="str">
        <f t="shared" si="21"/>
        <v/>
      </c>
      <c r="M330" s="8" t="str">
        <f t="shared" si="22"/>
        <v/>
      </c>
      <c r="X330" s="6">
        <v>0.17</v>
      </c>
      <c r="AB330" s="5">
        <v>80</v>
      </c>
      <c r="AG330" s="1">
        <v>0.65</v>
      </c>
      <c r="AH330" s="101">
        <v>0.47175925925925927</v>
      </c>
      <c r="AJ330" s="1">
        <v>175</v>
      </c>
      <c r="AK330" s="3">
        <v>180</v>
      </c>
      <c r="AN330" s="80">
        <f>360-AK330-AB330</f>
        <v>100</v>
      </c>
      <c r="AP330" s="13">
        <f>AVERAGE(AO328:AO334)</f>
        <v>1480.0000000000182</v>
      </c>
      <c r="AR330" s="17" t="e">
        <f>(E330-W330)/E330</f>
        <v>#VALUE!</v>
      </c>
      <c r="AS330" s="16" t="e">
        <f>(I330-AF330)/I330</f>
        <v>#DIV/0!</v>
      </c>
      <c r="AT330" s="16" t="e">
        <f>AG330/(AD330-AF330)</f>
        <v>#DIV/0!</v>
      </c>
      <c r="AU330" s="16" t="e">
        <f>(G330-AM330)/G330</f>
        <v>#DIV/0!</v>
      </c>
      <c r="AV330" s="57" t="str">
        <f>IF(AND(ISNUMBER(E330),ISNUMBER(W330)),E330-W330,"")</f>
        <v/>
      </c>
      <c r="AW330" s="57" t="str">
        <f>IF(AND(ISNUMBER(I330),ISNUMBER(AF330)),I330-AF330,"")</f>
        <v/>
      </c>
      <c r="AX330" s="57" t="str">
        <f>IF(AND(ISNUMBER(AM330),ISNUMBER(G330)),G330-AM330,"")</f>
        <v/>
      </c>
      <c r="AY330" s="57" t="str">
        <f>IF(AND(ISNUMBER(AC330),ISNUMBER(AE330)),AC330-AE330,"")</f>
        <v/>
      </c>
      <c r="AZ330" s="57" t="str">
        <f>IF(AND(ISNUMBER(AL330),ISNUMBER(AM330)),AL330-AM330,"")</f>
        <v/>
      </c>
      <c r="BA330" s="84" t="str">
        <f>IF(AND($E330&gt;0,$W330&gt;0),IF(($E330-$W330)/$E330&gt;0,($E330-$W330)/$E330,0),"")</f>
        <v/>
      </c>
      <c r="BB330" s="84" t="str">
        <f>IF(AND($I330&gt;0,$AF330&gt;=0),IF(($I330-$AF330)/$I330&gt;0,($I330-$AF330)/$I330,0),"")</f>
        <v/>
      </c>
      <c r="BC330" s="84" t="e">
        <f>IF(AND($AG330&gt;=0,$AD330&gt;=0,$AF330&gt;=0),IF($AG330/($AD330-$AF330)&gt;0,$AG330/($AD330-$AF330),0),"")</f>
        <v>#DIV/0!</v>
      </c>
      <c r="BD330" s="84" t="str">
        <f>IF(AND($G330&gt;0,$AM330&gt;0),IF(($G330-$AM330)/$G330&gt;0,($G330-$AM330)/$G330,0),"")</f>
        <v/>
      </c>
      <c r="BE330" s="6" t="str">
        <f>IF((AD330-AF330)/(AJ330/60)&lt;=0,"",(AD330-AF330)/(AJ330/60))</f>
        <v/>
      </c>
      <c r="BF330" s="6" t="str">
        <f>IF(OR(AJ330=0,AP330=0,NOT(ISNUMBER(AD330)),NOT(ISNUMBER(AF330)),NOT(ISNUMBER(AJ330)),NOT(ISNUMBER(AP330))),"",
IFERROR(IF((AD330-AF330)/(AJ330/60)/(AP330/1000)&lt;=0,"",(AD330-AF330)/(AJ330/60)/(AP330/1000)),""))</f>
        <v/>
      </c>
    </row>
    <row r="331" spans="1:58" ht="15.75">
      <c r="B331" s="11">
        <v>45591</v>
      </c>
      <c r="C331" s="1">
        <v>87</v>
      </c>
      <c r="D331" s="3">
        <v>326</v>
      </c>
      <c r="E331" s="205" t="str">
        <f t="shared" si="23"/>
        <v/>
      </c>
      <c r="K331" s="10" t="str">
        <f t="shared" si="20"/>
        <v/>
      </c>
      <c r="L331" s="9" t="str">
        <f t="shared" si="21"/>
        <v/>
      </c>
      <c r="M331" s="8" t="str">
        <f t="shared" si="22"/>
        <v/>
      </c>
      <c r="X331" s="6">
        <v>0.73</v>
      </c>
      <c r="AB331" s="5">
        <v>80</v>
      </c>
      <c r="AG331" s="1">
        <v>2.2000000000000002</v>
      </c>
      <c r="AH331" s="101">
        <v>0.47881944444444446</v>
      </c>
      <c r="AJ331" s="1">
        <v>175</v>
      </c>
      <c r="AK331" s="3">
        <v>180</v>
      </c>
      <c r="AN331" s="80">
        <f>360-AK331-AB331</f>
        <v>100</v>
      </c>
      <c r="AP331" s="13">
        <f>AVERAGE(AO329:AO335)</f>
        <v>1480.0000000000182</v>
      </c>
      <c r="AR331" s="17" t="e">
        <f>(E331-W331)/E331</f>
        <v>#VALUE!</v>
      </c>
      <c r="AS331" s="16" t="e">
        <f>(I331-AF331)/I331</f>
        <v>#DIV/0!</v>
      </c>
      <c r="AT331" s="16" t="e">
        <f>AG331/(AD331-AF331)</f>
        <v>#DIV/0!</v>
      </c>
      <c r="AU331" s="16" t="e">
        <f>(G331-AM331)/G331</f>
        <v>#DIV/0!</v>
      </c>
      <c r="AV331" s="57" t="str">
        <f>IF(AND(ISNUMBER(E331),ISNUMBER(W331)),E331-W331,"")</f>
        <v/>
      </c>
      <c r="AW331" s="57" t="str">
        <f>IF(AND(ISNUMBER(I331),ISNUMBER(AF331)),I331-AF331,"")</f>
        <v/>
      </c>
      <c r="AX331" s="57" t="str">
        <f>IF(AND(ISNUMBER(AM331),ISNUMBER(G331)),G331-AM331,"")</f>
        <v/>
      </c>
      <c r="AY331" s="57" t="str">
        <f>IF(AND(ISNUMBER(AC331),ISNUMBER(AE331)),AC331-AE331,"")</f>
        <v/>
      </c>
      <c r="AZ331" s="57" t="str">
        <f>IF(AND(ISNUMBER(AL331),ISNUMBER(AM331)),AL331-AM331,"")</f>
        <v/>
      </c>
      <c r="BA331" s="84" t="str">
        <f>IF(AND($E331&gt;0,$W331&gt;0),IF(($E331-$W331)/$E331&gt;0,($E331-$W331)/$E331,0),"")</f>
        <v/>
      </c>
      <c r="BB331" s="84" t="str">
        <f>IF(AND($I331&gt;0,$AF331&gt;=0),IF(($I331-$AF331)/$I331&gt;0,($I331-$AF331)/$I331,0),"")</f>
        <v/>
      </c>
      <c r="BC331" s="84" t="e">
        <f>IF(AND($AG331&gt;=0,$AD331&gt;=0,$AF331&gt;=0),IF($AG331/($AD331-$AF331)&gt;0,$AG331/($AD331-$AF331),0),"")</f>
        <v>#DIV/0!</v>
      </c>
      <c r="BD331" s="84" t="str">
        <f>IF(AND($G331&gt;0,$AM331&gt;0),IF(($G331-$AM331)/$G331&gt;0,($G331-$AM331)/$G331,0),"")</f>
        <v/>
      </c>
      <c r="BE331" s="6" t="str">
        <f>IF((AD331-AF331)/(AJ331/60)&lt;=0,"",(AD331-AF331)/(AJ331/60))</f>
        <v/>
      </c>
      <c r="BF331" s="6" t="str">
        <f>IF(OR(AJ331=0,AP331=0,NOT(ISNUMBER(AD331)),NOT(ISNUMBER(AF331)),NOT(ISNUMBER(AJ331)),NOT(ISNUMBER(AP331))),"",
IFERROR(IF((AD331-AF331)/(AJ331/60)/(AP331/1000)&lt;=0,"",(AD331-AF331)/(AJ331/60)/(AP331/1000)),""))</f>
        <v/>
      </c>
    </row>
    <row r="332" spans="1:58" ht="15.75">
      <c r="B332" s="11">
        <v>45592</v>
      </c>
      <c r="C332" s="1">
        <v>88</v>
      </c>
      <c r="D332" s="3">
        <v>327</v>
      </c>
      <c r="E332" s="205" t="str">
        <f t="shared" si="23"/>
        <v/>
      </c>
      <c r="K332" s="10" t="str">
        <f t="shared" si="20"/>
        <v/>
      </c>
      <c r="L332" s="9" t="str">
        <f t="shared" si="21"/>
        <v/>
      </c>
      <c r="M332" s="8" t="str">
        <f t="shared" si="22"/>
        <v/>
      </c>
      <c r="X332" s="6">
        <v>0.16</v>
      </c>
      <c r="AB332" s="5">
        <v>80</v>
      </c>
      <c r="AG332" s="1">
        <v>3.19</v>
      </c>
      <c r="AH332" s="101">
        <v>0.47905092592592591</v>
      </c>
      <c r="AJ332" s="1">
        <v>175</v>
      </c>
      <c r="AK332" s="3">
        <v>180</v>
      </c>
      <c r="AN332" s="80">
        <f>360-AK332-AB332</f>
        <v>100</v>
      </c>
      <c r="AP332" s="13">
        <f>AVERAGE(AO330:AO336)</f>
        <v>1695.0000000000045</v>
      </c>
      <c r="AR332" s="17" t="e">
        <f>(E332-W332)/E332</f>
        <v>#VALUE!</v>
      </c>
      <c r="AS332" s="16" t="e">
        <f>(I332-AF332)/I332</f>
        <v>#DIV/0!</v>
      </c>
      <c r="AT332" s="16" t="e">
        <f>AG332/(AD332-AF332)</f>
        <v>#DIV/0!</v>
      </c>
      <c r="AU332" s="16" t="e">
        <f>(G332-AM332)/G332</f>
        <v>#DIV/0!</v>
      </c>
      <c r="AV332" s="57" t="str">
        <f>IF(AND(ISNUMBER(E332),ISNUMBER(W332)),E332-W332,"")</f>
        <v/>
      </c>
      <c r="AW332" s="57" t="str">
        <f>IF(AND(ISNUMBER(I332),ISNUMBER(AF332)),I332-AF332,"")</f>
        <v/>
      </c>
      <c r="AX332" s="57" t="str">
        <f>IF(AND(ISNUMBER(AM332),ISNUMBER(G332)),G332-AM332,"")</f>
        <v/>
      </c>
      <c r="AY332" s="57" t="str">
        <f>IF(AND(ISNUMBER(AC332),ISNUMBER(AE332)),AC332-AE332,"")</f>
        <v/>
      </c>
      <c r="AZ332" s="57" t="str">
        <f>IF(AND(ISNUMBER(AL332),ISNUMBER(AM332)),AL332-AM332,"")</f>
        <v/>
      </c>
      <c r="BA332" s="84" t="str">
        <f>IF(AND($E332&gt;0,$W332&gt;0),IF(($E332-$W332)/$E332&gt;0,($E332-$W332)/$E332,0),"")</f>
        <v/>
      </c>
      <c r="BB332" s="84" t="str">
        <f>IF(AND($I332&gt;0,$AF332&gt;=0),IF(($I332-$AF332)/$I332&gt;0,($I332-$AF332)/$I332,0),"")</f>
        <v/>
      </c>
      <c r="BC332" s="84" t="e">
        <f>IF(AND($AG332&gt;=0,$AD332&gt;=0,$AF332&gt;=0),IF($AG332/($AD332-$AF332)&gt;0,$AG332/($AD332-$AF332),0),"")</f>
        <v>#DIV/0!</v>
      </c>
      <c r="BD332" s="84" t="str">
        <f>IF(AND($G332&gt;0,$AM332&gt;0),IF(($G332-$AM332)/$G332&gt;0,($G332-$AM332)/$G332,0),"")</f>
        <v/>
      </c>
      <c r="BE332" s="6" t="str">
        <f>IF((AD332-AF332)/(AJ332/60)&lt;=0,"",(AD332-AF332)/(AJ332/60))</f>
        <v/>
      </c>
      <c r="BF332" s="6" t="str">
        <f>IF(OR(AJ332=0,AP332=0,NOT(ISNUMBER(AD332)),NOT(ISNUMBER(AF332)),NOT(ISNUMBER(AJ332)),NOT(ISNUMBER(AP332))),"",
IFERROR(IF((AD332-AF332)/(AJ332/60)/(AP332/1000)&lt;=0,"",(AD332-AF332)/(AJ332/60)/(AP332/1000)),""))</f>
        <v/>
      </c>
    </row>
    <row r="333" spans="1:58" ht="15.75">
      <c r="B333" s="94">
        <v>45593</v>
      </c>
      <c r="C333" s="1">
        <v>89</v>
      </c>
      <c r="D333" s="3">
        <v>328</v>
      </c>
      <c r="E333" s="205">
        <f t="shared" si="23"/>
        <v>233.31882000000002</v>
      </c>
      <c r="G333" s="15">
        <f>(N333*18-H333*18)/9</f>
        <v>11.760000000000003</v>
      </c>
      <c r="H333" s="9">
        <v>5.52</v>
      </c>
      <c r="I333" s="15">
        <f>AD333</f>
        <v>24.5</v>
      </c>
      <c r="K333" s="10">
        <f t="shared" si="20"/>
        <v>19.840035714285712</v>
      </c>
      <c r="L333" s="9">
        <f t="shared" si="21"/>
        <v>4.7616085714285719</v>
      </c>
      <c r="M333" s="8">
        <f t="shared" si="22"/>
        <v>4.1666666666666652</v>
      </c>
      <c r="N333" s="7">
        <v>11.4</v>
      </c>
      <c r="O333">
        <v>74.180000000000007</v>
      </c>
      <c r="P333">
        <v>24.774999999999999</v>
      </c>
      <c r="Q333" s="6">
        <f>O333*1.067</f>
        <v>79.150060000000011</v>
      </c>
      <c r="R333" s="6">
        <f>P333*1.514</f>
        <v>37.509349999999998</v>
      </c>
      <c r="S333" s="23">
        <f>P333*1.514+O333*1.067</f>
        <v>116.65941000000001</v>
      </c>
      <c r="T333" s="6">
        <v>21.1</v>
      </c>
      <c r="U333" s="6">
        <v>0</v>
      </c>
      <c r="V333">
        <v>0</v>
      </c>
      <c r="W333" s="23">
        <f>U333*1.067+V333*1.514</f>
        <v>0</v>
      </c>
      <c r="X333" s="6">
        <v>1.39</v>
      </c>
      <c r="AB333" s="5">
        <v>80</v>
      </c>
      <c r="AC333" s="7">
        <f>T333</f>
        <v>21.1</v>
      </c>
      <c r="AD333" s="1">
        <f>5*4.9</f>
        <v>24.5</v>
      </c>
      <c r="AE333" s="1">
        <v>12.1</v>
      </c>
      <c r="AF333" s="1">
        <f>2*4.63</f>
        <v>9.26</v>
      </c>
      <c r="AG333" s="1">
        <v>3.57</v>
      </c>
      <c r="AH333" s="101">
        <v>0.47916666666666669</v>
      </c>
      <c r="AJ333" s="1">
        <v>175</v>
      </c>
      <c r="AK333" s="3">
        <v>180</v>
      </c>
      <c r="AL333" s="4">
        <f>AE333</f>
        <v>12.1</v>
      </c>
      <c r="AM333" s="1">
        <f>9.18</f>
        <v>9.18</v>
      </c>
      <c r="AN333" s="80">
        <f>360-AK333-AB333</f>
        <v>100</v>
      </c>
      <c r="AP333" s="13">
        <f>AVERAGE(AO331:AO337)</f>
        <v>1693.3333333333546</v>
      </c>
      <c r="AR333" s="17">
        <f>(E333-W333)/E333</f>
        <v>1</v>
      </c>
      <c r="AS333" s="16">
        <f>(I333-AF333)/I333</f>
        <v>0.62204081632653063</v>
      </c>
      <c r="AT333" s="16">
        <f>AG333/(AD333-AF333)</f>
        <v>0.23425196850393698</v>
      </c>
      <c r="AU333" s="16">
        <f>(G333-AM333)/G333</f>
        <v>0.21938775510204106</v>
      </c>
      <c r="AV333" s="57">
        <f>IF(AND(ISNUMBER(E333),ISNUMBER(W333)),E333-W333,"")</f>
        <v>233.31882000000002</v>
      </c>
      <c r="AW333" s="57">
        <f>IF(AND(ISNUMBER(I333),ISNUMBER(AF333)),I333-AF333,"")</f>
        <v>15.24</v>
      </c>
      <c r="AX333" s="57">
        <f>IF(AND(ISNUMBER(AM333),ISNUMBER(G333)),G333-AM333,"")</f>
        <v>2.5800000000000036</v>
      </c>
      <c r="AY333" s="57">
        <f>IF(AND(ISNUMBER(AC333),ISNUMBER(AE333)),AC333-AE333,"")</f>
        <v>9.0000000000000018</v>
      </c>
      <c r="AZ333" s="57">
        <f>IF(AND(ISNUMBER(AL333),ISNUMBER(AM333)),AL333-AM333,"")</f>
        <v>2.92</v>
      </c>
      <c r="BA333" s="60" t="str">
        <f>IF(AND($E333&gt;0,$W333&gt;0),IF(($E333-$W333)/$E333&gt;0,($E333-$W333)/$E333,0),"")</f>
        <v/>
      </c>
      <c r="BB333" s="60">
        <f>IF(AND($I333&gt;0,$AF333&gt;=0),IF(($I333-$AF333)/$I333&gt;0,($I333-$AF333)/$I333,0),"")</f>
        <v>0.62204081632653063</v>
      </c>
      <c r="BC333" s="60">
        <f>IF(AND($AG333&gt;=0,$AD333&gt;=0,$AF333&gt;=0),IF($AG333/($AD333-$AF333)&gt;0,$AG333/($AD333-$AF333),0),"")</f>
        <v>0.23425196850393698</v>
      </c>
      <c r="BD333" s="60">
        <f>IF(AND($G333&gt;0,$AM333&gt;0),IF(($G333-$AM333)/$G333&gt;0,($G333-$AM333)/$G333,0),"")</f>
        <v>0.21938775510204106</v>
      </c>
      <c r="BE333" s="6">
        <f>IF((AD333-AF333)/(AJ333/60)&lt;=0,"",(AD333-AF333)/(AJ333/60))</f>
        <v>5.2251428571428571</v>
      </c>
      <c r="BF333" s="6">
        <f>IF(OR(AJ333=0,AP333=0,NOT(ISNUMBER(AD333)),NOT(ISNUMBER(AF333)),NOT(ISNUMBER(AJ333)),NOT(ISNUMBER(AP333))),"",
IFERROR(IF((AD333-AF333)/(AJ333/60)/(AP333/1000)&lt;=0,"",(AD333-AF333)/(AJ333/60)/(AP333/1000)),""))</f>
        <v>3.0857142857142468</v>
      </c>
    </row>
    <row r="334" spans="1:58" ht="15.75">
      <c r="B334" s="94">
        <v>45594</v>
      </c>
      <c r="C334" s="1">
        <v>90</v>
      </c>
      <c r="D334" s="3">
        <v>329</v>
      </c>
      <c r="E334" s="205" t="str">
        <f t="shared" si="23"/>
        <v/>
      </c>
      <c r="I334" s="41">
        <v>22</v>
      </c>
      <c r="K334" s="10" t="str">
        <f t="shared" si="20"/>
        <v/>
      </c>
      <c r="L334" s="9" t="str">
        <f t="shared" si="21"/>
        <v/>
      </c>
      <c r="M334" s="8" t="str">
        <f t="shared" si="22"/>
        <v/>
      </c>
      <c r="X334" s="6">
        <v>0.18</v>
      </c>
      <c r="AB334" s="5">
        <v>80</v>
      </c>
      <c r="AG334" s="1">
        <v>0.04</v>
      </c>
      <c r="AH334" s="101">
        <v>0.39432870370370371</v>
      </c>
      <c r="AJ334" s="1">
        <v>175</v>
      </c>
      <c r="AK334" s="3">
        <v>180</v>
      </c>
      <c r="AN334" s="80">
        <f>360-AK334-AB334</f>
        <v>100</v>
      </c>
      <c r="AO334" s="2">
        <v>1850.0000000000455</v>
      </c>
      <c r="AP334" s="13">
        <f>AVERAGE(AO332:AO338)</f>
        <v>1693.3333333333546</v>
      </c>
      <c r="AR334" s="17" t="e">
        <f>(E334-W334)/E334</f>
        <v>#VALUE!</v>
      </c>
      <c r="AS334" s="16">
        <f>(I334-AF334)/I334</f>
        <v>1</v>
      </c>
      <c r="AT334" s="16" t="e">
        <f>AG334/(AD334-AF334)</f>
        <v>#DIV/0!</v>
      </c>
      <c r="AU334" s="16" t="e">
        <f>(G334-AM334)/G334</f>
        <v>#DIV/0!</v>
      </c>
      <c r="AV334" s="57" t="str">
        <f>IF(AND(ISNUMBER(E334),ISNUMBER(W334)),E334-W334,"")</f>
        <v/>
      </c>
      <c r="AW334" s="57" t="str">
        <f>IF(AND(ISNUMBER(I334),ISNUMBER(AF334)),I334-AF334,"")</f>
        <v/>
      </c>
      <c r="AX334" s="57" t="str">
        <f>IF(AND(ISNUMBER(AM334),ISNUMBER(G334)),G334-AM334,"")</f>
        <v/>
      </c>
      <c r="AY334" s="57" t="str">
        <f>IF(AND(ISNUMBER(AC334),ISNUMBER(AE334)),AC334-AE334,"")</f>
        <v/>
      </c>
      <c r="AZ334" s="57" t="str">
        <f>IF(AND(ISNUMBER(AL334),ISNUMBER(AM334)),AL334-AM334,"")</f>
        <v/>
      </c>
      <c r="BA334" s="60" t="str">
        <f>IF(AND($E334&gt;0,$W334&gt;0),IF(($E334-$W334)/$E334&gt;0,($E334-$W334)/$E334,0),"")</f>
        <v/>
      </c>
      <c r="BB334" s="60">
        <f>IF(AND($I334&gt;0,$AF334&gt;=0),IF(($I334-$AF334)/$I334&gt;0,($I334-$AF334)/$I334,0),"")</f>
        <v>1</v>
      </c>
      <c r="BC334" s="60"/>
      <c r="BD334" s="60" t="str">
        <f>IF(AND($G334&gt;0,$AM334&gt;0),IF(($G334-$AM334)/$G334&gt;0,($G334-$AM334)/$G334,0),"")</f>
        <v/>
      </c>
      <c r="BE334" s="6" t="str">
        <f>IF((AD334-AF334)/(AJ334/60)&lt;=0,"",(AD334-AF334)/(AJ334/60))</f>
        <v/>
      </c>
      <c r="BF334" s="6" t="str">
        <f>IF(OR(AJ334=0,AP334=0,NOT(ISNUMBER(AD334)),NOT(ISNUMBER(AF334)),NOT(ISNUMBER(AJ334)),NOT(ISNUMBER(AP334))),"",
IFERROR(IF((AD334-AF334)/(AJ334/60)/(AP334/1000)&lt;=0,"",(AD334-AF334)/(AJ334/60)/(AP334/1000)),""))</f>
        <v/>
      </c>
    </row>
    <row r="335" spans="1:58" ht="15.75">
      <c r="B335" s="94">
        <v>45595</v>
      </c>
      <c r="C335" s="1">
        <v>91</v>
      </c>
      <c r="D335" s="3">
        <v>330</v>
      </c>
      <c r="E335" s="205" t="str">
        <f t="shared" si="23"/>
        <v/>
      </c>
      <c r="G335" s="9">
        <f>61/78*14</f>
        <v>10.948717948717949</v>
      </c>
      <c r="I335" s="15">
        <f>AD335</f>
        <v>19.8</v>
      </c>
      <c r="K335" s="10" t="str">
        <f t="shared" si="20"/>
        <v/>
      </c>
      <c r="L335" s="9" t="str">
        <f t="shared" si="21"/>
        <v/>
      </c>
      <c r="M335" s="8">
        <f t="shared" si="22"/>
        <v>3.6168618266978925</v>
      </c>
      <c r="T335" s="6">
        <v>17.7</v>
      </c>
      <c r="X335" s="6">
        <v>0.82</v>
      </c>
      <c r="AB335" s="5">
        <v>80</v>
      </c>
      <c r="AC335" s="7">
        <f>T335</f>
        <v>17.7</v>
      </c>
      <c r="AD335" s="1">
        <f>5*3.96</f>
        <v>19.8</v>
      </c>
      <c r="AE335" s="1">
        <v>6.83</v>
      </c>
      <c r="AF335" s="1">
        <f>2*2.38</f>
        <v>4.76</v>
      </c>
      <c r="AG335" s="1">
        <v>2.42</v>
      </c>
      <c r="AH335" s="101">
        <v>0.4753472222222222</v>
      </c>
      <c r="AJ335" s="1">
        <v>175</v>
      </c>
      <c r="AK335" s="3">
        <v>180</v>
      </c>
      <c r="AL335" s="4">
        <f>AE335</f>
        <v>6.83</v>
      </c>
      <c r="AM335" s="1">
        <f>3.4</f>
        <v>3.4</v>
      </c>
      <c r="AN335" s="80">
        <f>360-AK335-AB335</f>
        <v>100</v>
      </c>
      <c r="AP335" s="13">
        <f>AVERAGE(AO333:AO339)</f>
        <v>1693.3333333333546</v>
      </c>
      <c r="AR335" s="17" t="e">
        <f>(E335-W335)/E335</f>
        <v>#VALUE!</v>
      </c>
      <c r="AS335" s="16">
        <f>(I335-AF335)/I335</f>
        <v>0.7595959595959596</v>
      </c>
      <c r="AT335" s="16">
        <f>AG335/(AD335-AF335)</f>
        <v>0.16090425531914893</v>
      </c>
      <c r="AU335" s="16">
        <f>(G335-AM335)/G335</f>
        <v>0.68946135831381727</v>
      </c>
      <c r="AV335" s="57" t="str">
        <f>IF(AND(ISNUMBER(E335),ISNUMBER(W335)),E335-W335,"")</f>
        <v/>
      </c>
      <c r="AW335" s="57">
        <f>IF(AND(ISNUMBER(I335),ISNUMBER(AF335)),I335-AF335,"")</f>
        <v>15.040000000000001</v>
      </c>
      <c r="AX335" s="57">
        <f>IF(AND(ISNUMBER(AM335),ISNUMBER(G335)),G335-AM335,"")</f>
        <v>7.5487179487179485</v>
      </c>
      <c r="AY335" s="57">
        <f>IF(AND(ISNUMBER(AC335),ISNUMBER(AE335)),AC335-AE335,"")</f>
        <v>10.87</v>
      </c>
      <c r="AZ335" s="57">
        <f>IF(AND(ISNUMBER(AL335),ISNUMBER(AM335)),AL335-AM335,"")</f>
        <v>3.43</v>
      </c>
      <c r="BA335" s="60" t="str">
        <f>IF(AND($E335&gt;0,$W335&gt;0),IF(($E335-$W335)/$E335&gt;0,($E335-$W335)/$E335,0),"")</f>
        <v/>
      </c>
      <c r="BB335" s="60">
        <f>IF(AND($I335&gt;0,$AF335&gt;=0),IF(($I335-$AF335)/$I335&gt;0,($I335-$AF335)/$I335,0),"")</f>
        <v>0.7595959595959596</v>
      </c>
      <c r="BC335" s="60">
        <f>IF(AND($AG335&gt;=0,$AD335&gt;=0,$AF335&gt;=0),IF($AG335/($AD335-$AF335)&gt;0,$AG335/($AD335-$AF335),0),"")</f>
        <v>0.16090425531914893</v>
      </c>
      <c r="BD335" s="60">
        <f>IF(AND($G335&gt;0,$AM335&gt;0),IF(($G335-$AM335)/$G335&gt;0,($G335-$AM335)/$G335,0),"")</f>
        <v>0.68946135831381727</v>
      </c>
      <c r="BE335" s="6">
        <f>IF((AD335-AF335)/(AJ335/60)&lt;=0,"",(AD335-AF335)/(AJ335/60))</f>
        <v>5.1565714285714295</v>
      </c>
      <c r="BF335" s="6">
        <f>IF(OR(AJ335=0,AP335=0,NOT(ISNUMBER(AD335)),NOT(ISNUMBER(AF335)),NOT(ISNUMBER(AJ335)),NOT(ISNUMBER(AP335))),"",
IFERROR(IF((AD335-AF335)/(AJ335/60)/(AP335/1000)&lt;=0,"",(AD335-AF335)/(AJ335/60)/(AP335/1000)),""))</f>
        <v>3.0452193475815146</v>
      </c>
    </row>
    <row r="336" spans="1:58" ht="15.75">
      <c r="A336" s="12" t="s">
        <v>96</v>
      </c>
      <c r="B336" s="94">
        <v>45596</v>
      </c>
      <c r="C336" s="1">
        <v>92</v>
      </c>
      <c r="D336" s="3">
        <v>331</v>
      </c>
      <c r="E336" s="205" t="str">
        <f t="shared" si="23"/>
        <v/>
      </c>
      <c r="K336" s="10" t="str">
        <f t="shared" si="20"/>
        <v/>
      </c>
      <c r="L336" s="9" t="str">
        <f t="shared" si="21"/>
        <v/>
      </c>
      <c r="M336" s="8" t="str">
        <f t="shared" si="22"/>
        <v/>
      </c>
      <c r="X336" s="6">
        <v>0.65</v>
      </c>
      <c r="AB336" s="5">
        <v>80</v>
      </c>
      <c r="AG336" s="1">
        <v>3.03</v>
      </c>
      <c r="AH336" s="101">
        <v>0.47870370370370369</v>
      </c>
      <c r="AJ336" s="1">
        <v>175</v>
      </c>
      <c r="AK336" s="3">
        <v>180</v>
      </c>
      <c r="AN336" s="80">
        <f>360-AK336-AB336</f>
        <v>100</v>
      </c>
      <c r="AO336" s="2">
        <v>1539.9999999999636</v>
      </c>
      <c r="AP336" s="13">
        <f>AVERAGE(AO334:AO340)</f>
        <v>1820.0000000000159</v>
      </c>
      <c r="AR336" s="17" t="e">
        <f>(E336-W336)/E336</f>
        <v>#VALUE!</v>
      </c>
      <c r="AS336" s="16" t="e">
        <f>(I336-AF336)/I336</f>
        <v>#DIV/0!</v>
      </c>
      <c r="AT336" s="16" t="e">
        <f>AG336/(AD336-AF336)</f>
        <v>#DIV/0!</v>
      </c>
      <c r="AU336" s="16" t="e">
        <f>(G336-AM336)/G336</f>
        <v>#DIV/0!</v>
      </c>
      <c r="AV336" s="57" t="str">
        <f>IF(AND(ISNUMBER(E336),ISNUMBER(W336)),E336-W336,"")</f>
        <v/>
      </c>
      <c r="AW336" s="57" t="str">
        <f>IF(AND(ISNUMBER(I336),ISNUMBER(AF336)),I336-AF336,"")</f>
        <v/>
      </c>
      <c r="AX336" s="57" t="str">
        <f>IF(AND(ISNUMBER(AM336),ISNUMBER(G336)),G336-AM336,"")</f>
        <v/>
      </c>
      <c r="AY336" s="57" t="str">
        <f>IF(AND(ISNUMBER(AC336),ISNUMBER(AE336)),AC336-AE336,"")</f>
        <v/>
      </c>
      <c r="AZ336" s="57" t="str">
        <f>IF(AND(ISNUMBER(AL336),ISNUMBER(AM336)),AL336-AM336,"")</f>
        <v/>
      </c>
      <c r="BA336" s="60" t="str">
        <f>IF(AND($E336&gt;0,$W336&gt;0),IF(($E336-$W336)/$E336&gt;0,($E336-$W336)/$E336,0),"")</f>
        <v/>
      </c>
      <c r="BB336" s="60" t="str">
        <f>IF(AND($I336&gt;0,$AF336&gt;=0),IF(($I336-$AF336)/$I336&gt;0,($I336-$AF336)/$I336,0),"")</f>
        <v/>
      </c>
      <c r="BC336" s="60"/>
      <c r="BD336" s="60" t="str">
        <f>IF(AND($G336&gt;0,$AM336&gt;0),IF(($G336-$AM336)/$G336&gt;0,($G336-$AM336)/$G336,0),"")</f>
        <v/>
      </c>
      <c r="BE336" s="6" t="str">
        <f>IF((AD336-AF336)/(AJ336/60)&lt;=0,"",(AD336-AF336)/(AJ336/60))</f>
        <v/>
      </c>
      <c r="BF336" s="6" t="str">
        <f>IF(OR(AJ336=0,AP336=0,NOT(ISNUMBER(AD336)),NOT(ISNUMBER(AF336)),NOT(ISNUMBER(AJ336)),NOT(ISNUMBER(AP336))),"",
IFERROR(IF((AD336-AF336)/(AJ336/60)/(AP336/1000)&lt;=0,"",(AD336-AF336)/(AJ336/60)/(AP336/1000)),""))</f>
        <v/>
      </c>
    </row>
    <row r="337" spans="1:58" ht="15.75">
      <c r="A337" s="12" t="s">
        <v>96</v>
      </c>
      <c r="B337" s="94">
        <v>45597</v>
      </c>
      <c r="C337" s="1">
        <v>93</v>
      </c>
      <c r="D337" s="3">
        <v>332</v>
      </c>
      <c r="E337" s="205" t="str">
        <f t="shared" si="23"/>
        <v/>
      </c>
      <c r="K337" s="10" t="str">
        <f t="shared" si="20"/>
        <v/>
      </c>
      <c r="L337" s="9" t="str">
        <f t="shared" si="21"/>
        <v/>
      </c>
      <c r="M337" s="8" t="str">
        <f t="shared" si="22"/>
        <v/>
      </c>
      <c r="X337" s="6">
        <v>1.4</v>
      </c>
      <c r="AB337" s="5">
        <v>80</v>
      </c>
      <c r="AG337" s="1">
        <v>4.46</v>
      </c>
      <c r="AH337" s="101">
        <v>0.47905092592592591</v>
      </c>
      <c r="AJ337" s="1">
        <v>175</v>
      </c>
      <c r="AK337" s="3">
        <v>180</v>
      </c>
      <c r="AN337" s="80">
        <f>360-AK337-AB337</f>
        <v>100</v>
      </c>
      <c r="AO337" s="2">
        <v>1690.0000000000546</v>
      </c>
      <c r="AP337" s="13">
        <f>AVERAGE(AO335:AO341)</f>
        <v>1927.4999999999977</v>
      </c>
      <c r="AR337" s="17" t="e">
        <f>(E337-W337)/E337</f>
        <v>#VALUE!</v>
      </c>
      <c r="AS337" s="16" t="e">
        <f>(I337-AF337)/I337</f>
        <v>#DIV/0!</v>
      </c>
      <c r="AT337" s="16" t="e">
        <f>AG337/(AD337-AF337)</f>
        <v>#DIV/0!</v>
      </c>
      <c r="AU337" s="16" t="e">
        <f>(G337-AM337)/G337</f>
        <v>#DIV/0!</v>
      </c>
      <c r="AV337" s="57" t="str">
        <f>IF(AND(ISNUMBER(E337),ISNUMBER(W337)),E337-W337,"")</f>
        <v/>
      </c>
      <c r="AW337" s="57" t="str">
        <f>IF(AND(ISNUMBER(I337),ISNUMBER(AF337)),I337-AF337,"")</f>
        <v/>
      </c>
      <c r="AX337" s="57" t="str">
        <f>IF(AND(ISNUMBER(AM337),ISNUMBER(G337)),G337-AM337,"")</f>
        <v/>
      </c>
      <c r="AY337" s="57" t="str">
        <f>IF(AND(ISNUMBER(AC337),ISNUMBER(AE337)),AC337-AE337,"")</f>
        <v/>
      </c>
      <c r="AZ337" s="57" t="str">
        <f>IF(AND(ISNUMBER(AL337),ISNUMBER(AM337)),AL337-AM337,"")</f>
        <v/>
      </c>
      <c r="BA337" s="60" t="str">
        <f>IF(AND($E337&gt;0,$W337&gt;0),IF(($E337-$W337)/$E337&gt;0,($E337-$W337)/$E337,0),"")</f>
        <v/>
      </c>
      <c r="BB337" s="60" t="str">
        <f>IF(AND($I337&gt;0,$AF337&gt;=0),IF(($I337-$AF337)/$I337&gt;0,($I337-$AF337)/$I337,0),"")</f>
        <v/>
      </c>
      <c r="BC337" s="60"/>
      <c r="BD337" s="60" t="str">
        <f>IF(AND($G337&gt;0,$AM337&gt;0),IF(($G337-$AM337)/$G337&gt;0,($G337-$AM337)/$G337,0),"")</f>
        <v/>
      </c>
      <c r="BE337" s="6" t="str">
        <f>IF((AD337-AF337)/(AJ337/60)&lt;=0,"",(AD337-AF337)/(AJ337/60))</f>
        <v/>
      </c>
      <c r="BF337" s="6" t="str">
        <f>IF(OR(AJ337=0,AP337=0,NOT(ISNUMBER(AD337)),NOT(ISNUMBER(AF337)),NOT(ISNUMBER(AJ337)),NOT(ISNUMBER(AP337))),"",
IFERROR(IF((AD337-AF337)/(AJ337/60)/(AP337/1000)&lt;=0,"",(AD337-AF337)/(AJ337/60)/(AP337/1000)),""))</f>
        <v/>
      </c>
    </row>
    <row r="338" spans="1:58" ht="15.75">
      <c r="B338" s="94">
        <v>45598</v>
      </c>
      <c r="C338" s="1">
        <v>94</v>
      </c>
      <c r="D338" s="3">
        <v>333</v>
      </c>
      <c r="E338" s="205" t="str">
        <f t="shared" si="23"/>
        <v/>
      </c>
      <c r="K338" s="10" t="str">
        <f t="shared" si="20"/>
        <v/>
      </c>
      <c r="L338" s="9" t="str">
        <f t="shared" si="21"/>
        <v/>
      </c>
      <c r="M338" s="8" t="str">
        <f t="shared" si="22"/>
        <v/>
      </c>
      <c r="X338" s="6">
        <v>0.18</v>
      </c>
      <c r="AB338" s="5">
        <v>80</v>
      </c>
      <c r="AG338" s="1">
        <v>4.12</v>
      </c>
      <c r="AH338" s="101">
        <v>0.47766203703703702</v>
      </c>
      <c r="AJ338" s="1">
        <v>175</v>
      </c>
      <c r="AK338" s="3">
        <v>180</v>
      </c>
      <c r="AN338" s="80">
        <f>360-AK338-AB338</f>
        <v>100</v>
      </c>
      <c r="AP338" s="13">
        <f>AVERAGE(AO336:AO342)</f>
        <v>1927.4999999999977</v>
      </c>
      <c r="AR338" s="17" t="e">
        <f>(E338-W338)/E338</f>
        <v>#VALUE!</v>
      </c>
      <c r="AS338" s="16" t="e">
        <f>(I338-AF338)/I338</f>
        <v>#DIV/0!</v>
      </c>
      <c r="AT338" s="16" t="e">
        <f>AG338/(AD338-AF338)</f>
        <v>#DIV/0!</v>
      </c>
      <c r="AU338" s="16" t="e">
        <f>(G338-AM338)/G338</f>
        <v>#DIV/0!</v>
      </c>
      <c r="AV338" s="57" t="str">
        <f>IF(AND(ISNUMBER(E338),ISNUMBER(W338)),E338-W338,"")</f>
        <v/>
      </c>
      <c r="AW338" s="57" t="str">
        <f>IF(AND(ISNUMBER(I338),ISNUMBER(AF338)),I338-AF338,"")</f>
        <v/>
      </c>
      <c r="AX338" s="57" t="str">
        <f>IF(AND(ISNUMBER(AM338),ISNUMBER(G338)),G338-AM338,"")</f>
        <v/>
      </c>
      <c r="AY338" s="57" t="str">
        <f>IF(AND(ISNUMBER(AC338),ISNUMBER(AE338)),AC338-AE338,"")</f>
        <v/>
      </c>
      <c r="AZ338" s="57" t="str">
        <f>IF(AND(ISNUMBER(AL338),ISNUMBER(AM338)),AL338-AM338,"")</f>
        <v/>
      </c>
      <c r="BA338" s="60" t="str">
        <f>IF(AND($E338&gt;0,$W338&gt;0),IF(($E338-$W338)/$E338&gt;0,($E338-$W338)/$E338,0),"")</f>
        <v/>
      </c>
      <c r="BB338" s="60" t="str">
        <f>IF(AND($I338&gt;0,$AF338&gt;=0),IF(($I338-$AF338)/$I338&gt;0,($I338-$AF338)/$I338,0),"")</f>
        <v/>
      </c>
      <c r="BC338" s="60"/>
      <c r="BD338" s="60" t="str">
        <f>IF(AND($G338&gt;0,$AM338&gt;0),IF(($G338-$AM338)/$G338&gt;0,($G338-$AM338)/$G338,0),"")</f>
        <v/>
      </c>
      <c r="BE338" s="6" t="str">
        <f>IF((AD338-AF338)/(AJ338/60)&lt;=0,"",(AD338-AF338)/(AJ338/60))</f>
        <v/>
      </c>
      <c r="BF338" s="6" t="str">
        <f>IF(OR(AJ338=0,AP338=0,NOT(ISNUMBER(AD338)),NOT(ISNUMBER(AF338)),NOT(ISNUMBER(AJ338)),NOT(ISNUMBER(AP338))),"",
IFERROR(IF((AD338-AF338)/(AJ338/60)/(AP338/1000)&lt;=0,"",(AD338-AF338)/(AJ338/60)/(AP338/1000)),""))</f>
        <v/>
      </c>
    </row>
    <row r="339" spans="1:58" ht="15.75">
      <c r="B339" s="94">
        <v>45599</v>
      </c>
      <c r="C339" s="1">
        <v>95</v>
      </c>
      <c r="D339" s="3">
        <v>334</v>
      </c>
      <c r="E339" s="205" t="str">
        <f t="shared" si="23"/>
        <v/>
      </c>
      <c r="K339" s="10" t="str">
        <f t="shared" si="20"/>
        <v/>
      </c>
      <c r="L339" s="9" t="str">
        <f t="shared" si="21"/>
        <v/>
      </c>
      <c r="M339" s="8" t="str">
        <f t="shared" si="22"/>
        <v/>
      </c>
      <c r="X339" s="6">
        <v>0.17</v>
      </c>
      <c r="AB339" s="5">
        <v>80</v>
      </c>
      <c r="AG339" s="1">
        <v>4.43</v>
      </c>
      <c r="AH339" s="101">
        <v>0.46238425925925924</v>
      </c>
      <c r="AJ339" s="1">
        <v>175</v>
      </c>
      <c r="AK339" s="3">
        <v>180</v>
      </c>
      <c r="AN339" s="80">
        <f>360-AK339-AB339</f>
        <v>100</v>
      </c>
      <c r="AP339" s="13">
        <f>AVERAGE(AO337:AO343)</f>
        <v>2120.0000000000045</v>
      </c>
      <c r="AR339" s="17" t="e">
        <f>(E339-W339)/E339</f>
        <v>#VALUE!</v>
      </c>
      <c r="AS339" s="16" t="e">
        <f>(I339-AF339)/I339</f>
        <v>#DIV/0!</v>
      </c>
      <c r="AT339" s="16" t="e">
        <f>AG339/(AD339-AF339)</f>
        <v>#DIV/0!</v>
      </c>
      <c r="AU339" s="16" t="e">
        <f>(G339-AM339)/G339</f>
        <v>#DIV/0!</v>
      </c>
      <c r="AV339" s="57" t="str">
        <f>IF(AND(ISNUMBER(E339),ISNUMBER(W339)),E339-W339,"")</f>
        <v/>
      </c>
      <c r="AW339" s="57" t="str">
        <f>IF(AND(ISNUMBER(I339),ISNUMBER(AF339)),I339-AF339,"")</f>
        <v/>
      </c>
      <c r="AX339" s="57" t="str">
        <f>IF(AND(ISNUMBER(AM339),ISNUMBER(G339)),G339-AM339,"")</f>
        <v/>
      </c>
      <c r="AY339" s="57" t="str">
        <f>IF(AND(ISNUMBER(AC339),ISNUMBER(AE339)),AC339-AE339,"")</f>
        <v/>
      </c>
      <c r="AZ339" s="57" t="str">
        <f>IF(AND(ISNUMBER(AL339),ISNUMBER(AM339)),AL339-AM339,"")</f>
        <v/>
      </c>
      <c r="BA339" s="60" t="str">
        <f>IF(AND($E339&gt;0,$W339&gt;0),IF(($E339-$W339)/$E339&gt;0,($E339-$W339)/$E339,0),"")</f>
        <v/>
      </c>
      <c r="BB339" s="60" t="str">
        <f>IF(AND($I339&gt;0,$AF339&gt;=0),IF(($I339-$AF339)/$I339&gt;0,($I339-$AF339)/$I339,0),"")</f>
        <v/>
      </c>
      <c r="BC339" s="60"/>
      <c r="BD339" s="60" t="str">
        <f>IF(AND($G339&gt;0,$AM339&gt;0),IF(($G339-$AM339)/$G339&gt;0,($G339-$AM339)/$G339,0),"")</f>
        <v/>
      </c>
      <c r="BE339" s="6" t="str">
        <f>IF((AD339-AF339)/(AJ339/60)&lt;=0,"",(AD339-AF339)/(AJ339/60))</f>
        <v/>
      </c>
      <c r="BF339" s="6" t="str">
        <f>IF(OR(AJ339=0,AP339=0,NOT(ISNUMBER(AD339)),NOT(ISNUMBER(AF339)),NOT(ISNUMBER(AJ339)),NOT(ISNUMBER(AP339))),"",
IFERROR(IF((AD339-AF339)/(AJ339/60)/(AP339/1000)&lt;=0,"",(AD339-AF339)/(AJ339/60)/(AP339/1000)),""))</f>
        <v/>
      </c>
    </row>
    <row r="340" spans="1:58" ht="15.75">
      <c r="A340" s="12" t="s">
        <v>96</v>
      </c>
      <c r="B340" s="94">
        <v>45600</v>
      </c>
      <c r="C340" s="1">
        <v>96</v>
      </c>
      <c r="D340" s="3">
        <v>335</v>
      </c>
      <c r="E340" s="205" t="str">
        <f t="shared" si="23"/>
        <v/>
      </c>
      <c r="K340" s="10" t="str">
        <f t="shared" si="20"/>
        <v/>
      </c>
      <c r="L340" s="9" t="str">
        <f t="shared" si="21"/>
        <v/>
      </c>
      <c r="M340" s="8" t="str">
        <f t="shared" si="22"/>
        <v/>
      </c>
      <c r="X340" s="6">
        <v>0.38</v>
      </c>
      <c r="AB340" s="5">
        <v>80</v>
      </c>
      <c r="AG340" s="1">
        <v>4.34</v>
      </c>
      <c r="AH340" s="101">
        <v>0.52060185185185182</v>
      </c>
      <c r="AJ340" s="1">
        <v>175</v>
      </c>
      <c r="AK340" s="3">
        <v>180</v>
      </c>
      <c r="AN340" s="80">
        <f>360-AK340-AB340</f>
        <v>100</v>
      </c>
      <c r="AO340" s="2">
        <v>2200</v>
      </c>
      <c r="AP340" s="13">
        <f>AVERAGE(AO338:AO344)</f>
        <v>2263.3333333333212</v>
      </c>
      <c r="AQ340" s="2">
        <v>38.596491228069866</v>
      </c>
      <c r="AR340" s="17" t="e">
        <f>(E340-W340)/E340</f>
        <v>#VALUE!</v>
      </c>
      <c r="AS340" s="16" t="e">
        <f>(I340-AF340)/I340</f>
        <v>#DIV/0!</v>
      </c>
      <c r="AT340" s="16" t="e">
        <f>AG340/(AD340-AF340)</f>
        <v>#DIV/0!</v>
      </c>
      <c r="AU340" s="16" t="e">
        <f>(G340-AM340)/G340</f>
        <v>#DIV/0!</v>
      </c>
      <c r="AV340" s="57" t="str">
        <f>IF(AND(ISNUMBER(E340),ISNUMBER(W340)),E340-W340,"")</f>
        <v/>
      </c>
      <c r="AW340" s="57" t="str">
        <f>IF(AND(ISNUMBER(I340),ISNUMBER(AF340)),I340-AF340,"")</f>
        <v/>
      </c>
      <c r="AX340" s="57" t="str">
        <f>IF(AND(ISNUMBER(AM340),ISNUMBER(G340)),G340-AM340,"")</f>
        <v/>
      </c>
      <c r="AY340" s="57" t="str">
        <f>IF(AND(ISNUMBER(AC340),ISNUMBER(AE340)),AC340-AE340,"")</f>
        <v/>
      </c>
      <c r="AZ340" s="57" t="str">
        <f>IF(AND(ISNUMBER(AL340),ISNUMBER(AM340)),AL340-AM340,"")</f>
        <v/>
      </c>
      <c r="BA340" s="60" t="str">
        <f>IF(AND($E340&gt;0,$W340&gt;0),IF(($E340-$W340)/$E340&gt;0,($E340-$W340)/$E340,0),"")</f>
        <v/>
      </c>
      <c r="BB340" s="60" t="str">
        <f>IF(AND($I340&gt;0,$AF340&gt;=0),IF(($I340-$AF340)/$I340&gt;0,($I340-$AF340)/$I340,0),"")</f>
        <v/>
      </c>
      <c r="BC340" s="60"/>
      <c r="BD340" s="60" t="str">
        <f>IF(AND($G340&gt;0,$AM340&gt;0),IF(($G340-$AM340)/$G340&gt;0,($G340-$AM340)/$G340,0),"")</f>
        <v/>
      </c>
      <c r="BE340" s="6" t="str">
        <f>IF((AD340-AF340)/(AJ340/60)&lt;=0,"",(AD340-AF340)/(AJ340/60))</f>
        <v/>
      </c>
      <c r="BF340" s="6" t="str">
        <f>IF(OR(AJ340=0,AP340=0,NOT(ISNUMBER(AD340)),NOT(ISNUMBER(AF340)),NOT(ISNUMBER(AJ340)),NOT(ISNUMBER(AP340))),"",
IFERROR(IF((AD340-AF340)/(AJ340/60)/(AP340/1000)&lt;=0,"",(AD340-AF340)/(AJ340/60)/(AP340/1000)),""))</f>
        <v/>
      </c>
    </row>
    <row r="341" spans="1:58" ht="15.75">
      <c r="A341" s="12" t="s">
        <v>3</v>
      </c>
      <c r="B341" s="94">
        <v>45601</v>
      </c>
      <c r="C341" s="1">
        <v>97</v>
      </c>
      <c r="D341" s="3">
        <v>336</v>
      </c>
      <c r="E341" s="205" t="str">
        <f t="shared" si="23"/>
        <v/>
      </c>
      <c r="K341" s="10" t="str">
        <f t="shared" si="20"/>
        <v/>
      </c>
      <c r="L341" s="9" t="str">
        <f t="shared" si="21"/>
        <v/>
      </c>
      <c r="M341" s="8" t="str">
        <f t="shared" si="22"/>
        <v/>
      </c>
      <c r="X341" s="6">
        <v>0.46</v>
      </c>
      <c r="AB341" s="5">
        <v>80</v>
      </c>
      <c r="AJ341" s="1">
        <v>175</v>
      </c>
      <c r="AK341" s="3">
        <v>180</v>
      </c>
      <c r="AN341" s="80">
        <f>360-AK341-AB341</f>
        <v>100</v>
      </c>
      <c r="AO341" s="2">
        <v>2279.9999999999727</v>
      </c>
      <c r="AP341" s="13">
        <f>AVERAGE(AO339:AO345)</f>
        <v>2263.3333333333212</v>
      </c>
      <c r="AQ341" s="2">
        <v>39.999999999999517</v>
      </c>
      <c r="AR341" s="17" t="e">
        <f>(E341-W341)/E341</f>
        <v>#VALUE!</v>
      </c>
      <c r="AS341" s="16" t="e">
        <f>(I341-AF341)/I341</f>
        <v>#DIV/0!</v>
      </c>
      <c r="AT341" s="16" t="e">
        <f>AG341/(AD341-AF341)</f>
        <v>#DIV/0!</v>
      </c>
      <c r="AU341" s="16" t="e">
        <f>(G341-AM341)/G341</f>
        <v>#DIV/0!</v>
      </c>
      <c r="AV341" s="57" t="str">
        <f>IF(AND(ISNUMBER(E341),ISNUMBER(W341)),E341-W341,"")</f>
        <v/>
      </c>
      <c r="AW341" s="57" t="str">
        <f>IF(AND(ISNUMBER(I341),ISNUMBER(AF341)),I341-AF341,"")</f>
        <v/>
      </c>
      <c r="AX341" s="57" t="str">
        <f>IF(AND(ISNUMBER(AM341),ISNUMBER(G341)),G341-AM341,"")</f>
        <v/>
      </c>
      <c r="AY341" s="57" t="str">
        <f>IF(AND(ISNUMBER(AC341),ISNUMBER(AE341)),AC341-AE341,"")</f>
        <v/>
      </c>
      <c r="AZ341" s="57" t="str">
        <f>IF(AND(ISNUMBER(AL341),ISNUMBER(AM341)),AL341-AM341,"")</f>
        <v/>
      </c>
      <c r="BA341" s="60" t="str">
        <f>IF(AND($E341&gt;0,$W341&gt;0),IF(($E341-$W341)/$E341&gt;0,($E341-$W341)/$E341,0),"")</f>
        <v/>
      </c>
      <c r="BB341" s="60" t="str">
        <f>IF(AND($I341&gt;0,$AF341&gt;=0),IF(($I341-$AF341)/$I341&gt;0,($I341-$AF341)/$I341,0),"")</f>
        <v/>
      </c>
      <c r="BC341" s="60"/>
      <c r="BD341" s="60" t="str">
        <f>IF(AND($G341&gt;0,$AM341&gt;0),IF(($G341-$AM341)/$G341&gt;0,($G341-$AM341)/$G341,0),"")</f>
        <v/>
      </c>
      <c r="BE341" s="6" t="str">
        <f>IF((AD341-AF341)/(AJ341/60)&lt;=0,"",(AD341-AF341)/(AJ341/60))</f>
        <v/>
      </c>
      <c r="BF341" s="6" t="str">
        <f>IF(OR(AJ341=0,AP341=0,NOT(ISNUMBER(AD341)),NOT(ISNUMBER(AF341)),NOT(ISNUMBER(AJ341)),NOT(ISNUMBER(AP341))),"",
IFERROR(IF((AD341-AF341)/(AJ341/60)/(AP341/1000)&lt;=0,"",(AD341-AF341)/(AJ341/60)/(AP341/1000)),""))</f>
        <v/>
      </c>
    </row>
    <row r="342" spans="1:58" ht="15.75">
      <c r="B342" s="94">
        <v>45602</v>
      </c>
      <c r="C342" s="1">
        <v>98</v>
      </c>
      <c r="D342" s="3">
        <v>337</v>
      </c>
      <c r="E342" s="205" t="str">
        <f t="shared" si="23"/>
        <v/>
      </c>
      <c r="K342" s="10" t="str">
        <f t="shared" si="20"/>
        <v/>
      </c>
      <c r="L342" s="9" t="str">
        <f t="shared" si="21"/>
        <v/>
      </c>
      <c r="M342" s="8" t="str">
        <f t="shared" si="22"/>
        <v/>
      </c>
      <c r="X342" s="6">
        <v>0.18</v>
      </c>
      <c r="AB342" s="5">
        <v>80</v>
      </c>
      <c r="AG342" s="1">
        <v>2.61</v>
      </c>
      <c r="AH342" s="101">
        <v>0.51354166666666667</v>
      </c>
      <c r="AJ342" s="1">
        <v>175</v>
      </c>
      <c r="AK342" s="3">
        <v>180</v>
      </c>
      <c r="AN342" s="80">
        <f>360-AK342-AB342</f>
        <v>100</v>
      </c>
      <c r="AP342" s="13">
        <f>AVERAGE(AO340:AO346)</f>
        <v>2263.3333333333212</v>
      </c>
      <c r="AR342" s="17" t="e">
        <f>(E342-W342)/E342</f>
        <v>#VALUE!</v>
      </c>
      <c r="AS342" s="16" t="e">
        <f>(I342-AF342)/I342</f>
        <v>#DIV/0!</v>
      </c>
      <c r="AT342" s="16" t="e">
        <f>AG342/(AD342-AF342)</f>
        <v>#DIV/0!</v>
      </c>
      <c r="AU342" s="16" t="e">
        <f>(G342-AM342)/G342</f>
        <v>#DIV/0!</v>
      </c>
      <c r="AV342" s="57" t="str">
        <f>IF(AND(ISNUMBER(E342),ISNUMBER(W342)),E342-W342,"")</f>
        <v/>
      </c>
      <c r="AW342" s="57" t="str">
        <f>IF(AND(ISNUMBER(I342),ISNUMBER(AF342)),I342-AF342,"")</f>
        <v/>
      </c>
      <c r="AX342" s="57" t="str">
        <f>IF(AND(ISNUMBER(AM342),ISNUMBER(G342)),G342-AM342,"")</f>
        <v/>
      </c>
      <c r="AY342" s="57" t="str">
        <f>IF(AND(ISNUMBER(AC342),ISNUMBER(AE342)),AC342-AE342,"")</f>
        <v/>
      </c>
      <c r="AZ342" s="57" t="str">
        <f>IF(AND(ISNUMBER(AL342),ISNUMBER(AM342)),AL342-AM342,"")</f>
        <v/>
      </c>
      <c r="BA342" s="60" t="str">
        <f>IF(AND($E342&gt;0,$W342&gt;0),IF(($E342-$W342)/$E342&gt;0,($E342-$W342)/$E342,0),"")</f>
        <v/>
      </c>
      <c r="BB342" s="60" t="str">
        <f>IF(AND($I342&gt;0,$AF342&gt;=0),IF(($I342-$AF342)/$I342&gt;0,($I342-$AF342)/$I342,0),"")</f>
        <v/>
      </c>
      <c r="BC342" s="60"/>
      <c r="BD342" s="60" t="str">
        <f>IF(AND($G342&gt;0,$AM342&gt;0),IF(($G342-$AM342)/$G342&gt;0,($G342-$AM342)/$G342,0),"")</f>
        <v/>
      </c>
      <c r="BE342" s="6" t="str">
        <f>IF((AD342-AF342)/(AJ342/60)&lt;=0,"",(AD342-AF342)/(AJ342/60))</f>
        <v/>
      </c>
      <c r="BF342" s="6" t="str">
        <f>IF(OR(AJ342=0,AP342=0,NOT(ISNUMBER(AD342)),NOT(ISNUMBER(AF342)),NOT(ISNUMBER(AJ342)),NOT(ISNUMBER(AP342))),"",
IFERROR(IF((AD342-AF342)/(AJ342/60)/(AP342/1000)&lt;=0,"",(AD342-AF342)/(AJ342/60)/(AP342/1000)),""))</f>
        <v/>
      </c>
    </row>
    <row r="343" spans="1:58" ht="15.75">
      <c r="A343" s="12" t="s">
        <v>96</v>
      </c>
      <c r="B343" s="94">
        <v>45603</v>
      </c>
      <c r="C343" s="1">
        <v>99</v>
      </c>
      <c r="D343" s="3">
        <v>338</v>
      </c>
      <c r="E343" s="205" t="str">
        <f t="shared" si="23"/>
        <v/>
      </c>
      <c r="K343" s="10" t="str">
        <f t="shared" si="20"/>
        <v/>
      </c>
      <c r="L343" s="9" t="str">
        <f t="shared" si="21"/>
        <v/>
      </c>
      <c r="M343" s="8" t="str">
        <f t="shared" si="22"/>
        <v/>
      </c>
      <c r="X343" s="6">
        <v>0.53</v>
      </c>
      <c r="AB343" s="5">
        <v>80</v>
      </c>
      <c r="AG343" s="1">
        <v>2.79</v>
      </c>
      <c r="AH343" s="101">
        <v>0.51979166666666665</v>
      </c>
      <c r="AJ343" s="1">
        <v>175</v>
      </c>
      <c r="AK343" s="3">
        <v>180</v>
      </c>
      <c r="AN343" s="80">
        <f>360-AK343-AB343</f>
        <v>100</v>
      </c>
      <c r="AO343" s="2">
        <v>2309.9999999999909</v>
      </c>
      <c r="AP343" s="13">
        <f>AVERAGE(AO341:AO347)</f>
        <v>2276.6666666666574</v>
      </c>
      <c r="AQ343" s="2">
        <v>60.000000000001187</v>
      </c>
      <c r="AR343" s="17" t="e">
        <f>(E343-W343)/E343</f>
        <v>#VALUE!</v>
      </c>
      <c r="AS343" s="16" t="e">
        <f>(I343-AF343)/I343</f>
        <v>#DIV/0!</v>
      </c>
      <c r="AT343" s="16" t="e">
        <f>AG343/(AD343-AF343)</f>
        <v>#DIV/0!</v>
      </c>
      <c r="AU343" s="16" t="e">
        <f>(G343-AM343)/G343</f>
        <v>#DIV/0!</v>
      </c>
      <c r="AV343" s="57" t="str">
        <f>IF(AND(ISNUMBER(E343),ISNUMBER(W343)),E343-W343,"")</f>
        <v/>
      </c>
      <c r="AW343" s="57" t="str">
        <f>IF(AND(ISNUMBER(I343),ISNUMBER(AF343)),I343-AF343,"")</f>
        <v/>
      </c>
      <c r="AX343" s="57" t="str">
        <f>IF(AND(ISNUMBER(AM343),ISNUMBER(G343)),G343-AM343,"")</f>
        <v/>
      </c>
      <c r="AY343" s="57" t="str">
        <f>IF(AND(ISNUMBER(AC343),ISNUMBER(AE343)),AC343-AE343,"")</f>
        <v/>
      </c>
      <c r="AZ343" s="57" t="str">
        <f>IF(AND(ISNUMBER(AL343),ISNUMBER(AM343)),AL343-AM343,"")</f>
        <v/>
      </c>
      <c r="BA343" s="60" t="str">
        <f>IF(AND($E343&gt;0,$W343&gt;0),IF(($E343-$W343)/$E343&gt;0,($E343-$W343)/$E343,0),"")</f>
        <v/>
      </c>
      <c r="BB343" s="60" t="str">
        <f>IF(AND($I343&gt;0,$AF343&gt;=0),IF(($I343-$AF343)/$I343&gt;0,($I343-$AF343)/$I343,0),"")</f>
        <v/>
      </c>
      <c r="BC343" s="60"/>
      <c r="BD343" s="60" t="str">
        <f>IF(AND($G343&gt;0,$AM343&gt;0),IF(($G343-$AM343)/$G343&gt;0,($G343-$AM343)/$G343,0),"")</f>
        <v/>
      </c>
      <c r="BE343" s="6" t="str">
        <f>IF((AD343-AF343)/(AJ343/60)&lt;=0,"",(AD343-AF343)/(AJ343/60))</f>
        <v/>
      </c>
      <c r="BF343" s="6" t="str">
        <f>IF(OR(AJ343=0,AP343=0,NOT(ISNUMBER(AD343)),NOT(ISNUMBER(AF343)),NOT(ISNUMBER(AJ343)),NOT(ISNUMBER(AP343))),"",
IFERROR(IF((AD343-AF343)/(AJ343/60)/(AP343/1000)&lt;=0,"",(AD343-AF343)/(AJ343/60)/(AP343/1000)),""))</f>
        <v/>
      </c>
    </row>
    <row r="344" spans="1:58" ht="15.75">
      <c r="A344" s="12" t="s">
        <v>95</v>
      </c>
      <c r="B344" s="94">
        <v>45604</v>
      </c>
      <c r="C344" s="1">
        <v>100</v>
      </c>
      <c r="D344" s="3">
        <v>339</v>
      </c>
      <c r="E344" s="205" t="str">
        <f t="shared" si="23"/>
        <v/>
      </c>
      <c r="K344" s="10" t="str">
        <f t="shared" si="20"/>
        <v/>
      </c>
      <c r="L344" s="9" t="str">
        <f t="shared" si="21"/>
        <v/>
      </c>
      <c r="M344" s="8" t="str">
        <f t="shared" si="22"/>
        <v/>
      </c>
      <c r="X344" s="6">
        <v>1.32</v>
      </c>
      <c r="AB344" s="5">
        <v>80</v>
      </c>
      <c r="AG344" s="1">
        <v>3.4</v>
      </c>
      <c r="AH344" s="101">
        <v>0.50266203703703705</v>
      </c>
      <c r="AJ344" s="1">
        <v>175</v>
      </c>
      <c r="AK344" s="3">
        <v>180</v>
      </c>
      <c r="AN344" s="80">
        <f>360-AK344-AB344</f>
        <v>100</v>
      </c>
      <c r="AP344" s="13">
        <f>AVERAGE(AO342:AO348)</f>
        <v>2275</v>
      </c>
      <c r="AR344" s="17" t="e">
        <f>(E344-W344)/E344</f>
        <v>#VALUE!</v>
      </c>
      <c r="AS344" s="16" t="e">
        <f>(I344-AF344)/I344</f>
        <v>#DIV/0!</v>
      </c>
      <c r="AT344" s="16" t="e">
        <f>AG344/(AD344-AF344)</f>
        <v>#DIV/0!</v>
      </c>
      <c r="AU344" s="16" t="e">
        <f>(G344-AM344)/G344</f>
        <v>#DIV/0!</v>
      </c>
      <c r="AV344" s="57" t="str">
        <f>IF(AND(ISNUMBER(E344),ISNUMBER(W344)),E344-W344,"")</f>
        <v/>
      </c>
      <c r="AW344" s="57" t="str">
        <f>IF(AND(ISNUMBER(I344),ISNUMBER(AF344)),I344-AF344,"")</f>
        <v/>
      </c>
      <c r="AX344" s="57" t="str">
        <f>IF(AND(ISNUMBER(AM344),ISNUMBER(G344)),G344-AM344,"")</f>
        <v/>
      </c>
      <c r="AY344" s="57" t="str">
        <f>IF(AND(ISNUMBER(AC344),ISNUMBER(AE344)),AC344-AE344,"")</f>
        <v/>
      </c>
      <c r="AZ344" s="57" t="str">
        <f>IF(AND(ISNUMBER(AL344),ISNUMBER(AM344)),AL344-AM344,"")</f>
        <v/>
      </c>
      <c r="BA344" s="60" t="str">
        <f>IF(AND($E344&gt;0,$W344&gt;0),IF(($E344-$W344)/$E344&gt;0,($E344-$W344)/$E344,0),"")</f>
        <v/>
      </c>
      <c r="BB344" s="60" t="str">
        <f>IF(AND($I344&gt;0,$AF344&gt;=0),IF(($I344-$AF344)/$I344&gt;0,($I344-$AF344)/$I344,0),"")</f>
        <v/>
      </c>
      <c r="BC344" s="60"/>
      <c r="BD344" s="60" t="str">
        <f>IF(AND($G344&gt;0,$AM344&gt;0),IF(($G344-$AM344)/$G344&gt;0,($G344-$AM344)/$G344,0),"")</f>
        <v/>
      </c>
      <c r="BE344" s="6" t="str">
        <f>IF((AD344-AF344)/(AJ344/60)&lt;=0,"",(AD344-AF344)/(AJ344/60))</f>
        <v/>
      </c>
      <c r="BF344" s="6" t="str">
        <f>IF(OR(AJ344=0,AP344=0,NOT(ISNUMBER(AD344)),NOT(ISNUMBER(AF344)),NOT(ISNUMBER(AJ344)),NOT(ISNUMBER(AP344))),"",
IFERROR(IF((AD344-AF344)/(AJ344/60)/(AP344/1000)&lt;=0,"",(AD344-AF344)/(AJ344/60)/(AP344/1000)),""))</f>
        <v/>
      </c>
    </row>
    <row r="345" spans="1:58" ht="15.75">
      <c r="A345" s="12" t="s">
        <v>6</v>
      </c>
      <c r="B345" s="94">
        <v>45605</v>
      </c>
      <c r="C345" s="1">
        <v>101</v>
      </c>
      <c r="D345" s="3">
        <v>340</v>
      </c>
      <c r="E345" s="205" t="str">
        <f t="shared" si="23"/>
        <v/>
      </c>
      <c r="K345" s="10" t="str">
        <f t="shared" si="20"/>
        <v/>
      </c>
      <c r="L345" s="9" t="str">
        <f t="shared" si="21"/>
        <v/>
      </c>
      <c r="M345" s="8" t="str">
        <f t="shared" si="22"/>
        <v/>
      </c>
      <c r="X345" s="6">
        <v>0.52</v>
      </c>
      <c r="AB345" s="5">
        <v>80</v>
      </c>
      <c r="AG345" s="1">
        <v>2.4700000000000002</v>
      </c>
      <c r="AH345" s="101">
        <v>0.52083333333333337</v>
      </c>
      <c r="AJ345" s="1">
        <v>175</v>
      </c>
      <c r="AK345" s="3">
        <v>180</v>
      </c>
      <c r="AN345" s="80">
        <f>360-AK345-AB345</f>
        <v>100</v>
      </c>
      <c r="AP345" s="13">
        <f>AVERAGE(AO343:AO349)</f>
        <v>2275</v>
      </c>
      <c r="AR345" s="17" t="e">
        <f>(E345-W345)/E345</f>
        <v>#VALUE!</v>
      </c>
      <c r="AS345" s="16" t="e">
        <f>(I345-AF345)/I345</f>
        <v>#DIV/0!</v>
      </c>
      <c r="AT345" s="16" t="e">
        <f>AG345/(AD345-AF345)</f>
        <v>#DIV/0!</v>
      </c>
      <c r="AU345" s="16" t="e">
        <f>(G345-AM345)/G345</f>
        <v>#DIV/0!</v>
      </c>
      <c r="AV345" s="57" t="str">
        <f>IF(AND(ISNUMBER(E345),ISNUMBER(W345)),E345-W345,"")</f>
        <v/>
      </c>
      <c r="AW345" s="57" t="str">
        <f>IF(AND(ISNUMBER(I345),ISNUMBER(AF345)),I345-AF345,"")</f>
        <v/>
      </c>
      <c r="AX345" s="57" t="str">
        <f>IF(AND(ISNUMBER(AM345),ISNUMBER(G345)),G345-AM345,"")</f>
        <v/>
      </c>
      <c r="AY345" s="57" t="str">
        <f>IF(AND(ISNUMBER(AC345),ISNUMBER(AE345)),AC345-AE345,"")</f>
        <v/>
      </c>
      <c r="AZ345" s="57" t="str">
        <f>IF(AND(ISNUMBER(AL345),ISNUMBER(AM345)),AL345-AM345,"")</f>
        <v/>
      </c>
      <c r="BA345" s="60" t="str">
        <f>IF(AND($E345&gt;0,$W345&gt;0),IF(($E345-$W345)/$E345&gt;0,($E345-$W345)/$E345,0),"")</f>
        <v/>
      </c>
      <c r="BB345" s="60" t="str">
        <f>IF(AND($I345&gt;0,$AF345&gt;=0),IF(($I345-$AF345)/$I345&gt;0,($I345-$AF345)/$I345,0),"")</f>
        <v/>
      </c>
      <c r="BC345" s="60"/>
      <c r="BD345" s="60" t="str">
        <f>IF(AND($G345&gt;0,$AM345&gt;0),IF(($G345-$AM345)/$G345&gt;0,($G345-$AM345)/$G345,0),"")</f>
        <v/>
      </c>
      <c r="BE345" s="6" t="str">
        <f>IF((AD345-AF345)/(AJ345/60)&lt;=0,"",(AD345-AF345)/(AJ345/60))</f>
        <v/>
      </c>
      <c r="BF345" s="6" t="str">
        <f>IF(OR(AJ345=0,AP345=0,NOT(ISNUMBER(AD345)),NOT(ISNUMBER(AF345)),NOT(ISNUMBER(AJ345)),NOT(ISNUMBER(AP345))),"",
IFERROR(IF((AD345-AF345)/(AJ345/60)/(AP345/1000)&lt;=0,"",(AD345-AF345)/(AJ345/60)/(AP345/1000)),""))</f>
        <v/>
      </c>
    </row>
    <row r="346" spans="1:58" ht="15.75">
      <c r="B346" s="94">
        <v>45606</v>
      </c>
      <c r="C346" s="1">
        <v>102</v>
      </c>
      <c r="D346" s="3">
        <v>341</v>
      </c>
      <c r="E346" s="205" t="str">
        <f t="shared" si="23"/>
        <v/>
      </c>
      <c r="K346" s="10" t="str">
        <f t="shared" si="20"/>
        <v/>
      </c>
      <c r="L346" s="9" t="str">
        <f t="shared" si="21"/>
        <v/>
      </c>
      <c r="M346" s="8" t="str">
        <f t="shared" si="22"/>
        <v/>
      </c>
      <c r="X346" s="6">
        <v>0.18</v>
      </c>
      <c r="AB346" s="5">
        <v>80</v>
      </c>
      <c r="AG346" s="1">
        <v>4.3</v>
      </c>
      <c r="AH346" s="101">
        <v>0.51736111111111116</v>
      </c>
      <c r="AJ346" s="1">
        <v>175</v>
      </c>
      <c r="AK346" s="3">
        <v>180</v>
      </c>
      <c r="AN346" s="80">
        <f>360-AK346-AB346</f>
        <v>100</v>
      </c>
      <c r="AP346" s="13">
        <f>AVERAGE(AO344:AO350)</f>
        <v>2240.0000000000091</v>
      </c>
      <c r="AR346" s="17" t="e">
        <f>(E346-W346)/E346</f>
        <v>#VALUE!</v>
      </c>
      <c r="AS346" s="16" t="e">
        <f>(I346-AF346)/I346</f>
        <v>#DIV/0!</v>
      </c>
      <c r="AT346" s="16" t="e">
        <f>AG346/(AD346-AF346)</f>
        <v>#DIV/0!</v>
      </c>
      <c r="AU346" s="16" t="e">
        <f>(G346-AM346)/G346</f>
        <v>#DIV/0!</v>
      </c>
      <c r="AV346" s="57" t="str">
        <f>IF(AND(ISNUMBER(E346),ISNUMBER(W346)),E346-W346,"")</f>
        <v/>
      </c>
      <c r="AW346" s="57" t="str">
        <f>IF(AND(ISNUMBER(I346),ISNUMBER(AF346)),I346-AF346,"")</f>
        <v/>
      </c>
      <c r="AX346" s="57" t="str">
        <f>IF(AND(ISNUMBER(AM346),ISNUMBER(G346)),G346-AM346,"")</f>
        <v/>
      </c>
      <c r="AY346" s="57" t="str">
        <f>IF(AND(ISNUMBER(AC346),ISNUMBER(AE346)),AC346-AE346,"")</f>
        <v/>
      </c>
      <c r="AZ346" s="57" t="str">
        <f>IF(AND(ISNUMBER(AL346),ISNUMBER(AM346)),AL346-AM346,"")</f>
        <v/>
      </c>
      <c r="BA346" s="60" t="str">
        <f>IF(AND($E346&gt;0,$W346&gt;0),IF(($E346-$W346)/$E346&gt;0,($E346-$W346)/$E346,0),"")</f>
        <v/>
      </c>
      <c r="BB346" s="60" t="str">
        <f>IF(AND($I346&gt;0,$AF346&gt;=0),IF(($I346-$AF346)/$I346&gt;0,($I346-$AF346)/$I346,0),"")</f>
        <v/>
      </c>
      <c r="BC346" s="60"/>
      <c r="BD346" s="60" t="str">
        <f>IF(AND($G346&gt;0,$AM346&gt;0),IF(($G346-$AM346)/$G346&gt;0,($G346-$AM346)/$G346,0),"")</f>
        <v/>
      </c>
      <c r="BE346" s="6" t="str">
        <f>IF((AD346-AF346)/(AJ346/60)&lt;=0,"",(AD346-AF346)/(AJ346/60))</f>
        <v/>
      </c>
      <c r="BF346" s="6" t="str">
        <f>IF(OR(AJ346=0,AP346=0,NOT(ISNUMBER(AD346)),NOT(ISNUMBER(AF346)),NOT(ISNUMBER(AJ346)),NOT(ISNUMBER(AP346))),"",
IFERROR(IF((AD346-AF346)/(AJ346/60)/(AP346/1000)&lt;=0,"",(AD346-AF346)/(AJ346/60)/(AP346/1000)),""))</f>
        <v/>
      </c>
    </row>
    <row r="347" spans="1:58" ht="15.75">
      <c r="A347" s="112" t="s">
        <v>73</v>
      </c>
      <c r="B347" s="94">
        <v>45607</v>
      </c>
      <c r="C347" s="1">
        <v>103</v>
      </c>
      <c r="D347" s="3">
        <v>342</v>
      </c>
      <c r="E347" s="205">
        <f t="shared" si="23"/>
        <v>274.43912599999999</v>
      </c>
      <c r="G347" s="15">
        <f>(N347*18-H347*18)/9</f>
        <v>13.879999999999999</v>
      </c>
      <c r="H347" s="9">
        <f>7.68/2</f>
        <v>3.84</v>
      </c>
      <c r="I347" s="15">
        <f>AD347</f>
        <v>22.15</v>
      </c>
      <c r="K347" s="10">
        <f t="shared" si="20"/>
        <v>19.772271325648415</v>
      </c>
      <c r="L347" s="9">
        <f t="shared" si="21"/>
        <v>6.1950141309255082</v>
      </c>
      <c r="M347" s="8">
        <f t="shared" si="22"/>
        <v>3.1916426512968301</v>
      </c>
      <c r="N347" s="7">
        <v>10.78</v>
      </c>
      <c r="O347">
        <v>90.397000000000006</v>
      </c>
      <c r="P347">
        <v>26.925999999999998</v>
      </c>
      <c r="Q347" s="6">
        <f>O347*1.067</f>
        <v>96.453598999999997</v>
      </c>
      <c r="R347" s="6">
        <f>P347*1.514</f>
        <v>40.765963999999997</v>
      </c>
      <c r="S347" s="23">
        <f>P347*1.514+O347*1.067</f>
        <v>137.21956299999999</v>
      </c>
      <c r="T347" s="6">
        <v>31.95</v>
      </c>
      <c r="U347">
        <v>0</v>
      </c>
      <c r="V347">
        <v>0</v>
      </c>
      <c r="W347" s="23">
        <f>U347*1.067+V347*1.514</f>
        <v>0</v>
      </c>
      <c r="X347" s="6">
        <v>0.63</v>
      </c>
      <c r="AB347" s="5">
        <v>80</v>
      </c>
      <c r="AC347" s="7">
        <f>T347</f>
        <v>31.95</v>
      </c>
      <c r="AD347" s="1">
        <v>22.15</v>
      </c>
      <c r="AE347" s="1">
        <v>12.36</v>
      </c>
      <c r="AF347" s="1">
        <v>6.1</v>
      </c>
      <c r="AG347" s="1">
        <v>4.33</v>
      </c>
      <c r="AH347" s="101">
        <v>0.52083333333333337</v>
      </c>
      <c r="AJ347" s="1">
        <v>175</v>
      </c>
      <c r="AK347" s="3">
        <v>180</v>
      </c>
      <c r="AL347" s="4">
        <f>AE347</f>
        <v>12.36</v>
      </c>
      <c r="AM347" s="1">
        <v>7.68</v>
      </c>
      <c r="AN347" s="80">
        <f>360-AK347-AB347</f>
        <v>100</v>
      </c>
      <c r="AO347" s="2">
        <v>2240.0000000000091</v>
      </c>
      <c r="AP347" s="13">
        <f>AVERAGE(AO345:AO351)</f>
        <v>2240.0000000000091</v>
      </c>
      <c r="AQ347" s="2">
        <v>20.613496932515623</v>
      </c>
      <c r="AR347" s="17">
        <f>(E347-W347)/E347</f>
        <v>1</v>
      </c>
      <c r="AS347" s="16">
        <f>(I347-AF347)/I347</f>
        <v>0.72460496613995473</v>
      </c>
      <c r="AT347" s="16">
        <f>AG347/(AD347-AF347)</f>
        <v>0.26978193146417451</v>
      </c>
      <c r="AU347" s="16">
        <f>(G347-AM347)/G347</f>
        <v>0.44668587896253603</v>
      </c>
      <c r="AV347" s="57">
        <f>IF(AND(ISNUMBER(E347),ISNUMBER(W347)),E347-W347,"")</f>
        <v>274.43912599999999</v>
      </c>
      <c r="AW347" s="57">
        <f>IF(AND(ISNUMBER(I347),ISNUMBER(AF347)),I347-AF347,"")</f>
        <v>16.049999999999997</v>
      </c>
      <c r="AX347" s="57">
        <f>IF(AND(ISNUMBER(AM347),ISNUMBER(G347)),G347-AM347,"")</f>
        <v>6.1999999999999993</v>
      </c>
      <c r="AY347" s="57">
        <f>IF(AND(ISNUMBER(AC347),ISNUMBER(AE347)),AC347-AE347,"")</f>
        <v>19.59</v>
      </c>
      <c r="AZ347" s="57">
        <f>IF(AND(ISNUMBER(AL347),ISNUMBER(AM347)),AL347-AM347,"")</f>
        <v>4.68</v>
      </c>
      <c r="BA347" s="60" t="str">
        <f>IF(AND($E347&gt;0,$W347&gt;0),IF(($E347-$W347)/$E347&gt;0,($E347-$W347)/$E347,0),"")</f>
        <v/>
      </c>
      <c r="BB347" s="60">
        <f>IF(AND($I347&gt;0,$AF347&gt;=0),IF(($I347-$AF347)/$I347&gt;0,($I347-$AF347)/$I347,0),"")</f>
        <v>0.72460496613995473</v>
      </c>
      <c r="BC347" s="60"/>
      <c r="BD347" s="60">
        <f>IF(AND($G347&gt;0,$AM347&gt;0),IF(($G347-$AM347)/$G347&gt;0,($G347-$AM347)/$G347,0),"")</f>
        <v>0.44668587896253603</v>
      </c>
      <c r="BE347" s="6">
        <f>IF((AD347-AF347)/(AJ347/60)&lt;=0,"",(AD347-AF347)/(AJ347/60))</f>
        <v>5.5028571428571418</v>
      </c>
      <c r="BF347" s="6">
        <f>IF(OR(AJ347=0,AP347=0,NOT(ISNUMBER(AD347)),NOT(ISNUMBER(AF347)),NOT(ISNUMBER(AJ347)),NOT(ISNUMBER(AP347))),"",
IFERROR(IF((AD347-AF347)/(AJ347/60)/(AP347/1000)&lt;=0,"",(AD347-AF347)/(AJ347/60)/(AP347/1000)),""))</f>
        <v>2.4566326530612139</v>
      </c>
    </row>
    <row r="348" spans="1:58" ht="15.75">
      <c r="A348" s="12" t="s">
        <v>7</v>
      </c>
      <c r="B348" s="94">
        <v>45608</v>
      </c>
      <c r="C348" s="1">
        <v>104</v>
      </c>
      <c r="D348" s="3">
        <v>343</v>
      </c>
      <c r="E348" s="205" t="str">
        <f t="shared" si="23"/>
        <v/>
      </c>
      <c r="K348" s="10" t="str">
        <f t="shared" si="20"/>
        <v/>
      </c>
      <c r="L348" s="9" t="str">
        <f t="shared" si="21"/>
        <v/>
      </c>
      <c r="M348" s="8" t="str">
        <f t="shared" si="22"/>
        <v/>
      </c>
      <c r="X348" s="6">
        <v>1.92</v>
      </c>
      <c r="AB348" s="5">
        <v>80</v>
      </c>
      <c r="AG348" s="1">
        <v>1.28</v>
      </c>
      <c r="AH348" s="101">
        <v>0.52071759259259254</v>
      </c>
      <c r="AJ348" s="1">
        <v>175</v>
      </c>
      <c r="AK348" s="3">
        <v>180</v>
      </c>
      <c r="AN348" s="80">
        <f>360-AK348-AB348</f>
        <v>100</v>
      </c>
      <c r="AP348" s="13">
        <f>AVERAGE(AO346:AO352)</f>
        <v>2240.0000000000091</v>
      </c>
      <c r="AR348" s="17" t="e">
        <f>(E348-W348)/E348</f>
        <v>#VALUE!</v>
      </c>
      <c r="AS348" s="16" t="e">
        <f>(I348-AF348)/I348</f>
        <v>#DIV/0!</v>
      </c>
      <c r="AT348" s="16" t="e">
        <f>AG348/(AD348-AF348)</f>
        <v>#DIV/0!</v>
      </c>
      <c r="AU348" s="16" t="e">
        <f>(G348-AM348)/G348</f>
        <v>#DIV/0!</v>
      </c>
      <c r="AV348" s="57" t="str">
        <f>IF(AND(ISNUMBER(E348),ISNUMBER(W348)),E348-W348,"")</f>
        <v/>
      </c>
      <c r="AW348" s="57" t="str">
        <f>IF(AND(ISNUMBER(I348),ISNUMBER(AF348)),I348-AF348,"")</f>
        <v/>
      </c>
      <c r="AX348" s="57" t="str">
        <f>IF(AND(ISNUMBER(AM348),ISNUMBER(G348)),G348-AM348,"")</f>
        <v/>
      </c>
      <c r="AY348" s="57" t="str">
        <f>IF(AND(ISNUMBER(AC348),ISNUMBER(AE348)),AC348-AE348,"")</f>
        <v/>
      </c>
      <c r="AZ348" s="57" t="str">
        <f>IF(AND(ISNUMBER(AL348),ISNUMBER(AM348)),AL348-AM348,"")</f>
        <v/>
      </c>
      <c r="BA348" s="60" t="str">
        <f>IF(AND($E348&gt;0,$W348&gt;0),IF(($E348-$W348)/$E348&gt;0,($E348-$W348)/$E348,0),"")</f>
        <v/>
      </c>
      <c r="BB348" s="60" t="str">
        <f>IF(AND($I348&gt;0,$AF348&gt;=0),IF(($I348-$AF348)/$I348&gt;0,($I348-$AF348)/$I348,0),"")</f>
        <v/>
      </c>
      <c r="BC348" s="60"/>
      <c r="BD348" s="60" t="str">
        <f>IF(AND($G348&gt;0,$AM348&gt;0),IF(($G348-$AM348)/$G348&gt;0,($G348-$AM348)/$G348,0),"")</f>
        <v/>
      </c>
      <c r="BE348" s="6" t="str">
        <f>IF((AD348-AF348)/(AJ348/60)&lt;=0,"",(AD348-AF348)/(AJ348/60))</f>
        <v/>
      </c>
      <c r="BF348" s="6" t="str">
        <f>IF(OR(AJ348=0,AP348=0,NOT(ISNUMBER(AD348)),NOT(ISNUMBER(AF348)),NOT(ISNUMBER(AJ348)),NOT(ISNUMBER(AP348))),"",
IFERROR(IF((AD348-AF348)/(AJ348/60)/(AP348/1000)&lt;=0,"",(AD348-AF348)/(AJ348/60)/(AP348/1000)),""))</f>
        <v/>
      </c>
    </row>
    <row r="349" spans="1:58" ht="15.75">
      <c r="B349" s="94">
        <v>45609</v>
      </c>
      <c r="C349" s="1">
        <v>105</v>
      </c>
      <c r="D349" s="3">
        <v>344</v>
      </c>
      <c r="E349" s="205" t="str">
        <f t="shared" si="23"/>
        <v/>
      </c>
      <c r="K349" s="10" t="str">
        <f t="shared" si="20"/>
        <v/>
      </c>
      <c r="L349" s="9" t="str">
        <f t="shared" si="21"/>
        <v/>
      </c>
      <c r="M349" s="8" t="str">
        <f t="shared" si="22"/>
        <v/>
      </c>
      <c r="X349" s="6">
        <v>0.18</v>
      </c>
      <c r="AB349" s="5">
        <v>80</v>
      </c>
      <c r="AG349" s="67">
        <v>5.04</v>
      </c>
      <c r="AH349" s="101">
        <v>0.50844907407407403</v>
      </c>
      <c r="AJ349" s="1">
        <v>175</v>
      </c>
      <c r="AK349" s="3">
        <v>180</v>
      </c>
      <c r="AN349" s="80">
        <f>360-AK349-AB349</f>
        <v>100</v>
      </c>
      <c r="AP349" s="13">
        <f>AVERAGE(AO347:AO353)</f>
        <v>2240.0000000000091</v>
      </c>
      <c r="AR349" s="17" t="e">
        <f>(E349-W349)/E349</f>
        <v>#VALUE!</v>
      </c>
      <c r="AS349" s="16" t="e">
        <f>(I349-AF349)/I349</f>
        <v>#DIV/0!</v>
      </c>
      <c r="AT349" s="16" t="e">
        <f>AG349/(AD349-AF349)</f>
        <v>#DIV/0!</v>
      </c>
      <c r="AU349" s="16" t="e">
        <f>(G349-AM349)/G349</f>
        <v>#DIV/0!</v>
      </c>
      <c r="AV349" s="57" t="str">
        <f>IF(AND(ISNUMBER(E349),ISNUMBER(W349)),E349-W349,"")</f>
        <v/>
      </c>
      <c r="AW349" s="57" t="str">
        <f>IF(AND(ISNUMBER(I349),ISNUMBER(AF349)),I349-AF349,"")</f>
        <v/>
      </c>
      <c r="AX349" s="57" t="str">
        <f>IF(AND(ISNUMBER(AM349),ISNUMBER(G349)),G349-AM349,"")</f>
        <v/>
      </c>
      <c r="AY349" s="57" t="str">
        <f>IF(AND(ISNUMBER(AC349),ISNUMBER(AE349)),AC349-AE349,"")</f>
        <v/>
      </c>
      <c r="AZ349" s="57" t="str">
        <f>IF(AND(ISNUMBER(AL349),ISNUMBER(AM349)),AL349-AM349,"")</f>
        <v/>
      </c>
      <c r="BA349" s="60" t="str">
        <f>IF(AND($E349&gt;0,$W349&gt;0),IF(($E349-$W349)/$E349&gt;0,($E349-$W349)/$E349,0),"")</f>
        <v/>
      </c>
      <c r="BB349" s="60" t="str">
        <f>IF(AND($I349&gt;0,$AF349&gt;=0),IF(($I349-$AF349)/$I349&gt;0,($I349-$AF349)/$I349,0),"")</f>
        <v/>
      </c>
      <c r="BC349" s="60"/>
      <c r="BD349" s="60" t="str">
        <f>IF(AND($G349&gt;0,$AM349&gt;0),IF(($G349-$AM349)/$G349&gt;0,($G349-$AM349)/$G349,0),"")</f>
        <v/>
      </c>
      <c r="BE349" s="6" t="str">
        <f>IF((AD349-AF349)/(AJ349/60)&lt;=0,"",(AD349-AF349)/(AJ349/60))</f>
        <v/>
      </c>
      <c r="BF349" s="6" t="str">
        <f>IF(OR(AJ349=0,AP349=0,NOT(ISNUMBER(AD349)),NOT(ISNUMBER(AF349)),NOT(ISNUMBER(AJ349)),NOT(ISNUMBER(AP349))),"",
IFERROR(IF((AD349-AF349)/(AJ349/60)/(AP349/1000)&lt;=0,"",(AD349-AF349)/(AJ349/60)/(AP349/1000)),""))</f>
        <v/>
      </c>
    </row>
    <row r="350" spans="1:58" ht="15.75">
      <c r="A350" s="111" t="s">
        <v>94</v>
      </c>
      <c r="B350" s="110">
        <v>45610</v>
      </c>
      <c r="C350" s="1">
        <v>106</v>
      </c>
      <c r="D350" s="3">
        <v>345</v>
      </c>
      <c r="E350" s="205" t="str">
        <f t="shared" si="23"/>
        <v/>
      </c>
      <c r="K350" s="10" t="str">
        <f t="shared" si="20"/>
        <v/>
      </c>
      <c r="L350" s="9" t="str">
        <f t="shared" si="21"/>
        <v/>
      </c>
      <c r="M350" s="8" t="str">
        <f t="shared" si="22"/>
        <v/>
      </c>
      <c r="X350" s="6">
        <v>0.18</v>
      </c>
      <c r="AB350" s="5">
        <v>80</v>
      </c>
      <c r="AG350" s="67">
        <v>5.16</v>
      </c>
      <c r="AH350" s="101">
        <v>0.52083333333333337</v>
      </c>
      <c r="AJ350" s="1">
        <v>175</v>
      </c>
      <c r="AK350" s="3">
        <v>180</v>
      </c>
      <c r="AN350" s="80">
        <f>360-AK350-AB350</f>
        <v>100</v>
      </c>
      <c r="AP350" s="103">
        <f>AVERAGE(AO347,AO356)</f>
        <v>2180.0000000000182</v>
      </c>
      <c r="AR350" s="17" t="e">
        <f>(E350-W350)/E350</f>
        <v>#VALUE!</v>
      </c>
      <c r="AS350" s="16" t="e">
        <f>(I350-AF350)/I350</f>
        <v>#DIV/0!</v>
      </c>
      <c r="AT350" s="16" t="e">
        <f>AG350/(AD350-AF350)</f>
        <v>#DIV/0!</v>
      </c>
      <c r="AU350" s="16" t="e">
        <f>(G350-AM350)/G350</f>
        <v>#DIV/0!</v>
      </c>
      <c r="AV350" s="57" t="str">
        <f>IF(AND(ISNUMBER(E350),ISNUMBER(W350)),E350-W350,"")</f>
        <v/>
      </c>
      <c r="AW350" s="57" t="str">
        <f>IF(AND(ISNUMBER(I350),ISNUMBER(AF350)),I350-AF350,"")</f>
        <v/>
      </c>
      <c r="AX350" s="57" t="str">
        <f>IF(AND(ISNUMBER(AM350),ISNUMBER(G350)),G350-AM350,"")</f>
        <v/>
      </c>
      <c r="AY350" s="57" t="str">
        <f>IF(AND(ISNUMBER(AC350),ISNUMBER(AE350)),AC350-AE350,"")</f>
        <v/>
      </c>
      <c r="AZ350" s="57" t="str">
        <f>IF(AND(ISNUMBER(AL350),ISNUMBER(AM350)),AL350-AM350,"")</f>
        <v/>
      </c>
      <c r="BA350" s="60" t="str">
        <f>IF(AND($E350&gt;0,$W350&gt;0),IF(($E350-$W350)/$E350&gt;0,($E350-$W350)/$E350,0),"")</f>
        <v/>
      </c>
      <c r="BB350" s="60" t="str">
        <f>IF(AND($I350&gt;0,$AF350&gt;=0),IF(($I350-$AF350)/$I350&gt;0,($I350-$AF350)/$I350,0),"")</f>
        <v/>
      </c>
      <c r="BC350" s="60"/>
      <c r="BD350" s="60" t="str">
        <f>IF(AND($G350&gt;0,$AM350&gt;0),IF(($G350-$AM350)/$G350&gt;0,($G350-$AM350)/$G350,0),"")</f>
        <v/>
      </c>
      <c r="BE350" s="6" t="str">
        <f>IF((AD350-AF350)/(AJ350/60)&lt;=0,"",(AD350-AF350)/(AJ350/60))</f>
        <v/>
      </c>
      <c r="BF350" s="6" t="str">
        <f>IF(OR(AJ350=0,AP350=0,NOT(ISNUMBER(AD350)),NOT(ISNUMBER(AF350)),NOT(ISNUMBER(AJ350)),NOT(ISNUMBER(AP350))),"",
IFERROR(IF((AD350-AF350)/(AJ350/60)/(AP350/1000)&lt;=0,"",(AD350-AF350)/(AJ350/60)/(AP350/1000)),""))</f>
        <v/>
      </c>
    </row>
    <row r="351" spans="1:58" ht="15.75">
      <c r="B351" s="94">
        <v>45611</v>
      </c>
      <c r="C351" s="1">
        <v>107</v>
      </c>
      <c r="D351" s="3">
        <v>346</v>
      </c>
      <c r="E351" s="205" t="str">
        <f t="shared" si="23"/>
        <v/>
      </c>
      <c r="K351" s="10" t="str">
        <f t="shared" si="20"/>
        <v/>
      </c>
      <c r="L351" s="9" t="str">
        <f t="shared" si="21"/>
        <v/>
      </c>
      <c r="M351" s="8" t="str">
        <f t="shared" si="22"/>
        <v/>
      </c>
      <c r="X351" s="6">
        <v>0.18</v>
      </c>
      <c r="AB351" s="5">
        <v>80</v>
      </c>
      <c r="AG351" s="67">
        <v>5.0599999999999996</v>
      </c>
      <c r="AH351" s="101">
        <v>0.52083333333333337</v>
      </c>
      <c r="AJ351" s="1">
        <v>175</v>
      </c>
      <c r="AK351" s="3">
        <v>180</v>
      </c>
      <c r="AN351" s="80">
        <f>360-AK351-AB351</f>
        <v>100</v>
      </c>
      <c r="AP351" s="103">
        <f>AVERAGE(AO347,AO356)</f>
        <v>2180.0000000000182</v>
      </c>
      <c r="AR351" s="17" t="e">
        <f>(E351-W351)/E351</f>
        <v>#VALUE!</v>
      </c>
      <c r="AS351" s="16" t="e">
        <f>(I351-AF351)/I351</f>
        <v>#DIV/0!</v>
      </c>
      <c r="AT351" s="16" t="e">
        <f>AG351/(AD351-AF351)</f>
        <v>#DIV/0!</v>
      </c>
      <c r="AU351" s="16" t="e">
        <f>(G351-AM351)/G351</f>
        <v>#DIV/0!</v>
      </c>
      <c r="AV351" s="57" t="str">
        <f>IF(AND(ISNUMBER(E351),ISNUMBER(W351)),E351-W351,"")</f>
        <v/>
      </c>
      <c r="AW351" s="57" t="str">
        <f>IF(AND(ISNUMBER(I351),ISNUMBER(AF351)),I351-AF351,"")</f>
        <v/>
      </c>
      <c r="AX351" s="57" t="str">
        <f>IF(AND(ISNUMBER(AM351),ISNUMBER(G351)),G351-AM351,"")</f>
        <v/>
      </c>
      <c r="AY351" s="57" t="str">
        <f>IF(AND(ISNUMBER(AC351),ISNUMBER(AE351)),AC351-AE351,"")</f>
        <v/>
      </c>
      <c r="AZ351" s="57" t="str">
        <f>IF(AND(ISNUMBER(AL351),ISNUMBER(AM351)),AL351-AM351,"")</f>
        <v/>
      </c>
      <c r="BA351" s="60" t="str">
        <f>IF(AND($E351&gt;0,$W351&gt;0),IF(($E351-$W351)/$E351&gt;0,($E351-$W351)/$E351,0),"")</f>
        <v/>
      </c>
      <c r="BB351" s="60" t="str">
        <f>IF(AND($I351&gt;0,$AF351&gt;=0),IF(($I351-$AF351)/$I351&gt;0,($I351-$AF351)/$I351,0),"")</f>
        <v/>
      </c>
      <c r="BC351" s="60"/>
      <c r="BD351" s="60" t="str">
        <f>IF(AND($G351&gt;0,$AM351&gt;0),IF(($G351-$AM351)/$G351&gt;0,($G351-$AM351)/$G351,0),"")</f>
        <v/>
      </c>
      <c r="BE351" s="6" t="str">
        <f>IF((AD351-AF351)/(AJ351/60)&lt;=0,"",(AD351-AF351)/(AJ351/60))</f>
        <v/>
      </c>
      <c r="BF351" s="6" t="str">
        <f>IF(OR(AJ351=0,AP351=0,NOT(ISNUMBER(AD351)),NOT(ISNUMBER(AF351)),NOT(ISNUMBER(AJ351)),NOT(ISNUMBER(AP351))),"",
IFERROR(IF((AD351-AF351)/(AJ351/60)/(AP351/1000)&lt;=0,"",(AD351-AF351)/(AJ351/60)/(AP351/1000)),""))</f>
        <v/>
      </c>
    </row>
    <row r="352" spans="1:58" ht="15.75">
      <c r="B352" s="94">
        <v>45612</v>
      </c>
      <c r="C352" s="1">
        <v>108</v>
      </c>
      <c r="D352" s="3">
        <v>347</v>
      </c>
      <c r="E352" s="205" t="str">
        <f t="shared" si="23"/>
        <v/>
      </c>
      <c r="K352" s="10" t="str">
        <f t="shared" si="20"/>
        <v/>
      </c>
      <c r="L352" s="9" t="str">
        <f t="shared" si="21"/>
        <v/>
      </c>
      <c r="M352" s="8" t="str">
        <f t="shared" si="22"/>
        <v/>
      </c>
      <c r="X352" s="6">
        <v>0.18</v>
      </c>
      <c r="AB352" s="5">
        <v>80</v>
      </c>
      <c r="AG352" s="67">
        <v>4.93</v>
      </c>
      <c r="AH352" s="101">
        <v>0.51979166666666665</v>
      </c>
      <c r="AJ352" s="1">
        <v>175</v>
      </c>
      <c r="AK352" s="3">
        <v>180</v>
      </c>
      <c r="AN352" s="80">
        <f>360-AK352-AB352</f>
        <v>100</v>
      </c>
      <c r="AP352" s="103">
        <f>AVERAGE(AO347,AO356)</f>
        <v>2180.0000000000182</v>
      </c>
      <c r="AR352" s="17" t="e">
        <f>(E352-W352)/E352</f>
        <v>#VALUE!</v>
      </c>
      <c r="AS352" s="16" t="e">
        <f>(I352-AF352)/I352</f>
        <v>#DIV/0!</v>
      </c>
      <c r="AT352" s="16" t="e">
        <f>AG352/(AD352-AF352)</f>
        <v>#DIV/0!</v>
      </c>
      <c r="AU352" s="16" t="e">
        <f>(G352-AM352)/G352</f>
        <v>#DIV/0!</v>
      </c>
      <c r="AV352" s="57" t="str">
        <f>IF(AND(ISNUMBER(E352),ISNUMBER(W352)),E352-W352,"")</f>
        <v/>
      </c>
      <c r="AW352" s="57" t="str">
        <f>IF(AND(ISNUMBER(I352),ISNUMBER(AF352)),I352-AF352,"")</f>
        <v/>
      </c>
      <c r="AX352" s="57" t="str">
        <f>IF(AND(ISNUMBER(AM352),ISNUMBER(G352)),G352-AM352,"")</f>
        <v/>
      </c>
      <c r="AY352" s="57" t="str">
        <f>IF(AND(ISNUMBER(AC352),ISNUMBER(AE352)),AC352-AE352,"")</f>
        <v/>
      </c>
      <c r="AZ352" s="57" t="str">
        <f>IF(AND(ISNUMBER(AL352),ISNUMBER(AM352)),AL352-AM352,"")</f>
        <v/>
      </c>
      <c r="BA352" s="60" t="str">
        <f>IF(AND($E352&gt;0,$W352&gt;0),IF(($E352-$W352)/$E352&gt;0,($E352-$W352)/$E352,0),"")</f>
        <v/>
      </c>
      <c r="BB352" s="60" t="str">
        <f>IF(AND($I352&gt;0,$AF352&gt;=0),IF(($I352-$AF352)/$I352&gt;0,($I352-$AF352)/$I352,0),"")</f>
        <v/>
      </c>
      <c r="BC352" s="60"/>
      <c r="BD352" s="60" t="str">
        <f>IF(AND($G352&gt;0,$AM352&gt;0),IF(($G352-$AM352)/$G352&gt;0,($G352-$AM352)/$G352,0),"")</f>
        <v/>
      </c>
      <c r="BE352" s="6" t="str">
        <f>IF((AD352-AF352)/(AJ352/60)&lt;=0,"",(AD352-AF352)/(AJ352/60))</f>
        <v/>
      </c>
      <c r="BF352" s="6" t="str">
        <f>IF(OR(AJ352=0,AP352=0,NOT(ISNUMBER(AD352)),NOT(ISNUMBER(AF352)),NOT(ISNUMBER(AJ352)),NOT(ISNUMBER(AP352))),"",
IFERROR(IF((AD352-AF352)/(AJ352/60)/(AP352/1000)&lt;=0,"",(AD352-AF352)/(AJ352/60)/(AP352/1000)),""))</f>
        <v/>
      </c>
    </row>
    <row r="353" spans="1:58" ht="15.75">
      <c r="B353" s="94">
        <v>45613</v>
      </c>
      <c r="C353" s="1">
        <v>109</v>
      </c>
      <c r="D353" s="3">
        <v>348</v>
      </c>
      <c r="E353" s="205" t="str">
        <f t="shared" si="23"/>
        <v/>
      </c>
      <c r="K353" s="10" t="str">
        <f t="shared" si="20"/>
        <v/>
      </c>
      <c r="L353" s="9" t="str">
        <f t="shared" si="21"/>
        <v/>
      </c>
      <c r="M353" s="8" t="str">
        <f t="shared" si="22"/>
        <v/>
      </c>
      <c r="X353" s="6">
        <v>0.18</v>
      </c>
      <c r="AB353" s="5">
        <v>80</v>
      </c>
      <c r="AG353" s="67">
        <v>5.35</v>
      </c>
      <c r="AH353" s="101">
        <v>0.52083333333333337</v>
      </c>
      <c r="AJ353" s="1">
        <v>175</v>
      </c>
      <c r="AK353" s="3">
        <v>180</v>
      </c>
      <c r="AN353" s="80">
        <f>360-AK353-AB353</f>
        <v>100</v>
      </c>
      <c r="AP353" s="13">
        <f>AVERAGE(AO351:AO357)</f>
        <v>2120.0000000000273</v>
      </c>
      <c r="AR353" s="17" t="e">
        <f>(E353-W353)/E353</f>
        <v>#VALUE!</v>
      </c>
      <c r="AS353" s="16" t="e">
        <f>(I353-AF353)/I353</f>
        <v>#DIV/0!</v>
      </c>
      <c r="AT353" s="16" t="e">
        <f>AG353/(AD353-AF353)</f>
        <v>#DIV/0!</v>
      </c>
      <c r="AU353" s="16" t="e">
        <f>(G353-AM353)/G353</f>
        <v>#DIV/0!</v>
      </c>
      <c r="AV353" s="57" t="str">
        <f>IF(AND(ISNUMBER(E353),ISNUMBER(W353)),E353-W353,"")</f>
        <v/>
      </c>
      <c r="AW353" s="57" t="str">
        <f>IF(AND(ISNUMBER(I353),ISNUMBER(AF353)),I353-AF353,"")</f>
        <v/>
      </c>
      <c r="AX353" s="57" t="str">
        <f>IF(AND(ISNUMBER(AM353),ISNUMBER(G353)),G353-AM353,"")</f>
        <v/>
      </c>
      <c r="AY353" s="57" t="str">
        <f>IF(AND(ISNUMBER(AC353),ISNUMBER(AE353)),AC353-AE353,"")</f>
        <v/>
      </c>
      <c r="AZ353" s="57" t="str">
        <f>IF(AND(ISNUMBER(AL353),ISNUMBER(AM353)),AL353-AM353,"")</f>
        <v/>
      </c>
      <c r="BA353" s="60" t="str">
        <f>IF(AND($E353&gt;0,$W353&gt;0),IF(($E353-$W353)/$E353&gt;0,($E353-$W353)/$E353,0),"")</f>
        <v/>
      </c>
      <c r="BB353" s="60" t="str">
        <f>IF(AND($I353&gt;0,$AF353&gt;=0),IF(($I353-$AF353)/$I353&gt;0,($I353-$AF353)/$I353,0),"")</f>
        <v/>
      </c>
      <c r="BC353" s="60"/>
      <c r="BD353" s="60" t="str">
        <f>IF(AND($G353&gt;0,$AM353&gt;0),IF(($G353-$AM353)/$G353&gt;0,($G353-$AM353)/$G353,0),"")</f>
        <v/>
      </c>
      <c r="BE353" s="6" t="str">
        <f>IF((AD353-AF353)/(AJ353/60)&lt;=0,"",(AD353-AF353)/(AJ353/60))</f>
        <v/>
      </c>
      <c r="BF353" s="6" t="str">
        <f>IF(OR(AJ353=0,AP353=0,NOT(ISNUMBER(AD353)),NOT(ISNUMBER(AF353)),NOT(ISNUMBER(AJ353)),NOT(ISNUMBER(AP353))),"",
IFERROR(IF((AD353-AF353)/(AJ353/60)/(AP353/1000)&lt;=0,"",(AD353-AF353)/(AJ353/60)/(AP353/1000)),""))</f>
        <v/>
      </c>
    </row>
    <row r="354" spans="1:58" ht="15.75">
      <c r="B354" s="94">
        <v>45614</v>
      </c>
      <c r="C354" s="1">
        <v>110</v>
      </c>
      <c r="D354" s="3">
        <v>349</v>
      </c>
      <c r="E354" s="205" t="str">
        <f t="shared" si="23"/>
        <v/>
      </c>
      <c r="K354" s="10" t="str">
        <f t="shared" si="20"/>
        <v/>
      </c>
      <c r="L354" s="9" t="str">
        <f t="shared" si="21"/>
        <v/>
      </c>
      <c r="M354" s="8" t="str">
        <f t="shared" si="22"/>
        <v/>
      </c>
      <c r="X354" s="6">
        <v>0.19</v>
      </c>
      <c r="AB354" s="5">
        <v>80</v>
      </c>
      <c r="AG354" s="67">
        <v>5.1100000000000003</v>
      </c>
      <c r="AH354" s="101">
        <v>0.5200231481481481</v>
      </c>
      <c r="AJ354" s="1">
        <v>175</v>
      </c>
      <c r="AK354" s="3">
        <v>180</v>
      </c>
      <c r="AN354" s="80">
        <f>360-AK354-AB354</f>
        <v>100</v>
      </c>
      <c r="AP354" s="13">
        <f>AVERAGE(AO352:AO358)</f>
        <v>2120.0000000000273</v>
      </c>
      <c r="AR354" s="17" t="e">
        <f>(E354-W354)/E354</f>
        <v>#VALUE!</v>
      </c>
      <c r="AS354" s="16" t="e">
        <f>(I354-AF354)/I354</f>
        <v>#DIV/0!</v>
      </c>
      <c r="AT354" s="16" t="e">
        <f>AG354/(AD354-AF354)</f>
        <v>#DIV/0!</v>
      </c>
      <c r="AU354" s="16" t="e">
        <f>(G354-AM354)/G354</f>
        <v>#DIV/0!</v>
      </c>
      <c r="AV354" s="57" t="str">
        <f>IF(AND(ISNUMBER(E354),ISNUMBER(W354)),E354-W354,"")</f>
        <v/>
      </c>
      <c r="AW354" s="57" t="str">
        <f>IF(AND(ISNUMBER(I354),ISNUMBER(AF354)),I354-AF354,"")</f>
        <v/>
      </c>
      <c r="AX354" s="57" t="str">
        <f>IF(AND(ISNUMBER(AM354),ISNUMBER(G354)),G354-AM354,"")</f>
        <v/>
      </c>
      <c r="AY354" s="57" t="str">
        <f>IF(AND(ISNUMBER(AC354),ISNUMBER(AE354)),AC354-AE354,"")</f>
        <v/>
      </c>
      <c r="AZ354" s="57" t="str">
        <f>IF(AND(ISNUMBER(AL354),ISNUMBER(AM354)),AL354-AM354,"")</f>
        <v/>
      </c>
      <c r="BA354" s="60" t="str">
        <f>IF(AND($E354&gt;0,$W354&gt;0),IF(($E354-$W354)/$E354&gt;0,($E354-$W354)/$E354,0),"")</f>
        <v/>
      </c>
      <c r="BB354" s="60" t="str">
        <f>IF(AND($I354&gt;0,$AF354&gt;=0),IF(($I354-$AF354)/$I354&gt;0,($I354-$AF354)/$I354,0),"")</f>
        <v/>
      </c>
      <c r="BC354" s="60"/>
      <c r="BD354" s="60" t="str">
        <f>IF(AND($G354&gt;0,$AM354&gt;0),IF(($G354-$AM354)/$G354&gt;0,($G354-$AM354)/$G354,0),"")</f>
        <v/>
      </c>
      <c r="BE354" s="6" t="str">
        <f>IF((AD354-AF354)/(AJ354/60)&lt;=0,"",(AD354-AF354)/(AJ354/60))</f>
        <v/>
      </c>
      <c r="BF354" s="6" t="str">
        <f>IF(OR(AJ354=0,AP354=0,NOT(ISNUMBER(AD354)),NOT(ISNUMBER(AF354)),NOT(ISNUMBER(AJ354)),NOT(ISNUMBER(AP354))),"",
IFERROR(IF((AD354-AF354)/(AJ354/60)/(AP354/1000)&lt;=0,"",(AD354-AF354)/(AJ354/60)/(AP354/1000)),""))</f>
        <v/>
      </c>
    </row>
    <row r="355" spans="1:58" ht="15.75">
      <c r="B355" s="94">
        <v>45615</v>
      </c>
      <c r="C355" s="1">
        <v>111</v>
      </c>
      <c r="D355" s="3">
        <v>350</v>
      </c>
      <c r="E355" s="205">
        <f t="shared" si="23"/>
        <v>253.13155</v>
      </c>
      <c r="G355" s="15">
        <f>(N355*18-H355*18)/9</f>
        <v>13.98</v>
      </c>
      <c r="H355" s="9">
        <v>4.26</v>
      </c>
      <c r="I355" s="15">
        <f>AD355</f>
        <v>25.150000000000002</v>
      </c>
      <c r="K355" s="10">
        <f t="shared" si="20"/>
        <v>18.106691702432045</v>
      </c>
      <c r="L355" s="9">
        <f t="shared" si="21"/>
        <v>5.0324363817097408</v>
      </c>
      <c r="M355" s="8">
        <f t="shared" si="22"/>
        <v>3.5979971387696712</v>
      </c>
      <c r="N355" s="7">
        <f>5*2.25</f>
        <v>11.25</v>
      </c>
      <c r="O355">
        <v>79.873000000000005</v>
      </c>
      <c r="P355">
        <v>27.306000000000001</v>
      </c>
      <c r="Q355" s="6">
        <f>O355*1.067</f>
        <v>85.224491</v>
      </c>
      <c r="R355" s="6">
        <f>P355*1.514</f>
        <v>41.341284000000002</v>
      </c>
      <c r="S355" s="23">
        <f>P355*1.514+O355*1.067</f>
        <v>126.565775</v>
      </c>
      <c r="T355" s="6">
        <f>5*4.9</f>
        <v>24.5</v>
      </c>
      <c r="U355">
        <v>1.6579999999999999</v>
      </c>
      <c r="V355">
        <v>1.883</v>
      </c>
      <c r="W355" s="23">
        <f>U355*1.067+V355*1.514</f>
        <v>4.6199479999999999</v>
      </c>
      <c r="X355" s="6">
        <v>0.46</v>
      </c>
      <c r="AB355" s="5">
        <v>80</v>
      </c>
      <c r="AC355" s="7">
        <f>T355</f>
        <v>24.5</v>
      </c>
      <c r="AD355" s="1">
        <f>5*5.03</f>
        <v>25.150000000000002</v>
      </c>
      <c r="AE355" s="1">
        <f>5*2.66</f>
        <v>13.3</v>
      </c>
      <c r="AF355" s="1">
        <f>2*5.58</f>
        <v>11.16</v>
      </c>
      <c r="AG355" s="67">
        <v>3.88</v>
      </c>
      <c r="AH355" s="101">
        <v>0.52013888888888893</v>
      </c>
      <c r="AJ355" s="1">
        <v>175</v>
      </c>
      <c r="AK355" s="3">
        <v>180</v>
      </c>
      <c r="AL355" s="4">
        <f>AE355</f>
        <v>13.3</v>
      </c>
      <c r="AM355" s="1">
        <f>5*1.95</f>
        <v>9.75</v>
      </c>
      <c r="AN355" s="80">
        <f>360-AK355-AB355</f>
        <v>100</v>
      </c>
      <c r="AP355" s="13">
        <f>AVERAGE(AO353:AO359)</f>
        <v>2120.0000000000273</v>
      </c>
      <c r="AR355" s="17">
        <f>(E355-W355)/E355</f>
        <v>0.98174882585754331</v>
      </c>
      <c r="AS355" s="16">
        <f>(I355-AF355)/I355</f>
        <v>0.55626242544731619</v>
      </c>
      <c r="AT355" s="16">
        <f>AG355/(AD355-AF355)</f>
        <v>0.27734095782701923</v>
      </c>
      <c r="AU355" s="16">
        <f>(G355-AM355)/G355</f>
        <v>0.30257510729613735</v>
      </c>
      <c r="AV355" s="57">
        <f>IF(AND(ISNUMBER(E355),ISNUMBER(W355)),E355-W355,"")</f>
        <v>248.51160200000001</v>
      </c>
      <c r="AW355" s="57">
        <f>IF(AND(ISNUMBER(I355),ISNUMBER(AF355)),I355-AF355,"")</f>
        <v>13.990000000000002</v>
      </c>
      <c r="AX355" s="57">
        <f>IF(AND(ISNUMBER(AM355),ISNUMBER(G355)),G355-AM355,"")</f>
        <v>4.2300000000000004</v>
      </c>
      <c r="AY355" s="57">
        <f>IF(AND(ISNUMBER(AC355),ISNUMBER(AE355)),AC355-AE355,"")</f>
        <v>11.2</v>
      </c>
      <c r="AZ355" s="57">
        <f>IF(AND(ISNUMBER(AL355),ISNUMBER(AM355)),AL355-AM355,"")</f>
        <v>3.5500000000000007</v>
      </c>
      <c r="BA355" s="60">
        <f>IF(AND($E355&gt;0,$W355&gt;0),IF(($E355-$W355)/$E355&gt;0,($E355-$W355)/$E355,0),"")</f>
        <v>0.98174882585754331</v>
      </c>
      <c r="BB355" s="60">
        <f>IF(AND($I355&gt;0,$AF355&gt;=0),IF(($I355-$AF355)/$I355&gt;0,($I355-$AF355)/$I355,0),"")</f>
        <v>0.55626242544731619</v>
      </c>
      <c r="BC355" s="60">
        <f>IF(AND($AG355&gt;=0,$AD355&gt;=0,$AF355&gt;=0),IF($AG355/($AD355-$AF355)&gt;0,$AG355/($AD355-$AF355),0),"")</f>
        <v>0.27734095782701923</v>
      </c>
      <c r="BD355" s="60">
        <f>IF(AND($G355&gt;0,$AM355&gt;0),IF(($G355-$AM355)/$G355&gt;0,($G355-$AM355)/$G355,0),"")</f>
        <v>0.30257510729613735</v>
      </c>
      <c r="BE355" s="6">
        <f>IF((AD355-AF355)/(AJ355/60)&lt;=0,"",(AD355-AF355)/(AJ355/60))</f>
        <v>4.7965714285714292</v>
      </c>
      <c r="BF355" s="6">
        <f>IF(OR(AJ355=0,AP355=0,NOT(ISNUMBER(AD355)),NOT(ISNUMBER(AF355)),NOT(ISNUMBER(AJ355)),NOT(ISNUMBER(AP355))),"",
IFERROR(IF((AD355-AF355)/(AJ355/60)/(AP355/1000)&lt;=0,"",(AD355-AF355)/(AJ355/60)/(AP355/1000)),""))</f>
        <v>2.2625336927223434</v>
      </c>
    </row>
    <row r="356" spans="1:58" ht="15.75">
      <c r="B356" s="94">
        <v>45616</v>
      </c>
      <c r="C356" s="1">
        <v>112</v>
      </c>
      <c r="D356" s="3">
        <v>351</v>
      </c>
      <c r="E356" s="205" t="str">
        <f t="shared" si="23"/>
        <v/>
      </c>
      <c r="K356" s="10" t="str">
        <f t="shared" si="20"/>
        <v/>
      </c>
      <c r="L356" s="9" t="str">
        <f t="shared" si="21"/>
        <v/>
      </c>
      <c r="M356" s="8" t="str">
        <f t="shared" si="22"/>
        <v/>
      </c>
      <c r="X356" s="6">
        <v>0.18</v>
      </c>
      <c r="AB356" s="5">
        <v>80</v>
      </c>
      <c r="AD356" s="95">
        <v>24.5</v>
      </c>
      <c r="AG356" s="67">
        <v>3.93</v>
      </c>
      <c r="AH356" s="101">
        <v>0.52025462962962965</v>
      </c>
      <c r="AJ356" s="1">
        <v>175</v>
      </c>
      <c r="AK356" s="3">
        <v>180</v>
      </c>
      <c r="AN356" s="80">
        <f>360-AK356-AB356</f>
        <v>100</v>
      </c>
      <c r="AO356" s="2">
        <v>2120.0000000000273</v>
      </c>
      <c r="AP356" s="13">
        <f>AVERAGE(AO354:AO360)</f>
        <v>2120.0000000000273</v>
      </c>
      <c r="AQ356" s="2">
        <v>21.469562281985027</v>
      </c>
      <c r="AR356" s="17"/>
      <c r="AS356" s="16"/>
      <c r="AT356" s="16"/>
      <c r="AU356" s="16"/>
      <c r="AV356" s="57" t="str">
        <f>IF(AND(ISNUMBER(E356),ISNUMBER(W356)),E356-W356,"")</f>
        <v/>
      </c>
      <c r="AW356" s="57" t="str">
        <f>IF(AND(ISNUMBER(I356),ISNUMBER(AF356)),I356-AF356,"")</f>
        <v/>
      </c>
      <c r="AX356" s="57" t="str">
        <f>IF(AND(ISNUMBER(AM356),ISNUMBER(G356)),G356-AM356,"")</f>
        <v/>
      </c>
      <c r="AY356" s="57" t="str">
        <f>IF(AND(ISNUMBER(AC356),ISNUMBER(AE356)),AC356-AE356,"")</f>
        <v/>
      </c>
      <c r="AZ356" s="57" t="str">
        <f>IF(AND(ISNUMBER(AL356),ISNUMBER(AM356)),AL356-AM356,"")</f>
        <v/>
      </c>
      <c r="BA356" s="60" t="str">
        <f>IF(AND($E356&gt;0,$W356&gt;0),IF(($E356-$W356)/$E356&gt;0,($E356-$W356)/$E356,0),"")</f>
        <v/>
      </c>
      <c r="BB356" s="60" t="str">
        <f>IF(AND($I356&gt;0,$AF356&gt;=0),IF(($I356-$AF356)/$I356&gt;0,($I356-$AF356)/$I356,0),"")</f>
        <v/>
      </c>
      <c r="BC356" s="60">
        <f>IF(AND($AG356&gt;=0,$AD356&gt;=0,$AF356&gt;=0),IF($AG356/($AD356-$AF356)&gt;0,$AG356/($AD356-$AF356),0),"")</f>
        <v>0.16040816326530613</v>
      </c>
      <c r="BD356" s="60" t="str">
        <f>IF(AND($G356&gt;0,$AM356&gt;0),IF(($G356-$AM356)/$G356&gt;0,($G356-$AM356)/$G356,0),"")</f>
        <v/>
      </c>
      <c r="BE356" s="6">
        <f>IF((AD356-AF356)/(AJ356/60)&lt;=0,"",(AD356-AF356)/(AJ356/60))</f>
        <v>8.4</v>
      </c>
      <c r="BF356" s="6" t="str">
        <f>IF(OR(AJ356=0,AP356=0,NOT(ISNUMBER(AD356)),NOT(ISNUMBER(AF356)),NOT(ISNUMBER(AJ356)),NOT(ISNUMBER(AP356))),"",
IFERROR(IF((AD356-AF356)/(AJ356/60)/(AP356/1000)&lt;=0,"",(AD356-AF356)/(AJ356/60)/(AP356/1000)),""))</f>
        <v/>
      </c>
    </row>
    <row r="357" spans="1:58" ht="15.75">
      <c r="B357" s="94">
        <v>45617</v>
      </c>
      <c r="C357" s="1">
        <v>113</v>
      </c>
      <c r="D357" s="3">
        <v>352</v>
      </c>
      <c r="E357" s="205" t="str">
        <f t="shared" si="23"/>
        <v/>
      </c>
      <c r="K357" s="10" t="str">
        <f t="shared" ref="K357:K420" si="24">IF(OR(E357="",G357="",E357=0,G357=0),"",E357/G357)</f>
        <v/>
      </c>
      <c r="L357" s="9" t="str">
        <f t="shared" ref="L357:L420" si="25">IF(OR(E357="",I357="",E357=0,I357=0),"",E357/(I357*2))</f>
        <v/>
      </c>
      <c r="M357" s="8" t="str">
        <f t="shared" ref="M357:M420" si="26">IF(OR(I357="",G357="",I357=0,G357=0),"",I357*2/G357)</f>
        <v/>
      </c>
      <c r="X357" s="6">
        <v>0.18</v>
      </c>
      <c r="AB357" s="5">
        <v>80</v>
      </c>
      <c r="AD357" s="95">
        <v>24</v>
      </c>
      <c r="AG357" s="67">
        <v>3.95</v>
      </c>
      <c r="AH357" s="101">
        <v>0.51932870370370365</v>
      </c>
      <c r="AJ357" s="1">
        <v>175</v>
      </c>
      <c r="AK357" s="3">
        <v>180</v>
      </c>
      <c r="AN357" s="80">
        <f>360-AK357-AB357</f>
        <v>100</v>
      </c>
      <c r="AP357" s="13">
        <f>AVERAGE(AO355:AO361)</f>
        <v>2120.0000000000273</v>
      </c>
      <c r="AR357" s="17"/>
      <c r="AS357" s="16"/>
      <c r="AT357" s="16"/>
      <c r="AU357" s="16"/>
      <c r="AV357" s="57" t="str">
        <f>IF(AND(ISNUMBER(E357),ISNUMBER(W357)),E357-W357,"")</f>
        <v/>
      </c>
      <c r="AW357" s="57" t="str">
        <f>IF(AND(ISNUMBER(I357),ISNUMBER(AF357)),I357-AF357,"")</f>
        <v/>
      </c>
      <c r="AX357" s="57" t="str">
        <f>IF(AND(ISNUMBER(AM357),ISNUMBER(G357)),G357-AM357,"")</f>
        <v/>
      </c>
      <c r="AY357" s="57" t="str">
        <f>IF(AND(ISNUMBER(AC357),ISNUMBER(AE357)),AC357-AE357,"")</f>
        <v/>
      </c>
      <c r="AZ357" s="57" t="str">
        <f>IF(AND(ISNUMBER(AL357),ISNUMBER(AM357)),AL357-AM357,"")</f>
        <v/>
      </c>
      <c r="BA357" s="60" t="str">
        <f>IF(AND($E357&gt;0,$W357&gt;0),IF(($E357-$W357)/$E357&gt;0,($E357-$W357)/$E357,0),"")</f>
        <v/>
      </c>
      <c r="BB357" s="60" t="str">
        <f>IF(AND($I357&gt;0,$AF357&gt;=0),IF(($I357-$AF357)/$I357&gt;0,($I357-$AF357)/$I357,0),"")</f>
        <v/>
      </c>
      <c r="BC357" s="60">
        <f>IF(AND($AG357&gt;=0,$AD357&gt;=0,$AF357&gt;=0),IF($AG357/($AD357-$AF357)&gt;0,$AG357/($AD357-$AF357),0),"")</f>
        <v>0.16458333333333333</v>
      </c>
      <c r="BD357" s="60" t="str">
        <f>IF(AND($G357&gt;0,$AM357&gt;0),IF(($G357-$AM357)/$G357&gt;0,($G357-$AM357)/$G357,0),"")</f>
        <v/>
      </c>
      <c r="BE357" s="6">
        <f>IF((AD357-AF357)/(AJ357/60)&lt;=0,"",(AD357-AF357)/(AJ357/60))</f>
        <v>8.2285714285714295</v>
      </c>
      <c r="BF357" s="6" t="str">
        <f>IF(OR(AJ357=0,AP357=0,NOT(ISNUMBER(AD357)),NOT(ISNUMBER(AF357)),NOT(ISNUMBER(AJ357)),NOT(ISNUMBER(AP357))),"",
IFERROR(IF((AD357-AF357)/(AJ357/60)/(AP357/1000)&lt;=0,"",(AD357-AF357)/(AJ357/60)/(AP357/1000)),""))</f>
        <v/>
      </c>
    </row>
    <row r="358" spans="1:58" ht="15.75">
      <c r="B358" s="94">
        <v>45618</v>
      </c>
      <c r="C358" s="1">
        <v>114</v>
      </c>
      <c r="D358" s="3">
        <v>353</v>
      </c>
      <c r="E358" s="205" t="str">
        <f t="shared" si="23"/>
        <v/>
      </c>
      <c r="K358" s="10" t="str">
        <f t="shared" si="24"/>
        <v/>
      </c>
      <c r="L358" s="9" t="str">
        <f t="shared" si="25"/>
        <v/>
      </c>
      <c r="M358" s="8" t="str">
        <f t="shared" si="26"/>
        <v/>
      </c>
      <c r="X358" s="6">
        <v>0.17</v>
      </c>
      <c r="AB358" s="5">
        <v>80</v>
      </c>
      <c r="AD358" s="95">
        <v>23.5</v>
      </c>
      <c r="AG358" s="67">
        <v>4.4800000000000004</v>
      </c>
      <c r="AH358" s="101">
        <v>0.51967592592592593</v>
      </c>
      <c r="AJ358" s="1">
        <v>175</v>
      </c>
      <c r="AK358" s="3">
        <v>180</v>
      </c>
      <c r="AN358" s="80">
        <f>360-AK358-AB358</f>
        <v>100</v>
      </c>
      <c r="AP358" s="13">
        <f>AVERAGE(AO356:AO362)</f>
        <v>2205.0000000000068</v>
      </c>
      <c r="AR358" s="17"/>
      <c r="AS358" s="16"/>
      <c r="AT358" s="16"/>
      <c r="AU358" s="16"/>
      <c r="AV358" s="57" t="str">
        <f>IF(AND(ISNUMBER(E358),ISNUMBER(W358)),E358-W358,"")</f>
        <v/>
      </c>
      <c r="AW358" s="57" t="str">
        <f>IF(AND(ISNUMBER(I358),ISNUMBER(AF358)),I358-AF358,"")</f>
        <v/>
      </c>
      <c r="AX358" s="57" t="str">
        <f>IF(AND(ISNUMBER(AM358),ISNUMBER(G358)),G358-AM358,"")</f>
        <v/>
      </c>
      <c r="AY358" s="57" t="str">
        <f>IF(AND(ISNUMBER(AC358),ISNUMBER(AE358)),AC358-AE358,"")</f>
        <v/>
      </c>
      <c r="AZ358" s="57" t="str">
        <f>IF(AND(ISNUMBER(AL358),ISNUMBER(AM358)),AL358-AM358,"")</f>
        <v/>
      </c>
      <c r="BA358" s="60" t="str">
        <f>IF(AND($E358&gt;0,$W358&gt;0),IF(($E358-$W358)/$E358&gt;0,($E358-$W358)/$E358,0),"")</f>
        <v/>
      </c>
      <c r="BB358" s="60" t="str">
        <f>IF(AND($I358&gt;0,$AF358&gt;=0),IF(($I358-$AF358)/$I358&gt;0,($I358-$AF358)/$I358,0),"")</f>
        <v/>
      </c>
      <c r="BC358" s="60">
        <f>IF(AND($AG358&gt;=0,$AD358&gt;=0,$AF358&gt;=0),IF($AG358/($AD358-$AF358)&gt;0,$AG358/($AD358-$AF358),0),"")</f>
        <v>0.19063829787234043</v>
      </c>
      <c r="BD358" s="60" t="str">
        <f>IF(AND($G358&gt;0,$AM358&gt;0),IF(($G358-$AM358)/$G358&gt;0,($G358-$AM358)/$G358,0),"")</f>
        <v/>
      </c>
      <c r="BE358" s="6">
        <f>IF((AD358-AF358)/(AJ358/60)&lt;=0,"",(AD358-AF358)/(AJ358/60))</f>
        <v>8.0571428571428569</v>
      </c>
      <c r="BF358" s="6" t="str">
        <f>IF(OR(AJ358=0,AP358=0,NOT(ISNUMBER(AD358)),NOT(ISNUMBER(AF358)),NOT(ISNUMBER(AJ358)),NOT(ISNUMBER(AP358))),"",
IFERROR(IF((AD358-AF358)/(AJ358/60)/(AP358/1000)&lt;=0,"",(AD358-AF358)/(AJ358/60)/(AP358/1000)),""))</f>
        <v/>
      </c>
    </row>
    <row r="359" spans="1:58" ht="15.75">
      <c r="B359" s="94">
        <v>45619</v>
      </c>
      <c r="C359" s="1">
        <v>115</v>
      </c>
      <c r="D359" s="3">
        <v>354</v>
      </c>
      <c r="E359" s="205" t="str">
        <f t="shared" si="23"/>
        <v/>
      </c>
      <c r="K359" s="10" t="str">
        <f t="shared" si="24"/>
        <v/>
      </c>
      <c r="L359" s="9" t="str">
        <f t="shared" si="25"/>
        <v/>
      </c>
      <c r="M359" s="8" t="str">
        <f t="shared" si="26"/>
        <v/>
      </c>
      <c r="X359" s="6">
        <v>0.44</v>
      </c>
      <c r="AB359" s="5">
        <v>80</v>
      </c>
      <c r="AD359" s="95">
        <v>23</v>
      </c>
      <c r="AG359" s="67">
        <v>4.6500000000000004</v>
      </c>
      <c r="AH359" s="101">
        <v>0.51168981481481479</v>
      </c>
      <c r="AJ359" s="1">
        <v>175</v>
      </c>
      <c r="AK359" s="3">
        <v>180</v>
      </c>
      <c r="AN359" s="80">
        <f>360-AK359-AB359</f>
        <v>100</v>
      </c>
      <c r="AP359" s="13"/>
      <c r="AR359" s="17"/>
      <c r="AS359" s="16"/>
      <c r="AT359" s="16"/>
      <c r="AU359" s="16"/>
      <c r="AV359" s="57" t="str">
        <f>IF(AND(ISNUMBER(E359),ISNUMBER(W359)),E359-W359,"")</f>
        <v/>
      </c>
      <c r="AW359" s="57" t="str">
        <f>IF(AND(ISNUMBER(I359),ISNUMBER(AF359)),I359-AF359,"")</f>
        <v/>
      </c>
      <c r="AX359" s="57" t="str">
        <f>IF(AND(ISNUMBER(AM359),ISNUMBER(G359)),G359-AM359,"")</f>
        <v/>
      </c>
      <c r="AY359" s="57" t="str">
        <f>IF(AND(ISNUMBER(AC359),ISNUMBER(AE359)),AC359-AE359,"")</f>
        <v/>
      </c>
      <c r="AZ359" s="57" t="str">
        <f>IF(AND(ISNUMBER(AL359),ISNUMBER(AM359)),AL359-AM359,"")</f>
        <v/>
      </c>
      <c r="BA359" s="60" t="str">
        <f>IF(AND($E359&gt;0,$W359&gt;0),IF(($E359-$W359)/$E359&gt;0,($E359-$W359)/$E359,0),"")</f>
        <v/>
      </c>
      <c r="BB359" s="60" t="str">
        <f>IF(AND($I359&gt;0,$AF359&gt;=0),IF(($I359-$AF359)/$I359&gt;0,($I359-$AF359)/$I359,0),"")</f>
        <v/>
      </c>
      <c r="BC359" s="60">
        <f>IF(AND($AG359&gt;=0,$AD359&gt;=0,$AF359&gt;=0),IF($AG359/($AD359-$AF359)&gt;0,$AG359/($AD359-$AF359),0),"")</f>
        <v>0.20217391304347829</v>
      </c>
      <c r="BD359" s="60" t="str">
        <f>IF(AND($G359&gt;0,$AM359&gt;0),IF(($G359-$AM359)/$G359&gt;0,($G359-$AM359)/$G359,0),"")</f>
        <v/>
      </c>
      <c r="BE359" s="6">
        <f>IF((AD359-AF359)/(AJ359/60)&lt;=0,"",(AD359-AF359)/(AJ359/60))</f>
        <v>7.8857142857142861</v>
      </c>
      <c r="BF359" s="6" t="str">
        <f>IF(OR(AJ359=0,AP359=0,NOT(ISNUMBER(AD359)),NOT(ISNUMBER(AF359)),NOT(ISNUMBER(AJ359)),NOT(ISNUMBER(AP359))),"",
IFERROR(IF((AD359-AF359)/(AJ359/60)/(AP359/1000)&lt;=0,"",(AD359-AF359)/(AJ359/60)/(AP359/1000)),""))</f>
        <v/>
      </c>
    </row>
    <row r="360" spans="1:58" ht="15.75">
      <c r="B360" s="94">
        <v>45620</v>
      </c>
      <c r="C360" s="1">
        <v>116</v>
      </c>
      <c r="D360" s="3">
        <v>355</v>
      </c>
      <c r="E360" s="205" t="str">
        <f t="shared" si="23"/>
        <v/>
      </c>
      <c r="K360" s="10" t="str">
        <f t="shared" si="24"/>
        <v/>
      </c>
      <c r="L360" s="9" t="str">
        <f t="shared" si="25"/>
        <v/>
      </c>
      <c r="M360" s="8" t="str">
        <f t="shared" si="26"/>
        <v/>
      </c>
      <c r="X360" s="6">
        <v>0.18</v>
      </c>
      <c r="AB360" s="5">
        <v>80</v>
      </c>
      <c r="AD360" s="95">
        <v>22.5</v>
      </c>
      <c r="AG360" s="67">
        <v>5.38</v>
      </c>
      <c r="AH360" s="101">
        <v>0.5180555555555556</v>
      </c>
      <c r="AJ360" s="1">
        <v>175</v>
      </c>
      <c r="AK360" s="3">
        <v>180</v>
      </c>
      <c r="AN360" s="80">
        <f>360-AK360-AB360</f>
        <v>100</v>
      </c>
      <c r="AP360" s="13">
        <f>AVERAGE(AO358:AO364)</f>
        <v>2289.9999999999864</v>
      </c>
      <c r="AR360" s="17"/>
      <c r="AS360" s="16"/>
      <c r="AT360" s="16"/>
      <c r="AU360" s="16"/>
      <c r="AV360" s="57" t="str">
        <f>IF(AND(ISNUMBER(E360),ISNUMBER(W360)),E360-W360,"")</f>
        <v/>
      </c>
      <c r="AW360" s="57" t="str">
        <f>IF(AND(ISNUMBER(I360),ISNUMBER(AF360)),I360-AF360,"")</f>
        <v/>
      </c>
      <c r="AX360" s="57" t="str">
        <f>IF(AND(ISNUMBER(AM360),ISNUMBER(G360)),G360-AM360,"")</f>
        <v/>
      </c>
      <c r="AY360" s="57" t="str">
        <f>IF(AND(ISNUMBER(AC360),ISNUMBER(AE360)),AC360-AE360,"")</f>
        <v/>
      </c>
      <c r="AZ360" s="57" t="str">
        <f>IF(AND(ISNUMBER(AL360),ISNUMBER(AM360)),AL360-AM360,"")</f>
        <v/>
      </c>
      <c r="BA360" s="60" t="str">
        <f>IF(AND($E360&gt;0,$W360&gt;0),IF(($E360-$W360)/$E360&gt;0,($E360-$W360)/$E360,0),"")</f>
        <v/>
      </c>
      <c r="BB360" s="60" t="str">
        <f>IF(AND($I360&gt;0,$AF360&gt;=0),IF(($I360-$AF360)/$I360&gt;0,($I360-$AF360)/$I360,0),"")</f>
        <v/>
      </c>
      <c r="BC360" s="60">
        <f>IF(AND($AG360&gt;=0,$AD360&gt;=0,$AF360&gt;=0),IF($AG360/($AD360-$AF360)&gt;0,$AG360/($AD360-$AF360),0),"")</f>
        <v>0.23911111111111111</v>
      </c>
      <c r="BD360" s="60" t="str">
        <f>IF(AND($G360&gt;0,$AM360&gt;0),IF(($G360-$AM360)/$G360&gt;0,($G360-$AM360)/$G360,0),"")</f>
        <v/>
      </c>
      <c r="BE360" s="6">
        <f>IF((AD360-AF360)/(AJ360/60)&lt;=0,"",(AD360-AF360)/(AJ360/60))</f>
        <v>7.7142857142857144</v>
      </c>
      <c r="BF360" s="6" t="str">
        <f>IF(OR(AJ360=0,AP360=0,NOT(ISNUMBER(AD360)),NOT(ISNUMBER(AF360)),NOT(ISNUMBER(AJ360)),NOT(ISNUMBER(AP360))),"",
IFERROR(IF((AD360-AF360)/(AJ360/60)/(AP360/1000)&lt;=0,"",(AD360-AF360)/(AJ360/60)/(AP360/1000)),""))</f>
        <v/>
      </c>
    </row>
    <row r="361" spans="1:58" ht="15.75">
      <c r="B361" s="94">
        <v>45621</v>
      </c>
      <c r="C361" s="1">
        <v>117</v>
      </c>
      <c r="D361" s="3">
        <v>356</v>
      </c>
      <c r="E361" s="205" t="str">
        <f t="shared" si="23"/>
        <v/>
      </c>
      <c r="K361" s="10" t="str">
        <f t="shared" si="24"/>
        <v/>
      </c>
      <c r="L361" s="9" t="str">
        <f t="shared" si="25"/>
        <v/>
      </c>
      <c r="M361" s="8" t="str">
        <f t="shared" si="26"/>
        <v/>
      </c>
      <c r="X361" s="6">
        <v>0.19</v>
      </c>
      <c r="AB361" s="5">
        <v>80</v>
      </c>
      <c r="AD361" s="95">
        <v>22</v>
      </c>
      <c r="AG361" s="67">
        <v>5.54</v>
      </c>
      <c r="AH361" s="101">
        <v>0.50381944444444449</v>
      </c>
      <c r="AJ361" s="1">
        <v>175</v>
      </c>
      <c r="AK361" s="3">
        <v>180</v>
      </c>
      <c r="AN361" s="80">
        <f>360-AK361-AB361</f>
        <v>100</v>
      </c>
      <c r="AP361" s="13">
        <f>AVERAGE(AO359:AO365)</f>
        <v>2289.9999999999864</v>
      </c>
      <c r="AR361" s="17"/>
      <c r="AS361" s="16"/>
      <c r="AT361" s="16"/>
      <c r="AU361" s="16"/>
      <c r="AV361" s="57" t="str">
        <f>IF(AND(ISNUMBER(E361),ISNUMBER(W361)),E361-W361,"")</f>
        <v/>
      </c>
      <c r="AW361" s="57" t="str">
        <f>IF(AND(ISNUMBER(I361),ISNUMBER(AF361)),I361-AF361,"")</f>
        <v/>
      </c>
      <c r="AX361" s="57" t="str">
        <f>IF(AND(ISNUMBER(AM361),ISNUMBER(G361)),G361-AM361,"")</f>
        <v/>
      </c>
      <c r="AY361" s="57" t="str">
        <f>IF(AND(ISNUMBER(AC361),ISNUMBER(AE361)),AC361-AE361,"")</f>
        <v/>
      </c>
      <c r="AZ361" s="57" t="str">
        <f>IF(AND(ISNUMBER(AL361),ISNUMBER(AM361)),AL361-AM361,"")</f>
        <v/>
      </c>
      <c r="BA361" s="60" t="str">
        <f>IF(AND($E361&gt;0,$W361&gt;0),IF(($E361-$W361)/$E361&gt;0,($E361-$W361)/$E361,0),"")</f>
        <v/>
      </c>
      <c r="BB361" s="60" t="str">
        <f>IF(AND($I361&gt;0,$AF361&gt;=0),IF(($I361-$AF361)/$I361&gt;0,($I361-$AF361)/$I361,0),"")</f>
        <v/>
      </c>
      <c r="BC361" s="60">
        <f>IF(AND($AG361&gt;=0,$AD361&gt;=0,$AF361&gt;=0),IF($AG361/($AD361-$AF361)&gt;0,$AG361/($AD361-$AF361),0),"")</f>
        <v>0.25181818181818183</v>
      </c>
      <c r="BD361" s="60" t="str">
        <f>IF(AND($G361&gt;0,$AM361&gt;0),IF(($G361-$AM361)/$G361&gt;0,($G361-$AM361)/$G361,0),"")</f>
        <v/>
      </c>
      <c r="BE361" s="6">
        <f>IF((AD361-AF361)/(AJ361/60)&lt;=0,"",(AD361-AF361)/(AJ361/60))</f>
        <v>7.5428571428571436</v>
      </c>
      <c r="BF361" s="6" t="str">
        <f>IF(OR(AJ361=0,AP361=0,NOT(ISNUMBER(AD361)),NOT(ISNUMBER(AF361)),NOT(ISNUMBER(AJ361)),NOT(ISNUMBER(AP361))),"",
IFERROR(IF((AD361-AF361)/(AJ361/60)/(AP361/1000)&lt;=0,"",(AD361-AF361)/(AJ361/60)/(AP361/1000)),""))</f>
        <v/>
      </c>
    </row>
    <row r="362" spans="1:58" ht="15.75">
      <c r="B362" s="94">
        <v>45622</v>
      </c>
      <c r="C362" s="1">
        <v>118</v>
      </c>
      <c r="D362" s="3">
        <v>357</v>
      </c>
      <c r="E362" s="205" t="str">
        <f t="shared" si="23"/>
        <v/>
      </c>
      <c r="K362" s="10" t="str">
        <f t="shared" si="24"/>
        <v/>
      </c>
      <c r="L362" s="9" t="str">
        <f t="shared" si="25"/>
        <v/>
      </c>
      <c r="M362" s="8" t="str">
        <f t="shared" si="26"/>
        <v/>
      </c>
      <c r="X362" s="6">
        <v>0.18</v>
      </c>
      <c r="AB362" s="5">
        <v>80</v>
      </c>
      <c r="AD362" s="95">
        <v>21</v>
      </c>
      <c r="AG362" s="67">
        <v>4.41</v>
      </c>
      <c r="AH362" s="101">
        <v>0.51921296296296293</v>
      </c>
      <c r="AJ362" s="1">
        <v>175</v>
      </c>
      <c r="AK362" s="3">
        <v>180</v>
      </c>
      <c r="AN362" s="80">
        <f>360-AK362-AB362</f>
        <v>100</v>
      </c>
      <c r="AO362" s="109">
        <f>AVERAGE(AO356,AO369)</f>
        <v>2289.9999999999864</v>
      </c>
      <c r="AP362" s="13">
        <f>AVERAGE(AO360:AO366)</f>
        <v>2289.9999999999864</v>
      </c>
      <c r="AR362" s="17"/>
      <c r="AS362" s="16"/>
      <c r="AT362" s="16"/>
      <c r="AU362" s="16"/>
      <c r="AV362" s="57" t="str">
        <f>IF(AND(ISNUMBER(E362),ISNUMBER(W362)),E362-W362,"")</f>
        <v/>
      </c>
      <c r="AW362" s="57" t="str">
        <f>IF(AND(ISNUMBER(I362),ISNUMBER(AF362)),I362-AF362,"")</f>
        <v/>
      </c>
      <c r="AX362" s="57" t="str">
        <f>IF(AND(ISNUMBER(AM362),ISNUMBER(G362)),G362-AM362,"")</f>
        <v/>
      </c>
      <c r="AY362" s="57" t="str">
        <f>IF(AND(ISNUMBER(AC362),ISNUMBER(AE362)),AC362-AE362,"")</f>
        <v/>
      </c>
      <c r="AZ362" s="57" t="str">
        <f>IF(AND(ISNUMBER(AL362),ISNUMBER(AM362)),AL362-AM362,"")</f>
        <v/>
      </c>
      <c r="BA362" s="60" t="str">
        <f>IF(AND($E362&gt;0,$W362&gt;0),IF(($E362-$W362)/$E362&gt;0,($E362-$W362)/$E362,0),"")</f>
        <v/>
      </c>
      <c r="BB362" s="60" t="str">
        <f>IF(AND($I362&gt;0,$AF362&gt;=0),IF(($I362-$AF362)/$I362&gt;0,($I362-$AF362)/$I362,0),"")</f>
        <v/>
      </c>
      <c r="BC362" s="60">
        <f>IF(AND($AG362&gt;=0,$AD362&gt;=0,$AF362&gt;=0),IF($AG362/($AD362-$AF362)&gt;0,$AG362/($AD362-$AF362),0),"")</f>
        <v>0.21000000000000002</v>
      </c>
      <c r="BD362" s="60" t="str">
        <f>IF(AND($G362&gt;0,$AM362&gt;0),IF(($G362-$AM362)/$G362&gt;0,($G362-$AM362)/$G362,0),"")</f>
        <v/>
      </c>
      <c r="BE362" s="6">
        <f>IF((AD362-AF362)/(AJ362/60)&lt;=0,"",(AD362-AF362)/(AJ362/60))</f>
        <v>7.2</v>
      </c>
      <c r="BF362" s="6" t="str">
        <f>IF(OR(AJ362=0,AP362=0,NOT(ISNUMBER(AD362)),NOT(ISNUMBER(AF362)),NOT(ISNUMBER(AJ362)),NOT(ISNUMBER(AP362))),"",
IFERROR(IF((AD362-AF362)/(AJ362/60)/(AP362/1000)&lt;=0,"",(AD362-AF362)/(AJ362/60)/(AP362/1000)),""))</f>
        <v/>
      </c>
    </row>
    <row r="363" spans="1:58" ht="15.75">
      <c r="B363" s="94">
        <v>45623</v>
      </c>
      <c r="C363" s="1">
        <v>119</v>
      </c>
      <c r="D363" s="3">
        <v>358</v>
      </c>
      <c r="E363" s="205">
        <f t="shared" si="23"/>
        <v>209.04603599999999</v>
      </c>
      <c r="G363" s="15">
        <f>(N363*18-H363*18)/9</f>
        <v>13.600000000000001</v>
      </c>
      <c r="H363" s="9">
        <f>5*1.19</f>
        <v>5.9499999999999993</v>
      </c>
      <c r="I363" s="15">
        <f>AD363</f>
        <v>20</v>
      </c>
      <c r="K363" s="10">
        <f t="shared" si="24"/>
        <v>15.371032058823527</v>
      </c>
      <c r="L363" s="9">
        <f t="shared" si="25"/>
        <v>5.2261508999999995</v>
      </c>
      <c r="M363" s="8">
        <f t="shared" si="26"/>
        <v>2.9411764705882351</v>
      </c>
      <c r="N363" s="7">
        <f>5*2.55</f>
        <v>12.75</v>
      </c>
      <c r="O363">
        <v>64.567999999999998</v>
      </c>
      <c r="P363">
        <v>23.533000000000001</v>
      </c>
      <c r="Q363" s="6">
        <f>O363*1.067</f>
        <v>68.894055999999992</v>
      </c>
      <c r="R363" s="6">
        <f>P363*1.514</f>
        <v>35.628962000000001</v>
      </c>
      <c r="S363" s="23">
        <f>P363*1.514+O363*1.067</f>
        <v>104.52301799999999</v>
      </c>
      <c r="T363" s="6">
        <f>30.2</f>
        <v>30.2</v>
      </c>
      <c r="U363">
        <v>1.847</v>
      </c>
      <c r="V363">
        <v>1.6479999999999999</v>
      </c>
      <c r="W363" s="23">
        <f>U363*1.067+V363*1.514</f>
        <v>4.465821</v>
      </c>
      <c r="X363" s="6">
        <v>0.32</v>
      </c>
      <c r="AB363" s="5">
        <v>80</v>
      </c>
      <c r="AC363" s="7">
        <f>T363</f>
        <v>30.2</v>
      </c>
      <c r="AD363" s="1">
        <v>20</v>
      </c>
      <c r="AE363" s="1">
        <v>14.1</v>
      </c>
      <c r="AF363" s="1">
        <f>2*2.4</f>
        <v>4.8</v>
      </c>
      <c r="AG363" s="67">
        <v>5.29</v>
      </c>
      <c r="AH363" s="101">
        <v>0.51909722222222221</v>
      </c>
      <c r="AJ363" s="1">
        <v>175</v>
      </c>
      <c r="AK363" s="3">
        <v>180</v>
      </c>
      <c r="AL363" s="4">
        <f>AE363</f>
        <v>14.1</v>
      </c>
      <c r="AM363" s="1">
        <f>5*1.97</f>
        <v>9.85</v>
      </c>
      <c r="AN363" s="80">
        <f>360-AK363-AB363</f>
        <v>100</v>
      </c>
      <c r="AP363" s="13">
        <f>AVERAGE(AO361:AO367)</f>
        <v>2289.9999999999864</v>
      </c>
      <c r="AR363" s="17">
        <f>(E363-W363)/E363</f>
        <v>0.978637140959707</v>
      </c>
      <c r="AS363" s="16">
        <f>(I363-AF363)/I363</f>
        <v>0.76</v>
      </c>
      <c r="AT363" s="16">
        <f>AG363/(AD363-AF363)</f>
        <v>0.34802631578947368</v>
      </c>
      <c r="AU363" s="16">
        <f>(G363-AM363)/G363</f>
        <v>0.27573529411764713</v>
      </c>
      <c r="AV363" s="57">
        <f>IF(AND(ISNUMBER(E363),ISNUMBER(W363)),E363-W363,"")</f>
        <v>204.58021499999998</v>
      </c>
      <c r="AW363" s="57">
        <f>IF(AND(ISNUMBER(I363),ISNUMBER(AF363)),I363-AF363,"")</f>
        <v>15.2</v>
      </c>
      <c r="AX363" s="57">
        <f>IF(AND(ISNUMBER(AM363),ISNUMBER(G363)),G363-AM363,"")</f>
        <v>3.7500000000000018</v>
      </c>
      <c r="AY363" s="57">
        <f>IF(AND(ISNUMBER(AC363),ISNUMBER(AE363)),AC363-AE363,"")</f>
        <v>16.100000000000001</v>
      </c>
      <c r="AZ363" s="57">
        <f>IF(AND(ISNUMBER(AL363),ISNUMBER(AM363)),AL363-AM363,"")</f>
        <v>4.25</v>
      </c>
      <c r="BA363" s="60">
        <f>IF(AND($E363&gt;0,$W363&gt;0),IF(($E363-$W363)/$E363&gt;0,($E363-$W363)/$E363,0),"")</f>
        <v>0.978637140959707</v>
      </c>
      <c r="BB363" s="60">
        <f>IF(AND($I363&gt;0,$AF363&gt;=0),IF(($I363-$AF363)/$I363&gt;0,($I363-$AF363)/$I363,0),"")</f>
        <v>0.76</v>
      </c>
      <c r="BC363" s="60">
        <f>IF(AND($AG363&gt;=0,$AD363&gt;=0,$AF363&gt;=0),IF($AG363/($AD363-$AF363)&gt;0,$AG363/($AD363-$AF363),0),"")</f>
        <v>0.34802631578947368</v>
      </c>
      <c r="BD363" s="60">
        <f>IF(AND($G363&gt;0,$AM363&gt;0),IF(($G363-$AM363)/$G363&gt;0,($G363-$AM363)/$G363,0),"")</f>
        <v>0.27573529411764713</v>
      </c>
      <c r="BE363" s="6">
        <f>IF((AD363-AF363)/(AJ363/60)&lt;=0,"",(AD363-AF363)/(AJ363/60))</f>
        <v>5.2114285714285717</v>
      </c>
      <c r="BF363" s="6">
        <f>IF(OR(AJ363=0,AP363=0,NOT(ISNUMBER(AD363)),NOT(ISNUMBER(AF363)),NOT(ISNUMBER(AJ363)),NOT(ISNUMBER(AP363))),"",
IFERROR(IF((AD363-AF363)/(AJ363/60)/(AP363/1000)&lt;=0,"",(AD363-AF363)/(AJ363/60)/(AP363/1000)),""))</f>
        <v>2.2757330006238443</v>
      </c>
    </row>
    <row r="364" spans="1:58" ht="15.75">
      <c r="B364" s="94">
        <v>45624</v>
      </c>
      <c r="C364" s="1">
        <v>120</v>
      </c>
      <c r="D364" s="3">
        <v>359</v>
      </c>
      <c r="E364" s="205" t="str">
        <f t="shared" si="23"/>
        <v/>
      </c>
      <c r="K364" s="10" t="str">
        <f t="shared" si="24"/>
        <v/>
      </c>
      <c r="L364" s="9" t="str">
        <f t="shared" si="25"/>
        <v/>
      </c>
      <c r="M364" s="8" t="str">
        <f t="shared" si="26"/>
        <v/>
      </c>
      <c r="X364" s="6">
        <v>0.19</v>
      </c>
      <c r="AB364" s="5">
        <v>80</v>
      </c>
      <c r="AD364" s="95">
        <v>20</v>
      </c>
      <c r="AG364" s="67">
        <v>4.6500000000000004</v>
      </c>
      <c r="AH364" s="101">
        <v>0.51967592592592593</v>
      </c>
      <c r="AJ364" s="1">
        <v>175</v>
      </c>
      <c r="AK364" s="3">
        <v>180</v>
      </c>
      <c r="AN364" s="80">
        <f>360-AK364-AB364</f>
        <v>100</v>
      </c>
      <c r="AP364" s="13">
        <f>AVERAGE(AO362:AO368)</f>
        <v>2289.9999999999864</v>
      </c>
      <c r="AR364" s="17"/>
      <c r="AS364" s="16"/>
      <c r="AT364" s="16"/>
      <c r="AU364" s="16"/>
      <c r="AV364" s="57" t="str">
        <f>IF(AND(ISNUMBER(E364),ISNUMBER(W364)),E364-W364,"")</f>
        <v/>
      </c>
      <c r="AW364" s="57" t="str">
        <f>IF(AND(ISNUMBER(I364),ISNUMBER(AF364)),I364-AF364,"")</f>
        <v/>
      </c>
      <c r="AX364" s="57" t="str">
        <f>IF(AND(ISNUMBER(AM364),ISNUMBER(G364)),G364-AM364,"")</f>
        <v/>
      </c>
      <c r="AY364" s="57" t="str">
        <f>IF(AND(ISNUMBER(AC364),ISNUMBER(AE364)),AC364-AE364,"")</f>
        <v/>
      </c>
      <c r="AZ364" s="57" t="str">
        <f>IF(AND(ISNUMBER(AL364),ISNUMBER(AM364)),AL364-AM364,"")</f>
        <v/>
      </c>
      <c r="BA364" s="60" t="str">
        <f>IF(AND($E364&gt;0,$W364&gt;0),IF(($E364-$W364)/$E364&gt;0,($E364-$W364)/$E364,0),"")</f>
        <v/>
      </c>
      <c r="BB364" s="60" t="str">
        <f>IF(AND($I364&gt;0,$AF364&gt;=0),IF(($I364-$AF364)/$I364&gt;0,($I364-$AF364)/$I364,0),"")</f>
        <v/>
      </c>
      <c r="BC364" s="60">
        <f>IF(AND($AG364&gt;=0,$AD364&gt;=0,$AF364&gt;=0),IF($AG364/($AD364-$AF364)&gt;0,$AG364/($AD364-$AF364),0),"")</f>
        <v>0.23250000000000001</v>
      </c>
      <c r="BD364" s="60" t="str">
        <f>IF(AND($G364&gt;0,$AM364&gt;0),IF(($G364-$AM364)/$G364&gt;0,($G364-$AM364)/$G364,0),"")</f>
        <v/>
      </c>
      <c r="BE364" s="6">
        <f>IF((AD364-AF364)/(AJ364/60)&lt;=0,"",(AD364-AF364)/(AJ364/60))</f>
        <v>6.8571428571428577</v>
      </c>
      <c r="BF364" s="6" t="str">
        <f>IF(OR(AJ364=0,AP364=0,NOT(ISNUMBER(AD364)),NOT(ISNUMBER(AF364)),NOT(ISNUMBER(AJ364)),NOT(ISNUMBER(AP364))),"",
IFERROR(IF((AD364-AF364)/(AJ364/60)/(AP364/1000)&lt;=0,"",(AD364-AF364)/(AJ364/60)/(AP364/1000)),""))</f>
        <v/>
      </c>
    </row>
    <row r="365" spans="1:58" ht="15.75">
      <c r="B365" s="94">
        <v>45625</v>
      </c>
      <c r="C365" s="1">
        <v>121</v>
      </c>
      <c r="D365" s="3">
        <v>360</v>
      </c>
      <c r="E365" s="205" t="str">
        <f t="shared" si="23"/>
        <v/>
      </c>
      <c r="K365" s="10" t="str">
        <f t="shared" si="24"/>
        <v/>
      </c>
      <c r="L365" s="9" t="str">
        <f t="shared" si="25"/>
        <v/>
      </c>
      <c r="M365" s="8" t="str">
        <f t="shared" si="26"/>
        <v/>
      </c>
      <c r="X365" s="6">
        <v>0.16</v>
      </c>
      <c r="AB365" s="5">
        <v>80</v>
      </c>
      <c r="AD365" s="95">
        <v>20</v>
      </c>
      <c r="AG365" s="67">
        <v>3.99</v>
      </c>
      <c r="AH365" s="101">
        <v>0.51585648148148144</v>
      </c>
      <c r="AJ365" s="1">
        <v>175</v>
      </c>
      <c r="AK365" s="3">
        <v>180</v>
      </c>
      <c r="AN365" s="80">
        <f>360-AK365-AB365</f>
        <v>100</v>
      </c>
      <c r="AP365" s="13">
        <f>AVERAGE(AO363:AO369)</f>
        <v>2459.9999999999454</v>
      </c>
      <c r="AR365" s="17"/>
      <c r="AS365" s="16"/>
      <c r="AT365" s="16"/>
      <c r="AU365" s="16"/>
      <c r="AV365" s="57" t="str">
        <f>IF(AND(ISNUMBER(E365),ISNUMBER(W365)),E365-W365,"")</f>
        <v/>
      </c>
      <c r="AW365" s="57" t="str">
        <f>IF(AND(ISNUMBER(I365),ISNUMBER(AF365)),I365-AF365,"")</f>
        <v/>
      </c>
      <c r="AX365" s="57" t="str">
        <f>IF(AND(ISNUMBER(AM365),ISNUMBER(G365)),G365-AM365,"")</f>
        <v/>
      </c>
      <c r="AY365" s="57" t="str">
        <f>IF(AND(ISNUMBER(AC365),ISNUMBER(AE365)),AC365-AE365,"")</f>
        <v/>
      </c>
      <c r="AZ365" s="57" t="str">
        <f>IF(AND(ISNUMBER(AL365),ISNUMBER(AM365)),AL365-AM365,"")</f>
        <v/>
      </c>
      <c r="BA365" s="60" t="str">
        <f>IF(AND($E365&gt;0,$W365&gt;0),IF(($E365-$W365)/$E365&gt;0,($E365-$W365)/$E365,0),"")</f>
        <v/>
      </c>
      <c r="BB365" s="60" t="str">
        <f>IF(AND($I365&gt;0,$AF365&gt;=0),IF(($I365-$AF365)/$I365&gt;0,($I365-$AF365)/$I365,0),"")</f>
        <v/>
      </c>
      <c r="BC365" s="60">
        <f>IF(AND($AG365&gt;=0,$AD365&gt;=0,$AF365&gt;=0),IF($AG365/($AD365-$AF365)&gt;0,$AG365/($AD365-$AF365),0),"")</f>
        <v>0.19950000000000001</v>
      </c>
      <c r="BD365" s="60" t="str">
        <f>IF(AND($G365&gt;0,$AM365&gt;0),IF(($G365-$AM365)/$G365&gt;0,($G365-$AM365)/$G365,0),"")</f>
        <v/>
      </c>
      <c r="BE365" s="6">
        <f>IF((AD365-AF365)/(AJ365/60)&lt;=0,"",(AD365-AF365)/(AJ365/60))</f>
        <v>6.8571428571428577</v>
      </c>
      <c r="BF365" s="6" t="str">
        <f>IF(OR(AJ365=0,AP365=0,NOT(ISNUMBER(AD365)),NOT(ISNUMBER(AF365)),NOT(ISNUMBER(AJ365)),NOT(ISNUMBER(AP365))),"",
IFERROR(IF((AD365-AF365)/(AJ365/60)/(AP365/1000)&lt;=0,"",(AD365-AF365)/(AJ365/60)/(AP365/1000)),""))</f>
        <v/>
      </c>
    </row>
    <row r="366" spans="1:58" ht="15.75">
      <c r="B366" s="94">
        <v>45626</v>
      </c>
      <c r="C366" s="1">
        <v>122</v>
      </c>
      <c r="D366" s="3">
        <v>361</v>
      </c>
      <c r="E366" s="205" t="str">
        <f t="shared" si="23"/>
        <v/>
      </c>
      <c r="K366" s="10" t="str">
        <f t="shared" si="24"/>
        <v/>
      </c>
      <c r="L366" s="9" t="str">
        <f t="shared" si="25"/>
        <v/>
      </c>
      <c r="M366" s="8" t="str">
        <f t="shared" si="26"/>
        <v/>
      </c>
      <c r="X366" s="6">
        <v>0.19</v>
      </c>
      <c r="AB366" s="5">
        <v>80</v>
      </c>
      <c r="AD366" s="95">
        <v>20</v>
      </c>
      <c r="AG366" s="67">
        <v>4.67</v>
      </c>
      <c r="AH366" s="101">
        <v>0.52060185185185182</v>
      </c>
      <c r="AJ366" s="1">
        <v>175</v>
      </c>
      <c r="AK366" s="3">
        <v>180</v>
      </c>
      <c r="AN366" s="80">
        <f>360-AK366-AB366</f>
        <v>100</v>
      </c>
      <c r="AP366" s="13">
        <f>AVERAGE(AO364:AO370)</f>
        <v>2459.9999999999454</v>
      </c>
      <c r="AR366" s="17"/>
      <c r="AS366" s="16"/>
      <c r="AT366" s="16"/>
      <c r="AU366" s="16"/>
      <c r="AV366" s="57" t="str">
        <f>IF(AND(ISNUMBER(E366),ISNUMBER(W366)),E366-W366,"")</f>
        <v/>
      </c>
      <c r="AW366" s="57" t="str">
        <f>IF(AND(ISNUMBER(I366),ISNUMBER(AF366)),I366-AF366,"")</f>
        <v/>
      </c>
      <c r="AX366" s="57" t="str">
        <f>IF(AND(ISNUMBER(AM366),ISNUMBER(G366)),G366-AM366,"")</f>
        <v/>
      </c>
      <c r="AY366" s="57" t="str">
        <f>IF(AND(ISNUMBER(AC366),ISNUMBER(AE366)),AC366-AE366,"")</f>
        <v/>
      </c>
      <c r="AZ366" s="57" t="str">
        <f>IF(AND(ISNUMBER(AL366),ISNUMBER(AM366)),AL366-AM366,"")</f>
        <v/>
      </c>
      <c r="BA366" s="60" t="str">
        <f>IF(AND($E366&gt;0,$W366&gt;0),IF(($E366-$W366)/$E366&gt;0,($E366-$W366)/$E366,0),"")</f>
        <v/>
      </c>
      <c r="BB366" s="60" t="str">
        <f>IF(AND($I366&gt;0,$AF366&gt;=0),IF(($I366-$AF366)/$I366&gt;0,($I366-$AF366)/$I366,0),"")</f>
        <v/>
      </c>
      <c r="BC366" s="60">
        <f>IF(AND($AG366&gt;=0,$AD366&gt;=0,$AF366&gt;=0),IF($AG366/($AD366-$AF366)&gt;0,$AG366/($AD366-$AF366),0),"")</f>
        <v>0.23349999999999999</v>
      </c>
      <c r="BD366" s="60" t="str">
        <f>IF(AND($G366&gt;0,$AM366&gt;0),IF(($G366-$AM366)/$G366&gt;0,($G366-$AM366)/$G366,0),"")</f>
        <v/>
      </c>
      <c r="BE366" s="6">
        <f>IF((AD366-AF366)/(AJ366/60)&lt;=0,"",(AD366-AF366)/(AJ366/60))</f>
        <v>6.8571428571428577</v>
      </c>
      <c r="BF366" s="6" t="str">
        <f>IF(OR(AJ366=0,AP366=0,NOT(ISNUMBER(AD366)),NOT(ISNUMBER(AF366)),NOT(ISNUMBER(AJ366)),NOT(ISNUMBER(AP366))),"",
IFERROR(IF((AD366-AF366)/(AJ366/60)/(AP366/1000)&lt;=0,"",(AD366-AF366)/(AJ366/60)/(AP366/1000)),""))</f>
        <v/>
      </c>
    </row>
    <row r="367" spans="1:58" ht="15.75">
      <c r="B367" s="94">
        <v>45627</v>
      </c>
      <c r="C367" s="1">
        <v>123</v>
      </c>
      <c r="D367" s="3">
        <v>362</v>
      </c>
      <c r="E367" s="205" t="str">
        <f t="shared" si="23"/>
        <v/>
      </c>
      <c r="K367" s="10" t="str">
        <f t="shared" si="24"/>
        <v/>
      </c>
      <c r="L367" s="9" t="str">
        <f t="shared" si="25"/>
        <v/>
      </c>
      <c r="M367" s="8" t="str">
        <f t="shared" si="26"/>
        <v/>
      </c>
      <c r="X367" s="6">
        <v>0.19</v>
      </c>
      <c r="AB367" s="5">
        <v>80</v>
      </c>
      <c r="AD367" s="95">
        <v>20</v>
      </c>
      <c r="AG367" s="67">
        <v>6.03</v>
      </c>
      <c r="AH367" s="101">
        <v>0.52083333333333337</v>
      </c>
      <c r="AJ367" s="1">
        <v>175</v>
      </c>
      <c r="AK367" s="3">
        <v>180</v>
      </c>
      <c r="AN367" s="80">
        <f>360-AK367-AB367</f>
        <v>100</v>
      </c>
      <c r="AP367" s="13">
        <f>AVERAGE(AO365:AO371)</f>
        <v>2459.9999999999454</v>
      </c>
      <c r="AR367" s="17"/>
      <c r="AS367" s="16"/>
      <c r="AT367" s="16"/>
      <c r="AU367" s="16"/>
      <c r="AV367" s="57" t="str">
        <f>IF(AND(ISNUMBER(E367),ISNUMBER(W367)),E367-W367,"")</f>
        <v/>
      </c>
      <c r="AW367" s="57" t="str">
        <f>IF(AND(ISNUMBER(I367),ISNUMBER(AF367)),I367-AF367,"")</f>
        <v/>
      </c>
      <c r="AX367" s="57" t="str">
        <f>IF(AND(ISNUMBER(AM367),ISNUMBER(G367)),G367-AM367,"")</f>
        <v/>
      </c>
      <c r="AY367" s="57" t="str">
        <f>IF(AND(ISNUMBER(AC367),ISNUMBER(AE367)),AC367-AE367,"")</f>
        <v/>
      </c>
      <c r="AZ367" s="57" t="str">
        <f>IF(AND(ISNUMBER(AL367),ISNUMBER(AM367)),AL367-AM367,"")</f>
        <v/>
      </c>
      <c r="BA367" s="60" t="str">
        <f>IF(AND($E367&gt;0,$W367&gt;0),IF(($E367-$W367)/$E367&gt;0,($E367-$W367)/$E367,0),"")</f>
        <v/>
      </c>
      <c r="BB367" s="60" t="str">
        <f>IF(AND($I367&gt;0,$AF367&gt;=0),IF(($I367-$AF367)/$I367&gt;0,($I367-$AF367)/$I367,0),"")</f>
        <v/>
      </c>
      <c r="BC367" s="60">
        <f>IF(AND($AG367&gt;=0,$AD367&gt;=0,$AF367&gt;=0),IF($AG367/($AD367-$AF367)&gt;0,$AG367/($AD367-$AF367),0),"")</f>
        <v>0.30149999999999999</v>
      </c>
      <c r="BD367" s="60" t="str">
        <f>IF(AND($G367&gt;0,$AM367&gt;0),IF(($G367-$AM367)/$G367&gt;0,($G367-$AM367)/$G367,0),"")</f>
        <v/>
      </c>
      <c r="BE367" s="6">
        <f>IF((AD367-AF367)/(AJ367/60)&lt;=0,"",(AD367-AF367)/(AJ367/60))</f>
        <v>6.8571428571428577</v>
      </c>
      <c r="BF367" s="6" t="str">
        <f>IF(OR(AJ367=0,AP367=0,NOT(ISNUMBER(AD367)),NOT(ISNUMBER(AF367)),NOT(ISNUMBER(AJ367)),NOT(ISNUMBER(AP367))),"",
IFERROR(IF((AD367-AF367)/(AJ367/60)/(AP367/1000)&lt;=0,"",(AD367-AF367)/(AJ367/60)/(AP367/1000)),""))</f>
        <v/>
      </c>
    </row>
    <row r="368" spans="1:58" ht="15.75">
      <c r="A368" s="12" t="s">
        <v>93</v>
      </c>
      <c r="B368" s="94">
        <v>45628</v>
      </c>
      <c r="C368" s="1">
        <v>124</v>
      </c>
      <c r="D368" s="3">
        <v>363</v>
      </c>
      <c r="E368" s="205" t="str">
        <f t="shared" si="23"/>
        <v/>
      </c>
      <c r="K368" s="10" t="str">
        <f t="shared" si="24"/>
        <v/>
      </c>
      <c r="L368" s="9" t="str">
        <f t="shared" si="25"/>
        <v/>
      </c>
      <c r="M368" s="8" t="str">
        <f t="shared" si="26"/>
        <v/>
      </c>
      <c r="X368" s="6">
        <v>0.19</v>
      </c>
      <c r="AB368" s="5">
        <v>80</v>
      </c>
      <c r="AD368" s="95">
        <v>20</v>
      </c>
      <c r="AG368" s="67">
        <v>5.94</v>
      </c>
      <c r="AH368" s="101">
        <v>0.51203703703703707</v>
      </c>
      <c r="AJ368" s="1">
        <v>175</v>
      </c>
      <c r="AK368" s="3">
        <v>180</v>
      </c>
      <c r="AN368" s="80">
        <f>360-AK368-AB368</f>
        <v>100</v>
      </c>
      <c r="AP368" s="13">
        <f>AVERAGE(AO366:AO372)</f>
        <v>2459.9999999999454</v>
      </c>
      <c r="AR368" s="17"/>
      <c r="AS368" s="16"/>
      <c r="AT368" s="16"/>
      <c r="AU368" s="16"/>
      <c r="AV368" s="57" t="str">
        <f>IF(AND(ISNUMBER(E368),ISNUMBER(W368)),E368-W368,"")</f>
        <v/>
      </c>
      <c r="AW368" s="57" t="str">
        <f>IF(AND(ISNUMBER(I368),ISNUMBER(AF368)),I368-AF368,"")</f>
        <v/>
      </c>
      <c r="AX368" s="57" t="str">
        <f>IF(AND(ISNUMBER(AM368),ISNUMBER(G368)),G368-AM368,"")</f>
        <v/>
      </c>
      <c r="AY368" s="57" t="str">
        <f>IF(AND(ISNUMBER(AC368),ISNUMBER(AE368)),AC368-AE368,"")</f>
        <v/>
      </c>
      <c r="AZ368" s="57" t="str">
        <f>IF(AND(ISNUMBER(AL368),ISNUMBER(AM368)),AL368-AM368,"")</f>
        <v/>
      </c>
      <c r="BA368" s="60" t="str">
        <f>IF(AND($E368&gt;0,$W368&gt;0),IF(($E368-$W368)/$E368&gt;0,($E368-$W368)/$E368,0),"")</f>
        <v/>
      </c>
      <c r="BB368" s="60" t="str">
        <f>IF(AND($I368&gt;0,$AF368&gt;=0),IF(($I368-$AF368)/$I368&gt;0,($I368-$AF368)/$I368,0),"")</f>
        <v/>
      </c>
      <c r="BC368" s="60">
        <f>IF(AND($AG368&gt;=0,$AD368&gt;=0,$AF368&gt;=0),IF($AG368/($AD368-$AF368)&gt;0,$AG368/($AD368-$AF368),0),"")</f>
        <v>0.29700000000000004</v>
      </c>
      <c r="BD368" s="60" t="str">
        <f>IF(AND($G368&gt;0,$AM368&gt;0),IF(($G368-$AM368)/$G368&gt;0,($G368-$AM368)/$G368,0),"")</f>
        <v/>
      </c>
      <c r="BE368" s="6">
        <f>IF((AD368-AF368)/(AJ368/60)&lt;=0,"",(AD368-AF368)/(AJ368/60))</f>
        <v>6.8571428571428577</v>
      </c>
      <c r="BF368" s="6" t="str">
        <f>IF(OR(AJ368=0,AP368=0,NOT(ISNUMBER(AD368)),NOT(ISNUMBER(AF368)),NOT(ISNUMBER(AJ368)),NOT(ISNUMBER(AP368))),"",
IFERROR(IF((AD368-AF368)/(AJ368/60)/(AP368/1000)&lt;=0,"",(AD368-AF368)/(AJ368/60)/(AP368/1000)),""))</f>
        <v/>
      </c>
    </row>
    <row r="369" spans="1:58" ht="15.75">
      <c r="B369" s="94">
        <v>45629</v>
      </c>
      <c r="C369" s="1">
        <v>125</v>
      </c>
      <c r="D369" s="3">
        <v>364</v>
      </c>
      <c r="E369" s="205">
        <f t="shared" si="23"/>
        <v>257.40071</v>
      </c>
      <c r="G369" s="15">
        <f>(N369*18-H369*18)/9</f>
        <v>13.999999999999998</v>
      </c>
      <c r="H369" s="9">
        <f>5*0.96</f>
        <v>4.8</v>
      </c>
      <c r="I369" s="15">
        <f>AD369</f>
        <v>20.150000000000002</v>
      </c>
      <c r="K369" s="10">
        <f t="shared" si="24"/>
        <v>18.385765000000003</v>
      </c>
      <c r="L369" s="9">
        <f t="shared" si="25"/>
        <v>6.3871143920595523</v>
      </c>
      <c r="M369" s="8">
        <f t="shared" si="26"/>
        <v>2.8785714285714294</v>
      </c>
      <c r="N369" s="7">
        <f>5*2.36</f>
        <v>11.799999999999999</v>
      </c>
      <c r="O369">
        <v>80.019000000000005</v>
      </c>
      <c r="P369">
        <v>28.613</v>
      </c>
      <c r="Q369" s="6">
        <f>O369*1.067</f>
        <v>85.380273000000003</v>
      </c>
      <c r="R369" s="6">
        <f>P369*1.514</f>
        <v>43.320081999999999</v>
      </c>
      <c r="S369" s="23">
        <f>P369*1.514+O369*1.067</f>
        <v>128.700355</v>
      </c>
      <c r="T369" s="6">
        <f>30.2</f>
        <v>30.2</v>
      </c>
      <c r="U369">
        <v>1.7909999999999999</v>
      </c>
      <c r="V369">
        <v>1.409</v>
      </c>
      <c r="W369" s="23">
        <f>U369*1.067+V369*1.514</f>
        <v>4.0442229999999997</v>
      </c>
      <c r="X369" s="6">
        <v>0.55000000000000004</v>
      </c>
      <c r="AB369" s="5">
        <v>80</v>
      </c>
      <c r="AC369" s="7">
        <f>T369</f>
        <v>30.2</v>
      </c>
      <c r="AD369" s="1">
        <f>5*4.03</f>
        <v>20.150000000000002</v>
      </c>
      <c r="AE369" s="1">
        <v>13.4</v>
      </c>
      <c r="AF369" s="1">
        <f>2*2.39</f>
        <v>4.78</v>
      </c>
      <c r="AG369" s="67">
        <v>6.31</v>
      </c>
      <c r="AH369" s="101">
        <v>0.52083333333333337</v>
      </c>
      <c r="AJ369" s="1">
        <v>175</v>
      </c>
      <c r="AK369" s="3">
        <v>180</v>
      </c>
      <c r="AL369" s="4">
        <f>AE369</f>
        <v>13.4</v>
      </c>
      <c r="AM369" s="1">
        <f>5*1.59</f>
        <v>7.95</v>
      </c>
      <c r="AN369" s="80">
        <f>360-AK369-AB369</f>
        <v>100</v>
      </c>
      <c r="AO369" s="2">
        <v>2459.9999999999454</v>
      </c>
      <c r="AP369" s="13">
        <f>AVERAGE(AO367:AO373)</f>
        <v>2459.9999999999454</v>
      </c>
      <c r="AQ369" s="2">
        <v>16.095965103598445</v>
      </c>
      <c r="AR369" s="17">
        <f>(E369-W369)/E369</f>
        <v>0.98428822127180615</v>
      </c>
      <c r="AS369" s="16">
        <f>(I369-AF369)/I369</f>
        <v>0.76277915632754334</v>
      </c>
      <c r="AT369" s="16">
        <f>AG369/(AD369-AF369)</f>
        <v>0.4105400130123617</v>
      </c>
      <c r="AU369" s="16">
        <f>(G369-AM369)/G369</f>
        <v>0.43214285714285705</v>
      </c>
      <c r="AV369" s="57">
        <f>IF(AND(ISNUMBER(E369),ISNUMBER(W369)),E369-W369,"")</f>
        <v>253.35648700000002</v>
      </c>
      <c r="AW369" s="57">
        <f>IF(AND(ISNUMBER(I369),ISNUMBER(AF369)),I369-AF369,"")</f>
        <v>15.370000000000001</v>
      </c>
      <c r="AX369" s="57">
        <f>IF(AND(ISNUMBER(AM369),ISNUMBER(G369)),G369-AM369,"")</f>
        <v>6.049999999999998</v>
      </c>
      <c r="AY369" s="57">
        <f>IF(AND(ISNUMBER(AC369),ISNUMBER(AE369)),AC369-AE369,"")</f>
        <v>16.799999999999997</v>
      </c>
      <c r="AZ369" s="57">
        <f>IF(AND(ISNUMBER(AL369),ISNUMBER(AM369)),AL369-AM369,"")</f>
        <v>5.45</v>
      </c>
      <c r="BA369" s="60">
        <f>IF(AND($E369&gt;0,$W369&gt;0),IF(($E369-$W369)/$E369&gt;0,($E369-$W369)/$E369,0),"")</f>
        <v>0.98428822127180615</v>
      </c>
      <c r="BB369" s="60">
        <f>IF(AND($I369&gt;0,$AF369&gt;=0),IF(($I369-$AF369)/$I369&gt;0,($I369-$AF369)/$I369,0),"")</f>
        <v>0.76277915632754334</v>
      </c>
      <c r="BC369" s="60">
        <f>IF(AND($AG369&gt;=0,$AD369&gt;=0,$AF369&gt;=0),IF($AG369/($AD369-$AF369)&gt;0,$AG369/($AD369-$AF369),0),"")</f>
        <v>0.4105400130123617</v>
      </c>
      <c r="BD369" s="60">
        <f>IF(AND($G369&gt;0,$AM369&gt;0),IF(($G369-$AM369)/$G369&gt;0,($G369-$AM369)/$G369,0),"")</f>
        <v>0.43214285714285705</v>
      </c>
      <c r="BE369" s="6">
        <f>IF((AD369-AF369)/(AJ369/60)&lt;=0,"",(AD369-AF369)/(AJ369/60))</f>
        <v>5.2697142857142865</v>
      </c>
      <c r="BF369" s="6">
        <f>IF(OR(AJ369=0,AP369=0,NOT(ISNUMBER(AD369)),NOT(ISNUMBER(AF369)),NOT(ISNUMBER(AJ369)),NOT(ISNUMBER(AP369))),"",
IFERROR(IF((AD369-AF369)/(AJ369/60)/(AP369/1000)&lt;=0,"",(AD369-AF369)/(AJ369/60)/(AP369/1000)),""))</f>
        <v>2.1421602787456924</v>
      </c>
    </row>
    <row r="370" spans="1:58" ht="15.75">
      <c r="B370" s="94">
        <v>45630</v>
      </c>
      <c r="C370" s="1">
        <v>126</v>
      </c>
      <c r="D370" s="3">
        <v>365</v>
      </c>
      <c r="E370" s="205" t="str">
        <f t="shared" si="23"/>
        <v/>
      </c>
      <c r="K370" s="10" t="str">
        <f t="shared" si="24"/>
        <v/>
      </c>
      <c r="L370" s="9" t="str">
        <f t="shared" si="25"/>
        <v/>
      </c>
      <c r="M370" s="8" t="str">
        <f t="shared" si="26"/>
        <v/>
      </c>
      <c r="X370" s="6">
        <v>0.19</v>
      </c>
      <c r="AB370" s="5">
        <v>80</v>
      </c>
      <c r="AD370" s="95">
        <v>21</v>
      </c>
      <c r="AG370" s="67">
        <v>5.5</v>
      </c>
      <c r="AH370" s="101">
        <v>0.52048611111111109</v>
      </c>
      <c r="AJ370" s="1">
        <v>175</v>
      </c>
      <c r="AK370" s="3">
        <v>180</v>
      </c>
      <c r="AN370" s="80">
        <f>360-AK370-AB370</f>
        <v>100</v>
      </c>
      <c r="AP370" s="13">
        <f>AVERAGE(AO368:AO374)</f>
        <v>2459.9999999999454</v>
      </c>
      <c r="AR370" s="17" t="e">
        <f>(E370-W370)/E370</f>
        <v>#VALUE!</v>
      </c>
      <c r="AS370" s="16"/>
      <c r="AT370" s="16">
        <f>AG370/(AD370-AF370)</f>
        <v>0.26190476190476192</v>
      </c>
      <c r="AU370" s="16" t="e">
        <f>(G370-AM370)/G370</f>
        <v>#DIV/0!</v>
      </c>
      <c r="AV370" s="57" t="str">
        <f>IF(AND(ISNUMBER(E370),ISNUMBER(W370)),E370-W370,"")</f>
        <v/>
      </c>
      <c r="AW370" s="57" t="str">
        <f>IF(AND(ISNUMBER(I370),ISNUMBER(AF370)),I370-AF370,"")</f>
        <v/>
      </c>
      <c r="AX370" s="57" t="str">
        <f>IF(AND(ISNUMBER(AM370),ISNUMBER(G370)),G370-AM370,"")</f>
        <v/>
      </c>
      <c r="AY370" s="57" t="str">
        <f>IF(AND(ISNUMBER(AC370),ISNUMBER(AE370)),AC370-AE370,"")</f>
        <v/>
      </c>
      <c r="AZ370" s="57" t="str">
        <f>IF(AND(ISNUMBER(AL370),ISNUMBER(AM370)),AL370-AM370,"")</f>
        <v/>
      </c>
      <c r="BA370" s="60" t="str">
        <f>IF(AND($E370&gt;0,$W370&gt;0),IF(($E370-$W370)/$E370&gt;0,($E370-$W370)/$E370,0),"")</f>
        <v/>
      </c>
      <c r="BB370" s="60" t="str">
        <f>IF(AND($I370&gt;0,$AF370&gt;=0),IF(($I370-$AF370)/$I370&gt;0,($I370-$AF370)/$I370,0),"")</f>
        <v/>
      </c>
      <c r="BC370" s="60">
        <f>IF(AND($AG370&gt;=0,$AD370&gt;=0,$AF370&gt;=0),IF($AG370/($AD370-$AF370)&gt;0,$AG370/($AD370-$AF370),0),"")</f>
        <v>0.26190476190476192</v>
      </c>
      <c r="BD370" s="60" t="str">
        <f>IF(AND($G370&gt;0,$AM370&gt;0),IF(($G370-$AM370)/$G370&gt;0,($G370-$AM370)/$G370,0),"")</f>
        <v/>
      </c>
      <c r="BE370" s="6">
        <f>IF((AD370-AF370)/(AJ370/60)&lt;=0,"",(AD370-AF370)/(AJ370/60))</f>
        <v>7.2</v>
      </c>
      <c r="BF370" s="6" t="str">
        <f>IF(OR(AJ370=0,AP370=0,NOT(ISNUMBER(AD370)),NOT(ISNUMBER(AF370)),NOT(ISNUMBER(AJ370)),NOT(ISNUMBER(AP370))),"",
IFERROR(IF((AD370-AF370)/(AJ370/60)/(AP370/1000)&lt;=0,"",(AD370-AF370)/(AJ370/60)/(AP370/1000)),""))</f>
        <v/>
      </c>
    </row>
    <row r="371" spans="1:58" ht="15.75">
      <c r="B371" s="94">
        <v>45631</v>
      </c>
      <c r="C371" s="1">
        <v>127</v>
      </c>
      <c r="D371" s="3">
        <v>366</v>
      </c>
      <c r="E371" s="205" t="str">
        <f t="shared" si="23"/>
        <v/>
      </c>
      <c r="K371" s="10" t="str">
        <f t="shared" si="24"/>
        <v/>
      </c>
      <c r="L371" s="9" t="str">
        <f t="shared" si="25"/>
        <v/>
      </c>
      <c r="M371" s="8" t="str">
        <f t="shared" si="26"/>
        <v/>
      </c>
      <c r="X371" s="6">
        <v>0.2</v>
      </c>
      <c r="AB371" s="5">
        <v>80</v>
      </c>
      <c r="AC371" s="4">
        <v>28.3</v>
      </c>
      <c r="AD371" s="1">
        <f>5*4.61</f>
        <v>23.05</v>
      </c>
      <c r="AE371" s="1">
        <v>15</v>
      </c>
      <c r="AF371" s="1">
        <f>2*4.54</f>
        <v>9.08</v>
      </c>
      <c r="AG371" s="67">
        <v>5.23</v>
      </c>
      <c r="AH371" s="101">
        <v>0.52013888888888893</v>
      </c>
      <c r="AJ371" s="1">
        <v>175</v>
      </c>
      <c r="AK371" s="3">
        <v>180</v>
      </c>
      <c r="AN371" s="80">
        <f>360-AK371-AB371</f>
        <v>100</v>
      </c>
      <c r="AP371" s="13">
        <f>AVERAGE(AO369:AO375)</f>
        <v>2459.9999999999454</v>
      </c>
      <c r="AR371" s="17" t="e">
        <f>(E371-W371)/E371</f>
        <v>#VALUE!</v>
      </c>
      <c r="AS371" s="16"/>
      <c r="AT371" s="16">
        <f>AG371/(AD371-AF371)</f>
        <v>0.37437365783822479</v>
      </c>
      <c r="AU371" s="16" t="e">
        <f>(G371-AM371)/G371</f>
        <v>#DIV/0!</v>
      </c>
      <c r="AV371" s="57" t="str">
        <f>IF(AND(ISNUMBER(E371),ISNUMBER(W371)),E371-W371,"")</f>
        <v/>
      </c>
      <c r="AW371" s="57" t="str">
        <f>IF(AND(ISNUMBER(I371),ISNUMBER(AF371)),I371-AF371,"")</f>
        <v/>
      </c>
      <c r="AX371" s="57" t="str">
        <f>IF(AND(ISNUMBER(AM371),ISNUMBER(G371)),G371-AM371,"")</f>
        <v/>
      </c>
      <c r="AY371" s="57">
        <f>IF(AND(ISNUMBER(AC371),ISNUMBER(AE371)),AC371-AE371,"")</f>
        <v>13.3</v>
      </c>
      <c r="AZ371" s="57" t="str">
        <f>IF(AND(ISNUMBER(AL371),ISNUMBER(AM371)),AL371-AM371,"")</f>
        <v/>
      </c>
      <c r="BA371" s="60" t="str">
        <f>IF(AND($E371&gt;0,$W371&gt;0),IF(($E371-$W371)/$E371&gt;0,($E371-$W371)/$E371,0),"")</f>
        <v/>
      </c>
      <c r="BB371" s="60" t="str">
        <f>IF(AND($I371&gt;0,$AF371&gt;=0),IF(($I371-$AF371)/$I371&gt;0,($I371-$AF371)/$I371,0),"")</f>
        <v/>
      </c>
      <c r="BC371" s="60">
        <f>IF(AND($AG371&gt;=0,$AD371&gt;=0,$AF371&gt;=0),IF($AG371/($AD371-$AF371)&gt;0,$AG371/($AD371-$AF371),0),"")</f>
        <v>0.37437365783822479</v>
      </c>
      <c r="BD371" s="60" t="str">
        <f>IF(AND($G371&gt;0,$AM371&gt;0),IF(($G371-$AM371)/$G371&gt;0,($G371-$AM371)/$G371,0),"")</f>
        <v/>
      </c>
      <c r="BE371" s="6">
        <f>IF((AD371-AF371)/(AJ371/60)&lt;=0,"",(AD371-AF371)/(AJ371/60))</f>
        <v>4.789714285714286</v>
      </c>
      <c r="BF371" s="6">
        <f>IF(OR(AJ371=0,AP371=0,NOT(ISNUMBER(AD371)),NOT(ISNUMBER(AF371)),NOT(ISNUMBER(AJ371)),NOT(ISNUMBER(AP371))),"",
IFERROR(IF((AD371-AF371)/(AJ371/60)/(AP371/1000)&lt;=0,"",(AD371-AF371)/(AJ371/60)/(AP371/1000)),""))</f>
        <v>1.9470383275261758</v>
      </c>
    </row>
    <row r="372" spans="1:58" ht="15.75">
      <c r="B372" s="94">
        <v>45632</v>
      </c>
      <c r="C372" s="1">
        <v>128</v>
      </c>
      <c r="D372" s="3">
        <v>367</v>
      </c>
      <c r="E372" s="205">
        <f t="shared" si="23"/>
        <v>271.980254</v>
      </c>
      <c r="G372" s="15">
        <f>(N372*18-H372*18)/9</f>
        <v>14.5</v>
      </c>
      <c r="H372" s="9">
        <f>5*1.21</f>
        <v>6.05</v>
      </c>
      <c r="I372" s="15">
        <f>AD372</f>
        <v>22.349999999999998</v>
      </c>
      <c r="K372" s="10">
        <f t="shared" si="24"/>
        <v>18.757258896551726</v>
      </c>
      <c r="L372" s="9">
        <f t="shared" si="25"/>
        <v>6.0845694407158843</v>
      </c>
      <c r="M372" s="8">
        <f t="shared" si="26"/>
        <v>3.0827586206896549</v>
      </c>
      <c r="N372" s="7">
        <f>5*2.66</f>
        <v>13.3</v>
      </c>
      <c r="O372">
        <v>83.911000000000001</v>
      </c>
      <c r="P372">
        <v>30.684999999999999</v>
      </c>
      <c r="Q372" s="6">
        <f>O372*1.067</f>
        <v>89.533036999999993</v>
      </c>
      <c r="R372" s="6">
        <f>P372*1.514</f>
        <v>46.457090000000001</v>
      </c>
      <c r="S372" s="23">
        <f>P372*1.514+O372*1.067</f>
        <v>135.990127</v>
      </c>
      <c r="T372" s="6">
        <f>31.9</f>
        <v>31.9</v>
      </c>
      <c r="U372">
        <f>1.768*1.067</f>
        <v>1.8864559999999999</v>
      </c>
      <c r="V372">
        <v>1.446</v>
      </c>
      <c r="W372" s="23">
        <f>U372*1.067+V372*1.514</f>
        <v>4.2020925519999999</v>
      </c>
      <c r="X372" s="6">
        <v>0.19</v>
      </c>
      <c r="AB372" s="5">
        <v>80</v>
      </c>
      <c r="AC372" s="7">
        <f>T372</f>
        <v>31.9</v>
      </c>
      <c r="AD372" s="1">
        <f>5*4.47</f>
        <v>22.349999999999998</v>
      </c>
      <c r="AE372" s="1">
        <f>17.6</f>
        <v>17.600000000000001</v>
      </c>
      <c r="AF372" s="1">
        <f>2*3.93</f>
        <v>7.86</v>
      </c>
      <c r="AG372" s="67">
        <v>5.12</v>
      </c>
      <c r="AH372" s="101">
        <v>0.51990740740740737</v>
      </c>
      <c r="AJ372" s="1">
        <v>175</v>
      </c>
      <c r="AK372" s="3">
        <v>180</v>
      </c>
      <c r="AL372" s="4">
        <f>AE372</f>
        <v>17.600000000000001</v>
      </c>
      <c r="AM372" s="1">
        <f>5*2.73</f>
        <v>13.65</v>
      </c>
      <c r="AN372" s="80">
        <f>360-AK372-AB372</f>
        <v>100</v>
      </c>
      <c r="AP372" s="13">
        <f>AVERAGE(AO370:AO376)</f>
        <v>2589.9999999999636</v>
      </c>
      <c r="AR372" s="17">
        <f>(E372-W372)/E372</f>
        <v>0.98455000872232434</v>
      </c>
      <c r="AS372" s="16">
        <f>(I372-AF372)/I372</f>
        <v>0.64832214765100671</v>
      </c>
      <c r="AT372" s="16">
        <f>AG372/(AD372-AF372)</f>
        <v>0.35334713595583167</v>
      </c>
      <c r="AU372" s="16">
        <f>(G372-AM372)/G372</f>
        <v>5.8620689655172392E-2</v>
      </c>
      <c r="AV372" s="57">
        <f>IF(AND(ISNUMBER(E372),ISNUMBER(W372)),E372-W372,"")</f>
        <v>267.77816144799999</v>
      </c>
      <c r="AW372" s="57">
        <f>IF(AND(ISNUMBER(I372),ISNUMBER(AF372)),I372-AF372,"")</f>
        <v>14.489999999999998</v>
      </c>
      <c r="AX372" s="57">
        <f>IF(AND(ISNUMBER(AM372),ISNUMBER(G372)),G372-AM372,"")</f>
        <v>0.84999999999999964</v>
      </c>
      <c r="AY372" s="57">
        <f>IF(AND(ISNUMBER(AC372),ISNUMBER(AE372)),AC372-AE372,"")</f>
        <v>14.299999999999997</v>
      </c>
      <c r="AZ372" s="57">
        <f>IF(AND(ISNUMBER(AL372),ISNUMBER(AM372)),AL372-AM372,"")</f>
        <v>3.9500000000000011</v>
      </c>
      <c r="BA372" s="60">
        <f>IF(AND($E372&gt;0,$W372&gt;0),IF(($E372-$W372)/$E372&gt;0,($E372-$W372)/$E372,0),"")</f>
        <v>0.98455000872232434</v>
      </c>
      <c r="BB372" s="60">
        <f>IF(AND($I372&gt;0,$AF372&gt;=0),IF(($I372-$AF372)/$I372&gt;0,($I372-$AF372)/$I372,0),"")</f>
        <v>0.64832214765100671</v>
      </c>
      <c r="BC372" s="60">
        <f>IF(AND($AG372&gt;=0,$AD372&gt;=0,$AF372&gt;=0),IF($AG372/($AD372-$AF372)&gt;0,$AG372/($AD372-$AF372),0),"")</f>
        <v>0.35334713595583167</v>
      </c>
      <c r="BD372" s="60">
        <f>IF(AND($G372&gt;0,$AM372&gt;0),IF(($G372-$AM372)/$G372&gt;0,($G372-$AM372)/$G372,0),"")</f>
        <v>5.8620689655172392E-2</v>
      </c>
      <c r="BE372" s="6">
        <f>IF((AD372-AF372)/(AJ372/60)&lt;=0,"",(AD372-AF372)/(AJ372/60))</f>
        <v>4.968</v>
      </c>
      <c r="BF372" s="6">
        <f>IF(OR(AJ372=0,AP372=0,NOT(ISNUMBER(AD372)),NOT(ISNUMBER(AF372)),NOT(ISNUMBER(AJ372)),NOT(ISNUMBER(AP372))),"",
IFERROR(IF((AD372-AF372)/(AJ372/60)/(AP372/1000)&lt;=0,"",(AD372-AF372)/(AJ372/60)/(AP372/1000)),""))</f>
        <v>1.9181467181467453</v>
      </c>
    </row>
    <row r="373" spans="1:58" ht="15.75">
      <c r="A373" s="25" t="s">
        <v>92</v>
      </c>
      <c r="B373" s="94">
        <v>45633</v>
      </c>
      <c r="C373" s="1">
        <v>129</v>
      </c>
      <c r="D373" s="3">
        <v>368</v>
      </c>
      <c r="E373" s="205" t="str">
        <f t="shared" si="23"/>
        <v/>
      </c>
      <c r="I373" s="41">
        <v>22</v>
      </c>
      <c r="K373" s="10" t="str">
        <f t="shared" si="24"/>
        <v/>
      </c>
      <c r="L373" s="9" t="str">
        <f t="shared" si="25"/>
        <v/>
      </c>
      <c r="M373" s="8" t="str">
        <f t="shared" si="26"/>
        <v/>
      </c>
      <c r="X373" s="6">
        <v>0.2</v>
      </c>
      <c r="AB373" s="5">
        <v>80</v>
      </c>
      <c r="AD373" s="95">
        <v>22</v>
      </c>
      <c r="AG373" s="67">
        <v>7.09</v>
      </c>
      <c r="AH373" s="101">
        <v>0.52083333333333337</v>
      </c>
      <c r="AJ373" s="1">
        <v>175</v>
      </c>
      <c r="AK373" s="3">
        <v>180</v>
      </c>
      <c r="AN373" s="80">
        <f>360-AK373-AB373</f>
        <v>100</v>
      </c>
      <c r="AP373" s="13">
        <f>AVERAGE(AO371:AO377)</f>
        <v>2589.9999999999636</v>
      </c>
      <c r="AR373" s="17" t="e">
        <f>(E373-W373)/E373</f>
        <v>#VALUE!</v>
      </c>
      <c r="AS373" s="16"/>
      <c r="AT373" s="16">
        <f>AG373/(AD373-AF373)</f>
        <v>0.32227272727272727</v>
      </c>
      <c r="AU373" s="16" t="e">
        <f>(G373-AM373)/G373</f>
        <v>#DIV/0!</v>
      </c>
      <c r="AV373" s="57" t="str">
        <f>IF(AND(ISNUMBER(E373),ISNUMBER(W373)),E373-W373,"")</f>
        <v/>
      </c>
      <c r="AW373" s="57" t="str">
        <f>IF(AND(ISNUMBER(I373),ISNUMBER(AF373)),I373-AF373,"")</f>
        <v/>
      </c>
      <c r="AX373" s="57" t="str">
        <f>IF(AND(ISNUMBER(AM373),ISNUMBER(G373)),G373-AM373,"")</f>
        <v/>
      </c>
      <c r="AY373" s="57" t="str">
        <f>IF(AND(ISNUMBER(AC373),ISNUMBER(AE373)),AC373-AE373,"")</f>
        <v/>
      </c>
      <c r="AZ373" s="57" t="str">
        <f>IF(AND(ISNUMBER(AL373),ISNUMBER(AM373)),AL373-AM373,"")</f>
        <v/>
      </c>
      <c r="BA373" s="60" t="str">
        <f>IF(AND($E373&gt;0,$W373&gt;0),IF(($E373-$W373)/$E373&gt;0,($E373-$W373)/$E373,0),"")</f>
        <v/>
      </c>
      <c r="BB373" s="60">
        <f>IF(AND($I373&gt;0,$AF373&gt;=0),IF(($I373-$AF373)/$I373&gt;0,($I373-$AF373)/$I373,0),"")</f>
        <v>1</v>
      </c>
      <c r="BC373" s="60">
        <f>IF(AND($AG373&gt;=0,$AD373&gt;=0,$AF373&gt;=0),IF($AG373/($AD373-$AF373)&gt;0,$AG373/($AD373-$AF373),0),"")</f>
        <v>0.32227272727272727</v>
      </c>
      <c r="BD373" s="60" t="str">
        <f>IF(AND($G373&gt;0,$AM373&gt;0),IF(($G373-$AM373)/$G373&gt;0,($G373-$AM373)/$G373,0),"")</f>
        <v/>
      </c>
      <c r="BE373" s="6">
        <f>IF((AD373-AF373)/(AJ373/60)&lt;=0,"",(AD373-AF373)/(AJ373/60))</f>
        <v>7.5428571428571436</v>
      </c>
      <c r="BF373" s="6" t="str">
        <f>IF(OR(AJ373=0,AP373=0,NOT(ISNUMBER(AD373)),NOT(ISNUMBER(AF373)),NOT(ISNUMBER(AJ373)),NOT(ISNUMBER(AP373))),"",
IFERROR(IF((AD373-AF373)/(AJ373/60)/(AP373/1000)&lt;=0,"",(AD373-AF373)/(AJ373/60)/(AP373/1000)),""))</f>
        <v/>
      </c>
    </row>
    <row r="374" spans="1:58" ht="15.75">
      <c r="A374" s="25" t="s">
        <v>92</v>
      </c>
      <c r="B374" s="94">
        <v>45634</v>
      </c>
      <c r="C374" s="1">
        <v>130</v>
      </c>
      <c r="D374" s="3">
        <v>369</v>
      </c>
      <c r="E374" s="205" t="str">
        <f t="shared" si="23"/>
        <v/>
      </c>
      <c r="I374" s="41">
        <v>21.8</v>
      </c>
      <c r="K374" s="10" t="str">
        <f t="shared" si="24"/>
        <v/>
      </c>
      <c r="L374" s="9" t="str">
        <f t="shared" si="25"/>
        <v/>
      </c>
      <c r="M374" s="8" t="str">
        <f t="shared" si="26"/>
        <v/>
      </c>
      <c r="X374" s="6">
        <v>0.19</v>
      </c>
      <c r="AB374" s="5">
        <v>80</v>
      </c>
      <c r="AD374" s="95">
        <v>22</v>
      </c>
      <c r="AG374" s="1">
        <v>1.9</v>
      </c>
      <c r="AH374" s="101">
        <v>0.453125</v>
      </c>
      <c r="AJ374" s="1">
        <v>175</v>
      </c>
      <c r="AK374" s="3">
        <v>180</v>
      </c>
      <c r="AN374" s="80">
        <f>360-AK374-AB374</f>
        <v>100</v>
      </c>
      <c r="AP374" s="13">
        <f>AVERAGE(AO372:AO378)</f>
        <v>2589.9999999999636</v>
      </c>
      <c r="AR374" s="17" t="e">
        <f>(E374-W374)/E374</f>
        <v>#VALUE!</v>
      </c>
      <c r="AS374" s="16"/>
      <c r="AT374" s="16">
        <f>AG374/(AD374-AF374)</f>
        <v>8.6363636363636365E-2</v>
      </c>
      <c r="AU374" s="16" t="e">
        <f>(G374-AM374)/G374</f>
        <v>#DIV/0!</v>
      </c>
      <c r="AV374" s="57" t="str">
        <f>IF(AND(ISNUMBER(E374),ISNUMBER(W374)),E374-W374,"")</f>
        <v/>
      </c>
      <c r="AW374" s="57" t="str">
        <f>IF(AND(ISNUMBER(I374),ISNUMBER(AF374)),I374-AF374,"")</f>
        <v/>
      </c>
      <c r="AX374" s="57" t="str">
        <f>IF(AND(ISNUMBER(AM374),ISNUMBER(G374)),G374-AM374,"")</f>
        <v/>
      </c>
      <c r="AY374" s="57" t="str">
        <f>IF(AND(ISNUMBER(AC374),ISNUMBER(AE374)),AC374-AE374,"")</f>
        <v/>
      </c>
      <c r="AZ374" s="57" t="str">
        <f>IF(AND(ISNUMBER(AL374),ISNUMBER(AM374)),AL374-AM374,"")</f>
        <v/>
      </c>
      <c r="BA374" s="60" t="str">
        <f>IF(AND($E374&gt;0,$W374&gt;0),IF(($E374-$W374)/$E374&gt;0,($E374-$W374)/$E374,0),"")</f>
        <v/>
      </c>
      <c r="BB374" s="60">
        <f>IF(AND($I374&gt;0,$AF374&gt;=0),IF(($I374-$AF374)/$I374&gt;0,($I374-$AF374)/$I374,0),"")</f>
        <v>1</v>
      </c>
      <c r="BC374" s="60"/>
      <c r="BD374" s="60" t="str">
        <f>IF(AND($G374&gt;0,$AM374&gt;0),IF(($G374-$AM374)/$G374&gt;0,($G374-$AM374)/$G374,0),"")</f>
        <v/>
      </c>
      <c r="BE374" s="6">
        <f>IF((AD374-AF374)/(AJ374/60)&lt;=0,"",(AD374-AF374)/(AJ374/60))</f>
        <v>7.5428571428571436</v>
      </c>
      <c r="BF374" s="6" t="str">
        <f>IF(OR(AJ374=0,AP374=0,NOT(ISNUMBER(AD374)),NOT(ISNUMBER(AF374)),NOT(ISNUMBER(AJ374)),NOT(ISNUMBER(AP374))),"",
IFERROR(IF((AD374-AF374)/(AJ374/60)/(AP374/1000)&lt;=0,"",(AD374-AF374)/(AJ374/60)/(AP374/1000)),""))</f>
        <v/>
      </c>
    </row>
    <row r="375" spans="1:58" ht="15.75">
      <c r="A375" s="25" t="s">
        <v>92</v>
      </c>
      <c r="B375" s="94">
        <v>45635</v>
      </c>
      <c r="C375" s="1">
        <v>131</v>
      </c>
      <c r="D375" s="3">
        <v>370</v>
      </c>
      <c r="E375" s="205" t="str">
        <f t="shared" si="23"/>
        <v/>
      </c>
      <c r="I375" s="41">
        <v>21.6</v>
      </c>
      <c r="K375" s="10" t="str">
        <f t="shared" si="24"/>
        <v/>
      </c>
      <c r="L375" s="9" t="str">
        <f t="shared" si="25"/>
        <v/>
      </c>
      <c r="M375" s="8" t="str">
        <f t="shared" si="26"/>
        <v/>
      </c>
      <c r="X375" s="6">
        <v>0.19</v>
      </c>
      <c r="AB375" s="5">
        <v>80</v>
      </c>
      <c r="AD375" s="95">
        <v>22</v>
      </c>
      <c r="AG375" s="1">
        <v>1.57</v>
      </c>
      <c r="AH375" s="101">
        <v>0.4443287037037037</v>
      </c>
      <c r="AJ375" s="1">
        <v>175</v>
      </c>
      <c r="AK375" s="3">
        <v>180</v>
      </c>
      <c r="AN375" s="80">
        <f>360-AK375-AB375</f>
        <v>100</v>
      </c>
      <c r="AP375" s="13">
        <f>AVERAGE(AO373:AO379)</f>
        <v>2534.166666666632</v>
      </c>
      <c r="AR375" s="17" t="e">
        <f>(E375-W375)/E375</f>
        <v>#VALUE!</v>
      </c>
      <c r="AS375" s="16"/>
      <c r="AT375" s="16">
        <f>AG375/(AD375-AF375)</f>
        <v>7.1363636363636365E-2</v>
      </c>
      <c r="AU375" s="16" t="e">
        <f>(G375-AM375)/G375</f>
        <v>#DIV/0!</v>
      </c>
      <c r="AV375" s="57" t="str">
        <f>IF(AND(ISNUMBER(E375),ISNUMBER(W375)),E375-W375,"")</f>
        <v/>
      </c>
      <c r="AW375" s="57" t="str">
        <f>IF(AND(ISNUMBER(I375),ISNUMBER(AF375)),I375-AF375,"")</f>
        <v/>
      </c>
      <c r="AX375" s="57" t="str">
        <f>IF(AND(ISNUMBER(AM375),ISNUMBER(G375)),G375-AM375,"")</f>
        <v/>
      </c>
      <c r="AY375" s="57" t="str">
        <f>IF(AND(ISNUMBER(AC375),ISNUMBER(AE375)),AC375-AE375,"")</f>
        <v/>
      </c>
      <c r="AZ375" s="57" t="str">
        <f>IF(AND(ISNUMBER(AL375),ISNUMBER(AM375)),AL375-AM375,"")</f>
        <v/>
      </c>
      <c r="BA375" s="60" t="str">
        <f>IF(AND($E375&gt;0,$W375&gt;0),IF(($E375-$W375)/$E375&gt;0,($E375-$W375)/$E375,0),"")</f>
        <v/>
      </c>
      <c r="BB375" s="60">
        <f>IF(AND($I375&gt;0,$AF375&gt;=0),IF(($I375-$AF375)/$I375&gt;0,($I375-$AF375)/$I375,0),"")</f>
        <v>1</v>
      </c>
      <c r="BC375" s="60"/>
      <c r="BD375" s="60" t="str">
        <f>IF(AND($G375&gt;0,$AM375&gt;0),IF(($G375-$AM375)/$G375&gt;0,($G375-$AM375)/$G375,0),"")</f>
        <v/>
      </c>
      <c r="BE375" s="6">
        <f>IF((AD375-AF375)/(AJ375/60)&lt;=0,"",(AD375-AF375)/(AJ375/60))</f>
        <v>7.5428571428571436</v>
      </c>
      <c r="BF375" s="6" t="str">
        <f>IF(OR(AJ375=0,AP375=0,NOT(ISNUMBER(AD375)),NOT(ISNUMBER(AF375)),NOT(ISNUMBER(AJ375)),NOT(ISNUMBER(AP375))),"",
IFERROR(IF((AD375-AF375)/(AJ375/60)/(AP375/1000)&lt;=0,"",(AD375-AF375)/(AJ375/60)/(AP375/1000)),""))</f>
        <v/>
      </c>
    </row>
    <row r="376" spans="1:58" ht="15.75">
      <c r="A376" s="25" t="s">
        <v>91</v>
      </c>
      <c r="B376" s="94">
        <v>45636</v>
      </c>
      <c r="C376" s="1">
        <v>132</v>
      </c>
      <c r="D376" s="3">
        <v>371</v>
      </c>
      <c r="E376" s="205">
        <f t="shared" si="23"/>
        <v>267.616174</v>
      </c>
      <c r="G376" s="15">
        <f>(N376*18-H376*18)/9</f>
        <v>0</v>
      </c>
      <c r="I376" s="15">
        <f>AD376</f>
        <v>21</v>
      </c>
      <c r="K376" s="10" t="str">
        <f t="shared" si="24"/>
        <v/>
      </c>
      <c r="L376" s="9">
        <f t="shared" si="25"/>
        <v>6.3718136666666663</v>
      </c>
      <c r="M376" s="8" t="str">
        <f t="shared" si="26"/>
        <v/>
      </c>
      <c r="O376">
        <v>84.491</v>
      </c>
      <c r="P376">
        <v>28.835000000000001</v>
      </c>
      <c r="Q376" s="6">
        <f>O376*1.067</f>
        <v>90.151896999999991</v>
      </c>
      <c r="R376" s="6">
        <f>P376*1.514</f>
        <v>43.656190000000002</v>
      </c>
      <c r="S376" s="23">
        <f>P376*1.514+O376*1.067</f>
        <v>133.808087</v>
      </c>
      <c r="U376" s="6">
        <f>0*1.067</f>
        <v>0</v>
      </c>
      <c r="V376" s="6">
        <f>0*1.514</f>
        <v>0</v>
      </c>
      <c r="W376" s="23">
        <f>U376*1.067+V376*1.514</f>
        <v>0</v>
      </c>
      <c r="X376" s="6">
        <v>0.56999999999999995</v>
      </c>
      <c r="AB376" s="5">
        <v>80</v>
      </c>
      <c r="AC376" s="7">
        <f>T376</f>
        <v>0</v>
      </c>
      <c r="AD376" s="95">
        <v>21</v>
      </c>
      <c r="AG376" s="67">
        <v>6.56</v>
      </c>
      <c r="AH376" s="101">
        <v>0.52060185185185182</v>
      </c>
      <c r="AJ376" s="1">
        <v>175</v>
      </c>
      <c r="AK376" s="3">
        <v>180</v>
      </c>
      <c r="AL376" s="4">
        <f>AE376</f>
        <v>0</v>
      </c>
      <c r="AN376" s="80">
        <f>360-AK376-AB376</f>
        <v>100</v>
      </c>
      <c r="AO376" s="2">
        <v>2589.9999999999636</v>
      </c>
      <c r="AP376" s="13">
        <f>AVERAGE(AO374:AO380)</f>
        <v>2534.166666666632</v>
      </c>
      <c r="AQ376" s="2">
        <v>18.307337071768178</v>
      </c>
      <c r="AR376" s="17">
        <f>(E376-W376)/E376</f>
        <v>1</v>
      </c>
      <c r="AS376" s="16"/>
      <c r="AT376" s="16">
        <f>AG376/(AD376-AF376)</f>
        <v>0.31238095238095237</v>
      </c>
      <c r="AU376" s="16" t="e">
        <f>(G376-AM376)/G376</f>
        <v>#DIV/0!</v>
      </c>
      <c r="AV376" s="57">
        <f>IF(AND(ISNUMBER(E376),ISNUMBER(W376)),E376-W376,"")</f>
        <v>267.616174</v>
      </c>
      <c r="AW376" s="57" t="str">
        <f>IF(AND(ISNUMBER(I376),ISNUMBER(AF376)),I376-AF376,"")</f>
        <v/>
      </c>
      <c r="AX376" s="57" t="str">
        <f>IF(AND(ISNUMBER(AM376),ISNUMBER(G376)),G376-AM376,"")</f>
        <v/>
      </c>
      <c r="AY376" s="57" t="str">
        <f>IF(AND(ISNUMBER(AC376),ISNUMBER(AE376)),AC376-AE376,"")</f>
        <v/>
      </c>
      <c r="AZ376" s="57" t="str">
        <f>IF(AND(ISNUMBER(AL376),ISNUMBER(AM376)),AL376-AM376,"")</f>
        <v/>
      </c>
      <c r="BA376" s="60" t="str">
        <f>IF(AND($E376&gt;0,$W376&gt;0),IF(($E376-$W376)/$E376&gt;0,($E376-$W376)/$E376,0),"")</f>
        <v/>
      </c>
      <c r="BB376" s="60">
        <f>IF(AND($I376&gt;0,$AF376&gt;=0),IF(($I376-$AF376)/$I376&gt;0,($I376-$AF376)/$I376,0),"")</f>
        <v>1</v>
      </c>
      <c r="BC376" s="60">
        <f>IF(AND($AG376&gt;=0,$AD376&gt;=0,$AF376&gt;=0),IF($AG376/($AD376-$AF376)&gt;0,$AG376/($AD376-$AF376),0),"")</f>
        <v>0.31238095238095237</v>
      </c>
      <c r="BD376" s="60" t="str">
        <f>IF(AND($G376&gt;0,$AM376&gt;0),IF(($G376-$AM376)/$G376&gt;0,($G376-$AM376)/$G376,0),"")</f>
        <v/>
      </c>
      <c r="BE376" s="6">
        <f>IF((AD376-AF376)/(AJ376/60)&lt;=0,"",(AD376-AF376)/(AJ376/60))</f>
        <v>7.2</v>
      </c>
      <c r="BF376" s="6" t="str">
        <f>IF(OR(AJ376=0,AP376=0,NOT(ISNUMBER(AD376)),NOT(ISNUMBER(AF376)),NOT(ISNUMBER(AJ376)),NOT(ISNUMBER(AP376))),"",
IFERROR(IF((AD376-AF376)/(AJ376/60)/(AP376/1000)&lt;=0,"",(AD376-AF376)/(AJ376/60)/(AP376/1000)),""))</f>
        <v/>
      </c>
    </row>
    <row r="377" spans="1:58" ht="15.75">
      <c r="A377" s="25"/>
      <c r="B377" s="94">
        <v>45637</v>
      </c>
      <c r="C377" s="1">
        <v>133</v>
      </c>
      <c r="D377" s="3">
        <v>372</v>
      </c>
      <c r="E377" s="205" t="str">
        <f t="shared" si="23"/>
        <v/>
      </c>
      <c r="I377" s="15">
        <f>AD377</f>
        <v>21</v>
      </c>
      <c r="K377" s="10" t="str">
        <f t="shared" si="24"/>
        <v/>
      </c>
      <c r="L377" s="9" t="str">
        <f t="shared" si="25"/>
        <v/>
      </c>
      <c r="M377" s="8" t="str">
        <f t="shared" si="26"/>
        <v/>
      </c>
      <c r="X377" s="6">
        <v>0.19</v>
      </c>
      <c r="AB377" s="5">
        <v>80</v>
      </c>
      <c r="AD377" s="95">
        <v>21</v>
      </c>
      <c r="AG377" s="67">
        <v>5.13</v>
      </c>
      <c r="AH377" s="101">
        <v>0.52083333333333337</v>
      </c>
      <c r="AJ377" s="1">
        <v>175</v>
      </c>
      <c r="AK377" s="3">
        <v>180</v>
      </c>
      <c r="AN377" s="80">
        <f>360-AK377-AB377</f>
        <v>100</v>
      </c>
      <c r="AP377" s="13">
        <f>AVERAGE(AO375:AO381)</f>
        <v>2534.166666666632</v>
      </c>
      <c r="AR377" s="17" t="e">
        <f>(E377-W377)/E377</f>
        <v>#VALUE!</v>
      </c>
      <c r="AS377" s="16"/>
      <c r="AT377" s="16">
        <f>AG377/(AD377-AF377)</f>
        <v>0.24428571428571427</v>
      </c>
      <c r="AU377" s="16" t="e">
        <f>(G377-AM377)/G377</f>
        <v>#DIV/0!</v>
      </c>
      <c r="AV377" s="57" t="str">
        <f>IF(AND(ISNUMBER(E377),ISNUMBER(W377)),E377-W377,"")</f>
        <v/>
      </c>
      <c r="AW377" s="57" t="str">
        <f>IF(AND(ISNUMBER(I377),ISNUMBER(AF377)),I377-AF377,"")</f>
        <v/>
      </c>
      <c r="AX377" s="57" t="str">
        <f>IF(AND(ISNUMBER(AM377),ISNUMBER(G377)),G377-AM377,"")</f>
        <v/>
      </c>
      <c r="AY377" s="57" t="str">
        <f>IF(AND(ISNUMBER(AC377),ISNUMBER(AE377)),AC377-AE377,"")</f>
        <v/>
      </c>
      <c r="AZ377" s="57" t="str">
        <f>IF(AND(ISNUMBER(AL377),ISNUMBER(AM377)),AL377-AM377,"")</f>
        <v/>
      </c>
      <c r="BA377" s="60" t="str">
        <f>IF(AND($E377&gt;0,$W377&gt;0),IF(($E377-$W377)/$E377&gt;0,($E377-$W377)/$E377,0),"")</f>
        <v/>
      </c>
      <c r="BB377" s="60">
        <f>IF(AND($I377&gt;0,$AF377&gt;=0),IF(($I377-$AF377)/$I377&gt;0,($I377-$AF377)/$I377,0),"")</f>
        <v>1</v>
      </c>
      <c r="BC377" s="60">
        <f>IF(AND($AG377&gt;=0,$AD377&gt;=0,$AF377&gt;=0),IF($AG377/($AD377-$AF377)&gt;0,$AG377/($AD377-$AF377),0),"")</f>
        <v>0.24428571428571427</v>
      </c>
      <c r="BD377" s="60" t="str">
        <f>IF(AND($G377&gt;0,$AM377&gt;0),IF(($G377-$AM377)/$G377&gt;0,($G377-$AM377)/$G377,0),"")</f>
        <v/>
      </c>
      <c r="BE377" s="6">
        <f>IF((AD377-AF377)/(AJ377/60)&lt;=0,"",(AD377-AF377)/(AJ377/60))</f>
        <v>7.2</v>
      </c>
      <c r="BF377" s="6" t="str">
        <f>IF(OR(AJ377=0,AP377=0,NOT(ISNUMBER(AD377)),NOT(ISNUMBER(AF377)),NOT(ISNUMBER(AJ377)),NOT(ISNUMBER(AP377))),"",
IFERROR(IF((AD377-AF377)/(AJ377/60)/(AP377/1000)&lt;=0,"",(AD377-AF377)/(AJ377/60)/(AP377/1000)),""))</f>
        <v/>
      </c>
    </row>
    <row r="378" spans="1:58" ht="15.75">
      <c r="A378" s="108">
        <v>1.25</v>
      </c>
      <c r="B378" s="94">
        <v>45638</v>
      </c>
      <c r="C378" s="1">
        <v>134</v>
      </c>
      <c r="D378" s="3">
        <v>373</v>
      </c>
      <c r="E378" s="205" t="str">
        <f t="shared" si="23"/>
        <v/>
      </c>
      <c r="K378" s="10" t="str">
        <f t="shared" si="24"/>
        <v/>
      </c>
      <c r="L378" s="9" t="str">
        <f t="shared" si="25"/>
        <v/>
      </c>
      <c r="M378" s="8" t="str">
        <f t="shared" si="26"/>
        <v/>
      </c>
      <c r="X378" s="6">
        <v>0.19</v>
      </c>
      <c r="AB378" s="5">
        <v>80</v>
      </c>
      <c r="AD378" s="95">
        <v>21</v>
      </c>
      <c r="AG378" s="67">
        <v>4.09</v>
      </c>
      <c r="AH378" s="101">
        <v>0.51979166666666665</v>
      </c>
      <c r="AJ378" s="1">
        <v>175</v>
      </c>
      <c r="AK378" s="3">
        <v>180</v>
      </c>
      <c r="AN378" s="80">
        <f>360-AK378-AB378</f>
        <v>100</v>
      </c>
      <c r="AP378" s="13">
        <f>AVERAGE(AO376:AO382)</f>
        <v>2534.166666666632</v>
      </c>
      <c r="AR378" s="17" t="e">
        <f>(E378-W378)/E378</f>
        <v>#VALUE!</v>
      </c>
      <c r="AS378" s="16"/>
      <c r="AT378" s="16">
        <f>AG378/(AD378-AF378)</f>
        <v>0.19476190476190475</v>
      </c>
      <c r="AU378" s="16" t="e">
        <f>(G378-AM378)/G378</f>
        <v>#DIV/0!</v>
      </c>
      <c r="AV378" s="57" t="str">
        <f>IF(AND(ISNUMBER(E378),ISNUMBER(W378)),E378-W378,"")</f>
        <v/>
      </c>
      <c r="AW378" s="57" t="str">
        <f>IF(AND(ISNUMBER(I378),ISNUMBER(AF378)),I378-AF378,"")</f>
        <v/>
      </c>
      <c r="AX378" s="57" t="str">
        <f>IF(AND(ISNUMBER(AM378),ISNUMBER(G378)),G378-AM378,"")</f>
        <v/>
      </c>
      <c r="AY378" s="57" t="str">
        <f>IF(AND(ISNUMBER(AC378),ISNUMBER(AE378)),AC378-AE378,"")</f>
        <v/>
      </c>
      <c r="AZ378" s="57" t="str">
        <f>IF(AND(ISNUMBER(AL378),ISNUMBER(AM378)),AL378-AM378,"")</f>
        <v/>
      </c>
      <c r="BA378" s="60" t="str">
        <f>IF(AND($E378&gt;0,$W378&gt;0),IF(($E378-$W378)/$E378&gt;0,($E378-$W378)/$E378,0),"")</f>
        <v/>
      </c>
      <c r="BB378" s="60" t="str">
        <f>IF(AND($I378&gt;0,$AF378&gt;=0),IF(($I378-$AF378)/$I378&gt;0,($I378-$AF378)/$I378,0),"")</f>
        <v/>
      </c>
      <c r="BC378" s="60">
        <f>IF(AND($AG378&gt;=0,$AD378&gt;=0,$AF378&gt;=0),IF($AG378/($AD378-$AF378)&gt;0,$AG378/($AD378-$AF378),0),"")</f>
        <v>0.19476190476190475</v>
      </c>
      <c r="BD378" s="60" t="str">
        <f>IF(AND($G378&gt;0,$AM378&gt;0),IF(($G378-$AM378)/$G378&gt;0,($G378-$AM378)/$G378,0),"")</f>
        <v/>
      </c>
      <c r="BE378" s="6">
        <f>IF((AD378-AF378)/(AJ378/60)&lt;=0,"",(AD378-AF378)/(AJ378/60))</f>
        <v>7.2</v>
      </c>
      <c r="BF378" s="6" t="str">
        <f>IF(OR(AJ378=0,AP378=0,NOT(ISNUMBER(AD378)),NOT(ISNUMBER(AF378)),NOT(ISNUMBER(AJ378)),NOT(ISNUMBER(AP378))),"",
IFERROR(IF((AD378-AF378)/(AJ378/60)/(AP378/1000)&lt;=0,"",(AD378-AF378)/(AJ378/60)/(AP378/1000)),""))</f>
        <v/>
      </c>
    </row>
    <row r="379" spans="1:58" ht="15.75">
      <c r="A379" s="25"/>
      <c r="B379" s="94">
        <v>45639</v>
      </c>
      <c r="C379" s="1">
        <v>135</v>
      </c>
      <c r="D379" s="3">
        <v>374</v>
      </c>
      <c r="E379" s="205" t="str">
        <f t="shared" si="23"/>
        <v/>
      </c>
      <c r="K379" s="10" t="str">
        <f t="shared" si="24"/>
        <v/>
      </c>
      <c r="L379" s="9" t="str">
        <f t="shared" si="25"/>
        <v/>
      </c>
      <c r="M379" s="8" t="str">
        <f t="shared" si="26"/>
        <v/>
      </c>
      <c r="X379" s="6">
        <v>0.2</v>
      </c>
      <c r="AB379" s="5">
        <v>80</v>
      </c>
      <c r="AD379" s="95">
        <v>20</v>
      </c>
      <c r="AG379" s="67">
        <v>3.09</v>
      </c>
      <c r="AH379" s="101">
        <v>0.51944444444444449</v>
      </c>
      <c r="AJ379" s="1">
        <v>175</v>
      </c>
      <c r="AK379" s="3">
        <v>180</v>
      </c>
      <c r="AN379" s="80">
        <f>360-AK379-AB379</f>
        <v>100</v>
      </c>
      <c r="AO379" s="107">
        <f>AVERAGE(AO376,AO384)</f>
        <v>2478.3333333333003</v>
      </c>
      <c r="AP379" s="13">
        <f>AVERAGE(AO377:AO383)</f>
        <v>2478.3333333333003</v>
      </c>
      <c r="AR379" s="17" t="e">
        <f>(E379-W379)/E379</f>
        <v>#VALUE!</v>
      </c>
      <c r="AS379" s="16"/>
      <c r="AT379" s="16">
        <f>AG379/(AD379-AF379)</f>
        <v>0.1545</v>
      </c>
      <c r="AU379" s="16" t="e">
        <f>(G379-AM379)/G379</f>
        <v>#DIV/0!</v>
      </c>
      <c r="AV379" s="57" t="str">
        <f>IF(AND(ISNUMBER(E379),ISNUMBER(W379)),E379-W379,"")</f>
        <v/>
      </c>
      <c r="AW379" s="57" t="str">
        <f>IF(AND(ISNUMBER(I379),ISNUMBER(AF379)),I379-AF379,"")</f>
        <v/>
      </c>
      <c r="AX379" s="57" t="str">
        <f>IF(AND(ISNUMBER(AM379),ISNUMBER(G379)),G379-AM379,"")</f>
        <v/>
      </c>
      <c r="AY379" s="57" t="str">
        <f>IF(AND(ISNUMBER(AC379),ISNUMBER(AE379)),AC379-AE379,"")</f>
        <v/>
      </c>
      <c r="AZ379" s="57" t="str">
        <f>IF(AND(ISNUMBER(AL379),ISNUMBER(AM379)),AL379-AM379,"")</f>
        <v/>
      </c>
      <c r="BA379" s="60" t="str">
        <f>IF(AND($E379&gt;0,$W379&gt;0),IF(($E379-$W379)/$E379&gt;0,($E379-$W379)/$E379,0),"")</f>
        <v/>
      </c>
      <c r="BB379" s="60" t="str">
        <f>IF(AND($I379&gt;0,$AF379&gt;=0),IF(($I379-$AF379)/$I379&gt;0,($I379-$AF379)/$I379,0),"")</f>
        <v/>
      </c>
      <c r="BC379" s="60">
        <f>IF(AND($AG379&gt;=0,$AD379&gt;=0,$AF379&gt;=0),IF($AG379/($AD379-$AF379)&gt;0,$AG379/($AD379-$AF379),0),"")</f>
        <v>0.1545</v>
      </c>
      <c r="BD379" s="60" t="str">
        <f>IF(AND($G379&gt;0,$AM379&gt;0),IF(($G379-$AM379)/$G379&gt;0,($G379-$AM379)/$G379,0),"")</f>
        <v/>
      </c>
      <c r="BE379" s="6">
        <f>IF((AD379-AF379)/(AJ379/60)&lt;=0,"",(AD379-AF379)/(AJ379/60))</f>
        <v>6.8571428571428577</v>
      </c>
      <c r="BF379" s="6" t="str">
        <f>IF(OR(AJ379=0,AP379=0,NOT(ISNUMBER(AD379)),NOT(ISNUMBER(AF379)),NOT(ISNUMBER(AJ379)),NOT(ISNUMBER(AP379))),"",
IFERROR(IF((AD379-AF379)/(AJ379/60)/(AP379/1000)&lt;=0,"",(AD379-AF379)/(AJ379/60)/(AP379/1000)),""))</f>
        <v/>
      </c>
    </row>
    <row r="380" spans="1:58" ht="15.75">
      <c r="A380" s="25"/>
      <c r="B380" s="94">
        <v>45640</v>
      </c>
      <c r="C380" s="1">
        <v>136</v>
      </c>
      <c r="D380" s="3">
        <v>375</v>
      </c>
      <c r="E380" s="205" t="str">
        <f t="shared" si="23"/>
        <v/>
      </c>
      <c r="K380" s="10" t="str">
        <f t="shared" si="24"/>
        <v/>
      </c>
      <c r="L380" s="9" t="str">
        <f t="shared" si="25"/>
        <v/>
      </c>
      <c r="M380" s="8" t="str">
        <f t="shared" si="26"/>
        <v/>
      </c>
      <c r="X380" s="6">
        <v>0.67</v>
      </c>
      <c r="AB380" s="5">
        <v>80</v>
      </c>
      <c r="AD380" s="95">
        <v>20</v>
      </c>
      <c r="AG380" s="67">
        <v>3.22</v>
      </c>
      <c r="AH380" s="101">
        <v>0.52083333333333337</v>
      </c>
      <c r="AJ380" s="1">
        <v>175</v>
      </c>
      <c r="AK380" s="3">
        <v>180</v>
      </c>
      <c r="AN380" s="80">
        <f>360-AK380-AB380</f>
        <v>100</v>
      </c>
      <c r="AP380" s="13">
        <f>AVERAGE(AO378:AO384)</f>
        <v>2422.4999999999682</v>
      </c>
      <c r="AR380" s="17" t="e">
        <f>(E380-W380)/E380</f>
        <v>#VALUE!</v>
      </c>
      <c r="AS380" s="16"/>
      <c r="AT380" s="16">
        <f>AG380/(AD380-AF380)</f>
        <v>0.161</v>
      </c>
      <c r="AU380" s="16" t="e">
        <f>(G380-AM380)/G380</f>
        <v>#DIV/0!</v>
      </c>
      <c r="AV380" s="57" t="str">
        <f>IF(AND(ISNUMBER(E380),ISNUMBER(W380)),E380-W380,"")</f>
        <v/>
      </c>
      <c r="AW380" s="57" t="str">
        <f>IF(AND(ISNUMBER(I380),ISNUMBER(AF380)),I380-AF380,"")</f>
        <v/>
      </c>
      <c r="AX380" s="57" t="str">
        <f>IF(AND(ISNUMBER(AM380),ISNUMBER(G380)),G380-AM380,"")</f>
        <v/>
      </c>
      <c r="AY380" s="57" t="str">
        <f>IF(AND(ISNUMBER(AC380),ISNUMBER(AE380)),AC380-AE380,"")</f>
        <v/>
      </c>
      <c r="AZ380" s="57" t="str">
        <f>IF(AND(ISNUMBER(AL380),ISNUMBER(AM380)),AL380-AM380,"")</f>
        <v/>
      </c>
      <c r="BA380" s="60" t="str">
        <f>IF(AND($E380&gt;0,$W380&gt;0),IF(($E380-$W380)/$E380&gt;0,($E380-$W380)/$E380,0),"")</f>
        <v/>
      </c>
      <c r="BB380" s="60" t="str">
        <f>IF(AND($I380&gt;0,$AF380&gt;=0),IF(($I380-$AF380)/$I380&gt;0,($I380-$AF380)/$I380,0),"")</f>
        <v/>
      </c>
      <c r="BC380" s="60">
        <f>IF(AND($AG380&gt;=0,$AD380&gt;=0,$AF380&gt;=0),IF($AG380/($AD380-$AF380)&gt;0,$AG380/($AD380-$AF380),0),"")</f>
        <v>0.161</v>
      </c>
      <c r="BD380" s="60" t="str">
        <f>IF(AND($G380&gt;0,$AM380&gt;0),IF(($G380-$AM380)/$G380&gt;0,($G380-$AM380)/$G380,0),"")</f>
        <v/>
      </c>
      <c r="BE380" s="6">
        <f>IF((AD380-AF380)/(AJ380/60)&lt;=0,"",(AD380-AF380)/(AJ380/60))</f>
        <v>6.8571428571428577</v>
      </c>
      <c r="BF380" s="6" t="str">
        <f>IF(OR(AJ380=0,AP380=0,NOT(ISNUMBER(AD380)),NOT(ISNUMBER(AF380)),NOT(ISNUMBER(AJ380)),NOT(ISNUMBER(AP380))),"",
IFERROR(IF((AD380-AF380)/(AJ380/60)/(AP380/1000)&lt;=0,"",(AD380-AF380)/(AJ380/60)/(AP380/1000)),""))</f>
        <v/>
      </c>
    </row>
    <row r="381" spans="1:58" ht="15.75">
      <c r="A381" s="25"/>
      <c r="B381" s="94">
        <v>45641</v>
      </c>
      <c r="C381" s="1">
        <v>137</v>
      </c>
      <c r="D381" s="3">
        <v>376</v>
      </c>
      <c r="E381" s="205" t="str">
        <f t="shared" si="23"/>
        <v/>
      </c>
      <c r="K381" s="10" t="str">
        <f t="shared" si="24"/>
        <v/>
      </c>
      <c r="L381" s="9" t="str">
        <f t="shared" si="25"/>
        <v/>
      </c>
      <c r="M381" s="8" t="str">
        <f t="shared" si="26"/>
        <v/>
      </c>
      <c r="X381" s="6">
        <v>0.2</v>
      </c>
      <c r="AB381" s="5">
        <v>80</v>
      </c>
      <c r="AD381" s="95">
        <v>20</v>
      </c>
      <c r="AG381" s="67">
        <v>3.02</v>
      </c>
      <c r="AH381" s="101">
        <v>0.52037037037037037</v>
      </c>
      <c r="AJ381" s="1">
        <v>175</v>
      </c>
      <c r="AK381" s="3">
        <v>180</v>
      </c>
      <c r="AN381" s="80">
        <f>360-AK381-AB381</f>
        <v>100</v>
      </c>
      <c r="AP381" s="13">
        <f>AVERAGE(AO379:AO385)</f>
        <v>2422.4999999999682</v>
      </c>
      <c r="AR381" s="17" t="e">
        <f>(E381-W381)/E381</f>
        <v>#VALUE!</v>
      </c>
      <c r="AS381" s="16"/>
      <c r="AT381" s="16">
        <f>AG381/(AD381-AF381)</f>
        <v>0.151</v>
      </c>
      <c r="AU381" s="16" t="e">
        <f>(G381-AM381)/G381</f>
        <v>#DIV/0!</v>
      </c>
      <c r="AV381" s="57" t="str">
        <f>IF(AND(ISNUMBER(E381),ISNUMBER(W381)),E381-W381,"")</f>
        <v/>
      </c>
      <c r="AW381" s="57" t="str">
        <f>IF(AND(ISNUMBER(I381),ISNUMBER(AF381)),I381-AF381,"")</f>
        <v/>
      </c>
      <c r="AX381" s="57" t="str">
        <f>IF(AND(ISNUMBER(AM381),ISNUMBER(G381)),G381-AM381,"")</f>
        <v/>
      </c>
      <c r="AY381" s="57" t="str">
        <f>IF(AND(ISNUMBER(AC381),ISNUMBER(AE381)),AC381-AE381,"")</f>
        <v/>
      </c>
      <c r="AZ381" s="57" t="str">
        <f>IF(AND(ISNUMBER(AL381),ISNUMBER(AM381)),AL381-AM381,"")</f>
        <v/>
      </c>
      <c r="BA381" s="60" t="str">
        <f>IF(AND($E381&gt;0,$W381&gt;0),IF(($E381-$W381)/$E381&gt;0,($E381-$W381)/$E381,0),"")</f>
        <v/>
      </c>
      <c r="BB381" s="60" t="str">
        <f>IF(AND($I381&gt;0,$AF381&gt;=0),IF(($I381-$AF381)/$I381&gt;0,($I381-$AF381)/$I381,0),"")</f>
        <v/>
      </c>
      <c r="BC381" s="60">
        <f>IF(AND($AG381&gt;=0,$AD381&gt;=0,$AF381&gt;=0),IF($AG381/($AD381-$AF381)&gt;0,$AG381/($AD381-$AF381),0),"")</f>
        <v>0.151</v>
      </c>
      <c r="BD381" s="60" t="str">
        <f>IF(AND($G381&gt;0,$AM381&gt;0),IF(($G381-$AM381)/$G381&gt;0,($G381-$AM381)/$G381,0),"")</f>
        <v/>
      </c>
      <c r="BE381" s="6">
        <f>IF((AD381-AF381)/(AJ381/60)&lt;=0,"",(AD381-AF381)/(AJ381/60))</f>
        <v>6.8571428571428577</v>
      </c>
      <c r="BF381" s="6" t="str">
        <f>IF(OR(AJ381=0,AP381=0,NOT(ISNUMBER(AD381)),NOT(ISNUMBER(AF381)),NOT(ISNUMBER(AJ381)),NOT(ISNUMBER(AP381))),"",
IFERROR(IF((AD381-AF381)/(AJ381/60)/(AP381/1000)&lt;=0,"",(AD381-AF381)/(AJ381/60)/(AP381/1000)),""))</f>
        <v/>
      </c>
    </row>
    <row r="382" spans="1:58" ht="15.75">
      <c r="A382" s="25" t="s">
        <v>90</v>
      </c>
      <c r="B382" s="94">
        <v>45642</v>
      </c>
      <c r="C382" s="1">
        <v>138</v>
      </c>
      <c r="D382" s="3">
        <v>377</v>
      </c>
      <c r="E382" s="205">
        <f t="shared" si="23"/>
        <v>238.47357</v>
      </c>
      <c r="G382" s="15">
        <f>(N382*18-H382*18)/9</f>
        <v>14.299999999999999</v>
      </c>
      <c r="H382" s="9">
        <f>5*1.37</f>
        <v>6.8500000000000005</v>
      </c>
      <c r="I382" s="15">
        <f>AD382</f>
        <v>19.850000000000001</v>
      </c>
      <c r="K382" s="10">
        <f t="shared" si="24"/>
        <v>16.676473426573427</v>
      </c>
      <c r="L382" s="9">
        <f t="shared" si="25"/>
        <v>6.0068909319899237</v>
      </c>
      <c r="M382" s="8">
        <f t="shared" si="26"/>
        <v>2.7762237762237767</v>
      </c>
      <c r="N382" s="7">
        <f>5*2.8</f>
        <v>14</v>
      </c>
      <c r="O382" s="6">
        <v>77.305000000000007</v>
      </c>
      <c r="P382" s="6">
        <v>24.274999999999999</v>
      </c>
      <c r="Q382" s="6">
        <f>O382*1.067</f>
        <v>82.484435000000005</v>
      </c>
      <c r="R382" s="6">
        <f>P382*1.514</f>
        <v>36.75235</v>
      </c>
      <c r="S382" s="23">
        <f>P382*1.514+O382*1.067</f>
        <v>119.236785</v>
      </c>
      <c r="T382" s="6">
        <f>25.7</f>
        <v>25.7</v>
      </c>
      <c r="U382" s="6">
        <v>0</v>
      </c>
      <c r="V382" s="6">
        <v>0</v>
      </c>
      <c r="W382" s="23">
        <f>U382*1.067+V382*1.514</f>
        <v>0</v>
      </c>
      <c r="X382" s="6">
        <v>1.92</v>
      </c>
      <c r="AB382" s="5">
        <v>80</v>
      </c>
      <c r="AC382" s="7">
        <f>T382</f>
        <v>25.7</v>
      </c>
      <c r="AD382" s="1">
        <f>5*3.97</f>
        <v>19.850000000000001</v>
      </c>
      <c r="AE382" s="1">
        <f>15.9</f>
        <v>15.9</v>
      </c>
      <c r="AF382" s="1">
        <f>2*3.52</f>
        <v>7.04</v>
      </c>
      <c r="AG382" s="67">
        <v>3.55</v>
      </c>
      <c r="AH382" s="101">
        <v>0.52048611111111109</v>
      </c>
      <c r="AJ382" s="1">
        <v>175</v>
      </c>
      <c r="AK382" s="3">
        <v>180</v>
      </c>
      <c r="AL382" s="4">
        <f>AE382</f>
        <v>15.9</v>
      </c>
      <c r="AM382" s="1">
        <f>5*2.55</f>
        <v>12.75</v>
      </c>
      <c r="AN382" s="80">
        <f>360-AK382-AB382</f>
        <v>100</v>
      </c>
      <c r="AP382" s="13">
        <f>AVERAGE(AO380:AO386)</f>
        <v>2513.3333333333139</v>
      </c>
      <c r="AR382" s="17">
        <f>(E382-W382)/E382</f>
        <v>1</v>
      </c>
      <c r="AS382" s="16">
        <f>(I382-AF382)/I382</f>
        <v>0.64534005037783382</v>
      </c>
      <c r="AT382" s="16">
        <f>AG382/(AD382-AF382)</f>
        <v>0.27712724434035901</v>
      </c>
      <c r="AU382" s="16">
        <f>(G382-AM382)/G382</f>
        <v>0.10839160839160833</v>
      </c>
      <c r="AV382" s="57">
        <f>IF(AND(ISNUMBER(E382),ISNUMBER(W382)),E382-W382,"")</f>
        <v>238.47357</v>
      </c>
      <c r="AW382" s="57">
        <f>IF(AND(ISNUMBER(I382),ISNUMBER(AF382)),I382-AF382,"")</f>
        <v>12.810000000000002</v>
      </c>
      <c r="AX382" s="57">
        <f>IF(AND(ISNUMBER(AM382),ISNUMBER(G382)),G382-AM382,"")</f>
        <v>1.5499999999999989</v>
      </c>
      <c r="AY382" s="57">
        <f>IF(AND(ISNUMBER(AC382),ISNUMBER(AE382)),AC382-AE382,"")</f>
        <v>9.7999999999999989</v>
      </c>
      <c r="AZ382" s="57">
        <f>IF(AND(ISNUMBER(AL382),ISNUMBER(AM382)),AL382-AM382,"")</f>
        <v>3.1500000000000004</v>
      </c>
      <c r="BA382" s="60" t="str">
        <f>IF(AND($E382&gt;0,$W382&gt;0),IF(($E382-$W382)/$E382&gt;0,($E382-$W382)/$E382,0),"")</f>
        <v/>
      </c>
      <c r="BB382" s="60">
        <f>IF(AND($I382&gt;0,$AF382&gt;=0),IF(($I382-$AF382)/$I382&gt;0,($I382-$AF382)/$I382,0),"")</f>
        <v>0.64534005037783382</v>
      </c>
      <c r="BC382" s="60">
        <f>IF(AND($AG382&gt;=0,$AD382&gt;=0,$AF382&gt;=0),IF($AG382/($AD382-$AF382)&gt;0,$AG382/($AD382-$AF382),0),"")</f>
        <v>0.27712724434035901</v>
      </c>
      <c r="BD382" s="60">
        <f>IF(AND($G382&gt;0,$AM382&gt;0),IF(($G382-$AM382)/$G382&gt;0,($G382-$AM382)/$G382,0),"")</f>
        <v>0.10839160839160833</v>
      </c>
      <c r="BE382" s="6">
        <f>IF((AD382-AF382)/(AJ382/60)&lt;=0,"",(AD382-AF382)/(AJ382/60))</f>
        <v>4.3920000000000012</v>
      </c>
      <c r="BF382" s="6">
        <f>IF(OR(AJ382=0,AP382=0,NOT(ISNUMBER(AD382)),NOT(ISNUMBER(AF382)),NOT(ISNUMBER(AJ382)),NOT(ISNUMBER(AP382))),"",
IFERROR(IF((AD382-AF382)/(AJ382/60)/(AP382/1000)&lt;=0,"",(AD382-AF382)/(AJ382/60)/(AP382/1000)),""))</f>
        <v>1.7474801061008096</v>
      </c>
    </row>
    <row r="383" spans="1:58" ht="15.75">
      <c r="B383" s="94">
        <v>45643</v>
      </c>
      <c r="C383" s="1">
        <v>139</v>
      </c>
      <c r="D383" s="3">
        <v>378</v>
      </c>
      <c r="E383" s="205" t="str">
        <f t="shared" si="23"/>
        <v/>
      </c>
      <c r="K383" s="10" t="str">
        <f t="shared" si="24"/>
        <v/>
      </c>
      <c r="L383" s="9" t="str">
        <f t="shared" si="25"/>
        <v/>
      </c>
      <c r="M383" s="8" t="str">
        <f t="shared" si="26"/>
        <v/>
      </c>
      <c r="X383" s="6">
        <v>7.16</v>
      </c>
      <c r="AB383" s="5">
        <v>80</v>
      </c>
      <c r="AD383" s="95">
        <v>20</v>
      </c>
      <c r="AG383" s="67">
        <v>5.79</v>
      </c>
      <c r="AH383" s="101">
        <v>0.51990740740740737</v>
      </c>
      <c r="AJ383" s="1">
        <v>175</v>
      </c>
      <c r="AK383" s="3">
        <v>180</v>
      </c>
      <c r="AN383" s="80">
        <f>360-AK383-AB383</f>
        <v>100</v>
      </c>
      <c r="AP383" s="13">
        <f>AVERAGE(AO381:AO387)</f>
        <v>2513.3333333333139</v>
      </c>
      <c r="AR383" s="17" t="e">
        <f>(E383-W383)/E383</f>
        <v>#VALUE!</v>
      </c>
      <c r="AS383" s="16"/>
      <c r="AT383" s="16">
        <f>AG383/(AD383-AF383)</f>
        <v>0.28949999999999998</v>
      </c>
      <c r="AU383" s="16" t="e">
        <f>(G383-AM383)/G383</f>
        <v>#DIV/0!</v>
      </c>
      <c r="AV383" s="57" t="str">
        <f>IF(AND(ISNUMBER(E383),ISNUMBER(W383)),E383-W383,"")</f>
        <v/>
      </c>
      <c r="AW383" s="57" t="str">
        <f>IF(AND(ISNUMBER(I383),ISNUMBER(AF383)),I383-AF383,"")</f>
        <v/>
      </c>
      <c r="AX383" s="57" t="str">
        <f>IF(AND(ISNUMBER(AM383),ISNUMBER(G383)),G383-AM383,"")</f>
        <v/>
      </c>
      <c r="AY383" s="57" t="str">
        <f>IF(AND(ISNUMBER(AC383),ISNUMBER(AE383)),AC383-AE383,"")</f>
        <v/>
      </c>
      <c r="AZ383" s="57" t="str">
        <f>IF(AND(ISNUMBER(AL383),ISNUMBER(AM383)),AL383-AM383,"")</f>
        <v/>
      </c>
      <c r="BA383" s="60" t="str">
        <f>IF(AND($E383&gt;0,$W383&gt;0),IF(($E383-$W383)/$E383&gt;0,($E383-$W383)/$E383,0),"")</f>
        <v/>
      </c>
      <c r="BB383" s="60" t="str">
        <f>IF(AND($I383&gt;0,$AF383&gt;=0),IF(($I383-$AF383)/$I383&gt;0,($I383-$AF383)/$I383,0),"")</f>
        <v/>
      </c>
      <c r="BC383" s="60">
        <f>IF(AND($AG383&gt;=0,$AD383&gt;=0,$AF383&gt;=0),IF($AG383/($AD383-$AF383)&gt;0,$AG383/($AD383-$AF383),0),"")</f>
        <v>0.28949999999999998</v>
      </c>
      <c r="BD383" s="60" t="str">
        <f>IF(AND($G383&gt;0,$AM383&gt;0),IF(($G383-$AM383)/$G383&gt;0,($G383-$AM383)/$G383,0),"")</f>
        <v/>
      </c>
      <c r="BE383" s="6">
        <f>IF((AD383-AF383)/(AJ383/60)&lt;=0,"",(AD383-AF383)/(AJ383/60))</f>
        <v>6.8571428571428577</v>
      </c>
      <c r="BF383" s="6" t="str">
        <f>IF(OR(AJ383=0,AP383=0,NOT(ISNUMBER(AD383)),NOT(ISNUMBER(AF383)),NOT(ISNUMBER(AJ383)),NOT(ISNUMBER(AP383))),"",
IFERROR(IF((AD383-AF383)/(AJ383/60)/(AP383/1000)&lt;=0,"",(AD383-AF383)/(AJ383/60)/(AP383/1000)),""))</f>
        <v/>
      </c>
    </row>
    <row r="384" spans="1:58" ht="15.75">
      <c r="B384" s="94">
        <v>45644</v>
      </c>
      <c r="C384" s="1">
        <v>140</v>
      </c>
      <c r="D384" s="3">
        <v>379</v>
      </c>
      <c r="E384" s="205" t="str">
        <f t="shared" si="23"/>
        <v/>
      </c>
      <c r="K384" s="10" t="str">
        <f t="shared" si="24"/>
        <v/>
      </c>
      <c r="L384" s="9" t="str">
        <f t="shared" si="25"/>
        <v/>
      </c>
      <c r="M384" s="8" t="str">
        <f t="shared" si="26"/>
        <v/>
      </c>
      <c r="X384" s="6">
        <v>7.38</v>
      </c>
      <c r="AB384" s="5">
        <v>80</v>
      </c>
      <c r="AD384" s="95">
        <v>20</v>
      </c>
      <c r="AG384" s="67"/>
      <c r="AJ384" s="1">
        <v>175</v>
      </c>
      <c r="AK384" s="3">
        <v>180</v>
      </c>
      <c r="AN384" s="80">
        <f>360-AK384-AB384</f>
        <v>100</v>
      </c>
      <c r="AO384" s="106">
        <v>2366.6666666666365</v>
      </c>
      <c r="AP384" s="13">
        <f>AVERAGE(AO382:AO388)</f>
        <v>2513.3333333333139</v>
      </c>
      <c r="AQ384" s="2">
        <v>19.411282238220981</v>
      </c>
      <c r="AR384" s="17" t="e">
        <f>(E384-W384)/E384</f>
        <v>#VALUE!</v>
      </c>
      <c r="AS384" s="16"/>
      <c r="AT384" s="16">
        <f>AG384/(AD384-AF384)</f>
        <v>0</v>
      </c>
      <c r="AU384" s="16" t="e">
        <f>(G384-AM384)/G384</f>
        <v>#DIV/0!</v>
      </c>
      <c r="AV384" s="57" t="str">
        <f>IF(AND(ISNUMBER(E384),ISNUMBER(W384)),E384-W384,"")</f>
        <v/>
      </c>
      <c r="AW384" s="57" t="str">
        <f>IF(AND(ISNUMBER(I384),ISNUMBER(AF384)),I384-AF384,"")</f>
        <v/>
      </c>
      <c r="AX384" s="57" t="str">
        <f>IF(AND(ISNUMBER(AM384),ISNUMBER(G384)),G384-AM384,"")</f>
        <v/>
      </c>
      <c r="AY384" s="57" t="str">
        <f>IF(AND(ISNUMBER(AC384),ISNUMBER(AE384)),AC384-AE384,"")</f>
        <v/>
      </c>
      <c r="AZ384" s="57" t="str">
        <f>IF(AND(ISNUMBER(AL384),ISNUMBER(AM384)),AL384-AM384,"")</f>
        <v/>
      </c>
      <c r="BA384" s="60" t="str">
        <f>IF(AND($E384&gt;0,$W384&gt;0),IF(($E384-$W384)/$E384&gt;0,($E384-$W384)/$E384,0),"")</f>
        <v/>
      </c>
      <c r="BB384" s="60" t="str">
        <f>IF(AND($I384&gt;0,$AF384&gt;=0),IF(($I384-$AF384)/$I384&gt;0,($I384-$AF384)/$I384,0),"")</f>
        <v/>
      </c>
      <c r="BC384" s="60"/>
      <c r="BD384" s="60" t="str">
        <f>IF(AND($G384&gt;0,$AM384&gt;0),IF(($G384-$AM384)/$G384&gt;0,($G384-$AM384)/$G384,0),"")</f>
        <v/>
      </c>
      <c r="BE384" s="6">
        <f>IF((AD384-AF384)/(AJ384/60)&lt;=0,"",(AD384-AF384)/(AJ384/60))</f>
        <v>6.8571428571428577</v>
      </c>
      <c r="BF384" s="6" t="str">
        <f>IF(OR(AJ384=0,AP384=0,NOT(ISNUMBER(AD384)),NOT(ISNUMBER(AF384)),NOT(ISNUMBER(AJ384)),NOT(ISNUMBER(AP384))),"",
IFERROR(IF((AD384-AF384)/(AJ384/60)/(AP384/1000)&lt;=0,"",(AD384-AF384)/(AJ384/60)/(AP384/1000)),""))</f>
        <v/>
      </c>
    </row>
    <row r="385" spans="1:58" ht="15.75">
      <c r="B385" s="94">
        <v>45645</v>
      </c>
      <c r="C385" s="1">
        <v>141</v>
      </c>
      <c r="D385" s="3">
        <v>380</v>
      </c>
      <c r="E385" s="205" t="str">
        <f t="shared" si="23"/>
        <v/>
      </c>
      <c r="K385" s="10" t="str">
        <f t="shared" si="24"/>
        <v/>
      </c>
      <c r="L385" s="9" t="str">
        <f t="shared" si="25"/>
        <v/>
      </c>
      <c r="M385" s="8" t="str">
        <f t="shared" si="26"/>
        <v/>
      </c>
      <c r="N385" s="6"/>
      <c r="X385" s="6">
        <v>0.28000000000000003</v>
      </c>
      <c r="AB385" s="5">
        <v>80</v>
      </c>
      <c r="AC385" s="1"/>
      <c r="AD385" s="95">
        <v>20</v>
      </c>
      <c r="AG385" s="98">
        <v>4.5599999999999996</v>
      </c>
      <c r="AH385" s="20">
        <v>0.51979166666666665</v>
      </c>
      <c r="AJ385" s="1">
        <v>175</v>
      </c>
      <c r="AK385" s="3">
        <v>180</v>
      </c>
      <c r="AL385" s="1"/>
      <c r="AN385" s="80">
        <f>360-AK385-AB385</f>
        <v>100</v>
      </c>
      <c r="AP385" s="13">
        <f>AVERAGE(AO383:AO389)</f>
        <v>2415.5555555555366</v>
      </c>
      <c r="AR385" s="16" t="e">
        <f>(E385-W385)/E385</f>
        <v>#VALUE!</v>
      </c>
      <c r="AS385" s="16"/>
      <c r="AT385" s="16">
        <f>AG385/(AD385-AF385)</f>
        <v>0.22799999999999998</v>
      </c>
      <c r="AU385" s="16" t="e">
        <f>(G385-AM385)/G385</f>
        <v>#DIV/0!</v>
      </c>
      <c r="AV385" s="57" t="str">
        <f>IF(AND(ISNUMBER(E385),ISNUMBER(W385)),E385-W385,"")</f>
        <v/>
      </c>
      <c r="AW385" s="57" t="str">
        <f>IF(AND(ISNUMBER(I385),ISNUMBER(AF385)),I385-AF385,"")</f>
        <v/>
      </c>
      <c r="AX385" s="57" t="str">
        <f>IF(AND(ISNUMBER(AM385),ISNUMBER(G385)),G385-AM385,"")</f>
        <v/>
      </c>
      <c r="AY385" s="57" t="str">
        <f>IF(AND(ISNUMBER(AC385),ISNUMBER(AE385)),AC385-AE385,"")</f>
        <v/>
      </c>
      <c r="AZ385" s="57" t="str">
        <f>IF(AND(ISNUMBER(AL385),ISNUMBER(AM385)),AL385-AM385,"")</f>
        <v/>
      </c>
      <c r="BA385" s="60" t="str">
        <f>IF(AND($E385&gt;0,$W385&gt;0),IF(($E385-$W385)/$E385&gt;0,($E385-$W385)/$E385,0),"")</f>
        <v/>
      </c>
      <c r="BB385" s="60" t="str">
        <f>IF(AND($I385&gt;0,$AF385&gt;=0),IF(($I385-$AF385)/$I385&gt;0,($I385-$AF385)/$I385,0),"")</f>
        <v/>
      </c>
      <c r="BC385" s="60">
        <f>IF(AND($AG385&gt;=0,$AD385&gt;=0,$AF385&gt;=0),IF($AG385/($AD385-$AF385)&gt;0,$AG385/($AD385-$AF385),0),"")</f>
        <v>0.22799999999999998</v>
      </c>
      <c r="BD385" s="60" t="str">
        <f>IF(AND($G385&gt;0,$AM385&gt;0),IF(($G385-$AM385)/$G385&gt;0,($G385-$AM385)/$G385,0),"")</f>
        <v/>
      </c>
      <c r="BE385" s="6">
        <f>IF((AD385-AF385)/(AJ385/60)&lt;=0,"",(AD385-AF385)/(AJ385/60))</f>
        <v>6.8571428571428577</v>
      </c>
      <c r="BF385" s="6" t="str">
        <f>IF(OR(AJ385=0,AP385=0,NOT(ISNUMBER(AD385)),NOT(ISNUMBER(AF385)),NOT(ISNUMBER(AJ385)),NOT(ISNUMBER(AP385))),"",
IFERROR(IF((AD385-AF385)/(AJ385/60)/(AP385/1000)&lt;=0,"",(AD385-AF385)/(AJ385/60)/(AP385/1000)),""))</f>
        <v/>
      </c>
    </row>
    <row r="386" spans="1:58" ht="15.75">
      <c r="A386" s="12" t="s">
        <v>5</v>
      </c>
      <c r="B386" s="94">
        <v>45646</v>
      </c>
      <c r="C386" s="1">
        <v>142</v>
      </c>
      <c r="D386" s="3">
        <v>381</v>
      </c>
      <c r="E386" s="205" t="str">
        <f t="shared" si="23"/>
        <v/>
      </c>
      <c r="K386" s="10" t="str">
        <f t="shared" si="24"/>
        <v/>
      </c>
      <c r="L386" s="9" t="str">
        <f t="shared" si="25"/>
        <v/>
      </c>
      <c r="M386" s="8" t="str">
        <f t="shared" si="26"/>
        <v/>
      </c>
      <c r="X386" s="6">
        <v>7.4</v>
      </c>
      <c r="AB386" s="5">
        <v>80</v>
      </c>
      <c r="AD386" s="95">
        <v>20</v>
      </c>
      <c r="AJ386" s="1">
        <v>175</v>
      </c>
      <c r="AK386" s="3">
        <v>180</v>
      </c>
      <c r="AN386" s="80">
        <f>360-AK386-AB386</f>
        <v>100</v>
      </c>
      <c r="AO386" s="2">
        <v>2659.9999999999909</v>
      </c>
      <c r="AP386" s="13">
        <f>AVERAGE(AO384:AO390)</f>
        <v>2415.5555555555366</v>
      </c>
      <c r="AQ386" s="2">
        <v>23.327876520111953</v>
      </c>
      <c r="AR386" s="16" t="e">
        <f>(E386-W386)/E386</f>
        <v>#VALUE!</v>
      </c>
      <c r="AS386" s="16"/>
      <c r="AT386" s="16">
        <f>AG386/(AD386-AF386)</f>
        <v>0</v>
      </c>
      <c r="AU386" s="16" t="e">
        <f>(G386-AM386)/G386</f>
        <v>#DIV/0!</v>
      </c>
      <c r="AV386" s="57" t="str">
        <f>IF(AND(ISNUMBER(E386),ISNUMBER(W386)),E386-W386,"")</f>
        <v/>
      </c>
      <c r="AW386" s="57" t="str">
        <f>IF(AND(ISNUMBER(I386),ISNUMBER(AF386)),I386-AF386,"")</f>
        <v/>
      </c>
      <c r="AX386" s="57" t="str">
        <f>IF(AND(ISNUMBER(AM386),ISNUMBER(G386)),G386-AM386,"")</f>
        <v/>
      </c>
      <c r="AY386" s="57" t="str">
        <f>IF(AND(ISNUMBER(AC386),ISNUMBER(AE386)),AC386-AE386,"")</f>
        <v/>
      </c>
      <c r="AZ386" s="57" t="str">
        <f>IF(AND(ISNUMBER(AL386),ISNUMBER(AM386)),AL386-AM386,"")</f>
        <v/>
      </c>
      <c r="BA386" s="60" t="str">
        <f>IF(AND($E386&gt;0,$W386&gt;0),IF(($E386-$W386)/$E386&gt;0,($E386-$W386)/$E386,0),"")</f>
        <v/>
      </c>
      <c r="BB386" s="60" t="str">
        <f>IF(AND($I386&gt;0,$AF386&gt;=0),IF(($I386-$AF386)/$I386&gt;0,($I386-$AF386)/$I386,0),"")</f>
        <v/>
      </c>
      <c r="BC386" s="60"/>
      <c r="BD386" s="60" t="str">
        <f>IF(AND($G386&gt;0,$AM386&gt;0),IF(($G386-$AM386)/$G386&gt;0,($G386-$AM386)/$G386,0),"")</f>
        <v/>
      </c>
      <c r="BE386" s="6">
        <f>IF((AD386-AF386)/(AJ386/60)&lt;=0,"",(AD386-AF386)/(AJ386/60))</f>
        <v>6.8571428571428577</v>
      </c>
      <c r="BF386" s="6" t="str">
        <f>IF(OR(AJ386=0,AP386=0,NOT(ISNUMBER(AD386)),NOT(ISNUMBER(AF386)),NOT(ISNUMBER(AJ386)),NOT(ISNUMBER(AP386))),"",
IFERROR(IF((AD386-AF386)/(AJ386/60)/(AP386/1000)&lt;=0,"",(AD386-AF386)/(AJ386/60)/(AP386/1000)),""))</f>
        <v/>
      </c>
    </row>
    <row r="387" spans="1:58" ht="15.75">
      <c r="B387" s="94">
        <v>45647</v>
      </c>
      <c r="C387" s="1">
        <v>143</v>
      </c>
      <c r="D387" s="3">
        <v>382</v>
      </c>
      <c r="E387" s="205" t="str">
        <f t="shared" si="23"/>
        <v/>
      </c>
      <c r="K387" s="10" t="str">
        <f t="shared" si="24"/>
        <v/>
      </c>
      <c r="L387" s="9" t="str">
        <f t="shared" si="25"/>
        <v/>
      </c>
      <c r="M387" s="8" t="str">
        <f t="shared" si="26"/>
        <v/>
      </c>
      <c r="X387" s="6">
        <v>0.4</v>
      </c>
      <c r="AB387" s="5">
        <v>80</v>
      </c>
      <c r="AD387" s="95">
        <v>20</v>
      </c>
      <c r="AG387" s="1">
        <v>3.23</v>
      </c>
      <c r="AH387" s="101">
        <v>0.52060185185185182</v>
      </c>
      <c r="AJ387" s="1">
        <v>175</v>
      </c>
      <c r="AK387" s="3">
        <v>180</v>
      </c>
      <c r="AN387" s="80">
        <f>360-AK387-AB387</f>
        <v>100</v>
      </c>
      <c r="AP387" s="13">
        <f>AVERAGE(AO385:AO391)</f>
        <v>2439.9999999999864</v>
      </c>
      <c r="AR387" s="16" t="e">
        <f>(E387-W387)/E387</f>
        <v>#VALUE!</v>
      </c>
      <c r="AS387" s="16"/>
      <c r="AT387" s="16">
        <f>AG387/(AD387-AF387)</f>
        <v>0.1615</v>
      </c>
      <c r="AU387" s="16" t="e">
        <f>(G387-AM387)/G387</f>
        <v>#DIV/0!</v>
      </c>
      <c r="AV387" s="57" t="str">
        <f>IF(AND(ISNUMBER(E387),ISNUMBER(W387)),E387-W387,"")</f>
        <v/>
      </c>
      <c r="AW387" s="57" t="str">
        <f>IF(AND(ISNUMBER(I387),ISNUMBER(AF387)),I387-AF387,"")</f>
        <v/>
      </c>
      <c r="AX387" s="57" t="str">
        <f>IF(AND(ISNUMBER(AM387),ISNUMBER(G387)),G387-AM387,"")</f>
        <v/>
      </c>
      <c r="AY387" s="57" t="str">
        <f>IF(AND(ISNUMBER(AC387),ISNUMBER(AE387)),AC387-AE387,"")</f>
        <v/>
      </c>
      <c r="AZ387" s="57" t="str">
        <f>IF(AND(ISNUMBER(AL387),ISNUMBER(AM387)),AL387-AM387,"")</f>
        <v/>
      </c>
      <c r="BA387" s="60" t="str">
        <f>IF(AND($E387&gt;0,$W387&gt;0),IF(($E387-$W387)/$E387&gt;0,($E387-$W387)/$E387,0),"")</f>
        <v/>
      </c>
      <c r="BB387" s="60" t="str">
        <f>IF(AND($I387&gt;0,$AF387&gt;=0),IF(($I387-$AF387)/$I387&gt;0,($I387-$AF387)/$I387,0),"")</f>
        <v/>
      </c>
      <c r="BC387" s="60">
        <f>IF(AND($AG387&gt;=0,$AD387&gt;=0,$AF387&gt;=0),IF($AG387/($AD387-$AF387)&gt;0,$AG387/($AD387-$AF387),0),"")</f>
        <v>0.1615</v>
      </c>
      <c r="BD387" s="60" t="str">
        <f>IF(AND($G387&gt;0,$AM387&gt;0),IF(($G387-$AM387)/$G387&gt;0,($G387-$AM387)/$G387,0),"")</f>
        <v/>
      </c>
      <c r="BE387" s="6">
        <f>IF((AD387-AF387)/(AJ387/60)&lt;=0,"",(AD387-AF387)/(AJ387/60))</f>
        <v>6.8571428571428577</v>
      </c>
      <c r="BF387" s="6" t="str">
        <f>IF(OR(AJ387=0,AP387=0,NOT(ISNUMBER(AD387)),NOT(ISNUMBER(AF387)),NOT(ISNUMBER(AJ387)),NOT(ISNUMBER(AP387))),"",
IFERROR(IF((AD387-AF387)/(AJ387/60)/(AP387/1000)&lt;=0,"",(AD387-AF387)/(AJ387/60)/(AP387/1000)),""))</f>
        <v/>
      </c>
    </row>
    <row r="388" spans="1:58" ht="15.75">
      <c r="B388" s="94">
        <v>45648</v>
      </c>
      <c r="C388" s="1">
        <v>144</v>
      </c>
      <c r="D388" s="3">
        <v>383</v>
      </c>
      <c r="E388" s="205" t="str">
        <f t="shared" si="23"/>
        <v/>
      </c>
      <c r="K388" s="10" t="str">
        <f t="shared" si="24"/>
        <v/>
      </c>
      <c r="L388" s="9" t="str">
        <f t="shared" si="25"/>
        <v/>
      </c>
      <c r="M388" s="8" t="str">
        <f t="shared" si="26"/>
        <v/>
      </c>
      <c r="X388" s="6">
        <v>0.71</v>
      </c>
      <c r="AB388" s="5">
        <v>80</v>
      </c>
      <c r="AD388" s="95">
        <v>20</v>
      </c>
      <c r="AG388" s="1">
        <v>0.99</v>
      </c>
      <c r="AH388" s="101">
        <v>0.51793981481481477</v>
      </c>
      <c r="AJ388" s="1">
        <v>175</v>
      </c>
      <c r="AK388" s="3">
        <v>180</v>
      </c>
      <c r="AN388" s="80">
        <f>360-AK388-AB388</f>
        <v>100</v>
      </c>
      <c r="AP388" s="13">
        <f>AVERAGE(AO386:AO392)</f>
        <v>2439.9999999999864</v>
      </c>
      <c r="AR388" s="16" t="e">
        <f>(E388-W388)/E388</f>
        <v>#VALUE!</v>
      </c>
      <c r="AS388" s="16"/>
      <c r="AT388" s="16">
        <f>AG388/(AD388-AF388)</f>
        <v>4.9500000000000002E-2</v>
      </c>
      <c r="AU388" s="16" t="e">
        <f>(G388-AM388)/G388</f>
        <v>#DIV/0!</v>
      </c>
      <c r="AV388" s="57" t="str">
        <f>IF(AND(ISNUMBER(E388),ISNUMBER(W388)),E388-W388,"")</f>
        <v/>
      </c>
      <c r="AW388" s="57" t="str">
        <f>IF(AND(ISNUMBER(I388),ISNUMBER(AF388)),I388-AF388,"")</f>
        <v/>
      </c>
      <c r="AX388" s="57" t="str">
        <f>IF(AND(ISNUMBER(AM388),ISNUMBER(G388)),G388-AM388,"")</f>
        <v/>
      </c>
      <c r="AY388" s="57" t="str">
        <f>IF(AND(ISNUMBER(AC388),ISNUMBER(AE388)),AC388-AE388,"")</f>
        <v/>
      </c>
      <c r="AZ388" s="57" t="str">
        <f>IF(AND(ISNUMBER(AL388),ISNUMBER(AM388)),AL388-AM388,"")</f>
        <v/>
      </c>
      <c r="BA388" s="60" t="str">
        <f>IF(AND($E388&gt;0,$W388&gt;0),IF(($E388-$W388)/$E388&gt;0,($E388-$W388)/$E388,0),"")</f>
        <v/>
      </c>
      <c r="BB388" s="60" t="str">
        <f>IF(AND($I388&gt;0,$AF388&gt;=0),IF(($I388-$AF388)/$I388&gt;0,($I388-$AF388)/$I388,0),"")</f>
        <v/>
      </c>
      <c r="BC388" s="60"/>
      <c r="BD388" s="60" t="str">
        <f>IF(AND($G388&gt;0,$AM388&gt;0),IF(($G388-$AM388)/$G388&gt;0,($G388-$AM388)/$G388,0),"")</f>
        <v/>
      </c>
      <c r="BE388" s="6">
        <f>IF((AD388-AF388)/(AJ388/60)&lt;=0,"",(AD388-AF388)/(AJ388/60))</f>
        <v>6.8571428571428577</v>
      </c>
      <c r="BF388" s="6" t="str">
        <f>IF(OR(AJ388=0,AP388=0,NOT(ISNUMBER(AD388)),NOT(ISNUMBER(AF388)),NOT(ISNUMBER(AJ388)),NOT(ISNUMBER(AP388))),"",
IFERROR(IF((AD388-AF388)/(AJ388/60)/(AP388/1000)&lt;=0,"",(AD388-AF388)/(AJ388/60)/(AP388/1000)),""))</f>
        <v/>
      </c>
    </row>
    <row r="389" spans="1:58" ht="15.75">
      <c r="A389" s="12" t="s">
        <v>89</v>
      </c>
      <c r="B389" s="94">
        <v>45649</v>
      </c>
      <c r="C389" s="1">
        <v>145</v>
      </c>
      <c r="D389" s="3">
        <v>384</v>
      </c>
      <c r="E389" s="205" t="str">
        <f t="shared" si="23"/>
        <v/>
      </c>
      <c r="K389" s="10" t="str">
        <f t="shared" si="24"/>
        <v/>
      </c>
      <c r="L389" s="9" t="str">
        <f t="shared" si="25"/>
        <v/>
      </c>
      <c r="M389" s="8" t="str">
        <f t="shared" si="26"/>
        <v/>
      </c>
      <c r="X389" s="6">
        <v>6.61</v>
      </c>
      <c r="AB389" s="5">
        <v>80</v>
      </c>
      <c r="AD389" s="95">
        <v>20</v>
      </c>
      <c r="AG389" s="1">
        <v>1.8</v>
      </c>
      <c r="AH389" s="101">
        <v>0.51793981481481477</v>
      </c>
      <c r="AJ389" s="1">
        <v>175</v>
      </c>
      <c r="AK389" s="3">
        <v>180</v>
      </c>
      <c r="AN389" s="80">
        <f>360-AK389-AB389</f>
        <v>100</v>
      </c>
      <c r="AO389" s="2">
        <v>2219.9999999999818</v>
      </c>
      <c r="AP389" s="13">
        <f>AVERAGE(AO387:AO393)</f>
        <v>2219.9999999999818</v>
      </c>
      <c r="AQ389" s="2">
        <v>25.050778605281174</v>
      </c>
      <c r="AR389" s="16" t="e">
        <f>(E389-W389)/E389</f>
        <v>#VALUE!</v>
      </c>
      <c r="AS389" s="16"/>
      <c r="AT389" s="16">
        <f>AG389/(AD389-AF389)</f>
        <v>0.09</v>
      </c>
      <c r="AU389" s="16" t="e">
        <f>(G389-AM389)/G389</f>
        <v>#DIV/0!</v>
      </c>
      <c r="AV389" s="57" t="str">
        <f>IF(AND(ISNUMBER(E389),ISNUMBER(W389)),E389-W389,"")</f>
        <v/>
      </c>
      <c r="AW389" s="57" t="str">
        <f>IF(AND(ISNUMBER(I389),ISNUMBER(AF389)),I389-AF389,"")</f>
        <v/>
      </c>
      <c r="AX389" s="57" t="str">
        <f>IF(AND(ISNUMBER(AM389),ISNUMBER(G389)),G389-AM389,"")</f>
        <v/>
      </c>
      <c r="AY389" s="57" t="str">
        <f>IF(AND(ISNUMBER(AC389),ISNUMBER(AE389)),AC389-AE389,"")</f>
        <v/>
      </c>
      <c r="AZ389" s="57" t="str">
        <f>IF(AND(ISNUMBER(AL389),ISNUMBER(AM389)),AL389-AM389,"")</f>
        <v/>
      </c>
      <c r="BA389" s="60" t="str">
        <f>IF(AND($E389&gt;0,$W389&gt;0),IF(($E389-$W389)/$E389&gt;0,($E389-$W389)/$E389,0),"")</f>
        <v/>
      </c>
      <c r="BB389" s="60" t="str">
        <f>IF(AND($I389&gt;0,$AF389&gt;=0),IF(($I389-$AF389)/$I389&gt;0,($I389-$AF389)/$I389,0),"")</f>
        <v/>
      </c>
      <c r="BC389" s="60"/>
      <c r="BD389" s="60" t="str">
        <f>IF(AND($G389&gt;0,$AM389&gt;0),IF(($G389-$AM389)/$G389&gt;0,($G389-$AM389)/$G389,0),"")</f>
        <v/>
      </c>
      <c r="BE389" s="6">
        <f>IF((AD389-AF389)/(AJ389/60)&lt;=0,"",(AD389-AF389)/(AJ389/60))</f>
        <v>6.8571428571428577</v>
      </c>
      <c r="BF389" s="6" t="str">
        <f>IF(OR(AJ389=0,AP389=0,NOT(ISNUMBER(AD389)),NOT(ISNUMBER(AF389)),NOT(ISNUMBER(AJ389)),NOT(ISNUMBER(AP389))),"",
IFERROR(IF((AD389-AF389)/(AJ389/60)/(AP389/1000)&lt;=0,"",(AD389-AF389)/(AJ389/60)/(AP389/1000)),""))</f>
        <v/>
      </c>
    </row>
    <row r="390" spans="1:58" ht="15.75">
      <c r="B390" s="94">
        <v>45650</v>
      </c>
      <c r="C390" s="1">
        <v>146</v>
      </c>
      <c r="D390" s="3">
        <v>385</v>
      </c>
      <c r="E390" s="205" t="str">
        <f t="shared" si="23"/>
        <v/>
      </c>
      <c r="K390" s="10" t="str">
        <f t="shared" si="24"/>
        <v/>
      </c>
      <c r="L390" s="9" t="str">
        <f t="shared" si="25"/>
        <v/>
      </c>
      <c r="M390" s="8" t="str">
        <f t="shared" si="26"/>
        <v/>
      </c>
      <c r="N390" s="6"/>
      <c r="X390" s="6">
        <v>4.01</v>
      </c>
      <c r="AB390" s="5">
        <v>80</v>
      </c>
      <c r="AC390" s="1"/>
      <c r="AD390" s="95">
        <v>20</v>
      </c>
      <c r="AG390" s="1">
        <v>2.08</v>
      </c>
      <c r="AH390" s="101">
        <v>0.52083333333333337</v>
      </c>
      <c r="AJ390" s="1">
        <v>175</v>
      </c>
      <c r="AK390" s="3">
        <v>180</v>
      </c>
      <c r="AL390" s="1"/>
      <c r="AN390" s="80">
        <f>360-AK390-AB390</f>
        <v>100</v>
      </c>
      <c r="AP390" s="13">
        <f>AVERAGE(AO388:AO394)</f>
        <v>2219.9999999999818</v>
      </c>
      <c r="AR390" s="16" t="e">
        <f>(E390-W390)/E390</f>
        <v>#VALUE!</v>
      </c>
      <c r="AS390" s="16"/>
      <c r="AT390" s="16">
        <f>AG390/(AD390-AF390)</f>
        <v>0.10400000000000001</v>
      </c>
      <c r="AU390" s="16" t="e">
        <f>(G390-AM390)/G390</f>
        <v>#DIV/0!</v>
      </c>
      <c r="AV390" s="57" t="str">
        <f>IF(AND(ISNUMBER(E390),ISNUMBER(W390)),E390-W390,"")</f>
        <v/>
      </c>
      <c r="AW390" s="57" t="str">
        <f>IF(AND(ISNUMBER(I390),ISNUMBER(AF390)),I390-AF390,"")</f>
        <v/>
      </c>
      <c r="AX390" s="57" t="str">
        <f>IF(AND(ISNUMBER(AM390),ISNUMBER(G390)),G390-AM390,"")</f>
        <v/>
      </c>
      <c r="AY390" s="57" t="str">
        <f>IF(AND(ISNUMBER(AC390),ISNUMBER(AE390)),AC390-AE390,"")</f>
        <v/>
      </c>
      <c r="AZ390" s="57" t="str">
        <f>IF(AND(ISNUMBER(AL390),ISNUMBER(AM390)),AL390-AM390,"")</f>
        <v/>
      </c>
      <c r="BA390" s="60" t="str">
        <f>IF(AND($E390&gt;0,$W390&gt;0),IF(($E390-$W390)/$E390&gt;0,($E390-$W390)/$E390,0),"")</f>
        <v/>
      </c>
      <c r="BB390" s="60" t="str">
        <f>IF(AND($I390&gt;0,$AF390&gt;=0),IF(($I390-$AF390)/$I390&gt;0,($I390-$AF390)/$I390,0),"")</f>
        <v/>
      </c>
      <c r="BC390" s="60"/>
      <c r="BD390" s="60" t="str">
        <f>IF(AND($G390&gt;0,$AM390&gt;0),IF(($G390-$AM390)/$G390&gt;0,($G390-$AM390)/$G390,0),"")</f>
        <v/>
      </c>
      <c r="BE390" s="6">
        <f>IF((AD390-AF390)/(AJ390/60)&lt;=0,"",(AD390-AF390)/(AJ390/60))</f>
        <v>6.8571428571428577</v>
      </c>
      <c r="BF390" s="6" t="str">
        <f>IF(OR(AJ390=0,AP390=0,NOT(ISNUMBER(AD390)),NOT(ISNUMBER(AF390)),NOT(ISNUMBER(AJ390)),NOT(ISNUMBER(AP390))),"",
IFERROR(IF((AD390-AF390)/(AJ390/60)/(AP390/1000)&lt;=0,"",(AD390-AF390)/(AJ390/60)/(AP390/1000)),""))</f>
        <v/>
      </c>
    </row>
    <row r="391" spans="1:58" ht="15.75">
      <c r="B391" s="94">
        <v>45651</v>
      </c>
      <c r="C391" s="1">
        <v>147</v>
      </c>
      <c r="D391" s="3">
        <v>386</v>
      </c>
      <c r="E391" s="205" t="str">
        <f t="shared" ref="E391:E454" si="27">IF(OR(S391="",S391=0),"",S391*2)</f>
        <v/>
      </c>
      <c r="K391" s="10" t="str">
        <f t="shared" si="24"/>
        <v/>
      </c>
      <c r="L391" s="9" t="str">
        <f t="shared" si="25"/>
        <v/>
      </c>
      <c r="M391" s="8" t="str">
        <f t="shared" si="26"/>
        <v/>
      </c>
      <c r="X391" s="6">
        <v>2.83</v>
      </c>
      <c r="AB391" s="5">
        <v>80</v>
      </c>
      <c r="AD391" s="95">
        <v>20</v>
      </c>
      <c r="AG391" s="1">
        <v>0.86</v>
      </c>
      <c r="AH391" s="101">
        <v>0.51990740740740737</v>
      </c>
      <c r="AJ391" s="1">
        <v>175</v>
      </c>
      <c r="AK391" s="3">
        <v>180</v>
      </c>
      <c r="AN391" s="80">
        <f>360-AK391-AB391</f>
        <v>100</v>
      </c>
      <c r="AP391" s="13">
        <f>AVERAGE(AO389:AO395)</f>
        <v>2219.9999999999818</v>
      </c>
      <c r="AR391" s="16" t="e">
        <f>(E391-W391)/E391</f>
        <v>#VALUE!</v>
      </c>
      <c r="AS391" s="16"/>
      <c r="AT391" s="16">
        <f>AG391/(AD391-AF391)</f>
        <v>4.2999999999999997E-2</v>
      </c>
      <c r="AU391" s="16" t="e">
        <f>(G391-AM391)/G391</f>
        <v>#DIV/0!</v>
      </c>
      <c r="AV391" s="57" t="str">
        <f>IF(AND(ISNUMBER(E391),ISNUMBER(W391)),E391-W391,"")</f>
        <v/>
      </c>
      <c r="AW391" s="57" t="str">
        <f>IF(AND(ISNUMBER(I391),ISNUMBER(AF391)),I391-AF391,"")</f>
        <v/>
      </c>
      <c r="AX391" s="57" t="str">
        <f>IF(AND(ISNUMBER(AM391),ISNUMBER(G391)),G391-AM391,"")</f>
        <v/>
      </c>
      <c r="AY391" s="57" t="str">
        <f>IF(AND(ISNUMBER(AC391),ISNUMBER(AE391)),AC391-AE391,"")</f>
        <v/>
      </c>
      <c r="AZ391" s="57" t="str">
        <f>IF(AND(ISNUMBER(AL391),ISNUMBER(AM391)),AL391-AM391,"")</f>
        <v/>
      </c>
      <c r="BA391" s="60" t="str">
        <f>IF(AND($E391&gt;0,$W391&gt;0),IF(($E391-$W391)/$E391&gt;0,($E391-$W391)/$E391,0),"")</f>
        <v/>
      </c>
      <c r="BB391" s="60" t="str">
        <f>IF(AND($I391&gt;0,$AF391&gt;=0),IF(($I391-$AF391)/$I391&gt;0,($I391-$AF391)/$I391,0),"")</f>
        <v/>
      </c>
      <c r="BC391" s="60"/>
      <c r="BD391" s="60" t="str">
        <f>IF(AND($G391&gt;0,$AM391&gt;0),IF(($G391-$AM391)/$G391&gt;0,($G391-$AM391)/$G391,0),"")</f>
        <v/>
      </c>
      <c r="BE391" s="6">
        <f>IF((AD391-AF391)/(AJ391/60)&lt;=0,"",(AD391-AF391)/(AJ391/60))</f>
        <v>6.8571428571428577</v>
      </c>
      <c r="BF391" s="6" t="str">
        <f>IF(OR(AJ391=0,AP391=0,NOT(ISNUMBER(AD391)),NOT(ISNUMBER(AF391)),NOT(ISNUMBER(AJ391)),NOT(ISNUMBER(AP391))),"",
IFERROR(IF((AD391-AF391)/(AJ391/60)/(AP391/1000)&lt;=0,"",(AD391-AF391)/(AJ391/60)/(AP391/1000)),""))</f>
        <v/>
      </c>
    </row>
    <row r="392" spans="1:58" ht="15.75">
      <c r="A392" s="12" t="s">
        <v>3</v>
      </c>
      <c r="B392" s="94">
        <v>45652</v>
      </c>
      <c r="C392" s="1">
        <v>148</v>
      </c>
      <c r="D392" s="3">
        <v>387</v>
      </c>
      <c r="E392" s="205" t="str">
        <f t="shared" si="27"/>
        <v/>
      </c>
      <c r="K392" s="10" t="str">
        <f t="shared" si="24"/>
        <v/>
      </c>
      <c r="L392" s="9" t="str">
        <f t="shared" si="25"/>
        <v/>
      </c>
      <c r="M392" s="8" t="str">
        <f t="shared" si="26"/>
        <v/>
      </c>
      <c r="X392" s="6">
        <v>0.55000000000000004</v>
      </c>
      <c r="AB392" s="5">
        <v>80</v>
      </c>
      <c r="AD392" s="95">
        <v>20</v>
      </c>
      <c r="AG392" s="1">
        <v>2.08</v>
      </c>
      <c r="AH392" s="101">
        <v>0.52048611111111109</v>
      </c>
      <c r="AJ392" s="1">
        <v>175</v>
      </c>
      <c r="AK392" s="3">
        <v>180</v>
      </c>
      <c r="AN392" s="80">
        <f>360-AK392-AB392</f>
        <v>100</v>
      </c>
      <c r="AP392" s="103">
        <f>$AO$389</f>
        <v>2219.9999999999818</v>
      </c>
      <c r="AR392" s="16" t="e">
        <f>(E392-W392)/E392</f>
        <v>#VALUE!</v>
      </c>
      <c r="AS392" s="16"/>
      <c r="AT392" s="16">
        <f>AG392/(AD392-AF392)</f>
        <v>0.10400000000000001</v>
      </c>
      <c r="AU392" s="16" t="e">
        <f>(G392-AM392)/G392</f>
        <v>#DIV/0!</v>
      </c>
      <c r="AV392" s="57" t="str">
        <f>IF(AND(ISNUMBER(E392),ISNUMBER(W392)),E392-W392,"")</f>
        <v/>
      </c>
      <c r="AW392" s="57" t="str">
        <f>IF(AND(ISNUMBER(I392),ISNUMBER(AF392)),I392-AF392,"")</f>
        <v/>
      </c>
      <c r="AX392" s="57" t="str">
        <f>IF(AND(ISNUMBER(AM392),ISNUMBER(G392)),G392-AM392,"")</f>
        <v/>
      </c>
      <c r="AY392" s="57" t="str">
        <f>IF(AND(ISNUMBER(AC392),ISNUMBER(AE392)),AC392-AE392,"")</f>
        <v/>
      </c>
      <c r="AZ392" s="57" t="str">
        <f>IF(AND(ISNUMBER(AL392),ISNUMBER(AM392)),AL392-AM392,"")</f>
        <v/>
      </c>
      <c r="BA392" s="60" t="str">
        <f>IF(AND($E392&gt;0,$W392&gt;0),IF(($E392-$W392)/$E392&gt;0,($E392-$W392)/$E392,0),"")</f>
        <v/>
      </c>
      <c r="BB392" s="60" t="str">
        <f>IF(AND($I392&gt;0,$AF392&gt;=0),IF(($I392-$AF392)/$I392&gt;0,($I392-$AF392)/$I392,0),"")</f>
        <v/>
      </c>
      <c r="BC392" s="60"/>
      <c r="BD392" s="60" t="str">
        <f>IF(AND($G392&gt;0,$AM392&gt;0),IF(($G392-$AM392)/$G392&gt;0,($G392-$AM392)/$G392,0),"")</f>
        <v/>
      </c>
      <c r="BE392" s="6">
        <f>IF((AD392-AF392)/(AJ392/60)&lt;=0,"",(AD392-AF392)/(AJ392/60))</f>
        <v>6.8571428571428577</v>
      </c>
      <c r="BF392" s="6" t="str">
        <f>IF(OR(AJ392=0,AP392=0,NOT(ISNUMBER(AD392)),NOT(ISNUMBER(AF392)),NOT(ISNUMBER(AJ392)),NOT(ISNUMBER(AP392))),"",
IFERROR(IF((AD392-AF392)/(AJ392/60)/(AP392/1000)&lt;=0,"",(AD392-AF392)/(AJ392/60)/(AP392/1000)),""))</f>
        <v/>
      </c>
    </row>
    <row r="393" spans="1:58" ht="15.75">
      <c r="A393" s="12" t="s">
        <v>7</v>
      </c>
      <c r="B393" s="94">
        <v>45653</v>
      </c>
      <c r="C393" s="1">
        <v>149</v>
      </c>
      <c r="D393" s="3">
        <v>388</v>
      </c>
      <c r="E393" s="205" t="str">
        <f t="shared" si="27"/>
        <v/>
      </c>
      <c r="K393" s="10" t="str">
        <f t="shared" si="24"/>
        <v/>
      </c>
      <c r="L393" s="9" t="str">
        <f t="shared" si="25"/>
        <v/>
      </c>
      <c r="M393" s="8" t="str">
        <f t="shared" si="26"/>
        <v/>
      </c>
      <c r="X393" s="6">
        <v>2.72</v>
      </c>
      <c r="AB393" s="5">
        <v>80</v>
      </c>
      <c r="AD393" s="95">
        <v>20</v>
      </c>
      <c r="AG393" s="1">
        <v>4.26</v>
      </c>
      <c r="AH393" s="101">
        <v>0.51909722222222221</v>
      </c>
      <c r="AJ393" s="1">
        <v>175</v>
      </c>
      <c r="AK393" s="3">
        <v>180</v>
      </c>
      <c r="AN393" s="80">
        <f>360-AK393-AB393</f>
        <v>100</v>
      </c>
      <c r="AP393" s="103">
        <f>$AO$389</f>
        <v>2219.9999999999818</v>
      </c>
      <c r="AR393" s="16" t="e">
        <f>(E393-W393)/E393</f>
        <v>#VALUE!</v>
      </c>
      <c r="AS393" s="16"/>
      <c r="AT393" s="16">
        <f>AG393/(AD393-AF393)</f>
        <v>0.21299999999999999</v>
      </c>
      <c r="AU393" s="16" t="e">
        <f>(G393-AM393)/G393</f>
        <v>#DIV/0!</v>
      </c>
      <c r="AV393" s="57" t="str">
        <f>IF(AND(ISNUMBER(E393),ISNUMBER(W393)),E393-W393,"")</f>
        <v/>
      </c>
      <c r="AW393" s="57" t="str">
        <f>IF(AND(ISNUMBER(I393),ISNUMBER(AF393)),I393-AF393,"")</f>
        <v/>
      </c>
      <c r="AX393" s="57" t="str">
        <f>IF(AND(ISNUMBER(AM393),ISNUMBER(G393)),G393-AM393,"")</f>
        <v/>
      </c>
      <c r="AY393" s="57" t="str">
        <f>IF(AND(ISNUMBER(AC393),ISNUMBER(AE393)),AC393-AE393,"")</f>
        <v/>
      </c>
      <c r="AZ393" s="57" t="str">
        <f>IF(AND(ISNUMBER(AL393),ISNUMBER(AM393)),AL393-AM393,"")</f>
        <v/>
      </c>
      <c r="BA393" s="60" t="str">
        <f>IF(AND($E393&gt;0,$W393&gt;0),IF(($E393-$W393)/$E393&gt;0,($E393-$W393)/$E393,0),"")</f>
        <v/>
      </c>
      <c r="BB393" s="60" t="str">
        <f>IF(AND($I393&gt;0,$AF393&gt;=0),IF(($I393-$AF393)/$I393&gt;0,($I393-$AF393)/$I393,0),"")</f>
        <v/>
      </c>
      <c r="BC393" s="60">
        <f>IF(AND($AG393&gt;=0,$AD393&gt;=0,$AF393&gt;=0),IF($AG393/($AD393-$AF393)&gt;0,$AG393/($AD393-$AF393),0),"")</f>
        <v>0.21299999999999999</v>
      </c>
      <c r="BD393" s="60" t="str">
        <f>IF(AND($G393&gt;0,$AM393&gt;0),IF(($G393-$AM393)/$G393&gt;0,($G393-$AM393)/$G393,0),"")</f>
        <v/>
      </c>
      <c r="BE393" s="6">
        <f>IF((AD393-AF393)/(AJ393/60)&lt;=0,"",(AD393-AF393)/(AJ393/60))</f>
        <v>6.8571428571428577</v>
      </c>
      <c r="BF393" s="6" t="str">
        <f>IF(OR(AJ393=0,AP393=0,NOT(ISNUMBER(AD393)),NOT(ISNUMBER(AF393)),NOT(ISNUMBER(AJ393)),NOT(ISNUMBER(AP393))),"",
IFERROR(IF((AD393-AF393)/(AJ393/60)/(AP393/1000)&lt;=0,"",(AD393-AF393)/(AJ393/60)/(AP393/1000)),""))</f>
        <v/>
      </c>
    </row>
    <row r="394" spans="1:58" ht="15.75">
      <c r="B394" s="94">
        <v>45654</v>
      </c>
      <c r="C394" s="1">
        <v>150</v>
      </c>
      <c r="D394" s="3">
        <v>389</v>
      </c>
      <c r="E394" s="205">
        <f t="shared" si="27"/>
        <v>271.90785599999998</v>
      </c>
      <c r="G394" s="15">
        <f>(N394*18-H394*18)/9</f>
        <v>14.799999999999999</v>
      </c>
      <c r="H394" s="9">
        <f>5.9</f>
        <v>5.9</v>
      </c>
      <c r="I394" s="15">
        <f>AD394</f>
        <v>20.150000000000002</v>
      </c>
      <c r="K394" s="10">
        <f t="shared" si="24"/>
        <v>18.372152432432433</v>
      </c>
      <c r="L394" s="9">
        <f t="shared" si="25"/>
        <v>6.7470932009925546</v>
      </c>
      <c r="M394" s="8">
        <f t="shared" si="26"/>
        <v>2.7229729729729732</v>
      </c>
      <c r="N394" s="7">
        <f>13.3</f>
        <v>13.3</v>
      </c>
      <c r="O394" s="59">
        <v>86.18</v>
      </c>
      <c r="P394" s="59">
        <v>29.062000000000001</v>
      </c>
      <c r="Q394" s="6">
        <f>O394*1.067</f>
        <v>91.954059999999998</v>
      </c>
      <c r="R394" s="6">
        <f>P394*1.514</f>
        <v>43.999867999999999</v>
      </c>
      <c r="S394" s="23">
        <f>P394*1.514+O394*1.067</f>
        <v>135.95392799999999</v>
      </c>
      <c r="T394" s="6">
        <f>27</f>
        <v>27</v>
      </c>
      <c r="U394" s="59">
        <f>2.638*1.067</f>
        <v>2.814746</v>
      </c>
      <c r="V394" s="59">
        <f>1.69*1.514</f>
        <v>2.5586600000000002</v>
      </c>
      <c r="W394" s="23">
        <f>U394*1.067+V394*1.514</f>
        <v>6.8771452220000002</v>
      </c>
      <c r="X394" s="6">
        <v>0.44</v>
      </c>
      <c r="AB394" s="5">
        <v>80</v>
      </c>
      <c r="AC394" s="7">
        <f>T394</f>
        <v>27</v>
      </c>
      <c r="AD394" s="1">
        <f>5*4.03</f>
        <v>20.150000000000002</v>
      </c>
      <c r="AE394" s="1">
        <f>14.9</f>
        <v>14.9</v>
      </c>
      <c r="AF394" s="1">
        <f>2*3.76</f>
        <v>7.52</v>
      </c>
      <c r="AG394" s="1">
        <v>4.7</v>
      </c>
      <c r="AH394" s="101">
        <v>0.52037037037037037</v>
      </c>
      <c r="AJ394" s="1">
        <v>175</v>
      </c>
      <c r="AK394" s="3">
        <v>180</v>
      </c>
      <c r="AL394" s="4">
        <f>AE394</f>
        <v>14.9</v>
      </c>
      <c r="AM394" s="1">
        <f>10.6</f>
        <v>10.6</v>
      </c>
      <c r="AN394" s="80">
        <f>360-AK394-AB394</f>
        <v>100</v>
      </c>
      <c r="AP394" s="103">
        <f>$AO$389</f>
        <v>2219.9999999999818</v>
      </c>
      <c r="AR394" s="16">
        <f>(E394-W394)/E394</f>
        <v>0.97470780975890592</v>
      </c>
      <c r="AS394" s="16">
        <f>(I394-AF394)/I394</f>
        <v>0.62679900744416883</v>
      </c>
      <c r="AT394" s="16">
        <f>AG394/(AD394-AF394)</f>
        <v>0.37212984956452883</v>
      </c>
      <c r="AU394" s="16">
        <f>(G394-AM394)/G394</f>
        <v>0.28378378378378377</v>
      </c>
      <c r="AV394" s="57">
        <f>IF(AND(ISNUMBER(E394),ISNUMBER(W394)),E394-W394,"")</f>
        <v>265.03071077799996</v>
      </c>
      <c r="AW394" s="57">
        <f>IF(AND(ISNUMBER(I394),ISNUMBER(AF394)),I394-AF394,"")</f>
        <v>12.630000000000003</v>
      </c>
      <c r="AX394" s="57">
        <f>IF(AND(ISNUMBER(AM394),ISNUMBER(G394)),G394-AM394,"")</f>
        <v>4.1999999999999993</v>
      </c>
      <c r="AY394" s="57">
        <f>IF(AND(ISNUMBER(AC394),ISNUMBER(AE394)),AC394-AE394,"")</f>
        <v>12.1</v>
      </c>
      <c r="AZ394" s="57">
        <f>IF(AND(ISNUMBER(AL394),ISNUMBER(AM394)),AL394-AM394,"")</f>
        <v>4.3000000000000007</v>
      </c>
      <c r="BA394" s="60">
        <f>IF(AND($E394&gt;0,$W394&gt;0),IF(($E394-$W394)/$E394&gt;0,($E394-$W394)/$E394,0),"")</f>
        <v>0.97470780975890592</v>
      </c>
      <c r="BB394" s="60">
        <f>IF(AND($I394&gt;0,$AF394&gt;=0),IF(($I394-$AF394)/$I394&gt;0,($I394-$AF394)/$I394,0),"")</f>
        <v>0.62679900744416883</v>
      </c>
      <c r="BC394" s="60">
        <f>IF(AND($AG394&gt;=0,$AD394&gt;=0,$AF394&gt;=0),IF($AG394/($AD394-$AF394)&gt;0,$AG394/($AD394-$AF394),0),"")</f>
        <v>0.37212984956452883</v>
      </c>
      <c r="BD394" s="60">
        <f>IF(AND($G394&gt;0,$AM394&gt;0),IF(($G394-$AM394)/$G394&gt;0,($G394-$AM394)/$G394,0),"")</f>
        <v>0.28378378378378377</v>
      </c>
      <c r="BE394" s="6">
        <f>IF((AD394-AF394)/(AJ394/60)&lt;=0,"",(AD394-AF394)/(AJ394/60))</f>
        <v>4.330285714285715</v>
      </c>
      <c r="BF394" s="6">
        <f>IF(OR(AJ394=0,AP394=0,NOT(ISNUMBER(AD394)),NOT(ISNUMBER(AF394)),NOT(ISNUMBER(AJ394)),NOT(ISNUMBER(AP394))),"",
IFERROR(IF((AD394-AF394)/(AJ394/60)/(AP394/1000)&lt;=0,"",(AD394-AF394)/(AJ394/60)/(AP394/1000)),""))</f>
        <v>1.9505791505791668</v>
      </c>
    </row>
    <row r="395" spans="1:58" ht="15.75">
      <c r="A395" s="12" t="s">
        <v>88</v>
      </c>
      <c r="B395" s="94">
        <v>45655</v>
      </c>
      <c r="C395" s="1">
        <v>151</v>
      </c>
      <c r="D395" s="3">
        <v>390</v>
      </c>
      <c r="E395" s="205" t="str">
        <f t="shared" si="27"/>
        <v/>
      </c>
      <c r="K395" s="10" t="str">
        <f t="shared" si="24"/>
        <v/>
      </c>
      <c r="L395" s="9" t="str">
        <f t="shared" si="25"/>
        <v/>
      </c>
      <c r="M395" s="8" t="str">
        <f t="shared" si="26"/>
        <v/>
      </c>
      <c r="N395" s="6"/>
      <c r="X395" s="6">
        <v>0.5</v>
      </c>
      <c r="AB395" s="5">
        <v>80</v>
      </c>
      <c r="AC395" s="1"/>
      <c r="AD395" s="95">
        <v>20</v>
      </c>
      <c r="AG395" s="1">
        <v>3.5</v>
      </c>
      <c r="AH395" s="101">
        <v>0.52083333333333337</v>
      </c>
      <c r="AJ395" s="1">
        <v>175</v>
      </c>
      <c r="AK395" s="3">
        <v>180</v>
      </c>
      <c r="AL395" s="1"/>
      <c r="AN395" s="80">
        <f>360-AK395-AB395</f>
        <v>100</v>
      </c>
      <c r="AP395" s="103">
        <f>$AO$389</f>
        <v>2219.9999999999818</v>
      </c>
      <c r="AR395" s="16" t="e">
        <f>(E395-W395)/E395</f>
        <v>#VALUE!</v>
      </c>
      <c r="AS395" s="16"/>
      <c r="AT395" s="16">
        <f>AG395/(AD395-AF395)</f>
        <v>0.17499999999999999</v>
      </c>
      <c r="AU395" s="16" t="e">
        <f>(G395-AM395)/G395</f>
        <v>#DIV/0!</v>
      </c>
      <c r="AV395" s="57" t="str">
        <f>IF(AND(ISNUMBER(E395),ISNUMBER(W395)),E395-W395,"")</f>
        <v/>
      </c>
      <c r="AW395" s="57" t="str">
        <f>IF(AND(ISNUMBER(I395),ISNUMBER(AF395)),I395-AF395,"")</f>
        <v/>
      </c>
      <c r="AX395" s="57" t="str">
        <f>IF(AND(ISNUMBER(AM395),ISNUMBER(G395)),G395-AM395,"")</f>
        <v/>
      </c>
      <c r="AY395" s="57" t="str">
        <f>IF(AND(ISNUMBER(AC395),ISNUMBER(AE395)),AC395-AE395,"")</f>
        <v/>
      </c>
      <c r="AZ395" s="57" t="str">
        <f>IF(AND(ISNUMBER(AL395),ISNUMBER(AM395)),AL395-AM395,"")</f>
        <v/>
      </c>
      <c r="BA395" s="60" t="str">
        <f>IF(AND($E395&gt;0,$W395&gt;0),IF(($E395-$W395)/$E395&gt;0,($E395-$W395)/$E395,0),"")</f>
        <v/>
      </c>
      <c r="BB395" s="60" t="str">
        <f>IF(AND($I395&gt;0,$AF395&gt;=0),IF(($I395-$AF395)/$I395&gt;0,($I395-$AF395)/$I395,0),"")</f>
        <v/>
      </c>
      <c r="BC395" s="60">
        <f>IF(AND($AG395&gt;=0,$AD395&gt;=0,$AF395&gt;=0),IF($AG395/($AD395-$AF395)&gt;0,$AG395/($AD395-$AF395),0),"")</f>
        <v>0.17499999999999999</v>
      </c>
      <c r="BD395" s="60" t="str">
        <f>IF(AND($G395&gt;0,$AM395&gt;0),IF(($G395-$AM395)/$G395&gt;0,($G395-$AM395)/$G395,0),"")</f>
        <v/>
      </c>
      <c r="BE395" s="6">
        <f>IF((AD395-AF395)/(AJ395/60)&lt;=0,"",(AD395-AF395)/(AJ395/60))</f>
        <v>6.8571428571428577</v>
      </c>
      <c r="BF395" s="6" t="str">
        <f>IF(OR(AJ395=0,AP395=0,NOT(ISNUMBER(AD395)),NOT(ISNUMBER(AF395)),NOT(ISNUMBER(AJ395)),NOT(ISNUMBER(AP395))),"",
IFERROR(IF((AD395-AF395)/(AJ395/60)/(AP395/1000)&lt;=0,"",(AD395-AF395)/(AJ395/60)/(AP395/1000)),""))</f>
        <v/>
      </c>
    </row>
    <row r="396" spans="1:58" ht="15.75">
      <c r="A396" s="12" t="s">
        <v>87</v>
      </c>
      <c r="B396" s="94">
        <v>45656</v>
      </c>
      <c r="C396" s="1">
        <v>152</v>
      </c>
      <c r="D396" s="3">
        <v>391</v>
      </c>
      <c r="E396" s="205" t="str">
        <f t="shared" si="27"/>
        <v/>
      </c>
      <c r="K396" s="10" t="str">
        <f t="shared" si="24"/>
        <v/>
      </c>
      <c r="L396" s="9" t="str">
        <f t="shared" si="25"/>
        <v/>
      </c>
      <c r="M396" s="8" t="str">
        <f t="shared" si="26"/>
        <v/>
      </c>
      <c r="X396" s="6">
        <v>0.18</v>
      </c>
      <c r="AB396" s="5">
        <v>80</v>
      </c>
      <c r="AD396" s="95">
        <v>20</v>
      </c>
      <c r="AG396" s="1">
        <v>5.99</v>
      </c>
      <c r="AH396" s="101">
        <v>0.51863425925925921</v>
      </c>
      <c r="AJ396" s="1">
        <v>175</v>
      </c>
      <c r="AK396" s="3">
        <v>180</v>
      </c>
      <c r="AN396" s="80">
        <f>360-AK396-AB396</f>
        <v>100</v>
      </c>
      <c r="AP396" s="103">
        <f>$AO$389</f>
        <v>2219.9999999999818</v>
      </c>
      <c r="AR396" s="16" t="e">
        <f>(E396-W396)/E396</f>
        <v>#VALUE!</v>
      </c>
      <c r="AS396" s="16"/>
      <c r="AT396" s="16">
        <f>AG396/(AD396-AF396)</f>
        <v>0.29949999999999999</v>
      </c>
      <c r="AU396" s="16" t="e">
        <f>(G396-AM396)/G396</f>
        <v>#DIV/0!</v>
      </c>
      <c r="AV396" s="57" t="str">
        <f>IF(AND(ISNUMBER(E396),ISNUMBER(W396)),E396-W396,"")</f>
        <v/>
      </c>
      <c r="AW396" s="57" t="str">
        <f>IF(AND(ISNUMBER(I396),ISNUMBER(AF396)),I396-AF396,"")</f>
        <v/>
      </c>
      <c r="AX396" s="57" t="str">
        <f>IF(AND(ISNUMBER(AM396),ISNUMBER(G396)),G396-AM396,"")</f>
        <v/>
      </c>
      <c r="AY396" s="57" t="str">
        <f>IF(AND(ISNUMBER(AC396),ISNUMBER(AE396)),AC396-AE396,"")</f>
        <v/>
      </c>
      <c r="AZ396" s="57" t="str">
        <f>IF(AND(ISNUMBER(AL396),ISNUMBER(AM396)),AL396-AM396,"")</f>
        <v/>
      </c>
      <c r="BA396" s="60" t="str">
        <f>IF(AND($E396&gt;0,$W396&gt;0),IF(($E396-$W396)/$E396&gt;0,($E396-$W396)/$E396,0),"")</f>
        <v/>
      </c>
      <c r="BB396" s="60" t="str">
        <f>IF(AND($I396&gt;0,$AF396&gt;=0),IF(($I396-$AF396)/$I396&gt;0,($I396-$AF396)/$I396,0),"")</f>
        <v/>
      </c>
      <c r="BC396" s="60">
        <f>IF(AND($AG396&gt;=0,$AD396&gt;=0,$AF396&gt;=0),IF($AG396/($AD396-$AF396)&gt;0,$AG396/($AD396-$AF396),0),"")</f>
        <v>0.29949999999999999</v>
      </c>
      <c r="BD396" s="60" t="str">
        <f>IF(AND($G396&gt;0,$AM396&gt;0),IF(($G396-$AM396)/$G396&gt;0,($G396-$AM396)/$G396,0),"")</f>
        <v/>
      </c>
      <c r="BE396" s="6">
        <f>IF((AD396-AF396)/(AJ396/60)&lt;=0,"",(AD396-AF396)/(AJ396/60))</f>
        <v>6.8571428571428577</v>
      </c>
      <c r="BF396" s="6" t="str">
        <f>IF(OR(AJ396=0,AP396=0,NOT(ISNUMBER(AD396)),NOT(ISNUMBER(AF396)),NOT(ISNUMBER(AJ396)),NOT(ISNUMBER(AP396))),"",
IFERROR(IF((AD396-AF396)/(AJ396/60)/(AP396/1000)&lt;=0,"",(AD396-AF396)/(AJ396/60)/(AP396/1000)),""))</f>
        <v/>
      </c>
    </row>
    <row r="397" spans="1:58" ht="15.75">
      <c r="A397" s="12" t="s">
        <v>86</v>
      </c>
      <c r="B397" s="94">
        <v>45657</v>
      </c>
      <c r="C397" s="1">
        <v>153</v>
      </c>
      <c r="D397" s="3">
        <v>392</v>
      </c>
      <c r="E397" s="205" t="str">
        <f t="shared" si="27"/>
        <v/>
      </c>
      <c r="K397" s="10" t="str">
        <f t="shared" si="24"/>
        <v/>
      </c>
      <c r="L397" s="9" t="str">
        <f t="shared" si="25"/>
        <v/>
      </c>
      <c r="M397" s="8" t="str">
        <f t="shared" si="26"/>
        <v/>
      </c>
      <c r="X397" s="6">
        <v>0.59</v>
      </c>
      <c r="AB397" s="5">
        <v>80</v>
      </c>
      <c r="AD397" s="95">
        <v>20</v>
      </c>
      <c r="AG397" s="1">
        <v>5.89</v>
      </c>
      <c r="AH397" s="101">
        <v>0.51967592592592593</v>
      </c>
      <c r="AJ397" s="1">
        <v>175</v>
      </c>
      <c r="AK397" s="3">
        <v>180</v>
      </c>
      <c r="AN397" s="80">
        <f>360-AK397-AB397</f>
        <v>100</v>
      </c>
      <c r="AP397" s="103">
        <f>$AO$389</f>
        <v>2219.9999999999818</v>
      </c>
      <c r="AR397" s="16" t="e">
        <f>(E397-W397)/E397</f>
        <v>#VALUE!</v>
      </c>
      <c r="AS397" s="16"/>
      <c r="AT397" s="16">
        <f>AG397/(AD397-AF397)</f>
        <v>0.29449999999999998</v>
      </c>
      <c r="AU397" s="16" t="e">
        <f>(G397-AM397)/G397</f>
        <v>#DIV/0!</v>
      </c>
      <c r="AV397" s="57" t="str">
        <f>IF(AND(ISNUMBER(E397),ISNUMBER(W397)),E397-W397,"")</f>
        <v/>
      </c>
      <c r="AW397" s="57" t="str">
        <f>IF(AND(ISNUMBER(I397),ISNUMBER(AF397)),I397-AF397,"")</f>
        <v/>
      </c>
      <c r="AX397" s="57" t="str">
        <f>IF(AND(ISNUMBER(AM397),ISNUMBER(G397)),G397-AM397,"")</f>
        <v/>
      </c>
      <c r="AY397" s="57" t="str">
        <f>IF(AND(ISNUMBER(AC397),ISNUMBER(AE397)),AC397-AE397,"")</f>
        <v/>
      </c>
      <c r="AZ397" s="57" t="str">
        <f>IF(AND(ISNUMBER(AL397),ISNUMBER(AM397)),AL397-AM397,"")</f>
        <v/>
      </c>
      <c r="BA397" s="60" t="str">
        <f>IF(AND($E397&gt;0,$W397&gt;0),IF(($E397-$W397)/$E397&gt;0,($E397-$W397)/$E397,0),"")</f>
        <v/>
      </c>
      <c r="BB397" s="60" t="str">
        <f>IF(AND($I397&gt;0,$AF397&gt;=0),IF(($I397-$AF397)/$I397&gt;0,($I397-$AF397)/$I397,0),"")</f>
        <v/>
      </c>
      <c r="BC397" s="60">
        <f>IF(AND($AG397&gt;=0,$AD397&gt;=0,$AF397&gt;=0),IF($AG397/($AD397-$AF397)&gt;0,$AG397/($AD397-$AF397),0),"")</f>
        <v>0.29449999999999998</v>
      </c>
      <c r="BD397" s="60" t="str">
        <f>IF(AND($G397&gt;0,$AM397&gt;0),IF(($G397-$AM397)/$G397&gt;0,($G397-$AM397)/$G397,0),"")</f>
        <v/>
      </c>
      <c r="BE397" s="6">
        <f>IF((AD397-AF397)/(AJ397/60)&lt;=0,"",(AD397-AF397)/(AJ397/60))</f>
        <v>6.8571428571428577</v>
      </c>
      <c r="BF397" s="6" t="str">
        <f>IF(OR(AJ397=0,AP397=0,NOT(ISNUMBER(AD397)),NOT(ISNUMBER(AF397)),NOT(ISNUMBER(AJ397)),NOT(ISNUMBER(AP397))),"",
IFERROR(IF((AD397-AF397)/(AJ397/60)/(AP397/1000)&lt;=0,"",(AD397-AF397)/(AJ397/60)/(AP397/1000)),""))</f>
        <v/>
      </c>
    </row>
    <row r="398" spans="1:58" ht="15.75">
      <c r="B398" s="94">
        <v>45658</v>
      </c>
      <c r="C398" s="1">
        <v>154</v>
      </c>
      <c r="D398" s="3">
        <v>393</v>
      </c>
      <c r="E398" s="205" t="str">
        <f t="shared" si="27"/>
        <v/>
      </c>
      <c r="K398" s="10" t="str">
        <f t="shared" si="24"/>
        <v/>
      </c>
      <c r="L398" s="9" t="str">
        <f t="shared" si="25"/>
        <v/>
      </c>
      <c r="M398" s="8" t="str">
        <f t="shared" si="26"/>
        <v/>
      </c>
      <c r="X398" s="6">
        <v>0.19</v>
      </c>
      <c r="AB398" s="5">
        <v>80</v>
      </c>
      <c r="AD398" s="95">
        <v>20</v>
      </c>
      <c r="AG398" s="1">
        <v>4.9000000000000004</v>
      </c>
      <c r="AH398" s="101">
        <v>0.51956018518518521</v>
      </c>
      <c r="AJ398" s="1">
        <v>175</v>
      </c>
      <c r="AK398" s="3">
        <v>180</v>
      </c>
      <c r="AN398" s="80">
        <f>360-AK398-AB398</f>
        <v>100</v>
      </c>
      <c r="AP398" s="103">
        <f>$AO$389</f>
        <v>2219.9999999999818</v>
      </c>
      <c r="AR398" s="16" t="e">
        <f>(E398-W398)/E398</f>
        <v>#VALUE!</v>
      </c>
      <c r="AS398" s="16"/>
      <c r="AT398" s="16">
        <f>AG398/(AD398-AF398)</f>
        <v>0.24500000000000002</v>
      </c>
      <c r="AU398" s="16" t="e">
        <f>(G398-AM398)/G398</f>
        <v>#DIV/0!</v>
      </c>
      <c r="AV398" s="57" t="str">
        <f>IF(AND(ISNUMBER(E398),ISNUMBER(W398)),E398-W398,"")</f>
        <v/>
      </c>
      <c r="AW398" s="57" t="str">
        <f>IF(AND(ISNUMBER(I398),ISNUMBER(AF398)),I398-AF398,"")</f>
        <v/>
      </c>
      <c r="AX398" s="57" t="str">
        <f>IF(AND(ISNUMBER(AM398),ISNUMBER(G398)),G398-AM398,"")</f>
        <v/>
      </c>
      <c r="AY398" s="57" t="str">
        <f>IF(AND(ISNUMBER(AC398),ISNUMBER(AE398)),AC398-AE398,"")</f>
        <v/>
      </c>
      <c r="AZ398" s="57" t="str">
        <f>IF(AND(ISNUMBER(AL398),ISNUMBER(AM398)),AL398-AM398,"")</f>
        <v/>
      </c>
      <c r="BA398" s="60" t="str">
        <f>IF(AND($E398&gt;0,$W398&gt;0),IF(($E398-$W398)/$E398&gt;0,($E398-$W398)/$E398,0),"")</f>
        <v/>
      </c>
      <c r="BB398" s="60" t="str">
        <f>IF(AND($I398&gt;0,$AF398&gt;=0),IF(($I398-$AF398)/$I398&gt;0,($I398-$AF398)/$I398,0),"")</f>
        <v/>
      </c>
      <c r="BC398" s="60">
        <f>IF(AND($AG398&gt;=0,$AD398&gt;=0,$AF398&gt;=0),IF($AG398/($AD398-$AF398)&gt;0,$AG398/($AD398-$AF398),0),"")</f>
        <v>0.24500000000000002</v>
      </c>
      <c r="BD398" s="60" t="str">
        <f>IF(AND($G398&gt;0,$AM398&gt;0),IF(($G398-$AM398)/$G398&gt;0,($G398-$AM398)/$G398,0),"")</f>
        <v/>
      </c>
      <c r="BE398" s="6">
        <f>IF((AD398-AF398)/(AJ398/60)&lt;=0,"",(AD398-AF398)/(AJ398/60))</f>
        <v>6.8571428571428577</v>
      </c>
      <c r="BF398" s="6" t="str">
        <f>IF(OR(AJ398=0,AP398=0,NOT(ISNUMBER(AD398)),NOT(ISNUMBER(AF398)),NOT(ISNUMBER(AJ398)),NOT(ISNUMBER(AP398))),"",
IFERROR(IF((AD398-AF398)/(AJ398/60)/(AP398/1000)&lt;=0,"",(AD398-AF398)/(AJ398/60)/(AP398/1000)),""))</f>
        <v/>
      </c>
    </row>
    <row r="399" spans="1:58" ht="15.75">
      <c r="A399" s="12" t="s">
        <v>85</v>
      </c>
      <c r="B399" s="94">
        <v>45659</v>
      </c>
      <c r="C399" s="1">
        <v>155</v>
      </c>
      <c r="D399" s="3">
        <v>394</v>
      </c>
      <c r="E399" s="205" t="str">
        <f t="shared" si="27"/>
        <v/>
      </c>
      <c r="K399" s="10" t="str">
        <f t="shared" si="24"/>
        <v/>
      </c>
      <c r="L399" s="9" t="str">
        <f t="shared" si="25"/>
        <v/>
      </c>
      <c r="M399" s="8" t="str">
        <f t="shared" si="26"/>
        <v/>
      </c>
      <c r="N399" s="6"/>
      <c r="AB399" s="5">
        <v>80</v>
      </c>
      <c r="AC399" s="1"/>
      <c r="AD399" s="95">
        <v>20</v>
      </c>
      <c r="AG399" s="1">
        <v>3.46</v>
      </c>
      <c r="AH399" s="101">
        <v>0.51932870370370365</v>
      </c>
      <c r="AJ399" s="1">
        <v>175</v>
      </c>
      <c r="AK399" s="3">
        <v>180</v>
      </c>
      <c r="AL399" s="1"/>
      <c r="AN399" s="105">
        <f>360-AK399-AB399</f>
        <v>100</v>
      </c>
      <c r="AP399" s="103">
        <f>$AO$389</f>
        <v>2219.9999999999818</v>
      </c>
      <c r="AR399" s="16" t="e">
        <f>(E399-W399)/E399</f>
        <v>#VALUE!</v>
      </c>
      <c r="AS399" s="16"/>
      <c r="AT399" s="16">
        <f>AG399/(AD399-AF399)</f>
        <v>0.17299999999999999</v>
      </c>
      <c r="AU399" s="16" t="e">
        <f>(G399-AM399)/G399</f>
        <v>#DIV/0!</v>
      </c>
      <c r="AV399" s="57" t="str">
        <f>IF(AND(ISNUMBER(E399),ISNUMBER(W399)),E399-W399,"")</f>
        <v/>
      </c>
      <c r="AW399" s="57" t="str">
        <f>IF(AND(ISNUMBER(I399),ISNUMBER(AF399)),I399-AF399,"")</f>
        <v/>
      </c>
      <c r="AX399" s="57" t="str">
        <f>IF(AND(ISNUMBER(AM399),ISNUMBER(G399)),G399-AM399,"")</f>
        <v/>
      </c>
      <c r="AY399" s="57" t="str">
        <f>IF(AND(ISNUMBER(AC399),ISNUMBER(AE399)),AC399-AE399,"")</f>
        <v/>
      </c>
      <c r="AZ399" s="57" t="str">
        <f>IF(AND(ISNUMBER(AL399),ISNUMBER(AM399)),AL399-AM399,"")</f>
        <v/>
      </c>
      <c r="BA399" s="60" t="str">
        <f>IF(AND($E399&gt;0,$W399&gt;0),IF(($E399-$W399)/$E399&gt;0,($E399-$W399)/$E399,0),"")</f>
        <v/>
      </c>
      <c r="BB399" s="60" t="str">
        <f>IF(AND($I399&gt;0,$AF399&gt;=0),IF(($I399-$AF399)/$I399&gt;0,($I399-$AF399)/$I399,0),"")</f>
        <v/>
      </c>
      <c r="BC399" s="60"/>
      <c r="BD399" s="60" t="str">
        <f>IF(AND($G399&gt;0,$AM399&gt;0),IF(($G399-$AM399)/$G399&gt;0,($G399-$AM399)/$G399,0),"")</f>
        <v/>
      </c>
      <c r="BE399" s="6">
        <f>IF((AD399-AF399)/(AJ399/60)&lt;=0,"",(AD399-AF399)/(AJ399/60))</f>
        <v>6.8571428571428577</v>
      </c>
      <c r="BF399" s="6" t="str">
        <f>IF(OR(AJ399=0,AP399=0,NOT(ISNUMBER(AD399)),NOT(ISNUMBER(AF399)),NOT(ISNUMBER(AJ399)),NOT(ISNUMBER(AP399))),"",
IFERROR(IF((AD399-AF399)/(AJ399/60)/(AP399/1000)&lt;=0,"",(AD399-AF399)/(AJ399/60)/(AP399/1000)),""))</f>
        <v/>
      </c>
    </row>
    <row r="400" spans="1:58" s="27" customFormat="1" ht="15.75">
      <c r="A400" s="39"/>
      <c r="B400" s="90">
        <v>45660</v>
      </c>
      <c r="C400" s="1">
        <v>156</v>
      </c>
      <c r="D400" s="3">
        <v>395</v>
      </c>
      <c r="E400" s="205" t="str">
        <f t="shared" si="27"/>
        <v/>
      </c>
      <c r="F400" s="36"/>
      <c r="G400" s="77">
        <f>(N400*18-H400*18)/9</f>
        <v>13.6</v>
      </c>
      <c r="H400" s="36">
        <f>5*0.68</f>
        <v>3.4000000000000004</v>
      </c>
      <c r="I400" s="15">
        <f>AD400</f>
        <v>19.850000000000001</v>
      </c>
      <c r="J400" s="35"/>
      <c r="K400" s="10" t="str">
        <f t="shared" si="24"/>
        <v/>
      </c>
      <c r="L400" s="9" t="str">
        <f t="shared" si="25"/>
        <v/>
      </c>
      <c r="M400" s="8">
        <f t="shared" si="26"/>
        <v>2.9191176470588238</v>
      </c>
      <c r="N400" s="34">
        <f>5*2.04</f>
        <v>10.199999999999999</v>
      </c>
      <c r="O400" s="33"/>
      <c r="P400" s="33"/>
      <c r="Q400" s="33"/>
      <c r="R400" s="33"/>
      <c r="S400" s="33"/>
      <c r="T400" s="33">
        <f>5*3.83</f>
        <v>19.149999999999999</v>
      </c>
      <c r="U400" s="33"/>
      <c r="V400" s="33"/>
      <c r="W400" s="33"/>
      <c r="X400" s="33"/>
      <c r="Y400" s="33"/>
      <c r="Z400" s="33"/>
      <c r="AA400" s="33"/>
      <c r="AB400" s="74">
        <v>80</v>
      </c>
      <c r="AC400" s="34">
        <f>T400</f>
        <v>19.149999999999999</v>
      </c>
      <c r="AD400" s="27">
        <f>5*3.97</f>
        <v>19.850000000000001</v>
      </c>
      <c r="AE400" s="27">
        <f>5*2.18</f>
        <v>10.9</v>
      </c>
      <c r="AF400" s="27">
        <f>5*1.77</f>
        <v>8.85</v>
      </c>
      <c r="AG400" s="27">
        <v>2.72</v>
      </c>
      <c r="AH400" s="104">
        <v>0.52037037037037037</v>
      </c>
      <c r="AJ400" s="1">
        <v>175</v>
      </c>
      <c r="AK400" s="3">
        <v>180</v>
      </c>
      <c r="AL400" s="32">
        <f>AE400</f>
        <v>10.9</v>
      </c>
      <c r="AM400" s="27">
        <f>5*1.64</f>
        <v>8.1999999999999993</v>
      </c>
      <c r="AN400" s="87">
        <f>360-AK400-AB400</f>
        <v>100</v>
      </c>
      <c r="AO400" s="28"/>
      <c r="AP400" s="103">
        <f>$AO$389</f>
        <v>2219.9999999999818</v>
      </c>
      <c r="AQ400" s="28"/>
      <c r="AR400" s="31" t="e">
        <f>(E400-W400)/E400</f>
        <v>#VALUE!</v>
      </c>
      <c r="AS400" s="30">
        <f>(I400-AF400)/I400</f>
        <v>0.55415617128463479</v>
      </c>
      <c r="AT400" s="30">
        <f>AG400/(AD400-AF400)</f>
        <v>0.24727272727272726</v>
      </c>
      <c r="AU400" s="30">
        <f>(G400-AM400)/G400</f>
        <v>0.3970588235294118</v>
      </c>
      <c r="AV400" s="73" t="str">
        <f>IF(AND(ISNUMBER(E400),ISNUMBER(W400)),E400-W400,"")</f>
        <v/>
      </c>
      <c r="AW400" s="73">
        <f>IF(AND(ISNUMBER(I400),ISNUMBER(AF400)),I400-AF400,"")</f>
        <v>11.000000000000002</v>
      </c>
      <c r="AX400" s="73">
        <f>IF(AND(ISNUMBER(AM400),ISNUMBER(G400)),G400-AM400,"")</f>
        <v>5.4</v>
      </c>
      <c r="AY400" s="73">
        <f>IF(AND(ISNUMBER(AC400),ISNUMBER(AE400)),AC400-AE400,"")</f>
        <v>8.2499999999999982</v>
      </c>
      <c r="AZ400" s="73">
        <f>IF(AND(ISNUMBER(AL400),ISNUMBER(AM400)),AL400-AM400,"")</f>
        <v>2.7000000000000011</v>
      </c>
      <c r="BA400" s="85" t="str">
        <f>IF(AND($E400&gt;0,$W400&gt;0),IF(($E400-$W400)/$E400&gt;0,($E400-$W400)/$E400,0),"")</f>
        <v/>
      </c>
      <c r="BB400" s="85">
        <f>IF(AND($I400&gt;0,$AF400&gt;=0),IF(($I400-$AF400)/$I400&gt;0,($I400-$AF400)/$I400,0),"")</f>
        <v>0.55415617128463479</v>
      </c>
      <c r="BC400" s="60">
        <f>IF(AND($AG400&gt;=0,$AD400&gt;=0,$AF400&gt;=0),IF($AG400/($AD400-$AF400)&gt;0,$AG400/($AD400-$AF400),0),"")</f>
        <v>0.24727272727272726</v>
      </c>
      <c r="BD400" s="85">
        <f>IF(AND($G400&gt;0,$AM400&gt;0),IF(($G400-$AM400)/$G400&gt;0,($G400-$AM400)/$G400,0),"")</f>
        <v>0.3970588235294118</v>
      </c>
      <c r="BE400" s="6">
        <f>IF((AD400-AF400)/(AJ400/60)&lt;=0,"",(AD400-AF400)/(AJ400/60))</f>
        <v>3.7714285714285722</v>
      </c>
      <c r="BF400" s="6">
        <f>IF(OR(AJ400=0,AP400=0,NOT(ISNUMBER(AD400)),NOT(ISNUMBER(AF400)),NOT(ISNUMBER(AJ400)),NOT(ISNUMBER(AP400))),"",
IFERROR(IF((AD400-AF400)/(AJ400/60)/(AP400/1000)&lt;=0,"",(AD400-AF400)/(AJ400/60)/(AP400/1000)),""))</f>
        <v>1.698841698841713</v>
      </c>
    </row>
    <row r="401" spans="1:58" ht="15.75">
      <c r="A401" s="25" t="s">
        <v>84</v>
      </c>
      <c r="B401" s="11">
        <v>45661</v>
      </c>
      <c r="C401" s="1">
        <v>157</v>
      </c>
      <c r="D401" s="3">
        <v>396</v>
      </c>
      <c r="E401" s="205" t="str">
        <f t="shared" si="27"/>
        <v/>
      </c>
      <c r="K401" s="10" t="str">
        <f t="shared" si="24"/>
        <v/>
      </c>
      <c r="L401" s="9" t="str">
        <f t="shared" si="25"/>
        <v/>
      </c>
      <c r="M401" s="8" t="str">
        <f t="shared" si="26"/>
        <v/>
      </c>
      <c r="X401" s="6">
        <v>0.2</v>
      </c>
      <c r="AB401" s="5">
        <v>80</v>
      </c>
      <c r="AG401" s="1">
        <v>3.33</v>
      </c>
      <c r="AH401" s="101">
        <v>0.51967592592592593</v>
      </c>
      <c r="AK401" s="3">
        <f>180+60</f>
        <v>240</v>
      </c>
      <c r="AN401" s="80">
        <f>360-AK401-AB401</f>
        <v>40</v>
      </c>
      <c r="AP401" s="13" t="e">
        <f>AVERAGE(AO399:AO405)</f>
        <v>#DIV/0!</v>
      </c>
      <c r="AR401" s="17" t="e">
        <f>(E401-W401)/E401</f>
        <v>#VALUE!</v>
      </c>
      <c r="AS401" s="16" t="e">
        <f>(I401-AF401)/I401</f>
        <v>#DIV/0!</v>
      </c>
      <c r="AT401" s="16" t="e">
        <f>AG401/(AD401-AF401)</f>
        <v>#DIV/0!</v>
      </c>
      <c r="AU401" s="16" t="e">
        <f>(G401-AM401)/G401</f>
        <v>#DIV/0!</v>
      </c>
      <c r="AV401" s="57" t="str">
        <f>IF(AND(ISNUMBER(E401),ISNUMBER(W401)),E401-W401,"")</f>
        <v/>
      </c>
      <c r="AW401" s="57" t="str">
        <f>IF(AND(ISNUMBER(I401),ISNUMBER(AF401)),I401-AF401,"")</f>
        <v/>
      </c>
      <c r="AX401" s="57" t="str">
        <f>IF(AND(ISNUMBER(AM401),ISNUMBER(G401)),G401-AM401,"")</f>
        <v/>
      </c>
      <c r="AY401" s="57" t="str">
        <f>IF(AND(ISNUMBER(AC401),ISNUMBER(AE401)),AC401-AE401,"")</f>
        <v/>
      </c>
      <c r="AZ401" s="57" t="str">
        <f>IF(AND(ISNUMBER(AL401),ISNUMBER(AM401)),AL401-AM401,"")</f>
        <v/>
      </c>
      <c r="BB401" s="84" t="str">
        <f>IF(AND($I401&gt;0,$AF401&gt;=0),IF(($I401-$AF401)/$I401&gt;0,($I401-$AF401)/$I401,0),"")</f>
        <v/>
      </c>
      <c r="BC401" s="84" t="e">
        <f>IF(AND($AG401&gt;=0,$AD401&gt;=0,$AF401&gt;=0),IF($AG401/($AD401-$AF401)&gt;0,$AG401/($AD401-$AF401),0),"")</f>
        <v>#DIV/0!</v>
      </c>
      <c r="BD401" s="84" t="str">
        <f>IF(AND($G401&gt;0,$AM401&gt;0),IF(($G401-$AM401)/$G401&gt;0,($G401-$AM401)/$G401,0),"")</f>
        <v/>
      </c>
      <c r="BE401" s="6" t="e">
        <f>IF((AD401-AF401)/(AJ401/60)&lt;=0,"",(AD401-AF401)/(AJ401/60))</f>
        <v>#DIV/0!</v>
      </c>
      <c r="BF401" s="6" t="e">
        <f>IF(OR(AJ401=0,AP401=0,NOT(ISNUMBER(AD401)),NOT(ISNUMBER(AF401)),NOT(ISNUMBER(AJ401)),NOT(ISNUMBER(AP401))),"",
IFERROR(IF((AD401-AF401)/(AJ401/60)/(AP401/1000)&lt;=0,"",(AD401-AF401)/(AJ401/60)/(AP401/1000)),""))</f>
        <v>#DIV/0!</v>
      </c>
    </row>
    <row r="402" spans="1:58" ht="15.75">
      <c r="A402" s="12" t="s">
        <v>83</v>
      </c>
      <c r="B402" s="11">
        <v>45662</v>
      </c>
      <c r="C402" s="1">
        <v>158</v>
      </c>
      <c r="D402" s="3">
        <v>397</v>
      </c>
      <c r="E402" s="205" t="str">
        <f t="shared" si="27"/>
        <v/>
      </c>
      <c r="K402" s="10" t="str">
        <f t="shared" si="24"/>
        <v/>
      </c>
      <c r="L402" s="9" t="str">
        <f t="shared" si="25"/>
        <v/>
      </c>
      <c r="M402" s="8" t="str">
        <f t="shared" si="26"/>
        <v/>
      </c>
      <c r="X402" s="6">
        <v>0.46</v>
      </c>
      <c r="AB402" s="5">
        <v>80</v>
      </c>
      <c r="AE402" s="1">
        <f>5*2.53</f>
        <v>12.649999999999999</v>
      </c>
      <c r="AF402" s="1">
        <f>2*3.7</f>
        <v>7.4</v>
      </c>
      <c r="AG402" s="1">
        <v>4.0199999999999996</v>
      </c>
      <c r="AH402" s="101">
        <v>0.52060185185185182</v>
      </c>
      <c r="AK402" s="3">
        <f>180+60</f>
        <v>240</v>
      </c>
      <c r="AL402" s="1">
        <f>AE402</f>
        <v>12.649999999999999</v>
      </c>
      <c r="AM402" s="1">
        <f>5*2.38</f>
        <v>11.899999999999999</v>
      </c>
      <c r="AN402" s="80">
        <f>360-AK402-AB402</f>
        <v>40</v>
      </c>
      <c r="AP402" s="13" t="e">
        <f>AVERAGE(AO400:AO406)</f>
        <v>#DIV/0!</v>
      </c>
      <c r="AR402" s="17" t="e">
        <f>(E402-W402)/E402</f>
        <v>#VALUE!</v>
      </c>
      <c r="AS402" s="16" t="e">
        <f>(I402-AF402)/I402</f>
        <v>#DIV/0!</v>
      </c>
      <c r="AT402" s="16">
        <f>AG402/(AD402-AF402)</f>
        <v>-0.54324324324324313</v>
      </c>
      <c r="AU402" s="16" t="e">
        <f>(G402-AM402)/G402</f>
        <v>#DIV/0!</v>
      </c>
      <c r="AV402" s="57" t="str">
        <f>IF(AND(ISNUMBER(E402),ISNUMBER(W402)),E402-W402,"")</f>
        <v/>
      </c>
      <c r="AW402" s="57" t="str">
        <f>IF(AND(ISNUMBER(I402),ISNUMBER(AF402)),I402-AF402,"")</f>
        <v/>
      </c>
      <c r="AX402" s="57" t="str">
        <f>IF(AND(ISNUMBER(AM402),ISNUMBER(G402)),G402-AM402,"")</f>
        <v/>
      </c>
      <c r="AY402" s="57" t="str">
        <f>IF(AND(ISNUMBER(AC402),ISNUMBER(AE402)),AC402-AE402,"")</f>
        <v/>
      </c>
      <c r="AZ402" s="57">
        <f>IF(AND(ISNUMBER(AL402),ISNUMBER(AM402)),AL402-AM402,"")</f>
        <v>0.75</v>
      </c>
      <c r="BB402" s="84" t="str">
        <f>IF(AND($I402&gt;0,$AF402&gt;=0),IF(($I402-$AF402)/$I402&gt;0,($I402-$AF402)/$I402,0),"")</f>
        <v/>
      </c>
      <c r="BC402" s="84">
        <f>IF(AND($AG402&gt;=0,$AD402&gt;=0,$AF402&gt;=0),IF($AG402/($AD402-$AF402)&gt;0,$AG402/($AD402-$AF402),0),"")</f>
        <v>0</v>
      </c>
      <c r="BD402" s="84" t="str">
        <f>IF(AND($G402&gt;0,$AM402&gt;0),IF(($G402-$AM402)/$G402&gt;0,($G402-$AM402)/$G402,0),"")</f>
        <v/>
      </c>
      <c r="BE402" s="6" t="e">
        <f>IF((AD402-AF402)/(AJ402/60)&lt;=0,"",(AD402-AF402)/(AJ402/60))</f>
        <v>#DIV/0!</v>
      </c>
      <c r="BF402" s="6" t="e">
        <f>IF(OR(AJ402=0,AP402=0,NOT(ISNUMBER(AD402)),NOT(ISNUMBER(AF402)),NOT(ISNUMBER(AJ402)),NOT(ISNUMBER(AP402))),"",
IFERROR(IF((AD402-AF402)/(AJ402/60)/(AP402/1000)&lt;=0,"",(AD402-AF402)/(AJ402/60)/(AP402/1000)),""))</f>
        <v>#DIV/0!</v>
      </c>
    </row>
    <row r="403" spans="1:58" ht="15.75">
      <c r="B403" s="11">
        <v>45663</v>
      </c>
      <c r="C403" s="1">
        <v>159</v>
      </c>
      <c r="D403" s="3">
        <v>398</v>
      </c>
      <c r="E403" s="205">
        <f t="shared" si="27"/>
        <v>339.74118600000003</v>
      </c>
      <c r="K403" s="10" t="str">
        <f t="shared" si="24"/>
        <v/>
      </c>
      <c r="L403" s="9" t="str">
        <f t="shared" si="25"/>
        <v/>
      </c>
      <c r="M403" s="8" t="str">
        <f t="shared" si="26"/>
        <v/>
      </c>
      <c r="O403" s="59">
        <v>111.06100000000001</v>
      </c>
      <c r="P403" s="59">
        <v>33.929000000000002</v>
      </c>
      <c r="Q403" s="6">
        <f>O403*1.067</f>
        <v>118.502087</v>
      </c>
      <c r="R403" s="6">
        <f>P403*1.514</f>
        <v>51.368506000000004</v>
      </c>
      <c r="S403" s="23">
        <f>P403*1.514+O403*1.067</f>
        <v>169.87059300000001</v>
      </c>
      <c r="U403" s="6">
        <v>0</v>
      </c>
      <c r="V403" s="6">
        <v>0</v>
      </c>
      <c r="W403" s="23">
        <f>U403*1.067+V403*1.514</f>
        <v>0</v>
      </c>
      <c r="X403" s="6">
        <v>0.56000000000000005</v>
      </c>
      <c r="AB403" s="5">
        <v>80</v>
      </c>
      <c r="AG403" s="1">
        <v>4.3</v>
      </c>
      <c r="AH403" s="101">
        <v>0.5175925925925926</v>
      </c>
      <c r="AK403" s="3">
        <f>180+60</f>
        <v>240</v>
      </c>
      <c r="AN403" s="80">
        <f>360-AK403-AB403</f>
        <v>40</v>
      </c>
      <c r="AP403" s="13" t="e">
        <f>AVERAGE(AO401:AO407)</f>
        <v>#DIV/0!</v>
      </c>
      <c r="AR403" s="17">
        <f>(E403-W403)/E403</f>
        <v>1</v>
      </c>
      <c r="AS403" s="16" t="e">
        <f>(I403-AF403)/I403</f>
        <v>#DIV/0!</v>
      </c>
      <c r="AT403" s="16" t="e">
        <f>AG403/(AD403-AF403)</f>
        <v>#DIV/0!</v>
      </c>
      <c r="AU403" s="16" t="e">
        <f>(G403-AM403)/G403</f>
        <v>#DIV/0!</v>
      </c>
      <c r="AV403" s="57">
        <f>IF(AND(ISNUMBER(E403),ISNUMBER(W403)),E403-W403,"")</f>
        <v>339.74118600000003</v>
      </c>
      <c r="AW403" s="57" t="str">
        <f>IF(AND(ISNUMBER(I403),ISNUMBER(AF403)),I403-AF403,"")</f>
        <v/>
      </c>
      <c r="AX403" s="57" t="str">
        <f>IF(AND(ISNUMBER(AM403),ISNUMBER(G403)),G403-AM403,"")</f>
        <v/>
      </c>
      <c r="AY403" s="57" t="str">
        <f>IF(AND(ISNUMBER(AC403),ISNUMBER(AE403)),AC403-AE403,"")</f>
        <v/>
      </c>
      <c r="AZ403" s="57" t="str">
        <f>IF(AND(ISNUMBER(AL403),ISNUMBER(AM403)),AL403-AM403,"")</f>
        <v/>
      </c>
      <c r="BB403" s="84" t="str">
        <f>IF(AND($I403&gt;0,$AF403&gt;=0),IF(($I403-$AF403)/$I403&gt;0,($I403-$AF403)/$I403,0),"")</f>
        <v/>
      </c>
      <c r="BC403" s="84" t="e">
        <f>IF(AND($AG403&gt;=0,$AD403&gt;=0,$AF403&gt;=0),IF($AG403/($AD403-$AF403)&gt;0,$AG403/($AD403-$AF403),0),"")</f>
        <v>#DIV/0!</v>
      </c>
      <c r="BD403" s="84" t="str">
        <f>IF(AND($G403&gt;0,$AM403&gt;0),IF(($G403-$AM403)/$G403&gt;0,($G403-$AM403)/$G403,0),"")</f>
        <v/>
      </c>
      <c r="BE403" s="6" t="e">
        <f>IF((AD403-AF403)/(AJ403/60)&lt;=0,"",(AD403-AF403)/(AJ403/60))</f>
        <v>#DIV/0!</v>
      </c>
      <c r="BF403" s="6" t="e">
        <f>IF(OR(AJ403=0,AP403=0,NOT(ISNUMBER(AD403)),NOT(ISNUMBER(AF403)),NOT(ISNUMBER(AJ403)),NOT(ISNUMBER(AP403))),"",
IFERROR(IF((AD403-AF403)/(AJ403/60)/(AP403/1000)&lt;=0,"",(AD403-AF403)/(AJ403/60)/(AP403/1000)),""))</f>
        <v>#DIV/0!</v>
      </c>
    </row>
    <row r="404" spans="1:58" ht="15.75">
      <c r="A404" s="12" t="s">
        <v>82</v>
      </c>
      <c r="B404" s="11">
        <v>45664</v>
      </c>
      <c r="C404" s="1">
        <v>160</v>
      </c>
      <c r="D404" s="3">
        <v>399</v>
      </c>
      <c r="E404" s="205" t="str">
        <f t="shared" si="27"/>
        <v/>
      </c>
      <c r="K404" s="10" t="str">
        <f t="shared" si="24"/>
        <v/>
      </c>
      <c r="L404" s="9" t="str">
        <f t="shared" si="25"/>
        <v/>
      </c>
      <c r="M404" s="8" t="str">
        <f t="shared" si="26"/>
        <v/>
      </c>
      <c r="X404" s="6">
        <v>0.18</v>
      </c>
      <c r="AB404" s="5">
        <v>80</v>
      </c>
      <c r="AG404" s="1">
        <v>4.34</v>
      </c>
      <c r="AH404" s="101">
        <v>0.52037037037037037</v>
      </c>
      <c r="AK404" s="3">
        <f>180+60</f>
        <v>240</v>
      </c>
      <c r="AN404" s="80">
        <f>360-AK404-AB404</f>
        <v>40</v>
      </c>
      <c r="AP404" s="13" t="e">
        <f>AVERAGE(AO402:AO408)</f>
        <v>#DIV/0!</v>
      </c>
      <c r="AR404" s="17" t="e">
        <f>(E404-W404)/E404</f>
        <v>#VALUE!</v>
      </c>
      <c r="AS404" s="16" t="e">
        <f>(I404-AF404)/I404</f>
        <v>#DIV/0!</v>
      </c>
      <c r="AT404" s="16" t="e">
        <f>AG404/(AD404-AF404)</f>
        <v>#DIV/0!</v>
      </c>
      <c r="AU404" s="16" t="e">
        <f>(G404-AM404)/G404</f>
        <v>#DIV/0!</v>
      </c>
      <c r="AV404" s="57" t="str">
        <f>IF(AND(ISNUMBER(E404),ISNUMBER(W404)),E404-W404,"")</f>
        <v/>
      </c>
      <c r="AW404" s="57" t="str">
        <f>IF(AND(ISNUMBER(I404),ISNUMBER(AF404)),I404-AF404,"")</f>
        <v/>
      </c>
      <c r="AX404" s="57" t="str">
        <f>IF(AND(ISNUMBER(AM404),ISNUMBER(G404)),G404-AM404,"")</f>
        <v/>
      </c>
      <c r="AY404" s="57" t="str">
        <f>IF(AND(ISNUMBER(AC404),ISNUMBER(AE404)),AC404-AE404,"")</f>
        <v/>
      </c>
      <c r="AZ404" s="57" t="str">
        <f>IF(AND(ISNUMBER(AL404),ISNUMBER(AM404)),AL404-AM404,"")</f>
        <v/>
      </c>
      <c r="BA404" s="100" t="str">
        <f>IF(AND($E404&gt;0,$W404&gt;0),IF(($E404-$W404)/$E404&gt;0,($E404-$W404)/$E404,0),"")</f>
        <v/>
      </c>
      <c r="BB404" s="84" t="str">
        <f>IF(AND($I404&gt;0,$AF404&gt;=0),IF(($I404-$AF404)/$I404&gt;0,($I404-$AF404)/$I404,0),"")</f>
        <v/>
      </c>
      <c r="BC404" s="84" t="e">
        <f>IF(AND($AG404&gt;=0,$AD404&gt;=0,$AF404&gt;=0),IF($AG404/($AD404-$AF404)&gt;0,$AG404/($AD404-$AF404),0),"")</f>
        <v>#DIV/0!</v>
      </c>
      <c r="BD404" s="84" t="str">
        <f>IF(AND($G404&gt;0,$AM404&gt;0),IF(($G404-$AM404)/$G404&gt;0,($G404-$AM404)/$G404,0),"")</f>
        <v/>
      </c>
      <c r="BE404" s="6" t="e">
        <f>IF((AD404-AF404)/(AJ404/60)&lt;=0,"",(AD404-AF404)/(AJ404/60))</f>
        <v>#DIV/0!</v>
      </c>
      <c r="BF404" s="6" t="e">
        <f>IF(OR(AJ404=0,AP404=0,NOT(ISNUMBER(AD404)),NOT(ISNUMBER(AF404)),NOT(ISNUMBER(AJ404)),NOT(ISNUMBER(AP404))),"",
IFERROR(IF((AD404-AF404)/(AJ404/60)/(AP404/1000)&lt;=0,"",(AD404-AF404)/(AJ404/60)/(AP404/1000)),""))</f>
        <v>#DIV/0!</v>
      </c>
    </row>
    <row r="405" spans="1:58" ht="15.75">
      <c r="A405" s="12" t="s">
        <v>81</v>
      </c>
      <c r="B405" s="11">
        <v>45665</v>
      </c>
      <c r="C405" s="1">
        <v>161</v>
      </c>
      <c r="D405" s="3">
        <v>400</v>
      </c>
      <c r="E405" s="205">
        <f t="shared" si="27"/>
        <v>337.68808000000001</v>
      </c>
      <c r="G405" s="15">
        <f>(N405*18-H405*18)/9</f>
        <v>12.880000000000003</v>
      </c>
      <c r="H405" s="9">
        <f>5*0.952</f>
        <v>4.76</v>
      </c>
      <c r="I405" s="15">
        <f>AD405</f>
        <v>21</v>
      </c>
      <c r="K405" s="10">
        <f t="shared" si="24"/>
        <v>26.218018633540368</v>
      </c>
      <c r="L405" s="9">
        <f t="shared" si="25"/>
        <v>8.0401923809523819</v>
      </c>
      <c r="M405" s="8">
        <f t="shared" si="26"/>
        <v>3.2608695652173907</v>
      </c>
      <c r="N405" s="7">
        <f>5*2.24</f>
        <v>11.200000000000001</v>
      </c>
      <c r="O405" s="59">
        <v>109.896</v>
      </c>
      <c r="P405" s="59">
        <v>34.072000000000003</v>
      </c>
      <c r="Q405" s="6">
        <f>O405*1.067</f>
        <v>117.25903199999999</v>
      </c>
      <c r="R405" s="6">
        <f>P405*1.514</f>
        <v>51.585008000000002</v>
      </c>
      <c r="S405" s="23">
        <f>P405*1.514+O405*1.067</f>
        <v>168.84404000000001</v>
      </c>
      <c r="T405" s="6">
        <f>25.6</f>
        <v>25.6</v>
      </c>
      <c r="U405" s="6">
        <v>0</v>
      </c>
      <c r="V405" s="6">
        <v>0</v>
      </c>
      <c r="W405" s="23">
        <f>U405*1.067+V405*1.514</f>
        <v>0</v>
      </c>
      <c r="X405" s="6">
        <v>0.96</v>
      </c>
      <c r="AB405" s="5">
        <v>80</v>
      </c>
      <c r="AC405" s="6">
        <f>T405</f>
        <v>25.6</v>
      </c>
      <c r="AD405" s="1">
        <f>5*4.2</f>
        <v>21</v>
      </c>
      <c r="AG405" s="1">
        <v>3.97</v>
      </c>
      <c r="AH405" s="101">
        <v>0.52037037037037037</v>
      </c>
      <c r="AK405" s="3">
        <f>180+60</f>
        <v>240</v>
      </c>
      <c r="AM405" s="1">
        <f>5*2.03</f>
        <v>10.149999999999999</v>
      </c>
      <c r="AN405" s="80">
        <f>360-AK405-AB405</f>
        <v>40</v>
      </c>
      <c r="AP405" s="13" t="e">
        <f>AVERAGE(AO403:AO409)</f>
        <v>#DIV/0!</v>
      </c>
      <c r="AR405" s="17">
        <f>(E405-W405)/E405</f>
        <v>1</v>
      </c>
      <c r="AS405" s="16">
        <f>(I405-AF405)/I405</f>
        <v>1</v>
      </c>
      <c r="AT405" s="16">
        <f>AG405/(AD405-AF405)</f>
        <v>0.18904761904761905</v>
      </c>
      <c r="AU405" s="16">
        <f>(G405-AM405)/G405</f>
        <v>0.21195652173913071</v>
      </c>
      <c r="AV405" s="57">
        <f>IF(AND(ISNUMBER(E405),ISNUMBER(W405)),E405-W405,"")</f>
        <v>337.68808000000001</v>
      </c>
      <c r="AW405" s="57" t="str">
        <f>IF(AND(ISNUMBER(I405),ISNUMBER(AF405)),I405-AF405,"")</f>
        <v/>
      </c>
      <c r="AX405" s="57">
        <f>IF(AND(ISNUMBER(AM405),ISNUMBER(G405)),G405-AM405,"")</f>
        <v>2.730000000000004</v>
      </c>
      <c r="AY405" s="57" t="str">
        <f>IF(AND(ISNUMBER(AC405),ISNUMBER(AE405)),AC405-AE405,"")</f>
        <v/>
      </c>
      <c r="AZ405" s="57" t="str">
        <f>IF(AND(ISNUMBER(AL405),ISNUMBER(AM405)),AL405-AM405,"")</f>
        <v/>
      </c>
      <c r="BA405" s="100" t="str">
        <f>IF(AND($E405&gt;0,$W405&gt;0),IF(($E405-$W405)/$E405&gt;0,($E405-$W405)/$E405,0),"")</f>
        <v/>
      </c>
      <c r="BB405" s="84">
        <f>IF(AND($I405&gt;0,$AF405&gt;=0),IF(($I405-$AF405)/$I405&gt;0,($I405-$AF405)/$I405,0),"")</f>
        <v>1</v>
      </c>
      <c r="BC405" s="84">
        <f>IF(AND($AG405&gt;=0,$AD405&gt;=0,$AF405&gt;=0),IF($AG405/($AD405-$AF405)&gt;0,$AG405/($AD405-$AF405),0),"")</f>
        <v>0.18904761904761905</v>
      </c>
      <c r="BD405" s="84">
        <f>IF(AND($G405&gt;0,$AM405&gt;0),IF(($G405-$AM405)/$G405&gt;0,($G405-$AM405)/$G405,0),"")</f>
        <v>0.21195652173913071</v>
      </c>
      <c r="BE405" s="6" t="e">
        <f>IF((AD405-AF405)/(AJ405/60)&lt;=0,"",(AD405-AF405)/(AJ405/60))</f>
        <v>#DIV/0!</v>
      </c>
      <c r="BF405" s="6" t="e">
        <f>IF(OR(AJ405=0,AP405=0,NOT(ISNUMBER(AD405)),NOT(ISNUMBER(AF405)),NOT(ISNUMBER(AJ405)),NOT(ISNUMBER(AP405))),"",
IFERROR(IF((AD405-AF405)/(AJ405/60)/(AP405/1000)&lt;=0,"",(AD405-AF405)/(AJ405/60)/(AP405/1000)),""))</f>
        <v>#DIV/0!</v>
      </c>
    </row>
    <row r="406" spans="1:58" ht="15.75">
      <c r="B406" s="11">
        <v>45666</v>
      </c>
      <c r="C406" s="1">
        <v>162</v>
      </c>
      <c r="D406" s="3">
        <v>401</v>
      </c>
      <c r="E406" s="205" t="str">
        <f t="shared" si="27"/>
        <v/>
      </c>
      <c r="K406" s="10" t="str">
        <f t="shared" si="24"/>
        <v/>
      </c>
      <c r="L406" s="9" t="str">
        <f t="shared" si="25"/>
        <v/>
      </c>
      <c r="M406" s="8" t="str">
        <f t="shared" si="26"/>
        <v/>
      </c>
      <c r="X406" s="6">
        <v>0.2</v>
      </c>
      <c r="AB406" s="5">
        <v>80</v>
      </c>
      <c r="AD406" s="95">
        <v>21</v>
      </c>
      <c r="AG406" s="1">
        <v>5.49</v>
      </c>
      <c r="AH406" s="101">
        <v>0.52037037037037037</v>
      </c>
      <c r="AK406" s="3">
        <f>180+60</f>
        <v>240</v>
      </c>
      <c r="AN406" s="80">
        <f>360-AK406-AB406</f>
        <v>40</v>
      </c>
      <c r="AP406" s="13" t="e">
        <f>AVERAGE(AO404:AO410)</f>
        <v>#DIV/0!</v>
      </c>
      <c r="AR406" s="17" t="e">
        <f>(E406-W406)/E406</f>
        <v>#VALUE!</v>
      </c>
      <c r="AS406" s="16" t="e">
        <f>(I406-AF406)/I406</f>
        <v>#DIV/0!</v>
      </c>
      <c r="AT406" s="16">
        <f>AG406/(AD406-AF406)</f>
        <v>0.26142857142857145</v>
      </c>
      <c r="AU406" s="16" t="e">
        <f>(G406-AM406)/G406</f>
        <v>#DIV/0!</v>
      </c>
      <c r="AV406" s="57" t="str">
        <f>IF(AND(ISNUMBER(E406),ISNUMBER(W406)),E406-W406,"")</f>
        <v/>
      </c>
      <c r="AW406" s="57" t="str">
        <f>IF(AND(ISNUMBER(I406),ISNUMBER(AF406)),I406-AF406,"")</f>
        <v/>
      </c>
      <c r="AX406" s="57" t="str">
        <f>IF(AND(ISNUMBER(AM406),ISNUMBER(G406)),G406-AM406,"")</f>
        <v/>
      </c>
      <c r="AY406" s="57" t="str">
        <f>IF(AND(ISNUMBER(AC406),ISNUMBER(AE406)),AC406-AE406,"")</f>
        <v/>
      </c>
      <c r="AZ406" s="57" t="str">
        <f>IF(AND(ISNUMBER(AL406),ISNUMBER(AM406)),AL406-AM406,"")</f>
        <v/>
      </c>
      <c r="BA406" s="100" t="str">
        <f>IF(AND($E406&gt;0,$W406&gt;0),IF(($E406-$W406)/$E406&gt;0,($E406-$W406)/$E406,0),"")</f>
        <v/>
      </c>
      <c r="BB406" s="84" t="str">
        <f>IF(AND($I406&gt;0,$AF406&gt;=0),IF(($I406-$AF406)/$I406&gt;0,($I406-$AF406)/$I406,0),"")</f>
        <v/>
      </c>
      <c r="BC406" s="84">
        <f>IF(AND($AG406&gt;=0,$AD406&gt;=0,$AF406&gt;=0),IF($AG406/($AD406-$AF406)&gt;0,$AG406/($AD406-$AF406),0),"")</f>
        <v>0.26142857142857145</v>
      </c>
      <c r="BD406" s="84" t="str">
        <f>IF(AND($G406&gt;0,$AM406&gt;0),IF(($G406-$AM406)/$G406&gt;0,($G406-$AM406)/$G406,0),"")</f>
        <v/>
      </c>
      <c r="BE406" s="6" t="e">
        <f>IF((AD406-AF406)/(AJ406/60)&lt;=0,"",(AD406-AF406)/(AJ406/60))</f>
        <v>#DIV/0!</v>
      </c>
      <c r="BF406" s="6" t="e">
        <f>IF(OR(AJ406=0,AP406=0,NOT(ISNUMBER(AD406)),NOT(ISNUMBER(AF406)),NOT(ISNUMBER(AJ406)),NOT(ISNUMBER(AP406))),"",
IFERROR(IF((AD406-AF406)/(AJ406/60)/(AP406/1000)&lt;=0,"",(AD406-AF406)/(AJ406/60)/(AP406/1000)),""))</f>
        <v>#DIV/0!</v>
      </c>
    </row>
    <row r="407" spans="1:58" ht="15.75">
      <c r="B407" s="11">
        <v>45667</v>
      </c>
      <c r="C407" s="1">
        <v>163</v>
      </c>
      <c r="D407" s="3">
        <v>402</v>
      </c>
      <c r="E407" s="205" t="str">
        <f t="shared" si="27"/>
        <v/>
      </c>
      <c r="K407" s="10" t="str">
        <f t="shared" si="24"/>
        <v/>
      </c>
      <c r="L407" s="9" t="str">
        <f t="shared" si="25"/>
        <v/>
      </c>
      <c r="M407" s="8" t="str">
        <f t="shared" si="26"/>
        <v/>
      </c>
      <c r="X407" s="6">
        <v>0.72</v>
      </c>
      <c r="AB407" s="5">
        <v>80</v>
      </c>
      <c r="AD407" s="95">
        <v>21</v>
      </c>
      <c r="AG407" s="1">
        <v>6.66</v>
      </c>
      <c r="AH407" s="101">
        <v>0.52071759259259254</v>
      </c>
      <c r="AK407" s="3">
        <f>180+60</f>
        <v>240</v>
      </c>
      <c r="AN407" s="80">
        <f>360-AK407-AB407</f>
        <v>40</v>
      </c>
      <c r="AP407" s="13" t="e">
        <f>AVERAGE(AO405:AO411)</f>
        <v>#DIV/0!</v>
      </c>
      <c r="AR407" s="17" t="e">
        <f>(E407-W407)/E407</f>
        <v>#VALUE!</v>
      </c>
      <c r="AS407" s="16" t="e">
        <f>(I407-AF407)/I407</f>
        <v>#DIV/0!</v>
      </c>
      <c r="AT407" s="16">
        <f>AG407/(AD407-AF407)</f>
        <v>0.31714285714285717</v>
      </c>
      <c r="AU407" s="16" t="e">
        <f>(G407-AM407)/G407</f>
        <v>#DIV/0!</v>
      </c>
      <c r="AV407" s="57" t="str">
        <f>IF(AND(ISNUMBER(E407),ISNUMBER(W407)),E407-W407,"")</f>
        <v/>
      </c>
      <c r="AW407" s="57" t="str">
        <f>IF(AND(ISNUMBER(I407),ISNUMBER(AF407)),I407-AF407,"")</f>
        <v/>
      </c>
      <c r="AX407" s="57" t="str">
        <f>IF(AND(ISNUMBER(AM407),ISNUMBER(G407)),G407-AM407,"")</f>
        <v/>
      </c>
      <c r="AY407" s="57" t="str">
        <f>IF(AND(ISNUMBER(AC407),ISNUMBER(AE407)),AC407-AE407,"")</f>
        <v/>
      </c>
      <c r="AZ407" s="57" t="str">
        <f>IF(AND(ISNUMBER(AL407),ISNUMBER(AM407)),AL407-AM407,"")</f>
        <v/>
      </c>
      <c r="BA407" s="100" t="str">
        <f>IF(AND($E407&gt;0,$W407&gt;0),IF(($E407-$W407)/$E407&gt;0,($E407-$W407)/$E407,0),"")</f>
        <v/>
      </c>
      <c r="BB407" s="84" t="str">
        <f>IF(AND($I407&gt;0,$AF407&gt;=0),IF(($I407-$AF407)/$I407&gt;0,($I407-$AF407)/$I407,0),"")</f>
        <v/>
      </c>
      <c r="BC407" s="84">
        <f>IF(AND($AG407&gt;=0,$AD407&gt;=0,$AF407&gt;=0),IF($AG407/($AD407-$AF407)&gt;0,$AG407/($AD407-$AF407),0),"")</f>
        <v>0.31714285714285717</v>
      </c>
      <c r="BD407" s="84" t="str">
        <f>IF(AND($G407&gt;0,$AM407&gt;0),IF(($G407-$AM407)/$G407&gt;0,($G407-$AM407)/$G407,0),"")</f>
        <v/>
      </c>
      <c r="BE407" s="6" t="e">
        <f>IF((AD407-AF407)/(AJ407/60)&lt;=0,"",(AD407-AF407)/(AJ407/60))</f>
        <v>#DIV/0!</v>
      </c>
      <c r="BF407" s="6" t="e">
        <f>IF(OR(AJ407=0,AP407=0,NOT(ISNUMBER(AD407)),NOT(ISNUMBER(AF407)),NOT(ISNUMBER(AJ407)),NOT(ISNUMBER(AP407))),"",
IFERROR(IF((AD407-AF407)/(AJ407/60)/(AP407/1000)&lt;=0,"",(AD407-AF407)/(AJ407/60)/(AP407/1000)),""))</f>
        <v>#DIV/0!</v>
      </c>
    </row>
    <row r="408" spans="1:58" ht="15.75">
      <c r="B408" s="11">
        <v>45668</v>
      </c>
      <c r="C408" s="1">
        <v>164</v>
      </c>
      <c r="D408" s="3">
        <v>403</v>
      </c>
      <c r="E408" s="205" t="str">
        <f t="shared" si="27"/>
        <v/>
      </c>
      <c r="K408" s="10" t="str">
        <f t="shared" si="24"/>
        <v/>
      </c>
      <c r="L408" s="9" t="str">
        <f t="shared" si="25"/>
        <v/>
      </c>
      <c r="M408" s="8" t="str">
        <f t="shared" si="26"/>
        <v/>
      </c>
      <c r="X408" s="6">
        <v>0.2</v>
      </c>
      <c r="AB408" s="5">
        <v>80</v>
      </c>
      <c r="AD408" s="95">
        <v>21</v>
      </c>
      <c r="AG408" s="1">
        <v>6.9</v>
      </c>
      <c r="AH408" s="101">
        <v>0.50868055555555558</v>
      </c>
      <c r="AK408" s="3">
        <f>180+60</f>
        <v>240</v>
      </c>
      <c r="AN408" s="80">
        <f>360-AK408-AB408</f>
        <v>40</v>
      </c>
      <c r="AP408" s="13" t="e">
        <f>AVERAGE(AO406:AO412)</f>
        <v>#DIV/0!</v>
      </c>
      <c r="AR408" s="17" t="e">
        <f>(E408-W408)/E408</f>
        <v>#VALUE!</v>
      </c>
      <c r="AS408" s="16" t="e">
        <f>(I408-AF408)/I408</f>
        <v>#DIV/0!</v>
      </c>
      <c r="AT408" s="16">
        <f>AG408/(AD408-AF408)</f>
        <v>0.32857142857142857</v>
      </c>
      <c r="AU408" s="16" t="e">
        <f>(G408-AM408)/G408</f>
        <v>#DIV/0!</v>
      </c>
      <c r="AV408" s="57" t="str">
        <f>IF(AND(ISNUMBER(E408),ISNUMBER(W408)),E408-W408,"")</f>
        <v/>
      </c>
      <c r="AW408" s="57" t="str">
        <f>IF(AND(ISNUMBER(I408),ISNUMBER(AF408)),I408-AF408,"")</f>
        <v/>
      </c>
      <c r="AX408" s="57" t="str">
        <f>IF(AND(ISNUMBER(AM408),ISNUMBER(G408)),G408-AM408,"")</f>
        <v/>
      </c>
      <c r="AY408" s="57" t="str">
        <f>IF(AND(ISNUMBER(AC408),ISNUMBER(AE408)),AC408-AE408,"")</f>
        <v/>
      </c>
      <c r="AZ408" s="57" t="str">
        <f>IF(AND(ISNUMBER(AL408),ISNUMBER(AM408)),AL408-AM408,"")</f>
        <v/>
      </c>
      <c r="BA408" s="100" t="str">
        <f>IF(AND($E408&gt;0,$W408&gt;0),IF(($E408-$W408)/$E408&gt;0,($E408-$W408)/$E408,0),"")</f>
        <v/>
      </c>
      <c r="BB408" s="84" t="str">
        <f>IF(AND($I408&gt;0,$AF408&gt;=0),IF(($I408-$AF408)/$I408&gt;0,($I408-$AF408)/$I408,0),"")</f>
        <v/>
      </c>
      <c r="BC408" s="84">
        <f>IF(AND($AG408&gt;=0,$AD408&gt;=0,$AF408&gt;=0),IF($AG408/($AD408-$AF408)&gt;0,$AG408/($AD408-$AF408),0),"")</f>
        <v>0.32857142857142857</v>
      </c>
      <c r="BD408" s="84" t="str">
        <f>IF(AND($G408&gt;0,$AM408&gt;0),IF(($G408-$AM408)/$G408&gt;0,($G408-$AM408)/$G408,0),"")</f>
        <v/>
      </c>
      <c r="BE408" s="6" t="e">
        <f>IF((AD408-AF408)/(AJ408/60)&lt;=0,"",(AD408-AF408)/(AJ408/60))</f>
        <v>#DIV/0!</v>
      </c>
      <c r="BF408" s="6" t="e">
        <f>IF(OR(AJ408=0,AP408=0,NOT(ISNUMBER(AD408)),NOT(ISNUMBER(AF408)),NOT(ISNUMBER(AJ408)),NOT(ISNUMBER(AP408))),"",
IFERROR(IF((AD408-AF408)/(AJ408/60)/(AP408/1000)&lt;=0,"",(AD408-AF408)/(AJ408/60)/(AP408/1000)),""))</f>
        <v>#DIV/0!</v>
      </c>
    </row>
    <row r="409" spans="1:58" ht="15.75">
      <c r="B409" s="11">
        <v>45669</v>
      </c>
      <c r="C409" s="1">
        <v>165</v>
      </c>
      <c r="D409" s="3">
        <v>404</v>
      </c>
      <c r="E409" s="205" t="str">
        <f t="shared" si="27"/>
        <v/>
      </c>
      <c r="K409" s="10" t="str">
        <f t="shared" si="24"/>
        <v/>
      </c>
      <c r="L409" s="9" t="str">
        <f t="shared" si="25"/>
        <v/>
      </c>
      <c r="M409" s="8" t="str">
        <f t="shared" si="26"/>
        <v/>
      </c>
      <c r="X409" s="6">
        <v>0.2</v>
      </c>
      <c r="AB409" s="5">
        <v>80</v>
      </c>
      <c r="AD409" s="95">
        <v>21</v>
      </c>
      <c r="AG409" s="1">
        <v>7.37</v>
      </c>
      <c r="AH409" s="101">
        <v>0.49039351851851853</v>
      </c>
      <c r="AK409" s="3">
        <f>180+60</f>
        <v>240</v>
      </c>
      <c r="AN409" s="80">
        <f>360-AK409-AB409</f>
        <v>40</v>
      </c>
      <c r="AP409" s="13" t="e">
        <f>AVERAGE(AO407:AO413)</f>
        <v>#DIV/0!</v>
      </c>
      <c r="AR409" s="17" t="e">
        <f>(E409-W409)/E409</f>
        <v>#VALUE!</v>
      </c>
      <c r="AS409" s="16" t="e">
        <f>(I409-AF409)/I409</f>
        <v>#DIV/0!</v>
      </c>
      <c r="AT409" s="16">
        <f>AG409/(AD409-AF409)</f>
        <v>0.35095238095238096</v>
      </c>
      <c r="AU409" s="16" t="e">
        <f>(G409-AM409)/G409</f>
        <v>#DIV/0!</v>
      </c>
      <c r="AV409" s="57" t="str">
        <f>IF(AND(ISNUMBER(E409),ISNUMBER(W409)),E409-W409,"")</f>
        <v/>
      </c>
      <c r="AW409" s="57" t="str">
        <f>IF(AND(ISNUMBER(I409),ISNUMBER(AF409)),I409-AF409,"")</f>
        <v/>
      </c>
      <c r="AX409" s="57" t="str">
        <f>IF(AND(ISNUMBER(AM409),ISNUMBER(G409)),G409-AM409,"")</f>
        <v/>
      </c>
      <c r="AY409" s="57" t="str">
        <f>IF(AND(ISNUMBER(AC409),ISNUMBER(AE409)),AC409-AE409,"")</f>
        <v/>
      </c>
      <c r="AZ409" s="57" t="str">
        <f>IF(AND(ISNUMBER(AL409),ISNUMBER(AM409)),AL409-AM409,"")</f>
        <v/>
      </c>
      <c r="BA409" s="100" t="str">
        <f>IF(AND($E409&gt;0,$W409&gt;0),IF(($E409-$W409)/$E409&gt;0,($E409-$W409)/$E409,0),"")</f>
        <v/>
      </c>
      <c r="BB409" s="84" t="str">
        <f>IF(AND($I409&gt;0,$AF409&gt;=0),IF(($I409-$AF409)/$I409&gt;0,($I409-$AF409)/$I409,0),"")</f>
        <v/>
      </c>
      <c r="BC409" s="84">
        <f>IF(AND($AG409&gt;=0,$AD409&gt;=0,$AF409&gt;=0),IF($AG409/($AD409-$AF409)&gt;0,$AG409/($AD409-$AF409),0),"")</f>
        <v>0.35095238095238096</v>
      </c>
      <c r="BD409" s="84" t="str">
        <f>IF(AND($G409&gt;0,$AM409&gt;0),IF(($G409-$AM409)/$G409&gt;0,($G409-$AM409)/$G409,0),"")</f>
        <v/>
      </c>
      <c r="BE409" s="6" t="e">
        <f>IF((AD409-AF409)/(AJ409/60)&lt;=0,"",(AD409-AF409)/(AJ409/60))</f>
        <v>#DIV/0!</v>
      </c>
      <c r="BF409" s="6" t="e">
        <f>IF(OR(AJ409=0,AP409=0,NOT(ISNUMBER(AD409)),NOT(ISNUMBER(AF409)),NOT(ISNUMBER(AJ409)),NOT(ISNUMBER(AP409))),"",
IFERROR(IF((AD409-AF409)/(AJ409/60)/(AP409/1000)&lt;=0,"",(AD409-AF409)/(AJ409/60)/(AP409/1000)),""))</f>
        <v>#DIV/0!</v>
      </c>
    </row>
    <row r="410" spans="1:58" ht="15.75">
      <c r="B410" s="11">
        <v>45670</v>
      </c>
      <c r="C410" s="1">
        <v>166</v>
      </c>
      <c r="D410" s="3">
        <v>405</v>
      </c>
      <c r="E410" s="205" t="str">
        <f t="shared" si="27"/>
        <v/>
      </c>
      <c r="K410" s="10" t="str">
        <f t="shared" si="24"/>
        <v/>
      </c>
      <c r="L410" s="9" t="str">
        <f t="shared" si="25"/>
        <v/>
      </c>
      <c r="M410" s="8" t="str">
        <f t="shared" si="26"/>
        <v/>
      </c>
      <c r="X410" s="6">
        <v>0.67</v>
      </c>
      <c r="AB410" s="5">
        <v>80</v>
      </c>
      <c r="AD410" s="95">
        <v>21</v>
      </c>
      <c r="AG410" s="1">
        <v>8.49</v>
      </c>
      <c r="AH410" s="101">
        <v>0.50324074074074077</v>
      </c>
      <c r="AK410" s="3">
        <f>180+60</f>
        <v>240</v>
      </c>
      <c r="AN410" s="80">
        <f>360-AK410-AB410</f>
        <v>40</v>
      </c>
      <c r="AP410" s="13" t="e">
        <f>AVERAGE(AO408:AO414)</f>
        <v>#DIV/0!</v>
      </c>
      <c r="AR410" s="17" t="e">
        <f>(E410-W410)/E410</f>
        <v>#VALUE!</v>
      </c>
      <c r="AS410" s="16" t="e">
        <f>(I410-AF410)/I410</f>
        <v>#DIV/0!</v>
      </c>
      <c r="AT410" s="16">
        <f>AG410/(AD410-AF410)</f>
        <v>0.4042857142857143</v>
      </c>
      <c r="AU410" s="16" t="e">
        <f>(G410-AM410)/G410</f>
        <v>#DIV/0!</v>
      </c>
      <c r="AV410" s="57" t="str">
        <f>IF(AND(ISNUMBER(E410),ISNUMBER(W410)),E410-W410,"")</f>
        <v/>
      </c>
      <c r="AW410" s="57" t="str">
        <f>IF(AND(ISNUMBER(I410),ISNUMBER(AF410)),I410-AF410,"")</f>
        <v/>
      </c>
      <c r="AX410" s="57" t="str">
        <f>IF(AND(ISNUMBER(AM410),ISNUMBER(G410)),G410-AM410,"")</f>
        <v/>
      </c>
      <c r="AY410" s="57" t="str">
        <f>IF(AND(ISNUMBER(AC410),ISNUMBER(AE410)),AC410-AE410,"")</f>
        <v/>
      </c>
      <c r="AZ410" s="57" t="str">
        <f>IF(AND(ISNUMBER(AL410),ISNUMBER(AM410)),AL410-AM410,"")</f>
        <v/>
      </c>
      <c r="BA410" s="100" t="str">
        <f>IF(AND($E410&gt;0,$W410&gt;0),IF(($E410-$W410)/$E410&gt;0,($E410-$W410)/$E410,0),"")</f>
        <v/>
      </c>
      <c r="BB410" s="84" t="str">
        <f>IF(AND($I410&gt;0,$AF410&gt;=0),IF(($I410-$AF410)/$I410&gt;0,($I410-$AF410)/$I410,0),"")</f>
        <v/>
      </c>
      <c r="BC410" s="84">
        <f>IF(AND($AG410&gt;=0,$AD410&gt;=0,$AF410&gt;=0),IF($AG410/($AD410-$AF410)&gt;0,$AG410/($AD410-$AF410),0),"")</f>
        <v>0.4042857142857143</v>
      </c>
      <c r="BD410" s="84" t="str">
        <f>IF(AND($G410&gt;0,$AM410&gt;0),IF(($G410-$AM410)/$G410&gt;0,($G410-$AM410)/$G410,0),"")</f>
        <v/>
      </c>
      <c r="BE410" s="6" t="e">
        <f>IF((AD410-AF410)/(AJ410/60)&lt;=0,"",(AD410-AF410)/(AJ410/60))</f>
        <v>#DIV/0!</v>
      </c>
      <c r="BF410" s="6" t="e">
        <f>IF(OR(AJ410=0,AP410=0,NOT(ISNUMBER(AD410)),NOT(ISNUMBER(AF410)),NOT(ISNUMBER(AJ410)),NOT(ISNUMBER(AP410))),"",
IFERROR(IF((AD410-AF410)/(AJ410/60)/(AP410/1000)&lt;=0,"",(AD410-AF410)/(AJ410/60)/(AP410/1000)),""))</f>
        <v>#DIV/0!</v>
      </c>
    </row>
    <row r="411" spans="1:58" ht="15.75">
      <c r="B411" s="11">
        <v>45671</v>
      </c>
      <c r="C411" s="1">
        <v>167</v>
      </c>
      <c r="D411" s="3">
        <v>406</v>
      </c>
      <c r="E411" s="205" t="str">
        <f t="shared" si="27"/>
        <v/>
      </c>
      <c r="K411" s="10" t="str">
        <f t="shared" si="24"/>
        <v/>
      </c>
      <c r="L411" s="9" t="str">
        <f t="shared" si="25"/>
        <v/>
      </c>
      <c r="M411" s="8" t="str">
        <f t="shared" si="26"/>
        <v/>
      </c>
      <c r="X411" s="6">
        <v>0.19</v>
      </c>
      <c r="AB411" s="5">
        <v>80</v>
      </c>
      <c r="AD411" s="95">
        <v>21</v>
      </c>
      <c r="AG411" s="1">
        <v>8.6300000000000008</v>
      </c>
      <c r="AH411" s="101">
        <v>0.5024305555555556</v>
      </c>
      <c r="AK411" s="3">
        <f>180+60</f>
        <v>240</v>
      </c>
      <c r="AN411" s="80">
        <f>360-AK411-AB411</f>
        <v>40</v>
      </c>
      <c r="AP411" s="13" t="e">
        <f>AVERAGE(AO409:AO415)</f>
        <v>#DIV/0!</v>
      </c>
      <c r="AR411" s="17" t="e">
        <f>(E411-W411)/E411</f>
        <v>#VALUE!</v>
      </c>
      <c r="AS411" s="16" t="e">
        <f>(I411-AF411)/I411</f>
        <v>#DIV/0!</v>
      </c>
      <c r="AT411" s="16">
        <f>AG411/(AD411-AF411)</f>
        <v>0.41095238095238101</v>
      </c>
      <c r="AU411" s="16" t="e">
        <f>(G411-AM411)/G411</f>
        <v>#DIV/0!</v>
      </c>
      <c r="AV411" s="57" t="str">
        <f>IF(AND(ISNUMBER(E411),ISNUMBER(W411)),E411-W411,"")</f>
        <v/>
      </c>
      <c r="AW411" s="57" t="str">
        <f>IF(AND(ISNUMBER(I411),ISNUMBER(AF411)),I411-AF411,"")</f>
        <v/>
      </c>
      <c r="AX411" s="57" t="str">
        <f>IF(AND(ISNUMBER(AM411),ISNUMBER(G411)),G411-AM411,"")</f>
        <v/>
      </c>
      <c r="AY411" s="57" t="str">
        <f>IF(AND(ISNUMBER(AC411),ISNUMBER(AE411)),AC411-AE411,"")</f>
        <v/>
      </c>
      <c r="AZ411" s="57" t="str">
        <f>IF(AND(ISNUMBER(AL411),ISNUMBER(AM411)),AL411-AM411,"")</f>
        <v/>
      </c>
      <c r="BA411" s="100" t="str">
        <f>IF(AND($E411&gt;0,$W411&gt;0),IF(($E411-$W411)/$E411&gt;0,($E411-$W411)/$E411,0),"")</f>
        <v/>
      </c>
      <c r="BB411" s="84" t="str">
        <f>IF(AND($I411&gt;0,$AF411&gt;=0),IF(($I411-$AF411)/$I411&gt;0,($I411-$AF411)/$I411,0),"")</f>
        <v/>
      </c>
      <c r="BC411" s="84">
        <f>IF(AND($AG411&gt;=0,$AD411&gt;=0,$AF411&gt;=0),IF($AG411/($AD411-$AF411)&gt;0,$AG411/($AD411-$AF411),0),"")</f>
        <v>0.41095238095238101</v>
      </c>
      <c r="BD411" s="84" t="str">
        <f>IF(AND($G411&gt;0,$AM411&gt;0),IF(($G411-$AM411)/$G411&gt;0,($G411-$AM411)/$G411,0),"")</f>
        <v/>
      </c>
      <c r="BE411" s="6" t="e">
        <f>IF((AD411-AF411)/(AJ411/60)&lt;=0,"",(AD411-AF411)/(AJ411/60))</f>
        <v>#DIV/0!</v>
      </c>
      <c r="BF411" s="6" t="e">
        <f>IF(OR(AJ411=0,AP411=0,NOT(ISNUMBER(AD411)),NOT(ISNUMBER(AF411)),NOT(ISNUMBER(AJ411)),NOT(ISNUMBER(AP411))),"",
IFERROR(IF((AD411-AF411)/(AJ411/60)/(AP411/1000)&lt;=0,"",(AD411-AF411)/(AJ411/60)/(AP411/1000)),""))</f>
        <v>#DIV/0!</v>
      </c>
    </row>
    <row r="412" spans="1:58" ht="15.75">
      <c r="B412" s="11">
        <v>45672</v>
      </c>
      <c r="C412" s="1">
        <v>168</v>
      </c>
      <c r="D412" s="3">
        <v>407</v>
      </c>
      <c r="E412" s="205" t="str">
        <f t="shared" si="27"/>
        <v/>
      </c>
      <c r="K412" s="10" t="str">
        <f t="shared" si="24"/>
        <v/>
      </c>
      <c r="L412" s="9" t="str">
        <f t="shared" si="25"/>
        <v/>
      </c>
      <c r="M412" s="8" t="str">
        <f t="shared" si="26"/>
        <v/>
      </c>
      <c r="X412" s="6">
        <v>0.68</v>
      </c>
      <c r="AB412" s="5">
        <v>80</v>
      </c>
      <c r="AD412" s="95">
        <v>21</v>
      </c>
      <c r="AG412" s="1">
        <v>7.93</v>
      </c>
      <c r="AH412" s="101">
        <v>0.48564814814814816</v>
      </c>
      <c r="AK412" s="3">
        <f>180+60</f>
        <v>240</v>
      </c>
      <c r="AN412" s="80">
        <f>360-AK412-AB412</f>
        <v>40</v>
      </c>
      <c r="AP412" s="13" t="e">
        <f>AVERAGE(AO410:AO416)</f>
        <v>#DIV/0!</v>
      </c>
      <c r="AR412" s="17" t="e">
        <f>(E412-W412)/E412</f>
        <v>#VALUE!</v>
      </c>
      <c r="AS412" s="16" t="e">
        <f>(I412-AF412)/I412</f>
        <v>#DIV/0!</v>
      </c>
      <c r="AT412" s="16">
        <f>AG412/(AD412-AF412)</f>
        <v>0.37761904761904763</v>
      </c>
      <c r="AU412" s="16" t="e">
        <f>(G412-AM412)/G412</f>
        <v>#DIV/0!</v>
      </c>
      <c r="AV412" s="57" t="str">
        <f>IF(AND(ISNUMBER(E412),ISNUMBER(W412)),E412-W412,"")</f>
        <v/>
      </c>
      <c r="AW412" s="57" t="str">
        <f>IF(AND(ISNUMBER(I412),ISNUMBER(AF412)),I412-AF412,"")</f>
        <v/>
      </c>
      <c r="AX412" s="57" t="str">
        <f>IF(AND(ISNUMBER(AM412),ISNUMBER(G412)),G412-AM412,"")</f>
        <v/>
      </c>
      <c r="AY412" s="57" t="str">
        <f>IF(AND(ISNUMBER(AC412),ISNUMBER(AE412)),AC412-AE412,"")</f>
        <v/>
      </c>
      <c r="AZ412" s="57" t="str">
        <f>IF(AND(ISNUMBER(AL412),ISNUMBER(AM412)),AL412-AM412,"")</f>
        <v/>
      </c>
      <c r="BA412" s="100" t="str">
        <f>IF(AND($E412&gt;0,$W412&gt;0),IF(($E412-$W412)/$E412&gt;0,($E412-$W412)/$E412,0),"")</f>
        <v/>
      </c>
      <c r="BB412" s="84" t="str">
        <f>IF(AND($I412&gt;0,$AF412&gt;=0),IF(($I412-$AF412)/$I412&gt;0,($I412-$AF412)/$I412,0),"")</f>
        <v/>
      </c>
      <c r="BC412" s="84">
        <f>IF(AND($AG412&gt;=0,$AD412&gt;=0,$AF412&gt;=0),IF($AG412/($AD412-$AF412)&gt;0,$AG412/($AD412-$AF412),0),"")</f>
        <v>0.37761904761904763</v>
      </c>
      <c r="BD412" s="84" t="str">
        <f>IF(AND($G412&gt;0,$AM412&gt;0),IF(($G412-$AM412)/$G412&gt;0,($G412-$AM412)/$G412,0),"")</f>
        <v/>
      </c>
      <c r="BE412" s="6" t="e">
        <f>IF((AD412-AF412)/(AJ412/60)&lt;=0,"",(AD412-AF412)/(AJ412/60))</f>
        <v>#DIV/0!</v>
      </c>
      <c r="BF412" s="6" t="e">
        <f>IF(OR(AJ412=0,AP412=0,NOT(ISNUMBER(AD412)),NOT(ISNUMBER(AF412)),NOT(ISNUMBER(AJ412)),NOT(ISNUMBER(AP412))),"",
IFERROR(IF((AD412-AF412)/(AJ412/60)/(AP412/1000)&lt;=0,"",(AD412-AF412)/(AJ412/60)/(AP412/1000)),""))</f>
        <v>#DIV/0!</v>
      </c>
    </row>
    <row r="413" spans="1:58" ht="15.75">
      <c r="B413" s="11">
        <v>45673</v>
      </c>
      <c r="C413" s="1">
        <v>169</v>
      </c>
      <c r="D413" s="3">
        <v>408</v>
      </c>
      <c r="E413" s="205" t="str">
        <f t="shared" si="27"/>
        <v/>
      </c>
      <c r="K413" s="10" t="str">
        <f t="shared" si="24"/>
        <v/>
      </c>
      <c r="L413" s="9" t="str">
        <f t="shared" si="25"/>
        <v/>
      </c>
      <c r="M413" s="8" t="str">
        <f t="shared" si="26"/>
        <v/>
      </c>
      <c r="X413" s="6">
        <v>0.19</v>
      </c>
      <c r="AB413" s="5">
        <v>80</v>
      </c>
      <c r="AD413" s="95">
        <v>21</v>
      </c>
      <c r="AG413" s="1">
        <v>6.36</v>
      </c>
      <c r="AH413" s="101">
        <v>0.51053240740740746</v>
      </c>
      <c r="AK413" s="3">
        <f>180+60</f>
        <v>240</v>
      </c>
      <c r="AN413" s="80">
        <f>360-AK413-AB413</f>
        <v>40</v>
      </c>
      <c r="AP413" s="13" t="e">
        <f>AVERAGE(AO411:AO417)</f>
        <v>#DIV/0!</v>
      </c>
      <c r="AR413" s="17" t="e">
        <f>(E413-W413)/E413</f>
        <v>#VALUE!</v>
      </c>
      <c r="AS413" s="16" t="e">
        <f>(I413-AF413)/I413</f>
        <v>#DIV/0!</v>
      </c>
      <c r="AT413" s="16">
        <f>AG413/(AD413-AF413)</f>
        <v>0.30285714285714288</v>
      </c>
      <c r="AU413" s="16" t="e">
        <f>(G413-AM413)/G413</f>
        <v>#DIV/0!</v>
      </c>
      <c r="AV413" s="57" t="str">
        <f>IF(AND(ISNUMBER(E413),ISNUMBER(W413)),E413-W413,"")</f>
        <v/>
      </c>
      <c r="AW413" s="57" t="str">
        <f>IF(AND(ISNUMBER(I413),ISNUMBER(AF413)),I413-AF413,"")</f>
        <v/>
      </c>
      <c r="AX413" s="57" t="str">
        <f>IF(AND(ISNUMBER(AM413),ISNUMBER(G413)),G413-AM413,"")</f>
        <v/>
      </c>
      <c r="AY413" s="57" t="str">
        <f>IF(AND(ISNUMBER(AC413),ISNUMBER(AE413)),AC413-AE413,"")</f>
        <v/>
      </c>
      <c r="AZ413" s="57" t="str">
        <f>IF(AND(ISNUMBER(AL413),ISNUMBER(AM413)),AL413-AM413,"")</f>
        <v/>
      </c>
      <c r="BA413" s="100" t="str">
        <f>IF(AND($E413&gt;0,$W413&gt;0),IF(($E413-$W413)/$E413&gt;0,($E413-$W413)/$E413,0),"")</f>
        <v/>
      </c>
      <c r="BB413" s="84" t="str">
        <f>IF(AND($I413&gt;0,$AF413&gt;=0),IF(($I413-$AF413)/$I413&gt;0,($I413-$AF413)/$I413,0),"")</f>
        <v/>
      </c>
      <c r="BC413" s="84">
        <f>IF(AND($AG413&gt;=0,$AD413&gt;=0,$AF413&gt;=0),IF($AG413/($AD413-$AF413)&gt;0,$AG413/($AD413-$AF413),0),"")</f>
        <v>0.30285714285714288</v>
      </c>
      <c r="BD413" s="84" t="str">
        <f>IF(AND($G413&gt;0,$AM413&gt;0),IF(($G413-$AM413)/$G413&gt;0,($G413-$AM413)/$G413,0),"")</f>
        <v/>
      </c>
      <c r="BE413" s="6" t="e">
        <f>IF((AD413-AF413)/(AJ413/60)&lt;=0,"",(AD413-AF413)/(AJ413/60))</f>
        <v>#DIV/0!</v>
      </c>
      <c r="BF413" s="6" t="e">
        <f>IF(OR(AJ413=0,AP413=0,NOT(ISNUMBER(AD413)),NOT(ISNUMBER(AF413)),NOT(ISNUMBER(AJ413)),NOT(ISNUMBER(AP413))),"",
IFERROR(IF((AD413-AF413)/(AJ413/60)/(AP413/1000)&lt;=0,"",(AD413-AF413)/(AJ413/60)/(AP413/1000)),""))</f>
        <v>#DIV/0!</v>
      </c>
    </row>
    <row r="414" spans="1:58" ht="15.75">
      <c r="B414" s="11">
        <v>45674</v>
      </c>
      <c r="C414" s="1">
        <v>170</v>
      </c>
      <c r="D414" s="3">
        <v>409</v>
      </c>
      <c r="E414" s="205" t="str">
        <f t="shared" si="27"/>
        <v/>
      </c>
      <c r="K414" s="10" t="str">
        <f t="shared" si="24"/>
        <v/>
      </c>
      <c r="L414" s="9" t="str">
        <f t="shared" si="25"/>
        <v/>
      </c>
      <c r="M414" s="8" t="str">
        <f t="shared" si="26"/>
        <v/>
      </c>
      <c r="X414" s="6">
        <v>1.02</v>
      </c>
      <c r="AB414" s="5">
        <v>80</v>
      </c>
      <c r="AD414" s="95">
        <v>21</v>
      </c>
      <c r="AG414" s="1">
        <v>5.25</v>
      </c>
      <c r="AH414" s="101">
        <v>0.51493055555555556</v>
      </c>
      <c r="AK414" s="3">
        <f>180+60</f>
        <v>240</v>
      </c>
      <c r="AN414" s="80">
        <f>360-AK414-AB414</f>
        <v>40</v>
      </c>
      <c r="AP414" s="13" t="e">
        <f>AVERAGE(AO412:AO418)</f>
        <v>#DIV/0!</v>
      </c>
      <c r="AR414" s="17" t="e">
        <f>(E414-W414)/E414</f>
        <v>#VALUE!</v>
      </c>
      <c r="AS414" s="16" t="e">
        <f>(I414-AF414)/I414</f>
        <v>#DIV/0!</v>
      </c>
      <c r="AT414" s="16">
        <f>AG414/(AD414-AF414)</f>
        <v>0.25</v>
      </c>
      <c r="AU414" s="16" t="e">
        <f>(G414-AM414)/G414</f>
        <v>#DIV/0!</v>
      </c>
      <c r="AV414" s="57" t="str">
        <f>IF(AND(ISNUMBER(E414),ISNUMBER(W414)),E414-W414,"")</f>
        <v/>
      </c>
      <c r="AW414" s="57" t="str">
        <f>IF(AND(ISNUMBER(I414),ISNUMBER(AF414)),I414-AF414,"")</f>
        <v/>
      </c>
      <c r="AX414" s="57" t="str">
        <f>IF(AND(ISNUMBER(AM414),ISNUMBER(G414)),G414-AM414,"")</f>
        <v/>
      </c>
      <c r="AY414" s="57" t="str">
        <f>IF(AND(ISNUMBER(AC414),ISNUMBER(AE414)),AC414-AE414,"")</f>
        <v/>
      </c>
      <c r="AZ414" s="57" t="str">
        <f>IF(AND(ISNUMBER(AL414),ISNUMBER(AM414)),AL414-AM414,"")</f>
        <v/>
      </c>
      <c r="BA414" s="100" t="str">
        <f>IF(AND($E414&gt;0,$W414&gt;0),IF(($E414-$W414)/$E414&gt;0,($E414-$W414)/$E414,0),"")</f>
        <v/>
      </c>
      <c r="BB414" s="84" t="str">
        <f>IF(AND($I414&gt;0,$AF414&gt;=0),IF(($I414-$AF414)/$I414&gt;0,($I414-$AF414)/$I414,0),"")</f>
        <v/>
      </c>
      <c r="BC414" s="84">
        <f>IF(AND($AG414&gt;=0,$AD414&gt;=0,$AF414&gt;=0),IF($AG414/($AD414-$AF414)&gt;0,$AG414/($AD414-$AF414),0),"")</f>
        <v>0.25</v>
      </c>
      <c r="BD414" s="84" t="str">
        <f>IF(AND($G414&gt;0,$AM414&gt;0),IF(($G414-$AM414)/$G414&gt;0,($G414-$AM414)/$G414,0),"")</f>
        <v/>
      </c>
      <c r="BE414" s="6" t="e">
        <f>IF((AD414-AF414)/(AJ414/60)&lt;=0,"",(AD414-AF414)/(AJ414/60))</f>
        <v>#DIV/0!</v>
      </c>
      <c r="BF414" s="6" t="e">
        <f>IF(OR(AJ414=0,AP414=0,NOT(ISNUMBER(AD414)),NOT(ISNUMBER(AF414)),NOT(ISNUMBER(AJ414)),NOT(ISNUMBER(AP414))),"",
IFERROR(IF((AD414-AF414)/(AJ414/60)/(AP414/1000)&lt;=0,"",(AD414-AF414)/(AJ414/60)/(AP414/1000)),""))</f>
        <v>#DIV/0!</v>
      </c>
    </row>
    <row r="415" spans="1:58" ht="15.75">
      <c r="B415" s="11">
        <v>45675</v>
      </c>
      <c r="C415" s="1">
        <v>171</v>
      </c>
      <c r="D415" s="3">
        <v>410</v>
      </c>
      <c r="E415" s="205" t="str">
        <f t="shared" si="27"/>
        <v/>
      </c>
      <c r="K415" s="10" t="str">
        <f t="shared" si="24"/>
        <v/>
      </c>
      <c r="L415" s="9" t="str">
        <f t="shared" si="25"/>
        <v/>
      </c>
      <c r="M415" s="8" t="str">
        <f t="shared" si="26"/>
        <v/>
      </c>
      <c r="X415" s="6">
        <v>0.2</v>
      </c>
      <c r="AB415" s="5">
        <v>80</v>
      </c>
      <c r="AD415" s="95">
        <v>21</v>
      </c>
      <c r="AG415" s="1">
        <v>5.69</v>
      </c>
      <c r="AH415" s="101">
        <v>0.52025462962962965</v>
      </c>
      <c r="AK415" s="3">
        <f>180+60</f>
        <v>240</v>
      </c>
      <c r="AN415" s="80">
        <f>360-AK415-AB415</f>
        <v>40</v>
      </c>
      <c r="AP415" s="13" t="e">
        <f>AVERAGE(AO413:AO419)</f>
        <v>#DIV/0!</v>
      </c>
      <c r="AR415" s="17" t="e">
        <f>(E415-W415)/E415</f>
        <v>#VALUE!</v>
      </c>
      <c r="AS415" s="16" t="e">
        <f>(I415-AF415)/I415</f>
        <v>#DIV/0!</v>
      </c>
      <c r="AT415" s="16">
        <f>AG415/(AD415-AF415)</f>
        <v>0.27095238095238094</v>
      </c>
      <c r="AU415" s="16" t="e">
        <f>(G415-AM415)/G415</f>
        <v>#DIV/0!</v>
      </c>
      <c r="AV415" s="57" t="str">
        <f>IF(AND(ISNUMBER(E415),ISNUMBER(W415)),E415-W415,"")</f>
        <v/>
      </c>
      <c r="AW415" s="57" t="str">
        <f>IF(AND(ISNUMBER(I415),ISNUMBER(AF415)),I415-AF415,"")</f>
        <v/>
      </c>
      <c r="AX415" s="57" t="str">
        <f>IF(AND(ISNUMBER(AM415),ISNUMBER(G415)),G415-AM415,"")</f>
        <v/>
      </c>
      <c r="AY415" s="57" t="str">
        <f>IF(AND(ISNUMBER(AC415),ISNUMBER(AE415)),AC415-AE415,"")</f>
        <v/>
      </c>
      <c r="AZ415" s="57" t="str">
        <f>IF(AND(ISNUMBER(AL415),ISNUMBER(AM415)),AL415-AM415,"")</f>
        <v/>
      </c>
      <c r="BA415" s="100" t="str">
        <f>IF(AND($E415&gt;0,$W415&gt;0),IF(($E415-$W415)/$E415&gt;0,($E415-$W415)/$E415,0),"")</f>
        <v/>
      </c>
      <c r="BB415" s="84" t="str">
        <f>IF(AND($I415&gt;0,$AF415&gt;=0),IF(($I415-$AF415)/$I415&gt;0,($I415-$AF415)/$I415,0),"")</f>
        <v/>
      </c>
      <c r="BC415" s="84">
        <f>IF(AND($AG415&gt;=0,$AD415&gt;=0,$AF415&gt;=0),IF($AG415/($AD415-$AF415)&gt;0,$AG415/($AD415-$AF415),0),"")</f>
        <v>0.27095238095238094</v>
      </c>
      <c r="BD415" s="84" t="str">
        <f>IF(AND($G415&gt;0,$AM415&gt;0),IF(($G415-$AM415)/$G415&gt;0,($G415-$AM415)/$G415,0),"")</f>
        <v/>
      </c>
      <c r="BE415" s="6" t="e">
        <f>IF((AD415-AF415)/(AJ415/60)&lt;=0,"",(AD415-AF415)/(AJ415/60))</f>
        <v>#DIV/0!</v>
      </c>
      <c r="BF415" s="6" t="e">
        <f>IF(OR(AJ415=0,AP415=0,NOT(ISNUMBER(AD415)),NOT(ISNUMBER(AF415)),NOT(ISNUMBER(AJ415)),NOT(ISNUMBER(AP415))),"",
IFERROR(IF((AD415-AF415)/(AJ415/60)/(AP415/1000)&lt;=0,"",(AD415-AF415)/(AJ415/60)/(AP415/1000)),""))</f>
        <v>#DIV/0!</v>
      </c>
    </row>
    <row r="416" spans="1:58" ht="15.75">
      <c r="B416" s="11">
        <v>45676</v>
      </c>
      <c r="C416" s="1">
        <v>172</v>
      </c>
      <c r="D416" s="3">
        <v>411</v>
      </c>
      <c r="E416" s="205" t="str">
        <f t="shared" si="27"/>
        <v/>
      </c>
      <c r="K416" s="10" t="str">
        <f t="shared" si="24"/>
        <v/>
      </c>
      <c r="L416" s="9" t="str">
        <f t="shared" si="25"/>
        <v/>
      </c>
      <c r="M416" s="8" t="str">
        <f t="shared" si="26"/>
        <v/>
      </c>
      <c r="X416" s="6">
        <v>0.2</v>
      </c>
      <c r="AB416" s="5">
        <v>80</v>
      </c>
      <c r="AD416" s="95">
        <v>21</v>
      </c>
      <c r="AG416" s="1">
        <v>4.29</v>
      </c>
      <c r="AH416" s="101">
        <v>0.52013888888888893</v>
      </c>
      <c r="AK416" s="3">
        <f>180+60</f>
        <v>240</v>
      </c>
      <c r="AN416" s="80">
        <f>360-AK416-AB416</f>
        <v>40</v>
      </c>
      <c r="AP416" s="13" t="e">
        <f>AVERAGE(AO414:AO420)</f>
        <v>#DIV/0!</v>
      </c>
      <c r="AR416" s="17" t="e">
        <f>(E416-W416)/E416</f>
        <v>#VALUE!</v>
      </c>
      <c r="AS416" s="16" t="e">
        <f>(I416-AF416)/I416</f>
        <v>#DIV/0!</v>
      </c>
      <c r="AT416" s="16">
        <f>AG416/(AD416-AF416)</f>
        <v>0.20428571428571429</v>
      </c>
      <c r="AU416" s="16" t="e">
        <f>(G416-AM416)/G416</f>
        <v>#DIV/0!</v>
      </c>
      <c r="AV416" s="57" t="str">
        <f>IF(AND(ISNUMBER(E416),ISNUMBER(W416)),E416-W416,"")</f>
        <v/>
      </c>
      <c r="AW416" s="57" t="str">
        <f>IF(AND(ISNUMBER(I416),ISNUMBER(AF416)),I416-AF416,"")</f>
        <v/>
      </c>
      <c r="AX416" s="57" t="str">
        <f>IF(AND(ISNUMBER(AM416),ISNUMBER(G416)),G416-AM416,"")</f>
        <v/>
      </c>
      <c r="AY416" s="57" t="str">
        <f>IF(AND(ISNUMBER(AC416),ISNUMBER(AE416)),AC416-AE416,"")</f>
        <v/>
      </c>
      <c r="AZ416" s="57" t="str">
        <f>IF(AND(ISNUMBER(AL416),ISNUMBER(AM416)),AL416-AM416,"")</f>
        <v/>
      </c>
      <c r="BA416" s="100" t="str">
        <f>IF(AND($E416&gt;0,$W416&gt;0),IF(($E416-$W416)/$E416&gt;0,($E416-$W416)/$E416,0),"")</f>
        <v/>
      </c>
      <c r="BB416" s="84" t="str">
        <f>IF(AND($I416&gt;0,$AF416&gt;=0),IF(($I416-$AF416)/$I416&gt;0,($I416-$AF416)/$I416,0),"")</f>
        <v/>
      </c>
      <c r="BC416" s="84">
        <f>IF(AND($AG416&gt;=0,$AD416&gt;=0,$AF416&gt;=0),IF($AG416/($AD416-$AF416)&gt;0,$AG416/($AD416-$AF416),0),"")</f>
        <v>0.20428571428571429</v>
      </c>
      <c r="BD416" s="84" t="str">
        <f>IF(AND($G416&gt;0,$AM416&gt;0),IF(($G416-$AM416)/$G416&gt;0,($G416-$AM416)/$G416,0),"")</f>
        <v/>
      </c>
      <c r="BE416" s="6" t="e">
        <f>IF((AD416-AF416)/(AJ416/60)&lt;=0,"",(AD416-AF416)/(AJ416/60))</f>
        <v>#DIV/0!</v>
      </c>
      <c r="BF416" s="6" t="e">
        <f>IF(OR(AJ416=0,AP416=0,NOT(ISNUMBER(AD416)),NOT(ISNUMBER(AF416)),NOT(ISNUMBER(AJ416)),NOT(ISNUMBER(AP416))),"",
IFERROR(IF((AD416-AF416)/(AJ416/60)/(AP416/1000)&lt;=0,"",(AD416-AF416)/(AJ416/60)/(AP416/1000)),""))</f>
        <v>#DIV/0!</v>
      </c>
    </row>
    <row r="417" spans="1:58" ht="15.75">
      <c r="B417" s="11">
        <v>45677</v>
      </c>
      <c r="C417" s="1">
        <v>173</v>
      </c>
      <c r="D417" s="3">
        <v>412</v>
      </c>
      <c r="E417" s="205" t="str">
        <f t="shared" si="27"/>
        <v/>
      </c>
      <c r="K417" s="10" t="str">
        <f t="shared" si="24"/>
        <v/>
      </c>
      <c r="L417" s="9" t="str">
        <f t="shared" si="25"/>
        <v/>
      </c>
      <c r="M417" s="8" t="str">
        <f t="shared" si="26"/>
        <v/>
      </c>
      <c r="X417" s="6">
        <v>0.2</v>
      </c>
      <c r="AB417" s="5">
        <v>80</v>
      </c>
      <c r="AD417" s="95">
        <v>21</v>
      </c>
      <c r="AG417" s="1">
        <v>6.61</v>
      </c>
      <c r="AH417" s="101">
        <v>0.46377314814814813</v>
      </c>
      <c r="AK417" s="3">
        <f>180+60</f>
        <v>240</v>
      </c>
      <c r="AN417" s="80">
        <f>360-AK417-AB417</f>
        <v>40</v>
      </c>
      <c r="AP417" s="13" t="e">
        <f>AVERAGE(AO415:AO421)</f>
        <v>#DIV/0!</v>
      </c>
      <c r="AR417" s="17" t="e">
        <f>(E417-W417)/E417</f>
        <v>#VALUE!</v>
      </c>
      <c r="AS417" s="16" t="e">
        <f>(I417-AF417)/I417</f>
        <v>#DIV/0!</v>
      </c>
      <c r="AT417" s="16">
        <f>AG417/(AD417-AF417)</f>
        <v>0.3147619047619048</v>
      </c>
      <c r="AU417" s="16" t="e">
        <f>(G417-AM417)/G417</f>
        <v>#DIV/0!</v>
      </c>
      <c r="AV417" s="57" t="str">
        <f>IF(AND(ISNUMBER(E417),ISNUMBER(W417)),E417-W417,"")</f>
        <v/>
      </c>
      <c r="AW417" s="57" t="str">
        <f>IF(AND(ISNUMBER(I417),ISNUMBER(AF417)),I417-AF417,"")</f>
        <v/>
      </c>
      <c r="AX417" s="57" t="str">
        <f>IF(AND(ISNUMBER(AM417),ISNUMBER(G417)),G417-AM417,"")</f>
        <v/>
      </c>
      <c r="AY417" s="57" t="str">
        <f>IF(AND(ISNUMBER(AC417),ISNUMBER(AE417)),AC417-AE417,"")</f>
        <v/>
      </c>
      <c r="AZ417" s="57" t="str">
        <f>IF(AND(ISNUMBER(AL417),ISNUMBER(AM417)),AL417-AM417,"")</f>
        <v/>
      </c>
      <c r="BA417" s="100" t="str">
        <f>IF(AND($E417&gt;0,$W417&gt;0),IF(($E417-$W417)/$E417&gt;0,($E417-$W417)/$E417,0),"")</f>
        <v/>
      </c>
      <c r="BB417" s="84" t="str">
        <f>IF(AND($I417&gt;0,$AF417&gt;=0),IF(($I417-$AF417)/$I417&gt;0,($I417-$AF417)/$I417,0),"")</f>
        <v/>
      </c>
      <c r="BC417" s="84">
        <f>IF(AND($AG417&gt;=0,$AD417&gt;=0,$AF417&gt;=0),IF($AG417/($AD417-$AF417)&gt;0,$AG417/($AD417-$AF417),0),"")</f>
        <v>0.3147619047619048</v>
      </c>
      <c r="BD417" s="84" t="str">
        <f>IF(AND($G417&gt;0,$AM417&gt;0),IF(($G417-$AM417)/$G417&gt;0,($G417-$AM417)/$G417,0),"")</f>
        <v/>
      </c>
      <c r="BE417" s="6" t="e">
        <f>IF((AD417-AF417)/(AJ417/60)&lt;=0,"",(AD417-AF417)/(AJ417/60))</f>
        <v>#DIV/0!</v>
      </c>
      <c r="BF417" s="6" t="e">
        <f>IF(OR(AJ417=0,AP417=0,NOT(ISNUMBER(AD417)),NOT(ISNUMBER(AF417)),NOT(ISNUMBER(AJ417)),NOT(ISNUMBER(AP417))),"",
IFERROR(IF((AD417-AF417)/(AJ417/60)/(AP417/1000)&lt;=0,"",(AD417-AF417)/(AJ417/60)/(AP417/1000)),""))</f>
        <v>#DIV/0!</v>
      </c>
    </row>
    <row r="418" spans="1:58" ht="15.75">
      <c r="B418" s="11">
        <v>45678</v>
      </c>
      <c r="C418" s="1">
        <v>174</v>
      </c>
      <c r="D418" s="3">
        <v>413</v>
      </c>
      <c r="E418" s="205" t="str">
        <f t="shared" si="27"/>
        <v/>
      </c>
      <c r="K418" s="10" t="str">
        <f t="shared" si="24"/>
        <v/>
      </c>
      <c r="L418" s="9" t="str">
        <f t="shared" si="25"/>
        <v/>
      </c>
      <c r="M418" s="8" t="str">
        <f t="shared" si="26"/>
        <v/>
      </c>
      <c r="X418" s="6">
        <v>0.21</v>
      </c>
      <c r="AB418" s="5">
        <v>80</v>
      </c>
      <c r="AD418" s="95">
        <v>21</v>
      </c>
      <c r="AG418" s="1">
        <v>2.93</v>
      </c>
      <c r="AH418" s="101">
        <v>0.51851851851851849</v>
      </c>
      <c r="AK418" s="3">
        <f>180+60</f>
        <v>240</v>
      </c>
      <c r="AN418" s="80">
        <f>360-AK418-AB418</f>
        <v>40</v>
      </c>
      <c r="AP418" s="13" t="e">
        <f>AVERAGE(AO416:AO422)</f>
        <v>#DIV/0!</v>
      </c>
      <c r="AR418" s="17" t="e">
        <f>(E418-W418)/E418</f>
        <v>#VALUE!</v>
      </c>
      <c r="AS418" s="16" t="e">
        <f>(I418-AF418)/I418</f>
        <v>#DIV/0!</v>
      </c>
      <c r="AT418" s="16">
        <f>AG418/(AD418-AF418)</f>
        <v>0.13952380952380952</v>
      </c>
      <c r="AU418" s="16" t="e">
        <f>(G418-AM418)/G418</f>
        <v>#DIV/0!</v>
      </c>
      <c r="AV418" s="57" t="str">
        <f>IF(AND(ISNUMBER(E418),ISNUMBER(W418)),E418-W418,"")</f>
        <v/>
      </c>
      <c r="AW418" s="57" t="str">
        <f>IF(AND(ISNUMBER(I418),ISNUMBER(AF418)),I418-AF418,"")</f>
        <v/>
      </c>
      <c r="AX418" s="57" t="str">
        <f>IF(AND(ISNUMBER(AM418),ISNUMBER(G418)),G418-AM418,"")</f>
        <v/>
      </c>
      <c r="AY418" s="57" t="str">
        <f>IF(AND(ISNUMBER(AC418),ISNUMBER(AE418)),AC418-AE418,"")</f>
        <v/>
      </c>
      <c r="AZ418" s="57" t="str">
        <f>IF(AND(ISNUMBER(AL418),ISNUMBER(AM418)),AL418-AM418,"")</f>
        <v/>
      </c>
      <c r="BA418" s="100" t="str">
        <f>IF(AND($E418&gt;0,$W418&gt;0),IF(($E418-$W418)/$E418&gt;0,($E418-$W418)/$E418,0),"")</f>
        <v/>
      </c>
      <c r="BB418" s="84" t="str">
        <f>IF(AND($I418&gt;0,$AF418&gt;=0),IF(($I418-$AF418)/$I418&gt;0,($I418-$AF418)/$I418,0),"")</f>
        <v/>
      </c>
      <c r="BC418" s="84">
        <f>IF(AND($AG418&gt;=0,$AD418&gt;=0,$AF418&gt;=0),IF($AG418/($AD418-$AF418)&gt;0,$AG418/($AD418-$AF418),0),"")</f>
        <v>0.13952380952380952</v>
      </c>
      <c r="BD418" s="84" t="str">
        <f>IF(AND($G418&gt;0,$AM418&gt;0),IF(($G418-$AM418)/$G418&gt;0,($G418-$AM418)/$G418,0),"")</f>
        <v/>
      </c>
      <c r="BE418" s="6" t="e">
        <f>IF((AD418-AF418)/(AJ418/60)&lt;=0,"",(AD418-AF418)/(AJ418/60))</f>
        <v>#DIV/0!</v>
      </c>
      <c r="BF418" s="6" t="e">
        <f>IF(OR(AJ418=0,AP418=0,NOT(ISNUMBER(AD418)),NOT(ISNUMBER(AF418)),NOT(ISNUMBER(AJ418)),NOT(ISNUMBER(AP418))),"",
IFERROR(IF((AD418-AF418)/(AJ418/60)/(AP418/1000)&lt;=0,"",(AD418-AF418)/(AJ418/60)/(AP418/1000)),""))</f>
        <v>#DIV/0!</v>
      </c>
    </row>
    <row r="419" spans="1:58" ht="15.75">
      <c r="B419" s="11">
        <v>45679</v>
      </c>
      <c r="C419" s="1">
        <v>175</v>
      </c>
      <c r="D419" s="3">
        <v>414</v>
      </c>
      <c r="E419" s="205" t="str">
        <f t="shared" si="27"/>
        <v/>
      </c>
      <c r="K419" s="10" t="str">
        <f t="shared" si="24"/>
        <v/>
      </c>
      <c r="L419" s="9" t="str">
        <f t="shared" si="25"/>
        <v/>
      </c>
      <c r="M419" s="8" t="str">
        <f t="shared" si="26"/>
        <v/>
      </c>
      <c r="AB419" s="5">
        <v>80</v>
      </c>
      <c r="AD419" s="95">
        <v>21</v>
      </c>
      <c r="AG419" s="1">
        <v>2.44</v>
      </c>
      <c r="AH419" s="101">
        <v>0.51967592592592593</v>
      </c>
      <c r="AK419" s="3">
        <f>180+60</f>
        <v>240</v>
      </c>
      <c r="AN419" s="80">
        <f>360-AK419-AB419</f>
        <v>40</v>
      </c>
      <c r="AP419" s="13" t="e">
        <f>AVERAGE(AO417:AO423)</f>
        <v>#DIV/0!</v>
      </c>
      <c r="AR419" s="17" t="e">
        <f>(E419-W419)/E419</f>
        <v>#VALUE!</v>
      </c>
      <c r="AS419" s="16" t="e">
        <f>(I419-AF419)/I419</f>
        <v>#DIV/0!</v>
      </c>
      <c r="AT419" s="16">
        <f>AG419/(AD419-AF419)</f>
        <v>0.11619047619047619</v>
      </c>
      <c r="AU419" s="16" t="e">
        <f>(G419-AM419)/G419</f>
        <v>#DIV/0!</v>
      </c>
      <c r="AV419" s="57" t="str">
        <f>IF(AND(ISNUMBER(E419),ISNUMBER(W419)),E419-W419,"")</f>
        <v/>
      </c>
      <c r="AW419" s="57" t="str">
        <f>IF(AND(ISNUMBER(I419),ISNUMBER(AF419)),I419-AF419,"")</f>
        <v/>
      </c>
      <c r="AX419" s="57" t="str">
        <f>IF(AND(ISNUMBER(AM419),ISNUMBER(G419)),G419-AM419,"")</f>
        <v/>
      </c>
      <c r="AY419" s="57" t="str">
        <f>IF(AND(ISNUMBER(AC419),ISNUMBER(AE419)),AC419-AE419,"")</f>
        <v/>
      </c>
      <c r="AZ419" s="57" t="str">
        <f>IF(AND(ISNUMBER(AL419),ISNUMBER(AM419)),AL419-AM419,"")</f>
        <v/>
      </c>
      <c r="BA419" s="100" t="str">
        <f>IF(AND($E419&gt;0,$W419&gt;0),IF(($E419-$W419)/$E419&gt;0,($E419-$W419)/$E419,0),"")</f>
        <v/>
      </c>
      <c r="BB419" s="84" t="str">
        <f>IF(AND($I419&gt;0,$AF419&gt;=0),IF(($I419-$AF419)/$I419&gt;0,($I419-$AF419)/$I419,0),"")</f>
        <v/>
      </c>
      <c r="BC419" s="84">
        <f>IF(AND($AG419&gt;=0,$AD419&gt;=0,$AF419&gt;=0),IF($AG419/($AD419-$AF419)&gt;0,$AG419/($AD419-$AF419),0),"")</f>
        <v>0.11619047619047619</v>
      </c>
      <c r="BD419" s="84" t="str">
        <f>IF(AND($G419&gt;0,$AM419&gt;0),IF(($G419-$AM419)/$G419&gt;0,($G419-$AM419)/$G419,0),"")</f>
        <v/>
      </c>
      <c r="BE419" s="6" t="e">
        <f>IF((AD419-AF419)/(AJ419/60)&lt;=0,"",(AD419-AF419)/(AJ419/60))</f>
        <v>#DIV/0!</v>
      </c>
      <c r="BF419" s="6" t="e">
        <f>IF(OR(AJ419=0,AP419=0,NOT(ISNUMBER(AD419)),NOT(ISNUMBER(AF419)),NOT(ISNUMBER(AJ419)),NOT(ISNUMBER(AP419))),"",
IFERROR(IF((AD419-AF419)/(AJ419/60)/(AP419/1000)&lt;=0,"",(AD419-AF419)/(AJ419/60)/(AP419/1000)),""))</f>
        <v>#DIV/0!</v>
      </c>
    </row>
    <row r="420" spans="1:58" ht="15.75">
      <c r="B420" s="11">
        <v>45680</v>
      </c>
      <c r="C420" s="1">
        <v>176</v>
      </c>
      <c r="D420" s="3">
        <v>415</v>
      </c>
      <c r="E420" s="205" t="str">
        <f t="shared" si="27"/>
        <v/>
      </c>
      <c r="K420" s="10" t="str">
        <f t="shared" si="24"/>
        <v/>
      </c>
      <c r="L420" s="9" t="str">
        <f t="shared" si="25"/>
        <v/>
      </c>
      <c r="M420" s="8" t="str">
        <f t="shared" si="26"/>
        <v/>
      </c>
      <c r="AB420" s="5">
        <v>80</v>
      </c>
      <c r="AD420" s="95">
        <v>21</v>
      </c>
      <c r="AG420" s="1">
        <v>2.8</v>
      </c>
      <c r="AH420" s="101">
        <v>0.52060185185185182</v>
      </c>
      <c r="AK420" s="3">
        <f>180+60</f>
        <v>240</v>
      </c>
      <c r="AN420" s="80">
        <f>360-AK420-AB420</f>
        <v>40</v>
      </c>
      <c r="AP420" s="13" t="e">
        <f>AVERAGE(AO418:AO424)</f>
        <v>#DIV/0!</v>
      </c>
      <c r="AR420" s="17" t="e">
        <f>(E420-W420)/E420</f>
        <v>#VALUE!</v>
      </c>
      <c r="AS420" s="16" t="e">
        <f>(I420-AF420)/I420</f>
        <v>#DIV/0!</v>
      </c>
      <c r="AT420" s="16">
        <f>AG420/(AD420-AF420)</f>
        <v>0.13333333333333333</v>
      </c>
      <c r="AU420" s="16" t="e">
        <f>(G420-AM420)/G420</f>
        <v>#DIV/0!</v>
      </c>
      <c r="AV420" s="57" t="str">
        <f>IF(AND(ISNUMBER(E420),ISNUMBER(W420)),E420-W420,"")</f>
        <v/>
      </c>
      <c r="AW420" s="57" t="str">
        <f>IF(AND(ISNUMBER(I420),ISNUMBER(AF420)),I420-AF420,"")</f>
        <v/>
      </c>
      <c r="AX420" s="57" t="str">
        <f>IF(AND(ISNUMBER(AM420),ISNUMBER(G420)),G420-AM420,"")</f>
        <v/>
      </c>
      <c r="AY420" s="57" t="str">
        <f>IF(AND(ISNUMBER(AC420),ISNUMBER(AE420)),AC420-AE420,"")</f>
        <v/>
      </c>
      <c r="AZ420" s="57" t="str">
        <f>IF(AND(ISNUMBER(AL420),ISNUMBER(AM420)),AL420-AM420,"")</f>
        <v/>
      </c>
      <c r="BA420" s="100" t="str">
        <f>IF(AND($E420&gt;0,$W420&gt;0),IF(($E420-$W420)/$E420&gt;0,($E420-$W420)/$E420,0),"")</f>
        <v/>
      </c>
      <c r="BB420" s="84" t="str">
        <f>IF(AND($I420&gt;0,$AF420&gt;=0),IF(($I420-$AF420)/$I420&gt;0,($I420-$AF420)/$I420,0),"")</f>
        <v/>
      </c>
      <c r="BC420" s="84">
        <f>IF(AND($AG420&gt;=0,$AD420&gt;=0,$AF420&gt;=0),IF($AG420/($AD420-$AF420)&gt;0,$AG420/($AD420-$AF420),0),"")</f>
        <v>0.13333333333333333</v>
      </c>
      <c r="BD420" s="84" t="str">
        <f>IF(AND($G420&gt;0,$AM420&gt;0),IF(($G420-$AM420)/$G420&gt;0,($G420-$AM420)/$G420,0),"")</f>
        <v/>
      </c>
      <c r="BE420" s="6" t="e">
        <f>IF((AD420-AF420)/(AJ420/60)&lt;=0,"",(AD420-AF420)/(AJ420/60))</f>
        <v>#DIV/0!</v>
      </c>
      <c r="BF420" s="6" t="e">
        <f>IF(OR(AJ420=0,AP420=0,NOT(ISNUMBER(AD420)),NOT(ISNUMBER(AF420)),NOT(ISNUMBER(AJ420)),NOT(ISNUMBER(AP420))),"",
IFERROR(IF((AD420-AF420)/(AJ420/60)/(AP420/1000)&lt;=0,"",(AD420-AF420)/(AJ420/60)/(AP420/1000)),""))</f>
        <v>#DIV/0!</v>
      </c>
    </row>
    <row r="421" spans="1:58" ht="15.75">
      <c r="B421" s="11">
        <v>45681</v>
      </c>
      <c r="C421" s="1">
        <v>177</v>
      </c>
      <c r="D421" s="3">
        <v>416</v>
      </c>
      <c r="E421" s="205" t="str">
        <f t="shared" si="27"/>
        <v/>
      </c>
      <c r="K421" s="10" t="str">
        <f t="shared" ref="K421:K484" si="28">IF(OR(E421="",G421="",E421=0,G421=0),"",E421/G421)</f>
        <v/>
      </c>
      <c r="L421" s="9" t="str">
        <f t="shared" ref="L421:L484" si="29">IF(OR(E421="",I421="",E421=0,I421=0),"",E421/(I421*2))</f>
        <v/>
      </c>
      <c r="M421" s="8" t="str">
        <f t="shared" ref="M421:M484" si="30">IF(OR(I421="",G421="",I421=0,G421=0),"",I421*2/G421)</f>
        <v/>
      </c>
      <c r="X421" s="6">
        <v>0.28000000000000003</v>
      </c>
      <c r="AB421" s="5">
        <v>80</v>
      </c>
      <c r="AD421" s="95">
        <v>21</v>
      </c>
      <c r="AG421" s="1">
        <v>2.15</v>
      </c>
      <c r="AH421" s="101">
        <v>0.5200231481481481</v>
      </c>
      <c r="AK421" s="3">
        <f>180+60</f>
        <v>240</v>
      </c>
      <c r="AN421" s="80">
        <f>360-AK421-AB421</f>
        <v>40</v>
      </c>
      <c r="AP421" s="13" t="e">
        <f>AVERAGE(AO419:AO425)</f>
        <v>#DIV/0!</v>
      </c>
      <c r="AR421" s="17" t="e">
        <f>(E421-W421)/E421</f>
        <v>#VALUE!</v>
      </c>
      <c r="AS421" s="16" t="e">
        <f>(I421-AF421)/I421</f>
        <v>#DIV/0!</v>
      </c>
      <c r="AT421" s="16">
        <f>AG421/(AD421-AF421)</f>
        <v>0.10238095238095238</v>
      </c>
      <c r="AU421" s="16" t="e">
        <f>(G421-AM421)/G421</f>
        <v>#DIV/0!</v>
      </c>
      <c r="AV421" s="57" t="str">
        <f>IF(AND(ISNUMBER(E421),ISNUMBER(W421)),E421-W421,"")</f>
        <v/>
      </c>
      <c r="AW421" s="57" t="str">
        <f>IF(AND(ISNUMBER(I421),ISNUMBER(AF421)),I421-AF421,"")</f>
        <v/>
      </c>
      <c r="AX421" s="57" t="str">
        <f>IF(AND(ISNUMBER(AM421),ISNUMBER(G421)),G421-AM421,"")</f>
        <v/>
      </c>
      <c r="AY421" s="57" t="str">
        <f>IF(AND(ISNUMBER(AC421),ISNUMBER(AE421)),AC421-AE421,"")</f>
        <v/>
      </c>
      <c r="AZ421" s="57" t="str">
        <f>IF(AND(ISNUMBER(AL421),ISNUMBER(AM421)),AL421-AM421,"")</f>
        <v/>
      </c>
      <c r="BA421" s="100" t="str">
        <f>IF(AND($E421&gt;0,$W421&gt;0),IF(($E421-$W421)/$E421&gt;0,($E421-$W421)/$E421,0),"")</f>
        <v/>
      </c>
      <c r="BB421" s="84" t="str">
        <f>IF(AND($I421&gt;0,$AF421&gt;=0),IF(($I421-$AF421)/$I421&gt;0,($I421-$AF421)/$I421,0),"")</f>
        <v/>
      </c>
      <c r="BC421" s="84">
        <f>IF(AND($AG421&gt;=0,$AD421&gt;=0,$AF421&gt;=0),IF($AG421/($AD421-$AF421)&gt;0,$AG421/($AD421-$AF421),0),"")</f>
        <v>0.10238095238095238</v>
      </c>
      <c r="BD421" s="84" t="str">
        <f>IF(AND($G421&gt;0,$AM421&gt;0),IF(($G421-$AM421)/$G421&gt;0,($G421-$AM421)/$G421,0),"")</f>
        <v/>
      </c>
      <c r="BE421" s="6" t="e">
        <f>IF((AD421-AF421)/(AJ421/60)&lt;=0,"",(AD421-AF421)/(AJ421/60))</f>
        <v>#DIV/0!</v>
      </c>
      <c r="BF421" s="6" t="e">
        <f>IF(OR(AJ421=0,AP421=0,NOT(ISNUMBER(AD421)),NOT(ISNUMBER(AF421)),NOT(ISNUMBER(AJ421)),NOT(ISNUMBER(AP421))),"",
IFERROR(IF((AD421-AF421)/(AJ421/60)/(AP421/1000)&lt;=0,"",(AD421-AF421)/(AJ421/60)/(AP421/1000)),""))</f>
        <v>#DIV/0!</v>
      </c>
    </row>
    <row r="422" spans="1:58" ht="15.75">
      <c r="B422" s="11">
        <v>45682</v>
      </c>
      <c r="C422" s="1">
        <v>178</v>
      </c>
      <c r="D422" s="3">
        <v>417</v>
      </c>
      <c r="E422" s="205" t="str">
        <f t="shared" si="27"/>
        <v/>
      </c>
      <c r="K422" s="10" t="str">
        <f t="shared" si="28"/>
        <v/>
      </c>
      <c r="L422" s="9" t="str">
        <f t="shared" si="29"/>
        <v/>
      </c>
      <c r="M422" s="8" t="str">
        <f t="shared" si="30"/>
        <v/>
      </c>
      <c r="X422" s="6">
        <v>0.2</v>
      </c>
      <c r="AB422" s="5">
        <v>80</v>
      </c>
      <c r="AD422" s="95">
        <v>21</v>
      </c>
      <c r="AG422" s="1">
        <v>5.26</v>
      </c>
      <c r="AH422" s="101">
        <v>0.51875000000000004</v>
      </c>
      <c r="AK422" s="3">
        <f>180+60</f>
        <v>240</v>
      </c>
      <c r="AN422" s="80">
        <f>360-AK422-AB422</f>
        <v>40</v>
      </c>
      <c r="AP422" s="13" t="e">
        <f>AVERAGE(AO420:AO426)</f>
        <v>#DIV/0!</v>
      </c>
      <c r="AR422" s="17" t="e">
        <f>(E422-W422)/E422</f>
        <v>#VALUE!</v>
      </c>
      <c r="AS422" s="16" t="e">
        <f>(I422-AF422)/I422</f>
        <v>#DIV/0!</v>
      </c>
      <c r="AT422" s="16">
        <f>AG422/(AD422-AF422)</f>
        <v>0.25047619047619046</v>
      </c>
      <c r="AU422" s="16" t="e">
        <f>(G422-AM422)/G422</f>
        <v>#DIV/0!</v>
      </c>
      <c r="AV422" s="57" t="str">
        <f>IF(AND(ISNUMBER(E422),ISNUMBER(W422)),E422-W422,"")</f>
        <v/>
      </c>
      <c r="AW422" s="57" t="str">
        <f>IF(AND(ISNUMBER(I422),ISNUMBER(AF422)),I422-AF422,"")</f>
        <v/>
      </c>
      <c r="AX422" s="57" t="str">
        <f>IF(AND(ISNUMBER(AM422),ISNUMBER(G422)),G422-AM422,"")</f>
        <v/>
      </c>
      <c r="AY422" s="57" t="str">
        <f>IF(AND(ISNUMBER(AC422),ISNUMBER(AE422)),AC422-AE422,"")</f>
        <v/>
      </c>
      <c r="AZ422" s="57" t="str">
        <f>IF(AND(ISNUMBER(AL422),ISNUMBER(AM422)),AL422-AM422,"")</f>
        <v/>
      </c>
      <c r="BA422" s="100" t="str">
        <f>IF(AND($E422&gt;0,$W422&gt;0),IF(($E422-$W422)/$E422&gt;0,($E422-$W422)/$E422,0),"")</f>
        <v/>
      </c>
      <c r="BB422" s="84" t="str">
        <f>IF(AND($I422&gt;0,$AF422&gt;=0),IF(($I422-$AF422)/$I422&gt;0,($I422-$AF422)/$I422,0),"")</f>
        <v/>
      </c>
      <c r="BC422" s="84">
        <f>IF(AND($AG422&gt;=0,$AD422&gt;=0,$AF422&gt;=0),IF($AG422/($AD422-$AF422)&gt;0,$AG422/($AD422-$AF422),0),"")</f>
        <v>0.25047619047619046</v>
      </c>
      <c r="BD422" s="84" t="str">
        <f>IF(AND($G422&gt;0,$AM422&gt;0),IF(($G422-$AM422)/$G422&gt;0,($G422-$AM422)/$G422,0),"")</f>
        <v/>
      </c>
      <c r="BE422" s="6" t="e">
        <f>IF((AD422-AF422)/(AJ422/60)&lt;=0,"",(AD422-AF422)/(AJ422/60))</f>
        <v>#DIV/0!</v>
      </c>
      <c r="BF422" s="6" t="e">
        <f>IF(OR(AJ422=0,AP422=0,NOT(ISNUMBER(AD422)),NOT(ISNUMBER(AF422)),NOT(ISNUMBER(AJ422)),NOT(ISNUMBER(AP422))),"",
IFERROR(IF((AD422-AF422)/(AJ422/60)/(AP422/1000)&lt;=0,"",(AD422-AF422)/(AJ422/60)/(AP422/1000)),""))</f>
        <v>#DIV/0!</v>
      </c>
    </row>
    <row r="423" spans="1:58" ht="15.75">
      <c r="A423" s="12" t="s">
        <v>80</v>
      </c>
      <c r="B423" s="11">
        <v>45683</v>
      </c>
      <c r="C423" s="1">
        <v>179</v>
      </c>
      <c r="D423" s="3">
        <v>418</v>
      </c>
      <c r="E423" s="205" t="str">
        <f t="shared" si="27"/>
        <v/>
      </c>
      <c r="K423" s="10" t="str">
        <f t="shared" si="28"/>
        <v/>
      </c>
      <c r="L423" s="9" t="str">
        <f t="shared" si="29"/>
        <v/>
      </c>
      <c r="M423" s="8" t="str">
        <f t="shared" si="30"/>
        <v/>
      </c>
      <c r="X423" s="6">
        <v>0.2</v>
      </c>
      <c r="AB423" s="5">
        <v>80</v>
      </c>
      <c r="AD423" s="95">
        <v>21</v>
      </c>
      <c r="AG423" s="102">
        <v>7.42</v>
      </c>
      <c r="AH423" s="101">
        <v>0.85671296296296295</v>
      </c>
      <c r="AK423" s="3">
        <f>180+60</f>
        <v>240</v>
      </c>
      <c r="AN423" s="80">
        <f>360-AK423-AB423</f>
        <v>40</v>
      </c>
      <c r="AP423" s="13" t="e">
        <f>AVERAGE(AO421:AO427)</f>
        <v>#DIV/0!</v>
      </c>
      <c r="AR423" s="17" t="e">
        <f>(E423-W423)/E423</f>
        <v>#VALUE!</v>
      </c>
      <c r="AS423" s="16" t="e">
        <f>(I423-AF423)/I423</f>
        <v>#DIV/0!</v>
      </c>
      <c r="AT423" s="16">
        <f>AG423/(AD423-AF423)</f>
        <v>0.35333333333333333</v>
      </c>
      <c r="AU423" s="16" t="e">
        <f>(G423-AM423)/G423</f>
        <v>#DIV/0!</v>
      </c>
      <c r="AV423" s="57" t="str">
        <f>IF(AND(ISNUMBER(E423),ISNUMBER(W423)),E423-W423,"")</f>
        <v/>
      </c>
      <c r="AW423" s="57" t="str">
        <f>IF(AND(ISNUMBER(I423),ISNUMBER(AF423)),I423-AF423,"")</f>
        <v/>
      </c>
      <c r="AX423" s="57" t="str">
        <f>IF(AND(ISNUMBER(AM423),ISNUMBER(G423)),G423-AM423,"")</f>
        <v/>
      </c>
      <c r="AY423" s="57" t="str">
        <f>IF(AND(ISNUMBER(AC423),ISNUMBER(AE423)),AC423-AE423,"")</f>
        <v/>
      </c>
      <c r="AZ423" s="57" t="str">
        <f>IF(AND(ISNUMBER(AL423),ISNUMBER(AM423)),AL423-AM423,"")</f>
        <v/>
      </c>
      <c r="BA423" s="100" t="str">
        <f>IF(AND($E423&gt;0,$W423&gt;0),IF(($E423-$W423)/$E423&gt;0,($E423-$W423)/$E423,0),"")</f>
        <v/>
      </c>
      <c r="BB423" s="84" t="str">
        <f>IF(AND($I423&gt;0,$AF423&gt;=0),IF(($I423-$AF423)/$I423&gt;0,($I423-$AF423)/$I423,0),"")</f>
        <v/>
      </c>
      <c r="BC423" s="84">
        <f>IF(AND($AG423&gt;=0,$AD423&gt;=0,$AF423&gt;=0),IF($AG423/($AD423-$AF423)&gt;0,$AG423/($AD423-$AF423),0),"")</f>
        <v>0.35333333333333333</v>
      </c>
      <c r="BD423" s="84" t="str">
        <f>IF(AND($G423&gt;0,$AM423&gt;0),IF(($G423-$AM423)/$G423&gt;0,($G423-$AM423)/$G423,0),"")</f>
        <v/>
      </c>
      <c r="BE423" s="6" t="e">
        <f>IF((AD423-AF423)/(AJ423/60)&lt;=0,"",(AD423-AF423)/(AJ423/60))</f>
        <v>#DIV/0!</v>
      </c>
      <c r="BF423" s="6" t="e">
        <f>IF(OR(AJ423=0,AP423=0,NOT(ISNUMBER(AD423)),NOT(ISNUMBER(AF423)),NOT(ISNUMBER(AJ423)),NOT(ISNUMBER(AP423))),"",
IFERROR(IF((AD423-AF423)/(AJ423/60)/(AP423/1000)&lt;=0,"",(AD423-AF423)/(AJ423/60)/(AP423/1000)),""))</f>
        <v>#DIV/0!</v>
      </c>
    </row>
    <row r="424" spans="1:58" ht="15.75">
      <c r="B424" s="11">
        <v>45684</v>
      </c>
      <c r="C424" s="1">
        <v>180</v>
      </c>
      <c r="D424" s="3">
        <v>419</v>
      </c>
      <c r="E424" s="205" t="str">
        <f t="shared" si="27"/>
        <v/>
      </c>
      <c r="K424" s="10" t="str">
        <f t="shared" si="28"/>
        <v/>
      </c>
      <c r="L424" s="9" t="str">
        <f t="shared" si="29"/>
        <v/>
      </c>
      <c r="M424" s="8" t="str">
        <f t="shared" si="30"/>
        <v/>
      </c>
      <c r="X424" s="6">
        <v>0.2</v>
      </c>
      <c r="AB424" s="5">
        <v>80</v>
      </c>
      <c r="AD424" s="95">
        <v>21</v>
      </c>
      <c r="AG424" s="102">
        <v>7.75</v>
      </c>
      <c r="AH424" s="101">
        <v>0.84293981481481484</v>
      </c>
      <c r="AK424" s="3">
        <f>180+60</f>
        <v>240</v>
      </c>
      <c r="AN424" s="80">
        <f>360-AK424-AB424</f>
        <v>40</v>
      </c>
      <c r="AP424" s="13" t="e">
        <f>AVERAGE(AO422:AO428)</f>
        <v>#DIV/0!</v>
      </c>
      <c r="AR424" s="17" t="e">
        <f>(E424-W424)/E424</f>
        <v>#VALUE!</v>
      </c>
      <c r="AS424" s="16" t="e">
        <f>(I424-AF424)/I424</f>
        <v>#DIV/0!</v>
      </c>
      <c r="AT424" s="16">
        <f>AG424/(AD424-AF424)</f>
        <v>0.36904761904761907</v>
      </c>
      <c r="AU424" s="16" t="e">
        <f>(G424-AM424)/G424</f>
        <v>#DIV/0!</v>
      </c>
      <c r="AV424" s="57" t="str">
        <f>IF(AND(ISNUMBER(E424),ISNUMBER(W424)),E424-W424,"")</f>
        <v/>
      </c>
      <c r="AW424" s="57" t="str">
        <f>IF(AND(ISNUMBER(I424),ISNUMBER(AF424)),I424-AF424,"")</f>
        <v/>
      </c>
      <c r="AX424" s="57" t="str">
        <f>IF(AND(ISNUMBER(AM424),ISNUMBER(G424)),G424-AM424,"")</f>
        <v/>
      </c>
      <c r="AY424" s="57" t="str">
        <f>IF(AND(ISNUMBER(AC424),ISNUMBER(AE424)),AC424-AE424,"")</f>
        <v/>
      </c>
      <c r="AZ424" s="57" t="str">
        <f>IF(AND(ISNUMBER(AL424),ISNUMBER(AM424)),AL424-AM424,"")</f>
        <v/>
      </c>
      <c r="BA424" s="100" t="str">
        <f>IF(AND($E424&gt;0,$W424&gt;0),IF(($E424-$W424)/$E424&gt;0,($E424-$W424)/$E424,0),"")</f>
        <v/>
      </c>
      <c r="BB424" s="84" t="str">
        <f>IF(AND($I424&gt;0,$AF424&gt;=0),IF(($I424-$AF424)/$I424&gt;0,($I424-$AF424)/$I424,0),"")</f>
        <v/>
      </c>
      <c r="BC424" s="84">
        <f>IF(AND($AG424&gt;=0,$AD424&gt;=0,$AF424&gt;=0),IF($AG424/($AD424-$AF424)&gt;0,$AG424/($AD424-$AF424),0),"")</f>
        <v>0.36904761904761907</v>
      </c>
      <c r="BD424" s="84" t="str">
        <f>IF(AND($G424&gt;0,$AM424&gt;0),IF(($G424-$AM424)/$G424&gt;0,($G424-$AM424)/$G424,0),"")</f>
        <v/>
      </c>
      <c r="BE424" s="6" t="e">
        <f>IF((AD424-AF424)/(AJ424/60)&lt;=0,"",(AD424-AF424)/(AJ424/60))</f>
        <v>#DIV/0!</v>
      </c>
      <c r="BF424" s="6" t="e">
        <f>IF(OR(AJ424=0,AP424=0,NOT(ISNUMBER(AD424)),NOT(ISNUMBER(AF424)),NOT(ISNUMBER(AJ424)),NOT(ISNUMBER(AP424))),"",
IFERROR(IF((AD424-AF424)/(AJ424/60)/(AP424/1000)&lt;=0,"",(AD424-AF424)/(AJ424/60)/(AP424/1000)),""))</f>
        <v>#DIV/0!</v>
      </c>
    </row>
    <row r="425" spans="1:58" ht="15.75">
      <c r="B425" s="11">
        <v>45685</v>
      </c>
      <c r="C425" s="1">
        <v>181</v>
      </c>
      <c r="D425" s="3">
        <v>420</v>
      </c>
      <c r="E425" s="205" t="str">
        <f t="shared" si="27"/>
        <v/>
      </c>
      <c r="K425" s="10" t="str">
        <f t="shared" si="28"/>
        <v/>
      </c>
      <c r="L425" s="9" t="str">
        <f t="shared" si="29"/>
        <v/>
      </c>
      <c r="M425" s="8" t="str">
        <f t="shared" si="30"/>
        <v/>
      </c>
      <c r="X425" s="6">
        <v>0.2</v>
      </c>
      <c r="AB425" s="5">
        <v>80</v>
      </c>
      <c r="AD425" s="95">
        <v>21</v>
      </c>
      <c r="AG425" s="1">
        <v>7.57</v>
      </c>
      <c r="AH425" s="101">
        <v>0.51886574074074077</v>
      </c>
      <c r="AK425" s="3">
        <f>180+60</f>
        <v>240</v>
      </c>
      <c r="AN425" s="80">
        <f>360-AK425-AB425</f>
        <v>40</v>
      </c>
      <c r="AP425" s="13" t="e">
        <f>AVERAGE(AO423:AO429)</f>
        <v>#DIV/0!</v>
      </c>
      <c r="AR425" s="17" t="e">
        <f>(E425-W425)/E425</f>
        <v>#VALUE!</v>
      </c>
      <c r="AS425" s="16" t="e">
        <f>(I425-AF425)/I425</f>
        <v>#DIV/0!</v>
      </c>
      <c r="AT425" s="16">
        <f>AG425/(AD425-AF425)</f>
        <v>0.36047619047619051</v>
      </c>
      <c r="AU425" s="16" t="e">
        <f>(G425-AM425)/G425</f>
        <v>#DIV/0!</v>
      </c>
      <c r="AV425" s="57" t="str">
        <f>IF(AND(ISNUMBER(E425),ISNUMBER(W425)),E425-W425,"")</f>
        <v/>
      </c>
      <c r="AW425" s="57" t="str">
        <f>IF(AND(ISNUMBER(I425),ISNUMBER(AF425)),I425-AF425,"")</f>
        <v/>
      </c>
      <c r="AX425" s="57" t="str">
        <f>IF(AND(ISNUMBER(AM425),ISNUMBER(G425)),G425-AM425,"")</f>
        <v/>
      </c>
      <c r="AY425" s="57" t="str">
        <f>IF(AND(ISNUMBER(AC425),ISNUMBER(AE425)),AC425-AE425,"")</f>
        <v/>
      </c>
      <c r="AZ425" s="57" t="str">
        <f>IF(AND(ISNUMBER(AL425),ISNUMBER(AM425)),AL425-AM425,"")</f>
        <v/>
      </c>
      <c r="BA425" s="100" t="str">
        <f>IF(AND($E425&gt;0,$W425&gt;0),IF(($E425-$W425)/$E425&gt;0,($E425-$W425)/$E425,0),"")</f>
        <v/>
      </c>
      <c r="BB425" s="84" t="str">
        <f>IF(AND($I425&gt;0,$AF425&gt;=0),IF(($I425-$AF425)/$I425&gt;0,($I425-$AF425)/$I425,0),"")</f>
        <v/>
      </c>
      <c r="BC425" s="84">
        <f>IF(AND($AG425&gt;=0,$AD425&gt;=0,$AF425&gt;=0),IF($AG425/($AD425-$AF425)&gt;0,$AG425/($AD425-$AF425),0),"")</f>
        <v>0.36047619047619051</v>
      </c>
      <c r="BD425" s="84" t="str">
        <f>IF(AND($G425&gt;0,$AM425&gt;0),IF(($G425-$AM425)/$G425&gt;0,($G425-$AM425)/$G425,0),"")</f>
        <v/>
      </c>
      <c r="BE425" s="6" t="e">
        <f>IF((AD425-AF425)/(AJ425/60)&lt;=0,"",(AD425-AF425)/(AJ425/60))</f>
        <v>#DIV/0!</v>
      </c>
      <c r="BF425" s="6" t="e">
        <f>IF(OR(AJ425=0,AP425=0,NOT(ISNUMBER(AD425)),NOT(ISNUMBER(AF425)),NOT(ISNUMBER(AJ425)),NOT(ISNUMBER(AP425))),"",
IFERROR(IF((AD425-AF425)/(AJ425/60)/(AP425/1000)&lt;=0,"",(AD425-AF425)/(AJ425/60)/(AP425/1000)),""))</f>
        <v>#DIV/0!</v>
      </c>
    </row>
    <row r="426" spans="1:58" ht="15.75">
      <c r="B426" s="11">
        <v>45686</v>
      </c>
      <c r="C426" s="1">
        <v>182</v>
      </c>
      <c r="D426" s="3">
        <v>421</v>
      </c>
      <c r="E426" s="205" t="str">
        <f t="shared" si="27"/>
        <v/>
      </c>
      <c r="K426" s="10" t="str">
        <f t="shared" si="28"/>
        <v/>
      </c>
      <c r="L426" s="9" t="str">
        <f t="shared" si="29"/>
        <v/>
      </c>
      <c r="M426" s="8" t="str">
        <f t="shared" si="30"/>
        <v/>
      </c>
      <c r="X426" s="6">
        <v>0.66</v>
      </c>
      <c r="AB426" s="5">
        <v>80</v>
      </c>
      <c r="AD426" s="95">
        <v>21</v>
      </c>
      <c r="AG426" s="1">
        <v>8.5</v>
      </c>
      <c r="AH426" s="101">
        <v>0.49409722222222224</v>
      </c>
      <c r="AK426" s="3">
        <f>180+60</f>
        <v>240</v>
      </c>
      <c r="AN426" s="80">
        <f>360-AK426-AB426</f>
        <v>40</v>
      </c>
      <c r="AP426" s="13" t="e">
        <f>AVERAGE(AO424:AO430)</f>
        <v>#DIV/0!</v>
      </c>
      <c r="AR426" s="17" t="e">
        <f>(E426-W426)/E426</f>
        <v>#VALUE!</v>
      </c>
      <c r="AS426" s="16" t="e">
        <f>(I426-AF426)/I426</f>
        <v>#DIV/0!</v>
      </c>
      <c r="AT426" s="16">
        <f>AG426/(AD426-AF426)</f>
        <v>0.40476190476190477</v>
      </c>
      <c r="AU426" s="16" t="e">
        <f>(G426-AM426)/G426</f>
        <v>#DIV/0!</v>
      </c>
      <c r="AV426" s="57" t="str">
        <f>IF(AND(ISNUMBER(E426),ISNUMBER(W426)),E426-W426,"")</f>
        <v/>
      </c>
      <c r="AW426" s="57" t="str">
        <f>IF(AND(ISNUMBER(I426),ISNUMBER(AF426)),I426-AF426,"")</f>
        <v/>
      </c>
      <c r="AX426" s="57" t="str">
        <f>IF(AND(ISNUMBER(AM426),ISNUMBER(G426)),G426-AM426,"")</f>
        <v/>
      </c>
      <c r="AY426" s="57" t="str">
        <f>IF(AND(ISNUMBER(AC426),ISNUMBER(AE426)),AC426-AE426,"")</f>
        <v/>
      </c>
      <c r="AZ426" s="57" t="str">
        <f>IF(AND(ISNUMBER(AL426),ISNUMBER(AM426)),AL426-AM426,"")</f>
        <v/>
      </c>
      <c r="BA426" s="100" t="str">
        <f>IF(AND($E426&gt;0,$W426&gt;0),IF(($E426-$W426)/$E426&gt;0,($E426-$W426)/$E426,0),"")</f>
        <v/>
      </c>
      <c r="BB426" s="84" t="str">
        <f>IF(AND($I426&gt;0,$AF426&gt;=0),IF(($I426-$AF426)/$I426&gt;0,($I426-$AF426)/$I426,0),"")</f>
        <v/>
      </c>
      <c r="BC426" s="84">
        <f>IF(AND($AG426&gt;=0,$AD426&gt;=0,$AF426&gt;=0),IF($AG426/($AD426-$AF426)&gt;0,$AG426/($AD426-$AF426),0),"")</f>
        <v>0.40476190476190477</v>
      </c>
      <c r="BD426" s="84" t="str">
        <f>IF(AND($G426&gt;0,$AM426&gt;0),IF(($G426-$AM426)/$G426&gt;0,($G426-$AM426)/$G426,0),"")</f>
        <v/>
      </c>
      <c r="BE426" s="6" t="e">
        <f>IF((AD426-AF426)/(AJ426/60)&lt;=0,"",(AD426-AF426)/(AJ426/60))</f>
        <v>#DIV/0!</v>
      </c>
      <c r="BF426" s="6" t="e">
        <f>IF(OR(AJ426=0,AP426=0,NOT(ISNUMBER(AD426)),NOT(ISNUMBER(AF426)),NOT(ISNUMBER(AJ426)),NOT(ISNUMBER(AP426))),"",
IFERROR(IF((AD426-AF426)/(AJ426/60)/(AP426/1000)&lt;=0,"",(AD426-AF426)/(AJ426/60)/(AP426/1000)),""))</f>
        <v>#DIV/0!</v>
      </c>
    </row>
    <row r="427" spans="1:58" ht="15.75">
      <c r="B427" s="11">
        <v>45687</v>
      </c>
      <c r="C427" s="1">
        <v>183</v>
      </c>
      <c r="D427" s="3">
        <v>422</v>
      </c>
      <c r="E427" s="205" t="str">
        <f t="shared" si="27"/>
        <v/>
      </c>
      <c r="K427" s="10" t="str">
        <f t="shared" si="28"/>
        <v/>
      </c>
      <c r="L427" s="9" t="str">
        <f t="shared" si="29"/>
        <v/>
      </c>
      <c r="M427" s="8" t="str">
        <f t="shared" si="30"/>
        <v/>
      </c>
      <c r="X427" s="6">
        <v>0.21</v>
      </c>
      <c r="AB427" s="5">
        <v>80</v>
      </c>
      <c r="AD427" s="95">
        <v>21</v>
      </c>
      <c r="AG427" s="1">
        <v>8.5500000000000007</v>
      </c>
      <c r="AH427" s="101">
        <v>0.47499999999999998</v>
      </c>
      <c r="AJ427" s="1">
        <v>87</v>
      </c>
      <c r="AK427" s="3">
        <f>180+60</f>
        <v>240</v>
      </c>
      <c r="AN427" s="80">
        <f>360-AK427-AB427</f>
        <v>40</v>
      </c>
      <c r="AP427" s="13">
        <f>AVERAGE(AO425:AO431)</f>
        <v>2909.9999999999909</v>
      </c>
      <c r="AR427" s="17" t="e">
        <f>(E427-W427)/E427</f>
        <v>#VALUE!</v>
      </c>
      <c r="AS427" s="16" t="e">
        <f>(I427-AF427)/I427</f>
        <v>#DIV/0!</v>
      </c>
      <c r="AT427" s="16">
        <f>AG427/(AD427-AF427)</f>
        <v>0.4071428571428572</v>
      </c>
      <c r="AU427" s="16" t="e">
        <f>(G427-AM427)/G427</f>
        <v>#DIV/0!</v>
      </c>
      <c r="AV427" s="57" t="str">
        <f>IF(AND(ISNUMBER(E427),ISNUMBER(W427)),E427-W427,"")</f>
        <v/>
      </c>
      <c r="AW427" s="57" t="str">
        <f>IF(AND(ISNUMBER(I427),ISNUMBER(AF427)),I427-AF427,"")</f>
        <v/>
      </c>
      <c r="AX427" s="57" t="str">
        <f>IF(AND(ISNUMBER(AM427),ISNUMBER(G427)),G427-AM427,"")</f>
        <v/>
      </c>
      <c r="AY427" s="57" t="str">
        <f>IF(AND(ISNUMBER(AC427),ISNUMBER(AE427)),AC427-AE427,"")</f>
        <v/>
      </c>
      <c r="AZ427" s="57" t="str">
        <f>IF(AND(ISNUMBER(AL427),ISNUMBER(AM427)),AL427-AM427,"")</f>
        <v/>
      </c>
      <c r="BA427" s="100" t="str">
        <f>IF(AND($E427&gt;0,$W427&gt;0),IF(($E427-$W427)/$E427&gt;0,($E427-$W427)/$E427,0),"")</f>
        <v/>
      </c>
      <c r="BB427" s="84" t="str">
        <f>IF(AND($I427&gt;0,$AF427&gt;=0),IF(($I427-$AF427)/$I427&gt;0,($I427-$AF427)/$I427,0),"")</f>
        <v/>
      </c>
      <c r="BC427" s="84">
        <f>IF(AND($AG427&gt;=0,$AD427&gt;=0,$AF427&gt;=0),IF($AG427/($AD427-$AF427)&gt;0,$AG427/($AD427-$AF427),0),"")</f>
        <v>0.4071428571428572</v>
      </c>
      <c r="BD427" s="84" t="str">
        <f>IF(AND($G427&gt;0,$AM427&gt;0),IF(($G427-$AM427)/$G427&gt;0,($G427-$AM427)/$G427,0),"")</f>
        <v/>
      </c>
      <c r="BE427" s="6">
        <f>IF((AD427-AF427)/(AJ427/60)&lt;=0,"",(AD427-AF427)/(AJ427/60))</f>
        <v>14.482758620689655</v>
      </c>
      <c r="BF427" s="6" t="str">
        <f>IF(OR(AJ427=0,AP427=0,NOT(ISNUMBER(AD427)),NOT(ISNUMBER(AF427)),NOT(ISNUMBER(AJ427)),NOT(ISNUMBER(AP427))),"",
IFERROR(IF((AD427-AF427)/(AJ427/60)/(AP427/1000)&lt;=0,"",(AD427-AF427)/(AJ427/60)/(AP427/1000)),""))</f>
        <v/>
      </c>
    </row>
    <row r="428" spans="1:58" ht="15.75">
      <c r="B428" s="11">
        <v>45688</v>
      </c>
      <c r="C428" s="1">
        <v>184</v>
      </c>
      <c r="D428" s="3">
        <v>423</v>
      </c>
      <c r="E428" s="205" t="str">
        <f t="shared" si="27"/>
        <v/>
      </c>
      <c r="K428" s="10" t="str">
        <f t="shared" si="28"/>
        <v/>
      </c>
      <c r="L428" s="9" t="str">
        <f t="shared" si="29"/>
        <v/>
      </c>
      <c r="M428" s="8" t="str">
        <f t="shared" si="30"/>
        <v/>
      </c>
      <c r="X428" s="6">
        <v>0.55000000000000004</v>
      </c>
      <c r="AB428" s="5">
        <v>80</v>
      </c>
      <c r="AD428" s="95">
        <v>21</v>
      </c>
      <c r="AG428" s="1">
        <v>8.8699999999999992</v>
      </c>
      <c r="AH428" s="101">
        <v>0.46261574074074074</v>
      </c>
      <c r="AJ428" s="1">
        <v>95</v>
      </c>
      <c r="AK428" s="3">
        <f>180+60</f>
        <v>240</v>
      </c>
      <c r="AN428" s="80">
        <f>360-AK428-AB428</f>
        <v>40</v>
      </c>
      <c r="AP428" s="13">
        <f>AVERAGE(AO426:AO432)</f>
        <v>2909.9999999999909</v>
      </c>
      <c r="AR428" s="17" t="e">
        <f>(E428-W428)/E428</f>
        <v>#VALUE!</v>
      </c>
      <c r="AS428" s="16" t="e">
        <f>(I428-AF428)/I428</f>
        <v>#DIV/0!</v>
      </c>
      <c r="AT428" s="16">
        <f>AG428/(AD428-AF428)</f>
        <v>0.42238095238095236</v>
      </c>
      <c r="AU428" s="16" t="e">
        <f>(G428-AM428)/G428</f>
        <v>#DIV/0!</v>
      </c>
      <c r="AV428" s="57" t="str">
        <f>IF(AND(ISNUMBER(E428),ISNUMBER(W428)),E428-W428,"")</f>
        <v/>
      </c>
      <c r="AW428" s="57" t="str">
        <f>IF(AND(ISNUMBER(I428),ISNUMBER(AF428)),I428-AF428,"")</f>
        <v/>
      </c>
      <c r="AX428" s="57" t="str">
        <f>IF(AND(ISNUMBER(AM428),ISNUMBER(G428)),G428-AM428,"")</f>
        <v/>
      </c>
      <c r="AY428" s="57" t="str">
        <f>IF(AND(ISNUMBER(AC428),ISNUMBER(AE428)),AC428-AE428,"")</f>
        <v/>
      </c>
      <c r="AZ428" s="57" t="str">
        <f>IF(AND(ISNUMBER(AL428),ISNUMBER(AM428)),AL428-AM428,"")</f>
        <v/>
      </c>
      <c r="BA428" s="100" t="str">
        <f>IF(AND($E428&gt;0,$W428&gt;0),IF(($E428-$W428)/$E428&gt;0,($E428-$W428)/$E428,0),"")</f>
        <v/>
      </c>
      <c r="BB428" s="84" t="str">
        <f>IF(AND($I428&gt;0,$AF428&gt;=0),IF(($I428-$AF428)/$I428&gt;0,($I428-$AF428)/$I428,0),"")</f>
        <v/>
      </c>
      <c r="BC428" s="84">
        <f>IF(AND($AG428&gt;=0,$AD428&gt;=0,$AF428&gt;=0),IF($AG428/($AD428-$AF428)&gt;0,$AG428/($AD428-$AF428),0),"")</f>
        <v>0.42238095238095236</v>
      </c>
      <c r="BD428" s="84" t="str">
        <f>IF(AND($G428&gt;0,$AM428&gt;0),IF(($G428-$AM428)/$G428&gt;0,($G428-$AM428)/$G428,0),"")</f>
        <v/>
      </c>
      <c r="BE428" s="6">
        <f>IF((AD428-AF428)/(AJ428/60)&lt;=0,"",(AD428-AF428)/(AJ428/60))</f>
        <v>13.263157894736842</v>
      </c>
      <c r="BF428" s="6" t="str">
        <f>IF(OR(AJ428=0,AP428=0,NOT(ISNUMBER(AD428)),NOT(ISNUMBER(AF428)),NOT(ISNUMBER(AJ428)),NOT(ISNUMBER(AP428))),"",
IFERROR(IF((AD428-AF428)/(AJ428/60)/(AP428/1000)&lt;=0,"",(AD428-AF428)/(AJ428/60)/(AP428/1000)),""))</f>
        <v/>
      </c>
    </row>
    <row r="429" spans="1:58" ht="15.75">
      <c r="B429" s="11">
        <v>45689</v>
      </c>
      <c r="C429" s="1">
        <v>185</v>
      </c>
      <c r="D429" s="3">
        <v>424</v>
      </c>
      <c r="E429" s="205" t="str">
        <f t="shared" si="27"/>
        <v/>
      </c>
      <c r="K429" s="10" t="str">
        <f t="shared" si="28"/>
        <v/>
      </c>
      <c r="L429" s="9" t="str">
        <f t="shared" si="29"/>
        <v/>
      </c>
      <c r="M429" s="8" t="str">
        <f t="shared" si="30"/>
        <v/>
      </c>
      <c r="X429" s="6">
        <v>0.19</v>
      </c>
      <c r="AB429" s="5">
        <v>80</v>
      </c>
      <c r="AD429" s="95">
        <v>21</v>
      </c>
      <c r="AG429" s="1">
        <v>9.17</v>
      </c>
      <c r="AH429" s="101">
        <v>0.46296296296296297</v>
      </c>
      <c r="AJ429" s="1">
        <v>79</v>
      </c>
      <c r="AK429" s="3">
        <f>180+60</f>
        <v>240</v>
      </c>
      <c r="AN429" s="80">
        <f>360-AK429-AB429</f>
        <v>40</v>
      </c>
      <c r="AP429" s="13">
        <f>AVERAGE(AO427:AO433)</f>
        <v>2909.9999999999909</v>
      </c>
      <c r="AR429" s="17" t="e">
        <f>(E429-W429)/E429</f>
        <v>#VALUE!</v>
      </c>
      <c r="AS429" s="16" t="e">
        <f>(I429-AF429)/I429</f>
        <v>#DIV/0!</v>
      </c>
      <c r="AT429" s="16">
        <f>AG429/(AD429-AF429)</f>
        <v>0.43666666666666665</v>
      </c>
      <c r="AU429" s="16" t="e">
        <f>(G429-AM429)/G429</f>
        <v>#DIV/0!</v>
      </c>
      <c r="AV429" s="57" t="str">
        <f>IF(AND(ISNUMBER(E429),ISNUMBER(W429)),E429-W429,"")</f>
        <v/>
      </c>
      <c r="AW429" s="57" t="str">
        <f>IF(AND(ISNUMBER(I429),ISNUMBER(AF429)),I429-AF429,"")</f>
        <v/>
      </c>
      <c r="AX429" s="57" t="str">
        <f>IF(AND(ISNUMBER(AM429),ISNUMBER(G429)),G429-AM429,"")</f>
        <v/>
      </c>
      <c r="AY429" s="57" t="str">
        <f>IF(AND(ISNUMBER(AC429),ISNUMBER(AE429)),AC429-AE429,"")</f>
        <v/>
      </c>
      <c r="AZ429" s="57" t="str">
        <f>IF(AND(ISNUMBER(AL429),ISNUMBER(AM429)),AL429-AM429,"")</f>
        <v/>
      </c>
      <c r="BA429" s="100" t="str">
        <f>IF(AND($E429&gt;0,$W429&gt;0),IF(($E429-$W429)/$E429&gt;0,($E429-$W429)/$E429,0),"")</f>
        <v/>
      </c>
      <c r="BB429" s="84" t="str">
        <f>IF(AND($I429&gt;0,$AF429&gt;=0),IF(($I429-$AF429)/$I429&gt;0,($I429-$AF429)/$I429,0),"")</f>
        <v/>
      </c>
      <c r="BC429" s="84">
        <f>IF(AND($AG429&gt;=0,$AD429&gt;=0,$AF429&gt;=0),IF($AG429/($AD429-$AF429)&gt;0,$AG429/($AD429-$AF429),0),"")</f>
        <v>0.43666666666666665</v>
      </c>
      <c r="BD429" s="84" t="str">
        <f>IF(AND($G429&gt;0,$AM429&gt;0),IF(($G429-$AM429)/$G429&gt;0,($G429-$AM429)/$G429,0),"")</f>
        <v/>
      </c>
      <c r="BE429" s="6">
        <f>IF((AD429-AF429)/(AJ429/60)&lt;=0,"",(AD429-AF429)/(AJ429/60))</f>
        <v>15.949367088607595</v>
      </c>
      <c r="BF429" s="6" t="str">
        <f>IF(OR(AJ429=0,AP429=0,NOT(ISNUMBER(AD429)),NOT(ISNUMBER(AF429)),NOT(ISNUMBER(AJ429)),NOT(ISNUMBER(AP429))),"",
IFERROR(IF((AD429-AF429)/(AJ429/60)/(AP429/1000)&lt;=0,"",(AD429-AF429)/(AJ429/60)/(AP429/1000)),""))</f>
        <v/>
      </c>
    </row>
    <row r="430" spans="1:58" ht="15.75">
      <c r="A430" s="12" t="s">
        <v>79</v>
      </c>
      <c r="B430" s="11">
        <v>45690</v>
      </c>
      <c r="C430" s="1">
        <v>186</v>
      </c>
      <c r="D430" s="3">
        <v>425</v>
      </c>
      <c r="E430" s="205" t="str">
        <f t="shared" si="27"/>
        <v/>
      </c>
      <c r="G430" s="15">
        <f>(N430*18-H430*18)/9</f>
        <v>14.700000000000005</v>
      </c>
      <c r="H430" s="9">
        <f>5*2.52</f>
        <v>12.6</v>
      </c>
      <c r="I430" s="15">
        <f>AD430</f>
        <v>21.05</v>
      </c>
      <c r="K430" s="10" t="str">
        <f t="shared" si="28"/>
        <v/>
      </c>
      <c r="L430" s="9" t="str">
        <f t="shared" si="29"/>
        <v/>
      </c>
      <c r="M430" s="8">
        <f t="shared" si="30"/>
        <v>2.8639455782312919</v>
      </c>
      <c r="N430" s="7">
        <f>5*3.99</f>
        <v>19.950000000000003</v>
      </c>
      <c r="T430" s="6">
        <f>54.1</f>
        <v>54.1</v>
      </c>
      <c r="X430" s="6">
        <v>0.45</v>
      </c>
      <c r="AB430" s="5">
        <v>80</v>
      </c>
      <c r="AC430" s="7">
        <f>T430</f>
        <v>54.1</v>
      </c>
      <c r="AD430" s="1">
        <f>5*4.21</f>
        <v>21.05</v>
      </c>
      <c r="AE430" s="1">
        <f>27.6</f>
        <v>27.6</v>
      </c>
      <c r="AF430" s="1">
        <v>0</v>
      </c>
      <c r="AG430" s="98">
        <v>11.7</v>
      </c>
      <c r="AH430" s="20">
        <v>0.5072916666666667</v>
      </c>
      <c r="AJ430" s="1">
        <v>83</v>
      </c>
      <c r="AK430" s="3">
        <f>180+60</f>
        <v>240</v>
      </c>
      <c r="AL430" s="4">
        <f>AE430</f>
        <v>27.6</v>
      </c>
      <c r="AM430" s="1">
        <f>5*4.43</f>
        <v>22.15</v>
      </c>
      <c r="AN430" s="80">
        <f>360-AK430-AB430</f>
        <v>40</v>
      </c>
      <c r="AP430" s="13">
        <f>AVERAGE(AO428:AO434)</f>
        <v>3109.9999999999909</v>
      </c>
      <c r="AR430" s="17" t="e">
        <f>(E430-W430)/E430</f>
        <v>#VALUE!</v>
      </c>
      <c r="AS430" s="16">
        <f>(I430-AF430)/I430</f>
        <v>1</v>
      </c>
      <c r="AT430" s="16">
        <f>AG430/(AD430-AF430)</f>
        <v>0.5558194774346793</v>
      </c>
      <c r="AU430" s="16">
        <f>(G430-AM430)/G430</f>
        <v>-0.50680272108843483</v>
      </c>
      <c r="AV430" s="57" t="str">
        <f>IF(AND(ISNUMBER(E430),ISNUMBER(W430)),E430-W430,"")</f>
        <v/>
      </c>
      <c r="AW430" s="57">
        <f>IF(AND(ISNUMBER(I430),ISNUMBER(AF430)),I430-AF430,"")</f>
        <v>21.05</v>
      </c>
      <c r="AX430" s="57">
        <f>IF(AND(ISNUMBER(AM430),ISNUMBER(G430)),G430-AM430,"")</f>
        <v>-7.449999999999994</v>
      </c>
      <c r="AY430" s="57">
        <f>IF(AND(ISNUMBER(AC430),ISNUMBER(AE430)),AC430-AE430,"")</f>
        <v>26.5</v>
      </c>
      <c r="AZ430" s="57">
        <f>IF(AND(ISNUMBER(AL430),ISNUMBER(AM430)),AL430-AM430,"")</f>
        <v>5.4500000000000028</v>
      </c>
      <c r="BA430" s="100" t="str">
        <f>IF(AND($E430&gt;0,$W430&gt;0),IF(($E430-$W430)/$E430&gt;0,($E430-$W430)/$E430,0),"")</f>
        <v/>
      </c>
      <c r="BB430" s="84">
        <f>IF(AND($I430&gt;0,$AF430&gt;=0),IF(($I430-$AF430)/$I430&gt;0,($I430-$AF430)/$I430,0),"")</f>
        <v>1</v>
      </c>
      <c r="BC430" s="84">
        <f>IF(AND($AG430&gt;=0,$AD430&gt;=0,$AF430&gt;=0),IF($AG430/($AD430-$AF430)&gt;0,$AG430/($AD430-$AF430),0),"")</f>
        <v>0.5558194774346793</v>
      </c>
      <c r="BD430" s="84">
        <f>IF(AND($G430&gt;0,$AM430&gt;0),IF(($G430-$AM430)/$G430&gt;0,($G430-$AM430)/$G430,0),"")</f>
        <v>0</v>
      </c>
      <c r="BE430" s="6">
        <f>IF((AD430-AF430)/(AJ430/60)&lt;=0,"",(AD430-AF430)/(AJ430/60))</f>
        <v>15.216867469879519</v>
      </c>
      <c r="BF430" s="6">
        <f>IF(OR(AJ430=0,AP430=0,NOT(ISNUMBER(AD430)),NOT(ISNUMBER(AF430)),NOT(ISNUMBER(AJ430)),NOT(ISNUMBER(AP430))),"",
IFERROR(IF((AD430-AF430)/(AJ430/60)/(AP430/1000)&lt;=0,"",(AD430-AF430)/(AJ430/60)/(AP430/1000)),""))</f>
        <v>4.8928834308294418</v>
      </c>
    </row>
    <row r="431" spans="1:58" ht="15.75">
      <c r="A431" s="25" t="s">
        <v>78</v>
      </c>
      <c r="B431" s="11">
        <v>45691</v>
      </c>
      <c r="C431" s="1">
        <v>187</v>
      </c>
      <c r="D431" s="3">
        <v>426</v>
      </c>
      <c r="E431" s="205">
        <f t="shared" si="27"/>
        <v>648.36167399999999</v>
      </c>
      <c r="K431" s="10" t="str">
        <f t="shared" si="28"/>
        <v/>
      </c>
      <c r="L431" s="9" t="str">
        <f t="shared" si="29"/>
        <v/>
      </c>
      <c r="M431" s="8" t="str">
        <f t="shared" si="30"/>
        <v/>
      </c>
      <c r="O431" s="6">
        <v>258.97500000000002</v>
      </c>
      <c r="P431" s="59">
        <v>31.608000000000001</v>
      </c>
      <c r="Q431" s="6">
        <f>O431*1.067</f>
        <v>276.326325</v>
      </c>
      <c r="R431" s="6">
        <f>P431*1.514</f>
        <v>47.854512</v>
      </c>
      <c r="S431" s="23">
        <f>P431*1.514+O431*1.067</f>
        <v>324.180837</v>
      </c>
      <c r="U431" s="59">
        <v>0.85899999999999999</v>
      </c>
      <c r="V431" s="59">
        <v>0.56399999999999995</v>
      </c>
      <c r="X431" s="6">
        <v>0.36</v>
      </c>
      <c r="AB431" s="5">
        <v>80</v>
      </c>
      <c r="AD431" s="95">
        <v>20</v>
      </c>
      <c r="AG431" s="98"/>
      <c r="AH431" s="20">
        <v>0.46041666666666664</v>
      </c>
      <c r="AJ431" s="1">
        <v>61</v>
      </c>
      <c r="AK431" s="3">
        <f>180+60</f>
        <v>240</v>
      </c>
      <c r="AN431" s="80">
        <f>360-AK431-AB431</f>
        <v>40</v>
      </c>
      <c r="AO431" s="2">
        <v>2909.9999999999909</v>
      </c>
      <c r="AP431" s="13">
        <f>AVERAGE(AO429:AO435)</f>
        <v>3109.9999999999909</v>
      </c>
      <c r="AQ431" s="2">
        <v>25.790251107828531</v>
      </c>
      <c r="AR431" s="17">
        <f>(E431-W431)/E431</f>
        <v>1</v>
      </c>
      <c r="AS431" s="16" t="e">
        <f>(I431-AF431)/I431</f>
        <v>#DIV/0!</v>
      </c>
      <c r="AT431" s="16">
        <f>AG431/(AD431-AF431)</f>
        <v>0</v>
      </c>
      <c r="AU431" s="16" t="e">
        <f>(G431-AM431)/G431</f>
        <v>#DIV/0!</v>
      </c>
      <c r="AV431" s="57" t="str">
        <f>IF(AND(ISNUMBER(E431),ISNUMBER(W431)),E431-W431,"")</f>
        <v/>
      </c>
      <c r="AW431" s="57" t="str">
        <f>IF(AND(ISNUMBER(I431),ISNUMBER(AF431)),I431-AF431,"")</f>
        <v/>
      </c>
      <c r="AX431" s="57" t="str">
        <f>IF(AND(ISNUMBER(AM431),ISNUMBER(G431)),G431-AM431,"")</f>
        <v/>
      </c>
      <c r="AY431" s="57" t="str">
        <f>IF(AND(ISNUMBER(AC431),ISNUMBER(AE431)),AC431-AE431,"")</f>
        <v/>
      </c>
      <c r="AZ431" s="57" t="str">
        <f>IF(AND(ISNUMBER(AL431),ISNUMBER(AM431)),AL431-AM431,"")</f>
        <v/>
      </c>
      <c r="BA431" s="100" t="str">
        <f>IF(AND($E431&gt;0,$W431&gt;0),IF(($E431-$W431)/$E431&gt;0,($E431-$W431)/$E431,0),"")</f>
        <v/>
      </c>
      <c r="BB431" s="84" t="str">
        <f>IF(AND($I431&gt;0,$AF431&gt;=0),IF(($I431-$AF431)/$I431&gt;0,($I431-$AF431)/$I431,0),"")</f>
        <v/>
      </c>
      <c r="BC431" s="84"/>
      <c r="BD431" s="84" t="str">
        <f>IF(AND($G431&gt;0,$AM431&gt;0),IF(($G431-$AM431)/$G431&gt;0,($G431-$AM431)/$G431,0),"")</f>
        <v/>
      </c>
      <c r="BE431" s="6">
        <f>IF((AD431-AF431)/(AJ431/60)&lt;=0,"",(AD431-AF431)/(AJ431/60))</f>
        <v>19.672131147540984</v>
      </c>
      <c r="BF431" s="6" t="str">
        <f>IF(OR(AJ431=0,AP431=0,NOT(ISNUMBER(AD431)),NOT(ISNUMBER(AF431)),NOT(ISNUMBER(AJ431)),NOT(ISNUMBER(AP431))),"",
IFERROR(IF((AD431-AF431)/(AJ431/60)/(AP431/1000)&lt;=0,"",(AD431-AF431)/(AJ431/60)/(AP431/1000)),""))</f>
        <v/>
      </c>
    </row>
    <row r="432" spans="1:58" ht="15.75">
      <c r="B432" s="11">
        <v>45692</v>
      </c>
      <c r="C432" s="1">
        <v>188</v>
      </c>
      <c r="D432" s="3">
        <v>427</v>
      </c>
      <c r="E432" s="205" t="str">
        <f t="shared" si="27"/>
        <v/>
      </c>
      <c r="K432" s="10" t="str">
        <f t="shared" si="28"/>
        <v/>
      </c>
      <c r="L432" s="9" t="str">
        <f t="shared" si="29"/>
        <v/>
      </c>
      <c r="M432" s="8" t="str">
        <f t="shared" si="30"/>
        <v/>
      </c>
      <c r="AB432" s="5">
        <v>80</v>
      </c>
      <c r="AD432" s="95">
        <v>20</v>
      </c>
      <c r="AG432" s="98">
        <v>9.39</v>
      </c>
      <c r="AH432" s="20">
        <v>0.44884259259259257</v>
      </c>
      <c r="AJ432" s="1">
        <v>55</v>
      </c>
      <c r="AK432" s="3">
        <f>180+60</f>
        <v>240</v>
      </c>
      <c r="AN432" s="80">
        <f>360-AK432-AB432</f>
        <v>40</v>
      </c>
      <c r="AP432" s="13">
        <f>AVERAGE(AO430:AO436)</f>
        <v>3109.9999999999909</v>
      </c>
      <c r="AR432" s="17" t="e">
        <f>(E432-W432)/E432</f>
        <v>#VALUE!</v>
      </c>
      <c r="AS432" s="16" t="e">
        <f>(I432-AF432)/I432</f>
        <v>#DIV/0!</v>
      </c>
      <c r="AT432" s="16">
        <f>AG432/(AD432-AF432)</f>
        <v>0.46950000000000003</v>
      </c>
      <c r="AU432" s="16" t="e">
        <f>(G432-AM432)/G432</f>
        <v>#DIV/0!</v>
      </c>
      <c r="AV432" s="57" t="str">
        <f>IF(AND(ISNUMBER(E432),ISNUMBER(W432)),E432-W432,"")</f>
        <v/>
      </c>
      <c r="AW432" s="57" t="str">
        <f>IF(AND(ISNUMBER(I432),ISNUMBER(AF432)),I432-AF432,"")</f>
        <v/>
      </c>
      <c r="AX432" s="57" t="str">
        <f>IF(AND(ISNUMBER(AM432),ISNUMBER(G432)),G432-AM432,"")</f>
        <v/>
      </c>
      <c r="AY432" s="57" t="str">
        <f>IF(AND(ISNUMBER(AC432),ISNUMBER(AE432)),AC432-AE432,"")</f>
        <v/>
      </c>
      <c r="AZ432" s="57" t="str">
        <f>IF(AND(ISNUMBER(AL432),ISNUMBER(AM432)),AL432-AM432,"")</f>
        <v/>
      </c>
      <c r="BA432" s="56" t="str">
        <f>IF(AND($E432&gt;0,$W432&gt;0),IF(($E432-$W432)/$E432&gt;0,($E432-$W432)/$E432,0),"")</f>
        <v/>
      </c>
      <c r="BB432" s="84" t="str">
        <f>IF(AND($I432&gt;0,$AF432&gt;=0),IF(($I432-$AF432)/$I432&gt;0,($I432-$AF432)/$I432,0),"")</f>
        <v/>
      </c>
      <c r="BC432" s="84">
        <f>IF(AND($AG432&gt;=0,$AD432&gt;=0,$AF432&gt;=0),IF($AG432/($AD432-$AF432)&gt;0,$AG432/($AD432-$AF432),0),"")</f>
        <v>0.46950000000000003</v>
      </c>
      <c r="BD432" s="84" t="str">
        <f>IF(AND($G432&gt;0,$AM432&gt;0),IF(($G432-$AM432)/$G432&gt;0,($G432-$AM432)/$G432,0),"")</f>
        <v/>
      </c>
      <c r="BE432" s="6">
        <f>IF((AD432-AF432)/(AJ432/60)&lt;=0,"",(AD432-AF432)/(AJ432/60))</f>
        <v>21.81818181818182</v>
      </c>
      <c r="BF432" s="6" t="str">
        <f>IF(OR(AJ432=0,AP432=0,NOT(ISNUMBER(AD432)),NOT(ISNUMBER(AF432)),NOT(ISNUMBER(AJ432)),NOT(ISNUMBER(AP432))),"",
IFERROR(IF((AD432-AF432)/(AJ432/60)/(AP432/1000)&lt;=0,"",(AD432-AF432)/(AJ432/60)/(AP432/1000)),""))</f>
        <v/>
      </c>
    </row>
    <row r="433" spans="1:58" ht="15.75">
      <c r="B433" s="94">
        <v>45693</v>
      </c>
      <c r="C433" s="1">
        <v>189</v>
      </c>
      <c r="D433" s="3">
        <v>428</v>
      </c>
      <c r="E433" s="205">
        <f t="shared" si="27"/>
        <v>312.68868799999996</v>
      </c>
      <c r="G433" s="15">
        <f>(N433*18-H433*18)/9</f>
        <v>16.71</v>
      </c>
      <c r="H433" s="15">
        <f>5*0.109</f>
        <v>0.54500000000000004</v>
      </c>
      <c r="I433" s="15">
        <f>AD433</f>
        <v>20.85</v>
      </c>
      <c r="K433" s="10">
        <f t="shared" si="28"/>
        <v>18.712668342309989</v>
      </c>
      <c r="L433" s="9">
        <f t="shared" si="29"/>
        <v>7.4985296882493992</v>
      </c>
      <c r="M433" s="8">
        <f t="shared" si="30"/>
        <v>2.495511669658887</v>
      </c>
      <c r="N433" s="7">
        <f>5*1.78</f>
        <v>8.9</v>
      </c>
      <c r="O433" s="59">
        <v>100.46</v>
      </c>
      <c r="P433" s="59">
        <v>32.466000000000001</v>
      </c>
      <c r="Q433" s="6">
        <f>O433*1.067</f>
        <v>107.19081999999999</v>
      </c>
      <c r="R433" s="6">
        <f>P433*1.514</f>
        <v>49.153524000000004</v>
      </c>
      <c r="S433" s="23">
        <f>P433*1.514+O433*1.067</f>
        <v>156.34434399999998</v>
      </c>
      <c r="T433" s="6">
        <f>36.4</f>
        <v>36.4</v>
      </c>
      <c r="U433" s="6">
        <v>0</v>
      </c>
      <c r="V433" s="6">
        <v>0</v>
      </c>
      <c r="W433" s="23">
        <f>U433*1.067+V433*1.514</f>
        <v>0</v>
      </c>
      <c r="AB433" s="5">
        <v>80</v>
      </c>
      <c r="AC433" s="7">
        <f>T433</f>
        <v>36.4</v>
      </c>
      <c r="AD433" s="1">
        <f>5*4.17</f>
        <v>20.85</v>
      </c>
      <c r="AE433" s="1">
        <f>5*1.78</f>
        <v>8.9</v>
      </c>
      <c r="AF433" s="1">
        <v>0</v>
      </c>
      <c r="AG433" s="98"/>
      <c r="AH433" s="20">
        <v>0.47106481481481483</v>
      </c>
      <c r="AJ433" s="1">
        <v>73</v>
      </c>
      <c r="AK433" s="3">
        <f>180+60</f>
        <v>240</v>
      </c>
      <c r="AL433" s="4">
        <f>AE433</f>
        <v>8.9</v>
      </c>
      <c r="AM433" s="1">
        <f>5*0.852</f>
        <v>4.26</v>
      </c>
      <c r="AN433" s="80">
        <f>360-AK433-AB433</f>
        <v>40</v>
      </c>
      <c r="AP433" s="13">
        <f>AVERAGE(AO431:AO437)</f>
        <v>3109.9999999999909</v>
      </c>
      <c r="AR433" s="17">
        <f>(E433-W433)/E433</f>
        <v>1</v>
      </c>
      <c r="AS433" s="16">
        <f>(I433-AF433)/I433</f>
        <v>1</v>
      </c>
      <c r="AT433" s="16">
        <f>AG433/(AD433-AF433)</f>
        <v>0</v>
      </c>
      <c r="AU433" s="16">
        <f>(G433-AM433)/G433</f>
        <v>0.74506283662477557</v>
      </c>
      <c r="AV433" s="57">
        <f>IF(AND(ISNUMBER(E433),ISNUMBER(W433)),E433-W433,"")</f>
        <v>312.68868799999996</v>
      </c>
      <c r="AW433" s="57">
        <f>IF(AND(ISNUMBER(I433),ISNUMBER(AF433)),I433-AF433,"")</f>
        <v>20.85</v>
      </c>
      <c r="AX433" s="57">
        <f>IF(AND(ISNUMBER(AM433),ISNUMBER(G433)),G433-AM433,"")</f>
        <v>12.450000000000001</v>
      </c>
      <c r="AY433" s="57">
        <f>IF(AND(ISNUMBER(AC433),ISNUMBER(AE433)),AC433-AE433,"")</f>
        <v>27.5</v>
      </c>
      <c r="AZ433" s="57">
        <f>IF(AND(ISNUMBER(AL433),ISNUMBER(AM433)),AL433-AM433,"")</f>
        <v>4.6400000000000006</v>
      </c>
      <c r="BA433" s="60" t="str">
        <f>IF(AND($E433&gt;0,$W433&gt;0),IF(($E433-$W433)/$E433&gt;0,($E433-$W433)/$E433,0),"")</f>
        <v/>
      </c>
      <c r="BB433" s="60">
        <f>IF(AND($I433&gt;0,$AF433&gt;=0),IF(($I433-$AF433)/$I433&gt;0,($I433-$AF433)/$I433,0),"")</f>
        <v>1</v>
      </c>
      <c r="BC433" s="60"/>
      <c r="BD433" s="60">
        <f>IF(AND($G433&gt;0,$AM433&gt;0),IF(($G433-$AM433)/$G433&gt;0,($G433-$AM433)/$G433,0),"")</f>
        <v>0.74506283662477557</v>
      </c>
      <c r="BE433" s="6">
        <f>IF((AD433-AF433)/(AJ433/60)&lt;=0,"",(AD433-AF433)/(AJ433/60))</f>
        <v>17.136986301369866</v>
      </c>
      <c r="BF433" s="6">
        <f>IF(OR(AJ433=0,AP433=0,NOT(ISNUMBER(AD433)),NOT(ISNUMBER(AF433)),NOT(ISNUMBER(AJ433)),NOT(ISNUMBER(AP433))),"",
IFERROR(IF((AD433-AF433)/(AJ433/60)/(AP433/1000)&lt;=0,"",(AD433-AF433)/(AJ433/60)/(AP433/1000)),""))</f>
        <v>5.5102849843633166</v>
      </c>
    </row>
    <row r="434" spans="1:58" ht="15.75">
      <c r="B434" s="94">
        <v>45694</v>
      </c>
      <c r="C434" s="1">
        <v>190</v>
      </c>
      <c r="D434" s="3">
        <v>429</v>
      </c>
      <c r="E434" s="205">
        <f t="shared" si="27"/>
        <v>265.721836</v>
      </c>
      <c r="G434" s="15">
        <f>(N434*18-H434*18)/9</f>
        <v>14.299999999999999</v>
      </c>
      <c r="H434" s="15">
        <f>5*0.87</f>
        <v>4.3499999999999996</v>
      </c>
      <c r="I434" s="15">
        <f>AD434</f>
        <v>20.299999999999997</v>
      </c>
      <c r="K434" s="10">
        <f t="shared" si="28"/>
        <v>18.581946573426574</v>
      </c>
      <c r="L434" s="9">
        <f t="shared" si="29"/>
        <v>6.5448728078817746</v>
      </c>
      <c r="M434" s="8">
        <f t="shared" si="30"/>
        <v>2.8391608391608392</v>
      </c>
      <c r="N434" s="7">
        <f>5*2.3</f>
        <v>11.5</v>
      </c>
      <c r="O434" s="59">
        <v>87.117999999999995</v>
      </c>
      <c r="P434" s="59">
        <v>26.358000000000001</v>
      </c>
      <c r="Q434" s="6">
        <f>O434*1.067</f>
        <v>92.954905999999994</v>
      </c>
      <c r="R434" s="6">
        <f>P434*1.514</f>
        <v>39.906012000000004</v>
      </c>
      <c r="S434" s="23">
        <f>P434*1.514+O434*1.067</f>
        <v>132.860918</v>
      </c>
      <c r="T434" s="6">
        <f>36.7</f>
        <v>36.700000000000003</v>
      </c>
      <c r="U434" s="6">
        <v>0</v>
      </c>
      <c r="V434" s="6">
        <v>0</v>
      </c>
      <c r="W434" s="23">
        <f>U434*1.067+V434*1.514</f>
        <v>0</v>
      </c>
      <c r="AB434" s="5">
        <v>80</v>
      </c>
      <c r="AC434" s="7">
        <f>T434</f>
        <v>36.700000000000003</v>
      </c>
      <c r="AD434" s="1">
        <f>5*4.06</f>
        <v>20.299999999999997</v>
      </c>
      <c r="AE434" s="1">
        <f>5*2.53</f>
        <v>12.649999999999999</v>
      </c>
      <c r="AF434" s="1">
        <v>0</v>
      </c>
      <c r="AG434" s="98">
        <v>10.47</v>
      </c>
      <c r="AH434" s="20">
        <v>0.45613425925925927</v>
      </c>
      <c r="AJ434" s="1">
        <v>74</v>
      </c>
      <c r="AK434" s="3">
        <f>180+60</f>
        <v>240</v>
      </c>
      <c r="AL434" s="4">
        <f>AE434</f>
        <v>12.649999999999999</v>
      </c>
      <c r="AM434" s="1">
        <f>5*1.53</f>
        <v>7.65</v>
      </c>
      <c r="AN434" s="80">
        <f>360-AK434-AB434</f>
        <v>40</v>
      </c>
      <c r="AO434" s="2">
        <v>3309.9999999999909</v>
      </c>
      <c r="AP434" s="13">
        <f>AVERAGE(AO432:AO438)</f>
        <v>3309.9999999999909</v>
      </c>
      <c r="AQ434" s="2">
        <v>28.390355475078493</v>
      </c>
      <c r="AR434" s="17">
        <f>(E434-W434)/E434</f>
        <v>1</v>
      </c>
      <c r="AS434" s="16">
        <f>(I434-AF434)/I434</f>
        <v>1</v>
      </c>
      <c r="AT434" s="16">
        <f>AG434/(AD434-AF434)</f>
        <v>0.51576354679802972</v>
      </c>
      <c r="AU434" s="16">
        <f>(G434-AM434)/G434</f>
        <v>0.465034965034965</v>
      </c>
      <c r="AV434" s="57">
        <f>IF(AND(ISNUMBER(E434),ISNUMBER(W434)),E434-W434,"")</f>
        <v>265.721836</v>
      </c>
      <c r="AW434" s="57">
        <f>IF(AND(ISNUMBER(I434),ISNUMBER(AF434)),I434-AF434,"")</f>
        <v>20.299999999999997</v>
      </c>
      <c r="AX434" s="57">
        <f>IF(AND(ISNUMBER(AM434),ISNUMBER(G434)),G434-AM434,"")</f>
        <v>6.6499999999999986</v>
      </c>
      <c r="AY434" s="57">
        <f>IF(AND(ISNUMBER(AC434),ISNUMBER(AE434)),AC434-AE434,"")</f>
        <v>24.050000000000004</v>
      </c>
      <c r="AZ434" s="57">
        <f>IF(AND(ISNUMBER(AL434),ISNUMBER(AM434)),AL434-AM434,"")</f>
        <v>4.9999999999999982</v>
      </c>
      <c r="BA434" s="60" t="str">
        <f>IF(AND($E434&gt;0,$W434&gt;0),IF(($E434-$W434)/$E434&gt;0,($E434-$W434)/$E434,0),"")</f>
        <v/>
      </c>
      <c r="BB434" s="60">
        <f>IF(AND($I434&gt;0,$AF434&gt;=0),IF(($I434-$AF434)/$I434&gt;0,($I434-$AF434)/$I434,0),"")</f>
        <v>1</v>
      </c>
      <c r="BC434" s="60">
        <f>IF(AND($AG434&gt;=0,$AD434&gt;=0,$AF434&gt;=0),IF($AG434/($AD434-$AF434)&gt;0,$AG434/($AD434-$AF434),0),"")</f>
        <v>0.51576354679802972</v>
      </c>
      <c r="BD434" s="60">
        <f>IF(AND($G434&gt;0,$AM434&gt;0),IF(($G434-$AM434)/$G434&gt;0,($G434-$AM434)/$G434,0),"")</f>
        <v>0.465034965034965</v>
      </c>
      <c r="BE434" s="6">
        <f>IF((AD434-AF434)/(AJ434/60)&lt;=0,"",(AD434-AF434)/(AJ434/60))</f>
        <v>16.459459459459456</v>
      </c>
      <c r="BF434" s="6">
        <f>IF(OR(AJ434=0,AP434=0,NOT(ISNUMBER(AD434)),NOT(ISNUMBER(AF434)),NOT(ISNUMBER(AJ434)),NOT(ISNUMBER(AP434))),"",
IFERROR(IF((AD434-AF434)/(AJ434/60)/(AP434/1000)&lt;=0,"",(AD434-AF434)/(AJ434/60)/(AP434/1000)),""))</f>
        <v>4.9726463623744719</v>
      </c>
    </row>
    <row r="435" spans="1:58" ht="15.75">
      <c r="A435" s="12" t="s">
        <v>76</v>
      </c>
      <c r="B435" s="94">
        <v>45695</v>
      </c>
      <c r="C435" s="1">
        <v>191</v>
      </c>
      <c r="D435" s="3">
        <v>430</v>
      </c>
      <c r="E435" s="205">
        <f t="shared" si="27"/>
        <v>284.48634400000003</v>
      </c>
      <c r="G435" s="15">
        <f>(N435*18-H435*18)/9</f>
        <v>13.800000000000002</v>
      </c>
      <c r="H435" s="15">
        <f>5*0.7</f>
        <v>3.5</v>
      </c>
      <c r="I435" s="15">
        <f>AD435</f>
        <v>27.799999999999997</v>
      </c>
      <c r="K435" s="10">
        <f t="shared" si="28"/>
        <v>20.614952463768116</v>
      </c>
      <c r="L435" s="9">
        <f t="shared" si="29"/>
        <v>5.1166608633093533</v>
      </c>
      <c r="M435" s="8">
        <f t="shared" si="30"/>
        <v>4.0289855072463761</v>
      </c>
      <c r="N435" s="7">
        <f>5*2.08</f>
        <v>10.4</v>
      </c>
      <c r="O435" s="59">
        <v>90.566000000000003</v>
      </c>
      <c r="P435" s="59">
        <v>30.125</v>
      </c>
      <c r="Q435" s="6">
        <f>O435*1.067</f>
        <v>96.633921999999998</v>
      </c>
      <c r="R435" s="6">
        <f>P435*1.514</f>
        <v>45.609250000000003</v>
      </c>
      <c r="S435" s="23">
        <f>P435*1.514+O435*1.067</f>
        <v>142.24317200000002</v>
      </c>
      <c r="T435" s="6">
        <f>38.2</f>
        <v>38.200000000000003</v>
      </c>
      <c r="U435" s="59">
        <v>0.34100000000000003</v>
      </c>
      <c r="V435" s="59">
        <v>8.8999999999999996E-2</v>
      </c>
      <c r="W435" s="23">
        <f>U435*1.067+V435*1.514</f>
        <v>0.49859300000000006</v>
      </c>
      <c r="AB435" s="5">
        <v>80</v>
      </c>
      <c r="AC435" s="7">
        <f>T435</f>
        <v>38.200000000000003</v>
      </c>
      <c r="AD435" s="1">
        <f>5*5.56</f>
        <v>27.799999999999997</v>
      </c>
      <c r="AE435" s="1">
        <f>5*1.44</f>
        <v>7.1999999999999993</v>
      </c>
      <c r="AF435" s="1">
        <v>0</v>
      </c>
      <c r="AG435" s="98">
        <v>16.100000000000001</v>
      </c>
      <c r="AH435" s="20">
        <v>0.49467592592592591</v>
      </c>
      <c r="AJ435" s="93">
        <v>74</v>
      </c>
      <c r="AK435" s="3">
        <f>180+60</f>
        <v>240</v>
      </c>
      <c r="AL435" s="4">
        <f>AE435</f>
        <v>7.1999999999999993</v>
      </c>
      <c r="AM435" s="1">
        <f>5*0.826</f>
        <v>4.13</v>
      </c>
      <c r="AN435" s="80">
        <f>360-AK435-AB435</f>
        <v>40</v>
      </c>
      <c r="AP435" s="13">
        <f>AVERAGE(AO433:AO439)</f>
        <v>3309.9999999999909</v>
      </c>
      <c r="AR435" s="17">
        <f>(E435-W435)/E435</f>
        <v>0.99824739214898828</v>
      </c>
      <c r="AS435" s="16">
        <f>(I435-AF435)/I435</f>
        <v>1</v>
      </c>
      <c r="AT435" s="16">
        <f>AG435/(AD435-AF435)</f>
        <v>0.57913669064748208</v>
      </c>
      <c r="AU435" s="16">
        <f>(G435-AM435)/G435</f>
        <v>0.70072463768115945</v>
      </c>
      <c r="AV435" s="57">
        <f>IF(AND(ISNUMBER(E435),ISNUMBER(W435)),E435-W435,"")</f>
        <v>283.987751</v>
      </c>
      <c r="AW435" s="57">
        <f>IF(AND(ISNUMBER(I435),ISNUMBER(AF435)),I435-AF435,"")</f>
        <v>27.799999999999997</v>
      </c>
      <c r="AX435" s="57">
        <f>IF(AND(ISNUMBER(AM435),ISNUMBER(G435)),G435-AM435,"")</f>
        <v>9.6700000000000017</v>
      </c>
      <c r="AY435" s="57">
        <f>IF(AND(ISNUMBER(AC435),ISNUMBER(AE435)),AC435-AE435,"")</f>
        <v>31.000000000000004</v>
      </c>
      <c r="AZ435" s="57">
        <f>IF(AND(ISNUMBER(AL435),ISNUMBER(AM435)),AL435-AM435,"")</f>
        <v>3.0699999999999994</v>
      </c>
      <c r="BA435" s="60">
        <f>IF(AND($E435&gt;0,$W435&gt;0),IF(($E435-$W435)/$E435&gt;0,($E435-$W435)/$E435,0),"")</f>
        <v>0.99824739214898828</v>
      </c>
      <c r="BB435" s="60">
        <f>IF(AND($I435&gt;0,$AF435&gt;=0),IF(($I435-$AF435)/$I435&gt;0,($I435-$AF435)/$I435,0),"")</f>
        <v>1</v>
      </c>
      <c r="BC435" s="60">
        <f>IF(AND($AG435&gt;=0,$AD435&gt;=0,$AF435&gt;=0),IF($AG435/($AD435-$AF435)&gt;0,$AG435/($AD435-$AF435),0),"")</f>
        <v>0.57913669064748208</v>
      </c>
      <c r="BD435" s="60">
        <f>IF(AND($G435&gt;0,$AM435&gt;0),IF(($G435-$AM435)/$G435&gt;0,($G435-$AM435)/$G435,0),"")</f>
        <v>0.70072463768115945</v>
      </c>
      <c r="BE435" s="6">
        <f>IF((AD435-AF435)/(AJ435/60)&lt;=0,"",(AD435-AF435)/(AJ435/60))</f>
        <v>22.540540540540537</v>
      </c>
      <c r="BF435" s="6">
        <f>IF(OR(AJ435=0,AP435=0,NOT(ISNUMBER(AD435)),NOT(ISNUMBER(AF435)),NOT(ISNUMBER(AJ435)),NOT(ISNUMBER(AP435))),"",
IFERROR(IF((AD435-AF435)/(AJ435/60)/(AP435/1000)&lt;=0,"",(AD435-AF435)/(AJ435/60)/(AP435/1000)),""))</f>
        <v>6.8098309790152873</v>
      </c>
    </row>
    <row r="436" spans="1:58" ht="15.75">
      <c r="A436" s="12" t="s">
        <v>75</v>
      </c>
      <c r="B436" s="94">
        <v>45696</v>
      </c>
      <c r="C436" s="1">
        <v>192</v>
      </c>
      <c r="D436" s="3">
        <v>431</v>
      </c>
      <c r="E436" s="205" t="str">
        <f t="shared" si="27"/>
        <v/>
      </c>
      <c r="H436" s="15"/>
      <c r="I436" s="15">
        <f>AD436</f>
        <v>26</v>
      </c>
      <c r="K436" s="10" t="str">
        <f t="shared" si="28"/>
        <v/>
      </c>
      <c r="L436" s="9" t="str">
        <f t="shared" si="29"/>
        <v/>
      </c>
      <c r="M436" s="8" t="str">
        <f t="shared" si="30"/>
        <v/>
      </c>
      <c r="AB436" s="5">
        <v>80</v>
      </c>
      <c r="AD436" s="95">
        <v>26</v>
      </c>
      <c r="AG436" s="98">
        <v>15.03</v>
      </c>
      <c r="AH436" s="20">
        <v>0.49953703703703706</v>
      </c>
      <c r="AJ436" s="93">
        <v>74</v>
      </c>
      <c r="AK436" s="3">
        <f>180+60</f>
        <v>240</v>
      </c>
      <c r="AN436" s="80">
        <f>360-AK436-AB436</f>
        <v>40</v>
      </c>
      <c r="AP436" s="13">
        <f>AVERAGE(AO434:AO440)</f>
        <v>3309.9999999999909</v>
      </c>
      <c r="AR436" s="17" t="e">
        <f>(E436-W436)/E436</f>
        <v>#VALUE!</v>
      </c>
      <c r="AS436" s="16">
        <f>(I436-AF436)/I436</f>
        <v>1</v>
      </c>
      <c r="AT436" s="16">
        <f>AG436/(AD436-AF436)</f>
        <v>0.57807692307692304</v>
      </c>
      <c r="AU436" s="16" t="e">
        <f>(G436-AM436)/G436</f>
        <v>#DIV/0!</v>
      </c>
      <c r="AV436" s="57" t="str">
        <f>IF(AND(ISNUMBER(E436),ISNUMBER(W436)),E436-W436,"")</f>
        <v/>
      </c>
      <c r="AW436" s="57" t="str">
        <f>IF(AND(ISNUMBER(I436),ISNUMBER(AF436)),I436-AF436,"")</f>
        <v/>
      </c>
      <c r="AX436" s="57" t="str">
        <f>IF(AND(ISNUMBER(AM436),ISNUMBER(G436)),G436-AM436,"")</f>
        <v/>
      </c>
      <c r="AY436" s="57" t="str">
        <f>IF(AND(ISNUMBER(AC436),ISNUMBER(AE436)),AC436-AE436,"")</f>
        <v/>
      </c>
      <c r="AZ436" s="57" t="str">
        <f>IF(AND(ISNUMBER(AL436),ISNUMBER(AM436)),AL436-AM436,"")</f>
        <v/>
      </c>
      <c r="BA436" s="60" t="str">
        <f>IF(AND($E436&gt;0,$W436&gt;0),IF(($E436-$W436)/$E436&gt;0,($E436-$W436)/$E436,0),"")</f>
        <v/>
      </c>
      <c r="BB436" s="60">
        <f>IF(AND($I436&gt;0,$AF436&gt;=0),IF(($I436-$AF436)/$I436&gt;0,($I436-$AF436)/$I436,0),"")</f>
        <v>1</v>
      </c>
      <c r="BC436" s="60">
        <f>IF(AND($AG436&gt;=0,$AD436&gt;=0,$AF436&gt;=0),IF($AG436/($AD436-$AF436)&gt;0,$AG436/($AD436-$AF436),0),"")</f>
        <v>0.57807692307692304</v>
      </c>
      <c r="BD436" s="60" t="str">
        <f>IF(AND($G436&gt;0,$AM436&gt;0),IF(($G436-$AM436)/$G436&gt;0,($G436-$AM436)/$G436,0),"")</f>
        <v/>
      </c>
      <c r="BE436" s="6">
        <f>IF((AD436-AF436)/(AJ436/60)&lt;=0,"",(AD436-AF436)/(AJ436/60))</f>
        <v>21.081081081081081</v>
      </c>
      <c r="BF436" s="6" t="str">
        <f>IF(OR(AJ436=0,AP436=0,NOT(ISNUMBER(AD436)),NOT(ISNUMBER(AF436)),NOT(ISNUMBER(AJ436)),NOT(ISNUMBER(AP436))),"",
IFERROR(IF((AD436-AF436)/(AJ436/60)/(AP436/1000)&lt;=0,"",(AD436-AF436)/(AJ436/60)/(AP436/1000)),""))</f>
        <v/>
      </c>
    </row>
    <row r="437" spans="1:58" ht="15.75">
      <c r="A437" s="12" t="s">
        <v>75</v>
      </c>
      <c r="B437" s="94">
        <v>45697</v>
      </c>
      <c r="C437" s="1">
        <v>193</v>
      </c>
      <c r="D437" s="3">
        <v>432</v>
      </c>
      <c r="E437" s="205" t="str">
        <f t="shared" si="27"/>
        <v/>
      </c>
      <c r="G437" s="15">
        <f>(N437*18-H437*18)/9</f>
        <v>14</v>
      </c>
      <c r="H437" s="15">
        <v>36.5</v>
      </c>
      <c r="I437" s="15">
        <f>AD437</f>
        <v>25.049999999999997</v>
      </c>
      <c r="K437" s="10" t="str">
        <f t="shared" si="28"/>
        <v/>
      </c>
      <c r="L437" s="9" t="str">
        <f t="shared" si="29"/>
        <v/>
      </c>
      <c r="M437" s="8">
        <f t="shared" si="30"/>
        <v>3.5785714285714283</v>
      </c>
      <c r="N437" s="7">
        <v>43.5</v>
      </c>
      <c r="T437" s="6">
        <v>77.900000000000006</v>
      </c>
      <c r="AB437" s="5">
        <v>80</v>
      </c>
      <c r="AC437" s="7">
        <f>T437</f>
        <v>77.900000000000006</v>
      </c>
      <c r="AD437" s="1">
        <f>5*5.01</f>
        <v>25.049999999999997</v>
      </c>
      <c r="AE437" s="1">
        <f>34.1</f>
        <v>34.1</v>
      </c>
      <c r="AF437" s="1">
        <v>0</v>
      </c>
      <c r="AG437" s="98">
        <v>14.4</v>
      </c>
      <c r="AH437" s="20">
        <v>0.49872685185185184</v>
      </c>
      <c r="AJ437" s="93">
        <v>74</v>
      </c>
      <c r="AK437" s="3">
        <f>180+60</f>
        <v>240</v>
      </c>
      <c r="AL437" s="4">
        <f>AE437</f>
        <v>34.1</v>
      </c>
      <c r="AM437" s="1">
        <f>32.1</f>
        <v>32.1</v>
      </c>
      <c r="AN437" s="80">
        <f>360-AK437-AB437</f>
        <v>40</v>
      </c>
      <c r="AP437" s="13">
        <f>AVERAGE(AO435:AO441)</f>
        <v>2880.0000000000182</v>
      </c>
      <c r="AR437" s="17" t="e">
        <f>(E437-W437)/E437</f>
        <v>#VALUE!</v>
      </c>
      <c r="AS437" s="16">
        <f>(I437-AF437)/I437</f>
        <v>1</v>
      </c>
      <c r="AT437" s="16">
        <f>AG437/(AD437-AF437)</f>
        <v>0.5748502994011977</v>
      </c>
      <c r="AU437" s="16">
        <f>(G437-AM437)/G437</f>
        <v>-1.2928571428571429</v>
      </c>
      <c r="AV437" s="57" t="str">
        <f>IF(AND(ISNUMBER(E437),ISNUMBER(W437)),E437-W437,"")</f>
        <v/>
      </c>
      <c r="AW437" s="57">
        <f>IF(AND(ISNUMBER(I437),ISNUMBER(AF437)),I437-AF437,"")</f>
        <v>25.049999999999997</v>
      </c>
      <c r="AX437" s="57">
        <f>IF(AND(ISNUMBER(AM437),ISNUMBER(G437)),G437-AM437,"")</f>
        <v>-18.100000000000001</v>
      </c>
      <c r="AY437" s="57">
        <f>IF(AND(ISNUMBER(AC437),ISNUMBER(AE437)),AC437-AE437,"")</f>
        <v>43.800000000000004</v>
      </c>
      <c r="AZ437" s="57">
        <f>IF(AND(ISNUMBER(AL437),ISNUMBER(AM437)),AL437-AM437,"")</f>
        <v>2</v>
      </c>
      <c r="BA437" s="60" t="str">
        <f>IF(AND($E437&gt;0,$W437&gt;0),IF(($E437-$W437)/$E437&gt;0,($E437-$W437)/$E437,0),"")</f>
        <v/>
      </c>
      <c r="BB437" s="60">
        <f>IF(AND($I437&gt;0,$AF437&gt;=0),IF(($I437-$AF437)/$I437&gt;0,($I437-$AF437)/$I437,0),"")</f>
        <v>1</v>
      </c>
      <c r="BC437" s="60">
        <f>IF(AND($AG437&gt;=0,$AD437&gt;=0,$AF437&gt;=0),IF($AG437/($AD437-$AF437)&gt;0,$AG437/($AD437-$AF437),0),"")</f>
        <v>0.5748502994011977</v>
      </c>
      <c r="BD437" s="60"/>
      <c r="BE437" s="6">
        <f>IF((AD437-AF437)/(AJ437/60)&lt;=0,"",(AD437-AF437)/(AJ437/60))</f>
        <v>20.310810810810807</v>
      </c>
      <c r="BF437" s="6">
        <f>IF(OR(AJ437=0,AP437=0,NOT(ISNUMBER(AD437)),NOT(ISNUMBER(AF437)),NOT(ISNUMBER(AJ437)),NOT(ISNUMBER(AP437))),"",
IFERROR(IF((AD437-AF437)/(AJ437/60)/(AP437/1000)&lt;=0,"",(AD437-AF437)/(AJ437/60)/(AP437/1000)),""))</f>
        <v>7.0523648648648196</v>
      </c>
    </row>
    <row r="438" spans="1:58" ht="15.75">
      <c r="A438" s="12" t="s">
        <v>74</v>
      </c>
      <c r="B438" s="94">
        <v>45698</v>
      </c>
      <c r="C438" s="1">
        <v>194</v>
      </c>
      <c r="D438" s="3">
        <v>433</v>
      </c>
      <c r="E438" s="205" t="str">
        <f t="shared" si="27"/>
        <v/>
      </c>
      <c r="G438" s="15">
        <f>(N438*18-H438*18)/9</f>
        <v>15.350000000000001</v>
      </c>
      <c r="H438" s="15">
        <f>5*0.425</f>
        <v>2.125</v>
      </c>
      <c r="I438" s="15">
        <f>AD438</f>
        <v>34.6</v>
      </c>
      <c r="K438" s="10" t="str">
        <f t="shared" si="28"/>
        <v/>
      </c>
      <c r="L438" s="9" t="str">
        <f t="shared" si="29"/>
        <v/>
      </c>
      <c r="M438" s="8">
        <f t="shared" si="30"/>
        <v>4.5081433224755694</v>
      </c>
      <c r="N438" s="7">
        <f>5*1.96</f>
        <v>9.8000000000000007</v>
      </c>
      <c r="T438" s="6">
        <v>36.1</v>
      </c>
      <c r="AB438" s="5">
        <v>80</v>
      </c>
      <c r="AC438" s="7">
        <f>T438</f>
        <v>36.1</v>
      </c>
      <c r="AD438" s="1">
        <f>5*6.92</f>
        <v>34.6</v>
      </c>
      <c r="AE438" s="1">
        <f>2*4.27</f>
        <v>8.5399999999999991</v>
      </c>
      <c r="AF438" s="1">
        <v>0</v>
      </c>
      <c r="AG438" s="98">
        <v>17.88</v>
      </c>
      <c r="AH438" s="20">
        <v>0.47916666666666669</v>
      </c>
      <c r="AJ438" s="93">
        <v>74</v>
      </c>
      <c r="AK438" s="3">
        <f>180+60</f>
        <v>240</v>
      </c>
      <c r="AL438" s="4">
        <f>AE438</f>
        <v>8.5399999999999991</v>
      </c>
      <c r="AM438" s="1">
        <f>2*3.06</f>
        <v>6.12</v>
      </c>
      <c r="AN438" s="80">
        <f>360-AK438-AB438</f>
        <v>40</v>
      </c>
      <c r="AP438" s="13">
        <f>AVERAGE(AO436:AO442)</f>
        <v>2880.0000000000182</v>
      </c>
      <c r="AR438" s="17" t="e">
        <f>(E438-W438)/E438</f>
        <v>#VALUE!</v>
      </c>
      <c r="AS438" s="16">
        <f>(I438-AF438)/I438</f>
        <v>1</v>
      </c>
      <c r="AT438" s="16">
        <f>AG438/(AD438-AF438)</f>
        <v>0.51676300578034673</v>
      </c>
      <c r="AU438" s="16">
        <f>(G438-AM438)/G438</f>
        <v>0.60130293159609116</v>
      </c>
      <c r="AV438" s="57" t="str">
        <f>IF(AND(ISNUMBER(E438),ISNUMBER(W438)),E438-W438,"")</f>
        <v/>
      </c>
      <c r="AW438" s="57">
        <f>IF(AND(ISNUMBER(I438),ISNUMBER(AF438)),I438-AF438,"")</f>
        <v>34.6</v>
      </c>
      <c r="AX438" s="57">
        <f>IF(AND(ISNUMBER(AM438),ISNUMBER(G438)),G438-AM438,"")</f>
        <v>9.23</v>
      </c>
      <c r="AY438" s="57">
        <f>IF(AND(ISNUMBER(AC438),ISNUMBER(AE438)),AC438-AE438,"")</f>
        <v>27.560000000000002</v>
      </c>
      <c r="AZ438" s="57">
        <f>IF(AND(ISNUMBER(AL438),ISNUMBER(AM438)),AL438-AM438,"")</f>
        <v>2.419999999999999</v>
      </c>
      <c r="BA438" s="60" t="str">
        <f>IF(AND($E438&gt;0,$W438&gt;0),IF(($E438-$W438)/$E438&gt;0,($E438-$W438)/$E438,0),"")</f>
        <v/>
      </c>
      <c r="BB438" s="60">
        <f>IF(AND($I438&gt;0,$AF438&gt;=0),IF(($I438-$AF438)/$I438&gt;0,($I438-$AF438)/$I438,0),"")</f>
        <v>1</v>
      </c>
      <c r="BC438" s="60">
        <f>IF(AND($AG438&gt;=0,$AD438&gt;=0,$AF438&gt;=0),IF($AG438/($AD438-$AF438)&gt;0,$AG438/($AD438-$AF438),0),"")</f>
        <v>0.51676300578034673</v>
      </c>
      <c r="BD438" s="60">
        <f>IF(AND($G438&gt;0,$AM438&gt;0),IF(($G438-$AM438)/$G438&gt;0,($G438-$AM438)/$G438,0),"")</f>
        <v>0.60130293159609116</v>
      </c>
      <c r="BE438" s="6">
        <f>IF((AD438-AF438)/(AJ438/60)&lt;=0,"",(AD438-AF438)/(AJ438/60))</f>
        <v>28.054054054054053</v>
      </c>
      <c r="BF438" s="6">
        <f>IF(OR(AJ438=0,AP438=0,NOT(ISNUMBER(AD438)),NOT(ISNUMBER(AF438)),NOT(ISNUMBER(AJ438)),NOT(ISNUMBER(AP438))),"",
IFERROR(IF((AD438-AF438)/(AJ438/60)/(AP438/1000)&lt;=0,"",(AD438-AF438)/(AJ438/60)/(AP438/1000)),""))</f>
        <v>9.7409909909909285</v>
      </c>
    </row>
    <row r="439" spans="1:58" ht="15.75">
      <c r="B439" s="94">
        <v>45699</v>
      </c>
      <c r="C439" s="1">
        <v>195</v>
      </c>
      <c r="D439" s="3">
        <v>434</v>
      </c>
      <c r="E439" s="205">
        <f t="shared" si="27"/>
        <v>258.00954999999999</v>
      </c>
      <c r="G439" s="15">
        <f>(N439*18-H439*18)/9</f>
        <v>10.439999999999998</v>
      </c>
      <c r="H439" s="15">
        <f>2*4.91</f>
        <v>9.82</v>
      </c>
      <c r="I439" s="15">
        <f>AD439</f>
        <v>22.95</v>
      </c>
      <c r="K439" s="10">
        <f t="shared" si="28"/>
        <v>24.713558429118777</v>
      </c>
      <c r="L439" s="9">
        <f t="shared" si="29"/>
        <v>5.6211230936819172</v>
      </c>
      <c r="M439" s="8">
        <f t="shared" si="30"/>
        <v>4.3965517241379315</v>
      </c>
      <c r="N439" s="7">
        <f>2*7.52</f>
        <v>15.04</v>
      </c>
      <c r="O439" s="59">
        <v>82.515000000000001</v>
      </c>
      <c r="P439" s="59">
        <v>27.055</v>
      </c>
      <c r="Q439" s="6">
        <f>O439*1.067</f>
        <v>88.043504999999996</v>
      </c>
      <c r="R439" s="6">
        <f>P439*1.514</f>
        <v>40.961269999999999</v>
      </c>
      <c r="S439" s="23">
        <f>P439*1.514+O439*1.067</f>
        <v>129.004775</v>
      </c>
      <c r="T439" s="6">
        <f>67</f>
        <v>67</v>
      </c>
      <c r="U439" s="6">
        <f>0*1.067</f>
        <v>0</v>
      </c>
      <c r="V439" s="6">
        <v>0</v>
      </c>
      <c r="W439" s="23">
        <f>U439*1.067+V439*1.514</f>
        <v>0</v>
      </c>
      <c r="AB439" s="5">
        <v>80</v>
      </c>
      <c r="AC439" s="7">
        <f>T439</f>
        <v>67</v>
      </c>
      <c r="AD439" s="1">
        <f>5*4.59</f>
        <v>22.95</v>
      </c>
      <c r="AE439" s="1">
        <f>5*5.23</f>
        <v>26.150000000000002</v>
      </c>
      <c r="AF439" s="1">
        <v>0.20799999999999999</v>
      </c>
      <c r="AG439" s="98">
        <v>11.34</v>
      </c>
      <c r="AH439" s="20">
        <v>0.47453703703703703</v>
      </c>
      <c r="AJ439" s="93">
        <v>74</v>
      </c>
      <c r="AK439" s="3">
        <f>180+60</f>
        <v>240</v>
      </c>
      <c r="AL439" s="4">
        <f>AE439</f>
        <v>26.150000000000002</v>
      </c>
      <c r="AM439" s="1">
        <f>2*6.78</f>
        <v>13.56</v>
      </c>
      <c r="AN439" s="80">
        <f>360-AK439-AB439</f>
        <v>40</v>
      </c>
      <c r="AP439" s="13">
        <f>AVERAGE(AO437:AO443)</f>
        <v>2880.0000000000182</v>
      </c>
      <c r="AR439" s="17">
        <f>(E439-W439)/E439</f>
        <v>1</v>
      </c>
      <c r="AS439" s="16">
        <f>(I439-AF439)/I439</f>
        <v>0.9909368191721134</v>
      </c>
      <c r="AT439" s="16">
        <f>AG439/(AD439-AF439)</f>
        <v>0.4986368832996218</v>
      </c>
      <c r="AU439" s="16">
        <f>(G439-AM439)/G439</f>
        <v>-0.29885057471264403</v>
      </c>
      <c r="AV439" s="57">
        <f>IF(AND(ISNUMBER(E439),ISNUMBER(W439)),E439-W439,"")</f>
        <v>258.00954999999999</v>
      </c>
      <c r="AW439" s="57">
        <f>IF(AND(ISNUMBER(I439),ISNUMBER(AF439)),I439-AF439,"")</f>
        <v>22.742000000000001</v>
      </c>
      <c r="AX439" s="57">
        <f>IF(AND(ISNUMBER(AM439),ISNUMBER(G439)),G439-AM439,"")</f>
        <v>-3.1200000000000028</v>
      </c>
      <c r="AY439" s="57">
        <f>IF(AND(ISNUMBER(AC439),ISNUMBER(AE439)),AC439-AE439,"")</f>
        <v>40.849999999999994</v>
      </c>
      <c r="AZ439" s="57">
        <f>IF(AND(ISNUMBER(AL439),ISNUMBER(AM439)),AL439-AM439,"")</f>
        <v>12.590000000000002</v>
      </c>
      <c r="BA439" s="60" t="str">
        <f>IF(AND($E439&gt;0,$W439&gt;0),IF(($E439-$W439)/$E439&gt;0,($E439-$W439)/$E439,0),"")</f>
        <v/>
      </c>
      <c r="BB439" s="60">
        <f>IF(AND($I439&gt;0,$AF439&gt;=0),IF(($I439-$AF439)/$I439&gt;0,($I439-$AF439)/$I439,0),"")</f>
        <v>0.9909368191721134</v>
      </c>
      <c r="BC439" s="60">
        <f>IF(AND($AG439&gt;=0,$AD439&gt;=0,$AF439&gt;=0),IF($AG439/($AD439-$AF439)&gt;0,$AG439/($AD439-$AF439),0),"")</f>
        <v>0.4986368832996218</v>
      </c>
      <c r="BD439" s="60"/>
      <c r="BE439" s="6">
        <f>IF((AD439-AF439)/(AJ439/60)&lt;=0,"",(AD439-AF439)/(AJ439/60))</f>
        <v>18.43945945945946</v>
      </c>
      <c r="BF439" s="6" t="e" cm="1">
        <f t="array" aca="1" ref="BF439" ca="1">IF(OR(AJ439=0,AP439=0,NOT(ISNUMBER(AD439)),NOT(DD784ISNUMBER(AF439)),NOT(DC3ISNUMBER(AJ439)),NOT(ISNUMBER(AP439))),"",
IFERROR(IF((AD439-AF439)/(AJ439/60)/(AP439/1000)&lt;=0,"",(AD439-AF439)/(AJ439/60)/(AP439/1000)),""))</f>
        <v>#NAME?</v>
      </c>
    </row>
    <row r="440" spans="1:58" ht="15.75">
      <c r="B440" s="94">
        <v>45700</v>
      </c>
      <c r="C440" s="1">
        <v>196</v>
      </c>
      <c r="D440" s="3">
        <v>435</v>
      </c>
      <c r="E440" s="205" t="str">
        <f t="shared" si="27"/>
        <v/>
      </c>
      <c r="G440" s="71">
        <f>14</f>
        <v>14</v>
      </c>
      <c r="H440" s="15"/>
      <c r="I440" s="15">
        <f>AD440</f>
        <v>21.8</v>
      </c>
      <c r="K440" s="10" t="str">
        <f t="shared" si="28"/>
        <v/>
      </c>
      <c r="L440" s="9" t="str">
        <f t="shared" si="29"/>
        <v/>
      </c>
      <c r="M440" s="8">
        <f t="shared" si="30"/>
        <v>3.1142857142857143</v>
      </c>
      <c r="T440" s="6">
        <v>38.9</v>
      </c>
      <c r="AB440" s="5">
        <v>80</v>
      </c>
      <c r="AC440" s="4">
        <v>38.9</v>
      </c>
      <c r="AD440" s="1">
        <f>5*4.36</f>
        <v>21.8</v>
      </c>
      <c r="AE440" s="1">
        <f>5*2.37</f>
        <v>11.850000000000001</v>
      </c>
      <c r="AF440" s="1">
        <v>0</v>
      </c>
      <c r="AG440" s="98">
        <v>11.66</v>
      </c>
      <c r="AH440" s="20">
        <v>0.47488425925925926</v>
      </c>
      <c r="AJ440" s="93">
        <v>74</v>
      </c>
      <c r="AK440" s="3">
        <f>180+60</f>
        <v>240</v>
      </c>
      <c r="AL440" s="4">
        <f>AE440</f>
        <v>11.850000000000001</v>
      </c>
      <c r="AM440" s="1">
        <f>5*1.65</f>
        <v>8.25</v>
      </c>
      <c r="AN440" s="80">
        <f>360-AK440-AB440</f>
        <v>40</v>
      </c>
      <c r="AP440" s="13">
        <f>AVERAGE(AO438:AO444)</f>
        <v>2865.0000000000091</v>
      </c>
      <c r="AR440" s="17" t="e">
        <f>(E440-W440)/E440</f>
        <v>#VALUE!</v>
      </c>
      <c r="AS440" s="16">
        <f>(I440-AF440)/I440</f>
        <v>1</v>
      </c>
      <c r="AT440" s="16">
        <f>AG440/(AD440-AF440)</f>
        <v>0.53486238532110086</v>
      </c>
      <c r="AU440" s="16">
        <f>(G440-AM440)/G440</f>
        <v>0.4107142857142857</v>
      </c>
      <c r="AV440" s="57" t="str">
        <f>IF(AND(ISNUMBER(E440),ISNUMBER(W440)),E440-W440,"")</f>
        <v/>
      </c>
      <c r="AW440" s="57">
        <f>IF(AND(ISNUMBER(I440),ISNUMBER(AF440)),I440-AF440,"")</f>
        <v>21.8</v>
      </c>
      <c r="AX440" s="57">
        <f>IF(AND(ISNUMBER(AM440),ISNUMBER(G440)),G440-AM440,"")</f>
        <v>5.75</v>
      </c>
      <c r="AY440" s="57">
        <f>IF(AND(ISNUMBER(AC440),ISNUMBER(AE440)),AC440-AE440,"")</f>
        <v>27.049999999999997</v>
      </c>
      <c r="AZ440" s="57">
        <f>IF(AND(ISNUMBER(AL440),ISNUMBER(AM440)),AL440-AM440,"")</f>
        <v>3.6000000000000014</v>
      </c>
      <c r="BA440" s="60" t="str">
        <f>IF(AND($E440&gt;0,$W440&gt;0),IF(($E440-$W440)/$E440&gt;0,($E440-$W440)/$E440,0),"")</f>
        <v/>
      </c>
      <c r="BB440" s="60">
        <f>IF(AND($I440&gt;0,$AF440&gt;=0),IF(($I440-$AF440)/$I440&gt;0,($I440-$AF440)/$I440,0),"")</f>
        <v>1</v>
      </c>
      <c r="BC440" s="60">
        <f>IF(AND($AG440&gt;=0,$AD440&gt;=0,$AF440&gt;=0),IF($AG440/($AD440-$AF440)&gt;0,$AG440/($AD440-$AF440),0),"")</f>
        <v>0.53486238532110086</v>
      </c>
      <c r="BD440" s="60">
        <f>IF(AND($G440&gt;0,$AM440&gt;0),IF(($G440-$AM440)/$G440&gt;0,($G440-$AM440)/$G440,0),"")</f>
        <v>0.4107142857142857</v>
      </c>
      <c r="BE440" s="6">
        <f>IF((AD440-AF440)/(AJ440/60)&lt;=0,"",(AD440-AF440)/(AJ440/60))</f>
        <v>17.675675675675674</v>
      </c>
      <c r="BF440" s="6">
        <f>IF(OR(AJ440=0,AP440=0,NOT(ISNUMBER(AD440)),NOT(ISNUMBER(AF440)),NOT(ISNUMBER(AJ440)),NOT(ISNUMBER(AP440))),"",
IFERROR(IF((AD440-AF440)/(AJ440/60)/(AP440/1000)&lt;=0,"",(AD440-AF440)/(AJ440/60)/(AP440/1000)),""))</f>
        <v>6.16952030564594</v>
      </c>
    </row>
    <row r="441" spans="1:58" ht="15.75">
      <c r="A441" s="12" t="s">
        <v>73</v>
      </c>
      <c r="B441" s="94">
        <v>45701</v>
      </c>
      <c r="C441" s="1">
        <v>197</v>
      </c>
      <c r="D441" s="3">
        <v>436</v>
      </c>
      <c r="E441" s="205">
        <f t="shared" si="27"/>
        <v>245.86574400000001</v>
      </c>
      <c r="G441" s="15">
        <f>(N441*18-H441*18)/9</f>
        <v>13.999999999999996</v>
      </c>
      <c r="H441" s="15">
        <f>2.55</f>
        <v>2.5499999999999998</v>
      </c>
      <c r="I441" s="15">
        <f>AD441</f>
        <v>24</v>
      </c>
      <c r="K441" s="10">
        <f t="shared" si="28"/>
        <v>17.561838857142863</v>
      </c>
      <c r="L441" s="9">
        <f t="shared" si="29"/>
        <v>5.1222029999999998</v>
      </c>
      <c r="M441" s="8">
        <f t="shared" si="30"/>
        <v>3.4285714285714293</v>
      </c>
      <c r="N441" s="7">
        <f>5*1.91</f>
        <v>9.5499999999999989</v>
      </c>
      <c r="O441" s="59">
        <v>77.846000000000004</v>
      </c>
      <c r="P441" s="59">
        <v>26.335000000000001</v>
      </c>
      <c r="Q441" s="6">
        <f>O441*1.067</f>
        <v>83.061682000000005</v>
      </c>
      <c r="R441" s="6">
        <f>P441*1.514</f>
        <v>39.871189999999999</v>
      </c>
      <c r="S441" s="23">
        <f>P441*1.514+O441*1.067</f>
        <v>122.932872</v>
      </c>
      <c r="T441" s="6">
        <f>50*0.751</f>
        <v>37.549999999999997</v>
      </c>
      <c r="U441" s="59">
        <v>0.91300000000000003</v>
      </c>
      <c r="V441" s="59">
        <v>0.84299999999999997</v>
      </c>
      <c r="W441" s="23">
        <f>U441*1.067+V441*1.514</f>
        <v>2.2504729999999999</v>
      </c>
      <c r="AB441" s="5">
        <v>80</v>
      </c>
      <c r="AC441" s="7">
        <f>T441</f>
        <v>37.549999999999997</v>
      </c>
      <c r="AD441" s="1">
        <f>24</f>
        <v>24</v>
      </c>
      <c r="AE441" s="1">
        <f>5*2.06</f>
        <v>10.3</v>
      </c>
      <c r="AF441" s="1">
        <v>0</v>
      </c>
      <c r="AG441" s="98">
        <v>11.38</v>
      </c>
      <c r="AH441" s="20">
        <v>0.484375</v>
      </c>
      <c r="AJ441" s="1">
        <f>(134+104)/2</f>
        <v>119</v>
      </c>
      <c r="AK441" s="3">
        <f>180+60</f>
        <v>240</v>
      </c>
      <c r="AL441" s="4">
        <f>AE441</f>
        <v>10.3</v>
      </c>
      <c r="AM441" s="1">
        <f>5*1.42</f>
        <v>7.1</v>
      </c>
      <c r="AN441" s="80">
        <f>360-AK441-AB441</f>
        <v>40</v>
      </c>
      <c r="AO441" s="2">
        <v>2880.0000000000182</v>
      </c>
      <c r="AP441" s="13">
        <f>AVERAGE(AO439:AO445)</f>
        <v>2786.6666666666788</v>
      </c>
      <c r="AQ441" s="2">
        <v>21.286031042128332</v>
      </c>
      <c r="AR441" s="17">
        <f>(E441-W441)/E441</f>
        <v>0.99084674032507758</v>
      </c>
      <c r="AS441" s="16">
        <f>(I441-AF441)/I441</f>
        <v>1</v>
      </c>
      <c r="AT441" s="16">
        <f>AG441/(AD441-AF441)</f>
        <v>0.47416666666666668</v>
      </c>
      <c r="AU441" s="16">
        <f>(G441-AM441)/G441</f>
        <v>0.49285714285714277</v>
      </c>
      <c r="AV441" s="57">
        <f>IF(AND(ISNUMBER(E441),ISNUMBER(W441)),E441-W441,"")</f>
        <v>243.61527100000001</v>
      </c>
      <c r="AW441" s="57">
        <f>IF(AND(ISNUMBER(I441),ISNUMBER(AF441)),I441-AF441,"")</f>
        <v>24</v>
      </c>
      <c r="AX441" s="57">
        <f>IF(AND(ISNUMBER(AM441),ISNUMBER(G441)),G441-AM441,"")</f>
        <v>6.8999999999999968</v>
      </c>
      <c r="AY441" s="57">
        <f>IF(AND(ISNUMBER(AC441),ISNUMBER(AE441)),AC441-AE441,"")</f>
        <v>27.249999999999996</v>
      </c>
      <c r="AZ441" s="57">
        <f>IF(AND(ISNUMBER(AL441),ISNUMBER(AM441)),AL441-AM441,"")</f>
        <v>3.2000000000000011</v>
      </c>
      <c r="BA441" s="60">
        <f>IF(AND($E441&gt;0,$W441&gt;0),IF(($E441-$W441)/$E441&gt;0,($E441-$W441)/$E441,0),"")</f>
        <v>0.99084674032507758</v>
      </c>
      <c r="BB441" s="60">
        <f>IF(AND($I441&gt;0,$AF441&gt;=0),IF(($I441-$AF441)/$I441&gt;0,($I441-$AF441)/$I441,0),"")</f>
        <v>1</v>
      </c>
      <c r="BC441" s="60">
        <f>IF(AND($AG441&gt;=0,$AD441&gt;=0,$AF441&gt;=0),IF($AG441/($AD441-$AF441)&gt;0,$AG441/($AD441-$AF441),0),"")</f>
        <v>0.47416666666666668</v>
      </c>
      <c r="BD441" s="60">
        <f>IF(AND($G441&gt;0,$AM441&gt;0),IF(($G441-$AM441)/$G441&gt;0,($G441-$AM441)/$G441,0),"")</f>
        <v>0.49285714285714277</v>
      </c>
      <c r="BE441" s="6">
        <f>IF((AD441-AF441)/(AJ441/60)&lt;=0,"",(AD441-AF441)/(AJ441/60))</f>
        <v>12.100840336134453</v>
      </c>
      <c r="BF441" s="6">
        <f>IF(OR(AJ441=0,AP441=0,NOT(ISNUMBER(AD441)),NOT(ISNUMBER(AF441)),NOT(ISNUMBER(AJ441)),NOT(ISNUMBER(AP441))),"",
IFERROR(IF((AD441-AF441)/(AJ441/60)/(AP441/1000)&lt;=0,"",(AD441-AF441)/(AJ441/60)/(AP441/1000)),""))</f>
        <v>4.3424068191869862</v>
      </c>
    </row>
    <row r="442" spans="1:58" ht="15.75">
      <c r="B442" s="94">
        <v>45702</v>
      </c>
      <c r="C442" s="1">
        <v>198</v>
      </c>
      <c r="D442" s="3">
        <v>437</v>
      </c>
      <c r="E442" s="205" t="str">
        <f t="shared" si="27"/>
        <v/>
      </c>
      <c r="H442" s="15"/>
      <c r="I442" s="15"/>
      <c r="K442" s="10" t="str">
        <f t="shared" si="28"/>
        <v/>
      </c>
      <c r="L442" s="9" t="str">
        <f t="shared" si="29"/>
        <v/>
      </c>
      <c r="M442" s="8" t="str">
        <f t="shared" si="30"/>
        <v/>
      </c>
      <c r="AB442" s="5">
        <v>80</v>
      </c>
      <c r="AD442" s="95">
        <v>23</v>
      </c>
      <c r="AG442" s="98"/>
      <c r="AH442"/>
      <c r="AJ442" s="93">
        <f>(134+104)/2</f>
        <v>119</v>
      </c>
      <c r="AK442" s="3">
        <f>180+60</f>
        <v>240</v>
      </c>
      <c r="AN442" s="80">
        <f>360-AK442-AB442</f>
        <v>40</v>
      </c>
      <c r="AP442" s="13">
        <f>AVERAGE(AO440:AO446)</f>
        <v>2786.6666666666788</v>
      </c>
      <c r="AR442" s="17" t="e">
        <f>(E442-W442)/E442</f>
        <v>#VALUE!</v>
      </c>
      <c r="AS442" s="16" t="e">
        <f>(I442-AF442)/I442</f>
        <v>#DIV/0!</v>
      </c>
      <c r="AT442" s="16"/>
      <c r="AU442" s="16" t="e">
        <f>(G442-AM442)/G442</f>
        <v>#DIV/0!</v>
      </c>
      <c r="AV442" s="57" t="str">
        <f>IF(AND(ISNUMBER(E442),ISNUMBER(W442)),E442-W442,"")</f>
        <v/>
      </c>
      <c r="AW442" s="57" t="str">
        <f>IF(AND(ISNUMBER(I442),ISNUMBER(AF442)),I442-AF442,"")</f>
        <v/>
      </c>
      <c r="AX442" s="57" t="str">
        <f>IF(AND(ISNUMBER(AM442),ISNUMBER(G442)),G442-AM442,"")</f>
        <v/>
      </c>
      <c r="AY442" s="57" t="str">
        <f>IF(AND(ISNUMBER(AC442),ISNUMBER(AE442)),AC442-AE442,"")</f>
        <v/>
      </c>
      <c r="AZ442" s="57" t="str">
        <f>IF(AND(ISNUMBER(AL442),ISNUMBER(AM442)),AL442-AM442,"")</f>
        <v/>
      </c>
      <c r="BA442" s="60" t="str">
        <f>IF(AND($E442&gt;0,$W442&gt;0),IF(($E442-$W442)/$E442&gt;0,($E442-$W442)/$E442,0),"")</f>
        <v/>
      </c>
      <c r="BB442" s="60" t="str">
        <f>IF(AND($I442&gt;0,$AF442&gt;=0),IF(($I442-$AF442)/$I442&gt;0,($I442-$AF442)/$I442,0),"")</f>
        <v/>
      </c>
      <c r="BC442" s="60"/>
      <c r="BD442" s="60" t="str">
        <f>IF(AND($G442&gt;0,$AM442&gt;0),IF(($G442-$AM442)/$G442&gt;0,($G442-$AM442)/$G442,0),"")</f>
        <v/>
      </c>
      <c r="BE442" s="6">
        <f>IF((AD442-AF442)/(AJ442/60)&lt;=0,"",(AD442-AF442)/(AJ442/60))</f>
        <v>11.596638655462185</v>
      </c>
      <c r="BF442" s="6" t="str">
        <f>IF(OR(AJ442=0,AP442=0,NOT(ISNUMBER(AD442)),NOT(ISNUMBER(AF442)),NOT(ISNUMBER(AJ442)),NOT(ISNUMBER(AP442))),"",
IFERROR(IF((AD442-AF442)/(AJ442/60)/(AP442/1000)&lt;=0,"",(AD442-AF442)/(AJ442/60)/(AP442/1000)),""))</f>
        <v/>
      </c>
    </row>
    <row r="443" spans="1:58" ht="15.75">
      <c r="B443" s="94">
        <v>45703</v>
      </c>
      <c r="C443" s="1">
        <v>199</v>
      </c>
      <c r="D443" s="3">
        <v>438</v>
      </c>
      <c r="E443" s="205" t="str">
        <f t="shared" si="27"/>
        <v/>
      </c>
      <c r="H443" s="15"/>
      <c r="I443" s="15"/>
      <c r="K443" s="10" t="str">
        <f t="shared" si="28"/>
        <v/>
      </c>
      <c r="L443" s="9" t="str">
        <f t="shared" si="29"/>
        <v/>
      </c>
      <c r="M443" s="8" t="str">
        <f t="shared" si="30"/>
        <v/>
      </c>
      <c r="AB443" s="5">
        <v>80</v>
      </c>
      <c r="AD443" s="95">
        <v>22</v>
      </c>
      <c r="AG443" s="98">
        <v>10.55</v>
      </c>
      <c r="AH443" s="20">
        <v>0.47766203703703702</v>
      </c>
      <c r="AJ443" s="93">
        <f>(134+104)/2</f>
        <v>119</v>
      </c>
      <c r="AK443" s="3">
        <f>180+60</f>
        <v>240</v>
      </c>
      <c r="AN443" s="80">
        <f>360-AK443-AB443</f>
        <v>40</v>
      </c>
      <c r="AP443" s="13">
        <f>AVERAGE(AO441:AO447)</f>
        <v>2786.6666666666788</v>
      </c>
      <c r="AR443" s="17" t="e">
        <f>(E443-W443)/E443</f>
        <v>#VALUE!</v>
      </c>
      <c r="AS443" s="16" t="e">
        <f>(I443-AF443)/I443</f>
        <v>#DIV/0!</v>
      </c>
      <c r="AT443" s="16">
        <f>AG443/(AD443-AF443)</f>
        <v>0.47954545454545455</v>
      </c>
      <c r="AU443" s="16" t="e">
        <f>(G443-AM443)/G443</f>
        <v>#DIV/0!</v>
      </c>
      <c r="AV443" s="57" t="str">
        <f>IF(AND(ISNUMBER(E443),ISNUMBER(W443)),E443-W443,"")</f>
        <v/>
      </c>
      <c r="AW443" s="57" t="str">
        <f>IF(AND(ISNUMBER(I443),ISNUMBER(AF443)),I443-AF443,"")</f>
        <v/>
      </c>
      <c r="AX443" s="57" t="str">
        <f>IF(AND(ISNUMBER(AM443),ISNUMBER(G443)),G443-AM443,"")</f>
        <v/>
      </c>
      <c r="AY443" s="57" t="str">
        <f>IF(AND(ISNUMBER(AC443),ISNUMBER(AE443)),AC443-AE443,"")</f>
        <v/>
      </c>
      <c r="AZ443" s="57" t="str">
        <f>IF(AND(ISNUMBER(AL443),ISNUMBER(AM443)),AL443-AM443,"")</f>
        <v/>
      </c>
      <c r="BA443" s="60" t="str">
        <f>IF(AND($E443&gt;0,$W443&gt;0),IF(($E443-$W443)/$E443&gt;0,($E443-$W443)/$E443,0),"")</f>
        <v/>
      </c>
      <c r="BB443" s="60" t="str">
        <f>IF(AND($I443&gt;0,$AF443&gt;=0),IF(($I443-$AF443)/$I443&gt;0,($I443-$AF443)/$I443,0),"")</f>
        <v/>
      </c>
      <c r="BC443" s="60">
        <f>IF(AND($AG443&gt;=0,$AD443&gt;=0,$AF443&gt;=0),IF($AG443/($AD443-$AF443)&gt;0,$AG443/($AD443-$AF443),0),"")</f>
        <v>0.47954545454545455</v>
      </c>
      <c r="BD443" s="60" t="str">
        <f>IF(AND($G443&gt;0,$AM443&gt;0),IF(($G443-$AM443)/$G443&gt;0,($G443-$AM443)/$G443,0),"")</f>
        <v/>
      </c>
      <c r="BE443" s="6">
        <f>IF((AD443-AF443)/(AJ443/60)&lt;=0,"",(AD443-AF443)/(AJ443/60))</f>
        <v>11.092436974789916</v>
      </c>
      <c r="BF443" s="6" t="str">
        <f>IF(OR(AJ443=0,AP443=0,NOT(ISNUMBER(AD443)),NOT(ISNUMBER(AF443)),NOT(ISNUMBER(AJ443)),NOT(ISNUMBER(AP443))),"",
IFERROR(IF((AD443-AF443)/(AJ443/60)/(AP443/1000)&lt;=0,"",(AD443-AF443)/(AJ443/60)/(AP443/1000)),""))</f>
        <v/>
      </c>
    </row>
    <row r="444" spans="1:58" ht="15.75">
      <c r="A444" s="12" t="s">
        <v>72</v>
      </c>
      <c r="B444" s="94">
        <v>45704</v>
      </c>
      <c r="C444" s="1">
        <v>200</v>
      </c>
      <c r="D444" s="3">
        <v>439</v>
      </c>
      <c r="E444" s="205" t="str">
        <f t="shared" si="27"/>
        <v/>
      </c>
      <c r="H444" s="15"/>
      <c r="I444" s="15"/>
      <c r="K444" s="10" t="str">
        <f t="shared" si="28"/>
        <v/>
      </c>
      <c r="L444" s="9" t="str">
        <f t="shared" si="29"/>
        <v/>
      </c>
      <c r="M444" s="8" t="str">
        <f t="shared" si="30"/>
        <v/>
      </c>
      <c r="AB444" s="5">
        <v>80</v>
      </c>
      <c r="AD444" s="95">
        <v>21</v>
      </c>
      <c r="AG444" s="98">
        <v>11.13</v>
      </c>
      <c r="AH444" s="20">
        <v>0.81990740740740742</v>
      </c>
      <c r="AJ444" s="93">
        <f>(134+104)/2</f>
        <v>119</v>
      </c>
      <c r="AK444" s="3">
        <f>180+60</f>
        <v>240</v>
      </c>
      <c r="AN444" s="80">
        <f>360-AK444-AB444</f>
        <v>40</v>
      </c>
      <c r="AO444" s="2">
        <v>2850</v>
      </c>
      <c r="AP444" s="13">
        <f>AVERAGE(AO442:AO448)</f>
        <v>2703.3333333333453</v>
      </c>
      <c r="AQ444" s="2">
        <f>[1]HRT_SRT!R498</f>
        <v>19.860627177700351</v>
      </c>
      <c r="AR444" s="17" t="e">
        <f>(E444-W444)/E444</f>
        <v>#VALUE!</v>
      </c>
      <c r="AS444" s="16" t="e">
        <f>(I444-AF444)/I444</f>
        <v>#DIV/0!</v>
      </c>
      <c r="AT444" s="16">
        <f>AG444/(AD444-AF444)</f>
        <v>0.53</v>
      </c>
      <c r="AU444" s="16" t="e">
        <f>(G444-AM444)/G444</f>
        <v>#DIV/0!</v>
      </c>
      <c r="AV444" s="57" t="str">
        <f>IF(AND(ISNUMBER(E444),ISNUMBER(W444)),E444-W444,"")</f>
        <v/>
      </c>
      <c r="AW444" s="57" t="str">
        <f>IF(AND(ISNUMBER(I444),ISNUMBER(AF444)),I444-AF444,"")</f>
        <v/>
      </c>
      <c r="AX444" s="57" t="str">
        <f>IF(AND(ISNUMBER(AM444),ISNUMBER(G444)),G444-AM444,"")</f>
        <v/>
      </c>
      <c r="AY444" s="57" t="str">
        <f>IF(AND(ISNUMBER(AC444),ISNUMBER(AE444)),AC444-AE444,"")</f>
        <v/>
      </c>
      <c r="AZ444" s="57" t="str">
        <f>IF(AND(ISNUMBER(AL444),ISNUMBER(AM444)),AL444-AM444,"")</f>
        <v/>
      </c>
      <c r="BA444" s="60" t="str">
        <f>IF(AND($E444&gt;0,$W444&gt;0),IF(($E444-$W444)/$E444&gt;0,($E444-$W444)/$E444,0),"")</f>
        <v/>
      </c>
      <c r="BB444" s="60" t="str">
        <f>IF(AND($I444&gt;0,$AF444&gt;=0),IF(($I444-$AF444)/$I444&gt;0,($I444-$AF444)/$I444,0),"")</f>
        <v/>
      </c>
      <c r="BC444" s="60">
        <f>IF(AND($AG444&gt;=0,$AD444&gt;=0,$AF444&gt;=0),IF($AG444/($AD444-$AF444)&gt;0,$AG444/($AD444-$AF444),0),"")</f>
        <v>0.53</v>
      </c>
      <c r="BD444" s="60" t="str">
        <f>IF(AND($G444&gt;0,$AM444&gt;0),IF(($G444-$AM444)/$G444&gt;0,($G444-$AM444)/$G444,0),"")</f>
        <v/>
      </c>
      <c r="BE444" s="6">
        <f>IF((AD444-AF444)/(AJ444/60)&lt;=0,"",(AD444-AF444)/(AJ444/60))</f>
        <v>10.588235294117647</v>
      </c>
      <c r="BF444" s="6" t="str">
        <f>IF(OR(AJ444=0,AP444=0,NOT(ISNUMBER(AD444)),NOT(ISNUMBER(AF444)),NOT(ISNUMBER(AJ444)),NOT(ISNUMBER(AP444))),"",
IFERROR(IF((AD444-AF444)/(AJ444/60)/(AP444/1000)&lt;=0,"",(AD444-AF444)/(AJ444/60)/(AP444/1000)),""))</f>
        <v/>
      </c>
    </row>
    <row r="445" spans="1:58" ht="15.75">
      <c r="A445" s="12" t="s">
        <v>71</v>
      </c>
      <c r="B445" s="94">
        <v>45705</v>
      </c>
      <c r="C445" s="1">
        <v>201</v>
      </c>
      <c r="D445" s="3">
        <v>440</v>
      </c>
      <c r="E445" s="205" t="str">
        <f t="shared" si="27"/>
        <v/>
      </c>
      <c r="H445" s="15"/>
      <c r="I445" s="15"/>
      <c r="K445" s="10" t="str">
        <f t="shared" si="28"/>
        <v/>
      </c>
      <c r="L445" s="9" t="str">
        <f t="shared" si="29"/>
        <v/>
      </c>
      <c r="M445" s="8" t="str">
        <f t="shared" si="30"/>
        <v/>
      </c>
      <c r="N445" s="6"/>
      <c r="AB445" s="5">
        <v>80</v>
      </c>
      <c r="AC445" s="1"/>
      <c r="AD445" s="95">
        <v>20.5</v>
      </c>
      <c r="AG445" s="98">
        <v>10.49</v>
      </c>
      <c r="AH445" s="20">
        <v>0.81597222222222221</v>
      </c>
      <c r="AJ445" s="93">
        <f>(134+104)/2</f>
        <v>119</v>
      </c>
      <c r="AK445" s="3">
        <f>180+60</f>
        <v>240</v>
      </c>
      <c r="AL445" s="1"/>
      <c r="AN445" s="80">
        <f>360-AK445-AB445</f>
        <v>40</v>
      </c>
      <c r="AO445" s="2">
        <v>2630.0000000000182</v>
      </c>
      <c r="AP445" s="13">
        <f>AVERAGE(AO443:AO449)</f>
        <v>2703.3333333333453</v>
      </c>
      <c r="AQ445" s="2">
        <f>[1]HRT_SRT!R499</f>
        <v>16.410149750415989</v>
      </c>
      <c r="AR445" s="17" t="e">
        <f>(E445-W445)/E445</f>
        <v>#VALUE!</v>
      </c>
      <c r="AS445" s="16" t="e">
        <f>(I445-AF445)/I445</f>
        <v>#DIV/0!</v>
      </c>
      <c r="AT445" s="16">
        <f>AG445/(AD445-AF445)</f>
        <v>0.51170731707317074</v>
      </c>
      <c r="AU445" s="16" t="e">
        <f>(G445-AM445)/G445</f>
        <v>#DIV/0!</v>
      </c>
      <c r="AV445" s="57" t="str">
        <f>IF(AND(ISNUMBER(E445),ISNUMBER(W445)),E445-W445,"")</f>
        <v/>
      </c>
      <c r="AW445" s="57" t="str">
        <f>IF(AND(ISNUMBER(I445),ISNUMBER(AF445)),I445-AF445,"")</f>
        <v/>
      </c>
      <c r="AX445" s="57" t="str">
        <f>IF(AND(ISNUMBER(AM445),ISNUMBER(G445)),G445-AM445,"")</f>
        <v/>
      </c>
      <c r="AY445" s="57" t="str">
        <f>IF(AND(ISNUMBER(AC445),ISNUMBER(AE445)),AC445-AE445,"")</f>
        <v/>
      </c>
      <c r="AZ445" s="57" t="str">
        <f>IF(AND(ISNUMBER(AL445),ISNUMBER(AM445)),AL445-AM445,"")</f>
        <v/>
      </c>
      <c r="BA445" s="60" t="str">
        <f>IF(AND($E445&gt;0,$W445&gt;0),IF(($E445-$W445)/$E445&gt;0,($E445-$W445)/$E445,0),"")</f>
        <v/>
      </c>
      <c r="BB445" s="60" t="str">
        <f>IF(AND($I445&gt;0,$AF445&gt;=0),IF(($I445-$AF445)/$I445&gt;0,($I445-$AF445)/$I445,0),"")</f>
        <v/>
      </c>
      <c r="BC445" s="60">
        <f>IF(AND($AG445&gt;=0,$AD445&gt;=0,$AF445&gt;=0),IF($AG445/($AD445-$AF445)&gt;0,$AG445/($AD445-$AF445),0),"")</f>
        <v>0.51170731707317074</v>
      </c>
      <c r="BD445" s="60" t="str">
        <f>IF(AND($G445&gt;0,$AM445&gt;0),IF(($G445-$AM445)/$G445&gt;0,($G445-$AM445)/$G445,0),"")</f>
        <v/>
      </c>
      <c r="BE445" s="6">
        <f>IF((AD445-AF445)/(AJ445/60)&lt;=0,"",(AD445-AF445)/(AJ445/60))</f>
        <v>10.336134453781511</v>
      </c>
      <c r="BF445" s="6" t="str">
        <f>IF(OR(AJ445=0,AP445=0,NOT(ISNUMBER(AD445)),NOT(ISNUMBER(AF445)),NOT(ISNUMBER(AJ445)),NOT(ISNUMBER(AP445))),"",
IFERROR(IF((AD445-AF445)/(AJ445/60)/(AP445/1000)&lt;=0,"",(AD445-AF445)/(AJ445/60)/(AP445/1000)),""))</f>
        <v/>
      </c>
    </row>
    <row r="446" spans="1:58" ht="15.75">
      <c r="B446" s="94">
        <v>45706</v>
      </c>
      <c r="C446" s="1">
        <v>202</v>
      </c>
      <c r="D446" s="3">
        <v>441</v>
      </c>
      <c r="E446" s="205">
        <f t="shared" si="27"/>
        <v>296.12885600000004</v>
      </c>
      <c r="G446" s="15">
        <f>(N446*18-H446*18)/9</f>
        <v>14.139999999999999</v>
      </c>
      <c r="H446" s="15">
        <f>5*0.476</f>
        <v>2.38</v>
      </c>
      <c r="I446" s="15">
        <f>AD446</f>
        <v>20.2</v>
      </c>
      <c r="K446" s="10">
        <f t="shared" si="28"/>
        <v>20.942634794908066</v>
      </c>
      <c r="L446" s="9">
        <f t="shared" si="29"/>
        <v>7.3299221782178234</v>
      </c>
      <c r="M446" s="8">
        <f t="shared" si="30"/>
        <v>2.8571428571428572</v>
      </c>
      <c r="N446" s="7">
        <f>5*1.89</f>
        <v>9.4499999999999993</v>
      </c>
      <c r="O446" s="59">
        <v>92.28</v>
      </c>
      <c r="P446" s="59">
        <v>32.762</v>
      </c>
      <c r="Q446" s="6">
        <f>O446*1.067</f>
        <v>98.462760000000003</v>
      </c>
      <c r="R446" s="6">
        <f>P446*1.514</f>
        <v>49.601668000000004</v>
      </c>
      <c r="S446" s="23">
        <f>P446*1.514+O446*1.067</f>
        <v>148.06442800000002</v>
      </c>
      <c r="T446" s="6">
        <v>37.5</v>
      </c>
      <c r="U446" s="59">
        <f>1.112*1.067</f>
        <v>1.186504</v>
      </c>
      <c r="V446" s="59">
        <f>0.845*1.514</f>
        <v>1.2793300000000001</v>
      </c>
      <c r="W446" s="23">
        <f>U446*1.067+V446*1.514</f>
        <v>3.202905388</v>
      </c>
      <c r="AB446" s="5">
        <v>80</v>
      </c>
      <c r="AC446" s="7">
        <f>T446</f>
        <v>37.5</v>
      </c>
      <c r="AD446" s="1">
        <f>5*4.04</f>
        <v>20.2</v>
      </c>
      <c r="AE446" s="1">
        <f>5*1.93</f>
        <v>9.65</v>
      </c>
      <c r="AF446" s="1">
        <v>0</v>
      </c>
      <c r="AG446" s="98">
        <v>9.83</v>
      </c>
      <c r="AH446" s="20">
        <v>0.82291666666666663</v>
      </c>
      <c r="AJ446" s="93">
        <f>(134+104)/2</f>
        <v>119</v>
      </c>
      <c r="AK446" s="3">
        <f>180+60</f>
        <v>240</v>
      </c>
      <c r="AL446" s="4">
        <f>AE446</f>
        <v>9.65</v>
      </c>
      <c r="AM446" s="1">
        <f>5*1.34</f>
        <v>6.7</v>
      </c>
      <c r="AN446" s="80">
        <f>360-AK446-AB446</f>
        <v>40</v>
      </c>
      <c r="AP446" s="13">
        <f>AVERAGE(AO444:AO450)</f>
        <v>2703.3333333333453</v>
      </c>
      <c r="AR446" s="17">
        <f>(E446-W446)/E446</f>
        <v>0.9891840821213318</v>
      </c>
      <c r="AS446" s="16">
        <f>(I446-AF446)/I446</f>
        <v>1</v>
      </c>
      <c r="AT446" s="16">
        <f>AG446/(AD446-AF446)</f>
        <v>0.48663366336633668</v>
      </c>
      <c r="AU446" s="16">
        <f>(G446-AM446)/G446</f>
        <v>0.52616690240452613</v>
      </c>
      <c r="AV446" s="57">
        <f>IF(AND(ISNUMBER(E446),ISNUMBER(W446)),E446-W446,"")</f>
        <v>292.92595061200007</v>
      </c>
      <c r="AW446" s="57">
        <f>IF(AND(ISNUMBER(I446),ISNUMBER(AF446)),I446-AF446,"")</f>
        <v>20.2</v>
      </c>
      <c r="AX446" s="57">
        <f>IF(AND(ISNUMBER(AM446),ISNUMBER(G446)),G446-AM446,"")</f>
        <v>7.4399999999999986</v>
      </c>
      <c r="AY446" s="57">
        <f>IF(AND(ISNUMBER(AC446),ISNUMBER(AE446)),AC446-AE446,"")</f>
        <v>27.85</v>
      </c>
      <c r="AZ446" s="57">
        <f>IF(AND(ISNUMBER(AL446),ISNUMBER(AM446)),AL446-AM446,"")</f>
        <v>2.95</v>
      </c>
      <c r="BA446" s="60">
        <f>IF(AND($E446&gt;0,$W446&gt;0),IF(($E446-$W446)/$E446&gt;0,($E446-$W446)/$E446,0),"")</f>
        <v>0.9891840821213318</v>
      </c>
      <c r="BB446" s="60">
        <f>IF(AND($I446&gt;0,$AF446&gt;=0),IF(($I446-$AF446)/$I446&gt;0,($I446-$AF446)/$I446,0),"")</f>
        <v>1</v>
      </c>
      <c r="BC446" s="60">
        <f>IF(AND($AG446&gt;=0,$AD446&gt;=0,$AF446&gt;=0),IF($AG446/($AD446-$AF446)&gt;0,$AG446/($AD446-$AF446),0),"")</f>
        <v>0.48663366336633668</v>
      </c>
      <c r="BD446" s="60">
        <f>IF(AND($G446&gt;0,$AM446&gt;0),IF(($G446-$AM446)/$G446&gt;0,($G446-$AM446)/$G446,0),"")</f>
        <v>0.52616690240452613</v>
      </c>
      <c r="BE446" s="6">
        <f>IF((AD446-AF446)/(AJ446/60)&lt;=0,"",(AD446-AF446)/(AJ446/60))</f>
        <v>10.184873949579831</v>
      </c>
      <c r="BF446" s="6"/>
    </row>
    <row r="447" spans="1:58" ht="15.75">
      <c r="B447" s="94">
        <v>45707</v>
      </c>
      <c r="C447" s="1">
        <v>203</v>
      </c>
      <c r="D447" s="3">
        <v>442</v>
      </c>
      <c r="E447" s="205" t="str">
        <f t="shared" si="27"/>
        <v/>
      </c>
      <c r="H447" s="15"/>
      <c r="I447" s="15">
        <f>AD447</f>
        <v>20</v>
      </c>
      <c r="K447" s="10" t="str">
        <f t="shared" si="28"/>
        <v/>
      </c>
      <c r="L447" s="9" t="str">
        <f t="shared" si="29"/>
        <v/>
      </c>
      <c r="M447" s="8" t="str">
        <f t="shared" si="30"/>
        <v/>
      </c>
      <c r="AB447" s="5">
        <v>80</v>
      </c>
      <c r="AD447" s="95">
        <v>20</v>
      </c>
      <c r="AG447" s="98">
        <v>9.93</v>
      </c>
      <c r="AH447" s="20">
        <v>0.83414351851851853</v>
      </c>
      <c r="AJ447" s="93">
        <f>(134+104)/2</f>
        <v>119</v>
      </c>
      <c r="AK447" s="3">
        <f>180+60</f>
        <v>240</v>
      </c>
      <c r="AN447" s="80">
        <f>360-AK447-AB447</f>
        <v>40</v>
      </c>
      <c r="AP447" s="13">
        <f>AVERAGE(AO445:AO451)</f>
        <v>2630.0000000000182</v>
      </c>
      <c r="AR447" s="17" t="e">
        <f>(E447-W447)/E447</f>
        <v>#VALUE!</v>
      </c>
      <c r="AS447" s="16">
        <f>(I447-AF447)/I447</f>
        <v>1</v>
      </c>
      <c r="AT447" s="16">
        <f>AG447/(AD447-AF447)</f>
        <v>0.4965</v>
      </c>
      <c r="AU447" s="16" t="e">
        <f>(G447-AM447)/G447</f>
        <v>#DIV/0!</v>
      </c>
      <c r="AV447" s="57" t="str">
        <f>IF(AND(ISNUMBER(E447),ISNUMBER(W447)),E447-W447,"")</f>
        <v/>
      </c>
      <c r="AW447" s="57" t="str">
        <f>IF(AND(ISNUMBER(I447),ISNUMBER(AF447)),I447-AF447,"")</f>
        <v/>
      </c>
      <c r="AX447" s="57" t="str">
        <f>IF(AND(ISNUMBER(AM447),ISNUMBER(G447)),G447-AM447,"")</f>
        <v/>
      </c>
      <c r="AY447" s="57" t="str">
        <f>IF(AND(ISNUMBER(AC447),ISNUMBER(AE447)),AC447-AE447,"")</f>
        <v/>
      </c>
      <c r="AZ447" s="57" t="str">
        <f>IF(AND(ISNUMBER(AL447),ISNUMBER(AM447)),AL447-AM447,"")</f>
        <v/>
      </c>
      <c r="BA447" s="60" t="str">
        <f>IF(AND($E447&gt;0,$W447&gt;0),IF(($E447-$W447)/$E447&gt;0,($E447-$W447)/$E447,0),"")</f>
        <v/>
      </c>
      <c r="BB447" s="60">
        <f>IF(AND($I447&gt;0,$AF447&gt;=0),IF(($I447-$AF447)/$I447&gt;0,($I447-$AF447)/$I447,0),"")</f>
        <v>1</v>
      </c>
      <c r="BC447" s="60">
        <f>IF(AND($AG447&gt;=0,$AD447&gt;=0,$AF447&gt;=0),IF($AG447/($AD447-$AF447)&gt;0,$AG447/($AD447-$AF447),0),"")</f>
        <v>0.4965</v>
      </c>
      <c r="BD447" s="60" t="str">
        <f>IF(AND($G447&gt;0,$AM447&gt;0),IF(($G447-$AM447)/$G447&gt;0,($G447-$AM447)/$G447,0),"")</f>
        <v/>
      </c>
      <c r="BE447" s="6">
        <f>IF((AD447-AF447)/(AJ447/60)&lt;=0,"",(AD447-AF447)/(AJ447/60))</f>
        <v>10.084033613445378</v>
      </c>
      <c r="BF447" s="6" t="str">
        <f>IF(OR(AJ447=0,AP447=0,NOT(ISNUMBER(AD447)),NOT(ISNUMBER(AF447)),NOT(ISNUMBER(AJ447)),NOT(ISNUMBER(AP447))),"",
IFERROR(IF((AD447-AF447)/(AJ447/60)/(AP447/1000)&lt;=0,"",(AD447-AF447)/(AJ447/60)/(AP447/1000)),""))</f>
        <v/>
      </c>
    </row>
    <row r="448" spans="1:58" ht="15.75">
      <c r="A448" s="12" t="s">
        <v>70</v>
      </c>
      <c r="B448" s="94">
        <v>45708</v>
      </c>
      <c r="C448" s="1">
        <v>204</v>
      </c>
      <c r="D448" s="3">
        <v>443</v>
      </c>
      <c r="E448" s="205" t="str">
        <f t="shared" si="27"/>
        <v/>
      </c>
      <c r="H448" s="15"/>
      <c r="I448" s="15">
        <f>AD448</f>
        <v>20</v>
      </c>
      <c r="K448" s="10" t="str">
        <f t="shared" si="28"/>
        <v/>
      </c>
      <c r="L448" s="9" t="str">
        <f t="shared" si="29"/>
        <v/>
      </c>
      <c r="M448" s="8" t="str">
        <f t="shared" si="30"/>
        <v/>
      </c>
      <c r="AB448" s="5">
        <v>80</v>
      </c>
      <c r="AD448" s="95">
        <v>20</v>
      </c>
      <c r="AG448" s="88">
        <v>8.17</v>
      </c>
      <c r="AH448" s="99">
        <v>0.49560185185185185</v>
      </c>
      <c r="AJ448" s="93">
        <f>(134+104)/2</f>
        <v>119</v>
      </c>
      <c r="AK448" s="3">
        <f>180+60</f>
        <v>240</v>
      </c>
      <c r="AN448" s="80">
        <f>360-AK448-AB448</f>
        <v>40</v>
      </c>
      <c r="AO448" s="2">
        <v>2630.0000000000182</v>
      </c>
      <c r="AP448" s="13">
        <f>AVERAGE(AO446:AO452)</f>
        <v>2630.0000000000182</v>
      </c>
      <c r="AQ448" s="2">
        <f>[1]HRT_SRT!R502</f>
        <v>16.207888249794596</v>
      </c>
      <c r="AR448" s="17" t="e">
        <f>(E448-W448)/E448</f>
        <v>#VALUE!</v>
      </c>
      <c r="AS448" s="16">
        <f>(I448-AF448)/I448</f>
        <v>1</v>
      </c>
      <c r="AT448" s="16"/>
      <c r="AU448" s="16" t="e">
        <f>(G448-AM448)/G448</f>
        <v>#DIV/0!</v>
      </c>
      <c r="AV448" s="57" t="str">
        <f>IF(AND(ISNUMBER(E448),ISNUMBER(W448)),E448-W448,"")</f>
        <v/>
      </c>
      <c r="AW448" s="57" t="str">
        <f>IF(AND(ISNUMBER(I448),ISNUMBER(AF448)),I448-AF448,"")</f>
        <v/>
      </c>
      <c r="AX448" s="57" t="str">
        <f>IF(AND(ISNUMBER(AM448),ISNUMBER(G448)),G448-AM448,"")</f>
        <v/>
      </c>
      <c r="AY448" s="57" t="str">
        <f>IF(AND(ISNUMBER(AC448),ISNUMBER(AE448)),AC448-AE448,"")</f>
        <v/>
      </c>
      <c r="AZ448" s="57" t="str">
        <f>IF(AND(ISNUMBER(AL448),ISNUMBER(AM448)),AL448-AM448,"")</f>
        <v/>
      </c>
      <c r="BA448" s="60" t="str">
        <f>IF(AND($E448&gt;0,$W448&gt;0),IF(($E448-$W448)/$E448&gt;0,($E448-$W448)/$E448,0),"")</f>
        <v/>
      </c>
      <c r="BB448" s="60">
        <f>IF(AND($I448&gt;0,$AF448&gt;=0),IF(($I448-$AF448)/$I448&gt;0,($I448-$AF448)/$I448,0),"")</f>
        <v>1</v>
      </c>
      <c r="BC448" s="60"/>
      <c r="BD448" s="60" t="str">
        <f>IF(AND($G448&gt;0,$AM448&gt;0),IF(($G448-$AM448)/$G448&gt;0,($G448-$AM448)/$G448,0),"")</f>
        <v/>
      </c>
      <c r="BE448" s="6">
        <f>IF((AD448-AF448)/(AJ448/60)&lt;=0,"",(AD448-AF448)/(AJ448/60))</f>
        <v>10.084033613445378</v>
      </c>
      <c r="BF448" s="6" t="str">
        <f>IF(OR(AJ448=0,AP448=0,NOT(ISNUMBER(AD448)),NOT(ISNUMBER(AF448)),NOT(ISNUMBER(AJ448)),NOT(ISNUMBER(AP448))),"",
IFERROR(IF((AD448-AF448)/(AJ448/60)/(AP448/1000)&lt;=0,"",(AD448-AF448)/(AJ448/60)/(AP448/1000)),""))</f>
        <v/>
      </c>
    </row>
    <row r="449" spans="1:58" ht="15.75">
      <c r="B449" s="94">
        <v>45709</v>
      </c>
      <c r="C449" s="1">
        <v>205</v>
      </c>
      <c r="D449" s="3">
        <v>444</v>
      </c>
      <c r="E449" s="205" t="str">
        <f t="shared" si="27"/>
        <v/>
      </c>
      <c r="H449" s="15"/>
      <c r="I449" s="15">
        <f>AD449</f>
        <v>20</v>
      </c>
      <c r="K449" s="10" t="str">
        <f t="shared" si="28"/>
        <v/>
      </c>
      <c r="L449" s="9" t="str">
        <f t="shared" si="29"/>
        <v/>
      </c>
      <c r="M449" s="8" t="str">
        <f t="shared" si="30"/>
        <v/>
      </c>
      <c r="AB449" s="5">
        <v>80</v>
      </c>
      <c r="AD449" s="95">
        <v>20</v>
      </c>
      <c r="AG449" s="88"/>
      <c r="AH449" s="99"/>
      <c r="AJ449" s="93">
        <f>(134+104)/2</f>
        <v>119</v>
      </c>
      <c r="AK449" s="3">
        <f>180+60</f>
        <v>240</v>
      </c>
      <c r="AN449" s="80">
        <f>360-AK449-AB449</f>
        <v>40</v>
      </c>
      <c r="AP449" s="13">
        <f>AVERAGE(AO447:AO453)</f>
        <v>2264.9999999999864</v>
      </c>
      <c r="AR449" s="17" t="e">
        <f>(E449-W449)/E449</f>
        <v>#VALUE!</v>
      </c>
      <c r="AS449" s="16">
        <f>(I449-AF449)/I449</f>
        <v>1</v>
      </c>
      <c r="AT449" s="16"/>
      <c r="AU449" s="16" t="e">
        <f>(G449-AM449)/G449</f>
        <v>#DIV/0!</v>
      </c>
      <c r="AV449" s="57" t="str">
        <f>IF(AND(ISNUMBER(E449),ISNUMBER(W449)),E449-W449,"")</f>
        <v/>
      </c>
      <c r="AW449" s="57" t="str">
        <f>IF(AND(ISNUMBER(I449),ISNUMBER(AF449)),I449-AF449,"")</f>
        <v/>
      </c>
      <c r="AX449" s="57" t="str">
        <f>IF(AND(ISNUMBER(AM449),ISNUMBER(G449)),G449-AM449,"")</f>
        <v/>
      </c>
      <c r="AY449" s="57" t="str">
        <f>IF(AND(ISNUMBER(AC449),ISNUMBER(AE449)),AC449-AE449,"")</f>
        <v/>
      </c>
      <c r="AZ449" s="57" t="str">
        <f>IF(AND(ISNUMBER(AL449),ISNUMBER(AM449)),AL449-AM449,"")</f>
        <v/>
      </c>
      <c r="BA449" s="60" t="str">
        <f>IF(AND($E449&gt;0,$W449&gt;0),IF(($E449-$W449)/$E449&gt;0,($E449-$W449)/$E449,0),"")</f>
        <v/>
      </c>
      <c r="BB449" s="60">
        <f>IF(AND($I449&gt;0,$AF449&gt;=0),IF(($I449-$AF449)/$I449&gt;0,($I449-$AF449)/$I449,0),"")</f>
        <v>1</v>
      </c>
      <c r="BC449" s="60"/>
      <c r="BD449" s="60" t="str">
        <f>IF(AND($G449&gt;0,$AM449&gt;0),IF(($G449-$AM449)/$G449&gt;0,($G449-$AM449)/$G449,0),"")</f>
        <v/>
      </c>
      <c r="BE449" s="6">
        <f>IF((AD449-AF449)/(AJ449/60)&lt;=0,"",(AD449-AF449)/(AJ449/60))</f>
        <v>10.084033613445378</v>
      </c>
      <c r="BF449" s="6" t="str">
        <f>IF(OR(AJ449=0,AP449=0,NOT(ISNUMBER(AD449)),NOT(ISNUMBER(AF449)),NOT(ISNUMBER(AJ449)),NOT(ISNUMBER(AP449))),"",
IFERROR(IF((AD449-AF449)/(AJ449/60)/(AP449/1000)&lt;=0,"",(AD449-AF449)/(AJ449/60)/(AP449/1000)),""))</f>
        <v/>
      </c>
    </row>
    <row r="450" spans="1:58" ht="15.75">
      <c r="B450" s="94">
        <v>45710</v>
      </c>
      <c r="C450" s="1">
        <v>206</v>
      </c>
      <c r="D450" s="3">
        <v>445</v>
      </c>
      <c r="E450" s="205" t="str">
        <f t="shared" si="27"/>
        <v/>
      </c>
      <c r="H450" s="15"/>
      <c r="I450" s="15">
        <f>AD450</f>
        <v>20</v>
      </c>
      <c r="K450" s="10" t="str">
        <f t="shared" si="28"/>
        <v/>
      </c>
      <c r="L450" s="9" t="str">
        <f t="shared" si="29"/>
        <v/>
      </c>
      <c r="M450" s="8" t="str">
        <f t="shared" si="30"/>
        <v/>
      </c>
      <c r="AB450" s="5">
        <v>80</v>
      </c>
      <c r="AD450" s="95">
        <v>20</v>
      </c>
      <c r="AG450" s="88">
        <v>8.48</v>
      </c>
      <c r="AH450" s="99">
        <v>0.54699074074074072</v>
      </c>
      <c r="AJ450" s="93">
        <f>(134+104)/2</f>
        <v>119</v>
      </c>
      <c r="AK450" s="3">
        <f>180+60</f>
        <v>240</v>
      </c>
      <c r="AN450" s="80">
        <f>360-AK450-AB450</f>
        <v>40</v>
      </c>
      <c r="AP450" s="13">
        <f>AVERAGE(AO448:AO454)</f>
        <v>2264.9999999999864</v>
      </c>
      <c r="AR450" s="17" t="e">
        <f>(E450-W450)/E450</f>
        <v>#VALUE!</v>
      </c>
      <c r="AS450" s="16">
        <f>(I450-AF450)/I450</f>
        <v>1</v>
      </c>
      <c r="AT450" s="16"/>
      <c r="AU450" s="16" t="e">
        <f>(G450-AM450)/G450</f>
        <v>#DIV/0!</v>
      </c>
      <c r="AV450" s="57" t="str">
        <f>IF(AND(ISNUMBER(E450),ISNUMBER(W450)),E450-W450,"")</f>
        <v/>
      </c>
      <c r="AW450" s="57" t="str">
        <f>IF(AND(ISNUMBER(I450),ISNUMBER(AF450)),I450-AF450,"")</f>
        <v/>
      </c>
      <c r="AX450" s="57" t="str">
        <f>IF(AND(ISNUMBER(AM450),ISNUMBER(G450)),G450-AM450,"")</f>
        <v/>
      </c>
      <c r="AY450" s="57" t="str">
        <f>IF(AND(ISNUMBER(AC450),ISNUMBER(AE450)),AC450-AE450,"")</f>
        <v/>
      </c>
      <c r="AZ450" s="57" t="str">
        <f>IF(AND(ISNUMBER(AL450),ISNUMBER(AM450)),AL450-AM450,"")</f>
        <v/>
      </c>
      <c r="BA450" s="60" t="str">
        <f>IF(AND($E450&gt;0,$W450&gt;0),IF(($E450-$W450)/$E450&gt;0,($E450-$W450)/$E450,0),"")</f>
        <v/>
      </c>
      <c r="BB450" s="60">
        <f>IF(AND($I450&gt;0,$AF450&gt;=0),IF(($I450-$AF450)/$I450&gt;0,($I450-$AF450)/$I450,0),"")</f>
        <v>1</v>
      </c>
      <c r="BC450" s="60"/>
      <c r="BD450" s="60" t="str">
        <f>IF(AND($G450&gt;0,$AM450&gt;0),IF(($G450-$AM450)/$G450&gt;0,($G450-$AM450)/$G450,0),"")</f>
        <v/>
      </c>
      <c r="BE450" s="6">
        <f>IF((AD450-AF450)/(AJ450/60)&lt;=0,"",(AD450-AF450)/(AJ450/60))</f>
        <v>10.084033613445378</v>
      </c>
      <c r="BF450" s="6" t="str">
        <f>IF(OR(AJ450=0,AP450=0,NOT(ISNUMBER(AD450)),NOT(ISNUMBER(AF450)),NOT(ISNUMBER(AJ450)),NOT(ISNUMBER(AP450))),"",
IFERROR(IF((AD450-AF450)/(AJ450/60)/(AP450/1000)&lt;=0,"",(AD450-AF450)/(AJ450/60)/(AP450/1000)),""))</f>
        <v/>
      </c>
    </row>
    <row r="451" spans="1:58" ht="15.75">
      <c r="B451" s="94">
        <v>45711</v>
      </c>
      <c r="C451" s="1">
        <v>207</v>
      </c>
      <c r="D451" s="3">
        <v>446</v>
      </c>
      <c r="E451" s="205" t="str">
        <f t="shared" si="27"/>
        <v/>
      </c>
      <c r="H451" s="15"/>
      <c r="I451" s="15">
        <f>AD451</f>
        <v>20</v>
      </c>
      <c r="K451" s="10" t="str">
        <f t="shared" si="28"/>
        <v/>
      </c>
      <c r="L451" s="9" t="str">
        <f t="shared" si="29"/>
        <v/>
      </c>
      <c r="M451" s="8" t="str">
        <f t="shared" si="30"/>
        <v/>
      </c>
      <c r="AB451" s="5">
        <v>80</v>
      </c>
      <c r="AD451" s="95">
        <v>20</v>
      </c>
      <c r="AG451" s="98">
        <v>13.31</v>
      </c>
      <c r="AH451" s="20">
        <v>0.54861111111111116</v>
      </c>
      <c r="AJ451" s="93">
        <f>(134+104)/2</f>
        <v>119</v>
      </c>
      <c r="AK451" s="3">
        <f>180+60</f>
        <v>240</v>
      </c>
      <c r="AN451" s="80">
        <f>360-AK451-AB451</f>
        <v>40</v>
      </c>
      <c r="AP451" s="13">
        <f>AVERAGE(AO449:AO455)</f>
        <v>1899.9999999999545</v>
      </c>
      <c r="AR451" s="17" t="e">
        <f>(E451-W451)/E451</f>
        <v>#VALUE!</v>
      </c>
      <c r="AS451" s="16">
        <f>(I451-AF451)/I451</f>
        <v>1</v>
      </c>
      <c r="AT451" s="16">
        <f>AG451/(AD451-AF451)</f>
        <v>0.66549999999999998</v>
      </c>
      <c r="AU451" s="16" t="e">
        <f>(G451-AM451)/G451</f>
        <v>#DIV/0!</v>
      </c>
      <c r="AV451" s="57" t="str">
        <f>IF(AND(ISNUMBER(E451),ISNUMBER(W451)),E451-W451,"")</f>
        <v/>
      </c>
      <c r="AW451" s="57" t="str">
        <f>IF(AND(ISNUMBER(I451),ISNUMBER(AF451)),I451-AF451,"")</f>
        <v/>
      </c>
      <c r="AX451" s="57" t="str">
        <f>IF(AND(ISNUMBER(AM451),ISNUMBER(G451)),G451-AM451,"")</f>
        <v/>
      </c>
      <c r="AY451" s="57" t="str">
        <f>IF(AND(ISNUMBER(AC451),ISNUMBER(AE451)),AC451-AE451,"")</f>
        <v/>
      </c>
      <c r="AZ451" s="57" t="str">
        <f>IF(AND(ISNUMBER(AL451),ISNUMBER(AM451)),AL451-AM451,"")</f>
        <v/>
      </c>
      <c r="BA451" s="60" t="str">
        <f>IF(AND($E451&gt;0,$W451&gt;0),IF(($E451-$W451)/$E451&gt;0,($E451-$W451)/$E451,0),"")</f>
        <v/>
      </c>
      <c r="BB451" s="60">
        <f>IF(AND($I451&gt;0,$AF451&gt;=0),IF(($I451-$AF451)/$I451&gt;0,($I451-$AF451)/$I451,0),"")</f>
        <v>1</v>
      </c>
      <c r="BC451" s="60">
        <f>IF(AND($AG451&gt;=0,$AD451&gt;=0,$AF451&gt;=0),IF($AG451/($AD451-$AF451)&gt;0,$AG451/($AD451-$AF451),0),"")</f>
        <v>0.66549999999999998</v>
      </c>
      <c r="BD451" s="60" t="str">
        <f>IF(AND($G451&gt;0,$AM451&gt;0),IF(($G451-$AM451)/$G451&gt;0,($G451-$AM451)/$G451,0),"")</f>
        <v/>
      </c>
      <c r="BE451" s="6">
        <f>IF((AD451-AF451)/(AJ451/60)&lt;=0,"",(AD451-AF451)/(AJ451/60))</f>
        <v>10.084033613445378</v>
      </c>
      <c r="BF451" s="6" t="str">
        <f>IF(OR(AJ451=0,AP451=0,NOT(ISNUMBER(AD451)),NOT(ISNUMBER(AF451)),NOT(ISNUMBER(AJ451)),NOT(ISNUMBER(AP451))),"",
IFERROR(IF((AD451-AF451)/(AJ451/60)/(AP451/1000)&lt;=0,"",(AD451-AF451)/(AJ451/60)/(AP451/1000)),""))</f>
        <v/>
      </c>
    </row>
    <row r="452" spans="1:58" ht="15.75">
      <c r="A452" s="12" t="s">
        <v>69</v>
      </c>
      <c r="B452" s="94">
        <v>45712</v>
      </c>
      <c r="C452" s="1">
        <v>208</v>
      </c>
      <c r="D452" s="3">
        <v>447</v>
      </c>
      <c r="E452" s="205" t="str">
        <f t="shared" si="27"/>
        <v/>
      </c>
      <c r="G452" s="9">
        <v>14</v>
      </c>
      <c r="H452" s="15"/>
      <c r="I452" s="15">
        <f>AD452</f>
        <v>20</v>
      </c>
      <c r="K452" s="10" t="str">
        <f t="shared" si="28"/>
        <v/>
      </c>
      <c r="L452" s="9" t="str">
        <f t="shared" si="29"/>
        <v/>
      </c>
      <c r="M452" s="8">
        <f t="shared" si="30"/>
        <v>2.8571428571428572</v>
      </c>
      <c r="AB452" s="5">
        <v>80</v>
      </c>
      <c r="AC452" s="7">
        <f>T452</f>
        <v>0</v>
      </c>
      <c r="AD452" s="1">
        <f>20</f>
        <v>20</v>
      </c>
      <c r="AE452" s="6">
        <f>5*5.33</f>
        <v>26.65</v>
      </c>
      <c r="AF452" s="1">
        <v>0</v>
      </c>
      <c r="AG452" s="98">
        <v>9.58</v>
      </c>
      <c r="AH452" s="20">
        <v>0.50034722222222228</v>
      </c>
      <c r="AJ452" s="93">
        <f>(134+104)/2</f>
        <v>119</v>
      </c>
      <c r="AK452" s="3">
        <f>180+60</f>
        <v>240</v>
      </c>
      <c r="AL452" s="4">
        <f>AE452</f>
        <v>26.65</v>
      </c>
      <c r="AM452" s="1">
        <f>5*4.67</f>
        <v>23.35</v>
      </c>
      <c r="AN452" s="80">
        <f>360-AK452-AB452</f>
        <v>40</v>
      </c>
      <c r="AP452" s="13">
        <f>AVERAGE(AO450:AO456)</f>
        <v>1899.9999999999545</v>
      </c>
      <c r="AR452" s="17" t="e">
        <f>(E452-W452)/E452</f>
        <v>#VALUE!</v>
      </c>
      <c r="AS452" s="16">
        <f>(I452-AF452)/I452</f>
        <v>1</v>
      </c>
      <c r="AT452" s="16">
        <f>AG452/(AD452-AF452)</f>
        <v>0.47899999999999998</v>
      </c>
      <c r="AU452" s="16">
        <f>(G452-AM452)/G452</f>
        <v>-0.66785714285714293</v>
      </c>
      <c r="AV452" s="57" t="str">
        <f>IF(AND(ISNUMBER(E452),ISNUMBER(W452)),E452-W452,"")</f>
        <v/>
      </c>
      <c r="AW452" s="57">
        <f>IF(AND(ISNUMBER(I452),ISNUMBER(AF452)),I452-AF452,"")</f>
        <v>20</v>
      </c>
      <c r="AX452" s="57">
        <f>IF(AND(ISNUMBER(AM452),ISNUMBER(G452)),G452-AM452,"")</f>
        <v>-9.3500000000000014</v>
      </c>
      <c r="AY452" s="57">
        <f>IF(AND(ISNUMBER(AC452),ISNUMBER(AE452)),AC452-AE452,"")</f>
        <v>-26.65</v>
      </c>
      <c r="AZ452" s="57">
        <f>IF(AND(ISNUMBER(AL452),ISNUMBER(AM452)),AL452-AM452,"")</f>
        <v>3.2999999999999972</v>
      </c>
      <c r="BA452" s="60" t="str">
        <f>IF(AND($E452&gt;0,$W452&gt;0),IF(($E452-$W452)/$E452&gt;0,($E452-$W452)/$E452,0),"")</f>
        <v/>
      </c>
      <c r="BB452" s="60">
        <f>IF(AND($I452&gt;0,$AF452&gt;=0),IF(($I452-$AF452)/$I452&gt;0,($I452-$AF452)/$I452,0),"")</f>
        <v>1</v>
      </c>
      <c r="BC452" s="60">
        <f>IF(AND($AG452&gt;=0,$AD452&gt;=0,$AF452&gt;=0),IF($AG452/($AD452-$AF452)&gt;0,$AG452/($AD452-$AF452),0),"")</f>
        <v>0.47899999999999998</v>
      </c>
      <c r="BD452" s="60"/>
      <c r="BE452" s="6">
        <f>IF((AD452-AF452)/(AJ452/60)&lt;=0,"",(AD452-AF452)/(AJ452/60))</f>
        <v>10.084033613445378</v>
      </c>
      <c r="BF452" s="6">
        <f>IF(OR(AJ452=0,AP452=0,NOT(ISNUMBER(AD452)),NOT(ISNUMBER(AF452)),NOT(ISNUMBER(AJ452)),NOT(ISNUMBER(AP452))),"",
IFERROR(IF((AD452-AF452)/(AJ452/60)/(AP452/1000)&lt;=0,"",(AD452-AF452)/(AJ452/60)/(AP452/1000)),""))</f>
        <v>5.307386112339799</v>
      </c>
    </row>
    <row r="453" spans="1:58" ht="15.75">
      <c r="B453" s="97">
        <v>45713</v>
      </c>
      <c r="C453" s="1">
        <v>209</v>
      </c>
      <c r="D453" s="3">
        <v>448</v>
      </c>
      <c r="E453" s="205">
        <f t="shared" si="27"/>
        <v>288.29379</v>
      </c>
      <c r="G453" s="9">
        <v>14</v>
      </c>
      <c r="H453" s="15">
        <f>5*3.74</f>
        <v>18.700000000000003</v>
      </c>
      <c r="I453" s="15">
        <f>AD453</f>
        <v>20</v>
      </c>
      <c r="K453" s="10">
        <f t="shared" si="28"/>
        <v>20.592413571428573</v>
      </c>
      <c r="L453" s="9">
        <f t="shared" si="29"/>
        <v>7.2073447499999999</v>
      </c>
      <c r="M453" s="8">
        <f t="shared" si="30"/>
        <v>2.8571428571428572</v>
      </c>
      <c r="N453" s="7">
        <v>23.1</v>
      </c>
      <c r="O453">
        <v>91.557000000000002</v>
      </c>
      <c r="P453">
        <v>30.684000000000001</v>
      </c>
      <c r="Q453" s="6">
        <f>O453*1.067</f>
        <v>97.691318999999993</v>
      </c>
      <c r="R453" s="6">
        <f>P453*1.514</f>
        <v>46.455576000000001</v>
      </c>
      <c r="S453" s="23">
        <f>P453*1.514+O453*1.067</f>
        <v>144.146895</v>
      </c>
      <c r="T453" s="6">
        <f>20*2.78</f>
        <v>55.599999999999994</v>
      </c>
      <c r="U453" s="6">
        <v>0</v>
      </c>
      <c r="V453" s="6">
        <v>0</v>
      </c>
      <c r="W453" s="23">
        <f>U453*1.067+V453*1.514</f>
        <v>0</v>
      </c>
      <c r="AB453" s="5">
        <v>80</v>
      </c>
      <c r="AC453" s="7">
        <f>T453</f>
        <v>55.599999999999994</v>
      </c>
      <c r="AD453" s="1">
        <f>20</f>
        <v>20</v>
      </c>
      <c r="AE453" s="1">
        <f>31.1</f>
        <v>31.1</v>
      </c>
      <c r="AF453" s="1">
        <v>0</v>
      </c>
      <c r="AG453" s="88">
        <v>37.51</v>
      </c>
      <c r="AH453" s="20">
        <v>0.4</v>
      </c>
      <c r="AJ453" s="93">
        <f>(134+104)/2</f>
        <v>119</v>
      </c>
      <c r="AK453" s="3">
        <f>180+60</f>
        <v>240</v>
      </c>
      <c r="AL453" s="4">
        <f>AE453</f>
        <v>31.1</v>
      </c>
      <c r="AM453" s="1">
        <f>5*2.54</f>
        <v>12.7</v>
      </c>
      <c r="AN453" s="80">
        <f>360-AK453-AB453</f>
        <v>40</v>
      </c>
      <c r="AO453" s="2">
        <f>[1]HRT_SRT!P507</f>
        <v>1899.9999999999545</v>
      </c>
      <c r="AP453" s="13">
        <f>AVERAGE(AO451:AO457)</f>
        <v>1899.9999999999545</v>
      </c>
      <c r="AQ453" s="2">
        <f>[1]HRT_SRT!R507</f>
        <v>27.243759957514385</v>
      </c>
      <c r="AR453" s="17">
        <f>(E453-W453)/E453</f>
        <v>1</v>
      </c>
      <c r="AS453" s="16">
        <f>(I453-AF453)/I453</f>
        <v>1</v>
      </c>
      <c r="AT453" s="16"/>
      <c r="AU453" s="16">
        <f>(G453-AM453)/G453</f>
        <v>9.2857142857142902E-2</v>
      </c>
      <c r="AV453" s="57">
        <f>IF(AND(ISNUMBER(E453),ISNUMBER(W453)),E453-W453,"")</f>
        <v>288.29379</v>
      </c>
      <c r="AW453" s="57">
        <f>IF(AND(ISNUMBER(I453),ISNUMBER(AF453)),I453-AF453,"")</f>
        <v>20</v>
      </c>
      <c r="AX453" s="57">
        <f>IF(AND(ISNUMBER(AM453),ISNUMBER(G453)),G453-AM453,"")</f>
        <v>1.3000000000000007</v>
      </c>
      <c r="AY453" s="57">
        <f>IF(AND(ISNUMBER(AC453),ISNUMBER(AE453)),AC453-AE453,"")</f>
        <v>24.499999999999993</v>
      </c>
      <c r="AZ453" s="57">
        <f>IF(AND(ISNUMBER(AL453),ISNUMBER(AM453)),AL453-AM453,"")</f>
        <v>18.400000000000002</v>
      </c>
      <c r="BA453" s="60" t="str">
        <f>IF(AND($E453&gt;0,$W453&gt;0),IF(($E453-$W453)/$E453&gt;0,($E453-$W453)/$E453,0),"")</f>
        <v/>
      </c>
      <c r="BB453" s="60">
        <f>IF(AND($I453&gt;0,$AF453&gt;=0),IF(($I453-$AF453)/$I453&gt;0,($I453-$AF453)/$I453,0),"")</f>
        <v>1</v>
      </c>
      <c r="BC453" s="60"/>
      <c r="BD453" s="60"/>
      <c r="BE453" s="6">
        <f>IF((AD453-AF453)/(AJ453/60)&lt;=0,"",(AD453-AF453)/(AJ453/60))</f>
        <v>10.084033613445378</v>
      </c>
      <c r="BF453" s="6">
        <f>IF(OR(AJ453=0,AP453=0,NOT(ISNUMBER(AD453)),NOT(ISNUMBER(AF453)),NOT(ISNUMBER(AJ453)),NOT(ISNUMBER(AP453))),"",
IFERROR(IF((AD453-AF453)/(AJ453/60)/(AP453/1000)&lt;=0,"",(AD453-AF453)/(AJ453/60)/(AP453/1000)),""))</f>
        <v>5.307386112339799</v>
      </c>
    </row>
    <row r="454" spans="1:58" ht="15.75">
      <c r="B454" s="94">
        <v>45714</v>
      </c>
      <c r="C454" s="1">
        <v>210</v>
      </c>
      <c r="D454" s="3">
        <v>449</v>
      </c>
      <c r="E454" s="205" t="str">
        <f t="shared" si="27"/>
        <v/>
      </c>
      <c r="I454" s="15">
        <f>AD454</f>
        <v>20</v>
      </c>
      <c r="K454" s="10" t="str">
        <f t="shared" si="28"/>
        <v/>
      </c>
      <c r="L454" s="9" t="str">
        <f t="shared" si="29"/>
        <v/>
      </c>
      <c r="M454" s="8" t="str">
        <f t="shared" si="30"/>
        <v/>
      </c>
      <c r="AB454" s="5">
        <v>80</v>
      </c>
      <c r="AD454" s="95">
        <v>20</v>
      </c>
      <c r="AG454" s="88">
        <v>35.880000000000003</v>
      </c>
      <c r="AH454" s="20">
        <v>0.39930555555555558</v>
      </c>
      <c r="AJ454" s="93">
        <f>(134+104)/2</f>
        <v>119</v>
      </c>
      <c r="AK454" s="3">
        <f>180+60</f>
        <v>240</v>
      </c>
      <c r="AN454" s="80">
        <f>360-AK454-AB454</f>
        <v>40</v>
      </c>
      <c r="AP454" s="13">
        <f>AVERAGE(AO452:AO458)</f>
        <v>1899.9999999999545</v>
      </c>
      <c r="AR454" s="17" t="e">
        <f>(E454-W454)/E454</f>
        <v>#VALUE!</v>
      </c>
      <c r="AS454" s="16">
        <f>(I454-AF454)/I454</f>
        <v>1</v>
      </c>
      <c r="AT454" s="16"/>
      <c r="AU454" s="16" t="e">
        <f>(G454-AM454)/G454</f>
        <v>#DIV/0!</v>
      </c>
      <c r="AV454" s="57" t="str">
        <f>IF(AND(ISNUMBER(E454),ISNUMBER(W454)),E454-W454,"")</f>
        <v/>
      </c>
      <c r="AW454" s="57" t="str">
        <f>IF(AND(ISNUMBER(I454),ISNUMBER(AF454)),I454-AF454,"")</f>
        <v/>
      </c>
      <c r="AX454" s="57" t="str">
        <f>IF(AND(ISNUMBER(AM454),ISNUMBER(G454)),G454-AM454,"")</f>
        <v/>
      </c>
      <c r="AY454" s="57" t="str">
        <f>IF(AND(ISNUMBER(AC454),ISNUMBER(AE454)),AC454-AE454,"")</f>
        <v/>
      </c>
      <c r="AZ454" s="57" t="str">
        <f>IF(AND(ISNUMBER(AL454),ISNUMBER(AM454)),AL454-AM454,"")</f>
        <v/>
      </c>
      <c r="BA454" s="60" t="str">
        <f>IF(AND($E454&gt;0,$W454&gt;0),IF(($E454-$W454)/$E454&gt;0,($E454-$W454)/$E454,0),"")</f>
        <v/>
      </c>
      <c r="BB454" s="60">
        <f>IF(AND($I454&gt;0,$AF454&gt;=0),IF(($I454-$AF454)/$I454&gt;0,($I454-$AF454)/$I454,0),"")</f>
        <v>1</v>
      </c>
      <c r="BC454" s="60"/>
      <c r="BD454" s="60" t="str">
        <f>IF(AND($G454&gt;0,$AM454&gt;0),IF(($G454-$AM454)/$G454&gt;0,($G454-$AM454)/$G454,0),"")</f>
        <v/>
      </c>
      <c r="BE454" s="6">
        <f>IF((AD454-AF454)/(AJ454/60)&lt;=0,"",(AD454-AF454)/(AJ454/60))</f>
        <v>10.084033613445378</v>
      </c>
      <c r="BF454" s="6" t="str">
        <f>IF(OR(AJ454=0,AP454=0,NOT(ISNUMBER(AD454)),NOT(ISNUMBER(AF454)),NOT(ISNUMBER(AJ454)),NOT(ISNUMBER(AP454))),"",
IFERROR(IF((AD454-AF454)/(AJ454/60)/(AP454/1000)&lt;=0,"",(AD454-AF454)/(AJ454/60)/(AP454/1000)),""))</f>
        <v/>
      </c>
    </row>
    <row r="455" spans="1:58" ht="15.75">
      <c r="B455" s="94">
        <v>45715</v>
      </c>
      <c r="C455" s="1">
        <v>211</v>
      </c>
      <c r="D455" s="3">
        <v>450</v>
      </c>
      <c r="E455" s="205" t="str">
        <f t="shared" ref="E455:E518" si="31">IF(OR(S455="",S455=0),"",S455*2)</f>
        <v/>
      </c>
      <c r="I455" s="15">
        <f>AD455</f>
        <v>20.5</v>
      </c>
      <c r="K455" s="10" t="str">
        <f t="shared" si="28"/>
        <v/>
      </c>
      <c r="L455" s="9" t="str">
        <f t="shared" si="29"/>
        <v/>
      </c>
      <c r="M455" s="8" t="str">
        <f t="shared" si="30"/>
        <v/>
      </c>
      <c r="N455" s="6"/>
      <c r="AB455" s="5">
        <v>80</v>
      </c>
      <c r="AC455" s="1"/>
      <c r="AD455" s="95">
        <v>20.5</v>
      </c>
      <c r="AG455" s="88">
        <v>35.630000000000003</v>
      </c>
      <c r="AH455" s="20">
        <v>0.44675925925925924</v>
      </c>
      <c r="AJ455" s="93">
        <f>(134+104)/2</f>
        <v>119</v>
      </c>
      <c r="AK455" s="3">
        <f>180+60</f>
        <v>240</v>
      </c>
      <c r="AL455" s="1"/>
      <c r="AN455" s="80">
        <f>360-AK455-AB455</f>
        <v>40</v>
      </c>
      <c r="AP455" s="13">
        <f>AVERAGE(AO453:AO459)</f>
        <v>1899.9999999999545</v>
      </c>
      <c r="AR455" s="17" t="e">
        <f>(E455-W455)/E455</f>
        <v>#VALUE!</v>
      </c>
      <c r="AS455" s="16">
        <f>(I455-AF455)/I455</f>
        <v>1</v>
      </c>
      <c r="AT455" s="16"/>
      <c r="AU455" s="16" t="e">
        <f>(G455-AM455)/G455</f>
        <v>#DIV/0!</v>
      </c>
      <c r="AV455" s="57" t="str">
        <f>IF(AND(ISNUMBER(E455),ISNUMBER(W455)),E455-W455,"")</f>
        <v/>
      </c>
      <c r="AW455" s="57" t="str">
        <f>IF(AND(ISNUMBER(I455),ISNUMBER(AF455)),I455-AF455,"")</f>
        <v/>
      </c>
      <c r="AX455" s="57" t="str">
        <f>IF(AND(ISNUMBER(AM455),ISNUMBER(G455)),G455-AM455,"")</f>
        <v/>
      </c>
      <c r="AY455" s="57" t="str">
        <f>IF(AND(ISNUMBER(AC455),ISNUMBER(AE455)),AC455-AE455,"")</f>
        <v/>
      </c>
      <c r="AZ455" s="57" t="str">
        <f>IF(AND(ISNUMBER(AL455),ISNUMBER(AM455)),AL455-AM455,"")</f>
        <v/>
      </c>
      <c r="BA455" s="60" t="str">
        <f>IF(AND($E455&gt;0,$W455&gt;0),IF(($E455-$W455)/$E455&gt;0,($E455-$W455)/$E455,0),"")</f>
        <v/>
      </c>
      <c r="BB455" s="60">
        <f>IF(AND($I455&gt;0,$AF455&gt;=0),IF(($I455-$AF455)/$I455&gt;0,($I455-$AF455)/$I455,0),"")</f>
        <v>1</v>
      </c>
      <c r="BC455" s="60"/>
      <c r="BD455" s="60" t="str">
        <f>IF(AND($G455&gt;0,$AM455&gt;0),IF(($G455-$AM455)/$G455&gt;0,($G455-$AM455)/$G455,0),"")</f>
        <v/>
      </c>
      <c r="BE455" s="6">
        <f>IF((AD455-AF455)/(AJ455/60)&lt;=0,"",(AD455-AF455)/(AJ455/60))</f>
        <v>10.336134453781511</v>
      </c>
      <c r="BF455" s="6" t="str">
        <f>IF(OR(AJ455=0,AP455=0,NOT(ISNUMBER(AD455)),NOT(ISNUMBER(AF455)),NOT(ISNUMBER(AJ455)),NOT(ISNUMBER(AP455))),"",
IFERROR(IF((AD455-AF455)/(AJ455/60)/(AP455/1000)&lt;=0,"",(AD455-AF455)/(AJ455/60)/(AP455/1000)),""))</f>
        <v/>
      </c>
    </row>
    <row r="456" spans="1:58" ht="15.75">
      <c r="B456" s="94">
        <v>45716</v>
      </c>
      <c r="C456" s="1">
        <v>212</v>
      </c>
      <c r="D456" s="3">
        <v>451</v>
      </c>
      <c r="E456" s="205" t="str">
        <f t="shared" si="31"/>
        <v/>
      </c>
      <c r="G456" s="15">
        <f>(N456*18-H456*18)/9</f>
        <v>13.000000000000004</v>
      </c>
      <c r="H456" s="15">
        <f>5*1.72</f>
        <v>8.6</v>
      </c>
      <c r="I456" s="15">
        <f>AD456</f>
        <v>20.5</v>
      </c>
      <c r="K456" s="10" t="str">
        <f t="shared" si="28"/>
        <v/>
      </c>
      <c r="L456" s="9" t="str">
        <f t="shared" si="29"/>
        <v/>
      </c>
      <c r="M456" s="8">
        <f t="shared" si="30"/>
        <v>3.1538461538461529</v>
      </c>
      <c r="N456" s="7">
        <v>15.1</v>
      </c>
      <c r="T456" s="6">
        <f>21.2*2</f>
        <v>42.4</v>
      </c>
      <c r="X456" s="6">
        <v>2.25</v>
      </c>
      <c r="Y456" s="6">
        <v>0.15</v>
      </c>
      <c r="Z456" s="6">
        <v>73</v>
      </c>
      <c r="AA456" s="6">
        <v>-201</v>
      </c>
      <c r="AB456" s="5">
        <v>80</v>
      </c>
      <c r="AC456" s="7">
        <f>T456</f>
        <v>42.4</v>
      </c>
      <c r="AD456" s="1">
        <f>5*4.1</f>
        <v>20.5</v>
      </c>
      <c r="AE456" s="1">
        <v>20.9</v>
      </c>
      <c r="AF456" s="1">
        <v>0</v>
      </c>
      <c r="AG456" s="88"/>
      <c r="AH456" s="20"/>
      <c r="AI456" s="1">
        <v>-206</v>
      </c>
      <c r="AJ456" s="93">
        <f>(134+104)/2</f>
        <v>119</v>
      </c>
      <c r="AK456" s="3">
        <f>180+60</f>
        <v>240</v>
      </c>
      <c r="AL456" s="4">
        <f>AE456</f>
        <v>20.9</v>
      </c>
      <c r="AM456" s="1">
        <f>5*3.12</f>
        <v>15.600000000000001</v>
      </c>
      <c r="AN456" s="80">
        <f>360-AK456-AB456</f>
        <v>40</v>
      </c>
      <c r="AP456" s="96">
        <f>(AO453+AO462)/2</f>
        <v>1984.9999999999909</v>
      </c>
      <c r="AR456" s="17" t="e">
        <f>(E456-W456)/E456</f>
        <v>#VALUE!</v>
      </c>
      <c r="AS456" s="16" t="e">
        <f>(I456-#REF!)/I456</f>
        <v>#REF!</v>
      </c>
      <c r="AT456" s="16"/>
      <c r="AU456" s="16">
        <f>(G456-AM456)/G456</f>
        <v>-0.19999999999999979</v>
      </c>
      <c r="AV456" s="57" t="str">
        <f>IF(AND(ISNUMBER(E456),ISNUMBER(W456)),E456-W456,"")</f>
        <v/>
      </c>
      <c r="AW456" s="57" t="str">
        <f>IF(AND(ISNUMBER(I456),ISNUMBER(#REF!)),I456-#REF!,"")</f>
        <v/>
      </c>
      <c r="AX456" s="57">
        <f>IF(AND(ISNUMBER(AM456),ISNUMBER(G456)),G456-AM456,"")</f>
        <v>-2.5999999999999979</v>
      </c>
      <c r="AY456" s="57">
        <f>IF(AND(ISNUMBER(AC456),ISNUMBER(AE456)),AC456-AE456,"")</f>
        <v>21.5</v>
      </c>
      <c r="AZ456" s="57">
        <f>IF(AND(ISNUMBER(AL456),ISNUMBER(AM456)),AL456-AM456,"")</f>
        <v>5.2999999999999972</v>
      </c>
      <c r="BA456" s="60" t="str">
        <f>IF(AND($E456&gt;0,$W456&gt;0),IF(($E456-$W456)/$E456&gt;0,($E456-$W456)/$E456,0),"")</f>
        <v/>
      </c>
      <c r="BB456" s="60"/>
      <c r="BC456" s="60"/>
      <c r="BD456" s="60"/>
      <c r="BE456" s="6">
        <f>IF((AD456-AF456)/(AJ456/60)&lt;=0,"",(AD456-AF456)/(AJ456/60))</f>
        <v>10.336134453781511</v>
      </c>
      <c r="BF456" s="6">
        <f>IF(OR(AJ456=0,AP456=0,NOT(ISNUMBER(AD456)),NOT(ISNUMBER(AF456)),NOT(ISNUMBER(AJ456)),NOT(ISNUMBER(AP456))),"",
IFERROR(IF((AD456-AF456)/(AJ456/60)/(AP456/1000)&lt;=0,"",(AD456-AF456)/(AJ456/60)/(AP456/1000)),""))</f>
        <v>5.2071206316279888</v>
      </c>
    </row>
    <row r="457" spans="1:58" ht="15.75">
      <c r="B457" s="94">
        <v>45717</v>
      </c>
      <c r="C457" s="1">
        <v>213</v>
      </c>
      <c r="D457" s="3">
        <v>452</v>
      </c>
      <c r="E457" s="205" t="str">
        <f t="shared" si="31"/>
        <v/>
      </c>
      <c r="I457" s="15">
        <f>AD457</f>
        <v>20</v>
      </c>
      <c r="K457" s="10" t="str">
        <f t="shared" si="28"/>
        <v/>
      </c>
      <c r="L457" s="9" t="str">
        <f t="shared" si="29"/>
        <v/>
      </c>
      <c r="M457" s="8" t="str">
        <f t="shared" si="30"/>
        <v/>
      </c>
      <c r="AB457" s="5">
        <v>80</v>
      </c>
      <c r="AD457" s="95">
        <v>20</v>
      </c>
      <c r="AG457" s="88"/>
      <c r="AH457" s="20"/>
      <c r="AJ457" s="1">
        <v>71</v>
      </c>
      <c r="AK457" s="3">
        <f>180+60</f>
        <v>240</v>
      </c>
      <c r="AN457" s="80">
        <f>360-AK457-AB457</f>
        <v>40</v>
      </c>
      <c r="AP457" s="13">
        <f>(AO453+AO462)/2</f>
        <v>1984.9999999999909</v>
      </c>
      <c r="AR457" s="17" t="e">
        <f>(E457-W457)/E457</f>
        <v>#VALUE!</v>
      </c>
      <c r="AS457" s="16">
        <f>(I457-AF456)/I457</f>
        <v>1</v>
      </c>
      <c r="AT457" s="16"/>
      <c r="AU457" s="16" t="e">
        <f>(G457-AM457)/G457</f>
        <v>#DIV/0!</v>
      </c>
      <c r="AV457" s="57" t="str">
        <f>IF(AND(ISNUMBER(E457),ISNUMBER(W457)),E457-W457,"")</f>
        <v/>
      </c>
      <c r="AW457" s="57">
        <f>IF(AND(ISNUMBER(I457),ISNUMBER(AF456)),I457-AF456,"")</f>
        <v>20</v>
      </c>
      <c r="AX457" s="57" t="str">
        <f>IF(AND(ISNUMBER(AM457),ISNUMBER(G457)),G457-AM457,"")</f>
        <v/>
      </c>
      <c r="AY457" s="57" t="str">
        <f>IF(AND(ISNUMBER(AC457),ISNUMBER(AE457)),AC457-AE457,"")</f>
        <v/>
      </c>
      <c r="AZ457" s="57" t="str">
        <f>IF(AND(ISNUMBER(AL457),ISNUMBER(AM457)),AL457-AM457,"")</f>
        <v/>
      </c>
      <c r="BA457" s="60" t="str">
        <f>IF(AND($E457&gt;0,$W457&gt;0),IF(($E457-$W457)/$E457&gt;0,($E457-$W457)/$E457,0),"")</f>
        <v/>
      </c>
      <c r="BB457" s="60">
        <f>IF(AND($I457&gt;0,$AF456&gt;=0),IF(($I457-$AF456)/$I457&gt;0,($I457-$AF456)/$I457,0),"")</f>
        <v>1</v>
      </c>
      <c r="BC457" s="60"/>
      <c r="BD457" s="60" t="str">
        <f>IF(AND($G457&gt;0,$AM457&gt;0),IF(($G457-$AM457)/$G457&gt;0,($G457-$AM457)/$G457,0),"")</f>
        <v/>
      </c>
      <c r="BE457" s="6">
        <f>IF((AD457-AF457)/(AJ457/60)&lt;=0,"",(AD457-AF457)/(AJ457/60))</f>
        <v>16.901408450704224</v>
      </c>
      <c r="BF457" s="6" t="str">
        <f>IF(OR(AJ457=0,AP457=0,NOT(ISNUMBER(AD457)),NOT(ISNUMBER(AF457)),NOT(ISNUMBER(AJ457)),NOT(ISNUMBER(AP457))),"",
IFERROR(IF((AD457-AF457)/(AJ457/60)/(AP457/1000)&lt;=0,"",(AD457-AF457)/(AJ457/60)/(AP457/1000)),""))</f>
        <v/>
      </c>
    </row>
    <row r="458" spans="1:58" ht="15.75">
      <c r="B458" s="94">
        <v>45718</v>
      </c>
      <c r="C458" s="1">
        <v>214</v>
      </c>
      <c r="D458" s="3">
        <v>453</v>
      </c>
      <c r="E458" s="205" t="str">
        <f t="shared" si="31"/>
        <v/>
      </c>
      <c r="I458" s="15">
        <f>AD458</f>
        <v>20</v>
      </c>
      <c r="K458" s="10" t="str">
        <f t="shared" si="28"/>
        <v/>
      </c>
      <c r="L458" s="9" t="str">
        <f t="shared" si="29"/>
        <v/>
      </c>
      <c r="M458" s="8" t="str">
        <f t="shared" si="30"/>
        <v/>
      </c>
      <c r="AB458" s="5">
        <v>80</v>
      </c>
      <c r="AD458" s="95">
        <v>20</v>
      </c>
      <c r="AG458" s="88"/>
      <c r="AH458" s="20"/>
      <c r="AJ458" s="1">
        <v>75</v>
      </c>
      <c r="AK458" s="3">
        <f>180+60</f>
        <v>240</v>
      </c>
      <c r="AN458" s="80">
        <f>360-AK458-AB458</f>
        <v>40</v>
      </c>
      <c r="AP458" s="13">
        <f>(AO453+AO462)/2</f>
        <v>1984.9999999999909</v>
      </c>
      <c r="AR458" s="17" t="e">
        <f>(E458-W458)/E458</f>
        <v>#VALUE!</v>
      </c>
      <c r="AS458" s="16">
        <f>(I458-AF458)/I458</f>
        <v>1</v>
      </c>
      <c r="AT458" s="16"/>
      <c r="AU458" s="16" t="e">
        <f>(G458-AM458)/G458</f>
        <v>#DIV/0!</v>
      </c>
      <c r="AV458" s="57" t="str">
        <f>IF(AND(ISNUMBER(E458),ISNUMBER(W458)),E458-W458,"")</f>
        <v/>
      </c>
      <c r="AW458" s="57" t="str">
        <f>IF(AND(ISNUMBER(I458),ISNUMBER(AF458)),I458-AF458,"")</f>
        <v/>
      </c>
      <c r="AX458" s="57" t="str">
        <f>IF(AND(ISNUMBER(AM458),ISNUMBER(G458)),G458-AM458,"")</f>
        <v/>
      </c>
      <c r="AY458" s="57" t="str">
        <f>IF(AND(ISNUMBER(AC458),ISNUMBER(AE458)),AC458-AE458,"")</f>
        <v/>
      </c>
      <c r="AZ458" s="57" t="str">
        <f>IF(AND(ISNUMBER(AL458),ISNUMBER(AM458)),AL458-AM458,"")</f>
        <v/>
      </c>
      <c r="BA458" s="60" t="str">
        <f>IF(AND($E458&gt;0,$W458&gt;0),IF(($E458-$W458)/$E458&gt;0,($E458-$W458)/$E458,0),"")</f>
        <v/>
      </c>
      <c r="BB458" s="60">
        <f>IF(AND($I458&gt;0,$AF458&gt;=0),IF(($I458-$AF458)/$I458&gt;0,($I458-$AF458)/$I458,0),"")</f>
        <v>1</v>
      </c>
      <c r="BC458" s="60"/>
      <c r="BD458" s="60" t="str">
        <f>IF(AND($G458&gt;0,$AM458&gt;0),IF(($G458-$AM458)/$G458&gt;0,($G458-$AM458)/$G458,0),"")</f>
        <v/>
      </c>
      <c r="BE458" s="6">
        <f>IF((AD458-AF458)/(AJ458/60)&lt;=0,"",(AD458-AF458)/(AJ458/60))</f>
        <v>16</v>
      </c>
      <c r="BF458" s="6" t="str">
        <f>IF(OR(AJ458=0,AP458=0,NOT(ISNUMBER(AD458)),NOT(ISNUMBER(AF458)),NOT(ISNUMBER(AJ458)),NOT(ISNUMBER(AP458))),"",
IFERROR(IF((AD458-AF458)/(AJ458/60)/(AP458/1000)&lt;=0,"",(AD458-AF458)/(AJ458/60)/(AP458/1000)),""))</f>
        <v/>
      </c>
    </row>
    <row r="459" spans="1:58" ht="15.75">
      <c r="A459" s="25" t="s">
        <v>68</v>
      </c>
      <c r="B459" s="94">
        <v>45719</v>
      </c>
      <c r="C459" s="1">
        <v>215</v>
      </c>
      <c r="D459" s="3">
        <v>454</v>
      </c>
      <c r="E459" s="205" t="str">
        <f t="shared" si="31"/>
        <v/>
      </c>
      <c r="I459" s="15">
        <f>AD459</f>
        <v>20</v>
      </c>
      <c r="K459" s="10" t="str">
        <f t="shared" si="28"/>
        <v/>
      </c>
      <c r="L459" s="9" t="str">
        <f t="shared" si="29"/>
        <v/>
      </c>
      <c r="M459" s="8" t="str">
        <f t="shared" si="30"/>
        <v/>
      </c>
      <c r="AB459" s="5">
        <v>80</v>
      </c>
      <c r="AD459" s="95">
        <v>20</v>
      </c>
      <c r="AG459" s="88">
        <v>38.340000000000003</v>
      </c>
      <c r="AH459" s="20">
        <v>0.51192129629629635</v>
      </c>
      <c r="AJ459" s="1">
        <v>109</v>
      </c>
      <c r="AK459" s="3">
        <f>180+60</f>
        <v>240</v>
      </c>
      <c r="AN459" s="80">
        <f>360-AK459-AB459</f>
        <v>40</v>
      </c>
      <c r="AP459" s="13">
        <f>(AO453+AO462)/2</f>
        <v>1984.9999999999909</v>
      </c>
      <c r="AR459" s="17" t="e">
        <f>(E459-W459)/E459</f>
        <v>#VALUE!</v>
      </c>
      <c r="AS459" s="16">
        <f>(I459-AF459)/I459</f>
        <v>1</v>
      </c>
      <c r="AT459" s="16"/>
      <c r="AU459" s="16" t="e">
        <f>(G459-AM459)/G459</f>
        <v>#DIV/0!</v>
      </c>
      <c r="AV459" s="57" t="str">
        <f>IF(AND(ISNUMBER(E459),ISNUMBER(W459)),E459-W459,"")</f>
        <v/>
      </c>
      <c r="AW459" s="57" t="str">
        <f>IF(AND(ISNUMBER(I459),ISNUMBER(AF459)),I459-AF459,"")</f>
        <v/>
      </c>
      <c r="AX459" s="57" t="str">
        <f>IF(AND(ISNUMBER(AM459),ISNUMBER(G459)),G459-AM459,"")</f>
        <v/>
      </c>
      <c r="AY459" s="57" t="str">
        <f>IF(AND(ISNUMBER(AC459),ISNUMBER(AE459)),AC459-AE459,"")</f>
        <v/>
      </c>
      <c r="AZ459" s="57" t="str">
        <f>IF(AND(ISNUMBER(AL459),ISNUMBER(AM459)),AL459-AM459,"")</f>
        <v/>
      </c>
      <c r="BA459" s="60" t="str">
        <f>IF(AND($E459&gt;0,$W459&gt;0),IF(($E459-$W459)/$E459&gt;0,($E459-$W459)/$E459,0),"")</f>
        <v/>
      </c>
      <c r="BB459" s="60">
        <f>IF(AND($I459&gt;0,$AF459&gt;=0),IF(($I459-$AF459)/$I459&gt;0,($I459-$AF459)/$I459,0),"")</f>
        <v>1</v>
      </c>
      <c r="BC459" s="60"/>
      <c r="BD459" s="60" t="str">
        <f>IF(AND($G459&gt;0,$AM459&gt;0),IF(($G459-$AM459)/$G459&gt;0,($G459-$AM459)/$G459,0),"")</f>
        <v/>
      </c>
      <c r="BE459" s="6">
        <f>IF((AD459-AF459)/(AJ459/60)&lt;=0,"",(AD459-AF459)/(AJ459/60))</f>
        <v>11.009174311926605</v>
      </c>
      <c r="BF459" s="6" t="str">
        <f>IF(OR(AJ459=0,AP459=0,NOT(ISNUMBER(AD459)),NOT(ISNUMBER(AF459)),NOT(ISNUMBER(AJ459)),NOT(ISNUMBER(AP459))),"",
IFERROR(IF((AD459-AF459)/(AJ459/60)/(AP459/1000)&lt;=0,"",(AD459-AF459)/(AJ459/60)/(AP459/1000)),""))</f>
        <v/>
      </c>
    </row>
    <row r="460" spans="1:58" ht="15.75">
      <c r="B460" s="94">
        <v>45720</v>
      </c>
      <c r="C460" s="1">
        <v>216</v>
      </c>
      <c r="D460" s="3">
        <v>455</v>
      </c>
      <c r="E460" s="205">
        <f t="shared" si="31"/>
        <v>297.42039999999997</v>
      </c>
      <c r="G460" s="15">
        <f>(N460*18-H460*18)/9</f>
        <v>13.229999999999999</v>
      </c>
      <c r="H460" s="15">
        <f>5*0.697</f>
        <v>3.4849999999999999</v>
      </c>
      <c r="I460" s="15">
        <f>AD460</f>
        <v>19.25</v>
      </c>
      <c r="K460" s="10">
        <f t="shared" si="28"/>
        <v>22.480755857898714</v>
      </c>
      <c r="L460" s="9">
        <f t="shared" si="29"/>
        <v>7.7252051948051941</v>
      </c>
      <c r="M460" s="8">
        <f t="shared" si="30"/>
        <v>2.9100529100529102</v>
      </c>
      <c r="N460" s="7">
        <v>10.1</v>
      </c>
      <c r="O460">
        <v>95.251999999999995</v>
      </c>
      <c r="P460">
        <v>31.094000000000001</v>
      </c>
      <c r="Q460" s="6">
        <f>O460*1.067</f>
        <v>101.63388399999999</v>
      </c>
      <c r="R460" s="6">
        <f>P460*1.514</f>
        <v>47.076316000000006</v>
      </c>
      <c r="S460" s="23">
        <f>P460*1.514+O460*1.067</f>
        <v>148.71019999999999</v>
      </c>
      <c r="T460" s="6">
        <f>20*1.55</f>
        <v>31</v>
      </c>
      <c r="U460">
        <f>0.235*1.067</f>
        <v>0.250745</v>
      </c>
      <c r="V460" s="6">
        <v>0</v>
      </c>
      <c r="W460" s="23">
        <f>U460*1.067+V460*1.514</f>
        <v>0.26754491499999999</v>
      </c>
      <c r="AB460" s="5">
        <v>80</v>
      </c>
      <c r="AC460" s="7">
        <f>T460</f>
        <v>31</v>
      </c>
      <c r="AD460" s="1">
        <f>5*3.85</f>
        <v>19.25</v>
      </c>
      <c r="AE460" s="1">
        <f>10*0.998</f>
        <v>9.98</v>
      </c>
      <c r="AF460" s="1">
        <v>0</v>
      </c>
      <c r="AG460" s="88">
        <v>3.93</v>
      </c>
      <c r="AH460" s="20">
        <v>0.49363425925925924</v>
      </c>
      <c r="AJ460" s="1">
        <v>159</v>
      </c>
      <c r="AK460" s="3">
        <f>180+60</f>
        <v>240</v>
      </c>
      <c r="AL460" s="4">
        <f>AE460</f>
        <v>9.98</v>
      </c>
      <c r="AM460" s="1">
        <f>5*1.1</f>
        <v>5.5</v>
      </c>
      <c r="AN460" s="80">
        <f>360-AK460-AB460</f>
        <v>40</v>
      </c>
      <c r="AP460" s="13">
        <f>AVERAGE(AO458:AO464)</f>
        <v>2070.0000000000273</v>
      </c>
      <c r="AR460" s="17">
        <f>(E460-W460)/E460</f>
        <v>0.99910044867467074</v>
      </c>
      <c r="AS460" s="16">
        <f>(I460-AF460)/I460</f>
        <v>1</v>
      </c>
      <c r="AT460" s="16"/>
      <c r="AU460" s="16">
        <f>(G460-AM460)/G460</f>
        <v>0.58427815570672714</v>
      </c>
      <c r="AV460" s="57">
        <f>IF(AND(ISNUMBER(E460),ISNUMBER(W460)),E460-W460,"")</f>
        <v>297.152855085</v>
      </c>
      <c r="AW460" s="57">
        <f>IF(AND(ISNUMBER(I460),ISNUMBER(AF460)),I460-AF460,"")</f>
        <v>19.25</v>
      </c>
      <c r="AX460" s="57">
        <f>IF(AND(ISNUMBER(AM460),ISNUMBER(G460)),G460-AM460,"")</f>
        <v>7.7299999999999986</v>
      </c>
      <c r="AY460" s="57">
        <f>IF(AND(ISNUMBER(AC460),ISNUMBER(AE460)),AC460-AE460,"")</f>
        <v>21.02</v>
      </c>
      <c r="AZ460" s="57">
        <f>IF(AND(ISNUMBER(AL460),ISNUMBER(AM460)),AL460-AM460,"")</f>
        <v>4.4800000000000004</v>
      </c>
      <c r="BA460" s="60">
        <f>IF(AND($E460&gt;0,$W460&gt;0),IF(($E460-$W460)/$E460&gt;0,($E460-$W460)/$E460,0),"")</f>
        <v>0.99910044867467074</v>
      </c>
      <c r="BB460" s="60">
        <f>IF(AND($I460&gt;0,$AF460&gt;=0),IF(($I460-$AF460)/$I460&gt;0,($I460-$AF460)/$I460,0),"")</f>
        <v>1</v>
      </c>
      <c r="BC460" s="60"/>
      <c r="BD460" s="60">
        <f>IF(AND($G460&gt;0,$AM460&gt;0),IF(($G460-$AM460)/$G460&gt;0,($G460-$AM460)/$G460,0),"")</f>
        <v>0.58427815570672714</v>
      </c>
      <c r="BE460" s="6">
        <f>IF((AD460-AF460)/(AJ460/60)&lt;=0,"",(AD460-AF460)/(AJ460/60))</f>
        <v>7.2641509433962268</v>
      </c>
      <c r="BF460" s="6"/>
    </row>
    <row r="461" spans="1:58" ht="15.75">
      <c r="B461" s="94">
        <v>45721</v>
      </c>
      <c r="C461" s="1">
        <v>217</v>
      </c>
      <c r="D461" s="3">
        <v>456</v>
      </c>
      <c r="E461" s="205" t="str">
        <f t="shared" si="31"/>
        <v/>
      </c>
      <c r="I461" s="15">
        <f>AD461</f>
        <v>20</v>
      </c>
      <c r="K461" s="10" t="str">
        <f t="shared" si="28"/>
        <v/>
      </c>
      <c r="L461" s="9" t="str">
        <f t="shared" si="29"/>
        <v/>
      </c>
      <c r="M461" s="8" t="str">
        <f t="shared" si="30"/>
        <v/>
      </c>
      <c r="AB461" s="5">
        <v>80</v>
      </c>
      <c r="AD461" s="95">
        <v>20</v>
      </c>
      <c r="AG461" s="88">
        <v>3.77</v>
      </c>
      <c r="AH461" s="20">
        <v>0.48275462962962962</v>
      </c>
      <c r="AJ461" s="1">
        <v>121</v>
      </c>
      <c r="AK461" s="3">
        <f>180+60</f>
        <v>240</v>
      </c>
      <c r="AN461" s="80">
        <f>360-AK461-AB461</f>
        <v>40</v>
      </c>
      <c r="AP461" s="13">
        <f>AVERAGE(AO459:AO465)</f>
        <v>2070.0000000000273</v>
      </c>
      <c r="AR461" s="17" t="e">
        <f>(E461-W461)/E461</f>
        <v>#VALUE!</v>
      </c>
      <c r="AS461" s="16">
        <f>(I461-AF461)/I461</f>
        <v>1</v>
      </c>
      <c r="AT461" s="16"/>
      <c r="AU461" s="16" t="e">
        <f>(G461-AM461)/G461</f>
        <v>#DIV/0!</v>
      </c>
      <c r="AV461" s="57" t="str">
        <f>IF(AND(ISNUMBER(E461),ISNUMBER(W461)),E461-W461,"")</f>
        <v/>
      </c>
      <c r="AW461" s="57" t="str">
        <f>IF(AND(ISNUMBER(I461),ISNUMBER(AF461)),I461-AF461,"")</f>
        <v/>
      </c>
      <c r="AX461" s="57" t="str">
        <f>IF(AND(ISNUMBER(AM461),ISNUMBER(G461)),G461-AM461,"")</f>
        <v/>
      </c>
      <c r="AY461" s="57" t="str">
        <f>IF(AND(ISNUMBER(AC461),ISNUMBER(AE461)),AC461-AE461,"")</f>
        <v/>
      </c>
      <c r="AZ461" s="57" t="str">
        <f>IF(AND(ISNUMBER(AL461),ISNUMBER(AM461)),AL461-AM461,"")</f>
        <v/>
      </c>
      <c r="BA461" s="60" t="str">
        <f>IF(AND($E461&gt;0,$W461&gt;0),IF(($E461-$W461)/$E461&gt;0,($E461-$W461)/$E461,0),"")</f>
        <v/>
      </c>
      <c r="BB461" s="60">
        <f>IF(AND($I461&gt;0,$AF461&gt;=0),IF(($I461-$AF461)/$I461&gt;0,($I461-$AF461)/$I461,0),"")</f>
        <v>1</v>
      </c>
      <c r="BC461" s="60"/>
      <c r="BD461" s="60" t="str">
        <f>IF(AND($G461&gt;0,$AM461&gt;0),IF(($G461-$AM461)/$G461&gt;0,($G461-$AM461)/$G461,0),"")</f>
        <v/>
      </c>
      <c r="BE461" s="6">
        <f>IF((AD461-AF461)/(AJ461/60)&lt;=0,"",(AD461-AF461)/(AJ461/60))</f>
        <v>9.9173553719008272</v>
      </c>
      <c r="BF461" s="6" t="str">
        <f>IF(OR(AJ461=0,AP461=0,NOT(ISNUMBER(AD461)),NOT(ISNUMBER(AF461)),NOT(ISNUMBER(AJ461)),NOT(ISNUMBER(AP461))),"",
IFERROR(IF((AD461-AF461)/(AJ461/60)/(AP461/1000)&lt;=0,"",(AD461-AF461)/(AJ461/60)/(AP461/1000)),""))</f>
        <v/>
      </c>
    </row>
    <row r="462" spans="1:58" ht="15.75">
      <c r="B462" s="94">
        <v>45722</v>
      </c>
      <c r="C462" s="1">
        <v>218</v>
      </c>
      <c r="D462" s="3">
        <v>457</v>
      </c>
      <c r="E462" s="205">
        <f t="shared" si="31"/>
        <v>242.79604199999997</v>
      </c>
      <c r="G462" s="15">
        <f>(N462*18-H462*18)/9</f>
        <v>17.999999999999996</v>
      </c>
      <c r="H462" s="15">
        <f>5*1.68</f>
        <v>8.4</v>
      </c>
      <c r="I462" s="15">
        <f>AD462</f>
        <v>21</v>
      </c>
      <c r="K462" s="10">
        <f t="shared" si="28"/>
        <v>13.488669000000002</v>
      </c>
      <c r="L462" s="9">
        <f t="shared" si="29"/>
        <v>5.7808581428571424</v>
      </c>
      <c r="M462" s="8">
        <f t="shared" si="30"/>
        <v>2.3333333333333339</v>
      </c>
      <c r="N462" s="7">
        <v>17.399999999999999</v>
      </c>
      <c r="O462">
        <v>61.302999999999997</v>
      </c>
      <c r="P462">
        <v>36.979999999999997</v>
      </c>
      <c r="Q462" s="6">
        <f>O462*1.067</f>
        <v>65.41030099999999</v>
      </c>
      <c r="R462" s="6">
        <f>P462*1.514</f>
        <v>55.987719999999996</v>
      </c>
      <c r="S462" s="23">
        <f>P462*1.514+O462*1.067</f>
        <v>121.39802099999999</v>
      </c>
      <c r="T462" s="6">
        <f>20*2.26</f>
        <v>45.199999999999996</v>
      </c>
      <c r="U462" s="6">
        <v>0</v>
      </c>
      <c r="V462" s="6">
        <v>0</v>
      </c>
      <c r="W462" s="23">
        <f>U462*1.067+V462*1.514</f>
        <v>0</v>
      </c>
      <c r="AB462" s="5">
        <v>80</v>
      </c>
      <c r="AC462" s="7">
        <f>T462</f>
        <v>45.199999999999996</v>
      </c>
      <c r="AD462" s="1">
        <f>5*4.2</f>
        <v>21</v>
      </c>
      <c r="AE462" s="1">
        <v>17.100000000000001</v>
      </c>
      <c r="AF462" s="1">
        <v>0</v>
      </c>
      <c r="AG462" s="88"/>
      <c r="AH462"/>
      <c r="AJ462" s="1">
        <v>129</v>
      </c>
      <c r="AK462" s="3">
        <f>180+60</f>
        <v>240</v>
      </c>
      <c r="AL462" s="4">
        <f>AE462</f>
        <v>17.100000000000001</v>
      </c>
      <c r="AM462" s="1">
        <f>5*1.25</f>
        <v>6.25</v>
      </c>
      <c r="AN462" s="80">
        <f>360-AK462-AB462</f>
        <v>40</v>
      </c>
      <c r="AO462" s="2">
        <f>[1]HRT_SRT!P516</f>
        <v>2070.0000000000273</v>
      </c>
      <c r="AP462" s="13">
        <f>AVERAGE(AO460:AO466)</f>
        <v>2070.0000000000273</v>
      </c>
      <c r="AQ462" s="2">
        <f>[1]HRT_SRT!R516</f>
        <v>27.296703296703427</v>
      </c>
      <c r="AR462" s="17">
        <f>(E462-W462)/E462</f>
        <v>1</v>
      </c>
      <c r="AS462" s="16">
        <f>(I462-AF462)/I462</f>
        <v>1</v>
      </c>
      <c r="AT462" s="16"/>
      <c r="AU462" s="16">
        <f>(G462-AM462)/G462</f>
        <v>0.65277777777777768</v>
      </c>
      <c r="AV462" s="57">
        <f>IF(AND(ISNUMBER(E462),ISNUMBER(W462)),E462-W462,"")</f>
        <v>242.79604199999997</v>
      </c>
      <c r="AW462" s="57">
        <f>IF(AND(ISNUMBER(I462),ISNUMBER(AF462)),I462-AF462,"")</f>
        <v>21</v>
      </c>
      <c r="AX462" s="57">
        <f>IF(AND(ISNUMBER(AM462),ISNUMBER(G462)),G462-AM462,"")</f>
        <v>11.749999999999996</v>
      </c>
      <c r="AY462" s="57">
        <f>IF(AND(ISNUMBER(AC462),ISNUMBER(AE462)),AC462-AE462,"")</f>
        <v>28.099999999999994</v>
      </c>
      <c r="AZ462" s="57">
        <f>IF(AND(ISNUMBER(AL462),ISNUMBER(AM462)),AL462-AM462,"")</f>
        <v>10.850000000000001</v>
      </c>
      <c r="BA462" s="60" t="str">
        <f>IF(AND($E462&gt;0,$W462&gt;0),IF(($E462-$W462)/$E462&gt;0,($E462-$W462)/$E462,0),"")</f>
        <v/>
      </c>
      <c r="BB462" s="60">
        <f>IF(AND($I462&gt;0,$AF462&gt;=0),IF(($I462-$AF462)/$I462&gt;0,($I462-$AF462)/$I462,0),"")</f>
        <v>1</v>
      </c>
      <c r="BC462" s="60"/>
      <c r="BD462" s="60">
        <f>IF(AND($G462&gt;0,$AM462&gt;0),IF(($G462-$AM462)/$G462&gt;0,($G462-$AM462)/$G462,0),"")</f>
        <v>0.65277777777777768</v>
      </c>
      <c r="BE462" s="6">
        <f>IF((AD462-AF462)/(AJ462/60)&lt;=0,"",(AD462-AF462)/(AJ462/60))</f>
        <v>9.7674418604651159</v>
      </c>
      <c r="BF462" s="6">
        <f>IF(OR(AJ462=0,AP462=0,NOT(ISNUMBER(AD462)),NOT(ISNUMBER(AF462)),NOT(ISNUMBER(AJ462)),NOT(ISNUMBER(AP462))),"",
IFERROR(IF((AD462-AF462)/(AJ462/60)/(AP462/1000)&lt;=0,"",(AD462-AF462)/(AJ462/60)/(AP462/1000)),""))</f>
        <v>4.718570947084535</v>
      </c>
    </row>
    <row r="463" spans="1:58" ht="15.75">
      <c r="B463" s="94">
        <v>45723</v>
      </c>
      <c r="C463" s="1">
        <v>219</v>
      </c>
      <c r="D463" s="3">
        <v>458</v>
      </c>
      <c r="E463" s="205" t="str">
        <f t="shared" si="31"/>
        <v/>
      </c>
      <c r="I463" s="15">
        <f>AD463</f>
        <v>20.5</v>
      </c>
      <c r="K463" s="10" t="str">
        <f t="shared" si="28"/>
        <v/>
      </c>
      <c r="L463" s="9" t="str">
        <f t="shared" si="29"/>
        <v/>
      </c>
      <c r="M463" s="8" t="str">
        <f t="shared" si="30"/>
        <v/>
      </c>
      <c r="AB463" s="5">
        <v>80</v>
      </c>
      <c r="AD463" s="93">
        <v>20.5</v>
      </c>
      <c r="AG463" s="88">
        <v>18.02</v>
      </c>
      <c r="AH463" s="20">
        <v>0.38541666666666669</v>
      </c>
      <c r="AJ463" s="1">
        <v>105</v>
      </c>
      <c r="AK463" s="3">
        <f>180+60</f>
        <v>240</v>
      </c>
      <c r="AN463" s="80">
        <f>360-AK463-AB463</f>
        <v>40</v>
      </c>
      <c r="AP463" s="13">
        <f>AVERAGE(AO461:AO467)</f>
        <v>2015.0000000000318</v>
      </c>
      <c r="AR463" s="17" t="e">
        <f>(E463-W463)/E463</f>
        <v>#VALUE!</v>
      </c>
      <c r="AS463" s="16">
        <f>(I463-AF463)/I463</f>
        <v>1</v>
      </c>
      <c r="AT463" s="16"/>
      <c r="AU463" s="16" t="e">
        <f>(G463-AM463)/G463</f>
        <v>#DIV/0!</v>
      </c>
      <c r="AV463" s="57" t="str">
        <f>IF(AND(ISNUMBER(E463),ISNUMBER(W463)),E463-W463,"")</f>
        <v/>
      </c>
      <c r="AW463" s="57" t="str">
        <f>IF(AND(ISNUMBER(I463),ISNUMBER(AF463)),I463-AF463,"")</f>
        <v/>
      </c>
      <c r="AX463" s="57" t="str">
        <f>IF(AND(ISNUMBER(AM463),ISNUMBER(G463)),G463-AM463,"")</f>
        <v/>
      </c>
      <c r="AY463" s="57" t="str">
        <f>IF(AND(ISNUMBER(AC463),ISNUMBER(AE463)),AC463-AE463,"")</f>
        <v/>
      </c>
      <c r="AZ463" s="57" t="str">
        <f t="shared" ref="AZ463:AZ486" si="32">IF(AND(ISNUMBER(AL463),ISNUMBER(AM463)),AL463-AM463,"")</f>
        <v/>
      </c>
      <c r="BA463" s="60" t="str">
        <f>IF(AND($E463&gt;0,$W463&gt;0),IF(($E463-$W463)/$E463&gt;0,($E463-$W463)/$E463,0),"")</f>
        <v/>
      </c>
      <c r="BB463" s="60">
        <f>IF(AND($I463&gt;0,$AF463&gt;=0),IF(($I463-$AF463)/$I463&gt;0,($I463-$AF463)/$I463,0),"")</f>
        <v>1</v>
      </c>
      <c r="BC463" s="60"/>
      <c r="BD463" s="60" t="str">
        <f>IF(AND($G463&gt;0,$AM463&gt;0),IF(($G463-$AM463)/$G463&gt;0,($G463-$AM463)/$G463,0),"")</f>
        <v/>
      </c>
      <c r="BE463" s="6">
        <f>IF((AD463-AF463)/(AJ463/60)&lt;=0,"",(AD463-AF463)/(AJ463/60))</f>
        <v>11.714285714285714</v>
      </c>
      <c r="BF463" s="6" t="str">
        <f>IF(OR(AJ463=0,AP463=0,NOT(ISNUMBER(AD463)),NOT(ISNUMBER(AF463)),NOT(ISNUMBER(AJ463)),NOT(ISNUMBER(AP463))),"",
IFERROR(IF((AD463-AF463)/(AJ463/60)/(AP463/1000)&lt;=0,"",(AD463-AF463)/(AJ463/60)/(AP463/1000)),""))</f>
        <v/>
      </c>
    </row>
    <row r="464" spans="1:58" ht="15.75">
      <c r="B464" s="94">
        <v>45724</v>
      </c>
      <c r="C464" s="1">
        <v>220</v>
      </c>
      <c r="D464" s="3">
        <v>459</v>
      </c>
      <c r="E464" s="205" t="str">
        <f t="shared" si="31"/>
        <v/>
      </c>
      <c r="I464" s="9">
        <f>AD464</f>
        <v>20</v>
      </c>
      <c r="K464" s="10" t="str">
        <f t="shared" si="28"/>
        <v/>
      </c>
      <c r="L464" s="9" t="str">
        <f t="shared" si="29"/>
        <v/>
      </c>
      <c r="M464" s="8" t="str">
        <f t="shared" si="30"/>
        <v/>
      </c>
      <c r="AB464" s="5">
        <v>80</v>
      </c>
      <c r="AD464" s="93">
        <v>20</v>
      </c>
      <c r="AG464" s="88">
        <v>5.21</v>
      </c>
      <c r="AH464" s="20">
        <v>0.41898148148148145</v>
      </c>
      <c r="AJ464" s="1">
        <v>107</v>
      </c>
      <c r="AK464" s="3">
        <f>180+60</f>
        <v>240</v>
      </c>
      <c r="AN464" s="80">
        <f>360-AK464-AB464</f>
        <v>40</v>
      </c>
      <c r="AP464" s="13">
        <f>AVERAGE(AO462:AO468)</f>
        <v>2015.0000000000318</v>
      </c>
      <c r="AR464" s="17" t="e">
        <f>(E464-W464)/E464</f>
        <v>#VALUE!</v>
      </c>
      <c r="AS464" s="16">
        <f>(I464-AF464)/I464</f>
        <v>1</v>
      </c>
      <c r="AT464" s="16"/>
      <c r="AU464" s="16" t="e">
        <f>(G464-AM464)/G464</f>
        <v>#DIV/0!</v>
      </c>
      <c r="AV464" s="57" t="str">
        <f>IF(AND(ISNUMBER(E464),ISNUMBER(W464)),E464-W464,"")</f>
        <v/>
      </c>
      <c r="AW464" s="57" t="str">
        <f>IF(AND(ISNUMBER(I464),ISNUMBER(AF464)),I464-AF464,"")</f>
        <v/>
      </c>
      <c r="AX464" s="57" t="str">
        <f>IF(AND(ISNUMBER(AM464),ISNUMBER(G464)),G464-AM464,"")</f>
        <v/>
      </c>
      <c r="AY464" s="57" t="str">
        <f>IF(AND(ISNUMBER(AC464),ISNUMBER(AE464)),AC464-AE464,"")</f>
        <v/>
      </c>
      <c r="AZ464" s="57" t="str">
        <f t="shared" si="32"/>
        <v/>
      </c>
      <c r="BA464" s="60" t="str">
        <f>IF(AND($E464&gt;0,$W464&gt;0),IF(($E464-$W464)/$E464&gt;0,($E464-$W464)/$E464,0),"")</f>
        <v/>
      </c>
      <c r="BB464" s="60">
        <f>IF(AND($I464&gt;0,$AF464&gt;=0),IF(($I464-$AF464)/$I464&gt;0,($I464-$AF464)/$I464,0),"")</f>
        <v>1</v>
      </c>
      <c r="BC464" s="60"/>
      <c r="BD464" s="60" t="str">
        <f>IF(AND($G464&gt;0,$AM464&gt;0),IF(($G464-$AM464)/$G464&gt;0,($G464-$AM464)/$G464,0),"")</f>
        <v/>
      </c>
      <c r="BE464" s="6">
        <f>IF((AD464-AF464)/(AJ464/60)&lt;=0,"",(AD464-AF464)/(AJ464/60))</f>
        <v>11.214953271028037</v>
      </c>
      <c r="BF464" s="6" t="str">
        <f>IF(OR(AJ464=0,AP464=0,NOT(ISNUMBER(AD464)),NOT(ISNUMBER(AF464)),NOT(ISNUMBER(AJ464)),NOT(ISNUMBER(AP464))),"",
IFERROR(IF((AD464-AF464)/(AJ464/60)/(AP464/1000)&lt;=0,"",(AD464-AF464)/(AJ464/60)/(AP464/1000)),""))</f>
        <v/>
      </c>
    </row>
    <row r="465" spans="1:58" ht="15.75">
      <c r="A465" s="12" t="s">
        <v>67</v>
      </c>
      <c r="B465" s="94">
        <v>45725</v>
      </c>
      <c r="C465" s="1">
        <v>221</v>
      </c>
      <c r="D465" s="3">
        <v>460</v>
      </c>
      <c r="E465" s="205" t="str">
        <f t="shared" si="31"/>
        <v/>
      </c>
      <c r="K465" s="10" t="str">
        <f t="shared" si="28"/>
        <v/>
      </c>
      <c r="L465" s="9" t="str">
        <f t="shared" si="29"/>
        <v/>
      </c>
      <c r="M465" s="8" t="str">
        <f t="shared" si="30"/>
        <v/>
      </c>
      <c r="AB465" s="5">
        <v>80</v>
      </c>
      <c r="AD465" s="93">
        <v>19.5</v>
      </c>
      <c r="AG465" s="88">
        <v>5.18</v>
      </c>
      <c r="AH465" s="20">
        <v>0.41875000000000001</v>
      </c>
      <c r="AJ465" s="1">
        <v>129</v>
      </c>
      <c r="AK465" s="3">
        <f>180+60</f>
        <v>240</v>
      </c>
      <c r="AN465" s="80">
        <f>360-AK465-AB465</f>
        <v>40</v>
      </c>
      <c r="AP465" s="13">
        <f>AVERAGE(AO463:AO469)</f>
        <v>1960.0000000000364</v>
      </c>
      <c r="AR465" s="17" t="e">
        <f>(E465-W465)/E465</f>
        <v>#VALUE!</v>
      </c>
      <c r="AS465" s="16" t="e">
        <f>(I465-AF465)/I465</f>
        <v>#DIV/0!</v>
      </c>
      <c r="AT465" s="16"/>
      <c r="AU465" s="16" t="e">
        <f>(G465-AM465)/G465</f>
        <v>#DIV/0!</v>
      </c>
      <c r="AV465" s="57" t="str">
        <f>IF(AND(ISNUMBER(E465),ISNUMBER(W465)),E465-W465,"")</f>
        <v/>
      </c>
      <c r="AW465" s="57" t="str">
        <f>IF(AND(ISNUMBER(I465),ISNUMBER(AF465)),I465-AF465,"")</f>
        <v/>
      </c>
      <c r="AX465" s="57" t="str">
        <f>IF(AND(ISNUMBER(AM465),ISNUMBER(G465)),G465-AM465,"")</f>
        <v/>
      </c>
      <c r="AY465" s="57" t="str">
        <f>IF(AND(ISNUMBER(AC465),ISNUMBER(AE465)),AC465-AE465,"")</f>
        <v/>
      </c>
      <c r="AZ465" s="57" t="str">
        <f t="shared" si="32"/>
        <v/>
      </c>
      <c r="BA465" s="60" t="str">
        <f>IF(AND($E465&gt;0,$W465&gt;0),IF(($E465-$W465)/$E465&gt;0,($E465-$W465)/$E465,0),"")</f>
        <v/>
      </c>
      <c r="BB465" s="60" t="str">
        <f>IF(AND($I465&gt;0,$AF465&gt;=0),IF(($I465-$AF465)/$I465&gt;0,($I465-$AF465)/$I465,0),"")</f>
        <v/>
      </c>
      <c r="BC465" s="60"/>
      <c r="BD465" s="60" t="str">
        <f>IF(AND($G465&gt;0,$AM465&gt;0),IF(($G465-$AM465)/$G465&gt;0,($G465-$AM465)/$G465,0),"")</f>
        <v/>
      </c>
      <c r="BE465" s="6">
        <f>IF((AD465-AF465)/(AJ465/60)&lt;=0,"",(AD465-AF465)/(AJ465/60))</f>
        <v>9.0697674418604652</v>
      </c>
      <c r="BF465" s="6" t="str">
        <f>IF(OR(AJ465=0,AP465=0,NOT(ISNUMBER(AD465)),NOT(ISNUMBER(AF465)),NOT(ISNUMBER(AJ465)),NOT(ISNUMBER(AP465))),"",
IFERROR(IF((AD465-AF465)/(AJ465/60)/(AP465/1000)&lt;=0,"",(AD465-AF465)/(AJ465/60)/(AP465/1000)),""))</f>
        <v/>
      </c>
    </row>
    <row r="466" spans="1:58" ht="15.75">
      <c r="A466" s="12" t="s">
        <v>66</v>
      </c>
      <c r="B466" s="94">
        <v>45726</v>
      </c>
      <c r="C466" s="1">
        <v>222</v>
      </c>
      <c r="D466" s="3">
        <v>461</v>
      </c>
      <c r="E466" s="205" t="str">
        <f t="shared" si="31"/>
        <v/>
      </c>
      <c r="K466" s="10" t="str">
        <f t="shared" si="28"/>
        <v/>
      </c>
      <c r="L466" s="9" t="str">
        <f t="shared" si="29"/>
        <v/>
      </c>
      <c r="M466" s="8" t="str">
        <f t="shared" si="30"/>
        <v/>
      </c>
      <c r="AB466" s="5">
        <v>80</v>
      </c>
      <c r="AD466" s="93">
        <v>19</v>
      </c>
      <c r="AG466" s="88">
        <v>3.79</v>
      </c>
      <c r="AH466" s="20">
        <v>0.41099537037037037</v>
      </c>
      <c r="AJ466" s="1">
        <v>131</v>
      </c>
      <c r="AK466" s="3">
        <f>180+60</f>
        <v>240</v>
      </c>
      <c r="AN466" s="80">
        <f>360-AK466-AB466</f>
        <v>40</v>
      </c>
      <c r="AO466" s="92"/>
      <c r="AP466" s="13">
        <f>AVERAGE(AO464:AO470)</f>
        <v>1960.0000000000364</v>
      </c>
      <c r="AR466" s="17" t="e">
        <f>(E466-W466)/E466</f>
        <v>#VALUE!</v>
      </c>
      <c r="AS466" s="16" t="e">
        <f>(I466-AF466)/I466</f>
        <v>#DIV/0!</v>
      </c>
      <c r="AT466" s="16"/>
      <c r="AU466" s="16" t="e">
        <f>(G466-AM466)/G466</f>
        <v>#DIV/0!</v>
      </c>
      <c r="AV466" s="57" t="str">
        <f>IF(AND(ISNUMBER(E466),ISNUMBER(W466)),E466-W466,"")</f>
        <v/>
      </c>
      <c r="AW466" s="57" t="str">
        <f>IF(AND(ISNUMBER(I466),ISNUMBER(AF466)),I466-AF466,"")</f>
        <v/>
      </c>
      <c r="AX466" s="57" t="str">
        <f>IF(AND(ISNUMBER(AM466),ISNUMBER(G466)),G466-AM466,"")</f>
        <v/>
      </c>
      <c r="AY466" s="57" t="str">
        <f>IF(AND(ISNUMBER(AC466),ISNUMBER(AE466)),AC466-AE466,"")</f>
        <v/>
      </c>
      <c r="AZ466" s="57" t="str">
        <f t="shared" si="32"/>
        <v/>
      </c>
      <c r="BA466" s="60" t="str">
        <f>IF(AND($E466&gt;0,$W466&gt;0),IF(($E466-$W466)/$E466&gt;0,($E466-$W466)/$E466,0),"")</f>
        <v/>
      </c>
      <c r="BB466" s="60" t="str">
        <f>IF(AND($I466&gt;0,$AF466&gt;=0),IF(($I466-$AF466)/$I466&gt;0,($I466-$AF466)/$I466,0),"")</f>
        <v/>
      </c>
      <c r="BC466" s="60"/>
      <c r="BD466" s="60" t="str">
        <f>IF(AND($G466&gt;0,$AM466&gt;0),IF(($G466-$AM466)/$G466&gt;0,($G466-$AM466)/$G466,0),"")</f>
        <v/>
      </c>
      <c r="BE466" s="6">
        <f>IF((AD466-AF466)/(AJ466/60)&lt;=0,"",(AD466-AF466)/(AJ466/60))</f>
        <v>8.7022900763358795</v>
      </c>
      <c r="BF466" s="6" t="str">
        <f>IF(OR(AJ466=0,AP466=0,NOT(ISNUMBER(AD466)),NOT(ISNUMBER(AF466)),NOT(ISNUMBER(AJ466)),NOT(ISNUMBER(AP466))),"",
IFERROR(IF((AD466-AF466)/(AJ466/60)/(AP466/1000)&lt;=0,"",(AD466-AF466)/(AJ466/60)/(AP466/1000)),""))</f>
        <v/>
      </c>
    </row>
    <row r="467" spans="1:58" s="27" customFormat="1" ht="30">
      <c r="A467" s="91" t="s">
        <v>65</v>
      </c>
      <c r="B467" s="90">
        <v>45727</v>
      </c>
      <c r="C467" s="1">
        <v>223</v>
      </c>
      <c r="D467" s="29">
        <v>462</v>
      </c>
      <c r="E467" s="205" t="str">
        <f t="shared" si="31"/>
        <v/>
      </c>
      <c r="F467" s="36"/>
      <c r="G467" s="36"/>
      <c r="H467" s="36"/>
      <c r="I467" s="36"/>
      <c r="J467" s="35"/>
      <c r="K467" s="10" t="str">
        <f t="shared" si="28"/>
        <v/>
      </c>
      <c r="L467" s="9" t="str">
        <f t="shared" si="29"/>
        <v/>
      </c>
      <c r="M467" s="8" t="str">
        <f t="shared" si="30"/>
        <v/>
      </c>
      <c r="N467" s="34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74">
        <v>80</v>
      </c>
      <c r="AC467" s="32"/>
      <c r="AD467" s="89">
        <v>18.5</v>
      </c>
      <c r="AG467" s="88">
        <v>5.7</v>
      </c>
      <c r="AH467" s="20">
        <v>0.39756944444444442</v>
      </c>
      <c r="AJ467" s="27">
        <v>143</v>
      </c>
      <c r="AK467" s="29">
        <f>180+60</f>
        <v>240</v>
      </c>
      <c r="AL467" s="32"/>
      <c r="AN467" s="87">
        <f>360-AK467-AB467</f>
        <v>40</v>
      </c>
      <c r="AO467" s="86">
        <f>[1]HRT_SRT!P521</f>
        <v>1960.0000000000364</v>
      </c>
      <c r="AP467" s="13">
        <f>AVERAGE(AO465:AO471)</f>
        <v>1960.0000000000364</v>
      </c>
      <c r="AQ467" s="28">
        <f>[1]HRT_SRT!R521</f>
        <v>26.068965517241562</v>
      </c>
      <c r="AR467" s="31" t="e">
        <f>(E467-W467)/E467</f>
        <v>#VALUE!</v>
      </c>
      <c r="AS467" s="30" t="e">
        <f>(I467-AF467)/I467</f>
        <v>#DIV/0!</v>
      </c>
      <c r="AT467" s="30"/>
      <c r="AU467" s="30" t="e">
        <f>(G467-AM467)/G467</f>
        <v>#DIV/0!</v>
      </c>
      <c r="AV467" s="57" t="str">
        <f>IF(AND(ISNUMBER(E467),ISNUMBER(W467)),E467-W467,"")</f>
        <v/>
      </c>
      <c r="AW467" s="57" t="str">
        <f>IF(AND(ISNUMBER(I467),ISNUMBER(AF467)),I467-AF467,"")</f>
        <v/>
      </c>
      <c r="AX467" s="57" t="str">
        <f>IF(AND(ISNUMBER(AM467),ISNUMBER(G467)),G467-AM467,"")</f>
        <v/>
      </c>
      <c r="AY467" s="57" t="str">
        <f>IF(AND(ISNUMBER(AC467),ISNUMBER(AE467)),AC467-AE467,"")</f>
        <v/>
      </c>
      <c r="AZ467" s="57" t="str">
        <f t="shared" si="32"/>
        <v/>
      </c>
      <c r="BA467" s="60" t="str">
        <f>IF(AND($E467&gt;0,$W467&gt;0),IF(($E467-$W467)/$E467&gt;0,($E467-$W467)/$E467,0),"")</f>
        <v/>
      </c>
      <c r="BB467" s="85" t="str">
        <f>IF(AND($I467&gt;0,$AF467&gt;=0),IF(($I467-$AF467)/$I467&gt;0,($I467-$AF467)/$I467,0),"")</f>
        <v/>
      </c>
      <c r="BC467" s="85"/>
      <c r="BD467" s="85" t="str">
        <f>IF(AND($G467&gt;0,$AM467&gt;0),IF(($G467-$AM467)/$G467&gt;0,($G467-$AM467)/$G467,0),"")</f>
        <v/>
      </c>
      <c r="BE467" s="6">
        <f>IF((AD467-AF467)/(AJ467/60)&lt;=0,"",(AD467-AF467)/(AJ467/60))</f>
        <v>7.7622377622377625</v>
      </c>
      <c r="BF467" s="6" t="str">
        <f>IF(OR(AJ467=0,AP467=0,NOT(ISNUMBER(AD467)),NOT(ISNUMBER(AF467)),NOT(ISNUMBER(AJ467)),NOT(ISNUMBER(AP467))),"",
IFERROR(IF((AD467-AF467)/(AJ467/60)/(AP467/1000)&lt;=0,"",(AD467-AF467)/(AJ467/60)/(AP467/1000)),""))</f>
        <v/>
      </c>
    </row>
    <row r="468" spans="1:58" ht="15.75">
      <c r="B468" s="11">
        <v>45728</v>
      </c>
      <c r="C468" s="1">
        <v>224</v>
      </c>
      <c r="D468" s="3">
        <v>463</v>
      </c>
      <c r="E468" s="205" t="str">
        <f t="shared" si="31"/>
        <v/>
      </c>
      <c r="G468" s="9">
        <v>14</v>
      </c>
      <c r="I468" s="15">
        <f>AD468</f>
        <v>18.100000000000001</v>
      </c>
      <c r="K468" s="10" t="str">
        <f t="shared" si="28"/>
        <v/>
      </c>
      <c r="L468" s="9" t="str">
        <f t="shared" si="29"/>
        <v/>
      </c>
      <c r="M468" s="8">
        <f t="shared" si="30"/>
        <v>2.5857142857142859</v>
      </c>
      <c r="U468">
        <f>9.604*1.067</f>
        <v>10.247467999999998</v>
      </c>
      <c r="AB468" s="5">
        <v>80</v>
      </c>
      <c r="AC468" s="4">
        <v>38.200000000000003</v>
      </c>
      <c r="AD468" s="1">
        <f>5*3.62</f>
        <v>18.100000000000001</v>
      </c>
      <c r="AE468" s="1">
        <v>19.7</v>
      </c>
      <c r="AF468" s="1">
        <v>0</v>
      </c>
      <c r="AG468">
        <v>4.7699999999999996</v>
      </c>
      <c r="AH468" s="20">
        <v>0.39166666666666666</v>
      </c>
      <c r="AJ468" s="1">
        <v>93</v>
      </c>
      <c r="AK468" s="3">
        <f>180+60</f>
        <v>240</v>
      </c>
      <c r="AL468" s="4">
        <f>AE468</f>
        <v>19.7</v>
      </c>
      <c r="AM468" s="1">
        <v>14.7</v>
      </c>
      <c r="AN468" s="80">
        <f>360-AK468-AB468</f>
        <v>40</v>
      </c>
      <c r="AP468" s="13">
        <f>AVERAGE(AO466:AO472)</f>
        <v>1960.0000000000364</v>
      </c>
      <c r="AR468" s="17" t="e">
        <f>(E468-W468)/E468</f>
        <v>#VALUE!</v>
      </c>
      <c r="AS468" s="16">
        <f>(I468-AF468)/I468</f>
        <v>1</v>
      </c>
      <c r="AT468" s="16">
        <f>AG468/(AD468-AF468)</f>
        <v>0.2635359116022099</v>
      </c>
      <c r="AU468" s="16">
        <f>(G468-AM468)/G468</f>
        <v>-4.9999999999999947E-2</v>
      </c>
      <c r="AV468" s="57" t="str">
        <f>IF(AND(ISNUMBER(E468),ISNUMBER(W468)),E468-W468,"")</f>
        <v/>
      </c>
      <c r="AW468" s="57">
        <f>IF(AND(ISNUMBER(I468),ISNUMBER(AF468)),I468-AF468,"")</f>
        <v>18.100000000000001</v>
      </c>
      <c r="AX468" s="57">
        <f>IF(AND(ISNUMBER(AM468),ISNUMBER(G468)),G468-AM468,"")</f>
        <v>-0.69999999999999929</v>
      </c>
      <c r="AY468" s="57">
        <f>IF(AND(ISNUMBER(AC468),ISNUMBER(AE468)),AC468-AE468,"")</f>
        <v>18.500000000000004</v>
      </c>
      <c r="AZ468" s="57">
        <f t="shared" si="32"/>
        <v>5</v>
      </c>
      <c r="BB468" s="84">
        <f>IF(AND($I468&gt;0,$AF468&gt;=0),IF(($I468-$AF468)/$I468&gt;0,($I468-$AF468)/$I468,0),"")</f>
        <v>1</v>
      </c>
      <c r="BC468" s="84">
        <f>IF(AND($AG468&gt;=0,$AD468&gt;=0,$AF468&gt;=0),IF($AG468/($AD468-$AF468)&gt;0,$AG468/($AD468-$AF468),0),"")</f>
        <v>0.2635359116022099</v>
      </c>
      <c r="BD468" s="84">
        <f>IF(AND($G468&gt;0,$AM468&gt;0),IF(($G468-$AM468)/$G468&gt;0,($G468-$AM468)/$G468,0),"")</f>
        <v>0</v>
      </c>
      <c r="BE468" s="6">
        <f>IF((AD468-AF468)/(AJ468/60)&lt;=0,"",(AD468-AF468)/(AJ468/60))</f>
        <v>11.67741935483871</v>
      </c>
      <c r="BF468" s="6">
        <f>IF(OR(AJ468=0,AP468=0,NOT(ISNUMBER(AD468)),NOT(ISNUMBER(AF468)),NOT(ISNUMBER(AJ468)),NOT(ISNUMBER(AP468))),"",
IFERROR(IF((AD468-AF468)/(AJ468/60)/(AP468/1000)&lt;=0,"",(AD468-AF468)/(AJ468/60)/(AP468/1000)),""))</f>
        <v>5.957867017774741</v>
      </c>
    </row>
    <row r="469" spans="1:58" ht="15.75">
      <c r="B469" s="11">
        <v>45729</v>
      </c>
      <c r="C469" s="1">
        <v>225</v>
      </c>
      <c r="D469" s="3">
        <v>464</v>
      </c>
      <c r="E469" s="205" t="str">
        <f t="shared" si="31"/>
        <v/>
      </c>
      <c r="I469" s="15">
        <f>AD469</f>
        <v>0</v>
      </c>
      <c r="K469" s="10" t="str">
        <f t="shared" si="28"/>
        <v/>
      </c>
      <c r="L469" s="9" t="str">
        <f t="shared" si="29"/>
        <v/>
      </c>
      <c r="M469" s="8" t="str">
        <f t="shared" si="30"/>
        <v/>
      </c>
      <c r="AB469" s="5">
        <v>80</v>
      </c>
      <c r="AG469">
        <v>15.43</v>
      </c>
      <c r="AH469" s="20">
        <v>0.48622685185185183</v>
      </c>
      <c r="AJ469" s="1">
        <v>77</v>
      </c>
      <c r="AK469" s="3">
        <f>180+60</f>
        <v>240</v>
      </c>
      <c r="AN469" s="80">
        <f>360-AK469-AB469</f>
        <v>40</v>
      </c>
      <c r="AP469" s="13">
        <f>AVERAGE(AO467:AO473)</f>
        <v>1960.0000000000364</v>
      </c>
      <c r="AR469" s="17" t="e">
        <f>(E469-W469)/E469</f>
        <v>#VALUE!</v>
      </c>
      <c r="AS469" s="16" t="e">
        <f>(I469-AF469)/I469</f>
        <v>#DIV/0!</v>
      </c>
      <c r="AT469" s="16" t="e">
        <f>AG469/(AD469-AF469)</f>
        <v>#DIV/0!</v>
      </c>
      <c r="AU469" s="16">
        <f>(G470-AM469)/G470</f>
        <v>1</v>
      </c>
      <c r="AV469" s="57" t="str">
        <f>IF(AND(ISNUMBER(E469),ISNUMBER(W469)),E469-W469,"")</f>
        <v/>
      </c>
      <c r="AW469" s="57" t="str">
        <f>IF(AND(ISNUMBER(I469),ISNUMBER(AF469)),I469-AF469,"")</f>
        <v/>
      </c>
      <c r="AX469" s="57" t="str">
        <f>IF(AND(ISNUMBER(AM469),ISNUMBER(G469)),G469-AM469,"")</f>
        <v/>
      </c>
      <c r="AY469" s="57" t="str">
        <f>IF(AND(ISNUMBER(AC469),ISNUMBER(AE469)),AC469-AE469,"")</f>
        <v/>
      </c>
      <c r="AZ469" s="57" t="str">
        <f t="shared" si="32"/>
        <v/>
      </c>
      <c r="BB469" s="84" t="str">
        <f>IF(AND($I469&gt;0,$AF469&gt;=0),IF(($I469-$AF469)/$I469&gt;0,($I469-$AF469)/$I469,0),"")</f>
        <v/>
      </c>
      <c r="BC469" s="84" t="e">
        <f>IF(AND($AG469&gt;=0,$AD469&gt;=0,$AF469&gt;=0),IF($AG469/($AD469-$AF469)&gt;0,$AG469/($AD469-$AF469),0),"")</f>
        <v>#DIV/0!</v>
      </c>
      <c r="BD469" s="84" t="str">
        <f>IF(AND($G470&gt;0,$AM469&gt;0),IF(($G470-$AM469)/$G470&gt;0,($G470-$AM469)/$G470,0),"")</f>
        <v/>
      </c>
      <c r="BE469" s="6" t="str">
        <f>IF((AD469-AF469)/(AJ469/60)&lt;=0,"",(AD469-AF469)/(AJ469/60))</f>
        <v/>
      </c>
      <c r="BF469" s="6" t="str">
        <f>IF(OR(AJ469=0,AP469=0,NOT(ISNUMBER(AD469)),NOT(ISNUMBER(AF469)),NOT(ISNUMBER(AJ469)),NOT(ISNUMBER(AP469))),"",
IFERROR(IF((AD469-AF469)/(AJ469/60)/(AP469/1000)&lt;=0,"",(AD469-AF469)/(AJ469/60)/(AP469/1000)),""))</f>
        <v/>
      </c>
    </row>
    <row r="470" spans="1:58" ht="15.75">
      <c r="B470" s="11">
        <v>45730</v>
      </c>
      <c r="C470" s="1">
        <v>226</v>
      </c>
      <c r="D470" s="3">
        <v>465</v>
      </c>
      <c r="E470" s="205" t="str">
        <f t="shared" si="31"/>
        <v/>
      </c>
      <c r="G470" s="9">
        <v>14</v>
      </c>
      <c r="I470" s="15">
        <f>AD470</f>
        <v>0</v>
      </c>
      <c r="K470" s="10" t="str">
        <f t="shared" si="28"/>
        <v/>
      </c>
      <c r="L470" s="9" t="str">
        <f t="shared" si="29"/>
        <v/>
      </c>
      <c r="M470" s="8" t="str">
        <f t="shared" si="30"/>
        <v/>
      </c>
      <c r="U470" s="6">
        <f>28.29*1.067</f>
        <v>30.185429999999997</v>
      </c>
      <c r="V470" s="6">
        <f>0*1.514</f>
        <v>0</v>
      </c>
      <c r="AB470" s="5">
        <v>80</v>
      </c>
      <c r="AG470">
        <v>5.71</v>
      </c>
      <c r="AH470" s="20">
        <v>0.38819444444444445</v>
      </c>
      <c r="AJ470" s="1">
        <v>67</v>
      </c>
      <c r="AK470" s="3">
        <f>180+60</f>
        <v>240</v>
      </c>
      <c r="AN470" s="80">
        <f>360-AK470-AB470</f>
        <v>40</v>
      </c>
      <c r="AP470" s="13">
        <f>AVERAGE(AO468:AO474)</f>
        <v>2409.9999999999909</v>
      </c>
      <c r="AR470" s="17" t="e">
        <f>(E470-W470)/E470</f>
        <v>#VALUE!</v>
      </c>
      <c r="AS470" s="16" t="e">
        <f>(I470-AF470)/I470</f>
        <v>#DIV/0!</v>
      </c>
      <c r="AT470" s="16" t="e">
        <f>AG470/(AD470-AF470)</f>
        <v>#DIV/0!</v>
      </c>
      <c r="AU470" s="16" t="e">
        <f>(#REF!-AM470)/#REF!</f>
        <v>#REF!</v>
      </c>
      <c r="AV470" s="57" t="str">
        <f>IF(AND(ISNUMBER(E470),ISNUMBER(W470)),E470-W470,"")</f>
        <v/>
      </c>
      <c r="AW470" s="57" t="str">
        <f>IF(AND(ISNUMBER(I470),ISNUMBER(AF470)),I470-AF470,"")</f>
        <v/>
      </c>
      <c r="AX470" s="57" t="str">
        <f>IF(AND(ISNUMBER(AM470),ISNUMBER(G470)),G470-AM470,"")</f>
        <v/>
      </c>
      <c r="AY470" s="57" t="str">
        <f>IF(AND(ISNUMBER(AC470),ISNUMBER(AE470)),AC470-AE470,"")</f>
        <v/>
      </c>
      <c r="AZ470" s="57" t="str">
        <f t="shared" si="32"/>
        <v/>
      </c>
      <c r="BB470" s="84" t="str">
        <f>IF(AND($I470&gt;0,$AF470&gt;=0),IF(($I470-$AF470)/$I470&gt;0,($I470-$AF470)/$I470,0),"")</f>
        <v/>
      </c>
      <c r="BC470" s="84" t="e">
        <f>IF(AND($AG470&gt;=0,$AD470&gt;=0,$AF470&gt;=0),IF($AG470/($AD470-$AF470)&gt;0,$AG470/($AD470-$AF470),0),"")</f>
        <v>#DIV/0!</v>
      </c>
      <c r="BD470" s="84" t="e">
        <f>IF(AND(#REF!&gt;0,$AM470&gt;0),IF((#REF!-$AM470)/#REF!&gt;0,(#REF!-$AM470)/#REF!,0),"")</f>
        <v>#REF!</v>
      </c>
      <c r="BE470" s="6" t="str">
        <f>IF((AD470-AF470)/(AJ470/60)&lt;=0,"",(AD470-AF470)/(AJ470/60))</f>
        <v/>
      </c>
      <c r="BF470" s="6" t="str">
        <f>IF(OR(AJ470=0,AP470=0,NOT(ISNUMBER(AD470)),NOT(ISNUMBER(AF470)),NOT(ISNUMBER(AJ470)),NOT(ISNUMBER(AP470))),"",
IFERROR(IF((AD470-AF470)/(AJ470/60)/(AP470/1000)&lt;=0,"",(AD470-AF470)/(AJ470/60)/(AP470/1000)),""))</f>
        <v/>
      </c>
    </row>
    <row r="471" spans="1:58" ht="15.75">
      <c r="B471" s="11">
        <v>45731</v>
      </c>
      <c r="C471" s="1">
        <v>227</v>
      </c>
      <c r="D471" s="3">
        <v>466</v>
      </c>
      <c r="E471" s="205" t="str">
        <f t="shared" si="31"/>
        <v/>
      </c>
      <c r="I471" s="15">
        <f>AD471</f>
        <v>0</v>
      </c>
      <c r="K471" s="10" t="str">
        <f t="shared" si="28"/>
        <v/>
      </c>
      <c r="L471" s="9" t="str">
        <f t="shared" si="29"/>
        <v/>
      </c>
      <c r="M471" s="8" t="str">
        <f t="shared" si="30"/>
        <v/>
      </c>
      <c r="AB471" s="5">
        <v>80</v>
      </c>
      <c r="AG471">
        <v>6.53</v>
      </c>
      <c r="AH471" s="20">
        <v>0.39328703703703705</v>
      </c>
      <c r="AJ471" s="1">
        <v>57</v>
      </c>
      <c r="AK471" s="3">
        <f>180+60</f>
        <v>240</v>
      </c>
      <c r="AN471" s="80">
        <f>360-AK471-AB471</f>
        <v>40</v>
      </c>
      <c r="AP471" s="13">
        <f>AVERAGE(AO469:AO475)</f>
        <v>2409.9999999999909</v>
      </c>
      <c r="AR471" s="17" t="e">
        <f>(E471-W471)/E471</f>
        <v>#VALUE!</v>
      </c>
      <c r="AS471" s="16" t="e">
        <f>(I471-AF471)/I471</f>
        <v>#DIV/0!</v>
      </c>
      <c r="AT471" s="16" t="e">
        <f>AG471/(AD471-AF471)</f>
        <v>#DIV/0!</v>
      </c>
      <c r="AU471" s="16" t="e">
        <f>(G471-AM471)/G471</f>
        <v>#DIV/0!</v>
      </c>
      <c r="AV471" s="57" t="str">
        <f>IF(AND(ISNUMBER(E471),ISNUMBER(W471)),E471-W471,"")</f>
        <v/>
      </c>
      <c r="AW471" s="57" t="str">
        <f>IF(AND(ISNUMBER(I471),ISNUMBER(AF471)),I471-AF471,"")</f>
        <v/>
      </c>
      <c r="AX471" s="57" t="str">
        <f>IF(AND(ISNUMBER(AM471),ISNUMBER(G471)),G471-AM471,"")</f>
        <v/>
      </c>
      <c r="AY471" s="57" t="str">
        <f>IF(AND(ISNUMBER(AC471),ISNUMBER(AE471)),AC471-AE471,"")</f>
        <v/>
      </c>
      <c r="AZ471" s="57" t="str">
        <f t="shared" si="32"/>
        <v/>
      </c>
      <c r="BB471" s="84" t="str">
        <f>IF(AND($I471&gt;0,$AF471&gt;=0),IF(($I471-$AF471)/$I471&gt;0,($I471-$AF471)/$I471,0),"")</f>
        <v/>
      </c>
      <c r="BC471" s="84" t="e">
        <f>IF(AND($AG471&gt;=0,$AD471&gt;=0,$AF471&gt;=0),IF($AG471/($AD471-$AF471)&gt;0,$AG471/($AD471-$AF471),0),"")</f>
        <v>#DIV/0!</v>
      </c>
      <c r="BD471" s="84" t="str">
        <f>IF(AND($G471&gt;0,$AM471&gt;0),IF(($G471-$AM471)/$G471&gt;0,($G471-$AM471)/$G471,0),"")</f>
        <v/>
      </c>
      <c r="BE471" s="6" t="str">
        <f>IF((AD471-AF471)/(AJ471/60)&lt;=0,"",(AD471-AF471)/(AJ471/60))</f>
        <v/>
      </c>
      <c r="BF471" s="6" t="str">
        <f>IF(OR(AJ471=0,AP471=0,NOT(ISNUMBER(AD471)),NOT(ISNUMBER(AF471)),NOT(ISNUMBER(AJ471)),NOT(ISNUMBER(AP471))),"",
IFERROR(IF((AD471-AF471)/(AJ471/60)/(AP471/1000)&lt;=0,"",(AD471-AF471)/(AJ471/60)/(AP471/1000)),""))</f>
        <v/>
      </c>
    </row>
    <row r="472" spans="1:58" ht="15.75">
      <c r="B472" s="11">
        <v>45732</v>
      </c>
      <c r="C472" s="1">
        <v>228</v>
      </c>
      <c r="D472" s="3">
        <v>467</v>
      </c>
      <c r="E472" s="205" t="str">
        <f t="shared" si="31"/>
        <v/>
      </c>
      <c r="I472" s="15">
        <f>AD472</f>
        <v>0</v>
      </c>
      <c r="K472" s="10" t="str">
        <f t="shared" si="28"/>
        <v/>
      </c>
      <c r="L472" s="9" t="str">
        <f t="shared" si="29"/>
        <v/>
      </c>
      <c r="M472" s="8" t="str">
        <f t="shared" si="30"/>
        <v/>
      </c>
      <c r="AB472" s="5">
        <v>80</v>
      </c>
      <c r="AG472">
        <v>6.28</v>
      </c>
      <c r="AH472" s="20">
        <v>0.38668981481481479</v>
      </c>
      <c r="AJ472" s="1">
        <v>57</v>
      </c>
      <c r="AK472" s="3">
        <f>180+60</f>
        <v>240</v>
      </c>
      <c r="AN472" s="80">
        <f>360-AK472-AB472</f>
        <v>40</v>
      </c>
      <c r="AP472" s="13">
        <f>AVERAGE(AO470:AO476)</f>
        <v>2409.9999999999909</v>
      </c>
      <c r="AR472" s="17" t="e">
        <f>(E472-W472)/E472</f>
        <v>#VALUE!</v>
      </c>
      <c r="AS472" s="16" t="e">
        <f>(I472-AF472)/I472</f>
        <v>#DIV/0!</v>
      </c>
      <c r="AT472" s="16" t="e">
        <f>AG472/(AD472-AF472)</f>
        <v>#DIV/0!</v>
      </c>
      <c r="AU472" s="16" t="e">
        <f>(G472-AM472)/G472</f>
        <v>#DIV/0!</v>
      </c>
      <c r="AV472" s="57" t="str">
        <f>IF(AND(ISNUMBER(E472),ISNUMBER(W472)),E472-W472,"")</f>
        <v/>
      </c>
      <c r="AW472" s="57" t="str">
        <f>IF(AND(ISNUMBER(I472),ISNUMBER(AF472)),I472-AF472,"")</f>
        <v/>
      </c>
      <c r="AX472" s="57" t="str">
        <f>IF(AND(ISNUMBER(AM472),ISNUMBER(G472)),G472-AM472,"")</f>
        <v/>
      </c>
      <c r="AY472" s="57" t="str">
        <f>IF(AND(ISNUMBER(AC472),ISNUMBER(AE472)),AC472-AE472,"")</f>
        <v/>
      </c>
      <c r="AZ472" s="57" t="str">
        <f t="shared" si="32"/>
        <v/>
      </c>
      <c r="BE472" s="6" t="str">
        <f>IF((AD472-AF472)/(AJ472/60)&lt;=0,"",(AD472-AF472)/(AJ472/60))</f>
        <v/>
      </c>
      <c r="BF472" s="6" t="str">
        <f>IF(OR(AJ472=0,AP472=0,NOT(ISNUMBER(AD472)),NOT(ISNUMBER(AF472)),NOT(ISNUMBER(AJ472)),NOT(ISNUMBER(AP472))),"",
IFERROR(IF((AD472-AF472)/(AJ472/60)/(AP472/1000)&lt;=0,"",(AD472-AF472)/(AJ472/60)/(AP472/1000)),""))</f>
        <v/>
      </c>
    </row>
    <row r="473" spans="1:58" ht="15.75">
      <c r="B473" s="11">
        <v>45733</v>
      </c>
      <c r="C473" s="1">
        <v>229</v>
      </c>
      <c r="D473" s="3">
        <v>468</v>
      </c>
      <c r="E473" s="205" t="str">
        <f t="shared" si="31"/>
        <v/>
      </c>
      <c r="G473" s="15" t="s">
        <v>64</v>
      </c>
      <c r="H473" s="15"/>
      <c r="I473" s="15">
        <f>AD473</f>
        <v>20</v>
      </c>
      <c r="K473" s="10" t="str">
        <f t="shared" si="28"/>
        <v/>
      </c>
      <c r="L473" s="9" t="str">
        <f t="shared" si="29"/>
        <v/>
      </c>
      <c r="M473" s="8" t="e">
        <f t="shared" si="30"/>
        <v>#VALUE!</v>
      </c>
      <c r="T473" s="6">
        <f>10*3.69</f>
        <v>36.9</v>
      </c>
      <c r="AB473" s="5">
        <v>80</v>
      </c>
      <c r="AC473" s="7">
        <f>T473</f>
        <v>36.9</v>
      </c>
      <c r="AD473" s="1">
        <f>4*5</f>
        <v>20</v>
      </c>
      <c r="AF473" s="1">
        <v>0</v>
      </c>
      <c r="AG473">
        <v>6.09</v>
      </c>
      <c r="AH473" s="20">
        <v>0.41249999999999998</v>
      </c>
      <c r="AJ473" s="1">
        <v>95</v>
      </c>
      <c r="AK473" s="3">
        <f>180+60</f>
        <v>240</v>
      </c>
      <c r="AL473" s="4">
        <f>AE473</f>
        <v>0</v>
      </c>
      <c r="AM473" s="1">
        <f>5*2.45</f>
        <v>12.25</v>
      </c>
      <c r="AN473" s="80">
        <f>360-AK473-AB473</f>
        <v>40</v>
      </c>
      <c r="AP473" s="13">
        <f>AVERAGE(AO471:AO477)</f>
        <v>2409.9999999999909</v>
      </c>
      <c r="AR473" s="17" t="e">
        <f>(E473-W473)/E473</f>
        <v>#VALUE!</v>
      </c>
      <c r="AS473" s="16">
        <f>(I473-AF473)/I473</f>
        <v>1</v>
      </c>
      <c r="AT473" s="16">
        <f>AG473/(AD473-2.24)</f>
        <v>0.34290540540540543</v>
      </c>
      <c r="AU473" s="16" t="e">
        <f>(G473-AM473)/G473</f>
        <v>#VALUE!</v>
      </c>
      <c r="AV473" s="57" t="str">
        <f>IF(AND(ISNUMBER(E473),ISNUMBER(W473)),E473-W473,"")</f>
        <v/>
      </c>
      <c r="AW473" s="57">
        <f>IF(AND(ISNUMBER(I473),ISNUMBER(AF473)),I473-AF473,"")</f>
        <v>20</v>
      </c>
      <c r="AX473" s="57" t="str">
        <f>IF(AND(ISNUMBER(AM473),ISNUMBER(G473)),G473-AM473,"")</f>
        <v/>
      </c>
      <c r="AY473" s="57" t="str">
        <f>IF(AND(ISNUMBER(AC473),ISNUMBER(AE473)),AC473-AE473,"")</f>
        <v/>
      </c>
      <c r="AZ473" s="57">
        <f t="shared" si="32"/>
        <v>-12.25</v>
      </c>
      <c r="BE473" s="6">
        <f>IF((AD473-AF473)/(AJ473/60)&lt;=0,"",(AD473-AF473)/(AJ473/60))</f>
        <v>12.631578947368421</v>
      </c>
      <c r="BF473" s="6">
        <f>IF(OR(AJ473=0,AP473=0,NOT(ISNUMBER(AD473)),NOT(ISNUMBER(AF473)),NOT(ISNUMBER(AJ473)),NOT(ISNUMBER(AP473))),"",
IFERROR(IF((AD473-AF473)/(AJ473/60)/(AP473/1000)&lt;=0,"",(AD473-AF473)/(AJ473/60)/(AP473/1000)),""))</f>
        <v>5.2413190652981196</v>
      </c>
    </row>
    <row r="474" spans="1:58" ht="15.75">
      <c r="B474" s="11">
        <v>45734</v>
      </c>
      <c r="C474" s="1">
        <v>230</v>
      </c>
      <c r="D474" s="3">
        <v>469</v>
      </c>
      <c r="E474" s="205" t="str">
        <f t="shared" si="31"/>
        <v/>
      </c>
      <c r="I474" s="15">
        <f>AD474</f>
        <v>0</v>
      </c>
      <c r="K474" s="10" t="str">
        <f t="shared" si="28"/>
        <v/>
      </c>
      <c r="L474" s="9" t="str">
        <f t="shared" si="29"/>
        <v/>
      </c>
      <c r="M474" s="8" t="str">
        <f t="shared" si="30"/>
        <v/>
      </c>
      <c r="AB474" s="5">
        <v>80</v>
      </c>
      <c r="AJ474" s="1">
        <v>95</v>
      </c>
      <c r="AK474" s="3">
        <f>180+60</f>
        <v>240</v>
      </c>
      <c r="AN474" s="80">
        <f>360-AK474-AB474</f>
        <v>40</v>
      </c>
      <c r="AO474" s="2">
        <v>2409.9999999999909</v>
      </c>
      <c r="AP474" s="13">
        <f>AVERAGE(AO472:AO478)</f>
        <v>2409.9999999999909</v>
      </c>
      <c r="AQ474" s="2">
        <v>76.507936507939533</v>
      </c>
      <c r="AR474" s="17" t="e">
        <f>(E474-W474)/E474</f>
        <v>#VALUE!</v>
      </c>
      <c r="AS474" s="16" t="e">
        <f>(I474-AF474)/I474</f>
        <v>#DIV/0!</v>
      </c>
      <c r="AT474" s="16" t="e">
        <f>AG474/(AD474-AF474)</f>
        <v>#DIV/0!</v>
      </c>
      <c r="AU474" s="16" t="e">
        <f>(G474-AM474)/G474</f>
        <v>#DIV/0!</v>
      </c>
      <c r="AV474" s="57" t="str">
        <f>IF(AND(ISNUMBER(E474),ISNUMBER(W474)),E474-W474,"")</f>
        <v/>
      </c>
      <c r="AW474" s="57" t="str">
        <f>IF(AND(ISNUMBER(I474),ISNUMBER(AF474)),I474-AF474,"")</f>
        <v/>
      </c>
      <c r="AX474" s="57" t="str">
        <f>IF(AND(ISNUMBER(AM474),ISNUMBER(G474)),G474-AM474,"")</f>
        <v/>
      </c>
      <c r="AY474" s="57" t="str">
        <f>IF(AND(ISNUMBER(AC474),ISNUMBER(AE474)),AC474-AE474,"")</f>
        <v/>
      </c>
      <c r="AZ474" s="57" t="str">
        <f t="shared" si="32"/>
        <v/>
      </c>
      <c r="BE474" s="6" t="str">
        <f>IF((AD474-AF474)/(AJ474/60)&lt;=0,"",(AD474-AF474)/(AJ474/60))</f>
        <v/>
      </c>
      <c r="BF474" s="6" t="str">
        <f>IF(OR(AJ474=0,AP474=0,NOT(ISNUMBER(AD474)),NOT(ISNUMBER(AF474)),NOT(ISNUMBER(AJ474)),NOT(ISNUMBER(AP474))),"",
IFERROR(IF((AD474-AF474)/(AJ474/60)/(AP474/1000)&lt;=0,"",(AD474-AF474)/(AJ474/60)/(AP474/1000)),""))</f>
        <v/>
      </c>
    </row>
    <row r="475" spans="1:58" ht="15.75">
      <c r="B475" s="11">
        <v>45735</v>
      </c>
      <c r="C475" s="1">
        <v>231</v>
      </c>
      <c r="D475" s="3">
        <v>470</v>
      </c>
      <c r="E475" s="205" t="str">
        <f t="shared" si="31"/>
        <v/>
      </c>
      <c r="I475" s="15">
        <f>AD475</f>
        <v>0</v>
      </c>
      <c r="K475" s="10" t="str">
        <f t="shared" si="28"/>
        <v/>
      </c>
      <c r="L475" s="9" t="str">
        <f t="shared" si="29"/>
        <v/>
      </c>
      <c r="M475" s="8" t="str">
        <f t="shared" si="30"/>
        <v/>
      </c>
      <c r="AB475" s="5">
        <v>80</v>
      </c>
      <c r="AJ475" s="1">
        <v>95</v>
      </c>
      <c r="AK475" s="3">
        <f>180+60</f>
        <v>240</v>
      </c>
      <c r="AN475" s="80">
        <f>360-AK475-AB475</f>
        <v>40</v>
      </c>
      <c r="AP475" s="13">
        <f>AVERAGE(AO473:AO479)</f>
        <v>2409.9999999999909</v>
      </c>
      <c r="AR475" s="17" t="e">
        <f>(E475-W475)/E475</f>
        <v>#VALUE!</v>
      </c>
      <c r="AS475" s="16" t="e">
        <f>(I475-AF475)/I475</f>
        <v>#DIV/0!</v>
      </c>
      <c r="AT475" s="16" t="e">
        <f>AG475/(AD475-AF475)</f>
        <v>#DIV/0!</v>
      </c>
      <c r="AU475" s="16" t="e">
        <f>(G475-AM475)/G475</f>
        <v>#DIV/0!</v>
      </c>
      <c r="AV475" s="57" t="str">
        <f>IF(AND(ISNUMBER(E475),ISNUMBER(W475)),E475-W475,"")</f>
        <v/>
      </c>
      <c r="AW475" s="57" t="str">
        <f>IF(AND(ISNUMBER(I475),ISNUMBER(AF475)),I475-AF475,"")</f>
        <v/>
      </c>
      <c r="AX475" s="57" t="str">
        <f>IF(AND(ISNUMBER(AM475),ISNUMBER(G475)),G475-AM475,"")</f>
        <v/>
      </c>
      <c r="AY475" s="57" t="str">
        <f>IF(AND(ISNUMBER(AC475),ISNUMBER(AE475)),AC475-AE475,"")</f>
        <v/>
      </c>
      <c r="AZ475" s="57" t="str">
        <f t="shared" si="32"/>
        <v/>
      </c>
      <c r="BE475" s="6" t="str">
        <f>IF((AD475-AF475)/(AJ475/60)&lt;=0,"",(AD475-AF475)/(AJ475/60))</f>
        <v/>
      </c>
      <c r="BF475" s="6" t="str">
        <f>IF(OR(AJ475=0,AP475=0,NOT(ISNUMBER(AD475)),NOT(ISNUMBER(AF475)),NOT(ISNUMBER(AJ475)),NOT(ISNUMBER(AP475))),"",
IFERROR(IF((AD475-AF475)/(AJ475/60)/(AP475/1000)&lt;=0,"",(AD475-AF475)/(AJ475/60)/(AP475/1000)),""))</f>
        <v/>
      </c>
    </row>
    <row r="476" spans="1:58" ht="15.75">
      <c r="B476" s="11">
        <v>45736</v>
      </c>
      <c r="C476" s="1">
        <v>232</v>
      </c>
      <c r="D476" s="3">
        <v>471</v>
      </c>
      <c r="E476" s="205" t="str">
        <f t="shared" si="31"/>
        <v/>
      </c>
      <c r="I476" s="15">
        <f>AD476</f>
        <v>0</v>
      </c>
      <c r="K476" s="10" t="str">
        <f t="shared" si="28"/>
        <v/>
      </c>
      <c r="L476" s="9" t="str">
        <f t="shared" si="29"/>
        <v/>
      </c>
      <c r="M476" s="8" t="str">
        <f t="shared" si="30"/>
        <v/>
      </c>
      <c r="AB476" s="5">
        <v>80</v>
      </c>
      <c r="AJ476" s="1">
        <v>105</v>
      </c>
      <c r="AK476" s="3">
        <f>180+60</f>
        <v>240</v>
      </c>
      <c r="AN476" s="80">
        <f>360-AK476-AB476</f>
        <v>40</v>
      </c>
      <c r="AP476" s="13">
        <f>AVERAGE(AO474:AO480)</f>
        <v>2409.9999999999909</v>
      </c>
      <c r="AR476" s="17" t="e">
        <f>(E476-W476)/E476</f>
        <v>#VALUE!</v>
      </c>
      <c r="AS476" s="16" t="e">
        <f>(I476-AF476)/I476</f>
        <v>#DIV/0!</v>
      </c>
      <c r="AT476" s="16" t="e">
        <f>AG476/(AD476-AF476)</f>
        <v>#DIV/0!</v>
      </c>
      <c r="AU476" s="16" t="e">
        <f>(G476-AM476)/G476</f>
        <v>#DIV/0!</v>
      </c>
      <c r="AV476" s="57" t="str">
        <f>IF(AND(ISNUMBER(E476),ISNUMBER(W476)),E476-W476,"")</f>
        <v/>
      </c>
      <c r="AW476" s="57" t="str">
        <f>IF(AND(ISNUMBER(I476),ISNUMBER(AF476)),I476-AF476,"")</f>
        <v/>
      </c>
      <c r="AX476" s="57" t="str">
        <f>IF(AND(ISNUMBER(AM476),ISNUMBER(G476)),G476-AM476,"")</f>
        <v/>
      </c>
      <c r="AY476" s="57" t="str">
        <f>IF(AND(ISNUMBER(AC476),ISNUMBER(AE476)),AC476-AE476,"")</f>
        <v/>
      </c>
      <c r="AZ476" s="57" t="str">
        <f t="shared" si="32"/>
        <v/>
      </c>
      <c r="BE476" s="6" t="str">
        <f>IF((AD476-AF476)/(AJ476/60)&lt;=0,"",(AD476-AF476)/(AJ476/60))</f>
        <v/>
      </c>
      <c r="BF476" s="6" t="str">
        <f>IF(OR(AJ476=0,AP476=0,NOT(ISNUMBER(AD476)),NOT(ISNUMBER(AF476)),NOT(ISNUMBER(AJ476)),NOT(ISNUMBER(AP476))),"",
IFERROR(IF((AD476-AF476)/(AJ476/60)/(AP476/1000)&lt;=0,"",(AD476-AF476)/(AJ476/60)/(AP476/1000)),""))</f>
        <v/>
      </c>
    </row>
    <row r="477" spans="1:58" ht="15.75">
      <c r="B477" s="11">
        <v>45737</v>
      </c>
      <c r="C477" s="1">
        <v>233</v>
      </c>
      <c r="D477" s="3">
        <v>472</v>
      </c>
      <c r="E477" s="205" t="str">
        <f t="shared" si="31"/>
        <v/>
      </c>
      <c r="I477" s="15">
        <f>AD477</f>
        <v>0</v>
      </c>
      <c r="K477" s="10" t="str">
        <f t="shared" si="28"/>
        <v/>
      </c>
      <c r="L477" s="9" t="str">
        <f t="shared" si="29"/>
        <v/>
      </c>
      <c r="M477" s="8" t="str">
        <f t="shared" si="30"/>
        <v/>
      </c>
      <c r="AB477" s="5">
        <v>80</v>
      </c>
      <c r="AJ477" s="1">
        <v>115</v>
      </c>
      <c r="AK477" s="3">
        <f>180+60</f>
        <v>240</v>
      </c>
      <c r="AN477" s="80">
        <f>360-AK477-AB477</f>
        <v>40</v>
      </c>
      <c r="AP477" s="13" t="e">
        <f>AVERAGE(AO475:AO481)</f>
        <v>#DIV/0!</v>
      </c>
      <c r="AR477" s="17" t="e">
        <f>(E477-W477)/E477</f>
        <v>#VALUE!</v>
      </c>
      <c r="AS477" s="16" t="e">
        <f>(I477-AF477)/I477</f>
        <v>#DIV/0!</v>
      </c>
      <c r="AT477" s="16" t="e">
        <f>AG477/(AD477-AF477)</f>
        <v>#DIV/0!</v>
      </c>
      <c r="AU477" s="16" t="e">
        <f>(G477-AM477)/G477</f>
        <v>#DIV/0!</v>
      </c>
      <c r="AV477" s="57" t="str">
        <f>IF(AND(ISNUMBER(E477),ISNUMBER(W477)),E477-W477,"")</f>
        <v/>
      </c>
      <c r="AW477" s="57" t="str">
        <f>IF(AND(ISNUMBER(I477),ISNUMBER(AF477)),I477-AF477,"")</f>
        <v/>
      </c>
      <c r="AX477" s="57" t="str">
        <f>IF(AND(ISNUMBER(AM477),ISNUMBER(G477)),G477-AM477,"")</f>
        <v/>
      </c>
      <c r="AY477" s="57" t="str">
        <f>IF(AND(ISNUMBER(AC477),ISNUMBER(AE477)),AC477-AE477,"")</f>
        <v/>
      </c>
      <c r="AZ477" s="57" t="str">
        <f t="shared" si="32"/>
        <v/>
      </c>
      <c r="BE477" s="6" t="str">
        <f>IF((AD477-AF477)/(AJ477/60)&lt;=0,"",(AD477-AF477)/(AJ477/60))</f>
        <v/>
      </c>
      <c r="BF477" s="6" t="e">
        <f>IF(OR(AJ477=0,AP477=0,NOT(ISNUMBER(AD477)),NOT(ISNUMBER(AF477)),NOT(ISNUMBER(AJ477)),NOT(ISNUMBER(AP477))),"",
IFERROR(IF((AD477-AF477)/(AJ477/60)/(AP477/1000)&lt;=0,"",(AD477-AF477)/(AJ477/60)/(AP477/1000)),""))</f>
        <v>#DIV/0!</v>
      </c>
    </row>
    <row r="478" spans="1:58" ht="15.75">
      <c r="B478" s="11">
        <v>45738</v>
      </c>
      <c r="C478" s="1">
        <v>234</v>
      </c>
      <c r="D478" s="3">
        <v>473</v>
      </c>
      <c r="E478" s="205" t="str">
        <f t="shared" si="31"/>
        <v/>
      </c>
      <c r="I478" s="15">
        <f>AD478</f>
        <v>0</v>
      </c>
      <c r="K478" s="10" t="str">
        <f t="shared" si="28"/>
        <v/>
      </c>
      <c r="L478" s="9" t="str">
        <f t="shared" si="29"/>
        <v/>
      </c>
      <c r="M478" s="8" t="str">
        <f t="shared" si="30"/>
        <v/>
      </c>
      <c r="AB478" s="5">
        <v>80</v>
      </c>
      <c r="AJ478" s="1">
        <v>109</v>
      </c>
      <c r="AK478" s="3">
        <f>180+60</f>
        <v>240</v>
      </c>
      <c r="AN478" s="80">
        <f>360-AK478-AB478</f>
        <v>40</v>
      </c>
      <c r="AP478" s="13" t="e">
        <f>AVERAGE(AO476:AO482)</f>
        <v>#DIV/0!</v>
      </c>
      <c r="AR478" s="17" t="e">
        <f>(E478-W478)/E478</f>
        <v>#VALUE!</v>
      </c>
      <c r="AS478" s="16" t="e">
        <f>(I478-AF478)/I478</f>
        <v>#DIV/0!</v>
      </c>
      <c r="AT478" s="16" t="e">
        <f>AG478/(AD478-AF478)</f>
        <v>#DIV/0!</v>
      </c>
      <c r="AU478" s="16" t="e">
        <f>(G478-AM478)/G478</f>
        <v>#DIV/0!</v>
      </c>
      <c r="AV478" s="57" t="str">
        <f>IF(AND(ISNUMBER(E478),ISNUMBER(W478)),E478-W478,"")</f>
        <v/>
      </c>
      <c r="AW478" s="57" t="str">
        <f>IF(AND(ISNUMBER(I478),ISNUMBER(AF478)),I478-AF478,"")</f>
        <v/>
      </c>
      <c r="AX478" s="57" t="str">
        <f>IF(AND(ISNUMBER(AM478),ISNUMBER(G478)),G478-AM478,"")</f>
        <v/>
      </c>
      <c r="AY478" s="57" t="str">
        <f>IF(AND(ISNUMBER(AC478),ISNUMBER(AE478)),AC478-AE478,"")</f>
        <v/>
      </c>
      <c r="AZ478" s="57" t="str">
        <f t="shared" si="32"/>
        <v/>
      </c>
      <c r="BE478" s="6" t="str">
        <f>IF((AD478-AF478)/(AJ478/60)&lt;=0,"",(AD478-AF478)/(AJ478/60))</f>
        <v/>
      </c>
      <c r="BF478" s="6" t="e">
        <f>IF(OR(AJ478=0,AP478=0,NOT(ISNUMBER(AD478)),NOT(ISNUMBER(AF478)),NOT(ISNUMBER(AJ478)),NOT(ISNUMBER(AP478))),"",
IFERROR(IF((AD478-AF478)/(AJ478/60)/(AP478/1000)&lt;=0,"",(AD478-AF478)/(AJ478/60)/(AP478/1000)),""))</f>
        <v>#DIV/0!</v>
      </c>
    </row>
    <row r="479" spans="1:58" ht="15.75">
      <c r="B479" s="11">
        <v>45739</v>
      </c>
      <c r="C479" s="1">
        <v>235</v>
      </c>
      <c r="D479" s="3">
        <v>474</v>
      </c>
      <c r="E479" s="205" t="str">
        <f t="shared" si="31"/>
        <v/>
      </c>
      <c r="I479" s="15">
        <f>AD479</f>
        <v>0</v>
      </c>
      <c r="K479" s="10" t="str">
        <f t="shared" si="28"/>
        <v/>
      </c>
      <c r="L479" s="9" t="str">
        <f t="shared" si="29"/>
        <v/>
      </c>
      <c r="M479" s="8" t="str">
        <f t="shared" si="30"/>
        <v/>
      </c>
      <c r="AB479" s="5">
        <v>80</v>
      </c>
      <c r="AJ479" s="1">
        <v>103</v>
      </c>
      <c r="AK479" s="3">
        <f>180+60</f>
        <v>240</v>
      </c>
      <c r="AN479" s="80">
        <f>360-AK479-AB479</f>
        <v>40</v>
      </c>
      <c r="AP479" s="13" t="e">
        <f>AVERAGE(AO477:AO483)</f>
        <v>#DIV/0!</v>
      </c>
      <c r="AR479" s="17" t="e">
        <f>(E479-W479)/E479</f>
        <v>#VALUE!</v>
      </c>
      <c r="AS479" s="16" t="e">
        <f>(I479-AF479)/I479</f>
        <v>#DIV/0!</v>
      </c>
      <c r="AT479" s="16" t="e">
        <f>AG479/(AD479-AF479)</f>
        <v>#DIV/0!</v>
      </c>
      <c r="AU479" s="16" t="e">
        <f>(G479-AM479)/G479</f>
        <v>#DIV/0!</v>
      </c>
      <c r="AV479" s="57" t="str">
        <f>IF(AND(ISNUMBER(E479),ISNUMBER(W479)),E479-W479,"")</f>
        <v/>
      </c>
      <c r="AW479" s="57" t="str">
        <f>IF(AND(ISNUMBER(I479),ISNUMBER(AF479)),I479-AF479,"")</f>
        <v/>
      </c>
      <c r="AX479" s="57" t="str">
        <f>IF(AND(ISNUMBER(AM479),ISNUMBER(G479)),G479-AM479,"")</f>
        <v/>
      </c>
      <c r="AY479" s="57" t="str">
        <f>IF(AND(ISNUMBER(AC479),ISNUMBER(AE479)),AC479-AE479,"")</f>
        <v/>
      </c>
      <c r="AZ479" s="57" t="str">
        <f t="shared" si="32"/>
        <v/>
      </c>
      <c r="BE479" s="6" t="str">
        <f>IF((AD479-AF479)/(AJ479/60)&lt;=0,"",(AD479-AF479)/(AJ479/60))</f>
        <v/>
      </c>
      <c r="BF479" s="6" t="e">
        <f>IF(OR(AJ479=0,AP479=0,NOT(ISNUMBER(AD479)),NOT(ISNUMBER(AF479)),NOT(ISNUMBER(AJ479)),NOT(ISNUMBER(AP479))),"",
IFERROR(IF((AD479-AF479)/(AJ479/60)/(AP479/1000)&lt;=0,"",(AD479-AF479)/(AJ479/60)/(AP479/1000)),""))</f>
        <v>#DIV/0!</v>
      </c>
    </row>
    <row r="480" spans="1:58" ht="15.75">
      <c r="A480" s="12" t="s">
        <v>63</v>
      </c>
      <c r="B480" s="11">
        <v>45740</v>
      </c>
      <c r="C480" s="1">
        <v>236</v>
      </c>
      <c r="D480" s="3">
        <v>475</v>
      </c>
      <c r="E480" s="205" t="str">
        <f t="shared" si="31"/>
        <v/>
      </c>
      <c r="I480" s="15">
        <f>AD480</f>
        <v>0</v>
      </c>
      <c r="K480" s="10" t="str">
        <f t="shared" si="28"/>
        <v/>
      </c>
      <c r="L480" s="9" t="str">
        <f t="shared" si="29"/>
        <v/>
      </c>
      <c r="M480" s="8" t="str">
        <f t="shared" si="30"/>
        <v/>
      </c>
      <c r="AB480" s="5">
        <v>80</v>
      </c>
      <c r="AJ480" s="1">
        <v>109</v>
      </c>
      <c r="AK480" s="3">
        <f>180+60</f>
        <v>240</v>
      </c>
      <c r="AN480" s="80">
        <f>360-AK480-AB480</f>
        <v>40</v>
      </c>
      <c r="AP480" s="13" t="e">
        <f>AVERAGE(AO478:AO484)</f>
        <v>#DIV/0!</v>
      </c>
      <c r="AR480" s="17" t="e">
        <f>(E480-W480)/E480</f>
        <v>#VALUE!</v>
      </c>
      <c r="AS480" s="16" t="e">
        <f>(I480-AF480)/I480</f>
        <v>#DIV/0!</v>
      </c>
      <c r="AT480" s="16" t="e">
        <f>AG480/(AD480-AF480)</f>
        <v>#DIV/0!</v>
      </c>
      <c r="AU480" s="16" t="e">
        <f>(G480-AM480)/G480</f>
        <v>#DIV/0!</v>
      </c>
      <c r="AV480" s="57" t="str">
        <f>IF(AND(ISNUMBER(E480),ISNUMBER(W480)),E480-W480,"")</f>
        <v/>
      </c>
      <c r="AW480" s="57" t="str">
        <f>IF(AND(ISNUMBER(I480),ISNUMBER(AF480)),I480-AF480,"")</f>
        <v/>
      </c>
      <c r="AX480" s="57" t="str">
        <f>IF(AND(ISNUMBER(AM480),ISNUMBER(G480)),G480-AM480,"")</f>
        <v/>
      </c>
      <c r="AY480" s="57" t="str">
        <f>IF(AND(ISNUMBER(AC480),ISNUMBER(AE480)),AC480-AE480,"")</f>
        <v/>
      </c>
      <c r="AZ480" s="57" t="str">
        <f t="shared" si="32"/>
        <v/>
      </c>
      <c r="BE480" s="6" t="str">
        <f>IF((AD480-AF480)/(AJ480/60)&lt;=0,"",(AD480-AF480)/(AJ480/60))</f>
        <v/>
      </c>
      <c r="BF480" s="6" t="e">
        <f>IF(OR(AJ480=0,AP480=0,NOT(ISNUMBER(AD480)),NOT(ISNUMBER(AF480)),NOT(ISNUMBER(AJ480)),NOT(ISNUMBER(AP480))),"",
IFERROR(IF((AD480-AF480)/(AJ480/60)/(AP480/1000)&lt;=0,"",(AD480-AF480)/(AJ480/60)/(AP480/1000)),""))</f>
        <v>#DIV/0!</v>
      </c>
    </row>
    <row r="481" spans="1:58" ht="15.75">
      <c r="B481" s="11">
        <v>45741</v>
      </c>
      <c r="C481" s="1">
        <v>237</v>
      </c>
      <c r="D481" s="3">
        <v>476</v>
      </c>
      <c r="E481" s="205" t="str">
        <f t="shared" si="31"/>
        <v/>
      </c>
      <c r="I481" s="15">
        <f>AD481</f>
        <v>0</v>
      </c>
      <c r="K481" s="10" t="str">
        <f t="shared" si="28"/>
        <v/>
      </c>
      <c r="L481" s="9" t="str">
        <f t="shared" si="29"/>
        <v/>
      </c>
      <c r="M481" s="8" t="str">
        <f t="shared" si="30"/>
        <v/>
      </c>
      <c r="AB481" s="5">
        <v>80</v>
      </c>
      <c r="AJ481" s="1">
        <v>99</v>
      </c>
      <c r="AK481" s="3">
        <f>180+60</f>
        <v>240</v>
      </c>
      <c r="AN481" s="80">
        <f>360-AK481-AB481</f>
        <v>40</v>
      </c>
      <c r="AP481" s="13" t="e">
        <f>AVERAGE(AO479:AO485)</f>
        <v>#DIV/0!</v>
      </c>
      <c r="AR481" s="17" t="e">
        <f>(E481-W481)/E481</f>
        <v>#VALUE!</v>
      </c>
      <c r="AS481" s="16" t="e">
        <f>(I481-AF481)/I481</f>
        <v>#DIV/0!</v>
      </c>
      <c r="AT481" s="16" t="e">
        <f>AG481/(AD481-AF481)</f>
        <v>#DIV/0!</v>
      </c>
      <c r="AU481" s="16" t="e">
        <f>(G481-AM481)/G481</f>
        <v>#DIV/0!</v>
      </c>
      <c r="AV481" s="57" t="str">
        <f>IF(AND(ISNUMBER(E481),ISNUMBER(W481)),E481-W481,"")</f>
        <v/>
      </c>
      <c r="AW481" s="57" t="str">
        <f>IF(AND(ISNUMBER(I481),ISNUMBER(AF481)),I481-AF481,"")</f>
        <v/>
      </c>
      <c r="AX481" s="57" t="str">
        <f>IF(AND(ISNUMBER(AM481),ISNUMBER(G481)),G481-AM481,"")</f>
        <v/>
      </c>
      <c r="AY481" s="57" t="str">
        <f>IF(AND(ISNUMBER(AC481),ISNUMBER(AE481)),AC481-AE481,"")</f>
        <v/>
      </c>
      <c r="AZ481" s="57" t="str">
        <f t="shared" si="32"/>
        <v/>
      </c>
      <c r="BE481" s="6" t="str">
        <f>IF((AD481-AF481)/(AJ481/60)&lt;=0,"",(AD481-AF481)/(AJ481/60))</f>
        <v/>
      </c>
      <c r="BF481" s="6" t="e">
        <f>IF(OR(AJ481=0,AP481=0,NOT(ISNUMBER(AD481)),NOT(ISNUMBER(AF481)),NOT(ISNUMBER(AJ481)),NOT(ISNUMBER(AP481))),"",
IFERROR(IF((AD481-AF481)/(AJ481/60)/(AP481/1000)&lt;=0,"",(AD481-AF481)/(AJ481/60)/(AP481/1000)),""))</f>
        <v>#DIV/0!</v>
      </c>
    </row>
    <row r="482" spans="1:58" ht="15.75">
      <c r="A482" s="12" t="s">
        <v>62</v>
      </c>
      <c r="B482" s="11">
        <v>45742</v>
      </c>
      <c r="C482" s="1">
        <v>238</v>
      </c>
      <c r="D482" s="3">
        <v>477</v>
      </c>
      <c r="E482" s="205" t="str">
        <f t="shared" si="31"/>
        <v/>
      </c>
      <c r="I482" s="15">
        <f>AD482</f>
        <v>0</v>
      </c>
      <c r="K482" s="10" t="str">
        <f t="shared" si="28"/>
        <v/>
      </c>
      <c r="L482" s="9" t="str">
        <f t="shared" si="29"/>
        <v/>
      </c>
      <c r="M482" s="8" t="str">
        <f t="shared" si="30"/>
        <v/>
      </c>
      <c r="AB482" s="5">
        <v>80</v>
      </c>
      <c r="AJ482" s="1">
        <v>97</v>
      </c>
      <c r="AK482" s="3">
        <f>180+60</f>
        <v>240</v>
      </c>
      <c r="AN482" s="80">
        <f>360-AK482-AB482</f>
        <v>40</v>
      </c>
      <c r="AP482" s="13" t="e">
        <f>AVERAGE(AO480:AO486)</f>
        <v>#DIV/0!</v>
      </c>
      <c r="AR482" s="17" t="e">
        <f>(E482-W482)/E482</f>
        <v>#VALUE!</v>
      </c>
      <c r="AS482" s="16" t="e">
        <f>(I482-AF482)/I482</f>
        <v>#DIV/0!</v>
      </c>
      <c r="AT482" s="16" t="e">
        <f>AG482/(AD482-AF482)</f>
        <v>#DIV/0!</v>
      </c>
      <c r="AU482" s="16" t="e">
        <f>(G482-AM482)/G482</f>
        <v>#DIV/0!</v>
      </c>
      <c r="AV482" s="57" t="str">
        <f>IF(AND(ISNUMBER(E482),ISNUMBER(W482)),E482-W482,"")</f>
        <v/>
      </c>
      <c r="AW482" s="57" t="str">
        <f>IF(AND(ISNUMBER(I482),ISNUMBER(AF482)),I482-AF482,"")</f>
        <v/>
      </c>
      <c r="AX482" s="57" t="str">
        <f>IF(AND(ISNUMBER(AM482),ISNUMBER(G482)),G482-AM482,"")</f>
        <v/>
      </c>
      <c r="AY482" s="57" t="str">
        <f>IF(AND(ISNUMBER(AC482),ISNUMBER(AE482)),AC482-AE482,"")</f>
        <v/>
      </c>
      <c r="AZ482" s="57" t="str">
        <f t="shared" si="32"/>
        <v/>
      </c>
      <c r="BE482" s="6" t="str">
        <f>IF((AD482-AF482)/(AJ482/60)&lt;=0,"",(AD482-AF482)/(AJ482/60))</f>
        <v/>
      </c>
      <c r="BF482" s="6" t="e">
        <f>IF(OR(AJ482=0,AP482=0,NOT(ISNUMBER(AD482)),NOT(ISNUMBER(AF482)),NOT(ISNUMBER(AJ482)),NOT(ISNUMBER(AP482))),"",
IFERROR(IF((AD482-AF482)/(AJ482/60)/(AP482/1000)&lt;=0,"",(AD482-AF482)/(AJ482/60)/(AP482/1000)),""))</f>
        <v>#DIV/0!</v>
      </c>
    </row>
    <row r="483" spans="1:58" ht="15.75">
      <c r="B483" s="11">
        <v>45743</v>
      </c>
      <c r="C483" s="1">
        <v>239</v>
      </c>
      <c r="D483" s="3">
        <v>478</v>
      </c>
      <c r="E483" s="205" t="str">
        <f t="shared" si="31"/>
        <v/>
      </c>
      <c r="I483" s="15">
        <f>AD483</f>
        <v>0</v>
      </c>
      <c r="K483" s="10" t="str">
        <f t="shared" si="28"/>
        <v/>
      </c>
      <c r="L483" s="9" t="str">
        <f t="shared" si="29"/>
        <v/>
      </c>
      <c r="M483" s="8" t="str">
        <f t="shared" si="30"/>
        <v/>
      </c>
      <c r="AB483" s="5">
        <v>80</v>
      </c>
      <c r="AJ483" s="1">
        <v>97</v>
      </c>
      <c r="AK483" s="3">
        <f>180+60</f>
        <v>240</v>
      </c>
      <c r="AN483" s="80">
        <f>360-AK483-AB483</f>
        <v>40</v>
      </c>
      <c r="AP483" s="13" t="e">
        <f>AVERAGE(AO481:AO487)</f>
        <v>#DIV/0!</v>
      </c>
      <c r="AR483" s="17" t="e">
        <f>(E483-W483)/E483</f>
        <v>#VALUE!</v>
      </c>
      <c r="AS483" s="16" t="e">
        <f>(I483-AF483)/I483</f>
        <v>#DIV/0!</v>
      </c>
      <c r="AT483" s="16" t="e">
        <f>AG483/(AD483-AF483)</f>
        <v>#DIV/0!</v>
      </c>
      <c r="AU483" s="16" t="e">
        <f>(G483-AM483)/G483</f>
        <v>#DIV/0!</v>
      </c>
      <c r="AV483" s="57" t="str">
        <f>IF(AND(ISNUMBER(E483),ISNUMBER(W483)),E483-W483,"")</f>
        <v/>
      </c>
      <c r="AW483" s="57" t="str">
        <f>IF(AND(ISNUMBER(I483),ISNUMBER(AF483)),I483-AF483,"")</f>
        <v/>
      </c>
      <c r="AX483" s="57" t="str">
        <f>IF(AND(ISNUMBER(AM483),ISNUMBER(G483)),G483-AM483,"")</f>
        <v/>
      </c>
      <c r="AY483" s="57" t="str">
        <f>IF(AND(ISNUMBER(AC483),ISNUMBER(AE483)),AC483-AE483,"")</f>
        <v/>
      </c>
      <c r="AZ483" s="57" t="str">
        <f t="shared" si="32"/>
        <v/>
      </c>
      <c r="BE483" s="6" t="str">
        <f>IF((AD483-AF483)/(AJ483/60)&lt;=0,"",(AD483-AF483)/(AJ483/60))</f>
        <v/>
      </c>
      <c r="BF483" s="6" t="e">
        <f>IF(OR(AJ483=0,AP483=0,NOT(ISNUMBER(AD483)),NOT(ISNUMBER(AF483)),NOT(ISNUMBER(AJ483)),NOT(ISNUMBER(AP483))),"",
IFERROR(IF((AD483-AF483)/(AJ483/60)/(AP483/1000)&lt;=0,"",(AD483-AF483)/(AJ483/60)/(AP483/1000)),""))</f>
        <v>#DIV/0!</v>
      </c>
    </row>
    <row r="484" spans="1:58" ht="15.75">
      <c r="B484" s="11">
        <v>45744</v>
      </c>
      <c r="C484" s="1">
        <v>240</v>
      </c>
      <c r="D484" s="3">
        <v>479</v>
      </c>
      <c r="E484" s="205" t="str">
        <f t="shared" si="31"/>
        <v/>
      </c>
      <c r="G484" s="15">
        <f>(N484*18-H484*18)/9</f>
        <v>15</v>
      </c>
      <c r="H484" s="15">
        <f>5*1.87</f>
        <v>9.3500000000000014</v>
      </c>
      <c r="I484" s="15">
        <f>AD484</f>
        <v>18.799999999999997</v>
      </c>
      <c r="K484" s="10" t="str">
        <f t="shared" si="28"/>
        <v/>
      </c>
      <c r="L484" s="9" t="str">
        <f t="shared" si="29"/>
        <v/>
      </c>
      <c r="M484" s="8">
        <f t="shared" si="30"/>
        <v>2.5066666666666664</v>
      </c>
      <c r="N484" s="7">
        <f>5*3.37</f>
        <v>16.850000000000001</v>
      </c>
      <c r="Q484" s="6">
        <f>O484*1.067</f>
        <v>0</v>
      </c>
      <c r="R484" s="6">
        <f>P484*1.514</f>
        <v>0</v>
      </c>
      <c r="S484" s="23">
        <f>P484*1.514+O484*1.067</f>
        <v>0</v>
      </c>
      <c r="T484" s="6">
        <f>36.1</f>
        <v>36.1</v>
      </c>
      <c r="U484" s="59">
        <f>1.112*1.067</f>
        <v>1.186504</v>
      </c>
      <c r="V484" s="59">
        <f>0.845*1.514</f>
        <v>1.2793300000000001</v>
      </c>
      <c r="W484" s="23">
        <f>U484*1.067+V484*1.514</f>
        <v>3.202905388</v>
      </c>
      <c r="AB484" s="5">
        <v>80</v>
      </c>
      <c r="AC484" s="7">
        <f>T484</f>
        <v>36.1</v>
      </c>
      <c r="AD484" s="1">
        <f>5*3.76</f>
        <v>18.799999999999997</v>
      </c>
      <c r="AE484" s="1">
        <f>5*4.7</f>
        <v>23.5</v>
      </c>
      <c r="AF484" s="1">
        <v>0</v>
      </c>
      <c r="AJ484" s="1">
        <v>95</v>
      </c>
      <c r="AK484" s="3">
        <f>180+60</f>
        <v>240</v>
      </c>
      <c r="AL484" s="4">
        <f>AE484</f>
        <v>23.5</v>
      </c>
      <c r="AM484" s="1">
        <f>5*3.37</f>
        <v>16.850000000000001</v>
      </c>
      <c r="AN484" s="80">
        <f>360-AK484-AB484</f>
        <v>40</v>
      </c>
      <c r="AP484" s="13" t="e">
        <f>AVERAGE(AO482:AO488)</f>
        <v>#DIV/0!</v>
      </c>
      <c r="AR484" s="17" t="e">
        <f>(E484-W484)/E484</f>
        <v>#VALUE!</v>
      </c>
      <c r="AS484" s="16">
        <f>(I484-AF484)/I484</f>
        <v>1</v>
      </c>
      <c r="AT484" s="16">
        <f>AG484/(AD484-AF484)</f>
        <v>0</v>
      </c>
      <c r="AU484" s="16">
        <f>(G484-AM484)/G484</f>
        <v>-0.12333333333333343</v>
      </c>
      <c r="AV484" s="57" t="str">
        <f>IF(AND(ISNUMBER(E484),ISNUMBER(W484)),E484-W484,"")</f>
        <v/>
      </c>
      <c r="AW484" s="57">
        <f>IF(AND(ISNUMBER(I484),ISNUMBER(AF484)),I484-AF484,"")</f>
        <v>18.799999999999997</v>
      </c>
      <c r="AX484" s="57">
        <f>IF(AND(ISNUMBER(AM484),ISNUMBER(G484)),G484-AM484,"")</f>
        <v>-1.8500000000000014</v>
      </c>
      <c r="AY484" s="57">
        <f>IF(AND(ISNUMBER(AC484),ISNUMBER(AE484)),AC484-AE484,"")</f>
        <v>12.600000000000001</v>
      </c>
      <c r="AZ484" s="57">
        <f t="shared" si="32"/>
        <v>6.6499999999999986</v>
      </c>
      <c r="BE484" s="6">
        <f>IF((AD484-AF484)/(AJ484/60)&lt;=0,"",(AD484-AF484)/(AJ484/60))</f>
        <v>11.873684210526315</v>
      </c>
      <c r="BF484" s="6" t="e">
        <f>IF(OR(AJ484=0,AP484=0,NOT(ISNUMBER(AD484)),NOT(ISNUMBER(AF484)),NOT(ISNUMBER(AJ484)),NOT(ISNUMBER(AP484))),"",
IFERROR(IF((AD484-AF484)/(AJ484/60)/(AP484/1000)&lt;=0,"",(AD484-AF484)/(AJ484/60)/(AP484/1000)),""))</f>
        <v>#DIV/0!</v>
      </c>
    </row>
    <row r="485" spans="1:58" ht="15.75">
      <c r="A485" s="12" t="s">
        <v>61</v>
      </c>
      <c r="B485" s="11">
        <v>45745</v>
      </c>
      <c r="C485" s="1">
        <v>241</v>
      </c>
      <c r="D485" s="3">
        <v>480</v>
      </c>
      <c r="E485" s="205" t="str">
        <f t="shared" si="31"/>
        <v/>
      </c>
      <c r="I485" s="15">
        <f>AD485</f>
        <v>0</v>
      </c>
      <c r="K485" s="10" t="str">
        <f t="shared" ref="K485:K548" si="33">IF(OR(E485="",G485="",E485=0,G485=0),"",E485/G485)</f>
        <v/>
      </c>
      <c r="L485" s="9" t="str">
        <f t="shared" ref="L485:L548" si="34">IF(OR(E485="",I485="",E485=0,I485=0),"",E485/(I485*2))</f>
        <v/>
      </c>
      <c r="M485" s="8" t="str">
        <f t="shared" ref="M485:M548" si="35">IF(OR(I485="",G485="",I485=0,G485=0),"",I485*2/G485)</f>
        <v/>
      </c>
      <c r="AB485" s="5">
        <v>80</v>
      </c>
      <c r="AJ485" s="1">
        <v>101</v>
      </c>
      <c r="AK485" s="3">
        <f>180+60</f>
        <v>240</v>
      </c>
      <c r="AN485" s="80">
        <f>360-AK485-AB485</f>
        <v>40</v>
      </c>
      <c r="AP485" s="13" t="e">
        <f>AVERAGE(AO483:AO489)</f>
        <v>#DIV/0!</v>
      </c>
      <c r="AR485" s="17" t="e">
        <f>(E485-W485)/E485</f>
        <v>#VALUE!</v>
      </c>
      <c r="AS485" s="16" t="e">
        <f>(I485-AF485)/I485</f>
        <v>#DIV/0!</v>
      </c>
      <c r="AT485" s="16" t="e">
        <f>AG485/(AD485-AF485)</f>
        <v>#DIV/0!</v>
      </c>
      <c r="AU485" s="16" t="e">
        <f>(G485-AM485)/G485</f>
        <v>#DIV/0!</v>
      </c>
      <c r="AV485" s="57" t="str">
        <f>IF(AND(ISNUMBER(E485),ISNUMBER(W485)),E485-W485,"")</f>
        <v/>
      </c>
      <c r="AW485" s="57" t="str">
        <f>IF(AND(ISNUMBER(I485),ISNUMBER(AF485)),I485-AF485,"")</f>
        <v/>
      </c>
      <c r="AX485" s="57" t="str">
        <f>IF(AND(ISNUMBER(AM485),ISNUMBER(G485)),G485-AM485,"")</f>
        <v/>
      </c>
      <c r="AY485" s="57" t="str">
        <f>IF(AND(ISNUMBER(AC485),ISNUMBER(AE485)),AC485-AE485,"")</f>
        <v/>
      </c>
      <c r="AZ485" s="57" t="str">
        <f t="shared" si="32"/>
        <v/>
      </c>
      <c r="BE485" s="6" t="str">
        <f>IF((AD485-AF485)/(AJ485/60)&lt;=0,"",(AD485-AF485)/(AJ485/60))</f>
        <v/>
      </c>
      <c r="BF485" s="6" t="e">
        <f>IF(OR(AJ485=0,AP485=0,NOT(ISNUMBER(AD485)),NOT(ISNUMBER(AF485)),NOT(ISNUMBER(AJ485)),NOT(ISNUMBER(AP485))),"",
IFERROR(IF((AD485-AF485)/(AJ485/60)/(AP485/1000)&lt;=0,"",(AD485-AF485)/(AJ485/60)/(AP485/1000)),""))</f>
        <v>#DIV/0!</v>
      </c>
    </row>
    <row r="486" spans="1:58" ht="15.75">
      <c r="B486" s="11">
        <v>45746</v>
      </c>
      <c r="C486" s="1">
        <v>242</v>
      </c>
      <c r="D486" s="3">
        <v>481</v>
      </c>
      <c r="E486" s="205" t="str">
        <f t="shared" si="31"/>
        <v/>
      </c>
      <c r="I486" s="15">
        <f>AD486</f>
        <v>0</v>
      </c>
      <c r="K486" s="10" t="str">
        <f t="shared" si="33"/>
        <v/>
      </c>
      <c r="L486" s="9" t="str">
        <f t="shared" si="34"/>
        <v/>
      </c>
      <c r="M486" s="8" t="str">
        <f t="shared" si="35"/>
        <v/>
      </c>
      <c r="AB486" s="5">
        <v>80</v>
      </c>
      <c r="AJ486" s="1">
        <v>107</v>
      </c>
      <c r="AK486" s="3">
        <f>180+60</f>
        <v>240</v>
      </c>
      <c r="AN486" s="80">
        <f>360-AK486-AB486</f>
        <v>40</v>
      </c>
      <c r="AP486" s="13" t="e">
        <f>AVERAGE(AO484:AO490)</f>
        <v>#DIV/0!</v>
      </c>
      <c r="AR486" s="17" t="e">
        <f>(E486-W486)/E486</f>
        <v>#VALUE!</v>
      </c>
      <c r="AS486" s="16" t="e">
        <f>(I486-AF486)/I486</f>
        <v>#DIV/0!</v>
      </c>
      <c r="AT486" s="16" t="e">
        <f>AG486/(AD486-AF486)</f>
        <v>#DIV/0!</v>
      </c>
      <c r="AU486" s="16" t="e">
        <f>(G486-AM486)/G486</f>
        <v>#DIV/0!</v>
      </c>
      <c r="AV486" s="57" t="str">
        <f>IF(AND(ISNUMBER(E486),ISNUMBER(W486)),E486-W486,"")</f>
        <v/>
      </c>
      <c r="AW486" s="57" t="str">
        <f>IF(AND(ISNUMBER(I486),ISNUMBER(AF486)),I486-AF486,"")</f>
        <v/>
      </c>
      <c r="AX486" s="57" t="str">
        <f>IF(AND(ISNUMBER(AM486),ISNUMBER(G486)),G486-AM486,"")</f>
        <v/>
      </c>
      <c r="AY486" s="57" t="str">
        <f>IF(AND(ISNUMBER(AC486),ISNUMBER(AE486)),AC486-AE486,"")</f>
        <v/>
      </c>
      <c r="AZ486" s="57" t="str">
        <f t="shared" si="32"/>
        <v/>
      </c>
      <c r="BE486" s="6" t="str">
        <f>IF((AD486-AF486)/(AJ486/60)&lt;=0,"",(AD486-AF486)/(AJ486/60))</f>
        <v/>
      </c>
      <c r="BF486" s="6" t="e">
        <f>IF(OR(AJ486=0,AP486=0,NOT(ISNUMBER(AD486)),NOT(ISNUMBER(AF486)),NOT(ISNUMBER(AJ486)),NOT(ISNUMBER(AP486))),"",
IFERROR(IF((AD486-AF486)/(AJ486/60)/(AP486/1000)&lt;=0,"",(AD486-AF486)/(AJ486/60)/(AP486/1000)),""))</f>
        <v>#DIV/0!</v>
      </c>
    </row>
    <row r="487" spans="1:58" ht="15.75">
      <c r="B487" s="11">
        <v>45747</v>
      </c>
      <c r="C487" s="1">
        <v>243</v>
      </c>
      <c r="D487" s="3">
        <v>482</v>
      </c>
      <c r="E487" s="205" t="str">
        <f t="shared" si="31"/>
        <v/>
      </c>
      <c r="I487" s="15">
        <f>AD487</f>
        <v>0</v>
      </c>
      <c r="K487" s="10" t="str">
        <f t="shared" si="33"/>
        <v/>
      </c>
      <c r="L487" s="9" t="str">
        <f t="shared" si="34"/>
        <v/>
      </c>
      <c r="M487" s="8" t="str">
        <f t="shared" si="35"/>
        <v/>
      </c>
      <c r="AB487" s="5">
        <v>80</v>
      </c>
      <c r="AJ487" s="1">
        <v>99</v>
      </c>
      <c r="AK487" s="3">
        <f>180+60</f>
        <v>240</v>
      </c>
      <c r="AN487" s="80">
        <f>360-AK487-AB487</f>
        <v>40</v>
      </c>
      <c r="AP487" s="13" t="e">
        <f>AVERAGE(AO485:AO491)</f>
        <v>#DIV/0!</v>
      </c>
      <c r="AR487" s="17" t="e">
        <f>(E487-W487)/E487</f>
        <v>#VALUE!</v>
      </c>
      <c r="AS487" s="16" t="e">
        <f>(I487-AF487)/I487</f>
        <v>#DIV/0!</v>
      </c>
      <c r="AT487" s="16" t="e">
        <f>AG487/(AD487-AF487)</f>
        <v>#DIV/0!</v>
      </c>
      <c r="AU487" s="16" t="e">
        <f>(G487-AM487)/G487</f>
        <v>#DIV/0!</v>
      </c>
      <c r="AV487" s="57" t="str">
        <f>IF(AND(ISNUMBER(E487),ISNUMBER(W487)),E487-W487,"")</f>
        <v/>
      </c>
      <c r="AW487" s="57" t="str">
        <f>IF(AND(ISNUMBER(I487),ISNUMBER(AF487)),I487-AF487,"")</f>
        <v/>
      </c>
      <c r="AX487" s="57" t="str">
        <f>IF(AND(ISNUMBER(AM487),ISNUMBER(G487)),G487-AM487,"")</f>
        <v/>
      </c>
      <c r="AY487" s="57" t="str">
        <f>IF(AND(ISNUMBER(AC487),ISNUMBER(AE487)),AC487-AE487,"")</f>
        <v/>
      </c>
      <c r="AZ487" s="57" t="str">
        <f t="shared" ref="AZ487:AZ550" si="36">IF(AND(ISNUMBER(AL487),ISNUMBER(AM487)),AL487-AM487,"")</f>
        <v/>
      </c>
      <c r="BE487" s="6" t="str">
        <f>IF((AD487-AF487)/(AJ487/60)&lt;=0,"",(AD487-AF487)/(AJ487/60))</f>
        <v/>
      </c>
      <c r="BF487" s="6" t="e">
        <f>IF(OR(AJ487=0,AP487=0,NOT(ISNUMBER(AD487)),NOT(ISNUMBER(AF487)),NOT(ISNUMBER(AJ487)),NOT(ISNUMBER(AP487))),"",
IFERROR(IF((AD487-AF487)/(AJ487/60)/(AP487/1000)&lt;=0,"",(AD487-AF487)/(AJ487/60)/(AP487/1000)),""))</f>
        <v>#DIV/0!</v>
      </c>
    </row>
    <row r="488" spans="1:58" ht="15.75">
      <c r="A488" s="12" t="s">
        <v>60</v>
      </c>
      <c r="B488" s="11">
        <v>45748</v>
      </c>
      <c r="C488" s="1">
        <v>244</v>
      </c>
      <c r="D488" s="3">
        <v>483</v>
      </c>
      <c r="E488" s="205" t="str">
        <f t="shared" si="31"/>
        <v/>
      </c>
      <c r="G488" s="15">
        <f>(N488*18-H488*18)/9</f>
        <v>12.900000000000002</v>
      </c>
      <c r="H488" s="15">
        <f>5*1.39</f>
        <v>6.9499999999999993</v>
      </c>
      <c r="I488" s="15">
        <f>AD488</f>
        <v>19.399999999999999</v>
      </c>
      <c r="K488" s="10" t="str">
        <f t="shared" si="33"/>
        <v/>
      </c>
      <c r="L488" s="9" t="str">
        <f t="shared" si="34"/>
        <v/>
      </c>
      <c r="M488" s="8">
        <f t="shared" si="35"/>
        <v>3.0077519379844952</v>
      </c>
      <c r="N488" s="7">
        <f>5*2.68</f>
        <v>13.4</v>
      </c>
      <c r="Q488" s="6">
        <f>O488*1.067</f>
        <v>0</v>
      </c>
      <c r="R488" s="6">
        <f>P488*1.514</f>
        <v>0</v>
      </c>
      <c r="S488" s="23">
        <f>P488*1.514+O488*1.067</f>
        <v>0</v>
      </c>
      <c r="T488" s="6">
        <v>37.4</v>
      </c>
      <c r="U488" s="59">
        <f>1.112*1.067</f>
        <v>1.186504</v>
      </c>
      <c r="V488" s="59">
        <f>0.845*1.514</f>
        <v>1.2793300000000001</v>
      </c>
      <c r="W488" s="23">
        <f>U488*1.067+V488*1.514</f>
        <v>3.202905388</v>
      </c>
      <c r="AB488" s="5">
        <v>80</v>
      </c>
      <c r="AC488" s="7">
        <f>T488</f>
        <v>37.4</v>
      </c>
      <c r="AD488" s="1">
        <f>5*3.88</f>
        <v>19.399999999999999</v>
      </c>
      <c r="AE488" s="1">
        <f>5*4.15</f>
        <v>20.75</v>
      </c>
      <c r="AF488" s="1">
        <v>0</v>
      </c>
      <c r="AJ488" s="1">
        <v>101</v>
      </c>
      <c r="AK488" s="3">
        <f>180+60</f>
        <v>240</v>
      </c>
      <c r="AL488" s="4">
        <f>AE488</f>
        <v>20.75</v>
      </c>
      <c r="AM488" s="1">
        <f>5*2.84</f>
        <v>14.2</v>
      </c>
      <c r="AN488" s="80">
        <f>360-AK488-AB488</f>
        <v>40</v>
      </c>
      <c r="AP488" s="13" t="e">
        <f>AVERAGE(AO486:AO492)</f>
        <v>#DIV/0!</v>
      </c>
      <c r="AR488" s="17" t="e">
        <f>(E488-W488)/E488</f>
        <v>#VALUE!</v>
      </c>
      <c r="AS488" s="16">
        <f>(I488-AF488)/I488</f>
        <v>1</v>
      </c>
      <c r="AT488" s="16">
        <f>AG488/(AD488-AF488)</f>
        <v>0</v>
      </c>
      <c r="AU488" s="16">
        <f>(G488-AM488)/G488</f>
        <v>-0.10077519379844938</v>
      </c>
      <c r="AV488" s="57" t="str">
        <f>IF(AND(ISNUMBER(E488),ISNUMBER(W488)),E488-W488,"")</f>
        <v/>
      </c>
      <c r="AW488" s="57">
        <f>IF(AND(ISNUMBER(I488),ISNUMBER(AF488)),I488-AF488,"")</f>
        <v>19.399999999999999</v>
      </c>
      <c r="AX488" s="57">
        <f>IF(AND(ISNUMBER(AM488),ISNUMBER(G488)),G488-AM488,"")</f>
        <v>-1.2999999999999972</v>
      </c>
      <c r="AY488" s="57">
        <f>IF(AND(ISNUMBER(AC488),ISNUMBER(AE488)),AC488-AE488,"")</f>
        <v>16.649999999999999</v>
      </c>
      <c r="AZ488" s="57">
        <f t="shared" si="36"/>
        <v>6.5500000000000007</v>
      </c>
      <c r="BE488" s="6">
        <f>IF((AD488-AF488)/(AJ488/60)&lt;=0,"",(AD488-AF488)/(AJ488/60))</f>
        <v>11.524752475247524</v>
      </c>
      <c r="BF488" s="6" t="e">
        <f>IF(OR(AJ488=0,AP488=0,NOT(ISNUMBER(AD488)),NOT(ISNUMBER(AF488)),NOT(ISNUMBER(AJ488)),NOT(ISNUMBER(AP488))),"",
IFERROR(IF((AD488-AF488)/(AJ488/60)/(AP488/1000)&lt;=0,"",(AD488-AF488)/(AJ488/60)/(AP488/1000)),""))</f>
        <v>#DIV/0!</v>
      </c>
    </row>
    <row r="489" spans="1:58" ht="15.75">
      <c r="B489" s="11">
        <v>45749</v>
      </c>
      <c r="C489" s="1">
        <v>245</v>
      </c>
      <c r="D489" s="3">
        <v>484</v>
      </c>
      <c r="E489" s="205" t="str">
        <f t="shared" si="31"/>
        <v/>
      </c>
      <c r="G489" s="15">
        <f>(N489*18-H489*18)/9</f>
        <v>16.599999999999998</v>
      </c>
      <c r="H489" s="15">
        <f>5*1.24</f>
        <v>6.2</v>
      </c>
      <c r="I489" s="15">
        <f>AD489</f>
        <v>24.55</v>
      </c>
      <c r="K489" s="10" t="str">
        <f t="shared" si="33"/>
        <v/>
      </c>
      <c r="L489" s="9" t="str">
        <f t="shared" si="34"/>
        <v/>
      </c>
      <c r="M489" s="8">
        <f t="shared" si="35"/>
        <v>2.9578313253012052</v>
      </c>
      <c r="N489" s="7">
        <f>5*2.9</f>
        <v>14.5</v>
      </c>
      <c r="Q489" s="6">
        <f>O489*1.067</f>
        <v>0</v>
      </c>
      <c r="R489" s="6">
        <f>P489*1.514</f>
        <v>0</v>
      </c>
      <c r="S489" s="23">
        <f>P489*1.514+O489*1.067</f>
        <v>0</v>
      </c>
      <c r="T489" s="6">
        <v>38.9</v>
      </c>
      <c r="U489" s="59">
        <f>1.112*1.067</f>
        <v>1.186504</v>
      </c>
      <c r="V489" s="59">
        <f>0.845*1.514</f>
        <v>1.2793300000000001</v>
      </c>
      <c r="W489" s="23">
        <f>U489*1.067+V489*1.514</f>
        <v>3.202905388</v>
      </c>
      <c r="AB489" s="5">
        <v>80</v>
      </c>
      <c r="AC489" s="7">
        <f>T489</f>
        <v>38.9</v>
      </c>
      <c r="AD489" s="1">
        <f>5*4.91</f>
        <v>24.55</v>
      </c>
      <c r="AE489" s="1">
        <f>5*3.975</f>
        <v>19.875</v>
      </c>
      <c r="AF489" s="1">
        <v>0</v>
      </c>
      <c r="AJ489" s="1">
        <v>113</v>
      </c>
      <c r="AK489" s="3">
        <f>180+60</f>
        <v>240</v>
      </c>
      <c r="AL489" s="4">
        <f>AE489</f>
        <v>19.875</v>
      </c>
      <c r="AM489" s="1">
        <f>5*2.875</f>
        <v>14.375</v>
      </c>
      <c r="AN489" s="80">
        <f>360-AK489-AB489</f>
        <v>40</v>
      </c>
      <c r="AP489" s="13" t="e">
        <f>AVERAGE(AO487:AO493)</f>
        <v>#DIV/0!</v>
      </c>
      <c r="AR489" s="17" t="e">
        <f>(E489-W489)/E489</f>
        <v>#VALUE!</v>
      </c>
      <c r="AS489" s="16">
        <f>(I489-AF489)/I489</f>
        <v>1</v>
      </c>
      <c r="AT489" s="16">
        <f>AG489/(AD489-AF489)</f>
        <v>0</v>
      </c>
      <c r="AU489" s="16">
        <f>(G489-AM489)/G489</f>
        <v>0.13403614457831314</v>
      </c>
      <c r="AV489" s="57" t="str">
        <f>IF(AND(ISNUMBER(E489),ISNUMBER(W489)),E489-W489,"")</f>
        <v/>
      </c>
      <c r="AW489" s="57">
        <f>IF(AND(ISNUMBER(I489),ISNUMBER(AF489)),I489-AF489,"")</f>
        <v>24.55</v>
      </c>
      <c r="AX489" s="57">
        <f>IF(AND(ISNUMBER(AM489),ISNUMBER(G489)),G489-AM489,"")</f>
        <v>2.2249999999999979</v>
      </c>
      <c r="AY489" s="57">
        <f>IF(AND(ISNUMBER(AC489),ISNUMBER(AE489)),AC489-AE489,"")</f>
        <v>19.024999999999999</v>
      </c>
      <c r="AZ489" s="57">
        <f t="shared" si="36"/>
        <v>5.5</v>
      </c>
      <c r="BE489" s="6">
        <f>IF((AD489-AF489)/(AJ489/60)&lt;=0,"",(AD489-AF489)/(AJ489/60))</f>
        <v>13.035398230088497</v>
      </c>
      <c r="BF489" s="6" t="e">
        <f>IF(OR(AJ489=0,AP489=0,NOT(ISNUMBER(AD489)),NOT(ISNUMBER(AF489)),NOT(ISNUMBER(AJ489)),NOT(ISNUMBER(AP489))),"",
IFERROR(IF((AD489-AF489)/(AJ489/60)/(AP489/1000)&lt;=0,"",(AD489-AF489)/(AJ489/60)/(AP489/1000)),""))</f>
        <v>#DIV/0!</v>
      </c>
    </row>
    <row r="490" spans="1:58" ht="15.75">
      <c r="A490" s="12" t="s">
        <v>59</v>
      </c>
      <c r="B490" s="72">
        <v>45750</v>
      </c>
      <c r="C490" s="1">
        <v>246</v>
      </c>
      <c r="D490" s="81">
        <v>485</v>
      </c>
      <c r="E490" s="205" t="str">
        <f t="shared" si="31"/>
        <v/>
      </c>
      <c r="G490" s="15">
        <f>(N490*18-H490*18)/9</f>
        <v>13.560000000000002</v>
      </c>
      <c r="H490" s="15">
        <f>5*0.424</f>
        <v>2.12</v>
      </c>
      <c r="I490" s="15">
        <f>AD490</f>
        <v>22.75</v>
      </c>
      <c r="K490" s="10" t="str">
        <f t="shared" si="33"/>
        <v/>
      </c>
      <c r="L490" s="9" t="str">
        <f t="shared" si="34"/>
        <v/>
      </c>
      <c r="M490" s="8">
        <f t="shared" si="35"/>
        <v>3.3554572271386425</v>
      </c>
      <c r="N490" s="7">
        <f>5*1.78</f>
        <v>8.9</v>
      </c>
      <c r="Q490" s="6">
        <f>O490*1.067</f>
        <v>0</v>
      </c>
      <c r="R490" s="6">
        <f>P490*1.514</f>
        <v>0</v>
      </c>
      <c r="S490" s="23">
        <f>P490*1.514+O490*1.067</f>
        <v>0</v>
      </c>
      <c r="T490" s="6">
        <v>35.4</v>
      </c>
      <c r="U490" s="59">
        <f>1.112*1.067</f>
        <v>1.186504</v>
      </c>
      <c r="V490" s="59">
        <f>0.845*1.514</f>
        <v>1.2793300000000001</v>
      </c>
      <c r="W490" s="23">
        <f>U490*1.067+V490*1.514</f>
        <v>3.202905388</v>
      </c>
      <c r="AB490" s="5">
        <v>80</v>
      </c>
      <c r="AC490" s="7">
        <f>T490</f>
        <v>35.4</v>
      </c>
      <c r="AD490" s="1">
        <f>5*4.55</f>
        <v>22.75</v>
      </c>
      <c r="AE490" s="1">
        <f>5*2.26</f>
        <v>11.299999999999999</v>
      </c>
      <c r="AF490" s="1">
        <v>0</v>
      </c>
      <c r="AJ490" s="1">
        <v>127</v>
      </c>
      <c r="AK490" s="3">
        <f>180+60</f>
        <v>240</v>
      </c>
      <c r="AL490" s="4">
        <f>AE490</f>
        <v>11.299999999999999</v>
      </c>
      <c r="AM490" s="1">
        <f>5*0.672</f>
        <v>3.3600000000000003</v>
      </c>
      <c r="AN490" s="80">
        <f>360-AK490-AB490</f>
        <v>40</v>
      </c>
      <c r="AP490" s="13" t="e">
        <f>AVERAGE(AO488:AO494)</f>
        <v>#DIV/0!</v>
      </c>
      <c r="AR490" s="17" t="e">
        <f>(E490-W490)/E490</f>
        <v>#VALUE!</v>
      </c>
      <c r="AS490" s="16">
        <f>(I490-AF490)/I490</f>
        <v>1</v>
      </c>
      <c r="AT490" s="16">
        <f>AG490/(AD490-AF490)</f>
        <v>0</v>
      </c>
      <c r="AU490" s="16">
        <f>(G490-AM490)/G490</f>
        <v>0.75221238938053103</v>
      </c>
      <c r="AV490" s="57" t="str">
        <f>IF(AND(ISNUMBER(E490),ISNUMBER(W490)),E490-W490,"")</f>
        <v/>
      </c>
      <c r="AW490" s="57">
        <f>IF(AND(ISNUMBER(I490),ISNUMBER(AF490)),I490-AF490,"")</f>
        <v>22.75</v>
      </c>
      <c r="AX490" s="57">
        <f>IF(AND(ISNUMBER(AM490),ISNUMBER(G490)),G490-AM490,"")</f>
        <v>10.200000000000003</v>
      </c>
      <c r="AY490" s="57">
        <f>IF(AND(ISNUMBER(AC490),ISNUMBER(AE490)),AC490-AE490,"")</f>
        <v>24.1</v>
      </c>
      <c r="AZ490" s="57">
        <f t="shared" si="36"/>
        <v>7.9399999999999986</v>
      </c>
      <c r="BE490" s="6">
        <f>IF((AD490-AF490)/(AJ490/60)&lt;=0,"",(AD490-AF490)/(AJ490/60))</f>
        <v>10.748031496062993</v>
      </c>
      <c r="BF490" s="6" t="e">
        <f>IF(OR(AJ490=0,AP490=0,NOT(ISNUMBER(AD490)),NOT(ISNUMBER(AF490)),NOT(ISNUMBER(AJ490)),NOT(ISNUMBER(AP490))),"",
IFERROR(IF((AD490-AF490)/(AJ490/60)/(AP490/1000)&lt;=0,"",(AD490-AF490)/(AJ490/60)/(AP490/1000)),""))</f>
        <v>#DIV/0!</v>
      </c>
    </row>
    <row r="491" spans="1:58" ht="15.75">
      <c r="B491" s="11">
        <v>45751</v>
      </c>
      <c r="C491" s="1">
        <v>247</v>
      </c>
      <c r="D491" s="3">
        <v>486</v>
      </c>
      <c r="E491" s="205" t="str">
        <f t="shared" si="31"/>
        <v/>
      </c>
      <c r="G491" s="83">
        <v>13.560000000000002</v>
      </c>
      <c r="I491" s="15">
        <f>AD491</f>
        <v>0</v>
      </c>
      <c r="K491" s="10" t="str">
        <f t="shared" si="33"/>
        <v/>
      </c>
      <c r="L491" s="9" t="str">
        <f t="shared" si="34"/>
        <v/>
      </c>
      <c r="M491" s="8" t="str">
        <f t="shared" si="35"/>
        <v/>
      </c>
      <c r="AB491" s="5">
        <v>80</v>
      </c>
      <c r="AJ491" s="1">
        <v>123</v>
      </c>
      <c r="AK491" s="3">
        <f>180+60</f>
        <v>240</v>
      </c>
      <c r="AM491" s="1">
        <f>2*1.32</f>
        <v>2.64</v>
      </c>
      <c r="AN491" s="80">
        <f>360-AK491-AB491</f>
        <v>40</v>
      </c>
      <c r="AP491" s="13" t="e">
        <f>AVERAGE(AO489:AO495)</f>
        <v>#DIV/0!</v>
      </c>
      <c r="AR491" s="17" t="e">
        <f>(E491-W491)/E491</f>
        <v>#VALUE!</v>
      </c>
      <c r="AS491" s="16" t="e">
        <f>(I491-AF491)/I491</f>
        <v>#DIV/0!</v>
      </c>
      <c r="AT491" s="16" t="e">
        <f>AG491/(AD491-AF491)</f>
        <v>#DIV/0!</v>
      </c>
      <c r="AU491" s="16">
        <f>(G491-AM491)/G491</f>
        <v>0.80530973451327437</v>
      </c>
      <c r="AV491" s="57" t="str">
        <f>IF(AND(ISNUMBER(E491),ISNUMBER(W491)),E491-W491,"")</f>
        <v/>
      </c>
      <c r="AW491" s="57" t="str">
        <f>IF(AND(ISNUMBER(I491),ISNUMBER(AF491)),I491-AF491,"")</f>
        <v/>
      </c>
      <c r="AX491" s="57">
        <f>IF(AND(ISNUMBER(AM491),ISNUMBER(G491)),G491-AM491,"")</f>
        <v>10.920000000000002</v>
      </c>
      <c r="AY491" s="57" t="str">
        <f>IF(AND(ISNUMBER(AC491),ISNUMBER(AE491)),AC491-AE491,"")</f>
        <v/>
      </c>
      <c r="AZ491" s="57" t="str">
        <f t="shared" si="36"/>
        <v/>
      </c>
      <c r="BE491" s="6" t="str">
        <f>IF((AD491-AF491)/(AJ491/60)&lt;=0,"",(AD491-AF491)/(AJ491/60))</f>
        <v/>
      </c>
      <c r="BF491" s="6" t="e">
        <f>IF(OR(AJ491=0,AP491=0,NOT(ISNUMBER(AD491)),NOT(ISNUMBER(AF491)),NOT(ISNUMBER(AJ491)),NOT(ISNUMBER(AP491))),"",
IFERROR(IF((AD491-AF491)/(AJ491/60)/(AP491/1000)&lt;=0,"",(AD491-AF491)/(AJ491/60)/(AP491/1000)),""))</f>
        <v>#DIV/0!</v>
      </c>
    </row>
    <row r="492" spans="1:58" ht="15.75">
      <c r="B492" s="11">
        <v>45752</v>
      </c>
      <c r="C492" s="1">
        <v>248</v>
      </c>
      <c r="D492" s="3">
        <v>487</v>
      </c>
      <c r="E492" s="205" t="str">
        <f t="shared" si="31"/>
        <v/>
      </c>
      <c r="I492" s="15">
        <f>AD492</f>
        <v>0</v>
      </c>
      <c r="K492" s="10" t="str">
        <f t="shared" si="33"/>
        <v/>
      </c>
      <c r="L492" s="9" t="str">
        <f t="shared" si="34"/>
        <v/>
      </c>
      <c r="M492" s="8" t="str">
        <f t="shared" si="35"/>
        <v/>
      </c>
      <c r="AB492" s="5">
        <v>80</v>
      </c>
      <c r="AJ492" s="1">
        <v>135</v>
      </c>
      <c r="AK492" s="3">
        <f>180+60</f>
        <v>240</v>
      </c>
      <c r="AN492" s="80">
        <f>360-AK492-AB492</f>
        <v>40</v>
      </c>
      <c r="AP492" s="13" t="e">
        <f>AVERAGE(AO490:AO496)</f>
        <v>#DIV/0!</v>
      </c>
      <c r="AR492" s="17" t="e">
        <f>(E492-W492)/E492</f>
        <v>#VALUE!</v>
      </c>
      <c r="AS492" s="16" t="e">
        <f>(I492-AF492)/I492</f>
        <v>#DIV/0!</v>
      </c>
      <c r="AT492" s="16" t="e">
        <f>AG492/(AD492-AF492)</f>
        <v>#DIV/0!</v>
      </c>
      <c r="AU492" s="16" t="e">
        <f>(G492-AM492)/G492</f>
        <v>#DIV/0!</v>
      </c>
      <c r="AV492" s="57" t="str">
        <f>IF(AND(ISNUMBER(E492),ISNUMBER(W492)),E492-W492,"")</f>
        <v/>
      </c>
      <c r="AW492" s="57" t="str">
        <f>IF(AND(ISNUMBER(I492),ISNUMBER(AF492)),I492-AF492,"")</f>
        <v/>
      </c>
      <c r="AX492" s="57" t="str">
        <f>IF(AND(ISNUMBER(AM492),ISNUMBER(G492)),G492-AM492,"")</f>
        <v/>
      </c>
      <c r="AY492" s="57" t="str">
        <f>IF(AND(ISNUMBER(AC492),ISNUMBER(AE492)),AC492-AE492,"")</f>
        <v/>
      </c>
      <c r="AZ492" s="57" t="str">
        <f t="shared" si="36"/>
        <v/>
      </c>
      <c r="BE492" s="6" t="str">
        <f>IF((AD492-AF492)/(AJ492/60)&lt;=0,"",(AD492-AF492)/(AJ492/60))</f>
        <v/>
      </c>
      <c r="BF492" s="6" t="e">
        <f>IF(OR(AJ492=0,AP492=0,NOT(ISNUMBER(AD492)),NOT(ISNUMBER(AF492)),NOT(ISNUMBER(AJ492)),NOT(ISNUMBER(AP492))),"",
IFERROR(IF((AD492-AF492)/(AJ492/60)/(AP492/1000)&lt;=0,"",(AD492-AF492)/(AJ492/60)/(AP492/1000)),""))</f>
        <v>#DIV/0!</v>
      </c>
    </row>
    <row r="493" spans="1:58" ht="15.75">
      <c r="B493" s="11">
        <v>45753</v>
      </c>
      <c r="C493" s="1">
        <v>249</v>
      </c>
      <c r="D493" s="3">
        <v>488</v>
      </c>
      <c r="E493" s="205" t="str">
        <f t="shared" si="31"/>
        <v/>
      </c>
      <c r="I493" s="15">
        <f>AD493</f>
        <v>0</v>
      </c>
      <c r="K493" s="10" t="str">
        <f t="shared" si="33"/>
        <v/>
      </c>
      <c r="L493" s="9" t="str">
        <f t="shared" si="34"/>
        <v/>
      </c>
      <c r="M493" s="8" t="str">
        <f t="shared" si="35"/>
        <v/>
      </c>
      <c r="AB493" s="5">
        <v>80</v>
      </c>
      <c r="AJ493" s="1">
        <v>133</v>
      </c>
      <c r="AK493" s="3">
        <f>180+60</f>
        <v>240</v>
      </c>
      <c r="AN493" s="80">
        <f>360-AK493-AB493</f>
        <v>40</v>
      </c>
      <c r="AP493" s="13">
        <f>AVERAGE(AO491:AO497)</f>
        <v>2100.0000000000455</v>
      </c>
      <c r="AR493" s="17" t="e">
        <f>(E493-W493)/E493</f>
        <v>#VALUE!</v>
      </c>
      <c r="AS493" s="16" t="e">
        <f>(I493-AF493)/I493</f>
        <v>#DIV/0!</v>
      </c>
      <c r="AT493" s="16" t="e">
        <f>AG493/(AD493-AF493)</f>
        <v>#DIV/0!</v>
      </c>
      <c r="AU493" s="16" t="e">
        <f>(G493-AM493)/G493</f>
        <v>#DIV/0!</v>
      </c>
      <c r="AV493" s="57" t="str">
        <f>IF(AND(ISNUMBER(E493),ISNUMBER(W493)),E493-W493,"")</f>
        <v/>
      </c>
      <c r="AW493" s="57" t="str">
        <f>IF(AND(ISNUMBER(I493),ISNUMBER(AF493)),I493-AF493,"")</f>
        <v/>
      </c>
      <c r="AX493" s="57" t="str">
        <f>IF(AND(ISNUMBER(AM493),ISNUMBER(G493)),G493-AM493,"")</f>
        <v/>
      </c>
      <c r="AY493" s="57" t="str">
        <f>IF(AND(ISNUMBER(AC493),ISNUMBER(AE493)),AC493-AE493,"")</f>
        <v/>
      </c>
      <c r="AZ493" s="57" t="str">
        <f t="shared" si="36"/>
        <v/>
      </c>
      <c r="BE493" s="6" t="str">
        <f>IF((AD493-AF493)/(AJ493/60)&lt;=0,"",(AD493-AF493)/(AJ493/60))</f>
        <v/>
      </c>
      <c r="BF493" s="6" t="str">
        <f>IF(OR(AJ493=0,AP493=0,NOT(ISNUMBER(AD493)),NOT(ISNUMBER(AF493)),NOT(ISNUMBER(AJ493)),NOT(ISNUMBER(AP493))),"",
IFERROR(IF((AD493-AF493)/(AJ493/60)/(AP493/1000)&lt;=0,"",(AD493-AF493)/(AJ493/60)/(AP493/1000)),""))</f>
        <v/>
      </c>
    </row>
    <row r="494" spans="1:58" ht="15.75">
      <c r="A494" s="12" t="s">
        <v>58</v>
      </c>
      <c r="B494" s="11">
        <v>45754</v>
      </c>
      <c r="C494" s="1">
        <v>250</v>
      </c>
      <c r="D494" s="3">
        <v>489</v>
      </c>
      <c r="E494" s="205" t="str">
        <f t="shared" si="31"/>
        <v/>
      </c>
      <c r="G494" s="83">
        <f>12.396*73/79</f>
        <v>11.45453164556962</v>
      </c>
      <c r="I494" s="15">
        <f>AD494</f>
        <v>0</v>
      </c>
      <c r="K494" s="10" t="str">
        <f t="shared" si="33"/>
        <v/>
      </c>
      <c r="L494" s="9" t="str">
        <f t="shared" si="34"/>
        <v/>
      </c>
      <c r="M494" s="8" t="str">
        <f t="shared" si="35"/>
        <v/>
      </c>
      <c r="AB494" s="5">
        <v>80</v>
      </c>
      <c r="AJ494" s="1">
        <v>137</v>
      </c>
      <c r="AK494" s="3">
        <f>180+60</f>
        <v>240</v>
      </c>
      <c r="AM494" s="1">
        <f>2*0.924</f>
        <v>1.8480000000000001</v>
      </c>
      <c r="AN494" s="80">
        <f>360-AK494-AB494</f>
        <v>40</v>
      </c>
      <c r="AP494" s="13">
        <f>AVERAGE(AO492:AO498)</f>
        <v>2100.0000000000455</v>
      </c>
      <c r="AR494" s="17" t="e">
        <f>(E494-W494)/E494</f>
        <v>#VALUE!</v>
      </c>
      <c r="AS494" s="16" t="e">
        <f>(I494-AF494)/I494</f>
        <v>#DIV/0!</v>
      </c>
      <c r="AT494" s="16" t="e">
        <f>AG494/(AD494-AF494)</f>
        <v>#DIV/0!</v>
      </c>
      <c r="AU494" s="16">
        <f>(G494-AM494)/G494</f>
        <v>0.83866647217175661</v>
      </c>
      <c r="AV494" s="57" t="str">
        <f>IF(AND(ISNUMBER(E494),ISNUMBER(W494)),E494-W494,"")</f>
        <v/>
      </c>
      <c r="AW494" s="57" t="str">
        <f>IF(AND(ISNUMBER(I494),ISNUMBER(AF494)),I494-AF494,"")</f>
        <v/>
      </c>
      <c r="AX494" s="57">
        <f>IF(AND(ISNUMBER(AM494),ISNUMBER(G494)),G494-AM494,"")</f>
        <v>9.6065316455696195</v>
      </c>
      <c r="AY494" s="57" t="str">
        <f>IF(AND(ISNUMBER(AC494),ISNUMBER(AE494)),AC494-AE494,"")</f>
        <v/>
      </c>
      <c r="AZ494" s="57" t="str">
        <f t="shared" si="36"/>
        <v/>
      </c>
      <c r="BE494" s="6" t="str">
        <f>IF((AD494-AF494)/(AJ494/60)&lt;=0,"",(AD494-AF494)/(AJ494/60))</f>
        <v/>
      </c>
      <c r="BF494" s="6" t="str">
        <f>IF(OR(AJ494=0,AP494=0,NOT(ISNUMBER(AD494)),NOT(ISNUMBER(AF494)),NOT(ISNUMBER(AJ494)),NOT(ISNUMBER(AP494))),"",
IFERROR(IF((AD494-AF494)/(AJ494/60)/(AP494/1000)&lt;=0,"",(AD494-AF494)/(AJ494/60)/(AP494/1000)),""))</f>
        <v/>
      </c>
    </row>
    <row r="495" spans="1:58" ht="15.75">
      <c r="A495" s="12" t="s">
        <v>57</v>
      </c>
      <c r="B495" s="82">
        <v>45755</v>
      </c>
      <c r="C495" s="1">
        <v>251</v>
      </c>
      <c r="D495" s="3">
        <v>490</v>
      </c>
      <c r="E495" s="205" t="str">
        <f t="shared" si="31"/>
        <v/>
      </c>
      <c r="G495" s="15">
        <f>(N495*18-H495*18)/9</f>
        <v>12.396000000000003</v>
      </c>
      <c r="H495" s="15">
        <f>2*0.951</f>
        <v>1.9019999999999999</v>
      </c>
      <c r="I495" s="15">
        <f>AD495</f>
        <v>27.25</v>
      </c>
      <c r="K495" s="10" t="str">
        <f t="shared" si="33"/>
        <v/>
      </c>
      <c r="L495" s="9" t="str">
        <f t="shared" si="34"/>
        <v/>
      </c>
      <c r="M495" s="8">
        <f t="shared" si="35"/>
        <v>4.3965795417876725</v>
      </c>
      <c r="N495" s="7">
        <f>5*1.62</f>
        <v>8.1000000000000014</v>
      </c>
      <c r="Q495" s="6">
        <f>O495*1.067</f>
        <v>0</v>
      </c>
      <c r="R495" s="6">
        <f>P495*1.514</f>
        <v>0</v>
      </c>
      <c r="S495" s="23">
        <f>P495*1.514+O495*1.067</f>
        <v>0</v>
      </c>
      <c r="T495" s="6">
        <f>35.3</f>
        <v>35.299999999999997</v>
      </c>
      <c r="U495" s="59">
        <f>1.112*1.067</f>
        <v>1.186504</v>
      </c>
      <c r="V495" s="59">
        <f>0.845*1.514</f>
        <v>1.2793300000000001</v>
      </c>
      <c r="W495" s="23">
        <f>U495*1.067+V495*1.514</f>
        <v>3.202905388</v>
      </c>
      <c r="X495" s="6">
        <v>3.58</v>
      </c>
      <c r="Y495" s="6">
        <v>0.2</v>
      </c>
      <c r="Z495" s="6">
        <v>-12</v>
      </c>
      <c r="AA495" s="6">
        <v>-222</v>
      </c>
      <c r="AB495" s="5">
        <v>80</v>
      </c>
      <c r="AC495" s="7">
        <f>T495</f>
        <v>35.299999999999997</v>
      </c>
      <c r="AD495" s="1">
        <f>5*5.45</f>
        <v>27.25</v>
      </c>
      <c r="AE495" s="1">
        <f>5*1.1</f>
        <v>5.5</v>
      </c>
      <c r="AF495" s="1">
        <v>0</v>
      </c>
      <c r="AI495" s="1">
        <v>-224</v>
      </c>
      <c r="AJ495" s="1">
        <v>189</v>
      </c>
      <c r="AK495" s="3">
        <f>180+60</f>
        <v>240</v>
      </c>
      <c r="AL495" s="4">
        <f>AE495</f>
        <v>5.5</v>
      </c>
      <c r="AM495" s="1">
        <f>2*0.553</f>
        <v>1.1060000000000001</v>
      </c>
      <c r="AN495" s="80">
        <f>360-AK495-AB495</f>
        <v>40</v>
      </c>
      <c r="AP495" s="13">
        <f>AVERAGE(AO493:AO499)</f>
        <v>2100.0000000000455</v>
      </c>
      <c r="AR495" s="17" t="e">
        <f>(E495-W495)/E495</f>
        <v>#VALUE!</v>
      </c>
      <c r="AS495" s="16">
        <f>(I495-AF495)/I495</f>
        <v>1</v>
      </c>
      <c r="AT495" s="16">
        <f>AG495/(AD495-AF495)</f>
        <v>0</v>
      </c>
      <c r="AU495" s="16">
        <f>(G495-AM495)/G495</f>
        <v>0.91077767021619882</v>
      </c>
      <c r="AV495" s="57" t="str">
        <f>IF(AND(ISNUMBER(E495),ISNUMBER(W495)),E495-W495,"")</f>
        <v/>
      </c>
      <c r="AW495" s="57">
        <f>IF(AND(ISNUMBER(I495),ISNUMBER(AF495)),I495-AF495,"")</f>
        <v>27.25</v>
      </c>
      <c r="AX495" s="57">
        <f>IF(AND(ISNUMBER(AM495),ISNUMBER(G495)),G495-AM495,"")</f>
        <v>11.290000000000003</v>
      </c>
      <c r="AY495" s="57">
        <f>IF(AND(ISNUMBER(AC495),ISNUMBER(AE495)),AC495-AE495,"")</f>
        <v>29.799999999999997</v>
      </c>
      <c r="AZ495" s="57">
        <f t="shared" si="36"/>
        <v>4.3940000000000001</v>
      </c>
      <c r="BE495" s="6">
        <f>IF((AD495-AF495)/(AJ495/60)&lt;=0,"",(AD495-AF495)/(AJ495/60))</f>
        <v>8.6507936507936503</v>
      </c>
      <c r="BF495" s="6">
        <f>IF(OR(AJ495=0,AP495=0,NOT(ISNUMBER(AD495)),NOT(ISNUMBER(AF495)),NOT(ISNUMBER(AJ495)),NOT(ISNUMBER(AP495))),"",
IFERROR(IF((AD495-AF495)/(AJ495/60)/(AP495/1000)&lt;=0,"",(AD495-AF495)/(AJ495/60)/(AP495/1000)),""))</f>
        <v>4.1194255479968875</v>
      </c>
    </row>
    <row r="496" spans="1:58" ht="15.75">
      <c r="B496" s="11">
        <v>45756</v>
      </c>
      <c r="C496" s="1">
        <v>252</v>
      </c>
      <c r="D496" s="3">
        <v>491</v>
      </c>
      <c r="E496" s="205" t="str">
        <f t="shared" si="31"/>
        <v/>
      </c>
      <c r="I496" s="15">
        <f>AD496</f>
        <v>0</v>
      </c>
      <c r="K496" s="10" t="str">
        <f t="shared" si="33"/>
        <v/>
      </c>
      <c r="L496" s="9" t="str">
        <f t="shared" si="34"/>
        <v/>
      </c>
      <c r="M496" s="8" t="str">
        <f t="shared" si="35"/>
        <v/>
      </c>
      <c r="AB496" s="5">
        <v>80</v>
      </c>
      <c r="AJ496" s="1">
        <v>203</v>
      </c>
      <c r="AK496" s="3">
        <f>180+60</f>
        <v>240</v>
      </c>
      <c r="AN496" s="80">
        <f>360-AK496-AB496</f>
        <v>40</v>
      </c>
      <c r="AP496" s="13">
        <f>AVERAGE(AO494:AO500)</f>
        <v>2100.0000000000455</v>
      </c>
      <c r="AR496" s="17" t="e">
        <f>(E496-W496)/E496</f>
        <v>#VALUE!</v>
      </c>
      <c r="AS496" s="16" t="e">
        <f>(I496-AF496)/I496</f>
        <v>#DIV/0!</v>
      </c>
      <c r="AT496" s="16" t="e">
        <f>AG496/(AD496-AF496)</f>
        <v>#DIV/0!</v>
      </c>
      <c r="AU496" s="16" t="e">
        <f>(G496-AM496)/G496</f>
        <v>#DIV/0!</v>
      </c>
      <c r="AV496" s="57" t="str">
        <f>IF(AND(ISNUMBER(E496),ISNUMBER(W496)),E496-W496,"")</f>
        <v/>
      </c>
      <c r="AW496" s="57" t="str">
        <f>IF(AND(ISNUMBER(I496),ISNUMBER(AF496)),I496-AF496,"")</f>
        <v/>
      </c>
      <c r="AX496" s="57" t="str">
        <f>IF(AND(ISNUMBER(AM496),ISNUMBER(G496)),G496-AM496,"")</f>
        <v/>
      </c>
      <c r="AY496" s="57" t="str">
        <f>IF(AND(ISNUMBER(AC496),ISNUMBER(AE496)),AC496-AE496,"")</f>
        <v/>
      </c>
      <c r="AZ496" s="57" t="str">
        <f t="shared" si="36"/>
        <v/>
      </c>
      <c r="BE496" s="6" t="str">
        <f>IF((AD496-AF496)/(AJ496/60)&lt;=0,"",(AD496-AF496)/(AJ496/60))</f>
        <v/>
      </c>
      <c r="BF496" s="6" t="str">
        <f>IF(OR(AJ496=0,AP496=0,NOT(ISNUMBER(AD496)),NOT(ISNUMBER(AF496)),NOT(ISNUMBER(AJ496)),NOT(ISNUMBER(AP496))),"",
IFERROR(IF((AD496-AF496)/(AJ496/60)/(AP496/1000)&lt;=0,"",(AD496-AF496)/(AJ496/60)/(AP496/1000)),""))</f>
        <v/>
      </c>
    </row>
    <row r="497" spans="1:58" ht="15.75">
      <c r="B497" s="72">
        <v>45757</v>
      </c>
      <c r="C497" s="1">
        <v>253</v>
      </c>
      <c r="D497" s="81">
        <v>492</v>
      </c>
      <c r="E497" s="205" t="str">
        <f t="shared" si="31"/>
        <v/>
      </c>
      <c r="I497" s="15">
        <f>AD497</f>
        <v>0</v>
      </c>
      <c r="K497" s="10" t="str">
        <f t="shared" si="33"/>
        <v/>
      </c>
      <c r="L497" s="9" t="str">
        <f t="shared" si="34"/>
        <v/>
      </c>
      <c r="M497" s="8" t="str">
        <f t="shared" si="35"/>
        <v/>
      </c>
      <c r="AB497" s="5">
        <v>80</v>
      </c>
      <c r="AJ497" s="1">
        <v>137</v>
      </c>
      <c r="AK497" s="3">
        <f>180+60</f>
        <v>240</v>
      </c>
      <c r="AN497" s="80">
        <f>360-AK497-AB497</f>
        <v>40</v>
      </c>
      <c r="AO497" s="2">
        <v>2100.0000000000455</v>
      </c>
      <c r="AP497" s="13">
        <f>AVERAGE(AO495:AO501)</f>
        <v>2100.0000000000455</v>
      </c>
      <c r="AR497" s="17" t="e">
        <f>(E497-W497)/E497</f>
        <v>#VALUE!</v>
      </c>
      <c r="AS497" s="16" t="e">
        <f>(I497-AF497)/I497</f>
        <v>#DIV/0!</v>
      </c>
      <c r="AT497" s="16" t="e">
        <f>AG497/(AD497-AF497)</f>
        <v>#DIV/0!</v>
      </c>
      <c r="AU497" s="16" t="e">
        <f>(G497-AM497)/G497</f>
        <v>#DIV/0!</v>
      </c>
      <c r="AV497" s="57" t="str">
        <f>IF(AND(ISNUMBER(E497),ISNUMBER(W497)),E497-W497,"")</f>
        <v/>
      </c>
      <c r="AW497" s="57" t="str">
        <f>IF(AND(ISNUMBER(I497),ISNUMBER(AF497)),I497-AF497,"")</f>
        <v/>
      </c>
      <c r="AX497" s="57" t="str">
        <f>IF(AND(ISNUMBER(AM497),ISNUMBER(G497)),G497-AM497,"")</f>
        <v/>
      </c>
      <c r="AY497" s="57" t="str">
        <f>IF(AND(ISNUMBER(AC497),ISNUMBER(AE497)),AC497-AE497,"")</f>
        <v/>
      </c>
      <c r="AZ497" s="57" t="str">
        <f t="shared" si="36"/>
        <v/>
      </c>
      <c r="BE497" s="6" t="str">
        <f>IF((AD497-AF497)/(AJ497/60)&lt;=0,"",(AD497-AF497)/(AJ497/60))</f>
        <v/>
      </c>
      <c r="BF497" s="6" t="str">
        <f>IF(OR(AJ497=0,AP497=0,NOT(ISNUMBER(AD497)),NOT(ISNUMBER(AF497)),NOT(ISNUMBER(AJ497)),NOT(ISNUMBER(AP497))),"",
IFERROR(IF((AD497-AF497)/(AJ497/60)/(AP497/1000)&lt;=0,"",(AD497-AF497)/(AJ497/60)/(AP497/1000)),""))</f>
        <v/>
      </c>
    </row>
    <row r="498" spans="1:58" ht="15.75">
      <c r="B498" s="11">
        <v>45758</v>
      </c>
      <c r="C498" s="1">
        <v>254</v>
      </c>
      <c r="D498" s="3">
        <v>493</v>
      </c>
      <c r="E498" s="205" t="str">
        <f t="shared" si="31"/>
        <v/>
      </c>
      <c r="I498" s="15">
        <f>AD498</f>
        <v>0</v>
      </c>
      <c r="K498" s="10" t="str">
        <f t="shared" si="33"/>
        <v/>
      </c>
      <c r="L498" s="9" t="str">
        <f t="shared" si="34"/>
        <v/>
      </c>
      <c r="M498" s="8" t="str">
        <f t="shared" si="35"/>
        <v/>
      </c>
      <c r="AB498" s="5">
        <v>80</v>
      </c>
      <c r="AJ498" s="1">
        <v>201</v>
      </c>
      <c r="AK498" s="3">
        <f>180+60</f>
        <v>240</v>
      </c>
      <c r="AN498" s="80">
        <f>360-AK498-AB498</f>
        <v>40</v>
      </c>
      <c r="AP498" s="13">
        <f>AVERAGE(AO496:AO502)</f>
        <v>2100.0000000000455</v>
      </c>
      <c r="AR498" s="17" t="e">
        <f>(E498-W498)/E498</f>
        <v>#VALUE!</v>
      </c>
      <c r="AS498" s="16" t="e">
        <f>(I498-AF498)/I498</f>
        <v>#DIV/0!</v>
      </c>
      <c r="AT498" s="16" t="e">
        <f>AG498/(AD498-AF498)</f>
        <v>#DIV/0!</v>
      </c>
      <c r="AU498" s="16" t="e">
        <f>(G498-AM498)/G498</f>
        <v>#DIV/0!</v>
      </c>
      <c r="AV498" s="57" t="str">
        <f>IF(AND(ISNUMBER(E498),ISNUMBER(W498)),E498-W498,"")</f>
        <v/>
      </c>
      <c r="AW498" s="57" t="str">
        <f>IF(AND(ISNUMBER(I498),ISNUMBER(AF498)),I498-AF498,"")</f>
        <v/>
      </c>
      <c r="AX498" s="57" t="str">
        <f>IF(AND(ISNUMBER(AM498),ISNUMBER(G498)),G498-AM498,"")</f>
        <v/>
      </c>
      <c r="AY498" s="57" t="str">
        <f>IF(AND(ISNUMBER(AC498),ISNUMBER(AE498)),AC498-AE498,"")</f>
        <v/>
      </c>
      <c r="AZ498" s="57" t="str">
        <f t="shared" si="36"/>
        <v/>
      </c>
      <c r="BE498" s="6" t="str">
        <f>IF((AD498-AF498)/(AJ498/60)&lt;=0,"",(AD498-AF498)/(AJ498/60))</f>
        <v/>
      </c>
      <c r="BF498" s="6" t="str">
        <f>IF(OR(AJ498=0,AP498=0,NOT(ISNUMBER(AD498)),NOT(ISNUMBER(AF498)),NOT(ISNUMBER(AJ498)),NOT(ISNUMBER(AP498))),"",
IFERROR(IF((AD498-AF498)/(AJ498/60)/(AP498/1000)&lt;=0,"",(AD498-AF498)/(AJ498/60)/(AP498/1000)),""))</f>
        <v/>
      </c>
    </row>
    <row r="499" spans="1:58" ht="15.75">
      <c r="B499" s="11">
        <v>45759</v>
      </c>
      <c r="C499" s="1">
        <v>255</v>
      </c>
      <c r="D499" s="3">
        <v>494</v>
      </c>
      <c r="E499" s="205" t="str">
        <f t="shared" si="31"/>
        <v/>
      </c>
      <c r="I499" s="15">
        <f>AD499</f>
        <v>0</v>
      </c>
      <c r="K499" s="10" t="str">
        <f t="shared" si="33"/>
        <v/>
      </c>
      <c r="L499" s="9" t="str">
        <f t="shared" si="34"/>
        <v/>
      </c>
      <c r="M499" s="8" t="str">
        <f t="shared" si="35"/>
        <v/>
      </c>
      <c r="AB499" s="5">
        <v>80</v>
      </c>
      <c r="AJ499" s="1">
        <v>209</v>
      </c>
      <c r="AK499" s="3">
        <f>180+60</f>
        <v>240</v>
      </c>
      <c r="AN499" s="80">
        <f>360-AK499-AB499</f>
        <v>40</v>
      </c>
      <c r="AP499" s="13">
        <f>AVERAGE(AO497:AO503)</f>
        <v>2100.0000000000455</v>
      </c>
      <c r="AR499" s="17" t="e">
        <f>(E499-W499)/E499</f>
        <v>#VALUE!</v>
      </c>
      <c r="AS499" s="16" t="e">
        <f>(I499-AF499)/I499</f>
        <v>#DIV/0!</v>
      </c>
      <c r="AT499" s="16" t="e">
        <f>AG499/(AD499-AF499)</f>
        <v>#DIV/0!</v>
      </c>
      <c r="AU499" s="16" t="e">
        <f>(G499-AM499)/G499</f>
        <v>#DIV/0!</v>
      </c>
      <c r="AV499" s="57" t="str">
        <f>IF(AND(ISNUMBER(E499),ISNUMBER(W499)),E499-W499,"")</f>
        <v/>
      </c>
      <c r="AW499" s="57" t="str">
        <f>IF(AND(ISNUMBER(I499),ISNUMBER(AF499)),I499-AF499,"")</f>
        <v/>
      </c>
      <c r="AX499" s="57" t="str">
        <f>IF(AND(ISNUMBER(AM499),ISNUMBER(G499)),G499-AM499,"")</f>
        <v/>
      </c>
      <c r="AY499" s="57" t="str">
        <f>IF(AND(ISNUMBER(AC499),ISNUMBER(AE499)),AC499-AE499,"")</f>
        <v/>
      </c>
      <c r="AZ499" s="57" t="str">
        <f t="shared" si="36"/>
        <v/>
      </c>
      <c r="BE499" s="6" t="str">
        <f>IF((AD499-AF499)/(AJ499/60)&lt;=0,"",(AD499-AF499)/(AJ499/60))</f>
        <v/>
      </c>
      <c r="BF499" s="6" t="str">
        <f>IF(OR(AJ499=0,AP499=0,NOT(ISNUMBER(AD499)),NOT(ISNUMBER(AF499)),NOT(ISNUMBER(AJ499)),NOT(ISNUMBER(AP499))),"",
IFERROR(IF((AD499-AF499)/(AJ499/60)/(AP499/1000)&lt;=0,"",(AD499-AF499)/(AJ499/60)/(AP499/1000)),""))</f>
        <v/>
      </c>
    </row>
    <row r="500" spans="1:58" ht="15.75">
      <c r="B500" s="11">
        <v>45760</v>
      </c>
      <c r="C500" s="1">
        <v>256</v>
      </c>
      <c r="D500" s="3">
        <v>495</v>
      </c>
      <c r="E500" s="205" t="str">
        <f t="shared" si="31"/>
        <v/>
      </c>
      <c r="I500" s="15">
        <f>AD500</f>
        <v>0</v>
      </c>
      <c r="K500" s="10" t="str">
        <f t="shared" si="33"/>
        <v/>
      </c>
      <c r="L500" s="9" t="str">
        <f t="shared" si="34"/>
        <v/>
      </c>
      <c r="M500" s="8" t="str">
        <f t="shared" si="35"/>
        <v/>
      </c>
      <c r="AB500" s="5">
        <v>80</v>
      </c>
      <c r="AJ500" s="1">
        <v>235</v>
      </c>
      <c r="AK500" s="3">
        <f>180+60</f>
        <v>240</v>
      </c>
      <c r="AN500" s="80">
        <f>360-AK500-AB500</f>
        <v>40</v>
      </c>
      <c r="AP500" s="13" t="e">
        <f>AVERAGE(AO498:AO504)</f>
        <v>#DIV/0!</v>
      </c>
      <c r="AR500" s="17" t="e">
        <f>(E500-W500)/E500</f>
        <v>#VALUE!</v>
      </c>
      <c r="AS500" s="16" t="e">
        <f>(I500-AF500)/I500</f>
        <v>#DIV/0!</v>
      </c>
      <c r="AT500" s="16" t="e">
        <f>AG500/(AD500-AF500)</f>
        <v>#DIV/0!</v>
      </c>
      <c r="AU500" s="16" t="e">
        <f>(G500-AM500)/G500</f>
        <v>#DIV/0!</v>
      </c>
      <c r="AV500" s="57" t="str">
        <f>IF(AND(ISNUMBER(E500),ISNUMBER(W500)),E500-W500,"")</f>
        <v/>
      </c>
      <c r="AW500" s="57" t="str">
        <f>IF(AND(ISNUMBER(I500),ISNUMBER(AF500)),I500-AF500,"")</f>
        <v/>
      </c>
      <c r="AX500" s="57" t="str">
        <f>IF(AND(ISNUMBER(AM500),ISNUMBER(G500)),G500-AM500,"")</f>
        <v/>
      </c>
      <c r="AY500" s="57" t="str">
        <f>IF(AND(ISNUMBER(AC500),ISNUMBER(AE500)),AC500-AE500,"")</f>
        <v/>
      </c>
      <c r="AZ500" s="57" t="str">
        <f t="shared" si="36"/>
        <v/>
      </c>
      <c r="BE500" s="6" t="str">
        <f>IF((AD500-AF500)/(AJ500/60)&lt;=0,"",(AD500-AF500)/(AJ500/60))</f>
        <v/>
      </c>
      <c r="BF500" s="6" t="e">
        <f>IF(OR(AJ500=0,AP500=0,NOT(ISNUMBER(AD500)),NOT(ISNUMBER(AF500)),NOT(ISNUMBER(AJ500)),NOT(ISNUMBER(AP500))),"",
IFERROR(IF((AD500-AF500)/(AJ500/60)/(AP500/1000)&lt;=0,"",(AD500-AF500)/(AJ500/60)/(AP500/1000)),""))</f>
        <v>#DIV/0!</v>
      </c>
    </row>
    <row r="501" spans="1:58" ht="15.75">
      <c r="B501" s="11">
        <v>45761</v>
      </c>
      <c r="C501" s="1">
        <v>257</v>
      </c>
      <c r="D501" s="3">
        <v>496</v>
      </c>
      <c r="E501" s="205" t="str">
        <f t="shared" si="31"/>
        <v/>
      </c>
      <c r="I501" s="15">
        <f>AD501</f>
        <v>0</v>
      </c>
      <c r="K501" s="10" t="str">
        <f t="shared" si="33"/>
        <v/>
      </c>
      <c r="L501" s="9" t="str">
        <f t="shared" si="34"/>
        <v/>
      </c>
      <c r="M501" s="8" t="str">
        <f t="shared" si="35"/>
        <v/>
      </c>
      <c r="AB501" s="5">
        <v>80</v>
      </c>
      <c r="AJ501" s="1">
        <v>235</v>
      </c>
      <c r="AK501" s="3">
        <f>180+60</f>
        <v>240</v>
      </c>
      <c r="AN501" s="80">
        <f>360-AK501-AB501</f>
        <v>40</v>
      </c>
      <c r="AP501" s="13" t="e">
        <f>AVERAGE(AO499:AO505)</f>
        <v>#DIV/0!</v>
      </c>
      <c r="AR501" s="17" t="e">
        <f>(E501-W501)/E501</f>
        <v>#VALUE!</v>
      </c>
      <c r="AS501" s="16" t="e">
        <f>(I501-AF501)/I501</f>
        <v>#DIV/0!</v>
      </c>
      <c r="AT501" s="16" t="e">
        <f>AG501/(AD501-AF501)</f>
        <v>#DIV/0!</v>
      </c>
      <c r="AU501" s="16" t="e">
        <f>(G501-AM501)/G501</f>
        <v>#DIV/0!</v>
      </c>
      <c r="AV501" s="57" t="str">
        <f>IF(AND(ISNUMBER(E501),ISNUMBER(W501)),E501-W501,"")</f>
        <v/>
      </c>
      <c r="AW501" s="57" t="str">
        <f>IF(AND(ISNUMBER(I501),ISNUMBER(AF501)),I501-AF501,"")</f>
        <v/>
      </c>
      <c r="AX501" s="57" t="str">
        <f>IF(AND(ISNUMBER(AM501),ISNUMBER(G501)),G501-AM501,"")</f>
        <v/>
      </c>
      <c r="AY501" s="57" t="str">
        <f>IF(AND(ISNUMBER(AC501),ISNUMBER(AE501)),AC501-AE501,"")</f>
        <v/>
      </c>
      <c r="AZ501" s="57" t="str">
        <f t="shared" si="36"/>
        <v/>
      </c>
      <c r="BE501" s="6" t="str">
        <f>IF((AD501-AF501)/(AJ501/60)&lt;=0,"",(AD501-AF501)/(AJ501/60))</f>
        <v/>
      </c>
      <c r="BF501" s="6" t="e">
        <f>IF(OR(AJ501=0,AP501=0,NOT(ISNUMBER(AD501)),NOT(ISNUMBER(AF501)),NOT(ISNUMBER(AJ501)),NOT(ISNUMBER(AP501))),"",
IFERROR(IF((AD501-AF501)/(AJ501/60)/(AP501/1000)&lt;=0,"",(AD501-AF501)/(AJ501/60)/(AP501/1000)),""))</f>
        <v>#DIV/0!</v>
      </c>
    </row>
    <row r="502" spans="1:58" ht="15.75">
      <c r="B502" s="11">
        <v>45762</v>
      </c>
      <c r="C502" s="1">
        <v>258</v>
      </c>
      <c r="D502" s="3">
        <v>497</v>
      </c>
      <c r="E502" s="205" t="str">
        <f t="shared" si="31"/>
        <v/>
      </c>
      <c r="I502" s="15">
        <f>AD502</f>
        <v>0</v>
      </c>
      <c r="K502" s="10" t="str">
        <f t="shared" si="33"/>
        <v/>
      </c>
      <c r="L502" s="9" t="str">
        <f t="shared" si="34"/>
        <v/>
      </c>
      <c r="M502" s="8" t="str">
        <f t="shared" si="35"/>
        <v/>
      </c>
      <c r="AB502" s="5">
        <v>80</v>
      </c>
      <c r="AJ502" s="1">
        <v>235</v>
      </c>
      <c r="AK502" s="3">
        <f>180+60</f>
        <v>240</v>
      </c>
      <c r="AN502" s="80">
        <f>360-AK502-AB502</f>
        <v>40</v>
      </c>
      <c r="AP502" s="13" t="e">
        <f>AVERAGE(AO500:AO506)</f>
        <v>#DIV/0!</v>
      </c>
      <c r="AR502" s="17" t="e">
        <f>(E502-W502)/E502</f>
        <v>#VALUE!</v>
      </c>
      <c r="AS502" s="16" t="e">
        <f>(I502-AF502)/I502</f>
        <v>#DIV/0!</v>
      </c>
      <c r="AT502" s="16" t="e">
        <f>AG502/(AD502-AF502)</f>
        <v>#DIV/0!</v>
      </c>
      <c r="AU502" s="16" t="e">
        <f>(G502-AM502)/G502</f>
        <v>#DIV/0!</v>
      </c>
      <c r="AV502" s="57" t="str">
        <f>IF(AND(ISNUMBER(E502),ISNUMBER(W502)),E502-W502,"")</f>
        <v/>
      </c>
      <c r="AW502" s="57" t="str">
        <f>IF(AND(ISNUMBER(I502),ISNUMBER(AF502)),I502-AF502,"")</f>
        <v/>
      </c>
      <c r="AX502" s="57" t="str">
        <f>IF(AND(ISNUMBER(AM502),ISNUMBER(G502)),G502-AM502,"")</f>
        <v/>
      </c>
      <c r="AY502" s="57" t="str">
        <f>IF(AND(ISNUMBER(AC502),ISNUMBER(AE502)),AC502-AE502,"")</f>
        <v/>
      </c>
      <c r="AZ502" s="57" t="str">
        <f t="shared" si="36"/>
        <v/>
      </c>
      <c r="BE502" s="6" t="str">
        <f>IF((AD502-AF502)/(AJ502/60)&lt;=0,"",(AD502-AF502)/(AJ502/60))</f>
        <v/>
      </c>
      <c r="BF502" s="6" t="e">
        <f>IF(OR(AJ502=0,AP502=0,NOT(ISNUMBER(AD502)),NOT(ISNUMBER(AF502)),NOT(ISNUMBER(AJ502)),NOT(ISNUMBER(AP502))),"",
IFERROR(IF((AD502-AF502)/(AJ502/60)/(AP502/1000)&lt;=0,"",(AD502-AF502)/(AJ502/60)/(AP502/1000)),""))</f>
        <v>#DIV/0!</v>
      </c>
    </row>
    <row r="503" spans="1:58" ht="15.75">
      <c r="B503" s="11">
        <v>45763</v>
      </c>
      <c r="C503" s="1">
        <v>259</v>
      </c>
      <c r="D503" s="3">
        <v>498</v>
      </c>
      <c r="E503" s="205" t="str">
        <f t="shared" si="31"/>
        <v/>
      </c>
      <c r="I503" s="15">
        <f>AD503</f>
        <v>0</v>
      </c>
      <c r="K503" s="10" t="str">
        <f t="shared" si="33"/>
        <v/>
      </c>
      <c r="L503" s="9" t="str">
        <f t="shared" si="34"/>
        <v/>
      </c>
      <c r="M503" s="8" t="str">
        <f t="shared" si="35"/>
        <v/>
      </c>
      <c r="AB503" s="5">
        <v>80</v>
      </c>
      <c r="AJ503" s="1">
        <v>235</v>
      </c>
      <c r="AK503" s="3">
        <f>180+60</f>
        <v>240</v>
      </c>
      <c r="AN503" s="80">
        <f>360-AK503-AB503</f>
        <v>40</v>
      </c>
      <c r="AP503" s="13" t="e">
        <f>AVERAGE(AO501:AO507)</f>
        <v>#DIV/0!</v>
      </c>
      <c r="AR503" s="17" t="e">
        <f>(E503-W503)/E503</f>
        <v>#VALUE!</v>
      </c>
      <c r="AS503" s="16" t="e">
        <f>(I503-AF503)/I503</f>
        <v>#DIV/0!</v>
      </c>
      <c r="AT503" s="16" t="e">
        <f>AG503/(AD503-AF503)</f>
        <v>#DIV/0!</v>
      </c>
      <c r="AU503" s="16" t="e">
        <f>(G503-AM503)/G503</f>
        <v>#DIV/0!</v>
      </c>
      <c r="AV503" s="57" t="str">
        <f>IF(AND(ISNUMBER(E503),ISNUMBER(W503)),E503-W503,"")</f>
        <v/>
      </c>
      <c r="AW503" s="57" t="str">
        <f>IF(AND(ISNUMBER(I503),ISNUMBER(AF503)),I503-AF503,"")</f>
        <v/>
      </c>
      <c r="AX503" s="57" t="str">
        <f>IF(AND(ISNUMBER(AM503),ISNUMBER(G503)),G503-AM503,"")</f>
        <v/>
      </c>
      <c r="AY503" s="57" t="str">
        <f>IF(AND(ISNUMBER(AC503),ISNUMBER(AE503)),AC503-AE503,"")</f>
        <v/>
      </c>
      <c r="AZ503" s="57" t="str">
        <f t="shared" si="36"/>
        <v/>
      </c>
      <c r="BE503" s="6" t="str">
        <f>IF((AD503-AF503)/(AJ503/60)&lt;=0,"",(AD503-AF503)/(AJ503/60))</f>
        <v/>
      </c>
      <c r="BF503" s="6" t="e">
        <f>IF(OR(AJ503=0,AP503=0,NOT(ISNUMBER(AD503)),NOT(ISNUMBER(AF503)),NOT(ISNUMBER(AJ503)),NOT(ISNUMBER(AP503))),"",
IFERROR(IF((AD503-AF503)/(AJ503/60)/(AP503/1000)&lt;=0,"",(AD503-AF503)/(AJ503/60)/(AP503/1000)),""))</f>
        <v>#DIV/0!</v>
      </c>
    </row>
    <row r="504" spans="1:58" ht="15.75">
      <c r="B504" s="11">
        <v>45764</v>
      </c>
      <c r="C504" s="1">
        <v>260</v>
      </c>
      <c r="D504" s="3">
        <v>499</v>
      </c>
      <c r="E504" s="205" t="str">
        <f t="shared" si="31"/>
        <v/>
      </c>
      <c r="I504" s="15">
        <f>AD504</f>
        <v>0</v>
      </c>
      <c r="K504" s="10" t="str">
        <f t="shared" si="33"/>
        <v/>
      </c>
      <c r="L504" s="9" t="str">
        <f t="shared" si="34"/>
        <v/>
      </c>
      <c r="M504" s="8" t="str">
        <f t="shared" si="35"/>
        <v/>
      </c>
      <c r="AB504" s="5">
        <v>80</v>
      </c>
      <c r="AJ504" s="1">
        <v>205</v>
      </c>
      <c r="AK504" s="3">
        <f>180+60</f>
        <v>240</v>
      </c>
      <c r="AN504" s="80">
        <f>360-AK504-AB504</f>
        <v>40</v>
      </c>
      <c r="AP504" s="13" t="e">
        <f>AVERAGE(AO502:AO508)</f>
        <v>#DIV/0!</v>
      </c>
      <c r="AR504" s="17" t="e">
        <f>(E504-W504)/E504</f>
        <v>#VALUE!</v>
      </c>
      <c r="AS504" s="16" t="e">
        <f>(I504-AF504)/I504</f>
        <v>#DIV/0!</v>
      </c>
      <c r="AT504" s="16" t="e">
        <f>AG504/(AD504-AF504)</f>
        <v>#DIV/0!</v>
      </c>
      <c r="AU504" s="16" t="e">
        <f>(G504-AM504)/G504</f>
        <v>#DIV/0!</v>
      </c>
      <c r="AV504" s="57" t="str">
        <f>IF(AND(ISNUMBER(E504),ISNUMBER(W504)),E504-W504,"")</f>
        <v/>
      </c>
      <c r="AW504" s="57" t="str">
        <f>IF(AND(ISNUMBER(I504),ISNUMBER(AF504)),I504-AF504,"")</f>
        <v/>
      </c>
      <c r="AX504" s="57" t="str">
        <f>IF(AND(ISNUMBER(AM504),ISNUMBER(G504)),G504-AM504,"")</f>
        <v/>
      </c>
      <c r="AY504" s="57" t="str">
        <f>IF(AND(ISNUMBER(AC504),ISNUMBER(AE504)),AC504-AE504,"")</f>
        <v/>
      </c>
      <c r="AZ504" s="57" t="str">
        <f t="shared" si="36"/>
        <v/>
      </c>
      <c r="BE504" s="6" t="str">
        <f>IF((AD504-AF504)/(AJ504/60)&lt;=0,"",(AD504-AF504)/(AJ504/60))</f>
        <v/>
      </c>
      <c r="BF504" s="6" t="e">
        <f>IF(OR(AJ504=0,AP504=0,NOT(ISNUMBER(AD504)),NOT(ISNUMBER(AF504)),NOT(ISNUMBER(AJ504)),NOT(ISNUMBER(AP504))),"",
IFERROR(IF((AD504-AF504)/(AJ504/60)/(AP504/1000)&lt;=0,"",(AD504-AF504)/(AJ504/60)/(AP504/1000)),""))</f>
        <v>#DIV/0!</v>
      </c>
    </row>
    <row r="505" spans="1:58" ht="15.75">
      <c r="B505" s="11">
        <v>45765</v>
      </c>
      <c r="C505" s="1">
        <v>261</v>
      </c>
      <c r="D505" s="3">
        <v>500</v>
      </c>
      <c r="E505" s="205" t="str">
        <f t="shared" si="31"/>
        <v/>
      </c>
      <c r="I505" s="15">
        <f>AD505</f>
        <v>0</v>
      </c>
      <c r="J505" s="9"/>
      <c r="K505" s="10" t="str">
        <f t="shared" si="33"/>
        <v/>
      </c>
      <c r="L505" s="9" t="str">
        <f t="shared" si="34"/>
        <v/>
      </c>
      <c r="M505" s="8" t="str">
        <f t="shared" si="35"/>
        <v/>
      </c>
      <c r="N505" s="6"/>
      <c r="AB505" s="6">
        <v>80</v>
      </c>
      <c r="AC505" s="1"/>
      <c r="AJ505" s="1">
        <v>199</v>
      </c>
      <c r="AK505" s="1">
        <f>180+60</f>
        <v>240</v>
      </c>
      <c r="AL505" s="1"/>
      <c r="AN505" s="1">
        <v>40</v>
      </c>
      <c r="AP505" s="13" t="e">
        <f>AVERAGE(AO503:AO509)</f>
        <v>#DIV/0!</v>
      </c>
      <c r="AR505" s="16" t="e">
        <f>(E505-W505)/E505</f>
        <v>#VALUE!</v>
      </c>
      <c r="AS505" s="16" t="e">
        <f>(I505-AF505)/I505</f>
        <v>#DIV/0!</v>
      </c>
      <c r="AT505" s="16" t="e">
        <f>AG505/(AD505-AF505)</f>
        <v>#DIV/0!</v>
      </c>
      <c r="AU505" s="16" t="e">
        <f>(G505-AM505)/G505</f>
        <v>#DIV/0!</v>
      </c>
      <c r="AV505" s="57" t="str">
        <f>IF(AND(ISNUMBER(E505),ISNUMBER(W505)),E505-W505,"")</f>
        <v/>
      </c>
      <c r="AW505" s="57" t="str">
        <f>IF(AND(ISNUMBER(I505),ISNUMBER(AF505)),I505-AF505,"")</f>
        <v/>
      </c>
      <c r="AX505" s="57" t="str">
        <f>IF(AND(ISNUMBER(AM505),ISNUMBER(G505)),G505-AM505,"")</f>
        <v/>
      </c>
      <c r="AY505" s="57" t="str">
        <f>IF(AND(ISNUMBER(AC505),ISNUMBER(AE505)),AC505-AE505,"")</f>
        <v/>
      </c>
      <c r="AZ505" s="57" t="str">
        <f t="shared" si="36"/>
        <v/>
      </c>
      <c r="BE505" s="6" t="str">
        <f>IF((AD505-AF505)/(AJ505/60)&lt;=0,"",(AD505-AF505)/(AJ505/60))</f>
        <v/>
      </c>
      <c r="BF505" s="6" t="e">
        <f>IF(OR(AJ505=0,AP505=0,NOT(ISNUMBER(AD505)),NOT(ISNUMBER(AF505)),NOT(ISNUMBER(AJ505)),NOT(ISNUMBER(AP505))),"",
IFERROR(IF((AD505-AF505)/(AJ505/60)/(AP505/1000)&lt;=0,"",(AD505-AF505)/(AJ505/60)/(AP505/1000)),""))</f>
        <v>#DIV/0!</v>
      </c>
    </row>
    <row r="506" spans="1:58" ht="15.75">
      <c r="A506" s="25" t="s">
        <v>56</v>
      </c>
      <c r="B506" s="11">
        <v>45766</v>
      </c>
      <c r="C506" s="1">
        <v>262</v>
      </c>
      <c r="D506" s="3">
        <v>501</v>
      </c>
      <c r="E506" s="205" t="str">
        <f t="shared" si="31"/>
        <v/>
      </c>
      <c r="I506" s="15">
        <f>AD506</f>
        <v>0</v>
      </c>
      <c r="K506" s="10" t="str">
        <f t="shared" si="33"/>
        <v/>
      </c>
      <c r="L506" s="9" t="str">
        <f t="shared" si="34"/>
        <v/>
      </c>
      <c r="M506" s="8" t="str">
        <f t="shared" si="35"/>
        <v/>
      </c>
      <c r="AB506" s="5">
        <v>80</v>
      </c>
      <c r="AJ506" s="1">
        <v>235</v>
      </c>
      <c r="AK506" s="3">
        <f>180+60</f>
        <v>240</v>
      </c>
      <c r="AN506" s="3">
        <v>40</v>
      </c>
      <c r="AP506" s="13" t="e">
        <f>AVERAGE(AO504:AO510)</f>
        <v>#DIV/0!</v>
      </c>
      <c r="AR506" s="17" t="e">
        <f>(E506-W506)/E506</f>
        <v>#VALUE!</v>
      </c>
      <c r="AS506" s="16" t="e">
        <f>(I506-AF506)/I506</f>
        <v>#DIV/0!</v>
      </c>
      <c r="AT506" s="16" t="e">
        <f>AG506/(AD506-AF506)</f>
        <v>#DIV/0!</v>
      </c>
      <c r="AU506" s="16" t="e">
        <f>(G506-AM506)/G506</f>
        <v>#DIV/0!</v>
      </c>
      <c r="AV506" s="57" t="str">
        <f>IF(AND(ISNUMBER(E506),ISNUMBER(W506)),E506-W506,"")</f>
        <v/>
      </c>
      <c r="AW506" s="57" t="str">
        <f>IF(AND(ISNUMBER(I506),ISNUMBER(AF506)),I506-AF506,"")</f>
        <v/>
      </c>
      <c r="AX506" s="57" t="str">
        <f>IF(AND(ISNUMBER(AM506),ISNUMBER(G506)),G506-AM506,"")</f>
        <v/>
      </c>
      <c r="AY506" s="57" t="str">
        <f>IF(AND(ISNUMBER(AC506),ISNUMBER(AE506)),AC506-AE506,"")</f>
        <v/>
      </c>
      <c r="AZ506" s="57" t="str">
        <f t="shared" si="36"/>
        <v/>
      </c>
      <c r="BE506" s="6" t="str">
        <f>IF((AD506-AF506)/(AJ506/60)&lt;=0,"",(AD506-AF506)/(AJ506/60))</f>
        <v/>
      </c>
      <c r="BF506" s="6" t="e">
        <f>IF(OR(AJ506=0,AP506=0,NOT(ISNUMBER(AD506)),NOT(ISNUMBER(AF506)),NOT(ISNUMBER(AJ506)),NOT(ISNUMBER(AP506))),"",
IFERROR(IF((AD506-AF506)/(AJ506/60)/(AP506/1000)&lt;=0,"",(AD506-AF506)/(AJ506/60)/(AP506/1000)),""))</f>
        <v>#DIV/0!</v>
      </c>
    </row>
    <row r="507" spans="1:58" ht="15.75">
      <c r="B507" s="11">
        <v>45767</v>
      </c>
      <c r="C507" s="1">
        <v>263</v>
      </c>
      <c r="D507" s="3">
        <v>502</v>
      </c>
      <c r="E507" s="205" t="str">
        <f t="shared" si="31"/>
        <v/>
      </c>
      <c r="I507" s="15">
        <f>AD507</f>
        <v>0</v>
      </c>
      <c r="K507" s="10" t="str">
        <f t="shared" si="33"/>
        <v/>
      </c>
      <c r="L507" s="9" t="str">
        <f t="shared" si="34"/>
        <v/>
      </c>
      <c r="M507" s="8" t="str">
        <f t="shared" si="35"/>
        <v/>
      </c>
      <c r="AB507" s="5">
        <v>80</v>
      </c>
      <c r="AJ507" s="1">
        <v>235</v>
      </c>
      <c r="AK507" s="3">
        <f>180+60</f>
        <v>240</v>
      </c>
      <c r="AN507" s="3">
        <v>40</v>
      </c>
      <c r="AP507" s="13" t="e">
        <f>AVERAGE(AO505:AO511)</f>
        <v>#DIV/0!</v>
      </c>
      <c r="AR507" s="17" t="e">
        <f>(E507-W507)/E507</f>
        <v>#VALUE!</v>
      </c>
      <c r="AS507" s="16" t="e">
        <f>(I507-AF507)/I507</f>
        <v>#DIV/0!</v>
      </c>
      <c r="AT507" s="16" t="e">
        <f>AG507/(AD507-AF507)</f>
        <v>#DIV/0!</v>
      </c>
      <c r="AU507" s="16" t="e">
        <f>(G507-AM507)/G507</f>
        <v>#DIV/0!</v>
      </c>
      <c r="AV507" s="57" t="str">
        <f>IF(AND(ISNUMBER(E507),ISNUMBER(W507)),E507-W507,"")</f>
        <v/>
      </c>
      <c r="AW507" s="57" t="str">
        <f>IF(AND(ISNUMBER(I507),ISNUMBER(AF507)),I507-AF507,"")</f>
        <v/>
      </c>
      <c r="AX507" s="57" t="str">
        <f>IF(AND(ISNUMBER(AM507),ISNUMBER(G507)),G507-AM507,"")</f>
        <v/>
      </c>
      <c r="AY507" s="57" t="str">
        <f>IF(AND(ISNUMBER(AC507),ISNUMBER(AE507)),AC507-AE507,"")</f>
        <v/>
      </c>
      <c r="AZ507" s="57" t="str">
        <f t="shared" si="36"/>
        <v/>
      </c>
      <c r="BE507" s="6" t="str">
        <f>IF((AD507-AF507)/(AJ507/60)&lt;=0,"",(AD507-AF507)/(AJ507/60))</f>
        <v/>
      </c>
      <c r="BF507" s="6" t="e">
        <f>IF(OR(AJ507=0,AP507=0,NOT(ISNUMBER(AD507)),NOT(ISNUMBER(AF507)),NOT(ISNUMBER(AJ507)),NOT(ISNUMBER(AP507))),"",
IFERROR(IF((AD507-AF507)/(AJ507/60)/(AP507/1000)&lt;=0,"",(AD507-AF507)/(AJ507/60)/(AP507/1000)),""))</f>
        <v>#DIV/0!</v>
      </c>
    </row>
    <row r="508" spans="1:58" ht="15.75">
      <c r="B508" s="11">
        <v>45768</v>
      </c>
      <c r="C508" s="1">
        <v>264</v>
      </c>
      <c r="D508" s="3">
        <v>503</v>
      </c>
      <c r="E508" s="205" t="str">
        <f t="shared" si="31"/>
        <v/>
      </c>
      <c r="I508" s="15">
        <f>AD508</f>
        <v>0</v>
      </c>
      <c r="K508" s="10" t="str">
        <f t="shared" si="33"/>
        <v/>
      </c>
      <c r="L508" s="9" t="str">
        <f t="shared" si="34"/>
        <v/>
      </c>
      <c r="M508" s="8" t="str">
        <f t="shared" si="35"/>
        <v/>
      </c>
      <c r="AB508" s="5">
        <v>80</v>
      </c>
      <c r="AJ508" s="1">
        <v>235</v>
      </c>
      <c r="AK508" s="3">
        <f>180+60</f>
        <v>240</v>
      </c>
      <c r="AN508" s="3">
        <v>40</v>
      </c>
      <c r="AP508" s="13" t="e">
        <f>AVERAGE(AO506:AO512)</f>
        <v>#DIV/0!</v>
      </c>
      <c r="AR508" s="17" t="e">
        <f>(E508-W508)/E508</f>
        <v>#VALUE!</v>
      </c>
      <c r="AS508" s="16" t="e">
        <f>(I508-AF508)/I508</f>
        <v>#DIV/0!</v>
      </c>
      <c r="AT508" s="16" t="e">
        <f>AG508/(AD508-AF508)</f>
        <v>#DIV/0!</v>
      </c>
      <c r="AU508" s="16" t="e">
        <f>(G508-AM508)/G508</f>
        <v>#DIV/0!</v>
      </c>
      <c r="AV508" s="57" t="str">
        <f>IF(AND(ISNUMBER(E508),ISNUMBER(W508)),E508-W508,"")</f>
        <v/>
      </c>
      <c r="AW508" s="57" t="str">
        <f>IF(AND(ISNUMBER(I508),ISNUMBER(AF508)),I508-AF508,"")</f>
        <v/>
      </c>
      <c r="AX508" s="57" t="str">
        <f>IF(AND(ISNUMBER(AM508),ISNUMBER(G508)),G508-AM508,"")</f>
        <v/>
      </c>
      <c r="AY508" s="57" t="str">
        <f>IF(AND(ISNUMBER(AC508),ISNUMBER(AE508)),AC508-AE508,"")</f>
        <v/>
      </c>
      <c r="AZ508" s="57" t="str">
        <f t="shared" si="36"/>
        <v/>
      </c>
      <c r="BE508" s="6" t="str">
        <f>IF((AD508-AF508)/(AJ508/60)&lt;=0,"",(AD508-AF508)/(AJ508/60))</f>
        <v/>
      </c>
      <c r="BF508" s="6" t="e">
        <f>IF(OR(AJ508=0,AP508=0,NOT(ISNUMBER(AD508)),NOT(ISNUMBER(AF508)),NOT(ISNUMBER(AJ508)),NOT(ISNUMBER(AP508))),"",
IFERROR(IF((AD508-AF508)/(AJ508/60)/(AP508/1000)&lt;=0,"",(AD508-AF508)/(AJ508/60)/(AP508/1000)),""))</f>
        <v>#DIV/0!</v>
      </c>
    </row>
    <row r="509" spans="1:58" ht="15.75">
      <c r="B509" s="72">
        <v>45769</v>
      </c>
      <c r="C509" s="1">
        <v>265</v>
      </c>
      <c r="D509" s="3">
        <v>504</v>
      </c>
      <c r="E509" s="205" t="str">
        <f t="shared" si="31"/>
        <v/>
      </c>
      <c r="I509" s="15">
        <f>AD509</f>
        <v>0</v>
      </c>
      <c r="K509" s="10" t="str">
        <f t="shared" si="33"/>
        <v/>
      </c>
      <c r="L509" s="9" t="str">
        <f t="shared" si="34"/>
        <v/>
      </c>
      <c r="M509" s="8" t="str">
        <f t="shared" si="35"/>
        <v/>
      </c>
      <c r="AB509" s="5">
        <v>80</v>
      </c>
      <c r="AJ509" s="1">
        <v>235</v>
      </c>
      <c r="AK509" s="3">
        <f>180+60</f>
        <v>240</v>
      </c>
      <c r="AN509" s="3">
        <v>40</v>
      </c>
      <c r="AP509" s="13" t="e">
        <f>AVERAGE(AO507:AO513)</f>
        <v>#DIV/0!</v>
      </c>
      <c r="AR509" s="17" t="e">
        <f>(E509-W509)/E509</f>
        <v>#VALUE!</v>
      </c>
      <c r="AS509" s="16" t="e">
        <f>(I509-AF509)/I509</f>
        <v>#DIV/0!</v>
      </c>
      <c r="AT509" s="16" t="e">
        <f>AG509/(AD509-AF509)</f>
        <v>#DIV/0!</v>
      </c>
      <c r="AU509" s="16" t="e">
        <f>(G509-AM509)/G509</f>
        <v>#DIV/0!</v>
      </c>
      <c r="AV509" s="57" t="str">
        <f>IF(AND(ISNUMBER(E509),ISNUMBER(W509)),E509-W509,"")</f>
        <v/>
      </c>
      <c r="AW509" s="57" t="str">
        <f>IF(AND(ISNUMBER(I509),ISNUMBER(AF509)),I509-AF509,"")</f>
        <v/>
      </c>
      <c r="AX509" s="57" t="str">
        <f>IF(AND(ISNUMBER(AM509),ISNUMBER(G509)),G509-AM509,"")</f>
        <v/>
      </c>
      <c r="AY509" s="57" t="str">
        <f>IF(AND(ISNUMBER(AC509),ISNUMBER(AE509)),AC509-AE509,"")</f>
        <v/>
      </c>
      <c r="AZ509" s="57" t="str">
        <f t="shared" si="36"/>
        <v/>
      </c>
      <c r="BE509" s="6" t="str">
        <f>IF((AD509-AF509)/(AJ509/60)&lt;=0,"",(AD509-AF509)/(AJ509/60))</f>
        <v/>
      </c>
      <c r="BF509" s="6" t="e">
        <f>IF(OR(AJ509=0,AP509=0,NOT(ISNUMBER(AD509)),NOT(ISNUMBER(AF509)),NOT(ISNUMBER(AJ509)),NOT(ISNUMBER(AP509))),"",
IFERROR(IF((AD509-AF509)/(AJ509/60)/(AP509/1000)&lt;=0,"",(AD509-AF509)/(AJ509/60)/(AP509/1000)),""))</f>
        <v>#DIV/0!</v>
      </c>
    </row>
    <row r="510" spans="1:58" ht="15.75">
      <c r="B510" s="11">
        <v>45770</v>
      </c>
      <c r="C510" s="1">
        <v>266</v>
      </c>
      <c r="D510" s="3">
        <v>505</v>
      </c>
      <c r="E510" s="205" t="str">
        <f t="shared" si="31"/>
        <v/>
      </c>
      <c r="I510" s="15">
        <f>AD510</f>
        <v>0</v>
      </c>
      <c r="K510" s="10" t="str">
        <f t="shared" si="33"/>
        <v/>
      </c>
      <c r="L510" s="9" t="str">
        <f t="shared" si="34"/>
        <v/>
      </c>
      <c r="M510" s="8" t="str">
        <f t="shared" si="35"/>
        <v/>
      </c>
      <c r="AB510" s="5">
        <v>80</v>
      </c>
      <c r="AJ510" s="1">
        <v>235</v>
      </c>
      <c r="AK510" s="3">
        <f>180+60</f>
        <v>240</v>
      </c>
      <c r="AN510" s="3">
        <v>40</v>
      </c>
      <c r="AP510" s="13" t="e">
        <f>AVERAGE(AO508:AO514)</f>
        <v>#DIV/0!</v>
      </c>
      <c r="AR510" s="17" t="e">
        <f>(E510-W510)/E510</f>
        <v>#VALUE!</v>
      </c>
      <c r="AS510" s="16" t="e">
        <f>(I510-AF510)/I510</f>
        <v>#DIV/0!</v>
      </c>
      <c r="AT510" s="16" t="e">
        <f>AG510/(AD510-AF510)</f>
        <v>#DIV/0!</v>
      </c>
      <c r="AU510" s="16" t="e">
        <f>(G510-AM510)/G510</f>
        <v>#DIV/0!</v>
      </c>
      <c r="AV510" s="57" t="str">
        <f>IF(AND(ISNUMBER(E510),ISNUMBER(W510)),E510-W510,"")</f>
        <v/>
      </c>
      <c r="AW510" s="57" t="str">
        <f>IF(AND(ISNUMBER(I510),ISNUMBER(AF510)),I510-AF510,"")</f>
        <v/>
      </c>
      <c r="AX510" s="57" t="str">
        <f>IF(AND(ISNUMBER(AM510),ISNUMBER(G510)),G510-AM510,"")</f>
        <v/>
      </c>
      <c r="AY510" s="57" t="str">
        <f>IF(AND(ISNUMBER(AC510),ISNUMBER(AE510)),AC510-AE510,"")</f>
        <v/>
      </c>
      <c r="AZ510" s="57" t="str">
        <f t="shared" si="36"/>
        <v/>
      </c>
      <c r="BE510" s="6" t="str">
        <f>IF((AD510-AF510)/(AJ510/60)&lt;=0,"",(AD510-AF510)/(AJ510/60))</f>
        <v/>
      </c>
      <c r="BF510" s="6" t="e">
        <f>IF(OR(AJ510=0,AP510=0,NOT(ISNUMBER(AD510)),NOT(ISNUMBER(AF510)),NOT(ISNUMBER(AJ510)),NOT(ISNUMBER(AP510))),"",
IFERROR(IF((AD510-AF510)/(AJ510/60)/(AP510/1000)&lt;=0,"",(AD510-AF510)/(AJ510/60)/(AP510/1000)),""))</f>
        <v>#DIV/0!</v>
      </c>
    </row>
    <row r="511" spans="1:58" ht="15.75">
      <c r="B511" s="11">
        <v>45771</v>
      </c>
      <c r="C511" s="1">
        <v>267</v>
      </c>
      <c r="D511" s="3">
        <v>506</v>
      </c>
      <c r="E511" s="205" t="str">
        <f t="shared" si="31"/>
        <v/>
      </c>
      <c r="I511" s="15">
        <f>AD511</f>
        <v>0</v>
      </c>
      <c r="K511" s="10" t="str">
        <f t="shared" si="33"/>
        <v/>
      </c>
      <c r="L511" s="9" t="str">
        <f t="shared" si="34"/>
        <v/>
      </c>
      <c r="M511" s="8" t="str">
        <f t="shared" si="35"/>
        <v/>
      </c>
      <c r="AB511" s="5">
        <v>80</v>
      </c>
      <c r="AJ511" s="1">
        <v>235</v>
      </c>
      <c r="AK511" s="3">
        <f>180+60</f>
        <v>240</v>
      </c>
      <c r="AN511" s="3">
        <v>40</v>
      </c>
      <c r="AP511" s="13" t="e">
        <f>AVERAGE(AO509:AO515)</f>
        <v>#DIV/0!</v>
      </c>
      <c r="AR511" s="17" t="e">
        <f>(E511-W511)/E511</f>
        <v>#VALUE!</v>
      </c>
      <c r="AS511" s="16" t="e">
        <f>(I511-AF511)/I511</f>
        <v>#DIV/0!</v>
      </c>
      <c r="AT511" s="16" t="e">
        <f>AG511/(AD511-AF511)</f>
        <v>#DIV/0!</v>
      </c>
      <c r="AU511" s="16" t="e">
        <f>(G511-AM511)/G511</f>
        <v>#DIV/0!</v>
      </c>
      <c r="AV511" s="57" t="str">
        <f>IF(AND(ISNUMBER(E511),ISNUMBER(W511)),E511-W511,"")</f>
        <v/>
      </c>
      <c r="AW511" s="57" t="str">
        <f>IF(AND(ISNUMBER(I511),ISNUMBER(AF511)),I511-AF511,"")</f>
        <v/>
      </c>
      <c r="AX511" s="57" t="str">
        <f>IF(AND(ISNUMBER(AM511),ISNUMBER(G511)),G511-AM511,"")</f>
        <v/>
      </c>
      <c r="AY511" s="57" t="str">
        <f>IF(AND(ISNUMBER(AC511),ISNUMBER(AE511)),AC511-AE511,"")</f>
        <v/>
      </c>
      <c r="AZ511" s="57" t="str">
        <f t="shared" si="36"/>
        <v/>
      </c>
      <c r="BE511" s="6" t="str">
        <f>IF((AD511-AF511)/(AJ511/60)&lt;=0,"",(AD511-AF511)/(AJ511/60))</f>
        <v/>
      </c>
      <c r="BF511" s="6" t="e">
        <f>IF(OR(AJ511=0,AP511=0,NOT(ISNUMBER(AD511)),NOT(ISNUMBER(AF511)),NOT(ISNUMBER(AJ511)),NOT(ISNUMBER(AP511))),"",
IFERROR(IF((AD511-AF511)/(AJ511/60)/(AP511/1000)&lt;=0,"",(AD511-AF511)/(AJ511/60)/(AP511/1000)),""))</f>
        <v>#DIV/0!</v>
      </c>
    </row>
    <row r="512" spans="1:58" ht="15.75">
      <c r="B512" s="11">
        <v>45772</v>
      </c>
      <c r="C512" s="1">
        <v>268</v>
      </c>
      <c r="D512" s="3">
        <v>507</v>
      </c>
      <c r="E512" s="205" t="str">
        <f t="shared" si="31"/>
        <v/>
      </c>
      <c r="I512" s="15">
        <f>AD512</f>
        <v>0</v>
      </c>
      <c r="K512" s="10" t="str">
        <f t="shared" si="33"/>
        <v/>
      </c>
      <c r="L512" s="9" t="str">
        <f t="shared" si="34"/>
        <v/>
      </c>
      <c r="M512" s="8" t="str">
        <f t="shared" si="35"/>
        <v/>
      </c>
      <c r="AB512" s="5">
        <v>80</v>
      </c>
      <c r="AJ512" s="1">
        <v>235</v>
      </c>
      <c r="AK512" s="3">
        <f>180+60</f>
        <v>240</v>
      </c>
      <c r="AN512" s="3">
        <v>40</v>
      </c>
      <c r="AP512" s="13" t="e">
        <f>AVERAGE(AO510:AO516)</f>
        <v>#DIV/0!</v>
      </c>
      <c r="AR512" s="17" t="e">
        <f>(E512-W512)/E512</f>
        <v>#VALUE!</v>
      </c>
      <c r="AS512" s="16" t="e">
        <f>(I512-AF512)/I512</f>
        <v>#DIV/0!</v>
      </c>
      <c r="AT512" s="16" t="e">
        <f>AG512/(AD512-AF512)</f>
        <v>#DIV/0!</v>
      </c>
      <c r="AU512" s="16" t="e">
        <f>(G512-AM512)/G512</f>
        <v>#DIV/0!</v>
      </c>
      <c r="AV512" s="57" t="str">
        <f>IF(AND(ISNUMBER(E512),ISNUMBER(W512)),E512-W512,"")</f>
        <v/>
      </c>
      <c r="AW512" s="57" t="str">
        <f>IF(AND(ISNUMBER(I512),ISNUMBER(AF512)),I512-AF512,"")</f>
        <v/>
      </c>
      <c r="AX512" s="57" t="str">
        <f>IF(AND(ISNUMBER(AM512),ISNUMBER(G512)),G512-AM512,"")</f>
        <v/>
      </c>
      <c r="AY512" s="57" t="str">
        <f>IF(AND(ISNUMBER(AC512),ISNUMBER(AE512)),AC512-AE512,"")</f>
        <v/>
      </c>
      <c r="AZ512" s="57" t="str">
        <f t="shared" si="36"/>
        <v/>
      </c>
      <c r="BE512" s="6" t="str">
        <f>IF((AD512-AF512)/(AJ512/60)&lt;=0,"",(AD512-AF512)/(AJ512/60))</f>
        <v/>
      </c>
      <c r="BF512" s="6" t="e">
        <f>IF(OR(AJ512=0,AP512=0,NOT(ISNUMBER(AD512)),NOT(ISNUMBER(AF512)),NOT(ISNUMBER(AJ512)),NOT(ISNUMBER(AP512))),"",
IFERROR(IF((AD512-AF512)/(AJ512/60)/(AP512/1000)&lt;=0,"",(AD512-AF512)/(AJ512/60)/(AP512/1000)),""))</f>
        <v>#DIV/0!</v>
      </c>
    </row>
    <row r="513" spans="1:58" ht="15.75">
      <c r="A513" s="12" t="s">
        <v>55</v>
      </c>
      <c r="B513" s="11">
        <v>45773</v>
      </c>
      <c r="C513" s="1">
        <v>269</v>
      </c>
      <c r="D513" s="3">
        <v>508</v>
      </c>
      <c r="E513" s="205" t="str">
        <f t="shared" si="31"/>
        <v/>
      </c>
      <c r="I513" s="15">
        <f>AD513</f>
        <v>0</v>
      </c>
      <c r="K513" s="10" t="str">
        <f t="shared" si="33"/>
        <v/>
      </c>
      <c r="L513" s="9" t="str">
        <f t="shared" si="34"/>
        <v/>
      </c>
      <c r="M513" s="8" t="str">
        <f t="shared" si="35"/>
        <v/>
      </c>
      <c r="AB513" s="5">
        <v>80</v>
      </c>
      <c r="AK513" s="3">
        <f>180+60</f>
        <v>240</v>
      </c>
      <c r="AN513" s="3">
        <v>40</v>
      </c>
      <c r="AP513" s="13">
        <f>AVERAGE(AO511:AO517)</f>
        <v>1070.0000000000273</v>
      </c>
      <c r="AR513" s="17" t="e">
        <f>(E513-W513)/E513</f>
        <v>#VALUE!</v>
      </c>
      <c r="AS513" s="16" t="e">
        <f>(I513-AF513)/I513</f>
        <v>#DIV/0!</v>
      </c>
      <c r="AT513" s="16" t="e">
        <f>AG513/(AD513-AF513)</f>
        <v>#DIV/0!</v>
      </c>
      <c r="AU513" s="16" t="e">
        <f>(G513-AM513)/G513</f>
        <v>#DIV/0!</v>
      </c>
      <c r="AV513" s="57" t="str">
        <f>IF(AND(ISNUMBER(E513),ISNUMBER(W513)),E513-W513,"")</f>
        <v/>
      </c>
      <c r="AW513" s="57" t="str">
        <f>IF(AND(ISNUMBER(I513),ISNUMBER(AF513)),I513-AF513,"")</f>
        <v/>
      </c>
      <c r="AX513" s="57" t="str">
        <f>IF(AND(ISNUMBER(AM513),ISNUMBER(G513)),G513-AM513,"")</f>
        <v/>
      </c>
      <c r="AY513" s="57" t="str">
        <f>IF(AND(ISNUMBER(AC513),ISNUMBER(AE513)),AC513-AE513,"")</f>
        <v/>
      </c>
      <c r="AZ513" s="57" t="str">
        <f t="shared" si="36"/>
        <v/>
      </c>
      <c r="BE513" s="6" t="e">
        <f>IF((AD513-AF513)/(AJ513/60)&lt;=0,"",(AD513-AF513)/(AJ513/60))</f>
        <v>#DIV/0!</v>
      </c>
      <c r="BF513" s="6" t="str">
        <f>IF(OR(AJ513=0,AP513=0,NOT(ISNUMBER(AD513)),NOT(ISNUMBER(AF513)),NOT(ISNUMBER(AJ513)),NOT(ISNUMBER(AP513))),"",
IFERROR(IF((AD513-AF513)/(AJ513/60)/(AP513/1000)&lt;=0,"",(AD513-AF513)/(AJ513/60)/(AP513/1000)),""))</f>
        <v/>
      </c>
    </row>
    <row r="514" spans="1:58" ht="15.75">
      <c r="B514" s="11">
        <v>45774</v>
      </c>
      <c r="C514" s="1">
        <v>270</v>
      </c>
      <c r="D514" s="3">
        <v>509</v>
      </c>
      <c r="E514" s="205" t="str">
        <f t="shared" si="31"/>
        <v/>
      </c>
      <c r="I514" s="15">
        <f>AD514</f>
        <v>0</v>
      </c>
      <c r="K514" s="10" t="str">
        <f t="shared" si="33"/>
        <v/>
      </c>
      <c r="L514" s="9" t="str">
        <f t="shared" si="34"/>
        <v/>
      </c>
      <c r="M514" s="8" t="str">
        <f t="shared" si="35"/>
        <v/>
      </c>
      <c r="AB514" s="5">
        <v>80</v>
      </c>
      <c r="AK514" s="3">
        <f>180+60</f>
        <v>240</v>
      </c>
      <c r="AN514" s="3">
        <v>40</v>
      </c>
      <c r="AP514" s="13">
        <f>AVERAGE(AO512:AO518)</f>
        <v>1070.0000000000273</v>
      </c>
      <c r="AR514" s="17" t="e">
        <f>(E514-W514)/E514</f>
        <v>#VALUE!</v>
      </c>
      <c r="AS514" s="16" t="e">
        <f>(I514-AF514)/I514</f>
        <v>#DIV/0!</v>
      </c>
      <c r="AT514" s="16" t="e">
        <f>AG514/(AD514-AF514)</f>
        <v>#DIV/0!</v>
      </c>
      <c r="AU514" s="16" t="e">
        <f>(G514-AM514)/G514</f>
        <v>#DIV/0!</v>
      </c>
      <c r="AV514" s="57" t="str">
        <f>IF(AND(ISNUMBER(E514),ISNUMBER(W514)),E514-W514,"")</f>
        <v/>
      </c>
      <c r="AW514" s="57" t="str">
        <f>IF(AND(ISNUMBER(I514),ISNUMBER(AF514)),I514-AF514,"")</f>
        <v/>
      </c>
      <c r="AX514" s="57" t="str">
        <f>IF(AND(ISNUMBER(AM514),ISNUMBER(G514)),G514-AM514,"")</f>
        <v/>
      </c>
      <c r="AY514" s="57" t="str">
        <f>IF(AND(ISNUMBER(AC514),ISNUMBER(AE514)),AC514-AE514,"")</f>
        <v/>
      </c>
      <c r="AZ514" s="57" t="str">
        <f t="shared" si="36"/>
        <v/>
      </c>
      <c r="BE514" s="6" t="e">
        <f>IF((AD514-AF514)/(AJ514/60)&lt;=0,"",(AD514-AF514)/(AJ514/60))</f>
        <v>#DIV/0!</v>
      </c>
      <c r="BF514" s="6" t="str">
        <f>IF(OR(AJ514=0,AP514=0,NOT(ISNUMBER(AD514)),NOT(ISNUMBER(AF514)),NOT(ISNUMBER(AJ514)),NOT(ISNUMBER(AP514))),"",
IFERROR(IF((AD514-AF514)/(AJ514/60)/(AP514/1000)&lt;=0,"",(AD514-AF514)/(AJ514/60)/(AP514/1000)),""))</f>
        <v/>
      </c>
    </row>
    <row r="515" spans="1:58" ht="15.75">
      <c r="A515" s="12" t="s">
        <v>54</v>
      </c>
      <c r="B515" s="11">
        <v>45775</v>
      </c>
      <c r="C515" s="1">
        <v>271</v>
      </c>
      <c r="D515" s="3">
        <v>510</v>
      </c>
      <c r="E515" s="205" t="str">
        <f t="shared" si="31"/>
        <v/>
      </c>
      <c r="I515" s="15">
        <f>AD515</f>
        <v>0</v>
      </c>
      <c r="K515" s="10" t="str">
        <f t="shared" si="33"/>
        <v/>
      </c>
      <c r="L515" s="9" t="str">
        <f t="shared" si="34"/>
        <v/>
      </c>
      <c r="M515" s="8" t="str">
        <f t="shared" si="35"/>
        <v/>
      </c>
      <c r="AB515" s="5">
        <v>80</v>
      </c>
      <c r="AK515" s="3">
        <f>180+60</f>
        <v>240</v>
      </c>
      <c r="AN515" s="3">
        <v>40</v>
      </c>
      <c r="AP515" s="13">
        <f>AVERAGE(AO513:AO519)</f>
        <v>1070.0000000000273</v>
      </c>
      <c r="AR515" s="17" t="e">
        <f>(E515-W515)/E515</f>
        <v>#VALUE!</v>
      </c>
      <c r="AS515" s="16" t="e">
        <f>(I515-AF515)/I515</f>
        <v>#DIV/0!</v>
      </c>
      <c r="AT515" s="16" t="e">
        <f>AG515/(AD515-AF515)</f>
        <v>#DIV/0!</v>
      </c>
      <c r="AU515" s="16" t="e">
        <f>(G515-AM515)/G515</f>
        <v>#DIV/0!</v>
      </c>
      <c r="AV515" s="57" t="str">
        <f>IF(AND(ISNUMBER(E515),ISNUMBER(W515)),E515-W515,"")</f>
        <v/>
      </c>
      <c r="AW515" s="57" t="str">
        <f>IF(AND(ISNUMBER(I515),ISNUMBER(AF515)),I515-AF515,"")</f>
        <v/>
      </c>
      <c r="AX515" s="57" t="str">
        <f>IF(AND(ISNUMBER(AM515),ISNUMBER(G515)),G515-AM515,"")</f>
        <v/>
      </c>
      <c r="AY515" s="57" t="str">
        <f>IF(AND(ISNUMBER(AC515),ISNUMBER(AE515)),AC515-AE515,"")</f>
        <v/>
      </c>
      <c r="AZ515" s="57" t="str">
        <f t="shared" si="36"/>
        <v/>
      </c>
      <c r="BE515" s="6" t="e">
        <f>IF((AD515-AF515)/(AJ515/60)&lt;=0,"",(AD515-AF515)/(AJ515/60))</f>
        <v>#DIV/0!</v>
      </c>
      <c r="BF515" s="6" t="str">
        <f>IF(OR(AJ515=0,AP515=0,NOT(ISNUMBER(AD515)),NOT(ISNUMBER(AF515)),NOT(ISNUMBER(AJ515)),NOT(ISNUMBER(AP515))),"",
IFERROR(IF((AD515-AF515)/(AJ515/60)/(AP515/1000)&lt;=0,"",(AD515-AF515)/(AJ515/60)/(AP515/1000)),""))</f>
        <v/>
      </c>
    </row>
    <row r="516" spans="1:58" ht="15.75">
      <c r="A516" s="12" t="s">
        <v>53</v>
      </c>
      <c r="B516" s="11">
        <v>45776</v>
      </c>
      <c r="C516" s="1">
        <v>272</v>
      </c>
      <c r="D516" s="3">
        <v>511</v>
      </c>
      <c r="E516" s="205">
        <f t="shared" si="31"/>
        <v>285.511188</v>
      </c>
      <c r="G516" s="15">
        <f>(N516*18-H516*18)/9</f>
        <v>12.48</v>
      </c>
      <c r="H516" s="15">
        <f>5*0.852</f>
        <v>4.26</v>
      </c>
      <c r="I516" s="15">
        <f>AD516</f>
        <v>24.1</v>
      </c>
      <c r="K516" s="10">
        <f t="shared" si="33"/>
        <v>22.877499038461536</v>
      </c>
      <c r="L516" s="9">
        <f t="shared" si="34"/>
        <v>5.9234686307053943</v>
      </c>
      <c r="M516" s="8">
        <f t="shared" si="35"/>
        <v>3.8621794871794872</v>
      </c>
      <c r="N516" s="7">
        <f>5*2.1</f>
        <v>10.5</v>
      </c>
      <c r="O516" s="6">
        <v>89.274000000000001</v>
      </c>
      <c r="P516" s="6">
        <v>31.373999999999999</v>
      </c>
      <c r="Q516" s="6">
        <f>O516*1.067</f>
        <v>95.255358000000001</v>
      </c>
      <c r="R516" s="6">
        <f>P516*1.514</f>
        <v>47.500236000000001</v>
      </c>
      <c r="S516" s="23">
        <f>P516*1.514+O516*1.067</f>
        <v>142.755594</v>
      </c>
      <c r="T516" s="6">
        <v>37.6</v>
      </c>
      <c r="U516" s="59">
        <f>4.455*1.067</f>
        <v>4.7534849999999995</v>
      </c>
      <c r="V516" s="59">
        <f>0*1.514</f>
        <v>0</v>
      </c>
      <c r="W516" s="23">
        <f>U516*1.067+V516*1.514</f>
        <v>5.0719684949999992</v>
      </c>
      <c r="X516" s="6">
        <v>4.1399999999999997</v>
      </c>
      <c r="Y516" s="6">
        <v>0.16</v>
      </c>
      <c r="Z516" s="6">
        <v>17</v>
      </c>
      <c r="AA516" s="6">
        <v>-214</v>
      </c>
      <c r="AB516" s="5">
        <v>80</v>
      </c>
      <c r="AC516" s="7">
        <f>T516</f>
        <v>37.6</v>
      </c>
      <c r="AD516" s="1">
        <f>5*4.82</f>
        <v>24.1</v>
      </c>
      <c r="AE516" s="1">
        <f>5*2.74</f>
        <v>13.700000000000001</v>
      </c>
      <c r="AF516" s="1">
        <v>0</v>
      </c>
      <c r="AK516" s="3">
        <f>180+60</f>
        <v>240</v>
      </c>
      <c r="AL516" s="4">
        <f>AE516</f>
        <v>13.700000000000001</v>
      </c>
      <c r="AM516" s="1">
        <f>5*1.86</f>
        <v>9.3000000000000007</v>
      </c>
      <c r="AN516" s="3">
        <v>40</v>
      </c>
      <c r="AP516" s="13">
        <f>AVERAGE(AO514:AO520)</f>
        <v>1070.0000000000273</v>
      </c>
      <c r="AR516" s="17">
        <f>(E516-W516)/E516</f>
        <v>0.98223548250235282</v>
      </c>
      <c r="AS516" s="16">
        <f>(I516-AF516)/I516</f>
        <v>1</v>
      </c>
      <c r="AT516" s="16">
        <f>AG516/(AD516-AF516)</f>
        <v>0</v>
      </c>
      <c r="AU516" s="16">
        <f>(G516-AM516)/G516</f>
        <v>0.25480769230769229</v>
      </c>
      <c r="AV516" s="57">
        <f>IF(AND(ISNUMBER(E516),ISNUMBER(W516)),E516-W516,"")</f>
        <v>280.43921950499998</v>
      </c>
      <c r="AW516" s="57">
        <f>IF(AND(ISNUMBER(I516),ISNUMBER(AF516)),I516-AF516,"")</f>
        <v>24.1</v>
      </c>
      <c r="AX516" s="57">
        <f>IF(AND(ISNUMBER(AM516),ISNUMBER(G516)),G516-AM516,"")</f>
        <v>3.1799999999999997</v>
      </c>
      <c r="AY516" s="57">
        <f>IF(AND(ISNUMBER(AC516),ISNUMBER(AE516)),AC516-AE516,"")</f>
        <v>23.9</v>
      </c>
      <c r="AZ516" s="57">
        <f t="shared" si="36"/>
        <v>4.4000000000000004</v>
      </c>
      <c r="BE516" s="6" t="e">
        <f>IF((AD516-AF516)/(AJ516/60)&lt;=0,"",(AD516-AF516)/(AJ516/60))</f>
        <v>#DIV/0!</v>
      </c>
      <c r="BF516" s="6" t="str">
        <f>IF(OR(AJ516=0,AP516=0,NOT(ISNUMBER(AD516)),NOT(ISNUMBER(AF516)),NOT(ISNUMBER(AJ516)),NOT(ISNUMBER(AP516))),"",
IFERROR(IF((AD516-AF516)/(AJ516/60)/(AP516/1000)&lt;=0,"",(AD516-AF516)/(AJ516/60)/(AP516/1000)),""))</f>
        <v/>
      </c>
    </row>
    <row r="517" spans="1:58" ht="15.75">
      <c r="B517" s="72">
        <v>45777</v>
      </c>
      <c r="C517" s="1">
        <v>273</v>
      </c>
      <c r="D517" s="3">
        <v>512</v>
      </c>
      <c r="E517" s="205" t="str">
        <f t="shared" si="31"/>
        <v/>
      </c>
      <c r="I517" s="15">
        <f>AD517</f>
        <v>0</v>
      </c>
      <c r="K517" s="10" t="str">
        <f t="shared" si="33"/>
        <v/>
      </c>
      <c r="L517" s="9" t="str">
        <f t="shared" si="34"/>
        <v/>
      </c>
      <c r="M517" s="8" t="str">
        <f t="shared" si="35"/>
        <v/>
      </c>
      <c r="AB517" s="5">
        <v>80</v>
      </c>
      <c r="AK517" s="3">
        <f>180+60</f>
        <v>240</v>
      </c>
      <c r="AN517" s="3">
        <v>40</v>
      </c>
      <c r="AO517" s="2">
        <v>1070.0000000000273</v>
      </c>
      <c r="AP517" s="13">
        <f>AVERAGE(AO515:AO521)</f>
        <v>1070.0000000000273</v>
      </c>
      <c r="AR517" s="17" t="e">
        <f>(E517-W517)/E517</f>
        <v>#VALUE!</v>
      </c>
      <c r="AS517" s="16" t="e">
        <f>(I517-AF517)/I517</f>
        <v>#DIV/0!</v>
      </c>
      <c r="AT517" s="16" t="e">
        <f>AG517/(AD517-AF517)</f>
        <v>#DIV/0!</v>
      </c>
      <c r="AU517" s="16" t="e">
        <f>(G517-AM517)/G517</f>
        <v>#DIV/0!</v>
      </c>
      <c r="AV517" s="57" t="str">
        <f>IF(AND(ISNUMBER(E517),ISNUMBER(W517)),E517-W517,"")</f>
        <v/>
      </c>
      <c r="AW517" s="57" t="str">
        <f>IF(AND(ISNUMBER(I517),ISNUMBER(AF517)),I517-AF517,"")</f>
        <v/>
      </c>
      <c r="AX517" s="57" t="str">
        <f>IF(AND(ISNUMBER(AM517),ISNUMBER(G517)),G517-AM517,"")</f>
        <v/>
      </c>
      <c r="AY517" s="57" t="str">
        <f>IF(AND(ISNUMBER(AC517),ISNUMBER(AE517)),AC517-AE517,"")</f>
        <v/>
      </c>
      <c r="AZ517" s="57" t="str">
        <f t="shared" si="36"/>
        <v/>
      </c>
      <c r="BE517" s="6" t="e">
        <f>IF((AD517-AF517)/(AJ517/60)&lt;=0,"",(AD517-AF517)/(AJ517/60))</f>
        <v>#DIV/0!</v>
      </c>
      <c r="BF517" s="6" t="str">
        <f>IF(OR(AJ517=0,AP517=0,NOT(ISNUMBER(AD517)),NOT(ISNUMBER(AF517)),NOT(ISNUMBER(AJ517)),NOT(ISNUMBER(AP517))),"",
IFERROR(IF((AD517-AF517)/(AJ517/60)/(AP517/1000)&lt;=0,"",(AD517-AF517)/(AJ517/60)/(AP517/1000)),""))</f>
        <v/>
      </c>
    </row>
    <row r="518" spans="1:58" ht="15.75">
      <c r="B518" s="11">
        <v>45778</v>
      </c>
      <c r="C518" s="1">
        <v>274</v>
      </c>
      <c r="D518" s="3">
        <v>513</v>
      </c>
      <c r="E518" s="205" t="str">
        <f t="shared" si="31"/>
        <v/>
      </c>
      <c r="I518" s="15">
        <f>AD518</f>
        <v>0</v>
      </c>
      <c r="K518" s="10" t="str">
        <f t="shared" si="33"/>
        <v/>
      </c>
      <c r="L518" s="9" t="str">
        <f t="shared" si="34"/>
        <v/>
      </c>
      <c r="M518" s="8" t="str">
        <f t="shared" si="35"/>
        <v/>
      </c>
      <c r="AB518" s="5">
        <v>80</v>
      </c>
      <c r="AK518" s="3">
        <f>180+60</f>
        <v>240</v>
      </c>
      <c r="AN518" s="3">
        <v>40</v>
      </c>
      <c r="AP518" s="13">
        <f>AVERAGE(AO516:AO522)</f>
        <v>1070.0000000000273</v>
      </c>
      <c r="AR518" s="17" t="e">
        <f>(E518-W518)/E518</f>
        <v>#VALUE!</v>
      </c>
      <c r="AS518" s="16" t="e">
        <f>(I518-AF518)/I518</f>
        <v>#DIV/0!</v>
      </c>
      <c r="AT518" s="16" t="e">
        <f>AG518/(AD518-AF518)</f>
        <v>#DIV/0!</v>
      </c>
      <c r="AU518" s="16" t="e">
        <f>(G518-AM518)/G518</f>
        <v>#DIV/0!</v>
      </c>
      <c r="AV518" s="57" t="str">
        <f>IF(AND(ISNUMBER(E518),ISNUMBER(W518)),E518-W518,"")</f>
        <v/>
      </c>
      <c r="AW518" s="57" t="str">
        <f>IF(AND(ISNUMBER(I518),ISNUMBER(AF518)),I518-AF518,"")</f>
        <v/>
      </c>
      <c r="AX518" s="57" t="str">
        <f>IF(AND(ISNUMBER(AM518),ISNUMBER(G518)),G518-AM518,"")</f>
        <v/>
      </c>
      <c r="AY518" s="57" t="str">
        <f>IF(AND(ISNUMBER(AC518),ISNUMBER(AE518)),AC518-AE518,"")</f>
        <v/>
      </c>
      <c r="AZ518" s="57" t="str">
        <f t="shared" si="36"/>
        <v/>
      </c>
      <c r="BE518" s="6" t="e">
        <f>IF((AD518-AF518)/(AJ518/60)&lt;=0,"",(AD518-AF518)/(AJ518/60))</f>
        <v>#DIV/0!</v>
      </c>
      <c r="BF518" s="6" t="str">
        <f>IF(OR(AJ518=0,AP518=0,NOT(ISNUMBER(AD518)),NOT(ISNUMBER(AF518)),NOT(ISNUMBER(AJ518)),NOT(ISNUMBER(AP518))),"",
IFERROR(IF((AD518-AF518)/(AJ518/60)/(AP518/1000)&lt;=0,"",(AD518-AF518)/(AJ518/60)/(AP518/1000)),""))</f>
        <v/>
      </c>
    </row>
    <row r="519" spans="1:58" ht="15.75">
      <c r="B519" s="11">
        <v>45779</v>
      </c>
      <c r="C519" s="1">
        <v>275</v>
      </c>
      <c r="D519" s="3">
        <v>514</v>
      </c>
      <c r="E519" s="205" t="str">
        <f t="shared" ref="E519:E582" si="37">IF(OR(S519="",S519=0),"",S519*2)</f>
        <v/>
      </c>
      <c r="I519" s="15">
        <f>AD519</f>
        <v>0</v>
      </c>
      <c r="K519" s="10" t="str">
        <f t="shared" si="33"/>
        <v/>
      </c>
      <c r="L519" s="9" t="str">
        <f t="shared" si="34"/>
        <v/>
      </c>
      <c r="M519" s="8" t="str">
        <f t="shared" si="35"/>
        <v/>
      </c>
      <c r="AB519" s="5">
        <v>80</v>
      </c>
      <c r="AK519" s="3">
        <f>180+60</f>
        <v>240</v>
      </c>
      <c r="AN519" s="3">
        <v>40</v>
      </c>
      <c r="AP519" s="13">
        <f>AVERAGE(AO517:AO523)</f>
        <v>1070.0000000000273</v>
      </c>
      <c r="AR519" s="17" t="e">
        <f>(E519-W519)/E519</f>
        <v>#VALUE!</v>
      </c>
      <c r="AS519" s="16" t="e">
        <f>(I519-AF519)/I519</f>
        <v>#DIV/0!</v>
      </c>
      <c r="AT519" s="16" t="e">
        <f>AG519/(AD519-AF519)</f>
        <v>#DIV/0!</v>
      </c>
      <c r="AU519" s="16" t="e">
        <f>(G519-AM519)/G519</f>
        <v>#DIV/0!</v>
      </c>
      <c r="AV519" s="57" t="str">
        <f>IF(AND(ISNUMBER(E519),ISNUMBER(W519)),E519-W519,"")</f>
        <v/>
      </c>
      <c r="AW519" s="57" t="str">
        <f>IF(AND(ISNUMBER(I519),ISNUMBER(AF519)),I519-AF519,"")</f>
        <v/>
      </c>
      <c r="AX519" s="57" t="str">
        <f>IF(AND(ISNUMBER(AM519),ISNUMBER(G519)),G519-AM519,"")</f>
        <v/>
      </c>
      <c r="AY519" s="57" t="str">
        <f>IF(AND(ISNUMBER(AC519),ISNUMBER(AE519)),AC519-AE519,"")</f>
        <v/>
      </c>
      <c r="AZ519" s="57" t="str">
        <f t="shared" si="36"/>
        <v/>
      </c>
      <c r="BE519" s="6" t="e">
        <f>IF((AD519-AF519)/(AJ519/60)&lt;=0,"",(AD519-AF519)/(AJ519/60))</f>
        <v>#DIV/0!</v>
      </c>
      <c r="BF519" s="6" t="str">
        <f>IF(OR(AJ519=0,AP519=0,NOT(ISNUMBER(AD519)),NOT(ISNUMBER(AF519)),NOT(ISNUMBER(AJ519)),NOT(ISNUMBER(AP519))),"",
IFERROR(IF((AD519-AF519)/(AJ519/60)/(AP519/1000)&lt;=0,"",(AD519-AF519)/(AJ519/60)/(AP519/1000)),""))</f>
        <v/>
      </c>
    </row>
    <row r="520" spans="1:58" ht="15.75">
      <c r="B520" s="11">
        <v>45780</v>
      </c>
      <c r="C520" s="1">
        <v>276</v>
      </c>
      <c r="D520" s="3">
        <v>515</v>
      </c>
      <c r="E520" s="205" t="str">
        <f t="shared" si="37"/>
        <v/>
      </c>
      <c r="I520" s="15">
        <f>AD520</f>
        <v>0</v>
      </c>
      <c r="K520" s="10" t="str">
        <f t="shared" si="33"/>
        <v/>
      </c>
      <c r="L520" s="9" t="str">
        <f t="shared" si="34"/>
        <v/>
      </c>
      <c r="M520" s="8" t="str">
        <f t="shared" si="35"/>
        <v/>
      </c>
      <c r="AB520" s="5">
        <v>80</v>
      </c>
      <c r="AK520" s="3">
        <f>180+60</f>
        <v>240</v>
      </c>
      <c r="AN520" s="3">
        <v>40</v>
      </c>
      <c r="AP520" s="13" t="e">
        <f>AVERAGE(AO518:AO524)</f>
        <v>#DIV/0!</v>
      </c>
      <c r="AR520" s="17" t="e">
        <f>(E520-W520)/E520</f>
        <v>#VALUE!</v>
      </c>
      <c r="AS520" s="16" t="e">
        <f>(I520-AF520)/I520</f>
        <v>#DIV/0!</v>
      </c>
      <c r="AT520" s="16" t="e">
        <f>AG520/(AD520-AF520)</f>
        <v>#DIV/0!</v>
      </c>
      <c r="AU520" s="16" t="e">
        <f>(G520-AM520)/G520</f>
        <v>#DIV/0!</v>
      </c>
      <c r="AV520" s="57" t="str">
        <f>IF(AND(ISNUMBER(E520),ISNUMBER(W520)),E520-W520,"")</f>
        <v/>
      </c>
      <c r="AW520" s="57" t="str">
        <f>IF(AND(ISNUMBER(I520),ISNUMBER(AF520)),I520-AF520,"")</f>
        <v/>
      </c>
      <c r="AX520" s="57" t="str">
        <f>IF(AND(ISNUMBER(AM520),ISNUMBER(G520)),G520-AM520,"")</f>
        <v/>
      </c>
      <c r="AY520" s="57" t="str">
        <f>IF(AND(ISNUMBER(AC520),ISNUMBER(AE520)),AC520-AE520,"")</f>
        <v/>
      </c>
      <c r="AZ520" s="57" t="str">
        <f t="shared" si="36"/>
        <v/>
      </c>
      <c r="BE520" s="6" t="e">
        <f>IF((AD520-AF520)/(AJ520/60)&lt;=0,"",(AD520-AF520)/(AJ520/60))</f>
        <v>#DIV/0!</v>
      </c>
      <c r="BF520" s="6" t="e">
        <f>IF(OR(AJ520=0,AP520=0,NOT(ISNUMBER(AD520)),NOT(ISNUMBER(AF520)),NOT(ISNUMBER(AJ520)),NOT(ISNUMBER(AP520))),"",
IFERROR(IF((AD520-AF520)/(AJ520/60)/(AP520/1000)&lt;=0,"",(AD520-AF520)/(AJ520/60)/(AP520/1000)),""))</f>
        <v>#DIV/0!</v>
      </c>
    </row>
    <row r="521" spans="1:58" ht="15.75">
      <c r="B521" s="11">
        <v>45781</v>
      </c>
      <c r="C521" s="1">
        <v>277</v>
      </c>
      <c r="D521" s="3">
        <v>516</v>
      </c>
      <c r="E521" s="205" t="str">
        <f t="shared" si="37"/>
        <v/>
      </c>
      <c r="I521" s="15">
        <f>AD521</f>
        <v>0</v>
      </c>
      <c r="K521" s="10" t="str">
        <f t="shared" si="33"/>
        <v/>
      </c>
      <c r="L521" s="9" t="str">
        <f t="shared" si="34"/>
        <v/>
      </c>
      <c r="M521" s="8" t="str">
        <f t="shared" si="35"/>
        <v/>
      </c>
      <c r="AB521" s="5">
        <v>80</v>
      </c>
      <c r="AK521" s="3">
        <f>180+60</f>
        <v>240</v>
      </c>
      <c r="AN521" s="3">
        <v>40</v>
      </c>
      <c r="AP521" s="13" t="e">
        <f>AVERAGE(AO519:AO525)</f>
        <v>#DIV/0!</v>
      </c>
      <c r="AR521" s="17" t="e">
        <f>(E521-W521)/E521</f>
        <v>#VALUE!</v>
      </c>
      <c r="AS521" s="16" t="e">
        <f>(I521-AF521)/I521</f>
        <v>#DIV/0!</v>
      </c>
      <c r="AT521" s="16" t="e">
        <f>AG521/(AD521-AF521)</f>
        <v>#DIV/0!</v>
      </c>
      <c r="AU521" s="16" t="e">
        <f>(G521-AM521)/G521</f>
        <v>#DIV/0!</v>
      </c>
      <c r="AV521" s="57" t="str">
        <f>IF(AND(ISNUMBER(E521),ISNUMBER(W521)),E521-W521,"")</f>
        <v/>
      </c>
      <c r="AW521" s="57" t="str">
        <f>IF(AND(ISNUMBER(I521),ISNUMBER(AF521)),I521-AF521,"")</f>
        <v/>
      </c>
      <c r="AX521" s="57" t="str">
        <f>IF(AND(ISNUMBER(AM521),ISNUMBER(G521)),G521-AM521,"")</f>
        <v/>
      </c>
      <c r="AY521" s="57" t="str">
        <f>IF(AND(ISNUMBER(AC521),ISNUMBER(AE521)),AC521-AE521,"")</f>
        <v/>
      </c>
      <c r="AZ521" s="57" t="str">
        <f t="shared" si="36"/>
        <v/>
      </c>
      <c r="BE521" s="6" t="e">
        <f>IF((AD521-AF521)/(AJ521/60)&lt;=0,"",(AD521-AF521)/(AJ521/60))</f>
        <v>#DIV/0!</v>
      </c>
      <c r="BF521" s="6" t="e">
        <f>IF(OR(AJ521=0,AP521=0,NOT(ISNUMBER(AD521)),NOT(ISNUMBER(AF521)),NOT(ISNUMBER(AJ521)),NOT(ISNUMBER(AP521))),"",
IFERROR(IF((AD521-AF521)/(AJ521/60)/(AP521/1000)&lt;=0,"",(AD521-AF521)/(AJ521/60)/(AP521/1000)),""))</f>
        <v>#DIV/0!</v>
      </c>
    </row>
    <row r="522" spans="1:58" ht="15.75">
      <c r="B522" s="11">
        <v>45782</v>
      </c>
      <c r="C522" s="1">
        <v>278</v>
      </c>
      <c r="D522" s="3">
        <v>517</v>
      </c>
      <c r="E522" s="205" t="str">
        <f t="shared" si="37"/>
        <v/>
      </c>
      <c r="I522" s="15">
        <f>AD522</f>
        <v>0</v>
      </c>
      <c r="K522" s="10" t="str">
        <f t="shared" si="33"/>
        <v/>
      </c>
      <c r="L522" s="9" t="str">
        <f t="shared" si="34"/>
        <v/>
      </c>
      <c r="M522" s="8" t="str">
        <f t="shared" si="35"/>
        <v/>
      </c>
      <c r="AB522" s="5">
        <v>80</v>
      </c>
      <c r="AK522" s="3">
        <f>180+60</f>
        <v>240</v>
      </c>
      <c r="AN522" s="3">
        <v>40</v>
      </c>
      <c r="AP522" s="13" t="e">
        <f>AVERAGE(AO520:AO526)</f>
        <v>#DIV/0!</v>
      </c>
      <c r="AR522" s="17" t="e">
        <f>(E522-W522)/E522</f>
        <v>#VALUE!</v>
      </c>
      <c r="AS522" s="16" t="e">
        <f>(I522-AF522)/I522</f>
        <v>#DIV/0!</v>
      </c>
      <c r="AT522" s="16" t="e">
        <f>AG522/(AD522-AF522)</f>
        <v>#DIV/0!</v>
      </c>
      <c r="AU522" s="16" t="e">
        <f>(G522-AM522)/G522</f>
        <v>#DIV/0!</v>
      </c>
      <c r="AV522" s="57" t="str">
        <f>IF(AND(ISNUMBER(E522),ISNUMBER(W522)),E522-W522,"")</f>
        <v/>
      </c>
      <c r="AW522" s="57" t="str">
        <f>IF(AND(ISNUMBER(I522),ISNUMBER(AF522)),I522-AF522,"")</f>
        <v/>
      </c>
      <c r="AX522" s="57" t="str">
        <f>IF(AND(ISNUMBER(AM522),ISNUMBER(G522)),G522-AM522,"")</f>
        <v/>
      </c>
      <c r="AY522" s="57" t="str">
        <f>IF(AND(ISNUMBER(AC522),ISNUMBER(AE522)),AC522-AE522,"")</f>
        <v/>
      </c>
      <c r="AZ522" s="57" t="str">
        <f t="shared" si="36"/>
        <v/>
      </c>
      <c r="BE522" s="6" t="e">
        <f>IF((AD522-AF522)/(AJ522/60)&lt;=0,"",(AD522-AF522)/(AJ522/60))</f>
        <v>#DIV/0!</v>
      </c>
      <c r="BF522" s="6" t="e">
        <f>IF(OR(AJ522=0,AP522=0,NOT(ISNUMBER(AD522)),NOT(ISNUMBER(AF522)),NOT(ISNUMBER(AJ522)),NOT(ISNUMBER(AP522))),"",
IFERROR(IF((AD522-AF522)/(AJ522/60)/(AP522/1000)&lt;=0,"",(AD522-AF522)/(AJ522/60)/(AP522/1000)),""))</f>
        <v>#DIV/0!</v>
      </c>
    </row>
    <row r="523" spans="1:58" ht="30">
      <c r="A523" s="12" t="s">
        <v>52</v>
      </c>
      <c r="B523" s="11">
        <v>45783</v>
      </c>
      <c r="C523" s="1">
        <v>279</v>
      </c>
      <c r="D523" s="3">
        <v>518</v>
      </c>
      <c r="E523" s="205" t="str">
        <f t="shared" si="37"/>
        <v/>
      </c>
      <c r="I523" s="15">
        <f>AD523</f>
        <v>0</v>
      </c>
      <c r="K523" s="10" t="str">
        <f t="shared" si="33"/>
        <v/>
      </c>
      <c r="L523" s="9" t="str">
        <f t="shared" si="34"/>
        <v/>
      </c>
      <c r="M523" s="8" t="str">
        <f t="shared" si="35"/>
        <v/>
      </c>
      <c r="AB523" s="5">
        <v>80</v>
      </c>
      <c r="AK523" s="3">
        <f>180+60</f>
        <v>240</v>
      </c>
      <c r="AN523" s="3">
        <v>40</v>
      </c>
      <c r="AP523" s="13" t="e">
        <f>AVERAGE(AO521:AO527)</f>
        <v>#DIV/0!</v>
      </c>
      <c r="AR523" s="17" t="e">
        <f>(E523-W523)/E523</f>
        <v>#VALUE!</v>
      </c>
      <c r="AS523" s="16" t="e">
        <f>(I523-AF523)/I523</f>
        <v>#DIV/0!</v>
      </c>
      <c r="AT523" s="16" t="e">
        <f>AG523/(AD523-AF523)</f>
        <v>#DIV/0!</v>
      </c>
      <c r="AU523" s="16" t="e">
        <f>(G523-AM523)/G523</f>
        <v>#DIV/0!</v>
      </c>
      <c r="AV523" s="57" t="str">
        <f>IF(AND(ISNUMBER(E523),ISNUMBER(W523)),E523-W523,"")</f>
        <v/>
      </c>
      <c r="AW523" s="57" t="str">
        <f>IF(AND(ISNUMBER(I523),ISNUMBER(AF523)),I523-AF523,"")</f>
        <v/>
      </c>
      <c r="AX523" s="57" t="str">
        <f>IF(AND(ISNUMBER(AM523),ISNUMBER(G523)),G523-AM523,"")</f>
        <v/>
      </c>
      <c r="AY523" s="57" t="str">
        <f>IF(AND(ISNUMBER(AC523),ISNUMBER(AE523)),AC523-AE523,"")</f>
        <v/>
      </c>
      <c r="AZ523" s="57" t="str">
        <f t="shared" si="36"/>
        <v/>
      </c>
      <c r="BE523" s="6" t="e">
        <f>IF((AD523-AF523)/(AJ523/60)&lt;=0,"",(AD523-AF523)/(AJ523/60))</f>
        <v>#DIV/0!</v>
      </c>
      <c r="BF523" s="6" t="e">
        <f>IF(OR(AJ523=0,AP523=0,NOT(ISNUMBER(AD523)),NOT(ISNUMBER(AF523)),NOT(ISNUMBER(AJ523)),NOT(ISNUMBER(AP523))),"",
IFERROR(IF((AD523-AF523)/(AJ523/60)/(AP523/1000)&lt;=0,"",(AD523-AF523)/(AJ523/60)/(AP523/1000)),""))</f>
        <v>#DIV/0!</v>
      </c>
    </row>
    <row r="524" spans="1:58" ht="15.75">
      <c r="B524" s="11">
        <v>45784</v>
      </c>
      <c r="C524" s="1">
        <v>280</v>
      </c>
      <c r="D524" s="3">
        <v>519</v>
      </c>
      <c r="E524" s="205" t="str">
        <f t="shared" si="37"/>
        <v/>
      </c>
      <c r="I524" s="15">
        <f>AD524</f>
        <v>0</v>
      </c>
      <c r="K524" s="10" t="str">
        <f t="shared" si="33"/>
        <v/>
      </c>
      <c r="L524" s="9" t="str">
        <f t="shared" si="34"/>
        <v/>
      </c>
      <c r="M524" s="8" t="str">
        <f t="shared" si="35"/>
        <v/>
      </c>
      <c r="AB524" s="5">
        <v>80</v>
      </c>
      <c r="AK524" s="3">
        <f>180+60</f>
        <v>240</v>
      </c>
      <c r="AN524" s="3">
        <v>40</v>
      </c>
      <c r="AP524" s="13" t="e">
        <f>AVERAGE(AO522:AO528)</f>
        <v>#DIV/0!</v>
      </c>
      <c r="AR524" s="17" t="e">
        <f>(E524-W524)/E524</f>
        <v>#VALUE!</v>
      </c>
      <c r="AS524" s="16" t="e">
        <f>(I524-AF524)/I524</f>
        <v>#DIV/0!</v>
      </c>
      <c r="AT524" s="16" t="e">
        <f>AG524/(AD524-AF524)</f>
        <v>#DIV/0!</v>
      </c>
      <c r="AU524" s="16" t="e">
        <f>(G524-AM524)/G524</f>
        <v>#DIV/0!</v>
      </c>
      <c r="AV524" s="57" t="str">
        <f>IF(AND(ISNUMBER(E524),ISNUMBER(W524)),E524-W524,"")</f>
        <v/>
      </c>
      <c r="AW524" s="57" t="str">
        <f>IF(AND(ISNUMBER(I524),ISNUMBER(AF524)),I524-AF524,"")</f>
        <v/>
      </c>
      <c r="AX524" s="57" t="str">
        <f>IF(AND(ISNUMBER(AM524),ISNUMBER(G524)),G524-AM524,"")</f>
        <v/>
      </c>
      <c r="AY524" s="57" t="str">
        <f>IF(AND(ISNUMBER(AC524),ISNUMBER(AE524)),AC524-AE524,"")</f>
        <v/>
      </c>
      <c r="AZ524" s="57" t="str">
        <f t="shared" si="36"/>
        <v/>
      </c>
      <c r="BE524" s="6" t="e">
        <f>IF((AD524-AF524)/(AJ524/60)&lt;=0,"",(AD524-AF524)/(AJ524/60))</f>
        <v>#DIV/0!</v>
      </c>
      <c r="BF524" s="6" t="e">
        <f>IF(OR(AJ524=0,AP524=0,NOT(ISNUMBER(AD524)),NOT(ISNUMBER(AF524)),NOT(ISNUMBER(AJ524)),NOT(ISNUMBER(AP524))),"",
IFERROR(IF((AD524-AF524)/(AJ524/60)/(AP524/1000)&lt;=0,"",(AD524-AF524)/(AJ524/60)/(AP524/1000)),""))</f>
        <v>#DIV/0!</v>
      </c>
    </row>
    <row r="525" spans="1:58" ht="15.75">
      <c r="B525" s="11">
        <v>45785</v>
      </c>
      <c r="C525" s="1">
        <v>281</v>
      </c>
      <c r="D525" s="3">
        <v>520</v>
      </c>
      <c r="E525" s="205" t="str">
        <f t="shared" si="37"/>
        <v/>
      </c>
      <c r="I525" s="15">
        <f>AD525</f>
        <v>0</v>
      </c>
      <c r="K525" s="10" t="str">
        <f t="shared" si="33"/>
        <v/>
      </c>
      <c r="L525" s="9" t="str">
        <f t="shared" si="34"/>
        <v/>
      </c>
      <c r="M525" s="8" t="str">
        <f t="shared" si="35"/>
        <v/>
      </c>
      <c r="AB525" s="5">
        <v>80</v>
      </c>
      <c r="AK525" s="3">
        <f>180+60</f>
        <v>240</v>
      </c>
      <c r="AN525" s="3">
        <v>40</v>
      </c>
      <c r="AP525" s="13" t="e">
        <f>AVERAGE(AO523:AO529)</f>
        <v>#DIV/0!</v>
      </c>
      <c r="AR525" s="17" t="e">
        <f>(E525-W525)/E525</f>
        <v>#VALUE!</v>
      </c>
      <c r="AS525" s="16" t="e">
        <f>(I525-AF525)/I525</f>
        <v>#DIV/0!</v>
      </c>
      <c r="AT525" s="16" t="e">
        <f>AG525/(AD525-AF525)</f>
        <v>#DIV/0!</v>
      </c>
      <c r="AU525" s="16" t="e">
        <f>(G525-AM525)/G525</f>
        <v>#DIV/0!</v>
      </c>
      <c r="AV525" s="57" t="str">
        <f>IF(AND(ISNUMBER(E525),ISNUMBER(W525)),E525-W525,"")</f>
        <v/>
      </c>
      <c r="AW525" s="57" t="str">
        <f>IF(AND(ISNUMBER(I525),ISNUMBER(AF525)),I525-AF525,"")</f>
        <v/>
      </c>
      <c r="AX525" s="57" t="str">
        <f>IF(AND(ISNUMBER(AM525),ISNUMBER(G525)),G525-AM525,"")</f>
        <v/>
      </c>
      <c r="AY525" s="57" t="str">
        <f>IF(AND(ISNUMBER(AC525),ISNUMBER(AE525)),AC525-AE525,"")</f>
        <v/>
      </c>
      <c r="AZ525" s="57" t="str">
        <f t="shared" si="36"/>
        <v/>
      </c>
      <c r="BE525" s="6" t="e">
        <f>IF((AD525-AF525)/(AJ525/60)&lt;=0,"",(AD525-AF525)/(AJ525/60))</f>
        <v>#DIV/0!</v>
      </c>
      <c r="BF525" s="6" t="e">
        <f>IF(OR(AJ525=0,AP525=0,NOT(ISNUMBER(AD525)),NOT(ISNUMBER(AF525)),NOT(ISNUMBER(AJ525)),NOT(ISNUMBER(AP525))),"",
IFERROR(IF((AD525-AF525)/(AJ525/60)/(AP525/1000)&lt;=0,"",(AD525-AF525)/(AJ525/60)/(AP525/1000)),""))</f>
        <v>#DIV/0!</v>
      </c>
    </row>
    <row r="526" spans="1:58" ht="15.75">
      <c r="B526" s="72">
        <v>45786</v>
      </c>
      <c r="C526" s="1">
        <v>282</v>
      </c>
      <c r="D526" s="3">
        <v>521</v>
      </c>
      <c r="E526" s="205" t="str">
        <f t="shared" si="37"/>
        <v/>
      </c>
      <c r="I526" s="15">
        <f>AD526</f>
        <v>0</v>
      </c>
      <c r="K526" s="10" t="str">
        <f t="shared" si="33"/>
        <v/>
      </c>
      <c r="L526" s="9" t="str">
        <f t="shared" si="34"/>
        <v/>
      </c>
      <c r="M526" s="8" t="str">
        <f t="shared" si="35"/>
        <v/>
      </c>
      <c r="AB526" s="5">
        <v>80</v>
      </c>
      <c r="AK526" s="3">
        <f>180+60</f>
        <v>240</v>
      </c>
      <c r="AN526" s="3">
        <v>40</v>
      </c>
      <c r="AP526" s="13" t="e">
        <f>AVERAGE(AO524:AO530)</f>
        <v>#DIV/0!</v>
      </c>
      <c r="AR526" s="17" t="e">
        <f>(E526-W526)/E526</f>
        <v>#VALUE!</v>
      </c>
      <c r="AS526" s="16" t="e">
        <f>(I526-AF526)/I526</f>
        <v>#DIV/0!</v>
      </c>
      <c r="AT526" s="16" t="e">
        <f>AG526/(AD526-AF526)</f>
        <v>#DIV/0!</v>
      </c>
      <c r="AU526" s="16" t="e">
        <f>(G526-AM526)/G526</f>
        <v>#DIV/0!</v>
      </c>
      <c r="AV526" s="57" t="str">
        <f>IF(AND(ISNUMBER(E526),ISNUMBER(W526)),E526-W526,"")</f>
        <v/>
      </c>
      <c r="AW526" s="57" t="str">
        <f>IF(AND(ISNUMBER(I526),ISNUMBER(AF526)),I526-AF526,"")</f>
        <v/>
      </c>
      <c r="AX526" s="57" t="str">
        <f>IF(AND(ISNUMBER(AM526),ISNUMBER(G526)),G526-AM526,"")</f>
        <v/>
      </c>
      <c r="AY526" s="57" t="str">
        <f>IF(AND(ISNUMBER(AC526),ISNUMBER(AE526)),AC526-AE526,"")</f>
        <v/>
      </c>
      <c r="AZ526" s="57" t="str">
        <f t="shared" si="36"/>
        <v/>
      </c>
      <c r="BE526" s="6" t="e">
        <f>IF((AD526-AF526)/(AJ526/60)&lt;=0,"",(AD526-AF526)/(AJ526/60))</f>
        <v>#DIV/0!</v>
      </c>
      <c r="BF526" s="6" t="e">
        <f>IF(OR(AJ526=0,AP526=0,NOT(ISNUMBER(AD526)),NOT(ISNUMBER(AF526)),NOT(ISNUMBER(AJ526)),NOT(ISNUMBER(AP526))),"",
IFERROR(IF((AD526-AF526)/(AJ526/60)/(AP526/1000)&lt;=0,"",(AD526-AF526)/(AJ526/60)/(AP526/1000)),""))</f>
        <v>#DIV/0!</v>
      </c>
    </row>
    <row r="527" spans="1:58" ht="15.75">
      <c r="A527" s="25" t="s">
        <v>51</v>
      </c>
      <c r="B527" s="11">
        <v>45787</v>
      </c>
      <c r="C527" s="1">
        <v>283</v>
      </c>
      <c r="D527" s="3">
        <v>522</v>
      </c>
      <c r="E527" s="205" t="str">
        <f t="shared" si="37"/>
        <v/>
      </c>
      <c r="I527" s="15">
        <f>AD527</f>
        <v>0</v>
      </c>
      <c r="K527" s="10" t="str">
        <f t="shared" si="33"/>
        <v/>
      </c>
      <c r="L527" s="9" t="str">
        <f t="shared" si="34"/>
        <v/>
      </c>
      <c r="M527" s="8" t="str">
        <f t="shared" si="35"/>
        <v/>
      </c>
      <c r="AB527" s="5">
        <v>80</v>
      </c>
      <c r="AK527" s="3">
        <f>180+60</f>
        <v>240</v>
      </c>
      <c r="AN527" s="3">
        <v>40</v>
      </c>
      <c r="AP527" s="13" t="e">
        <f>AVERAGE(AO525:AO531)</f>
        <v>#DIV/0!</v>
      </c>
      <c r="AR527" s="17" t="e">
        <f>(E527-W527)/E527</f>
        <v>#VALUE!</v>
      </c>
      <c r="AS527" s="16" t="e">
        <f>(I527-AF527)/I527</f>
        <v>#DIV/0!</v>
      </c>
      <c r="AT527" s="16" t="e">
        <f>AG527/(AD527-AF527)</f>
        <v>#DIV/0!</v>
      </c>
      <c r="AU527" s="16" t="e">
        <f>(G527-AM527)/G527</f>
        <v>#DIV/0!</v>
      </c>
      <c r="AV527" s="57" t="str">
        <f>IF(AND(ISNUMBER(E527),ISNUMBER(W527)),E527-W527,"")</f>
        <v/>
      </c>
      <c r="AW527" s="57" t="str">
        <f>IF(AND(ISNUMBER(I527),ISNUMBER(AF527)),I527-AF527,"")</f>
        <v/>
      </c>
      <c r="AX527" s="57" t="str">
        <f>IF(AND(ISNUMBER(AM527),ISNUMBER(G527)),G527-AM527,"")</f>
        <v/>
      </c>
      <c r="AY527" s="57" t="str">
        <f>IF(AND(ISNUMBER(AC527),ISNUMBER(AE527)),AC527-AE527,"")</f>
        <v/>
      </c>
      <c r="AZ527" s="57" t="str">
        <f t="shared" si="36"/>
        <v/>
      </c>
      <c r="BE527" s="6" t="e">
        <f>IF((AD527-AF527)/(AJ527/60)&lt;=0,"",(AD527-AF527)/(AJ527/60))</f>
        <v>#DIV/0!</v>
      </c>
      <c r="BF527" s="6" t="e">
        <f>IF(OR(AJ527=0,AP527=0,NOT(ISNUMBER(AD527)),NOT(ISNUMBER(AF527)),NOT(ISNUMBER(AJ527)),NOT(ISNUMBER(AP527))),"",
IFERROR(IF((AD527-AF527)/(AJ527/60)/(AP527/1000)&lt;=0,"",(AD527-AF527)/(AJ527/60)/(AP527/1000)),""))</f>
        <v>#DIV/0!</v>
      </c>
    </row>
    <row r="528" spans="1:58" ht="15.75">
      <c r="B528" s="11">
        <v>45788</v>
      </c>
      <c r="C528" s="1">
        <v>284</v>
      </c>
      <c r="D528" s="3">
        <v>523</v>
      </c>
      <c r="E528" s="205" t="str">
        <f t="shared" si="37"/>
        <v/>
      </c>
      <c r="I528" s="15">
        <f>AD528</f>
        <v>0</v>
      </c>
      <c r="K528" s="10" t="str">
        <f t="shared" si="33"/>
        <v/>
      </c>
      <c r="L528" s="9" t="str">
        <f t="shared" si="34"/>
        <v/>
      </c>
      <c r="M528" s="8" t="str">
        <f t="shared" si="35"/>
        <v/>
      </c>
      <c r="AB528" s="5">
        <v>80</v>
      </c>
      <c r="AK528" s="3">
        <f>180+60</f>
        <v>240</v>
      </c>
      <c r="AN528" s="3">
        <v>40</v>
      </c>
      <c r="AP528" s="13" t="e">
        <f>AVERAGE(AO526:AO532)</f>
        <v>#DIV/0!</v>
      </c>
      <c r="AR528" s="17" t="e">
        <f>(E528-W528)/E528</f>
        <v>#VALUE!</v>
      </c>
      <c r="AS528" s="16" t="e">
        <f>(I528-AF528)/I528</f>
        <v>#DIV/0!</v>
      </c>
      <c r="AT528" s="16" t="e">
        <f>AG528/(AD528-AF528)</f>
        <v>#DIV/0!</v>
      </c>
      <c r="AU528" s="16" t="e">
        <f>(G528-AM528)/G528</f>
        <v>#DIV/0!</v>
      </c>
      <c r="AV528" s="57" t="str">
        <f>IF(AND(ISNUMBER(E528),ISNUMBER(W528)),E528-W528,"")</f>
        <v/>
      </c>
      <c r="AW528" s="57" t="str">
        <f>IF(AND(ISNUMBER(I528),ISNUMBER(AF528)),I528-AF528,"")</f>
        <v/>
      </c>
      <c r="AX528" s="57" t="str">
        <f>IF(AND(ISNUMBER(AM528),ISNUMBER(G528)),G528-AM528,"")</f>
        <v/>
      </c>
      <c r="AY528" s="57" t="str">
        <f>IF(AND(ISNUMBER(AC528),ISNUMBER(AE528)),AC528-AE528,"")</f>
        <v/>
      </c>
      <c r="AZ528" s="57" t="str">
        <f t="shared" si="36"/>
        <v/>
      </c>
      <c r="BE528" s="6" t="e">
        <f>IF((AD528-AF528)/(AJ528/60)&lt;=0,"",(AD528-AF528)/(AJ528/60))</f>
        <v>#DIV/0!</v>
      </c>
      <c r="BF528" s="6" t="e">
        <f>IF(OR(AJ528=0,AP528=0,NOT(ISNUMBER(AD528)),NOT(ISNUMBER(AF528)),NOT(ISNUMBER(AJ528)),NOT(ISNUMBER(AP528))),"",
IFERROR(IF((AD528-AF528)/(AJ528/60)/(AP528/1000)&lt;=0,"",(AD528-AF528)/(AJ528/60)/(AP528/1000)),""))</f>
        <v>#DIV/0!</v>
      </c>
    </row>
    <row r="529" spans="1:58" ht="15.75">
      <c r="A529" s="12" t="s">
        <v>50</v>
      </c>
      <c r="B529" s="11">
        <v>45789</v>
      </c>
      <c r="C529" s="1">
        <v>285</v>
      </c>
      <c r="D529" s="3">
        <v>524</v>
      </c>
      <c r="E529" s="205" t="str">
        <f t="shared" si="37"/>
        <v/>
      </c>
      <c r="I529" s="15">
        <f>AD529</f>
        <v>0</v>
      </c>
      <c r="K529" s="10" t="str">
        <f t="shared" si="33"/>
        <v/>
      </c>
      <c r="L529" s="9" t="str">
        <f t="shared" si="34"/>
        <v/>
      </c>
      <c r="M529" s="8" t="str">
        <f t="shared" si="35"/>
        <v/>
      </c>
      <c r="AB529" s="5">
        <v>80</v>
      </c>
      <c r="AK529" s="3">
        <f>180+60</f>
        <v>240</v>
      </c>
      <c r="AN529" s="3">
        <v>40</v>
      </c>
      <c r="AP529" s="13" t="e">
        <f>AVERAGE(AO527:AO533)</f>
        <v>#DIV/0!</v>
      </c>
      <c r="AR529" s="17" t="e">
        <f>(E529-W529)/E529</f>
        <v>#VALUE!</v>
      </c>
      <c r="AS529" s="16" t="e">
        <f>(I529-AF529)/I529</f>
        <v>#DIV/0!</v>
      </c>
      <c r="AT529" s="16" t="e">
        <f>AG529/(AD529-AF529)</f>
        <v>#DIV/0!</v>
      </c>
      <c r="AU529" s="16" t="e">
        <f>(G529-AM529)/G529</f>
        <v>#DIV/0!</v>
      </c>
      <c r="AV529" s="57" t="str">
        <f>IF(AND(ISNUMBER(E529),ISNUMBER(W529)),E529-W529,"")</f>
        <v/>
      </c>
      <c r="AW529" s="57" t="str">
        <f>IF(AND(ISNUMBER(I529),ISNUMBER(AF529)),I529-AF529,"")</f>
        <v/>
      </c>
      <c r="AX529" s="57" t="str">
        <f>IF(AND(ISNUMBER(AM529),ISNUMBER(G529)),G529-AM529,"")</f>
        <v/>
      </c>
      <c r="AY529" s="57" t="str">
        <f>IF(AND(ISNUMBER(AC529),ISNUMBER(AE529)),AC529-AE529,"")</f>
        <v/>
      </c>
      <c r="AZ529" s="57" t="str">
        <f t="shared" si="36"/>
        <v/>
      </c>
      <c r="BE529" s="6" t="e">
        <f>IF((AD529-AF529)/(AJ529/60)&lt;=0,"",(AD529-AF529)/(AJ529/60))</f>
        <v>#DIV/0!</v>
      </c>
      <c r="BF529" s="6" t="e">
        <f>IF(OR(AJ529=0,AP529=0,NOT(ISNUMBER(AD529)),NOT(ISNUMBER(AF529)),NOT(ISNUMBER(AJ529)),NOT(ISNUMBER(AP529))),"",
IFERROR(IF((AD529-AF529)/(AJ529/60)/(AP529/1000)&lt;=0,"",(AD529-AF529)/(AJ529/60)/(AP529/1000)),""))</f>
        <v>#DIV/0!</v>
      </c>
    </row>
    <row r="530" spans="1:58" ht="15.75">
      <c r="B530" s="11">
        <v>45790</v>
      </c>
      <c r="C530" s="1">
        <v>286</v>
      </c>
      <c r="D530" s="3">
        <v>525</v>
      </c>
      <c r="E530" s="205" t="str">
        <f t="shared" si="37"/>
        <v/>
      </c>
      <c r="I530" s="15">
        <f>AD530</f>
        <v>0</v>
      </c>
      <c r="K530" s="10" t="str">
        <f t="shared" si="33"/>
        <v/>
      </c>
      <c r="L530" s="9" t="str">
        <f t="shared" si="34"/>
        <v/>
      </c>
      <c r="M530" s="8" t="str">
        <f t="shared" si="35"/>
        <v/>
      </c>
      <c r="AB530" s="5">
        <v>80</v>
      </c>
      <c r="AK530" s="3">
        <f>180+60</f>
        <v>240</v>
      </c>
      <c r="AN530" s="3">
        <v>40</v>
      </c>
      <c r="AP530" s="13" t="e">
        <f>AVERAGE(AO528:AO534)</f>
        <v>#DIV/0!</v>
      </c>
      <c r="AR530" s="17" t="e">
        <f>(E530-W530)/E530</f>
        <v>#VALUE!</v>
      </c>
      <c r="AS530" s="16" t="e">
        <f>(I530-AF530)/I530</f>
        <v>#DIV/0!</v>
      </c>
      <c r="AT530" s="16" t="e">
        <f>AG530/(AD530-AF530)</f>
        <v>#DIV/0!</v>
      </c>
      <c r="AU530" s="16" t="e">
        <f>(G530-AM530)/G530</f>
        <v>#DIV/0!</v>
      </c>
      <c r="AV530" s="57" t="str">
        <f>IF(AND(ISNUMBER(E530),ISNUMBER(W530)),E530-W530,"")</f>
        <v/>
      </c>
      <c r="AW530" s="57" t="str">
        <f>IF(AND(ISNUMBER(I530),ISNUMBER(AF530)),I530-AF530,"")</f>
        <v/>
      </c>
      <c r="AX530" s="57" t="str">
        <f>IF(AND(ISNUMBER(AM530),ISNUMBER(G530)),G530-AM530,"")</f>
        <v/>
      </c>
      <c r="AY530" s="57" t="str">
        <f>IF(AND(ISNUMBER(AC530),ISNUMBER(AE530)),AC530-AE530,"")</f>
        <v/>
      </c>
      <c r="AZ530" s="57" t="str">
        <f t="shared" si="36"/>
        <v/>
      </c>
      <c r="BE530" s="6" t="e">
        <f>IF((AD530-AF530)/(AJ530/60)&lt;=0,"",(AD530-AF530)/(AJ530/60))</f>
        <v>#DIV/0!</v>
      </c>
      <c r="BF530" s="6" t="e">
        <f>IF(OR(AJ530=0,AP530=0,NOT(ISNUMBER(AD530)),NOT(ISNUMBER(AF530)),NOT(ISNUMBER(AJ530)),NOT(ISNUMBER(AP530))),"",
IFERROR(IF((AD530-AF530)/(AJ530/60)/(AP530/1000)&lt;=0,"",(AD530-AF530)/(AJ530/60)/(AP530/1000)),""))</f>
        <v>#DIV/0!</v>
      </c>
    </row>
    <row r="531" spans="1:58" ht="15.75">
      <c r="B531" s="72">
        <v>45791</v>
      </c>
      <c r="C531" s="1">
        <v>287</v>
      </c>
      <c r="D531" s="3">
        <v>526</v>
      </c>
      <c r="E531" s="205" t="str">
        <f t="shared" si="37"/>
        <v/>
      </c>
      <c r="I531" s="15">
        <f>AD531</f>
        <v>0</v>
      </c>
      <c r="K531" s="10" t="str">
        <f t="shared" si="33"/>
        <v/>
      </c>
      <c r="L531" s="9" t="str">
        <f t="shared" si="34"/>
        <v/>
      </c>
      <c r="M531" s="8" t="str">
        <f t="shared" si="35"/>
        <v/>
      </c>
      <c r="AB531" s="5">
        <v>80</v>
      </c>
      <c r="AK531" s="3">
        <f>180+60</f>
        <v>240</v>
      </c>
      <c r="AN531" s="3">
        <v>40</v>
      </c>
      <c r="AP531" s="13" t="e">
        <f>AVERAGE(AO529:AO535)</f>
        <v>#DIV/0!</v>
      </c>
      <c r="AR531" s="17" t="e">
        <f>(E531-W531)/E531</f>
        <v>#VALUE!</v>
      </c>
      <c r="AS531" s="16" t="e">
        <f>(I531-AF531)/I531</f>
        <v>#DIV/0!</v>
      </c>
      <c r="AT531" s="16" t="e">
        <f>AG531/(AD531-AF531)</f>
        <v>#DIV/0!</v>
      </c>
      <c r="AU531" s="16" t="e">
        <f>(G531-AM531)/G531</f>
        <v>#DIV/0!</v>
      </c>
      <c r="AV531" s="57" t="str">
        <f>IF(AND(ISNUMBER(E531),ISNUMBER(W531)),E531-W531,"")</f>
        <v/>
      </c>
      <c r="AW531" s="57" t="str">
        <f>IF(AND(ISNUMBER(I531),ISNUMBER(AF531)),I531-AF531,"")</f>
        <v/>
      </c>
      <c r="AX531" s="57" t="str">
        <f>IF(AND(ISNUMBER(AM531),ISNUMBER(G531)),G531-AM531,"")</f>
        <v/>
      </c>
      <c r="AY531" s="57" t="str">
        <f>IF(AND(ISNUMBER(AC531),ISNUMBER(AE531)),AC531-AE531,"")</f>
        <v/>
      </c>
      <c r="AZ531" s="57" t="str">
        <f t="shared" si="36"/>
        <v/>
      </c>
      <c r="BE531" s="6" t="e">
        <f>IF((AD531-AF531)/(AJ531/60)&lt;=0,"",(AD531-AF531)/(AJ531/60))</f>
        <v>#DIV/0!</v>
      </c>
      <c r="BF531" s="6" t="e">
        <f>IF(OR(AJ531=0,AP531=0,NOT(ISNUMBER(AD531)),NOT(ISNUMBER(AF531)),NOT(ISNUMBER(AJ531)),NOT(ISNUMBER(AP531))),"",
IFERROR(IF((AD531-AF531)/(AJ531/60)/(AP531/1000)&lt;=0,"",(AD531-AF531)/(AJ531/60)/(AP531/1000)),""))</f>
        <v>#DIV/0!</v>
      </c>
    </row>
    <row r="532" spans="1:58" ht="15.75">
      <c r="B532" s="11">
        <v>45792</v>
      </c>
      <c r="C532" s="1">
        <v>288</v>
      </c>
      <c r="D532" s="3">
        <v>527</v>
      </c>
      <c r="E532" s="205" t="str">
        <f t="shared" si="37"/>
        <v/>
      </c>
      <c r="I532" s="15">
        <f>AD532</f>
        <v>0</v>
      </c>
      <c r="K532" s="10" t="str">
        <f t="shared" si="33"/>
        <v/>
      </c>
      <c r="L532" s="9" t="str">
        <f t="shared" si="34"/>
        <v/>
      </c>
      <c r="M532" s="8" t="str">
        <f t="shared" si="35"/>
        <v/>
      </c>
      <c r="AB532" s="5">
        <v>80</v>
      </c>
      <c r="AK532" s="3">
        <f>180+60</f>
        <v>240</v>
      </c>
      <c r="AN532" s="3">
        <v>40</v>
      </c>
      <c r="AP532" s="13" t="e">
        <f>AVERAGE(AO530:AO536)</f>
        <v>#DIV/0!</v>
      </c>
      <c r="AR532" s="17" t="e">
        <f>(E532-W532)/E532</f>
        <v>#VALUE!</v>
      </c>
      <c r="AS532" s="16" t="e">
        <f>(I532-AF532)/I532</f>
        <v>#DIV/0!</v>
      </c>
      <c r="AT532" s="16" t="e">
        <f>AG532/(AD532-AF532)</f>
        <v>#DIV/0!</v>
      </c>
      <c r="AU532" s="16" t="e">
        <f>(G532-AM532)/G532</f>
        <v>#DIV/0!</v>
      </c>
      <c r="AV532" s="57" t="str">
        <f>IF(AND(ISNUMBER(E532),ISNUMBER(W532)),E532-W532,"")</f>
        <v/>
      </c>
      <c r="AW532" s="57" t="str">
        <f>IF(AND(ISNUMBER(I532),ISNUMBER(AF532)),I532-AF532,"")</f>
        <v/>
      </c>
      <c r="AX532" s="57" t="str">
        <f>IF(AND(ISNUMBER(AM532),ISNUMBER(G532)),G532-AM532,"")</f>
        <v/>
      </c>
      <c r="AY532" s="57" t="str">
        <f>IF(AND(ISNUMBER(AC532),ISNUMBER(AE532)),AC532-AE532,"")</f>
        <v/>
      </c>
      <c r="AZ532" s="57" t="str">
        <f t="shared" si="36"/>
        <v/>
      </c>
      <c r="BE532" s="6" t="e">
        <f>IF((AD532-AF532)/(AJ532/60)&lt;=0,"",(AD532-AF532)/(AJ532/60))</f>
        <v>#DIV/0!</v>
      </c>
      <c r="BF532" s="6" t="e">
        <f>IF(OR(AJ532=0,AP532=0,NOT(ISNUMBER(AD532)),NOT(ISNUMBER(AF532)),NOT(ISNUMBER(AJ532)),NOT(ISNUMBER(AP532))),"",
IFERROR(IF((AD532-AF532)/(AJ532/60)/(AP532/1000)&lt;=0,"",(AD532-AF532)/(AJ532/60)/(AP532/1000)),""))</f>
        <v>#DIV/0!</v>
      </c>
    </row>
    <row r="533" spans="1:58" ht="15.75">
      <c r="B533" s="11">
        <v>45793</v>
      </c>
      <c r="C533" s="1">
        <v>289</v>
      </c>
      <c r="D533" s="3">
        <v>528</v>
      </c>
      <c r="E533" s="205" t="str">
        <f t="shared" si="37"/>
        <v/>
      </c>
      <c r="I533" s="15">
        <f>AD533</f>
        <v>0</v>
      </c>
      <c r="K533" s="10" t="str">
        <f t="shared" si="33"/>
        <v/>
      </c>
      <c r="L533" s="9" t="str">
        <f t="shared" si="34"/>
        <v/>
      </c>
      <c r="M533" s="8" t="str">
        <f t="shared" si="35"/>
        <v/>
      </c>
      <c r="AB533" s="5">
        <v>80</v>
      </c>
      <c r="AK533" s="3">
        <f>180+60</f>
        <v>240</v>
      </c>
      <c r="AN533" s="3">
        <v>40</v>
      </c>
      <c r="AP533" s="13" t="e">
        <f>AVERAGE(AO531:AO537)</f>
        <v>#DIV/0!</v>
      </c>
      <c r="AR533" s="17" t="e">
        <f>(E533-W533)/E533</f>
        <v>#VALUE!</v>
      </c>
      <c r="AS533" s="16" t="e">
        <f>(I533-AF533)/I533</f>
        <v>#DIV/0!</v>
      </c>
      <c r="AT533" s="16" t="e">
        <f>AG533/(AD533-AF533)</f>
        <v>#DIV/0!</v>
      </c>
      <c r="AU533" s="16" t="e">
        <f>(G533-AM533)/G533</f>
        <v>#DIV/0!</v>
      </c>
      <c r="AV533" s="57" t="str">
        <f>IF(AND(ISNUMBER(E533),ISNUMBER(W533)),E533-W533,"")</f>
        <v/>
      </c>
      <c r="AW533" s="57" t="str">
        <f>IF(AND(ISNUMBER(I533),ISNUMBER(AF533)),I533-AF533,"")</f>
        <v/>
      </c>
      <c r="AX533" s="57" t="str">
        <f>IF(AND(ISNUMBER(AM533),ISNUMBER(G533)),G533-AM533,"")</f>
        <v/>
      </c>
      <c r="AY533" s="57" t="str">
        <f>IF(AND(ISNUMBER(AC533),ISNUMBER(AE533)),AC533-AE533,"")</f>
        <v/>
      </c>
      <c r="AZ533" s="57" t="str">
        <f t="shared" si="36"/>
        <v/>
      </c>
      <c r="BE533" s="6" t="e">
        <f>IF((AD533-AF533)/(AJ533/60)&lt;=0,"",(AD533-AF533)/(AJ533/60))</f>
        <v>#DIV/0!</v>
      </c>
      <c r="BF533" s="6" t="e">
        <f>IF(OR(AJ533=0,AP533=0,NOT(ISNUMBER(AD533)),NOT(ISNUMBER(AF533)),NOT(ISNUMBER(AJ533)),NOT(ISNUMBER(AP533))),"",
IFERROR(IF((AD533-AF533)/(AJ533/60)/(AP533/1000)&lt;=0,"",(AD533-AF533)/(AJ533/60)/(AP533/1000)),""))</f>
        <v>#DIV/0!</v>
      </c>
    </row>
    <row r="534" spans="1:58" ht="15.75">
      <c r="A534" s="25" t="s">
        <v>49</v>
      </c>
      <c r="B534" s="11">
        <v>45794</v>
      </c>
      <c r="C534" s="1">
        <v>290</v>
      </c>
      <c r="D534" s="3">
        <v>529</v>
      </c>
      <c r="E534" s="205" t="str">
        <f t="shared" si="37"/>
        <v/>
      </c>
      <c r="I534" s="15">
        <f>AD534</f>
        <v>0</v>
      </c>
      <c r="K534" s="10" t="str">
        <f t="shared" si="33"/>
        <v/>
      </c>
      <c r="L534" s="9" t="str">
        <f t="shared" si="34"/>
        <v/>
      </c>
      <c r="M534" s="8" t="str">
        <f t="shared" si="35"/>
        <v/>
      </c>
      <c r="AB534" s="5">
        <v>80</v>
      </c>
      <c r="AK534" s="3">
        <f>180+60</f>
        <v>240</v>
      </c>
      <c r="AN534" s="3">
        <v>40</v>
      </c>
      <c r="AP534" s="13" t="e">
        <f>AVERAGE(AO532:AO538)</f>
        <v>#DIV/0!</v>
      </c>
      <c r="AR534" s="17" t="e">
        <f>(E534-W534)/E534</f>
        <v>#VALUE!</v>
      </c>
      <c r="AS534" s="16" t="e">
        <f>(I534-AF534)/I534</f>
        <v>#DIV/0!</v>
      </c>
      <c r="AT534" s="16" t="e">
        <f>AG534/(AD534-AF534)</f>
        <v>#DIV/0!</v>
      </c>
      <c r="AU534" s="16" t="e">
        <f>(G534-AM534)/G534</f>
        <v>#DIV/0!</v>
      </c>
      <c r="AV534" s="57" t="str">
        <f>IF(AND(ISNUMBER(E534),ISNUMBER(W534)),E534-W534,"")</f>
        <v/>
      </c>
      <c r="AW534" s="57" t="str">
        <f>IF(AND(ISNUMBER(I534),ISNUMBER(AF534)),I534-AF534,"")</f>
        <v/>
      </c>
      <c r="AX534" s="57" t="str">
        <f>IF(AND(ISNUMBER(AM534),ISNUMBER(G534)),G534-AM534,"")</f>
        <v/>
      </c>
      <c r="AY534" s="57" t="str">
        <f>IF(AND(ISNUMBER(AC534),ISNUMBER(AE534)),AC534-AE534,"")</f>
        <v/>
      </c>
      <c r="AZ534" s="57" t="str">
        <f t="shared" si="36"/>
        <v/>
      </c>
      <c r="BE534" s="6" t="e">
        <f>IF((AD534-AF534)/(AJ534/60)&lt;=0,"",(AD534-AF534)/(AJ534/60))</f>
        <v>#DIV/0!</v>
      </c>
      <c r="BF534" s="6" t="e">
        <f>IF(OR(AJ534=0,AP534=0,NOT(ISNUMBER(AD534)),NOT(ISNUMBER(AF534)),NOT(ISNUMBER(AJ534)),NOT(ISNUMBER(AP534))),"",
IFERROR(IF((AD534-AF534)/(AJ534/60)/(AP534/1000)&lt;=0,"",(AD534-AF534)/(AJ534/60)/(AP534/1000)),""))</f>
        <v>#DIV/0!</v>
      </c>
    </row>
    <row r="535" spans="1:58" ht="15.75">
      <c r="A535" s="25" t="s">
        <v>48</v>
      </c>
      <c r="B535" s="11">
        <v>45795</v>
      </c>
      <c r="C535" s="1">
        <v>291</v>
      </c>
      <c r="D535" s="3">
        <v>530</v>
      </c>
      <c r="E535" s="205" t="str">
        <f t="shared" si="37"/>
        <v/>
      </c>
      <c r="I535" s="15">
        <f>AD535</f>
        <v>0</v>
      </c>
      <c r="K535" s="10" t="str">
        <f t="shared" si="33"/>
        <v/>
      </c>
      <c r="L535" s="9" t="str">
        <f t="shared" si="34"/>
        <v/>
      </c>
      <c r="M535" s="8" t="str">
        <f t="shared" si="35"/>
        <v/>
      </c>
      <c r="AB535" s="5">
        <v>80</v>
      </c>
      <c r="AK535" s="3">
        <f>180+60</f>
        <v>240</v>
      </c>
      <c r="AN535" s="3">
        <v>40</v>
      </c>
      <c r="AP535" s="13" t="e">
        <f>AVERAGE(AO533:AO539)</f>
        <v>#DIV/0!</v>
      </c>
      <c r="AR535" s="17" t="e">
        <f>(E535-W535)/E535</f>
        <v>#VALUE!</v>
      </c>
      <c r="AS535" s="16" t="e">
        <f>(I535-AF535)/I535</f>
        <v>#DIV/0!</v>
      </c>
      <c r="AT535" s="16" t="e">
        <f>AG535/(AD535-AF535)</f>
        <v>#DIV/0!</v>
      </c>
      <c r="AU535" s="16" t="e">
        <f>(G535-AM535)/G535</f>
        <v>#DIV/0!</v>
      </c>
      <c r="AV535" s="57" t="str">
        <f>IF(AND(ISNUMBER(E535),ISNUMBER(W535)),E535-W535,"")</f>
        <v/>
      </c>
      <c r="AW535" s="57" t="str">
        <f>IF(AND(ISNUMBER(I535),ISNUMBER(AF535)),I535-AF535,"")</f>
        <v/>
      </c>
      <c r="AX535" s="57" t="str">
        <f>IF(AND(ISNUMBER(AM535),ISNUMBER(G535)),G535-AM535,"")</f>
        <v/>
      </c>
      <c r="AY535" s="57" t="str">
        <f>IF(AND(ISNUMBER(AC535),ISNUMBER(AE535)),AC535-AE535,"")</f>
        <v/>
      </c>
      <c r="AZ535" s="57" t="str">
        <f t="shared" si="36"/>
        <v/>
      </c>
      <c r="BE535" s="6" t="e">
        <f>IF((AD535-AF535)/(AJ535/60)&lt;=0,"",(AD535-AF535)/(AJ535/60))</f>
        <v>#DIV/0!</v>
      </c>
      <c r="BF535" s="6" t="e">
        <f>IF(OR(AJ535=0,AP535=0,NOT(ISNUMBER(AD535)),NOT(ISNUMBER(AF535)),NOT(ISNUMBER(AJ535)),NOT(ISNUMBER(AP535))),"",
IFERROR(IF((AD535-AF535)/(AJ535/60)/(AP535/1000)&lt;=0,"",(AD535-AF535)/(AJ535/60)/(AP535/1000)),""))</f>
        <v>#DIV/0!</v>
      </c>
    </row>
    <row r="536" spans="1:58" ht="15.75">
      <c r="A536" s="12" t="s">
        <v>47</v>
      </c>
      <c r="B536" s="11">
        <v>45796</v>
      </c>
      <c r="C536" s="1">
        <v>292</v>
      </c>
      <c r="D536" s="1">
        <v>531</v>
      </c>
      <c r="E536" s="205" t="str">
        <f t="shared" si="37"/>
        <v/>
      </c>
      <c r="I536" s="15">
        <f>AD536</f>
        <v>0</v>
      </c>
      <c r="J536" s="9"/>
      <c r="K536" s="10" t="str">
        <f t="shared" si="33"/>
        <v/>
      </c>
      <c r="L536" s="9" t="str">
        <f t="shared" si="34"/>
        <v/>
      </c>
      <c r="M536" s="8" t="str">
        <f t="shared" si="35"/>
        <v/>
      </c>
      <c r="N536" s="6"/>
      <c r="AB536" s="6">
        <v>80</v>
      </c>
      <c r="AC536" s="1"/>
      <c r="AK536" s="1">
        <f>180+60</f>
        <v>240</v>
      </c>
      <c r="AL536" s="1"/>
      <c r="AN536" s="3">
        <v>40</v>
      </c>
      <c r="AP536" s="13" t="e">
        <f>AVERAGE(AO534:AO540)</f>
        <v>#DIV/0!</v>
      </c>
      <c r="AR536" s="16" t="e">
        <f>(E536-W536)/E536</f>
        <v>#VALUE!</v>
      </c>
      <c r="AS536" s="16" t="e">
        <f>(I536-AF536)/I536</f>
        <v>#DIV/0!</v>
      </c>
      <c r="AT536" s="16" t="e">
        <f>AG536/(AD536-AF536)</f>
        <v>#DIV/0!</v>
      </c>
      <c r="AU536" s="16" t="e">
        <f>(G536-AM536)/G536</f>
        <v>#DIV/0!</v>
      </c>
      <c r="AV536" s="57" t="str">
        <f>IF(AND(ISNUMBER(E536),ISNUMBER(W536)),E536-W536,"")</f>
        <v/>
      </c>
      <c r="AW536" s="57" t="str">
        <f>IF(AND(ISNUMBER(I536),ISNUMBER(AF536)),I536-AF536,"")</f>
        <v/>
      </c>
      <c r="AX536" s="57" t="str">
        <f>IF(AND(ISNUMBER(AM536),ISNUMBER(G536)),G536-AM536,"")</f>
        <v/>
      </c>
      <c r="AY536" s="57" t="str">
        <f>IF(AND(ISNUMBER(AC536),ISNUMBER(AE536)),AC536-AE536,"")</f>
        <v/>
      </c>
      <c r="AZ536" s="57" t="str">
        <f t="shared" si="36"/>
        <v/>
      </c>
      <c r="BE536" s="6" t="e">
        <f>IF((AD536-AF536)/(AJ536/60)&lt;=0,"",(AD536-AF536)/(AJ536/60))</f>
        <v>#DIV/0!</v>
      </c>
      <c r="BF536" s="6" t="e">
        <f>IF(OR(AJ536=0,AP536=0,NOT(ISNUMBER(AD536)),NOT(ISNUMBER(AF536)),NOT(ISNUMBER(AJ536)),NOT(ISNUMBER(AP536))),"",
IFERROR(IF((AD536-AF536)/(AJ536/60)/(AP536/1000)&lt;=0,"",(AD536-AF536)/(AJ536/60)/(AP536/1000)),""))</f>
        <v>#DIV/0!</v>
      </c>
    </row>
    <row r="537" spans="1:58" ht="15.75">
      <c r="B537" s="72">
        <v>45797</v>
      </c>
      <c r="C537" s="1">
        <v>293</v>
      </c>
      <c r="D537" s="3">
        <v>532</v>
      </c>
      <c r="E537" s="205" t="str">
        <f t="shared" si="37"/>
        <v/>
      </c>
      <c r="I537" s="15">
        <f>AD537</f>
        <v>0</v>
      </c>
      <c r="K537" s="10" t="str">
        <f t="shared" si="33"/>
        <v/>
      </c>
      <c r="L537" s="9" t="str">
        <f t="shared" si="34"/>
        <v/>
      </c>
      <c r="M537" s="8" t="str">
        <f t="shared" si="35"/>
        <v/>
      </c>
      <c r="AB537" s="5">
        <v>80</v>
      </c>
      <c r="AK537" s="3">
        <f>180+60</f>
        <v>240</v>
      </c>
      <c r="AN537" s="3">
        <v>40</v>
      </c>
      <c r="AP537" s="13" t="e">
        <f>AVERAGE(AO535:AO541)</f>
        <v>#DIV/0!</v>
      </c>
      <c r="AR537" s="17" t="e">
        <f>(E537-W537)/E537</f>
        <v>#VALUE!</v>
      </c>
      <c r="AS537" s="16" t="e">
        <f>(I537-AF537)/I537</f>
        <v>#DIV/0!</v>
      </c>
      <c r="AT537" s="16" t="e">
        <f>AG537/(AD537-AF537)</f>
        <v>#DIV/0!</v>
      </c>
      <c r="AU537" s="16" t="e">
        <f>(G537-AM537)/G537</f>
        <v>#DIV/0!</v>
      </c>
      <c r="AV537" s="57" t="str">
        <f>IF(AND(ISNUMBER(E537),ISNUMBER(W537)),E537-W537,"")</f>
        <v/>
      </c>
      <c r="AW537" s="57" t="str">
        <f>IF(AND(ISNUMBER(I537),ISNUMBER(AF537)),I537-AF537,"")</f>
        <v/>
      </c>
      <c r="AX537" s="57" t="str">
        <f>IF(AND(ISNUMBER(AM537),ISNUMBER(G537)),G537-AM537,"")</f>
        <v/>
      </c>
      <c r="AY537" s="57" t="str">
        <f>IF(AND(ISNUMBER(AC537),ISNUMBER(AE537)),AC537-AE537,"")</f>
        <v/>
      </c>
      <c r="AZ537" s="57" t="str">
        <f t="shared" si="36"/>
        <v/>
      </c>
      <c r="BE537" s="6" t="e">
        <f>IF((AD537-AF537)/(AJ537/60)&lt;=0,"",(AD537-AF537)/(AJ537/60))</f>
        <v>#DIV/0!</v>
      </c>
      <c r="BF537" s="6" t="e">
        <f>IF(OR(AJ537=0,AP537=0,NOT(ISNUMBER(AD537)),NOT(ISNUMBER(AF537)),NOT(ISNUMBER(AJ537)),NOT(ISNUMBER(AP537))),"",
IFERROR(IF((AD537-AF537)/(AJ537/60)/(AP537/1000)&lt;=0,"",(AD537-AF537)/(AJ537/60)/(AP537/1000)),""))</f>
        <v>#DIV/0!</v>
      </c>
    </row>
    <row r="538" spans="1:58" ht="15.75">
      <c r="B538" s="11">
        <v>45798</v>
      </c>
      <c r="C538" s="1">
        <v>294</v>
      </c>
      <c r="D538" s="3">
        <v>533</v>
      </c>
      <c r="E538" s="205" t="str">
        <f t="shared" si="37"/>
        <v/>
      </c>
      <c r="I538" s="15">
        <f>AD538</f>
        <v>0</v>
      </c>
      <c r="K538" s="10" t="str">
        <f t="shared" si="33"/>
        <v/>
      </c>
      <c r="L538" s="9" t="str">
        <f t="shared" si="34"/>
        <v/>
      </c>
      <c r="M538" s="8" t="str">
        <f t="shared" si="35"/>
        <v/>
      </c>
      <c r="AB538" s="5">
        <v>80</v>
      </c>
      <c r="AK538" s="3">
        <f>180+60</f>
        <v>240</v>
      </c>
      <c r="AN538" s="3">
        <v>40</v>
      </c>
      <c r="AP538" s="13" t="e">
        <f>AVERAGE(AO536:AO542)</f>
        <v>#DIV/0!</v>
      </c>
      <c r="AR538" s="17" t="e">
        <f>(E538-W538)/E538</f>
        <v>#VALUE!</v>
      </c>
      <c r="AS538" s="16" t="e">
        <f>(I538-AF538)/I538</f>
        <v>#DIV/0!</v>
      </c>
      <c r="AT538" s="16" t="e">
        <f>AG538/(AD538-AF538)</f>
        <v>#DIV/0!</v>
      </c>
      <c r="AU538" s="16" t="e">
        <f>(G538-AM538)/G538</f>
        <v>#DIV/0!</v>
      </c>
      <c r="AV538" s="57" t="str">
        <f>IF(AND(ISNUMBER(E538),ISNUMBER(W538)),E538-W538,"")</f>
        <v/>
      </c>
      <c r="AW538" s="57" t="str">
        <f>IF(AND(ISNUMBER(I538),ISNUMBER(AF538)),I538-AF538,"")</f>
        <v/>
      </c>
      <c r="AX538" s="57" t="str">
        <f>IF(AND(ISNUMBER(AM538),ISNUMBER(G538)),G538-AM538,"")</f>
        <v/>
      </c>
      <c r="AY538" s="57" t="str">
        <f>IF(AND(ISNUMBER(AC538),ISNUMBER(AE538)),AC538-AE538,"")</f>
        <v/>
      </c>
      <c r="AZ538" s="57" t="str">
        <f t="shared" si="36"/>
        <v/>
      </c>
      <c r="BE538" s="6" t="e">
        <f>IF((AD538-AF538)/(AJ538/60)&lt;=0,"",(AD538-AF538)/(AJ538/60))</f>
        <v>#DIV/0!</v>
      </c>
      <c r="BF538" s="6" t="e">
        <f>IF(OR(AJ538=0,AP538=0,NOT(ISNUMBER(AD538)),NOT(ISNUMBER(AF538)),NOT(ISNUMBER(AJ538)),NOT(ISNUMBER(AP538))),"",
IFERROR(IF((AD538-AF538)/(AJ538/60)/(AP538/1000)&lt;=0,"",(AD538-AF538)/(AJ538/60)/(AP538/1000)),""))</f>
        <v>#DIV/0!</v>
      </c>
    </row>
    <row r="539" spans="1:58" ht="15.75">
      <c r="B539" s="11">
        <v>45799</v>
      </c>
      <c r="C539" s="1">
        <v>295</v>
      </c>
      <c r="D539" s="3">
        <v>534</v>
      </c>
      <c r="E539" s="205">
        <f t="shared" si="37"/>
        <v>244.36815999999999</v>
      </c>
      <c r="G539" s="15">
        <f>(N539*18-H539*18)/9</f>
        <v>-8.52</v>
      </c>
      <c r="H539" s="15">
        <f>5*0.852</f>
        <v>4.26</v>
      </c>
      <c r="I539" s="15">
        <f>AD539</f>
        <v>0</v>
      </c>
      <c r="K539" s="10">
        <f t="shared" si="33"/>
        <v>-28.681708920187795</v>
      </c>
      <c r="L539" s="9" t="str">
        <f t="shared" si="34"/>
        <v/>
      </c>
      <c r="M539" s="8" t="str">
        <f t="shared" si="35"/>
        <v/>
      </c>
      <c r="O539" s="6">
        <v>65.36</v>
      </c>
      <c r="P539" s="6">
        <v>34.64</v>
      </c>
      <c r="Q539" s="6">
        <f>O539*1.067</f>
        <v>69.73912</v>
      </c>
      <c r="R539" s="6">
        <f>P539*1.514</f>
        <v>52.444960000000002</v>
      </c>
      <c r="S539" s="23">
        <f>P539*1.514+O539*1.067</f>
        <v>122.18407999999999</v>
      </c>
      <c r="T539" s="6">
        <v>35.6</v>
      </c>
      <c r="U539" s="59">
        <f>0*1.067</f>
        <v>0</v>
      </c>
      <c r="V539" s="59">
        <f>0*1.514</f>
        <v>0</v>
      </c>
      <c r="W539" s="23">
        <f>U539*1.067+V539*1.514</f>
        <v>0</v>
      </c>
      <c r="AB539" s="5">
        <v>80</v>
      </c>
      <c r="AK539" s="3">
        <f>180+60</f>
        <v>240</v>
      </c>
      <c r="AN539" s="3">
        <v>40</v>
      </c>
      <c r="AP539" s="13" t="e">
        <f>AVERAGE(AO537:AO543)</f>
        <v>#DIV/0!</v>
      </c>
      <c r="AR539" s="17">
        <f>(E539-W539)/E539</f>
        <v>1</v>
      </c>
      <c r="AS539" s="16" t="e">
        <f>(I539-AF539)/I539</f>
        <v>#DIV/0!</v>
      </c>
      <c r="AT539" s="16" t="e">
        <f>AG539/(AD539-AF539)</f>
        <v>#DIV/0!</v>
      </c>
      <c r="AU539" s="16">
        <f>(G539-AM539)/G539</f>
        <v>1</v>
      </c>
      <c r="AV539" s="57">
        <f>IF(AND(ISNUMBER(E539),ISNUMBER(W539)),E539-W539,"")</f>
        <v>244.36815999999999</v>
      </c>
      <c r="AW539" s="57" t="str">
        <f>IF(AND(ISNUMBER(I539),ISNUMBER(AF539)),I539-AF539,"")</f>
        <v/>
      </c>
      <c r="AX539" s="57" t="str">
        <f>IF(AND(ISNUMBER(AM539),ISNUMBER(G539)),G539-AM539,"")</f>
        <v/>
      </c>
      <c r="AY539" s="57" t="str">
        <f>IF(AND(ISNUMBER(AC539),ISNUMBER(AE539)),AC539-AE539,"")</f>
        <v/>
      </c>
      <c r="AZ539" s="57" t="str">
        <f t="shared" si="36"/>
        <v/>
      </c>
      <c r="BE539" s="6" t="e">
        <f>IF((AD539-AF539)/(AJ539/60)&lt;=0,"",(AD539-AF539)/(AJ539/60))</f>
        <v>#DIV/0!</v>
      </c>
      <c r="BF539" s="6" t="e">
        <f>IF(OR(AJ539=0,AP539=0,NOT(ISNUMBER(AD539)),NOT(ISNUMBER(AF539)),NOT(ISNUMBER(AJ539)),NOT(ISNUMBER(AP539))),"",
IFERROR(IF((AD539-AF539)/(AJ539/60)/(AP539/1000)&lt;=0,"",(AD539-AF539)/(AJ539/60)/(AP539/1000)),""))</f>
        <v>#DIV/0!</v>
      </c>
    </row>
    <row r="540" spans="1:58" ht="15.75">
      <c r="B540" s="11">
        <v>45800</v>
      </c>
      <c r="C540" s="1">
        <v>296</v>
      </c>
      <c r="D540" s="3">
        <v>535</v>
      </c>
      <c r="E540" s="205" t="str">
        <f t="shared" si="37"/>
        <v/>
      </c>
      <c r="I540" s="15">
        <f>AD540</f>
        <v>0</v>
      </c>
      <c r="K540" s="10" t="str">
        <f t="shared" si="33"/>
        <v/>
      </c>
      <c r="L540" s="9" t="str">
        <f t="shared" si="34"/>
        <v/>
      </c>
      <c r="M540" s="8" t="str">
        <f t="shared" si="35"/>
        <v/>
      </c>
      <c r="AB540" s="5">
        <v>80</v>
      </c>
      <c r="AK540" s="3">
        <f>180+60</f>
        <v>240</v>
      </c>
      <c r="AN540" s="3">
        <v>40</v>
      </c>
      <c r="AP540" s="13" t="e">
        <f>AVERAGE(AO538:AO544)</f>
        <v>#DIV/0!</v>
      </c>
      <c r="AR540" s="17" t="e">
        <f>(E540-W540)/E540</f>
        <v>#VALUE!</v>
      </c>
      <c r="AS540" s="16" t="e">
        <f>(I540-AF540)/I540</f>
        <v>#DIV/0!</v>
      </c>
      <c r="AT540" s="16" t="e">
        <f>AG540/(AD540-AF540)</f>
        <v>#DIV/0!</v>
      </c>
      <c r="AU540" s="16" t="e">
        <f>(G540-AM540)/G540</f>
        <v>#DIV/0!</v>
      </c>
      <c r="AV540" s="57" t="str">
        <f>IF(AND(ISNUMBER(E540),ISNUMBER(W540)),E540-W540,"")</f>
        <v/>
      </c>
      <c r="AW540" s="57" t="str">
        <f>IF(AND(ISNUMBER(I540),ISNUMBER(AF540)),I540-AF540,"")</f>
        <v/>
      </c>
      <c r="AX540" s="57" t="str">
        <f>IF(AND(ISNUMBER(AM540),ISNUMBER(G540)),G540-AM540,"")</f>
        <v/>
      </c>
      <c r="AY540" s="57" t="str">
        <f>IF(AND(ISNUMBER(AC540),ISNUMBER(AE540)),AC540-AE540,"")</f>
        <v/>
      </c>
      <c r="AZ540" s="57" t="str">
        <f t="shared" si="36"/>
        <v/>
      </c>
      <c r="BE540" s="6" t="e">
        <f>IF((AD540-AF540)/(AJ540/60)&lt;=0,"",(AD540-AF540)/(AJ540/60))</f>
        <v>#DIV/0!</v>
      </c>
      <c r="BF540" s="6" t="e">
        <f>IF(OR(AJ540=0,AP540=0,NOT(ISNUMBER(AD540)),NOT(ISNUMBER(AF540)),NOT(ISNUMBER(AJ540)),NOT(ISNUMBER(AP540))),"",
IFERROR(IF((AD540-AF540)/(AJ540/60)/(AP540/1000)&lt;=0,"",(AD540-AF540)/(AJ540/60)/(AP540/1000)),""))</f>
        <v>#DIV/0!</v>
      </c>
    </row>
    <row r="541" spans="1:58" ht="15.75">
      <c r="B541" s="11">
        <v>45801</v>
      </c>
      <c r="C541" s="1">
        <v>297</v>
      </c>
      <c r="D541" s="3">
        <v>536</v>
      </c>
      <c r="E541" s="205" t="str">
        <f t="shared" si="37"/>
        <v/>
      </c>
      <c r="I541" s="15">
        <f>AD541</f>
        <v>0</v>
      </c>
      <c r="K541" s="10" t="str">
        <f t="shared" si="33"/>
        <v/>
      </c>
      <c r="L541" s="9" t="str">
        <f t="shared" si="34"/>
        <v/>
      </c>
      <c r="M541" s="8" t="str">
        <f t="shared" si="35"/>
        <v/>
      </c>
      <c r="AB541" s="5">
        <v>80</v>
      </c>
      <c r="AK541" s="3">
        <f>180+60</f>
        <v>240</v>
      </c>
      <c r="AN541" s="3">
        <v>40</v>
      </c>
      <c r="AP541" s="13" t="e">
        <f>AVERAGE(AO539:AO545)</f>
        <v>#DIV/0!</v>
      </c>
      <c r="AR541" s="17" t="e">
        <f>(E541-W541)/E541</f>
        <v>#VALUE!</v>
      </c>
      <c r="AS541" s="16" t="e">
        <f>(I541-AF541)/I541</f>
        <v>#DIV/0!</v>
      </c>
      <c r="AT541" s="16" t="e">
        <f>AG541/(AD541-AF541)</f>
        <v>#DIV/0!</v>
      </c>
      <c r="AU541" s="16" t="e">
        <f>(G541-AM541)/G541</f>
        <v>#DIV/0!</v>
      </c>
      <c r="AV541" s="57" t="str">
        <f>IF(AND(ISNUMBER(E541),ISNUMBER(W541)),E541-W541,"")</f>
        <v/>
      </c>
      <c r="AW541" s="57" t="str">
        <f>IF(AND(ISNUMBER(I541),ISNUMBER(AF541)),I541-AF541,"")</f>
        <v/>
      </c>
      <c r="AX541" s="57" t="str">
        <f>IF(AND(ISNUMBER(AM541),ISNUMBER(G541)),G541-AM541,"")</f>
        <v/>
      </c>
      <c r="AY541" s="57" t="str">
        <f>IF(AND(ISNUMBER(AC541),ISNUMBER(AE541)),AC541-AE541,"")</f>
        <v/>
      </c>
      <c r="AZ541" s="57" t="str">
        <f t="shared" si="36"/>
        <v/>
      </c>
      <c r="BE541" s="6" t="e">
        <f>IF((AD541-AF541)/(AJ541/60)&lt;=0,"",(AD541-AF541)/(AJ541/60))</f>
        <v>#DIV/0!</v>
      </c>
      <c r="BF541" s="6" t="e">
        <f>IF(OR(AJ541=0,AP541=0,NOT(ISNUMBER(AD541)),NOT(ISNUMBER(AF541)),NOT(ISNUMBER(AJ541)),NOT(ISNUMBER(AP541))),"",
IFERROR(IF((AD541-AF541)/(AJ541/60)/(AP541/1000)&lt;=0,"",(AD541-AF541)/(AJ541/60)/(AP541/1000)),""))</f>
        <v>#DIV/0!</v>
      </c>
    </row>
    <row r="542" spans="1:58" ht="15.75">
      <c r="B542" s="11">
        <v>45802</v>
      </c>
      <c r="C542" s="1">
        <v>298</v>
      </c>
      <c r="D542" s="3">
        <v>537</v>
      </c>
      <c r="E542" s="205" t="str">
        <f t="shared" si="37"/>
        <v/>
      </c>
      <c r="I542" s="15">
        <f>AD542</f>
        <v>0</v>
      </c>
      <c r="K542" s="10" t="str">
        <f t="shared" si="33"/>
        <v/>
      </c>
      <c r="L542" s="9" t="str">
        <f t="shared" si="34"/>
        <v/>
      </c>
      <c r="M542" s="8" t="str">
        <f t="shared" si="35"/>
        <v/>
      </c>
      <c r="AB542" s="5">
        <v>80</v>
      </c>
      <c r="AK542" s="3">
        <f>180+60</f>
        <v>240</v>
      </c>
      <c r="AN542" s="3">
        <v>40</v>
      </c>
      <c r="AP542" s="13" t="e">
        <f>AVERAGE(AO540:AO546)</f>
        <v>#DIV/0!</v>
      </c>
      <c r="AR542" s="17" t="e">
        <f>(E542-W542)/E542</f>
        <v>#VALUE!</v>
      </c>
      <c r="AS542" s="16" t="e">
        <f>(I542-AF542)/I542</f>
        <v>#DIV/0!</v>
      </c>
      <c r="AT542" s="16" t="e">
        <f>AG542/(AD542-AF542)</f>
        <v>#DIV/0!</v>
      </c>
      <c r="AU542" s="16" t="e">
        <f>(G542-AM542)/G542</f>
        <v>#DIV/0!</v>
      </c>
      <c r="AV542" s="57" t="str">
        <f>IF(AND(ISNUMBER(E542),ISNUMBER(W542)),E542-W542,"")</f>
        <v/>
      </c>
      <c r="AW542" s="57" t="str">
        <f>IF(AND(ISNUMBER(I542),ISNUMBER(AF542)),I542-AF542,"")</f>
        <v/>
      </c>
      <c r="AX542" s="57" t="str">
        <f>IF(AND(ISNUMBER(AM542),ISNUMBER(G542)),G542-AM542,"")</f>
        <v/>
      </c>
      <c r="AY542" s="57" t="str">
        <f>IF(AND(ISNUMBER(AC542),ISNUMBER(AE542)),AC542-AE542,"")</f>
        <v/>
      </c>
      <c r="AZ542" s="57" t="str">
        <f t="shared" si="36"/>
        <v/>
      </c>
      <c r="BE542" s="6" t="e">
        <f>IF((AD542-AF542)/(AJ542/60)&lt;=0,"",(AD542-AF542)/(AJ542/60))</f>
        <v>#DIV/0!</v>
      </c>
      <c r="BF542" s="6" t="e">
        <f>IF(OR(AJ542=0,AP542=0,NOT(ISNUMBER(AD542)),NOT(ISNUMBER(AF542)),NOT(ISNUMBER(AJ542)),NOT(ISNUMBER(AP542))),"",
IFERROR(IF((AD542-AF542)/(AJ542/60)/(AP542/1000)&lt;=0,"",(AD542-AF542)/(AJ542/60)/(AP542/1000)),""))</f>
        <v>#DIV/0!</v>
      </c>
    </row>
    <row r="543" spans="1:58" ht="15.75">
      <c r="B543" s="11">
        <v>45803</v>
      </c>
      <c r="C543" s="1">
        <v>299</v>
      </c>
      <c r="D543" s="3">
        <v>538</v>
      </c>
      <c r="E543" s="205" t="str">
        <f t="shared" si="37"/>
        <v/>
      </c>
      <c r="I543" s="15">
        <f>AD543</f>
        <v>0</v>
      </c>
      <c r="K543" s="10" t="str">
        <f t="shared" si="33"/>
        <v/>
      </c>
      <c r="L543" s="9" t="str">
        <f t="shared" si="34"/>
        <v/>
      </c>
      <c r="M543" s="8" t="str">
        <f t="shared" si="35"/>
        <v/>
      </c>
      <c r="AB543" s="5">
        <v>80</v>
      </c>
      <c r="AK543" s="3">
        <f>180+60</f>
        <v>240</v>
      </c>
      <c r="AN543" s="3">
        <v>40</v>
      </c>
      <c r="AP543" s="13" t="e">
        <f>AVERAGE(AO541:AO547)</f>
        <v>#DIV/0!</v>
      </c>
      <c r="AR543" s="17" t="e">
        <f>(E543-W543)/E543</f>
        <v>#VALUE!</v>
      </c>
      <c r="AS543" s="16" t="e">
        <f>(I543-AF543)/I543</f>
        <v>#DIV/0!</v>
      </c>
      <c r="AT543" s="16" t="e">
        <f>AG543/(AD543-AF543)</f>
        <v>#DIV/0!</v>
      </c>
      <c r="AU543" s="16" t="e">
        <f>(G543-AM543)/G543</f>
        <v>#DIV/0!</v>
      </c>
      <c r="AV543" s="57" t="str">
        <f>IF(AND(ISNUMBER(E543),ISNUMBER(W543)),E543-W543,"")</f>
        <v/>
      </c>
      <c r="AW543" s="57" t="str">
        <f>IF(AND(ISNUMBER(I543),ISNUMBER(AF543)),I543-AF543,"")</f>
        <v/>
      </c>
      <c r="AX543" s="57" t="str">
        <f>IF(AND(ISNUMBER(AM543),ISNUMBER(G543)),G543-AM543,"")</f>
        <v/>
      </c>
      <c r="AY543" s="57" t="str">
        <f>IF(AND(ISNUMBER(AC543),ISNUMBER(AE543)),AC543-AE543,"")</f>
        <v/>
      </c>
      <c r="AZ543" s="57" t="str">
        <f t="shared" si="36"/>
        <v/>
      </c>
      <c r="BE543" s="6" t="e">
        <f>IF((AD543-AF543)/(AJ543/60)&lt;=0,"",(AD543-AF543)/(AJ543/60))</f>
        <v>#DIV/0!</v>
      </c>
      <c r="BF543" s="6" t="e">
        <f>IF(OR(AJ543=0,AP543=0,NOT(ISNUMBER(AD543)),NOT(ISNUMBER(AF543)),NOT(ISNUMBER(AJ543)),NOT(ISNUMBER(AP543))),"",
IFERROR(IF((AD543-AF543)/(AJ543/60)/(AP543/1000)&lt;=0,"",(AD543-AF543)/(AJ543/60)/(AP543/1000)),""))</f>
        <v>#DIV/0!</v>
      </c>
    </row>
    <row r="544" spans="1:58" ht="15.75">
      <c r="B544" s="72">
        <v>45804</v>
      </c>
      <c r="C544" s="1">
        <v>300</v>
      </c>
      <c r="D544" s="3">
        <v>539</v>
      </c>
      <c r="E544" s="205">
        <f t="shared" si="37"/>
        <v>254.486064</v>
      </c>
      <c r="G544" s="15">
        <f>(N544*18-H544*18)/9</f>
        <v>-8.52</v>
      </c>
      <c r="H544" s="15">
        <f>5*0.852</f>
        <v>4.26</v>
      </c>
      <c r="I544" s="15">
        <f>AD544</f>
        <v>0</v>
      </c>
      <c r="K544" s="10">
        <f t="shared" si="33"/>
        <v>-29.869256338028169</v>
      </c>
      <c r="L544" s="9" t="str">
        <f t="shared" si="34"/>
        <v/>
      </c>
      <c r="M544" s="8" t="str">
        <f t="shared" si="35"/>
        <v/>
      </c>
      <c r="O544" s="6">
        <v>80.468000000000004</v>
      </c>
      <c r="P544" s="6">
        <v>27.334</v>
      </c>
      <c r="Q544" s="6">
        <f>O544*1.067</f>
        <v>85.859356000000005</v>
      </c>
      <c r="R544" s="6">
        <f>P544*1.514</f>
        <v>41.383676000000001</v>
      </c>
      <c r="S544" s="23">
        <f>P544*1.514+O544*1.067</f>
        <v>127.243032</v>
      </c>
      <c r="T544" s="6">
        <v>35.6</v>
      </c>
      <c r="U544" s="59">
        <f>0*1.067</f>
        <v>0</v>
      </c>
      <c r="V544" s="59">
        <f>0*1.514</f>
        <v>0</v>
      </c>
      <c r="W544" s="23">
        <f>U544*1.067+V544*1.514</f>
        <v>0</v>
      </c>
      <c r="AB544" s="5">
        <v>80</v>
      </c>
      <c r="AK544" s="3">
        <f>180+60</f>
        <v>240</v>
      </c>
      <c r="AN544" s="3">
        <v>40</v>
      </c>
      <c r="AP544" s="13" t="e">
        <f>AVERAGE(AO542:AO548)</f>
        <v>#DIV/0!</v>
      </c>
      <c r="AR544" s="17">
        <f>(E544-W544)/E544</f>
        <v>1</v>
      </c>
      <c r="AS544" s="16" t="e">
        <f>(I544-AF544)/I544</f>
        <v>#DIV/0!</v>
      </c>
      <c r="AT544" s="16" t="e">
        <f>AG544/(AD544-AF544)</f>
        <v>#DIV/0!</v>
      </c>
      <c r="AU544" s="16">
        <f>(G544-AM544)/G544</f>
        <v>1</v>
      </c>
      <c r="AV544" s="57">
        <f>IF(AND(ISNUMBER(E544),ISNUMBER(W544)),E544-W544,"")</f>
        <v>254.486064</v>
      </c>
      <c r="AW544" s="57" t="str">
        <f>IF(AND(ISNUMBER(I544),ISNUMBER(AF544)),I544-AF544,"")</f>
        <v/>
      </c>
      <c r="AX544" s="57" t="str">
        <f>IF(AND(ISNUMBER(AM544),ISNUMBER(G544)),G544-AM544,"")</f>
        <v/>
      </c>
      <c r="AY544" s="57" t="str">
        <f>IF(AND(ISNUMBER(AC544),ISNUMBER(AE544)),AC544-AE544,"")</f>
        <v/>
      </c>
      <c r="AZ544" s="57" t="str">
        <f t="shared" si="36"/>
        <v/>
      </c>
      <c r="BE544" s="6" t="e">
        <f>IF((AD544-AF544)/(AJ544/60)&lt;=0,"",(AD544-AF544)/(AJ544/60))</f>
        <v>#DIV/0!</v>
      </c>
      <c r="BF544" s="6" t="e">
        <f>IF(OR(AJ544=0,AP544=0,NOT(ISNUMBER(AD544)),NOT(ISNUMBER(AF544)),NOT(ISNUMBER(AJ544)),NOT(ISNUMBER(AP544))),"",
IFERROR(IF((AD544-AF544)/(AJ544/60)/(AP544/1000)&lt;=0,"",(AD544-AF544)/(AJ544/60)/(AP544/1000)),""))</f>
        <v>#DIV/0!</v>
      </c>
    </row>
    <row r="545" spans="1:58" ht="15.75">
      <c r="B545" s="11">
        <v>45805</v>
      </c>
      <c r="C545" s="1">
        <v>301</v>
      </c>
      <c r="D545" s="3">
        <v>540</v>
      </c>
      <c r="E545" s="205" t="str">
        <f t="shared" si="37"/>
        <v/>
      </c>
      <c r="I545" s="15">
        <f>AD545</f>
        <v>0</v>
      </c>
      <c r="K545" s="10" t="str">
        <f t="shared" si="33"/>
        <v/>
      </c>
      <c r="L545" s="9" t="str">
        <f t="shared" si="34"/>
        <v/>
      </c>
      <c r="M545" s="8" t="str">
        <f t="shared" si="35"/>
        <v/>
      </c>
      <c r="AB545" s="5">
        <v>80</v>
      </c>
      <c r="AK545" s="3">
        <f>180+60</f>
        <v>240</v>
      </c>
      <c r="AN545" s="3">
        <v>40</v>
      </c>
      <c r="AP545" s="13" t="e">
        <f>AVERAGE(AO543:AO549)</f>
        <v>#DIV/0!</v>
      </c>
      <c r="AR545" s="17" t="e">
        <f>(E545-W545)/E545</f>
        <v>#VALUE!</v>
      </c>
      <c r="AS545" s="16" t="e">
        <f>(I545-AF545)/I545</f>
        <v>#DIV/0!</v>
      </c>
      <c r="AT545" s="16" t="e">
        <f>AG545/(AD545-AF545)</f>
        <v>#DIV/0!</v>
      </c>
      <c r="AU545" s="16" t="e">
        <f>(G545-AM545)/G545</f>
        <v>#DIV/0!</v>
      </c>
      <c r="AV545" s="57" t="str">
        <f>IF(AND(ISNUMBER(E545),ISNUMBER(W545)),E545-W545,"")</f>
        <v/>
      </c>
      <c r="AW545" s="57" t="str">
        <f>IF(AND(ISNUMBER(I545),ISNUMBER(AF545)),I545-AF545,"")</f>
        <v/>
      </c>
      <c r="AX545" s="57" t="str">
        <f>IF(AND(ISNUMBER(AM545),ISNUMBER(G545)),G545-AM545,"")</f>
        <v/>
      </c>
      <c r="AY545" s="57" t="str">
        <f>IF(AND(ISNUMBER(AC545),ISNUMBER(AE545)),AC545-AE545,"")</f>
        <v/>
      </c>
      <c r="AZ545" s="57" t="str">
        <f t="shared" si="36"/>
        <v/>
      </c>
      <c r="BE545" s="6" t="e">
        <f>IF((AD545-AF545)/(AJ545/60)&lt;=0,"",(AD545-AF545)/(AJ545/60))</f>
        <v>#DIV/0!</v>
      </c>
      <c r="BF545" s="6" t="e">
        <f>IF(OR(AJ545=0,AP545=0,NOT(ISNUMBER(AD545)),NOT(ISNUMBER(AF545)),NOT(ISNUMBER(AJ545)),NOT(ISNUMBER(AP545))),"",
IFERROR(IF((AD545-AF545)/(AJ545/60)/(AP545/1000)&lt;=0,"",(AD545-AF545)/(AJ545/60)/(AP545/1000)),""))</f>
        <v>#DIV/0!</v>
      </c>
    </row>
    <row r="546" spans="1:58" ht="15.75">
      <c r="B546" s="11">
        <v>45806</v>
      </c>
      <c r="C546" s="1">
        <v>302</v>
      </c>
      <c r="D546" s="3">
        <v>541</v>
      </c>
      <c r="E546" s="205">
        <f t="shared" si="37"/>
        <v>259.40481</v>
      </c>
      <c r="G546" s="15">
        <f>(N546*18-H546*18)/9</f>
        <v>-8.52</v>
      </c>
      <c r="H546" s="15">
        <f>5*0.852</f>
        <v>4.26</v>
      </c>
      <c r="I546" s="15">
        <f>AD546</f>
        <v>0</v>
      </c>
      <c r="K546" s="10">
        <f t="shared" si="33"/>
        <v>-30.446573943661974</v>
      </c>
      <c r="L546" s="9" t="str">
        <f t="shared" si="34"/>
        <v/>
      </c>
      <c r="M546" s="8" t="str">
        <f t="shared" si="35"/>
        <v/>
      </c>
      <c r="O546" s="6">
        <v>83.227000000000004</v>
      </c>
      <c r="P546" s="6">
        <v>27.013999999999999</v>
      </c>
      <c r="Q546" s="6">
        <f>O546*1.067</f>
        <v>88.803208999999995</v>
      </c>
      <c r="R546" s="6">
        <f>P546*1.514</f>
        <v>40.899195999999996</v>
      </c>
      <c r="S546" s="23">
        <f>P546*1.514+O546*1.067</f>
        <v>129.702405</v>
      </c>
      <c r="T546" s="6">
        <v>35.6</v>
      </c>
      <c r="U546" s="59">
        <f>0*1.067</f>
        <v>0</v>
      </c>
      <c r="V546" s="59">
        <f>0*1.514</f>
        <v>0</v>
      </c>
      <c r="W546" s="23">
        <f>U546*1.067+V546*1.514</f>
        <v>0</v>
      </c>
      <c r="AB546" s="5">
        <v>80</v>
      </c>
      <c r="AK546" s="3">
        <f>180+60</f>
        <v>240</v>
      </c>
      <c r="AN546" s="3">
        <v>40</v>
      </c>
      <c r="AP546" s="13" t="e">
        <f>AVERAGE(AO544:AO550)</f>
        <v>#DIV/0!</v>
      </c>
      <c r="AR546" s="17">
        <f>(E546-W546)/E546</f>
        <v>1</v>
      </c>
      <c r="AS546" s="16" t="e">
        <f>(I546-AF546)/I546</f>
        <v>#DIV/0!</v>
      </c>
      <c r="AT546" s="16" t="e">
        <f>AG546/(AD546-AF546)</f>
        <v>#DIV/0!</v>
      </c>
      <c r="AU546" s="16">
        <f>(G546-AM546)/G546</f>
        <v>1</v>
      </c>
      <c r="AV546" s="57">
        <f>IF(AND(ISNUMBER(E546),ISNUMBER(W546)),E546-W546,"")</f>
        <v>259.40481</v>
      </c>
      <c r="AW546" s="57" t="str">
        <f>IF(AND(ISNUMBER(I546),ISNUMBER(AF546)),I546-AF546,"")</f>
        <v/>
      </c>
      <c r="AX546" s="57" t="str">
        <f>IF(AND(ISNUMBER(AM546),ISNUMBER(G546)),G546-AM546,"")</f>
        <v/>
      </c>
      <c r="AY546" s="57" t="str">
        <f>IF(AND(ISNUMBER(AC546),ISNUMBER(AE546)),AC546-AE546,"")</f>
        <v/>
      </c>
      <c r="AZ546" s="57" t="str">
        <f t="shared" si="36"/>
        <v/>
      </c>
      <c r="BE546" s="6" t="e">
        <f>IF((AD546-AF546)/(AJ546/60)&lt;=0,"",(AD546-AF546)/(AJ546/60))</f>
        <v>#DIV/0!</v>
      </c>
      <c r="BF546" s="6" t="e">
        <f>IF(OR(AJ546=0,AP546=0,NOT(ISNUMBER(AD546)),NOT(ISNUMBER(AF546)),NOT(ISNUMBER(AJ546)),NOT(ISNUMBER(AP546))),"",
IFERROR(IF((AD546-AF546)/(AJ546/60)/(AP546/1000)&lt;=0,"",(AD546-AF546)/(AJ546/60)/(AP546/1000)),""))</f>
        <v>#DIV/0!</v>
      </c>
    </row>
    <row r="547" spans="1:58" s="27" customFormat="1" ht="15.75">
      <c r="A547" s="39" t="s">
        <v>46</v>
      </c>
      <c r="B547" s="38">
        <v>45807</v>
      </c>
      <c r="C547" s="1">
        <v>303</v>
      </c>
      <c r="D547" s="29">
        <v>542</v>
      </c>
      <c r="E547" s="205" t="str">
        <f t="shared" si="37"/>
        <v/>
      </c>
      <c r="F547" s="36"/>
      <c r="G547" s="15"/>
      <c r="H547" s="15"/>
      <c r="I547" s="15">
        <f>AD547</f>
        <v>0</v>
      </c>
      <c r="J547" s="35"/>
      <c r="K547" s="10" t="str">
        <f t="shared" si="33"/>
        <v/>
      </c>
      <c r="L547" s="9" t="str">
        <f t="shared" si="34"/>
        <v/>
      </c>
      <c r="M547" s="8" t="str">
        <f t="shared" si="35"/>
        <v/>
      </c>
      <c r="N547" s="34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74">
        <v>80</v>
      </c>
      <c r="AC547" s="32"/>
      <c r="AK547" s="29">
        <f>180+60</f>
        <v>240</v>
      </c>
      <c r="AL547" s="32"/>
      <c r="AN547" s="3">
        <v>40</v>
      </c>
      <c r="AO547" s="28"/>
      <c r="AP547" s="13" t="e">
        <f>AVERAGE(AO545:AO551)</f>
        <v>#DIV/0!</v>
      </c>
      <c r="AQ547" s="28"/>
      <c r="AR547" s="31" t="e">
        <f>(E547-W547)/E547</f>
        <v>#VALUE!</v>
      </c>
      <c r="AS547" s="30" t="e">
        <f>(I547-AF547)/I547</f>
        <v>#DIV/0!</v>
      </c>
      <c r="AT547" s="30" t="e">
        <f>AG547/(AD547-AF547)</f>
        <v>#DIV/0!</v>
      </c>
      <c r="AU547" s="30" t="e">
        <f>(G547-AM547)/G547</f>
        <v>#DIV/0!</v>
      </c>
      <c r="AV547" s="57" t="str">
        <f>IF(AND(ISNUMBER(E547),ISNUMBER(W547)),E547-W547,"")</f>
        <v/>
      </c>
      <c r="AW547" s="57" t="str">
        <f>IF(AND(ISNUMBER(I547),ISNUMBER(AF547)),I547-AF547,"")</f>
        <v/>
      </c>
      <c r="AX547" s="57" t="str">
        <f>IF(AND(ISNUMBER(AM547),ISNUMBER(G547)),G547-AM547,"")</f>
        <v/>
      </c>
      <c r="AY547" s="57" t="str">
        <f>IF(AND(ISNUMBER(AC547),ISNUMBER(AE547)),AC547-AE547,"")</f>
        <v/>
      </c>
      <c r="AZ547" s="57" t="str">
        <f t="shared" si="36"/>
        <v/>
      </c>
      <c r="BE547" s="6" t="e">
        <f>IF((AD547-AF547)/(AJ547/60)&lt;=0,"",(AD547-AF547)/(AJ547/60))</f>
        <v>#DIV/0!</v>
      </c>
      <c r="BF547" s="6" t="e">
        <f>IF(OR(AJ547=0,AP547=0,NOT(ISNUMBER(AD547)),NOT(ISNUMBER(AF547)),NOT(ISNUMBER(AJ547)),NOT(ISNUMBER(AP547))),"",
IFERROR(IF((AD547-AF547)/(AJ547/60)/(AP547/1000)&lt;=0,"",(AD547-AF547)/(AJ547/60)/(AP547/1000)),""))</f>
        <v>#DIV/0!</v>
      </c>
    </row>
    <row r="548" spans="1:58" ht="15.75">
      <c r="B548" s="11">
        <v>45808</v>
      </c>
      <c r="C548" s="1">
        <v>304</v>
      </c>
      <c r="D548" s="3">
        <v>543</v>
      </c>
      <c r="E548" s="205" t="str">
        <f t="shared" si="37"/>
        <v/>
      </c>
      <c r="I548" s="15">
        <f>AD548</f>
        <v>0</v>
      </c>
      <c r="K548" s="10" t="str">
        <f t="shared" si="33"/>
        <v/>
      </c>
      <c r="L548" s="9" t="str">
        <f t="shared" si="34"/>
        <v/>
      </c>
      <c r="M548" s="8" t="str">
        <f t="shared" si="35"/>
        <v/>
      </c>
      <c r="AB548" s="5">
        <v>80</v>
      </c>
      <c r="AK548" s="3">
        <f>180+60</f>
        <v>240</v>
      </c>
      <c r="AN548" s="3">
        <v>40</v>
      </c>
      <c r="AP548" s="13" t="e">
        <f>AVERAGE(AO546:AO552)</f>
        <v>#DIV/0!</v>
      </c>
      <c r="AR548" s="17" t="e">
        <f>(E548-W548)/E548</f>
        <v>#VALUE!</v>
      </c>
      <c r="AS548" s="16" t="e">
        <f>(I548-AF548)/I548</f>
        <v>#DIV/0!</v>
      </c>
      <c r="AT548" s="16" t="e">
        <f>AG548/(AD548-AF548)</f>
        <v>#DIV/0!</v>
      </c>
      <c r="AU548" s="16" t="e">
        <f>(G548-AM548)/G548</f>
        <v>#DIV/0!</v>
      </c>
      <c r="AV548" s="57" t="str">
        <f>IF(AND(ISNUMBER(E548),ISNUMBER(W548)),E548-W548,"")</f>
        <v/>
      </c>
      <c r="AW548" s="57" t="str">
        <f>IF(AND(ISNUMBER(I548),ISNUMBER(AF548)),I548-AF548,"")</f>
        <v/>
      </c>
      <c r="AX548" s="57" t="str">
        <f>IF(AND(ISNUMBER(AM548),ISNUMBER(G548)),G548-AM548,"")</f>
        <v/>
      </c>
      <c r="AY548" s="57" t="str">
        <f>IF(AND(ISNUMBER(AC548),ISNUMBER(AE548)),AC548-AE548,"")</f>
        <v/>
      </c>
      <c r="AZ548" s="57" t="str">
        <f t="shared" si="36"/>
        <v/>
      </c>
      <c r="BE548" s="6" t="e">
        <f>IF((AD548-AF548)/(AJ548/60)&lt;=0,"",(AD548-AF548)/(AJ548/60))</f>
        <v>#DIV/0!</v>
      </c>
      <c r="BF548" s="6" t="e">
        <f>IF(OR(AJ548=0,AP548=0,NOT(ISNUMBER(AD548)),NOT(ISNUMBER(AF548)),NOT(ISNUMBER(AJ548)),NOT(ISNUMBER(AP548))),"",
IFERROR(IF((AD548-AF548)/(AJ548/60)/(AP548/1000)&lt;=0,"",(AD548-AF548)/(AJ548/60)/(AP548/1000)),""))</f>
        <v>#DIV/0!</v>
      </c>
    </row>
    <row r="549" spans="1:58" ht="15.75">
      <c r="A549" s="12" t="s">
        <v>45</v>
      </c>
      <c r="B549" s="11">
        <v>45809</v>
      </c>
      <c r="C549" s="1">
        <v>305</v>
      </c>
      <c r="D549" s="3">
        <v>544</v>
      </c>
      <c r="E549" s="205" t="str">
        <f t="shared" si="37"/>
        <v/>
      </c>
      <c r="I549" s="15">
        <f>AD549</f>
        <v>0</v>
      </c>
      <c r="K549" s="10" t="str">
        <f t="shared" ref="K549:K612" si="38">IF(OR(E549="",G549="",E549=0,G549=0),"",E549/G549)</f>
        <v/>
      </c>
      <c r="L549" s="9" t="str">
        <f t="shared" ref="L549:L612" si="39">IF(OR(E549="",I549="",E549=0,I549=0),"",E549/(I549*2))</f>
        <v/>
      </c>
      <c r="M549" s="8" t="str">
        <f t="shared" ref="M549:M612" si="40">IF(OR(I549="",G549="",I549=0,G549=0),"",I549*2/G549)</f>
        <v/>
      </c>
      <c r="AB549" s="5">
        <v>80</v>
      </c>
      <c r="AK549" s="3">
        <f>180+60</f>
        <v>240</v>
      </c>
      <c r="AN549" s="3">
        <v>40</v>
      </c>
      <c r="AP549" s="13">
        <f>AVERAGE(AO547:AO553)</f>
        <v>2730.0000000000637</v>
      </c>
      <c r="AR549" s="17" t="e">
        <f>(E549-W549)/E549</f>
        <v>#VALUE!</v>
      </c>
      <c r="AS549" s="16" t="e">
        <f>(I549-AF549)/I549</f>
        <v>#DIV/0!</v>
      </c>
      <c r="AT549" s="16" t="e">
        <f>AG549/(AD549-AF549)</f>
        <v>#DIV/0!</v>
      </c>
      <c r="AU549" s="16" t="e">
        <f>(G549-AM549)/G549</f>
        <v>#DIV/0!</v>
      </c>
      <c r="AV549" s="57" t="str">
        <f>IF(AND(ISNUMBER(E549),ISNUMBER(W549)),E549-W549,"")</f>
        <v/>
      </c>
      <c r="AW549" s="57" t="str">
        <f>IF(AND(ISNUMBER(I549),ISNUMBER(AF549)),I549-AF549,"")</f>
        <v/>
      </c>
      <c r="AX549" s="57" t="str">
        <f>IF(AND(ISNUMBER(AM549),ISNUMBER(G549)),G549-AM549,"")</f>
        <v/>
      </c>
      <c r="AY549" s="57" t="str">
        <f>IF(AND(ISNUMBER(AC549),ISNUMBER(AE549)),AC549-AE549,"")</f>
        <v/>
      </c>
      <c r="AZ549" s="57" t="str">
        <f t="shared" si="36"/>
        <v/>
      </c>
      <c r="BE549" s="6" t="e">
        <f>IF((AD549-AF549)/(AJ549/60)&lt;=0,"",(AD549-AF549)/(AJ549/60))</f>
        <v>#DIV/0!</v>
      </c>
      <c r="BF549" s="6" t="str">
        <f>IF(OR(AJ549=0,AP549=0,NOT(ISNUMBER(AD549)),NOT(ISNUMBER(AF549)),NOT(ISNUMBER(AJ549)),NOT(ISNUMBER(AP549))),"",
IFERROR(IF((AD549-AF549)/(AJ549/60)/(AP549/1000)&lt;=0,"",(AD549-AF549)/(AJ549/60)/(AP549/1000)),""))</f>
        <v/>
      </c>
    </row>
    <row r="550" spans="1:58" ht="15.75">
      <c r="A550" s="12" t="s">
        <v>44</v>
      </c>
      <c r="B550" s="11">
        <v>45810</v>
      </c>
      <c r="C550" s="1">
        <v>306</v>
      </c>
      <c r="D550" s="3">
        <v>545</v>
      </c>
      <c r="E550" s="205" t="str">
        <f t="shared" si="37"/>
        <v/>
      </c>
      <c r="I550" s="15">
        <f>AD550</f>
        <v>0</v>
      </c>
      <c r="K550" s="10" t="str">
        <f t="shared" si="38"/>
        <v/>
      </c>
      <c r="L550" s="9" t="str">
        <f t="shared" si="39"/>
        <v/>
      </c>
      <c r="M550" s="8" t="str">
        <f t="shared" si="40"/>
        <v/>
      </c>
      <c r="AB550" s="5">
        <v>80</v>
      </c>
      <c r="AK550" s="3">
        <f>180+60</f>
        <v>240</v>
      </c>
      <c r="AN550" s="3">
        <v>40</v>
      </c>
      <c r="AP550" s="13">
        <f>AVERAGE(AO548:AO554)</f>
        <v>2730.0000000000637</v>
      </c>
      <c r="AR550" s="17" t="e">
        <f>(E550-W550)/E550</f>
        <v>#VALUE!</v>
      </c>
      <c r="AS550" s="16" t="e">
        <f>(I550-AF550)/I550</f>
        <v>#DIV/0!</v>
      </c>
      <c r="AT550" s="16" t="e">
        <f>AG550/(AD550-AF550)</f>
        <v>#DIV/0!</v>
      </c>
      <c r="AU550" s="16" t="e">
        <f>(G550-AM550)/G550</f>
        <v>#DIV/0!</v>
      </c>
      <c r="AV550" s="57" t="str">
        <f>IF(AND(ISNUMBER(E550),ISNUMBER(W550)),E550-W550,"")</f>
        <v/>
      </c>
      <c r="AW550" s="57" t="str">
        <f>IF(AND(ISNUMBER(I550),ISNUMBER(AF550)),I550-AF550,"")</f>
        <v/>
      </c>
      <c r="AX550" s="57" t="str">
        <f>IF(AND(ISNUMBER(AM550),ISNUMBER(G550)),G550-AM550,"")</f>
        <v/>
      </c>
      <c r="AY550" s="57" t="str">
        <f>IF(AND(ISNUMBER(AC550),ISNUMBER(AE550)),AC550-AE550,"")</f>
        <v/>
      </c>
      <c r="AZ550" s="57" t="str">
        <f t="shared" si="36"/>
        <v/>
      </c>
      <c r="BE550" s="6" t="e">
        <f>IF((AD550-AF550)/(AJ550/60)&lt;=0,"",(AD550-AF550)/(AJ550/60))</f>
        <v>#DIV/0!</v>
      </c>
      <c r="BF550" s="6" t="str">
        <f>IF(OR(AJ550=0,AP550=0,NOT(ISNUMBER(AD550)),NOT(ISNUMBER(AF550)),NOT(ISNUMBER(AJ550)),NOT(ISNUMBER(AP550))),"",
IFERROR(IF((AD550-AF550)/(AJ550/60)/(AP550/1000)&lt;=0,"",(AD550-AF550)/(AJ550/60)/(AP550/1000)),""))</f>
        <v/>
      </c>
    </row>
    <row r="551" spans="1:58" ht="15.75">
      <c r="B551" s="11">
        <v>45811</v>
      </c>
      <c r="C551" s="1">
        <v>307</v>
      </c>
      <c r="D551" s="3">
        <v>546</v>
      </c>
      <c r="E551" s="205">
        <f t="shared" si="37"/>
        <v>165.54552199999998</v>
      </c>
      <c r="I551" s="15">
        <f>AD551</f>
        <v>0</v>
      </c>
      <c r="K551" s="10" t="str">
        <f t="shared" si="38"/>
        <v/>
      </c>
      <c r="L551" s="9" t="str">
        <f t="shared" si="39"/>
        <v/>
      </c>
      <c r="M551" s="8" t="str">
        <f t="shared" si="40"/>
        <v/>
      </c>
      <c r="O551" s="6">
        <v>51.280999999999999</v>
      </c>
      <c r="P551" s="6">
        <v>18.530999999999999</v>
      </c>
      <c r="Q551" s="6">
        <f>O551*1.067</f>
        <v>54.716826999999995</v>
      </c>
      <c r="R551" s="6">
        <f>P551*1.514</f>
        <v>28.055933999999997</v>
      </c>
      <c r="S551" s="23">
        <f>P551*1.514+O551*1.067</f>
        <v>82.772760999999988</v>
      </c>
      <c r="U551" s="59">
        <f>0*1.067</f>
        <v>0</v>
      </c>
      <c r="V551" s="59">
        <f>0.46*1.514</f>
        <v>0.69644000000000006</v>
      </c>
      <c r="W551" s="23">
        <f>U551*1.067+V551*1.514</f>
        <v>1.0544101600000002</v>
      </c>
      <c r="AB551" s="5">
        <v>80</v>
      </c>
      <c r="AK551" s="3">
        <f>180+60</f>
        <v>240</v>
      </c>
      <c r="AN551" s="3">
        <v>40</v>
      </c>
      <c r="AP551" s="13">
        <f>AVERAGE(AO549:AO555)</f>
        <v>2730.0000000000637</v>
      </c>
      <c r="AR551" s="17">
        <f>(E551-W551)/E551</f>
        <v>0.99363069355630163</v>
      </c>
      <c r="AS551" s="16" t="e">
        <f>(I551-AF551)/I551</f>
        <v>#DIV/0!</v>
      </c>
      <c r="AT551" s="16" t="e">
        <f>AG551/(AD551-AF551)</f>
        <v>#DIV/0!</v>
      </c>
      <c r="AU551" s="16" t="e">
        <f>(G551-AM551)/G551</f>
        <v>#DIV/0!</v>
      </c>
      <c r="AV551" s="57">
        <f>IF(AND(ISNUMBER(E551),ISNUMBER(W551)),E551-W551,"")</f>
        <v>164.49111183999997</v>
      </c>
      <c r="AW551" s="57" t="str">
        <f>IF(AND(ISNUMBER(I551),ISNUMBER(AF551)),I551-AF551,"")</f>
        <v/>
      </c>
      <c r="AX551" s="57" t="str">
        <f>IF(AND(ISNUMBER(AM551),ISNUMBER(G551)),G551-AM551,"")</f>
        <v/>
      </c>
      <c r="AY551" s="57" t="str">
        <f>IF(AND(ISNUMBER(AC551),ISNUMBER(AE551)),AC551-AE551,"")</f>
        <v/>
      </c>
      <c r="AZ551" s="57" t="str">
        <f t="shared" ref="AZ551:AZ614" si="41">IF(AND(ISNUMBER(AL551),ISNUMBER(AM551)),AL551-AM551,"")</f>
        <v/>
      </c>
      <c r="BE551" s="6" t="e">
        <f>IF((AD551-AF551)/(AJ551/60)&lt;=0,"",(AD551-AF551)/(AJ551/60))</f>
        <v>#DIV/0!</v>
      </c>
      <c r="BF551" s="6" t="str">
        <f>IF(OR(AJ551=0,AP551=0,NOT(ISNUMBER(AD551)),NOT(ISNUMBER(AF551)),NOT(ISNUMBER(AJ551)),NOT(ISNUMBER(AP551))),"",
IFERROR(IF((AD551-AF551)/(AJ551/60)/(AP551/1000)&lt;=0,"",(AD551-AF551)/(AJ551/60)/(AP551/1000)),""))</f>
        <v/>
      </c>
    </row>
    <row r="552" spans="1:58" ht="15.75">
      <c r="B552" s="11">
        <v>45812</v>
      </c>
      <c r="C552" s="1">
        <v>308</v>
      </c>
      <c r="D552" s="3">
        <v>547</v>
      </c>
      <c r="E552" s="205">
        <f t="shared" si="37"/>
        <v>221.45282399999999</v>
      </c>
      <c r="I552" s="15">
        <f>AD552</f>
        <v>0</v>
      </c>
      <c r="K552" s="10" t="str">
        <f t="shared" si="38"/>
        <v/>
      </c>
      <c r="L552" s="9" t="str">
        <f t="shared" si="39"/>
        <v/>
      </c>
      <c r="M552" s="8" t="str">
        <f t="shared" si="40"/>
        <v/>
      </c>
      <c r="O552" s="6">
        <v>70.361999999999995</v>
      </c>
      <c r="P552" s="6">
        <v>23.547000000000001</v>
      </c>
      <c r="Q552" s="6">
        <f>O552*1.067</f>
        <v>75.076253999999992</v>
      </c>
      <c r="R552" s="6">
        <f>P552*1.514</f>
        <v>35.650158000000005</v>
      </c>
      <c r="S552" s="23">
        <f>P552*1.514+O552*1.067</f>
        <v>110.726412</v>
      </c>
      <c r="T552" s="6">
        <v>35.6</v>
      </c>
      <c r="U552" s="59">
        <f>0*1.067</f>
        <v>0</v>
      </c>
      <c r="V552" s="59">
        <f>0*1.514</f>
        <v>0</v>
      </c>
      <c r="W552" s="23">
        <f>U552*1.067+V552*1.514</f>
        <v>0</v>
      </c>
      <c r="AB552" s="5">
        <v>80</v>
      </c>
      <c r="AK552" s="3">
        <f>180+60</f>
        <v>240</v>
      </c>
      <c r="AN552" s="3">
        <v>40</v>
      </c>
      <c r="AP552" s="13">
        <f>AVERAGE(AO550:AO556)</f>
        <v>2730.0000000000637</v>
      </c>
      <c r="AR552" s="17">
        <f>(E552-W552)/E552</f>
        <v>1</v>
      </c>
      <c r="AS552" s="16" t="e">
        <f>(I552-AF552)/I552</f>
        <v>#DIV/0!</v>
      </c>
      <c r="AT552" s="16" t="e">
        <f>AG552/(AD552-AF552)</f>
        <v>#DIV/0!</v>
      </c>
      <c r="AU552" s="16" t="e">
        <f>(G552-AM552)/G552</f>
        <v>#DIV/0!</v>
      </c>
      <c r="AV552" s="57">
        <f>IF(AND(ISNUMBER(E552),ISNUMBER(W552)),E552-W552,"")</f>
        <v>221.45282399999999</v>
      </c>
      <c r="AW552" s="57" t="str">
        <f>IF(AND(ISNUMBER(I552),ISNUMBER(AF552)),I552-AF552,"")</f>
        <v/>
      </c>
      <c r="AX552" s="57" t="str">
        <f>IF(AND(ISNUMBER(AM552),ISNUMBER(G552)),G552-AM552,"")</f>
        <v/>
      </c>
      <c r="AY552" s="57" t="str">
        <f>IF(AND(ISNUMBER(AC552),ISNUMBER(AE552)),AC552-AE552,"")</f>
        <v/>
      </c>
      <c r="AZ552" s="57" t="str">
        <f t="shared" si="41"/>
        <v/>
      </c>
      <c r="BE552" s="6" t="e">
        <f>IF((AD552-AF552)/(AJ552/60)&lt;=0,"",(AD552-AF552)/(AJ552/60))</f>
        <v>#DIV/0!</v>
      </c>
      <c r="BF552" s="6" t="str">
        <f>IF(OR(AJ552=0,AP552=0,NOT(ISNUMBER(AD552)),NOT(ISNUMBER(AF552)),NOT(ISNUMBER(AJ552)),NOT(ISNUMBER(AP552))),"",
IFERROR(IF((AD552-AF552)/(AJ552/60)/(AP552/1000)&lt;=0,"",(AD552-AF552)/(AJ552/60)/(AP552/1000)),""))</f>
        <v/>
      </c>
    </row>
    <row r="553" spans="1:58" ht="15.75">
      <c r="B553" s="72">
        <v>45813</v>
      </c>
      <c r="C553" s="1">
        <v>309</v>
      </c>
      <c r="D553" s="3">
        <v>548</v>
      </c>
      <c r="E553" s="205">
        <f t="shared" si="37"/>
        <v>209.632294</v>
      </c>
      <c r="I553" s="15">
        <f>AD553</f>
        <v>0</v>
      </c>
      <c r="K553" s="10" t="str">
        <f t="shared" si="38"/>
        <v/>
      </c>
      <c r="L553" s="9" t="str">
        <f t="shared" si="39"/>
        <v/>
      </c>
      <c r="M553" s="8" t="str">
        <f t="shared" si="40"/>
        <v/>
      </c>
      <c r="O553" s="6">
        <v>67.156999999999996</v>
      </c>
      <c r="P553" s="6">
        <v>21.902000000000001</v>
      </c>
      <c r="Q553" s="6">
        <f>O553*1.067</f>
        <v>71.656518999999989</v>
      </c>
      <c r="R553" s="6">
        <f>P553*1.514</f>
        <v>33.159628000000005</v>
      </c>
      <c r="S553" s="23">
        <f>P553*1.514+O553*1.067</f>
        <v>104.816147</v>
      </c>
      <c r="T553" s="6">
        <v>35.6</v>
      </c>
      <c r="U553" s="59">
        <f>0.819*1.067</f>
        <v>0.8738729999999999</v>
      </c>
      <c r="V553" s="59">
        <f>0.475*1.514</f>
        <v>0.71914999999999996</v>
      </c>
      <c r="W553" s="23">
        <f>U553*1.067+V553*1.514</f>
        <v>2.0212155909999998</v>
      </c>
      <c r="AB553" s="5">
        <v>80</v>
      </c>
      <c r="AK553" s="3">
        <f>180+60</f>
        <v>240</v>
      </c>
      <c r="AN553" s="3">
        <v>40</v>
      </c>
      <c r="AO553" s="2">
        <v>2730.0000000000637</v>
      </c>
      <c r="AP553" s="13">
        <f>AVERAGE(AO551:AO557)</f>
        <v>2730.0000000000637</v>
      </c>
      <c r="AR553" s="17">
        <f>(E553-W553)/E553</f>
        <v>0.99035828138674098</v>
      </c>
      <c r="AS553" s="16" t="e">
        <f>(I553-AF553)/I553</f>
        <v>#DIV/0!</v>
      </c>
      <c r="AT553" s="16" t="e">
        <f>AG553/(AD553-AF553)</f>
        <v>#DIV/0!</v>
      </c>
      <c r="AU553" s="16" t="e">
        <f>(G553-AM553)/G553</f>
        <v>#DIV/0!</v>
      </c>
      <c r="AV553" s="57">
        <f>IF(AND(ISNUMBER(E553),ISNUMBER(W553)),E553-W553,"")</f>
        <v>207.61107840900002</v>
      </c>
      <c r="AW553" s="57" t="str">
        <f>IF(AND(ISNUMBER(I553),ISNUMBER(AF553)),I553-AF553,"")</f>
        <v/>
      </c>
      <c r="AX553" s="57" t="str">
        <f>IF(AND(ISNUMBER(AM553),ISNUMBER(G553)),G553-AM553,"")</f>
        <v/>
      </c>
      <c r="AY553" s="57" t="str">
        <f>IF(AND(ISNUMBER(AC553),ISNUMBER(AE553)),AC553-AE553,"")</f>
        <v/>
      </c>
      <c r="AZ553" s="57" t="str">
        <f t="shared" si="41"/>
        <v/>
      </c>
      <c r="BE553" s="6" t="e">
        <f>IF((AD553-AF553)/(AJ553/60)&lt;=0,"",(AD553-AF553)/(AJ553/60))</f>
        <v>#DIV/0!</v>
      </c>
      <c r="BF553" s="6" t="str">
        <f>IF(OR(AJ553=0,AP553=0,NOT(ISNUMBER(AD553)),NOT(ISNUMBER(AF553)),NOT(ISNUMBER(AJ553)),NOT(ISNUMBER(AP553))),"",
IFERROR(IF((AD553-AF553)/(AJ553/60)/(AP553/1000)&lt;=0,"",(AD553-AF553)/(AJ553/60)/(AP553/1000)),""))</f>
        <v/>
      </c>
    </row>
    <row r="554" spans="1:58" ht="15.75">
      <c r="B554" s="11">
        <v>45814</v>
      </c>
      <c r="C554" s="1">
        <v>310</v>
      </c>
      <c r="D554" s="3">
        <v>549</v>
      </c>
      <c r="E554" s="205" t="str">
        <f t="shared" si="37"/>
        <v/>
      </c>
      <c r="I554" s="15">
        <f>AD554</f>
        <v>0</v>
      </c>
      <c r="K554" s="10" t="str">
        <f t="shared" si="38"/>
        <v/>
      </c>
      <c r="L554" s="9" t="str">
        <f t="shared" si="39"/>
        <v/>
      </c>
      <c r="M554" s="8" t="str">
        <f t="shared" si="40"/>
        <v/>
      </c>
      <c r="AB554" s="5">
        <v>80</v>
      </c>
      <c r="AK554" s="3">
        <f>180+60</f>
        <v>240</v>
      </c>
      <c r="AN554" s="3">
        <v>40</v>
      </c>
      <c r="AP554" s="13">
        <f>AVERAGE(AO552:AO558)</f>
        <v>2730.0000000000637</v>
      </c>
      <c r="AR554" s="17" t="e">
        <f>(E554-W554)/E554</f>
        <v>#VALUE!</v>
      </c>
      <c r="AS554" s="16" t="e">
        <f>(I554-AF554)/I554</f>
        <v>#DIV/0!</v>
      </c>
      <c r="AT554" s="16" t="e">
        <f>AG554/(AD554-AF554)</f>
        <v>#DIV/0!</v>
      </c>
      <c r="AU554" s="16" t="e">
        <f>(G554-AM554)/G554</f>
        <v>#DIV/0!</v>
      </c>
      <c r="AV554" s="57" t="str">
        <f>IF(AND(ISNUMBER(E554),ISNUMBER(W554)),E554-W554,"")</f>
        <v/>
      </c>
      <c r="AW554" s="57" t="str">
        <f>IF(AND(ISNUMBER(I554),ISNUMBER(AF554)),I554-AF554,"")</f>
        <v/>
      </c>
      <c r="AX554" s="57" t="str">
        <f>IF(AND(ISNUMBER(AM554),ISNUMBER(G554)),G554-AM554,"")</f>
        <v/>
      </c>
      <c r="AY554" s="57" t="str">
        <f>IF(AND(ISNUMBER(AC554),ISNUMBER(AE554)),AC554-AE554,"")</f>
        <v/>
      </c>
      <c r="AZ554" s="57" t="str">
        <f t="shared" si="41"/>
        <v/>
      </c>
      <c r="BE554" s="6" t="e">
        <f>IF((AD554-AF554)/(AJ554/60)&lt;=0,"",(AD554-AF554)/(AJ554/60))</f>
        <v>#DIV/0!</v>
      </c>
      <c r="BF554" s="6" t="str">
        <f>IF(OR(AJ554=0,AP554=0,NOT(ISNUMBER(AD554)),NOT(ISNUMBER(AF554)),NOT(ISNUMBER(AJ554)),NOT(ISNUMBER(AP554))),"",
IFERROR(IF((AD554-AF554)/(AJ554/60)/(AP554/1000)&lt;=0,"",(AD554-AF554)/(AJ554/60)/(AP554/1000)),""))</f>
        <v/>
      </c>
    </row>
    <row r="555" spans="1:58" ht="15.75">
      <c r="B555" s="11">
        <v>45815</v>
      </c>
      <c r="C555" s="1">
        <v>311</v>
      </c>
      <c r="D555" s="3">
        <v>550</v>
      </c>
      <c r="E555" s="205" t="str">
        <f t="shared" si="37"/>
        <v/>
      </c>
      <c r="G555" s="15">
        <f>(N555*18-H555*18)/9</f>
        <v>13.780000000000001</v>
      </c>
      <c r="H555" s="15">
        <f>5*0.432</f>
        <v>2.16</v>
      </c>
      <c r="I555" s="15">
        <f>AD555</f>
        <v>21.8</v>
      </c>
      <c r="K555" s="10" t="str">
        <f t="shared" si="38"/>
        <v/>
      </c>
      <c r="L555" s="9" t="str">
        <f t="shared" si="39"/>
        <v/>
      </c>
      <c r="M555" s="8">
        <f t="shared" si="40"/>
        <v>3.1640058055152394</v>
      </c>
      <c r="N555" s="7">
        <f>5*1.81</f>
        <v>9.0500000000000007</v>
      </c>
      <c r="Q555" s="6">
        <f>O555*1.067</f>
        <v>0</v>
      </c>
      <c r="R555" s="6">
        <f>P555*1.514</f>
        <v>0</v>
      </c>
      <c r="S555" s="23">
        <f>P555*1.514+O555*1.067</f>
        <v>0</v>
      </c>
      <c r="T555" s="6">
        <v>35.6</v>
      </c>
      <c r="U555" s="59">
        <f>1.112*1.067</f>
        <v>1.186504</v>
      </c>
      <c r="V555" s="59">
        <f>0.845*1.514</f>
        <v>1.2793300000000001</v>
      </c>
      <c r="W555" s="23">
        <f>U555*1.067+V555*1.514</f>
        <v>3.202905388</v>
      </c>
      <c r="X555" s="6">
        <v>3.74</v>
      </c>
      <c r="Y555" s="6">
        <v>0.15</v>
      </c>
      <c r="Z555" s="6">
        <v>-17</v>
      </c>
      <c r="AA555" s="6">
        <v>-296</v>
      </c>
      <c r="AB555" s="5">
        <v>80</v>
      </c>
      <c r="AC555" s="7">
        <f>T555</f>
        <v>35.6</v>
      </c>
      <c r="AD555" s="1">
        <f>5*4.36</f>
        <v>21.8</v>
      </c>
      <c r="AE555" s="1">
        <f>5*0.774</f>
        <v>3.87</v>
      </c>
      <c r="AF555" s="1">
        <v>0</v>
      </c>
      <c r="AK555" s="3">
        <f>180+60</f>
        <v>240</v>
      </c>
      <c r="AL555" s="4">
        <f>AE555</f>
        <v>3.87</v>
      </c>
      <c r="AM555" s="1">
        <f>5*0.474</f>
        <v>2.37</v>
      </c>
      <c r="AN555" s="3">
        <v>40</v>
      </c>
      <c r="AP555" s="13">
        <f>AVERAGE(AO553:AO559)</f>
        <v>2730.0000000000637</v>
      </c>
      <c r="AR555" s="17" t="e">
        <f>(E555-W555)/E555</f>
        <v>#VALUE!</v>
      </c>
      <c r="AS555" s="16">
        <f>(I555-AF555)/I555</f>
        <v>1</v>
      </c>
      <c r="AT555" s="16">
        <f>AG555/(AD555-AF555)</f>
        <v>0</v>
      </c>
      <c r="AU555" s="16">
        <f>(G555-AM555)/G555</f>
        <v>0.82801161103047893</v>
      </c>
      <c r="AV555" s="57" t="str">
        <f>IF(AND(ISNUMBER(E555),ISNUMBER(W555)),E555-W555,"")</f>
        <v/>
      </c>
      <c r="AW555" s="57">
        <f>IF(AND(ISNUMBER(I555),ISNUMBER(AF555)),I555-AF555,"")</f>
        <v>21.8</v>
      </c>
      <c r="AX555" s="57">
        <f>IF(AND(ISNUMBER(AM555),ISNUMBER(G555)),G555-AM555,"")</f>
        <v>11.41</v>
      </c>
      <c r="AY555" s="57">
        <f>IF(AND(ISNUMBER(AC555),ISNUMBER(AE555)),AC555-AE555,"")</f>
        <v>31.73</v>
      </c>
      <c r="AZ555" s="57">
        <f t="shared" si="41"/>
        <v>1.5</v>
      </c>
      <c r="BE555" s="6" t="e">
        <f>IF((AD555-AF555)/(AJ555/60)&lt;=0,"",(AD555-AF555)/(AJ555/60))</f>
        <v>#DIV/0!</v>
      </c>
      <c r="BF555" s="6" t="str">
        <f>IF(OR(AJ555=0,AP555=0,NOT(ISNUMBER(AD555)),NOT(ISNUMBER(AF555)),NOT(ISNUMBER(AJ555)),NOT(ISNUMBER(AP555))),"",
IFERROR(IF((AD555-AF555)/(AJ555/60)/(AP555/1000)&lt;=0,"",(AD555-AF555)/(AJ555/60)/(AP555/1000)),""))</f>
        <v/>
      </c>
    </row>
    <row r="556" spans="1:58" ht="15.75">
      <c r="B556" s="11">
        <v>45816</v>
      </c>
      <c r="C556" s="1">
        <v>312</v>
      </c>
      <c r="D556" s="3">
        <v>551</v>
      </c>
      <c r="E556" s="205" t="str">
        <f t="shared" si="37"/>
        <v/>
      </c>
      <c r="I556" s="15">
        <f>AD556</f>
        <v>0</v>
      </c>
      <c r="K556" s="10" t="str">
        <f t="shared" si="38"/>
        <v/>
      </c>
      <c r="L556" s="9" t="str">
        <f t="shared" si="39"/>
        <v/>
      </c>
      <c r="M556" s="8" t="str">
        <f t="shared" si="40"/>
        <v/>
      </c>
      <c r="AB556" s="5">
        <v>80</v>
      </c>
      <c r="AK556" s="3">
        <f>180+60</f>
        <v>240</v>
      </c>
      <c r="AN556" s="3">
        <v>40</v>
      </c>
      <c r="AP556" s="13" t="e">
        <f>AVERAGE(AO554:AO560)</f>
        <v>#DIV/0!</v>
      </c>
      <c r="AR556" s="17" t="e">
        <f>(E556-W556)/E556</f>
        <v>#VALUE!</v>
      </c>
      <c r="AS556" s="16" t="e">
        <f>(I556-AF556)/I556</f>
        <v>#DIV/0!</v>
      </c>
      <c r="AT556" s="16" t="e">
        <f>AG556/(AD556-AF556)</f>
        <v>#DIV/0!</v>
      </c>
      <c r="AU556" s="16" t="e">
        <f>(G556-AM556)/G556</f>
        <v>#DIV/0!</v>
      </c>
      <c r="AV556" s="57" t="str">
        <f>IF(AND(ISNUMBER(E556),ISNUMBER(W556)),E556-W556,"")</f>
        <v/>
      </c>
      <c r="AW556" s="57" t="str">
        <f>IF(AND(ISNUMBER(I556),ISNUMBER(AF556)),I556-AF556,"")</f>
        <v/>
      </c>
      <c r="AX556" s="57" t="str">
        <f>IF(AND(ISNUMBER(AM556),ISNUMBER(G556)),G556-AM556,"")</f>
        <v/>
      </c>
      <c r="AY556" s="57" t="str">
        <f>IF(AND(ISNUMBER(AC556),ISNUMBER(AE556)),AC556-AE556,"")</f>
        <v/>
      </c>
      <c r="AZ556" s="57" t="str">
        <f t="shared" si="41"/>
        <v/>
      </c>
      <c r="BE556" s="6" t="e">
        <f>IF((AD556-AF556)/(AJ556/60)&lt;=0,"",(AD556-AF556)/(AJ556/60))</f>
        <v>#DIV/0!</v>
      </c>
      <c r="BF556" s="6" t="e">
        <f>IF(OR(AJ556=0,AP556=0,NOT(ISNUMBER(AD556)),NOT(ISNUMBER(AF556)),NOT(ISNUMBER(AJ556)),NOT(ISNUMBER(AP556))),"",
IFERROR(IF((AD556-AF556)/(AJ556/60)/(AP556/1000)&lt;=0,"",(AD556-AF556)/(AJ556/60)/(AP556/1000)),""))</f>
        <v>#DIV/0!</v>
      </c>
    </row>
    <row r="557" spans="1:58" ht="15.75">
      <c r="B557" s="11">
        <v>45817</v>
      </c>
      <c r="C557" s="1">
        <v>313</v>
      </c>
      <c r="D557" s="3">
        <v>552</v>
      </c>
      <c r="E557" s="205" t="str">
        <f t="shared" si="37"/>
        <v/>
      </c>
      <c r="I557" s="15">
        <f>AD557</f>
        <v>0</v>
      </c>
      <c r="K557" s="10" t="str">
        <f t="shared" si="38"/>
        <v/>
      </c>
      <c r="L557" s="9" t="str">
        <f t="shared" si="39"/>
        <v/>
      </c>
      <c r="M557" s="8" t="str">
        <f t="shared" si="40"/>
        <v/>
      </c>
      <c r="AB557" s="5">
        <v>80</v>
      </c>
      <c r="AK557" s="3">
        <f>180+60</f>
        <v>240</v>
      </c>
      <c r="AN557" s="3">
        <v>40</v>
      </c>
      <c r="AP557" s="13" t="e">
        <f>AVERAGE(AO555:AO561)</f>
        <v>#DIV/0!</v>
      </c>
      <c r="AR557" s="17" t="e">
        <f>(E557-W557)/E557</f>
        <v>#VALUE!</v>
      </c>
      <c r="AS557" s="16" t="e">
        <f>(I557-AF557)/I557</f>
        <v>#DIV/0!</v>
      </c>
      <c r="AT557" s="16" t="e">
        <f>AG557/(AD557-AF557)</f>
        <v>#DIV/0!</v>
      </c>
      <c r="AU557" s="16" t="e">
        <f>(G557-AM557)/G557</f>
        <v>#DIV/0!</v>
      </c>
      <c r="AV557" s="57" t="str">
        <f>IF(AND(ISNUMBER(E557),ISNUMBER(W557)),E557-W557,"")</f>
        <v/>
      </c>
      <c r="AW557" s="57" t="str">
        <f>IF(AND(ISNUMBER(I557),ISNUMBER(AF557)),I557-AF557,"")</f>
        <v/>
      </c>
      <c r="AX557" s="57" t="str">
        <f>IF(AND(ISNUMBER(AM557),ISNUMBER(G557)),G557-AM557,"")</f>
        <v/>
      </c>
      <c r="AY557" s="57" t="str">
        <f>IF(AND(ISNUMBER(AC557),ISNUMBER(AE557)),AC557-AE557,"")</f>
        <v/>
      </c>
      <c r="AZ557" s="57" t="str">
        <f t="shared" si="41"/>
        <v/>
      </c>
      <c r="BE557" s="6" t="e">
        <f>IF((AD557-AF557)/(AJ557/60)&lt;=0,"",(AD557-AF557)/(AJ557/60))</f>
        <v>#DIV/0!</v>
      </c>
      <c r="BF557" s="6" t="e">
        <f>IF(OR(AJ557=0,AP557=0,NOT(ISNUMBER(AD557)),NOT(ISNUMBER(AF557)),NOT(ISNUMBER(AJ557)),NOT(ISNUMBER(AP557))),"",
IFERROR(IF((AD557-AF557)/(AJ557/60)/(AP557/1000)&lt;=0,"",(AD557-AF557)/(AJ557/60)/(AP557/1000)),""))</f>
        <v>#DIV/0!</v>
      </c>
    </row>
    <row r="558" spans="1:58" ht="15.75">
      <c r="B558" s="11">
        <v>45818</v>
      </c>
      <c r="C558" s="1">
        <v>314</v>
      </c>
      <c r="D558" s="3">
        <v>553</v>
      </c>
      <c r="E558" s="205" t="str">
        <f t="shared" si="37"/>
        <v/>
      </c>
      <c r="I558" s="15">
        <f>AD558</f>
        <v>0</v>
      </c>
      <c r="K558" s="10" t="str">
        <f t="shared" si="38"/>
        <v/>
      </c>
      <c r="L558" s="9" t="str">
        <f t="shared" si="39"/>
        <v/>
      </c>
      <c r="M558" s="8" t="str">
        <f t="shared" si="40"/>
        <v/>
      </c>
      <c r="AB558" s="5">
        <v>80</v>
      </c>
      <c r="AK558" s="3">
        <f>180+60</f>
        <v>240</v>
      </c>
      <c r="AN558" s="3">
        <v>40</v>
      </c>
      <c r="AP558" s="13" t="e">
        <f>AVERAGE(AO556:AO562)</f>
        <v>#DIV/0!</v>
      </c>
      <c r="AR558" s="17" t="e">
        <f>(E558-W558)/E558</f>
        <v>#VALUE!</v>
      </c>
      <c r="AS558" s="16" t="e">
        <f>(I558-AF558)/I558</f>
        <v>#DIV/0!</v>
      </c>
      <c r="AT558" s="16" t="e">
        <f>AG558/(AD558-AF558)</f>
        <v>#DIV/0!</v>
      </c>
      <c r="AU558" s="16" t="e">
        <f>(G558-AM558)/G558</f>
        <v>#DIV/0!</v>
      </c>
      <c r="AV558" s="57" t="str">
        <f>IF(AND(ISNUMBER(E558),ISNUMBER(W558)),E558-W558,"")</f>
        <v/>
      </c>
      <c r="AW558" s="57" t="str">
        <f>IF(AND(ISNUMBER(I558),ISNUMBER(AF558)),I558-AF558,"")</f>
        <v/>
      </c>
      <c r="AX558" s="57" t="str">
        <f>IF(AND(ISNUMBER(AM558),ISNUMBER(G558)),G558-AM558,"")</f>
        <v/>
      </c>
      <c r="AY558" s="57" t="str">
        <f>IF(AND(ISNUMBER(AC558),ISNUMBER(AE558)),AC558-AE558,"")</f>
        <v/>
      </c>
      <c r="AZ558" s="57" t="str">
        <f t="shared" si="41"/>
        <v/>
      </c>
      <c r="BE558" s="6" t="e">
        <f>IF((AD558-AF558)/(AJ558/60)&lt;=0,"",(AD558-AF558)/(AJ558/60))</f>
        <v>#DIV/0!</v>
      </c>
      <c r="BF558" s="6" t="e">
        <f>IF(OR(AJ558=0,AP558=0,NOT(ISNUMBER(AD558)),NOT(ISNUMBER(AF558)),NOT(ISNUMBER(AJ558)),NOT(ISNUMBER(AP558))),"",
IFERROR(IF((AD558-AF558)/(AJ558/60)/(AP558/1000)&lt;=0,"",(AD558-AF558)/(AJ558/60)/(AP558/1000)),""))</f>
        <v>#DIV/0!</v>
      </c>
    </row>
    <row r="559" spans="1:58" ht="15.75">
      <c r="B559" s="11">
        <v>45819</v>
      </c>
      <c r="C559" s="1">
        <v>315</v>
      </c>
      <c r="D559" s="3">
        <v>554</v>
      </c>
      <c r="E559" s="205" t="str">
        <f t="shared" si="37"/>
        <v/>
      </c>
      <c r="I559" s="15">
        <f>AD559</f>
        <v>0</v>
      </c>
      <c r="K559" s="10" t="str">
        <f t="shared" si="38"/>
        <v/>
      </c>
      <c r="L559" s="9" t="str">
        <f t="shared" si="39"/>
        <v/>
      </c>
      <c r="M559" s="8" t="str">
        <f t="shared" si="40"/>
        <v/>
      </c>
      <c r="AB559" s="5">
        <v>80</v>
      </c>
      <c r="AK559" s="3">
        <f>180+60</f>
        <v>240</v>
      </c>
      <c r="AN559" s="3">
        <v>40</v>
      </c>
      <c r="AP559" s="13" t="e">
        <f>AVERAGE(AO557:AO563)</f>
        <v>#DIV/0!</v>
      </c>
      <c r="AR559" s="17" t="e">
        <f>(E559-W559)/E559</f>
        <v>#VALUE!</v>
      </c>
      <c r="AS559" s="16" t="e">
        <f>(I559-AF559)/I559</f>
        <v>#DIV/0!</v>
      </c>
      <c r="AT559" s="16" t="e">
        <f>AG559/(AD559-AF559)</f>
        <v>#DIV/0!</v>
      </c>
      <c r="AU559" s="16" t="e">
        <f>(G559-AM559)/G559</f>
        <v>#DIV/0!</v>
      </c>
      <c r="AV559" s="57" t="str">
        <f>IF(AND(ISNUMBER(E559),ISNUMBER(W559)),E559-W559,"")</f>
        <v/>
      </c>
      <c r="AW559" s="57" t="str">
        <f>IF(AND(ISNUMBER(I559),ISNUMBER(AF559)),I559-AF559,"")</f>
        <v/>
      </c>
      <c r="AX559" s="57" t="str">
        <f>IF(AND(ISNUMBER(AM559),ISNUMBER(G559)),G559-AM559,"")</f>
        <v/>
      </c>
      <c r="AY559" s="57" t="str">
        <f>IF(AND(ISNUMBER(AC559),ISNUMBER(AE559)),AC559-AE559,"")</f>
        <v/>
      </c>
      <c r="AZ559" s="57" t="str">
        <f t="shared" si="41"/>
        <v/>
      </c>
      <c r="BE559" s="6" t="e">
        <f>IF((AD559-AF559)/(AJ559/60)&lt;=0,"",(AD559-AF559)/(AJ559/60))</f>
        <v>#DIV/0!</v>
      </c>
      <c r="BF559" s="6" t="e">
        <f>IF(OR(AJ559=0,AP559=0,NOT(ISNUMBER(AD559)),NOT(ISNUMBER(AF559)),NOT(ISNUMBER(AJ559)),NOT(ISNUMBER(AP559))),"",
IFERROR(IF((AD559-AF559)/(AJ559/60)/(AP559/1000)&lt;=0,"",(AD559-AF559)/(AJ559/60)/(AP559/1000)),""))</f>
        <v>#DIV/0!</v>
      </c>
    </row>
    <row r="560" spans="1:58" ht="15.75">
      <c r="B560" s="72">
        <v>45820</v>
      </c>
      <c r="C560" s="1">
        <v>316</v>
      </c>
      <c r="D560" s="3">
        <v>555</v>
      </c>
      <c r="E560" s="205">
        <f t="shared" si="37"/>
        <v>168.035428</v>
      </c>
      <c r="I560" s="15">
        <f>AD560</f>
        <v>0</v>
      </c>
      <c r="K560" s="10" t="str">
        <f t="shared" si="38"/>
        <v/>
      </c>
      <c r="L560" s="9" t="str">
        <f t="shared" si="39"/>
        <v/>
      </c>
      <c r="M560" s="8" t="str">
        <f t="shared" si="40"/>
        <v/>
      </c>
      <c r="O560" s="6">
        <v>78.742000000000004</v>
      </c>
      <c r="P560" s="79"/>
      <c r="Q560" s="6">
        <f>O560*1.067</f>
        <v>84.017713999999998</v>
      </c>
      <c r="R560" s="6">
        <f>P560*1.514</f>
        <v>0</v>
      </c>
      <c r="S560" s="23">
        <f>P560*1.514+O560*1.067</f>
        <v>84.017713999999998</v>
      </c>
      <c r="T560" s="6">
        <v>35.6</v>
      </c>
      <c r="U560" s="59">
        <f>1.4992*1.067</f>
        <v>1.5996463999999999</v>
      </c>
      <c r="V560" s="59">
        <f>0.845*1.514</f>
        <v>1.2793300000000001</v>
      </c>
      <c r="W560" s="23">
        <f>U560*1.067+V560*1.514</f>
        <v>3.6437283288</v>
      </c>
      <c r="AB560" s="5">
        <v>80</v>
      </c>
      <c r="AK560" s="3">
        <f>180+60</f>
        <v>240</v>
      </c>
      <c r="AN560" s="3">
        <v>40</v>
      </c>
      <c r="AP560" s="13" t="e">
        <f>AVERAGE(AO558:AO564)</f>
        <v>#DIV/0!</v>
      </c>
      <c r="AR560" s="17">
        <f>(E560-W560)/E560</f>
        <v>0.97831571370294601</v>
      </c>
      <c r="AS560" s="16" t="e">
        <f>(I560-AF560)/I560</f>
        <v>#DIV/0!</v>
      </c>
      <c r="AT560" s="16" t="e">
        <f>AG560/(AD560-AF560)</f>
        <v>#DIV/0!</v>
      </c>
      <c r="AU560" s="16" t="e">
        <f>(G560-AM560)/G560</f>
        <v>#DIV/0!</v>
      </c>
      <c r="AV560" s="57">
        <f>IF(AND(ISNUMBER(E560),ISNUMBER(W560)),E560-W560,"")</f>
        <v>164.3916996712</v>
      </c>
      <c r="AW560" s="57" t="str">
        <f>IF(AND(ISNUMBER(I560),ISNUMBER(AF560)),I560-AF560,"")</f>
        <v/>
      </c>
      <c r="AX560" s="57" t="str">
        <f>IF(AND(ISNUMBER(AM560),ISNUMBER(G560)),G560-AM560,"")</f>
        <v/>
      </c>
      <c r="AY560" s="57" t="str">
        <f>IF(AND(ISNUMBER(AC560),ISNUMBER(AE560)),AC560-AE560,"")</f>
        <v/>
      </c>
      <c r="AZ560" s="57" t="str">
        <f t="shared" si="41"/>
        <v/>
      </c>
      <c r="BE560" s="6" t="e">
        <f>IF((AD560-AF560)/(AJ560/60)&lt;=0,"",(AD560-AF560)/(AJ560/60))</f>
        <v>#DIV/0!</v>
      </c>
      <c r="BF560" s="6" t="e">
        <f>IF(OR(AJ560=0,AP560=0,NOT(ISNUMBER(AD560)),NOT(ISNUMBER(AF560)),NOT(ISNUMBER(AJ560)),NOT(ISNUMBER(AP560))),"",
IFERROR(IF((AD560-AF560)/(AJ560/60)/(AP560/1000)&lt;=0,"",(AD560-AF560)/(AJ560/60)/(AP560/1000)),""))</f>
        <v>#DIV/0!</v>
      </c>
    </row>
    <row r="561" spans="1:58" ht="15.75">
      <c r="B561" s="11">
        <v>45821</v>
      </c>
      <c r="C561" s="1">
        <v>317</v>
      </c>
      <c r="D561" s="3">
        <v>556</v>
      </c>
      <c r="E561" s="205" t="str">
        <f t="shared" si="37"/>
        <v/>
      </c>
      <c r="I561" s="15">
        <f>AD561</f>
        <v>0</v>
      </c>
      <c r="K561" s="10" t="str">
        <f t="shared" si="38"/>
        <v/>
      </c>
      <c r="L561" s="9" t="str">
        <f t="shared" si="39"/>
        <v/>
      </c>
      <c r="M561" s="8" t="str">
        <f t="shared" si="40"/>
        <v/>
      </c>
      <c r="AB561" s="5">
        <v>80</v>
      </c>
      <c r="AK561" s="3">
        <f>180+60</f>
        <v>240</v>
      </c>
      <c r="AN561" s="3">
        <v>40</v>
      </c>
      <c r="AP561" s="13">
        <f>AVERAGE(AO559:AO565)</f>
        <v>2400</v>
      </c>
      <c r="AR561" s="17" t="e">
        <f>(E561-W561)/E561</f>
        <v>#VALUE!</v>
      </c>
      <c r="AS561" s="16" t="e">
        <f>(I561-AF561)/I561</f>
        <v>#DIV/0!</v>
      </c>
      <c r="AT561" s="16" t="e">
        <f>AG561/(AD561-AF561)</f>
        <v>#DIV/0!</v>
      </c>
      <c r="AU561" s="16" t="e">
        <f>(G561-AM561)/G561</f>
        <v>#DIV/0!</v>
      </c>
      <c r="AV561" s="57" t="str">
        <f>IF(AND(ISNUMBER(E561),ISNUMBER(W561)),E561-W561,"")</f>
        <v/>
      </c>
      <c r="AW561" s="57" t="str">
        <f>IF(AND(ISNUMBER(I561),ISNUMBER(AF561)),I561-AF561,"")</f>
        <v/>
      </c>
      <c r="AX561" s="57" t="str">
        <f>IF(AND(ISNUMBER(AM561),ISNUMBER(G561)),G561-AM561,"")</f>
        <v/>
      </c>
      <c r="AY561" s="57" t="str">
        <f>IF(AND(ISNUMBER(AC561),ISNUMBER(AE561)),AC561-AE561,"")</f>
        <v/>
      </c>
      <c r="AZ561" s="57" t="str">
        <f t="shared" si="41"/>
        <v/>
      </c>
      <c r="BE561" s="6" t="e">
        <f>IF((AD561-AF561)/(AJ561/60)&lt;=0,"",(AD561-AF561)/(AJ561/60))</f>
        <v>#DIV/0!</v>
      </c>
      <c r="BF561" s="6" t="str">
        <f>IF(OR(AJ561=0,AP561=0,NOT(ISNUMBER(AD561)),NOT(ISNUMBER(AF561)),NOT(ISNUMBER(AJ561)),NOT(ISNUMBER(AP561))),"",
IFERROR(IF((AD561-AF561)/(AJ561/60)/(AP561/1000)&lt;=0,"",(AD561-AF561)/(AJ561/60)/(AP561/1000)),""))</f>
        <v/>
      </c>
    </row>
    <row r="562" spans="1:58" ht="15.75">
      <c r="B562" s="11">
        <v>45822</v>
      </c>
      <c r="C562" s="1">
        <v>318</v>
      </c>
      <c r="D562" s="3">
        <v>557</v>
      </c>
      <c r="E562" s="205" t="str">
        <f t="shared" si="37"/>
        <v/>
      </c>
      <c r="I562" s="15">
        <f>AD562</f>
        <v>0</v>
      </c>
      <c r="K562" s="10" t="str">
        <f t="shared" si="38"/>
        <v/>
      </c>
      <c r="L562" s="9" t="str">
        <f t="shared" si="39"/>
        <v/>
      </c>
      <c r="M562" s="8" t="str">
        <f t="shared" si="40"/>
        <v/>
      </c>
      <c r="AB562" s="5">
        <v>80</v>
      </c>
      <c r="AK562" s="3">
        <f>180+60</f>
        <v>240</v>
      </c>
      <c r="AN562" s="3">
        <v>40</v>
      </c>
      <c r="AP562" s="13">
        <f>AVERAGE(AO560:AO566)</f>
        <v>2400</v>
      </c>
      <c r="AR562" s="17" t="e">
        <f>(E562-W562)/E562</f>
        <v>#VALUE!</v>
      </c>
      <c r="AS562" s="16" t="e">
        <f>(I562-AF562)/I562</f>
        <v>#DIV/0!</v>
      </c>
      <c r="AT562" s="16" t="e">
        <f>AG562/(AD562-AF562)</f>
        <v>#DIV/0!</v>
      </c>
      <c r="AU562" s="16" t="e">
        <f>(G562-AM562)/G562</f>
        <v>#DIV/0!</v>
      </c>
      <c r="AV562" s="57" t="str">
        <f>IF(AND(ISNUMBER(E562),ISNUMBER(W562)),E562-W562,"")</f>
        <v/>
      </c>
      <c r="AW562" s="57" t="str">
        <f>IF(AND(ISNUMBER(I562),ISNUMBER(AF562)),I562-AF562,"")</f>
        <v/>
      </c>
      <c r="AX562" s="57" t="str">
        <f>IF(AND(ISNUMBER(AM562),ISNUMBER(G562)),G562-AM562,"")</f>
        <v/>
      </c>
      <c r="AY562" s="57" t="str">
        <f>IF(AND(ISNUMBER(AC562),ISNUMBER(AE562)),AC562-AE562,"")</f>
        <v/>
      </c>
      <c r="AZ562" s="57" t="str">
        <f t="shared" si="41"/>
        <v/>
      </c>
      <c r="BE562" s="6" t="e">
        <f>IF((AD562-AF562)/(AJ562/60)&lt;=0,"",(AD562-AF562)/(AJ562/60))</f>
        <v>#DIV/0!</v>
      </c>
      <c r="BF562" s="6" t="str">
        <f>IF(OR(AJ562=0,AP562=0,NOT(ISNUMBER(AD562)),NOT(ISNUMBER(AF562)),NOT(ISNUMBER(AJ562)),NOT(ISNUMBER(AP562))),"",
IFERROR(IF((AD562-AF562)/(AJ562/60)/(AP562/1000)&lt;=0,"",(AD562-AF562)/(AJ562/60)/(AP562/1000)),""))</f>
        <v/>
      </c>
    </row>
    <row r="563" spans="1:58" ht="15.75">
      <c r="B563" s="11">
        <v>45823</v>
      </c>
      <c r="C563" s="1">
        <v>319</v>
      </c>
      <c r="D563" s="3">
        <v>558</v>
      </c>
      <c r="E563" s="205" t="str">
        <f t="shared" si="37"/>
        <v/>
      </c>
      <c r="I563" s="15">
        <f>AD563</f>
        <v>0</v>
      </c>
      <c r="K563" s="10" t="str">
        <f t="shared" si="38"/>
        <v/>
      </c>
      <c r="L563" s="9" t="str">
        <f t="shared" si="39"/>
        <v/>
      </c>
      <c r="M563" s="8" t="str">
        <f t="shared" si="40"/>
        <v/>
      </c>
      <c r="AB563" s="5">
        <v>80</v>
      </c>
      <c r="AK563" s="3">
        <f>180+60</f>
        <v>240</v>
      </c>
      <c r="AN563" s="3">
        <v>40</v>
      </c>
      <c r="AP563" s="13">
        <f>AVERAGE(AO561:AO567)</f>
        <v>2400</v>
      </c>
      <c r="AR563" s="17" t="e">
        <f>(E563-W563)/E563</f>
        <v>#VALUE!</v>
      </c>
      <c r="AS563" s="16" t="e">
        <f>(I563-AF563)/I563</f>
        <v>#DIV/0!</v>
      </c>
      <c r="AT563" s="16" t="e">
        <f>AG563/(AD563-AF563)</f>
        <v>#DIV/0!</v>
      </c>
      <c r="AU563" s="16" t="e">
        <f>(G563-AM563)/G563</f>
        <v>#DIV/0!</v>
      </c>
      <c r="AV563" s="57" t="str">
        <f>IF(AND(ISNUMBER(E563),ISNUMBER(W563)),E563-W563,"")</f>
        <v/>
      </c>
      <c r="AW563" s="57" t="str">
        <f>IF(AND(ISNUMBER(I563),ISNUMBER(AF563)),I563-AF563,"")</f>
        <v/>
      </c>
      <c r="AX563" s="57" t="str">
        <f>IF(AND(ISNUMBER(AM563),ISNUMBER(G563)),G563-AM563,"")</f>
        <v/>
      </c>
      <c r="AY563" s="57" t="str">
        <f>IF(AND(ISNUMBER(AC563),ISNUMBER(AE563)),AC563-AE563,"")</f>
        <v/>
      </c>
      <c r="AZ563" s="57" t="str">
        <f t="shared" si="41"/>
        <v/>
      </c>
      <c r="BE563" s="6" t="e">
        <f>IF((AD563-AF563)/(AJ563/60)&lt;=0,"",(AD563-AF563)/(AJ563/60))</f>
        <v>#DIV/0!</v>
      </c>
      <c r="BF563" s="6" t="str">
        <f>IF(OR(AJ563=0,AP563=0,NOT(ISNUMBER(AD563)),NOT(ISNUMBER(AF563)),NOT(ISNUMBER(AJ563)),NOT(ISNUMBER(AP563))),"",
IFERROR(IF((AD563-AF563)/(AJ563/60)/(AP563/1000)&lt;=0,"",(AD563-AF563)/(AJ563/60)/(AP563/1000)),""))</f>
        <v/>
      </c>
    </row>
    <row r="564" spans="1:58" ht="15.75">
      <c r="B564" s="11">
        <v>45824</v>
      </c>
      <c r="C564" s="1">
        <v>320</v>
      </c>
      <c r="D564" s="3">
        <v>559</v>
      </c>
      <c r="E564" s="205" t="str">
        <f t="shared" si="37"/>
        <v/>
      </c>
      <c r="I564" s="15">
        <f>AD564</f>
        <v>0</v>
      </c>
      <c r="K564" s="10" t="str">
        <f t="shared" si="38"/>
        <v/>
      </c>
      <c r="L564" s="9" t="str">
        <f t="shared" si="39"/>
        <v/>
      </c>
      <c r="M564" s="8" t="str">
        <f t="shared" si="40"/>
        <v/>
      </c>
      <c r="AB564" s="5">
        <v>80</v>
      </c>
      <c r="AK564" s="3">
        <f>180+60</f>
        <v>240</v>
      </c>
      <c r="AN564" s="3">
        <v>40</v>
      </c>
      <c r="AP564" s="13">
        <f>AVERAGE(AO562:AO568)</f>
        <v>2400</v>
      </c>
      <c r="AR564" s="17" t="e">
        <f>(E564-W564)/E564</f>
        <v>#VALUE!</v>
      </c>
      <c r="AS564" s="16" t="e">
        <f>(I564-AF564)/I564</f>
        <v>#DIV/0!</v>
      </c>
      <c r="AT564" s="16" t="e">
        <f>AG564/(AD564-AF564)</f>
        <v>#DIV/0!</v>
      </c>
      <c r="AU564" s="16" t="e">
        <f>(G564-AM564)/G564</f>
        <v>#DIV/0!</v>
      </c>
      <c r="AV564" s="57" t="str">
        <f>IF(AND(ISNUMBER(E564),ISNUMBER(W564)),E564-W564,"")</f>
        <v/>
      </c>
      <c r="AW564" s="57" t="str">
        <f>IF(AND(ISNUMBER(I564),ISNUMBER(AF564)),I564-AF564,"")</f>
        <v/>
      </c>
      <c r="AX564" s="57" t="str">
        <f>IF(AND(ISNUMBER(AM564),ISNUMBER(G564)),G564-AM564,"")</f>
        <v/>
      </c>
      <c r="AY564" s="57" t="str">
        <f>IF(AND(ISNUMBER(AC564),ISNUMBER(AE564)),AC564-AE564,"")</f>
        <v/>
      </c>
      <c r="AZ564" s="57" t="str">
        <f t="shared" si="41"/>
        <v/>
      </c>
      <c r="BE564" s="6" t="e">
        <f>IF((AD564-AF564)/(AJ564/60)&lt;=0,"",(AD564-AF564)/(AJ564/60))</f>
        <v>#DIV/0!</v>
      </c>
      <c r="BF564" s="6" t="str">
        <f>IF(OR(AJ564=0,AP564=0,NOT(ISNUMBER(AD564)),NOT(ISNUMBER(AF564)),NOT(ISNUMBER(AJ564)),NOT(ISNUMBER(AP564))),"",
IFERROR(IF((AD564-AF564)/(AJ564/60)/(AP564/1000)&lt;=0,"",(AD564-AF564)/(AJ564/60)/(AP564/1000)),""))</f>
        <v/>
      </c>
    </row>
    <row r="565" spans="1:58" ht="15.75">
      <c r="B565" s="11">
        <v>45825</v>
      </c>
      <c r="C565" s="1">
        <v>321</v>
      </c>
      <c r="D565" s="3">
        <v>560</v>
      </c>
      <c r="E565" s="205">
        <f t="shared" si="37"/>
        <v>257.24493199999995</v>
      </c>
      <c r="I565" s="15">
        <f>AD565</f>
        <v>0</v>
      </c>
      <c r="K565" s="10" t="str">
        <f t="shared" si="38"/>
        <v/>
      </c>
      <c r="L565" s="9" t="str">
        <f t="shared" si="39"/>
        <v/>
      </c>
      <c r="M565" s="8" t="str">
        <f t="shared" si="40"/>
        <v/>
      </c>
      <c r="O565" s="6">
        <v>82.763999999999996</v>
      </c>
      <c r="P565" s="6">
        <v>26.626999999999999</v>
      </c>
      <c r="Q565" s="6">
        <f>O565*1.067</f>
        <v>88.309187999999992</v>
      </c>
      <c r="R565" s="6">
        <f>P565*1.514</f>
        <v>40.313277999999997</v>
      </c>
      <c r="S565" s="23">
        <f>P565*1.514+O565*1.067</f>
        <v>128.62246599999997</v>
      </c>
      <c r="T565" s="6">
        <v>35.6</v>
      </c>
      <c r="U565" s="59">
        <f>1.284*1.067</f>
        <v>1.370028</v>
      </c>
      <c r="V565" s="59">
        <f>0*1.514</f>
        <v>0</v>
      </c>
      <c r="W565" s="23">
        <f>U565*1.067+V565*1.514</f>
        <v>1.4618198759999999</v>
      </c>
      <c r="AB565" s="5">
        <v>80</v>
      </c>
      <c r="AK565" s="3">
        <f>180+60</f>
        <v>240</v>
      </c>
      <c r="AN565" s="3">
        <v>40</v>
      </c>
      <c r="AO565" s="2">
        <v>2400</v>
      </c>
      <c r="AP565" s="13">
        <f>AVERAGE(AO563:AO569)</f>
        <v>2400</v>
      </c>
      <c r="AR565" s="17">
        <f>(E565-W565)/E565</f>
        <v>0.99431740067866525</v>
      </c>
      <c r="AS565" s="16" t="e">
        <f>(I565-AF565)/I565</f>
        <v>#DIV/0!</v>
      </c>
      <c r="AT565" s="16" t="e">
        <f>AG565/(AD565-AF565)</f>
        <v>#DIV/0!</v>
      </c>
      <c r="AU565" s="16" t="e">
        <f>(G565-AM565)/G565</f>
        <v>#DIV/0!</v>
      </c>
      <c r="AV565" s="57">
        <f>IF(AND(ISNUMBER(E565),ISNUMBER(W565)),E565-W565,"")</f>
        <v>255.78311212399996</v>
      </c>
      <c r="AW565" s="57" t="str">
        <f>IF(AND(ISNUMBER(I565),ISNUMBER(AF565)),I565-AF565,"")</f>
        <v/>
      </c>
      <c r="AX565" s="57" t="str">
        <f>IF(AND(ISNUMBER(AM565),ISNUMBER(G565)),G565-AM565,"")</f>
        <v/>
      </c>
      <c r="AY565" s="57" t="str">
        <f>IF(AND(ISNUMBER(AC565),ISNUMBER(AE565)),AC565-AE565,"")</f>
        <v/>
      </c>
      <c r="AZ565" s="57" t="str">
        <f t="shared" si="41"/>
        <v/>
      </c>
      <c r="BE565" s="6" t="e">
        <f>IF((AD565-AF565)/(AJ565/60)&lt;=0,"",(AD565-AF565)/(AJ565/60))</f>
        <v>#DIV/0!</v>
      </c>
      <c r="BF565" s="6" t="str">
        <f>IF(OR(AJ565=0,AP565=0,NOT(ISNUMBER(AD565)),NOT(ISNUMBER(AF565)),NOT(ISNUMBER(AJ565)),NOT(ISNUMBER(AP565))),"",
IFERROR(IF((AD565-AF565)/(AJ565/60)/(AP565/1000)&lt;=0,"",(AD565-AF565)/(AJ565/60)/(AP565/1000)),""))</f>
        <v/>
      </c>
    </row>
    <row r="566" spans="1:58" ht="15.75">
      <c r="B566" s="11">
        <v>45826</v>
      </c>
      <c r="C566" s="1">
        <v>322</v>
      </c>
      <c r="D566" s="3">
        <v>561</v>
      </c>
      <c r="E566" s="205" t="str">
        <f t="shared" si="37"/>
        <v/>
      </c>
      <c r="I566" s="15">
        <f>AD566</f>
        <v>0</v>
      </c>
      <c r="K566" s="10" t="str">
        <f t="shared" si="38"/>
        <v/>
      </c>
      <c r="L566" s="9" t="str">
        <f t="shared" si="39"/>
        <v/>
      </c>
      <c r="M566" s="8" t="str">
        <f t="shared" si="40"/>
        <v/>
      </c>
      <c r="AB566" s="5">
        <v>80</v>
      </c>
      <c r="AK566" s="3">
        <f>180+60</f>
        <v>240</v>
      </c>
      <c r="AN566" s="3">
        <v>40</v>
      </c>
      <c r="AP566" s="13">
        <f>AVERAGE(AO564:AO570)</f>
        <v>2400</v>
      </c>
      <c r="AR566" s="17" t="e">
        <f>(E566-W566)/E566</f>
        <v>#VALUE!</v>
      </c>
      <c r="AS566" s="16" t="e">
        <f>(I566-AF566)/I566</f>
        <v>#DIV/0!</v>
      </c>
      <c r="AT566" s="16" t="e">
        <f>AG566/(AD566-AF566)</f>
        <v>#DIV/0!</v>
      </c>
      <c r="AU566" s="16" t="e">
        <f>(G566-AM566)/G566</f>
        <v>#DIV/0!</v>
      </c>
      <c r="AV566" s="57" t="str">
        <f>IF(AND(ISNUMBER(E566),ISNUMBER(W566)),E566-W566,"")</f>
        <v/>
      </c>
      <c r="AW566" s="57" t="str">
        <f>IF(AND(ISNUMBER(I566),ISNUMBER(AF566)),I566-AF566,"")</f>
        <v/>
      </c>
      <c r="AX566" s="57" t="str">
        <f>IF(AND(ISNUMBER(AM566),ISNUMBER(G566)),G566-AM566,"")</f>
        <v/>
      </c>
      <c r="AY566" s="57" t="str">
        <f>IF(AND(ISNUMBER(AC566),ISNUMBER(AE566)),AC566-AE566,"")</f>
        <v/>
      </c>
      <c r="AZ566" s="57" t="str">
        <f t="shared" si="41"/>
        <v/>
      </c>
      <c r="BE566" s="6" t="e">
        <f>IF((AD566-AF566)/(AJ566/60)&lt;=0,"",(AD566-AF566)/(AJ566/60))</f>
        <v>#DIV/0!</v>
      </c>
      <c r="BF566" s="6" t="str">
        <f>IF(OR(AJ566=0,AP566=0,NOT(ISNUMBER(AD566)),NOT(ISNUMBER(AF566)),NOT(ISNUMBER(AJ566)),NOT(ISNUMBER(AP566))),"",
IFERROR(IF((AD566-AF566)/(AJ566/60)/(AP566/1000)&lt;=0,"",(AD566-AF566)/(AJ566/60)/(AP566/1000)),""))</f>
        <v/>
      </c>
    </row>
    <row r="567" spans="1:58" ht="15.75">
      <c r="B567" s="72">
        <v>45827</v>
      </c>
      <c r="C567" s="1">
        <v>323</v>
      </c>
      <c r="D567" s="3">
        <v>562</v>
      </c>
      <c r="E567" s="205" t="str">
        <f t="shared" si="37"/>
        <v/>
      </c>
      <c r="I567" s="15">
        <f>AD567</f>
        <v>0</v>
      </c>
      <c r="K567" s="10" t="str">
        <f t="shared" si="38"/>
        <v/>
      </c>
      <c r="L567" s="9" t="str">
        <f t="shared" si="39"/>
        <v/>
      </c>
      <c r="M567" s="8" t="str">
        <f t="shared" si="40"/>
        <v/>
      </c>
      <c r="AB567" s="5">
        <v>80</v>
      </c>
      <c r="AG567" s="1">
        <v>10.71</v>
      </c>
      <c r="AK567" s="3">
        <f>180+60</f>
        <v>240</v>
      </c>
      <c r="AN567" s="3">
        <v>40</v>
      </c>
      <c r="AP567" s="13">
        <f>AVERAGE(AO565:AO571)</f>
        <v>2400</v>
      </c>
      <c r="AR567" s="17" t="e">
        <f>(E567-W567)/E567</f>
        <v>#VALUE!</v>
      </c>
      <c r="AS567" s="16" t="e">
        <f>(I567-AF567)/I567</f>
        <v>#DIV/0!</v>
      </c>
      <c r="AT567" s="16" t="e">
        <f>AG567/(AD567-AF567)</f>
        <v>#DIV/0!</v>
      </c>
      <c r="AU567" s="16" t="e">
        <f>(G567-AM567)/G567</f>
        <v>#DIV/0!</v>
      </c>
      <c r="AV567" s="57" t="str">
        <f>IF(AND(ISNUMBER(E567),ISNUMBER(W567)),E567-W567,"")</f>
        <v/>
      </c>
      <c r="AW567" s="57" t="str">
        <f>IF(AND(ISNUMBER(I567),ISNUMBER(AF567)),I567-AF567,"")</f>
        <v/>
      </c>
      <c r="AX567" s="57" t="str">
        <f>IF(AND(ISNUMBER(AM567),ISNUMBER(G567)),G567-AM567,"")</f>
        <v/>
      </c>
      <c r="AY567" s="57" t="str">
        <f>IF(AND(ISNUMBER(AC567),ISNUMBER(AE567)),AC567-AE567,"")</f>
        <v/>
      </c>
      <c r="AZ567" s="57" t="str">
        <f t="shared" si="41"/>
        <v/>
      </c>
      <c r="BF567" s="6" t="str">
        <f>IF(OR(AJ567=0,AP567=0,NOT(ISNUMBER(AD567)),NOT(ISNUMBER(AF567)),NOT(ISNUMBER(AJ567)),NOT(ISNUMBER(AP567))),"",
IFERROR(IF((AD567-AF567)/(AJ567/60)/(AP567/1000)&lt;=0,"",(AD567-AF567)/(AJ567/60)/(AP567/1000)),""))</f>
        <v/>
      </c>
    </row>
    <row r="568" spans="1:58" s="27" customFormat="1" ht="15.75">
      <c r="A568" s="78"/>
      <c r="B568" s="38">
        <v>45828</v>
      </c>
      <c r="C568" s="1">
        <v>324</v>
      </c>
      <c r="D568" s="29">
        <v>563</v>
      </c>
      <c r="E568" s="205">
        <f t="shared" si="37"/>
        <v>237.103668</v>
      </c>
      <c r="F568" s="36"/>
      <c r="G568" s="77">
        <f>(N568*18-H568*18)/9</f>
        <v>13.92</v>
      </c>
      <c r="H568" s="77">
        <f>5*0.958</f>
        <v>4.79</v>
      </c>
      <c r="I568" s="15">
        <f>AD568</f>
        <v>27.6</v>
      </c>
      <c r="J568" s="35"/>
      <c r="K568" s="10">
        <f t="shared" si="38"/>
        <v>17.033309482758622</v>
      </c>
      <c r="L568" s="9">
        <f t="shared" si="39"/>
        <v>4.295356304347826</v>
      </c>
      <c r="M568" s="8">
        <f t="shared" si="40"/>
        <v>3.9655172413793105</v>
      </c>
      <c r="N568" s="34">
        <f>5*2.35</f>
        <v>11.75</v>
      </c>
      <c r="O568" s="33">
        <v>76.103999999999999</v>
      </c>
      <c r="P568" s="33">
        <v>24.669</v>
      </c>
      <c r="Q568" s="33">
        <f>O568*1.067</f>
        <v>81.202967999999998</v>
      </c>
      <c r="R568" s="33">
        <f>P568*1.514</f>
        <v>37.348866000000001</v>
      </c>
      <c r="S568" s="75">
        <f>P568*1.514+O568*1.067</f>
        <v>118.551834</v>
      </c>
      <c r="T568" s="33">
        <v>50.9</v>
      </c>
      <c r="U568" s="76">
        <f>1.753*1.067</f>
        <v>1.8704509999999999</v>
      </c>
      <c r="V568" s="76">
        <f>1.279*1.514</f>
        <v>1.9364059999999998</v>
      </c>
      <c r="W568" s="75">
        <f>U568*1.067+V568*1.514</f>
        <v>4.9274899009999995</v>
      </c>
      <c r="X568" s="33">
        <v>3.47</v>
      </c>
      <c r="Y568" s="33">
        <v>0.15</v>
      </c>
      <c r="Z568" s="33">
        <v>-17</v>
      </c>
      <c r="AA568" s="33">
        <v>-332</v>
      </c>
      <c r="AB568" s="74">
        <v>80</v>
      </c>
      <c r="AC568" s="34">
        <f>T568</f>
        <v>50.9</v>
      </c>
      <c r="AD568" s="27">
        <f>27.6</f>
        <v>27.6</v>
      </c>
      <c r="AE568" s="27">
        <f>5*1.92</f>
        <v>9.6</v>
      </c>
      <c r="AF568" s="27">
        <v>0</v>
      </c>
      <c r="AG568" s="27">
        <v>8.89</v>
      </c>
      <c r="AK568" s="29">
        <f>180+60</f>
        <v>240</v>
      </c>
      <c r="AL568" s="32">
        <f>AE568</f>
        <v>9.6</v>
      </c>
      <c r="AM568" s="27">
        <f>5*1.48</f>
        <v>7.4</v>
      </c>
      <c r="AN568" s="3">
        <v>40</v>
      </c>
      <c r="AO568" s="28"/>
      <c r="AP568" s="13" t="e">
        <f>AVERAGE(AO566:AO572)</f>
        <v>#DIV/0!</v>
      </c>
      <c r="AQ568" s="28"/>
      <c r="AR568" s="31">
        <f>(E568-W568)/E568</f>
        <v>0.97921799378911334</v>
      </c>
      <c r="AS568" s="30">
        <f>(I568-AF568)/I568</f>
        <v>1</v>
      </c>
      <c r="AT568" s="30">
        <f>AG568/(AD568-AF568)</f>
        <v>0.32210144927536233</v>
      </c>
      <c r="AU568" s="30">
        <f>(G568-AM568)/G568</f>
        <v>0.4683908045977011</v>
      </c>
      <c r="AV568" s="57">
        <f>IF(AND(ISNUMBER(E568),ISNUMBER(W568)),E568-W568,"")</f>
        <v>232.176178099</v>
      </c>
      <c r="AW568" s="57">
        <f>IF(AND(ISNUMBER(I568),ISNUMBER(AF568)),I568-AF568,"")</f>
        <v>27.6</v>
      </c>
      <c r="AX568" s="57">
        <f>IF(AND(ISNUMBER(AM568),ISNUMBER(G568)),G568-AM568,"")</f>
        <v>6.52</v>
      </c>
      <c r="AY568" s="57">
        <f>IF(AND(ISNUMBER(AC568),ISNUMBER(AE568)),AC568-AE568,"")</f>
        <v>41.3</v>
      </c>
      <c r="AZ568" s="57">
        <f t="shared" si="41"/>
        <v>2.1999999999999993</v>
      </c>
      <c r="BF568" s="6" t="e">
        <f>IF(OR(AJ568=0,AP568=0,NOT(ISNUMBER(AD568)),NOT(ISNUMBER(AF568)),NOT(ISNUMBER(AJ568)),NOT(ISNUMBER(AP568))),"",
IFERROR(IF((AD568-AF568)/(AJ568/60)/(AP568/1000)&lt;=0,"",(AD568-AF568)/(AJ568/60)/(AP568/1000)),""))</f>
        <v>#DIV/0!</v>
      </c>
    </row>
    <row r="569" spans="1:58" ht="15.75">
      <c r="A569" s="12" t="s">
        <v>43</v>
      </c>
      <c r="B569" s="11">
        <v>45829</v>
      </c>
      <c r="C569" s="1">
        <v>325</v>
      </c>
      <c r="D569" s="3">
        <v>564</v>
      </c>
      <c r="E569" s="205" t="str">
        <f t="shared" si="37"/>
        <v/>
      </c>
      <c r="I569" s="15">
        <f>AD569</f>
        <v>27.6</v>
      </c>
      <c r="K569" s="10" t="str">
        <f t="shared" si="38"/>
        <v/>
      </c>
      <c r="L569" s="9" t="str">
        <f t="shared" si="39"/>
        <v/>
      </c>
      <c r="M569" s="8" t="str">
        <f t="shared" si="40"/>
        <v/>
      </c>
      <c r="AB569" s="5">
        <v>80</v>
      </c>
      <c r="AD569" s="65">
        <f>27.6</f>
        <v>27.6</v>
      </c>
      <c r="AG569" s="1">
        <v>7.32</v>
      </c>
      <c r="AK569" s="3">
        <f>180+60</f>
        <v>240</v>
      </c>
      <c r="AN569" s="3">
        <v>40</v>
      </c>
      <c r="AP569" s="13" t="e">
        <f>AVERAGE(AO567:AO573)</f>
        <v>#DIV/0!</v>
      </c>
      <c r="AR569" s="17" t="e">
        <f>(E569-W569)/E569</f>
        <v>#VALUE!</v>
      </c>
      <c r="AS569" s="16">
        <f>(I569-AF569)/I569</f>
        <v>1</v>
      </c>
      <c r="AT569" s="16">
        <f>AG569/(AD569-AF569)</f>
        <v>0.26521739130434785</v>
      </c>
      <c r="AU569" s="16" t="e">
        <f>(G569-AM569)/G569</f>
        <v>#DIV/0!</v>
      </c>
      <c r="AV569" s="57" t="str">
        <f>IF(AND(ISNUMBER(E569),ISNUMBER(W569)),E569-W569,"")</f>
        <v/>
      </c>
      <c r="AW569" s="57" t="str">
        <f>IF(AND(ISNUMBER(I569),ISNUMBER(AF569)),I569-AF569,"")</f>
        <v/>
      </c>
      <c r="AX569" s="57" t="str">
        <f>IF(AND(ISNUMBER(AM569),ISNUMBER(G569)),G569-AM569,"")</f>
        <v/>
      </c>
      <c r="AY569" s="57" t="str">
        <f>IF(AND(ISNUMBER(AC569),ISNUMBER(AE569)),AC569-AE569,"")</f>
        <v/>
      </c>
      <c r="AZ569" s="57" t="str">
        <f t="shared" si="41"/>
        <v/>
      </c>
      <c r="BF569" s="6" t="e">
        <f>IF(OR(AJ569=0,AP569=0,NOT(ISNUMBER(AD569)),NOT(ISNUMBER(AF569)),NOT(ISNUMBER(AJ569)),NOT(ISNUMBER(AP569))),"",
IFERROR(IF((AD569-AF569)/(AJ569/60)/(AP569/1000)&lt;=0,"",(AD569-AF569)/(AJ569/60)/(AP569/1000)),""))</f>
        <v>#DIV/0!</v>
      </c>
    </row>
    <row r="570" spans="1:58" ht="15.75">
      <c r="B570" s="11">
        <v>45830</v>
      </c>
      <c r="C570" s="1">
        <v>326</v>
      </c>
      <c r="D570" s="3">
        <v>565</v>
      </c>
      <c r="E570" s="205" t="str">
        <f t="shared" si="37"/>
        <v/>
      </c>
      <c r="I570" s="15">
        <f>AD570</f>
        <v>28</v>
      </c>
      <c r="K570" s="10" t="str">
        <f t="shared" si="38"/>
        <v/>
      </c>
      <c r="L570" s="9" t="str">
        <f t="shared" si="39"/>
        <v/>
      </c>
      <c r="M570" s="8" t="str">
        <f t="shared" si="40"/>
        <v/>
      </c>
      <c r="AB570" s="5">
        <v>80</v>
      </c>
      <c r="AD570" s="65">
        <v>28</v>
      </c>
      <c r="AG570" s="1">
        <v>8.08</v>
      </c>
      <c r="AK570" s="3">
        <f>180+60</f>
        <v>240</v>
      </c>
      <c r="AN570" s="3">
        <v>40</v>
      </c>
      <c r="AP570" s="13" t="e">
        <f>AVERAGE(AO568:AO574)</f>
        <v>#DIV/0!</v>
      </c>
      <c r="AR570" s="17" t="e">
        <f>(E570-W570)/E570</f>
        <v>#VALUE!</v>
      </c>
      <c r="AS570" s="16">
        <f>(I570-AF570)/I570</f>
        <v>1</v>
      </c>
      <c r="AT570" s="16">
        <f>AG570/(AD570-AF570)</f>
        <v>0.28857142857142859</v>
      </c>
      <c r="AU570" s="16" t="e">
        <f>(G570-AM570)/G570</f>
        <v>#DIV/0!</v>
      </c>
      <c r="AV570" s="57" t="str">
        <f>IF(AND(ISNUMBER(E570),ISNUMBER(W570)),E570-W570,"")</f>
        <v/>
      </c>
      <c r="AW570" s="57" t="str">
        <f>IF(AND(ISNUMBER(I570),ISNUMBER(AF570)),I570-AF570,"")</f>
        <v/>
      </c>
      <c r="AX570" s="57" t="str">
        <f>IF(AND(ISNUMBER(AM570),ISNUMBER(G570)),G570-AM570,"")</f>
        <v/>
      </c>
      <c r="AY570" s="57" t="str">
        <f>IF(AND(ISNUMBER(AC570),ISNUMBER(AE570)),AC570-AE570,"")</f>
        <v/>
      </c>
      <c r="AZ570" s="57" t="str">
        <f t="shared" si="41"/>
        <v/>
      </c>
      <c r="BF570" s="6" t="e">
        <f>IF(OR(AJ570=0,AP570=0,NOT(ISNUMBER(AD570)),NOT(ISNUMBER(AF570)),NOT(ISNUMBER(AJ570)),NOT(ISNUMBER(AP570))),"",
IFERROR(IF((AD570-AF570)/(AJ570/60)/(AP570/1000)&lt;=0,"",(AD570-AF570)/(AJ570/60)/(AP570/1000)),""))</f>
        <v>#DIV/0!</v>
      </c>
    </row>
    <row r="571" spans="1:58" ht="15.75">
      <c r="B571" s="11">
        <v>45831</v>
      </c>
      <c r="C571" s="1">
        <v>327</v>
      </c>
      <c r="D571" s="3">
        <v>566</v>
      </c>
      <c r="E571" s="205" t="str">
        <f t="shared" si="37"/>
        <v/>
      </c>
      <c r="I571" s="15">
        <f>AD571</f>
        <v>28.2</v>
      </c>
      <c r="K571" s="10" t="str">
        <f t="shared" si="38"/>
        <v/>
      </c>
      <c r="L571" s="9" t="str">
        <f t="shared" si="39"/>
        <v/>
      </c>
      <c r="M571" s="8" t="str">
        <f t="shared" si="40"/>
        <v/>
      </c>
      <c r="AB571" s="5">
        <v>80</v>
      </c>
      <c r="AD571" s="65">
        <v>28.2</v>
      </c>
      <c r="AG571" s="1">
        <v>0.35</v>
      </c>
      <c r="AK571" s="3">
        <f>180+60</f>
        <v>240</v>
      </c>
      <c r="AN571" s="3">
        <v>40</v>
      </c>
      <c r="AP571" s="13" t="e">
        <f>AVERAGE(AO569:AO575)</f>
        <v>#DIV/0!</v>
      </c>
      <c r="AR571" s="17" t="e">
        <f>(E571-W571)/E571</f>
        <v>#VALUE!</v>
      </c>
      <c r="AS571" s="16">
        <f>(I571-AF571)/I571</f>
        <v>1</v>
      </c>
      <c r="AT571" s="16">
        <f>AG571/(AD571-AF571)</f>
        <v>1.2411347517730495E-2</v>
      </c>
      <c r="AU571" s="16" t="e">
        <f>(G571-AM571)/G571</f>
        <v>#DIV/0!</v>
      </c>
      <c r="AV571" s="57" t="str">
        <f>IF(AND(ISNUMBER(E571),ISNUMBER(W571)),E571-W571,"")</f>
        <v/>
      </c>
      <c r="AW571" s="57" t="str">
        <f>IF(AND(ISNUMBER(I571),ISNUMBER(AF571)),I571-AF571,"")</f>
        <v/>
      </c>
      <c r="AX571" s="57" t="str">
        <f>IF(AND(ISNUMBER(AM571),ISNUMBER(G571)),G571-AM571,"")</f>
        <v/>
      </c>
      <c r="AY571" s="57" t="str">
        <f>IF(AND(ISNUMBER(AC571),ISNUMBER(AE571)),AC571-AE571,"")</f>
        <v/>
      </c>
      <c r="AZ571" s="57" t="str">
        <f t="shared" si="41"/>
        <v/>
      </c>
      <c r="BF571" s="6" t="e">
        <f>IF(OR(AJ571=0,AP571=0,NOT(ISNUMBER(AD571)),NOT(ISNUMBER(AF571)),NOT(ISNUMBER(AJ571)),NOT(ISNUMBER(AP571))),"",
IFERROR(IF((AD571-AF571)/(AJ571/60)/(AP571/1000)&lt;=0,"",(AD571-AF571)/(AJ571/60)/(AP571/1000)),""))</f>
        <v>#DIV/0!</v>
      </c>
    </row>
    <row r="572" spans="1:58" ht="15.75">
      <c r="B572" s="72">
        <v>45832</v>
      </c>
      <c r="C572" s="1">
        <v>328</v>
      </c>
      <c r="D572" s="3">
        <v>567</v>
      </c>
      <c r="E572" s="205" t="str">
        <f t="shared" si="37"/>
        <v/>
      </c>
      <c r="I572" s="15">
        <f>AD572</f>
        <v>28.4</v>
      </c>
      <c r="K572" s="10" t="str">
        <f t="shared" si="38"/>
        <v/>
      </c>
      <c r="L572" s="9" t="str">
        <f t="shared" si="39"/>
        <v/>
      </c>
      <c r="M572" s="8" t="str">
        <f t="shared" si="40"/>
        <v/>
      </c>
      <c r="AB572" s="5">
        <v>80</v>
      </c>
      <c r="AD572" s="65">
        <v>28.4</v>
      </c>
      <c r="AG572" s="1">
        <v>12.51</v>
      </c>
      <c r="AK572" s="3">
        <f>180+60</f>
        <v>240</v>
      </c>
      <c r="AN572" s="3">
        <v>40</v>
      </c>
      <c r="AP572" s="13" t="e">
        <f>AVERAGE(AO570:AO576)</f>
        <v>#DIV/0!</v>
      </c>
      <c r="AR572" s="17" t="e">
        <f>(E572-W572)/E572</f>
        <v>#VALUE!</v>
      </c>
      <c r="AS572" s="16">
        <f>(I572-AF572)/I572</f>
        <v>1</v>
      </c>
      <c r="AT572" s="16">
        <f>AG572/(AD572-AF572)</f>
        <v>0.4404929577464789</v>
      </c>
      <c r="AU572" s="16" t="e">
        <f>(G572-AM572)/G572</f>
        <v>#DIV/0!</v>
      </c>
      <c r="AV572" s="57" t="str">
        <f>IF(AND(ISNUMBER(E572),ISNUMBER(W572)),E572-W572,"")</f>
        <v/>
      </c>
      <c r="AW572" s="57" t="str">
        <f>IF(AND(ISNUMBER(I572),ISNUMBER(AF572)),I572-AF572,"")</f>
        <v/>
      </c>
      <c r="AX572" s="57" t="str">
        <f>IF(AND(ISNUMBER(AM572),ISNUMBER(G572)),G572-AM572,"")</f>
        <v/>
      </c>
      <c r="AY572" s="57" t="str">
        <f>IF(AND(ISNUMBER(AC572),ISNUMBER(AE572)),AC572-AE572,"")</f>
        <v/>
      </c>
      <c r="AZ572" s="57" t="str">
        <f t="shared" si="41"/>
        <v/>
      </c>
      <c r="BF572" s="6" t="e">
        <f>IF(OR(AJ572=0,AP572=0,NOT(ISNUMBER(AD572)),NOT(ISNUMBER(AF572)),NOT(ISNUMBER(AJ572)),NOT(ISNUMBER(AP572))),"",
IFERROR(IF((AD572-AF572)/(AJ572/60)/(AP572/1000)&lt;=0,"",(AD572-AF572)/(AJ572/60)/(AP572/1000)),""))</f>
        <v>#DIV/0!</v>
      </c>
    </row>
    <row r="573" spans="1:58" ht="15.75">
      <c r="B573" s="11">
        <v>45833</v>
      </c>
      <c r="C573" s="1">
        <v>329</v>
      </c>
      <c r="D573" s="3">
        <v>568</v>
      </c>
      <c r="E573" s="205" t="str">
        <f t="shared" si="37"/>
        <v/>
      </c>
      <c r="I573" s="15">
        <f>AD573</f>
        <v>28.6</v>
      </c>
      <c r="K573" s="10" t="str">
        <f t="shared" si="38"/>
        <v/>
      </c>
      <c r="L573" s="9" t="str">
        <f t="shared" si="39"/>
        <v/>
      </c>
      <c r="M573" s="8" t="str">
        <f t="shared" si="40"/>
        <v/>
      </c>
      <c r="AB573" s="5">
        <v>80</v>
      </c>
      <c r="AD573" s="65">
        <v>28.6</v>
      </c>
      <c r="AG573" s="1">
        <v>9.8699999999999992</v>
      </c>
      <c r="AK573" s="3">
        <f>180+60</f>
        <v>240</v>
      </c>
      <c r="AN573" s="3">
        <v>40</v>
      </c>
      <c r="AP573" s="13" t="e">
        <f>AVERAGE(AO571:AO577)</f>
        <v>#DIV/0!</v>
      </c>
      <c r="AR573" s="17" t="e">
        <f>(E573-W573)/E573</f>
        <v>#VALUE!</v>
      </c>
      <c r="AS573" s="16">
        <f>(I573-AF573)/I573</f>
        <v>1</v>
      </c>
      <c r="AT573" s="16">
        <f>AG573/(AD573-AF573)</f>
        <v>0.34510489510489506</v>
      </c>
      <c r="AU573" s="16" t="e">
        <f>(G573-AM573)/G573</f>
        <v>#DIV/0!</v>
      </c>
      <c r="AV573" s="57" t="str">
        <f>IF(AND(ISNUMBER(E573),ISNUMBER(W573)),E573-W573,"")</f>
        <v/>
      </c>
      <c r="AW573" s="57" t="str">
        <f>IF(AND(ISNUMBER(I573),ISNUMBER(AF573)),I573-AF573,"")</f>
        <v/>
      </c>
      <c r="AX573" s="57" t="str">
        <f>IF(AND(ISNUMBER(AM573),ISNUMBER(G573)),G573-AM573,"")</f>
        <v/>
      </c>
      <c r="AY573" s="57" t="str">
        <f>IF(AND(ISNUMBER(AC573),ISNUMBER(AE573)),AC573-AE573,"")</f>
        <v/>
      </c>
      <c r="AZ573" s="57" t="str">
        <f t="shared" si="41"/>
        <v/>
      </c>
      <c r="BF573" s="6" t="e">
        <f>IF(OR(AJ573=0,AP573=0,NOT(ISNUMBER(AD573)),NOT(ISNUMBER(AF573)),NOT(ISNUMBER(AJ573)),NOT(ISNUMBER(AP573))),"",
IFERROR(IF((AD573-AF573)/(AJ573/60)/(AP573/1000)&lt;=0,"",(AD573-AF573)/(AJ573/60)/(AP573/1000)),""))</f>
        <v>#DIV/0!</v>
      </c>
    </row>
    <row r="574" spans="1:58" ht="15.75">
      <c r="B574" s="11">
        <v>45834</v>
      </c>
      <c r="C574" s="1">
        <v>330</v>
      </c>
      <c r="D574" s="3">
        <v>569</v>
      </c>
      <c r="E574" s="205" t="str">
        <f t="shared" si="37"/>
        <v/>
      </c>
      <c r="I574" s="15">
        <f>AD574</f>
        <v>28.8</v>
      </c>
      <c r="K574" s="10" t="str">
        <f t="shared" si="38"/>
        <v/>
      </c>
      <c r="L574" s="9" t="str">
        <f t="shared" si="39"/>
        <v/>
      </c>
      <c r="M574" s="8" t="str">
        <f t="shared" si="40"/>
        <v/>
      </c>
      <c r="AB574" s="5">
        <v>80</v>
      </c>
      <c r="AD574" s="65">
        <v>28.8</v>
      </c>
      <c r="AG574" s="1">
        <v>7.41</v>
      </c>
      <c r="AK574" s="3">
        <f>180+60</f>
        <v>240</v>
      </c>
      <c r="AN574" s="3">
        <v>40</v>
      </c>
      <c r="AP574" s="13" t="e">
        <f>AVERAGE(AO572:AO578)</f>
        <v>#DIV/0!</v>
      </c>
      <c r="AR574" s="17" t="e">
        <f>(E574-W574)/E574</f>
        <v>#VALUE!</v>
      </c>
      <c r="AS574" s="16">
        <f>(I574-AF574)/I574</f>
        <v>1</v>
      </c>
      <c r="AT574" s="16">
        <f>AG574/(AD574-AF574)</f>
        <v>0.25729166666666664</v>
      </c>
      <c r="AU574" s="16" t="e">
        <f>(G574-AM574)/G574</f>
        <v>#DIV/0!</v>
      </c>
      <c r="AV574" s="57" t="str">
        <f>IF(AND(ISNUMBER(E574),ISNUMBER(W574)),E574-W574,"")</f>
        <v/>
      </c>
      <c r="AW574" s="57" t="str">
        <f>IF(AND(ISNUMBER(I574),ISNUMBER(AF574)),I574-AF574,"")</f>
        <v/>
      </c>
      <c r="AX574" s="57" t="str">
        <f>IF(AND(ISNUMBER(AM574),ISNUMBER(G574)),G574-AM574,"")</f>
        <v/>
      </c>
      <c r="AY574" s="57" t="str">
        <f>IF(AND(ISNUMBER(AC574),ISNUMBER(AE574)),AC574-AE574,"")</f>
        <v/>
      </c>
      <c r="AZ574" s="57" t="str">
        <f t="shared" si="41"/>
        <v/>
      </c>
      <c r="BF574" s="6" t="e">
        <f>IF(OR(AJ574=0,AP574=0,NOT(ISNUMBER(AD574)),NOT(ISNUMBER(AF574)),NOT(ISNUMBER(AJ574)),NOT(ISNUMBER(AP574))),"",
IFERROR(IF((AD574-AF574)/(AJ574/60)/(AP574/1000)&lt;=0,"",(AD574-AF574)/(AJ574/60)/(AP574/1000)),""))</f>
        <v>#DIV/0!</v>
      </c>
    </row>
    <row r="575" spans="1:58" ht="15.75">
      <c r="B575" s="11">
        <v>45835</v>
      </c>
      <c r="C575" s="1">
        <v>331</v>
      </c>
      <c r="D575" s="3">
        <v>570</v>
      </c>
      <c r="E575" s="205" t="str">
        <f t="shared" si="37"/>
        <v/>
      </c>
      <c r="I575" s="15">
        <f>AD575</f>
        <v>29</v>
      </c>
      <c r="K575" s="10" t="str">
        <f t="shared" si="38"/>
        <v/>
      </c>
      <c r="L575" s="9" t="str">
        <f t="shared" si="39"/>
        <v/>
      </c>
      <c r="M575" s="8" t="str">
        <f t="shared" si="40"/>
        <v/>
      </c>
      <c r="AB575" s="5">
        <v>80</v>
      </c>
      <c r="AD575" s="65">
        <v>29</v>
      </c>
      <c r="AG575" s="1">
        <v>5.66</v>
      </c>
      <c r="AK575" s="3">
        <f>180+60</f>
        <v>240</v>
      </c>
      <c r="AN575" s="3">
        <v>40</v>
      </c>
      <c r="AP575" s="13" t="e">
        <f>AVERAGE(AO573:AO579)</f>
        <v>#DIV/0!</v>
      </c>
      <c r="AR575" s="17" t="e">
        <f>(E575-W575)/E575</f>
        <v>#VALUE!</v>
      </c>
      <c r="AS575" s="16">
        <f>(I575-AF575)/I575</f>
        <v>1</v>
      </c>
      <c r="AT575" s="16">
        <f>AG575/(AD575-AF575)</f>
        <v>0.19517241379310346</v>
      </c>
      <c r="AU575" s="16" t="e">
        <f>(G575-AM575)/G575</f>
        <v>#DIV/0!</v>
      </c>
      <c r="AV575" s="57" t="str">
        <f>IF(AND(ISNUMBER(E575),ISNUMBER(W575)),E575-W575,"")</f>
        <v/>
      </c>
      <c r="AW575" s="57" t="str">
        <f>IF(AND(ISNUMBER(I575),ISNUMBER(AF575)),I575-AF575,"")</f>
        <v/>
      </c>
      <c r="AX575" s="57" t="str">
        <f>IF(AND(ISNUMBER(AM575),ISNUMBER(G575)),G575-AM575,"")</f>
        <v/>
      </c>
      <c r="AY575" s="57" t="str">
        <f>IF(AND(ISNUMBER(AC575),ISNUMBER(AE575)),AC575-AE575,"")</f>
        <v/>
      </c>
      <c r="AZ575" s="57" t="str">
        <f t="shared" si="41"/>
        <v/>
      </c>
      <c r="BF575" s="6" t="e">
        <f>IF(OR(AJ575=0,AP575=0,NOT(ISNUMBER(AD575)),NOT(ISNUMBER(AF575)),NOT(ISNUMBER(AJ575)),NOT(ISNUMBER(AP575))),"",
IFERROR(IF((AD575-AF575)/(AJ575/60)/(AP575/1000)&lt;=0,"",(AD575-AF575)/(AJ575/60)/(AP575/1000)),""))</f>
        <v>#DIV/0!</v>
      </c>
    </row>
    <row r="576" spans="1:58" ht="15.75">
      <c r="B576" s="11">
        <v>45836</v>
      </c>
      <c r="C576" s="1">
        <v>332</v>
      </c>
      <c r="D576" s="3">
        <v>571</v>
      </c>
      <c r="E576" s="205" t="str">
        <f t="shared" si="37"/>
        <v/>
      </c>
      <c r="I576" s="15">
        <f>AD576</f>
        <v>30</v>
      </c>
      <c r="K576" s="10" t="str">
        <f t="shared" si="38"/>
        <v/>
      </c>
      <c r="L576" s="9" t="str">
        <f t="shared" si="39"/>
        <v/>
      </c>
      <c r="M576" s="8" t="str">
        <f t="shared" si="40"/>
        <v/>
      </c>
      <c r="AB576" s="5">
        <v>80</v>
      </c>
      <c r="AD576" s="65">
        <v>30</v>
      </c>
      <c r="AG576" s="1">
        <v>7.4</v>
      </c>
      <c r="AK576" s="3">
        <f>180+60</f>
        <v>240</v>
      </c>
      <c r="AN576" s="3">
        <v>40</v>
      </c>
      <c r="AP576" s="13">
        <f>AVERAGE(AO574:AO580)</f>
        <v>2129.9999999999727</v>
      </c>
      <c r="AR576" s="17" t="e">
        <f>(E576-W576)/E576</f>
        <v>#VALUE!</v>
      </c>
      <c r="AS576" s="16">
        <f>(I576-AF576)/I576</f>
        <v>1</v>
      </c>
      <c r="AT576" s="16">
        <f>AG576/(AD576-AF576)</f>
        <v>0.24666666666666667</v>
      </c>
      <c r="AU576" s="16" t="e">
        <f>(G576-AM576)/G576</f>
        <v>#DIV/0!</v>
      </c>
      <c r="AV576" s="57" t="str">
        <f>IF(AND(ISNUMBER(E576),ISNUMBER(W576)),E576-W576,"")</f>
        <v/>
      </c>
      <c r="AW576" s="57" t="str">
        <f>IF(AND(ISNUMBER(I576),ISNUMBER(AF576)),I576-AF576,"")</f>
        <v/>
      </c>
      <c r="AX576" s="57" t="str">
        <f>IF(AND(ISNUMBER(AM576),ISNUMBER(G576)),G576-AM576,"")</f>
        <v/>
      </c>
      <c r="AY576" s="57" t="str">
        <f>IF(AND(ISNUMBER(AC576),ISNUMBER(AE576)),AC576-AE576,"")</f>
        <v/>
      </c>
      <c r="AZ576" s="57" t="str">
        <f t="shared" si="41"/>
        <v/>
      </c>
      <c r="BF576" s="6" t="str">
        <f>IF(OR(AJ576=0,AP576=0,NOT(ISNUMBER(AD576)),NOT(ISNUMBER(AF576)),NOT(ISNUMBER(AJ576)),NOT(ISNUMBER(AP576))),"",
IFERROR(IF((AD576-AF576)/(AJ576/60)/(AP576/1000)&lt;=0,"",(AD576-AF576)/(AJ576/60)/(AP576/1000)),""))</f>
        <v/>
      </c>
    </row>
    <row r="577" spans="1:58" ht="15.75">
      <c r="B577" s="11">
        <v>45837</v>
      </c>
      <c r="C577" s="1">
        <v>333</v>
      </c>
      <c r="D577" s="3">
        <v>572</v>
      </c>
      <c r="E577" s="205" t="str">
        <f t="shared" si="37"/>
        <v/>
      </c>
      <c r="I577" s="15">
        <f>AD577</f>
        <v>30.2</v>
      </c>
      <c r="K577" s="10" t="str">
        <f t="shared" si="38"/>
        <v/>
      </c>
      <c r="L577" s="9" t="str">
        <f t="shared" si="39"/>
        <v/>
      </c>
      <c r="M577" s="8" t="str">
        <f t="shared" si="40"/>
        <v/>
      </c>
      <c r="AB577" s="5">
        <v>80</v>
      </c>
      <c r="AD577" s="65">
        <v>30.2</v>
      </c>
      <c r="AG577" s="1">
        <v>6.02</v>
      </c>
      <c r="AK577" s="3">
        <f>180+60</f>
        <v>240</v>
      </c>
      <c r="AN577" s="3">
        <v>40</v>
      </c>
      <c r="AP577" s="13">
        <f>AVERAGE(AO575:AO581)</f>
        <v>2129.9999999999727</v>
      </c>
      <c r="AR577" s="17" t="e">
        <f>(E577-W577)/E577</f>
        <v>#VALUE!</v>
      </c>
      <c r="AS577" s="16">
        <f>(I577-AF577)/I577</f>
        <v>1</v>
      </c>
      <c r="AT577" s="16">
        <f>AG577/(AD577-AF577)</f>
        <v>0.19933774834437085</v>
      </c>
      <c r="AU577" s="16" t="e">
        <f>(G577-AM577)/G577</f>
        <v>#DIV/0!</v>
      </c>
      <c r="AV577" s="57" t="str">
        <f>IF(AND(ISNUMBER(E577),ISNUMBER(W577)),E577-W577,"")</f>
        <v/>
      </c>
      <c r="AW577" s="57" t="str">
        <f>IF(AND(ISNUMBER(I577),ISNUMBER(AF577)),I577-AF577,"")</f>
        <v/>
      </c>
      <c r="AX577" s="57" t="str">
        <f>IF(AND(ISNUMBER(AM577),ISNUMBER(G577)),G577-AM577,"")</f>
        <v/>
      </c>
      <c r="AY577" s="57" t="str">
        <f>IF(AND(ISNUMBER(AC577),ISNUMBER(AE577)),AC577-AE577,"")</f>
        <v/>
      </c>
      <c r="AZ577" s="57" t="str">
        <f t="shared" si="41"/>
        <v/>
      </c>
      <c r="BF577" s="6" t="str">
        <f>IF(OR(AJ577=0,AP577=0,NOT(ISNUMBER(AD577)),NOT(ISNUMBER(AF577)),NOT(ISNUMBER(AJ577)),NOT(ISNUMBER(AP577))),"",
IFERROR(IF((AD577-AF577)/(AJ577/60)/(AP577/1000)&lt;=0,"",(AD577-AF577)/(AJ577/60)/(AP577/1000)),""))</f>
        <v/>
      </c>
    </row>
    <row r="578" spans="1:58" ht="15.75">
      <c r="B578" s="11">
        <v>45838</v>
      </c>
      <c r="C578" s="1">
        <v>334</v>
      </c>
      <c r="D578" s="3">
        <v>573</v>
      </c>
      <c r="E578" s="205" t="str">
        <f t="shared" si="37"/>
        <v/>
      </c>
      <c r="I578" s="15">
        <f>AD578</f>
        <v>30.4</v>
      </c>
      <c r="K578" s="10" t="str">
        <f t="shared" si="38"/>
        <v/>
      </c>
      <c r="L578" s="9" t="str">
        <f t="shared" si="39"/>
        <v/>
      </c>
      <c r="M578" s="8" t="str">
        <f t="shared" si="40"/>
        <v/>
      </c>
      <c r="AB578" s="5">
        <v>80</v>
      </c>
      <c r="AD578" s="65">
        <v>30.4</v>
      </c>
      <c r="AG578" s="1">
        <v>4.97</v>
      </c>
      <c r="AK578" s="3">
        <f>180+60</f>
        <v>240</v>
      </c>
      <c r="AN578" s="3">
        <v>40</v>
      </c>
      <c r="AP578" s="13">
        <f>AVERAGE(AO576:AO582)</f>
        <v>2129.9999999999727</v>
      </c>
      <c r="AR578" s="17" t="e">
        <f>(E578-W578)/E578</f>
        <v>#VALUE!</v>
      </c>
      <c r="AS578" s="16">
        <f>(I578-AF578)/I578</f>
        <v>1</v>
      </c>
      <c r="AT578" s="16">
        <f>AG578/(AD578-AF578)</f>
        <v>0.16348684210526315</v>
      </c>
      <c r="AU578" s="16" t="e">
        <f>(G578-AM578)/G578</f>
        <v>#DIV/0!</v>
      </c>
      <c r="AV578" s="57" t="str">
        <f>IF(AND(ISNUMBER(E578),ISNUMBER(W578)),E578-W578,"")</f>
        <v/>
      </c>
      <c r="AW578" s="57" t="str">
        <f>IF(AND(ISNUMBER(I578),ISNUMBER(AF578)),I578-AF578,"")</f>
        <v/>
      </c>
      <c r="AX578" s="57" t="str">
        <f>IF(AND(ISNUMBER(AM578),ISNUMBER(G578)),G578-AM578,"")</f>
        <v/>
      </c>
      <c r="AY578" s="57" t="str">
        <f>IF(AND(ISNUMBER(AC578),ISNUMBER(AE578)),AC578-AE578,"")</f>
        <v/>
      </c>
      <c r="AZ578" s="57" t="str">
        <f t="shared" si="41"/>
        <v/>
      </c>
      <c r="BF578" s="6" t="str">
        <f>IF(OR(AJ578=0,AP578=0,NOT(ISNUMBER(AD578)),NOT(ISNUMBER(AF578)),NOT(ISNUMBER(AJ578)),NOT(ISNUMBER(AP578))),"",
IFERROR(IF((AD578-AF578)/(AJ578/60)/(AP578/1000)&lt;=0,"",(AD578-AF578)/(AJ578/60)/(AP578/1000)),""))</f>
        <v/>
      </c>
    </row>
    <row r="579" spans="1:58" ht="15.75">
      <c r="B579" s="11">
        <v>45839</v>
      </c>
      <c r="C579" s="1">
        <v>335</v>
      </c>
      <c r="D579" s="3">
        <v>574</v>
      </c>
      <c r="E579" s="205" t="str">
        <f t="shared" si="37"/>
        <v/>
      </c>
      <c r="I579" s="15">
        <f>AD579</f>
        <v>30.8</v>
      </c>
      <c r="K579" s="10" t="str">
        <f t="shared" si="38"/>
        <v/>
      </c>
      <c r="L579" s="9" t="str">
        <f t="shared" si="39"/>
        <v/>
      </c>
      <c r="M579" s="8" t="str">
        <f t="shared" si="40"/>
        <v/>
      </c>
      <c r="AB579" s="5">
        <v>80</v>
      </c>
      <c r="AD579" s="65">
        <v>30.8</v>
      </c>
      <c r="AG579" s="1">
        <v>5.83</v>
      </c>
      <c r="AJ579" s="1">
        <v>171</v>
      </c>
      <c r="AK579" s="3">
        <f>180+60</f>
        <v>240</v>
      </c>
      <c r="AN579" s="3">
        <v>40</v>
      </c>
      <c r="AP579" s="13">
        <f>AVERAGE(AO577:AO583)</f>
        <v>2129.9999999999727</v>
      </c>
      <c r="AR579" s="17" t="e">
        <f>(E579-W579)/E579</f>
        <v>#VALUE!</v>
      </c>
      <c r="AS579" s="16">
        <f>(I579-AF579)/I579</f>
        <v>1</v>
      </c>
      <c r="AT579" s="16">
        <f>AG579/(AD579-AF579)</f>
        <v>0.18928571428571428</v>
      </c>
      <c r="AU579" s="16" t="e">
        <f>(G579-AM579)/G579</f>
        <v>#DIV/0!</v>
      </c>
      <c r="AV579" s="57" t="str">
        <f>IF(AND(ISNUMBER(E579),ISNUMBER(W579)),E579-W579,"")</f>
        <v/>
      </c>
      <c r="AW579" s="57" t="str">
        <f>IF(AND(ISNUMBER(I579),ISNUMBER(AF579)),I579-AF579,"")</f>
        <v/>
      </c>
      <c r="AX579" s="57" t="str">
        <f>IF(AND(ISNUMBER(AM579),ISNUMBER(G579)),G579-AM579,"")</f>
        <v/>
      </c>
      <c r="AY579" s="57" t="str">
        <f>IF(AND(ISNUMBER(AC579),ISNUMBER(AE579)),AC579-AE579,"")</f>
        <v/>
      </c>
      <c r="AZ579" s="57" t="str">
        <f t="shared" si="41"/>
        <v/>
      </c>
      <c r="BF579" s="6" t="str">
        <f>IF(OR(AJ579=0,AP579=0,NOT(ISNUMBER(AD579)),NOT(ISNUMBER(AF579)),NOT(ISNUMBER(AJ579)),NOT(ISNUMBER(AP579))),"",
IFERROR(IF((AD579-AF579)/(AJ579/60)/(AP579/1000)&lt;=0,"",(AD579-AF579)/(AJ579/60)/(AP579/1000)),""))</f>
        <v/>
      </c>
    </row>
    <row r="580" spans="1:58" ht="15.75">
      <c r="B580" s="72">
        <v>45840</v>
      </c>
      <c r="C580" s="1">
        <v>336</v>
      </c>
      <c r="D580" s="3">
        <v>575</v>
      </c>
      <c r="E580" s="205">
        <f t="shared" si="37"/>
        <v>255.54503</v>
      </c>
      <c r="G580" s="15">
        <f>(N580*18-H580*18)/9</f>
        <v>14.600000000000003</v>
      </c>
      <c r="H580" s="71">
        <f>5*2.25</f>
        <v>11.25</v>
      </c>
      <c r="I580" s="15">
        <f>AD580</f>
        <v>31.549999999999997</v>
      </c>
      <c r="K580" s="10">
        <f t="shared" si="38"/>
        <v>17.503084246575337</v>
      </c>
      <c r="L580" s="9">
        <f t="shared" si="39"/>
        <v>4.0498419968304278</v>
      </c>
      <c r="M580" s="8">
        <f t="shared" si="40"/>
        <v>4.3219178082191769</v>
      </c>
      <c r="N580" s="7">
        <f>5*3.71</f>
        <v>18.55</v>
      </c>
      <c r="O580" s="6">
        <v>83.375</v>
      </c>
      <c r="P580" s="6">
        <v>25.635000000000002</v>
      </c>
      <c r="Q580" s="6">
        <f>O580*1.067</f>
        <v>88.961124999999996</v>
      </c>
      <c r="R580" s="6">
        <f>P580*1.514</f>
        <v>38.811390000000003</v>
      </c>
      <c r="S580" s="23">
        <f>P580*1.514+O580*1.067</f>
        <v>127.772515</v>
      </c>
      <c r="T580" s="6">
        <f>32.2</f>
        <v>32.200000000000003</v>
      </c>
      <c r="U580" s="59">
        <f>0.2*1.067</f>
        <v>0.21340000000000001</v>
      </c>
      <c r="V580" s="59">
        <f>0*1.514</f>
        <v>0</v>
      </c>
      <c r="W580" s="23">
        <f>U580*1.067+V580*1.514</f>
        <v>0.22769780000000001</v>
      </c>
      <c r="X580" s="6">
        <v>4.82</v>
      </c>
      <c r="Y580" s="6">
        <v>0.15</v>
      </c>
      <c r="Z580" s="6">
        <v>28</v>
      </c>
      <c r="AA580" s="6">
        <v>-206</v>
      </c>
      <c r="AB580" s="5">
        <v>80</v>
      </c>
      <c r="AC580" s="7">
        <f>T580</f>
        <v>32.200000000000003</v>
      </c>
      <c r="AD580" s="1">
        <f>5*6.31</f>
        <v>31.549999999999997</v>
      </c>
      <c r="AE580" s="1">
        <f>5*3.19</f>
        <v>15.95</v>
      </c>
      <c r="AF580" s="1">
        <v>0</v>
      </c>
      <c r="AG580" s="1">
        <v>6.09</v>
      </c>
      <c r="AJ580" s="1">
        <v>179</v>
      </c>
      <c r="AK580" s="3">
        <f>180+60</f>
        <v>240</v>
      </c>
      <c r="AL580" s="4">
        <f>AE580</f>
        <v>15.95</v>
      </c>
      <c r="AM580" s="1">
        <f>5*2.64</f>
        <v>13.200000000000001</v>
      </c>
      <c r="AN580" s="3">
        <v>40</v>
      </c>
      <c r="AO580" s="2">
        <v>2129.9999999999727</v>
      </c>
      <c r="AP580" s="13">
        <f>AVERAGE(AO578:AO584)</f>
        <v>2129.9999999999727</v>
      </c>
      <c r="AR580" s="17">
        <f>(E580-W580)/E580</f>
        <v>0.99910897190996051</v>
      </c>
      <c r="AS580" s="16">
        <f>(I580-AF580)/I580</f>
        <v>1</v>
      </c>
      <c r="AT580" s="16">
        <f>AG580/(AD580-AF580)</f>
        <v>0.19302694136291601</v>
      </c>
      <c r="AU580" s="16">
        <f>(G580-AM580)/G580</f>
        <v>9.5890410958904229E-2</v>
      </c>
      <c r="AV580" s="57">
        <f>IF(AND(ISNUMBER(E580),ISNUMBER(W580)),E580-W580,"")</f>
        <v>255.31733220000001</v>
      </c>
      <c r="AW580" s="57">
        <f>IF(AND(ISNUMBER(I580),ISNUMBER(AF580)),I580-AF580,"")</f>
        <v>31.549999999999997</v>
      </c>
      <c r="AX580" s="57">
        <f>IF(AND(ISNUMBER(AM580),ISNUMBER(G580)),G580-AM580,"")</f>
        <v>1.4000000000000021</v>
      </c>
      <c r="AY580" s="57">
        <f>IF(AND(ISNUMBER(AC580),ISNUMBER(AE580)),AC580-AE580,"")</f>
        <v>16.250000000000004</v>
      </c>
      <c r="AZ580" s="57">
        <f t="shared" si="41"/>
        <v>2.7499999999999982</v>
      </c>
      <c r="BE580" s="6">
        <f>IF((AD580-AF580)/(AJ580/60)&lt;=0,"",(AD580-AF580)/(AJ580/60))</f>
        <v>10.575418994413406</v>
      </c>
      <c r="BF580" s="6">
        <f>IF(OR(AJ580=0,AP580=0,NOT(ISNUMBER(AD580)),NOT(ISNUMBER(AF580)),NOT(ISNUMBER(AJ580)),NOT(ISNUMBER(AP580))),"",
IFERROR(IF((AD580-AF580)/(AJ580/60)/(AP580/1000)&lt;=0,"",(AD580-AF580)/(AJ580/60)/(AP580/1000)),""))</f>
        <v>4.9649854433866389</v>
      </c>
    </row>
    <row r="581" spans="1:58" ht="15.75">
      <c r="A581" s="12" t="s">
        <v>42</v>
      </c>
      <c r="B581" s="11">
        <v>45841</v>
      </c>
      <c r="C581" s="1">
        <v>337</v>
      </c>
      <c r="D581" s="3">
        <v>576</v>
      </c>
      <c r="E581" s="205">
        <f t="shared" si="37"/>
        <v>249.97146600000002</v>
      </c>
      <c r="G581" s="15">
        <f>(N581*18-H581*18)/9</f>
        <v>13.600000000000001</v>
      </c>
      <c r="H581" s="15">
        <f>5*2.29</f>
        <v>11.45</v>
      </c>
      <c r="I581" s="15">
        <f>AD581</f>
        <v>30.6</v>
      </c>
      <c r="K581" s="10">
        <f t="shared" si="38"/>
        <v>18.380254852941174</v>
      </c>
      <c r="L581" s="9">
        <f t="shared" si="39"/>
        <v>4.0845010784313729</v>
      </c>
      <c r="M581" s="8">
        <f t="shared" si="40"/>
        <v>4.5</v>
      </c>
      <c r="N581" s="7">
        <f>5*3.65</f>
        <v>18.25</v>
      </c>
      <c r="O581" s="6">
        <v>81.677000000000007</v>
      </c>
      <c r="P581" s="6">
        <v>24.991</v>
      </c>
      <c r="Q581" s="6">
        <f>O581*1.067</f>
        <v>87.149359000000004</v>
      </c>
      <c r="R581" s="6">
        <f>P581*1.514</f>
        <v>37.836373999999999</v>
      </c>
      <c r="S581" s="23">
        <f>P581*1.514+O581*1.067</f>
        <v>124.98573300000001</v>
      </c>
      <c r="T581" s="6">
        <f>32.2</f>
        <v>32.200000000000003</v>
      </c>
      <c r="U581" s="59">
        <f>8.225*1.067</f>
        <v>8.7760749999999987</v>
      </c>
      <c r="V581" s="59">
        <f>2.124*1.514</f>
        <v>3.2157360000000001</v>
      </c>
      <c r="W581" s="23">
        <f>U581*1.067+V581*1.514</f>
        <v>14.232696328999999</v>
      </c>
      <c r="X581" s="6">
        <v>3.38</v>
      </c>
      <c r="Y581" s="6">
        <v>0.15</v>
      </c>
      <c r="Z581" s="6">
        <v>21</v>
      </c>
      <c r="AA581" s="6">
        <v>-229</v>
      </c>
      <c r="AB581" s="5">
        <v>80</v>
      </c>
      <c r="AC581" s="7">
        <f>T581</f>
        <v>32.200000000000003</v>
      </c>
      <c r="AD581" s="1">
        <f>30.6</f>
        <v>30.6</v>
      </c>
      <c r="AE581" s="1">
        <f>5*3</f>
        <v>15</v>
      </c>
      <c r="AF581" s="1">
        <v>0</v>
      </c>
      <c r="AG581" s="1">
        <v>6.22</v>
      </c>
      <c r="AJ581" s="1">
        <v>227</v>
      </c>
      <c r="AK581" s="3">
        <f>180+60</f>
        <v>240</v>
      </c>
      <c r="AL581" s="4">
        <f>AE581</f>
        <v>15</v>
      </c>
      <c r="AM581" s="1">
        <f>5*2.69</f>
        <v>13.45</v>
      </c>
      <c r="AN581" s="3">
        <v>40</v>
      </c>
      <c r="AP581" s="13">
        <f>AVERAGE(AO579:AO585)</f>
        <v>2129.9999999999727</v>
      </c>
      <c r="AR581" s="17">
        <f>(E581-W581)/E581</f>
        <v>0.94306271609016368</v>
      </c>
      <c r="AS581" s="16">
        <f>(I581-AF581)/I581</f>
        <v>1</v>
      </c>
      <c r="AT581" s="16">
        <f>AG581/(AD581-AF581)</f>
        <v>0.20326797385620912</v>
      </c>
      <c r="AU581" s="16">
        <f>(G581-AM581)/G581</f>
        <v>1.1029411764706037E-2</v>
      </c>
      <c r="AV581" s="57">
        <f>IF(AND(ISNUMBER(E581),ISNUMBER(W581)),E581-W581,"")</f>
        <v>235.73876967100003</v>
      </c>
      <c r="AW581" s="57">
        <f>IF(AND(ISNUMBER(I581),ISNUMBER(AF581)),I581-AF581,"")</f>
        <v>30.6</v>
      </c>
      <c r="AX581" s="57">
        <f>IF(AND(ISNUMBER(AM581),ISNUMBER(G581)),G581-AM581,"")</f>
        <v>0.15000000000000213</v>
      </c>
      <c r="AY581" s="57">
        <f>IF(AND(ISNUMBER(AC581),ISNUMBER(AE581)),AC581-AE581,"")</f>
        <v>17.200000000000003</v>
      </c>
      <c r="AZ581" s="57">
        <f t="shared" si="41"/>
        <v>1.5500000000000007</v>
      </c>
      <c r="BA581" s="56">
        <f>IF(AND($E581&gt;0,$W581&gt;0),IF(($E581-$W581)/$E581&gt;0,($E581-$W581)/$E581,0),"")</f>
        <v>0.94306271609016368</v>
      </c>
      <c r="BB581" s="56">
        <f>IF(AND($I581&gt;0,$AF581&gt;=0),IF(($I581-$AF581)/$I581&gt;0,($I581-$AF581)/$I581,0),"")</f>
        <v>1</v>
      </c>
      <c r="BC581" s="56"/>
      <c r="BD581" s="56">
        <f>IF(AND($G581&gt;0,$AM581&gt;0),IF(($G581-$AM581)/$G581&gt;0,($G581-$AM581)/$G581,0),"")</f>
        <v>1.1029411764706037E-2</v>
      </c>
      <c r="BE581" s="6">
        <f>IF((AD581-AF581)/(AJ581/60)&lt;=0,"",(AD581-AF581)/(AJ581/60))</f>
        <v>8.0881057268722465</v>
      </c>
      <c r="BF581" s="6">
        <f>IF(OR(AJ581=0,AP581=0,NOT(ISNUMBER(AD581)),NOT(ISNUMBER(AF581)),NOT(ISNUMBER(AJ581)),NOT(ISNUMBER(AP581))),"",
IFERROR(IF((AD581-AF581)/(AJ581/60)/(AP581/1000)&lt;=0,"",(AD581-AF581)/(AJ581/60)/(AP581/1000)),""))</f>
        <v>3.7972327356208213</v>
      </c>
    </row>
    <row r="582" spans="1:58" ht="15.75">
      <c r="A582" s="25" t="s">
        <v>41</v>
      </c>
      <c r="B582" s="11">
        <v>45842</v>
      </c>
      <c r="C582" s="1">
        <v>338</v>
      </c>
      <c r="D582" s="3">
        <v>577</v>
      </c>
      <c r="E582" s="205" t="str">
        <f t="shared" si="37"/>
        <v/>
      </c>
      <c r="I582" s="15">
        <f>AD582</f>
        <v>30.6</v>
      </c>
      <c r="K582" s="10" t="str">
        <f t="shared" si="38"/>
        <v/>
      </c>
      <c r="L582" s="9" t="str">
        <f t="shared" si="39"/>
        <v/>
      </c>
      <c r="M582" s="8" t="str">
        <f t="shared" si="40"/>
        <v/>
      </c>
      <c r="AB582" s="5">
        <v>80</v>
      </c>
      <c r="AD582" s="65">
        <f>30.6</f>
        <v>30.6</v>
      </c>
      <c r="AG582" s="1">
        <v>7.0000000000000007E-2</v>
      </c>
      <c r="AJ582" s="1">
        <v>217</v>
      </c>
      <c r="AK582" s="3">
        <f>180+60</f>
        <v>240</v>
      </c>
      <c r="AN582" s="3">
        <v>40</v>
      </c>
      <c r="AP582" s="13">
        <f>AVERAGE(AO580:AO586)</f>
        <v>2129.9999999999727</v>
      </c>
      <c r="AR582" s="17" t="e">
        <f>(E582-W582)/E582</f>
        <v>#VALUE!</v>
      </c>
      <c r="AS582" s="16">
        <f>(I582-AF582)/I582</f>
        <v>1</v>
      </c>
      <c r="AT582" s="16">
        <f>AG582/(AD582-AF582)</f>
        <v>2.2875816993464053E-3</v>
      </c>
      <c r="AU582" s="16" t="e">
        <f>(G582-AM582)/G582</f>
        <v>#DIV/0!</v>
      </c>
      <c r="AV582" s="57" t="str">
        <f>IF(AND(ISNUMBER(E582),ISNUMBER(W582)),E582-W582,"")</f>
        <v/>
      </c>
      <c r="AW582" s="57" t="str">
        <f>IF(AND(ISNUMBER(I582),ISNUMBER(AF582)),I582-AF582,"")</f>
        <v/>
      </c>
      <c r="AX582" s="57" t="str">
        <f>IF(AND(ISNUMBER(AM582),ISNUMBER(G582)),G582-AM582,"")</f>
        <v/>
      </c>
      <c r="AY582" s="57" t="str">
        <f>IF(AND(ISNUMBER(AC582),ISNUMBER(AE582)),AC582-AE582,"")</f>
        <v/>
      </c>
      <c r="AZ582" s="57" t="str">
        <f t="shared" si="41"/>
        <v/>
      </c>
      <c r="BA582" s="56" t="str">
        <f>IF(AND($E582&gt;0,$W582&gt;0),IF(($E582-$W582)/$E582&gt;0,($E582-$W582)/$E582,0),"")</f>
        <v/>
      </c>
      <c r="BB582" s="56">
        <f>IF(AND($I582&gt;0,$AF582&gt;=0),IF(($I582-$AF582)/$I582&gt;0,($I582-$AF582)/$I582,0),"")</f>
        <v>1</v>
      </c>
      <c r="BC582" s="56"/>
      <c r="BD582" s="56" t="str">
        <f>IF(AND($G582&gt;0,$AM582&gt;0),IF(($G582-$AM582)/$G582&gt;0,($G582-$AM582)/$G582,0),"")</f>
        <v/>
      </c>
      <c r="BE582" s="6">
        <f>IF((AD582-AF582)/(AJ582/60)&lt;=0,"",(AD582-AF582)/(AJ582/60))</f>
        <v>8.4608294930875587</v>
      </c>
      <c r="BF582" s="6" t="str">
        <f>IF(OR(AJ582=0,AP582=0,NOT(ISNUMBER(AD582)),NOT(ISNUMBER(AF582)),NOT(ISNUMBER(AJ582)),NOT(ISNUMBER(AP582))),"",
IFERROR(IF((AD582-AF582)/(AJ582/60)/(AP582/1000)&lt;=0,"",(AD582-AF582)/(AJ582/60)/(AP582/1000)),""))</f>
        <v/>
      </c>
    </row>
    <row r="583" spans="1:58" ht="15.75">
      <c r="A583" s="25" t="s">
        <v>41</v>
      </c>
      <c r="B583" s="11">
        <v>45843</v>
      </c>
      <c r="C583" s="1">
        <v>339</v>
      </c>
      <c r="D583" s="3">
        <v>578</v>
      </c>
      <c r="E583" s="205" t="str">
        <f t="shared" ref="E583:E646" si="42">IF(OR(S583="",S583=0),"",S583*2)</f>
        <v/>
      </c>
      <c r="I583" s="15">
        <f>AD583</f>
        <v>30.6</v>
      </c>
      <c r="K583" s="10" t="str">
        <f t="shared" si="38"/>
        <v/>
      </c>
      <c r="L583" s="9" t="str">
        <f t="shared" si="39"/>
        <v/>
      </c>
      <c r="M583" s="8" t="str">
        <f t="shared" si="40"/>
        <v/>
      </c>
      <c r="AB583" s="5">
        <v>80</v>
      </c>
      <c r="AD583" s="65">
        <f>30.6</f>
        <v>30.6</v>
      </c>
      <c r="AG583" s="1">
        <v>0.04</v>
      </c>
      <c r="AJ583" s="1">
        <v>1</v>
      </c>
      <c r="AK583" s="3">
        <f>180+60</f>
        <v>240</v>
      </c>
      <c r="AN583" s="3">
        <v>40</v>
      </c>
      <c r="AP583" s="13" t="e">
        <f>AVERAGE(AO581:AO587)</f>
        <v>#DIV/0!</v>
      </c>
      <c r="AR583" s="17" t="e">
        <f>(E583-W583)/E583</f>
        <v>#VALUE!</v>
      </c>
      <c r="AS583" s="16">
        <f>(I583-AF583)/I583</f>
        <v>1</v>
      </c>
      <c r="AT583" s="16">
        <f>AG583/(AD583-AF583)</f>
        <v>1.30718954248366E-3</v>
      </c>
      <c r="AU583" s="16" t="e">
        <f>(G583-AM583)/G583</f>
        <v>#DIV/0!</v>
      </c>
      <c r="AV583" s="57" t="str">
        <f>IF(AND(ISNUMBER(E583),ISNUMBER(W583)),E583-W583,"")</f>
        <v/>
      </c>
      <c r="AW583" s="57" t="str">
        <f>IF(AND(ISNUMBER(I583),ISNUMBER(AF583)),I583-AF583,"")</f>
        <v/>
      </c>
      <c r="AX583" s="57" t="str">
        <f>IF(AND(ISNUMBER(AM583),ISNUMBER(G583)),G583-AM583,"")</f>
        <v/>
      </c>
      <c r="AY583" s="57" t="str">
        <f>IF(AND(ISNUMBER(AC583),ISNUMBER(AE583)),AC583-AE583,"")</f>
        <v/>
      </c>
      <c r="AZ583" s="57" t="str">
        <f t="shared" si="41"/>
        <v/>
      </c>
      <c r="BA583" s="56" t="str">
        <f>IF(AND($E583&gt;0,$W583&gt;0),IF(($E583-$W583)/$E583&gt;0,($E583-$W583)/$E583,0),"")</f>
        <v/>
      </c>
      <c r="BB583" s="56">
        <f>IF(AND($I583&gt;0,$AF583&gt;=0),IF(($I583-$AF583)/$I583&gt;0,($I583-$AF583)/$I583,0),"")</f>
        <v>1</v>
      </c>
      <c r="BC583" s="56"/>
      <c r="BD583" s="56" t="str">
        <f>IF(AND($G583&gt;0,$AM583&gt;0),IF(($G583-$AM583)/$G583&gt;0,($G583-$AM583)/$G583,0),"")</f>
        <v/>
      </c>
      <c r="BE583" s="6">
        <f>IF((AD583-AF583)/(AJ583/60)&lt;=0,"",(AD583-AF583)/(AJ583/60))</f>
        <v>1836</v>
      </c>
      <c r="BF583" s="6" t="e">
        <f>IF(OR(AJ583=0,AP583=0,NOT(ISNUMBER(AD583)),NOT(ISNUMBER(AF583)),NOT(ISNUMBER(AJ583)),NOT(ISNUMBER(AP583))),"",
IFERROR(IF((AD583-AF583)/(AJ583/60)/(AP583/1000)&lt;=0,"",(AD583-AF583)/(AJ583/60)/(AP583/1000)),""))</f>
        <v>#DIV/0!</v>
      </c>
    </row>
    <row r="584" spans="1:58" ht="15.75">
      <c r="A584" s="12" t="s">
        <v>40</v>
      </c>
      <c r="B584" s="11">
        <v>45844</v>
      </c>
      <c r="C584" s="1">
        <v>340</v>
      </c>
      <c r="D584" s="3">
        <v>579</v>
      </c>
      <c r="E584" s="205" t="str">
        <f t="shared" si="42"/>
        <v/>
      </c>
      <c r="I584" s="15">
        <f>AD584</f>
        <v>30.6</v>
      </c>
      <c r="K584" s="10" t="str">
        <f t="shared" si="38"/>
        <v/>
      </c>
      <c r="L584" s="9" t="str">
        <f t="shared" si="39"/>
        <v/>
      </c>
      <c r="M584" s="8" t="str">
        <f t="shared" si="40"/>
        <v/>
      </c>
      <c r="AB584" s="5">
        <v>80</v>
      </c>
      <c r="AD584" s="65">
        <f>30.6</f>
        <v>30.6</v>
      </c>
      <c r="AG584" s="1">
        <v>0.01</v>
      </c>
      <c r="AJ584" s="1">
        <v>141</v>
      </c>
      <c r="AK584" s="3">
        <f>180+60</f>
        <v>240</v>
      </c>
      <c r="AN584" s="3">
        <v>40</v>
      </c>
      <c r="AP584" s="13" t="e">
        <f>AVERAGE(AO582:AO588)</f>
        <v>#DIV/0!</v>
      </c>
      <c r="AR584" s="17" t="e">
        <f>(E584-W584)/E584</f>
        <v>#VALUE!</v>
      </c>
      <c r="AS584" s="16">
        <f>(I584-AF584)/I584</f>
        <v>1</v>
      </c>
      <c r="AT584" s="16">
        <f>AG584/(AD584-AF584)</f>
        <v>3.2679738562091501E-4</v>
      </c>
      <c r="AU584" s="16" t="e">
        <f>(G584-AM584)/G584</f>
        <v>#DIV/0!</v>
      </c>
      <c r="AV584" s="57" t="str">
        <f>IF(AND(ISNUMBER(E584),ISNUMBER(W584)),E584-W584,"")</f>
        <v/>
      </c>
      <c r="AW584" s="57" t="str">
        <f>IF(AND(ISNUMBER(I584),ISNUMBER(AF584)),I584-AF584,"")</f>
        <v/>
      </c>
      <c r="AX584" s="57" t="str">
        <f>IF(AND(ISNUMBER(AM584),ISNUMBER(G584)),G584-AM584,"")</f>
        <v/>
      </c>
      <c r="AY584" s="57" t="str">
        <f>IF(AND(ISNUMBER(AC584),ISNUMBER(AE584)),AC584-AE584,"")</f>
        <v/>
      </c>
      <c r="AZ584" s="57" t="str">
        <f t="shared" si="41"/>
        <v/>
      </c>
      <c r="BA584" s="56" t="str">
        <f>IF(AND($E584&gt;0,$W584&gt;0),IF(($E584-$W584)/$E584&gt;0,($E584-$W584)/$E584,0),"")</f>
        <v/>
      </c>
      <c r="BB584" s="56">
        <f>IF(AND($I584&gt;0,$AF584&gt;=0),IF(($I584-$AF584)/$I584&gt;0,($I584-$AF584)/$I584,0),"")</f>
        <v>1</v>
      </c>
      <c r="BC584" s="56"/>
      <c r="BD584" s="56" t="str">
        <f>IF(AND($G584&gt;0,$AM584&gt;0),IF(($G584-$AM584)/$G584&gt;0,($G584-$AM584)/$G584,0),"")</f>
        <v/>
      </c>
      <c r="BE584" s="6">
        <f>IF((AD584-AF584)/(AJ584/60)&lt;=0,"",(AD584-AF584)/(AJ584/60))</f>
        <v>13.021276595744681</v>
      </c>
      <c r="BF584" s="6" t="e">
        <f>IF(OR(AJ584=0,AP584=0,NOT(ISNUMBER(AD584)),NOT(ISNUMBER(AF584)),NOT(ISNUMBER(AJ584)),NOT(ISNUMBER(AP584))),"",
IFERROR(IF((AD584-AF584)/(AJ584/60)/(AP584/1000)&lt;=0,"",(AD584-AF584)/(AJ584/60)/(AP584/1000)),""))</f>
        <v>#DIV/0!</v>
      </c>
    </row>
    <row r="585" spans="1:58" ht="15.75">
      <c r="B585" s="11">
        <v>45845</v>
      </c>
      <c r="C585" s="1">
        <v>341</v>
      </c>
      <c r="D585" s="3">
        <v>580</v>
      </c>
      <c r="E585" s="205" t="str">
        <f t="shared" si="42"/>
        <v/>
      </c>
      <c r="I585" s="15">
        <f>AD585</f>
        <v>30.6</v>
      </c>
      <c r="K585" s="10" t="str">
        <f t="shared" si="38"/>
        <v/>
      </c>
      <c r="L585" s="9" t="str">
        <f t="shared" si="39"/>
        <v/>
      </c>
      <c r="M585" s="8" t="str">
        <f t="shared" si="40"/>
        <v/>
      </c>
      <c r="AB585" s="5">
        <v>80</v>
      </c>
      <c r="AD585" s="65">
        <f>30.6</f>
        <v>30.6</v>
      </c>
      <c r="AG585" s="1">
        <v>1.04</v>
      </c>
      <c r="AJ585" s="1">
        <v>195</v>
      </c>
      <c r="AK585" s="3">
        <f>180+60</f>
        <v>240</v>
      </c>
      <c r="AN585" s="3">
        <v>40</v>
      </c>
      <c r="AP585" s="13">
        <f>AVERAGE(AO583:AO589)</f>
        <v>2280.0000000000182</v>
      </c>
      <c r="AR585" s="17" t="e">
        <f>(E585-W585)/E585</f>
        <v>#VALUE!</v>
      </c>
      <c r="AS585" s="16">
        <f>(I585-AF585)/I585</f>
        <v>1</v>
      </c>
      <c r="AT585" s="16">
        <f>AG585/(AD585-AF585)</f>
        <v>3.3986928104575161E-2</v>
      </c>
      <c r="AU585" s="16" t="e">
        <f>(G585-AM585)/G585</f>
        <v>#DIV/0!</v>
      </c>
      <c r="AV585" s="57" t="str">
        <f>IF(AND(ISNUMBER(E585),ISNUMBER(W585)),E585-W585,"")</f>
        <v/>
      </c>
      <c r="AW585" s="57" t="str">
        <f>IF(AND(ISNUMBER(I585),ISNUMBER(AF585)),I585-AF585,"")</f>
        <v/>
      </c>
      <c r="AX585" s="57" t="str">
        <f>IF(AND(ISNUMBER(AM585),ISNUMBER(G585)),G585-AM585,"")</f>
        <v/>
      </c>
      <c r="AY585" s="57" t="str">
        <f>IF(AND(ISNUMBER(AC585),ISNUMBER(AE585)),AC585-AE585,"")</f>
        <v/>
      </c>
      <c r="AZ585" s="57" t="str">
        <f t="shared" si="41"/>
        <v/>
      </c>
      <c r="BA585" s="56" t="str">
        <f>IF(AND($E585&gt;0,$W585&gt;0),IF(($E585-$W585)/$E585&gt;0,($E585-$W585)/$E585,0),"")</f>
        <v/>
      </c>
      <c r="BB585" s="56">
        <f>IF(AND($I585&gt;0,$AF585&gt;=0),IF(($I585-$AF585)/$I585&gt;0,($I585-$AF585)/$I585,0),"")</f>
        <v>1</v>
      </c>
      <c r="BC585" s="56"/>
      <c r="BD585" s="56" t="str">
        <f>IF(AND($G585&gt;0,$AM585&gt;0),IF(($G585-$AM585)/$G585&gt;0,($G585-$AM585)/$G585,0),"")</f>
        <v/>
      </c>
      <c r="BE585" s="6">
        <f>IF((AD585-AF585)/(AJ585/60)&lt;=0,"",(AD585-AF585)/(AJ585/60))</f>
        <v>9.4153846153846157</v>
      </c>
      <c r="BF585" s="6" t="str">
        <f>IF(OR(AJ585=0,AP585=0,NOT(ISNUMBER(AD585)),NOT(ISNUMBER(AF585)),NOT(ISNUMBER(AJ585)),NOT(ISNUMBER(AP585))),"",
IFERROR(IF((AD585-AF585)/(AJ585/60)/(AP585/1000)&lt;=0,"",(AD585-AF585)/(AJ585/60)/(AP585/1000)),""))</f>
        <v/>
      </c>
    </row>
    <row r="586" spans="1:58" ht="15.75">
      <c r="B586" s="63">
        <v>45846</v>
      </c>
      <c r="C586" s="1">
        <v>342</v>
      </c>
      <c r="D586" s="3">
        <v>581</v>
      </c>
      <c r="E586" s="205" t="str">
        <f t="shared" si="42"/>
        <v/>
      </c>
      <c r="G586" s="15">
        <f>(N586*18-H586*18)/9</f>
        <v>14.729999999999999</v>
      </c>
      <c r="H586" s="15">
        <f>5*0.127</f>
        <v>0.63500000000000001</v>
      </c>
      <c r="I586" s="15">
        <f>AD586</f>
        <v>30.4</v>
      </c>
      <c r="K586" s="10" t="str">
        <f t="shared" si="38"/>
        <v/>
      </c>
      <c r="L586" s="9" t="str">
        <f t="shared" si="39"/>
        <v/>
      </c>
      <c r="M586" s="8">
        <f t="shared" si="40"/>
        <v>4.1276306856754923</v>
      </c>
      <c r="N586" s="7">
        <f>5*1.6</f>
        <v>8</v>
      </c>
      <c r="T586" s="6">
        <f>30.4</f>
        <v>30.4</v>
      </c>
      <c r="U586" s="59">
        <f>1.112*1.067</f>
        <v>1.186504</v>
      </c>
      <c r="V586" s="59">
        <f>0.845*1.514</f>
        <v>1.2793300000000001</v>
      </c>
      <c r="W586" s="23">
        <f>U586*1.067+V586*1.514</f>
        <v>3.202905388</v>
      </c>
      <c r="X586" s="6">
        <v>3.5</v>
      </c>
      <c r="Y586" s="6">
        <v>0.2</v>
      </c>
      <c r="Z586" s="6">
        <v>3</v>
      </c>
      <c r="AA586" s="6">
        <v>-250</v>
      </c>
      <c r="AB586" s="5">
        <v>80</v>
      </c>
      <c r="AC586" s="7">
        <f>T586</f>
        <v>30.4</v>
      </c>
      <c r="AD586" s="1">
        <f>30.4</f>
        <v>30.4</v>
      </c>
      <c r="AE586" s="1">
        <f>5*0</f>
        <v>0</v>
      </c>
      <c r="AF586" s="1">
        <v>0</v>
      </c>
      <c r="AG586" s="62">
        <v>4.83</v>
      </c>
      <c r="AH586" s="2">
        <f>AVERAGE(AG586:AG646)</f>
        <v>7.9261111111111111</v>
      </c>
      <c r="AJ586" s="2">
        <f>("21:00"-"17:50")*1440</f>
        <v>189.99999999999997</v>
      </c>
      <c r="AK586" s="3">
        <f>180+60</f>
        <v>240</v>
      </c>
      <c r="AL586" s="4">
        <f>AE586</f>
        <v>0</v>
      </c>
      <c r="AM586" s="1">
        <v>0</v>
      </c>
      <c r="AN586" s="3">
        <v>40</v>
      </c>
      <c r="AP586" s="13">
        <f>AVERAGE(AO584:AO590)</f>
        <v>2280.0000000000182</v>
      </c>
      <c r="AR586" s="17"/>
      <c r="AS586" s="16">
        <f>(I586-AF586)/I586</f>
        <v>1</v>
      </c>
      <c r="AT586" s="16">
        <f>AG586/(AD586-AF586)</f>
        <v>0.15888157894736843</v>
      </c>
      <c r="AU586" s="61">
        <f>(G586-AM586)/G586</f>
        <v>1</v>
      </c>
      <c r="AV586" s="57" t="str">
        <f>IF(AND(ISNUMBER(E586),ISNUMBER(W586)),E586-W586,"")</f>
        <v/>
      </c>
      <c r="AW586" s="57">
        <f>IF(AND(ISNUMBER(I586),ISNUMBER(AF586)),I586-AF586,"")</f>
        <v>30.4</v>
      </c>
      <c r="AX586" s="57">
        <f>IF(AND(ISNUMBER(AM586),ISNUMBER(G586)),G586-AM586,"")</f>
        <v>14.729999999999999</v>
      </c>
      <c r="AY586" s="57">
        <f>IF(AND(ISNUMBER(AC586),ISNUMBER(AE586)),AC586-AE586,"")</f>
        <v>30.4</v>
      </c>
      <c r="AZ586" s="57">
        <f t="shared" si="41"/>
        <v>0</v>
      </c>
      <c r="BA586" s="60" t="e">
        <f>IF(AND($E586&gt;0,$W586&gt;0),IF(($E586-$W586)/$E586&gt;0,($E586-$W586)/$E586,0),"")</f>
        <v>#VALUE!</v>
      </c>
      <c r="BB586" s="60">
        <f>IF(AND($I586&gt;0,$AF586&gt;=0),IF(($I586-$AF586)/$I586&gt;0,($I586-$AF586)/$I586,0),"")</f>
        <v>1</v>
      </c>
      <c r="BC586" s="60">
        <f>IF(AND($AG586&gt;=0,$AD586&gt;=0,$AF586&gt;=0),IF($AG586/($AD586-$AF586)&gt;0,$AG586/($AD586-$AF586),0),"")</f>
        <v>0.15888157894736843</v>
      </c>
      <c r="BD586" s="60" t="str">
        <f>IF(AND($G586&gt;0,$AM586&gt;0),IF(($G586-$AM586)/$G586&gt;0,($G586-$AM586)/$G586,0),"")</f>
        <v/>
      </c>
      <c r="BE586" s="6">
        <f>IF((AD586-AF586)/(AJ586/60)&lt;=0,"",(AD586-AF586)/(AJ586/60))</f>
        <v>9.6000000000000014</v>
      </c>
      <c r="BF586" s="6">
        <f>IF(OR(AJ586=0,AP586=0,NOT(ISNUMBER(AD586)),NOT(ISNUMBER(AF586)),NOT(ISNUMBER(AJ586)),NOT(ISNUMBER(AP586))),"",
IFERROR(IF((AD586-AF586)/(AJ586/60)/(AP586/1000)&lt;=0,"",(AD586-AF586)/(AJ586/60)/(AP586/1000)),""))</f>
        <v>4.2105263157894415</v>
      </c>
    </row>
    <row r="587" spans="1:58" ht="15.75">
      <c r="B587" s="63">
        <v>45847</v>
      </c>
      <c r="C587" s="1">
        <v>343</v>
      </c>
      <c r="D587" s="3">
        <v>582</v>
      </c>
      <c r="E587" s="205" t="str">
        <f t="shared" si="42"/>
        <v/>
      </c>
      <c r="G587" s="70">
        <f>AVERAGE(G586,G589)</f>
        <v>15.215</v>
      </c>
      <c r="I587" s="15">
        <f>AD587</f>
        <v>30</v>
      </c>
      <c r="K587" s="10" t="str">
        <f t="shared" si="38"/>
        <v/>
      </c>
      <c r="L587" s="9" t="str">
        <f t="shared" si="39"/>
        <v/>
      </c>
      <c r="M587" s="8">
        <f t="shared" si="40"/>
        <v>3.9434768320736118</v>
      </c>
      <c r="AB587" s="5">
        <v>80</v>
      </c>
      <c r="AD587" s="65">
        <v>30</v>
      </c>
      <c r="AF587" s="1">
        <v>0</v>
      </c>
      <c r="AG587" s="62">
        <v>4.92</v>
      </c>
      <c r="AH587" s="2">
        <f>_xlfn.STDEV.P(AG586:AG646)</f>
        <v>3.5726659910983294</v>
      </c>
      <c r="AJ587" s="2">
        <f>("21:05"-"17:50")*1440</f>
        <v>194.99999999999994</v>
      </c>
      <c r="AK587" s="3">
        <f>180+60</f>
        <v>240</v>
      </c>
      <c r="AM587" s="68">
        <v>0.15</v>
      </c>
      <c r="AN587" s="3">
        <v>40</v>
      </c>
      <c r="AP587" s="13">
        <f>AVERAGE(AO585:AO591)</f>
        <v>2280.0000000000182</v>
      </c>
      <c r="AR587" s="17"/>
      <c r="AS587" s="16">
        <f>(I587-AF587)/I587</f>
        <v>1</v>
      </c>
      <c r="AT587" s="16">
        <f>AG587/(AD587-AF587)</f>
        <v>0.16400000000000001</v>
      </c>
      <c r="AU587" s="61">
        <f>(G587-AM587)/G587</f>
        <v>0.99014130791981592</v>
      </c>
      <c r="AV587" s="57" t="str">
        <f>IF(AND(ISNUMBER(E587),ISNUMBER(W587)),E587-W587,"")</f>
        <v/>
      </c>
      <c r="AW587" s="57">
        <f>IF(AND(ISNUMBER(I587),ISNUMBER(AF587)),I587-AF587,"")</f>
        <v>30</v>
      </c>
      <c r="AX587" s="57">
        <f>IF(AND(ISNUMBER(AM587),ISNUMBER(G587)),G587-AM587,"")</f>
        <v>15.065</v>
      </c>
      <c r="AY587" s="57" t="str">
        <f>IF(AND(ISNUMBER(AC587),ISNUMBER(AE587)),AC587-AE587,"")</f>
        <v/>
      </c>
      <c r="AZ587" s="57" t="str">
        <f t="shared" si="41"/>
        <v/>
      </c>
      <c r="BA587" s="60" t="str">
        <f>IF(AND($E587&gt;0,$W587&gt;0),IF(($E587-$W587)/$E587&gt;0,($E587-$W587)/$E587,0),"")</f>
        <v/>
      </c>
      <c r="BB587" s="60">
        <f>IF(AND($I587&gt;0,$AF587&gt;=0),IF(($I587-$AF587)/$I587&gt;0,($I587-$AF587)/$I587,0),"")</f>
        <v>1</v>
      </c>
      <c r="BC587" s="60">
        <f>IF(AND($AG587&gt;=0,$AD587&gt;=0,$AF587&gt;=0),IF($AG587/($AD587-$AF587)&gt;0,$AG587/($AD587-$AF587),0),"")</f>
        <v>0.16400000000000001</v>
      </c>
      <c r="BD587" s="60">
        <f>IF(AND($G587&gt;0,$AM587&gt;0),IF(($G587-$AM587)/$G587&gt;0,($G587-$AM587)/$G587,0),"")</f>
        <v>0.99014130791981592</v>
      </c>
      <c r="BE587" s="6">
        <f>IF((AD587-AF587)/(AJ587/60)&lt;=0,"",(AD587-AF587)/(AJ587/60))</f>
        <v>9.2307692307692335</v>
      </c>
      <c r="BF587" s="6">
        <f>IF(OR(AJ587=0,AP587=0,NOT(ISNUMBER(AD587)),NOT(ISNUMBER(AF587)),NOT(ISNUMBER(AJ587)),NOT(ISNUMBER(AP587))),"",
IFERROR(IF((AD587-AF587)/(AJ587/60)/(AP587/1000)&lt;=0,"",(AD587-AF587)/(AJ587/60)/(AP587/1000)),""))</f>
        <v>4.0485829959513859</v>
      </c>
    </row>
    <row r="588" spans="1:58" ht="15.75">
      <c r="B588" s="66">
        <v>45848</v>
      </c>
      <c r="C588" s="1">
        <v>344</v>
      </c>
      <c r="D588" s="3">
        <v>583</v>
      </c>
      <c r="E588" s="205" t="str">
        <f t="shared" si="42"/>
        <v/>
      </c>
      <c r="G588" s="70">
        <f>AVERAGE(G587,G590)</f>
        <v>15.215</v>
      </c>
      <c r="I588" s="15">
        <f>AD588</f>
        <v>29.5</v>
      </c>
      <c r="K588" s="10" t="str">
        <f t="shared" si="38"/>
        <v/>
      </c>
      <c r="L588" s="9" t="str">
        <f t="shared" si="39"/>
        <v/>
      </c>
      <c r="M588" s="8">
        <f t="shared" si="40"/>
        <v>3.877752218205718</v>
      </c>
      <c r="AB588" s="5">
        <v>80</v>
      </c>
      <c r="AD588" s="65">
        <v>29.5</v>
      </c>
      <c r="AF588" s="1">
        <v>0</v>
      </c>
      <c r="AG588" s="69">
        <v>5.79</v>
      </c>
      <c r="AJ588" s="2">
        <f>("21:00"-"17:50")*1440</f>
        <v>189.99999999999997</v>
      </c>
      <c r="AK588" s="3">
        <f>180+60</f>
        <v>240</v>
      </c>
      <c r="AM588" s="68">
        <v>0.15</v>
      </c>
      <c r="AN588" s="3">
        <v>40</v>
      </c>
      <c r="AP588" s="13">
        <f>AVERAGE(AO586:AO592)</f>
        <v>2280.0000000000182</v>
      </c>
      <c r="AR588" s="17"/>
      <c r="AS588" s="16">
        <f>(I588-AF588)/I588</f>
        <v>1</v>
      </c>
      <c r="AT588" s="16">
        <f>AG588/(AD588-AF588)</f>
        <v>0.19627118644067798</v>
      </c>
      <c r="AU588" s="61">
        <f>(G588-AM588)/G588</f>
        <v>0.99014130791981592</v>
      </c>
      <c r="AV588" s="57" t="str">
        <f>IF(AND(ISNUMBER(E588),ISNUMBER(W588)),E588-W588,"")</f>
        <v/>
      </c>
      <c r="AW588" s="57">
        <f>IF(AND(ISNUMBER(I588),ISNUMBER(AF588)),I588-AF588,"")</f>
        <v>29.5</v>
      </c>
      <c r="AX588" s="57">
        <f>IF(AND(ISNUMBER(AM588),ISNUMBER(G588)),G588-AM588,"")</f>
        <v>15.065</v>
      </c>
      <c r="AY588" s="57" t="str">
        <f>IF(AND(ISNUMBER(AC588),ISNUMBER(AE588)),AC588-AE588,"")</f>
        <v/>
      </c>
      <c r="AZ588" s="57" t="str">
        <f t="shared" si="41"/>
        <v/>
      </c>
      <c r="BA588" s="60" t="str">
        <f>IF(AND($E588&gt;0,$W588&gt;0),IF(($E588-$W588)/$E588&gt;0,($E588-$W588)/$E588,0),"")</f>
        <v/>
      </c>
      <c r="BB588" s="60">
        <f>IF(AND($I588&gt;0,$AF588&gt;=0),IF(($I588-$AF588)/$I588&gt;0,($I588-$AF588)/$I588,0),"")</f>
        <v>1</v>
      </c>
      <c r="BC588" s="60">
        <f>IF(AND($AG588&gt;=0,$AD588&gt;=0,$AF588&gt;=0),IF($AG588/($AD588-$AF588)&gt;0,$AG588/($AD588-$AF588),0),"")</f>
        <v>0.19627118644067798</v>
      </c>
      <c r="BD588" s="60">
        <f>IF(AND($G588&gt;0,$AM588&gt;0),IF(($G588-$AM588)/$G588&gt;0,($G588-$AM588)/$G588,0),"")</f>
        <v>0.99014130791981592</v>
      </c>
      <c r="BE588" s="6">
        <f>IF((AD588-AF588)/(AJ588/60)&lt;=0,"",(AD588-AF588)/(AJ588/60))</f>
        <v>9.3157894736842124</v>
      </c>
      <c r="BF588" s="6">
        <f>IF(OR(AJ588=0,AP588=0,NOT(ISNUMBER(AD588)),NOT(ISNUMBER(AF588)),NOT(ISNUMBER(AJ588)),NOT(ISNUMBER(AP588))),"",
IFERROR(IF((AD588-AF588)/(AJ588/60)/(AP588/1000)&lt;=0,"",(AD588-AF588)/(AJ588/60)/(AP588/1000)),""))</f>
        <v>4.0858725761772536</v>
      </c>
    </row>
    <row r="589" spans="1:58" ht="15.75">
      <c r="B589" s="63">
        <v>45849</v>
      </c>
      <c r="C589" s="1">
        <v>345</v>
      </c>
      <c r="D589" s="3">
        <v>584</v>
      </c>
      <c r="E589" s="205">
        <f t="shared" si="42"/>
        <v>233.46616399999999</v>
      </c>
      <c r="G589" s="15">
        <f>(N589*18-H589*18)/9</f>
        <v>15.700000000000001</v>
      </c>
      <c r="H589" s="9">
        <f>2*0</f>
        <v>0</v>
      </c>
      <c r="I589" s="15">
        <f>AD589</f>
        <v>29.2</v>
      </c>
      <c r="K589" s="10">
        <f t="shared" si="38"/>
        <v>14.870456305732482</v>
      </c>
      <c r="L589" s="9">
        <f t="shared" si="39"/>
        <v>3.9977082876712329</v>
      </c>
      <c r="M589" s="8">
        <f t="shared" si="40"/>
        <v>3.7197452229299359</v>
      </c>
      <c r="N589" s="7">
        <f>5*1.57</f>
        <v>7.8500000000000005</v>
      </c>
      <c r="O589" s="6">
        <v>75.16</v>
      </c>
      <c r="P589" s="6">
        <v>24.132999999999999</v>
      </c>
      <c r="Q589" s="6">
        <f>O589*1.067</f>
        <v>80.195719999999994</v>
      </c>
      <c r="R589" s="6">
        <f>P589*1.514</f>
        <v>36.537362000000002</v>
      </c>
      <c r="S589" s="23">
        <f>P589*1.514+O589*1.067</f>
        <v>116.733082</v>
      </c>
      <c r="T589" s="6">
        <f>32.2</f>
        <v>32.200000000000003</v>
      </c>
      <c r="U589" s="59">
        <f>0.002*1.067</f>
        <v>2.134E-3</v>
      </c>
      <c r="V589" s="59">
        <f>0.845*1.514</f>
        <v>1.2793300000000001</v>
      </c>
      <c r="W589" s="23">
        <f>U589*1.067+V589*1.514</f>
        <v>1.9391825980000001</v>
      </c>
      <c r="X589" s="6">
        <v>0.3</v>
      </c>
      <c r="Y589" s="6">
        <v>0</v>
      </c>
      <c r="Z589" s="6">
        <v>50</v>
      </c>
      <c r="AA589" s="6">
        <v>-228</v>
      </c>
      <c r="AB589" s="5">
        <v>80</v>
      </c>
      <c r="AC589" s="7">
        <f>T589</f>
        <v>32.200000000000003</v>
      </c>
      <c r="AD589" s="1">
        <f>29.2</f>
        <v>29.2</v>
      </c>
      <c r="AE589" s="1">
        <f>5*0.283</f>
        <v>1.4149999999999998</v>
      </c>
      <c r="AF589" s="1">
        <v>0</v>
      </c>
      <c r="AG589" s="62">
        <v>5.29</v>
      </c>
      <c r="AJ589" s="2">
        <f>("20:40"-"17:50")*1440</f>
        <v>170.00000000000003</v>
      </c>
      <c r="AK589" s="3">
        <f>180+60</f>
        <v>240</v>
      </c>
      <c r="AL589" s="4">
        <f>AE589</f>
        <v>1.4149999999999998</v>
      </c>
      <c r="AM589" s="1">
        <f>2*0.076</f>
        <v>0.152</v>
      </c>
      <c r="AN589" s="3">
        <v>40</v>
      </c>
      <c r="AO589" s="2">
        <v>2280.0000000000182</v>
      </c>
      <c r="AP589" s="13">
        <f>AVERAGE(AO587:AO593)</f>
        <v>2280.0000000000182</v>
      </c>
      <c r="AR589" s="17">
        <f>(E589-W589)/E589</f>
        <v>0.99169394586018045</v>
      </c>
      <c r="AS589" s="16">
        <f>(I589-AF589)/I589</f>
        <v>1</v>
      </c>
      <c r="AT589" s="16">
        <f>AG589/(AD589-AF589)</f>
        <v>0.18116438356164385</v>
      </c>
      <c r="AU589" s="61">
        <f>(G589-AM589)/G589</f>
        <v>0.99031847133757966</v>
      </c>
      <c r="AV589" s="57">
        <f>IF(AND(ISNUMBER(E589),ISNUMBER(W589)),E589-W589,"")</f>
        <v>231.52698140199999</v>
      </c>
      <c r="AW589" s="57">
        <f>IF(AND(ISNUMBER(I589),ISNUMBER(AF589)),I589-AF589,"")</f>
        <v>29.2</v>
      </c>
      <c r="AX589" s="57">
        <f>IF(AND(ISNUMBER(AM589),ISNUMBER(G589)),G589-AM589,"")</f>
        <v>15.548000000000002</v>
      </c>
      <c r="AY589" s="57">
        <f>IF(AND(ISNUMBER(AC589),ISNUMBER(AE589)),AC589-AE589,"")</f>
        <v>30.785000000000004</v>
      </c>
      <c r="AZ589" s="57">
        <f t="shared" si="41"/>
        <v>1.2629999999999999</v>
      </c>
      <c r="BA589" s="60">
        <f>IF(AND($E589&gt;0,$W589&gt;0),IF(($E589-$W589)/$E589&gt;0,($E589-$W589)/$E589,0),"")</f>
        <v>0.99169394586018045</v>
      </c>
      <c r="BB589" s="60">
        <f>IF(AND($I589&gt;0,$AF589&gt;=0),IF(($I589-$AF589)/$I589&gt;0,($I589-$AF589)/$I589,0),"")</f>
        <v>1</v>
      </c>
      <c r="BC589" s="60">
        <f>IF(AND($AG589&gt;=0,$AD589&gt;=0,$AF589&gt;=0),IF($AG589/($AD589-$AF589)&gt;0,$AG589/($AD589-$AF589),0),"")</f>
        <v>0.18116438356164385</v>
      </c>
      <c r="BD589" s="60">
        <f>IF(AND($G589&gt;0,$AM589&gt;0),IF(($G589-$AM589)/$G589&gt;0,($G589-$AM589)/$G589,0),"")</f>
        <v>0.99031847133757966</v>
      </c>
      <c r="BE589" s="6">
        <f>IF((AD589-AF589)/(AJ589/60)&lt;=0,"",(AD589-AF589)/(AJ589/60))</f>
        <v>10.305882352941174</v>
      </c>
      <c r="BF589" s="6">
        <f>IF(OR(AJ589=0,AP589=0,NOT(ISNUMBER(AD589)),NOT(ISNUMBER(AF589)),NOT(ISNUMBER(AJ589)),NOT(ISNUMBER(AP589))),"",
IFERROR(IF((AD589-AF589)/(AJ589/60)/(AP589/1000)&lt;=0,"",(AD589-AF589)/(AJ589/60)/(AP589/1000)),""))</f>
        <v>4.5201238390092513</v>
      </c>
    </row>
    <row r="590" spans="1:58" ht="15.75">
      <c r="B590" s="63">
        <v>45850</v>
      </c>
      <c r="C590" s="1">
        <v>346</v>
      </c>
      <c r="D590" s="3">
        <v>585</v>
      </c>
      <c r="E590" s="205" t="str">
        <f t="shared" si="42"/>
        <v/>
      </c>
      <c r="I590" s="15">
        <f>AD590</f>
        <v>29.2</v>
      </c>
      <c r="K590" s="10" t="str">
        <f t="shared" si="38"/>
        <v/>
      </c>
      <c r="L590" s="9" t="str">
        <f t="shared" si="39"/>
        <v/>
      </c>
      <c r="M590" s="8" t="str">
        <f t="shared" si="40"/>
        <v/>
      </c>
      <c r="AB590" s="5">
        <v>80</v>
      </c>
      <c r="AD590" s="65">
        <f>29.2</f>
        <v>29.2</v>
      </c>
      <c r="AF590" s="1">
        <v>0</v>
      </c>
      <c r="AG590" s="62">
        <v>4.6900000000000004</v>
      </c>
      <c r="AJ590" s="2">
        <f>("19:35"-"17:50")*1440</f>
        <v>104.99999999999994</v>
      </c>
      <c r="AK590" s="3">
        <f>180+60</f>
        <v>240</v>
      </c>
      <c r="AN590" s="3">
        <v>40</v>
      </c>
      <c r="AP590" s="13">
        <f>AVERAGE(AO588:AO594)</f>
        <v>2280.0000000000182</v>
      </c>
      <c r="AR590" s="17"/>
      <c r="AS590" s="16">
        <f>(I590-AF590)/I590</f>
        <v>1</v>
      </c>
      <c r="AT590" s="16">
        <f>AG590/(AD590-AF590)</f>
        <v>0.1606164383561644</v>
      </c>
      <c r="AU590" s="61"/>
      <c r="AV590" s="57" t="str">
        <f>IF(AND(ISNUMBER(E590),ISNUMBER(W590)),E590-W590,"")</f>
        <v/>
      </c>
      <c r="AW590" s="57">
        <f>IF(AND(ISNUMBER(I590),ISNUMBER(AF590)),I590-AF590,"")</f>
        <v>29.2</v>
      </c>
      <c r="AX590" s="57" t="str">
        <f>IF(AND(ISNUMBER(AM590),ISNUMBER(G590)),G590-AM590,"")</f>
        <v/>
      </c>
      <c r="AY590" s="57" t="str">
        <f>IF(AND(ISNUMBER(AC590),ISNUMBER(AE590)),AC590-AE590,"")</f>
        <v/>
      </c>
      <c r="AZ590" s="57" t="str">
        <f t="shared" si="41"/>
        <v/>
      </c>
      <c r="BA590" s="60" t="str">
        <f>IF(AND($E590&gt;0,$W590&gt;0),IF(($E590-$W590)/$E590&gt;0,($E590-$W590)/$E590,0),"")</f>
        <v/>
      </c>
      <c r="BB590" s="60">
        <f>IF(AND($I590&gt;0,$AF590&gt;=0),IF(($I590-$AF590)/$I590&gt;0,($I590-$AF590)/$I590,0),"")</f>
        <v>1</v>
      </c>
      <c r="BC590" s="60">
        <f>IF(AND($AG590&gt;=0,$AD590&gt;=0,$AF590&gt;=0),IF($AG590/($AD590-$AF590)&gt;0,$AG590/($AD590-$AF590),0),"")</f>
        <v>0.1606164383561644</v>
      </c>
      <c r="BD590" s="60" t="str">
        <f>IF(AND($G590&gt;0,$AM590&gt;0),IF(($G590-$AM590)/$G590&gt;0,($G590-$AM590)/$G590,0),"")</f>
        <v/>
      </c>
      <c r="BE590" s="6">
        <f>IF((AD590-AF590)/(AJ590/60)&lt;=0,"",(AD590-AF590)/(AJ590/60))</f>
        <v>16.685714285714294</v>
      </c>
      <c r="BF590" s="6">
        <f>IF(OR(AJ590=0,AP590=0,NOT(ISNUMBER(AD590)),NOT(ISNUMBER(AF590)),NOT(ISNUMBER(AJ590)),NOT(ISNUMBER(AP590))),"",
IFERROR(IF((AD590-AF590)/(AJ590/60)/(AP590/1000)&lt;=0,"",(AD590-AF590)/(AJ590/60)/(AP590/1000)),""))</f>
        <v>7.3182957393483168</v>
      </c>
    </row>
    <row r="591" spans="1:58" ht="15.75">
      <c r="B591" s="63">
        <v>45851</v>
      </c>
      <c r="C591" s="1">
        <v>347</v>
      </c>
      <c r="D591" s="3">
        <v>586</v>
      </c>
      <c r="E591" s="205" t="str">
        <f t="shared" si="42"/>
        <v/>
      </c>
      <c r="I591" s="15">
        <f>AD591</f>
        <v>29.2</v>
      </c>
      <c r="K591" s="10" t="str">
        <f t="shared" si="38"/>
        <v/>
      </c>
      <c r="L591" s="9" t="str">
        <f t="shared" si="39"/>
        <v/>
      </c>
      <c r="M591" s="8" t="str">
        <f t="shared" si="40"/>
        <v/>
      </c>
      <c r="AB591" s="5">
        <v>80</v>
      </c>
      <c r="AD591" s="65">
        <f>29.2</f>
        <v>29.2</v>
      </c>
      <c r="AF591" s="1">
        <v>0</v>
      </c>
      <c r="AG591" s="62">
        <v>4.38</v>
      </c>
      <c r="AJ591" s="2">
        <f>("19:30"-"17:50")*1440</f>
        <v>99.999999999999972</v>
      </c>
      <c r="AK591" s="3">
        <f>180+60</f>
        <v>240</v>
      </c>
      <c r="AN591" s="3">
        <v>40</v>
      </c>
      <c r="AP591" s="13">
        <f>AVERAGE(AO589:AO595)</f>
        <v>2629.9999999999955</v>
      </c>
      <c r="AR591" s="17"/>
      <c r="AS591" s="16">
        <f>(I591-AF591)/I591</f>
        <v>1</v>
      </c>
      <c r="AT591" s="16">
        <f>AG591/(AD591-AF591)</f>
        <v>0.15</v>
      </c>
      <c r="AU591" s="61"/>
      <c r="AV591" s="57" t="str">
        <f>IF(AND(ISNUMBER(E591),ISNUMBER(W591)),E591-W591,"")</f>
        <v/>
      </c>
      <c r="AW591" s="57">
        <f>IF(AND(ISNUMBER(I591),ISNUMBER(AF591)),I591-AF591,"")</f>
        <v>29.2</v>
      </c>
      <c r="AX591" s="57" t="str">
        <f>IF(AND(ISNUMBER(AM591),ISNUMBER(G591)),G591-AM591,"")</f>
        <v/>
      </c>
      <c r="AY591" s="57" t="str">
        <f>IF(AND(ISNUMBER(AC591),ISNUMBER(AE591)),AC591-AE591,"")</f>
        <v/>
      </c>
      <c r="AZ591" s="57" t="str">
        <f t="shared" si="41"/>
        <v/>
      </c>
      <c r="BA591" s="60" t="str">
        <f>IF(AND($E591&gt;0,$W591&gt;0),IF(($E591-$W591)/$E591&gt;0,($E591-$W591)/$E591,0),"")</f>
        <v/>
      </c>
      <c r="BB591" s="60">
        <f>IF(AND($I591&gt;0,$AF591&gt;=0),IF(($I591-$AF591)/$I591&gt;0,($I591-$AF591)/$I591,0),"")</f>
        <v>1</v>
      </c>
      <c r="BC591" s="60">
        <f>IF(AND($AG591&gt;=0,$AD591&gt;=0,$AF591&gt;=0),IF($AG591/($AD591-$AF591)&gt;0,$AG591/($AD591-$AF591),0),"")</f>
        <v>0.15</v>
      </c>
      <c r="BD591" s="60" t="str">
        <f>IF(AND($G591&gt;0,$AM591&gt;0),IF(($G591-$AM591)/$G591&gt;0,($G591-$AM591)/$G591,0),"")</f>
        <v/>
      </c>
      <c r="BE591" s="6">
        <f>IF((AD591-AF591)/(AJ591/60)&lt;=0,"",(AD591-AF591)/(AJ591/60))</f>
        <v>17.520000000000003</v>
      </c>
      <c r="BF591" s="6">
        <f>IF(OR(AJ591=0,AP591=0,NOT(ISNUMBER(AD591)),NOT(ISNUMBER(AF591)),NOT(ISNUMBER(AJ591)),NOT(ISNUMBER(AP591))),"",
IFERROR(IF((AD591-AF591)/(AJ591/60)/(AP591/1000)&lt;=0,"",(AD591-AF591)/(AJ591/60)/(AP591/1000)),""))</f>
        <v>6.6615969581749175</v>
      </c>
    </row>
    <row r="592" spans="1:58" ht="15.75">
      <c r="B592" s="63">
        <v>45852</v>
      </c>
      <c r="C592" s="1">
        <v>348</v>
      </c>
      <c r="D592" s="3">
        <v>587</v>
      </c>
      <c r="E592" s="205" t="str">
        <f t="shared" si="42"/>
        <v/>
      </c>
      <c r="G592" s="15">
        <f>(N592*18-H592*18)/9</f>
        <v>18.500000000000004</v>
      </c>
      <c r="H592" s="9">
        <f>2*4.4</f>
        <v>8.8000000000000007</v>
      </c>
      <c r="I592" s="15">
        <f>AD592</f>
        <v>29.5</v>
      </c>
      <c r="K592" s="10" t="str">
        <f t="shared" si="38"/>
        <v/>
      </c>
      <c r="L592" s="9" t="str">
        <f t="shared" si="39"/>
        <v/>
      </c>
      <c r="M592" s="8">
        <f t="shared" si="40"/>
        <v>3.1891891891891886</v>
      </c>
      <c r="N592" s="7">
        <f>5*3.61</f>
        <v>18.05</v>
      </c>
      <c r="O592" s="6">
        <v>54.886000000000003</v>
      </c>
      <c r="P592" s="6">
        <v>22.305</v>
      </c>
      <c r="T592" s="6">
        <f>51</f>
        <v>51</v>
      </c>
      <c r="AB592" s="5">
        <v>80</v>
      </c>
      <c r="AC592" s="4">
        <v>51</v>
      </c>
      <c r="AD592" s="1">
        <v>29.5</v>
      </c>
      <c r="AE592" s="1">
        <f>5*3.5</f>
        <v>17.5</v>
      </c>
      <c r="AF592" s="1">
        <v>0</v>
      </c>
      <c r="AG592" s="62">
        <v>5.88</v>
      </c>
      <c r="AJ592" s="2">
        <f>("19:20"-"17:50")*1440</f>
        <v>90</v>
      </c>
      <c r="AK592" s="3">
        <f>180+60</f>
        <v>240</v>
      </c>
      <c r="AL592" s="4">
        <f>AE592</f>
        <v>17.5</v>
      </c>
      <c r="AM592" s="1">
        <f>5*3.01</f>
        <v>15.049999999999999</v>
      </c>
      <c r="AN592" s="3">
        <v>40</v>
      </c>
      <c r="AP592" s="13">
        <f>AVERAGE(AO590:AO596)</f>
        <v>2974.9999999999773</v>
      </c>
      <c r="AR592" s="17"/>
      <c r="AS592" s="16">
        <f>(I592-AF592)/I592</f>
        <v>1</v>
      </c>
      <c r="AT592" s="16">
        <f>AG592/(AD592-AF592)</f>
        <v>0.19932203389830508</v>
      </c>
      <c r="AU592" s="61">
        <f>(G592-AM592)/G592</f>
        <v>0.18648648648648669</v>
      </c>
      <c r="AV592" s="57" t="str">
        <f>IF(AND(ISNUMBER(E592),ISNUMBER(W592)),E592-W592,"")</f>
        <v/>
      </c>
      <c r="AW592" s="57">
        <f>IF(AND(ISNUMBER(I592),ISNUMBER(AF592)),I592-AF592,"")</f>
        <v>29.5</v>
      </c>
      <c r="AX592" s="57">
        <f>IF(AND(ISNUMBER(AM592),ISNUMBER(G592)),G592-AM592,"")</f>
        <v>3.4500000000000046</v>
      </c>
      <c r="AY592" s="57">
        <f>IF(AND(ISNUMBER(AC592),ISNUMBER(AE592)),AC592-AE592,"")</f>
        <v>33.5</v>
      </c>
      <c r="AZ592" s="57">
        <f t="shared" si="41"/>
        <v>2.4500000000000011</v>
      </c>
      <c r="BA592" s="60" t="str">
        <f>IF(AND($E592&gt;0,$W592&gt;0),IF(($E592-$W592)/$E592&gt;0,($E592-$W592)/$E592,0),"")</f>
        <v/>
      </c>
      <c r="BB592" s="60">
        <f>IF(AND($I592&gt;0,$AF592&gt;=0),IF(($I592-$AF592)/$I592&gt;0,($I592-$AF592)/$I592,0),"")</f>
        <v>1</v>
      </c>
      <c r="BC592" s="60">
        <f>IF(AND($AG592&gt;=0,$AD592&gt;=0,$AF592&gt;=0),IF($AG592/($AD592-$AF592)&gt;0,$AG592/($AD592-$AF592),0),"")</f>
        <v>0.19932203389830508</v>
      </c>
      <c r="BD592" s="60"/>
      <c r="BE592" s="6">
        <f>IF((AD592-AF592)/(AJ592/60)&lt;=0,"",(AD592-AF592)/(AJ592/60))</f>
        <v>19.666666666666668</v>
      </c>
      <c r="BF592" s="6">
        <f>IF(OR(AJ592=0,AP592=0,NOT(ISNUMBER(AD592)),NOT(ISNUMBER(AF592)),NOT(ISNUMBER(AJ592)),NOT(ISNUMBER(AP592))),"",
IFERROR(IF((AD592-AF592)/(AJ592/60)/(AP592/1000)&lt;=0,"",(AD592-AF592)/(AJ592/60)/(AP592/1000)),""))</f>
        <v>6.6106442577031315</v>
      </c>
    </row>
    <row r="593" spans="1:58" ht="15.75">
      <c r="B593" s="63">
        <v>45853</v>
      </c>
      <c r="C593" s="1">
        <v>349</v>
      </c>
      <c r="D593" s="3">
        <v>588</v>
      </c>
      <c r="E593" s="205" t="str">
        <f t="shared" si="42"/>
        <v/>
      </c>
      <c r="I593" s="15">
        <f>AD593</f>
        <v>29.75</v>
      </c>
      <c r="K593" s="10" t="str">
        <f t="shared" si="38"/>
        <v/>
      </c>
      <c r="L593" s="9" t="str">
        <f t="shared" si="39"/>
        <v/>
      </c>
      <c r="M593" s="8" t="str">
        <f t="shared" si="40"/>
        <v/>
      </c>
      <c r="AB593" s="5">
        <v>80</v>
      </c>
      <c r="AD593" s="65">
        <v>29.75</v>
      </c>
      <c r="AF593" s="1">
        <v>0</v>
      </c>
      <c r="AG593" s="62">
        <v>7.09</v>
      </c>
      <c r="AJ593" s="2">
        <f>("19:45"-"17:50")*1440</f>
        <v>114.99999999999991</v>
      </c>
      <c r="AK593" s="3">
        <f>180+60</f>
        <v>240</v>
      </c>
      <c r="AN593" s="3">
        <v>40</v>
      </c>
      <c r="AP593" s="13">
        <f>AVERAGE(AO591:AO597)</f>
        <v>2974.9999999999773</v>
      </c>
      <c r="AR593" s="17"/>
      <c r="AS593" s="16">
        <f>(I593-AF593)/I593</f>
        <v>1</v>
      </c>
      <c r="AT593" s="16">
        <f>AG593/(AD593-AF593)</f>
        <v>0.23831932773109243</v>
      </c>
      <c r="AU593" s="61"/>
      <c r="AV593" s="57" t="str">
        <f>IF(AND(ISNUMBER(E593),ISNUMBER(W593)),E593-W593,"")</f>
        <v/>
      </c>
      <c r="AW593" s="57">
        <f>IF(AND(ISNUMBER(I593),ISNUMBER(AF593)),I593-AF593,"")</f>
        <v>29.75</v>
      </c>
      <c r="AX593" s="57" t="str">
        <f>IF(AND(ISNUMBER(AM593),ISNUMBER(G593)),G593-AM593,"")</f>
        <v/>
      </c>
      <c r="AY593" s="57" t="str">
        <f>IF(AND(ISNUMBER(AC593),ISNUMBER(AE593)),AC593-AE593,"")</f>
        <v/>
      </c>
      <c r="AZ593" s="57" t="str">
        <f t="shared" si="41"/>
        <v/>
      </c>
      <c r="BA593" s="60" t="str">
        <f>IF(AND($E593&gt;0,$W593&gt;0),IF(($E593-$W593)/$E593&gt;0,($E593-$W593)/$E593,0),"")</f>
        <v/>
      </c>
      <c r="BB593" s="60">
        <f>IF(AND($I593&gt;0,$AF593&gt;=0),IF(($I593-$AF593)/$I593&gt;0,($I593-$AF593)/$I593,0),"")</f>
        <v>1</v>
      </c>
      <c r="BC593" s="60">
        <f>IF(AND($AG593&gt;=0,$AD593&gt;=0,$AF593&gt;=0),IF($AG593/($AD593-$AF593)&gt;0,$AG593/($AD593-$AF593),0),"")</f>
        <v>0.23831932773109243</v>
      </c>
      <c r="BD593" s="60" t="str">
        <f>IF(AND($G593&gt;0,$AM593&gt;0),IF(($G593-$AM593)/$G593&gt;0,($G593-$AM593)/$G593,0),"")</f>
        <v/>
      </c>
      <c r="BE593" s="6">
        <f>IF((AD593-AF593)/(AJ593/60)&lt;=0,"",(AD593-AF593)/(AJ593/60))</f>
        <v>15.521739130434794</v>
      </c>
      <c r="BF593" s="6">
        <f>IF(OR(AJ593=0,AP593=0,NOT(ISNUMBER(AD593)),NOT(ISNUMBER(AF593)),NOT(ISNUMBER(AJ593)),NOT(ISNUMBER(AP593))),"",
IFERROR(IF((AD593-AF593)/(AJ593/60)/(AP593/1000)&lt;=0,"",(AD593-AF593)/(AJ593/60)/(AP593/1000)),""))</f>
        <v>5.2173913043478697</v>
      </c>
    </row>
    <row r="594" spans="1:58" ht="15.75">
      <c r="B594" s="63">
        <v>45854</v>
      </c>
      <c r="C594" s="1">
        <v>350</v>
      </c>
      <c r="D594" s="3">
        <v>589</v>
      </c>
      <c r="E594" s="205" t="str">
        <f t="shared" si="42"/>
        <v/>
      </c>
      <c r="I594" s="15">
        <f>AD594</f>
        <v>30</v>
      </c>
      <c r="K594" s="10" t="str">
        <f t="shared" si="38"/>
        <v/>
      </c>
      <c r="L594" s="9" t="str">
        <f t="shared" si="39"/>
        <v/>
      </c>
      <c r="M594" s="8" t="str">
        <f t="shared" si="40"/>
        <v/>
      </c>
      <c r="AB594" s="5">
        <v>80</v>
      </c>
      <c r="AC594" s="4">
        <v>41.4</v>
      </c>
      <c r="AD594" s="65">
        <f>30</f>
        <v>30</v>
      </c>
      <c r="AE594" s="1">
        <f>5*2.01</f>
        <v>10.049999999999999</v>
      </c>
      <c r="AF594" s="1">
        <v>0</v>
      </c>
      <c r="AG594" s="62">
        <v>6.01</v>
      </c>
      <c r="AJ594" s="2">
        <f>("19:35"-"17:50")*1440</f>
        <v>104.99999999999994</v>
      </c>
      <c r="AK594" s="3">
        <f>180+60</f>
        <v>240</v>
      </c>
      <c r="AL594" s="4">
        <f>AE594</f>
        <v>10.049999999999999</v>
      </c>
      <c r="AM594" s="1">
        <f>5*1.82</f>
        <v>9.1</v>
      </c>
      <c r="AN594" s="3">
        <v>40</v>
      </c>
      <c r="AP594" s="13">
        <f>AVERAGE(AO592:AO598)</f>
        <v>2974.9999999999773</v>
      </c>
      <c r="AR594" s="17"/>
      <c r="AS594" s="16">
        <f>(I594-AF594)/I594</f>
        <v>1</v>
      </c>
      <c r="AT594" s="16">
        <f>AG594/(AD594-AF594)</f>
        <v>0.20033333333333334</v>
      </c>
      <c r="AU594" s="61"/>
      <c r="AV594" s="57" t="str">
        <f>IF(AND(ISNUMBER(E594),ISNUMBER(W594)),E594-W594,"")</f>
        <v/>
      </c>
      <c r="AW594" s="57">
        <f>IF(AND(ISNUMBER(I594),ISNUMBER(AF594)),I594-AF594,"")</f>
        <v>30</v>
      </c>
      <c r="AX594" s="57" t="str">
        <f>IF(AND(ISNUMBER(AM594),ISNUMBER(G594)),G594-AM594,"")</f>
        <v/>
      </c>
      <c r="AY594" s="57">
        <f>IF(AND(ISNUMBER(AC594),ISNUMBER(AE594)),AC594-AE594,"")</f>
        <v>31.35</v>
      </c>
      <c r="AZ594" s="57">
        <f t="shared" si="41"/>
        <v>0.94999999999999929</v>
      </c>
      <c r="BA594" s="60" t="str">
        <f>IF(AND($E594&gt;0,$W594&gt;0),IF(($E594-$W594)/$E594&gt;0,($E594-$W594)/$E594,0),"")</f>
        <v/>
      </c>
      <c r="BB594" s="60">
        <f>IF(AND($I594&gt;0,$AF594&gt;=0),IF(($I594-$AF594)/$I594&gt;0,($I594-$AF594)/$I594,0),"")</f>
        <v>1</v>
      </c>
      <c r="BC594" s="60">
        <f>IF(AND($AG594&gt;=0,$AD594&gt;=0,$AF594&gt;=0),IF($AG594/($AD594-$AF594)&gt;0,$AG594/($AD594-$AF594),0),"")</f>
        <v>0.20033333333333334</v>
      </c>
      <c r="BD594" s="60" t="str">
        <f>IF(AND($G594&gt;0,$AM594&gt;0),IF(($G594-$AM594)/$G594&gt;0,($G594-$AM594)/$G594,0),"")</f>
        <v/>
      </c>
      <c r="BE594" s="6">
        <f>IF((AD594-AF594)/(AJ594/60)&lt;=0,"",(AD594-AF594)/(AJ594/60))</f>
        <v>17.142857142857153</v>
      </c>
      <c r="BF594" s="6">
        <f>IF(OR(AJ594=0,AP594=0,NOT(ISNUMBER(AD594)),NOT(ISNUMBER(AF594)),NOT(ISNUMBER(AJ594)),NOT(ISNUMBER(AP594))),"",
IFERROR(IF((AD594-AF594)/(AJ594/60)/(AP594/1000)&lt;=0,"",(AD594-AF594)/(AJ594/60)/(AP594/1000)),""))</f>
        <v>5.7623049219688349</v>
      </c>
    </row>
    <row r="595" spans="1:58" ht="15.75">
      <c r="A595" s="12" t="s">
        <v>37</v>
      </c>
      <c r="B595" s="66">
        <v>45855</v>
      </c>
      <c r="C595" s="1">
        <v>351</v>
      </c>
      <c r="D595" s="3">
        <v>590</v>
      </c>
      <c r="E595" s="205" t="str">
        <f t="shared" si="42"/>
        <v/>
      </c>
      <c r="I595" s="15">
        <f>AD595</f>
        <v>30</v>
      </c>
      <c r="K595" s="10" t="str">
        <f t="shared" si="38"/>
        <v/>
      </c>
      <c r="L595" s="9" t="str">
        <f t="shared" si="39"/>
        <v/>
      </c>
      <c r="M595" s="8" t="str">
        <f t="shared" si="40"/>
        <v/>
      </c>
      <c r="AB595" s="5">
        <v>80</v>
      </c>
      <c r="AD595" s="65">
        <f>30</f>
        <v>30</v>
      </c>
      <c r="AF595" s="1">
        <v>0</v>
      </c>
      <c r="AG595" s="62">
        <v>8.58</v>
      </c>
      <c r="AJ595" s="2">
        <f>("19:50"-"17:50")*1440</f>
        <v>119.99999999999989</v>
      </c>
      <c r="AK595" s="3">
        <f>180+60</f>
        <v>240</v>
      </c>
      <c r="AN595" s="3">
        <v>40</v>
      </c>
      <c r="AO595" s="2">
        <v>2979.9999999999727</v>
      </c>
      <c r="AP595" s="13">
        <f>AVERAGE(AO593:AO599)</f>
        <v>2974.9999999999773</v>
      </c>
      <c r="AR595" s="17"/>
      <c r="AS595" s="16">
        <f>(I595-AF595)/I595</f>
        <v>1</v>
      </c>
      <c r="AT595" s="16">
        <f>AG595/(AD595-AF595)</f>
        <v>0.28599999999999998</v>
      </c>
      <c r="AU595" s="61"/>
      <c r="AV595" s="57" t="str">
        <f>IF(AND(ISNUMBER(E595),ISNUMBER(W595)),E595-W595,"")</f>
        <v/>
      </c>
      <c r="AW595" s="57">
        <f>IF(AND(ISNUMBER(I595),ISNUMBER(AF595)),I595-AF595,"")</f>
        <v>30</v>
      </c>
      <c r="AX595" s="57" t="str">
        <f>IF(AND(ISNUMBER(AM595),ISNUMBER(G595)),G595-AM595,"")</f>
        <v/>
      </c>
      <c r="AY595" s="57" t="str">
        <f>IF(AND(ISNUMBER(AC595),ISNUMBER(AE595)),AC595-AE595,"")</f>
        <v/>
      </c>
      <c r="AZ595" s="57" t="str">
        <f t="shared" si="41"/>
        <v/>
      </c>
      <c r="BA595" s="60">
        <v>1</v>
      </c>
      <c r="BB595" s="60">
        <f>IF(AND($I595&gt;0,$AF595&gt;=0),IF(($I595-$AF595)/$I595&gt;0,($I595-$AF595)/$I595,0),"")</f>
        <v>1</v>
      </c>
      <c r="BC595" s="60">
        <f>IF(AND($AG595&gt;=0,$AD595&gt;=0,$AF595&gt;=0),IF($AG595/($AD595-$AF595)&gt;0,$AG595/($AD595-$AF595),0),"")</f>
        <v>0.28599999999999998</v>
      </c>
      <c r="BD595" s="60" t="str">
        <f>IF(AND($G595&gt;0,$AM595&gt;0),IF(($G595-$AM595)/$G595&gt;0,($G595-$AM595)/$G595,0),"")</f>
        <v/>
      </c>
      <c r="BE595" s="6">
        <f>IF((AD595-AF595)/(AJ595/60)&lt;=0,"",(AD595-AF595)/(AJ595/60))</f>
        <v>15.000000000000014</v>
      </c>
      <c r="BF595" s="6">
        <f>IF(OR(AJ595=0,AP595=0,NOT(ISNUMBER(AD595)),NOT(ISNUMBER(AF595)),NOT(ISNUMBER(AJ595)),NOT(ISNUMBER(AP595))),"",
IFERROR(IF((AD595-AF595)/(AJ595/60)/(AP595/1000)&lt;=0,"",(AD595-AF595)/(AJ595/60)/(AP595/1000)),""))</f>
        <v>5.0420168067227324</v>
      </c>
    </row>
    <row r="596" spans="1:58" ht="15.75">
      <c r="A596" s="12" t="s">
        <v>39</v>
      </c>
      <c r="B596" s="63">
        <v>45856</v>
      </c>
      <c r="C596" s="1">
        <v>352</v>
      </c>
      <c r="D596" s="3">
        <v>591</v>
      </c>
      <c r="E596" s="205" t="str">
        <f t="shared" si="42"/>
        <v/>
      </c>
      <c r="I596" s="15">
        <f>AD596</f>
        <v>30</v>
      </c>
      <c r="K596" s="10" t="str">
        <f t="shared" si="38"/>
        <v/>
      </c>
      <c r="L596" s="9" t="str">
        <f t="shared" si="39"/>
        <v/>
      </c>
      <c r="M596" s="8" t="str">
        <f t="shared" si="40"/>
        <v/>
      </c>
      <c r="AB596" s="5">
        <v>80</v>
      </c>
      <c r="AD596" s="65">
        <f>30</f>
        <v>30</v>
      </c>
      <c r="AF596" s="1">
        <v>0</v>
      </c>
      <c r="AG596" s="62">
        <v>10.039999999999999</v>
      </c>
      <c r="AJ596" s="2">
        <f>("19:55"-"17:50")*1440</f>
        <v>125.00000000000003</v>
      </c>
      <c r="AK596" s="3">
        <f>180+60</f>
        <v>240</v>
      </c>
      <c r="AN596" s="3">
        <v>40</v>
      </c>
      <c r="AO596" s="2">
        <v>2969.9999999999818</v>
      </c>
      <c r="AP596" s="13">
        <f>AVERAGE(AO594:AO600)</f>
        <v>2956.6666666666606</v>
      </c>
      <c r="AR596" s="17"/>
      <c r="AS596" s="16">
        <f>(I596-AF596)/I596</f>
        <v>1</v>
      </c>
      <c r="AT596" s="16">
        <f>AG596/(AD596-AF596)</f>
        <v>0.33466666666666661</v>
      </c>
      <c r="AU596" s="61"/>
      <c r="AV596" s="57" t="str">
        <f>IF(AND(ISNUMBER(E596),ISNUMBER(W596)),E596-W596,"")</f>
        <v/>
      </c>
      <c r="AW596" s="57">
        <f>IF(AND(ISNUMBER(I596),ISNUMBER(AF596)),I596-AF596,"")</f>
        <v>30</v>
      </c>
      <c r="AX596" s="57" t="str">
        <f>IF(AND(ISNUMBER(AM596),ISNUMBER(G596)),G596-AM596,"")</f>
        <v/>
      </c>
      <c r="AY596" s="57" t="str">
        <f>IF(AND(ISNUMBER(AC596),ISNUMBER(AE596)),AC596-AE596,"")</f>
        <v/>
      </c>
      <c r="AZ596" s="57" t="str">
        <f t="shared" si="41"/>
        <v/>
      </c>
      <c r="BA596" s="60">
        <v>1</v>
      </c>
      <c r="BB596" s="60">
        <f>IF(AND($I596&gt;0,$AF596&gt;=0),IF(($I596-$AF596)/$I596&gt;0,($I596-$AF596)/$I596,0),"")</f>
        <v>1</v>
      </c>
      <c r="BC596" s="60">
        <f>IF(AND($AG596&gt;=0,$AD596&gt;=0,$AF596&gt;=0),IF($AG596/($AD596-$AF596)&gt;0,$AG596/($AD596-$AF596),0),"")</f>
        <v>0.33466666666666661</v>
      </c>
      <c r="BD596" s="60" t="str">
        <f>IF(AND($G596&gt;0,$AM596&gt;0),IF(($G596-$AM596)/$G596&gt;0,($G596-$AM596)/$G596,0),"")</f>
        <v/>
      </c>
      <c r="BE596" s="6">
        <f>IF((AD596-AF596)/(AJ596/60)&lt;=0,"",(AD596-AF596)/(AJ596/60))</f>
        <v>14.399999999999995</v>
      </c>
      <c r="BF596" s="6">
        <f>IF(OR(AJ596=0,AP596=0,NOT(ISNUMBER(AD596)),NOT(ISNUMBER(AF596)),NOT(ISNUMBER(AJ596)),NOT(ISNUMBER(AP596))),"",
IFERROR(IF((AD596-AF596)/(AJ596/60)/(AP596/1000)&lt;=0,"",(AD596-AF596)/(AJ596/60)/(AP596/1000)),""))</f>
        <v>4.8703494926719362</v>
      </c>
    </row>
    <row r="597" spans="1:58" ht="15.75">
      <c r="B597" s="63">
        <v>45857</v>
      </c>
      <c r="C597" s="1">
        <v>353</v>
      </c>
      <c r="D597" s="3">
        <v>592</v>
      </c>
      <c r="E597" s="205" t="str">
        <f t="shared" si="42"/>
        <v/>
      </c>
      <c r="I597" s="15">
        <f>AD597</f>
        <v>30</v>
      </c>
      <c r="K597" s="10" t="str">
        <f t="shared" si="38"/>
        <v/>
      </c>
      <c r="L597" s="9" t="str">
        <f t="shared" si="39"/>
        <v/>
      </c>
      <c r="M597" s="8" t="str">
        <f t="shared" si="40"/>
        <v/>
      </c>
      <c r="AB597" s="5">
        <v>80</v>
      </c>
      <c r="AD597" s="65">
        <f>30</f>
        <v>30</v>
      </c>
      <c r="AF597" s="1">
        <v>0</v>
      </c>
      <c r="AG597" s="62">
        <v>8.39</v>
      </c>
      <c r="AJ597" s="2">
        <f>("19:50"-"17:50")*1440</f>
        <v>119.99999999999989</v>
      </c>
      <c r="AK597" s="3">
        <f>180+60</f>
        <v>240</v>
      </c>
      <c r="AN597" s="3">
        <v>40</v>
      </c>
      <c r="AP597" s="13">
        <f>AVERAGE(AO595:AO601)</f>
        <v>2956.6666666666606</v>
      </c>
      <c r="AR597" s="17"/>
      <c r="AS597" s="16">
        <f>(I597-AF597)/I597</f>
        <v>1</v>
      </c>
      <c r="AT597" s="16">
        <f>AG597/(AD597-AF597)</f>
        <v>0.27966666666666667</v>
      </c>
      <c r="AU597" s="61"/>
      <c r="AV597" s="57" t="str">
        <f>IF(AND(ISNUMBER(E597),ISNUMBER(W597)),E597-W597,"")</f>
        <v/>
      </c>
      <c r="AW597" s="57">
        <f>IF(AND(ISNUMBER(I597),ISNUMBER(AF597)),I597-AF597,"")</f>
        <v>30</v>
      </c>
      <c r="AX597" s="57" t="str">
        <f>IF(AND(ISNUMBER(AM597),ISNUMBER(G597)),G597-AM597,"")</f>
        <v/>
      </c>
      <c r="AY597" s="57" t="str">
        <f>IF(AND(ISNUMBER(AC597),ISNUMBER(AE597)),AC597-AE597,"")</f>
        <v/>
      </c>
      <c r="AZ597" s="57" t="str">
        <f t="shared" si="41"/>
        <v/>
      </c>
      <c r="BA597" s="60" t="str">
        <f>IF(AND($E597&gt;0,$W597&gt;0),IF(($E597-$W597)/$E597&gt;0,($E597-$W597)/$E597,0),"")</f>
        <v/>
      </c>
      <c r="BB597" s="60">
        <f>IF(AND($I597&gt;0,$AF597&gt;=0),IF(($I597-$AF597)/$I597&gt;0,($I597-$AF597)/$I597,0),"")</f>
        <v>1</v>
      </c>
      <c r="BC597" s="60">
        <f>IF(AND($AG597&gt;=0,$AD597&gt;=0,$AF597&gt;=0),IF($AG597/($AD597-$AF597)&gt;0,$AG597/($AD597-$AF597),0),"")</f>
        <v>0.27966666666666667</v>
      </c>
      <c r="BD597" s="60" t="str">
        <f>IF(AND($G597&gt;0,$AM597&gt;0),IF(($G597-$AM597)/$G597&gt;0,($G597-$AM597)/$G597,0),"")</f>
        <v/>
      </c>
      <c r="BE597" s="6">
        <f>IF((AD597-AF597)/(AJ597/60)&lt;=0,"",(AD597-AF597)/(AJ597/60))</f>
        <v>15.000000000000014</v>
      </c>
      <c r="BF597" s="6">
        <f>IF(OR(AJ597=0,AP597=0,NOT(ISNUMBER(AD597)),NOT(ISNUMBER(AF597)),NOT(ISNUMBER(AJ597)),NOT(ISNUMBER(AP597))),"",
IFERROR(IF((AD597-AF597)/(AJ597/60)/(AP597/1000)&lt;=0,"",(AD597-AF597)/(AJ597/60)/(AP597/1000)),""))</f>
        <v>5.0732807215332727</v>
      </c>
    </row>
    <row r="598" spans="1:58" ht="15.75">
      <c r="B598" s="63">
        <v>45858</v>
      </c>
      <c r="C598" s="1">
        <v>354</v>
      </c>
      <c r="D598" s="3">
        <v>593</v>
      </c>
      <c r="E598" s="205" t="str">
        <f t="shared" si="42"/>
        <v/>
      </c>
      <c r="G598" s="58"/>
      <c r="I598" s="15">
        <f>AD598</f>
        <v>30</v>
      </c>
      <c r="K598" s="10" t="str">
        <f t="shared" si="38"/>
        <v/>
      </c>
      <c r="L598" s="9" t="str">
        <f t="shared" si="39"/>
        <v/>
      </c>
      <c r="M598" s="8" t="str">
        <f t="shared" si="40"/>
        <v/>
      </c>
      <c r="AB598" s="5">
        <v>80</v>
      </c>
      <c r="AD598" s="65">
        <f>30</f>
        <v>30</v>
      </c>
      <c r="AF598" s="1">
        <v>0</v>
      </c>
      <c r="AG598" s="62">
        <v>8.82</v>
      </c>
      <c r="AJ598" s="2">
        <f>("19:50"-"17:50")*1440</f>
        <v>119.99999999999989</v>
      </c>
      <c r="AK598" s="3">
        <f>180+60</f>
        <v>240</v>
      </c>
      <c r="AN598" s="3">
        <v>40</v>
      </c>
      <c r="AP598" s="13">
        <f>AVERAGE(AO596:AO602)</f>
        <v>2840.0000000000091</v>
      </c>
      <c r="AR598" s="17"/>
      <c r="AS598" s="16">
        <f>(I598-AF598)/I598</f>
        <v>1</v>
      </c>
      <c r="AT598" s="16">
        <f>AG598/(AD598-AF598)</f>
        <v>0.29399999999999998</v>
      </c>
      <c r="AU598" s="61"/>
      <c r="AV598" s="57" t="str">
        <f>IF(AND(ISNUMBER(E598),ISNUMBER(W598)),E598-W598,"")</f>
        <v/>
      </c>
      <c r="AW598" s="57">
        <f>IF(AND(ISNUMBER(I598),ISNUMBER(AF598)),I598-AF598,"")</f>
        <v>30</v>
      </c>
      <c r="AX598" s="57" t="str">
        <f>IF(AND(ISNUMBER(AM598),ISNUMBER(G598)),G598-AM598,"")</f>
        <v/>
      </c>
      <c r="AY598" s="57" t="str">
        <f>IF(AND(ISNUMBER(AC598),ISNUMBER(AE598)),AC598-AE598,"")</f>
        <v/>
      </c>
      <c r="AZ598" s="57" t="str">
        <f t="shared" si="41"/>
        <v/>
      </c>
      <c r="BA598" s="60" t="str">
        <f>IF(AND($E598&gt;0,$W598&gt;0),IF(($E598-$W598)/$E598&gt;0,($E598-$W598)/$E598,0),"")</f>
        <v/>
      </c>
      <c r="BB598" s="60">
        <f>IF(AND($I598&gt;0,$AF598&gt;=0),IF(($I598-$AF598)/$I598&gt;0,($I598-$AF598)/$I598,0),"")</f>
        <v>1</v>
      </c>
      <c r="BC598" s="60">
        <f>IF(AND($AG598&gt;=0,$AD598&gt;=0,$AF598&gt;=0),IF($AG598/($AD598-$AF598)&gt;0,$AG598/($AD598-$AF598),0),"")</f>
        <v>0.29399999999999998</v>
      </c>
      <c r="BD598" s="60" t="str">
        <f>IF(AND($G598&gt;0,$AM598&gt;0),IF(($G598-$AM598)/$G598&gt;0,($G598-$AM598)/$G598,0),"")</f>
        <v/>
      </c>
      <c r="BE598" s="6">
        <f>IF((AD598-AF598)/(AJ598/60)&lt;=0,"",(AD598-AF598)/(AJ598/60))</f>
        <v>15.000000000000014</v>
      </c>
      <c r="BF598" s="6">
        <f>IF(OR(AJ598=0,AP598=0,NOT(ISNUMBER(AD598)),NOT(ISNUMBER(AF598)),NOT(ISNUMBER(AJ598)),NOT(ISNUMBER(AP598))),"",
IFERROR(IF((AD598-AF598)/(AJ598/60)/(AP598/1000)&lt;=0,"",(AD598-AF598)/(AJ598/60)/(AP598/1000)),""))</f>
        <v>5.2816901408450585</v>
      </c>
    </row>
    <row r="599" spans="1:58" ht="15.75">
      <c r="B599" s="63">
        <v>45859</v>
      </c>
      <c r="C599" s="1">
        <v>355</v>
      </c>
      <c r="D599" s="3">
        <v>594</v>
      </c>
      <c r="E599" s="205" t="str">
        <f t="shared" si="42"/>
        <v/>
      </c>
      <c r="G599" s="58">
        <v>15.700000000000001</v>
      </c>
      <c r="I599" s="15">
        <f>AD599</f>
        <v>30</v>
      </c>
      <c r="K599" s="10" t="str">
        <f t="shared" si="38"/>
        <v/>
      </c>
      <c r="L599" s="9" t="str">
        <f t="shared" si="39"/>
        <v/>
      </c>
      <c r="M599" s="8">
        <f t="shared" si="40"/>
        <v>3.8216560509554136</v>
      </c>
      <c r="AB599" s="5">
        <v>80</v>
      </c>
      <c r="AC599" s="4">
        <f>48.7</f>
        <v>48.7</v>
      </c>
      <c r="AD599" s="65">
        <f>30</f>
        <v>30</v>
      </c>
      <c r="AE599" s="1">
        <f>5*(2.64)</f>
        <v>13.200000000000001</v>
      </c>
      <c r="AF599" s="1">
        <v>0</v>
      </c>
      <c r="AG599" s="62">
        <v>5.9</v>
      </c>
      <c r="AJ599" s="2">
        <f>("19:45"-"17:50")*1440</f>
        <v>114.99999999999991</v>
      </c>
      <c r="AK599" s="3">
        <f>180+60</f>
        <v>240</v>
      </c>
      <c r="AL599" s="4">
        <f>AE599</f>
        <v>13.200000000000001</v>
      </c>
      <c r="AM599" s="1">
        <f>5*2.28</f>
        <v>11.399999999999999</v>
      </c>
      <c r="AN599" s="3">
        <v>40</v>
      </c>
      <c r="AP599" s="13">
        <f>AVERAGE(AO597:AO603)</f>
        <v>2746.6666666666847</v>
      </c>
      <c r="AR599" s="17"/>
      <c r="AS599" s="16">
        <f>(I599-AF599)/I599</f>
        <v>1</v>
      </c>
      <c r="AT599" s="16">
        <f>AG599/(AD599-AF599)</f>
        <v>0.19666666666666668</v>
      </c>
      <c r="AU599" s="61">
        <f>(G599-AM599)/G599</f>
        <v>0.2738853503184715</v>
      </c>
      <c r="AV599" s="57" t="str">
        <f>IF(AND(ISNUMBER(E599),ISNUMBER(W599)),E599-W599,"")</f>
        <v/>
      </c>
      <c r="AW599" s="57">
        <f>IF(AND(ISNUMBER(I599),ISNUMBER(AF599)),I599-AF599,"")</f>
        <v>30</v>
      </c>
      <c r="AX599" s="57">
        <f>IF(AND(ISNUMBER(AM599),ISNUMBER(G599)),G599-AM599,"")</f>
        <v>4.3000000000000025</v>
      </c>
      <c r="AY599" s="57">
        <f>IF(AND(ISNUMBER(AC599),ISNUMBER(AE599)),AC599-AE599,"")</f>
        <v>35.5</v>
      </c>
      <c r="AZ599" s="57">
        <f t="shared" si="41"/>
        <v>1.8000000000000025</v>
      </c>
      <c r="BA599" s="60" t="str">
        <f>IF(AND($E599&gt;0,$W599&gt;0),IF(($E599-$W599)/$E599&gt;0,($E599-$W599)/$E599,0),"")</f>
        <v/>
      </c>
      <c r="BB599" s="60">
        <f>IF(AND($I599&gt;0,$AF599&gt;=0),IF(($I599-$AF599)/$I599&gt;0,($I599-$AF599)/$I599,0),"")</f>
        <v>1</v>
      </c>
      <c r="BC599" s="60">
        <f>IF(AND($AG599&gt;=0,$AD599&gt;=0,$AF599&gt;=0),IF($AG599/($AD599-$AF599)&gt;0,$AG599/($AD599-$AF599),0),"")</f>
        <v>0.19666666666666668</v>
      </c>
      <c r="BD599" s="60"/>
      <c r="BE599" s="6">
        <f>IF((AD599-AF599)/(AJ599/60)&lt;=0,"",(AD599-AF599)/(AJ599/60))</f>
        <v>15.652173913043491</v>
      </c>
      <c r="BF599" s="6">
        <f>IF(OR(AJ599=0,AP599=0,NOT(ISNUMBER(AD599)),NOT(ISNUMBER(AF599)),NOT(ISNUMBER(AJ599)),NOT(ISNUMBER(AP599))),"",
IFERROR(IF((AD599-AF599)/(AJ599/60)/(AP599/1000)&lt;=0,"",(AD599-AF599)/(AJ599/60)/(AP599/1000)),""))</f>
        <v>5.6986070071759904</v>
      </c>
    </row>
    <row r="600" spans="1:58" ht="15.75">
      <c r="A600" s="12" t="s">
        <v>38</v>
      </c>
      <c r="B600" s="66">
        <v>45860</v>
      </c>
      <c r="C600" s="1">
        <v>356</v>
      </c>
      <c r="D600" s="3">
        <v>595</v>
      </c>
      <c r="E600" s="205" t="str">
        <f t="shared" si="42"/>
        <v/>
      </c>
      <c r="G600" s="58"/>
      <c r="I600" s="15">
        <f>AD600</f>
        <v>30</v>
      </c>
      <c r="K600" s="10" t="str">
        <f t="shared" si="38"/>
        <v/>
      </c>
      <c r="L600" s="9" t="str">
        <f t="shared" si="39"/>
        <v/>
      </c>
      <c r="M600" s="8" t="str">
        <f t="shared" si="40"/>
        <v/>
      </c>
      <c r="AB600" s="5">
        <v>80</v>
      </c>
      <c r="AD600" s="65">
        <f>30</f>
        <v>30</v>
      </c>
      <c r="AF600" s="1">
        <v>0</v>
      </c>
      <c r="AG600" s="62">
        <v>9.1999999999999993</v>
      </c>
      <c r="AJ600" s="2">
        <f>("19:35"-"17:50")*1440</f>
        <v>104.99999999999994</v>
      </c>
      <c r="AK600" s="3">
        <f>180+60</f>
        <v>240</v>
      </c>
      <c r="AN600" s="3">
        <v>40</v>
      </c>
      <c r="AO600" s="2">
        <v>2920.0000000000273</v>
      </c>
      <c r="AP600" s="13">
        <f>AVERAGE(AO598:AO604)</f>
        <v>2746.6666666666847</v>
      </c>
      <c r="AR600" s="17"/>
      <c r="AS600" s="16">
        <f>(I600-AF600)/I600</f>
        <v>1</v>
      </c>
      <c r="AT600" s="16">
        <f>AG600/(AD600-AF600)</f>
        <v>0.30666666666666664</v>
      </c>
      <c r="AU600" s="61"/>
      <c r="AV600" s="57" t="str">
        <f>IF(AND(ISNUMBER(E600),ISNUMBER(W600)),E600-W600,"")</f>
        <v/>
      </c>
      <c r="AW600" s="57">
        <f>IF(AND(ISNUMBER(I600),ISNUMBER(AF600)),I600-AF600,"")</f>
        <v>30</v>
      </c>
      <c r="AX600" s="57" t="str">
        <f>IF(AND(ISNUMBER(AM600),ISNUMBER(G600)),G600-AM600,"")</f>
        <v/>
      </c>
      <c r="AY600" s="57" t="str">
        <f>IF(AND(ISNUMBER(AC600),ISNUMBER(AE600)),AC600-AE600,"")</f>
        <v/>
      </c>
      <c r="AZ600" s="57" t="str">
        <f t="shared" si="41"/>
        <v/>
      </c>
      <c r="BA600" s="60">
        <v>1</v>
      </c>
      <c r="BB600" s="60">
        <f>IF(AND($I600&gt;0,$AF600&gt;=0),IF(($I600-$AF600)/$I600&gt;0,($I600-$AF600)/$I600,0),"")</f>
        <v>1</v>
      </c>
      <c r="BC600" s="60">
        <f>IF(AND($AG600&gt;=0,$AD600&gt;=0,$AF600&gt;=0),IF($AG600/($AD600-$AF600)&gt;0,$AG600/($AD600-$AF600),0),"")</f>
        <v>0.30666666666666664</v>
      </c>
      <c r="BD600" s="60" t="str">
        <f>IF(AND($G600&gt;0,$AM600&gt;0),IF(($G600-$AM600)/$G600&gt;0,($G600-$AM600)/$G600,0),"")</f>
        <v/>
      </c>
      <c r="BE600" s="6">
        <f>IF((AD600-AF600)/(AJ600/60)&lt;=0,"",(AD600-AF600)/(AJ600/60))</f>
        <v>17.142857142857153</v>
      </c>
      <c r="BF600" s="6">
        <f>IF(OR(AJ600=0,AP600=0,NOT(ISNUMBER(AD600)),NOT(ISNUMBER(AF600)),NOT(ISNUMBER(AJ600)),NOT(ISNUMBER(AP600))),"",
IFERROR(IF((AD600-AF600)/(AJ600/60)/(AP600/1000)&lt;=0,"",(AD600-AF600)/(AJ600/60)/(AP600/1000)),""))</f>
        <v>6.2413314840498932</v>
      </c>
    </row>
    <row r="601" spans="1:58" ht="15.75">
      <c r="B601" s="63">
        <v>45861</v>
      </c>
      <c r="C601" s="1">
        <v>357</v>
      </c>
      <c r="D601" s="3">
        <v>596</v>
      </c>
      <c r="E601" s="205" t="str">
        <f t="shared" si="42"/>
        <v/>
      </c>
      <c r="G601" s="58">
        <v>15.700000000000001</v>
      </c>
      <c r="H601" s="9">
        <f>2*0</f>
        <v>0</v>
      </c>
      <c r="I601" s="15">
        <f>AD601</f>
        <v>30</v>
      </c>
      <c r="K601" s="10" t="str">
        <f t="shared" si="38"/>
        <v/>
      </c>
      <c r="L601" s="9" t="str">
        <f t="shared" si="39"/>
        <v/>
      </c>
      <c r="M601" s="8">
        <f t="shared" si="40"/>
        <v>3.8216560509554136</v>
      </c>
      <c r="AB601" s="5">
        <v>80</v>
      </c>
      <c r="AD601" s="65">
        <f>30</f>
        <v>30</v>
      </c>
      <c r="AE601" s="1">
        <f>5*0.501</f>
        <v>2.5049999999999999</v>
      </c>
      <c r="AF601" s="1">
        <v>0</v>
      </c>
      <c r="AG601" s="62">
        <v>10.11</v>
      </c>
      <c r="AJ601" s="2">
        <f>("20:30"-"17:50")*1440</f>
        <v>159.99999999999991</v>
      </c>
      <c r="AK601" s="3">
        <f>180+60</f>
        <v>240</v>
      </c>
      <c r="AL601" s="4">
        <f>AE601</f>
        <v>2.5049999999999999</v>
      </c>
      <c r="AM601" s="1">
        <f>2*0.465</f>
        <v>0.93</v>
      </c>
      <c r="AN601" s="3">
        <v>40</v>
      </c>
      <c r="AP601" s="13">
        <f>AVERAGE(AO599:AO605)</f>
        <v>2746.6666666666847</v>
      </c>
      <c r="AR601" s="17"/>
      <c r="AS601" s="16">
        <f>(I601-AF601)/I601</f>
        <v>1</v>
      </c>
      <c r="AT601" s="16">
        <f>AG601/(AD601-AF601)</f>
        <v>0.33699999999999997</v>
      </c>
      <c r="AU601" s="61">
        <f>(G601-AM601)/G601</f>
        <v>0.9407643312101911</v>
      </c>
      <c r="AV601" s="57" t="str">
        <f>IF(AND(ISNUMBER(E601),ISNUMBER(W601)),E601-W601,"")</f>
        <v/>
      </c>
      <c r="AW601" s="57">
        <f>IF(AND(ISNUMBER(I601),ISNUMBER(AF601)),I601-AF601,"")</f>
        <v>30</v>
      </c>
      <c r="AX601" s="57">
        <f>IF(AND(ISNUMBER(AM601),ISNUMBER(G601)),G601-AM601,"")</f>
        <v>14.770000000000001</v>
      </c>
      <c r="AY601" s="57" t="str">
        <f>IF(AND(ISNUMBER(AC601),ISNUMBER(AE601)),AC601-AE601,"")</f>
        <v/>
      </c>
      <c r="AZ601" s="57">
        <f t="shared" si="41"/>
        <v>1.5749999999999997</v>
      </c>
      <c r="BA601" s="60" t="str">
        <f>IF(AND($E601&gt;0,$W601&gt;0),IF(($E601-$W601)/$E601&gt;0,($E601-$W601)/$E601,0),"")</f>
        <v/>
      </c>
      <c r="BB601" s="60">
        <f>IF(AND($I601&gt;0,$AF601&gt;=0),IF(($I601-$AF601)/$I601&gt;0,($I601-$AF601)/$I601,0),"")</f>
        <v>1</v>
      </c>
      <c r="BC601" s="60">
        <f>IF(AND($AG601&gt;=0,$AD601&gt;=0,$AF601&gt;=0),IF($AG601/($AD601-$AF601)&gt;0,$AG601/($AD601-$AF601),0),"")</f>
        <v>0.33699999999999997</v>
      </c>
      <c r="BD601" s="60">
        <f>IF(AND($G601&gt;0,$AM601&gt;0),IF(($G601-$AM601)/$G601&gt;0,($G601-$AM601)/$G601,0),"")</f>
        <v>0.9407643312101911</v>
      </c>
      <c r="BE601" s="6">
        <f>IF((AD601-AF601)/(AJ601/60)&lt;=0,"",(AD601-AF601)/(AJ601/60))</f>
        <v>11.250000000000007</v>
      </c>
      <c r="BF601" s="6">
        <f>IF(OR(AJ601=0,AP601=0,NOT(ISNUMBER(AD601)),NOT(ISNUMBER(AF601)),NOT(ISNUMBER(AJ601)),NOT(ISNUMBER(AP601))),"",
IFERROR(IF((AD601-AF601)/(AJ601/60)/(AP601/1000)&lt;=0,"",(AD601-AF601)/(AJ601/60)/(AP601/1000)),""))</f>
        <v>4.0958737864077426</v>
      </c>
    </row>
    <row r="602" spans="1:58" ht="15.75">
      <c r="A602" s="12" t="s">
        <v>37</v>
      </c>
      <c r="B602" s="63">
        <v>45862</v>
      </c>
      <c r="C602" s="1">
        <v>358</v>
      </c>
      <c r="D602" s="3">
        <v>597</v>
      </c>
      <c r="E602" s="205" t="str">
        <f t="shared" si="42"/>
        <v/>
      </c>
      <c r="G602" s="58"/>
      <c r="I602" s="15">
        <f>AD602</f>
        <v>30</v>
      </c>
      <c r="K602" s="10" t="str">
        <f t="shared" si="38"/>
        <v/>
      </c>
      <c r="L602" s="9" t="str">
        <f t="shared" si="39"/>
        <v/>
      </c>
      <c r="M602" s="8" t="str">
        <f t="shared" si="40"/>
        <v/>
      </c>
      <c r="AB602" s="5">
        <v>80</v>
      </c>
      <c r="AD602" s="65">
        <f>30</f>
        <v>30</v>
      </c>
      <c r="AF602" s="1">
        <v>0</v>
      </c>
      <c r="AG602" s="62">
        <v>9.33</v>
      </c>
      <c r="AJ602" s="2">
        <f>("20:30"-"17:50")*1440</f>
        <v>159.99999999999991</v>
      </c>
      <c r="AK602" s="3">
        <f>180+60</f>
        <v>240</v>
      </c>
      <c r="AN602" s="3">
        <v>40</v>
      </c>
      <c r="AO602" s="2">
        <v>2630.0000000000182</v>
      </c>
      <c r="AP602" s="13">
        <f>AVERAGE(AO600:AO606)</f>
        <v>2746.6666666666847</v>
      </c>
      <c r="AR602" s="17"/>
      <c r="AS602" s="16">
        <f>(I602-AF602)/I602</f>
        <v>1</v>
      </c>
      <c r="AT602" s="16">
        <f>AG602/(AD602-AF602)</f>
        <v>0.311</v>
      </c>
      <c r="AU602" s="61"/>
      <c r="AV602" s="57" t="str">
        <f>IF(AND(ISNUMBER(E602),ISNUMBER(W602)),E602-W602,"")</f>
        <v/>
      </c>
      <c r="AW602" s="57">
        <f>IF(AND(ISNUMBER(I602),ISNUMBER(AF602)),I602-AF602,"")</f>
        <v>30</v>
      </c>
      <c r="AX602" s="57" t="str">
        <f>IF(AND(ISNUMBER(AM602),ISNUMBER(G602)),G602-AM602,"")</f>
        <v/>
      </c>
      <c r="AY602" s="57" t="str">
        <f>IF(AND(ISNUMBER(AC602),ISNUMBER(AE602)),AC602-AE602,"")</f>
        <v/>
      </c>
      <c r="AZ602" s="57" t="str">
        <f t="shared" si="41"/>
        <v/>
      </c>
      <c r="BA602" s="60">
        <v>1</v>
      </c>
      <c r="BB602" s="60">
        <f>IF(AND($I602&gt;0,$AF602&gt;=0),IF(($I602-$AF602)/$I602&gt;0,($I602-$AF602)/$I602,0),"")</f>
        <v>1</v>
      </c>
      <c r="BC602" s="60">
        <f>IF(AND($AG602&gt;=0,$AD602&gt;=0,$AF602&gt;=0),IF($AG602/($AD602-$AF602)&gt;0,$AG602/($AD602-$AF602),0),"")</f>
        <v>0.311</v>
      </c>
      <c r="BD602" s="60" t="str">
        <f>IF(AND($G602&gt;0,$AM602&gt;0),IF(($G602-$AM602)/$G602&gt;0,($G602-$AM602)/$G602,0),"")</f>
        <v/>
      </c>
      <c r="BE602" s="6">
        <f>IF((AD602-AF602)/(AJ602/60)&lt;=0,"",(AD602-AF602)/(AJ602/60))</f>
        <v>11.250000000000007</v>
      </c>
      <c r="BF602" s="6">
        <f>IF(OR(AJ602=0,AP602=0,NOT(ISNUMBER(AD602)),NOT(ISNUMBER(AF602)),NOT(ISNUMBER(AJ602)),NOT(ISNUMBER(AP602))),"",
IFERROR(IF((AD602-AF602)/(AJ602/60)/(AP602/1000)&lt;=0,"",(AD602-AF602)/(AJ602/60)/(AP602/1000)),""))</f>
        <v>4.0958737864077426</v>
      </c>
    </row>
    <row r="603" spans="1:58" ht="15.75">
      <c r="A603" s="12" t="s">
        <v>36</v>
      </c>
      <c r="B603" s="63">
        <v>45863</v>
      </c>
      <c r="C603" s="1">
        <v>359</v>
      </c>
      <c r="D603" s="3">
        <v>598</v>
      </c>
      <c r="E603" s="205" t="str">
        <f t="shared" si="42"/>
        <v/>
      </c>
      <c r="I603" s="15">
        <f>AD603</f>
        <v>30</v>
      </c>
      <c r="K603" s="10" t="str">
        <f t="shared" si="38"/>
        <v/>
      </c>
      <c r="L603" s="9" t="str">
        <f t="shared" si="39"/>
        <v/>
      </c>
      <c r="M603" s="8" t="str">
        <f t="shared" si="40"/>
        <v/>
      </c>
      <c r="AB603" s="5">
        <v>80</v>
      </c>
      <c r="AD603" s="65">
        <f>30</f>
        <v>30</v>
      </c>
      <c r="AF603" s="1">
        <v>0</v>
      </c>
      <c r="AG603" s="62">
        <v>10.9</v>
      </c>
      <c r="AJ603" s="2">
        <f>("13:20"-"10:30")*1440</f>
        <v>170.00000000000003</v>
      </c>
      <c r="AK603" s="3">
        <f>180+60</f>
        <v>240</v>
      </c>
      <c r="AN603" s="3">
        <v>40</v>
      </c>
      <c r="AO603" s="2">
        <v>2690.0000000000091</v>
      </c>
      <c r="AP603" s="13">
        <f>AVERAGE(AO601:AO607)</f>
        <v>2660.0000000000136</v>
      </c>
      <c r="AR603" s="17"/>
      <c r="AS603" s="16">
        <f>(I603-AF603)/I603</f>
        <v>1</v>
      </c>
      <c r="AT603" s="16">
        <f>AG603/(AD603-AF603)</f>
        <v>0.36333333333333334</v>
      </c>
      <c r="AU603" s="61"/>
      <c r="AV603" s="57" t="str">
        <f>IF(AND(ISNUMBER(E603),ISNUMBER(W603)),E603-W603,"")</f>
        <v/>
      </c>
      <c r="AW603" s="57">
        <f>IF(AND(ISNUMBER(I603),ISNUMBER(AF603)),I603-AF603,"")</f>
        <v>30</v>
      </c>
      <c r="AX603" s="57" t="str">
        <f>IF(AND(ISNUMBER(AM603),ISNUMBER(G603)),G603-AM603,"")</f>
        <v/>
      </c>
      <c r="AY603" s="57" t="str">
        <f>IF(AND(ISNUMBER(AC603),ISNUMBER(AE603)),AC603-AE603,"")</f>
        <v/>
      </c>
      <c r="AZ603" s="57" t="str">
        <f t="shared" si="41"/>
        <v/>
      </c>
      <c r="BA603" s="60">
        <v>1</v>
      </c>
      <c r="BB603" s="60">
        <f>IF(AND($I603&gt;0,$AF603&gt;=0),IF(($I603-$AF603)/$I603&gt;0,($I603-$AF603)/$I603,0),"")</f>
        <v>1</v>
      </c>
      <c r="BC603" s="60">
        <f>IF(AND($AG603&gt;=0,$AD603&gt;=0,$AF603&gt;=0),IF($AG603/($AD603-$AF603)&gt;0,$AG603/($AD603-$AF603),0),"")</f>
        <v>0.36333333333333334</v>
      </c>
      <c r="BD603" s="60" t="str">
        <f>IF(AND($G603&gt;0,$AM603&gt;0),IF(($G603-$AM603)/$G603&gt;0,($G603-$AM603)/$G603,0),"")</f>
        <v/>
      </c>
      <c r="BE603" s="6">
        <f>IF((AD603-AF603)/(AJ603/60)&lt;=0,"",(AD603-AF603)/(AJ603/60))</f>
        <v>10.588235294117645</v>
      </c>
      <c r="BF603" s="6">
        <f>IF(OR(AJ603=0,AP603=0,NOT(ISNUMBER(AD603)),NOT(ISNUMBER(AF603)),NOT(ISNUMBER(AJ603)),NOT(ISNUMBER(AP603))),"",
IFERROR(IF((AD603-AF603)/(AJ603/60)/(AP603/1000)&lt;=0,"",(AD603-AF603)/(AJ603/60)/(AP603/1000)),""))</f>
        <v>3.9805395842547338</v>
      </c>
    </row>
    <row r="604" spans="1:58" ht="15.75">
      <c r="B604" s="63">
        <v>45864</v>
      </c>
      <c r="C604" s="1">
        <v>360</v>
      </c>
      <c r="D604" s="3">
        <v>599</v>
      </c>
      <c r="E604" s="205" t="str">
        <f t="shared" si="42"/>
        <v/>
      </c>
      <c r="I604" s="15">
        <f>AD604</f>
        <v>30</v>
      </c>
      <c r="K604" s="10" t="str">
        <f t="shared" si="38"/>
        <v/>
      </c>
      <c r="L604" s="9" t="str">
        <f t="shared" si="39"/>
        <v/>
      </c>
      <c r="M604" s="8" t="str">
        <f t="shared" si="40"/>
        <v/>
      </c>
      <c r="AB604" s="5">
        <v>80</v>
      </c>
      <c r="AD604" s="65">
        <f>30</f>
        <v>30</v>
      </c>
      <c r="AF604" s="1">
        <v>0</v>
      </c>
      <c r="AG604" s="62"/>
      <c r="AJ604" s="2">
        <f>("19:45"-"17:50")*1440</f>
        <v>114.99999999999991</v>
      </c>
      <c r="AK604" s="3">
        <f>180+60</f>
        <v>240</v>
      </c>
      <c r="AN604" s="3">
        <v>40</v>
      </c>
      <c r="AP604" s="13">
        <f>AVERAGE(AO602:AO608)</f>
        <v>2660.0000000000136</v>
      </c>
      <c r="AR604" s="17"/>
      <c r="AS604" s="16">
        <f>(I604-AF604)/I604</f>
        <v>1</v>
      </c>
      <c r="AT604" s="16"/>
      <c r="AU604" s="61"/>
      <c r="AV604" s="57" t="str">
        <f>IF(AND(ISNUMBER(E604),ISNUMBER(W604)),E604-W604,"")</f>
        <v/>
      </c>
      <c r="AW604" s="57">
        <f>IF(AND(ISNUMBER(I604),ISNUMBER(AF604)),I604-AF604,"")</f>
        <v>30</v>
      </c>
      <c r="AX604" s="57" t="str">
        <f>IF(AND(ISNUMBER(AM604),ISNUMBER(G604)),G604-AM604,"")</f>
        <v/>
      </c>
      <c r="AY604" s="57" t="str">
        <f>IF(AND(ISNUMBER(AC604),ISNUMBER(AE604)),AC604-AE604,"")</f>
        <v/>
      </c>
      <c r="AZ604" s="57" t="str">
        <f t="shared" si="41"/>
        <v/>
      </c>
      <c r="BA604" s="60" t="str">
        <f>IF(AND($E604&gt;0,$W604&gt;0),IF(($E604-$W604)/$E604&gt;0,($E604-$W604)/$E604,0),"")</f>
        <v/>
      </c>
      <c r="BB604" s="60">
        <f>IF(AND($I604&gt;0,$AF604&gt;=0),IF(($I604-$AF604)/$I604&gt;0,($I604-$AF604)/$I604,0),"")</f>
        <v>1</v>
      </c>
      <c r="BC604" s="60">
        <f>IF(AND($AG604&gt;=0,$AD604&gt;=0,$AF604&gt;=0),IF($AG604/($AD604-$AF604)&gt;0,$AG604/($AD604-$AF604),0),"")</f>
        <v>0</v>
      </c>
      <c r="BD604" s="60" t="str">
        <f>IF(AND($G604&gt;0,$AM604&gt;0),IF(($G604-$AM604)/$G604&gt;0,($G604-$AM604)/$G604,0),"")</f>
        <v/>
      </c>
      <c r="BE604" s="6">
        <f>IF((AD604-AF604)/(AJ604/60)&lt;=0,"",(AD604-AF604)/(AJ604/60))</f>
        <v>15.652173913043491</v>
      </c>
      <c r="BF604" s="6">
        <f>IF(OR(AJ604=0,AP604=0,NOT(ISNUMBER(AD604)),NOT(ISNUMBER(AF604)),NOT(ISNUMBER(AJ604)),NOT(ISNUMBER(AP604))),"",
IFERROR(IF((AD604-AF604)/(AJ604/60)/(AP604/1000)&lt;=0,"",(AD604-AF604)/(AJ604/60)/(AP604/1000)),""))</f>
        <v>5.8842759071591777</v>
      </c>
    </row>
    <row r="605" spans="1:58" ht="15.75">
      <c r="B605" s="63">
        <v>45865</v>
      </c>
      <c r="C605" s="1">
        <v>361</v>
      </c>
      <c r="D605" s="3">
        <v>600</v>
      </c>
      <c r="E605" s="205" t="str">
        <f t="shared" si="42"/>
        <v/>
      </c>
      <c r="I605" s="15">
        <f>AD605</f>
        <v>30</v>
      </c>
      <c r="K605" s="10" t="str">
        <f t="shared" si="38"/>
        <v/>
      </c>
      <c r="L605" s="9" t="str">
        <f t="shared" si="39"/>
        <v/>
      </c>
      <c r="M605" s="8" t="str">
        <f t="shared" si="40"/>
        <v/>
      </c>
      <c r="AB605" s="5">
        <v>80</v>
      </c>
      <c r="AD605" s="65">
        <f>30</f>
        <v>30</v>
      </c>
      <c r="AF605" s="1">
        <v>0</v>
      </c>
      <c r="AG605" s="62">
        <v>10.64</v>
      </c>
      <c r="AJ605" s="2">
        <f>("19:30"-"17:50")*1440</f>
        <v>99.999999999999972</v>
      </c>
      <c r="AK605" s="3">
        <f>180+60</f>
        <v>240</v>
      </c>
      <c r="AN605" s="3">
        <v>40</v>
      </c>
      <c r="AP605" s="13">
        <f>AVERAGE(AO603:AO609)</f>
        <v>2690.0000000000091</v>
      </c>
      <c r="AR605" s="17"/>
      <c r="AS605" s="16">
        <f>(I605-AF605)/I605</f>
        <v>1</v>
      </c>
      <c r="AT605" s="16">
        <f>AG605/(AD605-AF605)</f>
        <v>0.35466666666666669</v>
      </c>
      <c r="AU605" s="61"/>
      <c r="AV605" s="57" t="str">
        <f>IF(AND(ISNUMBER(E605),ISNUMBER(W605)),E605-W605,"")</f>
        <v/>
      </c>
      <c r="AW605" s="57">
        <f>IF(AND(ISNUMBER(I605),ISNUMBER(AF605)),I605-AF605,"")</f>
        <v>30</v>
      </c>
      <c r="AX605" s="57" t="str">
        <f>IF(AND(ISNUMBER(AM605),ISNUMBER(G605)),G605-AM605,"")</f>
        <v/>
      </c>
      <c r="AY605" s="57" t="str">
        <f>IF(AND(ISNUMBER(AC605),ISNUMBER(AE605)),AC605-AE605,"")</f>
        <v/>
      </c>
      <c r="AZ605" s="57" t="str">
        <f t="shared" si="41"/>
        <v/>
      </c>
      <c r="BA605" s="60" t="str">
        <f>IF(AND($E605&gt;0,$W605&gt;0),IF(($E605-$W605)/$E605&gt;0,($E605-$W605)/$E605,0),"")</f>
        <v/>
      </c>
      <c r="BB605" s="60">
        <f>IF(AND($I605&gt;0,$AF605&gt;=0),IF(($I605-$AF605)/$I605&gt;0,($I605-$AF605)/$I605,0),"")</f>
        <v>1</v>
      </c>
      <c r="BC605" s="60">
        <f>IF(AND($AG605&gt;=0,$AD605&gt;=0,$AF605&gt;=0),IF($AG605/($AD605-$AF605)&gt;0,$AG605/($AD605-$AF605),0),"")</f>
        <v>0.35466666666666669</v>
      </c>
      <c r="BD605" s="60" t="str">
        <f>IF(AND($G605&gt;0,$AM605&gt;0),IF(($G605-$AM605)/$G605&gt;0,($G605-$AM605)/$G605,0),"")</f>
        <v/>
      </c>
      <c r="BE605" s="6">
        <f>IF((AD605-AF605)/(AJ605/60)&lt;=0,"",(AD605-AF605)/(AJ605/60))</f>
        <v>18.000000000000004</v>
      </c>
      <c r="BF605" s="6">
        <f>IF(OR(AJ605=0,AP605=0,NOT(ISNUMBER(AD605)),NOT(ISNUMBER(AF605)),NOT(ISNUMBER(AJ605)),NOT(ISNUMBER(AP605))),"",
IFERROR(IF((AD605-AF605)/(AJ605/60)/(AP605/1000)&lt;=0,"",(AD605-AF605)/(AJ605/60)/(AP605/1000)),""))</f>
        <v>6.6914498141263721</v>
      </c>
    </row>
    <row r="606" spans="1:58" ht="15.75">
      <c r="B606" s="63">
        <v>45866</v>
      </c>
      <c r="C606" s="1">
        <v>362</v>
      </c>
      <c r="D606" s="3">
        <v>601</v>
      </c>
      <c r="E606" s="205" t="str">
        <f t="shared" si="42"/>
        <v/>
      </c>
      <c r="I606" s="15">
        <f>AD606</f>
        <v>30</v>
      </c>
      <c r="K606" s="10" t="str">
        <f t="shared" si="38"/>
        <v/>
      </c>
      <c r="L606" s="9" t="str">
        <f t="shared" si="39"/>
        <v/>
      </c>
      <c r="M606" s="8" t="str">
        <f t="shared" si="40"/>
        <v/>
      </c>
      <c r="AB606" s="5">
        <v>80</v>
      </c>
      <c r="AD606" s="65">
        <f>30</f>
        <v>30</v>
      </c>
      <c r="AF606" s="1">
        <v>0</v>
      </c>
      <c r="AG606" s="62">
        <v>7.3</v>
      </c>
      <c r="AJ606" s="2">
        <f>("19:15"-"17:50")*1440</f>
        <v>85.000000000000014</v>
      </c>
      <c r="AK606" s="3">
        <f>180+60</f>
        <v>240</v>
      </c>
      <c r="AN606" s="3">
        <v>40</v>
      </c>
      <c r="AP606" s="13" t="e">
        <f>AVERAGE(AO604:AO610)</f>
        <v>#DIV/0!</v>
      </c>
      <c r="AR606" s="17"/>
      <c r="AS606" s="16">
        <f>(I606-AF606)/I606</f>
        <v>1</v>
      </c>
      <c r="AT606" s="16">
        <f>AG606/(AD606-AF606)</f>
        <v>0.24333333333333332</v>
      </c>
      <c r="AU606" s="61"/>
      <c r="AV606" s="57" t="str">
        <f>IF(AND(ISNUMBER(E606),ISNUMBER(W606)),E606-W606,"")</f>
        <v/>
      </c>
      <c r="AW606" s="57">
        <f>IF(AND(ISNUMBER(I606),ISNUMBER(AF606)),I606-AF606,"")</f>
        <v>30</v>
      </c>
      <c r="AX606" s="57" t="str">
        <f>IF(AND(ISNUMBER(AM606),ISNUMBER(G606)),G606-AM606,"")</f>
        <v/>
      </c>
      <c r="AY606" s="57" t="str">
        <f>IF(AND(ISNUMBER(AC606),ISNUMBER(AE606)),AC606-AE606,"")</f>
        <v/>
      </c>
      <c r="AZ606" s="57" t="str">
        <f t="shared" si="41"/>
        <v/>
      </c>
      <c r="BA606" s="60" t="str">
        <f>IF(AND($E606&gt;0,$W606&gt;0),IF(($E606-$W606)/$E606&gt;0,($E606-$W606)/$E606,0),"")</f>
        <v/>
      </c>
      <c r="BB606" s="60">
        <f>IF(AND($I606&gt;0,$AF606&gt;=0),IF(($I606-$AF606)/$I606&gt;0,($I606-$AF606)/$I606,0),"")</f>
        <v>1</v>
      </c>
      <c r="BC606" s="60">
        <f>IF(AND($AG606&gt;=0,$AD606&gt;=0,$AF606&gt;=0),IF($AG606/($AD606-$AF606)&gt;0,$AG606/($AD606-$AF606),0),"")</f>
        <v>0.24333333333333332</v>
      </c>
      <c r="BD606" s="60" t="str">
        <f>IF(AND($G606&gt;0,$AM606&gt;0),IF(($G606-$AM606)/$G606&gt;0,($G606-$AM606)/$G606,0),"")</f>
        <v/>
      </c>
      <c r="BE606" s="6">
        <f>IF((AD606-AF606)/(AJ606/60)&lt;=0,"",(AD606-AF606)/(AJ606/60))</f>
        <v>21.17647058823529</v>
      </c>
      <c r="BF606" s="6"/>
    </row>
    <row r="607" spans="1:58" ht="15.75">
      <c r="B607" s="63">
        <v>45867</v>
      </c>
      <c r="C607" s="1">
        <v>363</v>
      </c>
      <c r="D607" s="3">
        <v>602</v>
      </c>
      <c r="E607" s="205" t="str">
        <f t="shared" si="42"/>
        <v/>
      </c>
      <c r="I607" s="15">
        <f>AD607</f>
        <v>30</v>
      </c>
      <c r="K607" s="10" t="str">
        <f t="shared" si="38"/>
        <v/>
      </c>
      <c r="L607" s="9" t="str">
        <f t="shared" si="39"/>
        <v/>
      </c>
      <c r="M607" s="8" t="str">
        <f t="shared" si="40"/>
        <v/>
      </c>
      <c r="AB607" s="5">
        <v>80</v>
      </c>
      <c r="AD607" s="65">
        <f>30</f>
        <v>30</v>
      </c>
      <c r="AF607" s="1">
        <v>0</v>
      </c>
      <c r="AG607" s="64"/>
      <c r="AJ607" s="2">
        <f>("19:15"-"17:50")*1440</f>
        <v>85.000000000000014</v>
      </c>
      <c r="AK607" s="3">
        <f>180+60</f>
        <v>240</v>
      </c>
      <c r="AN607" s="3">
        <v>40</v>
      </c>
      <c r="AP607" s="13" t="e">
        <f>AVERAGE(AO605:AO611)</f>
        <v>#DIV/0!</v>
      </c>
      <c r="AR607" s="17"/>
      <c r="AS607" s="16">
        <f>(I607-AF607)/I607</f>
        <v>1</v>
      </c>
      <c r="AT607" s="16"/>
      <c r="AU607" s="61"/>
      <c r="AV607" s="57" t="str">
        <f>IF(AND(ISNUMBER(E607),ISNUMBER(W607)),E607-W607,"")</f>
        <v/>
      </c>
      <c r="AW607" s="57">
        <f>IF(AND(ISNUMBER(I607),ISNUMBER(AF607)),I607-AF607,"")</f>
        <v>30</v>
      </c>
      <c r="AX607" s="57" t="str">
        <f>IF(AND(ISNUMBER(AM607),ISNUMBER(G607)),G607-AM607,"")</f>
        <v/>
      </c>
      <c r="AY607" s="57" t="str">
        <f>IF(AND(ISNUMBER(AC607),ISNUMBER(AE607)),AC607-AE607,"")</f>
        <v/>
      </c>
      <c r="AZ607" s="57" t="str">
        <f t="shared" si="41"/>
        <v/>
      </c>
      <c r="BA607" s="60" t="str">
        <f>IF(AND($E607&gt;0,$W607&gt;0),IF(($E607-$W607)/$E607&gt;0,($E607-$W607)/$E607,0),"")</f>
        <v/>
      </c>
      <c r="BB607" s="60">
        <f>IF(AND($I607&gt;0,$AF607&gt;=0),IF(($I607-$AF607)/$I607&gt;0,($I607-$AF607)/$I607,0),"")</f>
        <v>1</v>
      </c>
      <c r="BC607" s="60">
        <f>IF(AND($AG607&gt;=0,$AD607&gt;=0,$AF607&gt;=0),IF($AG607/($AD607-$AF607)&gt;0,$AG607/($AD607-$AF607),0),"")</f>
        <v>0</v>
      </c>
      <c r="BD607" s="60" t="str">
        <f>IF(AND($G607&gt;0,$AM607&gt;0),IF(($G607-$AM607)/$G607&gt;0,($G607-$AM607)/$G607,0),"")</f>
        <v/>
      </c>
      <c r="BE607" s="6">
        <f>IF((AD607-AF607)/(AJ607/60)&lt;=0,"",(AD607-AF607)/(AJ607/60))</f>
        <v>21.17647058823529</v>
      </c>
      <c r="BF607" s="6"/>
    </row>
    <row r="608" spans="1:58" ht="15.75">
      <c r="B608" s="63">
        <v>45868</v>
      </c>
      <c r="C608" s="1">
        <v>364</v>
      </c>
      <c r="D608" s="3">
        <v>603</v>
      </c>
      <c r="E608" s="205" t="str">
        <f t="shared" si="42"/>
        <v/>
      </c>
      <c r="I608" s="15">
        <f>AD608</f>
        <v>30</v>
      </c>
      <c r="K608" s="10" t="str">
        <f t="shared" si="38"/>
        <v/>
      </c>
      <c r="L608" s="9" t="str">
        <f t="shared" si="39"/>
        <v/>
      </c>
      <c r="M608" s="8" t="str">
        <f t="shared" si="40"/>
        <v/>
      </c>
      <c r="AB608" s="5">
        <v>80</v>
      </c>
      <c r="AD608" s="65">
        <f>30</f>
        <v>30</v>
      </c>
      <c r="AF608" s="1">
        <v>0</v>
      </c>
      <c r="AG608" s="64"/>
      <c r="AJ608" s="2">
        <f>("19:10"-"17:50")*1440</f>
        <v>80.000000000000028</v>
      </c>
      <c r="AK608" s="3">
        <f>180+60</f>
        <v>240</v>
      </c>
      <c r="AN608" s="3">
        <v>40</v>
      </c>
      <c r="AP608" s="13" t="e">
        <f>AVERAGE(AO606:AO612)</f>
        <v>#DIV/0!</v>
      </c>
      <c r="AR608" s="17"/>
      <c r="AS608" s="16">
        <f>(I608-AF608)/I608</f>
        <v>1</v>
      </c>
      <c r="AT608" s="16"/>
      <c r="AU608" s="61"/>
      <c r="AV608" s="57" t="str">
        <f>IF(AND(ISNUMBER(E608),ISNUMBER(W608)),E608-W608,"")</f>
        <v/>
      </c>
      <c r="AW608" s="57">
        <f>IF(AND(ISNUMBER(I608),ISNUMBER(AF608)),I608-AF608,"")</f>
        <v>30</v>
      </c>
      <c r="AX608" s="57" t="str">
        <f>IF(AND(ISNUMBER(AM608),ISNUMBER(G608)),G608-AM608,"")</f>
        <v/>
      </c>
      <c r="AY608" s="57" t="str">
        <f>IF(AND(ISNUMBER(AC608),ISNUMBER(AE608)),AC608-AE608,"")</f>
        <v/>
      </c>
      <c r="AZ608" s="57" t="str">
        <f t="shared" si="41"/>
        <v/>
      </c>
      <c r="BA608" s="60" t="str">
        <f>IF(AND($E608&gt;0,$W608&gt;0),IF(($E608-$W608)/$E608&gt;0,($E608-$W608)/$E608,0),"")</f>
        <v/>
      </c>
      <c r="BB608" s="60">
        <f>IF(AND($I608&gt;0,$AF608&gt;=0),IF(($I608-$AF608)/$I608&gt;0,($I608-$AF608)/$I608,0),"")</f>
        <v>1</v>
      </c>
      <c r="BC608" s="60">
        <f>IF(AND($AG608&gt;=0,$AD608&gt;=0,$AF608&gt;=0),IF($AG608/($AD608-$AF608)&gt;0,$AG608/($AD608-$AF608),0),"")</f>
        <v>0</v>
      </c>
      <c r="BD608" s="60" t="str">
        <f>IF(AND($G608&gt;0,$AM608&gt;0),IF(($G608-$AM608)/$G608&gt;0,($G608-$AM608)/$G608,0),"")</f>
        <v/>
      </c>
      <c r="BE608" s="6">
        <f>IF((AD608-AF608)/(AJ608/60)&lt;=0,"",(AD608-AF608)/(AJ608/60))</f>
        <v>22.499999999999993</v>
      </c>
      <c r="BF608" s="6"/>
    </row>
    <row r="609" spans="1:58" ht="15.75">
      <c r="B609" s="63">
        <v>45869</v>
      </c>
      <c r="C609" s="1">
        <v>365</v>
      </c>
      <c r="D609" s="3">
        <v>604</v>
      </c>
      <c r="E609" s="205" t="str">
        <f t="shared" si="42"/>
        <v/>
      </c>
      <c r="I609" s="15">
        <f>AD609</f>
        <v>30</v>
      </c>
      <c r="K609" s="10" t="str">
        <f t="shared" si="38"/>
        <v/>
      </c>
      <c r="L609" s="9" t="str">
        <f t="shared" si="39"/>
        <v/>
      </c>
      <c r="M609" s="8" t="str">
        <f t="shared" si="40"/>
        <v/>
      </c>
      <c r="AB609" s="5">
        <v>80</v>
      </c>
      <c r="AD609" s="65">
        <f>30</f>
        <v>30</v>
      </c>
      <c r="AF609" s="1">
        <v>0</v>
      </c>
      <c r="AG609" s="64">
        <v>6.12</v>
      </c>
      <c r="AH609" s="20">
        <v>0.44965277777777779</v>
      </c>
      <c r="AJ609" s="2"/>
      <c r="AK609" s="3">
        <f>180+60</f>
        <v>240</v>
      </c>
      <c r="AN609" s="3">
        <v>40</v>
      </c>
      <c r="AP609" s="13" t="e">
        <f>AVERAGE(AO607:AO613)</f>
        <v>#DIV/0!</v>
      </c>
      <c r="AR609" s="17"/>
      <c r="AS609" s="16">
        <f>(I609-AF609)/I609</f>
        <v>1</v>
      </c>
      <c r="AT609" s="16">
        <f>AG609/(AD609-AF609)</f>
        <v>0.20400000000000001</v>
      </c>
      <c r="AU609" s="61"/>
      <c r="AV609" s="57" t="str">
        <f>IF(AND(ISNUMBER(E609),ISNUMBER(W609)),E609-W609,"")</f>
        <v/>
      </c>
      <c r="AW609" s="57">
        <f>IF(AND(ISNUMBER(I609),ISNUMBER(AF609)),I609-AF609,"")</f>
        <v>30</v>
      </c>
      <c r="AX609" s="57" t="str">
        <f>IF(AND(ISNUMBER(AM609),ISNUMBER(G609)),G609-AM609,"")</f>
        <v/>
      </c>
      <c r="AY609" s="57" t="str">
        <f>IF(AND(ISNUMBER(AC609),ISNUMBER(AE609)),AC609-AE609,"")</f>
        <v/>
      </c>
      <c r="AZ609" s="57" t="str">
        <f t="shared" si="41"/>
        <v/>
      </c>
      <c r="BA609" s="60" t="str">
        <f>IF(AND($E609&gt;0,$W609&gt;0),IF(($E609-$W609)/$E609&gt;0,($E609-$W609)/$E609,0),"")</f>
        <v/>
      </c>
      <c r="BB609" s="60">
        <f>IF(AND($I609&gt;0,$AF609&gt;=0),IF(($I609-$AF609)/$I609&gt;0,($I609-$AF609)/$I609,0),"")</f>
        <v>1</v>
      </c>
      <c r="BC609" s="60">
        <f>IF(AND($AG609&gt;=0,$AD609&gt;=0,$AF609&gt;=0),IF($AG609/($AD609-$AF609)&gt;0,$AG609/($AD609-$AF609),0),"")</f>
        <v>0.20400000000000001</v>
      </c>
      <c r="BD609" s="60" t="str">
        <f>IF(AND($G609&gt;0,$AM609&gt;0),IF(($G609-$AM609)/$G609&gt;0,($G609-$AM609)/$G609,0),"")</f>
        <v/>
      </c>
      <c r="BE609" s="6" t="e">
        <f>IF((AD609-AF609)/(AJ609/60)&lt;=0,"",(AD609-AF609)/(AJ609/60))</f>
        <v>#DIV/0!</v>
      </c>
      <c r="BF609" s="6"/>
    </row>
    <row r="610" spans="1:58" ht="15.75">
      <c r="B610" s="63">
        <v>45870</v>
      </c>
      <c r="C610" s="1">
        <v>366</v>
      </c>
      <c r="D610" s="3">
        <v>605</v>
      </c>
      <c r="E610" s="205" t="str">
        <f t="shared" si="42"/>
        <v/>
      </c>
      <c r="I610" s="15">
        <f>AD610</f>
        <v>30</v>
      </c>
      <c r="K610" s="10" t="str">
        <f t="shared" si="38"/>
        <v/>
      </c>
      <c r="L610" s="9" t="str">
        <f t="shared" si="39"/>
        <v/>
      </c>
      <c r="M610" s="8" t="str">
        <f t="shared" si="40"/>
        <v/>
      </c>
      <c r="AB610" s="5">
        <v>80</v>
      </c>
      <c r="AD610" s="65">
        <f>30</f>
        <v>30</v>
      </c>
      <c r="AF610" s="1">
        <v>0</v>
      </c>
      <c r="AG610" s="64">
        <v>17.75</v>
      </c>
      <c r="AH610" s="20">
        <v>0.36967592592592591</v>
      </c>
      <c r="AJ610" s="2">
        <f>("19:00"-"17:50")*1440</f>
        <v>69.999999999999915</v>
      </c>
      <c r="AK610" s="3">
        <f>180+60</f>
        <v>240</v>
      </c>
      <c r="AN610" s="3">
        <v>40</v>
      </c>
      <c r="AP610" s="13">
        <f>AVERAGE(AO608:AO614)</f>
        <v>3440.0000000000546</v>
      </c>
      <c r="AR610" s="17"/>
      <c r="AS610" s="16">
        <f>(I610-AF610)/I610</f>
        <v>1</v>
      </c>
      <c r="AT610" s="16">
        <f>AG610/(AD610-AF610)</f>
        <v>0.59166666666666667</v>
      </c>
      <c r="AU610" s="61"/>
      <c r="AV610" s="57" t="str">
        <f>IF(AND(ISNUMBER(E610),ISNUMBER(W610)),E610-W610,"")</f>
        <v/>
      </c>
      <c r="AW610" s="57">
        <f>IF(AND(ISNUMBER(I610),ISNUMBER(AF610)),I610-AF610,"")</f>
        <v>30</v>
      </c>
      <c r="AX610" s="57" t="str">
        <f>IF(AND(ISNUMBER(AM610),ISNUMBER(G610)),G610-AM610,"")</f>
        <v/>
      </c>
      <c r="AY610" s="57" t="str">
        <f>IF(AND(ISNUMBER(AC610),ISNUMBER(AE610)),AC610-AE610,"")</f>
        <v/>
      </c>
      <c r="AZ610" s="57" t="str">
        <f t="shared" si="41"/>
        <v/>
      </c>
      <c r="BA610" s="60" t="str">
        <f>IF(AND($E610&gt;0,$W610&gt;0),IF(($E610-$W610)/$E610&gt;0,($E610-$W610)/$E610,0),"")</f>
        <v/>
      </c>
      <c r="BB610" s="60">
        <f>IF(AND($I610&gt;0,$AF610&gt;=0),IF(($I610-$AF610)/$I610&gt;0,($I610-$AF610)/$I610,0),"")</f>
        <v>1</v>
      </c>
      <c r="BC610" s="60">
        <f>IF(AND($AG610&gt;=0,$AD610&gt;=0,$AF610&gt;=0),IF($AG610/($AD610-$AF610)&gt;0,$AG610/($AD610-$AF610),0),"")</f>
        <v>0.59166666666666667</v>
      </c>
      <c r="BD610" s="60" t="str">
        <f>IF(AND($G610&gt;0,$AM610&gt;0),IF(($G610-$AM610)/$G610&gt;0,($G610-$AM610)/$G610,0),"")</f>
        <v/>
      </c>
      <c r="BE610" s="6">
        <f>IF((AD610-AF610)/(AJ610/60)&lt;=0,"",(AD610-AF610)/(AJ610/60))</f>
        <v>25.714285714285747</v>
      </c>
      <c r="BF610" s="6">
        <f>IF(OR(AJ610=0,AP610=0,NOT(ISNUMBER(AD610)),NOT(ISNUMBER(AF610)),NOT(ISNUMBER(AJ610)),NOT(ISNUMBER(AP610))),"",
IFERROR(IF((AD610-AF610)/(AJ610/60)/(AP610/1000)&lt;=0,"",(AD610-AF610)/(AJ610/60)/(AP610/1000)),""))</f>
        <v>7.4750830564782964</v>
      </c>
    </row>
    <row r="611" spans="1:58" ht="15.75">
      <c r="B611" s="63">
        <v>45871</v>
      </c>
      <c r="C611" s="1">
        <v>367</v>
      </c>
      <c r="D611" s="3">
        <v>606</v>
      </c>
      <c r="E611" s="205" t="str">
        <f t="shared" si="42"/>
        <v/>
      </c>
      <c r="G611" s="24">
        <v>14.216000000000001</v>
      </c>
      <c r="I611" s="15">
        <f>AD611</f>
        <v>32</v>
      </c>
      <c r="K611" s="10" t="str">
        <f t="shared" si="38"/>
        <v/>
      </c>
      <c r="L611" s="9" t="str">
        <f t="shared" si="39"/>
        <v/>
      </c>
      <c r="M611" s="8">
        <f t="shared" si="40"/>
        <v>4.5019696117051202</v>
      </c>
      <c r="AB611" s="5">
        <v>80</v>
      </c>
      <c r="AD611" s="65">
        <v>32</v>
      </c>
      <c r="AF611" s="1">
        <v>0</v>
      </c>
      <c r="AG611" s="64">
        <v>4.53</v>
      </c>
      <c r="AH611" s="20">
        <v>0.42523148148148149</v>
      </c>
      <c r="AJ611" s="2">
        <f>("18:50"-"17:50")*1440</f>
        <v>59.999999999999943</v>
      </c>
      <c r="AK611" s="3">
        <f>180+60</f>
        <v>240</v>
      </c>
      <c r="AM611" s="67">
        <v>1.7999999999999999E-2</v>
      </c>
      <c r="AN611" s="3">
        <v>40</v>
      </c>
      <c r="AP611" s="13">
        <f>AVERAGE(AO609:AO615)</f>
        <v>3425.0000000000455</v>
      </c>
      <c r="AR611" s="17"/>
      <c r="AS611" s="16">
        <f>(I611-AF611)/I611</f>
        <v>1</v>
      </c>
      <c r="AT611" s="16">
        <f>AG611/(AD611-AF611)</f>
        <v>0.14156250000000001</v>
      </c>
      <c r="AU611" s="61">
        <f>(G611-AM611)/G611</f>
        <v>0.99873382104670794</v>
      </c>
      <c r="AV611" s="57" t="str">
        <f>IF(AND(ISNUMBER(E611),ISNUMBER(W611)),E611-W611,"")</f>
        <v/>
      </c>
      <c r="AW611" s="57">
        <f>IF(AND(ISNUMBER(I611),ISNUMBER(AF611)),I611-AF611,"")</f>
        <v>32</v>
      </c>
      <c r="AX611" s="57">
        <f>IF(AND(ISNUMBER(AM611),ISNUMBER(G611)),G611-AM611,"")</f>
        <v>14.198</v>
      </c>
      <c r="AY611" s="57" t="str">
        <f>IF(AND(ISNUMBER(AC611),ISNUMBER(AE611)),AC611-AE611,"")</f>
        <v/>
      </c>
      <c r="AZ611" s="57" t="str">
        <f t="shared" si="41"/>
        <v/>
      </c>
      <c r="BA611" s="60">
        <v>1</v>
      </c>
      <c r="BB611" s="60">
        <f>IF(AND($I611&gt;0,$AF611&gt;=0),IF(($I611-$AF611)/$I611&gt;0,($I611-$AF611)/$I611,0),"")</f>
        <v>1</v>
      </c>
      <c r="BC611" s="60">
        <f>IF(AND($AG611&gt;=0,$AD611&gt;=0,$AF611&gt;=0),IF($AG611/($AD611-$AF611)&gt;0,$AG611/($AD611-$AF611),0),"")</f>
        <v>0.14156250000000001</v>
      </c>
      <c r="BD611" s="60">
        <f>IF(AND($G611&gt;0,$AM611&gt;0),IF(($G611-$AM611)/$G611&gt;0,($G611-$AM611)/$G611,0),"")</f>
        <v>0.99873382104670794</v>
      </c>
      <c r="BE611" s="6">
        <f>IF((AD611-AF611)/(AJ611/60)&lt;=0,"",(AD611-AF611)/(AJ611/60))</f>
        <v>32.000000000000028</v>
      </c>
      <c r="BF611" s="6">
        <f>IF(OR(AJ611=0,AP611=0,NOT(ISNUMBER(AD611)),NOT(ISNUMBER(AF611)),NOT(ISNUMBER(AJ611)),NOT(ISNUMBER(AP611))),"",
IFERROR(IF((AD611-AF611)/(AJ611/60)/(AP611/1000)&lt;=0,"",(AD611-AF611)/(AJ611/60)/(AP611/1000)),""))</f>
        <v>9.3430656934305407</v>
      </c>
    </row>
    <row r="612" spans="1:58" ht="15.75">
      <c r="B612" s="63">
        <v>45872</v>
      </c>
      <c r="C612" s="1">
        <v>368</v>
      </c>
      <c r="D612" s="3">
        <v>607</v>
      </c>
      <c r="E612" s="205" t="str">
        <f t="shared" si="42"/>
        <v/>
      </c>
      <c r="G612" s="24">
        <v>14.216000000000001</v>
      </c>
      <c r="I612" s="15">
        <f>AD612</f>
        <v>32</v>
      </c>
      <c r="K612" s="10" t="str">
        <f t="shared" si="38"/>
        <v/>
      </c>
      <c r="L612" s="9" t="str">
        <f t="shared" si="39"/>
        <v/>
      </c>
      <c r="M612" s="8">
        <f t="shared" si="40"/>
        <v>4.5019696117051202</v>
      </c>
      <c r="AB612" s="5">
        <v>80</v>
      </c>
      <c r="AD612" s="65">
        <v>32</v>
      </c>
      <c r="AF612" s="1">
        <v>0</v>
      </c>
      <c r="AG612" s="64">
        <v>1.46</v>
      </c>
      <c r="AH612" s="20">
        <v>0.4375</v>
      </c>
      <c r="AJ612" s="2">
        <f>("19:00"-"17:50")*1440</f>
        <v>69.999999999999915</v>
      </c>
      <c r="AK612" s="3">
        <f>180+60</f>
        <v>240</v>
      </c>
      <c r="AM612" s="67">
        <v>1.2999999999999999E-2</v>
      </c>
      <c r="AN612" s="3">
        <v>40</v>
      </c>
      <c r="AP612" s="13">
        <f>AVERAGE(AO610:AO616)</f>
        <v>3425.0000000000455</v>
      </c>
      <c r="AR612" s="17"/>
      <c r="AS612" s="16">
        <f>(I612-AF612)/I612</f>
        <v>1</v>
      </c>
      <c r="AT612" s="16">
        <f>AG612/(AD612-AF612)</f>
        <v>4.5624999999999999E-2</v>
      </c>
      <c r="AU612" s="61">
        <f>(G612-AM612)/G612</f>
        <v>0.99908553742262241</v>
      </c>
      <c r="AV612" s="57" t="str">
        <f>IF(AND(ISNUMBER(E612),ISNUMBER(W612)),E612-W612,"")</f>
        <v/>
      </c>
      <c r="AW612" s="57">
        <f>IF(AND(ISNUMBER(I612),ISNUMBER(AF612)),I612-AF612,"")</f>
        <v>32</v>
      </c>
      <c r="AX612" s="57">
        <f>IF(AND(ISNUMBER(AM612),ISNUMBER(G612)),G612-AM612,"")</f>
        <v>14.203000000000001</v>
      </c>
      <c r="AY612" s="57" t="str">
        <f>IF(AND(ISNUMBER(AC612),ISNUMBER(AE612)),AC612-AE612,"")</f>
        <v/>
      </c>
      <c r="AZ612" s="57" t="str">
        <f t="shared" si="41"/>
        <v/>
      </c>
      <c r="BA612" s="60">
        <v>1</v>
      </c>
      <c r="BB612" s="60">
        <f>IF(AND($I612&gt;0,$AF612&gt;=0),IF(($I612-$AF612)/$I612&gt;0,($I612-$AF612)/$I612,0),"")</f>
        <v>1</v>
      </c>
      <c r="BC612" s="60">
        <f>IF(AND($AG612&gt;=0,$AD612&gt;=0,$AF612&gt;=0),IF($AG612/($AD612-$AF612)&gt;0,$AG612/($AD612-$AF612),0),"")</f>
        <v>4.5624999999999999E-2</v>
      </c>
      <c r="BD612" s="60">
        <f>IF(AND($G612&gt;0,$AM612&gt;0),IF(($G612-$AM612)/$G612&gt;0,($G612-$AM612)/$G612,0),"")</f>
        <v>0.99908553742262241</v>
      </c>
      <c r="BE612" s="6">
        <f>IF((AD612-AF612)/(AJ612/60)&lt;=0,"",(AD612-AF612)/(AJ612/60))</f>
        <v>27.428571428571463</v>
      </c>
      <c r="BF612" s="6">
        <f>IF(OR(AJ612=0,AP612=0,NOT(ISNUMBER(AD612)),NOT(ISNUMBER(AF612)),NOT(ISNUMBER(AJ612)),NOT(ISNUMBER(AP612))),"",
IFERROR(IF((AD612-AF612)/(AJ612/60)/(AP612/1000)&lt;=0,"",(AD612-AF612)/(AJ612/60)/(AP612/1000)),""))</f>
        <v>8.0083420229404663</v>
      </c>
    </row>
    <row r="613" spans="1:58" ht="15.75">
      <c r="B613" s="63">
        <v>45873</v>
      </c>
      <c r="C613" s="1">
        <v>369</v>
      </c>
      <c r="D613" s="3">
        <v>608</v>
      </c>
      <c r="E613" s="205" t="str">
        <f t="shared" si="42"/>
        <v/>
      </c>
      <c r="G613" s="6">
        <f>(N613*18-H613*18)/9</f>
        <v>14.216000000000001</v>
      </c>
      <c r="H613" s="9">
        <f>2*0.096</f>
        <v>0.192</v>
      </c>
      <c r="I613" s="15">
        <f>AD613</f>
        <v>35</v>
      </c>
      <c r="K613" s="10" t="str">
        <f t="shared" ref="K613:K635" si="43">IF(OR(E613="",G613="",E613=0,G613=0),"",E613/G613)</f>
        <v/>
      </c>
      <c r="L613" s="9" t="str">
        <f t="shared" ref="L613:L635" si="44">IF(OR(E613="",I613="",E613=0,I613=0),"",E613/(I613*2))</f>
        <v/>
      </c>
      <c r="M613" s="8">
        <f t="shared" ref="M613:M635" si="45">IF(OR(I613="",G613="",I613=0,G613=0),"",I613*2/G613)</f>
        <v>4.9240292628024758</v>
      </c>
      <c r="N613" s="7">
        <v>7.3</v>
      </c>
      <c r="T613" s="6">
        <v>32.4</v>
      </c>
      <c r="AB613" s="5">
        <v>80</v>
      </c>
      <c r="AC613" s="7">
        <f>T613</f>
        <v>32.4</v>
      </c>
      <c r="AD613" s="65">
        <v>35</v>
      </c>
      <c r="AE613" s="1">
        <v>12.1</v>
      </c>
      <c r="AF613" s="1">
        <v>0</v>
      </c>
      <c r="AG613" s="64">
        <v>4.71</v>
      </c>
      <c r="AH613" s="20">
        <v>0.44201388888888887</v>
      </c>
      <c r="AJ613" s="2">
        <f>("18:50"-"17:50")*1440</f>
        <v>59.999999999999943</v>
      </c>
      <c r="AK613" s="3">
        <f>180+60</f>
        <v>240</v>
      </c>
      <c r="AL613" s="4">
        <f>AE613</f>
        <v>12.1</v>
      </c>
      <c r="AM613" s="1">
        <f>2*0.0096</f>
        <v>1.9199999999999998E-2</v>
      </c>
      <c r="AN613" s="3">
        <v>40</v>
      </c>
      <c r="AP613" s="13">
        <f>AVERAGE(AO611:AO617)</f>
        <v>3425.0000000000455</v>
      </c>
      <c r="AR613" s="17"/>
      <c r="AS613" s="16">
        <f>(I613-AF613)/I613</f>
        <v>1</v>
      </c>
      <c r="AT613" s="16">
        <f>AG613/(AD613-AF613)</f>
        <v>0.13457142857142856</v>
      </c>
      <c r="AU613" s="61">
        <f>(G613-AM613)/G613</f>
        <v>0.99864940911648847</v>
      </c>
      <c r="AV613" s="57" t="str">
        <f>IF(AND(ISNUMBER(E613),ISNUMBER(W613)),E613-W613,"")</f>
        <v/>
      </c>
      <c r="AW613" s="57">
        <f>IF(AND(ISNUMBER(I613),ISNUMBER(AF613)),I613-AF613,"")</f>
        <v>35</v>
      </c>
      <c r="AX613" s="57">
        <f>IF(AND(ISNUMBER(AM613),ISNUMBER(G613)),G613-AM613,"")</f>
        <v>14.196800000000001</v>
      </c>
      <c r="AY613" s="57">
        <f>IF(AND(ISNUMBER(AC613),ISNUMBER(AE613)),AC613-AE613,"")</f>
        <v>20.299999999999997</v>
      </c>
      <c r="AZ613" s="57">
        <f t="shared" si="41"/>
        <v>12.0808</v>
      </c>
      <c r="BA613" s="60">
        <v>1</v>
      </c>
      <c r="BB613" s="60">
        <f>IF(AND($I613&gt;0,$AF613&gt;=0),IF(($I613-$AF613)/$I613&gt;0,($I613-$AF613)/$I613,0),"")</f>
        <v>1</v>
      </c>
      <c r="BC613" s="60">
        <f>IF(AND($AG613&gt;=0,$AD613&gt;=0,$AF613&gt;=0),IF($AG613/($AD613-$AF613)&gt;0,$AG613/($AD613-$AF613),0),"")</f>
        <v>0.13457142857142856</v>
      </c>
      <c r="BD613" s="60">
        <f>IF(AND($G613&gt;0,$AM613&gt;0),IF(($G613-$AM613)/$G613&gt;0,($G613-$AM613)/$G613,0),"")</f>
        <v>0.99864940911648847</v>
      </c>
      <c r="BE613" s="6">
        <f>IF((AD613-AF613)/(AJ613/60)&lt;=0,"",(AD613-AF613)/(AJ613/60))</f>
        <v>35.000000000000036</v>
      </c>
      <c r="BF613" s="6">
        <f>IF(OR(AJ613=0,AP613=0,NOT(ISNUMBER(AD613)),NOT(ISNUMBER(AF613)),NOT(ISNUMBER(AJ613)),NOT(ISNUMBER(AP613))),"",
IFERROR(IF((AD613-AF613)/(AJ613/60)/(AP613/1000)&lt;=0,"",(AD613-AF613)/(AJ613/60)/(AP613/1000)),""))</f>
        <v>10.218978102189656</v>
      </c>
    </row>
    <row r="614" spans="1:58" ht="15.75">
      <c r="A614" s="12" t="s">
        <v>35</v>
      </c>
      <c r="B614" s="66">
        <v>45874</v>
      </c>
      <c r="C614" s="1">
        <v>370</v>
      </c>
      <c r="D614" s="3">
        <v>609</v>
      </c>
      <c r="E614" s="205" t="str">
        <f t="shared" si="42"/>
        <v/>
      </c>
      <c r="I614" s="15">
        <f>AD614</f>
        <v>35</v>
      </c>
      <c r="K614" s="10" t="str">
        <f t="shared" si="43"/>
        <v/>
      </c>
      <c r="L614" s="9" t="str">
        <f t="shared" si="44"/>
        <v/>
      </c>
      <c r="M614" s="8" t="str">
        <f t="shared" si="45"/>
        <v/>
      </c>
      <c r="AB614" s="5">
        <v>80</v>
      </c>
      <c r="AD614" s="65">
        <v>35</v>
      </c>
      <c r="AF614" s="1">
        <v>0</v>
      </c>
      <c r="AG614" s="64">
        <v>3.06</v>
      </c>
      <c r="AH614" s="20">
        <v>0.48622685185185183</v>
      </c>
      <c r="AJ614" s="2">
        <f>("19:00"-"17:50")*1440</f>
        <v>69.999999999999915</v>
      </c>
      <c r="AK614" s="3">
        <f>180+60</f>
        <v>240</v>
      </c>
      <c r="AN614" s="3">
        <v>40</v>
      </c>
      <c r="AO614" s="2">
        <v>3440.0000000000546</v>
      </c>
      <c r="AP614" s="13">
        <f>AVERAGE(AO612:AO618)</f>
        <v>3425.0000000000455</v>
      </c>
      <c r="AR614" s="17"/>
      <c r="AS614" s="16">
        <f>(I614-AF614)/I614</f>
        <v>1</v>
      </c>
      <c r="AT614" s="16">
        <f>AG614/(AD614-AF614)</f>
        <v>8.7428571428571425E-2</v>
      </c>
      <c r="AU614" s="61"/>
      <c r="AV614" s="57" t="str">
        <f>IF(AND(ISNUMBER(E614),ISNUMBER(W614)),E614-W614,"")</f>
        <v/>
      </c>
      <c r="AW614" s="57">
        <f>IF(AND(ISNUMBER(I614),ISNUMBER(AF614)),I614-AF614,"")</f>
        <v>35</v>
      </c>
      <c r="AX614" s="57" t="str">
        <f>IF(AND(ISNUMBER(AM614),ISNUMBER(G614)),G614-AM614,"")</f>
        <v/>
      </c>
      <c r="AY614" s="57" t="str">
        <f>IF(AND(ISNUMBER(AC614),ISNUMBER(AE614)),AC614-AE614,"")</f>
        <v/>
      </c>
      <c r="AZ614" s="57" t="str">
        <f t="shared" si="41"/>
        <v/>
      </c>
      <c r="BA614" s="60">
        <v>1</v>
      </c>
      <c r="BB614" s="60">
        <f>IF(AND($I614&gt;0,$AF614&gt;=0),IF(($I614-$AF614)/$I614&gt;0,($I614-$AF614)/$I614,0),"")</f>
        <v>1</v>
      </c>
      <c r="BC614" s="60">
        <f>IF(AND($AG614&gt;=0,$AD614&gt;=0,$AF614&gt;=0),IF($AG614/($AD614-$AF614)&gt;0,$AG614/($AD614-$AF614),0),"")</f>
        <v>8.7428571428571425E-2</v>
      </c>
      <c r="BD614" s="60" t="str">
        <f>IF(AND($G614&gt;0,$AM614&gt;0),IF(($G614-$AM614)/$G614&gt;0,($G614-$AM614)/$G614,0),"")</f>
        <v/>
      </c>
      <c r="BE614" s="6">
        <f>IF((AD614-AF614)/(AJ614/60)&lt;=0,"",(AD614-AF614)/(AJ614/60))</f>
        <v>30.000000000000039</v>
      </c>
      <c r="BF614" s="6">
        <f>IF(OR(AJ614=0,AP614=0,NOT(ISNUMBER(AD614)),NOT(ISNUMBER(AF614)),NOT(ISNUMBER(AJ614)),NOT(ISNUMBER(AP614))),"",
IFERROR(IF((AD614-AF614)/(AJ614/60)/(AP614/1000)&lt;=0,"",(AD614-AF614)/(AJ614/60)/(AP614/1000)),""))</f>
        <v>8.759124087591136</v>
      </c>
    </row>
    <row r="615" spans="1:58" ht="15.75">
      <c r="A615" s="12" t="s">
        <v>34</v>
      </c>
      <c r="B615" s="63">
        <v>45875</v>
      </c>
      <c r="C615" s="1">
        <v>371</v>
      </c>
      <c r="D615" s="3">
        <v>610</v>
      </c>
      <c r="E615" s="205" t="str">
        <f t="shared" si="42"/>
        <v/>
      </c>
      <c r="I615" s="15">
        <f>AD615</f>
        <v>35</v>
      </c>
      <c r="K615" s="10" t="str">
        <f t="shared" si="43"/>
        <v/>
      </c>
      <c r="L615" s="9" t="str">
        <f t="shared" si="44"/>
        <v/>
      </c>
      <c r="M615" s="8" t="str">
        <f t="shared" si="45"/>
        <v/>
      </c>
      <c r="AB615" s="5">
        <v>80</v>
      </c>
      <c r="AD615" s="65">
        <v>35</v>
      </c>
      <c r="AF615" s="1">
        <v>0</v>
      </c>
      <c r="AG615" s="64">
        <v>11.74</v>
      </c>
      <c r="AH615" s="20">
        <v>0.52083333333333337</v>
      </c>
      <c r="AJ615" s="2">
        <f>("19:10"-"17:50")*1440</f>
        <v>80.000000000000028</v>
      </c>
      <c r="AK615" s="3">
        <f>180+60</f>
        <v>240</v>
      </c>
      <c r="AN615" s="3">
        <v>40</v>
      </c>
      <c r="AO615" s="2">
        <v>3410.0000000000364</v>
      </c>
      <c r="AP615" s="13">
        <f>AVERAGE(AO613:AO619)</f>
        <v>3425.0000000000455</v>
      </c>
      <c r="AR615" s="17"/>
      <c r="AS615" s="16">
        <f>(I615-AF615)/I615</f>
        <v>1</v>
      </c>
      <c r="AT615" s="16">
        <f>AG615/(AD615-AF615)</f>
        <v>0.33542857142857141</v>
      </c>
      <c r="AU615" s="61"/>
      <c r="AV615" s="57" t="str">
        <f>IF(AND(ISNUMBER(E615),ISNUMBER(W615)),E615-W615,"")</f>
        <v/>
      </c>
      <c r="AW615" s="57">
        <f>IF(AND(ISNUMBER(I615),ISNUMBER(AF615)),I615-AF615,"")</f>
        <v>35</v>
      </c>
      <c r="AX615" s="57" t="str">
        <f>IF(AND(ISNUMBER(AM615),ISNUMBER(G615)),G615-AM615,"")</f>
        <v/>
      </c>
      <c r="AY615" s="57" t="str">
        <f>IF(AND(ISNUMBER(AC615),ISNUMBER(AE615)),AC615-AE615,"")</f>
        <v/>
      </c>
      <c r="AZ615" s="57" t="str">
        <f t="shared" ref="AZ615:AZ678" si="46">IF(AND(ISNUMBER(AL615),ISNUMBER(AM615)),AL615-AM615,"")</f>
        <v/>
      </c>
      <c r="BA615" s="60">
        <v>1</v>
      </c>
      <c r="BB615" s="60">
        <f>IF(AND($I615&gt;0,$AF615&gt;=0),IF(($I615-$AF615)/$I615&gt;0,($I615-$AF615)/$I615,0),"")</f>
        <v>1</v>
      </c>
      <c r="BC615" s="60">
        <f>IF(AND($AG615&gt;=0,$AD615&gt;=0,$AF615&gt;=0),IF($AG615/($AD615-$AF615)&gt;0,$AG615/($AD615-$AF615),0),"")</f>
        <v>0.33542857142857141</v>
      </c>
      <c r="BD615" s="60" t="str">
        <f>IF(AND($G615&gt;0,$AM615&gt;0),IF(($G615-$AM615)/$G615&gt;0,($G615-$AM615)/$G615,0),"")</f>
        <v/>
      </c>
      <c r="BE615" s="6">
        <f>IF((AD615-AF615)/(AJ615/60)&lt;=0,"",(AD615-AF615)/(AJ615/60))</f>
        <v>26.249999999999993</v>
      </c>
      <c r="BF615" s="6">
        <f>IF(OR(AJ615=0,AP615=0,NOT(ISNUMBER(AD615)),NOT(ISNUMBER(AF615)),NOT(ISNUMBER(AJ615)),NOT(ISNUMBER(AP615))),"",
IFERROR(IF((AD615-AF615)/(AJ615/60)/(AP615/1000)&lt;=0,"",(AD615-AF615)/(AJ615/60)/(AP615/1000)),""))</f>
        <v>7.664233576642232</v>
      </c>
    </row>
    <row r="616" spans="1:58" ht="15.75">
      <c r="B616" s="63">
        <v>45876</v>
      </c>
      <c r="C616" s="1">
        <v>372</v>
      </c>
      <c r="D616" s="3">
        <v>611</v>
      </c>
      <c r="E616" s="205" t="str">
        <f t="shared" si="42"/>
        <v/>
      </c>
      <c r="I616" s="15">
        <f>AD616</f>
        <v>35</v>
      </c>
      <c r="K616" s="10" t="str">
        <f t="shared" si="43"/>
        <v/>
      </c>
      <c r="L616" s="9" t="str">
        <f t="shared" si="44"/>
        <v/>
      </c>
      <c r="M616" s="8" t="str">
        <f t="shared" si="45"/>
        <v/>
      </c>
      <c r="AB616" s="5">
        <v>80</v>
      </c>
      <c r="AD616" s="65">
        <v>35</v>
      </c>
      <c r="AF616" s="1">
        <v>0</v>
      </c>
      <c r="AG616" s="64">
        <v>5.09</v>
      </c>
      <c r="AH616" s="20">
        <v>0.44224537037037037</v>
      </c>
      <c r="AJ616" s="2">
        <f>("19:00"-"17:50")*1440</f>
        <v>69.999999999999915</v>
      </c>
      <c r="AK616" s="3">
        <f>180+60</f>
        <v>240</v>
      </c>
      <c r="AN616" s="3">
        <v>40</v>
      </c>
      <c r="AP616" s="13">
        <f>AVERAGE(AO614:AO620)</f>
        <v>3425.0000000000455</v>
      </c>
      <c r="AR616" s="17"/>
      <c r="AS616" s="16">
        <f>(I616-AF616)/I616</f>
        <v>1</v>
      </c>
      <c r="AT616" s="16">
        <f>AG616/(AD616-AF616)</f>
        <v>0.14542857142857143</v>
      </c>
      <c r="AU616" s="61"/>
      <c r="AV616" s="57" t="str">
        <f>IF(AND(ISNUMBER(E616),ISNUMBER(W616)),E616-W616,"")</f>
        <v/>
      </c>
      <c r="AW616" s="57">
        <f>IF(AND(ISNUMBER(I616),ISNUMBER(AF616)),I616-AF616,"")</f>
        <v>35</v>
      </c>
      <c r="AX616" s="57" t="str">
        <f>IF(AND(ISNUMBER(AM616),ISNUMBER(G616)),G616-AM616,"")</f>
        <v/>
      </c>
      <c r="AY616" s="57" t="str">
        <f>IF(AND(ISNUMBER(AC616),ISNUMBER(AE616)),AC616-AE616,"")</f>
        <v/>
      </c>
      <c r="AZ616" s="57" t="str">
        <f t="shared" si="46"/>
        <v/>
      </c>
      <c r="BA616" s="60" t="str">
        <f>IF(AND($E616&gt;0,$W616&gt;0),IF(($E616-$W616)/$E616&gt;0,($E616-$W616)/$E616,0),"")</f>
        <v/>
      </c>
      <c r="BB616" s="60">
        <f>IF(AND($I616&gt;0,$AF616&gt;=0),IF(($I616-$AF616)/$I616&gt;0,($I616-$AF616)/$I616,0),"")</f>
        <v>1</v>
      </c>
      <c r="BC616" s="60">
        <f>IF(AND($AG616&gt;=0,$AD616&gt;=0,$AF616&gt;=0),IF($AG616/($AD616-$AF616)&gt;0,$AG616/($AD616-$AF616),0),"")</f>
        <v>0.14542857142857143</v>
      </c>
      <c r="BD616" s="60" t="str">
        <f>IF(AND($G616&gt;0,$AM616&gt;0),IF(($G616-$AM616)/$G616&gt;0,($G616-$AM616)/$G616,0),"")</f>
        <v/>
      </c>
      <c r="BE616" s="6">
        <f>IF((AD616-AF616)/(AJ616/60)&lt;=0,"",(AD616-AF616)/(AJ616/60))</f>
        <v>30.000000000000039</v>
      </c>
      <c r="BF616" s="6">
        <f>IF(OR(AJ616=0,AP616=0,NOT(ISNUMBER(AD616)),NOT(ISNUMBER(AF616)),NOT(ISNUMBER(AJ616)),NOT(ISNUMBER(AP616))),"",
IFERROR(IF((AD616-AF616)/(AJ616/60)/(AP616/1000)&lt;=0,"",(AD616-AF616)/(AJ616/60)/(AP616/1000)),""))</f>
        <v>8.759124087591136</v>
      </c>
    </row>
    <row r="617" spans="1:58" ht="15.75">
      <c r="B617" s="63">
        <v>45877</v>
      </c>
      <c r="C617" s="1">
        <v>373</v>
      </c>
      <c r="D617" s="3">
        <v>612</v>
      </c>
      <c r="E617" s="205" t="str">
        <f t="shared" si="42"/>
        <v/>
      </c>
      <c r="I617" s="15">
        <f>AD617</f>
        <v>35</v>
      </c>
      <c r="K617" s="10" t="str">
        <f t="shared" si="43"/>
        <v/>
      </c>
      <c r="L617" s="9" t="str">
        <f t="shared" si="44"/>
        <v/>
      </c>
      <c r="M617" s="8" t="str">
        <f t="shared" si="45"/>
        <v/>
      </c>
      <c r="AB617" s="5">
        <v>80</v>
      </c>
      <c r="AD617" s="65">
        <v>35</v>
      </c>
      <c r="AF617" s="1">
        <v>0</v>
      </c>
      <c r="AG617" s="64">
        <v>3.96</v>
      </c>
      <c r="AH617" s="20">
        <v>0.43842592592592594</v>
      </c>
      <c r="AJ617" s="2">
        <f>("19:00"-"17:50")*1440</f>
        <v>69.999999999999915</v>
      </c>
      <c r="AK617" s="3">
        <f>180+60</f>
        <v>240</v>
      </c>
      <c r="AN617" s="3">
        <v>40</v>
      </c>
      <c r="AP617" s="13">
        <f>AVERAGE(AO615:AO621)</f>
        <v>3410.0000000000364</v>
      </c>
      <c r="AR617" s="17"/>
      <c r="AS617" s="16">
        <f>(I617-AF617)/I617</f>
        <v>1</v>
      </c>
      <c r="AT617" s="16">
        <f>AG617/(AD617-AF617)</f>
        <v>0.11314285714285714</v>
      </c>
      <c r="AU617" s="61"/>
      <c r="AV617" s="57" t="str">
        <f>IF(AND(ISNUMBER(E617),ISNUMBER(W617)),E617-W617,"")</f>
        <v/>
      </c>
      <c r="AW617" s="57">
        <f>IF(AND(ISNUMBER(I617),ISNUMBER(AF617)),I617-AF617,"")</f>
        <v>35</v>
      </c>
      <c r="AX617" s="57" t="str">
        <f>IF(AND(ISNUMBER(AM617),ISNUMBER(G617)),G617-AM617,"")</f>
        <v/>
      </c>
      <c r="AY617" s="57" t="str">
        <f>IF(AND(ISNUMBER(AC617),ISNUMBER(AE617)),AC617-AE617,"")</f>
        <v/>
      </c>
      <c r="AZ617" s="57" t="str">
        <f t="shared" si="46"/>
        <v/>
      </c>
      <c r="BA617" s="60" t="str">
        <f>IF(AND($E617&gt;0,$W617&gt;0),IF(($E617-$W617)/$E617&gt;0,($E617-$W617)/$E617,0),"")</f>
        <v/>
      </c>
      <c r="BB617" s="60">
        <f>IF(AND($I617&gt;0,$AF617&gt;=0),IF(($I617-$AF617)/$I617&gt;0,($I617-$AF617)/$I617,0),"")</f>
        <v>1</v>
      </c>
      <c r="BC617" s="60">
        <f>IF(AND($AG617&gt;=0,$AD617&gt;=0,$AF617&gt;=0),IF($AG617/($AD617-$AF617)&gt;0,$AG617/($AD617-$AF617),0),"")</f>
        <v>0.11314285714285714</v>
      </c>
      <c r="BD617" s="60" t="str">
        <f>IF(AND($G617&gt;0,$AM617&gt;0),IF(($G617-$AM617)/$G617&gt;0,($G617-$AM617)/$G617,0),"")</f>
        <v/>
      </c>
      <c r="BE617" s="6">
        <f>IF((AD617-AF617)/(AJ617/60)&lt;=0,"",(AD617-AF617)/(AJ617/60))</f>
        <v>30.000000000000039</v>
      </c>
      <c r="BF617" s="6">
        <f>IF(OR(AJ617=0,AP617=0,NOT(ISNUMBER(AD617)),NOT(ISNUMBER(AF617)),NOT(ISNUMBER(AJ617)),NOT(ISNUMBER(AP617))),"",
IFERROR(IF((AD617-AF617)/(AJ617/60)/(AP617/1000)&lt;=0,"",(AD617-AF617)/(AJ617/60)/(AP617/1000)),""))</f>
        <v>8.7976539589441991</v>
      </c>
    </row>
    <row r="618" spans="1:58" ht="15.75">
      <c r="B618" s="63">
        <v>45878</v>
      </c>
      <c r="C618" s="1">
        <v>374</v>
      </c>
      <c r="D618" s="3">
        <v>613</v>
      </c>
      <c r="E618" s="205" t="str">
        <f t="shared" si="42"/>
        <v/>
      </c>
      <c r="I618" s="15">
        <f>AD618</f>
        <v>26</v>
      </c>
      <c r="K618" s="10" t="str">
        <f t="shared" si="43"/>
        <v/>
      </c>
      <c r="L618" s="9" t="str">
        <f t="shared" si="44"/>
        <v/>
      </c>
      <c r="M618" s="8" t="str">
        <f t="shared" si="45"/>
        <v/>
      </c>
      <c r="AB618" s="5">
        <v>80</v>
      </c>
      <c r="AD618" s="65">
        <v>26</v>
      </c>
      <c r="AF618" s="1">
        <v>0</v>
      </c>
      <c r="AG618" s="64">
        <v>4.17</v>
      </c>
      <c r="AH618" s="20">
        <v>0.44120370370370371</v>
      </c>
      <c r="AJ618" s="2">
        <f>("19:00"-"17:50")*1440</f>
        <v>69.999999999999915</v>
      </c>
      <c r="AK618" s="3">
        <f>180+60</f>
        <v>240</v>
      </c>
      <c r="AN618" s="3">
        <v>40</v>
      </c>
      <c r="AP618" s="13" t="e">
        <f>AVERAGE(AO616:AO622)</f>
        <v>#DIV/0!</v>
      </c>
      <c r="AR618" s="17"/>
      <c r="AS618" s="16">
        <f>(I618-AF618)/I618</f>
        <v>1</v>
      </c>
      <c r="AT618" s="16">
        <f>AG618/(AD618-AF618)</f>
        <v>0.16038461538461538</v>
      </c>
      <c r="AU618" s="61"/>
      <c r="AV618" s="57" t="str">
        <f>IF(AND(ISNUMBER(E618),ISNUMBER(W618)),E618-W618,"")</f>
        <v/>
      </c>
      <c r="AW618" s="57">
        <f>IF(AND(ISNUMBER(I618),ISNUMBER(AF618)),I618-AF618,"")</f>
        <v>26</v>
      </c>
      <c r="AX618" s="57" t="str">
        <f>IF(AND(ISNUMBER(AM618),ISNUMBER(G618)),G618-AM618,"")</f>
        <v/>
      </c>
      <c r="AY618" s="57" t="str">
        <f>IF(AND(ISNUMBER(AC618),ISNUMBER(AE618)),AC618-AE618,"")</f>
        <v/>
      </c>
      <c r="AZ618" s="57" t="str">
        <f t="shared" si="46"/>
        <v/>
      </c>
      <c r="BA618" s="60" t="str">
        <f>IF(AND($E618&gt;0,$W618&gt;0),IF(($E618-$W618)/$E618&gt;0,($E618-$W618)/$E618,0),"")</f>
        <v/>
      </c>
      <c r="BB618" s="60">
        <f>IF(AND($I618&gt;0,$AF618&gt;=0),IF(($I618-$AF618)/$I618&gt;0,($I618-$AF618)/$I618,0),"")</f>
        <v>1</v>
      </c>
      <c r="BC618" s="60">
        <f>IF(AND($AG618&gt;=0,$AD618&gt;=0,$AF618&gt;=0),IF($AG618/($AD618-$AF618)&gt;0,$AG618/($AD618-$AF618),0),"")</f>
        <v>0.16038461538461538</v>
      </c>
      <c r="BD618" s="60" t="str">
        <f>IF(AND($G618&gt;0,$AM618&gt;0),IF(($G618-$AM618)/$G618&gt;0,($G618-$AM618)/$G618,0),"")</f>
        <v/>
      </c>
      <c r="BE618" s="6">
        <f>IF((AD618-AF618)/(AJ618/60)&lt;=0,"",(AD618-AF618)/(AJ618/60))</f>
        <v>22.285714285714313</v>
      </c>
      <c r="BF618" s="6"/>
    </row>
    <row r="619" spans="1:58" ht="15.75">
      <c r="B619" s="63">
        <v>45879</v>
      </c>
      <c r="C619" s="1">
        <v>375</v>
      </c>
      <c r="D619" s="3">
        <v>614</v>
      </c>
      <c r="E619" s="205" t="str">
        <f t="shared" si="42"/>
        <v/>
      </c>
      <c r="I619" s="15">
        <f>AD619</f>
        <v>26</v>
      </c>
      <c r="K619" s="10" t="str">
        <f t="shared" si="43"/>
        <v/>
      </c>
      <c r="L619" s="9" t="str">
        <f t="shared" si="44"/>
        <v/>
      </c>
      <c r="M619" s="8" t="str">
        <f t="shared" si="45"/>
        <v/>
      </c>
      <c r="AB619" s="5">
        <v>80</v>
      </c>
      <c r="AD619" s="65">
        <v>26</v>
      </c>
      <c r="AF619" s="1">
        <v>0</v>
      </c>
      <c r="AG619" s="64">
        <v>3.51</v>
      </c>
      <c r="AH619" s="20">
        <v>0.43784722222222222</v>
      </c>
      <c r="AJ619" s="2">
        <f>("19:00"-"17:50")*1440</f>
        <v>69.999999999999915</v>
      </c>
      <c r="AK619" s="3">
        <f>180+60</f>
        <v>240</v>
      </c>
      <c r="AN619" s="3">
        <v>40</v>
      </c>
      <c r="AP619" s="13" t="e">
        <f>AVERAGE(AO617:AO623)</f>
        <v>#DIV/0!</v>
      </c>
      <c r="AR619" s="17"/>
      <c r="AS619" s="16">
        <f>(I619-AF619)/I619</f>
        <v>1</v>
      </c>
      <c r="AT619" s="16">
        <f>AG619/(AD619-AF619)</f>
        <v>0.13499999999999998</v>
      </c>
      <c r="AU619" s="61"/>
      <c r="AV619" s="57" t="str">
        <f>IF(AND(ISNUMBER(E619),ISNUMBER(W619)),E619-W619,"")</f>
        <v/>
      </c>
      <c r="AW619" s="57">
        <f>IF(AND(ISNUMBER(I619),ISNUMBER(AF619)),I619-AF619,"")</f>
        <v>26</v>
      </c>
      <c r="AX619" s="57" t="str">
        <f>IF(AND(ISNUMBER(AM619),ISNUMBER(G619)),G619-AM619,"")</f>
        <v/>
      </c>
      <c r="AY619" s="57" t="str">
        <f>IF(AND(ISNUMBER(AC619),ISNUMBER(AE619)),AC619-AE619,"")</f>
        <v/>
      </c>
      <c r="AZ619" s="57" t="str">
        <f t="shared" si="46"/>
        <v/>
      </c>
      <c r="BA619" s="60" t="str">
        <f>IF(AND($E619&gt;0,$W619&gt;0),IF(($E619-$W619)/$E619&gt;0,($E619-$W619)/$E619,0),"")</f>
        <v/>
      </c>
      <c r="BB619" s="60">
        <f>IF(AND($I619&gt;0,$AF619&gt;=0),IF(($I619-$AF619)/$I619&gt;0,($I619-$AF619)/$I619,0),"")</f>
        <v>1</v>
      </c>
      <c r="BC619" s="60">
        <f>IF(AND($AG619&gt;=0,$AD619&gt;=0,$AF619&gt;=0),IF($AG619/($AD619-$AF619)&gt;0,$AG619/($AD619-$AF619),0),"")</f>
        <v>0.13499999999999998</v>
      </c>
      <c r="BD619" s="60" t="str">
        <f>IF(AND($G619&gt;0,$AM619&gt;0),IF(($G619-$AM619)/$G619&gt;0,($G619-$AM619)/$G619,0),"")</f>
        <v/>
      </c>
      <c r="BE619" s="6">
        <f>IF((AD619-AF619)/(AJ619/60)&lt;=0,"",(AD619-AF619)/(AJ619/60))</f>
        <v>22.285714285714313</v>
      </c>
      <c r="BF619" s="6"/>
    </row>
    <row r="620" spans="1:58" ht="15.75">
      <c r="B620" s="63">
        <v>45880</v>
      </c>
      <c r="C620" s="1">
        <v>376</v>
      </c>
      <c r="D620" s="3">
        <v>615</v>
      </c>
      <c r="E620" s="205" t="str">
        <f t="shared" si="42"/>
        <v/>
      </c>
      <c r="I620" s="15">
        <f>AD620</f>
        <v>26</v>
      </c>
      <c r="K620" s="10" t="str">
        <f t="shared" si="43"/>
        <v/>
      </c>
      <c r="L620" s="9" t="str">
        <f t="shared" si="44"/>
        <v/>
      </c>
      <c r="M620" s="8" t="str">
        <f t="shared" si="45"/>
        <v/>
      </c>
      <c r="AB620" s="5">
        <v>80</v>
      </c>
      <c r="AD620" s="65">
        <v>26</v>
      </c>
      <c r="AF620" s="1">
        <v>0</v>
      </c>
      <c r="AG620" s="64">
        <v>3.24</v>
      </c>
      <c r="AH620" s="20">
        <v>0.43819444444444444</v>
      </c>
      <c r="AJ620" s="2">
        <f>("19:00"-"17:50")*1440</f>
        <v>69.999999999999915</v>
      </c>
      <c r="AK620" s="3">
        <f>180+60</f>
        <v>240</v>
      </c>
      <c r="AN620" s="3">
        <v>40</v>
      </c>
      <c r="AP620" s="13">
        <f>AVERAGE(AO618:AO624)</f>
        <v>3869.9999999999818</v>
      </c>
      <c r="AR620" s="17"/>
      <c r="AS620" s="16">
        <f>(I620-AF620)/I620</f>
        <v>1</v>
      </c>
      <c r="AT620" s="16">
        <f>AG620/(AD620-AF620)</f>
        <v>0.12461538461538463</v>
      </c>
      <c r="AU620" s="61"/>
      <c r="AV620" s="57" t="str">
        <f>IF(AND(ISNUMBER(E620),ISNUMBER(W620)),E620-W620,"")</f>
        <v/>
      </c>
      <c r="AW620" s="57">
        <f>IF(AND(ISNUMBER(I620),ISNUMBER(AF620)),I620-AF620,"")</f>
        <v>26</v>
      </c>
      <c r="AX620" s="57" t="str">
        <f>IF(AND(ISNUMBER(AM620),ISNUMBER(G620)),G620-AM620,"")</f>
        <v/>
      </c>
      <c r="AY620" s="57" t="str">
        <f>IF(AND(ISNUMBER(AC620),ISNUMBER(AE620)),AC620-AE620,"")</f>
        <v/>
      </c>
      <c r="AZ620" s="57" t="str">
        <f t="shared" si="46"/>
        <v/>
      </c>
      <c r="BA620" s="60" t="str">
        <f>IF(AND($E620&gt;0,$W620&gt;0),IF(($E620-$W620)/$E620&gt;0,($E620-$W620)/$E620,0),"")</f>
        <v/>
      </c>
      <c r="BB620" s="60">
        <f>IF(AND($I620&gt;0,$AF620&gt;=0),IF(($I620-$AF620)/$I620&gt;0,($I620-$AF620)/$I620,0),"")</f>
        <v>1</v>
      </c>
      <c r="BC620" s="60">
        <f>IF(AND($AG620&gt;=0,$AD620&gt;=0,$AF620&gt;=0),IF($AG620/($AD620-$AF620)&gt;0,$AG620/($AD620-$AF620),0),"")</f>
        <v>0.12461538461538463</v>
      </c>
      <c r="BD620" s="60" t="str">
        <f>IF(AND($G620&gt;0,$AM620&gt;0),IF(($G620-$AM620)/$G620&gt;0,($G620-$AM620)/$G620,0),"")</f>
        <v/>
      </c>
      <c r="BE620" s="6">
        <f>IF((AD620-AF620)/(AJ620/60)&lt;=0,"",(AD620-AF620)/(AJ620/60))</f>
        <v>22.285714285714313</v>
      </c>
      <c r="BF620" s="6">
        <f>IF(OR(AJ620=0,AP620=0,NOT(ISNUMBER(AD620)),NOT(ISNUMBER(AF620)),NOT(ISNUMBER(AJ620)),NOT(ISNUMBER(AP620))),"",
IFERROR(IF((AD620-AF620)/(AJ620/60)/(AP620/1000)&lt;=0,"",(AD620-AF620)/(AJ620/60)/(AP620/1000)),""))</f>
        <v>5.7585825027685829</v>
      </c>
    </row>
    <row r="621" spans="1:58" ht="15.75">
      <c r="B621" s="63">
        <v>45881</v>
      </c>
      <c r="C621" s="1">
        <v>377</v>
      </c>
      <c r="D621" s="3">
        <v>616</v>
      </c>
      <c r="E621" s="205" t="str">
        <f t="shared" si="42"/>
        <v/>
      </c>
      <c r="I621" s="15">
        <f>AD621</f>
        <v>26</v>
      </c>
      <c r="K621" s="10" t="str">
        <f t="shared" si="43"/>
        <v/>
      </c>
      <c r="L621" s="9" t="str">
        <f t="shared" si="44"/>
        <v/>
      </c>
      <c r="M621" s="8" t="str">
        <f t="shared" si="45"/>
        <v/>
      </c>
      <c r="AB621" s="5">
        <v>80</v>
      </c>
      <c r="AD621" s="65">
        <v>26</v>
      </c>
      <c r="AF621" s="1">
        <v>0</v>
      </c>
      <c r="AG621" s="64"/>
      <c r="AH621" s="20">
        <v>0.43298611111111113</v>
      </c>
      <c r="AJ621" s="2">
        <f>("18:55"-"17:50")*1440</f>
        <v>64.999999999999929</v>
      </c>
      <c r="AK621" s="3">
        <f>180+60</f>
        <v>240</v>
      </c>
      <c r="AN621" s="3">
        <v>40</v>
      </c>
      <c r="AP621" s="13">
        <f>AVERAGE(AO619:AO625)</f>
        <v>3869.9999999999818</v>
      </c>
      <c r="AR621" s="17"/>
      <c r="AS621" s="16">
        <f>(I621-AF621)/I621</f>
        <v>1</v>
      </c>
      <c r="AT621" s="16"/>
      <c r="AU621" s="61"/>
      <c r="AV621" s="57" t="str">
        <f>IF(AND(ISNUMBER(E621),ISNUMBER(W621)),E621-W621,"")</f>
        <v/>
      </c>
      <c r="AW621" s="57">
        <f>IF(AND(ISNUMBER(I621),ISNUMBER(AF621)),I621-AF621,"")</f>
        <v>26</v>
      </c>
      <c r="AX621" s="57" t="str">
        <f>IF(AND(ISNUMBER(AM621),ISNUMBER(G621)),G621-AM621,"")</f>
        <v/>
      </c>
      <c r="AY621" s="57" t="str">
        <f>IF(AND(ISNUMBER(AC621),ISNUMBER(AE621)),AC621-AE621,"")</f>
        <v/>
      </c>
      <c r="AZ621" s="57" t="str">
        <f t="shared" si="46"/>
        <v/>
      </c>
      <c r="BA621" s="60" t="str">
        <f>IF(AND($E621&gt;0,$W621&gt;0),IF(($E621-$W621)/$E621&gt;0,($E621-$W621)/$E621,0),"")</f>
        <v/>
      </c>
      <c r="BB621" s="60">
        <f>IF(AND($I621&gt;0,$AF621&gt;=0),IF(($I621-$AF621)/$I621&gt;0,($I621-$AF621)/$I621,0),"")</f>
        <v>1</v>
      </c>
      <c r="BC621" s="60">
        <f>IF(AND($AG621&gt;=0,$AD621&gt;=0,$AF621&gt;=0),IF($AG621/($AD621-$AF621)&gt;0,$AG621/($AD621-$AF621),0),"")</f>
        <v>0</v>
      </c>
      <c r="BD621" s="60" t="str">
        <f>IF(AND($G621&gt;0,$AM621&gt;0),IF(($G621-$AM621)/$G621&gt;0,($G621-$AM621)/$G621,0),"")</f>
        <v/>
      </c>
      <c r="BE621" s="6">
        <f>IF((AD621-AF621)/(AJ621/60)&lt;=0,"",(AD621-AF621)/(AJ621/60))</f>
        <v>24.000000000000025</v>
      </c>
      <c r="BF621" s="6">
        <f>IF(OR(AJ621=0,AP621=0,NOT(ISNUMBER(AD621)),NOT(ISNUMBER(AF621)),NOT(ISNUMBER(AJ621)),NOT(ISNUMBER(AP621))),"",
IFERROR(IF((AD621-AF621)/(AJ621/60)/(AP621/1000)&lt;=0,"",(AD621-AF621)/(AJ621/60)/(AP621/1000)),""))</f>
        <v>6.2015503875969342</v>
      </c>
    </row>
    <row r="622" spans="1:58" ht="15.75">
      <c r="B622" s="66">
        <v>45882</v>
      </c>
      <c r="C622" s="1">
        <v>378</v>
      </c>
      <c r="D622" s="3">
        <v>617</v>
      </c>
      <c r="E622" s="205" t="str">
        <f t="shared" si="42"/>
        <v/>
      </c>
      <c r="G622" s="15">
        <f>(N622*18-H622*18)/9</f>
        <v>14.880000000000003</v>
      </c>
      <c r="H622" s="9">
        <f>7.66</f>
        <v>7.66</v>
      </c>
      <c r="I622" s="15">
        <f>AD622</f>
        <v>26.7</v>
      </c>
      <c r="K622" s="10" t="str">
        <f t="shared" si="43"/>
        <v/>
      </c>
      <c r="L622" s="9" t="str">
        <f t="shared" si="44"/>
        <v/>
      </c>
      <c r="M622" s="8">
        <f t="shared" si="45"/>
        <v>3.5887096774193541</v>
      </c>
      <c r="N622" s="7">
        <v>15.1</v>
      </c>
      <c r="T622" s="6">
        <v>43.9</v>
      </c>
      <c r="AB622" s="5">
        <v>80</v>
      </c>
      <c r="AC622" s="7">
        <f>T622</f>
        <v>43.9</v>
      </c>
      <c r="AD622" s="65">
        <v>26.7</v>
      </c>
      <c r="AE622" s="1">
        <v>20.100000000000001</v>
      </c>
      <c r="AF622" s="1">
        <f>2*2.14</f>
        <v>4.28</v>
      </c>
      <c r="AG622" s="64"/>
      <c r="AH622" s="20">
        <v>0.4289351851851852</v>
      </c>
      <c r="AJ622" s="2">
        <f>("18:50"-"17:50")*1440</f>
        <v>59.999999999999943</v>
      </c>
      <c r="AK622" s="3">
        <f>180+60</f>
        <v>240</v>
      </c>
      <c r="AL622" s="4">
        <f>AE622</f>
        <v>20.100000000000001</v>
      </c>
      <c r="AM622" s="1">
        <f>10.8</f>
        <v>10.8</v>
      </c>
      <c r="AN622" s="3">
        <v>40</v>
      </c>
      <c r="AP622" s="13">
        <f>AVERAGE(AO620:AO626)</f>
        <v>3869.9999999999818</v>
      </c>
      <c r="AR622" s="17"/>
      <c r="AS622" s="16">
        <f>(I622-AF622)/I622</f>
        <v>0.83970037453183521</v>
      </c>
      <c r="AT622" s="16"/>
      <c r="AU622" s="61">
        <f>(G622-AM622)/G622</f>
        <v>0.27419354838709686</v>
      </c>
      <c r="AV622" s="57" t="str">
        <f>IF(AND(ISNUMBER(E622),ISNUMBER(W622)),E622-W622,"")</f>
        <v/>
      </c>
      <c r="AW622" s="57">
        <f>IF(AND(ISNUMBER(I622),ISNUMBER(AF622)),I622-AF622,"")</f>
        <v>22.419999999999998</v>
      </c>
      <c r="AX622" s="57">
        <f>IF(AND(ISNUMBER(AM622),ISNUMBER(G622)),G622-AM622,"")</f>
        <v>4.0800000000000018</v>
      </c>
      <c r="AY622" s="57">
        <f>IF(AND(ISNUMBER(AC622),ISNUMBER(AE622)),AC622-AE622,"")</f>
        <v>23.799999999999997</v>
      </c>
      <c r="AZ622" s="57">
        <f t="shared" si="46"/>
        <v>9.3000000000000007</v>
      </c>
      <c r="BA622" s="60" t="str">
        <f>IF(AND($E622&gt;0,$W622&gt;0),IF(($E622-$W622)/$E622&gt;0,($E622-$W622)/$E622,0),"")</f>
        <v/>
      </c>
      <c r="BB622" s="60">
        <f>IF(AND($I622&gt;0,$AF622&gt;=0),IF(($I622-$AF622)/$I622&gt;0,($I622-$AF622)/$I622,0),"")</f>
        <v>0.83970037453183521</v>
      </c>
      <c r="BC622" s="60">
        <f>IF(AND($AG622&gt;=0,$AD622&gt;=0,$AF622&gt;=0),IF($AG622/($AD622-$AF622)&gt;0,$AG622/($AD622-$AF622),0),"")</f>
        <v>0</v>
      </c>
      <c r="BD622" s="60">
        <f>IF(AND($G622&gt;0,$AM622&gt;0),IF(($G622-$AM622)/$G622&gt;0,($G622-$AM622)/$G622,0),"")</f>
        <v>0.27419354838709686</v>
      </c>
      <c r="BE622" s="6">
        <f>IF((AD622-AF622)/(AJ622/60)&lt;=0,"",(AD622-AF622)/(AJ622/60))</f>
        <v>22.420000000000019</v>
      </c>
      <c r="BF622" s="6">
        <f>IF(OR(AJ622=0,AP622=0,NOT(ISNUMBER(AD622)),NOT(ISNUMBER(AF622)),NOT(ISNUMBER(AJ622)),NOT(ISNUMBER(AP622))),"",
IFERROR(IF((AD622-AF622)/(AJ622/60)/(AP622/1000)&lt;=0,"",(AD622-AF622)/(AJ622/60)/(AP622/1000)),""))</f>
        <v>5.7932816537468019</v>
      </c>
    </row>
    <row r="623" spans="1:58" ht="15.75">
      <c r="A623" s="12" t="s">
        <v>33</v>
      </c>
      <c r="B623" s="63">
        <v>45883</v>
      </c>
      <c r="C623" s="1">
        <v>379</v>
      </c>
      <c r="D623" s="3">
        <v>618</v>
      </c>
      <c r="E623" s="205" t="str">
        <f t="shared" si="42"/>
        <v/>
      </c>
      <c r="G623" s="15">
        <f>(N623*18-H623*18)/9</f>
        <v>12.6</v>
      </c>
      <c r="H623" s="9">
        <f>5*0</f>
        <v>0</v>
      </c>
      <c r="I623" s="15">
        <f>AD623</f>
        <v>63.45</v>
      </c>
      <c r="K623" s="10" t="str">
        <f t="shared" si="43"/>
        <v/>
      </c>
      <c r="L623" s="9" t="str">
        <f t="shared" si="44"/>
        <v/>
      </c>
      <c r="M623" s="8">
        <f t="shared" si="45"/>
        <v>10.071428571428573</v>
      </c>
      <c r="N623" s="7">
        <f>5*1.26</f>
        <v>6.3</v>
      </c>
      <c r="AB623" s="5">
        <v>80</v>
      </c>
      <c r="AC623" s="7">
        <f>T623</f>
        <v>0</v>
      </c>
      <c r="AD623" s="65">
        <f>AD622+5*7.35</f>
        <v>63.45</v>
      </c>
      <c r="AE623" s="1">
        <f>5*0.583</f>
        <v>2.915</v>
      </c>
      <c r="AF623" s="1">
        <f>5*0.583</f>
        <v>2.915</v>
      </c>
      <c r="AG623" s="64">
        <v>12.94</v>
      </c>
      <c r="AH623" s="20">
        <v>0.49386574074074074</v>
      </c>
      <c r="AJ623" s="2">
        <f>("19:00"-"17:50")*1440</f>
        <v>69.999999999999915</v>
      </c>
      <c r="AK623" s="3">
        <f>180+60</f>
        <v>240</v>
      </c>
      <c r="AL623" s="4">
        <f>AE623</f>
        <v>2.915</v>
      </c>
      <c r="AM623" s="1">
        <f>5*0.359</f>
        <v>1.7949999999999999</v>
      </c>
      <c r="AN623" s="3">
        <v>40</v>
      </c>
      <c r="AP623" s="13">
        <f>AVERAGE(AO621:AO627)</f>
        <v>3869.9999999999818</v>
      </c>
      <c r="AR623" s="17"/>
      <c r="AS623" s="16">
        <f>(I623-AF623)/I623</f>
        <v>0.95405831363278171</v>
      </c>
      <c r="AT623" s="16">
        <f>AG623/(AD623-AF623)</f>
        <v>0.21376063434376805</v>
      </c>
      <c r="AU623" s="61">
        <f>(G623-AM623)/G623</f>
        <v>0.85753968253968249</v>
      </c>
      <c r="AV623" s="57" t="str">
        <f>IF(AND(ISNUMBER(E623),ISNUMBER(W623)),E623-W623,"")</f>
        <v/>
      </c>
      <c r="AW623" s="57">
        <f>IF(AND(ISNUMBER(I623),ISNUMBER(AF623)),I623-AF623,"")</f>
        <v>60.535000000000004</v>
      </c>
      <c r="AX623" s="57">
        <f>IF(AND(ISNUMBER(AM623),ISNUMBER(G623)),G623-AM623,"")</f>
        <v>10.805</v>
      </c>
      <c r="AY623" s="57">
        <f>IF(AND(ISNUMBER(AC623),ISNUMBER(AE623)),AC623-AE623,"")</f>
        <v>-2.915</v>
      </c>
      <c r="AZ623" s="57">
        <f t="shared" si="46"/>
        <v>1.1200000000000001</v>
      </c>
      <c r="BA623" s="60" t="str">
        <f>IF(AND($E623&gt;0,$W623&gt;0),IF(($E623-$W623)/$E623&gt;0,($E623-$W623)/$E623,0),"")</f>
        <v/>
      </c>
      <c r="BB623" s="60">
        <f>IF(AND($I623&gt;0,$AF623&gt;=0),IF(($I623-$AF623)/$I623&gt;0,($I623-$AF623)/$I623,0),"")</f>
        <v>0.95405831363278171</v>
      </c>
      <c r="BC623" s="60">
        <f>IF(AND($AG623&gt;=0,$AD623&gt;=0,$AF623&gt;=0),IF($AG623/($AD623-$AF623)&gt;0,$AG623/($AD623-$AF623),0),"")</f>
        <v>0.21376063434376805</v>
      </c>
      <c r="BD623" s="60">
        <f>IF(AND($G623&gt;0,$AM623&gt;0),IF(($G623-$AM623)/$G623&gt;0,($G623-$AM623)/$G623,0),"")</f>
        <v>0.85753968253968249</v>
      </c>
      <c r="BE623" s="6">
        <f>IF((AD623-AF623)/(AJ623/60)&lt;=0,"",(AD623-AF623)/(AJ623/60))</f>
        <v>51.887142857142926</v>
      </c>
      <c r="BF623" s="6">
        <f>IF(OR(AJ623=0,AP623=0,NOT(ISNUMBER(AD623)),NOT(ISNUMBER(AF623)),NOT(ISNUMBER(AJ623)),NOT(ISNUMBER(AP623))),"",
IFERROR(IF((AD623-AF623)/(AJ623/60)/(AP623/1000)&lt;=0,"",(AD623-AF623)/(AJ623/60)/(AP623/1000)),""))</f>
        <v>13.407530454042163</v>
      </c>
    </row>
    <row r="624" spans="1:58" ht="15.75">
      <c r="A624" s="12" t="s">
        <v>32</v>
      </c>
      <c r="B624" s="63">
        <v>45884</v>
      </c>
      <c r="C624" s="1">
        <v>380</v>
      </c>
      <c r="D624" s="3">
        <v>619</v>
      </c>
      <c r="E624" s="205" t="str">
        <f t="shared" si="42"/>
        <v/>
      </c>
      <c r="I624" s="15">
        <f>AD624</f>
        <v>32</v>
      </c>
      <c r="K624" s="10" t="str">
        <f t="shared" si="43"/>
        <v/>
      </c>
      <c r="L624" s="9" t="str">
        <f t="shared" si="44"/>
        <v/>
      </c>
      <c r="M624" s="8" t="str">
        <f t="shared" si="45"/>
        <v/>
      </c>
      <c r="AB624" s="5">
        <v>80</v>
      </c>
      <c r="AD624" s="65">
        <v>32</v>
      </c>
      <c r="AF624" s="1">
        <v>0</v>
      </c>
      <c r="AG624" s="64">
        <v>1.46</v>
      </c>
      <c r="AH624" s="20">
        <v>0.52083333333333337</v>
      </c>
      <c r="AJ624" s="2">
        <f>("19:10"-"17:50")*1440</f>
        <v>80.000000000000028</v>
      </c>
      <c r="AK624" s="3">
        <f>180+60</f>
        <v>240</v>
      </c>
      <c r="AN624" s="3">
        <v>40</v>
      </c>
      <c r="AO624" s="2">
        <v>3869.9999999999818</v>
      </c>
      <c r="AP624" s="13">
        <f>AVERAGE(AO622:AO628)</f>
        <v>3999.9999999999773</v>
      </c>
      <c r="AR624" s="17"/>
      <c r="AS624" s="16">
        <f>(I624-AF624)/I624</f>
        <v>1</v>
      </c>
      <c r="AT624" s="16">
        <f>AG624/(AD624-AF624)</f>
        <v>4.5624999999999999E-2</v>
      </c>
      <c r="AU624" s="61"/>
      <c r="AV624" s="57" t="str">
        <f>IF(AND(ISNUMBER(E624),ISNUMBER(W624)),E624-W624,"")</f>
        <v/>
      </c>
      <c r="AW624" s="57">
        <f>IF(AND(ISNUMBER(I624),ISNUMBER(AF624)),I624-AF624,"")</f>
        <v>32</v>
      </c>
      <c r="AX624" s="57" t="str">
        <f>IF(AND(ISNUMBER(AM624),ISNUMBER(G624)),G624-AM624,"")</f>
        <v/>
      </c>
      <c r="AY624" s="57" t="str">
        <f>IF(AND(ISNUMBER(AC624),ISNUMBER(AE624)),AC624-AE624,"")</f>
        <v/>
      </c>
      <c r="AZ624" s="57" t="str">
        <f t="shared" si="46"/>
        <v/>
      </c>
      <c r="BA624" s="60">
        <v>1</v>
      </c>
      <c r="BB624" s="60">
        <f>IF(AND($I624&gt;0,$AF624&gt;=0),IF(($I624-$AF624)/$I624&gt;0,($I624-$AF624)/$I624,0),"")</f>
        <v>1</v>
      </c>
      <c r="BC624" s="60">
        <f>IF(AND($AG624&gt;=0,$AD624&gt;=0,$AF624&gt;=0),IF($AG624/($AD624-$AF624)&gt;0,$AG624/($AD624-$AF624),0),"")</f>
        <v>4.5624999999999999E-2</v>
      </c>
      <c r="BD624" s="60" t="str">
        <f>IF(AND($G624&gt;0,$AM624&gt;0),IF(($G624-$AM624)/$G624&gt;0,($G624-$AM624)/$G624,0),"")</f>
        <v/>
      </c>
      <c r="BE624" s="6">
        <f>IF((AD624-AF624)/(AJ624/60)&lt;=0,"",(AD624-AF624)/(AJ624/60))</f>
        <v>23.999999999999993</v>
      </c>
      <c r="BF624" s="6">
        <f>IF(OR(AJ624=0,AP624=0,NOT(ISNUMBER(AD624)),NOT(ISNUMBER(AF624)),NOT(ISNUMBER(AJ624)),NOT(ISNUMBER(AP624))),"",
IFERROR(IF((AD624-AF624)/(AJ624/60)/(AP624/1000)&lt;=0,"",(AD624-AF624)/(AJ624/60)/(AP624/1000)),""))</f>
        <v>6.000000000000032</v>
      </c>
    </row>
    <row r="625" spans="1:58" ht="15.75">
      <c r="B625" s="63">
        <v>45885</v>
      </c>
      <c r="C625" s="1">
        <v>381</v>
      </c>
      <c r="D625" s="3">
        <v>620</v>
      </c>
      <c r="E625" s="205" t="str">
        <f t="shared" si="42"/>
        <v/>
      </c>
      <c r="I625" s="15">
        <f>AD625</f>
        <v>32</v>
      </c>
      <c r="K625" s="10" t="str">
        <f t="shared" si="43"/>
        <v/>
      </c>
      <c r="L625" s="9" t="str">
        <f t="shared" si="44"/>
        <v/>
      </c>
      <c r="M625" s="8" t="str">
        <f t="shared" si="45"/>
        <v/>
      </c>
      <c r="AB625" s="5">
        <v>80</v>
      </c>
      <c r="AD625" s="65">
        <v>32</v>
      </c>
      <c r="AF625" s="1">
        <v>0</v>
      </c>
      <c r="AG625" s="64">
        <v>4.95</v>
      </c>
      <c r="AH625" s="20">
        <v>0.44050925925925927</v>
      </c>
      <c r="AJ625" s="2">
        <f>("19:00"-"17:50")*1440</f>
        <v>69.999999999999915</v>
      </c>
      <c r="AK625" s="3">
        <f>180+60</f>
        <v>240</v>
      </c>
      <c r="AN625" s="3">
        <v>40</v>
      </c>
      <c r="AP625" s="13">
        <f>AVERAGE(AO623:AO629)</f>
        <v>3999.9999999999773</v>
      </c>
      <c r="AR625" s="17"/>
      <c r="AS625" s="16">
        <f>(I625-AF625)/I625</f>
        <v>1</v>
      </c>
      <c r="AT625" s="16">
        <f>AG625/(AD625-AF625)</f>
        <v>0.15468750000000001</v>
      </c>
      <c r="AU625" s="61"/>
      <c r="AV625" s="57" t="str">
        <f>IF(AND(ISNUMBER(E625),ISNUMBER(W625)),E625-W625,"")</f>
        <v/>
      </c>
      <c r="AW625" s="57">
        <f>IF(AND(ISNUMBER(I625),ISNUMBER(AF625)),I625-AF625,"")</f>
        <v>32</v>
      </c>
      <c r="AX625" s="57" t="str">
        <f>IF(AND(ISNUMBER(AM625),ISNUMBER(G625)),G625-AM625,"")</f>
        <v/>
      </c>
      <c r="AY625" s="57" t="str">
        <f>IF(AND(ISNUMBER(AC625),ISNUMBER(AE625)),AC625-AE625,"")</f>
        <v/>
      </c>
      <c r="AZ625" s="57" t="str">
        <f t="shared" si="46"/>
        <v/>
      </c>
      <c r="BA625" s="60" t="str">
        <f>IF(AND($E625&gt;0,$W625&gt;0),IF(($E625-$W625)/$E625&gt;0,($E625-$W625)/$E625,0),"")</f>
        <v/>
      </c>
      <c r="BB625" s="60">
        <f>IF(AND($I625&gt;0,$AF625&gt;=0),IF(($I625-$AF625)/$I625&gt;0,($I625-$AF625)/$I625,0),"")</f>
        <v>1</v>
      </c>
      <c r="BC625" s="60">
        <f>IF(AND($AG625&gt;=0,$AD625&gt;=0,$AF625&gt;=0),IF($AG625/($AD625-$AF625)&gt;0,$AG625/($AD625-$AF625),0),"")</f>
        <v>0.15468750000000001</v>
      </c>
      <c r="BD625" s="60" t="str">
        <f>IF(AND($G625&gt;0,$AM625&gt;0),IF(($G625-$AM625)/$G625&gt;0,($G625-$AM625)/$G625,0),"")</f>
        <v/>
      </c>
      <c r="BE625" s="6">
        <f>IF((AD625-AF625)/(AJ625/60)&lt;=0,"",(AD625-AF625)/(AJ625/60))</f>
        <v>27.428571428571463</v>
      </c>
      <c r="BF625" s="6">
        <f>IF(OR(AJ625=0,AP625=0,NOT(ISNUMBER(AD625)),NOT(ISNUMBER(AF625)),NOT(ISNUMBER(AJ625)),NOT(ISNUMBER(AP625))),"",
IFERROR(IF((AD625-AF625)/(AJ625/60)/(AP625/1000)&lt;=0,"",(AD625-AF625)/(AJ625/60)/(AP625/1000)),""))</f>
        <v>6.8571428571429047</v>
      </c>
    </row>
    <row r="626" spans="1:58" ht="15.75">
      <c r="B626" s="63">
        <v>45886</v>
      </c>
      <c r="C626" s="1">
        <v>382</v>
      </c>
      <c r="D626" s="3">
        <v>621</v>
      </c>
      <c r="E626" s="205" t="str">
        <f t="shared" si="42"/>
        <v/>
      </c>
      <c r="G626" s="58">
        <v>14.400000000000002</v>
      </c>
      <c r="I626" s="15">
        <f>AD626</f>
        <v>32</v>
      </c>
      <c r="K626" s="10" t="str">
        <f t="shared" si="43"/>
        <v/>
      </c>
      <c r="L626" s="9" t="str">
        <f t="shared" si="44"/>
        <v/>
      </c>
      <c r="M626" s="8">
        <f t="shared" si="45"/>
        <v>4.4444444444444438</v>
      </c>
      <c r="AB626" s="5">
        <v>80</v>
      </c>
      <c r="AD626" s="65">
        <v>32</v>
      </c>
      <c r="AE626" s="1">
        <f>5*3.56</f>
        <v>17.8</v>
      </c>
      <c r="AF626" s="1">
        <v>0</v>
      </c>
      <c r="AG626" s="64">
        <v>6.7</v>
      </c>
      <c r="AH626" s="20">
        <v>0.44143518518518521</v>
      </c>
      <c r="AJ626" s="2">
        <f>("19:00"-"17:50")*1440</f>
        <v>69.999999999999915</v>
      </c>
      <c r="AK626" s="3">
        <f>180+60</f>
        <v>240</v>
      </c>
      <c r="AL626" s="4">
        <f>AE626</f>
        <v>17.8</v>
      </c>
      <c r="AM626" s="1">
        <f>5*1.68</f>
        <v>8.4</v>
      </c>
      <c r="AN626" s="3">
        <v>40</v>
      </c>
      <c r="AP626" s="13">
        <f>AVERAGE(AO624:AO630)</f>
        <v>3999.9999999999773</v>
      </c>
      <c r="AR626" s="17"/>
      <c r="AS626" s="16">
        <f>(I626-AF626)/I626</f>
        <v>1</v>
      </c>
      <c r="AT626" s="16">
        <f>AG626/(AD626-AF626)</f>
        <v>0.20937500000000001</v>
      </c>
      <c r="AU626" s="61">
        <f>(G626-AM626)/G626</f>
        <v>0.41666666666666674</v>
      </c>
      <c r="AV626" s="57" t="str">
        <f>IF(AND(ISNUMBER(E626),ISNUMBER(W626)),E626-W626,"")</f>
        <v/>
      </c>
      <c r="AW626" s="57">
        <f>IF(AND(ISNUMBER(I626),ISNUMBER(AF626)),I626-AF626,"")</f>
        <v>32</v>
      </c>
      <c r="AX626" s="57">
        <f>IF(AND(ISNUMBER(AM626),ISNUMBER(G626)),G626-AM626,"")</f>
        <v>6.0000000000000018</v>
      </c>
      <c r="AY626" s="57" t="str">
        <f>IF(AND(ISNUMBER(AC626),ISNUMBER(AE626)),AC626-AE626,"")</f>
        <v/>
      </c>
      <c r="AZ626" s="57">
        <f t="shared" si="46"/>
        <v>9.4</v>
      </c>
      <c r="BA626" s="60" t="str">
        <f>IF(AND($E626&gt;0,$W626&gt;0),IF(($E626-$W626)/$E626&gt;0,($E626-$W626)/$E626,0),"")</f>
        <v/>
      </c>
      <c r="BB626" s="60">
        <f>IF(AND($I626&gt;0,$AF626&gt;=0),IF(($I626-$AF626)/$I626&gt;0,($I626-$AF626)/$I626,0),"")</f>
        <v>1</v>
      </c>
      <c r="BC626" s="60">
        <f>IF(AND($AG626&gt;=0,$AD626&gt;=0,$AF626&gt;=0),IF($AG626/($AD626-$AF626)&gt;0,$AG626/($AD626-$AF626),0),"")</f>
        <v>0.20937500000000001</v>
      </c>
      <c r="BD626" s="60">
        <f>IF(AND($G626&gt;0,$AM626&gt;0),IF(($G626-$AM626)/$G626&gt;0,($G626-$AM626)/$G626,0),"")</f>
        <v>0.41666666666666674</v>
      </c>
      <c r="BE626" s="6">
        <f>IF((AD626-AF626)/(AJ626/60)&lt;=0,"",(AD626-AF626)/(AJ626/60))</f>
        <v>27.428571428571463</v>
      </c>
      <c r="BF626" s="6">
        <f>IF(OR(AJ626=0,AP626=0,NOT(ISNUMBER(AD626)),NOT(ISNUMBER(AF626)),NOT(ISNUMBER(AJ626)),NOT(ISNUMBER(AP626))),"",
IFERROR(IF((AD626-AF626)/(AJ626/60)/(AP626/1000)&lt;=0,"",(AD626-AF626)/(AJ626/60)/(AP626/1000)),""))</f>
        <v>6.8571428571429047</v>
      </c>
    </row>
    <row r="627" spans="1:58" ht="15.75">
      <c r="B627" s="63">
        <v>45887</v>
      </c>
      <c r="C627" s="1">
        <v>383</v>
      </c>
      <c r="D627" s="3">
        <v>622</v>
      </c>
      <c r="E627" s="205" t="str">
        <f t="shared" si="42"/>
        <v/>
      </c>
      <c r="I627" s="15">
        <f>AD627</f>
        <v>32</v>
      </c>
      <c r="K627" s="10" t="str">
        <f t="shared" si="43"/>
        <v/>
      </c>
      <c r="L627" s="9" t="str">
        <f t="shared" si="44"/>
        <v/>
      </c>
      <c r="M627" s="8" t="str">
        <f t="shared" si="45"/>
        <v/>
      </c>
      <c r="AB627" s="5">
        <v>80</v>
      </c>
      <c r="AD627" s="65">
        <v>32</v>
      </c>
      <c r="AF627" s="1">
        <v>0</v>
      </c>
      <c r="AG627" s="64">
        <v>10.61</v>
      </c>
      <c r="AH627" s="20">
        <v>0.4528935185185185</v>
      </c>
      <c r="AJ627" s="2">
        <f>("19:35"-"17:50")*1440</f>
        <v>104.99999999999994</v>
      </c>
      <c r="AK627" s="3">
        <f>180+60</f>
        <v>240</v>
      </c>
      <c r="AN627" s="3">
        <v>40</v>
      </c>
      <c r="AP627" s="13">
        <f>AVERAGE(AO625:AO631)</f>
        <v>4129.9999999999727</v>
      </c>
      <c r="AR627" s="17"/>
      <c r="AS627" s="16">
        <f>(I627-AF627)/I627</f>
        <v>1</v>
      </c>
      <c r="AT627" s="16">
        <f>AG627/(AD627-AF627)</f>
        <v>0.33156249999999998</v>
      </c>
      <c r="AU627" s="61"/>
      <c r="AV627" s="57" t="str">
        <f>IF(AND(ISNUMBER(E627),ISNUMBER(W627)),E627-W627,"")</f>
        <v/>
      </c>
      <c r="AW627" s="57">
        <f>IF(AND(ISNUMBER(I627),ISNUMBER(AF627)),I627-AF627,"")</f>
        <v>32</v>
      </c>
      <c r="AX627" s="57" t="str">
        <f>IF(AND(ISNUMBER(AM627),ISNUMBER(G627)),G627-AM627,"")</f>
        <v/>
      </c>
      <c r="AY627" s="57" t="str">
        <f>IF(AND(ISNUMBER(AC627),ISNUMBER(AE627)),AC627-AE627,"")</f>
        <v/>
      </c>
      <c r="AZ627" s="57" t="str">
        <f t="shared" si="46"/>
        <v/>
      </c>
      <c r="BA627" s="60" t="str">
        <f>IF(AND($E627&gt;0,$W627&gt;0),IF(($E627-$W627)/$E627&gt;0,($E627-$W627)/$E627,0),"")</f>
        <v/>
      </c>
      <c r="BB627" s="60">
        <f>IF(AND($I627&gt;0,$AF627&gt;=0),IF(($I627-$AF627)/$I627&gt;0,($I627-$AF627)/$I627,0),"")</f>
        <v>1</v>
      </c>
      <c r="BC627" s="60">
        <f>IF(AND($AG627&gt;=0,$AD627&gt;=0,$AF627&gt;=0),IF($AG627/($AD627-$AF627)&gt;0,$AG627/($AD627-$AF627),0),"")</f>
        <v>0.33156249999999998</v>
      </c>
      <c r="BD627" s="60" t="str">
        <f>IF(AND($G627&gt;0,$AM627&gt;0),IF(($G627-$AM627)/$G627&gt;0,($G627-$AM627)/$G627,0),"")</f>
        <v/>
      </c>
      <c r="BE627" s="6">
        <f>IF((AD627-AF627)/(AJ627/60)&lt;=0,"",(AD627-AF627)/(AJ627/60))</f>
        <v>18.285714285714295</v>
      </c>
      <c r="BF627" s="6">
        <f>IF(OR(AJ627=0,AP627=0,NOT(ISNUMBER(AD627)),NOT(ISNUMBER(AF627)),NOT(ISNUMBER(AJ627)),NOT(ISNUMBER(AP627))),"",
IFERROR(IF((AD627-AF627)/(AJ627/60)/(AP627/1000)&lt;=0,"",(AD627-AF627)/(AJ627/60)/(AP627/1000)),""))</f>
        <v>4.4275337253545803</v>
      </c>
    </row>
    <row r="628" spans="1:58" ht="15.75">
      <c r="A628" s="12" t="s">
        <v>31</v>
      </c>
      <c r="B628" s="66">
        <v>45888</v>
      </c>
      <c r="C628" s="1">
        <v>384</v>
      </c>
      <c r="D628" s="3">
        <v>623</v>
      </c>
      <c r="E628" s="205" t="str">
        <f t="shared" si="42"/>
        <v/>
      </c>
      <c r="I628" s="15">
        <f>AD628</f>
        <v>32</v>
      </c>
      <c r="K628" s="10" t="str">
        <f t="shared" si="43"/>
        <v/>
      </c>
      <c r="L628" s="9" t="str">
        <f t="shared" si="44"/>
        <v/>
      </c>
      <c r="M628" s="8" t="str">
        <f t="shared" si="45"/>
        <v/>
      </c>
      <c r="AB628" s="5">
        <v>80</v>
      </c>
      <c r="AD628" s="65">
        <v>32</v>
      </c>
      <c r="AF628" s="1">
        <v>0</v>
      </c>
      <c r="AG628" s="64">
        <v>5.37</v>
      </c>
      <c r="AH628" s="20">
        <v>0.52083333333333337</v>
      </c>
      <c r="AJ628" s="2">
        <f>("19:45"-"17:50")*1440</f>
        <v>114.99999999999991</v>
      </c>
      <c r="AK628" s="3">
        <f>180+60</f>
        <v>240</v>
      </c>
      <c r="AN628" s="3">
        <v>40</v>
      </c>
      <c r="AO628" s="2">
        <v>4129.9999999999727</v>
      </c>
      <c r="AP628" s="13">
        <f>AVERAGE(AO626:AO632)</f>
        <v>4129.9999999999727</v>
      </c>
      <c r="AR628" s="17"/>
      <c r="AS628" s="16">
        <f>(I628-AF628)/I628</f>
        <v>1</v>
      </c>
      <c r="AT628" s="16">
        <f>AG628/(AD628-AF628)</f>
        <v>0.1678125</v>
      </c>
      <c r="AU628" s="61"/>
      <c r="AV628" s="57" t="str">
        <f>IF(AND(ISNUMBER(E628),ISNUMBER(W628)),E628-W628,"")</f>
        <v/>
      </c>
      <c r="AW628" s="57">
        <f>IF(AND(ISNUMBER(I628),ISNUMBER(AF628)),I628-AF628,"")</f>
        <v>32</v>
      </c>
      <c r="AX628" s="57" t="str">
        <f>IF(AND(ISNUMBER(AM628),ISNUMBER(G628)),G628-AM628,"")</f>
        <v/>
      </c>
      <c r="AY628" s="57" t="str">
        <f>IF(AND(ISNUMBER(AC628),ISNUMBER(AE628)),AC628-AE628,"")</f>
        <v/>
      </c>
      <c r="AZ628" s="57" t="str">
        <f t="shared" si="46"/>
        <v/>
      </c>
      <c r="BA628" s="60">
        <v>1</v>
      </c>
      <c r="BB628" s="60">
        <f>IF(AND($I628&gt;0,$AF628&gt;=0),IF(($I628-$AF628)/$I628&gt;0,($I628-$AF628)/$I628,0),"")</f>
        <v>1</v>
      </c>
      <c r="BC628" s="60">
        <f>IF(AND($AG628&gt;=0,$AD628&gt;=0,$AF628&gt;=0),IF($AG628/($AD628-$AF628)&gt;0,$AG628/($AD628-$AF628),0),"")</f>
        <v>0.1678125</v>
      </c>
      <c r="BD628" s="60" t="str">
        <f>IF(AND($G628&gt;0,$AM628&gt;0),IF(($G628-$AM628)/$G628&gt;0,($G628-$AM628)/$G628,0),"")</f>
        <v/>
      </c>
      <c r="BE628" s="6">
        <f>IF((AD628-AF628)/(AJ628/60)&lt;=0,"",(AD628-AF628)/(AJ628/60))</f>
        <v>16.695652173913057</v>
      </c>
      <c r="BF628" s="6">
        <f>IF(OR(AJ628=0,AP628=0,NOT(ISNUMBER(AD628)),NOT(ISNUMBER(AF628)),NOT(ISNUMBER(AJ628)),NOT(ISNUMBER(AP628))),"",
IFERROR(IF((AD628-AF628)/(AJ628/60)/(AP628/1000)&lt;=0,"",(AD628-AF628)/(AJ628/60)/(AP628/1000)),""))</f>
        <v>4.0425307927150529</v>
      </c>
    </row>
    <row r="629" spans="1:58" ht="15.75">
      <c r="B629" s="63">
        <v>45889</v>
      </c>
      <c r="C629" s="1">
        <v>385</v>
      </c>
      <c r="D629" s="3">
        <v>624</v>
      </c>
      <c r="E629" s="205" t="str">
        <f t="shared" si="42"/>
        <v/>
      </c>
      <c r="I629" s="15">
        <f>AD629</f>
        <v>32</v>
      </c>
      <c r="K629" s="10" t="str">
        <f t="shared" si="43"/>
        <v/>
      </c>
      <c r="L629" s="9" t="str">
        <f t="shared" si="44"/>
        <v/>
      </c>
      <c r="M629" s="8" t="str">
        <f t="shared" si="45"/>
        <v/>
      </c>
      <c r="AB629" s="5">
        <v>80</v>
      </c>
      <c r="AD629" s="65">
        <v>32</v>
      </c>
      <c r="AF629" s="1">
        <v>0</v>
      </c>
      <c r="AG629" s="64">
        <v>9.8699999999999992</v>
      </c>
      <c r="AH629" s="20">
        <v>0.49467592592592591</v>
      </c>
      <c r="AJ629" s="2">
        <f>("20:55"-"17:50")*1440</f>
        <v>184.99999999999997</v>
      </c>
      <c r="AK629" s="3">
        <f>180+60</f>
        <v>240</v>
      </c>
      <c r="AN629" s="3">
        <v>40</v>
      </c>
      <c r="AP629" s="13">
        <f>AVERAGE(AO627:AO633)</f>
        <v>4129.9999999999727</v>
      </c>
      <c r="AR629" s="17"/>
      <c r="AS629" s="16">
        <f>(I629-AF629)/I629</f>
        <v>1</v>
      </c>
      <c r="AT629" s="16">
        <f>AG629/(AD629-AF629)</f>
        <v>0.30843749999999998</v>
      </c>
      <c r="AU629" s="61"/>
      <c r="AV629" s="57" t="str">
        <f>IF(AND(ISNUMBER(E629),ISNUMBER(W629)),E629-W629,"")</f>
        <v/>
      </c>
      <c r="AW629" s="57">
        <f>IF(AND(ISNUMBER(I629),ISNUMBER(AF629)),I629-AF629,"")</f>
        <v>32</v>
      </c>
      <c r="AX629" s="57" t="str">
        <f>IF(AND(ISNUMBER(AM629),ISNUMBER(G629)),G629-AM629,"")</f>
        <v/>
      </c>
      <c r="AY629" s="57" t="str">
        <f>IF(AND(ISNUMBER(AC629),ISNUMBER(AE629)),AC629-AE629,"")</f>
        <v/>
      </c>
      <c r="AZ629" s="57" t="str">
        <f t="shared" si="46"/>
        <v/>
      </c>
      <c r="BA629" s="60" t="str">
        <f>IF(AND($E629&gt;0,$W629&gt;0),IF(($E629-$W629)/$E629&gt;0,($E629-$W629)/$E629,0),"")</f>
        <v/>
      </c>
      <c r="BB629" s="60">
        <f>IF(AND($I629&gt;0,$AF629&gt;=0),IF(($I629-$AF629)/$I629&gt;0,($I629-$AF629)/$I629,0),"")</f>
        <v>1</v>
      </c>
      <c r="BC629" s="60">
        <f>IF(AND($AG629&gt;=0,$AD629&gt;=0,$AF629&gt;=0),IF($AG629/($AD629-$AF629)&gt;0,$AG629/($AD629-$AF629),0),"")</f>
        <v>0.30843749999999998</v>
      </c>
      <c r="BD629" s="60" t="str">
        <f>IF(AND($G629&gt;0,$AM629&gt;0),IF(($G629-$AM629)/$G629&gt;0,($G629-$AM629)/$G629,0),"")</f>
        <v/>
      </c>
      <c r="BE629" s="6">
        <f>IF((AD629-AF629)/(AJ629/60)&lt;=0,"",(AD629-AF629)/(AJ629/60))</f>
        <v>10.378378378378379</v>
      </c>
      <c r="BF629" s="6">
        <f>IF(OR(AJ629=0,AP629=0,NOT(ISNUMBER(AD629)),NOT(ISNUMBER(AF629)),NOT(ISNUMBER(AJ629)),NOT(ISNUMBER(AP629))),"",
IFERROR(IF((AD629-AF629)/(AJ629/60)/(AP629/1000)&lt;=0,"",(AD629-AF629)/(AJ629/60)/(AP629/1000)),""))</f>
        <v>2.5129245468228687</v>
      </c>
    </row>
    <row r="630" spans="1:58" ht="15.75">
      <c r="A630" s="12" t="s">
        <v>30</v>
      </c>
      <c r="B630" s="63">
        <v>45890</v>
      </c>
      <c r="C630" s="1">
        <v>386</v>
      </c>
      <c r="D630" s="3">
        <v>625</v>
      </c>
      <c r="E630" s="205" t="str">
        <f t="shared" si="42"/>
        <v/>
      </c>
      <c r="G630" s="15">
        <f>(N630*18-H630*18)/9</f>
        <v>12.6</v>
      </c>
      <c r="H630" s="9">
        <f>5*0</f>
        <v>0</v>
      </c>
      <c r="I630" s="15">
        <f>AD630</f>
        <v>35</v>
      </c>
      <c r="K630" s="10" t="str">
        <f t="shared" si="43"/>
        <v/>
      </c>
      <c r="L630" s="9" t="str">
        <f t="shared" si="44"/>
        <v/>
      </c>
      <c r="M630" s="8">
        <f t="shared" si="45"/>
        <v>5.5555555555555554</v>
      </c>
      <c r="N630" s="7">
        <f>5*1.26</f>
        <v>6.3</v>
      </c>
      <c r="T630" s="6">
        <v>21.4</v>
      </c>
      <c r="AB630" s="5">
        <v>80</v>
      </c>
      <c r="AC630" s="7">
        <f>T630</f>
        <v>21.4</v>
      </c>
      <c r="AD630" s="65">
        <v>35</v>
      </c>
      <c r="AE630" s="1">
        <f>5*0.264</f>
        <v>1.32</v>
      </c>
      <c r="AF630" s="1">
        <f>2*2.14</f>
        <v>4.28</v>
      </c>
      <c r="AG630" s="64">
        <v>10.78</v>
      </c>
      <c r="AH630" s="20">
        <v>0.52083333333333337</v>
      </c>
      <c r="AJ630" s="2">
        <f>("21:05"-"17:50")*1440</f>
        <v>194.99999999999994</v>
      </c>
      <c r="AK630" s="3">
        <f>180+60</f>
        <v>240</v>
      </c>
      <c r="AL630" s="4">
        <f>AE630</f>
        <v>1.32</v>
      </c>
      <c r="AM630" s="1">
        <v>0</v>
      </c>
      <c r="AN630" s="3">
        <v>40</v>
      </c>
      <c r="AP630" s="13">
        <f>AVERAGE(AO628:AO634)</f>
        <v>4129.9999999999727</v>
      </c>
      <c r="AR630" s="17"/>
      <c r="AS630" s="16">
        <f>(I630-AF630)/I630</f>
        <v>0.87771428571428567</v>
      </c>
      <c r="AT630" s="16">
        <f>AG630/(AD630-AF630)</f>
        <v>0.35091145833333331</v>
      </c>
      <c r="AU630" s="61">
        <f>(G630-AM630)/G630</f>
        <v>1</v>
      </c>
      <c r="AV630" s="57" t="str">
        <f>IF(AND(ISNUMBER(E630),ISNUMBER(W630)),E630-W630,"")</f>
        <v/>
      </c>
      <c r="AW630" s="57">
        <f>IF(AND(ISNUMBER(I630),ISNUMBER(AF630)),I630-AF630,"")</f>
        <v>30.72</v>
      </c>
      <c r="AX630" s="57">
        <f>IF(AND(ISNUMBER(AM630),ISNUMBER(G630)),G630-AM630,"")</f>
        <v>12.6</v>
      </c>
      <c r="AY630" s="57">
        <f>IF(AND(ISNUMBER(AC630),ISNUMBER(AE630)),AC630-AE630,"")</f>
        <v>20.079999999999998</v>
      </c>
      <c r="AZ630" s="57">
        <f t="shared" si="46"/>
        <v>1.32</v>
      </c>
      <c r="BA630" s="60" t="str">
        <f>IF(AND($E630&gt;0,$W630&gt;0),IF(($E630-$W630)/$E630&gt;0,($E630-$W630)/$E630,0),"")</f>
        <v/>
      </c>
      <c r="BB630" s="60">
        <f>IF(AND($I630&gt;0,$AF630&gt;=0),IF(($I630-$AF630)/$I630&gt;0,($I630-$AF630)/$I630,0),"")</f>
        <v>0.87771428571428567</v>
      </c>
      <c r="BC630" s="60">
        <f>IF(AND($AG630&gt;=0,$AD630&gt;=0,$AF630&gt;=0),IF($AG630/($AD630-$AF630)&gt;0,$AG630/($AD630-$AF630),0),"")</f>
        <v>0.35091145833333331</v>
      </c>
      <c r="BD630" s="60" t="str">
        <f>IF(AND($G630&gt;0,$AM630&gt;0),IF(($G630-$AM630)/$G630&gt;0,($G630-$AM630)/$G630,0),"")</f>
        <v/>
      </c>
      <c r="BE630" s="6">
        <f>IF((AD630-AF630)/(AJ630/60)&lt;=0,"",(AD630-AF630)/(AJ630/60))</f>
        <v>9.452307692307695</v>
      </c>
      <c r="BF630" s="6"/>
    </row>
    <row r="631" spans="1:58" ht="15.75">
      <c r="B631" s="63">
        <v>45891</v>
      </c>
      <c r="C631" s="1">
        <v>387</v>
      </c>
      <c r="D631" s="3">
        <v>626</v>
      </c>
      <c r="E631" s="205" t="str">
        <f t="shared" si="42"/>
        <v/>
      </c>
      <c r="I631" s="15">
        <f>AD631</f>
        <v>35</v>
      </c>
      <c r="K631" s="10" t="str">
        <f t="shared" si="43"/>
        <v/>
      </c>
      <c r="L631" s="9" t="str">
        <f t="shared" si="44"/>
        <v/>
      </c>
      <c r="M631" s="8" t="str">
        <f t="shared" si="45"/>
        <v/>
      </c>
      <c r="AB631" s="5">
        <v>80</v>
      </c>
      <c r="AD631" s="65">
        <v>35</v>
      </c>
      <c r="AF631" s="1">
        <v>0</v>
      </c>
      <c r="AG631" s="64">
        <v>11.31</v>
      </c>
      <c r="AH631" s="20">
        <v>0.50821759259259258</v>
      </c>
      <c r="AJ631" s="2">
        <f>("20:50"-"17:50")*1440</f>
        <v>180</v>
      </c>
      <c r="AK631" s="3">
        <f>180+60</f>
        <v>240</v>
      </c>
      <c r="AN631" s="3">
        <v>40</v>
      </c>
      <c r="AP631" s="13" t="e">
        <f>AVERAGE(AO629:AO635)</f>
        <v>#DIV/0!</v>
      </c>
      <c r="AR631" s="17"/>
      <c r="AS631" s="16">
        <f>(I631-AF631)/I631</f>
        <v>1</v>
      </c>
      <c r="AT631" s="16">
        <f>AG631/(AD631-AF631)</f>
        <v>0.32314285714285718</v>
      </c>
      <c r="AU631" s="61"/>
      <c r="AV631" s="57" t="str">
        <f>IF(AND(ISNUMBER(E631),ISNUMBER(W631)),E631-W631,"")</f>
        <v/>
      </c>
      <c r="AW631" s="57">
        <f>IF(AND(ISNUMBER(I631),ISNUMBER(AF631)),I631-AF631,"")</f>
        <v>35</v>
      </c>
      <c r="AX631" s="57" t="str">
        <f>IF(AND(ISNUMBER(AM631),ISNUMBER(G631)),G631-AM631,"")</f>
        <v/>
      </c>
      <c r="AY631" s="57" t="str">
        <f>IF(AND(ISNUMBER(AC631),ISNUMBER(AE631)),AC631-AE631,"")</f>
        <v/>
      </c>
      <c r="AZ631" s="57" t="str">
        <f t="shared" si="46"/>
        <v/>
      </c>
      <c r="BA631" s="60" t="str">
        <f>IF(AND($E631&gt;0,$W631&gt;0),IF(($E631-$W631)/$E631&gt;0,($E631-$W631)/$E631,0),"")</f>
        <v/>
      </c>
      <c r="BB631" s="60">
        <f>IF(AND($I631&gt;0,$AF631&gt;=0),IF(($I631-$AF631)/$I631&gt;0,($I631-$AF631)/$I631,0),"")</f>
        <v>1</v>
      </c>
      <c r="BC631" s="60">
        <f>IF(AND($AG631&gt;=0,$AD631&gt;=0,$AF631&gt;=0),IF($AG631/($AD631-$AF631)&gt;0,$AG631/($AD631-$AF631),0),"")</f>
        <v>0.32314285714285718</v>
      </c>
      <c r="BD631" s="60" t="str">
        <f>IF(AND($G631&gt;0,$AM631&gt;0),IF(($G631-$AM631)/$G631&gt;0,($G631-$AM631)/$G631,0),"")</f>
        <v/>
      </c>
      <c r="BE631" s="6">
        <f>IF((AD631-AF631)/(AJ631/60)&lt;=0,"",(AD631-AF631)/(AJ631/60))</f>
        <v>11.666666666666666</v>
      </c>
      <c r="BF631" s="6"/>
    </row>
    <row r="632" spans="1:58" ht="15.75">
      <c r="B632" s="63">
        <v>45892</v>
      </c>
      <c r="C632" s="1">
        <v>388</v>
      </c>
      <c r="D632" s="3">
        <v>627</v>
      </c>
      <c r="E632" s="205" t="str">
        <f t="shared" si="42"/>
        <v/>
      </c>
      <c r="I632" s="15">
        <f>AD632</f>
        <v>35</v>
      </c>
      <c r="K632" s="10" t="str">
        <f t="shared" si="43"/>
        <v/>
      </c>
      <c r="L632" s="9" t="str">
        <f t="shared" si="44"/>
        <v/>
      </c>
      <c r="M632" s="8" t="str">
        <f t="shared" si="45"/>
        <v/>
      </c>
      <c r="AB632" s="5">
        <v>80</v>
      </c>
      <c r="AD632" s="65">
        <v>35</v>
      </c>
      <c r="AF632" s="1">
        <v>0</v>
      </c>
      <c r="AG632" s="64">
        <v>11.29</v>
      </c>
      <c r="AH632" s="20">
        <v>0.50775462962962958</v>
      </c>
      <c r="AJ632" s="2">
        <f>("20:50"-"17:50")*1440</f>
        <v>180</v>
      </c>
      <c r="AK632" s="3">
        <f>180+60</f>
        <v>240</v>
      </c>
      <c r="AN632" s="3">
        <v>40</v>
      </c>
      <c r="AP632" s="13" t="e">
        <f>AVERAGE(AO630:AO636)</f>
        <v>#DIV/0!</v>
      </c>
      <c r="AR632" s="17"/>
      <c r="AS632" s="16">
        <f>(I632-AF632)/I632</f>
        <v>1</v>
      </c>
      <c r="AT632" s="16">
        <f>AG632/(AD632-AF632)</f>
        <v>0.32257142857142856</v>
      </c>
      <c r="AU632" s="61"/>
      <c r="AV632" s="57" t="str">
        <f>IF(AND(ISNUMBER(E632),ISNUMBER(W632)),E632-W632,"")</f>
        <v/>
      </c>
      <c r="AW632" s="57">
        <f>IF(AND(ISNUMBER(I632),ISNUMBER(AF632)),I632-AF632,"")</f>
        <v>35</v>
      </c>
      <c r="AX632" s="57" t="str">
        <f>IF(AND(ISNUMBER(AM632),ISNUMBER(G632)),G632-AM632,"")</f>
        <v/>
      </c>
      <c r="AY632" s="57" t="str">
        <f>IF(AND(ISNUMBER(AC632),ISNUMBER(AE632)),AC632-AE632,"")</f>
        <v/>
      </c>
      <c r="AZ632" s="57" t="str">
        <f t="shared" si="46"/>
        <v/>
      </c>
      <c r="BA632" s="60" t="str">
        <f>IF(AND($E632&gt;0,$W632&gt;0),IF(($E632-$W632)/$E632&gt;0,($E632-$W632)/$E632,0),"")</f>
        <v/>
      </c>
      <c r="BB632" s="60">
        <f>IF(AND($I632&gt;0,$AF632&gt;=0),IF(($I632-$AF632)/$I632&gt;0,($I632-$AF632)/$I632,0),"")</f>
        <v>1</v>
      </c>
      <c r="BC632" s="60">
        <f>IF(AND($AG632&gt;=0,$AD632&gt;=0,$AF632&gt;=0),IF($AG632/($AD632-$AF632)&gt;0,$AG632/($AD632-$AF632),0),"")</f>
        <v>0.32257142857142856</v>
      </c>
      <c r="BD632" s="60" t="str">
        <f>IF(AND($G632&gt;0,$AM632&gt;0),IF(($G632-$AM632)/$G632&gt;0,($G632-$AM632)/$G632,0),"")</f>
        <v/>
      </c>
      <c r="BE632" s="6">
        <f>IF((AD632-AF632)/(AJ632/60)&lt;=0,"",(AD632-AF632)/(AJ632/60))</f>
        <v>11.666666666666666</v>
      </c>
      <c r="BF632" s="6"/>
    </row>
    <row r="633" spans="1:58" ht="15.75">
      <c r="A633" s="12" t="s">
        <v>29</v>
      </c>
      <c r="B633" s="63">
        <v>45893</v>
      </c>
      <c r="C633" s="1">
        <v>389</v>
      </c>
      <c r="D633" s="3">
        <v>628</v>
      </c>
      <c r="E633" s="205" t="str">
        <f t="shared" si="42"/>
        <v/>
      </c>
      <c r="I633" s="15">
        <f>AD633</f>
        <v>35</v>
      </c>
      <c r="K633" s="10" t="str">
        <f t="shared" si="43"/>
        <v/>
      </c>
      <c r="L633" s="9" t="str">
        <f t="shared" si="44"/>
        <v/>
      </c>
      <c r="M633" s="8" t="str">
        <f t="shared" si="45"/>
        <v/>
      </c>
      <c r="AB633" s="5">
        <v>80</v>
      </c>
      <c r="AD633" s="65">
        <v>35</v>
      </c>
      <c r="AF633" s="1">
        <v>0</v>
      </c>
      <c r="AG633" s="64">
        <v>14.09</v>
      </c>
      <c r="AH633" s="20">
        <v>0.49108796296296298</v>
      </c>
      <c r="AJ633" s="2"/>
      <c r="AK633" s="3">
        <f>180+60</f>
        <v>240</v>
      </c>
      <c r="AN633" s="3">
        <v>40</v>
      </c>
      <c r="AP633" s="13" t="e">
        <f>AVERAGE(AO631:AO637)</f>
        <v>#DIV/0!</v>
      </c>
      <c r="AR633" s="17"/>
      <c r="AS633" s="16">
        <f>(I633-AF633)/I633</f>
        <v>1</v>
      </c>
      <c r="AT633" s="16">
        <f>AG633/(AD633-AF633)</f>
        <v>0.40257142857142858</v>
      </c>
      <c r="AU633" s="61"/>
      <c r="AV633" s="57" t="str">
        <f>IF(AND(ISNUMBER(E633),ISNUMBER(W633)),E633-W633,"")</f>
        <v/>
      </c>
      <c r="AW633" s="57">
        <f>IF(AND(ISNUMBER(I633),ISNUMBER(AF633)),I633-AF633,"")</f>
        <v>35</v>
      </c>
      <c r="AX633" s="57" t="str">
        <f>IF(AND(ISNUMBER(AM633),ISNUMBER(G633)),G633-AM633,"")</f>
        <v/>
      </c>
      <c r="AY633" s="57" t="str">
        <f>IF(AND(ISNUMBER(AC633),ISNUMBER(AE633)),AC633-AE633,"")</f>
        <v/>
      </c>
      <c r="AZ633" s="57" t="str">
        <f t="shared" si="46"/>
        <v/>
      </c>
      <c r="BA633" s="60" t="str">
        <f>IF(AND($E633&gt;0,$W633&gt;0),IF(($E633-$W633)/$E633&gt;0,($E633-$W633)/$E633,0),"")</f>
        <v/>
      </c>
      <c r="BB633" s="60">
        <f>IF(AND($I633&gt;0,$AF633&gt;=0),IF(($I633-$AF633)/$I633&gt;0,($I633-$AF633)/$I633,0),"")</f>
        <v>1</v>
      </c>
      <c r="BC633" s="60">
        <f>IF(AND($AG633&gt;=0,$AD633&gt;=0,$AF633&gt;=0),IF($AG633/($AD633-$AF633)&gt;0,$AG633/($AD633-$AF633),0),"")</f>
        <v>0.40257142857142858</v>
      </c>
      <c r="BD633" s="60" t="str">
        <f>IF(AND($G633&gt;0,$AM633&gt;0),IF(($G633-$AM633)/$G633&gt;0,($G633-$AM633)/$G633,0),"")</f>
        <v/>
      </c>
      <c r="BE633" s="6" t="e">
        <f>IF((AD633-AF633)/(AJ633/60)&lt;=0,"",(AD633-AF633)/(AJ633/60))</f>
        <v>#DIV/0!</v>
      </c>
      <c r="BF633" s="6"/>
    </row>
    <row r="634" spans="1:58" ht="15.75">
      <c r="B634" s="63">
        <v>45894</v>
      </c>
      <c r="C634" s="1">
        <v>390</v>
      </c>
      <c r="D634" s="3">
        <v>629</v>
      </c>
      <c r="E634" s="205" t="str">
        <f t="shared" si="42"/>
        <v/>
      </c>
      <c r="I634" s="15">
        <f>AD634</f>
        <v>35</v>
      </c>
      <c r="K634" s="10" t="str">
        <f t="shared" si="43"/>
        <v/>
      </c>
      <c r="L634" s="9" t="str">
        <f t="shared" si="44"/>
        <v/>
      </c>
      <c r="M634" s="8" t="str">
        <f t="shared" si="45"/>
        <v/>
      </c>
      <c r="AB634" s="5">
        <v>80</v>
      </c>
      <c r="AD634" s="65">
        <v>35</v>
      </c>
      <c r="AF634" s="1">
        <v>0</v>
      </c>
      <c r="AG634" s="64">
        <v>5.49</v>
      </c>
      <c r="AH634" s="20">
        <v>0.44224537037037037</v>
      </c>
      <c r="AJ634" s="2">
        <f>("19:20"-"17:50")*1440</f>
        <v>90</v>
      </c>
      <c r="AK634" s="3">
        <f>180+60</f>
        <v>240</v>
      </c>
      <c r="AN634" s="3">
        <v>40</v>
      </c>
      <c r="AP634" s="13" t="e">
        <f>AVERAGE(AO632:AO638)</f>
        <v>#DIV/0!</v>
      </c>
      <c r="AR634" s="17"/>
      <c r="AS634" s="16">
        <f>(I634-AF634)/I634</f>
        <v>1</v>
      </c>
      <c r="AT634" s="16">
        <f>AG634/(AD634-AF634)</f>
        <v>0.15685714285714286</v>
      </c>
      <c r="AU634" s="61"/>
      <c r="AV634" s="57" t="str">
        <f>IF(AND(ISNUMBER(E634),ISNUMBER(W634)),E634-W634,"")</f>
        <v/>
      </c>
      <c r="AW634" s="57">
        <f>IF(AND(ISNUMBER(I634),ISNUMBER(AF634)),I634-AF634,"")</f>
        <v>35</v>
      </c>
      <c r="AX634" s="57" t="str">
        <f>IF(AND(ISNUMBER(AM634),ISNUMBER(G634)),G634-AM634,"")</f>
        <v/>
      </c>
      <c r="AY634" s="57" t="str">
        <f>IF(AND(ISNUMBER(AC634),ISNUMBER(AE634)),AC634-AE634,"")</f>
        <v/>
      </c>
      <c r="AZ634" s="57" t="str">
        <f t="shared" si="46"/>
        <v/>
      </c>
      <c r="BA634" s="60" t="str">
        <f>IF(AND($E634&gt;0,$W634&gt;0),IF(($E634-$W634)/$E634&gt;0,($E634-$W634)/$E634,0),"")</f>
        <v/>
      </c>
      <c r="BB634" s="60">
        <f>IF(AND($I634&gt;0,$AF634&gt;=0),IF(($I634-$AF634)/$I634&gt;0,($I634-$AF634)/$I634,0),"")</f>
        <v>1</v>
      </c>
      <c r="BC634" s="60">
        <f>IF(AND($AG634&gt;=0,$AD634&gt;=0,$AF634&gt;=0),IF($AG634/($AD634-$AF634)&gt;0,$AG634/($AD634-$AF634),0),"")</f>
        <v>0.15685714285714286</v>
      </c>
      <c r="BD634" s="60" t="str">
        <f>IF(AND($G634&gt;0,$AM634&gt;0),IF(($G634-$AM634)/$G634&gt;0,($G634-$AM634)/$G634,0),"")</f>
        <v/>
      </c>
      <c r="BE634" s="6">
        <f>IF((AD634-AF634)/(AJ634/60)&lt;=0,"",(AD634-AF634)/(AJ634/60))</f>
        <v>23.333333333333332</v>
      </c>
      <c r="BF634" s="6"/>
    </row>
    <row r="635" spans="1:58" ht="15.75">
      <c r="B635" s="63">
        <v>45895</v>
      </c>
      <c r="C635" s="1">
        <v>391</v>
      </c>
      <c r="D635" s="3">
        <v>630</v>
      </c>
      <c r="E635" s="205" t="str">
        <f t="shared" si="42"/>
        <v/>
      </c>
      <c r="G635" s="58">
        <v>14</v>
      </c>
      <c r="I635" s="15">
        <f>AD635</f>
        <v>35</v>
      </c>
      <c r="K635" s="10" t="str">
        <f t="shared" si="43"/>
        <v/>
      </c>
      <c r="L635" s="9" t="str">
        <f t="shared" si="44"/>
        <v/>
      </c>
      <c r="M635" s="8">
        <f t="shared" si="45"/>
        <v>5</v>
      </c>
      <c r="AB635" s="5">
        <v>80</v>
      </c>
      <c r="AD635" s="65">
        <v>35</v>
      </c>
      <c r="AE635" s="1">
        <f>AL635</f>
        <v>16.579999999999998</v>
      </c>
      <c r="AF635" s="1">
        <v>0</v>
      </c>
      <c r="AG635" s="64"/>
      <c r="AH635" s="20">
        <v>0.41111111111111109</v>
      </c>
      <c r="AJ635" s="2">
        <f>("19:00"-"17:50")*1440</f>
        <v>69.999999999999915</v>
      </c>
      <c r="AK635" s="3">
        <f>180+60</f>
        <v>240</v>
      </c>
      <c r="AL635" s="4">
        <f>2*8.29</f>
        <v>16.579999999999998</v>
      </c>
      <c r="AM635" s="1">
        <f>2*2.48</f>
        <v>4.96</v>
      </c>
      <c r="AN635" s="3">
        <v>40</v>
      </c>
      <c r="AP635" s="13" t="e">
        <f>AVERAGE(AO633:AO639)</f>
        <v>#DIV/0!</v>
      </c>
      <c r="AR635" s="17"/>
      <c r="AS635" s="16">
        <f>(I635-AF635)/I635</f>
        <v>1</v>
      </c>
      <c r="AT635" s="16"/>
      <c r="AU635" s="61">
        <f>(G635-AM635)/G635</f>
        <v>0.64571428571428569</v>
      </c>
      <c r="AV635" s="57" t="str">
        <f>IF(AND(ISNUMBER(E635),ISNUMBER(W635)),E635-W635,"")</f>
        <v/>
      </c>
      <c r="AW635" s="57">
        <f>IF(AND(ISNUMBER(I635),ISNUMBER(AF635)),I635-AF635,"")</f>
        <v>35</v>
      </c>
      <c r="AX635" s="57">
        <f>IF(AND(ISNUMBER(AM635),ISNUMBER(G635)),G635-AM635,"")</f>
        <v>9.0399999999999991</v>
      </c>
      <c r="AY635" s="57" t="str">
        <f>IF(AND(ISNUMBER(AC635),ISNUMBER(AE635)),AC635-AE635,"")</f>
        <v/>
      </c>
      <c r="AZ635" s="57">
        <f t="shared" si="46"/>
        <v>11.619999999999997</v>
      </c>
      <c r="BA635" s="60" t="str">
        <f>IF(AND($E635&gt;0,$W635&gt;0),IF(($E635-$W635)/$E635&gt;0,($E635-$W635)/$E635,0),"")</f>
        <v/>
      </c>
      <c r="BB635" s="60">
        <f>IF(AND($I635&gt;0,$AF635&gt;=0),IF(($I635-$AF635)/$I635&gt;0,($I635-$AF635)/$I635,0),"")</f>
        <v>1</v>
      </c>
      <c r="BC635" s="60">
        <f>IF(AND($AG635&gt;=0,$AD635&gt;=0,$AF635&gt;=0),IF($AG635/($AD635-$AF635)&gt;0,$AG635/($AD635-$AF635),0),"")</f>
        <v>0</v>
      </c>
      <c r="BD635" s="60">
        <f>IF(AND($G635&gt;0,$AM635&gt;0),IF(($G635-$AM635)/$G635&gt;0,($G635-$AM635)/$G635,0),"")</f>
        <v>0.64571428571428569</v>
      </c>
      <c r="BE635" s="6">
        <f>IF((AD635-AF635)/(AJ635/60)&lt;=0,"",(AD635-AF635)/(AJ635/60))</f>
        <v>30.000000000000039</v>
      </c>
      <c r="BF635" s="6"/>
    </row>
    <row r="636" spans="1:58" ht="15.75">
      <c r="B636" s="63">
        <v>45896</v>
      </c>
      <c r="C636" s="1">
        <v>392</v>
      </c>
      <c r="D636" s="3">
        <v>631</v>
      </c>
      <c r="E636" s="205" t="str">
        <f t="shared" si="42"/>
        <v/>
      </c>
      <c r="I636" s="15">
        <f>AD636</f>
        <v>35</v>
      </c>
      <c r="K636" s="10" t="str">
        <f>IF(OR(E636="",G636="",E636=0,G636=0),"",E636/G636)</f>
        <v/>
      </c>
      <c r="L636" s="9" t="str">
        <f>IF(OR(E636="",I636="",E636=0,I636=0),"",E636/(I636*2))</f>
        <v/>
      </c>
      <c r="M636" s="8" t="str">
        <f>IF(OR(I636="",G636="",I636=0,G636=0),"",I636*2/G636)</f>
        <v/>
      </c>
      <c r="AB636" s="5">
        <v>80</v>
      </c>
      <c r="AD636" s="65">
        <v>35</v>
      </c>
      <c r="AF636" s="1">
        <v>0</v>
      </c>
      <c r="AG636" s="64"/>
      <c r="AH636" s="20">
        <v>0.4045138888888889</v>
      </c>
      <c r="AJ636" s="2">
        <f>("19:00"-"17:50")*1440</f>
        <v>69.999999999999915</v>
      </c>
      <c r="AK636" s="3">
        <f>180+60</f>
        <v>240</v>
      </c>
      <c r="AN636" s="3">
        <v>40</v>
      </c>
      <c r="AP636" s="13" t="e">
        <f>AVERAGE(AO634:AO640)</f>
        <v>#DIV/0!</v>
      </c>
      <c r="AR636" s="17"/>
      <c r="AS636" s="16">
        <f>(I636-AF636)/I636</f>
        <v>1</v>
      </c>
      <c r="AT636" s="16"/>
      <c r="AU636" s="61"/>
      <c r="AV636" s="57" t="str">
        <f>IF(AND(ISNUMBER(E636),ISNUMBER(W636)),E636-W636,"")</f>
        <v/>
      </c>
      <c r="AW636" s="57">
        <f>IF(AND(ISNUMBER(I636),ISNUMBER(AF636)),I636-AF636,"")</f>
        <v>35</v>
      </c>
      <c r="AX636" s="57" t="str">
        <f>IF(AND(ISNUMBER(AM636),ISNUMBER(G636)),G636-AM636,"")</f>
        <v/>
      </c>
      <c r="AY636" s="57" t="str">
        <f>IF(AND(ISNUMBER(AC636),ISNUMBER(AE636)),AC636-AE636,"")</f>
        <v/>
      </c>
      <c r="AZ636" s="57" t="str">
        <f t="shared" si="46"/>
        <v/>
      </c>
      <c r="BA636" s="60" t="str">
        <f>IF(AND($E636&gt;0,$W636&gt;0),IF(($E636-$W636)/$E636&gt;0,($E636-$W636)/$E636,0),"")</f>
        <v/>
      </c>
      <c r="BB636" s="60">
        <f>IF(AND($I636&gt;0,$AF636&gt;=0),IF(($I636-$AF636)/$I636&gt;0,($I636-$AF636)/$I636,0),"")</f>
        <v>1</v>
      </c>
      <c r="BC636" s="60">
        <f>IF(AND($AG636&gt;=0,$AD636&gt;=0,$AF636&gt;=0),IF($AG636/($AD636-$AF636)&gt;0,$AG636/($AD636-$AF636),0),"")</f>
        <v>0</v>
      </c>
      <c r="BD636" s="60" t="str">
        <f>IF(AND($G636&gt;0,$AM636&gt;0),IF(($G636-$AM636)/$G636&gt;0,($G636-$AM636)/$G636,0),"")</f>
        <v/>
      </c>
      <c r="BE636" s="6">
        <f>IF((AD636-AF636)/(AJ636/60)&lt;=0,"",(AD636-AF636)/(AJ636/60))</f>
        <v>30.000000000000039</v>
      </c>
      <c r="BF636" s="6"/>
    </row>
    <row r="637" spans="1:58" ht="15.75">
      <c r="B637" s="63">
        <v>45897</v>
      </c>
      <c r="C637" s="1">
        <v>393</v>
      </c>
      <c r="D637" s="3">
        <v>632</v>
      </c>
      <c r="E637" s="205" t="str">
        <f t="shared" si="42"/>
        <v/>
      </c>
      <c r="I637" s="15">
        <f>AD637</f>
        <v>35</v>
      </c>
      <c r="K637" s="10" t="str">
        <f t="shared" ref="K637:K666" si="47">IF(OR(E637="",G637="",E637=0,G637=0),"",E637/G637)</f>
        <v/>
      </c>
      <c r="L637" s="9" t="str">
        <f t="shared" ref="L637:L666" si="48">IF(OR(E637="",I637="",E637=0,I637=0),"",E637/(I637*2))</f>
        <v/>
      </c>
      <c r="M637" s="8" t="str">
        <f t="shared" ref="M637:M666" si="49">IF(OR(I637="",G637="",I637=0,G637=0),"",I637*2/G637)</f>
        <v/>
      </c>
      <c r="AB637" s="5">
        <v>80</v>
      </c>
      <c r="AD637" s="65">
        <v>35</v>
      </c>
      <c r="AF637" s="1">
        <v>0</v>
      </c>
      <c r="AG637" s="64">
        <v>3.75</v>
      </c>
      <c r="AH637" s="20">
        <v>0.44398148148148148</v>
      </c>
      <c r="AJ637" s="2">
        <f>("19:10"-"17:50")*1440</f>
        <v>80.000000000000028</v>
      </c>
      <c r="AK637" s="3">
        <f>180+60</f>
        <v>240</v>
      </c>
      <c r="AN637" s="3">
        <v>40</v>
      </c>
      <c r="AP637" s="13" t="e">
        <f>AVERAGE(AO635:AO641)</f>
        <v>#DIV/0!</v>
      </c>
      <c r="AR637" s="17"/>
      <c r="AS637" s="16">
        <f>(I637-AF637)/I637</f>
        <v>1</v>
      </c>
      <c r="AT637" s="16">
        <f>AG637/(AD637-AF637)</f>
        <v>0.10714285714285714</v>
      </c>
      <c r="AU637" s="61"/>
      <c r="AV637" s="57" t="str">
        <f>IF(AND(ISNUMBER(E637),ISNUMBER(W637)),E637-W637,"")</f>
        <v/>
      </c>
      <c r="AW637" s="57">
        <f>IF(AND(ISNUMBER(I637),ISNUMBER(AF637)),I637-AF637,"")</f>
        <v>35</v>
      </c>
      <c r="AX637" s="57" t="str">
        <f>IF(AND(ISNUMBER(AM637),ISNUMBER(G637)),G637-AM637,"")</f>
        <v/>
      </c>
      <c r="AY637" s="57" t="str">
        <f>IF(AND(ISNUMBER(AC637),ISNUMBER(AE637)),AC637-AE637,"")</f>
        <v/>
      </c>
      <c r="AZ637" s="57" t="str">
        <f t="shared" si="46"/>
        <v/>
      </c>
      <c r="BA637" s="60" t="str">
        <f>IF(AND($E637&gt;0,$W637&gt;0),IF(($E637-$W637)/$E637&gt;0,($E637-$W637)/$E637,0),"")</f>
        <v/>
      </c>
      <c r="BB637" s="60">
        <f>IF(AND($I637&gt;0,$AF637&gt;=0),IF(($I637-$AF637)/$I637&gt;0,($I637-$AF637)/$I637,0),"")</f>
        <v>1</v>
      </c>
      <c r="BC637" s="60">
        <f>IF(AND($AG637&gt;=0,$AD637&gt;=0,$AF637&gt;=0),IF($AG637/($AD637-$AF637)&gt;0,$AG637/($AD637-$AF637),0),"")</f>
        <v>0.10714285714285714</v>
      </c>
      <c r="BD637" s="60" t="str">
        <f>IF(AND($G637&gt;0,$AM637&gt;0),IF(($G637-$AM637)/$G637&gt;0,($G637-$AM637)/$G637,0),"")</f>
        <v/>
      </c>
      <c r="BE637" s="6">
        <f>IF((AD637-AF637)/(AJ637/60)&lt;=0,"",(AD637-AF637)/(AJ637/60))</f>
        <v>26.249999999999993</v>
      </c>
      <c r="BF637" s="6"/>
    </row>
    <row r="638" spans="1:58" ht="15.75">
      <c r="B638" s="63">
        <v>45898</v>
      </c>
      <c r="C638" s="1">
        <v>394</v>
      </c>
      <c r="D638" s="3">
        <v>633</v>
      </c>
      <c r="E638" s="205">
        <f t="shared" si="42"/>
        <v>263.92004599999996</v>
      </c>
      <c r="G638" s="15">
        <f>(N638*18-H638*18)/9</f>
        <v>14.400000000000002</v>
      </c>
      <c r="H638" s="9">
        <f>5*0.24</f>
        <v>1.2</v>
      </c>
      <c r="I638" s="15">
        <f>AD638</f>
        <v>36.200000000000003</v>
      </c>
      <c r="K638" s="10">
        <f t="shared" si="47"/>
        <v>18.327780972222218</v>
      </c>
      <c r="L638" s="9">
        <f t="shared" si="48"/>
        <v>3.6453045027624302</v>
      </c>
      <c r="M638" s="8">
        <f t="shared" si="49"/>
        <v>5.0277777777777777</v>
      </c>
      <c r="N638" s="7">
        <f>5*1.68</f>
        <v>8.4</v>
      </c>
      <c r="O638" s="6">
        <v>84.858999999999995</v>
      </c>
      <c r="P638" s="6">
        <v>27.355</v>
      </c>
      <c r="Q638" s="6">
        <f>O638*1.067</f>
        <v>90.544552999999993</v>
      </c>
      <c r="R638" s="6">
        <f>P638*1.514</f>
        <v>41.415469999999999</v>
      </c>
      <c r="S638" s="23">
        <f>P638*1.514+O638*1.067</f>
        <v>131.96002299999998</v>
      </c>
      <c r="T638" s="6">
        <f>34.8</f>
        <v>34.799999999999997</v>
      </c>
      <c r="U638" s="59">
        <f>0.822*1.067</f>
        <v>0.87707399999999991</v>
      </c>
      <c r="V638" s="59">
        <f>0.63*1.514</f>
        <v>0.95382</v>
      </c>
      <c r="W638" s="23">
        <f>U638*1.067+V638*1.514</f>
        <v>2.3799214379999998</v>
      </c>
      <c r="X638" s="6">
        <v>0.24</v>
      </c>
      <c r="Y638" s="6">
        <v>0.19</v>
      </c>
      <c r="Z638" s="6">
        <v>-65</v>
      </c>
      <c r="AA638" s="6">
        <v>-387</v>
      </c>
      <c r="AB638" s="5">
        <v>80</v>
      </c>
      <c r="AC638" s="7">
        <f>T638</f>
        <v>34.799999999999997</v>
      </c>
      <c r="AD638" s="1">
        <f>36.2</f>
        <v>36.200000000000003</v>
      </c>
      <c r="AE638" s="1">
        <f>5*1.59</f>
        <v>7.95</v>
      </c>
      <c r="AF638" s="1">
        <v>0</v>
      </c>
      <c r="AG638" s="62">
        <v>9.14</v>
      </c>
      <c r="AH638" s="20">
        <v>0.45347222222222222</v>
      </c>
      <c r="AJ638" s="2">
        <f>("19:10"-"17:50")*1440</f>
        <v>80.000000000000028</v>
      </c>
      <c r="AK638" s="3">
        <f>180+60</f>
        <v>240</v>
      </c>
      <c r="AL638" s="4">
        <f>AE638</f>
        <v>7.95</v>
      </c>
      <c r="AM638" s="1">
        <f>5*0.009</f>
        <v>4.4999999999999998E-2</v>
      </c>
      <c r="AN638" s="3">
        <v>40</v>
      </c>
      <c r="AP638" s="13" t="e">
        <f>AVERAGE(AO636:AO642)</f>
        <v>#DIV/0!</v>
      </c>
      <c r="AR638" s="17">
        <f>(E638-W638)/E638</f>
        <v>0.99098241503792406</v>
      </c>
      <c r="AS638" s="16">
        <f>(I638-AF638)/I638</f>
        <v>1</v>
      </c>
      <c r="AT638" s="16">
        <f>AG638/(AD638-AF638)</f>
        <v>0.25248618784530386</v>
      </c>
      <c r="AU638" s="61">
        <f>(G638-AM638)/G638</f>
        <v>0.99687499999999996</v>
      </c>
      <c r="AV638" s="57">
        <f>IF(AND(ISNUMBER(E638),ISNUMBER(W638)),E638-W638,"")</f>
        <v>261.54012456199996</v>
      </c>
      <c r="AW638" s="57">
        <f>IF(AND(ISNUMBER(I638),ISNUMBER(AF638)),I638-AF638,"")</f>
        <v>36.200000000000003</v>
      </c>
      <c r="AX638" s="57">
        <f>IF(AND(ISNUMBER(AM638),ISNUMBER(G638)),G638-AM638,"")</f>
        <v>14.355000000000002</v>
      </c>
      <c r="AY638" s="57">
        <f>IF(AND(ISNUMBER(AC638),ISNUMBER(AE638)),AC638-AE638,"")</f>
        <v>26.849999999999998</v>
      </c>
      <c r="AZ638" s="57">
        <f t="shared" si="46"/>
        <v>7.9050000000000002</v>
      </c>
      <c r="BA638" s="60">
        <f>IF(AND($E638&gt;0,$W638&gt;0),IF(($E638-$W638)/$E638&gt;0,($E638-$W638)/$E638,0),"")</f>
        <v>0.99098241503792406</v>
      </c>
      <c r="BB638" s="60">
        <f>IF(AND($I638&gt;0,$AF638&gt;=0),IF(($I638-$AF638)/$I638&gt;0,($I638-$AF638)/$I638,0),"")</f>
        <v>1</v>
      </c>
      <c r="BC638" s="60">
        <f>IF(AND($AG638&gt;=0,$AD638&gt;=0,$AF638&gt;=0),IF($AG638/($AD638-$AF638)&gt;0,$AG638/($AD638-$AF638),0),"")</f>
        <v>0.25248618784530386</v>
      </c>
      <c r="BD638" s="60">
        <f>IF(AND($G638&gt;0,$AM638&gt;0),IF(($G638-$AM638)/$G638&gt;0,($G638-$AM638)/$G638,0),"")</f>
        <v>0.99687499999999996</v>
      </c>
      <c r="BE638" s="6">
        <f>IF((AD638-AF638)/(AJ638/60)&lt;=0,"",(AD638-AF638)/(AJ638/60))</f>
        <v>27.149999999999995</v>
      </c>
      <c r="BF638" s="6"/>
    </row>
    <row r="639" spans="1:58" ht="15.75">
      <c r="B639" s="63">
        <v>45899</v>
      </c>
      <c r="C639" s="1">
        <v>395</v>
      </c>
      <c r="D639" s="3">
        <v>634</v>
      </c>
      <c r="E639" s="205" t="str">
        <f t="shared" si="42"/>
        <v/>
      </c>
      <c r="I639" s="15">
        <f>AD639</f>
        <v>0</v>
      </c>
      <c r="K639" s="10" t="str">
        <f t="shared" si="47"/>
        <v/>
      </c>
      <c r="L639" s="9" t="str">
        <f t="shared" si="48"/>
        <v/>
      </c>
      <c r="M639" s="8" t="str">
        <f t="shared" si="49"/>
        <v/>
      </c>
      <c r="AB639" s="5">
        <v>80</v>
      </c>
      <c r="AF639" s="1">
        <v>0</v>
      </c>
      <c r="AG639" s="62">
        <v>9.8000000000000007</v>
      </c>
      <c r="AH639" s="20">
        <v>0.44675925925925924</v>
      </c>
      <c r="AJ639" s="2">
        <f>("19:10"-"17:50")*1440</f>
        <v>80.000000000000028</v>
      </c>
      <c r="AK639" s="3">
        <f>180+60</f>
        <v>240</v>
      </c>
      <c r="AN639" s="3">
        <v>40</v>
      </c>
      <c r="AP639" s="13" t="e">
        <f>AVERAGE(AO637:AO643)</f>
        <v>#DIV/0!</v>
      </c>
      <c r="AR639" s="17"/>
      <c r="AS639" s="16"/>
      <c r="AT639" s="16"/>
      <c r="AU639" s="61"/>
      <c r="AV639" s="57" t="str">
        <f>IF(AND(ISNUMBER(E639),ISNUMBER(W639)),E639-W639,"")</f>
        <v/>
      </c>
      <c r="AW639" s="57">
        <f>IF(AND(ISNUMBER(I639),ISNUMBER(AF639)),I639-AF639,"")</f>
        <v>0</v>
      </c>
      <c r="AX639" s="57" t="str">
        <f>IF(AND(ISNUMBER(AM639),ISNUMBER(G639)),G639-AM639,"")</f>
        <v/>
      </c>
      <c r="AY639" s="57" t="str">
        <f>IF(AND(ISNUMBER(AC639),ISNUMBER(AE639)),AC639-AE639,"")</f>
        <v/>
      </c>
      <c r="AZ639" s="57" t="str">
        <f t="shared" si="46"/>
        <v/>
      </c>
      <c r="BA639" s="60" t="str">
        <f>IF(AND($E639&gt;0,$W639&gt;0),IF(($E639-$W639)/$E639&gt;0,($E639-$W639)/$E639,0),"")</f>
        <v/>
      </c>
      <c r="BB639" s="60" t="str">
        <f>IF(AND($I639&gt;0,$AF639&gt;=0),IF(($I639-$AF639)/$I639&gt;0,($I639-$AF639)/$I639,0),"")</f>
        <v/>
      </c>
      <c r="BC639" s="60"/>
      <c r="BD639" s="60" t="str">
        <f>IF(AND($G639&gt;0,$AM639&gt;0),IF(($G639-$AM639)/$G639&gt;0,($G639-$AM639)/$G639,0),"")</f>
        <v/>
      </c>
      <c r="BE639" s="6" t="str">
        <f>IF((AD639-AF639)/(AJ639/60)&lt;=0,"",(AD639-AF639)/(AJ639/60))</f>
        <v/>
      </c>
      <c r="BF639" s="6"/>
    </row>
    <row r="640" spans="1:58" ht="15.75">
      <c r="B640" s="63">
        <v>45900</v>
      </c>
      <c r="C640" s="1">
        <v>396</v>
      </c>
      <c r="D640" s="3">
        <v>635</v>
      </c>
      <c r="E640" s="205" t="str">
        <f t="shared" si="42"/>
        <v/>
      </c>
      <c r="I640" s="15">
        <f>AD640</f>
        <v>0</v>
      </c>
      <c r="K640" s="10" t="str">
        <f t="shared" si="47"/>
        <v/>
      </c>
      <c r="L640" s="9" t="str">
        <f t="shared" si="48"/>
        <v/>
      </c>
      <c r="M640" s="8" t="str">
        <f t="shared" si="49"/>
        <v/>
      </c>
      <c r="AB640" s="5">
        <v>80</v>
      </c>
      <c r="AF640" s="1">
        <v>0</v>
      </c>
      <c r="AG640" s="62">
        <v>10.64</v>
      </c>
      <c r="AH640" s="20">
        <v>0.45624999999999999</v>
      </c>
      <c r="AJ640" s="2">
        <f>("19:20"-"17:50")*1440</f>
        <v>90</v>
      </c>
      <c r="AK640" s="3">
        <f>180+60</f>
        <v>240</v>
      </c>
      <c r="AN640" s="3">
        <v>40</v>
      </c>
      <c r="AP640" s="13" t="e">
        <f>AVERAGE(AO638:AO644)</f>
        <v>#DIV/0!</v>
      </c>
      <c r="AR640" s="17"/>
      <c r="AS640" s="16"/>
      <c r="AT640" s="16"/>
      <c r="AU640" s="61"/>
      <c r="AV640" s="57" t="str">
        <f>IF(AND(ISNUMBER(E640),ISNUMBER(W640)),E640-W640,"")</f>
        <v/>
      </c>
      <c r="AW640" s="57">
        <f>IF(AND(ISNUMBER(I640),ISNUMBER(AF640)),I640-AF640,"")</f>
        <v>0</v>
      </c>
      <c r="AX640" s="57" t="str">
        <f>IF(AND(ISNUMBER(AM640),ISNUMBER(G640)),G640-AM640,"")</f>
        <v/>
      </c>
      <c r="AY640" s="57" t="str">
        <f>IF(AND(ISNUMBER(AC640),ISNUMBER(AE640)),AC640-AE640,"")</f>
        <v/>
      </c>
      <c r="AZ640" s="57" t="str">
        <f t="shared" si="46"/>
        <v/>
      </c>
      <c r="BA640" s="60" t="str">
        <f>IF(AND($E640&gt;0,$W640&gt;0),IF(($E640-$W640)/$E640&gt;0,($E640-$W640)/$E640,0),"")</f>
        <v/>
      </c>
      <c r="BB640" s="60" t="str">
        <f>IF(AND($I640&gt;0,$AF640&gt;=0),IF(($I640-$AF640)/$I640&gt;0,($I640-$AF640)/$I640,0),"")</f>
        <v/>
      </c>
      <c r="BC640" s="60"/>
      <c r="BD640" s="60" t="str">
        <f>IF(AND($G640&gt;0,$AM640&gt;0),IF(($G640-$AM640)/$G640&gt;0,($G640-$AM640)/$G640,0),"")</f>
        <v/>
      </c>
      <c r="BE640" s="6" t="str">
        <f>IF((AD640-AF640)/(AJ640/60)&lt;=0,"",(AD640-AF640)/(AJ640/60))</f>
        <v/>
      </c>
      <c r="BF640" s="6"/>
    </row>
    <row r="641" spans="1:58" ht="15.75">
      <c r="A641" s="25" t="s">
        <v>28</v>
      </c>
      <c r="B641" s="63">
        <v>45901</v>
      </c>
      <c r="C641" s="1">
        <v>397</v>
      </c>
      <c r="D641" s="3">
        <v>636</v>
      </c>
      <c r="E641" s="205" t="str">
        <f t="shared" si="42"/>
        <v/>
      </c>
      <c r="G641" s="15"/>
      <c r="I641" s="15">
        <f>AD641</f>
        <v>0</v>
      </c>
      <c r="K641" s="10" t="str">
        <f t="shared" si="47"/>
        <v/>
      </c>
      <c r="L641" s="9" t="str">
        <f t="shared" si="48"/>
        <v/>
      </c>
      <c r="M641" s="8" t="str">
        <f t="shared" si="49"/>
        <v/>
      </c>
      <c r="AB641" s="5">
        <v>80</v>
      </c>
      <c r="AF641" s="1">
        <v>0</v>
      </c>
      <c r="AG641" s="62">
        <v>13.42</v>
      </c>
      <c r="AH641" s="20">
        <v>0.47210648148148149</v>
      </c>
      <c r="AJ641" s="2">
        <f>("19:55"-"17:50")*1440</f>
        <v>125.00000000000003</v>
      </c>
      <c r="AK641" s="3">
        <f>180+60</f>
        <v>240</v>
      </c>
      <c r="AN641" s="3">
        <v>40</v>
      </c>
      <c r="AP641" s="13" t="e">
        <f>AVERAGE(AO639:AO645)</f>
        <v>#DIV/0!</v>
      </c>
      <c r="AR641" s="17"/>
      <c r="AS641" s="16"/>
      <c r="AT641" s="16"/>
      <c r="AU641" s="61"/>
      <c r="AV641" s="57" t="str">
        <f>IF(AND(ISNUMBER(E641),ISNUMBER(W641)),E641-W641,"")</f>
        <v/>
      </c>
      <c r="AW641" s="57">
        <f>IF(AND(ISNUMBER(I641),ISNUMBER(AF641)),I641-AF641,"")</f>
        <v>0</v>
      </c>
      <c r="AX641" s="57" t="str">
        <f>IF(AND(ISNUMBER(AM641),ISNUMBER(G641)),G641-AM641,"")</f>
        <v/>
      </c>
      <c r="AY641" s="57" t="str">
        <f>IF(AND(ISNUMBER(AC641),ISNUMBER(AE641)),AC641-AE641,"")</f>
        <v/>
      </c>
      <c r="AZ641" s="57" t="str">
        <f t="shared" si="46"/>
        <v/>
      </c>
      <c r="BA641" s="60" t="str">
        <f>IF(AND($E641&gt;0,$W641&gt;0),IF(($E641-$W641)/$E641&gt;0,($E641-$W641)/$E641,0),"")</f>
        <v/>
      </c>
      <c r="BB641" s="60" t="str">
        <f>IF(AND($I641&gt;0,$AF641&gt;=0),IF(($I641-$AF641)/$I641&gt;0,($I641-$AF641)/$I641,0),"")</f>
        <v/>
      </c>
      <c r="BC641" s="60"/>
      <c r="BD641" s="60" t="str">
        <f>IF(AND($G641&gt;0,$AM641&gt;0),IF(($G641-$AM641)/$G641&gt;0,($G641-$AM641)/$G641,0),"")</f>
        <v/>
      </c>
      <c r="BE641" s="6" t="str">
        <f>IF((AD641-AF641)/(AJ641/60)&lt;=0,"",(AD641-AF641)/(AJ641/60))</f>
        <v/>
      </c>
      <c r="BF641" s="6"/>
    </row>
    <row r="642" spans="1:58" ht="15.75">
      <c r="A642" s="12" t="s">
        <v>27</v>
      </c>
      <c r="B642" s="63">
        <v>45902</v>
      </c>
      <c r="C642" s="1">
        <v>398</v>
      </c>
      <c r="D642" s="3">
        <v>637</v>
      </c>
      <c r="E642" s="205">
        <f t="shared" si="42"/>
        <v>232.85769599999998</v>
      </c>
      <c r="G642" s="15">
        <f>(N642*18-H642*18)/9</f>
        <v>17.16</v>
      </c>
      <c r="H642" s="9">
        <f>1.42</f>
        <v>1.42</v>
      </c>
      <c r="I642" s="15">
        <f>AD642</f>
        <v>0</v>
      </c>
      <c r="K642" s="10">
        <f t="shared" si="47"/>
        <v>13.569795804195802</v>
      </c>
      <c r="L642" s="9" t="str">
        <f t="shared" si="48"/>
        <v/>
      </c>
      <c r="M642" s="8" t="str">
        <f t="shared" si="49"/>
        <v/>
      </c>
      <c r="N642" s="7">
        <f>5*2</f>
        <v>10</v>
      </c>
      <c r="O642" s="6">
        <v>75.843999999999994</v>
      </c>
      <c r="P642" s="6">
        <v>23.45</v>
      </c>
      <c r="Q642" s="6">
        <f>O642*1.067</f>
        <v>80.925547999999992</v>
      </c>
      <c r="R642" s="6">
        <f>P642*1.514</f>
        <v>35.503299999999996</v>
      </c>
      <c r="S642" s="23">
        <f>P642*1.514+O642*1.067</f>
        <v>116.42884799999999</v>
      </c>
      <c r="U642" s="59">
        <f>0*1.067</f>
        <v>0</v>
      </c>
      <c r="V642" s="59">
        <f>0*1.514</f>
        <v>0</v>
      </c>
      <c r="W642" s="23">
        <f>U642*1.067+V642*1.514</f>
        <v>0</v>
      </c>
      <c r="AB642" s="5">
        <v>80</v>
      </c>
      <c r="AF642" s="1">
        <v>0</v>
      </c>
      <c r="AG642" s="62">
        <v>12.52</v>
      </c>
      <c r="AH642" s="20">
        <v>0.48923611111111109</v>
      </c>
      <c r="AJ642" s="2">
        <f>("19:55"-"17:50")*1440</f>
        <v>125.00000000000003</v>
      </c>
      <c r="AK642" s="3">
        <f>180+60</f>
        <v>240</v>
      </c>
      <c r="AL642" s="4">
        <f>5*1.51</f>
        <v>7.55</v>
      </c>
      <c r="AM642" s="1">
        <f>2*1.42</f>
        <v>2.84</v>
      </c>
      <c r="AN642" s="3">
        <v>40</v>
      </c>
      <c r="AP642" s="13" t="e">
        <f>AVERAGE(AO640:AO646)</f>
        <v>#DIV/0!</v>
      </c>
      <c r="AR642" s="17">
        <f>(E642-W642)/E642</f>
        <v>1</v>
      </c>
      <c r="AS642" s="16"/>
      <c r="AT642" s="16"/>
      <c r="AU642" s="61">
        <f>(G642-AM642)/G642</f>
        <v>0.83449883449883455</v>
      </c>
      <c r="AV642" s="57">
        <f>IF(AND(ISNUMBER(E642),ISNUMBER(W642)),E642-W642,"")</f>
        <v>232.85769599999998</v>
      </c>
      <c r="AW642" s="57">
        <f>IF(AND(ISNUMBER(I642),ISNUMBER(AF642)),I642-AF642,"")</f>
        <v>0</v>
      </c>
      <c r="AX642" s="57">
        <f>IF(AND(ISNUMBER(AM642),ISNUMBER(G642)),G642-AM642,"")</f>
        <v>14.32</v>
      </c>
      <c r="AY642" s="57" t="str">
        <f>IF(AND(ISNUMBER(AC642),ISNUMBER(AE642)),AC642-AE642,"")</f>
        <v/>
      </c>
      <c r="AZ642" s="57">
        <f t="shared" si="46"/>
        <v>4.71</v>
      </c>
      <c r="BA642" s="60" t="str">
        <f>IF(AND($E642&gt;0,$W642&gt;0),IF(($E642-$W642)/$E642&gt;0,($E642-$W642)/$E642,0),"")</f>
        <v/>
      </c>
      <c r="BB642" s="56" t="str">
        <f>IF(AND($I642&gt;0,$AF642&gt;=0),IF(($I642-$AF642)/$I642&gt;0,($I642-$AF642)/$I642,0),"")</f>
        <v/>
      </c>
      <c r="BC642" s="56"/>
      <c r="BD642" s="56">
        <f>IF(AND($G642&gt;0,$AM642&gt;0),IF(($G642-$AM642)/$G642&gt;0,($G642-$AM642)/$G642,0),"")</f>
        <v>0.83449883449883455</v>
      </c>
      <c r="BE642" s="6" t="str">
        <f>IF((AD642-AF642)/(AJ642/60)&lt;=0,"",(AD642-AF642)/(AJ642/60))</f>
        <v/>
      </c>
      <c r="BF642" s="6"/>
    </row>
    <row r="643" spans="1:58" ht="15.75">
      <c r="B643" s="11">
        <v>45903</v>
      </c>
      <c r="C643" s="1">
        <v>399</v>
      </c>
      <c r="D643" s="3">
        <v>638</v>
      </c>
      <c r="E643" s="205">
        <f t="shared" si="42"/>
        <v>257.56118200000003</v>
      </c>
      <c r="G643" s="15">
        <f>(N643*18-H643*18)/9</f>
        <v>15.059999999999999</v>
      </c>
      <c r="H643" s="9">
        <f>AM643/2</f>
        <v>1.57</v>
      </c>
      <c r="I643" s="15">
        <f>AD643</f>
        <v>35.6</v>
      </c>
      <c r="K643" s="10">
        <f t="shared" si="47"/>
        <v>17.10233612217796</v>
      </c>
      <c r="L643" s="9">
        <f t="shared" si="48"/>
        <v>3.6174323314606744</v>
      </c>
      <c r="M643" s="8">
        <f t="shared" si="49"/>
        <v>4.7277556440903057</v>
      </c>
      <c r="N643" s="7">
        <f>5*1.82</f>
        <v>9.1</v>
      </c>
      <c r="O643" s="6">
        <v>83.677000000000007</v>
      </c>
      <c r="P643" s="6">
        <v>26.088000000000001</v>
      </c>
      <c r="Q643" s="6">
        <f>O643*1.067</f>
        <v>89.283359000000004</v>
      </c>
      <c r="R643" s="6">
        <f>P643*1.514</f>
        <v>39.497232000000004</v>
      </c>
      <c r="S643" s="23">
        <f>P643*1.514+O643*1.067</f>
        <v>128.78059100000002</v>
      </c>
      <c r="T643" s="6">
        <v>33.5</v>
      </c>
      <c r="U643" s="59">
        <f>0*1.067</f>
        <v>0</v>
      </c>
      <c r="V643" s="59">
        <f>0*1.514</f>
        <v>0</v>
      </c>
      <c r="W643" s="23">
        <f>U643*1.067+V643*1.514</f>
        <v>0</v>
      </c>
      <c r="AB643" s="5">
        <v>80</v>
      </c>
      <c r="AC643" s="7">
        <f>T643</f>
        <v>33.5</v>
      </c>
      <c r="AD643" s="1">
        <v>35.6</v>
      </c>
      <c r="AE643" s="1">
        <f>5*1.29</f>
        <v>6.45</v>
      </c>
      <c r="AF643" s="1">
        <v>0</v>
      </c>
      <c r="AG643" s="1">
        <v>12.54</v>
      </c>
      <c r="AH643" s="20">
        <v>0.51527777777777772</v>
      </c>
      <c r="AJ643" s="2">
        <f>("20:50"-"17:50")*1440</f>
        <v>180</v>
      </c>
      <c r="AK643" s="3">
        <f>180+60</f>
        <v>240</v>
      </c>
      <c r="AL643" s="4">
        <f>AE643</f>
        <v>6.45</v>
      </c>
      <c r="AM643" s="1">
        <f>2*1.57</f>
        <v>3.14</v>
      </c>
      <c r="AN643" s="3">
        <v>40</v>
      </c>
      <c r="AP643" s="13" t="e">
        <f>AVERAGE(AO641:AO647)</f>
        <v>#DIV/0!</v>
      </c>
      <c r="AR643" s="17">
        <f>(E643-W643)/E643</f>
        <v>1</v>
      </c>
      <c r="AS643" s="16">
        <f>(I643-AF643)/I643</f>
        <v>1</v>
      </c>
      <c r="AT643" s="16">
        <f>AG643/(AD643-AF643)</f>
        <v>0.35224719101123592</v>
      </c>
      <c r="AU643" s="61">
        <f>(G643-AM643)/G643</f>
        <v>0.79150066401062413</v>
      </c>
      <c r="AV643" s="57">
        <f>IF(AND(ISNUMBER(E643),ISNUMBER(W643)),E643-W643,"")</f>
        <v>257.56118200000003</v>
      </c>
      <c r="AW643" s="57">
        <f>IF(AND(ISNUMBER(I643),ISNUMBER(AF643)),I643-AF643,"")</f>
        <v>35.6</v>
      </c>
      <c r="AX643" s="57">
        <f>IF(AND(ISNUMBER(AM643),ISNUMBER(G643)),G643-AM643,"")</f>
        <v>11.919999999999998</v>
      </c>
      <c r="AY643" s="57">
        <f>IF(AND(ISNUMBER(AC643),ISNUMBER(AE643)),AC643-AE643,"")</f>
        <v>27.05</v>
      </c>
      <c r="AZ643" s="57">
        <f t="shared" si="46"/>
        <v>3.31</v>
      </c>
      <c r="BA643" s="60" t="str">
        <f>IF(AND($E643&gt;0,$W643&gt;0),IF(($E643-$W643)/$E643&gt;0,($E643-$W643)/$E643,0),"")</f>
        <v/>
      </c>
      <c r="BB643" s="56">
        <f>IF(AND($I643&gt;0,$AF643&gt;=0),IF(($I643-$AF643)/$I643&gt;0,($I643-$AF643)/$I643,0),"")</f>
        <v>1</v>
      </c>
      <c r="BC643" s="56"/>
      <c r="BD643" s="56">
        <f>IF(AND($G643&gt;0,$AM643&gt;0),IF(($G643-$AM643)/$G643&gt;0,($G643-$AM643)/$G643,0),"")</f>
        <v>0.79150066401062413</v>
      </c>
      <c r="BE643" s="6">
        <f>IF((AD643-AF643)/(AJ643/60)&lt;=0,"",(AD643-AF643)/(AJ643/60))</f>
        <v>11.866666666666667</v>
      </c>
      <c r="BF643" s="6"/>
    </row>
    <row r="644" spans="1:58" ht="15.75">
      <c r="B644" s="11">
        <v>45904</v>
      </c>
      <c r="C644" s="1">
        <v>400</v>
      </c>
      <c r="D644" s="3">
        <v>639</v>
      </c>
      <c r="E644" s="205" t="str">
        <f t="shared" si="42"/>
        <v/>
      </c>
      <c r="G644" s="41">
        <f>16</f>
        <v>16</v>
      </c>
      <c r="I644" s="15">
        <f>AD644</f>
        <v>0</v>
      </c>
      <c r="K644" s="10" t="str">
        <f t="shared" si="47"/>
        <v/>
      </c>
      <c r="L644" s="9" t="str">
        <f t="shared" si="48"/>
        <v/>
      </c>
      <c r="M644" s="8" t="str">
        <f t="shared" si="49"/>
        <v/>
      </c>
      <c r="AB644" s="5">
        <v>80</v>
      </c>
      <c r="AF644" s="1">
        <v>0</v>
      </c>
      <c r="AG644" s="1">
        <v>11.7</v>
      </c>
      <c r="AH644" s="20">
        <v>0.51678240740740744</v>
      </c>
      <c r="AJ644" s="2">
        <f>("20:50"-"17:50")*1440</f>
        <v>180</v>
      </c>
      <c r="AK644" s="3">
        <f>180+60</f>
        <v>240</v>
      </c>
      <c r="AN644" s="3">
        <v>40</v>
      </c>
      <c r="AP644" s="13" t="e">
        <f>AVERAGE(AO642:AO648)</f>
        <v>#DIV/0!</v>
      </c>
      <c r="AR644" s="17"/>
      <c r="AS644" s="16"/>
      <c r="AT644" s="16"/>
      <c r="AU644" s="61">
        <f>(G644-AM644)/G644</f>
        <v>1</v>
      </c>
      <c r="AV644" s="57" t="str">
        <f>IF(AND(ISNUMBER(E644),ISNUMBER(W644)),E644-W644,"")</f>
        <v/>
      </c>
      <c r="AW644" s="57">
        <f>IF(AND(ISNUMBER(I644),ISNUMBER(AF644)),I644-AF644,"")</f>
        <v>0</v>
      </c>
      <c r="AX644" s="57" t="str">
        <f>IF(AND(ISNUMBER(AM644),ISNUMBER(G644)),G644-AM644,"")</f>
        <v/>
      </c>
      <c r="AY644" s="57" t="str">
        <f>IF(AND(ISNUMBER(AC644),ISNUMBER(AE644)),AC644-AE644,"")</f>
        <v/>
      </c>
      <c r="AZ644" s="57" t="str">
        <f t="shared" si="46"/>
        <v/>
      </c>
      <c r="BA644" s="60" t="str">
        <f>IF(AND($E644&gt;0,$W644&gt;0),IF(($E644-$W644)/$E644&gt;0,($E644-$W644)/$E644,0),"")</f>
        <v/>
      </c>
      <c r="BB644" s="56" t="str">
        <f>IF(AND($I644&gt;0,$AF644&gt;=0),IF(($I644-$AF644)/$I644&gt;0,($I644-$AF644)/$I644,0),"")</f>
        <v/>
      </c>
      <c r="BC644" s="56"/>
      <c r="BD644" s="56" t="str">
        <f>IF(AND($G644&gt;0,$AM644&gt;0),IF(($G644-$AM644)/$G644&gt;0,($G644-$AM644)/$G644,0),"")</f>
        <v/>
      </c>
      <c r="BE644" s="6" t="str">
        <f>IF((AD644-AF644)/(AJ644/60)&lt;=0,"",(AD644-AF644)/(AJ644/60))</f>
        <v/>
      </c>
      <c r="BF644" s="6"/>
    </row>
    <row r="645" spans="1:58" ht="30">
      <c r="A645" s="12" t="s">
        <v>26</v>
      </c>
      <c r="B645" s="11">
        <v>45905</v>
      </c>
      <c r="C645" s="1">
        <v>401</v>
      </c>
      <c r="D645" s="3">
        <v>640</v>
      </c>
      <c r="E645" s="205">
        <f t="shared" si="42"/>
        <v>224.08426199999997</v>
      </c>
      <c r="G645" s="15">
        <f>(N645*18-H645*18)/9</f>
        <v>17.619999999999997</v>
      </c>
      <c r="H645" s="9">
        <f>2*2.97</f>
        <v>5.94</v>
      </c>
      <c r="I645" s="15">
        <f>AD645</f>
        <v>40.700000000000003</v>
      </c>
      <c r="K645" s="10">
        <f t="shared" si="47"/>
        <v>12.717608513053348</v>
      </c>
      <c r="L645" s="9">
        <f t="shared" si="48"/>
        <v>2.7528779115479112</v>
      </c>
      <c r="M645" s="8">
        <f t="shared" si="49"/>
        <v>4.6197502837684459</v>
      </c>
      <c r="N645" s="7">
        <f>5*2.95</f>
        <v>14.75</v>
      </c>
      <c r="O645" s="6">
        <v>73.881</v>
      </c>
      <c r="P645" s="6">
        <v>21.936</v>
      </c>
      <c r="Q645" s="6">
        <f>O645*1.067</f>
        <v>78.831026999999992</v>
      </c>
      <c r="R645" s="6">
        <f>P645*1.514</f>
        <v>33.211103999999999</v>
      </c>
      <c r="S645" s="23">
        <f>P645*1.514+O645*1.067</f>
        <v>112.04213099999998</v>
      </c>
      <c r="T645" s="6">
        <f>41.4</f>
        <v>41.4</v>
      </c>
      <c r="U645" s="59">
        <f>0*1.067</f>
        <v>0</v>
      </c>
      <c r="V645" s="59">
        <f>0*1.514</f>
        <v>0</v>
      </c>
      <c r="W645" s="23">
        <f>U645*1.067+V645*1.514</f>
        <v>0</v>
      </c>
      <c r="AB645" s="5">
        <v>80</v>
      </c>
      <c r="AC645" s="7">
        <f>T645</f>
        <v>41.4</v>
      </c>
      <c r="AD645" s="1">
        <v>40.700000000000003</v>
      </c>
      <c r="AF645" s="1">
        <v>0</v>
      </c>
      <c r="AG645" s="1">
        <v>12.69</v>
      </c>
      <c r="AH645" s="20">
        <v>0.52083333333333337</v>
      </c>
      <c r="AJ645" s="2">
        <f>("21:15"-"17:50")*1440</f>
        <v>204.99999999999991</v>
      </c>
      <c r="AK645" s="3">
        <f>180+60</f>
        <v>240</v>
      </c>
      <c r="AM645" s="1">
        <f>2*4.84</f>
        <v>9.68</v>
      </c>
      <c r="AN645" s="3">
        <v>40</v>
      </c>
      <c r="AP645" s="13" t="e">
        <f>AVERAGE(AO643:AO649)</f>
        <v>#DIV/0!</v>
      </c>
      <c r="AR645" s="17">
        <f>(E645-W645)/E645</f>
        <v>1</v>
      </c>
      <c r="AS645" s="16">
        <f>(I645-AF645)/I645</f>
        <v>1</v>
      </c>
      <c r="AT645" s="16">
        <f>AG645/(AD645-AF645)</f>
        <v>0.31179361179361176</v>
      </c>
      <c r="AU645" s="16">
        <f>(G645-AM645)/G645</f>
        <v>0.45062429057888759</v>
      </c>
      <c r="AV645" s="57">
        <f>IF(AND(ISNUMBER(E645),ISNUMBER(W645)),E645-W645,"")</f>
        <v>224.08426199999997</v>
      </c>
      <c r="AW645" s="57">
        <f>IF(AND(ISNUMBER(I645),ISNUMBER(AF645)),I645-AF645,"")</f>
        <v>40.700000000000003</v>
      </c>
      <c r="AX645" s="57">
        <f>IF(AND(ISNUMBER(AM645),ISNUMBER(G645)),G645-AM645,"")</f>
        <v>7.9399999999999977</v>
      </c>
      <c r="AY645" s="57" t="str">
        <f>IF(AND(ISNUMBER(AC645),ISNUMBER(AE645)),AC645-AE645,"")</f>
        <v/>
      </c>
      <c r="AZ645" s="57" t="str">
        <f t="shared" si="46"/>
        <v/>
      </c>
      <c r="BA645" s="56" t="str">
        <f>IF(AND($E645&gt;0,$W645&gt;0),IF(($E645-$W645)/$E645&gt;0,($E645-$W645)/$E645,0),"")</f>
        <v/>
      </c>
      <c r="BB645" s="56">
        <f>IF(AND($I645&gt;0,$AF645&gt;=0),IF(($I645-$AF645)/$I645&gt;0,($I645-$AF645)/$I645,0),"")</f>
        <v>1</v>
      </c>
      <c r="BC645" s="56"/>
      <c r="BD645" s="56">
        <f>IF(AND($G645&gt;0,$AM645&gt;0),IF(($G645-$AM645)/$G645&gt;0,($G645-$AM645)/$G645,0),"")</f>
        <v>0.45062429057888759</v>
      </c>
      <c r="BE645" s="6">
        <f>IF((AD645-AF645)/(AJ645/60)&lt;=0,"",(AD645-AF645)/(AJ645/60))</f>
        <v>11.912195121951225</v>
      </c>
      <c r="BF645" s="6"/>
    </row>
    <row r="646" spans="1:58" ht="15.75">
      <c r="B646" s="11">
        <v>45906</v>
      </c>
      <c r="C646" s="1">
        <v>402</v>
      </c>
      <c r="D646" s="3">
        <v>641</v>
      </c>
      <c r="E646" s="205" t="str">
        <f t="shared" si="42"/>
        <v/>
      </c>
      <c r="I646" s="15">
        <f>AD646</f>
        <v>0</v>
      </c>
      <c r="K646" s="10" t="str">
        <f t="shared" si="47"/>
        <v/>
      </c>
      <c r="L646" s="9" t="str">
        <f t="shared" si="48"/>
        <v/>
      </c>
      <c r="M646" s="8" t="str">
        <f t="shared" si="49"/>
        <v/>
      </c>
      <c r="AB646" s="5">
        <v>80</v>
      </c>
      <c r="AF646" s="1">
        <v>0</v>
      </c>
      <c r="AG646" s="1">
        <v>9.52</v>
      </c>
      <c r="AH646" s="20">
        <v>0.50115740740740744</v>
      </c>
      <c r="AJ646" s="2">
        <f>("20:10"-"17:50")*1440</f>
        <v>139.99999999999997</v>
      </c>
      <c r="AK646" s="3">
        <f>180+60</f>
        <v>240</v>
      </c>
      <c r="AN646" s="3">
        <v>40</v>
      </c>
      <c r="AP646" s="13" t="e">
        <f>AVERAGE(AO644:AO650)</f>
        <v>#DIV/0!</v>
      </c>
      <c r="AR646" s="17"/>
      <c r="AS646" s="16"/>
      <c r="AT646" s="16"/>
      <c r="AU646" s="16"/>
      <c r="AV646" s="57" t="str">
        <f>IF(AND(ISNUMBER(E646),ISNUMBER(W646)),E646-W646,"")</f>
        <v/>
      </c>
      <c r="AW646" s="57">
        <f>IF(AND(ISNUMBER(I646),ISNUMBER(AF646)),I646-AF646,"")</f>
        <v>0</v>
      </c>
      <c r="AX646" s="57" t="str">
        <f>IF(AND(ISNUMBER(AM646),ISNUMBER(G646)),G646-AM646,"")</f>
        <v/>
      </c>
      <c r="AY646" s="57" t="str">
        <f>IF(AND(ISNUMBER(AC646),ISNUMBER(AE646)),AC646-AE646,"")</f>
        <v/>
      </c>
      <c r="AZ646" s="57" t="str">
        <f t="shared" si="46"/>
        <v/>
      </c>
      <c r="BA646" s="56" t="str">
        <f>IF(AND($E646&gt;0,$W646&gt;0),IF(($E646-$W646)/$E646&gt;0,($E646-$W646)/$E646,0),"")</f>
        <v/>
      </c>
      <c r="BB646" s="56" t="str">
        <f>IF(AND($I646&gt;0,$AF646&gt;=0),IF(($I646-$AF646)/$I646&gt;0,($I646-$AF646)/$I646,0),"")</f>
        <v/>
      </c>
      <c r="BC646" s="56"/>
      <c r="BD646" s="56" t="str">
        <f>IF(AND($G646&gt;0,$AM646&gt;0),IF(($G646-$AM646)/$G646&gt;0,($G646-$AM646)/$G646,0),"")</f>
        <v/>
      </c>
      <c r="BE646" s="6" t="str">
        <f>IF((AD646-AF646)/(AJ646/60)&lt;=0,"",(AD646-AF646)/(AJ646/60))</f>
        <v/>
      </c>
      <c r="BF646" s="6"/>
    </row>
    <row r="647" spans="1:58" ht="15.75">
      <c r="A647" s="12" t="s">
        <v>25</v>
      </c>
      <c r="B647" s="11">
        <v>45907</v>
      </c>
      <c r="C647" s="1">
        <v>403</v>
      </c>
      <c r="D647" s="3">
        <v>642</v>
      </c>
      <c r="E647" s="205" t="str">
        <f t="shared" ref="E647:E710" si="50">IF(OR(S647="",S647=0),"",S647*2)</f>
        <v/>
      </c>
      <c r="I647" s="15">
        <f>AD647</f>
        <v>0</v>
      </c>
      <c r="K647" s="10" t="str">
        <f t="shared" si="47"/>
        <v/>
      </c>
      <c r="L647" s="9" t="str">
        <f t="shared" si="48"/>
        <v/>
      </c>
      <c r="M647" s="8" t="str">
        <f t="shared" si="49"/>
        <v/>
      </c>
      <c r="AB647" s="5">
        <v>80</v>
      </c>
      <c r="AF647" s="1">
        <v>0</v>
      </c>
      <c r="AG647" s="1">
        <v>9.15</v>
      </c>
      <c r="AH647" s="20">
        <v>0.47199074074074077</v>
      </c>
      <c r="AJ647" s="2">
        <f>("19:45"-"17:50")*1440</f>
        <v>114.99999999999991</v>
      </c>
      <c r="AK647" s="3">
        <f>180+60</f>
        <v>240</v>
      </c>
      <c r="AL647" s="4">
        <f>5*3.62</f>
        <v>18.100000000000001</v>
      </c>
      <c r="AM647" s="1">
        <f>2*7.02</f>
        <v>14.04</v>
      </c>
      <c r="AN647" s="3">
        <v>40</v>
      </c>
      <c r="AP647" s="13" t="e">
        <f>AVERAGE(AO645:AO651)</f>
        <v>#DIV/0!</v>
      </c>
      <c r="AR647" s="17"/>
      <c r="AS647" s="16"/>
      <c r="AT647" s="16"/>
      <c r="AU647" s="16"/>
      <c r="AV647" s="57" t="str">
        <f>IF(AND(ISNUMBER(E647),ISNUMBER(W647)),E647-W647,"")</f>
        <v/>
      </c>
      <c r="AW647" s="57">
        <f>IF(AND(ISNUMBER(I647),ISNUMBER(AF647)),I647-AF647,"")</f>
        <v>0</v>
      </c>
      <c r="AX647" s="57" t="str">
        <f>IF(AND(ISNUMBER(AM647),ISNUMBER(G647)),G647-AM647,"")</f>
        <v/>
      </c>
      <c r="AY647" s="57" t="str">
        <f>IF(AND(ISNUMBER(AC647),ISNUMBER(AE647)),AC647-AE647,"")</f>
        <v/>
      </c>
      <c r="AZ647" s="57">
        <f t="shared" si="46"/>
        <v>4.0600000000000023</v>
      </c>
      <c r="BA647" s="56" t="str">
        <f>IF(AND($E647&gt;0,$W647&gt;0),IF(($E647-$W647)/$E647&gt;0,($E647-$W647)/$E647,0),"")</f>
        <v/>
      </c>
      <c r="BB647" s="56" t="str">
        <f>IF(AND($I647&gt;0,$AF647&gt;=0),IF(($I647-$AF647)/$I647&gt;0,($I647-$AF647)/$I647,0),"")</f>
        <v/>
      </c>
      <c r="BC647" s="56"/>
      <c r="BD647" s="56" t="str">
        <f>IF(AND($G647&gt;0,$AM647&gt;0),IF(($G647-$AM647)/$G647&gt;0,($G647-$AM647)/$G647,0),"")</f>
        <v/>
      </c>
      <c r="BE647" s="6" t="str">
        <f>IF((AD647-AF647)/(AJ647/60)&lt;=0,"",(AD647-AF647)/(AJ647/60))</f>
        <v/>
      </c>
      <c r="BF647" s="6"/>
    </row>
    <row r="648" spans="1:58" ht="15.75">
      <c r="B648" s="11">
        <v>45908</v>
      </c>
      <c r="C648" s="1">
        <v>404</v>
      </c>
      <c r="D648" s="3">
        <v>643</v>
      </c>
      <c r="E648" s="205" t="str">
        <f t="shared" si="50"/>
        <v/>
      </c>
      <c r="I648" s="15">
        <f>AD648</f>
        <v>0</v>
      </c>
      <c r="K648" s="10" t="str">
        <f t="shared" si="47"/>
        <v/>
      </c>
      <c r="L648" s="9" t="str">
        <f t="shared" si="48"/>
        <v/>
      </c>
      <c r="M648" s="8" t="str">
        <f t="shared" si="49"/>
        <v/>
      </c>
      <c r="AB648" s="5">
        <v>80</v>
      </c>
      <c r="AF648" s="1">
        <v>0</v>
      </c>
      <c r="AG648" s="1">
        <v>11.29</v>
      </c>
      <c r="AH648" s="20">
        <v>0.48252314814814817</v>
      </c>
      <c r="AJ648" s="2">
        <f>("12:10"-"10:00")*1440</f>
        <v>129.99999999999994</v>
      </c>
      <c r="AK648" s="3">
        <f>180+60</f>
        <v>240</v>
      </c>
      <c r="AL648" s="4">
        <f>5*3.62</f>
        <v>18.100000000000001</v>
      </c>
      <c r="AM648" s="1">
        <f>2*6.18</f>
        <v>12.36</v>
      </c>
      <c r="AN648" s="3">
        <v>40</v>
      </c>
      <c r="AP648" s="13">
        <f>AVERAGE(AO646:AO652)</f>
        <v>3919.9999999999818</v>
      </c>
      <c r="AR648" s="17"/>
      <c r="AS648" s="16"/>
      <c r="AT648" s="16"/>
      <c r="AU648" s="16"/>
      <c r="AV648" s="57" t="str">
        <f>IF(AND(ISNUMBER(E648),ISNUMBER(W648)),E648-W648,"")</f>
        <v/>
      </c>
      <c r="AW648" s="57">
        <f>IF(AND(ISNUMBER(I648),ISNUMBER(AF648)),I648-AF648,"")</f>
        <v>0</v>
      </c>
      <c r="AX648" s="57" t="str">
        <f>IF(AND(ISNUMBER(AM648),ISNUMBER(G648)),G648-AM648,"")</f>
        <v/>
      </c>
      <c r="AY648" s="57" t="str">
        <f>IF(AND(ISNUMBER(AC648),ISNUMBER(AE648)),AC648-AE648,"")</f>
        <v/>
      </c>
      <c r="AZ648" s="57">
        <f t="shared" si="46"/>
        <v>5.740000000000002</v>
      </c>
      <c r="BA648" s="56" t="str">
        <f>IF(AND($E648&gt;0,$W648&gt;0),IF(($E648-$W648)/$E648&gt;0,($E648-$W648)/$E648,0),"")</f>
        <v/>
      </c>
      <c r="BB648" s="56" t="str">
        <f>IF(AND($I648&gt;0,$AF648&gt;=0),IF(($I648-$AF648)/$I648&gt;0,($I648-$AF648)/$I648,0),"")</f>
        <v/>
      </c>
      <c r="BC648" s="56"/>
      <c r="BD648" s="56" t="str">
        <f>IF(AND($G648&gt;0,$AM648&gt;0),IF(($G648-$AM648)/$G648&gt;0,($G648-$AM648)/$G648,0),"")</f>
        <v/>
      </c>
      <c r="BE648" s="6" t="str">
        <f>IF((AD648-AF648)/(AJ648/60)&lt;=0,"",(AD648-AF648)/(AJ648/60))</f>
        <v/>
      </c>
      <c r="BF648" s="6" t="str">
        <f>IF(OR(AJ648=0,AP648=0,NOT(ISNUMBER(AD648)),NOT(ISNUMBER(AF648)),NOT(ISNUMBER(AJ648)),NOT(ISNUMBER(AP648))),"",
IFERROR(IF((AD648-AF648)/(AJ648/60)/(AP648/1000)&lt;=0,"",(AD648-AF648)/(AJ648/60)/(AP648/1000)),""))</f>
        <v/>
      </c>
    </row>
    <row r="649" spans="1:58" ht="15.75">
      <c r="B649" s="11">
        <v>45909</v>
      </c>
      <c r="C649" s="1">
        <v>405</v>
      </c>
      <c r="D649" s="3">
        <v>644</v>
      </c>
      <c r="E649" s="205" t="str">
        <f t="shared" si="50"/>
        <v/>
      </c>
      <c r="I649" s="15">
        <f>AD649</f>
        <v>0</v>
      </c>
      <c r="K649" s="10" t="str">
        <f t="shared" si="47"/>
        <v/>
      </c>
      <c r="L649" s="9" t="str">
        <f t="shared" si="48"/>
        <v/>
      </c>
      <c r="M649" s="8" t="str">
        <f t="shared" si="49"/>
        <v/>
      </c>
      <c r="AB649" s="5">
        <v>80</v>
      </c>
      <c r="AF649" s="1">
        <v>0</v>
      </c>
      <c r="AG649" s="1">
        <v>2.04</v>
      </c>
      <c r="AH649" s="20">
        <v>0.51967592592592593</v>
      </c>
      <c r="AJ649" s="2">
        <f>("21:15"-"17:50")*1440</f>
        <v>204.99999999999991</v>
      </c>
      <c r="AK649" s="3">
        <f>180+60</f>
        <v>240</v>
      </c>
      <c r="AN649" s="3">
        <v>40</v>
      </c>
      <c r="AP649" s="13">
        <f>AVERAGE(AO647:AO653)</f>
        <v>3919.9999999999818</v>
      </c>
      <c r="AR649" s="17"/>
      <c r="AS649" s="16"/>
      <c r="AT649" s="16"/>
      <c r="AU649" s="16"/>
      <c r="AV649" s="57" t="str">
        <f>IF(AND(ISNUMBER(E649),ISNUMBER(W649)),E649-W649,"")</f>
        <v/>
      </c>
      <c r="AW649" s="57">
        <f>IF(AND(ISNUMBER(I649),ISNUMBER(AF649)),I649-AF649,"")</f>
        <v>0</v>
      </c>
      <c r="AX649" s="57" t="str">
        <f>IF(AND(ISNUMBER(AM649),ISNUMBER(G649)),G649-AM649,"")</f>
        <v/>
      </c>
      <c r="AY649" s="57" t="str">
        <f>IF(AND(ISNUMBER(AC649),ISNUMBER(AE649)),AC649-AE649,"")</f>
        <v/>
      </c>
      <c r="AZ649" s="57" t="str">
        <f t="shared" si="46"/>
        <v/>
      </c>
      <c r="BA649" s="56" t="str">
        <f>IF(AND($E649&gt;0,$W649&gt;0),IF(($E649-$W649)/$E649&gt;0,($E649-$W649)/$E649,0),"")</f>
        <v/>
      </c>
      <c r="BB649" s="56" t="str">
        <f>IF(AND($I649&gt;0,$AF649&gt;=0),IF(($I649-$AF649)/$I649&gt;0,($I649-$AF649)/$I649,0),"")</f>
        <v/>
      </c>
      <c r="BC649" s="56"/>
      <c r="BD649" s="56" t="str">
        <f>IF(AND($G649&gt;0,$AM649&gt;0),IF(($G649-$AM649)/$G649&gt;0,($G649-$AM649)/$G649,0),"")</f>
        <v/>
      </c>
      <c r="BE649" s="6" t="str">
        <f>IF((AD649-AF649)/(AJ649/60)&lt;=0,"",(AD649-AF649)/(AJ649/60))</f>
        <v/>
      </c>
      <c r="BF649" s="6" t="str">
        <f>IF(OR(AJ649=0,AP649=0,NOT(ISNUMBER(AD649)),NOT(ISNUMBER(AF649)),NOT(ISNUMBER(AJ649)),NOT(ISNUMBER(AP649))),"",
IFERROR(IF((AD649-AF649)/(AJ649/60)/(AP649/1000)&lt;=0,"",(AD649-AF649)/(AJ649/60)/(AP649/1000)),""))</f>
        <v/>
      </c>
    </row>
    <row r="650" spans="1:58" ht="15.75">
      <c r="B650" s="11">
        <v>45910</v>
      </c>
      <c r="C650" s="1">
        <v>406</v>
      </c>
      <c r="D650" s="3">
        <v>645</v>
      </c>
      <c r="E650" s="205" t="str">
        <f t="shared" si="50"/>
        <v/>
      </c>
      <c r="I650" s="15">
        <f>AD650</f>
        <v>0</v>
      </c>
      <c r="K650" s="10" t="str">
        <f t="shared" si="47"/>
        <v/>
      </c>
      <c r="L650" s="9" t="str">
        <f t="shared" si="48"/>
        <v/>
      </c>
      <c r="M650" s="8" t="str">
        <f t="shared" si="49"/>
        <v/>
      </c>
      <c r="AB650" s="5">
        <v>80</v>
      </c>
      <c r="AF650" s="1">
        <v>0</v>
      </c>
      <c r="AG650" s="1">
        <v>8.0500000000000007</v>
      </c>
      <c r="AH650" s="20">
        <v>0.49212962962962964</v>
      </c>
      <c r="AJ650" s="2">
        <f>("21:35"-"17:50")*1440</f>
        <v>225</v>
      </c>
      <c r="AK650" s="3">
        <f>180+60</f>
        <v>240</v>
      </c>
      <c r="AN650" s="3">
        <v>40</v>
      </c>
      <c r="AP650" s="13">
        <f>AVERAGE(AO648:AO654)</f>
        <v>3919.9999999999818</v>
      </c>
      <c r="AR650" s="17"/>
      <c r="AS650" s="16"/>
      <c r="AT650" s="16"/>
      <c r="AU650" s="16"/>
      <c r="AV650" s="57" t="str">
        <f>IF(AND(ISNUMBER(E650),ISNUMBER(W650)),E650-W650,"")</f>
        <v/>
      </c>
      <c r="AW650" s="57">
        <f>IF(AND(ISNUMBER(I650),ISNUMBER(AF650)),I650-AF650,"")</f>
        <v>0</v>
      </c>
      <c r="AX650" s="57" t="str">
        <f>IF(AND(ISNUMBER(AM650),ISNUMBER(G650)),G650-AM650,"")</f>
        <v/>
      </c>
      <c r="AY650" s="57" t="str">
        <f>IF(AND(ISNUMBER(AC650),ISNUMBER(AE650)),AC650-AE650,"")</f>
        <v/>
      </c>
      <c r="AZ650" s="57" t="str">
        <f t="shared" si="46"/>
        <v/>
      </c>
      <c r="BA650" s="56" t="str">
        <f>IF(AND($E650&gt;0,$W650&gt;0),IF(($E650-$W650)/$E650&gt;0,($E650-$W650)/$E650,0),"")</f>
        <v/>
      </c>
      <c r="BB650" s="56" t="str">
        <f>IF(AND($I650&gt;0,$AF650&gt;=0),IF(($I650-$AF650)/$I650&gt;0,($I650-$AF650)/$I650,0),"")</f>
        <v/>
      </c>
      <c r="BC650" s="56"/>
      <c r="BD650" s="56" t="str">
        <f>IF(AND($G650&gt;0,$AM650&gt;0),IF(($G650-$AM650)/$G650&gt;0,($G650-$AM650)/$G650,0),"")</f>
        <v/>
      </c>
      <c r="BE650" s="6" t="str">
        <f>IF((AD650-AF650)/(AJ650/60)&lt;=0,"",(AD650-AF650)/(AJ650/60))</f>
        <v/>
      </c>
      <c r="BF650" s="6" t="str">
        <f>IF(OR(AJ650=0,AP650=0,NOT(ISNUMBER(AD650)),NOT(ISNUMBER(AF650)),NOT(ISNUMBER(AJ650)),NOT(ISNUMBER(AP650))),"",
IFERROR(IF((AD650-AF650)/(AJ650/60)/(AP650/1000)&lt;=0,"",(AD650-AF650)/(AJ650/60)/(AP650/1000)),""))</f>
        <v/>
      </c>
    </row>
    <row r="651" spans="1:58" ht="15.75">
      <c r="B651" s="11">
        <v>45911</v>
      </c>
      <c r="C651" s="1">
        <v>407</v>
      </c>
      <c r="D651" s="3">
        <v>646</v>
      </c>
      <c r="E651" s="205" t="str">
        <f t="shared" si="50"/>
        <v/>
      </c>
      <c r="I651" s="15">
        <f>AD651</f>
        <v>0</v>
      </c>
      <c r="K651" s="10" t="str">
        <f t="shared" si="47"/>
        <v/>
      </c>
      <c r="L651" s="9" t="str">
        <f t="shared" si="48"/>
        <v/>
      </c>
      <c r="M651" s="8" t="str">
        <f t="shared" si="49"/>
        <v/>
      </c>
      <c r="AB651" s="5">
        <v>80</v>
      </c>
      <c r="AF651" s="1">
        <v>0</v>
      </c>
      <c r="AG651" s="1">
        <v>9.4499999999999993</v>
      </c>
      <c r="AH651" s="20">
        <v>0.5200231481481481</v>
      </c>
      <c r="AJ651" s="2">
        <f>("21:05"-"17:50")*1440</f>
        <v>194.99999999999994</v>
      </c>
      <c r="AK651" s="3">
        <f>180+60</f>
        <v>240</v>
      </c>
      <c r="AN651" s="3">
        <v>40</v>
      </c>
      <c r="AP651" s="13">
        <f>AVERAGE(AO649:AO655)</f>
        <v>3919.9999999999818</v>
      </c>
      <c r="AR651" s="17"/>
      <c r="AS651" s="16"/>
      <c r="AT651" s="16"/>
      <c r="AU651" s="16"/>
      <c r="AV651" s="57" t="str">
        <f>IF(AND(ISNUMBER(E651),ISNUMBER(W651)),E651-W651,"")</f>
        <v/>
      </c>
      <c r="AW651" s="57">
        <f>IF(AND(ISNUMBER(I651),ISNUMBER(AF651)),I651-AF651,"")</f>
        <v>0</v>
      </c>
      <c r="AX651" s="57" t="str">
        <f>IF(AND(ISNUMBER(AM651),ISNUMBER(G651)),G651-AM651,"")</f>
        <v/>
      </c>
      <c r="AY651" s="57" t="str">
        <f>IF(AND(ISNUMBER(AC651),ISNUMBER(AE651)),AC651-AE651,"")</f>
        <v/>
      </c>
      <c r="AZ651" s="57" t="str">
        <f t="shared" si="46"/>
        <v/>
      </c>
      <c r="BA651" s="56" t="str">
        <f>IF(AND($E651&gt;0,$W651&gt;0),IF(($E651-$W651)/$E651&gt;0,($E651-$W651)/$E651,0),"")</f>
        <v/>
      </c>
      <c r="BB651" s="56" t="str">
        <f>IF(AND($I651&gt;0,$AF651&gt;=0),IF(($I651-$AF651)/$I651&gt;0,($I651-$AF651)/$I651,0),"")</f>
        <v/>
      </c>
      <c r="BC651" s="56"/>
      <c r="BD651" s="56" t="str">
        <f>IF(AND($G651&gt;0,$AM651&gt;0),IF(($G651-$AM651)/$G651&gt;0,($G651-$AM651)/$G651,0),"")</f>
        <v/>
      </c>
      <c r="BE651" s="6" t="str">
        <f>IF((AD651-AF651)/(AJ651/60)&lt;=0,"",(AD651-AF651)/(AJ651/60))</f>
        <v/>
      </c>
      <c r="BF651" s="6" t="str">
        <f>IF(OR(AJ651=0,AP651=0,NOT(ISNUMBER(AD651)),NOT(ISNUMBER(AF651)),NOT(ISNUMBER(AJ651)),NOT(ISNUMBER(AP651))),"",
IFERROR(IF((AD651-AF651)/(AJ651/60)/(AP651/1000)&lt;=0,"",(AD651-AF651)/(AJ651/60)/(AP651/1000)),""))</f>
        <v/>
      </c>
    </row>
    <row r="652" spans="1:58" ht="15.75">
      <c r="A652" s="12" t="s">
        <v>24</v>
      </c>
      <c r="B652" s="11">
        <v>45912</v>
      </c>
      <c r="C652" s="1">
        <v>408</v>
      </c>
      <c r="D652" s="3">
        <v>647</v>
      </c>
      <c r="E652" s="205">
        <f t="shared" si="50"/>
        <v>240.21077599999995</v>
      </c>
      <c r="G652" s="15">
        <f>(N652*18-H652*18)/9</f>
        <v>13.839999999999998</v>
      </c>
      <c r="H652" s="9">
        <f>2*2.59</f>
        <v>5.18</v>
      </c>
      <c r="I652" s="15">
        <f>AD652</f>
        <v>30.3</v>
      </c>
      <c r="K652" s="10">
        <f t="shared" si="47"/>
        <v>17.35626994219653</v>
      </c>
      <c r="L652" s="9">
        <f t="shared" si="48"/>
        <v>3.9638741914191411</v>
      </c>
      <c r="M652" s="8">
        <f t="shared" si="49"/>
        <v>4.3786127167630067</v>
      </c>
      <c r="N652" s="10">
        <f>5*2.42</f>
        <v>12.1</v>
      </c>
      <c r="O652" s="6">
        <v>77.349999999999994</v>
      </c>
      <c r="P652" s="6">
        <v>24.817</v>
      </c>
      <c r="Q652" s="6">
        <f>O652*1.067</f>
        <v>82.532449999999983</v>
      </c>
      <c r="R652" s="6">
        <f>P652*1.514</f>
        <v>37.572938000000001</v>
      </c>
      <c r="S652" s="23">
        <f>P652*1.514+O652*1.067</f>
        <v>120.10538799999998</v>
      </c>
      <c r="T652" s="6">
        <v>38.9</v>
      </c>
      <c r="U652" s="59">
        <f>0.198*1.067</f>
        <v>0.21126600000000001</v>
      </c>
      <c r="V652" s="59">
        <f>0*1.514</f>
        <v>0</v>
      </c>
      <c r="W652" s="23">
        <f>U652*1.067+V652*1.514</f>
        <v>0.22542082199999999</v>
      </c>
      <c r="AB652" s="5">
        <v>80</v>
      </c>
      <c r="AC652" s="7">
        <f>T652</f>
        <v>38.9</v>
      </c>
      <c r="AD652" s="1">
        <v>30.3</v>
      </c>
      <c r="AE652" s="1">
        <f>5*2.74</f>
        <v>13.700000000000001</v>
      </c>
      <c r="AF652" s="1">
        <v>0</v>
      </c>
      <c r="AG652" s="1">
        <v>9.18</v>
      </c>
      <c r="AH652" s="20">
        <v>0.515625</v>
      </c>
      <c r="AJ652" s="2">
        <f>("13:00"-"10:00")*1440</f>
        <v>179.99999999999991</v>
      </c>
      <c r="AK652" s="3">
        <f>180+60</f>
        <v>240</v>
      </c>
      <c r="AL652" s="4">
        <f>AE652</f>
        <v>13.700000000000001</v>
      </c>
      <c r="AM652" s="1">
        <f>2*5.53</f>
        <v>11.06</v>
      </c>
      <c r="AN652" s="3">
        <v>40</v>
      </c>
      <c r="AO652" s="2">
        <v>3919.9999999999818</v>
      </c>
      <c r="AP652" s="13">
        <f>AVERAGE(AO650:AO656)</f>
        <v>3919.9999999999818</v>
      </c>
      <c r="AR652" s="17">
        <f>(E652-W652)/E652</f>
        <v>0.99906157073486168</v>
      </c>
      <c r="AS652" s="16">
        <f>(I652-AF652)/I652</f>
        <v>1</v>
      </c>
      <c r="AT652" s="16">
        <f>AG652/(AD652-AF652)</f>
        <v>0.30297029702970296</v>
      </c>
      <c r="AU652" s="16">
        <f>(G652-AM652)/G652</f>
        <v>0.20086705202312125</v>
      </c>
      <c r="AV652" s="57">
        <f>IF(AND(ISNUMBER(E652),ISNUMBER(W652)),E652-W652,"")</f>
        <v>239.98535517799996</v>
      </c>
      <c r="AW652" s="57">
        <f>IF(AND(ISNUMBER(I652),ISNUMBER(AF652)),I652-AF652,"")</f>
        <v>30.3</v>
      </c>
      <c r="AX652" s="57">
        <f>IF(AND(ISNUMBER(AM652),ISNUMBER(G652)),G652-AM652,"")</f>
        <v>2.7799999999999976</v>
      </c>
      <c r="AY652" s="57">
        <f>IF(AND(ISNUMBER(AC652),ISNUMBER(AE652)),AC652-AE652,"")</f>
        <v>25.199999999999996</v>
      </c>
      <c r="AZ652" s="57">
        <f t="shared" si="46"/>
        <v>2.6400000000000006</v>
      </c>
      <c r="BA652" s="56">
        <f>IF(AND($E652&gt;0,$W652&gt;0),IF(($E652-$W652)/$E652&gt;0,($E652-$W652)/$E652,0),"")</f>
        <v>0.99906157073486168</v>
      </c>
      <c r="BB652" s="56">
        <f>IF(AND($I652&gt;0,$AF652&gt;=0),IF(($I652-$AF652)/$I652&gt;0,($I652-$AF652)/$I652,0),"")</f>
        <v>1</v>
      </c>
      <c r="BC652" s="56"/>
      <c r="BD652" s="56">
        <f>IF(AND($G652&gt;0,$AM652&gt;0),IF(($G652-$AM652)/$G652&gt;0,($G652-$AM652)/$G652,0),"")</f>
        <v>0.20086705202312125</v>
      </c>
      <c r="BE652" s="6">
        <f>IF((AD652-AF652)/(AJ652/60)&lt;=0,"",(AD652-AF652)/(AJ652/60))</f>
        <v>10.100000000000005</v>
      </c>
      <c r="BF652" s="6">
        <f>IF(OR(AJ652=0,AP652=0,NOT(ISNUMBER(AD652)),NOT(ISNUMBER(AF652)),NOT(ISNUMBER(AJ652)),NOT(ISNUMBER(AP652))),"",
IFERROR(IF((AD652-AF652)/(AJ652/60)/(AP652/1000)&lt;=0,"",(AD652-AF652)/(AJ652/60)/(AP652/1000)),""))</f>
        <v>2.5765306122449112</v>
      </c>
    </row>
    <row r="653" spans="1:58" ht="15.75">
      <c r="B653" s="11">
        <v>45913</v>
      </c>
      <c r="C653" s="1">
        <v>409</v>
      </c>
      <c r="D653" s="3">
        <v>648</v>
      </c>
      <c r="E653" s="205" t="str">
        <f t="shared" si="50"/>
        <v/>
      </c>
      <c r="I653" s="15">
        <f>AD653</f>
        <v>36.200000000000003</v>
      </c>
      <c r="K653" s="10" t="str">
        <f t="shared" si="47"/>
        <v/>
      </c>
      <c r="L653" s="9" t="str">
        <f t="shared" si="48"/>
        <v/>
      </c>
      <c r="M653" s="8" t="str">
        <f t="shared" si="49"/>
        <v/>
      </c>
      <c r="AB653" s="5">
        <v>80</v>
      </c>
      <c r="AC653" s="4">
        <v>26.6</v>
      </c>
      <c r="AD653" s="1">
        <v>36.200000000000003</v>
      </c>
      <c r="AE653" s="1">
        <f>5*1.24</f>
        <v>6.2</v>
      </c>
      <c r="AF653" s="1">
        <v>0</v>
      </c>
      <c r="AG653" s="1">
        <v>8.68</v>
      </c>
      <c r="AH653" s="20">
        <v>0.52083333333333337</v>
      </c>
      <c r="AJ653" s="1">
        <v>101</v>
      </c>
      <c r="AK653" s="3">
        <f>180+60</f>
        <v>240</v>
      </c>
      <c r="AL653" s="4">
        <f>AE653</f>
        <v>6.2</v>
      </c>
      <c r="AM653" s="1">
        <v>0</v>
      </c>
      <c r="AN653" s="3">
        <v>40</v>
      </c>
      <c r="AP653" s="13">
        <f>AVERAGE(AO651:AO657)</f>
        <v>3565.0000000000091</v>
      </c>
      <c r="AR653" s="17"/>
      <c r="AS653" s="16">
        <f>(I653-AF653)/I653</f>
        <v>1</v>
      </c>
      <c r="AT653" s="16">
        <f>AG653/(AD653-AF653)</f>
        <v>0.23977900552486184</v>
      </c>
      <c r="AU653" s="16"/>
      <c r="AV653" s="57" t="str">
        <f>IF(AND(ISNUMBER(E653),ISNUMBER(W653)),E653-W653,"")</f>
        <v/>
      </c>
      <c r="AW653" s="57">
        <f>IF(AND(ISNUMBER(I653),ISNUMBER(AF653)),I653-AF653,"")</f>
        <v>36.200000000000003</v>
      </c>
      <c r="AX653" s="57" t="str">
        <f>IF(AND(ISNUMBER(AM653),ISNUMBER(G653)),G653-AM653,"")</f>
        <v/>
      </c>
      <c r="AY653" s="57">
        <f>IF(AND(ISNUMBER(AC653),ISNUMBER(AE653)),AC653-AE653,"")</f>
        <v>20.400000000000002</v>
      </c>
      <c r="AZ653" s="57">
        <f t="shared" si="46"/>
        <v>6.2</v>
      </c>
      <c r="BA653" s="56" t="str">
        <f>IF(AND($E653&gt;0,$W653&gt;0),IF(($E653-$W653)/$E653&gt;0,($E653-$W653)/$E653,0),"")</f>
        <v/>
      </c>
      <c r="BB653" s="56">
        <f>IF(AND($I653&gt;0,$AF653&gt;=0),IF(($I653-$AF653)/$I653&gt;0,($I653-$AF653)/$I653,0),"")</f>
        <v>1</v>
      </c>
      <c r="BC653" s="56"/>
      <c r="BD653" s="56" t="str">
        <f>IF(AND($G653&gt;0,$AM653&gt;0),IF(($G653-$AM653)/$G653&gt;0,($G653-$AM653)/$G653,0),"")</f>
        <v/>
      </c>
      <c r="BE653" s="6">
        <f>IF((AD653-AF653)/(AJ653/60)&lt;=0,"",(AD653-AF653)/(AJ653/60))</f>
        <v>21.504950495049506</v>
      </c>
      <c r="BF653" s="6">
        <f>IF(OR(AJ653=0,AP653=0,NOT(ISNUMBER(AD653)),NOT(ISNUMBER(AF653)),NOT(ISNUMBER(AJ653)),NOT(ISNUMBER(AP653))),"",
IFERROR(IF((AD653-AF653)/(AJ653/60)/(AP653/1000)&lt;=0,"",(AD653-AF653)/(AJ653/60)/(AP653/1000)),""))</f>
        <v>6.032244178134488</v>
      </c>
    </row>
    <row r="654" spans="1:58" ht="15.75">
      <c r="B654" s="11">
        <v>45914</v>
      </c>
      <c r="C654" s="1">
        <v>410</v>
      </c>
      <c r="D654" s="3">
        <v>649</v>
      </c>
      <c r="E654" s="205" t="str">
        <f t="shared" si="50"/>
        <v/>
      </c>
      <c r="F654" s="11"/>
      <c r="G654" s="11"/>
      <c r="H654" s="11"/>
      <c r="I654" s="15">
        <f>AD654</f>
        <v>0</v>
      </c>
      <c r="K654" s="10" t="str">
        <f t="shared" si="47"/>
        <v/>
      </c>
      <c r="L654" s="9" t="str">
        <f t="shared" si="48"/>
        <v/>
      </c>
      <c r="M654" s="8" t="str">
        <f t="shared" si="49"/>
        <v/>
      </c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5">
        <v>80</v>
      </c>
      <c r="AF654" s="1">
        <v>0</v>
      </c>
      <c r="AG654" s="1">
        <v>8.3800000000000008</v>
      </c>
      <c r="AH654" s="20">
        <v>0.49166666666666664</v>
      </c>
      <c r="AJ654" s="2">
        <f>("12:15"-"10:00")*1440</f>
        <v>134.99999999999991</v>
      </c>
      <c r="AK654" s="3">
        <f>180+60</f>
        <v>240</v>
      </c>
      <c r="AN654" s="3">
        <v>40</v>
      </c>
      <c r="AP654" s="13">
        <f>AVERAGE(AO652:AO658)</f>
        <v>3565.0000000000091</v>
      </c>
      <c r="AR654" s="17"/>
      <c r="AS654" s="16"/>
      <c r="AT654" s="16"/>
      <c r="AU654" s="16"/>
      <c r="AV654" s="57" t="str">
        <f>IF(AND(ISNUMBER(E654),ISNUMBER(W654)),E654-W654,"")</f>
        <v/>
      </c>
      <c r="AW654" s="57">
        <f>IF(AND(ISNUMBER(I654),ISNUMBER(AF654)),I654-AF654,"")</f>
        <v>0</v>
      </c>
      <c r="AX654" s="57" t="str">
        <f>IF(AND(ISNUMBER(AM654),ISNUMBER(G654)),G654-AM654,"")</f>
        <v/>
      </c>
      <c r="AY654" s="57" t="str">
        <f>IF(AND(ISNUMBER(AC654),ISNUMBER(AE654)),AC654-AE654,"")</f>
        <v/>
      </c>
      <c r="AZ654" s="57" t="str">
        <f t="shared" si="46"/>
        <v/>
      </c>
      <c r="BA654" s="56" t="str">
        <f>IF(AND($E654&gt;0,$W654&gt;0),IF(($E654-$W654)/$E654&gt;0,($E654-$W654)/$E654,0),"")</f>
        <v/>
      </c>
      <c r="BB654" s="56" t="str">
        <f>IF(AND($I654&gt;0,$AF654&gt;=0),IF(($I654-$AF654)/$I654&gt;0,($I654-$AF654)/$I654,0),"")</f>
        <v/>
      </c>
      <c r="BC654" s="56"/>
      <c r="BD654" s="56" t="str">
        <f>IF(AND($G654&gt;0,$AM654&gt;0),IF(($G654-$AM654)/$G654&gt;0,($G654-$AM654)/$G654,0),"")</f>
        <v/>
      </c>
      <c r="BE654" s="6" t="str">
        <f>IF((AD654-AF654)/(AJ654/60)&lt;=0,"",(AD654-AF654)/(AJ654/60))</f>
        <v/>
      </c>
      <c r="BF654" s="6" t="str">
        <f>IF(OR(AJ654=0,AP654=0,NOT(ISNUMBER(AD654)),NOT(ISNUMBER(AF654)),NOT(ISNUMBER(AJ654)),NOT(ISNUMBER(AP654))),"",
IFERROR(IF((AD654-AF654)/(AJ654/60)/(AP654/1000)&lt;=0,"",(AD654-AF654)/(AJ654/60)/(AP654/1000)),""))</f>
        <v/>
      </c>
    </row>
    <row r="655" spans="1:58" ht="15.75">
      <c r="A655" s="12" t="s">
        <v>23</v>
      </c>
      <c r="B655" s="11">
        <v>45915</v>
      </c>
      <c r="C655" s="1">
        <v>411</v>
      </c>
      <c r="D655" s="3">
        <v>650</v>
      </c>
      <c r="E655" s="205" t="str">
        <f t="shared" si="50"/>
        <v/>
      </c>
      <c r="F655" s="11"/>
      <c r="G655" s="11"/>
      <c r="H655" s="11"/>
      <c r="I655" s="15">
        <f>AD655</f>
        <v>0</v>
      </c>
      <c r="K655" s="10" t="str">
        <f t="shared" si="47"/>
        <v/>
      </c>
      <c r="L655" s="9" t="str">
        <f t="shared" si="48"/>
        <v/>
      </c>
      <c r="M655" s="8" t="str">
        <f t="shared" si="49"/>
        <v/>
      </c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5">
        <v>80</v>
      </c>
      <c r="AE655" s="1">
        <f>5*1.41</f>
        <v>7.05</v>
      </c>
      <c r="AF655" s="1">
        <v>0</v>
      </c>
      <c r="AG655" s="1">
        <v>9.64</v>
      </c>
      <c r="AH655" s="20">
        <v>0.45775462962962965</v>
      </c>
      <c r="AJ655" s="2">
        <f>("19:55"-"17:50")*1440</f>
        <v>125.00000000000003</v>
      </c>
      <c r="AK655" s="3">
        <f>180+60</f>
        <v>240</v>
      </c>
      <c r="AL655" s="4">
        <f>AE655</f>
        <v>7.05</v>
      </c>
      <c r="AM655" s="1">
        <f>2*2.38</f>
        <v>4.76</v>
      </c>
      <c r="AN655" s="3">
        <v>40</v>
      </c>
      <c r="AP655" s="13">
        <f>AVERAGE(AO653:AO659)</f>
        <v>3210.0000000000364</v>
      </c>
      <c r="AR655" s="17"/>
      <c r="AS655" s="16"/>
      <c r="AT655" s="16"/>
      <c r="AU655" s="16"/>
      <c r="AV655" s="57" t="str">
        <f>IF(AND(ISNUMBER(E655),ISNUMBER(W655)),E655-W655,"")</f>
        <v/>
      </c>
      <c r="AW655" s="57">
        <f>IF(AND(ISNUMBER(I655),ISNUMBER(AF655)),I655-AF655,"")</f>
        <v>0</v>
      </c>
      <c r="AX655" s="57" t="str">
        <f>IF(AND(ISNUMBER(AM655),ISNUMBER(G655)),G655-AM655,"")</f>
        <v/>
      </c>
      <c r="AY655" s="57" t="str">
        <f>IF(AND(ISNUMBER(AC655),ISNUMBER(AE655)),AC655-AE655,"")</f>
        <v/>
      </c>
      <c r="AZ655" s="57">
        <f t="shared" si="46"/>
        <v>2.29</v>
      </c>
      <c r="BA655" s="56" t="str">
        <f>IF(AND($E655&gt;0,$W655&gt;0),IF(($E655-$W655)/$E655&gt;0,($E655-$W655)/$E655,0),"")</f>
        <v/>
      </c>
      <c r="BB655" s="56" t="str">
        <f>IF(AND($I655&gt;0,$AF655&gt;=0),IF(($I655-$AF655)/$I655&gt;0,($I655-$AF655)/$I655,0),"")</f>
        <v/>
      </c>
      <c r="BC655" s="56"/>
      <c r="BD655" s="56" t="str">
        <f>IF(AND($G655&gt;0,$AM655&gt;0),IF(($G655-$AM655)/$G655&gt;0,($G655-$AM655)/$G655,0),"")</f>
        <v/>
      </c>
      <c r="BE655" s="6" t="str">
        <f>IF((AD655-AF655)/(AJ655/60)&lt;=0,"",(AD655-AF655)/(AJ655/60))</f>
        <v/>
      </c>
      <c r="BF655" s="6" t="str">
        <f>IF(OR(AJ655=0,AP655=0,NOT(ISNUMBER(AD655)),NOT(ISNUMBER(AF655)),NOT(ISNUMBER(AJ655)),NOT(ISNUMBER(AP655))),"",
IFERROR(IF((AD655-AF655)/(AJ655/60)/(AP655/1000)&lt;=0,"",(AD655-AF655)/(AJ655/60)/(AP655/1000)),""))</f>
        <v/>
      </c>
    </row>
    <row r="656" spans="1:58" ht="15.75">
      <c r="B656" s="11">
        <v>45916</v>
      </c>
      <c r="C656" s="1">
        <v>412</v>
      </c>
      <c r="D656" s="3">
        <v>651</v>
      </c>
      <c r="E656" s="205" t="str">
        <f t="shared" si="50"/>
        <v/>
      </c>
      <c r="I656" s="15">
        <f>AD656</f>
        <v>0</v>
      </c>
      <c r="K656" s="10" t="str">
        <f t="shared" si="47"/>
        <v/>
      </c>
      <c r="L656" s="9" t="str">
        <f t="shared" si="48"/>
        <v/>
      </c>
      <c r="M656" s="8" t="str">
        <f t="shared" si="49"/>
        <v/>
      </c>
      <c r="AB656" s="5">
        <v>80</v>
      </c>
      <c r="AF656" s="1">
        <v>0</v>
      </c>
      <c r="AG656" s="1">
        <v>2.83</v>
      </c>
      <c r="AH656" s="20">
        <v>0.42245370370370372</v>
      </c>
      <c r="AJ656" s="2">
        <f>("19:45"-"17:50")*1440</f>
        <v>114.99999999999991</v>
      </c>
      <c r="AK656" s="3">
        <f>180+60</f>
        <v>240</v>
      </c>
      <c r="AN656" s="3">
        <v>40</v>
      </c>
      <c r="AP656" s="13">
        <f>AVERAGE(AO654:AO660)</f>
        <v>3210.0000000000364</v>
      </c>
      <c r="AR656" s="17"/>
      <c r="AS656" s="16"/>
      <c r="AT656" s="16"/>
      <c r="AU656" s="16"/>
      <c r="AV656" s="57" t="str">
        <f>IF(AND(ISNUMBER(E656),ISNUMBER(W656)),E656-W656,"")</f>
        <v/>
      </c>
      <c r="AW656" s="57">
        <f>IF(AND(ISNUMBER(I656),ISNUMBER(AF656)),I656-AF656,"")</f>
        <v>0</v>
      </c>
      <c r="AX656" s="57" t="str">
        <f>IF(AND(ISNUMBER(AM656),ISNUMBER(G656)),G656-AM656,"")</f>
        <v/>
      </c>
      <c r="AY656" s="57" t="str">
        <f>IF(AND(ISNUMBER(AC656),ISNUMBER(AE656)),AC656-AE656,"")</f>
        <v/>
      </c>
      <c r="AZ656" s="57" t="str">
        <f t="shared" si="46"/>
        <v/>
      </c>
      <c r="BA656" s="56" t="str">
        <f>IF(AND($E656&gt;0,$W656&gt;0),IF(($E656-$W656)/$E656&gt;0,($E656-$W656)/$E656,0),"")</f>
        <v/>
      </c>
      <c r="BB656" s="56" t="str">
        <f>IF(AND($I656&gt;0,$AF656&gt;=0),IF(($I656-$AF656)/$I656&gt;0,($I656-$AF656)/$I656,0),"")</f>
        <v/>
      </c>
      <c r="BC656" s="56"/>
      <c r="BD656" s="56" t="str">
        <f>IF(AND($G656&gt;0,$AM656&gt;0),IF(($G656-$AM656)/$G656&gt;0,($G656-$AM656)/$G656,0),"")</f>
        <v/>
      </c>
      <c r="BE656" s="6" t="str">
        <f>IF((AD656-AF656)/(AJ656/60)&lt;=0,"",(AD656-AF656)/(AJ656/60))</f>
        <v/>
      </c>
      <c r="BF656" s="6" t="str">
        <f>IF(OR(AJ656=0,AP656=0,NOT(ISNUMBER(AD656)),NOT(ISNUMBER(AF656)),NOT(ISNUMBER(AJ656)),NOT(ISNUMBER(AP656))),"",
IFERROR(IF((AD656-AF656)/(AJ656/60)/(AP656/1000)&lt;=0,"",(AD656-AF656)/(AJ656/60)/(AP656/1000)),""))</f>
        <v/>
      </c>
    </row>
    <row r="657" spans="1:58" ht="15.75">
      <c r="A657" s="12" t="s">
        <v>22</v>
      </c>
      <c r="B657" s="11">
        <v>45917</v>
      </c>
      <c r="C657" s="1">
        <v>413</v>
      </c>
      <c r="D657" s="3">
        <v>652</v>
      </c>
      <c r="E657" s="205">
        <f t="shared" si="50"/>
        <v>262.08090800000002</v>
      </c>
      <c r="G657" s="15">
        <f>(N657*18-H657*18)/9</f>
        <v>27.179999999999993</v>
      </c>
      <c r="H657" s="9">
        <f>2*2.43</f>
        <v>4.8600000000000003</v>
      </c>
      <c r="I657" s="15">
        <f>AD657</f>
        <v>32.799999999999997</v>
      </c>
      <c r="K657" s="10">
        <f t="shared" si="47"/>
        <v>9.6424175128771186</v>
      </c>
      <c r="L657" s="9">
        <f t="shared" si="48"/>
        <v>3.9951357926829276</v>
      </c>
      <c r="M657" s="8">
        <f t="shared" si="49"/>
        <v>2.4135393671817518</v>
      </c>
      <c r="N657" s="10">
        <f>5*3.69</f>
        <v>18.45</v>
      </c>
      <c r="O657" s="6">
        <v>84.254000000000005</v>
      </c>
      <c r="P657" s="6">
        <v>27.173999999999999</v>
      </c>
      <c r="Q657" s="6">
        <f>O657*1.067</f>
        <v>89.899017999999998</v>
      </c>
      <c r="R657" s="6">
        <f>P657*1.514</f>
        <v>41.141435999999999</v>
      </c>
      <c r="S657" s="23">
        <f>P657*1.514+O657*1.067</f>
        <v>131.04045400000001</v>
      </c>
      <c r="T657" s="6">
        <v>56.3</v>
      </c>
      <c r="U657" s="59">
        <f>0*1.067</f>
        <v>0</v>
      </c>
      <c r="V657" s="59">
        <f>0*1.514</f>
        <v>0</v>
      </c>
      <c r="W657" s="23">
        <f>U657*1.067+V657*1.514</f>
        <v>0</v>
      </c>
      <c r="AB657" s="5">
        <v>80</v>
      </c>
      <c r="AC657" s="7">
        <f>T657</f>
        <v>56.3</v>
      </c>
      <c r="AD657" s="1">
        <v>32.799999999999997</v>
      </c>
      <c r="AE657" s="1">
        <f>5*4.3</f>
        <v>21.5</v>
      </c>
      <c r="AF657" s="1">
        <v>0</v>
      </c>
      <c r="AG657" s="1">
        <v>1.24</v>
      </c>
      <c r="AH657" s="20">
        <v>0.41111111111111109</v>
      </c>
      <c r="AJ657" s="2">
        <f>("19:45"-"17:50")*1440</f>
        <v>114.99999999999991</v>
      </c>
      <c r="AK657" s="3">
        <f>180+60</f>
        <v>240</v>
      </c>
      <c r="AL657" s="4">
        <f>AE657</f>
        <v>21.5</v>
      </c>
      <c r="AM657" s="1">
        <f>2*2.27</f>
        <v>4.54</v>
      </c>
      <c r="AN657" s="3">
        <v>40</v>
      </c>
      <c r="AO657" s="2">
        <v>3210.0000000000364</v>
      </c>
      <c r="AP657" s="13">
        <f>AVERAGE(AO655:AO661)</f>
        <v>3210.0000000000364</v>
      </c>
      <c r="AR657" s="17">
        <f>(E657-W657)/E657</f>
        <v>1</v>
      </c>
      <c r="AS657" s="16">
        <f>(I657-AF657)/I657</f>
        <v>1</v>
      </c>
      <c r="AT657" s="16"/>
      <c r="AU657" s="16">
        <f>(G657-AM657)/G657</f>
        <v>0.83296541574687266</v>
      </c>
      <c r="AV657" s="57">
        <f>IF(AND(ISNUMBER(E657),ISNUMBER(W657)),E657-W657,"")</f>
        <v>262.08090800000002</v>
      </c>
      <c r="AW657" s="57">
        <f>IF(AND(ISNUMBER(I657),ISNUMBER(AF657)),I657-AF657,"")</f>
        <v>32.799999999999997</v>
      </c>
      <c r="AX657" s="57">
        <f>IF(AND(ISNUMBER(AM657),ISNUMBER(G657)),G657-AM657,"")</f>
        <v>22.639999999999993</v>
      </c>
      <c r="AY657" s="57">
        <f>IF(AND(ISNUMBER(AC657),ISNUMBER(AE657)),AC657-AE657,"")</f>
        <v>34.799999999999997</v>
      </c>
      <c r="AZ657" s="57">
        <f t="shared" si="46"/>
        <v>16.96</v>
      </c>
      <c r="BA657" s="56" t="str">
        <f>IF(AND($E657&gt;0,$W657&gt;0),IF(($E657-$W657)/$E657&gt;0,($E657-$W657)/$E657,0),"")</f>
        <v/>
      </c>
      <c r="BB657" s="56">
        <f>IF(AND($I657&gt;0,$AF657&gt;=0),IF(($I657-$AF657)/$I657&gt;0,($I657-$AF657)/$I657,0),"")</f>
        <v>1</v>
      </c>
      <c r="BC657" s="56"/>
      <c r="BD657" s="56">
        <f>IF(AND($G657&gt;0,$AM657&gt;0),IF(($G657-$AM657)/$G657&gt;0,($G657-$AM657)/$G657,0),"")</f>
        <v>0.83296541574687266</v>
      </c>
      <c r="BE657" s="6">
        <f>IF((AD657-AF657)/(AJ657/60)&lt;=0,"",(AD657-AF657)/(AJ657/60))</f>
        <v>17.113043478260881</v>
      </c>
      <c r="BF657" s="6">
        <f>IF(OR(AJ657=0,AP657=0,NOT(ISNUMBER(AD657)),NOT(ISNUMBER(AF657)),NOT(ISNUMBER(AJ657)),NOT(ISNUMBER(AP657))),"",
IFERROR(IF((AD657-AF657)/(AJ657/60)/(AP657/1000)&lt;=0,"",(AD657-AF657)/(AJ657/60)/(AP657/1000)),""))</f>
        <v>5.3311661926045755</v>
      </c>
    </row>
    <row r="658" spans="1:58" ht="15.75">
      <c r="B658" s="11">
        <v>45918</v>
      </c>
      <c r="C658" s="1">
        <v>414</v>
      </c>
      <c r="D658" s="3">
        <v>653</v>
      </c>
      <c r="E658" s="205" t="str">
        <f t="shared" si="50"/>
        <v/>
      </c>
      <c r="I658" s="15">
        <f>AD658</f>
        <v>0</v>
      </c>
      <c r="K658" s="10" t="str">
        <f t="shared" si="47"/>
        <v/>
      </c>
      <c r="L658" s="9" t="str">
        <f t="shared" si="48"/>
        <v/>
      </c>
      <c r="M658" s="8" t="str">
        <f t="shared" si="49"/>
        <v/>
      </c>
      <c r="AB658" s="5">
        <v>80</v>
      </c>
      <c r="AF658" s="1">
        <v>0</v>
      </c>
      <c r="AG658" s="1">
        <v>7.95</v>
      </c>
      <c r="AH658" s="20">
        <v>0.47858796296296297</v>
      </c>
      <c r="AJ658" s="2">
        <f>("19:55"-"17:50")*1440</f>
        <v>125.00000000000003</v>
      </c>
      <c r="AK658" s="3">
        <f>180+60</f>
        <v>240</v>
      </c>
      <c r="AN658" s="3">
        <v>40</v>
      </c>
      <c r="AP658" s="13">
        <f>AVERAGE(AO656:AO662)</f>
        <v>3210.0000000000364</v>
      </c>
      <c r="AR658" s="17"/>
      <c r="AS658" s="16"/>
      <c r="AT658" s="16"/>
      <c r="AU658" s="16"/>
      <c r="AV658" s="57" t="str">
        <f>IF(AND(ISNUMBER(E658),ISNUMBER(W658)),E658-W658,"")</f>
        <v/>
      </c>
      <c r="AW658" s="57">
        <f>IF(AND(ISNUMBER(I658),ISNUMBER(AF658)),I658-AF658,"")</f>
        <v>0</v>
      </c>
      <c r="AX658" s="57" t="str">
        <f>IF(AND(ISNUMBER(AM658),ISNUMBER(G658)),G658-AM658,"")</f>
        <v/>
      </c>
      <c r="AY658" s="57" t="str">
        <f>IF(AND(ISNUMBER(AC658),ISNUMBER(AE658)),AC658-AE658,"")</f>
        <v/>
      </c>
      <c r="AZ658" s="57" t="str">
        <f t="shared" si="46"/>
        <v/>
      </c>
      <c r="BA658" s="56" t="str">
        <f>IF(AND($E658&gt;0,$W658&gt;0),IF(($E658-$W658)/$E658&gt;0,($E658-$W658)/$E658,0),"")</f>
        <v/>
      </c>
      <c r="BB658" s="56" t="str">
        <f>IF(AND($I658&gt;0,$AF658&gt;=0),IF(($I658-$AF658)/$I658&gt;0,($I658-$AF658)/$I658,0),"")</f>
        <v/>
      </c>
      <c r="BC658" s="56"/>
      <c r="BD658" s="56" t="str">
        <f>IF(AND($G658&gt;0,$AM658&gt;0),IF(($G658-$AM658)/$G658&gt;0,($G658-$AM658)/$G658,0),"")</f>
        <v/>
      </c>
      <c r="BE658" s="6" t="str">
        <f>IF((AD658-AF658)/(AJ658/60)&lt;=0,"",(AD658-AF658)/(AJ658/60))</f>
        <v/>
      </c>
      <c r="BF658" s="6" t="str">
        <f>IF(OR(AJ658=0,AP658=0,NOT(ISNUMBER(AD658)),NOT(ISNUMBER(AF658)),NOT(ISNUMBER(AJ658)),NOT(ISNUMBER(AP658))),"",
IFERROR(IF((AD658-AF658)/(AJ658/60)/(AP658/1000)&lt;=0,"",(AD658-AF658)/(AJ658/60)/(AP658/1000)),""))</f>
        <v/>
      </c>
    </row>
    <row r="659" spans="1:58" ht="15.75">
      <c r="B659" s="11">
        <v>45919</v>
      </c>
      <c r="C659" s="1">
        <v>415</v>
      </c>
      <c r="D659" s="3">
        <v>654</v>
      </c>
      <c r="E659" s="205" t="str">
        <f t="shared" si="50"/>
        <v/>
      </c>
      <c r="I659" s="15">
        <f>AD659</f>
        <v>0</v>
      </c>
      <c r="K659" s="10" t="str">
        <f t="shared" si="47"/>
        <v/>
      </c>
      <c r="L659" s="9" t="str">
        <f t="shared" si="48"/>
        <v/>
      </c>
      <c r="M659" s="8" t="str">
        <f t="shared" si="49"/>
        <v/>
      </c>
      <c r="AB659" s="5">
        <v>80</v>
      </c>
      <c r="AF659" s="1">
        <v>0</v>
      </c>
      <c r="AG659" s="1">
        <v>8.2899999999999991</v>
      </c>
      <c r="AH659" s="20">
        <v>0.48379629629629628</v>
      </c>
      <c r="AJ659" s="2">
        <f>("20:05"-"17:50")*1440</f>
        <v>135</v>
      </c>
      <c r="AK659" s="3">
        <f>180+60</f>
        <v>240</v>
      </c>
      <c r="AN659" s="3">
        <v>40</v>
      </c>
      <c r="AP659" s="13">
        <f>AVERAGE(AO657:AO663)</f>
        <v>3210.0000000000364</v>
      </c>
      <c r="AR659" s="17"/>
      <c r="AS659" s="16"/>
      <c r="AT659" s="16"/>
      <c r="AU659" s="16"/>
      <c r="AV659" s="57" t="str">
        <f>IF(AND(ISNUMBER(E659),ISNUMBER(W659)),E659-W659,"")</f>
        <v/>
      </c>
      <c r="AW659" s="57">
        <f>IF(AND(ISNUMBER(I659),ISNUMBER(AF659)),I659-AF659,"")</f>
        <v>0</v>
      </c>
      <c r="AX659" s="57" t="str">
        <f>IF(AND(ISNUMBER(AM659),ISNUMBER(G659)),G659-AM659,"")</f>
        <v/>
      </c>
      <c r="AY659" s="57" t="str">
        <f>IF(AND(ISNUMBER(AC659),ISNUMBER(AE659)),AC659-AE659,"")</f>
        <v/>
      </c>
      <c r="AZ659" s="57" t="str">
        <f t="shared" si="46"/>
        <v/>
      </c>
      <c r="BA659" s="56" t="str">
        <f>IF(AND($E659&gt;0,$W659&gt;0),IF(($E659-$W659)/$E659&gt;0,($E659-$W659)/$E659,0),"")</f>
        <v/>
      </c>
      <c r="BB659" s="56" t="str">
        <f>IF(AND($I659&gt;0,$AF659&gt;=0),IF(($I659-$AF659)/$I659&gt;0,($I659-$AF659)/$I659,0),"")</f>
        <v/>
      </c>
      <c r="BC659" s="56"/>
      <c r="BD659" s="56" t="str">
        <f>IF(AND($G659&gt;0,$AM659&gt;0),IF(($G659-$AM659)/$G659&gt;0,($G659-$AM659)/$G659,0),"")</f>
        <v/>
      </c>
      <c r="BE659" s="6" t="str">
        <f>IF((AD659-AF659)/(AJ659/60)&lt;=0,"",(AD659-AF659)/(AJ659/60))</f>
        <v/>
      </c>
      <c r="BF659" s="6" t="str">
        <f>IF(OR(AJ659=0,AP659=0,NOT(ISNUMBER(AD659)),NOT(ISNUMBER(AF659)),NOT(ISNUMBER(AJ659)),NOT(ISNUMBER(AP659))),"",
IFERROR(IF((AD659-AF659)/(AJ659/60)/(AP659/1000)&lt;=0,"",(AD659-AF659)/(AJ659/60)/(AP659/1000)),""))</f>
        <v/>
      </c>
    </row>
    <row r="660" spans="1:58" ht="15.75">
      <c r="B660" s="11">
        <v>45920</v>
      </c>
      <c r="C660" s="1">
        <v>416</v>
      </c>
      <c r="D660" s="3">
        <v>655</v>
      </c>
      <c r="E660" s="205" t="str">
        <f t="shared" si="50"/>
        <v/>
      </c>
      <c r="I660" s="15">
        <f>AD660</f>
        <v>0</v>
      </c>
      <c r="K660" s="10" t="str">
        <f t="shared" si="47"/>
        <v/>
      </c>
      <c r="L660" s="9" t="str">
        <f t="shared" si="48"/>
        <v/>
      </c>
      <c r="M660" s="8" t="str">
        <f t="shared" si="49"/>
        <v/>
      </c>
      <c r="AB660" s="5">
        <v>80</v>
      </c>
      <c r="AF660" s="1">
        <v>0</v>
      </c>
      <c r="AG660" s="1">
        <v>8.52</v>
      </c>
      <c r="AH660" s="20">
        <v>0.48680555555555555</v>
      </c>
      <c r="AJ660" s="2">
        <f>("20:40"-"17:50")*1440</f>
        <v>170.00000000000003</v>
      </c>
      <c r="AK660" s="3">
        <f>180+60</f>
        <v>240</v>
      </c>
      <c r="AN660" s="3">
        <v>40</v>
      </c>
      <c r="AP660" s="13" t="e">
        <f>AVERAGE(AO658:AO664)</f>
        <v>#DIV/0!</v>
      </c>
      <c r="AR660" s="17"/>
      <c r="AS660" s="16"/>
      <c r="AT660" s="16"/>
      <c r="AU660" s="16"/>
      <c r="AV660" s="57" t="str">
        <f>IF(AND(ISNUMBER(E660),ISNUMBER(W660)),E660-W660,"")</f>
        <v/>
      </c>
      <c r="AW660" s="57">
        <f>IF(AND(ISNUMBER(I660),ISNUMBER(AF660)),I660-AF660,"")</f>
        <v>0</v>
      </c>
      <c r="AX660" s="57" t="str">
        <f>IF(AND(ISNUMBER(AM660),ISNUMBER(G660)),G660-AM660,"")</f>
        <v/>
      </c>
      <c r="AY660" s="57" t="str">
        <f>IF(AND(ISNUMBER(AC660),ISNUMBER(AE660)),AC660-AE660,"")</f>
        <v/>
      </c>
      <c r="AZ660" s="57" t="str">
        <f t="shared" si="46"/>
        <v/>
      </c>
      <c r="BA660" s="56" t="str">
        <f>IF(AND($E660&gt;0,$W660&gt;0),IF(($E660-$W660)/$E660&gt;0,($E660-$W660)/$E660,0),"")</f>
        <v/>
      </c>
      <c r="BB660" s="56" t="str">
        <f>IF(AND($I660&gt;0,$AF660&gt;=0),IF(($I660-$AF660)/$I660&gt;0,($I660-$AF660)/$I660,0),"")</f>
        <v/>
      </c>
      <c r="BC660" s="56"/>
      <c r="BD660" s="56" t="str">
        <f>IF(AND($G660&gt;0,$AM660&gt;0),IF(($G660-$AM660)/$G660&gt;0,($G660-$AM660)/$G660,0),"")</f>
        <v/>
      </c>
      <c r="BE660" s="6" t="str">
        <f>IF((AD660-AF660)/(AJ660/60)&lt;=0,"",(AD660-AF660)/(AJ660/60))</f>
        <v/>
      </c>
      <c r="BF660" s="6"/>
    </row>
    <row r="661" spans="1:58" ht="15.75">
      <c r="B661" s="11">
        <v>45921</v>
      </c>
      <c r="C661" s="1">
        <v>417</v>
      </c>
      <c r="D661" s="3">
        <v>656</v>
      </c>
      <c r="E661" s="205" t="str">
        <f t="shared" si="50"/>
        <v/>
      </c>
      <c r="I661" s="15">
        <f>AD661</f>
        <v>0</v>
      </c>
      <c r="K661" s="10" t="str">
        <f t="shared" si="47"/>
        <v/>
      </c>
      <c r="L661" s="9" t="str">
        <f t="shared" si="48"/>
        <v/>
      </c>
      <c r="M661" s="8" t="str">
        <f t="shared" si="49"/>
        <v/>
      </c>
      <c r="AB661" s="5">
        <v>80</v>
      </c>
      <c r="AF661" s="1">
        <v>0</v>
      </c>
      <c r="AG661" s="1">
        <v>8.8800000000000008</v>
      </c>
      <c r="AH661" s="20">
        <v>0.49398148148148147</v>
      </c>
      <c r="AJ661" s="2">
        <f>("20:20"-"17:50")*1440</f>
        <v>149.99999999999994</v>
      </c>
      <c r="AK661" s="3">
        <f>180+60</f>
        <v>240</v>
      </c>
      <c r="AN661" s="3">
        <v>40</v>
      </c>
      <c r="AP661" s="13">
        <f>AVERAGE(AO659:AO665)</f>
        <v>3270.0000000000273</v>
      </c>
      <c r="AR661" s="17"/>
      <c r="AS661" s="16"/>
      <c r="AT661" s="16"/>
      <c r="AU661" s="16"/>
      <c r="AV661" s="57" t="str">
        <f>IF(AND(ISNUMBER(E661),ISNUMBER(W661)),E661-W661,"")</f>
        <v/>
      </c>
      <c r="AW661" s="57">
        <f>IF(AND(ISNUMBER(I661),ISNUMBER(AF661)),I661-AF661,"")</f>
        <v>0</v>
      </c>
      <c r="AX661" s="57" t="str">
        <f>IF(AND(ISNUMBER(AM661),ISNUMBER(G661)),G661-AM661,"")</f>
        <v/>
      </c>
      <c r="AY661" s="57" t="str">
        <f>IF(AND(ISNUMBER(AC661),ISNUMBER(AE661)),AC661-AE661,"")</f>
        <v/>
      </c>
      <c r="AZ661" s="57" t="str">
        <f t="shared" si="46"/>
        <v/>
      </c>
      <c r="BA661" s="56" t="str">
        <f>IF(AND($E661&gt;0,$W661&gt;0),IF(($E661-$W661)/$E661&gt;0,($E661-$W661)/$E661,0),"")</f>
        <v/>
      </c>
      <c r="BB661" s="56" t="str">
        <f>IF(AND($I661&gt;0,$AF661&gt;=0),IF(($I661-$AF661)/$I661&gt;0,($I661-$AF661)/$I661,0),"")</f>
        <v/>
      </c>
      <c r="BC661" s="56"/>
      <c r="BD661" s="56" t="str">
        <f>IF(AND($G661&gt;0,$AM661&gt;0),IF(($G661-$AM661)/$G661&gt;0,($G661-$AM661)/$G661,0),"")</f>
        <v/>
      </c>
      <c r="BE661" s="6" t="str">
        <f>IF((AD661-AF661)/(AJ661/60)&lt;=0,"",(AD661-AF661)/(AJ661/60))</f>
        <v/>
      </c>
      <c r="BF661" s="6" t="str">
        <f>IF(OR(AJ661=0,AP661=0,NOT(ISNUMBER(AD661)),NOT(ISNUMBER(AF661)),NOT(ISNUMBER(AJ661)),NOT(ISNUMBER(AP661))),"",
IFERROR(IF((AD661-AF661)/(AJ661/60)/(AP661/1000)&lt;=0,"",(AD661-AF661)/(AJ661/60)/(AP661/1000)),""))</f>
        <v/>
      </c>
    </row>
    <row r="662" spans="1:58" ht="15.75">
      <c r="B662" s="11">
        <v>45922</v>
      </c>
      <c r="C662" s="1">
        <v>418</v>
      </c>
      <c r="D662" s="3">
        <v>657</v>
      </c>
      <c r="E662" s="205" t="str">
        <f t="shared" si="50"/>
        <v/>
      </c>
      <c r="I662" s="15">
        <f>AD662</f>
        <v>0</v>
      </c>
      <c r="K662" s="10" t="str">
        <f t="shared" si="47"/>
        <v/>
      </c>
      <c r="L662" s="9" t="str">
        <f t="shared" si="48"/>
        <v/>
      </c>
      <c r="M662" s="8" t="str">
        <f t="shared" si="49"/>
        <v/>
      </c>
      <c r="AB662" s="5">
        <v>80</v>
      </c>
      <c r="AF662" s="1">
        <v>0</v>
      </c>
      <c r="AG662" s="1">
        <v>10.42</v>
      </c>
      <c r="AH662" s="20">
        <v>0.52048611111111109</v>
      </c>
      <c r="AJ662" s="2">
        <f>("21:15"-"17:50")*1440</f>
        <v>204.99999999999991</v>
      </c>
      <c r="AK662" s="3">
        <f>180+60</f>
        <v>240</v>
      </c>
      <c r="AN662" s="3">
        <v>40</v>
      </c>
      <c r="AP662" s="13">
        <f>AVERAGE(AO660:AO666)</f>
        <v>3270.0000000000273</v>
      </c>
      <c r="AR662" s="17"/>
      <c r="AS662" s="16"/>
      <c r="AT662" s="16"/>
      <c r="AU662" s="16"/>
      <c r="AV662" s="57" t="str">
        <f>IF(AND(ISNUMBER(E662),ISNUMBER(W662)),E662-W662,"")</f>
        <v/>
      </c>
      <c r="AW662" s="57">
        <f>IF(AND(ISNUMBER(I662),ISNUMBER(AF662)),I662-AF662,"")</f>
        <v>0</v>
      </c>
      <c r="AX662" s="57" t="str">
        <f>IF(AND(ISNUMBER(AM662),ISNUMBER(G662)),G662-AM662,"")</f>
        <v/>
      </c>
      <c r="AY662" s="57" t="str">
        <f>IF(AND(ISNUMBER(AC662),ISNUMBER(AE662)),AC662-AE662,"")</f>
        <v/>
      </c>
      <c r="AZ662" s="57" t="str">
        <f t="shared" si="46"/>
        <v/>
      </c>
      <c r="BA662" s="56" t="str">
        <f>IF(AND($E662&gt;0,$W662&gt;0),IF(($E662-$W662)/$E662&gt;0,($E662-$W662)/$E662,0),"")</f>
        <v/>
      </c>
      <c r="BB662" s="56" t="str">
        <f>IF(AND($I662&gt;0,$AF662&gt;=0),IF(($I662-$AF662)/$I662&gt;0,($I662-$AF662)/$I662,0),"")</f>
        <v/>
      </c>
      <c r="BC662" s="56"/>
      <c r="BD662" s="56" t="str">
        <f>IF(AND($G662&gt;0,$AM662&gt;0),IF(($G662-$AM662)/$G662&gt;0,($G662-$AM662)/$G662,0),"")</f>
        <v/>
      </c>
      <c r="BE662" s="6" t="str">
        <f>IF((AD662-AF662)/(AJ662/60)&lt;=0,"",(AD662-AF662)/(AJ662/60))</f>
        <v/>
      </c>
      <c r="BF662" s="6" t="str">
        <f>IF(OR(AJ662=0,AP662=0,NOT(ISNUMBER(AD662)),NOT(ISNUMBER(AF662)),NOT(ISNUMBER(AJ662)),NOT(ISNUMBER(AP662))),"",
IFERROR(IF((AD662-AF662)/(AJ662/60)/(AP662/1000)&lt;=0,"",(AD662-AF662)/(AJ662/60)/(AP662/1000)),""))</f>
        <v/>
      </c>
    </row>
    <row r="663" spans="1:58" ht="15.75">
      <c r="B663" s="11">
        <v>45923</v>
      </c>
      <c r="C663" s="1">
        <v>419</v>
      </c>
      <c r="D663" s="3">
        <v>658</v>
      </c>
      <c r="E663" s="205" t="str">
        <f t="shared" si="50"/>
        <v/>
      </c>
      <c r="I663" s="15">
        <f>AD663</f>
        <v>0</v>
      </c>
      <c r="K663" s="10" t="str">
        <f t="shared" si="47"/>
        <v/>
      </c>
      <c r="L663" s="9" t="str">
        <f t="shared" si="48"/>
        <v/>
      </c>
      <c r="M663" s="8" t="str">
        <f t="shared" si="49"/>
        <v/>
      </c>
      <c r="AB663" s="5">
        <v>80</v>
      </c>
      <c r="AF663" s="1">
        <v>0</v>
      </c>
      <c r="AG663" s="1">
        <v>10.18</v>
      </c>
      <c r="AH663" s="20">
        <v>0.52083333333333337</v>
      </c>
      <c r="AJ663" s="2">
        <f>("21:35"-"17:50")*1440</f>
        <v>225</v>
      </c>
      <c r="AK663" s="3">
        <f>180+60</f>
        <v>240</v>
      </c>
      <c r="AN663" s="3">
        <v>40</v>
      </c>
      <c r="AP663" s="13">
        <f>AVERAGE(AO661:AO667)</f>
        <v>3270.0000000000273</v>
      </c>
      <c r="AR663" s="17"/>
      <c r="AS663" s="16"/>
      <c r="AT663" s="16"/>
      <c r="AU663" s="16"/>
      <c r="AV663" s="57" t="str">
        <f>IF(AND(ISNUMBER(E663),ISNUMBER(W663)),E663-W663,"")</f>
        <v/>
      </c>
      <c r="AW663" s="57">
        <f>IF(AND(ISNUMBER(I663),ISNUMBER(AF663)),I663-AF663,"")</f>
        <v>0</v>
      </c>
      <c r="AX663" s="57" t="str">
        <f>IF(AND(ISNUMBER(AM663),ISNUMBER(G663)),G663-AM663,"")</f>
        <v/>
      </c>
      <c r="AY663" s="57" t="str">
        <f>IF(AND(ISNUMBER(AC663),ISNUMBER(AE663)),AC663-AE663,"")</f>
        <v/>
      </c>
      <c r="AZ663" s="57" t="str">
        <f t="shared" si="46"/>
        <v/>
      </c>
      <c r="BA663" s="56" t="str">
        <f>IF(AND($E663&gt;0,$W663&gt;0),IF(($E663-$W663)/$E663&gt;0,($E663-$W663)/$E663,0),"")</f>
        <v/>
      </c>
      <c r="BB663" s="56" t="str">
        <f>IF(AND($I663&gt;0,$AF663&gt;=0),IF(($I663-$AF663)/$I663&gt;0,($I663-$AF663)/$I663,0),"")</f>
        <v/>
      </c>
      <c r="BC663" s="56"/>
      <c r="BD663" s="56" t="str">
        <f>IF(AND($G663&gt;0,$AM663&gt;0),IF(($G663-$AM663)/$G663&gt;0,($G663-$AM663)/$G663,0),"")</f>
        <v/>
      </c>
      <c r="BE663" s="6" t="str">
        <f>IF((AD663-AF663)/(AJ663/60)&lt;=0,"",(AD663-AF663)/(AJ663/60))</f>
        <v/>
      </c>
      <c r="BF663" s="6" t="str">
        <f>IF(OR(AJ663=0,AP663=0,NOT(ISNUMBER(AD663)),NOT(ISNUMBER(AF663)),NOT(ISNUMBER(AJ663)),NOT(ISNUMBER(AP663))),"",
IFERROR(IF((AD663-AF663)/(AJ663/60)/(AP663/1000)&lt;=0,"",(AD663-AF663)/(AJ663/60)/(AP663/1000)),""))</f>
        <v/>
      </c>
    </row>
    <row r="664" spans="1:58" ht="15.75">
      <c r="A664" s="12" t="s">
        <v>21</v>
      </c>
      <c r="B664" s="11">
        <v>45924</v>
      </c>
      <c r="C664" s="1">
        <v>420</v>
      </c>
      <c r="D664" s="3">
        <v>659</v>
      </c>
      <c r="E664" s="205" t="str">
        <f t="shared" si="50"/>
        <v/>
      </c>
      <c r="I664" s="15">
        <f>AD664</f>
        <v>0</v>
      </c>
      <c r="K664" s="10" t="str">
        <f t="shared" si="47"/>
        <v/>
      </c>
      <c r="L664" s="9" t="str">
        <f t="shared" si="48"/>
        <v/>
      </c>
      <c r="M664" s="8" t="str">
        <f t="shared" si="49"/>
        <v/>
      </c>
      <c r="AB664" s="5">
        <v>80</v>
      </c>
      <c r="AF664" s="1">
        <v>0</v>
      </c>
      <c r="AG664" s="1">
        <v>10.28</v>
      </c>
      <c r="AH664" s="20">
        <v>0.52060185185185182</v>
      </c>
      <c r="AJ664" s="2">
        <v>240</v>
      </c>
      <c r="AK664" s="3">
        <f>180+60</f>
        <v>240</v>
      </c>
      <c r="AN664" s="3">
        <v>40</v>
      </c>
      <c r="AP664" s="13">
        <f>AVERAGE(AO662:AO668)</f>
        <v>3270.0000000000273</v>
      </c>
      <c r="AR664" s="17"/>
      <c r="AS664" s="16"/>
      <c r="AT664" s="16"/>
      <c r="AU664" s="16"/>
      <c r="AV664" s="57" t="str">
        <f>IF(AND(ISNUMBER(E664),ISNUMBER(W664)),E664-W664,"")</f>
        <v/>
      </c>
      <c r="AW664" s="57">
        <f>IF(AND(ISNUMBER(I664),ISNUMBER(AF664)),I664-AF664,"")</f>
        <v>0</v>
      </c>
      <c r="AX664" s="57" t="str">
        <f>IF(AND(ISNUMBER(AM664),ISNUMBER(G664)),G664-AM664,"")</f>
        <v/>
      </c>
      <c r="AY664" s="57" t="str">
        <f>IF(AND(ISNUMBER(AC664),ISNUMBER(AE664)),AC664-AE664,"")</f>
        <v/>
      </c>
      <c r="AZ664" s="57" t="str">
        <f t="shared" si="46"/>
        <v/>
      </c>
      <c r="BA664" s="56" t="str">
        <f>IF(AND($E664&gt;0,$W664&gt;0),IF(($E664-$W664)/$E664&gt;0,($E664-$W664)/$E664,0),"")</f>
        <v/>
      </c>
      <c r="BB664" s="56" t="str">
        <f>IF(AND($I664&gt;0,$AF664&gt;=0),IF(($I664-$AF664)/$I664&gt;0,($I664-$AF664)/$I664,0),"")</f>
        <v/>
      </c>
      <c r="BC664" s="56"/>
      <c r="BD664" s="56" t="str">
        <f>IF(AND($G664&gt;0,$AM664&gt;0),IF(($G664-$AM664)/$G664&gt;0,($G664-$AM664)/$G664,0),"")</f>
        <v/>
      </c>
      <c r="BE664" s="6" t="str">
        <f>IF((AD664-AF664)/(AJ664/60)&lt;=0,"",(AD664-AF664)/(AJ664/60))</f>
        <v/>
      </c>
      <c r="BF664" s="6" t="str">
        <f>IF(OR(AJ664=0,AP664=0,NOT(ISNUMBER(AD664)),NOT(ISNUMBER(AF664)),NOT(ISNUMBER(AJ664)),NOT(ISNUMBER(AP664))),"",
IFERROR(IF((AD664-AF664)/(AJ664/60)/(AP664/1000)&lt;=0,"",(AD664-AF664)/(AJ664/60)/(AP664/1000)),""))</f>
        <v/>
      </c>
    </row>
    <row r="665" spans="1:58" ht="15.75">
      <c r="A665" s="12" t="s">
        <v>20</v>
      </c>
      <c r="B665" s="11">
        <v>45925</v>
      </c>
      <c r="C665" s="1">
        <v>421</v>
      </c>
      <c r="D665" s="3">
        <v>660</v>
      </c>
      <c r="E665" s="205">
        <f t="shared" si="50"/>
        <v>249.89371799999998</v>
      </c>
      <c r="G665" s="15">
        <f>(N665*18-H665*18)/9</f>
        <v>14.459999999999999</v>
      </c>
      <c r="H665" s="9">
        <f>2*1.46</f>
        <v>2.92</v>
      </c>
      <c r="I665" s="15">
        <f>AD665</f>
        <v>33.1</v>
      </c>
      <c r="K665" s="10">
        <f t="shared" si="47"/>
        <v>17.281723236514523</v>
      </c>
      <c r="L665" s="9">
        <f t="shared" si="48"/>
        <v>3.7748295770392746</v>
      </c>
      <c r="M665" s="8">
        <f t="shared" si="49"/>
        <v>4.5781466113416327</v>
      </c>
      <c r="N665" s="10">
        <f>5*2.03</f>
        <v>10.149999999999999</v>
      </c>
      <c r="O665" s="6">
        <v>81.703000000000003</v>
      </c>
      <c r="P665" s="6">
        <v>24.946999999999999</v>
      </c>
      <c r="Q665" s="6">
        <f>O665*1.067</f>
        <v>87.177100999999993</v>
      </c>
      <c r="R665" s="6">
        <f>P665*1.514</f>
        <v>37.769757999999996</v>
      </c>
      <c r="S665" s="6">
        <f>Q665+R665</f>
        <v>124.94685899999999</v>
      </c>
      <c r="T665" s="6">
        <v>38.6</v>
      </c>
      <c r="U665" s="59">
        <f>0*1.067</f>
        <v>0</v>
      </c>
      <c r="V665" s="59">
        <f>0*1.514</f>
        <v>0</v>
      </c>
      <c r="W665" s="23">
        <f>U665*1.067+V665*1.514</f>
        <v>0</v>
      </c>
      <c r="AB665" s="5">
        <v>80</v>
      </c>
      <c r="AC665" s="7">
        <f>T665</f>
        <v>38.6</v>
      </c>
      <c r="AD665" s="1">
        <v>33.1</v>
      </c>
      <c r="AE665" s="1">
        <f>5*2</f>
        <v>10</v>
      </c>
      <c r="AF665" s="1">
        <v>0</v>
      </c>
      <c r="AJ665" s="2">
        <f>("22:00"-"18:15")*1440</f>
        <v>225</v>
      </c>
      <c r="AK665" s="3">
        <f>180+60</f>
        <v>240</v>
      </c>
      <c r="AL665" s="4">
        <f>AE665</f>
        <v>10</v>
      </c>
      <c r="AM665" s="1">
        <f>2*3.2</f>
        <v>6.4</v>
      </c>
      <c r="AN665" s="3">
        <v>40</v>
      </c>
      <c r="AO665" s="2">
        <v>3270.0000000000273</v>
      </c>
      <c r="AP665" s="13">
        <f>AVERAGE(AO663:AO669)</f>
        <v>3270.0000000000273</v>
      </c>
      <c r="AR665" s="17">
        <f>(E665-W665)/E665</f>
        <v>1</v>
      </c>
      <c r="AS665" s="16">
        <f>(I665-AF665)/I665</f>
        <v>1</v>
      </c>
      <c r="AT665" s="16"/>
      <c r="AU665" s="16">
        <f>(G665-AM665)/G665</f>
        <v>0.55739972337482702</v>
      </c>
      <c r="AV665" s="57">
        <f>IF(AND(ISNUMBER(E665),ISNUMBER(W665)),E665-W665,"")</f>
        <v>249.89371799999998</v>
      </c>
      <c r="AW665" s="57">
        <f>IF(AND(ISNUMBER(I665),ISNUMBER(AF665)),I665-AF665,"")</f>
        <v>33.1</v>
      </c>
      <c r="AX665" s="57">
        <f>IF(AND(ISNUMBER(AM665),ISNUMBER(G665)),G665-AM665,"")</f>
        <v>8.0599999999999987</v>
      </c>
      <c r="AY665" s="57">
        <f>IF(AND(ISNUMBER(AC665),ISNUMBER(AE665)),AC665-AE665,"")</f>
        <v>28.6</v>
      </c>
      <c r="AZ665" s="57">
        <f t="shared" si="46"/>
        <v>3.5999999999999996</v>
      </c>
      <c r="BA665" s="56" t="str">
        <f>IF(AND($E665&gt;0,$W665&gt;0),IF(($E665-$W665)/$E665&gt;0,($E665-$W665)/$E665,0),"")</f>
        <v/>
      </c>
      <c r="BB665" s="56">
        <f>IF(AND($I665&gt;0,$AF665&gt;=0),IF(($I665-$AF665)/$I665&gt;0,($I665-$AF665)/$I665,0),"")</f>
        <v>1</v>
      </c>
      <c r="BC665" s="56"/>
      <c r="BD665" s="56">
        <f>IF(AND($G665&gt;0,$AM665&gt;0),IF(($G665-$AM665)/$G665&gt;0,($G665-$AM665)/$G665,0),"")</f>
        <v>0.55739972337482702</v>
      </c>
      <c r="BE665" s="6">
        <f>IF((AD665-AF665)/(AJ665/60)&lt;=0,"",(AD665-AF665)/(AJ665/60))</f>
        <v>8.8266666666666662</v>
      </c>
      <c r="BF665" s="6">
        <f>IF(OR(AJ665=0,AP665=0,NOT(ISNUMBER(AD665)),NOT(ISNUMBER(AF665)),NOT(ISNUMBER(AJ665)),NOT(ISNUMBER(AP665))),"",
IFERROR(IF((AD665-AF665)/(AJ665/60)/(AP665/1000)&lt;=0,"",(AD665-AF665)/(AJ665/60)/(AP665/1000)),""))</f>
        <v>2.6992864424056862</v>
      </c>
    </row>
    <row r="666" spans="1:58" ht="15.75">
      <c r="B666" s="11">
        <v>45926</v>
      </c>
      <c r="C666" s="1">
        <v>422</v>
      </c>
      <c r="D666" s="3">
        <v>661</v>
      </c>
      <c r="E666" s="205">
        <f t="shared" si="50"/>
        <v>226.11089200000004</v>
      </c>
      <c r="G666" s="15">
        <f>(N666*18-H666*18)/9</f>
        <v>14.540000000000001</v>
      </c>
      <c r="H666" s="9">
        <f>2*2.34</f>
        <v>4.68</v>
      </c>
      <c r="I666" s="15">
        <f>AD666</f>
        <v>34.6</v>
      </c>
      <c r="K666" s="10">
        <f t="shared" si="47"/>
        <v>15.550955433287484</v>
      </c>
      <c r="L666" s="9">
        <f t="shared" si="48"/>
        <v>3.2674984393063586</v>
      </c>
      <c r="M666" s="8">
        <f t="shared" si="49"/>
        <v>4.7592847317744154</v>
      </c>
      <c r="N666" s="7">
        <f>5*2.39</f>
        <v>11.950000000000001</v>
      </c>
      <c r="O666" s="6">
        <v>72.156000000000006</v>
      </c>
      <c r="P666" s="6">
        <v>23.821000000000002</v>
      </c>
      <c r="Q666" s="6">
        <f>O666*1.067</f>
        <v>76.990452000000005</v>
      </c>
      <c r="R666" s="6">
        <f>P666*1.514</f>
        <v>36.064994000000006</v>
      </c>
      <c r="S666" s="6">
        <f>Q666+R666</f>
        <v>113.05544600000002</v>
      </c>
      <c r="T666" s="6">
        <v>37.4</v>
      </c>
      <c r="U666" s="59">
        <f>1.802*1.067</f>
        <v>1.9227339999999999</v>
      </c>
      <c r="V666" s="59">
        <f>0*1.514</f>
        <v>0</v>
      </c>
      <c r="W666" s="23">
        <f>U666*1.067+V666*1.514</f>
        <v>2.0515571779999999</v>
      </c>
      <c r="AB666" s="5">
        <v>80</v>
      </c>
      <c r="AC666" s="7">
        <f>T666</f>
        <v>37.4</v>
      </c>
      <c r="AD666" s="1">
        <v>34.6</v>
      </c>
      <c r="AE666" s="1">
        <f>5*3.45</f>
        <v>17.25</v>
      </c>
      <c r="AF666" s="1">
        <v>0</v>
      </c>
      <c r="AJ666" s="2"/>
      <c r="AK666" s="3">
        <f>180+60</f>
        <v>240</v>
      </c>
      <c r="AL666" s="4">
        <f>AE666</f>
        <v>17.25</v>
      </c>
      <c r="AM666" s="1">
        <f>2*6.35</f>
        <v>12.7</v>
      </c>
      <c r="AN666" s="3">
        <v>40</v>
      </c>
      <c r="AP666" s="13">
        <f>AVERAGE(AO664:AO670)</f>
        <v>3270.0000000000273</v>
      </c>
      <c r="AR666" s="17">
        <f>(E666-W666)/E666</f>
        <v>0.99092676535900803</v>
      </c>
      <c r="AS666" s="16">
        <f>(I666-AF666)/I666</f>
        <v>1</v>
      </c>
      <c r="AT666" s="16"/>
      <c r="AU666" s="16">
        <f>(G666-AM666)/G666</f>
        <v>0.12654745529573599</v>
      </c>
      <c r="AV666" s="57">
        <f>IF(AND(ISNUMBER(E666),ISNUMBER(W666)),E666-W666,"")</f>
        <v>224.05933482200004</v>
      </c>
      <c r="AW666" s="57">
        <f>IF(AND(ISNUMBER(I666),ISNUMBER(AF666)),I666-AF666,"")</f>
        <v>34.6</v>
      </c>
      <c r="AX666" s="57">
        <f>IF(AND(ISNUMBER(AM666),ISNUMBER(G666)),G666-AM666,"")</f>
        <v>1.8400000000000016</v>
      </c>
      <c r="AY666" s="57">
        <f>IF(AND(ISNUMBER(AC666),ISNUMBER(AE666)),AC666-AE666,"")</f>
        <v>20.149999999999999</v>
      </c>
      <c r="AZ666" s="57">
        <f t="shared" si="46"/>
        <v>4.5500000000000007</v>
      </c>
      <c r="BA666" s="56">
        <f>IF(AND($E666&gt;0,$W666&gt;0),IF(($E666-$W666)/$E666&gt;0,($E666-$W666)/$E666,0),"")</f>
        <v>0.99092676535900803</v>
      </c>
      <c r="BB666" s="56">
        <f>IF(AND($I666&gt;0,$AF666&gt;=0),IF(($I666-$AF666)/$I666&gt;0,($I666-$AF666)/$I666,0),"")</f>
        <v>1</v>
      </c>
      <c r="BC666" s="56"/>
      <c r="BD666" s="56">
        <f>IF(AND($G666&gt;0,$AM666&gt;0),IF(($G666-$AM666)/$G666&gt;0,($G666-$AM666)/$G666,0),"")</f>
        <v>0.12654745529573599</v>
      </c>
      <c r="BE666" s="6" t="e">
        <f>IF((AD666-AF666)/(AJ666/60)&lt;=0,"",(AD666-AF666)/(AJ666/60))</f>
        <v>#DIV/0!</v>
      </c>
      <c r="BF666" s="6" t="str">
        <f>IF(OR(AJ666=0,AP666=0,NOT(ISNUMBER(AD666)),NOT(ISNUMBER(AF666)),NOT(ISNUMBER(AJ666)),NOT(ISNUMBER(AP666))),"",
IFERROR(IF((AD666-AF666)/(AJ666/60)/(AP666/1000)&lt;=0,"",(AD666-AF666)/(AJ666/60)/(AP666/1000)),""))</f>
        <v/>
      </c>
    </row>
    <row r="667" spans="1:58" ht="15.75">
      <c r="B667" s="11">
        <v>45927</v>
      </c>
      <c r="C667" s="1">
        <v>423</v>
      </c>
      <c r="D667" s="3">
        <v>662</v>
      </c>
      <c r="E667" s="205" t="str">
        <f t="shared" si="50"/>
        <v/>
      </c>
      <c r="I667" s="15">
        <f>AD667</f>
        <v>0</v>
      </c>
      <c r="K667" s="10" t="str">
        <f t="shared" ref="K667:K730" si="51">IF(OR(E667="",G667="",E667=0,G667=0),"",E667/G667)</f>
        <v/>
      </c>
      <c r="L667" s="9" t="str">
        <f t="shared" ref="L667:L730" si="52">IF(OR(E667="",I667="",E667=0,I667=0),"",E667/(I667*2))</f>
        <v/>
      </c>
      <c r="M667" s="8" t="str">
        <f t="shared" ref="M667:M730" si="53">IF(OR(I667="",G667="",I667=0,G667=0),"",I667*2/G667)</f>
        <v/>
      </c>
      <c r="AB667" s="5">
        <v>80</v>
      </c>
      <c r="AF667" s="1">
        <v>0</v>
      </c>
      <c r="AJ667" s="2">
        <f>("19:10"-"15:25")*1440</f>
        <v>225</v>
      </c>
      <c r="AK667" s="3">
        <f>180+60</f>
        <v>240</v>
      </c>
      <c r="AN667" s="3">
        <v>40</v>
      </c>
      <c r="AP667" s="13">
        <f>AVERAGE(AO665:AO671)</f>
        <v>3270.0000000000273</v>
      </c>
      <c r="AR667" s="17"/>
      <c r="AS667" s="16"/>
      <c r="AT667" s="16"/>
      <c r="AU667" s="16"/>
      <c r="AV667" s="57" t="str">
        <f>IF(AND(ISNUMBER(E667),ISNUMBER(W667)),E667-W667,"")</f>
        <v/>
      </c>
      <c r="AW667" s="57">
        <f>IF(AND(ISNUMBER(I667),ISNUMBER(AF667)),I667-AF667,"")</f>
        <v>0</v>
      </c>
      <c r="AX667" s="57" t="str">
        <f>IF(AND(ISNUMBER(AM667),ISNUMBER(G667)),G667-AM667,"")</f>
        <v/>
      </c>
      <c r="AY667" s="57" t="str">
        <f>IF(AND(ISNUMBER(AC667),ISNUMBER(AE667)),AC667-AE667,"")</f>
        <v/>
      </c>
      <c r="AZ667" s="57" t="str">
        <f t="shared" si="46"/>
        <v/>
      </c>
      <c r="BA667" s="56" t="str">
        <f>IF(AND($E667&gt;0,$W667&gt;0),IF(($E667-$W667)/$E667&gt;0,($E667-$W667)/$E667,0),"")</f>
        <v/>
      </c>
      <c r="BB667" s="56" t="str">
        <f>IF(AND($I667&gt;0,$AF667&gt;=0),IF(($I667-$AF667)/$I667&gt;0,($I667-$AF667)/$I667,0),"")</f>
        <v/>
      </c>
      <c r="BC667" s="56"/>
      <c r="BD667" s="56" t="str">
        <f>IF(AND($G667&gt;0,$AM667&gt;0),IF(($G667-$AM667)/$G667&gt;0,($G667-$AM667)/$G667,0),"")</f>
        <v/>
      </c>
      <c r="BE667" s="6" t="str">
        <f>IF((AD667-AF667)/(AJ667/60)&lt;=0,"",(AD667-AF667)/(AJ667/60))</f>
        <v/>
      </c>
      <c r="BF667" s="6" t="str">
        <f>IF(OR(AJ667=0,AP667=0,NOT(ISNUMBER(AD667)),NOT(ISNUMBER(AF667)),NOT(ISNUMBER(AJ667)),NOT(ISNUMBER(AP667))),"",
IFERROR(IF((AD667-AF667)/(AJ667/60)/(AP667/1000)&lt;=0,"",(AD667-AF667)/(AJ667/60)/(AP667/1000)),""))</f>
        <v/>
      </c>
    </row>
    <row r="668" spans="1:58" ht="15.75">
      <c r="B668" s="11">
        <v>45928</v>
      </c>
      <c r="C668" s="1">
        <v>424</v>
      </c>
      <c r="D668" s="3">
        <v>663</v>
      </c>
      <c r="E668" s="205" t="str">
        <f t="shared" si="50"/>
        <v/>
      </c>
      <c r="G668" s="41">
        <v>14.540000000000001</v>
      </c>
      <c r="I668" s="15">
        <f>AD668</f>
        <v>0</v>
      </c>
      <c r="K668" s="10" t="str">
        <f t="shared" si="51"/>
        <v/>
      </c>
      <c r="L668" s="9" t="str">
        <f t="shared" si="52"/>
        <v/>
      </c>
      <c r="M668" s="8" t="str">
        <f t="shared" si="53"/>
        <v/>
      </c>
      <c r="AB668" s="5">
        <v>80</v>
      </c>
      <c r="AE668" s="1">
        <f>5*2.27</f>
        <v>11.35</v>
      </c>
      <c r="AF668" s="1">
        <v>0</v>
      </c>
      <c r="AJ668" s="2">
        <f>("21:05"-"17:25")*1440</f>
        <v>220.00000000000003</v>
      </c>
      <c r="AK668" s="3">
        <f>180+60</f>
        <v>240</v>
      </c>
      <c r="AL668" s="4">
        <f>AE668</f>
        <v>11.35</v>
      </c>
      <c r="AM668" s="1">
        <f>2*4</f>
        <v>8</v>
      </c>
      <c r="AN668" s="3">
        <v>40</v>
      </c>
      <c r="AP668" s="13" t="e">
        <f>AVERAGE(AO666:AO672)</f>
        <v>#DIV/0!</v>
      </c>
      <c r="AR668" s="17"/>
      <c r="AS668" s="16"/>
      <c r="AT668" s="16"/>
      <c r="AU668" s="16">
        <f>(G668-AM668)/G668</f>
        <v>0.44979367262723524</v>
      </c>
      <c r="AV668" s="57" t="str">
        <f>IF(AND(ISNUMBER(E668),ISNUMBER(W668)),E668-W668,"")</f>
        <v/>
      </c>
      <c r="AW668" s="57">
        <f>IF(AND(ISNUMBER(I668),ISNUMBER(AF668)),I668-AF668,"")</f>
        <v>0</v>
      </c>
      <c r="AX668" s="57">
        <f>IF(AND(ISNUMBER(AM668),ISNUMBER(G668)),G668-AM668,"")</f>
        <v>6.5400000000000009</v>
      </c>
      <c r="AY668" s="57" t="str">
        <f>IF(AND(ISNUMBER(AC668),ISNUMBER(AE668)),AC668-AE668,"")</f>
        <v/>
      </c>
      <c r="AZ668" s="57">
        <f t="shared" si="46"/>
        <v>3.3499999999999996</v>
      </c>
      <c r="BA668" s="56" t="str">
        <f>IF(AND($E668&gt;0,$W668&gt;0),IF(($E668-$W668)/$E668&gt;0,($E668-$W668)/$E668,0),"")</f>
        <v/>
      </c>
      <c r="BB668" s="56" t="str">
        <f>IF(AND($I668&gt;0,$AF668&gt;=0),IF(($I668-$AF668)/$I668&gt;0,($I668-$AF668)/$I668,0),"")</f>
        <v/>
      </c>
      <c r="BC668" s="56"/>
      <c r="BD668" s="56">
        <f>IF(AND($G668&gt;0,$AM668&gt;0),IF(($G668-$AM668)/$G668&gt;0,($G668-$AM668)/$G668,0),"")</f>
        <v>0.44979367262723524</v>
      </c>
      <c r="BE668" s="6" t="str">
        <f>IF((AD668-AF668)/(AJ668/60)&lt;=0,"",(AD668-AF668)/(AJ668/60))</f>
        <v/>
      </c>
      <c r="BF668" s="6"/>
    </row>
    <row r="669" spans="1:58" ht="15.75">
      <c r="B669" s="11">
        <v>45929</v>
      </c>
      <c r="C669" s="1">
        <v>425</v>
      </c>
      <c r="D669" s="3">
        <v>664</v>
      </c>
      <c r="E669" s="205" t="str">
        <f t="shared" si="50"/>
        <v/>
      </c>
      <c r="I669" s="15">
        <f>AD669</f>
        <v>0</v>
      </c>
      <c r="K669" s="10" t="str">
        <f t="shared" si="51"/>
        <v/>
      </c>
      <c r="L669" s="9" t="str">
        <f t="shared" si="52"/>
        <v/>
      </c>
      <c r="M669" s="8" t="str">
        <f t="shared" si="53"/>
        <v/>
      </c>
      <c r="AB669" s="5">
        <v>80</v>
      </c>
      <c r="AF669" s="1">
        <v>0</v>
      </c>
      <c r="AJ669" s="2">
        <f>("20:55"-"17:30")*1440</f>
        <v>205.00000000000006</v>
      </c>
      <c r="AK669" s="3">
        <f>180+60</f>
        <v>240</v>
      </c>
      <c r="AN669" s="3">
        <v>40</v>
      </c>
      <c r="AP669" s="13" t="e">
        <f>AVERAGE(AO667:AO673)</f>
        <v>#DIV/0!</v>
      </c>
      <c r="AR669" s="17"/>
      <c r="AS669" s="16"/>
      <c r="AT669" s="16"/>
      <c r="AU669" s="16"/>
      <c r="AV669" s="57" t="str">
        <f>IF(AND(ISNUMBER(E669),ISNUMBER(W669)),E669-W669,"")</f>
        <v/>
      </c>
      <c r="AW669" s="57">
        <f>IF(AND(ISNUMBER(I669),ISNUMBER(AF669)),I669-AF669,"")</f>
        <v>0</v>
      </c>
      <c r="AX669" s="57" t="str">
        <f>IF(AND(ISNUMBER(AM669),ISNUMBER(G669)),G669-AM669,"")</f>
        <v/>
      </c>
      <c r="AY669" s="57" t="str">
        <f>IF(AND(ISNUMBER(AC669),ISNUMBER(AE669)),AC669-AE669,"")</f>
        <v/>
      </c>
      <c r="AZ669" s="57" t="str">
        <f t="shared" si="46"/>
        <v/>
      </c>
      <c r="BA669" s="56" t="str">
        <f>IF(AND($E669&gt;0,$W669&gt;0),IF(($E669-$W669)/$E669&gt;0,($E669-$W669)/$E669,0),"")</f>
        <v/>
      </c>
      <c r="BB669" s="56" t="str">
        <f>IF(AND($I669&gt;0,$AF669&gt;=0),IF(($I669-$AF669)/$I669&gt;0,($I669-$AF669)/$I669,0),"")</f>
        <v/>
      </c>
      <c r="BC669" s="56"/>
      <c r="BD669" s="56" t="str">
        <f>IF(AND($G669&gt;0,$AM669&gt;0),IF(($G669-$AM669)/$G669&gt;0,($G669-$AM669)/$G669,0),"")</f>
        <v/>
      </c>
      <c r="BE669" s="6" t="str">
        <f>IF((AD669-AF669)/(AJ669/60)&lt;=0,"",(AD669-AF669)/(AJ669/60))</f>
        <v/>
      </c>
      <c r="BF669" s="6"/>
    </row>
    <row r="670" spans="1:58" ht="15.75">
      <c r="B670" s="11">
        <v>45930</v>
      </c>
      <c r="C670" s="1">
        <v>426</v>
      </c>
      <c r="D670" s="3">
        <v>665</v>
      </c>
      <c r="E670" s="205" t="str">
        <f t="shared" si="50"/>
        <v/>
      </c>
      <c r="I670" s="15">
        <f>AD670</f>
        <v>0</v>
      </c>
      <c r="K670" s="10" t="str">
        <f t="shared" si="51"/>
        <v/>
      </c>
      <c r="L670" s="9" t="str">
        <f t="shared" si="52"/>
        <v/>
      </c>
      <c r="M670" s="8" t="str">
        <f t="shared" si="53"/>
        <v/>
      </c>
      <c r="AB670" s="5">
        <v>80</v>
      </c>
      <c r="AF670" s="1">
        <v>0</v>
      </c>
      <c r="AJ670" s="1">
        <v>149</v>
      </c>
      <c r="AK670" s="3">
        <f>180+60</f>
        <v>240</v>
      </c>
      <c r="AN670" s="3">
        <v>40</v>
      </c>
      <c r="AP670" s="13" t="e">
        <f>AVERAGE(AO668:AO674)</f>
        <v>#DIV/0!</v>
      </c>
      <c r="AR670" s="17"/>
      <c r="AS670" s="16"/>
      <c r="AT670" s="16"/>
      <c r="AU670" s="16"/>
      <c r="AV670" s="57" t="str">
        <f>IF(AND(ISNUMBER(E670),ISNUMBER(W670)),E670-W670,"")</f>
        <v/>
      </c>
      <c r="AW670" s="57">
        <f>IF(AND(ISNUMBER(I670),ISNUMBER(AF670)),I670-AF670,"")</f>
        <v>0</v>
      </c>
      <c r="AX670" s="57" t="str">
        <f>IF(AND(ISNUMBER(AM670),ISNUMBER(G670)),G670-AM670,"")</f>
        <v/>
      </c>
      <c r="AY670" s="57" t="str">
        <f>IF(AND(ISNUMBER(AC670),ISNUMBER(AE670)),AC670-AE670,"")</f>
        <v/>
      </c>
      <c r="AZ670" s="57" t="str">
        <f t="shared" si="46"/>
        <v/>
      </c>
      <c r="BA670" s="56" t="str">
        <f>IF(AND($E670&gt;0,$W670&gt;0),IF(($E670-$W670)/$E670&gt;0,($E670-$W670)/$E670,0),"")</f>
        <v/>
      </c>
      <c r="BB670" s="56" t="str">
        <f>IF(AND($I670&gt;0,$AF670&gt;=0),IF(($I670-$AF670)/$I670&gt;0,($I670-$AF670)/$I670,0),"")</f>
        <v/>
      </c>
      <c r="BC670" s="56"/>
      <c r="BD670" s="56" t="str">
        <f>IF(AND($G670&gt;0,$AM670&gt;0),IF(($G670-$AM670)/$G670&gt;0,($G670-$AM670)/$G670,0),"")</f>
        <v/>
      </c>
      <c r="BE670" s="6" t="str">
        <f>IF((AD670-AF670)/(AJ670/60)&lt;=0,"",(AD670-AF670)/(AJ670/60))</f>
        <v/>
      </c>
      <c r="BF670" s="6"/>
    </row>
    <row r="671" spans="1:58" ht="15.75">
      <c r="B671" s="11">
        <v>45931</v>
      </c>
      <c r="C671" s="1">
        <v>427</v>
      </c>
      <c r="D671" s="3">
        <v>666</v>
      </c>
      <c r="E671" s="205" t="str">
        <f t="shared" si="50"/>
        <v/>
      </c>
      <c r="I671" s="15">
        <f>AD671</f>
        <v>0</v>
      </c>
      <c r="K671" s="10" t="str">
        <f t="shared" si="51"/>
        <v/>
      </c>
      <c r="L671" s="9" t="str">
        <f t="shared" si="52"/>
        <v/>
      </c>
      <c r="M671" s="8" t="str">
        <f t="shared" si="53"/>
        <v/>
      </c>
      <c r="AB671" s="5">
        <v>80</v>
      </c>
      <c r="AF671" s="1">
        <v>0</v>
      </c>
      <c r="AJ671" s="1">
        <v>141</v>
      </c>
      <c r="AK671" s="3">
        <f>180+60</f>
        <v>240</v>
      </c>
      <c r="AN671" s="3">
        <v>40</v>
      </c>
      <c r="AP671" s="13" t="e">
        <f>AVERAGE(AO669:AO675)</f>
        <v>#DIV/0!</v>
      </c>
      <c r="AR671" s="17"/>
      <c r="AS671" s="16"/>
      <c r="AT671" s="16"/>
      <c r="AU671" s="16"/>
      <c r="AV671" s="57" t="str">
        <f>IF(AND(ISNUMBER(E671),ISNUMBER(W671)),E671-W671,"")</f>
        <v/>
      </c>
      <c r="AW671" s="57">
        <f>IF(AND(ISNUMBER(I671),ISNUMBER(AF671)),I671-AF671,"")</f>
        <v>0</v>
      </c>
      <c r="AX671" s="57" t="str">
        <f>IF(AND(ISNUMBER(AM671),ISNUMBER(G671)),G671-AM671,"")</f>
        <v/>
      </c>
      <c r="AY671" s="57" t="str">
        <f>IF(AND(ISNUMBER(AC671),ISNUMBER(AE671)),AC671-AE671,"")</f>
        <v/>
      </c>
      <c r="AZ671" s="57" t="str">
        <f t="shared" si="46"/>
        <v/>
      </c>
      <c r="BA671" s="56" t="str">
        <f>IF(AND($E671&gt;0,$W671&gt;0),IF(($E671-$W671)/$E671&gt;0,($E671-$W671)/$E671,0),"")</f>
        <v/>
      </c>
      <c r="BB671" s="56" t="str">
        <f>IF(AND($I671&gt;0,$AF671&gt;=0),IF(($I671-$AF671)/$I671&gt;0,($I671-$AF671)/$I671,0),"")</f>
        <v/>
      </c>
      <c r="BC671" s="56"/>
      <c r="BD671" s="56" t="str">
        <f>IF(AND($G671&gt;0,$AM671&gt;0),IF(($G671-$AM671)/$G671&gt;0,($G671-$AM671)/$G671,0),"")</f>
        <v/>
      </c>
      <c r="BE671" s="6" t="str">
        <f>IF((AD671-AF671)/(AJ671/60)&lt;=0,"",(AD671-AF671)/(AJ671/60))</f>
        <v/>
      </c>
      <c r="BF671" s="6"/>
    </row>
    <row r="672" spans="1:58" ht="15.75">
      <c r="B672" s="11">
        <v>45932</v>
      </c>
      <c r="C672" s="1">
        <v>428</v>
      </c>
      <c r="D672" s="3">
        <v>667</v>
      </c>
      <c r="E672" s="205" t="str">
        <f t="shared" si="50"/>
        <v/>
      </c>
      <c r="I672" s="15">
        <f>AD672</f>
        <v>0</v>
      </c>
      <c r="K672" s="10" t="str">
        <f t="shared" si="51"/>
        <v/>
      </c>
      <c r="L672" s="9" t="str">
        <f t="shared" si="52"/>
        <v/>
      </c>
      <c r="M672" s="8" t="str">
        <f t="shared" si="53"/>
        <v/>
      </c>
      <c r="AB672" s="5">
        <v>80</v>
      </c>
      <c r="AF672" s="1">
        <v>0</v>
      </c>
      <c r="AJ672" s="1">
        <v>141</v>
      </c>
      <c r="AK672" s="3">
        <f>180+60</f>
        <v>240</v>
      </c>
      <c r="AN672" s="3">
        <v>40</v>
      </c>
      <c r="AP672" s="13" t="e">
        <f>AVERAGE(AO670:AO676)</f>
        <v>#DIV/0!</v>
      </c>
      <c r="AR672" s="17"/>
      <c r="AS672" s="16"/>
      <c r="AT672" s="16"/>
      <c r="AU672" s="16"/>
      <c r="AV672" s="57" t="str">
        <f>IF(AND(ISNUMBER(E672),ISNUMBER(W672)),E672-W672,"")</f>
        <v/>
      </c>
      <c r="AW672" s="57">
        <f>IF(AND(ISNUMBER(I672),ISNUMBER(AF672)),I672-AF672,"")</f>
        <v>0</v>
      </c>
      <c r="AX672" s="57" t="str">
        <f>IF(AND(ISNUMBER(AM672),ISNUMBER(G672)),G672-AM672,"")</f>
        <v/>
      </c>
      <c r="AY672" s="57" t="str">
        <f>IF(AND(ISNUMBER(AC672),ISNUMBER(AE672)),AC672-AE672,"")</f>
        <v/>
      </c>
      <c r="AZ672" s="57" t="str">
        <f t="shared" si="46"/>
        <v/>
      </c>
      <c r="BA672" s="56" t="str">
        <f>IF(AND($E672&gt;0,$W672&gt;0),IF(($E672-$W672)/$E672&gt;0,($E672-$W672)/$E672,0),"")</f>
        <v/>
      </c>
      <c r="BB672" s="56" t="str">
        <f>IF(AND($I672&gt;0,$AF672&gt;=0),IF(($I672-$AF672)/$I672&gt;0,($I672-$AF672)/$I672,0),"")</f>
        <v/>
      </c>
      <c r="BC672" s="56"/>
      <c r="BD672" s="56" t="str">
        <f>IF(AND($G672&gt;0,$AM672&gt;0),IF(($G672-$AM672)/$G672&gt;0,($G672-$AM672)/$G672,0),"")</f>
        <v/>
      </c>
      <c r="BE672" s="6" t="str">
        <f>IF((AD672-AF672)/(AJ672/60)&lt;=0,"",(AD672-AF672)/(AJ672/60))</f>
        <v/>
      </c>
      <c r="BF672" s="6"/>
    </row>
    <row r="673" spans="1:58" ht="15.75">
      <c r="B673" s="11">
        <v>45933</v>
      </c>
      <c r="C673" s="1">
        <v>429</v>
      </c>
      <c r="D673" s="3">
        <v>668</v>
      </c>
      <c r="E673" s="205" t="str">
        <f t="shared" si="50"/>
        <v/>
      </c>
      <c r="I673" s="15">
        <f>AD673</f>
        <v>0</v>
      </c>
      <c r="K673" s="10" t="str">
        <f t="shared" si="51"/>
        <v/>
      </c>
      <c r="L673" s="9" t="str">
        <f t="shared" si="52"/>
        <v/>
      </c>
      <c r="M673" s="8" t="str">
        <f t="shared" si="53"/>
        <v/>
      </c>
      <c r="AB673" s="5">
        <v>80</v>
      </c>
      <c r="AF673" s="1">
        <v>0</v>
      </c>
      <c r="AJ673" s="1">
        <v>125</v>
      </c>
      <c r="AK673" s="3">
        <f>180+60</f>
        <v>240</v>
      </c>
      <c r="AM673" s="1">
        <f>2*5.67</f>
        <v>11.34</v>
      </c>
      <c r="AN673" s="3">
        <v>40</v>
      </c>
      <c r="AP673" s="13" t="e">
        <f>AVERAGE(AO671:AO677)</f>
        <v>#DIV/0!</v>
      </c>
      <c r="AR673" s="17"/>
      <c r="AS673" s="16"/>
      <c r="AT673" s="16"/>
      <c r="AU673" s="16"/>
      <c r="AV673" s="57" t="str">
        <f>IF(AND(ISNUMBER(E673),ISNUMBER(W673)),E673-W673,"")</f>
        <v/>
      </c>
      <c r="AW673" s="57">
        <f>IF(AND(ISNUMBER(I673),ISNUMBER(AF673)),I673-AF673,"")</f>
        <v>0</v>
      </c>
      <c r="AX673" s="57" t="str">
        <f>IF(AND(ISNUMBER(AM673),ISNUMBER(G673)),G673-AM673,"")</f>
        <v/>
      </c>
      <c r="AY673" s="57" t="str">
        <f>IF(AND(ISNUMBER(AC673),ISNUMBER(AE673)),AC673-AE673,"")</f>
        <v/>
      </c>
      <c r="AZ673" s="57" t="str">
        <f t="shared" si="46"/>
        <v/>
      </c>
      <c r="BA673" s="56" t="str">
        <f>IF(AND($E673&gt;0,$W673&gt;0),IF(($E673-$W673)/$E673&gt;0,($E673-$W673)/$E673,0),"")</f>
        <v/>
      </c>
      <c r="BB673" s="56" t="str">
        <f>IF(AND($I673&gt;0,$AF673&gt;=0),IF(($I673-$AF673)/$I673&gt;0,($I673-$AF673)/$I673,0),"")</f>
        <v/>
      </c>
      <c r="BC673" s="56"/>
      <c r="BD673" s="56" t="str">
        <f>IF(AND($G673&gt;0,$AM673&gt;0),IF(($G673-$AM673)/$G673&gt;0,($G673-$AM673)/$G673,0),"")</f>
        <v/>
      </c>
      <c r="BE673" s="6" t="str">
        <f>IF((AD673-AF673)/(AJ673/60)&lt;=0,"",(AD673-AF673)/(AJ673/60))</f>
        <v/>
      </c>
      <c r="BF673" s="6"/>
    </row>
    <row r="674" spans="1:58" ht="15.75">
      <c r="B674" s="11">
        <v>45934</v>
      </c>
      <c r="C674" s="1">
        <v>430</v>
      </c>
      <c r="D674" s="3">
        <v>669</v>
      </c>
      <c r="E674" s="205" t="str">
        <f t="shared" si="50"/>
        <v/>
      </c>
      <c r="I674" s="15">
        <f>AD674</f>
        <v>0</v>
      </c>
      <c r="K674" s="10" t="str">
        <f t="shared" si="51"/>
        <v/>
      </c>
      <c r="L674" s="9" t="str">
        <f t="shared" si="52"/>
        <v/>
      </c>
      <c r="M674" s="8" t="str">
        <f t="shared" si="53"/>
        <v/>
      </c>
      <c r="AB674" s="5">
        <v>80</v>
      </c>
      <c r="AF674" s="1">
        <v>0</v>
      </c>
      <c r="AJ674" s="1">
        <v>125</v>
      </c>
      <c r="AK674" s="3">
        <f>180+60</f>
        <v>240</v>
      </c>
      <c r="AN674" s="3">
        <v>40</v>
      </c>
      <c r="AP674" s="13" t="e">
        <f>AVERAGE(AO672:AO678)</f>
        <v>#DIV/0!</v>
      </c>
      <c r="AR674" s="17"/>
      <c r="AS674" s="16"/>
      <c r="AT674" s="16"/>
      <c r="AU674" s="16"/>
      <c r="AV674" s="57" t="str">
        <f>IF(AND(ISNUMBER(E674),ISNUMBER(W674)),E674-W674,"")</f>
        <v/>
      </c>
      <c r="AW674" s="57">
        <f>IF(AND(ISNUMBER(I674),ISNUMBER(AF674)),I674-AF674,"")</f>
        <v>0</v>
      </c>
      <c r="AX674" s="57" t="str">
        <f>IF(AND(ISNUMBER(AM674),ISNUMBER(G674)),G674-AM674,"")</f>
        <v/>
      </c>
      <c r="AY674" s="57" t="str">
        <f>IF(AND(ISNUMBER(AC674),ISNUMBER(AE674)),AC674-AE674,"")</f>
        <v/>
      </c>
      <c r="AZ674" s="57" t="str">
        <f t="shared" si="46"/>
        <v/>
      </c>
      <c r="BA674" s="56" t="str">
        <f>IF(AND($E674&gt;0,$W674&gt;0),IF(($E674-$W674)/$E674&gt;0,($E674-$W674)/$E674,0),"")</f>
        <v/>
      </c>
      <c r="BB674" s="56" t="str">
        <f>IF(AND($I674&gt;0,$AF674&gt;=0),IF(($I674-$AF674)/$I674&gt;0,($I674-$AF674)/$I674,0),"")</f>
        <v/>
      </c>
      <c r="BC674" s="56"/>
      <c r="BD674" s="56" t="str">
        <f>IF(AND($G674&gt;0,$AM674&gt;0),IF(($G674-$AM674)/$G674&gt;0,($G674-$AM674)/$G674,0),"")</f>
        <v/>
      </c>
      <c r="BE674" s="6" t="str">
        <f>IF((AD674-AF674)/(AJ674/60)&lt;=0,"",(AD674-AF674)/(AJ674/60))</f>
        <v/>
      </c>
      <c r="BF674" s="6"/>
    </row>
    <row r="675" spans="1:58" ht="15.75">
      <c r="B675" s="11">
        <v>45935</v>
      </c>
      <c r="C675" s="1">
        <v>431</v>
      </c>
      <c r="D675" s="3">
        <v>670</v>
      </c>
      <c r="E675" s="205" t="str">
        <f t="shared" si="50"/>
        <v/>
      </c>
      <c r="I675" s="15">
        <f>AD675</f>
        <v>0</v>
      </c>
      <c r="K675" s="10" t="str">
        <f t="shared" si="51"/>
        <v/>
      </c>
      <c r="L675" s="9" t="str">
        <f t="shared" si="52"/>
        <v/>
      </c>
      <c r="M675" s="8" t="str">
        <f t="shared" si="53"/>
        <v/>
      </c>
      <c r="AB675" s="5">
        <v>80</v>
      </c>
      <c r="AF675" s="1">
        <v>0</v>
      </c>
      <c r="AJ675" s="1">
        <v>123</v>
      </c>
      <c r="AK675" s="3">
        <f>180+60</f>
        <v>240</v>
      </c>
      <c r="AN675" s="3">
        <v>40</v>
      </c>
      <c r="AP675" s="13" t="e">
        <f>AVERAGE(AO673:AO679)</f>
        <v>#DIV/0!</v>
      </c>
      <c r="AR675" s="17"/>
      <c r="AS675" s="16"/>
      <c r="AT675" s="16"/>
      <c r="AU675" s="16"/>
      <c r="AV675" s="57" t="str">
        <f>IF(AND(ISNUMBER(E675),ISNUMBER(W675)),E675-W675,"")</f>
        <v/>
      </c>
      <c r="AW675" s="57">
        <f>IF(AND(ISNUMBER(I675),ISNUMBER(AF675)),I675-AF675,"")</f>
        <v>0</v>
      </c>
      <c r="AX675" s="57" t="str">
        <f>IF(AND(ISNUMBER(AM675),ISNUMBER(G675)),G675-AM675,"")</f>
        <v/>
      </c>
      <c r="AY675" s="57" t="str">
        <f>IF(AND(ISNUMBER(AC675),ISNUMBER(AE675)),AC675-AE675,"")</f>
        <v/>
      </c>
      <c r="AZ675" s="57" t="str">
        <f t="shared" si="46"/>
        <v/>
      </c>
      <c r="BA675" s="56" t="str">
        <f>IF(AND($E675&gt;0,$W675&gt;0),IF(($E675-$W675)/$E675&gt;0,($E675-$W675)/$E675,0),"")</f>
        <v/>
      </c>
      <c r="BB675" s="56" t="str">
        <f>IF(AND($I675&gt;0,$AF675&gt;=0),IF(($I675-$AF675)/$I675&gt;0,($I675-$AF675)/$I675,0),"")</f>
        <v/>
      </c>
      <c r="BC675" s="56"/>
      <c r="BD675" s="56" t="str">
        <f>IF(AND($G675&gt;0,$AM675&gt;0),IF(($G675-$AM675)/$G675&gt;0,($G675-$AM675)/$G675,0),"")</f>
        <v/>
      </c>
      <c r="BE675" s="6" t="str">
        <f>IF((AD675-AF675)/(AJ675/60)&lt;=0,"",(AD675-AF675)/(AJ675/60))</f>
        <v/>
      </c>
      <c r="BF675" s="6"/>
    </row>
    <row r="676" spans="1:58" ht="15.75">
      <c r="B676" s="11">
        <v>45936</v>
      </c>
      <c r="C676" s="1">
        <v>432</v>
      </c>
      <c r="D676" s="3">
        <v>671</v>
      </c>
      <c r="E676" s="205" t="str">
        <f t="shared" si="50"/>
        <v/>
      </c>
      <c r="G676" s="58">
        <v>14.400000000000002</v>
      </c>
      <c r="I676" s="15">
        <f>AD676</f>
        <v>29</v>
      </c>
      <c r="K676" s="10" t="str">
        <f t="shared" si="51"/>
        <v/>
      </c>
      <c r="L676" s="9" t="str">
        <f t="shared" si="52"/>
        <v/>
      </c>
      <c r="M676" s="8">
        <f t="shared" si="53"/>
        <v>4.0277777777777768</v>
      </c>
      <c r="AB676" s="5">
        <v>80</v>
      </c>
      <c r="AD676" s="1">
        <v>29</v>
      </c>
      <c r="AE676" s="1">
        <f>5*2.83</f>
        <v>14.15</v>
      </c>
      <c r="AF676" s="1">
        <v>0</v>
      </c>
      <c r="AJ676" s="1">
        <v>139</v>
      </c>
      <c r="AK676" s="3">
        <f>180+60</f>
        <v>240</v>
      </c>
      <c r="AL676" s="4">
        <f>AE676</f>
        <v>14.15</v>
      </c>
      <c r="AM676" s="1">
        <f>2*4.52</f>
        <v>9.0399999999999991</v>
      </c>
      <c r="AN676" s="3">
        <v>40</v>
      </c>
      <c r="AP676" s="13" t="e">
        <f>AVERAGE(AO674:AO680)</f>
        <v>#DIV/0!</v>
      </c>
      <c r="AR676" s="17"/>
      <c r="AS676" s="16">
        <f>(I676-AF676)/I676</f>
        <v>1</v>
      </c>
      <c r="AT676" s="16"/>
      <c r="AU676" s="16">
        <f>(G676-AM676)/G676</f>
        <v>0.3722222222222224</v>
      </c>
      <c r="AV676" s="57" t="str">
        <f>IF(AND(ISNUMBER(E676),ISNUMBER(W676)),E676-W676,"")</f>
        <v/>
      </c>
      <c r="AW676" s="57">
        <f>IF(AND(ISNUMBER(I676),ISNUMBER(AF676)),I676-AF676,"")</f>
        <v>29</v>
      </c>
      <c r="AX676" s="57">
        <f>IF(AND(ISNUMBER(AM676),ISNUMBER(G676)),G676-AM676,"")</f>
        <v>5.360000000000003</v>
      </c>
      <c r="AY676" s="57" t="str">
        <f>IF(AND(ISNUMBER(AC676),ISNUMBER(AE676)),AC676-AE676,"")</f>
        <v/>
      </c>
      <c r="AZ676" s="57">
        <f t="shared" si="46"/>
        <v>5.1100000000000012</v>
      </c>
      <c r="BA676" s="56" t="str">
        <f>IF(AND($E676&gt;0,$W676&gt;0),IF(($E676-$W676)/$E676&gt;0,($E676-$W676)/$E676,0),"")</f>
        <v/>
      </c>
      <c r="BB676" s="56">
        <f>IF(AND($I676&gt;0,$AF676&gt;=0),IF(($I676-$AF676)/$I676&gt;0,($I676-$AF676)/$I676,0),"")</f>
        <v>1</v>
      </c>
      <c r="BC676" s="56"/>
      <c r="BD676" s="56">
        <f>IF(AND($G676&gt;0,$AM676&gt;0),IF(($G676-$AM676)/$G676&gt;0,($G676-$AM676)/$G676,0),"")</f>
        <v>0.3722222222222224</v>
      </c>
      <c r="BE676" s="6">
        <f>IF((AD676-AF676)/(AJ676/60)&lt;=0,"",(AD676-AF676)/(AJ676/60))</f>
        <v>12.51798561151079</v>
      </c>
      <c r="BF676" s="6"/>
    </row>
    <row r="677" spans="1:58" ht="15.75">
      <c r="B677" s="11">
        <v>45937</v>
      </c>
      <c r="C677" s="1">
        <v>433</v>
      </c>
      <c r="D677" s="3">
        <v>672</v>
      </c>
      <c r="E677" s="205" t="str">
        <f t="shared" si="50"/>
        <v/>
      </c>
      <c r="I677" s="15">
        <f>AD677</f>
        <v>0</v>
      </c>
      <c r="K677" s="10" t="str">
        <f t="shared" si="51"/>
        <v/>
      </c>
      <c r="L677" s="9" t="str">
        <f t="shared" si="52"/>
        <v/>
      </c>
      <c r="M677" s="8" t="str">
        <f t="shared" si="53"/>
        <v/>
      </c>
      <c r="AB677" s="5">
        <v>80</v>
      </c>
      <c r="AE677" s="1">
        <f>5*2.9</f>
        <v>14.5</v>
      </c>
      <c r="AF677" s="1">
        <v>0</v>
      </c>
      <c r="AG677" s="1">
        <v>10.53</v>
      </c>
      <c r="AH677" s="20">
        <v>0.51678240740740744</v>
      </c>
      <c r="AJ677" s="1">
        <v>141</v>
      </c>
      <c r="AK677" s="3">
        <f>180+60</f>
        <v>240</v>
      </c>
      <c r="AL677" s="4">
        <f>AE677</f>
        <v>14.5</v>
      </c>
      <c r="AM677" s="1">
        <f>5*1.99</f>
        <v>9.9499999999999993</v>
      </c>
      <c r="AN677" s="3">
        <v>40</v>
      </c>
      <c r="AP677" s="13" t="e">
        <f>AVERAGE(AO675:AO681)</f>
        <v>#DIV/0!</v>
      </c>
      <c r="AR677" s="17"/>
      <c r="AS677" s="16"/>
      <c r="AT677" s="16"/>
      <c r="AU677" s="16"/>
      <c r="AV677" s="57" t="str">
        <f>IF(AND(ISNUMBER(E677),ISNUMBER(W677)),E677-W677,"")</f>
        <v/>
      </c>
      <c r="AW677" s="57">
        <f>IF(AND(ISNUMBER(I677),ISNUMBER(AF677)),I677-AF677,"")</f>
        <v>0</v>
      </c>
      <c r="AX677" s="57" t="str">
        <f>IF(AND(ISNUMBER(AM677),ISNUMBER(G677)),G677-AM677,"")</f>
        <v/>
      </c>
      <c r="AY677" s="57" t="str">
        <f>IF(AND(ISNUMBER(AC677),ISNUMBER(AE677)),AC677-AE677,"")</f>
        <v/>
      </c>
      <c r="AZ677" s="57">
        <f t="shared" si="46"/>
        <v>4.5500000000000007</v>
      </c>
      <c r="BA677" s="56" t="str">
        <f>IF(AND($E677&gt;0,$W677&gt;0),IF(($E677-$W677)/$E677&gt;0,($E677-$W677)/$E677,0),"")</f>
        <v/>
      </c>
      <c r="BB677" s="56" t="str">
        <f>IF(AND($I677&gt;0,$AF677&gt;=0),IF(($I677-$AF677)/$I677&gt;0,($I677-$AF677)/$I677,0),"")</f>
        <v/>
      </c>
      <c r="BC677" s="56"/>
      <c r="BD677" s="56" t="str">
        <f>IF(AND($G677&gt;0,$AM677&gt;0),IF(($G677-$AM677)/$G677&gt;0,($G677-$AM677)/$G677,0),"")</f>
        <v/>
      </c>
      <c r="BE677" s="6" t="str">
        <f>IF((AD677-AF677)/(AJ677/60)&lt;=0,"",(AD677-AF677)/(AJ677/60))</f>
        <v/>
      </c>
      <c r="BF677" s="6"/>
    </row>
    <row r="678" spans="1:58" ht="15.75">
      <c r="B678" s="11">
        <v>45938</v>
      </c>
      <c r="C678" s="1">
        <v>434</v>
      </c>
      <c r="D678" s="3">
        <v>673</v>
      </c>
      <c r="E678" s="205" t="str">
        <f t="shared" si="50"/>
        <v/>
      </c>
      <c r="I678" s="15">
        <f>AD678</f>
        <v>0</v>
      </c>
      <c r="K678" s="10" t="str">
        <f t="shared" si="51"/>
        <v/>
      </c>
      <c r="L678" s="9" t="str">
        <f t="shared" si="52"/>
        <v/>
      </c>
      <c r="M678" s="8" t="str">
        <f t="shared" si="53"/>
        <v/>
      </c>
      <c r="N678" s="7">
        <f>5*3.24</f>
        <v>16.200000000000003</v>
      </c>
      <c r="Q678" s="6">
        <f>O678*1.067</f>
        <v>0</v>
      </c>
      <c r="R678" s="6">
        <f>P678*1.514</f>
        <v>0</v>
      </c>
      <c r="S678" s="6">
        <f>Q678+R678</f>
        <v>0</v>
      </c>
      <c r="W678" s="23">
        <f>U678*1.067+V678*1.514</f>
        <v>0</v>
      </c>
      <c r="AB678" s="5">
        <v>80</v>
      </c>
      <c r="AF678" s="1">
        <v>0</v>
      </c>
      <c r="AG678" s="1">
        <v>9.74</v>
      </c>
      <c r="AH678" s="20">
        <v>0.49247685185185186</v>
      </c>
      <c r="AJ678" s="1">
        <v>161</v>
      </c>
      <c r="AK678" s="3">
        <f>180+60</f>
        <v>240</v>
      </c>
      <c r="AN678" s="3">
        <v>40</v>
      </c>
      <c r="AP678" s="13" t="e">
        <f>AVERAGE(AO676:AO682)</f>
        <v>#DIV/0!</v>
      </c>
      <c r="AR678" s="17"/>
      <c r="AS678" s="16"/>
      <c r="AT678" s="16"/>
      <c r="AU678" s="16"/>
      <c r="AV678" s="57" t="str">
        <f>IF(AND(ISNUMBER(E678),ISNUMBER(W678)),E678-W678,"")</f>
        <v/>
      </c>
      <c r="AW678" s="57">
        <f>IF(AND(ISNUMBER(I678),ISNUMBER(AF678)),I678-AF678,"")</f>
        <v>0</v>
      </c>
      <c r="AX678" s="57" t="str">
        <f>IF(AND(ISNUMBER(AM678),ISNUMBER(G678)),G678-AM678,"")</f>
        <v/>
      </c>
      <c r="AY678" s="57" t="str">
        <f>IF(AND(ISNUMBER(AC678),ISNUMBER(AE678)),AC678-AE678,"")</f>
        <v/>
      </c>
      <c r="AZ678" s="57" t="str">
        <f t="shared" si="46"/>
        <v/>
      </c>
      <c r="BA678" s="56" t="str">
        <f>IF(AND($E678&gt;0,$W678&gt;0),IF(($E678-$W678)/$E678&gt;0,($E678-$W678)/$E678,0),"")</f>
        <v/>
      </c>
      <c r="BB678" s="56" t="str">
        <f>IF(AND($I678&gt;0,$AF678&gt;=0),IF(($I678-$AF678)/$I678&gt;0,($I678-$AF678)/$I678,0),"")</f>
        <v/>
      </c>
      <c r="BC678" s="56"/>
      <c r="BD678" s="56" t="str">
        <f>IF(AND($G678&gt;0,$AM678&gt;0),IF(($G678-$AM678)/$G678&gt;0,($G678-$AM678)/$G678,0),"")</f>
        <v/>
      </c>
      <c r="BE678" s="6" t="str">
        <f>IF((AD678-AF678)/(AJ678/60)&lt;=0,"",(AD678-AF678)/(AJ678/60))</f>
        <v/>
      </c>
      <c r="BF678" s="6"/>
    </row>
    <row r="679" spans="1:58" ht="15.75">
      <c r="B679" s="11">
        <v>45939</v>
      </c>
      <c r="C679" s="1">
        <v>435</v>
      </c>
      <c r="D679" s="3">
        <v>674</v>
      </c>
      <c r="E679" s="205" t="str">
        <f t="shared" si="50"/>
        <v/>
      </c>
      <c r="I679" s="15">
        <f>AD679</f>
        <v>0</v>
      </c>
      <c r="K679" s="10" t="str">
        <f t="shared" si="51"/>
        <v/>
      </c>
      <c r="L679" s="9" t="str">
        <f t="shared" si="52"/>
        <v/>
      </c>
      <c r="M679" s="8" t="str">
        <f t="shared" si="53"/>
        <v/>
      </c>
      <c r="AB679" s="5">
        <v>80</v>
      </c>
      <c r="AG679" s="1">
        <v>9.11</v>
      </c>
      <c r="AH679" s="20">
        <v>0.48090277777777779</v>
      </c>
      <c r="AJ679" s="1">
        <v>145</v>
      </c>
      <c r="AK679" s="3">
        <f>180+60</f>
        <v>240</v>
      </c>
      <c r="AN679" s="3">
        <v>40</v>
      </c>
      <c r="AP679" s="13" t="e">
        <f>AVERAGE(AO677:AO683)</f>
        <v>#DIV/0!</v>
      </c>
      <c r="AR679" s="17"/>
      <c r="AS679" s="16"/>
      <c r="AT679" s="16"/>
      <c r="AU679" s="16"/>
      <c r="AV679" s="57" t="str">
        <f>IF(AND(ISNUMBER(E679),ISNUMBER(W679)),E679-W679,"")</f>
        <v/>
      </c>
      <c r="AW679" s="57" t="str">
        <f>IF(AND(ISNUMBER(I679),ISNUMBER(AF679)),I679-AF679,"")</f>
        <v/>
      </c>
      <c r="AX679" s="57" t="str">
        <f>IF(AND(ISNUMBER(AM679),ISNUMBER(G679)),G679-AM679,"")</f>
        <v/>
      </c>
      <c r="AY679" s="57" t="str">
        <f>IF(AND(ISNUMBER(AC679),ISNUMBER(AE679)),AC679-AE679,"")</f>
        <v/>
      </c>
      <c r="AZ679" s="57" t="str">
        <f t="shared" ref="AZ679:AZ742" si="54">IF(AND(ISNUMBER(AL679),ISNUMBER(AM679)),AL679-AM679,"")</f>
        <v/>
      </c>
      <c r="BA679" s="56" t="str">
        <f>IF(AND($E679&gt;0,$W679&gt;0),IF(($E679-$W679)/$E679&gt;0,($E679-$W679)/$E679,0),"")</f>
        <v/>
      </c>
      <c r="BB679" s="56" t="str">
        <f>IF(AND($I679&gt;0,$AF679&gt;=0),IF(($I679-$AF679)/$I679&gt;0,($I679-$AF679)/$I679,0),"")</f>
        <v/>
      </c>
      <c r="BC679" s="56"/>
      <c r="BD679" s="56" t="str">
        <f>IF(AND($G679&gt;0,$AM679&gt;0),IF(($G679-$AM679)/$G679&gt;0,($G679-$AM679)/$G679,0),"")</f>
        <v/>
      </c>
      <c r="BF679" s="6"/>
    </row>
    <row r="680" spans="1:58" ht="15.75">
      <c r="B680" s="11">
        <v>45940</v>
      </c>
      <c r="C680" s="1">
        <v>436</v>
      </c>
      <c r="D680" s="3">
        <v>675</v>
      </c>
      <c r="E680" s="205" t="str">
        <f t="shared" si="50"/>
        <v/>
      </c>
      <c r="G680" s="15">
        <f>(N680*18-H680*18)/9</f>
        <v>11.070000000000002</v>
      </c>
      <c r="H680" s="15">
        <f>5*0.423</f>
        <v>2.1149999999999998</v>
      </c>
      <c r="I680" s="15">
        <f>AD680</f>
        <v>33.1</v>
      </c>
      <c r="K680" s="10" t="str">
        <f t="shared" si="51"/>
        <v/>
      </c>
      <c r="L680" s="9" t="str">
        <f t="shared" si="52"/>
        <v/>
      </c>
      <c r="M680" s="8">
        <f t="shared" si="53"/>
        <v>5.9801264679313455</v>
      </c>
      <c r="N680" s="7">
        <f>5*1.53</f>
        <v>7.65</v>
      </c>
      <c r="Q680" s="6">
        <f>O680*1.067</f>
        <v>0</v>
      </c>
      <c r="R680" s="6">
        <f>P680*1.514</f>
        <v>0</v>
      </c>
      <c r="S680" s="6">
        <f>Q680+R680</f>
        <v>0</v>
      </c>
      <c r="T680" s="6">
        <v>14.8</v>
      </c>
      <c r="W680" s="23">
        <f>U680*1.067+V680*1.514</f>
        <v>0</v>
      </c>
      <c r="AB680" s="5">
        <v>80</v>
      </c>
      <c r="AC680" s="4">
        <v>14.8</v>
      </c>
      <c r="AD680" s="1">
        <v>33.1</v>
      </c>
      <c r="AE680" s="1">
        <f>5*1.43</f>
        <v>7.1499999999999995</v>
      </c>
      <c r="AF680" s="1">
        <v>0</v>
      </c>
      <c r="AG680" s="1">
        <v>8.75</v>
      </c>
      <c r="AH680" s="20">
        <v>0.52071759259259254</v>
      </c>
      <c r="AJ680" s="1">
        <v>195</v>
      </c>
      <c r="AK680" s="3">
        <f>180+60</f>
        <v>240</v>
      </c>
      <c r="AL680" s="4">
        <f>AE680</f>
        <v>7.1499999999999995</v>
      </c>
      <c r="AM680" s="1">
        <f>5*0.804</f>
        <v>4.0200000000000005</v>
      </c>
      <c r="AN680" s="3">
        <v>40</v>
      </c>
      <c r="AP680" s="13" t="e">
        <f>AVERAGE(AO678:AO684)</f>
        <v>#DIV/0!</v>
      </c>
      <c r="AR680" s="17"/>
      <c r="AS680" s="16">
        <f>(I680-AF680)/I680</f>
        <v>1</v>
      </c>
      <c r="AT680" s="16">
        <f>AG680/(AD680-AF680)</f>
        <v>0.2643504531722054</v>
      </c>
      <c r="AU680" s="16">
        <f>(G680-AM680)/G680</f>
        <v>0.63685636856368566</v>
      </c>
      <c r="AV680" s="57" t="str">
        <f>IF(AND(ISNUMBER(E680),ISNUMBER(W680)),E680-W680,"")</f>
        <v/>
      </c>
      <c r="AW680" s="57">
        <f>IF(AND(ISNUMBER(I680),ISNUMBER(AF680)),I680-AF680,"")</f>
        <v>33.1</v>
      </c>
      <c r="AX680" s="57">
        <f>IF(AND(ISNUMBER(AM680),ISNUMBER(G680)),G680-AM680,"")</f>
        <v>7.0500000000000016</v>
      </c>
      <c r="AY680" s="57">
        <f>IF(AND(ISNUMBER(AC680),ISNUMBER(AE680)),AC680-AE680,"")</f>
        <v>7.6500000000000012</v>
      </c>
      <c r="AZ680" s="57">
        <f t="shared" si="54"/>
        <v>3.129999999999999</v>
      </c>
      <c r="BA680" s="56" t="str">
        <f>IF(AND($E680&gt;0,$W680&gt;0),IF(($E680-$W680)/$E680&gt;0,($E680-$W680)/$E680,0),"")</f>
        <v/>
      </c>
      <c r="BB680" s="56">
        <f>IF(AND($I680&gt;0,$AF680&gt;=0),IF(($I680-$AF680)/$I680&gt;0,($I680-$AF680)/$I680,0),"")</f>
        <v>1</v>
      </c>
      <c r="BC680" s="56"/>
      <c r="BD680" s="56">
        <f>IF(AND($G680&gt;0,$AM680&gt;0),IF(($G680-$AM680)/$G680&gt;0,($G680-$AM680)/$G680,0),"")</f>
        <v>0.63685636856368566</v>
      </c>
      <c r="BF680" s="6"/>
    </row>
    <row r="681" spans="1:58" ht="15.75">
      <c r="A681" s="12" t="s">
        <v>19</v>
      </c>
      <c r="B681" s="11">
        <v>45941</v>
      </c>
      <c r="C681" s="1">
        <v>437</v>
      </c>
      <c r="D681" s="3">
        <v>676</v>
      </c>
      <c r="E681" s="205" t="str">
        <f t="shared" si="50"/>
        <v/>
      </c>
      <c r="I681" s="15">
        <f>AD681</f>
        <v>0</v>
      </c>
      <c r="K681" s="10" t="str">
        <f t="shared" si="51"/>
        <v/>
      </c>
      <c r="L681" s="9" t="str">
        <f t="shared" si="52"/>
        <v/>
      </c>
      <c r="M681" s="8" t="str">
        <f t="shared" si="53"/>
        <v/>
      </c>
      <c r="AB681" s="5">
        <v>80</v>
      </c>
      <c r="AG681" s="1">
        <v>0.06</v>
      </c>
      <c r="AH681" s="20">
        <v>0.39884259259259258</v>
      </c>
      <c r="AJ681" s="1">
        <v>81</v>
      </c>
      <c r="AK681" s="3">
        <f>180+60</f>
        <v>240</v>
      </c>
      <c r="AN681" s="3">
        <v>40</v>
      </c>
      <c r="AP681" s="13" t="e">
        <f>AVERAGE(AO679:AO685)</f>
        <v>#DIV/0!</v>
      </c>
      <c r="AR681" s="17"/>
      <c r="AS681" s="16"/>
      <c r="AT681" s="16"/>
      <c r="AU681" s="16"/>
      <c r="AV681" s="57" t="str">
        <f>IF(AND(ISNUMBER(E681),ISNUMBER(W681)),E681-W681,"")</f>
        <v/>
      </c>
      <c r="AW681" s="57" t="str">
        <f>IF(AND(ISNUMBER(I681),ISNUMBER(AF681)),I681-AF681,"")</f>
        <v/>
      </c>
      <c r="AX681" s="57" t="str">
        <f>IF(AND(ISNUMBER(AM681),ISNUMBER(G681)),G681-AM681,"")</f>
        <v/>
      </c>
      <c r="AY681" s="57" t="str">
        <f>IF(AND(ISNUMBER(AC681),ISNUMBER(AE681)),AC681-AE681,"")</f>
        <v/>
      </c>
      <c r="AZ681" s="57" t="str">
        <f t="shared" si="54"/>
        <v/>
      </c>
      <c r="BA681" s="56" t="str">
        <f>IF(AND($E681&gt;0,$W681&gt;0),IF(($E681-$W681)/$E681&gt;0,($E681-$W681)/$E681,0),"")</f>
        <v/>
      </c>
      <c r="BB681" s="56" t="str">
        <f>IF(AND($I681&gt;0,$AF681&gt;=0),IF(($I681-$AF681)/$I681&gt;0,($I681-$AF681)/$I681,0),"")</f>
        <v/>
      </c>
      <c r="BC681" s="56"/>
      <c r="BD681" s="56" t="str">
        <f>IF(AND($G681&gt;0,$AM681&gt;0),IF(($G681-$AM681)/$G681&gt;0,($G681-$AM681)/$G681,0),"")</f>
        <v/>
      </c>
      <c r="BF681" s="6"/>
    </row>
    <row r="682" spans="1:58" ht="15.75">
      <c r="B682" s="11">
        <v>45942</v>
      </c>
      <c r="C682" s="1">
        <v>438</v>
      </c>
      <c r="D682" s="3">
        <v>677</v>
      </c>
      <c r="E682" s="205" t="str">
        <f t="shared" si="50"/>
        <v/>
      </c>
      <c r="I682" s="15">
        <f>AD682</f>
        <v>0</v>
      </c>
      <c r="K682" s="10" t="str">
        <f t="shared" si="51"/>
        <v/>
      </c>
      <c r="L682" s="9" t="str">
        <f t="shared" si="52"/>
        <v/>
      </c>
      <c r="M682" s="8" t="str">
        <f t="shared" si="53"/>
        <v/>
      </c>
      <c r="AB682" s="5">
        <v>80</v>
      </c>
      <c r="AG682" s="1">
        <v>0.04</v>
      </c>
      <c r="AH682" s="20">
        <v>0.3576388888888889</v>
      </c>
      <c r="AJ682" s="1">
        <v>1</v>
      </c>
      <c r="AK682" s="3">
        <f>180+60</f>
        <v>240</v>
      </c>
      <c r="AN682" s="3">
        <v>40</v>
      </c>
      <c r="AP682" s="13" t="e">
        <f>AVERAGE(AO680:AO686)</f>
        <v>#DIV/0!</v>
      </c>
      <c r="AR682" s="17"/>
      <c r="AS682" s="16"/>
      <c r="AT682" s="16"/>
      <c r="AU682" s="16"/>
      <c r="AV682" s="57" t="str">
        <f>IF(AND(ISNUMBER(E682),ISNUMBER(W682)),E682-W682,"")</f>
        <v/>
      </c>
      <c r="AW682" s="57" t="str">
        <f>IF(AND(ISNUMBER(I682),ISNUMBER(AF682)),I682-AF682,"")</f>
        <v/>
      </c>
      <c r="AX682" s="57" t="str">
        <f>IF(AND(ISNUMBER(AM682),ISNUMBER(G682)),G682-AM682,"")</f>
        <v/>
      </c>
      <c r="AY682" s="57" t="str">
        <f>IF(AND(ISNUMBER(AC682),ISNUMBER(AE682)),AC682-AE682,"")</f>
        <v/>
      </c>
      <c r="AZ682" s="57" t="str">
        <f t="shared" si="54"/>
        <v/>
      </c>
      <c r="BA682" s="56" t="str">
        <f>IF(AND($E682&gt;0,$W682&gt;0),IF(($E682-$W682)/$E682&gt;0,($E682-$W682)/$E682,0),"")</f>
        <v/>
      </c>
      <c r="BB682" s="56" t="str">
        <f>IF(AND($I682&gt;0,$AF682&gt;=0),IF(($I682-$AF682)/$I682&gt;0,($I682-$AF682)/$I682,0),"")</f>
        <v/>
      </c>
      <c r="BC682" s="56"/>
      <c r="BD682" s="56" t="str">
        <f>IF(AND($G682&gt;0,$AM682&gt;0),IF(($G682-$AM682)/$G682&gt;0,($G682-$AM682)/$G682,0),"")</f>
        <v/>
      </c>
      <c r="BF682" s="6"/>
    </row>
    <row r="683" spans="1:58" ht="15.75">
      <c r="B683" s="11">
        <v>45943</v>
      </c>
      <c r="C683" s="1">
        <v>439</v>
      </c>
      <c r="D683" s="3">
        <v>678</v>
      </c>
      <c r="E683" s="205" t="str">
        <f t="shared" si="50"/>
        <v/>
      </c>
      <c r="I683" s="15">
        <f>AD683</f>
        <v>0</v>
      </c>
      <c r="K683" s="10" t="str">
        <f t="shared" si="51"/>
        <v/>
      </c>
      <c r="L683" s="9" t="str">
        <f t="shared" si="52"/>
        <v/>
      </c>
      <c r="M683" s="8" t="str">
        <f t="shared" si="53"/>
        <v/>
      </c>
      <c r="AB683" s="5">
        <v>80</v>
      </c>
      <c r="AG683" s="1">
        <v>0.04</v>
      </c>
      <c r="AH683" s="20">
        <v>0.3576388888888889</v>
      </c>
      <c r="AJ683" s="1">
        <v>1</v>
      </c>
      <c r="AK683" s="3">
        <f>180+60</f>
        <v>240</v>
      </c>
      <c r="AN683" s="3">
        <v>40</v>
      </c>
      <c r="AP683" s="13">
        <f>AVERAGE(AO681:AO687)</f>
        <v>3200</v>
      </c>
      <c r="AR683" s="17"/>
      <c r="AS683" s="16"/>
      <c r="AT683" s="16"/>
      <c r="AU683" s="16"/>
      <c r="AV683" s="57" t="str">
        <f>IF(AND(ISNUMBER(E683),ISNUMBER(W683)),E683-W683,"")</f>
        <v/>
      </c>
      <c r="AW683" s="57" t="str">
        <f>IF(AND(ISNUMBER(I683),ISNUMBER(AF683)),I683-AF683,"")</f>
        <v/>
      </c>
      <c r="AX683" s="57" t="str">
        <f>IF(AND(ISNUMBER(AM683),ISNUMBER(G683)),G683-AM683,"")</f>
        <v/>
      </c>
      <c r="AY683" s="57" t="str">
        <f>IF(AND(ISNUMBER(AC683),ISNUMBER(AE683)),AC683-AE683,"")</f>
        <v/>
      </c>
      <c r="AZ683" s="57" t="str">
        <f t="shared" si="54"/>
        <v/>
      </c>
      <c r="BA683" s="56" t="str">
        <f>IF(AND($E683&gt;0,$W683&gt;0),IF(($E683-$W683)/$E683&gt;0,($E683-$W683)/$E683,0),"")</f>
        <v/>
      </c>
      <c r="BB683" s="56" t="str">
        <f>IF(AND($I683&gt;0,$AF683&gt;=0),IF(($I683-$AF683)/$I683&gt;0,($I683-$AF683)/$I683,0),"")</f>
        <v/>
      </c>
      <c r="BC683" s="56"/>
      <c r="BD683" s="56" t="str">
        <f>IF(AND($G683&gt;0,$AM683&gt;0),IF(($G683-$AM683)/$G683&gt;0,($G683-$AM683)/$G683,0),"")</f>
        <v/>
      </c>
      <c r="BF683" s="6" t="str">
        <f>IF(OR(AJ683=0,AP683=0,NOT(ISNUMBER(AD683)),NOT(ISNUMBER(AF683)),NOT(ISNUMBER(AJ683)),NOT(ISNUMBER(AP683))),"",
IFERROR(IF((AD683-AF683)/(AJ683/60)/(AP683/1000)&lt;=0,"",(AD683-AF683)/(AJ683/60)/(AP683/1000)),""))</f>
        <v/>
      </c>
    </row>
    <row r="684" spans="1:58" ht="15.75">
      <c r="B684" s="11">
        <v>45944</v>
      </c>
      <c r="C684" s="1">
        <v>440</v>
      </c>
      <c r="D684" s="3">
        <v>679</v>
      </c>
      <c r="E684" s="205" t="str">
        <f t="shared" si="50"/>
        <v/>
      </c>
      <c r="I684" s="15">
        <f>AD684</f>
        <v>0</v>
      </c>
      <c r="K684" s="10" t="str">
        <f t="shared" si="51"/>
        <v/>
      </c>
      <c r="L684" s="9" t="str">
        <f t="shared" si="52"/>
        <v/>
      </c>
      <c r="M684" s="8" t="str">
        <f t="shared" si="53"/>
        <v/>
      </c>
      <c r="AB684" s="5">
        <v>80</v>
      </c>
      <c r="AG684" s="1">
        <v>4.1100000000000003</v>
      </c>
      <c r="AH684" s="20">
        <v>0.43935185185185183</v>
      </c>
      <c r="AJ684" s="1">
        <v>117</v>
      </c>
      <c r="AK684" s="3">
        <f>180+60</f>
        <v>240</v>
      </c>
      <c r="AN684" s="3">
        <v>40</v>
      </c>
      <c r="AP684" s="13">
        <f>AVERAGE(AO682:AO688)</f>
        <v>3200</v>
      </c>
      <c r="AR684" s="17"/>
      <c r="AS684" s="16"/>
      <c r="AT684" s="16"/>
      <c r="AU684" s="16"/>
      <c r="AV684" s="57" t="str">
        <f>IF(AND(ISNUMBER(E684),ISNUMBER(W684)),E684-W684,"")</f>
        <v/>
      </c>
      <c r="AW684" s="57" t="str">
        <f>IF(AND(ISNUMBER(I684),ISNUMBER(AF684)),I684-AF684,"")</f>
        <v/>
      </c>
      <c r="AX684" s="57" t="str">
        <f>IF(AND(ISNUMBER(AM684),ISNUMBER(G684)),G684-AM684,"")</f>
        <v/>
      </c>
      <c r="AY684" s="57" t="str">
        <f>IF(AND(ISNUMBER(AC684),ISNUMBER(AE684)),AC684-AE684,"")</f>
        <v/>
      </c>
      <c r="AZ684" s="57" t="str">
        <f t="shared" si="54"/>
        <v/>
      </c>
      <c r="BA684" s="56" t="str">
        <f>IF(AND($E684&gt;0,$W684&gt;0),IF(($E684-$W684)/$E684&gt;0,($E684-$W684)/$E684,0),"")</f>
        <v/>
      </c>
      <c r="BB684" s="56" t="str">
        <f>IF(AND($I684&gt;0,$AF684&gt;=0),IF(($I684-$AF684)/$I684&gt;0,($I684-$AF684)/$I684,0),"")</f>
        <v/>
      </c>
      <c r="BC684" s="56"/>
      <c r="BD684" s="56" t="str">
        <f>IF(AND($G684&gt;0,$AM684&gt;0),IF(($G684-$AM684)/$G684&gt;0,($G684-$AM684)/$G684,0),"")</f>
        <v/>
      </c>
      <c r="BF684" s="6" t="str">
        <f>IF(OR(AJ684=0,AP684=0,NOT(ISNUMBER(AD684)),NOT(ISNUMBER(AF684)),NOT(ISNUMBER(AJ684)),NOT(ISNUMBER(AP684))),"",
IFERROR(IF((AD684-AF684)/(AJ684/60)/(AP684/1000)&lt;=0,"",(AD684-AF684)/(AJ684/60)/(AP684/1000)),""))</f>
        <v/>
      </c>
    </row>
    <row r="685" spans="1:58" ht="15.75">
      <c r="B685" s="11">
        <v>45945</v>
      </c>
      <c r="C685" s="1">
        <v>441</v>
      </c>
      <c r="D685" s="3">
        <v>680</v>
      </c>
      <c r="E685" s="205" t="str">
        <f t="shared" si="50"/>
        <v/>
      </c>
      <c r="G685" s="41">
        <v>14.76</v>
      </c>
      <c r="I685" s="15">
        <f>AD685</f>
        <v>0</v>
      </c>
      <c r="K685" s="10" t="str">
        <f t="shared" si="51"/>
        <v/>
      </c>
      <c r="L685" s="9" t="str">
        <f t="shared" si="52"/>
        <v/>
      </c>
      <c r="M685" s="8" t="str">
        <f t="shared" si="53"/>
        <v/>
      </c>
      <c r="AB685" s="5">
        <v>80</v>
      </c>
      <c r="AE685" s="1">
        <f>2*1.64</f>
        <v>3.28</v>
      </c>
      <c r="AF685" s="1">
        <v>0</v>
      </c>
      <c r="AG685" s="1">
        <v>7.36</v>
      </c>
      <c r="AH685" s="20">
        <v>0.44803240740740741</v>
      </c>
      <c r="AJ685" s="1">
        <v>125</v>
      </c>
      <c r="AK685" s="3">
        <f>180+60</f>
        <v>240</v>
      </c>
      <c r="AL685" s="4">
        <f>AE685</f>
        <v>3.28</v>
      </c>
      <c r="AM685" s="1">
        <v>0</v>
      </c>
      <c r="AN685" s="3">
        <v>40</v>
      </c>
      <c r="AP685" s="13">
        <f>AVERAGE(AO683:AO689)</f>
        <v>3200</v>
      </c>
      <c r="AR685" s="17"/>
      <c r="AS685" s="16"/>
      <c r="AT685" s="16"/>
      <c r="AU685" s="16">
        <f>(G685-AM685)/G685</f>
        <v>1</v>
      </c>
      <c r="AV685" s="57" t="str">
        <f>IF(AND(ISNUMBER(E685),ISNUMBER(W685)),E685-W685,"")</f>
        <v/>
      </c>
      <c r="AW685" s="57">
        <f>IF(AND(ISNUMBER(I685),ISNUMBER(AF685)),I685-AF685,"")</f>
        <v>0</v>
      </c>
      <c r="AX685" s="57">
        <f>IF(AND(ISNUMBER(AM685),ISNUMBER(G685)),G685-AM685,"")</f>
        <v>14.76</v>
      </c>
      <c r="AY685" s="57" t="str">
        <f>IF(AND(ISNUMBER(AC685),ISNUMBER(AE685)),AC685-AE685,"")</f>
        <v/>
      </c>
      <c r="AZ685" s="57">
        <f t="shared" si="54"/>
        <v>3.28</v>
      </c>
      <c r="BA685" s="56" t="str">
        <f>IF(AND($E685&gt;0,$W685&gt;0),IF(($E685-$W685)/$E685&gt;0,($E685-$W685)/$E685,0),"")</f>
        <v/>
      </c>
      <c r="BB685" s="56" t="str">
        <f>IF(AND($I685&gt;0,$AF685&gt;=0),IF(($I685-$AF685)/$I685&gt;0,($I685-$AF685)/$I685,0),"")</f>
        <v/>
      </c>
      <c r="BC685" s="56"/>
      <c r="BD685" s="56" t="str">
        <f>IF(AND($G685&gt;0,$AM685&gt;0),IF(($G685-$AM685)/$G685&gt;0,($G685-$AM685)/$G685,0),"")</f>
        <v/>
      </c>
      <c r="BF685" s="6" t="str">
        <f>IF(OR(AJ685=0,AP685=0,NOT(ISNUMBER(AD685)),NOT(ISNUMBER(AF685)),NOT(ISNUMBER(AJ685)),NOT(ISNUMBER(AP685))),"",
IFERROR(IF((AD685-AF685)/(AJ685/60)/(AP685/1000)&lt;=0,"",(AD685-AF685)/(AJ685/60)/(AP685/1000)),""))</f>
        <v/>
      </c>
    </row>
    <row r="686" spans="1:58" ht="15.75">
      <c r="B686" s="11">
        <v>45946</v>
      </c>
      <c r="C686" s="1">
        <v>442</v>
      </c>
      <c r="D686" s="3">
        <v>681</v>
      </c>
      <c r="E686" s="205" t="str">
        <f t="shared" si="50"/>
        <v/>
      </c>
      <c r="I686" s="15">
        <f>AD686</f>
        <v>0</v>
      </c>
      <c r="K686" s="10" t="str">
        <f t="shared" si="51"/>
        <v/>
      </c>
      <c r="L686" s="9" t="str">
        <f t="shared" si="52"/>
        <v/>
      </c>
      <c r="M686" s="8" t="str">
        <f t="shared" si="53"/>
        <v/>
      </c>
      <c r="AB686" s="5">
        <v>80</v>
      </c>
      <c r="AG686" s="1">
        <v>9.23</v>
      </c>
      <c r="AH686" s="20">
        <v>0.49039351851851853</v>
      </c>
      <c r="AJ686" s="1">
        <v>163</v>
      </c>
      <c r="AK686" s="3">
        <f>180+60</f>
        <v>240</v>
      </c>
      <c r="AN686" s="3">
        <v>40</v>
      </c>
      <c r="AP686" s="13">
        <f>AVERAGE(AO684:AO690)</f>
        <v>3200</v>
      </c>
      <c r="AR686" s="17"/>
      <c r="AS686" s="16"/>
      <c r="AT686" s="16"/>
      <c r="AU686" s="16"/>
      <c r="AV686" s="57" t="str">
        <f>IF(AND(ISNUMBER(E686),ISNUMBER(W686)),E686-W686,"")</f>
        <v/>
      </c>
      <c r="AW686" s="57" t="str">
        <f>IF(AND(ISNUMBER(I686),ISNUMBER(AF686)),I686-AF686,"")</f>
        <v/>
      </c>
      <c r="AX686" s="57" t="str">
        <f>IF(AND(ISNUMBER(AM686),ISNUMBER(G686)),G686-AM686,"")</f>
        <v/>
      </c>
      <c r="AY686" s="57" t="str">
        <f>IF(AND(ISNUMBER(AC686),ISNUMBER(AE686)),AC686-AE686,"")</f>
        <v/>
      </c>
      <c r="AZ686" s="57" t="str">
        <f t="shared" si="54"/>
        <v/>
      </c>
      <c r="BA686" s="56" t="str">
        <f>IF(AND($E686&gt;0,$W686&gt;0),IF(($E686-$W686)/$E686&gt;0,($E686-$W686)/$E686,0),"")</f>
        <v/>
      </c>
      <c r="BB686" s="56" t="str">
        <f>IF(AND($I686&gt;0,$AF686&gt;=0),IF(($I686-$AF686)/$I686&gt;0,($I686-$AF686)/$I686,0),"")</f>
        <v/>
      </c>
      <c r="BC686" s="56"/>
      <c r="BD686" s="56" t="str">
        <f>IF(AND($G686&gt;0,$AM686&gt;0),IF(($G686-$AM686)/$G686&gt;0,($G686-$AM686)/$G686,0),"")</f>
        <v/>
      </c>
      <c r="BF686" s="6" t="str">
        <f>IF(OR(AJ686=0,AP686=0,NOT(ISNUMBER(AD686)),NOT(ISNUMBER(AF686)),NOT(ISNUMBER(AJ686)),NOT(ISNUMBER(AP686))),"",
IFERROR(IF((AD686-AF686)/(AJ686/60)/(AP686/1000)&lt;=0,"",(AD686-AF686)/(AJ686/60)/(AP686/1000)),""))</f>
        <v/>
      </c>
    </row>
    <row r="687" spans="1:58" ht="15.75">
      <c r="B687" s="11">
        <v>45947</v>
      </c>
      <c r="C687" s="1">
        <v>443</v>
      </c>
      <c r="D687" s="3">
        <v>682</v>
      </c>
      <c r="E687" s="205" t="str">
        <f t="shared" si="50"/>
        <v/>
      </c>
      <c r="I687" s="15">
        <f>AD687</f>
        <v>33.199999999999996</v>
      </c>
      <c r="K687" s="10" t="str">
        <f t="shared" si="51"/>
        <v/>
      </c>
      <c r="L687" s="9" t="str">
        <f t="shared" si="52"/>
        <v/>
      </c>
      <c r="M687" s="8" t="str">
        <f t="shared" si="53"/>
        <v/>
      </c>
      <c r="AB687" s="5">
        <v>80</v>
      </c>
      <c r="AC687" s="7">
        <f>T688</f>
        <v>34</v>
      </c>
      <c r="AD687" s="1">
        <f>10*3.32</f>
        <v>33.199999999999996</v>
      </c>
      <c r="AE687" s="1">
        <f>5*0.457</f>
        <v>2.2850000000000001</v>
      </c>
      <c r="AF687" s="1">
        <v>0</v>
      </c>
      <c r="AG687" s="1">
        <v>8.14</v>
      </c>
      <c r="AH687" s="20">
        <v>0.51446759259259256</v>
      </c>
      <c r="AJ687" s="1">
        <v>189</v>
      </c>
      <c r="AK687" s="3">
        <f>180+60</f>
        <v>240</v>
      </c>
      <c r="AL687" s="4">
        <f>AE687</f>
        <v>2.2850000000000001</v>
      </c>
      <c r="AM687" s="1">
        <f>2*0.027</f>
        <v>5.3999999999999999E-2</v>
      </c>
      <c r="AN687" s="3">
        <v>40</v>
      </c>
      <c r="AO687" s="2">
        <v>3200</v>
      </c>
      <c r="AP687" s="13">
        <f>AVERAGE(AO685:AO691)</f>
        <v>3380.0000000000182</v>
      </c>
      <c r="AR687" s="17"/>
      <c r="AS687" s="16">
        <f>(I687-AF687)/I687</f>
        <v>1</v>
      </c>
      <c r="AT687" s="16">
        <f>AG687/(AD687-AF687)</f>
        <v>0.24518072289156631</v>
      </c>
      <c r="AU687" s="16"/>
      <c r="AV687" s="57" t="str">
        <f>IF(AND(ISNUMBER(E687),ISNUMBER(W687)),E687-W687,"")</f>
        <v/>
      </c>
      <c r="AW687" s="57">
        <f>IF(AND(ISNUMBER(I687),ISNUMBER(AF687)),I687-AF687,"")</f>
        <v>33.199999999999996</v>
      </c>
      <c r="AX687" s="57" t="str">
        <f>IF(AND(ISNUMBER(AM687),ISNUMBER(G687)),G687-AM687,"")</f>
        <v/>
      </c>
      <c r="AY687" s="57">
        <f>IF(AND(ISNUMBER(AC687),ISNUMBER(AE687)),AC687-AE687,"")</f>
        <v>31.715</v>
      </c>
      <c r="AZ687" s="57">
        <f t="shared" si="54"/>
        <v>2.2310000000000003</v>
      </c>
      <c r="BA687" s="56" t="str">
        <f>IF(AND($E687&gt;0,$W687&gt;0),IF(($E687-$W687)/$E687&gt;0,($E687-$W687)/$E687,0),"")</f>
        <v/>
      </c>
      <c r="BB687" s="56">
        <f>IF(AND($I687&gt;0,$AF687&gt;=0),IF(($I687-$AF687)/$I687&gt;0,($I687-$AF687)/$I687,0),"")</f>
        <v>1</v>
      </c>
      <c r="BC687" s="56"/>
      <c r="BD687" s="56" t="str">
        <f>IF(AND($G687&gt;0,$AM687&gt;0),IF(($G687-$AM687)/$G687&gt;0,($G687-$AM687)/$G687,0),"")</f>
        <v/>
      </c>
      <c r="BF687" s="6">
        <f>IF(OR(AJ687=0,AP687=0,NOT(ISNUMBER(AD687)),NOT(ISNUMBER(AF687)),NOT(ISNUMBER(AJ687)),NOT(ISNUMBER(AP687))),"",
IFERROR(IF((AD687-AF687)/(AJ687/60)/(AP687/1000)&lt;=0,"",(AD687-AF687)/(AJ687/60)/(AP687/1000)),""))</f>
        <v>3.1182492720954085</v>
      </c>
    </row>
    <row r="688" spans="1:58" ht="15.75">
      <c r="B688" s="11">
        <v>45948</v>
      </c>
      <c r="C688" s="1">
        <v>444</v>
      </c>
      <c r="D688" s="3">
        <v>683</v>
      </c>
      <c r="E688" s="205" t="str">
        <f t="shared" si="50"/>
        <v/>
      </c>
      <c r="G688" s="15">
        <f>(N688*18-H688*18)/9</f>
        <v>14.755999999999997</v>
      </c>
      <c r="H688" s="15">
        <f>2*0.611</f>
        <v>1.222</v>
      </c>
      <c r="I688" s="15">
        <f>AD688</f>
        <v>0</v>
      </c>
      <c r="K688" s="10" t="str">
        <f t="shared" si="51"/>
        <v/>
      </c>
      <c r="L688" s="9" t="str">
        <f t="shared" si="52"/>
        <v/>
      </c>
      <c r="M688" s="8" t="str">
        <f t="shared" si="53"/>
        <v/>
      </c>
      <c r="N688" s="7">
        <f>5*1.72</f>
        <v>8.6</v>
      </c>
      <c r="S688" s="6">
        <f>Q688+R688</f>
        <v>0</v>
      </c>
      <c r="T688" s="6">
        <v>34</v>
      </c>
      <c r="AB688" s="5">
        <v>80</v>
      </c>
      <c r="AG688" s="1">
        <v>8.18</v>
      </c>
      <c r="AH688" s="20">
        <v>0.52060185185185182</v>
      </c>
      <c r="AJ688" s="1">
        <v>183</v>
      </c>
      <c r="AK688" s="3">
        <f>180+60</f>
        <v>240</v>
      </c>
      <c r="AN688" s="3">
        <v>40</v>
      </c>
      <c r="AP688" s="13">
        <f>AVERAGE(AO686:AO692)</f>
        <v>3380.0000000000182</v>
      </c>
      <c r="AR688" s="17"/>
      <c r="AS688" s="16"/>
      <c r="AT688" s="16"/>
      <c r="AU688" s="16"/>
      <c r="AV688" s="57" t="str">
        <f>IF(AND(ISNUMBER(E688),ISNUMBER(W688)),E688-W688,"")</f>
        <v/>
      </c>
      <c r="AW688" s="57" t="str">
        <f>IF(AND(ISNUMBER(I688),ISNUMBER(AF688)),I688-AF688,"")</f>
        <v/>
      </c>
      <c r="AX688" s="57" t="str">
        <f>IF(AND(ISNUMBER(AM688),ISNUMBER(G688)),G688-AM688,"")</f>
        <v/>
      </c>
      <c r="AY688" s="57" t="str">
        <f>IF(AND(ISNUMBER(AC688),ISNUMBER(AE688)),AC688-AE688,"")</f>
        <v/>
      </c>
      <c r="AZ688" s="57" t="str">
        <f t="shared" si="54"/>
        <v/>
      </c>
      <c r="BA688" s="56" t="str">
        <f>IF(AND($E688&gt;0,$W688&gt;0),IF(($E688-$W688)/$E688&gt;0,($E688-$W688)/$E688,0),"")</f>
        <v/>
      </c>
      <c r="BB688" s="56" t="str">
        <f>IF(AND($I688&gt;0,$AF688&gt;=0),IF(($I688-$AF688)/$I688&gt;0,($I688-$AF688)/$I688,0),"")</f>
        <v/>
      </c>
      <c r="BC688" s="56"/>
      <c r="BD688" s="56" t="str">
        <f>IF(AND($G688&gt;0,$AM688&gt;0),IF(($G688-$AM688)/$G688&gt;0,($G688-$AM688)/$G688,0),"")</f>
        <v/>
      </c>
      <c r="BF688" s="6" t="str">
        <f>IF(OR(AJ688=0,AP688=0,NOT(ISNUMBER(AD688)),NOT(ISNUMBER(AF688)),NOT(ISNUMBER(AJ688)),NOT(ISNUMBER(AP688))),"",
IFERROR(IF((AD688-AF688)/(AJ688/60)/(AP688/1000)&lt;=0,"",(AD688-AF688)/(AJ688/60)/(AP688/1000)),""))</f>
        <v/>
      </c>
    </row>
    <row r="689" spans="1:58" ht="15.75">
      <c r="B689" s="11">
        <v>45949</v>
      </c>
      <c r="C689" s="1">
        <v>445</v>
      </c>
      <c r="D689" s="3">
        <v>684</v>
      </c>
      <c r="E689" s="205" t="str">
        <f t="shared" si="50"/>
        <v/>
      </c>
      <c r="I689" s="15">
        <f>AD689</f>
        <v>0</v>
      </c>
      <c r="K689" s="10" t="str">
        <f t="shared" si="51"/>
        <v/>
      </c>
      <c r="L689" s="9" t="str">
        <f t="shared" si="52"/>
        <v/>
      </c>
      <c r="M689" s="8" t="str">
        <f t="shared" si="53"/>
        <v/>
      </c>
      <c r="AB689" s="5">
        <v>80</v>
      </c>
      <c r="AG689" s="1">
        <v>9.7200000000000006</v>
      </c>
      <c r="AH689" s="20">
        <v>0.52071759259259254</v>
      </c>
      <c r="AJ689" s="1">
        <v>169</v>
      </c>
      <c r="AK689" s="3">
        <f>180+60</f>
        <v>240</v>
      </c>
      <c r="AN689" s="3">
        <v>40</v>
      </c>
      <c r="AP689" s="13">
        <f>AVERAGE(AO687:AO693)</f>
        <v>3380.0000000000182</v>
      </c>
      <c r="AR689" s="17"/>
      <c r="AS689" s="16"/>
      <c r="AT689" s="16"/>
      <c r="AU689" s="16"/>
      <c r="AV689" s="57" t="str">
        <f>IF(AND(ISNUMBER(E689),ISNUMBER(W689)),E689-W689,"")</f>
        <v/>
      </c>
      <c r="AW689" s="57" t="str">
        <f>IF(AND(ISNUMBER(I689),ISNUMBER(AF689)),I689-AF689,"")</f>
        <v/>
      </c>
      <c r="AX689" s="57" t="str">
        <f>IF(AND(ISNUMBER(AM689),ISNUMBER(G689)),G689-AM689,"")</f>
        <v/>
      </c>
      <c r="AY689" s="57" t="str">
        <f>IF(AND(ISNUMBER(AC689),ISNUMBER(AE689)),AC689-AE689,"")</f>
        <v/>
      </c>
      <c r="AZ689" s="57" t="str">
        <f t="shared" si="54"/>
        <v/>
      </c>
      <c r="BA689" s="56" t="str">
        <f>IF(AND($E689&gt;0,$W689&gt;0),IF(($E689-$W689)/$E689&gt;0,($E689-$W689)/$E689,0),"")</f>
        <v/>
      </c>
      <c r="BB689" s="56" t="str">
        <f>IF(AND($I689&gt;0,$AF689&gt;=0),IF(($I689-$AF689)/$I689&gt;0,($I689-$AF689)/$I689,0),"")</f>
        <v/>
      </c>
      <c r="BC689" s="56"/>
      <c r="BD689" s="56" t="str">
        <f>IF(AND($G689&gt;0,$AM689&gt;0),IF(($G689-$AM689)/$G689&gt;0,($G689-$AM689)/$G689,0),"")</f>
        <v/>
      </c>
      <c r="BF689" s="6" t="str">
        <f>IF(OR(AJ689=0,AP689=0,NOT(ISNUMBER(AD689)),NOT(ISNUMBER(AF689)),NOT(ISNUMBER(AJ689)),NOT(ISNUMBER(AP689))),"",
IFERROR(IF((AD689-AF689)/(AJ689/60)/(AP689/1000)&lt;=0,"",(AD689-AF689)/(AJ689/60)/(AP689/1000)),""))</f>
        <v/>
      </c>
    </row>
    <row r="690" spans="1:58" ht="15.75">
      <c r="B690" s="11">
        <v>45950</v>
      </c>
      <c r="C690" s="1">
        <v>446</v>
      </c>
      <c r="D690" s="3">
        <v>685</v>
      </c>
      <c r="E690" s="205" t="str">
        <f t="shared" si="50"/>
        <v/>
      </c>
      <c r="I690" s="15">
        <f>AD690</f>
        <v>0</v>
      </c>
      <c r="K690" s="10" t="str">
        <f t="shared" si="51"/>
        <v/>
      </c>
      <c r="L690" s="9" t="str">
        <f t="shared" si="52"/>
        <v/>
      </c>
      <c r="M690" s="8" t="str">
        <f t="shared" si="53"/>
        <v/>
      </c>
      <c r="AB690" s="5">
        <v>80</v>
      </c>
      <c r="AG690" s="1">
        <v>10.09</v>
      </c>
      <c r="AH690" s="20">
        <v>0.52083333333333337</v>
      </c>
      <c r="AJ690" s="1">
        <v>147</v>
      </c>
      <c r="AK690" s="3">
        <f>180+60</f>
        <v>240</v>
      </c>
      <c r="AN690" s="3">
        <v>40</v>
      </c>
      <c r="AP690" s="13">
        <f>AVERAGE(AO688:AO694)</f>
        <v>3560.0000000000182</v>
      </c>
      <c r="AR690" s="17"/>
      <c r="AS690" s="16"/>
      <c r="AT690" s="16"/>
      <c r="AU690" s="16"/>
      <c r="AV690" s="57" t="str">
        <f>IF(AND(ISNUMBER(E690),ISNUMBER(W690)),E690-W690,"")</f>
        <v/>
      </c>
      <c r="AW690" s="57" t="str">
        <f>IF(AND(ISNUMBER(I690),ISNUMBER(AF690)),I690-AF690,"")</f>
        <v/>
      </c>
      <c r="AX690" s="57" t="str">
        <f>IF(AND(ISNUMBER(AM690),ISNUMBER(G690)),G690-AM690,"")</f>
        <v/>
      </c>
      <c r="AY690" s="57" t="str">
        <f>IF(AND(ISNUMBER(AC690),ISNUMBER(AE690)),AC690-AE690,"")</f>
        <v/>
      </c>
      <c r="AZ690" s="57" t="str">
        <f t="shared" si="54"/>
        <v/>
      </c>
      <c r="BA690" s="56" t="str">
        <f>IF(AND($E690&gt;0,$W690&gt;0),IF(($E690-$W690)/$E690&gt;0,($E690-$W690)/$E690,0),"")</f>
        <v/>
      </c>
      <c r="BB690" s="56" t="str">
        <f>IF(AND($I690&gt;0,$AF690&gt;=0),IF(($I690-$AF690)/$I690&gt;0,($I690-$AF690)/$I690,0),"")</f>
        <v/>
      </c>
      <c r="BC690" s="56"/>
      <c r="BD690" s="56" t="str">
        <f>IF(AND($G690&gt;0,$AM690&gt;0),IF(($G690-$AM690)/$G690&gt;0,($G690-$AM690)/$G690,0),"")</f>
        <v/>
      </c>
      <c r="BF690" s="6" t="str">
        <f>IF(OR(AJ690=0,AP690=0,NOT(ISNUMBER(AD690)),NOT(ISNUMBER(AF690)),NOT(ISNUMBER(AJ690)),NOT(ISNUMBER(AP690))),"",
IFERROR(IF((AD690-AF690)/(AJ690/60)/(AP690/1000)&lt;=0,"",(AD690-AF690)/(AJ690/60)/(AP690/1000)),""))</f>
        <v/>
      </c>
    </row>
    <row r="691" spans="1:58" ht="15.75">
      <c r="A691" s="12" t="s">
        <v>18</v>
      </c>
      <c r="B691" s="11">
        <v>45951</v>
      </c>
      <c r="C691" s="1">
        <v>447</v>
      </c>
      <c r="D691" s="3">
        <v>686</v>
      </c>
      <c r="E691" s="205" t="str">
        <f t="shared" si="50"/>
        <v/>
      </c>
      <c r="I691" s="15">
        <f>AD691</f>
        <v>0</v>
      </c>
      <c r="K691" s="10" t="str">
        <f t="shared" si="51"/>
        <v/>
      </c>
      <c r="L691" s="9" t="str">
        <f t="shared" si="52"/>
        <v/>
      </c>
      <c r="M691" s="8" t="str">
        <f t="shared" si="53"/>
        <v/>
      </c>
      <c r="AB691" s="5">
        <v>80</v>
      </c>
      <c r="AG691" s="1">
        <v>4.12</v>
      </c>
      <c r="AH691" s="20">
        <v>0.52083333333333337</v>
      </c>
      <c r="AJ691" s="1">
        <v>161</v>
      </c>
      <c r="AK691" s="3">
        <f>180+60</f>
        <v>240</v>
      </c>
      <c r="AN691" s="3">
        <v>40</v>
      </c>
      <c r="AO691" s="2">
        <v>3560.0000000000364</v>
      </c>
      <c r="AP691" s="13">
        <f>AVERAGE(AO689:AO695)</f>
        <v>3560.0000000000182</v>
      </c>
      <c r="AR691" s="17"/>
      <c r="AS691" s="16"/>
      <c r="AT691" s="16"/>
      <c r="AU691" s="16"/>
      <c r="AV691" s="57" t="str">
        <f>IF(AND(ISNUMBER(E691),ISNUMBER(W691)),E691-W691,"")</f>
        <v/>
      </c>
      <c r="AW691" s="57" t="str">
        <f>IF(AND(ISNUMBER(I691),ISNUMBER(AF691)),I691-AF691,"")</f>
        <v/>
      </c>
      <c r="AX691" s="57" t="str">
        <f>IF(AND(ISNUMBER(AM691),ISNUMBER(G691)),G691-AM691,"")</f>
        <v/>
      </c>
      <c r="AY691" s="57" t="str">
        <f>IF(AND(ISNUMBER(AC691),ISNUMBER(AE691)),AC691-AE691,"")</f>
        <v/>
      </c>
      <c r="AZ691" s="57" t="str">
        <f t="shared" si="54"/>
        <v/>
      </c>
      <c r="BA691" s="56" t="str">
        <f>IF(AND($E691&gt;0,$W691&gt;0),IF(($E691-$W691)/$E691&gt;0,($E691-$W691)/$E691,0),"")</f>
        <v/>
      </c>
      <c r="BB691" s="56" t="str">
        <f>IF(AND($I691&gt;0,$AF691&gt;=0),IF(($I691-$AF691)/$I691&gt;0,($I691-$AF691)/$I691,0),"")</f>
        <v/>
      </c>
      <c r="BC691" s="56"/>
      <c r="BD691" s="56" t="str">
        <f>IF(AND($G691&gt;0,$AM691&gt;0),IF(($G691-$AM691)/$G691&gt;0,($G691-$AM691)/$G691,0),"")</f>
        <v/>
      </c>
      <c r="BF691" s="6" t="str">
        <f>IF(OR(AJ691=0,AP691=0,NOT(ISNUMBER(AD691)),NOT(ISNUMBER(AF691)),NOT(ISNUMBER(AJ691)),NOT(ISNUMBER(AP691))),"",
IFERROR(IF((AD691-AF691)/(AJ691/60)/(AP691/1000)&lt;=0,"",(AD691-AF691)/(AJ691/60)/(AP691/1000)),""))</f>
        <v/>
      </c>
    </row>
    <row r="692" spans="1:58" s="40" customFormat="1" ht="16.5" thickBot="1">
      <c r="A692" s="55"/>
      <c r="B692" s="54">
        <v>45952</v>
      </c>
      <c r="C692" s="1">
        <v>448</v>
      </c>
      <c r="D692" s="44">
        <v>687</v>
      </c>
      <c r="E692" s="205" t="str">
        <f t="shared" si="50"/>
        <v/>
      </c>
      <c r="F692" s="51"/>
      <c r="G692" s="53">
        <v>14.755999999999997</v>
      </c>
      <c r="H692" s="51"/>
      <c r="I692" s="52">
        <f>AD692</f>
        <v>0</v>
      </c>
      <c r="J692" s="50"/>
      <c r="K692" s="10" t="str">
        <f t="shared" si="51"/>
        <v/>
      </c>
      <c r="L692" s="9" t="str">
        <f t="shared" si="52"/>
        <v/>
      </c>
      <c r="M692" s="8" t="str">
        <f t="shared" si="53"/>
        <v/>
      </c>
      <c r="N692" s="49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5">
        <v>80</v>
      </c>
      <c r="AC692" s="47"/>
      <c r="AE692" s="40">
        <f>5*1.95</f>
        <v>9.75</v>
      </c>
      <c r="AF692" s="40">
        <v>0</v>
      </c>
      <c r="AG692" s="1">
        <v>8.0399999999999991</v>
      </c>
      <c r="AH692" s="20">
        <v>0.52048611111111109</v>
      </c>
      <c r="AJ692" s="40">
        <v>187</v>
      </c>
      <c r="AK692" s="3">
        <f>180+60</f>
        <v>240</v>
      </c>
      <c r="AL692" s="47">
        <f>AE692</f>
        <v>9.75</v>
      </c>
      <c r="AM692" s="40">
        <f>5*1.43</f>
        <v>7.1499999999999995</v>
      </c>
      <c r="AN692" s="3">
        <v>40</v>
      </c>
      <c r="AO692" s="43"/>
      <c r="AP692" s="48">
        <f>AVERAGE(AO690:AO696)</f>
        <v>3560.0000000000182</v>
      </c>
      <c r="AQ692" s="43"/>
      <c r="AR692" s="46"/>
      <c r="AS692" s="45"/>
      <c r="AT692" s="45"/>
      <c r="AU692" s="45">
        <f>(G692-AM692)/G692</f>
        <v>0.51545134182705332</v>
      </c>
      <c r="AV692" s="57" t="str">
        <f>IF(AND(ISNUMBER(E692),ISNUMBER(W692)),E692-W692,"")</f>
        <v/>
      </c>
      <c r="AW692" s="57">
        <f>IF(AND(ISNUMBER(I692),ISNUMBER(AF692)),I692-AF692,"")</f>
        <v>0</v>
      </c>
      <c r="AX692" s="57">
        <f>IF(AND(ISNUMBER(AM692),ISNUMBER(G692)),G692-AM692,"")</f>
        <v>7.6059999999999972</v>
      </c>
      <c r="AY692" s="57" t="str">
        <f>IF(AND(ISNUMBER(AC692),ISNUMBER(AE692)),AC692-AE692,"")</f>
        <v/>
      </c>
      <c r="AZ692" s="57">
        <f t="shared" si="54"/>
        <v>2.6000000000000005</v>
      </c>
      <c r="BF692" s="42" t="str">
        <f>IF(OR(AJ692=0,AP692=0,NOT(ISNUMBER(AD692)),NOT(ISNUMBER(AF692)),NOT(ISNUMBER(AJ692)),NOT(ISNUMBER(AP692))),"",
IFERROR(IF((AD692-AF692)/(AJ692/60)/(AP692/1000)&lt;=0,"",(AD692-AF692)/(AJ692/60)/(AP692/1000)),""))</f>
        <v/>
      </c>
    </row>
    <row r="693" spans="1:58" ht="16.5" thickTop="1">
      <c r="A693" s="12" t="s">
        <v>17</v>
      </c>
      <c r="B693" s="11">
        <v>45953</v>
      </c>
      <c r="C693" s="1">
        <v>449</v>
      </c>
      <c r="D693" s="3">
        <v>688</v>
      </c>
      <c r="E693" s="205" t="str">
        <f t="shared" si="50"/>
        <v/>
      </c>
      <c r="G693" s="41">
        <v>14.755999999999997</v>
      </c>
      <c r="I693" s="15">
        <f>AD693</f>
        <v>0</v>
      </c>
      <c r="K693" s="10" t="str">
        <f t="shared" si="51"/>
        <v/>
      </c>
      <c r="L693" s="9" t="str">
        <f t="shared" si="52"/>
        <v/>
      </c>
      <c r="M693" s="8" t="str">
        <f t="shared" si="53"/>
        <v/>
      </c>
      <c r="Y693" s="6">
        <v>3.14</v>
      </c>
      <c r="AB693" s="5">
        <v>80</v>
      </c>
      <c r="AE693" s="1">
        <f>5*2.65</f>
        <v>13.25</v>
      </c>
      <c r="AF693" s="1">
        <v>0</v>
      </c>
      <c r="AG693" s="1">
        <v>8.3000000000000007</v>
      </c>
      <c r="AH693" s="20">
        <v>0.5200231481481481</v>
      </c>
      <c r="AJ693" s="1">
        <v>205</v>
      </c>
      <c r="AK693" s="3">
        <f>180+60</f>
        <v>240</v>
      </c>
      <c r="AL693" s="4">
        <f>AE693</f>
        <v>13.25</v>
      </c>
      <c r="AM693" s="1">
        <f>5*2.15</f>
        <v>10.75</v>
      </c>
      <c r="AN693" s="3">
        <v>40</v>
      </c>
      <c r="AP693" s="13">
        <f>AVERAGE(AO691:AO697)</f>
        <v>3560.0000000000182</v>
      </c>
      <c r="AR693" s="17" t="e">
        <f>(E693-W693)/E693</f>
        <v>#VALUE!</v>
      </c>
      <c r="AS693" s="16" t="e">
        <f>(I693-AF693)/I693</f>
        <v>#DIV/0!</v>
      </c>
      <c r="AT693" s="16" t="e">
        <f>AG693/(AD693-AF693)</f>
        <v>#DIV/0!</v>
      </c>
      <c r="AU693" s="16">
        <f>(G693-AM693)/G693</f>
        <v>0.27148278666305214</v>
      </c>
      <c r="AV693" s="57" t="str">
        <f>IF(AND(ISNUMBER(E693),ISNUMBER(W693)),E693-W693,"")</f>
        <v/>
      </c>
      <c r="AW693" s="57">
        <f>IF(AND(ISNUMBER(I693),ISNUMBER(AF693)),I693-AF693,"")</f>
        <v>0</v>
      </c>
      <c r="AX693" s="57">
        <f>IF(AND(ISNUMBER(AM693),ISNUMBER(G693)),G693-AM693,"")</f>
        <v>4.0059999999999967</v>
      </c>
      <c r="AY693" s="57" t="str">
        <f>IF(AND(ISNUMBER(AC693),ISNUMBER(AE693)),AC693-AE693,"")</f>
        <v/>
      </c>
      <c r="AZ693" s="57">
        <f t="shared" si="54"/>
        <v>2.5</v>
      </c>
      <c r="BF693" s="6" t="str">
        <f>IF(OR(AJ693=0,AP693=0,NOT(ISNUMBER(AD693)),NOT(ISNUMBER(AF693)),NOT(ISNUMBER(AJ693)),NOT(ISNUMBER(AP693))),"",
IFERROR(IF((AD693-AF693)/(AJ693/60)/(AP693/1000)&lt;=0,"",(AD693-AF693)/(AJ693/60)/(AP693/1000)),""))</f>
        <v/>
      </c>
    </row>
    <row r="694" spans="1:58" ht="15.75">
      <c r="B694" s="11">
        <v>45954</v>
      </c>
      <c r="C694" s="1">
        <v>450</v>
      </c>
      <c r="D694" s="3">
        <v>689</v>
      </c>
      <c r="E694" s="205" t="str">
        <f t="shared" si="50"/>
        <v/>
      </c>
      <c r="I694" s="15">
        <f>AD694</f>
        <v>0</v>
      </c>
      <c r="K694" s="10" t="str">
        <f t="shared" si="51"/>
        <v/>
      </c>
      <c r="L694" s="9" t="str">
        <f t="shared" si="52"/>
        <v/>
      </c>
      <c r="M694" s="8" t="str">
        <f t="shared" si="53"/>
        <v/>
      </c>
      <c r="AB694" s="5">
        <v>80</v>
      </c>
      <c r="AG694" s="1">
        <v>7.99</v>
      </c>
      <c r="AH694" s="20">
        <v>0.52060185185185182</v>
      </c>
      <c r="AJ694" s="1">
        <v>191</v>
      </c>
      <c r="AK694" s="3">
        <f>180+60</f>
        <v>240</v>
      </c>
      <c r="AN694" s="3">
        <v>40</v>
      </c>
      <c r="AO694" s="2">
        <v>3560</v>
      </c>
      <c r="AP694" s="13">
        <f>AVERAGE(AO692:AO698)</f>
        <v>3560</v>
      </c>
      <c r="AR694" s="17" t="e">
        <f>(E694-W694)/E694</f>
        <v>#VALUE!</v>
      </c>
      <c r="AS694" s="16" t="e">
        <f>(I694-AF694)/I694</f>
        <v>#DIV/0!</v>
      </c>
      <c r="AT694" s="16" t="e">
        <f>AG694/(AD694-AF694)</f>
        <v>#DIV/0!</v>
      </c>
      <c r="AU694" s="16" t="e">
        <f>(G694-AM694)/G694</f>
        <v>#DIV/0!</v>
      </c>
      <c r="AV694" s="57" t="str">
        <f>IF(AND(ISNUMBER(E694),ISNUMBER(W694)),E694-W694,"")</f>
        <v/>
      </c>
      <c r="AW694" s="57" t="str">
        <f>IF(AND(ISNUMBER(I694),ISNUMBER(AF694)),I694-AF694,"")</f>
        <v/>
      </c>
      <c r="AX694" s="57" t="str">
        <f>IF(AND(ISNUMBER(AM694),ISNUMBER(G694)),G694-AM694,"")</f>
        <v/>
      </c>
      <c r="AY694" s="57" t="str">
        <f>IF(AND(ISNUMBER(AC694),ISNUMBER(AE694)),AC694-AE694,"")</f>
        <v/>
      </c>
      <c r="AZ694" s="57" t="str">
        <f t="shared" si="54"/>
        <v/>
      </c>
      <c r="BF694" s="6" t="str">
        <f>IF(OR(AJ694=0,AP694=0,NOT(ISNUMBER(AD694)),NOT(ISNUMBER(AF694)),NOT(ISNUMBER(AJ694)),NOT(ISNUMBER(AP694))),"",
IFERROR(IF((AD694-AF694)/(AJ694/60)/(AP694/1000)&lt;=0,"",(AD694-AF694)/(AJ694/60)/(AP694/1000)),""))</f>
        <v/>
      </c>
    </row>
    <row r="695" spans="1:58" ht="15.75">
      <c r="A695" s="12" t="s">
        <v>16</v>
      </c>
      <c r="B695" s="11">
        <v>45955</v>
      </c>
      <c r="C695" s="1">
        <v>451</v>
      </c>
      <c r="D695" s="3">
        <v>690</v>
      </c>
      <c r="E695" s="205" t="str">
        <f t="shared" si="50"/>
        <v/>
      </c>
      <c r="I695" s="15">
        <f>AD695</f>
        <v>0</v>
      </c>
      <c r="K695" s="10" t="str">
        <f t="shared" si="51"/>
        <v/>
      </c>
      <c r="L695" s="9" t="str">
        <f t="shared" si="52"/>
        <v/>
      </c>
      <c r="M695" s="8" t="str">
        <f t="shared" si="53"/>
        <v/>
      </c>
      <c r="AB695" s="5">
        <v>80</v>
      </c>
      <c r="AG695" s="1">
        <v>8.2200000000000006</v>
      </c>
      <c r="AH695" s="20">
        <v>0.52083333333333337</v>
      </c>
      <c r="AJ695" s="1">
        <v>177</v>
      </c>
      <c r="AK695" s="3">
        <f>180+60</f>
        <v>240</v>
      </c>
      <c r="AN695" s="3">
        <v>40</v>
      </c>
      <c r="AP695" s="13">
        <f>AVERAGE(AO693:AO699)</f>
        <v>3560</v>
      </c>
      <c r="AR695" s="17" t="e">
        <f>(E695-W695)/E695</f>
        <v>#VALUE!</v>
      </c>
      <c r="AS695" s="16" t="e">
        <f>(I695-AF695)/I695</f>
        <v>#DIV/0!</v>
      </c>
      <c r="AT695" s="16" t="e">
        <f>AG695/(AD695-AF695)</f>
        <v>#DIV/0!</v>
      </c>
      <c r="AU695" s="16" t="e">
        <f>(G695-AM695)/G695</f>
        <v>#DIV/0!</v>
      </c>
      <c r="AV695" s="57" t="str">
        <f>IF(AND(ISNUMBER(E695),ISNUMBER(W695)),E695-W695,"")</f>
        <v/>
      </c>
      <c r="AW695" s="57" t="str">
        <f>IF(AND(ISNUMBER(I695),ISNUMBER(AF695)),I695-AF695,"")</f>
        <v/>
      </c>
      <c r="AX695" s="57" t="str">
        <f>IF(AND(ISNUMBER(AM695),ISNUMBER(G695)),G695-AM695,"")</f>
        <v/>
      </c>
      <c r="AY695" s="57" t="str">
        <f>IF(AND(ISNUMBER(AC695),ISNUMBER(AE695)),AC695-AE695,"")</f>
        <v/>
      </c>
      <c r="AZ695" s="57" t="str">
        <f t="shared" si="54"/>
        <v/>
      </c>
      <c r="BF695" s="6" t="str">
        <f>IF(OR(AJ695=0,AP695=0,NOT(ISNUMBER(AD695)),NOT(ISNUMBER(AF695)),NOT(ISNUMBER(AJ695)),NOT(ISNUMBER(AP695))),"",
IFERROR(IF((AD695-AF695)/(AJ695/60)/(AP695/1000)&lt;=0,"",(AD695-AF695)/(AJ695/60)/(AP695/1000)),""))</f>
        <v/>
      </c>
    </row>
    <row r="696" spans="1:58" ht="15.75">
      <c r="B696" s="11">
        <v>45956</v>
      </c>
      <c r="C696" s="1">
        <v>452</v>
      </c>
      <c r="D696" s="3">
        <v>691</v>
      </c>
      <c r="E696" s="205" t="str">
        <f t="shared" si="50"/>
        <v/>
      </c>
      <c r="I696" s="15">
        <f>AD696</f>
        <v>0</v>
      </c>
      <c r="K696" s="10" t="str">
        <f t="shared" si="51"/>
        <v/>
      </c>
      <c r="L696" s="9" t="str">
        <f t="shared" si="52"/>
        <v/>
      </c>
      <c r="M696" s="8" t="str">
        <f t="shared" si="53"/>
        <v/>
      </c>
      <c r="AB696" s="5">
        <v>80</v>
      </c>
      <c r="AG696" s="1">
        <v>8.33</v>
      </c>
      <c r="AH696" s="20">
        <v>0.49375000000000002</v>
      </c>
      <c r="AJ696" s="1">
        <v>195</v>
      </c>
      <c r="AK696" s="3">
        <f>180+60</f>
        <v>240</v>
      </c>
      <c r="AN696" s="3">
        <v>40</v>
      </c>
      <c r="AP696" s="13">
        <f>AVERAGE(AO694:AO700)</f>
        <v>3560</v>
      </c>
      <c r="AR696" s="17" t="e">
        <f>(E696-W696)/E696</f>
        <v>#VALUE!</v>
      </c>
      <c r="AS696" s="16" t="e">
        <f>(I696-AF696)/I696</f>
        <v>#DIV/0!</v>
      </c>
      <c r="AT696" s="16" t="e">
        <f>AG696/(AD696-AF696)</f>
        <v>#DIV/0!</v>
      </c>
      <c r="AU696" s="16" t="e">
        <f>(G696-AM696)/G696</f>
        <v>#DIV/0!</v>
      </c>
      <c r="AV696" s="57" t="str">
        <f>IF(AND(ISNUMBER(E696),ISNUMBER(W696)),E696-W696,"")</f>
        <v/>
      </c>
      <c r="AW696" s="57" t="str">
        <f>IF(AND(ISNUMBER(I696),ISNUMBER(AF696)),I696-AF696,"")</f>
        <v/>
      </c>
      <c r="AX696" s="57" t="str">
        <f>IF(AND(ISNUMBER(AM696),ISNUMBER(G696)),G696-AM696,"")</f>
        <v/>
      </c>
      <c r="AY696" s="57" t="str">
        <f>IF(AND(ISNUMBER(AC696),ISNUMBER(AE696)),AC696-AE696,"")</f>
        <v/>
      </c>
      <c r="AZ696" s="57" t="str">
        <f t="shared" si="54"/>
        <v/>
      </c>
      <c r="BF696" s="6" t="str">
        <f>IF(OR(AJ696=0,AP696=0,NOT(ISNUMBER(AD696)),NOT(ISNUMBER(AF696)),NOT(ISNUMBER(AJ696)),NOT(ISNUMBER(AP696))),"",
IFERROR(IF((AD696-AF696)/(AJ696/60)/(AP696/1000)&lt;=0,"",(AD696-AF696)/(AJ696/60)/(AP696/1000)),""))</f>
        <v/>
      </c>
    </row>
    <row r="697" spans="1:58" ht="15.75">
      <c r="B697" s="11">
        <v>45957</v>
      </c>
      <c r="C697" s="1">
        <v>453</v>
      </c>
      <c r="D697" s="3">
        <v>692</v>
      </c>
      <c r="E697" s="205" t="str">
        <f t="shared" si="50"/>
        <v/>
      </c>
      <c r="I697" s="15">
        <f>AD697</f>
        <v>0</v>
      </c>
      <c r="K697" s="10" t="str">
        <f t="shared" si="51"/>
        <v/>
      </c>
      <c r="L697" s="9" t="str">
        <f t="shared" si="52"/>
        <v/>
      </c>
      <c r="M697" s="8" t="str">
        <f t="shared" si="53"/>
        <v/>
      </c>
      <c r="AB697" s="5">
        <v>80</v>
      </c>
      <c r="AG697" s="1">
        <v>8.82</v>
      </c>
      <c r="AH697" s="20">
        <v>0.47233796296296299</v>
      </c>
      <c r="AJ697" s="1">
        <v>231</v>
      </c>
      <c r="AK697" s="3">
        <f>180+60</f>
        <v>240</v>
      </c>
      <c r="AN697" s="3">
        <v>40</v>
      </c>
      <c r="AP697" s="13" t="e">
        <f>AVERAGE(AO695:AO701)</f>
        <v>#DIV/0!</v>
      </c>
      <c r="AR697" s="17" t="e">
        <f>(E697-W697)/E697</f>
        <v>#VALUE!</v>
      </c>
      <c r="AS697" s="16" t="e">
        <f>(I697-AF697)/I697</f>
        <v>#DIV/0!</v>
      </c>
      <c r="AT697" s="16" t="e">
        <f>AG697/(AD697-AF697)</f>
        <v>#DIV/0!</v>
      </c>
      <c r="AU697" s="16" t="e">
        <f>(G697-AM697)/G697</f>
        <v>#DIV/0!</v>
      </c>
      <c r="AV697" s="57" t="str">
        <f>IF(AND(ISNUMBER(E697),ISNUMBER(W697)),E697-W697,"")</f>
        <v/>
      </c>
      <c r="AW697" s="57" t="str">
        <f>IF(AND(ISNUMBER(I697),ISNUMBER(AF697)),I697-AF697,"")</f>
        <v/>
      </c>
      <c r="AX697" s="57" t="str">
        <f>IF(AND(ISNUMBER(AM697),ISNUMBER(G697)),G697-AM697,"")</f>
        <v/>
      </c>
      <c r="AY697" s="57" t="str">
        <f>IF(AND(ISNUMBER(AC697),ISNUMBER(AE697)),AC697-AE697,"")</f>
        <v/>
      </c>
      <c r="AZ697" s="57" t="str">
        <f t="shared" si="54"/>
        <v/>
      </c>
      <c r="BF697" s="6"/>
    </row>
    <row r="698" spans="1:58" ht="15.75">
      <c r="B698" s="11">
        <v>45958</v>
      </c>
      <c r="C698" s="1">
        <v>454</v>
      </c>
      <c r="D698" s="3">
        <v>693</v>
      </c>
      <c r="E698" s="205" t="str">
        <f t="shared" si="50"/>
        <v/>
      </c>
      <c r="I698" s="15">
        <f>AD698</f>
        <v>0</v>
      </c>
      <c r="K698" s="10" t="str">
        <f t="shared" si="51"/>
        <v/>
      </c>
      <c r="L698" s="9" t="str">
        <f t="shared" si="52"/>
        <v/>
      </c>
      <c r="M698" s="8" t="str">
        <f t="shared" si="53"/>
        <v/>
      </c>
      <c r="AB698" s="5">
        <v>80</v>
      </c>
      <c r="AG698" s="1">
        <v>9.09</v>
      </c>
      <c r="AH698" s="20">
        <v>0.49259259259259258</v>
      </c>
      <c r="AJ698" s="1">
        <v>197</v>
      </c>
      <c r="AK698" s="3">
        <f>180+60</f>
        <v>240</v>
      </c>
      <c r="AN698" s="3">
        <v>40</v>
      </c>
      <c r="AP698" s="13" t="e">
        <f>AVERAGE(AO696:AO702)</f>
        <v>#DIV/0!</v>
      </c>
      <c r="AR698" s="17" t="e">
        <f>(E698-W698)/E698</f>
        <v>#VALUE!</v>
      </c>
      <c r="AS698" s="16" t="e">
        <f>(I698-AF698)/I698</f>
        <v>#DIV/0!</v>
      </c>
      <c r="AT698" s="16" t="e">
        <f>AG698/(AD698-AF698)</f>
        <v>#DIV/0!</v>
      </c>
      <c r="AU698" s="16" t="e">
        <f>(G698-AM698)/G698</f>
        <v>#DIV/0!</v>
      </c>
      <c r="AV698" s="57" t="str">
        <f>IF(AND(ISNUMBER(E698),ISNUMBER(W698)),E698-W698,"")</f>
        <v/>
      </c>
      <c r="AW698" s="57" t="str">
        <f>IF(AND(ISNUMBER(I698),ISNUMBER(AF698)),I698-AF698,"")</f>
        <v/>
      </c>
      <c r="AX698" s="57" t="str">
        <f>IF(AND(ISNUMBER(AM698),ISNUMBER(G698)),G698-AM698,"")</f>
        <v/>
      </c>
      <c r="AY698" s="57" t="str">
        <f>IF(AND(ISNUMBER(AC698),ISNUMBER(AE698)),AC698-AE698,"")</f>
        <v/>
      </c>
      <c r="AZ698" s="57" t="str">
        <f t="shared" si="54"/>
        <v/>
      </c>
      <c r="BF698" s="6"/>
    </row>
    <row r="699" spans="1:58" ht="15.75">
      <c r="B699" s="11">
        <v>45959</v>
      </c>
      <c r="C699" s="1">
        <v>455</v>
      </c>
      <c r="D699" s="3">
        <v>694</v>
      </c>
      <c r="E699" s="205" t="str">
        <f t="shared" si="50"/>
        <v/>
      </c>
      <c r="I699" s="15">
        <f>AD699</f>
        <v>0</v>
      </c>
      <c r="K699" s="10" t="str">
        <f t="shared" si="51"/>
        <v/>
      </c>
      <c r="L699" s="9" t="str">
        <f t="shared" si="52"/>
        <v/>
      </c>
      <c r="M699" s="8" t="str">
        <f t="shared" si="53"/>
        <v/>
      </c>
      <c r="AB699" s="5">
        <v>80</v>
      </c>
      <c r="AG699" s="1">
        <v>9.73</v>
      </c>
      <c r="AH699" s="20">
        <v>0.47615740740740742</v>
      </c>
      <c r="AJ699" s="1">
        <v>167</v>
      </c>
      <c r="AK699" s="3">
        <f>180+60</f>
        <v>240</v>
      </c>
      <c r="AN699" s="3">
        <v>40</v>
      </c>
      <c r="AP699" s="13" t="e">
        <f>AVERAGE(AO697:AO703)</f>
        <v>#DIV/0!</v>
      </c>
      <c r="AR699" s="17" t="e">
        <f>(E699-W699)/E699</f>
        <v>#VALUE!</v>
      </c>
      <c r="AS699" s="16" t="e">
        <f>(I699-AF699)/I699</f>
        <v>#DIV/0!</v>
      </c>
      <c r="AT699" s="16" t="e">
        <f>AG699/(AD699-AF699)</f>
        <v>#DIV/0!</v>
      </c>
      <c r="AU699" s="16" t="e">
        <f>(G699-AM699)/G699</f>
        <v>#DIV/0!</v>
      </c>
      <c r="AV699" s="57" t="str">
        <f>IF(AND(ISNUMBER(E699),ISNUMBER(W699)),E699-W699,"")</f>
        <v/>
      </c>
      <c r="AW699" s="57" t="str">
        <f>IF(AND(ISNUMBER(I699),ISNUMBER(AF699)),I699-AF699,"")</f>
        <v/>
      </c>
      <c r="AX699" s="57" t="str">
        <f>IF(AND(ISNUMBER(AM699),ISNUMBER(G699)),G699-AM699,"")</f>
        <v/>
      </c>
      <c r="AY699" s="57" t="str">
        <f>IF(AND(ISNUMBER(AC699),ISNUMBER(AE699)),AC699-AE699,"")</f>
        <v/>
      </c>
      <c r="AZ699" s="57" t="str">
        <f t="shared" si="54"/>
        <v/>
      </c>
      <c r="BF699" s="6"/>
    </row>
    <row r="700" spans="1:58" ht="15.75">
      <c r="B700" s="11">
        <v>45960</v>
      </c>
      <c r="C700" s="1">
        <v>456</v>
      </c>
      <c r="D700" s="3">
        <v>695</v>
      </c>
      <c r="E700" s="205" t="str">
        <f t="shared" si="50"/>
        <v/>
      </c>
      <c r="I700" s="15">
        <f>AD700</f>
        <v>0</v>
      </c>
      <c r="K700" s="10" t="str">
        <f t="shared" si="51"/>
        <v/>
      </c>
      <c r="L700" s="9" t="str">
        <f t="shared" si="52"/>
        <v/>
      </c>
      <c r="M700" s="8" t="str">
        <f t="shared" si="53"/>
        <v/>
      </c>
      <c r="AB700" s="5">
        <v>80</v>
      </c>
      <c r="AG700" s="1">
        <v>16.84</v>
      </c>
      <c r="AH700" s="20">
        <v>0.51956018518518521</v>
      </c>
      <c r="AJ700" s="1">
        <v>177</v>
      </c>
      <c r="AK700" s="3">
        <f>180+60</f>
        <v>240</v>
      </c>
      <c r="AN700" s="3">
        <v>40</v>
      </c>
      <c r="AP700" s="13" t="e">
        <f>AVERAGE(AO698:AO704)</f>
        <v>#DIV/0!</v>
      </c>
      <c r="AR700" s="17" t="e">
        <f>(E700-W700)/E700</f>
        <v>#VALUE!</v>
      </c>
      <c r="AS700" s="16" t="e">
        <f>(I700-AF700)/I700</f>
        <v>#DIV/0!</v>
      </c>
      <c r="AT700" s="16" t="e">
        <f>AG700/(AD700-AF700)</f>
        <v>#DIV/0!</v>
      </c>
      <c r="AU700" s="16" t="e">
        <f>(G700-AM700)/G700</f>
        <v>#DIV/0!</v>
      </c>
      <c r="AV700" s="57" t="str">
        <f>IF(AND(ISNUMBER(E700),ISNUMBER(W700)),E700-W700,"")</f>
        <v/>
      </c>
      <c r="AW700" s="57" t="str">
        <f>IF(AND(ISNUMBER(I700),ISNUMBER(AF700)),I700-AF700,"")</f>
        <v/>
      </c>
      <c r="AX700" s="57" t="str">
        <f>IF(AND(ISNUMBER(AM700),ISNUMBER(G700)),G700-AM700,"")</f>
        <v/>
      </c>
      <c r="AY700" s="57" t="str">
        <f>IF(AND(ISNUMBER(AC700),ISNUMBER(AE700)),AC700-AE700,"")</f>
        <v/>
      </c>
      <c r="AZ700" s="57" t="str">
        <f t="shared" si="54"/>
        <v/>
      </c>
      <c r="BF700" s="6"/>
    </row>
    <row r="701" spans="1:58" ht="15.75">
      <c r="A701" s="12" t="s">
        <v>15</v>
      </c>
      <c r="B701" s="11">
        <v>45961</v>
      </c>
      <c r="C701" s="1">
        <v>457</v>
      </c>
      <c r="D701" s="3">
        <v>696</v>
      </c>
      <c r="E701" s="205" t="str">
        <f t="shared" si="50"/>
        <v/>
      </c>
      <c r="I701" s="15">
        <f>AD701</f>
        <v>0</v>
      </c>
      <c r="K701" s="10" t="str">
        <f t="shared" si="51"/>
        <v/>
      </c>
      <c r="L701" s="9" t="str">
        <f t="shared" si="52"/>
        <v/>
      </c>
      <c r="M701" s="8" t="str">
        <f t="shared" si="53"/>
        <v/>
      </c>
      <c r="AB701" s="5">
        <v>80</v>
      </c>
      <c r="AG701" s="1">
        <v>13.16</v>
      </c>
      <c r="AH701" s="20">
        <v>0.42939814814814814</v>
      </c>
      <c r="AJ701" s="1">
        <v>229</v>
      </c>
      <c r="AK701" s="3">
        <f>180+60</f>
        <v>240</v>
      </c>
      <c r="AN701" s="3">
        <v>40</v>
      </c>
      <c r="AP701" s="13">
        <f>AVERAGE(AO699:AO705)</f>
        <v>3250</v>
      </c>
      <c r="AR701" s="17" t="e">
        <f>(E701-W701)/E701</f>
        <v>#VALUE!</v>
      </c>
      <c r="AS701" s="16" t="e">
        <f>(I701-AF701)/I701</f>
        <v>#DIV/0!</v>
      </c>
      <c r="AT701" s="16" t="e">
        <f>AG701/(AD701-AF701)</f>
        <v>#DIV/0!</v>
      </c>
      <c r="AU701" s="16" t="e">
        <f>(G701-AM701)/G701</f>
        <v>#DIV/0!</v>
      </c>
      <c r="AV701" s="57" t="str">
        <f>IF(AND(ISNUMBER(E701),ISNUMBER(W701)),E701-W701,"")</f>
        <v/>
      </c>
      <c r="AW701" s="57" t="str">
        <f>IF(AND(ISNUMBER(I701),ISNUMBER(AF701)),I701-AF701,"")</f>
        <v/>
      </c>
      <c r="AX701" s="57" t="str">
        <f>IF(AND(ISNUMBER(AM701),ISNUMBER(G701)),G701-AM701,"")</f>
        <v/>
      </c>
      <c r="AY701" s="57" t="str">
        <f>IF(AND(ISNUMBER(AC701),ISNUMBER(AE701)),AC701-AE701,"")</f>
        <v/>
      </c>
      <c r="AZ701" s="57" t="str">
        <f t="shared" si="54"/>
        <v/>
      </c>
      <c r="BF701" s="6"/>
    </row>
    <row r="702" spans="1:58" ht="15.75">
      <c r="B702" s="11">
        <v>45962</v>
      </c>
      <c r="C702" s="1">
        <v>458</v>
      </c>
      <c r="D702" s="3">
        <v>697</v>
      </c>
      <c r="E702" s="205" t="str">
        <f t="shared" si="50"/>
        <v/>
      </c>
      <c r="I702" s="15">
        <f>AD702</f>
        <v>0</v>
      </c>
      <c r="K702" s="10" t="str">
        <f t="shared" si="51"/>
        <v/>
      </c>
      <c r="L702" s="9" t="str">
        <f t="shared" si="52"/>
        <v/>
      </c>
      <c r="M702" s="8" t="str">
        <f t="shared" si="53"/>
        <v/>
      </c>
      <c r="AB702" s="5">
        <v>80</v>
      </c>
      <c r="AG702" s="1">
        <v>0.47</v>
      </c>
      <c r="AH702" s="20">
        <v>0.36550925925925926</v>
      </c>
      <c r="AJ702" s="1">
        <v>3</v>
      </c>
      <c r="AK702" s="3">
        <f>180+60</f>
        <v>240</v>
      </c>
      <c r="AN702" s="3">
        <v>40</v>
      </c>
      <c r="AP702" s="13">
        <f>AVERAGE(AO700:AO706)</f>
        <v>3250</v>
      </c>
      <c r="AR702" s="17" t="e">
        <f>(E702-W702)/E702</f>
        <v>#VALUE!</v>
      </c>
      <c r="AS702" s="16" t="e">
        <f>(I702-AF702)/I702</f>
        <v>#DIV/0!</v>
      </c>
      <c r="AT702" s="16" t="e">
        <f>AG702/(AD702-AF702)</f>
        <v>#DIV/0!</v>
      </c>
      <c r="AU702" s="16" t="e">
        <f>(G702-AM702)/G702</f>
        <v>#DIV/0!</v>
      </c>
      <c r="AV702" s="57" t="str">
        <f>IF(AND(ISNUMBER(E702),ISNUMBER(W702)),E702-W702,"")</f>
        <v/>
      </c>
      <c r="AW702" s="57" t="str">
        <f>IF(AND(ISNUMBER(I702),ISNUMBER(AF702)),I702-AF702,"")</f>
        <v/>
      </c>
      <c r="AX702" s="57" t="str">
        <f>IF(AND(ISNUMBER(AM702),ISNUMBER(G702)),G702-AM702,"")</f>
        <v/>
      </c>
      <c r="AY702" s="57" t="str">
        <f>IF(AND(ISNUMBER(AC702),ISNUMBER(AE702)),AC702-AE702,"")</f>
        <v/>
      </c>
      <c r="AZ702" s="57" t="str">
        <f t="shared" si="54"/>
        <v/>
      </c>
      <c r="BF702" s="6"/>
    </row>
    <row r="703" spans="1:58" ht="15.75">
      <c r="B703" s="11">
        <v>45963</v>
      </c>
      <c r="C703" s="1">
        <v>459</v>
      </c>
      <c r="D703" s="3">
        <v>698</v>
      </c>
      <c r="E703" s="205" t="str">
        <f t="shared" si="50"/>
        <v/>
      </c>
      <c r="I703" s="15">
        <f>AD703</f>
        <v>0</v>
      </c>
      <c r="K703" s="10" t="str">
        <f t="shared" si="51"/>
        <v/>
      </c>
      <c r="L703" s="9" t="str">
        <f t="shared" si="52"/>
        <v/>
      </c>
      <c r="M703" s="8" t="str">
        <f t="shared" si="53"/>
        <v/>
      </c>
      <c r="AB703" s="5">
        <v>80</v>
      </c>
      <c r="AG703" s="1">
        <v>0.73</v>
      </c>
      <c r="AH703" s="20">
        <v>0.36261574074074077</v>
      </c>
      <c r="AJ703" s="1">
        <v>119</v>
      </c>
      <c r="AK703" s="3">
        <f>180+60</f>
        <v>240</v>
      </c>
      <c r="AN703" s="3">
        <v>40</v>
      </c>
      <c r="AP703" s="13">
        <f>AVERAGE(AO701:AO707)</f>
        <v>3250</v>
      </c>
      <c r="AR703" s="17" t="e">
        <f>(E703-W703)/E703</f>
        <v>#VALUE!</v>
      </c>
      <c r="AS703" s="16" t="e">
        <f>(I703-AF703)/I703</f>
        <v>#DIV/0!</v>
      </c>
      <c r="AT703" s="16" t="e">
        <f>AG703/(AD703-AF703)</f>
        <v>#DIV/0!</v>
      </c>
      <c r="AU703" s="16" t="e">
        <f>(G703-AM703)/G703</f>
        <v>#DIV/0!</v>
      </c>
      <c r="AV703" s="57" t="str">
        <f>IF(AND(ISNUMBER(E703),ISNUMBER(W703)),E703-W703,"")</f>
        <v/>
      </c>
      <c r="AW703" s="57" t="str">
        <f>IF(AND(ISNUMBER(I703),ISNUMBER(AF703)),I703-AF703,"")</f>
        <v/>
      </c>
      <c r="AX703" s="57" t="str">
        <f>IF(AND(ISNUMBER(AM703),ISNUMBER(G703)),G703-AM703,"")</f>
        <v/>
      </c>
      <c r="AY703" s="57" t="str">
        <f>IF(AND(ISNUMBER(AC703),ISNUMBER(AE703)),AC703-AE703,"")</f>
        <v/>
      </c>
      <c r="AZ703" s="57" t="str">
        <f t="shared" si="54"/>
        <v/>
      </c>
      <c r="BF703" s="6" t="str">
        <f>IF(OR(AJ703=0,AP703=0,NOT(ISNUMBER(AD703)),NOT(ISNUMBER(AF703)),NOT(ISNUMBER(AJ703)),NOT(ISNUMBER(AP703))),"",
IFERROR(IF((AD703-AF703)/(AJ703/60)/(AP703/1000)&lt;=0,"",(AD703-AF703)/(AJ703/60)/(AP703/1000)),""))</f>
        <v/>
      </c>
    </row>
    <row r="704" spans="1:58" ht="16.5" thickBot="1">
      <c r="B704" s="11">
        <v>45964</v>
      </c>
      <c r="C704" s="1">
        <v>460</v>
      </c>
      <c r="D704" s="3">
        <v>699</v>
      </c>
      <c r="E704" s="205" t="str">
        <f t="shared" si="50"/>
        <v/>
      </c>
      <c r="I704" s="15">
        <f>AD704</f>
        <v>0</v>
      </c>
      <c r="K704" s="10" t="str">
        <f t="shared" si="51"/>
        <v/>
      </c>
      <c r="L704" s="9" t="str">
        <f t="shared" si="52"/>
        <v/>
      </c>
      <c r="M704" s="8" t="str">
        <f t="shared" si="53"/>
        <v/>
      </c>
      <c r="AB704" s="5">
        <v>80</v>
      </c>
      <c r="AG704" s="40">
        <v>7.0000000000000007E-2</v>
      </c>
      <c r="AH704" s="20">
        <v>0.39930555555555558</v>
      </c>
      <c r="AJ704" s="1">
        <v>53</v>
      </c>
      <c r="AK704" s="3">
        <f>180+60</f>
        <v>240</v>
      </c>
      <c r="AN704" s="3">
        <v>40</v>
      </c>
      <c r="AP704" s="13">
        <f>AVERAGE(AO702:AO708)</f>
        <v>3250</v>
      </c>
      <c r="AR704" s="17" t="e">
        <f>(E704-W704)/E704</f>
        <v>#VALUE!</v>
      </c>
      <c r="AS704" s="16" t="e">
        <f>(I704-AF704)/I704</f>
        <v>#DIV/0!</v>
      </c>
      <c r="AT704" s="16" t="e">
        <f>AG704/(AD704-AF704)</f>
        <v>#DIV/0!</v>
      </c>
      <c r="AU704" s="16" t="e">
        <f>(G704-AM704)/G704</f>
        <v>#DIV/0!</v>
      </c>
      <c r="AV704" s="57" t="str">
        <f>IF(AND(ISNUMBER(E704),ISNUMBER(W704)),E704-W704,"")</f>
        <v/>
      </c>
      <c r="AW704" s="57" t="str">
        <f>IF(AND(ISNUMBER(I704),ISNUMBER(AF704)),I704-AF704,"")</f>
        <v/>
      </c>
      <c r="AX704" s="57" t="str">
        <f>IF(AND(ISNUMBER(AM704),ISNUMBER(G704)),G704-AM704,"")</f>
        <v/>
      </c>
      <c r="AY704" s="57" t="str">
        <f>IF(AND(ISNUMBER(AC704),ISNUMBER(AE704)),AC704-AE704,"")</f>
        <v/>
      </c>
      <c r="AZ704" s="57" t="str">
        <f t="shared" si="54"/>
        <v/>
      </c>
      <c r="BF704" s="6" t="str">
        <f>IF(OR(AJ704=0,AP704=0,NOT(ISNUMBER(AD704)),NOT(ISNUMBER(AF704)),NOT(ISNUMBER(AJ704)),NOT(ISNUMBER(AP704))),"",
IFERROR(IF((AD704-AF704)/(AJ704/60)/(AP704/1000)&lt;=0,"",(AD704-AF704)/(AJ704/60)/(AP704/1000)),""))</f>
        <v/>
      </c>
    </row>
    <row r="705" spans="1:58" ht="16.5" thickTop="1">
      <c r="B705" s="11">
        <v>45965</v>
      </c>
      <c r="C705" s="1">
        <v>461</v>
      </c>
      <c r="D705" s="3">
        <v>700</v>
      </c>
      <c r="E705" s="205" t="str">
        <f t="shared" si="50"/>
        <v/>
      </c>
      <c r="I705" s="15">
        <f>AD705</f>
        <v>0</v>
      </c>
      <c r="K705" s="10" t="str">
        <f t="shared" si="51"/>
        <v/>
      </c>
      <c r="L705" s="9" t="str">
        <f t="shared" si="52"/>
        <v/>
      </c>
      <c r="M705" s="8" t="str">
        <f t="shared" si="53"/>
        <v/>
      </c>
      <c r="AB705" s="5">
        <v>80</v>
      </c>
      <c r="AG705" s="1">
        <v>0.3</v>
      </c>
      <c r="AH705" s="20">
        <v>0.40069444444444446</v>
      </c>
      <c r="AJ705" s="1">
        <v>47</v>
      </c>
      <c r="AK705" s="3">
        <f>180+60</f>
        <v>240</v>
      </c>
      <c r="AN705" s="3">
        <v>40</v>
      </c>
      <c r="AO705" s="2">
        <v>3250</v>
      </c>
      <c r="AP705" s="13">
        <f>AVERAGE(AO703:AO709)</f>
        <v>3250</v>
      </c>
      <c r="AR705" s="17" t="e">
        <f>(E705-W705)/E705</f>
        <v>#VALUE!</v>
      </c>
      <c r="AS705" s="16" t="e">
        <f>(I705-AF705)/I705</f>
        <v>#DIV/0!</v>
      </c>
      <c r="AT705" s="16" t="e">
        <f>AG705/(AD705-AF705)</f>
        <v>#DIV/0!</v>
      </c>
      <c r="AU705" s="16" t="e">
        <f>(G705-AM705)/G705</f>
        <v>#DIV/0!</v>
      </c>
      <c r="AV705" s="57" t="str">
        <f>IF(AND(ISNUMBER(E705),ISNUMBER(W705)),E705-W705,"")</f>
        <v/>
      </c>
      <c r="AW705" s="57" t="str">
        <f>IF(AND(ISNUMBER(I705),ISNUMBER(AF705)),I705-AF705,"")</f>
        <v/>
      </c>
      <c r="AX705" s="57" t="str">
        <f>IF(AND(ISNUMBER(AM705),ISNUMBER(G705)),G705-AM705,"")</f>
        <v/>
      </c>
      <c r="AY705" s="57" t="str">
        <f>IF(AND(ISNUMBER(AC705),ISNUMBER(AE705)),AC705-AE705,"")</f>
        <v/>
      </c>
      <c r="AZ705" s="57" t="str">
        <f t="shared" si="54"/>
        <v/>
      </c>
      <c r="BF705" s="6" t="str">
        <f>IF(OR(AJ705=0,AP705=0,NOT(ISNUMBER(AD705)),NOT(ISNUMBER(AF705)),NOT(ISNUMBER(AJ705)),NOT(ISNUMBER(AP705))),"",
IFERROR(IF((AD705-AF705)/(AJ705/60)/(AP705/1000)&lt;=0,"",(AD705-AF705)/(AJ705/60)/(AP705/1000)),""))</f>
        <v/>
      </c>
    </row>
    <row r="706" spans="1:58" ht="15.75">
      <c r="B706" s="11">
        <v>45966</v>
      </c>
      <c r="C706" s="1">
        <v>462</v>
      </c>
      <c r="D706" s="3">
        <v>701</v>
      </c>
      <c r="E706" s="205" t="str">
        <f t="shared" si="50"/>
        <v/>
      </c>
      <c r="I706" s="15">
        <f>AD706</f>
        <v>0</v>
      </c>
      <c r="K706" s="10" t="str">
        <f t="shared" si="51"/>
        <v/>
      </c>
      <c r="L706" s="9" t="str">
        <f t="shared" si="52"/>
        <v/>
      </c>
      <c r="M706" s="8" t="str">
        <f t="shared" si="53"/>
        <v/>
      </c>
      <c r="AB706" s="5">
        <v>80</v>
      </c>
      <c r="AG706" s="1">
        <v>0.3</v>
      </c>
      <c r="AH706" s="20">
        <v>0.40486111111111112</v>
      </c>
      <c r="AJ706" s="1">
        <v>45</v>
      </c>
      <c r="AK706" s="3">
        <f>180+60</f>
        <v>240</v>
      </c>
      <c r="AN706" s="3">
        <v>40</v>
      </c>
      <c r="AP706" s="13">
        <f>AVERAGE(AO704:AO710)</f>
        <v>3250</v>
      </c>
      <c r="AR706" s="17" t="e">
        <f>(E706-W706)/E706</f>
        <v>#VALUE!</v>
      </c>
      <c r="AS706" s="16" t="e">
        <f>(I706-AF706)/I706</f>
        <v>#DIV/0!</v>
      </c>
      <c r="AT706" s="16" t="e">
        <f>AG706/(AD706-AF706)</f>
        <v>#DIV/0!</v>
      </c>
      <c r="AU706" s="16" t="e">
        <f>(G706-AM706)/G706</f>
        <v>#DIV/0!</v>
      </c>
      <c r="AV706" s="57" t="str">
        <f>IF(AND(ISNUMBER(E706),ISNUMBER(W706)),E706-W706,"")</f>
        <v/>
      </c>
      <c r="AW706" s="57" t="str">
        <f>IF(AND(ISNUMBER(I706),ISNUMBER(AF706)),I706-AF706,"")</f>
        <v/>
      </c>
      <c r="AX706" s="57" t="str">
        <f>IF(AND(ISNUMBER(AM706),ISNUMBER(G706)),G706-AM706,"")</f>
        <v/>
      </c>
      <c r="AY706" s="57" t="str">
        <f>IF(AND(ISNUMBER(AC706),ISNUMBER(AE706)),AC706-AE706,"")</f>
        <v/>
      </c>
      <c r="AZ706" s="57" t="str">
        <f t="shared" si="54"/>
        <v/>
      </c>
      <c r="BF706" s="6" t="str">
        <f>IF(OR(AJ706=0,AP706=0,NOT(ISNUMBER(AD706)),NOT(ISNUMBER(AF706)),NOT(ISNUMBER(AJ706)),NOT(ISNUMBER(AP706))),"",
IFERROR(IF((AD706-AF706)/(AJ706/60)/(AP706/1000)&lt;=0,"",(AD706-AF706)/(AJ706/60)/(AP706/1000)),""))</f>
        <v/>
      </c>
    </row>
    <row r="707" spans="1:58" ht="15.75">
      <c r="B707" s="11">
        <v>45967</v>
      </c>
      <c r="C707" s="1">
        <v>463</v>
      </c>
      <c r="D707" s="3">
        <v>702</v>
      </c>
      <c r="E707" s="205" t="str">
        <f t="shared" si="50"/>
        <v/>
      </c>
      <c r="I707" s="15">
        <f>AD707</f>
        <v>0</v>
      </c>
      <c r="K707" s="10" t="str">
        <f t="shared" si="51"/>
        <v/>
      </c>
      <c r="L707" s="9" t="str">
        <f t="shared" si="52"/>
        <v/>
      </c>
      <c r="M707" s="8" t="str">
        <f t="shared" si="53"/>
        <v/>
      </c>
      <c r="AB707" s="5">
        <v>80</v>
      </c>
      <c r="AG707" s="1">
        <v>0.26</v>
      </c>
      <c r="AH707" s="20">
        <v>0.40046296296296297</v>
      </c>
      <c r="AJ707" s="1">
        <v>39</v>
      </c>
      <c r="AK707" s="3">
        <f>180+60</f>
        <v>240</v>
      </c>
      <c r="AN707" s="3">
        <v>40</v>
      </c>
      <c r="AP707" s="13">
        <f>AVERAGE(AO705:AO711)</f>
        <v>3250</v>
      </c>
      <c r="AR707" s="17" t="e">
        <f>(E707-W707)/E707</f>
        <v>#VALUE!</v>
      </c>
      <c r="AS707" s="16" t="e">
        <f>(I707-AF707)/I707</f>
        <v>#DIV/0!</v>
      </c>
      <c r="AT707" s="16" t="e">
        <f>AG707/(AD707-AF707)</f>
        <v>#DIV/0!</v>
      </c>
      <c r="AU707" s="16" t="e">
        <f>(G707-AM707)/G707</f>
        <v>#DIV/0!</v>
      </c>
      <c r="AV707" s="57" t="str">
        <f>IF(AND(ISNUMBER(E707),ISNUMBER(W707)),E707-W707,"")</f>
        <v/>
      </c>
      <c r="AW707" s="57" t="str">
        <f>IF(AND(ISNUMBER(I707),ISNUMBER(AF707)),I707-AF707,"")</f>
        <v/>
      </c>
      <c r="AX707" s="57" t="str">
        <f>IF(AND(ISNUMBER(AM707),ISNUMBER(G707)),G707-AM707,"")</f>
        <v/>
      </c>
      <c r="AY707" s="57" t="str">
        <f>IF(AND(ISNUMBER(AC707),ISNUMBER(AE707)),AC707-AE707,"")</f>
        <v/>
      </c>
      <c r="AZ707" s="57" t="str">
        <f t="shared" si="54"/>
        <v/>
      </c>
      <c r="BF707" s="6" t="str">
        <f>IF(OR(AJ707=0,AP707=0,NOT(ISNUMBER(AD707)),NOT(ISNUMBER(AF707)),NOT(ISNUMBER(AJ707)),NOT(ISNUMBER(AP707))),"",
IFERROR(IF((AD707-AF707)/(AJ707/60)/(AP707/1000)&lt;=0,"",(AD707-AF707)/(AJ707/60)/(AP707/1000)),""))</f>
        <v/>
      </c>
    </row>
    <row r="708" spans="1:58" ht="15.75">
      <c r="A708" s="12" t="s">
        <v>14</v>
      </c>
      <c r="B708" s="11">
        <v>45968</v>
      </c>
      <c r="C708" s="1">
        <v>464</v>
      </c>
      <c r="D708" s="3">
        <v>703</v>
      </c>
      <c r="E708" s="205" t="str">
        <f t="shared" si="50"/>
        <v/>
      </c>
      <c r="I708" s="15">
        <f>AD708</f>
        <v>0</v>
      </c>
      <c r="K708" s="10" t="str">
        <f t="shared" si="51"/>
        <v/>
      </c>
      <c r="L708" s="9" t="str">
        <f t="shared" si="52"/>
        <v/>
      </c>
      <c r="M708" s="8" t="str">
        <f t="shared" si="53"/>
        <v/>
      </c>
      <c r="AB708" s="5">
        <v>80</v>
      </c>
      <c r="AG708" s="1">
        <v>0.2</v>
      </c>
      <c r="AH708" s="20">
        <v>0.40266203703703701</v>
      </c>
      <c r="AJ708" s="1">
        <v>39</v>
      </c>
      <c r="AK708" s="3">
        <f>180+60</f>
        <v>240</v>
      </c>
      <c r="AN708" s="3">
        <v>40</v>
      </c>
      <c r="AP708" s="13" t="e">
        <f>AVERAGE(AO706:AO712)</f>
        <v>#DIV/0!</v>
      </c>
      <c r="AR708" s="17" t="e">
        <f>(E708-W708)/E708</f>
        <v>#VALUE!</v>
      </c>
      <c r="AS708" s="16" t="e">
        <f>(I708-AF708)/I708</f>
        <v>#DIV/0!</v>
      </c>
      <c r="AT708" s="16" t="e">
        <f>AG708/(AD708-AF708)</f>
        <v>#DIV/0!</v>
      </c>
      <c r="AU708" s="16" t="e">
        <f>(G708-AM708)/G708</f>
        <v>#DIV/0!</v>
      </c>
      <c r="AV708" s="57" t="str">
        <f>IF(AND(ISNUMBER(E708),ISNUMBER(W708)),E708-W708,"")</f>
        <v/>
      </c>
      <c r="AW708" s="57" t="str">
        <f>IF(AND(ISNUMBER(I708),ISNUMBER(AF708)),I708-AF708,"")</f>
        <v/>
      </c>
      <c r="AX708" s="57" t="str">
        <f>IF(AND(ISNUMBER(AM708),ISNUMBER(G708)),G708-AM708,"")</f>
        <v/>
      </c>
      <c r="AY708" s="57" t="str">
        <f>IF(AND(ISNUMBER(AC708),ISNUMBER(AE708)),AC708-AE708,"")</f>
        <v/>
      </c>
      <c r="AZ708" s="57" t="str">
        <f t="shared" si="54"/>
        <v/>
      </c>
      <c r="BF708" s="6"/>
    </row>
    <row r="709" spans="1:58" ht="15.75">
      <c r="B709" s="11">
        <v>45969</v>
      </c>
      <c r="C709" s="1">
        <v>465</v>
      </c>
      <c r="D709" s="3">
        <v>704</v>
      </c>
      <c r="E709" s="205" t="str">
        <f t="shared" si="50"/>
        <v/>
      </c>
      <c r="I709" s="15">
        <f>AD709</f>
        <v>0</v>
      </c>
      <c r="K709" s="10" t="str">
        <f t="shared" si="51"/>
        <v/>
      </c>
      <c r="L709" s="9" t="str">
        <f t="shared" si="52"/>
        <v/>
      </c>
      <c r="M709" s="8" t="str">
        <f t="shared" si="53"/>
        <v/>
      </c>
      <c r="AB709" s="5">
        <v>80</v>
      </c>
      <c r="AG709" s="1">
        <v>0.1</v>
      </c>
      <c r="AH709" s="20">
        <v>0.39930555555555558</v>
      </c>
      <c r="AJ709" s="1">
        <v>25</v>
      </c>
      <c r="AK709" s="3">
        <f>180+60</f>
        <v>240</v>
      </c>
      <c r="AN709" s="3">
        <v>40</v>
      </c>
      <c r="AP709" s="13" t="e">
        <f>AVERAGE(AO707:AO713)</f>
        <v>#DIV/0!</v>
      </c>
      <c r="AR709" s="17" t="e">
        <f>(E709-W709)/E709</f>
        <v>#VALUE!</v>
      </c>
      <c r="AS709" s="16" t="e">
        <f>(I709-AF709)/I709</f>
        <v>#DIV/0!</v>
      </c>
      <c r="AT709" s="16" t="e">
        <f>AG709/(AD709-AF709)</f>
        <v>#DIV/0!</v>
      </c>
      <c r="AU709" s="16" t="e">
        <f>(G709-AM709)/G709</f>
        <v>#DIV/0!</v>
      </c>
      <c r="AV709" s="57" t="str">
        <f>IF(AND(ISNUMBER(E709),ISNUMBER(W709)),E709-W709,"")</f>
        <v/>
      </c>
      <c r="AW709" s="57" t="str">
        <f>IF(AND(ISNUMBER(I709),ISNUMBER(AF709)),I709-AF709,"")</f>
        <v/>
      </c>
      <c r="AX709" s="57" t="str">
        <f>IF(AND(ISNUMBER(AM709),ISNUMBER(G709)),G709-AM709,"")</f>
        <v/>
      </c>
      <c r="AY709" s="57" t="str">
        <f>IF(AND(ISNUMBER(AC709),ISNUMBER(AE709)),AC709-AE709,"")</f>
        <v/>
      </c>
      <c r="AZ709" s="57" t="str">
        <f t="shared" si="54"/>
        <v/>
      </c>
      <c r="BF709" s="6"/>
    </row>
    <row r="710" spans="1:58" ht="15.75">
      <c r="B710" s="11">
        <v>45970</v>
      </c>
      <c r="C710" s="1">
        <v>466</v>
      </c>
      <c r="D710" s="3">
        <v>705</v>
      </c>
      <c r="E710" s="205" t="str">
        <f t="shared" si="50"/>
        <v/>
      </c>
      <c r="I710" s="15">
        <f>AD710</f>
        <v>0</v>
      </c>
      <c r="K710" s="10" t="str">
        <f t="shared" si="51"/>
        <v/>
      </c>
      <c r="L710" s="9" t="str">
        <f t="shared" si="52"/>
        <v/>
      </c>
      <c r="M710" s="8" t="str">
        <f t="shared" si="53"/>
        <v/>
      </c>
      <c r="AB710" s="5">
        <v>80</v>
      </c>
      <c r="AG710" s="1">
        <v>0.11</v>
      </c>
      <c r="AH710" s="20">
        <v>0.39930555555555558</v>
      </c>
      <c r="AJ710" s="1">
        <v>43</v>
      </c>
      <c r="AK710" s="3">
        <f>180+60</f>
        <v>240</v>
      </c>
      <c r="AN710" s="3">
        <v>40</v>
      </c>
      <c r="AP710" s="13" t="e">
        <f>AVERAGE(AO708:AO714)</f>
        <v>#DIV/0!</v>
      </c>
      <c r="AR710" s="17" t="e">
        <f>(E710-W710)/E710</f>
        <v>#VALUE!</v>
      </c>
      <c r="AS710" s="16" t="e">
        <f>(I710-AF710)/I710</f>
        <v>#DIV/0!</v>
      </c>
      <c r="AT710" s="16" t="e">
        <f>AG710/(AD710-AF710)</f>
        <v>#DIV/0!</v>
      </c>
      <c r="AU710" s="16" t="e">
        <f>(G710-AM710)/G710</f>
        <v>#DIV/0!</v>
      </c>
      <c r="AV710" s="57" t="str">
        <f>IF(AND(ISNUMBER(E710),ISNUMBER(W710)),E710-W710,"")</f>
        <v/>
      </c>
      <c r="AW710" s="57" t="str">
        <f>IF(AND(ISNUMBER(I710),ISNUMBER(AF710)),I710-AF710,"")</f>
        <v/>
      </c>
      <c r="AX710" s="57" t="str">
        <f>IF(AND(ISNUMBER(AM710),ISNUMBER(G710)),G710-AM710,"")</f>
        <v/>
      </c>
      <c r="AY710" s="57" t="str">
        <f>IF(AND(ISNUMBER(AC710),ISNUMBER(AE710)),AC710-AE710,"")</f>
        <v/>
      </c>
      <c r="AZ710" s="57" t="str">
        <f t="shared" si="54"/>
        <v/>
      </c>
      <c r="BF710" s="6"/>
    </row>
    <row r="711" spans="1:58" ht="15.75">
      <c r="B711" s="11">
        <v>45971</v>
      </c>
      <c r="C711" s="1">
        <v>467</v>
      </c>
      <c r="D711" s="3">
        <v>706</v>
      </c>
      <c r="E711" s="205" t="str">
        <f t="shared" ref="E711:E774" si="55">IF(OR(S711="",S711=0),"",S711*2)</f>
        <v/>
      </c>
      <c r="I711" s="15">
        <f>AD711</f>
        <v>0</v>
      </c>
      <c r="K711" s="10" t="str">
        <f t="shared" si="51"/>
        <v/>
      </c>
      <c r="L711" s="9" t="str">
        <f t="shared" si="52"/>
        <v/>
      </c>
      <c r="M711" s="8" t="str">
        <f t="shared" si="53"/>
        <v/>
      </c>
      <c r="AB711" s="5">
        <v>80</v>
      </c>
      <c r="AG711" s="1">
        <v>0.09</v>
      </c>
      <c r="AH711" s="20">
        <v>0.40081018518518519</v>
      </c>
      <c r="AJ711" s="1">
        <v>65</v>
      </c>
      <c r="AK711" s="3">
        <f>180+60</f>
        <v>240</v>
      </c>
      <c r="AN711" s="3">
        <v>40</v>
      </c>
      <c r="AP711" s="13" t="e">
        <f>AVERAGE(AO709:AO715)</f>
        <v>#DIV/0!</v>
      </c>
      <c r="AR711" s="17" t="e">
        <f>(E711-W711)/E711</f>
        <v>#VALUE!</v>
      </c>
      <c r="AS711" s="16" t="e">
        <f>(I711-AF711)/I711</f>
        <v>#DIV/0!</v>
      </c>
      <c r="AT711" s="16" t="e">
        <f>AG711/(AD711-AF711)</f>
        <v>#DIV/0!</v>
      </c>
      <c r="AU711" s="16" t="e">
        <f>(G711-AM711)/G711</f>
        <v>#DIV/0!</v>
      </c>
      <c r="AV711" s="57" t="str">
        <f>IF(AND(ISNUMBER(E711),ISNUMBER(W711)),E711-W711,"")</f>
        <v/>
      </c>
      <c r="AW711" s="57" t="str">
        <f>IF(AND(ISNUMBER(I711),ISNUMBER(AF711)),I711-AF711,"")</f>
        <v/>
      </c>
      <c r="AX711" s="57" t="str">
        <f>IF(AND(ISNUMBER(AM711),ISNUMBER(G711)),G711-AM711,"")</f>
        <v/>
      </c>
      <c r="AY711" s="57" t="str">
        <f>IF(AND(ISNUMBER(AC711),ISNUMBER(AE711)),AC711-AE711,"")</f>
        <v/>
      </c>
      <c r="AZ711" s="57" t="str">
        <f t="shared" si="54"/>
        <v/>
      </c>
      <c r="BF711" s="6"/>
    </row>
    <row r="712" spans="1:58" ht="15.75">
      <c r="B712" s="11">
        <v>45972</v>
      </c>
      <c r="C712" s="1">
        <v>468</v>
      </c>
      <c r="D712" s="3">
        <v>707</v>
      </c>
      <c r="E712" s="205" t="str">
        <f t="shared" si="55"/>
        <v/>
      </c>
      <c r="I712" s="15">
        <f>AD712</f>
        <v>0</v>
      </c>
      <c r="K712" s="10" t="str">
        <f t="shared" si="51"/>
        <v/>
      </c>
      <c r="L712" s="9" t="str">
        <f t="shared" si="52"/>
        <v/>
      </c>
      <c r="M712" s="8" t="str">
        <f t="shared" si="53"/>
        <v/>
      </c>
      <c r="AB712" s="5">
        <v>80</v>
      </c>
      <c r="AG712" s="1">
        <v>0.1</v>
      </c>
      <c r="AH712" s="20">
        <v>0.39930555555555558</v>
      </c>
      <c r="AJ712" s="1">
        <v>43</v>
      </c>
      <c r="AK712" s="3">
        <f>180+60</f>
        <v>240</v>
      </c>
      <c r="AN712" s="3">
        <v>40</v>
      </c>
      <c r="AP712" s="13" t="e">
        <f>AVERAGE(AO710:AO716)</f>
        <v>#DIV/0!</v>
      </c>
      <c r="AR712" s="17" t="e">
        <f>(E712-W712)/E712</f>
        <v>#VALUE!</v>
      </c>
      <c r="AS712" s="16" t="e">
        <f>(I712-AF712)/I712</f>
        <v>#DIV/0!</v>
      </c>
      <c r="AT712" s="16" t="e">
        <f>AG712/(AD712-AF712)</f>
        <v>#DIV/0!</v>
      </c>
      <c r="AU712" s="16" t="e">
        <f>(G712-AM712)/G712</f>
        <v>#DIV/0!</v>
      </c>
      <c r="AV712" s="57" t="str">
        <f>IF(AND(ISNUMBER(E712),ISNUMBER(W712)),E712-W712,"")</f>
        <v/>
      </c>
      <c r="AW712" s="57" t="str">
        <f>IF(AND(ISNUMBER(I712),ISNUMBER(AF712)),I712-AF712,"")</f>
        <v/>
      </c>
      <c r="AX712" s="57" t="str">
        <f>IF(AND(ISNUMBER(AM712),ISNUMBER(G712)),G712-AM712,"")</f>
        <v/>
      </c>
      <c r="AY712" s="57" t="str">
        <f>IF(AND(ISNUMBER(AC712),ISNUMBER(AE712)),AC712-AE712,"")</f>
        <v/>
      </c>
      <c r="AZ712" s="57" t="str">
        <f t="shared" si="54"/>
        <v/>
      </c>
      <c r="BF712" s="6"/>
    </row>
    <row r="713" spans="1:58" ht="15.75">
      <c r="B713" s="11">
        <v>45973</v>
      </c>
      <c r="C713" s="1">
        <v>469</v>
      </c>
      <c r="D713" s="3">
        <v>708</v>
      </c>
      <c r="E713" s="205" t="str">
        <f t="shared" si="55"/>
        <v/>
      </c>
      <c r="I713" s="15">
        <f>AD713</f>
        <v>0</v>
      </c>
      <c r="K713" s="10" t="str">
        <f t="shared" si="51"/>
        <v/>
      </c>
      <c r="L713" s="9" t="str">
        <f t="shared" si="52"/>
        <v/>
      </c>
      <c r="M713" s="8" t="str">
        <f t="shared" si="53"/>
        <v/>
      </c>
      <c r="AB713" s="5">
        <v>80</v>
      </c>
      <c r="AG713" s="1">
        <v>0.12</v>
      </c>
      <c r="AH713" s="20">
        <v>0.40462962962962962</v>
      </c>
      <c r="AJ713" s="1">
        <v>41</v>
      </c>
      <c r="AK713" s="3">
        <f>180+60</f>
        <v>240</v>
      </c>
      <c r="AN713" s="3">
        <v>40</v>
      </c>
      <c r="AP713" s="13" t="e">
        <f>AVERAGE(AO711:AO717)</f>
        <v>#DIV/0!</v>
      </c>
      <c r="AR713" s="17" t="e">
        <f>(E713-W713)/E713</f>
        <v>#VALUE!</v>
      </c>
      <c r="AS713" s="16" t="e">
        <f>(I713-AF713)/I713</f>
        <v>#DIV/0!</v>
      </c>
      <c r="AT713" s="16" t="e">
        <f>AG713/(AD713-AF713)</f>
        <v>#DIV/0!</v>
      </c>
      <c r="AU713" s="16" t="e">
        <f>(G713-AM713)/G713</f>
        <v>#DIV/0!</v>
      </c>
      <c r="AV713" s="57" t="str">
        <f>IF(AND(ISNUMBER(E713),ISNUMBER(W713)),E713-W713,"")</f>
        <v/>
      </c>
      <c r="AW713" s="57" t="str">
        <f>IF(AND(ISNUMBER(I713),ISNUMBER(AF713)),I713-AF713,"")</f>
        <v/>
      </c>
      <c r="AX713" s="57" t="str">
        <f>IF(AND(ISNUMBER(AM713),ISNUMBER(G713)),G713-AM713,"")</f>
        <v/>
      </c>
      <c r="AY713" s="57" t="str">
        <f>IF(AND(ISNUMBER(AC713),ISNUMBER(AE713)),AC713-AE713,"")</f>
        <v/>
      </c>
      <c r="AZ713" s="57" t="str">
        <f t="shared" si="54"/>
        <v/>
      </c>
      <c r="BF713" s="6"/>
    </row>
    <row r="714" spans="1:58" ht="15.75">
      <c r="B714" s="11">
        <v>45974</v>
      </c>
      <c r="C714" s="1">
        <v>470</v>
      </c>
      <c r="D714" s="3">
        <v>709</v>
      </c>
      <c r="E714" s="205" t="str">
        <f t="shared" si="55"/>
        <v/>
      </c>
      <c r="I714" s="15">
        <f>AD714</f>
        <v>0</v>
      </c>
      <c r="K714" s="10" t="str">
        <f t="shared" si="51"/>
        <v/>
      </c>
      <c r="L714" s="9" t="str">
        <f t="shared" si="52"/>
        <v/>
      </c>
      <c r="M714" s="8" t="str">
        <f t="shared" si="53"/>
        <v/>
      </c>
      <c r="AB714" s="5">
        <v>80</v>
      </c>
      <c r="AG714" s="1">
        <v>0.14000000000000001</v>
      </c>
      <c r="AH714" s="20">
        <v>0.39930555555555558</v>
      </c>
      <c r="AJ714" s="1">
        <v>35</v>
      </c>
      <c r="AK714" s="3">
        <f>180+60</f>
        <v>240</v>
      </c>
      <c r="AN714" s="3">
        <v>40</v>
      </c>
      <c r="AP714" s="13" t="e">
        <f>AVERAGE(AO712:AO718)</f>
        <v>#DIV/0!</v>
      </c>
      <c r="AR714" s="17" t="e">
        <f>(E714-W714)/E714</f>
        <v>#VALUE!</v>
      </c>
      <c r="AS714" s="16" t="e">
        <f>(I714-AF714)/I714</f>
        <v>#DIV/0!</v>
      </c>
      <c r="AT714" s="16" t="e">
        <f>AG714/(AD714-AF714)</f>
        <v>#DIV/0!</v>
      </c>
      <c r="AU714" s="16" t="e">
        <f>(G714-AM714)/G714</f>
        <v>#DIV/0!</v>
      </c>
      <c r="AV714" s="57" t="str">
        <f>IF(AND(ISNUMBER(E714),ISNUMBER(W714)),E714-W714,"")</f>
        <v/>
      </c>
      <c r="AW714" s="57" t="str">
        <f>IF(AND(ISNUMBER(I714),ISNUMBER(AF714)),I714-AF714,"")</f>
        <v/>
      </c>
      <c r="AX714" s="57" t="str">
        <f>IF(AND(ISNUMBER(AM714),ISNUMBER(G714)),G714-AM714,"")</f>
        <v/>
      </c>
      <c r="AY714" s="57" t="str">
        <f>IF(AND(ISNUMBER(AC714),ISNUMBER(AE714)),AC714-AE714,"")</f>
        <v/>
      </c>
      <c r="AZ714" s="57" t="str">
        <f t="shared" si="54"/>
        <v/>
      </c>
      <c r="BF714" s="6"/>
    </row>
    <row r="715" spans="1:58" ht="15.75">
      <c r="B715" s="11">
        <v>45975</v>
      </c>
      <c r="C715" s="1">
        <v>471</v>
      </c>
      <c r="D715" s="3">
        <v>710</v>
      </c>
      <c r="E715" s="205" t="str">
        <f t="shared" si="55"/>
        <v/>
      </c>
      <c r="I715" s="15">
        <f>AD715</f>
        <v>0</v>
      </c>
      <c r="K715" s="10" t="str">
        <f t="shared" si="51"/>
        <v/>
      </c>
      <c r="L715" s="9" t="str">
        <f t="shared" si="52"/>
        <v/>
      </c>
      <c r="M715" s="8" t="str">
        <f t="shared" si="53"/>
        <v/>
      </c>
      <c r="O715" s="6">
        <v>20.649000000000001</v>
      </c>
      <c r="P715" s="6">
        <v>70.713999999999999</v>
      </c>
      <c r="Q715" s="6">
        <f>O715*1.067</f>
        <v>22.032482999999999</v>
      </c>
      <c r="R715" s="6">
        <f>P715*1.514</f>
        <v>107.060996</v>
      </c>
      <c r="AB715" s="5">
        <v>80</v>
      </c>
      <c r="AG715" s="1">
        <v>0.17</v>
      </c>
      <c r="AH715" s="20">
        <v>0.4</v>
      </c>
      <c r="AJ715" s="1">
        <v>37</v>
      </c>
      <c r="AK715" s="3">
        <f>180+60</f>
        <v>240</v>
      </c>
      <c r="AN715" s="3">
        <v>40</v>
      </c>
      <c r="AP715" s="13" t="e">
        <f>AVERAGE(AO713:AO719)</f>
        <v>#DIV/0!</v>
      </c>
      <c r="AR715" s="17" t="e">
        <f>(E715-W715)/E715</f>
        <v>#VALUE!</v>
      </c>
      <c r="AS715" s="16" t="e">
        <f>(I715-AF715)/I715</f>
        <v>#DIV/0!</v>
      </c>
      <c r="AT715" s="16" t="e">
        <f>AG715/(AD715-AF715)</f>
        <v>#DIV/0!</v>
      </c>
      <c r="AU715" s="16" t="e">
        <f>(G715-AM715)/G715</f>
        <v>#DIV/0!</v>
      </c>
      <c r="AV715" s="57" t="str">
        <f>IF(AND(ISNUMBER(E715),ISNUMBER(W715)),E715-W715,"")</f>
        <v/>
      </c>
      <c r="AW715" s="57" t="str">
        <f>IF(AND(ISNUMBER(I715),ISNUMBER(AF715)),I715-AF715,"")</f>
        <v/>
      </c>
      <c r="AX715" s="57" t="str">
        <f>IF(AND(ISNUMBER(AM715),ISNUMBER(G715)),G715-AM715,"")</f>
        <v/>
      </c>
      <c r="AY715" s="57" t="str">
        <f>IF(AND(ISNUMBER(AC715),ISNUMBER(AE715)),AC715-AE715,"")</f>
        <v/>
      </c>
      <c r="AZ715" s="57" t="str">
        <f t="shared" si="54"/>
        <v/>
      </c>
      <c r="BF715" s="6"/>
    </row>
    <row r="716" spans="1:58" ht="15.75">
      <c r="B716" s="11">
        <v>45976</v>
      </c>
      <c r="C716" s="1">
        <v>472</v>
      </c>
      <c r="D716" s="3">
        <v>711</v>
      </c>
      <c r="E716" s="205" t="str">
        <f t="shared" si="55"/>
        <v/>
      </c>
      <c r="I716" s="15">
        <f>AD716</f>
        <v>0</v>
      </c>
      <c r="K716" s="10" t="str">
        <f t="shared" si="51"/>
        <v/>
      </c>
      <c r="L716" s="9" t="str">
        <f t="shared" si="52"/>
        <v/>
      </c>
      <c r="M716" s="8" t="str">
        <f t="shared" si="53"/>
        <v/>
      </c>
      <c r="AB716" s="5">
        <v>80</v>
      </c>
      <c r="AG716" s="1">
        <v>0.16</v>
      </c>
      <c r="AH716" s="20">
        <v>0.4</v>
      </c>
      <c r="AJ716" s="1">
        <v>35</v>
      </c>
      <c r="AK716" s="3">
        <f>180+60</f>
        <v>240</v>
      </c>
      <c r="AN716" s="3">
        <v>40</v>
      </c>
      <c r="AP716" s="13" t="e">
        <f>AVERAGE(AO714:AO720)</f>
        <v>#DIV/0!</v>
      </c>
      <c r="AR716" s="17" t="e">
        <f>(E716-W716)/E716</f>
        <v>#VALUE!</v>
      </c>
      <c r="AS716" s="16" t="e">
        <f>(I716-AF716)/I716</f>
        <v>#DIV/0!</v>
      </c>
      <c r="AT716" s="16" t="e">
        <f>AG716/(AD716-AF716)</f>
        <v>#DIV/0!</v>
      </c>
      <c r="AU716" s="16" t="e">
        <f>(G716-AM716)/G716</f>
        <v>#DIV/0!</v>
      </c>
      <c r="AV716" s="57" t="str">
        <f>IF(AND(ISNUMBER(E716),ISNUMBER(W716)),E716-W716,"")</f>
        <v/>
      </c>
      <c r="AW716" s="57" t="str">
        <f>IF(AND(ISNUMBER(I716),ISNUMBER(AF716)),I716-AF716,"")</f>
        <v/>
      </c>
      <c r="AX716" s="57" t="str">
        <f>IF(AND(ISNUMBER(AM716),ISNUMBER(G716)),G716-AM716,"")</f>
        <v/>
      </c>
      <c r="AY716" s="57" t="str">
        <f>IF(AND(ISNUMBER(AC716),ISNUMBER(AE716)),AC716-AE716,"")</f>
        <v/>
      </c>
      <c r="AZ716" s="57" t="str">
        <f t="shared" si="54"/>
        <v/>
      </c>
      <c r="BF716" s="6"/>
    </row>
    <row r="717" spans="1:58" ht="15.75">
      <c r="B717" s="11">
        <v>45977</v>
      </c>
      <c r="C717" s="1">
        <v>473</v>
      </c>
      <c r="D717" s="3">
        <v>712</v>
      </c>
      <c r="E717" s="205" t="str">
        <f t="shared" si="55"/>
        <v/>
      </c>
      <c r="I717" s="15">
        <f>AD717</f>
        <v>0</v>
      </c>
      <c r="K717" s="10" t="str">
        <f t="shared" si="51"/>
        <v/>
      </c>
      <c r="L717" s="9" t="str">
        <f t="shared" si="52"/>
        <v/>
      </c>
      <c r="M717" s="8" t="str">
        <f t="shared" si="53"/>
        <v/>
      </c>
      <c r="AB717" s="5">
        <v>80</v>
      </c>
      <c r="AG717" s="1">
        <v>0.2</v>
      </c>
      <c r="AH717" s="20">
        <v>0.40057870370370369</v>
      </c>
      <c r="AJ717" s="1">
        <v>35</v>
      </c>
      <c r="AK717" s="3">
        <f>180+60</f>
        <v>240</v>
      </c>
      <c r="AN717" s="3">
        <v>40</v>
      </c>
      <c r="AP717" s="13" t="e">
        <f>AVERAGE(AO715:AO721)</f>
        <v>#DIV/0!</v>
      </c>
      <c r="AR717" s="17" t="e">
        <f>(E717-W717)/E717</f>
        <v>#VALUE!</v>
      </c>
      <c r="AS717" s="16" t="e">
        <f>(I717-AF717)/I717</f>
        <v>#DIV/0!</v>
      </c>
      <c r="AT717" s="16" t="e">
        <f>AG717/(AD717-AF717)</f>
        <v>#DIV/0!</v>
      </c>
      <c r="AU717" s="16" t="e">
        <f>(G717-AM717)/G717</f>
        <v>#DIV/0!</v>
      </c>
      <c r="AV717" s="57" t="str">
        <f>IF(AND(ISNUMBER(E717),ISNUMBER(W717)),E717-W717,"")</f>
        <v/>
      </c>
      <c r="AW717" s="57" t="str">
        <f>IF(AND(ISNUMBER(I717),ISNUMBER(AF717)),I717-AF717,"")</f>
        <v/>
      </c>
      <c r="AX717" s="57" t="str">
        <f>IF(AND(ISNUMBER(AM717),ISNUMBER(G717)),G717-AM717,"")</f>
        <v/>
      </c>
      <c r="AY717" s="57" t="str">
        <f>IF(AND(ISNUMBER(AC717),ISNUMBER(AE717)),AC717-AE717,"")</f>
        <v/>
      </c>
      <c r="AZ717" s="57" t="str">
        <f t="shared" si="54"/>
        <v/>
      </c>
      <c r="BF717" s="6"/>
    </row>
    <row r="718" spans="1:58" ht="15.75">
      <c r="B718" s="11">
        <v>45978</v>
      </c>
      <c r="C718" s="1">
        <v>474</v>
      </c>
      <c r="D718" s="3">
        <v>713</v>
      </c>
      <c r="E718" s="205" t="str">
        <f t="shared" si="55"/>
        <v/>
      </c>
      <c r="I718" s="15">
        <f>AD718</f>
        <v>0</v>
      </c>
      <c r="K718" s="10" t="str">
        <f t="shared" si="51"/>
        <v/>
      </c>
      <c r="L718" s="9" t="str">
        <f t="shared" si="52"/>
        <v/>
      </c>
      <c r="M718" s="8" t="str">
        <f t="shared" si="53"/>
        <v/>
      </c>
      <c r="AB718" s="5">
        <v>80</v>
      </c>
      <c r="AG718" s="1">
        <v>0.23</v>
      </c>
      <c r="AH718" s="20">
        <v>0.40069444444444446</v>
      </c>
      <c r="AJ718" s="1">
        <v>35</v>
      </c>
      <c r="AK718" s="3">
        <f>180+60</f>
        <v>240</v>
      </c>
      <c r="AN718" s="3">
        <v>40</v>
      </c>
      <c r="AP718" s="13">
        <f>AVERAGE(AO716:AO722)</f>
        <v>3140.0000000000091</v>
      </c>
      <c r="AR718" s="17" t="e">
        <f>(E718-W718)/E718</f>
        <v>#VALUE!</v>
      </c>
      <c r="AS718" s="16" t="e">
        <f>(I718-AF718)/I718</f>
        <v>#DIV/0!</v>
      </c>
      <c r="AT718" s="16" t="e">
        <f>AG718/(AD718-AF718)</f>
        <v>#DIV/0!</v>
      </c>
      <c r="AU718" s="16" t="e">
        <f>(G718-AM718)/G718</f>
        <v>#DIV/0!</v>
      </c>
      <c r="AV718" s="57" t="str">
        <f>IF(AND(ISNUMBER(E718),ISNUMBER(W718)),E718-W718,"")</f>
        <v/>
      </c>
      <c r="AW718" s="57" t="str">
        <f>IF(AND(ISNUMBER(I718),ISNUMBER(AF718)),I718-AF718,"")</f>
        <v/>
      </c>
      <c r="AX718" s="57" t="str">
        <f>IF(AND(ISNUMBER(AM718),ISNUMBER(G718)),G718-AM718,"")</f>
        <v/>
      </c>
      <c r="AY718" s="57" t="str">
        <f>IF(AND(ISNUMBER(AC718),ISNUMBER(AE718)),AC718-AE718,"")</f>
        <v/>
      </c>
      <c r="AZ718" s="57" t="str">
        <f t="shared" si="54"/>
        <v/>
      </c>
      <c r="BF718" s="6" t="str">
        <f>IF(OR(AJ718=0,AP718=0,NOT(ISNUMBER(AD718)),NOT(ISNUMBER(AF718)),NOT(ISNUMBER(AJ718)),NOT(ISNUMBER(AP718))),"",
IFERROR(IF((AD718-AF718)/(AJ718/60)/(AP718/1000)&lt;=0,"",(AD718-AF718)/(AJ718/60)/(AP718/1000)),""))</f>
        <v/>
      </c>
    </row>
    <row r="719" spans="1:58" ht="15.75">
      <c r="B719" s="11">
        <v>45979</v>
      </c>
      <c r="C719" s="1">
        <v>475</v>
      </c>
      <c r="D719" s="3">
        <v>714</v>
      </c>
      <c r="E719" s="205" t="str">
        <f t="shared" si="55"/>
        <v/>
      </c>
      <c r="I719" s="15">
        <f>AD719</f>
        <v>0</v>
      </c>
      <c r="K719" s="10" t="str">
        <f t="shared" si="51"/>
        <v/>
      </c>
      <c r="L719" s="9" t="str">
        <f t="shared" si="52"/>
        <v/>
      </c>
      <c r="M719" s="8" t="str">
        <f t="shared" si="53"/>
        <v/>
      </c>
      <c r="AB719" s="5">
        <v>80</v>
      </c>
      <c r="AG719" s="1">
        <v>0.23</v>
      </c>
      <c r="AH719" s="20">
        <v>0.40185185185185185</v>
      </c>
      <c r="AJ719" s="1">
        <v>39</v>
      </c>
      <c r="AK719" s="3">
        <f>180+60</f>
        <v>240</v>
      </c>
      <c r="AN719" s="3">
        <v>40</v>
      </c>
      <c r="AP719" s="13">
        <f>AVERAGE(AO717:AO723)</f>
        <v>3140.0000000000091</v>
      </c>
      <c r="AR719" s="17" t="e">
        <f>(E719-W719)/E719</f>
        <v>#VALUE!</v>
      </c>
      <c r="AS719" s="16" t="e">
        <f>(I719-AF719)/I719</f>
        <v>#DIV/0!</v>
      </c>
      <c r="AT719" s="16" t="e">
        <f>AG719/(AD719-AF719)</f>
        <v>#DIV/0!</v>
      </c>
      <c r="AU719" s="16" t="e">
        <f>(G719-AM719)/G719</f>
        <v>#DIV/0!</v>
      </c>
      <c r="AV719" s="57" t="str">
        <f>IF(AND(ISNUMBER(E719),ISNUMBER(W719)),E719-W719,"")</f>
        <v/>
      </c>
      <c r="AW719" s="57" t="str">
        <f>IF(AND(ISNUMBER(I719),ISNUMBER(AF719)),I719-AF719,"")</f>
        <v/>
      </c>
      <c r="AX719" s="57" t="str">
        <f>IF(AND(ISNUMBER(AM719),ISNUMBER(G719)),G719-AM719,"")</f>
        <v/>
      </c>
      <c r="AY719" s="57" t="str">
        <f>IF(AND(ISNUMBER(AC719),ISNUMBER(AE719)),AC719-AE719,"")</f>
        <v/>
      </c>
      <c r="AZ719" s="57" t="str">
        <f t="shared" si="54"/>
        <v/>
      </c>
      <c r="BF719" s="6" t="str">
        <f>IF(OR(AJ719=0,AP719=0,NOT(ISNUMBER(AD719)),NOT(ISNUMBER(AF719)),NOT(ISNUMBER(AJ719)),NOT(ISNUMBER(AP719))),"",
IFERROR(IF((AD719-AF719)/(AJ719/60)/(AP719/1000)&lt;=0,"",(AD719-AF719)/(AJ719/60)/(AP719/1000)),""))</f>
        <v/>
      </c>
    </row>
    <row r="720" spans="1:58" ht="15.75">
      <c r="B720" s="11">
        <v>45980</v>
      </c>
      <c r="C720" s="1">
        <v>476</v>
      </c>
      <c r="D720" s="3">
        <v>715</v>
      </c>
      <c r="E720" s="205" t="str">
        <f t="shared" si="55"/>
        <v/>
      </c>
      <c r="I720" s="15">
        <f>AD720</f>
        <v>0</v>
      </c>
      <c r="K720" s="10" t="str">
        <f t="shared" si="51"/>
        <v/>
      </c>
      <c r="L720" s="9" t="str">
        <f t="shared" si="52"/>
        <v/>
      </c>
      <c r="M720" s="8" t="str">
        <f t="shared" si="53"/>
        <v/>
      </c>
      <c r="AB720" s="5">
        <v>80</v>
      </c>
      <c r="AG720" s="1">
        <v>0.22</v>
      </c>
      <c r="AH720" s="20">
        <v>0.39976851851851852</v>
      </c>
      <c r="AJ720" s="1">
        <v>29</v>
      </c>
      <c r="AK720" s="3">
        <f>180+60</f>
        <v>240</v>
      </c>
      <c r="AN720" s="3">
        <v>40</v>
      </c>
      <c r="AP720" s="13">
        <f>AVERAGE(AO718:AO724)</f>
        <v>3140.0000000000091</v>
      </c>
      <c r="AR720" s="17" t="e">
        <f>(E720-W720)/E720</f>
        <v>#VALUE!</v>
      </c>
      <c r="AS720" s="16" t="e">
        <f>(I720-AF720)/I720</f>
        <v>#DIV/0!</v>
      </c>
      <c r="AT720" s="16" t="e">
        <f>AG720/(AD720-AF720)</f>
        <v>#DIV/0!</v>
      </c>
      <c r="AU720" s="16" t="e">
        <f>(G720-AM720)/G720</f>
        <v>#DIV/0!</v>
      </c>
      <c r="AV720" s="57" t="str">
        <f>IF(AND(ISNUMBER(E720),ISNUMBER(W720)),E720-W720,"")</f>
        <v/>
      </c>
      <c r="AW720" s="57" t="str">
        <f>IF(AND(ISNUMBER(I720),ISNUMBER(AF720)),I720-AF720,"")</f>
        <v/>
      </c>
      <c r="AX720" s="57" t="str">
        <f>IF(AND(ISNUMBER(AM720),ISNUMBER(G720)),G720-AM720,"")</f>
        <v/>
      </c>
      <c r="AY720" s="57" t="str">
        <f>IF(AND(ISNUMBER(AC720),ISNUMBER(AE720)),AC720-AE720,"")</f>
        <v/>
      </c>
      <c r="AZ720" s="57" t="str">
        <f t="shared" si="54"/>
        <v/>
      </c>
      <c r="BF720" s="6" t="str">
        <f>IF(OR(AJ720=0,AP720=0,NOT(ISNUMBER(AD720)),NOT(ISNUMBER(AF720)),NOT(ISNUMBER(AJ720)),NOT(ISNUMBER(AP720))),"",
IFERROR(IF((AD720-AF720)/(AJ720/60)/(AP720/1000)&lt;=0,"",(AD720-AF720)/(AJ720/60)/(AP720/1000)),""))</f>
        <v/>
      </c>
    </row>
    <row r="721" spans="1:58" ht="15.75">
      <c r="B721" s="11">
        <v>45981</v>
      </c>
      <c r="C721" s="1">
        <v>477</v>
      </c>
      <c r="D721" s="3">
        <v>716</v>
      </c>
      <c r="E721" s="205" t="str">
        <f t="shared" si="55"/>
        <v/>
      </c>
      <c r="I721" s="15">
        <f>AD721</f>
        <v>0</v>
      </c>
      <c r="K721" s="10" t="str">
        <f t="shared" si="51"/>
        <v/>
      </c>
      <c r="L721" s="9" t="str">
        <f t="shared" si="52"/>
        <v/>
      </c>
      <c r="M721" s="8" t="str">
        <f t="shared" si="53"/>
        <v/>
      </c>
      <c r="AB721" s="5">
        <v>80</v>
      </c>
      <c r="AG721" s="1">
        <v>0.19</v>
      </c>
      <c r="AH721" s="20">
        <v>0.39976851851851852</v>
      </c>
      <c r="AJ721" s="1">
        <v>27</v>
      </c>
      <c r="AK721" s="3">
        <f>180+60</f>
        <v>240</v>
      </c>
      <c r="AN721" s="3">
        <v>40</v>
      </c>
      <c r="AP721" s="13">
        <f>AVERAGE(AO719:AO725)</f>
        <v>3140.0000000000091</v>
      </c>
      <c r="AR721" s="17" t="e">
        <f>(E721-W721)/E721</f>
        <v>#VALUE!</v>
      </c>
      <c r="AS721" s="16" t="e">
        <f>(I721-AF721)/I721</f>
        <v>#DIV/0!</v>
      </c>
      <c r="AT721" s="16" t="e">
        <f>AG721/(AD721-AF721)</f>
        <v>#DIV/0!</v>
      </c>
      <c r="AU721" s="16" t="e">
        <f>(G721-AM721)/G721</f>
        <v>#DIV/0!</v>
      </c>
      <c r="AV721" s="57" t="str">
        <f>IF(AND(ISNUMBER(E721),ISNUMBER(W721)),E721-W721,"")</f>
        <v/>
      </c>
      <c r="AW721" s="57" t="str">
        <f>IF(AND(ISNUMBER(I721),ISNUMBER(AF721)),I721-AF721,"")</f>
        <v/>
      </c>
      <c r="AX721" s="57" t="str">
        <f>IF(AND(ISNUMBER(AM721),ISNUMBER(G721)),G721-AM721,"")</f>
        <v/>
      </c>
      <c r="AY721" s="57" t="str">
        <f>IF(AND(ISNUMBER(AC721),ISNUMBER(AE721)),AC721-AE721,"")</f>
        <v/>
      </c>
      <c r="AZ721" s="57" t="str">
        <f t="shared" si="54"/>
        <v/>
      </c>
      <c r="BF721" s="6" t="str">
        <f>IF(OR(AJ721=0,AP721=0,NOT(ISNUMBER(AD721)),NOT(ISNUMBER(AF721)),NOT(ISNUMBER(AJ721)),NOT(ISNUMBER(AP721))),"",
IFERROR(IF((AD721-AF721)/(AJ721/60)/(AP721/1000)&lt;=0,"",(AD721-AF721)/(AJ721/60)/(AP721/1000)),""))</f>
        <v/>
      </c>
    </row>
    <row r="722" spans="1:58" ht="15.75">
      <c r="B722" s="11">
        <v>45982</v>
      </c>
      <c r="C722" s="1">
        <v>478</v>
      </c>
      <c r="D722" s="3">
        <v>717</v>
      </c>
      <c r="E722" s="205" t="str">
        <f t="shared" si="55"/>
        <v/>
      </c>
      <c r="I722" s="15">
        <f>AD722</f>
        <v>0</v>
      </c>
      <c r="K722" s="10" t="str">
        <f t="shared" si="51"/>
        <v/>
      </c>
      <c r="L722" s="9" t="str">
        <f t="shared" si="52"/>
        <v/>
      </c>
      <c r="M722" s="8" t="str">
        <f t="shared" si="53"/>
        <v/>
      </c>
      <c r="O722" s="6">
        <v>17.440999999999999</v>
      </c>
      <c r="P722" s="6">
        <v>64.239999999999995</v>
      </c>
      <c r="Q722" s="6">
        <f>O722*1.067</f>
        <v>18.609546999999999</v>
      </c>
      <c r="R722" s="6">
        <f>P722*1.514</f>
        <v>97.259359999999987</v>
      </c>
      <c r="U722" s="6">
        <v>0</v>
      </c>
      <c r="V722" s="6">
        <v>0</v>
      </c>
      <c r="W722" s="23">
        <f>U722*1.067+V722*1.514</f>
        <v>0</v>
      </c>
      <c r="AB722" s="5">
        <v>80</v>
      </c>
      <c r="AG722" s="1">
        <v>0.25</v>
      </c>
      <c r="AH722" s="20">
        <v>0.40439814814814817</v>
      </c>
      <c r="AJ722" s="1">
        <v>33</v>
      </c>
      <c r="AK722" s="3">
        <f>180+60</f>
        <v>240</v>
      </c>
      <c r="AN722" s="3">
        <v>40</v>
      </c>
      <c r="AO722" s="2">
        <v>3140.0000000000091</v>
      </c>
      <c r="AP722" s="13">
        <f>AVERAGE(AO720:AO726)</f>
        <v>3080.0000000000182</v>
      </c>
      <c r="AR722" s="17" t="e">
        <f>(E722-W722)/E722</f>
        <v>#VALUE!</v>
      </c>
      <c r="AS722" s="16" t="e">
        <f>(I722-AF722)/I722</f>
        <v>#DIV/0!</v>
      </c>
      <c r="AT722" s="16" t="e">
        <f>AG722/(AD722-AF722)</f>
        <v>#DIV/0!</v>
      </c>
      <c r="AU722" s="16" t="e">
        <f>(G722-AM722)/G722</f>
        <v>#DIV/0!</v>
      </c>
      <c r="AV722" s="57" t="str">
        <f>IF(AND(ISNUMBER(E722),ISNUMBER(W722)),E722-W722,"")</f>
        <v/>
      </c>
      <c r="AW722" s="57" t="str">
        <f>IF(AND(ISNUMBER(I722),ISNUMBER(AF722)),I722-AF722,"")</f>
        <v/>
      </c>
      <c r="AX722" s="57" t="str">
        <f>IF(AND(ISNUMBER(AM722),ISNUMBER(G722)),G722-AM722,"")</f>
        <v/>
      </c>
      <c r="AY722" s="57" t="str">
        <f>IF(AND(ISNUMBER(AC722),ISNUMBER(AE722)),AC722-AE722,"")</f>
        <v/>
      </c>
      <c r="AZ722" s="57" t="str">
        <f t="shared" si="54"/>
        <v/>
      </c>
      <c r="BF722" s="6" t="str">
        <f>IF(OR(AJ722=0,AP722=0,NOT(ISNUMBER(AD722)),NOT(ISNUMBER(AF722)),NOT(ISNUMBER(AJ722)),NOT(ISNUMBER(AP722))),"",
IFERROR(IF((AD722-AF722)/(AJ722/60)/(AP722/1000)&lt;=0,"",(AD722-AF722)/(AJ722/60)/(AP722/1000)),""))</f>
        <v/>
      </c>
    </row>
    <row r="723" spans="1:58" ht="15.75">
      <c r="B723" s="11">
        <v>45983</v>
      </c>
      <c r="C723" s="1">
        <v>479</v>
      </c>
      <c r="D723" s="3">
        <v>718</v>
      </c>
      <c r="E723" s="205" t="str">
        <f t="shared" si="55"/>
        <v/>
      </c>
      <c r="I723" s="15">
        <f>AD723</f>
        <v>0</v>
      </c>
      <c r="K723" s="10" t="str">
        <f t="shared" si="51"/>
        <v/>
      </c>
      <c r="L723" s="9" t="str">
        <f t="shared" si="52"/>
        <v/>
      </c>
      <c r="M723" s="8" t="str">
        <f t="shared" si="53"/>
        <v/>
      </c>
      <c r="AB723" s="5">
        <v>80</v>
      </c>
      <c r="AG723" s="1">
        <v>0.2</v>
      </c>
      <c r="AH723" s="20">
        <v>0.39930555555555558</v>
      </c>
      <c r="AJ723" s="1">
        <v>31</v>
      </c>
      <c r="AK723" s="3">
        <f>180+60</f>
        <v>240</v>
      </c>
      <c r="AN723" s="3">
        <v>40</v>
      </c>
      <c r="AP723" s="13">
        <f>AVERAGE(AO721:AO727)</f>
        <v>3080.0000000000182</v>
      </c>
      <c r="AR723" s="17" t="e">
        <f>(E723-W723)/E723</f>
        <v>#VALUE!</v>
      </c>
      <c r="AS723" s="16" t="e">
        <f>(I723-AF723)/I723</f>
        <v>#DIV/0!</v>
      </c>
      <c r="AT723" s="16" t="e">
        <f>AG723/(AD723-AF723)</f>
        <v>#DIV/0!</v>
      </c>
      <c r="AU723" s="16" t="e">
        <f>(G723-AM723)/G723</f>
        <v>#DIV/0!</v>
      </c>
      <c r="AV723" s="57" t="str">
        <f>IF(AND(ISNUMBER(E723),ISNUMBER(W723)),E723-W723,"")</f>
        <v/>
      </c>
      <c r="AW723" s="57" t="str">
        <f>IF(AND(ISNUMBER(I723),ISNUMBER(AF723)),I723-AF723,"")</f>
        <v/>
      </c>
      <c r="AX723" s="57" t="str">
        <f>IF(AND(ISNUMBER(AM723),ISNUMBER(G723)),G723-AM723,"")</f>
        <v/>
      </c>
      <c r="AY723" s="57" t="str">
        <f>IF(AND(ISNUMBER(AC723),ISNUMBER(AE723)),AC723-AE723,"")</f>
        <v/>
      </c>
      <c r="AZ723" s="57" t="str">
        <f t="shared" si="54"/>
        <v/>
      </c>
      <c r="BF723" s="6" t="str">
        <f>IF(OR(AJ723=0,AP723=0,NOT(ISNUMBER(AD723)),NOT(ISNUMBER(AF723)),NOT(ISNUMBER(AJ723)),NOT(ISNUMBER(AP723))),"",
IFERROR(IF((AD723-AF723)/(AJ723/60)/(AP723/1000)&lt;=0,"",(AD723-AF723)/(AJ723/60)/(AP723/1000)),""))</f>
        <v/>
      </c>
    </row>
    <row r="724" spans="1:58" ht="15.75">
      <c r="A724" s="25" t="s">
        <v>13</v>
      </c>
      <c r="B724" s="11">
        <v>45984</v>
      </c>
      <c r="C724" s="1">
        <v>480</v>
      </c>
      <c r="D724" s="3">
        <v>719</v>
      </c>
      <c r="E724" s="205" t="str">
        <f t="shared" si="55"/>
        <v/>
      </c>
      <c r="I724" s="15">
        <f>AD724</f>
        <v>0</v>
      </c>
      <c r="K724" s="10" t="str">
        <f t="shared" si="51"/>
        <v/>
      </c>
      <c r="L724" s="9" t="str">
        <f t="shared" si="52"/>
        <v/>
      </c>
      <c r="M724" s="8" t="str">
        <f t="shared" si="53"/>
        <v/>
      </c>
      <c r="AB724" s="5">
        <v>80</v>
      </c>
      <c r="AG724" s="1">
        <v>0.19</v>
      </c>
      <c r="AH724" s="20">
        <v>0.39930555555555558</v>
      </c>
      <c r="AJ724" s="1">
        <v>33</v>
      </c>
      <c r="AK724" s="3">
        <f>180+60</f>
        <v>240</v>
      </c>
      <c r="AN724" s="3">
        <v>40</v>
      </c>
      <c r="AP724" s="13">
        <f>AVERAGE(AO722:AO728)</f>
        <v>3080.0000000000182</v>
      </c>
      <c r="AR724" s="17" t="e">
        <f>(E724-W724)/E724</f>
        <v>#VALUE!</v>
      </c>
      <c r="AS724" s="16" t="e">
        <f>(I724-AF724)/I724</f>
        <v>#DIV/0!</v>
      </c>
      <c r="AT724" s="16" t="e">
        <f>AG724/(AD724-AF724)</f>
        <v>#DIV/0!</v>
      </c>
      <c r="AU724" s="16" t="e">
        <f>(G724-AM724)/G724</f>
        <v>#DIV/0!</v>
      </c>
      <c r="AV724" s="57" t="str">
        <f>IF(AND(ISNUMBER(E724),ISNUMBER(W724)),E724-W724,"")</f>
        <v/>
      </c>
      <c r="AW724" s="57" t="str">
        <f>IF(AND(ISNUMBER(I724),ISNUMBER(AF724)),I724-AF724,"")</f>
        <v/>
      </c>
      <c r="AX724" s="57" t="str">
        <f>IF(AND(ISNUMBER(AM724),ISNUMBER(G724)),G724-AM724,"")</f>
        <v/>
      </c>
      <c r="AY724" s="57" t="str">
        <f>IF(AND(ISNUMBER(AC724),ISNUMBER(AE724)),AC724-AE724,"")</f>
        <v/>
      </c>
      <c r="AZ724" s="57" t="str">
        <f t="shared" si="54"/>
        <v/>
      </c>
      <c r="BF724" s="6" t="str">
        <f>IF(OR(AJ724=0,AP724=0,NOT(ISNUMBER(AD724)),NOT(ISNUMBER(AF724)),NOT(ISNUMBER(AJ724)),NOT(ISNUMBER(AP724))),"",
IFERROR(IF((AD724-AF724)/(AJ724/60)/(AP724/1000)&lt;=0,"",(AD724-AF724)/(AJ724/60)/(AP724/1000)),""))</f>
        <v/>
      </c>
    </row>
    <row r="725" spans="1:58" ht="15.75">
      <c r="B725" s="11">
        <v>45985</v>
      </c>
      <c r="C725" s="1">
        <v>481</v>
      </c>
      <c r="D725" s="3">
        <v>720</v>
      </c>
      <c r="E725" s="205" t="str">
        <f t="shared" si="55"/>
        <v/>
      </c>
      <c r="I725" s="15">
        <f>AD725</f>
        <v>0</v>
      </c>
      <c r="K725" s="10" t="str">
        <f t="shared" si="51"/>
        <v/>
      </c>
      <c r="L725" s="9" t="str">
        <f t="shared" si="52"/>
        <v/>
      </c>
      <c r="M725" s="8" t="str">
        <f t="shared" si="53"/>
        <v/>
      </c>
      <c r="AB725" s="5">
        <v>80</v>
      </c>
      <c r="AG725" s="1">
        <v>0.74</v>
      </c>
      <c r="AH725" s="20">
        <v>0.40671296296296294</v>
      </c>
      <c r="AJ725" s="1">
        <v>55</v>
      </c>
      <c r="AK725" s="3">
        <f>180+60</f>
        <v>240</v>
      </c>
      <c r="AN725" s="3">
        <v>40</v>
      </c>
      <c r="AP725" s="13">
        <f>AVERAGE(AO723:AO729)</f>
        <v>3020.0000000000273</v>
      </c>
      <c r="AR725" s="17" t="e">
        <f>(E725-W725)/E725</f>
        <v>#VALUE!</v>
      </c>
      <c r="AS725" s="16" t="e">
        <f>(I725-AF725)/I725</f>
        <v>#DIV/0!</v>
      </c>
      <c r="AT725" s="16" t="e">
        <f>AG725/(AD725-AF725)</f>
        <v>#DIV/0!</v>
      </c>
      <c r="AU725" s="16" t="e">
        <f>(G725-AM725)/G725</f>
        <v>#DIV/0!</v>
      </c>
      <c r="AV725" s="57" t="str">
        <f>IF(AND(ISNUMBER(E725),ISNUMBER(W725)),E725-W725,"")</f>
        <v/>
      </c>
      <c r="AW725" s="57" t="str">
        <f>IF(AND(ISNUMBER(I725),ISNUMBER(AF725)),I725-AF725,"")</f>
        <v/>
      </c>
      <c r="AX725" s="57" t="str">
        <f>IF(AND(ISNUMBER(AM725),ISNUMBER(G725)),G725-AM725,"")</f>
        <v/>
      </c>
      <c r="AY725" s="57" t="str">
        <f>IF(AND(ISNUMBER(AC725),ISNUMBER(AE725)),AC725-AE725,"")</f>
        <v/>
      </c>
      <c r="AZ725" s="57" t="str">
        <f t="shared" si="54"/>
        <v/>
      </c>
      <c r="BF725" s="6" t="str">
        <f>IF(OR(AJ725=0,AP725=0,NOT(ISNUMBER(AD725)),NOT(ISNUMBER(AF725)),NOT(ISNUMBER(AJ725)),NOT(ISNUMBER(AP725))),"",
IFERROR(IF((AD725-AF725)/(AJ725/60)/(AP725/1000)&lt;=0,"",(AD725-AF725)/(AJ725/60)/(AP725/1000)),""))</f>
        <v/>
      </c>
    </row>
    <row r="726" spans="1:58" ht="15.75">
      <c r="B726" s="11">
        <v>45986</v>
      </c>
      <c r="C726" s="1">
        <v>482</v>
      </c>
      <c r="D726" s="3">
        <v>721</v>
      </c>
      <c r="E726" s="205">
        <f t="shared" si="55"/>
        <v>289.548856</v>
      </c>
      <c r="G726" s="15">
        <f>(N726*18-H726*18)/9</f>
        <v>13.21</v>
      </c>
      <c r="H726" s="15">
        <f>5*0.379</f>
        <v>1.895</v>
      </c>
      <c r="I726" s="15">
        <f>AD726</f>
        <v>20.7</v>
      </c>
      <c r="K726" s="10">
        <f t="shared" si="51"/>
        <v>21.918914155942467</v>
      </c>
      <c r="L726" s="9">
        <f t="shared" si="52"/>
        <v>6.9939337198067637</v>
      </c>
      <c r="M726" s="8">
        <f t="shared" si="53"/>
        <v>3.1339894019682055</v>
      </c>
      <c r="N726" s="7">
        <f>5*1.7</f>
        <v>8.5</v>
      </c>
      <c r="O726" s="6">
        <v>23.256</v>
      </c>
      <c r="P726" s="6">
        <v>79.233999999999995</v>
      </c>
      <c r="Q726" s="6">
        <f>O726*1.067</f>
        <v>24.814152</v>
      </c>
      <c r="R726" s="6">
        <f>P726*1.514</f>
        <v>119.96027599999999</v>
      </c>
      <c r="S726" s="6">
        <f>Q726+R726</f>
        <v>144.774428</v>
      </c>
      <c r="T726" s="6">
        <f>77.5</f>
        <v>77.5</v>
      </c>
      <c r="U726" s="6">
        <v>0</v>
      </c>
      <c r="V726" s="6">
        <v>0</v>
      </c>
      <c r="W726" s="23">
        <f>U726*1.067+V726*1.514</f>
        <v>0</v>
      </c>
      <c r="X726" s="6">
        <v>0.21</v>
      </c>
      <c r="Y726" s="6">
        <v>0.23</v>
      </c>
      <c r="Z726" s="6">
        <v>-152</v>
      </c>
      <c r="AA726" s="6">
        <v>-215</v>
      </c>
      <c r="AB726" s="5">
        <v>80</v>
      </c>
      <c r="AC726" s="7">
        <f>T726</f>
        <v>77.5</v>
      </c>
      <c r="AD726" s="1">
        <f>5*4.14</f>
        <v>20.7</v>
      </c>
      <c r="AE726" s="1">
        <f>5*3.15</f>
        <v>15.75</v>
      </c>
      <c r="AF726" s="1">
        <v>0</v>
      </c>
      <c r="AG726" s="1">
        <v>0.59</v>
      </c>
      <c r="AH726" s="20">
        <v>0.40532407407407406</v>
      </c>
      <c r="AJ726" s="1">
        <v>35</v>
      </c>
      <c r="AK726" s="3">
        <f>180+60</f>
        <v>240</v>
      </c>
      <c r="AL726" s="4">
        <f>AE726</f>
        <v>15.75</v>
      </c>
      <c r="AM726" s="1">
        <f>5*1.07</f>
        <v>5.3500000000000005</v>
      </c>
      <c r="AN726" s="3">
        <v>40</v>
      </c>
      <c r="AO726" s="2">
        <v>3020.0000000000273</v>
      </c>
      <c r="AP726" s="13">
        <f>AVERAGE(AO724:AO730)</f>
        <v>3020.0000000000273</v>
      </c>
      <c r="AR726" s="17">
        <f>(E726-W726)/E726</f>
        <v>1</v>
      </c>
      <c r="AS726" s="16">
        <f>(I726-AF726)/I726</f>
        <v>1</v>
      </c>
      <c r="AT726" s="16">
        <f>AG726/(AD726-AF726)</f>
        <v>2.8502415458937197E-2</v>
      </c>
      <c r="AU726" s="16">
        <f>(G726-AM726)/G726</f>
        <v>0.59500378501135498</v>
      </c>
      <c r="AV726" s="57">
        <f>IF(AND(ISNUMBER(E726),ISNUMBER(W726)),E726-W726,"")</f>
        <v>289.548856</v>
      </c>
      <c r="AW726" s="57">
        <f>IF(AND(ISNUMBER(I726),ISNUMBER(AF726)),I726-AF726,"")</f>
        <v>20.7</v>
      </c>
      <c r="AX726" s="57">
        <f>IF(AND(ISNUMBER(AM726),ISNUMBER(G726)),G726-AM726,"")</f>
        <v>7.86</v>
      </c>
      <c r="AY726" s="57">
        <f>IF(AND(ISNUMBER(AC726),ISNUMBER(AE726)),AC726-AE726,"")</f>
        <v>61.75</v>
      </c>
      <c r="AZ726" s="57">
        <f t="shared" si="54"/>
        <v>10.399999999999999</v>
      </c>
      <c r="BF726" s="6">
        <f>IF(OR(AJ726=0,AP726=0,NOT(ISNUMBER(AD726)),NOT(ISNUMBER(AF726)),NOT(ISNUMBER(AJ726)),NOT(ISNUMBER(AP726))),"",
IFERROR(IF((AD726-AF726)/(AJ726/60)/(AP726/1000)&lt;=0,"",(AD726-AF726)/(AJ726/60)/(AP726/1000)),""))</f>
        <v>11.750236518448332</v>
      </c>
    </row>
    <row r="727" spans="1:58" ht="15.75">
      <c r="B727" s="11">
        <v>45987</v>
      </c>
      <c r="C727" s="1">
        <v>483</v>
      </c>
      <c r="D727" s="3">
        <v>722</v>
      </c>
      <c r="E727" s="205" t="str">
        <f t="shared" si="55"/>
        <v/>
      </c>
      <c r="I727" s="15">
        <f>AD727</f>
        <v>0</v>
      </c>
      <c r="K727" s="10" t="str">
        <f t="shared" si="51"/>
        <v/>
      </c>
      <c r="L727" s="9" t="str">
        <f t="shared" si="52"/>
        <v/>
      </c>
      <c r="M727" s="8" t="str">
        <f t="shared" si="53"/>
        <v/>
      </c>
      <c r="AB727" s="5">
        <v>80</v>
      </c>
      <c r="AG727" s="1">
        <v>0.48</v>
      </c>
      <c r="AH727" s="20">
        <v>0.40219907407407407</v>
      </c>
      <c r="AJ727" s="1">
        <v>31</v>
      </c>
      <c r="AK727" s="3">
        <f>180+60</f>
        <v>240</v>
      </c>
      <c r="AN727" s="3">
        <v>40</v>
      </c>
      <c r="AP727" s="13">
        <f>AVERAGE(AO725:AO731)</f>
        <v>3020.0000000000273</v>
      </c>
      <c r="AR727" s="17"/>
      <c r="AS727" s="16" t="e">
        <f>(I727-AF727)/I727</f>
        <v>#DIV/0!</v>
      </c>
      <c r="AT727" s="16" t="e">
        <f>AG727/(AD727-AF727)</f>
        <v>#DIV/0!</v>
      </c>
      <c r="AU727" s="16" t="e">
        <f>(G727-AM727)/G727</f>
        <v>#DIV/0!</v>
      </c>
      <c r="AV727" s="57" t="str">
        <f>IF(AND(ISNUMBER(E727),ISNUMBER(W727)),E727-W727,"")</f>
        <v/>
      </c>
      <c r="AW727" s="57" t="str">
        <f>IF(AND(ISNUMBER(I727),ISNUMBER(AF727)),I727-AF727,"")</f>
        <v/>
      </c>
      <c r="AX727" s="57" t="str">
        <f>IF(AND(ISNUMBER(AM727),ISNUMBER(G727)),G727-AM727,"")</f>
        <v/>
      </c>
      <c r="AY727" s="57" t="str">
        <f>IF(AND(ISNUMBER(AC727),ISNUMBER(AE727)),AC727-AE727,"")</f>
        <v/>
      </c>
      <c r="AZ727" s="57" t="str">
        <f t="shared" si="54"/>
        <v/>
      </c>
      <c r="BF727" s="6" t="str">
        <f>IF(OR(AJ727=0,AP727=0,NOT(ISNUMBER(AD727)),NOT(ISNUMBER(AF727)),NOT(ISNUMBER(AJ727)),NOT(ISNUMBER(AP727))),"",
IFERROR(IF((AD727-AF727)/(AJ727/60)/(AP727/1000)&lt;=0,"",(AD727-AF727)/(AJ727/60)/(AP727/1000)),""))</f>
        <v/>
      </c>
    </row>
    <row r="728" spans="1:58" ht="15.75">
      <c r="B728" s="11">
        <v>45988</v>
      </c>
      <c r="C728" s="1">
        <v>484</v>
      </c>
      <c r="D728" s="3">
        <v>723</v>
      </c>
      <c r="E728" s="205" t="str">
        <f t="shared" si="55"/>
        <v/>
      </c>
      <c r="I728" s="15">
        <f>AD728</f>
        <v>0</v>
      </c>
      <c r="K728" s="10" t="str">
        <f t="shared" si="51"/>
        <v/>
      </c>
      <c r="L728" s="9" t="str">
        <f t="shared" si="52"/>
        <v/>
      </c>
      <c r="M728" s="8" t="str">
        <f t="shared" si="53"/>
        <v/>
      </c>
      <c r="AB728" s="5">
        <v>80</v>
      </c>
      <c r="AG728" s="1">
        <v>0.41</v>
      </c>
      <c r="AH728" s="20">
        <v>0.40104166666666669</v>
      </c>
      <c r="AJ728" s="1">
        <v>31</v>
      </c>
      <c r="AK728" s="3">
        <f>180+60</f>
        <v>240</v>
      </c>
      <c r="AN728" s="3">
        <v>40</v>
      </c>
      <c r="AP728" s="13">
        <f>AVERAGE(AO726:AO732)</f>
        <v>3020.0000000000273</v>
      </c>
      <c r="AR728" s="17"/>
      <c r="AS728" s="16" t="e">
        <f>(I728-AF728)/I728</f>
        <v>#DIV/0!</v>
      </c>
      <c r="AT728" s="16" t="e">
        <f>AG728/(AD728-AF728)</f>
        <v>#DIV/0!</v>
      </c>
      <c r="AU728" s="16" t="e">
        <f>(G728-AM728)/G728</f>
        <v>#DIV/0!</v>
      </c>
      <c r="AV728" s="57" t="str">
        <f>IF(AND(ISNUMBER(E728),ISNUMBER(W728)),E728-W728,"")</f>
        <v/>
      </c>
      <c r="AW728" s="57" t="str">
        <f>IF(AND(ISNUMBER(I728),ISNUMBER(AF728)),I728-AF728,"")</f>
        <v/>
      </c>
      <c r="AX728" s="57" t="str">
        <f>IF(AND(ISNUMBER(AM728),ISNUMBER(G728)),G728-AM728,"")</f>
        <v/>
      </c>
      <c r="AY728" s="57" t="str">
        <f>IF(AND(ISNUMBER(AC728),ISNUMBER(AE728)),AC728-AE728,"")</f>
        <v/>
      </c>
      <c r="AZ728" s="57" t="str">
        <f t="shared" si="54"/>
        <v/>
      </c>
      <c r="BF728" s="6" t="str">
        <f>IF(OR(AJ728=0,AP728=0,NOT(ISNUMBER(AD728)),NOT(ISNUMBER(AF728)),NOT(ISNUMBER(AJ728)),NOT(ISNUMBER(AP728))),"",
IFERROR(IF((AD728-AF728)/(AJ728/60)/(AP728/1000)&lt;=0,"",(AD728-AF728)/(AJ728/60)/(AP728/1000)),""))</f>
        <v/>
      </c>
    </row>
    <row r="729" spans="1:58" ht="15.75">
      <c r="B729" s="11">
        <v>45989</v>
      </c>
      <c r="C729" s="1">
        <v>485</v>
      </c>
      <c r="D729" s="3">
        <v>724</v>
      </c>
      <c r="E729" s="205" t="str">
        <f t="shared" si="55"/>
        <v/>
      </c>
      <c r="I729" s="15">
        <f>AD729</f>
        <v>0</v>
      </c>
      <c r="K729" s="10" t="str">
        <f t="shared" si="51"/>
        <v/>
      </c>
      <c r="L729" s="9" t="str">
        <f t="shared" si="52"/>
        <v/>
      </c>
      <c r="M729" s="8" t="str">
        <f t="shared" si="53"/>
        <v/>
      </c>
      <c r="AB729" s="5">
        <v>80</v>
      </c>
      <c r="AG729" s="1">
        <v>0.14000000000000001</v>
      </c>
      <c r="AH729" s="20">
        <v>0.40104166666666669</v>
      </c>
      <c r="AJ729" s="1">
        <v>29</v>
      </c>
      <c r="AK729" s="3">
        <f>180+60</f>
        <v>240</v>
      </c>
      <c r="AN729" s="3">
        <v>40</v>
      </c>
      <c r="AP729" s="13" t="e">
        <f>AVERAGE(AO727:AO733)</f>
        <v>#DIV/0!</v>
      </c>
      <c r="AR729" s="17"/>
      <c r="AS729" s="16" t="e">
        <f>(I729-AF729)/I729</f>
        <v>#DIV/0!</v>
      </c>
      <c r="AT729" s="16" t="e">
        <f>AG729/(AD729-AF729)</f>
        <v>#DIV/0!</v>
      </c>
      <c r="AU729" s="16" t="e">
        <f>(G729-AM729)/G729</f>
        <v>#DIV/0!</v>
      </c>
      <c r="AV729" s="57" t="str">
        <f>IF(AND(ISNUMBER(E729),ISNUMBER(W729)),E729-W729,"")</f>
        <v/>
      </c>
      <c r="AW729" s="57" t="str">
        <f>IF(AND(ISNUMBER(I729),ISNUMBER(AF729)),I729-AF729,"")</f>
        <v/>
      </c>
      <c r="AX729" s="57" t="str">
        <f>IF(AND(ISNUMBER(AM729),ISNUMBER(G729)),G729-AM729,"")</f>
        <v/>
      </c>
      <c r="AY729" s="57" t="str">
        <f>IF(AND(ISNUMBER(AC729),ISNUMBER(AE729)),AC729-AE729,"")</f>
        <v/>
      </c>
      <c r="AZ729" s="57" t="str">
        <f t="shared" si="54"/>
        <v/>
      </c>
      <c r="BF729" s="6"/>
    </row>
    <row r="730" spans="1:58" ht="15.75">
      <c r="B730" s="11">
        <v>45990</v>
      </c>
      <c r="C730" s="1">
        <v>486</v>
      </c>
      <c r="D730" s="3">
        <v>725</v>
      </c>
      <c r="E730" s="205" t="str">
        <f t="shared" si="55"/>
        <v/>
      </c>
      <c r="I730" s="15">
        <f>AD730</f>
        <v>0</v>
      </c>
      <c r="K730" s="10" t="str">
        <f t="shared" si="51"/>
        <v/>
      </c>
      <c r="L730" s="9" t="str">
        <f t="shared" si="52"/>
        <v/>
      </c>
      <c r="M730" s="8" t="str">
        <f t="shared" si="53"/>
        <v/>
      </c>
      <c r="AB730" s="5">
        <v>80</v>
      </c>
      <c r="AG730" s="1">
        <v>0.11</v>
      </c>
      <c r="AH730" s="20">
        <v>0.4</v>
      </c>
      <c r="AJ730" s="1">
        <v>27</v>
      </c>
      <c r="AK730" s="3">
        <f>180+60</f>
        <v>240</v>
      </c>
      <c r="AN730" s="3">
        <v>40</v>
      </c>
      <c r="AP730" s="13" t="e">
        <f>AVERAGE(AO728:AO734)</f>
        <v>#DIV/0!</v>
      </c>
      <c r="AR730" s="17"/>
      <c r="AS730" s="16" t="e">
        <f>(I730-AF730)/I730</f>
        <v>#DIV/0!</v>
      </c>
      <c r="AT730" s="16" t="e">
        <f>AG730/(AD730-AF730)</f>
        <v>#DIV/0!</v>
      </c>
      <c r="AU730" s="16" t="e">
        <f>(G730-AM730)/G730</f>
        <v>#DIV/0!</v>
      </c>
      <c r="AV730" s="57" t="str">
        <f>IF(AND(ISNUMBER(E730),ISNUMBER(W730)),E730-W730,"")</f>
        <v/>
      </c>
      <c r="AW730" s="57" t="str">
        <f>IF(AND(ISNUMBER(I730),ISNUMBER(AF730)),I730-AF730,"")</f>
        <v/>
      </c>
      <c r="AX730" s="57" t="str">
        <f>IF(AND(ISNUMBER(AM730),ISNUMBER(G730)),G730-AM730,"")</f>
        <v/>
      </c>
      <c r="AY730" s="57" t="str">
        <f>IF(AND(ISNUMBER(AC730),ISNUMBER(AE730)),AC730-AE730,"")</f>
        <v/>
      </c>
      <c r="AZ730" s="57" t="str">
        <f t="shared" si="54"/>
        <v/>
      </c>
      <c r="BF730" s="6"/>
    </row>
    <row r="731" spans="1:58" ht="15.75">
      <c r="B731" s="11">
        <v>45991</v>
      </c>
      <c r="C731" s="1">
        <v>487</v>
      </c>
      <c r="D731" s="3">
        <v>726</v>
      </c>
      <c r="E731" s="205" t="str">
        <f t="shared" si="55"/>
        <v/>
      </c>
      <c r="I731" s="15">
        <f>AD731</f>
        <v>0</v>
      </c>
      <c r="K731" s="10" t="str">
        <f t="shared" ref="K731:K794" si="56">IF(OR(E731="",G731="",E731=0,G731=0),"",E731/G731)</f>
        <v/>
      </c>
      <c r="L731" s="9" t="str">
        <f t="shared" ref="L731:L794" si="57">IF(OR(E731="",I731="",E731=0,I731=0),"",E731/(I731*2))</f>
        <v/>
      </c>
      <c r="M731" s="8" t="str">
        <f t="shared" ref="M731:M794" si="58">IF(OR(I731="",G731="",I731=0,G731=0),"",I731*2/G731)</f>
        <v/>
      </c>
      <c r="AB731" s="5">
        <v>80</v>
      </c>
      <c r="AG731" s="1">
        <v>0.08</v>
      </c>
      <c r="AH731" s="20">
        <v>0.39930555555555558</v>
      </c>
      <c r="AJ731" s="1">
        <v>29</v>
      </c>
      <c r="AK731" s="3">
        <f>180+60</f>
        <v>240</v>
      </c>
      <c r="AN731" s="3">
        <v>40</v>
      </c>
      <c r="AP731" s="13" t="e">
        <f>AVERAGE(AO729:AO735)</f>
        <v>#DIV/0!</v>
      </c>
      <c r="AR731" s="17"/>
      <c r="AS731" s="16" t="e">
        <f>(I731-AF731)/I731</f>
        <v>#DIV/0!</v>
      </c>
      <c r="AT731" s="16" t="e">
        <f>AG731/(AD731-AF731)</f>
        <v>#DIV/0!</v>
      </c>
      <c r="AU731" s="16" t="e">
        <f>(G731-AM731)/G731</f>
        <v>#DIV/0!</v>
      </c>
      <c r="AV731" s="57" t="str">
        <f>IF(AND(ISNUMBER(E731),ISNUMBER(W731)),E731-W731,"")</f>
        <v/>
      </c>
      <c r="AW731" s="57" t="str">
        <f>IF(AND(ISNUMBER(I731),ISNUMBER(AF731)),I731-AF731,"")</f>
        <v/>
      </c>
      <c r="AX731" s="57" t="str">
        <f>IF(AND(ISNUMBER(AM731),ISNUMBER(G731)),G731-AM731,"")</f>
        <v/>
      </c>
      <c r="AY731" s="57" t="str">
        <f>IF(AND(ISNUMBER(AC731),ISNUMBER(AE731)),AC731-AE731,"")</f>
        <v/>
      </c>
      <c r="AZ731" s="57" t="str">
        <f t="shared" si="54"/>
        <v/>
      </c>
      <c r="BF731" s="6"/>
    </row>
    <row r="732" spans="1:58" ht="15.75">
      <c r="B732" s="11">
        <v>45992</v>
      </c>
      <c r="C732" s="1">
        <v>488</v>
      </c>
      <c r="D732" s="3">
        <v>727</v>
      </c>
      <c r="E732" s="205" t="str">
        <f t="shared" si="55"/>
        <v/>
      </c>
      <c r="I732" s="15">
        <f>AD732</f>
        <v>0</v>
      </c>
      <c r="K732" s="10" t="str">
        <f t="shared" si="56"/>
        <v/>
      </c>
      <c r="L732" s="9" t="str">
        <f t="shared" si="57"/>
        <v/>
      </c>
      <c r="M732" s="8" t="str">
        <f t="shared" si="58"/>
        <v/>
      </c>
      <c r="AB732" s="5">
        <v>80</v>
      </c>
      <c r="AG732" s="1">
        <v>0.08</v>
      </c>
      <c r="AH732" s="20">
        <v>0.39930555555555558</v>
      </c>
      <c r="AJ732" s="1">
        <v>29</v>
      </c>
      <c r="AK732" s="3">
        <f>180+60</f>
        <v>240</v>
      </c>
      <c r="AN732" s="3">
        <v>40</v>
      </c>
      <c r="AP732" s="13">
        <f>AVERAGE(AO730:AO736)</f>
        <v>2949.9999999999545</v>
      </c>
      <c r="AR732" s="17"/>
      <c r="AS732" s="16" t="e">
        <f>(I732-AF732)/I732</f>
        <v>#DIV/0!</v>
      </c>
      <c r="AT732" s="16" t="e">
        <f>AG732/(AD732-AF732)</f>
        <v>#DIV/0!</v>
      </c>
      <c r="AU732" s="16" t="e">
        <f>(G732-AM732)/G732</f>
        <v>#DIV/0!</v>
      </c>
      <c r="AV732" s="57" t="str">
        <f>IF(AND(ISNUMBER(E732),ISNUMBER(W732)),E732-W732,"")</f>
        <v/>
      </c>
      <c r="AW732" s="57" t="str">
        <f>IF(AND(ISNUMBER(I732),ISNUMBER(AF732)),I732-AF732,"")</f>
        <v/>
      </c>
      <c r="AX732" s="57" t="str">
        <f>IF(AND(ISNUMBER(AM732),ISNUMBER(G732)),G732-AM732,"")</f>
        <v/>
      </c>
      <c r="AY732" s="57" t="str">
        <f>IF(AND(ISNUMBER(AC732),ISNUMBER(AE732)),AC732-AE732,"")</f>
        <v/>
      </c>
      <c r="AZ732" s="57" t="str">
        <f t="shared" si="54"/>
        <v/>
      </c>
      <c r="BF732" s="6"/>
    </row>
    <row r="733" spans="1:58" ht="15.75">
      <c r="B733" s="11">
        <v>45993</v>
      </c>
      <c r="C733" s="1">
        <v>489</v>
      </c>
      <c r="D733" s="3">
        <v>728</v>
      </c>
      <c r="E733" s="205" t="str">
        <f t="shared" si="55"/>
        <v/>
      </c>
      <c r="I733" s="15">
        <f>AD733</f>
        <v>0</v>
      </c>
      <c r="K733" s="10" t="str">
        <f t="shared" si="56"/>
        <v/>
      </c>
      <c r="L733" s="9" t="str">
        <f t="shared" si="57"/>
        <v/>
      </c>
      <c r="M733" s="8" t="str">
        <f t="shared" si="58"/>
        <v/>
      </c>
      <c r="AB733" s="5">
        <v>80</v>
      </c>
      <c r="AG733" s="1">
        <v>0.16</v>
      </c>
      <c r="AH733" s="20">
        <v>0.40474537037037039</v>
      </c>
      <c r="AJ733" s="1">
        <v>31</v>
      </c>
      <c r="AK733" s="3">
        <f>180+60</f>
        <v>240</v>
      </c>
      <c r="AN733" s="3">
        <v>40</v>
      </c>
      <c r="AP733" s="13">
        <f>AVERAGE(AO731:AO737)</f>
        <v>2949.9999999999545</v>
      </c>
      <c r="AR733" s="17"/>
      <c r="AS733" s="16" t="e">
        <f>(I733-AF733)/I733</f>
        <v>#DIV/0!</v>
      </c>
      <c r="AT733" s="16" t="e">
        <f>AG733/(AD733-AF733)</f>
        <v>#DIV/0!</v>
      </c>
      <c r="AU733" s="16" t="e">
        <f>(G733-AM733)/G733</f>
        <v>#DIV/0!</v>
      </c>
      <c r="AV733" s="57" t="str">
        <f>IF(AND(ISNUMBER(E733),ISNUMBER(W733)),E733-W733,"")</f>
        <v/>
      </c>
      <c r="AW733" s="57" t="str">
        <f>IF(AND(ISNUMBER(I733),ISNUMBER(AF733)),I733-AF733,"")</f>
        <v/>
      </c>
      <c r="AX733" s="57" t="str">
        <f>IF(AND(ISNUMBER(AM733),ISNUMBER(G733)),G733-AM733,"")</f>
        <v/>
      </c>
      <c r="AY733" s="57" t="str">
        <f>IF(AND(ISNUMBER(AC733),ISNUMBER(AE733)),AC733-AE733,"")</f>
        <v/>
      </c>
      <c r="AZ733" s="57" t="str">
        <f t="shared" si="54"/>
        <v/>
      </c>
      <c r="BF733" s="6" t="str">
        <f>IF(OR(AJ733=0,AP733=0,NOT(ISNUMBER(AD733)),NOT(ISNUMBER(AF733)),NOT(ISNUMBER(AJ733)),NOT(ISNUMBER(AP733))),"",
IFERROR(IF((AD733-AF733)/(AJ733/60)/(AP733/1000)&lt;=0,"",(AD733-AF733)/(AJ733/60)/(AP733/1000)),""))</f>
        <v/>
      </c>
    </row>
    <row r="734" spans="1:58" ht="15.75">
      <c r="A734" s="25" t="s">
        <v>12</v>
      </c>
      <c r="B734" s="11">
        <v>45994</v>
      </c>
      <c r="C734" s="1">
        <v>490</v>
      </c>
      <c r="D734" s="3">
        <v>729</v>
      </c>
      <c r="E734" s="205" t="str">
        <f t="shared" si="55"/>
        <v/>
      </c>
      <c r="I734" s="15">
        <f>AD734</f>
        <v>0</v>
      </c>
      <c r="K734" s="10" t="str">
        <f t="shared" si="56"/>
        <v/>
      </c>
      <c r="L734" s="9" t="str">
        <f t="shared" si="57"/>
        <v/>
      </c>
      <c r="M734" s="8" t="str">
        <f t="shared" si="58"/>
        <v/>
      </c>
      <c r="AB734" s="5">
        <v>80</v>
      </c>
      <c r="AG734" s="1">
        <v>0.16</v>
      </c>
      <c r="AH734" s="20">
        <v>0.45439814814814816</v>
      </c>
      <c r="AJ734" s="1">
        <v>21</v>
      </c>
      <c r="AK734" s="3">
        <f>180+60</f>
        <v>240</v>
      </c>
      <c r="AN734" s="3">
        <v>40</v>
      </c>
      <c r="AP734" s="13">
        <f>AVERAGE(AO732:AO738)</f>
        <v>2949.9999999999545</v>
      </c>
      <c r="AR734" s="17"/>
      <c r="AS734" s="16" t="e">
        <f>(I734-AF734)/I734</f>
        <v>#DIV/0!</v>
      </c>
      <c r="AT734" s="16" t="e">
        <f>AG734/(AD734-AF734)</f>
        <v>#DIV/0!</v>
      </c>
      <c r="AU734" s="16" t="e">
        <f>(G734-AM734)/G734</f>
        <v>#DIV/0!</v>
      </c>
      <c r="AV734" s="57" t="str">
        <f>IF(AND(ISNUMBER(E734),ISNUMBER(W734)),E734-W734,"")</f>
        <v/>
      </c>
      <c r="AW734" s="57" t="str">
        <f>IF(AND(ISNUMBER(I734),ISNUMBER(AF734)),I734-AF734,"")</f>
        <v/>
      </c>
      <c r="AX734" s="57" t="str">
        <f>IF(AND(ISNUMBER(AM734),ISNUMBER(G734)),G734-AM734,"")</f>
        <v/>
      </c>
      <c r="AY734" s="57" t="str">
        <f>IF(AND(ISNUMBER(AC734),ISNUMBER(AE734)),AC734-AE734,"")</f>
        <v/>
      </c>
      <c r="AZ734" s="57" t="str">
        <f t="shared" si="54"/>
        <v/>
      </c>
      <c r="BF734" s="6" t="str">
        <f>IF(OR(AJ734=0,AP734=0,NOT(ISNUMBER(AD734)),NOT(ISNUMBER(AF734)),NOT(ISNUMBER(AJ734)),NOT(ISNUMBER(AP734))),"",
IFERROR(IF((AD734-AF734)/(AJ734/60)/(AP734/1000)&lt;=0,"",(AD734-AF734)/(AJ734/60)/(AP734/1000)),""))</f>
        <v/>
      </c>
    </row>
    <row r="735" spans="1:58" ht="15.75">
      <c r="B735" s="11">
        <v>45995</v>
      </c>
      <c r="C735" s="1">
        <v>491</v>
      </c>
      <c r="D735" s="3">
        <v>730</v>
      </c>
      <c r="E735" s="205" t="str">
        <f t="shared" si="55"/>
        <v/>
      </c>
      <c r="I735" s="15">
        <f>AD735</f>
        <v>0</v>
      </c>
      <c r="K735" s="10" t="str">
        <f t="shared" si="56"/>
        <v/>
      </c>
      <c r="L735" s="9" t="str">
        <f t="shared" si="57"/>
        <v/>
      </c>
      <c r="M735" s="8" t="str">
        <f t="shared" si="58"/>
        <v/>
      </c>
      <c r="AB735" s="5">
        <v>80</v>
      </c>
      <c r="AG735" s="1">
        <v>0.1</v>
      </c>
      <c r="AH735" s="20">
        <v>0.47118055555555555</v>
      </c>
      <c r="AJ735" s="1">
        <v>113</v>
      </c>
      <c r="AK735" s="3">
        <f>180+60</f>
        <v>240</v>
      </c>
      <c r="AN735" s="3">
        <v>40</v>
      </c>
      <c r="AP735" s="13">
        <f>AVERAGE(AO733:AO739)</f>
        <v>2949.9999999999545</v>
      </c>
      <c r="AR735" s="17"/>
      <c r="AS735" s="16" t="e">
        <f>(I735-AF735)/I735</f>
        <v>#DIV/0!</v>
      </c>
      <c r="AT735" s="16" t="e">
        <f>AG735/(AD735-AF735)</f>
        <v>#DIV/0!</v>
      </c>
      <c r="AU735" s="16" t="e">
        <f>(G735-AM735)/G735</f>
        <v>#DIV/0!</v>
      </c>
      <c r="AV735" s="57" t="str">
        <f>IF(AND(ISNUMBER(E735),ISNUMBER(W735)),E735-W735,"")</f>
        <v/>
      </c>
      <c r="AW735" s="57" t="str">
        <f>IF(AND(ISNUMBER(I735),ISNUMBER(AF735)),I735-AF735,"")</f>
        <v/>
      </c>
      <c r="AX735" s="57" t="str">
        <f>IF(AND(ISNUMBER(AM735),ISNUMBER(G735)),G735-AM735,"")</f>
        <v/>
      </c>
      <c r="AY735" s="57" t="str">
        <f>IF(AND(ISNUMBER(AC735),ISNUMBER(AE735)),AC735-AE735,"")</f>
        <v/>
      </c>
      <c r="AZ735" s="57" t="str">
        <f t="shared" si="54"/>
        <v/>
      </c>
      <c r="BF735" s="6" t="str">
        <f>IF(OR(AJ735=0,AP735=0,NOT(ISNUMBER(AD735)),NOT(ISNUMBER(AF735)),NOT(ISNUMBER(AJ735)),NOT(ISNUMBER(AP735))),"",
IFERROR(IF((AD735-AF735)/(AJ735/60)/(AP735/1000)&lt;=0,"",(AD735-AF735)/(AJ735/60)/(AP735/1000)),""))</f>
        <v/>
      </c>
    </row>
    <row r="736" spans="1:58" ht="15.75">
      <c r="B736" s="11">
        <v>45996</v>
      </c>
      <c r="C736" s="1">
        <v>492</v>
      </c>
      <c r="D736" s="3">
        <v>731</v>
      </c>
      <c r="E736" s="205">
        <f t="shared" si="55"/>
        <v>190.07795999999999</v>
      </c>
      <c r="I736" s="15">
        <f>AD736</f>
        <v>0</v>
      </c>
      <c r="K736" s="10" t="str">
        <f t="shared" si="56"/>
        <v/>
      </c>
      <c r="L736" s="9" t="str">
        <f t="shared" si="57"/>
        <v/>
      </c>
      <c r="M736" s="8" t="str">
        <f t="shared" si="58"/>
        <v/>
      </c>
      <c r="O736" s="6">
        <v>15.694000000000001</v>
      </c>
      <c r="P736" s="6">
        <v>51.713000000000001</v>
      </c>
      <c r="Q736" s="6">
        <f>O736*1.067</f>
        <v>16.745498000000001</v>
      </c>
      <c r="R736" s="6">
        <f>P736*1.514</f>
        <v>78.293481999999997</v>
      </c>
      <c r="S736" s="6">
        <f>Q736+R736</f>
        <v>95.038979999999995</v>
      </c>
      <c r="W736" s="23">
        <f>U736*1.067+V736*1.514</f>
        <v>0</v>
      </c>
      <c r="AB736" s="5">
        <v>80</v>
      </c>
      <c r="AG736" s="1">
        <v>0.08</v>
      </c>
      <c r="AH736" s="20">
        <v>0.4465277777777778</v>
      </c>
      <c r="AJ736" s="1">
        <v>111</v>
      </c>
      <c r="AK736" s="3">
        <f>180+60</f>
        <v>240</v>
      </c>
      <c r="AN736" s="3">
        <v>40</v>
      </c>
      <c r="AO736" s="2">
        <v>2949.9999999999545</v>
      </c>
      <c r="AP736" s="13">
        <f>AVERAGE(AO734:AO740)</f>
        <v>2949.9999999999545</v>
      </c>
      <c r="AR736" s="17">
        <f>(E736-W736)/E736</f>
        <v>1</v>
      </c>
      <c r="AS736" s="16" t="e">
        <f>(I736-AF736)/I736</f>
        <v>#DIV/0!</v>
      </c>
      <c r="AT736" s="16" t="e">
        <f>AG736/(AD736-AF736)</f>
        <v>#DIV/0!</v>
      </c>
      <c r="AU736" s="16" t="e">
        <f>(G736-AM736)/G736</f>
        <v>#DIV/0!</v>
      </c>
      <c r="AV736" s="57">
        <f>IF(AND(ISNUMBER(E736),ISNUMBER(W736)),E736-W736,"")</f>
        <v>190.07795999999999</v>
      </c>
      <c r="AW736" s="57" t="str">
        <f>IF(AND(ISNUMBER(I736),ISNUMBER(AF736)),I736-AF736,"")</f>
        <v/>
      </c>
      <c r="AX736" s="57" t="str">
        <f>IF(AND(ISNUMBER(AM736),ISNUMBER(G736)),G736-AM736,"")</f>
        <v/>
      </c>
      <c r="AY736" s="57" t="str">
        <f>IF(AND(ISNUMBER(AC736),ISNUMBER(AE736)),AC736-AE736,"")</f>
        <v/>
      </c>
      <c r="AZ736" s="57" t="str">
        <f t="shared" si="54"/>
        <v/>
      </c>
      <c r="BF736" s="6" t="str">
        <f>IF(OR(AJ736=0,AP736=0,NOT(ISNUMBER(AD736)),NOT(ISNUMBER(AF736)),NOT(ISNUMBER(AJ736)),NOT(ISNUMBER(AP736))),"",
IFERROR(IF((AD736-AF736)/(AJ736/60)/(AP736/1000)&lt;=0,"",(AD736-AF736)/(AJ736/60)/(AP736/1000)),""))</f>
        <v/>
      </c>
    </row>
    <row r="737" spans="2:58" ht="15.75">
      <c r="B737" s="11">
        <v>45997</v>
      </c>
      <c r="C737" s="1">
        <v>493</v>
      </c>
      <c r="D737" s="3">
        <v>732</v>
      </c>
      <c r="E737" s="205" t="str">
        <f t="shared" si="55"/>
        <v/>
      </c>
      <c r="I737" s="15">
        <f>AD737</f>
        <v>0</v>
      </c>
      <c r="K737" s="10" t="str">
        <f t="shared" si="56"/>
        <v/>
      </c>
      <c r="L737" s="9" t="str">
        <f t="shared" si="57"/>
        <v/>
      </c>
      <c r="M737" s="8" t="str">
        <f t="shared" si="58"/>
        <v/>
      </c>
      <c r="AB737" s="5">
        <v>80</v>
      </c>
      <c r="AG737" s="1">
        <v>0.08</v>
      </c>
      <c r="AH737" s="20">
        <v>0.4284722222222222</v>
      </c>
      <c r="AJ737" s="1">
        <v>115</v>
      </c>
      <c r="AK737" s="3">
        <f>180+60</f>
        <v>240</v>
      </c>
      <c r="AN737" s="3">
        <v>40</v>
      </c>
      <c r="AP737" s="13">
        <f>AVERAGE(AO735:AO741)</f>
        <v>2949.9999999999545</v>
      </c>
      <c r="AR737" s="17"/>
      <c r="AS737" s="16" t="e">
        <f>(I737-AF737)/I737</f>
        <v>#DIV/0!</v>
      </c>
      <c r="AT737" s="16" t="e">
        <f>AG737/(AD737-AF737)</f>
        <v>#DIV/0!</v>
      </c>
      <c r="AU737" s="16" t="e">
        <f>(G737-AM737)/G737</f>
        <v>#DIV/0!</v>
      </c>
      <c r="AV737" s="57" t="str">
        <f>IF(AND(ISNUMBER(E737),ISNUMBER(W737)),E737-W737,"")</f>
        <v/>
      </c>
      <c r="AW737" s="57" t="str">
        <f>IF(AND(ISNUMBER(I737),ISNUMBER(AF737)),I737-AF737,"")</f>
        <v/>
      </c>
      <c r="AX737" s="57" t="str">
        <f>IF(AND(ISNUMBER(AM737),ISNUMBER(G737)),G737-AM737,"")</f>
        <v/>
      </c>
      <c r="AY737" s="57" t="str">
        <f>IF(AND(ISNUMBER(AC737),ISNUMBER(AE737)),AC737-AE737,"")</f>
        <v/>
      </c>
      <c r="AZ737" s="57" t="str">
        <f t="shared" si="54"/>
        <v/>
      </c>
      <c r="BF737" s="6" t="str">
        <f>IF(OR(AJ737=0,AP737=0,NOT(ISNUMBER(AD737)),NOT(ISNUMBER(AF737)),NOT(ISNUMBER(AJ737)),NOT(ISNUMBER(AP737))),"",
IFERROR(IF((AD737-AF737)/(AJ737/60)/(AP737/1000)&lt;=0,"",(AD737-AF737)/(AJ737/60)/(AP737/1000)),""))</f>
        <v/>
      </c>
    </row>
    <row r="738" spans="2:58" ht="15.75">
      <c r="B738" s="11">
        <v>45998</v>
      </c>
      <c r="C738" s="1">
        <v>494</v>
      </c>
      <c r="D738" s="3">
        <v>733</v>
      </c>
      <c r="E738" s="205" t="str">
        <f t="shared" si="55"/>
        <v/>
      </c>
      <c r="I738" s="15">
        <f>AD738</f>
        <v>0</v>
      </c>
      <c r="K738" s="10" t="str">
        <f t="shared" si="56"/>
        <v/>
      </c>
      <c r="L738" s="9" t="str">
        <f t="shared" si="57"/>
        <v/>
      </c>
      <c r="M738" s="8" t="str">
        <f t="shared" si="58"/>
        <v/>
      </c>
      <c r="AB738" s="5">
        <v>80</v>
      </c>
      <c r="AG738" s="1">
        <v>7.0000000000000007E-2</v>
      </c>
      <c r="AH738" s="20">
        <v>0.39930555555555558</v>
      </c>
      <c r="AJ738" s="1">
        <v>113</v>
      </c>
      <c r="AK738" s="3">
        <f>180+60</f>
        <v>240</v>
      </c>
      <c r="AN738" s="3">
        <v>40</v>
      </c>
      <c r="AP738" s="13">
        <f>AVERAGE(AO736:AO742)</f>
        <v>2609.9999999999682</v>
      </c>
      <c r="AR738" s="17"/>
      <c r="AS738" s="16" t="e">
        <f>(I738-AF738)/I738</f>
        <v>#DIV/0!</v>
      </c>
      <c r="AT738" s="16" t="e">
        <f>AG738/(AD738-AF738)</f>
        <v>#DIV/0!</v>
      </c>
      <c r="AU738" s="16" t="e">
        <f>(G738-AM738)/G738</f>
        <v>#DIV/0!</v>
      </c>
      <c r="AV738" s="57" t="str">
        <f>IF(AND(ISNUMBER(E738),ISNUMBER(W738)),E738-W738,"")</f>
        <v/>
      </c>
      <c r="AW738" s="57" t="str">
        <f>IF(AND(ISNUMBER(I738),ISNUMBER(AF738)),I738-AF738,"")</f>
        <v/>
      </c>
      <c r="AX738" s="57" t="str">
        <f>IF(AND(ISNUMBER(AM738),ISNUMBER(G738)),G738-AM738,"")</f>
        <v/>
      </c>
      <c r="AY738" s="57" t="str">
        <f>IF(AND(ISNUMBER(AC738),ISNUMBER(AE738)),AC738-AE738,"")</f>
        <v/>
      </c>
      <c r="AZ738" s="57" t="str">
        <f t="shared" si="54"/>
        <v/>
      </c>
      <c r="BF738" s="6" t="str">
        <f>IF(OR(AJ738=0,AP738=0,NOT(ISNUMBER(AD738)),NOT(ISNUMBER(AF738)),NOT(ISNUMBER(AJ738)),NOT(ISNUMBER(AP738))),"",
IFERROR(IF((AD738-AF738)/(AJ738/60)/(AP738/1000)&lt;=0,"",(AD738-AF738)/(AJ738/60)/(AP738/1000)),""))</f>
        <v/>
      </c>
    </row>
    <row r="739" spans="2:58" ht="15.75">
      <c r="B739" s="11">
        <v>45999</v>
      </c>
      <c r="C739" s="1">
        <v>495</v>
      </c>
      <c r="D739" s="3">
        <v>734</v>
      </c>
      <c r="E739" s="205" t="str">
        <f t="shared" si="55"/>
        <v/>
      </c>
      <c r="I739" s="15">
        <f>AD739</f>
        <v>0</v>
      </c>
      <c r="K739" s="10" t="str">
        <f t="shared" si="56"/>
        <v/>
      </c>
      <c r="L739" s="9" t="str">
        <f t="shared" si="57"/>
        <v/>
      </c>
      <c r="M739" s="8" t="str">
        <f t="shared" si="58"/>
        <v/>
      </c>
      <c r="AB739" s="5">
        <v>80</v>
      </c>
      <c r="AG739" s="1">
        <v>0.09</v>
      </c>
      <c r="AH739" s="20">
        <v>0.46666666666666667</v>
      </c>
      <c r="AJ739" s="1">
        <v>117</v>
      </c>
      <c r="AK739" s="3">
        <f>180+60</f>
        <v>240</v>
      </c>
      <c r="AN739" s="3">
        <v>40</v>
      </c>
      <c r="AP739" s="13">
        <f>AVERAGE(AO737:AO743)</f>
        <v>2269.9999999999818</v>
      </c>
      <c r="AR739" s="17"/>
      <c r="AS739" s="16" t="e">
        <f>(I739-AF739)/I739</f>
        <v>#DIV/0!</v>
      </c>
      <c r="AT739" s="16" t="e">
        <f>AG739/(AD739-AF739)</f>
        <v>#DIV/0!</v>
      </c>
      <c r="AU739" s="16" t="e">
        <f>(G739-AM739)/G739</f>
        <v>#DIV/0!</v>
      </c>
      <c r="AV739" s="57" t="str">
        <f>IF(AND(ISNUMBER(E739),ISNUMBER(W739)),E739-W739,"")</f>
        <v/>
      </c>
      <c r="AW739" s="57" t="str">
        <f>IF(AND(ISNUMBER(I739),ISNUMBER(AF739)),I739-AF739,"")</f>
        <v/>
      </c>
      <c r="AX739" s="57" t="str">
        <f>IF(AND(ISNUMBER(AM739),ISNUMBER(G739)),G739-AM739,"")</f>
        <v/>
      </c>
      <c r="AY739" s="57" t="str">
        <f>IF(AND(ISNUMBER(AC739),ISNUMBER(AE739)),AC739-AE739,"")</f>
        <v/>
      </c>
      <c r="AZ739" s="57" t="str">
        <f t="shared" si="54"/>
        <v/>
      </c>
      <c r="BF739" s="6" t="str">
        <f>IF(OR(AJ739=0,AP739=0,NOT(ISNUMBER(AD739)),NOT(ISNUMBER(AF739)),NOT(ISNUMBER(AJ739)),NOT(ISNUMBER(AP739))),"",
IFERROR(IF((AD739-AF739)/(AJ739/60)/(AP739/1000)&lt;=0,"",(AD739-AF739)/(AJ739/60)/(AP739/1000)),""))</f>
        <v/>
      </c>
    </row>
    <row r="740" spans="2:58" ht="15.75">
      <c r="B740" s="11">
        <v>46000</v>
      </c>
      <c r="C740" s="1">
        <v>496</v>
      </c>
      <c r="D740" s="3">
        <v>735</v>
      </c>
      <c r="E740" s="205" t="str">
        <f t="shared" si="55"/>
        <v/>
      </c>
      <c r="I740" s="15">
        <f>AD740</f>
        <v>0</v>
      </c>
      <c r="K740" s="10" t="str">
        <f t="shared" si="56"/>
        <v/>
      </c>
      <c r="L740" s="9" t="str">
        <f t="shared" si="57"/>
        <v/>
      </c>
      <c r="M740" s="8" t="str">
        <f t="shared" si="58"/>
        <v/>
      </c>
      <c r="AB740" s="5">
        <v>80</v>
      </c>
      <c r="AG740" s="1">
        <v>0.27</v>
      </c>
      <c r="AH740" s="20">
        <v>0.46250000000000002</v>
      </c>
      <c r="AJ740" s="1">
        <v>133</v>
      </c>
      <c r="AK740" s="3">
        <f>180+60</f>
        <v>240</v>
      </c>
      <c r="AN740" s="3">
        <v>40</v>
      </c>
      <c r="AP740" s="13">
        <f>AVERAGE(AO738:AO744)</f>
        <v>2269.9999999999818</v>
      </c>
      <c r="AR740" s="17"/>
      <c r="AS740" s="16" t="e">
        <f>(I740-AF740)/I740</f>
        <v>#DIV/0!</v>
      </c>
      <c r="AT740" s="16" t="e">
        <f>AG740/(AD740-AF740)</f>
        <v>#DIV/0!</v>
      </c>
      <c r="AU740" s="16" t="e">
        <f>(G740-AM740)/G740</f>
        <v>#DIV/0!</v>
      </c>
      <c r="AV740" s="57" t="str">
        <f>IF(AND(ISNUMBER(E740),ISNUMBER(W740)),E740-W740,"")</f>
        <v/>
      </c>
      <c r="AW740" s="57" t="str">
        <f>IF(AND(ISNUMBER(I740),ISNUMBER(AF740)),I740-AF740,"")</f>
        <v/>
      </c>
      <c r="AX740" s="57" t="str">
        <f>IF(AND(ISNUMBER(AM740),ISNUMBER(G740)),G740-AM740,"")</f>
        <v/>
      </c>
      <c r="AY740" s="57" t="str">
        <f>IF(AND(ISNUMBER(AC740),ISNUMBER(AE740)),AC740-AE740,"")</f>
        <v/>
      </c>
      <c r="AZ740" s="57" t="str">
        <f t="shared" si="54"/>
        <v/>
      </c>
      <c r="BF740" s="6" t="str">
        <f>IF(OR(AJ740=0,AP740=0,NOT(ISNUMBER(AD740)),NOT(ISNUMBER(AF740)),NOT(ISNUMBER(AJ740)),NOT(ISNUMBER(AP740))),"",
IFERROR(IF((AD740-AF740)/(AJ740/60)/(AP740/1000)&lt;=0,"",(AD740-AF740)/(AJ740/60)/(AP740/1000)),""))</f>
        <v/>
      </c>
    </row>
    <row r="741" spans="2:58" ht="15.75">
      <c r="B741" s="11">
        <v>46001</v>
      </c>
      <c r="C741" s="1">
        <v>497</v>
      </c>
      <c r="D741" s="3">
        <v>736</v>
      </c>
      <c r="E741" s="205" t="str">
        <f t="shared" si="55"/>
        <v/>
      </c>
      <c r="I741" s="15">
        <f>AD741</f>
        <v>0</v>
      </c>
      <c r="K741" s="10" t="str">
        <f t="shared" si="56"/>
        <v/>
      </c>
      <c r="L741" s="9" t="str">
        <f t="shared" si="57"/>
        <v/>
      </c>
      <c r="M741" s="8" t="str">
        <f t="shared" si="58"/>
        <v/>
      </c>
      <c r="AB741" s="5">
        <v>80</v>
      </c>
      <c r="AG741" s="1">
        <v>0.23</v>
      </c>
      <c r="AH741" s="20">
        <v>0.46261574074074074</v>
      </c>
      <c r="AJ741" s="1">
        <v>131</v>
      </c>
      <c r="AK741" s="3">
        <f>180+60</f>
        <v>240</v>
      </c>
      <c r="AN741" s="3">
        <v>40</v>
      </c>
      <c r="AP741" s="13">
        <f>AVERAGE(AO739:AO745)</f>
        <v>2269.9999999999818</v>
      </c>
      <c r="AR741" s="17"/>
      <c r="AS741" s="16" t="e">
        <f>(I741-AF741)/I741</f>
        <v>#DIV/0!</v>
      </c>
      <c r="AT741" s="16" t="e">
        <f>AG741/(AD741-AF741)</f>
        <v>#DIV/0!</v>
      </c>
      <c r="AU741" s="16" t="e">
        <f>(G741-AM741)/G741</f>
        <v>#DIV/0!</v>
      </c>
      <c r="AV741" s="57" t="str">
        <f>IF(AND(ISNUMBER(E741),ISNUMBER(W741)),E741-W741,"")</f>
        <v/>
      </c>
      <c r="AW741" s="57" t="str">
        <f>IF(AND(ISNUMBER(I741),ISNUMBER(AF741)),I741-AF741,"")</f>
        <v/>
      </c>
      <c r="AX741" s="57" t="str">
        <f>IF(AND(ISNUMBER(AM741),ISNUMBER(G741)),G741-AM741,"")</f>
        <v/>
      </c>
      <c r="AY741" s="57" t="str">
        <f>IF(AND(ISNUMBER(AC741),ISNUMBER(AE741)),AC741-AE741,"")</f>
        <v/>
      </c>
      <c r="AZ741" s="57" t="str">
        <f t="shared" si="54"/>
        <v/>
      </c>
      <c r="BF741" s="6" t="str">
        <f>IF(OR(AJ741=0,AP741=0,NOT(ISNUMBER(AD741)),NOT(ISNUMBER(AF741)),NOT(ISNUMBER(AJ741)),NOT(ISNUMBER(AP741))),"",
IFERROR(IF((AD741-AF741)/(AJ741/60)/(AP741/1000)&lt;=0,"",(AD741-AF741)/(AJ741/60)/(AP741/1000)),""))</f>
        <v/>
      </c>
    </row>
    <row r="742" spans="2:58" ht="15.75">
      <c r="B742" s="11">
        <v>46002</v>
      </c>
      <c r="C742" s="1">
        <v>498</v>
      </c>
      <c r="D742" s="3">
        <v>737</v>
      </c>
      <c r="E742" s="205" t="str">
        <f t="shared" si="55"/>
        <v/>
      </c>
      <c r="I742" s="15">
        <f>AD742</f>
        <v>0</v>
      </c>
      <c r="K742" s="10" t="str">
        <f t="shared" si="56"/>
        <v/>
      </c>
      <c r="L742" s="9" t="str">
        <f t="shared" si="57"/>
        <v/>
      </c>
      <c r="M742" s="8" t="str">
        <f t="shared" si="58"/>
        <v/>
      </c>
      <c r="AB742" s="5">
        <v>80</v>
      </c>
      <c r="AG742" s="1">
        <v>0.33</v>
      </c>
      <c r="AH742" s="20">
        <v>0.40520833333333334</v>
      </c>
      <c r="AJ742" s="1">
        <v>37</v>
      </c>
      <c r="AK742" s="3">
        <f>180+60</f>
        <v>240</v>
      </c>
      <c r="AN742" s="3">
        <v>40</v>
      </c>
      <c r="AO742" s="2">
        <v>2269.9999999999818</v>
      </c>
      <c r="AP742" s="13">
        <f>AVERAGE(AO740:AO746)</f>
        <v>2269.9999999999818</v>
      </c>
      <c r="AR742" s="17"/>
      <c r="AS742" s="16" t="e">
        <f>(I742-AF742)/I742</f>
        <v>#DIV/0!</v>
      </c>
      <c r="AT742" s="16" t="e">
        <f>AG742/(AD742-AF742)</f>
        <v>#DIV/0!</v>
      </c>
      <c r="AU742" s="16" t="e">
        <f>(G742-AM742)/G742</f>
        <v>#DIV/0!</v>
      </c>
      <c r="AV742" s="57" t="str">
        <f>IF(AND(ISNUMBER(E742),ISNUMBER(W742)),E742-W742,"")</f>
        <v/>
      </c>
      <c r="AW742" s="57" t="str">
        <f>IF(AND(ISNUMBER(I742),ISNUMBER(AF742)),I742-AF742,"")</f>
        <v/>
      </c>
      <c r="AX742" s="57" t="str">
        <f>IF(AND(ISNUMBER(AM742),ISNUMBER(G742)),G742-AM742,"")</f>
        <v/>
      </c>
      <c r="AY742" s="57" t="str">
        <f>IF(AND(ISNUMBER(AC742),ISNUMBER(AE742)),AC742-AE742,"")</f>
        <v/>
      </c>
      <c r="AZ742" s="57" t="str">
        <f t="shared" si="54"/>
        <v/>
      </c>
      <c r="BF742" s="6" t="str">
        <f>IF(OR(AJ742=0,AP742=0,NOT(ISNUMBER(AD742)),NOT(ISNUMBER(AF742)),NOT(ISNUMBER(AJ742)),NOT(ISNUMBER(AP742))),"",
IFERROR(IF((AD742-AF742)/(AJ742/60)/(AP742/1000)&lt;=0,"",(AD742-AF742)/(AJ742/60)/(AP742/1000)),""))</f>
        <v/>
      </c>
    </row>
    <row r="743" spans="2:58" ht="15.75">
      <c r="B743" s="11">
        <v>46003</v>
      </c>
      <c r="C743" s="1">
        <v>499</v>
      </c>
      <c r="D743" s="3">
        <v>738</v>
      </c>
      <c r="E743" s="205" t="str">
        <f t="shared" si="55"/>
        <v/>
      </c>
      <c r="I743" s="15">
        <f>AD743</f>
        <v>0</v>
      </c>
      <c r="K743" s="10" t="str">
        <f t="shared" si="56"/>
        <v/>
      </c>
      <c r="L743" s="9" t="str">
        <f t="shared" si="57"/>
        <v/>
      </c>
      <c r="M743" s="8" t="str">
        <f t="shared" si="58"/>
        <v/>
      </c>
      <c r="AB743" s="5">
        <v>80</v>
      </c>
      <c r="AG743" s="1">
        <v>0.13</v>
      </c>
      <c r="AH743" s="20">
        <v>0.39930555555555558</v>
      </c>
      <c r="AJ743" s="1">
        <v>35</v>
      </c>
      <c r="AK743" s="3">
        <f>180+60</f>
        <v>240</v>
      </c>
      <c r="AN743" s="3">
        <v>40</v>
      </c>
      <c r="AP743" s="13">
        <f>AVERAGE(AO741:AO747)</f>
        <v>2269.9999999999818</v>
      </c>
      <c r="AR743" s="17"/>
      <c r="AS743" s="16" t="e">
        <f>(I743-AF743)/I743</f>
        <v>#DIV/0!</v>
      </c>
      <c r="AT743" s="16" t="e">
        <f>AG743/(AD743-AF743)</f>
        <v>#DIV/0!</v>
      </c>
      <c r="AU743" s="16" t="e">
        <f>(G743-AM743)/G743</f>
        <v>#DIV/0!</v>
      </c>
      <c r="AV743" s="57" t="str">
        <f>IF(AND(ISNUMBER(E743),ISNUMBER(W743)),E743-W743,"")</f>
        <v/>
      </c>
      <c r="AW743" s="57" t="str">
        <f>IF(AND(ISNUMBER(I743),ISNUMBER(AF743)),I743-AF743,"")</f>
        <v/>
      </c>
      <c r="AX743" s="57" t="str">
        <f>IF(AND(ISNUMBER(AM743),ISNUMBER(G743)),G743-AM743,"")</f>
        <v/>
      </c>
      <c r="AY743" s="57" t="str">
        <f>IF(AND(ISNUMBER(AC743),ISNUMBER(AE743)),AC743-AE743,"")</f>
        <v/>
      </c>
      <c r="AZ743" s="57" t="str">
        <f t="shared" ref="AZ743:AZ806" si="59">IF(AND(ISNUMBER(AL743),ISNUMBER(AM743)),AL743-AM743,"")</f>
        <v/>
      </c>
      <c r="BF743" s="6" t="str">
        <f>IF(OR(AJ743=0,AP743=0,NOT(ISNUMBER(AD743)),NOT(ISNUMBER(AF743)),NOT(ISNUMBER(AJ743)),NOT(ISNUMBER(AP743))),"",
IFERROR(IF((AD743-AF743)/(AJ743/60)/(AP743/1000)&lt;=0,"",(AD743-AF743)/(AJ743/60)/(AP743/1000)),""))</f>
        <v/>
      </c>
    </row>
    <row r="744" spans="2:58" ht="15.75">
      <c r="B744" s="11">
        <v>46004</v>
      </c>
      <c r="C744" s="1">
        <v>500</v>
      </c>
      <c r="D744" s="3">
        <v>739</v>
      </c>
      <c r="E744" s="205" t="str">
        <f t="shared" si="55"/>
        <v/>
      </c>
      <c r="I744" s="15">
        <f>AD744</f>
        <v>0</v>
      </c>
      <c r="K744" s="10" t="str">
        <f t="shared" si="56"/>
        <v/>
      </c>
      <c r="L744" s="9" t="str">
        <f t="shared" si="57"/>
        <v/>
      </c>
      <c r="M744" s="8" t="str">
        <f t="shared" si="58"/>
        <v/>
      </c>
      <c r="AB744" s="5">
        <v>80</v>
      </c>
      <c r="AG744" s="1">
        <v>0.24</v>
      </c>
      <c r="AH744" s="20">
        <v>0.40057870370370369</v>
      </c>
      <c r="AJ744" s="1">
        <v>39</v>
      </c>
      <c r="AK744" s="3">
        <f>180+60</f>
        <v>240</v>
      </c>
      <c r="AN744" s="3">
        <v>40</v>
      </c>
      <c r="AP744" s="13">
        <f>AVERAGE(AO742:AO748)</f>
        <v>2269.9999999999818</v>
      </c>
      <c r="AR744" s="17"/>
      <c r="AS744" s="16" t="e">
        <f>(I744-AF744)/I744</f>
        <v>#DIV/0!</v>
      </c>
      <c r="AT744" s="16" t="e">
        <f>AG744/(AD744-AF744)</f>
        <v>#DIV/0!</v>
      </c>
      <c r="AU744" s="16" t="e">
        <f>(G744-AM744)/G744</f>
        <v>#DIV/0!</v>
      </c>
      <c r="AV744" s="57" t="str">
        <f>IF(AND(ISNUMBER(E744),ISNUMBER(W744)),E744-W744,"")</f>
        <v/>
      </c>
      <c r="AW744" s="57" t="str">
        <f>IF(AND(ISNUMBER(I744),ISNUMBER(AF744)),I744-AF744,"")</f>
        <v/>
      </c>
      <c r="AX744" s="57" t="str">
        <f>IF(AND(ISNUMBER(AM744),ISNUMBER(G744)),G744-AM744,"")</f>
        <v/>
      </c>
      <c r="AY744" s="57" t="str">
        <f>IF(AND(ISNUMBER(AC744),ISNUMBER(AE744)),AC744-AE744,"")</f>
        <v/>
      </c>
      <c r="AZ744" s="57" t="str">
        <f t="shared" si="59"/>
        <v/>
      </c>
      <c r="BF744" s="6" t="str">
        <f>IF(OR(AJ744=0,AP744=0,NOT(ISNUMBER(AD744)),NOT(ISNUMBER(AF744)),NOT(ISNUMBER(AJ744)),NOT(ISNUMBER(AP744))),"",
IFERROR(IF((AD744-AF744)/(AJ744/60)/(AP744/1000)&lt;=0,"",(AD744-AF744)/(AJ744/60)/(AP744/1000)),""))</f>
        <v/>
      </c>
    </row>
    <row r="745" spans="2:58" ht="15.75">
      <c r="B745" s="11">
        <v>46005</v>
      </c>
      <c r="C745" s="1">
        <v>501</v>
      </c>
      <c r="D745" s="3">
        <v>740</v>
      </c>
      <c r="E745" s="205" t="str">
        <f t="shared" si="55"/>
        <v/>
      </c>
      <c r="I745" s="15">
        <f>AD745</f>
        <v>0</v>
      </c>
      <c r="K745" s="10" t="str">
        <f t="shared" si="56"/>
        <v/>
      </c>
      <c r="L745" s="9" t="str">
        <f t="shared" si="57"/>
        <v/>
      </c>
      <c r="M745" s="8" t="str">
        <f t="shared" si="58"/>
        <v/>
      </c>
      <c r="AB745" s="5">
        <v>80</v>
      </c>
      <c r="AG745" s="1">
        <v>0.15</v>
      </c>
      <c r="AH745" s="20">
        <v>0.39930555555555558</v>
      </c>
      <c r="AJ745" s="1">
        <v>39</v>
      </c>
      <c r="AK745" s="3">
        <f>180+60</f>
        <v>240</v>
      </c>
      <c r="AN745" s="3">
        <v>40</v>
      </c>
      <c r="AP745" s="13">
        <f>AVERAGE(AO743:AO749)</f>
        <v>2919.9999999999818</v>
      </c>
      <c r="AR745" s="17"/>
      <c r="AS745" s="16" t="e">
        <f>(I745-AF745)/I745</f>
        <v>#DIV/0!</v>
      </c>
      <c r="AT745" s="16" t="e">
        <f>AG745/(AD745-AF745)</f>
        <v>#DIV/0!</v>
      </c>
      <c r="AU745" s="16" t="e">
        <f>(G745-AM745)/G745</f>
        <v>#DIV/0!</v>
      </c>
      <c r="AV745" s="57" t="str">
        <f>IF(AND(ISNUMBER(E745),ISNUMBER(W745)),E745-W745,"")</f>
        <v/>
      </c>
      <c r="AW745" s="57" t="str">
        <f>IF(AND(ISNUMBER(I745),ISNUMBER(AF745)),I745-AF745,"")</f>
        <v/>
      </c>
      <c r="AX745" s="57" t="str">
        <f>IF(AND(ISNUMBER(AM745),ISNUMBER(G745)),G745-AM745,"")</f>
        <v/>
      </c>
      <c r="AY745" s="57" t="str">
        <f>IF(AND(ISNUMBER(AC745),ISNUMBER(AE745)),AC745-AE745,"")</f>
        <v/>
      </c>
      <c r="AZ745" s="57" t="str">
        <f t="shared" si="59"/>
        <v/>
      </c>
      <c r="BF745" s="6" t="str">
        <f>IF(OR(AJ745=0,AP745=0,NOT(ISNUMBER(AD745)),NOT(ISNUMBER(AF745)),NOT(ISNUMBER(AJ745)),NOT(ISNUMBER(AP745))),"",
IFERROR(IF((AD745-AF745)/(AJ745/60)/(AP745/1000)&lt;=0,"",(AD745-AF745)/(AJ745/60)/(AP745/1000)),""))</f>
        <v/>
      </c>
    </row>
    <row r="746" spans="2:58" ht="15.75">
      <c r="B746" s="11">
        <v>46006</v>
      </c>
      <c r="C746" s="1">
        <v>502</v>
      </c>
      <c r="D746" s="3">
        <v>741</v>
      </c>
      <c r="E746" s="205" t="str">
        <f t="shared" si="55"/>
        <v/>
      </c>
      <c r="I746" s="15">
        <f>AD746</f>
        <v>0</v>
      </c>
      <c r="K746" s="10" t="str">
        <f t="shared" si="56"/>
        <v/>
      </c>
      <c r="L746" s="9" t="str">
        <f t="shared" si="57"/>
        <v/>
      </c>
      <c r="M746" s="8" t="str">
        <f t="shared" si="58"/>
        <v/>
      </c>
      <c r="U746" s="6">
        <v>1.9159999999999999</v>
      </c>
      <c r="AB746" s="5">
        <v>80</v>
      </c>
      <c r="AG746" s="1">
        <v>0.23</v>
      </c>
      <c r="AH746" s="20">
        <v>0.40231481481481479</v>
      </c>
      <c r="AJ746" s="1">
        <v>39</v>
      </c>
      <c r="AK746" s="3">
        <f>180+60</f>
        <v>240</v>
      </c>
      <c r="AN746" s="3">
        <v>40</v>
      </c>
      <c r="AP746" s="13">
        <f>AVERAGE(AO744:AO750)</f>
        <v>2919.9999999999818</v>
      </c>
      <c r="AR746" s="17"/>
      <c r="AS746" s="16" t="e">
        <f>(I746-AF746)/I746</f>
        <v>#DIV/0!</v>
      </c>
      <c r="AT746" s="16" t="e">
        <f>AG746/(AD746-AF746)</f>
        <v>#DIV/0!</v>
      </c>
      <c r="AU746" s="16" t="e">
        <f>(G746-AM746)/G746</f>
        <v>#DIV/0!</v>
      </c>
      <c r="AV746" s="57" t="str">
        <f>IF(AND(ISNUMBER(E746),ISNUMBER(W746)),E746-W746,"")</f>
        <v/>
      </c>
      <c r="AW746" s="57" t="str">
        <f>IF(AND(ISNUMBER(I746),ISNUMBER(AF746)),I746-AF746,"")</f>
        <v/>
      </c>
      <c r="AX746" s="57" t="str">
        <f>IF(AND(ISNUMBER(AM746),ISNUMBER(G746)),G746-AM746,"")</f>
        <v/>
      </c>
      <c r="AY746" s="57" t="str">
        <f>IF(AND(ISNUMBER(AC746),ISNUMBER(AE746)),AC746-AE746,"")</f>
        <v/>
      </c>
      <c r="AZ746" s="57" t="str">
        <f t="shared" si="59"/>
        <v/>
      </c>
      <c r="BF746" s="6" t="str">
        <f>IF(OR(AJ746=0,AP746=0,NOT(ISNUMBER(AD746)),NOT(ISNUMBER(AF746)),NOT(ISNUMBER(AJ746)),NOT(ISNUMBER(AP746))),"",
IFERROR(IF((AD746-AF746)/(AJ746/60)/(AP746/1000)&lt;=0,"",(AD746-AF746)/(AJ746/60)/(AP746/1000)),""))</f>
        <v/>
      </c>
    </row>
    <row r="747" spans="2:58" ht="15.75">
      <c r="B747" s="11">
        <v>46007</v>
      </c>
      <c r="C747" s="1">
        <v>503</v>
      </c>
      <c r="D747" s="3">
        <v>742</v>
      </c>
      <c r="E747" s="205" t="str">
        <f t="shared" si="55"/>
        <v/>
      </c>
      <c r="I747" s="15">
        <f>AD747</f>
        <v>0</v>
      </c>
      <c r="K747" s="10" t="str">
        <f t="shared" si="56"/>
        <v/>
      </c>
      <c r="L747" s="9" t="str">
        <f t="shared" si="57"/>
        <v/>
      </c>
      <c r="M747" s="8" t="str">
        <f t="shared" si="58"/>
        <v/>
      </c>
      <c r="AB747" s="5">
        <v>80</v>
      </c>
      <c r="AG747" s="1">
        <v>0.14000000000000001</v>
      </c>
      <c r="AH747" s="20">
        <v>0.39930555555555558</v>
      </c>
      <c r="AJ747" s="1">
        <v>39</v>
      </c>
      <c r="AK747" s="3">
        <f>180+60</f>
        <v>240</v>
      </c>
      <c r="AN747" s="3">
        <v>40</v>
      </c>
      <c r="AP747" s="13">
        <f>AVERAGE(AO745:AO751)</f>
        <v>2919.9999999999818</v>
      </c>
      <c r="AR747" s="17"/>
      <c r="AS747" s="16" t="e">
        <f>(I747-AF747)/I747</f>
        <v>#DIV/0!</v>
      </c>
      <c r="AT747" s="16" t="e">
        <f>AG747/(AD747-AF747)</f>
        <v>#DIV/0!</v>
      </c>
      <c r="AU747" s="16" t="e">
        <f>(G747-AM747)/G747</f>
        <v>#DIV/0!</v>
      </c>
      <c r="AV747" s="57" t="str">
        <f>IF(AND(ISNUMBER(E747),ISNUMBER(W747)),E747-W747,"")</f>
        <v/>
      </c>
      <c r="AW747" s="57" t="str">
        <f>IF(AND(ISNUMBER(I747),ISNUMBER(AF747)),I747-AF747,"")</f>
        <v/>
      </c>
      <c r="AX747" s="57" t="str">
        <f>IF(AND(ISNUMBER(AM747),ISNUMBER(G747)),G747-AM747,"")</f>
        <v/>
      </c>
      <c r="AY747" s="57" t="str">
        <f>IF(AND(ISNUMBER(AC747),ISNUMBER(AE747)),AC747-AE747,"")</f>
        <v/>
      </c>
      <c r="AZ747" s="57" t="str">
        <f t="shared" si="59"/>
        <v/>
      </c>
      <c r="BF747" s="6" t="str">
        <f>IF(OR(AJ747=0,AP747=0,NOT(ISNUMBER(AD747)),NOT(ISNUMBER(AF747)),NOT(ISNUMBER(AJ747)),NOT(ISNUMBER(AP747))),"",
IFERROR(IF((AD747-AF747)/(AJ747/60)/(AP747/1000)&lt;=0,"",(AD747-AF747)/(AJ747/60)/(AP747/1000)),""))</f>
        <v/>
      </c>
    </row>
    <row r="748" spans="2:58" ht="15.75">
      <c r="B748" s="11">
        <v>46008</v>
      </c>
      <c r="C748" s="1">
        <v>504</v>
      </c>
      <c r="D748" s="3">
        <v>743</v>
      </c>
      <c r="E748" s="205" t="str">
        <f t="shared" si="55"/>
        <v/>
      </c>
      <c r="I748" s="15">
        <f>AD748</f>
        <v>0</v>
      </c>
      <c r="K748" s="10" t="str">
        <f t="shared" si="56"/>
        <v/>
      </c>
      <c r="L748" s="9" t="str">
        <f t="shared" si="57"/>
        <v/>
      </c>
      <c r="M748" s="8" t="str">
        <f t="shared" si="58"/>
        <v/>
      </c>
      <c r="AB748" s="5">
        <v>80</v>
      </c>
      <c r="AG748" s="1">
        <v>0.16</v>
      </c>
      <c r="AH748" s="20">
        <v>0.39930555555555558</v>
      </c>
      <c r="AJ748" s="1">
        <v>41</v>
      </c>
      <c r="AK748" s="3">
        <f>180+60</f>
        <v>240</v>
      </c>
      <c r="AN748" s="3">
        <v>40</v>
      </c>
      <c r="AP748" s="13">
        <f>AVERAGE(AO746:AO752)</f>
        <v>2919.9999999999818</v>
      </c>
      <c r="AR748" s="17"/>
      <c r="AS748" s="16" t="e">
        <f>(I748-AF748)/I748</f>
        <v>#DIV/0!</v>
      </c>
      <c r="AT748" s="16" t="e">
        <f>AG748/(AD748-AF748)</f>
        <v>#DIV/0!</v>
      </c>
      <c r="AU748" s="16" t="e">
        <f>(G748-AM748)/G748</f>
        <v>#DIV/0!</v>
      </c>
      <c r="AV748" s="57" t="str">
        <f>IF(AND(ISNUMBER(E748),ISNUMBER(W748)),E748-W748,"")</f>
        <v/>
      </c>
      <c r="AW748" s="57" t="str">
        <f>IF(AND(ISNUMBER(I748),ISNUMBER(AF748)),I748-AF748,"")</f>
        <v/>
      </c>
      <c r="AX748" s="57" t="str">
        <f>IF(AND(ISNUMBER(AM748),ISNUMBER(G748)),G748-AM748,"")</f>
        <v/>
      </c>
      <c r="AY748" s="57" t="str">
        <f>IF(AND(ISNUMBER(AC748),ISNUMBER(AE748)),AC748-AE748,"")</f>
        <v/>
      </c>
      <c r="AZ748" s="57" t="str">
        <f t="shared" si="59"/>
        <v/>
      </c>
      <c r="BF748" s="6" t="str">
        <f>IF(OR(AJ748=0,AP748=0,NOT(ISNUMBER(AD748)),NOT(ISNUMBER(AF748)),NOT(ISNUMBER(AJ748)),NOT(ISNUMBER(AP748))),"",
IFERROR(IF((AD748-AF748)/(AJ748/60)/(AP748/1000)&lt;=0,"",(AD748-AF748)/(AJ748/60)/(AP748/1000)),""))</f>
        <v/>
      </c>
    </row>
    <row r="749" spans="2:58" ht="15.75">
      <c r="B749" s="11">
        <v>46009</v>
      </c>
      <c r="C749" s="1">
        <v>505</v>
      </c>
      <c r="D749" s="3">
        <v>744</v>
      </c>
      <c r="E749" s="205">
        <f t="shared" si="55"/>
        <v>313.14829400000002</v>
      </c>
      <c r="G749" s="15">
        <f>(N749*18-H749*18)/9</f>
        <v>16.599999999999998</v>
      </c>
      <c r="H749" s="15">
        <f>5*2.35</f>
        <v>11.75</v>
      </c>
      <c r="I749" s="15">
        <f>AD749</f>
        <v>19.350000000000001</v>
      </c>
      <c r="K749" s="10">
        <f t="shared" si="56"/>
        <v>18.864355060240968</v>
      </c>
      <c r="L749" s="9">
        <f t="shared" si="57"/>
        <v>8.0916871834625326</v>
      </c>
      <c r="M749" s="8">
        <f t="shared" si="58"/>
        <v>2.3313253012048198</v>
      </c>
      <c r="N749" s="7">
        <f>5*4.01</f>
        <v>20.049999999999997</v>
      </c>
      <c r="O749" s="6">
        <v>27.091000000000001</v>
      </c>
      <c r="P749" s="6">
        <v>84.325000000000003</v>
      </c>
      <c r="Q749" s="6">
        <f>O749*1.067</f>
        <v>28.906096999999999</v>
      </c>
      <c r="R749" s="6">
        <f>P749*1.514</f>
        <v>127.66805000000001</v>
      </c>
      <c r="S749" s="6">
        <f>Q749+R749</f>
        <v>156.57414700000001</v>
      </c>
      <c r="T749" s="6">
        <v>31.1</v>
      </c>
      <c r="U749" s="6">
        <v>15.97</v>
      </c>
      <c r="V749" s="6">
        <v>21.332999999999998</v>
      </c>
      <c r="W749" s="23">
        <f>U749*1.067+V749*1.514</f>
        <v>49.338151999999994</v>
      </c>
      <c r="AB749" s="5">
        <v>80</v>
      </c>
      <c r="AC749" s="7">
        <f>T749</f>
        <v>31.1</v>
      </c>
      <c r="AD749" s="1">
        <f>5*3.87</f>
        <v>19.350000000000001</v>
      </c>
      <c r="AE749" s="1">
        <f>5*6.24</f>
        <v>31.200000000000003</v>
      </c>
      <c r="AF749" s="1">
        <v>0</v>
      </c>
      <c r="AG749" s="1">
        <v>0.87</v>
      </c>
      <c r="AH749" s="20">
        <v>0.40150462962962963</v>
      </c>
      <c r="AJ749" s="1">
        <v>31</v>
      </c>
      <c r="AK749" s="3">
        <f>180+60</f>
        <v>240</v>
      </c>
      <c r="AL749" s="4">
        <f>AE749</f>
        <v>31.200000000000003</v>
      </c>
      <c r="AM749" s="1">
        <f>5*4.29</f>
        <v>21.45</v>
      </c>
      <c r="AN749" s="3">
        <v>40</v>
      </c>
      <c r="AO749" s="2">
        <v>2919.9999999999818</v>
      </c>
      <c r="AP749" s="13">
        <f>AVERAGE(AO747:AO753)</f>
        <v>3020.0000000000045</v>
      </c>
      <c r="AR749" s="17">
        <f>(E749-W749)/E749</f>
        <v>0.84244476835629833</v>
      </c>
      <c r="AS749" s="16">
        <f>(I749-AF749)/I749</f>
        <v>1</v>
      </c>
      <c r="AT749" s="16">
        <f>AG749/(AD749-AF749)</f>
        <v>4.4961240310077519E-2</v>
      </c>
      <c r="AU749" s="16">
        <f>(G749-AM749)/G749</f>
        <v>-0.29216867469879532</v>
      </c>
      <c r="AV749" s="57">
        <f>IF(AND(ISNUMBER(E749),ISNUMBER(W749)),E749-W749,"")</f>
        <v>263.81014200000004</v>
      </c>
      <c r="AW749" s="57">
        <f>IF(AND(ISNUMBER(I749),ISNUMBER(AF749)),I749-AF749,"")</f>
        <v>19.350000000000001</v>
      </c>
      <c r="AX749" s="57">
        <f>IF(AND(ISNUMBER(AM749),ISNUMBER(G749)),G749-AM749,"")</f>
        <v>-4.8500000000000014</v>
      </c>
      <c r="AY749" s="57">
        <f>IF(AND(ISNUMBER(AC749),ISNUMBER(AE749)),AC749-AE749,"")</f>
        <v>-0.10000000000000142</v>
      </c>
      <c r="AZ749" s="57">
        <f t="shared" si="59"/>
        <v>9.7500000000000036</v>
      </c>
      <c r="BF749" s="6">
        <f>IF(OR(AJ749=0,AP749=0,NOT(ISNUMBER(AD749)),NOT(ISNUMBER(AF749)),NOT(ISNUMBER(AJ749)),NOT(ISNUMBER(AP749))),"",
IFERROR(IF((AD749-AF749)/(AJ749/60)/(AP749/1000)&lt;=0,"",(AD749-AF749)/(AJ749/60)/(AP749/1000)),""))</f>
        <v>12.401196325571441</v>
      </c>
    </row>
    <row r="750" spans="2:58" ht="15.75">
      <c r="B750" s="11">
        <v>46010</v>
      </c>
      <c r="C750" s="1">
        <v>506</v>
      </c>
      <c r="D750" s="3">
        <v>745</v>
      </c>
      <c r="E750" s="205" t="str">
        <f t="shared" si="55"/>
        <v/>
      </c>
      <c r="I750" s="15">
        <f>AD750</f>
        <v>0</v>
      </c>
      <c r="K750" s="10" t="str">
        <f t="shared" si="56"/>
        <v/>
      </c>
      <c r="L750" s="9" t="str">
        <f t="shared" si="57"/>
        <v/>
      </c>
      <c r="M750" s="8" t="str">
        <f t="shared" si="58"/>
        <v/>
      </c>
      <c r="AB750" s="5">
        <v>80</v>
      </c>
      <c r="AG750" s="1">
        <v>3.8</v>
      </c>
      <c r="AH750" s="20">
        <v>0.46643518518518517</v>
      </c>
      <c r="AJ750" s="1">
        <v>29</v>
      </c>
      <c r="AK750" s="3">
        <f>180+60</f>
        <v>240</v>
      </c>
      <c r="AN750" s="3">
        <v>40</v>
      </c>
      <c r="AP750" s="13">
        <f>AVERAGE(AO748:AO754)</f>
        <v>3020.0000000000045</v>
      </c>
      <c r="AR750" s="17"/>
      <c r="AS750" s="16" t="e">
        <f>(I750-AF750)/I750</f>
        <v>#DIV/0!</v>
      </c>
      <c r="AT750" s="16" t="e">
        <f>AG750/(AD750-AF750)</f>
        <v>#DIV/0!</v>
      </c>
      <c r="AU750" s="16" t="e">
        <f>(G750-AM750)/G750</f>
        <v>#DIV/0!</v>
      </c>
      <c r="AV750" s="57" t="str">
        <f>IF(AND(ISNUMBER(E750),ISNUMBER(W750)),E750-W750,"")</f>
        <v/>
      </c>
      <c r="AW750" s="57" t="str">
        <f>IF(AND(ISNUMBER(I750),ISNUMBER(AF750)),I750-AF750,"")</f>
        <v/>
      </c>
      <c r="AX750" s="57" t="str">
        <f>IF(AND(ISNUMBER(AM750),ISNUMBER(G750)),G750-AM750,"")</f>
        <v/>
      </c>
      <c r="AY750" s="57" t="str">
        <f>IF(AND(ISNUMBER(AC750),ISNUMBER(AE750)),AC750-AE750,"")</f>
        <v/>
      </c>
      <c r="AZ750" s="57" t="str">
        <f t="shared" si="59"/>
        <v/>
      </c>
      <c r="BF750" s="6" t="str">
        <f>IF(OR(AJ750=0,AP750=0,NOT(ISNUMBER(AD750)),NOT(ISNUMBER(AF750)),NOT(ISNUMBER(AJ750)),NOT(ISNUMBER(AP750))),"",
IFERROR(IF((AD750-AF750)/(AJ750/60)/(AP750/1000)&lt;=0,"",(AD750-AF750)/(AJ750/60)/(AP750/1000)),""))</f>
        <v/>
      </c>
    </row>
    <row r="751" spans="2:58" ht="15.75">
      <c r="B751" s="11">
        <v>46011</v>
      </c>
      <c r="C751" s="1">
        <v>507</v>
      </c>
      <c r="D751" s="3">
        <v>746</v>
      </c>
      <c r="E751" s="205" t="str">
        <f t="shared" si="55"/>
        <v/>
      </c>
      <c r="I751" s="15">
        <f>AD751</f>
        <v>0</v>
      </c>
      <c r="K751" s="10" t="str">
        <f t="shared" si="56"/>
        <v/>
      </c>
      <c r="L751" s="9" t="str">
        <f t="shared" si="57"/>
        <v/>
      </c>
      <c r="M751" s="8" t="str">
        <f t="shared" si="58"/>
        <v/>
      </c>
      <c r="AB751" s="5">
        <v>80</v>
      </c>
      <c r="AG751" s="1">
        <v>4.42</v>
      </c>
      <c r="AH751" s="20">
        <v>0.44560185185185186</v>
      </c>
      <c r="AJ751" s="1">
        <v>91</v>
      </c>
      <c r="AK751" s="3">
        <f>180+60</f>
        <v>240</v>
      </c>
      <c r="AN751" s="3">
        <v>40</v>
      </c>
      <c r="AP751" s="13">
        <f>AVERAGE(AO749:AO755)</f>
        <v>3020.0000000000045</v>
      </c>
      <c r="AR751" s="17"/>
      <c r="AS751" s="16" t="e">
        <f>(I751-AF751)/I751</f>
        <v>#DIV/0!</v>
      </c>
      <c r="AT751" s="16" t="e">
        <f>AG751/(AD751-AF751)</f>
        <v>#DIV/0!</v>
      </c>
      <c r="AU751" s="16" t="e">
        <f>(G751-AM751)/G751</f>
        <v>#DIV/0!</v>
      </c>
      <c r="AV751" s="57" t="str">
        <f>IF(AND(ISNUMBER(E751),ISNUMBER(W751)),E751-W751,"")</f>
        <v/>
      </c>
      <c r="AW751" s="57" t="str">
        <f>IF(AND(ISNUMBER(I751),ISNUMBER(AF751)),I751-AF751,"")</f>
        <v/>
      </c>
      <c r="AX751" s="57" t="str">
        <f>IF(AND(ISNUMBER(AM751),ISNUMBER(G751)),G751-AM751,"")</f>
        <v/>
      </c>
      <c r="AY751" s="57" t="str">
        <f>IF(AND(ISNUMBER(AC751),ISNUMBER(AE751)),AC751-AE751,"")</f>
        <v/>
      </c>
      <c r="AZ751" s="57" t="str">
        <f t="shared" si="59"/>
        <v/>
      </c>
      <c r="BF751" s="6" t="str">
        <f>IF(OR(AJ751=0,AP751=0,NOT(ISNUMBER(AD751)),NOT(ISNUMBER(AF751)),NOT(ISNUMBER(AJ751)),NOT(ISNUMBER(AP751))),"",
IFERROR(IF((AD751-AF751)/(AJ751/60)/(AP751/1000)&lt;=0,"",(AD751-AF751)/(AJ751/60)/(AP751/1000)),""))</f>
        <v/>
      </c>
    </row>
    <row r="752" spans="2:58" ht="15.75">
      <c r="B752" s="11">
        <v>46012</v>
      </c>
      <c r="C752" s="1">
        <v>508</v>
      </c>
      <c r="D752" s="3">
        <v>747</v>
      </c>
      <c r="E752" s="205" t="str">
        <f t="shared" si="55"/>
        <v/>
      </c>
      <c r="I752" s="15">
        <f>AD752</f>
        <v>0</v>
      </c>
      <c r="K752" s="10" t="str">
        <f t="shared" si="56"/>
        <v/>
      </c>
      <c r="L752" s="9" t="str">
        <f t="shared" si="57"/>
        <v/>
      </c>
      <c r="M752" s="8" t="str">
        <f t="shared" si="58"/>
        <v/>
      </c>
      <c r="AB752" s="5">
        <v>80</v>
      </c>
      <c r="AG752" s="1">
        <v>7.63</v>
      </c>
      <c r="AH752" s="20">
        <v>0.45057870370370373</v>
      </c>
      <c r="AJ752" s="1">
        <v>95</v>
      </c>
      <c r="AK752" s="3">
        <f>180+60</f>
        <v>240</v>
      </c>
      <c r="AN752" s="3">
        <v>40</v>
      </c>
      <c r="AP752" s="13">
        <f>AVERAGE(AO750:AO756)</f>
        <v>3120.0000000000273</v>
      </c>
      <c r="AR752" s="17"/>
      <c r="AS752" s="16" t="e">
        <f>(I752-AF752)/I752</f>
        <v>#DIV/0!</v>
      </c>
      <c r="AT752" s="16" t="e">
        <f>AG752/(AD752-AF752)</f>
        <v>#DIV/0!</v>
      </c>
      <c r="AU752" s="16" t="e">
        <f>(G752-AM752)/G752</f>
        <v>#DIV/0!</v>
      </c>
      <c r="AV752" s="57" t="str">
        <f>IF(AND(ISNUMBER(E752),ISNUMBER(W752)),E752-W752,"")</f>
        <v/>
      </c>
      <c r="AW752" s="57" t="str">
        <f>IF(AND(ISNUMBER(I752),ISNUMBER(AF752)),I752-AF752,"")</f>
        <v/>
      </c>
      <c r="AX752" s="57" t="str">
        <f>IF(AND(ISNUMBER(AM752),ISNUMBER(G752)),G752-AM752,"")</f>
        <v/>
      </c>
      <c r="AY752" s="57" t="str">
        <f>IF(AND(ISNUMBER(AC752),ISNUMBER(AE752)),AC752-AE752,"")</f>
        <v/>
      </c>
      <c r="AZ752" s="57" t="str">
        <f t="shared" si="59"/>
        <v/>
      </c>
      <c r="BF752" s="6" t="str">
        <f>IF(OR(AJ752=0,AP752=0,NOT(ISNUMBER(AD752)),NOT(ISNUMBER(AF752)),NOT(ISNUMBER(AJ752)),NOT(ISNUMBER(AP752))),"",
IFERROR(IF((AD752-AF752)/(AJ752/60)/(AP752/1000)&lt;=0,"",(AD752-AF752)/(AJ752/60)/(AP752/1000)),""))</f>
        <v/>
      </c>
    </row>
    <row r="753" spans="1:58" ht="15.75">
      <c r="B753" s="11">
        <v>46013</v>
      </c>
      <c r="C753" s="1">
        <v>509</v>
      </c>
      <c r="D753" s="3">
        <v>748</v>
      </c>
      <c r="E753" s="205">
        <f t="shared" si="55"/>
        <v>329.920706</v>
      </c>
      <c r="I753" s="15">
        <f>AD753</f>
        <v>0</v>
      </c>
      <c r="K753" s="10" t="str">
        <f t="shared" si="56"/>
        <v/>
      </c>
      <c r="L753" s="9" t="str">
        <f t="shared" si="57"/>
        <v/>
      </c>
      <c r="M753" s="8" t="str">
        <f t="shared" si="58"/>
        <v/>
      </c>
      <c r="O753" s="6">
        <v>25.431000000000001</v>
      </c>
      <c r="P753" s="6">
        <v>91.034000000000006</v>
      </c>
      <c r="Q753" s="6">
        <f>O753*1.067</f>
        <v>27.134876999999999</v>
      </c>
      <c r="R753" s="6">
        <f>P753*1.514</f>
        <v>137.82547600000001</v>
      </c>
      <c r="S753" s="6">
        <f>Q753+R753</f>
        <v>164.960353</v>
      </c>
      <c r="U753" s="6">
        <v>10.579000000000001</v>
      </c>
      <c r="V753" s="6">
        <v>21.332999999999998</v>
      </c>
      <c r="W753" s="23">
        <f>U753*1.067+V753*1.514</f>
        <v>43.585954999999998</v>
      </c>
      <c r="AB753" s="5">
        <v>80</v>
      </c>
      <c r="AG753" s="1">
        <v>4.6399999999999997</v>
      </c>
      <c r="AH753" s="20">
        <v>0.47268518518518521</v>
      </c>
      <c r="AJ753" s="1">
        <v>101</v>
      </c>
      <c r="AK753" s="3">
        <f>180+60</f>
        <v>240</v>
      </c>
      <c r="AN753" s="3">
        <v>40</v>
      </c>
      <c r="AO753" s="2">
        <v>3120.0000000000273</v>
      </c>
      <c r="AP753" s="13">
        <f>AVERAGE(AO751:AO757)</f>
        <v>3120.0000000000273</v>
      </c>
      <c r="AR753" s="17">
        <f>(E753-W753)/E753</f>
        <v>0.86788960435844842</v>
      </c>
      <c r="AS753" s="16" t="e">
        <f>(I753-AF753)/I753</f>
        <v>#DIV/0!</v>
      </c>
      <c r="AT753" s="16" t="e">
        <f>AG753/(AD753-AF753)</f>
        <v>#DIV/0!</v>
      </c>
      <c r="AU753" s="16" t="e">
        <f>(G753-AM753)/G753</f>
        <v>#DIV/0!</v>
      </c>
      <c r="AV753" s="57">
        <f>IF(AND(ISNUMBER(E753),ISNUMBER(W753)),E753-W753,"")</f>
        <v>286.33475099999998</v>
      </c>
      <c r="AW753" s="57" t="str">
        <f>IF(AND(ISNUMBER(I753),ISNUMBER(AF753)),I753-AF753,"")</f>
        <v/>
      </c>
      <c r="AX753" s="57" t="str">
        <f>IF(AND(ISNUMBER(AM753),ISNUMBER(G753)),G753-AM753,"")</f>
        <v/>
      </c>
      <c r="AY753" s="57" t="str">
        <f>IF(AND(ISNUMBER(AC753),ISNUMBER(AE753)),AC753-AE753,"")</f>
        <v/>
      </c>
      <c r="AZ753" s="57" t="str">
        <f t="shared" si="59"/>
        <v/>
      </c>
      <c r="BF753" s="6" t="str">
        <f>IF(OR(AJ753=0,AP753=0,NOT(ISNUMBER(AD753)),NOT(ISNUMBER(AF753)),NOT(ISNUMBER(AJ753)),NOT(ISNUMBER(AP753))),"",
IFERROR(IF((AD753-AF753)/(AJ753/60)/(AP753/1000)&lt;=0,"",(AD753-AF753)/(AJ753/60)/(AP753/1000)),""))</f>
        <v/>
      </c>
    </row>
    <row r="754" spans="1:58" ht="15.75">
      <c r="B754" s="11">
        <v>46014</v>
      </c>
      <c r="C754" s="1">
        <v>510</v>
      </c>
      <c r="D754" s="3">
        <v>749</v>
      </c>
      <c r="E754" s="205" t="str">
        <f t="shared" si="55"/>
        <v/>
      </c>
      <c r="I754" s="15">
        <f>AD754</f>
        <v>0</v>
      </c>
      <c r="K754" s="10" t="str">
        <f t="shared" si="56"/>
        <v/>
      </c>
      <c r="L754" s="9" t="str">
        <f t="shared" si="57"/>
        <v/>
      </c>
      <c r="M754" s="8" t="str">
        <f t="shared" si="58"/>
        <v/>
      </c>
      <c r="AB754" s="5">
        <v>80</v>
      </c>
      <c r="AG754" s="1">
        <v>1.97</v>
      </c>
      <c r="AH754" s="20">
        <v>0.44143518518518521</v>
      </c>
      <c r="AJ754" s="1">
        <v>95</v>
      </c>
      <c r="AK754" s="3">
        <f>180+60</f>
        <v>240</v>
      </c>
      <c r="AN754" s="3">
        <v>40</v>
      </c>
      <c r="AP754" s="13">
        <f>AVERAGE(AO752:AO758)</f>
        <v>3120.0000000000273</v>
      </c>
      <c r="AR754" s="17"/>
      <c r="AS754" s="16" t="e">
        <f>(I754-AF754)/I754</f>
        <v>#DIV/0!</v>
      </c>
      <c r="AT754" s="16" t="e">
        <f>AG754/(AD754-AF754)</f>
        <v>#DIV/0!</v>
      </c>
      <c r="AU754" s="16" t="e">
        <f>(G754-AM754)/G754</f>
        <v>#DIV/0!</v>
      </c>
      <c r="AV754" s="57" t="str">
        <f>IF(AND(ISNUMBER(E754),ISNUMBER(W754)),E754-W754,"")</f>
        <v/>
      </c>
      <c r="AW754" s="57" t="str">
        <f>IF(AND(ISNUMBER(I754),ISNUMBER(AF754)),I754-AF754,"")</f>
        <v/>
      </c>
      <c r="AX754" s="57" t="str">
        <f>IF(AND(ISNUMBER(AM754),ISNUMBER(G754)),G754-AM754,"")</f>
        <v/>
      </c>
      <c r="AY754" s="57" t="str">
        <f>IF(AND(ISNUMBER(AC754),ISNUMBER(AE754)),AC754-AE754,"")</f>
        <v/>
      </c>
      <c r="AZ754" s="57" t="str">
        <f t="shared" si="59"/>
        <v/>
      </c>
      <c r="BF754" s="6" t="str">
        <f>IF(OR(AJ754=0,AP754=0,NOT(ISNUMBER(AD754)),NOT(ISNUMBER(AF754)),NOT(ISNUMBER(AJ754)),NOT(ISNUMBER(AP754))),"",
IFERROR(IF((AD754-AF754)/(AJ754/60)/(AP754/1000)&lt;=0,"",(AD754-AF754)/(AJ754/60)/(AP754/1000)),""))</f>
        <v/>
      </c>
    </row>
    <row r="755" spans="1:58" ht="15.75">
      <c r="B755" s="11">
        <v>46015</v>
      </c>
      <c r="C755" s="1">
        <v>511</v>
      </c>
      <c r="D755" s="3">
        <v>750</v>
      </c>
      <c r="E755" s="205" t="str">
        <f t="shared" si="55"/>
        <v/>
      </c>
      <c r="I755" s="15">
        <f>AD755</f>
        <v>0</v>
      </c>
      <c r="K755" s="10" t="str">
        <f t="shared" si="56"/>
        <v/>
      </c>
      <c r="L755" s="9" t="str">
        <f t="shared" si="57"/>
        <v/>
      </c>
      <c r="M755" s="8" t="str">
        <f t="shared" si="58"/>
        <v/>
      </c>
      <c r="AB755" s="5">
        <v>80</v>
      </c>
      <c r="AG755" s="1">
        <v>1.97</v>
      </c>
      <c r="AH755" s="20">
        <v>0.44143518518518521</v>
      </c>
      <c r="AJ755" s="1">
        <v>101</v>
      </c>
      <c r="AK755" s="3">
        <f>180+60</f>
        <v>240</v>
      </c>
      <c r="AN755" s="3">
        <v>40</v>
      </c>
      <c r="AP755" s="13">
        <f>AVERAGE(AO753:AO759)</f>
        <v>3120.0000000000273</v>
      </c>
      <c r="AR755" s="17"/>
      <c r="AS755" s="16" t="e">
        <f>(I755-AF755)/I755</f>
        <v>#DIV/0!</v>
      </c>
      <c r="AT755" s="16" t="e">
        <f>AG755/(AD755-AF755)</f>
        <v>#DIV/0!</v>
      </c>
      <c r="AU755" s="16" t="e">
        <f>(G755-AM755)/G755</f>
        <v>#DIV/0!</v>
      </c>
      <c r="AV755" s="57" t="str">
        <f>IF(AND(ISNUMBER(E755),ISNUMBER(W755)),E755-W755,"")</f>
        <v/>
      </c>
      <c r="AW755" s="57" t="str">
        <f>IF(AND(ISNUMBER(I755),ISNUMBER(AF755)),I755-AF755,"")</f>
        <v/>
      </c>
      <c r="AX755" s="57" t="str">
        <f>IF(AND(ISNUMBER(AM755),ISNUMBER(G755)),G755-AM755,"")</f>
        <v/>
      </c>
      <c r="AY755" s="57" t="str">
        <f>IF(AND(ISNUMBER(AC755),ISNUMBER(AE755)),AC755-AE755,"")</f>
        <v/>
      </c>
      <c r="AZ755" s="57" t="str">
        <f t="shared" si="59"/>
        <v/>
      </c>
      <c r="BF755" s="6" t="str">
        <f>IF(OR(AJ755=0,AP755=0,NOT(ISNUMBER(AD755)),NOT(ISNUMBER(AF755)),NOT(ISNUMBER(AJ755)),NOT(ISNUMBER(AP755))),"",
IFERROR(IF((AD755-AF755)/(AJ755/60)/(AP755/1000)&lt;=0,"",(AD755-AF755)/(AJ755/60)/(AP755/1000)),""))</f>
        <v/>
      </c>
    </row>
    <row r="756" spans="1:58" ht="15.75">
      <c r="B756" s="11">
        <v>46016</v>
      </c>
      <c r="C756" s="1">
        <v>512</v>
      </c>
      <c r="D756" s="3">
        <v>751</v>
      </c>
      <c r="E756" s="205" t="str">
        <f t="shared" si="55"/>
        <v/>
      </c>
      <c r="I756" s="15">
        <f>AD756</f>
        <v>0</v>
      </c>
      <c r="K756" s="10" t="str">
        <f t="shared" si="56"/>
        <v/>
      </c>
      <c r="L756" s="9" t="str">
        <f t="shared" si="57"/>
        <v/>
      </c>
      <c r="M756" s="8" t="str">
        <f t="shared" si="58"/>
        <v/>
      </c>
      <c r="AB756" s="5">
        <v>80</v>
      </c>
      <c r="AG756" s="1">
        <v>1.19</v>
      </c>
      <c r="AH756" s="20">
        <v>0.44050925925925927</v>
      </c>
      <c r="AJ756" s="1">
        <v>105</v>
      </c>
      <c r="AK756" s="3">
        <f>180+60</f>
        <v>240</v>
      </c>
      <c r="AN756" s="3">
        <v>40</v>
      </c>
      <c r="AP756" s="13" t="e">
        <f>AVERAGE(AO754:AO760)</f>
        <v>#DIV/0!</v>
      </c>
      <c r="AR756" s="17"/>
      <c r="AS756" s="16" t="e">
        <f>(I756-AF756)/I756</f>
        <v>#DIV/0!</v>
      </c>
      <c r="AT756" s="16" t="e">
        <f>AG756/(AD756-AF756)</f>
        <v>#DIV/0!</v>
      </c>
      <c r="AU756" s="16" t="e">
        <f>(G756-AM756)/G756</f>
        <v>#DIV/0!</v>
      </c>
      <c r="AV756" s="57" t="str">
        <f>IF(AND(ISNUMBER(E756),ISNUMBER(W756)),E756-W756,"")</f>
        <v/>
      </c>
      <c r="AW756" s="57" t="str">
        <f>IF(AND(ISNUMBER(I756),ISNUMBER(AF756)),I756-AF756,"")</f>
        <v/>
      </c>
      <c r="AX756" s="57" t="str">
        <f>IF(AND(ISNUMBER(AM756),ISNUMBER(G756)),G756-AM756,"")</f>
        <v/>
      </c>
      <c r="AY756" s="57" t="str">
        <f>IF(AND(ISNUMBER(AC756),ISNUMBER(AE756)),AC756-AE756,"")</f>
        <v/>
      </c>
      <c r="AZ756" s="57" t="str">
        <f t="shared" si="59"/>
        <v/>
      </c>
      <c r="BF756" s="6"/>
    </row>
    <row r="757" spans="1:58" ht="15.75">
      <c r="B757" s="11">
        <v>46017</v>
      </c>
      <c r="C757" s="1">
        <v>513</v>
      </c>
      <c r="D757" s="3">
        <v>752</v>
      </c>
      <c r="E757" s="205" t="str">
        <f t="shared" si="55"/>
        <v/>
      </c>
      <c r="I757" s="15">
        <f>AD757</f>
        <v>0</v>
      </c>
      <c r="K757" s="10" t="str">
        <f t="shared" si="56"/>
        <v/>
      </c>
      <c r="L757" s="9" t="str">
        <f t="shared" si="57"/>
        <v/>
      </c>
      <c r="M757" s="8" t="str">
        <f t="shared" si="58"/>
        <v/>
      </c>
      <c r="AB757" s="5">
        <v>80</v>
      </c>
      <c r="AG757" s="1">
        <v>0.35</v>
      </c>
      <c r="AH757" s="20">
        <v>0.43912037037037038</v>
      </c>
      <c r="AJ757" s="1">
        <v>107</v>
      </c>
      <c r="AK757" s="3">
        <f>180+60</f>
        <v>240</v>
      </c>
      <c r="AN757" s="3">
        <v>40</v>
      </c>
      <c r="AP757" s="13" t="e">
        <f>AVERAGE(AO755:AO761)</f>
        <v>#DIV/0!</v>
      </c>
      <c r="AR757" s="17"/>
      <c r="AS757" s="16" t="e">
        <f>(I757-AF757)/I757</f>
        <v>#DIV/0!</v>
      </c>
      <c r="AT757" s="16" t="e">
        <f>AG757/(AD757-AF757)</f>
        <v>#DIV/0!</v>
      </c>
      <c r="AU757" s="16" t="e">
        <f>(G757-AM757)/G757</f>
        <v>#DIV/0!</v>
      </c>
      <c r="AV757" s="57" t="str">
        <f>IF(AND(ISNUMBER(E757),ISNUMBER(W757)),E757-W757,"")</f>
        <v/>
      </c>
      <c r="AW757" s="57" t="str">
        <f>IF(AND(ISNUMBER(I757),ISNUMBER(AF757)),I757-AF757,"")</f>
        <v/>
      </c>
      <c r="AX757" s="57" t="str">
        <f>IF(AND(ISNUMBER(AM757),ISNUMBER(G757)),G757-AM757,"")</f>
        <v/>
      </c>
      <c r="AY757" s="57" t="str">
        <f>IF(AND(ISNUMBER(AC757),ISNUMBER(AE757)),AC757-AE757,"")</f>
        <v/>
      </c>
      <c r="AZ757" s="57" t="str">
        <f t="shared" si="59"/>
        <v/>
      </c>
      <c r="BF757" s="6"/>
    </row>
    <row r="758" spans="1:58" ht="15.75">
      <c r="B758" s="11">
        <v>46018</v>
      </c>
      <c r="C758" s="1">
        <v>514</v>
      </c>
      <c r="D758" s="3">
        <v>753</v>
      </c>
      <c r="E758" s="205" t="str">
        <f t="shared" si="55"/>
        <v/>
      </c>
      <c r="I758" s="15">
        <f>AD758</f>
        <v>0</v>
      </c>
      <c r="K758" s="10" t="str">
        <f t="shared" si="56"/>
        <v/>
      </c>
      <c r="L758" s="9" t="str">
        <f t="shared" si="57"/>
        <v/>
      </c>
      <c r="M758" s="8" t="str">
        <f t="shared" si="58"/>
        <v/>
      </c>
      <c r="AB758" s="5">
        <v>80</v>
      </c>
      <c r="AG758" s="1">
        <v>0.17</v>
      </c>
      <c r="AH758" s="20">
        <v>0.44189814814814815</v>
      </c>
      <c r="AJ758" s="1">
        <v>105</v>
      </c>
      <c r="AK758" s="3">
        <f>180+60</f>
        <v>240</v>
      </c>
      <c r="AN758" s="3">
        <v>40</v>
      </c>
      <c r="AP758" s="13" t="e">
        <f>AVERAGE(AO756:AO762)</f>
        <v>#DIV/0!</v>
      </c>
      <c r="AR758" s="17"/>
      <c r="AS758" s="16" t="e">
        <f>(I758-AF758)/I758</f>
        <v>#DIV/0!</v>
      </c>
      <c r="AT758" s="16" t="e">
        <f>AG758/(AD758-AF758)</f>
        <v>#DIV/0!</v>
      </c>
      <c r="AU758" s="16" t="e">
        <f>(G758-AM758)/G758</f>
        <v>#DIV/0!</v>
      </c>
      <c r="AV758" s="57" t="str">
        <f>IF(AND(ISNUMBER(E758),ISNUMBER(W758)),E758-W758,"")</f>
        <v/>
      </c>
      <c r="AW758" s="57" t="str">
        <f>IF(AND(ISNUMBER(I758),ISNUMBER(AF758)),I758-AF758,"")</f>
        <v/>
      </c>
      <c r="AX758" s="57" t="str">
        <f>IF(AND(ISNUMBER(AM758),ISNUMBER(G758)),G758-AM758,"")</f>
        <v/>
      </c>
      <c r="AY758" s="57" t="str">
        <f>IF(AND(ISNUMBER(AC758),ISNUMBER(AE758)),AC758-AE758,"")</f>
        <v/>
      </c>
      <c r="AZ758" s="57" t="str">
        <f t="shared" si="59"/>
        <v/>
      </c>
      <c r="BF758" s="6"/>
    </row>
    <row r="759" spans="1:58" ht="15.75">
      <c r="B759" s="11">
        <v>46019</v>
      </c>
      <c r="C759" s="1">
        <v>515</v>
      </c>
      <c r="D759" s="3">
        <v>754</v>
      </c>
      <c r="E759" s="205" t="str">
        <f t="shared" si="55"/>
        <v/>
      </c>
      <c r="I759" s="15">
        <f>AD759</f>
        <v>0</v>
      </c>
      <c r="K759" s="10" t="str">
        <f t="shared" si="56"/>
        <v/>
      </c>
      <c r="L759" s="9" t="str">
        <f t="shared" si="57"/>
        <v/>
      </c>
      <c r="M759" s="8" t="str">
        <f t="shared" si="58"/>
        <v/>
      </c>
      <c r="AB759" s="5">
        <v>80</v>
      </c>
      <c r="AG759" s="1">
        <v>0.23</v>
      </c>
      <c r="AH759" s="20">
        <v>0.44212962962962965</v>
      </c>
      <c r="AJ759" s="1">
        <v>109</v>
      </c>
      <c r="AK759" s="3">
        <f>180+60</f>
        <v>240</v>
      </c>
      <c r="AN759" s="3">
        <v>40</v>
      </c>
      <c r="AP759" s="13" t="e">
        <f>AVERAGE(AO757:AO763)</f>
        <v>#DIV/0!</v>
      </c>
      <c r="AR759" s="17"/>
      <c r="AS759" s="16" t="e">
        <f>(I759-AF759)/I759</f>
        <v>#DIV/0!</v>
      </c>
      <c r="AT759" s="16" t="e">
        <f>AG759/(AD759-AF759)</f>
        <v>#DIV/0!</v>
      </c>
      <c r="AU759" s="16" t="e">
        <f>(G759-AM759)/G759</f>
        <v>#DIV/0!</v>
      </c>
      <c r="AV759" s="57" t="str">
        <f>IF(AND(ISNUMBER(E759),ISNUMBER(W759)),E759-W759,"")</f>
        <v/>
      </c>
      <c r="AW759" s="57" t="str">
        <f>IF(AND(ISNUMBER(I759),ISNUMBER(AF759)),I759-AF759,"")</f>
        <v/>
      </c>
      <c r="AX759" s="57" t="str">
        <f>IF(AND(ISNUMBER(AM759),ISNUMBER(G759)),G759-AM759,"")</f>
        <v/>
      </c>
      <c r="AY759" s="57" t="str">
        <f>IF(AND(ISNUMBER(AC759),ISNUMBER(AE759)),AC759-AE759,"")</f>
        <v/>
      </c>
      <c r="AZ759" s="57" t="str">
        <f t="shared" si="59"/>
        <v/>
      </c>
      <c r="BF759" s="6"/>
    </row>
    <row r="760" spans="1:58" ht="15.75">
      <c r="B760" s="11">
        <v>46020</v>
      </c>
      <c r="C760" s="1">
        <v>516</v>
      </c>
      <c r="D760" s="3">
        <v>755</v>
      </c>
      <c r="E760" s="205" t="str">
        <f t="shared" si="55"/>
        <v/>
      </c>
      <c r="I760" s="15">
        <f>AD760</f>
        <v>0</v>
      </c>
      <c r="K760" s="10" t="str">
        <f t="shared" si="56"/>
        <v/>
      </c>
      <c r="L760" s="9" t="str">
        <f t="shared" si="57"/>
        <v/>
      </c>
      <c r="M760" s="8" t="str">
        <f t="shared" si="58"/>
        <v/>
      </c>
      <c r="AB760" s="5">
        <v>80</v>
      </c>
      <c r="AG760" s="1">
        <v>0.28000000000000003</v>
      </c>
      <c r="AH760" s="20">
        <v>0.44259259259259259</v>
      </c>
      <c r="AJ760" s="1">
        <v>107</v>
      </c>
      <c r="AK760" s="3">
        <f>180+60</f>
        <v>240</v>
      </c>
      <c r="AN760" s="3">
        <v>40</v>
      </c>
      <c r="AP760" s="13" t="e">
        <f>AVERAGE(AO758:AO764)</f>
        <v>#DIV/0!</v>
      </c>
      <c r="AR760" s="17"/>
      <c r="AS760" s="16" t="e">
        <f>(I760-AF760)/I760</f>
        <v>#DIV/0!</v>
      </c>
      <c r="AT760" s="16" t="e">
        <f>AG760/(AD760-AF760)</f>
        <v>#DIV/0!</v>
      </c>
      <c r="AU760" s="16" t="e">
        <f>(G760-AM760)/G760</f>
        <v>#DIV/0!</v>
      </c>
      <c r="AV760" s="57" t="str">
        <f>IF(AND(ISNUMBER(E760),ISNUMBER(W760)),E760-W760,"")</f>
        <v/>
      </c>
      <c r="AW760" s="57" t="str">
        <f>IF(AND(ISNUMBER(I760),ISNUMBER(AF760)),I760-AF760,"")</f>
        <v/>
      </c>
      <c r="AX760" s="57" t="str">
        <f>IF(AND(ISNUMBER(AM760),ISNUMBER(G760)),G760-AM760,"")</f>
        <v/>
      </c>
      <c r="AY760" s="57" t="str">
        <f>IF(AND(ISNUMBER(AC760),ISNUMBER(AE760)),AC760-AE760,"")</f>
        <v/>
      </c>
      <c r="AZ760" s="57" t="str">
        <f t="shared" si="59"/>
        <v/>
      </c>
      <c r="BF760" s="6"/>
    </row>
    <row r="761" spans="1:58" ht="15.75">
      <c r="B761" s="11">
        <v>46021</v>
      </c>
      <c r="C761" s="1">
        <v>517</v>
      </c>
      <c r="D761" s="3">
        <v>756</v>
      </c>
      <c r="E761" s="205" t="str">
        <f t="shared" si="55"/>
        <v/>
      </c>
      <c r="I761" s="15">
        <f>AD761</f>
        <v>0</v>
      </c>
      <c r="K761" s="10" t="str">
        <f t="shared" si="56"/>
        <v/>
      </c>
      <c r="L761" s="9" t="str">
        <f t="shared" si="57"/>
        <v/>
      </c>
      <c r="M761" s="8" t="str">
        <f t="shared" si="58"/>
        <v/>
      </c>
      <c r="AB761" s="5">
        <v>80</v>
      </c>
      <c r="AG761" s="1">
        <v>0.32</v>
      </c>
      <c r="AH761" s="20">
        <v>0.44282407407407409</v>
      </c>
      <c r="AJ761" s="1">
        <v>105</v>
      </c>
      <c r="AK761" s="3">
        <f>180+60</f>
        <v>240</v>
      </c>
      <c r="AN761" s="3">
        <v>40</v>
      </c>
      <c r="AP761" s="13" t="e">
        <f>AVERAGE(AO759:AO765)</f>
        <v>#DIV/0!</v>
      </c>
      <c r="AR761" s="17"/>
      <c r="AS761" s="16" t="e">
        <f>(I761-AF761)/I761</f>
        <v>#DIV/0!</v>
      </c>
      <c r="AT761" s="16" t="e">
        <f>AG761/(AD761-AF761)</f>
        <v>#DIV/0!</v>
      </c>
      <c r="AU761" s="16" t="e">
        <f>(G761-AM761)/G761</f>
        <v>#DIV/0!</v>
      </c>
      <c r="AV761" s="57" t="str">
        <f>IF(AND(ISNUMBER(E761),ISNUMBER(W761)),E761-W761,"")</f>
        <v/>
      </c>
      <c r="AW761" s="57" t="str">
        <f>IF(AND(ISNUMBER(I761),ISNUMBER(AF761)),I761-AF761,"")</f>
        <v/>
      </c>
      <c r="AX761" s="57" t="str">
        <f>IF(AND(ISNUMBER(AM761),ISNUMBER(G761)),G761-AM761,"")</f>
        <v/>
      </c>
      <c r="AY761" s="57" t="str">
        <f>IF(AND(ISNUMBER(AC761),ISNUMBER(AE761)),AC761-AE761,"")</f>
        <v/>
      </c>
      <c r="AZ761" s="57" t="str">
        <f t="shared" si="59"/>
        <v/>
      </c>
      <c r="BF761" s="6"/>
    </row>
    <row r="762" spans="1:58" ht="15.75">
      <c r="B762" s="11">
        <v>46022</v>
      </c>
      <c r="C762" s="1">
        <v>518</v>
      </c>
      <c r="D762" s="3">
        <v>757</v>
      </c>
      <c r="E762" s="205" t="str">
        <f t="shared" si="55"/>
        <v/>
      </c>
      <c r="I762" s="15">
        <f>AD762</f>
        <v>0</v>
      </c>
      <c r="K762" s="10" t="str">
        <f t="shared" si="56"/>
        <v/>
      </c>
      <c r="L762" s="9" t="str">
        <f t="shared" si="57"/>
        <v/>
      </c>
      <c r="M762" s="8" t="str">
        <f t="shared" si="58"/>
        <v/>
      </c>
      <c r="AB762" s="5">
        <v>80</v>
      </c>
      <c r="AG762" s="1">
        <v>0.39</v>
      </c>
      <c r="AH762" s="20">
        <v>0.44282407407407409</v>
      </c>
      <c r="AJ762" s="1">
        <v>105</v>
      </c>
      <c r="AK762" s="3">
        <f>180+60</f>
        <v>240</v>
      </c>
      <c r="AN762" s="3">
        <v>40</v>
      </c>
      <c r="AP762" s="13" t="e">
        <f>AVERAGE(AO760:AO766)</f>
        <v>#DIV/0!</v>
      </c>
      <c r="AR762" s="17"/>
      <c r="AS762" s="16" t="e">
        <f>(I762-AF762)/I762</f>
        <v>#DIV/0!</v>
      </c>
      <c r="AT762" s="16" t="e">
        <f>AG762/(AD762-AF762)</f>
        <v>#DIV/0!</v>
      </c>
      <c r="AU762" s="16" t="e">
        <f>(G762-AM762)/G762</f>
        <v>#DIV/0!</v>
      </c>
      <c r="AV762" s="57" t="str">
        <f>IF(AND(ISNUMBER(E762),ISNUMBER(W762)),E762-W762,"")</f>
        <v/>
      </c>
      <c r="AW762" s="57" t="str">
        <f>IF(AND(ISNUMBER(I762),ISNUMBER(AF762)),I762-AF762,"")</f>
        <v/>
      </c>
      <c r="AX762" s="57" t="str">
        <f>IF(AND(ISNUMBER(AM762),ISNUMBER(G762)),G762-AM762,"")</f>
        <v/>
      </c>
      <c r="AY762" s="57" t="str">
        <f>IF(AND(ISNUMBER(AC762),ISNUMBER(AE762)),AC762-AE762,"")</f>
        <v/>
      </c>
      <c r="AZ762" s="57" t="str">
        <f t="shared" si="59"/>
        <v/>
      </c>
      <c r="BF762" s="6"/>
    </row>
    <row r="763" spans="1:58" ht="15.75">
      <c r="B763" s="11">
        <v>46023</v>
      </c>
      <c r="C763" s="1">
        <v>519</v>
      </c>
      <c r="D763" s="3">
        <v>758</v>
      </c>
      <c r="E763" s="205" t="str">
        <f t="shared" si="55"/>
        <v/>
      </c>
      <c r="I763" s="15">
        <f>AD763</f>
        <v>0</v>
      </c>
      <c r="K763" s="10" t="str">
        <f t="shared" si="56"/>
        <v/>
      </c>
      <c r="L763" s="9" t="str">
        <f t="shared" si="57"/>
        <v/>
      </c>
      <c r="M763" s="8" t="str">
        <f t="shared" si="58"/>
        <v/>
      </c>
      <c r="AB763" s="5">
        <v>80</v>
      </c>
      <c r="AG763" s="1">
        <v>0.37</v>
      </c>
      <c r="AH763" s="20">
        <v>0.44363425925925926</v>
      </c>
      <c r="AJ763" s="1">
        <v>109</v>
      </c>
      <c r="AK763" s="3">
        <f>180+60</f>
        <v>240</v>
      </c>
      <c r="AN763" s="3">
        <v>40</v>
      </c>
      <c r="AP763" s="13" t="e">
        <f>AVERAGE(AO761:AO767)</f>
        <v>#DIV/0!</v>
      </c>
      <c r="AR763" s="17"/>
      <c r="AS763" s="16" t="e">
        <f>(I763-AF763)/I763</f>
        <v>#DIV/0!</v>
      </c>
      <c r="AT763" s="16" t="e">
        <f>AG763/(AD763-AF763)</f>
        <v>#DIV/0!</v>
      </c>
      <c r="AU763" s="16" t="e">
        <f>(G763-AM763)/G763</f>
        <v>#DIV/0!</v>
      </c>
      <c r="AV763" s="57" t="str">
        <f>IF(AND(ISNUMBER(E763),ISNUMBER(W763)),E763-W763,"")</f>
        <v/>
      </c>
      <c r="AW763" s="57" t="str">
        <f>IF(AND(ISNUMBER(I763),ISNUMBER(AF763)),I763-AF763,"")</f>
        <v/>
      </c>
      <c r="AX763" s="57" t="str">
        <f>IF(AND(ISNUMBER(AM763),ISNUMBER(G763)),G763-AM763,"")</f>
        <v/>
      </c>
      <c r="AY763" s="57" t="str">
        <f>IF(AND(ISNUMBER(AC763),ISNUMBER(AE763)),AC763-AE763,"")</f>
        <v/>
      </c>
      <c r="AZ763" s="57" t="str">
        <f t="shared" si="59"/>
        <v/>
      </c>
      <c r="BF763" s="6"/>
    </row>
    <row r="764" spans="1:58" ht="15.75">
      <c r="B764" s="11">
        <v>46024</v>
      </c>
      <c r="C764" s="1">
        <v>520</v>
      </c>
      <c r="D764" s="3">
        <v>759</v>
      </c>
      <c r="E764" s="205">
        <f t="shared" si="55"/>
        <v>294.77691400000003</v>
      </c>
      <c r="G764" s="15">
        <f>(N764*18-H764*18)/9</f>
        <v>35.5</v>
      </c>
      <c r="H764" s="15">
        <f>5*7.15</f>
        <v>35.75</v>
      </c>
      <c r="I764" s="15">
        <f>AD764</f>
        <v>19.899999999999999</v>
      </c>
      <c r="K764" s="10">
        <f t="shared" si="56"/>
        <v>8.3035750422535219</v>
      </c>
      <c r="L764" s="9">
        <f t="shared" si="57"/>
        <v>7.4064551256281419</v>
      </c>
      <c r="M764" s="8">
        <f t="shared" si="58"/>
        <v>1.1211267605633801</v>
      </c>
      <c r="N764" s="7">
        <f>5*10.7</f>
        <v>53.5</v>
      </c>
      <c r="O764" s="6">
        <v>23.271000000000001</v>
      </c>
      <c r="P764" s="6">
        <v>80.95</v>
      </c>
      <c r="Q764" s="6">
        <f>O764*1.067</f>
        <v>24.830157</v>
      </c>
      <c r="R764" s="6">
        <f>P764*1.514</f>
        <v>122.5583</v>
      </c>
      <c r="S764" s="6">
        <f>Q764+R764</f>
        <v>147.38845700000002</v>
      </c>
      <c r="T764" s="6">
        <v>65.8</v>
      </c>
      <c r="U764" s="6">
        <v>0</v>
      </c>
      <c r="V764" s="6">
        <v>0</v>
      </c>
      <c r="W764" s="23">
        <f>U764*1.067+V764*1.514</f>
        <v>0</v>
      </c>
      <c r="AB764" s="5">
        <v>80</v>
      </c>
      <c r="AC764" s="7">
        <f>T764</f>
        <v>65.8</v>
      </c>
      <c r="AD764" s="1">
        <f>5*3.98</f>
        <v>19.899999999999999</v>
      </c>
      <c r="AE764" s="1">
        <v>51.3</v>
      </c>
      <c r="AF764" s="1">
        <v>0</v>
      </c>
      <c r="AG764" s="1">
        <v>3.01</v>
      </c>
      <c r="AH764" s="20">
        <v>0.48599537037037038</v>
      </c>
      <c r="AJ764" s="1">
        <v>105</v>
      </c>
      <c r="AK764" s="3">
        <f>180+60</f>
        <v>240</v>
      </c>
      <c r="AL764" s="4">
        <f>AE764</f>
        <v>51.3</v>
      </c>
      <c r="AM764" s="1">
        <f>5*6.59</f>
        <v>32.950000000000003</v>
      </c>
      <c r="AN764" s="3">
        <v>40</v>
      </c>
      <c r="AP764" s="13" t="e">
        <f>AVERAGE(AO762:AO768)</f>
        <v>#DIV/0!</v>
      </c>
      <c r="AR764" s="17">
        <f>(E764-W764)/E764</f>
        <v>1</v>
      </c>
      <c r="AS764" s="16">
        <f>(I764-AF764)/I764</f>
        <v>1</v>
      </c>
      <c r="AT764" s="16">
        <f>AG764/(AD764-AF764)</f>
        <v>0.15125628140703518</v>
      </c>
      <c r="AU764" s="16">
        <f>(G764-AM764)/G764</f>
        <v>7.1830985915492876E-2</v>
      </c>
      <c r="AV764" s="57">
        <f>IF(AND(ISNUMBER(E764),ISNUMBER(W764)),E764-W764,"")</f>
        <v>294.77691400000003</v>
      </c>
      <c r="AW764" s="57">
        <f>IF(AND(ISNUMBER(I764),ISNUMBER(AF764)),I764-AF764,"")</f>
        <v>19.899999999999999</v>
      </c>
      <c r="AX764" s="57">
        <f>IF(AND(ISNUMBER(AM764),ISNUMBER(G764)),G764-AM764,"")</f>
        <v>2.5499999999999972</v>
      </c>
      <c r="AY764" s="57">
        <f>IF(AND(ISNUMBER(AC764),ISNUMBER(AE764)),AC764-AE764,"")</f>
        <v>14.5</v>
      </c>
      <c r="AZ764" s="57">
        <f t="shared" si="59"/>
        <v>18.349999999999994</v>
      </c>
      <c r="BF764" s="6"/>
    </row>
    <row r="765" spans="1:58" ht="15.75">
      <c r="B765" s="11">
        <v>46025</v>
      </c>
      <c r="C765" s="1">
        <v>521</v>
      </c>
      <c r="D765" s="3">
        <v>760</v>
      </c>
      <c r="E765" s="205" t="str">
        <f t="shared" si="55"/>
        <v/>
      </c>
      <c r="I765" s="15">
        <f>AD765</f>
        <v>0</v>
      </c>
      <c r="K765" s="10" t="str">
        <f t="shared" si="56"/>
        <v/>
      </c>
      <c r="L765" s="9" t="str">
        <f t="shared" si="57"/>
        <v/>
      </c>
      <c r="M765" s="8" t="str">
        <f t="shared" si="58"/>
        <v/>
      </c>
      <c r="AB765" s="5">
        <v>80</v>
      </c>
      <c r="AG765" s="1">
        <v>0.31</v>
      </c>
      <c r="AH765" s="20">
        <v>0.44270833333333331</v>
      </c>
      <c r="AJ765" s="1">
        <v>107</v>
      </c>
      <c r="AK765" s="3">
        <f>180+60</f>
        <v>240</v>
      </c>
      <c r="AN765" s="3">
        <v>40</v>
      </c>
      <c r="AP765" s="13" t="e">
        <f>AVERAGE(AO763:AO769)</f>
        <v>#DIV/0!</v>
      </c>
      <c r="AR765" s="17"/>
      <c r="AS765" s="16" t="e">
        <f>(I765-AF765)/I765</f>
        <v>#DIV/0!</v>
      </c>
      <c r="AT765" s="16" t="e">
        <f>AG765/(AD765-AF765)</f>
        <v>#DIV/0!</v>
      </c>
      <c r="AU765" s="16" t="e">
        <f>(G765-AM765)/G765</f>
        <v>#DIV/0!</v>
      </c>
      <c r="AV765" s="57" t="str">
        <f>IF(AND(ISNUMBER(E765),ISNUMBER(W765)),E765-W765,"")</f>
        <v/>
      </c>
      <c r="AW765" s="57" t="str">
        <f>IF(AND(ISNUMBER(I765),ISNUMBER(AF765)),I765-AF765,"")</f>
        <v/>
      </c>
      <c r="AX765" s="57" t="str">
        <f>IF(AND(ISNUMBER(AM765),ISNUMBER(G765)),G765-AM765,"")</f>
        <v/>
      </c>
      <c r="AY765" s="57" t="str">
        <f>IF(AND(ISNUMBER(AC765),ISNUMBER(AE765)),AC765-AE765,"")</f>
        <v/>
      </c>
      <c r="AZ765" s="57" t="str">
        <f t="shared" si="59"/>
        <v/>
      </c>
      <c r="BF765" s="6"/>
    </row>
    <row r="766" spans="1:58" ht="15.75">
      <c r="B766" s="11">
        <v>46026</v>
      </c>
      <c r="C766" s="1">
        <v>522</v>
      </c>
      <c r="D766" s="3">
        <v>761</v>
      </c>
      <c r="E766" s="205" t="str">
        <f t="shared" si="55"/>
        <v/>
      </c>
      <c r="G766" s="15">
        <v>14</v>
      </c>
      <c r="H766" s="15"/>
      <c r="I766" s="15">
        <f>AD766</f>
        <v>21</v>
      </c>
      <c r="K766" s="10" t="str">
        <f t="shared" si="56"/>
        <v/>
      </c>
      <c r="L766" s="9" t="str">
        <f t="shared" si="57"/>
        <v/>
      </c>
      <c r="M766" s="8">
        <f t="shared" si="58"/>
        <v>3</v>
      </c>
      <c r="T766" s="6">
        <v>72.3</v>
      </c>
      <c r="AB766" s="5">
        <v>80</v>
      </c>
      <c r="AC766" s="7">
        <f>T766</f>
        <v>72.3</v>
      </c>
      <c r="AD766" s="1">
        <f>5*4.2</f>
        <v>21</v>
      </c>
      <c r="AE766" s="1">
        <v>70.5</v>
      </c>
      <c r="AF766" s="1">
        <v>0</v>
      </c>
      <c r="AG766" s="1">
        <v>0.46</v>
      </c>
      <c r="AH766" s="20">
        <v>0.44641203703703702</v>
      </c>
      <c r="AJ766" s="1">
        <v>107</v>
      </c>
      <c r="AK766" s="3">
        <f>180+60</f>
        <v>240</v>
      </c>
      <c r="AL766" s="4">
        <f>AE766</f>
        <v>70.5</v>
      </c>
      <c r="AM766" s="1">
        <v>99.3</v>
      </c>
      <c r="AN766" s="3">
        <v>40</v>
      </c>
      <c r="AP766" s="13" t="e">
        <f>AVERAGE(AO764:AO770)</f>
        <v>#DIV/0!</v>
      </c>
      <c r="AR766" s="17"/>
      <c r="AS766" s="16">
        <f>(I766-AF766)/I766</f>
        <v>1</v>
      </c>
      <c r="AT766" s="16">
        <f>AG766/(AD766-AF766)</f>
        <v>2.1904761904761906E-2</v>
      </c>
      <c r="AU766" s="16">
        <f>(G766-AM766)/G766</f>
        <v>-6.0928571428571425</v>
      </c>
      <c r="AV766" s="57" t="str">
        <f>IF(AND(ISNUMBER(E766),ISNUMBER(W766)),E766-W766,"")</f>
        <v/>
      </c>
      <c r="AW766" s="57">
        <f>IF(AND(ISNUMBER(I766),ISNUMBER(AF766)),I766-AF766,"")</f>
        <v>21</v>
      </c>
      <c r="AX766" s="57">
        <f>IF(AND(ISNUMBER(AM766),ISNUMBER(G766)),G766-AM766,"")</f>
        <v>-85.3</v>
      </c>
      <c r="AY766" s="57">
        <f>IF(AND(ISNUMBER(AC766),ISNUMBER(AE766)),AC766-AE766,"")</f>
        <v>1.7999999999999972</v>
      </c>
      <c r="AZ766" s="57">
        <f t="shared" si="59"/>
        <v>-28.799999999999997</v>
      </c>
      <c r="BF766" s="6"/>
    </row>
    <row r="767" spans="1:58" ht="15.75">
      <c r="A767" s="25" t="s">
        <v>11</v>
      </c>
      <c r="B767" s="11">
        <v>46027</v>
      </c>
      <c r="C767" s="1">
        <v>523</v>
      </c>
      <c r="D767" s="3">
        <v>762</v>
      </c>
      <c r="E767" s="205" t="str">
        <f t="shared" si="55"/>
        <v/>
      </c>
      <c r="G767" s="15">
        <v>14</v>
      </c>
      <c r="H767" s="15"/>
      <c r="I767" s="15">
        <f>AD767</f>
        <v>21</v>
      </c>
      <c r="K767" s="10" t="str">
        <f t="shared" si="56"/>
        <v/>
      </c>
      <c r="L767" s="9" t="str">
        <f t="shared" si="57"/>
        <v/>
      </c>
      <c r="M767" s="8">
        <f t="shared" si="58"/>
        <v>3</v>
      </c>
      <c r="T767" s="6">
        <f>30.5</f>
        <v>30.5</v>
      </c>
      <c r="U767" s="6">
        <v>16.959</v>
      </c>
      <c r="V767" s="6">
        <v>17.135999999999999</v>
      </c>
      <c r="W767" s="23">
        <f>U767*1.067+V767*1.514</f>
        <v>44.039157000000003</v>
      </c>
      <c r="AB767" s="5">
        <v>80</v>
      </c>
      <c r="AC767" s="7">
        <f>T767</f>
        <v>30.5</v>
      </c>
      <c r="AD767" s="1">
        <f>5*4.2</f>
        <v>21</v>
      </c>
      <c r="AE767" s="1">
        <f>19.6</f>
        <v>19.600000000000001</v>
      </c>
      <c r="AF767" s="1">
        <v>0</v>
      </c>
      <c r="AG767" s="1">
        <v>0.5</v>
      </c>
      <c r="AH767" s="20">
        <v>0.45</v>
      </c>
      <c r="AJ767" s="1">
        <v>93</v>
      </c>
      <c r="AK767" s="3">
        <f>180+60</f>
        <v>240</v>
      </c>
      <c r="AL767" s="4">
        <f>AE767</f>
        <v>19.600000000000001</v>
      </c>
      <c r="AM767" s="1">
        <f>10.7</f>
        <v>10.7</v>
      </c>
      <c r="AN767" s="3">
        <v>40</v>
      </c>
      <c r="AP767" s="13" t="e">
        <f>AVERAGE(AO765:AO771)</f>
        <v>#DIV/0!</v>
      </c>
      <c r="AR767" s="17"/>
      <c r="AS767" s="16">
        <f>(I767-AF767)/I767</f>
        <v>1</v>
      </c>
      <c r="AT767" s="16">
        <f>AG767/(AD767-AF767)</f>
        <v>2.3809523809523808E-2</v>
      </c>
      <c r="AU767" s="16">
        <f>(G767-AM767)/G767</f>
        <v>0.23571428571428577</v>
      </c>
      <c r="AV767" s="57" t="str">
        <f>IF(AND(ISNUMBER(E767),ISNUMBER(W767)),E767-W767,"")</f>
        <v/>
      </c>
      <c r="AW767" s="57">
        <f>IF(AND(ISNUMBER(I767),ISNUMBER(AF767)),I767-AF767,"")</f>
        <v>21</v>
      </c>
      <c r="AX767" s="57">
        <f>IF(AND(ISNUMBER(AM767),ISNUMBER(G767)),G767-AM767,"")</f>
        <v>3.3000000000000007</v>
      </c>
      <c r="AY767" s="57">
        <f>IF(AND(ISNUMBER(AC767),ISNUMBER(AE767)),AC767-AE767,"")</f>
        <v>10.899999999999999</v>
      </c>
      <c r="AZ767" s="57">
        <f t="shared" si="59"/>
        <v>8.9000000000000021</v>
      </c>
      <c r="BF767" s="6"/>
    </row>
    <row r="768" spans="1:58" ht="15.75">
      <c r="B768" s="11">
        <v>46028</v>
      </c>
      <c r="C768" s="1">
        <v>524</v>
      </c>
      <c r="D768" s="3">
        <v>763</v>
      </c>
      <c r="E768" s="205" t="str">
        <f t="shared" si="55"/>
        <v/>
      </c>
      <c r="G768" s="15">
        <v>14</v>
      </c>
      <c r="H768" s="15"/>
      <c r="I768" s="15">
        <f>AD768</f>
        <v>21</v>
      </c>
      <c r="K768" s="10" t="str">
        <f t="shared" si="56"/>
        <v/>
      </c>
      <c r="L768" s="9" t="str">
        <f t="shared" si="57"/>
        <v/>
      </c>
      <c r="M768" s="8">
        <f t="shared" si="58"/>
        <v>3</v>
      </c>
      <c r="T768" s="6">
        <f>30.5</f>
        <v>30.5</v>
      </c>
      <c r="AB768" s="5">
        <v>80</v>
      </c>
      <c r="AC768" s="7">
        <f>T768</f>
        <v>30.5</v>
      </c>
      <c r="AD768" s="1">
        <f>5*4.2</f>
        <v>21</v>
      </c>
      <c r="AE768" s="1">
        <v>22</v>
      </c>
      <c r="AF768" s="1">
        <v>0</v>
      </c>
      <c r="AG768" s="1">
        <v>0.63</v>
      </c>
      <c r="AH768" s="20">
        <v>0.44803240740740741</v>
      </c>
      <c r="AJ768" s="1">
        <v>93</v>
      </c>
      <c r="AK768" s="3">
        <f>180+60</f>
        <v>240</v>
      </c>
      <c r="AL768" s="4">
        <f>AE768</f>
        <v>22</v>
      </c>
      <c r="AM768" s="1">
        <v>12.2</v>
      </c>
      <c r="AN768" s="3">
        <v>40</v>
      </c>
      <c r="AP768" s="13" t="e">
        <f>AVERAGE(AO766:AO772)</f>
        <v>#DIV/0!</v>
      </c>
      <c r="AR768" s="17"/>
      <c r="AS768" s="16">
        <f>(I768-AF768)/I768</f>
        <v>1</v>
      </c>
      <c r="AT768" s="16">
        <f>AG768/(AD768-AF768)</f>
        <v>0.03</v>
      </c>
      <c r="AU768" s="16">
        <f>(G768-AM768)/G768</f>
        <v>0.12857142857142861</v>
      </c>
      <c r="AV768" s="57" t="str">
        <f>IF(AND(ISNUMBER(E768),ISNUMBER(W768)),E768-W768,"")</f>
        <v/>
      </c>
      <c r="AW768" s="57">
        <f>IF(AND(ISNUMBER(I768),ISNUMBER(AF768)),I768-AF768,"")</f>
        <v>21</v>
      </c>
      <c r="AX768" s="57">
        <f>IF(AND(ISNUMBER(AM768),ISNUMBER(G768)),G768-AM768,"")</f>
        <v>1.8000000000000007</v>
      </c>
      <c r="AY768" s="57">
        <f>IF(AND(ISNUMBER(AC768),ISNUMBER(AE768)),AC768-AE768,"")</f>
        <v>8.5</v>
      </c>
      <c r="AZ768" s="57">
        <f t="shared" si="59"/>
        <v>9.8000000000000007</v>
      </c>
      <c r="BF768" s="6"/>
    </row>
    <row r="769" spans="1:58" ht="15.75">
      <c r="B769" s="11">
        <v>46029</v>
      </c>
      <c r="C769" s="1">
        <v>525</v>
      </c>
      <c r="D769" s="3">
        <v>764</v>
      </c>
      <c r="E769" s="205" t="str">
        <f t="shared" si="55"/>
        <v/>
      </c>
      <c r="G769" s="15">
        <v>14</v>
      </c>
      <c r="H769" s="15"/>
      <c r="I769" s="15">
        <f>AD769</f>
        <v>21</v>
      </c>
      <c r="K769" s="10" t="str">
        <f t="shared" si="56"/>
        <v/>
      </c>
      <c r="L769" s="9" t="str">
        <f t="shared" si="57"/>
        <v/>
      </c>
      <c r="M769" s="8">
        <f t="shared" si="58"/>
        <v>3</v>
      </c>
      <c r="AB769" s="5">
        <v>80</v>
      </c>
      <c r="AC769" s="7">
        <f>T769</f>
        <v>0</v>
      </c>
      <c r="AD769" s="1">
        <f>5*4.2</f>
        <v>21</v>
      </c>
      <c r="AE769" s="1">
        <v>23.3</v>
      </c>
      <c r="AF769" s="1">
        <v>0</v>
      </c>
      <c r="AG769" s="1">
        <v>0.43</v>
      </c>
      <c r="AH769" s="20">
        <v>0.44305555555555554</v>
      </c>
      <c r="AJ769" s="1">
        <v>97</v>
      </c>
      <c r="AK769" s="3">
        <f>180+60</f>
        <v>240</v>
      </c>
      <c r="AL769" s="4">
        <f>AE769</f>
        <v>23.3</v>
      </c>
      <c r="AM769" s="1">
        <v>10.5</v>
      </c>
      <c r="AN769" s="3">
        <v>40</v>
      </c>
      <c r="AP769" s="13" t="e">
        <f>AVERAGE(AO767:AO773)</f>
        <v>#DIV/0!</v>
      </c>
      <c r="AR769" s="17"/>
      <c r="AS769" s="16">
        <f>(I769-AF769)/I769</f>
        <v>1</v>
      </c>
      <c r="AT769" s="16">
        <f>AG769/(AD769-AF769)</f>
        <v>2.0476190476190474E-2</v>
      </c>
      <c r="AU769" s="16">
        <f>(G769-AM769)/G769</f>
        <v>0.25</v>
      </c>
      <c r="AV769" s="57" t="str">
        <f>IF(AND(ISNUMBER(E769),ISNUMBER(W769)),E769-W769,"")</f>
        <v/>
      </c>
      <c r="AW769" s="57">
        <f>IF(AND(ISNUMBER(I769),ISNUMBER(AF769)),I769-AF769,"")</f>
        <v>21</v>
      </c>
      <c r="AX769" s="57">
        <f>IF(AND(ISNUMBER(AM769),ISNUMBER(G769)),G769-AM769,"")</f>
        <v>3.5</v>
      </c>
      <c r="AY769" s="57">
        <f>IF(AND(ISNUMBER(AC769),ISNUMBER(AE769)),AC769-AE769,"")</f>
        <v>-23.3</v>
      </c>
      <c r="AZ769" s="57">
        <f t="shared" si="59"/>
        <v>12.8</v>
      </c>
      <c r="BF769" s="6"/>
    </row>
    <row r="770" spans="1:58" ht="15.75">
      <c r="B770" s="11">
        <v>46030</v>
      </c>
      <c r="C770" s="1">
        <v>526</v>
      </c>
      <c r="D770" s="3">
        <v>765</v>
      </c>
      <c r="E770" s="205" t="str">
        <f t="shared" si="55"/>
        <v/>
      </c>
      <c r="I770" s="15">
        <f>AD770</f>
        <v>0</v>
      </c>
      <c r="K770" s="10" t="str">
        <f t="shared" si="56"/>
        <v/>
      </c>
      <c r="L770" s="9" t="str">
        <f t="shared" si="57"/>
        <v/>
      </c>
      <c r="M770" s="8" t="str">
        <f t="shared" si="58"/>
        <v/>
      </c>
      <c r="AB770" s="5">
        <v>80</v>
      </c>
      <c r="AG770" s="1">
        <v>4.92</v>
      </c>
      <c r="AH770" s="20">
        <v>0.53043981481481484</v>
      </c>
      <c r="AJ770" s="1">
        <v>95</v>
      </c>
      <c r="AK770" s="3">
        <f>180+60</f>
        <v>240</v>
      </c>
      <c r="AN770" s="3">
        <v>40</v>
      </c>
      <c r="AP770" s="13" t="e">
        <f>AVERAGE(AO768:AO774)</f>
        <v>#DIV/0!</v>
      </c>
      <c r="AR770" s="17"/>
      <c r="AS770" s="16" t="e">
        <f>(I770-AF770)/I770</f>
        <v>#DIV/0!</v>
      </c>
      <c r="AT770" s="16" t="e">
        <f>AG770/(AD770-AF770)</f>
        <v>#DIV/0!</v>
      </c>
      <c r="AU770" s="16" t="e">
        <f>(G770-AM770)/G770</f>
        <v>#DIV/0!</v>
      </c>
      <c r="AV770" s="57" t="str">
        <f>IF(AND(ISNUMBER(E770),ISNUMBER(W770)),E770-W770,"")</f>
        <v/>
      </c>
      <c r="AW770" s="57" t="str">
        <f>IF(AND(ISNUMBER(I770),ISNUMBER(AF770)),I770-AF770,"")</f>
        <v/>
      </c>
      <c r="AX770" s="57" t="str">
        <f>IF(AND(ISNUMBER(AM770),ISNUMBER(G770)),G770-AM770,"")</f>
        <v/>
      </c>
      <c r="AY770" s="57" t="str">
        <f>IF(AND(ISNUMBER(AC770),ISNUMBER(AE770)),AC770-AE770,"")</f>
        <v/>
      </c>
      <c r="AZ770" s="57" t="str">
        <f t="shared" si="59"/>
        <v/>
      </c>
      <c r="BF770" s="6"/>
    </row>
    <row r="771" spans="1:58" ht="15.75">
      <c r="B771" s="11">
        <v>46031</v>
      </c>
      <c r="C771" s="1">
        <v>527</v>
      </c>
      <c r="D771" s="3">
        <v>766</v>
      </c>
      <c r="E771" s="205" t="str">
        <f t="shared" si="55"/>
        <v/>
      </c>
      <c r="I771" s="15">
        <f>AD771</f>
        <v>0</v>
      </c>
      <c r="K771" s="10" t="str">
        <f t="shared" si="56"/>
        <v/>
      </c>
      <c r="L771" s="9" t="str">
        <f t="shared" si="57"/>
        <v/>
      </c>
      <c r="M771" s="8" t="str">
        <f t="shared" si="58"/>
        <v/>
      </c>
      <c r="AB771" s="5">
        <v>80</v>
      </c>
      <c r="AG771" s="1">
        <v>0.54</v>
      </c>
      <c r="AH771" s="20">
        <v>0.44282407407407409</v>
      </c>
      <c r="AJ771" s="1">
        <v>93</v>
      </c>
      <c r="AK771" s="3">
        <f>180+60</f>
        <v>240</v>
      </c>
      <c r="AN771" s="3">
        <v>40</v>
      </c>
      <c r="AP771" s="13" t="e">
        <f>AVERAGE(AO769:AO775)</f>
        <v>#DIV/0!</v>
      </c>
      <c r="AR771" s="17"/>
      <c r="AS771" s="16" t="e">
        <f>(I771-AF771)/I771</f>
        <v>#DIV/0!</v>
      </c>
      <c r="AT771" s="16" t="e">
        <f>AG771/(AD771-AF771)</f>
        <v>#DIV/0!</v>
      </c>
      <c r="AU771" s="16" t="e">
        <f>(G771-AM771)/G771</f>
        <v>#DIV/0!</v>
      </c>
      <c r="AV771" s="57" t="str">
        <f>IF(AND(ISNUMBER(E771),ISNUMBER(W771)),E771-W771,"")</f>
        <v/>
      </c>
      <c r="AW771" s="57" t="str">
        <f>IF(AND(ISNUMBER(I771),ISNUMBER(AF771)),I771-AF771,"")</f>
        <v/>
      </c>
      <c r="AX771" s="57" t="str">
        <f>IF(AND(ISNUMBER(AM771),ISNUMBER(G771)),G771-AM771,"")</f>
        <v/>
      </c>
      <c r="AY771" s="57" t="str">
        <f>IF(AND(ISNUMBER(AC771),ISNUMBER(AE771)),AC771-AE771,"")</f>
        <v/>
      </c>
      <c r="AZ771" s="57" t="str">
        <f t="shared" si="59"/>
        <v/>
      </c>
      <c r="BF771" s="6"/>
    </row>
    <row r="772" spans="1:58" ht="15.75">
      <c r="B772" s="11">
        <v>46032</v>
      </c>
      <c r="C772" s="1">
        <v>528</v>
      </c>
      <c r="D772" s="3">
        <v>767</v>
      </c>
      <c r="E772" s="205" t="str">
        <f t="shared" si="55"/>
        <v/>
      </c>
      <c r="I772" s="15">
        <f>AD772</f>
        <v>0</v>
      </c>
      <c r="K772" s="10" t="str">
        <f t="shared" si="56"/>
        <v/>
      </c>
      <c r="L772" s="9" t="str">
        <f t="shared" si="57"/>
        <v/>
      </c>
      <c r="M772" s="8" t="str">
        <f t="shared" si="58"/>
        <v/>
      </c>
      <c r="AB772" s="5">
        <v>80</v>
      </c>
      <c r="AG772" s="1">
        <v>0.48</v>
      </c>
      <c r="AH772" s="20">
        <v>0.44803240740740741</v>
      </c>
      <c r="AJ772" s="1">
        <v>91</v>
      </c>
      <c r="AK772" s="3">
        <f>180+60</f>
        <v>240</v>
      </c>
      <c r="AN772" s="3">
        <v>40</v>
      </c>
      <c r="AP772" s="13" t="e">
        <f>AVERAGE(AO770:AO776)</f>
        <v>#DIV/0!</v>
      </c>
      <c r="AR772" s="17"/>
      <c r="AS772" s="16" t="e">
        <f>(I772-AF772)/I772</f>
        <v>#DIV/0!</v>
      </c>
      <c r="AT772" s="16" t="e">
        <f>AG772/(AD772-AF772)</f>
        <v>#DIV/0!</v>
      </c>
      <c r="AU772" s="16" t="e">
        <f>(G772-AM772)/G772</f>
        <v>#DIV/0!</v>
      </c>
      <c r="AV772" s="57" t="str">
        <f>IF(AND(ISNUMBER(E772),ISNUMBER(W772)),E772-W772,"")</f>
        <v/>
      </c>
      <c r="AW772" s="57" t="str">
        <f>IF(AND(ISNUMBER(I772),ISNUMBER(AF772)),I772-AF772,"")</f>
        <v/>
      </c>
      <c r="AX772" s="57" t="str">
        <f>IF(AND(ISNUMBER(AM772),ISNUMBER(G772)),G772-AM772,"")</f>
        <v/>
      </c>
      <c r="AY772" s="57" t="str">
        <f>IF(AND(ISNUMBER(AC772),ISNUMBER(AE772)),AC772-AE772,"")</f>
        <v/>
      </c>
      <c r="AZ772" s="57" t="str">
        <f t="shared" si="59"/>
        <v/>
      </c>
      <c r="BF772" s="6"/>
    </row>
    <row r="773" spans="1:58" s="27" customFormat="1" ht="15.75">
      <c r="A773" s="39"/>
      <c r="B773" s="38">
        <v>46033</v>
      </c>
      <c r="C773" s="1">
        <v>529</v>
      </c>
      <c r="D773" s="29">
        <v>768</v>
      </c>
      <c r="E773" s="205" t="str">
        <f t="shared" si="55"/>
        <v/>
      </c>
      <c r="F773" s="36"/>
      <c r="G773" s="36"/>
      <c r="H773" s="36"/>
      <c r="I773" s="15">
        <f>AD773</f>
        <v>0</v>
      </c>
      <c r="J773" s="35"/>
      <c r="K773" s="10" t="str">
        <f t="shared" si="56"/>
        <v/>
      </c>
      <c r="L773" s="9" t="str">
        <f t="shared" si="57"/>
        <v/>
      </c>
      <c r="M773" s="8" t="str">
        <f t="shared" si="58"/>
        <v/>
      </c>
      <c r="N773" s="34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5">
        <v>80</v>
      </c>
      <c r="AC773" s="32"/>
      <c r="AG773" s="1">
        <v>0.41</v>
      </c>
      <c r="AH773" s="20">
        <v>0.44374999999999998</v>
      </c>
      <c r="AJ773" s="27">
        <v>87</v>
      </c>
      <c r="AK773" s="3">
        <f>180+60</f>
        <v>240</v>
      </c>
      <c r="AL773" s="32"/>
      <c r="AN773" s="3">
        <v>40</v>
      </c>
      <c r="AO773" s="28"/>
      <c r="AP773" s="13" t="e">
        <f>AVERAGE(AO771:AO777)</f>
        <v>#DIV/0!</v>
      </c>
      <c r="AQ773" s="28"/>
      <c r="AR773" s="31"/>
      <c r="AS773" s="30" t="e">
        <f>(I773-AF773)/I773</f>
        <v>#DIV/0!</v>
      </c>
      <c r="AT773" s="30" t="e">
        <f>AG773/(AD773-AF773)</f>
        <v>#DIV/0!</v>
      </c>
      <c r="AU773" s="30" t="e">
        <f>(G773-AM773)/G773</f>
        <v>#DIV/0!</v>
      </c>
      <c r="AV773" s="57" t="str">
        <f>IF(AND(ISNUMBER(E773),ISNUMBER(W773)),E773-W773,"")</f>
        <v/>
      </c>
      <c r="AW773" s="57" t="str">
        <f>IF(AND(ISNUMBER(I773),ISNUMBER(AF773)),I773-AF773,"")</f>
        <v/>
      </c>
      <c r="AX773" s="57" t="str">
        <f>IF(AND(ISNUMBER(AM773),ISNUMBER(G773)),G773-AM773,"")</f>
        <v/>
      </c>
      <c r="AY773" s="57" t="str">
        <f>IF(AND(ISNUMBER(AC773),ISNUMBER(AE773)),AC773-AE773,"")</f>
        <v/>
      </c>
      <c r="AZ773" s="57" t="str">
        <f t="shared" si="59"/>
        <v/>
      </c>
      <c r="BF773" s="6"/>
    </row>
    <row r="774" spans="1:58" ht="15.75">
      <c r="A774" s="25" t="s">
        <v>10</v>
      </c>
      <c r="B774" s="11">
        <v>46034</v>
      </c>
      <c r="C774" s="1">
        <v>530</v>
      </c>
      <c r="D774" s="3">
        <v>769</v>
      </c>
      <c r="E774" s="205" t="str">
        <f t="shared" si="55"/>
        <v/>
      </c>
      <c r="I774" s="15">
        <f>AD774</f>
        <v>0</v>
      </c>
      <c r="K774" s="10" t="str">
        <f t="shared" si="56"/>
        <v/>
      </c>
      <c r="L774" s="9" t="str">
        <f t="shared" si="57"/>
        <v/>
      </c>
      <c r="M774" s="8" t="str">
        <f t="shared" si="58"/>
        <v/>
      </c>
      <c r="AB774" s="5">
        <v>80</v>
      </c>
      <c r="AE774" s="1">
        <f>24.8</f>
        <v>24.8</v>
      </c>
      <c r="AG774" s="1">
        <v>0.17</v>
      </c>
      <c r="AH774" s="20">
        <v>0.44965277777777779</v>
      </c>
      <c r="AJ774" s="1">
        <v>85</v>
      </c>
      <c r="AK774" s="3">
        <f>180+60</f>
        <v>240</v>
      </c>
      <c r="AL774" s="4">
        <f>AE774</f>
        <v>24.8</v>
      </c>
      <c r="AM774" s="1">
        <v>12.8</v>
      </c>
      <c r="AN774" s="3">
        <v>40</v>
      </c>
      <c r="AP774" s="13" t="e">
        <f>AVERAGE(AO772:AO778)</f>
        <v>#DIV/0!</v>
      </c>
      <c r="AR774" s="17"/>
      <c r="AS774" s="16"/>
      <c r="AT774" s="16" t="e">
        <f>AG774/(AD774-AF774)</f>
        <v>#DIV/0!</v>
      </c>
      <c r="AU774" s="16" t="e">
        <f>(G774-AM774)/G774</f>
        <v>#DIV/0!</v>
      </c>
      <c r="AV774" s="57" t="str">
        <f>IF(AND(ISNUMBER(E774),ISNUMBER(W774)),E774-W774,"")</f>
        <v/>
      </c>
      <c r="AW774" s="57" t="str">
        <f>IF(AND(ISNUMBER(I774),ISNUMBER(AF774)),I774-AF774,"")</f>
        <v/>
      </c>
      <c r="AX774" s="57" t="str">
        <f>IF(AND(ISNUMBER(AM774),ISNUMBER(G774)),G774-AM774,"")</f>
        <v/>
      </c>
      <c r="AY774" s="57" t="str">
        <f>IF(AND(ISNUMBER(AC774),ISNUMBER(AE774)),AC774-AE774,"")</f>
        <v/>
      </c>
      <c r="AZ774" s="57">
        <f t="shared" si="59"/>
        <v>12</v>
      </c>
      <c r="BF774" s="6"/>
    </row>
    <row r="775" spans="1:58" ht="15.75">
      <c r="B775" s="11">
        <v>46035</v>
      </c>
      <c r="C775" s="1">
        <v>531</v>
      </c>
      <c r="D775" s="3">
        <v>770</v>
      </c>
      <c r="E775" s="205" t="str">
        <f t="shared" ref="E775:E833" si="60">IF(OR(S775="",S775=0),"",S775*2)</f>
        <v/>
      </c>
      <c r="G775" s="15">
        <f>(N775*18-H775*18)/9</f>
        <v>14.500000000000004</v>
      </c>
      <c r="H775" s="15">
        <f>5*1.13</f>
        <v>5.6499999999999995</v>
      </c>
      <c r="I775" s="15">
        <f>AD775</f>
        <v>20.399999999999999</v>
      </c>
      <c r="K775" s="10" t="str">
        <f t="shared" si="56"/>
        <v/>
      </c>
      <c r="L775" s="9" t="str">
        <f t="shared" si="57"/>
        <v/>
      </c>
      <c r="M775" s="8">
        <f t="shared" si="58"/>
        <v>2.8137931034482748</v>
      </c>
      <c r="N775" s="7">
        <f>12.9</f>
        <v>12.9</v>
      </c>
      <c r="S775" s="6">
        <f>Q775+R775</f>
        <v>0</v>
      </c>
      <c r="T775" s="6">
        <v>22.5</v>
      </c>
      <c r="U775" s="6">
        <v>0</v>
      </c>
      <c r="V775" s="6">
        <v>0</v>
      </c>
      <c r="W775" s="23">
        <f>U775*1.067+V775*1.514</f>
        <v>0</v>
      </c>
      <c r="AB775" s="5">
        <v>80</v>
      </c>
      <c r="AC775" s="7">
        <f>T775</f>
        <v>22.5</v>
      </c>
      <c r="AD775" s="1">
        <f>5*4.08</f>
        <v>20.399999999999999</v>
      </c>
      <c r="AE775" s="1">
        <v>24.5</v>
      </c>
      <c r="AF775" s="1">
        <v>0</v>
      </c>
      <c r="AG775" s="1">
        <v>2.02</v>
      </c>
      <c r="AH775" s="20">
        <v>0.46747685185185184</v>
      </c>
      <c r="AJ775" s="1">
        <v>239</v>
      </c>
      <c r="AK775" s="3">
        <f>180+60</f>
        <v>240</v>
      </c>
      <c r="AL775" s="4">
        <f>AE775</f>
        <v>24.5</v>
      </c>
      <c r="AM775" s="1">
        <f>5*2.72</f>
        <v>13.600000000000001</v>
      </c>
      <c r="AN775" s="3">
        <v>40</v>
      </c>
      <c r="AP775" s="13" t="e">
        <f>AVERAGE(AO773:AO779)</f>
        <v>#DIV/0!</v>
      </c>
      <c r="AR775" s="19"/>
      <c r="AS775" s="18">
        <f>(I775-AF775)/I775</f>
        <v>1</v>
      </c>
      <c r="AT775" s="18">
        <f>AG775/(AD775-AF775)</f>
        <v>9.9019607843137264E-2</v>
      </c>
      <c r="AU775" s="18">
        <f>(G775-AM775)/G775</f>
        <v>6.206896551724151E-2</v>
      </c>
      <c r="AV775" s="57" t="str">
        <f>IF(AND(ISNUMBER(E775),ISNUMBER(W775)),E775-W775,"")</f>
        <v/>
      </c>
      <c r="AW775" s="57">
        <f>IF(AND(ISNUMBER(I775),ISNUMBER(AF775)),I775-AF775,"")</f>
        <v>20.399999999999999</v>
      </c>
      <c r="AX775" s="57">
        <f>IF(AND(ISNUMBER(AM775),ISNUMBER(G775)),G775-AM775,"")</f>
        <v>0.90000000000000213</v>
      </c>
      <c r="AY775" s="57">
        <f>IF(AND(ISNUMBER(AC775),ISNUMBER(AE775)),AC775-AE775,"")</f>
        <v>-2</v>
      </c>
      <c r="AZ775" s="57">
        <f t="shared" si="59"/>
        <v>10.899999999999999</v>
      </c>
      <c r="BF775" s="6"/>
    </row>
    <row r="776" spans="1:58" ht="15.75">
      <c r="B776" s="11">
        <v>46036</v>
      </c>
      <c r="C776" s="1">
        <v>532</v>
      </c>
      <c r="D776" s="3">
        <v>771</v>
      </c>
      <c r="E776" s="205" t="str">
        <f t="shared" si="60"/>
        <v/>
      </c>
      <c r="I776" s="15">
        <f>AD776</f>
        <v>21</v>
      </c>
      <c r="K776" s="10" t="str">
        <f t="shared" si="56"/>
        <v/>
      </c>
      <c r="L776" s="9" t="str">
        <f t="shared" si="57"/>
        <v/>
      </c>
      <c r="M776" s="8" t="str">
        <f t="shared" si="58"/>
        <v/>
      </c>
      <c r="AB776" s="5">
        <v>80</v>
      </c>
      <c r="AD776" s="21">
        <v>21</v>
      </c>
      <c r="AG776" s="1">
        <v>0.67</v>
      </c>
      <c r="AH776" s="20">
        <v>0.44525462962962964</v>
      </c>
      <c r="AJ776" s="1">
        <v>79</v>
      </c>
      <c r="AK776" s="3">
        <f>180+60</f>
        <v>240</v>
      </c>
      <c r="AN776" s="3">
        <v>40</v>
      </c>
      <c r="AP776" s="13" t="e">
        <f>AVERAGE(AO774:AO780)</f>
        <v>#DIV/0!</v>
      </c>
      <c r="AR776" s="19"/>
      <c r="AS776" s="18">
        <f>(I776-AF776)/I776</f>
        <v>1</v>
      </c>
      <c r="AT776" s="18">
        <f>AG776/(AD776-AF776)</f>
        <v>3.1904761904761908E-2</v>
      </c>
      <c r="AU776" s="18"/>
      <c r="AV776" s="57" t="str">
        <f>IF(AND(ISNUMBER(E776),ISNUMBER(W776)),E776-W776,"")</f>
        <v/>
      </c>
      <c r="AW776" s="57" t="str">
        <f>IF(AND(ISNUMBER(I776),ISNUMBER(AF776)),I776-AF776,"")</f>
        <v/>
      </c>
      <c r="AX776" s="57" t="str">
        <f>IF(AND(ISNUMBER(AM776),ISNUMBER(G776)),G776-AM776,"")</f>
        <v/>
      </c>
      <c r="AY776" s="57" t="str">
        <f>IF(AND(ISNUMBER(AC776),ISNUMBER(AE776)),AC776-AE776,"")</f>
        <v/>
      </c>
      <c r="AZ776" s="57" t="str">
        <f t="shared" si="59"/>
        <v/>
      </c>
      <c r="BF776" s="6"/>
    </row>
    <row r="777" spans="1:58" ht="15.75">
      <c r="B777" s="11">
        <v>46037</v>
      </c>
      <c r="C777" s="1">
        <v>533</v>
      </c>
      <c r="D777" s="3">
        <v>772</v>
      </c>
      <c r="E777" s="205" t="str">
        <f t="shared" si="60"/>
        <v/>
      </c>
      <c r="I777" s="15">
        <f>AD777</f>
        <v>21</v>
      </c>
      <c r="K777" s="10" t="str">
        <f t="shared" si="56"/>
        <v/>
      </c>
      <c r="L777" s="9" t="str">
        <f t="shared" si="57"/>
        <v/>
      </c>
      <c r="M777" s="8" t="str">
        <f t="shared" si="58"/>
        <v/>
      </c>
      <c r="AB777" s="5">
        <v>80</v>
      </c>
      <c r="AD777" s="21">
        <v>21</v>
      </c>
      <c r="AG777" s="1">
        <v>0.32</v>
      </c>
      <c r="AH777" s="20">
        <v>0.44317129629629631</v>
      </c>
      <c r="AJ777" s="1">
        <v>93</v>
      </c>
      <c r="AK777" s="3">
        <f>180+60</f>
        <v>240</v>
      </c>
      <c r="AN777" s="3">
        <v>40</v>
      </c>
      <c r="AP777" s="13" t="e">
        <f>AVERAGE(AO775:AO781)</f>
        <v>#DIV/0!</v>
      </c>
      <c r="AR777" s="19"/>
      <c r="AS777" s="18">
        <f>(I777-AF777)/I777</f>
        <v>1</v>
      </c>
      <c r="AT777" s="18">
        <f>AG777/(AD777-AF777)</f>
        <v>1.5238095238095238E-2</v>
      </c>
      <c r="AU777" s="18"/>
      <c r="AV777" s="57" t="str">
        <f>IF(AND(ISNUMBER(E777),ISNUMBER(W777)),E777-W777,"")</f>
        <v/>
      </c>
      <c r="AW777" s="57" t="str">
        <f>IF(AND(ISNUMBER(I777),ISNUMBER(AF777)),I777-AF777,"")</f>
        <v/>
      </c>
      <c r="AX777" s="57" t="str">
        <f>IF(AND(ISNUMBER(AM777),ISNUMBER(G777)),G777-AM777,"")</f>
        <v/>
      </c>
      <c r="AY777" s="57" t="str">
        <f>IF(AND(ISNUMBER(AC777),ISNUMBER(AE777)),AC777-AE777,"")</f>
        <v/>
      </c>
      <c r="AZ777" s="57" t="str">
        <f t="shared" si="59"/>
        <v/>
      </c>
      <c r="BF777" s="6"/>
    </row>
    <row r="778" spans="1:58" ht="15.75">
      <c r="B778" s="11">
        <v>46038</v>
      </c>
      <c r="C778" s="1">
        <v>534</v>
      </c>
      <c r="D778" s="3">
        <v>773</v>
      </c>
      <c r="E778" s="205" t="str">
        <f t="shared" si="60"/>
        <v/>
      </c>
      <c r="G778" s="15">
        <v>14</v>
      </c>
      <c r="H778" s="15"/>
      <c r="I778" s="15">
        <f>AD778</f>
        <v>21</v>
      </c>
      <c r="K778" s="10" t="str">
        <f t="shared" si="56"/>
        <v/>
      </c>
      <c r="L778" s="9" t="str">
        <f t="shared" si="57"/>
        <v/>
      </c>
      <c r="M778" s="8">
        <f t="shared" si="58"/>
        <v>3</v>
      </c>
      <c r="T778" s="6">
        <v>27.4</v>
      </c>
      <c r="AB778" s="5">
        <v>80</v>
      </c>
      <c r="AC778" s="7">
        <f>T778</f>
        <v>27.4</v>
      </c>
      <c r="AD778" s="1">
        <f>5*4.2</f>
        <v>21</v>
      </c>
      <c r="AE778" s="1">
        <v>17.3</v>
      </c>
      <c r="AF778" s="1">
        <v>0</v>
      </c>
      <c r="AG778" s="1">
        <v>0.42</v>
      </c>
      <c r="AH778" s="20">
        <v>0.44374999999999998</v>
      </c>
      <c r="AJ778" s="1">
        <v>89</v>
      </c>
      <c r="AK778" s="3">
        <f>180+60</f>
        <v>240</v>
      </c>
      <c r="AL778" s="4">
        <f>AE778</f>
        <v>17.3</v>
      </c>
      <c r="AM778" s="1">
        <f>5*0.989</f>
        <v>4.9450000000000003</v>
      </c>
      <c r="AN778" s="3">
        <v>40</v>
      </c>
      <c r="AP778" s="13" t="e">
        <f>AVERAGE(AO776:AO782)</f>
        <v>#DIV/0!</v>
      </c>
      <c r="AR778" s="19"/>
      <c r="AS778" s="18">
        <f>(I778-AF778)/I778</f>
        <v>1</v>
      </c>
      <c r="AT778" s="18">
        <f>AG778/(AD778-AF778)</f>
        <v>0.02</v>
      </c>
      <c r="AU778" s="18">
        <f>(G778-AM778)/G778</f>
        <v>0.6467857142857143</v>
      </c>
      <c r="AV778" s="57" t="str">
        <f>IF(AND(ISNUMBER(E778),ISNUMBER(W778)),E778-W778,"")</f>
        <v/>
      </c>
      <c r="AW778" s="57">
        <f>IF(AND(ISNUMBER(I778),ISNUMBER(AF778)),I778-AF778,"")</f>
        <v>21</v>
      </c>
      <c r="AX778" s="57">
        <f>IF(AND(ISNUMBER(AM778),ISNUMBER(G778)),G778-AM778,"")</f>
        <v>9.0549999999999997</v>
      </c>
      <c r="AY778" s="57">
        <f>IF(AND(ISNUMBER(AC778),ISNUMBER(AE778)),AC778-AE778,"")</f>
        <v>10.099999999999998</v>
      </c>
      <c r="AZ778" s="57">
        <f t="shared" si="59"/>
        <v>12.355</v>
      </c>
      <c r="BF778" s="6"/>
    </row>
    <row r="779" spans="1:58" ht="15.75">
      <c r="B779" s="11">
        <v>46039</v>
      </c>
      <c r="C779" s="1">
        <v>535</v>
      </c>
      <c r="D779" s="3">
        <v>774</v>
      </c>
      <c r="E779" s="205" t="str">
        <f t="shared" si="60"/>
        <v/>
      </c>
      <c r="I779" s="15">
        <f>AD779</f>
        <v>0</v>
      </c>
      <c r="K779" s="10" t="str">
        <f t="shared" si="56"/>
        <v/>
      </c>
      <c r="L779" s="9" t="str">
        <f t="shared" si="57"/>
        <v/>
      </c>
      <c r="M779" s="8" t="str">
        <f t="shared" si="58"/>
        <v/>
      </c>
      <c r="AB779" s="5">
        <v>80</v>
      </c>
      <c r="AG779" s="1">
        <v>0.56000000000000005</v>
      </c>
      <c r="AH779" s="20">
        <v>0.44351851851851853</v>
      </c>
      <c r="AJ779" s="1">
        <v>91</v>
      </c>
      <c r="AK779" s="3">
        <f>180+60</f>
        <v>240</v>
      </c>
      <c r="AN779" s="3">
        <v>40</v>
      </c>
      <c r="AP779" s="13" t="e">
        <f>AVERAGE(AO777:AO783)</f>
        <v>#DIV/0!</v>
      </c>
      <c r="AR779" s="19"/>
      <c r="AS779" s="18"/>
      <c r="AT779" s="18"/>
      <c r="AU779" s="18"/>
      <c r="AV779" s="57" t="str">
        <f>IF(AND(ISNUMBER(E779),ISNUMBER(W779)),E779-W779,"")</f>
        <v/>
      </c>
      <c r="AW779" s="57" t="str">
        <f>IF(AND(ISNUMBER(I779),ISNUMBER(AF779)),I779-AF779,"")</f>
        <v/>
      </c>
      <c r="AX779" s="57" t="str">
        <f>IF(AND(ISNUMBER(AM779),ISNUMBER(G779)),G779-AM779,"")</f>
        <v/>
      </c>
      <c r="AY779" s="57" t="str">
        <f>IF(AND(ISNUMBER(AC779),ISNUMBER(AE779)),AC779-AE779,"")</f>
        <v/>
      </c>
      <c r="AZ779" s="57" t="str">
        <f t="shared" si="59"/>
        <v/>
      </c>
      <c r="BF779" s="6"/>
    </row>
    <row r="780" spans="1:58" ht="15.75">
      <c r="B780" s="11">
        <v>46040</v>
      </c>
      <c r="C780" s="1">
        <v>536</v>
      </c>
      <c r="D780" s="3">
        <v>775</v>
      </c>
      <c r="E780" s="205" t="str">
        <f t="shared" si="60"/>
        <v/>
      </c>
      <c r="I780" s="15">
        <f>AD780</f>
        <v>0</v>
      </c>
      <c r="K780" s="10" t="str">
        <f t="shared" si="56"/>
        <v/>
      </c>
      <c r="L780" s="9" t="str">
        <f t="shared" si="57"/>
        <v/>
      </c>
      <c r="M780" s="8" t="str">
        <f t="shared" si="58"/>
        <v/>
      </c>
      <c r="AB780" s="5">
        <v>80</v>
      </c>
      <c r="AG780" s="1">
        <v>0.6</v>
      </c>
      <c r="AH780" s="20">
        <v>0.44363425925925926</v>
      </c>
      <c r="AJ780" s="1">
        <v>89</v>
      </c>
      <c r="AK780" s="3">
        <f>180+60</f>
        <v>240</v>
      </c>
      <c r="AN780" s="3">
        <v>40</v>
      </c>
      <c r="AP780" s="13">
        <f>AVERAGE(AO778:AO784)</f>
        <v>2209.9999999999909</v>
      </c>
      <c r="AR780" s="19"/>
      <c r="AS780" s="18"/>
      <c r="AT780" s="18"/>
      <c r="AU780" s="18"/>
      <c r="AV780" s="57" t="str">
        <f>IF(AND(ISNUMBER(E780),ISNUMBER(W780)),E780-W780,"")</f>
        <v/>
      </c>
      <c r="AW780" s="57" t="str">
        <f>IF(AND(ISNUMBER(I780),ISNUMBER(AF780)),I780-AF780,"")</f>
        <v/>
      </c>
      <c r="AX780" s="57" t="str">
        <f>IF(AND(ISNUMBER(AM780),ISNUMBER(G780)),G780-AM780,"")</f>
        <v/>
      </c>
      <c r="AY780" s="57" t="str">
        <f>IF(AND(ISNUMBER(AC780),ISNUMBER(AE780)),AC780-AE780,"")</f>
        <v/>
      </c>
      <c r="AZ780" s="57" t="str">
        <f t="shared" si="59"/>
        <v/>
      </c>
      <c r="BF780" s="6" t="str">
        <f>IF(OR(AJ780=0,AP780=0,NOT(ISNUMBER(AD780)),NOT(ISNUMBER(AF780)),NOT(ISNUMBER(AJ780)),NOT(ISNUMBER(AP780))),"",
IFERROR(IF((AD780-AF780)/(AJ780/60)/(AP780/1000)&lt;=0,"",(AD780-AF780)/(AJ780/60)/(AP780/1000)),""))</f>
        <v/>
      </c>
    </row>
    <row r="781" spans="1:58" ht="15.75">
      <c r="B781" s="11">
        <v>46041</v>
      </c>
      <c r="C781" s="1">
        <v>537</v>
      </c>
      <c r="D781" s="3">
        <v>776</v>
      </c>
      <c r="E781" s="205" t="str">
        <f t="shared" si="60"/>
        <v/>
      </c>
      <c r="I781" s="15">
        <f>AD781</f>
        <v>0</v>
      </c>
      <c r="K781" s="10" t="str">
        <f t="shared" si="56"/>
        <v/>
      </c>
      <c r="L781" s="9" t="str">
        <f t="shared" si="57"/>
        <v/>
      </c>
      <c r="M781" s="8" t="str">
        <f t="shared" si="58"/>
        <v/>
      </c>
      <c r="AB781" s="5">
        <v>80</v>
      </c>
      <c r="AG781" s="1">
        <v>0.71</v>
      </c>
      <c r="AH781" s="20">
        <v>0.44490740740740742</v>
      </c>
      <c r="AJ781" s="1">
        <v>91</v>
      </c>
      <c r="AK781" s="3">
        <f>180+60</f>
        <v>240</v>
      </c>
      <c r="AN781" s="3">
        <v>40</v>
      </c>
      <c r="AP781" s="13">
        <f>AVERAGE(AO779:AO785)</f>
        <v>2209.9999999999909</v>
      </c>
      <c r="AR781" s="19"/>
      <c r="AS781" s="18"/>
      <c r="AT781" s="18"/>
      <c r="AU781" s="18"/>
      <c r="AV781" s="57" t="str">
        <f>IF(AND(ISNUMBER(E781),ISNUMBER(W781)),E781-W781,"")</f>
        <v/>
      </c>
      <c r="AW781" s="57" t="str">
        <f>IF(AND(ISNUMBER(I781),ISNUMBER(AF781)),I781-AF781,"")</f>
        <v/>
      </c>
      <c r="AX781" s="57" t="str">
        <f>IF(AND(ISNUMBER(AM781),ISNUMBER(G781)),G781-AM781,"")</f>
        <v/>
      </c>
      <c r="AY781" s="57" t="str">
        <f>IF(AND(ISNUMBER(AC781),ISNUMBER(AE781)),AC781-AE781,"")</f>
        <v/>
      </c>
      <c r="AZ781" s="57" t="str">
        <f t="shared" si="59"/>
        <v/>
      </c>
      <c r="BF781" s="6" t="str">
        <f>IF(OR(AJ781=0,AP781=0,NOT(ISNUMBER(AD781)),NOT(ISNUMBER(AF781)),NOT(ISNUMBER(AJ781)),NOT(ISNUMBER(AP781))),"",
IFERROR(IF((AD781-AF781)/(AJ781/60)/(AP781/1000)&lt;=0,"",(AD781-AF781)/(AJ781/60)/(AP781/1000)),""))</f>
        <v/>
      </c>
    </row>
    <row r="782" spans="1:58" ht="15.75">
      <c r="B782" s="11">
        <v>46042</v>
      </c>
      <c r="C782" s="1">
        <v>538</v>
      </c>
      <c r="D782" s="3">
        <v>777</v>
      </c>
      <c r="E782" s="205" t="str">
        <f t="shared" si="60"/>
        <v/>
      </c>
      <c r="G782" s="24">
        <v>14</v>
      </c>
      <c r="I782" s="15">
        <f>AD782</f>
        <v>0</v>
      </c>
      <c r="K782" s="10" t="str">
        <f t="shared" si="56"/>
        <v/>
      </c>
      <c r="L782" s="9" t="str">
        <f t="shared" si="57"/>
        <v/>
      </c>
      <c r="M782" s="8" t="str">
        <f t="shared" si="58"/>
        <v/>
      </c>
      <c r="AB782" s="5">
        <v>80</v>
      </c>
      <c r="AG782" s="1">
        <v>0.66</v>
      </c>
      <c r="AH782" s="20">
        <v>0.4443287037037037</v>
      </c>
      <c r="AJ782" s="1">
        <v>93</v>
      </c>
      <c r="AK782" s="3">
        <f>180+60</f>
        <v>240</v>
      </c>
      <c r="AL782" s="4">
        <v>24.2</v>
      </c>
      <c r="AM782" s="1">
        <f>5*1.41</f>
        <v>7.05</v>
      </c>
      <c r="AN782" s="3">
        <v>40</v>
      </c>
      <c r="AP782" s="13">
        <f>AVERAGE(AO780:AO786)</f>
        <v>2209.9999999999909</v>
      </c>
      <c r="AR782" s="19"/>
      <c r="AS782" s="18"/>
      <c r="AT782" s="18"/>
      <c r="AU782" s="18">
        <f>(G782-AM782)/G782</f>
        <v>0.49642857142857144</v>
      </c>
      <c r="AV782" s="57" t="str">
        <f>IF(AND(ISNUMBER(E782),ISNUMBER(W782)),E782-W782,"")</f>
        <v/>
      </c>
      <c r="AW782" s="57" t="str">
        <f>IF(AND(ISNUMBER(I782),ISNUMBER(AF782)),I782-AF782,"")</f>
        <v/>
      </c>
      <c r="AX782" s="57">
        <f>IF(AND(ISNUMBER(AM782),ISNUMBER(G782)),G782-AM782,"")</f>
        <v>6.95</v>
      </c>
      <c r="AY782" s="57" t="str">
        <f>IF(AND(ISNUMBER(AC782),ISNUMBER(AE782)),AC782-AE782,"")</f>
        <v/>
      </c>
      <c r="AZ782" s="57">
        <f t="shared" si="59"/>
        <v>17.149999999999999</v>
      </c>
      <c r="BF782" s="6" t="str">
        <f>IF(OR(AJ782=0,AP782=0,NOT(ISNUMBER(AD782)),NOT(ISNUMBER(AF782)),NOT(ISNUMBER(AJ782)),NOT(ISNUMBER(AP782))),"",
IFERROR(IF((AD782-AF782)/(AJ782/60)/(AP782/1000)&lt;=0,"",(AD782-AF782)/(AJ782/60)/(AP782/1000)),""))</f>
        <v/>
      </c>
    </row>
    <row r="783" spans="1:58" ht="15.75">
      <c r="B783" s="11">
        <v>46043</v>
      </c>
      <c r="C783" s="1">
        <v>539</v>
      </c>
      <c r="D783" s="3">
        <v>778</v>
      </c>
      <c r="E783" s="205">
        <f t="shared" si="60"/>
        <v>228.50984</v>
      </c>
      <c r="G783" s="15">
        <f>(N783*18-H783*18)/9</f>
        <v>12.070000000000002</v>
      </c>
      <c r="H783" s="15">
        <f>5*0.723</f>
        <v>3.6149999999999998</v>
      </c>
      <c r="I783" s="15">
        <f>AD783</f>
        <v>21.5</v>
      </c>
      <c r="K783" s="10">
        <f t="shared" si="56"/>
        <v>18.932049710024852</v>
      </c>
      <c r="L783" s="9">
        <f t="shared" si="57"/>
        <v>5.3141823255813954</v>
      </c>
      <c r="M783" s="8">
        <f t="shared" si="58"/>
        <v>3.5625517812758902</v>
      </c>
      <c r="N783" s="7">
        <f>5*1.93</f>
        <v>9.65</v>
      </c>
      <c r="O783" s="6">
        <v>21.027999999999999</v>
      </c>
      <c r="P783" s="6">
        <v>60.646000000000001</v>
      </c>
      <c r="Q783" s="6">
        <f>O783*1.067</f>
        <v>22.436875999999998</v>
      </c>
      <c r="R783" s="6">
        <f>P783*1.514</f>
        <v>91.818044</v>
      </c>
      <c r="S783" s="6">
        <f>Q783+R783</f>
        <v>114.25492</v>
      </c>
      <c r="T783" s="6">
        <v>35.4</v>
      </c>
      <c r="U783" s="6">
        <v>0</v>
      </c>
      <c r="V783" s="6">
        <v>0</v>
      </c>
      <c r="W783" s="23">
        <f>U783*1.067+V783*1.514</f>
        <v>0</v>
      </c>
      <c r="AB783" s="5">
        <v>80</v>
      </c>
      <c r="AC783" s="7">
        <f>T783</f>
        <v>35.4</v>
      </c>
      <c r="AD783" s="1">
        <f>5*4.3</f>
        <v>21.5</v>
      </c>
      <c r="AE783" s="1">
        <v>23.9</v>
      </c>
      <c r="AF783" s="1">
        <v>0</v>
      </c>
      <c r="AG783" s="1">
        <v>0.97</v>
      </c>
      <c r="AH783" s="20">
        <v>0.45185185185185184</v>
      </c>
      <c r="AI783" s="2"/>
      <c r="AJ783" s="2">
        <f>("19:00"-"18:25")*1440</f>
        <v>34.999999999999872</v>
      </c>
      <c r="AK783" s="3">
        <f>180+60</f>
        <v>240</v>
      </c>
      <c r="AL783" s="4">
        <f>AE783</f>
        <v>23.9</v>
      </c>
      <c r="AM783" s="1">
        <f>5*1.21</f>
        <v>6.05</v>
      </c>
      <c r="AN783" s="3">
        <v>40</v>
      </c>
      <c r="AP783" s="13">
        <f>AVERAGE(AO781:AO787)</f>
        <v>2209.9999999999909</v>
      </c>
      <c r="AR783" s="19">
        <f>(E783-W783)/E783</f>
        <v>1</v>
      </c>
      <c r="AS783" s="18">
        <f>(I783-AF783)/I783</f>
        <v>1</v>
      </c>
      <c r="AT783" s="18">
        <f>AG783/(AD783-AF783)</f>
        <v>4.5116279069767444E-2</v>
      </c>
      <c r="AU783" s="18">
        <f>(G783-AM783)/G783</f>
        <v>0.49875724937862481</v>
      </c>
      <c r="AV783" s="57">
        <f>IF(AND(ISNUMBER(E783),ISNUMBER(W783)),E783-W783,"")</f>
        <v>228.50984</v>
      </c>
      <c r="AW783" s="57">
        <f>IF(AND(ISNUMBER(I783),ISNUMBER(AF783)),I783-AF783,"")</f>
        <v>21.5</v>
      </c>
      <c r="AX783" s="57">
        <f>IF(AND(ISNUMBER(AM783),ISNUMBER(G783)),G783-AM783,"")</f>
        <v>6.0200000000000022</v>
      </c>
      <c r="AY783" s="57">
        <f>IF(AND(ISNUMBER(AC783),ISNUMBER(AE783)),AC783-AE783,"")</f>
        <v>11.5</v>
      </c>
      <c r="AZ783" s="57">
        <f t="shared" si="59"/>
        <v>17.849999999999998</v>
      </c>
      <c r="BE783" s="6">
        <f>IF((AD783-AF783)/(AJ783/60)&lt;=0,"",(AD783-AF783)/(AJ783/60))</f>
        <v>36.857142857142996</v>
      </c>
      <c r="BF783" s="6">
        <f>IF(OR(AJ783=0,AP783=0,NOT(ISNUMBER(AD783)),NOT(ISNUMBER(AF783)),NOT(ISNUMBER(AJ783)),NOT(ISNUMBER(AP783))),"",
IFERROR(IF((AD783-AF783)/(AJ783/60)/(AP783/1000)&lt;=0,"",(AD783-AF783)/(AJ783/60)/(AP783/1000)),""))</f>
        <v>16.677440206852101</v>
      </c>
    </row>
    <row r="784" spans="1:58" ht="15.75">
      <c r="B784" s="11">
        <v>46044</v>
      </c>
      <c r="C784" s="1">
        <v>540</v>
      </c>
      <c r="D784" s="3">
        <v>779</v>
      </c>
      <c r="E784" s="205">
        <f t="shared" si="60"/>
        <v>214.22985999999997</v>
      </c>
      <c r="G784" s="15">
        <f>(N784*18-H784*18)/9</f>
        <v>14.389999999999999</v>
      </c>
      <c r="H784" s="15">
        <f>5*0.981</f>
        <v>4.9050000000000002</v>
      </c>
      <c r="I784" s="15">
        <f>AD784</f>
        <v>22.25</v>
      </c>
      <c r="K784" s="10">
        <f t="shared" si="56"/>
        <v>14.887412091730369</v>
      </c>
      <c r="L784" s="9">
        <f t="shared" si="57"/>
        <v>4.8141541573033706</v>
      </c>
      <c r="M784" s="8">
        <f t="shared" si="58"/>
        <v>3.0924252953439892</v>
      </c>
      <c r="N784" s="7">
        <f>5*2.42</f>
        <v>12.1</v>
      </c>
      <c r="O784" s="6">
        <v>18.972000000000001</v>
      </c>
      <c r="P784" s="6">
        <v>57.378999999999998</v>
      </c>
      <c r="Q784" s="6">
        <f>O784*1.067</f>
        <v>20.243124000000002</v>
      </c>
      <c r="R784" s="6">
        <f>P784*1.514</f>
        <v>86.871805999999992</v>
      </c>
      <c r="S784" s="6">
        <f>Q784+R784</f>
        <v>107.11492999999999</v>
      </c>
      <c r="T784" s="6">
        <v>40.5</v>
      </c>
      <c r="U784" s="6">
        <v>0</v>
      </c>
      <c r="V784" s="6">
        <v>0</v>
      </c>
      <c r="W784" s="23">
        <f>U784*1.067+V784*1.514</f>
        <v>0</v>
      </c>
      <c r="AB784" s="5">
        <v>80</v>
      </c>
      <c r="AC784" s="7">
        <f>T784</f>
        <v>40.5</v>
      </c>
      <c r="AD784" s="1">
        <f>5*4.45</f>
        <v>22.25</v>
      </c>
      <c r="AE784" s="1">
        <v>27.9</v>
      </c>
      <c r="AF784" s="1">
        <v>0</v>
      </c>
      <c r="AG784" s="1">
        <v>1.58</v>
      </c>
      <c r="AH784" s="20">
        <v>0.44837962962962963</v>
      </c>
      <c r="AI784" s="2"/>
      <c r="AJ784" s="2">
        <f>("19:00"-"18:25")*1440</f>
        <v>34.999999999999872</v>
      </c>
      <c r="AK784" s="3">
        <f>180+60</f>
        <v>240</v>
      </c>
      <c r="AL784" s="4">
        <f>AE784</f>
        <v>27.9</v>
      </c>
      <c r="AM784" s="1">
        <f>5*1.83</f>
        <v>9.15</v>
      </c>
      <c r="AN784" s="3">
        <v>40</v>
      </c>
      <c r="AO784" s="2">
        <v>2209.9999999999909</v>
      </c>
      <c r="AP784" s="13">
        <f>AVERAGE(AO782:AO788)</f>
        <v>2070.0000000000045</v>
      </c>
      <c r="AR784" s="19">
        <f>(E784-W784)/E784</f>
        <v>1</v>
      </c>
      <c r="AS784" s="18">
        <f>(I784-AF784)/I784</f>
        <v>1</v>
      </c>
      <c r="AT784" s="18">
        <f>AG784/(AD784-AF784)</f>
        <v>7.1011235955056179E-2</v>
      </c>
      <c r="AU784" s="18">
        <f>(G784-AM784)/G784</f>
        <v>0.3641417651146629</v>
      </c>
      <c r="AV784" s="57">
        <f>IF(AND(ISNUMBER(E784),ISNUMBER(W784)),E784-W784,"")</f>
        <v>214.22985999999997</v>
      </c>
      <c r="AW784" s="57">
        <f>IF(AND(ISNUMBER(I784),ISNUMBER(AF784)),I784-AF784,"")</f>
        <v>22.25</v>
      </c>
      <c r="AX784" s="57">
        <f>IF(AND(ISNUMBER(AM784),ISNUMBER(G784)),G784-AM784,"")</f>
        <v>5.2399999999999984</v>
      </c>
      <c r="AY784" s="57">
        <f>IF(AND(ISNUMBER(AC784),ISNUMBER(AE784)),AC784-AE784,"")</f>
        <v>12.600000000000001</v>
      </c>
      <c r="AZ784" s="57">
        <f t="shared" si="59"/>
        <v>18.75</v>
      </c>
      <c r="BE784" s="6">
        <f>IF((AD784-AF784)/(AJ784/60)&lt;=0,"",(AD784-AF784)/(AJ784/60))</f>
        <v>38.142857142857288</v>
      </c>
      <c r="BF784" s="6">
        <f>IF(OR(AJ784=0,AP784=0,NOT(ISNUMBER(AD784)),NOT(ISNUMBER(AF784)),NOT(ISNUMBER(AJ784)),NOT(ISNUMBER(AP784))),"",
IFERROR(IF((AD784-AF784)/(AJ784/60)/(AP784/1000)&lt;=0,"",(AD784-AF784)/(AJ784/60)/(AP784/1000)),""))</f>
        <v>18.426501035196715</v>
      </c>
    </row>
    <row r="785" spans="1:58" ht="15.75">
      <c r="B785" s="11">
        <v>46045</v>
      </c>
      <c r="C785" s="1">
        <v>541</v>
      </c>
      <c r="D785" s="3">
        <v>780</v>
      </c>
      <c r="E785" s="205" t="str">
        <f t="shared" si="60"/>
        <v/>
      </c>
      <c r="I785" s="15">
        <f>AD785</f>
        <v>22</v>
      </c>
      <c r="K785" s="10" t="str">
        <f t="shared" si="56"/>
        <v/>
      </c>
      <c r="L785" s="9" t="str">
        <f t="shared" si="57"/>
        <v/>
      </c>
      <c r="M785" s="8" t="str">
        <f t="shared" si="58"/>
        <v/>
      </c>
      <c r="AB785" s="5">
        <v>80</v>
      </c>
      <c r="AD785" s="26">
        <v>22</v>
      </c>
      <c r="AF785" s="1">
        <v>0</v>
      </c>
      <c r="AG785" s="27">
        <v>0.99</v>
      </c>
      <c r="AH785" s="20">
        <v>0.44467592592592592</v>
      </c>
      <c r="AI785" s="2"/>
      <c r="AJ785" s="2">
        <f>("19:00"-"18:25")*1440</f>
        <v>34.999999999999872</v>
      </c>
      <c r="AK785" s="3">
        <f>180+60</f>
        <v>240</v>
      </c>
      <c r="AN785" s="3">
        <v>40</v>
      </c>
      <c r="AP785" s="13">
        <f>AVERAGE(AO783:AO789)</f>
        <v>1989.9999999999939</v>
      </c>
      <c r="AR785" s="19"/>
      <c r="AS785" s="18"/>
      <c r="AT785" s="18"/>
      <c r="AU785" s="18"/>
      <c r="AV785" s="57" t="str">
        <f>IF(AND(ISNUMBER(E785),ISNUMBER(W785)),E785-W785,"")</f>
        <v/>
      </c>
      <c r="AW785" s="57">
        <f>IF(AND(ISNUMBER(I785),ISNUMBER(AF785)),I785-AF785,"")</f>
        <v>22</v>
      </c>
      <c r="AX785" s="57" t="str">
        <f>IF(AND(ISNUMBER(AM785),ISNUMBER(G785)),G785-AM785,"")</f>
        <v/>
      </c>
      <c r="AY785" s="57" t="str">
        <f>IF(AND(ISNUMBER(AC785),ISNUMBER(AE785)),AC785-AE785,"")</f>
        <v/>
      </c>
      <c r="AZ785" s="57" t="str">
        <f t="shared" si="59"/>
        <v/>
      </c>
      <c r="BE785" s="6">
        <f>IF((AD785-AF785)/(AJ785/60)&lt;=0,"",(AD785-AF785)/(AJ785/60))</f>
        <v>37.714285714285857</v>
      </c>
      <c r="BF785" s="6">
        <f>IF(OR(AJ785=0,AP785=0,NOT(ISNUMBER(AD785)),NOT(ISNUMBER(AF785)),NOT(ISNUMBER(AJ785)),NOT(ISNUMBER(AP785))),"",
IFERROR(IF((AD785-AF785)/(AJ785/60)/(AP785/1000)&lt;=0,"",(AD785-AF785)/(AJ785/60)/(AP785/1000)),""))</f>
        <v>18.951902368987927</v>
      </c>
    </row>
    <row r="786" spans="1:58" ht="15.75">
      <c r="B786" s="11">
        <v>46046</v>
      </c>
      <c r="C786" s="1">
        <v>542</v>
      </c>
      <c r="D786" s="3">
        <v>781</v>
      </c>
      <c r="E786" s="205" t="str">
        <f t="shared" si="60"/>
        <v/>
      </c>
      <c r="I786" s="15">
        <f>AD786</f>
        <v>21.5</v>
      </c>
      <c r="K786" s="10" t="str">
        <f t="shared" si="56"/>
        <v/>
      </c>
      <c r="L786" s="9" t="str">
        <f t="shared" si="57"/>
        <v/>
      </c>
      <c r="M786" s="8" t="str">
        <f t="shared" si="58"/>
        <v/>
      </c>
      <c r="AB786" s="5">
        <v>80</v>
      </c>
      <c r="AD786" s="26">
        <v>21.5</v>
      </c>
      <c r="AF786" s="1">
        <v>0</v>
      </c>
      <c r="AG786" s="1">
        <v>1.1100000000000001</v>
      </c>
      <c r="AH786" s="20">
        <v>0.44490740740740742</v>
      </c>
      <c r="AI786" s="2"/>
      <c r="AJ786" s="2">
        <f>("19:10"-"18:25")*1440</f>
        <v>45</v>
      </c>
      <c r="AK786" s="3">
        <f>180+60</f>
        <v>240</v>
      </c>
      <c r="AN786" s="3">
        <v>40</v>
      </c>
      <c r="AP786" s="13">
        <f>AVERAGE(AO784:AO790)</f>
        <v>1989.9999999999939</v>
      </c>
      <c r="AR786" s="19"/>
      <c r="AS786" s="18"/>
      <c r="AT786" s="18"/>
      <c r="AU786" s="18"/>
      <c r="AV786" s="57" t="str">
        <f>IF(AND(ISNUMBER(E786),ISNUMBER(W786)),E786-W786,"")</f>
        <v/>
      </c>
      <c r="AW786" s="57">
        <f>IF(AND(ISNUMBER(I786),ISNUMBER(AF786)),I786-AF786,"")</f>
        <v>21.5</v>
      </c>
      <c r="AX786" s="57" t="str">
        <f>IF(AND(ISNUMBER(AM786),ISNUMBER(G786)),G786-AM786,"")</f>
        <v/>
      </c>
      <c r="AY786" s="57" t="str">
        <f>IF(AND(ISNUMBER(AC786),ISNUMBER(AE786)),AC786-AE786,"")</f>
        <v/>
      </c>
      <c r="AZ786" s="57" t="str">
        <f t="shared" si="59"/>
        <v/>
      </c>
      <c r="BE786" s="6">
        <f>IF((AD786-AF786)/(AJ786/60)&lt;=0,"",(AD786-AF786)/(AJ786/60))</f>
        <v>28.666666666666668</v>
      </c>
      <c r="BF786" s="6">
        <f>IF(OR(AJ786=0,AP786=0,NOT(ISNUMBER(AD786)),NOT(ISNUMBER(AF786)),NOT(ISNUMBER(AJ786)),NOT(ISNUMBER(AP786))),"",
IFERROR(IF((AD786-AF786)/(AJ786/60)/(AP786/1000)&lt;=0,"",(AD786-AF786)/(AJ786/60)/(AP786/1000)),""))</f>
        <v>14.405360134003395</v>
      </c>
    </row>
    <row r="787" spans="1:58" ht="15.75">
      <c r="B787" s="11">
        <v>46047</v>
      </c>
      <c r="C787" s="1">
        <v>543</v>
      </c>
      <c r="D787" s="3">
        <v>782</v>
      </c>
      <c r="E787" s="205" t="str">
        <f t="shared" si="60"/>
        <v/>
      </c>
      <c r="G787" s="24">
        <v>14.389999999999999</v>
      </c>
      <c r="I787" s="15">
        <f>AD787</f>
        <v>21</v>
      </c>
      <c r="K787" s="10" t="str">
        <f t="shared" si="56"/>
        <v/>
      </c>
      <c r="L787" s="9" t="str">
        <f t="shared" si="57"/>
        <v/>
      </c>
      <c r="M787" s="8">
        <f t="shared" si="58"/>
        <v>2.9186935371785965</v>
      </c>
      <c r="T787" s="6">
        <v>37.5</v>
      </c>
      <c r="AB787" s="5">
        <v>80</v>
      </c>
      <c r="AC787" s="7">
        <f>T787</f>
        <v>37.5</v>
      </c>
      <c r="AD787" s="1">
        <f>5*4.2</f>
        <v>21</v>
      </c>
      <c r="AF787" s="1">
        <v>0</v>
      </c>
      <c r="AG787" s="1">
        <v>1.58</v>
      </c>
      <c r="AH787" s="20">
        <v>0.44849537037037035</v>
      </c>
      <c r="AI787" s="2"/>
      <c r="AJ787" s="2">
        <f>("19:00"-"18:25")*1440</f>
        <v>34.999999999999872</v>
      </c>
      <c r="AK787" s="3">
        <f>180+60</f>
        <v>240</v>
      </c>
      <c r="AM787" s="1">
        <f>5*1.52</f>
        <v>7.6</v>
      </c>
      <c r="AN787" s="3">
        <v>40</v>
      </c>
      <c r="AP787" s="13">
        <f>AVERAGE(AO785:AO791)</f>
        <v>1904.9999999999879</v>
      </c>
      <c r="AR787" s="19"/>
      <c r="AS787" s="18">
        <f>(I787-AF787)/I787</f>
        <v>1</v>
      </c>
      <c r="AT787" s="18">
        <f>AG787/(AD787-AF787)</f>
        <v>7.5238095238095243E-2</v>
      </c>
      <c r="AU787" s="18">
        <f>(G787-AM787)/G787</f>
        <v>0.4718554551772064</v>
      </c>
      <c r="AV787" s="57" t="str">
        <f>IF(AND(ISNUMBER(E787),ISNUMBER(W787)),E787-W787,"")</f>
        <v/>
      </c>
      <c r="AW787" s="57">
        <f>IF(AND(ISNUMBER(I787),ISNUMBER(AF787)),I787-AF787,"")</f>
        <v>21</v>
      </c>
      <c r="AX787" s="57">
        <f>IF(AND(ISNUMBER(AM787),ISNUMBER(G787)),G787-AM787,"")</f>
        <v>6.7899999999999991</v>
      </c>
      <c r="AY787" s="57" t="str">
        <f>IF(AND(ISNUMBER(AC787),ISNUMBER(AE787)),AC787-AE787,"")</f>
        <v/>
      </c>
      <c r="AZ787" s="57" t="str">
        <f t="shared" si="59"/>
        <v/>
      </c>
      <c r="BE787" s="6">
        <f>IF((AD787-AF787)/(AJ787/60)&lt;=0,"",(AD787-AF787)/(AJ787/60))</f>
        <v>36.000000000000135</v>
      </c>
      <c r="BF787" s="6">
        <f>IF(OR(AJ787=0,AP787=0,NOT(ISNUMBER(AD787)),NOT(ISNUMBER(AF787)),NOT(ISNUMBER(AJ787)),NOT(ISNUMBER(AP787))),"",
IFERROR(IF((AD787-AF787)/(AJ787/60)/(AP787/1000)&lt;=0,"",(AD787-AF787)/(AJ787/60)/(AP787/1000)),""))</f>
        <v>18.897637795275781</v>
      </c>
    </row>
    <row r="788" spans="1:58" ht="15.75">
      <c r="A788" s="12" t="s">
        <v>9</v>
      </c>
      <c r="B788" s="11">
        <v>46048</v>
      </c>
      <c r="C788" s="1">
        <v>544</v>
      </c>
      <c r="D788" s="3">
        <v>783</v>
      </c>
      <c r="E788" s="205">
        <f t="shared" si="60"/>
        <v>183.71784400000001</v>
      </c>
      <c r="I788" s="15">
        <f>AD788</f>
        <v>21</v>
      </c>
      <c r="K788" s="10" t="str">
        <f t="shared" si="56"/>
        <v/>
      </c>
      <c r="L788" s="9">
        <f t="shared" si="57"/>
        <v>4.3742343809523812</v>
      </c>
      <c r="M788" s="8" t="str">
        <f t="shared" si="58"/>
        <v/>
      </c>
      <c r="O788" s="6">
        <v>0</v>
      </c>
      <c r="P788" s="6">
        <v>60.673000000000002</v>
      </c>
      <c r="Q788" s="6">
        <f>O788*1.067</f>
        <v>0</v>
      </c>
      <c r="R788" s="6">
        <f>P788*1.514</f>
        <v>91.858922000000007</v>
      </c>
      <c r="S788" s="6">
        <f>Q788+R788</f>
        <v>91.858922000000007</v>
      </c>
      <c r="U788" s="6">
        <v>0</v>
      </c>
      <c r="V788" s="6">
        <v>0</v>
      </c>
      <c r="W788" s="23">
        <f>U788*1.067+V788*1.514</f>
        <v>0</v>
      </c>
      <c r="AB788" s="5">
        <v>80</v>
      </c>
      <c r="AC788" s="7"/>
      <c r="AD788" s="21">
        <v>21</v>
      </c>
      <c r="AF788" s="1">
        <v>0</v>
      </c>
      <c r="AG788" s="1">
        <v>2.61</v>
      </c>
      <c r="AH788" s="20">
        <v>0.43611111111111112</v>
      </c>
      <c r="AI788" s="2"/>
      <c r="AJ788" s="2">
        <f>("19:00"-"18:25")*1440</f>
        <v>34.999999999999872</v>
      </c>
      <c r="AK788" s="3">
        <f>180+60</f>
        <v>240</v>
      </c>
      <c r="AN788" s="3">
        <v>40</v>
      </c>
      <c r="AO788" s="2">
        <v>1930.0000000000182</v>
      </c>
      <c r="AP788" s="13">
        <f>AVERAGE(AO786:AO792)</f>
        <v>1926.2499999999932</v>
      </c>
      <c r="AR788" s="19">
        <f>(E788-W788)/E788</f>
        <v>1</v>
      </c>
      <c r="AS788" s="18">
        <f>(I788-AF788)/I788</f>
        <v>1</v>
      </c>
      <c r="AT788" s="18">
        <f>AG788/(AD788-AF788)</f>
        <v>0.12428571428571428</v>
      </c>
      <c r="AU788" s="18"/>
      <c r="AV788" s="57">
        <f>IF(AND(ISNUMBER(E788),ISNUMBER(W788)),E788-W788,"")</f>
        <v>183.71784400000001</v>
      </c>
      <c r="AW788" s="57">
        <f>IF(AND(ISNUMBER(I788),ISNUMBER(AF788)),I788-AF788,"")</f>
        <v>21</v>
      </c>
      <c r="AX788" s="57" t="str">
        <f>IF(AND(ISNUMBER(AM788),ISNUMBER(G788)),G788-AM788,"")</f>
        <v/>
      </c>
      <c r="AY788" s="57" t="str">
        <f>IF(AND(ISNUMBER(AC788),ISNUMBER(AE788)),AC788-AE788,"")</f>
        <v/>
      </c>
      <c r="AZ788" s="57" t="str">
        <f t="shared" si="59"/>
        <v/>
      </c>
      <c r="BE788" s="6">
        <f>IF((AD788-AF788)/(AJ788/60)&lt;=0,"",(AD788-AF788)/(AJ788/60))</f>
        <v>36.000000000000135</v>
      </c>
      <c r="BF788" s="6">
        <f>IF(OR(AJ788=0,AP788=0,NOT(ISNUMBER(AD788)),NOT(ISNUMBER(AF788)),NOT(ISNUMBER(AJ788)),NOT(ISNUMBER(AP788))),"",
IFERROR(IF((AD788-AF788)/(AJ788/60)/(AP788/1000)&lt;=0,"",(AD788-AF788)/(AJ788/60)/(AP788/1000)),""))</f>
        <v>18.68916288124608</v>
      </c>
    </row>
    <row r="789" spans="1:58" ht="15.75">
      <c r="A789" s="12" t="s">
        <v>8</v>
      </c>
      <c r="B789" s="11">
        <v>46049</v>
      </c>
      <c r="C789" s="1">
        <v>545</v>
      </c>
      <c r="D789" s="3">
        <v>784</v>
      </c>
      <c r="E789" s="205">
        <f t="shared" si="60"/>
        <v>175.57271599999999</v>
      </c>
      <c r="I789" s="15">
        <f>AD789</f>
        <v>21</v>
      </c>
      <c r="K789" s="10" t="str">
        <f t="shared" si="56"/>
        <v/>
      </c>
      <c r="L789" s="9">
        <f t="shared" si="57"/>
        <v>4.1803027619047617</v>
      </c>
      <c r="M789" s="8" t="str">
        <f t="shared" si="58"/>
        <v/>
      </c>
      <c r="O789" s="6">
        <v>82.274000000000001</v>
      </c>
      <c r="P789" s="6">
        <v>0</v>
      </c>
      <c r="Q789" s="6">
        <f>O789*1.067</f>
        <v>87.786357999999993</v>
      </c>
      <c r="R789" s="6">
        <f>P789*1.514</f>
        <v>0</v>
      </c>
      <c r="S789" s="6">
        <f>Q789+R789</f>
        <v>87.786357999999993</v>
      </c>
      <c r="U789" s="6">
        <v>0</v>
      </c>
      <c r="V789" s="6">
        <v>0</v>
      </c>
      <c r="W789" s="23">
        <f>U789*1.067+V789*1.514</f>
        <v>0</v>
      </c>
      <c r="AB789" s="5">
        <v>80</v>
      </c>
      <c r="AD789" s="21">
        <v>21</v>
      </c>
      <c r="AF789" s="1">
        <v>0</v>
      </c>
      <c r="AG789" s="1">
        <v>2.71</v>
      </c>
      <c r="AH789" s="20">
        <v>0.42453703703703705</v>
      </c>
      <c r="AI789" s="2"/>
      <c r="AJ789" s="2">
        <f>("19:00"-"18:25")*1440</f>
        <v>34.999999999999872</v>
      </c>
      <c r="AK789" s="3">
        <f>180+60</f>
        <v>240</v>
      </c>
      <c r="AN789" s="3">
        <v>40</v>
      </c>
      <c r="AO789" s="2">
        <v>1829.9999999999727</v>
      </c>
      <c r="AP789" s="13">
        <f>AVERAGE(AO787:AO793)</f>
        <v>1926.2499999999932</v>
      </c>
      <c r="AR789" s="19">
        <f>(E789-W789)/E789</f>
        <v>1</v>
      </c>
      <c r="AS789" s="18">
        <f>(I789-AF789)/I789</f>
        <v>1</v>
      </c>
      <c r="AT789" s="18">
        <f>AG789/(AD789-AF789)</f>
        <v>0.12904761904761905</v>
      </c>
      <c r="AU789" s="18"/>
      <c r="AV789" s="57">
        <f>IF(AND(ISNUMBER(E789),ISNUMBER(W789)),E789-W789,"")</f>
        <v>175.57271599999999</v>
      </c>
      <c r="AW789" s="57">
        <f>IF(AND(ISNUMBER(I789),ISNUMBER(AF789)),I789-AF789,"")</f>
        <v>21</v>
      </c>
      <c r="AX789" s="57" t="str">
        <f>IF(AND(ISNUMBER(AM789),ISNUMBER(G789)),G789-AM789,"")</f>
        <v/>
      </c>
      <c r="AY789" s="57" t="str">
        <f>IF(AND(ISNUMBER(AC789),ISNUMBER(AE789)),AC789-AE789,"")</f>
        <v/>
      </c>
      <c r="AZ789" s="57" t="str">
        <f t="shared" si="59"/>
        <v/>
      </c>
      <c r="BE789" s="6">
        <f>IF((AD789-AF789)/(AJ789/60)&lt;=0,"",(AD789-AF789)/(AJ789/60))</f>
        <v>36.000000000000135</v>
      </c>
      <c r="BF789" s="6">
        <f>IF(OR(AJ789=0,AP789=0,NOT(ISNUMBER(AD789)),NOT(ISNUMBER(AF789)),NOT(ISNUMBER(AJ789)),NOT(ISNUMBER(AP789))),"",
IFERROR(IF((AD789-AF789)/(AJ789/60)/(AP789/1000)&lt;=0,"",(AD789-AF789)/(AJ789/60)/(AP789/1000)),""))</f>
        <v>18.68916288124608</v>
      </c>
    </row>
    <row r="790" spans="1:58" ht="15.75">
      <c r="B790" s="11">
        <v>46050</v>
      </c>
      <c r="C790" s="1">
        <v>546</v>
      </c>
      <c r="D790" s="3">
        <v>785</v>
      </c>
      <c r="E790" s="205" t="str">
        <f t="shared" si="60"/>
        <v/>
      </c>
      <c r="G790" s="24">
        <v>14.389999999999999</v>
      </c>
      <c r="I790" s="15">
        <f>AD790</f>
        <v>21</v>
      </c>
      <c r="K790" s="10" t="str">
        <f t="shared" si="56"/>
        <v/>
      </c>
      <c r="L790" s="9" t="str">
        <f t="shared" si="57"/>
        <v/>
      </c>
      <c r="M790" s="8">
        <f t="shared" si="58"/>
        <v>2.9186935371785965</v>
      </c>
      <c r="AB790" s="5">
        <v>80</v>
      </c>
      <c r="AD790" s="21">
        <v>21</v>
      </c>
      <c r="AF790" s="1">
        <v>0</v>
      </c>
      <c r="AG790" s="1">
        <v>1.41</v>
      </c>
      <c r="AH790" s="20">
        <v>0.44513888888888886</v>
      </c>
      <c r="AI790" s="2"/>
      <c r="AJ790" s="2">
        <f>("19:00"-"18:25")*1440</f>
        <v>34.999999999999872</v>
      </c>
      <c r="AK790" s="3">
        <f>180+60</f>
        <v>240</v>
      </c>
      <c r="AM790" s="1">
        <v>7.87</v>
      </c>
      <c r="AN790" s="3">
        <v>40</v>
      </c>
      <c r="AP790" s="13">
        <f>AVERAGE(AO788:AO794)</f>
        <v>1958.9999999999964</v>
      </c>
      <c r="AR790" s="19"/>
      <c r="AS790" s="18">
        <f>(I790-AF790)/I790</f>
        <v>1</v>
      </c>
      <c r="AT790" s="18">
        <f>AG790/(AD790-AF790)</f>
        <v>6.7142857142857143E-2</v>
      </c>
      <c r="AU790" s="18">
        <f>(G790-AM790)/G790</f>
        <v>0.45309242529534394</v>
      </c>
      <c r="AV790" s="57" t="str">
        <f>IF(AND(ISNUMBER(E790),ISNUMBER(W790)),E790-W790,"")</f>
        <v/>
      </c>
      <c r="AW790" s="57">
        <f>IF(AND(ISNUMBER(I790),ISNUMBER(AF790)),I790-AF790,"")</f>
        <v>21</v>
      </c>
      <c r="AX790" s="57">
        <f>IF(AND(ISNUMBER(AM790),ISNUMBER(G790)),G790-AM790,"")</f>
        <v>6.5199999999999987</v>
      </c>
      <c r="AY790" s="57" t="str">
        <f>IF(AND(ISNUMBER(AC790),ISNUMBER(AE790)),AC790-AE790,"")</f>
        <v/>
      </c>
      <c r="AZ790" s="57" t="str">
        <f t="shared" si="59"/>
        <v/>
      </c>
      <c r="BE790" s="6">
        <f>IF((AD790-AF790)/(AJ790/60)&lt;=0,"",(AD790-AF790)/(AJ790/60))</f>
        <v>36.000000000000135</v>
      </c>
      <c r="BF790" s="6">
        <f>IF(OR(AJ790=0,AP790=0,NOT(ISNUMBER(AD790)),NOT(ISNUMBER(AF790)),NOT(ISNUMBER(AJ790)),NOT(ISNUMBER(AP790))),"",
IFERROR(IF((AD790-AF790)/(AJ790/60)/(AP790/1000)&lt;=0,"",(AD790-AF790)/(AJ790/60)/(AP790/1000)),""))</f>
        <v>18.376722817764268</v>
      </c>
    </row>
    <row r="791" spans="1:58" ht="15.75">
      <c r="A791" s="12" t="s">
        <v>7</v>
      </c>
      <c r="B791" s="11">
        <v>46051</v>
      </c>
      <c r="C791" s="1">
        <v>547</v>
      </c>
      <c r="D791" s="3">
        <v>786</v>
      </c>
      <c r="E791" s="205">
        <f t="shared" si="60"/>
        <v>182.87606000000002</v>
      </c>
      <c r="I791" s="15">
        <f>AD791</f>
        <v>21</v>
      </c>
      <c r="K791" s="10" t="str">
        <f t="shared" si="56"/>
        <v/>
      </c>
      <c r="L791" s="9">
        <f t="shared" si="57"/>
        <v>4.3541919047619055</v>
      </c>
      <c r="M791" s="8" t="str">
        <f t="shared" si="58"/>
        <v/>
      </c>
      <c r="O791" s="6">
        <v>0</v>
      </c>
      <c r="P791">
        <v>60.395000000000003</v>
      </c>
      <c r="Q791" s="6">
        <f>O791*1.067</f>
        <v>0</v>
      </c>
      <c r="R791" s="6">
        <f>P791*1.514</f>
        <v>91.438030000000012</v>
      </c>
      <c r="S791" s="6">
        <f>Q791+R791</f>
        <v>91.438030000000012</v>
      </c>
      <c r="U791" s="6">
        <v>0</v>
      </c>
      <c r="V791" s="6">
        <v>0</v>
      </c>
      <c r="W791" s="23">
        <f>U791*1.067+V791*1.514</f>
        <v>0</v>
      </c>
      <c r="AB791" s="5">
        <v>80</v>
      </c>
      <c r="AD791" s="21">
        <v>21</v>
      </c>
      <c r="AF791" s="1">
        <v>0</v>
      </c>
      <c r="AG791" s="1">
        <v>1.95</v>
      </c>
      <c r="AH791" s="20">
        <v>0.48912037037037037</v>
      </c>
      <c r="AI791" s="2"/>
      <c r="AJ791" s="2">
        <f>("19:10"-"18:25")*1440</f>
        <v>45</v>
      </c>
      <c r="AK791" s="3">
        <f>180+60</f>
        <v>240</v>
      </c>
      <c r="AN791" s="3">
        <v>40</v>
      </c>
      <c r="AO791" s="2">
        <v>1954.9999999999727</v>
      </c>
      <c r="AP791" s="13">
        <f>AVERAGE(AO789:AO795)</f>
        <v>1966.2499999999909</v>
      </c>
      <c r="AR791" s="19">
        <f>(E791-W791)/E791</f>
        <v>1</v>
      </c>
      <c r="AS791" s="18">
        <f>(I791-AF791)/I791</f>
        <v>1</v>
      </c>
      <c r="AT791" s="18">
        <f>AG791/(AD791-AF791)</f>
        <v>9.285714285714286E-2</v>
      </c>
      <c r="AU791" s="18"/>
      <c r="AV791" s="57">
        <f>IF(AND(ISNUMBER(E791),ISNUMBER(W791)),E791-W791,"")</f>
        <v>182.87606000000002</v>
      </c>
      <c r="AW791" s="57">
        <f>IF(AND(ISNUMBER(I791),ISNUMBER(AF791)),I791-AF791,"")</f>
        <v>21</v>
      </c>
      <c r="AX791" s="57" t="str">
        <f>IF(AND(ISNUMBER(AM791),ISNUMBER(G791)),G791-AM791,"")</f>
        <v/>
      </c>
      <c r="AY791" s="57" t="str">
        <f>IF(AND(ISNUMBER(AC791),ISNUMBER(AE791)),AC791-AE791,"")</f>
        <v/>
      </c>
      <c r="AZ791" s="57" t="str">
        <f t="shared" si="59"/>
        <v/>
      </c>
      <c r="BE791" s="6">
        <f>IF((AD791-AF791)/(AJ791/60)&lt;=0,"",(AD791-AF791)/(AJ791/60))</f>
        <v>28</v>
      </c>
      <c r="BF791" s="6">
        <f>IF(OR(AJ791=0,AP791=0,NOT(ISNUMBER(AD791)),NOT(ISNUMBER(AF791)),NOT(ISNUMBER(AJ791)),NOT(ISNUMBER(AP791))),"",
IFERROR(IF((AD791-AF791)/(AJ791/60)/(AP791/1000)&lt;=0,"",(AD791-AF791)/(AJ791/60)/(AP791/1000)),""))</f>
        <v>14.240305149396123</v>
      </c>
    </row>
    <row r="792" spans="1:58" ht="15.75">
      <c r="A792" s="12" t="s">
        <v>6</v>
      </c>
      <c r="B792" s="11">
        <v>46052</v>
      </c>
      <c r="C792" s="1">
        <v>548</v>
      </c>
      <c r="D792" s="3">
        <v>787</v>
      </c>
      <c r="E792" s="205">
        <f t="shared" si="60"/>
        <v>170.76267999999999</v>
      </c>
      <c r="I792" s="15">
        <f>AD792</f>
        <v>21</v>
      </c>
      <c r="K792" s="10" t="str">
        <f t="shared" si="56"/>
        <v/>
      </c>
      <c r="L792" s="9">
        <f t="shared" si="57"/>
        <v>4.0657780952380946</v>
      </c>
      <c r="M792" s="8" t="str">
        <f t="shared" si="58"/>
        <v/>
      </c>
      <c r="O792" s="6">
        <v>80.02</v>
      </c>
      <c r="P792" s="6">
        <v>0</v>
      </c>
      <c r="Q792" s="6">
        <f>O792*1.067</f>
        <v>85.381339999999994</v>
      </c>
      <c r="R792" s="6">
        <f>P792*1.514</f>
        <v>0</v>
      </c>
      <c r="S792" s="6">
        <f>Q792+R792</f>
        <v>85.381339999999994</v>
      </c>
      <c r="U792" s="6">
        <v>0</v>
      </c>
      <c r="V792" s="6">
        <v>0</v>
      </c>
      <c r="W792" s="23">
        <f>U792*1.067+V792*1.514</f>
        <v>0</v>
      </c>
      <c r="AB792" s="5">
        <v>80</v>
      </c>
      <c r="AD792" s="21">
        <v>21</v>
      </c>
      <c r="AF792" s="1">
        <v>0</v>
      </c>
      <c r="AG792" s="1">
        <v>2.29</v>
      </c>
      <c r="AH792" s="20">
        <v>0.5131944444444444</v>
      </c>
      <c r="AI792" s="2"/>
      <c r="AJ792" s="2">
        <f>("19:05"-"18:25")*1440</f>
        <v>39.999999999999858</v>
      </c>
      <c r="AK792" s="3">
        <f>180+60</f>
        <v>240</v>
      </c>
      <c r="AN792" s="3">
        <v>40</v>
      </c>
      <c r="AO792" s="2">
        <v>1990.0000000000091</v>
      </c>
      <c r="AP792" s="13">
        <f>AVERAGE(AO790:AO796)</f>
        <v>2011.6666666666636</v>
      </c>
      <c r="AR792" s="19">
        <f>(E792-W792)/E792</f>
        <v>1</v>
      </c>
      <c r="AS792" s="18">
        <f>(I792-AF792)/I792</f>
        <v>1</v>
      </c>
      <c r="AT792" s="18">
        <f>AG792/(AD792-AF792)</f>
        <v>0.10904761904761905</v>
      </c>
      <c r="AU792" s="18"/>
      <c r="AV792" s="57">
        <f>IF(AND(ISNUMBER(E792),ISNUMBER(W792)),E792-W792,"")</f>
        <v>170.76267999999999</v>
      </c>
      <c r="AW792" s="57">
        <f>IF(AND(ISNUMBER(I792),ISNUMBER(AF792)),I792-AF792,"")</f>
        <v>21</v>
      </c>
      <c r="AX792" s="57" t="str">
        <f>IF(AND(ISNUMBER(AM792),ISNUMBER(G792)),G792-AM792,"")</f>
        <v/>
      </c>
      <c r="AY792" s="57" t="str">
        <f>IF(AND(ISNUMBER(AC792),ISNUMBER(AE792)),AC792-AE792,"")</f>
        <v/>
      </c>
      <c r="AZ792" s="57" t="str">
        <f t="shared" si="59"/>
        <v/>
      </c>
      <c r="BE792" s="6">
        <f>IF((AD792-AF792)/(AJ792/60)&lt;=0,"",(AD792-AF792)/(AJ792/60))</f>
        <v>31.500000000000114</v>
      </c>
      <c r="BF792" s="6">
        <f>IF(OR(AJ792=0,AP792=0,NOT(ISNUMBER(AD792)),NOT(ISNUMBER(AF792)),NOT(ISNUMBER(AJ792)),NOT(ISNUMBER(AP792))),"",
IFERROR(IF((AD792-AF792)/(AJ792/60)/(AP792/1000)&lt;=0,"",(AD792-AF792)/(AJ792/60)/(AP792/1000)),""))</f>
        <v>15.658657829328995</v>
      </c>
    </row>
    <row r="793" spans="1:58" ht="15.75">
      <c r="B793" s="11">
        <v>46053</v>
      </c>
      <c r="C793" s="1">
        <v>549</v>
      </c>
      <c r="D793" s="3">
        <v>788</v>
      </c>
      <c r="E793" s="205" t="str">
        <f t="shared" si="60"/>
        <v/>
      </c>
      <c r="I793" s="15">
        <f>AD793</f>
        <v>21</v>
      </c>
      <c r="K793" s="10" t="str">
        <f t="shared" si="56"/>
        <v/>
      </c>
      <c r="L793" s="9" t="str">
        <f t="shared" si="57"/>
        <v/>
      </c>
      <c r="M793" s="8" t="str">
        <f t="shared" si="58"/>
        <v/>
      </c>
      <c r="AB793" s="5">
        <v>80</v>
      </c>
      <c r="AD793" s="21">
        <v>21</v>
      </c>
      <c r="AF793" s="1">
        <v>0</v>
      </c>
      <c r="AG793" s="1">
        <v>2.0699999999999998</v>
      </c>
      <c r="AH793" s="20">
        <v>0.45</v>
      </c>
      <c r="AI793" s="2"/>
      <c r="AJ793" s="2">
        <f>("19:10"-"18:25")*1440</f>
        <v>45</v>
      </c>
      <c r="AK793" s="3">
        <f>180+60</f>
        <v>240</v>
      </c>
      <c r="AN793" s="3">
        <v>40</v>
      </c>
      <c r="AP793" s="13">
        <f>AVERAGE(AO791:AO797)</f>
        <v>2011.6666666666636</v>
      </c>
      <c r="AR793" s="19"/>
      <c r="AS793" s="18">
        <f>(I793-AF793)/I793</f>
        <v>1</v>
      </c>
      <c r="AT793" s="18">
        <f>AG793/(AD793-AF793)</f>
        <v>9.857142857142856E-2</v>
      </c>
      <c r="AU793" s="18"/>
      <c r="AV793" s="57" t="str">
        <f>IF(AND(ISNUMBER(E793),ISNUMBER(W793)),E793-W793,"")</f>
        <v/>
      </c>
      <c r="AW793" s="57">
        <f>IF(AND(ISNUMBER(I793),ISNUMBER(AF793)),I793-AF793,"")</f>
        <v>21</v>
      </c>
      <c r="AX793" s="57" t="str">
        <f>IF(AND(ISNUMBER(AM793),ISNUMBER(G793)),G793-AM793,"")</f>
        <v/>
      </c>
      <c r="AY793" s="57" t="str">
        <f>IF(AND(ISNUMBER(AC793),ISNUMBER(AE793)),AC793-AE793,"")</f>
        <v/>
      </c>
      <c r="AZ793" s="57" t="str">
        <f t="shared" si="59"/>
        <v/>
      </c>
      <c r="BE793" s="6">
        <f>IF((AD793-AF793)/(AJ793/60)&lt;=0,"",(AD793-AF793)/(AJ793/60))</f>
        <v>28</v>
      </c>
      <c r="BF793" s="6">
        <f>IF(OR(AJ793=0,AP793=0,NOT(ISNUMBER(AD793)),NOT(ISNUMBER(AF793)),NOT(ISNUMBER(AJ793)),NOT(ISNUMBER(AP793))),"",
IFERROR(IF((AD793-AF793)/(AJ793/60)/(AP793/1000)&lt;=0,"",(AD793-AF793)/(AJ793/60)/(AP793/1000)),""))</f>
        <v>13.918806959403501</v>
      </c>
    </row>
    <row r="794" spans="1:58" ht="15.75">
      <c r="A794" s="12" t="s">
        <v>5</v>
      </c>
      <c r="B794" s="11">
        <v>46054</v>
      </c>
      <c r="C794" s="1">
        <v>550</v>
      </c>
      <c r="D794" s="3">
        <v>789</v>
      </c>
      <c r="E794" s="205">
        <f t="shared" si="60"/>
        <v>173.90712400000001</v>
      </c>
      <c r="I794" s="15">
        <f>AD794</f>
        <v>21</v>
      </c>
      <c r="K794" s="10" t="str">
        <f t="shared" si="56"/>
        <v/>
      </c>
      <c r="L794" s="9">
        <f t="shared" si="57"/>
        <v>4.1406458095238099</v>
      </c>
      <c r="M794" s="8" t="str">
        <f t="shared" si="58"/>
        <v/>
      </c>
      <c r="O794" s="6">
        <v>0</v>
      </c>
      <c r="P794" s="6">
        <v>57.433</v>
      </c>
      <c r="Q794" s="6">
        <f>O794*1.067</f>
        <v>0</v>
      </c>
      <c r="R794" s="6">
        <f>P794*1.514</f>
        <v>86.953562000000005</v>
      </c>
      <c r="S794" s="6">
        <f>Q794+R794</f>
        <v>86.953562000000005</v>
      </c>
      <c r="U794" s="6">
        <v>0</v>
      </c>
      <c r="V794" s="6">
        <v>0</v>
      </c>
      <c r="W794" s="23">
        <f>U794*1.067+V794*1.514</f>
        <v>0</v>
      </c>
      <c r="AB794" s="5">
        <v>80</v>
      </c>
      <c r="AD794" s="21">
        <v>21</v>
      </c>
      <c r="AF794" s="1">
        <v>0</v>
      </c>
      <c r="AG794" s="1">
        <v>0.06</v>
      </c>
      <c r="AH794" s="20">
        <v>0.39930555555555558</v>
      </c>
      <c r="AI794" s="2"/>
      <c r="AJ794" s="2">
        <f>("19:00"-"18:25")*1440</f>
        <v>34.999999999999872</v>
      </c>
      <c r="AK794" s="3">
        <f>180+60</f>
        <v>240</v>
      </c>
      <c r="AN794" s="3">
        <v>40</v>
      </c>
      <c r="AO794" s="2">
        <v>2090.0000000000091</v>
      </c>
      <c r="AP794" s="13">
        <f>AVERAGE(AO792:AO798)</f>
        <v>2040.0000000000091</v>
      </c>
      <c r="AR794" s="19">
        <f>(E794-W794)/E794</f>
        <v>1</v>
      </c>
      <c r="AS794" s="18">
        <f>(I794-AF794)/I794</f>
        <v>1</v>
      </c>
      <c r="AT794" s="18"/>
      <c r="AU794" s="18"/>
      <c r="AV794" s="57">
        <f>IF(AND(ISNUMBER(E794),ISNUMBER(W794)),E794-W794,"")</f>
        <v>173.90712400000001</v>
      </c>
      <c r="AW794" s="57">
        <f>IF(AND(ISNUMBER(I794),ISNUMBER(AF794)),I794-AF794,"")</f>
        <v>21</v>
      </c>
      <c r="AX794" s="57" t="str">
        <f>IF(AND(ISNUMBER(AM794),ISNUMBER(G794)),G794-AM794,"")</f>
        <v/>
      </c>
      <c r="AY794" s="57" t="str">
        <f>IF(AND(ISNUMBER(AC794),ISNUMBER(AE794)),AC794-AE794,"")</f>
        <v/>
      </c>
      <c r="AZ794" s="57" t="str">
        <f t="shared" si="59"/>
        <v/>
      </c>
      <c r="BE794" s="6">
        <f>IF((AD794-AF794)/(AJ794/60)&lt;=0,"",(AD794-AF794)/(AJ794/60))</f>
        <v>36.000000000000135</v>
      </c>
      <c r="BF794" s="6">
        <f>IF(OR(AJ794=0,AP794=0,NOT(ISNUMBER(AD794)),NOT(ISNUMBER(AF794)),NOT(ISNUMBER(AJ794)),NOT(ISNUMBER(AP794))),"",
IFERROR(IF((AD794-AF794)/(AJ794/60)/(AP794/1000)&lt;=0,"",(AD794-AF794)/(AJ794/60)/(AP794/1000)),""))</f>
        <v>17.647058823529402</v>
      </c>
    </row>
    <row r="795" spans="1:58" ht="15.75">
      <c r="A795" s="25" t="s">
        <v>4</v>
      </c>
      <c r="B795" s="11">
        <v>46055</v>
      </c>
      <c r="C795" s="1">
        <v>551</v>
      </c>
      <c r="D795" s="3">
        <v>790</v>
      </c>
      <c r="E795" s="205" t="str">
        <f t="shared" si="60"/>
        <v/>
      </c>
      <c r="I795" s="15">
        <f>AD795</f>
        <v>21</v>
      </c>
      <c r="K795" s="10" t="str">
        <f t="shared" ref="K795:K834" si="61">IF(OR(E795="",G795="",E795=0,G795=0),"",E795/G795)</f>
        <v/>
      </c>
      <c r="L795" s="9" t="str">
        <f t="shared" ref="L795:L834" si="62">IF(OR(E795="",I795="",E795=0,I795=0),"",E795/(I795*2))</f>
        <v/>
      </c>
      <c r="M795" s="8" t="str">
        <f t="shared" ref="M795:M834" si="63">IF(OR(I795="",G795="",I795=0,G795=0),"",I795*2/G795)</f>
        <v/>
      </c>
      <c r="AB795" s="5">
        <v>80</v>
      </c>
      <c r="AD795" s="21">
        <v>21</v>
      </c>
      <c r="AF795" s="1">
        <v>0</v>
      </c>
      <c r="AG795" s="22">
        <v>1.32</v>
      </c>
      <c r="AH795" s="20">
        <v>0.44525462962962964</v>
      </c>
      <c r="AI795" s="2"/>
      <c r="AJ795" s="2">
        <f>("11:20"-"10:00")*1440</f>
        <v>79.999999999999957</v>
      </c>
      <c r="AK795" s="3">
        <f>180+60</f>
        <v>240</v>
      </c>
      <c r="AN795" s="3">
        <v>40</v>
      </c>
      <c r="AP795" s="13">
        <f>AVERAGE(AO793:AO799)</f>
        <v>2090.0000000000091</v>
      </c>
      <c r="AR795" s="19"/>
      <c r="AS795" s="18">
        <f>(I795-AF795)/I795</f>
        <v>1</v>
      </c>
      <c r="AT795" s="18"/>
      <c r="AU795" s="18"/>
      <c r="AV795" s="57" t="str">
        <f>IF(AND(ISNUMBER(E795),ISNUMBER(W795)),E795-W795,"")</f>
        <v/>
      </c>
      <c r="AW795" s="57">
        <f>IF(AND(ISNUMBER(I795),ISNUMBER(AF795)),I795-AF795,"")</f>
        <v>21</v>
      </c>
      <c r="AX795" s="57" t="str">
        <f>IF(AND(ISNUMBER(AM795),ISNUMBER(G795)),G795-AM795,"")</f>
        <v/>
      </c>
      <c r="AY795" s="57" t="str">
        <f>IF(AND(ISNUMBER(AC795),ISNUMBER(AE795)),AC795-AE795,"")</f>
        <v/>
      </c>
      <c r="AZ795" s="57" t="str">
        <f t="shared" si="59"/>
        <v/>
      </c>
      <c r="BE795" s="6">
        <f>IF((AD795-AF795)/(AJ795/60)&lt;=0,"",(AD795-AF795)/(AJ795/60))</f>
        <v>15.750000000000009</v>
      </c>
      <c r="BF795" s="6">
        <f>IF(OR(AJ795=0,AP795=0,NOT(ISNUMBER(AD795)),NOT(ISNUMBER(AF795)),NOT(ISNUMBER(AJ795)),NOT(ISNUMBER(AP795))),"",
IFERROR(IF((AD795-AF795)/(AJ795/60)/(AP795/1000)&lt;=0,"",(AD795-AF795)/(AJ795/60)/(AP795/1000)),""))</f>
        <v>7.5358851674640857</v>
      </c>
    </row>
    <row r="796" spans="1:58" ht="15.75">
      <c r="B796" s="11">
        <v>46056</v>
      </c>
      <c r="C796" s="1">
        <v>552</v>
      </c>
      <c r="D796" s="3">
        <v>791</v>
      </c>
      <c r="E796" s="205" t="str">
        <f t="shared" si="60"/>
        <v/>
      </c>
      <c r="I796" s="15">
        <f>AD796</f>
        <v>21</v>
      </c>
      <c r="K796" s="10" t="str">
        <f t="shared" si="61"/>
        <v/>
      </c>
      <c r="L796" s="9" t="str">
        <f t="shared" si="62"/>
        <v/>
      </c>
      <c r="M796" s="8" t="str">
        <f t="shared" si="63"/>
        <v/>
      </c>
      <c r="AB796" s="5">
        <v>80</v>
      </c>
      <c r="AD796" s="21">
        <v>21</v>
      </c>
      <c r="AF796" s="1">
        <v>0</v>
      </c>
      <c r="AG796" s="22">
        <v>1.37</v>
      </c>
      <c r="AH796" s="20">
        <v>0.44502314814814814</v>
      </c>
      <c r="AI796" s="2"/>
      <c r="AJ796" s="2"/>
      <c r="AK796" s="3">
        <f>180+60</f>
        <v>240</v>
      </c>
      <c r="AN796" s="3">
        <v>40</v>
      </c>
      <c r="AP796" s="13">
        <f>AVERAGE(AO794:AO800)</f>
        <v>2090.0000000000091</v>
      </c>
      <c r="AR796" s="19"/>
      <c r="AS796" s="18">
        <f>(I796-AF796)/I796</f>
        <v>1</v>
      </c>
      <c r="AT796" s="18"/>
      <c r="AU796" s="18"/>
      <c r="AV796" s="57" t="str">
        <f>IF(AND(ISNUMBER(E796),ISNUMBER(W796)),E796-W796,"")</f>
        <v/>
      </c>
      <c r="AW796" s="57">
        <f>IF(AND(ISNUMBER(I796),ISNUMBER(AF796)),I796-AF796,"")</f>
        <v>21</v>
      </c>
      <c r="AX796" s="57" t="str">
        <f>IF(AND(ISNUMBER(AM796),ISNUMBER(G796)),G796-AM796,"")</f>
        <v/>
      </c>
      <c r="AY796" s="57" t="str">
        <f>IF(AND(ISNUMBER(AC796),ISNUMBER(AE796)),AC796-AE796,"")</f>
        <v/>
      </c>
      <c r="AZ796" s="57" t="str">
        <f t="shared" si="59"/>
        <v/>
      </c>
      <c r="BE796" s="6" t="e">
        <f>IF((AD796-AF796)/(AJ796/60)&lt;=0,"",(AD796-AF796)/(AJ796/60))</f>
        <v>#DIV/0!</v>
      </c>
      <c r="BF796" s="6" t="str">
        <f>IF(OR(AJ796=0,AP796=0,NOT(ISNUMBER(AD796)),NOT(ISNUMBER(AF796)),NOT(ISNUMBER(AJ796)),NOT(ISNUMBER(AP796))),"",
IFERROR(IF((AD796-AF796)/(AJ796/60)/(AP796/1000)&lt;=0,"",(AD796-AF796)/(AJ796/60)/(AP796/1000)),""))</f>
        <v/>
      </c>
    </row>
    <row r="797" spans="1:58" ht="15.75">
      <c r="B797" s="11">
        <v>46057</v>
      </c>
      <c r="C797" s="1">
        <v>553</v>
      </c>
      <c r="D797" s="3">
        <v>792</v>
      </c>
      <c r="E797" s="205" t="str">
        <f t="shared" si="60"/>
        <v/>
      </c>
      <c r="I797" s="15">
        <f>AD797</f>
        <v>21</v>
      </c>
      <c r="K797" s="10" t="str">
        <f t="shared" si="61"/>
        <v/>
      </c>
      <c r="L797" s="9" t="str">
        <f t="shared" si="62"/>
        <v/>
      </c>
      <c r="M797" s="8" t="str">
        <f t="shared" si="63"/>
        <v/>
      </c>
      <c r="AB797" s="5">
        <v>80</v>
      </c>
      <c r="AD797" s="21">
        <v>21</v>
      </c>
      <c r="AF797" s="1">
        <v>0</v>
      </c>
      <c r="AG797" s="22">
        <v>0.06</v>
      </c>
      <c r="AH797" s="20">
        <v>0.39930555555555558</v>
      </c>
      <c r="AI797" s="2"/>
      <c r="AJ797" s="2"/>
      <c r="AK797" s="3">
        <f>180+60</f>
        <v>240</v>
      </c>
      <c r="AN797" s="3">
        <v>40</v>
      </c>
      <c r="AP797" s="13" t="e">
        <f>AVERAGE(AO795:AO801)</f>
        <v>#DIV/0!</v>
      </c>
      <c r="AR797" s="19"/>
      <c r="AS797" s="18">
        <f>(I797-AF797)/I797</f>
        <v>1</v>
      </c>
      <c r="AT797" s="18"/>
      <c r="AU797" s="18"/>
      <c r="AV797" s="57" t="str">
        <f>IF(AND(ISNUMBER(E797),ISNUMBER(W797)),E797-W797,"")</f>
        <v/>
      </c>
      <c r="AW797" s="57">
        <f>IF(AND(ISNUMBER(I797),ISNUMBER(AF797)),I797-AF797,"")</f>
        <v>21</v>
      </c>
      <c r="AX797" s="57" t="str">
        <f>IF(AND(ISNUMBER(AM797),ISNUMBER(G797)),G797-AM797,"")</f>
        <v/>
      </c>
      <c r="AY797" s="57" t="str">
        <f>IF(AND(ISNUMBER(AC797),ISNUMBER(AE797)),AC797-AE797,"")</f>
        <v/>
      </c>
      <c r="AZ797" s="57" t="str">
        <f t="shared" si="59"/>
        <v/>
      </c>
      <c r="BE797" s="6" t="e">
        <f>IF((AD797-AF797)/(AJ797/60)&lt;=0,"",(AD797-AF797)/(AJ797/60))</f>
        <v>#DIV/0!</v>
      </c>
      <c r="BF797" s="6"/>
    </row>
    <row r="798" spans="1:58" ht="15.75">
      <c r="B798" s="11">
        <v>46058</v>
      </c>
      <c r="C798" s="1">
        <v>554</v>
      </c>
      <c r="D798" s="3">
        <v>793</v>
      </c>
      <c r="E798" s="205" t="str">
        <f t="shared" si="60"/>
        <v/>
      </c>
      <c r="G798" s="24">
        <v>16.130000000000003</v>
      </c>
      <c r="I798" s="15">
        <f>AD798</f>
        <v>21</v>
      </c>
      <c r="K798" s="10" t="str">
        <f t="shared" si="61"/>
        <v/>
      </c>
      <c r="L798" s="9" t="str">
        <f t="shared" si="62"/>
        <v/>
      </c>
      <c r="M798" s="8">
        <f t="shared" si="63"/>
        <v>2.603843769373837</v>
      </c>
      <c r="AB798" s="5">
        <v>80</v>
      </c>
      <c r="AD798" s="21">
        <v>21</v>
      </c>
      <c r="AF798" s="1">
        <v>0</v>
      </c>
      <c r="AG798" s="22">
        <v>0.06</v>
      </c>
      <c r="AH798" s="20">
        <v>0.39930555555555558</v>
      </c>
      <c r="AI798" s="2"/>
      <c r="AJ798" s="2">
        <f>("19:05"-"18:25")*1440</f>
        <v>39.999999999999858</v>
      </c>
      <c r="AK798" s="3">
        <f>180+60</f>
        <v>240</v>
      </c>
      <c r="AM798" s="1">
        <v>7.23</v>
      </c>
      <c r="AN798" s="3">
        <v>40</v>
      </c>
      <c r="AP798" s="13">
        <f>AVERAGE(AO796:AO802)</f>
        <v>1939.9999999999636</v>
      </c>
      <c r="AR798" s="19"/>
      <c r="AS798" s="18">
        <f>(I798-AF798)/I798</f>
        <v>1</v>
      </c>
      <c r="AT798" s="18"/>
      <c r="AU798" s="18">
        <f>(G798-AM798)/G798</f>
        <v>0.55176689398636092</v>
      </c>
      <c r="AV798" s="57" t="str">
        <f>IF(AND(ISNUMBER(E798),ISNUMBER(W798)),E798-W798,"")</f>
        <v/>
      </c>
      <c r="AW798" s="57">
        <f>IF(AND(ISNUMBER(I798),ISNUMBER(AF798)),I798-AF798,"")</f>
        <v>21</v>
      </c>
      <c r="AX798" s="57">
        <f>IF(AND(ISNUMBER(AM798),ISNUMBER(G798)),G798-AM798,"")</f>
        <v>8.9000000000000021</v>
      </c>
      <c r="AY798" s="57" t="str">
        <f>IF(AND(ISNUMBER(AC798),ISNUMBER(AE798)),AC798-AE798,"")</f>
        <v/>
      </c>
      <c r="AZ798" s="57" t="str">
        <f t="shared" si="59"/>
        <v/>
      </c>
      <c r="BE798" s="6">
        <f>IF((AD798-AF798)/(AJ798/60)&lt;=0,"",(AD798-AF798)/(AJ798/60))</f>
        <v>31.500000000000114</v>
      </c>
      <c r="BF798" s="6">
        <f>IF(OR(AJ798=0,AP798=0,NOT(ISNUMBER(AD798)),NOT(ISNUMBER(AF798)),NOT(ISNUMBER(AJ798)),NOT(ISNUMBER(AP798))),"",
IFERROR(IF((AD798-AF798)/(AJ798/60)/(AP798/1000)&lt;=0,"",(AD798-AF798)/(AJ798/60)/(AP798/1000)),""))</f>
        <v>16.237113402062221</v>
      </c>
    </row>
    <row r="799" spans="1:58" ht="15.75">
      <c r="B799" s="11">
        <v>46059</v>
      </c>
      <c r="C799" s="1">
        <v>555</v>
      </c>
      <c r="D799" s="3">
        <v>794</v>
      </c>
      <c r="E799" s="205" t="str">
        <f t="shared" si="60"/>
        <v/>
      </c>
      <c r="I799" s="15">
        <f>AD799</f>
        <v>21</v>
      </c>
      <c r="K799" s="10" t="str">
        <f t="shared" si="61"/>
        <v/>
      </c>
      <c r="L799" s="9" t="str">
        <f t="shared" si="62"/>
        <v/>
      </c>
      <c r="M799" s="8" t="str">
        <f t="shared" si="63"/>
        <v/>
      </c>
      <c r="AB799" s="5">
        <v>80</v>
      </c>
      <c r="AD799" s="21">
        <v>21</v>
      </c>
      <c r="AF799" s="1">
        <v>0</v>
      </c>
      <c r="AG799" s="22">
        <v>2.19</v>
      </c>
      <c r="AH799" s="20">
        <v>0.44803240740740741</v>
      </c>
      <c r="AI799" s="2"/>
      <c r="AJ799" s="2">
        <f>("19:10"-"18:25")*1440</f>
        <v>45</v>
      </c>
      <c r="AK799" s="3">
        <f>180+60</f>
        <v>240</v>
      </c>
      <c r="AN799" s="3">
        <v>40</v>
      </c>
      <c r="AP799" s="13">
        <f>AVERAGE(AO797:AO803)</f>
        <v>2027.4999999999636</v>
      </c>
      <c r="AR799" s="19"/>
      <c r="AS799" s="18">
        <f>(I799-AF799)/I799</f>
        <v>1</v>
      </c>
      <c r="AT799" s="18"/>
      <c r="AU799" s="18"/>
      <c r="AV799" s="57" t="str">
        <f>IF(AND(ISNUMBER(E799),ISNUMBER(W799)),E799-W799,"")</f>
        <v/>
      </c>
      <c r="AW799" s="57">
        <f>IF(AND(ISNUMBER(I799),ISNUMBER(AF799)),I799-AF799,"")</f>
        <v>21</v>
      </c>
      <c r="AX799" s="57" t="str">
        <f>IF(AND(ISNUMBER(AM799),ISNUMBER(G799)),G799-AM799,"")</f>
        <v/>
      </c>
      <c r="AY799" s="57" t="str">
        <f>IF(AND(ISNUMBER(AC799),ISNUMBER(AE799)),AC799-AE799,"")</f>
        <v/>
      </c>
      <c r="AZ799" s="57" t="str">
        <f t="shared" si="59"/>
        <v/>
      </c>
      <c r="BE799" s="6">
        <f>IF((AD799-AF799)/(AJ799/60)&lt;=0,"",(AD799-AF799)/(AJ799/60))</f>
        <v>28</v>
      </c>
      <c r="BF799" s="6">
        <f>IF(OR(AJ799=0,AP799=0,NOT(ISNUMBER(AD799)),NOT(ISNUMBER(AF799)),NOT(ISNUMBER(AJ799)),NOT(ISNUMBER(AP799))),"",
IFERROR(IF((AD799-AF799)/(AJ799/60)/(AP799/1000)&lt;=0,"",(AD799-AF799)/(AJ799/60)/(AP799/1000)),""))</f>
        <v>13.810110974106291</v>
      </c>
    </row>
    <row r="800" spans="1:58" ht="15.75">
      <c r="B800" s="11">
        <v>46060</v>
      </c>
      <c r="C800" s="1">
        <v>556</v>
      </c>
      <c r="D800" s="3">
        <v>795</v>
      </c>
      <c r="E800" s="205" t="str">
        <f t="shared" si="60"/>
        <v/>
      </c>
      <c r="I800" s="15">
        <f>AD800</f>
        <v>21</v>
      </c>
      <c r="K800" s="10" t="str">
        <f t="shared" si="61"/>
        <v/>
      </c>
      <c r="L800" s="9" t="str">
        <f t="shared" si="62"/>
        <v/>
      </c>
      <c r="M800" s="8" t="str">
        <f t="shared" si="63"/>
        <v/>
      </c>
      <c r="AB800" s="5">
        <v>80</v>
      </c>
      <c r="AD800" s="21">
        <v>21</v>
      </c>
      <c r="AF800" s="1">
        <v>0</v>
      </c>
      <c r="AG800" s="1">
        <v>2.39</v>
      </c>
      <c r="AH800" s="20">
        <v>0.44768518518518519</v>
      </c>
      <c r="AI800" s="2"/>
      <c r="AJ800" s="2">
        <f>("19:05"-"18:25")*1440</f>
        <v>39.999999999999858</v>
      </c>
      <c r="AK800" s="3">
        <f>180+60</f>
        <v>240</v>
      </c>
      <c r="AN800" s="3">
        <v>40</v>
      </c>
      <c r="AP800" s="13">
        <f>AVERAGE(AO798:AO804)</f>
        <v>2027.4999999999636</v>
      </c>
      <c r="AR800" s="19"/>
      <c r="AS800" s="18">
        <f>(I800-AF800)/I800</f>
        <v>1</v>
      </c>
      <c r="AT800" s="18">
        <f>AG800/(AD800-AF800)</f>
        <v>0.11380952380952382</v>
      </c>
      <c r="AU800" s="18"/>
      <c r="AV800" s="57" t="str">
        <f>IF(AND(ISNUMBER(E800),ISNUMBER(W800)),E800-W800,"")</f>
        <v/>
      </c>
      <c r="AW800" s="57">
        <f>IF(AND(ISNUMBER(I800),ISNUMBER(AF800)),I800-AF800,"")</f>
        <v>21</v>
      </c>
      <c r="AX800" s="57" t="str">
        <f>IF(AND(ISNUMBER(AM800),ISNUMBER(G800)),G800-AM800,"")</f>
        <v/>
      </c>
      <c r="AY800" s="57" t="str">
        <f>IF(AND(ISNUMBER(AC800),ISNUMBER(AE800)),AC800-AE800,"")</f>
        <v/>
      </c>
      <c r="AZ800" s="57" t="str">
        <f t="shared" si="59"/>
        <v/>
      </c>
      <c r="BE800" s="6">
        <f>IF((AD800-AF800)/(AJ800/60)&lt;=0,"",(AD800-AF800)/(AJ800/60))</f>
        <v>31.500000000000114</v>
      </c>
      <c r="BF800" s="6">
        <f>IF(OR(AJ800=0,AP800=0,NOT(ISNUMBER(AD800)),NOT(ISNUMBER(AF800)),NOT(ISNUMBER(AJ800)),NOT(ISNUMBER(AP800))),"",
IFERROR(IF((AD800-AF800)/(AJ800/60)/(AP800/1000)&lt;=0,"",(AD800-AF800)/(AJ800/60)/(AP800/1000)),""))</f>
        <v>15.536374845869634</v>
      </c>
    </row>
    <row r="801" spans="1:58" ht="15.75">
      <c r="B801" s="11">
        <v>46061</v>
      </c>
      <c r="C801" s="1">
        <v>557</v>
      </c>
      <c r="D801" s="3">
        <v>796</v>
      </c>
      <c r="E801" s="205" t="str">
        <f t="shared" si="60"/>
        <v/>
      </c>
      <c r="G801" s="24">
        <v>16.130000000000003</v>
      </c>
      <c r="H801" s="15"/>
      <c r="I801" s="15">
        <f>AD801</f>
        <v>21</v>
      </c>
      <c r="K801" s="10" t="str">
        <f t="shared" si="61"/>
        <v/>
      </c>
      <c r="L801" s="9" t="str">
        <f t="shared" si="62"/>
        <v/>
      </c>
      <c r="M801" s="8">
        <f t="shared" si="63"/>
        <v>2.603843769373837</v>
      </c>
      <c r="AB801" s="5">
        <v>80</v>
      </c>
      <c r="AD801" s="21">
        <v>21</v>
      </c>
      <c r="AF801" s="1">
        <v>0</v>
      </c>
      <c r="AG801" s="1">
        <v>2.8</v>
      </c>
      <c r="AH801" s="20">
        <v>0.44780092592592591</v>
      </c>
      <c r="AI801" s="2"/>
      <c r="AJ801" s="2">
        <f>("19:00"-"18:25")*1440</f>
        <v>34.999999999999872</v>
      </c>
      <c r="AK801" s="3">
        <f>180+60</f>
        <v>240</v>
      </c>
      <c r="AM801" s="1">
        <v>3.5</v>
      </c>
      <c r="AN801" s="3">
        <v>40</v>
      </c>
      <c r="AP801" s="13">
        <f>AVERAGE(AO799:AO805)</f>
        <v>2027.4999999999636</v>
      </c>
      <c r="AR801" s="19"/>
      <c r="AS801" s="18">
        <f>(I801-AF801)/I801</f>
        <v>1</v>
      </c>
      <c r="AT801" s="18">
        <f>AG801/(AD801-AF801)</f>
        <v>0.13333333333333333</v>
      </c>
      <c r="AU801" s="18">
        <f>(G801-AM801)/G801</f>
        <v>0.78301301921884692</v>
      </c>
      <c r="AV801" s="57" t="str">
        <f>IF(AND(ISNUMBER(E801),ISNUMBER(W801)),E801-W801,"")</f>
        <v/>
      </c>
      <c r="AW801" s="57">
        <f>IF(AND(ISNUMBER(I801),ISNUMBER(AF801)),I801-AF801,"")</f>
        <v>21</v>
      </c>
      <c r="AX801" s="57">
        <f>IF(AND(ISNUMBER(AM801),ISNUMBER(G801)),G801-AM801,"")</f>
        <v>12.630000000000003</v>
      </c>
      <c r="AY801" s="57" t="str">
        <f>IF(AND(ISNUMBER(AC801),ISNUMBER(AE801)),AC801-AE801,"")</f>
        <v/>
      </c>
      <c r="AZ801" s="57" t="str">
        <f t="shared" si="59"/>
        <v/>
      </c>
      <c r="BE801" s="6">
        <f>IF((AD801-AF801)/(AJ801/60)&lt;=0,"",(AD801-AF801)/(AJ801/60))</f>
        <v>36.000000000000135</v>
      </c>
      <c r="BF801" s="6">
        <f>IF(OR(AJ801=0,AP801=0,NOT(ISNUMBER(AD801)),NOT(ISNUMBER(AF801)),NOT(ISNUMBER(AJ801)),NOT(ISNUMBER(AP801))),"",
IFERROR(IF((AD801-AF801)/(AJ801/60)/(AP801/1000)&lt;=0,"",(AD801-AF801)/(AJ801/60)/(AP801/1000)),""))</f>
        <v>17.755856966708155</v>
      </c>
    </row>
    <row r="802" spans="1:58" ht="15.75">
      <c r="B802" s="11">
        <v>46062</v>
      </c>
      <c r="C802" s="1">
        <v>558</v>
      </c>
      <c r="D802" s="3">
        <v>797</v>
      </c>
      <c r="E802" s="205">
        <f t="shared" si="60"/>
        <v>252.79240400000003</v>
      </c>
      <c r="G802" s="15">
        <f>(N802*18-H802*18)/9</f>
        <v>16.130000000000003</v>
      </c>
      <c r="H802" s="15">
        <f>5*0.787</f>
        <v>3.9350000000000001</v>
      </c>
      <c r="I802" s="15">
        <f>AD802</f>
        <v>21</v>
      </c>
      <c r="K802" s="10">
        <f t="shared" si="61"/>
        <v>15.672188716676999</v>
      </c>
      <c r="L802" s="9">
        <f t="shared" si="62"/>
        <v>6.0188667619047624</v>
      </c>
      <c r="M802" s="8">
        <f t="shared" si="63"/>
        <v>2.603843769373837</v>
      </c>
      <c r="N802" s="7">
        <f>5*2.4</f>
        <v>12</v>
      </c>
      <c r="O802" s="6">
        <v>19.838000000000001</v>
      </c>
      <c r="P802" s="6">
        <v>69.504000000000005</v>
      </c>
      <c r="Q802" s="6">
        <f>O802*1.067</f>
        <v>21.167145999999999</v>
      </c>
      <c r="R802" s="6">
        <f>P802*1.514</f>
        <v>105.22905600000001</v>
      </c>
      <c r="S802" s="6">
        <f>Q802+R802</f>
        <v>126.39620200000002</v>
      </c>
      <c r="T802" s="6">
        <v>43.4</v>
      </c>
      <c r="U802" s="6">
        <v>0</v>
      </c>
      <c r="V802" s="6">
        <v>0</v>
      </c>
      <c r="W802" s="23">
        <f>U802*1.067+V802*1.514</f>
        <v>0</v>
      </c>
      <c r="AB802" s="5">
        <v>80</v>
      </c>
      <c r="AC802" s="7">
        <f>T802</f>
        <v>43.4</v>
      </c>
      <c r="AD802" s="1">
        <f>5*4.2</f>
        <v>21</v>
      </c>
      <c r="AE802" s="1">
        <v>28.8</v>
      </c>
      <c r="AF802" s="1">
        <v>0</v>
      </c>
      <c r="AG802" s="1">
        <v>2.79</v>
      </c>
      <c r="AH802" s="20">
        <v>0.45254629629629628</v>
      </c>
      <c r="AI802" s="2"/>
      <c r="AJ802" s="2">
        <f>("19:00"-"18:25")*1440</f>
        <v>34.999999999999872</v>
      </c>
      <c r="AK802" s="3">
        <f>180+60</f>
        <v>240</v>
      </c>
      <c r="AL802" s="4">
        <f>AE802</f>
        <v>28.8</v>
      </c>
      <c r="AM802" s="1">
        <f>5*1.29</f>
        <v>6.45</v>
      </c>
      <c r="AN802" s="3">
        <v>40</v>
      </c>
      <c r="AO802" s="2">
        <v>1939.9999999999636</v>
      </c>
      <c r="AP802" s="13">
        <f>AVERAGE(AO800:AO806)</f>
        <v>2027.4999999999636</v>
      </c>
      <c r="AR802" s="19">
        <f>(E802-W802)/E802</f>
        <v>1</v>
      </c>
      <c r="AS802" s="18">
        <f>(I802-AF802)/I802</f>
        <v>1</v>
      </c>
      <c r="AT802" s="18">
        <f>AG802/(AD802-AF802)</f>
        <v>0.13285714285714287</v>
      </c>
      <c r="AU802" s="18">
        <f>(G802-AM802)/G802</f>
        <v>0.60012399256044646</v>
      </c>
      <c r="AV802" s="57">
        <f>IF(AND(ISNUMBER(E802),ISNUMBER(W802)),E802-W802,"")</f>
        <v>252.79240400000003</v>
      </c>
      <c r="AW802" s="57">
        <f>IF(AND(ISNUMBER(I802),ISNUMBER(AF802)),I802-AF802,"")</f>
        <v>21</v>
      </c>
      <c r="AX802" s="57">
        <f>IF(AND(ISNUMBER(AM802),ISNUMBER(G802)),G802-AM802,"")</f>
        <v>9.6800000000000033</v>
      </c>
      <c r="AY802" s="57">
        <f>IF(AND(ISNUMBER(AC802),ISNUMBER(AE802)),AC802-AE802,"")</f>
        <v>14.599999999999998</v>
      </c>
      <c r="AZ802" s="57">
        <f t="shared" si="59"/>
        <v>22.35</v>
      </c>
      <c r="BE802" s="6">
        <f>IF((AD802-AF802)/(AJ802/60)&lt;=0,"",(AD802-AF802)/(AJ802/60))</f>
        <v>36.000000000000135</v>
      </c>
      <c r="BF802" s="6">
        <f>IF(OR(AJ802=0,AP802=0,NOT(ISNUMBER(AD802)),NOT(ISNUMBER(AF802)),NOT(ISNUMBER(AJ802)),NOT(ISNUMBER(AP802))),"",
IFERROR(IF((AD802-AF802)/(AJ802/60)/(AP802/1000)&lt;=0,"",(AD802-AF802)/(AJ802/60)/(AP802/1000)),""))</f>
        <v>17.755856966708155</v>
      </c>
    </row>
    <row r="803" spans="1:58" ht="15.75">
      <c r="A803" s="12" t="s">
        <v>3</v>
      </c>
      <c r="B803" s="11">
        <v>46063</v>
      </c>
      <c r="C803" s="1">
        <v>559</v>
      </c>
      <c r="D803" s="3">
        <v>798</v>
      </c>
      <c r="E803" s="205">
        <f t="shared" si="60"/>
        <v>186.82103000000001</v>
      </c>
      <c r="I803" s="15">
        <f>AD803</f>
        <v>21</v>
      </c>
      <c r="K803" s="10" t="str">
        <f t="shared" si="61"/>
        <v/>
      </c>
      <c r="L803" s="9">
        <f t="shared" si="62"/>
        <v>4.4481197619047617</v>
      </c>
      <c r="M803" s="8" t="str">
        <f t="shared" si="63"/>
        <v/>
      </c>
      <c r="O803" s="6">
        <v>87.545000000000002</v>
      </c>
      <c r="P803" s="6">
        <v>0</v>
      </c>
      <c r="Q803" s="6">
        <f>O803*1.067</f>
        <v>93.410515000000004</v>
      </c>
      <c r="R803" s="6">
        <f>P803*1.514</f>
        <v>0</v>
      </c>
      <c r="S803" s="6">
        <f>Q803+R803</f>
        <v>93.410515000000004</v>
      </c>
      <c r="U803" s="6">
        <v>0</v>
      </c>
      <c r="V803" s="6">
        <v>0</v>
      </c>
      <c r="W803" s="23">
        <f>U803*1.067+V803*1.514</f>
        <v>0</v>
      </c>
      <c r="AB803" s="5">
        <v>80</v>
      </c>
      <c r="AD803" s="21">
        <v>21</v>
      </c>
      <c r="AF803" s="1">
        <v>0</v>
      </c>
      <c r="AG803" s="1">
        <v>0.79</v>
      </c>
      <c r="AH803" s="20">
        <v>0.50717592592592597</v>
      </c>
      <c r="AI803" s="2"/>
      <c r="AJ803" s="2">
        <f>("19:10"-"18:25")*1440</f>
        <v>45</v>
      </c>
      <c r="AK803" s="3">
        <f>180+60</f>
        <v>240</v>
      </c>
      <c r="AN803" s="3">
        <v>40</v>
      </c>
      <c r="AO803" s="2">
        <v>2114.9999999999636</v>
      </c>
      <c r="AP803" s="13">
        <f>AVERAGE(AO801:AO807)</f>
        <v>2027.4999999999636</v>
      </c>
      <c r="AR803" s="19">
        <f>(E803-W803)/E803</f>
        <v>1</v>
      </c>
      <c r="AS803" s="18">
        <f>(I803-AF803)/I803</f>
        <v>1</v>
      </c>
      <c r="AT803" s="18">
        <f>AG803/(AD803-AF803)</f>
        <v>3.7619047619047621E-2</v>
      </c>
      <c r="AU803" s="18"/>
      <c r="AV803" s="57">
        <f>IF(AND(ISNUMBER(E803),ISNUMBER(W803)),E803-W803,"")</f>
        <v>186.82103000000001</v>
      </c>
      <c r="AW803" s="57">
        <f>IF(AND(ISNUMBER(I803),ISNUMBER(AF803)),I803-AF803,"")</f>
        <v>21</v>
      </c>
      <c r="AX803" s="57" t="str">
        <f>IF(AND(ISNUMBER(AM803),ISNUMBER(G803)),G803-AM803,"")</f>
        <v/>
      </c>
      <c r="AY803" s="57" t="str">
        <f>IF(AND(ISNUMBER(AC803),ISNUMBER(AE803)),AC803-AE803,"")</f>
        <v/>
      </c>
      <c r="AZ803" s="57" t="str">
        <f t="shared" si="59"/>
        <v/>
      </c>
      <c r="BE803" s="6">
        <f>IF((AD803-AF803)/(AJ803/60)&lt;=0,"",(AD803-AF803)/(AJ803/60))</f>
        <v>28</v>
      </c>
      <c r="BF803" s="6">
        <f>IF(OR(AJ803=0,AP803=0,NOT(ISNUMBER(AD803)),NOT(ISNUMBER(AF803)),NOT(ISNUMBER(AJ803)),NOT(ISNUMBER(AP803))),"",
IFERROR(IF((AD803-AF803)/(AJ803/60)/(AP803/1000)&lt;=0,"",(AD803-AF803)/(AJ803/60)/(AP803/1000)),""))</f>
        <v>13.810110974106291</v>
      </c>
    </row>
    <row r="804" spans="1:58" ht="15.75">
      <c r="B804" s="11">
        <v>46064</v>
      </c>
      <c r="C804" s="1">
        <v>560</v>
      </c>
      <c r="D804" s="3">
        <v>799</v>
      </c>
      <c r="E804" s="205" t="str">
        <f t="shared" si="60"/>
        <v/>
      </c>
      <c r="I804" s="15">
        <f>AD804</f>
        <v>21</v>
      </c>
      <c r="K804" s="10" t="str">
        <f t="shared" si="61"/>
        <v/>
      </c>
      <c r="L804" s="9" t="str">
        <f t="shared" si="62"/>
        <v/>
      </c>
      <c r="M804" s="8" t="str">
        <f t="shared" si="63"/>
        <v/>
      </c>
      <c r="AB804" s="5">
        <v>80</v>
      </c>
      <c r="AD804" s="21">
        <v>21</v>
      </c>
      <c r="AF804" s="1">
        <v>0</v>
      </c>
      <c r="AG804" s="1">
        <v>1.79</v>
      </c>
      <c r="AH804" s="20">
        <v>0.44884259259259257</v>
      </c>
      <c r="AI804" s="2"/>
      <c r="AJ804" s="2">
        <f>("19:10"-"18:25")*1440</f>
        <v>45</v>
      </c>
      <c r="AK804" s="3">
        <f>180+60</f>
        <v>240</v>
      </c>
      <c r="AN804" s="3">
        <v>40</v>
      </c>
      <c r="AP804" s="13">
        <f>AVERAGE(AO802:AO808)</f>
        <v>2027.4999999999636</v>
      </c>
      <c r="AR804" s="19"/>
      <c r="AS804" s="18">
        <f>(I804-AF804)/I804</f>
        <v>1</v>
      </c>
      <c r="AT804" s="18">
        <f>AG804/(AD804-AF804)</f>
        <v>8.5238095238095238E-2</v>
      </c>
      <c r="AU804" s="18"/>
      <c r="AV804" s="57" t="str">
        <f>IF(AND(ISNUMBER(E804),ISNUMBER(W804)),E804-W804,"")</f>
        <v/>
      </c>
      <c r="AW804" s="57">
        <f>IF(AND(ISNUMBER(I804),ISNUMBER(AF804)),I804-AF804,"")</f>
        <v>21</v>
      </c>
      <c r="AX804" s="57" t="str">
        <f>IF(AND(ISNUMBER(AM804),ISNUMBER(G804)),G804-AM804,"")</f>
        <v/>
      </c>
      <c r="AY804" s="57" t="str">
        <f>IF(AND(ISNUMBER(AC804),ISNUMBER(AE804)),AC804-AE804,"")</f>
        <v/>
      </c>
      <c r="AZ804" s="57" t="str">
        <f t="shared" si="59"/>
        <v/>
      </c>
      <c r="BE804" s="6">
        <f>IF((AD804-AF804)/(AJ804/60)&lt;=0,"",(AD804-AF804)/(AJ804/60))</f>
        <v>28</v>
      </c>
      <c r="BF804" s="6">
        <f>IF(OR(AJ804=0,AP804=0,NOT(ISNUMBER(AD804)),NOT(ISNUMBER(AF804)),NOT(ISNUMBER(AJ804)),NOT(ISNUMBER(AP804))),"",
IFERROR(IF((AD804-AF804)/(AJ804/60)/(AP804/1000)&lt;=0,"",(AD804-AF804)/(AJ804/60)/(AP804/1000)),""))</f>
        <v>13.810110974106291</v>
      </c>
    </row>
    <row r="805" spans="1:58" ht="15.75">
      <c r="B805" s="11">
        <v>46065</v>
      </c>
      <c r="C805" s="1">
        <v>561</v>
      </c>
      <c r="D805" s="3">
        <v>800</v>
      </c>
      <c r="E805" s="205" t="str">
        <f t="shared" si="60"/>
        <v/>
      </c>
      <c r="I805" s="15">
        <f>AD805</f>
        <v>21</v>
      </c>
      <c r="K805" s="10" t="str">
        <f t="shared" si="61"/>
        <v/>
      </c>
      <c r="L805" s="9" t="str">
        <f t="shared" si="62"/>
        <v/>
      </c>
      <c r="M805" s="8" t="str">
        <f t="shared" si="63"/>
        <v/>
      </c>
      <c r="AB805" s="5">
        <v>80</v>
      </c>
      <c r="AD805" s="21">
        <v>21</v>
      </c>
      <c r="AF805" s="1">
        <v>0</v>
      </c>
      <c r="AG805" s="1">
        <v>1.71</v>
      </c>
      <c r="AH805" s="20">
        <v>0.44699074074074074</v>
      </c>
      <c r="AI805" s="2"/>
      <c r="AJ805" s="2">
        <f>("19:10"-"18:25")*1440</f>
        <v>45</v>
      </c>
      <c r="AK805" s="3">
        <f>180+60</f>
        <v>240</v>
      </c>
      <c r="AN805" s="3">
        <v>40</v>
      </c>
      <c r="AP805" s="13">
        <f>AVERAGE(AO803:AO809)</f>
        <v>2114.9999999999636</v>
      </c>
      <c r="AR805" s="19"/>
      <c r="AS805" s="18">
        <f>(I805-AF805)/I805</f>
        <v>1</v>
      </c>
      <c r="AT805" s="18">
        <f>AG805/(AD805-AF805)</f>
        <v>8.1428571428571433E-2</v>
      </c>
      <c r="AU805" s="18"/>
      <c r="AV805" s="57" t="str">
        <f>IF(AND(ISNUMBER(E805),ISNUMBER(W805)),E805-W805,"")</f>
        <v/>
      </c>
      <c r="AW805" s="57">
        <f>IF(AND(ISNUMBER(I805),ISNUMBER(AF805)),I805-AF805,"")</f>
        <v>21</v>
      </c>
      <c r="AX805" s="57" t="str">
        <f>IF(AND(ISNUMBER(AM805),ISNUMBER(G805)),G805-AM805,"")</f>
        <v/>
      </c>
      <c r="AY805" s="57" t="str">
        <f>IF(AND(ISNUMBER(AC805),ISNUMBER(AE805)),AC805-AE805,"")</f>
        <v/>
      </c>
      <c r="AZ805" s="57" t="str">
        <f t="shared" si="59"/>
        <v/>
      </c>
      <c r="BE805" s="6">
        <f>IF((AD805-AF805)/(AJ805/60)&lt;=0,"",(AD805-AF805)/(AJ805/60))</f>
        <v>28</v>
      </c>
      <c r="BF805" s="6">
        <f>IF(OR(AJ805=0,AP805=0,NOT(ISNUMBER(AD805)),NOT(ISNUMBER(AF805)),NOT(ISNUMBER(AJ805)),NOT(ISNUMBER(AP805))),"",
IFERROR(IF((AD805-AF805)/(AJ805/60)/(AP805/1000)&lt;=0,"",(AD805-AF805)/(AJ805/60)/(AP805/1000)),""))</f>
        <v>13.238770685579423</v>
      </c>
    </row>
    <row r="806" spans="1:58" ht="15.75">
      <c r="B806" s="11">
        <v>46066</v>
      </c>
      <c r="C806" s="1">
        <v>562</v>
      </c>
      <c r="D806" s="3">
        <v>801</v>
      </c>
      <c r="E806" s="205" t="str">
        <f t="shared" si="60"/>
        <v/>
      </c>
      <c r="I806" s="15">
        <f>AD806</f>
        <v>21</v>
      </c>
      <c r="K806" s="10" t="str">
        <f t="shared" si="61"/>
        <v/>
      </c>
      <c r="L806" s="9" t="str">
        <f t="shared" si="62"/>
        <v/>
      </c>
      <c r="M806" s="8" t="str">
        <f t="shared" si="63"/>
        <v/>
      </c>
      <c r="AB806" s="5">
        <v>80</v>
      </c>
      <c r="AD806" s="21">
        <v>21</v>
      </c>
      <c r="AF806" s="1">
        <v>0</v>
      </c>
      <c r="AG806" s="1">
        <v>1.69</v>
      </c>
      <c r="AH806" s="20">
        <v>0.44768518518518519</v>
      </c>
      <c r="AI806" s="2"/>
      <c r="AJ806" s="2">
        <f>("19:10"-"18:25")*1440</f>
        <v>45</v>
      </c>
      <c r="AK806" s="3">
        <f>180+60</f>
        <v>240</v>
      </c>
      <c r="AN806" s="3">
        <v>40</v>
      </c>
      <c r="AP806" s="13" t="e">
        <f>AVERAGE(AO804:AO810)</f>
        <v>#DIV/0!</v>
      </c>
      <c r="AR806" s="19"/>
      <c r="AS806" s="18">
        <f>(I806-AF806)/I806</f>
        <v>1</v>
      </c>
      <c r="AT806" s="18">
        <f>AG806/(AD806-AF806)</f>
        <v>8.0476190476190479E-2</v>
      </c>
      <c r="AU806" s="18"/>
      <c r="AV806" s="57" t="str">
        <f>IF(AND(ISNUMBER(E806),ISNUMBER(W806)),E806-W806,"")</f>
        <v/>
      </c>
      <c r="AW806" s="57">
        <f>IF(AND(ISNUMBER(I806),ISNUMBER(AF806)),I806-AF806,"")</f>
        <v>21</v>
      </c>
      <c r="AX806" s="57" t="str">
        <f>IF(AND(ISNUMBER(AM806),ISNUMBER(G806)),G806-AM806,"")</f>
        <v/>
      </c>
      <c r="AY806" s="57" t="str">
        <f>IF(AND(ISNUMBER(AC806),ISNUMBER(AE806)),AC806-AE806,"")</f>
        <v/>
      </c>
      <c r="AZ806" s="57" t="str">
        <f t="shared" si="59"/>
        <v/>
      </c>
      <c r="BE806" s="6">
        <f>IF((AD806-AF806)/(AJ806/60)&lt;=0,"",(AD806-AF806)/(AJ806/60))</f>
        <v>28</v>
      </c>
      <c r="BF806" s="6"/>
    </row>
    <row r="807" spans="1:58" ht="15.75">
      <c r="B807" s="11">
        <v>46067</v>
      </c>
      <c r="C807" s="1">
        <v>563</v>
      </c>
      <c r="D807" s="3">
        <v>802</v>
      </c>
      <c r="E807" s="205" t="str">
        <f t="shared" si="60"/>
        <v/>
      </c>
      <c r="I807" s="15">
        <f>AD807</f>
        <v>21</v>
      </c>
      <c r="K807" s="10" t="str">
        <f t="shared" si="61"/>
        <v/>
      </c>
      <c r="L807" s="9" t="str">
        <f t="shared" si="62"/>
        <v/>
      </c>
      <c r="M807" s="8" t="str">
        <f t="shared" si="63"/>
        <v/>
      </c>
      <c r="AB807" s="5">
        <v>80</v>
      </c>
      <c r="AD807" s="21">
        <v>21</v>
      </c>
      <c r="AF807" s="1">
        <v>0</v>
      </c>
      <c r="AG807" s="1">
        <v>3.5</v>
      </c>
      <c r="AH807" s="20">
        <v>0.4599537037037037</v>
      </c>
      <c r="AI807" s="2"/>
      <c r="AJ807" s="2">
        <f>("19:10"-"18:30")*1440</f>
        <v>40.000000000000014</v>
      </c>
      <c r="AK807" s="3">
        <f>180+60</f>
        <v>240</v>
      </c>
      <c r="AN807" s="3">
        <v>40</v>
      </c>
      <c r="AP807" s="13" t="e">
        <f>AVERAGE(AO805:AO811)</f>
        <v>#DIV/0!</v>
      </c>
      <c r="AR807" s="19"/>
      <c r="AS807" s="18">
        <f>(I807-AF807)/I807</f>
        <v>1</v>
      </c>
      <c r="AT807" s="18">
        <f>AG807/(AD807-AF807)</f>
        <v>0.16666666666666666</v>
      </c>
      <c r="AU807" s="18"/>
      <c r="AV807" s="57" t="str">
        <f>IF(AND(ISNUMBER(E807),ISNUMBER(W807)),E807-W807,"")</f>
        <v/>
      </c>
      <c r="AW807" s="57">
        <f>IF(AND(ISNUMBER(I807),ISNUMBER(AF807)),I807-AF807,"")</f>
        <v>21</v>
      </c>
      <c r="AX807" s="57" t="str">
        <f>IF(AND(ISNUMBER(AM807),ISNUMBER(G807)),G807-AM807,"")</f>
        <v/>
      </c>
      <c r="AY807" s="57" t="str">
        <f>IF(AND(ISNUMBER(AC807),ISNUMBER(AE807)),AC807-AE807,"")</f>
        <v/>
      </c>
      <c r="AZ807" s="57" t="str">
        <f t="shared" ref="AZ807:AZ833" si="64">IF(AND(ISNUMBER(AL807),ISNUMBER(AM807)),AL807-AM807,"")</f>
        <v/>
      </c>
      <c r="BE807" s="6">
        <f>IF((AD807-AF807)/(AJ807/60)&lt;=0,"",(AD807-AF807)/(AJ807/60))</f>
        <v>31.499999999999993</v>
      </c>
      <c r="BF807" s="6"/>
    </row>
    <row r="808" spans="1:58" ht="15.75">
      <c r="B808" s="11">
        <v>46068</v>
      </c>
      <c r="C808" s="1">
        <v>564</v>
      </c>
      <c r="D808" s="3">
        <v>803</v>
      </c>
      <c r="E808" s="205" t="str">
        <f t="shared" si="60"/>
        <v/>
      </c>
      <c r="I808" s="15">
        <f>AD808</f>
        <v>21</v>
      </c>
      <c r="K808" s="10" t="str">
        <f t="shared" si="61"/>
        <v/>
      </c>
      <c r="L808" s="9" t="str">
        <f t="shared" si="62"/>
        <v/>
      </c>
      <c r="M808" s="8" t="str">
        <f t="shared" si="63"/>
        <v/>
      </c>
      <c r="AB808" s="5">
        <v>80</v>
      </c>
      <c r="AD808" s="21">
        <v>21</v>
      </c>
      <c r="AF808" s="1">
        <v>0</v>
      </c>
      <c r="AG808" s="1">
        <v>2.0099999999999998</v>
      </c>
      <c r="AH808" s="20">
        <v>0.46006944444444442</v>
      </c>
      <c r="AI808" s="2"/>
      <c r="AJ808" s="2">
        <f>("19:15"-"18:30")*1440</f>
        <v>45</v>
      </c>
      <c r="AK808" s="3">
        <f>180+60</f>
        <v>240</v>
      </c>
      <c r="AN808" s="3">
        <v>40</v>
      </c>
      <c r="AP808" s="13">
        <f>AVERAGE(AO806:AO812)</f>
        <v>2119.9999999999818</v>
      </c>
      <c r="AR808" s="19"/>
      <c r="AS808" s="18">
        <f>(I808-AF808)/I808</f>
        <v>1</v>
      </c>
      <c r="AT808" s="18">
        <f>AG808/(AD808-AF808)</f>
        <v>9.571428571428571E-2</v>
      </c>
      <c r="AU808" s="18"/>
      <c r="AV808" s="57" t="str">
        <f>IF(AND(ISNUMBER(E808),ISNUMBER(W808)),E808-W808,"")</f>
        <v/>
      </c>
      <c r="AW808" s="57">
        <f>IF(AND(ISNUMBER(I808),ISNUMBER(AF808)),I808-AF808,"")</f>
        <v>21</v>
      </c>
      <c r="AX808" s="57" t="str">
        <f>IF(AND(ISNUMBER(AM808),ISNUMBER(G808)),G808-AM808,"")</f>
        <v/>
      </c>
      <c r="AY808" s="57" t="str">
        <f>IF(AND(ISNUMBER(AC808),ISNUMBER(AE808)),AC808-AE808,"")</f>
        <v/>
      </c>
      <c r="AZ808" s="57" t="str">
        <f t="shared" si="64"/>
        <v/>
      </c>
      <c r="BE808" s="6">
        <f>IF((AD808-AF808)/(AJ808/60)&lt;=0,"",(AD808-AF808)/(AJ808/60))</f>
        <v>28</v>
      </c>
      <c r="BF808" s="6">
        <f>IF(OR(AJ808=0,AP808=0,NOT(ISNUMBER(AD808)),NOT(ISNUMBER(AF808)),NOT(ISNUMBER(AJ808)),NOT(ISNUMBER(AP808))),"",
IFERROR(IF((AD808-AF808)/(AJ808/60)/(AP808/1000)&lt;=0,"",(AD808-AF808)/(AJ808/60)/(AP808/1000)),""))</f>
        <v>13.207547169811434</v>
      </c>
    </row>
    <row r="809" spans="1:58" ht="15.75">
      <c r="B809" s="11">
        <v>46069</v>
      </c>
      <c r="C809" s="1">
        <v>565</v>
      </c>
      <c r="D809" s="3">
        <v>804</v>
      </c>
      <c r="E809" s="205" t="str">
        <f t="shared" si="60"/>
        <v/>
      </c>
      <c r="I809" s="15">
        <f>AD809</f>
        <v>21</v>
      </c>
      <c r="K809" s="10" t="str">
        <f t="shared" si="61"/>
        <v/>
      </c>
      <c r="L809" s="9" t="str">
        <f t="shared" si="62"/>
        <v/>
      </c>
      <c r="M809" s="8" t="str">
        <f t="shared" si="63"/>
        <v/>
      </c>
      <c r="AB809" s="5">
        <v>80</v>
      </c>
      <c r="AD809" s="21">
        <v>21</v>
      </c>
      <c r="AF809" s="1">
        <v>0</v>
      </c>
      <c r="AG809" s="1">
        <v>2.4</v>
      </c>
      <c r="AH809" s="20">
        <v>0.46273148148148147</v>
      </c>
      <c r="AI809" s="2"/>
      <c r="AJ809" s="2">
        <f>("19:10"-"18:30")*1440</f>
        <v>40.000000000000014</v>
      </c>
      <c r="AK809" s="3">
        <f>180+60</f>
        <v>240</v>
      </c>
      <c r="AN809" s="3">
        <v>40</v>
      </c>
      <c r="AP809" s="13">
        <f>AVERAGE(AO807:AO813)</f>
        <v>2119.9999999999818</v>
      </c>
      <c r="AR809" s="19"/>
      <c r="AS809" s="18">
        <f>(I809-AF809)/I809</f>
        <v>1</v>
      </c>
      <c r="AT809" s="18">
        <f>AG809/(AD809-AF809)</f>
        <v>0.11428571428571428</v>
      </c>
      <c r="AU809" s="18"/>
      <c r="AV809" s="57" t="str">
        <f>IF(AND(ISNUMBER(E809),ISNUMBER(W809)),E809-W809,"")</f>
        <v/>
      </c>
      <c r="AW809" s="57">
        <f>IF(AND(ISNUMBER(I809),ISNUMBER(AF809)),I809-AF809,"")</f>
        <v>21</v>
      </c>
      <c r="AX809" s="57" t="str">
        <f>IF(AND(ISNUMBER(AM809),ISNUMBER(G809)),G809-AM809,"")</f>
        <v/>
      </c>
      <c r="AY809" s="57" t="str">
        <f>IF(AND(ISNUMBER(AC809),ISNUMBER(AE809)),AC809-AE809,"")</f>
        <v/>
      </c>
      <c r="AZ809" s="57" t="str">
        <f t="shared" si="64"/>
        <v/>
      </c>
      <c r="BE809" s="6">
        <f>IF((AD809-AF809)/(AJ809/60)&lt;=0,"",(AD809-AF809)/(AJ809/60))</f>
        <v>31.499999999999993</v>
      </c>
      <c r="BF809" s="6">
        <f>IF(OR(AJ809=0,AP809=0,NOT(ISNUMBER(AD809)),NOT(ISNUMBER(AF809)),NOT(ISNUMBER(AJ809)),NOT(ISNUMBER(AP809))),"",
IFERROR(IF((AD809-AF809)/(AJ809/60)/(AP809/1000)&lt;=0,"",(AD809-AF809)/(AJ809/60)/(AP809/1000)),""))</f>
        <v>14.85849056603786</v>
      </c>
    </row>
    <row r="810" spans="1:58" ht="15.75">
      <c r="B810" s="11">
        <v>46070</v>
      </c>
      <c r="C810" s="1">
        <v>566</v>
      </c>
      <c r="D810" s="3">
        <v>805</v>
      </c>
      <c r="E810" s="205" t="str">
        <f t="shared" si="60"/>
        <v/>
      </c>
      <c r="I810" s="15">
        <f>AD810</f>
        <v>21</v>
      </c>
      <c r="K810" s="10" t="str">
        <f t="shared" si="61"/>
        <v/>
      </c>
      <c r="L810" s="9" t="str">
        <f t="shared" si="62"/>
        <v/>
      </c>
      <c r="M810" s="8" t="str">
        <f t="shared" si="63"/>
        <v/>
      </c>
      <c r="AB810" s="5">
        <v>80</v>
      </c>
      <c r="AD810" s="21">
        <v>21</v>
      </c>
      <c r="AF810" s="1">
        <v>0</v>
      </c>
      <c r="AG810" s="1">
        <v>2.8</v>
      </c>
      <c r="AH810" s="20">
        <v>0.46423611111111113</v>
      </c>
      <c r="AI810" s="2"/>
      <c r="AJ810" s="2">
        <f>("19:20"-"18:30")*1440</f>
        <v>49.999999999999986</v>
      </c>
      <c r="AK810" s="3">
        <f>180+60</f>
        <v>240</v>
      </c>
      <c r="AN810" s="3">
        <v>40</v>
      </c>
      <c r="AP810" s="13">
        <f>AVERAGE(AO808:AO814)</f>
        <v>2119.9999999999818</v>
      </c>
      <c r="AR810" s="19"/>
      <c r="AS810" s="18">
        <f>(I810-AF810)/I810</f>
        <v>1</v>
      </c>
      <c r="AT810" s="18">
        <f>AG810/(AD810-AF810)</f>
        <v>0.13333333333333333</v>
      </c>
      <c r="AU810" s="18"/>
      <c r="AV810" s="57" t="str">
        <f>IF(AND(ISNUMBER(E810),ISNUMBER(W810)),E810-W810,"")</f>
        <v/>
      </c>
      <c r="AW810" s="57">
        <f>IF(AND(ISNUMBER(I810),ISNUMBER(AF810)),I810-AF810,"")</f>
        <v>21</v>
      </c>
      <c r="AX810" s="57" t="str">
        <f>IF(AND(ISNUMBER(AM810),ISNUMBER(G810)),G810-AM810,"")</f>
        <v/>
      </c>
      <c r="AY810" s="57" t="str">
        <f>IF(AND(ISNUMBER(AC810),ISNUMBER(AE810)),AC810-AE810,"")</f>
        <v/>
      </c>
      <c r="AZ810" s="57" t="str">
        <f t="shared" si="64"/>
        <v/>
      </c>
      <c r="BE810" s="6">
        <f>IF((AD810-AF810)/(AJ810/60)&lt;=0,"",(AD810-AF810)/(AJ810/60))</f>
        <v>25.200000000000006</v>
      </c>
      <c r="BF810" s="6">
        <f>IF(OR(AJ810=0,AP810=0,NOT(ISNUMBER(AD810)),NOT(ISNUMBER(AF810)),NOT(ISNUMBER(AJ810)),NOT(ISNUMBER(AP810))),"",
IFERROR(IF((AD810-AF810)/(AJ810/60)/(AP810/1000)&lt;=0,"",(AD810-AF810)/(AJ810/60)/(AP810/1000)),""))</f>
        <v>11.886792452830294</v>
      </c>
    </row>
    <row r="811" spans="1:58" ht="15.75">
      <c r="B811" s="11">
        <v>46071</v>
      </c>
      <c r="C811" s="1">
        <v>567</v>
      </c>
      <c r="D811" s="3">
        <v>806</v>
      </c>
      <c r="E811" s="205" t="str">
        <f t="shared" si="60"/>
        <v/>
      </c>
      <c r="I811" s="15">
        <f>AD811</f>
        <v>21</v>
      </c>
      <c r="K811" s="10" t="str">
        <f t="shared" si="61"/>
        <v/>
      </c>
      <c r="L811" s="9" t="str">
        <f t="shared" si="62"/>
        <v/>
      </c>
      <c r="M811" s="8" t="str">
        <f t="shared" si="63"/>
        <v/>
      </c>
      <c r="AB811" s="5">
        <v>80</v>
      </c>
      <c r="AD811" s="21">
        <v>21</v>
      </c>
      <c r="AF811" s="1">
        <v>0</v>
      </c>
      <c r="AG811" s="1">
        <v>2.34</v>
      </c>
      <c r="AH811" s="20">
        <v>0.46388888888888891</v>
      </c>
      <c r="AI811" s="2"/>
      <c r="AJ811" s="2">
        <f>("19:20"-"18:30")*1440</f>
        <v>49.999999999999986</v>
      </c>
      <c r="AK811" s="3">
        <f>180+60</f>
        <v>240</v>
      </c>
      <c r="AN811" s="3">
        <v>40</v>
      </c>
      <c r="AP811" s="13">
        <f>AVERAGE(AO809:AO815)</f>
        <v>2119.9999999999818</v>
      </c>
      <c r="AR811" s="19"/>
      <c r="AS811" s="18">
        <f>(I811-AF811)/I811</f>
        <v>1</v>
      </c>
      <c r="AT811" s="18">
        <f>AG811/(AD811-AF811)</f>
        <v>0.11142857142857142</v>
      </c>
      <c r="AU811" s="18"/>
      <c r="AV811" s="57" t="str">
        <f>IF(AND(ISNUMBER(E811),ISNUMBER(W811)),E811-W811,"")</f>
        <v/>
      </c>
      <c r="AW811" s="57">
        <f>IF(AND(ISNUMBER(I811),ISNUMBER(AF811)),I811-AF811,"")</f>
        <v>21</v>
      </c>
      <c r="AX811" s="57" t="str">
        <f>IF(AND(ISNUMBER(AM811),ISNUMBER(G811)),G811-AM811,"")</f>
        <v/>
      </c>
      <c r="AY811" s="57" t="str">
        <f>IF(AND(ISNUMBER(AC811),ISNUMBER(AE811)),AC811-AE811,"")</f>
        <v/>
      </c>
      <c r="AZ811" s="57" t="str">
        <f t="shared" si="64"/>
        <v/>
      </c>
      <c r="BE811" s="6">
        <f>IF((AD811-AF811)/(AJ811/60)&lt;=0,"",(AD811-AF811)/(AJ811/60))</f>
        <v>25.200000000000006</v>
      </c>
      <c r="BF811" s="6">
        <f>IF(OR(AJ811=0,AP811=0,NOT(ISNUMBER(AD811)),NOT(ISNUMBER(AF811)),NOT(ISNUMBER(AJ811)),NOT(ISNUMBER(AP811))),"",
IFERROR(IF((AD811-AF811)/(AJ811/60)/(AP811/1000)&lt;=0,"",(AD811-AF811)/(AJ811/60)/(AP811/1000)),""))</f>
        <v>11.886792452830294</v>
      </c>
    </row>
    <row r="812" spans="1:58" ht="15.75">
      <c r="A812" s="12" t="s">
        <v>2</v>
      </c>
      <c r="B812" s="11">
        <v>46072</v>
      </c>
      <c r="C812" s="1">
        <v>568</v>
      </c>
      <c r="D812" s="3">
        <v>807</v>
      </c>
      <c r="E812" s="205">
        <f t="shared" si="60"/>
        <v>244.33872400000001</v>
      </c>
      <c r="G812" s="15">
        <f>(N812*18-H812*18)/9</f>
        <v>14.100000000000001</v>
      </c>
      <c r="H812" s="15">
        <f>5*0.4</f>
        <v>2</v>
      </c>
      <c r="I812" s="15">
        <f>AD812</f>
        <v>29.5</v>
      </c>
      <c r="K812" s="10">
        <f t="shared" si="61"/>
        <v>17.328987517730496</v>
      </c>
      <c r="L812" s="9">
        <f t="shared" si="62"/>
        <v>4.1413343050847464</v>
      </c>
      <c r="M812" s="8">
        <f t="shared" si="63"/>
        <v>4.1843971631205665</v>
      </c>
      <c r="N812" s="7">
        <f>5*1.81</f>
        <v>9.0500000000000007</v>
      </c>
      <c r="O812" s="6">
        <v>19.536000000000001</v>
      </c>
      <c r="P812" s="6">
        <v>66.924999999999997</v>
      </c>
      <c r="Q812" s="6">
        <f>O812*1.067</f>
        <v>20.844912000000001</v>
      </c>
      <c r="R812" s="6">
        <f>P812*1.514</f>
        <v>101.32445</v>
      </c>
      <c r="S812" s="6">
        <f>Q812+R812</f>
        <v>122.16936200000001</v>
      </c>
      <c r="T812" s="6">
        <v>39.799999999999997</v>
      </c>
      <c r="U812" s="6">
        <v>0</v>
      </c>
      <c r="V812" s="6">
        <v>0</v>
      </c>
      <c r="W812" s="23">
        <f>U812*1.067+V812*1.514</f>
        <v>0</v>
      </c>
      <c r="AB812" s="5">
        <v>80</v>
      </c>
      <c r="AC812" s="7">
        <f>T812</f>
        <v>39.799999999999997</v>
      </c>
      <c r="AD812" s="1">
        <f>5*3.85+2.05*5</f>
        <v>29.5</v>
      </c>
      <c r="AE812" s="1">
        <f>17.1</f>
        <v>17.100000000000001</v>
      </c>
      <c r="AF812" s="1">
        <v>0</v>
      </c>
      <c r="AH812" s="20">
        <v>0.52453703703703702</v>
      </c>
      <c r="AI812" s="2"/>
      <c r="AJ812" s="2">
        <f>("19:35"-"18:30")*1440</f>
        <v>64.999999999999929</v>
      </c>
      <c r="AK812" s="3">
        <f>180+60</f>
        <v>240</v>
      </c>
      <c r="AL812" s="4">
        <f>AE812</f>
        <v>17.100000000000001</v>
      </c>
      <c r="AM812" s="1">
        <f>5*1.43</f>
        <v>7.1499999999999995</v>
      </c>
      <c r="AN812" s="3">
        <v>40</v>
      </c>
      <c r="AO812" s="2">
        <v>2119.9999999999818</v>
      </c>
      <c r="AP812" s="13">
        <f>AVERAGE(AO810:AO816)</f>
        <v>2119.9999999999818</v>
      </c>
      <c r="AR812" s="19"/>
      <c r="AS812" s="18">
        <f>(I812-AF812)/I812</f>
        <v>1</v>
      </c>
      <c r="AT812" s="18"/>
      <c r="AU812" s="18">
        <f>(G812-AM812)/G812</f>
        <v>0.49290780141843982</v>
      </c>
      <c r="AV812" s="57">
        <f>IF(AND(ISNUMBER(E812),ISNUMBER(W812)),E812-W812,"")</f>
        <v>244.33872400000001</v>
      </c>
      <c r="AW812" s="57">
        <f>IF(AND(ISNUMBER(I812),ISNUMBER(AF812)),I812-AF812,"")</f>
        <v>29.5</v>
      </c>
      <c r="AX812" s="57">
        <f>IF(AND(ISNUMBER(AM812),ISNUMBER(G812)),G812-AM812,"")</f>
        <v>6.950000000000002</v>
      </c>
      <c r="AY812" s="57">
        <f>IF(AND(ISNUMBER(AC812),ISNUMBER(AE812)),AC812-AE812,"")</f>
        <v>22.699999999999996</v>
      </c>
      <c r="AZ812" s="57">
        <f t="shared" si="64"/>
        <v>9.9500000000000028</v>
      </c>
      <c r="BE812" s="6">
        <f>IF((AD812-AF812)/(AJ812/60)&lt;=0,"",(AD812-AF812)/(AJ812/60))</f>
        <v>27.230769230769262</v>
      </c>
      <c r="BF812" s="6">
        <f>IF(OR(AJ812=0,AP812=0,NOT(ISNUMBER(AD812)),NOT(ISNUMBER(AF812)),NOT(ISNUMBER(AJ812)),NOT(ISNUMBER(AP812))),"",
IFERROR(IF((AD812-AF812)/(AJ812/60)/(AP812/1000)&lt;=0,"",(AD812-AF812)/(AJ812/60)/(AP812/1000)),""))</f>
        <v>12.844702467344101</v>
      </c>
    </row>
    <row r="813" spans="1:58" ht="15.75">
      <c r="B813" s="11">
        <v>46073</v>
      </c>
      <c r="C813" s="1">
        <v>569</v>
      </c>
      <c r="D813" s="3">
        <v>808</v>
      </c>
      <c r="E813" s="205" t="str">
        <f t="shared" si="60"/>
        <v/>
      </c>
      <c r="I813" s="15">
        <f>AD813</f>
        <v>21</v>
      </c>
      <c r="K813" s="10" t="str">
        <f t="shared" si="61"/>
        <v/>
      </c>
      <c r="L813" s="9" t="str">
        <f t="shared" si="62"/>
        <v/>
      </c>
      <c r="M813" s="8" t="str">
        <f t="shared" si="63"/>
        <v/>
      </c>
      <c r="AB813" s="5">
        <v>80</v>
      </c>
      <c r="AD813" s="21">
        <v>21</v>
      </c>
      <c r="AF813" s="1">
        <v>0</v>
      </c>
      <c r="AG813" s="1">
        <v>6.14</v>
      </c>
      <c r="AH813" s="20">
        <v>0.48113425925925923</v>
      </c>
      <c r="AI813" s="2"/>
      <c r="AJ813" s="2">
        <f>("19:45"-"18:30")*1440</f>
        <v>74.999999999999886</v>
      </c>
      <c r="AK813" s="3">
        <f>180+60</f>
        <v>240</v>
      </c>
      <c r="AN813" s="3">
        <v>40</v>
      </c>
      <c r="AP813" s="13">
        <f>AVERAGE(AO811:AO817)</f>
        <v>2214.9999999999864</v>
      </c>
      <c r="AR813" s="19"/>
      <c r="AS813" s="18">
        <f>(I813-AF813)/I813</f>
        <v>1</v>
      </c>
      <c r="AT813" s="18">
        <f>AG813/(AD813-AF813)</f>
        <v>0.29238095238095235</v>
      </c>
      <c r="AU813" s="18"/>
      <c r="AV813" s="57" t="str">
        <f>IF(AND(ISNUMBER(E813),ISNUMBER(W813)),E813-W813,"")</f>
        <v/>
      </c>
      <c r="AW813" s="57">
        <f>IF(AND(ISNUMBER(I813),ISNUMBER(AF813)),I813-AF813,"")</f>
        <v>21</v>
      </c>
      <c r="AX813" s="57" t="str">
        <f>IF(AND(ISNUMBER(AM813),ISNUMBER(G813)),G813-AM813,"")</f>
        <v/>
      </c>
      <c r="AY813" s="57" t="str">
        <f>IF(AND(ISNUMBER(AC813),ISNUMBER(AE813)),AC813-AE813,"")</f>
        <v/>
      </c>
      <c r="AZ813" s="57" t="str">
        <f t="shared" si="64"/>
        <v/>
      </c>
      <c r="BE813" s="6">
        <f>IF((AD813-AF813)/(AJ813/60)&lt;=0,"",(AD813-AF813)/(AJ813/60))</f>
        <v>16.800000000000026</v>
      </c>
      <c r="BF813" s="6">
        <f>IF(OR(AJ813=0,AP813=0,NOT(ISNUMBER(AD813)),NOT(ISNUMBER(AF813)),NOT(ISNUMBER(AJ813)),NOT(ISNUMBER(AP813))),"",
IFERROR(IF((AD813-AF813)/(AJ813/60)/(AP813/1000)&lt;=0,"",(AD813-AF813)/(AJ813/60)/(AP813/1000)),""))</f>
        <v>7.5846501128668748</v>
      </c>
    </row>
    <row r="814" spans="1:58" ht="15.75">
      <c r="B814" s="11">
        <v>46074</v>
      </c>
      <c r="C814" s="1">
        <v>570</v>
      </c>
      <c r="D814" s="3">
        <v>809</v>
      </c>
      <c r="E814" s="205" t="str">
        <f t="shared" si="60"/>
        <v/>
      </c>
      <c r="I814" s="15">
        <f>AD814</f>
        <v>21</v>
      </c>
      <c r="K814" s="10" t="str">
        <f t="shared" si="61"/>
        <v/>
      </c>
      <c r="L814" s="9" t="str">
        <f t="shared" si="62"/>
        <v/>
      </c>
      <c r="M814" s="8" t="str">
        <f t="shared" si="63"/>
        <v/>
      </c>
      <c r="AB814" s="5">
        <v>80</v>
      </c>
      <c r="AD814" s="21">
        <v>21</v>
      </c>
      <c r="AF814" s="1">
        <v>0</v>
      </c>
      <c r="AG814" s="1">
        <v>6.21</v>
      </c>
      <c r="AH814" s="20">
        <v>0.4861111111111111</v>
      </c>
      <c r="AI814" s="2"/>
      <c r="AJ814" s="2">
        <f>("19:55"-"18:30")*1440</f>
        <v>85.000000000000014</v>
      </c>
      <c r="AK814" s="3">
        <f>180+60</f>
        <v>240</v>
      </c>
      <c r="AN814" s="3">
        <v>40</v>
      </c>
      <c r="AP814" s="13">
        <f>AVERAGE(AO812:AO818)</f>
        <v>2214.9999999999864</v>
      </c>
      <c r="AR814" s="19"/>
      <c r="AS814" s="18">
        <f>(I814-AF814)/I814</f>
        <v>1</v>
      </c>
      <c r="AT814" s="18">
        <f>AG814/(AD814-AF814)</f>
        <v>0.29571428571428571</v>
      </c>
      <c r="AU814" s="18"/>
      <c r="AV814" s="57" t="str">
        <f>IF(AND(ISNUMBER(E814),ISNUMBER(W814)),E814-W814,"")</f>
        <v/>
      </c>
      <c r="AW814" s="57">
        <f>IF(AND(ISNUMBER(I814),ISNUMBER(AF814)),I814-AF814,"")</f>
        <v>21</v>
      </c>
      <c r="AX814" s="57" t="str">
        <f>IF(AND(ISNUMBER(AM814),ISNUMBER(G814)),G814-AM814,"")</f>
        <v/>
      </c>
      <c r="AY814" s="57" t="str">
        <f>IF(AND(ISNUMBER(AC814),ISNUMBER(AE814)),AC814-AE814,"")</f>
        <v/>
      </c>
      <c r="AZ814" s="57" t="str">
        <f t="shared" si="64"/>
        <v/>
      </c>
      <c r="BE814" s="6">
        <f>IF((AD814-AF814)/(AJ814/60)&lt;=0,"",(AD814-AF814)/(AJ814/60))</f>
        <v>14.823529411764703</v>
      </c>
      <c r="BF814" s="6">
        <f>IF(OR(AJ814=0,AP814=0,NOT(ISNUMBER(AD814)),NOT(ISNUMBER(AF814)),NOT(ISNUMBER(AJ814)),NOT(ISNUMBER(AP814))),"",
IFERROR(IF((AD814-AF814)/(AJ814/60)/(AP814/1000)&lt;=0,"",(AD814-AF814)/(AJ814/60)/(AP814/1000)),""))</f>
        <v>6.6923383348825247</v>
      </c>
    </row>
    <row r="815" spans="1:58" ht="15.75">
      <c r="B815" s="11">
        <v>46075</v>
      </c>
      <c r="C815" s="1">
        <v>571</v>
      </c>
      <c r="D815" s="3">
        <v>810</v>
      </c>
      <c r="E815" s="205" t="str">
        <f t="shared" si="60"/>
        <v/>
      </c>
      <c r="I815" s="15">
        <f>AD815</f>
        <v>21</v>
      </c>
      <c r="K815" s="10" t="str">
        <f t="shared" si="61"/>
        <v/>
      </c>
      <c r="L815" s="9" t="str">
        <f t="shared" si="62"/>
        <v/>
      </c>
      <c r="M815" s="8" t="str">
        <f t="shared" si="63"/>
        <v/>
      </c>
      <c r="AB815" s="5">
        <v>80</v>
      </c>
      <c r="AD815" s="21">
        <v>21</v>
      </c>
      <c r="AF815" s="1">
        <v>0</v>
      </c>
      <c r="AG815" s="1">
        <v>6.63</v>
      </c>
      <c r="AH815" s="20">
        <v>0.48645833333333333</v>
      </c>
      <c r="AI815" s="2"/>
      <c r="AJ815" s="2">
        <f>("19:45"-"18:30")*1440</f>
        <v>74.999999999999886</v>
      </c>
      <c r="AK815" s="3">
        <f>180+60</f>
        <v>240</v>
      </c>
      <c r="AN815" s="3">
        <v>40</v>
      </c>
      <c r="AP815" s="13">
        <f>AVERAGE(AO813:AO819)</f>
        <v>2079.9999999999727</v>
      </c>
      <c r="AR815" s="19"/>
      <c r="AS815" s="18">
        <f>(I815-AF815)/I815</f>
        <v>1</v>
      </c>
      <c r="AT815" s="18">
        <f>AG815/(AD815-AF815)</f>
        <v>0.31571428571428573</v>
      </c>
      <c r="AU815" s="18"/>
      <c r="AV815" s="57" t="str">
        <f>IF(AND(ISNUMBER(E815),ISNUMBER(W815)),E815-W815,"")</f>
        <v/>
      </c>
      <c r="AW815" s="57">
        <f>IF(AND(ISNUMBER(I815),ISNUMBER(AF815)),I815-AF815,"")</f>
        <v>21</v>
      </c>
      <c r="AX815" s="57" t="str">
        <f>IF(AND(ISNUMBER(AM815),ISNUMBER(G815)),G815-AM815,"")</f>
        <v/>
      </c>
      <c r="AY815" s="57" t="str">
        <f>IF(AND(ISNUMBER(AC815),ISNUMBER(AE815)),AC815-AE815,"")</f>
        <v/>
      </c>
      <c r="AZ815" s="57" t="str">
        <f t="shared" si="64"/>
        <v/>
      </c>
      <c r="BE815" s="6">
        <f>IF((AD815-AF815)/(AJ815/60)&lt;=0,"",(AD815-AF815)/(AJ815/60))</f>
        <v>16.800000000000026</v>
      </c>
      <c r="BF815" s="6">
        <f>IF(OR(AJ815=0,AP815=0,NOT(ISNUMBER(AD815)),NOT(ISNUMBER(AF815)),NOT(ISNUMBER(AJ815)),NOT(ISNUMBER(AP815))),"",
IFERROR(IF((AD815-AF815)/(AJ815/60)/(AP815/1000)&lt;=0,"",(AD815-AF815)/(AJ815/60)/(AP815/1000)),""))</f>
        <v>8.0769230769231957</v>
      </c>
    </row>
    <row r="816" spans="1:58" ht="15.75">
      <c r="B816" s="11">
        <v>46076</v>
      </c>
      <c r="C816" s="1">
        <v>572</v>
      </c>
      <c r="D816" s="3">
        <v>811</v>
      </c>
      <c r="E816" s="205" t="str">
        <f t="shared" si="60"/>
        <v/>
      </c>
      <c r="I816" s="15">
        <f>AD816</f>
        <v>21</v>
      </c>
      <c r="K816" s="10" t="str">
        <f t="shared" si="61"/>
        <v/>
      </c>
      <c r="L816" s="9" t="str">
        <f t="shared" si="62"/>
        <v/>
      </c>
      <c r="M816" s="8" t="str">
        <f t="shared" si="63"/>
        <v/>
      </c>
      <c r="AB816" s="5">
        <v>80</v>
      </c>
      <c r="AD816" s="21">
        <v>21</v>
      </c>
      <c r="AF816" s="1">
        <v>0</v>
      </c>
      <c r="AG816" s="1">
        <v>6</v>
      </c>
      <c r="AH816" s="20">
        <v>0.4841435185185185</v>
      </c>
      <c r="AI816" s="2"/>
      <c r="AJ816" s="2">
        <f>("19:35"-"18:30")*1440</f>
        <v>64.999999999999929</v>
      </c>
      <c r="AK816" s="3">
        <f>180+60</f>
        <v>240</v>
      </c>
      <c r="AN816" s="3">
        <v>40</v>
      </c>
      <c r="AP816" s="13">
        <f>AVERAGE(AO814:AO820)</f>
        <v>2079.9999999999727</v>
      </c>
      <c r="AR816" s="19"/>
      <c r="AS816" s="18">
        <f>(I816-AF816)/I816</f>
        <v>1</v>
      </c>
      <c r="AT816" s="18">
        <f>AG816/(AD816-AF816)</f>
        <v>0.2857142857142857</v>
      </c>
      <c r="AU816" s="18"/>
      <c r="AV816" s="57" t="str">
        <f>IF(AND(ISNUMBER(E816),ISNUMBER(W816)),E816-W816,"")</f>
        <v/>
      </c>
      <c r="AW816" s="57">
        <f>IF(AND(ISNUMBER(I816),ISNUMBER(AF816)),I816-AF816,"")</f>
        <v>21</v>
      </c>
      <c r="AX816" s="57" t="str">
        <f>IF(AND(ISNUMBER(AM816),ISNUMBER(G816)),G816-AM816,"")</f>
        <v/>
      </c>
      <c r="AY816" s="57" t="str">
        <f>IF(AND(ISNUMBER(AC816),ISNUMBER(AE816)),AC816-AE816,"")</f>
        <v/>
      </c>
      <c r="AZ816" s="57" t="str">
        <f t="shared" si="64"/>
        <v/>
      </c>
      <c r="BE816" s="6">
        <f>IF((AD816-AF816)/(AJ816/60)&lt;=0,"",(AD816-AF816)/(AJ816/60))</f>
        <v>19.384615384615405</v>
      </c>
      <c r="BF816" s="6">
        <f>IF(OR(AJ816=0,AP816=0,NOT(ISNUMBER(AD816)),NOT(ISNUMBER(AF816)),NOT(ISNUMBER(AJ816)),NOT(ISNUMBER(AP816))),"",
IFERROR(IF((AD816-AF816)/(AJ816/60)/(AP816/1000)&lt;=0,"",(AD816-AF816)/(AJ816/60)/(AP816/1000)),""))</f>
        <v>9.3195266272190675</v>
      </c>
    </row>
    <row r="817" spans="1:58" ht="15.75">
      <c r="A817" s="12" t="s">
        <v>1</v>
      </c>
      <c r="B817" s="11">
        <v>46077</v>
      </c>
      <c r="C817" s="1">
        <v>573</v>
      </c>
      <c r="D817" s="3">
        <v>812</v>
      </c>
      <c r="E817" s="205">
        <f t="shared" si="60"/>
        <v>5.2077179999999998</v>
      </c>
      <c r="I817" s="15">
        <f>AD817</f>
        <v>21</v>
      </c>
      <c r="K817" s="10" t="str">
        <f t="shared" si="61"/>
        <v/>
      </c>
      <c r="L817" s="9">
        <f t="shared" si="62"/>
        <v>0.12399328571428571</v>
      </c>
      <c r="M817" s="8" t="str">
        <f t="shared" si="63"/>
        <v/>
      </c>
      <c r="O817" s="6">
        <v>2.0089999999999999</v>
      </c>
      <c r="P817" s="6">
        <v>0.30399999999999999</v>
      </c>
      <c r="Q817" s="6">
        <f>O817*1.067</f>
        <v>2.1436029999999997</v>
      </c>
      <c r="R817" s="6">
        <f>P817*1.514</f>
        <v>0.460256</v>
      </c>
      <c r="S817" s="6">
        <f>Q817+R817</f>
        <v>2.6038589999999999</v>
      </c>
      <c r="U817" s="6">
        <v>2.077</v>
      </c>
      <c r="V817" s="6">
        <v>0</v>
      </c>
      <c r="W817" s="23">
        <f>U817*1.067+V817*1.514</f>
        <v>2.2161589999999998</v>
      </c>
      <c r="AB817" s="5">
        <v>80</v>
      </c>
      <c r="AD817" s="21">
        <v>21</v>
      </c>
      <c r="AF817" s="1">
        <v>0</v>
      </c>
      <c r="AG817" s="22">
        <v>5.19</v>
      </c>
      <c r="AH817" s="20">
        <v>0.5600694444444444</v>
      </c>
      <c r="AI817" s="2"/>
      <c r="AJ817" s="2">
        <f>("19:45"-"18:30")*1440</f>
        <v>74.999999999999886</v>
      </c>
      <c r="AK817" s="3">
        <f>180+60</f>
        <v>240</v>
      </c>
      <c r="AN817" s="3">
        <v>40</v>
      </c>
      <c r="AO817" s="2">
        <v>2309.9999999999909</v>
      </c>
      <c r="AP817" s="13">
        <f>AVERAGE(AO815:AO821)</f>
        <v>2079.9999999999727</v>
      </c>
      <c r="AR817" s="19"/>
      <c r="AS817" s="18">
        <f>(I817-AF817)/I817</f>
        <v>1</v>
      </c>
      <c r="AT817" s="18"/>
      <c r="AU817" s="18"/>
      <c r="AV817" s="57">
        <f>IF(AND(ISNUMBER(E817),ISNUMBER(W817)),E817-W817,"")</f>
        <v>2.9915590000000001</v>
      </c>
      <c r="AW817" s="57">
        <f>IF(AND(ISNUMBER(I817),ISNUMBER(AF817)),I817-AF817,"")</f>
        <v>21</v>
      </c>
      <c r="AX817" s="57" t="str">
        <f>IF(AND(ISNUMBER(AM817),ISNUMBER(G817)),G817-AM817,"")</f>
        <v/>
      </c>
      <c r="AY817" s="57" t="str">
        <f>IF(AND(ISNUMBER(AC817),ISNUMBER(AE817)),AC817-AE817,"")</f>
        <v/>
      </c>
      <c r="AZ817" s="57" t="str">
        <f t="shared" si="64"/>
        <v/>
      </c>
      <c r="BE817" s="6">
        <f>IF((AD817-AF817)/(AJ817/60)&lt;=0,"",(AD817-AF817)/(AJ817/60))</f>
        <v>16.800000000000026</v>
      </c>
      <c r="BF817" s="6">
        <f>IF(OR(AJ817=0,AP817=0,NOT(ISNUMBER(AD817)),NOT(ISNUMBER(AF817)),NOT(ISNUMBER(AJ817)),NOT(ISNUMBER(AP817))),"",
IFERROR(IF((AD817-AF817)/(AJ817/60)/(AP817/1000)&lt;=0,"",(AD817-AF817)/(AJ817/60)/(AP817/1000)),""))</f>
        <v>8.0769230769231957</v>
      </c>
    </row>
    <row r="818" spans="1:58" ht="15.75">
      <c r="B818" s="11">
        <v>46078</v>
      </c>
      <c r="C818" s="1">
        <v>574</v>
      </c>
      <c r="D818" s="3">
        <v>813</v>
      </c>
      <c r="E818" s="205" t="str">
        <f t="shared" si="60"/>
        <v/>
      </c>
      <c r="I818" s="15">
        <f>AD818</f>
        <v>21</v>
      </c>
      <c r="K818" s="10" t="str">
        <f t="shared" si="61"/>
        <v/>
      </c>
      <c r="L818" s="9" t="str">
        <f t="shared" si="62"/>
        <v/>
      </c>
      <c r="M818" s="8" t="str">
        <f t="shared" si="63"/>
        <v/>
      </c>
      <c r="AB818" s="5">
        <v>80</v>
      </c>
      <c r="AD818" s="21">
        <v>21</v>
      </c>
      <c r="AF818" s="1">
        <v>0</v>
      </c>
      <c r="AG818" s="22">
        <v>6.09</v>
      </c>
      <c r="AH818" s="20">
        <v>0.48379629629629628</v>
      </c>
      <c r="AI818" s="2"/>
      <c r="AJ818" s="2">
        <f>("19:45"-"18:30")*1440</f>
        <v>74.999999999999886</v>
      </c>
      <c r="AK818" s="3">
        <f>180+60</f>
        <v>240</v>
      </c>
      <c r="AN818" s="3">
        <v>40</v>
      </c>
      <c r="AP818" s="13">
        <f>AVERAGE(AO816:AO822)</f>
        <v>2079.9999999999727</v>
      </c>
      <c r="AR818" s="19"/>
      <c r="AS818" s="18">
        <f>(I818-AF818)/I818</f>
        <v>1</v>
      </c>
      <c r="AT818" s="18"/>
      <c r="AU818" s="18"/>
      <c r="AV818" s="57" t="str">
        <f>IF(AND(ISNUMBER(E818),ISNUMBER(W818)),E818-W818,"")</f>
        <v/>
      </c>
      <c r="AW818" s="57">
        <f>IF(AND(ISNUMBER(I818),ISNUMBER(AF818)),I818-AF818,"")</f>
        <v>21</v>
      </c>
      <c r="AX818" s="57" t="str">
        <f>IF(AND(ISNUMBER(AM818),ISNUMBER(G818)),G818-AM818,"")</f>
        <v/>
      </c>
      <c r="AY818" s="57" t="str">
        <f>IF(AND(ISNUMBER(AC818),ISNUMBER(AE818)),AC818-AE818,"")</f>
        <v/>
      </c>
      <c r="AZ818" s="57" t="str">
        <f t="shared" si="64"/>
        <v/>
      </c>
      <c r="BE818" s="6">
        <f>IF((AD818-AF818)/(AJ818/60)&lt;=0,"",(AD818-AF818)/(AJ818/60))</f>
        <v>16.800000000000026</v>
      </c>
      <c r="BF818" s="6">
        <f>IF(OR(AJ818=0,AP818=0,NOT(ISNUMBER(AD818)),NOT(ISNUMBER(AF818)),NOT(ISNUMBER(AJ818)),NOT(ISNUMBER(AP818))),"",
IFERROR(IF((AD818-AF818)/(AJ818/60)/(AP818/1000)&lt;=0,"",(AD818-AF818)/(AJ818/60)/(AP818/1000)),""))</f>
        <v>8.0769230769231957</v>
      </c>
    </row>
    <row r="819" spans="1:58" ht="15.75">
      <c r="A819" s="12" t="s">
        <v>0</v>
      </c>
      <c r="B819" s="11">
        <v>46079</v>
      </c>
      <c r="C819" s="1">
        <v>575</v>
      </c>
      <c r="D819" s="3">
        <v>814</v>
      </c>
      <c r="E819" s="205">
        <f t="shared" si="60"/>
        <v>246.01106400000003</v>
      </c>
      <c r="G819" s="15">
        <f>(N819*18-H819*18)/9</f>
        <v>13.999999999999996</v>
      </c>
      <c r="H819" s="15">
        <f>5*1.11</f>
        <v>5.5500000000000007</v>
      </c>
      <c r="I819" s="15">
        <f>AD819</f>
        <v>21.75</v>
      </c>
      <c r="K819" s="10">
        <f t="shared" si="61"/>
        <v>17.572218857142865</v>
      </c>
      <c r="L819" s="9">
        <f t="shared" si="62"/>
        <v>5.6554267586206901</v>
      </c>
      <c r="M819" s="8">
        <f t="shared" si="63"/>
        <v>3.1071428571428581</v>
      </c>
      <c r="N819" s="7">
        <f>5*2.51</f>
        <v>12.549999999999999</v>
      </c>
      <c r="O819" s="6">
        <v>20.059999999999999</v>
      </c>
      <c r="P819" s="6">
        <v>67.108000000000004</v>
      </c>
      <c r="Q819" s="6">
        <f>O819*1.067</f>
        <v>21.404019999999999</v>
      </c>
      <c r="R819" s="6">
        <f>P819*1.514</f>
        <v>101.60151200000001</v>
      </c>
      <c r="S819" s="6">
        <f>Q819+R819</f>
        <v>123.00553200000002</v>
      </c>
      <c r="T819" s="6">
        <v>37.1</v>
      </c>
      <c r="U819" s="6">
        <v>0</v>
      </c>
      <c r="V819" s="6">
        <v>0</v>
      </c>
      <c r="W819" s="23">
        <f>U819*1.067+V819*1.514</f>
        <v>0</v>
      </c>
      <c r="AB819" s="5">
        <v>80</v>
      </c>
      <c r="AC819" s="4">
        <v>37.1</v>
      </c>
      <c r="AD819" s="1">
        <f>5*4.35</f>
        <v>21.75</v>
      </c>
      <c r="AE819" s="1">
        <v>17.2</v>
      </c>
      <c r="AF819" s="1">
        <v>0</v>
      </c>
      <c r="AG819" s="22"/>
      <c r="AH819" s="20">
        <v>0.51215277777777779</v>
      </c>
      <c r="AI819" s="2"/>
      <c r="AJ819" s="2">
        <f>("19:45"-"18:30")*1440</f>
        <v>74.999999999999886</v>
      </c>
      <c r="AK819" s="3">
        <f>180+60</f>
        <v>240</v>
      </c>
      <c r="AL819" s="4">
        <f>AE819</f>
        <v>17.2</v>
      </c>
      <c r="AM819" s="1">
        <f>5*1.51</f>
        <v>7.55</v>
      </c>
      <c r="AN819" s="3">
        <v>40</v>
      </c>
      <c r="AO819" s="2">
        <v>1849.9999999999545</v>
      </c>
      <c r="AP819" s="13">
        <f>AVERAGE(AO817:AO823)</f>
        <v>2079.9999999999727</v>
      </c>
      <c r="AR819" s="19">
        <f>(E819-W819)/E819</f>
        <v>1</v>
      </c>
      <c r="AS819" s="18">
        <f>(I819-AF819)/I819</f>
        <v>1</v>
      </c>
      <c r="AT819" s="18"/>
      <c r="AU819" s="18">
        <f>(G819-AM819)/G819</f>
        <v>0.46071428571428558</v>
      </c>
      <c r="AV819" s="57">
        <f>IF(AND(ISNUMBER(E819),ISNUMBER(W819)),E819-W819,"")</f>
        <v>246.01106400000003</v>
      </c>
      <c r="AW819" s="57">
        <f>IF(AND(ISNUMBER(I819),ISNUMBER(AF819)),I819-AF819,"")</f>
        <v>21.75</v>
      </c>
      <c r="AX819" s="57">
        <f>IF(AND(ISNUMBER(AM819),ISNUMBER(G819)),G819-AM819,"")</f>
        <v>6.4499999999999966</v>
      </c>
      <c r="AY819" s="57">
        <f>IF(AND(ISNUMBER(AC819),ISNUMBER(AE819)),AC819-AE819,"")</f>
        <v>19.900000000000002</v>
      </c>
      <c r="AZ819" s="57">
        <f t="shared" si="64"/>
        <v>9.6499999999999986</v>
      </c>
      <c r="BE819" s="6">
        <f>IF((AD819-AF819)/(AJ819/60)&lt;=0,"",(AD819-AF819)/(AJ819/60))</f>
        <v>17.400000000000027</v>
      </c>
      <c r="BF819" s="6">
        <f>IF(OR(AJ819=0,AP819=0,NOT(ISNUMBER(AD819)),NOT(ISNUMBER(AF819)),NOT(ISNUMBER(AJ819)),NOT(ISNUMBER(AP819))),"",
IFERROR(IF((AD819-AF819)/(AJ819/60)/(AP819/1000)&lt;=0,"",(AD819-AF819)/(AJ819/60)/(AP819/1000)),""))</f>
        <v>8.3653846153847393</v>
      </c>
    </row>
    <row r="820" spans="1:58" ht="15.75">
      <c r="B820" s="11">
        <v>46080</v>
      </c>
      <c r="C820" s="1">
        <v>576</v>
      </c>
      <c r="D820" s="3">
        <v>815</v>
      </c>
      <c r="E820" s="205" t="str">
        <f t="shared" si="60"/>
        <v/>
      </c>
      <c r="I820" s="15">
        <f>AD820</f>
        <v>21</v>
      </c>
      <c r="K820" s="10" t="str">
        <f t="shared" si="61"/>
        <v/>
      </c>
      <c r="L820" s="9" t="str">
        <f t="shared" si="62"/>
        <v/>
      </c>
      <c r="M820" s="8" t="str">
        <f t="shared" si="63"/>
        <v/>
      </c>
      <c r="AB820" s="5">
        <v>80</v>
      </c>
      <c r="AD820" s="21">
        <v>21</v>
      </c>
      <c r="AF820" s="1">
        <v>0</v>
      </c>
      <c r="AG820" s="22">
        <v>6.53</v>
      </c>
      <c r="AH820" s="20">
        <v>0.47638888888888886</v>
      </c>
      <c r="AI820" s="2"/>
      <c r="AJ820" s="2">
        <f>("19:20"-"18:30")*1440</f>
        <v>49.999999999999986</v>
      </c>
      <c r="AK820" s="3">
        <f>180+60</f>
        <v>240</v>
      </c>
      <c r="AN820" s="3">
        <v>40</v>
      </c>
      <c r="AP820" s="13">
        <f>AVERAGE(AO818:AO824)</f>
        <v>1849.9999999999545</v>
      </c>
      <c r="AR820" s="19"/>
      <c r="AS820" s="18">
        <f>(I820-AF820)/I820</f>
        <v>1</v>
      </c>
      <c r="AT820" s="18"/>
      <c r="AU820" s="18"/>
      <c r="AV820" s="57" t="str">
        <f>IF(AND(ISNUMBER(E820),ISNUMBER(W820)),E820-W820,"")</f>
        <v/>
      </c>
      <c r="AW820" s="57">
        <f>IF(AND(ISNUMBER(I820),ISNUMBER(AF820)),I820-AF820,"")</f>
        <v>21</v>
      </c>
      <c r="AX820" s="57" t="str">
        <f>IF(AND(ISNUMBER(AM820),ISNUMBER(G820)),G820-AM820,"")</f>
        <v/>
      </c>
      <c r="AY820" s="57" t="str">
        <f>IF(AND(ISNUMBER(AC820),ISNUMBER(AE820)),AC820-AE820,"")</f>
        <v/>
      </c>
      <c r="AZ820" s="57" t="str">
        <f t="shared" si="64"/>
        <v/>
      </c>
      <c r="BE820" s="6">
        <f>IF((AD820-AF820)/(AJ820/60)&lt;=0,"",(AD820-AF820)/(AJ820/60))</f>
        <v>25.200000000000006</v>
      </c>
      <c r="BF820" s="6">
        <f>IF(OR(AJ820=0,AP820=0,NOT(ISNUMBER(AD820)),NOT(ISNUMBER(AF820)),NOT(ISNUMBER(AJ820)),NOT(ISNUMBER(AP820))),"",
IFERROR(IF((AD820-AF820)/(AJ820/60)/(AP820/1000)&lt;=0,"",(AD820-AF820)/(AJ820/60)/(AP820/1000)),""))</f>
        <v>13.62162162162196</v>
      </c>
    </row>
    <row r="821" spans="1:58" ht="15.75">
      <c r="B821" s="11">
        <v>46081</v>
      </c>
      <c r="C821" s="1">
        <v>577</v>
      </c>
      <c r="D821" s="3">
        <v>816</v>
      </c>
      <c r="E821" s="205" t="str">
        <f t="shared" si="60"/>
        <v/>
      </c>
      <c r="I821" s="15">
        <f>AD821</f>
        <v>21</v>
      </c>
      <c r="K821" s="10" t="str">
        <f t="shared" si="61"/>
        <v/>
      </c>
      <c r="L821" s="9" t="str">
        <f t="shared" si="62"/>
        <v/>
      </c>
      <c r="M821" s="8" t="str">
        <f t="shared" si="63"/>
        <v/>
      </c>
      <c r="AB821" s="5">
        <v>80</v>
      </c>
      <c r="AD821" s="21">
        <v>21</v>
      </c>
      <c r="AF821" s="1">
        <v>0</v>
      </c>
      <c r="AG821" s="22">
        <v>5.32</v>
      </c>
      <c r="AH821" s="20">
        <v>0.46886574074074072</v>
      </c>
      <c r="AI821" s="2"/>
      <c r="AJ821" s="2">
        <f>("19:20"-"18:30")*1440</f>
        <v>49.999999999999986</v>
      </c>
      <c r="AK821" s="3">
        <f>180+60</f>
        <v>240</v>
      </c>
      <c r="AN821" s="3">
        <v>40</v>
      </c>
      <c r="AP821" s="13">
        <f>AVERAGE(AO819:AO825)</f>
        <v>1849.9999999999545</v>
      </c>
      <c r="AR821" s="19"/>
      <c r="AS821" s="18">
        <f>(I821-AF821)/I821</f>
        <v>1</v>
      </c>
      <c r="AT821" s="18">
        <f>AG821/(AD821-AF821)</f>
        <v>0.25333333333333335</v>
      </c>
      <c r="AU821" s="18" t="e">
        <f>(G821-AM821)/G821</f>
        <v>#DIV/0!</v>
      </c>
      <c r="AV821" s="57" t="str">
        <f>IF(AND(ISNUMBER(E821),ISNUMBER(W821)),E821-W821,"")</f>
        <v/>
      </c>
      <c r="AW821" s="57">
        <f>IF(AND(ISNUMBER(I821),ISNUMBER(AF821)),I821-AF821,"")</f>
        <v>21</v>
      </c>
      <c r="AX821" s="57" t="str">
        <f>IF(AND(ISNUMBER(AM821),ISNUMBER(G821)),G821-AM821,"")</f>
        <v/>
      </c>
      <c r="AY821" s="57" t="str">
        <f>IF(AND(ISNUMBER(AC821),ISNUMBER(AE821)),AC821-AE821,"")</f>
        <v/>
      </c>
      <c r="AZ821" s="57" t="str">
        <f t="shared" si="64"/>
        <v/>
      </c>
      <c r="BE821" s="6">
        <f>IF((AD821-AF821)/(AJ821/60)&lt;=0,"",(AD821-AF821)/(AJ821/60))</f>
        <v>25.200000000000006</v>
      </c>
      <c r="BF821" s="6">
        <f>IF(OR(AJ821=0,AP821=0,NOT(ISNUMBER(AD821)),NOT(ISNUMBER(AF821)),NOT(ISNUMBER(AJ821)),NOT(ISNUMBER(AP821))),"",
IFERROR(IF((AD821-AF821)/(AJ821/60)/(AP821/1000)&lt;=0,"",(AD821-AF821)/(AJ821/60)/(AP821/1000)),""))</f>
        <v>13.62162162162196</v>
      </c>
    </row>
    <row r="822" spans="1:58" ht="15.75">
      <c r="B822" s="11">
        <v>46082</v>
      </c>
      <c r="C822" s="1">
        <v>578</v>
      </c>
      <c r="D822" s="3">
        <v>817</v>
      </c>
      <c r="E822" s="205" t="str">
        <f t="shared" si="60"/>
        <v/>
      </c>
      <c r="I822" s="15">
        <f>AD822</f>
        <v>21</v>
      </c>
      <c r="K822" s="10" t="str">
        <f t="shared" si="61"/>
        <v/>
      </c>
      <c r="L822" s="9" t="str">
        <f t="shared" si="62"/>
        <v/>
      </c>
      <c r="M822" s="8" t="str">
        <f t="shared" si="63"/>
        <v/>
      </c>
      <c r="AB822" s="5">
        <v>80</v>
      </c>
      <c r="AD822" s="21">
        <v>21</v>
      </c>
      <c r="AF822" s="1">
        <v>0</v>
      </c>
      <c r="AG822" s="1">
        <v>5.7</v>
      </c>
      <c r="AH822" s="20">
        <v>0.46759259259259262</v>
      </c>
      <c r="AI822" s="2"/>
      <c r="AJ822" s="2">
        <f>("19:20"-"18:30")*1440</f>
        <v>49.999999999999986</v>
      </c>
      <c r="AK822" s="3">
        <f>180+60</f>
        <v>240</v>
      </c>
      <c r="AN822" s="3">
        <v>40</v>
      </c>
      <c r="AP822" s="13" t="e">
        <f>AVERAGE(AO820:AO826)</f>
        <v>#DIV/0!</v>
      </c>
      <c r="AR822" s="19"/>
      <c r="AS822" s="18">
        <f>(I822-AF822)/I822</f>
        <v>1</v>
      </c>
      <c r="AT822" s="18">
        <f>AG822/(AD822-AF822)</f>
        <v>0.27142857142857146</v>
      </c>
      <c r="AU822" s="18" t="e">
        <f>(G822-AM822)/G822</f>
        <v>#DIV/0!</v>
      </c>
      <c r="AV822" s="57" t="str">
        <f>IF(AND(ISNUMBER(E822),ISNUMBER(W822)),E822-W822,"")</f>
        <v/>
      </c>
      <c r="AW822" s="57">
        <f>IF(AND(ISNUMBER(I822),ISNUMBER(AF822)),I822-AF822,"")</f>
        <v>21</v>
      </c>
      <c r="AX822" s="57" t="str">
        <f>IF(AND(ISNUMBER(AM822),ISNUMBER(G822)),G822-AM822,"")</f>
        <v/>
      </c>
      <c r="AY822" s="57" t="str">
        <f>IF(AND(ISNUMBER(AC822),ISNUMBER(AE822)),AC822-AE822,"")</f>
        <v/>
      </c>
      <c r="AZ822" s="57" t="str">
        <f t="shared" si="64"/>
        <v/>
      </c>
      <c r="BE822" s="6">
        <f>IF((AD822-AF822)/(AJ822/60)&lt;=0,"",(AD822-AF822)/(AJ822/60))</f>
        <v>25.200000000000006</v>
      </c>
      <c r="BF822" s="6"/>
    </row>
    <row r="823" spans="1:58" ht="15.75">
      <c r="B823" s="11">
        <v>46083</v>
      </c>
      <c r="C823" s="1">
        <v>579</v>
      </c>
      <c r="D823" s="3">
        <v>818</v>
      </c>
      <c r="E823" s="205" t="str">
        <f t="shared" si="60"/>
        <v/>
      </c>
      <c r="I823" s="15">
        <f>AD823</f>
        <v>21</v>
      </c>
      <c r="K823" s="10" t="str">
        <f t="shared" si="61"/>
        <v/>
      </c>
      <c r="L823" s="9" t="str">
        <f t="shared" si="62"/>
        <v/>
      </c>
      <c r="M823" s="8" t="str">
        <f t="shared" si="63"/>
        <v/>
      </c>
      <c r="AB823" s="5">
        <v>80</v>
      </c>
      <c r="AD823" s="21">
        <v>21</v>
      </c>
      <c r="AF823" s="1">
        <v>0</v>
      </c>
      <c r="AG823" s="1">
        <v>5.75</v>
      </c>
      <c r="AH823" s="20">
        <v>0.4667824074074074</v>
      </c>
      <c r="AI823" s="2"/>
      <c r="AJ823" s="2">
        <f>("19:20"-"18:30")*1440</f>
        <v>49.999999999999986</v>
      </c>
      <c r="AK823" s="3">
        <f>180+60</f>
        <v>240</v>
      </c>
      <c r="AN823" s="3">
        <v>40</v>
      </c>
      <c r="AP823" s="13" t="e">
        <f>AVERAGE(AO821:AO827)</f>
        <v>#DIV/0!</v>
      </c>
      <c r="AR823" s="19"/>
      <c r="AS823" s="18">
        <f>(I823-AF823)/I823</f>
        <v>1</v>
      </c>
      <c r="AT823" s="18">
        <f>AG823/(AD823-AF823)</f>
        <v>0.27380952380952384</v>
      </c>
      <c r="AU823" s="18" t="e">
        <f>(G823-AM823)/G823</f>
        <v>#DIV/0!</v>
      </c>
      <c r="AV823" s="57" t="str">
        <f>IF(AND(ISNUMBER(E823),ISNUMBER(W823)),E823-W823,"")</f>
        <v/>
      </c>
      <c r="AW823" s="57">
        <f>IF(AND(ISNUMBER(I823),ISNUMBER(AF823)),I823-AF823,"")</f>
        <v>21</v>
      </c>
      <c r="AX823" s="57" t="str">
        <f>IF(AND(ISNUMBER(AM823),ISNUMBER(G823)),G823-AM823,"")</f>
        <v/>
      </c>
      <c r="AY823" s="57" t="str">
        <f>IF(AND(ISNUMBER(AC823),ISNUMBER(AE823)),AC823-AE823,"")</f>
        <v/>
      </c>
      <c r="AZ823" s="57" t="str">
        <f t="shared" si="64"/>
        <v/>
      </c>
      <c r="BE823" s="6">
        <f>IF((AD823-AF823)/(AJ823/60)&lt;=0,"",(AD823-AF823)/(AJ823/60))</f>
        <v>25.200000000000006</v>
      </c>
      <c r="BF823" s="6"/>
    </row>
    <row r="824" spans="1:58" ht="15.75">
      <c r="B824" s="11">
        <v>46084</v>
      </c>
      <c r="C824" s="1">
        <v>580</v>
      </c>
      <c r="D824" s="3">
        <v>819</v>
      </c>
      <c r="E824" s="205" t="str">
        <f t="shared" si="60"/>
        <v/>
      </c>
      <c r="I824" s="15">
        <f>AD824</f>
        <v>21</v>
      </c>
      <c r="K824" s="10" t="str">
        <f t="shared" si="61"/>
        <v/>
      </c>
      <c r="L824" s="9" t="str">
        <f t="shared" si="62"/>
        <v/>
      </c>
      <c r="M824" s="8" t="str">
        <f t="shared" si="63"/>
        <v/>
      </c>
      <c r="AB824" s="5">
        <v>80</v>
      </c>
      <c r="AD824" s="21">
        <v>21</v>
      </c>
      <c r="AF824" s="1">
        <v>0</v>
      </c>
      <c r="AG824" s="1">
        <v>5.94</v>
      </c>
      <c r="AH824" s="20">
        <v>0.46782407407407406</v>
      </c>
      <c r="AI824" s="2"/>
      <c r="AJ824" s="2">
        <f>("19:20"-"18:30")*1440</f>
        <v>49.999999999999986</v>
      </c>
      <c r="AK824" s="3">
        <f>180+60</f>
        <v>240</v>
      </c>
      <c r="AN824" s="3">
        <v>40</v>
      </c>
      <c r="AP824" s="13" t="e">
        <f>AVERAGE(AO822:AO828)</f>
        <v>#DIV/0!</v>
      </c>
      <c r="AR824" s="19"/>
      <c r="AS824" s="18">
        <f>(I824-AF824)/I824</f>
        <v>1</v>
      </c>
      <c r="AT824" s="18">
        <f>AG824/(AD824-AF824)</f>
        <v>0.28285714285714286</v>
      </c>
      <c r="AU824" s="18" t="e">
        <f>(G824-AM824)/G824</f>
        <v>#DIV/0!</v>
      </c>
      <c r="AV824" s="57" t="str">
        <f>IF(AND(ISNUMBER(E824),ISNUMBER(W824)),E824-W824,"")</f>
        <v/>
      </c>
      <c r="AW824" s="57">
        <f>IF(AND(ISNUMBER(I824),ISNUMBER(AF824)),I824-AF824,"")</f>
        <v>21</v>
      </c>
      <c r="AX824" s="57" t="str">
        <f>IF(AND(ISNUMBER(AM824),ISNUMBER(G824)),G824-AM824,"")</f>
        <v/>
      </c>
      <c r="AY824" s="57" t="str">
        <f>IF(AND(ISNUMBER(AC824),ISNUMBER(AE824)),AC824-AE824,"")</f>
        <v/>
      </c>
      <c r="AZ824" s="57" t="str">
        <f t="shared" si="64"/>
        <v/>
      </c>
      <c r="BE824" s="6">
        <f>IF((AD824-AF824)/(AJ824/60)&lt;=0,"",(AD824-AF824)/(AJ824/60))</f>
        <v>25.200000000000006</v>
      </c>
      <c r="BF824" s="6"/>
    </row>
    <row r="825" spans="1:58" ht="15.75">
      <c r="B825" s="11">
        <v>46085</v>
      </c>
      <c r="C825" s="1">
        <v>581</v>
      </c>
      <c r="D825" s="3">
        <v>820</v>
      </c>
      <c r="E825" s="205" t="str">
        <f t="shared" si="60"/>
        <v/>
      </c>
      <c r="I825" s="15">
        <f>AD825</f>
        <v>21</v>
      </c>
      <c r="K825" s="10" t="str">
        <f t="shared" si="61"/>
        <v/>
      </c>
      <c r="L825" s="9" t="str">
        <f t="shared" si="62"/>
        <v/>
      </c>
      <c r="M825" s="8" t="str">
        <f t="shared" si="63"/>
        <v/>
      </c>
      <c r="AB825" s="5">
        <v>80</v>
      </c>
      <c r="AD825" s="21">
        <v>21</v>
      </c>
      <c r="AF825" s="1">
        <v>0</v>
      </c>
      <c r="AG825" s="1">
        <v>3.56</v>
      </c>
      <c r="AH825" s="20">
        <v>0.46226851851851852</v>
      </c>
      <c r="AI825" s="2"/>
      <c r="AJ825" s="2">
        <f>("19:10"-"18:30")*1440</f>
        <v>40.000000000000014</v>
      </c>
      <c r="AK825" s="3">
        <f>180+60</f>
        <v>240</v>
      </c>
      <c r="AN825" s="3">
        <v>40</v>
      </c>
      <c r="AP825" s="13" t="e">
        <f>AVERAGE(AO823:AO829)</f>
        <v>#DIV/0!</v>
      </c>
      <c r="AR825" s="19"/>
      <c r="AS825" s="18">
        <f>(I825-AF825)/I825</f>
        <v>1</v>
      </c>
      <c r="AT825" s="18">
        <f>AG825/(AD825-AF825)</f>
        <v>0.16952380952380952</v>
      </c>
      <c r="AU825" s="18" t="e">
        <f>(G825-AM825)/G825</f>
        <v>#DIV/0!</v>
      </c>
      <c r="AV825" s="57" t="str">
        <f>IF(AND(ISNUMBER(E825),ISNUMBER(W825)),E825-W825,"")</f>
        <v/>
      </c>
      <c r="AW825" s="57">
        <f>IF(AND(ISNUMBER(I825),ISNUMBER(AF825)),I825-AF825,"")</f>
        <v>21</v>
      </c>
      <c r="AX825" s="57" t="str">
        <f>IF(AND(ISNUMBER(AM825),ISNUMBER(G825)),G825-AM825,"")</f>
        <v/>
      </c>
      <c r="AY825" s="57" t="str">
        <f>IF(AND(ISNUMBER(AC825),ISNUMBER(AE825)),AC825-AE825,"")</f>
        <v/>
      </c>
      <c r="AZ825" s="57" t="str">
        <f t="shared" si="64"/>
        <v/>
      </c>
      <c r="BE825" s="6">
        <f>IF((AD825-AF825)/(AJ825/60)&lt;=0,"",(AD825-AF825)/(AJ825/60))</f>
        <v>31.499999999999993</v>
      </c>
      <c r="BF825" s="6"/>
    </row>
    <row r="826" spans="1:58" ht="15.75">
      <c r="B826" s="11">
        <v>46086</v>
      </c>
      <c r="C826" s="1">
        <v>582</v>
      </c>
      <c r="D826" s="3">
        <v>821</v>
      </c>
      <c r="E826" s="205" t="str">
        <f t="shared" si="60"/>
        <v/>
      </c>
      <c r="I826" s="15">
        <f>AD826</f>
        <v>21</v>
      </c>
      <c r="K826" s="10" t="str">
        <f t="shared" si="61"/>
        <v/>
      </c>
      <c r="L826" s="9" t="str">
        <f t="shared" si="62"/>
        <v/>
      </c>
      <c r="M826" s="8" t="str">
        <f t="shared" si="63"/>
        <v/>
      </c>
      <c r="AB826" s="5">
        <v>80</v>
      </c>
      <c r="AD826" s="21">
        <v>21</v>
      </c>
      <c r="AF826" s="1">
        <v>0</v>
      </c>
      <c r="AG826" s="1">
        <v>4.5599999999999996</v>
      </c>
      <c r="AH826" s="20">
        <v>0.46377314814814813</v>
      </c>
      <c r="AI826" s="2"/>
      <c r="AJ826" s="2">
        <f>("19:10"-"18:30")*1440</f>
        <v>40.000000000000014</v>
      </c>
      <c r="AK826" s="3">
        <f>180+60</f>
        <v>240</v>
      </c>
      <c r="AN826" s="3">
        <v>40</v>
      </c>
      <c r="AP826" s="13" t="e">
        <f>AVERAGE(AO824:AO830)</f>
        <v>#DIV/0!</v>
      </c>
      <c r="AR826" s="19"/>
      <c r="AS826" s="18">
        <f>(I826-AF826)/I826</f>
        <v>1</v>
      </c>
      <c r="AT826" s="18">
        <f>AG826/(AD826-AF826)</f>
        <v>0.21714285714285714</v>
      </c>
      <c r="AU826" s="18" t="e">
        <f>(G826-AM826)/G826</f>
        <v>#DIV/0!</v>
      </c>
      <c r="AV826" s="57" t="str">
        <f>IF(AND(ISNUMBER(E826),ISNUMBER(W826)),E826-W826,"")</f>
        <v/>
      </c>
      <c r="AW826" s="57">
        <f>IF(AND(ISNUMBER(I826),ISNUMBER(AF826)),I826-AF826,"")</f>
        <v>21</v>
      </c>
      <c r="AX826" s="57" t="str">
        <f>IF(AND(ISNUMBER(AM826),ISNUMBER(G826)),G826-AM826,"")</f>
        <v/>
      </c>
      <c r="AY826" s="57" t="str">
        <f>IF(AND(ISNUMBER(AC826),ISNUMBER(AE826)),AC826-AE826,"")</f>
        <v/>
      </c>
      <c r="AZ826" s="57" t="str">
        <f t="shared" si="64"/>
        <v/>
      </c>
      <c r="BE826" s="6">
        <f>IF((AD826-AF826)/(AJ826/60)&lt;=0,"",(AD826-AF826)/(AJ826/60))</f>
        <v>31.499999999999993</v>
      </c>
      <c r="BF826" s="6"/>
    </row>
    <row r="827" spans="1:58" ht="15.75">
      <c r="B827" s="11">
        <v>46087</v>
      </c>
      <c r="C827" s="1">
        <v>583</v>
      </c>
      <c r="D827" s="3">
        <v>822</v>
      </c>
      <c r="E827" s="205" t="str">
        <f t="shared" si="60"/>
        <v/>
      </c>
      <c r="I827" s="15">
        <f>AD827</f>
        <v>21</v>
      </c>
      <c r="K827" s="10" t="str">
        <f t="shared" si="61"/>
        <v/>
      </c>
      <c r="L827" s="9" t="str">
        <f t="shared" si="62"/>
        <v/>
      </c>
      <c r="M827" s="8" t="str">
        <f t="shared" si="63"/>
        <v/>
      </c>
      <c r="AB827" s="5">
        <v>80</v>
      </c>
      <c r="AD827" s="21">
        <v>21</v>
      </c>
      <c r="AF827" s="1">
        <v>0</v>
      </c>
      <c r="AG827" s="1">
        <v>3.55</v>
      </c>
      <c r="AH827" s="20">
        <v>0.46111111111111114</v>
      </c>
      <c r="AI827" s="2"/>
      <c r="AJ827" s="2">
        <f>("19:10"-"18:30")*1440</f>
        <v>40.000000000000014</v>
      </c>
      <c r="AK827" s="3">
        <f>180+60</f>
        <v>240</v>
      </c>
      <c r="AN827" s="3">
        <v>40</v>
      </c>
      <c r="AP827" s="13" t="e">
        <f>AVERAGE(AO825:AO831)</f>
        <v>#DIV/0!</v>
      </c>
      <c r="AR827" s="19"/>
      <c r="AS827" s="18">
        <f>(I827-AF827)/I827</f>
        <v>1</v>
      </c>
      <c r="AT827" s="18">
        <f>AG827/(AD827-AF827)</f>
        <v>0.16904761904761903</v>
      </c>
      <c r="AU827" s="18" t="e">
        <f>(G827-AM827)/G827</f>
        <v>#DIV/0!</v>
      </c>
      <c r="AV827" s="57" t="str">
        <f>IF(AND(ISNUMBER(E827),ISNUMBER(W827)),E827-W827,"")</f>
        <v/>
      </c>
      <c r="AW827" s="57">
        <f>IF(AND(ISNUMBER(I827),ISNUMBER(AF827)),I827-AF827,"")</f>
        <v>21</v>
      </c>
      <c r="AX827" s="57" t="str">
        <f>IF(AND(ISNUMBER(AM827),ISNUMBER(G827)),G827-AM827,"")</f>
        <v/>
      </c>
      <c r="AY827" s="57" t="str">
        <f>IF(AND(ISNUMBER(AC827),ISNUMBER(AE827)),AC827-AE827,"")</f>
        <v/>
      </c>
      <c r="AZ827" s="57" t="str">
        <f t="shared" si="64"/>
        <v/>
      </c>
      <c r="BE827" s="6">
        <f>IF((AD827-AF827)/(AJ827/60)&lt;=0,"",(AD827-AF827)/(AJ827/60))</f>
        <v>31.499999999999993</v>
      </c>
      <c r="BF827" s="6"/>
    </row>
    <row r="828" spans="1:58" ht="15.75">
      <c r="B828" s="11">
        <v>46088</v>
      </c>
      <c r="C828" s="1">
        <v>584</v>
      </c>
      <c r="D828" s="3">
        <v>823</v>
      </c>
      <c r="E828" s="205" t="str">
        <f t="shared" si="60"/>
        <v/>
      </c>
      <c r="I828" s="15">
        <f>AD828</f>
        <v>21</v>
      </c>
      <c r="K828" s="10" t="str">
        <f t="shared" si="61"/>
        <v/>
      </c>
      <c r="L828" s="9" t="str">
        <f t="shared" si="62"/>
        <v/>
      </c>
      <c r="M828" s="8" t="str">
        <f t="shared" si="63"/>
        <v/>
      </c>
      <c r="AB828" s="5">
        <v>80</v>
      </c>
      <c r="AD828" s="21">
        <v>21</v>
      </c>
      <c r="AF828" s="1">
        <v>0</v>
      </c>
      <c r="AG828" s="1">
        <v>3.75</v>
      </c>
      <c r="AH828" s="20">
        <v>0.4599537037037037</v>
      </c>
      <c r="AI828" s="2"/>
      <c r="AJ828" s="2">
        <f>("19:10"-"18:30")*1440</f>
        <v>40.000000000000014</v>
      </c>
      <c r="AK828" s="3">
        <f>180+60</f>
        <v>240</v>
      </c>
      <c r="AN828" s="3">
        <v>40</v>
      </c>
      <c r="AP828" s="13" t="e">
        <f>AVERAGE(AO826:AO832)</f>
        <v>#DIV/0!</v>
      </c>
      <c r="AR828" s="19"/>
      <c r="AS828" s="18">
        <f>(I828-AF828)/I828</f>
        <v>1</v>
      </c>
      <c r="AT828" s="18">
        <f>AG828/(AD828-AF828)</f>
        <v>0.17857142857142858</v>
      </c>
      <c r="AU828" s="18" t="e">
        <f>(G828-AM828)/G828</f>
        <v>#DIV/0!</v>
      </c>
      <c r="AV828" s="57" t="str">
        <f>IF(AND(ISNUMBER(E828),ISNUMBER(W828)),E828-W828,"")</f>
        <v/>
      </c>
      <c r="AW828" s="57">
        <f>IF(AND(ISNUMBER(I828),ISNUMBER(AF828)),I828-AF828,"")</f>
        <v>21</v>
      </c>
      <c r="AX828" s="57" t="str">
        <f>IF(AND(ISNUMBER(AM828),ISNUMBER(G828)),G828-AM828,"")</f>
        <v/>
      </c>
      <c r="AY828" s="57" t="str">
        <f>IF(AND(ISNUMBER(AC828),ISNUMBER(AE828)),AC828-AE828,"")</f>
        <v/>
      </c>
      <c r="AZ828" s="57" t="str">
        <f t="shared" si="64"/>
        <v/>
      </c>
      <c r="BE828" s="6">
        <f>IF((AD828-AF828)/(AJ828/60)&lt;=0,"",(AD828-AF828)/(AJ828/60))</f>
        <v>31.499999999999993</v>
      </c>
      <c r="BF828" s="6"/>
    </row>
    <row r="829" spans="1:58" ht="15.75">
      <c r="B829" s="11">
        <v>46089</v>
      </c>
      <c r="C829" s="1">
        <v>585</v>
      </c>
      <c r="D829" s="3">
        <v>824</v>
      </c>
      <c r="E829" s="205" t="str">
        <f t="shared" si="60"/>
        <v/>
      </c>
      <c r="I829" s="15">
        <f>AD829</f>
        <v>21</v>
      </c>
      <c r="K829" s="10" t="str">
        <f t="shared" si="61"/>
        <v/>
      </c>
      <c r="L829" s="9" t="str">
        <f t="shared" si="62"/>
        <v/>
      </c>
      <c r="M829" s="8" t="str">
        <f t="shared" si="63"/>
        <v/>
      </c>
      <c r="AB829" s="5">
        <v>80</v>
      </c>
      <c r="AD829" s="21">
        <v>21</v>
      </c>
      <c r="AF829" s="1">
        <v>0</v>
      </c>
      <c r="AG829" s="1">
        <v>3.68</v>
      </c>
      <c r="AH829" s="20">
        <v>0.45706018518518521</v>
      </c>
      <c r="AI829" s="2"/>
      <c r="AJ829" s="2">
        <f>("19:10"-"18:30")*1440</f>
        <v>40.000000000000014</v>
      </c>
      <c r="AK829" s="3">
        <f>180+60</f>
        <v>240</v>
      </c>
      <c r="AN829" s="3">
        <v>40</v>
      </c>
      <c r="AP829" s="13" t="e">
        <f>AVERAGE(AO827:AO833)</f>
        <v>#DIV/0!</v>
      </c>
      <c r="AR829" s="19"/>
      <c r="AS829" s="18">
        <f>(I829-AF829)/I829</f>
        <v>1</v>
      </c>
      <c r="AT829" s="18">
        <f>AG829/(AD829-AF829)</f>
        <v>0.17523809523809525</v>
      </c>
      <c r="AU829" s="18" t="e">
        <f>(G829-AM829)/G829</f>
        <v>#DIV/0!</v>
      </c>
      <c r="AV829" s="57" t="str">
        <f>IF(AND(ISNUMBER(E829),ISNUMBER(W829)),E829-W829,"")</f>
        <v/>
      </c>
      <c r="AW829" s="57">
        <f>IF(AND(ISNUMBER(I829),ISNUMBER(AF829)),I829-AF829,"")</f>
        <v>21</v>
      </c>
      <c r="AX829" s="57" t="str">
        <f>IF(AND(ISNUMBER(AM829),ISNUMBER(G829)),G829-AM829,"")</f>
        <v/>
      </c>
      <c r="AY829" s="57" t="str">
        <f>IF(AND(ISNUMBER(AC829),ISNUMBER(AE829)),AC829-AE829,"")</f>
        <v/>
      </c>
      <c r="AZ829" s="57" t="str">
        <f t="shared" si="64"/>
        <v/>
      </c>
      <c r="BE829" s="6">
        <f>IF((AD829-AF829)/(AJ829/60)&lt;=0,"",(AD829-AF829)/(AJ829/60))</f>
        <v>31.499999999999993</v>
      </c>
      <c r="BF829" s="6"/>
    </row>
    <row r="830" spans="1:58" ht="15.75">
      <c r="B830" s="11">
        <v>46090</v>
      </c>
      <c r="C830" s="1">
        <v>586</v>
      </c>
      <c r="D830" s="3">
        <v>825</v>
      </c>
      <c r="E830" s="205" t="str">
        <f t="shared" si="60"/>
        <v/>
      </c>
      <c r="I830" s="15">
        <f>AD830</f>
        <v>21</v>
      </c>
      <c r="K830" s="10" t="str">
        <f t="shared" si="61"/>
        <v/>
      </c>
      <c r="L830" s="9" t="str">
        <f t="shared" si="62"/>
        <v/>
      </c>
      <c r="M830" s="8" t="str">
        <f t="shared" si="63"/>
        <v/>
      </c>
      <c r="AB830" s="5">
        <v>80</v>
      </c>
      <c r="AD830" s="21">
        <v>21</v>
      </c>
      <c r="AF830" s="1">
        <v>0</v>
      </c>
      <c r="AG830" s="1">
        <v>2.62</v>
      </c>
      <c r="AH830" s="20">
        <v>0.453125</v>
      </c>
      <c r="AI830" s="2"/>
      <c r="AJ830" s="2">
        <f>("19:10"-"18:30")*1440</f>
        <v>40.000000000000014</v>
      </c>
      <c r="AK830" s="3">
        <f>180+60</f>
        <v>240</v>
      </c>
      <c r="AN830" s="3">
        <v>40</v>
      </c>
      <c r="AP830" s="13" t="e">
        <f>AVERAGE(AO828:AO834)</f>
        <v>#DIV/0!</v>
      </c>
      <c r="AR830" s="19"/>
      <c r="AS830" s="18">
        <f>(I830-AF830)/I830</f>
        <v>1</v>
      </c>
      <c r="AT830" s="18">
        <f>AG830/(AD830-AF830)</f>
        <v>0.12476190476190477</v>
      </c>
      <c r="AU830" s="18" t="e">
        <f>(G830-AM830)/G830</f>
        <v>#DIV/0!</v>
      </c>
      <c r="AV830" s="57" t="str">
        <f>IF(AND(ISNUMBER(E830),ISNUMBER(W830)),E830-W830,"")</f>
        <v/>
      </c>
      <c r="AW830" s="57">
        <f>IF(AND(ISNUMBER(I830),ISNUMBER(AF830)),I830-AF830,"")</f>
        <v>21</v>
      </c>
      <c r="AX830" s="57" t="str">
        <f>IF(AND(ISNUMBER(AM830),ISNUMBER(G830)),G830-AM830,"")</f>
        <v/>
      </c>
      <c r="AY830" s="57" t="str">
        <f>IF(AND(ISNUMBER(AC830),ISNUMBER(AE830)),AC830-AE830,"")</f>
        <v/>
      </c>
      <c r="AZ830" s="57" t="str">
        <f t="shared" si="64"/>
        <v/>
      </c>
      <c r="BE830" s="6">
        <f>IF((AD830-AF830)/(AJ830/60)&lt;=0,"",(AD830-AF830)/(AJ830/60))</f>
        <v>31.499999999999993</v>
      </c>
      <c r="BF830" s="6"/>
    </row>
    <row r="831" spans="1:58" ht="15.75">
      <c r="B831" s="11">
        <v>46091</v>
      </c>
      <c r="C831" s="1">
        <v>587</v>
      </c>
      <c r="D831" s="3">
        <v>826</v>
      </c>
      <c r="E831" s="205" t="str">
        <f t="shared" si="60"/>
        <v/>
      </c>
      <c r="I831" s="15">
        <f>AD831</f>
        <v>21</v>
      </c>
      <c r="K831" s="10" t="str">
        <f t="shared" si="61"/>
        <v/>
      </c>
      <c r="L831" s="9" t="str">
        <f t="shared" si="62"/>
        <v/>
      </c>
      <c r="M831" s="8" t="str">
        <f t="shared" si="63"/>
        <v/>
      </c>
      <c r="AB831" s="5">
        <v>80</v>
      </c>
      <c r="AD831" s="21">
        <v>21</v>
      </c>
      <c r="AF831" s="1">
        <v>0</v>
      </c>
      <c r="AH831" s="20">
        <v>0.47546296296296298</v>
      </c>
      <c r="AI831" s="2"/>
      <c r="AJ831" s="2">
        <f>("19:10"-"18:30")*1440</f>
        <v>40.000000000000014</v>
      </c>
      <c r="AK831" s="3">
        <f>180+60</f>
        <v>240</v>
      </c>
      <c r="AN831" s="3">
        <v>40</v>
      </c>
      <c r="AP831" s="13" t="e">
        <f>AVERAGE(AO829:AO835)</f>
        <v>#DIV/0!</v>
      </c>
      <c r="AR831" s="19"/>
      <c r="AS831" s="18">
        <f>(I831-AF831)/I831</f>
        <v>1</v>
      </c>
      <c r="AT831" s="18"/>
      <c r="AU831" s="18" t="e">
        <f>(G831-AM831)/G831</f>
        <v>#DIV/0!</v>
      </c>
      <c r="AV831" s="57" t="str">
        <f>IF(AND(ISNUMBER(E831),ISNUMBER(W831)),E831-W831,"")</f>
        <v/>
      </c>
      <c r="AW831" s="57">
        <f>IF(AND(ISNUMBER(I831),ISNUMBER(AF831)),I831-AF831,"")</f>
        <v>21</v>
      </c>
      <c r="AX831" s="57" t="str">
        <f>IF(AND(ISNUMBER(AM831),ISNUMBER(G831)),G831-AM831,"")</f>
        <v/>
      </c>
      <c r="AY831" s="57" t="str">
        <f>IF(AND(ISNUMBER(AC831),ISNUMBER(AE831)),AC831-AE831,"")</f>
        <v/>
      </c>
      <c r="AZ831" s="57" t="str">
        <f t="shared" si="64"/>
        <v/>
      </c>
      <c r="BE831" s="6">
        <f>IF((AD831-AF831)/(AJ831/60)&lt;=0,"",(AD831-AF831)/(AJ831/60))</f>
        <v>31.499999999999993</v>
      </c>
      <c r="BF831" s="6"/>
    </row>
    <row r="832" spans="1:58" ht="15.75">
      <c r="B832" s="11">
        <v>46092</v>
      </c>
      <c r="C832" s="1">
        <v>588</v>
      </c>
      <c r="D832" s="3">
        <v>827</v>
      </c>
      <c r="E832" s="205" t="str">
        <f t="shared" si="60"/>
        <v/>
      </c>
      <c r="I832" s="15">
        <f>AD832</f>
        <v>21</v>
      </c>
      <c r="K832" s="10" t="str">
        <f t="shared" si="61"/>
        <v/>
      </c>
      <c r="L832" s="9" t="str">
        <f t="shared" si="62"/>
        <v/>
      </c>
      <c r="M832" s="8" t="str">
        <f t="shared" si="63"/>
        <v/>
      </c>
      <c r="AB832" s="5">
        <v>80</v>
      </c>
      <c r="AD832" s="21">
        <v>21</v>
      </c>
      <c r="AF832" s="1">
        <v>0</v>
      </c>
      <c r="AG832" s="1">
        <v>5.96</v>
      </c>
      <c r="AH832" s="20">
        <v>0.46064814814814814</v>
      </c>
      <c r="AI832" s="2"/>
      <c r="AJ832" s="2">
        <f>("19:10"-"18:30")*1440</f>
        <v>40.000000000000014</v>
      </c>
      <c r="AK832" s="3">
        <f>180+60</f>
        <v>240</v>
      </c>
      <c r="AN832" s="3">
        <v>40</v>
      </c>
      <c r="AP832" s="13"/>
      <c r="AR832" s="19"/>
      <c r="AS832" s="18">
        <f>(I832-AF832)/I832</f>
        <v>1</v>
      </c>
      <c r="AT832" s="18">
        <f>AG832/(AD832-AF832)</f>
        <v>0.28380952380952379</v>
      </c>
      <c r="AU832" s="18" t="e">
        <f>(G832-AM832)/G832</f>
        <v>#DIV/0!</v>
      </c>
      <c r="AV832" s="57" t="str">
        <f>IF(AND(ISNUMBER(E832),ISNUMBER(W832)),E832-W832,"")</f>
        <v/>
      </c>
      <c r="AW832" s="57">
        <f>IF(AND(ISNUMBER(I832),ISNUMBER(AF832)),I832-AF832,"")</f>
        <v>21</v>
      </c>
      <c r="AX832" s="57" t="str">
        <f>IF(AND(ISNUMBER(AM832),ISNUMBER(G832)),G832-AM832,"")</f>
        <v/>
      </c>
      <c r="AY832" s="57" t="str">
        <f>IF(AND(ISNUMBER(AC832),ISNUMBER(AE832)),AC832-AE832,"")</f>
        <v/>
      </c>
      <c r="AZ832" s="57" t="str">
        <f t="shared" si="64"/>
        <v/>
      </c>
      <c r="BE832" s="6">
        <f>IF((AD832-AF832)/(AJ832/60)&lt;=0,"",(AD832-AF832)/(AJ832/60))</f>
        <v>31.499999999999993</v>
      </c>
      <c r="BF832" s="6"/>
    </row>
    <row r="833" spans="2:58" ht="15.75">
      <c r="B833" s="11">
        <v>46093</v>
      </c>
      <c r="C833" s="1">
        <v>589</v>
      </c>
      <c r="D833" s="3">
        <v>828</v>
      </c>
      <c r="E833" s="205" t="str">
        <f t="shared" si="60"/>
        <v/>
      </c>
      <c r="I833" s="15">
        <f>AD833</f>
        <v>0</v>
      </c>
      <c r="K833" s="10" t="str">
        <f t="shared" si="61"/>
        <v/>
      </c>
      <c r="L833" s="9" t="str">
        <f t="shared" si="62"/>
        <v/>
      </c>
      <c r="M833" s="8" t="str">
        <f t="shared" si="63"/>
        <v/>
      </c>
      <c r="AJ833" s="2">
        <f>("19:10"-"18:30")*1440</f>
        <v>40.000000000000014</v>
      </c>
      <c r="AP833" s="13"/>
      <c r="AR833" s="17"/>
      <c r="AS833" s="16" t="e">
        <f>(I833-AF833)/I833</f>
        <v>#DIV/0!</v>
      </c>
      <c r="AT833" s="16" t="e">
        <f>AG833/(AD833-AF833)</f>
        <v>#DIV/0!</v>
      </c>
      <c r="AU833" s="16" t="e">
        <f>(G833-AM833)/G833</f>
        <v>#DIV/0!</v>
      </c>
      <c r="AV833" s="57" t="str">
        <f>IF(AND(ISNUMBER(E833),ISNUMBER(W833)),E833-W833,"")</f>
        <v/>
      </c>
      <c r="AW833" s="57" t="str">
        <f>IF(AND(ISNUMBER(I833),ISNUMBER(AF833)),I833-AF833,"")</f>
        <v/>
      </c>
      <c r="AX833" s="57" t="str">
        <f>IF(AND(ISNUMBER(AM833),ISNUMBER(G833)),G833-AM833,"")</f>
        <v/>
      </c>
      <c r="AY833" s="57" t="str">
        <f>IF(AND(ISNUMBER(AC833),ISNUMBER(AE833)),AC833-AE833,"")</f>
        <v/>
      </c>
      <c r="AZ833" s="57" t="str">
        <f t="shared" si="64"/>
        <v/>
      </c>
      <c r="BE833" s="6" t="str">
        <f>IF((AD833-AF833)/(AJ833/60)&lt;=0,"",(AD833-AF833)/(AJ833/60))</f>
        <v/>
      </c>
      <c r="BF833" s="6" t="str">
        <f>IF(OR(AJ833=0,AP833=0,NOT(ISNUMBER(AD833)),NOT(ISNUMBER(AF833)),NOT(ISNUMBER(AJ833)),NOT(ISNUMBER(AP833))),"",
IFERROR(IF((AD833-AF833)/(AJ833/60)/(AP833/1000)&lt;=0,"",(AD833-AF833)/(AJ833/60)/(AP833/1000)),""))</f>
        <v/>
      </c>
    </row>
    <row r="834" spans="2:58">
      <c r="I834" s="15">
        <f>AD834</f>
        <v>0</v>
      </c>
      <c r="K834" s="10" t="str">
        <f t="shared" si="61"/>
        <v/>
      </c>
      <c r="L834" s="9" t="str">
        <f t="shared" si="62"/>
        <v/>
      </c>
      <c r="M834" s="8" t="str">
        <f t="shared" si="63"/>
        <v/>
      </c>
      <c r="AJ834" s="14"/>
      <c r="AP834" s="13"/>
      <c r="BE834" s="6" t="e">
        <f>IF((AD834-AF834)/(AJ834/60)&lt;=0,"",(AD834-AF834)/(AJ834/60))</f>
        <v>#DIV/0!</v>
      </c>
      <c r="BF834" s="6" t="str">
        <f>IF(OR(AJ834=0,AP834=0,NOT(ISNUMBER(AD834)),NOT(ISNUMBER(AF834)),NOT(ISNUMBER(AJ834)),NOT(ISNUMBER(AP834))),"",
IFERROR(IF((AD834-AF834)/(AJ834/60)/(AP834/1000)&lt;=0,"",(AD834-AF834)/(AJ834/60)/(AP834/1000)),""))</f>
        <v/>
      </c>
    </row>
    <row r="835" spans="2:58">
      <c r="AJ835" s="14"/>
      <c r="AP835" s="13"/>
      <c r="BE835" s="6" t="e">
        <f>IF((AD835-AF835)/(AJ835/60)&lt;=0,"",(AD835-AF835)/(AJ835/60))</f>
        <v>#DIV/0!</v>
      </c>
    </row>
    <row r="836" spans="2:58">
      <c r="AJ836" s="14"/>
      <c r="AP836" s="13"/>
      <c r="BE836" s="6" t="e">
        <f>IF((AD836-AF836)/(AJ836/60)&lt;=0,"",(AD836-AF836)/(AJ836/60))</f>
        <v>#DIV/0!</v>
      </c>
    </row>
    <row r="837" spans="2:58">
      <c r="AJ837" s="14"/>
      <c r="AP837" s="13"/>
      <c r="BE837" s="6" t="e">
        <f>IF((AD837-AF837)/(AJ837/60)&lt;=0,"",(AD837-AF837)/(AJ837/60))</f>
        <v>#DIV/0!</v>
      </c>
    </row>
    <row r="838" spans="2:58">
      <c r="AJ838" s="14"/>
      <c r="AP838" s="13"/>
      <c r="BE838" s="6" t="e">
        <f>IF((AD838-AF838)/(AJ838/60)&lt;=0,"",(AD838-AF838)/(AJ838/60))</f>
        <v>#DIV/0!</v>
      </c>
    </row>
    <row r="839" spans="2:58">
      <c r="BE839" s="6" t="e">
        <f>IF((AD839-AF839)/(AJ839/60)&lt;=0,"",(AD839-AF839)/(AJ839/60))</f>
        <v>#DIV/0!</v>
      </c>
    </row>
    <row r="840" spans="2:58">
      <c r="BE840" s="6" t="e">
        <f>IF((AD840-AF840)/(AJ840/60)&lt;=0,"",(AD840-AF840)/(AJ840/60))</f>
        <v>#DIV/0!</v>
      </c>
    </row>
    <row r="841" spans="2:58">
      <c r="BE841" s="6" t="e">
        <f>IF((AD841-AF841)/(AJ841/60)&lt;=0,"",(AD841-AF841)/(AJ841/60))</f>
        <v>#DIV/0!</v>
      </c>
    </row>
    <row r="842" spans="2:58">
      <c r="BE842" s="6" t="e">
        <f>IF((AD842-AF842)/(AJ842/60)&lt;=0,"",(AD842-AF842)/(AJ842/60))</f>
        <v>#DIV/0!</v>
      </c>
    </row>
    <row r="843" spans="2:58">
      <c r="BE843" s="6" t="e">
        <f>IF((AD843-AF843)/(AJ843/60)&lt;=0,"",(AD843-AF843)/(AJ843/60))</f>
        <v>#DIV/0!</v>
      </c>
    </row>
    <row r="844" spans="2:58">
      <c r="BE844" s="6" t="e">
        <f>IF((AD844-AF844)/(AJ844/60)&lt;=0,"",(AD844-AF844)/(AJ844/60))</f>
        <v>#DIV/0!</v>
      </c>
    </row>
    <row r="845" spans="2:58">
      <c r="BE845" s="6" t="e">
        <f>IF((AD845-AF845)/(AJ845/60)&lt;=0,"",(AD845-AF845)/(AJ845/60))</f>
        <v>#DIV/0!</v>
      </c>
    </row>
    <row r="846" spans="2:58">
      <c r="BE846" s="6" t="e">
        <f>IF((AD846-AF846)/(AJ846/60)&lt;=0,"",(AD846-AF846)/(AJ846/60))</f>
        <v>#DIV/0!</v>
      </c>
    </row>
    <row r="847" spans="2:58">
      <c r="BE847" s="6" t="e">
        <f>IF((AD847-AF847)/(AJ847/60)&lt;=0,"",(AD847-AF847)/(AJ847/60))</f>
        <v>#DIV/0!</v>
      </c>
    </row>
    <row r="848" spans="2:58">
      <c r="BE848" s="6" t="e">
        <f>IF((AD848-AF848)/(AJ848/60)&lt;=0,"",(AD848-AF848)/(AJ848/60))</f>
        <v>#DIV/0!</v>
      </c>
    </row>
    <row r="849" spans="57:57">
      <c r="BE849" s="6" t="e">
        <f>IF((AD849-AF849)/(AJ849/60)&lt;=0,"",(AD849-AF849)/(AJ849/60))</f>
        <v>#DIV/0!</v>
      </c>
    </row>
    <row r="850" spans="57:57">
      <c r="BE850" s="6" t="e">
        <f>IF((AD850-AF850)/(AJ850/60)&lt;=0,"",(AD850-AF850)/(AJ850/60))</f>
        <v>#DIV/0!</v>
      </c>
    </row>
    <row r="851" spans="57:57">
      <c r="BE851" s="6" t="e">
        <f>IF((AD851-AF851)/(AJ851/60)&lt;=0,"",(AD851-AF851)/(AJ851/60))</f>
        <v>#DIV/0!</v>
      </c>
    </row>
    <row r="852" spans="57:57">
      <c r="BE852" s="6" t="e">
        <f>IF((AD852-AF852)/(AJ852/60)&lt;=0,"",(AD852-AF852)/(AJ852/60))</f>
        <v>#DIV/0!</v>
      </c>
    </row>
    <row r="853" spans="57:57">
      <c r="BE853" s="6" t="e">
        <f>IF((AD853-AF853)/(AJ853/60)&lt;=0,"",(AD853-AF853)/(AJ853/60))</f>
        <v>#DIV/0!</v>
      </c>
    </row>
    <row r="854" spans="57:57">
      <c r="BE854" s="6" t="e">
        <f>IF((AD854-AF854)/(AJ854/60)&lt;=0,"",(AD854-AF854)/(AJ854/60))</f>
        <v>#DIV/0!</v>
      </c>
    </row>
    <row r="855" spans="57:57">
      <c r="BE855" s="6" t="e">
        <f>IF((AD855-AF855)/(AJ855/60)&lt;=0,"",(AD855-AF855)/(AJ855/60))</f>
        <v>#DIV/0!</v>
      </c>
    </row>
    <row r="856" spans="57:57">
      <c r="BE856" s="6" t="e">
        <f>IF((AD856-AF856)/(AJ856/60)&lt;=0,"",(AD856-AF856)/(AJ856/60))</f>
        <v>#DIV/0!</v>
      </c>
    </row>
    <row r="857" spans="57:57">
      <c r="BE857" s="6" t="e">
        <f>IF((AD857-AF857)/(AJ857/60)&lt;=0,"",(AD857-AF857)/(AJ857/60))</f>
        <v>#DIV/0!</v>
      </c>
    </row>
    <row r="858" spans="57:57">
      <c r="BE858" s="6" t="e">
        <f>IF((AD858-AF858)/(AJ858/60)&lt;=0,"",(AD858-AF858)/(AJ858/60))</f>
        <v>#DIV/0!</v>
      </c>
    </row>
    <row r="859" spans="57:57">
      <c r="BE859" s="6" t="e">
        <f>IF((AD859-AF859)/(AJ859/60)&lt;=0,"",(AD859-AF859)/(AJ859/60))</f>
        <v>#DIV/0!</v>
      </c>
    </row>
    <row r="860" spans="57:57">
      <c r="BE860" s="6" t="e">
        <f>IF((AD860-AF860)/(AJ860/60)&lt;=0,"",(AD860-AF860)/(AJ860/60))</f>
        <v>#DIV/0!</v>
      </c>
    </row>
    <row r="861" spans="57:57">
      <c r="BE861" s="6" t="e">
        <f>IF((AD861-AF861)/(AJ861/60)&lt;=0,"",(AD861-AF861)/(AJ861/60))</f>
        <v>#DIV/0!</v>
      </c>
    </row>
    <row r="862" spans="57:57">
      <c r="BE862" s="6" t="e">
        <f>IF((AD862-AF862)/(AJ862/60)&lt;=0,"",(AD862-AF862)/(AJ862/60))</f>
        <v>#DIV/0!</v>
      </c>
    </row>
    <row r="863" spans="57:57">
      <c r="BE863" s="6" t="e">
        <f>IF((AD863-AF863)/(AJ863/60)&lt;=0,"",(AD863-AF863)/(AJ863/60))</f>
        <v>#DIV/0!</v>
      </c>
    </row>
    <row r="864" spans="57:57">
      <c r="BE864" s="6" t="e">
        <f>IF((AD864-AF864)/(AJ864/60)&lt;=0,"",(AD864-AF864)/(AJ864/60))</f>
        <v>#DIV/0!</v>
      </c>
    </row>
    <row r="865" spans="57:57">
      <c r="BE865" s="6" t="e">
        <f>IF((AD865-AF865)/(AJ865/60)&lt;=0,"",(AD865-AF865)/(AJ865/60))</f>
        <v>#DIV/0!</v>
      </c>
    </row>
    <row r="866" spans="57:57">
      <c r="BE866" s="6" t="e">
        <f>IF((AD866-AF866)/(AJ866/60)&lt;=0,"",(AD866-AF866)/(AJ866/60))</f>
        <v>#DIV/0!</v>
      </c>
    </row>
    <row r="867" spans="57:57">
      <c r="BE867" s="6" t="e">
        <f>IF((AD867-AF867)/(AJ867/60)&lt;=0,"",(AD867-AF867)/(AJ867/60))</f>
        <v>#DIV/0!</v>
      </c>
    </row>
    <row r="868" spans="57:57">
      <c r="BE868" s="6" t="e">
        <f>IF((AD868-AF868)/(AJ868/60)&lt;=0,"",(AD868-AF868)/(AJ868/60))</f>
        <v>#DIV/0!</v>
      </c>
    </row>
    <row r="869" spans="57:57">
      <c r="BE869" s="6" t="e">
        <f>IF((AD869-AF869)/(AJ869/60)&lt;=0,"",(AD869-AF869)/(AJ869/60))</f>
        <v>#DIV/0!</v>
      </c>
    </row>
    <row r="870" spans="57:57">
      <c r="BE870" s="6" t="e">
        <f>IF((AD870-AF870)/(AJ870/60)&lt;=0,"",(AD870-AF870)/(AJ870/60))</f>
        <v>#DIV/0!</v>
      </c>
    </row>
    <row r="871" spans="57:57">
      <c r="BE871" s="6" t="e">
        <f>IF((AD871-AF871)/(AJ871/60)&lt;=0,"",(AD871-AF871)/(AJ871/60))</f>
        <v>#DIV/0!</v>
      </c>
    </row>
    <row r="872" spans="57:57">
      <c r="BE872" s="6" t="e">
        <f>IF((AD872-AF872)/(AJ872/60)&lt;=0,"",(AD872-AF872)/(AJ872/60))</f>
        <v>#DIV/0!</v>
      </c>
    </row>
    <row r="873" spans="57:57">
      <c r="BE873" s="6" t="e">
        <f>IF((AD873-AF873)/(AJ873/60)&lt;=0,"",(AD873-AF873)/(AJ873/60))</f>
        <v>#DIV/0!</v>
      </c>
    </row>
    <row r="874" spans="57:57">
      <c r="BE874" s="6" t="e">
        <f>IF((AD874-AF874)/(AJ874/60)&lt;=0,"",(AD874-AF874)/(AJ874/60))</f>
        <v>#DIV/0!</v>
      </c>
    </row>
    <row r="875" spans="57:57">
      <c r="BE875" s="6" t="e">
        <f>IF((AD875-AF875)/(AJ875/60)&lt;=0,"",(AD875-AF875)/(AJ875/60))</f>
        <v>#DIV/0!</v>
      </c>
    </row>
    <row r="876" spans="57:57">
      <c r="BE876" s="6" t="e">
        <f>IF((AD876-AF876)/(AJ876/60)&lt;=0,"",(AD876-AF876)/(AJ876/60))</f>
        <v>#DIV/0!</v>
      </c>
    </row>
    <row r="877" spans="57:57">
      <c r="BE877" s="6" t="e">
        <f>IF((AD877-AF877)/(AJ877/60)&lt;=0,"",(AD877-AF877)/(AJ877/60))</f>
        <v>#DIV/0!</v>
      </c>
    </row>
    <row r="878" spans="57:57">
      <c r="BE878" s="6" t="e">
        <f>IF((AD878-AF878)/(AJ878/60)&lt;=0,"",(AD878-AF878)/(AJ878/60))</f>
        <v>#DIV/0!</v>
      </c>
    </row>
    <row r="879" spans="57:57">
      <c r="BE879" s="6" t="e">
        <f>IF((AD879-AF879)/(AJ879/60)&lt;=0,"",(AD879-AF879)/(AJ879/60))</f>
        <v>#DIV/0!</v>
      </c>
    </row>
    <row r="880" spans="57:57">
      <c r="BE880" s="6" t="e">
        <f>IF((AD880-AF880)/(AJ880/60)&lt;=0,"",(AD880-AF880)/(AJ880/60))</f>
        <v>#DIV/0!</v>
      </c>
    </row>
    <row r="881" spans="57:57">
      <c r="BE881" s="6" t="e">
        <f>IF((AD881-AF881)/(AJ881/60)&lt;=0,"",(AD881-AF881)/(AJ881/60))</f>
        <v>#DIV/0!</v>
      </c>
    </row>
  </sheetData>
  <mergeCells count="7">
    <mergeCell ref="E1:J1"/>
    <mergeCell ref="K1:M1"/>
    <mergeCell ref="N1:AB1"/>
    <mergeCell ref="AC1:AK1"/>
    <mergeCell ref="AL1:AN1"/>
    <mergeCell ref="AO1:AQ1"/>
    <mergeCell ref="AR1:AZ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monitoring final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Karen Kin</dc:creator>
  <cp:lastModifiedBy>Emily Karen Kin</cp:lastModifiedBy>
  <dcterms:created xsi:type="dcterms:W3CDTF">2026-05-19T16:30:00Z</dcterms:created>
  <dcterms:modified xsi:type="dcterms:W3CDTF">2026-05-20T01:17:55Z</dcterms:modified>
</cp:coreProperties>
</file>