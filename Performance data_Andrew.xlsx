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E_EERE_b1052_pjt2\"/>
    </mc:Choice>
  </mc:AlternateContent>
  <xr:revisionPtr revIDLastSave="0" documentId="13_ncr:1_{D31F0019-AD9B-47B5-B17A-7EED504EF4F7}" xr6:coauthVersionLast="47" xr6:coauthVersionMax="47" xr10:uidLastSave="{00000000-0000-0000-0000-000000000000}"/>
  <bookViews>
    <workbookView xWindow="41328" yWindow="2232" windowWidth="27756" windowHeight="23112" activeTab="1" xr2:uid="{6082446C-4A9C-4FF2-B307-4D432692E017}"/>
  </bookViews>
  <sheets>
    <sheet name="Daily monitoring final (3)" sheetId="1" r:id="rId1"/>
    <sheet name="addition phase perfromance data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2" l="1"/>
  <c r="C3" i="2"/>
  <c r="C6" i="2"/>
  <c r="C5" i="2"/>
  <c r="E812" i="1"/>
  <c r="E813" i="1"/>
  <c r="E814" i="1"/>
  <c r="E815" i="1"/>
  <c r="E816" i="1"/>
  <c r="E817" i="1"/>
  <c r="E818" i="1"/>
  <c r="E819" i="1"/>
  <c r="E820" i="1"/>
  <c r="E821" i="1"/>
  <c r="AV821" i="1" s="1"/>
  <c r="E822" i="1"/>
  <c r="E823" i="1"/>
  <c r="AV823" i="1" s="1"/>
  <c r="E824" i="1"/>
  <c r="E825" i="1"/>
  <c r="E826" i="1"/>
  <c r="E827" i="1"/>
  <c r="E828" i="1"/>
  <c r="E829" i="1"/>
  <c r="AV829" i="1" s="1"/>
  <c r="E830" i="1"/>
  <c r="E831" i="1"/>
  <c r="AV831" i="1" s="1"/>
  <c r="E832" i="1"/>
  <c r="E833" i="1"/>
  <c r="AV833" i="1" s="1"/>
  <c r="E770" i="1"/>
  <c r="E771" i="1"/>
  <c r="E772" i="1"/>
  <c r="E773" i="1"/>
  <c r="E774" i="1"/>
  <c r="E775" i="1"/>
  <c r="E776" i="1"/>
  <c r="E777" i="1"/>
  <c r="AV777" i="1" s="1"/>
  <c r="E778" i="1"/>
  <c r="K778" i="1" s="1"/>
  <c r="E779" i="1"/>
  <c r="AV779" i="1" s="1"/>
  <c r="E780" i="1"/>
  <c r="AV780" i="1" s="1"/>
  <c r="E781" i="1"/>
  <c r="AV781" i="1" s="1"/>
  <c r="E782" i="1"/>
  <c r="E783" i="1"/>
  <c r="E784" i="1"/>
  <c r="E785" i="1"/>
  <c r="E786" i="1"/>
  <c r="E787" i="1"/>
  <c r="AV787" i="1" s="1"/>
  <c r="E788" i="1"/>
  <c r="E789" i="1"/>
  <c r="E790" i="1"/>
  <c r="AV790" i="1" s="1"/>
  <c r="E791" i="1"/>
  <c r="E792" i="1"/>
  <c r="E793" i="1"/>
  <c r="AV793" i="1" s="1"/>
  <c r="E794" i="1"/>
  <c r="E795" i="1"/>
  <c r="E796" i="1"/>
  <c r="E797" i="1"/>
  <c r="E798" i="1"/>
  <c r="E799" i="1"/>
  <c r="AV799" i="1" s="1"/>
  <c r="E800" i="1"/>
  <c r="E801" i="1"/>
  <c r="E802" i="1"/>
  <c r="E803" i="1"/>
  <c r="E804" i="1"/>
  <c r="AV804" i="1" s="1"/>
  <c r="E805" i="1"/>
  <c r="K805" i="1" s="1"/>
  <c r="E806" i="1"/>
  <c r="E807" i="1"/>
  <c r="E808" i="1"/>
  <c r="E809" i="1"/>
  <c r="E810" i="1"/>
  <c r="E811" i="1"/>
  <c r="E720" i="1"/>
  <c r="E721" i="1"/>
  <c r="E722" i="1"/>
  <c r="E723" i="1"/>
  <c r="E724" i="1"/>
  <c r="E725" i="1"/>
  <c r="E726" i="1"/>
  <c r="E727" i="1"/>
  <c r="AV727" i="1" s="1"/>
  <c r="E728" i="1"/>
  <c r="E729" i="1"/>
  <c r="AV729" i="1" s="1"/>
  <c r="E730" i="1"/>
  <c r="AV730" i="1" s="1"/>
  <c r="E731" i="1"/>
  <c r="AV731" i="1" s="1"/>
  <c r="E732" i="1"/>
  <c r="E733" i="1"/>
  <c r="E734" i="1"/>
  <c r="E735" i="1"/>
  <c r="E736" i="1"/>
  <c r="E737" i="1"/>
  <c r="AV737" i="1" s="1"/>
  <c r="E738" i="1"/>
  <c r="E739" i="1"/>
  <c r="AV739" i="1" s="1"/>
  <c r="E740" i="1"/>
  <c r="E741" i="1"/>
  <c r="AV741" i="1" s="1"/>
  <c r="E742" i="1"/>
  <c r="AV742" i="1" s="1"/>
  <c r="E743" i="1"/>
  <c r="AV743" i="1" s="1"/>
  <c r="E744" i="1"/>
  <c r="E745" i="1"/>
  <c r="E746" i="1"/>
  <c r="E747" i="1"/>
  <c r="E748" i="1"/>
  <c r="E749" i="1"/>
  <c r="E750" i="1"/>
  <c r="AV750" i="1" s="1"/>
  <c r="E751" i="1"/>
  <c r="E752" i="1"/>
  <c r="AV752" i="1" s="1"/>
  <c r="E753" i="1"/>
  <c r="E754" i="1"/>
  <c r="AV754" i="1" s="1"/>
  <c r="E755" i="1"/>
  <c r="AV755" i="1" s="1"/>
  <c r="E756" i="1"/>
  <c r="E757" i="1"/>
  <c r="E758" i="1"/>
  <c r="E759" i="1"/>
  <c r="E760" i="1"/>
  <c r="E761" i="1"/>
  <c r="E762" i="1"/>
  <c r="E763" i="1"/>
  <c r="E764" i="1"/>
  <c r="E765" i="1"/>
  <c r="AV765" i="1" s="1"/>
  <c r="E766" i="1"/>
  <c r="AV766" i="1" s="1"/>
  <c r="E767" i="1"/>
  <c r="E768" i="1"/>
  <c r="E769" i="1"/>
  <c r="E690" i="1"/>
  <c r="E691" i="1"/>
  <c r="E692" i="1"/>
  <c r="E693" i="1"/>
  <c r="E694" i="1"/>
  <c r="E695" i="1"/>
  <c r="E696" i="1"/>
  <c r="AV696" i="1" s="1"/>
  <c r="E697" i="1"/>
  <c r="E698" i="1"/>
  <c r="E699" i="1"/>
  <c r="E700" i="1"/>
  <c r="AV700" i="1" s="1"/>
  <c r="E701" i="1"/>
  <c r="AV701" i="1" s="1"/>
  <c r="E702" i="1"/>
  <c r="E703" i="1"/>
  <c r="E704" i="1"/>
  <c r="E705" i="1"/>
  <c r="E706" i="1"/>
  <c r="E707" i="1"/>
  <c r="E708" i="1"/>
  <c r="AV708" i="1" s="1"/>
  <c r="E709" i="1"/>
  <c r="E710" i="1"/>
  <c r="E711" i="1"/>
  <c r="E712" i="1"/>
  <c r="AV712" i="1" s="1"/>
  <c r="E713" i="1"/>
  <c r="AR713" i="1" s="1"/>
  <c r="E714" i="1"/>
  <c r="E715" i="1"/>
  <c r="E716" i="1"/>
  <c r="E717" i="1"/>
  <c r="E718" i="1"/>
  <c r="E719" i="1"/>
  <c r="E662" i="1"/>
  <c r="E663" i="1"/>
  <c r="E664" i="1"/>
  <c r="E665" i="1"/>
  <c r="E666" i="1"/>
  <c r="E667" i="1"/>
  <c r="E668" i="1"/>
  <c r="E669" i="1"/>
  <c r="E670" i="1"/>
  <c r="E671" i="1"/>
  <c r="E672" i="1"/>
  <c r="AV672" i="1" s="1"/>
  <c r="E673" i="1"/>
  <c r="AV673" i="1" s="1"/>
  <c r="E674" i="1"/>
  <c r="E675" i="1"/>
  <c r="E676" i="1"/>
  <c r="E677" i="1"/>
  <c r="E678" i="1"/>
  <c r="E679" i="1"/>
  <c r="AV679" i="1" s="1"/>
  <c r="E680" i="1"/>
  <c r="E681" i="1"/>
  <c r="E682" i="1"/>
  <c r="E683" i="1"/>
  <c r="E684" i="1"/>
  <c r="AV684" i="1" s="1"/>
  <c r="E685" i="1"/>
  <c r="AV685" i="1" s="1"/>
  <c r="E686" i="1"/>
  <c r="E687" i="1"/>
  <c r="E688" i="1"/>
  <c r="E689" i="1"/>
  <c r="E629" i="1"/>
  <c r="E630" i="1"/>
  <c r="E631" i="1"/>
  <c r="E632" i="1"/>
  <c r="E633" i="1"/>
  <c r="AV633" i="1" s="1"/>
  <c r="E634" i="1"/>
  <c r="E635" i="1"/>
  <c r="E636" i="1"/>
  <c r="AV636" i="1" s="1"/>
  <c r="E637" i="1"/>
  <c r="BA637" i="1" s="1"/>
  <c r="E638" i="1"/>
  <c r="E639" i="1"/>
  <c r="AV639" i="1" s="1"/>
  <c r="E640" i="1"/>
  <c r="E641" i="1"/>
  <c r="E642" i="1"/>
  <c r="E643" i="1"/>
  <c r="E644" i="1"/>
  <c r="E645" i="1"/>
  <c r="E646" i="1"/>
  <c r="E647" i="1"/>
  <c r="E648" i="1"/>
  <c r="E649" i="1"/>
  <c r="AV649" i="1" s="1"/>
  <c r="E650" i="1"/>
  <c r="AV650" i="1" s="1"/>
  <c r="E651" i="1"/>
  <c r="E652" i="1"/>
  <c r="E653" i="1"/>
  <c r="E654" i="1"/>
  <c r="E655" i="1"/>
  <c r="E656" i="1"/>
  <c r="E657" i="1"/>
  <c r="E658" i="1"/>
  <c r="E659" i="1"/>
  <c r="E660" i="1"/>
  <c r="E661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AV470" i="1" s="1"/>
  <c r="E471" i="1"/>
  <c r="E472" i="1"/>
  <c r="E473" i="1"/>
  <c r="AV473" i="1" s="1"/>
  <c r="E474" i="1"/>
  <c r="AV474" i="1" s="1"/>
  <c r="E475" i="1"/>
  <c r="AV475" i="1" s="1"/>
  <c r="E476" i="1"/>
  <c r="AV476" i="1" s="1"/>
  <c r="E477" i="1"/>
  <c r="E478" i="1"/>
  <c r="E479" i="1"/>
  <c r="E480" i="1"/>
  <c r="E481" i="1"/>
  <c r="E482" i="1"/>
  <c r="E483" i="1"/>
  <c r="E484" i="1"/>
  <c r="E485" i="1"/>
  <c r="E486" i="1"/>
  <c r="AV486" i="1" s="1"/>
  <c r="E487" i="1"/>
  <c r="AV487" i="1" s="1"/>
  <c r="E488" i="1"/>
  <c r="E489" i="1"/>
  <c r="E490" i="1"/>
  <c r="E491" i="1"/>
  <c r="E492" i="1"/>
  <c r="E493" i="1"/>
  <c r="E494" i="1"/>
  <c r="AV494" i="1" s="1"/>
  <c r="E495" i="1"/>
  <c r="E496" i="1"/>
  <c r="E497" i="1"/>
  <c r="E498" i="1"/>
  <c r="AV498" i="1" s="1"/>
  <c r="E499" i="1"/>
  <c r="AV499" i="1" s="1"/>
  <c r="E500" i="1"/>
  <c r="AV500" i="1" s="1"/>
  <c r="E501" i="1"/>
  <c r="E502" i="1"/>
  <c r="E503" i="1"/>
  <c r="E504" i="1"/>
  <c r="E505" i="1"/>
  <c r="E506" i="1"/>
  <c r="E507" i="1"/>
  <c r="E508" i="1"/>
  <c r="E509" i="1"/>
  <c r="E510" i="1"/>
  <c r="E511" i="1"/>
  <c r="E512" i="1"/>
  <c r="AV512" i="1" s="1"/>
  <c r="E513" i="1"/>
  <c r="E514" i="1"/>
  <c r="E515" i="1"/>
  <c r="E516" i="1"/>
  <c r="E517" i="1"/>
  <c r="E518" i="1"/>
  <c r="AV518" i="1" s="1"/>
  <c r="E519" i="1"/>
  <c r="E520" i="1"/>
  <c r="E521" i="1"/>
  <c r="AV521" i="1" s="1"/>
  <c r="E522" i="1"/>
  <c r="AV522" i="1" s="1"/>
  <c r="E523" i="1"/>
  <c r="AV523" i="1" s="1"/>
  <c r="E524" i="1"/>
  <c r="AV524" i="1" s="1"/>
  <c r="E525" i="1"/>
  <c r="E526" i="1"/>
  <c r="E527" i="1"/>
  <c r="E528" i="1"/>
  <c r="E529" i="1"/>
  <c r="E530" i="1"/>
  <c r="E531" i="1"/>
  <c r="E532" i="1"/>
  <c r="E533" i="1"/>
  <c r="E534" i="1"/>
  <c r="AV534" i="1" s="1"/>
  <c r="E535" i="1"/>
  <c r="E536" i="1"/>
  <c r="K536" i="1" s="1"/>
  <c r="E537" i="1"/>
  <c r="E538" i="1"/>
  <c r="E539" i="1"/>
  <c r="E540" i="1"/>
  <c r="E541" i="1"/>
  <c r="E542" i="1"/>
  <c r="E543" i="1"/>
  <c r="E544" i="1"/>
  <c r="E545" i="1"/>
  <c r="K545" i="1" s="1"/>
  <c r="E546" i="1"/>
  <c r="E547" i="1"/>
  <c r="AV547" i="1" s="1"/>
  <c r="E548" i="1"/>
  <c r="AV548" i="1" s="1"/>
  <c r="E549" i="1"/>
  <c r="E550" i="1"/>
  <c r="E551" i="1"/>
  <c r="E552" i="1"/>
  <c r="E553" i="1"/>
  <c r="E554" i="1"/>
  <c r="AV554" i="1" s="1"/>
  <c r="E555" i="1"/>
  <c r="E556" i="1"/>
  <c r="E557" i="1"/>
  <c r="AV557" i="1" s="1"/>
  <c r="E558" i="1"/>
  <c r="E559" i="1"/>
  <c r="AV559" i="1" s="1"/>
  <c r="E560" i="1"/>
  <c r="E561" i="1"/>
  <c r="E562" i="1"/>
  <c r="E563" i="1"/>
  <c r="E564" i="1"/>
  <c r="E565" i="1"/>
  <c r="E566" i="1"/>
  <c r="AV566" i="1" s="1"/>
  <c r="E567" i="1"/>
  <c r="E568" i="1"/>
  <c r="E569" i="1"/>
  <c r="AV569" i="1" s="1"/>
  <c r="E570" i="1"/>
  <c r="E571" i="1"/>
  <c r="AV571" i="1" s="1"/>
  <c r="E572" i="1"/>
  <c r="AV572" i="1" s="1"/>
  <c r="E573" i="1"/>
  <c r="E574" i="1"/>
  <c r="E575" i="1"/>
  <c r="E576" i="1"/>
  <c r="E577" i="1"/>
  <c r="E578" i="1"/>
  <c r="E579" i="1"/>
  <c r="E580" i="1"/>
  <c r="E581" i="1"/>
  <c r="E582" i="1"/>
  <c r="E583" i="1"/>
  <c r="AV583" i="1" s="1"/>
  <c r="E584" i="1"/>
  <c r="AV584" i="1" s="1"/>
  <c r="E585" i="1"/>
  <c r="E586" i="1"/>
  <c r="E587" i="1"/>
  <c r="E588" i="1"/>
  <c r="E589" i="1"/>
  <c r="E590" i="1"/>
  <c r="AV590" i="1" s="1"/>
  <c r="E591" i="1"/>
  <c r="E592" i="1"/>
  <c r="E593" i="1"/>
  <c r="AV593" i="1" s="1"/>
  <c r="E594" i="1"/>
  <c r="AV594" i="1" s="1"/>
  <c r="E595" i="1"/>
  <c r="AV595" i="1" s="1"/>
  <c r="E596" i="1"/>
  <c r="AV596" i="1" s="1"/>
  <c r="E597" i="1"/>
  <c r="E598" i="1"/>
  <c r="E599" i="1"/>
  <c r="E600" i="1"/>
  <c r="E601" i="1"/>
  <c r="E602" i="1"/>
  <c r="AV602" i="1" s="1"/>
  <c r="E603" i="1"/>
  <c r="E604" i="1"/>
  <c r="E605" i="1"/>
  <c r="E606" i="1"/>
  <c r="E607" i="1"/>
  <c r="AV607" i="1" s="1"/>
  <c r="E608" i="1"/>
  <c r="E609" i="1"/>
  <c r="E610" i="1"/>
  <c r="E611" i="1"/>
  <c r="E612" i="1"/>
  <c r="E613" i="1"/>
  <c r="E614" i="1"/>
  <c r="E615" i="1"/>
  <c r="E616" i="1"/>
  <c r="E617" i="1"/>
  <c r="AV617" i="1" s="1"/>
  <c r="E618" i="1"/>
  <c r="E619" i="1"/>
  <c r="E620" i="1"/>
  <c r="AV620" i="1" s="1"/>
  <c r="E621" i="1"/>
  <c r="E622" i="1"/>
  <c r="E623" i="1"/>
  <c r="E624" i="1"/>
  <c r="E625" i="1"/>
  <c r="E626" i="1"/>
  <c r="E627" i="1"/>
  <c r="E628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BA436" i="1" s="1"/>
  <c r="E437" i="1"/>
  <c r="AV437" i="1" s="1"/>
  <c r="E438" i="1"/>
  <c r="AR438" i="1" s="1"/>
  <c r="E439" i="1"/>
  <c r="E440" i="1"/>
  <c r="E441" i="1"/>
  <c r="E442" i="1"/>
  <c r="E443" i="1"/>
  <c r="E444" i="1"/>
  <c r="E445" i="1"/>
  <c r="E446" i="1"/>
  <c r="E447" i="1"/>
  <c r="AR447" i="1" s="1"/>
  <c r="E448" i="1"/>
  <c r="E449" i="1"/>
  <c r="E450" i="1"/>
  <c r="E451" i="1"/>
  <c r="E452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AR398" i="1" s="1"/>
  <c r="E399" i="1"/>
  <c r="E400" i="1"/>
  <c r="AV400" i="1" s="1"/>
  <c r="E401" i="1"/>
  <c r="E402" i="1"/>
  <c r="E403" i="1"/>
  <c r="E404" i="1"/>
  <c r="E405" i="1"/>
  <c r="E406" i="1"/>
  <c r="E407" i="1"/>
  <c r="E408" i="1"/>
  <c r="E409" i="1"/>
  <c r="E410" i="1"/>
  <c r="E411" i="1"/>
  <c r="E412" i="1"/>
  <c r="AV412" i="1" s="1"/>
  <c r="E413" i="1"/>
  <c r="E414" i="1"/>
  <c r="E415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K356" i="1" s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05" i="1"/>
  <c r="E306" i="1"/>
  <c r="E307" i="1"/>
  <c r="E308" i="1"/>
  <c r="E309" i="1"/>
  <c r="E310" i="1"/>
  <c r="E311" i="1"/>
  <c r="E312" i="1"/>
  <c r="E313" i="1"/>
  <c r="E314" i="1"/>
  <c r="E315" i="1"/>
  <c r="AR315" i="1" s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K337" i="1" s="1"/>
  <c r="E338" i="1"/>
  <c r="AV338" i="1" s="1"/>
  <c r="E339" i="1"/>
  <c r="E340" i="1"/>
  <c r="BA340" i="1" s="1"/>
  <c r="E341" i="1"/>
  <c r="E342" i="1"/>
  <c r="E343" i="1"/>
  <c r="E344" i="1"/>
  <c r="E241" i="1"/>
  <c r="E242" i="1"/>
  <c r="E243" i="1"/>
  <c r="E244" i="1"/>
  <c r="E245" i="1"/>
  <c r="AR245" i="1" s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BA261" i="1" s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L275" i="1" s="1"/>
  <c r="E276" i="1"/>
  <c r="AV276" i="1" s="1"/>
  <c r="E277" i="1"/>
  <c r="E278" i="1"/>
  <c r="E279" i="1"/>
  <c r="E280" i="1"/>
  <c r="E281" i="1"/>
  <c r="K281" i="1" s="1"/>
  <c r="E282" i="1"/>
  <c r="BA282" i="1" s="1"/>
  <c r="E283" i="1"/>
  <c r="E284" i="1"/>
  <c r="E285" i="1"/>
  <c r="E286" i="1"/>
  <c r="E287" i="1"/>
  <c r="E288" i="1"/>
  <c r="E289" i="1"/>
  <c r="E290" i="1"/>
  <c r="E291" i="1"/>
  <c r="E292" i="1"/>
  <c r="E293" i="1"/>
  <c r="E294" i="1"/>
  <c r="AR294" i="1" s="1"/>
  <c r="E295" i="1"/>
  <c r="E296" i="1"/>
  <c r="E297" i="1"/>
  <c r="E298" i="1"/>
  <c r="E299" i="1"/>
  <c r="E300" i="1"/>
  <c r="E301" i="1"/>
  <c r="E302" i="1"/>
  <c r="E303" i="1"/>
  <c r="E304" i="1"/>
  <c r="L305" i="1"/>
  <c r="K309" i="1"/>
  <c r="E28" i="1"/>
  <c r="E29" i="1"/>
  <c r="E30" i="1"/>
  <c r="E31" i="1"/>
  <c r="E32" i="1"/>
  <c r="E33" i="1"/>
  <c r="E35" i="1"/>
  <c r="E36" i="1"/>
  <c r="BA36" i="1" s="1"/>
  <c r="E37" i="1"/>
  <c r="AR37" i="1" s="1"/>
  <c r="E38" i="1"/>
  <c r="AR38" i="1" s="1"/>
  <c r="E40" i="1"/>
  <c r="E41" i="1"/>
  <c r="E42" i="1"/>
  <c r="E43" i="1"/>
  <c r="E44" i="1"/>
  <c r="E45" i="1"/>
  <c r="AV45" i="1" s="1"/>
  <c r="E46" i="1"/>
  <c r="E48" i="1"/>
  <c r="AR48" i="1" s="1"/>
  <c r="E49" i="1"/>
  <c r="K49" i="1" s="1"/>
  <c r="E50" i="1"/>
  <c r="K50" i="1" s="1"/>
  <c r="E51" i="1"/>
  <c r="AR51" i="1" s="1"/>
  <c r="E52" i="1"/>
  <c r="E53" i="1"/>
  <c r="E54" i="1"/>
  <c r="E55" i="1"/>
  <c r="E56" i="1"/>
  <c r="E57" i="1"/>
  <c r="E58" i="1"/>
  <c r="E59" i="1"/>
  <c r="E60" i="1"/>
  <c r="AV60" i="1" s="1"/>
  <c r="E61" i="1"/>
  <c r="E62" i="1"/>
  <c r="AV62" i="1" s="1"/>
  <c r="E63" i="1"/>
  <c r="E64" i="1"/>
  <c r="E65" i="1"/>
  <c r="E66" i="1"/>
  <c r="E67" i="1"/>
  <c r="E68" i="1"/>
  <c r="E69" i="1"/>
  <c r="E70" i="1"/>
  <c r="E71" i="1"/>
  <c r="E72" i="1"/>
  <c r="E73" i="1"/>
  <c r="AR73" i="1" s="1"/>
  <c r="E74" i="1"/>
  <c r="K74" i="1" s="1"/>
  <c r="E75" i="1"/>
  <c r="E76" i="1"/>
  <c r="E77" i="1"/>
  <c r="E78" i="1"/>
  <c r="E79" i="1"/>
  <c r="E80" i="1"/>
  <c r="E81" i="1"/>
  <c r="L81" i="1" s="1"/>
  <c r="E83" i="1"/>
  <c r="E84" i="1"/>
  <c r="E85" i="1"/>
  <c r="E86" i="1"/>
  <c r="E87" i="1"/>
  <c r="E88" i="1"/>
  <c r="E89" i="1"/>
  <c r="E90" i="1"/>
  <c r="E91" i="1"/>
  <c r="E92" i="1"/>
  <c r="E93" i="1"/>
  <c r="BA93" i="1" s="1"/>
  <c r="E94" i="1"/>
  <c r="E95" i="1"/>
  <c r="E96" i="1"/>
  <c r="E97" i="1"/>
  <c r="E98" i="1"/>
  <c r="AV98" i="1" s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K117" i="1" s="1"/>
  <c r="E118" i="1"/>
  <c r="E119" i="1"/>
  <c r="E120" i="1"/>
  <c r="E121" i="1"/>
  <c r="E122" i="1"/>
  <c r="E123" i="1"/>
  <c r="K123" i="1" s="1"/>
  <c r="E124" i="1"/>
  <c r="E125" i="1"/>
  <c r="E126" i="1"/>
  <c r="E127" i="1"/>
  <c r="E128" i="1"/>
  <c r="E129" i="1"/>
  <c r="E130" i="1"/>
  <c r="E131" i="1"/>
  <c r="E132" i="1"/>
  <c r="E133" i="1"/>
  <c r="E134" i="1"/>
  <c r="E135" i="1"/>
  <c r="K135" i="1" s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BA158" i="1" s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BA171" i="1" s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K192" i="1" s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BA205" i="1" s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K241" i="1"/>
  <c r="E7" i="1"/>
  <c r="E8" i="1"/>
  <c r="E9" i="1"/>
  <c r="E10" i="1"/>
  <c r="E11" i="1"/>
  <c r="E12" i="1"/>
  <c r="E13" i="1"/>
  <c r="AR13" i="1" s="1"/>
  <c r="E14" i="1"/>
  <c r="K14" i="1" s="1"/>
  <c r="E15" i="1"/>
  <c r="BA15" i="1" s="1"/>
  <c r="E16" i="1"/>
  <c r="AV16" i="1" s="1"/>
  <c r="E17" i="1"/>
  <c r="AR17" i="1" s="1"/>
  <c r="E20" i="1"/>
  <c r="E21" i="1"/>
  <c r="E22" i="1"/>
  <c r="E23" i="1"/>
  <c r="E24" i="1"/>
  <c r="E25" i="1"/>
  <c r="E27" i="1"/>
  <c r="E6" i="1"/>
  <c r="K6" i="1" s="1"/>
  <c r="F18" i="1"/>
  <c r="AX486" i="1"/>
  <c r="AY486" i="1"/>
  <c r="AZ486" i="1"/>
  <c r="AX487" i="1"/>
  <c r="AY487" i="1"/>
  <c r="AZ487" i="1"/>
  <c r="AY491" i="1"/>
  <c r="AX492" i="1"/>
  <c r="AY492" i="1"/>
  <c r="AZ492" i="1"/>
  <c r="AX493" i="1"/>
  <c r="AY493" i="1"/>
  <c r="AZ493" i="1"/>
  <c r="AY494" i="1"/>
  <c r="AX496" i="1"/>
  <c r="AY496" i="1"/>
  <c r="AZ496" i="1"/>
  <c r="AX497" i="1"/>
  <c r="AY497" i="1"/>
  <c r="AZ497" i="1"/>
  <c r="AX498" i="1"/>
  <c r="AY498" i="1"/>
  <c r="AZ498" i="1"/>
  <c r="AX499" i="1"/>
  <c r="AY499" i="1"/>
  <c r="AZ499" i="1"/>
  <c r="AX500" i="1"/>
  <c r="AY500" i="1"/>
  <c r="AZ500" i="1"/>
  <c r="AX501" i="1"/>
  <c r="AY501" i="1"/>
  <c r="AZ501" i="1"/>
  <c r="AX502" i="1"/>
  <c r="AY502" i="1"/>
  <c r="AZ502" i="1"/>
  <c r="AX503" i="1"/>
  <c r="AY503" i="1"/>
  <c r="AZ503" i="1"/>
  <c r="AX504" i="1"/>
  <c r="AY504" i="1"/>
  <c r="AZ504" i="1"/>
  <c r="AX505" i="1"/>
  <c r="AY505" i="1"/>
  <c r="AZ505" i="1"/>
  <c r="AX506" i="1"/>
  <c r="AY506" i="1"/>
  <c r="AZ506" i="1"/>
  <c r="AX507" i="1"/>
  <c r="AY507" i="1"/>
  <c r="AZ507" i="1"/>
  <c r="AX508" i="1"/>
  <c r="AY508" i="1"/>
  <c r="AZ508" i="1"/>
  <c r="AX509" i="1"/>
  <c r="AY509" i="1"/>
  <c r="AZ509" i="1"/>
  <c r="AX510" i="1"/>
  <c r="AY510" i="1"/>
  <c r="AZ510" i="1"/>
  <c r="AX511" i="1"/>
  <c r="AY511" i="1"/>
  <c r="AZ511" i="1"/>
  <c r="AX512" i="1"/>
  <c r="AY512" i="1"/>
  <c r="AZ512" i="1"/>
  <c r="AX513" i="1"/>
  <c r="AY513" i="1"/>
  <c r="AZ513" i="1"/>
  <c r="AX514" i="1"/>
  <c r="AY514" i="1"/>
  <c r="AZ514" i="1"/>
  <c r="AX515" i="1"/>
  <c r="AY515" i="1"/>
  <c r="AZ515" i="1"/>
  <c r="AX517" i="1"/>
  <c r="AY517" i="1"/>
  <c r="AZ517" i="1"/>
  <c r="AX518" i="1"/>
  <c r="AY518" i="1"/>
  <c r="AZ518" i="1"/>
  <c r="AX519" i="1"/>
  <c r="AY519" i="1"/>
  <c r="AZ519" i="1"/>
  <c r="AX520" i="1"/>
  <c r="AY520" i="1"/>
  <c r="AZ520" i="1"/>
  <c r="AX521" i="1"/>
  <c r="AY521" i="1"/>
  <c r="AZ521" i="1"/>
  <c r="AX522" i="1"/>
  <c r="AY522" i="1"/>
  <c r="AZ522" i="1"/>
  <c r="AX523" i="1"/>
  <c r="AY523" i="1"/>
  <c r="AZ523" i="1"/>
  <c r="AX524" i="1"/>
  <c r="AY524" i="1"/>
  <c r="AZ524" i="1"/>
  <c r="AX525" i="1"/>
  <c r="AY525" i="1"/>
  <c r="AZ525" i="1"/>
  <c r="AX526" i="1"/>
  <c r="AY526" i="1"/>
  <c r="AZ526" i="1"/>
  <c r="AX527" i="1"/>
  <c r="AY527" i="1"/>
  <c r="AZ527" i="1"/>
  <c r="AX528" i="1"/>
  <c r="AY528" i="1"/>
  <c r="AZ528" i="1"/>
  <c r="AX529" i="1"/>
  <c r="AY529" i="1"/>
  <c r="AZ529" i="1"/>
  <c r="AX530" i="1"/>
  <c r="AY530" i="1"/>
  <c r="AZ530" i="1"/>
  <c r="AX531" i="1"/>
  <c r="AY531" i="1"/>
  <c r="AZ531" i="1"/>
  <c r="AX532" i="1"/>
  <c r="AY532" i="1"/>
  <c r="AZ532" i="1"/>
  <c r="AX533" i="1"/>
  <c r="AY533" i="1"/>
  <c r="AZ533" i="1"/>
  <c r="AX534" i="1"/>
  <c r="AY534" i="1"/>
  <c r="AZ534" i="1"/>
  <c r="AX535" i="1"/>
  <c r="AY535" i="1"/>
  <c r="AZ535" i="1"/>
  <c r="AX536" i="1"/>
  <c r="AY536" i="1"/>
  <c r="AZ536" i="1"/>
  <c r="AX537" i="1"/>
  <c r="AY537" i="1"/>
  <c r="AZ537" i="1"/>
  <c r="AX538" i="1"/>
  <c r="AY538" i="1"/>
  <c r="AZ538" i="1"/>
  <c r="AY539" i="1"/>
  <c r="AZ539" i="1"/>
  <c r="AX540" i="1"/>
  <c r="AY540" i="1"/>
  <c r="AZ540" i="1"/>
  <c r="AX541" i="1"/>
  <c r="AY541" i="1"/>
  <c r="AZ541" i="1"/>
  <c r="AX542" i="1"/>
  <c r="AY542" i="1"/>
  <c r="AZ542" i="1"/>
  <c r="AX543" i="1"/>
  <c r="AY543" i="1"/>
  <c r="AZ543" i="1"/>
  <c r="AY544" i="1"/>
  <c r="AZ544" i="1"/>
  <c r="AX545" i="1"/>
  <c r="AY545" i="1"/>
  <c r="AZ545" i="1"/>
  <c r="AY546" i="1"/>
  <c r="AZ546" i="1"/>
  <c r="AX547" i="1"/>
  <c r="AY547" i="1"/>
  <c r="AZ547" i="1"/>
  <c r="AX548" i="1"/>
  <c r="AY548" i="1"/>
  <c r="AZ548" i="1"/>
  <c r="AX549" i="1"/>
  <c r="AY549" i="1"/>
  <c r="AZ549" i="1"/>
  <c r="AX550" i="1"/>
  <c r="AY550" i="1"/>
  <c r="AZ550" i="1"/>
  <c r="AX551" i="1"/>
  <c r="AY551" i="1"/>
  <c r="AZ551" i="1"/>
  <c r="AX552" i="1"/>
  <c r="AY552" i="1"/>
  <c r="AZ552" i="1"/>
  <c r="AX553" i="1"/>
  <c r="AY553" i="1"/>
  <c r="AZ553" i="1"/>
  <c r="AX554" i="1"/>
  <c r="AY554" i="1"/>
  <c r="AZ554" i="1"/>
  <c r="AX556" i="1"/>
  <c r="AY556" i="1"/>
  <c r="AZ556" i="1"/>
  <c r="AX557" i="1"/>
  <c r="AY557" i="1"/>
  <c r="AZ557" i="1"/>
  <c r="AX558" i="1"/>
  <c r="AY558" i="1"/>
  <c r="AZ558" i="1"/>
  <c r="AX559" i="1"/>
  <c r="AY559" i="1"/>
  <c r="AZ559" i="1"/>
  <c r="AX560" i="1"/>
  <c r="AY560" i="1"/>
  <c r="AZ560" i="1"/>
  <c r="AX561" i="1"/>
  <c r="AY561" i="1"/>
  <c r="AZ561" i="1"/>
  <c r="AX562" i="1"/>
  <c r="AY562" i="1"/>
  <c r="AZ562" i="1"/>
  <c r="AX563" i="1"/>
  <c r="AY563" i="1"/>
  <c r="AZ563" i="1"/>
  <c r="AX564" i="1"/>
  <c r="AY564" i="1"/>
  <c r="AZ564" i="1"/>
  <c r="AX565" i="1"/>
  <c r="AY565" i="1"/>
  <c r="AZ565" i="1"/>
  <c r="AX566" i="1"/>
  <c r="AY566" i="1"/>
  <c r="AZ566" i="1"/>
  <c r="AX567" i="1"/>
  <c r="AY567" i="1"/>
  <c r="AZ567" i="1"/>
  <c r="AX569" i="1"/>
  <c r="AY569" i="1"/>
  <c r="AZ569" i="1"/>
  <c r="AX570" i="1"/>
  <c r="AY570" i="1"/>
  <c r="AZ570" i="1"/>
  <c r="AX571" i="1"/>
  <c r="AY571" i="1"/>
  <c r="AZ571" i="1"/>
  <c r="AX572" i="1"/>
  <c r="AY572" i="1"/>
  <c r="AZ572" i="1"/>
  <c r="AX573" i="1"/>
  <c r="AY573" i="1"/>
  <c r="AZ573" i="1"/>
  <c r="AX574" i="1"/>
  <c r="AY574" i="1"/>
  <c r="AZ574" i="1"/>
  <c r="AX575" i="1"/>
  <c r="AY575" i="1"/>
  <c r="AZ575" i="1"/>
  <c r="AX576" i="1"/>
  <c r="AY576" i="1"/>
  <c r="AZ576" i="1"/>
  <c r="AX577" i="1"/>
  <c r="AY577" i="1"/>
  <c r="AZ577" i="1"/>
  <c r="AX578" i="1"/>
  <c r="AY578" i="1"/>
  <c r="AZ578" i="1"/>
  <c r="AX579" i="1"/>
  <c r="AY579" i="1"/>
  <c r="AZ579" i="1"/>
  <c r="AX582" i="1"/>
  <c r="AY582" i="1"/>
  <c r="AZ582" i="1"/>
  <c r="AX583" i="1"/>
  <c r="AY583" i="1"/>
  <c r="AZ583" i="1"/>
  <c r="AX584" i="1"/>
  <c r="AY584" i="1"/>
  <c r="AZ584" i="1"/>
  <c r="AX585" i="1"/>
  <c r="AY585" i="1"/>
  <c r="AZ585" i="1"/>
  <c r="AY587" i="1"/>
  <c r="AZ587" i="1"/>
  <c r="AY588" i="1"/>
  <c r="AZ588" i="1"/>
  <c r="AX590" i="1"/>
  <c r="AY590" i="1"/>
  <c r="AZ590" i="1"/>
  <c r="AX591" i="1"/>
  <c r="AY591" i="1"/>
  <c r="AZ591" i="1"/>
  <c r="AX593" i="1"/>
  <c r="AY593" i="1"/>
  <c r="AZ593" i="1"/>
  <c r="AX595" i="1"/>
  <c r="AY595" i="1"/>
  <c r="AZ595" i="1"/>
  <c r="AX596" i="1"/>
  <c r="AY596" i="1"/>
  <c r="AZ596" i="1"/>
  <c r="AX597" i="1"/>
  <c r="AY597" i="1"/>
  <c r="AZ597" i="1"/>
  <c r="AX598" i="1"/>
  <c r="AY598" i="1"/>
  <c r="AZ598" i="1"/>
  <c r="AX600" i="1"/>
  <c r="AY600" i="1"/>
  <c r="AZ600" i="1"/>
  <c r="AX602" i="1"/>
  <c r="AY602" i="1"/>
  <c r="AZ602" i="1"/>
  <c r="AX603" i="1"/>
  <c r="AY603" i="1"/>
  <c r="AZ603" i="1"/>
  <c r="AX604" i="1"/>
  <c r="AY604" i="1"/>
  <c r="AZ604" i="1"/>
  <c r="AX605" i="1"/>
  <c r="AY605" i="1"/>
  <c r="AZ605" i="1"/>
  <c r="AX606" i="1"/>
  <c r="AY606" i="1"/>
  <c r="AZ606" i="1"/>
  <c r="AX607" i="1"/>
  <c r="AY607" i="1"/>
  <c r="AZ607" i="1"/>
  <c r="AX608" i="1"/>
  <c r="AY608" i="1"/>
  <c r="AZ608" i="1"/>
  <c r="AX609" i="1"/>
  <c r="AY609" i="1"/>
  <c r="AZ609" i="1"/>
  <c r="AX610" i="1"/>
  <c r="AY610" i="1"/>
  <c r="AZ610" i="1"/>
  <c r="AX611" i="1"/>
  <c r="AY611" i="1"/>
  <c r="AZ611" i="1"/>
  <c r="AX612" i="1"/>
  <c r="AY612" i="1"/>
  <c r="AZ612" i="1"/>
  <c r="AX614" i="1"/>
  <c r="AY614" i="1"/>
  <c r="AZ614" i="1"/>
  <c r="AX615" i="1"/>
  <c r="AY615" i="1"/>
  <c r="AZ615" i="1"/>
  <c r="AX616" i="1"/>
  <c r="AY616" i="1"/>
  <c r="AZ616" i="1"/>
  <c r="AX617" i="1"/>
  <c r="AY617" i="1"/>
  <c r="AZ617" i="1"/>
  <c r="AX618" i="1"/>
  <c r="AY618" i="1"/>
  <c r="AZ618" i="1"/>
  <c r="AX619" i="1"/>
  <c r="AY619" i="1"/>
  <c r="AZ619" i="1"/>
  <c r="AX620" i="1"/>
  <c r="AY620" i="1"/>
  <c r="AZ620" i="1"/>
  <c r="AX621" i="1"/>
  <c r="AY621" i="1"/>
  <c r="AZ621" i="1"/>
  <c r="AX624" i="1"/>
  <c r="AY624" i="1"/>
  <c r="AZ624" i="1"/>
  <c r="AX625" i="1"/>
  <c r="AY625" i="1"/>
  <c r="AZ625" i="1"/>
  <c r="AX627" i="1"/>
  <c r="AY627" i="1"/>
  <c r="AZ627" i="1"/>
  <c r="AX628" i="1"/>
  <c r="AY628" i="1"/>
  <c r="AZ628" i="1"/>
  <c r="AX629" i="1"/>
  <c r="AY629" i="1"/>
  <c r="AZ629" i="1"/>
  <c r="AX631" i="1"/>
  <c r="AY631" i="1"/>
  <c r="AZ631" i="1"/>
  <c r="AX632" i="1"/>
  <c r="AY632" i="1"/>
  <c r="AZ632" i="1"/>
  <c r="AX633" i="1"/>
  <c r="AY633" i="1"/>
  <c r="AZ633" i="1"/>
  <c r="AX634" i="1"/>
  <c r="AY634" i="1"/>
  <c r="AZ634" i="1"/>
  <c r="AX636" i="1"/>
  <c r="AY636" i="1"/>
  <c r="AZ636" i="1"/>
  <c r="AX637" i="1"/>
  <c r="AY637" i="1"/>
  <c r="AZ637" i="1"/>
  <c r="AX639" i="1"/>
  <c r="AY639" i="1"/>
  <c r="AZ639" i="1"/>
  <c r="AX640" i="1"/>
  <c r="AY640" i="1"/>
  <c r="AZ640" i="1"/>
  <c r="AX641" i="1"/>
  <c r="AY641" i="1"/>
  <c r="AZ641" i="1"/>
  <c r="AY642" i="1"/>
  <c r="AY644" i="1"/>
  <c r="AZ644" i="1"/>
  <c r="AX646" i="1"/>
  <c r="AY646" i="1"/>
  <c r="AZ646" i="1"/>
  <c r="AY647" i="1"/>
  <c r="AY648" i="1"/>
  <c r="AX649" i="1"/>
  <c r="AY649" i="1"/>
  <c r="AZ649" i="1"/>
  <c r="AX650" i="1"/>
  <c r="AY650" i="1"/>
  <c r="AZ650" i="1"/>
  <c r="AX651" i="1"/>
  <c r="AY651" i="1"/>
  <c r="AZ651" i="1"/>
  <c r="AX653" i="1"/>
  <c r="AX654" i="1"/>
  <c r="AY654" i="1"/>
  <c r="AZ654" i="1"/>
  <c r="AX656" i="1"/>
  <c r="AY656" i="1"/>
  <c r="AZ656" i="1"/>
  <c r="AX658" i="1"/>
  <c r="AY658" i="1"/>
  <c r="AZ658" i="1"/>
  <c r="AX659" i="1"/>
  <c r="AY659" i="1"/>
  <c r="AZ659" i="1"/>
  <c r="AX660" i="1"/>
  <c r="AY660" i="1"/>
  <c r="AZ660" i="1"/>
  <c r="AX661" i="1"/>
  <c r="AY661" i="1"/>
  <c r="AZ661" i="1"/>
  <c r="AX662" i="1"/>
  <c r="AY662" i="1"/>
  <c r="AZ662" i="1"/>
  <c r="AX663" i="1"/>
  <c r="AY663" i="1"/>
  <c r="AZ663" i="1"/>
  <c r="AX664" i="1"/>
  <c r="AY664" i="1"/>
  <c r="AZ664" i="1"/>
  <c r="AX667" i="1"/>
  <c r="AY667" i="1"/>
  <c r="AZ667" i="1"/>
  <c r="AX669" i="1"/>
  <c r="AY669" i="1"/>
  <c r="AZ669" i="1"/>
  <c r="AX670" i="1"/>
  <c r="AY670" i="1"/>
  <c r="AZ670" i="1"/>
  <c r="AX671" i="1"/>
  <c r="AY671" i="1"/>
  <c r="AZ671" i="1"/>
  <c r="AX672" i="1"/>
  <c r="AY672" i="1"/>
  <c r="AZ672" i="1"/>
  <c r="AY673" i="1"/>
  <c r="AX674" i="1"/>
  <c r="AY674" i="1"/>
  <c r="AZ674" i="1"/>
  <c r="AX675" i="1"/>
  <c r="AY675" i="1"/>
  <c r="AZ675" i="1"/>
  <c r="AX678" i="1"/>
  <c r="AY678" i="1"/>
  <c r="AZ678" i="1"/>
  <c r="AX679" i="1"/>
  <c r="AY679" i="1"/>
  <c r="AZ679" i="1"/>
  <c r="AX681" i="1"/>
  <c r="AY681" i="1"/>
  <c r="AZ681" i="1"/>
  <c r="AX682" i="1"/>
  <c r="AY682" i="1"/>
  <c r="AZ682" i="1"/>
  <c r="AX683" i="1"/>
  <c r="AY683" i="1"/>
  <c r="AZ683" i="1"/>
  <c r="AX684" i="1"/>
  <c r="AY684" i="1"/>
  <c r="AZ684" i="1"/>
  <c r="AX685" i="1"/>
  <c r="AX686" i="1"/>
  <c r="AY686" i="1"/>
  <c r="AZ686" i="1"/>
  <c r="AY688" i="1"/>
  <c r="AZ688" i="1"/>
  <c r="AX689" i="1"/>
  <c r="AY689" i="1"/>
  <c r="AZ689" i="1"/>
  <c r="AX690" i="1"/>
  <c r="AY690" i="1"/>
  <c r="AZ690" i="1"/>
  <c r="AX691" i="1"/>
  <c r="AY691" i="1"/>
  <c r="AZ691" i="1"/>
  <c r="AX694" i="1"/>
  <c r="AY694" i="1"/>
  <c r="AZ694" i="1"/>
  <c r="AX695" i="1"/>
  <c r="AY695" i="1"/>
  <c r="AZ695" i="1"/>
  <c r="AX696" i="1"/>
  <c r="AY696" i="1"/>
  <c r="AZ696" i="1"/>
  <c r="AX697" i="1"/>
  <c r="AY697" i="1"/>
  <c r="AZ697" i="1"/>
  <c r="AX698" i="1"/>
  <c r="AY698" i="1"/>
  <c r="AZ698" i="1"/>
  <c r="AX699" i="1"/>
  <c r="AY699" i="1"/>
  <c r="AZ699" i="1"/>
  <c r="AX700" i="1"/>
  <c r="AY700" i="1"/>
  <c r="AZ700" i="1"/>
  <c r="AX701" i="1"/>
  <c r="AY701" i="1"/>
  <c r="AZ701" i="1"/>
  <c r="AX702" i="1"/>
  <c r="AY702" i="1"/>
  <c r="AZ702" i="1"/>
  <c r="AX703" i="1"/>
  <c r="AY703" i="1"/>
  <c r="AZ703" i="1"/>
  <c r="AX704" i="1"/>
  <c r="AY704" i="1"/>
  <c r="AZ704" i="1"/>
  <c r="AX705" i="1"/>
  <c r="AY705" i="1"/>
  <c r="AZ705" i="1"/>
  <c r="AX706" i="1"/>
  <c r="AY706" i="1"/>
  <c r="AZ706" i="1"/>
  <c r="AX707" i="1"/>
  <c r="AY707" i="1"/>
  <c r="AZ707" i="1"/>
  <c r="AX708" i="1"/>
  <c r="AY708" i="1"/>
  <c r="AZ708" i="1"/>
  <c r="AX709" i="1"/>
  <c r="AY709" i="1"/>
  <c r="AZ709" i="1"/>
  <c r="AX710" i="1"/>
  <c r="AY710" i="1"/>
  <c r="AZ710" i="1"/>
  <c r="AX711" i="1"/>
  <c r="AY711" i="1"/>
  <c r="AZ711" i="1"/>
  <c r="AX712" i="1"/>
  <c r="AY712" i="1"/>
  <c r="AZ712" i="1"/>
  <c r="AX713" i="1"/>
  <c r="AY713" i="1"/>
  <c r="AZ713" i="1"/>
  <c r="AX714" i="1"/>
  <c r="AY714" i="1"/>
  <c r="AZ714" i="1"/>
  <c r="AX715" i="1"/>
  <c r="AY715" i="1"/>
  <c r="AZ715" i="1"/>
  <c r="AX716" i="1"/>
  <c r="AY716" i="1"/>
  <c r="AZ716" i="1"/>
  <c r="AX717" i="1"/>
  <c r="AY717" i="1"/>
  <c r="AZ717" i="1"/>
  <c r="AX718" i="1"/>
  <c r="AY718" i="1"/>
  <c r="AZ718" i="1"/>
  <c r="AX719" i="1"/>
  <c r="AY719" i="1"/>
  <c r="AZ719" i="1"/>
  <c r="AX720" i="1"/>
  <c r="AY720" i="1"/>
  <c r="AZ720" i="1"/>
  <c r="AX721" i="1"/>
  <c r="AY721" i="1"/>
  <c r="AZ721" i="1"/>
  <c r="AX722" i="1"/>
  <c r="AY722" i="1"/>
  <c r="AZ722" i="1"/>
  <c r="AX723" i="1"/>
  <c r="AY723" i="1"/>
  <c r="AZ723" i="1"/>
  <c r="AX724" i="1"/>
  <c r="AY724" i="1"/>
  <c r="AZ724" i="1"/>
  <c r="AX725" i="1"/>
  <c r="AY725" i="1"/>
  <c r="AZ725" i="1"/>
  <c r="AX727" i="1"/>
  <c r="AY727" i="1"/>
  <c r="AZ727" i="1"/>
  <c r="AX728" i="1"/>
  <c r="AY728" i="1"/>
  <c r="AZ728" i="1"/>
  <c r="AX729" i="1"/>
  <c r="AY729" i="1"/>
  <c r="AZ729" i="1"/>
  <c r="AX730" i="1"/>
  <c r="AY730" i="1"/>
  <c r="AZ730" i="1"/>
  <c r="AX731" i="1"/>
  <c r="AY731" i="1"/>
  <c r="AZ731" i="1"/>
  <c r="AX732" i="1"/>
  <c r="AY732" i="1"/>
  <c r="AZ732" i="1"/>
  <c r="AX733" i="1"/>
  <c r="AY733" i="1"/>
  <c r="AZ733" i="1"/>
  <c r="AX734" i="1"/>
  <c r="AY734" i="1"/>
  <c r="AZ734" i="1"/>
  <c r="AX735" i="1"/>
  <c r="AY735" i="1"/>
  <c r="AZ735" i="1"/>
  <c r="AX736" i="1"/>
  <c r="AY736" i="1"/>
  <c r="AZ736" i="1"/>
  <c r="AX737" i="1"/>
  <c r="AY737" i="1"/>
  <c r="AZ737" i="1"/>
  <c r="AX738" i="1"/>
  <c r="AY738" i="1"/>
  <c r="AZ738" i="1"/>
  <c r="AX739" i="1"/>
  <c r="AY739" i="1"/>
  <c r="AZ739" i="1"/>
  <c r="AX740" i="1"/>
  <c r="AY740" i="1"/>
  <c r="AZ740" i="1"/>
  <c r="AX741" i="1"/>
  <c r="AY741" i="1"/>
  <c r="AZ741" i="1"/>
  <c r="AX742" i="1"/>
  <c r="AY742" i="1"/>
  <c r="AZ742" i="1"/>
  <c r="AX743" i="1"/>
  <c r="AY743" i="1"/>
  <c r="AZ743" i="1"/>
  <c r="AX744" i="1"/>
  <c r="AY744" i="1"/>
  <c r="AZ744" i="1"/>
  <c r="AX745" i="1"/>
  <c r="AY745" i="1"/>
  <c r="AZ745" i="1"/>
  <c r="AX746" i="1"/>
  <c r="AY746" i="1"/>
  <c r="AZ746" i="1"/>
  <c r="AX747" i="1"/>
  <c r="AY747" i="1"/>
  <c r="AZ747" i="1"/>
  <c r="AX748" i="1"/>
  <c r="AY748" i="1"/>
  <c r="AZ748" i="1"/>
  <c r="AX750" i="1"/>
  <c r="AY750" i="1"/>
  <c r="AZ750" i="1"/>
  <c r="AX751" i="1"/>
  <c r="AY751" i="1"/>
  <c r="AZ751" i="1"/>
  <c r="AX752" i="1"/>
  <c r="AY752" i="1"/>
  <c r="AZ752" i="1"/>
  <c r="AX753" i="1"/>
  <c r="AY753" i="1"/>
  <c r="AZ753" i="1"/>
  <c r="AX754" i="1"/>
  <c r="AY754" i="1"/>
  <c r="AZ754" i="1"/>
  <c r="AX755" i="1"/>
  <c r="AY755" i="1"/>
  <c r="AZ755" i="1"/>
  <c r="AX756" i="1"/>
  <c r="AY756" i="1"/>
  <c r="AZ756" i="1"/>
  <c r="AX757" i="1"/>
  <c r="AY757" i="1"/>
  <c r="AZ757" i="1"/>
  <c r="AX758" i="1"/>
  <c r="AY758" i="1"/>
  <c r="AZ758" i="1"/>
  <c r="AX759" i="1"/>
  <c r="AY759" i="1"/>
  <c r="AZ759" i="1"/>
  <c r="AX760" i="1"/>
  <c r="AY760" i="1"/>
  <c r="AZ760" i="1"/>
  <c r="AX761" i="1"/>
  <c r="AY761" i="1"/>
  <c r="AZ761" i="1"/>
  <c r="AX762" i="1"/>
  <c r="AY762" i="1"/>
  <c r="AZ762" i="1"/>
  <c r="AX763" i="1"/>
  <c r="AY763" i="1"/>
  <c r="AZ763" i="1"/>
  <c r="AX765" i="1"/>
  <c r="AY765" i="1"/>
  <c r="AZ765" i="1"/>
  <c r="AX766" i="1"/>
  <c r="AX768" i="1"/>
  <c r="AX769" i="1"/>
  <c r="AX770" i="1"/>
  <c r="AY770" i="1"/>
  <c r="AZ770" i="1"/>
  <c r="AX771" i="1"/>
  <c r="AY771" i="1"/>
  <c r="AZ771" i="1"/>
  <c r="AX772" i="1"/>
  <c r="AY772" i="1"/>
  <c r="AZ772" i="1"/>
  <c r="AX773" i="1"/>
  <c r="AY773" i="1"/>
  <c r="AZ773" i="1"/>
  <c r="AX774" i="1"/>
  <c r="AX776" i="1"/>
  <c r="AY776" i="1"/>
  <c r="AZ776" i="1"/>
  <c r="AX777" i="1"/>
  <c r="AY777" i="1"/>
  <c r="AZ777" i="1"/>
  <c r="AX779" i="1"/>
  <c r="AY779" i="1"/>
  <c r="AZ779" i="1"/>
  <c r="AX780" i="1"/>
  <c r="AY780" i="1"/>
  <c r="AZ780" i="1"/>
  <c r="AX781" i="1"/>
  <c r="AY781" i="1"/>
  <c r="AZ781" i="1"/>
  <c r="AY782" i="1"/>
  <c r="AX785" i="1"/>
  <c r="AY785" i="1"/>
  <c r="AZ785" i="1"/>
  <c r="AX786" i="1"/>
  <c r="AY786" i="1"/>
  <c r="AZ786" i="1"/>
  <c r="AX788" i="1"/>
  <c r="AY788" i="1"/>
  <c r="AZ788" i="1"/>
  <c r="AX789" i="1"/>
  <c r="AY789" i="1"/>
  <c r="AZ789" i="1"/>
  <c r="AX790" i="1"/>
  <c r="AY790" i="1"/>
  <c r="AZ790" i="1"/>
  <c r="AX791" i="1"/>
  <c r="AY791" i="1"/>
  <c r="AZ791" i="1"/>
  <c r="AX792" i="1"/>
  <c r="AY792" i="1"/>
  <c r="AZ792" i="1"/>
  <c r="AX793" i="1"/>
  <c r="AY793" i="1"/>
  <c r="AZ793" i="1"/>
  <c r="AX794" i="1"/>
  <c r="AY794" i="1"/>
  <c r="AZ794" i="1"/>
  <c r="AX795" i="1"/>
  <c r="AY795" i="1"/>
  <c r="AZ795" i="1"/>
  <c r="AX796" i="1"/>
  <c r="AY796" i="1"/>
  <c r="AZ796" i="1"/>
  <c r="AX797" i="1"/>
  <c r="AY797" i="1"/>
  <c r="AZ797" i="1"/>
  <c r="AX798" i="1"/>
  <c r="AY798" i="1"/>
  <c r="AZ798" i="1"/>
  <c r="AX799" i="1"/>
  <c r="AY799" i="1"/>
  <c r="AZ799" i="1"/>
  <c r="AX800" i="1"/>
  <c r="AY800" i="1"/>
  <c r="AZ800" i="1"/>
  <c r="AX801" i="1"/>
  <c r="AY801" i="1"/>
  <c r="AZ801" i="1"/>
  <c r="AX803" i="1"/>
  <c r="AY803" i="1"/>
  <c r="AZ803" i="1"/>
  <c r="AX804" i="1"/>
  <c r="AY804" i="1"/>
  <c r="AZ804" i="1"/>
  <c r="AX805" i="1"/>
  <c r="AY805" i="1"/>
  <c r="AZ805" i="1"/>
  <c r="AX806" i="1"/>
  <c r="AY806" i="1"/>
  <c r="AZ806" i="1"/>
  <c r="AX807" i="1"/>
  <c r="AY807" i="1"/>
  <c r="AZ807" i="1"/>
  <c r="AX808" i="1"/>
  <c r="AY808" i="1"/>
  <c r="AZ808" i="1"/>
  <c r="AX809" i="1"/>
  <c r="AY809" i="1"/>
  <c r="AZ809" i="1"/>
  <c r="AX810" i="1"/>
  <c r="AY810" i="1"/>
  <c r="AZ810" i="1"/>
  <c r="AX811" i="1"/>
  <c r="AY811" i="1"/>
  <c r="AZ811" i="1"/>
  <c r="AX813" i="1"/>
  <c r="AY813" i="1"/>
  <c r="AZ813" i="1"/>
  <c r="AX814" i="1"/>
  <c r="AY814" i="1"/>
  <c r="AZ814" i="1"/>
  <c r="AX815" i="1"/>
  <c r="AY815" i="1"/>
  <c r="AZ815" i="1"/>
  <c r="AX816" i="1"/>
  <c r="AY816" i="1"/>
  <c r="AZ816" i="1"/>
  <c r="AX817" i="1"/>
  <c r="AY817" i="1"/>
  <c r="AZ817" i="1"/>
  <c r="AX818" i="1"/>
  <c r="AY818" i="1"/>
  <c r="AZ818" i="1"/>
  <c r="AY819" i="1"/>
  <c r="AX820" i="1"/>
  <c r="AY820" i="1"/>
  <c r="AZ820" i="1"/>
  <c r="AX821" i="1"/>
  <c r="AY821" i="1"/>
  <c r="AZ821" i="1"/>
  <c r="AX822" i="1"/>
  <c r="AY822" i="1"/>
  <c r="AZ822" i="1"/>
  <c r="AX823" i="1"/>
  <c r="AY823" i="1"/>
  <c r="AZ823" i="1"/>
  <c r="AX824" i="1"/>
  <c r="AY824" i="1"/>
  <c r="AZ824" i="1"/>
  <c r="AX825" i="1"/>
  <c r="AY825" i="1"/>
  <c r="AZ825" i="1"/>
  <c r="AX826" i="1"/>
  <c r="AY826" i="1"/>
  <c r="AZ826" i="1"/>
  <c r="AX827" i="1"/>
  <c r="AY827" i="1"/>
  <c r="AZ827" i="1"/>
  <c r="AX828" i="1"/>
  <c r="AY828" i="1"/>
  <c r="AZ828" i="1"/>
  <c r="AX829" i="1"/>
  <c r="AY829" i="1"/>
  <c r="AZ829" i="1"/>
  <c r="AX830" i="1"/>
  <c r="AY830" i="1"/>
  <c r="AZ830" i="1"/>
  <c r="AX831" i="1"/>
  <c r="AY831" i="1"/>
  <c r="AZ831" i="1"/>
  <c r="AX832" i="1"/>
  <c r="AY832" i="1"/>
  <c r="AZ832" i="1"/>
  <c r="AX833" i="1"/>
  <c r="AY833" i="1"/>
  <c r="AZ833" i="1"/>
  <c r="AX463" i="1"/>
  <c r="AY463" i="1"/>
  <c r="AZ463" i="1"/>
  <c r="AX464" i="1"/>
  <c r="AY464" i="1"/>
  <c r="AZ464" i="1"/>
  <c r="AW465" i="1"/>
  <c r="AX465" i="1"/>
  <c r="AY465" i="1"/>
  <c r="AZ465" i="1"/>
  <c r="AW466" i="1"/>
  <c r="AX466" i="1"/>
  <c r="AY466" i="1"/>
  <c r="AZ466" i="1"/>
  <c r="AW467" i="1"/>
  <c r="AX467" i="1"/>
  <c r="AY467" i="1"/>
  <c r="AZ467" i="1"/>
  <c r="AX468" i="1"/>
  <c r="AY468" i="1"/>
  <c r="AX469" i="1"/>
  <c r="AY469" i="1"/>
  <c r="AZ469" i="1"/>
  <c r="AX470" i="1"/>
  <c r="AY470" i="1"/>
  <c r="AZ470" i="1"/>
  <c r="AX471" i="1"/>
  <c r="AY471" i="1"/>
  <c r="AZ471" i="1"/>
  <c r="AX472" i="1"/>
  <c r="AY472" i="1"/>
  <c r="AZ472" i="1"/>
  <c r="AX474" i="1"/>
  <c r="AY474" i="1"/>
  <c r="AZ474" i="1"/>
  <c r="AX475" i="1"/>
  <c r="AY475" i="1"/>
  <c r="AZ475" i="1"/>
  <c r="AX476" i="1"/>
  <c r="AY476" i="1"/>
  <c r="AZ476" i="1"/>
  <c r="AX477" i="1"/>
  <c r="AY477" i="1"/>
  <c r="AZ477" i="1"/>
  <c r="AX478" i="1"/>
  <c r="AY478" i="1"/>
  <c r="AZ478" i="1"/>
  <c r="AX479" i="1"/>
  <c r="AY479" i="1"/>
  <c r="AZ479" i="1"/>
  <c r="AX480" i="1"/>
  <c r="AY480" i="1"/>
  <c r="AZ480" i="1"/>
  <c r="AX481" i="1"/>
  <c r="AY481" i="1"/>
  <c r="AZ481" i="1"/>
  <c r="AX482" i="1"/>
  <c r="AY482" i="1"/>
  <c r="AZ482" i="1"/>
  <c r="AX483" i="1"/>
  <c r="AY483" i="1"/>
  <c r="AZ483" i="1"/>
  <c r="AX485" i="1"/>
  <c r="AY485" i="1"/>
  <c r="AZ485" i="1"/>
  <c r="M272" i="1"/>
  <c r="M274" i="1"/>
  <c r="M275" i="1"/>
  <c r="M276" i="1"/>
  <c r="M281" i="1"/>
  <c r="M283" i="1"/>
  <c r="M284" i="1"/>
  <c r="M285" i="1"/>
  <c r="M286" i="1"/>
  <c r="M287" i="1"/>
  <c r="M288" i="1"/>
  <c r="M289" i="1"/>
  <c r="M290" i="1"/>
  <c r="M292" i="1"/>
  <c r="M293" i="1"/>
  <c r="M294" i="1"/>
  <c r="M295" i="1"/>
  <c r="M296" i="1"/>
  <c r="M297" i="1"/>
  <c r="M298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4" i="1"/>
  <c r="M315" i="1"/>
  <c r="M316" i="1"/>
  <c r="M317" i="1"/>
  <c r="M318" i="1"/>
  <c r="M320" i="1"/>
  <c r="M322" i="1"/>
  <c r="M323" i="1"/>
  <c r="M324" i="1"/>
  <c r="M325" i="1"/>
  <c r="M326" i="1"/>
  <c r="M327" i="1"/>
  <c r="M328" i="1"/>
  <c r="M329" i="1"/>
  <c r="M330" i="1"/>
  <c r="M331" i="1"/>
  <c r="M332" i="1"/>
  <c r="M334" i="1"/>
  <c r="M336" i="1"/>
  <c r="M337" i="1"/>
  <c r="M338" i="1"/>
  <c r="M339" i="1"/>
  <c r="M340" i="1"/>
  <c r="M341" i="1"/>
  <c r="M342" i="1"/>
  <c r="M343" i="1"/>
  <c r="M344" i="1"/>
  <c r="M345" i="1"/>
  <c r="M346" i="1"/>
  <c r="M348" i="1"/>
  <c r="M349" i="1"/>
  <c r="M350" i="1"/>
  <c r="M351" i="1"/>
  <c r="M352" i="1"/>
  <c r="M353" i="1"/>
  <c r="M354" i="1"/>
  <c r="M356" i="1"/>
  <c r="M357" i="1"/>
  <c r="M358" i="1"/>
  <c r="M359" i="1"/>
  <c r="M360" i="1"/>
  <c r="M361" i="1"/>
  <c r="M362" i="1"/>
  <c r="M364" i="1"/>
  <c r="M365" i="1"/>
  <c r="M366" i="1"/>
  <c r="M367" i="1"/>
  <c r="M368" i="1"/>
  <c r="M370" i="1"/>
  <c r="M371" i="1"/>
  <c r="M373" i="1"/>
  <c r="M374" i="1"/>
  <c r="M375" i="1"/>
  <c r="M378" i="1"/>
  <c r="M379" i="1"/>
  <c r="M380" i="1"/>
  <c r="M381" i="1"/>
  <c r="M383" i="1"/>
  <c r="M384" i="1"/>
  <c r="M385" i="1"/>
  <c r="M386" i="1"/>
  <c r="M387" i="1"/>
  <c r="M388" i="1"/>
  <c r="M389" i="1"/>
  <c r="M390" i="1"/>
  <c r="M391" i="1"/>
  <c r="M392" i="1"/>
  <c r="M393" i="1"/>
  <c r="M395" i="1"/>
  <c r="M396" i="1"/>
  <c r="M397" i="1"/>
  <c r="M398" i="1"/>
  <c r="M399" i="1"/>
  <c r="M401" i="1"/>
  <c r="M402" i="1"/>
  <c r="M403" i="1"/>
  <c r="M404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1" i="1"/>
  <c r="M432" i="1"/>
  <c r="M442" i="1"/>
  <c r="M443" i="1"/>
  <c r="M444" i="1"/>
  <c r="M445" i="1"/>
  <c r="M465" i="1"/>
  <c r="M466" i="1"/>
  <c r="M467" i="1"/>
  <c r="K40" i="1"/>
  <c r="K41" i="1"/>
  <c r="K44" i="1"/>
  <c r="K45" i="1"/>
  <c r="K46" i="1"/>
  <c r="K48" i="1"/>
  <c r="K52" i="1"/>
  <c r="M79" i="1"/>
  <c r="M80" i="1"/>
  <c r="K8" i="1"/>
  <c r="L8" i="1"/>
  <c r="M8" i="1"/>
  <c r="K9" i="1"/>
  <c r="L9" i="1"/>
  <c r="M9" i="1"/>
  <c r="K10" i="1"/>
  <c r="L10" i="1"/>
  <c r="M10" i="1"/>
  <c r="K12" i="1"/>
  <c r="L12" i="1"/>
  <c r="M12" i="1"/>
  <c r="K13" i="1"/>
  <c r="L13" i="1"/>
  <c r="M13" i="1"/>
  <c r="M14" i="1"/>
  <c r="M15" i="1"/>
  <c r="M16" i="1"/>
  <c r="M17" i="1"/>
  <c r="K20" i="1"/>
  <c r="L20" i="1"/>
  <c r="M20" i="1"/>
  <c r="K28" i="1"/>
  <c r="K29" i="1"/>
  <c r="K30" i="1"/>
  <c r="K31" i="1"/>
  <c r="K32" i="1"/>
  <c r="K35" i="1"/>
  <c r="AN5" i="1"/>
  <c r="AP5" i="1"/>
  <c r="AQ5" i="1"/>
  <c r="AR5" i="1"/>
  <c r="AS5" i="1"/>
  <c r="AT5" i="1"/>
  <c r="AU5" i="1"/>
  <c r="AV5" i="1"/>
  <c r="AW5" i="1"/>
  <c r="AX5" i="1"/>
  <c r="BE5" i="1"/>
  <c r="BF5" i="1"/>
  <c r="H6" i="1"/>
  <c r="I6" i="1"/>
  <c r="N6" i="1"/>
  <c r="T6" i="1"/>
  <c r="AC6" i="1" s="1"/>
  <c r="AE6" i="1"/>
  <c r="AL6" i="1" s="1"/>
  <c r="AI6" i="1"/>
  <c r="AM6" i="1"/>
  <c r="AN6" i="1"/>
  <c r="AP6" i="1"/>
  <c r="BF6" i="1" s="1"/>
  <c r="AQ6" i="1"/>
  <c r="AT6" i="1"/>
  <c r="BC6" i="1"/>
  <c r="BE6" i="1"/>
  <c r="H7" i="1"/>
  <c r="I7" i="1"/>
  <c r="N7" i="1"/>
  <c r="T7" i="1"/>
  <c r="AC7" i="1" s="1"/>
  <c r="AE7" i="1"/>
  <c r="AL7" i="1" s="1"/>
  <c r="AI7" i="1"/>
  <c r="AM7" i="1"/>
  <c r="AN7" i="1"/>
  <c r="AP7" i="1"/>
  <c r="BF7" i="1" s="1"/>
  <c r="AQ7" i="1"/>
  <c r="AT7" i="1"/>
  <c r="BC7" i="1"/>
  <c r="BE7" i="1"/>
  <c r="AC8" i="1"/>
  <c r="AL8" i="1"/>
  <c r="AN8" i="1"/>
  <c r="AP8" i="1"/>
  <c r="BF8" i="1" s="1"/>
  <c r="AQ8" i="1"/>
  <c r="AR8" i="1"/>
  <c r="AS8" i="1"/>
  <c r="AT8" i="1"/>
  <c r="AU8" i="1"/>
  <c r="AV8" i="1"/>
  <c r="AW8" i="1"/>
  <c r="AX8" i="1"/>
  <c r="BA8" i="1"/>
  <c r="BB8" i="1"/>
  <c r="BC8" i="1"/>
  <c r="BD8" i="1"/>
  <c r="BE8" i="1"/>
  <c r="AC9" i="1"/>
  <c r="AY9" i="1" s="1"/>
  <c r="AL9" i="1"/>
  <c r="AN9" i="1"/>
  <c r="AP9" i="1"/>
  <c r="BF9" i="1" s="1"/>
  <c r="AQ9" i="1"/>
  <c r="AR9" i="1"/>
  <c r="AS9" i="1"/>
  <c r="AT9" i="1"/>
  <c r="AU9" i="1"/>
  <c r="AV9" i="1"/>
  <c r="AW9" i="1"/>
  <c r="AX9" i="1"/>
  <c r="BA9" i="1"/>
  <c r="BB9" i="1"/>
  <c r="BC9" i="1"/>
  <c r="BD9" i="1"/>
  <c r="BE9" i="1"/>
  <c r="AC10" i="1"/>
  <c r="AL10" i="1"/>
  <c r="AN10" i="1"/>
  <c r="AP10" i="1"/>
  <c r="BF10" i="1" s="1"/>
  <c r="AQ10" i="1"/>
  <c r="AR10" i="1"/>
  <c r="AS10" i="1"/>
  <c r="AT10" i="1"/>
  <c r="AU10" i="1"/>
  <c r="AV10" i="1"/>
  <c r="AW10" i="1"/>
  <c r="AX10" i="1"/>
  <c r="BA10" i="1"/>
  <c r="BB10" i="1"/>
  <c r="BC10" i="1"/>
  <c r="BD10" i="1"/>
  <c r="BE10" i="1"/>
  <c r="H11" i="1"/>
  <c r="G11" i="1" s="1"/>
  <c r="S11" i="1"/>
  <c r="T11" i="1"/>
  <c r="AC11" i="1" s="1"/>
  <c r="W11" i="1"/>
  <c r="AD11" i="1"/>
  <c r="AE11" i="1"/>
  <c r="AL11" i="1" s="1"/>
  <c r="AG11" i="1"/>
  <c r="AM11" i="1"/>
  <c r="AN11" i="1"/>
  <c r="AP11" i="1"/>
  <c r="AQ11" i="1"/>
  <c r="AC12" i="1"/>
  <c r="AL12" i="1"/>
  <c r="AN12" i="1"/>
  <c r="AP12" i="1"/>
  <c r="BF12" i="1" s="1"/>
  <c r="AQ12" i="1"/>
  <c r="AR12" i="1"/>
  <c r="AS12" i="1"/>
  <c r="AT12" i="1"/>
  <c r="AU12" i="1"/>
  <c r="AV12" i="1"/>
  <c r="AW12" i="1"/>
  <c r="AX12" i="1"/>
  <c r="BA12" i="1"/>
  <c r="BB12" i="1"/>
  <c r="BC12" i="1"/>
  <c r="BD12" i="1"/>
  <c r="BE12" i="1"/>
  <c r="AC13" i="1"/>
  <c r="AG13" i="1"/>
  <c r="AL13" i="1"/>
  <c r="AN13" i="1"/>
  <c r="AP13" i="1"/>
  <c r="BF13" i="1" s="1"/>
  <c r="AQ13" i="1"/>
  <c r="AS13" i="1"/>
  <c r="AU13" i="1"/>
  <c r="AW13" i="1"/>
  <c r="AX13" i="1"/>
  <c r="BA13" i="1"/>
  <c r="BB13" i="1"/>
  <c r="BD13" i="1"/>
  <c r="BE13" i="1"/>
  <c r="AC14" i="1"/>
  <c r="AL14" i="1"/>
  <c r="AN14" i="1"/>
  <c r="AP14" i="1"/>
  <c r="BF14" i="1" s="1"/>
  <c r="AQ14" i="1"/>
  <c r="AS14" i="1"/>
  <c r="AT14" i="1"/>
  <c r="AU14" i="1"/>
  <c r="AV14" i="1"/>
  <c r="AW14" i="1"/>
  <c r="AX14" i="1"/>
  <c r="BA14" i="1"/>
  <c r="BB14" i="1"/>
  <c r="BC14" i="1"/>
  <c r="BD14" i="1"/>
  <c r="BE14" i="1"/>
  <c r="AC15" i="1"/>
  <c r="AL15" i="1"/>
  <c r="AN15" i="1"/>
  <c r="AQ15" i="1"/>
  <c r="AS15" i="1"/>
  <c r="AT15" i="1"/>
  <c r="AU15" i="1"/>
  <c r="AV15" i="1"/>
  <c r="AW15" i="1"/>
  <c r="AX15" i="1"/>
  <c r="BB15" i="1"/>
  <c r="BC15" i="1"/>
  <c r="BD15" i="1"/>
  <c r="BE15" i="1"/>
  <c r="AC16" i="1"/>
  <c r="AL16" i="1"/>
  <c r="AN16" i="1"/>
  <c r="AQ16" i="1"/>
  <c r="AR16" i="1"/>
  <c r="AS16" i="1"/>
  <c r="AT16" i="1"/>
  <c r="AU16" i="1"/>
  <c r="AW16" i="1"/>
  <c r="AX16" i="1"/>
  <c r="BB16" i="1"/>
  <c r="BC16" i="1"/>
  <c r="BD16" i="1"/>
  <c r="BE16" i="1"/>
  <c r="AC17" i="1"/>
  <c r="AY17" i="1" s="1"/>
  <c r="AG17" i="1"/>
  <c r="AT17" i="1" s="1"/>
  <c r="AL17" i="1"/>
  <c r="AZ17" i="1" s="1"/>
  <c r="AN17" i="1"/>
  <c r="AQ17" i="1"/>
  <c r="AS17" i="1"/>
  <c r="AU17" i="1"/>
  <c r="AW17" i="1"/>
  <c r="AX17" i="1"/>
  <c r="BB17" i="1"/>
  <c r="BD17" i="1"/>
  <c r="BE17" i="1"/>
  <c r="G18" i="1"/>
  <c r="N18" i="1"/>
  <c r="S18" i="1"/>
  <c r="T18" i="1"/>
  <c r="AC18" i="1" s="1"/>
  <c r="W18" i="1"/>
  <c r="AD18" i="1"/>
  <c r="BE18" i="1" s="1"/>
  <c r="AE18" i="1"/>
  <c r="AL18" i="1" s="1"/>
  <c r="AG18" i="1"/>
  <c r="AM18" i="1"/>
  <c r="AN18" i="1"/>
  <c r="AQ18" i="1"/>
  <c r="H19" i="1"/>
  <c r="N19" i="1"/>
  <c r="S19" i="1"/>
  <c r="T19" i="1"/>
  <c r="AC19" i="1" s="1"/>
  <c r="W19" i="1"/>
  <c r="AD19" i="1"/>
  <c r="AE19" i="1"/>
  <c r="AL19" i="1" s="1"/>
  <c r="AF19" i="1"/>
  <c r="AG19" i="1"/>
  <c r="AM19" i="1"/>
  <c r="AN19" i="1"/>
  <c r="AO19" i="1"/>
  <c r="AP16" i="1" s="1"/>
  <c r="BF16" i="1" s="1"/>
  <c r="AQ19" i="1"/>
  <c r="AN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H21" i="1"/>
  <c r="G21" i="1" s="1"/>
  <c r="S21" i="1"/>
  <c r="AR21" i="1" s="1"/>
  <c r="T21" i="1"/>
  <c r="AC21" i="1" s="1"/>
  <c r="AD21" i="1"/>
  <c r="AE21" i="1"/>
  <c r="AL21" i="1" s="1"/>
  <c r="AM21" i="1"/>
  <c r="AN21" i="1"/>
  <c r="AQ21" i="1"/>
  <c r="F22" i="1"/>
  <c r="H22" i="1"/>
  <c r="N22" i="1"/>
  <c r="S22" i="1"/>
  <c r="T22" i="1"/>
  <c r="AC22" i="1" s="1"/>
  <c r="AD22" i="1"/>
  <c r="AE22" i="1"/>
  <c r="AL22" i="1" s="1"/>
  <c r="AF22" i="1"/>
  <c r="AM22" i="1"/>
  <c r="AN22" i="1"/>
  <c r="AQ22" i="1"/>
  <c r="AN23" i="1"/>
  <c r="AQ23" i="1"/>
  <c r="AR23" i="1"/>
  <c r="AV23" i="1"/>
  <c r="AY23" i="1"/>
  <c r="AZ23" i="1"/>
  <c r="BA23" i="1"/>
  <c r="AE24" i="1"/>
  <c r="AY24" i="1" s="1"/>
  <c r="AM24" i="1"/>
  <c r="AN24" i="1"/>
  <c r="AQ24" i="1"/>
  <c r="AR24" i="1"/>
  <c r="AV24" i="1"/>
  <c r="BA24" i="1"/>
  <c r="H25" i="1"/>
  <c r="N25" i="1"/>
  <c r="S25" i="1"/>
  <c r="T25" i="1"/>
  <c r="AC25" i="1" s="1"/>
  <c r="W25" i="1"/>
  <c r="AD25" i="1"/>
  <c r="I25" i="1" s="1"/>
  <c r="AE25" i="1"/>
  <c r="AL25" i="1" s="1"/>
  <c r="AF25" i="1"/>
  <c r="AM25" i="1"/>
  <c r="AN25" i="1"/>
  <c r="AQ25" i="1"/>
  <c r="N26" i="1"/>
  <c r="G26" i="1" s="1"/>
  <c r="S26" i="1"/>
  <c r="T26" i="1"/>
  <c r="AC26" i="1" s="1"/>
  <c r="W26" i="1"/>
  <c r="AD26" i="1"/>
  <c r="I26" i="1" s="1"/>
  <c r="AE26" i="1"/>
  <c r="AL26" i="1" s="1"/>
  <c r="AF26" i="1"/>
  <c r="AM26" i="1"/>
  <c r="AN26" i="1"/>
  <c r="AO26" i="1"/>
  <c r="AQ26" i="1"/>
  <c r="F27" i="1"/>
  <c r="H27" i="1"/>
  <c r="N27" i="1"/>
  <c r="S27" i="1"/>
  <c r="T27" i="1"/>
  <c r="AC27" i="1" s="1"/>
  <c r="W27" i="1"/>
  <c r="AD27" i="1"/>
  <c r="BE27" i="1" s="1"/>
  <c r="AE27" i="1"/>
  <c r="AM27" i="1"/>
  <c r="AN27" i="1"/>
  <c r="AQ27" i="1"/>
  <c r="AN28" i="1"/>
  <c r="AQ28" i="1"/>
  <c r="AR28" i="1"/>
  <c r="AU28" i="1"/>
  <c r="AV28" i="1"/>
  <c r="AX28" i="1"/>
  <c r="AY28" i="1"/>
  <c r="AZ28" i="1"/>
  <c r="BA28" i="1"/>
  <c r="BD28" i="1"/>
  <c r="AN29" i="1"/>
  <c r="AP29" i="1"/>
  <c r="AQ29" i="1"/>
  <c r="AR29" i="1"/>
  <c r="AU29" i="1"/>
  <c r="AV29" i="1"/>
  <c r="AX29" i="1"/>
  <c r="AY29" i="1"/>
  <c r="AZ29" i="1"/>
  <c r="BA29" i="1"/>
  <c r="BD29" i="1"/>
  <c r="AN30" i="1"/>
  <c r="AQ30" i="1"/>
  <c r="AR30" i="1"/>
  <c r="AU30" i="1"/>
  <c r="AV30" i="1"/>
  <c r="AX30" i="1"/>
  <c r="AY30" i="1"/>
  <c r="AZ30" i="1"/>
  <c r="BA30" i="1"/>
  <c r="BD30" i="1"/>
  <c r="AN31" i="1"/>
  <c r="AQ31" i="1"/>
  <c r="AR31" i="1"/>
  <c r="AU31" i="1"/>
  <c r="AV31" i="1"/>
  <c r="AX31" i="1"/>
  <c r="AY31" i="1"/>
  <c r="AZ31" i="1"/>
  <c r="BA31" i="1"/>
  <c r="BD31" i="1"/>
  <c r="AN32" i="1"/>
  <c r="AQ32" i="1"/>
  <c r="AR32" i="1"/>
  <c r="AU32" i="1"/>
  <c r="AV32" i="1"/>
  <c r="AX32" i="1"/>
  <c r="AY32" i="1"/>
  <c r="AZ32" i="1"/>
  <c r="BA32" i="1"/>
  <c r="BD32" i="1"/>
  <c r="F33" i="1"/>
  <c r="G33" i="1"/>
  <c r="N33" i="1"/>
  <c r="S33" i="1"/>
  <c r="T33" i="1"/>
  <c r="AC33" i="1" s="1"/>
  <c r="W33" i="1"/>
  <c r="AD33" i="1"/>
  <c r="AE33" i="1"/>
  <c r="AM33" i="1"/>
  <c r="AN33" i="1"/>
  <c r="AQ33" i="1"/>
  <c r="G34" i="1"/>
  <c r="S34" i="1"/>
  <c r="T34" i="1"/>
  <c r="AC34" i="1" s="1"/>
  <c r="W34" i="1"/>
  <c r="AD34" i="1"/>
  <c r="AE34" i="1"/>
  <c r="AL34" i="1" s="1"/>
  <c r="AF34" i="1"/>
  <c r="AM34" i="1"/>
  <c r="AN34" i="1"/>
  <c r="AO34" i="1"/>
  <c r="AQ34" i="1"/>
  <c r="AN35" i="1"/>
  <c r="AQ35" i="1"/>
  <c r="AR35" i="1"/>
  <c r="AU35" i="1"/>
  <c r="AV35" i="1"/>
  <c r="AX35" i="1"/>
  <c r="AY35" i="1"/>
  <c r="AZ35" i="1"/>
  <c r="BA35" i="1"/>
  <c r="BD35" i="1"/>
  <c r="H36" i="1"/>
  <c r="N36" i="1"/>
  <c r="T36" i="1"/>
  <c r="AC36" i="1" s="1"/>
  <c r="AD36" i="1"/>
  <c r="AE36" i="1"/>
  <c r="AL36" i="1" s="1"/>
  <c r="AM36" i="1"/>
  <c r="AN36" i="1"/>
  <c r="AQ36" i="1"/>
  <c r="AR36" i="1"/>
  <c r="AV36" i="1"/>
  <c r="AN37" i="1"/>
  <c r="AQ37" i="1"/>
  <c r="AU37" i="1"/>
  <c r="AX37" i="1"/>
  <c r="AY37" i="1"/>
  <c r="AZ37" i="1"/>
  <c r="BA37" i="1"/>
  <c r="BD37" i="1"/>
  <c r="AN38" i="1"/>
  <c r="AQ38" i="1"/>
  <c r="AU38" i="1"/>
  <c r="AX38" i="1"/>
  <c r="AY38" i="1"/>
  <c r="AZ38" i="1"/>
  <c r="BD38" i="1"/>
  <c r="F39" i="1"/>
  <c r="H39" i="1"/>
  <c r="N39" i="1"/>
  <c r="S39" i="1"/>
  <c r="T39" i="1"/>
  <c r="AC39" i="1" s="1"/>
  <c r="W39" i="1"/>
  <c r="AD39" i="1"/>
  <c r="AE39" i="1"/>
  <c r="AL39" i="1" s="1"/>
  <c r="AF39" i="1"/>
  <c r="AM39" i="1"/>
  <c r="AN39" i="1"/>
  <c r="AO39" i="1"/>
  <c r="AP37" i="1" s="1"/>
  <c r="AQ39" i="1"/>
  <c r="AC40" i="1"/>
  <c r="AD40" i="1"/>
  <c r="I40" i="1" s="1"/>
  <c r="L40" i="1" s="1"/>
  <c r="AE40" i="1"/>
  <c r="AL40" i="1" s="1"/>
  <c r="AM40" i="1"/>
  <c r="AN40" i="1"/>
  <c r="AQ40" i="1"/>
  <c r="AR40" i="1"/>
  <c r="AV40" i="1"/>
  <c r="BA40" i="1"/>
  <c r="AC41" i="1"/>
  <c r="AD41" i="1"/>
  <c r="BC41" i="1" s="1"/>
  <c r="AE41" i="1"/>
  <c r="AM41" i="1"/>
  <c r="BD41" i="1" s="1"/>
  <c r="AN41" i="1"/>
  <c r="AQ41" i="1"/>
  <c r="AR41" i="1"/>
  <c r="AV41" i="1"/>
  <c r="BA41" i="1"/>
  <c r="G42" i="1"/>
  <c r="I42" i="1"/>
  <c r="S42" i="1"/>
  <c r="AM42" i="1"/>
  <c r="AN42" i="1"/>
  <c r="AP42" i="1"/>
  <c r="BF42" i="1" s="1"/>
  <c r="AQ42" i="1"/>
  <c r="AT42" i="1"/>
  <c r="AY42" i="1"/>
  <c r="BC42" i="1"/>
  <c r="BE42" i="1"/>
  <c r="S43" i="1"/>
  <c r="W43" i="1"/>
  <c r="AC43" i="1"/>
  <c r="AD43" i="1"/>
  <c r="BC43" i="1" s="1"/>
  <c r="AE43" i="1"/>
  <c r="AL43" i="1" s="1"/>
  <c r="AM43" i="1"/>
  <c r="AX43" i="1" s="1"/>
  <c r="AN43" i="1"/>
  <c r="AQ43" i="1"/>
  <c r="AN44" i="1"/>
  <c r="AQ44" i="1"/>
  <c r="AR44" i="1"/>
  <c r="AU44" i="1"/>
  <c r="AV44" i="1"/>
  <c r="AX44" i="1"/>
  <c r="AY44" i="1"/>
  <c r="AZ44" i="1"/>
  <c r="BA44" i="1"/>
  <c r="BD44" i="1"/>
  <c r="AN45" i="1"/>
  <c r="AQ45" i="1"/>
  <c r="AR45" i="1"/>
  <c r="AU45" i="1"/>
  <c r="AX45" i="1"/>
  <c r="AY45" i="1"/>
  <c r="AZ45" i="1"/>
  <c r="BD45" i="1"/>
  <c r="AN46" i="1"/>
  <c r="AQ46" i="1"/>
  <c r="AR46" i="1"/>
  <c r="AU46" i="1"/>
  <c r="AV46" i="1"/>
  <c r="AX46" i="1"/>
  <c r="AY46" i="1"/>
  <c r="AZ46" i="1"/>
  <c r="BA46" i="1"/>
  <c r="BD46" i="1"/>
  <c r="H47" i="1"/>
  <c r="N47" i="1"/>
  <c r="S47" i="1"/>
  <c r="T47" i="1"/>
  <c r="AC47" i="1" s="1"/>
  <c r="W47" i="1"/>
  <c r="AD47" i="1"/>
  <c r="AE47" i="1"/>
  <c r="AF47" i="1"/>
  <c r="AM47" i="1"/>
  <c r="AN47" i="1"/>
  <c r="AO47" i="1"/>
  <c r="AQ47" i="1"/>
  <c r="AC48" i="1"/>
  <c r="AD48" i="1"/>
  <c r="AE48" i="1"/>
  <c r="AL48" i="1" s="1"/>
  <c r="AF48" i="1"/>
  <c r="AM48" i="1"/>
  <c r="AN48" i="1"/>
  <c r="AQ48" i="1"/>
  <c r="I49" i="1"/>
  <c r="AE49" i="1"/>
  <c r="AF49" i="1"/>
  <c r="AM49" i="1"/>
  <c r="AN49" i="1"/>
  <c r="AQ49" i="1"/>
  <c r="AV49" i="1"/>
  <c r="BA49" i="1"/>
  <c r="AC50" i="1"/>
  <c r="AD50" i="1"/>
  <c r="AE50" i="1"/>
  <c r="AF50" i="1"/>
  <c r="AM50" i="1"/>
  <c r="AN50" i="1"/>
  <c r="AQ50" i="1"/>
  <c r="I51" i="1"/>
  <c r="AN51" i="1"/>
  <c r="AQ51" i="1"/>
  <c r="AT51" i="1"/>
  <c r="AU51" i="1"/>
  <c r="AX51" i="1"/>
  <c r="AY51" i="1"/>
  <c r="AZ51" i="1"/>
  <c r="BC51" i="1"/>
  <c r="BD51" i="1"/>
  <c r="BE51" i="1"/>
  <c r="I52" i="1"/>
  <c r="AN52" i="1"/>
  <c r="AQ52" i="1"/>
  <c r="AR52" i="1"/>
  <c r="AT52" i="1"/>
  <c r="AU52" i="1"/>
  <c r="AV52" i="1"/>
  <c r="AX52" i="1"/>
  <c r="AY52" i="1"/>
  <c r="AZ52" i="1"/>
  <c r="BA52" i="1"/>
  <c r="BC52" i="1"/>
  <c r="BD52" i="1"/>
  <c r="BE52" i="1"/>
  <c r="N53" i="1"/>
  <c r="Q53" i="1"/>
  <c r="R53" i="1"/>
  <c r="S53" i="1"/>
  <c r="T53" i="1"/>
  <c r="AC53" i="1" s="1"/>
  <c r="U53" i="1"/>
  <c r="V53" i="1"/>
  <c r="AD53" i="1"/>
  <c r="AE53" i="1"/>
  <c r="AL53" i="1" s="1"/>
  <c r="AM53" i="1"/>
  <c r="AN53" i="1"/>
  <c r="AO53" i="1"/>
  <c r="AQ53" i="1"/>
  <c r="N54" i="1"/>
  <c r="Q54" i="1"/>
  <c r="R54" i="1"/>
  <c r="S54" i="1"/>
  <c r="K54" i="1" s="1"/>
  <c r="T54" i="1"/>
  <c r="AC54" i="1" s="1"/>
  <c r="U54" i="1"/>
  <c r="W54" i="1" s="1"/>
  <c r="AD54" i="1"/>
  <c r="AE54" i="1"/>
  <c r="AF54" i="1"/>
  <c r="AL54" i="1"/>
  <c r="AM54" i="1"/>
  <c r="AU54" i="1" s="1"/>
  <c r="AN54" i="1"/>
  <c r="AO54" i="1"/>
  <c r="AP56" i="1" s="1"/>
  <c r="AQ54" i="1"/>
  <c r="G55" i="1"/>
  <c r="N55" i="1"/>
  <c r="Q55" i="1"/>
  <c r="R55" i="1"/>
  <c r="S55" i="1"/>
  <c r="T55" i="1"/>
  <c r="AC55" i="1" s="1"/>
  <c r="U55" i="1"/>
  <c r="W55" i="1" s="1"/>
  <c r="AD55" i="1"/>
  <c r="AE55" i="1"/>
  <c r="AL55" i="1" s="1"/>
  <c r="AM55" i="1"/>
  <c r="AN55" i="1"/>
  <c r="AQ55" i="1"/>
  <c r="H56" i="1"/>
  <c r="N56" i="1"/>
  <c r="Q56" i="1"/>
  <c r="R56" i="1"/>
  <c r="S56" i="1"/>
  <c r="T56" i="1"/>
  <c r="AC56" i="1" s="1"/>
  <c r="U56" i="1"/>
  <c r="W56" i="1" s="1"/>
  <c r="AD56" i="1"/>
  <c r="AE56" i="1"/>
  <c r="AL56" i="1" s="1"/>
  <c r="AM56" i="1"/>
  <c r="AN56" i="1"/>
  <c r="AQ56" i="1"/>
  <c r="G57" i="1"/>
  <c r="Q57" i="1"/>
  <c r="R57" i="1"/>
  <c r="S57" i="1"/>
  <c r="U57" i="1"/>
  <c r="W57" i="1" s="1"/>
  <c r="AC57" i="1"/>
  <c r="AD57" i="1"/>
  <c r="AE57" i="1"/>
  <c r="AM57" i="1"/>
  <c r="AN57" i="1"/>
  <c r="AQ57" i="1"/>
  <c r="BA58" i="1"/>
  <c r="AN58" i="1"/>
  <c r="AQ58" i="1"/>
  <c r="AU58" i="1"/>
  <c r="AX58" i="1"/>
  <c r="AY58" i="1"/>
  <c r="AZ58" i="1"/>
  <c r="BD58" i="1"/>
  <c r="AN59" i="1"/>
  <c r="AQ59" i="1"/>
  <c r="AU59" i="1"/>
  <c r="AX59" i="1"/>
  <c r="AY59" i="1"/>
  <c r="AZ59" i="1"/>
  <c r="BD59" i="1"/>
  <c r="G60" i="1"/>
  <c r="N60" i="1"/>
  <c r="T60" i="1"/>
  <c r="AC60" i="1" s="1"/>
  <c r="AD60" i="1"/>
  <c r="AT60" i="1" s="1"/>
  <c r="AE60" i="1"/>
  <c r="AM60" i="1"/>
  <c r="AN60" i="1"/>
  <c r="AQ60" i="1"/>
  <c r="H61" i="1"/>
  <c r="N61" i="1"/>
  <c r="Q61" i="1"/>
  <c r="R61" i="1"/>
  <c r="S61" i="1"/>
  <c r="T61" i="1"/>
  <c r="AC61" i="1" s="1"/>
  <c r="U61" i="1"/>
  <c r="W61" i="1" s="1"/>
  <c r="AD61" i="1"/>
  <c r="AE61" i="1"/>
  <c r="AL61" i="1" s="1"/>
  <c r="AF61" i="1"/>
  <c r="AM61" i="1"/>
  <c r="AN61" i="1"/>
  <c r="AO61" i="1"/>
  <c r="AP59" i="1" s="1"/>
  <c r="AQ61" i="1"/>
  <c r="H62" i="1"/>
  <c r="N62" i="1"/>
  <c r="T62" i="1"/>
  <c r="AC62" i="1" s="1"/>
  <c r="AD62" i="1"/>
  <c r="I62" i="1" s="1"/>
  <c r="AE62" i="1"/>
  <c r="AL62" i="1" s="1"/>
  <c r="AM62" i="1"/>
  <c r="AN62" i="1"/>
  <c r="AQ62" i="1"/>
  <c r="G63" i="1"/>
  <c r="I63" i="1"/>
  <c r="AM63" i="1"/>
  <c r="AN63" i="1"/>
  <c r="AQ63" i="1"/>
  <c r="AT63" i="1"/>
  <c r="AY63" i="1"/>
  <c r="BE63" i="1"/>
  <c r="H64" i="1"/>
  <c r="N64" i="1"/>
  <c r="T64" i="1"/>
  <c r="AC64" i="1" s="1"/>
  <c r="AD64" i="1"/>
  <c r="AE64" i="1"/>
  <c r="AL64" i="1" s="1"/>
  <c r="AM64" i="1"/>
  <c r="AN64" i="1"/>
  <c r="AO64" i="1"/>
  <c r="AQ64" i="1"/>
  <c r="AE65" i="1"/>
  <c r="AL65" i="1" s="1"/>
  <c r="AM65" i="1"/>
  <c r="AN65" i="1"/>
  <c r="AQ65" i="1"/>
  <c r="Q66" i="1"/>
  <c r="R66" i="1"/>
  <c r="S66" i="1"/>
  <c r="AN66" i="1"/>
  <c r="AQ66" i="1"/>
  <c r="AU66" i="1"/>
  <c r="AX66" i="1"/>
  <c r="AY66" i="1"/>
  <c r="AZ66" i="1"/>
  <c r="BD66" i="1"/>
  <c r="H67" i="1"/>
  <c r="N67" i="1"/>
  <c r="S67" i="1"/>
  <c r="T67" i="1"/>
  <c r="AC67" i="1" s="1"/>
  <c r="W67" i="1"/>
  <c r="AD67" i="1"/>
  <c r="BE67" i="1" s="1"/>
  <c r="AE67" i="1"/>
  <c r="AL67" i="1" s="1"/>
  <c r="AM67" i="1"/>
  <c r="AN67" i="1"/>
  <c r="AQ67" i="1"/>
  <c r="H68" i="1"/>
  <c r="T68" i="1"/>
  <c r="AC68" i="1" s="1"/>
  <c r="AD68" i="1"/>
  <c r="AE68" i="1"/>
  <c r="AL68" i="1" s="1"/>
  <c r="AM68" i="1"/>
  <c r="AN68" i="1"/>
  <c r="AO68" i="1"/>
  <c r="AQ68" i="1"/>
  <c r="G69" i="1"/>
  <c r="O69" i="1"/>
  <c r="Q69" i="1" s="1"/>
  <c r="P69" i="1"/>
  <c r="R69" i="1" s="1"/>
  <c r="T69" i="1"/>
  <c r="AC69" i="1" s="1"/>
  <c r="AD69" i="1"/>
  <c r="BE69" i="1" s="1"/>
  <c r="AE69" i="1"/>
  <c r="AL69" i="1" s="1"/>
  <c r="AM69" i="1"/>
  <c r="AN69" i="1"/>
  <c r="AQ69" i="1"/>
  <c r="H70" i="1"/>
  <c r="N70" i="1"/>
  <c r="T70" i="1"/>
  <c r="AC70" i="1" s="1"/>
  <c r="AD70" i="1"/>
  <c r="AE70" i="1"/>
  <c r="AL70" i="1" s="1"/>
  <c r="AM70" i="1"/>
  <c r="AN70" i="1"/>
  <c r="AQ70" i="1"/>
  <c r="G71" i="1"/>
  <c r="O71" i="1"/>
  <c r="Q71" i="1" s="1"/>
  <c r="P71" i="1"/>
  <c r="R71" i="1" s="1"/>
  <c r="T71" i="1"/>
  <c r="AC71" i="1" s="1"/>
  <c r="AD71" i="1"/>
  <c r="AL71" i="1"/>
  <c r="AN71" i="1"/>
  <c r="AO71" i="1"/>
  <c r="AQ71" i="1"/>
  <c r="N72" i="1"/>
  <c r="T72" i="1"/>
  <c r="AC72" i="1" s="1"/>
  <c r="AD72" i="1"/>
  <c r="AN72" i="1"/>
  <c r="AQ72" i="1"/>
  <c r="AU72" i="1"/>
  <c r="AX72" i="1"/>
  <c r="AZ72" i="1"/>
  <c r="BD72" i="1"/>
  <c r="I73" i="1"/>
  <c r="M73" i="1" s="1"/>
  <c r="AN73" i="1"/>
  <c r="AQ73" i="1"/>
  <c r="AT73" i="1"/>
  <c r="AU73" i="1"/>
  <c r="AX73" i="1"/>
  <c r="AY73" i="1"/>
  <c r="AZ73" i="1"/>
  <c r="BC73" i="1"/>
  <c r="BD73" i="1"/>
  <c r="BE73" i="1"/>
  <c r="I74" i="1"/>
  <c r="M74" i="1" s="1"/>
  <c r="W74" i="1"/>
  <c r="AN74" i="1"/>
  <c r="AQ74" i="1"/>
  <c r="AT74" i="1"/>
  <c r="AU74" i="1"/>
  <c r="AX74" i="1"/>
  <c r="AY74" i="1"/>
  <c r="AZ74" i="1"/>
  <c r="BC74" i="1"/>
  <c r="BD74" i="1"/>
  <c r="BE74" i="1"/>
  <c r="N75" i="1"/>
  <c r="G75" i="1" s="1"/>
  <c r="Q75" i="1"/>
  <c r="R75" i="1"/>
  <c r="S75" i="1"/>
  <c r="T75" i="1"/>
  <c r="AC75" i="1" s="1"/>
  <c r="W75" i="1"/>
  <c r="AD75" i="1"/>
  <c r="AE75" i="1"/>
  <c r="AL75" i="1" s="1"/>
  <c r="AM75" i="1"/>
  <c r="AN75" i="1"/>
  <c r="AO75" i="1"/>
  <c r="AP76" i="1" s="1"/>
  <c r="AQ75" i="1"/>
  <c r="G76" i="1"/>
  <c r="Q76" i="1"/>
  <c r="R76" i="1"/>
  <c r="S76" i="1"/>
  <c r="T76" i="1"/>
  <c r="AC76" i="1" s="1"/>
  <c r="W76" i="1"/>
  <c r="AD76" i="1"/>
  <c r="AL76" i="1"/>
  <c r="AM76" i="1"/>
  <c r="AN76" i="1"/>
  <c r="AQ76" i="1"/>
  <c r="H77" i="1"/>
  <c r="G77" i="1" s="1"/>
  <c r="G78" i="1" s="1"/>
  <c r="M78" i="1" s="1"/>
  <c r="Q77" i="1"/>
  <c r="R77" i="1"/>
  <c r="S77" i="1"/>
  <c r="T77" i="1"/>
  <c r="AC77" i="1" s="1"/>
  <c r="AD77" i="1"/>
  <c r="AE77" i="1"/>
  <c r="AL77" i="1" s="1"/>
  <c r="AM77" i="1"/>
  <c r="AN77" i="1"/>
  <c r="AQ77" i="1"/>
  <c r="L78" i="1"/>
  <c r="AN78" i="1"/>
  <c r="AQ78" i="1"/>
  <c r="AS78" i="1"/>
  <c r="AT78" i="1"/>
  <c r="AW78" i="1"/>
  <c r="AY78" i="1"/>
  <c r="AZ78" i="1"/>
  <c r="BB78" i="1"/>
  <c r="BC78" i="1"/>
  <c r="BE78" i="1"/>
  <c r="AN79" i="1"/>
  <c r="AQ79" i="1"/>
  <c r="AS79" i="1"/>
  <c r="AT79" i="1"/>
  <c r="AU79" i="1"/>
  <c r="AW79" i="1"/>
  <c r="AX79" i="1"/>
  <c r="AY79" i="1"/>
  <c r="AZ79" i="1"/>
  <c r="BB79" i="1"/>
  <c r="BC79" i="1"/>
  <c r="BD79" i="1"/>
  <c r="BE79" i="1"/>
  <c r="AN80" i="1"/>
  <c r="AQ80" i="1"/>
  <c r="AS80" i="1"/>
  <c r="AT80" i="1"/>
  <c r="AU80" i="1"/>
  <c r="AW80" i="1"/>
  <c r="AX80" i="1"/>
  <c r="AY80" i="1"/>
  <c r="AZ80" i="1"/>
  <c r="BB80" i="1"/>
  <c r="BC80" i="1"/>
  <c r="BD80" i="1"/>
  <c r="BE80" i="1"/>
  <c r="AN81" i="1"/>
  <c r="AQ81" i="1"/>
  <c r="AS81" i="1"/>
  <c r="AT81" i="1"/>
  <c r="AW81" i="1"/>
  <c r="AY81" i="1"/>
  <c r="AZ81" i="1"/>
  <c r="BB81" i="1"/>
  <c r="BC81" i="1"/>
  <c r="BE81" i="1"/>
  <c r="G82" i="1"/>
  <c r="S82" i="1"/>
  <c r="T82" i="1"/>
  <c r="AC82" i="1" s="1"/>
  <c r="W82" i="1"/>
  <c r="AD82" i="1"/>
  <c r="AE82" i="1"/>
  <c r="AL82" i="1" s="1"/>
  <c r="AM82" i="1"/>
  <c r="AN82" i="1"/>
  <c r="AO82" i="1"/>
  <c r="AQ82" i="1"/>
  <c r="H83" i="1"/>
  <c r="N83" i="1"/>
  <c r="Q83" i="1"/>
  <c r="R83" i="1"/>
  <c r="S83" i="1"/>
  <c r="T83" i="1"/>
  <c r="AC83" i="1" s="1"/>
  <c r="W83" i="1"/>
  <c r="AD83" i="1"/>
  <c r="BC83" i="1" s="1"/>
  <c r="AE83" i="1"/>
  <c r="AL83" i="1" s="1"/>
  <c r="AM83" i="1"/>
  <c r="AN83" i="1"/>
  <c r="AQ83" i="1"/>
  <c r="H84" i="1"/>
  <c r="N84" i="1"/>
  <c r="Q84" i="1"/>
  <c r="R84" i="1"/>
  <c r="S84" i="1"/>
  <c r="W84" i="1"/>
  <c r="AC84" i="1"/>
  <c r="AD84" i="1"/>
  <c r="AE84" i="1"/>
  <c r="AL84" i="1" s="1"/>
  <c r="AM84" i="1"/>
  <c r="AN84" i="1"/>
  <c r="AQ84" i="1"/>
  <c r="G85" i="1"/>
  <c r="Q85" i="1"/>
  <c r="R85" i="1"/>
  <c r="S85" i="1"/>
  <c r="W85" i="1"/>
  <c r="AC85" i="1"/>
  <c r="AD85" i="1"/>
  <c r="AT85" i="1" s="1"/>
  <c r="AL85" i="1"/>
  <c r="AM85" i="1"/>
  <c r="AN85" i="1"/>
  <c r="AP85" i="1"/>
  <c r="AQ85" i="1"/>
  <c r="N86" i="1"/>
  <c r="G86" i="1" s="1"/>
  <c r="Q86" i="1"/>
  <c r="R86" i="1"/>
  <c r="S86" i="1"/>
  <c r="W86" i="1"/>
  <c r="AC86" i="1"/>
  <c r="AD86" i="1"/>
  <c r="AE86" i="1"/>
  <c r="AL86" i="1" s="1"/>
  <c r="AM86" i="1"/>
  <c r="AN86" i="1"/>
  <c r="AP86" i="1"/>
  <c r="AQ86" i="1"/>
  <c r="K87" i="1"/>
  <c r="AN87" i="1"/>
  <c r="AP87" i="1"/>
  <c r="AQ87" i="1"/>
  <c r="AU87" i="1"/>
  <c r="AX87" i="1"/>
  <c r="AY87" i="1"/>
  <c r="AZ87" i="1"/>
  <c r="BD87" i="1"/>
  <c r="BA88" i="1"/>
  <c r="AD88" i="1"/>
  <c r="AN88" i="1"/>
  <c r="AP88" i="1"/>
  <c r="AQ88" i="1"/>
  <c r="AU88" i="1"/>
  <c r="AX88" i="1"/>
  <c r="AY88" i="1"/>
  <c r="AZ88" i="1"/>
  <c r="BD88" i="1"/>
  <c r="G89" i="1"/>
  <c r="Q89" i="1"/>
  <c r="R89" i="1"/>
  <c r="S89" i="1"/>
  <c r="W89" i="1"/>
  <c r="AC89" i="1"/>
  <c r="AY89" i="1" s="1"/>
  <c r="AD89" i="1"/>
  <c r="I89" i="1" s="1"/>
  <c r="AL89" i="1"/>
  <c r="AM89" i="1"/>
  <c r="AN89" i="1"/>
  <c r="AP89" i="1"/>
  <c r="AQ89" i="1"/>
  <c r="G90" i="1"/>
  <c r="AU90" i="1" s="1"/>
  <c r="AL90" i="1"/>
  <c r="AN90" i="1"/>
  <c r="AP90" i="1"/>
  <c r="AQ90" i="1"/>
  <c r="AY90" i="1"/>
  <c r="G91" i="1"/>
  <c r="AU91" i="1" s="1"/>
  <c r="AC91" i="1"/>
  <c r="AD91" i="1"/>
  <c r="AL91" i="1"/>
  <c r="AN91" i="1"/>
  <c r="AP91" i="1"/>
  <c r="AQ91" i="1"/>
  <c r="AN92" i="1"/>
  <c r="AP92" i="1"/>
  <c r="AQ92" i="1"/>
  <c r="AU92" i="1"/>
  <c r="AX92" i="1"/>
  <c r="AY92" i="1"/>
  <c r="AZ92" i="1"/>
  <c r="BD92" i="1"/>
  <c r="AN93" i="1"/>
  <c r="AP93" i="1"/>
  <c r="AQ93" i="1"/>
  <c r="AU93" i="1"/>
  <c r="AX93" i="1"/>
  <c r="AY93" i="1"/>
  <c r="AZ93" i="1"/>
  <c r="BD93" i="1"/>
  <c r="AR94" i="1"/>
  <c r="AN94" i="1"/>
  <c r="AP94" i="1"/>
  <c r="AQ94" i="1"/>
  <c r="AU94" i="1"/>
  <c r="AX94" i="1"/>
  <c r="AY94" i="1"/>
  <c r="AZ94" i="1"/>
  <c r="BD94" i="1"/>
  <c r="G95" i="1"/>
  <c r="Q95" i="1"/>
  <c r="R95" i="1"/>
  <c r="S95" i="1"/>
  <c r="AC95" i="1"/>
  <c r="AD95" i="1"/>
  <c r="AN95" i="1"/>
  <c r="AP95" i="1"/>
  <c r="AQ95" i="1"/>
  <c r="AZ95" i="1"/>
  <c r="G96" i="1"/>
  <c r="Q96" i="1"/>
  <c r="R96" i="1"/>
  <c r="S96" i="1"/>
  <c r="W96" i="1"/>
  <c r="AC96" i="1"/>
  <c r="AD96" i="1"/>
  <c r="I96" i="1" s="1"/>
  <c r="AL96" i="1"/>
  <c r="AM96" i="1"/>
  <c r="AN96" i="1"/>
  <c r="AP96" i="1"/>
  <c r="AQ96" i="1"/>
  <c r="G97" i="1"/>
  <c r="Q97" i="1"/>
  <c r="R97" i="1"/>
  <c r="S97" i="1"/>
  <c r="W97" i="1"/>
  <c r="AC97" i="1"/>
  <c r="AY97" i="1" s="1"/>
  <c r="AD97" i="1"/>
  <c r="AT97" i="1" s="1"/>
  <c r="AL97" i="1"/>
  <c r="AZ97" i="1" s="1"/>
  <c r="AN97" i="1"/>
  <c r="AP97" i="1"/>
  <c r="AQ97" i="1"/>
  <c r="AN98" i="1"/>
  <c r="AP98" i="1"/>
  <c r="AQ98" i="1"/>
  <c r="AU98" i="1"/>
  <c r="AX98" i="1"/>
  <c r="AY98" i="1"/>
  <c r="AZ98" i="1"/>
  <c r="BD98" i="1"/>
  <c r="G99" i="1"/>
  <c r="Q99" i="1"/>
  <c r="R99" i="1"/>
  <c r="S99" i="1"/>
  <c r="AC99" i="1"/>
  <c r="AD99" i="1"/>
  <c r="AL99" i="1"/>
  <c r="AN99" i="1"/>
  <c r="AP99" i="1"/>
  <c r="AQ99" i="1"/>
  <c r="AR100" i="1"/>
  <c r="AN100" i="1"/>
  <c r="AP100" i="1"/>
  <c r="AQ100" i="1"/>
  <c r="AU100" i="1"/>
  <c r="AX100" i="1"/>
  <c r="AY100" i="1"/>
  <c r="AZ100" i="1"/>
  <c r="BD100" i="1"/>
  <c r="AN101" i="1"/>
  <c r="AP101" i="1"/>
  <c r="AQ101" i="1"/>
  <c r="AU101" i="1"/>
  <c r="AX101" i="1"/>
  <c r="AY101" i="1"/>
  <c r="AZ101" i="1"/>
  <c r="BD101" i="1"/>
  <c r="AR102" i="1"/>
  <c r="G102" i="1"/>
  <c r="BD102" i="1" s="1"/>
  <c r="AC102" i="1"/>
  <c r="AD102" i="1"/>
  <c r="AL102" i="1"/>
  <c r="AZ102" i="1" s="1"/>
  <c r="AN102" i="1"/>
  <c r="AP102" i="1"/>
  <c r="AQ102" i="1"/>
  <c r="G103" i="1"/>
  <c r="AX103" i="1" s="1"/>
  <c r="AC103" i="1"/>
  <c r="AD103" i="1"/>
  <c r="AT103" i="1" s="1"/>
  <c r="AL103" i="1"/>
  <c r="AN103" i="1"/>
  <c r="AP103" i="1"/>
  <c r="AQ103" i="1"/>
  <c r="AN104" i="1"/>
  <c r="AP104" i="1"/>
  <c r="AQ104" i="1"/>
  <c r="AU104" i="1"/>
  <c r="AX104" i="1"/>
  <c r="AY104" i="1"/>
  <c r="AZ104" i="1"/>
  <c r="BD104" i="1"/>
  <c r="Q105" i="1"/>
  <c r="R105" i="1"/>
  <c r="S105" i="1"/>
  <c r="W105" i="1"/>
  <c r="AN105" i="1"/>
  <c r="AP105" i="1"/>
  <c r="AQ105" i="1"/>
  <c r="AU105" i="1"/>
  <c r="AX105" i="1"/>
  <c r="AY105" i="1"/>
  <c r="AZ105" i="1"/>
  <c r="BD105" i="1"/>
  <c r="G106" i="1"/>
  <c r="Q106" i="1"/>
  <c r="R106" i="1"/>
  <c r="S106" i="1"/>
  <c r="W106" i="1"/>
  <c r="AC106" i="1"/>
  <c r="AD106" i="1"/>
  <c r="AL106" i="1"/>
  <c r="AN106" i="1"/>
  <c r="AQ106" i="1"/>
  <c r="AN107" i="1"/>
  <c r="AQ107" i="1"/>
  <c r="AU107" i="1"/>
  <c r="AX107" i="1"/>
  <c r="AY107" i="1"/>
  <c r="AZ107" i="1"/>
  <c r="BD107" i="1"/>
  <c r="AN108" i="1"/>
  <c r="AQ108" i="1"/>
  <c r="AU108" i="1"/>
  <c r="AX108" i="1"/>
  <c r="AY108" i="1"/>
  <c r="AZ108" i="1"/>
  <c r="BD108" i="1"/>
  <c r="G109" i="1"/>
  <c r="Q109" i="1"/>
  <c r="R109" i="1"/>
  <c r="S109" i="1"/>
  <c r="W109" i="1"/>
  <c r="AC109" i="1"/>
  <c r="AD109" i="1"/>
  <c r="AL109" i="1"/>
  <c r="AZ109" i="1" s="1"/>
  <c r="AN109" i="1"/>
  <c r="AQ109" i="1"/>
  <c r="G110" i="1"/>
  <c r="Q110" i="1"/>
  <c r="R110" i="1"/>
  <c r="S110" i="1"/>
  <c r="W110" i="1"/>
  <c r="AC110" i="1"/>
  <c r="AY110" i="1" s="1"/>
  <c r="AD110" i="1"/>
  <c r="AL110" i="1"/>
  <c r="AZ110" i="1" s="1"/>
  <c r="AN110" i="1"/>
  <c r="AO110" i="1"/>
  <c r="AQ110" i="1"/>
  <c r="G111" i="1"/>
  <c r="BD111" i="1" s="1"/>
  <c r="Q111" i="1"/>
  <c r="R111" i="1"/>
  <c r="S111" i="1"/>
  <c r="AC111" i="1"/>
  <c r="AD111" i="1"/>
  <c r="AL111" i="1"/>
  <c r="AZ111" i="1" s="1"/>
  <c r="AN111" i="1"/>
  <c r="AO111" i="1"/>
  <c r="AP113" i="1" s="1"/>
  <c r="AQ111" i="1"/>
  <c r="K112" i="1"/>
  <c r="AN112" i="1"/>
  <c r="AQ112" i="1"/>
  <c r="AU112" i="1"/>
  <c r="AX112" i="1"/>
  <c r="AY112" i="1"/>
  <c r="AZ112" i="1"/>
  <c r="BD112" i="1"/>
  <c r="G113" i="1"/>
  <c r="AU113" i="1" s="1"/>
  <c r="AC113" i="1"/>
  <c r="AY113" i="1" s="1"/>
  <c r="AD113" i="1"/>
  <c r="AL113" i="1"/>
  <c r="AZ113" i="1" s="1"/>
  <c r="AN113" i="1"/>
  <c r="AQ113" i="1"/>
  <c r="K114" i="1"/>
  <c r="AN114" i="1"/>
  <c r="AQ114" i="1"/>
  <c r="AU114" i="1"/>
  <c r="AX114" i="1"/>
  <c r="AY114" i="1"/>
  <c r="AZ114" i="1"/>
  <c r="BD114" i="1"/>
  <c r="AN115" i="1"/>
  <c r="AQ115" i="1"/>
  <c r="AU115" i="1"/>
  <c r="AX115" i="1"/>
  <c r="AY115" i="1"/>
  <c r="AZ115" i="1"/>
  <c r="BD115" i="1"/>
  <c r="AR116" i="1"/>
  <c r="G116" i="1"/>
  <c r="AC116" i="1"/>
  <c r="AD116" i="1"/>
  <c r="AL116" i="1"/>
  <c r="AZ116" i="1" s="1"/>
  <c r="AN116" i="1"/>
  <c r="AQ116" i="1"/>
  <c r="AN117" i="1"/>
  <c r="AQ117" i="1"/>
  <c r="AU117" i="1"/>
  <c r="AX117" i="1"/>
  <c r="AY117" i="1"/>
  <c r="AZ117" i="1"/>
  <c r="BD117" i="1"/>
  <c r="G118" i="1"/>
  <c r="Q118" i="1"/>
  <c r="R118" i="1"/>
  <c r="S118" i="1"/>
  <c r="AC118" i="1"/>
  <c r="AD118" i="1"/>
  <c r="AL118" i="1"/>
  <c r="AZ118" i="1" s="1"/>
  <c r="AN118" i="1"/>
  <c r="AO118" i="1"/>
  <c r="AP117" i="1" s="1"/>
  <c r="AQ118" i="1"/>
  <c r="G119" i="1"/>
  <c r="Q119" i="1"/>
  <c r="R119" i="1"/>
  <c r="S119" i="1"/>
  <c r="W119" i="1"/>
  <c r="AD119" i="1"/>
  <c r="BE119" i="1" s="1"/>
  <c r="AL119" i="1"/>
  <c r="AZ119" i="1" s="1"/>
  <c r="AN119" i="1"/>
  <c r="AQ119" i="1"/>
  <c r="AY119" i="1"/>
  <c r="G120" i="1"/>
  <c r="I120" i="1"/>
  <c r="Q120" i="1"/>
  <c r="R120" i="1"/>
  <c r="S120" i="1"/>
  <c r="W120" i="1"/>
  <c r="AL120" i="1"/>
  <c r="AN120" i="1"/>
  <c r="AQ120" i="1"/>
  <c r="AT120" i="1"/>
  <c r="AY120" i="1"/>
  <c r="BC120" i="1"/>
  <c r="BE120" i="1"/>
  <c r="I121" i="1"/>
  <c r="AW121" i="1" s="1"/>
  <c r="AN121" i="1"/>
  <c r="AQ121" i="1"/>
  <c r="AT121" i="1"/>
  <c r="AU121" i="1"/>
  <c r="AX121" i="1"/>
  <c r="AY121" i="1"/>
  <c r="AZ121" i="1"/>
  <c r="BC121" i="1"/>
  <c r="BD121" i="1"/>
  <c r="BE121" i="1"/>
  <c r="I122" i="1"/>
  <c r="AW122" i="1" s="1"/>
  <c r="AN122" i="1"/>
  <c r="AQ122" i="1"/>
  <c r="AT122" i="1"/>
  <c r="AU122" i="1"/>
  <c r="AX122" i="1"/>
  <c r="AY122" i="1"/>
  <c r="AZ122" i="1"/>
  <c r="BC122" i="1"/>
  <c r="BD122" i="1"/>
  <c r="BE122" i="1"/>
  <c r="I123" i="1"/>
  <c r="AN123" i="1"/>
  <c r="AQ123" i="1"/>
  <c r="AT123" i="1"/>
  <c r="AU123" i="1"/>
  <c r="AX123" i="1"/>
  <c r="AY123" i="1"/>
  <c r="AZ123" i="1"/>
  <c r="BC123" i="1"/>
  <c r="BD123" i="1"/>
  <c r="BE123" i="1"/>
  <c r="G124" i="1"/>
  <c r="I124" i="1"/>
  <c r="AS124" i="1" s="1"/>
  <c r="Q124" i="1"/>
  <c r="R124" i="1"/>
  <c r="S124" i="1"/>
  <c r="AL124" i="1"/>
  <c r="AN124" i="1"/>
  <c r="AQ124" i="1"/>
  <c r="AT124" i="1"/>
  <c r="AY124" i="1"/>
  <c r="BC124" i="1"/>
  <c r="BE124" i="1"/>
  <c r="I125" i="1"/>
  <c r="AN125" i="1"/>
  <c r="AO125" i="1"/>
  <c r="AP127" i="1" s="1"/>
  <c r="AQ125" i="1"/>
  <c r="AT125" i="1"/>
  <c r="AU125" i="1"/>
  <c r="AX125" i="1"/>
  <c r="AY125" i="1"/>
  <c r="AZ125" i="1"/>
  <c r="BC125" i="1"/>
  <c r="BD125" i="1"/>
  <c r="BE125" i="1"/>
  <c r="I126" i="1"/>
  <c r="Q126" i="1"/>
  <c r="R126" i="1"/>
  <c r="S126" i="1"/>
  <c r="W126" i="1"/>
  <c r="AN126" i="1"/>
  <c r="AQ126" i="1"/>
  <c r="AT126" i="1"/>
  <c r="AU126" i="1"/>
  <c r="AX126" i="1"/>
  <c r="AY126" i="1"/>
  <c r="AZ126" i="1"/>
  <c r="BC126" i="1"/>
  <c r="BD126" i="1"/>
  <c r="BE126" i="1"/>
  <c r="G127" i="1"/>
  <c r="AX127" i="1" s="1"/>
  <c r="Q127" i="1"/>
  <c r="R127" i="1"/>
  <c r="S127" i="1"/>
  <c r="W127" i="1"/>
  <c r="AC127" i="1"/>
  <c r="AD127" i="1"/>
  <c r="AL127" i="1"/>
  <c r="AZ127" i="1" s="1"/>
  <c r="AN127" i="1"/>
  <c r="AQ127" i="1"/>
  <c r="K128" i="1"/>
  <c r="AN128" i="1"/>
  <c r="AQ128" i="1"/>
  <c r="AU128" i="1"/>
  <c r="AX128" i="1"/>
  <c r="AY128" i="1"/>
  <c r="AZ128" i="1"/>
  <c r="BD128" i="1"/>
  <c r="H129" i="1"/>
  <c r="G129" i="1" s="1"/>
  <c r="BD129" i="1" s="1"/>
  <c r="AC129" i="1"/>
  <c r="AD129" i="1"/>
  <c r="BC129" i="1" s="1"/>
  <c r="AL129" i="1"/>
  <c r="AZ129" i="1" s="1"/>
  <c r="AN129" i="1"/>
  <c r="AQ129" i="1"/>
  <c r="Q130" i="1"/>
  <c r="R130" i="1"/>
  <c r="S130" i="1"/>
  <c r="W130" i="1"/>
  <c r="AN130" i="1"/>
  <c r="AQ130" i="1"/>
  <c r="AU130" i="1"/>
  <c r="AX130" i="1"/>
  <c r="AY130" i="1"/>
  <c r="AZ130" i="1"/>
  <c r="BD130" i="1"/>
  <c r="G131" i="1"/>
  <c r="Q131" i="1"/>
  <c r="R131" i="1"/>
  <c r="S131" i="1"/>
  <c r="W131" i="1"/>
  <c r="AC131" i="1"/>
  <c r="AD131" i="1"/>
  <c r="BC131" i="1" s="1"/>
  <c r="AL131" i="1"/>
  <c r="AZ131" i="1" s="1"/>
  <c r="AN131" i="1"/>
  <c r="AQ131" i="1"/>
  <c r="G132" i="1"/>
  <c r="AU132" i="1" s="1"/>
  <c r="Q132" i="1"/>
  <c r="R132" i="1"/>
  <c r="S132" i="1"/>
  <c r="W132" i="1"/>
  <c r="AC132" i="1"/>
  <c r="AD132" i="1"/>
  <c r="AT132" i="1" s="1"/>
  <c r="AL132" i="1"/>
  <c r="AZ132" i="1" s="1"/>
  <c r="AN132" i="1"/>
  <c r="AO132" i="1"/>
  <c r="AQ132" i="1"/>
  <c r="W133" i="1"/>
  <c r="AC133" i="1"/>
  <c r="AD133" i="1"/>
  <c r="AL133" i="1"/>
  <c r="AN133" i="1"/>
  <c r="AQ133" i="1"/>
  <c r="G134" i="1"/>
  <c r="BD134" i="1" s="1"/>
  <c r="Q134" i="1"/>
  <c r="R134" i="1"/>
  <c r="S134" i="1"/>
  <c r="W134" i="1"/>
  <c r="AC134" i="1"/>
  <c r="AY134" i="1" s="1"/>
  <c r="AD134" i="1"/>
  <c r="AL134" i="1"/>
  <c r="AN134" i="1"/>
  <c r="AQ134" i="1"/>
  <c r="AN135" i="1"/>
  <c r="AQ135" i="1"/>
  <c r="AU135" i="1"/>
  <c r="AX135" i="1"/>
  <c r="AY135" i="1"/>
  <c r="AZ135" i="1"/>
  <c r="BD135" i="1"/>
  <c r="AN136" i="1"/>
  <c r="AQ136" i="1"/>
  <c r="AU136" i="1"/>
  <c r="AX136" i="1"/>
  <c r="AY136" i="1"/>
  <c r="AZ136" i="1"/>
  <c r="BD136" i="1"/>
  <c r="G137" i="1"/>
  <c r="Q137" i="1"/>
  <c r="R137" i="1"/>
  <c r="S137" i="1"/>
  <c r="W137" i="1"/>
  <c r="AC137" i="1"/>
  <c r="AY137" i="1" s="1"/>
  <c r="AD137" i="1"/>
  <c r="AL137" i="1"/>
  <c r="AZ137" i="1" s="1"/>
  <c r="AN137" i="1"/>
  <c r="AQ137" i="1"/>
  <c r="G138" i="1"/>
  <c r="Q138" i="1"/>
  <c r="R138" i="1"/>
  <c r="S138" i="1"/>
  <c r="AC138" i="1"/>
  <c r="AD138" i="1"/>
  <c r="AL138" i="1"/>
  <c r="AZ138" i="1" s="1"/>
  <c r="AN138" i="1"/>
  <c r="AQ138" i="1"/>
  <c r="G139" i="1"/>
  <c r="Q139" i="1"/>
  <c r="R139" i="1"/>
  <c r="S139" i="1"/>
  <c r="AC139" i="1"/>
  <c r="AD139" i="1"/>
  <c r="I139" i="1" s="1"/>
  <c r="AF139" i="1"/>
  <c r="AL139" i="1"/>
  <c r="AN139" i="1"/>
  <c r="AO139" i="1"/>
  <c r="AQ139" i="1"/>
  <c r="AD140" i="1"/>
  <c r="AF140" i="1"/>
  <c r="AL140" i="1"/>
  <c r="AZ140" i="1" s="1"/>
  <c r="AN140" i="1"/>
  <c r="AQ140" i="1"/>
  <c r="AU140" i="1"/>
  <c r="AX140" i="1"/>
  <c r="AY140" i="1"/>
  <c r="BD140" i="1"/>
  <c r="I141" i="1"/>
  <c r="M141" i="1" s="1"/>
  <c r="AN141" i="1"/>
  <c r="AQ141" i="1"/>
  <c r="AT141" i="1"/>
  <c r="AU141" i="1"/>
  <c r="AX141" i="1"/>
  <c r="AY141" i="1"/>
  <c r="AZ141" i="1"/>
  <c r="BC141" i="1"/>
  <c r="BD141" i="1"/>
  <c r="BE141" i="1"/>
  <c r="I142" i="1"/>
  <c r="AW142" i="1" s="1"/>
  <c r="AN142" i="1"/>
  <c r="AQ142" i="1"/>
  <c r="AT142" i="1"/>
  <c r="AU142" i="1"/>
  <c r="AX142" i="1"/>
  <c r="AY142" i="1"/>
  <c r="AZ142" i="1"/>
  <c r="BC142" i="1"/>
  <c r="BD142" i="1"/>
  <c r="BE142" i="1"/>
  <c r="I143" i="1"/>
  <c r="M143" i="1" s="1"/>
  <c r="AN143" i="1"/>
  <c r="AQ143" i="1"/>
  <c r="AT143" i="1"/>
  <c r="AU143" i="1"/>
  <c r="AX143" i="1"/>
  <c r="AY143" i="1"/>
  <c r="AZ143" i="1"/>
  <c r="BC143" i="1"/>
  <c r="BD143" i="1"/>
  <c r="BE143" i="1"/>
  <c r="AD144" i="1"/>
  <c r="AN144" i="1"/>
  <c r="AO144" i="1"/>
  <c r="AQ144" i="1"/>
  <c r="AU144" i="1"/>
  <c r="AX144" i="1"/>
  <c r="AY144" i="1"/>
  <c r="AZ144" i="1"/>
  <c r="BD144" i="1"/>
  <c r="AD145" i="1"/>
  <c r="AN145" i="1"/>
  <c r="AQ145" i="1"/>
  <c r="AU145" i="1"/>
  <c r="AX145" i="1"/>
  <c r="AY145" i="1"/>
  <c r="AZ145" i="1"/>
  <c r="BD145" i="1"/>
  <c r="AD146" i="1"/>
  <c r="I146" i="1" s="1"/>
  <c r="M146" i="1" s="1"/>
  <c r="AN146" i="1"/>
  <c r="AQ146" i="1"/>
  <c r="AU146" i="1"/>
  <c r="AX146" i="1"/>
  <c r="AY146" i="1"/>
  <c r="AZ146" i="1"/>
  <c r="BD146" i="1"/>
  <c r="AD147" i="1"/>
  <c r="I147" i="1" s="1"/>
  <c r="M147" i="1" s="1"/>
  <c r="AN147" i="1"/>
  <c r="AQ147" i="1"/>
  <c r="AU147" i="1"/>
  <c r="AX147" i="1"/>
  <c r="AY147" i="1"/>
  <c r="AZ147" i="1"/>
  <c r="BD147" i="1"/>
  <c r="Q148" i="1"/>
  <c r="R148" i="1"/>
  <c r="S148" i="1"/>
  <c r="W148" i="1"/>
  <c r="AD148" i="1"/>
  <c r="BC148" i="1" s="1"/>
  <c r="AN148" i="1"/>
  <c r="AQ148" i="1"/>
  <c r="AU148" i="1"/>
  <c r="AX148" i="1"/>
  <c r="AY148" i="1"/>
  <c r="AZ148" i="1"/>
  <c r="BD148" i="1"/>
  <c r="K149" i="1"/>
  <c r="AD149" i="1"/>
  <c r="BE149" i="1" s="1"/>
  <c r="AN149" i="1"/>
  <c r="AQ149" i="1"/>
  <c r="AU149" i="1"/>
  <c r="AX149" i="1"/>
  <c r="AY149" i="1"/>
  <c r="AZ149" i="1"/>
  <c r="BD149" i="1"/>
  <c r="AD150" i="1"/>
  <c r="AN150" i="1"/>
  <c r="AQ150" i="1"/>
  <c r="AU150" i="1"/>
  <c r="AX150" i="1"/>
  <c r="AY150" i="1"/>
  <c r="AZ150" i="1"/>
  <c r="BD150" i="1"/>
  <c r="G151" i="1"/>
  <c r="Q151" i="1"/>
  <c r="R151" i="1"/>
  <c r="S151" i="1"/>
  <c r="AC151" i="1"/>
  <c r="AD151" i="1"/>
  <c r="I151" i="1" s="1"/>
  <c r="AF151" i="1"/>
  <c r="AL151" i="1"/>
  <c r="AZ151" i="1" s="1"/>
  <c r="AN151" i="1"/>
  <c r="AO151" i="1"/>
  <c r="AP152" i="1" s="1"/>
  <c r="BF152" i="1" s="1"/>
  <c r="AQ151" i="1"/>
  <c r="K152" i="1"/>
  <c r="I152" i="1"/>
  <c r="AN152" i="1"/>
  <c r="AQ152" i="1"/>
  <c r="AT152" i="1"/>
  <c r="AU152" i="1"/>
  <c r="AX152" i="1"/>
  <c r="AY152" i="1"/>
  <c r="AZ152" i="1"/>
  <c r="BC152" i="1"/>
  <c r="BD152" i="1"/>
  <c r="BE152" i="1"/>
  <c r="I153" i="1"/>
  <c r="BB153" i="1" s="1"/>
  <c r="AN153" i="1"/>
  <c r="AQ153" i="1"/>
  <c r="AT153" i="1"/>
  <c r="AU153" i="1"/>
  <c r="AX153" i="1"/>
  <c r="AY153" i="1"/>
  <c r="AZ153" i="1"/>
  <c r="BC153" i="1"/>
  <c r="BD153" i="1"/>
  <c r="BE153" i="1"/>
  <c r="G154" i="1"/>
  <c r="Q154" i="1"/>
  <c r="R154" i="1"/>
  <c r="S154" i="1"/>
  <c r="AC154" i="1"/>
  <c r="AD154" i="1"/>
  <c r="AT154" i="1" s="1"/>
  <c r="AL154" i="1"/>
  <c r="AM154" i="1"/>
  <c r="AN154" i="1"/>
  <c r="AP154" i="1"/>
  <c r="AQ154" i="1"/>
  <c r="G155" i="1"/>
  <c r="BD155" i="1" s="1"/>
  <c r="Q155" i="1"/>
  <c r="R155" i="1"/>
  <c r="S155" i="1"/>
  <c r="AC155" i="1"/>
  <c r="AD155" i="1"/>
  <c r="AL155" i="1"/>
  <c r="AZ155" i="1" s="1"/>
  <c r="AN155" i="1"/>
  <c r="AP155" i="1"/>
  <c r="AQ155" i="1"/>
  <c r="G156" i="1"/>
  <c r="I156" i="1"/>
  <c r="AS156" i="1" s="1"/>
  <c r="AN156" i="1"/>
  <c r="AP156" i="1"/>
  <c r="BF156" i="1" s="1"/>
  <c r="AQ156" i="1"/>
  <c r="AT156" i="1"/>
  <c r="AY156" i="1"/>
  <c r="AZ156" i="1"/>
  <c r="BC156" i="1"/>
  <c r="BE156" i="1"/>
  <c r="G157" i="1"/>
  <c r="I157" i="1"/>
  <c r="AS157" i="1" s="1"/>
  <c r="AM157" i="1"/>
  <c r="AN157" i="1"/>
  <c r="AQ157" i="1"/>
  <c r="AT157" i="1"/>
  <c r="AY157" i="1"/>
  <c r="BC157" i="1"/>
  <c r="BE157" i="1"/>
  <c r="I158" i="1"/>
  <c r="M158" i="1" s="1"/>
  <c r="AN158" i="1"/>
  <c r="AQ158" i="1"/>
  <c r="AT158" i="1"/>
  <c r="AX158" i="1"/>
  <c r="AY158" i="1"/>
  <c r="AZ158" i="1"/>
  <c r="BC158" i="1"/>
  <c r="BD158" i="1"/>
  <c r="BE158" i="1"/>
  <c r="G159" i="1"/>
  <c r="Q159" i="1"/>
  <c r="R159" i="1"/>
  <c r="S159" i="1"/>
  <c r="W159" i="1"/>
  <c r="AC159" i="1"/>
  <c r="AY159" i="1" s="1"/>
  <c r="AD159" i="1"/>
  <c r="I159" i="1" s="1"/>
  <c r="AF159" i="1"/>
  <c r="AL159" i="1"/>
  <c r="AM159" i="1"/>
  <c r="AN159" i="1"/>
  <c r="AQ159" i="1"/>
  <c r="G160" i="1"/>
  <c r="Q160" i="1"/>
  <c r="R160" i="1"/>
  <c r="S160" i="1"/>
  <c r="W160" i="1"/>
  <c r="AC160" i="1"/>
  <c r="AD160" i="1"/>
  <c r="I160" i="1" s="1"/>
  <c r="AF160" i="1"/>
  <c r="AL160" i="1"/>
  <c r="AN160" i="1"/>
  <c r="AQ160" i="1"/>
  <c r="G161" i="1"/>
  <c r="Q161" i="1"/>
  <c r="R161" i="1"/>
  <c r="S161" i="1"/>
  <c r="W161" i="1"/>
  <c r="AC161" i="1"/>
  <c r="AY161" i="1" s="1"/>
  <c r="AD161" i="1"/>
  <c r="AF161" i="1"/>
  <c r="AL161" i="1"/>
  <c r="AN161" i="1"/>
  <c r="AO161" i="1"/>
  <c r="AQ161" i="1"/>
  <c r="AV162" i="1"/>
  <c r="G162" i="1"/>
  <c r="AX162" i="1" s="1"/>
  <c r="AC162" i="1"/>
  <c r="AD162" i="1"/>
  <c r="BC162" i="1" s="1"/>
  <c r="AN162" i="1"/>
  <c r="AQ162" i="1"/>
  <c r="AZ162" i="1"/>
  <c r="K163" i="1"/>
  <c r="AD163" i="1"/>
  <c r="BC163" i="1" s="1"/>
  <c r="AN163" i="1"/>
  <c r="AQ163" i="1"/>
  <c r="AX163" i="1"/>
  <c r="AY163" i="1"/>
  <c r="AZ163" i="1"/>
  <c r="BD163" i="1"/>
  <c r="K164" i="1"/>
  <c r="AD164" i="1"/>
  <c r="I164" i="1" s="1"/>
  <c r="M164" i="1" s="1"/>
  <c r="AN164" i="1"/>
  <c r="AQ164" i="1"/>
  <c r="AX164" i="1"/>
  <c r="AY164" i="1"/>
  <c r="AZ164" i="1"/>
  <c r="BD164" i="1"/>
  <c r="AR165" i="1"/>
  <c r="G165" i="1"/>
  <c r="AD165" i="1"/>
  <c r="AT165" i="1" s="1"/>
  <c r="AL165" i="1"/>
  <c r="AZ165" i="1" s="1"/>
  <c r="AN165" i="1"/>
  <c r="AO165" i="1"/>
  <c r="AQ165" i="1"/>
  <c r="AY165" i="1"/>
  <c r="G166" i="1"/>
  <c r="Q166" i="1"/>
  <c r="R166" i="1"/>
  <c r="S166" i="1"/>
  <c r="W166" i="1"/>
  <c r="AC166" i="1"/>
  <c r="AD166" i="1"/>
  <c r="AF166" i="1"/>
  <c r="AL166" i="1"/>
  <c r="AN166" i="1"/>
  <c r="AQ166" i="1"/>
  <c r="G167" i="1"/>
  <c r="Q167" i="1"/>
  <c r="R167" i="1"/>
  <c r="S167" i="1"/>
  <c r="AC167" i="1"/>
  <c r="AD167" i="1"/>
  <c r="AF167" i="1"/>
  <c r="AL167" i="1"/>
  <c r="AN167" i="1"/>
  <c r="AO167" i="1"/>
  <c r="AQ167" i="1"/>
  <c r="H168" i="1"/>
  <c r="G168" i="1" s="1"/>
  <c r="Q168" i="1"/>
  <c r="R168" i="1"/>
  <c r="S168" i="1"/>
  <c r="AC168" i="1"/>
  <c r="AD168" i="1"/>
  <c r="AF168" i="1"/>
  <c r="AL168" i="1"/>
  <c r="AN168" i="1"/>
  <c r="AQ168" i="1"/>
  <c r="G169" i="1"/>
  <c r="Q169" i="1"/>
  <c r="R169" i="1"/>
  <c r="S169" i="1"/>
  <c r="W169" i="1"/>
  <c r="AC169" i="1"/>
  <c r="AD169" i="1"/>
  <c r="AF169" i="1"/>
  <c r="AL169" i="1"/>
  <c r="AZ169" i="1" s="1"/>
  <c r="AN169" i="1"/>
  <c r="AQ169" i="1"/>
  <c r="H170" i="1"/>
  <c r="G170" i="1" s="1"/>
  <c r="AN170" i="1"/>
  <c r="AQ170" i="1"/>
  <c r="AY170" i="1"/>
  <c r="AZ170" i="1"/>
  <c r="AF171" i="1"/>
  <c r="AN171" i="1"/>
  <c r="AQ171" i="1"/>
  <c r="AU171" i="1"/>
  <c r="AX171" i="1"/>
  <c r="AY171" i="1"/>
  <c r="AZ171" i="1"/>
  <c r="BD171" i="1"/>
  <c r="G172" i="1"/>
  <c r="AU172" i="1" s="1"/>
  <c r="Q172" i="1"/>
  <c r="R172" i="1"/>
  <c r="S172" i="1"/>
  <c r="W172" i="1"/>
  <c r="AC172" i="1"/>
  <c r="AD172" i="1"/>
  <c r="AF172" i="1"/>
  <c r="AL172" i="1"/>
  <c r="AN172" i="1"/>
  <c r="AQ172" i="1"/>
  <c r="G173" i="1"/>
  <c r="AX173" i="1" s="1"/>
  <c r="W173" i="1"/>
  <c r="AC173" i="1"/>
  <c r="AY173" i="1" s="1"/>
  <c r="AD173" i="1"/>
  <c r="I173" i="1" s="1"/>
  <c r="AF173" i="1"/>
  <c r="AL173" i="1"/>
  <c r="AZ173" i="1" s="1"/>
  <c r="AN173" i="1"/>
  <c r="AQ173" i="1"/>
  <c r="G174" i="1"/>
  <c r="Q174" i="1"/>
  <c r="R174" i="1"/>
  <c r="S174" i="1"/>
  <c r="AC174" i="1"/>
  <c r="AD174" i="1"/>
  <c r="I174" i="1" s="1"/>
  <c r="AF174" i="1"/>
  <c r="AL174" i="1"/>
  <c r="AN174" i="1"/>
  <c r="AO174" i="1"/>
  <c r="AQ174" i="1"/>
  <c r="G175" i="1"/>
  <c r="H175" i="1"/>
  <c r="AC175" i="1"/>
  <c r="AD175" i="1"/>
  <c r="AF175" i="1"/>
  <c r="AL175" i="1"/>
  <c r="AZ175" i="1" s="1"/>
  <c r="AN175" i="1"/>
  <c r="AQ175" i="1"/>
  <c r="K176" i="1"/>
  <c r="AN176" i="1"/>
  <c r="AO176" i="1"/>
  <c r="AQ176" i="1"/>
  <c r="AX176" i="1"/>
  <c r="AY176" i="1"/>
  <c r="AZ176" i="1"/>
  <c r="BD176" i="1"/>
  <c r="AN177" i="1"/>
  <c r="AQ177" i="1"/>
  <c r="AX177" i="1"/>
  <c r="AY177" i="1"/>
  <c r="AZ177" i="1"/>
  <c r="BD177" i="1"/>
  <c r="AN178" i="1"/>
  <c r="AQ178" i="1"/>
  <c r="AX178" i="1"/>
  <c r="AY178" i="1"/>
  <c r="AZ178" i="1"/>
  <c r="BD178" i="1"/>
  <c r="AN179" i="1"/>
  <c r="AQ179" i="1"/>
  <c r="AX179" i="1"/>
  <c r="AY179" i="1"/>
  <c r="AZ179" i="1"/>
  <c r="BD179" i="1"/>
  <c r="G180" i="1"/>
  <c r="Q180" i="1"/>
  <c r="R180" i="1"/>
  <c r="S180" i="1"/>
  <c r="W180" i="1"/>
  <c r="AC180" i="1"/>
  <c r="AY180" i="1" s="1"/>
  <c r="AD180" i="1"/>
  <c r="AF180" i="1"/>
  <c r="AL180" i="1"/>
  <c r="AZ180" i="1" s="1"/>
  <c r="AN180" i="1"/>
  <c r="AQ180" i="1"/>
  <c r="G181" i="1"/>
  <c r="Q181" i="1"/>
  <c r="R181" i="1"/>
  <c r="S181" i="1"/>
  <c r="AC181" i="1"/>
  <c r="AD181" i="1"/>
  <c r="I181" i="1" s="1"/>
  <c r="AF181" i="1"/>
  <c r="AL181" i="1"/>
  <c r="AN181" i="1"/>
  <c r="AO181" i="1"/>
  <c r="AP180" i="1" s="1"/>
  <c r="AQ181" i="1"/>
  <c r="G182" i="1"/>
  <c r="AX182" i="1" s="1"/>
  <c r="AF182" i="1"/>
  <c r="AL182" i="1"/>
  <c r="AN182" i="1"/>
  <c r="AQ182" i="1"/>
  <c r="AY182" i="1"/>
  <c r="AV183" i="1"/>
  <c r="AN183" i="1"/>
  <c r="AQ183" i="1"/>
  <c r="AX183" i="1"/>
  <c r="AY183" i="1"/>
  <c r="AZ183" i="1"/>
  <c r="BD183" i="1"/>
  <c r="K184" i="1"/>
  <c r="AN184" i="1"/>
  <c r="AQ184" i="1"/>
  <c r="AX184" i="1"/>
  <c r="AY184" i="1"/>
  <c r="AZ184" i="1"/>
  <c r="BD184" i="1"/>
  <c r="K185" i="1"/>
  <c r="AN185" i="1"/>
  <c r="AQ185" i="1"/>
  <c r="AX185" i="1"/>
  <c r="AY185" i="1"/>
  <c r="AZ185" i="1"/>
  <c r="BD185" i="1"/>
  <c r="AN186" i="1"/>
  <c r="AQ186" i="1"/>
  <c r="AX186" i="1"/>
  <c r="AY186" i="1"/>
  <c r="AZ186" i="1"/>
  <c r="BD186" i="1"/>
  <c r="AN187" i="1"/>
  <c r="AQ187" i="1"/>
  <c r="AX187" i="1"/>
  <c r="AY187" i="1"/>
  <c r="AZ187" i="1"/>
  <c r="BD187" i="1"/>
  <c r="G188" i="1"/>
  <c r="AX188" i="1" s="1"/>
  <c r="Q188" i="1"/>
  <c r="R188" i="1"/>
  <c r="S188" i="1"/>
  <c r="W188" i="1"/>
  <c r="AC188" i="1"/>
  <c r="AY188" i="1" s="1"/>
  <c r="AD188" i="1"/>
  <c r="AF188" i="1"/>
  <c r="AL188" i="1"/>
  <c r="AN188" i="1"/>
  <c r="AO188" i="1"/>
  <c r="AP184" i="1" s="1"/>
  <c r="AQ188" i="1"/>
  <c r="G189" i="1"/>
  <c r="AF189" i="1"/>
  <c r="AN189" i="1"/>
  <c r="AQ189" i="1"/>
  <c r="AY189" i="1"/>
  <c r="AZ189" i="1"/>
  <c r="K190" i="1"/>
  <c r="AF190" i="1"/>
  <c r="AN190" i="1"/>
  <c r="AQ190" i="1"/>
  <c r="AX190" i="1"/>
  <c r="AY190" i="1"/>
  <c r="AZ190" i="1"/>
  <c r="BD190" i="1"/>
  <c r="AD191" i="1"/>
  <c r="AN191" i="1"/>
  <c r="AQ191" i="1"/>
  <c r="AU191" i="1"/>
  <c r="AX191" i="1"/>
  <c r="AY191" i="1"/>
  <c r="AZ191" i="1"/>
  <c r="BD191" i="1"/>
  <c r="AD192" i="1"/>
  <c r="AT192" i="1" s="1"/>
  <c r="AN192" i="1"/>
  <c r="AQ192" i="1"/>
  <c r="AU192" i="1"/>
  <c r="AX192" i="1"/>
  <c r="AY192" i="1"/>
  <c r="AZ192" i="1"/>
  <c r="BD192" i="1"/>
  <c r="G193" i="1"/>
  <c r="Q193" i="1"/>
  <c r="R193" i="1"/>
  <c r="S193" i="1"/>
  <c r="W193" i="1"/>
  <c r="AC193" i="1"/>
  <c r="AD193" i="1"/>
  <c r="BC193" i="1" s="1"/>
  <c r="AL193" i="1"/>
  <c r="AZ193" i="1" s="1"/>
  <c r="AN193" i="1"/>
  <c r="AQ193" i="1"/>
  <c r="G194" i="1"/>
  <c r="Q194" i="1"/>
  <c r="R194" i="1"/>
  <c r="S194" i="1"/>
  <c r="W194" i="1"/>
  <c r="AC194" i="1"/>
  <c r="AD194" i="1"/>
  <c r="I194" i="1" s="1"/>
  <c r="AL194" i="1"/>
  <c r="AN194" i="1"/>
  <c r="AO194" i="1"/>
  <c r="AQ194" i="1"/>
  <c r="AN195" i="1"/>
  <c r="AQ195" i="1"/>
  <c r="AU195" i="1"/>
  <c r="AX195" i="1"/>
  <c r="AY195" i="1"/>
  <c r="AZ195" i="1"/>
  <c r="BD195" i="1"/>
  <c r="G196" i="1"/>
  <c r="AC196" i="1"/>
  <c r="AD196" i="1"/>
  <c r="AT196" i="1" s="1"/>
  <c r="AL196" i="1"/>
  <c r="AZ196" i="1" s="1"/>
  <c r="AN196" i="1"/>
  <c r="AQ196" i="1"/>
  <c r="G197" i="1"/>
  <c r="AC197" i="1"/>
  <c r="AL197" i="1"/>
  <c r="AZ197" i="1" s="1"/>
  <c r="AN197" i="1"/>
  <c r="AP197" i="1"/>
  <c r="AQ197" i="1"/>
  <c r="BA198" i="1"/>
  <c r="AN198" i="1"/>
  <c r="AP198" i="1"/>
  <c r="AQ198" i="1"/>
  <c r="AU198" i="1"/>
  <c r="AX198" i="1"/>
  <c r="AY198" i="1"/>
  <c r="AZ198" i="1"/>
  <c r="BD198" i="1"/>
  <c r="K199" i="1"/>
  <c r="AN199" i="1"/>
  <c r="AP199" i="1"/>
  <c r="AQ199" i="1"/>
  <c r="AU199" i="1"/>
  <c r="AX199" i="1"/>
  <c r="AY199" i="1"/>
  <c r="AZ199" i="1"/>
  <c r="BD199" i="1"/>
  <c r="G200" i="1"/>
  <c r="Q200" i="1"/>
  <c r="R200" i="1"/>
  <c r="S200" i="1"/>
  <c r="AC200" i="1"/>
  <c r="AD200" i="1"/>
  <c r="BE200" i="1" s="1"/>
  <c r="AL200" i="1"/>
  <c r="AZ200" i="1" s="1"/>
  <c r="AN200" i="1"/>
  <c r="AQ200" i="1"/>
  <c r="G201" i="1"/>
  <c r="Q201" i="1"/>
  <c r="R201" i="1"/>
  <c r="S201" i="1"/>
  <c r="W201" i="1"/>
  <c r="AC201" i="1"/>
  <c r="AD201" i="1"/>
  <c r="BE201" i="1" s="1"/>
  <c r="AL201" i="1"/>
  <c r="AN201" i="1"/>
  <c r="AQ201" i="1"/>
  <c r="G202" i="1"/>
  <c r="AX202" i="1" s="1"/>
  <c r="Q202" i="1"/>
  <c r="R202" i="1"/>
  <c r="S202" i="1"/>
  <c r="W202" i="1"/>
  <c r="AC202" i="1"/>
  <c r="AD202" i="1"/>
  <c r="BE202" i="1" s="1"/>
  <c r="AL202" i="1"/>
  <c r="AN202" i="1"/>
  <c r="AQ202" i="1"/>
  <c r="G203" i="1"/>
  <c r="BD203" i="1" s="1"/>
  <c r="Q203" i="1"/>
  <c r="R203" i="1"/>
  <c r="S203" i="1"/>
  <c r="W203" i="1"/>
  <c r="AC203" i="1"/>
  <c r="AY203" i="1" s="1"/>
  <c r="AD203" i="1"/>
  <c r="AL203" i="1"/>
  <c r="AZ203" i="1" s="1"/>
  <c r="AN203" i="1"/>
  <c r="AQ203" i="1"/>
  <c r="G204" i="1"/>
  <c r="BD204" i="1" s="1"/>
  <c r="Q204" i="1"/>
  <c r="R204" i="1"/>
  <c r="S204" i="1"/>
  <c r="W204" i="1"/>
  <c r="AC204" i="1"/>
  <c r="AY204" i="1" s="1"/>
  <c r="AD204" i="1"/>
  <c r="AT204" i="1" s="1"/>
  <c r="AL204" i="1"/>
  <c r="AZ204" i="1" s="1"/>
  <c r="AN204" i="1"/>
  <c r="AO204" i="1"/>
  <c r="AQ204" i="1"/>
  <c r="AF205" i="1"/>
  <c r="AN205" i="1"/>
  <c r="AQ205" i="1"/>
  <c r="AU205" i="1"/>
  <c r="AX205" i="1"/>
  <c r="AY205" i="1"/>
  <c r="AZ205" i="1"/>
  <c r="BD205" i="1"/>
  <c r="AF206" i="1"/>
  <c r="AN206" i="1"/>
  <c r="AQ206" i="1"/>
  <c r="AU206" i="1"/>
  <c r="AX206" i="1"/>
  <c r="AY206" i="1"/>
  <c r="AZ206" i="1"/>
  <c r="BD206" i="1"/>
  <c r="G207" i="1"/>
  <c r="AX207" i="1" s="1"/>
  <c r="Q207" i="1"/>
  <c r="R207" i="1"/>
  <c r="S207" i="1"/>
  <c r="W207" i="1"/>
  <c r="AC207" i="1"/>
  <c r="AD207" i="1"/>
  <c r="AL207" i="1"/>
  <c r="AZ207" i="1" s="1"/>
  <c r="AN207" i="1"/>
  <c r="AQ207" i="1"/>
  <c r="G208" i="1"/>
  <c r="Q208" i="1"/>
  <c r="R208" i="1"/>
  <c r="S208" i="1"/>
  <c r="W208" i="1"/>
  <c r="AC208" i="1"/>
  <c r="AD208" i="1"/>
  <c r="AL208" i="1"/>
  <c r="AZ208" i="1" s="1"/>
  <c r="AN208" i="1"/>
  <c r="AQ208" i="1"/>
  <c r="G209" i="1"/>
  <c r="BD209" i="1" s="1"/>
  <c r="Q209" i="1"/>
  <c r="R209" i="1"/>
  <c r="S209" i="1"/>
  <c r="W209" i="1"/>
  <c r="AC209" i="1"/>
  <c r="AD209" i="1"/>
  <c r="AT209" i="1" s="1"/>
  <c r="AL209" i="1"/>
  <c r="AZ209" i="1" s="1"/>
  <c r="AN209" i="1"/>
  <c r="AO209" i="1"/>
  <c r="AP209" i="1" s="1"/>
  <c r="AQ209" i="1"/>
  <c r="G210" i="1"/>
  <c r="AU210" i="1" s="1"/>
  <c r="Q210" i="1"/>
  <c r="R210" i="1"/>
  <c r="S210" i="1"/>
  <c r="W210" i="1"/>
  <c r="AC210" i="1"/>
  <c r="AD210" i="1"/>
  <c r="I210" i="1" s="1"/>
  <c r="AL210" i="1"/>
  <c r="AZ210" i="1" s="1"/>
  <c r="AN210" i="1"/>
  <c r="AQ210" i="1"/>
  <c r="AV211" i="1"/>
  <c r="G211" i="1"/>
  <c r="AX211" i="1" s="1"/>
  <c r="I211" i="1"/>
  <c r="AC211" i="1"/>
  <c r="AN211" i="1"/>
  <c r="AQ211" i="1"/>
  <c r="AT211" i="1"/>
  <c r="AZ211" i="1"/>
  <c r="BE211" i="1"/>
  <c r="I212" i="1"/>
  <c r="AS212" i="1" s="1"/>
  <c r="AN212" i="1"/>
  <c r="AQ212" i="1"/>
  <c r="AT212" i="1"/>
  <c r="AU212" i="1"/>
  <c r="AX212" i="1"/>
  <c r="AY212" i="1"/>
  <c r="AZ212" i="1"/>
  <c r="BD212" i="1"/>
  <c r="BE212" i="1"/>
  <c r="K213" i="1"/>
  <c r="I213" i="1"/>
  <c r="AN213" i="1"/>
  <c r="AQ213" i="1"/>
  <c r="AT213" i="1"/>
  <c r="AU213" i="1"/>
  <c r="AX213" i="1"/>
  <c r="AY213" i="1"/>
  <c r="AZ213" i="1"/>
  <c r="BD213" i="1"/>
  <c r="BE213" i="1"/>
  <c r="G214" i="1"/>
  <c r="AC214" i="1"/>
  <c r="AY214" i="1" s="1"/>
  <c r="AD214" i="1"/>
  <c r="AL214" i="1"/>
  <c r="AN214" i="1"/>
  <c r="AQ214" i="1"/>
  <c r="G215" i="1"/>
  <c r="BD215" i="1" s="1"/>
  <c r="Q215" i="1"/>
  <c r="R215" i="1"/>
  <c r="S215" i="1"/>
  <c r="W215" i="1"/>
  <c r="AC215" i="1"/>
  <c r="AY215" i="1" s="1"/>
  <c r="AD215" i="1"/>
  <c r="BC215" i="1" s="1"/>
  <c r="AL215" i="1"/>
  <c r="AZ215" i="1" s="1"/>
  <c r="AN215" i="1"/>
  <c r="AO215" i="1"/>
  <c r="AQ215" i="1"/>
  <c r="G216" i="1"/>
  <c r="BD216" i="1" s="1"/>
  <c r="Q216" i="1"/>
  <c r="R216" i="1"/>
  <c r="S216" i="1"/>
  <c r="W216" i="1"/>
  <c r="AC216" i="1"/>
  <c r="AD216" i="1"/>
  <c r="AE216" i="1"/>
  <c r="AL216" i="1" s="1"/>
  <c r="AN216" i="1"/>
  <c r="AO216" i="1"/>
  <c r="AQ216" i="1"/>
  <c r="I217" i="1"/>
  <c r="AW217" i="1" s="1"/>
  <c r="AN217" i="1"/>
  <c r="AQ217" i="1"/>
  <c r="AT217" i="1"/>
  <c r="AU217" i="1"/>
  <c r="AX217" i="1"/>
  <c r="AY217" i="1"/>
  <c r="AZ217" i="1"/>
  <c r="BD217" i="1"/>
  <c r="BE217" i="1"/>
  <c r="G218" i="1"/>
  <c r="I218" i="1"/>
  <c r="AC218" i="1"/>
  <c r="AL218" i="1"/>
  <c r="AN218" i="1"/>
  <c r="AQ218" i="1"/>
  <c r="AT218" i="1"/>
  <c r="BC218" i="1"/>
  <c r="BE218" i="1"/>
  <c r="I219" i="1"/>
  <c r="AN219" i="1"/>
  <c r="AQ219" i="1"/>
  <c r="AT219" i="1"/>
  <c r="AU219" i="1"/>
  <c r="AX219" i="1"/>
  <c r="AY219" i="1"/>
  <c r="AZ219" i="1"/>
  <c r="BD219" i="1"/>
  <c r="BE219" i="1"/>
  <c r="H220" i="1"/>
  <c r="N220" i="1"/>
  <c r="Q220" i="1"/>
  <c r="R220" i="1"/>
  <c r="S220" i="1"/>
  <c r="T220" i="1"/>
  <c r="AC220" i="1" s="1"/>
  <c r="W220" i="1"/>
  <c r="AD220" i="1"/>
  <c r="I220" i="1" s="1"/>
  <c r="AE220" i="1"/>
  <c r="AL220" i="1" s="1"/>
  <c r="AM220" i="1"/>
  <c r="AN220" i="1"/>
  <c r="AQ220" i="1"/>
  <c r="H221" i="1"/>
  <c r="I221" i="1"/>
  <c r="AS221" i="1" s="1"/>
  <c r="N221" i="1"/>
  <c r="Q221" i="1"/>
  <c r="R221" i="1"/>
  <c r="S221" i="1"/>
  <c r="T221" i="1"/>
  <c r="AC221" i="1" s="1"/>
  <c r="W221" i="1"/>
  <c r="AE221" i="1"/>
  <c r="AL221" i="1" s="1"/>
  <c r="AM221" i="1"/>
  <c r="AN221" i="1"/>
  <c r="AQ221" i="1"/>
  <c r="AT221" i="1"/>
  <c r="BC221" i="1"/>
  <c r="BE221" i="1"/>
  <c r="G222" i="1"/>
  <c r="AX222" i="1" s="1"/>
  <c r="Q222" i="1"/>
  <c r="R222" i="1"/>
  <c r="S222" i="1"/>
  <c r="W222" i="1"/>
  <c r="AC222" i="1"/>
  <c r="AY222" i="1" s="1"/>
  <c r="AD222" i="1"/>
  <c r="AL222" i="1"/>
  <c r="AN222" i="1"/>
  <c r="AQ222" i="1"/>
  <c r="G223" i="1"/>
  <c r="AX223" i="1" s="1"/>
  <c r="Q223" i="1"/>
  <c r="R223" i="1"/>
  <c r="S223" i="1"/>
  <c r="T223" i="1"/>
  <c r="AC223" i="1" s="1"/>
  <c r="W223" i="1"/>
  <c r="AD223" i="1"/>
  <c r="BE223" i="1" s="1"/>
  <c r="AE223" i="1"/>
  <c r="AL223" i="1" s="1"/>
  <c r="AZ223" i="1" s="1"/>
  <c r="AN223" i="1"/>
  <c r="AQ223" i="1"/>
  <c r="I224" i="1"/>
  <c r="Q224" i="1"/>
  <c r="R224" i="1"/>
  <c r="S224" i="1"/>
  <c r="W224" i="1"/>
  <c r="AL224" i="1"/>
  <c r="AZ224" i="1" s="1"/>
  <c r="AN224" i="1"/>
  <c r="AO224" i="1"/>
  <c r="AP223" i="1" s="1"/>
  <c r="AQ224" i="1"/>
  <c r="AT224" i="1"/>
  <c r="AU224" i="1"/>
  <c r="AX224" i="1"/>
  <c r="AY224" i="1"/>
  <c r="BD224" i="1"/>
  <c r="BE224" i="1"/>
  <c r="H225" i="1"/>
  <c r="N225" i="1"/>
  <c r="Q225" i="1"/>
  <c r="R225" i="1"/>
  <c r="S225" i="1"/>
  <c r="T225" i="1"/>
  <c r="AC225" i="1" s="1"/>
  <c r="AD225" i="1"/>
  <c r="AE225" i="1"/>
  <c r="AL225" i="1" s="1"/>
  <c r="AM225" i="1"/>
  <c r="AN225" i="1"/>
  <c r="AQ225" i="1"/>
  <c r="K226" i="1"/>
  <c r="I226" i="1"/>
  <c r="AC226" i="1"/>
  <c r="AY226" i="1" s="1"/>
  <c r="AL226" i="1"/>
  <c r="AN226" i="1"/>
  <c r="AQ226" i="1"/>
  <c r="AT226" i="1"/>
  <c r="AU226" i="1"/>
  <c r="AX226" i="1"/>
  <c r="BD226" i="1"/>
  <c r="BE226" i="1"/>
  <c r="I227" i="1"/>
  <c r="M227" i="1" s="1"/>
  <c r="AC227" i="1"/>
  <c r="AL227" i="1"/>
  <c r="AN227" i="1"/>
  <c r="AQ227" i="1"/>
  <c r="AT227" i="1"/>
  <c r="AU227" i="1"/>
  <c r="AX227" i="1"/>
  <c r="BD227" i="1"/>
  <c r="BE227" i="1"/>
  <c r="G228" i="1"/>
  <c r="AU228" i="1" s="1"/>
  <c r="Q228" i="1"/>
  <c r="R228" i="1"/>
  <c r="S228" i="1"/>
  <c r="W228" i="1"/>
  <c r="AC228" i="1"/>
  <c r="AD228" i="1"/>
  <c r="AT228" i="1" s="1"/>
  <c r="AL228" i="1"/>
  <c r="AZ228" i="1" s="1"/>
  <c r="AN228" i="1"/>
  <c r="AQ228" i="1"/>
  <c r="H229" i="1"/>
  <c r="I229" i="1"/>
  <c r="N229" i="1"/>
  <c r="Q229" i="1"/>
  <c r="R229" i="1"/>
  <c r="S229" i="1"/>
  <c r="W229" i="1"/>
  <c r="AC229" i="1"/>
  <c r="AM229" i="1"/>
  <c r="AN229" i="1"/>
  <c r="AO229" i="1"/>
  <c r="AQ229" i="1"/>
  <c r="AT229" i="1"/>
  <c r="BE229" i="1"/>
  <c r="G230" i="1"/>
  <c r="BD230" i="1" s="1"/>
  <c r="Q230" i="1"/>
  <c r="R230" i="1"/>
  <c r="S230" i="1"/>
  <c r="W230" i="1"/>
  <c r="AC230" i="1"/>
  <c r="AD230" i="1"/>
  <c r="BC230" i="1" s="1"/>
  <c r="AL230" i="1"/>
  <c r="AZ230" i="1" s="1"/>
  <c r="AN230" i="1"/>
  <c r="AQ230" i="1"/>
  <c r="G231" i="1"/>
  <c r="BD231" i="1" s="1"/>
  <c r="Q231" i="1"/>
  <c r="R231" i="1"/>
  <c r="S231" i="1"/>
  <c r="W231" i="1"/>
  <c r="AC231" i="1"/>
  <c r="AD231" i="1"/>
  <c r="AL231" i="1"/>
  <c r="AN231" i="1"/>
  <c r="AQ231" i="1"/>
  <c r="G232" i="1"/>
  <c r="Q232" i="1"/>
  <c r="R232" i="1"/>
  <c r="S232" i="1"/>
  <c r="W232" i="1"/>
  <c r="AC232" i="1"/>
  <c r="AY232" i="1" s="1"/>
  <c r="AD232" i="1"/>
  <c r="AL232" i="1"/>
  <c r="AZ232" i="1" s="1"/>
  <c r="AN232" i="1"/>
  <c r="AQ232" i="1"/>
  <c r="I233" i="1"/>
  <c r="M233" i="1" s="1"/>
  <c r="AN233" i="1"/>
  <c r="AQ233" i="1"/>
  <c r="AT233" i="1"/>
  <c r="AU233" i="1"/>
  <c r="AY233" i="1"/>
  <c r="AZ233" i="1"/>
  <c r="BD233" i="1"/>
  <c r="BE233" i="1"/>
  <c r="K234" i="1"/>
  <c r="I234" i="1"/>
  <c r="AN234" i="1"/>
  <c r="AQ234" i="1"/>
  <c r="AT234" i="1"/>
  <c r="AU234" i="1"/>
  <c r="AY234" i="1"/>
  <c r="AZ234" i="1"/>
  <c r="BD234" i="1"/>
  <c r="BE234" i="1"/>
  <c r="G235" i="1"/>
  <c r="Q235" i="1"/>
  <c r="R235" i="1"/>
  <c r="S235" i="1"/>
  <c r="AD235" i="1"/>
  <c r="BE235" i="1" s="1"/>
  <c r="AN235" i="1"/>
  <c r="AQ235" i="1"/>
  <c r="AY235" i="1"/>
  <c r="AZ235" i="1"/>
  <c r="H236" i="1"/>
  <c r="I236" i="1"/>
  <c r="N236" i="1"/>
  <c r="Q236" i="1"/>
  <c r="R236" i="1"/>
  <c r="S236" i="1"/>
  <c r="T236" i="1"/>
  <c r="AC236" i="1" s="1"/>
  <c r="W236" i="1"/>
  <c r="AE236" i="1"/>
  <c r="AJ236" i="1"/>
  <c r="AL236" i="1"/>
  <c r="AM236" i="1"/>
  <c r="AN236" i="1"/>
  <c r="AO236" i="1"/>
  <c r="AQ236" i="1"/>
  <c r="AT236" i="1"/>
  <c r="BC236" i="1"/>
  <c r="H237" i="1"/>
  <c r="N237" i="1"/>
  <c r="Q237" i="1"/>
  <c r="R237" i="1"/>
  <c r="S237" i="1"/>
  <c r="T237" i="1"/>
  <c r="AC237" i="1" s="1"/>
  <c r="U237" i="1"/>
  <c r="W237" i="1" s="1"/>
  <c r="AD237" i="1"/>
  <c r="AE237" i="1"/>
  <c r="AM237" i="1"/>
  <c r="AN237" i="1"/>
  <c r="AQ237" i="1"/>
  <c r="H238" i="1"/>
  <c r="N238" i="1"/>
  <c r="Q238" i="1"/>
  <c r="R238" i="1"/>
  <c r="S238" i="1"/>
  <c r="T238" i="1"/>
  <c r="AC238" i="1" s="1"/>
  <c r="U238" i="1"/>
  <c r="W238" i="1" s="1"/>
  <c r="AD238" i="1"/>
  <c r="AT238" i="1" s="1"/>
  <c r="AE238" i="1"/>
  <c r="AL238" i="1" s="1"/>
  <c r="AM238" i="1"/>
  <c r="AN238" i="1"/>
  <c r="AQ238" i="1"/>
  <c r="H239" i="1"/>
  <c r="N239" i="1"/>
  <c r="Q239" i="1"/>
  <c r="R239" i="1"/>
  <c r="S239" i="1"/>
  <c r="T239" i="1"/>
  <c r="AC239" i="1" s="1"/>
  <c r="U239" i="1"/>
  <c r="W239" i="1" s="1"/>
  <c r="AD239" i="1"/>
  <c r="AE239" i="1"/>
  <c r="AL239" i="1" s="1"/>
  <c r="AM239" i="1"/>
  <c r="AN239" i="1"/>
  <c r="AP239" i="1"/>
  <c r="AQ239" i="1"/>
  <c r="I240" i="1"/>
  <c r="AN240" i="1"/>
  <c r="AP240" i="1"/>
  <c r="BF240" i="1" s="1"/>
  <c r="AQ240" i="1"/>
  <c r="AT240" i="1"/>
  <c r="AU240" i="1"/>
  <c r="AX240" i="1"/>
  <c r="AY240" i="1"/>
  <c r="AZ240" i="1"/>
  <c r="BC240" i="1"/>
  <c r="BD240" i="1"/>
  <c r="BE240" i="1"/>
  <c r="I241" i="1"/>
  <c r="AN241" i="1"/>
  <c r="AP241" i="1"/>
  <c r="BF241" i="1" s="1"/>
  <c r="AT241" i="1"/>
  <c r="AU241" i="1"/>
  <c r="AX241" i="1"/>
  <c r="AY241" i="1"/>
  <c r="AZ241" i="1"/>
  <c r="BC241" i="1"/>
  <c r="BD241" i="1"/>
  <c r="BE241" i="1"/>
  <c r="H242" i="1"/>
  <c r="N242" i="1"/>
  <c r="Q242" i="1"/>
  <c r="R242" i="1"/>
  <c r="S242" i="1"/>
  <c r="T242" i="1"/>
  <c r="AC242" i="1" s="1"/>
  <c r="U242" i="1"/>
  <c r="W242" i="1" s="1"/>
  <c r="AD242" i="1"/>
  <c r="AE242" i="1"/>
  <c r="AL242" i="1" s="1"/>
  <c r="AM242" i="1"/>
  <c r="AN242" i="1"/>
  <c r="AP242" i="1"/>
  <c r="H243" i="1"/>
  <c r="N243" i="1"/>
  <c r="Q243" i="1"/>
  <c r="R243" i="1"/>
  <c r="S243" i="1"/>
  <c r="T243" i="1"/>
  <c r="AC243" i="1" s="1"/>
  <c r="W243" i="1"/>
  <c r="AD243" i="1"/>
  <c r="AE243" i="1"/>
  <c r="AL243" i="1" s="1"/>
  <c r="AM243" i="1"/>
  <c r="AN243" i="1"/>
  <c r="AP243" i="1"/>
  <c r="H244" i="1"/>
  <c r="N244" i="1"/>
  <c r="Q244" i="1"/>
  <c r="R244" i="1"/>
  <c r="S244" i="1"/>
  <c r="T244" i="1"/>
  <c r="AC244" i="1" s="1"/>
  <c r="AD244" i="1"/>
  <c r="AE244" i="1"/>
  <c r="AL244" i="1" s="1"/>
  <c r="AM244" i="1"/>
  <c r="AN244" i="1"/>
  <c r="AP244" i="1"/>
  <c r="I245" i="1"/>
  <c r="AL245" i="1"/>
  <c r="AM245" i="1"/>
  <c r="AX245" i="1" s="1"/>
  <c r="AN245" i="1"/>
  <c r="AP245" i="1"/>
  <c r="BF245" i="1" s="1"/>
  <c r="AT245" i="1"/>
  <c r="AY245" i="1"/>
  <c r="BC245" i="1"/>
  <c r="BE245" i="1"/>
  <c r="I246" i="1"/>
  <c r="M246" i="1" s="1"/>
  <c r="Q246" i="1"/>
  <c r="R246" i="1"/>
  <c r="S246" i="1"/>
  <c r="W246" i="1"/>
  <c r="AN246" i="1"/>
  <c r="AP246" i="1"/>
  <c r="BF246" i="1" s="1"/>
  <c r="AT246" i="1"/>
  <c r="AU246" i="1"/>
  <c r="AX246" i="1"/>
  <c r="AY246" i="1"/>
  <c r="AZ246" i="1"/>
  <c r="BC246" i="1"/>
  <c r="BD246" i="1"/>
  <c r="BE246" i="1"/>
  <c r="I247" i="1"/>
  <c r="M247" i="1" s="1"/>
  <c r="AN247" i="1"/>
  <c r="AP247" i="1"/>
  <c r="BF247" i="1" s="1"/>
  <c r="AT247" i="1"/>
  <c r="AU247" i="1"/>
  <c r="AX247" i="1"/>
  <c r="AY247" i="1"/>
  <c r="AZ247" i="1"/>
  <c r="BC247" i="1"/>
  <c r="BD247" i="1"/>
  <c r="BE247" i="1"/>
  <c r="I248" i="1"/>
  <c r="BB248" i="1" s="1"/>
  <c r="AN248" i="1"/>
  <c r="AP248" i="1"/>
  <c r="BF248" i="1" s="1"/>
  <c r="AT248" i="1"/>
  <c r="AU248" i="1"/>
  <c r="AX248" i="1"/>
  <c r="AY248" i="1"/>
  <c r="AZ248" i="1"/>
  <c r="BC248" i="1"/>
  <c r="BD248" i="1"/>
  <c r="BE248" i="1"/>
  <c r="H249" i="1"/>
  <c r="N249" i="1"/>
  <c r="Q249" i="1"/>
  <c r="R249" i="1"/>
  <c r="S249" i="1"/>
  <c r="T249" i="1"/>
  <c r="AC249" i="1" s="1"/>
  <c r="W249" i="1"/>
  <c r="AD249" i="1"/>
  <c r="AE249" i="1"/>
  <c r="AL249" i="1" s="1"/>
  <c r="AM249" i="1"/>
  <c r="AN249" i="1"/>
  <c r="AP249" i="1"/>
  <c r="I250" i="1"/>
  <c r="AS250" i="1" s="1"/>
  <c r="AN250" i="1"/>
  <c r="AP250" i="1"/>
  <c r="BF250" i="1" s="1"/>
  <c r="AT250" i="1"/>
  <c r="AU250" i="1"/>
  <c r="AX250" i="1"/>
  <c r="AY250" i="1"/>
  <c r="AZ250" i="1"/>
  <c r="BD250" i="1"/>
  <c r="BE250" i="1"/>
  <c r="H251" i="1"/>
  <c r="N251" i="1"/>
  <c r="Q251" i="1"/>
  <c r="R251" i="1"/>
  <c r="S251" i="1"/>
  <c r="T251" i="1"/>
  <c r="AC251" i="1" s="1"/>
  <c r="W251" i="1"/>
  <c r="AD251" i="1"/>
  <c r="I251" i="1" s="1"/>
  <c r="AE251" i="1"/>
  <c r="AL251" i="1" s="1"/>
  <c r="AF251" i="1"/>
  <c r="AM251" i="1"/>
  <c r="AN251" i="1"/>
  <c r="AP251" i="1"/>
  <c r="H252" i="1"/>
  <c r="N252" i="1"/>
  <c r="Q252" i="1"/>
  <c r="R252" i="1"/>
  <c r="S252" i="1"/>
  <c r="T252" i="1"/>
  <c r="AC252" i="1" s="1"/>
  <c r="W252" i="1"/>
  <c r="AD252" i="1"/>
  <c r="I252" i="1" s="1"/>
  <c r="AE252" i="1"/>
  <c r="AL252" i="1" s="1"/>
  <c r="AF252" i="1"/>
  <c r="AM252" i="1"/>
  <c r="AN252" i="1"/>
  <c r="AP252" i="1"/>
  <c r="H253" i="1"/>
  <c r="N253" i="1"/>
  <c r="Q253" i="1"/>
  <c r="R253" i="1"/>
  <c r="S253" i="1"/>
  <c r="T253" i="1"/>
  <c r="AC253" i="1" s="1"/>
  <c r="W253" i="1"/>
  <c r="AD253" i="1"/>
  <c r="AE253" i="1"/>
  <c r="AL253" i="1" s="1"/>
  <c r="AF253" i="1"/>
  <c r="AM253" i="1"/>
  <c r="AN253" i="1"/>
  <c r="AP253" i="1"/>
  <c r="K254" i="1"/>
  <c r="I254" i="1"/>
  <c r="M254" i="1" s="1"/>
  <c r="AN254" i="1"/>
  <c r="AP254" i="1"/>
  <c r="BF254" i="1" s="1"/>
  <c r="AT254" i="1"/>
  <c r="AU254" i="1"/>
  <c r="AX254" i="1"/>
  <c r="AY254" i="1"/>
  <c r="AZ254" i="1"/>
  <c r="BD254" i="1"/>
  <c r="BE254" i="1"/>
  <c r="K255" i="1"/>
  <c r="I255" i="1"/>
  <c r="AN255" i="1"/>
  <c r="AP255" i="1"/>
  <c r="BF255" i="1" s="1"/>
  <c r="AT255" i="1"/>
  <c r="AU255" i="1"/>
  <c r="AX255" i="1"/>
  <c r="AY255" i="1"/>
  <c r="AZ255" i="1"/>
  <c r="BD255" i="1"/>
  <c r="BE255" i="1"/>
  <c r="H256" i="1"/>
  <c r="N256" i="1"/>
  <c r="Q256" i="1"/>
  <c r="R256" i="1"/>
  <c r="S256" i="1"/>
  <c r="T256" i="1"/>
  <c r="AC256" i="1" s="1"/>
  <c r="W256" i="1"/>
  <c r="AD256" i="1"/>
  <c r="I256" i="1" s="1"/>
  <c r="M256" i="1" s="1"/>
  <c r="AE256" i="1"/>
  <c r="AL256" i="1" s="1"/>
  <c r="AM256" i="1"/>
  <c r="AN256" i="1"/>
  <c r="AP256" i="1"/>
  <c r="H257" i="1"/>
  <c r="N257" i="1"/>
  <c r="Q257" i="1"/>
  <c r="R257" i="1"/>
  <c r="S257" i="1"/>
  <c r="T257" i="1"/>
  <c r="W257" i="1"/>
  <c r="AC257" i="1"/>
  <c r="AD257" i="1"/>
  <c r="I257" i="1" s="1"/>
  <c r="AE257" i="1"/>
  <c r="AL257" i="1" s="1"/>
  <c r="AF257" i="1"/>
  <c r="AM257" i="1"/>
  <c r="AN257" i="1"/>
  <c r="AP257" i="1"/>
  <c r="I258" i="1"/>
  <c r="M258" i="1" s="1"/>
  <c r="AN258" i="1"/>
  <c r="AP258" i="1"/>
  <c r="BF258" i="1" s="1"/>
  <c r="AT258" i="1"/>
  <c r="AU258" i="1"/>
  <c r="AX258" i="1"/>
  <c r="AY258" i="1"/>
  <c r="AZ258" i="1"/>
  <c r="BD258" i="1"/>
  <c r="BE258" i="1"/>
  <c r="I259" i="1"/>
  <c r="M259" i="1" s="1"/>
  <c r="AN259" i="1"/>
  <c r="AP259" i="1"/>
  <c r="BF259" i="1" s="1"/>
  <c r="AT259" i="1"/>
  <c r="AU259" i="1"/>
  <c r="AX259" i="1"/>
  <c r="AY259" i="1"/>
  <c r="AZ259" i="1"/>
  <c r="BD259" i="1"/>
  <c r="BE259" i="1"/>
  <c r="K260" i="1"/>
  <c r="I260" i="1"/>
  <c r="M260" i="1" s="1"/>
  <c r="AN260" i="1"/>
  <c r="AP260" i="1"/>
  <c r="BF260" i="1" s="1"/>
  <c r="AT260" i="1"/>
  <c r="AU260" i="1"/>
  <c r="AX260" i="1"/>
  <c r="AY260" i="1"/>
  <c r="AZ260" i="1"/>
  <c r="BD260" i="1"/>
  <c r="BE260" i="1"/>
  <c r="I261" i="1"/>
  <c r="AN261" i="1"/>
  <c r="AP261" i="1"/>
  <c r="BF261" i="1" s="1"/>
  <c r="AT261" i="1"/>
  <c r="AU261" i="1"/>
  <c r="AX261" i="1"/>
  <c r="AY261" i="1"/>
  <c r="AZ261" i="1"/>
  <c r="BD261" i="1"/>
  <c r="BE261" i="1"/>
  <c r="I262" i="1"/>
  <c r="AN262" i="1"/>
  <c r="AP262" i="1"/>
  <c r="BF262" i="1" s="1"/>
  <c r="AT262" i="1"/>
  <c r="AU262" i="1"/>
  <c r="AX262" i="1"/>
  <c r="AY262" i="1"/>
  <c r="AZ262" i="1"/>
  <c r="BD262" i="1"/>
  <c r="BE262" i="1"/>
  <c r="I263" i="1"/>
  <c r="AN263" i="1"/>
  <c r="AP263" i="1"/>
  <c r="BF263" i="1" s="1"/>
  <c r="AT263" i="1"/>
  <c r="AU263" i="1"/>
  <c r="AX263" i="1"/>
  <c r="AY263" i="1"/>
  <c r="AZ263" i="1"/>
  <c r="BD263" i="1"/>
  <c r="BE263" i="1"/>
  <c r="H264" i="1"/>
  <c r="G264" i="1" s="1"/>
  <c r="Q264" i="1"/>
  <c r="R264" i="1"/>
  <c r="S264" i="1"/>
  <c r="W264" i="1"/>
  <c r="AC264" i="1"/>
  <c r="AD264" i="1"/>
  <c r="AE264" i="1"/>
  <c r="AM264" i="1"/>
  <c r="AN264" i="1"/>
  <c r="AP264" i="1"/>
  <c r="AR265" i="1"/>
  <c r="G265" i="1"/>
  <c r="AX265" i="1" s="1"/>
  <c r="AC265" i="1"/>
  <c r="AD265" i="1"/>
  <c r="AT265" i="1" s="1"/>
  <c r="AL265" i="1"/>
  <c r="AZ265" i="1" s="1"/>
  <c r="AN265" i="1"/>
  <c r="AP265" i="1"/>
  <c r="I266" i="1"/>
  <c r="M266" i="1" s="1"/>
  <c r="AN266" i="1"/>
  <c r="AP266" i="1"/>
  <c r="BF266" i="1" s="1"/>
  <c r="AT266" i="1"/>
  <c r="AU266" i="1"/>
  <c r="AX266" i="1"/>
  <c r="AY266" i="1"/>
  <c r="AZ266" i="1"/>
  <c r="BD266" i="1"/>
  <c r="BE266" i="1"/>
  <c r="G267" i="1"/>
  <c r="Q267" i="1"/>
  <c r="R267" i="1"/>
  <c r="S267" i="1"/>
  <c r="W267" i="1"/>
  <c r="AC267" i="1"/>
  <c r="AD267" i="1"/>
  <c r="AE267" i="1"/>
  <c r="AL267" i="1" s="1"/>
  <c r="AZ267" i="1" s="1"/>
  <c r="AN267" i="1"/>
  <c r="AP267" i="1"/>
  <c r="I268" i="1"/>
  <c r="M268" i="1" s="1"/>
  <c r="AN268" i="1"/>
  <c r="AP268" i="1"/>
  <c r="BF268" i="1" s="1"/>
  <c r="AT268" i="1"/>
  <c r="AU268" i="1"/>
  <c r="AX268" i="1"/>
  <c r="AY268" i="1"/>
  <c r="AZ268" i="1"/>
  <c r="BD268" i="1"/>
  <c r="BE268" i="1"/>
  <c r="I269" i="1"/>
  <c r="AN269" i="1"/>
  <c r="AP269" i="1"/>
  <c r="BF269" i="1" s="1"/>
  <c r="AT269" i="1"/>
  <c r="AU269" i="1"/>
  <c r="AX269" i="1"/>
  <c r="AY269" i="1"/>
  <c r="AZ269" i="1"/>
  <c r="BD269" i="1"/>
  <c r="BE269" i="1"/>
  <c r="H270" i="1"/>
  <c r="N270" i="1"/>
  <c r="Q270" i="1"/>
  <c r="R270" i="1"/>
  <c r="S270" i="1"/>
  <c r="T270" i="1"/>
  <c r="AC270" i="1" s="1"/>
  <c r="W270" i="1"/>
  <c r="AD270" i="1"/>
  <c r="AE270" i="1"/>
  <c r="AL270" i="1" s="1"/>
  <c r="AM270" i="1"/>
  <c r="AN270" i="1"/>
  <c r="AP270" i="1"/>
  <c r="H271" i="1"/>
  <c r="N271" i="1"/>
  <c r="Q271" i="1"/>
  <c r="R271" i="1"/>
  <c r="S271" i="1"/>
  <c r="T271" i="1"/>
  <c r="AC271" i="1" s="1"/>
  <c r="W271" i="1"/>
  <c r="AD271" i="1"/>
  <c r="AE271" i="1"/>
  <c r="AL271" i="1" s="1"/>
  <c r="AF271" i="1"/>
  <c r="AM271" i="1"/>
  <c r="AN271" i="1"/>
  <c r="AP271" i="1"/>
  <c r="AN272" i="1"/>
  <c r="AP272" i="1"/>
  <c r="BF272" i="1" s="1"/>
  <c r="AT272" i="1"/>
  <c r="AU272" i="1"/>
  <c r="AW272" i="1"/>
  <c r="AX272" i="1"/>
  <c r="AY272" i="1"/>
  <c r="AZ272" i="1"/>
  <c r="BB272" i="1"/>
  <c r="BD272" i="1"/>
  <c r="BE272" i="1"/>
  <c r="H273" i="1"/>
  <c r="N273" i="1"/>
  <c r="T273" i="1"/>
  <c r="AC273" i="1" s="1"/>
  <c r="AD273" i="1"/>
  <c r="I273" i="1" s="1"/>
  <c r="AE273" i="1"/>
  <c r="AL273" i="1" s="1"/>
  <c r="AF273" i="1"/>
  <c r="AM273" i="1"/>
  <c r="AN273" i="1"/>
  <c r="AP273" i="1"/>
  <c r="AN274" i="1"/>
  <c r="AP274" i="1"/>
  <c r="BF274" i="1" s="1"/>
  <c r="AT274" i="1"/>
  <c r="AU274" i="1"/>
  <c r="AW274" i="1"/>
  <c r="AX274" i="1"/>
  <c r="AY274" i="1"/>
  <c r="AZ274" i="1"/>
  <c r="BB274" i="1"/>
  <c r="BD274" i="1"/>
  <c r="BE274" i="1"/>
  <c r="AN275" i="1"/>
  <c r="AP275" i="1"/>
  <c r="BF275" i="1" s="1"/>
  <c r="AT275" i="1"/>
  <c r="AU275" i="1"/>
  <c r="AW275" i="1"/>
  <c r="AX275" i="1"/>
  <c r="AY275" i="1"/>
  <c r="AZ275" i="1"/>
  <c r="BB275" i="1"/>
  <c r="BD275" i="1"/>
  <c r="BE275" i="1"/>
  <c r="AN276" i="1"/>
  <c r="AP276" i="1"/>
  <c r="AT276" i="1"/>
  <c r="AU276" i="1"/>
  <c r="AW276" i="1"/>
  <c r="AX276" i="1"/>
  <c r="AY276" i="1"/>
  <c r="AZ276" i="1"/>
  <c r="BB276" i="1"/>
  <c r="BD276" i="1"/>
  <c r="BE276" i="1"/>
  <c r="H277" i="1"/>
  <c r="N277" i="1"/>
  <c r="T277" i="1"/>
  <c r="AC277" i="1" s="1"/>
  <c r="AD277" i="1"/>
  <c r="AE277" i="1"/>
  <c r="AL277" i="1" s="1"/>
  <c r="AM277" i="1"/>
  <c r="AN277" i="1"/>
  <c r="AP277" i="1"/>
  <c r="G278" i="1"/>
  <c r="Q278" i="1"/>
  <c r="R278" i="1"/>
  <c r="S278" i="1"/>
  <c r="W278" i="1"/>
  <c r="AC278" i="1"/>
  <c r="AD278" i="1"/>
  <c r="AL278" i="1"/>
  <c r="AZ278" i="1" s="1"/>
  <c r="AN278" i="1"/>
  <c r="AP278" i="1"/>
  <c r="K279" i="1"/>
  <c r="I279" i="1"/>
  <c r="AL279" i="1"/>
  <c r="AZ279" i="1" s="1"/>
  <c r="AN279" i="1"/>
  <c r="AP279" i="1"/>
  <c r="BF279" i="1" s="1"/>
  <c r="AT279" i="1"/>
  <c r="AX279" i="1"/>
  <c r="AY279" i="1"/>
  <c r="BD279" i="1"/>
  <c r="BE279" i="1"/>
  <c r="H280" i="1"/>
  <c r="N280" i="1"/>
  <c r="Q280" i="1"/>
  <c r="R280" i="1"/>
  <c r="S280" i="1"/>
  <c r="T280" i="1"/>
  <c r="AC280" i="1" s="1"/>
  <c r="W280" i="1"/>
  <c r="AD280" i="1"/>
  <c r="AE280" i="1"/>
  <c r="AL280" i="1" s="1"/>
  <c r="AM280" i="1"/>
  <c r="AN280" i="1"/>
  <c r="AP280" i="1"/>
  <c r="AN281" i="1"/>
  <c r="AP281" i="1"/>
  <c r="BF281" i="1" s="1"/>
  <c r="AT281" i="1"/>
  <c r="AU281" i="1"/>
  <c r="AW281" i="1"/>
  <c r="AX281" i="1"/>
  <c r="AY281" i="1"/>
  <c r="AZ281" i="1"/>
  <c r="BB281" i="1"/>
  <c r="BD281" i="1"/>
  <c r="BE281" i="1"/>
  <c r="I282" i="1"/>
  <c r="AN282" i="1"/>
  <c r="AP282" i="1"/>
  <c r="BF282" i="1" s="1"/>
  <c r="AT282" i="1"/>
  <c r="AU282" i="1"/>
  <c r="AX282" i="1"/>
  <c r="AY282" i="1"/>
  <c r="AZ282" i="1"/>
  <c r="BD282" i="1"/>
  <c r="BE282" i="1"/>
  <c r="AN283" i="1"/>
  <c r="AP283" i="1"/>
  <c r="BF283" i="1" s="1"/>
  <c r="AT283" i="1"/>
  <c r="AU283" i="1"/>
  <c r="AW283" i="1"/>
  <c r="AX283" i="1"/>
  <c r="AY283" i="1"/>
  <c r="AZ283" i="1"/>
  <c r="BB283" i="1"/>
  <c r="BD283" i="1"/>
  <c r="BE283" i="1"/>
  <c r="AN284" i="1"/>
  <c r="AP284" i="1"/>
  <c r="BF284" i="1" s="1"/>
  <c r="AT284" i="1"/>
  <c r="AU284" i="1"/>
  <c r="AW284" i="1"/>
  <c r="AX284" i="1"/>
  <c r="AY284" i="1"/>
  <c r="AZ284" i="1"/>
  <c r="BB284" i="1"/>
  <c r="BD284" i="1"/>
  <c r="BE284" i="1"/>
  <c r="AN285" i="1"/>
  <c r="AP285" i="1"/>
  <c r="BF285" i="1" s="1"/>
  <c r="AT285" i="1"/>
  <c r="AU285" i="1"/>
  <c r="AW285" i="1"/>
  <c r="AX285" i="1"/>
  <c r="AY285" i="1"/>
  <c r="AZ285" i="1"/>
  <c r="BB285" i="1"/>
  <c r="BD285" i="1"/>
  <c r="BE285" i="1"/>
  <c r="AN286" i="1"/>
  <c r="AP286" i="1"/>
  <c r="BF286" i="1" s="1"/>
  <c r="AT286" i="1"/>
  <c r="AU286" i="1"/>
  <c r="AW286" i="1"/>
  <c r="AX286" i="1"/>
  <c r="AY286" i="1"/>
  <c r="AZ286" i="1"/>
  <c r="BB286" i="1"/>
  <c r="BD286" i="1"/>
  <c r="BE286" i="1"/>
  <c r="AN287" i="1"/>
  <c r="AP287" i="1"/>
  <c r="BF287" i="1" s="1"/>
  <c r="AT287" i="1"/>
  <c r="AU287" i="1"/>
  <c r="AW287" i="1"/>
  <c r="AX287" i="1"/>
  <c r="AY287" i="1"/>
  <c r="AZ287" i="1"/>
  <c r="BB287" i="1"/>
  <c r="BD287" i="1"/>
  <c r="BE287" i="1"/>
  <c r="AN288" i="1"/>
  <c r="AP288" i="1"/>
  <c r="BF288" i="1" s="1"/>
  <c r="AT288" i="1"/>
  <c r="AU288" i="1"/>
  <c r="AW288" i="1"/>
  <c r="AX288" i="1"/>
  <c r="AY288" i="1"/>
  <c r="AZ288" i="1"/>
  <c r="BB288" i="1"/>
  <c r="BD288" i="1"/>
  <c r="BE288" i="1"/>
  <c r="AN289" i="1"/>
  <c r="AP289" i="1"/>
  <c r="BF289" i="1" s="1"/>
  <c r="AT289" i="1"/>
  <c r="AU289" i="1"/>
  <c r="AW289" i="1"/>
  <c r="AX289" i="1"/>
  <c r="AY289" i="1"/>
  <c r="AZ289" i="1"/>
  <c r="BB289" i="1"/>
  <c r="BD289" i="1"/>
  <c r="BE289" i="1"/>
  <c r="K290" i="1"/>
  <c r="AN290" i="1"/>
  <c r="AP290" i="1"/>
  <c r="BF290" i="1" s="1"/>
  <c r="AT290" i="1"/>
  <c r="AU290" i="1"/>
  <c r="AW290" i="1"/>
  <c r="AX290" i="1"/>
  <c r="AY290" i="1"/>
  <c r="AZ290" i="1"/>
  <c r="BB290" i="1"/>
  <c r="BD290" i="1"/>
  <c r="BE290" i="1"/>
  <c r="H291" i="1"/>
  <c r="N291" i="1"/>
  <c r="Q291" i="1"/>
  <c r="R291" i="1"/>
  <c r="S291" i="1"/>
  <c r="T291" i="1"/>
  <c r="AC291" i="1" s="1"/>
  <c r="W291" i="1"/>
  <c r="AD291" i="1"/>
  <c r="AE291" i="1"/>
  <c r="AF291" i="1"/>
  <c r="AM291" i="1"/>
  <c r="AN291" i="1"/>
  <c r="AP291" i="1"/>
  <c r="BA292" i="1"/>
  <c r="AN292" i="1"/>
  <c r="AP292" i="1"/>
  <c r="BF292" i="1" s="1"/>
  <c r="AT292" i="1"/>
  <c r="AU292" i="1"/>
  <c r="AW292" i="1"/>
  <c r="AX292" i="1"/>
  <c r="AY292" i="1"/>
  <c r="AZ292" i="1"/>
  <c r="BB292" i="1"/>
  <c r="BC292" i="1"/>
  <c r="BD292" i="1"/>
  <c r="BE292" i="1"/>
  <c r="AN293" i="1"/>
  <c r="AP293" i="1"/>
  <c r="BF293" i="1" s="1"/>
  <c r="AT293" i="1"/>
  <c r="AU293" i="1"/>
  <c r="AW293" i="1"/>
  <c r="AX293" i="1"/>
  <c r="AY293" i="1"/>
  <c r="AZ293" i="1"/>
  <c r="BB293" i="1"/>
  <c r="BC293" i="1"/>
  <c r="BD293" i="1"/>
  <c r="BE293" i="1"/>
  <c r="AN294" i="1"/>
  <c r="AP294" i="1"/>
  <c r="BF294" i="1" s="1"/>
  <c r="AT294" i="1"/>
  <c r="AU294" i="1"/>
  <c r="AW294" i="1"/>
  <c r="AX294" i="1"/>
  <c r="AY294" i="1"/>
  <c r="AZ294" i="1"/>
  <c r="BB294" i="1"/>
  <c r="BC294" i="1"/>
  <c r="BD294" i="1"/>
  <c r="BE294" i="1"/>
  <c r="BA295" i="1"/>
  <c r="AN295" i="1"/>
  <c r="AP295" i="1"/>
  <c r="BF295" i="1" s="1"/>
  <c r="AT295" i="1"/>
  <c r="AU295" i="1"/>
  <c r="AW295" i="1"/>
  <c r="AX295" i="1"/>
  <c r="AY295" i="1"/>
  <c r="AZ295" i="1"/>
  <c r="BB295" i="1"/>
  <c r="BC295" i="1"/>
  <c r="BD295" i="1"/>
  <c r="BE295" i="1"/>
  <c r="AR296" i="1"/>
  <c r="AN296" i="1"/>
  <c r="AP296" i="1"/>
  <c r="BF296" i="1" s="1"/>
  <c r="AT296" i="1"/>
  <c r="AU296" i="1"/>
  <c r="AW296" i="1"/>
  <c r="AX296" i="1"/>
  <c r="AY296" i="1"/>
  <c r="AZ296" i="1"/>
  <c r="BB296" i="1"/>
  <c r="BC296" i="1"/>
  <c r="BD296" i="1"/>
  <c r="BE296" i="1"/>
  <c r="AR297" i="1"/>
  <c r="AN297" i="1"/>
  <c r="AP297" i="1"/>
  <c r="BF297" i="1" s="1"/>
  <c r="AT297" i="1"/>
  <c r="AU297" i="1"/>
  <c r="AW297" i="1"/>
  <c r="AX297" i="1"/>
  <c r="AY297" i="1"/>
  <c r="AZ297" i="1"/>
  <c r="BB297" i="1"/>
  <c r="BC297" i="1"/>
  <c r="BD297" i="1"/>
  <c r="BE297" i="1"/>
  <c r="AN298" i="1"/>
  <c r="AP298" i="1"/>
  <c r="BF298" i="1" s="1"/>
  <c r="AT298" i="1"/>
  <c r="AU298" i="1"/>
  <c r="AW298" i="1"/>
  <c r="AX298" i="1"/>
  <c r="AY298" i="1"/>
  <c r="AZ298" i="1"/>
  <c r="BB298" i="1"/>
  <c r="BC298" i="1"/>
  <c r="BD298" i="1"/>
  <c r="BE298" i="1"/>
  <c r="G299" i="1"/>
  <c r="Q299" i="1"/>
  <c r="R299" i="1"/>
  <c r="S299" i="1"/>
  <c r="T299" i="1"/>
  <c r="AC299" i="1" s="1"/>
  <c r="W299" i="1"/>
  <c r="AD299" i="1"/>
  <c r="AE299" i="1"/>
  <c r="AL299" i="1" s="1"/>
  <c r="AF299" i="1"/>
  <c r="AM299" i="1"/>
  <c r="AN299" i="1"/>
  <c r="AP299" i="1"/>
  <c r="AR300" i="1"/>
  <c r="AN300" i="1"/>
  <c r="AP300" i="1"/>
  <c r="BF300" i="1" s="1"/>
  <c r="AS300" i="1"/>
  <c r="AT300" i="1"/>
  <c r="AU300" i="1"/>
  <c r="AW300" i="1"/>
  <c r="AX300" i="1"/>
  <c r="AY300" i="1"/>
  <c r="AZ300" i="1"/>
  <c r="BB300" i="1"/>
  <c r="BC300" i="1"/>
  <c r="BD300" i="1"/>
  <c r="BE300" i="1"/>
  <c r="BA301" i="1"/>
  <c r="AN301" i="1"/>
  <c r="AP301" i="1"/>
  <c r="BF301" i="1" s="1"/>
  <c r="AS301" i="1"/>
  <c r="AT301" i="1"/>
  <c r="AU301" i="1"/>
  <c r="AW301" i="1"/>
  <c r="AX301" i="1"/>
  <c r="AY301" i="1"/>
  <c r="AZ301" i="1"/>
  <c r="BB301" i="1"/>
  <c r="BC301" i="1"/>
  <c r="BD301" i="1"/>
  <c r="BE301" i="1"/>
  <c r="AN302" i="1"/>
  <c r="AP302" i="1"/>
  <c r="BF302" i="1" s="1"/>
  <c r="AS302" i="1"/>
  <c r="AT302" i="1"/>
  <c r="AU302" i="1"/>
  <c r="AW302" i="1"/>
  <c r="AX302" i="1"/>
  <c r="AY302" i="1"/>
  <c r="AZ302" i="1"/>
  <c r="BB302" i="1"/>
  <c r="BC302" i="1"/>
  <c r="BD302" i="1"/>
  <c r="BE302" i="1"/>
  <c r="AN303" i="1"/>
  <c r="AP303" i="1"/>
  <c r="BF303" i="1" s="1"/>
  <c r="AS303" i="1"/>
  <c r="AT303" i="1"/>
  <c r="AU303" i="1"/>
  <c r="AW303" i="1"/>
  <c r="AX303" i="1"/>
  <c r="AY303" i="1"/>
  <c r="AZ303" i="1"/>
  <c r="BB303" i="1"/>
  <c r="BC303" i="1"/>
  <c r="BD303" i="1"/>
  <c r="BE303" i="1"/>
  <c r="AN304" i="1"/>
  <c r="AP304" i="1"/>
  <c r="BF304" i="1" s="1"/>
  <c r="AS304" i="1"/>
  <c r="AT304" i="1"/>
  <c r="AU304" i="1"/>
  <c r="AW304" i="1"/>
  <c r="AX304" i="1"/>
  <c r="AY304" i="1"/>
  <c r="AZ304" i="1"/>
  <c r="BB304" i="1"/>
  <c r="BC304" i="1"/>
  <c r="BD304" i="1"/>
  <c r="BE304" i="1"/>
  <c r="AN305" i="1"/>
  <c r="AP305" i="1"/>
  <c r="BF305" i="1" s="1"/>
  <c r="AS305" i="1"/>
  <c r="AT305" i="1"/>
  <c r="AU305" i="1"/>
  <c r="AW305" i="1"/>
  <c r="AX305" i="1"/>
  <c r="AY305" i="1"/>
  <c r="AZ305" i="1"/>
  <c r="BB305" i="1"/>
  <c r="BC305" i="1"/>
  <c r="BD305" i="1"/>
  <c r="BE305" i="1"/>
  <c r="BA306" i="1"/>
  <c r="AN306" i="1"/>
  <c r="AP306" i="1"/>
  <c r="BF306" i="1" s="1"/>
  <c r="AS306" i="1"/>
  <c r="AT306" i="1"/>
  <c r="AU306" i="1"/>
  <c r="AW306" i="1"/>
  <c r="AX306" i="1"/>
  <c r="AY306" i="1"/>
  <c r="AZ306" i="1"/>
  <c r="BB306" i="1"/>
  <c r="BC306" i="1"/>
  <c r="BD306" i="1"/>
  <c r="BE306" i="1"/>
  <c r="BA307" i="1"/>
  <c r="AN307" i="1"/>
  <c r="AP307" i="1"/>
  <c r="BF307" i="1" s="1"/>
  <c r="AS307" i="1"/>
  <c r="AT307" i="1"/>
  <c r="AU307" i="1"/>
  <c r="AW307" i="1"/>
  <c r="AX307" i="1"/>
  <c r="AY307" i="1"/>
  <c r="AZ307" i="1"/>
  <c r="BB307" i="1"/>
  <c r="BC307" i="1"/>
  <c r="BD307" i="1"/>
  <c r="BE307" i="1"/>
  <c r="AN308" i="1"/>
  <c r="AP308" i="1"/>
  <c r="BF308" i="1" s="1"/>
  <c r="AS308" i="1"/>
  <c r="AT308" i="1"/>
  <c r="AU308" i="1"/>
  <c r="AW308" i="1"/>
  <c r="AX308" i="1"/>
  <c r="AY308" i="1"/>
  <c r="AZ308" i="1"/>
  <c r="BB308" i="1"/>
  <c r="BC308" i="1"/>
  <c r="BD308" i="1"/>
  <c r="BE308" i="1"/>
  <c r="AN309" i="1"/>
  <c r="AP309" i="1"/>
  <c r="BF309" i="1" s="1"/>
  <c r="AS309" i="1"/>
  <c r="AT309" i="1"/>
  <c r="AU309" i="1"/>
  <c r="AW309" i="1"/>
  <c r="AX309" i="1"/>
  <c r="AY309" i="1"/>
  <c r="AZ309" i="1"/>
  <c r="BB309" i="1"/>
  <c r="BC309" i="1"/>
  <c r="BD309" i="1"/>
  <c r="BE309" i="1"/>
  <c r="AN310" i="1"/>
  <c r="AP310" i="1"/>
  <c r="BF310" i="1" s="1"/>
  <c r="AS310" i="1"/>
  <c r="AT310" i="1"/>
  <c r="AU310" i="1"/>
  <c r="AW310" i="1"/>
  <c r="AX310" i="1"/>
  <c r="AY310" i="1"/>
  <c r="AZ310" i="1"/>
  <c r="BB310" i="1"/>
  <c r="BC310" i="1"/>
  <c r="BD310" i="1"/>
  <c r="BE310" i="1"/>
  <c r="AN311" i="1"/>
  <c r="AP311" i="1"/>
  <c r="BF311" i="1" s="1"/>
  <c r="AS311" i="1"/>
  <c r="AT311" i="1"/>
  <c r="AU311" i="1"/>
  <c r="AW311" i="1"/>
  <c r="AX311" i="1"/>
  <c r="AY311" i="1"/>
  <c r="AZ311" i="1"/>
  <c r="BB311" i="1"/>
  <c r="BC311" i="1"/>
  <c r="BD311" i="1"/>
  <c r="BE311" i="1"/>
  <c r="G312" i="1"/>
  <c r="AU312" i="1" s="1"/>
  <c r="Q312" i="1"/>
  <c r="R312" i="1"/>
  <c r="S312" i="1"/>
  <c r="W312" i="1"/>
  <c r="AC312" i="1"/>
  <c r="AD312" i="1"/>
  <c r="I312" i="1" s="1"/>
  <c r="AE312" i="1"/>
  <c r="AL312" i="1" s="1"/>
  <c r="AZ312" i="1" s="1"/>
  <c r="AF312" i="1"/>
  <c r="AN312" i="1"/>
  <c r="AP312" i="1"/>
  <c r="G313" i="1"/>
  <c r="Q313" i="1"/>
  <c r="R313" i="1"/>
  <c r="S313" i="1"/>
  <c r="W313" i="1"/>
  <c r="AC313" i="1"/>
  <c r="AY313" i="1" s="1"/>
  <c r="AD313" i="1"/>
  <c r="AF313" i="1"/>
  <c r="AL313" i="1"/>
  <c r="AZ313" i="1" s="1"/>
  <c r="AN313" i="1"/>
  <c r="AP313" i="1"/>
  <c r="AN314" i="1"/>
  <c r="AP314" i="1"/>
  <c r="BF314" i="1" s="1"/>
  <c r="AS314" i="1"/>
  <c r="AT314" i="1"/>
  <c r="AU314" i="1"/>
  <c r="AW314" i="1"/>
  <c r="AX314" i="1"/>
  <c r="AY314" i="1"/>
  <c r="AZ314" i="1"/>
  <c r="BB314" i="1"/>
  <c r="BC314" i="1"/>
  <c r="BD314" i="1"/>
  <c r="BE314" i="1"/>
  <c r="AN315" i="1"/>
  <c r="AP315" i="1"/>
  <c r="BF315" i="1" s="1"/>
  <c r="AS315" i="1"/>
  <c r="AT315" i="1"/>
  <c r="AU315" i="1"/>
  <c r="AW315" i="1"/>
  <c r="AX315" i="1"/>
  <c r="AY315" i="1"/>
  <c r="AZ315" i="1"/>
  <c r="BB315" i="1"/>
  <c r="BC315" i="1"/>
  <c r="BD315" i="1"/>
  <c r="BE315" i="1"/>
  <c r="Q316" i="1"/>
  <c r="R316" i="1"/>
  <c r="S316" i="1"/>
  <c r="W316" i="1"/>
  <c r="AN316" i="1"/>
  <c r="AP316" i="1"/>
  <c r="BF316" i="1" s="1"/>
  <c r="AS316" i="1"/>
  <c r="AT316" i="1"/>
  <c r="AU316" i="1"/>
  <c r="AW316" i="1"/>
  <c r="AX316" i="1"/>
  <c r="AY316" i="1"/>
  <c r="AZ316" i="1"/>
  <c r="BB316" i="1"/>
  <c r="BC316" i="1"/>
  <c r="BD316" i="1"/>
  <c r="BE316" i="1"/>
  <c r="BA317" i="1"/>
  <c r="AN317" i="1"/>
  <c r="AP317" i="1"/>
  <c r="BF317" i="1" s="1"/>
  <c r="AS317" i="1"/>
  <c r="AT317" i="1"/>
  <c r="AU317" i="1"/>
  <c r="AW317" i="1"/>
  <c r="AX317" i="1"/>
  <c r="AY317" i="1"/>
  <c r="AZ317" i="1"/>
  <c r="BB317" i="1"/>
  <c r="BC317" i="1"/>
  <c r="BD317" i="1"/>
  <c r="BE317" i="1"/>
  <c r="AL318" i="1"/>
  <c r="AZ318" i="1" s="1"/>
  <c r="AN318" i="1"/>
  <c r="AP318" i="1"/>
  <c r="BF318" i="1" s="1"/>
  <c r="AS318" i="1"/>
  <c r="AT318" i="1"/>
  <c r="AU318" i="1"/>
  <c r="AW318" i="1"/>
  <c r="AX318" i="1"/>
  <c r="AY318" i="1"/>
  <c r="BB318" i="1"/>
  <c r="BC318" i="1"/>
  <c r="BD318" i="1"/>
  <c r="BE318" i="1"/>
  <c r="G319" i="1"/>
  <c r="Q319" i="1"/>
  <c r="R319" i="1"/>
  <c r="S319" i="1"/>
  <c r="W319" i="1"/>
  <c r="AC319" i="1"/>
  <c r="AY319" i="1" s="1"/>
  <c r="AD319" i="1"/>
  <c r="AL319" i="1"/>
  <c r="AM319" i="1"/>
  <c r="AN319" i="1"/>
  <c r="AP319" i="1"/>
  <c r="AN320" i="1"/>
  <c r="AP320" i="1"/>
  <c r="BF320" i="1" s="1"/>
  <c r="AS320" i="1"/>
  <c r="AT320" i="1"/>
  <c r="AU320" i="1"/>
  <c r="AW320" i="1"/>
  <c r="AX320" i="1"/>
  <c r="AY320" i="1"/>
  <c r="AZ320" i="1"/>
  <c r="BB320" i="1"/>
  <c r="BC320" i="1"/>
  <c r="BD320" i="1"/>
  <c r="BE320" i="1"/>
  <c r="H321" i="1"/>
  <c r="N321" i="1"/>
  <c r="T321" i="1"/>
  <c r="AC321" i="1" s="1"/>
  <c r="AD321" i="1"/>
  <c r="BC321" i="1" s="1"/>
  <c r="AE321" i="1"/>
  <c r="AL321" i="1" s="1"/>
  <c r="AM321" i="1"/>
  <c r="AN321" i="1"/>
  <c r="AP321" i="1"/>
  <c r="AN322" i="1"/>
  <c r="AP322" i="1"/>
  <c r="BF322" i="1" s="1"/>
  <c r="AS322" i="1"/>
  <c r="AT322" i="1"/>
  <c r="AU322" i="1"/>
  <c r="AW322" i="1"/>
  <c r="AX322" i="1"/>
  <c r="AY322" i="1"/>
  <c r="AZ322" i="1"/>
  <c r="BB322" i="1"/>
  <c r="BC322" i="1"/>
  <c r="BD322" i="1"/>
  <c r="BE322" i="1"/>
  <c r="Q323" i="1"/>
  <c r="R323" i="1"/>
  <c r="S323" i="1"/>
  <c r="W323" i="1"/>
  <c r="AN323" i="1"/>
  <c r="AP323" i="1"/>
  <c r="BF323" i="1" s="1"/>
  <c r="AS323" i="1"/>
  <c r="AT323" i="1"/>
  <c r="AU323" i="1"/>
  <c r="AW323" i="1"/>
  <c r="AX323" i="1"/>
  <c r="AY323" i="1"/>
  <c r="AZ323" i="1"/>
  <c r="BB323" i="1"/>
  <c r="BC323" i="1"/>
  <c r="BD323" i="1"/>
  <c r="BE323" i="1"/>
  <c r="AN324" i="1"/>
  <c r="AP324" i="1"/>
  <c r="BF324" i="1" s="1"/>
  <c r="AS324" i="1"/>
  <c r="AT324" i="1"/>
  <c r="AU324" i="1"/>
  <c r="AW324" i="1"/>
  <c r="AX324" i="1"/>
  <c r="AY324" i="1"/>
  <c r="AZ324" i="1"/>
  <c r="BB324" i="1"/>
  <c r="BC324" i="1"/>
  <c r="BD324" i="1"/>
  <c r="BE324" i="1"/>
  <c r="AN325" i="1"/>
  <c r="AP325" i="1"/>
  <c r="BF325" i="1" s="1"/>
  <c r="AS325" i="1"/>
  <c r="AT325" i="1"/>
  <c r="AU325" i="1"/>
  <c r="AW325" i="1"/>
  <c r="AX325" i="1"/>
  <c r="AY325" i="1"/>
  <c r="AZ325" i="1"/>
  <c r="BB325" i="1"/>
  <c r="BC325" i="1"/>
  <c r="BD325" i="1"/>
  <c r="BE325" i="1"/>
  <c r="AN326" i="1"/>
  <c r="AP326" i="1"/>
  <c r="BF326" i="1" s="1"/>
  <c r="AS326" i="1"/>
  <c r="AT326" i="1"/>
  <c r="AU326" i="1"/>
  <c r="AW326" i="1"/>
  <c r="AX326" i="1"/>
  <c r="AY326" i="1"/>
  <c r="AZ326" i="1"/>
  <c r="BB326" i="1"/>
  <c r="BC326" i="1"/>
  <c r="BD326" i="1"/>
  <c r="BE326" i="1"/>
  <c r="Q327" i="1"/>
  <c r="R327" i="1"/>
  <c r="S327" i="1"/>
  <c r="V327" i="1"/>
  <c r="W327" i="1" s="1"/>
  <c r="AN327" i="1"/>
  <c r="AP327" i="1"/>
  <c r="BF327" i="1" s="1"/>
  <c r="AS327" i="1"/>
  <c r="AT327" i="1"/>
  <c r="AU327" i="1"/>
  <c r="AW327" i="1"/>
  <c r="AX327" i="1"/>
  <c r="AY327" i="1"/>
  <c r="AZ327" i="1"/>
  <c r="BB327" i="1"/>
  <c r="BC327" i="1"/>
  <c r="BD327" i="1"/>
  <c r="BE327" i="1"/>
  <c r="AN328" i="1"/>
  <c r="AP328" i="1"/>
  <c r="BF328" i="1" s="1"/>
  <c r="AS328" i="1"/>
  <c r="AT328" i="1"/>
  <c r="AU328" i="1"/>
  <c r="AW328" i="1"/>
  <c r="AX328" i="1"/>
  <c r="AY328" i="1"/>
  <c r="AZ328" i="1"/>
  <c r="BB328" i="1"/>
  <c r="BC328" i="1"/>
  <c r="BD328" i="1"/>
  <c r="BE328" i="1"/>
  <c r="AN329" i="1"/>
  <c r="AP329" i="1"/>
  <c r="BF329" i="1" s="1"/>
  <c r="AS329" i="1"/>
  <c r="AT329" i="1"/>
  <c r="AU329" i="1"/>
  <c r="AW329" i="1"/>
  <c r="AX329" i="1"/>
  <c r="AY329" i="1"/>
  <c r="AZ329" i="1"/>
  <c r="BB329" i="1"/>
  <c r="BC329" i="1"/>
  <c r="BD329" i="1"/>
  <c r="BE329" i="1"/>
  <c r="K330" i="1"/>
  <c r="AN330" i="1"/>
  <c r="AP330" i="1"/>
  <c r="BF330" i="1" s="1"/>
  <c r="AS330" i="1"/>
  <c r="AT330" i="1"/>
  <c r="AU330" i="1"/>
  <c r="AW330" i="1"/>
  <c r="AX330" i="1"/>
  <c r="AY330" i="1"/>
  <c r="AZ330" i="1"/>
  <c r="BB330" i="1"/>
  <c r="BC330" i="1"/>
  <c r="BD330" i="1"/>
  <c r="BE330" i="1"/>
  <c r="AN331" i="1"/>
  <c r="AP331" i="1"/>
  <c r="BF331" i="1" s="1"/>
  <c r="AS331" i="1"/>
  <c r="AT331" i="1"/>
  <c r="AU331" i="1"/>
  <c r="AW331" i="1"/>
  <c r="AX331" i="1"/>
  <c r="AY331" i="1"/>
  <c r="AZ331" i="1"/>
  <c r="BB331" i="1"/>
  <c r="BC331" i="1"/>
  <c r="BD331" i="1"/>
  <c r="BE331" i="1"/>
  <c r="AV332" i="1"/>
  <c r="AN332" i="1"/>
  <c r="AP332" i="1"/>
  <c r="BF332" i="1" s="1"/>
  <c r="AS332" i="1"/>
  <c r="AT332" i="1"/>
  <c r="AU332" i="1"/>
  <c r="AW332" i="1"/>
  <c r="AX332" i="1"/>
  <c r="AY332" i="1"/>
  <c r="AZ332" i="1"/>
  <c r="BB332" i="1"/>
  <c r="BC332" i="1"/>
  <c r="BD332" i="1"/>
  <c r="BE332" i="1"/>
  <c r="G333" i="1"/>
  <c r="Q333" i="1"/>
  <c r="R333" i="1"/>
  <c r="S333" i="1"/>
  <c r="W333" i="1"/>
  <c r="AC333" i="1"/>
  <c r="AY333" i="1" s="1"/>
  <c r="AD333" i="1"/>
  <c r="I333" i="1" s="1"/>
  <c r="AF333" i="1"/>
  <c r="AL333" i="1"/>
  <c r="AM333" i="1"/>
  <c r="AN333" i="1"/>
  <c r="AP333" i="1"/>
  <c r="BA334" i="1"/>
  <c r="AN334" i="1"/>
  <c r="AP334" i="1"/>
  <c r="BF334" i="1" s="1"/>
  <c r="AS334" i="1"/>
  <c r="AT334" i="1"/>
  <c r="AU334" i="1"/>
  <c r="AW334" i="1"/>
  <c r="AX334" i="1"/>
  <c r="AY334" i="1"/>
  <c r="AZ334" i="1"/>
  <c r="BB334" i="1"/>
  <c r="BD334" i="1"/>
  <c r="BE334" i="1"/>
  <c r="G335" i="1"/>
  <c r="AC335" i="1"/>
  <c r="AY335" i="1" s="1"/>
  <c r="AD335" i="1"/>
  <c r="I335" i="1" s="1"/>
  <c r="AF335" i="1"/>
  <c r="AL335" i="1"/>
  <c r="AM335" i="1"/>
  <c r="AN335" i="1"/>
  <c r="AP335" i="1"/>
  <c r="AN336" i="1"/>
  <c r="AP336" i="1"/>
  <c r="BF336" i="1" s="1"/>
  <c r="AS336" i="1"/>
  <c r="AT336" i="1"/>
  <c r="AU336" i="1"/>
  <c r="AW336" i="1"/>
  <c r="AX336" i="1"/>
  <c r="AY336" i="1"/>
  <c r="AZ336" i="1"/>
  <c r="BB336" i="1"/>
  <c r="BD336" i="1"/>
  <c r="BE336" i="1"/>
  <c r="AN337" i="1"/>
  <c r="AP337" i="1"/>
  <c r="BF337" i="1" s="1"/>
  <c r="AS337" i="1"/>
  <c r="AT337" i="1"/>
  <c r="AU337" i="1"/>
  <c r="AW337" i="1"/>
  <c r="AX337" i="1"/>
  <c r="AY337" i="1"/>
  <c r="AZ337" i="1"/>
  <c r="BB337" i="1"/>
  <c r="BD337" i="1"/>
  <c r="BE337" i="1"/>
  <c r="AN338" i="1"/>
  <c r="AP338" i="1"/>
  <c r="BF338" i="1" s="1"/>
  <c r="AS338" i="1"/>
  <c r="AT338" i="1"/>
  <c r="AU338" i="1"/>
  <c r="AW338" i="1"/>
  <c r="AX338" i="1"/>
  <c r="AY338" i="1"/>
  <c r="AZ338" i="1"/>
  <c r="BB338" i="1"/>
  <c r="BD338" i="1"/>
  <c r="BE338" i="1"/>
  <c r="AN339" i="1"/>
  <c r="AP339" i="1"/>
  <c r="BF339" i="1" s="1"/>
  <c r="AS339" i="1"/>
  <c r="AT339" i="1"/>
  <c r="AU339" i="1"/>
  <c r="AW339" i="1"/>
  <c r="AX339" i="1"/>
  <c r="AY339" i="1"/>
  <c r="AZ339" i="1"/>
  <c r="BB339" i="1"/>
  <c r="BD339" i="1"/>
  <c r="BE339" i="1"/>
  <c r="AN340" i="1"/>
  <c r="AP340" i="1"/>
  <c r="BF340" i="1" s="1"/>
  <c r="AS340" i="1"/>
  <c r="AT340" i="1"/>
  <c r="AU340" i="1"/>
  <c r="AW340" i="1"/>
  <c r="AX340" i="1"/>
  <c r="AY340" i="1"/>
  <c r="AZ340" i="1"/>
  <c r="BB340" i="1"/>
  <c r="BD340" i="1"/>
  <c r="BE340" i="1"/>
  <c r="L341" i="1"/>
  <c r="AN341" i="1"/>
  <c r="AP341" i="1"/>
  <c r="BF341" i="1" s="1"/>
  <c r="AS341" i="1"/>
  <c r="AT341" i="1"/>
  <c r="AU341" i="1"/>
  <c r="AW341" i="1"/>
  <c r="AX341" i="1"/>
  <c r="AY341" i="1"/>
  <c r="AZ341" i="1"/>
  <c r="BB341" i="1"/>
  <c r="BD341" i="1"/>
  <c r="BE341" i="1"/>
  <c r="K342" i="1"/>
  <c r="AN342" i="1"/>
  <c r="AP342" i="1"/>
  <c r="BF342" i="1" s="1"/>
  <c r="AS342" i="1"/>
  <c r="AT342" i="1"/>
  <c r="AU342" i="1"/>
  <c r="AW342" i="1"/>
  <c r="AX342" i="1"/>
  <c r="AY342" i="1"/>
  <c r="AZ342" i="1"/>
  <c r="BB342" i="1"/>
  <c r="BD342" i="1"/>
  <c r="BE342" i="1"/>
  <c r="AN343" i="1"/>
  <c r="AP343" i="1"/>
  <c r="BF343" i="1" s="1"/>
  <c r="AS343" i="1"/>
  <c r="AT343" i="1"/>
  <c r="AU343" i="1"/>
  <c r="AW343" i="1"/>
  <c r="AX343" i="1"/>
  <c r="AY343" i="1"/>
  <c r="AZ343" i="1"/>
  <c r="BB343" i="1"/>
  <c r="BD343" i="1"/>
  <c r="BE343" i="1"/>
  <c r="BA344" i="1"/>
  <c r="AN344" i="1"/>
  <c r="AP344" i="1"/>
  <c r="BF344" i="1" s="1"/>
  <c r="AS344" i="1"/>
  <c r="AT344" i="1"/>
  <c r="AU344" i="1"/>
  <c r="AW344" i="1"/>
  <c r="AX344" i="1"/>
  <c r="AY344" i="1"/>
  <c r="AZ344" i="1"/>
  <c r="BB344" i="1"/>
  <c r="BD344" i="1"/>
  <c r="BE344" i="1"/>
  <c r="BA345" i="1"/>
  <c r="AN345" i="1"/>
  <c r="AP345" i="1"/>
  <c r="BF345" i="1" s="1"/>
  <c r="AS345" i="1"/>
  <c r="AT345" i="1"/>
  <c r="AU345" i="1"/>
  <c r="AW345" i="1"/>
  <c r="AX345" i="1"/>
  <c r="AY345" i="1"/>
  <c r="AZ345" i="1"/>
  <c r="BB345" i="1"/>
  <c r="BD345" i="1"/>
  <c r="BE345" i="1"/>
  <c r="AN346" i="1"/>
  <c r="AP346" i="1"/>
  <c r="BF346" i="1" s="1"/>
  <c r="AS346" i="1"/>
  <c r="AT346" i="1"/>
  <c r="AU346" i="1"/>
  <c r="AW346" i="1"/>
  <c r="AX346" i="1"/>
  <c r="AY346" i="1"/>
  <c r="AZ346" i="1"/>
  <c r="BB346" i="1"/>
  <c r="BD346" i="1"/>
  <c r="BE346" i="1"/>
  <c r="H347" i="1"/>
  <c r="G347" i="1" s="1"/>
  <c r="AX347" i="1" s="1"/>
  <c r="I347" i="1"/>
  <c r="AS347" i="1" s="1"/>
  <c r="Q347" i="1"/>
  <c r="R347" i="1"/>
  <c r="S347" i="1"/>
  <c r="W347" i="1"/>
  <c r="AC347" i="1"/>
  <c r="AY347" i="1" s="1"/>
  <c r="AL347" i="1"/>
  <c r="AZ347" i="1" s="1"/>
  <c r="AN347" i="1"/>
  <c r="AP347" i="1"/>
  <c r="BF347" i="1" s="1"/>
  <c r="AT347" i="1"/>
  <c r="BE347" i="1"/>
  <c r="AN348" i="1"/>
  <c r="AP348" i="1"/>
  <c r="BF348" i="1" s="1"/>
  <c r="AS348" i="1"/>
  <c r="AT348" i="1"/>
  <c r="AU348" i="1"/>
  <c r="AW348" i="1"/>
  <c r="AX348" i="1"/>
  <c r="AY348" i="1"/>
  <c r="AZ348" i="1"/>
  <c r="BB348" i="1"/>
  <c r="BD348" i="1"/>
  <c r="BE348" i="1"/>
  <c r="AN349" i="1"/>
  <c r="AP349" i="1"/>
  <c r="BF349" i="1" s="1"/>
  <c r="AS349" i="1"/>
  <c r="AT349" i="1"/>
  <c r="AU349" i="1"/>
  <c r="AW349" i="1"/>
  <c r="AX349" i="1"/>
  <c r="AY349" i="1"/>
  <c r="AZ349" i="1"/>
  <c r="BB349" i="1"/>
  <c r="BD349" i="1"/>
  <c r="BE349" i="1"/>
  <c r="AV350" i="1"/>
  <c r="AN350" i="1"/>
  <c r="AP350" i="1"/>
  <c r="BF350" i="1" s="1"/>
  <c r="AS350" i="1"/>
  <c r="AT350" i="1"/>
  <c r="AU350" i="1"/>
  <c r="AW350" i="1"/>
  <c r="AX350" i="1"/>
  <c r="AY350" i="1"/>
  <c r="AZ350" i="1"/>
  <c r="BB350" i="1"/>
  <c r="BD350" i="1"/>
  <c r="BE350" i="1"/>
  <c r="AN351" i="1"/>
  <c r="AP351" i="1"/>
  <c r="BF351" i="1" s="1"/>
  <c r="AS351" i="1"/>
  <c r="AT351" i="1"/>
  <c r="AU351" i="1"/>
  <c r="AW351" i="1"/>
  <c r="AX351" i="1"/>
  <c r="AY351" i="1"/>
  <c r="AZ351" i="1"/>
  <c r="BB351" i="1"/>
  <c r="BD351" i="1"/>
  <c r="BE351" i="1"/>
  <c r="AN352" i="1"/>
  <c r="AP352" i="1"/>
  <c r="BF352" i="1" s="1"/>
  <c r="AS352" i="1"/>
  <c r="AT352" i="1"/>
  <c r="AU352" i="1"/>
  <c r="AW352" i="1"/>
  <c r="AX352" i="1"/>
  <c r="AY352" i="1"/>
  <c r="AZ352" i="1"/>
  <c r="BB352" i="1"/>
  <c r="BD352" i="1"/>
  <c r="BE352" i="1"/>
  <c r="BA353" i="1"/>
  <c r="AN353" i="1"/>
  <c r="AP353" i="1"/>
  <c r="BF353" i="1" s="1"/>
  <c r="AS353" i="1"/>
  <c r="AT353" i="1"/>
  <c r="AU353" i="1"/>
  <c r="AW353" i="1"/>
  <c r="AX353" i="1"/>
  <c r="AY353" i="1"/>
  <c r="AZ353" i="1"/>
  <c r="BB353" i="1"/>
  <c r="BD353" i="1"/>
  <c r="BE353" i="1"/>
  <c r="AN354" i="1"/>
  <c r="AP354" i="1"/>
  <c r="BF354" i="1" s="1"/>
  <c r="AS354" i="1"/>
  <c r="AT354" i="1"/>
  <c r="AU354" i="1"/>
  <c r="AW354" i="1"/>
  <c r="AX354" i="1"/>
  <c r="AY354" i="1"/>
  <c r="AZ354" i="1"/>
  <c r="BB354" i="1"/>
  <c r="BD354" i="1"/>
  <c r="BE354" i="1"/>
  <c r="N355" i="1"/>
  <c r="G355" i="1" s="1"/>
  <c r="Q355" i="1"/>
  <c r="R355" i="1"/>
  <c r="S355" i="1"/>
  <c r="T355" i="1"/>
  <c r="AC355" i="1" s="1"/>
  <c r="W355" i="1"/>
  <c r="AD355" i="1"/>
  <c r="I355" i="1" s="1"/>
  <c r="AE355" i="1"/>
  <c r="AL355" i="1" s="1"/>
  <c r="AF355" i="1"/>
  <c r="AM355" i="1"/>
  <c r="AN355" i="1"/>
  <c r="AP355" i="1"/>
  <c r="AN356" i="1"/>
  <c r="AP356" i="1"/>
  <c r="BF356" i="1" s="1"/>
  <c r="AW356" i="1"/>
  <c r="AX356" i="1"/>
  <c r="AY356" i="1"/>
  <c r="AZ356" i="1"/>
  <c r="BB356" i="1"/>
  <c r="BC356" i="1"/>
  <c r="BD356" i="1"/>
  <c r="BE356" i="1"/>
  <c r="AN357" i="1"/>
  <c r="AP357" i="1"/>
  <c r="BF357" i="1" s="1"/>
  <c r="AW357" i="1"/>
  <c r="AX357" i="1"/>
  <c r="AY357" i="1"/>
  <c r="AZ357" i="1"/>
  <c r="BB357" i="1"/>
  <c r="BC357" i="1"/>
  <c r="BD357" i="1"/>
  <c r="BE357" i="1"/>
  <c r="AN358" i="1"/>
  <c r="AW358" i="1"/>
  <c r="AX358" i="1"/>
  <c r="AY358" i="1"/>
  <c r="AZ358" i="1"/>
  <c r="BB358" i="1"/>
  <c r="BC358" i="1"/>
  <c r="BD358" i="1"/>
  <c r="BE358" i="1"/>
  <c r="AN359" i="1"/>
  <c r="AW359" i="1"/>
  <c r="AX359" i="1"/>
  <c r="AY359" i="1"/>
  <c r="AZ359" i="1"/>
  <c r="BB359" i="1"/>
  <c r="BC359" i="1"/>
  <c r="BD359" i="1"/>
  <c r="BE359" i="1"/>
  <c r="BF359" i="1"/>
  <c r="AN360" i="1"/>
  <c r="AW360" i="1"/>
  <c r="AX360" i="1"/>
  <c r="AY360" i="1"/>
  <c r="AZ360" i="1"/>
  <c r="BB360" i="1"/>
  <c r="BC360" i="1"/>
  <c r="BD360" i="1"/>
  <c r="BE360" i="1"/>
  <c r="AN361" i="1"/>
  <c r="AW361" i="1"/>
  <c r="AX361" i="1"/>
  <c r="AY361" i="1"/>
  <c r="AZ361" i="1"/>
  <c r="BB361" i="1"/>
  <c r="BC361" i="1"/>
  <c r="BD361" i="1"/>
  <c r="BE361" i="1"/>
  <c r="AN362" i="1"/>
  <c r="AO362" i="1"/>
  <c r="AW362" i="1"/>
  <c r="AX362" i="1"/>
  <c r="AY362" i="1"/>
  <c r="AZ362" i="1"/>
  <c r="BB362" i="1"/>
  <c r="BC362" i="1"/>
  <c r="BD362" i="1"/>
  <c r="BE362" i="1"/>
  <c r="H363" i="1"/>
  <c r="I363" i="1"/>
  <c r="N363" i="1"/>
  <c r="Q363" i="1"/>
  <c r="R363" i="1"/>
  <c r="S363" i="1"/>
  <c r="T363" i="1"/>
  <c r="AC363" i="1" s="1"/>
  <c r="AY363" i="1" s="1"/>
  <c r="W363" i="1"/>
  <c r="AF363" i="1"/>
  <c r="BC363" i="1" s="1"/>
  <c r="AL363" i="1"/>
  <c r="AM363" i="1"/>
  <c r="AN363" i="1"/>
  <c r="AV364" i="1"/>
  <c r="AN364" i="1"/>
  <c r="AW364" i="1"/>
  <c r="AX364" i="1"/>
  <c r="AY364" i="1"/>
  <c r="AZ364" i="1"/>
  <c r="BB364" i="1"/>
  <c r="BC364" i="1"/>
  <c r="BD364" i="1"/>
  <c r="BE364" i="1"/>
  <c r="AN365" i="1"/>
  <c r="AP365" i="1"/>
  <c r="BF365" i="1" s="1"/>
  <c r="AW365" i="1"/>
  <c r="AX365" i="1"/>
  <c r="AY365" i="1"/>
  <c r="AZ365" i="1"/>
  <c r="BB365" i="1"/>
  <c r="BC365" i="1"/>
  <c r="BD365" i="1"/>
  <c r="BE365" i="1"/>
  <c r="AN366" i="1"/>
  <c r="AP366" i="1"/>
  <c r="BF366" i="1" s="1"/>
  <c r="AW366" i="1"/>
  <c r="AX366" i="1"/>
  <c r="AY366" i="1"/>
  <c r="AZ366" i="1"/>
  <c r="BB366" i="1"/>
  <c r="BC366" i="1"/>
  <c r="BD366" i="1"/>
  <c r="BE366" i="1"/>
  <c r="AN367" i="1"/>
  <c r="AP367" i="1"/>
  <c r="BF367" i="1" s="1"/>
  <c r="AW367" i="1"/>
  <c r="AX367" i="1"/>
  <c r="AY367" i="1"/>
  <c r="AZ367" i="1"/>
  <c r="BB367" i="1"/>
  <c r="BC367" i="1"/>
  <c r="BD367" i="1"/>
  <c r="BE367" i="1"/>
  <c r="AN368" i="1"/>
  <c r="AP368" i="1"/>
  <c r="BF368" i="1" s="1"/>
  <c r="AW368" i="1"/>
  <c r="AX368" i="1"/>
  <c r="AY368" i="1"/>
  <c r="AZ368" i="1"/>
  <c r="BB368" i="1"/>
  <c r="BC368" i="1"/>
  <c r="BD368" i="1"/>
  <c r="BE368" i="1"/>
  <c r="H369" i="1"/>
  <c r="N369" i="1"/>
  <c r="Q369" i="1"/>
  <c r="R369" i="1"/>
  <c r="S369" i="1"/>
  <c r="T369" i="1"/>
  <c r="AC369" i="1" s="1"/>
  <c r="AY369" i="1" s="1"/>
  <c r="W369" i="1"/>
  <c r="AD369" i="1"/>
  <c r="I369" i="1" s="1"/>
  <c r="AF369" i="1"/>
  <c r="AL369" i="1"/>
  <c r="AM369" i="1"/>
  <c r="AN369" i="1"/>
  <c r="AP369" i="1"/>
  <c r="AN370" i="1"/>
  <c r="AP370" i="1"/>
  <c r="BF370" i="1" s="1"/>
  <c r="AT370" i="1"/>
  <c r="AU370" i="1"/>
  <c r="AW370" i="1"/>
  <c r="AX370" i="1"/>
  <c r="AY370" i="1"/>
  <c r="AZ370" i="1"/>
  <c r="BB370" i="1"/>
  <c r="BC370" i="1"/>
  <c r="BD370" i="1"/>
  <c r="BE370" i="1"/>
  <c r="K371" i="1"/>
  <c r="AD371" i="1"/>
  <c r="AF371" i="1"/>
  <c r="AN371" i="1"/>
  <c r="AP371" i="1"/>
  <c r="AU371" i="1"/>
  <c r="AX371" i="1"/>
  <c r="AY371" i="1"/>
  <c r="AZ371" i="1"/>
  <c r="BD371" i="1"/>
  <c r="H372" i="1"/>
  <c r="N372" i="1"/>
  <c r="Q372" i="1"/>
  <c r="R372" i="1"/>
  <c r="S372" i="1"/>
  <c r="T372" i="1"/>
  <c r="AC372" i="1" s="1"/>
  <c r="U372" i="1"/>
  <c r="W372" i="1" s="1"/>
  <c r="AD372" i="1"/>
  <c r="I372" i="1" s="1"/>
  <c r="AE372" i="1"/>
  <c r="AL372" i="1" s="1"/>
  <c r="AF372" i="1"/>
  <c r="AM372" i="1"/>
  <c r="AN372" i="1"/>
  <c r="AP372" i="1"/>
  <c r="BA373" i="1"/>
  <c r="AN373" i="1"/>
  <c r="AP373" i="1"/>
  <c r="BF373" i="1" s="1"/>
  <c r="AT373" i="1"/>
  <c r="AU373" i="1"/>
  <c r="AW373" i="1"/>
  <c r="AX373" i="1"/>
  <c r="AY373" i="1"/>
  <c r="AZ373" i="1"/>
  <c r="BB373" i="1"/>
  <c r="BC373" i="1"/>
  <c r="BD373" i="1"/>
  <c r="BE373" i="1"/>
  <c r="K374" i="1"/>
  <c r="AN374" i="1"/>
  <c r="AP374" i="1"/>
  <c r="BF374" i="1" s="1"/>
  <c r="AT374" i="1"/>
  <c r="AU374" i="1"/>
  <c r="AW374" i="1"/>
  <c r="AX374" i="1"/>
  <c r="AY374" i="1"/>
  <c r="AZ374" i="1"/>
  <c r="BB374" i="1"/>
  <c r="BD374" i="1"/>
  <c r="BE374" i="1"/>
  <c r="K375" i="1"/>
  <c r="AN375" i="1"/>
  <c r="AT375" i="1"/>
  <c r="AU375" i="1"/>
  <c r="AW375" i="1"/>
  <c r="AX375" i="1"/>
  <c r="AY375" i="1"/>
  <c r="AZ375" i="1"/>
  <c r="BB375" i="1"/>
  <c r="BD375" i="1"/>
  <c r="BE375" i="1"/>
  <c r="G376" i="1"/>
  <c r="AU376" i="1" s="1"/>
  <c r="I376" i="1"/>
  <c r="Q376" i="1"/>
  <c r="R376" i="1"/>
  <c r="S376" i="1"/>
  <c r="U376" i="1"/>
  <c r="V376" i="1"/>
  <c r="AC376" i="1"/>
  <c r="AY376" i="1" s="1"/>
  <c r="AL376" i="1"/>
  <c r="AZ376" i="1" s="1"/>
  <c r="AN376" i="1"/>
  <c r="AT376" i="1"/>
  <c r="BC376" i="1"/>
  <c r="BE376" i="1"/>
  <c r="I377" i="1"/>
  <c r="AN377" i="1"/>
  <c r="AT377" i="1"/>
  <c r="AU377" i="1"/>
  <c r="AX377" i="1"/>
  <c r="AY377" i="1"/>
  <c r="AZ377" i="1"/>
  <c r="BC377" i="1"/>
  <c r="BD377" i="1"/>
  <c r="BE377" i="1"/>
  <c r="AV378" i="1"/>
  <c r="AN378" i="1"/>
  <c r="AT378" i="1"/>
  <c r="AU378" i="1"/>
  <c r="AW378" i="1"/>
  <c r="AX378" i="1"/>
  <c r="AY378" i="1"/>
  <c r="AZ378" i="1"/>
  <c r="BB378" i="1"/>
  <c r="BC378" i="1"/>
  <c r="BD378" i="1"/>
  <c r="BE378" i="1"/>
  <c r="BA379" i="1"/>
  <c r="AN379" i="1"/>
  <c r="AO379" i="1"/>
  <c r="AT379" i="1"/>
  <c r="AU379" i="1"/>
  <c r="AW379" i="1"/>
  <c r="AX379" i="1"/>
  <c r="AY379" i="1"/>
  <c r="AZ379" i="1"/>
  <c r="BB379" i="1"/>
  <c r="BC379" i="1"/>
  <c r="BD379" i="1"/>
  <c r="BE379" i="1"/>
  <c r="BA380" i="1"/>
  <c r="AN380" i="1"/>
  <c r="AT380" i="1"/>
  <c r="AU380" i="1"/>
  <c r="AW380" i="1"/>
  <c r="AX380" i="1"/>
  <c r="AY380" i="1"/>
  <c r="AZ380" i="1"/>
  <c r="BB380" i="1"/>
  <c r="BC380" i="1"/>
  <c r="BD380" i="1"/>
  <c r="BE380" i="1"/>
  <c r="AV381" i="1"/>
  <c r="AN381" i="1"/>
  <c r="AT381" i="1"/>
  <c r="AU381" i="1"/>
  <c r="AW381" i="1"/>
  <c r="AX381" i="1"/>
  <c r="AY381" i="1"/>
  <c r="AZ381" i="1"/>
  <c r="BB381" i="1"/>
  <c r="BC381" i="1"/>
  <c r="BD381" i="1"/>
  <c r="BE381" i="1"/>
  <c r="H382" i="1"/>
  <c r="N382" i="1"/>
  <c r="Q382" i="1"/>
  <c r="R382" i="1"/>
  <c r="S382" i="1"/>
  <c r="T382" i="1"/>
  <c r="AC382" i="1" s="1"/>
  <c r="W382" i="1"/>
  <c r="AD382" i="1"/>
  <c r="AE382" i="1"/>
  <c r="AF382" i="1"/>
  <c r="AM382" i="1"/>
  <c r="AN382" i="1"/>
  <c r="AP382" i="1"/>
  <c r="AN383" i="1"/>
  <c r="AP383" i="1"/>
  <c r="BF383" i="1" s="1"/>
  <c r="AT383" i="1"/>
  <c r="AU383" i="1"/>
  <c r="AW383" i="1"/>
  <c r="AX383" i="1"/>
  <c r="AY383" i="1"/>
  <c r="AZ383" i="1"/>
  <c r="BB383" i="1"/>
  <c r="BC383" i="1"/>
  <c r="BD383" i="1"/>
  <c r="BE383" i="1"/>
  <c r="AN384" i="1"/>
  <c r="AP384" i="1"/>
  <c r="BF384" i="1" s="1"/>
  <c r="AT384" i="1"/>
  <c r="AU384" i="1"/>
  <c r="AW384" i="1"/>
  <c r="AX384" i="1"/>
  <c r="AY384" i="1"/>
  <c r="AZ384" i="1"/>
  <c r="BB384" i="1"/>
  <c r="BD384" i="1"/>
  <c r="BE384" i="1"/>
  <c r="AR385" i="1"/>
  <c r="AN385" i="1"/>
  <c r="AP385" i="1"/>
  <c r="BF385" i="1" s="1"/>
  <c r="AT385" i="1"/>
  <c r="AU385" i="1"/>
  <c r="AW385" i="1"/>
  <c r="AX385" i="1"/>
  <c r="AY385" i="1"/>
  <c r="AZ385" i="1"/>
  <c r="BB385" i="1"/>
  <c r="BC385" i="1"/>
  <c r="BD385" i="1"/>
  <c r="BE385" i="1"/>
  <c r="AN386" i="1"/>
  <c r="AP386" i="1"/>
  <c r="BF386" i="1" s="1"/>
  <c r="AT386" i="1"/>
  <c r="AU386" i="1"/>
  <c r="AW386" i="1"/>
  <c r="AX386" i="1"/>
  <c r="AY386" i="1"/>
  <c r="AZ386" i="1"/>
  <c r="BB386" i="1"/>
  <c r="BD386" i="1"/>
  <c r="BE386" i="1"/>
  <c r="AN387" i="1"/>
  <c r="AP387" i="1"/>
  <c r="BF387" i="1" s="1"/>
  <c r="AT387" i="1"/>
  <c r="AU387" i="1"/>
  <c r="AW387" i="1"/>
  <c r="AX387" i="1"/>
  <c r="AY387" i="1"/>
  <c r="AZ387" i="1"/>
  <c r="BB387" i="1"/>
  <c r="BC387" i="1"/>
  <c r="BD387" i="1"/>
  <c r="BE387" i="1"/>
  <c r="AN388" i="1"/>
  <c r="AP388" i="1"/>
  <c r="BF388" i="1" s="1"/>
  <c r="AT388" i="1"/>
  <c r="AU388" i="1"/>
  <c r="AW388" i="1"/>
  <c r="AX388" i="1"/>
  <c r="AY388" i="1"/>
  <c r="AZ388" i="1"/>
  <c r="BB388" i="1"/>
  <c r="BD388" i="1"/>
  <c r="BE388" i="1"/>
  <c r="AN389" i="1"/>
  <c r="AP389" i="1"/>
  <c r="BF389" i="1" s="1"/>
  <c r="AT389" i="1"/>
  <c r="AU389" i="1"/>
  <c r="AW389" i="1"/>
  <c r="AX389" i="1"/>
  <c r="AY389" i="1"/>
  <c r="AZ389" i="1"/>
  <c r="BB389" i="1"/>
  <c r="BD389" i="1"/>
  <c r="BE389" i="1"/>
  <c r="AV390" i="1"/>
  <c r="AN390" i="1"/>
  <c r="AP390" i="1"/>
  <c r="BF390" i="1" s="1"/>
  <c r="AT390" i="1"/>
  <c r="AU390" i="1"/>
  <c r="AW390" i="1"/>
  <c r="AX390" i="1"/>
  <c r="AY390" i="1"/>
  <c r="AZ390" i="1"/>
  <c r="BB390" i="1"/>
  <c r="BD390" i="1"/>
  <c r="BE390" i="1"/>
  <c r="K391" i="1"/>
  <c r="AN391" i="1"/>
  <c r="AP391" i="1"/>
  <c r="BF391" i="1" s="1"/>
  <c r="AT391" i="1"/>
  <c r="AU391" i="1"/>
  <c r="AW391" i="1"/>
  <c r="AX391" i="1"/>
  <c r="AY391" i="1"/>
  <c r="AZ391" i="1"/>
  <c r="BB391" i="1"/>
  <c r="BD391" i="1"/>
  <c r="BE391" i="1"/>
  <c r="AN392" i="1"/>
  <c r="AP392" i="1"/>
  <c r="BF392" i="1" s="1"/>
  <c r="AT392" i="1"/>
  <c r="AU392" i="1"/>
  <c r="AW392" i="1"/>
  <c r="AX392" i="1"/>
  <c r="AY392" i="1"/>
  <c r="AZ392" i="1"/>
  <c r="BB392" i="1"/>
  <c r="BD392" i="1"/>
  <c r="BE392" i="1"/>
  <c r="AN393" i="1"/>
  <c r="AP393" i="1"/>
  <c r="BF393" i="1" s="1"/>
  <c r="AT393" i="1"/>
  <c r="AU393" i="1"/>
  <c r="AW393" i="1"/>
  <c r="AX393" i="1"/>
  <c r="AY393" i="1"/>
  <c r="AZ393" i="1"/>
  <c r="BB393" i="1"/>
  <c r="BC393" i="1"/>
  <c r="BD393" i="1"/>
  <c r="BE393" i="1"/>
  <c r="H394" i="1"/>
  <c r="N394" i="1"/>
  <c r="Q394" i="1"/>
  <c r="R394" i="1"/>
  <c r="S394" i="1"/>
  <c r="T394" i="1"/>
  <c r="AC394" i="1" s="1"/>
  <c r="U394" i="1"/>
  <c r="V394" i="1"/>
  <c r="AD394" i="1"/>
  <c r="AE394" i="1"/>
  <c r="AL394" i="1" s="1"/>
  <c r="AF394" i="1"/>
  <c r="AM394" i="1"/>
  <c r="AN394" i="1"/>
  <c r="AP394" i="1"/>
  <c r="AN395" i="1"/>
  <c r="AP395" i="1"/>
  <c r="BF395" i="1" s="1"/>
  <c r="AT395" i="1"/>
  <c r="AU395" i="1"/>
  <c r="AW395" i="1"/>
  <c r="AX395" i="1"/>
  <c r="AY395" i="1"/>
  <c r="AZ395" i="1"/>
  <c r="BB395" i="1"/>
  <c r="BC395" i="1"/>
  <c r="BD395" i="1"/>
  <c r="BE395" i="1"/>
  <c r="AN396" i="1"/>
  <c r="AP396" i="1"/>
  <c r="BF396" i="1" s="1"/>
  <c r="AT396" i="1"/>
  <c r="AU396" i="1"/>
  <c r="AW396" i="1"/>
  <c r="AX396" i="1"/>
  <c r="AY396" i="1"/>
  <c r="AZ396" i="1"/>
  <c r="BB396" i="1"/>
  <c r="BC396" i="1"/>
  <c r="BD396" i="1"/>
  <c r="BE396" i="1"/>
  <c r="AN397" i="1"/>
  <c r="AP397" i="1"/>
  <c r="BF397" i="1" s="1"/>
  <c r="AT397" i="1"/>
  <c r="AU397" i="1"/>
  <c r="AW397" i="1"/>
  <c r="AX397" i="1"/>
  <c r="AY397" i="1"/>
  <c r="AZ397" i="1"/>
  <c r="BB397" i="1"/>
  <c r="BC397" i="1"/>
  <c r="BD397" i="1"/>
  <c r="BE397" i="1"/>
  <c r="AN398" i="1"/>
  <c r="AP398" i="1"/>
  <c r="BF398" i="1" s="1"/>
  <c r="AT398" i="1"/>
  <c r="AU398" i="1"/>
  <c r="AW398" i="1"/>
  <c r="AX398" i="1"/>
  <c r="AY398" i="1"/>
  <c r="AZ398" i="1"/>
  <c r="BB398" i="1"/>
  <c r="BC398" i="1"/>
  <c r="BD398" i="1"/>
  <c r="BE398" i="1"/>
  <c r="AN399" i="1"/>
  <c r="AP399" i="1"/>
  <c r="BF399" i="1" s="1"/>
  <c r="AT399" i="1"/>
  <c r="AU399" i="1"/>
  <c r="AW399" i="1"/>
  <c r="AX399" i="1"/>
  <c r="AY399" i="1"/>
  <c r="AZ399" i="1"/>
  <c r="BB399" i="1"/>
  <c r="BD399" i="1"/>
  <c r="BE399" i="1"/>
  <c r="H400" i="1"/>
  <c r="N400" i="1"/>
  <c r="T400" i="1"/>
  <c r="AC400" i="1" s="1"/>
  <c r="AD400" i="1"/>
  <c r="AE400" i="1"/>
  <c r="AL400" i="1" s="1"/>
  <c r="AF400" i="1"/>
  <c r="AM400" i="1"/>
  <c r="AN400" i="1"/>
  <c r="AP400" i="1"/>
  <c r="AV401" i="1"/>
  <c r="AK401" i="1"/>
  <c r="AN401" i="1" s="1"/>
  <c r="AP401" i="1"/>
  <c r="BF401" i="1" s="1"/>
  <c r="AS401" i="1"/>
  <c r="AT401" i="1"/>
  <c r="AU401" i="1"/>
  <c r="AW401" i="1"/>
  <c r="AX401" i="1"/>
  <c r="AY401" i="1"/>
  <c r="AZ401" i="1"/>
  <c r="BB401" i="1"/>
  <c r="BC401" i="1"/>
  <c r="BD401" i="1"/>
  <c r="BE401" i="1"/>
  <c r="AE402" i="1"/>
  <c r="AF402" i="1"/>
  <c r="AK402" i="1"/>
  <c r="AN402" i="1" s="1"/>
  <c r="AM402" i="1"/>
  <c r="AP402" i="1"/>
  <c r="Q403" i="1"/>
  <c r="R403" i="1"/>
  <c r="S403" i="1"/>
  <c r="W403" i="1"/>
  <c r="AK403" i="1"/>
  <c r="AN403" i="1" s="1"/>
  <c r="AP403" i="1"/>
  <c r="BF403" i="1" s="1"/>
  <c r="AS403" i="1"/>
  <c r="AT403" i="1"/>
  <c r="AU403" i="1"/>
  <c r="AW403" i="1"/>
  <c r="AX403" i="1"/>
  <c r="AY403" i="1"/>
  <c r="AZ403" i="1"/>
  <c r="BB403" i="1"/>
  <c r="BC403" i="1"/>
  <c r="BD403" i="1"/>
  <c r="BE403" i="1"/>
  <c r="AK404" i="1"/>
  <c r="AN404" i="1" s="1"/>
  <c r="AP404" i="1"/>
  <c r="BF404" i="1" s="1"/>
  <c r="AS404" i="1"/>
  <c r="AT404" i="1"/>
  <c r="AU404" i="1"/>
  <c r="AW404" i="1"/>
  <c r="AX404" i="1"/>
  <c r="AY404" i="1"/>
  <c r="AZ404" i="1"/>
  <c r="BB404" i="1"/>
  <c r="BC404" i="1"/>
  <c r="BD404" i="1"/>
  <c r="BE404" i="1"/>
  <c r="H405" i="1"/>
  <c r="N405" i="1"/>
  <c r="Q405" i="1"/>
  <c r="R405" i="1"/>
  <c r="S405" i="1"/>
  <c r="T405" i="1"/>
  <c r="AC405" i="1" s="1"/>
  <c r="AY405" i="1" s="1"/>
  <c r="W405" i="1"/>
  <c r="AD405" i="1"/>
  <c r="AK405" i="1"/>
  <c r="AN405" i="1" s="1"/>
  <c r="AM405" i="1"/>
  <c r="AP405" i="1"/>
  <c r="AK406" i="1"/>
  <c r="AN406" i="1" s="1"/>
  <c r="AP406" i="1"/>
  <c r="BF406" i="1" s="1"/>
  <c r="AS406" i="1"/>
  <c r="AT406" i="1"/>
  <c r="AU406" i="1"/>
  <c r="AW406" i="1"/>
  <c r="AX406" i="1"/>
  <c r="AY406" i="1"/>
  <c r="AZ406" i="1"/>
  <c r="BB406" i="1"/>
  <c r="BC406" i="1"/>
  <c r="BD406" i="1"/>
  <c r="BE406" i="1"/>
  <c r="AK407" i="1"/>
  <c r="AN407" i="1" s="1"/>
  <c r="AP407" i="1"/>
  <c r="BF407" i="1" s="1"/>
  <c r="AS407" i="1"/>
  <c r="AT407" i="1"/>
  <c r="AU407" i="1"/>
  <c r="AW407" i="1"/>
  <c r="AX407" i="1"/>
  <c r="AY407" i="1"/>
  <c r="AZ407" i="1"/>
  <c r="BB407" i="1"/>
  <c r="BC407" i="1"/>
  <c r="BD407" i="1"/>
  <c r="BE407" i="1"/>
  <c r="BA408" i="1"/>
  <c r="AK408" i="1"/>
  <c r="AN408" i="1" s="1"/>
  <c r="AP408" i="1"/>
  <c r="BF408" i="1" s="1"/>
  <c r="AS408" i="1"/>
  <c r="AT408" i="1"/>
  <c r="AU408" i="1"/>
  <c r="AW408" i="1"/>
  <c r="AX408" i="1"/>
  <c r="AY408" i="1"/>
  <c r="AZ408" i="1"/>
  <c r="BB408" i="1"/>
  <c r="BC408" i="1"/>
  <c r="BD408" i="1"/>
  <c r="BE408" i="1"/>
  <c r="AK409" i="1"/>
  <c r="AN409" i="1" s="1"/>
  <c r="AP409" i="1"/>
  <c r="BF409" i="1" s="1"/>
  <c r="AS409" i="1"/>
  <c r="AT409" i="1"/>
  <c r="AU409" i="1"/>
  <c r="AW409" i="1"/>
  <c r="AX409" i="1"/>
  <c r="AY409" i="1"/>
  <c r="AZ409" i="1"/>
  <c r="BB409" i="1"/>
  <c r="BC409" i="1"/>
  <c r="BD409" i="1"/>
  <c r="BE409" i="1"/>
  <c r="AR410" i="1"/>
  <c r="AK410" i="1"/>
  <c r="AN410" i="1" s="1"/>
  <c r="AP410" i="1"/>
  <c r="BF410" i="1" s="1"/>
  <c r="AS410" i="1"/>
  <c r="AT410" i="1"/>
  <c r="AU410" i="1"/>
  <c r="AW410" i="1"/>
  <c r="AX410" i="1"/>
  <c r="AY410" i="1"/>
  <c r="AZ410" i="1"/>
  <c r="BB410" i="1"/>
  <c r="BC410" i="1"/>
  <c r="BD410" i="1"/>
  <c r="BE410" i="1"/>
  <c r="AK411" i="1"/>
  <c r="AN411" i="1" s="1"/>
  <c r="AP411" i="1"/>
  <c r="BF411" i="1" s="1"/>
  <c r="AS411" i="1"/>
  <c r="AT411" i="1"/>
  <c r="AU411" i="1"/>
  <c r="AW411" i="1"/>
  <c r="AX411" i="1"/>
  <c r="AY411" i="1"/>
  <c r="AZ411" i="1"/>
  <c r="BB411" i="1"/>
  <c r="BC411" i="1"/>
  <c r="BD411" i="1"/>
  <c r="BE411" i="1"/>
  <c r="AK412" i="1"/>
  <c r="AN412" i="1" s="1"/>
  <c r="AP412" i="1"/>
  <c r="BF412" i="1" s="1"/>
  <c r="AS412" i="1"/>
  <c r="AT412" i="1"/>
  <c r="AU412" i="1"/>
  <c r="AW412" i="1"/>
  <c r="AX412" i="1"/>
  <c r="AY412" i="1"/>
  <c r="AZ412" i="1"/>
  <c r="BB412" i="1"/>
  <c r="BC412" i="1"/>
  <c r="BD412" i="1"/>
  <c r="BE412" i="1"/>
  <c r="K413" i="1"/>
  <c r="AK413" i="1"/>
  <c r="AN413" i="1" s="1"/>
  <c r="AP413" i="1"/>
  <c r="BF413" i="1" s="1"/>
  <c r="AS413" i="1"/>
  <c r="AT413" i="1"/>
  <c r="AU413" i="1"/>
  <c r="AW413" i="1"/>
  <c r="AX413" i="1"/>
  <c r="AY413" i="1"/>
  <c r="AZ413" i="1"/>
  <c r="BB413" i="1"/>
  <c r="BC413" i="1"/>
  <c r="BD413" i="1"/>
  <c r="BE413" i="1"/>
  <c r="AV414" i="1"/>
  <c r="AK414" i="1"/>
  <c r="AN414" i="1" s="1"/>
  <c r="AP414" i="1"/>
  <c r="BF414" i="1" s="1"/>
  <c r="AS414" i="1"/>
  <c r="AT414" i="1"/>
  <c r="AU414" i="1"/>
  <c r="AW414" i="1"/>
  <c r="AX414" i="1"/>
  <c r="AY414" i="1"/>
  <c r="AZ414" i="1"/>
  <c r="BB414" i="1"/>
  <c r="BC414" i="1"/>
  <c r="BD414" i="1"/>
  <c r="BE414" i="1"/>
  <c r="AK415" i="1"/>
  <c r="AN415" i="1" s="1"/>
  <c r="AP415" i="1"/>
  <c r="BF415" i="1" s="1"/>
  <c r="AS415" i="1"/>
  <c r="AT415" i="1"/>
  <c r="AU415" i="1"/>
  <c r="AW415" i="1"/>
  <c r="AX415" i="1"/>
  <c r="AY415" i="1"/>
  <c r="AZ415" i="1"/>
  <c r="BB415" i="1"/>
  <c r="BC415" i="1"/>
  <c r="BD415" i="1"/>
  <c r="BE415" i="1"/>
  <c r="BA416" i="1"/>
  <c r="AK416" i="1"/>
  <c r="AN416" i="1" s="1"/>
  <c r="AP416" i="1"/>
  <c r="BF416" i="1" s="1"/>
  <c r="AS416" i="1"/>
  <c r="AT416" i="1"/>
  <c r="AU416" i="1"/>
  <c r="AW416" i="1"/>
  <c r="AX416" i="1"/>
  <c r="AY416" i="1"/>
  <c r="AZ416" i="1"/>
  <c r="BB416" i="1"/>
  <c r="BC416" i="1"/>
  <c r="BD416" i="1"/>
  <c r="BE416" i="1"/>
  <c r="AK417" i="1"/>
  <c r="AN417" i="1" s="1"/>
  <c r="AP417" i="1"/>
  <c r="BF417" i="1" s="1"/>
  <c r="AS417" i="1"/>
  <c r="AT417" i="1"/>
  <c r="AU417" i="1"/>
  <c r="AW417" i="1"/>
  <c r="AX417" i="1"/>
  <c r="AY417" i="1"/>
  <c r="AZ417" i="1"/>
  <c r="BB417" i="1"/>
  <c r="BC417" i="1"/>
  <c r="BD417" i="1"/>
  <c r="BE417" i="1"/>
  <c r="K418" i="1"/>
  <c r="AK418" i="1"/>
  <c r="AN418" i="1" s="1"/>
  <c r="AP418" i="1"/>
  <c r="BF418" i="1" s="1"/>
  <c r="AS418" i="1"/>
  <c r="AT418" i="1"/>
  <c r="AU418" i="1"/>
  <c r="AW418" i="1"/>
  <c r="AX418" i="1"/>
  <c r="AY418" i="1"/>
  <c r="AZ418" i="1"/>
  <c r="BB418" i="1"/>
  <c r="BC418" i="1"/>
  <c r="BD418" i="1"/>
  <c r="BE418" i="1"/>
  <c r="BA419" i="1"/>
  <c r="AK419" i="1"/>
  <c r="AN419" i="1" s="1"/>
  <c r="AP419" i="1"/>
  <c r="BF419" i="1" s="1"/>
  <c r="AS419" i="1"/>
  <c r="AT419" i="1"/>
  <c r="AU419" i="1"/>
  <c r="AW419" i="1"/>
  <c r="AX419" i="1"/>
  <c r="AY419" i="1"/>
  <c r="AZ419" i="1"/>
  <c r="BB419" i="1"/>
  <c r="BC419" i="1"/>
  <c r="BD419" i="1"/>
  <c r="BE419" i="1"/>
  <c r="AV420" i="1"/>
  <c r="AK420" i="1"/>
  <c r="AN420" i="1" s="1"/>
  <c r="AP420" i="1"/>
  <c r="BF420" i="1" s="1"/>
  <c r="AS420" i="1"/>
  <c r="AT420" i="1"/>
  <c r="AU420" i="1"/>
  <c r="AW420" i="1"/>
  <c r="AX420" i="1"/>
  <c r="AY420" i="1"/>
  <c r="AZ420" i="1"/>
  <c r="BB420" i="1"/>
  <c r="BC420" i="1"/>
  <c r="BD420" i="1"/>
  <c r="BE420" i="1"/>
  <c r="K421" i="1"/>
  <c r="AK421" i="1"/>
  <c r="AN421" i="1" s="1"/>
  <c r="AP421" i="1"/>
  <c r="BF421" i="1" s="1"/>
  <c r="AS421" i="1"/>
  <c r="AT421" i="1"/>
  <c r="AU421" i="1"/>
  <c r="AW421" i="1"/>
  <c r="AX421" i="1"/>
  <c r="AY421" i="1"/>
  <c r="AZ421" i="1"/>
  <c r="BB421" i="1"/>
  <c r="BC421" i="1"/>
  <c r="BD421" i="1"/>
  <c r="BE421" i="1"/>
  <c r="AK422" i="1"/>
  <c r="AN422" i="1" s="1"/>
  <c r="AP422" i="1"/>
  <c r="BF422" i="1" s="1"/>
  <c r="AS422" i="1"/>
  <c r="AT422" i="1"/>
  <c r="AU422" i="1"/>
  <c r="AW422" i="1"/>
  <c r="AX422" i="1"/>
  <c r="AY422" i="1"/>
  <c r="AZ422" i="1"/>
  <c r="BB422" i="1"/>
  <c r="BC422" i="1"/>
  <c r="BD422" i="1"/>
  <c r="BE422" i="1"/>
  <c r="AK423" i="1"/>
  <c r="AN423" i="1" s="1"/>
  <c r="AP423" i="1"/>
  <c r="BF423" i="1" s="1"/>
  <c r="AS423" i="1"/>
  <c r="AT423" i="1"/>
  <c r="AU423" i="1"/>
  <c r="AW423" i="1"/>
  <c r="AX423" i="1"/>
  <c r="AY423" i="1"/>
  <c r="AZ423" i="1"/>
  <c r="BB423" i="1"/>
  <c r="BC423" i="1"/>
  <c r="BD423" i="1"/>
  <c r="BE423" i="1"/>
  <c r="AK424" i="1"/>
  <c r="AN424" i="1" s="1"/>
  <c r="AP424" i="1"/>
  <c r="BF424" i="1" s="1"/>
  <c r="AS424" i="1"/>
  <c r="AT424" i="1"/>
  <c r="AU424" i="1"/>
  <c r="AW424" i="1"/>
  <c r="AX424" i="1"/>
  <c r="AY424" i="1"/>
  <c r="AZ424" i="1"/>
  <c r="BB424" i="1"/>
  <c r="BC424" i="1"/>
  <c r="BD424" i="1"/>
  <c r="BE424" i="1"/>
  <c r="AK425" i="1"/>
  <c r="AN425" i="1" s="1"/>
  <c r="AP425" i="1"/>
  <c r="BF425" i="1" s="1"/>
  <c r="AS425" i="1"/>
  <c r="AT425" i="1"/>
  <c r="AU425" i="1"/>
  <c r="AW425" i="1"/>
  <c r="AX425" i="1"/>
  <c r="AY425" i="1"/>
  <c r="AZ425" i="1"/>
  <c r="BB425" i="1"/>
  <c r="BC425" i="1"/>
  <c r="BD425" i="1"/>
  <c r="BE425" i="1"/>
  <c r="AK426" i="1"/>
  <c r="AN426" i="1" s="1"/>
  <c r="AP426" i="1"/>
  <c r="BF426" i="1" s="1"/>
  <c r="AS426" i="1"/>
  <c r="AT426" i="1"/>
  <c r="AU426" i="1"/>
  <c r="AW426" i="1"/>
  <c r="AX426" i="1"/>
  <c r="AY426" i="1"/>
  <c r="AZ426" i="1"/>
  <c r="BB426" i="1"/>
  <c r="BC426" i="1"/>
  <c r="BD426" i="1"/>
  <c r="BE426" i="1"/>
  <c r="AK427" i="1"/>
  <c r="AN427" i="1" s="1"/>
  <c r="AP427" i="1"/>
  <c r="BF427" i="1" s="1"/>
  <c r="AS427" i="1"/>
  <c r="AT427" i="1"/>
  <c r="AU427" i="1"/>
  <c r="AW427" i="1"/>
  <c r="AX427" i="1"/>
  <c r="AY427" i="1"/>
  <c r="AZ427" i="1"/>
  <c r="BB427" i="1"/>
  <c r="BC427" i="1"/>
  <c r="BD427" i="1"/>
  <c r="BE427" i="1"/>
  <c r="AK428" i="1"/>
  <c r="AN428" i="1" s="1"/>
  <c r="AP428" i="1"/>
  <c r="BF428" i="1" s="1"/>
  <c r="AS428" i="1"/>
  <c r="AT428" i="1"/>
  <c r="AU428" i="1"/>
  <c r="AW428" i="1"/>
  <c r="AX428" i="1"/>
  <c r="AY428" i="1"/>
  <c r="AZ428" i="1"/>
  <c r="BB428" i="1"/>
  <c r="BC428" i="1"/>
  <c r="BD428" i="1"/>
  <c r="BE428" i="1"/>
  <c r="K429" i="1"/>
  <c r="AK429" i="1"/>
  <c r="AN429" i="1" s="1"/>
  <c r="AP429" i="1"/>
  <c r="BF429" i="1" s="1"/>
  <c r="AS429" i="1"/>
  <c r="AT429" i="1"/>
  <c r="AU429" i="1"/>
  <c r="AW429" i="1"/>
  <c r="AX429" i="1"/>
  <c r="AY429" i="1"/>
  <c r="AZ429" i="1"/>
  <c r="BB429" i="1"/>
  <c r="BC429" i="1"/>
  <c r="BD429" i="1"/>
  <c r="BE429" i="1"/>
  <c r="H430" i="1"/>
  <c r="N430" i="1"/>
  <c r="T430" i="1"/>
  <c r="AC430" i="1" s="1"/>
  <c r="AD430" i="1"/>
  <c r="BE430" i="1" s="1"/>
  <c r="AE430" i="1"/>
  <c r="AL430" i="1" s="1"/>
  <c r="AK430" i="1"/>
  <c r="AN430" i="1" s="1"/>
  <c r="AM430" i="1"/>
  <c r="AP430" i="1"/>
  <c r="Q431" i="1"/>
  <c r="R431" i="1"/>
  <c r="S431" i="1"/>
  <c r="L431" i="1" s="1"/>
  <c r="AK431" i="1"/>
  <c r="AN431" i="1" s="1"/>
  <c r="AP431" i="1"/>
  <c r="BF431" i="1" s="1"/>
  <c r="AS431" i="1"/>
  <c r="AT431" i="1"/>
  <c r="AU431" i="1"/>
  <c r="AW431" i="1"/>
  <c r="AX431" i="1"/>
  <c r="AY431" i="1"/>
  <c r="AZ431" i="1"/>
  <c r="BB431" i="1"/>
  <c r="BD431" i="1"/>
  <c r="BE431" i="1"/>
  <c r="AK432" i="1"/>
  <c r="AN432" i="1" s="1"/>
  <c r="AP432" i="1"/>
  <c r="BF432" i="1" s="1"/>
  <c r="AS432" i="1"/>
  <c r="AT432" i="1"/>
  <c r="AU432" i="1"/>
  <c r="AW432" i="1"/>
  <c r="AX432" i="1"/>
  <c r="AY432" i="1"/>
  <c r="AZ432" i="1"/>
  <c r="BB432" i="1"/>
  <c r="BC432" i="1"/>
  <c r="BD432" i="1"/>
  <c r="BE432" i="1"/>
  <c r="H433" i="1"/>
  <c r="N433" i="1"/>
  <c r="Q433" i="1"/>
  <c r="R433" i="1"/>
  <c r="S433" i="1"/>
  <c r="T433" i="1"/>
  <c r="AC433" i="1" s="1"/>
  <c r="W433" i="1"/>
  <c r="AD433" i="1"/>
  <c r="I433" i="1" s="1"/>
  <c r="AE433" i="1"/>
  <c r="AL433" i="1" s="1"/>
  <c r="AK433" i="1"/>
  <c r="AN433" i="1" s="1"/>
  <c r="AM433" i="1"/>
  <c r="AP433" i="1"/>
  <c r="H434" i="1"/>
  <c r="N434" i="1"/>
  <c r="Q434" i="1"/>
  <c r="R434" i="1"/>
  <c r="S434" i="1"/>
  <c r="T434" i="1"/>
  <c r="AC434" i="1" s="1"/>
  <c r="W434" i="1"/>
  <c r="AD434" i="1"/>
  <c r="AT434" i="1" s="1"/>
  <c r="AE434" i="1"/>
  <c r="AL434" i="1" s="1"/>
  <c r="AK434" i="1"/>
  <c r="AN434" i="1" s="1"/>
  <c r="AM434" i="1"/>
  <c r="AP434" i="1"/>
  <c r="H435" i="1"/>
  <c r="N435" i="1"/>
  <c r="Q435" i="1"/>
  <c r="R435" i="1"/>
  <c r="S435" i="1"/>
  <c r="T435" i="1"/>
  <c r="AC435" i="1" s="1"/>
  <c r="W435" i="1"/>
  <c r="AD435" i="1"/>
  <c r="BC435" i="1" s="1"/>
  <c r="AE435" i="1"/>
  <c r="AL435" i="1" s="1"/>
  <c r="AK435" i="1"/>
  <c r="AN435" i="1" s="1"/>
  <c r="AM435" i="1"/>
  <c r="AP435" i="1"/>
  <c r="I436" i="1"/>
  <c r="M436" i="1" s="1"/>
  <c r="AK436" i="1"/>
  <c r="AN436" i="1" s="1"/>
  <c r="AP436" i="1"/>
  <c r="BF436" i="1" s="1"/>
  <c r="AT436" i="1"/>
  <c r="AU436" i="1"/>
  <c r="AX436" i="1"/>
  <c r="AY436" i="1"/>
  <c r="AZ436" i="1"/>
  <c r="BC436" i="1"/>
  <c r="BD436" i="1"/>
  <c r="BE436" i="1"/>
  <c r="G437" i="1"/>
  <c r="AC437" i="1"/>
  <c r="AD437" i="1"/>
  <c r="AE437" i="1"/>
  <c r="AL437" i="1" s="1"/>
  <c r="AK437" i="1"/>
  <c r="AN437" i="1" s="1"/>
  <c r="AM437" i="1"/>
  <c r="AP437" i="1"/>
  <c r="H438" i="1"/>
  <c r="N438" i="1"/>
  <c r="AC438" i="1"/>
  <c r="AD438" i="1"/>
  <c r="AE438" i="1"/>
  <c r="AK438" i="1"/>
  <c r="AN438" i="1" s="1"/>
  <c r="AM438" i="1"/>
  <c r="AP438" i="1"/>
  <c r="H439" i="1"/>
  <c r="N439" i="1"/>
  <c r="Q439" i="1"/>
  <c r="R439" i="1"/>
  <c r="S439" i="1"/>
  <c r="T439" i="1"/>
  <c r="AC439" i="1" s="1"/>
  <c r="U439" i="1"/>
  <c r="W439" i="1" s="1"/>
  <c r="AD439" i="1"/>
  <c r="AE439" i="1"/>
  <c r="AL439" i="1" s="1"/>
  <c r="AK439" i="1"/>
  <c r="AN439" i="1" s="1"/>
  <c r="AM439" i="1"/>
  <c r="AP439" i="1"/>
  <c r="G440" i="1"/>
  <c r="AD440" i="1"/>
  <c r="AE440" i="1"/>
  <c r="AL440" i="1" s="1"/>
  <c r="AK440" i="1"/>
  <c r="AN440" i="1" s="1"/>
  <c r="AM440" i="1"/>
  <c r="AP440" i="1"/>
  <c r="H441" i="1"/>
  <c r="N441" i="1"/>
  <c r="Q441" i="1"/>
  <c r="R441" i="1"/>
  <c r="S441" i="1"/>
  <c r="T441" i="1"/>
  <c r="AC441" i="1" s="1"/>
  <c r="W441" i="1"/>
  <c r="AD441" i="1"/>
  <c r="BC441" i="1" s="1"/>
  <c r="AE441" i="1"/>
  <c r="AL441" i="1" s="1"/>
  <c r="AJ441" i="1"/>
  <c r="AK441" i="1"/>
  <c r="AN441" i="1" s="1"/>
  <c r="AM441" i="1"/>
  <c r="AP441" i="1"/>
  <c r="AJ442" i="1"/>
  <c r="BE442" i="1" s="1"/>
  <c r="AK442" i="1"/>
  <c r="AN442" i="1" s="1"/>
  <c r="AP442" i="1"/>
  <c r="AS442" i="1"/>
  <c r="AU442" i="1"/>
  <c r="AW442" i="1"/>
  <c r="AX442" i="1"/>
  <c r="AY442" i="1"/>
  <c r="AZ442" i="1"/>
  <c r="BB442" i="1"/>
  <c r="BD442" i="1"/>
  <c r="AJ443" i="1"/>
  <c r="AK443" i="1"/>
  <c r="AN443" i="1" s="1"/>
  <c r="AP443" i="1"/>
  <c r="AS443" i="1"/>
  <c r="AT443" i="1"/>
  <c r="AU443" i="1"/>
  <c r="AW443" i="1"/>
  <c r="AX443" i="1"/>
  <c r="AY443" i="1"/>
  <c r="AZ443" i="1"/>
  <c r="BB443" i="1"/>
  <c r="BC443" i="1"/>
  <c r="BD443" i="1"/>
  <c r="L444" i="1"/>
  <c r="AJ444" i="1"/>
  <c r="BE444" i="1" s="1"/>
  <c r="AK444" i="1"/>
  <c r="AN444" i="1" s="1"/>
  <c r="AP444" i="1"/>
  <c r="AQ444" i="1"/>
  <c r="AS444" i="1"/>
  <c r="AT444" i="1"/>
  <c r="AU444" i="1"/>
  <c r="AW444" i="1"/>
  <c r="AX444" i="1"/>
  <c r="AY444" i="1"/>
  <c r="AZ444" i="1"/>
  <c r="BA444" i="1"/>
  <c r="BB444" i="1"/>
  <c r="BC444" i="1"/>
  <c r="BD444" i="1"/>
  <c r="AJ445" i="1"/>
  <c r="BE445" i="1" s="1"/>
  <c r="AK445" i="1"/>
  <c r="AN445" i="1" s="1"/>
  <c r="AP445" i="1"/>
  <c r="AQ445" i="1"/>
  <c r="AS445" i="1"/>
  <c r="AT445" i="1"/>
  <c r="AU445" i="1"/>
  <c r="AW445" i="1"/>
  <c r="AX445" i="1"/>
  <c r="AY445" i="1"/>
  <c r="AZ445" i="1"/>
  <c r="BB445" i="1"/>
  <c r="BC445" i="1"/>
  <c r="BD445" i="1"/>
  <c r="H446" i="1"/>
  <c r="N446" i="1"/>
  <c r="Q446" i="1"/>
  <c r="R446" i="1"/>
  <c r="S446" i="1"/>
  <c r="U446" i="1"/>
  <c r="V446" i="1"/>
  <c r="AC446" i="1"/>
  <c r="AD446" i="1"/>
  <c r="AE446" i="1"/>
  <c r="AL446" i="1" s="1"/>
  <c r="AJ446" i="1"/>
  <c r="AK446" i="1"/>
  <c r="AN446" i="1" s="1"/>
  <c r="AM446" i="1"/>
  <c r="AP446" i="1"/>
  <c r="I447" i="1"/>
  <c r="M447" i="1" s="1"/>
  <c r="AJ447" i="1"/>
  <c r="BE447" i="1" s="1"/>
  <c r="AK447" i="1"/>
  <c r="AN447" i="1" s="1"/>
  <c r="AP447" i="1"/>
  <c r="AT447" i="1"/>
  <c r="AU447" i="1"/>
  <c r="AX447" i="1"/>
  <c r="AY447" i="1"/>
  <c r="AZ447" i="1"/>
  <c r="BC447" i="1"/>
  <c r="BD447" i="1"/>
  <c r="I448" i="1"/>
  <c r="M448" i="1" s="1"/>
  <c r="AJ448" i="1"/>
  <c r="AK448" i="1"/>
  <c r="AN448" i="1" s="1"/>
  <c r="AP448" i="1"/>
  <c r="AQ448" i="1"/>
  <c r="AU448" i="1"/>
  <c r="AX448" i="1"/>
  <c r="AY448" i="1"/>
  <c r="AZ448" i="1"/>
  <c r="BD448" i="1"/>
  <c r="AR449" i="1"/>
  <c r="I449" i="1"/>
  <c r="AJ449" i="1"/>
  <c r="BE449" i="1" s="1"/>
  <c r="AK449" i="1"/>
  <c r="AN449" i="1" s="1"/>
  <c r="AU449" i="1"/>
  <c r="AX449" i="1"/>
  <c r="AY449" i="1"/>
  <c r="AZ449" i="1"/>
  <c r="BD449" i="1"/>
  <c r="I450" i="1"/>
  <c r="AJ450" i="1"/>
  <c r="BE450" i="1" s="1"/>
  <c r="AK450" i="1"/>
  <c r="AN450" i="1" s="1"/>
  <c r="AU450" i="1"/>
  <c r="AX450" i="1"/>
  <c r="AY450" i="1"/>
  <c r="AZ450" i="1"/>
  <c r="BD450" i="1"/>
  <c r="I451" i="1"/>
  <c r="M451" i="1" s="1"/>
  <c r="AJ451" i="1"/>
  <c r="AK451" i="1"/>
  <c r="AN451" i="1" s="1"/>
  <c r="AT451" i="1"/>
  <c r="AU451" i="1"/>
  <c r="AX451" i="1"/>
  <c r="AY451" i="1"/>
  <c r="AZ451" i="1"/>
  <c r="BC451" i="1"/>
  <c r="BD451" i="1"/>
  <c r="BA452" i="1"/>
  <c r="AC452" i="1"/>
  <c r="AD452" i="1"/>
  <c r="AE452" i="1"/>
  <c r="AL452" i="1" s="1"/>
  <c r="AJ452" i="1"/>
  <c r="AK452" i="1"/>
  <c r="AN452" i="1" s="1"/>
  <c r="AM452" i="1"/>
  <c r="AX452" i="1" s="1"/>
  <c r="H453" i="1"/>
  <c r="Q453" i="1"/>
  <c r="R453" i="1"/>
  <c r="S453" i="1"/>
  <c r="K453" i="1" s="1"/>
  <c r="T453" i="1"/>
  <c r="AC453" i="1" s="1"/>
  <c r="W453" i="1"/>
  <c r="AD453" i="1"/>
  <c r="I453" i="1" s="1"/>
  <c r="M453" i="1" s="1"/>
  <c r="AE453" i="1"/>
  <c r="AL453" i="1" s="1"/>
  <c r="AJ453" i="1"/>
  <c r="AK453" i="1"/>
  <c r="AN453" i="1" s="1"/>
  <c r="AM453" i="1"/>
  <c r="AO453" i="1"/>
  <c r="AP449" i="1" s="1"/>
  <c r="AQ453" i="1"/>
  <c r="I454" i="1"/>
  <c r="AJ454" i="1"/>
  <c r="BE454" i="1" s="1"/>
  <c r="AK454" i="1"/>
  <c r="AN454" i="1" s="1"/>
  <c r="AU454" i="1"/>
  <c r="AX454" i="1"/>
  <c r="AY454" i="1"/>
  <c r="AZ454" i="1"/>
  <c r="BD454" i="1"/>
  <c r="I455" i="1"/>
  <c r="M455" i="1" s="1"/>
  <c r="AJ455" i="1"/>
  <c r="BE455" i="1" s="1"/>
  <c r="AK455" i="1"/>
  <c r="AN455" i="1" s="1"/>
  <c r="AU455" i="1"/>
  <c r="AX455" i="1"/>
  <c r="AY455" i="1"/>
  <c r="AZ455" i="1"/>
  <c r="BD455" i="1"/>
  <c r="H456" i="1"/>
  <c r="G456" i="1" s="1"/>
  <c r="T456" i="1"/>
  <c r="AC456" i="1" s="1"/>
  <c r="AY456" i="1" s="1"/>
  <c r="AD456" i="1"/>
  <c r="I456" i="1" s="1"/>
  <c r="AJ456" i="1"/>
  <c r="AK456" i="1"/>
  <c r="AN456" i="1" s="1"/>
  <c r="AL456" i="1"/>
  <c r="AM456" i="1"/>
  <c r="BA457" i="1"/>
  <c r="I457" i="1"/>
  <c r="M457" i="1" s="1"/>
  <c r="AK457" i="1"/>
  <c r="AN457" i="1" s="1"/>
  <c r="AU457" i="1"/>
  <c r="AX457" i="1"/>
  <c r="AY457" i="1"/>
  <c r="AZ457" i="1"/>
  <c r="BD457" i="1"/>
  <c r="BE457" i="1"/>
  <c r="I458" i="1"/>
  <c r="AK458" i="1"/>
  <c r="AN458" i="1" s="1"/>
  <c r="AU458" i="1"/>
  <c r="AX458" i="1"/>
  <c r="AY458" i="1"/>
  <c r="AZ458" i="1"/>
  <c r="BD458" i="1"/>
  <c r="BE458" i="1"/>
  <c r="I459" i="1"/>
  <c r="AK459" i="1"/>
  <c r="AN459" i="1" s="1"/>
  <c r="AU459" i="1"/>
  <c r="AX459" i="1"/>
  <c r="AY459" i="1"/>
  <c r="AZ459" i="1"/>
  <c r="BD459" i="1"/>
  <c r="BE459" i="1"/>
  <c r="H460" i="1"/>
  <c r="G460" i="1" s="1"/>
  <c r="Q460" i="1"/>
  <c r="R460" i="1"/>
  <c r="S460" i="1"/>
  <c r="T460" i="1"/>
  <c r="AC460" i="1" s="1"/>
  <c r="U460" i="1"/>
  <c r="W460" i="1" s="1"/>
  <c r="AD460" i="1"/>
  <c r="I460" i="1" s="1"/>
  <c r="AE460" i="1"/>
  <c r="AL460" i="1" s="1"/>
  <c r="AK460" i="1"/>
  <c r="AN460" i="1" s="1"/>
  <c r="AM460" i="1"/>
  <c r="I461" i="1"/>
  <c r="M461" i="1" s="1"/>
  <c r="AK461" i="1"/>
  <c r="AN461" i="1" s="1"/>
  <c r="AU461" i="1"/>
  <c r="AX461" i="1"/>
  <c r="AY461" i="1"/>
  <c r="AZ461" i="1"/>
  <c r="BD461" i="1"/>
  <c r="BE461" i="1"/>
  <c r="H462" i="1"/>
  <c r="G462" i="1" s="1"/>
  <c r="Q462" i="1"/>
  <c r="R462" i="1"/>
  <c r="S462" i="1"/>
  <c r="T462" i="1"/>
  <c r="AC462" i="1" s="1"/>
  <c r="AY462" i="1" s="1"/>
  <c r="W462" i="1"/>
  <c r="AD462" i="1"/>
  <c r="BE462" i="1" s="1"/>
  <c r="AK462" i="1"/>
  <c r="AN462" i="1" s="1"/>
  <c r="AL462" i="1"/>
  <c r="AM462" i="1"/>
  <c r="AO462" i="1"/>
  <c r="AP462" i="1" s="1"/>
  <c r="AQ462" i="1"/>
  <c r="I463" i="1"/>
  <c r="AW463" i="1" s="1"/>
  <c r="AK463" i="1"/>
  <c r="AN463" i="1" s="1"/>
  <c r="AU463" i="1"/>
  <c r="BD463" i="1"/>
  <c r="BE463" i="1"/>
  <c r="K464" i="1"/>
  <c r="I464" i="1"/>
  <c r="AW464" i="1" s="1"/>
  <c r="AK464" i="1"/>
  <c r="AN464" i="1" s="1"/>
  <c r="AU464" i="1"/>
  <c r="BD464" i="1"/>
  <c r="BE464" i="1"/>
  <c r="AK465" i="1"/>
  <c r="AN465" i="1" s="1"/>
  <c r="AS465" i="1"/>
  <c r="AU465" i="1"/>
  <c r="BB465" i="1"/>
  <c r="BD465" i="1"/>
  <c r="BE465" i="1"/>
  <c r="AV466" i="1"/>
  <c r="AK466" i="1"/>
  <c r="AN466" i="1" s="1"/>
  <c r="AS466" i="1"/>
  <c r="AU466" i="1"/>
  <c r="BB466" i="1"/>
  <c r="BD466" i="1"/>
  <c r="BE466" i="1"/>
  <c r="K467" i="1"/>
  <c r="AK467" i="1"/>
  <c r="AN467" i="1" s="1"/>
  <c r="AO467" i="1"/>
  <c r="AP469" i="1" s="1"/>
  <c r="BF469" i="1" s="1"/>
  <c r="AQ467" i="1"/>
  <c r="AS467" i="1"/>
  <c r="AU467" i="1"/>
  <c r="BB467" i="1"/>
  <c r="BD467" i="1"/>
  <c r="BE467" i="1"/>
  <c r="U468" i="1"/>
  <c r="AD468" i="1"/>
  <c r="AT468" i="1" s="1"/>
  <c r="AK468" i="1"/>
  <c r="AN468" i="1" s="1"/>
  <c r="AL468" i="1"/>
  <c r="AZ468" i="1" s="1"/>
  <c r="AU468" i="1"/>
  <c r="BD468" i="1"/>
  <c r="I469" i="1"/>
  <c r="AW469" i="1" s="1"/>
  <c r="AK469" i="1"/>
  <c r="AN469" i="1" s="1"/>
  <c r="AT469" i="1"/>
  <c r="AU469" i="1"/>
  <c r="BC469" i="1"/>
  <c r="BD469" i="1"/>
  <c r="BE469" i="1"/>
  <c r="I470" i="1"/>
  <c r="AW470" i="1" s="1"/>
  <c r="U470" i="1"/>
  <c r="V470" i="1"/>
  <c r="AK470" i="1"/>
  <c r="AN470" i="1" s="1"/>
  <c r="AP470" i="1"/>
  <c r="BF470" i="1" s="1"/>
  <c r="AT470" i="1"/>
  <c r="AU470" i="1"/>
  <c r="BC470" i="1"/>
  <c r="BD470" i="1"/>
  <c r="BE470" i="1"/>
  <c r="AV471" i="1"/>
  <c r="I471" i="1"/>
  <c r="AW471" i="1" s="1"/>
  <c r="AK471" i="1"/>
  <c r="AN471" i="1" s="1"/>
  <c r="AP471" i="1"/>
  <c r="BF471" i="1" s="1"/>
  <c r="AT471" i="1"/>
  <c r="AU471" i="1"/>
  <c r="BC471" i="1"/>
  <c r="BD471" i="1"/>
  <c r="BE471" i="1"/>
  <c r="AV472" i="1"/>
  <c r="I472" i="1"/>
  <c r="AW472" i="1" s="1"/>
  <c r="AK472" i="1"/>
  <c r="AN472" i="1" s="1"/>
  <c r="AP472" i="1"/>
  <c r="BF472" i="1" s="1"/>
  <c r="AT472" i="1"/>
  <c r="AU472" i="1"/>
  <c r="BE472" i="1"/>
  <c r="T473" i="1"/>
  <c r="AC473" i="1" s="1"/>
  <c r="AY473" i="1" s="1"/>
  <c r="AD473" i="1"/>
  <c r="BE473" i="1" s="1"/>
  <c r="AK473" i="1"/>
  <c r="AN473" i="1" s="1"/>
  <c r="AL473" i="1"/>
  <c r="AM473" i="1"/>
  <c r="AX473" i="1" s="1"/>
  <c r="AP473" i="1"/>
  <c r="I474" i="1"/>
  <c r="AW474" i="1" s="1"/>
  <c r="AK474" i="1"/>
  <c r="AN474" i="1" s="1"/>
  <c r="AP474" i="1"/>
  <c r="BF474" i="1" s="1"/>
  <c r="AT474" i="1"/>
  <c r="AU474" i="1"/>
  <c r="BE474" i="1"/>
  <c r="I475" i="1"/>
  <c r="AK475" i="1"/>
  <c r="AN475" i="1" s="1"/>
  <c r="AP475" i="1"/>
  <c r="BF475" i="1" s="1"/>
  <c r="AT475" i="1"/>
  <c r="AU475" i="1"/>
  <c r="BE475" i="1"/>
  <c r="I476" i="1"/>
  <c r="AK476" i="1"/>
  <c r="AN476" i="1" s="1"/>
  <c r="AP476" i="1"/>
  <c r="BF476" i="1" s="1"/>
  <c r="AT476" i="1"/>
  <c r="AU476" i="1"/>
  <c r="BE476" i="1"/>
  <c r="K477" i="1"/>
  <c r="I477" i="1"/>
  <c r="AW477" i="1" s="1"/>
  <c r="AK477" i="1"/>
  <c r="AN477" i="1" s="1"/>
  <c r="AP477" i="1"/>
  <c r="BF477" i="1" s="1"/>
  <c r="AT477" i="1"/>
  <c r="AU477" i="1"/>
  <c r="BE477" i="1"/>
  <c r="I478" i="1"/>
  <c r="AK478" i="1"/>
  <c r="AN478" i="1" s="1"/>
  <c r="AP478" i="1"/>
  <c r="BF478" i="1" s="1"/>
  <c r="AT478" i="1"/>
  <c r="AU478" i="1"/>
  <c r="BE478" i="1"/>
  <c r="AV479" i="1"/>
  <c r="I479" i="1"/>
  <c r="AK479" i="1"/>
  <c r="AN479" i="1" s="1"/>
  <c r="AP479" i="1"/>
  <c r="BF479" i="1" s="1"/>
  <c r="AT479" i="1"/>
  <c r="AU479" i="1"/>
  <c r="BE479" i="1"/>
  <c r="AV480" i="1"/>
  <c r="I480" i="1"/>
  <c r="AW480" i="1" s="1"/>
  <c r="AK480" i="1"/>
  <c r="AN480" i="1" s="1"/>
  <c r="AP480" i="1"/>
  <c r="BF480" i="1" s="1"/>
  <c r="AT480" i="1"/>
  <c r="AU480" i="1"/>
  <c r="BE480" i="1"/>
  <c r="I481" i="1"/>
  <c r="AW481" i="1" s="1"/>
  <c r="AK481" i="1"/>
  <c r="AN481" i="1" s="1"/>
  <c r="AP481" i="1"/>
  <c r="BF481" i="1" s="1"/>
  <c r="AT481" i="1"/>
  <c r="AU481" i="1"/>
  <c r="BE481" i="1"/>
  <c r="K482" i="1"/>
  <c r="I482" i="1"/>
  <c r="AK482" i="1"/>
  <c r="AN482" i="1" s="1"/>
  <c r="AP482" i="1"/>
  <c r="BF482" i="1" s="1"/>
  <c r="AT482" i="1"/>
  <c r="AU482" i="1"/>
  <c r="BE482" i="1"/>
  <c r="AV483" i="1"/>
  <c r="I483" i="1"/>
  <c r="AW483" i="1" s="1"/>
  <c r="AK483" i="1"/>
  <c r="AN483" i="1" s="1"/>
  <c r="AP483" i="1"/>
  <c r="BF483" i="1" s="1"/>
  <c r="AT483" i="1"/>
  <c r="AU483" i="1"/>
  <c r="BE483" i="1"/>
  <c r="H484" i="1"/>
  <c r="N484" i="1"/>
  <c r="Q484" i="1"/>
  <c r="R484" i="1"/>
  <c r="S484" i="1"/>
  <c r="T484" i="1"/>
  <c r="AC484" i="1" s="1"/>
  <c r="U484" i="1"/>
  <c r="V484" i="1"/>
  <c r="AD484" i="1"/>
  <c r="BE484" i="1" s="1"/>
  <c r="AE484" i="1"/>
  <c r="AL484" i="1" s="1"/>
  <c r="AK484" i="1"/>
  <c r="AN484" i="1" s="1"/>
  <c r="AM484" i="1"/>
  <c r="AP484" i="1"/>
  <c r="AV485" i="1"/>
  <c r="I485" i="1"/>
  <c r="AK485" i="1"/>
  <c r="AN485" i="1" s="1"/>
  <c r="AP485" i="1"/>
  <c r="BF485" i="1" s="1"/>
  <c r="AT485" i="1"/>
  <c r="AU485" i="1"/>
  <c r="BE485" i="1"/>
  <c r="I486" i="1"/>
  <c r="AK486" i="1"/>
  <c r="AN486" i="1" s="1"/>
  <c r="AP486" i="1"/>
  <c r="BF486" i="1" s="1"/>
  <c r="AT486" i="1"/>
  <c r="AU486" i="1"/>
  <c r="BE486" i="1"/>
  <c r="I487" i="1"/>
  <c r="AW487" i="1" s="1"/>
  <c r="AK487" i="1"/>
  <c r="AN487" i="1" s="1"/>
  <c r="AP487" i="1"/>
  <c r="BF487" i="1" s="1"/>
  <c r="AT487" i="1"/>
  <c r="AU487" i="1"/>
  <c r="BE487" i="1"/>
  <c r="H488" i="1"/>
  <c r="N488" i="1"/>
  <c r="Q488" i="1"/>
  <c r="R488" i="1"/>
  <c r="S488" i="1"/>
  <c r="U488" i="1"/>
  <c r="V488" i="1"/>
  <c r="AC488" i="1"/>
  <c r="AD488" i="1"/>
  <c r="AE488" i="1"/>
  <c r="AL488" i="1" s="1"/>
  <c r="AK488" i="1"/>
  <c r="AN488" i="1" s="1"/>
  <c r="AM488" i="1"/>
  <c r="AP488" i="1"/>
  <c r="H489" i="1"/>
  <c r="N489" i="1"/>
  <c r="Q489" i="1"/>
  <c r="R489" i="1"/>
  <c r="S489" i="1"/>
  <c r="U489" i="1"/>
  <c r="V489" i="1"/>
  <c r="AC489" i="1"/>
  <c r="AD489" i="1"/>
  <c r="I489" i="1" s="1"/>
  <c r="AW489" i="1" s="1"/>
  <c r="AE489" i="1"/>
  <c r="AL489" i="1" s="1"/>
  <c r="AK489" i="1"/>
  <c r="AN489" i="1" s="1"/>
  <c r="AM489" i="1"/>
  <c r="AP489" i="1"/>
  <c r="H490" i="1"/>
  <c r="N490" i="1"/>
  <c r="Q490" i="1"/>
  <c r="R490" i="1"/>
  <c r="S490" i="1"/>
  <c r="U490" i="1"/>
  <c r="V490" i="1"/>
  <c r="AC490" i="1"/>
  <c r="AD490" i="1"/>
  <c r="AE490" i="1"/>
  <c r="AL490" i="1" s="1"/>
  <c r="AK490" i="1"/>
  <c r="AN490" i="1" s="1"/>
  <c r="AM490" i="1"/>
  <c r="AP490" i="1"/>
  <c r="AV491" i="1"/>
  <c r="I491" i="1"/>
  <c r="AW491" i="1" s="1"/>
  <c r="AK491" i="1"/>
  <c r="AN491" i="1" s="1"/>
  <c r="AM491" i="1"/>
  <c r="AP491" i="1"/>
  <c r="BF491" i="1" s="1"/>
  <c r="AT491" i="1"/>
  <c r="BE491" i="1"/>
  <c r="I492" i="1"/>
  <c r="AW492" i="1" s="1"/>
  <c r="AK492" i="1"/>
  <c r="AN492" i="1" s="1"/>
  <c r="AP492" i="1"/>
  <c r="BF492" i="1" s="1"/>
  <c r="AT492" i="1"/>
  <c r="AU492" i="1"/>
  <c r="BE492" i="1"/>
  <c r="AV493" i="1"/>
  <c r="I493" i="1"/>
  <c r="AK493" i="1"/>
  <c r="AN493" i="1" s="1"/>
  <c r="AP493" i="1"/>
  <c r="BF493" i="1" s="1"/>
  <c r="AT493" i="1"/>
  <c r="AU493" i="1"/>
  <c r="BE493" i="1"/>
  <c r="G494" i="1"/>
  <c r="I494" i="1"/>
  <c r="AK494" i="1"/>
  <c r="AN494" i="1" s="1"/>
  <c r="AM494" i="1"/>
  <c r="AP494" i="1"/>
  <c r="BF494" i="1" s="1"/>
  <c r="AT494" i="1"/>
  <c r="BE494" i="1"/>
  <c r="H495" i="1"/>
  <c r="N495" i="1"/>
  <c r="Q495" i="1"/>
  <c r="R495" i="1"/>
  <c r="S495" i="1"/>
  <c r="T495" i="1"/>
  <c r="AC495" i="1" s="1"/>
  <c r="U495" i="1"/>
  <c r="V495" i="1"/>
  <c r="AD495" i="1"/>
  <c r="AE495" i="1"/>
  <c r="AK495" i="1"/>
  <c r="AN495" i="1" s="1"/>
  <c r="AM495" i="1"/>
  <c r="AP495" i="1"/>
  <c r="AV496" i="1"/>
  <c r="I496" i="1"/>
  <c r="AK496" i="1"/>
  <c r="AN496" i="1" s="1"/>
  <c r="AP496" i="1"/>
  <c r="BF496" i="1" s="1"/>
  <c r="AT496" i="1"/>
  <c r="AU496" i="1"/>
  <c r="BE496" i="1"/>
  <c r="AV497" i="1"/>
  <c r="I497" i="1"/>
  <c r="M497" i="1" s="1"/>
  <c r="AK497" i="1"/>
  <c r="AN497" i="1" s="1"/>
  <c r="AP497" i="1"/>
  <c r="BF497" i="1" s="1"/>
  <c r="AT497" i="1"/>
  <c r="AU497" i="1"/>
  <c r="BE497" i="1"/>
  <c r="I498" i="1"/>
  <c r="AW498" i="1" s="1"/>
  <c r="AK498" i="1"/>
  <c r="AN498" i="1" s="1"/>
  <c r="AP498" i="1"/>
  <c r="BF498" i="1" s="1"/>
  <c r="AT498" i="1"/>
  <c r="AU498" i="1"/>
  <c r="BE498" i="1"/>
  <c r="I499" i="1"/>
  <c r="AW499" i="1" s="1"/>
  <c r="AK499" i="1"/>
  <c r="AN499" i="1" s="1"/>
  <c r="AP499" i="1"/>
  <c r="BF499" i="1" s="1"/>
  <c r="AT499" i="1"/>
  <c r="AU499" i="1"/>
  <c r="BE499" i="1"/>
  <c r="I500" i="1"/>
  <c r="AK500" i="1"/>
  <c r="AN500" i="1" s="1"/>
  <c r="AP500" i="1"/>
  <c r="BF500" i="1" s="1"/>
  <c r="AT500" i="1"/>
  <c r="AU500" i="1"/>
  <c r="BE500" i="1"/>
  <c r="AV501" i="1"/>
  <c r="I501" i="1"/>
  <c r="AW501" i="1" s="1"/>
  <c r="AK501" i="1"/>
  <c r="AN501" i="1" s="1"/>
  <c r="AP501" i="1"/>
  <c r="BF501" i="1" s="1"/>
  <c r="AT501" i="1"/>
  <c r="AU501" i="1"/>
  <c r="BE501" i="1"/>
  <c r="AV502" i="1"/>
  <c r="I502" i="1"/>
  <c r="AW502" i="1" s="1"/>
  <c r="AK502" i="1"/>
  <c r="AN502" i="1" s="1"/>
  <c r="AP502" i="1"/>
  <c r="BF502" i="1" s="1"/>
  <c r="AT502" i="1"/>
  <c r="AU502" i="1"/>
  <c r="BE502" i="1"/>
  <c r="AV503" i="1"/>
  <c r="I503" i="1"/>
  <c r="AK503" i="1"/>
  <c r="AN503" i="1" s="1"/>
  <c r="AP503" i="1"/>
  <c r="BF503" i="1" s="1"/>
  <c r="AT503" i="1"/>
  <c r="AU503" i="1"/>
  <c r="BE503" i="1"/>
  <c r="AV504" i="1"/>
  <c r="I504" i="1"/>
  <c r="M504" i="1" s="1"/>
  <c r="AK504" i="1"/>
  <c r="AN504" i="1" s="1"/>
  <c r="AP504" i="1"/>
  <c r="BF504" i="1" s="1"/>
  <c r="AT504" i="1"/>
  <c r="AU504" i="1"/>
  <c r="BE504" i="1"/>
  <c r="AV505" i="1"/>
  <c r="I505" i="1"/>
  <c r="AK505" i="1"/>
  <c r="AP505" i="1"/>
  <c r="BF505" i="1" s="1"/>
  <c r="AT505" i="1"/>
  <c r="AU505" i="1"/>
  <c r="BE505" i="1"/>
  <c r="I506" i="1"/>
  <c r="AW506" i="1" s="1"/>
  <c r="AK506" i="1"/>
  <c r="AP506" i="1"/>
  <c r="BF506" i="1" s="1"/>
  <c r="AT506" i="1"/>
  <c r="AU506" i="1"/>
  <c r="BE506" i="1"/>
  <c r="AR507" i="1"/>
  <c r="I507" i="1"/>
  <c r="AW507" i="1" s="1"/>
  <c r="AK507" i="1"/>
  <c r="AP507" i="1"/>
  <c r="BF507" i="1" s="1"/>
  <c r="AT507" i="1"/>
  <c r="AU507" i="1"/>
  <c r="BE507" i="1"/>
  <c r="I508" i="1"/>
  <c r="AK508" i="1"/>
  <c r="AP508" i="1"/>
  <c r="BF508" i="1" s="1"/>
  <c r="AT508" i="1"/>
  <c r="AU508" i="1"/>
  <c r="BE508" i="1"/>
  <c r="AR509" i="1"/>
  <c r="I509" i="1"/>
  <c r="AW509" i="1" s="1"/>
  <c r="AK509" i="1"/>
  <c r="AP509" i="1"/>
  <c r="BF509" i="1" s="1"/>
  <c r="AT509" i="1"/>
  <c r="AU509" i="1"/>
  <c r="BE509" i="1"/>
  <c r="I510" i="1"/>
  <c r="AK510" i="1"/>
  <c r="AP510" i="1"/>
  <c r="BF510" i="1" s="1"/>
  <c r="AT510" i="1"/>
  <c r="AU510" i="1"/>
  <c r="BE510" i="1"/>
  <c r="K511" i="1"/>
  <c r="I511" i="1"/>
  <c r="AW511" i="1" s="1"/>
  <c r="AK511" i="1"/>
  <c r="AP511" i="1"/>
  <c r="BF511" i="1" s="1"/>
  <c r="AT511" i="1"/>
  <c r="AU511" i="1"/>
  <c r="BE511" i="1"/>
  <c r="I512" i="1"/>
  <c r="AW512" i="1" s="1"/>
  <c r="AK512" i="1"/>
  <c r="AP512" i="1"/>
  <c r="BF512" i="1" s="1"/>
  <c r="AT512" i="1"/>
  <c r="AU512" i="1"/>
  <c r="BE512" i="1"/>
  <c r="I513" i="1"/>
  <c r="AK513" i="1"/>
  <c r="AP513" i="1"/>
  <c r="BF513" i="1" s="1"/>
  <c r="AT513" i="1"/>
  <c r="AU513" i="1"/>
  <c r="BE513" i="1"/>
  <c r="AV514" i="1"/>
  <c r="I514" i="1"/>
  <c r="AW514" i="1" s="1"/>
  <c r="AK514" i="1"/>
  <c r="AP514" i="1"/>
  <c r="BF514" i="1" s="1"/>
  <c r="AT514" i="1"/>
  <c r="AU514" i="1"/>
  <c r="BE514" i="1"/>
  <c r="AV515" i="1"/>
  <c r="I515" i="1"/>
  <c r="AW515" i="1" s="1"/>
  <c r="AK515" i="1"/>
  <c r="AP515" i="1"/>
  <c r="BF515" i="1" s="1"/>
  <c r="AT515" i="1"/>
  <c r="AU515" i="1"/>
  <c r="BE515" i="1"/>
  <c r="H516" i="1"/>
  <c r="N516" i="1"/>
  <c r="Q516" i="1"/>
  <c r="R516" i="1"/>
  <c r="S516" i="1"/>
  <c r="U516" i="1"/>
  <c r="V516" i="1"/>
  <c r="AC516" i="1"/>
  <c r="AD516" i="1"/>
  <c r="BE516" i="1" s="1"/>
  <c r="AE516" i="1"/>
  <c r="AL516" i="1" s="1"/>
  <c r="AK516" i="1"/>
  <c r="AM516" i="1"/>
  <c r="AP516" i="1"/>
  <c r="AV517" i="1"/>
  <c r="I517" i="1"/>
  <c r="AK517" i="1"/>
  <c r="AP517" i="1"/>
  <c r="BF517" i="1" s="1"/>
  <c r="AT517" i="1"/>
  <c r="AU517" i="1"/>
  <c r="BE517" i="1"/>
  <c r="I518" i="1"/>
  <c r="AK518" i="1"/>
  <c r="AP518" i="1"/>
  <c r="BF518" i="1" s="1"/>
  <c r="AT518" i="1"/>
  <c r="AU518" i="1"/>
  <c r="BE518" i="1"/>
  <c r="AV519" i="1"/>
  <c r="I519" i="1"/>
  <c r="M519" i="1" s="1"/>
  <c r="AK519" i="1"/>
  <c r="AP519" i="1"/>
  <c r="BF519" i="1" s="1"/>
  <c r="AT519" i="1"/>
  <c r="AU519" i="1"/>
  <c r="BE519" i="1"/>
  <c r="AV520" i="1"/>
  <c r="I520" i="1"/>
  <c r="AK520" i="1"/>
  <c r="AP520" i="1"/>
  <c r="BF520" i="1" s="1"/>
  <c r="AT520" i="1"/>
  <c r="AU520" i="1"/>
  <c r="BE520" i="1"/>
  <c r="I521" i="1"/>
  <c r="M521" i="1" s="1"/>
  <c r="AK521" i="1"/>
  <c r="AP521" i="1"/>
  <c r="BF521" i="1" s="1"/>
  <c r="AT521" i="1"/>
  <c r="AU521" i="1"/>
  <c r="BE521" i="1"/>
  <c r="I522" i="1"/>
  <c r="AW522" i="1" s="1"/>
  <c r="AK522" i="1"/>
  <c r="AP522" i="1"/>
  <c r="BF522" i="1" s="1"/>
  <c r="AT522" i="1"/>
  <c r="AU522" i="1"/>
  <c r="BE522" i="1"/>
  <c r="I523" i="1"/>
  <c r="AW523" i="1" s="1"/>
  <c r="AK523" i="1"/>
  <c r="AP523" i="1"/>
  <c r="BF523" i="1" s="1"/>
  <c r="AT523" i="1"/>
  <c r="AU523" i="1"/>
  <c r="BE523" i="1"/>
  <c r="I524" i="1"/>
  <c r="AW524" i="1" s="1"/>
  <c r="AK524" i="1"/>
  <c r="AP524" i="1"/>
  <c r="BF524" i="1" s="1"/>
  <c r="AT524" i="1"/>
  <c r="AU524" i="1"/>
  <c r="BE524" i="1"/>
  <c r="AV525" i="1"/>
  <c r="I525" i="1"/>
  <c r="AW525" i="1" s="1"/>
  <c r="AK525" i="1"/>
  <c r="AP525" i="1"/>
  <c r="BF525" i="1" s="1"/>
  <c r="AT525" i="1"/>
  <c r="AU525" i="1"/>
  <c r="BE525" i="1"/>
  <c r="AV526" i="1"/>
  <c r="I526" i="1"/>
  <c r="M526" i="1" s="1"/>
  <c r="AK526" i="1"/>
  <c r="AP526" i="1"/>
  <c r="BF526" i="1" s="1"/>
  <c r="AT526" i="1"/>
  <c r="AU526" i="1"/>
  <c r="BE526" i="1"/>
  <c r="I527" i="1"/>
  <c r="AK527" i="1"/>
  <c r="AP527" i="1"/>
  <c r="BF527" i="1" s="1"/>
  <c r="AT527" i="1"/>
  <c r="AU527" i="1"/>
  <c r="BE527" i="1"/>
  <c r="AV528" i="1"/>
  <c r="I528" i="1"/>
  <c r="AS528" i="1" s="1"/>
  <c r="AK528" i="1"/>
  <c r="AP528" i="1"/>
  <c r="BF528" i="1" s="1"/>
  <c r="AT528" i="1"/>
  <c r="AU528" i="1"/>
  <c r="BE528" i="1"/>
  <c r="AR529" i="1"/>
  <c r="I529" i="1"/>
  <c r="AK529" i="1"/>
  <c r="AP529" i="1"/>
  <c r="BF529" i="1" s="1"/>
  <c r="AT529" i="1"/>
  <c r="AU529" i="1"/>
  <c r="BE529" i="1"/>
  <c r="I530" i="1"/>
  <c r="AW530" i="1" s="1"/>
  <c r="AK530" i="1"/>
  <c r="AP530" i="1"/>
  <c r="BF530" i="1" s="1"/>
  <c r="AT530" i="1"/>
  <c r="AU530" i="1"/>
  <c r="BE530" i="1"/>
  <c r="AV531" i="1"/>
  <c r="I531" i="1"/>
  <c r="M531" i="1" s="1"/>
  <c r="AK531" i="1"/>
  <c r="AP531" i="1"/>
  <c r="BF531" i="1" s="1"/>
  <c r="AT531" i="1"/>
  <c r="AU531" i="1"/>
  <c r="BE531" i="1"/>
  <c r="AV532" i="1"/>
  <c r="I532" i="1"/>
  <c r="AK532" i="1"/>
  <c r="AP532" i="1"/>
  <c r="BF532" i="1" s="1"/>
  <c r="AT532" i="1"/>
  <c r="AU532" i="1"/>
  <c r="BE532" i="1"/>
  <c r="AV533" i="1"/>
  <c r="I533" i="1"/>
  <c r="AK533" i="1"/>
  <c r="AP533" i="1"/>
  <c r="BF533" i="1" s="1"/>
  <c r="AT533" i="1"/>
  <c r="AU533" i="1"/>
  <c r="BE533" i="1"/>
  <c r="I534" i="1"/>
  <c r="AW534" i="1" s="1"/>
  <c r="AK534" i="1"/>
  <c r="AP534" i="1"/>
  <c r="BF534" i="1" s="1"/>
  <c r="AT534" i="1"/>
  <c r="AU534" i="1"/>
  <c r="BE534" i="1"/>
  <c r="I535" i="1"/>
  <c r="AW535" i="1" s="1"/>
  <c r="AK535" i="1"/>
  <c r="AP535" i="1"/>
  <c r="BF535" i="1" s="1"/>
  <c r="AT535" i="1"/>
  <c r="AU535" i="1"/>
  <c r="BE535" i="1"/>
  <c r="I536" i="1"/>
  <c r="AW536" i="1" s="1"/>
  <c r="AK536" i="1"/>
  <c r="AP536" i="1"/>
  <c r="BF536" i="1" s="1"/>
  <c r="AT536" i="1"/>
  <c r="AU536" i="1"/>
  <c r="BE536" i="1"/>
  <c r="AV537" i="1"/>
  <c r="I537" i="1"/>
  <c r="AK537" i="1"/>
  <c r="AP537" i="1"/>
  <c r="BF537" i="1" s="1"/>
  <c r="AT537" i="1"/>
  <c r="AU537" i="1"/>
  <c r="BE537" i="1"/>
  <c r="K538" i="1"/>
  <c r="I538" i="1"/>
  <c r="M538" i="1" s="1"/>
  <c r="AK538" i="1"/>
  <c r="AP538" i="1"/>
  <c r="BF538" i="1" s="1"/>
  <c r="AT538" i="1"/>
  <c r="AU538" i="1"/>
  <c r="BE538" i="1"/>
  <c r="H539" i="1"/>
  <c r="G539" i="1" s="1"/>
  <c r="AX539" i="1" s="1"/>
  <c r="I539" i="1"/>
  <c r="AW539" i="1" s="1"/>
  <c r="Q539" i="1"/>
  <c r="R539" i="1"/>
  <c r="S539" i="1"/>
  <c r="U539" i="1"/>
  <c r="V539" i="1"/>
  <c r="AK539" i="1"/>
  <c r="AP539" i="1"/>
  <c r="BF539" i="1" s="1"/>
  <c r="AT539" i="1"/>
  <c r="BE539" i="1"/>
  <c r="AV540" i="1"/>
  <c r="I540" i="1"/>
  <c r="AW540" i="1" s="1"/>
  <c r="AK540" i="1"/>
  <c r="AP540" i="1"/>
  <c r="BF540" i="1" s="1"/>
  <c r="AT540" i="1"/>
  <c r="AU540" i="1"/>
  <c r="BE540" i="1"/>
  <c r="AV541" i="1"/>
  <c r="I541" i="1"/>
  <c r="AK541" i="1"/>
  <c r="AP541" i="1"/>
  <c r="BF541" i="1" s="1"/>
  <c r="AT541" i="1"/>
  <c r="AU541" i="1"/>
  <c r="BE541" i="1"/>
  <c r="AV542" i="1"/>
  <c r="I542" i="1"/>
  <c r="AW542" i="1" s="1"/>
  <c r="AK542" i="1"/>
  <c r="AP542" i="1"/>
  <c r="BF542" i="1" s="1"/>
  <c r="AT542" i="1"/>
  <c r="AU542" i="1"/>
  <c r="BE542" i="1"/>
  <c r="AV543" i="1"/>
  <c r="I543" i="1"/>
  <c r="M543" i="1" s="1"/>
  <c r="AK543" i="1"/>
  <c r="AP543" i="1"/>
  <c r="BF543" i="1" s="1"/>
  <c r="AT543" i="1"/>
  <c r="AU543" i="1"/>
  <c r="BE543" i="1"/>
  <c r="H544" i="1"/>
  <c r="G544" i="1" s="1"/>
  <c r="I544" i="1"/>
  <c r="Q544" i="1"/>
  <c r="R544" i="1"/>
  <c r="S544" i="1"/>
  <c r="U544" i="1"/>
  <c r="V544" i="1"/>
  <c r="AK544" i="1"/>
  <c r="AP544" i="1"/>
  <c r="BF544" i="1" s="1"/>
  <c r="AT544" i="1"/>
  <c r="BE544" i="1"/>
  <c r="I545" i="1"/>
  <c r="AW545" i="1" s="1"/>
  <c r="AK545" i="1"/>
  <c r="AP545" i="1"/>
  <c r="BF545" i="1" s="1"/>
  <c r="AT545" i="1"/>
  <c r="AU545" i="1"/>
  <c r="BE545" i="1"/>
  <c r="H546" i="1"/>
  <c r="G546" i="1" s="1"/>
  <c r="AX546" i="1" s="1"/>
  <c r="I546" i="1"/>
  <c r="AW546" i="1" s="1"/>
  <c r="Q546" i="1"/>
  <c r="R546" i="1"/>
  <c r="S546" i="1"/>
  <c r="U546" i="1"/>
  <c r="V546" i="1"/>
  <c r="AK546" i="1"/>
  <c r="AP546" i="1"/>
  <c r="BF546" i="1" s="1"/>
  <c r="AT546" i="1"/>
  <c r="BE546" i="1"/>
  <c r="I547" i="1"/>
  <c r="AW547" i="1" s="1"/>
  <c r="AK547" i="1"/>
  <c r="AP547" i="1"/>
  <c r="BF547" i="1" s="1"/>
  <c r="AT547" i="1"/>
  <c r="AU547" i="1"/>
  <c r="BE547" i="1"/>
  <c r="I548" i="1"/>
  <c r="AW548" i="1" s="1"/>
  <c r="AK548" i="1"/>
  <c r="AP548" i="1"/>
  <c r="BF548" i="1" s="1"/>
  <c r="AT548" i="1"/>
  <c r="AU548" i="1"/>
  <c r="BE548" i="1"/>
  <c r="AV549" i="1"/>
  <c r="I549" i="1"/>
  <c r="AW549" i="1" s="1"/>
  <c r="AK549" i="1"/>
  <c r="AP549" i="1"/>
  <c r="BF549" i="1" s="1"/>
  <c r="AT549" i="1"/>
  <c r="AU549" i="1"/>
  <c r="BE549" i="1"/>
  <c r="K550" i="1"/>
  <c r="I550" i="1"/>
  <c r="AK550" i="1"/>
  <c r="AP550" i="1"/>
  <c r="BF550" i="1" s="1"/>
  <c r="AT550" i="1"/>
  <c r="AU550" i="1"/>
  <c r="BE550" i="1"/>
  <c r="I551" i="1"/>
  <c r="Q551" i="1"/>
  <c r="R551" i="1"/>
  <c r="S551" i="1"/>
  <c r="U551" i="1"/>
  <c r="V551" i="1"/>
  <c r="AK551" i="1"/>
  <c r="AP551" i="1"/>
  <c r="BF551" i="1" s="1"/>
  <c r="AT551" i="1"/>
  <c r="AU551" i="1"/>
  <c r="BE551" i="1"/>
  <c r="I552" i="1"/>
  <c r="M552" i="1" s="1"/>
  <c r="Q552" i="1"/>
  <c r="R552" i="1"/>
  <c r="S552" i="1"/>
  <c r="U552" i="1"/>
  <c r="V552" i="1"/>
  <c r="AK552" i="1"/>
  <c r="AP552" i="1"/>
  <c r="BF552" i="1" s="1"/>
  <c r="AT552" i="1"/>
  <c r="AU552" i="1"/>
  <c r="BE552" i="1"/>
  <c r="I553" i="1"/>
  <c r="Q553" i="1"/>
  <c r="R553" i="1"/>
  <c r="S553" i="1"/>
  <c r="K553" i="1" s="1"/>
  <c r="U553" i="1"/>
  <c r="V553" i="1"/>
  <c r="AK553" i="1"/>
  <c r="AP553" i="1"/>
  <c r="BF553" i="1" s="1"/>
  <c r="AT553" i="1"/>
  <c r="AU553" i="1"/>
  <c r="BE553" i="1"/>
  <c r="I554" i="1"/>
  <c r="M554" i="1" s="1"/>
  <c r="AK554" i="1"/>
  <c r="AP554" i="1"/>
  <c r="BF554" i="1" s="1"/>
  <c r="AT554" i="1"/>
  <c r="AU554" i="1"/>
  <c r="BE554" i="1"/>
  <c r="H555" i="1"/>
  <c r="N555" i="1"/>
  <c r="Q555" i="1"/>
  <c r="R555" i="1"/>
  <c r="S555" i="1"/>
  <c r="U555" i="1"/>
  <c r="V555" i="1"/>
  <c r="AC555" i="1"/>
  <c r="AD555" i="1"/>
  <c r="AE555" i="1"/>
  <c r="AL555" i="1" s="1"/>
  <c r="AK555" i="1"/>
  <c r="AM555" i="1"/>
  <c r="AP555" i="1"/>
  <c r="AV556" i="1"/>
  <c r="I556" i="1"/>
  <c r="AW556" i="1" s="1"/>
  <c r="AK556" i="1"/>
  <c r="AP556" i="1"/>
  <c r="BF556" i="1" s="1"/>
  <c r="AT556" i="1"/>
  <c r="AU556" i="1"/>
  <c r="BE556" i="1"/>
  <c r="I557" i="1"/>
  <c r="AW557" i="1" s="1"/>
  <c r="AK557" i="1"/>
  <c r="AP557" i="1"/>
  <c r="BF557" i="1" s="1"/>
  <c r="AT557" i="1"/>
  <c r="AU557" i="1"/>
  <c r="BE557" i="1"/>
  <c r="AV558" i="1"/>
  <c r="I558" i="1"/>
  <c r="AW558" i="1" s="1"/>
  <c r="AK558" i="1"/>
  <c r="AP558" i="1"/>
  <c r="BF558" i="1" s="1"/>
  <c r="AT558" i="1"/>
  <c r="AU558" i="1"/>
  <c r="BE558" i="1"/>
  <c r="I559" i="1"/>
  <c r="AK559" i="1"/>
  <c r="AP559" i="1"/>
  <c r="BF559" i="1" s="1"/>
  <c r="AT559" i="1"/>
  <c r="AU559" i="1"/>
  <c r="BE559" i="1"/>
  <c r="I560" i="1"/>
  <c r="AW560" i="1" s="1"/>
  <c r="Q560" i="1"/>
  <c r="R560" i="1"/>
  <c r="S560" i="1"/>
  <c r="U560" i="1"/>
  <c r="V560" i="1"/>
  <c r="AK560" i="1"/>
  <c r="AP560" i="1"/>
  <c r="BF560" i="1" s="1"/>
  <c r="AT560" i="1"/>
  <c r="AU560" i="1"/>
  <c r="BE560" i="1"/>
  <c r="AV561" i="1"/>
  <c r="I561" i="1"/>
  <c r="AW561" i="1" s="1"/>
  <c r="AK561" i="1"/>
  <c r="AP561" i="1"/>
  <c r="BF561" i="1" s="1"/>
  <c r="AT561" i="1"/>
  <c r="AU561" i="1"/>
  <c r="BE561" i="1"/>
  <c r="AV562" i="1"/>
  <c r="I562" i="1"/>
  <c r="M562" i="1" s="1"/>
  <c r="AK562" i="1"/>
  <c r="AP562" i="1"/>
  <c r="BF562" i="1" s="1"/>
  <c r="AT562" i="1"/>
  <c r="AU562" i="1"/>
  <c r="BE562" i="1"/>
  <c r="AV563" i="1"/>
  <c r="I563" i="1"/>
  <c r="AK563" i="1"/>
  <c r="AP563" i="1"/>
  <c r="BF563" i="1" s="1"/>
  <c r="AT563" i="1"/>
  <c r="AU563" i="1"/>
  <c r="BE563" i="1"/>
  <c r="I564" i="1"/>
  <c r="AK564" i="1"/>
  <c r="AP564" i="1"/>
  <c r="BF564" i="1" s="1"/>
  <c r="AT564" i="1"/>
  <c r="AU564" i="1"/>
  <c r="BE564" i="1"/>
  <c r="I565" i="1"/>
  <c r="Q565" i="1"/>
  <c r="R565" i="1"/>
  <c r="S565" i="1"/>
  <c r="U565" i="1"/>
  <c r="V565" i="1"/>
  <c r="AK565" i="1"/>
  <c r="AP565" i="1"/>
  <c r="BF565" i="1" s="1"/>
  <c r="AT565" i="1"/>
  <c r="AU565" i="1"/>
  <c r="BE565" i="1"/>
  <c r="I566" i="1"/>
  <c r="M566" i="1" s="1"/>
  <c r="AK566" i="1"/>
  <c r="AP566" i="1"/>
  <c r="BF566" i="1" s="1"/>
  <c r="AT566" i="1"/>
  <c r="AU566" i="1"/>
  <c r="BE566" i="1"/>
  <c r="AV567" i="1"/>
  <c r="I567" i="1"/>
  <c r="M567" i="1" s="1"/>
  <c r="AK567" i="1"/>
  <c r="AP567" i="1"/>
  <c r="BF567" i="1" s="1"/>
  <c r="AT567" i="1"/>
  <c r="AU567" i="1"/>
  <c r="H568" i="1"/>
  <c r="N568" i="1"/>
  <c r="Q568" i="1"/>
  <c r="R568" i="1"/>
  <c r="S568" i="1"/>
  <c r="U568" i="1"/>
  <c r="V568" i="1"/>
  <c r="AC568" i="1"/>
  <c r="AD568" i="1"/>
  <c r="AT568" i="1" s="1"/>
  <c r="AE568" i="1"/>
  <c r="AK568" i="1"/>
  <c r="AM568" i="1"/>
  <c r="AP568" i="1"/>
  <c r="AD569" i="1"/>
  <c r="AK569" i="1"/>
  <c r="AP569" i="1"/>
  <c r="AU569" i="1"/>
  <c r="AV570" i="1"/>
  <c r="I570" i="1"/>
  <c r="AW570" i="1" s="1"/>
  <c r="AK570" i="1"/>
  <c r="AP570" i="1"/>
  <c r="BF570" i="1" s="1"/>
  <c r="AT570" i="1"/>
  <c r="AU570" i="1"/>
  <c r="I571" i="1"/>
  <c r="AW571" i="1" s="1"/>
  <c r="AK571" i="1"/>
  <c r="AP571" i="1"/>
  <c r="BF571" i="1" s="1"/>
  <c r="AT571" i="1"/>
  <c r="AU571" i="1"/>
  <c r="I572" i="1"/>
  <c r="M572" i="1" s="1"/>
  <c r="AK572" i="1"/>
  <c r="AP572" i="1"/>
  <c r="BF572" i="1" s="1"/>
  <c r="AT572" i="1"/>
  <c r="AU572" i="1"/>
  <c r="AV573" i="1"/>
  <c r="I573" i="1"/>
  <c r="AK573" i="1"/>
  <c r="AP573" i="1"/>
  <c r="BF573" i="1" s="1"/>
  <c r="AT573" i="1"/>
  <c r="AU573" i="1"/>
  <c r="I574" i="1"/>
  <c r="AW574" i="1" s="1"/>
  <c r="AK574" i="1"/>
  <c r="AP574" i="1"/>
  <c r="BF574" i="1" s="1"/>
  <c r="AT574" i="1"/>
  <c r="AU574" i="1"/>
  <c r="AV575" i="1"/>
  <c r="I575" i="1"/>
  <c r="AW575" i="1" s="1"/>
  <c r="AK575" i="1"/>
  <c r="AP575" i="1"/>
  <c r="BF575" i="1" s="1"/>
  <c r="AT575" i="1"/>
  <c r="AU575" i="1"/>
  <c r="AV576" i="1"/>
  <c r="I576" i="1"/>
  <c r="M576" i="1" s="1"/>
  <c r="AK576" i="1"/>
  <c r="AP576" i="1"/>
  <c r="BF576" i="1" s="1"/>
  <c r="AT576" i="1"/>
  <c r="AU576" i="1"/>
  <c r="AV577" i="1"/>
  <c r="I577" i="1"/>
  <c r="AK577" i="1"/>
  <c r="AP577" i="1"/>
  <c r="BF577" i="1" s="1"/>
  <c r="AT577" i="1"/>
  <c r="AU577" i="1"/>
  <c r="I578" i="1"/>
  <c r="M578" i="1" s="1"/>
  <c r="AK578" i="1"/>
  <c r="AP578" i="1"/>
  <c r="BF578" i="1" s="1"/>
  <c r="AT578" i="1"/>
  <c r="AU578" i="1"/>
  <c r="AV579" i="1"/>
  <c r="I579" i="1"/>
  <c r="AS579" i="1" s="1"/>
  <c r="AK579" i="1"/>
  <c r="AP579" i="1"/>
  <c r="BF579" i="1" s="1"/>
  <c r="AT579" i="1"/>
  <c r="AU579" i="1"/>
  <c r="H580" i="1"/>
  <c r="N580" i="1"/>
  <c r="Q580" i="1"/>
  <c r="R580" i="1"/>
  <c r="S580" i="1"/>
  <c r="T580" i="1"/>
  <c r="AC580" i="1" s="1"/>
  <c r="U580" i="1"/>
  <c r="V580" i="1"/>
  <c r="AD580" i="1"/>
  <c r="AE580" i="1"/>
  <c r="AL580" i="1" s="1"/>
  <c r="AK580" i="1"/>
  <c r="AM580" i="1"/>
  <c r="AP580" i="1"/>
  <c r="H581" i="1"/>
  <c r="N581" i="1"/>
  <c r="Q581" i="1"/>
  <c r="R581" i="1"/>
  <c r="S581" i="1"/>
  <c r="T581" i="1"/>
  <c r="AC581" i="1" s="1"/>
  <c r="U581" i="1"/>
  <c r="V581" i="1"/>
  <c r="AD581" i="1"/>
  <c r="BE581" i="1" s="1"/>
  <c r="AE581" i="1"/>
  <c r="AL581" i="1" s="1"/>
  <c r="AK581" i="1"/>
  <c r="AM581" i="1"/>
  <c r="AP581" i="1"/>
  <c r="AV582" i="1"/>
  <c r="AD582" i="1"/>
  <c r="BE582" i="1" s="1"/>
  <c r="AK582" i="1"/>
  <c r="AP582" i="1"/>
  <c r="AU582" i="1"/>
  <c r="BD582" i="1"/>
  <c r="AD583" i="1"/>
  <c r="I583" i="1" s="1"/>
  <c r="AW583" i="1" s="1"/>
  <c r="AK583" i="1"/>
  <c r="AP583" i="1"/>
  <c r="AU583" i="1"/>
  <c r="BD583" i="1"/>
  <c r="AD584" i="1"/>
  <c r="BE584" i="1" s="1"/>
  <c r="AK584" i="1"/>
  <c r="AP584" i="1"/>
  <c r="AU584" i="1"/>
  <c r="BD584" i="1"/>
  <c r="AD585" i="1"/>
  <c r="AK585" i="1"/>
  <c r="AP585" i="1"/>
  <c r="AU585" i="1"/>
  <c r="BD585" i="1"/>
  <c r="H586" i="1"/>
  <c r="N586" i="1"/>
  <c r="T586" i="1"/>
  <c r="AC586" i="1" s="1"/>
  <c r="U586" i="1"/>
  <c r="V586" i="1"/>
  <c r="AD586" i="1"/>
  <c r="AT586" i="1" s="1"/>
  <c r="AE586" i="1"/>
  <c r="AH586" i="1"/>
  <c r="AJ586" i="1"/>
  <c r="AK586" i="1"/>
  <c r="AP586" i="1"/>
  <c r="AV587" i="1"/>
  <c r="I587" i="1"/>
  <c r="AW587" i="1" s="1"/>
  <c r="AH587" i="1"/>
  <c r="AJ587" i="1"/>
  <c r="AK587" i="1"/>
  <c r="AP587" i="1"/>
  <c r="AT587" i="1"/>
  <c r="BC587" i="1"/>
  <c r="AV588" i="1"/>
  <c r="I588" i="1"/>
  <c r="AW588" i="1" s="1"/>
  <c r="AJ588" i="1"/>
  <c r="BE588" i="1" s="1"/>
  <c r="AK588" i="1"/>
  <c r="AP588" i="1"/>
  <c r="AT588" i="1"/>
  <c r="BC588" i="1"/>
  <c r="H589" i="1"/>
  <c r="N589" i="1"/>
  <c r="Q589" i="1"/>
  <c r="R589" i="1"/>
  <c r="S589" i="1"/>
  <c r="T589" i="1"/>
  <c r="AC589" i="1" s="1"/>
  <c r="U589" i="1"/>
  <c r="V589" i="1"/>
  <c r="AD589" i="1"/>
  <c r="AE589" i="1"/>
  <c r="AL589" i="1" s="1"/>
  <c r="AJ589" i="1"/>
  <c r="AK589" i="1"/>
  <c r="AM589" i="1"/>
  <c r="AP589" i="1"/>
  <c r="AD590" i="1"/>
  <c r="I590" i="1" s="1"/>
  <c r="AJ590" i="1"/>
  <c r="AK590" i="1"/>
  <c r="AP590" i="1"/>
  <c r="BD590" i="1"/>
  <c r="AV591" i="1"/>
  <c r="AD591" i="1"/>
  <c r="I591" i="1" s="1"/>
  <c r="M591" i="1" s="1"/>
  <c r="AJ591" i="1"/>
  <c r="AK591" i="1"/>
  <c r="AP591" i="1"/>
  <c r="BD591" i="1"/>
  <c r="AV592" i="1"/>
  <c r="H592" i="1"/>
  <c r="I592" i="1"/>
  <c r="AW592" i="1" s="1"/>
  <c r="N592" i="1"/>
  <c r="T592" i="1"/>
  <c r="AE592" i="1"/>
  <c r="AY592" i="1" s="1"/>
  <c r="AJ592" i="1"/>
  <c r="BE592" i="1" s="1"/>
  <c r="AK592" i="1"/>
  <c r="AM592" i="1"/>
  <c r="AP592" i="1"/>
  <c r="AT592" i="1"/>
  <c r="BC592" i="1"/>
  <c r="I593" i="1"/>
  <c r="AJ593" i="1"/>
  <c r="AK593" i="1"/>
  <c r="AP593" i="1"/>
  <c r="AT593" i="1"/>
  <c r="BC593" i="1"/>
  <c r="BD593" i="1"/>
  <c r="AD594" i="1"/>
  <c r="AT594" i="1" s="1"/>
  <c r="AE594" i="1"/>
  <c r="AY594" i="1" s="1"/>
  <c r="AJ594" i="1"/>
  <c r="AK594" i="1"/>
  <c r="AM594" i="1"/>
  <c r="AX594" i="1" s="1"/>
  <c r="AP594" i="1"/>
  <c r="AD595" i="1"/>
  <c r="AT595" i="1" s="1"/>
  <c r="AJ595" i="1"/>
  <c r="AK595" i="1"/>
  <c r="AP595" i="1"/>
  <c r="BD595" i="1"/>
  <c r="AD596" i="1"/>
  <c r="AJ596" i="1"/>
  <c r="AK596" i="1"/>
  <c r="AP596" i="1"/>
  <c r="BD596" i="1"/>
  <c r="AV597" i="1"/>
  <c r="AD597" i="1"/>
  <c r="AT597" i="1" s="1"/>
  <c r="AJ597" i="1"/>
  <c r="AK597" i="1"/>
  <c r="AP597" i="1"/>
  <c r="BD597" i="1"/>
  <c r="AV598" i="1"/>
  <c r="AD598" i="1"/>
  <c r="AJ598" i="1"/>
  <c r="AK598" i="1"/>
  <c r="AP598" i="1"/>
  <c r="BD598" i="1"/>
  <c r="AV599" i="1"/>
  <c r="AC599" i="1"/>
  <c r="AD599" i="1"/>
  <c r="AT599" i="1" s="1"/>
  <c r="AE599" i="1"/>
  <c r="AL599" i="1" s="1"/>
  <c r="AJ599" i="1"/>
  <c r="AK599" i="1"/>
  <c r="AM599" i="1"/>
  <c r="AX599" i="1" s="1"/>
  <c r="AP599" i="1"/>
  <c r="AD600" i="1"/>
  <c r="I600" i="1" s="1"/>
  <c r="AW600" i="1" s="1"/>
  <c r="AJ600" i="1"/>
  <c r="AK600" i="1"/>
  <c r="AP600" i="1"/>
  <c r="BD600" i="1"/>
  <c r="K601" i="1"/>
  <c r="H601" i="1"/>
  <c r="AD601" i="1"/>
  <c r="AT601" i="1" s="1"/>
  <c r="AE601" i="1"/>
  <c r="AY601" i="1" s="1"/>
  <c r="AJ601" i="1"/>
  <c r="AK601" i="1"/>
  <c r="AM601" i="1"/>
  <c r="AX601" i="1" s="1"/>
  <c r="AP601" i="1"/>
  <c r="AD602" i="1"/>
  <c r="AT602" i="1" s="1"/>
  <c r="AJ602" i="1"/>
  <c r="AK602" i="1"/>
  <c r="AP602" i="1"/>
  <c r="BD602" i="1"/>
  <c r="AV603" i="1"/>
  <c r="AD603" i="1"/>
  <c r="AJ603" i="1"/>
  <c r="AK603" i="1"/>
  <c r="AP603" i="1"/>
  <c r="BD603" i="1"/>
  <c r="AD604" i="1"/>
  <c r="BC604" i="1" s="1"/>
  <c r="AJ604" i="1"/>
  <c r="AK604" i="1"/>
  <c r="AP604" i="1"/>
  <c r="BD604" i="1"/>
  <c r="AV605" i="1"/>
  <c r="AD605" i="1"/>
  <c r="AJ605" i="1"/>
  <c r="AK605" i="1"/>
  <c r="AP605" i="1"/>
  <c r="BD605" i="1"/>
  <c r="AV606" i="1"/>
  <c r="AD606" i="1"/>
  <c r="AJ606" i="1"/>
  <c r="AK606" i="1"/>
  <c r="AP606" i="1"/>
  <c r="BD606" i="1"/>
  <c r="AD607" i="1"/>
  <c r="I607" i="1" s="1"/>
  <c r="AJ607" i="1"/>
  <c r="AK607" i="1"/>
  <c r="AP607" i="1"/>
  <c r="BD607" i="1"/>
  <c r="AV608" i="1"/>
  <c r="AD608" i="1"/>
  <c r="AJ608" i="1"/>
  <c r="AK608" i="1"/>
  <c r="AP608" i="1"/>
  <c r="BD608" i="1"/>
  <c r="AV609" i="1"/>
  <c r="AD609" i="1"/>
  <c r="AK609" i="1"/>
  <c r="AP609" i="1"/>
  <c r="BD609" i="1"/>
  <c r="AD610" i="1"/>
  <c r="BC610" i="1" s="1"/>
  <c r="AJ610" i="1"/>
  <c r="AK610" i="1"/>
  <c r="AP610" i="1"/>
  <c r="BD610" i="1"/>
  <c r="AV611" i="1"/>
  <c r="I611" i="1"/>
  <c r="AW611" i="1" s="1"/>
  <c r="AJ611" i="1"/>
  <c r="AK611" i="1"/>
  <c r="AP611" i="1"/>
  <c r="AT611" i="1"/>
  <c r="AU611" i="1"/>
  <c r="BC611" i="1"/>
  <c r="BD611" i="1"/>
  <c r="AV612" i="1"/>
  <c r="I612" i="1"/>
  <c r="AW612" i="1" s="1"/>
  <c r="AJ612" i="1"/>
  <c r="BE612" i="1" s="1"/>
  <c r="AK612" i="1"/>
  <c r="AP612" i="1"/>
  <c r="AT612" i="1"/>
  <c r="AU612" i="1"/>
  <c r="BC612" i="1"/>
  <c r="BD612" i="1"/>
  <c r="AV613" i="1"/>
  <c r="H613" i="1"/>
  <c r="G613" i="1" s="1"/>
  <c r="I613" i="1"/>
  <c r="AC613" i="1"/>
  <c r="AY613" i="1" s="1"/>
  <c r="AJ613" i="1"/>
  <c r="BE613" i="1" s="1"/>
  <c r="AK613" i="1"/>
  <c r="AL613" i="1"/>
  <c r="AM613" i="1"/>
  <c r="AP613" i="1"/>
  <c r="AT613" i="1"/>
  <c r="BC613" i="1"/>
  <c r="I614" i="1"/>
  <c r="AJ614" i="1"/>
  <c r="BE614" i="1" s="1"/>
  <c r="AK614" i="1"/>
  <c r="AP614" i="1"/>
  <c r="AT614" i="1"/>
  <c r="BC614" i="1"/>
  <c r="BD614" i="1"/>
  <c r="AV615" i="1"/>
  <c r="I615" i="1"/>
  <c r="M615" i="1" s="1"/>
  <c r="AJ615" i="1"/>
  <c r="AK615" i="1"/>
  <c r="AP615" i="1"/>
  <c r="AT615" i="1"/>
  <c r="BC615" i="1"/>
  <c r="BD615" i="1"/>
  <c r="AV616" i="1"/>
  <c r="I616" i="1"/>
  <c r="AJ616" i="1"/>
  <c r="AK616" i="1"/>
  <c r="AP616" i="1"/>
  <c r="AT616" i="1"/>
  <c r="BC616" i="1"/>
  <c r="BD616" i="1"/>
  <c r="I617" i="1"/>
  <c r="AJ617" i="1"/>
  <c r="BE617" i="1" s="1"/>
  <c r="AK617" i="1"/>
  <c r="AP617" i="1"/>
  <c r="AT617" i="1"/>
  <c r="BC617" i="1"/>
  <c r="BD617" i="1"/>
  <c r="I618" i="1"/>
  <c r="AW618" i="1" s="1"/>
  <c r="AJ618" i="1"/>
  <c r="BE618" i="1" s="1"/>
  <c r="AK618" i="1"/>
  <c r="AP618" i="1"/>
  <c r="AT618" i="1"/>
  <c r="BC618" i="1"/>
  <c r="BD618" i="1"/>
  <c r="AV619" i="1"/>
  <c r="I619" i="1"/>
  <c r="AW619" i="1" s="1"/>
  <c r="AJ619" i="1"/>
  <c r="BE619" i="1" s="1"/>
  <c r="AK619" i="1"/>
  <c r="AP619" i="1"/>
  <c r="AT619" i="1"/>
  <c r="BC619" i="1"/>
  <c r="BD619" i="1"/>
  <c r="I620" i="1"/>
  <c r="AW620" i="1" s="1"/>
  <c r="AJ620" i="1"/>
  <c r="AK620" i="1"/>
  <c r="AP620" i="1"/>
  <c r="AT620" i="1"/>
  <c r="BC620" i="1"/>
  <c r="BD620" i="1"/>
  <c r="AV621" i="1"/>
  <c r="I621" i="1"/>
  <c r="AW621" i="1" s="1"/>
  <c r="AJ621" i="1"/>
  <c r="BE621" i="1" s="1"/>
  <c r="AK621" i="1"/>
  <c r="AP621" i="1"/>
  <c r="BC621" i="1"/>
  <c r="BD621" i="1"/>
  <c r="AV622" i="1"/>
  <c r="H622" i="1"/>
  <c r="G622" i="1" s="1"/>
  <c r="I622" i="1"/>
  <c r="AC622" i="1"/>
  <c r="AY622" i="1" s="1"/>
  <c r="AF622" i="1"/>
  <c r="BC622" i="1" s="1"/>
  <c r="AJ622" i="1"/>
  <c r="AK622" i="1"/>
  <c r="AL622" i="1"/>
  <c r="AM622" i="1"/>
  <c r="AP622" i="1"/>
  <c r="H623" i="1"/>
  <c r="N623" i="1"/>
  <c r="AC623" i="1"/>
  <c r="AD623" i="1"/>
  <c r="AE623" i="1"/>
  <c r="AL623" i="1" s="1"/>
  <c r="AF623" i="1"/>
  <c r="AJ623" i="1"/>
  <c r="AK623" i="1"/>
  <c r="AM623" i="1"/>
  <c r="AP623" i="1"/>
  <c r="AV624" i="1"/>
  <c r="I624" i="1"/>
  <c r="AW624" i="1" s="1"/>
  <c r="AJ624" i="1"/>
  <c r="BE624" i="1" s="1"/>
  <c r="AK624" i="1"/>
  <c r="AP624" i="1"/>
  <c r="AT624" i="1"/>
  <c r="BC624" i="1"/>
  <c r="BD624" i="1"/>
  <c r="BA625" i="1"/>
  <c r="I625" i="1"/>
  <c r="AW625" i="1" s="1"/>
  <c r="AJ625" i="1"/>
  <c r="AK625" i="1"/>
  <c r="AP625" i="1"/>
  <c r="AT625" i="1"/>
  <c r="BC625" i="1"/>
  <c r="BD625" i="1"/>
  <c r="I626" i="1"/>
  <c r="BB626" i="1" s="1"/>
  <c r="AE626" i="1"/>
  <c r="AL626" i="1" s="1"/>
  <c r="AJ626" i="1"/>
  <c r="BE626" i="1" s="1"/>
  <c r="AK626" i="1"/>
  <c r="AM626" i="1"/>
  <c r="AX626" i="1" s="1"/>
  <c r="AP626" i="1"/>
  <c r="AT626" i="1"/>
  <c r="BC626" i="1"/>
  <c r="AV627" i="1"/>
  <c r="I627" i="1"/>
  <c r="AJ627" i="1"/>
  <c r="BE627" i="1" s="1"/>
  <c r="AK627" i="1"/>
  <c r="AP627" i="1"/>
  <c r="AT627" i="1"/>
  <c r="BC627" i="1"/>
  <c r="BD627" i="1"/>
  <c r="AV628" i="1"/>
  <c r="I628" i="1"/>
  <c r="AJ628" i="1"/>
  <c r="AK628" i="1"/>
  <c r="AP628" i="1"/>
  <c r="AT628" i="1"/>
  <c r="BC628" i="1"/>
  <c r="BD628" i="1"/>
  <c r="AV629" i="1"/>
  <c r="I629" i="1"/>
  <c r="M629" i="1" s="1"/>
  <c r="AJ629" i="1"/>
  <c r="AK629" i="1"/>
  <c r="AP629" i="1"/>
  <c r="AT629" i="1"/>
  <c r="BC629" i="1"/>
  <c r="BD629" i="1"/>
  <c r="AV630" i="1"/>
  <c r="H630" i="1"/>
  <c r="I630" i="1"/>
  <c r="N630" i="1"/>
  <c r="AC630" i="1"/>
  <c r="AE630" i="1"/>
  <c r="AL630" i="1" s="1"/>
  <c r="AZ630" i="1" s="1"/>
  <c r="AF630" i="1"/>
  <c r="BC630" i="1" s="1"/>
  <c r="AJ630" i="1"/>
  <c r="AK630" i="1"/>
  <c r="AP630" i="1"/>
  <c r="AV631" i="1"/>
  <c r="I631" i="1"/>
  <c r="AW631" i="1" s="1"/>
  <c r="AJ631" i="1"/>
  <c r="BE631" i="1" s="1"/>
  <c r="AK631" i="1"/>
  <c r="AP631" i="1"/>
  <c r="AT631" i="1"/>
  <c r="BC631" i="1"/>
  <c r="BD631" i="1"/>
  <c r="AV632" i="1"/>
  <c r="I632" i="1"/>
  <c r="AW632" i="1" s="1"/>
  <c r="AJ632" i="1"/>
  <c r="BE632" i="1" s="1"/>
  <c r="AK632" i="1"/>
  <c r="AP632" i="1"/>
  <c r="AT632" i="1"/>
  <c r="BC632" i="1"/>
  <c r="BD632" i="1"/>
  <c r="I633" i="1"/>
  <c r="AW633" i="1" s="1"/>
  <c r="AK633" i="1"/>
  <c r="AP633" i="1"/>
  <c r="AT633" i="1"/>
  <c r="BC633" i="1"/>
  <c r="BD633" i="1"/>
  <c r="BE633" i="1"/>
  <c r="AV634" i="1"/>
  <c r="I634" i="1"/>
  <c r="AW634" i="1" s="1"/>
  <c r="AJ634" i="1"/>
  <c r="BE634" i="1" s="1"/>
  <c r="AK634" i="1"/>
  <c r="AP634" i="1"/>
  <c r="AT634" i="1"/>
  <c r="BC634" i="1"/>
  <c r="BD634" i="1"/>
  <c r="AV635" i="1"/>
  <c r="I635" i="1"/>
  <c r="AJ635" i="1"/>
  <c r="BE635" i="1" s="1"/>
  <c r="AK635" i="1"/>
  <c r="AL635" i="1"/>
  <c r="AE635" i="1" s="1"/>
  <c r="AY635" i="1" s="1"/>
  <c r="AM635" i="1"/>
  <c r="AX635" i="1" s="1"/>
  <c r="AP635" i="1"/>
  <c r="BC635" i="1"/>
  <c r="I636" i="1"/>
  <c r="BB636" i="1" s="1"/>
  <c r="AJ636" i="1"/>
  <c r="BE636" i="1" s="1"/>
  <c r="AK636" i="1"/>
  <c r="AP636" i="1"/>
  <c r="BC636" i="1"/>
  <c r="BD636" i="1"/>
  <c r="I637" i="1"/>
  <c r="AW637" i="1" s="1"/>
  <c r="AJ637" i="1"/>
  <c r="BE637" i="1" s="1"/>
  <c r="AK637" i="1"/>
  <c r="AP637" i="1"/>
  <c r="AT637" i="1"/>
  <c r="BC637" i="1"/>
  <c r="BD637" i="1"/>
  <c r="H638" i="1"/>
  <c r="N638" i="1"/>
  <c r="Q638" i="1"/>
  <c r="R638" i="1"/>
  <c r="S638" i="1"/>
  <c r="T638" i="1"/>
  <c r="AC638" i="1" s="1"/>
  <c r="U638" i="1"/>
  <c r="V638" i="1"/>
  <c r="AD638" i="1"/>
  <c r="I638" i="1" s="1"/>
  <c r="AW638" i="1" s="1"/>
  <c r="AE638" i="1"/>
  <c r="AJ638" i="1"/>
  <c r="AK638" i="1"/>
  <c r="AM638" i="1"/>
  <c r="AP638" i="1"/>
  <c r="I639" i="1"/>
  <c r="AW639" i="1" s="1"/>
  <c r="AJ639" i="1"/>
  <c r="BE639" i="1" s="1"/>
  <c r="AK639" i="1"/>
  <c r="AP639" i="1"/>
  <c r="BD639" i="1"/>
  <c r="AV640" i="1"/>
  <c r="I640" i="1"/>
  <c r="AW640" i="1" s="1"/>
  <c r="AJ640" i="1"/>
  <c r="BE640" i="1" s="1"/>
  <c r="AK640" i="1"/>
  <c r="AP640" i="1"/>
  <c r="BD640" i="1"/>
  <c r="AV641" i="1"/>
  <c r="I641" i="1"/>
  <c r="BB641" i="1" s="1"/>
  <c r="AJ641" i="1"/>
  <c r="BE641" i="1" s="1"/>
  <c r="AK641" i="1"/>
  <c r="AP641" i="1"/>
  <c r="BD641" i="1"/>
  <c r="H642" i="1"/>
  <c r="I642" i="1"/>
  <c r="AW642" i="1" s="1"/>
  <c r="N642" i="1"/>
  <c r="Q642" i="1"/>
  <c r="R642" i="1"/>
  <c r="S642" i="1"/>
  <c r="U642" i="1"/>
  <c r="V642" i="1"/>
  <c r="AJ642" i="1"/>
  <c r="BE642" i="1" s="1"/>
  <c r="AK642" i="1"/>
  <c r="AL642" i="1"/>
  <c r="AM642" i="1"/>
  <c r="AP642" i="1"/>
  <c r="I643" i="1"/>
  <c r="AW643" i="1" s="1"/>
  <c r="N643" i="1"/>
  <c r="Q643" i="1"/>
  <c r="R643" i="1"/>
  <c r="S643" i="1"/>
  <c r="U643" i="1"/>
  <c r="V643" i="1"/>
  <c r="AC643" i="1"/>
  <c r="AE643" i="1"/>
  <c r="AL643" i="1" s="1"/>
  <c r="AJ643" i="1"/>
  <c r="BE643" i="1" s="1"/>
  <c r="AK643" i="1"/>
  <c r="AM643" i="1"/>
  <c r="H643" i="1" s="1"/>
  <c r="AP643" i="1"/>
  <c r="AT643" i="1"/>
  <c r="AV644" i="1"/>
  <c r="G644" i="1"/>
  <c r="AX644" i="1" s="1"/>
  <c r="I644" i="1"/>
  <c r="AW644" i="1" s="1"/>
  <c r="AJ644" i="1"/>
  <c r="BE644" i="1" s="1"/>
  <c r="AK644" i="1"/>
  <c r="AP644" i="1"/>
  <c r="H645" i="1"/>
  <c r="I645" i="1"/>
  <c r="AS645" i="1" s="1"/>
  <c r="N645" i="1"/>
  <c r="Q645" i="1"/>
  <c r="R645" i="1"/>
  <c r="S645" i="1"/>
  <c r="T645" i="1"/>
  <c r="AC645" i="1" s="1"/>
  <c r="AY645" i="1" s="1"/>
  <c r="U645" i="1"/>
  <c r="V645" i="1"/>
  <c r="AJ645" i="1"/>
  <c r="BE645" i="1" s="1"/>
  <c r="AK645" i="1"/>
  <c r="AM645" i="1"/>
  <c r="AP645" i="1"/>
  <c r="AT645" i="1"/>
  <c r="AV646" i="1"/>
  <c r="I646" i="1"/>
  <c r="AW646" i="1" s="1"/>
  <c r="AJ646" i="1"/>
  <c r="BE646" i="1" s="1"/>
  <c r="AK646" i="1"/>
  <c r="AP646" i="1"/>
  <c r="BD646" i="1"/>
  <c r="AV647" i="1"/>
  <c r="I647" i="1"/>
  <c r="AW647" i="1" s="1"/>
  <c r="AJ647" i="1"/>
  <c r="BE647" i="1" s="1"/>
  <c r="AK647" i="1"/>
  <c r="AL647" i="1"/>
  <c r="AM647" i="1"/>
  <c r="AX647" i="1" s="1"/>
  <c r="AP647" i="1"/>
  <c r="AV648" i="1"/>
  <c r="I648" i="1"/>
  <c r="M648" i="1" s="1"/>
  <c r="AJ648" i="1"/>
  <c r="BE648" i="1" s="1"/>
  <c r="AK648" i="1"/>
  <c r="AL648" i="1"/>
  <c r="AM648" i="1"/>
  <c r="AP648" i="1"/>
  <c r="I649" i="1"/>
  <c r="AJ649" i="1"/>
  <c r="BE649" i="1" s="1"/>
  <c r="AK649" i="1"/>
  <c r="AP649" i="1"/>
  <c r="BD649" i="1"/>
  <c r="I650" i="1"/>
  <c r="M650" i="1" s="1"/>
  <c r="AJ650" i="1"/>
  <c r="BE650" i="1" s="1"/>
  <c r="AK650" i="1"/>
  <c r="AP650" i="1"/>
  <c r="BD650" i="1"/>
  <c r="I651" i="1"/>
  <c r="AJ651" i="1"/>
  <c r="BE651" i="1" s="1"/>
  <c r="AK651" i="1"/>
  <c r="AP651" i="1"/>
  <c r="BD651" i="1"/>
  <c r="H652" i="1"/>
  <c r="I652" i="1"/>
  <c r="AW652" i="1" s="1"/>
  <c r="N652" i="1"/>
  <c r="Q652" i="1"/>
  <c r="R652" i="1"/>
  <c r="S652" i="1"/>
  <c r="U652" i="1"/>
  <c r="V652" i="1"/>
  <c r="AC652" i="1"/>
  <c r="AE652" i="1"/>
  <c r="AJ652" i="1"/>
  <c r="AK652" i="1"/>
  <c r="AM652" i="1"/>
  <c r="AP652" i="1"/>
  <c r="AT652" i="1"/>
  <c r="K653" i="1"/>
  <c r="I653" i="1"/>
  <c r="AW653" i="1" s="1"/>
  <c r="AE653" i="1"/>
  <c r="AY653" i="1" s="1"/>
  <c r="AK653" i="1"/>
  <c r="AP653" i="1"/>
  <c r="BF653" i="1" s="1"/>
  <c r="AT653" i="1"/>
  <c r="BD653" i="1"/>
  <c r="BE653" i="1"/>
  <c r="I654" i="1"/>
  <c r="AW654" i="1" s="1"/>
  <c r="AJ654" i="1"/>
  <c r="AK654" i="1"/>
  <c r="AP654" i="1"/>
  <c r="BD654" i="1"/>
  <c r="I655" i="1"/>
  <c r="AW655" i="1" s="1"/>
  <c r="AE655" i="1"/>
  <c r="AL655" i="1" s="1"/>
  <c r="AJ655" i="1"/>
  <c r="BE655" i="1" s="1"/>
  <c r="AK655" i="1"/>
  <c r="AM655" i="1"/>
  <c r="BD655" i="1" s="1"/>
  <c r="AP655" i="1"/>
  <c r="AV656" i="1"/>
  <c r="I656" i="1"/>
  <c r="AW656" i="1" s="1"/>
  <c r="AJ656" i="1"/>
  <c r="BE656" i="1" s="1"/>
  <c r="AK656" i="1"/>
  <c r="AP656" i="1"/>
  <c r="BD656" i="1"/>
  <c r="H657" i="1"/>
  <c r="I657" i="1"/>
  <c r="AW657" i="1" s="1"/>
  <c r="N657" i="1"/>
  <c r="Q657" i="1"/>
  <c r="R657" i="1"/>
  <c r="S657" i="1"/>
  <c r="U657" i="1"/>
  <c r="V657" i="1"/>
  <c r="AC657" i="1"/>
  <c r="AE657" i="1"/>
  <c r="AL657" i="1" s="1"/>
  <c r="AJ657" i="1"/>
  <c r="BE657" i="1" s="1"/>
  <c r="AK657" i="1"/>
  <c r="AM657" i="1"/>
  <c r="AP657" i="1"/>
  <c r="AV658" i="1"/>
  <c r="I658" i="1"/>
  <c r="AW658" i="1" s="1"/>
  <c r="AJ658" i="1"/>
  <c r="BE658" i="1" s="1"/>
  <c r="AK658" i="1"/>
  <c r="AP658" i="1"/>
  <c r="BD658" i="1"/>
  <c r="AV659" i="1"/>
  <c r="I659" i="1"/>
  <c r="AW659" i="1" s="1"/>
  <c r="AJ659" i="1"/>
  <c r="AK659" i="1"/>
  <c r="AP659" i="1"/>
  <c r="BD659" i="1"/>
  <c r="AV660" i="1"/>
  <c r="I660" i="1"/>
  <c r="M660" i="1" s="1"/>
  <c r="AJ660" i="1"/>
  <c r="BE660" i="1" s="1"/>
  <c r="AK660" i="1"/>
  <c r="AP660" i="1"/>
  <c r="BD660" i="1"/>
  <c r="AV661" i="1"/>
  <c r="I661" i="1"/>
  <c r="AW661" i="1" s="1"/>
  <c r="AJ661" i="1"/>
  <c r="AK661" i="1"/>
  <c r="AP661" i="1"/>
  <c r="BD661" i="1"/>
  <c r="I662" i="1"/>
  <c r="AW662" i="1" s="1"/>
  <c r="AJ662" i="1"/>
  <c r="AK662" i="1"/>
  <c r="AP662" i="1"/>
  <c r="BD662" i="1"/>
  <c r="AV663" i="1"/>
  <c r="I663" i="1"/>
  <c r="AW663" i="1" s="1"/>
  <c r="AJ663" i="1"/>
  <c r="AK663" i="1"/>
  <c r="AP663" i="1"/>
  <c r="BD663" i="1"/>
  <c r="AV664" i="1"/>
  <c r="I664" i="1"/>
  <c r="AW664" i="1" s="1"/>
  <c r="AK664" i="1"/>
  <c r="AP664" i="1"/>
  <c r="BF664" i="1" s="1"/>
  <c r="BD664" i="1"/>
  <c r="BE664" i="1"/>
  <c r="H665" i="1"/>
  <c r="I665" i="1"/>
  <c r="AS665" i="1" s="1"/>
  <c r="N665" i="1"/>
  <c r="Q665" i="1"/>
  <c r="R665" i="1"/>
  <c r="U665" i="1"/>
  <c r="V665" i="1"/>
  <c r="AC665" i="1"/>
  <c r="AE665" i="1"/>
  <c r="AL665" i="1" s="1"/>
  <c r="AJ665" i="1"/>
  <c r="BE665" i="1" s="1"/>
  <c r="AK665" i="1"/>
  <c r="AM665" i="1"/>
  <c r="AP665" i="1"/>
  <c r="H666" i="1"/>
  <c r="I666" i="1"/>
  <c r="AW666" i="1" s="1"/>
  <c r="N666" i="1"/>
  <c r="Q666" i="1"/>
  <c r="R666" i="1"/>
  <c r="U666" i="1"/>
  <c r="V666" i="1"/>
  <c r="AC666" i="1"/>
  <c r="AE666" i="1"/>
  <c r="AL666" i="1" s="1"/>
  <c r="AK666" i="1"/>
  <c r="AM666" i="1"/>
  <c r="AP666" i="1"/>
  <c r="BF666" i="1" s="1"/>
  <c r="BE666" i="1"/>
  <c r="AV667" i="1"/>
  <c r="I667" i="1"/>
  <c r="AJ667" i="1"/>
  <c r="BE667" i="1" s="1"/>
  <c r="AK667" i="1"/>
  <c r="AP667" i="1"/>
  <c r="BD667" i="1"/>
  <c r="AV668" i="1"/>
  <c r="I668" i="1"/>
  <c r="M668" i="1" s="1"/>
  <c r="AE668" i="1"/>
  <c r="AJ668" i="1"/>
  <c r="BE668" i="1" s="1"/>
  <c r="AK668" i="1"/>
  <c r="AM668" i="1"/>
  <c r="AX668" i="1" s="1"/>
  <c r="AP668" i="1"/>
  <c r="AV669" i="1"/>
  <c r="I669" i="1"/>
  <c r="AJ669" i="1"/>
  <c r="BE669" i="1" s="1"/>
  <c r="AK669" i="1"/>
  <c r="AP669" i="1"/>
  <c r="BD669" i="1"/>
  <c r="AV670" i="1"/>
  <c r="I670" i="1"/>
  <c r="AW670" i="1" s="1"/>
  <c r="AK670" i="1"/>
  <c r="AP670" i="1"/>
  <c r="BD670" i="1"/>
  <c r="BE670" i="1"/>
  <c r="AV671" i="1"/>
  <c r="I671" i="1"/>
  <c r="AW671" i="1" s="1"/>
  <c r="AK671" i="1"/>
  <c r="AP671" i="1"/>
  <c r="BD671" i="1"/>
  <c r="BE671" i="1"/>
  <c r="I672" i="1"/>
  <c r="AW672" i="1" s="1"/>
  <c r="AK672" i="1"/>
  <c r="AP672" i="1"/>
  <c r="BD672" i="1"/>
  <c r="BE672" i="1"/>
  <c r="I673" i="1"/>
  <c r="AW673" i="1" s="1"/>
  <c r="AK673" i="1"/>
  <c r="AM673" i="1"/>
  <c r="AP673" i="1"/>
  <c r="BE673" i="1"/>
  <c r="AV674" i="1"/>
  <c r="I674" i="1"/>
  <c r="M674" i="1" s="1"/>
  <c r="AK674" i="1"/>
  <c r="AP674" i="1"/>
  <c r="BD674" i="1"/>
  <c r="BE674" i="1"/>
  <c r="AV675" i="1"/>
  <c r="I675" i="1"/>
  <c r="M675" i="1" s="1"/>
  <c r="AK675" i="1"/>
  <c r="AP675" i="1"/>
  <c r="BD675" i="1"/>
  <c r="BE675" i="1"/>
  <c r="I676" i="1"/>
  <c r="AE676" i="1"/>
  <c r="AY676" i="1" s="1"/>
  <c r="AK676" i="1"/>
  <c r="AM676" i="1"/>
  <c r="AX676" i="1" s="1"/>
  <c r="AP676" i="1"/>
  <c r="BE676" i="1"/>
  <c r="AV677" i="1"/>
  <c r="I677" i="1"/>
  <c r="M677" i="1" s="1"/>
  <c r="AE677" i="1"/>
  <c r="AY677" i="1" s="1"/>
  <c r="AK677" i="1"/>
  <c r="AM677" i="1"/>
  <c r="BD677" i="1" s="1"/>
  <c r="AP677" i="1"/>
  <c r="BE677" i="1"/>
  <c r="I678" i="1"/>
  <c r="AW678" i="1" s="1"/>
  <c r="N678" i="1"/>
  <c r="Q678" i="1"/>
  <c r="R678" i="1"/>
  <c r="W678" i="1"/>
  <c r="AK678" i="1"/>
  <c r="AP678" i="1"/>
  <c r="BD678" i="1"/>
  <c r="BE678" i="1"/>
  <c r="I679" i="1"/>
  <c r="AW679" i="1" s="1"/>
  <c r="AK679" i="1"/>
  <c r="AP679" i="1"/>
  <c r="BD679" i="1"/>
  <c r="H680" i="1"/>
  <c r="I680" i="1"/>
  <c r="AW680" i="1" s="1"/>
  <c r="N680" i="1"/>
  <c r="Q680" i="1"/>
  <c r="R680" i="1"/>
  <c r="W680" i="1"/>
  <c r="AE680" i="1"/>
  <c r="AK680" i="1"/>
  <c r="AM680" i="1"/>
  <c r="AP680" i="1"/>
  <c r="AT680" i="1"/>
  <c r="AV681" i="1"/>
  <c r="I681" i="1"/>
  <c r="AW681" i="1" s="1"/>
  <c r="AK681" i="1"/>
  <c r="AP681" i="1"/>
  <c r="BD681" i="1"/>
  <c r="AV682" i="1"/>
  <c r="I682" i="1"/>
  <c r="AW682" i="1" s="1"/>
  <c r="AK682" i="1"/>
  <c r="AP682" i="1"/>
  <c r="BD682" i="1"/>
  <c r="I683" i="1"/>
  <c r="AW683" i="1" s="1"/>
  <c r="AK683" i="1"/>
  <c r="AP683" i="1"/>
  <c r="BF683" i="1" s="1"/>
  <c r="BD683" i="1"/>
  <c r="I684" i="1"/>
  <c r="AW684" i="1" s="1"/>
  <c r="AK684" i="1"/>
  <c r="AP684" i="1"/>
  <c r="BF684" i="1" s="1"/>
  <c r="BD684" i="1"/>
  <c r="I685" i="1"/>
  <c r="AW685" i="1" s="1"/>
  <c r="AE685" i="1"/>
  <c r="AK685" i="1"/>
  <c r="AP685" i="1"/>
  <c r="BF685" i="1" s="1"/>
  <c r="AU685" i="1"/>
  <c r="BD685" i="1"/>
  <c r="AV686" i="1"/>
  <c r="I686" i="1"/>
  <c r="AW686" i="1" s="1"/>
  <c r="AK686" i="1"/>
  <c r="AP686" i="1"/>
  <c r="BF686" i="1" s="1"/>
  <c r="BD686" i="1"/>
  <c r="AV687" i="1"/>
  <c r="AC687" i="1"/>
  <c r="AD687" i="1"/>
  <c r="I687" i="1" s="1"/>
  <c r="AW687" i="1" s="1"/>
  <c r="AE687" i="1"/>
  <c r="AL687" i="1" s="1"/>
  <c r="AK687" i="1"/>
  <c r="AM687" i="1"/>
  <c r="AP687" i="1"/>
  <c r="H688" i="1"/>
  <c r="I688" i="1"/>
  <c r="AW688" i="1" s="1"/>
  <c r="N688" i="1"/>
  <c r="S688" i="1"/>
  <c r="AV688" i="1" s="1"/>
  <c r="AK688" i="1"/>
  <c r="AP688" i="1"/>
  <c r="BF688" i="1" s="1"/>
  <c r="AV689" i="1"/>
  <c r="I689" i="1"/>
  <c r="AW689" i="1" s="1"/>
  <c r="AK689" i="1"/>
  <c r="AP689" i="1"/>
  <c r="BF689" i="1" s="1"/>
  <c r="BD689" i="1"/>
  <c r="AV690" i="1"/>
  <c r="I690" i="1"/>
  <c r="AK690" i="1"/>
  <c r="AP690" i="1"/>
  <c r="BF690" i="1" s="1"/>
  <c r="BD690" i="1"/>
  <c r="AV691" i="1"/>
  <c r="I691" i="1"/>
  <c r="AW691" i="1" s="1"/>
  <c r="AK691" i="1"/>
  <c r="AP691" i="1"/>
  <c r="BF691" i="1" s="1"/>
  <c r="BD691" i="1"/>
  <c r="AV692" i="1"/>
  <c r="I692" i="1"/>
  <c r="AE692" i="1"/>
  <c r="AK692" i="1"/>
  <c r="AM692" i="1"/>
  <c r="AP692" i="1"/>
  <c r="BF692" i="1" s="1"/>
  <c r="I693" i="1"/>
  <c r="AE693" i="1"/>
  <c r="AK693" i="1"/>
  <c r="AM693" i="1"/>
  <c r="AU693" i="1" s="1"/>
  <c r="AP693" i="1"/>
  <c r="BF693" i="1" s="1"/>
  <c r="AT693" i="1"/>
  <c r="I694" i="1"/>
  <c r="AW694" i="1" s="1"/>
  <c r="AK694" i="1"/>
  <c r="AP694" i="1"/>
  <c r="BF694" i="1" s="1"/>
  <c r="AT694" i="1"/>
  <c r="AU694" i="1"/>
  <c r="AV695" i="1"/>
  <c r="I695" i="1"/>
  <c r="AW695" i="1" s="1"/>
  <c r="AK695" i="1"/>
  <c r="AP695" i="1"/>
  <c r="BF695" i="1" s="1"/>
  <c r="AT695" i="1"/>
  <c r="AU695" i="1"/>
  <c r="I696" i="1"/>
  <c r="M696" i="1" s="1"/>
  <c r="AK696" i="1"/>
  <c r="AP696" i="1"/>
  <c r="BF696" i="1" s="1"/>
  <c r="AT696" i="1"/>
  <c r="AU696" i="1"/>
  <c r="AV697" i="1"/>
  <c r="I697" i="1"/>
  <c r="AW697" i="1" s="1"/>
  <c r="AK697" i="1"/>
  <c r="AP697" i="1"/>
  <c r="AT697" i="1"/>
  <c r="AU697" i="1"/>
  <c r="I698" i="1"/>
  <c r="AW698" i="1" s="1"/>
  <c r="AK698" i="1"/>
  <c r="AP698" i="1"/>
  <c r="AT698" i="1"/>
  <c r="AU698" i="1"/>
  <c r="AV699" i="1"/>
  <c r="I699" i="1"/>
  <c r="AW699" i="1" s="1"/>
  <c r="AK699" i="1"/>
  <c r="AP699" i="1"/>
  <c r="AT699" i="1"/>
  <c r="AU699" i="1"/>
  <c r="I700" i="1"/>
  <c r="AK700" i="1"/>
  <c r="AP700" i="1"/>
  <c r="AT700" i="1"/>
  <c r="AU700" i="1"/>
  <c r="I701" i="1"/>
  <c r="AW701" i="1" s="1"/>
  <c r="AK701" i="1"/>
  <c r="AP701" i="1"/>
  <c r="AT701" i="1"/>
  <c r="AU701" i="1"/>
  <c r="AV702" i="1"/>
  <c r="I702" i="1"/>
  <c r="AW702" i="1" s="1"/>
  <c r="AK702" i="1"/>
  <c r="AP702" i="1"/>
  <c r="AT702" i="1"/>
  <c r="AU702" i="1"/>
  <c r="AV703" i="1"/>
  <c r="I703" i="1"/>
  <c r="AW703" i="1" s="1"/>
  <c r="AK703" i="1"/>
  <c r="AP703" i="1"/>
  <c r="BF703" i="1" s="1"/>
  <c r="AT703" i="1"/>
  <c r="AU703" i="1"/>
  <c r="AV704" i="1"/>
  <c r="I704" i="1"/>
  <c r="AW704" i="1" s="1"/>
  <c r="AK704" i="1"/>
  <c r="AP704" i="1"/>
  <c r="BF704" i="1" s="1"/>
  <c r="AT704" i="1"/>
  <c r="AU704" i="1"/>
  <c r="AV705" i="1"/>
  <c r="I705" i="1"/>
  <c r="AW705" i="1" s="1"/>
  <c r="AK705" i="1"/>
  <c r="AP705" i="1"/>
  <c r="BF705" i="1" s="1"/>
  <c r="AT705" i="1"/>
  <c r="AU705" i="1"/>
  <c r="AR706" i="1"/>
  <c r="I706" i="1"/>
  <c r="AW706" i="1" s="1"/>
  <c r="AK706" i="1"/>
  <c r="AP706" i="1"/>
  <c r="BF706" i="1" s="1"/>
  <c r="AT706" i="1"/>
  <c r="AU706" i="1"/>
  <c r="AV707" i="1"/>
  <c r="I707" i="1"/>
  <c r="AW707" i="1" s="1"/>
  <c r="AK707" i="1"/>
  <c r="AP707" i="1"/>
  <c r="BF707" i="1" s="1"/>
  <c r="AT707" i="1"/>
  <c r="AU707" i="1"/>
  <c r="I708" i="1"/>
  <c r="M708" i="1" s="1"/>
  <c r="AK708" i="1"/>
  <c r="AP708" i="1"/>
  <c r="AT708" i="1"/>
  <c r="AU708" i="1"/>
  <c r="AV709" i="1"/>
  <c r="I709" i="1"/>
  <c r="AW709" i="1" s="1"/>
  <c r="AK709" i="1"/>
  <c r="AP709" i="1"/>
  <c r="AT709" i="1"/>
  <c r="AU709" i="1"/>
  <c r="I710" i="1"/>
  <c r="AW710" i="1" s="1"/>
  <c r="AK710" i="1"/>
  <c r="AP710" i="1"/>
  <c r="AT710" i="1"/>
  <c r="AU710" i="1"/>
  <c r="AR711" i="1"/>
  <c r="I711" i="1"/>
  <c r="M711" i="1" s="1"/>
  <c r="AK711" i="1"/>
  <c r="AP711" i="1"/>
  <c r="AT711" i="1"/>
  <c r="AU711" i="1"/>
  <c r="I712" i="1"/>
  <c r="AW712" i="1" s="1"/>
  <c r="AK712" i="1"/>
  <c r="AP712" i="1"/>
  <c r="AT712" i="1"/>
  <c r="AU712" i="1"/>
  <c r="I713" i="1"/>
  <c r="AW713" i="1" s="1"/>
  <c r="AK713" i="1"/>
  <c r="AP713" i="1"/>
  <c r="AT713" i="1"/>
  <c r="AU713" i="1"/>
  <c r="AV714" i="1"/>
  <c r="I714" i="1"/>
  <c r="AK714" i="1"/>
  <c r="AP714" i="1"/>
  <c r="AT714" i="1"/>
  <c r="AU714" i="1"/>
  <c r="AV715" i="1"/>
  <c r="I715" i="1"/>
  <c r="AW715" i="1" s="1"/>
  <c r="Q715" i="1"/>
  <c r="R715" i="1"/>
  <c r="AK715" i="1"/>
  <c r="AP715" i="1"/>
  <c r="AT715" i="1"/>
  <c r="AU715" i="1"/>
  <c r="AR716" i="1"/>
  <c r="I716" i="1"/>
  <c r="AW716" i="1" s="1"/>
  <c r="AK716" i="1"/>
  <c r="AP716" i="1"/>
  <c r="AT716" i="1"/>
  <c r="AU716" i="1"/>
  <c r="AV717" i="1"/>
  <c r="I717" i="1"/>
  <c r="AW717" i="1" s="1"/>
  <c r="AK717" i="1"/>
  <c r="AP717" i="1"/>
  <c r="AT717" i="1"/>
  <c r="AU717" i="1"/>
  <c r="AV718" i="1"/>
  <c r="I718" i="1"/>
  <c r="M718" i="1" s="1"/>
  <c r="AK718" i="1"/>
  <c r="AP718" i="1"/>
  <c r="BF718" i="1" s="1"/>
  <c r="AT718" i="1"/>
  <c r="AU718" i="1"/>
  <c r="AV719" i="1"/>
  <c r="I719" i="1"/>
  <c r="AW719" i="1" s="1"/>
  <c r="AK719" i="1"/>
  <c r="AP719" i="1"/>
  <c r="BF719" i="1" s="1"/>
  <c r="AT719" i="1"/>
  <c r="AU719" i="1"/>
  <c r="AV720" i="1"/>
  <c r="I720" i="1"/>
  <c r="AW720" i="1" s="1"/>
  <c r="AK720" i="1"/>
  <c r="AP720" i="1"/>
  <c r="BF720" i="1" s="1"/>
  <c r="AT720" i="1"/>
  <c r="AU720" i="1"/>
  <c r="AV721" i="1"/>
  <c r="I721" i="1"/>
  <c r="AW721" i="1" s="1"/>
  <c r="AK721" i="1"/>
  <c r="AP721" i="1"/>
  <c r="BF721" i="1" s="1"/>
  <c r="AT721" i="1"/>
  <c r="AU721" i="1"/>
  <c r="I722" i="1"/>
  <c r="AW722" i="1" s="1"/>
  <c r="Q722" i="1"/>
  <c r="R722" i="1"/>
  <c r="W722" i="1"/>
  <c r="AK722" i="1"/>
  <c r="AP722" i="1"/>
  <c r="BF722" i="1" s="1"/>
  <c r="AT722" i="1"/>
  <c r="AU722" i="1"/>
  <c r="AV723" i="1"/>
  <c r="I723" i="1"/>
  <c r="AW723" i="1" s="1"/>
  <c r="AK723" i="1"/>
  <c r="AP723" i="1"/>
  <c r="BF723" i="1" s="1"/>
  <c r="AT723" i="1"/>
  <c r="AU723" i="1"/>
  <c r="AV724" i="1"/>
  <c r="I724" i="1"/>
  <c r="AW724" i="1" s="1"/>
  <c r="AK724" i="1"/>
  <c r="AP724" i="1"/>
  <c r="BF724" i="1" s="1"/>
  <c r="AT724" i="1"/>
  <c r="AU724" i="1"/>
  <c r="AV725" i="1"/>
  <c r="I725" i="1"/>
  <c r="AW725" i="1" s="1"/>
  <c r="AK725" i="1"/>
  <c r="AP725" i="1"/>
  <c r="BF725" i="1" s="1"/>
  <c r="AT725" i="1"/>
  <c r="AU725" i="1"/>
  <c r="H726" i="1"/>
  <c r="N726" i="1"/>
  <c r="Q726" i="1"/>
  <c r="R726" i="1"/>
  <c r="T726" i="1"/>
  <c r="AC726" i="1" s="1"/>
  <c r="W726" i="1"/>
  <c r="AD726" i="1"/>
  <c r="AE726" i="1"/>
  <c r="AL726" i="1" s="1"/>
  <c r="AK726" i="1"/>
  <c r="AM726" i="1"/>
  <c r="AP726" i="1"/>
  <c r="I727" i="1"/>
  <c r="AW727" i="1" s="1"/>
  <c r="AK727" i="1"/>
  <c r="AP727" i="1"/>
  <c r="BF727" i="1" s="1"/>
  <c r="AT727" i="1"/>
  <c r="AU727" i="1"/>
  <c r="AV728" i="1"/>
  <c r="I728" i="1"/>
  <c r="AW728" i="1" s="1"/>
  <c r="AK728" i="1"/>
  <c r="AP728" i="1"/>
  <c r="BF728" i="1" s="1"/>
  <c r="AT728" i="1"/>
  <c r="AU728" i="1"/>
  <c r="I729" i="1"/>
  <c r="AW729" i="1" s="1"/>
  <c r="AK729" i="1"/>
  <c r="AP729" i="1"/>
  <c r="AT729" i="1"/>
  <c r="AU729" i="1"/>
  <c r="I730" i="1"/>
  <c r="AW730" i="1" s="1"/>
  <c r="AK730" i="1"/>
  <c r="AP730" i="1"/>
  <c r="AT730" i="1"/>
  <c r="AU730" i="1"/>
  <c r="I731" i="1"/>
  <c r="AW731" i="1" s="1"/>
  <c r="AK731" i="1"/>
  <c r="AP731" i="1"/>
  <c r="AT731" i="1"/>
  <c r="AU731" i="1"/>
  <c r="AV732" i="1"/>
  <c r="I732" i="1"/>
  <c r="AW732" i="1" s="1"/>
  <c r="AK732" i="1"/>
  <c r="AP732" i="1"/>
  <c r="AT732" i="1"/>
  <c r="AU732" i="1"/>
  <c r="AV733" i="1"/>
  <c r="I733" i="1"/>
  <c r="AK733" i="1"/>
  <c r="AP733" i="1"/>
  <c r="BF733" i="1" s="1"/>
  <c r="AT733" i="1"/>
  <c r="AU733" i="1"/>
  <c r="AV734" i="1"/>
  <c r="I734" i="1"/>
  <c r="AW734" i="1" s="1"/>
  <c r="AK734" i="1"/>
  <c r="AP734" i="1"/>
  <c r="BF734" i="1" s="1"/>
  <c r="AT734" i="1"/>
  <c r="AU734" i="1"/>
  <c r="AV735" i="1"/>
  <c r="I735" i="1"/>
  <c r="M735" i="1" s="1"/>
  <c r="AK735" i="1"/>
  <c r="AP735" i="1"/>
  <c r="BF735" i="1" s="1"/>
  <c r="AT735" i="1"/>
  <c r="AU735" i="1"/>
  <c r="I736" i="1"/>
  <c r="AW736" i="1" s="1"/>
  <c r="Q736" i="1"/>
  <c r="R736" i="1"/>
  <c r="W736" i="1"/>
  <c r="AK736" i="1"/>
  <c r="AP736" i="1"/>
  <c r="BF736" i="1" s="1"/>
  <c r="AT736" i="1"/>
  <c r="AU736" i="1"/>
  <c r="I737" i="1"/>
  <c r="AW737" i="1" s="1"/>
  <c r="AK737" i="1"/>
  <c r="AP737" i="1"/>
  <c r="BF737" i="1" s="1"/>
  <c r="AT737" i="1"/>
  <c r="AU737" i="1"/>
  <c r="I738" i="1"/>
  <c r="AK738" i="1"/>
  <c r="AP738" i="1"/>
  <c r="BF738" i="1" s="1"/>
  <c r="AT738" i="1"/>
  <c r="AU738" i="1"/>
  <c r="I739" i="1"/>
  <c r="AW739" i="1" s="1"/>
  <c r="AK739" i="1"/>
  <c r="AP739" i="1"/>
  <c r="BF739" i="1" s="1"/>
  <c r="AT739" i="1"/>
  <c r="AU739" i="1"/>
  <c r="AV740" i="1"/>
  <c r="I740" i="1"/>
  <c r="AW740" i="1" s="1"/>
  <c r="AK740" i="1"/>
  <c r="AP740" i="1"/>
  <c r="BF740" i="1" s="1"/>
  <c r="AT740" i="1"/>
  <c r="AU740" i="1"/>
  <c r="I741" i="1"/>
  <c r="AW741" i="1" s="1"/>
  <c r="AK741" i="1"/>
  <c r="AP741" i="1"/>
  <c r="BF741" i="1" s="1"/>
  <c r="AT741" i="1"/>
  <c r="AU741" i="1"/>
  <c r="I742" i="1"/>
  <c r="AW742" i="1" s="1"/>
  <c r="AK742" i="1"/>
  <c r="AP742" i="1"/>
  <c r="BF742" i="1" s="1"/>
  <c r="AT742" i="1"/>
  <c r="AU742" i="1"/>
  <c r="I743" i="1"/>
  <c r="AW743" i="1" s="1"/>
  <c r="AK743" i="1"/>
  <c r="AP743" i="1"/>
  <c r="BF743" i="1" s="1"/>
  <c r="AT743" i="1"/>
  <c r="AU743" i="1"/>
  <c r="AV744" i="1"/>
  <c r="I744" i="1"/>
  <c r="AW744" i="1" s="1"/>
  <c r="AK744" i="1"/>
  <c r="AP744" i="1"/>
  <c r="BF744" i="1" s="1"/>
  <c r="AT744" i="1"/>
  <c r="AU744" i="1"/>
  <c r="AV745" i="1"/>
  <c r="I745" i="1"/>
  <c r="AW745" i="1" s="1"/>
  <c r="AK745" i="1"/>
  <c r="AP745" i="1"/>
  <c r="BF745" i="1" s="1"/>
  <c r="AT745" i="1"/>
  <c r="AU745" i="1"/>
  <c r="AV746" i="1"/>
  <c r="I746" i="1"/>
  <c r="AW746" i="1" s="1"/>
  <c r="AK746" i="1"/>
  <c r="AP746" i="1"/>
  <c r="BF746" i="1" s="1"/>
  <c r="AT746" i="1"/>
  <c r="AU746" i="1"/>
  <c r="AV747" i="1"/>
  <c r="I747" i="1"/>
  <c r="AW747" i="1" s="1"/>
  <c r="AK747" i="1"/>
  <c r="AP747" i="1"/>
  <c r="BF747" i="1" s="1"/>
  <c r="AT747" i="1"/>
  <c r="AU747" i="1"/>
  <c r="AV748" i="1"/>
  <c r="I748" i="1"/>
  <c r="AW748" i="1" s="1"/>
  <c r="AK748" i="1"/>
  <c r="AP748" i="1"/>
  <c r="BF748" i="1" s="1"/>
  <c r="AT748" i="1"/>
  <c r="AU748" i="1"/>
  <c r="H749" i="1"/>
  <c r="N749" i="1"/>
  <c r="Q749" i="1"/>
  <c r="R749" i="1"/>
  <c r="W749" i="1"/>
  <c r="AC749" i="1"/>
  <c r="AD749" i="1"/>
  <c r="AT749" i="1" s="1"/>
  <c r="AE749" i="1"/>
  <c r="AL749" i="1" s="1"/>
  <c r="AK749" i="1"/>
  <c r="AM749" i="1"/>
  <c r="AP749" i="1"/>
  <c r="I750" i="1"/>
  <c r="AW750" i="1" s="1"/>
  <c r="AK750" i="1"/>
  <c r="AP750" i="1"/>
  <c r="BF750" i="1" s="1"/>
  <c r="AT750" i="1"/>
  <c r="AU750" i="1"/>
  <c r="AV751" i="1"/>
  <c r="I751" i="1"/>
  <c r="AW751" i="1" s="1"/>
  <c r="AK751" i="1"/>
  <c r="AP751" i="1"/>
  <c r="BF751" i="1" s="1"/>
  <c r="AT751" i="1"/>
  <c r="AU751" i="1"/>
  <c r="I752" i="1"/>
  <c r="AW752" i="1" s="1"/>
  <c r="AK752" i="1"/>
  <c r="AP752" i="1"/>
  <c r="BF752" i="1" s="1"/>
  <c r="AT752" i="1"/>
  <c r="AU752" i="1"/>
  <c r="I753" i="1"/>
  <c r="AW753" i="1" s="1"/>
  <c r="Q753" i="1"/>
  <c r="R753" i="1"/>
  <c r="W753" i="1"/>
  <c r="AK753" i="1"/>
  <c r="AP753" i="1"/>
  <c r="BF753" i="1" s="1"/>
  <c r="AT753" i="1"/>
  <c r="AU753" i="1"/>
  <c r="I754" i="1"/>
  <c r="AW754" i="1" s="1"/>
  <c r="AK754" i="1"/>
  <c r="AP754" i="1"/>
  <c r="BF754" i="1" s="1"/>
  <c r="AT754" i="1"/>
  <c r="AU754" i="1"/>
  <c r="I755" i="1"/>
  <c r="AW755" i="1" s="1"/>
  <c r="AK755" i="1"/>
  <c r="AP755" i="1"/>
  <c r="BF755" i="1" s="1"/>
  <c r="AT755" i="1"/>
  <c r="AU755" i="1"/>
  <c r="AV756" i="1"/>
  <c r="I756" i="1"/>
  <c r="AW756" i="1" s="1"/>
  <c r="AK756" i="1"/>
  <c r="AP756" i="1"/>
  <c r="AT756" i="1"/>
  <c r="AU756" i="1"/>
  <c r="AV757" i="1"/>
  <c r="I757" i="1"/>
  <c r="AW757" i="1" s="1"/>
  <c r="AK757" i="1"/>
  <c r="AP757" i="1"/>
  <c r="AT757" i="1"/>
  <c r="AU757" i="1"/>
  <c r="AV758" i="1"/>
  <c r="I758" i="1"/>
  <c r="AK758" i="1"/>
  <c r="AP758" i="1"/>
  <c r="AT758" i="1"/>
  <c r="AU758" i="1"/>
  <c r="AV759" i="1"/>
  <c r="I759" i="1"/>
  <c r="AW759" i="1" s="1"/>
  <c r="AK759" i="1"/>
  <c r="AP759" i="1"/>
  <c r="AT759" i="1"/>
  <c r="AU759" i="1"/>
  <c r="AV760" i="1"/>
  <c r="I760" i="1"/>
  <c r="AW760" i="1" s="1"/>
  <c r="AK760" i="1"/>
  <c r="AP760" i="1"/>
  <c r="AT760" i="1"/>
  <c r="AU760" i="1"/>
  <c r="AV761" i="1"/>
  <c r="I761" i="1"/>
  <c r="AW761" i="1" s="1"/>
  <c r="AK761" i="1"/>
  <c r="AP761" i="1"/>
  <c r="AT761" i="1"/>
  <c r="AU761" i="1"/>
  <c r="I762" i="1"/>
  <c r="AK762" i="1"/>
  <c r="AP762" i="1"/>
  <c r="AT762" i="1"/>
  <c r="AU762" i="1"/>
  <c r="AV763" i="1"/>
  <c r="I763" i="1"/>
  <c r="AW763" i="1" s="1"/>
  <c r="AK763" i="1"/>
  <c r="AP763" i="1"/>
  <c r="AT763" i="1"/>
  <c r="AU763" i="1"/>
  <c r="H764" i="1"/>
  <c r="N764" i="1"/>
  <c r="Q764" i="1"/>
  <c r="R764" i="1"/>
  <c r="W764" i="1"/>
  <c r="AC764" i="1"/>
  <c r="AY764" i="1" s="1"/>
  <c r="AD764" i="1"/>
  <c r="AK764" i="1"/>
  <c r="AL764" i="1"/>
  <c r="AM764" i="1"/>
  <c r="AP764" i="1"/>
  <c r="I765" i="1"/>
  <c r="AW765" i="1" s="1"/>
  <c r="AK765" i="1"/>
  <c r="AP765" i="1"/>
  <c r="AT765" i="1"/>
  <c r="AU765" i="1"/>
  <c r="AC766" i="1"/>
  <c r="AY766" i="1" s="1"/>
  <c r="AD766" i="1"/>
  <c r="AK766" i="1"/>
  <c r="AL766" i="1"/>
  <c r="AZ766" i="1" s="1"/>
  <c r="AP766" i="1"/>
  <c r="AU766" i="1"/>
  <c r="T767" i="1"/>
  <c r="AC767" i="1" s="1"/>
  <c r="W767" i="1"/>
  <c r="AD767" i="1"/>
  <c r="AE767" i="1"/>
  <c r="AL767" i="1" s="1"/>
  <c r="AK767" i="1"/>
  <c r="AM767" i="1"/>
  <c r="AP767" i="1"/>
  <c r="AV768" i="1"/>
  <c r="T768" i="1"/>
  <c r="AC768" i="1" s="1"/>
  <c r="AY768" i="1" s="1"/>
  <c r="AD768" i="1"/>
  <c r="AK768" i="1"/>
  <c r="AL768" i="1"/>
  <c r="AZ768" i="1" s="1"/>
  <c r="AP768" i="1"/>
  <c r="AU768" i="1"/>
  <c r="AV769" i="1"/>
  <c r="AC769" i="1"/>
  <c r="AY769" i="1" s="1"/>
  <c r="AD769" i="1"/>
  <c r="AT769" i="1" s="1"/>
  <c r="AK769" i="1"/>
  <c r="AL769" i="1"/>
  <c r="AZ769" i="1" s="1"/>
  <c r="AP769" i="1"/>
  <c r="AU769" i="1"/>
  <c r="AV770" i="1"/>
  <c r="I770" i="1"/>
  <c r="AW770" i="1" s="1"/>
  <c r="AK770" i="1"/>
  <c r="AP770" i="1"/>
  <c r="AT770" i="1"/>
  <c r="AU770" i="1"/>
  <c r="AV771" i="1"/>
  <c r="I771" i="1"/>
  <c r="AW771" i="1" s="1"/>
  <c r="AK771" i="1"/>
  <c r="AP771" i="1"/>
  <c r="AT771" i="1"/>
  <c r="AU771" i="1"/>
  <c r="AV772" i="1"/>
  <c r="I772" i="1"/>
  <c r="AW772" i="1" s="1"/>
  <c r="AK772" i="1"/>
  <c r="AP772" i="1"/>
  <c r="AT772" i="1"/>
  <c r="AU772" i="1"/>
  <c r="AV773" i="1"/>
  <c r="I773" i="1"/>
  <c r="M773" i="1" s="1"/>
  <c r="AK773" i="1"/>
  <c r="AP773" i="1"/>
  <c r="AT773" i="1"/>
  <c r="AU773" i="1"/>
  <c r="AV774" i="1"/>
  <c r="I774" i="1"/>
  <c r="AE774" i="1"/>
  <c r="AK774" i="1"/>
  <c r="AP774" i="1"/>
  <c r="AT774" i="1"/>
  <c r="AU774" i="1"/>
  <c r="H775" i="1"/>
  <c r="N775" i="1"/>
  <c r="S775" i="1"/>
  <c r="W775" i="1"/>
  <c r="AC775" i="1"/>
  <c r="AY775" i="1" s="1"/>
  <c r="AD775" i="1"/>
  <c r="AK775" i="1"/>
  <c r="AL775" i="1"/>
  <c r="AM775" i="1"/>
  <c r="AP775" i="1"/>
  <c r="AV776" i="1"/>
  <c r="I776" i="1"/>
  <c r="AW776" i="1" s="1"/>
  <c r="AK776" i="1"/>
  <c r="AP776" i="1"/>
  <c r="AT776" i="1"/>
  <c r="I777" i="1"/>
  <c r="AW777" i="1" s="1"/>
  <c r="AK777" i="1"/>
  <c r="AP777" i="1"/>
  <c r="AT777" i="1"/>
  <c r="AC778" i="1"/>
  <c r="AY778" i="1" s="1"/>
  <c r="AD778" i="1"/>
  <c r="AK778" i="1"/>
  <c r="AL778" i="1"/>
  <c r="AM778" i="1"/>
  <c r="AU778" i="1" s="1"/>
  <c r="AP778" i="1"/>
  <c r="I779" i="1"/>
  <c r="AK779" i="1"/>
  <c r="AP779" i="1"/>
  <c r="I780" i="1"/>
  <c r="M780" i="1" s="1"/>
  <c r="AK780" i="1"/>
  <c r="AP780" i="1"/>
  <c r="BF780" i="1" s="1"/>
  <c r="I781" i="1"/>
  <c r="AK781" i="1"/>
  <c r="AP781" i="1"/>
  <c r="BF781" i="1" s="1"/>
  <c r="AV782" i="1"/>
  <c r="I782" i="1"/>
  <c r="M782" i="1" s="1"/>
  <c r="AK782" i="1"/>
  <c r="AM782" i="1"/>
  <c r="AP782" i="1"/>
  <c r="BF782" i="1" s="1"/>
  <c r="H783" i="1"/>
  <c r="N783" i="1"/>
  <c r="Q783" i="1"/>
  <c r="R783" i="1"/>
  <c r="W783" i="1"/>
  <c r="AC783" i="1"/>
  <c r="AY783" i="1" s="1"/>
  <c r="AD783" i="1"/>
  <c r="AJ783" i="1"/>
  <c r="AK783" i="1"/>
  <c r="AL783" i="1"/>
  <c r="AM783" i="1"/>
  <c r="AP783" i="1"/>
  <c r="H784" i="1"/>
  <c r="N784" i="1"/>
  <c r="Q784" i="1"/>
  <c r="R784" i="1"/>
  <c r="W784" i="1"/>
  <c r="AC784" i="1"/>
  <c r="AY784" i="1" s="1"/>
  <c r="AD784" i="1"/>
  <c r="I784" i="1" s="1"/>
  <c r="AW784" i="1" s="1"/>
  <c r="AJ784" i="1"/>
  <c r="AK784" i="1"/>
  <c r="AL784" i="1"/>
  <c r="AM784" i="1"/>
  <c r="AP784" i="1"/>
  <c r="AV785" i="1"/>
  <c r="I785" i="1"/>
  <c r="M785" i="1" s="1"/>
  <c r="AJ785" i="1"/>
  <c r="BE785" i="1" s="1"/>
  <c r="AK785" i="1"/>
  <c r="AP785" i="1"/>
  <c r="AV786" i="1"/>
  <c r="I786" i="1"/>
  <c r="AJ786" i="1"/>
  <c r="BE786" i="1" s="1"/>
  <c r="AK786" i="1"/>
  <c r="AP786" i="1"/>
  <c r="AC787" i="1"/>
  <c r="AY787" i="1" s="1"/>
  <c r="AD787" i="1"/>
  <c r="I787" i="1" s="1"/>
  <c r="AW787" i="1" s="1"/>
  <c r="AJ787" i="1"/>
  <c r="AK787" i="1"/>
  <c r="AM787" i="1"/>
  <c r="AU787" i="1" s="1"/>
  <c r="AP787" i="1"/>
  <c r="I788" i="1"/>
  <c r="AW788" i="1" s="1"/>
  <c r="Q788" i="1"/>
  <c r="R788" i="1"/>
  <c r="W788" i="1"/>
  <c r="AJ788" i="1"/>
  <c r="BE788" i="1" s="1"/>
  <c r="AK788" i="1"/>
  <c r="AP788" i="1"/>
  <c r="AT788" i="1"/>
  <c r="I789" i="1"/>
  <c r="AW789" i="1" s="1"/>
  <c r="Q789" i="1"/>
  <c r="R789" i="1"/>
  <c r="W789" i="1"/>
  <c r="AJ789" i="1"/>
  <c r="BE789" i="1" s="1"/>
  <c r="AK789" i="1"/>
  <c r="AP789" i="1"/>
  <c r="AT789" i="1"/>
  <c r="I790" i="1"/>
  <c r="AW790" i="1" s="1"/>
  <c r="AJ790" i="1"/>
  <c r="BE790" i="1" s="1"/>
  <c r="AK790" i="1"/>
  <c r="AP790" i="1"/>
  <c r="AT790" i="1"/>
  <c r="AU790" i="1"/>
  <c r="I791" i="1"/>
  <c r="AW791" i="1" s="1"/>
  <c r="Q791" i="1"/>
  <c r="R791" i="1"/>
  <c r="W791" i="1"/>
  <c r="AJ791" i="1"/>
  <c r="BE791" i="1" s="1"/>
  <c r="AK791" i="1"/>
  <c r="AP791" i="1"/>
  <c r="AT791" i="1"/>
  <c r="I792" i="1"/>
  <c r="AW792" i="1" s="1"/>
  <c r="Q792" i="1"/>
  <c r="R792" i="1"/>
  <c r="W792" i="1"/>
  <c r="AJ792" i="1"/>
  <c r="BE792" i="1" s="1"/>
  <c r="AK792" i="1"/>
  <c r="AP792" i="1"/>
  <c r="AT792" i="1"/>
  <c r="I793" i="1"/>
  <c r="AW793" i="1" s="1"/>
  <c r="AJ793" i="1"/>
  <c r="BE793" i="1" s="1"/>
  <c r="AK793" i="1"/>
  <c r="AP793" i="1"/>
  <c r="AT793" i="1"/>
  <c r="I794" i="1"/>
  <c r="AW794" i="1" s="1"/>
  <c r="Q794" i="1"/>
  <c r="R794" i="1"/>
  <c r="W794" i="1"/>
  <c r="AJ794" i="1"/>
  <c r="AK794" i="1"/>
  <c r="AP794" i="1"/>
  <c r="AV795" i="1"/>
  <c r="I795" i="1"/>
  <c r="M795" i="1" s="1"/>
  <c r="AJ795" i="1"/>
  <c r="BE795" i="1" s="1"/>
  <c r="AK795" i="1"/>
  <c r="AP795" i="1"/>
  <c r="AV796" i="1"/>
  <c r="I796" i="1"/>
  <c r="AW796" i="1" s="1"/>
  <c r="AK796" i="1"/>
  <c r="AP796" i="1"/>
  <c r="BF796" i="1" s="1"/>
  <c r="BE796" i="1"/>
  <c r="AV797" i="1"/>
  <c r="I797" i="1"/>
  <c r="AW797" i="1" s="1"/>
  <c r="AK797" i="1"/>
  <c r="AP797" i="1"/>
  <c r="BE797" i="1"/>
  <c r="AV798" i="1"/>
  <c r="I798" i="1"/>
  <c r="AW798" i="1" s="1"/>
  <c r="AJ798" i="1"/>
  <c r="BE798" i="1" s="1"/>
  <c r="AK798" i="1"/>
  <c r="AP798" i="1"/>
  <c r="AU798" i="1"/>
  <c r="I799" i="1"/>
  <c r="AW799" i="1" s="1"/>
  <c r="AJ799" i="1"/>
  <c r="AK799" i="1"/>
  <c r="AP799" i="1"/>
  <c r="AV800" i="1"/>
  <c r="I800" i="1"/>
  <c r="AW800" i="1" s="1"/>
  <c r="AJ800" i="1"/>
  <c r="AK800" i="1"/>
  <c r="AP800" i="1"/>
  <c r="AT800" i="1"/>
  <c r="AV801" i="1"/>
  <c r="I801" i="1"/>
  <c r="AJ801" i="1"/>
  <c r="BE801" i="1" s="1"/>
  <c r="AK801" i="1"/>
  <c r="AP801" i="1"/>
  <c r="AT801" i="1"/>
  <c r="AU801" i="1"/>
  <c r="H802" i="1"/>
  <c r="N802" i="1"/>
  <c r="Q802" i="1"/>
  <c r="R802" i="1"/>
  <c r="W802" i="1"/>
  <c r="AC802" i="1"/>
  <c r="AY802" i="1" s="1"/>
  <c r="AD802" i="1"/>
  <c r="I802" i="1" s="1"/>
  <c r="AW802" i="1" s="1"/>
  <c r="AJ802" i="1"/>
  <c r="AK802" i="1"/>
  <c r="AL802" i="1"/>
  <c r="AM802" i="1"/>
  <c r="AP802" i="1"/>
  <c r="I803" i="1"/>
  <c r="AW803" i="1" s="1"/>
  <c r="Q803" i="1"/>
  <c r="R803" i="1"/>
  <c r="W803" i="1"/>
  <c r="AJ803" i="1"/>
  <c r="BE803" i="1" s="1"/>
  <c r="AK803" i="1"/>
  <c r="AP803" i="1"/>
  <c r="AT803" i="1"/>
  <c r="I804" i="1"/>
  <c r="AW804" i="1" s="1"/>
  <c r="AJ804" i="1"/>
  <c r="AK804" i="1"/>
  <c r="AP804" i="1"/>
  <c r="AT804" i="1"/>
  <c r="I805" i="1"/>
  <c r="AW805" i="1" s="1"/>
  <c r="AJ805" i="1"/>
  <c r="BE805" i="1" s="1"/>
  <c r="AK805" i="1"/>
  <c r="AP805" i="1"/>
  <c r="AT805" i="1"/>
  <c r="AV806" i="1"/>
  <c r="I806" i="1"/>
  <c r="AW806" i="1" s="1"/>
  <c r="AJ806" i="1"/>
  <c r="BE806" i="1" s="1"/>
  <c r="AK806" i="1"/>
  <c r="AP806" i="1"/>
  <c r="AT806" i="1"/>
  <c r="AV807" i="1"/>
  <c r="I807" i="1"/>
  <c r="AW807" i="1" s="1"/>
  <c r="AJ807" i="1"/>
  <c r="BE807" i="1" s="1"/>
  <c r="AK807" i="1"/>
  <c r="AP807" i="1"/>
  <c r="AT807" i="1"/>
  <c r="I808" i="1"/>
  <c r="AW808" i="1" s="1"/>
  <c r="AJ808" i="1"/>
  <c r="AK808" i="1"/>
  <c r="AP808" i="1"/>
  <c r="AT808" i="1"/>
  <c r="AV809" i="1"/>
  <c r="I809" i="1"/>
  <c r="AW809" i="1" s="1"/>
  <c r="AJ809" i="1"/>
  <c r="AK809" i="1"/>
  <c r="AP809" i="1"/>
  <c r="AT809" i="1"/>
  <c r="AV810" i="1"/>
  <c r="I810" i="1"/>
  <c r="AJ810" i="1"/>
  <c r="BE810" i="1" s="1"/>
  <c r="AK810" i="1"/>
  <c r="AP810" i="1"/>
  <c r="AT810" i="1"/>
  <c r="AV811" i="1"/>
  <c r="I811" i="1"/>
  <c r="AJ811" i="1"/>
  <c r="AK811" i="1"/>
  <c r="AP811" i="1"/>
  <c r="AT811" i="1"/>
  <c r="H812" i="1"/>
  <c r="N812" i="1"/>
  <c r="Q812" i="1"/>
  <c r="R812" i="1"/>
  <c r="W812" i="1"/>
  <c r="AC812" i="1"/>
  <c r="AD812" i="1"/>
  <c r="I812" i="1" s="1"/>
  <c r="AW812" i="1" s="1"/>
  <c r="AE812" i="1"/>
  <c r="AL812" i="1" s="1"/>
  <c r="AJ812" i="1"/>
  <c r="AK812" i="1"/>
  <c r="AM812" i="1"/>
  <c r="AP812" i="1"/>
  <c r="AV813" i="1"/>
  <c r="I813" i="1"/>
  <c r="AW813" i="1" s="1"/>
  <c r="AJ813" i="1"/>
  <c r="AK813" i="1"/>
  <c r="AP813" i="1"/>
  <c r="AT813" i="1"/>
  <c r="K814" i="1"/>
  <c r="I814" i="1"/>
  <c r="AW814" i="1" s="1"/>
  <c r="AJ814" i="1"/>
  <c r="BE814" i="1" s="1"/>
  <c r="AK814" i="1"/>
  <c r="AP814" i="1"/>
  <c r="AT814" i="1"/>
  <c r="AV815" i="1"/>
  <c r="I815" i="1"/>
  <c r="AW815" i="1" s="1"/>
  <c r="AJ815" i="1"/>
  <c r="AK815" i="1"/>
  <c r="AP815" i="1"/>
  <c r="AT815" i="1"/>
  <c r="AV816" i="1"/>
  <c r="I816" i="1"/>
  <c r="AW816" i="1" s="1"/>
  <c r="AJ816" i="1"/>
  <c r="BE816" i="1" s="1"/>
  <c r="AK816" i="1"/>
  <c r="AP816" i="1"/>
  <c r="AT816" i="1"/>
  <c r="I817" i="1"/>
  <c r="AW817" i="1" s="1"/>
  <c r="Q817" i="1"/>
  <c r="R817" i="1"/>
  <c r="W817" i="1"/>
  <c r="AJ817" i="1"/>
  <c r="AK817" i="1"/>
  <c r="AP817" i="1"/>
  <c r="AV818" i="1"/>
  <c r="I818" i="1"/>
  <c r="AW818" i="1" s="1"/>
  <c r="AJ818" i="1"/>
  <c r="BE818" i="1" s="1"/>
  <c r="AK818" i="1"/>
  <c r="AP818" i="1"/>
  <c r="H819" i="1"/>
  <c r="N819" i="1"/>
  <c r="Q819" i="1"/>
  <c r="R819" i="1"/>
  <c r="W819" i="1"/>
  <c r="AD819" i="1"/>
  <c r="I819" i="1" s="1"/>
  <c r="AW819" i="1" s="1"/>
  <c r="AJ819" i="1"/>
  <c r="AK819" i="1"/>
  <c r="AL819" i="1"/>
  <c r="AM819" i="1"/>
  <c r="AP819" i="1"/>
  <c r="AV820" i="1"/>
  <c r="I820" i="1"/>
  <c r="AJ820" i="1"/>
  <c r="BE820" i="1" s="1"/>
  <c r="AK820" i="1"/>
  <c r="AP820" i="1"/>
  <c r="I821" i="1"/>
  <c r="AW821" i="1" s="1"/>
  <c r="AJ821" i="1"/>
  <c r="BE821" i="1" s="1"/>
  <c r="AK821" i="1"/>
  <c r="AP821" i="1"/>
  <c r="AT821" i="1"/>
  <c r="AU821" i="1"/>
  <c r="AV822" i="1"/>
  <c r="I822" i="1"/>
  <c r="AW822" i="1" s="1"/>
  <c r="AJ822" i="1"/>
  <c r="BE822" i="1" s="1"/>
  <c r="AK822" i="1"/>
  <c r="AP822" i="1"/>
  <c r="AT822" i="1"/>
  <c r="AU822" i="1"/>
  <c r="I823" i="1"/>
  <c r="AW823" i="1" s="1"/>
  <c r="AJ823" i="1"/>
  <c r="BE823" i="1" s="1"/>
  <c r="AK823" i="1"/>
  <c r="AP823" i="1"/>
  <c r="AT823" i="1"/>
  <c r="AU823" i="1"/>
  <c r="AV824" i="1"/>
  <c r="I824" i="1"/>
  <c r="M824" i="1" s="1"/>
  <c r="AJ824" i="1"/>
  <c r="BE824" i="1" s="1"/>
  <c r="AK824" i="1"/>
  <c r="AP824" i="1"/>
  <c r="AT824" i="1"/>
  <c r="AU824" i="1"/>
  <c r="AV825" i="1"/>
  <c r="I825" i="1"/>
  <c r="AW825" i="1" s="1"/>
  <c r="AJ825" i="1"/>
  <c r="BE825" i="1" s="1"/>
  <c r="AK825" i="1"/>
  <c r="AP825" i="1"/>
  <c r="AT825" i="1"/>
  <c r="AU825" i="1"/>
  <c r="AV826" i="1"/>
  <c r="I826" i="1"/>
  <c r="AW826" i="1" s="1"/>
  <c r="AJ826" i="1"/>
  <c r="BE826" i="1" s="1"/>
  <c r="AK826" i="1"/>
  <c r="AP826" i="1"/>
  <c r="AT826" i="1"/>
  <c r="AU826" i="1"/>
  <c r="AV827" i="1"/>
  <c r="I827" i="1"/>
  <c r="AJ827" i="1"/>
  <c r="BE827" i="1" s="1"/>
  <c r="AK827" i="1"/>
  <c r="AP827" i="1"/>
  <c r="AT827" i="1"/>
  <c r="AU827" i="1"/>
  <c r="AV828" i="1"/>
  <c r="I828" i="1"/>
  <c r="AW828" i="1" s="1"/>
  <c r="AJ828" i="1"/>
  <c r="BE828" i="1" s="1"/>
  <c r="AK828" i="1"/>
  <c r="AP828" i="1"/>
  <c r="AT828" i="1"/>
  <c r="AU828" i="1"/>
  <c r="I829" i="1"/>
  <c r="AW829" i="1" s="1"/>
  <c r="AJ829" i="1"/>
  <c r="BE829" i="1" s="1"/>
  <c r="AK829" i="1"/>
  <c r="AP829" i="1"/>
  <c r="AT829" i="1"/>
  <c r="AU829" i="1"/>
  <c r="AV830" i="1"/>
  <c r="I830" i="1"/>
  <c r="AW830" i="1" s="1"/>
  <c r="AJ830" i="1"/>
  <c r="BE830" i="1" s="1"/>
  <c r="AK830" i="1"/>
  <c r="AP830" i="1"/>
  <c r="AT830" i="1"/>
  <c r="AU830" i="1"/>
  <c r="I831" i="1"/>
  <c r="AW831" i="1" s="1"/>
  <c r="AJ831" i="1"/>
  <c r="BE831" i="1" s="1"/>
  <c r="AK831" i="1"/>
  <c r="AP831" i="1"/>
  <c r="AU831" i="1"/>
  <c r="AV832" i="1"/>
  <c r="I832" i="1"/>
  <c r="AW832" i="1" s="1"/>
  <c r="AJ832" i="1"/>
  <c r="BE832" i="1" s="1"/>
  <c r="AK832" i="1"/>
  <c r="AT832" i="1"/>
  <c r="AU832" i="1"/>
  <c r="I833" i="1"/>
  <c r="AW833" i="1" s="1"/>
  <c r="AJ833" i="1"/>
  <c r="BF833" i="1" s="1"/>
  <c r="AT833" i="1"/>
  <c r="AU833" i="1"/>
  <c r="K834" i="1"/>
  <c r="I834" i="1"/>
  <c r="BE834" i="1"/>
  <c r="BF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79" i="1"/>
  <c r="BE880" i="1"/>
  <c r="BE881" i="1"/>
  <c r="E34" i="1" l="1"/>
  <c r="E39" i="1"/>
  <c r="E82" i="1"/>
  <c r="E47" i="1"/>
  <c r="E18" i="1"/>
  <c r="E19" i="1"/>
  <c r="E26" i="1"/>
  <c r="BA51" i="1"/>
  <c r="AR168" i="1"/>
  <c r="AR50" i="1"/>
  <c r="BA38" i="1"/>
  <c r="AV50" i="1"/>
  <c r="AV99" i="1"/>
  <c r="L51" i="1"/>
  <c r="BA50" i="1"/>
  <c r="AR49" i="1"/>
  <c r="BA45" i="1"/>
  <c r="AV37" i="1"/>
  <c r="K38" i="1"/>
  <c r="AV51" i="1"/>
  <c r="K37" i="1"/>
  <c r="AV38" i="1"/>
  <c r="BA48" i="1"/>
  <c r="K51" i="1"/>
  <c r="AV48" i="1"/>
  <c r="BA17" i="1"/>
  <c r="L17" i="1"/>
  <c r="K17" i="1"/>
  <c r="AV17" i="1"/>
  <c r="AR15" i="1"/>
  <c r="L16" i="1"/>
  <c r="BA16" i="1"/>
  <c r="K16" i="1"/>
  <c r="L15" i="1"/>
  <c r="AR14" i="1"/>
  <c r="AV13" i="1"/>
  <c r="K15" i="1"/>
  <c r="L14" i="1"/>
  <c r="AR353" i="1"/>
  <c r="K204" i="1"/>
  <c r="BF665" i="1"/>
  <c r="AW636" i="1"/>
  <c r="AP77" i="1"/>
  <c r="BF77" i="1" s="1"/>
  <c r="BB642" i="1"/>
  <c r="K222" i="1"/>
  <c r="BC47" i="1"/>
  <c r="AW675" i="1"/>
  <c r="AZ648" i="1"/>
  <c r="G581" i="1"/>
  <c r="AX581" i="1" s="1"/>
  <c r="AY652" i="1"/>
  <c r="BC209" i="1"/>
  <c r="AW567" i="1"/>
  <c r="AT210" i="1"/>
  <c r="AZ726" i="1"/>
  <c r="AV509" i="1"/>
  <c r="AX778" i="1"/>
  <c r="AT147" i="1"/>
  <c r="AU41" i="1"/>
  <c r="AY568" i="1"/>
  <c r="AW668" i="1"/>
  <c r="AV477" i="1"/>
  <c r="AV775" i="1"/>
  <c r="AV464" i="1"/>
  <c r="AZ581" i="1"/>
  <c r="BD376" i="1"/>
  <c r="AV536" i="1"/>
  <c r="AZ655" i="1"/>
  <c r="AZ643" i="1"/>
  <c r="AW528" i="1"/>
  <c r="AZ749" i="1"/>
  <c r="AX622" i="1"/>
  <c r="AY580" i="1"/>
  <c r="G434" i="1"/>
  <c r="BD434" i="1" s="1"/>
  <c r="AV482" i="1"/>
  <c r="AY749" i="1"/>
  <c r="K456" i="1"/>
  <c r="AY555" i="1"/>
  <c r="BA281" i="1"/>
  <c r="AW782" i="1"/>
  <c r="AV778" i="1"/>
  <c r="AX655" i="1"/>
  <c r="AV625" i="1"/>
  <c r="AW562" i="1"/>
  <c r="AW497" i="1"/>
  <c r="AZ767" i="1"/>
  <c r="AV767" i="1"/>
  <c r="AY488" i="1"/>
  <c r="AY489" i="1"/>
  <c r="AV706" i="1"/>
  <c r="AY655" i="1"/>
  <c r="AZ775" i="1"/>
  <c r="AY767" i="1"/>
  <c r="AY726" i="1"/>
  <c r="AW504" i="1"/>
  <c r="AZ623" i="1"/>
  <c r="AY666" i="1"/>
  <c r="AW622" i="1"/>
  <c r="AS773" i="1"/>
  <c r="AY665" i="1"/>
  <c r="AT583" i="1"/>
  <c r="AS159" i="1"/>
  <c r="AV653" i="1"/>
  <c r="AW641" i="1"/>
  <c r="AW591" i="1"/>
  <c r="AZ635" i="1"/>
  <c r="AV814" i="1"/>
  <c r="AW615" i="1"/>
  <c r="AZ613" i="1"/>
  <c r="AZ599" i="1"/>
  <c r="AZ589" i="1"/>
  <c r="AZ516" i="1"/>
  <c r="AZ626" i="1"/>
  <c r="AZ665" i="1"/>
  <c r="AY599" i="1"/>
  <c r="AY516" i="1"/>
  <c r="AY495" i="1"/>
  <c r="AZ647" i="1"/>
  <c r="AW630" i="1"/>
  <c r="BC594" i="1"/>
  <c r="AY589" i="1"/>
  <c r="BF583" i="1"/>
  <c r="AS469" i="1"/>
  <c r="M456" i="1"/>
  <c r="G400" i="1"/>
  <c r="AU400" i="1" s="1"/>
  <c r="AY162" i="1"/>
  <c r="AR144" i="1"/>
  <c r="AW718" i="1"/>
  <c r="AW665" i="1"/>
  <c r="AW552" i="1"/>
  <c r="AL774" i="1"/>
  <c r="AZ774" i="1" s="1"/>
  <c r="AY774" i="1"/>
  <c r="AS762" i="1"/>
  <c r="AW762" i="1"/>
  <c r="M758" i="1"/>
  <c r="AS758" i="1"/>
  <c r="AW758" i="1"/>
  <c r="BB651" i="1"/>
  <c r="AW651" i="1"/>
  <c r="M649" i="1"/>
  <c r="AW649" i="1"/>
  <c r="BB627" i="1"/>
  <c r="AW627" i="1"/>
  <c r="K604" i="1"/>
  <c r="AV604" i="1"/>
  <c r="BA651" i="1"/>
  <c r="AV651" i="1"/>
  <c r="AZ645" i="1"/>
  <c r="BA623" i="1"/>
  <c r="AV623" i="1"/>
  <c r="AS617" i="1"/>
  <c r="AW617" i="1"/>
  <c r="M614" i="1"/>
  <c r="AW614" i="1"/>
  <c r="BA610" i="1"/>
  <c r="AV610" i="1"/>
  <c r="M593" i="1"/>
  <c r="AW593" i="1"/>
  <c r="M590" i="1"/>
  <c r="AW590" i="1"/>
  <c r="AR694" i="1"/>
  <c r="AV694" i="1"/>
  <c r="M692" i="1"/>
  <c r="AW692" i="1"/>
  <c r="BD687" i="1"/>
  <c r="AX687" i="1"/>
  <c r="M667" i="1"/>
  <c r="AW667" i="1"/>
  <c r="BA655" i="1"/>
  <c r="AV655" i="1"/>
  <c r="AY643" i="1"/>
  <c r="AZ687" i="1"/>
  <c r="AZ657" i="1"/>
  <c r="AY581" i="1"/>
  <c r="BE808" i="1"/>
  <c r="BF808" i="1"/>
  <c r="AU782" i="1"/>
  <c r="AX782" i="1"/>
  <c r="AZ782" i="1"/>
  <c r="M774" i="1"/>
  <c r="AW774" i="1"/>
  <c r="K762" i="1"/>
  <c r="AV762" i="1"/>
  <c r="AR481" i="1"/>
  <c r="AV481" i="1"/>
  <c r="M810" i="1"/>
  <c r="AW810" i="1"/>
  <c r="AS810" i="1"/>
  <c r="AZ802" i="1"/>
  <c r="AZ784" i="1"/>
  <c r="AZ783" i="1"/>
  <c r="AS518" i="1"/>
  <c r="AW518" i="1"/>
  <c r="M500" i="1"/>
  <c r="AW500" i="1"/>
  <c r="M485" i="1"/>
  <c r="AW485" i="1"/>
  <c r="M479" i="1"/>
  <c r="AW479" i="1"/>
  <c r="AL586" i="1"/>
  <c r="AZ586" i="1" s="1"/>
  <c r="AY586" i="1"/>
  <c r="M820" i="1"/>
  <c r="AW820" i="1"/>
  <c r="AV530" i="1"/>
  <c r="AR530" i="1"/>
  <c r="AS505" i="1"/>
  <c r="AW505" i="1"/>
  <c r="AS494" i="1"/>
  <c r="AW494" i="1"/>
  <c r="AR465" i="1"/>
  <c r="AV465" i="1"/>
  <c r="AR463" i="1"/>
  <c r="AV463" i="1"/>
  <c r="AV507" i="1"/>
  <c r="AR535" i="1"/>
  <c r="AV535" i="1"/>
  <c r="M510" i="1"/>
  <c r="AW510" i="1"/>
  <c r="BE118" i="1"/>
  <c r="BC118" i="1"/>
  <c r="AV467" i="1"/>
  <c r="AW795" i="1"/>
  <c r="M827" i="1"/>
  <c r="AW827" i="1"/>
  <c r="K578" i="1"/>
  <c r="AV578" i="1"/>
  <c r="K574" i="1"/>
  <c r="AV574" i="1"/>
  <c r="AS564" i="1"/>
  <c r="AW564" i="1"/>
  <c r="M550" i="1"/>
  <c r="AW550" i="1"/>
  <c r="M541" i="1"/>
  <c r="AW541" i="1"/>
  <c r="M533" i="1"/>
  <c r="AW533" i="1"/>
  <c r="AW645" i="1"/>
  <c r="BB645" i="1"/>
  <c r="AL638" i="1"/>
  <c r="AZ638" i="1" s="1"/>
  <c r="AY638" i="1"/>
  <c r="AS613" i="1"/>
  <c r="AW613" i="1"/>
  <c r="BA328" i="1"/>
  <c r="AR328" i="1"/>
  <c r="AW543" i="1"/>
  <c r="AY490" i="1"/>
  <c r="AZ489" i="1"/>
  <c r="AL668" i="1"/>
  <c r="AZ668" i="1" s="1"/>
  <c r="AY668" i="1"/>
  <c r="AZ83" i="1"/>
  <c r="AW785" i="1"/>
  <c r="AX693" i="1"/>
  <c r="AX648" i="1"/>
  <c r="AV601" i="1"/>
  <c r="AL685" i="1"/>
  <c r="AZ685" i="1" s="1"/>
  <c r="AY685" i="1"/>
  <c r="AZ580" i="1"/>
  <c r="K564" i="1"/>
  <c r="AV564" i="1"/>
  <c r="AS503" i="1"/>
  <c r="AW503" i="1"/>
  <c r="K468" i="1"/>
  <c r="AV468" i="1"/>
  <c r="AW521" i="1"/>
  <c r="AY687" i="1"/>
  <c r="AZ764" i="1"/>
  <c r="BA676" i="1"/>
  <c r="AV676" i="1"/>
  <c r="M607" i="1"/>
  <c r="AW607" i="1"/>
  <c r="M565" i="1"/>
  <c r="AW565" i="1"/>
  <c r="AU544" i="1"/>
  <c r="AX544" i="1"/>
  <c r="K513" i="1"/>
  <c r="AV513" i="1"/>
  <c r="M226" i="1"/>
  <c r="BB226" i="1"/>
  <c r="AW711" i="1"/>
  <c r="AW648" i="1"/>
  <c r="AW579" i="1"/>
  <c r="AV545" i="1"/>
  <c r="K808" i="1"/>
  <c r="AV808" i="1"/>
  <c r="K614" i="1"/>
  <c r="AV614" i="1"/>
  <c r="M496" i="1"/>
  <c r="AW496" i="1"/>
  <c r="AZ473" i="1"/>
  <c r="AZ819" i="1"/>
  <c r="M801" i="1"/>
  <c r="AW801" i="1"/>
  <c r="M577" i="1"/>
  <c r="AW577" i="1"/>
  <c r="M573" i="1"/>
  <c r="AW573" i="1"/>
  <c r="AS544" i="1"/>
  <c r="AW544" i="1"/>
  <c r="AR508" i="1"/>
  <c r="AV508" i="1"/>
  <c r="K492" i="1"/>
  <c r="AV492" i="1"/>
  <c r="M486" i="1"/>
  <c r="AW486" i="1"/>
  <c r="M693" i="1"/>
  <c r="AW693" i="1"/>
  <c r="BE819" i="1"/>
  <c r="S794" i="1"/>
  <c r="AV794" i="1" s="1"/>
  <c r="M781" i="1"/>
  <c r="AW781" i="1"/>
  <c r="AZ778" i="1"/>
  <c r="AU767" i="1"/>
  <c r="AX767" i="1"/>
  <c r="AS696" i="1"/>
  <c r="K693" i="1"/>
  <c r="AV693" i="1"/>
  <c r="AZ666" i="1"/>
  <c r="BA654" i="1"/>
  <c r="AV654" i="1"/>
  <c r="M635" i="1"/>
  <c r="AW635" i="1"/>
  <c r="BA618" i="1"/>
  <c r="AV618" i="1"/>
  <c r="AX613" i="1"/>
  <c r="BF597" i="1"/>
  <c r="AZ555" i="1"/>
  <c r="M529" i="1"/>
  <c r="AW529" i="1"/>
  <c r="AS517" i="1"/>
  <c r="AW517" i="1"/>
  <c r="K506" i="1"/>
  <c r="AV506" i="1"/>
  <c r="AZ488" i="1"/>
  <c r="AR268" i="1"/>
  <c r="AZ787" i="1"/>
  <c r="AV711" i="1"/>
  <c r="AW708" i="1"/>
  <c r="AW696" i="1"/>
  <c r="AW576" i="1"/>
  <c r="AW554" i="1"/>
  <c r="AW538" i="1"/>
  <c r="AW526" i="1"/>
  <c r="AS508" i="1"/>
  <c r="AW508" i="1"/>
  <c r="M482" i="1"/>
  <c r="AW482" i="1"/>
  <c r="AL693" i="1"/>
  <c r="AZ693" i="1" s="1"/>
  <c r="AY693" i="1"/>
  <c r="AZ812" i="1"/>
  <c r="AY812" i="1"/>
  <c r="M738" i="1"/>
  <c r="AW738" i="1"/>
  <c r="AV722" i="1"/>
  <c r="AL680" i="1"/>
  <c r="AZ680" i="1" s="1"/>
  <c r="AY680" i="1"/>
  <c r="AS551" i="1"/>
  <c r="AW551" i="1"/>
  <c r="M478" i="1"/>
  <c r="AW478" i="1"/>
  <c r="AR469" i="1"/>
  <c r="AV469" i="1"/>
  <c r="AR324" i="1"/>
  <c r="AV637" i="1"/>
  <c r="AV538" i="1"/>
  <c r="AV529" i="1"/>
  <c r="AV511" i="1"/>
  <c r="AZ490" i="1"/>
  <c r="M786" i="1"/>
  <c r="AW786" i="1"/>
  <c r="M676" i="1"/>
  <c r="AW676" i="1"/>
  <c r="M475" i="1"/>
  <c r="AW475" i="1"/>
  <c r="K738" i="1"/>
  <c r="AV738" i="1"/>
  <c r="AS714" i="1"/>
  <c r="AW714" i="1"/>
  <c r="AS700" i="1"/>
  <c r="AW700" i="1"/>
  <c r="AU692" i="1"/>
  <c r="AX692" i="1"/>
  <c r="BD673" i="1"/>
  <c r="AX673" i="1"/>
  <c r="AZ673" i="1"/>
  <c r="M563" i="1"/>
  <c r="AW563" i="1"/>
  <c r="M532" i="1"/>
  <c r="AW532" i="1"/>
  <c r="M527" i="1"/>
  <c r="AW527" i="1"/>
  <c r="M493" i="1"/>
  <c r="AW493" i="1"/>
  <c r="AU491" i="1"/>
  <c r="AX491" i="1"/>
  <c r="AY484" i="1"/>
  <c r="K478" i="1"/>
  <c r="AV478" i="1"/>
  <c r="AX787" i="1"/>
  <c r="AW780" i="1"/>
  <c r="AW773" i="1"/>
  <c r="AW735" i="1"/>
  <c r="AX677" i="1"/>
  <c r="AW674" i="1"/>
  <c r="AW660" i="1"/>
  <c r="AY626" i="1"/>
  <c r="AW566" i="1"/>
  <c r="M779" i="1"/>
  <c r="AW779" i="1"/>
  <c r="AZ642" i="1"/>
  <c r="K600" i="1"/>
  <c r="AV600" i="1"/>
  <c r="M733" i="1"/>
  <c r="AW733" i="1"/>
  <c r="BA683" i="1"/>
  <c r="AV683" i="1"/>
  <c r="M628" i="1"/>
  <c r="AW628" i="1"/>
  <c r="AZ622" i="1"/>
  <c r="M559" i="1"/>
  <c r="AW559" i="1"/>
  <c r="L513" i="1"/>
  <c r="AW513" i="1"/>
  <c r="AZ484" i="1"/>
  <c r="AR710" i="1"/>
  <c r="AV710" i="1"/>
  <c r="AR698" i="1"/>
  <c r="AV698" i="1"/>
  <c r="M690" i="1"/>
  <c r="AW690" i="1"/>
  <c r="BA662" i="1"/>
  <c r="AV662" i="1"/>
  <c r="AY630" i="1"/>
  <c r="M616" i="1"/>
  <c r="AW616" i="1"/>
  <c r="M553" i="1"/>
  <c r="AW553" i="1"/>
  <c r="M537" i="1"/>
  <c r="AW537" i="1"/>
  <c r="AR527" i="1"/>
  <c r="AV527" i="1"/>
  <c r="M520" i="1"/>
  <c r="AW520" i="1"/>
  <c r="M476" i="1"/>
  <c r="AW476" i="1"/>
  <c r="AV373" i="1"/>
  <c r="BA333" i="1"/>
  <c r="AW824" i="1"/>
  <c r="AW677" i="1"/>
  <c r="AW650" i="1"/>
  <c r="AW629" i="1"/>
  <c r="AW626" i="1"/>
  <c r="AW572" i="1"/>
  <c r="AZ491" i="1"/>
  <c r="AR585" i="1"/>
  <c r="AV585" i="1"/>
  <c r="K510" i="1"/>
  <c r="AV510" i="1"/>
  <c r="AY657" i="1"/>
  <c r="M811" i="1"/>
  <c r="AW811" i="1"/>
  <c r="AL692" i="1"/>
  <c r="AZ692" i="1" s="1"/>
  <c r="AY692" i="1"/>
  <c r="M669" i="1"/>
  <c r="AW669" i="1"/>
  <c r="AS653" i="1"/>
  <c r="G642" i="1"/>
  <c r="AX642" i="1" s="1"/>
  <c r="K626" i="1"/>
  <c r="AV626" i="1"/>
  <c r="AY623" i="1"/>
  <c r="BF581" i="1"/>
  <c r="AR564" i="1"/>
  <c r="AX494" i="1"/>
  <c r="L471" i="1"/>
  <c r="AW436" i="1"/>
  <c r="AV805" i="1"/>
  <c r="AV716" i="1"/>
  <c r="AV713" i="1"/>
  <c r="AW578" i="1"/>
  <c r="AV550" i="1"/>
  <c r="AW531" i="1"/>
  <c r="AW519" i="1"/>
  <c r="AZ494" i="1"/>
  <c r="G430" i="1"/>
  <c r="BD430" i="1" s="1"/>
  <c r="BF209" i="1"/>
  <c r="M51" i="1"/>
  <c r="AZ400" i="1"/>
  <c r="K95" i="1"/>
  <c r="BF76" i="1"/>
  <c r="M42" i="1"/>
  <c r="BB173" i="1"/>
  <c r="W589" i="1"/>
  <c r="AV589" i="1" s="1"/>
  <c r="I230" i="1"/>
  <c r="M230" i="1" s="1"/>
  <c r="L470" i="1"/>
  <c r="G229" i="1"/>
  <c r="M229" i="1" s="1"/>
  <c r="BD21" i="1"/>
  <c r="K364" i="1"/>
  <c r="BE129" i="1"/>
  <c r="G22" i="1"/>
  <c r="K177" i="1"/>
  <c r="AW461" i="1"/>
  <c r="AV268" i="1"/>
  <c r="AV438" i="1"/>
  <c r="L240" i="1"/>
  <c r="AY225" i="1"/>
  <c r="BB461" i="1"/>
  <c r="BF663" i="1"/>
  <c r="M210" i="1"/>
  <c r="BE663" i="1"/>
  <c r="AS461" i="1"/>
  <c r="G221" i="1"/>
  <c r="M221" i="1" s="1"/>
  <c r="BA410" i="1"/>
  <c r="AX155" i="1"/>
  <c r="K328" i="1"/>
  <c r="AU155" i="1"/>
  <c r="L159" i="1"/>
  <c r="AY267" i="1"/>
  <c r="BA117" i="1"/>
  <c r="BA116" i="1"/>
  <c r="AD38" i="1"/>
  <c r="AT38" i="1" s="1"/>
  <c r="K33" i="1"/>
  <c r="BA94" i="1"/>
  <c r="AZ64" i="1"/>
  <c r="BF602" i="1"/>
  <c r="G812" i="1"/>
  <c r="AU812" i="1" s="1"/>
  <c r="G555" i="1"/>
  <c r="AY439" i="1"/>
  <c r="BD245" i="1"/>
  <c r="L241" i="1"/>
  <c r="K196" i="1"/>
  <c r="BD182" i="1"/>
  <c r="I162" i="1"/>
  <c r="AS162" i="1" s="1"/>
  <c r="BA145" i="1"/>
  <c r="BA144" i="1"/>
  <c r="AZ15" i="1"/>
  <c r="M40" i="1"/>
  <c r="BD347" i="1"/>
  <c r="BB159" i="1"/>
  <c r="M139" i="1"/>
  <c r="BC110" i="1"/>
  <c r="BA102" i="1"/>
  <c r="AV340" i="1"/>
  <c r="M335" i="1"/>
  <c r="BC252" i="1"/>
  <c r="AX203" i="1"/>
  <c r="AY201" i="1"/>
  <c r="L375" i="1"/>
  <c r="AR304" i="1"/>
  <c r="BE299" i="1"/>
  <c r="G257" i="1"/>
  <c r="AU257" i="1" s="1"/>
  <c r="AT253" i="1"/>
  <c r="AV226" i="1"/>
  <c r="L213" i="1"/>
  <c r="AU203" i="1"/>
  <c r="AT201" i="1"/>
  <c r="BE162" i="1"/>
  <c r="AX113" i="1"/>
  <c r="BF113" i="1"/>
  <c r="M347" i="1"/>
  <c r="AR513" i="1"/>
  <c r="AR506" i="1"/>
  <c r="BA437" i="1"/>
  <c r="BE435" i="1"/>
  <c r="I435" i="1"/>
  <c r="AS435" i="1" s="1"/>
  <c r="G666" i="1"/>
  <c r="M666" i="1" s="1"/>
  <c r="BF656" i="1"/>
  <c r="AV254" i="1"/>
  <c r="K85" i="1"/>
  <c r="BC72" i="1"/>
  <c r="W657" i="1"/>
  <c r="BA657" i="1" s="1"/>
  <c r="AP57" i="1"/>
  <c r="BF57" i="1" s="1"/>
  <c r="BC600" i="1"/>
  <c r="AV344" i="1"/>
  <c r="BE252" i="1"/>
  <c r="BA241" i="1"/>
  <c r="G645" i="1"/>
  <c r="K645" i="1" s="1"/>
  <c r="AS514" i="1"/>
  <c r="L814" i="1"/>
  <c r="AL601" i="1"/>
  <c r="AZ601" i="1" s="1"/>
  <c r="L542" i="1"/>
  <c r="AR536" i="1"/>
  <c r="K319" i="1"/>
  <c r="AR306" i="1"/>
  <c r="K231" i="1"/>
  <c r="AR229" i="1"/>
  <c r="AV144" i="1"/>
  <c r="BC88" i="1"/>
  <c r="K60" i="1"/>
  <c r="K390" i="1"/>
  <c r="AZ54" i="1"/>
  <c r="AZ335" i="1"/>
  <c r="L285" i="1"/>
  <c r="AV33" i="1"/>
  <c r="AV333" i="1"/>
  <c r="L576" i="1"/>
  <c r="I602" i="1"/>
  <c r="AW602" i="1" s="1"/>
  <c r="BA390" i="1"/>
  <c r="BA98" i="1"/>
  <c r="I43" i="1"/>
  <c r="BE784" i="1"/>
  <c r="S749" i="1"/>
  <c r="L616" i="1"/>
  <c r="BB613" i="1"/>
  <c r="L613" i="1"/>
  <c r="BF593" i="1"/>
  <c r="AR421" i="1"/>
  <c r="G369" i="1"/>
  <c r="AX369" i="1" s="1"/>
  <c r="AU222" i="1"/>
  <c r="M218" i="1"/>
  <c r="AU182" i="1"/>
  <c r="K103" i="1"/>
  <c r="BC97" i="1"/>
  <c r="G62" i="1"/>
  <c r="AX62" i="1" s="1"/>
  <c r="AZ19" i="1"/>
  <c r="K171" i="1"/>
  <c r="L413" i="1"/>
  <c r="AY55" i="1"/>
  <c r="L600" i="1"/>
  <c r="AT787" i="1"/>
  <c r="BB635" i="1"/>
  <c r="BC602" i="1"/>
  <c r="I594" i="1"/>
  <c r="AS594" i="1" s="1"/>
  <c r="AS570" i="1"/>
  <c r="AY435" i="1"/>
  <c r="BA372" i="1"/>
  <c r="AV371" i="1"/>
  <c r="AV285" i="1"/>
  <c r="AR201" i="1"/>
  <c r="L146" i="1"/>
  <c r="K144" i="1"/>
  <c r="BA262" i="1"/>
  <c r="AR400" i="1"/>
  <c r="AY355" i="1"/>
  <c r="BF620" i="1"/>
  <c r="AV429" i="1"/>
  <c r="AW221" i="1"/>
  <c r="AY127" i="1"/>
  <c r="AS795" i="1"/>
  <c r="AS711" i="1"/>
  <c r="G652" i="1"/>
  <c r="AU652" i="1" s="1"/>
  <c r="AZ433" i="1"/>
  <c r="AY372" i="1"/>
  <c r="K155" i="1"/>
  <c r="BE131" i="1"/>
  <c r="AU103" i="1"/>
  <c r="AX54" i="1"/>
  <c r="L255" i="1"/>
  <c r="M551" i="1"/>
  <c r="L371" i="1"/>
  <c r="L258" i="1"/>
  <c r="AZ65" i="1"/>
  <c r="K183" i="1"/>
  <c r="BA371" i="1"/>
  <c r="AY394" i="1"/>
  <c r="S783" i="1"/>
  <c r="G775" i="1"/>
  <c r="K775" i="1" s="1"/>
  <c r="BA653" i="1"/>
  <c r="BD647" i="1"/>
  <c r="AU613" i="1"/>
  <c r="BC607" i="1"/>
  <c r="BE595" i="1"/>
  <c r="L537" i="1"/>
  <c r="BA421" i="1"/>
  <c r="AR371" i="1"/>
  <c r="BC204" i="1"/>
  <c r="I200" i="1"/>
  <c r="M200" i="1" s="1"/>
  <c r="AV161" i="1"/>
  <c r="BB157" i="1"/>
  <c r="K156" i="1"/>
  <c r="BF97" i="1"/>
  <c r="L254" i="1"/>
  <c r="W565" i="1"/>
  <c r="BA429" i="1"/>
  <c r="L526" i="1"/>
  <c r="W553" i="1"/>
  <c r="AR553" i="1" s="1"/>
  <c r="AS811" i="1"/>
  <c r="AS801" i="1"/>
  <c r="BF726" i="1"/>
  <c r="AS718" i="1"/>
  <c r="BF473" i="1"/>
  <c r="BF430" i="1"/>
  <c r="G271" i="1"/>
  <c r="AU271" i="1" s="1"/>
  <c r="AV265" i="1"/>
  <c r="AR262" i="1"/>
  <c r="AV241" i="1"/>
  <c r="BE238" i="1"/>
  <c r="AZ68" i="1"/>
  <c r="L226" i="1"/>
  <c r="K88" i="1"/>
  <c r="M514" i="1"/>
  <c r="L532" i="1"/>
  <c r="BB262" i="1"/>
  <c r="G623" i="1"/>
  <c r="AX623" i="1" s="1"/>
  <c r="AR401" i="1"/>
  <c r="AV326" i="1"/>
  <c r="BC238" i="1"/>
  <c r="I238" i="1"/>
  <c r="BD172" i="1"/>
  <c r="BE166" i="1"/>
  <c r="AZ157" i="1"/>
  <c r="L429" i="1"/>
  <c r="L418" i="1"/>
  <c r="K408" i="1"/>
  <c r="L330" i="1"/>
  <c r="M219" i="1"/>
  <c r="BB219" i="1"/>
  <c r="K612" i="1"/>
  <c r="L612" i="1"/>
  <c r="K729" i="1"/>
  <c r="L729" i="1"/>
  <c r="BB454" i="1"/>
  <c r="M454" i="1"/>
  <c r="AR395" i="1"/>
  <c r="BA395" i="1"/>
  <c r="L395" i="1"/>
  <c r="K395" i="1"/>
  <c r="AS152" i="1"/>
  <c r="M152" i="1"/>
  <c r="AR91" i="1"/>
  <c r="K91" i="1"/>
  <c r="AZ36" i="1"/>
  <c r="L696" i="1"/>
  <c r="M622" i="1"/>
  <c r="I604" i="1"/>
  <c r="BA601" i="1"/>
  <c r="W516" i="1"/>
  <c r="AR516" i="1" s="1"/>
  <c r="BA441" i="1"/>
  <c r="G435" i="1"/>
  <c r="K435" i="1" s="1"/>
  <c r="BA296" i="1"/>
  <c r="I265" i="1"/>
  <c r="L265" i="1" s="1"/>
  <c r="AZ227" i="1"/>
  <c r="AW173" i="1"/>
  <c r="M579" i="1"/>
  <c r="K296" i="1"/>
  <c r="BF442" i="1"/>
  <c r="K440" i="1"/>
  <c r="K410" i="1"/>
  <c r="AV410" i="1"/>
  <c r="BD278" i="1"/>
  <c r="AS261" i="1"/>
  <c r="BB261" i="1"/>
  <c r="AZ243" i="1"/>
  <c r="AU196" i="1"/>
  <c r="BD196" i="1"/>
  <c r="BE88" i="1"/>
  <c r="L79" i="1"/>
  <c r="L260" i="1"/>
  <c r="M471" i="1"/>
  <c r="L410" i="1"/>
  <c r="L245" i="1"/>
  <c r="AZ229" i="1"/>
  <c r="AR129" i="1"/>
  <c r="K129" i="1"/>
  <c r="M125" i="1"/>
  <c r="K121" i="1"/>
  <c r="BA121" i="1"/>
  <c r="L121" i="1"/>
  <c r="AZ8" i="1"/>
  <c r="S802" i="1"/>
  <c r="AV802" i="1" s="1"/>
  <c r="AS742" i="1"/>
  <c r="M742" i="1"/>
  <c r="S726" i="1"/>
  <c r="BB666" i="1"/>
  <c r="L311" i="1"/>
  <c r="K311" i="1"/>
  <c r="BA311" i="1"/>
  <c r="M211" i="1"/>
  <c r="AY172" i="1"/>
  <c r="AV92" i="1"/>
  <c r="K92" i="1"/>
  <c r="AR59" i="1"/>
  <c r="K59" i="1"/>
  <c r="M212" i="1"/>
  <c r="K820" i="1"/>
  <c r="L820" i="1"/>
  <c r="AR496" i="1"/>
  <c r="K496" i="1"/>
  <c r="L496" i="1"/>
  <c r="L367" i="1"/>
  <c r="K367" i="1"/>
  <c r="G280" i="1"/>
  <c r="L212" i="1"/>
  <c r="K770" i="1"/>
  <c r="L770" i="1"/>
  <c r="K765" i="1"/>
  <c r="L765" i="1"/>
  <c r="M734" i="1"/>
  <c r="AS734" i="1"/>
  <c r="BD648" i="1"/>
  <c r="BB624" i="1"/>
  <c r="M624" i="1"/>
  <c r="AR352" i="1"/>
  <c r="BC70" i="1"/>
  <c r="AT70" i="1"/>
  <c r="BC60" i="1"/>
  <c r="BE604" i="1"/>
  <c r="AS506" i="1"/>
  <c r="M506" i="1"/>
  <c r="BA465" i="1"/>
  <c r="AX453" i="1"/>
  <c r="AU453" i="1"/>
  <c r="AV348" i="1"/>
  <c r="BA348" i="1"/>
  <c r="AR337" i="1"/>
  <c r="BA337" i="1"/>
  <c r="K289" i="1"/>
  <c r="L289" i="1"/>
  <c r="AZ280" i="1"/>
  <c r="AR161" i="1"/>
  <c r="AV59" i="1"/>
  <c r="AX40" i="1"/>
  <c r="AU40" i="1"/>
  <c r="K818" i="1"/>
  <c r="L818" i="1"/>
  <c r="AS816" i="1"/>
  <c r="M816" i="1"/>
  <c r="AR693" i="1"/>
  <c r="M655" i="1"/>
  <c r="AT312" i="1"/>
  <c r="AR285" i="1"/>
  <c r="I109" i="1"/>
  <c r="L63" i="1"/>
  <c r="BF820" i="1"/>
  <c r="K816" i="1"/>
  <c r="L816" i="1"/>
  <c r="AS735" i="1"/>
  <c r="I726" i="1"/>
  <c r="AT726" i="1"/>
  <c r="W666" i="1"/>
  <c r="BE593" i="1"/>
  <c r="BF592" i="1"/>
  <c r="W586" i="1"/>
  <c r="BA586" i="1" s="1"/>
  <c r="AR545" i="1"/>
  <c r="W488" i="1"/>
  <c r="AR488" i="1" s="1"/>
  <c r="AU347" i="1"/>
  <c r="BF312" i="1"/>
  <c r="K187" i="1"/>
  <c r="BA187" i="1"/>
  <c r="BA160" i="1"/>
  <c r="K160" i="1"/>
  <c r="AS153" i="1"/>
  <c r="AW153" i="1"/>
  <c r="AV145" i="1"/>
  <c r="I88" i="1"/>
  <c r="L88" i="1" s="1"/>
  <c r="AR85" i="1"/>
  <c r="AX69" i="1"/>
  <c r="G64" i="1"/>
  <c r="K64" i="1" s="1"/>
  <c r="AP46" i="1"/>
  <c r="BD40" i="1"/>
  <c r="K145" i="1"/>
  <c r="L527" i="1"/>
  <c r="G819" i="1"/>
  <c r="AU819" i="1" s="1"/>
  <c r="BB622" i="1"/>
  <c r="M512" i="1"/>
  <c r="AS512" i="1"/>
  <c r="AS750" i="1"/>
  <c r="M750" i="1"/>
  <c r="AS741" i="1"/>
  <c r="M741" i="1"/>
  <c r="AS693" i="1"/>
  <c r="M654" i="1"/>
  <c r="AS827" i="1"/>
  <c r="BF790" i="1"/>
  <c r="I599" i="1"/>
  <c r="BC599" i="1"/>
  <c r="AS820" i="1"/>
  <c r="AT784" i="1"/>
  <c r="G783" i="1"/>
  <c r="AU783" i="1" s="1"/>
  <c r="AS733" i="1"/>
  <c r="K681" i="1"/>
  <c r="BA681" i="1"/>
  <c r="M658" i="1"/>
  <c r="BE607" i="1"/>
  <c r="AR468" i="1"/>
  <c r="AZ453" i="1"/>
  <c r="AV395" i="1"/>
  <c r="AW355" i="1"/>
  <c r="AS262" i="1"/>
  <c r="AS252" i="1"/>
  <c r="L252" i="1"/>
  <c r="BB252" i="1"/>
  <c r="AW240" i="1"/>
  <c r="M240" i="1"/>
  <c r="M213" i="1"/>
  <c r="AW213" i="1"/>
  <c r="K153" i="1"/>
  <c r="L153" i="1"/>
  <c r="AV153" i="1"/>
  <c r="L25" i="1"/>
  <c r="K569" i="1"/>
  <c r="AR569" i="1"/>
  <c r="M557" i="1"/>
  <c r="AS830" i="1"/>
  <c r="M830" i="1"/>
  <c r="AS729" i="1"/>
  <c r="M729" i="1"/>
  <c r="AZ270" i="1"/>
  <c r="L125" i="1"/>
  <c r="AV125" i="1"/>
  <c r="AZ77" i="1"/>
  <c r="BC71" i="1"/>
  <c r="M511" i="1"/>
  <c r="S803" i="1"/>
  <c r="AS788" i="1"/>
  <c r="M788" i="1"/>
  <c r="K744" i="1"/>
  <c r="L744" i="1"/>
  <c r="G363" i="1"/>
  <c r="K363" i="1" s="1"/>
  <c r="AU230" i="1"/>
  <c r="AY228" i="1"/>
  <c r="M481" i="1"/>
  <c r="AS481" i="1"/>
  <c r="BF786" i="1"/>
  <c r="AS757" i="1"/>
  <c r="M757" i="1"/>
  <c r="AS738" i="1"/>
  <c r="AS708" i="1"/>
  <c r="BB654" i="1"/>
  <c r="BB653" i="1"/>
  <c r="M641" i="1"/>
  <c r="AR542" i="1"/>
  <c r="K542" i="1"/>
  <c r="K509" i="1"/>
  <c r="L509" i="1"/>
  <c r="K417" i="1"/>
  <c r="BA417" i="1"/>
  <c r="G225" i="1"/>
  <c r="K225" i="1" s="1"/>
  <c r="AV205" i="1"/>
  <c r="BD131" i="1"/>
  <c r="AU129" i="1"/>
  <c r="M126" i="1"/>
  <c r="AS126" i="1"/>
  <c r="BA123" i="1"/>
  <c r="L123" i="1"/>
  <c r="L520" i="1"/>
  <c r="M26" i="1"/>
  <c r="BF584" i="1"/>
  <c r="W551" i="1"/>
  <c r="AR551" i="1" s="1"/>
  <c r="AR520" i="1"/>
  <c r="K520" i="1"/>
  <c r="W490" i="1"/>
  <c r="AV490" i="1" s="1"/>
  <c r="W484" i="1"/>
  <c r="AR484" i="1" s="1"/>
  <c r="BB463" i="1"/>
  <c r="M463" i="1"/>
  <c r="AV398" i="1"/>
  <c r="AZ355" i="1"/>
  <c r="K262" i="1"/>
  <c r="L262" i="1"/>
  <c r="AY210" i="1"/>
  <c r="AT188" i="1"/>
  <c r="AP168" i="1"/>
  <c r="BF168" i="1" s="1"/>
  <c r="AP169" i="1"/>
  <c r="BF169" i="1" s="1"/>
  <c r="AX154" i="1"/>
  <c r="BA133" i="1"/>
  <c r="AR133" i="1"/>
  <c r="AT43" i="1"/>
  <c r="K245" i="1"/>
  <c r="L355" i="1"/>
  <c r="BA325" i="1"/>
  <c r="K325" i="1"/>
  <c r="L325" i="1"/>
  <c r="AZ319" i="1"/>
  <c r="K261" i="1"/>
  <c r="L261" i="1"/>
  <c r="AR224" i="1"/>
  <c r="K217" i="1"/>
  <c r="L217" i="1"/>
  <c r="AT194" i="1"/>
  <c r="K159" i="1"/>
  <c r="K154" i="1"/>
  <c r="AT55" i="1"/>
  <c r="AZ22" i="1"/>
  <c r="L224" i="1"/>
  <c r="L156" i="1"/>
  <c r="BF587" i="1"/>
  <c r="K481" i="1"/>
  <c r="L481" i="1"/>
  <c r="K458" i="1"/>
  <c r="L458" i="1"/>
  <c r="AX376" i="1"/>
  <c r="AR334" i="1"/>
  <c r="K334" i="1"/>
  <c r="L334" i="1"/>
  <c r="AY321" i="1"/>
  <c r="BE273" i="1"/>
  <c r="BC257" i="1"/>
  <c r="K235" i="1"/>
  <c r="AX139" i="1"/>
  <c r="I129" i="1"/>
  <c r="AW129" i="1" s="1"/>
  <c r="I97" i="1"/>
  <c r="BB97" i="1" s="1"/>
  <c r="I91" i="1"/>
  <c r="M91" i="1" s="1"/>
  <c r="L7" i="1"/>
  <c r="K224" i="1"/>
  <c r="W581" i="1"/>
  <c r="AV581" i="1" s="1"/>
  <c r="W568" i="1"/>
  <c r="AR568" i="1" s="1"/>
  <c r="S736" i="1"/>
  <c r="BF569" i="1"/>
  <c r="M517" i="1"/>
  <c r="BF489" i="1"/>
  <c r="L486" i="1"/>
  <c r="BF484" i="1"/>
  <c r="W446" i="1"/>
  <c r="BA446" i="1" s="1"/>
  <c r="G438" i="1"/>
  <c r="AU438" i="1" s="1"/>
  <c r="G405" i="1"/>
  <c r="AU405" i="1" s="1"/>
  <c r="AU402" i="1"/>
  <c r="AX402" i="1"/>
  <c r="BD402" i="1"/>
  <c r="G238" i="1"/>
  <c r="BD238" i="1" s="1"/>
  <c r="K94" i="1"/>
  <c r="AV94" i="1"/>
  <c r="BE76" i="1"/>
  <c r="G27" i="1"/>
  <c r="K349" i="1"/>
  <c r="W489" i="1"/>
  <c r="AR489" i="1" s="1"/>
  <c r="G382" i="1"/>
  <c r="K382" i="1" s="1"/>
  <c r="K313" i="1"/>
  <c r="AY299" i="1"/>
  <c r="L220" i="1"/>
  <c r="AT174" i="1"/>
  <c r="AT167" i="1"/>
  <c r="BB156" i="1"/>
  <c r="AT151" i="1"/>
  <c r="K139" i="1"/>
  <c r="BD103" i="1"/>
  <c r="L464" i="1"/>
  <c r="BE446" i="1"/>
  <c r="G441" i="1"/>
  <c r="K441" i="1" s="1"/>
  <c r="AZ439" i="1"/>
  <c r="M355" i="1"/>
  <c r="BA280" i="1"/>
  <c r="AY242" i="1"/>
  <c r="AF187" i="1"/>
  <c r="AP55" i="1"/>
  <c r="BF55" i="1" s="1"/>
  <c r="AT372" i="1"/>
  <c r="K174" i="1"/>
  <c r="BC159" i="1"/>
  <c r="BC17" i="1"/>
  <c r="K401" i="1"/>
  <c r="K644" i="1"/>
  <c r="L644" i="1"/>
  <c r="L593" i="1"/>
  <c r="BA593" i="1"/>
  <c r="K593" i="1"/>
  <c r="AR534" i="1"/>
  <c r="L534" i="1"/>
  <c r="K534" i="1"/>
  <c r="L335" i="1"/>
  <c r="K335" i="1"/>
  <c r="AR335" i="1"/>
  <c r="L257" i="1"/>
  <c r="AZ218" i="1"/>
  <c r="AY166" i="1"/>
  <c r="AV101" i="1"/>
  <c r="K101" i="1"/>
  <c r="AS808" i="1"/>
  <c r="M808" i="1"/>
  <c r="L808" i="1"/>
  <c r="K786" i="1"/>
  <c r="L786" i="1"/>
  <c r="L638" i="1"/>
  <c r="AR498" i="1"/>
  <c r="K498" i="1"/>
  <c r="L498" i="1"/>
  <c r="K339" i="1"/>
  <c r="L339" i="1"/>
  <c r="AS832" i="1"/>
  <c r="M832" i="1"/>
  <c r="AS746" i="1"/>
  <c r="M746" i="1"/>
  <c r="AS705" i="1"/>
  <c r="M705" i="1"/>
  <c r="AS701" i="1"/>
  <c r="M701" i="1"/>
  <c r="BB679" i="1"/>
  <c r="M679" i="1"/>
  <c r="BA647" i="1"/>
  <c r="K647" i="1"/>
  <c r="L647" i="1"/>
  <c r="I775" i="1"/>
  <c r="AT775" i="1"/>
  <c r="AS721" i="1"/>
  <c r="M721" i="1"/>
  <c r="AR697" i="1"/>
  <c r="K697" i="1"/>
  <c r="L697" i="1"/>
  <c r="AS695" i="1"/>
  <c r="M695" i="1"/>
  <c r="K692" i="1"/>
  <c r="L692" i="1"/>
  <c r="BA682" i="1"/>
  <c r="K682" i="1"/>
  <c r="L682" i="1"/>
  <c r="BA672" i="1"/>
  <c r="K672" i="1"/>
  <c r="L672" i="1"/>
  <c r="BA648" i="1"/>
  <c r="K648" i="1"/>
  <c r="L648" i="1"/>
  <c r="BA644" i="1"/>
  <c r="AS633" i="1"/>
  <c r="M633" i="1"/>
  <c r="BB633" i="1"/>
  <c r="I609" i="1"/>
  <c r="BC609" i="1"/>
  <c r="BE609" i="1"/>
  <c r="M540" i="1"/>
  <c r="AR537" i="1"/>
  <c r="K537" i="1"/>
  <c r="L529" i="1"/>
  <c r="K529" i="1"/>
  <c r="AR500" i="1"/>
  <c r="K500" i="1"/>
  <c r="L500" i="1"/>
  <c r="BA459" i="1"/>
  <c r="K459" i="1"/>
  <c r="L459" i="1"/>
  <c r="L445" i="1"/>
  <c r="BA445" i="1"/>
  <c r="AR445" i="1"/>
  <c r="K445" i="1"/>
  <c r="AL402" i="1"/>
  <c r="AZ402" i="1" s="1"/>
  <c r="AY402" i="1"/>
  <c r="L387" i="1"/>
  <c r="K387" i="1"/>
  <c r="AR386" i="1"/>
  <c r="K386" i="1"/>
  <c r="K351" i="1"/>
  <c r="L351" i="1"/>
  <c r="K318" i="1"/>
  <c r="L318" i="1"/>
  <c r="BA318" i="1"/>
  <c r="BA316" i="1"/>
  <c r="L316" i="1"/>
  <c r="K316" i="1"/>
  <c r="AR307" i="1"/>
  <c r="L307" i="1"/>
  <c r="K307" i="1"/>
  <c r="AY249" i="1"/>
  <c r="BB224" i="1"/>
  <c r="M224" i="1"/>
  <c r="BC216" i="1"/>
  <c r="BE216" i="1"/>
  <c r="AT216" i="1"/>
  <c r="K197" i="1"/>
  <c r="AZ182" i="1"/>
  <c r="K157" i="1"/>
  <c r="L157" i="1"/>
  <c r="BA157" i="1"/>
  <c r="AR157" i="1"/>
  <c r="AZ63" i="1"/>
  <c r="M627" i="1"/>
  <c r="AS627" i="1"/>
  <c r="L489" i="1"/>
  <c r="K810" i="1"/>
  <c r="L810" i="1"/>
  <c r="M647" i="1"/>
  <c r="AP363" i="1"/>
  <c r="BF363" i="1" s="1"/>
  <c r="AP358" i="1"/>
  <c r="BF358" i="1" s="1"/>
  <c r="AP360" i="1"/>
  <c r="BF360" i="1" s="1"/>
  <c r="K233" i="1"/>
  <c r="L233" i="1"/>
  <c r="K122" i="1"/>
  <c r="L122" i="1"/>
  <c r="K55" i="1"/>
  <c r="BA629" i="1"/>
  <c r="K629" i="1"/>
  <c r="L629" i="1"/>
  <c r="AW459" i="1"/>
  <c r="M459" i="1"/>
  <c r="BB459" i="1"/>
  <c r="L363" i="1"/>
  <c r="AS719" i="1"/>
  <c r="M719" i="1"/>
  <c r="AR712" i="1"/>
  <c r="K712" i="1"/>
  <c r="L712" i="1"/>
  <c r="BA684" i="1"/>
  <c r="K684" i="1"/>
  <c r="L684" i="1"/>
  <c r="BA668" i="1"/>
  <c r="K668" i="1"/>
  <c r="L668" i="1"/>
  <c r="BA632" i="1"/>
  <c r="K632" i="1"/>
  <c r="L632" i="1"/>
  <c r="BA631" i="1"/>
  <c r="K631" i="1"/>
  <c r="L631" i="1"/>
  <c r="AR577" i="1"/>
  <c r="L577" i="1"/>
  <c r="K577" i="1"/>
  <c r="AR572" i="1"/>
  <c r="K572" i="1"/>
  <c r="L572" i="1"/>
  <c r="M530" i="1"/>
  <c r="K523" i="1"/>
  <c r="L523" i="1"/>
  <c r="AR523" i="1"/>
  <c r="AS501" i="1"/>
  <c r="M501" i="1"/>
  <c r="K460" i="1"/>
  <c r="L460" i="1"/>
  <c r="AV455" i="1"/>
  <c r="L455" i="1"/>
  <c r="K455" i="1"/>
  <c r="K358" i="1"/>
  <c r="L358" i="1"/>
  <c r="AS802" i="1"/>
  <c r="AS777" i="1"/>
  <c r="M777" i="1"/>
  <c r="K774" i="1"/>
  <c r="L774" i="1"/>
  <c r="AS772" i="1"/>
  <c r="M772" i="1"/>
  <c r="AS770" i="1"/>
  <c r="M770" i="1"/>
  <c r="K767" i="1"/>
  <c r="K727" i="1"/>
  <c r="L727" i="1"/>
  <c r="AR721" i="1"/>
  <c r="K721" i="1"/>
  <c r="L721" i="1"/>
  <c r="K719" i="1"/>
  <c r="L719" i="1"/>
  <c r="AR719" i="1"/>
  <c r="AS717" i="1"/>
  <c r="M717" i="1"/>
  <c r="L717" i="1"/>
  <c r="AR695" i="1"/>
  <c r="K695" i="1"/>
  <c r="L695" i="1"/>
  <c r="BB634" i="1"/>
  <c r="M634" i="1"/>
  <c r="AS634" i="1"/>
  <c r="BA633" i="1"/>
  <c r="K633" i="1"/>
  <c r="L633" i="1"/>
  <c r="BA609" i="1"/>
  <c r="K609" i="1"/>
  <c r="K602" i="1"/>
  <c r="K596" i="1"/>
  <c r="BB587" i="1"/>
  <c r="BF582" i="1"/>
  <c r="AR566" i="1"/>
  <c r="L566" i="1"/>
  <c r="K566" i="1"/>
  <c r="L565" i="1"/>
  <c r="K565" i="1"/>
  <c r="M539" i="1"/>
  <c r="AS539" i="1"/>
  <c r="K512" i="1"/>
  <c r="L512" i="1"/>
  <c r="AR512" i="1"/>
  <c r="M502" i="1"/>
  <c r="AS502" i="1"/>
  <c r="L501" i="1"/>
  <c r="AR501" i="1"/>
  <c r="K501" i="1"/>
  <c r="L409" i="1"/>
  <c r="K409" i="1"/>
  <c r="K402" i="1"/>
  <c r="L402" i="1"/>
  <c r="AR329" i="1"/>
  <c r="K329" i="1"/>
  <c r="L329" i="1"/>
  <c r="AV329" i="1"/>
  <c r="K327" i="1"/>
  <c r="L327" i="1"/>
  <c r="L323" i="1"/>
  <c r="K323" i="1"/>
  <c r="AW312" i="1"/>
  <c r="M312" i="1"/>
  <c r="BB312" i="1"/>
  <c r="L302" i="1"/>
  <c r="K302" i="1"/>
  <c r="L293" i="1"/>
  <c r="K293" i="1"/>
  <c r="AR293" i="1"/>
  <c r="K259" i="1"/>
  <c r="L259" i="1"/>
  <c r="AP225" i="1"/>
  <c r="BF225" i="1" s="1"/>
  <c r="AP231" i="1"/>
  <c r="K207" i="1"/>
  <c r="AY197" i="1"/>
  <c r="K168" i="1"/>
  <c r="AU75" i="1"/>
  <c r="K75" i="1"/>
  <c r="K558" i="1"/>
  <c r="L558" i="1"/>
  <c r="AR558" i="1"/>
  <c r="M549" i="1"/>
  <c r="AR497" i="1"/>
  <c r="L497" i="1"/>
  <c r="K497" i="1"/>
  <c r="L483" i="1"/>
  <c r="K483" i="1"/>
  <c r="M279" i="1"/>
  <c r="AW279" i="1"/>
  <c r="BB279" i="1"/>
  <c r="AY175" i="1"/>
  <c r="AT53" i="1"/>
  <c r="AS806" i="1"/>
  <c r="M806" i="1"/>
  <c r="K800" i="1"/>
  <c r="L800" i="1"/>
  <c r="AS794" i="1"/>
  <c r="M794" i="1"/>
  <c r="K651" i="1"/>
  <c r="L651" i="1"/>
  <c r="AR549" i="1"/>
  <c r="L549" i="1"/>
  <c r="K549" i="1"/>
  <c r="W539" i="1"/>
  <c r="AR539" i="1" s="1"/>
  <c r="AS269" i="1"/>
  <c r="M269" i="1"/>
  <c r="AW269" i="1"/>
  <c r="K804" i="1"/>
  <c r="L804" i="1"/>
  <c r="AS748" i="1"/>
  <c r="M748" i="1"/>
  <c r="AR528" i="1"/>
  <c r="K528" i="1"/>
  <c r="L528" i="1"/>
  <c r="AV345" i="1"/>
  <c r="L345" i="1"/>
  <c r="K345" i="1"/>
  <c r="BB282" i="1"/>
  <c r="M282" i="1"/>
  <c r="BA248" i="1"/>
  <c r="K248" i="1"/>
  <c r="L248" i="1"/>
  <c r="AY202" i="1"/>
  <c r="K198" i="1"/>
  <c r="K172" i="1"/>
  <c r="BA172" i="1"/>
  <c r="K701" i="1"/>
  <c r="AR701" i="1"/>
  <c r="L701" i="1"/>
  <c r="M678" i="1"/>
  <c r="BB678" i="1"/>
  <c r="M793" i="1"/>
  <c r="AS793" i="1"/>
  <c r="AS724" i="1"/>
  <c r="M724" i="1"/>
  <c r="BF819" i="1"/>
  <c r="BF615" i="1"/>
  <c r="BE615" i="1"/>
  <c r="AR541" i="1"/>
  <c r="L541" i="1"/>
  <c r="K541" i="1"/>
  <c r="AS833" i="1"/>
  <c r="M833" i="1"/>
  <c r="M831" i="1"/>
  <c r="AS831" i="1"/>
  <c r="AS823" i="1"/>
  <c r="M823" i="1"/>
  <c r="S817" i="1"/>
  <c r="AV817" i="1" s="1"/>
  <c r="BF815" i="1"/>
  <c r="BE815" i="1"/>
  <c r="BF813" i="1"/>
  <c r="K807" i="1"/>
  <c r="L807" i="1"/>
  <c r="BE794" i="1"/>
  <c r="BF794" i="1"/>
  <c r="AS784" i="1"/>
  <c r="K752" i="1"/>
  <c r="L752" i="1"/>
  <c r="K750" i="1"/>
  <c r="L750" i="1"/>
  <c r="I749" i="1"/>
  <c r="AW749" i="1" s="1"/>
  <c r="AS747" i="1"/>
  <c r="M747" i="1"/>
  <c r="M745" i="1"/>
  <c r="AS745" i="1"/>
  <c r="AS715" i="1"/>
  <c r="M715" i="1"/>
  <c r="K708" i="1"/>
  <c r="L708" i="1"/>
  <c r="AR708" i="1"/>
  <c r="AS706" i="1"/>
  <c r="M706" i="1"/>
  <c r="AS704" i="1"/>
  <c r="M704" i="1"/>
  <c r="AS702" i="1"/>
  <c r="M702" i="1"/>
  <c r="BA669" i="1"/>
  <c r="K669" i="1"/>
  <c r="L669" i="1"/>
  <c r="BB661" i="1"/>
  <c r="M661" i="1"/>
  <c r="W652" i="1"/>
  <c r="BA652" i="1" s="1"/>
  <c r="AS619" i="1"/>
  <c r="M619" i="1"/>
  <c r="BA590" i="1"/>
  <c r="K590" i="1"/>
  <c r="L590" i="1"/>
  <c r="BA588" i="1"/>
  <c r="L588" i="1"/>
  <c r="BA582" i="1"/>
  <c r="K582" i="1"/>
  <c r="AR582" i="1"/>
  <c r="L546" i="1"/>
  <c r="K546" i="1"/>
  <c r="BB470" i="1"/>
  <c r="M470" i="1"/>
  <c r="AR450" i="1"/>
  <c r="L450" i="1"/>
  <c r="K450" i="1"/>
  <c r="AV445" i="1"/>
  <c r="AT430" i="1"/>
  <c r="I430" i="1"/>
  <c r="AW430" i="1" s="1"/>
  <c r="BC430" i="1"/>
  <c r="BB371" i="1"/>
  <c r="AW371" i="1"/>
  <c r="K353" i="1"/>
  <c r="L353" i="1"/>
  <c r="AV353" i="1"/>
  <c r="AR350" i="1"/>
  <c r="K350" i="1"/>
  <c r="BA350" i="1"/>
  <c r="L350" i="1"/>
  <c r="AY278" i="1"/>
  <c r="G277" i="1"/>
  <c r="AX277" i="1" s="1"/>
  <c r="BB250" i="1"/>
  <c r="M250" i="1"/>
  <c r="AW250" i="1"/>
  <c r="AU207" i="1"/>
  <c r="BD207" i="1"/>
  <c r="K206" i="1"/>
  <c r="K194" i="1"/>
  <c r="L194" i="1"/>
  <c r="AP188" i="1"/>
  <c r="BF188" i="1" s="1"/>
  <c r="M181" i="1"/>
  <c r="L181" i="1"/>
  <c r="M151" i="1"/>
  <c r="L151" i="1"/>
  <c r="AT148" i="1"/>
  <c r="I148" i="1"/>
  <c r="AS148" i="1" s="1"/>
  <c r="AP143" i="1"/>
  <c r="BF143" i="1" s="1"/>
  <c r="AP145" i="1"/>
  <c r="BF145" i="1" s="1"/>
  <c r="AP140" i="1"/>
  <c r="BF140" i="1" s="1"/>
  <c r="AP142" i="1"/>
  <c r="BF142" i="1" s="1"/>
  <c r="AY6" i="1"/>
  <c r="L643" i="1"/>
  <c r="AS571" i="1"/>
  <c r="M571" i="1"/>
  <c r="AR494" i="1"/>
  <c r="L494" i="1"/>
  <c r="K494" i="1"/>
  <c r="AR487" i="1"/>
  <c r="L487" i="1"/>
  <c r="AR422" i="1"/>
  <c r="K422" i="1"/>
  <c r="L422" i="1"/>
  <c r="BA584" i="1"/>
  <c r="K584" i="1"/>
  <c r="AR584" i="1"/>
  <c r="M561" i="1"/>
  <c r="AR303" i="1"/>
  <c r="K303" i="1"/>
  <c r="L303" i="1"/>
  <c r="BA279" i="1"/>
  <c r="L279" i="1"/>
  <c r="AR279" i="1"/>
  <c r="AO220" i="1"/>
  <c r="AP222" i="1" s="1"/>
  <c r="BF222" i="1" s="1"/>
  <c r="AD177" i="1"/>
  <c r="I177" i="1" s="1"/>
  <c r="AD178" i="1"/>
  <c r="I178" i="1" s="1"/>
  <c r="K148" i="1"/>
  <c r="BD120" i="1"/>
  <c r="AU120" i="1"/>
  <c r="AX120" i="1"/>
  <c r="M120" i="1"/>
  <c r="AS753" i="1"/>
  <c r="M753" i="1"/>
  <c r="BA686" i="1"/>
  <c r="K686" i="1"/>
  <c r="L686" i="1"/>
  <c r="BA656" i="1"/>
  <c r="K656" i="1"/>
  <c r="L656" i="1"/>
  <c r="K539" i="1"/>
  <c r="L539" i="1"/>
  <c r="AS536" i="1"/>
  <c r="M536" i="1"/>
  <c r="L536" i="1"/>
  <c r="M522" i="1"/>
  <c r="AR521" i="1"/>
  <c r="L521" i="1"/>
  <c r="K521" i="1"/>
  <c r="AR499" i="1"/>
  <c r="K499" i="1"/>
  <c r="L499" i="1"/>
  <c r="BA426" i="1"/>
  <c r="K426" i="1"/>
  <c r="L426" i="1"/>
  <c r="I382" i="1"/>
  <c r="AS382" i="1" s="1"/>
  <c r="BE382" i="1"/>
  <c r="BE102" i="1"/>
  <c r="AS814" i="1"/>
  <c r="M814" i="1"/>
  <c r="S764" i="1"/>
  <c r="AV764" i="1" s="1"/>
  <c r="AS712" i="1"/>
  <c r="M712" i="1"/>
  <c r="AR699" i="1"/>
  <c r="K699" i="1"/>
  <c r="L699" i="1"/>
  <c r="BB682" i="1"/>
  <c r="M682" i="1"/>
  <c r="BA679" i="1"/>
  <c r="K679" i="1"/>
  <c r="L679" i="1"/>
  <c r="L642" i="1"/>
  <c r="K595" i="1"/>
  <c r="I585" i="1"/>
  <c r="BE585" i="1"/>
  <c r="AT585" i="1"/>
  <c r="BA396" i="1"/>
  <c r="L396" i="1"/>
  <c r="K396" i="1"/>
  <c r="AV396" i="1"/>
  <c r="K347" i="1"/>
  <c r="L347" i="1"/>
  <c r="AR65" i="1"/>
  <c r="AV65" i="1"/>
  <c r="BA65" i="1"/>
  <c r="K65" i="1"/>
  <c r="L634" i="1"/>
  <c r="K634" i="1"/>
  <c r="BA634" i="1"/>
  <c r="AR476" i="1"/>
  <c r="K476" i="1"/>
  <c r="L476" i="1"/>
  <c r="BB220" i="1"/>
  <c r="M174" i="1"/>
  <c r="L174" i="1"/>
  <c r="K138" i="1"/>
  <c r="BE116" i="1"/>
  <c r="I116" i="1"/>
  <c r="BB116" i="1" s="1"/>
  <c r="BE64" i="1"/>
  <c r="BC64" i="1"/>
  <c r="I64" i="1"/>
  <c r="BB64" i="1" s="1"/>
  <c r="AT64" i="1"/>
  <c r="L386" i="1"/>
  <c r="K828" i="1"/>
  <c r="L828" i="1"/>
  <c r="AS819" i="1"/>
  <c r="AS807" i="1"/>
  <c r="M807" i="1"/>
  <c r="M805" i="1"/>
  <c r="AS805" i="1"/>
  <c r="K793" i="1"/>
  <c r="L793" i="1"/>
  <c r="K787" i="1"/>
  <c r="L787" i="1"/>
  <c r="K781" i="1"/>
  <c r="L781" i="1"/>
  <c r="BA649" i="1"/>
  <c r="K649" i="1"/>
  <c r="L649" i="1"/>
  <c r="AS614" i="1"/>
  <c r="L614" i="1"/>
  <c r="BC597" i="1"/>
  <c r="I597" i="1"/>
  <c r="AR578" i="1"/>
  <c r="L578" i="1"/>
  <c r="AR573" i="1"/>
  <c r="L573" i="1"/>
  <c r="K573" i="1"/>
  <c r="L515" i="1"/>
  <c r="K515" i="1"/>
  <c r="AR515" i="1"/>
  <c r="AR483" i="1"/>
  <c r="K472" i="1"/>
  <c r="L472" i="1"/>
  <c r="AR471" i="1"/>
  <c r="K471" i="1"/>
  <c r="AV279" i="1"/>
  <c r="BC278" i="1"/>
  <c r="BE278" i="1"/>
  <c r="K272" i="1"/>
  <c r="L272" i="1"/>
  <c r="AY227" i="1"/>
  <c r="K214" i="1"/>
  <c r="K182" i="1"/>
  <c r="K487" i="1"/>
  <c r="AS826" i="1"/>
  <c r="M826" i="1"/>
  <c r="BF818" i="1"/>
  <c r="BF749" i="1"/>
  <c r="K747" i="1"/>
  <c r="L747" i="1"/>
  <c r="K743" i="1"/>
  <c r="L743" i="1"/>
  <c r="K739" i="1"/>
  <c r="L739" i="1"/>
  <c r="K734" i="1"/>
  <c r="L734" i="1"/>
  <c r="AS730" i="1"/>
  <c r="M730" i="1"/>
  <c r="AS728" i="1"/>
  <c r="M728" i="1"/>
  <c r="AS713" i="1"/>
  <c r="M713" i="1"/>
  <c r="AR704" i="1"/>
  <c r="K704" i="1"/>
  <c r="L704" i="1"/>
  <c r="AR702" i="1"/>
  <c r="K702" i="1"/>
  <c r="L702" i="1"/>
  <c r="L681" i="1"/>
  <c r="M681" i="1"/>
  <c r="BB681" i="1"/>
  <c r="AS680" i="1"/>
  <c r="BB637" i="1"/>
  <c r="M637" i="1"/>
  <c r="BA636" i="1"/>
  <c r="K636" i="1"/>
  <c r="L636" i="1"/>
  <c r="M620" i="1"/>
  <c r="AL594" i="1"/>
  <c r="AZ594" i="1" s="1"/>
  <c r="AR485" i="1"/>
  <c r="K485" i="1"/>
  <c r="L485" i="1"/>
  <c r="K473" i="1"/>
  <c r="AR473" i="1"/>
  <c r="BF443" i="1"/>
  <c r="G372" i="1"/>
  <c r="K372" i="1" s="1"/>
  <c r="L369" i="1"/>
  <c r="AV295" i="1"/>
  <c r="L295" i="1"/>
  <c r="K295" i="1"/>
  <c r="L292" i="1"/>
  <c r="K292" i="1"/>
  <c r="AV275" i="1"/>
  <c r="K275" i="1"/>
  <c r="BA263" i="1"/>
  <c r="K263" i="1"/>
  <c r="L263" i="1"/>
  <c r="AR263" i="1"/>
  <c r="AV263" i="1"/>
  <c r="K250" i="1"/>
  <c r="L250" i="1"/>
  <c r="AV207" i="1"/>
  <c r="BA191" i="1"/>
  <c r="K191" i="1"/>
  <c r="K108" i="1"/>
  <c r="L139" i="1"/>
  <c r="M626" i="1"/>
  <c r="L626" i="1"/>
  <c r="K607" i="1"/>
  <c r="L607" i="1"/>
  <c r="BA607" i="1"/>
  <c r="BA594" i="1"/>
  <c r="K594" i="1"/>
  <c r="AR548" i="1"/>
  <c r="K548" i="1"/>
  <c r="L548" i="1"/>
  <c r="BA427" i="1"/>
  <c r="K427" i="1"/>
  <c r="L427" i="1"/>
  <c r="M499" i="1"/>
  <c r="AS499" i="1"/>
  <c r="K751" i="1"/>
  <c r="L751" i="1"/>
  <c r="K707" i="1"/>
  <c r="L707" i="1"/>
  <c r="AR707" i="1"/>
  <c r="AS699" i="1"/>
  <c r="M699" i="1"/>
  <c r="AU676" i="1"/>
  <c r="BD676" i="1"/>
  <c r="BB657" i="1"/>
  <c r="L657" i="1"/>
  <c r="AR561" i="1"/>
  <c r="L561" i="1"/>
  <c r="K561" i="1"/>
  <c r="BE394" i="1"/>
  <c r="AT394" i="1"/>
  <c r="BC394" i="1"/>
  <c r="BB684" i="1"/>
  <c r="M684" i="1"/>
  <c r="BA362" i="1"/>
  <c r="AV362" i="1"/>
  <c r="L362" i="1"/>
  <c r="K362" i="1"/>
  <c r="L310" i="1"/>
  <c r="AV310" i="1"/>
  <c r="K310" i="1"/>
  <c r="BA310" i="1"/>
  <c r="AU218" i="1"/>
  <c r="K203" i="1"/>
  <c r="K142" i="1"/>
  <c r="L142" i="1"/>
  <c r="AP115" i="1"/>
  <c r="K811" i="1"/>
  <c r="L811" i="1"/>
  <c r="AS809" i="1"/>
  <c r="M809" i="1"/>
  <c r="K785" i="1"/>
  <c r="L785" i="1"/>
  <c r="K777" i="1"/>
  <c r="L777" i="1"/>
  <c r="I768" i="1"/>
  <c r="AW768" i="1" s="1"/>
  <c r="AT768" i="1"/>
  <c r="AS710" i="1"/>
  <c r="M710" i="1"/>
  <c r="BA604" i="1"/>
  <c r="AR563" i="1"/>
  <c r="K563" i="1"/>
  <c r="L563" i="1"/>
  <c r="M477" i="1"/>
  <c r="BE437" i="1"/>
  <c r="BC437" i="1"/>
  <c r="I437" i="1"/>
  <c r="M437" i="1" s="1"/>
  <c r="K247" i="1"/>
  <c r="L247" i="1"/>
  <c r="BA673" i="1"/>
  <c r="K673" i="1"/>
  <c r="L673" i="1"/>
  <c r="K833" i="1"/>
  <c r="L833" i="1"/>
  <c r="K831" i="1"/>
  <c r="L831" i="1"/>
  <c r="AS824" i="1"/>
  <c r="K823" i="1"/>
  <c r="L823" i="1"/>
  <c r="AS815" i="1"/>
  <c r="M815" i="1"/>
  <c r="K741" i="1"/>
  <c r="L741" i="1"/>
  <c r="AS737" i="1"/>
  <c r="M737" i="1"/>
  <c r="AS732" i="1"/>
  <c r="M732" i="1"/>
  <c r="AR715" i="1"/>
  <c r="K715" i="1"/>
  <c r="L715" i="1"/>
  <c r="K706" i="1"/>
  <c r="L706" i="1"/>
  <c r="BA641" i="1"/>
  <c r="K641" i="1"/>
  <c r="L641" i="1"/>
  <c r="BE606" i="1"/>
  <c r="BC606" i="1"/>
  <c r="I606" i="1"/>
  <c r="AS829" i="1"/>
  <c r="M829" i="1"/>
  <c r="K826" i="1"/>
  <c r="L826" i="1"/>
  <c r="AS821" i="1"/>
  <c r="M821" i="1"/>
  <c r="AS817" i="1"/>
  <c r="M817" i="1"/>
  <c r="K815" i="1"/>
  <c r="L815" i="1"/>
  <c r="K813" i="1"/>
  <c r="L813" i="1"/>
  <c r="AS812" i="1"/>
  <c r="M803" i="1"/>
  <c r="AS803" i="1"/>
  <c r="G802" i="1"/>
  <c r="AU802" i="1" s="1"/>
  <c r="K796" i="1"/>
  <c r="L796" i="1"/>
  <c r="AS776" i="1"/>
  <c r="M776" i="1"/>
  <c r="I766" i="1"/>
  <c r="AW766" i="1" s="1"/>
  <c r="AT766" i="1"/>
  <c r="BB670" i="1"/>
  <c r="M670" i="1"/>
  <c r="L618" i="1"/>
  <c r="K618" i="1"/>
  <c r="M617" i="1"/>
  <c r="BB617" i="1"/>
  <c r="K616" i="1"/>
  <c r="BA616" i="1"/>
  <c r="BA606" i="1"/>
  <c r="K606" i="1"/>
  <c r="M545" i="1"/>
  <c r="AS545" i="1"/>
  <c r="AR533" i="1"/>
  <c r="K533" i="1"/>
  <c r="L533" i="1"/>
  <c r="AR519" i="1"/>
  <c r="K519" i="1"/>
  <c r="L519" i="1"/>
  <c r="AS507" i="1"/>
  <c r="M507" i="1"/>
  <c r="M505" i="1"/>
  <c r="AR415" i="1"/>
  <c r="K415" i="1"/>
  <c r="L415" i="1"/>
  <c r="AV415" i="1"/>
  <c r="K399" i="1"/>
  <c r="L399" i="1"/>
  <c r="AR380" i="1"/>
  <c r="L380" i="1"/>
  <c r="AV380" i="1"/>
  <c r="K380" i="1"/>
  <c r="W376" i="1"/>
  <c r="BA376" i="1" s="1"/>
  <c r="AZ372" i="1"/>
  <c r="AV301" i="1"/>
  <c r="L301" i="1"/>
  <c r="AR301" i="1"/>
  <c r="K301" i="1"/>
  <c r="I299" i="1"/>
  <c r="L299" i="1" s="1"/>
  <c r="BC299" i="1"/>
  <c r="K287" i="1"/>
  <c r="L287" i="1"/>
  <c r="M234" i="1"/>
  <c r="BB234" i="1"/>
  <c r="L229" i="1"/>
  <c r="I216" i="1"/>
  <c r="BD210" i="1"/>
  <c r="AX210" i="1"/>
  <c r="AU201" i="1"/>
  <c r="AX201" i="1"/>
  <c r="AP189" i="1"/>
  <c r="K161" i="1"/>
  <c r="M160" i="1"/>
  <c r="L160" i="1"/>
  <c r="BD96" i="1"/>
  <c r="AU96" i="1"/>
  <c r="K188" i="1"/>
  <c r="K305" i="1"/>
  <c r="K766" i="1"/>
  <c r="BD622" i="1"/>
  <c r="AS498" i="1"/>
  <c r="M498" i="1"/>
  <c r="L336" i="1"/>
  <c r="K336" i="1"/>
  <c r="BA297" i="1"/>
  <c r="K297" i="1"/>
  <c r="L297" i="1"/>
  <c r="K769" i="1"/>
  <c r="BB656" i="1"/>
  <c r="M656" i="1"/>
  <c r="AS652" i="1"/>
  <c r="BA627" i="1"/>
  <c r="K627" i="1"/>
  <c r="L627" i="1"/>
  <c r="AR576" i="1"/>
  <c r="K576" i="1"/>
  <c r="AR571" i="1"/>
  <c r="K571" i="1"/>
  <c r="L571" i="1"/>
  <c r="K560" i="1"/>
  <c r="L560" i="1"/>
  <c r="M535" i="1"/>
  <c r="AS535" i="1"/>
  <c r="AS460" i="1"/>
  <c r="M460" i="1"/>
  <c r="L378" i="1"/>
  <c r="K378" i="1"/>
  <c r="AS703" i="1"/>
  <c r="M703" i="1"/>
  <c r="AR559" i="1"/>
  <c r="K559" i="1"/>
  <c r="L559" i="1"/>
  <c r="K551" i="1"/>
  <c r="L551" i="1"/>
  <c r="BA422" i="1"/>
  <c r="AT355" i="1"/>
  <c r="BB355" i="1"/>
  <c r="K223" i="1"/>
  <c r="AX167" i="1"/>
  <c r="AU167" i="1"/>
  <c r="BD167" i="1"/>
  <c r="K167" i="1"/>
  <c r="AY155" i="1"/>
  <c r="AS142" i="1"/>
  <c r="M142" i="1"/>
  <c r="BA140" i="1"/>
  <c r="K140" i="1"/>
  <c r="AR140" i="1"/>
  <c r="AP132" i="1"/>
  <c r="BF132" i="1" s="1"/>
  <c r="AP133" i="1"/>
  <c r="BF133" i="1" s="1"/>
  <c r="AP129" i="1"/>
  <c r="BF129" i="1" s="1"/>
  <c r="AP130" i="1"/>
  <c r="AR714" i="1"/>
  <c r="K714" i="1"/>
  <c r="L714" i="1"/>
  <c r="AS697" i="1"/>
  <c r="M697" i="1"/>
  <c r="BA690" i="1"/>
  <c r="K690" i="1"/>
  <c r="L690" i="1"/>
  <c r="AZ441" i="1"/>
  <c r="AV300" i="1"/>
  <c r="L300" i="1"/>
  <c r="K300" i="1"/>
  <c r="AP167" i="1"/>
  <c r="BF167" i="1" s="1"/>
  <c r="AP165" i="1"/>
  <c r="BF165" i="1" s="1"/>
  <c r="AP166" i="1"/>
  <c r="BF166" i="1" s="1"/>
  <c r="K113" i="1"/>
  <c r="L342" i="1"/>
  <c r="AS790" i="1"/>
  <c r="M790" i="1"/>
  <c r="BA635" i="1"/>
  <c r="K635" i="1"/>
  <c r="L635" i="1"/>
  <c r="I605" i="1"/>
  <c r="BC605" i="1"/>
  <c r="K462" i="1"/>
  <c r="AR448" i="1"/>
  <c r="L448" i="1"/>
  <c r="BA448" i="1"/>
  <c r="K448" i="1"/>
  <c r="K210" i="1"/>
  <c r="L210" i="1"/>
  <c r="K809" i="1"/>
  <c r="L809" i="1"/>
  <c r="K790" i="1"/>
  <c r="L790" i="1"/>
  <c r="K605" i="1"/>
  <c r="BA605" i="1"/>
  <c r="M503" i="1"/>
  <c r="AS813" i="1"/>
  <c r="M813" i="1"/>
  <c r="K829" i="1"/>
  <c r="L829" i="1"/>
  <c r="K821" i="1"/>
  <c r="L821" i="1"/>
  <c r="AT802" i="1"/>
  <c r="BF800" i="1"/>
  <c r="BE800" i="1"/>
  <c r="AS798" i="1"/>
  <c r="M798" i="1"/>
  <c r="AS791" i="1"/>
  <c r="M791" i="1"/>
  <c r="K780" i="1"/>
  <c r="L780" i="1"/>
  <c r="AT778" i="1"/>
  <c r="I778" i="1"/>
  <c r="AW778" i="1" s="1"/>
  <c r="AR722" i="1"/>
  <c r="K722" i="1"/>
  <c r="L722" i="1"/>
  <c r="AR720" i="1"/>
  <c r="K720" i="1"/>
  <c r="L720" i="1"/>
  <c r="M694" i="1"/>
  <c r="AS694" i="1"/>
  <c r="BB690" i="1"/>
  <c r="BA688" i="1"/>
  <c r="L688" i="1"/>
  <c r="BB680" i="1"/>
  <c r="AS625" i="1"/>
  <c r="M625" i="1"/>
  <c r="BB625" i="1"/>
  <c r="BA621" i="1"/>
  <c r="L621" i="1"/>
  <c r="K621" i="1"/>
  <c r="L617" i="1"/>
  <c r="BA617" i="1"/>
  <c r="K617" i="1"/>
  <c r="BB592" i="1"/>
  <c r="AS592" i="1"/>
  <c r="BA591" i="1"/>
  <c r="K591" i="1"/>
  <c r="L591" i="1"/>
  <c r="BA583" i="1"/>
  <c r="K583" i="1"/>
  <c r="L583" i="1"/>
  <c r="K570" i="1"/>
  <c r="L570" i="1"/>
  <c r="AR570" i="1"/>
  <c r="AL568" i="1"/>
  <c r="AZ568" i="1" s="1"/>
  <c r="M558" i="1"/>
  <c r="K552" i="1"/>
  <c r="L552" i="1"/>
  <c r="AS548" i="1"/>
  <c r="M548" i="1"/>
  <c r="M546" i="1"/>
  <c r="M534" i="1"/>
  <c r="AS534" i="1"/>
  <c r="AS487" i="1"/>
  <c r="M487" i="1"/>
  <c r="AR486" i="1"/>
  <c r="K486" i="1"/>
  <c r="BE456" i="1"/>
  <c r="AR452" i="1"/>
  <c r="AV452" i="1"/>
  <c r="K452" i="1"/>
  <c r="AV448" i="1"/>
  <c r="AV419" i="1"/>
  <c r="L419" i="1"/>
  <c r="K419" i="1"/>
  <c r="AR419" i="1"/>
  <c r="AV409" i="1"/>
  <c r="AR407" i="1"/>
  <c r="L407" i="1"/>
  <c r="BA407" i="1"/>
  <c r="K407" i="1"/>
  <c r="K393" i="1"/>
  <c r="L393" i="1"/>
  <c r="AV392" i="1"/>
  <c r="L392" i="1"/>
  <c r="K392" i="1"/>
  <c r="AR392" i="1"/>
  <c r="AW377" i="1"/>
  <c r="M377" i="1"/>
  <c r="L376" i="1"/>
  <c r="K376" i="1"/>
  <c r="BA214" i="1"/>
  <c r="K201" i="1"/>
  <c r="M194" i="1"/>
  <c r="K193" i="1"/>
  <c r="K186" i="1"/>
  <c r="AZ174" i="1"/>
  <c r="AT166" i="1"/>
  <c r="BD50" i="1"/>
  <c r="AU50" i="1"/>
  <c r="AX50" i="1"/>
  <c r="BD48" i="1"/>
  <c r="AX48" i="1"/>
  <c r="AU48" i="1"/>
  <c r="L234" i="1"/>
  <c r="I111" i="1"/>
  <c r="AW111" i="1" s="1"/>
  <c r="AT111" i="1"/>
  <c r="BC111" i="1"/>
  <c r="AR60" i="1"/>
  <c r="BA60" i="1"/>
  <c r="AS796" i="1"/>
  <c r="M796" i="1"/>
  <c r="AS752" i="1"/>
  <c r="M752" i="1"/>
  <c r="AS736" i="1"/>
  <c r="M736" i="1"/>
  <c r="K710" i="1"/>
  <c r="L710" i="1"/>
  <c r="BB673" i="1"/>
  <c r="M673" i="1"/>
  <c r="BA660" i="1"/>
  <c r="K660" i="1"/>
  <c r="L660" i="1"/>
  <c r="M632" i="1"/>
  <c r="AS631" i="1"/>
  <c r="M631" i="1"/>
  <c r="BA630" i="1"/>
  <c r="L630" i="1"/>
  <c r="K624" i="1"/>
  <c r="L624" i="1"/>
  <c r="BB621" i="1"/>
  <c r="M621" i="1"/>
  <c r="BA620" i="1"/>
  <c r="K620" i="1"/>
  <c r="L620" i="1"/>
  <c r="K619" i="1"/>
  <c r="L619" i="1"/>
  <c r="M618" i="1"/>
  <c r="BF616" i="1"/>
  <c r="BE596" i="1"/>
  <c r="I595" i="1"/>
  <c r="AW595" i="1" s="1"/>
  <c r="BC595" i="1"/>
  <c r="W580" i="1"/>
  <c r="AR580" i="1" s="1"/>
  <c r="AR562" i="1"/>
  <c r="L562" i="1"/>
  <c r="M560" i="1"/>
  <c r="AS529" i="1"/>
  <c r="M523" i="1"/>
  <c r="AR522" i="1"/>
  <c r="L522" i="1"/>
  <c r="K522" i="1"/>
  <c r="AT490" i="1"/>
  <c r="BE490" i="1"/>
  <c r="AR470" i="1"/>
  <c r="K470" i="1"/>
  <c r="BB450" i="1"/>
  <c r="M450" i="1"/>
  <c r="BC382" i="1"/>
  <c r="L379" i="1"/>
  <c r="K379" i="1"/>
  <c r="K377" i="1"/>
  <c r="L377" i="1"/>
  <c r="AZ321" i="1"/>
  <c r="K314" i="1"/>
  <c r="L314" i="1"/>
  <c r="BA314" i="1"/>
  <c r="AV314" i="1"/>
  <c r="BD313" i="1"/>
  <c r="AR299" i="1"/>
  <c r="K299" i="1"/>
  <c r="K278" i="1"/>
  <c r="M263" i="1"/>
  <c r="AW263" i="1"/>
  <c r="K256" i="1"/>
  <c r="L256" i="1"/>
  <c r="AR256" i="1"/>
  <c r="AV252" i="1"/>
  <c r="BB241" i="1"/>
  <c r="M241" i="1"/>
  <c r="AW241" i="1"/>
  <c r="K228" i="1"/>
  <c r="AR219" i="1"/>
  <c r="K219" i="1"/>
  <c r="L219" i="1"/>
  <c r="K218" i="1"/>
  <c r="L218" i="1"/>
  <c r="AR204" i="1"/>
  <c r="K162" i="1"/>
  <c r="AZ160" i="1"/>
  <c r="K158" i="1"/>
  <c r="AV158" i="1"/>
  <c r="L158" i="1"/>
  <c r="AR158" i="1"/>
  <c r="K147" i="1"/>
  <c r="L147" i="1"/>
  <c r="K143" i="1"/>
  <c r="L143" i="1"/>
  <c r="K134" i="1"/>
  <c r="BE111" i="1"/>
  <c r="AX99" i="1"/>
  <c r="M96" i="1"/>
  <c r="BF95" i="1"/>
  <c r="AT91" i="1"/>
  <c r="K72" i="1"/>
  <c r="AV72" i="1"/>
  <c r="L401" i="1"/>
  <c r="AY64" i="1"/>
  <c r="M834" i="1"/>
  <c r="L834" i="1"/>
  <c r="K832" i="1"/>
  <c r="L832" i="1"/>
  <c r="K806" i="1"/>
  <c r="L806" i="1"/>
  <c r="AS804" i="1"/>
  <c r="M804" i="1"/>
  <c r="BF802" i="1"/>
  <c r="AS800" i="1"/>
  <c r="M800" i="1"/>
  <c r="K798" i="1"/>
  <c r="L798" i="1"/>
  <c r="AT764" i="1"/>
  <c r="I764" i="1"/>
  <c r="AW764" i="1" s="1"/>
  <c r="AS763" i="1"/>
  <c r="M763" i="1"/>
  <c r="AS761" i="1"/>
  <c r="M761" i="1"/>
  <c r="AS759" i="1"/>
  <c r="M759" i="1"/>
  <c r="K737" i="1"/>
  <c r="L737" i="1"/>
  <c r="K732" i="1"/>
  <c r="L732" i="1"/>
  <c r="K730" i="1"/>
  <c r="L730" i="1"/>
  <c r="K728" i="1"/>
  <c r="L728" i="1"/>
  <c r="AS722" i="1"/>
  <c r="M722" i="1"/>
  <c r="AS720" i="1"/>
  <c r="M720" i="1"/>
  <c r="K713" i="1"/>
  <c r="L713" i="1"/>
  <c r="M683" i="1"/>
  <c r="BB683" i="1"/>
  <c r="BA677" i="1"/>
  <c r="K677" i="1"/>
  <c r="L677" i="1"/>
  <c r="BA661" i="1"/>
  <c r="K661" i="1"/>
  <c r="L661" i="1"/>
  <c r="M636" i="1"/>
  <c r="AS636" i="1"/>
  <c r="BA626" i="1"/>
  <c r="BA622" i="1"/>
  <c r="K622" i="1"/>
  <c r="L622" i="1"/>
  <c r="BA619" i="1"/>
  <c r="BE616" i="1"/>
  <c r="AU599" i="1"/>
  <c r="BF588" i="1"/>
  <c r="G586" i="1"/>
  <c r="AU586" i="1" s="1"/>
  <c r="M583" i="1"/>
  <c r="W546" i="1"/>
  <c r="AR546" i="1" s="1"/>
  <c r="K514" i="1"/>
  <c r="L514" i="1"/>
  <c r="AR514" i="1"/>
  <c r="AR502" i="1"/>
  <c r="K502" i="1"/>
  <c r="L502" i="1"/>
  <c r="AV451" i="1"/>
  <c r="K451" i="1"/>
  <c r="L451" i="1"/>
  <c r="BA451" i="1"/>
  <c r="AR451" i="1"/>
  <c r="K444" i="1"/>
  <c r="AR444" i="1"/>
  <c r="AV444" i="1"/>
  <c r="K424" i="1"/>
  <c r="L424" i="1"/>
  <c r="BA412" i="1"/>
  <c r="K412" i="1"/>
  <c r="L412" i="1"/>
  <c r="K403" i="1"/>
  <c r="L403" i="1"/>
  <c r="K389" i="1"/>
  <c r="L389" i="1"/>
  <c r="L388" i="1"/>
  <c r="K388" i="1"/>
  <c r="AR388" i="1"/>
  <c r="K361" i="1"/>
  <c r="L361" i="1"/>
  <c r="L288" i="1"/>
  <c r="K288" i="1"/>
  <c r="K286" i="1"/>
  <c r="L286" i="1"/>
  <c r="L282" i="1"/>
  <c r="K282" i="1"/>
  <c r="AR282" i="1"/>
  <c r="BE264" i="1"/>
  <c r="I264" i="1"/>
  <c r="L264" i="1" s="1"/>
  <c r="AT264" i="1"/>
  <c r="L251" i="1"/>
  <c r="K232" i="1"/>
  <c r="AR227" i="1"/>
  <c r="K227" i="1"/>
  <c r="L227" i="1"/>
  <c r="K211" i="1"/>
  <c r="L211" i="1"/>
  <c r="BA211" i="1"/>
  <c r="K209" i="1"/>
  <c r="AX209" i="1"/>
  <c r="AZ120" i="1"/>
  <c r="K115" i="1"/>
  <c r="AV115" i="1"/>
  <c r="K107" i="1"/>
  <c r="AR106" i="1"/>
  <c r="BA105" i="1"/>
  <c r="K105" i="1"/>
  <c r="K104" i="1"/>
  <c r="BA104" i="1"/>
  <c r="AY95" i="1"/>
  <c r="AR93" i="1"/>
  <c r="K93" i="1"/>
  <c r="BC91" i="1"/>
  <c r="K63" i="1"/>
  <c r="M63" i="1"/>
  <c r="AU21" i="1"/>
  <c r="K21" i="1"/>
  <c r="L164" i="1"/>
  <c r="M542" i="1"/>
  <c r="L408" i="1"/>
  <c r="AS725" i="1"/>
  <c r="M725" i="1"/>
  <c r="BA670" i="1"/>
  <c r="K670" i="1"/>
  <c r="L670" i="1"/>
  <c r="BB662" i="1"/>
  <c r="M662" i="1"/>
  <c r="BB644" i="1"/>
  <c r="M644" i="1"/>
  <c r="K637" i="1"/>
  <c r="L637" i="1"/>
  <c r="BF599" i="1"/>
  <c r="BA587" i="1"/>
  <c r="L587" i="1"/>
  <c r="BA585" i="1"/>
  <c r="K585" i="1"/>
  <c r="AS547" i="1"/>
  <c r="M547" i="1"/>
  <c r="W544" i="1"/>
  <c r="AR544" i="1" s="1"/>
  <c r="K517" i="1"/>
  <c r="L517" i="1"/>
  <c r="AR517" i="1"/>
  <c r="L503" i="1"/>
  <c r="K503" i="1"/>
  <c r="AR503" i="1"/>
  <c r="M458" i="1"/>
  <c r="BB458" i="1"/>
  <c r="L453" i="1"/>
  <c r="BA432" i="1"/>
  <c r="L432" i="1"/>
  <c r="K432" i="1"/>
  <c r="AR432" i="1"/>
  <c r="AV423" i="1"/>
  <c r="K423" i="1"/>
  <c r="AR423" i="1"/>
  <c r="AV416" i="1"/>
  <c r="K416" i="1"/>
  <c r="L416" i="1"/>
  <c r="AR416" i="1"/>
  <c r="K411" i="1"/>
  <c r="L411" i="1"/>
  <c r="L360" i="1"/>
  <c r="K360" i="1"/>
  <c r="AR331" i="1"/>
  <c r="K331" i="1"/>
  <c r="L331" i="1"/>
  <c r="AV331" i="1"/>
  <c r="AV290" i="1"/>
  <c r="L290" i="1"/>
  <c r="AR290" i="1"/>
  <c r="K274" i="1"/>
  <c r="L274" i="1"/>
  <c r="L273" i="1"/>
  <c r="AV273" i="1"/>
  <c r="AR269" i="1"/>
  <c r="K269" i="1"/>
  <c r="L269" i="1"/>
  <c r="K267" i="1"/>
  <c r="AY230" i="1"/>
  <c r="K180" i="1"/>
  <c r="BE163" i="1"/>
  <c r="I163" i="1"/>
  <c r="BB163" i="1" s="1"/>
  <c r="AT163" i="1"/>
  <c r="M123" i="1"/>
  <c r="BB123" i="1"/>
  <c r="AY116" i="1"/>
  <c r="L625" i="1"/>
  <c r="K562" i="1"/>
  <c r="L457" i="1"/>
  <c r="K355" i="1"/>
  <c r="AT33" i="1"/>
  <c r="BC33" i="1"/>
  <c r="AX18" i="1"/>
  <c r="BE811" i="1"/>
  <c r="BF811" i="1"/>
  <c r="K757" i="1"/>
  <c r="L757" i="1"/>
  <c r="K755" i="1"/>
  <c r="L755" i="1"/>
  <c r="M828" i="1"/>
  <c r="AS828" i="1"/>
  <c r="K825" i="1"/>
  <c r="L825" i="1"/>
  <c r="BF809" i="1"/>
  <c r="BF801" i="1"/>
  <c r="I767" i="1"/>
  <c r="AT767" i="1"/>
  <c r="M751" i="1"/>
  <c r="AS751" i="1"/>
  <c r="BB688" i="1"/>
  <c r="BB686" i="1"/>
  <c r="M686" i="1"/>
  <c r="S678" i="1"/>
  <c r="AV678" i="1" s="1"/>
  <c r="K674" i="1"/>
  <c r="L674" i="1"/>
  <c r="BA674" i="1"/>
  <c r="W643" i="1"/>
  <c r="BA643" i="1" s="1"/>
  <c r="K608" i="1"/>
  <c r="BA608" i="1"/>
  <c r="BF591" i="1"/>
  <c r="BE583" i="1"/>
  <c r="BF580" i="1"/>
  <c r="L557" i="1"/>
  <c r="AR557" i="1"/>
  <c r="K557" i="1"/>
  <c r="AR547" i="1"/>
  <c r="K547" i="1"/>
  <c r="L547" i="1"/>
  <c r="K544" i="1"/>
  <c r="L544" i="1"/>
  <c r="K518" i="1"/>
  <c r="L518" i="1"/>
  <c r="AR518" i="1"/>
  <c r="AR504" i="1"/>
  <c r="K504" i="1"/>
  <c r="L504" i="1"/>
  <c r="AZ456" i="1"/>
  <c r="L454" i="1"/>
  <c r="K454" i="1"/>
  <c r="AZ446" i="1"/>
  <c r="AR431" i="1"/>
  <c r="K431" i="1"/>
  <c r="BA343" i="1"/>
  <c r="K343" i="1"/>
  <c r="L343" i="1"/>
  <c r="K298" i="1"/>
  <c r="L298" i="1"/>
  <c r="AR284" i="1"/>
  <c r="K284" i="1"/>
  <c r="L284" i="1"/>
  <c r="AV284" i="1"/>
  <c r="K276" i="1"/>
  <c r="L276" i="1"/>
  <c r="AV271" i="1"/>
  <c r="I270" i="1"/>
  <c r="BC270" i="1"/>
  <c r="BE270" i="1"/>
  <c r="AW248" i="1"/>
  <c r="AS248" i="1"/>
  <c r="M248" i="1"/>
  <c r="K240" i="1"/>
  <c r="AR240" i="1"/>
  <c r="AY238" i="1"/>
  <c r="AU215" i="1"/>
  <c r="AX215" i="1"/>
  <c r="K195" i="1"/>
  <c r="BA195" i="1"/>
  <c r="K166" i="1"/>
  <c r="K137" i="1"/>
  <c r="AV104" i="1"/>
  <c r="AX102" i="1"/>
  <c r="AW49" i="1"/>
  <c r="M49" i="1"/>
  <c r="L49" i="1"/>
  <c r="K625" i="1"/>
  <c r="K457" i="1"/>
  <c r="L423" i="1"/>
  <c r="BD89" i="1"/>
  <c r="L52" i="1"/>
  <c r="M52" i="1"/>
  <c r="M700" i="1"/>
  <c r="K824" i="1"/>
  <c r="L824" i="1"/>
  <c r="K797" i="1"/>
  <c r="L797" i="1"/>
  <c r="S792" i="1"/>
  <c r="AV792" i="1" s="1"/>
  <c r="K776" i="1"/>
  <c r="L776" i="1"/>
  <c r="AS765" i="1"/>
  <c r="M765" i="1"/>
  <c r="K748" i="1"/>
  <c r="L748" i="1"/>
  <c r="K746" i="1"/>
  <c r="L746" i="1"/>
  <c r="AS744" i="1"/>
  <c r="M744" i="1"/>
  <c r="AR725" i="1"/>
  <c r="K725" i="1"/>
  <c r="L725" i="1"/>
  <c r="BB689" i="1"/>
  <c r="M689" i="1"/>
  <c r="BB687" i="1"/>
  <c r="M687" i="1"/>
  <c r="BA675" i="1"/>
  <c r="K675" i="1"/>
  <c r="L675" i="1"/>
  <c r="BF667" i="1"/>
  <c r="W665" i="1"/>
  <c r="K662" i="1"/>
  <c r="L662" i="1"/>
  <c r="BA658" i="1"/>
  <c r="K658" i="1"/>
  <c r="L658" i="1"/>
  <c r="L652" i="1"/>
  <c r="BF626" i="1"/>
  <c r="BF611" i="1"/>
  <c r="K610" i="1"/>
  <c r="BF600" i="1"/>
  <c r="K598" i="1"/>
  <c r="BA598" i="1"/>
  <c r="G592" i="1"/>
  <c r="M592" i="1" s="1"/>
  <c r="M574" i="1"/>
  <c r="AR567" i="1"/>
  <c r="K567" i="1"/>
  <c r="L567" i="1"/>
  <c r="M564" i="1"/>
  <c r="M544" i="1"/>
  <c r="AR543" i="1"/>
  <c r="K543" i="1"/>
  <c r="L543" i="1"/>
  <c r="K530" i="1"/>
  <c r="L530" i="1"/>
  <c r="M524" i="1"/>
  <c r="AS511" i="1"/>
  <c r="AS509" i="1"/>
  <c r="M509" i="1"/>
  <c r="M508" i="1"/>
  <c r="L507" i="1"/>
  <c r="K507" i="1"/>
  <c r="AR505" i="1"/>
  <c r="K505" i="1"/>
  <c r="L505" i="1"/>
  <c r="AS491" i="1"/>
  <c r="M491" i="1"/>
  <c r="M474" i="1"/>
  <c r="AP468" i="1"/>
  <c r="BF468" i="1" s="1"/>
  <c r="AP465" i="1"/>
  <c r="BF465" i="1" s="1"/>
  <c r="AP466" i="1"/>
  <c r="BF466" i="1" s="1"/>
  <c r="AS464" i="1"/>
  <c r="M464" i="1"/>
  <c r="L443" i="1"/>
  <c r="K443" i="1"/>
  <c r="BF433" i="1"/>
  <c r="AR429" i="1"/>
  <c r="BF400" i="1"/>
  <c r="AV354" i="1"/>
  <c r="L354" i="1"/>
  <c r="AR349" i="1"/>
  <c r="AR241" i="1"/>
  <c r="AR236" i="1"/>
  <c r="M217" i="1"/>
  <c r="AY209" i="1"/>
  <c r="K179" i="1"/>
  <c r="M173" i="1"/>
  <c r="AU156" i="1"/>
  <c r="M156" i="1"/>
  <c r="AS121" i="1"/>
  <c r="M121" i="1"/>
  <c r="BD90" i="1"/>
  <c r="AV80" i="1"/>
  <c r="L80" i="1"/>
  <c r="BA80" i="1"/>
  <c r="K73" i="1"/>
  <c r="L73" i="1"/>
  <c r="AL41" i="1"/>
  <c r="AS7" i="1"/>
  <c r="AW7" i="1"/>
  <c r="L506" i="1"/>
  <c r="K354" i="1"/>
  <c r="M653" i="1"/>
  <c r="M762" i="1"/>
  <c r="L738" i="1"/>
  <c r="M714" i="1"/>
  <c r="BC48" i="1"/>
  <c r="AZ40" i="1"/>
  <c r="AT11" i="1"/>
  <c r="K830" i="1"/>
  <c r="L830" i="1"/>
  <c r="K827" i="1"/>
  <c r="L827" i="1"/>
  <c r="AS822" i="1"/>
  <c r="M822" i="1"/>
  <c r="K801" i="1"/>
  <c r="L801" i="1"/>
  <c r="AS792" i="1"/>
  <c r="M792" i="1"/>
  <c r="AS789" i="1"/>
  <c r="M789" i="1"/>
  <c r="K768" i="1"/>
  <c r="AS740" i="1"/>
  <c r="M740" i="1"/>
  <c r="K735" i="1"/>
  <c r="L735" i="1"/>
  <c r="AR718" i="1"/>
  <c r="K718" i="1"/>
  <c r="L718" i="1"/>
  <c r="AR700" i="1"/>
  <c r="K700" i="1"/>
  <c r="L700" i="1"/>
  <c r="AS698" i="1"/>
  <c r="M698" i="1"/>
  <c r="BA689" i="1"/>
  <c r="K689" i="1"/>
  <c r="L689" i="1"/>
  <c r="M663" i="1"/>
  <c r="BA650" i="1"/>
  <c r="K650" i="1"/>
  <c r="L650" i="1"/>
  <c r="BB639" i="1"/>
  <c r="M639" i="1"/>
  <c r="BF627" i="1"/>
  <c r="AS611" i="1"/>
  <c r="M611" i="1"/>
  <c r="BA597" i="1"/>
  <c r="BF594" i="1"/>
  <c r="BA592" i="1"/>
  <c r="L592" i="1"/>
  <c r="AR579" i="1"/>
  <c r="K579" i="1"/>
  <c r="L579" i="1"/>
  <c r="AR574" i="1"/>
  <c r="L574" i="1"/>
  <c r="AR531" i="1"/>
  <c r="K531" i="1"/>
  <c r="AR524" i="1"/>
  <c r="K524" i="1"/>
  <c r="L524" i="1"/>
  <c r="K508" i="1"/>
  <c r="L508" i="1"/>
  <c r="M469" i="1"/>
  <c r="BA463" i="1"/>
  <c r="K463" i="1"/>
  <c r="BA461" i="1"/>
  <c r="L461" i="1"/>
  <c r="K442" i="1"/>
  <c r="L442" i="1"/>
  <c r="BC434" i="1"/>
  <c r="I434" i="1"/>
  <c r="AS434" i="1" s="1"/>
  <c r="AR425" i="1"/>
  <c r="K425" i="1"/>
  <c r="L425" i="1"/>
  <c r="BA425" i="1"/>
  <c r="AV385" i="1"/>
  <c r="K385" i="1"/>
  <c r="L385" i="1"/>
  <c r="L384" i="1"/>
  <c r="K384" i="1"/>
  <c r="AV356" i="1"/>
  <c r="L356" i="1"/>
  <c r="AS355" i="1"/>
  <c r="AV352" i="1"/>
  <c r="L352" i="1"/>
  <c r="K352" i="1"/>
  <c r="K341" i="1"/>
  <c r="AV341" i="1"/>
  <c r="AV324" i="1"/>
  <c r="L324" i="1"/>
  <c r="BA324" i="1"/>
  <c r="K324" i="1"/>
  <c r="AR322" i="1"/>
  <c r="L322" i="1"/>
  <c r="K322" i="1"/>
  <c r="L315" i="1"/>
  <c r="K315" i="1"/>
  <c r="L693" i="1"/>
  <c r="AS818" i="1"/>
  <c r="M818" i="1"/>
  <c r="AS799" i="1"/>
  <c r="M799" i="1"/>
  <c r="K795" i="1"/>
  <c r="L795" i="1"/>
  <c r="K799" i="1"/>
  <c r="L799" i="1"/>
  <c r="K782" i="1"/>
  <c r="L782" i="1"/>
  <c r="AS760" i="1"/>
  <c r="M760" i="1"/>
  <c r="AS723" i="1"/>
  <c r="M723" i="1"/>
  <c r="AS716" i="1"/>
  <c r="M716" i="1"/>
  <c r="K711" i="1"/>
  <c r="L711" i="1"/>
  <c r="AS709" i="1"/>
  <c r="M709" i="1"/>
  <c r="BB691" i="1"/>
  <c r="M691" i="1"/>
  <c r="BB671" i="1"/>
  <c r="M671" i="1"/>
  <c r="BB612" i="1"/>
  <c r="M612" i="1"/>
  <c r="M600" i="1"/>
  <c r="BB600" i="1"/>
  <c r="L474" i="1"/>
  <c r="K474" i="1"/>
  <c r="L283" i="1"/>
  <c r="K283" i="1"/>
  <c r="AV283" i="1"/>
  <c r="BF277" i="1"/>
  <c r="AW260" i="1"/>
  <c r="K230" i="1"/>
  <c r="BA230" i="1"/>
  <c r="AZ222" i="1"/>
  <c r="BB212" i="1"/>
  <c r="AW212" i="1"/>
  <c r="AR205" i="1"/>
  <c r="K205" i="1"/>
  <c r="AT200" i="1"/>
  <c r="BC200" i="1"/>
  <c r="K146" i="1"/>
  <c r="AV146" i="1"/>
  <c r="BD138" i="1"/>
  <c r="AU138" i="1"/>
  <c r="I137" i="1"/>
  <c r="AT137" i="1"/>
  <c r="AR90" i="1"/>
  <c r="K90" i="1"/>
  <c r="AV90" i="1"/>
  <c r="BA90" i="1"/>
  <c r="I48" i="1"/>
  <c r="BB48" i="1" s="1"/>
  <c r="BE41" i="1"/>
  <c r="I11" i="1"/>
  <c r="M11" i="1" s="1"/>
  <c r="K597" i="1"/>
  <c r="M570" i="1"/>
  <c r="L463" i="1"/>
  <c r="L653" i="1"/>
  <c r="L805" i="1"/>
  <c r="L762" i="1"/>
  <c r="K822" i="1"/>
  <c r="L822" i="1"/>
  <c r="AS771" i="1"/>
  <c r="M771" i="1"/>
  <c r="K760" i="1"/>
  <c r="L760" i="1"/>
  <c r="AS756" i="1"/>
  <c r="M756" i="1"/>
  <c r="AS754" i="1"/>
  <c r="M754" i="1"/>
  <c r="K742" i="1"/>
  <c r="L742" i="1"/>
  <c r="K740" i="1"/>
  <c r="L740" i="1"/>
  <c r="AS731" i="1"/>
  <c r="M731" i="1"/>
  <c r="AR723" i="1"/>
  <c r="K723" i="1"/>
  <c r="L723" i="1"/>
  <c r="K716" i="1"/>
  <c r="L716" i="1"/>
  <c r="AR709" i="1"/>
  <c r="K709" i="1"/>
  <c r="L709" i="1"/>
  <c r="K698" i="1"/>
  <c r="L698" i="1"/>
  <c r="BA691" i="1"/>
  <c r="K691" i="1"/>
  <c r="L691" i="1"/>
  <c r="BA687" i="1"/>
  <c r="K687" i="1"/>
  <c r="L687" i="1"/>
  <c r="BB685" i="1"/>
  <c r="M685" i="1"/>
  <c r="BA671" i="1"/>
  <c r="K671" i="1"/>
  <c r="L671" i="1"/>
  <c r="BA667" i="1"/>
  <c r="K667" i="1"/>
  <c r="L667" i="1"/>
  <c r="M664" i="1"/>
  <c r="BA663" i="1"/>
  <c r="K663" i="1"/>
  <c r="L663" i="1"/>
  <c r="M659" i="1"/>
  <c r="K654" i="1"/>
  <c r="L654" i="1"/>
  <c r="M646" i="1"/>
  <c r="BB640" i="1"/>
  <c r="M640" i="1"/>
  <c r="BA639" i="1"/>
  <c r="K639" i="1"/>
  <c r="L639" i="1"/>
  <c r="K613" i="1"/>
  <c r="K611" i="1"/>
  <c r="L611" i="1"/>
  <c r="K603" i="1"/>
  <c r="I601" i="1"/>
  <c r="BF589" i="1"/>
  <c r="BF568" i="1"/>
  <c r="G568" i="1"/>
  <c r="AU568" i="1" s="1"/>
  <c r="M556" i="1"/>
  <c r="L553" i="1"/>
  <c r="M525" i="1"/>
  <c r="AR510" i="1"/>
  <c r="L510" i="1"/>
  <c r="I484" i="1"/>
  <c r="AW484" i="1" s="1"/>
  <c r="AT484" i="1"/>
  <c r="K469" i="1"/>
  <c r="L469" i="1"/>
  <c r="BA467" i="1"/>
  <c r="L467" i="1"/>
  <c r="L456" i="1"/>
  <c r="AV434" i="1"/>
  <c r="L404" i="1"/>
  <c r="K404" i="1"/>
  <c r="BA398" i="1"/>
  <c r="K398" i="1"/>
  <c r="L398" i="1"/>
  <c r="G394" i="1"/>
  <c r="K394" i="1" s="1"/>
  <c r="AR383" i="1"/>
  <c r="K383" i="1"/>
  <c r="BA383" i="1"/>
  <c r="L383" i="1"/>
  <c r="BA368" i="1"/>
  <c r="L368" i="1"/>
  <c r="K368" i="1"/>
  <c r="AV368" i="1"/>
  <c r="BA354" i="1"/>
  <c r="BA352" i="1"/>
  <c r="K338" i="1"/>
  <c r="L338" i="1"/>
  <c r="AR326" i="1"/>
  <c r="K326" i="1"/>
  <c r="L326" i="1"/>
  <c r="BF321" i="1"/>
  <c r="L320" i="1"/>
  <c r="K320" i="1"/>
  <c r="BF270" i="1"/>
  <c r="BF264" i="1"/>
  <c r="M262" i="1"/>
  <c r="AW262" i="1"/>
  <c r="BE222" i="1"/>
  <c r="BC222" i="1"/>
  <c r="K216" i="1"/>
  <c r="K212" i="1"/>
  <c r="BE210" i="1"/>
  <c r="BC210" i="1"/>
  <c r="AY200" i="1"/>
  <c r="AX196" i="1"/>
  <c r="BC194" i="1"/>
  <c r="BE194" i="1"/>
  <c r="AU181" i="1"/>
  <c r="BD181" i="1"/>
  <c r="AX181" i="1"/>
  <c r="K178" i="1"/>
  <c r="BC161" i="1"/>
  <c r="BE159" i="1"/>
  <c r="AT159" i="1"/>
  <c r="K141" i="1"/>
  <c r="L141" i="1"/>
  <c r="K132" i="1"/>
  <c r="AD128" i="1"/>
  <c r="AT128" i="1" s="1"/>
  <c r="BE127" i="1"/>
  <c r="K116" i="1"/>
  <c r="BA103" i="1"/>
  <c r="AR103" i="1"/>
  <c r="AX90" i="1"/>
  <c r="AL24" i="1"/>
  <c r="AZ24" i="1" s="1"/>
  <c r="K181" i="1"/>
  <c r="M124" i="1"/>
  <c r="L531" i="1"/>
  <c r="L309" i="1"/>
  <c r="AS825" i="1"/>
  <c r="M825" i="1"/>
  <c r="AS787" i="1"/>
  <c r="M787" i="1"/>
  <c r="K779" i="1"/>
  <c r="L779" i="1"/>
  <c r="K773" i="1"/>
  <c r="L773" i="1"/>
  <c r="K771" i="1"/>
  <c r="L771" i="1"/>
  <c r="K758" i="1"/>
  <c r="L758" i="1"/>
  <c r="K756" i="1"/>
  <c r="L756" i="1"/>
  <c r="K754" i="1"/>
  <c r="L754" i="1"/>
  <c r="K733" i="1"/>
  <c r="L733" i="1"/>
  <c r="K731" i="1"/>
  <c r="L731" i="1"/>
  <c r="AS727" i="1"/>
  <c r="M727" i="1"/>
  <c r="AS707" i="1"/>
  <c r="M707" i="1"/>
  <c r="AR696" i="1"/>
  <c r="K696" i="1"/>
  <c r="BA685" i="1"/>
  <c r="K685" i="1"/>
  <c r="L685" i="1"/>
  <c r="K676" i="1"/>
  <c r="L676" i="1"/>
  <c r="BB672" i="1"/>
  <c r="M672" i="1"/>
  <c r="L645" i="1"/>
  <c r="AS630" i="1"/>
  <c r="L628" i="1"/>
  <c r="K628" i="1"/>
  <c r="BA599" i="1"/>
  <c r="K599" i="1"/>
  <c r="AR575" i="1"/>
  <c r="K575" i="1"/>
  <c r="L575" i="1"/>
  <c r="K556" i="1"/>
  <c r="L556" i="1"/>
  <c r="AR556" i="1"/>
  <c r="AR554" i="1"/>
  <c r="K554" i="1"/>
  <c r="L554" i="1"/>
  <c r="W552" i="1"/>
  <c r="AR552" i="1" s="1"/>
  <c r="AR532" i="1"/>
  <c r="K532" i="1"/>
  <c r="AR525" i="1"/>
  <c r="L525" i="1"/>
  <c r="K525" i="1"/>
  <c r="AS513" i="1"/>
  <c r="M513" i="1"/>
  <c r="AR493" i="1"/>
  <c r="L493" i="1"/>
  <c r="K493" i="1"/>
  <c r="BF490" i="1"/>
  <c r="G490" i="1"/>
  <c r="AU490" i="1" s="1"/>
  <c r="AR475" i="1"/>
  <c r="L475" i="1"/>
  <c r="K475" i="1"/>
  <c r="AS449" i="1"/>
  <c r="M449" i="1"/>
  <c r="K436" i="1"/>
  <c r="L436" i="1"/>
  <c r="L397" i="1"/>
  <c r="K397" i="1"/>
  <c r="BA385" i="1"/>
  <c r="BF382" i="1"/>
  <c r="AR372" i="1"/>
  <c r="L372" i="1"/>
  <c r="BA366" i="1"/>
  <c r="K366" i="1"/>
  <c r="L366" i="1"/>
  <c r="K365" i="1"/>
  <c r="L365" i="1"/>
  <c r="L364" i="1"/>
  <c r="BA364" i="1"/>
  <c r="AS363" i="1"/>
  <c r="BC355" i="1"/>
  <c r="AV349" i="1"/>
  <c r="L349" i="1"/>
  <c r="AW347" i="1"/>
  <c r="L344" i="1"/>
  <c r="K344" i="1"/>
  <c r="BA341" i="1"/>
  <c r="L332" i="1"/>
  <c r="K332" i="1"/>
  <c r="BA332" i="1"/>
  <c r="BE312" i="1"/>
  <c r="BC312" i="1"/>
  <c r="BB260" i="1"/>
  <c r="AW245" i="1"/>
  <c r="M245" i="1"/>
  <c r="BB245" i="1"/>
  <c r="AS245" i="1"/>
  <c r="AY239" i="1"/>
  <c r="K215" i="1"/>
  <c r="AX214" i="1"/>
  <c r="K208" i="1"/>
  <c r="K200" i="1"/>
  <c r="L200" i="1"/>
  <c r="BE192" i="1"/>
  <c r="I192" i="1"/>
  <c r="AS192" i="1" s="1"/>
  <c r="BC192" i="1"/>
  <c r="BF180" i="1"/>
  <c r="AV165" i="1"/>
  <c r="K165" i="1"/>
  <c r="M159" i="1"/>
  <c r="K150" i="1"/>
  <c r="AV128" i="1"/>
  <c r="BA62" i="1"/>
  <c r="AY39" i="1"/>
  <c r="BD26" i="1"/>
  <c r="AT13" i="1"/>
  <c r="BC13" i="1"/>
  <c r="M255" i="1"/>
  <c r="L246" i="1"/>
  <c r="L236" i="1"/>
  <c r="K80" i="1"/>
  <c r="L62" i="1"/>
  <c r="K461" i="1"/>
  <c r="L281" i="1"/>
  <c r="L646" i="1"/>
  <c r="AR540" i="1"/>
  <c r="K540" i="1"/>
  <c r="L540" i="1"/>
  <c r="L535" i="1"/>
  <c r="AR526" i="1"/>
  <c r="K526" i="1"/>
  <c r="M518" i="1"/>
  <c r="AS515" i="1"/>
  <c r="M515" i="1"/>
  <c r="AR511" i="1"/>
  <c r="L511" i="1"/>
  <c r="AS493" i="1"/>
  <c r="L477" i="1"/>
  <c r="K466" i="1"/>
  <c r="L466" i="1"/>
  <c r="AV449" i="1"/>
  <c r="L449" i="1"/>
  <c r="AY441" i="1"/>
  <c r="AY437" i="1"/>
  <c r="L433" i="1"/>
  <c r="AY430" i="1"/>
  <c r="AV421" i="1"/>
  <c r="L421" i="1"/>
  <c r="BA414" i="1"/>
  <c r="K414" i="1"/>
  <c r="L414" i="1"/>
  <c r="AV391" i="1"/>
  <c r="L391" i="1"/>
  <c r="M376" i="1"/>
  <c r="AV374" i="1"/>
  <c r="L374" i="1"/>
  <c r="K359" i="1"/>
  <c r="L359" i="1"/>
  <c r="BF355" i="1"/>
  <c r="L346" i="1"/>
  <c r="K346" i="1"/>
  <c r="M333" i="1"/>
  <c r="AV328" i="1"/>
  <c r="L328" i="1"/>
  <c r="AY312" i="1"/>
  <c r="AV304" i="1"/>
  <c r="L304" i="1"/>
  <c r="K304" i="1"/>
  <c r="BF299" i="1"/>
  <c r="BA294" i="1"/>
  <c r="L294" i="1"/>
  <c r="K294" i="1"/>
  <c r="K264" i="1"/>
  <c r="BF249" i="1"/>
  <c r="AV230" i="1"/>
  <c r="BA175" i="1"/>
  <c r="K175" i="1"/>
  <c r="BE172" i="1"/>
  <c r="K136" i="1"/>
  <c r="I76" i="1"/>
  <c r="AT76" i="1"/>
  <c r="BC76" i="1"/>
  <c r="K527" i="1"/>
  <c r="K285" i="1"/>
  <c r="AS797" i="1"/>
  <c r="M797" i="1"/>
  <c r="K772" i="1"/>
  <c r="L772" i="1"/>
  <c r="K763" i="1"/>
  <c r="L763" i="1"/>
  <c r="K761" i="1"/>
  <c r="L761" i="1"/>
  <c r="K759" i="1"/>
  <c r="L759" i="1"/>
  <c r="AS755" i="1"/>
  <c r="M755" i="1"/>
  <c r="K745" i="1"/>
  <c r="L745" i="1"/>
  <c r="AS743" i="1"/>
  <c r="M743" i="1"/>
  <c r="AS739" i="1"/>
  <c r="M739" i="1"/>
  <c r="AR724" i="1"/>
  <c r="K724" i="1"/>
  <c r="AR717" i="1"/>
  <c r="K717" i="1"/>
  <c r="AR705" i="1"/>
  <c r="K705" i="1"/>
  <c r="L705" i="1"/>
  <c r="AR703" i="1"/>
  <c r="K703" i="1"/>
  <c r="L703" i="1"/>
  <c r="K694" i="1"/>
  <c r="L694" i="1"/>
  <c r="K683" i="1"/>
  <c r="L683" i="1"/>
  <c r="G665" i="1"/>
  <c r="M665" i="1" s="1"/>
  <c r="BA664" i="1"/>
  <c r="K664" i="1"/>
  <c r="L664" i="1"/>
  <c r="BA659" i="1"/>
  <c r="K659" i="1"/>
  <c r="L659" i="1"/>
  <c r="K655" i="1"/>
  <c r="L655" i="1"/>
  <c r="M651" i="1"/>
  <c r="BA646" i="1"/>
  <c r="K646" i="1"/>
  <c r="BA640" i="1"/>
  <c r="K640" i="1"/>
  <c r="L640" i="1"/>
  <c r="G638" i="1"/>
  <c r="BD638" i="1" s="1"/>
  <c r="AT623" i="1"/>
  <c r="K615" i="1"/>
  <c r="L615" i="1"/>
  <c r="M613" i="1"/>
  <c r="BF601" i="1"/>
  <c r="AS575" i="1"/>
  <c r="M575" i="1"/>
  <c r="AR550" i="1"/>
  <c r="L550" i="1"/>
  <c r="L545" i="1"/>
  <c r="G516" i="1"/>
  <c r="K516" i="1" s="1"/>
  <c r="M494" i="1"/>
  <c r="AS492" i="1"/>
  <c r="M492" i="1"/>
  <c r="AR491" i="1"/>
  <c r="L491" i="1"/>
  <c r="K491" i="1"/>
  <c r="AR482" i="1"/>
  <c r="L482" i="1"/>
  <c r="AS480" i="1"/>
  <c r="M480" i="1"/>
  <c r="AR478" i="1"/>
  <c r="L478" i="1"/>
  <c r="K465" i="1"/>
  <c r="L465" i="1"/>
  <c r="AX460" i="1"/>
  <c r="BB451" i="1"/>
  <c r="BA449" i="1"/>
  <c r="K447" i="1"/>
  <c r="L447" i="1"/>
  <c r="BA438" i="1"/>
  <c r="AU437" i="1"/>
  <c r="K428" i="1"/>
  <c r="L428" i="1"/>
  <c r="W394" i="1"/>
  <c r="BA394" i="1" s="1"/>
  <c r="L370" i="1"/>
  <c r="K370" i="1"/>
  <c r="BA346" i="1"/>
  <c r="AV317" i="1"/>
  <c r="L317" i="1"/>
  <c r="K317" i="1"/>
  <c r="L312" i="1"/>
  <c r="K312" i="1"/>
  <c r="BA308" i="1"/>
  <c r="L308" i="1"/>
  <c r="K308" i="1"/>
  <c r="L306" i="1"/>
  <c r="BA268" i="1"/>
  <c r="K268" i="1"/>
  <c r="L268" i="1"/>
  <c r="K266" i="1"/>
  <c r="L266" i="1"/>
  <c r="AU265" i="1"/>
  <c r="BD265" i="1"/>
  <c r="M261" i="1"/>
  <c r="AV258" i="1"/>
  <c r="K258" i="1"/>
  <c r="AT252" i="1"/>
  <c r="AP224" i="1"/>
  <c r="BF224" i="1" s="1"/>
  <c r="AZ221" i="1"/>
  <c r="G220" i="1"/>
  <c r="K220" i="1" s="1"/>
  <c r="K189" i="1"/>
  <c r="AV170" i="1"/>
  <c r="K170" i="1"/>
  <c r="BC165" i="1"/>
  <c r="BE165" i="1"/>
  <c r="AY118" i="1"/>
  <c r="BA79" i="1"/>
  <c r="K79" i="1"/>
  <c r="AV79" i="1"/>
  <c r="BB42" i="1"/>
  <c r="AS42" i="1"/>
  <c r="BC36" i="1"/>
  <c r="AT36" i="1"/>
  <c r="L6" i="1"/>
  <c r="K151" i="1"/>
  <c r="L74" i="1"/>
  <c r="L381" i="1"/>
  <c r="K306" i="1"/>
  <c r="L724" i="1"/>
  <c r="AR538" i="1"/>
  <c r="L538" i="1"/>
  <c r="M528" i="1"/>
  <c r="AR492" i="1"/>
  <c r="L492" i="1"/>
  <c r="AS483" i="1"/>
  <c r="M483" i="1"/>
  <c r="AR480" i="1"/>
  <c r="K480" i="1"/>
  <c r="L480" i="1"/>
  <c r="AR479" i="1"/>
  <c r="K479" i="1"/>
  <c r="L479" i="1"/>
  <c r="M472" i="1"/>
  <c r="AR437" i="1"/>
  <c r="K437" i="1"/>
  <c r="G433" i="1"/>
  <c r="M433" i="1" s="1"/>
  <c r="BA420" i="1"/>
  <c r="L420" i="1"/>
  <c r="K420" i="1"/>
  <c r="K406" i="1"/>
  <c r="L406" i="1"/>
  <c r="BA400" i="1"/>
  <c r="AR390" i="1"/>
  <c r="L390" i="1"/>
  <c r="AR373" i="1"/>
  <c r="L373" i="1"/>
  <c r="L357" i="1"/>
  <c r="K357" i="1"/>
  <c r="AR348" i="1"/>
  <c r="L348" i="1"/>
  <c r="K348" i="1"/>
  <c r="AR340" i="1"/>
  <c r="L340" i="1"/>
  <c r="K340" i="1"/>
  <c r="AV337" i="1"/>
  <c r="L337" i="1"/>
  <c r="K333" i="1"/>
  <c r="L333" i="1"/>
  <c r="AU299" i="1"/>
  <c r="AV296" i="1"/>
  <c r="L296" i="1"/>
  <c r="BF278" i="1"/>
  <c r="G270" i="1"/>
  <c r="AU270" i="1" s="1"/>
  <c r="BA265" i="1"/>
  <c r="K265" i="1"/>
  <c r="AU264" i="1"/>
  <c r="AY256" i="1"/>
  <c r="K246" i="1"/>
  <c r="AR246" i="1"/>
  <c r="BE243" i="1"/>
  <c r="BC243" i="1"/>
  <c r="G239" i="1"/>
  <c r="AU239" i="1" s="1"/>
  <c r="AR237" i="1"/>
  <c r="G237" i="1"/>
  <c r="K237" i="1" s="1"/>
  <c r="AP206" i="1"/>
  <c r="AP204" i="1"/>
  <c r="BF204" i="1" s="1"/>
  <c r="AR194" i="1"/>
  <c r="AR172" i="1"/>
  <c r="BA169" i="1"/>
  <c r="K169" i="1"/>
  <c r="BD165" i="1"/>
  <c r="AX165" i="1"/>
  <c r="BC147" i="1"/>
  <c r="BE147" i="1"/>
  <c r="AY131" i="1"/>
  <c r="AS122" i="1"/>
  <c r="M122" i="1"/>
  <c r="K120" i="1"/>
  <c r="L120" i="1"/>
  <c r="AT110" i="1"/>
  <c r="K78" i="1"/>
  <c r="I55" i="1"/>
  <c r="L55" i="1" s="1"/>
  <c r="BE55" i="1"/>
  <c r="L564" i="1"/>
  <c r="K535" i="1"/>
  <c r="K449" i="1"/>
  <c r="L417" i="1"/>
  <c r="K381" i="1"/>
  <c r="K373" i="1"/>
  <c r="AD187" i="1"/>
  <c r="AT181" i="1"/>
  <c r="AT175" i="1"/>
  <c r="AZ96" i="1"/>
  <c r="AT84" i="1"/>
  <c r="AZ6" i="1"/>
  <c r="K100" i="1"/>
  <c r="BE271" i="1"/>
  <c r="AR238" i="1"/>
  <c r="AV209" i="1"/>
  <c r="K202" i="1"/>
  <c r="I175" i="1"/>
  <c r="BA159" i="1"/>
  <c r="AW156" i="1"/>
  <c r="M153" i="1"/>
  <c r="AT129" i="1"/>
  <c r="AV121" i="1"/>
  <c r="BE109" i="1"/>
  <c r="BF102" i="1"/>
  <c r="K98" i="1"/>
  <c r="BC84" i="1"/>
  <c r="G61" i="1"/>
  <c r="AX61" i="1" s="1"/>
  <c r="BF11" i="1"/>
  <c r="L221" i="1"/>
  <c r="L152" i="1"/>
  <c r="M157" i="1"/>
  <c r="AR125" i="1"/>
  <c r="AS89" i="1"/>
  <c r="M89" i="1"/>
  <c r="AT88" i="1"/>
  <c r="K86" i="1"/>
  <c r="BD76" i="1"/>
  <c r="AT72" i="1"/>
  <c r="AR58" i="1"/>
  <c r="K58" i="1"/>
  <c r="BC34" i="1"/>
  <c r="K125" i="1"/>
  <c r="K99" i="1"/>
  <c r="BE97" i="1"/>
  <c r="AX89" i="1"/>
  <c r="BA59" i="1"/>
  <c r="AP41" i="1"/>
  <c r="BF41" i="1" s="1"/>
  <c r="AU95" i="1"/>
  <c r="AW73" i="1"/>
  <c r="G70" i="1"/>
  <c r="AU70" i="1" s="1"/>
  <c r="G56" i="1"/>
  <c r="K56" i="1" s="1"/>
  <c r="BE43" i="1"/>
  <c r="G39" i="1"/>
  <c r="AU39" i="1" s="1"/>
  <c r="K102" i="1"/>
  <c r="BF56" i="1"/>
  <c r="AZ55" i="1"/>
  <c r="BC26" i="1"/>
  <c r="AR270" i="1"/>
  <c r="AV270" i="1"/>
  <c r="BF628" i="1"/>
  <c r="AY382" i="1"/>
  <c r="AL382" i="1"/>
  <c r="AZ382" i="1" s="1"/>
  <c r="BC244" i="1"/>
  <c r="BE244" i="1"/>
  <c r="BA185" i="1"/>
  <c r="AV185" i="1"/>
  <c r="BE833" i="1"/>
  <c r="G749" i="1"/>
  <c r="BB669" i="1"/>
  <c r="AS629" i="1"/>
  <c r="AS628" i="1"/>
  <c r="BB628" i="1"/>
  <c r="BE623" i="1"/>
  <c r="BE620" i="1"/>
  <c r="BB619" i="1"/>
  <c r="AT591" i="1"/>
  <c r="BC591" i="1"/>
  <c r="AS590" i="1"/>
  <c r="AT569" i="1"/>
  <c r="I569" i="1"/>
  <c r="AW569" i="1" s="1"/>
  <c r="AS566" i="1"/>
  <c r="AS531" i="1"/>
  <c r="BD460" i="1"/>
  <c r="AW455" i="1"/>
  <c r="AS455" i="1"/>
  <c r="BB455" i="1"/>
  <c r="BE451" i="1"/>
  <c r="BE441" i="1"/>
  <c r="I441" i="1"/>
  <c r="AW441" i="1" s="1"/>
  <c r="AR403" i="1"/>
  <c r="AV403" i="1"/>
  <c r="AR397" i="1"/>
  <c r="AV397" i="1"/>
  <c r="BA397" i="1"/>
  <c r="AV339" i="1"/>
  <c r="AR339" i="1"/>
  <c r="AV336" i="1"/>
  <c r="BA336" i="1"/>
  <c r="BD335" i="1"/>
  <c r="AU335" i="1"/>
  <c r="AX231" i="1"/>
  <c r="AU231" i="1"/>
  <c r="AT589" i="1"/>
  <c r="BC589" i="1"/>
  <c r="BE589" i="1"/>
  <c r="I589" i="1"/>
  <c r="AW589" i="1" s="1"/>
  <c r="BB665" i="1"/>
  <c r="BB630" i="1"/>
  <c r="AS591" i="1"/>
  <c r="AS576" i="1"/>
  <c r="AR472" i="1"/>
  <c r="AS451" i="1"/>
  <c r="AW451" i="1"/>
  <c r="AS448" i="1"/>
  <c r="BB448" i="1"/>
  <c r="AY433" i="1"/>
  <c r="BC369" i="1"/>
  <c r="BF369" i="1"/>
  <c r="AV274" i="1"/>
  <c r="BA274" i="1"/>
  <c r="AR274" i="1"/>
  <c r="AV229" i="1"/>
  <c r="BA229" i="1"/>
  <c r="BB227" i="1"/>
  <c r="BA192" i="1"/>
  <c r="AR192" i="1"/>
  <c r="AY7" i="1"/>
  <c r="G764" i="1"/>
  <c r="AU764" i="1" s="1"/>
  <c r="BB631" i="1"/>
  <c r="AS567" i="1"/>
  <c r="AS563" i="1"/>
  <c r="AS553" i="1"/>
  <c r="BE787" i="1"/>
  <c r="BF784" i="1"/>
  <c r="G784" i="1"/>
  <c r="AU784" i="1" s="1"/>
  <c r="S753" i="1"/>
  <c r="AV753" i="1" s="1"/>
  <c r="S680" i="1"/>
  <c r="AV680" i="1" s="1"/>
  <c r="BB649" i="1"/>
  <c r="BB648" i="1"/>
  <c r="AT638" i="1"/>
  <c r="AT580" i="1"/>
  <c r="I580" i="1"/>
  <c r="BE580" i="1"/>
  <c r="AL495" i="1"/>
  <c r="AZ495" i="1" s="1"/>
  <c r="G489" i="1"/>
  <c r="AU489" i="1" s="1"/>
  <c r="AP450" i="1"/>
  <c r="BF450" i="1" s="1"/>
  <c r="AP452" i="1"/>
  <c r="BF452" i="1" s="1"/>
  <c r="AP451" i="1"/>
  <c r="BF451" i="1" s="1"/>
  <c r="AP455" i="1"/>
  <c r="BF455" i="1" s="1"/>
  <c r="AP458" i="1"/>
  <c r="BF458" i="1" s="1"/>
  <c r="AP453" i="1"/>
  <c r="BF453" i="1" s="1"/>
  <c r="AV393" i="1"/>
  <c r="BA393" i="1"/>
  <c r="AR393" i="1"/>
  <c r="AR281" i="1"/>
  <c r="AV281" i="1"/>
  <c r="AY207" i="1"/>
  <c r="BA184" i="1"/>
  <c r="AV184" i="1"/>
  <c r="BA154" i="1"/>
  <c r="AV154" i="1"/>
  <c r="I598" i="1"/>
  <c r="BC598" i="1"/>
  <c r="BE598" i="1"/>
  <c r="AS593" i="1"/>
  <c r="BB593" i="1"/>
  <c r="BA458" i="1"/>
  <c r="AV458" i="1"/>
  <c r="AR458" i="1"/>
  <c r="AS257" i="1"/>
  <c r="AW257" i="1"/>
  <c r="BE452" i="1"/>
  <c r="BC452" i="1"/>
  <c r="BA322" i="1"/>
  <c r="AL264" i="1"/>
  <c r="AZ264" i="1" s="1"/>
  <c r="AV164" i="1"/>
  <c r="BA164" i="1"/>
  <c r="BF629" i="1"/>
  <c r="BA464" i="1"/>
  <c r="AU644" i="1"/>
  <c r="BD644" i="1"/>
  <c r="BB620" i="1"/>
  <c r="BE591" i="1"/>
  <c r="BE587" i="1"/>
  <c r="AR440" i="1"/>
  <c r="BA440" i="1"/>
  <c r="BE812" i="1"/>
  <c r="BF795" i="1"/>
  <c r="BB650" i="1"/>
  <c r="BB646" i="1"/>
  <c r="BB629" i="1"/>
  <c r="AS624" i="1"/>
  <c r="AT598" i="1"/>
  <c r="BB590" i="1"/>
  <c r="G589" i="1"/>
  <c r="BD589" i="1" s="1"/>
  <c r="AS577" i="1"/>
  <c r="I568" i="1"/>
  <c r="AW568" i="1" s="1"/>
  <c r="AS552" i="1"/>
  <c r="AS523" i="1"/>
  <c r="AR474" i="1"/>
  <c r="AZ462" i="1"/>
  <c r="AV441" i="1"/>
  <c r="BA243" i="1"/>
  <c r="AR243" i="1"/>
  <c r="AZ236" i="1"/>
  <c r="AD90" i="1"/>
  <c r="BF90" i="1" s="1"/>
  <c r="AT89" i="1"/>
  <c r="BC89" i="1"/>
  <c r="BE89" i="1"/>
  <c r="BF89" i="1"/>
  <c r="BB668" i="1"/>
  <c r="AU473" i="1"/>
  <c r="AT488" i="1"/>
  <c r="I488" i="1"/>
  <c r="BE488" i="1"/>
  <c r="BF488" i="1"/>
  <c r="AR466" i="1"/>
  <c r="BA466" i="1"/>
  <c r="I405" i="1"/>
  <c r="M405" i="1" s="1"/>
  <c r="AT405" i="1"/>
  <c r="BC405" i="1"/>
  <c r="BE405" i="1"/>
  <c r="AL676" i="1"/>
  <c r="AZ676" i="1" s="1"/>
  <c r="BE495" i="1"/>
  <c r="I495" i="1"/>
  <c r="AW495" i="1" s="1"/>
  <c r="AT495" i="1"/>
  <c r="BB659" i="1"/>
  <c r="BB658" i="1"/>
  <c r="BF624" i="1"/>
  <c r="BF622" i="1"/>
  <c r="BB591" i="1"/>
  <c r="AS557" i="1"/>
  <c r="AS537" i="1"/>
  <c r="AS522" i="1"/>
  <c r="AS486" i="1"/>
  <c r="AS457" i="1"/>
  <c r="AW457" i="1"/>
  <c r="BB457" i="1"/>
  <c r="AV413" i="1"/>
  <c r="AR413" i="1"/>
  <c r="BA413" i="1"/>
  <c r="BF244" i="1"/>
  <c r="BB643" i="1"/>
  <c r="AS621" i="1"/>
  <c r="AL592" i="1"/>
  <c r="AZ592" i="1" s="1"/>
  <c r="BA321" i="1"/>
  <c r="AR321" i="1"/>
  <c r="AV321" i="1"/>
  <c r="AV289" i="1"/>
  <c r="BA289" i="1"/>
  <c r="AR289" i="1"/>
  <c r="AT208" i="1"/>
  <c r="AD206" i="1"/>
  <c r="BE206" i="1" s="1"/>
  <c r="I208" i="1"/>
  <c r="M208" i="1" s="1"/>
  <c r="BC208" i="1"/>
  <c r="AD205" i="1"/>
  <c r="BC205" i="1" s="1"/>
  <c r="BE208" i="1"/>
  <c r="AS479" i="1"/>
  <c r="AU440" i="1"/>
  <c r="AX440" i="1"/>
  <c r="BB402" i="1"/>
  <c r="BE402" i="1"/>
  <c r="AT402" i="1"/>
  <c r="AS402" i="1"/>
  <c r="AW402" i="1"/>
  <c r="BC402" i="1"/>
  <c r="AP378" i="1"/>
  <c r="BF378" i="1" s="1"/>
  <c r="AP379" i="1"/>
  <c r="BF379" i="1" s="1"/>
  <c r="AP380" i="1"/>
  <c r="BF380" i="1" s="1"/>
  <c r="AP376" i="1"/>
  <c r="BF376" i="1" s="1"/>
  <c r="AP377" i="1"/>
  <c r="BF377" i="1" s="1"/>
  <c r="AP375" i="1"/>
  <c r="BF375" i="1" s="1"/>
  <c r="AP381" i="1"/>
  <c r="BF381" i="1" s="1"/>
  <c r="AV221" i="1"/>
  <c r="BB89" i="1"/>
  <c r="S784" i="1"/>
  <c r="AV784" i="1" s="1"/>
  <c r="BF658" i="1"/>
  <c r="AS612" i="1"/>
  <c r="BA387" i="1"/>
  <c r="AR387" i="1"/>
  <c r="AS519" i="1"/>
  <c r="AR456" i="1"/>
  <c r="AV456" i="1"/>
  <c r="BA456" i="1"/>
  <c r="AV363" i="1"/>
  <c r="AR363" i="1"/>
  <c r="AV361" i="1"/>
  <c r="BA361" i="1"/>
  <c r="AV322" i="1"/>
  <c r="AV122" i="1"/>
  <c r="BF821" i="1"/>
  <c r="S819" i="1"/>
  <c r="AV819" i="1" s="1"/>
  <c r="BF785" i="1"/>
  <c r="AL677" i="1"/>
  <c r="AZ677" i="1" s="1"/>
  <c r="BF623" i="1"/>
  <c r="I623" i="1"/>
  <c r="BB616" i="1"/>
  <c r="AS616" i="1"/>
  <c r="AS556" i="1"/>
  <c r="AU546" i="1"/>
  <c r="AS476" i="1"/>
  <c r="AZ452" i="1"/>
  <c r="AV387" i="1"/>
  <c r="AS254" i="1"/>
  <c r="AR226" i="1"/>
  <c r="AP159" i="1"/>
  <c r="BF159" i="1" s="1"/>
  <c r="AP158" i="1"/>
  <c r="BF158" i="1" s="1"/>
  <c r="AP157" i="1"/>
  <c r="BF157" i="1" s="1"/>
  <c r="AP162" i="1"/>
  <c r="BF162" i="1" s="1"/>
  <c r="AP160" i="1"/>
  <c r="BF160" i="1" s="1"/>
  <c r="BF814" i="1"/>
  <c r="BF788" i="1"/>
  <c r="BF787" i="1"/>
  <c r="BF783" i="1"/>
  <c r="BB677" i="1"/>
  <c r="BB652" i="1"/>
  <c r="AS643" i="1"/>
  <c r="W642" i="1"/>
  <c r="AR642" i="1" s="1"/>
  <c r="AS615" i="1"/>
  <c r="BB615" i="1"/>
  <c r="AS578" i="1"/>
  <c r="AS543" i="1"/>
  <c r="AS436" i="1"/>
  <c r="BB436" i="1"/>
  <c r="AR430" i="1"/>
  <c r="BA430" i="1"/>
  <c r="BF405" i="1"/>
  <c r="AV370" i="1"/>
  <c r="BA370" i="1"/>
  <c r="AR370" i="1"/>
  <c r="AR313" i="1"/>
  <c r="AV313" i="1"/>
  <c r="BA313" i="1"/>
  <c r="AR309" i="1"/>
  <c r="AV309" i="1"/>
  <c r="BA309" i="1"/>
  <c r="AS147" i="1"/>
  <c r="AW147" i="1"/>
  <c r="BB147" i="1"/>
  <c r="BE802" i="1"/>
  <c r="I783" i="1"/>
  <c r="AW783" i="1" s="1"/>
  <c r="AT783" i="1"/>
  <c r="BB667" i="1"/>
  <c r="AL652" i="1"/>
  <c r="AZ652" i="1" s="1"/>
  <c r="BF590" i="1"/>
  <c r="AS497" i="1"/>
  <c r="AR477" i="1"/>
  <c r="AR464" i="1"/>
  <c r="AW458" i="1"/>
  <c r="AS458" i="1"/>
  <c r="BC439" i="1"/>
  <c r="AT439" i="1"/>
  <c r="BE439" i="1"/>
  <c r="I439" i="1"/>
  <c r="AR399" i="1"/>
  <c r="BA399" i="1"/>
  <c r="BB369" i="1"/>
  <c r="BA256" i="1"/>
  <c r="I203" i="1"/>
  <c r="M203" i="1" s="1"/>
  <c r="AT203" i="1"/>
  <c r="BC203" i="1"/>
  <c r="BE203" i="1"/>
  <c r="AR197" i="1"/>
  <c r="AV174" i="1"/>
  <c r="BA174" i="1"/>
  <c r="AR174" i="1"/>
  <c r="BE590" i="1"/>
  <c r="W560" i="1"/>
  <c r="AR560" i="1" s="1"/>
  <c r="W555" i="1"/>
  <c r="AV555" i="1" s="1"/>
  <c r="W495" i="1"/>
  <c r="AR495" i="1" s="1"/>
  <c r="BF449" i="1"/>
  <c r="G446" i="1"/>
  <c r="AX446" i="1" s="1"/>
  <c r="BF444" i="1"/>
  <c r="AZ440" i="1"/>
  <c r="BB433" i="1"/>
  <c r="AW433" i="1"/>
  <c r="BA405" i="1"/>
  <c r="AV379" i="1"/>
  <c r="AR379" i="1"/>
  <c r="AU313" i="1"/>
  <c r="AX313" i="1"/>
  <c r="G291" i="1"/>
  <c r="AU291" i="1" s="1"/>
  <c r="AS268" i="1"/>
  <c r="AZ239" i="1"/>
  <c r="BC232" i="1"/>
  <c r="BE232" i="1"/>
  <c r="BE230" i="1"/>
  <c r="AV214" i="1"/>
  <c r="AR214" i="1"/>
  <c r="AY132" i="1"/>
  <c r="AY109" i="1"/>
  <c r="I57" i="1"/>
  <c r="AS57" i="1" s="1"/>
  <c r="BE57" i="1"/>
  <c r="AT57" i="1"/>
  <c r="BC57" i="1"/>
  <c r="AR453" i="1"/>
  <c r="AR441" i="1"/>
  <c r="BC440" i="1"/>
  <c r="BE440" i="1"/>
  <c r="AR402" i="1"/>
  <c r="AV402" i="1"/>
  <c r="AR384" i="1"/>
  <c r="AV384" i="1"/>
  <c r="AV369" i="1"/>
  <c r="AR369" i="1"/>
  <c r="BA369" i="1"/>
  <c r="AV359" i="1"/>
  <c r="BA359" i="1"/>
  <c r="AV315" i="1"/>
  <c r="BA315" i="1"/>
  <c r="BA277" i="1"/>
  <c r="AS266" i="1"/>
  <c r="AW266" i="1"/>
  <c r="AY265" i="1"/>
  <c r="BD201" i="1"/>
  <c r="AV176" i="1"/>
  <c r="AV113" i="1"/>
  <c r="BA113" i="1"/>
  <c r="AR68" i="1"/>
  <c r="AZ67" i="1"/>
  <c r="BC590" i="1"/>
  <c r="AY460" i="1"/>
  <c r="BD440" i="1"/>
  <c r="BA378" i="1"/>
  <c r="AR378" i="1"/>
  <c r="AZ369" i="1"/>
  <c r="AV358" i="1"/>
  <c r="BA358" i="1"/>
  <c r="AR351" i="1"/>
  <c r="AV351" i="1"/>
  <c r="BA349" i="1"/>
  <c r="AV291" i="1"/>
  <c r="AR266" i="1"/>
  <c r="BA234" i="1"/>
  <c r="AV234" i="1"/>
  <c r="AY223" i="1"/>
  <c r="BB210" i="1"/>
  <c r="I207" i="1"/>
  <c r="AT207" i="1"/>
  <c r="BE207" i="1"/>
  <c r="AY194" i="1"/>
  <c r="AW164" i="1"/>
  <c r="AS164" i="1"/>
  <c r="AX137" i="1"/>
  <c r="BD137" i="1"/>
  <c r="AU137" i="1"/>
  <c r="BA132" i="1"/>
  <c r="AR132" i="1"/>
  <c r="BD63" i="1"/>
  <c r="AU63" i="1"/>
  <c r="AX63" i="1"/>
  <c r="G688" i="1"/>
  <c r="G680" i="1"/>
  <c r="M680" i="1" s="1"/>
  <c r="AT609" i="1"/>
  <c r="AT600" i="1"/>
  <c r="BB588" i="1"/>
  <c r="BF585" i="1"/>
  <c r="AS549" i="1"/>
  <c r="BF495" i="1"/>
  <c r="I490" i="1"/>
  <c r="AW490" i="1" s="1"/>
  <c r="AS477" i="1"/>
  <c r="AS474" i="1"/>
  <c r="AY452" i="1"/>
  <c r="I446" i="1"/>
  <c r="AS446" i="1" s="1"/>
  <c r="AT446" i="1"/>
  <c r="BF439" i="1" a="1"/>
  <c r="AX437" i="1"/>
  <c r="AV436" i="1"/>
  <c r="AR436" i="1"/>
  <c r="AR396" i="1"/>
  <c r="BA384" i="1"/>
  <c r="AS369" i="1"/>
  <c r="AW369" i="1"/>
  <c r="BA351" i="1"/>
  <c r="AV346" i="1"/>
  <c r="AR346" i="1"/>
  <c r="AX278" i="1"/>
  <c r="AU278" i="1"/>
  <c r="AR272" i="1"/>
  <c r="BA272" i="1"/>
  <c r="AV272" i="1"/>
  <c r="AW233" i="1"/>
  <c r="BB233" i="1"/>
  <c r="BE231" i="1"/>
  <c r="I231" i="1"/>
  <c r="AT231" i="1"/>
  <c r="AY211" i="1"/>
  <c r="AP147" i="1"/>
  <c r="BF147" i="1" s="1"/>
  <c r="AP148" i="1"/>
  <c r="BF148" i="1" s="1"/>
  <c r="AP153" i="1"/>
  <c r="BF153" i="1" s="1"/>
  <c r="BD124" i="1"/>
  <c r="BF657" i="1"/>
  <c r="G657" i="1"/>
  <c r="AU657" i="1" s="1"/>
  <c r="BF617" i="1"/>
  <c r="BF605" i="1"/>
  <c r="BE602" i="1"/>
  <c r="BE597" i="1"/>
  <c r="AS574" i="1"/>
  <c r="G495" i="1"/>
  <c r="AU495" i="1" s="1"/>
  <c r="G488" i="1"/>
  <c r="AU488" i="1" s="1"/>
  <c r="BB464" i="1"/>
  <c r="AS459" i="1"/>
  <c r="BB447" i="1"/>
  <c r="AW447" i="1"/>
  <c r="AY446" i="1"/>
  <c r="BE443" i="1"/>
  <c r="BA409" i="1"/>
  <c r="AR409" i="1"/>
  <c r="AR332" i="1"/>
  <c r="AR318" i="1"/>
  <c r="AV318" i="1"/>
  <c r="AX312" i="1"/>
  <c r="BD312" i="1"/>
  <c r="BA244" i="1"/>
  <c r="BA240" i="1"/>
  <c r="AV240" i="1"/>
  <c r="AW224" i="1"/>
  <c r="AY218" i="1"/>
  <c r="AW211" i="1"/>
  <c r="AS211" i="1"/>
  <c r="BC207" i="1"/>
  <c r="AR202" i="1"/>
  <c r="BA200" i="1"/>
  <c r="AR200" i="1"/>
  <c r="AZ168" i="1"/>
  <c r="AY167" i="1"/>
  <c r="AZ139" i="1"/>
  <c r="I99" i="1"/>
  <c r="M99" i="1" s="1"/>
  <c r="BE99" i="1"/>
  <c r="AT99" i="1"/>
  <c r="I769" i="1"/>
  <c r="AW769" i="1" s="1"/>
  <c r="BF687" i="1"/>
  <c r="BF649" i="1"/>
  <c r="BF648" i="1"/>
  <c r="W638" i="1"/>
  <c r="BA638" i="1" s="1"/>
  <c r="BD613" i="1"/>
  <c r="BF610" i="1"/>
  <c r="BF595" i="1"/>
  <c r="BF555" i="1"/>
  <c r="AS546" i="1"/>
  <c r="BD462" i="1"/>
  <c r="AR455" i="1"/>
  <c r="BE433" i="1"/>
  <c r="AV388" i="1"/>
  <c r="BA388" i="1"/>
  <c r="AR375" i="1"/>
  <c r="BA375" i="1"/>
  <c r="I313" i="1"/>
  <c r="M313" i="1" s="1"/>
  <c r="BF313" i="1"/>
  <c r="AV293" i="1"/>
  <c r="BA293" i="1"/>
  <c r="BB255" i="1"/>
  <c r="AW255" i="1"/>
  <c r="I242" i="1"/>
  <c r="BC242" i="1"/>
  <c r="I235" i="1"/>
  <c r="AT235" i="1"/>
  <c r="AT232" i="1"/>
  <c r="AR216" i="1"/>
  <c r="AS213" i="1"/>
  <c r="BB213" i="1"/>
  <c r="AV187" i="1"/>
  <c r="AU169" i="1"/>
  <c r="AX169" i="1"/>
  <c r="BD169" i="1"/>
  <c r="AW143" i="1"/>
  <c r="AV135" i="1"/>
  <c r="AR135" i="1"/>
  <c r="BA135" i="1"/>
  <c r="AX109" i="1"/>
  <c r="BC99" i="1"/>
  <c r="S665" i="1"/>
  <c r="BF650" i="1"/>
  <c r="AT590" i="1"/>
  <c r="BF586" i="1"/>
  <c r="G580" i="1"/>
  <c r="AU580" i="1" s="1"/>
  <c r="BF462" i="1"/>
  <c r="BE460" i="1"/>
  <c r="AV411" i="1"/>
  <c r="AR411" i="1"/>
  <c r="BF402" i="1"/>
  <c r="AR333" i="1"/>
  <c r="G321" i="1"/>
  <c r="AR255" i="1"/>
  <c r="AP236" i="1"/>
  <c r="BF236" i="1" s="1"/>
  <c r="AP234" i="1"/>
  <c r="BF234" i="1" s="1"/>
  <c r="AW236" i="1"/>
  <c r="AS236" i="1"/>
  <c r="I232" i="1"/>
  <c r="M232" i="1" s="1"/>
  <c r="AT230" i="1"/>
  <c r="AT225" i="1"/>
  <c r="BC225" i="1"/>
  <c r="AS218" i="1"/>
  <c r="AW218" i="1"/>
  <c r="AV213" i="1"/>
  <c r="BB181" i="1"/>
  <c r="AS181" i="1"/>
  <c r="AW181" i="1"/>
  <c r="AR169" i="1"/>
  <c r="AT168" i="1"/>
  <c r="AU69" i="1"/>
  <c r="AU622" i="1"/>
  <c r="BE599" i="1"/>
  <c r="AS588" i="1"/>
  <c r="AS530" i="1"/>
  <c r="AS525" i="1"/>
  <c r="AT489" i="1"/>
  <c r="AV422" i="1"/>
  <c r="BA411" i="1"/>
  <c r="AR381" i="1"/>
  <c r="BA381" i="1"/>
  <c r="AP364" i="1"/>
  <c r="BF364" i="1" s="1"/>
  <c r="AP361" i="1"/>
  <c r="BF361" i="1" s="1"/>
  <c r="AR354" i="1"/>
  <c r="AR347" i="1"/>
  <c r="BA347" i="1"/>
  <c r="G273" i="1"/>
  <c r="AV267" i="1"/>
  <c r="AR267" i="1"/>
  <c r="BA267" i="1"/>
  <c r="AR258" i="1"/>
  <c r="G251" i="1"/>
  <c r="BB218" i="1"/>
  <c r="AZ214" i="1"/>
  <c r="AU202" i="1"/>
  <c r="AY154" i="1"/>
  <c r="BA114" i="1"/>
  <c r="AV114" i="1"/>
  <c r="BA201" i="1"/>
  <c r="AU174" i="1"/>
  <c r="AX174" i="1"/>
  <c r="BD174" i="1"/>
  <c r="BB158" i="1"/>
  <c r="AS158" i="1"/>
  <c r="BD157" i="1"/>
  <c r="AU157" i="1"/>
  <c r="AT144" i="1"/>
  <c r="I144" i="1"/>
  <c r="BE144" i="1"/>
  <c r="BA143" i="1"/>
  <c r="I50" i="1"/>
  <c r="AV425" i="1"/>
  <c r="AV407" i="1"/>
  <c r="AR391" i="1"/>
  <c r="AR374" i="1"/>
  <c r="AV366" i="1"/>
  <c r="BB347" i="1"/>
  <c r="AU333" i="1"/>
  <c r="AV319" i="1"/>
  <c r="AS312" i="1"/>
  <c r="AR310" i="1"/>
  <c r="BA283" i="1"/>
  <c r="AR283" i="1"/>
  <c r="BE265" i="1"/>
  <c r="AZ249" i="1"/>
  <c r="AV248" i="1"/>
  <c r="AS241" i="1"/>
  <c r="BA238" i="1"/>
  <c r="AL237" i="1"/>
  <c r="AX218" i="1"/>
  <c r="AZ188" i="1"/>
  <c r="BD175" i="1"/>
  <c r="AX175" i="1"/>
  <c r="AU160" i="1"/>
  <c r="AX160" i="1"/>
  <c r="AV157" i="1"/>
  <c r="BC150" i="1"/>
  <c r="BE150" i="1"/>
  <c r="I150" i="1"/>
  <c r="M150" i="1" s="1"/>
  <c r="AV143" i="1"/>
  <c r="BE140" i="1"/>
  <c r="BC140" i="1"/>
  <c r="AT140" i="1"/>
  <c r="AP122" i="1"/>
  <c r="BF122" i="1" s="1"/>
  <c r="AP121" i="1"/>
  <c r="BF121" i="1" s="1"/>
  <c r="AP124" i="1"/>
  <c r="BF124" i="1" s="1"/>
  <c r="AP125" i="1"/>
  <c r="BF125" i="1" s="1"/>
  <c r="AP123" i="1"/>
  <c r="BF123" i="1" s="1"/>
  <c r="AP126" i="1"/>
  <c r="BF126" i="1" s="1"/>
  <c r="AR107" i="1"/>
  <c r="BA107" i="1"/>
  <c r="AY106" i="1"/>
  <c r="BC103" i="1"/>
  <c r="I103" i="1"/>
  <c r="AS103" i="1" s="1"/>
  <c r="BE103" i="1"/>
  <c r="AS74" i="1"/>
  <c r="AT50" i="1"/>
  <c r="BD355" i="1"/>
  <c r="AX264" i="1"/>
  <c r="AV261" i="1"/>
  <c r="AT257" i="1"/>
  <c r="G243" i="1"/>
  <c r="AX243" i="1" s="1"/>
  <c r="AZ220" i="1"/>
  <c r="AP210" i="1"/>
  <c r="BF210" i="1" s="1"/>
  <c r="AP208" i="1"/>
  <c r="BF208" i="1" s="1"/>
  <c r="BD180" i="1"/>
  <c r="AW158" i="1"/>
  <c r="AW124" i="1"/>
  <c r="BB124" i="1"/>
  <c r="AV87" i="1"/>
  <c r="AR87" i="1"/>
  <c r="BA87" i="1"/>
  <c r="AY434" i="1"/>
  <c r="AR420" i="1"/>
  <c r="AZ394" i="1"/>
  <c r="BF271" i="1"/>
  <c r="BA254" i="1"/>
  <c r="AR254" i="1"/>
  <c r="AW252" i="1"/>
  <c r="BA233" i="1"/>
  <c r="AR233" i="1"/>
  <c r="AR223" i="1"/>
  <c r="AV223" i="1"/>
  <c r="BE215" i="1"/>
  <c r="I215" i="1"/>
  <c r="AW215" i="1" s="1"/>
  <c r="AV198" i="1"/>
  <c r="AX194" i="1"/>
  <c r="BD194" i="1"/>
  <c r="AR191" i="1"/>
  <c r="BA161" i="1"/>
  <c r="AR143" i="1"/>
  <c r="AZ133" i="1"/>
  <c r="AR120" i="1"/>
  <c r="AP106" i="1"/>
  <c r="BF106" i="1" s="1"/>
  <c r="AP107" i="1"/>
  <c r="AP110" i="1"/>
  <c r="BF110" i="1" s="1"/>
  <c r="AP109" i="1"/>
  <c r="BF109" i="1" s="1"/>
  <c r="AP112" i="1"/>
  <c r="AV55" i="1"/>
  <c r="AY453" i="1"/>
  <c r="BF445" i="1"/>
  <c r="BF441" i="1"/>
  <c r="AZ435" i="1"/>
  <c r="BA434" i="1"/>
  <c r="BA423" i="1"/>
  <c r="AY400" i="1"/>
  <c r="BF394" i="1"/>
  <c r="I394" i="1"/>
  <c r="AZ333" i="1"/>
  <c r="AR317" i="1"/>
  <c r="BA290" i="1"/>
  <c r="BA285" i="1"/>
  <c r="AY264" i="1"/>
  <c r="G252" i="1"/>
  <c r="BF242" i="1"/>
  <c r="BB221" i="1"/>
  <c r="BB217" i="1"/>
  <c r="AX216" i="1"/>
  <c r="I209" i="1"/>
  <c r="BE209" i="1"/>
  <c r="AV178" i="1"/>
  <c r="AU173" i="1"/>
  <c r="BD173" i="1"/>
  <c r="AT150" i="1"/>
  <c r="AP108" i="1"/>
  <c r="AW62" i="1"/>
  <c r="BB62" i="1"/>
  <c r="AX456" i="1"/>
  <c r="BF437" i="1"/>
  <c r="BE355" i="1"/>
  <c r="AX335" i="1"/>
  <c r="BA331" i="1"/>
  <c r="BA329" i="1"/>
  <c r="BA326" i="1"/>
  <c r="BF319" i="1"/>
  <c r="BA304" i="1"/>
  <c r="BA302" i="1"/>
  <c r="AT299" i="1"/>
  <c r="AW282" i="1"/>
  <c r="BD256" i="1"/>
  <c r="AX256" i="1"/>
  <c r="AR217" i="1"/>
  <c r="AR195" i="1"/>
  <c r="AV195" i="1"/>
  <c r="AX180" i="1"/>
  <c r="BC144" i="1"/>
  <c r="AV134" i="1"/>
  <c r="BA134" i="1"/>
  <c r="AS123" i="1"/>
  <c r="AW123" i="1"/>
  <c r="AT75" i="1"/>
  <c r="BE75" i="1"/>
  <c r="BA386" i="1"/>
  <c r="AT382" i="1"/>
  <c r="AV297" i="1"/>
  <c r="AV282" i="1"/>
  <c r="AV262" i="1"/>
  <c r="AW261" i="1"/>
  <c r="AY237" i="1"/>
  <c r="AV227" i="1"/>
  <c r="BD218" i="1"/>
  <c r="AT215" i="1"/>
  <c r="BE204" i="1"/>
  <c r="I204" i="1"/>
  <c r="AV191" i="1"/>
  <c r="AU180" i="1"/>
  <c r="AZ172" i="1"/>
  <c r="AS141" i="1"/>
  <c r="AW141" i="1"/>
  <c r="BB141" i="1"/>
  <c r="BC50" i="1"/>
  <c r="BB377" i="1"/>
  <c r="BE335" i="1"/>
  <c r="BC313" i="1"/>
  <c r="BC264" i="1"/>
  <c r="AT243" i="1"/>
  <c r="I243" i="1"/>
  <c r="AS243" i="1" s="1"/>
  <c r="AW234" i="1"/>
  <c r="BD193" i="1"/>
  <c r="AU193" i="1"/>
  <c r="BC175" i="1"/>
  <c r="AT164" i="1"/>
  <c r="BE164" i="1"/>
  <c r="BC164" i="1"/>
  <c r="AV132" i="1"/>
  <c r="AZ103" i="1"/>
  <c r="AZ16" i="1"/>
  <c r="AY13" i="1"/>
  <c r="AP33" i="1"/>
  <c r="BF33" i="1" s="1"/>
  <c r="AP36" i="1"/>
  <c r="BF36" i="1" s="1"/>
  <c r="AP35" i="1"/>
  <c r="AP146" i="1"/>
  <c r="BF146" i="1" s="1"/>
  <c r="AR142" i="1"/>
  <c r="BA142" i="1"/>
  <c r="AP136" i="1"/>
  <c r="AP138" i="1"/>
  <c r="BF138" i="1" s="1"/>
  <c r="AP139" i="1"/>
  <c r="BF139" i="1" s="1"/>
  <c r="AV139" i="1"/>
  <c r="AR117" i="1"/>
  <c r="AV117" i="1"/>
  <c r="AR112" i="1"/>
  <c r="BA112" i="1"/>
  <c r="AV112" i="1"/>
  <c r="AX78" i="1"/>
  <c r="AR74" i="1"/>
  <c r="AV74" i="1"/>
  <c r="G68" i="1"/>
  <c r="K68" i="1" s="1"/>
  <c r="BD69" i="1"/>
  <c r="AY11" i="1"/>
  <c r="BC167" i="1"/>
  <c r="I165" i="1"/>
  <c r="AV150" i="1"/>
  <c r="AV142" i="1"/>
  <c r="BE138" i="1"/>
  <c r="BC138" i="1"/>
  <c r="I138" i="1"/>
  <c r="M138" i="1" s="1"/>
  <c r="AW125" i="1"/>
  <c r="AS125" i="1"/>
  <c r="BB125" i="1"/>
  <c r="AU116" i="1"/>
  <c r="BA115" i="1"/>
  <c r="BA108" i="1"/>
  <c r="AR108" i="1"/>
  <c r="AV108" i="1"/>
  <c r="AY102" i="1"/>
  <c r="AS96" i="1"/>
  <c r="AW96" i="1"/>
  <c r="BC82" i="1"/>
  <c r="AR78" i="1"/>
  <c r="BA78" i="1"/>
  <c r="AV78" i="1"/>
  <c r="BD75" i="1"/>
  <c r="AW63" i="1"/>
  <c r="AS63" i="1"/>
  <c r="BB63" i="1"/>
  <c r="AY257" i="1"/>
  <c r="BF243" i="1"/>
  <c r="AY174" i="1"/>
  <c r="BE173" i="1"/>
  <c r="BC172" i="1"/>
  <c r="AT162" i="1"/>
  <c r="AU162" i="1"/>
  <c r="BD162" i="1"/>
  <c r="AZ161" i="1"/>
  <c r="AX157" i="1"/>
  <c r="BB152" i="1"/>
  <c r="AR150" i="1"/>
  <c r="AY72" i="1"/>
  <c r="AZ70" i="1"/>
  <c r="AL49" i="1"/>
  <c r="AY18" i="1"/>
  <c r="AY216" i="1"/>
  <c r="BA162" i="1"/>
  <c r="AW157" i="1"/>
  <c r="AV129" i="1"/>
  <c r="BA129" i="1"/>
  <c r="AR115" i="1"/>
  <c r="BB96" i="1"/>
  <c r="AP72" i="1"/>
  <c r="BF72" i="1" s="1"/>
  <c r="AP69" i="1"/>
  <c r="BF69" i="1" s="1"/>
  <c r="AP70" i="1"/>
  <c r="BF70" i="1" s="1"/>
  <c r="AY49" i="1"/>
  <c r="G244" i="1"/>
  <c r="BD244" i="1" s="1"/>
  <c r="BA216" i="1"/>
  <c r="BC173" i="1"/>
  <c r="AT173" i="1"/>
  <c r="AR159" i="1"/>
  <c r="AR156" i="1"/>
  <c r="AR153" i="1"/>
  <c r="BA153" i="1"/>
  <c r="BE151" i="1"/>
  <c r="BA150" i="1"/>
  <c r="AP144" i="1"/>
  <c r="BF144" i="1" s="1"/>
  <c r="AV133" i="1"/>
  <c r="BB126" i="1"/>
  <c r="BC96" i="1"/>
  <c r="AT96" i="1"/>
  <c r="BE96" i="1"/>
  <c r="AZ91" i="1"/>
  <c r="AV85" i="1"/>
  <c r="AR72" i="1"/>
  <c r="BA72" i="1"/>
  <c r="BF155" i="1"/>
  <c r="AZ154" i="1"/>
  <c r="AY151" i="1"/>
  <c r="AP141" i="1"/>
  <c r="BF141" i="1" s="1"/>
  <c r="AU119" i="1"/>
  <c r="AP116" i="1"/>
  <c r="BF116" i="1" s="1"/>
  <c r="AP118" i="1"/>
  <c r="BF118" i="1" s="1"/>
  <c r="AP114" i="1"/>
  <c r="AZ106" i="1"/>
  <c r="BA74" i="1"/>
  <c r="AT25" i="1"/>
  <c r="BB25" i="1"/>
  <c r="AY19" i="1"/>
  <c r="G6" i="1"/>
  <c r="M6" i="1" s="1"/>
  <c r="BF96" i="1"/>
  <c r="I95" i="1"/>
  <c r="AW95" i="1" s="1"/>
  <c r="BE95" i="1"/>
  <c r="AY75" i="1"/>
  <c r="BE54" i="1"/>
  <c r="AU53" i="1"/>
  <c r="AX53" i="1"/>
  <c r="AP49" i="1"/>
  <c r="BF49" i="1" s="1"/>
  <c r="BA25" i="1"/>
  <c r="BC109" i="1"/>
  <c r="G83" i="1"/>
  <c r="BE71" i="1"/>
  <c r="AY22" i="1"/>
  <c r="G19" i="1"/>
  <c r="AX96" i="1"/>
  <c r="AR88" i="1"/>
  <c r="AY67" i="1"/>
  <c r="AU60" i="1"/>
  <c r="AX57" i="1"/>
  <c r="BE50" i="1"/>
  <c r="AX49" i="1"/>
  <c r="AX42" i="1"/>
  <c r="BE34" i="1"/>
  <c r="AT34" i="1"/>
  <c r="BD139" i="1"/>
  <c r="AP111" i="1"/>
  <c r="BF111" i="1" s="1"/>
  <c r="AT95" i="1"/>
  <c r="BD77" i="1"/>
  <c r="AT69" i="1"/>
  <c r="BC69" i="1"/>
  <c r="AT62" i="1"/>
  <c r="AL57" i="1"/>
  <c r="AY57" i="1"/>
  <c r="BD53" i="1"/>
  <c r="AP48" i="1"/>
  <c r="BF48" i="1" s="1"/>
  <c r="AL47" i="1"/>
  <c r="AY47" i="1"/>
  <c r="AY40" i="1"/>
  <c r="AZ25" i="1"/>
  <c r="AY8" i="1"/>
  <c r="BA7" i="1"/>
  <c r="AV7" i="1"/>
  <c r="BE148" i="1"/>
  <c r="AY139" i="1"/>
  <c r="AT131" i="1"/>
  <c r="AX129" i="1"/>
  <c r="AX111" i="1"/>
  <c r="AU89" i="1"/>
  <c r="AR79" i="1"/>
  <c r="AX77" i="1"/>
  <c r="AZ76" i="1"/>
  <c r="I71" i="1"/>
  <c r="M71" i="1" s="1"/>
  <c r="BE62" i="1"/>
  <c r="I56" i="1"/>
  <c r="AS56" i="1" s="1"/>
  <c r="BE56" i="1"/>
  <c r="W53" i="1"/>
  <c r="AY25" i="1"/>
  <c r="AR7" i="1"/>
  <c r="AW159" i="1"/>
  <c r="AR145" i="1"/>
  <c r="BB142" i="1"/>
  <c r="BC137" i="1"/>
  <c r="AD130" i="1"/>
  <c r="BA125" i="1"/>
  <c r="AT109" i="1"/>
  <c r="AR104" i="1"/>
  <c r="AU102" i="1"/>
  <c r="AD98" i="1"/>
  <c r="BF98" i="1" s="1"/>
  <c r="AX91" i="1"/>
  <c r="AU77" i="1"/>
  <c r="AS73" i="1"/>
  <c r="BB73" i="1"/>
  <c r="AX71" i="1"/>
  <c r="I70" i="1"/>
  <c r="BB70" i="1" s="1"/>
  <c r="BE70" i="1"/>
  <c r="AY56" i="1"/>
  <c r="AY53" i="1"/>
  <c r="BE48" i="1"/>
  <c r="AP44" i="1"/>
  <c r="AY36" i="1"/>
  <c r="AD35" i="1"/>
  <c r="BE35" i="1" s="1"/>
  <c r="AD37" i="1"/>
  <c r="BE37" i="1" s="1"/>
  <c r="I36" i="1"/>
  <c r="BE36" i="1"/>
  <c r="BD18" i="1"/>
  <c r="AZ18" i="1"/>
  <c r="AZ9" i="1"/>
  <c r="AU139" i="1"/>
  <c r="AU111" i="1"/>
  <c r="BE110" i="1"/>
  <c r="AR98" i="1"/>
  <c r="I84" i="1"/>
  <c r="BB84" i="1" s="1"/>
  <c r="BE84" i="1"/>
  <c r="AR80" i="1"/>
  <c r="AR77" i="1"/>
  <c r="AP75" i="1"/>
  <c r="BF75" i="1" s="1"/>
  <c r="AP74" i="1"/>
  <c r="BF74" i="1" s="1"/>
  <c r="AR25" i="1"/>
  <c r="AX21" i="1"/>
  <c r="BF99" i="1"/>
  <c r="BC95" i="1"/>
  <c r="BD91" i="1"/>
  <c r="BC85" i="1"/>
  <c r="AX76" i="1"/>
  <c r="AZ69" i="1"/>
  <c r="I69" i="1"/>
  <c r="M69" i="1" s="1"/>
  <c r="AP65" i="1"/>
  <c r="AP66" i="1"/>
  <c r="BC62" i="1"/>
  <c r="I54" i="1"/>
  <c r="G47" i="1"/>
  <c r="AX47" i="1" s="1"/>
  <c r="I34" i="1"/>
  <c r="AL27" i="1"/>
  <c r="AZ27" i="1" s="1"/>
  <c r="AZ14" i="1"/>
  <c r="AZ75" i="1"/>
  <c r="AR62" i="1"/>
  <c r="AT48" i="1"/>
  <c r="AW42" i="1"/>
  <c r="AW25" i="1"/>
  <c r="AZ21" i="1"/>
  <c r="BC11" i="1"/>
  <c r="AP53" i="1"/>
  <c r="BF53" i="1" s="1"/>
  <c r="AZ39" i="1"/>
  <c r="AY16" i="1"/>
  <c r="G7" i="1"/>
  <c r="K7" i="1" s="1"/>
  <c r="AV58" i="1"/>
  <c r="AZ43" i="1"/>
  <c r="AZ61" i="1"/>
  <c r="AY41" i="1"/>
  <c r="G25" i="1"/>
  <c r="K25" i="1" s="1"/>
  <c r="S69" i="1"/>
  <c r="AV69" i="1" s="1"/>
  <c r="I41" i="1"/>
  <c r="BE611" i="1"/>
  <c r="BB675" i="1"/>
  <c r="BB655" i="1"/>
  <c r="BF614" i="1"/>
  <c r="AS600" i="1"/>
  <c r="BF812" i="1"/>
  <c r="AS676" i="1"/>
  <c r="BB660" i="1"/>
  <c r="BE628" i="1"/>
  <c r="BB583" i="1"/>
  <c r="AS583" i="1"/>
  <c r="AS550" i="1"/>
  <c r="BD668" i="1"/>
  <c r="AU668" i="1"/>
  <c r="I608" i="1"/>
  <c r="BC608" i="1"/>
  <c r="BE608" i="1"/>
  <c r="BE817" i="1"/>
  <c r="BF817" i="1"/>
  <c r="BB674" i="1"/>
  <c r="BE610" i="1"/>
  <c r="AT610" i="1"/>
  <c r="I610" i="1"/>
  <c r="AR330" i="1"/>
  <c r="AV330" i="1"/>
  <c r="BA330" i="1"/>
  <c r="AU626" i="1"/>
  <c r="BD626" i="1"/>
  <c r="AS618" i="1"/>
  <c r="BB618" i="1"/>
  <c r="BE661" i="1"/>
  <c r="BF661" i="1"/>
  <c r="AV342" i="1"/>
  <c r="BA342" i="1"/>
  <c r="AR342" i="1"/>
  <c r="BB676" i="1"/>
  <c r="AU601" i="1"/>
  <c r="BD601" i="1"/>
  <c r="BD594" i="1"/>
  <c r="BE804" i="1"/>
  <c r="BF804" i="1"/>
  <c r="BE799" i="1"/>
  <c r="BF799" i="1"/>
  <c r="AS666" i="1"/>
  <c r="BF598" i="1"/>
  <c r="AV442" i="1"/>
  <c r="BA442" i="1"/>
  <c r="AR442" i="1"/>
  <c r="AV418" i="1"/>
  <c r="BA418" i="1"/>
  <c r="AR418" i="1"/>
  <c r="BE662" i="1"/>
  <c r="BF662" i="1"/>
  <c r="BE654" i="1"/>
  <c r="BF654" i="1"/>
  <c r="AU635" i="1"/>
  <c r="BD635" i="1"/>
  <c r="BE625" i="1"/>
  <c r="BF625" i="1"/>
  <c r="BE603" i="1"/>
  <c r="BF603" i="1"/>
  <c r="BF596" i="1"/>
  <c r="BB638" i="1"/>
  <c r="AS638" i="1"/>
  <c r="BB607" i="1"/>
  <c r="AS607" i="1"/>
  <c r="AS538" i="1"/>
  <c r="AV327" i="1"/>
  <c r="BA327" i="1"/>
  <c r="AV320" i="1"/>
  <c r="BA320" i="1"/>
  <c r="AR320" i="1"/>
  <c r="AV312" i="1"/>
  <c r="AR305" i="1"/>
  <c r="AV305" i="1"/>
  <c r="BF816" i="1"/>
  <c r="BF810" i="1"/>
  <c r="BF793" i="1"/>
  <c r="AL653" i="1"/>
  <c r="AZ653" i="1" s="1"/>
  <c r="AS637" i="1"/>
  <c r="BE630" i="1"/>
  <c r="AT630" i="1"/>
  <c r="AS620" i="1"/>
  <c r="BF612" i="1"/>
  <c r="AT603" i="1"/>
  <c r="I603" i="1"/>
  <c r="BC603" i="1"/>
  <c r="AS573" i="1"/>
  <c r="AS562" i="1"/>
  <c r="AS540" i="1"/>
  <c r="AS496" i="1"/>
  <c r="BE448" i="1"/>
  <c r="BF448" i="1"/>
  <c r="AT335" i="1"/>
  <c r="AS273" i="1"/>
  <c r="AW273" i="1"/>
  <c r="AV188" i="1"/>
  <c r="BA188" i="1"/>
  <c r="AR188" i="1"/>
  <c r="BB6" i="1"/>
  <c r="AW6" i="1"/>
  <c r="AS6" i="1"/>
  <c r="AU267" i="1"/>
  <c r="BD267" i="1"/>
  <c r="AX267" i="1"/>
  <c r="AZ242" i="1"/>
  <c r="BE813" i="1"/>
  <c r="BC638" i="1"/>
  <c r="BE638" i="1"/>
  <c r="AT605" i="1"/>
  <c r="AT582" i="1"/>
  <c r="I582" i="1"/>
  <c r="AS565" i="1"/>
  <c r="AS542" i="1"/>
  <c r="AS533" i="1"/>
  <c r="AS532" i="1"/>
  <c r="AS524" i="1"/>
  <c r="AS485" i="1"/>
  <c r="AS472" i="1"/>
  <c r="AR460" i="1"/>
  <c r="AV460" i="1"/>
  <c r="BA460" i="1"/>
  <c r="BA454" i="1"/>
  <c r="AV454" i="1"/>
  <c r="AY440" i="1"/>
  <c r="BA439" i="1"/>
  <c r="AR439" i="1"/>
  <c r="AV439" i="1"/>
  <c r="AZ437" i="1"/>
  <c r="BA428" i="1"/>
  <c r="AR428" i="1"/>
  <c r="AV428" i="1"/>
  <c r="BA415" i="1"/>
  <c r="BB376" i="1"/>
  <c r="AW376" i="1"/>
  <c r="BA360" i="1"/>
  <c r="AV360" i="1"/>
  <c r="BA319" i="1"/>
  <c r="AR312" i="1"/>
  <c r="BA305" i="1"/>
  <c r="AR286" i="1"/>
  <c r="BA286" i="1"/>
  <c r="AZ253" i="1"/>
  <c r="AS632" i="1"/>
  <c r="BE600" i="1"/>
  <c r="AS558" i="1"/>
  <c r="AS478" i="1"/>
  <c r="AS475" i="1"/>
  <c r="BC468" i="1"/>
  <c r="BE468" i="1"/>
  <c r="I468" i="1"/>
  <c r="BB460" i="1"/>
  <c r="AU452" i="1"/>
  <c r="AR417" i="1"/>
  <c r="AV417" i="1"/>
  <c r="AR325" i="1"/>
  <c r="AR278" i="1"/>
  <c r="BA278" i="1"/>
  <c r="AV278" i="1"/>
  <c r="G726" i="1"/>
  <c r="AU726" i="1" s="1"/>
  <c r="BB647" i="1"/>
  <c r="G630" i="1"/>
  <c r="AS626" i="1"/>
  <c r="BE594" i="1"/>
  <c r="I581" i="1"/>
  <c r="AT581" i="1"/>
  <c r="AS541" i="1"/>
  <c r="AS527" i="1"/>
  <c r="AS526" i="1"/>
  <c r="AW460" i="1"/>
  <c r="AP459" i="1"/>
  <c r="BF459" i="1" s="1"/>
  <c r="AS453" i="1"/>
  <c r="AW453" i="1"/>
  <c r="BB453" i="1"/>
  <c r="BC400" i="1"/>
  <c r="BE400" i="1"/>
  <c r="I400" i="1"/>
  <c r="AT400" i="1"/>
  <c r="BE280" i="1"/>
  <c r="I280" i="1"/>
  <c r="AT280" i="1"/>
  <c r="BC280" i="1"/>
  <c r="AY271" i="1"/>
  <c r="BE659" i="1"/>
  <c r="BF659" i="1"/>
  <c r="BB614" i="1"/>
  <c r="BF613" i="1"/>
  <c r="BE605" i="1"/>
  <c r="AS554" i="1"/>
  <c r="AS510" i="1"/>
  <c r="G439" i="1"/>
  <c r="AU439" i="1" s="1"/>
  <c r="AY438" i="1"/>
  <c r="AL438" i="1"/>
  <c r="AZ438" i="1" s="1"/>
  <c r="BA435" i="1"/>
  <c r="AR435" i="1"/>
  <c r="AV435" i="1"/>
  <c r="BA424" i="1"/>
  <c r="AR424" i="1"/>
  <c r="AV424" i="1"/>
  <c r="AV405" i="1"/>
  <c r="AR405" i="1"/>
  <c r="AW372" i="1"/>
  <c r="AR341" i="1"/>
  <c r="AV323" i="1"/>
  <c r="BA323" i="1"/>
  <c r="AR323" i="1"/>
  <c r="AV308" i="1"/>
  <c r="AR308" i="1"/>
  <c r="BD299" i="1"/>
  <c r="AY280" i="1"/>
  <c r="AV242" i="1"/>
  <c r="AR242" i="1"/>
  <c r="BA242" i="1"/>
  <c r="S788" i="1"/>
  <c r="AV788" i="1" s="1"/>
  <c r="AT606" i="1"/>
  <c r="I516" i="1"/>
  <c r="AW516" i="1" s="1"/>
  <c r="BF516" i="1"/>
  <c r="AT516" i="1"/>
  <c r="AP457" i="1"/>
  <c r="BF457" i="1" s="1"/>
  <c r="AS456" i="1"/>
  <c r="AW456" i="1"/>
  <c r="BA450" i="1"/>
  <c r="AV450" i="1"/>
  <c r="AZ430" i="1"/>
  <c r="AR406" i="1"/>
  <c r="AV406" i="1"/>
  <c r="AR404" i="1"/>
  <c r="AV404" i="1"/>
  <c r="AV367" i="1"/>
  <c r="BA367" i="1"/>
  <c r="I319" i="1"/>
  <c r="BC319" i="1"/>
  <c r="BE319" i="1"/>
  <c r="AT319" i="1"/>
  <c r="AZ299" i="1"/>
  <c r="AV249" i="1"/>
  <c r="BA249" i="1"/>
  <c r="AR249" i="1"/>
  <c r="AU235" i="1"/>
  <c r="BD235" i="1"/>
  <c r="AS520" i="1"/>
  <c r="AU460" i="1"/>
  <c r="AX299" i="1"/>
  <c r="AR228" i="1"/>
  <c r="BA228" i="1"/>
  <c r="AV228" i="1"/>
  <c r="S789" i="1"/>
  <c r="AV789" i="1" s="1"/>
  <c r="BE652" i="1"/>
  <c r="BF652" i="1"/>
  <c r="W645" i="1"/>
  <c r="AR645" i="1" s="1"/>
  <c r="BE622" i="1"/>
  <c r="AZ460" i="1"/>
  <c r="AV377" i="1"/>
  <c r="BA377" i="1"/>
  <c r="AR377" i="1"/>
  <c r="BB372" i="1"/>
  <c r="BC372" i="1"/>
  <c r="BF372" i="1"/>
  <c r="BC333" i="1"/>
  <c r="BF333" i="1"/>
  <c r="BE629" i="1"/>
  <c r="BF803" i="1"/>
  <c r="BF798" i="1"/>
  <c r="BF789" i="1"/>
  <c r="BB664" i="1"/>
  <c r="BB663" i="1"/>
  <c r="BF651" i="1"/>
  <c r="BB632" i="1"/>
  <c r="AS622" i="1"/>
  <c r="BB611" i="1"/>
  <c r="AT596" i="1"/>
  <c r="I596" i="1"/>
  <c r="BC596" i="1"/>
  <c r="I586" i="1"/>
  <c r="BC586" i="1"/>
  <c r="BE586" i="1"/>
  <c r="AR583" i="1"/>
  <c r="AU494" i="1"/>
  <c r="G484" i="1"/>
  <c r="AU484" i="1" s="1"/>
  <c r="AP461" i="1"/>
  <c r="BF461" i="1" s="1"/>
  <c r="AR454" i="1"/>
  <c r="BA443" i="1"/>
  <c r="AR443" i="1"/>
  <c r="AV443" i="1"/>
  <c r="AR426" i="1"/>
  <c r="AV426" i="1"/>
  <c r="AR389" i="1"/>
  <c r="AV389" i="1"/>
  <c r="BA389" i="1"/>
  <c r="AV383" i="1"/>
  <c r="AV382" i="1"/>
  <c r="BA382" i="1"/>
  <c r="AZ363" i="1"/>
  <c r="AR343" i="1"/>
  <c r="AV343" i="1"/>
  <c r="AV325" i="1"/>
  <c r="AV311" i="1"/>
  <c r="AR311" i="1"/>
  <c r="AR298" i="1"/>
  <c r="AV298" i="1"/>
  <c r="BA298" i="1"/>
  <c r="AV286" i="1"/>
  <c r="AR259" i="1"/>
  <c r="BA259" i="1"/>
  <c r="AV259" i="1"/>
  <c r="AS559" i="1"/>
  <c r="AS521" i="1"/>
  <c r="AS504" i="1"/>
  <c r="AS489" i="1"/>
  <c r="BA447" i="1"/>
  <c r="AV447" i="1"/>
  <c r="BC438" i="1"/>
  <c r="BE438" i="1"/>
  <c r="I438" i="1"/>
  <c r="AT438" i="1"/>
  <c r="BF438" i="1"/>
  <c r="BA433" i="1"/>
  <c r="AR433" i="1"/>
  <c r="AR427" i="1"/>
  <c r="AV427" i="1"/>
  <c r="AT291" i="1"/>
  <c r="BC291" i="1"/>
  <c r="BE291" i="1"/>
  <c r="BF291" i="1"/>
  <c r="I291" i="1"/>
  <c r="AW256" i="1"/>
  <c r="AS256" i="1"/>
  <c r="BB256" i="1"/>
  <c r="AS246" i="1"/>
  <c r="BB246" i="1"/>
  <c r="AW246" i="1"/>
  <c r="G643" i="1"/>
  <c r="M643" i="1" s="1"/>
  <c r="AS471" i="1"/>
  <c r="AR462" i="1"/>
  <c r="AV462" i="1"/>
  <c r="BA462" i="1"/>
  <c r="AV453" i="1"/>
  <c r="BA453" i="1"/>
  <c r="AV433" i="1"/>
  <c r="AV431" i="1"/>
  <c r="BA431" i="1"/>
  <c r="BF335" i="1"/>
  <c r="AW335" i="1"/>
  <c r="BB335" i="1"/>
  <c r="AR327" i="1"/>
  <c r="AY231" i="1"/>
  <c r="AV231" i="1"/>
  <c r="S791" i="1"/>
  <c r="AV791" i="1" s="1"/>
  <c r="AS657" i="1"/>
  <c r="BE601" i="1"/>
  <c r="BE555" i="1"/>
  <c r="I555" i="1"/>
  <c r="AT555" i="1"/>
  <c r="S812" i="1"/>
  <c r="AV812" i="1" s="1"/>
  <c r="BE809" i="1"/>
  <c r="BF805" i="1"/>
  <c r="BF792" i="1"/>
  <c r="BF791" i="1"/>
  <c r="BE783" i="1"/>
  <c r="AT687" i="1"/>
  <c r="S666" i="1"/>
  <c r="BC623" i="1"/>
  <c r="BF604" i="1"/>
  <c r="BC601" i="1"/>
  <c r="AS587" i="1"/>
  <c r="AT584" i="1"/>
  <c r="I584" i="1"/>
  <c r="AS561" i="1"/>
  <c r="AS560" i="1"/>
  <c r="AU539" i="1"/>
  <c r="AS500" i="1"/>
  <c r="I462" i="1"/>
  <c r="M462" i="1" s="1"/>
  <c r="AU456" i="1"/>
  <c r="BA406" i="1"/>
  <c r="BA404" i="1"/>
  <c r="AR382" i="1"/>
  <c r="AT371" i="1"/>
  <c r="BF371" i="1"/>
  <c r="BC371" i="1"/>
  <c r="BE371" i="1"/>
  <c r="BA357" i="1"/>
  <c r="AV357" i="1"/>
  <c r="BA312" i="1"/>
  <c r="BA220" i="1"/>
  <c r="AV220" i="1"/>
  <c r="AR220" i="1"/>
  <c r="AS687" i="1"/>
  <c r="AS635" i="1"/>
  <c r="AS572" i="1"/>
  <c r="AS482" i="1"/>
  <c r="BB471" i="1"/>
  <c r="AP460" i="1"/>
  <c r="AP464" i="1"/>
  <c r="BF464" i="1" s="1"/>
  <c r="AP456" i="1"/>
  <c r="BF456" i="1" s="1"/>
  <c r="AP463" i="1"/>
  <c r="BF463" i="1" s="1"/>
  <c r="AU462" i="1"/>
  <c r="AX462" i="1"/>
  <c r="AW449" i="1"/>
  <c r="BB449" i="1"/>
  <c r="AZ434" i="1"/>
  <c r="BA365" i="1"/>
  <c r="AV365" i="1"/>
  <c r="AR319" i="1"/>
  <c r="BA239" i="1"/>
  <c r="AR239" i="1"/>
  <c r="AV239" i="1"/>
  <c r="I473" i="1"/>
  <c r="AV461" i="1"/>
  <c r="AV459" i="1"/>
  <c r="AV457" i="1"/>
  <c r="AW454" i="1"/>
  <c r="BE453" i="1"/>
  <c r="AW450" i="1"/>
  <c r="BF434" i="1"/>
  <c r="AT433" i="1"/>
  <c r="AV432" i="1"/>
  <c r="BB363" i="1"/>
  <c r="AX355" i="1"/>
  <c r="BB333" i="1"/>
  <c r="AR314" i="1"/>
  <c r="AV303" i="1"/>
  <c r="AV299" i="1"/>
  <c r="AR292" i="1"/>
  <c r="AR288" i="1"/>
  <c r="BA288" i="1"/>
  <c r="AV288" i="1"/>
  <c r="AZ277" i="1"/>
  <c r="AZ273" i="1"/>
  <c r="BF256" i="1"/>
  <c r="AR221" i="1"/>
  <c r="BA221" i="1"/>
  <c r="AZ216" i="1"/>
  <c r="I214" i="1"/>
  <c r="M214" i="1" s="1"/>
  <c r="BC214" i="1"/>
  <c r="BE214" i="1"/>
  <c r="AT214" i="1"/>
  <c r="AZ202" i="1"/>
  <c r="I169" i="1"/>
  <c r="BE169" i="1"/>
  <c r="AD170" i="1"/>
  <c r="BC169" i="1"/>
  <c r="AD171" i="1"/>
  <c r="AT169" i="1"/>
  <c r="AT473" i="1"/>
  <c r="AS470" i="1"/>
  <c r="AS463" i="1"/>
  <c r="BA455" i="1"/>
  <c r="BC446" i="1"/>
  <c r="AV440" i="1"/>
  <c r="I440" i="1"/>
  <c r="M440" i="1" s="1"/>
  <c r="BE434" i="1"/>
  <c r="AR434" i="1"/>
  <c r="AS433" i="1"/>
  <c r="AV408" i="1"/>
  <c r="BA392" i="1"/>
  <c r="BA374" i="1"/>
  <c r="BE372" i="1"/>
  <c r="BA363" i="1"/>
  <c r="AT363" i="1"/>
  <c r="BE363" i="1"/>
  <c r="AP362" i="1"/>
  <c r="BF362" i="1" s="1"/>
  <c r="BA339" i="1"/>
  <c r="AV334" i="1"/>
  <c r="BE333" i="1"/>
  <c r="AX333" i="1"/>
  <c r="AV316" i="1"/>
  <c r="BA303" i="1"/>
  <c r="AV302" i="1"/>
  <c r="BA300" i="1"/>
  <c r="BE277" i="1"/>
  <c r="I277" i="1"/>
  <c r="AT277" i="1"/>
  <c r="BC277" i="1"/>
  <c r="AR276" i="1"/>
  <c r="BA276" i="1"/>
  <c r="AR271" i="1"/>
  <c r="AY252" i="1"/>
  <c r="AY208" i="1"/>
  <c r="BB469" i="1"/>
  <c r="AW448" i="1"/>
  <c r="BF447" i="1"/>
  <c r="AR414" i="1"/>
  <c r="AR412" i="1"/>
  <c r="AV355" i="1"/>
  <c r="AR344" i="1"/>
  <c r="AW333" i="1"/>
  <c r="AX319" i="1"/>
  <c r="AR291" i="1"/>
  <c r="BA291" i="1"/>
  <c r="AV280" i="1"/>
  <c r="AR264" i="1"/>
  <c r="BA264" i="1"/>
  <c r="AS251" i="1"/>
  <c r="AW251" i="1"/>
  <c r="BB251" i="1"/>
  <c r="BB247" i="1"/>
  <c r="AW247" i="1"/>
  <c r="AS247" i="1"/>
  <c r="AR215" i="1"/>
  <c r="BA215" i="1"/>
  <c r="AV215" i="1"/>
  <c r="AZ201" i="1"/>
  <c r="AR467" i="1"/>
  <c r="AR461" i="1"/>
  <c r="AR459" i="1"/>
  <c r="AR457" i="1"/>
  <c r="AS454" i="1"/>
  <c r="AS450" i="1"/>
  <c r="AS447" i="1"/>
  <c r="BF440" i="1"/>
  <c r="AT440" i="1"/>
  <c r="BF435" i="1"/>
  <c r="AT435" i="1"/>
  <c r="AV430" i="1"/>
  <c r="AV399" i="1"/>
  <c r="AV386" i="1"/>
  <c r="AV375" i="1"/>
  <c r="AV372" i="1"/>
  <c r="AU355" i="1"/>
  <c r="BA335" i="1"/>
  <c r="AL291" i="1"/>
  <c r="AY291" i="1"/>
  <c r="AT267" i="1"/>
  <c r="BC267" i="1"/>
  <c r="BE267" i="1"/>
  <c r="AY253" i="1"/>
  <c r="AV250" i="1"/>
  <c r="AR250" i="1"/>
  <c r="BA250" i="1"/>
  <c r="AR247" i="1"/>
  <c r="BA247" i="1"/>
  <c r="AX232" i="1"/>
  <c r="AU232" i="1"/>
  <c r="BB229" i="1"/>
  <c r="AW229" i="1"/>
  <c r="AS194" i="1"/>
  <c r="BB194" i="1"/>
  <c r="AW194" i="1"/>
  <c r="BA179" i="1"/>
  <c r="AV179" i="1"/>
  <c r="AS258" i="1"/>
  <c r="BB258" i="1"/>
  <c r="AW258" i="1"/>
  <c r="AT256" i="1"/>
  <c r="BE256" i="1"/>
  <c r="AR252" i="1"/>
  <c r="BA252" i="1"/>
  <c r="AR225" i="1"/>
  <c r="AV225" i="1"/>
  <c r="AR210" i="1"/>
  <c r="BA210" i="1"/>
  <c r="AV210" i="1"/>
  <c r="AR86" i="1"/>
  <c r="AV86" i="1"/>
  <c r="BA86" i="1"/>
  <c r="BF655" i="1"/>
  <c r="BF621" i="1"/>
  <c r="BE489" i="1"/>
  <c r="AP467" i="1"/>
  <c r="BF467" i="1" s="1"/>
  <c r="AP454" i="1"/>
  <c r="BF454" i="1" s="1"/>
  <c r="AT452" i="1"/>
  <c r="I452" i="1"/>
  <c r="M452" i="1" s="1"/>
  <c r="AT441" i="1"/>
  <c r="AT437" i="1"/>
  <c r="AR408" i="1"/>
  <c r="AZ405" i="1"/>
  <c r="BA391" i="1"/>
  <c r="AW363" i="1"/>
  <c r="BA355" i="1"/>
  <c r="AV347" i="1"/>
  <c r="AR345" i="1"/>
  <c r="AR336" i="1"/>
  <c r="BC335" i="1"/>
  <c r="AT333" i="1"/>
  <c r="BE321" i="1"/>
  <c r="AT321" i="1"/>
  <c r="I321" i="1"/>
  <c r="AU319" i="1"/>
  <c r="AR316" i="1"/>
  <c r="BE313" i="1"/>
  <c r="AV307" i="1"/>
  <c r="AR302" i="1"/>
  <c r="AR295" i="1"/>
  <c r="AR280" i="1"/>
  <c r="AY273" i="1"/>
  <c r="AV264" i="1"/>
  <c r="AZ257" i="1"/>
  <c r="AR257" i="1"/>
  <c r="BA257" i="1"/>
  <c r="AV257" i="1"/>
  <c r="AY129" i="1"/>
  <c r="AT369" i="1"/>
  <c r="BE369" i="1"/>
  <c r="AR355" i="1"/>
  <c r="AR338" i="1"/>
  <c r="AS333" i="1"/>
  <c r="BD333" i="1"/>
  <c r="AT313" i="1"/>
  <c r="AV306" i="1"/>
  <c r="BA299" i="1"/>
  <c r="AV294" i="1"/>
  <c r="BF280" i="1"/>
  <c r="AY277" i="1"/>
  <c r="AR260" i="1"/>
  <c r="BA260" i="1"/>
  <c r="AV260" i="1"/>
  <c r="BC256" i="1"/>
  <c r="AV236" i="1"/>
  <c r="BA236" i="1"/>
  <c r="BA190" i="1"/>
  <c r="AV190" i="1"/>
  <c r="BA356" i="1"/>
  <c r="BA338" i="1"/>
  <c r="AS335" i="1"/>
  <c r="AV292" i="1"/>
  <c r="AR287" i="1"/>
  <c r="BA287" i="1"/>
  <c r="AV287" i="1"/>
  <c r="I278" i="1"/>
  <c r="M278" i="1" s="1"/>
  <c r="AT278" i="1"/>
  <c r="AY251" i="1"/>
  <c r="AZ238" i="1"/>
  <c r="BE236" i="1"/>
  <c r="AV235" i="1"/>
  <c r="BA235" i="1"/>
  <c r="AR235" i="1"/>
  <c r="BD232" i="1"/>
  <c r="AV224" i="1"/>
  <c r="BA224" i="1"/>
  <c r="AU223" i="1"/>
  <c r="BD223" i="1"/>
  <c r="AX208" i="1"/>
  <c r="AU208" i="1"/>
  <c r="BD208" i="1"/>
  <c r="AV196" i="1"/>
  <c r="AR196" i="1"/>
  <c r="BA196" i="1"/>
  <c r="BA193" i="1"/>
  <c r="AV335" i="1"/>
  <c r="BD319" i="1"/>
  <c r="AZ271" i="1"/>
  <c r="BA245" i="1"/>
  <c r="AV245" i="1"/>
  <c r="AY243" i="1"/>
  <c r="AT239" i="1"/>
  <c r="BC239" i="1"/>
  <c r="BE239" i="1"/>
  <c r="I239" i="1"/>
  <c r="BF239" i="1"/>
  <c r="AY236" i="1"/>
  <c r="AP214" i="1"/>
  <c r="AP213" i="1"/>
  <c r="BF213" i="1" s="1"/>
  <c r="AP212" i="1"/>
  <c r="BF212" i="1" s="1"/>
  <c r="AZ194" i="1"/>
  <c r="BD189" i="1"/>
  <c r="AX189" i="1"/>
  <c r="AS372" i="1"/>
  <c r="AR273" i="1"/>
  <c r="BA273" i="1"/>
  <c r="I271" i="1"/>
  <c r="AT271" i="1"/>
  <c r="AY270" i="1"/>
  <c r="I267" i="1"/>
  <c r="M267" i="1" s="1"/>
  <c r="AS259" i="1"/>
  <c r="BB259" i="1"/>
  <c r="AW259" i="1"/>
  <c r="AZ256" i="1"/>
  <c r="BA253" i="1"/>
  <c r="AR253" i="1"/>
  <c r="AV253" i="1"/>
  <c r="AV247" i="1"/>
  <c r="BA237" i="1"/>
  <c r="AV237" i="1"/>
  <c r="AV232" i="1"/>
  <c r="AY229" i="1"/>
  <c r="AY220" i="1"/>
  <c r="BA275" i="1"/>
  <c r="AR275" i="1"/>
  <c r="AS240" i="1"/>
  <c r="AT237" i="1"/>
  <c r="BC237" i="1"/>
  <c r="BE237" i="1"/>
  <c r="AX228" i="1"/>
  <c r="BA222" i="1"/>
  <c r="AW219" i="1"/>
  <c r="AV199" i="1"/>
  <c r="BA199" i="1"/>
  <c r="AT191" i="1"/>
  <c r="I191" i="1"/>
  <c r="M191" i="1" s="1"/>
  <c r="BC191" i="1"/>
  <c r="BA183" i="1"/>
  <c r="AP183" i="1"/>
  <c r="AP179" i="1"/>
  <c r="AP178" i="1"/>
  <c r="AP182" i="1"/>
  <c r="AP181" i="1"/>
  <c r="BF181" i="1" s="1"/>
  <c r="AT160" i="1"/>
  <c r="BC160" i="1"/>
  <c r="BE160" i="1"/>
  <c r="AS160" i="1"/>
  <c r="AV277" i="1"/>
  <c r="BB263" i="1"/>
  <c r="BE257" i="1"/>
  <c r="BE253" i="1"/>
  <c r="BC253" i="1"/>
  <c r="AR248" i="1"/>
  <c r="AR244" i="1"/>
  <c r="AP235" i="1"/>
  <c r="AX230" i="1"/>
  <c r="AP228" i="1"/>
  <c r="AP226" i="1"/>
  <c r="BF226" i="1" s="1"/>
  <c r="AP230" i="1"/>
  <c r="AP229" i="1"/>
  <c r="AP227" i="1"/>
  <c r="BF227" i="1" s="1"/>
  <c r="AV219" i="1"/>
  <c r="AU197" i="1"/>
  <c r="BD197" i="1"/>
  <c r="AX197" i="1"/>
  <c r="BA186" i="1"/>
  <c r="AV186" i="1"/>
  <c r="AY181" i="1"/>
  <c r="AS263" i="1"/>
  <c r="AZ251" i="1"/>
  <c r="AR251" i="1"/>
  <c r="BA251" i="1"/>
  <c r="AZ225" i="1"/>
  <c r="BC220" i="1"/>
  <c r="AV216" i="1"/>
  <c r="AP194" i="1"/>
  <c r="BF194" i="1" s="1"/>
  <c r="AP193" i="1"/>
  <c r="BF193" i="1" s="1"/>
  <c r="AP196" i="1"/>
  <c r="BF196" i="1" s="1"/>
  <c r="AP190" i="1"/>
  <c r="AP191" i="1"/>
  <c r="BF191" i="1" s="1"/>
  <c r="AP192" i="1"/>
  <c r="BF192" i="1" s="1"/>
  <c r="BE191" i="1"/>
  <c r="BC251" i="1"/>
  <c r="BE251" i="1"/>
  <c r="AT249" i="1"/>
  <c r="BC249" i="1"/>
  <c r="I249" i="1"/>
  <c r="AV222" i="1"/>
  <c r="AR222" i="1"/>
  <c r="AV218" i="1"/>
  <c r="BA284" i="1"/>
  <c r="AR277" i="1"/>
  <c r="AT270" i="1"/>
  <c r="AV269" i="1"/>
  <c r="AW268" i="1"/>
  <c r="AV266" i="1"/>
  <c r="AR261" i="1"/>
  <c r="AS260" i="1"/>
  <c r="AV255" i="1"/>
  <c r="AW254" i="1"/>
  <c r="I244" i="1"/>
  <c r="AT244" i="1"/>
  <c r="AR232" i="1"/>
  <c r="BA232" i="1"/>
  <c r="I225" i="1"/>
  <c r="BE225" i="1"/>
  <c r="BF223" i="1"/>
  <c r="BA223" i="1"/>
  <c r="AT222" i="1"/>
  <c r="AV204" i="1"/>
  <c r="BA204" i="1"/>
  <c r="AV189" i="1"/>
  <c r="BA189" i="1"/>
  <c r="AF186" i="1"/>
  <c r="AF183" i="1"/>
  <c r="AF185" i="1"/>
  <c r="AF184" i="1"/>
  <c r="AR166" i="1"/>
  <c r="BA166" i="1"/>
  <c r="AV166" i="1"/>
  <c r="AT273" i="1"/>
  <c r="BA270" i="1"/>
  <c r="AY244" i="1"/>
  <c r="AT242" i="1"/>
  <c r="AP238" i="1"/>
  <c r="BF238" i="1" s="1"/>
  <c r="AP232" i="1"/>
  <c r="AP233" i="1"/>
  <c r="BF233" i="1" s="1"/>
  <c r="G236" i="1"/>
  <c r="M236" i="1" s="1"/>
  <c r="BD228" i="1"/>
  <c r="AW227" i="1"/>
  <c r="I222" i="1"/>
  <c r="M222" i="1" s="1"/>
  <c r="AS220" i="1"/>
  <c r="AW220" i="1"/>
  <c r="AR218" i="1"/>
  <c r="I133" i="1"/>
  <c r="BC133" i="1"/>
  <c r="AT133" i="1"/>
  <c r="BE133" i="1"/>
  <c r="BB269" i="1"/>
  <c r="BB266" i="1"/>
  <c r="BC265" i="1"/>
  <c r="BA258" i="1"/>
  <c r="BB257" i="1"/>
  <c r="AV256" i="1"/>
  <c r="BE249" i="1"/>
  <c r="BA246" i="1"/>
  <c r="AV246" i="1"/>
  <c r="AZ245" i="1"/>
  <c r="AU245" i="1"/>
  <c r="AZ244" i="1"/>
  <c r="G242" i="1"/>
  <c r="BB240" i="1"/>
  <c r="AP237" i="1"/>
  <c r="BF237" i="1" s="1"/>
  <c r="I237" i="1"/>
  <c r="AV233" i="1"/>
  <c r="AR231" i="1"/>
  <c r="BA231" i="1"/>
  <c r="AR230" i="1"/>
  <c r="AZ226" i="1"/>
  <c r="AW226" i="1"/>
  <c r="BD222" i="1"/>
  <c r="AR199" i="1"/>
  <c r="AP195" i="1"/>
  <c r="BA182" i="1"/>
  <c r="AV182" i="1"/>
  <c r="AR181" i="1"/>
  <c r="AV181" i="1"/>
  <c r="BA181" i="1"/>
  <c r="AY168" i="1"/>
  <c r="BA269" i="1"/>
  <c r="BB268" i="1"/>
  <c r="BA266" i="1"/>
  <c r="AU256" i="1"/>
  <c r="BA255" i="1"/>
  <c r="AS255" i="1"/>
  <c r="BB254" i="1"/>
  <c r="G253" i="1"/>
  <c r="K253" i="1" s="1"/>
  <c r="AZ252" i="1"/>
  <c r="AV251" i="1"/>
  <c r="BE242" i="1"/>
  <c r="BB236" i="1"/>
  <c r="AR234" i="1"/>
  <c r="AZ231" i="1"/>
  <c r="I228" i="1"/>
  <c r="M228" i="1" s="1"/>
  <c r="BE228" i="1"/>
  <c r="BC228" i="1"/>
  <c r="I223" i="1"/>
  <c r="M223" i="1" s="1"/>
  <c r="AT223" i="1"/>
  <c r="BC223" i="1"/>
  <c r="AY221" i="1"/>
  <c r="BA207" i="1"/>
  <c r="AR207" i="1"/>
  <c r="AD197" i="1"/>
  <c r="BF197" i="1" s="1"/>
  <c r="AD198" i="1"/>
  <c r="BF198" i="1" s="1"/>
  <c r="BE196" i="1"/>
  <c r="I196" i="1"/>
  <c r="BC196" i="1"/>
  <c r="BA194" i="1"/>
  <c r="AV194" i="1"/>
  <c r="AF176" i="1"/>
  <c r="AF177" i="1"/>
  <c r="AF179" i="1"/>
  <c r="AF178" i="1"/>
  <c r="I253" i="1"/>
  <c r="AT251" i="1"/>
  <c r="G249" i="1"/>
  <c r="K249" i="1" s="1"/>
  <c r="AV244" i="1"/>
  <c r="AV238" i="1"/>
  <c r="BE220" i="1"/>
  <c r="AT220" i="1"/>
  <c r="AO219" i="1"/>
  <c r="AP219" i="1"/>
  <c r="BF219" i="1" s="1"/>
  <c r="AU216" i="1"/>
  <c r="AD195" i="1"/>
  <c r="AU188" i="1"/>
  <c r="BD188" i="1"/>
  <c r="AV167" i="1"/>
  <c r="AR167" i="1"/>
  <c r="BA167" i="1"/>
  <c r="AV148" i="1"/>
  <c r="AR148" i="1"/>
  <c r="BA148" i="1"/>
  <c r="BC235" i="1"/>
  <c r="BB211" i="1"/>
  <c r="I201" i="1"/>
  <c r="M201" i="1" s="1"/>
  <c r="BC201" i="1"/>
  <c r="BA177" i="1"/>
  <c r="AU170" i="1"/>
  <c r="BD170" i="1"/>
  <c r="AX170" i="1"/>
  <c r="AY169" i="1"/>
  <c r="AU166" i="1"/>
  <c r="AX166" i="1"/>
  <c r="BD166" i="1"/>
  <c r="AZ159" i="1"/>
  <c r="AY138" i="1"/>
  <c r="AZ134" i="1"/>
  <c r="AU211" i="1"/>
  <c r="BD211" i="1"/>
  <c r="AU194" i="1"/>
  <c r="AD186" i="1"/>
  <c r="AD183" i="1"/>
  <c r="AD182" i="1"/>
  <c r="AD185" i="1"/>
  <c r="BE188" i="1"/>
  <c r="I188" i="1"/>
  <c r="BC188" i="1"/>
  <c r="AD184" i="1"/>
  <c r="AD189" i="1"/>
  <c r="AR180" i="1"/>
  <c r="BA180" i="1"/>
  <c r="AV180" i="1"/>
  <c r="AV155" i="1"/>
  <c r="AR155" i="1"/>
  <c r="BA155" i="1"/>
  <c r="I134" i="1"/>
  <c r="M134" i="1" s="1"/>
  <c r="AD135" i="1"/>
  <c r="BC134" i="1"/>
  <c r="AT134" i="1"/>
  <c r="BE134" i="1"/>
  <c r="AR212" i="1"/>
  <c r="BA212" i="1"/>
  <c r="AR209" i="1"/>
  <c r="BA209" i="1"/>
  <c r="BA202" i="1"/>
  <c r="AV202" i="1"/>
  <c r="BC168" i="1"/>
  <c r="I168" i="1"/>
  <c r="M168" i="1" s="1"/>
  <c r="BE168" i="1"/>
  <c r="AV136" i="1"/>
  <c r="BA136" i="1"/>
  <c r="AR136" i="1"/>
  <c r="AU204" i="1"/>
  <c r="BA203" i="1"/>
  <c r="AT202" i="1"/>
  <c r="BC202" i="1"/>
  <c r="I202" i="1"/>
  <c r="AU200" i="1"/>
  <c r="BD200" i="1"/>
  <c r="AX200" i="1"/>
  <c r="I193" i="1"/>
  <c r="M193" i="1" s="1"/>
  <c r="BE193" i="1"/>
  <c r="BE180" i="1"/>
  <c r="BC180" i="1"/>
  <c r="I180" i="1"/>
  <c r="M180" i="1" s="1"/>
  <c r="AV168" i="1"/>
  <c r="BA168" i="1"/>
  <c r="BA163" i="1"/>
  <c r="AR163" i="1"/>
  <c r="AV163" i="1"/>
  <c r="AR149" i="1"/>
  <c r="BA149" i="1"/>
  <c r="AV149" i="1"/>
  <c r="AZ99" i="1"/>
  <c r="AX86" i="1"/>
  <c r="AV243" i="1"/>
  <c r="BC231" i="1"/>
  <c r="AV217" i="1"/>
  <c r="AV212" i="1"/>
  <c r="AR208" i="1"/>
  <c r="BA208" i="1"/>
  <c r="AR206" i="1"/>
  <c r="BA206" i="1"/>
  <c r="AX204" i="1"/>
  <c r="AP205" i="1"/>
  <c r="AP201" i="1"/>
  <c r="BF201" i="1" s="1"/>
  <c r="AP203" i="1"/>
  <c r="BF203" i="1" s="1"/>
  <c r="AP202" i="1"/>
  <c r="BF202" i="1" s="1"/>
  <c r="AV203" i="1"/>
  <c r="AP200" i="1"/>
  <c r="BF200" i="1" s="1"/>
  <c r="AV200" i="1"/>
  <c r="AY193" i="1"/>
  <c r="AT180" i="1"/>
  <c r="BD161" i="1"/>
  <c r="AU161" i="1"/>
  <c r="AX161" i="1"/>
  <c r="BB151" i="1"/>
  <c r="AW151" i="1"/>
  <c r="AS151" i="1"/>
  <c r="BE146" i="1"/>
  <c r="AT146" i="1"/>
  <c r="BC146" i="1"/>
  <c r="AW146" i="1"/>
  <c r="AS146" i="1"/>
  <c r="BB146" i="1"/>
  <c r="AR138" i="1"/>
  <c r="BA138" i="1"/>
  <c r="AV138" i="1"/>
  <c r="AR211" i="1"/>
  <c r="AU209" i="1"/>
  <c r="AV208" i="1"/>
  <c r="BA197" i="1"/>
  <c r="AV197" i="1"/>
  <c r="AY196" i="1"/>
  <c r="AT193" i="1"/>
  <c r="AV193" i="1"/>
  <c r="AR193" i="1"/>
  <c r="AV177" i="1"/>
  <c r="AD179" i="1"/>
  <c r="BA141" i="1"/>
  <c r="AR141" i="1"/>
  <c r="AV141" i="1"/>
  <c r="BA137" i="1"/>
  <c r="AV137" i="1"/>
  <c r="AR137" i="1"/>
  <c r="AU214" i="1"/>
  <c r="BD214" i="1"/>
  <c r="AW210" i="1"/>
  <c r="AS210" i="1"/>
  <c r="AP211" i="1"/>
  <c r="BF211" i="1" s="1"/>
  <c r="AP207" i="1"/>
  <c r="BF207" i="1" s="1"/>
  <c r="AV206" i="1"/>
  <c r="AR203" i="1"/>
  <c r="AV201" i="1"/>
  <c r="AP187" i="1"/>
  <c r="AP186" i="1"/>
  <c r="AP185" i="1"/>
  <c r="BD159" i="1"/>
  <c r="AU159" i="1"/>
  <c r="AW139" i="1"/>
  <c r="BE139" i="1"/>
  <c r="BB139" i="1"/>
  <c r="BC139" i="1"/>
  <c r="AT139" i="1"/>
  <c r="BE132" i="1"/>
  <c r="I132" i="1"/>
  <c r="BC132" i="1"/>
  <c r="BA213" i="1"/>
  <c r="AR198" i="1"/>
  <c r="AP177" i="1"/>
  <c r="AP174" i="1"/>
  <c r="BF174" i="1" s="1"/>
  <c r="I172" i="1"/>
  <c r="M172" i="1" s="1"/>
  <c r="BA170" i="1"/>
  <c r="AU165" i="1"/>
  <c r="AY160" i="1"/>
  <c r="AX151" i="1"/>
  <c r="BD151" i="1"/>
  <c r="AY133" i="1"/>
  <c r="AR213" i="1"/>
  <c r="AV175" i="1"/>
  <c r="AP173" i="1"/>
  <c r="BF173" i="1" s="1"/>
  <c r="AP172" i="1"/>
  <c r="BF172" i="1" s="1"/>
  <c r="AP175" i="1"/>
  <c r="BF175" i="1" s="1"/>
  <c r="AP176" i="1"/>
  <c r="AP171" i="1"/>
  <c r="BA165" i="1"/>
  <c r="AR64" i="1"/>
  <c r="BA64" i="1"/>
  <c r="AV64" i="1"/>
  <c r="AL50" i="1"/>
  <c r="AY50" i="1"/>
  <c r="AZ181" i="1"/>
  <c r="AD176" i="1"/>
  <c r="AW174" i="1"/>
  <c r="AP170" i="1"/>
  <c r="AR164" i="1"/>
  <c r="AT155" i="1"/>
  <c r="BC155" i="1"/>
  <c r="I155" i="1"/>
  <c r="BC151" i="1"/>
  <c r="AV140" i="1"/>
  <c r="AT119" i="1"/>
  <c r="I119" i="1"/>
  <c r="M119" i="1" s="1"/>
  <c r="BC119" i="1"/>
  <c r="AZ84" i="1"/>
  <c r="AU168" i="1"/>
  <c r="BD168" i="1"/>
  <c r="AX168" i="1"/>
  <c r="AT161" i="1"/>
  <c r="I161" i="1"/>
  <c r="M161" i="1" s="1"/>
  <c r="G133" i="1"/>
  <c r="K133" i="1" s="1"/>
  <c r="AX132" i="1"/>
  <c r="BD132" i="1"/>
  <c r="AY103" i="1"/>
  <c r="BD202" i="1"/>
  <c r="AV192" i="1"/>
  <c r="AS174" i="1"/>
  <c r="BE174" i="1"/>
  <c r="BC174" i="1"/>
  <c r="AS173" i="1"/>
  <c r="AT172" i="1"/>
  <c r="AV171" i="1"/>
  <c r="AX134" i="1"/>
  <c r="AU134" i="1"/>
  <c r="AX193" i="1"/>
  <c r="BE175" i="1"/>
  <c r="AV169" i="1"/>
  <c r="AZ167" i="1"/>
  <c r="AZ166" i="1"/>
  <c r="BD160" i="1"/>
  <c r="AV156" i="1"/>
  <c r="BA156" i="1"/>
  <c r="AU151" i="1"/>
  <c r="AV172" i="1"/>
  <c r="BC166" i="1"/>
  <c r="I166" i="1"/>
  <c r="M166" i="1" s="1"/>
  <c r="AR162" i="1"/>
  <c r="AR160" i="1"/>
  <c r="AV160" i="1"/>
  <c r="BC154" i="1"/>
  <c r="I154" i="1"/>
  <c r="BE154" i="1"/>
  <c r="BA151" i="1"/>
  <c r="AR151" i="1"/>
  <c r="AV151" i="1"/>
  <c r="BA139" i="1"/>
  <c r="AR139" i="1"/>
  <c r="G81" i="1"/>
  <c r="BD82" i="1"/>
  <c r="AU82" i="1"/>
  <c r="AX82" i="1"/>
  <c r="BE181" i="1"/>
  <c r="BC181" i="1"/>
  <c r="BA178" i="1"/>
  <c r="BA176" i="1"/>
  <c r="AU175" i="1"/>
  <c r="BB174" i="1"/>
  <c r="S173" i="1"/>
  <c r="I167" i="1"/>
  <c r="BE167" i="1"/>
  <c r="BE161" i="1"/>
  <c r="AV159" i="1"/>
  <c r="BE155" i="1"/>
  <c r="AV152" i="1"/>
  <c r="AR152" i="1"/>
  <c r="BA152" i="1"/>
  <c r="AT145" i="1"/>
  <c r="BC145" i="1"/>
  <c r="I145" i="1"/>
  <c r="BE145" i="1"/>
  <c r="AX138" i="1"/>
  <c r="AY111" i="1"/>
  <c r="AV75" i="1"/>
  <c r="AR75" i="1"/>
  <c r="BA75" i="1"/>
  <c r="AT127" i="1"/>
  <c r="BC127" i="1"/>
  <c r="I127" i="1"/>
  <c r="M127" i="1" s="1"/>
  <c r="AY99" i="1"/>
  <c r="AV95" i="1"/>
  <c r="BA95" i="1"/>
  <c r="AR95" i="1"/>
  <c r="AZ86" i="1"/>
  <c r="AL60" i="1"/>
  <c r="BB164" i="1"/>
  <c r="BD154" i="1"/>
  <c r="AR154" i="1"/>
  <c r="AP151" i="1"/>
  <c r="BF151" i="1" s="1"/>
  <c r="AP150" i="1"/>
  <c r="BF150" i="1" s="1"/>
  <c r="AP149" i="1"/>
  <c r="BF149" i="1" s="1"/>
  <c r="AV147" i="1"/>
  <c r="BA146" i="1"/>
  <c r="BE137" i="1"/>
  <c r="BB122" i="1"/>
  <c r="AR121" i="1"/>
  <c r="AX106" i="1"/>
  <c r="BD106" i="1"/>
  <c r="AU106" i="1"/>
  <c r="AD104" i="1"/>
  <c r="BF104" i="1" s="1"/>
  <c r="AY96" i="1"/>
  <c r="AY86" i="1"/>
  <c r="AR146" i="1"/>
  <c r="AW160" i="1"/>
  <c r="I149" i="1"/>
  <c r="BC149" i="1"/>
  <c r="BB143" i="1"/>
  <c r="AS143" i="1"/>
  <c r="I140" i="1"/>
  <c r="M140" i="1" s="1"/>
  <c r="AX124" i="1"/>
  <c r="AZ124" i="1"/>
  <c r="BA120" i="1"/>
  <c r="AU118" i="1"/>
  <c r="BD118" i="1"/>
  <c r="AX118" i="1"/>
  <c r="BA92" i="1"/>
  <c r="AR92" i="1"/>
  <c r="AX172" i="1"/>
  <c r="AP164" i="1"/>
  <c r="BF164" i="1" s="1"/>
  <c r="AP163" i="1"/>
  <c r="BF163" i="1" s="1"/>
  <c r="AP161" i="1"/>
  <c r="BF161" i="1" s="1"/>
  <c r="BB160" i="1"/>
  <c r="AX159" i="1"/>
  <c r="AT149" i="1"/>
  <c r="BA147" i="1"/>
  <c r="AR147" i="1"/>
  <c r="AT138" i="1"/>
  <c r="AZ82" i="1"/>
  <c r="AY69" i="1"/>
  <c r="AZ62" i="1"/>
  <c r="I106" i="1"/>
  <c r="M106" i="1" s="1"/>
  <c r="BE106" i="1"/>
  <c r="BC106" i="1"/>
  <c r="AT106" i="1"/>
  <c r="AD107" i="1"/>
  <c r="AZ90" i="1"/>
  <c r="BF154" i="1"/>
  <c r="AR134" i="1"/>
  <c r="AP128" i="1"/>
  <c r="AP134" i="1"/>
  <c r="BF134" i="1" s="1"/>
  <c r="AP131" i="1"/>
  <c r="BF131" i="1" s="1"/>
  <c r="AU127" i="1"/>
  <c r="AR123" i="1"/>
  <c r="AU97" i="1"/>
  <c r="BD97" i="1"/>
  <c r="AX97" i="1"/>
  <c r="AT77" i="1"/>
  <c r="I77" i="1"/>
  <c r="M77" i="1" s="1"/>
  <c r="BE77" i="1"/>
  <c r="BC77" i="1"/>
  <c r="AY48" i="1"/>
  <c r="AU154" i="1"/>
  <c r="AW152" i="1"/>
  <c r="AP137" i="1"/>
  <c r="BF137" i="1" s="1"/>
  <c r="AP135" i="1"/>
  <c r="AS139" i="1"/>
  <c r="AU131" i="1"/>
  <c r="AX131" i="1"/>
  <c r="BD127" i="1"/>
  <c r="AV123" i="1"/>
  <c r="I118" i="1"/>
  <c r="M118" i="1" s="1"/>
  <c r="AD117" i="1"/>
  <c r="AT118" i="1"/>
  <c r="AY77" i="1"/>
  <c r="BD156" i="1"/>
  <c r="AX156" i="1"/>
  <c r="AU124" i="1"/>
  <c r="AT113" i="1"/>
  <c r="BC113" i="1"/>
  <c r="AD112" i="1"/>
  <c r="I113" i="1"/>
  <c r="M113" i="1" s="1"/>
  <c r="AD114" i="1"/>
  <c r="BE113" i="1"/>
  <c r="BD86" i="1"/>
  <c r="AU86" i="1"/>
  <c r="AW120" i="1"/>
  <c r="BD110" i="1"/>
  <c r="AU110" i="1"/>
  <c r="AX110" i="1"/>
  <c r="AR105" i="1"/>
  <c r="AD87" i="1"/>
  <c r="BE86" i="1"/>
  <c r="BC86" i="1"/>
  <c r="AP81" i="1"/>
  <c r="BF81" i="1" s="1"/>
  <c r="AP84" i="1"/>
  <c r="BF84" i="1" s="1"/>
  <c r="AP78" i="1"/>
  <c r="BF78" i="1" s="1"/>
  <c r="AP79" i="1"/>
  <c r="BF79" i="1" s="1"/>
  <c r="AP80" i="1"/>
  <c r="BF80" i="1" s="1"/>
  <c r="AP82" i="1"/>
  <c r="BF82" i="1" s="1"/>
  <c r="BA81" i="1"/>
  <c r="AV81" i="1"/>
  <c r="AR81" i="1"/>
  <c r="AT61" i="1"/>
  <c r="BC61" i="1"/>
  <c r="I61" i="1"/>
  <c r="L61" i="1" s="1"/>
  <c r="AR99" i="1"/>
  <c r="AV91" i="1"/>
  <c r="BE91" i="1"/>
  <c r="AD92" i="1"/>
  <c r="BF92" i="1" s="1"/>
  <c r="BF91" i="1"/>
  <c r="AT86" i="1"/>
  <c r="AY83" i="1"/>
  <c r="BE68" i="1"/>
  <c r="AT68" i="1"/>
  <c r="I68" i="1"/>
  <c r="BC68" i="1"/>
  <c r="AY62" i="1"/>
  <c r="AY61" i="1"/>
  <c r="AU55" i="1"/>
  <c r="BD55" i="1"/>
  <c r="AZ53" i="1"/>
  <c r="BD33" i="1"/>
  <c r="AU33" i="1"/>
  <c r="BA128" i="1"/>
  <c r="BF127" i="1"/>
  <c r="BA122" i="1"/>
  <c r="AP120" i="1"/>
  <c r="BF120" i="1" s="1"/>
  <c r="AX119" i="1"/>
  <c r="AP119" i="1"/>
  <c r="BF119" i="1" s="1"/>
  <c r="AY91" i="1"/>
  <c r="AY71" i="1"/>
  <c r="AR61" i="1"/>
  <c r="I131" i="1"/>
  <c r="M131" i="1" s="1"/>
  <c r="AR128" i="1"/>
  <c r="AR122" i="1"/>
  <c r="BB121" i="1"/>
  <c r="AV120" i="1"/>
  <c r="BD119" i="1"/>
  <c r="I110" i="1"/>
  <c r="M110" i="1" s="1"/>
  <c r="AD100" i="1"/>
  <c r="AT102" i="1"/>
  <c r="BC102" i="1"/>
  <c r="BA99" i="1"/>
  <c r="BD65" i="1"/>
  <c r="AU65" i="1"/>
  <c r="BA91" i="1"/>
  <c r="AX85" i="1"/>
  <c r="AY84" i="1"/>
  <c r="AV68" i="1"/>
  <c r="BA68" i="1"/>
  <c r="BB120" i="1"/>
  <c r="AR113" i="1"/>
  <c r="AU109" i="1"/>
  <c r="BD109" i="1"/>
  <c r="AV107" i="1"/>
  <c r="I102" i="1"/>
  <c r="AR101" i="1"/>
  <c r="BA101" i="1"/>
  <c r="AU85" i="1"/>
  <c r="AZ85" i="1"/>
  <c r="AP83" i="1"/>
  <c r="BF83" i="1" s="1"/>
  <c r="AY82" i="1"/>
  <c r="AX65" i="1"/>
  <c r="BA63" i="1"/>
  <c r="AV63" i="1"/>
  <c r="AR63" i="1"/>
  <c r="AZ56" i="1"/>
  <c r="AW126" i="1"/>
  <c r="AS120" i="1"/>
  <c r="AX116" i="1"/>
  <c r="BD116" i="1"/>
  <c r="BD113" i="1"/>
  <c r="AV103" i="1"/>
  <c r="AV93" i="1"/>
  <c r="AV88" i="1"/>
  <c r="BF86" i="1"/>
  <c r="I85" i="1"/>
  <c r="BE85" i="1"/>
  <c r="BF85" i="1"/>
  <c r="BA70" i="1"/>
  <c r="AR70" i="1"/>
  <c r="AV70" i="1"/>
  <c r="AY43" i="1"/>
  <c r="BE22" i="1"/>
  <c r="AV116" i="1"/>
  <c r="AV105" i="1"/>
  <c r="BF103" i="1"/>
  <c r="AV102" i="1"/>
  <c r="I86" i="1"/>
  <c r="AY85" i="1"/>
  <c r="BE61" i="1"/>
  <c r="AZ48" i="1"/>
  <c r="AY65" i="1"/>
  <c r="AR55" i="1"/>
  <c r="AW52" i="1"/>
  <c r="AD65" i="1"/>
  <c r="BC67" i="1"/>
  <c r="AT67" i="1"/>
  <c r="AX60" i="1"/>
  <c r="AS51" i="1"/>
  <c r="BB51" i="1"/>
  <c r="BF88" i="1"/>
  <c r="BA85" i="1"/>
  <c r="BE82" i="1"/>
  <c r="I82" i="1"/>
  <c r="M82" i="1" s="1"/>
  <c r="AP73" i="1"/>
  <c r="BF73" i="1" s="1"/>
  <c r="AP71" i="1"/>
  <c r="BF71" i="1" s="1"/>
  <c r="AR56" i="1"/>
  <c r="BA56" i="1"/>
  <c r="AV56" i="1"/>
  <c r="AX55" i="1"/>
  <c r="AY54" i="1"/>
  <c r="AW51" i="1"/>
  <c r="AP23" i="1"/>
  <c r="AP24" i="1"/>
  <c r="AP26" i="1"/>
  <c r="BF26" i="1" s="1"/>
  <c r="AP28" i="1"/>
  <c r="AP27" i="1"/>
  <c r="BF27" i="1" s="1"/>
  <c r="AP22" i="1"/>
  <c r="BF22" i="1" s="1"/>
  <c r="AP25" i="1"/>
  <c r="BF25" i="1" s="1"/>
  <c r="BC116" i="1"/>
  <c r="AW89" i="1"/>
  <c r="G84" i="1"/>
  <c r="AW74" i="1"/>
  <c r="AZ71" i="1"/>
  <c r="AY68" i="1"/>
  <c r="I60" i="1"/>
  <c r="M60" i="1" s="1"/>
  <c r="BE60" i="1"/>
  <c r="AD58" i="1"/>
  <c r="AD59" i="1" s="1"/>
  <c r="BB52" i="1"/>
  <c r="AS52" i="1"/>
  <c r="AV100" i="1"/>
  <c r="AX95" i="1"/>
  <c r="I75" i="1"/>
  <c r="AU71" i="1"/>
  <c r="AY70" i="1"/>
  <c r="AP68" i="1"/>
  <c r="BF68" i="1" s="1"/>
  <c r="G67" i="1"/>
  <c r="AP63" i="1"/>
  <c r="BF63" i="1" s="1"/>
  <c r="AY60" i="1"/>
  <c r="AL33" i="1"/>
  <c r="AD28" i="1"/>
  <c r="I27" i="1"/>
  <c r="AD32" i="1"/>
  <c r="AD31" i="1"/>
  <c r="AD30" i="1"/>
  <c r="AT27" i="1"/>
  <c r="BC27" i="1"/>
  <c r="AD29" i="1"/>
  <c r="AZ13" i="1"/>
  <c r="AY12" i="1"/>
  <c r="AT116" i="1"/>
  <c r="AR114" i="1"/>
  <c r="AT82" i="1"/>
  <c r="AU76" i="1"/>
  <c r="AX75" i="1"/>
  <c r="AV73" i="1"/>
  <c r="BA73" i="1"/>
  <c r="AT71" i="1"/>
  <c r="AR54" i="1"/>
  <c r="AV54" i="1"/>
  <c r="BA100" i="1"/>
  <c r="AU99" i="1"/>
  <c r="BD99" i="1"/>
  <c r="BD95" i="1"/>
  <c r="AZ89" i="1"/>
  <c r="BD85" i="1"/>
  <c r="AU78" i="1"/>
  <c r="BD78" i="1"/>
  <c r="BB74" i="1"/>
  <c r="AP67" i="1"/>
  <c r="BF67" i="1" s="1"/>
  <c r="I67" i="1"/>
  <c r="AP64" i="1"/>
  <c r="BF64" i="1" s="1"/>
  <c r="BD60" i="1"/>
  <c r="AT54" i="1"/>
  <c r="BC54" i="1"/>
  <c r="AS49" i="1"/>
  <c r="BE49" i="1"/>
  <c r="BB49" i="1"/>
  <c r="BC49" i="1"/>
  <c r="AT49" i="1"/>
  <c r="BE47" i="1"/>
  <c r="BE83" i="1"/>
  <c r="I83" i="1"/>
  <c r="AT83" i="1"/>
  <c r="AY76" i="1"/>
  <c r="BC75" i="1"/>
  <c r="BD71" i="1"/>
  <c r="AP52" i="1"/>
  <c r="BF52" i="1" s="1"/>
  <c r="AP54" i="1"/>
  <c r="BF54" i="1" s="1"/>
  <c r="AP50" i="1"/>
  <c r="BF50" i="1" s="1"/>
  <c r="AP51" i="1"/>
  <c r="BF51" i="1" s="1"/>
  <c r="AU49" i="1"/>
  <c r="AD44" i="1"/>
  <c r="I47" i="1"/>
  <c r="AT47" i="1"/>
  <c r="AT19" i="1"/>
  <c r="BC19" i="1"/>
  <c r="I72" i="1"/>
  <c r="M72" i="1" s="1"/>
  <c r="BE72" i="1"/>
  <c r="S71" i="1"/>
  <c r="BA61" i="1"/>
  <c r="AV61" i="1"/>
  <c r="AU57" i="1"/>
  <c r="I53" i="1"/>
  <c r="M53" i="1" s="1"/>
  <c r="BE53" i="1"/>
  <c r="BC53" i="1"/>
  <c r="AS62" i="1"/>
  <c r="AP60" i="1"/>
  <c r="BF60" i="1" s="1"/>
  <c r="AP58" i="1"/>
  <c r="AP61" i="1"/>
  <c r="BF61" i="1" s="1"/>
  <c r="AR33" i="1"/>
  <c r="BA33" i="1"/>
  <c r="BD49" i="1"/>
  <c r="AP47" i="1"/>
  <c r="BF47" i="1" s="1"/>
  <c r="BB40" i="1"/>
  <c r="AW40" i="1"/>
  <c r="AS40" i="1"/>
  <c r="AX11" i="1"/>
  <c r="AZ11" i="1"/>
  <c r="AP45" i="1"/>
  <c r="AP43" i="1"/>
  <c r="BF43" i="1" s="1"/>
  <c r="AZ34" i="1"/>
  <c r="AP62" i="1"/>
  <c r="BF62" i="1" s="1"/>
  <c r="AZ42" i="1"/>
  <c r="AU42" i="1"/>
  <c r="BD42" i="1"/>
  <c r="AS26" i="1"/>
  <c r="BB26" i="1"/>
  <c r="AV6" i="1"/>
  <c r="BA6" i="1"/>
  <c r="AT40" i="1"/>
  <c r="BC40" i="1"/>
  <c r="I39" i="1"/>
  <c r="AT39" i="1"/>
  <c r="BC39" i="1"/>
  <c r="BE39" i="1"/>
  <c r="BD34" i="1"/>
  <c r="AX33" i="1"/>
  <c r="AR27" i="1"/>
  <c r="AX26" i="1"/>
  <c r="AZ26" i="1"/>
  <c r="BE19" i="1"/>
  <c r="I19" i="1"/>
  <c r="AU43" i="1"/>
  <c r="BD43" i="1"/>
  <c r="AU34" i="1"/>
  <c r="AX34" i="1"/>
  <c r="BA27" i="1"/>
  <c r="AW26" i="1"/>
  <c r="BD57" i="1"/>
  <c r="BC56" i="1"/>
  <c r="BD54" i="1"/>
  <c r="AX41" i="1"/>
  <c r="I33" i="1"/>
  <c r="BE33" i="1"/>
  <c r="AV27" i="1"/>
  <c r="AU26" i="1"/>
  <c r="BE26" i="1"/>
  <c r="AT26" i="1"/>
  <c r="BC25" i="1"/>
  <c r="AY15" i="1"/>
  <c r="AZ12" i="1"/>
  <c r="BD11" i="1"/>
  <c r="AU11" i="1"/>
  <c r="AR6" i="1"/>
  <c r="AT56" i="1"/>
  <c r="BC55" i="1"/>
  <c r="AT41" i="1"/>
  <c r="BE40" i="1"/>
  <c r="AY33" i="1"/>
  <c r="AY26" i="1"/>
  <c r="AS25" i="1"/>
  <c r="AT21" i="1"/>
  <c r="BC21" i="1"/>
  <c r="I21" i="1"/>
  <c r="BE21" i="1"/>
  <c r="AY34" i="1"/>
  <c r="AY27" i="1"/>
  <c r="AY21" i="1"/>
  <c r="AP19" i="1"/>
  <c r="BF19" i="1" s="1"/>
  <c r="AP15" i="1"/>
  <c r="BF15" i="1" s="1"/>
  <c r="AP21" i="1"/>
  <c r="BF21" i="1" s="1"/>
  <c r="AP17" i="1"/>
  <c r="BF17" i="1" s="1"/>
  <c r="AP20" i="1"/>
  <c r="BF20" i="1" s="1"/>
  <c r="AP18" i="1"/>
  <c r="BF18" i="1" s="1"/>
  <c r="BB7" i="1"/>
  <c r="G36" i="1"/>
  <c r="AV25" i="1"/>
  <c r="AY14" i="1"/>
  <c r="AZ10" i="1"/>
  <c r="BA21" i="1"/>
  <c r="AV21" i="1"/>
  <c r="AU18" i="1"/>
  <c r="AZ7" i="1"/>
  <c r="AP40" i="1"/>
  <c r="BF40" i="1" s="1"/>
  <c r="AP39" i="1"/>
  <c r="BF39" i="1" s="1"/>
  <c r="AP38" i="1"/>
  <c r="AD23" i="1"/>
  <c r="I22" i="1"/>
  <c r="AT22" i="1"/>
  <c r="BC22" i="1"/>
  <c r="AT18" i="1"/>
  <c r="BC18" i="1"/>
  <c r="AY10" i="1"/>
  <c r="AP32" i="1"/>
  <c r="BE25" i="1"/>
  <c r="AP34" i="1"/>
  <c r="BF34" i="1" s="1"/>
  <c r="I18" i="1"/>
  <c r="M18" i="1" s="1"/>
  <c r="AP30" i="1"/>
  <c r="AP31" i="1"/>
  <c r="BE11" i="1"/>
  <c r="BA34" i="1" l="1"/>
  <c r="AR34" i="1"/>
  <c r="K34" i="1"/>
  <c r="BA47" i="1"/>
  <c r="AR19" i="1"/>
  <c r="AR47" i="1"/>
  <c r="AV47" i="1"/>
  <c r="BA39" i="1"/>
  <c r="AV39" i="1"/>
  <c r="AR39" i="1"/>
  <c r="AV34" i="1"/>
  <c r="L230" i="1"/>
  <c r="AS230" i="1"/>
  <c r="AW230" i="1"/>
  <c r="BD581" i="1"/>
  <c r="AU581" i="1"/>
  <c r="M237" i="1"/>
  <c r="K581" i="1"/>
  <c r="BB230" i="1"/>
  <c r="AX434" i="1"/>
  <c r="AR589" i="1"/>
  <c r="BB162" i="1"/>
  <c r="AX237" i="1"/>
  <c r="BA589" i="1"/>
  <c r="K434" i="1"/>
  <c r="AU434" i="1"/>
  <c r="BD237" i="1"/>
  <c r="AU382" i="1"/>
  <c r="K221" i="1"/>
  <c r="AX221" i="1"/>
  <c r="AW162" i="1"/>
  <c r="K400" i="1"/>
  <c r="AX568" i="1"/>
  <c r="M83" i="1"/>
  <c r="BD400" i="1"/>
  <c r="K257" i="1"/>
  <c r="M400" i="1"/>
  <c r="BE187" i="1"/>
  <c r="AS207" i="1"/>
  <c r="BD438" i="1"/>
  <c r="AW84" i="1"/>
  <c r="AU221" i="1"/>
  <c r="L794" i="1"/>
  <c r="AV551" i="1"/>
  <c r="AS84" i="1"/>
  <c r="BD221" i="1"/>
  <c r="M602" i="1"/>
  <c r="AV489" i="1"/>
  <c r="BD22" i="1"/>
  <c r="BC38" i="1"/>
  <c r="AV539" i="1"/>
  <c r="M22" i="1"/>
  <c r="BB446" i="1"/>
  <c r="I38" i="1"/>
  <c r="M38" i="1" s="1"/>
  <c r="AU430" i="1"/>
  <c r="BD229" i="1"/>
  <c r="K794" i="1"/>
  <c r="AU642" i="1"/>
  <c r="AU280" i="1"/>
  <c r="AU22" i="1"/>
  <c r="L148" i="1"/>
  <c r="AW238" i="1"/>
  <c r="AX783" i="1"/>
  <c r="AV488" i="1"/>
  <c r="AU229" i="1"/>
  <c r="AX657" i="1"/>
  <c r="AW116" i="1"/>
  <c r="BA581" i="1"/>
  <c r="AX784" i="1"/>
  <c r="AW76" i="1"/>
  <c r="BD666" i="1"/>
  <c r="M645" i="1"/>
  <c r="BD6" i="1"/>
  <c r="AX666" i="1"/>
  <c r="AR555" i="1"/>
  <c r="K642" i="1"/>
  <c r="AS238" i="1"/>
  <c r="AX802" i="1"/>
  <c r="AS265" i="1"/>
  <c r="BA66" i="1"/>
  <c r="K66" i="1"/>
  <c r="AX490" i="1"/>
  <c r="AZ41" i="1"/>
  <c r="BB243" i="1"/>
  <c r="BB382" i="1"/>
  <c r="AX645" i="1"/>
  <c r="AU623" i="1"/>
  <c r="AX400" i="1"/>
  <c r="K623" i="1"/>
  <c r="AU645" i="1"/>
  <c r="AV553" i="1"/>
  <c r="BB200" i="1"/>
  <c r="BD645" i="1"/>
  <c r="AV665" i="1"/>
  <c r="AX652" i="1"/>
  <c r="BD623" i="1"/>
  <c r="K438" i="1"/>
  <c r="M642" i="1"/>
  <c r="AU666" i="1"/>
  <c r="BD642" i="1"/>
  <c r="AV484" i="1"/>
  <c r="AX516" i="1"/>
  <c r="K229" i="1"/>
  <c r="AV643" i="1"/>
  <c r="M584" i="1"/>
  <c r="AW584" i="1"/>
  <c r="M604" i="1"/>
  <c r="AW604" i="1"/>
  <c r="M62" i="1"/>
  <c r="M594" i="1"/>
  <c r="AW594" i="1"/>
  <c r="AX819" i="1"/>
  <c r="M555" i="1"/>
  <c r="AW555" i="1"/>
  <c r="BD688" i="1"/>
  <c r="AX688" i="1"/>
  <c r="AX484" i="1"/>
  <c r="AX665" i="1"/>
  <c r="AV568" i="1"/>
  <c r="AX39" i="1"/>
  <c r="BB264" i="1"/>
  <c r="BD363" i="1"/>
  <c r="L488" i="1"/>
  <c r="AW488" i="1"/>
  <c r="K277" i="1"/>
  <c r="M605" i="1"/>
  <c r="AW605" i="1"/>
  <c r="AR794" i="1"/>
  <c r="AR749" i="1"/>
  <c r="AV749" i="1"/>
  <c r="AV546" i="1"/>
  <c r="AV657" i="1"/>
  <c r="AV495" i="1"/>
  <c r="AV560" i="1"/>
  <c r="L775" i="1"/>
  <c r="AW775" i="1"/>
  <c r="M598" i="1"/>
  <c r="AW598" i="1"/>
  <c r="M39" i="1"/>
  <c r="BD586" i="1"/>
  <c r="AX586" i="1"/>
  <c r="AR803" i="1"/>
  <c r="AV803" i="1"/>
  <c r="AS726" i="1"/>
  <c r="AW726" i="1"/>
  <c r="AU775" i="1"/>
  <c r="AX775" i="1"/>
  <c r="AX764" i="1"/>
  <c r="AU6" i="1"/>
  <c r="AU237" i="1"/>
  <c r="AV666" i="1"/>
  <c r="BD277" i="1"/>
  <c r="AU363" i="1"/>
  <c r="AR490" i="1"/>
  <c r="K430" i="1"/>
  <c r="AR783" i="1"/>
  <c r="AV783" i="1"/>
  <c r="AX680" i="1"/>
  <c r="AX592" i="1"/>
  <c r="AX489" i="1"/>
  <c r="AV586" i="1"/>
  <c r="AR726" i="1"/>
  <c r="AV726" i="1"/>
  <c r="L580" i="1"/>
  <c r="AW580" i="1"/>
  <c r="L767" i="1"/>
  <c r="AW767" i="1"/>
  <c r="AT178" i="1"/>
  <c r="AX430" i="1"/>
  <c r="AU277" i="1"/>
  <c r="M468" i="1"/>
  <c r="AW468" i="1"/>
  <c r="M610" i="1"/>
  <c r="AW610" i="1"/>
  <c r="L116" i="1"/>
  <c r="AR802" i="1"/>
  <c r="K652" i="1"/>
  <c r="L585" i="1"/>
  <c r="AW585" i="1"/>
  <c r="AV580" i="1"/>
  <c r="AX580" i="1"/>
  <c r="M473" i="1"/>
  <c r="AW473" i="1"/>
  <c r="K736" i="1"/>
  <c r="AV736" i="1"/>
  <c r="M608" i="1"/>
  <c r="AW608" i="1"/>
  <c r="AX229" i="1"/>
  <c r="M630" i="1"/>
  <c r="AX630" i="1"/>
  <c r="AX363" i="1"/>
  <c r="AW55" i="1"/>
  <c r="M586" i="1"/>
  <c r="AW586" i="1"/>
  <c r="BA642" i="1"/>
  <c r="K592" i="1"/>
  <c r="K586" i="1"/>
  <c r="AV642" i="1"/>
  <c r="AV552" i="1"/>
  <c r="AV516" i="1"/>
  <c r="AX495" i="1"/>
  <c r="M582" i="1"/>
  <c r="AW582" i="1"/>
  <c r="K555" i="1"/>
  <c r="AX555" i="1"/>
  <c r="L609" i="1"/>
  <c r="AW609" i="1"/>
  <c r="AX643" i="1"/>
  <c r="BA127" i="1"/>
  <c r="AV66" i="1"/>
  <c r="M603" i="1"/>
  <c r="AW603" i="1"/>
  <c r="AU749" i="1"/>
  <c r="AX749" i="1"/>
  <c r="M363" i="1"/>
  <c r="BB601" i="1"/>
  <c r="AW601" i="1"/>
  <c r="L162" i="1"/>
  <c r="L802" i="1"/>
  <c r="AR565" i="1"/>
  <c r="AV565" i="1"/>
  <c r="AV645" i="1"/>
  <c r="AX726" i="1"/>
  <c r="AX488" i="1"/>
  <c r="AX812" i="1"/>
  <c r="AX589" i="1"/>
  <c r="AV544" i="1"/>
  <c r="M623" i="1"/>
  <c r="AW623" i="1"/>
  <c r="L597" i="1"/>
  <c r="AW597" i="1"/>
  <c r="BB599" i="1"/>
  <c r="AW599" i="1"/>
  <c r="M581" i="1"/>
  <c r="AW581" i="1"/>
  <c r="AS264" i="1"/>
  <c r="M277" i="1"/>
  <c r="AR581" i="1"/>
  <c r="M596" i="1"/>
  <c r="AW596" i="1"/>
  <c r="L606" i="1"/>
  <c r="AW606" i="1"/>
  <c r="AX638" i="1"/>
  <c r="AV638" i="1"/>
  <c r="AV652" i="1"/>
  <c r="AU251" i="1"/>
  <c r="AU555" i="1"/>
  <c r="L91" i="1"/>
  <c r="BB11" i="1"/>
  <c r="AS11" i="1"/>
  <c r="AX56" i="1"/>
  <c r="M271" i="1"/>
  <c r="BB91" i="1"/>
  <c r="AU25" i="1"/>
  <c r="AU394" i="1"/>
  <c r="BB602" i="1"/>
  <c r="M162" i="1"/>
  <c r="AW57" i="1"/>
  <c r="AX394" i="1"/>
  <c r="L163" i="1"/>
  <c r="K271" i="1"/>
  <c r="AU68" i="1"/>
  <c r="AW99" i="1"/>
  <c r="AW109" i="1"/>
  <c r="BB129" i="1"/>
  <c r="AU238" i="1"/>
  <c r="AR657" i="1"/>
  <c r="AS604" i="1"/>
  <c r="BB609" i="1"/>
  <c r="AU441" i="1"/>
  <c r="BD243" i="1"/>
  <c r="AU638" i="1"/>
  <c r="BD25" i="1"/>
  <c r="AW437" i="1"/>
  <c r="G23" i="1"/>
  <c r="K23" i="1" s="1"/>
  <c r="I187" i="1"/>
  <c r="M187" i="1" s="1"/>
  <c r="AX22" i="1"/>
  <c r="BA111" i="1"/>
  <c r="AS109" i="1"/>
  <c r="BB203" i="1"/>
  <c r="AW265" i="1"/>
  <c r="BD382" i="1"/>
  <c r="M257" i="1"/>
  <c r="M638" i="1"/>
  <c r="BB299" i="1"/>
  <c r="L599" i="1"/>
  <c r="M25" i="1"/>
  <c r="AW34" i="1"/>
  <c r="BD257" i="1"/>
  <c r="M812" i="1"/>
  <c r="AR111" i="1"/>
  <c r="AR82" i="1"/>
  <c r="BB265" i="1"/>
  <c r="AX382" i="1"/>
  <c r="BB88" i="1"/>
  <c r="AX271" i="1"/>
  <c r="K484" i="1"/>
  <c r="L238" i="1"/>
  <c r="L803" i="1"/>
  <c r="BB238" i="1"/>
  <c r="AX225" i="1"/>
  <c r="BE38" i="1"/>
  <c r="AS200" i="1"/>
  <c r="K280" i="1"/>
  <c r="K803" i="1"/>
  <c r="BD64" i="1"/>
  <c r="AS137" i="1"/>
  <c r="AW200" i="1"/>
  <c r="AX435" i="1"/>
  <c r="AR736" i="1"/>
  <c r="K39" i="1"/>
  <c r="BB597" i="1"/>
  <c r="AU435" i="1"/>
  <c r="M435" i="1"/>
  <c r="BD225" i="1"/>
  <c r="BB435" i="1"/>
  <c r="AU64" i="1"/>
  <c r="M133" i="1"/>
  <c r="BD435" i="1"/>
  <c r="BD446" i="1"/>
  <c r="BB605" i="1"/>
  <c r="AX238" i="1"/>
  <c r="AU225" i="1"/>
  <c r="BF38" i="1"/>
  <c r="BC206" i="1"/>
  <c r="BD270" i="1"/>
  <c r="AW435" i="1"/>
  <c r="M652" i="1"/>
  <c r="L602" i="1"/>
  <c r="K580" i="1"/>
  <c r="AT206" i="1"/>
  <c r="BF65" i="1"/>
  <c r="AV111" i="1"/>
  <c r="AS97" i="1"/>
  <c r="AX257" i="1"/>
  <c r="L435" i="1"/>
  <c r="AX405" i="1"/>
  <c r="K405" i="1"/>
  <c r="AX64" i="1"/>
  <c r="M253" i="1"/>
  <c r="M280" i="1"/>
  <c r="AU62" i="1"/>
  <c r="BD405" i="1"/>
  <c r="AX270" i="1"/>
  <c r="BD652" i="1"/>
  <c r="BD62" i="1"/>
  <c r="K62" i="1"/>
  <c r="BD280" i="1"/>
  <c r="AS602" i="1"/>
  <c r="AS299" i="1"/>
  <c r="M438" i="1"/>
  <c r="AX438" i="1"/>
  <c r="K433" i="1"/>
  <c r="L726" i="1"/>
  <c r="K802" i="1"/>
  <c r="L166" i="1"/>
  <c r="L34" i="1"/>
  <c r="M599" i="1"/>
  <c r="L594" i="1"/>
  <c r="M369" i="1"/>
  <c r="M321" i="1"/>
  <c r="K251" i="1"/>
  <c r="AW36" i="1"/>
  <c r="AT98" i="1"/>
  <c r="BC90" i="1"/>
  <c r="AX251" i="1"/>
  <c r="AU369" i="1"/>
  <c r="AS599" i="1"/>
  <c r="K726" i="1"/>
  <c r="L736" i="1"/>
  <c r="L582" i="1"/>
  <c r="L596" i="1"/>
  <c r="M802" i="1"/>
  <c r="M249" i="1"/>
  <c r="AS437" i="1"/>
  <c r="I37" i="1"/>
  <c r="AW37" i="1" s="1"/>
  <c r="BB36" i="1"/>
  <c r="AW97" i="1"/>
  <c r="BE90" i="1"/>
  <c r="AR127" i="1"/>
  <c r="BF187" i="1"/>
  <c r="BB207" i="1"/>
  <c r="AU592" i="1"/>
  <c r="M516" i="1"/>
  <c r="AW148" i="1"/>
  <c r="AS595" i="1"/>
  <c r="M7" i="1"/>
  <c r="L60" i="1"/>
  <c r="L223" i="1"/>
  <c r="L595" i="1"/>
  <c r="K27" i="1"/>
  <c r="M43" i="1"/>
  <c r="AU516" i="1"/>
  <c r="AU56" i="1"/>
  <c r="AS36" i="1"/>
  <c r="AW446" i="1"/>
  <c r="BD27" i="1"/>
  <c r="K238" i="1"/>
  <c r="AX27" i="1"/>
  <c r="AW43" i="1"/>
  <c r="BD56" i="1"/>
  <c r="AU27" i="1"/>
  <c r="BD441" i="1"/>
  <c r="AU680" i="1"/>
  <c r="AR643" i="1"/>
  <c r="M97" i="1"/>
  <c r="L216" i="1"/>
  <c r="L516" i="1"/>
  <c r="M238" i="1"/>
  <c r="AX441" i="1"/>
  <c r="BC187" i="1"/>
  <c r="BB43" i="1"/>
  <c r="BB594" i="1"/>
  <c r="M56" i="1"/>
  <c r="BF35" i="1"/>
  <c r="AR376" i="1"/>
  <c r="K369" i="1"/>
  <c r="AS208" i="1"/>
  <c r="BD680" i="1"/>
  <c r="BD7" i="1"/>
  <c r="AS43" i="1"/>
  <c r="BD251" i="1"/>
  <c r="AU243" i="1"/>
  <c r="BD369" i="1"/>
  <c r="AR652" i="1"/>
  <c r="BA665" i="1"/>
  <c r="K630" i="1"/>
  <c r="L462" i="1"/>
  <c r="M819" i="1"/>
  <c r="BB109" i="1"/>
  <c r="AP218" i="1"/>
  <c r="AT187" i="1"/>
  <c r="AW91" i="1"/>
  <c r="AR446" i="1"/>
  <c r="AW434" i="1"/>
  <c r="BA645" i="1"/>
  <c r="AU446" i="1"/>
  <c r="AR66" i="1"/>
  <c r="L437" i="1"/>
  <c r="AV446" i="1"/>
  <c r="K243" i="1"/>
  <c r="K783" i="1"/>
  <c r="BA26" i="1"/>
  <c r="BB99" i="1"/>
  <c r="AU61" i="1"/>
  <c r="AS91" i="1"/>
  <c r="BB441" i="1"/>
  <c r="BD394" i="1"/>
  <c r="BB604" i="1"/>
  <c r="M243" i="1"/>
  <c r="AX239" i="1"/>
  <c r="BB430" i="1"/>
  <c r="M439" i="1"/>
  <c r="L237" i="1"/>
  <c r="L267" i="1"/>
  <c r="K568" i="1"/>
  <c r="L604" i="1"/>
  <c r="M265" i="1"/>
  <c r="AS129" i="1"/>
  <c r="M490" i="1"/>
  <c r="AS484" i="1"/>
  <c r="BB57" i="1"/>
  <c r="M129" i="1"/>
  <c r="AW88" i="1"/>
  <c r="BD61" i="1"/>
  <c r="AR26" i="1"/>
  <c r="BC128" i="1"/>
  <c r="BD433" i="1"/>
  <c r="AW41" i="1"/>
  <c r="AU665" i="1"/>
  <c r="AX433" i="1"/>
  <c r="AW69" i="1"/>
  <c r="AS313" i="1"/>
  <c r="L201" i="1"/>
  <c r="BB69" i="1"/>
  <c r="BB270" i="1"/>
  <c r="K688" i="1"/>
  <c r="L430" i="1"/>
  <c r="L129" i="1"/>
  <c r="BA110" i="1"/>
  <c r="BE98" i="1"/>
  <c r="BE128" i="1"/>
  <c r="AS216" i="1"/>
  <c r="AS270" i="1"/>
  <c r="AX220" i="1"/>
  <c r="M291" i="1"/>
  <c r="AS609" i="1"/>
  <c r="AT205" i="1"/>
  <c r="AV376" i="1"/>
  <c r="BF206" i="1"/>
  <c r="L438" i="1"/>
  <c r="L270" i="1"/>
  <c r="M109" i="1"/>
  <c r="L468" i="1"/>
  <c r="M688" i="1"/>
  <c r="L134" i="1"/>
  <c r="L452" i="1"/>
  <c r="L203" i="1"/>
  <c r="AX280" i="1"/>
  <c r="M220" i="1"/>
  <c r="AS601" i="1"/>
  <c r="M88" i="1"/>
  <c r="AW313" i="1"/>
  <c r="I128" i="1"/>
  <c r="AS128" i="1" s="1"/>
  <c r="BD665" i="1"/>
  <c r="L473" i="1"/>
  <c r="AU7" i="1"/>
  <c r="AS71" i="1"/>
  <c r="AS41" i="1"/>
  <c r="AW270" i="1"/>
  <c r="BD239" i="1"/>
  <c r="M242" i="1"/>
  <c r="M446" i="1"/>
  <c r="L400" i="1"/>
  <c r="L208" i="1"/>
  <c r="BB216" i="1"/>
  <c r="AU220" i="1"/>
  <c r="BB313" i="1"/>
  <c r="BB437" i="1"/>
  <c r="M657" i="1"/>
  <c r="AS34" i="1"/>
  <c r="M47" i="1"/>
  <c r="BD39" i="1"/>
  <c r="BF128" i="1"/>
  <c r="BB208" i="1"/>
  <c r="BD220" i="1"/>
  <c r="BD372" i="1"/>
  <c r="AX25" i="1"/>
  <c r="AS88" i="1"/>
  <c r="M394" i="1"/>
  <c r="K490" i="1"/>
  <c r="K270" i="1"/>
  <c r="M489" i="1"/>
  <c r="K638" i="1"/>
  <c r="K61" i="1"/>
  <c r="M726" i="1"/>
  <c r="M382" i="1"/>
  <c r="M372" i="1"/>
  <c r="M178" i="1"/>
  <c r="L178" i="1"/>
  <c r="BB242" i="1"/>
  <c r="AX291" i="1"/>
  <c r="AR791" i="1"/>
  <c r="K791" i="1"/>
  <c r="L791" i="1"/>
  <c r="BB439" i="1"/>
  <c r="AX372" i="1"/>
  <c r="AU372" i="1"/>
  <c r="AR665" i="1"/>
  <c r="AR11" i="1"/>
  <c r="L11" i="1"/>
  <c r="K11" i="1"/>
  <c r="AW382" i="1"/>
  <c r="AR784" i="1"/>
  <c r="K784" i="1"/>
  <c r="L784" i="1"/>
  <c r="AR753" i="1"/>
  <c r="K753" i="1"/>
  <c r="L753" i="1"/>
  <c r="L150" i="1"/>
  <c r="K242" i="1"/>
  <c r="K495" i="1"/>
  <c r="L232" i="1"/>
  <c r="L113" i="1"/>
  <c r="AS606" i="1"/>
  <c r="M606" i="1"/>
  <c r="BB606" i="1"/>
  <c r="AR764" i="1"/>
  <c r="K764" i="1"/>
  <c r="L764" i="1"/>
  <c r="BB148" i="1"/>
  <c r="M148" i="1"/>
  <c r="L124" i="1"/>
  <c r="K124" i="1"/>
  <c r="M95" i="1"/>
  <c r="L95" i="1"/>
  <c r="K273" i="1"/>
  <c r="AS589" i="1"/>
  <c r="M589" i="1"/>
  <c r="M48" i="1"/>
  <c r="L48" i="1"/>
  <c r="M778" i="1"/>
  <c r="L778" i="1"/>
  <c r="AS778" i="1"/>
  <c r="AS394" i="1"/>
  <c r="BB434" i="1"/>
  <c r="M434" i="1"/>
  <c r="K657" i="1"/>
  <c r="L439" i="1"/>
  <c r="BC35" i="1"/>
  <c r="K76" i="1"/>
  <c r="L76" i="1"/>
  <c r="M149" i="1"/>
  <c r="L149" i="1"/>
  <c r="M196" i="1"/>
  <c r="L196" i="1"/>
  <c r="L239" i="1"/>
  <c r="M239" i="1"/>
  <c r="AS242" i="1"/>
  <c r="K812" i="1"/>
  <c r="L812" i="1"/>
  <c r="AS439" i="1"/>
  <c r="K110" i="1"/>
  <c r="L110" i="1"/>
  <c r="M495" i="1"/>
  <c r="L495" i="1"/>
  <c r="BA680" i="1"/>
  <c r="K680" i="1"/>
  <c r="L680" i="1"/>
  <c r="L253" i="1"/>
  <c r="BB76" i="1"/>
  <c r="M76" i="1"/>
  <c r="L242" i="1"/>
  <c r="L394" i="1"/>
  <c r="BA678" i="1"/>
  <c r="K678" i="1"/>
  <c r="L678" i="1"/>
  <c r="L228" i="1"/>
  <c r="AS111" i="1"/>
  <c r="M111" i="1"/>
  <c r="L161" i="1"/>
  <c r="M177" i="1"/>
  <c r="L177" i="1"/>
  <c r="K439" i="1"/>
  <c r="L434" i="1"/>
  <c r="M21" i="1"/>
  <c r="L21" i="1"/>
  <c r="M19" i="1"/>
  <c r="BA77" i="1"/>
  <c r="AX68" i="1"/>
  <c r="BB55" i="1"/>
  <c r="K89" i="1"/>
  <c r="L89" i="1"/>
  <c r="K126" i="1"/>
  <c r="L126" i="1"/>
  <c r="M132" i="1"/>
  <c r="L132" i="1"/>
  <c r="AS203" i="1"/>
  <c r="M225" i="1"/>
  <c r="L225" i="1"/>
  <c r="K22" i="1"/>
  <c r="L22" i="1"/>
  <c r="AW11" i="1"/>
  <c r="AS55" i="1"/>
  <c r="M86" i="1"/>
  <c r="L86" i="1"/>
  <c r="AX70" i="1"/>
  <c r="I98" i="1"/>
  <c r="BB98" i="1" s="1"/>
  <c r="I35" i="1"/>
  <c r="AW35" i="1" s="1"/>
  <c r="M202" i="1"/>
  <c r="L202" i="1"/>
  <c r="AX244" i="1"/>
  <c r="AV394" i="1"/>
  <c r="BB34" i="1"/>
  <c r="M34" i="1"/>
  <c r="M84" i="1"/>
  <c r="AV127" i="1"/>
  <c r="K127" i="1"/>
  <c r="L127" i="1"/>
  <c r="AS783" i="1"/>
  <c r="M783" i="1"/>
  <c r="M488" i="1"/>
  <c r="K239" i="1"/>
  <c r="L243" i="1"/>
  <c r="L440" i="1"/>
  <c r="K236" i="1"/>
  <c r="L555" i="1"/>
  <c r="L598" i="1"/>
  <c r="L589" i="1"/>
  <c r="L586" i="1"/>
  <c r="L39" i="1"/>
  <c r="L214" i="1"/>
  <c r="M116" i="1"/>
  <c r="AS116" i="1"/>
  <c r="L584" i="1"/>
  <c r="AS749" i="1"/>
  <c r="M749" i="1"/>
  <c r="L749" i="1"/>
  <c r="L140" i="1"/>
  <c r="K84" i="1"/>
  <c r="L84" i="1"/>
  <c r="M175" i="1"/>
  <c r="L175" i="1"/>
  <c r="K57" i="1"/>
  <c r="L57" i="1"/>
  <c r="BA82" i="1"/>
  <c r="K82" i="1"/>
  <c r="L82" i="1"/>
  <c r="M585" i="1"/>
  <c r="K43" i="1"/>
  <c r="L43" i="1"/>
  <c r="M169" i="1"/>
  <c r="L169" i="1"/>
  <c r="AW439" i="1"/>
  <c r="M85" i="1"/>
  <c r="L85" i="1"/>
  <c r="BD70" i="1"/>
  <c r="K69" i="1"/>
  <c r="L69" i="1"/>
  <c r="AS766" i="1"/>
  <c r="M766" i="1"/>
  <c r="K488" i="1"/>
  <c r="M167" i="1"/>
  <c r="L167" i="1"/>
  <c r="AS585" i="1"/>
  <c r="M165" i="1"/>
  <c r="L165" i="1"/>
  <c r="AS580" i="1"/>
  <c r="M580" i="1"/>
  <c r="M137" i="1"/>
  <c r="L137" i="1"/>
  <c r="AS163" i="1"/>
  <c r="M163" i="1"/>
  <c r="L277" i="1"/>
  <c r="L47" i="1"/>
  <c r="K817" i="1"/>
  <c r="L817" i="1"/>
  <c r="L249" i="1"/>
  <c r="AX36" i="1"/>
  <c r="K36" i="1"/>
  <c r="L75" i="1"/>
  <c r="M75" i="1"/>
  <c r="AS76" i="1"/>
  <c r="L68" i="1"/>
  <c r="M68" i="1"/>
  <c r="AT90" i="1"/>
  <c r="AW137" i="1"/>
  <c r="AR69" i="1"/>
  <c r="K109" i="1"/>
  <c r="L109" i="1"/>
  <c r="M81" i="1"/>
  <c r="K81" i="1"/>
  <c r="M154" i="1"/>
  <c r="L154" i="1"/>
  <c r="K130" i="1"/>
  <c r="M155" i="1"/>
  <c r="L155" i="1"/>
  <c r="M188" i="1"/>
  <c r="L188" i="1"/>
  <c r="BB177" i="1"/>
  <c r="AU244" i="1"/>
  <c r="K666" i="1"/>
  <c r="L666" i="1"/>
  <c r="BB585" i="1"/>
  <c r="BD657" i="1"/>
  <c r="M36" i="1"/>
  <c r="L36" i="1"/>
  <c r="L103" i="1"/>
  <c r="M103" i="1"/>
  <c r="AR819" i="1"/>
  <c r="K819" i="1"/>
  <c r="L819" i="1"/>
  <c r="M569" i="1"/>
  <c r="L569" i="1"/>
  <c r="K749" i="1"/>
  <c r="L133" i="1"/>
  <c r="L72" i="1"/>
  <c r="L605" i="1"/>
  <c r="K47" i="1"/>
  <c r="L138" i="1"/>
  <c r="K291" i="1"/>
  <c r="L172" i="1"/>
  <c r="L313" i="1"/>
  <c r="L581" i="1"/>
  <c r="M609" i="1"/>
  <c r="AW144" i="1"/>
  <c r="M144" i="1"/>
  <c r="L144" i="1"/>
  <c r="AW192" i="1"/>
  <c r="M192" i="1"/>
  <c r="BB192" i="1"/>
  <c r="L192" i="1"/>
  <c r="AS768" i="1"/>
  <c r="M768" i="1"/>
  <c r="M27" i="1"/>
  <c r="L27" i="1"/>
  <c r="K131" i="1"/>
  <c r="L131" i="1"/>
  <c r="L768" i="1"/>
  <c r="L271" i="1"/>
  <c r="K83" i="1"/>
  <c r="L83" i="1"/>
  <c r="K18" i="1"/>
  <c r="L18" i="1"/>
  <c r="AT35" i="1"/>
  <c r="M145" i="1"/>
  <c r="L145" i="1"/>
  <c r="AW242" i="1"/>
  <c r="M54" i="1"/>
  <c r="L54" i="1"/>
  <c r="L41" i="1"/>
  <c r="M41" i="1"/>
  <c r="K42" i="1"/>
  <c r="L42" i="1"/>
  <c r="AS50" i="1"/>
  <c r="M50" i="1"/>
  <c r="L50" i="1"/>
  <c r="AS769" i="1"/>
  <c r="M769" i="1"/>
  <c r="L382" i="1"/>
  <c r="AR792" i="1"/>
  <c r="K792" i="1"/>
  <c r="L792" i="1"/>
  <c r="M33" i="1"/>
  <c r="L33" i="1"/>
  <c r="BA69" i="1"/>
  <c r="BB394" i="1"/>
  <c r="AW50" i="1"/>
  <c r="K119" i="1"/>
  <c r="L119" i="1"/>
  <c r="BF135" i="1"/>
  <c r="I90" i="1"/>
  <c r="K173" i="1"/>
  <c r="L173" i="1"/>
  <c r="AW394" i="1"/>
  <c r="AR788" i="1"/>
  <c r="K788" i="1"/>
  <c r="L788" i="1"/>
  <c r="K19" i="1"/>
  <c r="L19" i="1"/>
  <c r="AX252" i="1"/>
  <c r="K252" i="1"/>
  <c r="M252" i="1"/>
  <c r="M215" i="1"/>
  <c r="L215" i="1"/>
  <c r="M57" i="1"/>
  <c r="L56" i="1"/>
  <c r="L222" i="1"/>
  <c r="M484" i="1"/>
  <c r="L608" i="1"/>
  <c r="AV106" i="1"/>
  <c r="K106" i="1"/>
  <c r="BA106" i="1"/>
  <c r="L106" i="1"/>
  <c r="M264" i="1"/>
  <c r="AW264" i="1"/>
  <c r="L278" i="1"/>
  <c r="K643" i="1"/>
  <c r="L291" i="1"/>
  <c r="K489" i="1"/>
  <c r="AS775" i="1"/>
  <c r="M775" i="1"/>
  <c r="BF58" i="1"/>
  <c r="AV82" i="1"/>
  <c r="M102" i="1"/>
  <c r="L102" i="1"/>
  <c r="K96" i="1"/>
  <c r="L96" i="1"/>
  <c r="M61" i="1"/>
  <c r="BB137" i="1"/>
  <c r="AS215" i="1"/>
  <c r="I206" i="1"/>
  <c r="M244" i="1"/>
  <c r="L244" i="1"/>
  <c r="BB589" i="1"/>
  <c r="M70" i="1"/>
  <c r="L70" i="1"/>
  <c r="AX7" i="1"/>
  <c r="K26" i="1"/>
  <c r="L26" i="1"/>
  <c r="AW163" i="1"/>
  <c r="AS175" i="1"/>
  <c r="AS209" i="1"/>
  <c r="M209" i="1"/>
  <c r="L209" i="1"/>
  <c r="AU433" i="1"/>
  <c r="M235" i="1"/>
  <c r="L235" i="1"/>
  <c r="M568" i="1"/>
  <c r="L99" i="1"/>
  <c r="L490" i="1"/>
  <c r="L321" i="1"/>
  <c r="M601" i="1"/>
  <c r="L601" i="1"/>
  <c r="K111" i="1"/>
  <c r="L111" i="1"/>
  <c r="K244" i="1"/>
  <c r="L180" i="1"/>
  <c r="L405" i="1"/>
  <c r="AS764" i="1"/>
  <c r="M764" i="1"/>
  <c r="BB595" i="1"/>
  <c r="M595" i="1"/>
  <c r="L623" i="1"/>
  <c r="M299" i="1"/>
  <c r="AW299" i="1"/>
  <c r="L191" i="1"/>
  <c r="M251" i="1"/>
  <c r="M597" i="1"/>
  <c r="AS597" i="1"/>
  <c r="M784" i="1"/>
  <c r="L446" i="1"/>
  <c r="M273" i="1"/>
  <c r="M231" i="1"/>
  <c r="L231" i="1"/>
  <c r="K97" i="1"/>
  <c r="L97" i="1"/>
  <c r="BB175" i="1"/>
  <c r="AW175" i="1"/>
  <c r="AR789" i="1"/>
  <c r="K789" i="1"/>
  <c r="L789" i="1"/>
  <c r="AR638" i="1"/>
  <c r="K77" i="1"/>
  <c r="L77" i="1"/>
  <c r="AW48" i="1"/>
  <c r="K665" i="1"/>
  <c r="L665" i="1"/>
  <c r="AR394" i="1"/>
  <c r="M441" i="1"/>
  <c r="L441" i="1"/>
  <c r="M55" i="1"/>
  <c r="L610" i="1"/>
  <c r="L193" i="1"/>
  <c r="K589" i="1"/>
  <c r="L64" i="1"/>
  <c r="M64" i="1"/>
  <c r="AS64" i="1"/>
  <c r="AW64" i="1"/>
  <c r="M430" i="1"/>
  <c r="AS430" i="1"/>
  <c r="AX6" i="1"/>
  <c r="AZ47" i="1"/>
  <c r="L53" i="1"/>
  <c r="K53" i="1"/>
  <c r="M67" i="1"/>
  <c r="K67" i="1"/>
  <c r="L67" i="1"/>
  <c r="K118" i="1"/>
  <c r="L118" i="1"/>
  <c r="BB41" i="1"/>
  <c r="AZ237" i="1"/>
  <c r="AS441" i="1"/>
  <c r="AS495" i="1"/>
  <c r="L319" i="1"/>
  <c r="M319" i="1"/>
  <c r="AS605" i="1"/>
  <c r="AS48" i="1"/>
  <c r="BB111" i="1"/>
  <c r="BB204" i="1"/>
  <c r="L204" i="1"/>
  <c r="M204" i="1"/>
  <c r="BD321" i="1"/>
  <c r="K321" i="1"/>
  <c r="M207" i="1"/>
  <c r="L207" i="1"/>
  <c r="L603" i="1"/>
  <c r="K70" i="1"/>
  <c r="L280" i="1"/>
  <c r="M270" i="1"/>
  <c r="AS767" i="1"/>
  <c r="M767" i="1"/>
  <c r="L568" i="1"/>
  <c r="L783" i="1"/>
  <c r="L769" i="1"/>
  <c r="L766" i="1"/>
  <c r="AW216" i="1"/>
  <c r="M216" i="1"/>
  <c r="L484" i="1"/>
  <c r="L168" i="1"/>
  <c r="K446" i="1"/>
  <c r="BB144" i="1"/>
  <c r="BC178" i="1"/>
  <c r="AX439" i="1"/>
  <c r="AS490" i="1"/>
  <c r="AS144" i="1"/>
  <c r="AS99" i="1"/>
  <c r="BB623" i="1"/>
  <c r="AS623" i="1"/>
  <c r="BB405" i="1"/>
  <c r="AS405" i="1"/>
  <c r="AW405" i="1"/>
  <c r="AS568" i="1"/>
  <c r="AW54" i="1"/>
  <c r="AW209" i="1"/>
  <c r="AP215" i="1"/>
  <c r="AU273" i="1"/>
  <c r="AX273" i="1"/>
  <c r="AV19" i="1"/>
  <c r="BA19" i="1"/>
  <c r="BB150" i="1"/>
  <c r="AW150" i="1"/>
  <c r="AS150" i="1"/>
  <c r="AR110" i="1"/>
  <c r="AV110" i="1"/>
  <c r="BB232" i="1"/>
  <c r="AW232" i="1"/>
  <c r="AS232" i="1"/>
  <c r="AW203" i="1"/>
  <c r="AW235" i="1"/>
  <c r="BB235" i="1"/>
  <c r="AS235" i="1"/>
  <c r="BB50" i="1"/>
  <c r="AU589" i="1"/>
  <c r="AS69" i="1"/>
  <c r="AX83" i="1"/>
  <c r="AU83" i="1"/>
  <c r="BD83" i="1"/>
  <c r="BF130" i="1"/>
  <c r="BB138" i="1"/>
  <c r="AS138" i="1"/>
  <c r="AW138" i="1"/>
  <c r="AW207" i="1"/>
  <c r="AV11" i="1"/>
  <c r="BA11" i="1"/>
  <c r="BF177" i="1"/>
  <c r="G587" i="1"/>
  <c r="AZ49" i="1"/>
  <c r="AS569" i="1"/>
  <c r="AS204" i="1"/>
  <c r="AW231" i="1"/>
  <c r="BB231" i="1"/>
  <c r="AS231" i="1"/>
  <c r="BB209" i="1"/>
  <c r="AU19" i="1"/>
  <c r="AX19" i="1"/>
  <c r="BD19" i="1"/>
  <c r="BD68" i="1"/>
  <c r="BB215" i="1"/>
  <c r="BB103" i="1"/>
  <c r="AW103" i="1"/>
  <c r="BF31" i="1"/>
  <c r="BF107" i="1"/>
  <c r="AU252" i="1"/>
  <c r="AX321" i="1"/>
  <c r="BB95" i="1"/>
  <c r="AS95" i="1"/>
  <c r="AW208" i="1"/>
  <c r="BB598" i="1"/>
  <c r="AS598" i="1"/>
  <c r="BF30" i="1"/>
  <c r="BB54" i="1"/>
  <c r="BF185" i="1"/>
  <c r="I205" i="1"/>
  <c r="AS205" i="1" s="1"/>
  <c r="AW204" i="1"/>
  <c r="BD291" i="1"/>
  <c r="AV77" i="1"/>
  <c r="AW56" i="1"/>
  <c r="BB56" i="1"/>
  <c r="AS488" i="1"/>
  <c r="I130" i="1"/>
  <c r="M130" i="1" s="1"/>
  <c r="BC130" i="1"/>
  <c r="BE130" i="1"/>
  <c r="AT130" i="1"/>
  <c r="BF32" i="1"/>
  <c r="AS54" i="1"/>
  <c r="BF171" i="1"/>
  <c r="BF205" i="1"/>
  <c r="BE205" i="1"/>
  <c r="BF184" i="1"/>
  <c r="BD252" i="1"/>
  <c r="AU321" i="1"/>
  <c r="BC98" i="1"/>
  <c r="AZ57" i="1"/>
  <c r="AV26" i="1"/>
  <c r="BB165" i="1"/>
  <c r="AS165" i="1"/>
  <c r="AW165" i="1"/>
  <c r="BF178" i="1"/>
  <c r="AU47" i="1"/>
  <c r="BD47" i="1"/>
  <c r="AT37" i="1"/>
  <c r="BC37" i="1"/>
  <c r="AS70" i="1"/>
  <c r="AW70" i="1"/>
  <c r="BB71" i="1"/>
  <c r="AW71" i="1"/>
  <c r="BF37" i="1"/>
  <c r="AW243" i="1"/>
  <c r="BE59" i="1"/>
  <c r="AT59" i="1"/>
  <c r="I59" i="1"/>
  <c r="BC59" i="1"/>
  <c r="BF59" i="1"/>
  <c r="AW167" i="1"/>
  <c r="BB167" i="1"/>
  <c r="AS167" i="1"/>
  <c r="AU249" i="1"/>
  <c r="BD249" i="1"/>
  <c r="BD236" i="1"/>
  <c r="AU236" i="1"/>
  <c r="AX236" i="1"/>
  <c r="BE30" i="1"/>
  <c r="AT30" i="1"/>
  <c r="BC30" i="1"/>
  <c r="I30" i="1"/>
  <c r="BF176" i="1"/>
  <c r="AS191" i="1"/>
  <c r="BB191" i="1"/>
  <c r="AW191" i="1"/>
  <c r="AS586" i="1"/>
  <c r="BB586" i="1"/>
  <c r="BB400" i="1"/>
  <c r="AS400" i="1"/>
  <c r="AW400" i="1"/>
  <c r="BB21" i="1"/>
  <c r="AS21" i="1"/>
  <c r="AW21" i="1"/>
  <c r="BE31" i="1"/>
  <c r="AT31" i="1"/>
  <c r="BC31" i="1"/>
  <c r="I31" i="1"/>
  <c r="BE65" i="1"/>
  <c r="AD66" i="1"/>
  <c r="BC65" i="1"/>
  <c r="AT65" i="1"/>
  <c r="I65" i="1"/>
  <c r="AW85" i="1"/>
  <c r="BB85" i="1"/>
  <c r="AS85" i="1"/>
  <c r="AW110" i="1"/>
  <c r="BB110" i="1"/>
  <c r="AS110" i="1"/>
  <c r="BB131" i="1"/>
  <c r="AW131" i="1"/>
  <c r="AS131" i="1"/>
  <c r="AR119" i="1"/>
  <c r="BA119" i="1"/>
  <c r="AV119" i="1"/>
  <c r="AW68" i="1"/>
  <c r="BB68" i="1"/>
  <c r="AS68" i="1"/>
  <c r="BB106" i="1"/>
  <c r="AS106" i="1"/>
  <c r="AW106" i="1"/>
  <c r="AV97" i="1"/>
  <c r="BA97" i="1"/>
  <c r="AR97" i="1"/>
  <c r="BA173" i="1"/>
  <c r="AR173" i="1"/>
  <c r="AV173" i="1"/>
  <c r="BE186" i="1"/>
  <c r="AT186" i="1"/>
  <c r="I186" i="1"/>
  <c r="BC186" i="1"/>
  <c r="AT177" i="1"/>
  <c r="BB253" i="1"/>
  <c r="AS253" i="1"/>
  <c r="AW253" i="1"/>
  <c r="AS187" i="1"/>
  <c r="BB440" i="1"/>
  <c r="AW440" i="1"/>
  <c r="AS440" i="1"/>
  <c r="AW169" i="1"/>
  <c r="BB169" i="1"/>
  <c r="AS169" i="1"/>
  <c r="AU630" i="1"/>
  <c r="BD630" i="1"/>
  <c r="AS610" i="1"/>
  <c r="BB610" i="1"/>
  <c r="BB67" i="1"/>
  <c r="AW67" i="1"/>
  <c r="AS67" i="1"/>
  <c r="AT117" i="1"/>
  <c r="I117" i="1"/>
  <c r="BE117" i="1"/>
  <c r="BC117" i="1"/>
  <c r="AS132" i="1"/>
  <c r="AW132" i="1"/>
  <c r="BB132" i="1"/>
  <c r="I170" i="1"/>
  <c r="BC170" i="1"/>
  <c r="AT170" i="1"/>
  <c r="BE170" i="1"/>
  <c r="AS555" i="1"/>
  <c r="BB277" i="1"/>
  <c r="AW277" i="1"/>
  <c r="AS277" i="1"/>
  <c r="AU36" i="1"/>
  <c r="BD36" i="1"/>
  <c r="BE32" i="1"/>
  <c r="I32" i="1"/>
  <c r="BC32" i="1"/>
  <c r="AT32" i="1"/>
  <c r="BB75" i="1"/>
  <c r="AS75" i="1"/>
  <c r="AW75" i="1"/>
  <c r="AV76" i="1"/>
  <c r="AR76" i="1"/>
  <c r="BA76" i="1"/>
  <c r="AS118" i="1"/>
  <c r="BB118" i="1"/>
  <c r="AW118" i="1"/>
  <c r="AR124" i="1"/>
  <c r="BA124" i="1"/>
  <c r="AV124" i="1"/>
  <c r="BF117" i="1"/>
  <c r="AS166" i="1"/>
  <c r="AW166" i="1"/>
  <c r="BB166" i="1"/>
  <c r="BC177" i="1"/>
  <c r="AS133" i="1"/>
  <c r="AW133" i="1"/>
  <c r="BB133" i="1"/>
  <c r="AS321" i="1"/>
  <c r="AW321" i="1"/>
  <c r="BB321" i="1"/>
  <c r="AW177" i="1"/>
  <c r="AR666" i="1"/>
  <c r="BA666" i="1"/>
  <c r="AS596" i="1"/>
  <c r="BB596" i="1"/>
  <c r="BC44" i="1"/>
  <c r="BE44" i="1"/>
  <c r="AT44" i="1"/>
  <c r="I44" i="1"/>
  <c r="I92" i="1"/>
  <c r="AD93" i="1"/>
  <c r="BE92" i="1"/>
  <c r="BC92" i="1"/>
  <c r="AT92" i="1"/>
  <c r="AT112" i="1"/>
  <c r="BE112" i="1"/>
  <c r="BF112" i="1"/>
  <c r="BC112" i="1"/>
  <c r="I112" i="1"/>
  <c r="AT182" i="1"/>
  <c r="BC182" i="1"/>
  <c r="BE182" i="1"/>
  <c r="I182" i="1"/>
  <c r="AS462" i="1"/>
  <c r="BB462" i="1"/>
  <c r="AW462" i="1"/>
  <c r="BB468" i="1"/>
  <c r="AS468" i="1"/>
  <c r="BB18" i="1"/>
  <c r="AS18" i="1"/>
  <c r="AW18" i="1"/>
  <c r="AW149" i="1"/>
  <c r="AS149" i="1"/>
  <c r="BB149" i="1"/>
  <c r="BF195" i="1"/>
  <c r="AS19" i="1"/>
  <c r="BB19" i="1"/>
  <c r="AW19" i="1"/>
  <c r="AS72" i="1"/>
  <c r="AW72" i="1"/>
  <c r="BB72" i="1"/>
  <c r="AW27" i="1"/>
  <c r="AS27" i="1"/>
  <c r="BB27" i="1"/>
  <c r="BE58" i="1"/>
  <c r="AT58" i="1"/>
  <c r="BC58" i="1"/>
  <c r="I58" i="1"/>
  <c r="BB86" i="1"/>
  <c r="AS86" i="1"/>
  <c r="AW86" i="1"/>
  <c r="BA109" i="1"/>
  <c r="AR109" i="1"/>
  <c r="AV109" i="1"/>
  <c r="BA131" i="1"/>
  <c r="AV131" i="1"/>
  <c r="AR131" i="1"/>
  <c r="AV130" i="1"/>
  <c r="AR130" i="1"/>
  <c r="BA130" i="1"/>
  <c r="BF170" i="1"/>
  <c r="AW193" i="1"/>
  <c r="AS193" i="1"/>
  <c r="BB193" i="1"/>
  <c r="AT135" i="1"/>
  <c r="I135" i="1"/>
  <c r="BC135" i="1"/>
  <c r="AD136" i="1"/>
  <c r="BE135" i="1"/>
  <c r="BE177" i="1"/>
  <c r="AW196" i="1"/>
  <c r="BB196" i="1"/>
  <c r="AS196" i="1"/>
  <c r="AS223" i="1"/>
  <c r="BB223" i="1"/>
  <c r="AW223" i="1"/>
  <c r="BB244" i="1"/>
  <c r="AW244" i="1"/>
  <c r="AS244" i="1"/>
  <c r="AS278" i="1"/>
  <c r="BB278" i="1"/>
  <c r="AW278" i="1"/>
  <c r="AS177" i="1"/>
  <c r="BA43" i="1"/>
  <c r="AR43" i="1"/>
  <c r="AV43" i="1"/>
  <c r="AS180" i="1"/>
  <c r="BB180" i="1"/>
  <c r="AW180" i="1"/>
  <c r="AS271" i="1"/>
  <c r="AW271" i="1"/>
  <c r="BB82" i="1"/>
  <c r="AS82" i="1"/>
  <c r="AW82" i="1"/>
  <c r="AS102" i="1"/>
  <c r="BB102" i="1"/>
  <c r="AW102" i="1"/>
  <c r="BE87" i="1"/>
  <c r="AT87" i="1"/>
  <c r="BC87" i="1"/>
  <c r="I87" i="1"/>
  <c r="BA57" i="1"/>
  <c r="AV57" i="1"/>
  <c r="AR57" i="1"/>
  <c r="AR89" i="1"/>
  <c r="AV89" i="1"/>
  <c r="BA89" i="1"/>
  <c r="AX81" i="1"/>
  <c r="BD81" i="1"/>
  <c r="AU81" i="1"/>
  <c r="BE183" i="1"/>
  <c r="I183" i="1"/>
  <c r="BC183" i="1"/>
  <c r="AT183" i="1"/>
  <c r="BD242" i="1"/>
  <c r="AU242" i="1"/>
  <c r="AR53" i="1"/>
  <c r="AV53" i="1"/>
  <c r="AW83" i="1"/>
  <c r="BB83" i="1"/>
  <c r="AS83" i="1"/>
  <c r="BE28" i="1"/>
  <c r="BC28" i="1"/>
  <c r="I28" i="1"/>
  <c r="AT28" i="1"/>
  <c r="BF28" i="1"/>
  <c r="AR83" i="1"/>
  <c r="BA83" i="1"/>
  <c r="AV83" i="1"/>
  <c r="BA96" i="1"/>
  <c r="AV96" i="1"/>
  <c r="AR96" i="1"/>
  <c r="AS61" i="1"/>
  <c r="AW61" i="1"/>
  <c r="BB61" i="1"/>
  <c r="AS172" i="1"/>
  <c r="AW172" i="1"/>
  <c r="BB172" i="1"/>
  <c r="BF186" i="1"/>
  <c r="AS134" i="1"/>
  <c r="AW134" i="1"/>
  <c r="BB134" i="1"/>
  <c r="AP220" i="1"/>
  <c r="BF220" i="1" s="1"/>
  <c r="AP221" i="1"/>
  <c r="BF221" i="1" s="1"/>
  <c r="AP217" i="1"/>
  <c r="BF217" i="1" s="1"/>
  <c r="BF182" i="1"/>
  <c r="BB239" i="1"/>
  <c r="AW239" i="1"/>
  <c r="AS239" i="1"/>
  <c r="AX242" i="1"/>
  <c r="AS582" i="1"/>
  <c r="BB582" i="1"/>
  <c r="AS608" i="1"/>
  <c r="BB608" i="1"/>
  <c r="AV126" i="1"/>
  <c r="AR126" i="1"/>
  <c r="BA126" i="1"/>
  <c r="BB237" i="1"/>
  <c r="AW237" i="1"/>
  <c r="AS237" i="1"/>
  <c r="BF179" i="1"/>
  <c r="AZ291" i="1"/>
  <c r="BB280" i="1"/>
  <c r="AW280" i="1"/>
  <c r="AS280" i="1"/>
  <c r="AS603" i="1"/>
  <c r="BB603" i="1"/>
  <c r="I23" i="1"/>
  <c r="AT23" i="1"/>
  <c r="BC23" i="1"/>
  <c r="AD24" i="1"/>
  <c r="BE23" i="1"/>
  <c r="AZ33" i="1"/>
  <c r="AR67" i="1"/>
  <c r="BA67" i="1"/>
  <c r="AV67" i="1"/>
  <c r="BF23" i="1"/>
  <c r="BF87" i="1"/>
  <c r="AD105" i="1"/>
  <c r="AT104" i="1"/>
  <c r="BE104" i="1"/>
  <c r="BC104" i="1"/>
  <c r="I104" i="1"/>
  <c r="AZ60" i="1"/>
  <c r="AW161" i="1"/>
  <c r="AS161" i="1"/>
  <c r="BB161" i="1"/>
  <c r="AS202" i="1"/>
  <c r="BB202" i="1"/>
  <c r="AW202" i="1"/>
  <c r="AU253" i="1"/>
  <c r="BD253" i="1"/>
  <c r="AX253" i="1"/>
  <c r="AW225" i="1"/>
  <c r="AS225" i="1"/>
  <c r="BB225" i="1"/>
  <c r="BB249" i="1"/>
  <c r="AW249" i="1"/>
  <c r="AS249" i="1"/>
  <c r="BF183" i="1"/>
  <c r="BB267" i="1"/>
  <c r="AW267" i="1"/>
  <c r="AS267" i="1"/>
  <c r="BB452" i="1"/>
  <c r="AS452" i="1"/>
  <c r="AW452" i="1"/>
  <c r="AS214" i="1"/>
  <c r="AW214" i="1"/>
  <c r="BB214" i="1"/>
  <c r="BD643" i="1"/>
  <c r="AU643" i="1"/>
  <c r="AS291" i="1"/>
  <c r="BB291" i="1"/>
  <c r="AW291" i="1"/>
  <c r="BB581" i="1"/>
  <c r="AS581" i="1"/>
  <c r="BB22" i="1"/>
  <c r="AW22" i="1"/>
  <c r="AS22" i="1"/>
  <c r="BC176" i="1"/>
  <c r="AT176" i="1"/>
  <c r="BE176" i="1"/>
  <c r="I176" i="1"/>
  <c r="I198" i="1"/>
  <c r="BE198" i="1"/>
  <c r="AD199" i="1"/>
  <c r="BC198" i="1"/>
  <c r="AT198" i="1"/>
  <c r="I29" i="1"/>
  <c r="BE29" i="1"/>
  <c r="BF29" i="1"/>
  <c r="AT29" i="1"/>
  <c r="BC29" i="1"/>
  <c r="AX133" i="1"/>
  <c r="BD133" i="1"/>
  <c r="AU133" i="1"/>
  <c r="AW228" i="1"/>
  <c r="BB228" i="1"/>
  <c r="AS228" i="1"/>
  <c r="BB584" i="1"/>
  <c r="AS584" i="1"/>
  <c r="BB438" i="1"/>
  <c r="AS438" i="1"/>
  <c r="AW438" i="1"/>
  <c r="AS516" i="1"/>
  <c r="BA22" i="1"/>
  <c r="AV22" i="1"/>
  <c r="AR22" i="1"/>
  <c r="AU67" i="1"/>
  <c r="BD67" i="1"/>
  <c r="AX67" i="1"/>
  <c r="BE107" i="1"/>
  <c r="AT107" i="1"/>
  <c r="BC107" i="1"/>
  <c r="I107" i="1"/>
  <c r="AD108" i="1"/>
  <c r="AS140" i="1"/>
  <c r="BB140" i="1"/>
  <c r="AW140" i="1"/>
  <c r="AW145" i="1"/>
  <c r="AS145" i="1"/>
  <c r="BB145" i="1"/>
  <c r="AS155" i="1"/>
  <c r="BB155" i="1"/>
  <c r="AW155" i="1"/>
  <c r="BE179" i="1"/>
  <c r="BC179" i="1"/>
  <c r="AT179" i="1"/>
  <c r="I179" i="1"/>
  <c r="AW168" i="1"/>
  <c r="BB168" i="1"/>
  <c r="AS168" i="1"/>
  <c r="BB188" i="1"/>
  <c r="AS188" i="1"/>
  <c r="AW188" i="1"/>
  <c r="AX249" i="1"/>
  <c r="BE178" i="1"/>
  <c r="BF44" i="1"/>
  <c r="BA118" i="1"/>
  <c r="AV118" i="1"/>
  <c r="AR118" i="1"/>
  <c r="BE189" i="1"/>
  <c r="I189" i="1"/>
  <c r="AD190" i="1"/>
  <c r="BF190" i="1" s="1"/>
  <c r="AT189" i="1"/>
  <c r="BC189" i="1"/>
  <c r="AW222" i="1"/>
  <c r="AS222" i="1"/>
  <c r="BB222" i="1"/>
  <c r="BA42" i="1"/>
  <c r="AR42" i="1"/>
  <c r="AV42" i="1"/>
  <c r="AS53" i="1"/>
  <c r="BB53" i="1"/>
  <c r="AW53" i="1"/>
  <c r="AS60" i="1"/>
  <c r="AW60" i="1"/>
  <c r="BB60" i="1"/>
  <c r="AS119" i="1"/>
  <c r="BB119" i="1"/>
  <c r="AW119" i="1"/>
  <c r="AT184" i="1"/>
  <c r="I184" i="1"/>
  <c r="BC184" i="1"/>
  <c r="BE184" i="1"/>
  <c r="AT195" i="1"/>
  <c r="I195" i="1"/>
  <c r="BC195" i="1"/>
  <c r="BE195" i="1"/>
  <c r="AT197" i="1"/>
  <c r="BC197" i="1"/>
  <c r="I197" i="1"/>
  <c r="BE197" i="1"/>
  <c r="BB39" i="1"/>
  <c r="AW39" i="1"/>
  <c r="AS39" i="1"/>
  <c r="BC100" i="1"/>
  <c r="AT100" i="1"/>
  <c r="I100" i="1"/>
  <c r="AD101" i="1"/>
  <c r="BE100" i="1"/>
  <c r="BF100" i="1"/>
  <c r="AS127" i="1"/>
  <c r="BB127" i="1"/>
  <c r="AW127" i="1"/>
  <c r="AZ50" i="1"/>
  <c r="BB178" i="1"/>
  <c r="AS178" i="1"/>
  <c r="AW178" i="1"/>
  <c r="I171" i="1"/>
  <c r="AT171" i="1"/>
  <c r="BC171" i="1"/>
  <c r="BE171" i="1"/>
  <c r="AS473" i="1"/>
  <c r="AS154" i="1"/>
  <c r="BB154" i="1"/>
  <c r="AW154" i="1"/>
  <c r="AW201" i="1"/>
  <c r="AS201" i="1"/>
  <c r="BB201" i="1"/>
  <c r="AW33" i="1"/>
  <c r="AS33" i="1"/>
  <c r="BB33" i="1"/>
  <c r="BA84" i="1"/>
  <c r="AR84" i="1"/>
  <c r="AV84" i="1"/>
  <c r="AU84" i="1"/>
  <c r="BD84" i="1"/>
  <c r="AX84" i="1"/>
  <c r="BA18" i="1"/>
  <c r="AV18" i="1"/>
  <c r="AR18" i="1"/>
  <c r="BB47" i="1"/>
  <c r="AW47" i="1"/>
  <c r="AS47" i="1"/>
  <c r="AD115" i="1"/>
  <c r="AT114" i="1"/>
  <c r="I114" i="1"/>
  <c r="BE114" i="1"/>
  <c r="BC114" i="1"/>
  <c r="BF114" i="1"/>
  <c r="AD45" i="1"/>
  <c r="BF45" i="1" s="1"/>
  <c r="AW113" i="1"/>
  <c r="BB113" i="1"/>
  <c r="AS113" i="1"/>
  <c r="AW77" i="1"/>
  <c r="BB77" i="1"/>
  <c r="AS77" i="1"/>
  <c r="AT185" i="1"/>
  <c r="BC185" i="1"/>
  <c r="I185" i="1"/>
  <c r="BE185" i="1"/>
  <c r="BF189" i="1"/>
  <c r="AP216" i="1"/>
  <c r="AS319" i="1"/>
  <c r="AW319" i="1"/>
  <c r="BB319" i="1"/>
  <c r="AS38" i="1" l="1"/>
  <c r="AW38" i="1"/>
  <c r="BB38" i="1"/>
  <c r="L38" i="1"/>
  <c r="BD587" i="1"/>
  <c r="AX587" i="1"/>
  <c r="AU23" i="1"/>
  <c r="AX23" i="1"/>
  <c r="BB37" i="1"/>
  <c r="BD23" i="1"/>
  <c r="L187" i="1"/>
  <c r="AS98" i="1"/>
  <c r="BB187" i="1"/>
  <c r="L37" i="1"/>
  <c r="M37" i="1"/>
  <c r="AW187" i="1"/>
  <c r="AS37" i="1"/>
  <c r="G24" i="1"/>
  <c r="K24" i="1" s="1"/>
  <c r="BB205" i="1"/>
  <c r="AW205" i="1"/>
  <c r="AS90" i="1"/>
  <c r="BB90" i="1"/>
  <c r="AW128" i="1"/>
  <c r="BB128" i="1"/>
  <c r="BB35" i="1"/>
  <c r="AS35" i="1"/>
  <c r="L128" i="1"/>
  <c r="AW90" i="1"/>
  <c r="AW98" i="1"/>
  <c r="M128" i="1"/>
  <c r="M117" i="1"/>
  <c r="L117" i="1"/>
  <c r="M195" i="1"/>
  <c r="L195" i="1"/>
  <c r="M189" i="1"/>
  <c r="L189" i="1"/>
  <c r="M58" i="1"/>
  <c r="L58" i="1"/>
  <c r="M182" i="1"/>
  <c r="L182" i="1"/>
  <c r="L44" i="1"/>
  <c r="M44" i="1"/>
  <c r="M170" i="1"/>
  <c r="L170" i="1"/>
  <c r="L59" i="1"/>
  <c r="M59" i="1"/>
  <c r="G588" i="1"/>
  <c r="AW206" i="1"/>
  <c r="M29" i="1"/>
  <c r="L29" i="1"/>
  <c r="M183" i="1"/>
  <c r="L183" i="1"/>
  <c r="L32" i="1"/>
  <c r="M32" i="1"/>
  <c r="M186" i="1"/>
  <c r="L186" i="1"/>
  <c r="M35" i="1"/>
  <c r="L35" i="1"/>
  <c r="M171" i="1"/>
  <c r="L171" i="1"/>
  <c r="AS206" i="1"/>
  <c r="K71" i="1"/>
  <c r="L71" i="1"/>
  <c r="M114" i="1"/>
  <c r="L114" i="1"/>
  <c r="L23" i="1"/>
  <c r="M23" i="1"/>
  <c r="M112" i="1"/>
  <c r="L112" i="1"/>
  <c r="M205" i="1"/>
  <c r="L205" i="1"/>
  <c r="L130" i="1"/>
  <c r="L87" i="1"/>
  <c r="M87" i="1"/>
  <c r="M65" i="1"/>
  <c r="L65" i="1"/>
  <c r="L31" i="1"/>
  <c r="M31" i="1"/>
  <c r="AU587" i="1"/>
  <c r="M98" i="1"/>
  <c r="L98" i="1"/>
  <c r="M30" i="1"/>
  <c r="L30" i="1"/>
  <c r="M90" i="1"/>
  <c r="L90" i="1"/>
  <c r="M107" i="1"/>
  <c r="L107" i="1"/>
  <c r="M198" i="1"/>
  <c r="L198" i="1"/>
  <c r="M104" i="1"/>
  <c r="L104" i="1"/>
  <c r="M135" i="1"/>
  <c r="L135" i="1"/>
  <c r="M206" i="1"/>
  <c r="L206" i="1"/>
  <c r="M587" i="1"/>
  <c r="K587" i="1"/>
  <c r="M185" i="1"/>
  <c r="L185" i="1"/>
  <c r="BB206" i="1"/>
  <c r="M179" i="1"/>
  <c r="L179" i="1"/>
  <c r="L28" i="1"/>
  <c r="M28" i="1"/>
  <c r="M100" i="1"/>
  <c r="L100" i="1"/>
  <c r="M197" i="1"/>
  <c r="L197" i="1"/>
  <c r="M184" i="1"/>
  <c r="L184" i="1"/>
  <c r="L176" i="1"/>
  <c r="M176" i="1"/>
  <c r="L92" i="1"/>
  <c r="M92" i="1"/>
  <c r="AW130" i="1"/>
  <c r="BB130" i="1"/>
  <c r="AS130" i="1"/>
  <c r="AS100" i="1"/>
  <c r="BB100" i="1"/>
  <c r="AW100" i="1"/>
  <c r="BB135" i="1"/>
  <c r="AS135" i="1"/>
  <c r="AW135" i="1"/>
  <c r="BB114" i="1"/>
  <c r="AW114" i="1"/>
  <c r="AS114" i="1"/>
  <c r="BB171" i="1"/>
  <c r="AW171" i="1"/>
  <c r="AS171" i="1"/>
  <c r="AS65" i="1"/>
  <c r="BB65" i="1"/>
  <c r="AW65" i="1"/>
  <c r="AS31" i="1"/>
  <c r="BB31" i="1"/>
  <c r="AW31" i="1"/>
  <c r="AW59" i="1"/>
  <c r="BB59" i="1"/>
  <c r="AS59" i="1"/>
  <c r="AS185" i="1"/>
  <c r="BB185" i="1"/>
  <c r="AW185" i="1"/>
  <c r="BE190" i="1"/>
  <c r="BC190" i="1"/>
  <c r="AT190" i="1"/>
  <c r="I190" i="1"/>
  <c r="I108" i="1"/>
  <c r="AT108" i="1"/>
  <c r="BC108" i="1"/>
  <c r="BE108" i="1"/>
  <c r="BF108" i="1"/>
  <c r="AW198" i="1"/>
  <c r="BB198" i="1"/>
  <c r="AS198" i="1"/>
  <c r="AW183" i="1"/>
  <c r="BB183" i="1"/>
  <c r="AS183" i="1"/>
  <c r="AS87" i="1"/>
  <c r="BB87" i="1"/>
  <c r="AW87" i="1"/>
  <c r="AS182" i="1"/>
  <c r="BB182" i="1"/>
  <c r="AW182" i="1"/>
  <c r="BB44" i="1"/>
  <c r="AW44" i="1"/>
  <c r="AS44" i="1"/>
  <c r="BB104" i="1"/>
  <c r="AS104" i="1"/>
  <c r="AW104" i="1"/>
  <c r="BE24" i="1"/>
  <c r="AT24" i="1"/>
  <c r="BC24" i="1"/>
  <c r="I24" i="1"/>
  <c r="AS197" i="1"/>
  <c r="BB197" i="1"/>
  <c r="AW197" i="1"/>
  <c r="BB184" i="1"/>
  <c r="AW184" i="1"/>
  <c r="AS184" i="1"/>
  <c r="AS179" i="1"/>
  <c r="BB179" i="1"/>
  <c r="AW179" i="1"/>
  <c r="BE199" i="1"/>
  <c r="BC199" i="1"/>
  <c r="I199" i="1"/>
  <c r="BF199" i="1"/>
  <c r="AT199" i="1"/>
  <c r="AT115" i="1"/>
  <c r="BC115" i="1"/>
  <c r="I115" i="1"/>
  <c r="BE115" i="1"/>
  <c r="BF115" i="1"/>
  <c r="AW189" i="1"/>
  <c r="BB189" i="1"/>
  <c r="AS189" i="1"/>
  <c r="BB107" i="1"/>
  <c r="AW107" i="1"/>
  <c r="AS107" i="1"/>
  <c r="AW176" i="1"/>
  <c r="BB176" i="1"/>
  <c r="AS176" i="1"/>
  <c r="AW23" i="1"/>
  <c r="AS23" i="1"/>
  <c r="BB23" i="1"/>
  <c r="AS186" i="1"/>
  <c r="BB186" i="1"/>
  <c r="AW186" i="1"/>
  <c r="AW112" i="1"/>
  <c r="BB112" i="1"/>
  <c r="AS112" i="1"/>
  <c r="AT66" i="1"/>
  <c r="BC66" i="1"/>
  <c r="I66" i="1"/>
  <c r="BE66" i="1"/>
  <c r="BF66" i="1"/>
  <c r="AR71" i="1"/>
  <c r="AV71" i="1"/>
  <c r="BA71" i="1"/>
  <c r="I105" i="1"/>
  <c r="BE105" i="1"/>
  <c r="BF105" i="1"/>
  <c r="BC105" i="1"/>
  <c r="AT105" i="1"/>
  <c r="AW58" i="1"/>
  <c r="AS58" i="1"/>
  <c r="BB58" i="1"/>
  <c r="AS28" i="1"/>
  <c r="BB28" i="1"/>
  <c r="AW28" i="1"/>
  <c r="I93" i="1"/>
  <c r="BC93" i="1"/>
  <c r="AD94" i="1"/>
  <c r="BF93" i="1"/>
  <c r="AT93" i="1"/>
  <c r="BE93" i="1"/>
  <c r="AW32" i="1"/>
  <c r="BB32" i="1"/>
  <c r="AS32" i="1"/>
  <c r="BB117" i="1"/>
  <c r="AW117" i="1"/>
  <c r="AS117" i="1"/>
  <c r="AT101" i="1"/>
  <c r="I101" i="1"/>
  <c r="BC101" i="1"/>
  <c r="BE101" i="1"/>
  <c r="BF101" i="1"/>
  <c r="I136" i="1"/>
  <c r="BC136" i="1"/>
  <c r="AT136" i="1"/>
  <c r="BE136" i="1"/>
  <c r="BF136" i="1"/>
  <c r="AS30" i="1"/>
  <c r="BB30" i="1"/>
  <c r="AW30" i="1"/>
  <c r="AT45" i="1"/>
  <c r="BC45" i="1"/>
  <c r="I45" i="1"/>
  <c r="BE45" i="1"/>
  <c r="AD46" i="1"/>
  <c r="BB195" i="1"/>
  <c r="AS195" i="1"/>
  <c r="AW195" i="1"/>
  <c r="BF24" i="1"/>
  <c r="AS29" i="1"/>
  <c r="BB29" i="1"/>
  <c r="AW29" i="1"/>
  <c r="AS92" i="1"/>
  <c r="BB92" i="1"/>
  <c r="AW92" i="1"/>
  <c r="AS170" i="1"/>
  <c r="AW170" i="1"/>
  <c r="BB170" i="1"/>
  <c r="BD588" i="1" l="1"/>
  <c r="AX588" i="1"/>
  <c r="AX24" i="1"/>
  <c r="AU24" i="1"/>
  <c r="BD24" i="1"/>
  <c r="M66" i="1"/>
  <c r="L66" i="1"/>
  <c r="M105" i="1"/>
  <c r="L105" i="1"/>
  <c r="M115" i="1"/>
  <c r="L115" i="1"/>
  <c r="M190" i="1"/>
  <c r="L190" i="1"/>
  <c r="L45" i="1"/>
  <c r="M45" i="1"/>
  <c r="M101" i="1"/>
  <c r="L101" i="1"/>
  <c r="M93" i="1"/>
  <c r="L93" i="1"/>
  <c r="M199" i="1"/>
  <c r="L199" i="1"/>
  <c r="M588" i="1"/>
  <c r="K588" i="1"/>
  <c r="M136" i="1"/>
  <c r="L136" i="1"/>
  <c r="M108" i="1"/>
  <c r="L108" i="1"/>
  <c r="AU588" i="1"/>
  <c r="L24" i="1"/>
  <c r="M24" i="1"/>
  <c r="AW93" i="1"/>
  <c r="BB93" i="1"/>
  <c r="AS93" i="1"/>
  <c r="BB108" i="1"/>
  <c r="AW108" i="1"/>
  <c r="AS108" i="1"/>
  <c r="AS66" i="1"/>
  <c r="BB66" i="1"/>
  <c r="AW66" i="1"/>
  <c r="AS101" i="1"/>
  <c r="AW101" i="1"/>
  <c r="BB101" i="1"/>
  <c r="AW136" i="1"/>
  <c r="AS136" i="1"/>
  <c r="BB136" i="1"/>
  <c r="AS190" i="1"/>
  <c r="BB190" i="1"/>
  <c r="AW190" i="1"/>
  <c r="AW199" i="1"/>
  <c r="BB199" i="1"/>
  <c r="AS199" i="1"/>
  <c r="AW105" i="1"/>
  <c r="BB105" i="1"/>
  <c r="AS105" i="1"/>
  <c r="BB45" i="1"/>
  <c r="AW45" i="1"/>
  <c r="AS45" i="1"/>
  <c r="AW24" i="1"/>
  <c r="AS24" i="1"/>
  <c r="BB24" i="1"/>
  <c r="I94" i="1"/>
  <c r="AT94" i="1"/>
  <c r="BC94" i="1"/>
  <c r="BE94" i="1"/>
  <c r="BF94" i="1"/>
  <c r="I46" i="1"/>
  <c r="AT46" i="1"/>
  <c r="BE46" i="1"/>
  <c r="BC46" i="1"/>
  <c r="BF46" i="1"/>
  <c r="AW115" i="1"/>
  <c r="AS115" i="1"/>
  <c r="BB115" i="1"/>
  <c r="L46" i="1" l="1"/>
  <c r="M46" i="1"/>
  <c r="M94" i="1"/>
  <c r="L94" i="1"/>
  <c r="AS46" i="1"/>
  <c r="BB46" i="1"/>
  <c r="AW46" i="1"/>
  <c r="AS94" i="1"/>
  <c r="BB94" i="1"/>
  <c r="AW9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<sst xmlns="http://schemas.openxmlformats.org/spreadsheetml/2006/main" count="344" uniqueCount="269">
  <si>
    <t>testing real wastewater+COD</t>
  </si>
  <si>
    <t>testing real wastewater</t>
  </si>
  <si>
    <t xml:space="preserve">double nitrte testing </t>
  </si>
  <si>
    <t>ace-nitrate</t>
  </si>
  <si>
    <t xml:space="preserve">forgot to put nitrite tube back/ pH fuck up </t>
  </si>
  <si>
    <t>pro-nitrate</t>
  </si>
  <si>
    <t>ace-aer</t>
  </si>
  <si>
    <t>pro-aer</t>
  </si>
  <si>
    <t>ace-nitrite</t>
  </si>
  <si>
    <t>pro-nitrte</t>
  </si>
  <si>
    <t>left ver COD dilute to 80</t>
  </si>
  <si>
    <t>letover COD 105</t>
  </si>
  <si>
    <t>adjust anoxic to be 9:30 -11:00</t>
  </si>
  <si>
    <t>fucked up by adding shit ton of Nitrite</t>
  </si>
  <si>
    <t xml:space="preserve">nitrite 20 </t>
  </si>
  <si>
    <t>nitrite to 25</t>
  </si>
  <si>
    <t>VII</t>
  </si>
  <si>
    <t>Switch COD to pro:ace = 1:1; gas 0.2 to 0.1 lPM</t>
  </si>
  <si>
    <t>aerbic mix COD batch test</t>
  </si>
  <si>
    <t>no addition of nitrite</t>
  </si>
  <si>
    <t>gas 0.2 to 0.1 LPM</t>
  </si>
  <si>
    <t>no finish '</t>
  </si>
  <si>
    <t>gas 0.08 LPN to 0.18 LPM</t>
  </si>
  <si>
    <t xml:space="preserve">didn't finish NO2? </t>
  </si>
  <si>
    <t>flatline high ORP</t>
  </si>
  <si>
    <t>woerd high ORP cycle</t>
  </si>
  <si>
    <t xml:space="preserve">open wasting 16 seconds, decrease DO from 0.5*2 to 0.3 LPN*2 </t>
  </si>
  <si>
    <t>ORP not really rising, but DO goes up to 0.883?</t>
  </si>
  <si>
    <t xml:space="preserve">deteriation </t>
  </si>
  <si>
    <t>weird cycle</t>
  </si>
  <si>
    <t xml:space="preserve">reduce of COD due to pressure gas builidup </t>
    <phoneticPr fontId="0" type="noConversion"/>
  </si>
  <si>
    <t>nitratepro</t>
  </si>
  <si>
    <t>nitrateace</t>
  </si>
  <si>
    <t>play double NO2</t>
    <phoneticPr fontId="0" type="noConversion"/>
  </si>
  <si>
    <t>aerpro</t>
  </si>
  <si>
    <t>aerace</t>
  </si>
  <si>
    <t>nitritepro</t>
  </si>
  <si>
    <t>nitriteace</t>
  </si>
  <si>
    <t>aeraerace</t>
  </si>
  <si>
    <t>nitrite pro</t>
  </si>
  <si>
    <t>reocover tubing</t>
  </si>
  <si>
    <t>high ph=9</t>
  </si>
  <si>
    <t>put tubing in low rise</t>
  </si>
  <si>
    <t>VI</t>
  </si>
  <si>
    <t>drop NO2 back down to 25 ppm</t>
  </si>
  <si>
    <t>system crash couldn’t finish</t>
  </si>
  <si>
    <t>bump No2 to 31 ppm, increase aeration</t>
  </si>
  <si>
    <t>Return all biomass in wastebin back to system</t>
  </si>
  <si>
    <t>low pH? DO super high= incredible biomass loss?</t>
  </si>
  <si>
    <t>weird high ORP at 7:30</t>
  </si>
  <si>
    <t>MLSS seems too low</t>
  </si>
  <si>
    <t>aeration seemed to be turned on during aerobic phase?</t>
  </si>
  <si>
    <t xml:space="preserve">ORP drop really low during the settling phase (rinse the probe) </t>
  </si>
  <si>
    <t xml:space="preserve">Orp return </t>
  </si>
  <si>
    <t xml:space="preserve">turn off wasting </t>
  </si>
  <si>
    <t xml:space="preserve">pH upset </t>
  </si>
  <si>
    <t>that when stop feeding COD at the right speed</t>
  </si>
  <si>
    <t>measure aeration , add in 79</t>
  </si>
  <si>
    <t>switch to NO2 28 ppm</t>
  </si>
  <si>
    <t xml:space="preserve">get two airstones </t>
  </si>
  <si>
    <t>switch to NO2 25 ppm</t>
  </si>
  <si>
    <t>dilute the COD+P by 20%, it is decreased COD</t>
  </si>
  <si>
    <t>wasting turn on t o16 sec, notice could not finish COD</t>
  </si>
  <si>
    <t xml:space="preserve">apparently a highish pH upset 24 afternoon to 25 morning? </t>
  </si>
  <si>
    <t>14,5</t>
  </si>
  <si>
    <t>; Loss of 75% biomass, return biomass from wasting bin to system</t>
  </si>
  <si>
    <t>turn wasting back on to 15 seconds</t>
  </si>
  <si>
    <t>ran out of acid (tube not to the bottom)</t>
  </si>
  <si>
    <t>Sunday/ no influent for 4 cycles</t>
  </si>
  <si>
    <t>Turn off wasting</t>
  </si>
  <si>
    <t>ace-nitrate batch</t>
  </si>
  <si>
    <t>ace-aer batch</t>
  </si>
  <si>
    <t>ace-aerobic</t>
  </si>
  <si>
    <t>incycle test</t>
  </si>
  <si>
    <t xml:space="preserve">Drop back down to 20 ppm </t>
  </si>
  <si>
    <t>gradual increase N</t>
  </si>
  <si>
    <t>gradual increase N (improce P or C?)</t>
  </si>
  <si>
    <t>avg</t>
  </si>
  <si>
    <t xml:space="preserve">accidently added shit ton of Carbon/ N2O probe calibration </t>
  </si>
  <si>
    <t>N2O porbe overnight</t>
  </si>
  <si>
    <t>1/26 Yiran burrowed probe</t>
  </si>
  <si>
    <t>back to taiwam</t>
  </si>
  <si>
    <t>wed-prospectus</t>
  </si>
  <si>
    <t>V</t>
  </si>
  <si>
    <t>V pH is not accurate (measured lower)</t>
  </si>
  <si>
    <t xml:space="preserve">change the anoxic aphse length </t>
  </si>
  <si>
    <t xml:space="preserve">weird low op release? </t>
  </si>
  <si>
    <t xml:space="preserve">mondY </t>
  </si>
  <si>
    <t>pro-nitrite</t>
  </si>
  <si>
    <t>last in cycle test profile</t>
  </si>
  <si>
    <t>daily</t>
  </si>
  <si>
    <t>pH upset, pH went up to 8.9</t>
  </si>
  <si>
    <t>pH upset</t>
  </si>
  <si>
    <t xml:space="preserve">pH upset for 1 day; pH went up to 8.4 </t>
  </si>
  <si>
    <t>bring back ORP</t>
  </si>
  <si>
    <t>pro-aco</t>
  </si>
  <si>
    <t>ace-ano</t>
  </si>
  <si>
    <t>back to original COD</t>
  </si>
  <si>
    <t>reocvery</t>
  </si>
  <si>
    <t>adjusmest ORP broke?</t>
  </si>
  <si>
    <t xml:space="preserve">low pH alert, switch on </t>
  </si>
  <si>
    <t>iV</t>
  </si>
  <si>
    <t>only one airstone; loss of COD uptake</t>
  </si>
  <si>
    <t>Turn off wasting/ORP broke?</t>
  </si>
  <si>
    <t>zhen</t>
  </si>
  <si>
    <t xml:space="preserve">seeing N2O production in aerobic phse  </t>
  </si>
  <si>
    <t xml:space="preserve">acetate aerobic batch </t>
  </si>
  <si>
    <t>aerobic phase has N2O?</t>
  </si>
  <si>
    <r>
      <t xml:space="preserve">acetate anoxic batch / </t>
    </r>
    <r>
      <rPr>
        <sz val="11"/>
        <color theme="5"/>
        <rFont val="Aptos Narrow"/>
        <family val="2"/>
        <scheme val="minor"/>
      </rPr>
      <t>N2O appears in aerobic phase instead??</t>
    </r>
  </si>
  <si>
    <t>propionate anoxic test</t>
  </si>
  <si>
    <r>
      <t xml:space="preserve">accidentaly releaae 1L of biomass ; </t>
    </r>
    <r>
      <rPr>
        <sz val="11"/>
        <color theme="5"/>
        <rFont val="Aptos Narrow"/>
        <family val="2"/>
        <scheme val="minor"/>
      </rPr>
      <t>did propionate aerobic test, created high N2O production afterwards</t>
    </r>
    <r>
      <rPr>
        <sz val="11"/>
        <color theme="1"/>
        <rFont val="Aptos Narrow"/>
        <family val="2"/>
        <scheme val="minor"/>
      </rPr>
      <t xml:space="preserve">? </t>
    </r>
  </si>
  <si>
    <t xml:space="preserve">zhen burrower </t>
  </si>
  <si>
    <t>aerobic batch test  ex-situ</t>
  </si>
  <si>
    <t xml:space="preserve">mixre stopped over night/zhen burrowed N2O </t>
  </si>
  <si>
    <t xml:space="preserve">no idea what happened here? </t>
  </si>
  <si>
    <t>adjust wasting to 22 seconds</t>
  </si>
  <si>
    <t>ph dosing pump broke</t>
  </si>
  <si>
    <t xml:space="preserve">base ph dosing pump broke, zhen burrowed </t>
  </si>
  <si>
    <t xml:space="preserve">bunch of base added into system over weekend </t>
  </si>
  <si>
    <t xml:space="preserve">N2O production went into aerobic phase? </t>
  </si>
  <si>
    <t>Zhen burrowed N2O probe</t>
  </si>
  <si>
    <t>pH was highish</t>
  </si>
  <si>
    <t>NO2 was 25/COD was only 59</t>
  </si>
  <si>
    <t>III</t>
  </si>
  <si>
    <t>small test with Ammonia test</t>
  </si>
  <si>
    <t>bacteria stinks and got floaty, no clear ORP switch or change occurred. N2O probe time calibration/DST to right time  at 14:45 pm</t>
  </si>
  <si>
    <t>calibrate N2O sensor</t>
  </si>
  <si>
    <t>left over NO2 cause P uptake loss</t>
  </si>
  <si>
    <t xml:space="preserve">zhen burrow N2O sensor </t>
  </si>
  <si>
    <t xml:space="preserve">did a half COD input recovery cycle </t>
  </si>
  <si>
    <t>stop eating COD</t>
  </si>
  <si>
    <t>stop eating PHA though VFA was eaten /bad VFA</t>
  </si>
  <si>
    <t xml:space="preserve">no COD added to system fro two cycle </t>
  </si>
  <si>
    <t xml:space="preserve">proceeded to dump a whole buttload of COD ito the system/fedding tube fell out </t>
  </si>
  <si>
    <t>ran out of COD a cycle prior</t>
  </si>
  <si>
    <t xml:space="preserve">weird no COD testing to prove it </t>
  </si>
  <si>
    <t>II</t>
  </si>
  <si>
    <t xml:space="preserve">in cycletest/ removal of a lot of biomass </t>
  </si>
  <si>
    <t>batch aerobic</t>
  </si>
  <si>
    <t>batch test both</t>
  </si>
  <si>
    <t xml:space="preserve">bacteria frothing </t>
  </si>
  <si>
    <t xml:space="preserve">mixer shut down at 2 am </t>
  </si>
  <si>
    <t xml:space="preserve">Ph  drop at AnA stage </t>
  </si>
  <si>
    <t>the COD/N bottles got switched back</t>
  </si>
  <si>
    <t xml:space="preserve">the COD/N bottles got switched </t>
  </si>
  <si>
    <t>frothing, then super low pH (to 6 instance), NaoH shut off for 1 hour. Though the pH climb back up itself. Did a influent wash, decrease NO2 by half : 8.18 at 7:28:00 PM</t>
  </si>
  <si>
    <t xml:space="preserve">when reaction starts in ANA. There is a little bit of N2O production </t>
  </si>
  <si>
    <t xml:space="preserve">ORP abnormality  prediction during anoxic phase… </t>
  </si>
  <si>
    <t xml:space="preserve">ORP had a drop </t>
  </si>
  <si>
    <t xml:space="preserve">aerobic aphse ORP didn’t go up </t>
  </si>
  <si>
    <t>start on 120 ppm COD</t>
  </si>
  <si>
    <t>couldn't finish COD</t>
  </si>
  <si>
    <t xml:space="preserve">mixer got shut off by air stone wrapping around the mixer </t>
  </si>
  <si>
    <t>prodution of N2O in ana phase, return COD back to 200 ppm</t>
  </si>
  <si>
    <t>decrease COD to 140</t>
  </si>
  <si>
    <t xml:space="preserve">2 high pH 9 cycles , aicd tubing fell out </t>
  </si>
  <si>
    <t>back to 8:10</t>
  </si>
  <si>
    <t>was 9:30</t>
  </si>
  <si>
    <t>Added a bunch of stored biomass</t>
  </si>
  <si>
    <t>day light saving, clock time -1</t>
  </si>
  <si>
    <t>switch new bottle COD</t>
  </si>
  <si>
    <t>saw high Orp peal when switch into AER PHASE</t>
  </si>
  <si>
    <t>weird high ORP influent/ clear out half MLSS</t>
  </si>
  <si>
    <t>cut to half COD</t>
  </si>
  <si>
    <t>deep scrubs/ adjust wasting to 25 sec</t>
  </si>
  <si>
    <t>fixing effluent height and wasting/ remeasure the L height</t>
  </si>
  <si>
    <t>pH upset to 8.6 for 3 cycles form Friday afternoon</t>
  </si>
  <si>
    <t xml:space="preserve">batch test, had funcky cycle in morning </t>
  </si>
  <si>
    <t xml:space="preserve">after night cycle start producing </t>
  </si>
  <si>
    <t xml:space="preserve">weird weekend upset, weird cycle happened Sunday morning </t>
  </si>
  <si>
    <t xml:space="preserve">more P activity return </t>
  </si>
  <si>
    <t xml:space="preserve">some P activity retrun </t>
  </si>
  <si>
    <t>did 2 cycle half COD test</t>
  </si>
  <si>
    <t>COD left over cause PAO unable to activate</t>
  </si>
  <si>
    <t xml:space="preserve">ORP abnormality  prediction: NO2 weird dosing </t>
  </si>
  <si>
    <t>adjust wasting to 22 sec</t>
  </si>
  <si>
    <t xml:space="preserve">very obvious clear effluent </t>
  </si>
  <si>
    <t>baby granules formation occurred over weekend</t>
  </si>
  <si>
    <t>adjust wasting to 15 sec</t>
    <phoneticPr fontId="10" type="noConversion"/>
  </si>
  <si>
    <t>N2O data is zhen's</t>
    <phoneticPr fontId="10" type="noConversion"/>
  </si>
  <si>
    <t>high ORP upset</t>
    <phoneticPr fontId="10" type="noConversion"/>
  </si>
  <si>
    <t>turbid effluent</t>
    <phoneticPr fontId="10" type="noConversion"/>
  </si>
  <si>
    <t>pH_max set to 7.8</t>
    <phoneticPr fontId="10" type="noConversion"/>
  </si>
  <si>
    <t>change tubing</t>
    <phoneticPr fontId="10" type="noConversion"/>
  </si>
  <si>
    <t>adjust pH to fluctuate between 6.8 to 7.9</t>
    <phoneticPr fontId="10" type="noConversion"/>
  </si>
  <si>
    <t>P%</t>
    <phoneticPr fontId="10" type="noConversion"/>
  </si>
  <si>
    <t>N2O%</t>
  </si>
  <si>
    <t>N%</t>
  </si>
  <si>
    <t>COD%</t>
  </si>
  <si>
    <t>1*2</t>
  </si>
  <si>
    <t>add new biomass from stickney ; N2O change time so is correct</t>
    <phoneticPr fontId="10" type="noConversion"/>
  </si>
  <si>
    <r>
      <t>PO</t>
    </r>
    <r>
      <rPr>
        <sz val="11"/>
        <color theme="1"/>
        <rFont val="Times New Roman Uni"/>
        <family val="1"/>
        <charset val="136"/>
      </rPr>
      <t>₄³⁻</t>
    </r>
    <r>
      <rPr>
        <sz val="7.7"/>
        <color theme="1"/>
        <rFont val="新細明體"/>
        <family val="1"/>
        <charset val="136"/>
      </rPr>
      <t>-P</t>
    </r>
    <r>
      <rPr>
        <sz val="11"/>
        <color theme="1"/>
        <rFont val="Aptos Narrow"/>
        <family val="2"/>
        <scheme val="minor"/>
      </rPr>
      <t xml:space="preserve"> removal (mg/L)</t>
    </r>
  </si>
  <si>
    <r>
      <t>NO</t>
    </r>
    <r>
      <rPr>
        <sz val="11"/>
        <color theme="1"/>
        <rFont val="Tahoma"/>
        <family val="2"/>
        <charset val="1"/>
      </rPr>
      <t>₂⁻</t>
    </r>
    <r>
      <rPr>
        <sz val="11"/>
        <color theme="1"/>
        <rFont val="Aptos Narrow"/>
        <family val="2"/>
        <scheme val="minor"/>
      </rPr>
      <t>-N removal (mg/L)</t>
    </r>
  </si>
  <si>
    <r>
      <t>PO</t>
    </r>
    <r>
      <rPr>
        <sz val="11"/>
        <color theme="1"/>
        <rFont val="Times New Roman Uni"/>
        <family val="1"/>
        <charset val="136"/>
      </rPr>
      <t>₄³⁻</t>
    </r>
    <r>
      <rPr>
        <sz val="7.7"/>
        <color theme="1"/>
        <rFont val="新細明體"/>
        <family val="1"/>
        <charset val="136"/>
      </rPr>
      <t>-P</t>
    </r>
    <r>
      <rPr>
        <sz val="11"/>
        <color theme="1"/>
        <rFont val="Aptos Narrow"/>
        <family val="2"/>
        <scheme val="minor"/>
      </rPr>
      <t xml:space="preserve"> removal </t>
    </r>
  </si>
  <si>
    <r>
      <t>NO</t>
    </r>
    <r>
      <rPr>
        <sz val="11"/>
        <color theme="1"/>
        <rFont val="Times New Roman Uni"/>
        <family val="1"/>
        <charset val="136"/>
      </rPr>
      <t>₂⁻</t>
    </r>
    <r>
      <rPr>
        <sz val="11"/>
        <color theme="1"/>
        <rFont val="Aptos Narrow"/>
        <family val="1"/>
        <charset val="136"/>
        <scheme val="minor"/>
      </rPr>
      <t>-N</t>
    </r>
    <r>
      <rPr>
        <sz val="11"/>
        <color theme="1"/>
        <rFont val="Aptos Narrow"/>
        <family val="2"/>
        <scheme val="minor"/>
      </rPr>
      <t xml:space="preserve"> to N</t>
    </r>
    <r>
      <rPr>
        <vertAlign val="subscript"/>
        <sz val="11"/>
        <color theme="1"/>
        <rFont val="Tahoma"/>
        <family val="1"/>
        <charset val="1"/>
      </rPr>
      <t>₂</t>
    </r>
    <r>
      <rPr>
        <sz val="11"/>
        <color theme="1"/>
        <rFont val="Aptos Narrow"/>
        <family val="2"/>
        <scheme val="minor"/>
      </rPr>
      <t xml:space="preserve">O-N conversion </t>
    </r>
  </si>
  <si>
    <r>
      <t>NO</t>
    </r>
    <r>
      <rPr>
        <sz val="11"/>
        <color theme="1"/>
        <rFont val="Tahoma"/>
        <family val="2"/>
        <charset val="1"/>
      </rPr>
      <t>₂⁻</t>
    </r>
    <r>
      <rPr>
        <sz val="11"/>
        <color theme="1"/>
        <rFont val="Aptos Narrow"/>
        <family val="2"/>
        <scheme val="minor"/>
      </rPr>
      <t xml:space="preserve">-N removal </t>
    </r>
  </si>
  <si>
    <t>measured</t>
  </si>
  <si>
    <t>bottle</t>
  </si>
  <si>
    <t>bottle</t>
    <phoneticPr fontId="10" type="noConversion"/>
  </si>
  <si>
    <t>cal</t>
    <phoneticPr fontId="10" type="noConversion"/>
  </si>
  <si>
    <t>day</t>
  </si>
  <si>
    <t xml:space="preserve">Date </t>
  </si>
  <si>
    <t>mg NO2–N g−1 VSS−1 h−1</t>
  </si>
  <si>
    <t>mg NO2–N  h−1</t>
  </si>
  <si>
    <t>AER-P-ppm</t>
  </si>
  <si>
    <t>ANO-P-ppm</t>
  </si>
  <si>
    <t>P-ppm</t>
    <phoneticPr fontId="10" type="noConversion"/>
  </si>
  <si>
    <t>N-ppn</t>
    <phoneticPr fontId="10" type="noConversion"/>
  </si>
  <si>
    <t>COD-ppm</t>
    <phoneticPr fontId="10" type="noConversion"/>
  </si>
  <si>
    <t>minutes</t>
  </si>
  <si>
    <t>mg/L</t>
  </si>
  <si>
    <t>mV</t>
  </si>
  <si>
    <t>COD mg/L</t>
  </si>
  <si>
    <t>unit</t>
  </si>
  <si>
    <t>P removal (ppm)</t>
  </si>
  <si>
    <t>N removal (ppm)</t>
  </si>
  <si>
    <t>Cod removal (ppm)</t>
  </si>
  <si>
    <t xml:space="preserve">P removal </t>
  </si>
  <si>
    <t xml:space="preserve">N to N2O conversion </t>
  </si>
  <si>
    <t>N removal</t>
  </si>
  <si>
    <t>COD removal</t>
  </si>
  <si>
    <t>specific denitrification rates</t>
  </si>
  <si>
    <t>denitrification rate</t>
  </si>
  <si>
    <t xml:space="preserve">Aerobic P removal </t>
  </si>
  <si>
    <t xml:space="preserve">Anoxic P removal </t>
  </si>
  <si>
    <t>SRT</t>
  </si>
  <si>
    <t>MLSS</t>
  </si>
  <si>
    <t>A_time</t>
  </si>
  <si>
    <t>P_A-2</t>
  </si>
  <si>
    <t>P_A-1</t>
  </si>
  <si>
    <t>Ax_time</t>
  </si>
  <si>
    <t>Ax_react_time</t>
  </si>
  <si>
    <t>ORP_Ax-2</t>
  </si>
  <si>
    <t>pN2O_time</t>
  </si>
  <si>
    <t>peakN2O</t>
  </si>
  <si>
    <t>N_Ax-2</t>
  </si>
  <si>
    <t>P_Ax-2</t>
  </si>
  <si>
    <t>N_Ax-1</t>
  </si>
  <si>
    <t>P_Ax-1</t>
  </si>
  <si>
    <t>An_time</t>
  </si>
  <si>
    <t>OPR_An-2</t>
  </si>
  <si>
    <t>OPR_An-1</t>
  </si>
  <si>
    <t>DO_An-2</t>
  </si>
  <si>
    <t>DO_An-1</t>
  </si>
  <si>
    <t>COD_An_2</t>
  </si>
  <si>
    <t>Propionate ppm</t>
  </si>
  <si>
    <t>Acetate ppm</t>
  </si>
  <si>
    <t>P_An-2</t>
  </si>
  <si>
    <t>COD_An_1</t>
  </si>
  <si>
    <t>P_An-1</t>
  </si>
  <si>
    <t>N:P</t>
  </si>
  <si>
    <t>COD:N</t>
  </si>
  <si>
    <t>COD:P</t>
  </si>
  <si>
    <t>N-Inf</t>
  </si>
  <si>
    <t>P-return</t>
  </si>
  <si>
    <t>P-Inf</t>
  </si>
  <si>
    <t>COD-Inf</t>
  </si>
  <si>
    <t>Calculated Parameters</t>
  </si>
  <si>
    <t>Sludge/SRT</t>
  </si>
  <si>
    <t>Direct measurments (AerobicTank)</t>
  </si>
  <si>
    <t>Direct measurments (Anoxic Tank)</t>
  </si>
  <si>
    <t>Direct measurments (Anaerobic Tank 1/initial)</t>
  </si>
  <si>
    <t>Ratios-measured</t>
  </si>
  <si>
    <t>Calculated Influent Assuming 9 L influent</t>
  </si>
  <si>
    <t>specific denitrifying P uptake rate</t>
  </si>
  <si>
    <t>anoxic P uptake the aerobic P uptake rate</t>
  </si>
  <si>
    <t>I</t>
  </si>
  <si>
    <t xml:space="preserve">Phase 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</si>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</sst>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_ "/>
    <numFmt numFmtId="167" formatCode="[$-F400]h:mm:ss\ AM/PM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7" tint="0.3999755851924192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  <font>
      <sz val="11"/>
      <color theme="7" tint="0.79998168889431442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4" tint="0.39997558519241921"/>
      <name val="Aptos Narrow"/>
      <family val="2"/>
      <scheme val="minor"/>
    </font>
    <font>
      <sz val="10.5"/>
      <color theme="1"/>
      <name val="Courier New"/>
      <family val="3"/>
    </font>
    <font>
      <sz val="11"/>
      <color theme="6"/>
      <name val="Aptos Narrow"/>
      <family val="2"/>
      <scheme val="minor"/>
    </font>
    <font>
      <b/>
      <sz val="11"/>
      <color theme="6" tint="0.59999389629810485"/>
      <name val="Aptos Narrow"/>
      <family val="2"/>
      <scheme val="minor"/>
    </font>
    <font>
      <sz val="11"/>
      <color theme="7" tint="0.59999389629810485"/>
      <name val="Aptos Narrow"/>
      <family val="2"/>
      <scheme val="minor"/>
    </font>
    <font>
      <sz val="11"/>
      <color theme="6" tint="0.59999389629810485"/>
      <name val="Aptos Narrow"/>
      <family val="2"/>
      <scheme val="minor"/>
    </font>
    <font>
      <sz val="11"/>
      <color theme="4" tint="0.59999389629810485"/>
      <name val="Aptos Narrow"/>
      <family val="2"/>
      <scheme val="minor"/>
    </font>
    <font>
      <sz val="11"/>
      <color rgb="FFCCECFF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  <font>
      <b/>
      <sz val="11"/>
      <color rgb="FFCCECFF"/>
      <name val="Aptos Narrow"/>
      <family val="2"/>
      <scheme val="minor"/>
    </font>
    <font>
      <sz val="11"/>
      <color theme="7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rgb="FF6699FF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rgb="FFFD8F87"/>
      <name val="Aptos Narrow"/>
      <family val="2"/>
      <scheme val="minor"/>
    </font>
    <font>
      <b/>
      <sz val="11"/>
      <color rgb="FFFD8F87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8" tint="0.79998168889431442"/>
      <name val="Aptos Narrow"/>
      <family val="2"/>
      <scheme val="minor"/>
    </font>
    <font>
      <sz val="11"/>
      <color theme="1"/>
      <name val="Times New Roman Uni"/>
      <family val="1"/>
      <charset val="136"/>
    </font>
    <font>
      <sz val="7.7"/>
      <color theme="1"/>
      <name val="新細明體"/>
      <family val="1"/>
      <charset val="136"/>
    </font>
    <font>
      <sz val="11"/>
      <color theme="1"/>
      <name val="Tahoma"/>
      <family val="2"/>
      <charset val="1"/>
    </font>
    <font>
      <sz val="11"/>
      <color theme="1"/>
      <name val="Aptos Narrow"/>
      <family val="1"/>
      <charset val="136"/>
      <scheme val="minor"/>
    </font>
    <font>
      <vertAlign val="subscript"/>
      <sz val="11"/>
      <color theme="1"/>
      <name val="Tahoma"/>
      <family val="1"/>
      <charset val="1"/>
    </font>
    <font>
      <b/>
      <i/>
      <sz val="11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9"/>
      <color theme="1"/>
      <name val="Segoe UI"/>
      <family val="2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C2EC"/>
        <bgColor indexed="64"/>
      </patternFill>
    </fill>
    <fill>
      <patternFill patternType="solid">
        <fgColor rgb="FFFED4D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/>
      <top/>
      <bottom style="thin">
        <color rgb="FF92D050"/>
      </bottom>
      <diagonal/>
    </border>
    <border>
      <left/>
      <right/>
      <top/>
      <bottom style="thin">
        <color rgb="FFFFFF00"/>
      </bottom>
      <diagonal/>
    </border>
    <border>
      <left/>
      <right/>
      <top/>
      <bottom style="thin">
        <color rgb="FFFFC000"/>
      </bottom>
      <diagonal/>
    </border>
    <border>
      <left/>
      <right/>
      <top/>
      <bottom style="thin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3" borderId="0" xfId="2" applyFont="1" applyFill="1" applyBorder="1" applyAlignment="1">
      <alignment horizontal="center" vertical="center"/>
    </xf>
    <xf numFmtId="9" fontId="0" fillId="3" borderId="2" xfId="2" applyFont="1" applyFill="1" applyBorder="1" applyAlignment="1">
      <alignment horizontal="center" vertical="center"/>
    </xf>
    <xf numFmtId="21" fontId="0" fillId="0" borderId="0" xfId="0" applyNumberForma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0" fillId="0" borderId="0" xfId="0" applyNumberFormat="1"/>
    <xf numFmtId="2" fontId="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9" fontId="0" fillId="0" borderId="8" xfId="2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9" fontId="0" fillId="0" borderId="0" xfId="1" applyFont="1" applyFill="1" applyAlignment="1">
      <alignment horizontal="center" vertical="center"/>
    </xf>
    <xf numFmtId="165" fontId="11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9" fontId="0" fillId="3" borderId="0" xfId="1" applyFont="1" applyFill="1" applyAlignment="1">
      <alignment horizontal="center" vertical="center"/>
    </xf>
    <xf numFmtId="9" fontId="7" fillId="0" borderId="0" xfId="2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4" fontId="15" fillId="2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165" fontId="11" fillId="0" borderId="3" xfId="0" applyNumberFormat="1" applyFont="1" applyBorder="1"/>
    <xf numFmtId="2" fontId="0" fillId="0" borderId="4" xfId="0" applyNumberFormat="1" applyBorder="1" applyAlignment="1">
      <alignment horizontal="center" vertical="center"/>
    </xf>
    <xf numFmtId="164" fontId="0" fillId="0" borderId="3" xfId="0" applyNumberFormat="1" applyBorder="1"/>
    <xf numFmtId="0" fontId="13" fillId="0" borderId="3" xfId="0" applyFont="1" applyBorder="1" applyAlignment="1">
      <alignment vertical="center"/>
    </xf>
    <xf numFmtId="2" fontId="6" fillId="0" borderId="3" xfId="0" applyNumberFormat="1" applyFont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2" fontId="0" fillId="6" borderId="0" xfId="0" applyNumberFormat="1" applyFill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3" borderId="3" xfId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8" fillId="0" borderId="0" xfId="0" applyFont="1"/>
    <xf numFmtId="0" fontId="10" fillId="0" borderId="3" xfId="0" applyFont="1" applyBorder="1" applyAlignment="1">
      <alignment horizontal="center" vertical="center"/>
    </xf>
    <xf numFmtId="14" fontId="3" fillId="8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3" fillId="8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4" fontId="21" fillId="8" borderId="0" xfId="0" applyNumberFormat="1" applyFont="1" applyFill="1" applyAlignment="1">
      <alignment horizontal="center" vertical="center"/>
    </xf>
    <xf numFmtId="0" fontId="0" fillId="4" borderId="0" xfId="0" applyFill="1"/>
    <xf numFmtId="21" fontId="8" fillId="0" borderId="0" xfId="0" applyNumberFormat="1" applyFont="1"/>
    <xf numFmtId="9" fontId="6" fillId="0" borderId="0" xfId="1" applyFont="1" applyFill="1" applyAlignment="1">
      <alignment horizontal="center" vertical="center"/>
    </xf>
    <xf numFmtId="167" fontId="0" fillId="0" borderId="0" xfId="0" applyNumberFormat="1"/>
    <xf numFmtId="0" fontId="0" fillId="0" borderId="0" xfId="0" applyAlignment="1">
      <alignment horizontal="center"/>
    </xf>
    <xf numFmtId="1" fontId="22" fillId="0" borderId="0" xfId="0" applyNumberFormat="1" applyFont="1" applyAlignment="1">
      <alignment horizontal="center" vertical="center"/>
    </xf>
    <xf numFmtId="167" fontId="0" fillId="0" borderId="3" xfId="0" applyNumberFormat="1" applyBorder="1"/>
    <xf numFmtId="166" fontId="0" fillId="0" borderId="0" xfId="0" applyNumberForma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4" fontId="23" fillId="8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4" fontId="23" fillId="0" borderId="0" xfId="0" applyNumberFormat="1" applyFont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0" borderId="3" xfId="0" applyBorder="1"/>
    <xf numFmtId="14" fontId="3" fillId="0" borderId="9" xfId="0" applyNumberFormat="1" applyFont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19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9" fontId="0" fillId="11" borderId="0" xfId="1" applyFont="1" applyFill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19" fontId="0" fillId="0" borderId="3" xfId="0" applyNumberFormat="1" applyBorder="1"/>
    <xf numFmtId="1" fontId="6" fillId="0" borderId="0" xfId="0" applyNumberFormat="1" applyFont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4" fontId="3" fillId="8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/>
    </xf>
    <xf numFmtId="0" fontId="0" fillId="13" borderId="0" xfId="0" applyFill="1" applyAlignment="1">
      <alignment horizontal="center" vertical="center"/>
    </xf>
    <xf numFmtId="14" fontId="3" fillId="13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165" fontId="11" fillId="15" borderId="0" xfId="0" applyNumberFormat="1" applyFont="1" applyFill="1"/>
    <xf numFmtId="9" fontId="0" fillId="15" borderId="0" xfId="2" applyFont="1" applyFill="1" applyBorder="1" applyAlignment="1">
      <alignment horizontal="center" vertical="center"/>
    </xf>
    <xf numFmtId="9" fontId="0" fillId="15" borderId="2" xfId="2" applyFon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2" fontId="6" fillId="15" borderId="0" xfId="0" applyNumberFormat="1" applyFont="1" applyFill="1" applyAlignment="1">
      <alignment horizontal="center" vertical="center"/>
    </xf>
    <xf numFmtId="1" fontId="6" fillId="15" borderId="0" xfId="0" applyNumberFormat="1" applyFont="1" applyFill="1" applyAlignment="1">
      <alignment horizontal="center" vertical="center"/>
    </xf>
    <xf numFmtId="166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9" fontId="0" fillId="15" borderId="0" xfId="0" applyNumberFormat="1" applyFill="1"/>
    <xf numFmtId="0" fontId="0" fillId="15" borderId="0" xfId="0" applyFill="1"/>
    <xf numFmtId="0" fontId="26" fillId="15" borderId="0" xfId="0" applyFont="1" applyFill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2" fontId="0" fillId="15" borderId="0" xfId="0" applyNumberFormat="1" applyFill="1" applyAlignment="1">
      <alignment horizontal="center" vertical="center"/>
    </xf>
    <xf numFmtId="2" fontId="0" fillId="15" borderId="2" xfId="0" applyNumberFormat="1" applyFill="1" applyBorder="1" applyAlignment="1">
      <alignment horizontal="center" vertical="center"/>
    </xf>
    <xf numFmtId="2" fontId="2" fillId="15" borderId="1" xfId="0" applyNumberFormat="1" applyFont="1" applyFill="1" applyBorder="1" applyAlignment="1">
      <alignment horizontal="center" vertical="center"/>
    </xf>
    <xf numFmtId="2" fontId="2" fillId="15" borderId="0" xfId="0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 wrapText="1"/>
    </xf>
    <xf numFmtId="9" fontId="0" fillId="0" borderId="0" xfId="2" applyFont="1" applyFill="1" applyBorder="1" applyAlignment="1">
      <alignment horizontal="center" vertical="center"/>
    </xf>
    <xf numFmtId="9" fontId="0" fillId="0" borderId="2" xfId="2" applyFont="1" applyFill="1" applyBorder="1" applyAlignment="1">
      <alignment horizontal="center" vertical="center"/>
    </xf>
    <xf numFmtId="9" fontId="0" fillId="9" borderId="0" xfId="1" applyFont="1" applyFill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14" fontId="3" fillId="8" borderId="1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6" fillId="0" borderId="0" xfId="0" applyFont="1" applyAlignment="1">
      <alignment horizontal="center" vertical="center"/>
    </xf>
    <xf numFmtId="0" fontId="0" fillId="14" borderId="0" xfId="0" applyFill="1" applyAlignment="1">
      <alignment horizontal="center" vertical="center"/>
    </xf>
    <xf numFmtId="14" fontId="3" fillId="14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0" fontId="28" fillId="15" borderId="0" xfId="0" applyFont="1" applyFill="1" applyAlignment="1">
      <alignment horizontal="center" vertical="center"/>
    </xf>
    <xf numFmtId="14" fontId="29" fillId="15" borderId="0" xfId="0" applyNumberFormat="1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14" fontId="29" fillId="14" borderId="0" xfId="0" applyNumberFormat="1" applyFon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14" fontId="3" fillId="13" borderId="12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6" fillId="0" borderId="0" xfId="0" applyNumberFormat="1" applyFont="1"/>
    <xf numFmtId="14" fontId="0" fillId="0" borderId="0" xfId="0" applyNumberFormat="1"/>
    <xf numFmtId="0" fontId="24" fillId="13" borderId="0" xfId="0" applyFont="1" applyFill="1" applyAlignment="1">
      <alignment horizontal="center" vertical="center"/>
    </xf>
    <xf numFmtId="14" fontId="30" fillId="13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14" fontId="31" fillId="13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14" fontId="31" fillId="0" borderId="3" xfId="0" applyNumberFormat="1" applyFont="1" applyBorder="1" applyAlignment="1">
      <alignment horizontal="center" vertical="center"/>
    </xf>
    <xf numFmtId="2" fontId="6" fillId="12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4" borderId="0" xfId="0" applyNumberFormat="1" applyFill="1"/>
    <xf numFmtId="2" fontId="2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/>
    </xf>
    <xf numFmtId="19" fontId="2" fillId="0" borderId="0" xfId="0" applyNumberFormat="1" applyFont="1"/>
    <xf numFmtId="0" fontId="2" fillId="0" borderId="0" xfId="0" applyFont="1"/>
    <xf numFmtId="0" fontId="0" fillId="0" borderId="0" xfId="0" applyAlignment="1">
      <alignment horizontal="right" vertical="center"/>
    </xf>
    <xf numFmtId="2" fontId="32" fillId="0" borderId="13" xfId="0" applyNumberFormat="1" applyFont="1" applyBorder="1" applyAlignment="1">
      <alignment horizontal="center" vertical="center"/>
    </xf>
    <xf numFmtId="1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" fontId="6" fillId="0" borderId="2" xfId="0" applyNumberFormat="1" applyFont="1" applyBorder="1" applyAlignment="1">
      <alignment horizontal="center" vertical="center"/>
    </xf>
    <xf numFmtId="2" fontId="25" fillId="0" borderId="2" xfId="0" applyNumberFormat="1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3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165" fontId="11" fillId="0" borderId="14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1" fillId="0" borderId="1" xfId="0" applyNumberFormat="1" applyFont="1" applyBorder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2" fontId="31" fillId="0" borderId="2" xfId="0" applyNumberFormat="1" applyFont="1" applyBorder="1" applyAlignment="1">
      <alignment horizontal="center" vertical="center"/>
    </xf>
    <xf numFmtId="0" fontId="11" fillId="10" borderId="0" xfId="0" applyFont="1" applyFill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7" borderId="0" xfId="0" applyFont="1" applyFill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4" fontId="38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2" fontId="38" fillId="0" borderId="20" xfId="0" applyNumberFormat="1" applyFont="1" applyBorder="1" applyAlignment="1">
      <alignment horizontal="center" vertical="center" wrapText="1"/>
    </xf>
    <xf numFmtId="2" fontId="38" fillId="0" borderId="18" xfId="0" applyNumberFormat="1" applyFont="1" applyBorder="1" applyAlignment="1">
      <alignment horizontal="center" vertical="center" wrapText="1"/>
    </xf>
    <xf numFmtId="2" fontId="38" fillId="0" borderId="19" xfId="0" applyNumberFormat="1" applyFont="1" applyBorder="1" applyAlignment="1">
      <alignment horizontal="center" vertical="center" wrapText="1"/>
    </xf>
    <xf numFmtId="2" fontId="38" fillId="0" borderId="20" xfId="0" applyNumberFormat="1" applyFont="1" applyBorder="1" applyAlignment="1">
      <alignment horizontal="center" vertical="center"/>
    </xf>
    <xf numFmtId="2" fontId="38" fillId="0" borderId="18" xfId="0" applyNumberFormat="1" applyFont="1" applyBorder="1" applyAlignment="1">
      <alignment horizontal="center" vertical="center"/>
    </xf>
    <xf numFmtId="2" fontId="38" fillId="0" borderId="19" xfId="0" applyNumberFormat="1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0" xfId="0" applyFont="1"/>
    <xf numFmtId="0" fontId="41" fillId="0" borderId="1" xfId="0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</cellXfs>
  <cellStyles count="3">
    <cellStyle name="Normal" xfId="0" builtinId="0"/>
    <cellStyle name="Percent" xfId="1" builtinId="5"/>
    <cellStyle name="Percent 2" xfId="2" xr:uid="{BD756D09-21A4-426F-85E6-C7D5909E35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E_EERE/Reactor%20experiments/incycletest-withoutPHA.xlsx" TargetMode="External"/><Relationship Id="rId2" Type="http://schemas.openxmlformats.org/officeDocument/2006/relationships/externalLinkPath" Target="file:///C:\DOE_EERE\Reactor%20experiments\incycletest-withoutPHA.xlsx" TargetMode="External"/><Relationship Id="rId1" Type="http://schemas.openxmlformats.org/officeDocument/2006/relationships/externalLinkPath" Target="/DOE_EERE/Reactor%20experiments/incycletest-withoutPH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E_EERE/Reactor%20experiments/graphing%20data.xlsx" TargetMode="External"/><Relationship Id="rId2" Type="http://schemas.openxmlformats.org/officeDocument/2006/relationships/externalLinkPath" Target="file:///C:\DOE_EERE\Reactor%20experiments\graphing%20data.xlsx" TargetMode="External"/><Relationship Id="rId1" Type="http://schemas.openxmlformats.org/officeDocument/2006/relationships/externalLinkPath" Target="/DOE_EERE/Reactor%20experiments/graphing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71025-skwierd"/>
      <sheetName val="012226_ "/>
      <sheetName val="phase IVmix"/>
      <sheetName val="021324_good"/>
      <sheetName val="020624_good"/>
      <sheetName val="010325"/>
      <sheetName val="graph"/>
      <sheetName val="111124"/>
      <sheetName val="102224"/>
      <sheetName val="091224"/>
      <sheetName val="Daily monitoring final (2)"/>
      <sheetName val="090524_good"/>
      <sheetName val="082724_bad"/>
      <sheetName val="082024_bad"/>
      <sheetName val="plots"/>
      <sheetName val="073024"/>
      <sheetName val="072324"/>
      <sheetName val="mis07110723"/>
      <sheetName val="071624"/>
      <sheetName val="071124"/>
      <sheetName val="06262024 "/>
      <sheetName val="06212024"/>
      <sheetName val="plots (2)"/>
      <sheetName val="COD+P feed "/>
      <sheetName val="Daily monitoring final"/>
      <sheetName val="HRT_SRT"/>
      <sheetName val="TSS_VSS"/>
      <sheetName val="06112024"/>
      <sheetName val="06052024"/>
      <sheetName val="05292024"/>
      <sheetName val="05222024 "/>
      <sheetName val="05152024"/>
      <sheetName val="04172024"/>
      <sheetName val="04092024"/>
      <sheetName val="04-4-2024"/>
      <sheetName val="03-27-2024"/>
      <sheetName val="03-19-2024"/>
      <sheetName val="03-12-2024"/>
      <sheetName val="03-05-2024 "/>
      <sheetName val="02-27-2024 "/>
      <sheetName val="02-20-2024 "/>
      <sheetName val="02-13-2024"/>
      <sheetName val="02-06-2024"/>
      <sheetName val="1-30-2024"/>
      <sheetName val="1-23-2024"/>
      <sheetName val="1-16-2024"/>
      <sheetName val="1-8-2024"/>
      <sheetName val="1-3-2024"/>
      <sheetName val="12-26-2023 "/>
      <sheetName val="12-19-2023 "/>
      <sheetName val="12-07-2023"/>
      <sheetName val="in cycle -format"/>
      <sheetName val="Go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61">
          <cell r="R61">
            <v>47.341772151898304</v>
          </cell>
        </row>
        <row r="73">
          <cell r="R73">
            <v>26.525955504847722</v>
          </cell>
        </row>
        <row r="76">
          <cell r="R76">
            <v>25.340309493192478</v>
          </cell>
        </row>
        <row r="80">
          <cell r="R80">
            <v>16.187050359712767</v>
          </cell>
        </row>
        <row r="88">
          <cell r="R88">
            <v>26.3437998935599</v>
          </cell>
        </row>
        <row r="93">
          <cell r="R93">
            <v>25.888761467890088</v>
          </cell>
        </row>
        <row r="101">
          <cell r="R101">
            <v>24.440421329821888</v>
          </cell>
        </row>
        <row r="107">
          <cell r="R107">
            <v>26.162790697674417</v>
          </cell>
        </row>
        <row r="108">
          <cell r="R108">
            <v>20.820011284559385</v>
          </cell>
        </row>
        <row r="115">
          <cell r="R115">
            <v>18.328784379592992</v>
          </cell>
        </row>
        <row r="118">
          <cell r="R118">
            <v>18.317982787256888</v>
          </cell>
        </row>
        <row r="122">
          <cell r="R122">
            <v>22.433234421365103</v>
          </cell>
        </row>
        <row r="125">
          <cell r="R125">
            <v>17.540924301347882</v>
          </cell>
        </row>
        <row r="129">
          <cell r="R129">
            <v>15.710415558027979</v>
          </cell>
        </row>
        <row r="136">
          <cell r="R136">
            <v>19.412556053811581</v>
          </cell>
        </row>
        <row r="138">
          <cell r="R138">
            <v>17.790697674418574</v>
          </cell>
        </row>
        <row r="143">
          <cell r="R143">
            <v>17.466539196940555</v>
          </cell>
        </row>
        <row r="150">
          <cell r="R150">
            <v>13.530664395229964</v>
          </cell>
        </row>
        <row r="157">
          <cell r="R157">
            <v>10.674418604651027</v>
          </cell>
        </row>
        <row r="164">
          <cell r="P164">
            <v>4330.0000000000182</v>
          </cell>
          <cell r="R164">
            <v>14.655885671304931</v>
          </cell>
        </row>
        <row r="165">
          <cell r="P165">
            <v>4770.0000000000273</v>
          </cell>
          <cell r="R165">
            <v>15.142857142857082</v>
          </cell>
        </row>
        <row r="172">
          <cell r="P172">
            <v>5330.0000000000182</v>
          </cell>
          <cell r="R172">
            <v>17.21267357996366</v>
          </cell>
        </row>
        <row r="179">
          <cell r="P179">
            <v>1400</v>
          </cell>
          <cell r="R179">
            <v>2.5004961301845725</v>
          </cell>
        </row>
        <row r="186">
          <cell r="P186">
            <v>4540.0000000000091</v>
          </cell>
          <cell r="R186">
            <v>14.266759776536155</v>
          </cell>
        </row>
        <row r="193">
          <cell r="P193">
            <v>3690.0000000000091</v>
          </cell>
          <cell r="R193">
            <v>14.19230769230745</v>
          </cell>
        </row>
        <row r="198">
          <cell r="P198">
            <v>2809.9999999999909</v>
          </cell>
          <cell r="R198">
            <v>15.898660966869924</v>
          </cell>
        </row>
        <row r="205">
          <cell r="P205">
            <v>2760.0000000000364</v>
          </cell>
          <cell r="R205">
            <v>15.159282314171131</v>
          </cell>
        </row>
        <row r="215">
          <cell r="P215">
            <v>2617.7777777777974</v>
          </cell>
          <cell r="R215">
            <v>16.772927905835825</v>
          </cell>
        </row>
        <row r="219">
          <cell r="P219">
            <v>2719.9999999999818</v>
          </cell>
          <cell r="R219">
            <v>16.787820600740432</v>
          </cell>
        </row>
        <row r="221">
          <cell r="P221">
            <v>2200.0000000000455</v>
          </cell>
          <cell r="R221">
            <v>16.541353383458706</v>
          </cell>
        </row>
        <row r="228">
          <cell r="P228">
            <v>1320.0000000000273</v>
          </cell>
          <cell r="R228">
            <v>14.905149051490479</v>
          </cell>
        </row>
        <row r="230">
          <cell r="P230">
            <v>1800</v>
          </cell>
          <cell r="R230">
            <v>16.605166051660376</v>
          </cell>
        </row>
        <row r="235">
          <cell r="P235">
            <v>1449.9999999999545</v>
          </cell>
          <cell r="R235">
            <v>14.974182444062361</v>
          </cell>
        </row>
        <row r="242">
          <cell r="P242">
            <v>1319.4444444444925</v>
          </cell>
          <cell r="R242">
            <v>21.852476614017071</v>
          </cell>
        </row>
        <row r="248">
          <cell r="P248">
            <v>2010.0000000000364</v>
          </cell>
          <cell r="R248">
            <v>23.147792706334364</v>
          </cell>
        </row>
        <row r="258">
          <cell r="P258">
            <v>1380.0000000000182</v>
          </cell>
          <cell r="R258">
            <v>23.10783657066391</v>
          </cell>
        </row>
        <row r="263">
          <cell r="P263">
            <v>940.00000000000909</v>
          </cell>
          <cell r="R263">
            <v>17.172783371223936</v>
          </cell>
        </row>
        <row r="269">
          <cell r="P269">
            <v>1160.0000000000364</v>
          </cell>
          <cell r="R269">
            <v>20.422535211267853</v>
          </cell>
        </row>
        <row r="270">
          <cell r="P270">
            <v>1150</v>
          </cell>
          <cell r="R270">
            <v>19.999999999997787</v>
          </cell>
        </row>
        <row r="278">
          <cell r="P278">
            <v>1500</v>
          </cell>
          <cell r="R278">
            <v>16.129032258065148</v>
          </cell>
        </row>
        <row r="283">
          <cell r="P283">
            <v>1830.0000000000637</v>
          </cell>
          <cell r="R283">
            <v>19.276685393260173</v>
          </cell>
        </row>
        <row r="290">
          <cell r="P290">
            <v>1720.0000000000273</v>
          </cell>
          <cell r="R290">
            <v>10.97094259390509</v>
          </cell>
        </row>
        <row r="291">
          <cell r="R291" t="e">
            <v>#DIV/0!</v>
          </cell>
        </row>
        <row r="292">
          <cell r="R292" t="e">
            <v>#DIV/0!</v>
          </cell>
        </row>
        <row r="293">
          <cell r="R293" t="e">
            <v>#DIV/0!</v>
          </cell>
        </row>
        <row r="294">
          <cell r="R294" t="e">
            <v>#DIV/0!</v>
          </cell>
        </row>
      </sheetData>
      <sheetData sheetId="26">
        <row r="71">
          <cell r="H71">
            <v>2790.0000000000091</v>
          </cell>
        </row>
        <row r="80">
          <cell r="H80">
            <v>2700.0000000000455</v>
          </cell>
        </row>
        <row r="86">
          <cell r="H86">
            <v>2860.0000000000364</v>
          </cell>
        </row>
        <row r="92">
          <cell r="H92">
            <v>3009.9999999999909</v>
          </cell>
        </row>
        <row r="98">
          <cell r="H98">
            <v>2640.0000000000091</v>
          </cell>
        </row>
        <row r="104">
          <cell r="H104">
            <v>2530.0000000000182</v>
          </cell>
        </row>
        <row r="107">
          <cell r="H107">
            <v>2459.9999999999909</v>
          </cell>
        </row>
        <row r="113">
          <cell r="H113">
            <v>3880.0000000000182</v>
          </cell>
        </row>
        <row r="119">
          <cell r="H119">
            <v>3370.0000000000273</v>
          </cell>
        </row>
        <row r="122">
          <cell r="H122">
            <v>3359.9999999999909</v>
          </cell>
        </row>
        <row r="128">
          <cell r="H128">
            <v>4309.9999999999909</v>
          </cell>
        </row>
        <row r="132">
          <cell r="H132">
            <v>4319.9999999999818</v>
          </cell>
        </row>
        <row r="140">
          <cell r="H140">
            <v>4809.9999999999909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Q6">
            <v>183.358</v>
          </cell>
        </row>
        <row r="12">
          <cell r="Q12">
            <v>105.262</v>
          </cell>
        </row>
      </sheetData>
      <sheetData sheetId="41"/>
      <sheetData sheetId="42"/>
      <sheetData sheetId="43">
        <row r="6">
          <cell r="I6">
            <v>26.8</v>
          </cell>
        </row>
        <row r="12">
          <cell r="I12">
            <v>62.47</v>
          </cell>
        </row>
        <row r="13">
          <cell r="G13">
            <v>29.7</v>
          </cell>
        </row>
        <row r="21">
          <cell r="G21">
            <v>0.83</v>
          </cell>
          <cell r="I21">
            <v>34.24</v>
          </cell>
        </row>
        <row r="27">
          <cell r="I27">
            <v>19.309999999999999</v>
          </cell>
        </row>
        <row r="28">
          <cell r="I28">
            <v>15.02</v>
          </cell>
        </row>
      </sheetData>
      <sheetData sheetId="44">
        <row r="6">
          <cell r="I6">
            <v>31.14</v>
          </cell>
        </row>
        <row r="12">
          <cell r="I12">
            <v>36.729999999999997</v>
          </cell>
        </row>
        <row r="13">
          <cell r="G13">
            <v>30.92</v>
          </cell>
        </row>
        <row r="20">
          <cell r="G20">
            <v>0.34</v>
          </cell>
        </row>
        <row r="21">
          <cell r="I21">
            <v>38.79</v>
          </cell>
        </row>
        <row r="27">
          <cell r="I27">
            <v>29</v>
          </cell>
        </row>
      </sheetData>
      <sheetData sheetId="45">
        <row r="6">
          <cell r="I6">
            <v>25.33</v>
          </cell>
          <cell r="Q6">
            <v>189.922</v>
          </cell>
        </row>
        <row r="12">
          <cell r="I12">
            <v>56.38</v>
          </cell>
          <cell r="Q12">
            <v>7.8840000000000003</v>
          </cell>
        </row>
        <row r="13">
          <cell r="G13">
            <v>27.83</v>
          </cell>
        </row>
        <row r="20">
          <cell r="I20">
            <v>40.15</v>
          </cell>
        </row>
        <row r="21">
          <cell r="G21">
            <v>8.52</v>
          </cell>
        </row>
        <row r="27">
          <cell r="I27">
            <v>28.24</v>
          </cell>
        </row>
        <row r="28">
          <cell r="I28">
            <v>25.66</v>
          </cell>
        </row>
      </sheetData>
      <sheetData sheetId="46">
        <row r="6">
          <cell r="I6">
            <v>31.83</v>
          </cell>
          <cell r="Q6">
            <v>189.922</v>
          </cell>
        </row>
        <row r="12">
          <cell r="I12">
            <v>71.22</v>
          </cell>
          <cell r="Q12">
            <v>7.8840000000000003</v>
          </cell>
        </row>
        <row r="13">
          <cell r="G13">
            <v>24.11</v>
          </cell>
        </row>
        <row r="21">
          <cell r="G21">
            <v>1.3</v>
          </cell>
          <cell r="I21">
            <v>46.25</v>
          </cell>
        </row>
        <row r="27">
          <cell r="I27">
            <v>29.19</v>
          </cell>
        </row>
        <row r="28">
          <cell r="I28">
            <v>29.25</v>
          </cell>
        </row>
        <row r="42">
          <cell r="AR42">
            <v>152.029</v>
          </cell>
        </row>
        <row r="85">
          <cell r="AR85">
            <v>34.25</v>
          </cell>
        </row>
      </sheetData>
      <sheetData sheetId="47">
        <row r="6">
          <cell r="Q6">
            <v>163.98500000000001</v>
          </cell>
        </row>
        <row r="12">
          <cell r="I12">
            <v>65.069999999999993</v>
          </cell>
          <cell r="Q12">
            <v>8.5429999999999993</v>
          </cell>
        </row>
        <row r="13">
          <cell r="G13">
            <v>20.99</v>
          </cell>
        </row>
        <row r="21">
          <cell r="G21">
            <v>0.43</v>
          </cell>
          <cell r="I21">
            <v>37.89</v>
          </cell>
        </row>
        <row r="27">
          <cell r="I27">
            <v>20.6</v>
          </cell>
        </row>
      </sheetData>
      <sheetData sheetId="48">
        <row r="6">
          <cell r="I6">
            <v>34.35</v>
          </cell>
          <cell r="Q6">
            <v>179.185</v>
          </cell>
        </row>
        <row r="12">
          <cell r="I12">
            <v>65.02</v>
          </cell>
          <cell r="Q12">
            <v>3.835</v>
          </cell>
        </row>
        <row r="13">
          <cell r="G13">
            <v>16.13</v>
          </cell>
        </row>
        <row r="20">
          <cell r="I20">
            <v>55.57</v>
          </cell>
        </row>
        <row r="21">
          <cell r="G21">
            <v>1.52</v>
          </cell>
        </row>
        <row r="27">
          <cell r="I27">
            <v>35.86</v>
          </cell>
        </row>
      </sheetData>
      <sheetData sheetId="49">
        <row r="6">
          <cell r="I6">
            <v>18.61</v>
          </cell>
          <cell r="Q6">
            <v>116.834</v>
          </cell>
        </row>
        <row r="12">
          <cell r="I12">
            <v>47.14</v>
          </cell>
          <cell r="Q12">
            <v>7.85</v>
          </cell>
        </row>
        <row r="13">
          <cell r="G13">
            <v>14.5</v>
          </cell>
        </row>
        <row r="21">
          <cell r="G21">
            <v>0.57999999999999996</v>
          </cell>
          <cell r="I21">
            <v>29.07</v>
          </cell>
        </row>
        <row r="27">
          <cell r="I27">
            <v>13.99</v>
          </cell>
        </row>
        <row r="28">
          <cell r="I28">
            <v>9.33</v>
          </cell>
        </row>
        <row r="33">
          <cell r="AR33">
            <v>4.7169999999999996</v>
          </cell>
        </row>
        <row r="34">
          <cell r="AR34">
            <v>56.688000000000002</v>
          </cell>
        </row>
        <row r="35">
          <cell r="AR35">
            <v>72.283000000000001</v>
          </cell>
        </row>
        <row r="69">
          <cell r="AR69">
            <v>3.0489999999999999</v>
          </cell>
        </row>
        <row r="70">
          <cell r="AR70">
            <v>15.438000000000001</v>
          </cell>
        </row>
        <row r="71">
          <cell r="AR71">
            <v>17.838000000000001</v>
          </cell>
        </row>
      </sheetData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rganizeforR_pjt2"/>
      <sheetName val="Daily monitoring final (2)"/>
      <sheetName val="PHA Spearsman (2)"/>
      <sheetName val="TSS_VSS"/>
      <sheetName val="pairwise_Utests_holm_all_vars"/>
      <sheetName val="pairwise_ttests_holm_all_vars"/>
      <sheetName val="Statistics"/>
      <sheetName val="organizeforR"/>
      <sheetName val="meanstd"/>
      <sheetName val="COD+P feed "/>
      <sheetName val="PHA Spearsman"/>
      <sheetName val="HRT_S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98">
          <cell r="R498">
            <v>19.860627177700351</v>
          </cell>
        </row>
        <row r="499">
          <cell r="R499">
            <v>16.410149750415989</v>
          </cell>
        </row>
        <row r="502">
          <cell r="R502">
            <v>16.207888249794596</v>
          </cell>
        </row>
        <row r="507">
          <cell r="P507">
            <v>1899.9999999999545</v>
          </cell>
          <cell r="R507">
            <v>27.243759957514385</v>
          </cell>
        </row>
        <row r="516">
          <cell r="P516">
            <v>2070.0000000000273</v>
          </cell>
          <cell r="R516">
            <v>27.296703296703427</v>
          </cell>
        </row>
        <row r="521">
          <cell r="P521">
            <v>1960.0000000000364</v>
          </cell>
          <cell r="R521">
            <v>26.068965517241562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A56B-58E6-4725-8005-8880CC6CB16A}">
  <sheetPr>
    <tabColor rgb="FFFF0000"/>
  </sheetPr>
  <dimension ref="A1:BF881"/>
  <sheetViews>
    <sheetView zoomScale="85" zoomScaleNormal="85" workbookViewId="0">
      <pane xSplit="4" ySplit="5" topLeftCell="E261" activePane="bottomRight" state="frozen"/>
      <selection pane="topRight" activeCell="E1" sqref="E1"/>
      <selection pane="bottomLeft" activeCell="A6" sqref="A6"/>
      <selection pane="bottomRight" activeCell="O312" sqref="O312"/>
    </sheetView>
  </sheetViews>
  <sheetFormatPr defaultColWidth="9.140625" defaultRowHeight="15"/>
  <cols>
    <col min="1" max="1" width="54.85546875" style="12" customWidth="1"/>
    <col min="2" max="2" width="17.5703125" style="11" customWidth="1"/>
    <col min="3" max="3" width="7.5703125" style="1" customWidth="1"/>
    <col min="4" max="4" width="0" style="3" hidden="1" customWidth="1"/>
    <col min="5" max="5" width="8.140625" style="10" bestFit="1" customWidth="1"/>
    <col min="6" max="6" width="9.85546875" style="9" bestFit="1" customWidth="1"/>
    <col min="7" max="7" width="8.140625" style="9" customWidth="1"/>
    <col min="8" max="8" width="9.85546875" style="9" bestFit="1" customWidth="1"/>
    <col min="9" max="9" width="6.85546875" style="9" customWidth="1"/>
    <col min="10" max="10" width="9.85546875" style="8" customWidth="1"/>
    <col min="11" max="11" width="9.85546875" style="10" customWidth="1"/>
    <col min="12" max="12" width="9.85546875" style="9" customWidth="1"/>
    <col min="13" max="13" width="9.85546875" style="8" customWidth="1"/>
    <col min="14" max="14" width="8.85546875" style="7" bestFit="1" customWidth="1"/>
    <col min="15" max="18" width="7.140625" style="6" customWidth="1"/>
    <col min="19" max="19" width="10.140625" style="6" bestFit="1" customWidth="1"/>
    <col min="20" max="20" width="7.85546875" style="6" bestFit="1" customWidth="1"/>
    <col min="21" max="22" width="7.85546875" style="6" customWidth="1"/>
    <col min="23" max="23" width="10.42578125" style="6" bestFit="1" customWidth="1"/>
    <col min="24" max="25" width="9.140625" style="6" bestFit="1" customWidth="1"/>
    <col min="26" max="27" width="10.140625" style="6" bestFit="1" customWidth="1"/>
    <col min="28" max="28" width="14.42578125" style="5" bestFit="1" customWidth="1"/>
    <col min="29" max="29" width="7.85546875" style="4" bestFit="1" customWidth="1"/>
    <col min="30" max="30" width="7.42578125" style="1" bestFit="1" customWidth="1"/>
    <col min="31" max="31" width="7.42578125" style="1" customWidth="1"/>
    <col min="32" max="32" width="7.85546875" style="1" customWidth="1"/>
    <col min="33" max="33" width="9.85546875" style="1" customWidth="1"/>
    <col min="34" max="34" width="14.85546875" style="1" customWidth="1"/>
    <col min="35" max="35" width="10" style="1" bestFit="1" customWidth="1"/>
    <col min="36" max="36" width="10" style="1" customWidth="1"/>
    <col min="37" max="37" width="14.42578125" style="3" bestFit="1" customWidth="1"/>
    <col min="38" max="38" width="6" style="4" bestFit="1" customWidth="1"/>
    <col min="39" max="39" width="7" style="1" bestFit="1" customWidth="1"/>
    <col min="40" max="40" width="14.42578125" style="3" bestFit="1" customWidth="1"/>
    <col min="41" max="43" width="14.42578125" style="2" customWidth="1"/>
    <col min="44" max="44" width="12.42578125" style="4" bestFit="1" customWidth="1"/>
    <col min="45" max="45" width="10.140625" style="1" bestFit="1" customWidth="1"/>
    <col min="46" max="46" width="19.85546875" style="1" bestFit="1" customWidth="1"/>
    <col min="47" max="47" width="10.140625" style="1" bestFit="1" customWidth="1"/>
    <col min="48" max="48" width="15.42578125" style="2" customWidth="1"/>
    <col min="49" max="49" width="14.42578125" style="2" customWidth="1"/>
    <col min="50" max="52" width="16.140625" style="2" customWidth="1"/>
    <col min="53" max="56" width="9.140625" style="1"/>
    <col min="57" max="57" width="15.28515625" style="1" customWidth="1"/>
    <col min="58" max="58" width="13.7109375" style="1" customWidth="1"/>
    <col min="59" max="16384" width="9.140625" style="1"/>
  </cols>
  <sheetData>
    <row r="1" spans="1:58" s="229" customFormat="1" ht="22.35" customHeight="1">
      <c r="A1" s="233"/>
      <c r="B1" s="232"/>
      <c r="C1" s="231"/>
      <c r="D1" s="230"/>
      <c r="E1" s="234" t="s">
        <v>263</v>
      </c>
      <c r="F1" s="235"/>
      <c r="G1" s="235"/>
      <c r="H1" s="235"/>
      <c r="I1" s="235"/>
      <c r="J1" s="236"/>
      <c r="K1" s="234" t="s">
        <v>262</v>
      </c>
      <c r="L1" s="235"/>
      <c r="M1" s="236"/>
      <c r="N1" s="237" t="s">
        <v>261</v>
      </c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9"/>
      <c r="AC1" s="240" t="s">
        <v>260</v>
      </c>
      <c r="AD1" s="241"/>
      <c r="AE1" s="241"/>
      <c r="AF1" s="241"/>
      <c r="AG1" s="241"/>
      <c r="AH1" s="241"/>
      <c r="AI1" s="241"/>
      <c r="AJ1" s="241"/>
      <c r="AK1" s="242"/>
      <c r="AL1" s="240" t="s">
        <v>259</v>
      </c>
      <c r="AM1" s="241"/>
      <c r="AN1" s="242"/>
      <c r="AO1" s="243" t="s">
        <v>258</v>
      </c>
      <c r="AP1" s="244"/>
      <c r="AQ1" s="244"/>
      <c r="AR1" s="243" t="s">
        <v>257</v>
      </c>
      <c r="AS1" s="245"/>
      <c r="AT1" s="245"/>
      <c r="AU1" s="245"/>
      <c r="AV1" s="245"/>
      <c r="AW1" s="245"/>
      <c r="AX1" s="245"/>
      <c r="AY1" s="245"/>
      <c r="AZ1" s="245"/>
    </row>
    <row r="2" spans="1:58" s="181" customFormat="1" ht="26.1" customHeight="1">
      <c r="A2" s="210"/>
      <c r="B2" s="11"/>
      <c r="C2" s="1"/>
      <c r="D2" s="216"/>
      <c r="E2" s="221" t="s">
        <v>256</v>
      </c>
      <c r="F2" s="220" t="s">
        <v>256</v>
      </c>
      <c r="G2" s="220" t="s">
        <v>255</v>
      </c>
      <c r="H2" s="220" t="s">
        <v>254</v>
      </c>
      <c r="I2" s="220" t="s">
        <v>253</v>
      </c>
      <c r="J2" s="219" t="s">
        <v>253</v>
      </c>
      <c r="K2" s="221" t="s">
        <v>252</v>
      </c>
      <c r="L2" s="220" t="s">
        <v>251</v>
      </c>
      <c r="M2" s="219" t="s">
        <v>250</v>
      </c>
      <c r="N2" s="228" t="s">
        <v>249</v>
      </c>
      <c r="O2" s="228" t="s">
        <v>246</v>
      </c>
      <c r="P2" s="228" t="s">
        <v>245</v>
      </c>
      <c r="Q2" s="228" t="s">
        <v>246</v>
      </c>
      <c r="R2" s="228" t="s">
        <v>245</v>
      </c>
      <c r="S2" s="228" t="s">
        <v>248</v>
      </c>
      <c r="T2" s="228" t="s">
        <v>247</v>
      </c>
      <c r="U2" s="228" t="s">
        <v>246</v>
      </c>
      <c r="V2" s="228" t="s">
        <v>245</v>
      </c>
      <c r="W2" s="228" t="s">
        <v>244</v>
      </c>
      <c r="X2" s="228" t="s">
        <v>243</v>
      </c>
      <c r="Y2" s="228" t="s">
        <v>242</v>
      </c>
      <c r="Z2" s="228" t="s">
        <v>241</v>
      </c>
      <c r="AA2" s="228" t="s">
        <v>240</v>
      </c>
      <c r="AB2" s="227" t="s">
        <v>239</v>
      </c>
      <c r="AC2" s="226" t="s">
        <v>238</v>
      </c>
      <c r="AD2" s="210" t="s">
        <v>237</v>
      </c>
      <c r="AE2" s="210" t="s">
        <v>236</v>
      </c>
      <c r="AF2" s="210" t="s">
        <v>235</v>
      </c>
      <c r="AG2" s="210" t="s">
        <v>234</v>
      </c>
      <c r="AH2" s="210" t="s">
        <v>233</v>
      </c>
      <c r="AI2" s="210" t="s">
        <v>232</v>
      </c>
      <c r="AJ2" s="227" t="s">
        <v>231</v>
      </c>
      <c r="AK2" s="227" t="s">
        <v>230</v>
      </c>
      <c r="AL2" s="226" t="s">
        <v>229</v>
      </c>
      <c r="AM2" s="210" t="s">
        <v>228</v>
      </c>
      <c r="AN2" s="227" t="s">
        <v>227</v>
      </c>
      <c r="AO2" s="220" t="s">
        <v>226</v>
      </c>
      <c r="AP2" s="220" t="s">
        <v>226</v>
      </c>
      <c r="AQ2" s="220" t="s">
        <v>225</v>
      </c>
      <c r="AR2" s="225" t="s">
        <v>220</v>
      </c>
      <c r="AS2" s="222" t="s">
        <v>219</v>
      </c>
      <c r="AT2" s="222" t="s">
        <v>218</v>
      </c>
      <c r="AU2" s="222" t="s">
        <v>217</v>
      </c>
      <c r="AV2" s="224" t="s">
        <v>216</v>
      </c>
      <c r="AW2" s="224" t="s">
        <v>215</v>
      </c>
      <c r="AX2" s="224" t="s">
        <v>214</v>
      </c>
      <c r="AY2" s="224" t="s">
        <v>224</v>
      </c>
      <c r="AZ2" s="224" t="s">
        <v>223</v>
      </c>
      <c r="BA2" s="223" t="s">
        <v>220</v>
      </c>
      <c r="BB2" s="222" t="s">
        <v>219</v>
      </c>
      <c r="BC2" s="222" t="s">
        <v>218</v>
      </c>
      <c r="BD2" s="222" t="s">
        <v>217</v>
      </c>
      <c r="BE2" s="181" t="s">
        <v>222</v>
      </c>
      <c r="BF2" s="181" t="s">
        <v>221</v>
      </c>
    </row>
    <row r="3" spans="1:58" s="181" customFormat="1" ht="16.5" thickBot="1">
      <c r="A3" s="210"/>
      <c r="B3" s="11" t="s">
        <v>213</v>
      </c>
      <c r="C3" s="1"/>
      <c r="D3" s="216"/>
      <c r="E3" s="221" t="s">
        <v>210</v>
      </c>
      <c r="F3" s="220" t="s">
        <v>210</v>
      </c>
      <c r="G3" s="220" t="s">
        <v>210</v>
      </c>
      <c r="H3" s="220" t="s">
        <v>210</v>
      </c>
      <c r="I3" s="220" t="s">
        <v>210</v>
      </c>
      <c r="J3" s="219" t="s">
        <v>210</v>
      </c>
      <c r="K3" s="221"/>
      <c r="L3" s="220"/>
      <c r="M3" s="219"/>
      <c r="N3" s="218" t="s">
        <v>210</v>
      </c>
      <c r="O3" s="218" t="s">
        <v>210</v>
      </c>
      <c r="P3" s="218" t="s">
        <v>210</v>
      </c>
      <c r="Q3" s="218" t="s">
        <v>212</v>
      </c>
      <c r="R3" s="218" t="s">
        <v>212</v>
      </c>
      <c r="S3" s="218" t="s">
        <v>212</v>
      </c>
      <c r="T3" s="218" t="s">
        <v>212</v>
      </c>
      <c r="U3" s="218" t="s">
        <v>210</v>
      </c>
      <c r="V3" s="218" t="s">
        <v>210</v>
      </c>
      <c r="W3" s="218" t="s">
        <v>212</v>
      </c>
      <c r="X3" s="218" t="s">
        <v>210</v>
      </c>
      <c r="Y3" s="218" t="s">
        <v>210</v>
      </c>
      <c r="Z3" s="218" t="s">
        <v>211</v>
      </c>
      <c r="AA3" s="218" t="s">
        <v>211</v>
      </c>
      <c r="AB3" s="216" t="s">
        <v>209</v>
      </c>
      <c r="AC3" s="217" t="s">
        <v>210</v>
      </c>
      <c r="AD3" s="181" t="s">
        <v>210</v>
      </c>
      <c r="AE3" s="181" t="s">
        <v>210</v>
      </c>
      <c r="AF3" s="181" t="s">
        <v>210</v>
      </c>
      <c r="AG3" s="181" t="s">
        <v>210</v>
      </c>
      <c r="AH3" s="181" t="s">
        <v>209</v>
      </c>
      <c r="AI3" s="181" t="s">
        <v>211</v>
      </c>
      <c r="AJ3" s="216" t="s">
        <v>209</v>
      </c>
      <c r="AK3" s="216" t="s">
        <v>209</v>
      </c>
      <c r="AL3" s="217" t="s">
        <v>210</v>
      </c>
      <c r="AM3" s="181" t="s">
        <v>210</v>
      </c>
      <c r="AN3" s="216" t="s">
        <v>209</v>
      </c>
      <c r="AO3" s="215"/>
      <c r="AP3" s="215" t="s">
        <v>77</v>
      </c>
      <c r="AQ3" s="215"/>
      <c r="AR3" s="214" t="s">
        <v>188</v>
      </c>
      <c r="AS3" s="208" t="s">
        <v>187</v>
      </c>
      <c r="AT3" s="208" t="s">
        <v>186</v>
      </c>
      <c r="AU3" s="208" t="s">
        <v>185</v>
      </c>
      <c r="AV3" s="213" t="s">
        <v>208</v>
      </c>
      <c r="AW3" s="213" t="s">
        <v>207</v>
      </c>
      <c r="AX3" s="213" t="s">
        <v>206</v>
      </c>
      <c r="AY3" s="213" t="s">
        <v>205</v>
      </c>
      <c r="AZ3" s="213" t="s">
        <v>204</v>
      </c>
      <c r="BA3" s="209" t="s">
        <v>188</v>
      </c>
      <c r="BB3" s="208" t="s">
        <v>187</v>
      </c>
      <c r="BC3" s="208" t="s">
        <v>186</v>
      </c>
      <c r="BD3" s="208" t="s">
        <v>185</v>
      </c>
      <c r="BE3" s="1" t="s">
        <v>203</v>
      </c>
      <c r="BF3" s="1" t="s">
        <v>202</v>
      </c>
    </row>
    <row r="4" spans="1:58" ht="18" thickBot="1">
      <c r="A4" s="212"/>
      <c r="B4" s="211" t="s">
        <v>201</v>
      </c>
      <c r="D4" s="3" t="s">
        <v>200</v>
      </c>
      <c r="E4" s="10" t="s">
        <v>197</v>
      </c>
      <c r="F4" s="9" t="s">
        <v>196</v>
      </c>
      <c r="G4" s="9" t="s">
        <v>199</v>
      </c>
      <c r="H4" s="9" t="s">
        <v>198</v>
      </c>
      <c r="I4" s="9" t="s">
        <v>197</v>
      </c>
      <c r="J4" s="8" t="s">
        <v>196</v>
      </c>
      <c r="AS4" s="102" t="s">
        <v>195</v>
      </c>
      <c r="AT4" s="102" t="s">
        <v>194</v>
      </c>
      <c r="AU4" s="102" t="s">
        <v>193</v>
      </c>
      <c r="AW4" s="102" t="s">
        <v>192</v>
      </c>
      <c r="AX4" s="102" t="s">
        <v>191</v>
      </c>
      <c r="AY4" s="102"/>
      <c r="AZ4" s="102"/>
    </row>
    <row r="5" spans="1:58" s="27" customFormat="1" ht="15" customHeight="1">
      <c r="A5" s="39" t="s">
        <v>190</v>
      </c>
      <c r="B5" s="38">
        <v>45265</v>
      </c>
      <c r="D5" s="29">
        <v>0</v>
      </c>
      <c r="E5" s="37"/>
      <c r="F5" s="36"/>
      <c r="G5" s="36"/>
      <c r="H5" s="36"/>
      <c r="I5" s="36"/>
      <c r="J5" s="35" t="s">
        <v>189</v>
      </c>
      <c r="K5" s="37"/>
      <c r="L5" s="36"/>
      <c r="M5" s="35"/>
      <c r="N5" s="34"/>
      <c r="O5" s="33"/>
      <c r="P5" s="33"/>
      <c r="Q5" s="33"/>
      <c r="R5" s="33"/>
      <c r="S5" s="33"/>
      <c r="T5" s="33"/>
      <c r="U5" s="33"/>
      <c r="V5" s="33"/>
      <c r="W5" s="33"/>
      <c r="X5" s="33">
        <v>9.5399999999999991</v>
      </c>
      <c r="Y5" s="33"/>
      <c r="Z5" s="33"/>
      <c r="AA5" s="33"/>
      <c r="AB5" s="74">
        <v>80</v>
      </c>
      <c r="AC5" s="32"/>
      <c r="AJ5" s="27">
        <v>175</v>
      </c>
      <c r="AK5" s="29">
        <v>180</v>
      </c>
      <c r="AL5" s="32"/>
      <c r="AN5" s="87">
        <f t="shared" ref="AN5:AN68" si="0">360-AK5-AB5</f>
        <v>100</v>
      </c>
      <c r="AO5" s="28"/>
      <c r="AP5" s="13">
        <f>AVERAGE(AO5:AO11)</f>
        <v>3740.0000000000091</v>
      </c>
      <c r="AQ5" s="2" t="str">
        <f>IF(ISNUMBER([1]HRT_SRT!R59),[1]HRT_SRT!R59,"")</f>
        <v/>
      </c>
      <c r="AR5" s="31" t="e">
        <f t="shared" ref="AR5:AR36" si="1">(E5-W5)/E5</f>
        <v>#DIV/0!</v>
      </c>
      <c r="AS5" s="30" t="e">
        <f t="shared" ref="AS5:AS68" si="2">(I5-AF5)/I5</f>
        <v>#DIV/0!</v>
      </c>
      <c r="AT5" s="16" t="e">
        <f t="shared" ref="AT5:AT68" si="3">AG5/(AD5-AF5)</f>
        <v>#DIV/0!</v>
      </c>
      <c r="AU5" s="30" t="e">
        <f t="shared" ref="AU5:AU36" si="4">(G5-AM5)/G5</f>
        <v>#DIV/0!</v>
      </c>
      <c r="AV5" s="57" t="str">
        <f t="shared" ref="AV5:AV68" si="5">IF(AND(ISNUMBER(E5),ISNUMBER(W5)),E5-W5,"")</f>
        <v/>
      </c>
      <c r="AW5" s="57" t="str">
        <f t="shared" ref="AW5:AW68" si="6">IF(AND(ISNUMBER(I5),ISNUMBER(AF5)),I5-AF5,"")</f>
        <v/>
      </c>
      <c r="AX5" s="57" t="str">
        <f t="shared" ref="AX5:AX68" si="7">IF(AND(ISNUMBER(AM5),ISNUMBER(G5)),G5-AM5,"")</f>
        <v/>
      </c>
      <c r="AY5" s="57"/>
      <c r="AZ5" s="57"/>
      <c r="BE5" s="6" t="str">
        <f t="shared" ref="BE5:BE68" si="8">IF((AD5-AF5)/(AJ5/60)&lt;=0,"",(AD5-AF5)/(AJ5/60))</f>
        <v/>
      </c>
      <c r="BF5" s="6" t="str">
        <f>IF(OR(AJ5=0,AP4=0,NOT(ISNUMBER(AD5)),NOT(ISNUMBER(AF5)),NOT(ISNUMBER(AJ5)),NOT(ISNUMBER(AP4))),"",
IFERROR(IF((AD6-AF6)/(AJ6/60)/(AP5/1000)&lt;=0,"",(AD6-AF6)/(AJ6/60)/(AP5/1000)),""))</f>
        <v/>
      </c>
    </row>
    <row r="6" spans="1:58" ht="15" customHeight="1">
      <c r="A6" s="25" t="s">
        <v>184</v>
      </c>
      <c r="B6" s="11">
        <v>45266</v>
      </c>
      <c r="D6" s="3">
        <v>1</v>
      </c>
      <c r="E6" s="205">
        <f>IF(OR(S6="",S6=0),"",S6*2)</f>
        <v>69.676000000000002</v>
      </c>
      <c r="F6" s="15"/>
      <c r="G6" s="15">
        <f>(N6*18.5-H6*11)/9</f>
        <v>9.0499999999999989</v>
      </c>
      <c r="H6" s="15">
        <f>5*4.54</f>
        <v>22.7</v>
      </c>
      <c r="I6" s="15">
        <f>AD6</f>
        <v>4.49</v>
      </c>
      <c r="K6" s="10">
        <f>IF(OR(E6="",G6="",E6=0,G6=0),"",E6/G6)</f>
        <v>7.6990055248618798</v>
      </c>
      <c r="L6" s="9">
        <f>IF(OR(E6="",I6="",E6=0,I6=0),"",E6/(I6*2))</f>
        <v>7.7590200445434299</v>
      </c>
      <c r="M6" s="8">
        <f>IF(OR(I6="",G6="",I6=0,G6=0),"",I6*2/G6)</f>
        <v>0.99226519337016594</v>
      </c>
      <c r="N6" s="7">
        <f>5*3.58</f>
        <v>17.899999999999999</v>
      </c>
      <c r="S6" s="6">
        <v>34.838000000000001</v>
      </c>
      <c r="T6" s="6">
        <f>10*2.9</f>
        <v>29</v>
      </c>
      <c r="W6" s="6">
        <v>2.87</v>
      </c>
      <c r="X6" s="6">
        <v>1.1200000000000001</v>
      </c>
      <c r="Y6" s="6">
        <v>0.23</v>
      </c>
      <c r="Z6" s="6">
        <v>-72</v>
      </c>
      <c r="AA6" s="6">
        <v>-165</v>
      </c>
      <c r="AB6" s="5">
        <v>80</v>
      </c>
      <c r="AC6" s="7">
        <f t="shared" ref="AC6:AC19" si="9">T6</f>
        <v>29</v>
      </c>
      <c r="AD6" s="1">
        <v>4.49</v>
      </c>
      <c r="AE6" s="1">
        <f>10*3.48</f>
        <v>34.799999999999997</v>
      </c>
      <c r="AF6" s="1">
        <v>1.0000000000000001E-5</v>
      </c>
      <c r="AI6" s="1">
        <f>-163</f>
        <v>-163</v>
      </c>
      <c r="AJ6" s="1">
        <v>175</v>
      </c>
      <c r="AK6" s="3">
        <v>180</v>
      </c>
      <c r="AL6" s="4">
        <f t="shared" ref="AL6:AL19" si="10">AE6</f>
        <v>34.799999999999997</v>
      </c>
      <c r="AM6" s="1">
        <f>5*1.39</f>
        <v>6.9499999999999993</v>
      </c>
      <c r="AN6" s="80">
        <f t="shared" si="0"/>
        <v>100</v>
      </c>
      <c r="AO6" s="165"/>
      <c r="AP6" s="13">
        <f>AVERAGE(AO6:AO12)</f>
        <v>3740.0000000000091</v>
      </c>
      <c r="AQ6" s="207" t="str">
        <f>IF(ISNUMBER([1]HRT_SRT!R60),[1]HRT_SRT!R60,"")</f>
        <v/>
      </c>
      <c r="AR6" s="17">
        <f t="shared" si="1"/>
        <v>0.95880934611630975</v>
      </c>
      <c r="AS6" s="16">
        <f t="shared" si="2"/>
        <v>0.99999777282850788</v>
      </c>
      <c r="AT6" s="16">
        <f t="shared" si="3"/>
        <v>0</v>
      </c>
      <c r="AU6" s="16">
        <f t="shared" si="4"/>
        <v>0.23204419889502761</v>
      </c>
      <c r="AV6" s="57">
        <f t="shared" si="5"/>
        <v>66.805999999999997</v>
      </c>
      <c r="AW6" s="57">
        <f t="shared" si="6"/>
        <v>4.4899900000000006</v>
      </c>
      <c r="AX6" s="57">
        <f t="shared" si="7"/>
        <v>2.0999999999999996</v>
      </c>
      <c r="AY6" s="57">
        <f t="shared" ref="AY6:AY69" si="11">IF(AND(ISNUMBER(AC6),ISNUMBER(AE6)),AC6-AE6,"")</f>
        <v>-5.7999999999999972</v>
      </c>
      <c r="AZ6" s="57">
        <f t="shared" ref="AZ6:AZ69" si="12">IF(AND(ISNUMBER(AL6),ISNUMBER(AM6)),AL6-AM6,"")</f>
        <v>27.849999999999998</v>
      </c>
      <c r="BA6" s="84">
        <f t="shared" ref="BA6:BA52" si="13">IF(AND($E6&gt;0,$W6&gt;0),IF(($E6-$W6)/$E6&gt;0,($E6-$W6)/$E6,0),"")</f>
        <v>0.95880934611630975</v>
      </c>
      <c r="BB6" s="84">
        <f t="shared" ref="BB6:BB37" si="14">IF(AND($I6&gt;0,$AF6&gt;=0),IF(($I6-$AF6)/$I6&gt;0,($I6-$AF6)/$I6,0),"")</f>
        <v>0.99999777282850788</v>
      </c>
      <c r="BC6" s="84">
        <f t="shared" ref="BC6:BC37" si="15">IF(AND($AG6&gt;=0,$AD6&gt;=0,$AF6&gt;=0),IF($AG6/($AD6-$AF6)&gt;0,$AG6/($AD6-$AF6),0),"")</f>
        <v>0</v>
      </c>
      <c r="BD6" s="84">
        <f t="shared" ref="BD6:BD69" si="16">IF(AND($G6&gt;0,$AM6&gt;0),IF(($G6-$AM6)/$G6&gt;0,($G6-$AM6)/$G6,0),"")</f>
        <v>0.23204419889502761</v>
      </c>
      <c r="BE6" s="6">
        <f t="shared" si="8"/>
        <v>1.539425142857143</v>
      </c>
      <c r="BF6" s="6">
        <f t="shared" ref="BF6:BF69" si="17">IF(OR(AJ6=0,AP6=0,NOT(ISNUMBER(AD6)),NOT(ISNUMBER(AF6)),NOT(ISNUMBER(AJ6)),NOT(ISNUMBER(AP6))),"",
IFERROR(IF((AD6-AF6)/(AJ6/60)/(AP6/1000)&lt;=0,"",(AD6-AF6)/(AJ6/60)/(AP6/1000)),""))</f>
        <v>0.41161100076394097</v>
      </c>
    </row>
    <row r="7" spans="1:58" ht="15" customHeight="1">
      <c r="A7" s="39"/>
      <c r="B7" s="167">
        <v>45267</v>
      </c>
      <c r="C7" s="166"/>
      <c r="D7" s="136">
        <v>2</v>
      </c>
      <c r="E7" s="205">
        <f t="shared" ref="E7:E70" si="18">IF(OR(S7="",S7=0),"",S7*2)</f>
        <v>71.676000000000002</v>
      </c>
      <c r="G7" s="124">
        <f>(N7*18.5-H7*11)/9</f>
        <v>9.0499999999999989</v>
      </c>
      <c r="H7" s="124">
        <f>5*4.54</f>
        <v>22.7</v>
      </c>
      <c r="I7" s="15">
        <f>AD7</f>
        <v>4.49</v>
      </c>
      <c r="K7" s="10">
        <f t="shared" ref="K7:K36" si="19">IF(OR(E7="",G7="",E7=0,G7=0),"",E7/G7)</f>
        <v>7.9200000000000008</v>
      </c>
      <c r="L7" s="9">
        <f t="shared" ref="L7:L36" si="20">IF(OR(E7="",I7="",E7=0,I7=0),"",E7/(I7*2))</f>
        <v>7.9817371937639194</v>
      </c>
      <c r="M7" s="8">
        <f t="shared" ref="M7:M36" si="21">IF(OR(I7="",G7="",I7=0,G7=0),"",I7*2/G7)</f>
        <v>0.99226519337016594</v>
      </c>
      <c r="N7" s="206">
        <f>5*3.58</f>
        <v>17.899999999999999</v>
      </c>
      <c r="O7" s="124"/>
      <c r="P7" s="124"/>
      <c r="Q7" s="124"/>
      <c r="R7" s="124"/>
      <c r="S7" s="124">
        <v>35.838000000000001</v>
      </c>
      <c r="T7" s="124">
        <f>10*2.9</f>
        <v>29</v>
      </c>
      <c r="U7" s="124"/>
      <c r="V7" s="124"/>
      <c r="W7" s="124">
        <v>2.87</v>
      </c>
      <c r="X7" s="124">
        <v>2.06</v>
      </c>
      <c r="Y7" s="124">
        <v>0.23</v>
      </c>
      <c r="Z7" s="124">
        <v>-72</v>
      </c>
      <c r="AA7" s="124">
        <v>-165</v>
      </c>
      <c r="AB7" s="5">
        <v>80</v>
      </c>
      <c r="AC7" s="7">
        <f t="shared" si="9"/>
        <v>29</v>
      </c>
      <c r="AD7" s="168">
        <v>4.49</v>
      </c>
      <c r="AE7" s="168">
        <f>10*3.48</f>
        <v>34.799999999999997</v>
      </c>
      <c r="AF7" s="168">
        <v>1.0000000000000001E-5</v>
      </c>
      <c r="AI7" s="168">
        <f>-163</f>
        <v>-163</v>
      </c>
      <c r="AJ7" s="1">
        <v>175</v>
      </c>
      <c r="AK7" s="3">
        <v>180</v>
      </c>
      <c r="AL7" s="4">
        <f t="shared" si="10"/>
        <v>34.799999999999997</v>
      </c>
      <c r="AM7" s="168">
        <f>5*1.39</f>
        <v>6.9499999999999993</v>
      </c>
      <c r="AN7" s="80">
        <f t="shared" si="0"/>
        <v>100</v>
      </c>
      <c r="AO7" s="165">
        <v>3740.0000000000091</v>
      </c>
      <c r="AP7" s="13">
        <f t="shared" ref="AP7:AP70" si="22">AVERAGE(AO5:AO11)</f>
        <v>3740.0000000000091</v>
      </c>
      <c r="AQ7" s="15">
        <f>IF(ISNUMBER([1]HRT_SRT!R61),[1]HRT_SRT!R61,"")</f>
        <v>47.341772151898304</v>
      </c>
      <c r="AR7" s="17">
        <f t="shared" si="1"/>
        <v>0.95995870305262565</v>
      </c>
      <c r="AS7" s="16">
        <f t="shared" si="2"/>
        <v>0.99999777282850788</v>
      </c>
      <c r="AT7" s="16">
        <f t="shared" si="3"/>
        <v>0</v>
      </c>
      <c r="AU7" s="16">
        <f t="shared" si="4"/>
        <v>0.23204419889502761</v>
      </c>
      <c r="AV7" s="57">
        <f t="shared" si="5"/>
        <v>68.805999999999997</v>
      </c>
      <c r="AW7" s="57">
        <f t="shared" si="6"/>
        <v>4.4899900000000006</v>
      </c>
      <c r="AX7" s="57">
        <f t="shared" si="7"/>
        <v>2.0999999999999996</v>
      </c>
      <c r="AY7" s="57">
        <f t="shared" si="11"/>
        <v>-5.7999999999999972</v>
      </c>
      <c r="AZ7" s="57">
        <f t="shared" si="12"/>
        <v>27.849999999999998</v>
      </c>
      <c r="BA7" s="84">
        <f t="shared" si="13"/>
        <v>0.95995870305262565</v>
      </c>
      <c r="BB7" s="84">
        <f t="shared" si="14"/>
        <v>0.99999777282850788</v>
      </c>
      <c r="BC7" s="84">
        <f t="shared" si="15"/>
        <v>0</v>
      </c>
      <c r="BD7" s="84">
        <f t="shared" si="16"/>
        <v>0.23204419889502761</v>
      </c>
      <c r="BE7" s="6">
        <f t="shared" si="8"/>
        <v>1.539425142857143</v>
      </c>
      <c r="BF7" s="6">
        <f t="shared" si="17"/>
        <v>0.41161100076394097</v>
      </c>
    </row>
    <row r="8" spans="1:58" ht="15" customHeight="1">
      <c r="B8" s="11">
        <v>45268</v>
      </c>
      <c r="D8" s="3">
        <v>3</v>
      </c>
      <c r="E8" s="205" t="str">
        <f t="shared" si="18"/>
        <v/>
      </c>
      <c r="G8" s="124">
        <v>9.0499999999999989</v>
      </c>
      <c r="K8" s="10" t="str">
        <f t="shared" si="19"/>
        <v/>
      </c>
      <c r="L8" s="9" t="str">
        <f t="shared" si="20"/>
        <v/>
      </c>
      <c r="M8" s="8" t="str">
        <f t="shared" si="21"/>
        <v/>
      </c>
      <c r="X8" s="6">
        <v>5.61</v>
      </c>
      <c r="AB8" s="5">
        <v>80</v>
      </c>
      <c r="AC8" s="7">
        <f t="shared" si="9"/>
        <v>0</v>
      </c>
      <c r="AJ8" s="1">
        <v>175</v>
      </c>
      <c r="AK8" s="3">
        <v>180</v>
      </c>
      <c r="AL8" s="4">
        <f t="shared" si="10"/>
        <v>0</v>
      </c>
      <c r="AN8" s="80">
        <f t="shared" si="0"/>
        <v>100</v>
      </c>
      <c r="AO8" s="165"/>
      <c r="AP8" s="13">
        <f t="shared" si="22"/>
        <v>3740.0000000000091</v>
      </c>
      <c r="AQ8" s="15" t="str">
        <f>IF(ISNUMBER([1]HRT_SRT!R62),[1]HRT_SRT!R62,"")</f>
        <v/>
      </c>
      <c r="AR8" s="17" t="e">
        <f t="shared" si="1"/>
        <v>#VALUE!</v>
      </c>
      <c r="AS8" s="16" t="e">
        <f t="shared" si="2"/>
        <v>#DIV/0!</v>
      </c>
      <c r="AT8" s="16" t="e">
        <f t="shared" si="3"/>
        <v>#DIV/0!</v>
      </c>
      <c r="AU8" s="16">
        <f t="shared" si="4"/>
        <v>1</v>
      </c>
      <c r="AV8" s="57" t="str">
        <f t="shared" si="5"/>
        <v/>
      </c>
      <c r="AW8" s="57" t="str">
        <f t="shared" si="6"/>
        <v/>
      </c>
      <c r="AX8" s="57" t="str">
        <f t="shared" si="7"/>
        <v/>
      </c>
      <c r="AY8" s="57" t="str">
        <f t="shared" si="11"/>
        <v/>
      </c>
      <c r="AZ8" s="57" t="str">
        <f t="shared" si="12"/>
        <v/>
      </c>
      <c r="BA8" s="84" t="str">
        <f t="shared" si="13"/>
        <v/>
      </c>
      <c r="BB8" s="84" t="str">
        <f t="shared" si="14"/>
        <v/>
      </c>
      <c r="BC8" s="84" t="e">
        <f t="shared" si="15"/>
        <v>#DIV/0!</v>
      </c>
      <c r="BD8" s="84" t="str">
        <f t="shared" si="16"/>
        <v/>
      </c>
      <c r="BE8" s="6" t="str">
        <f t="shared" si="8"/>
        <v/>
      </c>
      <c r="BF8" s="6" t="str">
        <f t="shared" si="17"/>
        <v/>
      </c>
    </row>
    <row r="9" spans="1:58" ht="15" customHeight="1">
      <c r="B9" s="11">
        <v>45269</v>
      </c>
      <c r="D9" s="3">
        <v>4</v>
      </c>
      <c r="E9" s="205" t="str">
        <f t="shared" si="18"/>
        <v/>
      </c>
      <c r="G9" s="124">
        <v>9.0499999999999989</v>
      </c>
      <c r="K9" s="10" t="str">
        <f t="shared" si="19"/>
        <v/>
      </c>
      <c r="L9" s="9" t="str">
        <f t="shared" si="20"/>
        <v/>
      </c>
      <c r="M9" s="8" t="str">
        <f t="shared" si="21"/>
        <v/>
      </c>
      <c r="X9" s="6">
        <v>9.49</v>
      </c>
      <c r="AB9" s="5">
        <v>80</v>
      </c>
      <c r="AC9" s="7">
        <f t="shared" si="9"/>
        <v>0</v>
      </c>
      <c r="AJ9" s="1">
        <v>175</v>
      </c>
      <c r="AK9" s="3">
        <v>180</v>
      </c>
      <c r="AL9" s="4">
        <f t="shared" si="10"/>
        <v>0</v>
      </c>
      <c r="AN9" s="80">
        <f t="shared" si="0"/>
        <v>100</v>
      </c>
      <c r="AO9" s="165"/>
      <c r="AP9" s="13">
        <f t="shared" si="22"/>
        <v>3740.0000000000091</v>
      </c>
      <c r="AQ9" s="15" t="str">
        <f>IF(ISNUMBER([1]HRT_SRT!R63),[1]HRT_SRT!R63,"")</f>
        <v/>
      </c>
      <c r="AR9" s="17" t="e">
        <f t="shared" si="1"/>
        <v>#VALUE!</v>
      </c>
      <c r="AS9" s="16" t="e">
        <f t="shared" si="2"/>
        <v>#DIV/0!</v>
      </c>
      <c r="AT9" s="16" t="e">
        <f t="shared" si="3"/>
        <v>#DIV/0!</v>
      </c>
      <c r="AU9" s="16">
        <f t="shared" si="4"/>
        <v>1</v>
      </c>
      <c r="AV9" s="57" t="str">
        <f t="shared" si="5"/>
        <v/>
      </c>
      <c r="AW9" s="57" t="str">
        <f t="shared" si="6"/>
        <v/>
      </c>
      <c r="AX9" s="57" t="str">
        <f t="shared" si="7"/>
        <v/>
      </c>
      <c r="AY9" s="57" t="str">
        <f t="shared" si="11"/>
        <v/>
      </c>
      <c r="AZ9" s="57" t="str">
        <f t="shared" si="12"/>
        <v/>
      </c>
      <c r="BA9" s="84" t="str">
        <f t="shared" si="13"/>
        <v/>
      </c>
      <c r="BB9" s="84" t="str">
        <f t="shared" si="14"/>
        <v/>
      </c>
      <c r="BC9" s="84" t="e">
        <f t="shared" si="15"/>
        <v>#DIV/0!</v>
      </c>
      <c r="BD9" s="84" t="str">
        <f t="shared" si="16"/>
        <v/>
      </c>
      <c r="BE9" s="6" t="str">
        <f t="shared" si="8"/>
        <v/>
      </c>
      <c r="BF9" s="6" t="str">
        <f t="shared" si="17"/>
        <v/>
      </c>
    </row>
    <row r="10" spans="1:58" ht="15" customHeight="1">
      <c r="B10" s="11">
        <v>45270</v>
      </c>
      <c r="D10" s="3">
        <v>5</v>
      </c>
      <c r="E10" s="205" t="str">
        <f t="shared" si="18"/>
        <v/>
      </c>
      <c r="G10" s="124">
        <v>9.0499999999999989</v>
      </c>
      <c r="K10" s="10" t="str">
        <f t="shared" si="19"/>
        <v/>
      </c>
      <c r="L10" s="9" t="str">
        <f t="shared" si="20"/>
        <v/>
      </c>
      <c r="M10" s="8" t="str">
        <f t="shared" si="21"/>
        <v/>
      </c>
      <c r="X10" s="6">
        <v>7.24</v>
      </c>
      <c r="AB10" s="5">
        <v>80</v>
      </c>
      <c r="AC10" s="7">
        <f t="shared" si="9"/>
        <v>0</v>
      </c>
      <c r="AJ10" s="1">
        <v>175</v>
      </c>
      <c r="AK10" s="3">
        <v>180</v>
      </c>
      <c r="AL10" s="4">
        <f t="shared" si="10"/>
        <v>0</v>
      </c>
      <c r="AN10" s="80">
        <f t="shared" si="0"/>
        <v>100</v>
      </c>
      <c r="AO10" s="165"/>
      <c r="AP10" s="13" t="e">
        <f t="shared" si="22"/>
        <v>#DIV/0!</v>
      </c>
      <c r="AQ10" s="15" t="str">
        <f>IF(ISNUMBER([1]HRT_SRT!R64),[1]HRT_SRT!R64,"")</f>
        <v/>
      </c>
      <c r="AR10" s="17" t="e">
        <f t="shared" si="1"/>
        <v>#VALUE!</v>
      </c>
      <c r="AS10" s="16" t="e">
        <f t="shared" si="2"/>
        <v>#DIV/0!</v>
      </c>
      <c r="AT10" s="16" t="e">
        <f t="shared" si="3"/>
        <v>#DIV/0!</v>
      </c>
      <c r="AU10" s="16">
        <f t="shared" si="4"/>
        <v>1</v>
      </c>
      <c r="AV10" s="57" t="str">
        <f t="shared" si="5"/>
        <v/>
      </c>
      <c r="AW10" s="57" t="str">
        <f t="shared" si="6"/>
        <v/>
      </c>
      <c r="AX10" s="57" t="str">
        <f t="shared" si="7"/>
        <v/>
      </c>
      <c r="AY10" s="57" t="str">
        <f t="shared" si="11"/>
        <v/>
      </c>
      <c r="AZ10" s="57" t="str">
        <f t="shared" si="12"/>
        <v/>
      </c>
      <c r="BA10" s="84" t="str">
        <f t="shared" si="13"/>
        <v/>
      </c>
      <c r="BB10" s="84" t="str">
        <f t="shared" si="14"/>
        <v/>
      </c>
      <c r="BC10" s="84" t="e">
        <f t="shared" si="15"/>
        <v>#DIV/0!</v>
      </c>
      <c r="BD10" s="84" t="str">
        <f t="shared" si="16"/>
        <v/>
      </c>
      <c r="BE10" s="6" t="str">
        <f t="shared" si="8"/>
        <v/>
      </c>
      <c r="BF10" s="6" t="e">
        <f t="shared" si="17"/>
        <v>#DIV/0!</v>
      </c>
    </row>
    <row r="11" spans="1:58" ht="15" customHeight="1">
      <c r="A11" s="12" t="s">
        <v>183</v>
      </c>
      <c r="B11" s="11">
        <v>45271</v>
      </c>
      <c r="D11" s="3">
        <v>6</v>
      </c>
      <c r="E11" s="205">
        <f t="shared" si="18"/>
        <v>121.82400000000001</v>
      </c>
      <c r="G11" s="15">
        <f>(N11*18-H11*18)/9</f>
        <v>10.064</v>
      </c>
      <c r="H11" s="15">
        <f>2*0.894</f>
        <v>1.788</v>
      </c>
      <c r="I11" s="15">
        <f>AD11</f>
        <v>9.92</v>
      </c>
      <c r="K11" s="10">
        <f t="shared" si="19"/>
        <v>12.104928457869635</v>
      </c>
      <c r="L11" s="9">
        <f t="shared" si="20"/>
        <v>6.1403225806451616</v>
      </c>
      <c r="M11" s="8">
        <f t="shared" si="21"/>
        <v>1.971383147853736</v>
      </c>
      <c r="N11" s="7">
        <v>6.82</v>
      </c>
      <c r="S11" s="6">
        <f>11.605+49.307</f>
        <v>60.912000000000006</v>
      </c>
      <c r="T11" s="6">
        <f>10*1.42</f>
        <v>14.2</v>
      </c>
      <c r="W11" s="6">
        <f>2.72</f>
        <v>2.72</v>
      </c>
      <c r="X11" s="6">
        <v>7.58</v>
      </c>
      <c r="AB11" s="5">
        <v>80</v>
      </c>
      <c r="AC11" s="7">
        <f t="shared" si="9"/>
        <v>14.2</v>
      </c>
      <c r="AD11" s="1">
        <f>2*4.96</f>
        <v>9.92</v>
      </c>
      <c r="AE11" s="1">
        <f>10*1.18</f>
        <v>11.799999999999999</v>
      </c>
      <c r="AF11" s="1">
        <v>1.0000000000000001E-5</v>
      </c>
      <c r="AG11" s="204">
        <f>0.06-0.05</f>
        <v>9.999999999999995E-3</v>
      </c>
      <c r="AH11" s="203">
        <v>0.39826388888888892</v>
      </c>
      <c r="AJ11" s="1">
        <v>175</v>
      </c>
      <c r="AK11" s="3">
        <v>180</v>
      </c>
      <c r="AL11" s="4">
        <f t="shared" si="10"/>
        <v>11.799999999999999</v>
      </c>
      <c r="AM11" s="1">
        <f>2*4.02</f>
        <v>8.0399999999999991</v>
      </c>
      <c r="AN11" s="80">
        <f t="shared" si="0"/>
        <v>100</v>
      </c>
      <c r="AO11" s="165"/>
      <c r="AP11" s="13" t="e">
        <f t="shared" si="22"/>
        <v>#DIV/0!</v>
      </c>
      <c r="AQ11" s="15" t="str">
        <f>IF(ISNUMBER([1]HRT_SRT!R65),[1]HRT_SRT!R65,"")</f>
        <v/>
      </c>
      <c r="AR11" s="17">
        <f t="shared" si="1"/>
        <v>0.97767270816916207</v>
      </c>
      <c r="AS11" s="16">
        <f t="shared" si="2"/>
        <v>0.99999899193548392</v>
      </c>
      <c r="AT11" s="16">
        <f t="shared" si="3"/>
        <v>1.0080655323241247E-3</v>
      </c>
      <c r="AU11" s="16">
        <f t="shared" si="4"/>
        <v>0.20111287758346591</v>
      </c>
      <c r="AV11" s="57">
        <f t="shared" si="5"/>
        <v>119.10400000000001</v>
      </c>
      <c r="AW11" s="57">
        <f t="shared" si="6"/>
        <v>9.9199900000000003</v>
      </c>
      <c r="AX11" s="57">
        <f t="shared" si="7"/>
        <v>2.0240000000000009</v>
      </c>
      <c r="AY11" s="57">
        <f t="shared" si="11"/>
        <v>2.4000000000000004</v>
      </c>
      <c r="AZ11" s="57">
        <f t="shared" si="12"/>
        <v>3.76</v>
      </c>
      <c r="BA11" s="84">
        <f t="shared" si="13"/>
        <v>0.97767270816916207</v>
      </c>
      <c r="BB11" s="84">
        <f t="shared" si="14"/>
        <v>0.99999899193548392</v>
      </c>
      <c r="BC11" s="84">
        <f t="shared" si="15"/>
        <v>1.0080655323241247E-3</v>
      </c>
      <c r="BD11" s="84">
        <f t="shared" si="16"/>
        <v>0.20111287758346591</v>
      </c>
      <c r="BE11" s="6">
        <f t="shared" si="8"/>
        <v>3.4011394285714287</v>
      </c>
      <c r="BF11" s="6" t="e">
        <f t="shared" si="17"/>
        <v>#DIV/0!</v>
      </c>
    </row>
    <row r="12" spans="1:58" ht="15" customHeight="1">
      <c r="A12" s="12" t="s">
        <v>182</v>
      </c>
      <c r="B12" s="11">
        <v>45272</v>
      </c>
      <c r="D12" s="3">
        <v>7</v>
      </c>
      <c r="E12" s="205" t="str">
        <f t="shared" si="18"/>
        <v/>
      </c>
      <c r="G12" s="124">
        <v>10.064</v>
      </c>
      <c r="K12" s="10" t="str">
        <f t="shared" si="19"/>
        <v/>
      </c>
      <c r="L12" s="9" t="str">
        <f t="shared" si="20"/>
        <v/>
      </c>
      <c r="M12" s="8" t="str">
        <f t="shared" si="21"/>
        <v/>
      </c>
      <c r="X12" s="6">
        <v>6.44</v>
      </c>
      <c r="AB12" s="5">
        <v>80</v>
      </c>
      <c r="AC12" s="7">
        <f t="shared" si="9"/>
        <v>0</v>
      </c>
      <c r="AJ12" s="1">
        <v>175</v>
      </c>
      <c r="AK12" s="3">
        <v>180</v>
      </c>
      <c r="AL12" s="4">
        <f t="shared" si="10"/>
        <v>0</v>
      </c>
      <c r="AN12" s="80">
        <f t="shared" si="0"/>
        <v>100</v>
      </c>
      <c r="AO12" s="165"/>
      <c r="AP12" s="13" t="e">
        <f t="shared" si="22"/>
        <v>#DIV/0!</v>
      </c>
      <c r="AQ12" s="15" t="str">
        <f>IF(ISNUMBER([1]HRT_SRT!R66),[1]HRT_SRT!R66,"")</f>
        <v/>
      </c>
      <c r="AR12" s="17" t="e">
        <f t="shared" si="1"/>
        <v>#VALUE!</v>
      </c>
      <c r="AS12" s="16" t="e">
        <f t="shared" si="2"/>
        <v>#DIV/0!</v>
      </c>
      <c r="AT12" s="16" t="e">
        <f t="shared" si="3"/>
        <v>#DIV/0!</v>
      </c>
      <c r="AU12" s="16">
        <f t="shared" si="4"/>
        <v>1</v>
      </c>
      <c r="AV12" s="57" t="str">
        <f t="shared" si="5"/>
        <v/>
      </c>
      <c r="AW12" s="57" t="str">
        <f t="shared" si="6"/>
        <v/>
      </c>
      <c r="AX12" s="57" t="str">
        <f t="shared" si="7"/>
        <v/>
      </c>
      <c r="AY12" s="57" t="str">
        <f t="shared" si="11"/>
        <v/>
      </c>
      <c r="AZ12" s="57" t="str">
        <f t="shared" si="12"/>
        <v/>
      </c>
      <c r="BA12" s="84" t="str">
        <f t="shared" si="13"/>
        <v/>
      </c>
      <c r="BB12" s="84" t="str">
        <f t="shared" si="14"/>
        <v/>
      </c>
      <c r="BC12" s="84" t="e">
        <f t="shared" si="15"/>
        <v>#DIV/0!</v>
      </c>
      <c r="BD12" s="84" t="str">
        <f t="shared" si="16"/>
        <v/>
      </c>
      <c r="BE12" s="6" t="str">
        <f t="shared" si="8"/>
        <v/>
      </c>
      <c r="BF12" s="6" t="e">
        <f t="shared" si="17"/>
        <v>#DIV/0!</v>
      </c>
    </row>
    <row r="13" spans="1:58" ht="15" customHeight="1">
      <c r="B13" s="11">
        <v>45273</v>
      </c>
      <c r="D13" s="3">
        <v>8</v>
      </c>
      <c r="E13" s="205" t="str">
        <f t="shared" si="18"/>
        <v/>
      </c>
      <c r="G13" s="124">
        <v>10.064</v>
      </c>
      <c r="K13" s="10" t="str">
        <f t="shared" si="19"/>
        <v/>
      </c>
      <c r="L13" s="9" t="str">
        <f t="shared" si="20"/>
        <v/>
      </c>
      <c r="M13" s="8" t="str">
        <f t="shared" si="21"/>
        <v/>
      </c>
      <c r="X13" s="6">
        <v>8.08</v>
      </c>
      <c r="AB13" s="5">
        <v>80</v>
      </c>
      <c r="AC13" s="7">
        <f t="shared" si="9"/>
        <v>0</v>
      </c>
      <c r="AG13" s="204">
        <f>0.13-0.05</f>
        <v>0.08</v>
      </c>
      <c r="AH13" s="203">
        <v>0.40995370370370371</v>
      </c>
      <c r="AJ13" s="1">
        <v>175</v>
      </c>
      <c r="AK13" s="3">
        <v>180</v>
      </c>
      <c r="AL13" s="4">
        <f t="shared" si="10"/>
        <v>0</v>
      </c>
      <c r="AN13" s="80">
        <f t="shared" si="0"/>
        <v>100</v>
      </c>
      <c r="AO13" s="165"/>
      <c r="AP13" s="13" t="e">
        <f t="shared" si="22"/>
        <v>#DIV/0!</v>
      </c>
      <c r="AQ13" s="15" t="str">
        <f>IF(ISNUMBER([1]HRT_SRT!R67),[1]HRT_SRT!R67,"")</f>
        <v/>
      </c>
      <c r="AR13" s="17" t="e">
        <f t="shared" si="1"/>
        <v>#VALUE!</v>
      </c>
      <c r="AS13" s="16" t="e">
        <f t="shared" si="2"/>
        <v>#DIV/0!</v>
      </c>
      <c r="AT13" s="16" t="e">
        <f t="shared" si="3"/>
        <v>#DIV/0!</v>
      </c>
      <c r="AU13" s="16">
        <f t="shared" si="4"/>
        <v>1</v>
      </c>
      <c r="AV13" s="57" t="str">
        <f t="shared" si="5"/>
        <v/>
      </c>
      <c r="AW13" s="57" t="str">
        <f t="shared" si="6"/>
        <v/>
      </c>
      <c r="AX13" s="57" t="str">
        <f t="shared" si="7"/>
        <v/>
      </c>
      <c r="AY13" s="57" t="str">
        <f t="shared" si="11"/>
        <v/>
      </c>
      <c r="AZ13" s="57" t="str">
        <f t="shared" si="12"/>
        <v/>
      </c>
      <c r="BA13" s="84" t="str">
        <f t="shared" si="13"/>
        <v/>
      </c>
      <c r="BB13" s="84" t="str">
        <f t="shared" si="14"/>
        <v/>
      </c>
      <c r="BC13" s="84" t="e">
        <f t="shared" si="15"/>
        <v>#DIV/0!</v>
      </c>
      <c r="BD13" s="84" t="str">
        <f t="shared" si="16"/>
        <v/>
      </c>
      <c r="BE13" s="6" t="str">
        <f t="shared" si="8"/>
        <v/>
      </c>
      <c r="BF13" s="6" t="e">
        <f t="shared" si="17"/>
        <v>#DIV/0!</v>
      </c>
    </row>
    <row r="14" spans="1:58" ht="15" customHeight="1">
      <c r="B14" s="11">
        <v>45274</v>
      </c>
      <c r="D14" s="3">
        <v>9</v>
      </c>
      <c r="E14" s="205" t="str">
        <f t="shared" si="18"/>
        <v/>
      </c>
      <c r="G14" s="124">
        <v>10.064</v>
      </c>
      <c r="K14" s="10" t="str">
        <f t="shared" si="19"/>
        <v/>
      </c>
      <c r="L14" s="9" t="str">
        <f t="shared" si="20"/>
        <v/>
      </c>
      <c r="M14" s="8" t="str">
        <f t="shared" si="21"/>
        <v/>
      </c>
      <c r="X14" s="6">
        <v>8.16</v>
      </c>
      <c r="AB14" s="5">
        <v>80</v>
      </c>
      <c r="AC14" s="7">
        <f t="shared" si="9"/>
        <v>0</v>
      </c>
      <c r="AJ14" s="1">
        <v>175</v>
      </c>
      <c r="AK14" s="3">
        <v>180</v>
      </c>
      <c r="AL14" s="4">
        <f t="shared" si="10"/>
        <v>0</v>
      </c>
      <c r="AN14" s="80">
        <f t="shared" si="0"/>
        <v>100</v>
      </c>
      <c r="AO14" s="165"/>
      <c r="AP14" s="13" t="e">
        <f t="shared" si="22"/>
        <v>#DIV/0!</v>
      </c>
      <c r="AQ14" s="15" t="str">
        <f>IF(ISNUMBER([1]HRT_SRT!R68),[1]HRT_SRT!R68,"")</f>
        <v/>
      </c>
      <c r="AR14" s="17" t="e">
        <f t="shared" si="1"/>
        <v>#VALUE!</v>
      </c>
      <c r="AS14" s="16" t="e">
        <f t="shared" si="2"/>
        <v>#DIV/0!</v>
      </c>
      <c r="AT14" s="16" t="e">
        <f t="shared" si="3"/>
        <v>#DIV/0!</v>
      </c>
      <c r="AU14" s="16">
        <f t="shared" si="4"/>
        <v>1</v>
      </c>
      <c r="AV14" s="57" t="str">
        <f t="shared" si="5"/>
        <v/>
      </c>
      <c r="AW14" s="57" t="str">
        <f t="shared" si="6"/>
        <v/>
      </c>
      <c r="AX14" s="57" t="str">
        <f t="shared" si="7"/>
        <v/>
      </c>
      <c r="AY14" s="57" t="str">
        <f t="shared" si="11"/>
        <v/>
      </c>
      <c r="AZ14" s="57" t="str">
        <f t="shared" si="12"/>
        <v/>
      </c>
      <c r="BA14" s="84" t="str">
        <f t="shared" si="13"/>
        <v/>
      </c>
      <c r="BB14" s="84" t="str">
        <f t="shared" si="14"/>
        <v/>
      </c>
      <c r="BC14" s="84" t="e">
        <f t="shared" si="15"/>
        <v>#DIV/0!</v>
      </c>
      <c r="BD14" s="84" t="str">
        <f t="shared" si="16"/>
        <v/>
      </c>
      <c r="BE14" s="6" t="str">
        <f t="shared" si="8"/>
        <v/>
      </c>
      <c r="BF14" s="6" t="e">
        <f t="shared" si="17"/>
        <v>#DIV/0!</v>
      </c>
    </row>
    <row r="15" spans="1:58" ht="15" customHeight="1">
      <c r="B15" s="11">
        <v>45275</v>
      </c>
      <c r="D15" s="3">
        <v>10</v>
      </c>
      <c r="E15" s="205" t="str">
        <f t="shared" si="18"/>
        <v/>
      </c>
      <c r="G15" s="124">
        <v>10.064</v>
      </c>
      <c r="K15" s="10" t="str">
        <f t="shared" si="19"/>
        <v/>
      </c>
      <c r="L15" s="9" t="str">
        <f t="shared" si="20"/>
        <v/>
      </c>
      <c r="M15" s="8" t="str">
        <f t="shared" si="21"/>
        <v/>
      </c>
      <c r="X15" s="6">
        <v>6.12</v>
      </c>
      <c r="AB15" s="5">
        <v>80</v>
      </c>
      <c r="AC15" s="7">
        <f t="shared" si="9"/>
        <v>0</v>
      </c>
      <c r="AJ15" s="1">
        <v>175</v>
      </c>
      <c r="AK15" s="3">
        <v>180</v>
      </c>
      <c r="AL15" s="4">
        <f t="shared" si="10"/>
        <v>0</v>
      </c>
      <c r="AN15" s="80">
        <f t="shared" si="0"/>
        <v>100</v>
      </c>
      <c r="AO15" s="165"/>
      <c r="AP15" s="13">
        <f t="shared" si="22"/>
        <v>2790.0000000000091</v>
      </c>
      <c r="AQ15" s="15" t="str">
        <f>IF(ISNUMBER([1]HRT_SRT!R69),[1]HRT_SRT!R69,"")</f>
        <v/>
      </c>
      <c r="AR15" s="17" t="e">
        <f t="shared" si="1"/>
        <v>#VALUE!</v>
      </c>
      <c r="AS15" s="16" t="e">
        <f t="shared" si="2"/>
        <v>#DIV/0!</v>
      </c>
      <c r="AT15" s="16" t="e">
        <f t="shared" si="3"/>
        <v>#DIV/0!</v>
      </c>
      <c r="AU15" s="16">
        <f t="shared" si="4"/>
        <v>1</v>
      </c>
      <c r="AV15" s="57" t="str">
        <f t="shared" si="5"/>
        <v/>
      </c>
      <c r="AW15" s="57" t="str">
        <f t="shared" si="6"/>
        <v/>
      </c>
      <c r="AX15" s="57" t="str">
        <f t="shared" si="7"/>
        <v/>
      </c>
      <c r="AY15" s="57" t="str">
        <f t="shared" si="11"/>
        <v/>
      </c>
      <c r="AZ15" s="57" t="str">
        <f t="shared" si="12"/>
        <v/>
      </c>
      <c r="BA15" s="84" t="str">
        <f t="shared" si="13"/>
        <v/>
      </c>
      <c r="BB15" s="84" t="str">
        <f t="shared" si="14"/>
        <v/>
      </c>
      <c r="BC15" s="84" t="e">
        <f t="shared" si="15"/>
        <v>#DIV/0!</v>
      </c>
      <c r="BD15" s="84" t="str">
        <f t="shared" si="16"/>
        <v/>
      </c>
      <c r="BE15" s="6" t="str">
        <f t="shared" si="8"/>
        <v/>
      </c>
      <c r="BF15" s="6" t="str">
        <f t="shared" si="17"/>
        <v/>
      </c>
    </row>
    <row r="16" spans="1:58" ht="15" customHeight="1">
      <c r="B16" s="11">
        <v>45276</v>
      </c>
      <c r="D16" s="3">
        <v>11</v>
      </c>
      <c r="E16" s="205" t="str">
        <f t="shared" si="18"/>
        <v/>
      </c>
      <c r="G16" s="124">
        <v>10.064</v>
      </c>
      <c r="K16" s="10" t="str">
        <f t="shared" si="19"/>
        <v/>
      </c>
      <c r="L16" s="9" t="str">
        <f t="shared" si="20"/>
        <v/>
      </c>
      <c r="M16" s="8" t="str">
        <f t="shared" si="21"/>
        <v/>
      </c>
      <c r="X16" s="6">
        <v>6.3</v>
      </c>
      <c r="AB16" s="5">
        <v>80</v>
      </c>
      <c r="AC16" s="7">
        <f t="shared" si="9"/>
        <v>0</v>
      </c>
      <c r="AG16" s="204"/>
      <c r="AH16" s="203"/>
      <c r="AJ16" s="1">
        <v>175</v>
      </c>
      <c r="AK16" s="3">
        <v>180</v>
      </c>
      <c r="AL16" s="4">
        <f t="shared" si="10"/>
        <v>0</v>
      </c>
      <c r="AN16" s="80">
        <f t="shared" si="0"/>
        <v>100</v>
      </c>
      <c r="AO16" s="165"/>
      <c r="AP16" s="13">
        <f t="shared" si="22"/>
        <v>2790.0000000000091</v>
      </c>
      <c r="AQ16" s="15" t="str">
        <f>IF(ISNUMBER([1]HRT_SRT!R70),[1]HRT_SRT!R70,"")</f>
        <v/>
      </c>
      <c r="AR16" s="17" t="e">
        <f t="shared" si="1"/>
        <v>#VALUE!</v>
      </c>
      <c r="AS16" s="16" t="e">
        <f t="shared" si="2"/>
        <v>#DIV/0!</v>
      </c>
      <c r="AT16" s="16" t="e">
        <f t="shared" si="3"/>
        <v>#DIV/0!</v>
      </c>
      <c r="AU16" s="16">
        <f t="shared" si="4"/>
        <v>1</v>
      </c>
      <c r="AV16" s="57" t="str">
        <f t="shared" si="5"/>
        <v/>
      </c>
      <c r="AW16" s="57" t="str">
        <f t="shared" si="6"/>
        <v/>
      </c>
      <c r="AX16" s="57" t="str">
        <f t="shared" si="7"/>
        <v/>
      </c>
      <c r="AY16" s="57" t="str">
        <f t="shared" si="11"/>
        <v/>
      </c>
      <c r="AZ16" s="57" t="str">
        <f t="shared" si="12"/>
        <v/>
      </c>
      <c r="BA16" s="84" t="str">
        <f t="shared" si="13"/>
        <v/>
      </c>
      <c r="BB16" s="84" t="str">
        <f t="shared" si="14"/>
        <v/>
      </c>
      <c r="BC16" s="84" t="e">
        <f t="shared" si="15"/>
        <v>#DIV/0!</v>
      </c>
      <c r="BD16" s="84" t="str">
        <f t="shared" si="16"/>
        <v/>
      </c>
      <c r="BE16" s="6" t="str">
        <f t="shared" si="8"/>
        <v/>
      </c>
      <c r="BF16" s="6" t="str">
        <f t="shared" si="17"/>
        <v/>
      </c>
    </row>
    <row r="17" spans="1:58" ht="15" customHeight="1">
      <c r="B17" s="11">
        <v>45277</v>
      </c>
      <c r="D17" s="3">
        <v>12</v>
      </c>
      <c r="E17" s="205" t="str">
        <f t="shared" si="18"/>
        <v/>
      </c>
      <c r="G17" s="124">
        <v>10.064</v>
      </c>
      <c r="K17" s="10" t="str">
        <f t="shared" si="19"/>
        <v/>
      </c>
      <c r="L17" s="9" t="str">
        <f t="shared" si="20"/>
        <v/>
      </c>
      <c r="M17" s="8" t="str">
        <f t="shared" si="21"/>
        <v/>
      </c>
      <c r="X17" s="6">
        <v>4.08</v>
      </c>
      <c r="AB17" s="5">
        <v>80</v>
      </c>
      <c r="AC17" s="7">
        <f t="shared" si="9"/>
        <v>0</v>
      </c>
      <c r="AG17" s="204">
        <f>0.17-0.05</f>
        <v>0.12000000000000001</v>
      </c>
      <c r="AH17" s="203">
        <v>0.42418981481481483</v>
      </c>
      <c r="AJ17" s="1">
        <v>175</v>
      </c>
      <c r="AK17" s="3">
        <v>180</v>
      </c>
      <c r="AL17" s="4">
        <f t="shared" si="10"/>
        <v>0</v>
      </c>
      <c r="AN17" s="80">
        <f t="shared" si="0"/>
        <v>100</v>
      </c>
      <c r="AO17" s="165"/>
      <c r="AP17" s="13">
        <f t="shared" si="22"/>
        <v>2790.0000000000091</v>
      </c>
      <c r="AQ17" s="15" t="str">
        <f>IF(ISNUMBER([1]HRT_SRT!R71),[1]HRT_SRT!R71,"")</f>
        <v/>
      </c>
      <c r="AR17" s="17" t="e">
        <f t="shared" si="1"/>
        <v>#VALUE!</v>
      </c>
      <c r="AS17" s="16" t="e">
        <f t="shared" si="2"/>
        <v>#DIV/0!</v>
      </c>
      <c r="AT17" s="16" t="e">
        <f t="shared" si="3"/>
        <v>#DIV/0!</v>
      </c>
      <c r="AU17" s="16">
        <f t="shared" si="4"/>
        <v>1</v>
      </c>
      <c r="AV17" s="57" t="str">
        <f t="shared" si="5"/>
        <v/>
      </c>
      <c r="AW17" s="57" t="str">
        <f t="shared" si="6"/>
        <v/>
      </c>
      <c r="AX17" s="57" t="str">
        <f t="shared" si="7"/>
        <v/>
      </c>
      <c r="AY17" s="57" t="str">
        <f t="shared" si="11"/>
        <v/>
      </c>
      <c r="AZ17" s="57" t="str">
        <f t="shared" si="12"/>
        <v/>
      </c>
      <c r="BA17" s="84" t="str">
        <f t="shared" si="13"/>
        <v/>
      </c>
      <c r="BB17" s="84" t="str">
        <f t="shared" si="14"/>
        <v/>
      </c>
      <c r="BC17" s="84" t="e">
        <f t="shared" si="15"/>
        <v>#DIV/0!</v>
      </c>
      <c r="BD17" s="84" t="str">
        <f t="shared" si="16"/>
        <v/>
      </c>
      <c r="BE17" s="6" t="str">
        <f t="shared" si="8"/>
        <v/>
      </c>
      <c r="BF17" s="6" t="str">
        <f t="shared" si="17"/>
        <v/>
      </c>
    </row>
    <row r="18" spans="1:58" ht="15" customHeight="1">
      <c r="B18" s="11">
        <v>45278</v>
      </c>
      <c r="D18" s="3">
        <v>13</v>
      </c>
      <c r="E18" s="205">
        <f t="shared" si="18"/>
        <v>144.25200000000001</v>
      </c>
      <c r="F18" s="9">
        <f>'[1]12-19-2023 '!AR71+'[1]12-19-2023 '!AR35</f>
        <v>90.121000000000009</v>
      </c>
      <c r="G18" s="124">
        <f>H18*2</f>
        <v>13.42</v>
      </c>
      <c r="H18" s="9">
        <v>6.71</v>
      </c>
      <c r="I18" s="15">
        <f>AD18</f>
        <v>9.42</v>
      </c>
      <c r="K18" s="10">
        <f t="shared" si="19"/>
        <v>10.74903129657228</v>
      </c>
      <c r="L18" s="9">
        <f t="shared" si="20"/>
        <v>7.6566878980891726</v>
      </c>
      <c r="M18" s="8">
        <f t="shared" si="21"/>
        <v>1.4038748137108792</v>
      </c>
      <c r="N18" s="7">
        <f>10*1.39</f>
        <v>13.899999999999999</v>
      </c>
      <c r="S18" s="6">
        <f>'[1]12-19-2023 '!AR34+'[1]12-19-2023 '!AR70</f>
        <v>72.126000000000005</v>
      </c>
      <c r="T18" s="6">
        <f>20*1.49</f>
        <v>29.8</v>
      </c>
      <c r="W18" s="6">
        <f>'[1]12-19-2023 '!AR69+'[1]12-19-2023 '!AR33</f>
        <v>7.766</v>
      </c>
      <c r="X18" s="6">
        <v>9.31</v>
      </c>
      <c r="Y18" s="6">
        <v>0.21</v>
      </c>
      <c r="AB18" s="5">
        <v>80</v>
      </c>
      <c r="AC18" s="7">
        <f t="shared" si="9"/>
        <v>29.8</v>
      </c>
      <c r="AD18" s="1">
        <f>2*4.71</f>
        <v>9.42</v>
      </c>
      <c r="AE18" s="1">
        <f>10*1.9</f>
        <v>19</v>
      </c>
      <c r="AF18" s="1">
        <v>1.0000000000000001E-5</v>
      </c>
      <c r="AG18" s="204">
        <f>0.46-0.05</f>
        <v>0.41000000000000003</v>
      </c>
      <c r="AH18" s="203">
        <v>0.45439814814814811</v>
      </c>
      <c r="AJ18" s="1">
        <v>175</v>
      </c>
      <c r="AK18" s="3">
        <v>180</v>
      </c>
      <c r="AL18" s="4">
        <f t="shared" si="10"/>
        <v>19</v>
      </c>
      <c r="AM18" s="1">
        <f>10*0.964</f>
        <v>9.64</v>
      </c>
      <c r="AN18" s="80">
        <f t="shared" si="0"/>
        <v>100</v>
      </c>
      <c r="AO18" s="165"/>
      <c r="AP18" s="13">
        <f t="shared" si="22"/>
        <v>2790.0000000000091</v>
      </c>
      <c r="AQ18" s="15" t="str">
        <f>IF(ISNUMBER([1]HRT_SRT!R72),[1]HRT_SRT!R72,"")</f>
        <v/>
      </c>
      <c r="AR18" s="17">
        <f t="shared" si="1"/>
        <v>0.9461636580428695</v>
      </c>
      <c r="AS18" s="16">
        <f t="shared" si="2"/>
        <v>0.99999893842887477</v>
      </c>
      <c r="AT18" s="16">
        <f t="shared" si="3"/>
        <v>4.3524462340193568E-2</v>
      </c>
      <c r="AU18" s="16">
        <f t="shared" si="4"/>
        <v>0.28166915052160951</v>
      </c>
      <c r="AV18" s="57">
        <f t="shared" si="5"/>
        <v>136.48600000000002</v>
      </c>
      <c r="AW18" s="57">
        <f t="shared" si="6"/>
        <v>9.4199900000000003</v>
      </c>
      <c r="AX18" s="57">
        <f t="shared" si="7"/>
        <v>3.7799999999999994</v>
      </c>
      <c r="AY18" s="57">
        <f t="shared" si="11"/>
        <v>10.8</v>
      </c>
      <c r="AZ18" s="57">
        <f t="shared" si="12"/>
        <v>9.36</v>
      </c>
      <c r="BA18" s="84">
        <f t="shared" si="13"/>
        <v>0.9461636580428695</v>
      </c>
      <c r="BB18" s="84">
        <f t="shared" si="14"/>
        <v>0.99999893842887477</v>
      </c>
      <c r="BC18" s="84">
        <f t="shared" si="15"/>
        <v>4.3524462340193568E-2</v>
      </c>
      <c r="BD18" s="84">
        <f t="shared" si="16"/>
        <v>0.28166915052160951</v>
      </c>
      <c r="BE18" s="6">
        <f t="shared" si="8"/>
        <v>3.2297108571428574</v>
      </c>
      <c r="BF18" s="6">
        <f t="shared" si="17"/>
        <v>1.157602457757293</v>
      </c>
    </row>
    <row r="19" spans="1:58" ht="15" customHeight="1">
      <c r="A19" s="12" t="s">
        <v>181</v>
      </c>
      <c r="B19" s="167">
        <v>45279</v>
      </c>
      <c r="C19" s="166"/>
      <c r="D19" s="136">
        <v>14</v>
      </c>
      <c r="E19" s="205">
        <f t="shared" si="18"/>
        <v>233.66800000000001</v>
      </c>
      <c r="G19" s="9">
        <f>(N19*18-H19*18)/9</f>
        <v>18.560000000000002</v>
      </c>
      <c r="H19" s="9">
        <f>'[1]12-19-2023 '!I28</f>
        <v>9.33</v>
      </c>
      <c r="I19" s="15">
        <f>AD19</f>
        <v>14.5</v>
      </c>
      <c r="K19" s="10">
        <f t="shared" si="19"/>
        <v>12.589870689655172</v>
      </c>
      <c r="L19" s="9">
        <f t="shared" si="20"/>
        <v>8.0575172413793101</v>
      </c>
      <c r="M19" s="8">
        <f t="shared" si="21"/>
        <v>1.5624999999999998</v>
      </c>
      <c r="N19" s="6">
        <f>'[1]12-19-2023 '!I6</f>
        <v>18.61</v>
      </c>
      <c r="S19" s="6">
        <f>'[1]12-19-2023 '!Q6</f>
        <v>116.834</v>
      </c>
      <c r="T19" s="6">
        <f>'[1]12-19-2023 '!I12</f>
        <v>47.14</v>
      </c>
      <c r="W19" s="6">
        <f>'[1]12-19-2023 '!Q12</f>
        <v>7.85</v>
      </c>
      <c r="X19" s="6">
        <v>8.16</v>
      </c>
      <c r="AB19" s="5">
        <v>80</v>
      </c>
      <c r="AC19" s="6">
        <f t="shared" si="9"/>
        <v>47.14</v>
      </c>
      <c r="AD19" s="1">
        <f>'[1]12-19-2023 '!G13</f>
        <v>14.5</v>
      </c>
      <c r="AE19" s="1">
        <f>'[1]12-19-2023 '!I21</f>
        <v>29.07</v>
      </c>
      <c r="AF19" s="1">
        <f>'[1]12-19-2023 '!G21</f>
        <v>0.57999999999999996</v>
      </c>
      <c r="AG19" s="1">
        <f>1.49-0.05</f>
        <v>1.44</v>
      </c>
      <c r="AH19" s="203">
        <v>0.48680555555555555</v>
      </c>
      <c r="AJ19" s="1">
        <v>175</v>
      </c>
      <c r="AK19" s="3">
        <v>180</v>
      </c>
      <c r="AL19" s="1">
        <f t="shared" si="10"/>
        <v>29.07</v>
      </c>
      <c r="AM19" s="6">
        <f>'[1]12-19-2023 '!I27</f>
        <v>13.99</v>
      </c>
      <c r="AN19" s="80">
        <f t="shared" si="0"/>
        <v>100</v>
      </c>
      <c r="AO19" s="165">
        <f>[1]TSS_VSS!H71</f>
        <v>2790.0000000000091</v>
      </c>
      <c r="AP19" s="13">
        <f t="shared" si="22"/>
        <v>2790.0000000000091</v>
      </c>
      <c r="AQ19" s="15">
        <f>IF(ISNUMBER([1]HRT_SRT!R73),[1]HRT_SRT!R73,"")</f>
        <v>26.525955504847722</v>
      </c>
      <c r="AR19" s="17">
        <f t="shared" si="1"/>
        <v>0.9664053272163925</v>
      </c>
      <c r="AS19" s="16">
        <f t="shared" si="2"/>
        <v>0.96</v>
      </c>
      <c r="AT19" s="16">
        <f t="shared" si="3"/>
        <v>0.10344827586206896</v>
      </c>
      <c r="AU19" s="16">
        <f t="shared" si="4"/>
        <v>0.24622844827586216</v>
      </c>
      <c r="AV19" s="57">
        <f t="shared" si="5"/>
        <v>225.81800000000001</v>
      </c>
      <c r="AW19" s="57">
        <f t="shared" si="6"/>
        <v>13.92</v>
      </c>
      <c r="AX19" s="57">
        <f t="shared" si="7"/>
        <v>4.5700000000000021</v>
      </c>
      <c r="AY19" s="57">
        <f t="shared" si="11"/>
        <v>18.07</v>
      </c>
      <c r="AZ19" s="57">
        <f t="shared" si="12"/>
        <v>15.08</v>
      </c>
      <c r="BA19" s="84">
        <f t="shared" si="13"/>
        <v>0.9664053272163925</v>
      </c>
      <c r="BB19" s="84">
        <f t="shared" si="14"/>
        <v>0.96</v>
      </c>
      <c r="BC19" s="84">
        <f t="shared" si="15"/>
        <v>0.10344827586206896</v>
      </c>
      <c r="BD19" s="84">
        <f t="shared" si="16"/>
        <v>0.24622844827586216</v>
      </c>
      <c r="BE19" s="6">
        <f t="shared" si="8"/>
        <v>4.7725714285714291</v>
      </c>
      <c r="BF19" s="6">
        <f t="shared" si="17"/>
        <v>1.7105990783410085</v>
      </c>
    </row>
    <row r="20" spans="1:58" ht="15" customHeight="1">
      <c r="B20" s="11">
        <v>45280</v>
      </c>
      <c r="D20" s="3">
        <v>15</v>
      </c>
      <c r="E20" s="205" t="str">
        <f t="shared" si="18"/>
        <v/>
      </c>
      <c r="I20" s="15"/>
      <c r="K20" s="10" t="str">
        <f t="shared" si="19"/>
        <v/>
      </c>
      <c r="L20" s="9" t="str">
        <f t="shared" si="20"/>
        <v/>
      </c>
      <c r="M20" s="8" t="str">
        <f t="shared" si="21"/>
        <v/>
      </c>
      <c r="X20" s="6">
        <v>8.32</v>
      </c>
      <c r="AB20" s="5">
        <v>80</v>
      </c>
      <c r="AF20" s="6"/>
      <c r="AG20" s="204">
        <v>1.23</v>
      </c>
      <c r="AH20" s="203">
        <v>0.47442129629629631</v>
      </c>
      <c r="AJ20" s="1">
        <v>175</v>
      </c>
      <c r="AK20" s="3">
        <v>180</v>
      </c>
      <c r="AN20" s="80">
        <f t="shared" si="0"/>
        <v>100</v>
      </c>
      <c r="AO20" s="165"/>
      <c r="AP20" s="13">
        <f t="shared" si="22"/>
        <v>2790.0000000000091</v>
      </c>
      <c r="AQ20" s="15" t="str">
        <f>IF(ISNUMBER([1]HRT_SRT!R74),[1]HRT_SRT!R74,"")</f>
        <v/>
      </c>
      <c r="AR20" s="17" t="e">
        <f t="shared" si="1"/>
        <v>#VALUE!</v>
      </c>
      <c r="AS20" s="16" t="e">
        <f t="shared" si="2"/>
        <v>#DIV/0!</v>
      </c>
      <c r="AT20" s="16" t="e">
        <f t="shared" si="3"/>
        <v>#DIV/0!</v>
      </c>
      <c r="AU20" s="16" t="e">
        <f t="shared" si="4"/>
        <v>#DIV/0!</v>
      </c>
      <c r="AV20" s="57" t="str">
        <f t="shared" si="5"/>
        <v/>
      </c>
      <c r="AW20" s="57" t="str">
        <f t="shared" si="6"/>
        <v/>
      </c>
      <c r="AX20" s="57" t="str">
        <f t="shared" si="7"/>
        <v/>
      </c>
      <c r="AY20" s="57" t="str">
        <f t="shared" si="11"/>
        <v/>
      </c>
      <c r="AZ20" s="57" t="str">
        <f t="shared" si="12"/>
        <v/>
      </c>
      <c r="BA20" s="84" t="str">
        <f t="shared" si="13"/>
        <v/>
      </c>
      <c r="BB20" s="84" t="str">
        <f t="shared" si="14"/>
        <v/>
      </c>
      <c r="BC20" s="84" t="e">
        <f t="shared" si="15"/>
        <v>#DIV/0!</v>
      </c>
      <c r="BD20" s="84" t="str">
        <f t="shared" si="16"/>
        <v/>
      </c>
      <c r="BE20" s="6" t="str">
        <f t="shared" si="8"/>
        <v/>
      </c>
      <c r="BF20" s="6" t="str">
        <f t="shared" si="17"/>
        <v/>
      </c>
    </row>
    <row r="21" spans="1:58" ht="15" customHeight="1">
      <c r="B21" s="11">
        <v>45281</v>
      </c>
      <c r="D21" s="3">
        <v>16</v>
      </c>
      <c r="E21" s="205">
        <f t="shared" si="18"/>
        <v>202.77600000000001</v>
      </c>
      <c r="G21" s="9">
        <f>(N21*18-H21*17)/9</f>
        <v>17.33666666666667</v>
      </c>
      <c r="H21" s="9">
        <f>10*0.861</f>
        <v>8.61</v>
      </c>
      <c r="I21" s="15">
        <f t="shared" ref="I21:I52" si="23">AD21</f>
        <v>13.5</v>
      </c>
      <c r="K21" s="10">
        <f t="shared" si="19"/>
        <v>11.69636608344549</v>
      </c>
      <c r="L21" s="9">
        <f t="shared" si="20"/>
        <v>7.5102222222222226</v>
      </c>
      <c r="M21" s="8">
        <f t="shared" si="21"/>
        <v>1.5573928090751776</v>
      </c>
      <c r="N21" s="7">
        <v>16.8</v>
      </c>
      <c r="S21" s="6">
        <f>82.604+18.784</f>
        <v>101.38800000000001</v>
      </c>
      <c r="T21" s="6">
        <f>20*1.84</f>
        <v>36.800000000000004</v>
      </c>
      <c r="W21" s="6">
        <v>1.0569999999999999</v>
      </c>
      <c r="X21" s="6">
        <v>7.18</v>
      </c>
      <c r="AB21" s="5">
        <v>80</v>
      </c>
      <c r="AC21" s="7">
        <f>T21</f>
        <v>36.800000000000004</v>
      </c>
      <c r="AD21" s="1">
        <f>2.7*5</f>
        <v>13.5</v>
      </c>
      <c r="AE21" s="1">
        <f>10*2.38</f>
        <v>23.799999999999997</v>
      </c>
      <c r="AF21" s="6">
        <v>0.63500000000000001</v>
      </c>
      <c r="AG21" s="204">
        <v>1.84</v>
      </c>
      <c r="AH21" s="203">
        <v>0.48668981481481483</v>
      </c>
      <c r="AJ21" s="1">
        <v>175</v>
      </c>
      <c r="AK21" s="3">
        <v>180</v>
      </c>
      <c r="AL21" s="4">
        <f>AE21</f>
        <v>23.799999999999997</v>
      </c>
      <c r="AM21" s="1">
        <f>10*1.27</f>
        <v>12.7</v>
      </c>
      <c r="AN21" s="80">
        <f t="shared" si="0"/>
        <v>100</v>
      </c>
      <c r="AO21" s="165"/>
      <c r="AP21" s="13">
        <f t="shared" si="22"/>
        <v>2790.0000000000091</v>
      </c>
      <c r="AQ21" s="15" t="str">
        <f>IF(ISNUMBER([1]HRT_SRT!R75),[1]HRT_SRT!R75,"")</f>
        <v/>
      </c>
      <c r="AR21" s="17">
        <f t="shared" si="1"/>
        <v>0.99478735156034248</v>
      </c>
      <c r="AS21" s="16">
        <f t="shared" si="2"/>
        <v>0.95296296296296301</v>
      </c>
      <c r="AT21" s="16">
        <f t="shared" si="3"/>
        <v>0.14302370773416245</v>
      </c>
      <c r="AU21" s="16">
        <f t="shared" si="4"/>
        <v>0.26744856758315727</v>
      </c>
      <c r="AV21" s="57">
        <f t="shared" si="5"/>
        <v>201.71900000000002</v>
      </c>
      <c r="AW21" s="57">
        <f t="shared" si="6"/>
        <v>12.865</v>
      </c>
      <c r="AX21" s="57">
        <f t="shared" si="7"/>
        <v>4.6366666666666703</v>
      </c>
      <c r="AY21" s="57">
        <f t="shared" si="11"/>
        <v>13.000000000000007</v>
      </c>
      <c r="AZ21" s="57">
        <f t="shared" si="12"/>
        <v>11.099999999999998</v>
      </c>
      <c r="BA21" s="84">
        <f t="shared" si="13"/>
        <v>0.99478735156034248</v>
      </c>
      <c r="BB21" s="84">
        <f t="shared" si="14"/>
        <v>0.95296296296296301</v>
      </c>
      <c r="BC21" s="84">
        <f t="shared" si="15"/>
        <v>0.14302370773416245</v>
      </c>
      <c r="BD21" s="84">
        <f t="shared" si="16"/>
        <v>0.26744856758315727</v>
      </c>
      <c r="BE21" s="6">
        <f t="shared" si="8"/>
        <v>4.410857142857143</v>
      </c>
      <c r="BF21" s="6">
        <f t="shared" si="17"/>
        <v>1.580952380952376</v>
      </c>
    </row>
    <row r="22" spans="1:58" ht="15" customHeight="1">
      <c r="B22" s="11">
        <v>45282</v>
      </c>
      <c r="D22" s="3">
        <v>17</v>
      </c>
      <c r="E22" s="205">
        <f t="shared" si="18"/>
        <v>221</v>
      </c>
      <c r="F22" s="9">
        <f>100.299+23.956</f>
        <v>124.25500000000001</v>
      </c>
      <c r="G22" s="9">
        <f>(N22*18-H22*18)/9</f>
        <v>18.240000000000002</v>
      </c>
      <c r="H22" s="9">
        <f>10*0.818</f>
        <v>8.18</v>
      </c>
      <c r="I22" s="15">
        <f t="shared" si="23"/>
        <v>16.350000000000001</v>
      </c>
      <c r="K22" s="10">
        <f t="shared" si="19"/>
        <v>12.116228070175437</v>
      </c>
      <c r="L22" s="9">
        <f t="shared" si="20"/>
        <v>6.758409785932721</v>
      </c>
      <c r="M22" s="8">
        <f t="shared" si="21"/>
        <v>1.7927631578947367</v>
      </c>
      <c r="N22" s="7">
        <f>10*1.73</f>
        <v>17.3</v>
      </c>
      <c r="S22" s="6">
        <f>19.014+91.486</f>
        <v>110.5</v>
      </c>
      <c r="T22" s="6">
        <f>20*2</f>
        <v>40</v>
      </c>
      <c r="W22" s="6">
        <v>1.0469999999999999</v>
      </c>
      <c r="X22" s="6">
        <v>4.54</v>
      </c>
      <c r="AB22" s="5">
        <v>80</v>
      </c>
      <c r="AC22" s="7">
        <f>T22</f>
        <v>40</v>
      </c>
      <c r="AD22" s="1">
        <f>5*3.27</f>
        <v>16.350000000000001</v>
      </c>
      <c r="AE22" s="1">
        <f>10*2.4</f>
        <v>24</v>
      </c>
      <c r="AF22" s="1">
        <f>3.63</f>
        <v>3.63</v>
      </c>
      <c r="AG22" s="204">
        <v>2.4500000000000002</v>
      </c>
      <c r="AH22" s="203">
        <v>0.49942129629629628</v>
      </c>
      <c r="AJ22" s="1">
        <v>175</v>
      </c>
      <c r="AK22" s="3">
        <v>180</v>
      </c>
      <c r="AL22" s="4">
        <f>AE22</f>
        <v>24</v>
      </c>
      <c r="AM22" s="1">
        <f>10*1.43</f>
        <v>14.299999999999999</v>
      </c>
      <c r="AN22" s="80">
        <f t="shared" si="0"/>
        <v>100</v>
      </c>
      <c r="AO22" s="165"/>
      <c r="AP22" s="13">
        <f t="shared" si="22"/>
        <v>2700.0000000000455</v>
      </c>
      <c r="AQ22" s="15">
        <f>IF(ISNUMBER([1]HRT_SRT!R76),[1]HRT_SRT!R76,"")</f>
        <v>25.340309493192478</v>
      </c>
      <c r="AR22" s="17">
        <f t="shared" si="1"/>
        <v>0.99526244343891401</v>
      </c>
      <c r="AS22" s="16">
        <f t="shared" si="2"/>
        <v>0.77798165137614683</v>
      </c>
      <c r="AT22" s="16">
        <f t="shared" si="3"/>
        <v>0.19261006289308175</v>
      </c>
      <c r="AU22" s="16">
        <f t="shared" si="4"/>
        <v>0.21600877192982471</v>
      </c>
      <c r="AV22" s="57">
        <f t="shared" si="5"/>
        <v>219.953</v>
      </c>
      <c r="AW22" s="57">
        <f t="shared" si="6"/>
        <v>12.720000000000002</v>
      </c>
      <c r="AX22" s="57">
        <f t="shared" si="7"/>
        <v>3.9400000000000031</v>
      </c>
      <c r="AY22" s="57">
        <f t="shared" si="11"/>
        <v>16</v>
      </c>
      <c r="AZ22" s="57">
        <f t="shared" si="12"/>
        <v>9.7000000000000011</v>
      </c>
      <c r="BA22" s="84">
        <f t="shared" si="13"/>
        <v>0.99526244343891401</v>
      </c>
      <c r="BB22" s="84">
        <f t="shared" si="14"/>
        <v>0.77798165137614683</v>
      </c>
      <c r="BC22" s="84">
        <f t="shared" si="15"/>
        <v>0.19261006289308175</v>
      </c>
      <c r="BD22" s="84">
        <f t="shared" si="16"/>
        <v>0.21600877192982471</v>
      </c>
      <c r="BE22" s="6">
        <f t="shared" si="8"/>
        <v>4.3611428571428581</v>
      </c>
      <c r="BF22" s="6">
        <f t="shared" si="17"/>
        <v>1.6152380952380685</v>
      </c>
    </row>
    <row r="23" spans="1:58" ht="15" customHeight="1">
      <c r="B23" s="11">
        <v>45283</v>
      </c>
      <c r="D23" s="3">
        <v>18</v>
      </c>
      <c r="E23" s="205" t="str">
        <f t="shared" si="18"/>
        <v/>
      </c>
      <c r="G23" s="198">
        <f>(G25-G22)/3+G22</f>
        <v>18.96</v>
      </c>
      <c r="I23" s="15">
        <f t="shared" si="23"/>
        <v>17.216666666666669</v>
      </c>
      <c r="K23" s="10" t="str">
        <f t="shared" si="19"/>
        <v/>
      </c>
      <c r="L23" s="9" t="str">
        <f t="shared" si="20"/>
        <v/>
      </c>
      <c r="M23" s="8">
        <f t="shared" si="21"/>
        <v>1.8161040787623068</v>
      </c>
      <c r="AB23" s="5">
        <v>80</v>
      </c>
      <c r="AC23" s="7"/>
      <c r="AD23" s="188">
        <f>(AD25-AD22)/3+AD22</f>
        <v>17.216666666666669</v>
      </c>
      <c r="AG23" s="204">
        <v>2.41</v>
      </c>
      <c r="AH23" s="203">
        <v>0.50868055555555558</v>
      </c>
      <c r="AJ23" s="1">
        <v>175</v>
      </c>
      <c r="AK23" s="3">
        <v>180</v>
      </c>
      <c r="AN23" s="80">
        <f t="shared" si="0"/>
        <v>100</v>
      </c>
      <c r="AO23" s="165"/>
      <c r="AP23" s="13">
        <f t="shared" si="22"/>
        <v>2700.0000000000455</v>
      </c>
      <c r="AQ23" s="15" t="str">
        <f>IF(ISNUMBER([1]HRT_SRT!R77),[1]HRT_SRT!R77,"")</f>
        <v/>
      </c>
      <c r="AR23" s="17" t="e">
        <f t="shared" si="1"/>
        <v>#VALUE!</v>
      </c>
      <c r="AS23" s="16">
        <f t="shared" si="2"/>
        <v>1</v>
      </c>
      <c r="AT23" s="16">
        <f t="shared" si="3"/>
        <v>0.13998063891577928</v>
      </c>
      <c r="AU23" s="16">
        <f t="shared" si="4"/>
        <v>1</v>
      </c>
      <c r="AV23" s="57" t="str">
        <f t="shared" si="5"/>
        <v/>
      </c>
      <c r="AW23" s="57" t="str">
        <f t="shared" si="6"/>
        <v/>
      </c>
      <c r="AX23" s="57" t="str">
        <f t="shared" si="7"/>
        <v/>
      </c>
      <c r="AY23" s="57" t="str">
        <f t="shared" si="11"/>
        <v/>
      </c>
      <c r="AZ23" s="57" t="str">
        <f t="shared" si="12"/>
        <v/>
      </c>
      <c r="BA23" s="84" t="str">
        <f t="shared" si="13"/>
        <v/>
      </c>
      <c r="BB23" s="84">
        <f t="shared" si="14"/>
        <v>1</v>
      </c>
      <c r="BC23" s="84">
        <f t="shared" si="15"/>
        <v>0.13998063891577928</v>
      </c>
      <c r="BD23" s="84" t="str">
        <f t="shared" si="16"/>
        <v/>
      </c>
      <c r="BE23" s="6">
        <f t="shared" si="8"/>
        <v>5.9028571428571439</v>
      </c>
      <c r="BF23" s="6" t="str">
        <f t="shared" si="17"/>
        <v/>
      </c>
    </row>
    <row r="24" spans="1:58" ht="15" customHeight="1">
      <c r="B24" s="11">
        <v>45284</v>
      </c>
      <c r="D24" s="3">
        <v>19</v>
      </c>
      <c r="E24" s="205" t="str">
        <f t="shared" si="18"/>
        <v/>
      </c>
      <c r="G24" s="198">
        <f>(G25-G23)/3+G23</f>
        <v>19.439999999999998</v>
      </c>
      <c r="I24" s="15">
        <f t="shared" si="23"/>
        <v>17.794444444444444</v>
      </c>
      <c r="K24" s="10" t="str">
        <f t="shared" si="19"/>
        <v/>
      </c>
      <c r="L24" s="9" t="str">
        <f t="shared" si="20"/>
        <v/>
      </c>
      <c r="M24" s="8">
        <f t="shared" si="21"/>
        <v>1.8307041609510748</v>
      </c>
      <c r="AB24" s="5">
        <v>80</v>
      </c>
      <c r="AC24" s="7"/>
      <c r="AD24" s="188">
        <f>(AD25-AD23)/3+AD23</f>
        <v>17.794444444444444</v>
      </c>
      <c r="AE24" s="1">
        <f>10*2.79</f>
        <v>27.9</v>
      </c>
      <c r="AF24" s="1">
        <v>3.31</v>
      </c>
      <c r="AG24" s="204">
        <v>2.31</v>
      </c>
      <c r="AH24" s="203">
        <v>0.49664351851851851</v>
      </c>
      <c r="AJ24" s="1">
        <v>175</v>
      </c>
      <c r="AK24" s="3">
        <v>180</v>
      </c>
      <c r="AL24" s="4">
        <f>AE24</f>
        <v>27.9</v>
      </c>
      <c r="AM24" s="1">
        <f>5*3.31</f>
        <v>16.55</v>
      </c>
      <c r="AN24" s="80">
        <f t="shared" si="0"/>
        <v>100</v>
      </c>
      <c r="AO24" s="165"/>
      <c r="AP24" s="13">
        <f t="shared" si="22"/>
        <v>2700.0000000000455</v>
      </c>
      <c r="AQ24" s="15" t="str">
        <f>IF(ISNUMBER([1]HRT_SRT!R78),[1]HRT_SRT!R78,"")</f>
        <v/>
      </c>
      <c r="AR24" s="17" t="e">
        <f t="shared" si="1"/>
        <v>#VALUE!</v>
      </c>
      <c r="AS24" s="16">
        <f t="shared" si="2"/>
        <v>0.8139868872931626</v>
      </c>
      <c r="AT24" s="16">
        <f t="shared" si="3"/>
        <v>0.15948143602332004</v>
      </c>
      <c r="AU24" s="16">
        <f t="shared" si="4"/>
        <v>0.14866255144032908</v>
      </c>
      <c r="AV24" s="57" t="str">
        <f t="shared" si="5"/>
        <v/>
      </c>
      <c r="AW24" s="57">
        <f t="shared" si="6"/>
        <v>14.484444444444444</v>
      </c>
      <c r="AX24" s="57">
        <f t="shared" si="7"/>
        <v>2.889999999999997</v>
      </c>
      <c r="AY24" s="57" t="str">
        <f t="shared" si="11"/>
        <v/>
      </c>
      <c r="AZ24" s="57">
        <f t="shared" si="12"/>
        <v>11.349999999999998</v>
      </c>
      <c r="BA24" s="84" t="str">
        <f t="shared" si="13"/>
        <v/>
      </c>
      <c r="BB24" s="84">
        <f t="shared" si="14"/>
        <v>0.8139868872931626</v>
      </c>
      <c r="BC24" s="84">
        <f t="shared" si="15"/>
        <v>0.15948143602332004</v>
      </c>
      <c r="BD24" s="84">
        <f t="shared" si="16"/>
        <v>0.14866255144032908</v>
      </c>
      <c r="BE24" s="6">
        <f t="shared" si="8"/>
        <v>4.9660952380952379</v>
      </c>
      <c r="BF24" s="6">
        <f t="shared" si="17"/>
        <v>1.8392945326278349</v>
      </c>
    </row>
    <row r="25" spans="1:58" ht="15" customHeight="1">
      <c r="B25" s="11">
        <v>45285</v>
      </c>
      <c r="D25" s="3">
        <v>20</v>
      </c>
      <c r="E25" s="205">
        <f t="shared" si="18"/>
        <v>235.59800000000001</v>
      </c>
      <c r="G25" s="9">
        <f>(N25*18-H25*18)/9</f>
        <v>20.399999999999995</v>
      </c>
      <c r="H25" s="9">
        <f>10*1.05</f>
        <v>10.5</v>
      </c>
      <c r="I25" s="15">
        <f t="shared" si="23"/>
        <v>18.95</v>
      </c>
      <c r="K25" s="10">
        <f t="shared" si="19"/>
        <v>11.548921568627454</v>
      </c>
      <c r="L25" s="9">
        <f t="shared" si="20"/>
        <v>6.2163060686015834</v>
      </c>
      <c r="M25" s="8">
        <f t="shared" si="21"/>
        <v>1.8578431372549022</v>
      </c>
      <c r="N25" s="7">
        <f>10*2.07</f>
        <v>20.7</v>
      </c>
      <c r="S25" s="6">
        <f>96.787+21.012</f>
        <v>117.79900000000001</v>
      </c>
      <c r="T25" s="6">
        <f>20*2.31</f>
        <v>46.2</v>
      </c>
      <c r="W25" s="6">
        <f>0</f>
        <v>0</v>
      </c>
      <c r="X25" s="6">
        <v>5.25</v>
      </c>
      <c r="AB25" s="5">
        <v>80</v>
      </c>
      <c r="AC25" s="7">
        <f>T25</f>
        <v>46.2</v>
      </c>
      <c r="AD25" s="1">
        <f>5*3.79</f>
        <v>18.95</v>
      </c>
      <c r="AE25" s="1">
        <f>10*3.11</f>
        <v>31.099999999999998</v>
      </c>
      <c r="AF25" s="1">
        <f>2.22</f>
        <v>2.2200000000000002</v>
      </c>
      <c r="AG25" s="204">
        <v>2.0499999999999998</v>
      </c>
      <c r="AH25" s="203">
        <v>0.49548611111111113</v>
      </c>
      <c r="AJ25" s="1">
        <v>175</v>
      </c>
      <c r="AK25" s="3">
        <v>180</v>
      </c>
      <c r="AL25" s="4">
        <f>AE25</f>
        <v>31.099999999999998</v>
      </c>
      <c r="AM25" s="1">
        <f>10*1.71</f>
        <v>17.100000000000001</v>
      </c>
      <c r="AN25" s="80">
        <f t="shared" si="0"/>
        <v>100</v>
      </c>
      <c r="AO25" s="165"/>
      <c r="AP25" s="13">
        <f t="shared" si="22"/>
        <v>2700.0000000000455</v>
      </c>
      <c r="AQ25" s="15" t="str">
        <f>IF(ISNUMBER([1]HRT_SRT!R79),[1]HRT_SRT!R79,"")</f>
        <v/>
      </c>
      <c r="AR25" s="17">
        <f t="shared" si="1"/>
        <v>1</v>
      </c>
      <c r="AS25" s="16">
        <f t="shared" si="2"/>
        <v>0.88284960422163594</v>
      </c>
      <c r="AT25" s="16">
        <f t="shared" si="3"/>
        <v>0.12253436939629407</v>
      </c>
      <c r="AU25" s="16">
        <f t="shared" si="4"/>
        <v>0.16176470588235267</v>
      </c>
      <c r="AV25" s="57">
        <f t="shared" si="5"/>
        <v>235.59800000000001</v>
      </c>
      <c r="AW25" s="57">
        <f t="shared" si="6"/>
        <v>16.73</v>
      </c>
      <c r="AX25" s="57">
        <f t="shared" si="7"/>
        <v>3.2999999999999936</v>
      </c>
      <c r="AY25" s="57">
        <f t="shared" si="11"/>
        <v>15.100000000000005</v>
      </c>
      <c r="AZ25" s="57">
        <f t="shared" si="12"/>
        <v>13.999999999999996</v>
      </c>
      <c r="BA25" s="84" t="str">
        <f t="shared" si="13"/>
        <v/>
      </c>
      <c r="BB25" s="84">
        <f t="shared" si="14"/>
        <v>0.88284960422163594</v>
      </c>
      <c r="BC25" s="84">
        <f t="shared" si="15"/>
        <v>0.12253436939629407</v>
      </c>
      <c r="BD25" s="84">
        <f t="shared" si="16"/>
        <v>0.16176470588235267</v>
      </c>
      <c r="BE25" s="6">
        <f t="shared" si="8"/>
        <v>5.7360000000000007</v>
      </c>
      <c r="BF25" s="6">
        <f t="shared" si="17"/>
        <v>2.1244444444444088</v>
      </c>
    </row>
    <row r="26" spans="1:58" ht="15" customHeight="1">
      <c r="A26" s="12" t="s">
        <v>180</v>
      </c>
      <c r="B26" s="167">
        <v>45286</v>
      </c>
      <c r="C26" s="166"/>
      <c r="D26" s="136">
        <v>21</v>
      </c>
      <c r="E26" s="205">
        <f t="shared" si="18"/>
        <v>358.37</v>
      </c>
      <c r="G26" s="9">
        <f>(N26*18-H26*10)/9</f>
        <v>25.977777777777785</v>
      </c>
      <c r="H26" s="9">
        <v>38.450000000000003</v>
      </c>
      <c r="I26" s="15">
        <f t="shared" si="23"/>
        <v>16.13</v>
      </c>
      <c r="K26" s="10">
        <f t="shared" si="19"/>
        <v>13.795252352437977</v>
      </c>
      <c r="L26" s="9">
        <f t="shared" si="20"/>
        <v>11.108803471791694</v>
      </c>
      <c r="M26" s="8">
        <f t="shared" si="21"/>
        <v>1.2418306244653545</v>
      </c>
      <c r="N26" s="7">
        <f>'[1]12-26-2023 '!I6</f>
        <v>34.35</v>
      </c>
      <c r="S26" s="6">
        <f>'[1]12-26-2023 '!Q6</f>
        <v>179.185</v>
      </c>
      <c r="T26" s="6">
        <f>'[1]12-26-2023 '!I12</f>
        <v>65.02</v>
      </c>
      <c r="W26" s="6">
        <f>'[1]12-26-2023 '!Q12</f>
        <v>3.835</v>
      </c>
      <c r="X26" s="6">
        <v>2.71</v>
      </c>
      <c r="AB26" s="5">
        <v>80</v>
      </c>
      <c r="AC26" s="7">
        <f>T26</f>
        <v>65.02</v>
      </c>
      <c r="AD26" s="1">
        <f>'[1]12-26-2023 '!G13</f>
        <v>16.13</v>
      </c>
      <c r="AE26" s="1">
        <f>'[1]12-26-2023 '!I20</f>
        <v>55.57</v>
      </c>
      <c r="AF26" s="1">
        <f>'[1]12-26-2023 '!G21</f>
        <v>1.52</v>
      </c>
      <c r="AG26" s="204">
        <v>0.36</v>
      </c>
      <c r="AH26" s="203">
        <v>0.47638888888888892</v>
      </c>
      <c r="AJ26" s="1">
        <v>175</v>
      </c>
      <c r="AK26" s="3">
        <v>180</v>
      </c>
      <c r="AL26" s="4">
        <f>AE26</f>
        <v>55.57</v>
      </c>
      <c r="AM26" s="6">
        <f>'[1]12-26-2023 '!I27</f>
        <v>35.86</v>
      </c>
      <c r="AN26" s="80">
        <f t="shared" si="0"/>
        <v>100</v>
      </c>
      <c r="AO26" s="165">
        <f>[1]TSS_VSS!H80</f>
        <v>2700.0000000000455</v>
      </c>
      <c r="AP26" s="13">
        <f t="shared" si="22"/>
        <v>2700.0000000000455</v>
      </c>
      <c r="AQ26" s="15">
        <f>IF(ISNUMBER([1]HRT_SRT!R80),[1]HRT_SRT!R80,"")</f>
        <v>16.187050359712767</v>
      </c>
      <c r="AR26" s="17">
        <f t="shared" si="1"/>
        <v>0.98929876942824457</v>
      </c>
      <c r="AS26" s="16">
        <f t="shared" si="2"/>
        <v>0.90576565406075638</v>
      </c>
      <c r="AT26" s="16">
        <f t="shared" si="3"/>
        <v>2.4640657084188913E-2</v>
      </c>
      <c r="AU26" s="16">
        <f t="shared" si="4"/>
        <v>-0.38041060735671473</v>
      </c>
      <c r="AV26" s="57">
        <f t="shared" si="5"/>
        <v>354.53500000000003</v>
      </c>
      <c r="AW26" s="57">
        <f t="shared" si="6"/>
        <v>14.61</v>
      </c>
      <c r="AX26" s="57">
        <f t="shared" si="7"/>
        <v>-9.8822222222222145</v>
      </c>
      <c r="AY26" s="57">
        <f t="shared" si="11"/>
        <v>9.4499999999999957</v>
      </c>
      <c r="AZ26" s="57">
        <f t="shared" si="12"/>
        <v>19.71</v>
      </c>
      <c r="BA26" s="84">
        <f t="shared" si="13"/>
        <v>0.98929876942824457</v>
      </c>
      <c r="BB26" s="84">
        <f t="shared" si="14"/>
        <v>0.90576565406075638</v>
      </c>
      <c r="BC26" s="84">
        <f t="shared" si="15"/>
        <v>2.4640657084188913E-2</v>
      </c>
      <c r="BD26" s="84">
        <f t="shared" si="16"/>
        <v>0</v>
      </c>
      <c r="BE26" s="6">
        <f t="shared" si="8"/>
        <v>5.0091428571428569</v>
      </c>
      <c r="BF26" s="6">
        <f t="shared" si="17"/>
        <v>1.8552380952380638</v>
      </c>
    </row>
    <row r="27" spans="1:58" ht="15" customHeight="1">
      <c r="A27" s="12">
        <v>94.4</v>
      </c>
      <c r="B27" s="11">
        <v>45287</v>
      </c>
      <c r="D27" s="3">
        <v>22</v>
      </c>
      <c r="E27" s="205">
        <f t="shared" si="18"/>
        <v>304.77800000000002</v>
      </c>
      <c r="F27" s="9">
        <f>152.062+33.605</f>
        <v>185.667</v>
      </c>
      <c r="G27" s="9">
        <f>(N27*18-H27*13)/9</f>
        <v>25.577777777777769</v>
      </c>
      <c r="H27" s="9">
        <f>2*11.5</f>
        <v>23</v>
      </c>
      <c r="I27" s="15">
        <f t="shared" si="23"/>
        <v>16.55</v>
      </c>
      <c r="K27" s="10">
        <f t="shared" si="19"/>
        <v>11.915734144222421</v>
      </c>
      <c r="L27" s="9">
        <f t="shared" si="20"/>
        <v>9.2077945619335342</v>
      </c>
      <c r="M27" s="8">
        <f t="shared" si="21"/>
        <v>1.2940920938314515</v>
      </c>
      <c r="N27" s="7">
        <f>2*14.7</f>
        <v>29.4</v>
      </c>
      <c r="S27" s="6">
        <f>123.26+29.129</f>
        <v>152.38900000000001</v>
      </c>
      <c r="T27" s="6">
        <f>2*22.5</f>
        <v>45</v>
      </c>
      <c r="W27" s="6">
        <f>2.775+18.436</f>
        <v>21.210999999999999</v>
      </c>
      <c r="AB27" s="5">
        <v>80</v>
      </c>
      <c r="AC27" s="7">
        <f>T27</f>
        <v>45</v>
      </c>
      <c r="AD27" s="1">
        <f>5*3.31</f>
        <v>16.55</v>
      </c>
      <c r="AE27" s="1">
        <f>2*22</f>
        <v>44</v>
      </c>
      <c r="AF27" s="1">
        <v>1.0000000000000001E-5</v>
      </c>
      <c r="AG27" s="204">
        <v>0.6</v>
      </c>
      <c r="AH27" s="203">
        <v>0.47222222222222227</v>
      </c>
      <c r="AJ27" s="1">
        <v>175</v>
      </c>
      <c r="AK27" s="3">
        <v>180</v>
      </c>
      <c r="AL27" s="4">
        <f>AE27</f>
        <v>44</v>
      </c>
      <c r="AM27" s="1">
        <f>2*13.3</f>
        <v>26.6</v>
      </c>
      <c r="AN27" s="80">
        <f t="shared" si="0"/>
        <v>100</v>
      </c>
      <c r="AO27" s="165"/>
      <c r="AP27" s="13">
        <f t="shared" si="22"/>
        <v>2700.0000000000455</v>
      </c>
      <c r="AQ27" s="15" t="str">
        <f>IF(ISNUMBER([1]HRT_SRT!R81),[1]HRT_SRT!R81,"")</f>
        <v/>
      </c>
      <c r="AR27" s="17">
        <f t="shared" si="1"/>
        <v>0.93040508173162106</v>
      </c>
      <c r="AS27" s="16">
        <f t="shared" si="2"/>
        <v>0.99999939577039276</v>
      </c>
      <c r="AT27" s="16">
        <f t="shared" si="3"/>
        <v>3.6253798340663647E-2</v>
      </c>
      <c r="AU27" s="16">
        <f t="shared" si="4"/>
        <v>-3.996524761077367E-2</v>
      </c>
      <c r="AV27" s="57">
        <f t="shared" si="5"/>
        <v>283.56700000000001</v>
      </c>
      <c r="AW27" s="57">
        <f t="shared" si="6"/>
        <v>16.549990000000001</v>
      </c>
      <c r="AX27" s="57">
        <f t="shared" si="7"/>
        <v>-1.0222222222222328</v>
      </c>
      <c r="AY27" s="57">
        <f t="shared" si="11"/>
        <v>1</v>
      </c>
      <c r="AZ27" s="57">
        <f t="shared" si="12"/>
        <v>17.399999999999999</v>
      </c>
      <c r="BA27" s="84">
        <f t="shared" si="13"/>
        <v>0.93040508173162106</v>
      </c>
      <c r="BB27" s="84">
        <f t="shared" si="14"/>
        <v>0.99999939577039276</v>
      </c>
      <c r="BC27" s="84">
        <f t="shared" si="15"/>
        <v>3.6253798340663647E-2</v>
      </c>
      <c r="BD27" s="84">
        <f t="shared" si="16"/>
        <v>0</v>
      </c>
      <c r="BE27" s="6">
        <f t="shared" si="8"/>
        <v>5.6742822857142867</v>
      </c>
      <c r="BF27" s="6">
        <f t="shared" si="17"/>
        <v>2.1015860317459967</v>
      </c>
    </row>
    <row r="28" spans="1:58" ht="15" customHeight="1">
      <c r="B28" s="11">
        <v>45288</v>
      </c>
      <c r="D28" s="3">
        <v>23</v>
      </c>
      <c r="E28" s="205" t="str">
        <f t="shared" si="18"/>
        <v/>
      </c>
      <c r="I28" s="15">
        <f t="shared" si="23"/>
        <v>16.825000000000003</v>
      </c>
      <c r="K28" s="10" t="str">
        <f t="shared" si="19"/>
        <v/>
      </c>
      <c r="L28" s="9" t="str">
        <f t="shared" si="20"/>
        <v/>
      </c>
      <c r="M28" s="8" t="str">
        <f t="shared" si="21"/>
        <v/>
      </c>
      <c r="AB28" s="5">
        <v>80</v>
      </c>
      <c r="AD28" s="188">
        <f>($AD$27+$AD$33)/2</f>
        <v>16.825000000000003</v>
      </c>
      <c r="AG28" s="204">
        <v>1.58</v>
      </c>
      <c r="AH28" s="203">
        <v>0.4773148148148148</v>
      </c>
      <c r="AJ28" s="1">
        <v>175</v>
      </c>
      <c r="AK28" s="3">
        <v>180</v>
      </c>
      <c r="AN28" s="80">
        <f t="shared" si="0"/>
        <v>100</v>
      </c>
      <c r="AO28" s="165"/>
      <c r="AP28" s="13">
        <f t="shared" si="22"/>
        <v>2700.0000000000455</v>
      </c>
      <c r="AQ28" s="15" t="str">
        <f>IF(ISNUMBER([1]HRT_SRT!R82),[1]HRT_SRT!R82,"")</f>
        <v/>
      </c>
      <c r="AR28" s="17" t="e">
        <f t="shared" si="1"/>
        <v>#VALUE!</v>
      </c>
      <c r="AS28" s="16">
        <f t="shared" si="2"/>
        <v>1</v>
      </c>
      <c r="AT28" s="16">
        <f t="shared" si="3"/>
        <v>9.3907875185735498E-2</v>
      </c>
      <c r="AU28" s="16" t="e">
        <f t="shared" si="4"/>
        <v>#DIV/0!</v>
      </c>
      <c r="AV28" s="57" t="str">
        <f t="shared" si="5"/>
        <v/>
      </c>
      <c r="AW28" s="57" t="str">
        <f t="shared" si="6"/>
        <v/>
      </c>
      <c r="AX28" s="57" t="str">
        <f t="shared" si="7"/>
        <v/>
      </c>
      <c r="AY28" s="57" t="str">
        <f t="shared" si="11"/>
        <v/>
      </c>
      <c r="AZ28" s="57" t="str">
        <f t="shared" si="12"/>
        <v/>
      </c>
      <c r="BA28" s="84" t="str">
        <f t="shared" si="13"/>
        <v/>
      </c>
      <c r="BB28" s="84">
        <f t="shared" si="14"/>
        <v>1</v>
      </c>
      <c r="BC28" s="84">
        <f t="shared" si="15"/>
        <v>9.3907875185735498E-2</v>
      </c>
      <c r="BD28" s="84" t="str">
        <f t="shared" si="16"/>
        <v/>
      </c>
      <c r="BE28" s="6">
        <f t="shared" si="8"/>
        <v>5.7685714285714296</v>
      </c>
      <c r="BF28" s="6" t="str">
        <f t="shared" si="17"/>
        <v/>
      </c>
    </row>
    <row r="29" spans="1:58" ht="15" customHeight="1">
      <c r="B29" s="11">
        <v>45289</v>
      </c>
      <c r="D29" s="3">
        <v>24</v>
      </c>
      <c r="E29" s="205" t="str">
        <f t="shared" si="18"/>
        <v/>
      </c>
      <c r="I29" s="15">
        <f t="shared" si="23"/>
        <v>16.825000000000003</v>
      </c>
      <c r="K29" s="10" t="str">
        <f t="shared" si="19"/>
        <v/>
      </c>
      <c r="L29" s="9" t="str">
        <f t="shared" si="20"/>
        <v/>
      </c>
      <c r="M29" s="8" t="str">
        <f t="shared" si="21"/>
        <v/>
      </c>
      <c r="AB29" s="5">
        <v>80</v>
      </c>
      <c r="AD29" s="188">
        <f>($AD$27+$AD$33)/2</f>
        <v>16.825000000000003</v>
      </c>
      <c r="AG29" s="204">
        <v>2.2400000000000002</v>
      </c>
      <c r="AH29" s="203">
        <v>0.47673611111111108</v>
      </c>
      <c r="AJ29" s="1">
        <v>175</v>
      </c>
      <c r="AK29" s="3">
        <v>180</v>
      </c>
      <c r="AN29" s="80">
        <f t="shared" si="0"/>
        <v>100</v>
      </c>
      <c r="AO29" s="165"/>
      <c r="AP29" s="13" t="e">
        <f t="shared" si="22"/>
        <v>#DIV/0!</v>
      </c>
      <c r="AQ29" s="15" t="str">
        <f>IF(ISNUMBER([1]HRT_SRT!R83),[1]HRT_SRT!R83,"")</f>
        <v/>
      </c>
      <c r="AR29" s="17" t="e">
        <f t="shared" si="1"/>
        <v>#VALUE!</v>
      </c>
      <c r="AS29" s="16">
        <f t="shared" si="2"/>
        <v>1</v>
      </c>
      <c r="AT29" s="16">
        <f t="shared" si="3"/>
        <v>0.13313521545319465</v>
      </c>
      <c r="AU29" s="16" t="e">
        <f t="shared" si="4"/>
        <v>#DIV/0!</v>
      </c>
      <c r="AV29" s="57" t="str">
        <f t="shared" si="5"/>
        <v/>
      </c>
      <c r="AW29" s="57" t="str">
        <f t="shared" si="6"/>
        <v/>
      </c>
      <c r="AX29" s="57" t="str">
        <f t="shared" si="7"/>
        <v/>
      </c>
      <c r="AY29" s="57" t="str">
        <f t="shared" si="11"/>
        <v/>
      </c>
      <c r="AZ29" s="57" t="str">
        <f t="shared" si="12"/>
        <v/>
      </c>
      <c r="BA29" s="84" t="str">
        <f t="shared" si="13"/>
        <v/>
      </c>
      <c r="BB29" s="84">
        <f t="shared" si="14"/>
        <v>1</v>
      </c>
      <c r="BC29" s="84">
        <f t="shared" si="15"/>
        <v>0.13313521545319465</v>
      </c>
      <c r="BD29" s="84" t="str">
        <f t="shared" si="16"/>
        <v/>
      </c>
      <c r="BE29" s="6">
        <f t="shared" si="8"/>
        <v>5.7685714285714296</v>
      </c>
      <c r="BF29" s="6" t="e">
        <f t="shared" si="17"/>
        <v>#DIV/0!</v>
      </c>
    </row>
    <row r="30" spans="1:58" ht="15" customHeight="1">
      <c r="B30" s="11">
        <v>45290</v>
      </c>
      <c r="D30" s="3">
        <v>25</v>
      </c>
      <c r="E30" s="205" t="str">
        <f t="shared" si="18"/>
        <v/>
      </c>
      <c r="I30" s="15">
        <f t="shared" si="23"/>
        <v>16.825000000000003</v>
      </c>
      <c r="K30" s="10" t="str">
        <f t="shared" si="19"/>
        <v/>
      </c>
      <c r="L30" s="9" t="str">
        <f t="shared" si="20"/>
        <v/>
      </c>
      <c r="M30" s="8" t="str">
        <f t="shared" si="21"/>
        <v/>
      </c>
      <c r="AB30" s="5">
        <v>80</v>
      </c>
      <c r="AD30" s="188">
        <f>($AD$27+$AD$33)/2</f>
        <v>16.825000000000003</v>
      </c>
      <c r="AG30" s="204">
        <v>2.61</v>
      </c>
      <c r="AH30" s="203">
        <v>0.48425925925925922</v>
      </c>
      <c r="AJ30" s="1">
        <v>175</v>
      </c>
      <c r="AK30" s="3">
        <v>180</v>
      </c>
      <c r="AN30" s="80">
        <f t="shared" si="0"/>
        <v>100</v>
      </c>
      <c r="AO30" s="165"/>
      <c r="AP30" s="13">
        <f t="shared" si="22"/>
        <v>2860.0000000000364</v>
      </c>
      <c r="AQ30" s="15" t="str">
        <f>IF(ISNUMBER([1]HRT_SRT!R84),[1]HRT_SRT!R84,"")</f>
        <v/>
      </c>
      <c r="AR30" s="17" t="e">
        <f t="shared" si="1"/>
        <v>#VALUE!</v>
      </c>
      <c r="AS30" s="16">
        <f t="shared" si="2"/>
        <v>1</v>
      </c>
      <c r="AT30" s="16">
        <f t="shared" si="3"/>
        <v>0.15512630014858839</v>
      </c>
      <c r="AU30" s="16" t="e">
        <f t="shared" si="4"/>
        <v>#DIV/0!</v>
      </c>
      <c r="AV30" s="57" t="str">
        <f t="shared" si="5"/>
        <v/>
      </c>
      <c r="AW30" s="57" t="str">
        <f t="shared" si="6"/>
        <v/>
      </c>
      <c r="AX30" s="57" t="str">
        <f t="shared" si="7"/>
        <v/>
      </c>
      <c r="AY30" s="57" t="str">
        <f t="shared" si="11"/>
        <v/>
      </c>
      <c r="AZ30" s="57" t="str">
        <f t="shared" si="12"/>
        <v/>
      </c>
      <c r="BA30" s="84" t="str">
        <f t="shared" si="13"/>
        <v/>
      </c>
      <c r="BB30" s="84">
        <f t="shared" si="14"/>
        <v>1</v>
      </c>
      <c r="BC30" s="84">
        <f t="shared" si="15"/>
        <v>0.15512630014858839</v>
      </c>
      <c r="BD30" s="84" t="str">
        <f t="shared" si="16"/>
        <v/>
      </c>
      <c r="BE30" s="6">
        <f t="shared" si="8"/>
        <v>5.7685714285714296</v>
      </c>
      <c r="BF30" s="6" t="str">
        <f t="shared" si="17"/>
        <v/>
      </c>
    </row>
    <row r="31" spans="1:58" ht="15" customHeight="1">
      <c r="B31" s="11">
        <v>45291</v>
      </c>
      <c r="D31" s="3">
        <v>26</v>
      </c>
      <c r="E31" s="205" t="str">
        <f t="shared" si="18"/>
        <v/>
      </c>
      <c r="I31" s="15">
        <f t="shared" si="23"/>
        <v>16.825000000000003</v>
      </c>
      <c r="K31" s="10" t="str">
        <f t="shared" si="19"/>
        <v/>
      </c>
      <c r="L31" s="9" t="str">
        <f t="shared" si="20"/>
        <v/>
      </c>
      <c r="M31" s="8" t="str">
        <f t="shared" si="21"/>
        <v/>
      </c>
      <c r="AB31" s="5">
        <v>80</v>
      </c>
      <c r="AD31" s="188">
        <f>($AD$27+$AD$33)/2</f>
        <v>16.825000000000003</v>
      </c>
      <c r="AG31" s="204">
        <v>2.87</v>
      </c>
      <c r="AH31" s="203">
        <v>0.47962962962962963</v>
      </c>
      <c r="AJ31" s="1">
        <v>175</v>
      </c>
      <c r="AK31" s="3">
        <v>180</v>
      </c>
      <c r="AN31" s="80">
        <f t="shared" si="0"/>
        <v>100</v>
      </c>
      <c r="AO31" s="165"/>
      <c r="AP31" s="13">
        <f t="shared" si="22"/>
        <v>2860.0000000000364</v>
      </c>
      <c r="AQ31" s="15" t="str">
        <f>IF(ISNUMBER([1]HRT_SRT!R85),[1]HRT_SRT!R85,"")</f>
        <v/>
      </c>
      <c r="AR31" s="17" t="e">
        <f t="shared" si="1"/>
        <v>#VALUE!</v>
      </c>
      <c r="AS31" s="16">
        <f t="shared" si="2"/>
        <v>1</v>
      </c>
      <c r="AT31" s="16">
        <f t="shared" si="3"/>
        <v>0.17057949479940562</v>
      </c>
      <c r="AU31" s="16" t="e">
        <f t="shared" si="4"/>
        <v>#DIV/0!</v>
      </c>
      <c r="AV31" s="57" t="str">
        <f t="shared" si="5"/>
        <v/>
      </c>
      <c r="AW31" s="57" t="str">
        <f t="shared" si="6"/>
        <v/>
      </c>
      <c r="AX31" s="57" t="str">
        <f t="shared" si="7"/>
        <v/>
      </c>
      <c r="AY31" s="57" t="str">
        <f t="shared" si="11"/>
        <v/>
      </c>
      <c r="AZ31" s="57" t="str">
        <f t="shared" si="12"/>
        <v/>
      </c>
      <c r="BA31" s="84" t="str">
        <f t="shared" si="13"/>
        <v/>
      </c>
      <c r="BB31" s="84">
        <f t="shared" si="14"/>
        <v>1</v>
      </c>
      <c r="BC31" s="84">
        <f t="shared" si="15"/>
        <v>0.17057949479940562</v>
      </c>
      <c r="BD31" s="84" t="str">
        <f t="shared" si="16"/>
        <v/>
      </c>
      <c r="BE31" s="6">
        <f t="shared" si="8"/>
        <v>5.7685714285714296</v>
      </c>
      <c r="BF31" s="6" t="str">
        <f t="shared" si="17"/>
        <v/>
      </c>
    </row>
    <row r="32" spans="1:58" ht="15" customHeight="1">
      <c r="B32" s="11">
        <v>45292</v>
      </c>
      <c r="D32" s="3">
        <v>27</v>
      </c>
      <c r="E32" s="205" t="str">
        <f t="shared" si="18"/>
        <v/>
      </c>
      <c r="I32" s="15">
        <f t="shared" si="23"/>
        <v>16.825000000000003</v>
      </c>
      <c r="K32" s="10" t="str">
        <f t="shared" si="19"/>
        <v/>
      </c>
      <c r="L32" s="9" t="str">
        <f t="shared" si="20"/>
        <v/>
      </c>
      <c r="M32" s="8" t="str">
        <f t="shared" si="21"/>
        <v/>
      </c>
      <c r="AB32" s="5">
        <v>80</v>
      </c>
      <c r="AD32" s="188">
        <f>($AD$27+$AD$33)/2</f>
        <v>16.825000000000003</v>
      </c>
      <c r="AG32" s="204">
        <v>3.53</v>
      </c>
      <c r="AH32" s="203">
        <v>0.49456018518518513</v>
      </c>
      <c r="AJ32" s="1">
        <v>175</v>
      </c>
      <c r="AK32" s="3">
        <v>180</v>
      </c>
      <c r="AN32" s="80">
        <f t="shared" si="0"/>
        <v>100</v>
      </c>
      <c r="AO32" s="165"/>
      <c r="AP32" s="13">
        <f t="shared" si="22"/>
        <v>2860.0000000000364</v>
      </c>
      <c r="AQ32" s="15" t="str">
        <f>IF(ISNUMBER([1]HRT_SRT!R86),[1]HRT_SRT!R86,"")</f>
        <v/>
      </c>
      <c r="AR32" s="17" t="e">
        <f t="shared" si="1"/>
        <v>#VALUE!</v>
      </c>
      <c r="AS32" s="16">
        <f t="shared" si="2"/>
        <v>1</v>
      </c>
      <c r="AT32" s="16">
        <f t="shared" si="3"/>
        <v>0.20980683506686473</v>
      </c>
      <c r="AU32" s="16" t="e">
        <f t="shared" si="4"/>
        <v>#DIV/0!</v>
      </c>
      <c r="AV32" s="57" t="str">
        <f t="shared" si="5"/>
        <v/>
      </c>
      <c r="AW32" s="57" t="str">
        <f t="shared" si="6"/>
        <v/>
      </c>
      <c r="AX32" s="57" t="str">
        <f t="shared" si="7"/>
        <v/>
      </c>
      <c r="AY32" s="57" t="str">
        <f t="shared" si="11"/>
        <v/>
      </c>
      <c r="AZ32" s="57" t="str">
        <f t="shared" si="12"/>
        <v/>
      </c>
      <c r="BA32" s="84" t="str">
        <f t="shared" si="13"/>
        <v/>
      </c>
      <c r="BB32" s="84">
        <f t="shared" si="14"/>
        <v>1</v>
      </c>
      <c r="BC32" s="84">
        <f t="shared" si="15"/>
        <v>0.20980683506686473</v>
      </c>
      <c r="BD32" s="84" t="str">
        <f t="shared" si="16"/>
        <v/>
      </c>
      <c r="BE32" s="6">
        <f t="shared" si="8"/>
        <v>5.7685714285714296</v>
      </c>
      <c r="BF32" s="6" t="str">
        <f t="shared" si="17"/>
        <v/>
      </c>
    </row>
    <row r="33" spans="1:58" ht="15" customHeight="1">
      <c r="A33" s="12" t="s">
        <v>179</v>
      </c>
      <c r="B33" s="11">
        <v>45293</v>
      </c>
      <c r="D33" s="3">
        <v>28</v>
      </c>
      <c r="E33" s="205">
        <f t="shared" si="18"/>
        <v>268.54359999999997</v>
      </c>
      <c r="F33" s="9">
        <f>29.9134+125.7853</f>
        <v>155.6987</v>
      </c>
      <c r="G33" s="9" t="e">
        <f>#REF!*2</f>
        <v>#REF!</v>
      </c>
      <c r="I33" s="15">
        <f t="shared" si="23"/>
        <v>17.100000000000001</v>
      </c>
      <c r="K33" s="10" t="e">
        <f t="shared" si="19"/>
        <v>#REF!</v>
      </c>
      <c r="L33" s="9">
        <f t="shared" si="20"/>
        <v>7.8521520467836243</v>
      </c>
      <c r="M33" s="8" t="e">
        <f t="shared" si="21"/>
        <v>#REF!</v>
      </c>
      <c r="N33" s="7">
        <f>2*12</f>
        <v>24</v>
      </c>
      <c r="S33" s="6">
        <f>107.023+27.2488</f>
        <v>134.27179999999998</v>
      </c>
      <c r="T33" s="6">
        <f>2*25.4</f>
        <v>50.8</v>
      </c>
      <c r="W33" s="1">
        <f>3.9198+4.9139</f>
        <v>8.8337000000000003</v>
      </c>
      <c r="AB33" s="5">
        <v>80</v>
      </c>
      <c r="AC33" s="7">
        <f>T33</f>
        <v>50.8</v>
      </c>
      <c r="AD33" s="1">
        <f>5*3.42</f>
        <v>17.100000000000001</v>
      </c>
      <c r="AE33" s="1">
        <f>2*16.8</f>
        <v>33.6</v>
      </c>
      <c r="AF33" s="1">
        <v>1.0000000000000001E-5</v>
      </c>
      <c r="AG33" s="204">
        <v>4.07</v>
      </c>
      <c r="AH33" s="203">
        <v>0.14166666666666666</v>
      </c>
      <c r="AJ33" s="1">
        <v>175</v>
      </c>
      <c r="AK33" s="3">
        <v>180</v>
      </c>
      <c r="AL33" s="4">
        <f>AE33</f>
        <v>33.6</v>
      </c>
      <c r="AM33" s="1">
        <f>2*9.46</f>
        <v>18.920000000000002</v>
      </c>
      <c r="AN33" s="80">
        <f t="shared" si="0"/>
        <v>100</v>
      </c>
      <c r="AO33" s="165"/>
      <c r="AP33" s="13">
        <f t="shared" si="22"/>
        <v>2860.0000000000364</v>
      </c>
      <c r="AQ33" s="15" t="str">
        <f>IF(ISNUMBER([1]HRT_SRT!R87),[1]HRT_SRT!R87,"")</f>
        <v/>
      </c>
      <c r="AR33" s="17">
        <f t="shared" si="1"/>
        <v>0.96710515536397057</v>
      </c>
      <c r="AS33" s="16">
        <f t="shared" si="2"/>
        <v>0.99999941520467839</v>
      </c>
      <c r="AT33" s="16">
        <f t="shared" si="3"/>
        <v>0.23801183509464041</v>
      </c>
      <c r="AU33" s="16" t="e">
        <f t="shared" si="4"/>
        <v>#REF!</v>
      </c>
      <c r="AV33" s="57">
        <f t="shared" si="5"/>
        <v>259.70989999999995</v>
      </c>
      <c r="AW33" s="57">
        <f t="shared" si="6"/>
        <v>17.099990000000002</v>
      </c>
      <c r="AX33" s="57" t="str">
        <f t="shared" si="7"/>
        <v/>
      </c>
      <c r="AY33" s="57">
        <f t="shared" si="11"/>
        <v>17.199999999999996</v>
      </c>
      <c r="AZ33" s="57">
        <f t="shared" si="12"/>
        <v>14.68</v>
      </c>
      <c r="BA33" s="84">
        <f t="shared" si="13"/>
        <v>0.96710515536397057</v>
      </c>
      <c r="BB33" s="84">
        <f t="shared" si="14"/>
        <v>0.99999941520467839</v>
      </c>
      <c r="BC33" s="84">
        <f t="shared" si="15"/>
        <v>0.23801183509464041</v>
      </c>
      <c r="BD33" s="84" t="e">
        <f t="shared" si="16"/>
        <v>#REF!</v>
      </c>
      <c r="BE33" s="6">
        <f t="shared" si="8"/>
        <v>5.8628537142857153</v>
      </c>
      <c r="BF33" s="6">
        <f t="shared" si="17"/>
        <v>2.0499488511488253</v>
      </c>
    </row>
    <row r="34" spans="1:58" ht="15" customHeight="1">
      <c r="A34" s="12" t="s">
        <v>178</v>
      </c>
      <c r="B34" s="167">
        <v>45294</v>
      </c>
      <c r="C34" s="166"/>
      <c r="D34" s="136">
        <v>29</v>
      </c>
      <c r="E34" s="205">
        <f t="shared" si="18"/>
        <v>327.97</v>
      </c>
      <c r="G34" s="9">
        <f>(N34*18-H34*9)/9</f>
        <v>34.379999999999995</v>
      </c>
      <c r="H34" s="9">
        <v>21.12</v>
      </c>
      <c r="I34" s="15">
        <f t="shared" si="23"/>
        <v>20.99</v>
      </c>
      <c r="K34" s="10">
        <f t="shared" si="19"/>
        <v>9.5395578824898219</v>
      </c>
      <c r="L34" s="9">
        <f t="shared" si="20"/>
        <v>7.812529776083851</v>
      </c>
      <c r="M34" s="8">
        <f t="shared" si="21"/>
        <v>1.2210587550901688</v>
      </c>
      <c r="N34" s="7">
        <v>27.75</v>
      </c>
      <c r="S34" s="6">
        <f>'[1]1-3-2024'!Q6</f>
        <v>163.98500000000001</v>
      </c>
      <c r="T34" s="6">
        <f>'[1]1-3-2024'!I12</f>
        <v>65.069999999999993</v>
      </c>
      <c r="W34" s="6">
        <f>'[1]1-3-2024'!Q12</f>
        <v>8.5429999999999993</v>
      </c>
      <c r="AB34" s="5">
        <v>80</v>
      </c>
      <c r="AC34" s="7">
        <f>T34</f>
        <v>65.069999999999993</v>
      </c>
      <c r="AD34" s="1">
        <f>'[1]1-3-2024'!G13</f>
        <v>20.99</v>
      </c>
      <c r="AE34" s="1">
        <f>'[1]1-3-2024'!I21</f>
        <v>37.89</v>
      </c>
      <c r="AF34" s="1">
        <f>'[1]1-3-2024'!G21</f>
        <v>0.43</v>
      </c>
      <c r="AG34" s="204">
        <v>5.12</v>
      </c>
      <c r="AH34" s="203">
        <v>0.49421296296296297</v>
      </c>
      <c r="AJ34" s="1">
        <v>175</v>
      </c>
      <c r="AK34" s="3">
        <v>180</v>
      </c>
      <c r="AL34" s="4">
        <f>AE34</f>
        <v>37.89</v>
      </c>
      <c r="AM34" s="6">
        <f>'[1]1-3-2024'!I27</f>
        <v>20.6</v>
      </c>
      <c r="AN34" s="80">
        <f t="shared" si="0"/>
        <v>100</v>
      </c>
      <c r="AO34" s="165">
        <f>[1]TSS_VSS!H86</f>
        <v>2860.0000000000364</v>
      </c>
      <c r="AP34" s="13">
        <f t="shared" si="22"/>
        <v>2860.0000000000364</v>
      </c>
      <c r="AQ34" s="15">
        <f>IF(ISNUMBER([1]HRT_SRT!R88),[1]HRT_SRT!R88,"")</f>
        <v>26.3437998935599</v>
      </c>
      <c r="AR34" s="17">
        <f t="shared" si="1"/>
        <v>0.97395188584321735</v>
      </c>
      <c r="AS34" s="16">
        <f t="shared" si="2"/>
        <v>0.9795140543115769</v>
      </c>
      <c r="AT34" s="16">
        <f t="shared" si="3"/>
        <v>0.24902723735408563</v>
      </c>
      <c r="AU34" s="16">
        <f t="shared" si="4"/>
        <v>0.40081442699243736</v>
      </c>
      <c r="AV34" s="57">
        <f t="shared" si="5"/>
        <v>319.42700000000002</v>
      </c>
      <c r="AW34" s="57">
        <f t="shared" si="6"/>
        <v>20.56</v>
      </c>
      <c r="AX34" s="57">
        <f t="shared" si="7"/>
        <v>13.779999999999994</v>
      </c>
      <c r="AY34" s="57">
        <f t="shared" si="11"/>
        <v>27.179999999999993</v>
      </c>
      <c r="AZ34" s="57">
        <f t="shared" si="12"/>
        <v>17.29</v>
      </c>
      <c r="BA34" s="84">
        <f t="shared" si="13"/>
        <v>0.97395188584321735</v>
      </c>
      <c r="BB34" s="84">
        <f t="shared" si="14"/>
        <v>0.9795140543115769</v>
      </c>
      <c r="BC34" s="84">
        <f t="shared" si="15"/>
        <v>0.24902723735408563</v>
      </c>
      <c r="BD34" s="84">
        <f t="shared" si="16"/>
        <v>0.40081442699243736</v>
      </c>
      <c r="BE34" s="6">
        <f t="shared" si="8"/>
        <v>7.0491428571428569</v>
      </c>
      <c r="BF34" s="6">
        <f t="shared" si="17"/>
        <v>2.4647352647352334</v>
      </c>
    </row>
    <row r="35" spans="1:58" ht="15" customHeight="1">
      <c r="B35" s="11">
        <v>45295</v>
      </c>
      <c r="D35" s="3">
        <v>30</v>
      </c>
      <c r="E35" s="205" t="str">
        <f t="shared" si="18"/>
        <v/>
      </c>
      <c r="I35" s="15">
        <f t="shared" si="23"/>
        <v>20.594999999999999</v>
      </c>
      <c r="K35" s="10" t="str">
        <f t="shared" si="19"/>
        <v/>
      </c>
      <c r="L35" s="9" t="str">
        <f t="shared" si="20"/>
        <v/>
      </c>
      <c r="M35" s="8" t="str">
        <f t="shared" si="21"/>
        <v/>
      </c>
      <c r="AB35" s="5">
        <v>80</v>
      </c>
      <c r="AD35" s="188">
        <f>(AD34+AD36)/2</f>
        <v>20.594999999999999</v>
      </c>
      <c r="AG35" s="204">
        <v>5.19</v>
      </c>
      <c r="AH35" s="203">
        <v>0.50023148148148155</v>
      </c>
      <c r="AJ35" s="1">
        <v>175</v>
      </c>
      <c r="AK35" s="3">
        <v>180</v>
      </c>
      <c r="AN35" s="80">
        <f t="shared" si="0"/>
        <v>100</v>
      </c>
      <c r="AO35" s="165"/>
      <c r="AP35" s="13">
        <f t="shared" si="22"/>
        <v>2935.0000000000136</v>
      </c>
      <c r="AQ35" s="15" t="str">
        <f>IF(ISNUMBER([1]HRT_SRT!R89),[1]HRT_SRT!R89,"")</f>
        <v/>
      </c>
      <c r="AR35" s="17" t="e">
        <f t="shared" si="1"/>
        <v>#VALUE!</v>
      </c>
      <c r="AS35" s="16">
        <f t="shared" si="2"/>
        <v>1</v>
      </c>
      <c r="AT35" s="16">
        <f t="shared" si="3"/>
        <v>0.2520029133284778</v>
      </c>
      <c r="AU35" s="16" t="e">
        <f t="shared" si="4"/>
        <v>#DIV/0!</v>
      </c>
      <c r="AV35" s="57" t="str">
        <f t="shared" si="5"/>
        <v/>
      </c>
      <c r="AW35" s="57" t="str">
        <f t="shared" si="6"/>
        <v/>
      </c>
      <c r="AX35" s="57" t="str">
        <f t="shared" si="7"/>
        <v/>
      </c>
      <c r="AY35" s="57" t="str">
        <f t="shared" si="11"/>
        <v/>
      </c>
      <c r="AZ35" s="57" t="str">
        <f t="shared" si="12"/>
        <v/>
      </c>
      <c r="BA35" s="84" t="str">
        <f t="shared" si="13"/>
        <v/>
      </c>
      <c r="BB35" s="84">
        <f t="shared" si="14"/>
        <v>1</v>
      </c>
      <c r="BC35" s="84">
        <f t="shared" si="15"/>
        <v>0.2520029133284778</v>
      </c>
      <c r="BD35" s="84" t="str">
        <f t="shared" si="16"/>
        <v/>
      </c>
      <c r="BE35" s="6">
        <f t="shared" si="8"/>
        <v>7.0611428571428574</v>
      </c>
      <c r="BF35" s="6" t="str">
        <f t="shared" si="17"/>
        <v/>
      </c>
    </row>
    <row r="36" spans="1:58" ht="15" customHeight="1">
      <c r="B36" s="11">
        <v>45296</v>
      </c>
      <c r="D36" s="3">
        <v>31</v>
      </c>
      <c r="E36" s="205" t="str">
        <f t="shared" si="18"/>
        <v/>
      </c>
      <c r="G36" s="9">
        <f>(N36*18-H36*9)/9</f>
        <v>33.64</v>
      </c>
      <c r="H36" s="9">
        <f>2*5.18</f>
        <v>10.36</v>
      </c>
      <c r="I36" s="15">
        <f t="shared" si="23"/>
        <v>20.2</v>
      </c>
      <c r="K36" s="10" t="str">
        <f t="shared" si="19"/>
        <v/>
      </c>
      <c r="L36" s="9" t="str">
        <f t="shared" si="20"/>
        <v/>
      </c>
      <c r="M36" s="8">
        <f t="shared" si="21"/>
        <v>1.2009512485136742</v>
      </c>
      <c r="N36" s="7">
        <f>2*11</f>
        <v>22</v>
      </c>
      <c r="T36" s="6">
        <f>2*23.6</f>
        <v>47.2</v>
      </c>
      <c r="X36" s="6">
        <v>2.77</v>
      </c>
      <c r="AB36" s="5">
        <v>80</v>
      </c>
      <c r="AC36" s="7">
        <f>T36</f>
        <v>47.2</v>
      </c>
      <c r="AD36" s="1">
        <f>5*4.04</f>
        <v>20.2</v>
      </c>
      <c r="AE36" s="1">
        <f>2*14.8</f>
        <v>29.6</v>
      </c>
      <c r="AF36" s="1">
        <v>0.249</v>
      </c>
      <c r="AG36" s="204">
        <v>5.89</v>
      </c>
      <c r="AH36" s="203">
        <v>0.50520833333333337</v>
      </c>
      <c r="AJ36" s="1">
        <v>175</v>
      </c>
      <c r="AK36" s="3">
        <v>180</v>
      </c>
      <c r="AL36" s="4">
        <f>AE36</f>
        <v>29.6</v>
      </c>
      <c r="AM36" s="1">
        <f>2*5.1</f>
        <v>10.199999999999999</v>
      </c>
      <c r="AN36" s="80">
        <f t="shared" si="0"/>
        <v>100</v>
      </c>
      <c r="AO36" s="165"/>
      <c r="AP36" s="13">
        <f t="shared" si="22"/>
        <v>2935.0000000000136</v>
      </c>
      <c r="AQ36" s="15" t="str">
        <f>IF(ISNUMBER([1]HRT_SRT!R90),[1]HRT_SRT!R90,"")</f>
        <v/>
      </c>
      <c r="AR36" s="17" t="e">
        <f t="shared" si="1"/>
        <v>#VALUE!</v>
      </c>
      <c r="AS36" s="16">
        <f t="shared" si="2"/>
        <v>0.98767326732673277</v>
      </c>
      <c r="AT36" s="16">
        <f t="shared" si="3"/>
        <v>0.29522329707784067</v>
      </c>
      <c r="AU36" s="16">
        <f t="shared" si="4"/>
        <v>0.69678953626634965</v>
      </c>
      <c r="AV36" s="57" t="str">
        <f t="shared" si="5"/>
        <v/>
      </c>
      <c r="AW36" s="57">
        <f t="shared" si="6"/>
        <v>19.951000000000001</v>
      </c>
      <c r="AX36" s="57">
        <f t="shared" si="7"/>
        <v>23.44</v>
      </c>
      <c r="AY36" s="57">
        <f t="shared" si="11"/>
        <v>17.600000000000001</v>
      </c>
      <c r="AZ36" s="57">
        <f t="shared" si="12"/>
        <v>19.400000000000002</v>
      </c>
      <c r="BA36" s="84" t="str">
        <f t="shared" si="13"/>
        <v/>
      </c>
      <c r="BB36" s="84">
        <f t="shared" si="14"/>
        <v>0.98767326732673277</v>
      </c>
      <c r="BC36" s="84">
        <f t="shared" si="15"/>
        <v>0.29522329707784067</v>
      </c>
      <c r="BD36" s="84">
        <f t="shared" si="16"/>
        <v>0.69678953626634965</v>
      </c>
      <c r="BE36" s="6">
        <f t="shared" si="8"/>
        <v>6.8403428571428577</v>
      </c>
      <c r="BF36" s="6">
        <f t="shared" si="17"/>
        <v>2.330610854222428</v>
      </c>
    </row>
    <row r="37" spans="1:58" ht="15" customHeight="1">
      <c r="A37" s="12" t="s">
        <v>177</v>
      </c>
      <c r="B37" s="11">
        <v>45297</v>
      </c>
      <c r="D37" s="3">
        <v>32</v>
      </c>
      <c r="E37" s="205" t="str">
        <f t="shared" si="18"/>
        <v/>
      </c>
      <c r="I37" s="15">
        <f t="shared" si="23"/>
        <v>20.2</v>
      </c>
      <c r="K37" s="10" t="str">
        <f t="shared" ref="K37:K100" si="24">IF(OR(E37="",G37="",E37=0,G37=0),"",E37/G37)</f>
        <v/>
      </c>
      <c r="L37" s="9" t="str">
        <f t="shared" ref="L37:L100" si="25">IF(OR(E37="",I37="",E37=0,I37=0),"",E37/(I37*2))</f>
        <v/>
      </c>
      <c r="M37" s="8" t="str">
        <f t="shared" ref="M37:M100" si="26">IF(OR(I37="",G37="",I37=0,G37=0),"",I37*2/G37)</f>
        <v/>
      </c>
      <c r="AB37" s="5">
        <v>80</v>
      </c>
      <c r="AD37" s="188">
        <f>AD36</f>
        <v>20.2</v>
      </c>
      <c r="AG37" s="204">
        <v>6.59</v>
      </c>
      <c r="AH37" s="203">
        <v>0.50520833333333337</v>
      </c>
      <c r="AJ37" s="1">
        <v>175</v>
      </c>
      <c r="AK37" s="3">
        <v>180</v>
      </c>
      <c r="AN37" s="80">
        <f t="shared" si="0"/>
        <v>100</v>
      </c>
      <c r="AO37" s="165"/>
      <c r="AP37" s="13">
        <f t="shared" si="22"/>
        <v>3009.9999999999909</v>
      </c>
      <c r="AQ37" s="15" t="str">
        <f>IF(ISNUMBER([1]HRT_SRT!R91),[1]HRT_SRT!R91,"")</f>
        <v/>
      </c>
      <c r="AR37" s="17" t="e">
        <f t="shared" ref="AR37:AR68" si="27">(E37-W37)/E37</f>
        <v>#VALUE!</v>
      </c>
      <c r="AS37" s="16">
        <f t="shared" si="2"/>
        <v>1</v>
      </c>
      <c r="AT37" s="16">
        <f t="shared" si="3"/>
        <v>0.32623762376237625</v>
      </c>
      <c r="AU37" s="16" t="e">
        <f t="shared" ref="AU37:AU68" si="28">(G37-AM37)/G37</f>
        <v>#DIV/0!</v>
      </c>
      <c r="AV37" s="57" t="str">
        <f t="shared" si="5"/>
        <v/>
      </c>
      <c r="AW37" s="57" t="str">
        <f t="shared" si="6"/>
        <v/>
      </c>
      <c r="AX37" s="57" t="str">
        <f t="shared" si="7"/>
        <v/>
      </c>
      <c r="AY37" s="57" t="str">
        <f t="shared" si="11"/>
        <v/>
      </c>
      <c r="AZ37" s="57" t="str">
        <f t="shared" si="12"/>
        <v/>
      </c>
      <c r="BA37" s="84" t="str">
        <f t="shared" si="13"/>
        <v/>
      </c>
      <c r="BB37" s="84">
        <f t="shared" si="14"/>
        <v>1</v>
      </c>
      <c r="BC37" s="84">
        <f t="shared" si="15"/>
        <v>0.32623762376237625</v>
      </c>
      <c r="BD37" s="84" t="str">
        <f t="shared" si="16"/>
        <v/>
      </c>
      <c r="BE37" s="6">
        <f t="shared" si="8"/>
        <v>6.9257142857142862</v>
      </c>
      <c r="BF37" s="6" t="str">
        <f t="shared" si="17"/>
        <v/>
      </c>
    </row>
    <row r="38" spans="1:58" ht="15" customHeight="1">
      <c r="B38" s="11">
        <v>45298</v>
      </c>
      <c r="D38" s="3">
        <v>33</v>
      </c>
      <c r="E38" s="205" t="str">
        <f t="shared" si="18"/>
        <v/>
      </c>
      <c r="I38" s="15">
        <f t="shared" si="23"/>
        <v>20.2</v>
      </c>
      <c r="K38" s="10" t="str">
        <f t="shared" si="24"/>
        <v/>
      </c>
      <c r="L38" s="9" t="str">
        <f t="shared" si="25"/>
        <v/>
      </c>
      <c r="M38" s="8" t="str">
        <f t="shared" si="26"/>
        <v/>
      </c>
      <c r="AB38" s="5">
        <v>80</v>
      </c>
      <c r="AD38" s="188">
        <f>AD36</f>
        <v>20.2</v>
      </c>
      <c r="AG38" s="204">
        <v>6.81</v>
      </c>
      <c r="AH38" s="203">
        <v>0.50462962962962965</v>
      </c>
      <c r="AJ38" s="1">
        <v>175</v>
      </c>
      <c r="AK38" s="3">
        <v>180</v>
      </c>
      <c r="AN38" s="80">
        <f t="shared" si="0"/>
        <v>100</v>
      </c>
      <c r="AO38" s="165"/>
      <c r="AP38" s="13">
        <f t="shared" si="22"/>
        <v>3009.9999999999909</v>
      </c>
      <c r="AQ38" s="15" t="str">
        <f>IF(ISNUMBER([1]HRT_SRT!R92),[1]HRT_SRT!R92,"")</f>
        <v/>
      </c>
      <c r="AR38" s="17" t="e">
        <f t="shared" si="27"/>
        <v>#VALUE!</v>
      </c>
      <c r="AS38" s="16">
        <f t="shared" si="2"/>
        <v>1</v>
      </c>
      <c r="AT38" s="16">
        <f t="shared" si="3"/>
        <v>0.3371287128712871</v>
      </c>
      <c r="AU38" s="16" t="e">
        <f t="shared" si="28"/>
        <v>#DIV/0!</v>
      </c>
      <c r="AV38" s="57" t="str">
        <f t="shared" si="5"/>
        <v/>
      </c>
      <c r="AW38" s="57" t="str">
        <f t="shared" si="6"/>
        <v/>
      </c>
      <c r="AX38" s="57" t="str">
        <f t="shared" si="7"/>
        <v/>
      </c>
      <c r="AY38" s="57" t="str">
        <f t="shared" si="11"/>
        <v/>
      </c>
      <c r="AZ38" s="57" t="str">
        <f t="shared" si="12"/>
        <v/>
      </c>
      <c r="BA38" s="84" t="str">
        <f t="shared" si="13"/>
        <v/>
      </c>
      <c r="BB38" s="84">
        <f t="shared" ref="BB38:BB69" si="29">IF(AND($I38&gt;0,$AF38&gt;=0),IF(($I38-$AF38)/$I38&gt;0,($I38-$AF38)/$I38,0),"")</f>
        <v>1</v>
      </c>
      <c r="BC38" s="84">
        <f t="shared" ref="BC38:BC62" si="30">IF(AND($AG38&gt;=0,$AD38&gt;=0,$AF38&gt;=0),IF($AG38/($AD38-$AF38)&gt;0,$AG38/($AD38-$AF38),0),"")</f>
        <v>0.3371287128712871</v>
      </c>
      <c r="BD38" s="84" t="str">
        <f t="shared" si="16"/>
        <v/>
      </c>
      <c r="BE38" s="6">
        <f t="shared" si="8"/>
        <v>6.9257142857142862</v>
      </c>
      <c r="BF38" s="6" t="str">
        <f t="shared" si="17"/>
        <v/>
      </c>
    </row>
    <row r="39" spans="1:58" ht="15" customHeight="1">
      <c r="A39" s="12" t="s">
        <v>176</v>
      </c>
      <c r="B39" s="167">
        <v>45299</v>
      </c>
      <c r="C39" s="166"/>
      <c r="D39" s="136">
        <v>34</v>
      </c>
      <c r="E39" s="205">
        <f t="shared" si="18"/>
        <v>379.84399999999999</v>
      </c>
      <c r="F39" s="9">
        <f>'[1]1-8-2024'!$AR$42+'[1]1-8-2024'!$AR$85</f>
        <v>186.279</v>
      </c>
      <c r="G39" s="9">
        <f>(N39*18-H39*9)/9</f>
        <v>34.409999999999997</v>
      </c>
      <c r="H39" s="9">
        <f>'[1]1-8-2024'!$I$28</f>
        <v>29.25</v>
      </c>
      <c r="I39" s="15">
        <f t="shared" si="23"/>
        <v>24.11</v>
      </c>
      <c r="K39" s="10">
        <f t="shared" si="24"/>
        <v>11.038767800058123</v>
      </c>
      <c r="L39" s="9">
        <f t="shared" si="25"/>
        <v>7.8773123185400253</v>
      </c>
      <c r="M39" s="8">
        <f t="shared" si="26"/>
        <v>1.4013368206916594</v>
      </c>
      <c r="N39" s="7">
        <f>'[1]1-8-2024'!$I$6</f>
        <v>31.83</v>
      </c>
      <c r="S39" s="6">
        <f>'[1]1-8-2024'!$Q$6</f>
        <v>189.922</v>
      </c>
      <c r="T39" s="6">
        <f>'[1]1-8-2024'!$I$12</f>
        <v>71.22</v>
      </c>
      <c r="W39" s="6">
        <f>'[1]1-8-2024'!$Q$12</f>
        <v>7.8840000000000003</v>
      </c>
      <c r="X39" s="6">
        <v>4.92</v>
      </c>
      <c r="AB39" s="5">
        <v>80</v>
      </c>
      <c r="AC39" s="7">
        <f>T39</f>
        <v>71.22</v>
      </c>
      <c r="AD39" s="1">
        <f>'[1]1-8-2024'!G13</f>
        <v>24.11</v>
      </c>
      <c r="AE39" s="1">
        <f>'[1]1-8-2024'!$I$21</f>
        <v>46.25</v>
      </c>
      <c r="AF39" s="1">
        <f>'[1]1-8-2024'!G21</f>
        <v>1.3</v>
      </c>
      <c r="AG39" s="204">
        <v>6.74</v>
      </c>
      <c r="AH39" s="203">
        <v>0.50787037037037031</v>
      </c>
      <c r="AJ39" s="1">
        <v>175</v>
      </c>
      <c r="AK39" s="3">
        <v>180</v>
      </c>
      <c r="AL39" s="4">
        <f>AE39</f>
        <v>46.25</v>
      </c>
      <c r="AM39" s="6">
        <f>'[1]1-8-2024'!$I$27</f>
        <v>29.19</v>
      </c>
      <c r="AN39" s="80">
        <f t="shared" si="0"/>
        <v>100</v>
      </c>
      <c r="AO39" s="165">
        <f>[1]TSS_VSS!H92</f>
        <v>3009.9999999999909</v>
      </c>
      <c r="AP39" s="13">
        <f t="shared" si="22"/>
        <v>3009.9999999999909</v>
      </c>
      <c r="AQ39" s="15">
        <f>IF(ISNUMBER([1]HRT_SRT!R93),[1]HRT_SRT!R93,"")</f>
        <v>25.888761467890088</v>
      </c>
      <c r="AR39" s="17">
        <f t="shared" si="27"/>
        <v>0.97924411074019857</v>
      </c>
      <c r="AS39" s="16">
        <f t="shared" si="2"/>
        <v>0.94608046453753625</v>
      </c>
      <c r="AT39" s="16">
        <f t="shared" si="3"/>
        <v>0.29548443665059188</v>
      </c>
      <c r="AU39" s="16">
        <f t="shared" si="28"/>
        <v>0.15170008718395803</v>
      </c>
      <c r="AV39" s="57">
        <f t="shared" si="5"/>
        <v>371.96</v>
      </c>
      <c r="AW39" s="57">
        <f t="shared" si="6"/>
        <v>22.81</v>
      </c>
      <c r="AX39" s="57">
        <f t="shared" si="7"/>
        <v>5.2199999999999953</v>
      </c>
      <c r="AY39" s="57">
        <f t="shared" si="11"/>
        <v>24.97</v>
      </c>
      <c r="AZ39" s="57">
        <f t="shared" si="12"/>
        <v>17.059999999999999</v>
      </c>
      <c r="BA39" s="123">
        <f t="shared" si="13"/>
        <v>0.97924411074019857</v>
      </c>
      <c r="BB39" s="123">
        <f t="shared" si="29"/>
        <v>0.94608046453753625</v>
      </c>
      <c r="BC39" s="123">
        <f t="shared" si="30"/>
        <v>0.29548443665059188</v>
      </c>
      <c r="BD39" s="123">
        <f t="shared" si="16"/>
        <v>0.15170008718395803</v>
      </c>
      <c r="BE39" s="6">
        <f t="shared" si="8"/>
        <v>7.8205714285714283</v>
      </c>
      <c r="BF39" s="6">
        <f t="shared" si="17"/>
        <v>2.5981964878974924</v>
      </c>
    </row>
    <row r="40" spans="1:58" ht="15" customHeight="1">
      <c r="B40" s="11">
        <v>45300</v>
      </c>
      <c r="D40" s="3">
        <v>35</v>
      </c>
      <c r="E40" s="205" t="str">
        <f t="shared" si="18"/>
        <v/>
      </c>
      <c r="G40" s="71">
        <v>34.409999999999997</v>
      </c>
      <c r="I40" s="15">
        <f t="shared" si="23"/>
        <v>23.75</v>
      </c>
      <c r="K40" s="10" t="str">
        <f t="shared" si="24"/>
        <v/>
      </c>
      <c r="L40" s="9" t="str">
        <f t="shared" si="25"/>
        <v/>
      </c>
      <c r="M40" s="8">
        <f t="shared" si="26"/>
        <v>1.3804126707352515</v>
      </c>
      <c r="AB40" s="5">
        <v>80</v>
      </c>
      <c r="AC40" s="4">
        <f>5*10.9</f>
        <v>54.5</v>
      </c>
      <c r="AD40" s="1">
        <f>5*4.75</f>
        <v>23.75</v>
      </c>
      <c r="AE40" s="1">
        <f>5*6.54</f>
        <v>32.700000000000003</v>
      </c>
      <c r="AF40" s="1">
        <v>2.35</v>
      </c>
      <c r="AG40" s="204">
        <v>7.21</v>
      </c>
      <c r="AH40" s="203">
        <v>0.51157407407407407</v>
      </c>
      <c r="AJ40" s="1">
        <v>175</v>
      </c>
      <c r="AK40" s="3">
        <v>180</v>
      </c>
      <c r="AL40" s="4">
        <f>AE40</f>
        <v>32.700000000000003</v>
      </c>
      <c r="AM40" s="1">
        <f>5*4.14</f>
        <v>20.7</v>
      </c>
      <c r="AN40" s="80">
        <f t="shared" si="0"/>
        <v>100</v>
      </c>
      <c r="AO40" s="165"/>
      <c r="AP40" s="13">
        <f t="shared" si="22"/>
        <v>3009.9999999999909</v>
      </c>
      <c r="AQ40" s="15" t="str">
        <f>IF(ISNUMBER([1]HRT_SRT!R94),[1]HRT_SRT!R94,"")</f>
        <v/>
      </c>
      <c r="AR40" s="17" t="e">
        <f t="shared" si="27"/>
        <v>#VALUE!</v>
      </c>
      <c r="AS40" s="16">
        <f t="shared" si="2"/>
        <v>0.90105263157894733</v>
      </c>
      <c r="AT40" s="16">
        <f t="shared" si="3"/>
        <v>0.33691588785046733</v>
      </c>
      <c r="AU40" s="16">
        <f t="shared" si="28"/>
        <v>0.39843068875326937</v>
      </c>
      <c r="AV40" s="57" t="str">
        <f t="shared" si="5"/>
        <v/>
      </c>
      <c r="AW40" s="57">
        <f t="shared" si="6"/>
        <v>21.4</v>
      </c>
      <c r="AX40" s="57">
        <f t="shared" si="7"/>
        <v>13.709999999999997</v>
      </c>
      <c r="AY40" s="57">
        <f t="shared" si="11"/>
        <v>21.799999999999997</v>
      </c>
      <c r="AZ40" s="57">
        <f t="shared" si="12"/>
        <v>12.000000000000004</v>
      </c>
      <c r="BA40" s="123" t="str">
        <f t="shared" si="13"/>
        <v/>
      </c>
      <c r="BB40" s="123">
        <f t="shared" si="29"/>
        <v>0.90105263157894733</v>
      </c>
      <c r="BC40" s="123">
        <f t="shared" si="30"/>
        <v>0.33691588785046733</v>
      </c>
      <c r="BD40" s="123">
        <f t="shared" si="16"/>
        <v>0.39843068875326937</v>
      </c>
      <c r="BE40" s="6">
        <f t="shared" si="8"/>
        <v>7.3371428571428572</v>
      </c>
      <c r="BF40" s="6">
        <f t="shared" si="17"/>
        <v>2.4375889890840132</v>
      </c>
    </row>
    <row r="41" spans="1:58" ht="15" customHeight="1">
      <c r="A41" s="12" t="s">
        <v>175</v>
      </c>
      <c r="B41" s="11">
        <v>45301</v>
      </c>
      <c r="D41" s="3">
        <v>36</v>
      </c>
      <c r="E41" s="205" t="str">
        <f t="shared" si="18"/>
        <v/>
      </c>
      <c r="G41" s="71">
        <v>34.409999999999997</v>
      </c>
      <c r="I41" s="15">
        <f t="shared" si="23"/>
        <v>25.299999999999997</v>
      </c>
      <c r="K41" s="10" t="str">
        <f t="shared" si="24"/>
        <v/>
      </c>
      <c r="L41" s="9" t="str">
        <f t="shared" si="25"/>
        <v/>
      </c>
      <c r="M41" s="8">
        <f t="shared" si="26"/>
        <v>1.4705027608253414</v>
      </c>
      <c r="AB41" s="5">
        <v>80</v>
      </c>
      <c r="AC41" s="4">
        <f>5*12</f>
        <v>60</v>
      </c>
      <c r="AD41" s="1">
        <f>5*5.06</f>
        <v>25.299999999999997</v>
      </c>
      <c r="AE41" s="1">
        <f>5*7.93</f>
        <v>39.65</v>
      </c>
      <c r="AF41" s="1">
        <v>3.2</v>
      </c>
      <c r="AG41">
        <v>8.2899999999999991</v>
      </c>
      <c r="AH41" s="119">
        <v>0.51886574074074077</v>
      </c>
      <c r="AJ41" s="1">
        <v>175</v>
      </c>
      <c r="AK41" s="3">
        <v>180</v>
      </c>
      <c r="AL41" s="4">
        <f>AE41</f>
        <v>39.65</v>
      </c>
      <c r="AM41" s="1">
        <f>5*4.79</f>
        <v>23.95</v>
      </c>
      <c r="AN41" s="80">
        <f t="shared" si="0"/>
        <v>100</v>
      </c>
      <c r="AO41" s="165"/>
      <c r="AP41" s="13">
        <f t="shared" si="22"/>
        <v>3009.9999999999909</v>
      </c>
      <c r="AQ41" s="15" t="str">
        <f>IF(ISNUMBER([1]HRT_SRT!R95),[1]HRT_SRT!R95,"")</f>
        <v/>
      </c>
      <c r="AR41" s="17" t="e">
        <f t="shared" si="27"/>
        <v>#VALUE!</v>
      </c>
      <c r="AS41" s="16">
        <f t="shared" si="2"/>
        <v>0.87351778656126489</v>
      </c>
      <c r="AT41" s="16">
        <f t="shared" si="3"/>
        <v>0.3751131221719457</v>
      </c>
      <c r="AU41" s="16">
        <f t="shared" si="28"/>
        <v>0.30398140075559427</v>
      </c>
      <c r="AV41" s="57" t="str">
        <f t="shared" si="5"/>
        <v/>
      </c>
      <c r="AW41" s="57">
        <f t="shared" si="6"/>
        <v>22.099999999999998</v>
      </c>
      <c r="AX41" s="57">
        <f t="shared" si="7"/>
        <v>10.459999999999997</v>
      </c>
      <c r="AY41" s="57">
        <f t="shared" si="11"/>
        <v>20.350000000000001</v>
      </c>
      <c r="AZ41" s="57">
        <f t="shared" si="12"/>
        <v>15.7</v>
      </c>
      <c r="BA41" s="123" t="str">
        <f t="shared" si="13"/>
        <v/>
      </c>
      <c r="BB41" s="123">
        <f t="shared" si="29"/>
        <v>0.87351778656126489</v>
      </c>
      <c r="BC41" s="123">
        <f t="shared" si="30"/>
        <v>0.3751131221719457</v>
      </c>
      <c r="BD41" s="123">
        <f t="shared" si="16"/>
        <v>0.30398140075559427</v>
      </c>
      <c r="BE41" s="6">
        <f t="shared" si="8"/>
        <v>7.5771428571428565</v>
      </c>
      <c r="BF41" s="6">
        <f t="shared" si="17"/>
        <v>2.5173232083531163</v>
      </c>
    </row>
    <row r="42" spans="1:58" ht="15" customHeight="1">
      <c r="B42" s="11">
        <v>45302</v>
      </c>
      <c r="D42" s="3">
        <v>37</v>
      </c>
      <c r="E42" s="205" t="e">
        <f t="shared" si="18"/>
        <v>#REF!</v>
      </c>
      <c r="G42" s="71">
        <f>(G41+G43)/2</f>
        <v>30.204999999999998</v>
      </c>
      <c r="I42" s="15">
        <f t="shared" si="23"/>
        <v>25.35</v>
      </c>
      <c r="K42" s="10" t="e">
        <f t="shared" si="24"/>
        <v>#REF!</v>
      </c>
      <c r="L42" s="9" t="e">
        <f t="shared" si="25"/>
        <v>#REF!</v>
      </c>
      <c r="M42" s="8">
        <f t="shared" si="26"/>
        <v>1.6785300446945872</v>
      </c>
      <c r="S42" s="6" t="e">
        <f>#REF!</f>
        <v>#REF!</v>
      </c>
      <c r="X42" s="6">
        <v>3.94</v>
      </c>
      <c r="AB42" s="5">
        <v>80</v>
      </c>
      <c r="AD42" s="188">
        <v>25.35</v>
      </c>
      <c r="AF42" s="1">
        <v>4.09</v>
      </c>
      <c r="AG42">
        <v>8.6199999999999992</v>
      </c>
      <c r="AH42" s="119">
        <v>0.51898148148148149</v>
      </c>
      <c r="AJ42" s="1">
        <v>175</v>
      </c>
      <c r="AK42" s="3">
        <v>180</v>
      </c>
      <c r="AM42" s="1">
        <f>2*11.3</f>
        <v>22.6</v>
      </c>
      <c r="AN42" s="80">
        <f t="shared" si="0"/>
        <v>100</v>
      </c>
      <c r="AO42" s="165"/>
      <c r="AP42" s="13" t="e">
        <f t="shared" si="22"/>
        <v>#DIV/0!</v>
      </c>
      <c r="AQ42" s="15" t="str">
        <f>IF(ISNUMBER([1]HRT_SRT!R96),[1]HRT_SRT!R96,"")</f>
        <v/>
      </c>
      <c r="AR42" s="17" t="e">
        <f t="shared" si="27"/>
        <v>#REF!</v>
      </c>
      <c r="AS42" s="16">
        <f t="shared" si="2"/>
        <v>0.83865877712031556</v>
      </c>
      <c r="AT42" s="16">
        <f t="shared" si="3"/>
        <v>0.405456255879586</v>
      </c>
      <c r="AU42" s="16">
        <f t="shared" si="28"/>
        <v>0.25177950670418797</v>
      </c>
      <c r="AV42" s="57" t="str">
        <f t="shared" si="5"/>
        <v/>
      </c>
      <c r="AW42" s="57">
        <f t="shared" si="6"/>
        <v>21.26</v>
      </c>
      <c r="AX42" s="57">
        <f t="shared" si="7"/>
        <v>7.6049999999999969</v>
      </c>
      <c r="AY42" s="57" t="str">
        <f t="shared" si="11"/>
        <v/>
      </c>
      <c r="AZ42" s="57" t="str">
        <f t="shared" si="12"/>
        <v/>
      </c>
      <c r="BA42" s="123" t="e">
        <f t="shared" si="13"/>
        <v>#REF!</v>
      </c>
      <c r="BB42" s="123">
        <f t="shared" si="29"/>
        <v>0.83865877712031556</v>
      </c>
      <c r="BC42" s="123">
        <f t="shared" si="30"/>
        <v>0.405456255879586</v>
      </c>
      <c r="BD42" s="123">
        <f t="shared" si="16"/>
        <v>0.25177950670418797</v>
      </c>
      <c r="BE42" s="6">
        <f t="shared" si="8"/>
        <v>7.289142857142858</v>
      </c>
      <c r="BF42" s="6" t="e">
        <f t="shared" si="17"/>
        <v>#DIV/0!</v>
      </c>
    </row>
    <row r="43" spans="1:58" ht="15" customHeight="1">
      <c r="B43" s="11">
        <v>45303</v>
      </c>
      <c r="D43" s="3">
        <v>38</v>
      </c>
      <c r="E43" s="205" t="e">
        <f t="shared" si="18"/>
        <v>#REF!</v>
      </c>
      <c r="G43" s="198">
        <v>26</v>
      </c>
      <c r="I43" s="15">
        <f t="shared" si="23"/>
        <v>25.4</v>
      </c>
      <c r="K43" s="10" t="e">
        <f t="shared" si="24"/>
        <v>#REF!</v>
      </c>
      <c r="L43" s="9" t="e">
        <f t="shared" si="25"/>
        <v>#REF!</v>
      </c>
      <c r="M43" s="8">
        <f t="shared" si="26"/>
        <v>1.9538461538461538</v>
      </c>
      <c r="S43" s="6" t="e">
        <f>#REF!</f>
        <v>#REF!</v>
      </c>
      <c r="W43" s="6">
        <f>2.323+1.869</f>
        <v>4.1920000000000002</v>
      </c>
      <c r="X43" s="6">
        <v>7.34</v>
      </c>
      <c r="AB43" s="5">
        <v>80</v>
      </c>
      <c r="AC43" s="4">
        <f>25*2.57</f>
        <v>64.25</v>
      </c>
      <c r="AD43" s="1">
        <f>5*5.08</f>
        <v>25.4</v>
      </c>
      <c r="AE43" s="1">
        <f>25*1.78</f>
        <v>44.5</v>
      </c>
      <c r="AF43" s="1">
        <v>5.03</v>
      </c>
      <c r="AG43">
        <v>7.53</v>
      </c>
      <c r="AH43" s="119">
        <v>0.51863425925925932</v>
      </c>
      <c r="AJ43" s="1">
        <v>175</v>
      </c>
      <c r="AK43" s="3">
        <v>180</v>
      </c>
      <c r="AL43" s="4">
        <f>AE43</f>
        <v>44.5</v>
      </c>
      <c r="AM43" s="1">
        <f>25*1.18</f>
        <v>29.5</v>
      </c>
      <c r="AN43" s="80">
        <f t="shared" si="0"/>
        <v>100</v>
      </c>
      <c r="AO43" s="165"/>
      <c r="AP43" s="13">
        <f t="shared" si="22"/>
        <v>2640.0000000000091</v>
      </c>
      <c r="AQ43" s="15" t="str">
        <f>IF(ISNUMBER([1]HRT_SRT!R97),[1]HRT_SRT!R97,"")</f>
        <v/>
      </c>
      <c r="AR43" s="17" t="e">
        <f t="shared" si="27"/>
        <v>#REF!</v>
      </c>
      <c r="AS43" s="16">
        <f t="shared" si="2"/>
        <v>0.8019685039370078</v>
      </c>
      <c r="AT43" s="16">
        <f t="shared" si="3"/>
        <v>0.36966126656848314</v>
      </c>
      <c r="AU43" s="16">
        <f t="shared" si="28"/>
        <v>-0.13461538461538461</v>
      </c>
      <c r="AV43" s="57" t="str">
        <f t="shared" si="5"/>
        <v/>
      </c>
      <c r="AW43" s="57">
        <f t="shared" si="6"/>
        <v>20.369999999999997</v>
      </c>
      <c r="AX43" s="57">
        <f t="shared" si="7"/>
        <v>-3.5</v>
      </c>
      <c r="AY43" s="57">
        <f t="shared" si="11"/>
        <v>19.75</v>
      </c>
      <c r="AZ43" s="57">
        <f t="shared" si="12"/>
        <v>15</v>
      </c>
      <c r="BA43" s="123" t="e">
        <f t="shared" si="13"/>
        <v>#REF!</v>
      </c>
      <c r="BB43" s="123">
        <f t="shared" si="29"/>
        <v>0.8019685039370078</v>
      </c>
      <c r="BC43" s="123">
        <f t="shared" si="30"/>
        <v>0.36966126656848314</v>
      </c>
      <c r="BD43" s="123">
        <f t="shared" si="16"/>
        <v>0</v>
      </c>
      <c r="BE43" s="6">
        <f t="shared" si="8"/>
        <v>6.9839999999999991</v>
      </c>
      <c r="BF43" s="6">
        <f t="shared" si="17"/>
        <v>2.6454545454545362</v>
      </c>
    </row>
    <row r="44" spans="1:58" ht="15" customHeight="1">
      <c r="B44" s="11">
        <v>45304</v>
      </c>
      <c r="D44" s="3">
        <v>39</v>
      </c>
      <c r="E44" s="205" t="str">
        <f t="shared" si="18"/>
        <v/>
      </c>
      <c r="G44" s="198">
        <v>26</v>
      </c>
      <c r="I44" s="15">
        <f t="shared" si="23"/>
        <v>26.209999999999997</v>
      </c>
      <c r="K44" s="10" t="str">
        <f t="shared" si="24"/>
        <v/>
      </c>
      <c r="L44" s="9" t="str">
        <f t="shared" si="25"/>
        <v/>
      </c>
      <c r="M44" s="8">
        <f t="shared" si="26"/>
        <v>2.0161538461538457</v>
      </c>
      <c r="AB44" s="5">
        <v>80</v>
      </c>
      <c r="AD44" s="188">
        <f>(AD47-AD43)/3+AD43</f>
        <v>26.209999999999997</v>
      </c>
      <c r="AG44">
        <v>8.4499999999999993</v>
      </c>
      <c r="AH44" s="119">
        <v>0.51874999999999993</v>
      </c>
      <c r="AJ44" s="1">
        <v>175</v>
      </c>
      <c r="AK44" s="3">
        <v>180</v>
      </c>
      <c r="AN44" s="80">
        <f t="shared" si="0"/>
        <v>100</v>
      </c>
      <c r="AO44" s="165"/>
      <c r="AP44" s="13">
        <f t="shared" si="22"/>
        <v>2640.0000000000091</v>
      </c>
      <c r="AQ44" s="15" t="str">
        <f>IF(ISNUMBER([1]HRT_SRT!R98),[1]HRT_SRT!R98,"")</f>
        <v/>
      </c>
      <c r="AR44" s="17" t="e">
        <f t="shared" si="27"/>
        <v>#VALUE!</v>
      </c>
      <c r="AS44" s="16">
        <f t="shared" si="2"/>
        <v>1</v>
      </c>
      <c r="AT44" s="16">
        <f t="shared" si="3"/>
        <v>0.32239603204883632</v>
      </c>
      <c r="AU44" s="16">
        <f t="shared" si="28"/>
        <v>1</v>
      </c>
      <c r="AV44" s="57" t="str">
        <f t="shared" si="5"/>
        <v/>
      </c>
      <c r="AW44" s="57" t="str">
        <f t="shared" si="6"/>
        <v/>
      </c>
      <c r="AX44" s="57" t="str">
        <f t="shared" si="7"/>
        <v/>
      </c>
      <c r="AY44" s="57" t="str">
        <f t="shared" si="11"/>
        <v/>
      </c>
      <c r="AZ44" s="57" t="str">
        <f t="shared" si="12"/>
        <v/>
      </c>
      <c r="BA44" s="123" t="str">
        <f t="shared" si="13"/>
        <v/>
      </c>
      <c r="BB44" s="123">
        <f t="shared" si="29"/>
        <v>1</v>
      </c>
      <c r="BC44" s="123">
        <f t="shared" si="30"/>
        <v>0.32239603204883632</v>
      </c>
      <c r="BD44" s="123" t="str">
        <f t="shared" si="16"/>
        <v/>
      </c>
      <c r="BE44" s="6">
        <f t="shared" si="8"/>
        <v>8.9862857142857138</v>
      </c>
      <c r="BF44" s="6" t="str">
        <f t="shared" si="17"/>
        <v/>
      </c>
    </row>
    <row r="45" spans="1:58" ht="15" customHeight="1">
      <c r="B45" s="11">
        <v>45305</v>
      </c>
      <c r="D45" s="3">
        <v>40</v>
      </c>
      <c r="E45" s="205" t="str">
        <f t="shared" si="18"/>
        <v/>
      </c>
      <c r="G45" s="198">
        <v>26</v>
      </c>
      <c r="I45" s="15">
        <f t="shared" si="23"/>
        <v>26.749999999999996</v>
      </c>
      <c r="K45" s="10" t="str">
        <f t="shared" si="24"/>
        <v/>
      </c>
      <c r="L45" s="9" t="str">
        <f t="shared" si="25"/>
        <v/>
      </c>
      <c r="M45" s="8">
        <f t="shared" si="26"/>
        <v>2.0576923076923075</v>
      </c>
      <c r="AB45" s="5">
        <v>80</v>
      </c>
      <c r="AD45" s="188">
        <f>(AD47-AD44)/3+AD44</f>
        <v>26.749999999999996</v>
      </c>
      <c r="AG45">
        <v>7.32</v>
      </c>
      <c r="AH45" s="119">
        <v>0.51886574074074077</v>
      </c>
      <c r="AJ45" s="1">
        <v>175</v>
      </c>
      <c r="AK45" s="3">
        <v>180</v>
      </c>
      <c r="AN45" s="80">
        <f t="shared" si="0"/>
        <v>100</v>
      </c>
      <c r="AO45" s="165"/>
      <c r="AP45" s="13">
        <f t="shared" si="22"/>
        <v>2640.0000000000091</v>
      </c>
      <c r="AQ45" s="15" t="str">
        <f>IF(ISNUMBER([1]HRT_SRT!R99),[1]HRT_SRT!R99,"")</f>
        <v/>
      </c>
      <c r="AR45" s="17" t="e">
        <f t="shared" si="27"/>
        <v>#VALUE!</v>
      </c>
      <c r="AS45" s="16">
        <f t="shared" si="2"/>
        <v>1</v>
      </c>
      <c r="AT45" s="16">
        <f t="shared" si="3"/>
        <v>0.27364485981308417</v>
      </c>
      <c r="AU45" s="16">
        <f t="shared" si="28"/>
        <v>1</v>
      </c>
      <c r="AV45" s="57" t="str">
        <f t="shared" si="5"/>
        <v/>
      </c>
      <c r="AW45" s="57" t="str">
        <f t="shared" si="6"/>
        <v/>
      </c>
      <c r="AX45" s="57" t="str">
        <f t="shared" si="7"/>
        <v/>
      </c>
      <c r="AY45" s="57" t="str">
        <f t="shared" si="11"/>
        <v/>
      </c>
      <c r="AZ45" s="57" t="str">
        <f t="shared" si="12"/>
        <v/>
      </c>
      <c r="BA45" s="123" t="str">
        <f t="shared" si="13"/>
        <v/>
      </c>
      <c r="BB45" s="123">
        <f t="shared" si="29"/>
        <v>1</v>
      </c>
      <c r="BC45" s="123">
        <f t="shared" si="30"/>
        <v>0.27364485981308417</v>
      </c>
      <c r="BD45" s="123" t="str">
        <f t="shared" si="16"/>
        <v/>
      </c>
      <c r="BE45" s="6">
        <f t="shared" si="8"/>
        <v>9.1714285714285708</v>
      </c>
      <c r="BF45" s="6" t="str">
        <f t="shared" si="17"/>
        <v/>
      </c>
    </row>
    <row r="46" spans="1:58" ht="15" customHeight="1">
      <c r="B46" s="11">
        <v>45306</v>
      </c>
      <c r="D46" s="3">
        <v>41</v>
      </c>
      <c r="E46" s="205" t="str">
        <f t="shared" si="18"/>
        <v/>
      </c>
      <c r="G46" s="198">
        <v>26</v>
      </c>
      <c r="I46" s="15">
        <f t="shared" si="23"/>
        <v>27.109999999999996</v>
      </c>
      <c r="K46" s="10" t="str">
        <f t="shared" si="24"/>
        <v/>
      </c>
      <c r="L46" s="9" t="str">
        <f t="shared" si="25"/>
        <v/>
      </c>
      <c r="M46" s="8">
        <f t="shared" si="26"/>
        <v>2.0853846153846152</v>
      </c>
      <c r="AB46" s="5">
        <v>80</v>
      </c>
      <c r="AD46" s="188">
        <f>(AD47-AD45)/3+AD45</f>
        <v>27.109999999999996</v>
      </c>
      <c r="AG46">
        <v>7.58</v>
      </c>
      <c r="AH46" s="119">
        <v>0.51898148148148149</v>
      </c>
      <c r="AJ46" s="1">
        <v>175</v>
      </c>
      <c r="AK46" s="3">
        <v>180</v>
      </c>
      <c r="AN46" s="80">
        <f t="shared" si="0"/>
        <v>100</v>
      </c>
      <c r="AO46" s="165"/>
      <c r="AP46" s="13">
        <f t="shared" si="22"/>
        <v>2640.0000000000091</v>
      </c>
      <c r="AQ46" s="15" t="str">
        <f>IF(ISNUMBER([1]HRT_SRT!R100),[1]HRT_SRT!R100,"")</f>
        <v/>
      </c>
      <c r="AR46" s="17" t="e">
        <f t="shared" si="27"/>
        <v>#VALUE!</v>
      </c>
      <c r="AS46" s="16">
        <f t="shared" si="2"/>
        <v>1</v>
      </c>
      <c r="AT46" s="16">
        <f t="shared" si="3"/>
        <v>0.27960162301733682</v>
      </c>
      <c r="AU46" s="16">
        <f t="shared" si="28"/>
        <v>1</v>
      </c>
      <c r="AV46" s="57" t="str">
        <f t="shared" si="5"/>
        <v/>
      </c>
      <c r="AW46" s="57" t="str">
        <f t="shared" si="6"/>
        <v/>
      </c>
      <c r="AX46" s="57" t="str">
        <f t="shared" si="7"/>
        <v/>
      </c>
      <c r="AY46" s="57" t="str">
        <f t="shared" si="11"/>
        <v/>
      </c>
      <c r="AZ46" s="57" t="str">
        <f t="shared" si="12"/>
        <v/>
      </c>
      <c r="BA46" s="123" t="str">
        <f t="shared" si="13"/>
        <v/>
      </c>
      <c r="BB46" s="123">
        <f t="shared" si="29"/>
        <v>1</v>
      </c>
      <c r="BC46" s="123">
        <f t="shared" si="30"/>
        <v>0.27960162301733682</v>
      </c>
      <c r="BD46" s="123" t="str">
        <f t="shared" si="16"/>
        <v/>
      </c>
      <c r="BE46" s="6">
        <f t="shared" si="8"/>
        <v>9.2948571428571416</v>
      </c>
      <c r="BF46" s="6" t="str">
        <f t="shared" si="17"/>
        <v/>
      </c>
    </row>
    <row r="47" spans="1:58" ht="15" customHeight="1">
      <c r="B47" s="167">
        <v>45307</v>
      </c>
      <c r="C47" s="166"/>
      <c r="D47" s="136">
        <v>42</v>
      </c>
      <c r="E47" s="205">
        <f t="shared" si="18"/>
        <v>379.84399999999999</v>
      </c>
      <c r="G47" s="9">
        <f>(N47*18-H47*9)/9</f>
        <v>24.999999999999993</v>
      </c>
      <c r="H47" s="9">
        <f>'[1]1-16-2024'!I28</f>
        <v>25.66</v>
      </c>
      <c r="I47" s="15">
        <f t="shared" si="23"/>
        <v>27.83</v>
      </c>
      <c r="K47" s="10">
        <f t="shared" si="24"/>
        <v>15.193760000000005</v>
      </c>
      <c r="L47" s="9">
        <f t="shared" si="25"/>
        <v>6.8243621990657566</v>
      </c>
      <c r="M47" s="8">
        <f t="shared" si="26"/>
        <v>2.2264000000000004</v>
      </c>
      <c r="N47" s="7">
        <f>'[1]1-16-2024'!I6</f>
        <v>25.33</v>
      </c>
      <c r="S47" s="6">
        <f>'[1]1-16-2024'!Q6</f>
        <v>189.922</v>
      </c>
      <c r="T47" s="6">
        <f>'[1]1-16-2024'!I12</f>
        <v>56.38</v>
      </c>
      <c r="W47" s="6">
        <f>'[1]1-16-2024'!Q12</f>
        <v>7.8840000000000003</v>
      </c>
      <c r="X47" s="6">
        <v>7.82</v>
      </c>
      <c r="AB47" s="5">
        <v>80</v>
      </c>
      <c r="AC47" s="7">
        <f>T47</f>
        <v>56.38</v>
      </c>
      <c r="AD47" s="1">
        <f>'[1]1-16-2024'!G13</f>
        <v>27.83</v>
      </c>
      <c r="AE47" s="1">
        <f>'[1]1-16-2024'!I20</f>
        <v>40.15</v>
      </c>
      <c r="AF47" s="1">
        <f>'[1]1-16-2024'!G21</f>
        <v>8.52</v>
      </c>
      <c r="AG47">
        <v>7.36</v>
      </c>
      <c r="AH47" s="119">
        <v>0.51851851851851849</v>
      </c>
      <c r="AJ47" s="1">
        <v>175</v>
      </c>
      <c r="AK47" s="3">
        <v>180</v>
      </c>
      <c r="AL47" s="4">
        <f>AE47</f>
        <v>40.15</v>
      </c>
      <c r="AM47" s="6">
        <f>'[1]1-16-2024'!I27</f>
        <v>28.24</v>
      </c>
      <c r="AN47" s="80">
        <f t="shared" si="0"/>
        <v>100</v>
      </c>
      <c r="AO47" s="165">
        <f>[1]TSS_VSS!H98</f>
        <v>2640.0000000000091</v>
      </c>
      <c r="AP47" s="13">
        <f t="shared" si="22"/>
        <v>2640.0000000000091</v>
      </c>
      <c r="AQ47" s="15">
        <f>IF(ISNUMBER([1]HRT_SRT!R101),[1]HRT_SRT!R101,"")</f>
        <v>24.440421329821888</v>
      </c>
      <c r="AR47" s="17">
        <f t="shared" si="27"/>
        <v>0.97924411074019857</v>
      </c>
      <c r="AS47" s="16">
        <f t="shared" si="2"/>
        <v>0.69385555156306145</v>
      </c>
      <c r="AT47" s="16">
        <f t="shared" si="3"/>
        <v>0.38114966338684625</v>
      </c>
      <c r="AU47" s="16">
        <f t="shared" si="28"/>
        <v>-0.12960000000000027</v>
      </c>
      <c r="AV47" s="57">
        <f t="shared" si="5"/>
        <v>371.96</v>
      </c>
      <c r="AW47" s="57">
        <f t="shared" si="6"/>
        <v>19.309999999999999</v>
      </c>
      <c r="AX47" s="57">
        <f t="shared" si="7"/>
        <v>-3.2400000000000055</v>
      </c>
      <c r="AY47" s="57">
        <f t="shared" si="11"/>
        <v>16.230000000000004</v>
      </c>
      <c r="AZ47" s="57">
        <f t="shared" si="12"/>
        <v>11.91</v>
      </c>
      <c r="BA47" s="123">
        <f t="shared" si="13"/>
        <v>0.97924411074019857</v>
      </c>
      <c r="BB47" s="123">
        <f t="shared" si="29"/>
        <v>0.69385555156306145</v>
      </c>
      <c r="BC47" s="123">
        <f t="shared" si="30"/>
        <v>0.38114966338684625</v>
      </c>
      <c r="BD47" s="123">
        <f t="shared" si="16"/>
        <v>0</v>
      </c>
      <c r="BE47" s="6">
        <f t="shared" si="8"/>
        <v>6.6205714285714281</v>
      </c>
      <c r="BF47" s="6">
        <f t="shared" si="17"/>
        <v>2.5077922077921992</v>
      </c>
    </row>
    <row r="48" spans="1:58" ht="15.75">
      <c r="B48" s="11">
        <v>45308</v>
      </c>
      <c r="D48" s="3">
        <v>43</v>
      </c>
      <c r="E48" s="205" t="str">
        <f t="shared" si="18"/>
        <v/>
      </c>
      <c r="G48" s="202">
        <v>26</v>
      </c>
      <c r="I48" s="15">
        <f t="shared" si="23"/>
        <v>25.8</v>
      </c>
      <c r="K48" s="10" t="str">
        <f t="shared" si="24"/>
        <v/>
      </c>
      <c r="L48" s="9" t="str">
        <f t="shared" si="25"/>
        <v/>
      </c>
      <c r="M48" s="8">
        <f t="shared" si="26"/>
        <v>1.9846153846153847</v>
      </c>
      <c r="AB48" s="5">
        <v>80</v>
      </c>
      <c r="AC48" s="4">
        <f>25*2.26</f>
        <v>56.499999999999993</v>
      </c>
      <c r="AD48" s="1">
        <f>5*5.16</f>
        <v>25.8</v>
      </c>
      <c r="AE48" s="1">
        <f>25*1.56</f>
        <v>39</v>
      </c>
      <c r="AF48" s="1">
        <f>2*4.47</f>
        <v>8.94</v>
      </c>
      <c r="AG48" s="201">
        <v>6.04</v>
      </c>
      <c r="AH48" s="119">
        <v>0.51886574074074077</v>
      </c>
      <c r="AJ48" s="1">
        <v>175</v>
      </c>
      <c r="AK48" s="3">
        <v>180</v>
      </c>
      <c r="AL48" s="4">
        <f>AE48</f>
        <v>39</v>
      </c>
      <c r="AM48" s="1">
        <f>25*1.08</f>
        <v>27</v>
      </c>
      <c r="AN48" s="80">
        <f t="shared" si="0"/>
        <v>100</v>
      </c>
      <c r="AO48" s="165"/>
      <c r="AP48" s="13">
        <f t="shared" si="22"/>
        <v>2640.0000000000091</v>
      </c>
      <c r="AQ48" s="15" t="str">
        <f>IF(ISNUMBER([1]HRT_SRT!R102),[1]HRT_SRT!R102,"")</f>
        <v/>
      </c>
      <c r="AR48" s="17" t="e">
        <f t="shared" si="27"/>
        <v>#VALUE!</v>
      </c>
      <c r="AS48" s="16">
        <f t="shared" si="2"/>
        <v>0.65348837209302324</v>
      </c>
      <c r="AT48" s="16">
        <f t="shared" si="3"/>
        <v>0.3582443653618031</v>
      </c>
      <c r="AU48" s="16">
        <f t="shared" si="28"/>
        <v>-3.8461538461538464E-2</v>
      </c>
      <c r="AV48" s="57" t="str">
        <f t="shared" si="5"/>
        <v/>
      </c>
      <c r="AW48" s="57">
        <f t="shared" si="6"/>
        <v>16.86</v>
      </c>
      <c r="AX48" s="57">
        <f t="shared" si="7"/>
        <v>-1</v>
      </c>
      <c r="AY48" s="57">
        <f t="shared" si="11"/>
        <v>17.499999999999993</v>
      </c>
      <c r="AZ48" s="57">
        <f t="shared" si="12"/>
        <v>12</v>
      </c>
      <c r="BA48" s="123" t="str">
        <f t="shared" si="13"/>
        <v/>
      </c>
      <c r="BB48" s="123">
        <f t="shared" si="29"/>
        <v>0.65348837209302324</v>
      </c>
      <c r="BC48" s="123">
        <f t="shared" si="30"/>
        <v>0.3582443653618031</v>
      </c>
      <c r="BD48" s="123">
        <f t="shared" si="16"/>
        <v>0</v>
      </c>
      <c r="BE48" s="6">
        <f t="shared" si="8"/>
        <v>5.7805714285714282</v>
      </c>
      <c r="BF48" s="6">
        <f t="shared" si="17"/>
        <v>2.1896103896103822</v>
      </c>
    </row>
    <row r="49" spans="1:58" ht="15.75">
      <c r="B49" s="11">
        <v>45309</v>
      </c>
      <c r="D49" s="3">
        <v>44</v>
      </c>
      <c r="E49" s="205" t="str">
        <f t="shared" si="18"/>
        <v/>
      </c>
      <c r="G49" s="198">
        <v>26</v>
      </c>
      <c r="I49" s="15">
        <f t="shared" si="23"/>
        <v>25</v>
      </c>
      <c r="K49" s="10" t="str">
        <f t="shared" si="24"/>
        <v/>
      </c>
      <c r="L49" s="9" t="str">
        <f t="shared" si="25"/>
        <v/>
      </c>
      <c r="M49" s="8">
        <f t="shared" si="26"/>
        <v>1.9230769230769231</v>
      </c>
      <c r="AB49" s="5">
        <v>80</v>
      </c>
      <c r="AD49" s="26">
        <v>25</v>
      </c>
      <c r="AE49" s="1">
        <f>25*0.994</f>
        <v>24.85</v>
      </c>
      <c r="AF49" s="1">
        <f>2*6.56</f>
        <v>13.12</v>
      </c>
      <c r="AG49" s="201">
        <v>3.87</v>
      </c>
      <c r="AH49" s="119">
        <v>0.51863425925925932</v>
      </c>
      <c r="AJ49" s="1">
        <v>175</v>
      </c>
      <c r="AK49" s="3">
        <v>180</v>
      </c>
      <c r="AL49" s="4">
        <f>AE49</f>
        <v>24.85</v>
      </c>
      <c r="AM49" s="1">
        <f>25*0.786</f>
        <v>19.650000000000002</v>
      </c>
      <c r="AN49" s="80">
        <f t="shared" si="0"/>
        <v>100</v>
      </c>
      <c r="AO49" s="165"/>
      <c r="AP49" s="13">
        <f t="shared" si="22"/>
        <v>2585.0000000000136</v>
      </c>
      <c r="AQ49" s="15" t="str">
        <f>IF(ISNUMBER([1]HRT_SRT!R103),[1]HRT_SRT!R103,"")</f>
        <v/>
      </c>
      <c r="AR49" s="17" t="e">
        <f t="shared" si="27"/>
        <v>#VALUE!</v>
      </c>
      <c r="AS49" s="16">
        <f t="shared" si="2"/>
        <v>0.47520000000000001</v>
      </c>
      <c r="AT49" s="16">
        <f t="shared" si="3"/>
        <v>0.32575757575757575</v>
      </c>
      <c r="AU49" s="16">
        <f t="shared" si="28"/>
        <v>0.24423076923076914</v>
      </c>
      <c r="AV49" s="57" t="str">
        <f t="shared" si="5"/>
        <v/>
      </c>
      <c r="AW49" s="57">
        <f t="shared" si="6"/>
        <v>11.88</v>
      </c>
      <c r="AX49" s="57">
        <f t="shared" si="7"/>
        <v>6.3499999999999979</v>
      </c>
      <c r="AY49" s="57" t="str">
        <f t="shared" si="11"/>
        <v/>
      </c>
      <c r="AZ49" s="57">
        <f t="shared" si="12"/>
        <v>5.1999999999999993</v>
      </c>
      <c r="BA49" s="123" t="str">
        <f t="shared" si="13"/>
        <v/>
      </c>
      <c r="BB49" s="123">
        <f t="shared" si="29"/>
        <v>0.47520000000000001</v>
      </c>
      <c r="BC49" s="123">
        <f t="shared" si="30"/>
        <v>0.32575757575757575</v>
      </c>
      <c r="BD49" s="123">
        <f t="shared" si="16"/>
        <v>0.24423076923076914</v>
      </c>
      <c r="BE49" s="6">
        <f t="shared" si="8"/>
        <v>4.0731428571428578</v>
      </c>
      <c r="BF49" s="6">
        <f t="shared" si="17"/>
        <v>1.5756838905774995</v>
      </c>
    </row>
    <row r="50" spans="1:58" ht="15.75">
      <c r="B50" s="11">
        <v>45310</v>
      </c>
      <c r="D50" s="3">
        <v>45</v>
      </c>
      <c r="E50" s="205" t="str">
        <f t="shared" si="18"/>
        <v/>
      </c>
      <c r="G50" s="198">
        <v>26</v>
      </c>
      <c r="I50" s="15">
        <f t="shared" si="23"/>
        <v>23.450000000000003</v>
      </c>
      <c r="K50" s="10" t="str">
        <f t="shared" si="24"/>
        <v/>
      </c>
      <c r="L50" s="9" t="str">
        <f t="shared" si="25"/>
        <v/>
      </c>
      <c r="M50" s="8">
        <f t="shared" si="26"/>
        <v>1.8038461538461541</v>
      </c>
      <c r="AB50" s="5">
        <v>80</v>
      </c>
      <c r="AC50" s="4">
        <f>25*2.4</f>
        <v>60</v>
      </c>
      <c r="AD50" s="165">
        <f>5*4.69</f>
        <v>23.450000000000003</v>
      </c>
      <c r="AE50" s="1">
        <f>25*1.76</f>
        <v>44</v>
      </c>
      <c r="AF50" s="1">
        <f>2*4.87</f>
        <v>9.74</v>
      </c>
      <c r="AG50">
        <v>5.3</v>
      </c>
      <c r="AH50" s="119">
        <v>0.51909722222222221</v>
      </c>
      <c r="AJ50" s="1">
        <v>175</v>
      </c>
      <c r="AK50" s="3">
        <v>180</v>
      </c>
      <c r="AL50" s="4">
        <f>AE50</f>
        <v>44</v>
      </c>
      <c r="AM50" s="1">
        <f>12.5*2.36</f>
        <v>29.5</v>
      </c>
      <c r="AN50" s="80">
        <f t="shared" si="0"/>
        <v>100</v>
      </c>
      <c r="AO50" s="165"/>
      <c r="AP50" s="13">
        <f t="shared" si="22"/>
        <v>2495.0000000000045</v>
      </c>
      <c r="AQ50" s="15" t="str">
        <f>IF(ISNUMBER([1]HRT_SRT!R104),[1]HRT_SRT!R104,"")</f>
        <v/>
      </c>
      <c r="AR50" s="17" t="e">
        <f t="shared" si="27"/>
        <v>#VALUE!</v>
      </c>
      <c r="AS50" s="16">
        <f t="shared" si="2"/>
        <v>0.58464818763326232</v>
      </c>
      <c r="AT50" s="16">
        <f t="shared" si="3"/>
        <v>0.38657913931436899</v>
      </c>
      <c r="AU50" s="16">
        <f t="shared" si="28"/>
        <v>-0.13461538461538461</v>
      </c>
      <c r="AV50" s="57" t="str">
        <f t="shared" si="5"/>
        <v/>
      </c>
      <c r="AW50" s="57">
        <f t="shared" si="6"/>
        <v>13.710000000000003</v>
      </c>
      <c r="AX50" s="57">
        <f t="shared" si="7"/>
        <v>-3.5</v>
      </c>
      <c r="AY50" s="57">
        <f t="shared" si="11"/>
        <v>16</v>
      </c>
      <c r="AZ50" s="57">
        <f t="shared" si="12"/>
        <v>14.5</v>
      </c>
      <c r="BA50" s="123" t="str">
        <f t="shared" si="13"/>
        <v/>
      </c>
      <c r="BB50" s="123">
        <f t="shared" si="29"/>
        <v>0.58464818763326232</v>
      </c>
      <c r="BC50" s="123">
        <f t="shared" si="30"/>
        <v>0.38657913931436899</v>
      </c>
      <c r="BD50" s="123">
        <f t="shared" si="16"/>
        <v>0</v>
      </c>
      <c r="BE50" s="6">
        <f t="shared" si="8"/>
        <v>4.70057142857143</v>
      </c>
      <c r="BF50" s="6">
        <f t="shared" si="17"/>
        <v>1.8839965645576839</v>
      </c>
    </row>
    <row r="51" spans="1:58" ht="15.75">
      <c r="B51" s="11">
        <v>45311</v>
      </c>
      <c r="D51" s="3">
        <v>46</v>
      </c>
      <c r="E51" s="205" t="str">
        <f t="shared" si="18"/>
        <v/>
      </c>
      <c r="I51" s="15">
        <f t="shared" si="23"/>
        <v>25</v>
      </c>
      <c r="K51" s="10" t="str">
        <f t="shared" si="24"/>
        <v/>
      </c>
      <c r="L51" s="9" t="str">
        <f t="shared" si="25"/>
        <v/>
      </c>
      <c r="M51" s="8" t="str">
        <f t="shared" si="26"/>
        <v/>
      </c>
      <c r="AB51" s="5">
        <v>80</v>
      </c>
      <c r="AD51" s="26">
        <v>25</v>
      </c>
      <c r="AG51">
        <v>6.14</v>
      </c>
      <c r="AH51" s="119">
        <v>0.51932870370370365</v>
      </c>
      <c r="AJ51" s="1">
        <v>175</v>
      </c>
      <c r="AK51" s="3">
        <v>180</v>
      </c>
      <c r="AN51" s="80">
        <f t="shared" si="0"/>
        <v>100</v>
      </c>
      <c r="AO51" s="165"/>
      <c r="AP51" s="13">
        <f t="shared" si="22"/>
        <v>2495.0000000000045</v>
      </c>
      <c r="AQ51" s="15" t="str">
        <f>IF(ISNUMBER([1]HRT_SRT!R105),[1]HRT_SRT!R105,"")</f>
        <v/>
      </c>
      <c r="AR51" s="17" t="e">
        <f t="shared" si="27"/>
        <v>#VALUE!</v>
      </c>
      <c r="AS51" s="16">
        <f t="shared" si="2"/>
        <v>1</v>
      </c>
      <c r="AT51" s="16">
        <f t="shared" si="3"/>
        <v>0.24559999999999998</v>
      </c>
      <c r="AU51" s="16" t="e">
        <f t="shared" si="28"/>
        <v>#DIV/0!</v>
      </c>
      <c r="AV51" s="57" t="str">
        <f t="shared" si="5"/>
        <v/>
      </c>
      <c r="AW51" s="57" t="str">
        <f t="shared" si="6"/>
        <v/>
      </c>
      <c r="AX51" s="57" t="str">
        <f t="shared" si="7"/>
        <v/>
      </c>
      <c r="AY51" s="57" t="str">
        <f t="shared" si="11"/>
        <v/>
      </c>
      <c r="AZ51" s="57" t="str">
        <f t="shared" si="12"/>
        <v/>
      </c>
      <c r="BA51" s="123" t="str">
        <f t="shared" si="13"/>
        <v/>
      </c>
      <c r="BB51" s="123">
        <f t="shared" si="29"/>
        <v>1</v>
      </c>
      <c r="BC51" s="123">
        <f t="shared" si="30"/>
        <v>0.24559999999999998</v>
      </c>
      <c r="BD51" s="123" t="str">
        <f t="shared" si="16"/>
        <v/>
      </c>
      <c r="BE51" s="6">
        <f t="shared" si="8"/>
        <v>8.5714285714285712</v>
      </c>
      <c r="BF51" s="6" t="str">
        <f t="shared" si="17"/>
        <v/>
      </c>
    </row>
    <row r="52" spans="1:58" ht="15.75">
      <c r="A52" s="12" t="s">
        <v>174</v>
      </c>
      <c r="B52" s="11">
        <v>45312</v>
      </c>
      <c r="D52" s="3">
        <v>47</v>
      </c>
      <c r="E52" s="205" t="str">
        <f t="shared" si="18"/>
        <v/>
      </c>
      <c r="G52" s="198">
        <v>26</v>
      </c>
      <c r="I52" s="15">
        <f t="shared" si="23"/>
        <v>25</v>
      </c>
      <c r="K52" s="10" t="str">
        <f t="shared" si="24"/>
        <v/>
      </c>
      <c r="L52" s="9" t="str">
        <f t="shared" si="25"/>
        <v/>
      </c>
      <c r="M52" s="8">
        <f t="shared" si="26"/>
        <v>1.9230769230769231</v>
      </c>
      <c r="N52" s="6"/>
      <c r="AB52" s="6">
        <v>80</v>
      </c>
      <c r="AC52" s="1"/>
      <c r="AD52" s="26">
        <v>25</v>
      </c>
      <c r="AG52" s="200">
        <v>2.93</v>
      </c>
      <c r="AH52" s="199">
        <v>0.40925925925925927</v>
      </c>
      <c r="AJ52" s="1">
        <v>175</v>
      </c>
      <c r="AK52" s="3">
        <v>180</v>
      </c>
      <c r="AL52" s="1"/>
      <c r="AN52" s="80">
        <f t="shared" si="0"/>
        <v>100</v>
      </c>
      <c r="AO52" s="165"/>
      <c r="AP52" s="13">
        <f t="shared" si="22"/>
        <v>2495.0000000000045</v>
      </c>
      <c r="AQ52" s="15" t="str">
        <f>IF(ISNUMBER([1]HRT_SRT!R106),[1]HRT_SRT!R106,"")</f>
        <v/>
      </c>
      <c r="AR52" s="17" t="e">
        <f t="shared" si="27"/>
        <v>#VALUE!</v>
      </c>
      <c r="AS52" s="16">
        <f t="shared" si="2"/>
        <v>1</v>
      </c>
      <c r="AT52" s="16">
        <f t="shared" si="3"/>
        <v>0.11720000000000001</v>
      </c>
      <c r="AU52" s="16">
        <f t="shared" si="28"/>
        <v>1</v>
      </c>
      <c r="AV52" s="57" t="str">
        <f t="shared" si="5"/>
        <v/>
      </c>
      <c r="AW52" s="57" t="str">
        <f t="shared" si="6"/>
        <v/>
      </c>
      <c r="AX52" s="57" t="str">
        <f t="shared" si="7"/>
        <v/>
      </c>
      <c r="AY52" s="57" t="str">
        <f t="shared" si="11"/>
        <v/>
      </c>
      <c r="AZ52" s="57" t="str">
        <f t="shared" si="12"/>
        <v/>
      </c>
      <c r="BA52" s="123" t="str">
        <f t="shared" si="13"/>
        <v/>
      </c>
      <c r="BB52" s="123">
        <f t="shared" si="29"/>
        <v>1</v>
      </c>
      <c r="BC52" s="123">
        <f t="shared" si="30"/>
        <v>0.11720000000000001</v>
      </c>
      <c r="BD52" s="123" t="str">
        <f t="shared" si="16"/>
        <v/>
      </c>
      <c r="BE52" s="6">
        <f t="shared" si="8"/>
        <v>8.5714285714285712</v>
      </c>
      <c r="BF52" s="6" t="str">
        <f t="shared" si="17"/>
        <v/>
      </c>
    </row>
    <row r="53" spans="1:58" ht="15.75">
      <c r="A53" s="25" t="s">
        <v>173</v>
      </c>
      <c r="B53" s="11">
        <v>45313</v>
      </c>
      <c r="D53" s="3">
        <v>48</v>
      </c>
      <c r="E53" s="205">
        <f t="shared" si="18"/>
        <v>425.68141199999997</v>
      </c>
      <c r="G53" s="198">
        <v>26</v>
      </c>
      <c r="I53" s="15">
        <f t="shared" ref="I53:I77" si="31">AD53</f>
        <v>26.9</v>
      </c>
      <c r="K53" s="10">
        <f t="shared" si="24"/>
        <v>16.372361999999999</v>
      </c>
      <c r="L53" s="9">
        <f t="shared" si="25"/>
        <v>7.9122939033457245</v>
      </c>
      <c r="M53" s="8">
        <f t="shared" si="26"/>
        <v>2.069230769230769</v>
      </c>
      <c r="N53" s="6">
        <f>20*1.55</f>
        <v>31</v>
      </c>
      <c r="O53" s="6">
        <v>149.36199999999999</v>
      </c>
      <c r="P53" s="6">
        <v>35.317999999999998</v>
      </c>
      <c r="Q53" s="6">
        <f>O53*1.067</f>
        <v>159.36925399999998</v>
      </c>
      <c r="R53" s="6">
        <f>P53*1.514</f>
        <v>53.471451999999999</v>
      </c>
      <c r="S53" s="23">
        <f>P53*1.514+O53*1.067</f>
        <v>212.84070599999998</v>
      </c>
      <c r="T53" s="6">
        <f>20*1.6</f>
        <v>32</v>
      </c>
      <c r="U53" s="6">
        <f>130.4*1.067</f>
        <v>139.13679999999999</v>
      </c>
      <c r="V53" s="6">
        <f>21.679*1.514</f>
        <v>32.822005999999995</v>
      </c>
      <c r="W53" s="23">
        <f>U53*1.067+V53*1.514</f>
        <v>198.151482684</v>
      </c>
      <c r="X53" s="6">
        <v>6.23</v>
      </c>
      <c r="AB53" s="6">
        <v>80</v>
      </c>
      <c r="AC53" s="6">
        <f>T53</f>
        <v>32</v>
      </c>
      <c r="AD53" s="1">
        <f>5*5.38</f>
        <v>26.9</v>
      </c>
      <c r="AE53" s="1">
        <f>20*1.56</f>
        <v>31.200000000000003</v>
      </c>
      <c r="AF53" s="1">
        <v>0</v>
      </c>
      <c r="AG53">
        <v>0.04</v>
      </c>
      <c r="AH53" s="119">
        <v>0.52083333333333337</v>
      </c>
      <c r="AJ53" s="1">
        <v>175</v>
      </c>
      <c r="AK53" s="3">
        <v>180</v>
      </c>
      <c r="AL53" s="1">
        <f>AE53</f>
        <v>31.200000000000003</v>
      </c>
      <c r="AM53" s="1">
        <f>10*2.97</f>
        <v>29.700000000000003</v>
      </c>
      <c r="AN53" s="80">
        <f t="shared" si="0"/>
        <v>100</v>
      </c>
      <c r="AO53" s="165">
        <f>[1]TSS_VSS!H104</f>
        <v>2530.0000000000182</v>
      </c>
      <c r="AP53" s="13">
        <f t="shared" si="22"/>
        <v>2495.0000000000045</v>
      </c>
      <c r="AQ53" s="15">
        <f>IF(ISNUMBER([1]HRT_SRT!R107),[1]HRT_SRT!R107,"")</f>
        <v>26.162790697674417</v>
      </c>
      <c r="AR53" s="17">
        <f t="shared" si="27"/>
        <v>0.53450755166166375</v>
      </c>
      <c r="AS53" s="16">
        <f t="shared" si="2"/>
        <v>1</v>
      </c>
      <c r="AT53" s="16">
        <f t="shared" si="3"/>
        <v>1.4869888475836433E-3</v>
      </c>
      <c r="AU53" s="16">
        <f t="shared" si="28"/>
        <v>-0.14230769230769241</v>
      </c>
      <c r="AV53" s="57">
        <f t="shared" si="5"/>
        <v>227.52992931599996</v>
      </c>
      <c r="AW53" s="57">
        <f t="shared" si="6"/>
        <v>26.9</v>
      </c>
      <c r="AX53" s="57">
        <f t="shared" si="7"/>
        <v>-3.7000000000000028</v>
      </c>
      <c r="AY53" s="57">
        <f t="shared" si="11"/>
        <v>0.79999999999999716</v>
      </c>
      <c r="AZ53" s="57">
        <f t="shared" si="12"/>
        <v>1.5</v>
      </c>
      <c r="BA53" s="123"/>
      <c r="BB53" s="123">
        <f t="shared" si="29"/>
        <v>1</v>
      </c>
      <c r="BC53" s="123">
        <f t="shared" si="30"/>
        <v>1.4869888475836433E-3</v>
      </c>
      <c r="BD53" s="123">
        <f t="shared" si="16"/>
        <v>0</v>
      </c>
      <c r="BE53" s="6">
        <f t="shared" si="8"/>
        <v>9.2228571428571424</v>
      </c>
      <c r="BF53" s="6">
        <f t="shared" si="17"/>
        <v>3.6965359290008521</v>
      </c>
    </row>
    <row r="54" spans="1:58" ht="15.75">
      <c r="A54" s="197" t="s">
        <v>172</v>
      </c>
      <c r="B54" s="11">
        <v>45314</v>
      </c>
      <c r="D54" s="3">
        <v>49</v>
      </c>
      <c r="E54" s="205">
        <f t="shared" si="18"/>
        <v>369.74020599999994</v>
      </c>
      <c r="G54" s="198">
        <v>26</v>
      </c>
      <c r="I54" s="15">
        <f t="shared" si="31"/>
        <v>30.92</v>
      </c>
      <c r="K54" s="10">
        <f t="shared" si="24"/>
        <v>14.220777153846152</v>
      </c>
      <c r="L54" s="9">
        <f t="shared" si="25"/>
        <v>5.9789813389391968</v>
      </c>
      <c r="M54" s="8">
        <f t="shared" si="26"/>
        <v>2.3784615384615386</v>
      </c>
      <c r="N54" s="6">
        <f>'[1]1-23-2024'!I6</f>
        <v>31.14</v>
      </c>
      <c r="O54" s="6">
        <v>129.77699999999999</v>
      </c>
      <c r="P54" s="6">
        <v>30.646000000000001</v>
      </c>
      <c r="Q54" s="6">
        <f>O54*1.067</f>
        <v>138.47205899999997</v>
      </c>
      <c r="R54" s="6">
        <f>P54*1.514</f>
        <v>46.398043999999999</v>
      </c>
      <c r="S54" s="23">
        <f>P54*1.514+O54*1.067</f>
        <v>184.87010299999997</v>
      </c>
      <c r="T54" s="6">
        <f>'[1]1-23-2024'!I12</f>
        <v>36.729999999999997</v>
      </c>
      <c r="U54" s="6">
        <f>116.082*1.067</f>
        <v>123.85949399999998</v>
      </c>
      <c r="V54" s="6">
        <v>5.7270000000000003</v>
      </c>
      <c r="W54" s="23">
        <f>U54*1.067+V54*1.514</f>
        <v>140.82875809799998</v>
      </c>
      <c r="AB54" s="6">
        <v>80</v>
      </c>
      <c r="AC54" s="6">
        <f>T54</f>
        <v>36.729999999999997</v>
      </c>
      <c r="AD54" s="1">
        <f>'[1]1-23-2024'!G13</f>
        <v>30.92</v>
      </c>
      <c r="AE54" s="1">
        <f>'[1]1-23-2024'!I21</f>
        <v>38.79</v>
      </c>
      <c r="AF54" s="1">
        <f>'[1]1-23-2024'!G20</f>
        <v>0.34</v>
      </c>
      <c r="AG54">
        <v>0.06</v>
      </c>
      <c r="AH54" s="119">
        <v>0.52083333333333337</v>
      </c>
      <c r="AJ54" s="1">
        <v>175</v>
      </c>
      <c r="AK54" s="3">
        <v>180</v>
      </c>
      <c r="AL54" s="1">
        <f>'[1]1-23-2024'!I21</f>
        <v>38.79</v>
      </c>
      <c r="AM54" s="6">
        <f>'[1]1-23-2024'!I27</f>
        <v>29</v>
      </c>
      <c r="AN54" s="80">
        <f t="shared" si="0"/>
        <v>100</v>
      </c>
      <c r="AO54" s="165">
        <f>[1]TSS_VSS!H107</f>
        <v>2459.9999999999909</v>
      </c>
      <c r="AP54" s="13">
        <f t="shared" si="22"/>
        <v>2495.0000000000045</v>
      </c>
      <c r="AQ54" s="15">
        <f>IF(ISNUMBER([1]HRT_SRT!R108),[1]HRT_SRT!R108,"")</f>
        <v>20.820011284559385</v>
      </c>
      <c r="AR54" s="17">
        <f t="shared" si="27"/>
        <v>0.61911429751840408</v>
      </c>
      <c r="AS54" s="16">
        <f t="shared" si="2"/>
        <v>0.98900388098318237</v>
      </c>
      <c r="AT54" s="16">
        <f t="shared" si="3"/>
        <v>1.9620667102681491E-3</v>
      </c>
      <c r="AU54" s="16">
        <f t="shared" si="28"/>
        <v>-0.11538461538461539</v>
      </c>
      <c r="AV54" s="57">
        <f t="shared" si="5"/>
        <v>228.91144790199996</v>
      </c>
      <c r="AW54" s="57">
        <f t="shared" si="6"/>
        <v>30.580000000000002</v>
      </c>
      <c r="AX54" s="57">
        <f t="shared" si="7"/>
        <v>-3</v>
      </c>
      <c r="AY54" s="57">
        <f t="shared" si="11"/>
        <v>-2.0600000000000023</v>
      </c>
      <c r="AZ54" s="57">
        <f t="shared" si="12"/>
        <v>9.7899999999999991</v>
      </c>
      <c r="BA54" s="123"/>
      <c r="BB54" s="123">
        <f t="shared" si="29"/>
        <v>0.98900388098318237</v>
      </c>
      <c r="BC54" s="123">
        <f t="shared" si="30"/>
        <v>1.9620667102681491E-3</v>
      </c>
      <c r="BD54" s="123">
        <f t="shared" si="16"/>
        <v>0</v>
      </c>
      <c r="BE54" s="6">
        <f t="shared" si="8"/>
        <v>10.48457142857143</v>
      </c>
      <c r="BF54" s="6">
        <f t="shared" si="17"/>
        <v>4.2022330375035715</v>
      </c>
    </row>
    <row r="55" spans="1:58" s="67" customFormat="1" ht="15.75">
      <c r="A55" s="197" t="s">
        <v>171</v>
      </c>
      <c r="B55" s="167">
        <v>45315</v>
      </c>
      <c r="C55" s="166"/>
      <c r="D55" s="136">
        <v>50</v>
      </c>
      <c r="E55" s="205">
        <f t="shared" si="18"/>
        <v>299.15425799999997</v>
      </c>
      <c r="F55" s="196"/>
      <c r="G55" s="195" t="e">
        <f>#REF!</f>
        <v>#REF!</v>
      </c>
      <c r="H55" s="98"/>
      <c r="I55" s="15">
        <f t="shared" si="31"/>
        <v>25</v>
      </c>
      <c r="J55" s="8"/>
      <c r="K55" s="10" t="e">
        <f t="shared" si="24"/>
        <v>#REF!</v>
      </c>
      <c r="L55" s="9">
        <f t="shared" si="25"/>
        <v>5.983085159999999</v>
      </c>
      <c r="M55" s="8" t="e">
        <f t="shared" si="26"/>
        <v>#REF!</v>
      </c>
      <c r="N55" s="194">
        <f>20*0.703</f>
        <v>14.059999999999999</v>
      </c>
      <c r="O55" s="194">
        <v>106.041</v>
      </c>
      <c r="P55" s="194">
        <v>24.062999999999999</v>
      </c>
      <c r="Q55" s="6">
        <f>O55*1.067</f>
        <v>113.14574699999999</v>
      </c>
      <c r="R55" s="6">
        <f>P55*1.514</f>
        <v>36.431381999999999</v>
      </c>
      <c r="S55" s="23">
        <f>P55*1.514+O55*1.067</f>
        <v>149.57712899999999</v>
      </c>
      <c r="T55" s="194">
        <f>20*1.46</f>
        <v>29.2</v>
      </c>
      <c r="U55" s="194">
        <f>35.817*1.067</f>
        <v>38.216738999999997</v>
      </c>
      <c r="V55" s="194">
        <v>1.363</v>
      </c>
      <c r="W55" s="23">
        <f>U55*1.067+V55*1.514</f>
        <v>42.840842512999991</v>
      </c>
      <c r="X55" s="194">
        <v>0.98</v>
      </c>
      <c r="Y55" s="194"/>
      <c r="Z55" s="194"/>
      <c r="AA55" s="194"/>
      <c r="AB55" s="194">
        <v>80</v>
      </c>
      <c r="AC55" s="194">
        <f>T55</f>
        <v>29.2</v>
      </c>
      <c r="AD55" s="67">
        <f>5*5</f>
        <v>25</v>
      </c>
      <c r="AE55" s="67">
        <f>20*0.863</f>
        <v>17.259999999999998</v>
      </c>
      <c r="AF55" s="67">
        <v>0</v>
      </c>
      <c r="AG55">
        <v>0.06</v>
      </c>
      <c r="AH55" s="119">
        <v>0.52083333333333337</v>
      </c>
      <c r="AJ55" s="1">
        <v>175</v>
      </c>
      <c r="AK55" s="3">
        <v>180</v>
      </c>
      <c r="AL55" s="67">
        <f>AE55</f>
        <v>17.259999999999998</v>
      </c>
      <c r="AM55" s="67">
        <f>10*0.887</f>
        <v>8.870000000000001</v>
      </c>
      <c r="AN55" s="80">
        <f t="shared" si="0"/>
        <v>100</v>
      </c>
      <c r="AO55" s="193"/>
      <c r="AP55" s="13">
        <f t="shared" si="22"/>
        <v>2495.0000000000045</v>
      </c>
      <c r="AQ55" s="15" t="str">
        <f>IF(ISNUMBER([1]HRT_SRT!R109),[1]HRT_SRT!R109,"")</f>
        <v/>
      </c>
      <c r="AR55" s="17">
        <f t="shared" si="27"/>
        <v>0.85679347237303916</v>
      </c>
      <c r="AS55" s="16">
        <f t="shared" si="2"/>
        <v>1</v>
      </c>
      <c r="AT55" s="16">
        <f t="shared" si="3"/>
        <v>2.3999999999999998E-3</v>
      </c>
      <c r="AU55" s="16" t="e">
        <f t="shared" si="28"/>
        <v>#REF!</v>
      </c>
      <c r="AV55" s="57">
        <f t="shared" si="5"/>
        <v>256.31341548699999</v>
      </c>
      <c r="AW55" s="57">
        <f t="shared" si="6"/>
        <v>25</v>
      </c>
      <c r="AX55" s="57" t="str">
        <f t="shared" si="7"/>
        <v/>
      </c>
      <c r="AY55" s="57">
        <f t="shared" si="11"/>
        <v>11.940000000000001</v>
      </c>
      <c r="AZ55" s="57">
        <f t="shared" si="12"/>
        <v>8.389999999999997</v>
      </c>
      <c r="BA55" s="123"/>
      <c r="BB55" s="123">
        <f t="shared" si="29"/>
        <v>1</v>
      </c>
      <c r="BC55" s="123">
        <f t="shared" si="30"/>
        <v>2.3999999999999998E-3</v>
      </c>
      <c r="BD55" s="123" t="e">
        <f t="shared" si="16"/>
        <v>#REF!</v>
      </c>
      <c r="BE55" s="6">
        <f t="shared" si="8"/>
        <v>8.5714285714285712</v>
      </c>
      <c r="BF55" s="6">
        <f t="shared" si="17"/>
        <v>3.435442313197818</v>
      </c>
    </row>
    <row r="56" spans="1:58" ht="15.75">
      <c r="A56" s="12" t="s">
        <v>170</v>
      </c>
      <c r="B56" s="11">
        <v>45316</v>
      </c>
      <c r="D56" s="3">
        <v>51</v>
      </c>
      <c r="E56" s="205">
        <f t="shared" si="18"/>
        <v>420.10449599999998</v>
      </c>
      <c r="G56" s="9">
        <f>(N56*18-H56*18)/9</f>
        <v>27</v>
      </c>
      <c r="H56">
        <f>10*0.81</f>
        <v>8.1000000000000014</v>
      </c>
      <c r="I56" s="15">
        <f t="shared" si="31"/>
        <v>22.5</v>
      </c>
      <c r="K56" s="10">
        <f t="shared" si="24"/>
        <v>15.559425777777777</v>
      </c>
      <c r="L56" s="9">
        <f t="shared" si="25"/>
        <v>9.3356554666666671</v>
      </c>
      <c r="M56" s="8">
        <f t="shared" si="26"/>
        <v>1.6666666666666667</v>
      </c>
      <c r="N56" s="6">
        <f>20*1.08</f>
        <v>21.6</v>
      </c>
      <c r="O56" s="6">
        <v>148.02000000000001</v>
      </c>
      <c r="P56" s="6">
        <v>34.421999999999997</v>
      </c>
      <c r="Q56" s="6">
        <f>O56*1.067</f>
        <v>157.93734000000001</v>
      </c>
      <c r="R56" s="6">
        <f>P56*1.514</f>
        <v>52.114907999999993</v>
      </c>
      <c r="S56" s="23">
        <f>P56*1.514+O56*1.067</f>
        <v>210.05224799999999</v>
      </c>
      <c r="T56" s="6">
        <f>20*2.16</f>
        <v>43.2</v>
      </c>
      <c r="U56" s="6">
        <f>18.332*1.067</f>
        <v>19.560244000000001</v>
      </c>
      <c r="V56" s="6">
        <v>1.353</v>
      </c>
      <c r="W56" s="23">
        <f>U56*1.067+V56*1.514</f>
        <v>22.919222348000002</v>
      </c>
      <c r="X56" s="6">
        <v>0.79</v>
      </c>
      <c r="AB56" s="6">
        <v>80</v>
      </c>
      <c r="AC56" s="6">
        <f>T56</f>
        <v>43.2</v>
      </c>
      <c r="AD56" s="1">
        <f>5*4.5</f>
        <v>22.5</v>
      </c>
      <c r="AE56" s="1">
        <f>20*1.34</f>
        <v>26.8</v>
      </c>
      <c r="AF56" s="1">
        <v>0</v>
      </c>
      <c r="AG56">
        <v>3.75</v>
      </c>
      <c r="AH56" s="119">
        <v>0.48101851851851851</v>
      </c>
      <c r="AJ56" s="1">
        <v>175</v>
      </c>
      <c r="AK56" s="3">
        <v>180</v>
      </c>
      <c r="AL56" s="1">
        <f>AE56</f>
        <v>26.8</v>
      </c>
      <c r="AM56" s="1">
        <f>5*3.58</f>
        <v>17.899999999999999</v>
      </c>
      <c r="AN56" s="80">
        <f t="shared" si="0"/>
        <v>100</v>
      </c>
      <c r="AO56" s="165"/>
      <c r="AP56" s="13">
        <f t="shared" si="22"/>
        <v>2459.9999999999909</v>
      </c>
      <c r="AQ56" s="15" t="str">
        <f>IF(ISNUMBER([1]HRT_SRT!R110),[1]HRT_SRT!R110,"")</f>
        <v/>
      </c>
      <c r="AR56" s="17">
        <f t="shared" si="27"/>
        <v>0.94544399651461952</v>
      </c>
      <c r="AS56" s="16">
        <f t="shared" si="2"/>
        <v>1</v>
      </c>
      <c r="AT56" s="16">
        <f t="shared" si="3"/>
        <v>0.16666666666666666</v>
      </c>
      <c r="AU56" s="16">
        <f t="shared" si="28"/>
        <v>0.33703703703703708</v>
      </c>
      <c r="AV56" s="57">
        <f t="shared" si="5"/>
        <v>397.18527365199998</v>
      </c>
      <c r="AW56" s="57">
        <f t="shared" si="6"/>
        <v>22.5</v>
      </c>
      <c r="AX56" s="57">
        <f t="shared" si="7"/>
        <v>9.1000000000000014</v>
      </c>
      <c r="AY56" s="57">
        <f t="shared" si="11"/>
        <v>16.400000000000002</v>
      </c>
      <c r="AZ56" s="57">
        <f t="shared" si="12"/>
        <v>8.9000000000000021</v>
      </c>
      <c r="BA56" s="123">
        <f t="shared" ref="BA56:BA87" si="32">IF(AND($E56&gt;0,$W56&gt;0),IF(($E56-$W56)/$E56&gt;0,($E56-$W56)/$E56,0),"")</f>
        <v>0.94544399651461952</v>
      </c>
      <c r="BB56" s="123">
        <f t="shared" si="29"/>
        <v>1</v>
      </c>
      <c r="BC56" s="123">
        <f t="shared" si="30"/>
        <v>0.16666666666666666</v>
      </c>
      <c r="BD56" s="123">
        <f t="shared" si="16"/>
        <v>0.33703703703703708</v>
      </c>
      <c r="BE56" s="6">
        <f t="shared" si="8"/>
        <v>7.7142857142857144</v>
      </c>
      <c r="BF56" s="6">
        <f t="shared" si="17"/>
        <v>3.1358885017421718</v>
      </c>
    </row>
    <row r="57" spans="1:58" ht="15.75">
      <c r="B57" s="11">
        <v>45317</v>
      </c>
      <c r="D57" s="3">
        <v>52</v>
      </c>
      <c r="E57" s="205">
        <f t="shared" si="18"/>
        <v>365.00570199999999</v>
      </c>
      <c r="G57" s="15">
        <f>2*12.9</f>
        <v>25.8</v>
      </c>
      <c r="H57"/>
      <c r="I57" s="15">
        <f t="shared" si="31"/>
        <v>20.9</v>
      </c>
      <c r="K57" s="10">
        <f t="shared" si="24"/>
        <v>14.147507829457364</v>
      </c>
      <c r="L57" s="9">
        <f t="shared" si="25"/>
        <v>8.7321938277511961</v>
      </c>
      <c r="M57" s="8">
        <f t="shared" si="26"/>
        <v>1.6201550387596897</v>
      </c>
      <c r="N57" s="6"/>
      <c r="O57" s="6">
        <v>127.259</v>
      </c>
      <c r="P57" s="6">
        <v>30.856999999999999</v>
      </c>
      <c r="Q57" s="6">
        <f>O57*1.067</f>
        <v>135.78535299999999</v>
      </c>
      <c r="R57" s="6">
        <f>P57*1.514</f>
        <v>46.717497999999999</v>
      </c>
      <c r="S57" s="23">
        <f>P57*1.514+O57*1.067</f>
        <v>182.50285099999999</v>
      </c>
      <c r="U57" s="6">
        <f>1.24*1.067</f>
        <v>1.32308</v>
      </c>
      <c r="W57" s="23">
        <f>U57*1.067+V57*1.514</f>
        <v>1.4117263600000001</v>
      </c>
      <c r="X57" s="6">
        <v>3.82</v>
      </c>
      <c r="AB57" s="6">
        <v>80</v>
      </c>
      <c r="AC57" s="1">
        <f>20*2.42</f>
        <v>48.4</v>
      </c>
      <c r="AD57" s="1">
        <f>5*4.18</f>
        <v>20.9</v>
      </c>
      <c r="AE57" s="1">
        <f>20*1.3</f>
        <v>26</v>
      </c>
      <c r="AF57" s="168">
        <v>1E-3</v>
      </c>
      <c r="AG57">
        <v>4.74</v>
      </c>
      <c r="AH57" s="119">
        <v>0.49201388888888892</v>
      </c>
      <c r="AJ57" s="1">
        <v>175</v>
      </c>
      <c r="AK57" s="3">
        <v>180</v>
      </c>
      <c r="AL57" s="1">
        <f>AE57</f>
        <v>26</v>
      </c>
      <c r="AM57" s="1">
        <f>5*3.59</f>
        <v>17.95</v>
      </c>
      <c r="AN57" s="80">
        <f t="shared" si="0"/>
        <v>100</v>
      </c>
      <c r="AO57" s="165"/>
      <c r="AP57" s="13">
        <f t="shared" si="22"/>
        <v>3880.0000000000182</v>
      </c>
      <c r="AQ57" s="15" t="str">
        <f>IF(ISNUMBER([1]HRT_SRT!R111),[1]HRT_SRT!R111,"")</f>
        <v/>
      </c>
      <c r="AR57" s="17">
        <f t="shared" si="27"/>
        <v>0.99613231696857163</v>
      </c>
      <c r="AS57" s="16">
        <f t="shared" si="2"/>
        <v>0.99995215311004781</v>
      </c>
      <c r="AT57" s="16">
        <f t="shared" si="3"/>
        <v>0.22680511029235853</v>
      </c>
      <c r="AU57" s="16">
        <f t="shared" si="28"/>
        <v>0.30426356589147291</v>
      </c>
      <c r="AV57" s="57">
        <f t="shared" si="5"/>
        <v>363.59397564</v>
      </c>
      <c r="AW57" s="57">
        <f t="shared" si="6"/>
        <v>20.898999999999997</v>
      </c>
      <c r="AX57" s="57">
        <f t="shared" si="7"/>
        <v>7.8500000000000014</v>
      </c>
      <c r="AY57" s="57">
        <f t="shared" si="11"/>
        <v>22.4</v>
      </c>
      <c r="AZ57" s="57">
        <f t="shared" si="12"/>
        <v>8.0500000000000007</v>
      </c>
      <c r="BA57" s="123">
        <f t="shared" si="32"/>
        <v>0.99613231696857163</v>
      </c>
      <c r="BB57" s="123">
        <f t="shared" si="29"/>
        <v>0.99995215311004781</v>
      </c>
      <c r="BC57" s="123">
        <f t="shared" si="30"/>
        <v>0.22680511029235853</v>
      </c>
      <c r="BD57" s="123">
        <f t="shared" si="16"/>
        <v>0.30426356589147291</v>
      </c>
      <c r="BE57" s="6">
        <f t="shared" si="8"/>
        <v>7.1653714285714276</v>
      </c>
      <c r="BF57" s="6">
        <f t="shared" si="17"/>
        <v>1.8467452135493283</v>
      </c>
    </row>
    <row r="58" spans="1:58" ht="15.75">
      <c r="B58" s="11">
        <v>45318</v>
      </c>
      <c r="D58" s="3">
        <v>53</v>
      </c>
      <c r="E58" s="205" t="str">
        <f t="shared" si="18"/>
        <v/>
      </c>
      <c r="G58"/>
      <c r="H58"/>
      <c r="I58" s="15">
        <f t="shared" si="31"/>
        <v>22.2</v>
      </c>
      <c r="K58" s="10" t="str">
        <f t="shared" si="24"/>
        <v/>
      </c>
      <c r="L58" s="9" t="str">
        <f t="shared" si="25"/>
        <v/>
      </c>
      <c r="M58" s="8" t="str">
        <f t="shared" si="26"/>
        <v/>
      </c>
      <c r="N58" s="6"/>
      <c r="X58" s="6">
        <v>0.25</v>
      </c>
      <c r="AB58" s="6">
        <v>80</v>
      </c>
      <c r="AC58" s="1"/>
      <c r="AD58" s="188">
        <f>(AD60-AD57)/3+AD57</f>
        <v>22.2</v>
      </c>
      <c r="AG58">
        <v>4.8</v>
      </c>
      <c r="AH58" s="119">
        <v>0.49131944444444442</v>
      </c>
      <c r="AJ58" s="1">
        <v>175</v>
      </c>
      <c r="AK58" s="3">
        <v>180</v>
      </c>
      <c r="AL58" s="1"/>
      <c r="AN58" s="80">
        <f t="shared" si="0"/>
        <v>100</v>
      </c>
      <c r="AO58" s="165"/>
      <c r="AP58" s="13">
        <f t="shared" si="22"/>
        <v>3880.0000000000182</v>
      </c>
      <c r="AQ58" s="15" t="str">
        <f>IF(ISNUMBER([1]HRT_SRT!R112),[1]HRT_SRT!R112,"")</f>
        <v/>
      </c>
      <c r="AR58" s="17" t="e">
        <f t="shared" si="27"/>
        <v>#VALUE!</v>
      </c>
      <c r="AS58" s="16">
        <f t="shared" si="2"/>
        <v>1</v>
      </c>
      <c r="AT58" s="16">
        <f t="shared" si="3"/>
        <v>0.21621621621621623</v>
      </c>
      <c r="AU58" s="16" t="e">
        <f t="shared" si="28"/>
        <v>#DIV/0!</v>
      </c>
      <c r="AV58" s="57" t="str">
        <f t="shared" si="5"/>
        <v/>
      </c>
      <c r="AW58" s="57" t="str">
        <f t="shared" si="6"/>
        <v/>
      </c>
      <c r="AX58" s="57" t="str">
        <f t="shared" si="7"/>
        <v/>
      </c>
      <c r="AY58" s="57" t="str">
        <f t="shared" si="11"/>
        <v/>
      </c>
      <c r="AZ58" s="57" t="str">
        <f t="shared" si="12"/>
        <v/>
      </c>
      <c r="BA58" s="123" t="str">
        <f t="shared" si="32"/>
        <v/>
      </c>
      <c r="BB58" s="123">
        <f t="shared" si="29"/>
        <v>1</v>
      </c>
      <c r="BC58" s="123">
        <f t="shared" si="30"/>
        <v>0.21621621621621623</v>
      </c>
      <c r="BD58" s="123" t="str">
        <f t="shared" si="16"/>
        <v/>
      </c>
      <c r="BE58" s="6">
        <f t="shared" si="8"/>
        <v>7.6114285714285712</v>
      </c>
      <c r="BF58" s="6" t="str">
        <f t="shared" si="17"/>
        <v/>
      </c>
    </row>
    <row r="59" spans="1:58" ht="30">
      <c r="A59" s="12" t="s">
        <v>169</v>
      </c>
      <c r="B59" s="11">
        <v>45319</v>
      </c>
      <c r="D59" s="3">
        <v>54</v>
      </c>
      <c r="E59" s="205" t="str">
        <f t="shared" si="18"/>
        <v/>
      </c>
      <c r="G59"/>
      <c r="H59"/>
      <c r="I59" s="15">
        <f t="shared" si="31"/>
        <v>23.066666666666666</v>
      </c>
      <c r="K59" s="10" t="str">
        <f t="shared" si="24"/>
        <v/>
      </c>
      <c r="L59" s="9" t="str">
        <f t="shared" si="25"/>
        <v/>
      </c>
      <c r="M59" s="8" t="str">
        <f t="shared" si="26"/>
        <v/>
      </c>
      <c r="N59" s="6"/>
      <c r="X59" s="6">
        <v>0.25</v>
      </c>
      <c r="AB59" s="6">
        <v>80</v>
      </c>
      <c r="AC59" s="1"/>
      <c r="AD59" s="188">
        <f>(AD60-AD58)/3+AD58</f>
        <v>23.066666666666666</v>
      </c>
      <c r="AG59">
        <v>7.0000000000000007E-2</v>
      </c>
      <c r="AH59" s="119">
        <v>0.52083333333333337</v>
      </c>
      <c r="AJ59" s="1">
        <v>175</v>
      </c>
      <c r="AK59" s="3">
        <v>180</v>
      </c>
      <c r="AL59" s="1"/>
      <c r="AN59" s="80">
        <f t="shared" si="0"/>
        <v>100</v>
      </c>
      <c r="AO59" s="165"/>
      <c r="AP59" s="13">
        <f t="shared" si="22"/>
        <v>3880.0000000000182</v>
      </c>
      <c r="AQ59" s="15" t="str">
        <f>IF(ISNUMBER([1]HRT_SRT!R113),[1]HRT_SRT!R113,"")</f>
        <v/>
      </c>
      <c r="AR59" s="17" t="e">
        <f t="shared" si="27"/>
        <v>#VALUE!</v>
      </c>
      <c r="AS59" s="16">
        <f t="shared" si="2"/>
        <v>1</v>
      </c>
      <c r="AT59" s="16">
        <f t="shared" si="3"/>
        <v>3.0346820809248557E-3</v>
      </c>
      <c r="AU59" s="16" t="e">
        <f t="shared" si="28"/>
        <v>#DIV/0!</v>
      </c>
      <c r="AV59" s="57" t="str">
        <f t="shared" si="5"/>
        <v/>
      </c>
      <c r="AW59" s="57" t="str">
        <f t="shared" si="6"/>
        <v/>
      </c>
      <c r="AX59" s="57" t="str">
        <f t="shared" si="7"/>
        <v/>
      </c>
      <c r="AY59" s="57" t="str">
        <f t="shared" si="11"/>
        <v/>
      </c>
      <c r="AZ59" s="57" t="str">
        <f t="shared" si="12"/>
        <v/>
      </c>
      <c r="BA59" s="123" t="str">
        <f t="shared" si="32"/>
        <v/>
      </c>
      <c r="BB59" s="123">
        <f t="shared" si="29"/>
        <v>1</v>
      </c>
      <c r="BC59" s="123">
        <f t="shared" si="30"/>
        <v>3.0346820809248557E-3</v>
      </c>
      <c r="BD59" s="123" t="str">
        <f t="shared" si="16"/>
        <v/>
      </c>
      <c r="BE59" s="6">
        <f t="shared" si="8"/>
        <v>7.9085714285714293</v>
      </c>
      <c r="BF59" s="6" t="str">
        <f t="shared" si="17"/>
        <v/>
      </c>
    </row>
    <row r="60" spans="1:58" ht="15.75">
      <c r="A60" s="12" t="s">
        <v>168</v>
      </c>
      <c r="B60" s="11">
        <v>45320</v>
      </c>
      <c r="D60" s="3">
        <v>55</v>
      </c>
      <c r="E60" s="205" t="str">
        <f t="shared" si="18"/>
        <v/>
      </c>
      <c r="G60" s="6">
        <f>15.4*2</f>
        <v>30.8</v>
      </c>
      <c r="H60"/>
      <c r="I60" s="15">
        <f t="shared" si="31"/>
        <v>24.8</v>
      </c>
      <c r="K60" s="10" t="str">
        <f t="shared" si="24"/>
        <v/>
      </c>
      <c r="L60" s="9" t="str">
        <f t="shared" si="25"/>
        <v/>
      </c>
      <c r="M60" s="8">
        <f t="shared" si="26"/>
        <v>1.6103896103896105</v>
      </c>
      <c r="N60" s="6">
        <f>10*2.9</f>
        <v>29</v>
      </c>
      <c r="T60" s="6">
        <f>25*2.06</f>
        <v>51.5</v>
      </c>
      <c r="X60" s="6">
        <v>0.25</v>
      </c>
      <c r="AB60" s="6">
        <v>80</v>
      </c>
      <c r="AC60" s="6">
        <f>T60</f>
        <v>51.5</v>
      </c>
      <c r="AD60" s="1">
        <f>5*4.96</f>
        <v>24.8</v>
      </c>
      <c r="AE60" s="1">
        <f>37.7</f>
        <v>37.700000000000003</v>
      </c>
      <c r="AF60" s="168">
        <v>1E-3</v>
      </c>
      <c r="AG60">
        <v>0.08</v>
      </c>
      <c r="AH60" s="119">
        <v>0.52083333333333337</v>
      </c>
      <c r="AJ60" s="1">
        <v>175</v>
      </c>
      <c r="AK60" s="3">
        <v>180</v>
      </c>
      <c r="AL60" s="1">
        <f>AE60</f>
        <v>37.700000000000003</v>
      </c>
      <c r="AM60" s="1">
        <f>16.8</f>
        <v>16.8</v>
      </c>
      <c r="AN60" s="80">
        <f t="shared" si="0"/>
        <v>100</v>
      </c>
      <c r="AO60" s="165"/>
      <c r="AP60" s="13">
        <f t="shared" si="22"/>
        <v>3625.0000000000227</v>
      </c>
      <c r="AQ60" s="15" t="str">
        <f>IF(ISNUMBER([1]HRT_SRT!R114),[1]HRT_SRT!R114,"")</f>
        <v/>
      </c>
      <c r="AR60" s="17" t="e">
        <f t="shared" si="27"/>
        <v>#VALUE!</v>
      </c>
      <c r="AS60" s="16">
        <f t="shared" si="2"/>
        <v>0.99995967741935476</v>
      </c>
      <c r="AT60" s="16">
        <f t="shared" si="3"/>
        <v>3.2259365296987783E-3</v>
      </c>
      <c r="AU60" s="16">
        <f t="shared" si="28"/>
        <v>0.45454545454545453</v>
      </c>
      <c r="AV60" s="57" t="str">
        <f t="shared" si="5"/>
        <v/>
      </c>
      <c r="AW60" s="57">
        <f t="shared" si="6"/>
        <v>24.798999999999999</v>
      </c>
      <c r="AX60" s="57">
        <f t="shared" si="7"/>
        <v>14</v>
      </c>
      <c r="AY60" s="57">
        <f t="shared" si="11"/>
        <v>13.799999999999997</v>
      </c>
      <c r="AZ60" s="57">
        <f t="shared" si="12"/>
        <v>20.900000000000002</v>
      </c>
      <c r="BA60" s="123" t="str">
        <f t="shared" si="32"/>
        <v/>
      </c>
      <c r="BB60" s="123">
        <f t="shared" si="29"/>
        <v>0.99995967741935476</v>
      </c>
      <c r="BC60" s="123">
        <f t="shared" si="30"/>
        <v>3.2259365296987783E-3</v>
      </c>
      <c r="BD60" s="123">
        <f t="shared" si="16"/>
        <v>0.45454545454545453</v>
      </c>
      <c r="BE60" s="6">
        <f t="shared" si="8"/>
        <v>8.5025142857142857</v>
      </c>
      <c r="BF60" s="6">
        <f t="shared" si="17"/>
        <v>2.3455211822659954</v>
      </c>
    </row>
    <row r="61" spans="1:58" ht="15.75">
      <c r="B61" s="167">
        <v>45321</v>
      </c>
      <c r="C61" s="166"/>
      <c r="D61" s="136">
        <v>56</v>
      </c>
      <c r="E61" s="205">
        <f t="shared" si="18"/>
        <v>370.43572199999994</v>
      </c>
      <c r="G61" s="192">
        <f>(N61*18-H61*18)/9</f>
        <v>23.560000000000002</v>
      </c>
      <c r="H61">
        <f>'[1]1-30-2024'!I28</f>
        <v>15.02</v>
      </c>
      <c r="I61" s="15">
        <f t="shared" si="31"/>
        <v>29.7</v>
      </c>
      <c r="K61" s="10">
        <f t="shared" si="24"/>
        <v>15.723078183361626</v>
      </c>
      <c r="L61" s="9">
        <f t="shared" si="25"/>
        <v>6.2362916161616155</v>
      </c>
      <c r="M61" s="8">
        <f t="shared" si="26"/>
        <v>2.5212224108658741</v>
      </c>
      <c r="N61" s="6">
        <f>'[1]1-30-2024'!I6</f>
        <v>26.8</v>
      </c>
      <c r="O61" s="6">
        <v>132.86699999999999</v>
      </c>
      <c r="P61" s="6">
        <v>28.698</v>
      </c>
      <c r="Q61" s="6">
        <f>O61*1.067</f>
        <v>141.76908899999998</v>
      </c>
      <c r="R61" s="6">
        <f>P61*1.514</f>
        <v>43.448771999999998</v>
      </c>
      <c r="S61" s="23">
        <f>P61*1.514+O61*1.067</f>
        <v>185.21786099999997</v>
      </c>
      <c r="T61" s="6">
        <f>'[1]1-30-2024'!I12</f>
        <v>62.47</v>
      </c>
      <c r="U61" s="6">
        <f>1.067*1.067</f>
        <v>1.1384889999999999</v>
      </c>
      <c r="V61" s="6">
        <v>0.246</v>
      </c>
      <c r="W61" s="23">
        <f>U61*1.067+V61*1.514</f>
        <v>1.5872117629999998</v>
      </c>
      <c r="X61" s="6">
        <v>0.56999999999999995</v>
      </c>
      <c r="Y61" s="6">
        <v>0.2</v>
      </c>
      <c r="Z61" s="6">
        <v>-95.6</v>
      </c>
      <c r="AA61" s="6">
        <v>-181</v>
      </c>
      <c r="AB61" s="6">
        <v>80</v>
      </c>
      <c r="AC61" s="6">
        <f>T61</f>
        <v>62.47</v>
      </c>
      <c r="AD61" s="1">
        <f>'[1]1-30-2024'!G13</f>
        <v>29.7</v>
      </c>
      <c r="AE61" s="1">
        <f>'[1]1-30-2024'!I21</f>
        <v>34.24</v>
      </c>
      <c r="AF61" s="1">
        <f>'[1]1-30-2024'!G21</f>
        <v>0.83</v>
      </c>
      <c r="AG61">
        <v>5.13</v>
      </c>
      <c r="AH61" s="119">
        <v>0.48067129629629629</v>
      </c>
      <c r="AI61" s="1">
        <v>-168.6</v>
      </c>
      <c r="AJ61" s="1">
        <v>175</v>
      </c>
      <c r="AK61" s="3">
        <v>180</v>
      </c>
      <c r="AL61" s="1">
        <f>AE61</f>
        <v>34.24</v>
      </c>
      <c r="AM61" s="6">
        <f>'[1]1-30-2024'!I27</f>
        <v>19.309999999999999</v>
      </c>
      <c r="AN61" s="80">
        <f t="shared" si="0"/>
        <v>100</v>
      </c>
      <c r="AO61" s="165">
        <f>[1]TSS_VSS!H113</f>
        <v>3880.0000000000182</v>
      </c>
      <c r="AP61" s="13">
        <f t="shared" si="22"/>
        <v>3625.0000000000227</v>
      </c>
      <c r="AQ61" s="15">
        <f>IF(ISNUMBER([1]HRT_SRT!R115),[1]HRT_SRT!R115,"")</f>
        <v>18.328784379592992</v>
      </c>
      <c r="AR61" s="17">
        <f t="shared" si="27"/>
        <v>0.99571528427541867</v>
      </c>
      <c r="AS61" s="16">
        <f t="shared" si="2"/>
        <v>0.97205387205387206</v>
      </c>
      <c r="AT61" s="16">
        <f t="shared" si="3"/>
        <v>0.17769310703152061</v>
      </c>
      <c r="AU61" s="16">
        <f t="shared" si="28"/>
        <v>0.18039049235993221</v>
      </c>
      <c r="AV61" s="57">
        <f t="shared" si="5"/>
        <v>368.84851023699991</v>
      </c>
      <c r="AW61" s="57">
        <f t="shared" si="6"/>
        <v>28.87</v>
      </c>
      <c r="AX61" s="57">
        <f t="shared" si="7"/>
        <v>4.2500000000000036</v>
      </c>
      <c r="AY61" s="57">
        <f t="shared" si="11"/>
        <v>28.229999999999997</v>
      </c>
      <c r="AZ61" s="57">
        <f t="shared" si="12"/>
        <v>14.930000000000003</v>
      </c>
      <c r="BA61" s="123">
        <f t="shared" si="32"/>
        <v>0.99571528427541867</v>
      </c>
      <c r="BB61" s="123">
        <f t="shared" si="29"/>
        <v>0.97205387205387206</v>
      </c>
      <c r="BC61" s="123">
        <f t="shared" si="30"/>
        <v>0.17769310703152061</v>
      </c>
      <c r="BD61" s="123">
        <f t="shared" si="16"/>
        <v>0.18039049235993221</v>
      </c>
      <c r="BE61" s="6">
        <f t="shared" si="8"/>
        <v>9.8982857142857146</v>
      </c>
      <c r="BF61" s="6">
        <f t="shared" si="17"/>
        <v>2.7305615763546629</v>
      </c>
    </row>
    <row r="62" spans="1:58" ht="15.75">
      <c r="B62" s="11">
        <v>45322</v>
      </c>
      <c r="D62" s="3">
        <v>57</v>
      </c>
      <c r="E62" s="205" t="str">
        <f t="shared" si="18"/>
        <v/>
      </c>
      <c r="G62" s="15">
        <f>(N62*18-H62*18)/9</f>
        <v>26.999999999999996</v>
      </c>
      <c r="H62">
        <f>10*1.03</f>
        <v>10.3</v>
      </c>
      <c r="I62" s="15">
        <f t="shared" si="31"/>
        <v>25.25</v>
      </c>
      <c r="K62" s="10" t="str">
        <f t="shared" si="24"/>
        <v/>
      </c>
      <c r="L62" s="9" t="str">
        <f t="shared" si="25"/>
        <v/>
      </c>
      <c r="M62" s="8">
        <f t="shared" si="26"/>
        <v>1.8703703703703707</v>
      </c>
      <c r="N62" s="7">
        <f>10*2.38</f>
        <v>23.799999999999997</v>
      </c>
      <c r="T62" s="6">
        <f>20*2.62</f>
        <v>52.400000000000006</v>
      </c>
      <c r="X62" s="6">
        <v>0.26</v>
      </c>
      <c r="Y62" s="6">
        <v>0.23</v>
      </c>
      <c r="Z62" s="6">
        <v>-97</v>
      </c>
      <c r="AA62" s="6">
        <v>-181</v>
      </c>
      <c r="AB62" s="5">
        <v>80</v>
      </c>
      <c r="AC62" s="7">
        <f>T62</f>
        <v>52.400000000000006</v>
      </c>
      <c r="AD62" s="1">
        <f>5*5.05</f>
        <v>25.25</v>
      </c>
      <c r="AE62" s="1">
        <f>10*2.75</f>
        <v>27.5</v>
      </c>
      <c r="AF62" s="168">
        <v>1E-3</v>
      </c>
      <c r="AG62">
        <v>5.34</v>
      </c>
      <c r="AH62" s="119">
        <v>0.47951388888888885</v>
      </c>
      <c r="AI62" s="1">
        <v>-178</v>
      </c>
      <c r="AJ62" s="1">
        <v>175</v>
      </c>
      <c r="AK62" s="3">
        <v>180</v>
      </c>
      <c r="AL62" s="4">
        <f>AE62</f>
        <v>27.5</v>
      </c>
      <c r="AM62" s="1">
        <f>10*1.63</f>
        <v>16.299999999999997</v>
      </c>
      <c r="AN62" s="80">
        <f t="shared" si="0"/>
        <v>100</v>
      </c>
      <c r="AO62" s="165"/>
      <c r="AP62" s="13">
        <f t="shared" si="22"/>
        <v>3625.0000000000227</v>
      </c>
      <c r="AQ62" s="15" t="str">
        <f>IF(ISNUMBER([1]HRT_SRT!R116),[1]HRT_SRT!R116,"")</f>
        <v/>
      </c>
      <c r="AR62" s="17" t="e">
        <f t="shared" si="27"/>
        <v>#VALUE!</v>
      </c>
      <c r="AS62" s="16">
        <f t="shared" si="2"/>
        <v>0.99996039603960396</v>
      </c>
      <c r="AT62" s="16">
        <f t="shared" si="3"/>
        <v>0.21149352449601966</v>
      </c>
      <c r="AU62" s="16">
        <f t="shared" si="28"/>
        <v>0.39629629629629631</v>
      </c>
      <c r="AV62" s="57" t="str">
        <f t="shared" si="5"/>
        <v/>
      </c>
      <c r="AW62" s="57">
        <f t="shared" si="6"/>
        <v>25.248999999999999</v>
      </c>
      <c r="AX62" s="57">
        <f t="shared" si="7"/>
        <v>10.7</v>
      </c>
      <c r="AY62" s="57">
        <f t="shared" si="11"/>
        <v>24.900000000000006</v>
      </c>
      <c r="AZ62" s="57">
        <f t="shared" si="12"/>
        <v>11.200000000000003</v>
      </c>
      <c r="BA62" s="123" t="str">
        <f t="shared" si="32"/>
        <v/>
      </c>
      <c r="BB62" s="123">
        <f t="shared" si="29"/>
        <v>0.99996039603960396</v>
      </c>
      <c r="BC62" s="123">
        <f t="shared" si="30"/>
        <v>0.21149352449601966</v>
      </c>
      <c r="BD62" s="123">
        <f t="shared" si="16"/>
        <v>0.39629629629629631</v>
      </c>
      <c r="BE62" s="6">
        <f t="shared" si="8"/>
        <v>8.6568000000000005</v>
      </c>
      <c r="BF62" s="6">
        <f t="shared" si="17"/>
        <v>2.388082758620675</v>
      </c>
    </row>
    <row r="63" spans="1:58" ht="15.75">
      <c r="A63" s="12" t="s">
        <v>167</v>
      </c>
      <c r="B63" s="11">
        <v>45323</v>
      </c>
      <c r="D63" s="3">
        <v>58</v>
      </c>
      <c r="E63" s="205" t="str">
        <f t="shared" si="18"/>
        <v/>
      </c>
      <c r="G63" s="163">
        <f>(N63*18-H63*10)/9</f>
        <v>29.311111111111114</v>
      </c>
      <c r="H63" s="164">
        <v>12.5</v>
      </c>
      <c r="I63" s="15">
        <f t="shared" si="31"/>
        <v>0</v>
      </c>
      <c r="K63" s="10" t="str">
        <f t="shared" si="24"/>
        <v/>
      </c>
      <c r="L63" s="9" t="str">
        <f t="shared" si="25"/>
        <v/>
      </c>
      <c r="M63" s="8" t="str">
        <f t="shared" si="26"/>
        <v/>
      </c>
      <c r="N63" s="7">
        <v>21.6</v>
      </c>
      <c r="X63" s="6">
        <v>0.41</v>
      </c>
      <c r="AB63" s="5">
        <v>80</v>
      </c>
      <c r="AG63"/>
      <c r="AH63" s="119">
        <v>0.46527777777777773</v>
      </c>
      <c r="AJ63" s="1">
        <v>175</v>
      </c>
      <c r="AK63" s="3">
        <v>180</v>
      </c>
      <c r="AM63" s="162">
        <f>13</f>
        <v>13</v>
      </c>
      <c r="AN63" s="80">
        <f t="shared" si="0"/>
        <v>100</v>
      </c>
      <c r="AO63" s="165"/>
      <c r="AP63" s="13">
        <f t="shared" si="22"/>
        <v>3625.0000000000227</v>
      </c>
      <c r="AQ63" s="15" t="str">
        <f>IF(ISNUMBER([1]HRT_SRT!R117),[1]HRT_SRT!R117,"")</f>
        <v/>
      </c>
      <c r="AR63" s="17" t="e">
        <f t="shared" si="27"/>
        <v>#VALUE!</v>
      </c>
      <c r="AS63" s="16" t="e">
        <f t="shared" si="2"/>
        <v>#DIV/0!</v>
      </c>
      <c r="AT63" s="16" t="e">
        <f t="shared" si="3"/>
        <v>#DIV/0!</v>
      </c>
      <c r="AU63" s="16">
        <f t="shared" si="28"/>
        <v>0.55648218347232759</v>
      </c>
      <c r="AV63" s="57" t="str">
        <f t="shared" si="5"/>
        <v/>
      </c>
      <c r="AW63" s="57" t="str">
        <f t="shared" si="6"/>
        <v/>
      </c>
      <c r="AX63" s="57">
        <f t="shared" si="7"/>
        <v>16.311111111111114</v>
      </c>
      <c r="AY63" s="57" t="str">
        <f t="shared" si="11"/>
        <v/>
      </c>
      <c r="AZ63" s="57" t="str">
        <f t="shared" si="12"/>
        <v/>
      </c>
      <c r="BA63" s="123" t="str">
        <f t="shared" si="32"/>
        <v/>
      </c>
      <c r="BB63" s="123" t="str">
        <f t="shared" si="29"/>
        <v/>
      </c>
      <c r="BC63" s="123"/>
      <c r="BD63" s="123">
        <f t="shared" si="16"/>
        <v>0.55648218347232759</v>
      </c>
      <c r="BE63" s="6" t="str">
        <f t="shared" si="8"/>
        <v/>
      </c>
      <c r="BF63" s="6" t="str">
        <f t="shared" si="17"/>
        <v/>
      </c>
    </row>
    <row r="64" spans="1:58" ht="15.75">
      <c r="B64" s="11">
        <v>45324</v>
      </c>
      <c r="D64" s="3">
        <v>59</v>
      </c>
      <c r="E64" s="205" t="str">
        <f t="shared" si="18"/>
        <v/>
      </c>
      <c r="G64" s="15">
        <f>(N64*18-H64*18)/9</f>
        <v>25.4</v>
      </c>
      <c r="H64">
        <f>10*1.29</f>
        <v>12.9</v>
      </c>
      <c r="I64" s="15">
        <f t="shared" si="31"/>
        <v>24.3</v>
      </c>
      <c r="K64" s="10" t="str">
        <f t="shared" si="24"/>
        <v/>
      </c>
      <c r="L64" s="9" t="str">
        <f t="shared" si="25"/>
        <v/>
      </c>
      <c r="M64" s="8">
        <f t="shared" si="26"/>
        <v>1.9133858267716537</v>
      </c>
      <c r="N64" s="7">
        <f>25.6</f>
        <v>25.6</v>
      </c>
      <c r="T64" s="6">
        <f>20*2.69</f>
        <v>53.8</v>
      </c>
      <c r="X64" s="6">
        <v>0.25</v>
      </c>
      <c r="AB64" s="5">
        <v>80</v>
      </c>
      <c r="AC64" s="7">
        <f>T64</f>
        <v>53.8</v>
      </c>
      <c r="AD64" s="1">
        <f>5*4.86</f>
        <v>24.3</v>
      </c>
      <c r="AE64" s="1">
        <f>10*2.911</f>
        <v>29.11</v>
      </c>
      <c r="AF64" s="168">
        <v>1E-3</v>
      </c>
      <c r="AG64">
        <v>6.14</v>
      </c>
      <c r="AH64" s="119">
        <v>0.47870370370370369</v>
      </c>
      <c r="AJ64" s="1">
        <v>175</v>
      </c>
      <c r="AK64" s="3">
        <v>180</v>
      </c>
      <c r="AL64" s="4">
        <f>AE64</f>
        <v>29.11</v>
      </c>
      <c r="AM64" s="1">
        <f>20.3</f>
        <v>20.3</v>
      </c>
      <c r="AN64" s="80">
        <f t="shared" si="0"/>
        <v>100</v>
      </c>
      <c r="AO64" s="165">
        <f>[1]TSS_VSS!H119</f>
        <v>3370.0000000000273</v>
      </c>
      <c r="AP64" s="13">
        <f t="shared" si="22"/>
        <v>3365.0000000000091</v>
      </c>
      <c r="AQ64" s="15">
        <f>IF(ISNUMBER([1]HRT_SRT!R118),[1]HRT_SRT!R118,"")</f>
        <v>18.317982787256888</v>
      </c>
      <c r="AR64" s="17" t="e">
        <f t="shared" si="27"/>
        <v>#VALUE!</v>
      </c>
      <c r="AS64" s="16">
        <f t="shared" si="2"/>
        <v>0.99995884773662547</v>
      </c>
      <c r="AT64" s="16">
        <f t="shared" si="3"/>
        <v>0.2526852956911807</v>
      </c>
      <c r="AU64" s="16">
        <f t="shared" si="28"/>
        <v>0.20078740157480307</v>
      </c>
      <c r="AV64" s="57" t="str">
        <f t="shared" si="5"/>
        <v/>
      </c>
      <c r="AW64" s="57">
        <f t="shared" si="6"/>
        <v>24.298999999999999</v>
      </c>
      <c r="AX64" s="57">
        <f t="shared" si="7"/>
        <v>5.0999999999999979</v>
      </c>
      <c r="AY64" s="57">
        <f t="shared" si="11"/>
        <v>24.689999999999998</v>
      </c>
      <c r="AZ64" s="57">
        <f t="shared" si="12"/>
        <v>8.8099999999999987</v>
      </c>
      <c r="BA64" s="123" t="str">
        <f t="shared" si="32"/>
        <v/>
      </c>
      <c r="BB64" s="123">
        <f t="shared" si="29"/>
        <v>0.99995884773662547</v>
      </c>
      <c r="BC64" s="123">
        <f t="shared" ref="BC64:BC95" si="33">IF(AND($AG64&gt;=0,$AD64&gt;=0,$AF64&gt;=0),IF($AG64/($AD64-$AF64)&gt;0,$AG64/($AD64-$AF64),0),"")</f>
        <v>0.2526852956911807</v>
      </c>
      <c r="BD64" s="123">
        <f t="shared" si="16"/>
        <v>0.20078740157480307</v>
      </c>
      <c r="BE64" s="6">
        <f t="shared" si="8"/>
        <v>8.3310857142857149</v>
      </c>
      <c r="BF64" s="6">
        <f t="shared" si="17"/>
        <v>2.4758055614519145</v>
      </c>
    </row>
    <row r="65" spans="1:58" s="27" customFormat="1" ht="15.75">
      <c r="A65" s="39" t="s">
        <v>166</v>
      </c>
      <c r="B65" s="191">
        <v>45325</v>
      </c>
      <c r="C65" s="28"/>
      <c r="D65" s="29">
        <v>60</v>
      </c>
      <c r="E65" s="205" t="str">
        <f t="shared" si="18"/>
        <v/>
      </c>
      <c r="F65" s="36"/>
      <c r="G65" s="116"/>
      <c r="H65" s="116"/>
      <c r="I65" s="15">
        <f t="shared" si="31"/>
        <v>25.200000000000003</v>
      </c>
      <c r="J65" s="35"/>
      <c r="K65" s="10" t="str">
        <f t="shared" si="24"/>
        <v/>
      </c>
      <c r="L65" s="9" t="str">
        <f t="shared" si="25"/>
        <v/>
      </c>
      <c r="M65" s="8" t="str">
        <f t="shared" si="26"/>
        <v/>
      </c>
      <c r="N65" s="34"/>
      <c r="O65" s="33"/>
      <c r="P65" s="33"/>
      <c r="Q65" s="33"/>
      <c r="R65" s="33"/>
      <c r="S65" s="33"/>
      <c r="T65" s="33"/>
      <c r="U65" s="33"/>
      <c r="V65" s="33"/>
      <c r="W65" s="33"/>
      <c r="X65" s="33">
        <v>1.03</v>
      </c>
      <c r="Y65" s="33"/>
      <c r="Z65" s="33"/>
      <c r="AA65" s="33"/>
      <c r="AB65" s="74">
        <v>80</v>
      </c>
      <c r="AC65" s="32"/>
      <c r="AD65" s="190">
        <f>(AD64-AD67)/2+AD64</f>
        <v>25.200000000000003</v>
      </c>
      <c r="AE65" s="27">
        <f>25*1.78</f>
        <v>44.5</v>
      </c>
      <c r="AF65" s="177">
        <v>1E-3</v>
      </c>
      <c r="AG65" s="116">
        <v>1.95</v>
      </c>
      <c r="AH65" s="125">
        <v>0.43460648148148145</v>
      </c>
      <c r="AJ65" s="1">
        <v>175</v>
      </c>
      <c r="AK65" s="29">
        <v>180</v>
      </c>
      <c r="AL65" s="32">
        <f>AE65</f>
        <v>44.5</v>
      </c>
      <c r="AM65" s="27">
        <f>25*1.18</f>
        <v>29.5</v>
      </c>
      <c r="AN65" s="87">
        <f t="shared" si="0"/>
        <v>100</v>
      </c>
      <c r="AO65" s="189"/>
      <c r="AP65" s="13">
        <f t="shared" si="22"/>
        <v>3365.0000000000091</v>
      </c>
      <c r="AQ65" s="77" t="str">
        <f>IF(ISNUMBER([1]HRT_SRT!R119),[1]HRT_SRT!R119,"")</f>
        <v/>
      </c>
      <c r="AR65" s="31" t="e">
        <f t="shared" si="27"/>
        <v>#VALUE!</v>
      </c>
      <c r="AS65" s="30">
        <f t="shared" si="2"/>
        <v>0.99996031746031744</v>
      </c>
      <c r="AT65" s="30">
        <f t="shared" si="3"/>
        <v>7.7384023175522829E-2</v>
      </c>
      <c r="AU65" s="30" t="e">
        <f t="shared" si="28"/>
        <v>#DIV/0!</v>
      </c>
      <c r="AV65" s="73" t="str">
        <f t="shared" si="5"/>
        <v/>
      </c>
      <c r="AW65" s="73">
        <f t="shared" si="6"/>
        <v>25.199000000000002</v>
      </c>
      <c r="AX65" s="73" t="str">
        <f t="shared" si="7"/>
        <v/>
      </c>
      <c r="AY65" s="57" t="str">
        <f t="shared" si="11"/>
        <v/>
      </c>
      <c r="AZ65" s="57">
        <f t="shared" si="12"/>
        <v>15</v>
      </c>
      <c r="BA65" s="123" t="str">
        <f t="shared" si="32"/>
        <v/>
      </c>
      <c r="BB65" s="123">
        <f t="shared" si="29"/>
        <v>0.99996031746031744</v>
      </c>
      <c r="BC65" s="123">
        <f t="shared" si="33"/>
        <v>7.7384023175522829E-2</v>
      </c>
      <c r="BD65" s="123" t="str">
        <f t="shared" si="16"/>
        <v/>
      </c>
      <c r="BE65" s="6">
        <f t="shared" si="8"/>
        <v>8.6396571428571445</v>
      </c>
      <c r="BF65" s="6">
        <f t="shared" si="17"/>
        <v>2.5675058374018191</v>
      </c>
    </row>
    <row r="66" spans="1:58" ht="15.75">
      <c r="B66" s="187">
        <v>45326</v>
      </c>
      <c r="C66" s="186"/>
      <c r="D66" s="3">
        <v>61</v>
      </c>
      <c r="E66" s="205" t="str">
        <f t="shared" si="18"/>
        <v/>
      </c>
      <c r="G66"/>
      <c r="H66"/>
      <c r="I66" s="15">
        <f t="shared" si="31"/>
        <v>26.550000000000004</v>
      </c>
      <c r="K66" s="10" t="str">
        <f t="shared" si="24"/>
        <v/>
      </c>
      <c r="L66" s="9" t="str">
        <f t="shared" si="25"/>
        <v/>
      </c>
      <c r="M66" s="8" t="str">
        <f t="shared" si="26"/>
        <v/>
      </c>
      <c r="Q66" s="6">
        <f>O66*1.067</f>
        <v>0</v>
      </c>
      <c r="R66" s="6">
        <f>P66*1.514</f>
        <v>0</v>
      </c>
      <c r="S66" s="23">
        <f>P66*1.514+O66*1.067</f>
        <v>0</v>
      </c>
      <c r="X66" s="6">
        <v>0.25</v>
      </c>
      <c r="AB66" s="5">
        <v>80</v>
      </c>
      <c r="AD66" s="188">
        <f>(AD65-AD67)/2+AD65</f>
        <v>26.550000000000004</v>
      </c>
      <c r="AG66">
        <v>0.08</v>
      </c>
      <c r="AH66" s="119">
        <v>0.52083333333333337</v>
      </c>
      <c r="AJ66" s="1">
        <v>175</v>
      </c>
      <c r="AK66" s="3">
        <v>180</v>
      </c>
      <c r="AN66" s="80">
        <f t="shared" si="0"/>
        <v>100</v>
      </c>
      <c r="AO66" s="165"/>
      <c r="AP66" s="13">
        <f t="shared" si="22"/>
        <v>3365.0000000000091</v>
      </c>
      <c r="AQ66" s="15" t="str">
        <f>IF(ISNUMBER([1]HRT_SRT!R120),[1]HRT_SRT!R120,"")</f>
        <v/>
      </c>
      <c r="AR66" s="156" t="e">
        <f t="shared" si="27"/>
        <v>#VALUE!</v>
      </c>
      <c r="AS66" s="155">
        <f t="shared" si="2"/>
        <v>1</v>
      </c>
      <c r="AT66" s="155">
        <f t="shared" si="3"/>
        <v>3.0131826741996229E-3</v>
      </c>
      <c r="AU66" s="155" t="e">
        <f t="shared" si="28"/>
        <v>#DIV/0!</v>
      </c>
      <c r="AV66" s="57" t="str">
        <f t="shared" si="5"/>
        <v/>
      </c>
      <c r="AW66" s="57" t="str">
        <f t="shared" si="6"/>
        <v/>
      </c>
      <c r="AX66" s="57" t="str">
        <f t="shared" si="7"/>
        <v/>
      </c>
      <c r="AY66" s="57" t="str">
        <f t="shared" si="11"/>
        <v/>
      </c>
      <c r="AZ66" s="57" t="str">
        <f t="shared" si="12"/>
        <v/>
      </c>
      <c r="BA66" s="84" t="str">
        <f t="shared" si="32"/>
        <v/>
      </c>
      <c r="BB66" s="84">
        <f t="shared" si="29"/>
        <v>1</v>
      </c>
      <c r="BC66" s="84">
        <f t="shared" si="33"/>
        <v>3.0131826741996229E-3</v>
      </c>
      <c r="BD66" s="84" t="str">
        <f t="shared" si="16"/>
        <v/>
      </c>
      <c r="BE66" s="6">
        <f t="shared" si="8"/>
        <v>9.102857142857145</v>
      </c>
      <c r="BF66" s="6" t="str">
        <f t="shared" si="17"/>
        <v/>
      </c>
    </row>
    <row r="67" spans="1:58" ht="15.75">
      <c r="B67" s="187">
        <v>45327</v>
      </c>
      <c r="C67" s="186"/>
      <c r="D67" s="3">
        <v>62</v>
      </c>
      <c r="E67" s="205">
        <f t="shared" si="18"/>
        <v>338.64</v>
      </c>
      <c r="G67" s="15">
        <f>(N67*18-H67*18)/9</f>
        <v>32</v>
      </c>
      <c r="H67">
        <f>10*2.4</f>
        <v>24</v>
      </c>
      <c r="I67" s="15">
        <f t="shared" si="31"/>
        <v>22.5</v>
      </c>
      <c r="K67" s="10">
        <f t="shared" si="24"/>
        <v>10.5825</v>
      </c>
      <c r="L67" s="9">
        <f t="shared" si="25"/>
        <v>7.5253333333333332</v>
      </c>
      <c r="M67" s="8">
        <f t="shared" si="26"/>
        <v>1.40625</v>
      </c>
      <c r="N67" s="7">
        <f>40</f>
        <v>40</v>
      </c>
      <c r="O67" s="6">
        <v>138.04599999999999</v>
      </c>
      <c r="P67" s="6">
        <v>31.274000000000001</v>
      </c>
      <c r="S67" s="6">
        <f>138.046+31.274</f>
        <v>169.32</v>
      </c>
      <c r="T67" s="6">
        <f>20*2.56</f>
        <v>51.2</v>
      </c>
      <c r="U67" s="6">
        <v>24.591000000000001</v>
      </c>
      <c r="W67" s="23">
        <f>U67*1.067+V67*1.514</f>
        <v>26.238596999999999</v>
      </c>
      <c r="X67" s="6">
        <v>1.1100000000000001</v>
      </c>
      <c r="Y67" s="6">
        <v>0.24</v>
      </c>
      <c r="Z67" s="6">
        <v>-131</v>
      </c>
      <c r="AA67" s="6">
        <v>-185</v>
      </c>
      <c r="AB67" s="5">
        <v>80</v>
      </c>
      <c r="AC67" s="7">
        <f t="shared" ref="AC67:AC72" si="34">T67</f>
        <v>51.2</v>
      </c>
      <c r="AD67" s="1">
        <f>5*4.5</f>
        <v>22.5</v>
      </c>
      <c r="AE67" s="1">
        <f>10*5.11</f>
        <v>51.1</v>
      </c>
      <c r="AF67" s="168">
        <v>1E-3</v>
      </c>
      <c r="AG67">
        <v>0.08</v>
      </c>
      <c r="AH67" s="119">
        <v>0.52083333333333337</v>
      </c>
      <c r="AI67" s="1">
        <v>-187</v>
      </c>
      <c r="AJ67" s="1">
        <v>175</v>
      </c>
      <c r="AK67" s="3">
        <v>180</v>
      </c>
      <c r="AL67" s="4">
        <f>AE67</f>
        <v>51.1</v>
      </c>
      <c r="AM67" s="1">
        <f>37.9</f>
        <v>37.9</v>
      </c>
      <c r="AN67" s="80">
        <f t="shared" si="0"/>
        <v>100</v>
      </c>
      <c r="AO67" s="165"/>
      <c r="AP67" s="13">
        <f t="shared" si="22"/>
        <v>3834.9999999999909</v>
      </c>
      <c r="AQ67" s="15" t="str">
        <f>IF(ISNUMBER([1]HRT_SRT!R121),[1]HRT_SRT!R121,"")</f>
        <v/>
      </c>
      <c r="AR67" s="156">
        <f t="shared" si="27"/>
        <v>0.92251772678951094</v>
      </c>
      <c r="AS67" s="155">
        <f t="shared" si="2"/>
        <v>0.99995555555555549</v>
      </c>
      <c r="AT67" s="155">
        <f t="shared" si="3"/>
        <v>3.5557135872705458E-3</v>
      </c>
      <c r="AU67" s="155">
        <f t="shared" si="28"/>
        <v>-0.18437499999999996</v>
      </c>
      <c r="AV67" s="57">
        <f t="shared" si="5"/>
        <v>312.40140299999996</v>
      </c>
      <c r="AW67" s="57">
        <f t="shared" si="6"/>
        <v>22.498999999999999</v>
      </c>
      <c r="AX67" s="57">
        <f t="shared" si="7"/>
        <v>-5.8999999999999986</v>
      </c>
      <c r="AY67" s="57">
        <f t="shared" si="11"/>
        <v>0.10000000000000142</v>
      </c>
      <c r="AZ67" s="57">
        <f t="shared" si="12"/>
        <v>13.200000000000003</v>
      </c>
      <c r="BA67" s="84">
        <f t="shared" si="32"/>
        <v>0.92251772678951094</v>
      </c>
      <c r="BB67" s="84">
        <f t="shared" si="29"/>
        <v>0.99995555555555549</v>
      </c>
      <c r="BC67" s="84">
        <f t="shared" si="33"/>
        <v>3.5557135872705458E-3</v>
      </c>
      <c r="BD67" s="84">
        <f t="shared" si="16"/>
        <v>0</v>
      </c>
      <c r="BE67" s="6">
        <f t="shared" si="8"/>
        <v>7.7139428571428574</v>
      </c>
      <c r="BF67" s="6">
        <f t="shared" si="17"/>
        <v>2.0114583721363428</v>
      </c>
    </row>
    <row r="68" spans="1:58" ht="15.75">
      <c r="B68" s="187">
        <v>45328</v>
      </c>
      <c r="C68" s="186"/>
      <c r="D68" s="3">
        <v>63</v>
      </c>
      <c r="E68" s="205" t="str">
        <f t="shared" si="18"/>
        <v/>
      </c>
      <c r="G68" s="163">
        <f>G69</f>
        <v>28.600000000000005</v>
      </c>
      <c r="H68">
        <f>26.9</f>
        <v>26.9</v>
      </c>
      <c r="I68" s="15">
        <f t="shared" si="31"/>
        <v>20.65</v>
      </c>
      <c r="K68" s="10" t="str">
        <f t="shared" si="24"/>
        <v/>
      </c>
      <c r="L68" s="9" t="str">
        <f t="shared" si="25"/>
        <v/>
      </c>
      <c r="M68" s="8">
        <f t="shared" si="26"/>
        <v>1.4440559440559437</v>
      </c>
      <c r="N68" s="7">
        <v>31.6</v>
      </c>
      <c r="T68" s="6">
        <f>20*2.06</f>
        <v>41.2</v>
      </c>
      <c r="X68" s="6">
        <v>1.48</v>
      </c>
      <c r="Y68" s="6">
        <v>0.28000000000000003</v>
      </c>
      <c r="Z68" s="6">
        <v>-135.69999999999999</v>
      </c>
      <c r="AA68" s="6">
        <v>-177</v>
      </c>
      <c r="AB68" s="5">
        <v>80</v>
      </c>
      <c r="AC68" s="7">
        <f t="shared" si="34"/>
        <v>41.2</v>
      </c>
      <c r="AD68" s="1">
        <f>5*4.13</f>
        <v>20.65</v>
      </c>
      <c r="AE68" s="1">
        <f>40.1</f>
        <v>40.1</v>
      </c>
      <c r="AF68" s="168">
        <v>1E-3</v>
      </c>
      <c r="AG68" s="1">
        <v>0.09</v>
      </c>
      <c r="AH68" s="119">
        <v>0.52083333333333337</v>
      </c>
      <c r="AI68" s="1">
        <v>-179.5</v>
      </c>
      <c r="AJ68" s="1">
        <v>175</v>
      </c>
      <c r="AK68" s="3">
        <v>180</v>
      </c>
      <c r="AL68" s="4">
        <f>AE68</f>
        <v>40.1</v>
      </c>
      <c r="AM68" s="1">
        <f>26.2</f>
        <v>26.2</v>
      </c>
      <c r="AN68" s="80">
        <f t="shared" si="0"/>
        <v>100</v>
      </c>
      <c r="AO68" s="165">
        <f>[1]TSS_VSS!H122</f>
        <v>3359.9999999999909</v>
      </c>
      <c r="AP68" s="13">
        <f t="shared" si="22"/>
        <v>3834.9999999999909</v>
      </c>
      <c r="AQ68" s="15">
        <f>IF(ISNUMBER([1]HRT_SRT!R122),[1]HRT_SRT!R122,"")</f>
        <v>22.433234421365103</v>
      </c>
      <c r="AR68" s="156" t="e">
        <f t="shared" si="27"/>
        <v>#VALUE!</v>
      </c>
      <c r="AS68" s="155">
        <f t="shared" si="2"/>
        <v>0.99995157384987887</v>
      </c>
      <c r="AT68" s="155">
        <f t="shared" si="3"/>
        <v>4.3585645793985184E-3</v>
      </c>
      <c r="AU68" s="155">
        <f t="shared" si="28"/>
        <v>8.39160839160841E-2</v>
      </c>
      <c r="AV68" s="57" t="str">
        <f t="shared" si="5"/>
        <v/>
      </c>
      <c r="AW68" s="57">
        <f t="shared" si="6"/>
        <v>20.648999999999997</v>
      </c>
      <c r="AX68" s="57">
        <f t="shared" si="7"/>
        <v>2.4000000000000057</v>
      </c>
      <c r="AY68" s="57">
        <f t="shared" si="11"/>
        <v>1.1000000000000014</v>
      </c>
      <c r="AZ68" s="57">
        <f t="shared" si="12"/>
        <v>13.900000000000002</v>
      </c>
      <c r="BA68" s="84" t="str">
        <f t="shared" si="32"/>
        <v/>
      </c>
      <c r="BB68" s="84">
        <f t="shared" si="29"/>
        <v>0.99995157384987887</v>
      </c>
      <c r="BC68" s="84">
        <f t="shared" si="33"/>
        <v>4.3585645793985184E-3</v>
      </c>
      <c r="BD68" s="84">
        <f t="shared" si="16"/>
        <v>8.39160839160841E-2</v>
      </c>
      <c r="BE68" s="6">
        <f t="shared" si="8"/>
        <v>7.0796571428571422</v>
      </c>
      <c r="BF68" s="6">
        <f t="shared" si="17"/>
        <v>1.8460644440305498</v>
      </c>
    </row>
    <row r="69" spans="1:58" ht="15.75">
      <c r="B69" s="187">
        <v>45329</v>
      </c>
      <c r="C69" s="186"/>
      <c r="D69" s="3">
        <v>64</v>
      </c>
      <c r="E69" s="205">
        <f t="shared" si="18"/>
        <v>414.18306000000001</v>
      </c>
      <c r="G69" s="15">
        <f>(N69*18-H69*18)/9</f>
        <v>28.600000000000005</v>
      </c>
      <c r="H69">
        <v>14.8</v>
      </c>
      <c r="I69" s="15">
        <f t="shared" si="31"/>
        <v>21.8</v>
      </c>
      <c r="K69" s="10">
        <f t="shared" si="24"/>
        <v>14.481925174825173</v>
      </c>
      <c r="L69" s="9">
        <f t="shared" si="25"/>
        <v>9.499611467889908</v>
      </c>
      <c r="M69" s="8">
        <f t="shared" si="26"/>
        <v>1.5244755244755244</v>
      </c>
      <c r="N69" s="7">
        <v>29.1</v>
      </c>
      <c r="O69" s="6">
        <f>2*(75.381)</f>
        <v>150.762</v>
      </c>
      <c r="P69" s="6">
        <f>2*15.267</f>
        <v>30.533999999999999</v>
      </c>
      <c r="Q69" s="6">
        <f>O69*1.067</f>
        <v>160.86305400000001</v>
      </c>
      <c r="R69" s="6">
        <f>P69*1.514</f>
        <v>46.228476000000001</v>
      </c>
      <c r="S69" s="23">
        <f>P69*1.514+O69*1.067</f>
        <v>207.09153000000001</v>
      </c>
      <c r="T69" s="6">
        <f>20*2.01</f>
        <v>40.199999999999996</v>
      </c>
      <c r="X69" s="6">
        <v>0.8</v>
      </c>
      <c r="Y69" s="6">
        <v>0.24</v>
      </c>
      <c r="Z69" s="6">
        <v>-129</v>
      </c>
      <c r="AA69" s="6">
        <v>-188</v>
      </c>
      <c r="AB69" s="5">
        <v>80</v>
      </c>
      <c r="AC69" s="7">
        <f t="shared" si="34"/>
        <v>40.199999999999996</v>
      </c>
      <c r="AD69" s="1">
        <f>5*4.36</f>
        <v>21.8</v>
      </c>
      <c r="AE69" s="1">
        <f>39.1</f>
        <v>39.1</v>
      </c>
      <c r="AF69" s="168">
        <v>1E-3</v>
      </c>
      <c r="AG69">
        <v>0.09</v>
      </c>
      <c r="AH69" s="119">
        <v>0.52083333333333337</v>
      </c>
      <c r="AI69" s="1">
        <v>-194</v>
      </c>
      <c r="AJ69" s="1">
        <v>175</v>
      </c>
      <c r="AK69" s="3">
        <v>180</v>
      </c>
      <c r="AL69" s="4">
        <f>AE69</f>
        <v>39.1</v>
      </c>
      <c r="AM69" s="1">
        <f>24.2</f>
        <v>24.2</v>
      </c>
      <c r="AN69" s="80">
        <f t="shared" ref="AN69:AN132" si="35">360-AK69-AB69</f>
        <v>100</v>
      </c>
      <c r="AO69" s="165"/>
      <c r="AP69" s="13">
        <f t="shared" si="22"/>
        <v>3834.9999999999909</v>
      </c>
      <c r="AQ69" s="15" t="str">
        <f>IF(ISNUMBER([1]HRT_SRT!R123),[1]HRT_SRT!R123,"")</f>
        <v/>
      </c>
      <c r="AR69" s="156">
        <f t="shared" ref="AR69:AR100" si="36">(E69-W69)/E69</f>
        <v>1</v>
      </c>
      <c r="AS69" s="155">
        <f t="shared" ref="AS69:AS132" si="37">(I69-AF69)/I69</f>
        <v>0.99995412844036691</v>
      </c>
      <c r="AT69" s="155">
        <f t="shared" ref="AT69:AT132" si="38">AG69/(AD69-AF69)</f>
        <v>4.1286297536584247E-3</v>
      </c>
      <c r="AU69" s="155">
        <f t="shared" ref="AU69:AU100" si="39">(G69-AM69)/G69</f>
        <v>0.15384615384615402</v>
      </c>
      <c r="AV69" s="57" t="str">
        <f t="shared" ref="AV69:AV132" si="40">IF(AND(ISNUMBER(E69),ISNUMBER(W69)),E69-W69,"")</f>
        <v/>
      </c>
      <c r="AW69" s="57">
        <f t="shared" ref="AW69:AW132" si="41">IF(AND(ISNUMBER(I69),ISNUMBER(AF69)),I69-AF69,"")</f>
        <v>21.798999999999999</v>
      </c>
      <c r="AX69" s="57">
        <f t="shared" ref="AX69:AX132" si="42">IF(AND(ISNUMBER(AM69),ISNUMBER(G69)),G69-AM69,"")</f>
        <v>4.4000000000000057</v>
      </c>
      <c r="AY69" s="57">
        <f t="shared" si="11"/>
        <v>1.0999999999999943</v>
      </c>
      <c r="AZ69" s="57">
        <f t="shared" si="12"/>
        <v>14.900000000000002</v>
      </c>
      <c r="BA69" s="84" t="str">
        <f t="shared" si="32"/>
        <v/>
      </c>
      <c r="BB69" s="84">
        <f t="shared" si="29"/>
        <v>0.99995412844036691</v>
      </c>
      <c r="BC69" s="84">
        <f t="shared" si="33"/>
        <v>4.1286297536584247E-3</v>
      </c>
      <c r="BD69" s="84">
        <f t="shared" si="16"/>
        <v>0.15384615384615402</v>
      </c>
      <c r="BE69" s="6">
        <f t="shared" ref="BE69:BE132" si="43">IF((AD69-AF69)/(AJ69/60)&lt;=0,"",(AD69-AF69)/(AJ69/60))</f>
        <v>7.4739428571428572</v>
      </c>
      <c r="BF69" s="6">
        <f t="shared" si="17"/>
        <v>1.948876885826043</v>
      </c>
    </row>
    <row r="70" spans="1:58" ht="15.75">
      <c r="A70" s="12" t="s">
        <v>165</v>
      </c>
      <c r="B70" s="187">
        <v>45330</v>
      </c>
      <c r="C70" s="186"/>
      <c r="D70" s="3">
        <v>65</v>
      </c>
      <c r="E70" s="205" t="str">
        <f t="shared" si="18"/>
        <v/>
      </c>
      <c r="G70" s="15">
        <f>(N70*18-H70*18)/9</f>
        <v>24.800000000000004</v>
      </c>
      <c r="H70" s="6">
        <f>10*1.5</f>
        <v>15</v>
      </c>
      <c r="I70" s="15">
        <f t="shared" si="31"/>
        <v>22.15</v>
      </c>
      <c r="K70" s="10" t="str">
        <f t="shared" si="24"/>
        <v/>
      </c>
      <c r="L70" s="9" t="str">
        <f t="shared" si="25"/>
        <v/>
      </c>
      <c r="M70" s="8">
        <f t="shared" si="26"/>
        <v>1.7862903225806448</v>
      </c>
      <c r="N70" s="6">
        <f>10*2.74</f>
        <v>27.400000000000002</v>
      </c>
      <c r="T70" s="6">
        <f>20*1.8</f>
        <v>36</v>
      </c>
      <c r="X70" s="6">
        <v>0.26</v>
      </c>
      <c r="AB70" s="5">
        <v>80</v>
      </c>
      <c r="AC70" s="7">
        <f t="shared" si="34"/>
        <v>36</v>
      </c>
      <c r="AD70" s="1">
        <f>5*4.43</f>
        <v>22.15</v>
      </c>
      <c r="AE70" s="1">
        <f>10*3.6</f>
        <v>36</v>
      </c>
      <c r="AF70" s="168">
        <v>1E-3</v>
      </c>
      <c r="AG70">
        <v>0.09</v>
      </c>
      <c r="AH70" s="119">
        <v>0.52083333333333337</v>
      </c>
      <c r="AJ70" s="1">
        <v>175</v>
      </c>
      <c r="AK70" s="3">
        <v>180</v>
      </c>
      <c r="AL70" s="4">
        <f>AE70</f>
        <v>36</v>
      </c>
      <c r="AM70" s="1">
        <f>10*2.16</f>
        <v>21.6</v>
      </c>
      <c r="AN70" s="80">
        <f t="shared" si="35"/>
        <v>100</v>
      </c>
      <c r="AO70" s="165"/>
      <c r="AP70" s="13">
        <f t="shared" si="22"/>
        <v>3834.9999999999909</v>
      </c>
      <c r="AQ70" s="15" t="str">
        <f>IF(ISNUMBER([1]HRT_SRT!R124),[1]HRT_SRT!R124,"")</f>
        <v/>
      </c>
      <c r="AR70" s="156" t="e">
        <f t="shared" si="36"/>
        <v>#VALUE!</v>
      </c>
      <c r="AS70" s="155">
        <f t="shared" si="37"/>
        <v>0.9999548532731376</v>
      </c>
      <c r="AT70" s="155">
        <f t="shared" si="38"/>
        <v>4.0633888663145065E-3</v>
      </c>
      <c r="AU70" s="155">
        <f t="shared" si="39"/>
        <v>0.12903225806451621</v>
      </c>
      <c r="AV70" s="57" t="str">
        <f t="shared" si="40"/>
        <v/>
      </c>
      <c r="AW70" s="57">
        <f t="shared" si="41"/>
        <v>22.148999999999997</v>
      </c>
      <c r="AX70" s="57">
        <f t="shared" si="42"/>
        <v>3.2000000000000028</v>
      </c>
      <c r="AY70" s="57">
        <f t="shared" ref="AY70:AY133" si="44">IF(AND(ISNUMBER(AC70),ISNUMBER(AE70)),AC70-AE70,"")</f>
        <v>0</v>
      </c>
      <c r="AZ70" s="57">
        <f t="shared" ref="AZ70:AZ133" si="45">IF(AND(ISNUMBER(AL70),ISNUMBER(AM70)),AL70-AM70,"")</f>
        <v>14.399999999999999</v>
      </c>
      <c r="BA70" s="84" t="str">
        <f t="shared" si="32"/>
        <v/>
      </c>
      <c r="BB70" s="84">
        <f t="shared" ref="BB70:BB101" si="46">IF(AND($I70&gt;0,$AF70&gt;=0),IF(($I70-$AF70)/$I70&gt;0,($I70-$AF70)/$I70,0),"")</f>
        <v>0.9999548532731376</v>
      </c>
      <c r="BC70" s="84">
        <f t="shared" si="33"/>
        <v>4.0633888663145065E-3</v>
      </c>
      <c r="BD70" s="84">
        <f t="shared" ref="BD70:BD133" si="47">IF(AND($G70&gt;0,$AM70&gt;0),IF(($G70-$AM70)/$G70&gt;0,($G70-$AM70)/$G70,0),"")</f>
        <v>0.12903225806451621</v>
      </c>
      <c r="BE70" s="6">
        <f t="shared" si="43"/>
        <v>7.5939428571428564</v>
      </c>
      <c r="BF70" s="6">
        <f t="shared" ref="BF70:BF133" si="48">IF(OR(AJ70=0,AP70=0,NOT(ISNUMBER(AD70)),NOT(ISNUMBER(AF70)),NOT(ISNUMBER(AJ70)),NOT(ISNUMBER(AP70))),"",
IFERROR(IF((AD70-AF70)/(AJ70/60)/(AP70/1000)&lt;=0,"",(AD70-AF70)/(AJ70/60)/(AP70/1000)),""))</f>
        <v>1.9801676289811927</v>
      </c>
    </row>
    <row r="71" spans="1:58" ht="15.75">
      <c r="A71" s="12" t="s">
        <v>164</v>
      </c>
      <c r="B71" s="187">
        <v>45331</v>
      </c>
      <c r="C71" s="186"/>
      <c r="D71" s="3">
        <v>66</v>
      </c>
      <c r="E71" s="205">
        <f t="shared" ref="E71:E134" si="49">IF(OR(S71="",S71=0),"",S71*2)</f>
        <v>382.83155999999997</v>
      </c>
      <c r="G71" s="15">
        <f>(N71*18-H71*18)/9</f>
        <v>27</v>
      </c>
      <c r="H71">
        <v>14.5</v>
      </c>
      <c r="I71" s="15">
        <f t="shared" si="31"/>
        <v>21.7</v>
      </c>
      <c r="K71" s="10">
        <f t="shared" si="24"/>
        <v>14.178946666666665</v>
      </c>
      <c r="L71" s="9">
        <f t="shared" si="25"/>
        <v>8.8210036866359438</v>
      </c>
      <c r="M71" s="8">
        <f t="shared" si="26"/>
        <v>1.6074074074074074</v>
      </c>
      <c r="N71" s="7">
        <v>28</v>
      </c>
      <c r="O71" s="6">
        <f>67.594*2</f>
        <v>135.18799999999999</v>
      </c>
      <c r="P71" s="6">
        <f>15.578*2</f>
        <v>31.155999999999999</v>
      </c>
      <c r="Q71" s="6">
        <f>O71*1.067</f>
        <v>144.24559599999998</v>
      </c>
      <c r="R71" s="6">
        <f>P71*1.514</f>
        <v>47.170183999999999</v>
      </c>
      <c r="S71" s="23">
        <f>P71*1.514+O71*1.067</f>
        <v>191.41577999999998</v>
      </c>
      <c r="T71" s="6">
        <f>20*1.63</f>
        <v>32.599999999999994</v>
      </c>
      <c r="X71" s="6">
        <v>0.45</v>
      </c>
      <c r="AB71" s="5">
        <v>80</v>
      </c>
      <c r="AC71" s="7">
        <f t="shared" si="34"/>
        <v>32.599999999999994</v>
      </c>
      <c r="AD71" s="1">
        <f>5*4.34</f>
        <v>21.7</v>
      </c>
      <c r="AE71" s="1">
        <v>35.1</v>
      </c>
      <c r="AF71" s="168">
        <v>1E-3</v>
      </c>
      <c r="AG71">
        <v>0.08</v>
      </c>
      <c r="AH71" s="119">
        <v>0.52083333333333337</v>
      </c>
      <c r="AJ71" s="1">
        <v>175</v>
      </c>
      <c r="AK71" s="3">
        <v>180</v>
      </c>
      <c r="AL71" s="4">
        <f>AE71</f>
        <v>35.1</v>
      </c>
      <c r="AM71" s="1">
        <v>26.1</v>
      </c>
      <c r="AN71" s="80">
        <f t="shared" si="35"/>
        <v>100</v>
      </c>
      <c r="AO71" s="165">
        <f>[1]TSS_VSS!H128</f>
        <v>4309.9999999999909</v>
      </c>
      <c r="AP71" s="13">
        <f t="shared" ref="AP71:AP134" si="50">AVERAGE(AO69:AO75)</f>
        <v>4314.9999999999864</v>
      </c>
      <c r="AQ71" s="15">
        <f>IF(ISNUMBER([1]HRT_SRT!R125),[1]HRT_SRT!R125,"")</f>
        <v>17.540924301347882</v>
      </c>
      <c r="AR71" s="156">
        <f t="shared" si="36"/>
        <v>1</v>
      </c>
      <c r="AS71" s="155">
        <f t="shared" si="37"/>
        <v>0.99995391705069114</v>
      </c>
      <c r="AT71" s="155">
        <f t="shared" si="38"/>
        <v>3.6868058435872626E-3</v>
      </c>
      <c r="AU71" s="155">
        <f t="shared" si="39"/>
        <v>3.3333333333333277E-2</v>
      </c>
      <c r="AV71" s="57" t="str">
        <f t="shared" si="40"/>
        <v/>
      </c>
      <c r="AW71" s="57">
        <f t="shared" si="41"/>
        <v>21.698999999999998</v>
      </c>
      <c r="AX71" s="57">
        <f t="shared" si="42"/>
        <v>0.89999999999999858</v>
      </c>
      <c r="AY71" s="57">
        <f t="shared" si="44"/>
        <v>-2.5000000000000071</v>
      </c>
      <c r="AZ71" s="57">
        <f t="shared" si="45"/>
        <v>9</v>
      </c>
      <c r="BA71" s="84" t="str">
        <f t="shared" si="32"/>
        <v/>
      </c>
      <c r="BB71" s="84">
        <f t="shared" si="46"/>
        <v>0.99995391705069114</v>
      </c>
      <c r="BC71" s="84">
        <f t="shared" si="33"/>
        <v>3.6868058435872626E-3</v>
      </c>
      <c r="BD71" s="84">
        <f t="shared" si="47"/>
        <v>3.3333333333333277E-2</v>
      </c>
      <c r="BE71" s="6">
        <f t="shared" si="43"/>
        <v>7.4396571428571425</v>
      </c>
      <c r="BF71" s="6">
        <f t="shared" si="48"/>
        <v>1.7241383876841636</v>
      </c>
    </row>
    <row r="72" spans="1:58" ht="15.75">
      <c r="B72" s="187">
        <v>45332</v>
      </c>
      <c r="C72" s="186"/>
      <c r="D72" s="3">
        <v>67</v>
      </c>
      <c r="E72" s="205" t="str">
        <f t="shared" si="49"/>
        <v/>
      </c>
      <c r="G72"/>
      <c r="H72">
        <v>15</v>
      </c>
      <c r="I72" s="15">
        <f t="shared" si="31"/>
        <v>22.349999999999998</v>
      </c>
      <c r="K72" s="10" t="str">
        <f t="shared" si="24"/>
        <v/>
      </c>
      <c r="L72" s="9" t="str">
        <f t="shared" si="25"/>
        <v/>
      </c>
      <c r="M72" s="8" t="str">
        <f t="shared" si="26"/>
        <v/>
      </c>
      <c r="N72" s="7">
        <f>28</f>
        <v>28</v>
      </c>
      <c r="T72" s="6">
        <f>20*1.65</f>
        <v>33</v>
      </c>
      <c r="X72" s="6">
        <v>0.26</v>
      </c>
      <c r="AB72" s="5">
        <v>80</v>
      </c>
      <c r="AC72" s="7">
        <f t="shared" si="34"/>
        <v>33</v>
      </c>
      <c r="AD72" s="1">
        <f>5*4.47</f>
        <v>22.349999999999998</v>
      </c>
      <c r="AF72" s="168">
        <v>1E-3</v>
      </c>
      <c r="AG72">
        <v>0.09</v>
      </c>
      <c r="AH72" s="119">
        <v>0.52083333333333337</v>
      </c>
      <c r="AJ72" s="1">
        <v>175</v>
      </c>
      <c r="AK72" s="3">
        <v>180</v>
      </c>
      <c r="AM72" s="1">
        <v>25.1</v>
      </c>
      <c r="AN72" s="80">
        <f t="shared" si="35"/>
        <v>100</v>
      </c>
      <c r="AO72" s="165"/>
      <c r="AP72" s="13">
        <f t="shared" si="50"/>
        <v>4314.9999999999864</v>
      </c>
      <c r="AQ72" s="15" t="str">
        <f>IF(ISNUMBER([1]HRT_SRT!R126),[1]HRT_SRT!R126,"")</f>
        <v/>
      </c>
      <c r="AR72" s="156" t="e">
        <f t="shared" si="36"/>
        <v>#VALUE!</v>
      </c>
      <c r="AS72" s="155">
        <f t="shared" si="37"/>
        <v>0.99995525727069345</v>
      </c>
      <c r="AT72" s="155">
        <f t="shared" si="38"/>
        <v>4.0270258177099649E-3</v>
      </c>
      <c r="AU72" s="155" t="e">
        <f t="shared" si="39"/>
        <v>#DIV/0!</v>
      </c>
      <c r="AV72" s="57" t="str">
        <f t="shared" si="40"/>
        <v/>
      </c>
      <c r="AW72" s="57">
        <f t="shared" si="41"/>
        <v>22.348999999999997</v>
      </c>
      <c r="AX72" s="57" t="str">
        <f t="shared" si="42"/>
        <v/>
      </c>
      <c r="AY72" s="57" t="str">
        <f t="shared" si="44"/>
        <v/>
      </c>
      <c r="AZ72" s="57" t="str">
        <f t="shared" si="45"/>
        <v/>
      </c>
      <c r="BA72" s="84" t="str">
        <f t="shared" si="32"/>
        <v/>
      </c>
      <c r="BB72" s="84">
        <f t="shared" si="46"/>
        <v>0.99995525727069345</v>
      </c>
      <c r="BC72" s="84">
        <f t="shared" si="33"/>
        <v>4.0270258177099649E-3</v>
      </c>
      <c r="BD72" s="84" t="str">
        <f t="shared" si="47"/>
        <v/>
      </c>
      <c r="BE72" s="6">
        <f t="shared" si="43"/>
        <v>7.6625142857142849</v>
      </c>
      <c r="BF72" s="6">
        <f t="shared" si="48"/>
        <v>1.7757854659824588</v>
      </c>
    </row>
    <row r="73" spans="1:58" ht="15.75">
      <c r="B73" s="187">
        <v>45333</v>
      </c>
      <c r="C73" s="186"/>
      <c r="D73" s="3">
        <v>68</v>
      </c>
      <c r="E73" s="205" t="str">
        <f t="shared" si="49"/>
        <v/>
      </c>
      <c r="G73"/>
      <c r="H73"/>
      <c r="I73" s="15">
        <f t="shared" si="31"/>
        <v>0</v>
      </c>
      <c r="K73" s="10" t="str">
        <f t="shared" si="24"/>
        <v/>
      </c>
      <c r="L73" s="9" t="str">
        <f t="shared" si="25"/>
        <v/>
      </c>
      <c r="M73" s="8" t="str">
        <f t="shared" si="26"/>
        <v/>
      </c>
      <c r="X73" s="6">
        <v>0.26</v>
      </c>
      <c r="AB73" s="5">
        <v>80</v>
      </c>
      <c r="AG73">
        <v>0.09</v>
      </c>
      <c r="AH73" s="119">
        <v>0.52083333333333337</v>
      </c>
      <c r="AJ73" s="1">
        <v>175</v>
      </c>
      <c r="AK73" s="3">
        <v>180</v>
      </c>
      <c r="AN73" s="80">
        <f t="shared" si="35"/>
        <v>100</v>
      </c>
      <c r="AO73" s="165"/>
      <c r="AP73" s="13">
        <f t="shared" si="50"/>
        <v>4314.9999999999864</v>
      </c>
      <c r="AQ73" s="15" t="str">
        <f>IF(ISNUMBER([1]HRT_SRT!R127),[1]HRT_SRT!R127,"")</f>
        <v/>
      </c>
      <c r="AR73" s="156" t="e">
        <f t="shared" si="36"/>
        <v>#VALUE!</v>
      </c>
      <c r="AS73" s="155" t="e">
        <f t="shared" si="37"/>
        <v>#DIV/0!</v>
      </c>
      <c r="AT73" s="155" t="e">
        <f t="shared" si="38"/>
        <v>#DIV/0!</v>
      </c>
      <c r="AU73" s="155" t="e">
        <f t="shared" si="39"/>
        <v>#DIV/0!</v>
      </c>
      <c r="AV73" s="57" t="str">
        <f t="shared" si="40"/>
        <v/>
      </c>
      <c r="AW73" s="57" t="str">
        <f t="shared" si="41"/>
        <v/>
      </c>
      <c r="AX73" s="57" t="str">
        <f t="shared" si="42"/>
        <v/>
      </c>
      <c r="AY73" s="57" t="str">
        <f t="shared" si="44"/>
        <v/>
      </c>
      <c r="AZ73" s="57" t="str">
        <f t="shared" si="45"/>
        <v/>
      </c>
      <c r="BA73" s="84" t="str">
        <f t="shared" si="32"/>
        <v/>
      </c>
      <c r="BB73" s="84" t="str">
        <f t="shared" si="46"/>
        <v/>
      </c>
      <c r="BC73" s="84" t="e">
        <f t="shared" si="33"/>
        <v>#DIV/0!</v>
      </c>
      <c r="BD73" s="84" t="str">
        <f t="shared" si="47"/>
        <v/>
      </c>
      <c r="BE73" s="6" t="str">
        <f t="shared" si="43"/>
        <v/>
      </c>
      <c r="BF73" s="6" t="str">
        <f t="shared" si="48"/>
        <v/>
      </c>
    </row>
    <row r="74" spans="1:58" ht="15.75">
      <c r="B74" s="187">
        <v>45334</v>
      </c>
      <c r="C74" s="186"/>
      <c r="D74" s="3">
        <v>69</v>
      </c>
      <c r="E74" s="205" t="str">
        <f t="shared" si="49"/>
        <v/>
      </c>
      <c r="G74"/>
      <c r="H74"/>
      <c r="I74" s="15">
        <f t="shared" si="31"/>
        <v>0</v>
      </c>
      <c r="K74" s="10" t="str">
        <f t="shared" si="24"/>
        <v/>
      </c>
      <c r="L74" s="9" t="str">
        <f t="shared" si="25"/>
        <v/>
      </c>
      <c r="M74" s="8" t="str">
        <f t="shared" si="26"/>
        <v/>
      </c>
      <c r="W74" s="6">
        <f>37.061+1.48</f>
        <v>38.540999999999997</v>
      </c>
      <c r="X74" s="6">
        <v>0.47</v>
      </c>
      <c r="AB74" s="5">
        <v>80</v>
      </c>
      <c r="AG74">
        <v>0.09</v>
      </c>
      <c r="AH74" s="119">
        <v>0.52083333333333337</v>
      </c>
      <c r="AJ74" s="1">
        <v>175</v>
      </c>
      <c r="AK74" s="3">
        <v>180</v>
      </c>
      <c r="AN74" s="80">
        <f t="shared" si="35"/>
        <v>100</v>
      </c>
      <c r="AO74" s="165"/>
      <c r="AP74" s="13">
        <f t="shared" si="50"/>
        <v>4319.9999999999818</v>
      </c>
      <c r="AQ74" s="15" t="str">
        <f>IF(ISNUMBER([1]HRT_SRT!R128),[1]HRT_SRT!R128,"")</f>
        <v/>
      </c>
      <c r="AR74" s="156" t="e">
        <f t="shared" si="36"/>
        <v>#VALUE!</v>
      </c>
      <c r="AS74" s="155" t="e">
        <f t="shared" si="37"/>
        <v>#DIV/0!</v>
      </c>
      <c r="AT74" s="155" t="e">
        <f t="shared" si="38"/>
        <v>#DIV/0!</v>
      </c>
      <c r="AU74" s="155" t="e">
        <f t="shared" si="39"/>
        <v>#DIV/0!</v>
      </c>
      <c r="AV74" s="57" t="str">
        <f t="shared" si="40"/>
        <v/>
      </c>
      <c r="AW74" s="57" t="str">
        <f t="shared" si="41"/>
        <v/>
      </c>
      <c r="AX74" s="57" t="str">
        <f t="shared" si="42"/>
        <v/>
      </c>
      <c r="AY74" s="57" t="str">
        <f t="shared" si="44"/>
        <v/>
      </c>
      <c r="AZ74" s="57" t="str">
        <f t="shared" si="45"/>
        <v/>
      </c>
      <c r="BA74" s="84" t="e">
        <f t="shared" si="32"/>
        <v>#VALUE!</v>
      </c>
      <c r="BB74" s="84" t="str">
        <f t="shared" si="46"/>
        <v/>
      </c>
      <c r="BC74" s="84" t="e">
        <f t="shared" si="33"/>
        <v>#DIV/0!</v>
      </c>
      <c r="BD74" s="84" t="str">
        <f t="shared" si="47"/>
        <v/>
      </c>
      <c r="BE74" s="6" t="str">
        <f t="shared" si="43"/>
        <v/>
      </c>
      <c r="BF74" s="6" t="str">
        <f t="shared" si="48"/>
        <v/>
      </c>
    </row>
    <row r="75" spans="1:58" ht="15.75">
      <c r="B75" s="134">
        <v>45335</v>
      </c>
      <c r="C75" s="133"/>
      <c r="D75" s="3">
        <v>70</v>
      </c>
      <c r="E75" s="205">
        <f t="shared" si="49"/>
        <v>335.22986400000002</v>
      </c>
      <c r="G75" s="15">
        <f>(N75*18-H75*18)/9</f>
        <v>23.6</v>
      </c>
      <c r="H75">
        <v>11.3</v>
      </c>
      <c r="I75" s="15">
        <f t="shared" si="31"/>
        <v>22.5</v>
      </c>
      <c r="K75" s="10">
        <f t="shared" si="24"/>
        <v>14.204655254237288</v>
      </c>
      <c r="L75" s="9">
        <f t="shared" si="25"/>
        <v>7.4495525333333337</v>
      </c>
      <c r="M75" s="8">
        <f t="shared" si="26"/>
        <v>1.906779661016949</v>
      </c>
      <c r="N75" s="7">
        <f>23.1</f>
        <v>23.1</v>
      </c>
      <c r="O75" s="6">
        <v>118.932</v>
      </c>
      <c r="P75" s="6">
        <v>26.891999999999999</v>
      </c>
      <c r="Q75" s="6">
        <f>O75*1.067</f>
        <v>126.90044399999999</v>
      </c>
      <c r="R75" s="6">
        <f>P75*1.514</f>
        <v>40.714488000000003</v>
      </c>
      <c r="S75" s="23">
        <f>P75*1.514+O75*1.067</f>
        <v>167.61493200000001</v>
      </c>
      <c r="T75" s="6">
        <f>2*19.5</f>
        <v>39</v>
      </c>
      <c r="U75" s="6">
        <v>2.0150000000000001</v>
      </c>
      <c r="V75" s="6">
        <v>1.663</v>
      </c>
      <c r="W75" s="23">
        <f>U75*1.067+V75*1.514</f>
        <v>4.6677870000000006</v>
      </c>
      <c r="X75" s="6">
        <v>0.6</v>
      </c>
      <c r="AB75" s="5">
        <v>80</v>
      </c>
      <c r="AC75" s="7">
        <f>T75</f>
        <v>39</v>
      </c>
      <c r="AD75" s="1">
        <f>5*4.5</f>
        <v>22.5</v>
      </c>
      <c r="AE75" s="1">
        <f>28.7</f>
        <v>28.7</v>
      </c>
      <c r="AF75" s="168">
        <v>1E-3</v>
      </c>
      <c r="AG75">
        <v>0.09</v>
      </c>
      <c r="AH75" s="119">
        <v>0.52083333333333337</v>
      </c>
      <c r="AJ75" s="1">
        <v>175</v>
      </c>
      <c r="AK75" s="3">
        <v>180</v>
      </c>
      <c r="AL75" s="4">
        <f>AE75</f>
        <v>28.7</v>
      </c>
      <c r="AM75" s="1">
        <f>17.1</f>
        <v>17.100000000000001</v>
      </c>
      <c r="AN75" s="80">
        <f t="shared" si="35"/>
        <v>100</v>
      </c>
      <c r="AO75" s="165">
        <f>[1]TSS_VSS!H132</f>
        <v>4319.9999999999818</v>
      </c>
      <c r="AP75" s="13">
        <f t="shared" si="50"/>
        <v>4319.9999999999818</v>
      </c>
      <c r="AQ75" s="15">
        <f>IF(ISNUMBER([1]HRT_SRT!R129),[1]HRT_SRT!R129,"")</f>
        <v>15.710415558027979</v>
      </c>
      <c r="AR75" s="156">
        <f t="shared" si="36"/>
        <v>0.98607586166607164</v>
      </c>
      <c r="AS75" s="155">
        <f t="shared" si="37"/>
        <v>0.99995555555555549</v>
      </c>
      <c r="AT75" s="155">
        <f t="shared" si="38"/>
        <v>4.0001777856793633E-3</v>
      </c>
      <c r="AU75" s="155">
        <f t="shared" si="39"/>
        <v>0.27542372881355931</v>
      </c>
      <c r="AV75" s="57">
        <f t="shared" si="40"/>
        <v>330.56207700000004</v>
      </c>
      <c r="AW75" s="57">
        <f t="shared" si="41"/>
        <v>22.498999999999999</v>
      </c>
      <c r="AX75" s="57">
        <f t="shared" si="42"/>
        <v>6.5</v>
      </c>
      <c r="AY75" s="57">
        <f t="shared" si="44"/>
        <v>10.3</v>
      </c>
      <c r="AZ75" s="57">
        <f t="shared" si="45"/>
        <v>11.599999999999998</v>
      </c>
      <c r="BA75" s="84">
        <f t="shared" si="32"/>
        <v>0.98607586166607164</v>
      </c>
      <c r="BB75" s="84">
        <f t="shared" si="46"/>
        <v>0.99995555555555549</v>
      </c>
      <c r="BC75" s="84">
        <f t="shared" si="33"/>
        <v>4.0001777856793633E-3</v>
      </c>
      <c r="BD75" s="84">
        <f t="shared" si="47"/>
        <v>0.27542372881355931</v>
      </c>
      <c r="BE75" s="6">
        <f t="shared" si="43"/>
        <v>7.7139428571428574</v>
      </c>
      <c r="BF75" s="6">
        <f t="shared" si="48"/>
        <v>1.7856349206349282</v>
      </c>
    </row>
    <row r="76" spans="1:58" ht="15.75">
      <c r="B76" s="134">
        <v>45336</v>
      </c>
      <c r="C76" s="133"/>
      <c r="D76" s="3">
        <v>71</v>
      </c>
      <c r="E76" s="205">
        <f t="shared" si="49"/>
        <v>337.93861000000004</v>
      </c>
      <c r="G76" s="15">
        <f>(N76*18-H76*18)/9</f>
        <v>25.12</v>
      </c>
      <c r="H76">
        <v>7.54</v>
      </c>
      <c r="I76" s="15">
        <f t="shared" si="31"/>
        <v>21.75</v>
      </c>
      <c r="K76" s="10">
        <f t="shared" si="24"/>
        <v>13.452970143312102</v>
      </c>
      <c r="L76" s="9">
        <f t="shared" si="25"/>
        <v>7.7687036781609207</v>
      </c>
      <c r="M76" s="8">
        <f t="shared" si="26"/>
        <v>1.7316878980891719</v>
      </c>
      <c r="N76" s="7">
        <v>20.100000000000001</v>
      </c>
      <c r="O76" s="6">
        <v>119.78700000000001</v>
      </c>
      <c r="P76" s="6">
        <v>27.184000000000001</v>
      </c>
      <c r="Q76" s="6">
        <f>O76*1.067</f>
        <v>127.812729</v>
      </c>
      <c r="R76" s="6">
        <f>P76*1.514</f>
        <v>41.156576000000001</v>
      </c>
      <c r="S76" s="23">
        <f>P76*1.514+O76*1.067</f>
        <v>168.96930500000002</v>
      </c>
      <c r="T76" s="6">
        <f>20*1.65</f>
        <v>33</v>
      </c>
      <c r="U76" s="6">
        <v>1.5189999999999999</v>
      </c>
      <c r="V76" s="6">
        <v>1.234</v>
      </c>
      <c r="W76" s="23">
        <f>U76*1.067+V76*1.514</f>
        <v>3.4890489999999996</v>
      </c>
      <c r="X76" s="6">
        <v>0.68</v>
      </c>
      <c r="AB76" s="5">
        <v>80</v>
      </c>
      <c r="AC76" s="7">
        <f>T76</f>
        <v>33</v>
      </c>
      <c r="AD76" s="6">
        <f>5*4.35</f>
        <v>21.75</v>
      </c>
      <c r="AE76" s="1">
        <v>25.1</v>
      </c>
      <c r="AF76" s="168">
        <v>1E-3</v>
      </c>
      <c r="AG76">
        <v>0.09</v>
      </c>
      <c r="AH76" s="119">
        <v>0.52083333333333337</v>
      </c>
      <c r="AJ76" s="1">
        <v>175</v>
      </c>
      <c r="AK76" s="3">
        <v>180</v>
      </c>
      <c r="AL76" s="4">
        <f>AE76</f>
        <v>25.1</v>
      </c>
      <c r="AM76" s="1">
        <f>13.6</f>
        <v>13.6</v>
      </c>
      <c r="AN76" s="80">
        <f t="shared" si="35"/>
        <v>100</v>
      </c>
      <c r="AO76" s="165"/>
      <c r="AP76" s="13">
        <f t="shared" si="50"/>
        <v>4319.9999999999818</v>
      </c>
      <c r="AQ76" s="15" t="str">
        <f>IF(ISNUMBER([1]HRT_SRT!R130),[1]HRT_SRT!R130,"")</f>
        <v/>
      </c>
      <c r="AR76" s="156">
        <f t="shared" si="36"/>
        <v>0.98967549461128446</v>
      </c>
      <c r="AS76" s="155">
        <f t="shared" si="37"/>
        <v>0.99995402298850566</v>
      </c>
      <c r="AT76" s="155">
        <f t="shared" si="38"/>
        <v>4.1381212929330084E-3</v>
      </c>
      <c r="AU76" s="155">
        <f t="shared" si="39"/>
        <v>0.45859872611464969</v>
      </c>
      <c r="AV76" s="57">
        <f t="shared" si="40"/>
        <v>334.44956100000002</v>
      </c>
      <c r="AW76" s="57">
        <f t="shared" si="41"/>
        <v>21.748999999999999</v>
      </c>
      <c r="AX76" s="57">
        <f t="shared" si="42"/>
        <v>11.520000000000001</v>
      </c>
      <c r="AY76" s="57">
        <f t="shared" si="44"/>
        <v>7.8999999999999986</v>
      </c>
      <c r="AZ76" s="57">
        <f t="shared" si="45"/>
        <v>11.500000000000002</v>
      </c>
      <c r="BA76" s="84">
        <f t="shared" si="32"/>
        <v>0.98967549461128446</v>
      </c>
      <c r="BB76" s="84">
        <f t="shared" si="46"/>
        <v>0.99995402298850566</v>
      </c>
      <c r="BC76" s="84">
        <f t="shared" si="33"/>
        <v>4.1381212929330084E-3</v>
      </c>
      <c r="BD76" s="84">
        <f t="shared" si="47"/>
        <v>0.45859872611464969</v>
      </c>
      <c r="BE76" s="6">
        <f t="shared" si="43"/>
        <v>7.4568000000000003</v>
      </c>
      <c r="BF76" s="6">
        <f t="shared" si="48"/>
        <v>1.7261111111111185</v>
      </c>
    </row>
    <row r="77" spans="1:58" ht="15.75">
      <c r="B77" s="134">
        <v>45337</v>
      </c>
      <c r="C77" s="133"/>
      <c r="D77" s="3">
        <v>72</v>
      </c>
      <c r="E77" s="205">
        <f t="shared" si="49"/>
        <v>348.09218799999996</v>
      </c>
      <c r="G77" s="15">
        <f>(N77*18-H77*18)/9</f>
        <v>31.480000000000004</v>
      </c>
      <c r="H77">
        <f>9.36</f>
        <v>9.36</v>
      </c>
      <c r="I77" s="15">
        <f t="shared" si="31"/>
        <v>21.9</v>
      </c>
      <c r="K77" s="10">
        <f t="shared" si="24"/>
        <v>11.057566327827189</v>
      </c>
      <c r="L77" s="9">
        <f t="shared" si="25"/>
        <v>7.9473102283105019</v>
      </c>
      <c r="M77" s="8">
        <f t="shared" si="26"/>
        <v>1.3913595933926299</v>
      </c>
      <c r="N77" s="7">
        <v>25.1</v>
      </c>
      <c r="O77" s="6">
        <v>127.258</v>
      </c>
      <c r="P77" s="6">
        <v>25.271999999999998</v>
      </c>
      <c r="Q77" s="6">
        <f>O77*1.067</f>
        <v>135.78428599999998</v>
      </c>
      <c r="R77" s="6">
        <f>P77*1.514</f>
        <v>38.261807999999995</v>
      </c>
      <c r="S77" s="23">
        <f>P77*1.514+O77*1.067</f>
        <v>174.04609399999998</v>
      </c>
      <c r="T77" s="6">
        <f>20*1.78</f>
        <v>35.6</v>
      </c>
      <c r="X77" s="6">
        <v>0.28000000000000003</v>
      </c>
      <c r="AB77" s="5">
        <v>80</v>
      </c>
      <c r="AC77" s="7">
        <f>T77</f>
        <v>35.6</v>
      </c>
      <c r="AD77" s="1">
        <f>5*4.38</f>
        <v>21.9</v>
      </c>
      <c r="AE77" s="1">
        <f>36.4</f>
        <v>36.4</v>
      </c>
      <c r="AF77" s="168">
        <v>1E-3</v>
      </c>
      <c r="AG77">
        <v>0.1</v>
      </c>
      <c r="AH77" s="119">
        <v>0.52083333333333337</v>
      </c>
      <c r="AJ77" s="1">
        <v>175</v>
      </c>
      <c r="AK77" s="3">
        <v>180</v>
      </c>
      <c r="AL77" s="4">
        <f>AE77</f>
        <v>36.4</v>
      </c>
      <c r="AM77" s="1">
        <f>26.2</f>
        <v>26.2</v>
      </c>
      <c r="AN77" s="80">
        <f t="shared" si="35"/>
        <v>100</v>
      </c>
      <c r="AO77" s="165"/>
      <c r="AP77" s="13">
        <f t="shared" si="50"/>
        <v>4319.9999999999818</v>
      </c>
      <c r="AQ77" s="15" t="str">
        <f>IF(ISNUMBER([1]HRT_SRT!R131),[1]HRT_SRT!R131,"")</f>
        <v/>
      </c>
      <c r="AR77" s="156">
        <f t="shared" si="36"/>
        <v>1</v>
      </c>
      <c r="AS77" s="155">
        <f t="shared" si="37"/>
        <v>0.99995433789954336</v>
      </c>
      <c r="AT77" s="155">
        <f t="shared" si="38"/>
        <v>4.5664185579250205E-3</v>
      </c>
      <c r="AU77" s="155">
        <f t="shared" si="39"/>
        <v>0.16772554002541309</v>
      </c>
      <c r="AV77" s="57" t="str">
        <f t="shared" si="40"/>
        <v/>
      </c>
      <c r="AW77" s="57">
        <f t="shared" si="41"/>
        <v>21.898999999999997</v>
      </c>
      <c r="AX77" s="57">
        <f t="shared" si="42"/>
        <v>5.2800000000000047</v>
      </c>
      <c r="AY77" s="57">
        <f t="shared" si="44"/>
        <v>-0.79999999999999716</v>
      </c>
      <c r="AZ77" s="57">
        <f t="shared" si="45"/>
        <v>10.199999999999999</v>
      </c>
      <c r="BA77" s="84" t="str">
        <f t="shared" si="32"/>
        <v/>
      </c>
      <c r="BB77" s="84">
        <f t="shared" si="46"/>
        <v>0.99995433789954336</v>
      </c>
      <c r="BC77" s="84">
        <f t="shared" si="33"/>
        <v>4.5664185579250205E-3</v>
      </c>
      <c r="BD77" s="84">
        <f t="shared" si="47"/>
        <v>0.16772554002541309</v>
      </c>
      <c r="BE77" s="6">
        <f t="shared" si="43"/>
        <v>7.508228571428571</v>
      </c>
      <c r="BF77" s="6">
        <f t="shared" si="48"/>
        <v>1.7380158730158803</v>
      </c>
    </row>
    <row r="78" spans="1:58" ht="15.75">
      <c r="B78" s="134">
        <v>45338</v>
      </c>
      <c r="C78" s="133"/>
      <c r="D78" s="3">
        <v>73</v>
      </c>
      <c r="E78" s="205" t="str">
        <f t="shared" si="49"/>
        <v/>
      </c>
      <c r="G78" s="124">
        <f>G77</f>
        <v>31.480000000000004</v>
      </c>
      <c r="I78" s="15"/>
      <c r="K78" s="10" t="str">
        <f t="shared" si="24"/>
        <v/>
      </c>
      <c r="L78" s="9" t="str">
        <f t="shared" si="25"/>
        <v/>
      </c>
      <c r="M78" s="8" t="str">
        <f t="shared" si="26"/>
        <v/>
      </c>
      <c r="X78" s="6">
        <v>0.27</v>
      </c>
      <c r="AB78" s="5">
        <v>80</v>
      </c>
      <c r="AG78">
        <v>0.09</v>
      </c>
      <c r="AH78" s="119">
        <v>0.52083333333333337</v>
      </c>
      <c r="AJ78" s="1">
        <v>175</v>
      </c>
      <c r="AK78" s="3">
        <v>180</v>
      </c>
      <c r="AM78" s="1">
        <v>29.1</v>
      </c>
      <c r="AN78" s="80">
        <f t="shared" si="35"/>
        <v>100</v>
      </c>
      <c r="AO78" s="165"/>
      <c r="AP78" s="13">
        <f t="shared" si="50"/>
        <v>4809.9999999999909</v>
      </c>
      <c r="AQ78" s="15" t="str">
        <f>IF(ISNUMBER([1]HRT_SRT!R132),[1]HRT_SRT!R132,"")</f>
        <v/>
      </c>
      <c r="AR78" s="156" t="e">
        <f t="shared" si="36"/>
        <v>#VALUE!</v>
      </c>
      <c r="AS78" s="155" t="e">
        <f t="shared" si="37"/>
        <v>#DIV/0!</v>
      </c>
      <c r="AT78" s="155" t="e">
        <f t="shared" si="38"/>
        <v>#DIV/0!</v>
      </c>
      <c r="AU78" s="155">
        <f t="shared" si="39"/>
        <v>7.5603557814485453E-2</v>
      </c>
      <c r="AV78" s="57" t="str">
        <f t="shared" si="40"/>
        <v/>
      </c>
      <c r="AW78" s="57" t="str">
        <f t="shared" si="41"/>
        <v/>
      </c>
      <c r="AX78" s="57">
        <f t="shared" si="42"/>
        <v>2.3800000000000026</v>
      </c>
      <c r="AY78" s="57" t="str">
        <f t="shared" si="44"/>
        <v/>
      </c>
      <c r="AZ78" s="57" t="str">
        <f t="shared" si="45"/>
        <v/>
      </c>
      <c r="BA78" s="84" t="str">
        <f t="shared" si="32"/>
        <v/>
      </c>
      <c r="BB78" s="84" t="str">
        <f t="shared" si="46"/>
        <v/>
      </c>
      <c r="BC78" s="84" t="e">
        <f t="shared" si="33"/>
        <v>#DIV/0!</v>
      </c>
      <c r="BD78" s="84">
        <f t="shared" si="47"/>
        <v>7.5603557814485453E-2</v>
      </c>
      <c r="BE78" s="6" t="str">
        <f t="shared" si="43"/>
        <v/>
      </c>
      <c r="BF78" s="6" t="str">
        <f t="shared" si="48"/>
        <v/>
      </c>
    </row>
    <row r="79" spans="1:58" ht="15.75">
      <c r="B79" s="134">
        <v>45339</v>
      </c>
      <c r="C79" s="133"/>
      <c r="D79" s="3">
        <v>74</v>
      </c>
      <c r="E79" s="205" t="str">
        <f t="shared" si="49"/>
        <v/>
      </c>
      <c r="I79" s="15"/>
      <c r="K79" s="10" t="str">
        <f t="shared" si="24"/>
        <v/>
      </c>
      <c r="L79" s="9" t="str">
        <f t="shared" si="25"/>
        <v/>
      </c>
      <c r="M79" s="8" t="str">
        <f t="shared" si="26"/>
        <v/>
      </c>
      <c r="X79" s="6">
        <v>0.28000000000000003</v>
      </c>
      <c r="AB79" s="5">
        <v>80</v>
      </c>
      <c r="AG79">
        <v>0.08</v>
      </c>
      <c r="AH79" s="119">
        <v>0.52083333333333337</v>
      </c>
      <c r="AJ79" s="1">
        <v>175</v>
      </c>
      <c r="AK79" s="3">
        <v>180</v>
      </c>
      <c r="AN79" s="80">
        <f t="shared" si="35"/>
        <v>100</v>
      </c>
      <c r="AO79" s="165"/>
      <c r="AP79" s="13">
        <f t="shared" si="50"/>
        <v>4809.9999999999909</v>
      </c>
      <c r="AQ79" s="15" t="str">
        <f>IF(ISNUMBER([1]HRT_SRT!R133),[1]HRT_SRT!R133,"")</f>
        <v/>
      </c>
      <c r="AR79" s="156" t="e">
        <f t="shared" si="36"/>
        <v>#VALUE!</v>
      </c>
      <c r="AS79" s="155" t="e">
        <f t="shared" si="37"/>
        <v>#DIV/0!</v>
      </c>
      <c r="AT79" s="155" t="e">
        <f t="shared" si="38"/>
        <v>#DIV/0!</v>
      </c>
      <c r="AU79" s="155" t="e">
        <f t="shared" si="39"/>
        <v>#DIV/0!</v>
      </c>
      <c r="AV79" s="57" t="str">
        <f t="shared" si="40"/>
        <v/>
      </c>
      <c r="AW79" s="57" t="str">
        <f t="shared" si="41"/>
        <v/>
      </c>
      <c r="AX79" s="57" t="str">
        <f t="shared" si="42"/>
        <v/>
      </c>
      <c r="AY79" s="57" t="str">
        <f t="shared" si="44"/>
        <v/>
      </c>
      <c r="AZ79" s="57" t="str">
        <f t="shared" si="45"/>
        <v/>
      </c>
      <c r="BA79" s="84" t="str">
        <f t="shared" si="32"/>
        <v/>
      </c>
      <c r="BB79" s="84" t="str">
        <f t="shared" si="46"/>
        <v/>
      </c>
      <c r="BC79" s="84" t="e">
        <f t="shared" si="33"/>
        <v>#DIV/0!</v>
      </c>
      <c r="BD79" s="84" t="str">
        <f t="shared" si="47"/>
        <v/>
      </c>
      <c r="BE79" s="6" t="str">
        <f t="shared" si="43"/>
        <v/>
      </c>
      <c r="BF79" s="6" t="str">
        <f t="shared" si="48"/>
        <v/>
      </c>
    </row>
    <row r="80" spans="1:58" ht="15.75">
      <c r="B80" s="134">
        <v>45340</v>
      </c>
      <c r="C80" s="133"/>
      <c r="D80" s="3">
        <v>75</v>
      </c>
      <c r="E80" s="205" t="str">
        <f t="shared" si="49"/>
        <v/>
      </c>
      <c r="H80" s="15"/>
      <c r="I80" s="15"/>
      <c r="K80" s="10" t="str">
        <f t="shared" si="24"/>
        <v/>
      </c>
      <c r="L80" s="9" t="str">
        <f t="shared" si="25"/>
        <v/>
      </c>
      <c r="M80" s="8" t="str">
        <f t="shared" si="26"/>
        <v/>
      </c>
      <c r="X80" s="6">
        <v>0.28000000000000003</v>
      </c>
      <c r="AB80" s="5">
        <v>80</v>
      </c>
      <c r="AG80">
        <v>0.09</v>
      </c>
      <c r="AH80" s="119">
        <v>0.52083333333333337</v>
      </c>
      <c r="AJ80" s="1">
        <v>175</v>
      </c>
      <c r="AK80" s="3">
        <v>180</v>
      </c>
      <c r="AN80" s="80">
        <f t="shared" si="35"/>
        <v>100</v>
      </c>
      <c r="AO80" s="165"/>
      <c r="AP80" s="13">
        <f t="shared" si="50"/>
        <v>3850.0000000000227</v>
      </c>
      <c r="AQ80" s="15" t="str">
        <f>IF(ISNUMBER([1]HRT_SRT!R134),[1]HRT_SRT!R134,"")</f>
        <v/>
      </c>
      <c r="AR80" s="156" t="e">
        <f t="shared" si="36"/>
        <v>#VALUE!</v>
      </c>
      <c r="AS80" s="155" t="e">
        <f t="shared" si="37"/>
        <v>#DIV/0!</v>
      </c>
      <c r="AT80" s="155" t="e">
        <f t="shared" si="38"/>
        <v>#DIV/0!</v>
      </c>
      <c r="AU80" s="155" t="e">
        <f t="shared" si="39"/>
        <v>#DIV/0!</v>
      </c>
      <c r="AV80" s="57" t="str">
        <f t="shared" si="40"/>
        <v/>
      </c>
      <c r="AW80" s="57" t="str">
        <f t="shared" si="41"/>
        <v/>
      </c>
      <c r="AX80" s="57" t="str">
        <f t="shared" si="42"/>
        <v/>
      </c>
      <c r="AY80" s="57" t="str">
        <f t="shared" si="44"/>
        <v/>
      </c>
      <c r="AZ80" s="57" t="str">
        <f t="shared" si="45"/>
        <v/>
      </c>
      <c r="BA80" s="84" t="str">
        <f t="shared" si="32"/>
        <v/>
      </c>
      <c r="BB80" s="84" t="str">
        <f t="shared" si="46"/>
        <v/>
      </c>
      <c r="BC80" s="84" t="e">
        <f t="shared" si="33"/>
        <v>#DIV/0!</v>
      </c>
      <c r="BD80" s="84" t="str">
        <f t="shared" si="47"/>
        <v/>
      </c>
      <c r="BE80" s="6" t="str">
        <f t="shared" si="43"/>
        <v/>
      </c>
      <c r="BF80" s="6" t="str">
        <f t="shared" si="48"/>
        <v/>
      </c>
    </row>
    <row r="81" spans="1:58" ht="15.75">
      <c r="B81" s="134">
        <v>45341</v>
      </c>
      <c r="C81" s="133"/>
      <c r="D81" s="3">
        <v>76</v>
      </c>
      <c r="E81" s="205" t="str">
        <f t="shared" si="49"/>
        <v/>
      </c>
      <c r="G81" s="124">
        <f>G82</f>
        <v>31.399999999999995</v>
      </c>
      <c r="H81" s="15"/>
      <c r="I81" s="15"/>
      <c r="K81" s="10" t="str">
        <f t="shared" si="24"/>
        <v/>
      </c>
      <c r="L81" s="9" t="str">
        <f t="shared" si="25"/>
        <v/>
      </c>
      <c r="M81" s="8" t="str">
        <f t="shared" si="26"/>
        <v/>
      </c>
      <c r="X81" s="6">
        <v>0.27</v>
      </c>
      <c r="AB81" s="5">
        <v>80</v>
      </c>
      <c r="AG81">
        <v>0.08</v>
      </c>
      <c r="AH81" s="119">
        <v>0.52083333333333337</v>
      </c>
      <c r="AJ81" s="1">
        <v>175</v>
      </c>
      <c r="AK81" s="3">
        <v>180</v>
      </c>
      <c r="AM81" s="1">
        <v>25.4</v>
      </c>
      <c r="AN81" s="80">
        <f t="shared" si="35"/>
        <v>100</v>
      </c>
      <c r="AO81" s="165"/>
      <c r="AP81" s="13">
        <f t="shared" si="50"/>
        <v>3850.0000000000227</v>
      </c>
      <c r="AQ81" s="15" t="str">
        <f>IF(ISNUMBER([1]HRT_SRT!R135),[1]HRT_SRT!R135,"")</f>
        <v/>
      </c>
      <c r="AR81" s="156" t="e">
        <f t="shared" si="36"/>
        <v>#VALUE!</v>
      </c>
      <c r="AS81" s="155" t="e">
        <f t="shared" si="37"/>
        <v>#DIV/0!</v>
      </c>
      <c r="AT81" s="155" t="e">
        <f t="shared" si="38"/>
        <v>#DIV/0!</v>
      </c>
      <c r="AU81" s="155">
        <f t="shared" si="39"/>
        <v>0.19108280254777063</v>
      </c>
      <c r="AV81" s="57" t="str">
        <f t="shared" si="40"/>
        <v/>
      </c>
      <c r="AW81" s="57" t="str">
        <f t="shared" si="41"/>
        <v/>
      </c>
      <c r="AX81" s="57">
        <f t="shared" si="42"/>
        <v>5.9999999999999964</v>
      </c>
      <c r="AY81" s="57" t="str">
        <f t="shared" si="44"/>
        <v/>
      </c>
      <c r="AZ81" s="57" t="str">
        <f t="shared" si="45"/>
        <v/>
      </c>
      <c r="BA81" s="84" t="str">
        <f t="shared" si="32"/>
        <v/>
      </c>
      <c r="BB81" s="84" t="str">
        <f t="shared" si="46"/>
        <v/>
      </c>
      <c r="BC81" s="84" t="e">
        <f t="shared" si="33"/>
        <v>#DIV/0!</v>
      </c>
      <c r="BD81" s="84">
        <f t="shared" si="47"/>
        <v>0.19108280254777063</v>
      </c>
      <c r="BE81" s="6" t="str">
        <f t="shared" si="43"/>
        <v/>
      </c>
      <c r="BF81" s="6" t="str">
        <f t="shared" si="48"/>
        <v/>
      </c>
    </row>
    <row r="82" spans="1:58" ht="15.75">
      <c r="A82" s="12" t="s">
        <v>163</v>
      </c>
      <c r="B82" s="187">
        <v>45342</v>
      </c>
      <c r="C82" s="186"/>
      <c r="D82" s="3">
        <v>77</v>
      </c>
      <c r="E82" s="205">
        <f t="shared" si="49"/>
        <v>366.71600000000001</v>
      </c>
      <c r="G82" s="15">
        <f>(N82*18-H82*18)/9</f>
        <v>31.399999999999995</v>
      </c>
      <c r="H82" s="15">
        <v>17.600000000000001</v>
      </c>
      <c r="I82" s="15">
        <f t="shared" ref="I82:I113" si="51">AD82</f>
        <v>23.55</v>
      </c>
      <c r="K82" s="10">
        <f t="shared" si="24"/>
        <v>11.678853503184715</v>
      </c>
      <c r="L82" s="9">
        <f t="shared" si="25"/>
        <v>7.7859023354564751</v>
      </c>
      <c r="M82" s="8">
        <f t="shared" si="26"/>
        <v>1.5000000000000002</v>
      </c>
      <c r="N82" s="7">
        <v>33.299999999999997</v>
      </c>
      <c r="S82" s="6">
        <f>'[1]02-20-2024 '!Q6</f>
        <v>183.358</v>
      </c>
      <c r="T82" s="6">
        <f>36.3</f>
        <v>36.299999999999997</v>
      </c>
      <c r="W82" s="6">
        <f>'[1]02-20-2024 '!Q12</f>
        <v>105.262</v>
      </c>
      <c r="X82" s="6">
        <v>0.28000000000000003</v>
      </c>
      <c r="AB82" s="5">
        <v>80</v>
      </c>
      <c r="AC82" s="7">
        <f>T82</f>
        <v>36.299999999999997</v>
      </c>
      <c r="AD82" s="1">
        <f>5*4.71</f>
        <v>23.55</v>
      </c>
      <c r="AE82" s="1">
        <f>35.6</f>
        <v>35.6</v>
      </c>
      <c r="AF82" s="168">
        <v>1E-3</v>
      </c>
      <c r="AG82">
        <v>0.08</v>
      </c>
      <c r="AH82" s="119">
        <v>0.52083333333333337</v>
      </c>
      <c r="AJ82" s="1">
        <v>175</v>
      </c>
      <c r="AK82" s="3">
        <v>180</v>
      </c>
      <c r="AL82" s="4">
        <f>AE82</f>
        <v>35.6</v>
      </c>
      <c r="AM82" s="1">
        <f>32.6</f>
        <v>32.6</v>
      </c>
      <c r="AN82" s="80">
        <f t="shared" si="35"/>
        <v>100</v>
      </c>
      <c r="AO82" s="165">
        <f>[1]TSS_VSS!H140</f>
        <v>4809.9999999999909</v>
      </c>
      <c r="AP82" s="13">
        <f t="shared" si="50"/>
        <v>3850.0000000000227</v>
      </c>
      <c r="AQ82" s="15">
        <f>IF(ISNUMBER([1]HRT_SRT!R136),[1]HRT_SRT!R136,"")</f>
        <v>19.412556053811581</v>
      </c>
      <c r="AR82" s="156">
        <f t="shared" si="36"/>
        <v>0.7129604380501533</v>
      </c>
      <c r="AS82" s="155">
        <f t="shared" si="37"/>
        <v>0.99995753715498936</v>
      </c>
      <c r="AT82" s="155">
        <f t="shared" si="38"/>
        <v>3.397171854431186E-3</v>
      </c>
      <c r="AU82" s="155">
        <f t="shared" si="39"/>
        <v>-3.8216560509554347E-2</v>
      </c>
      <c r="AV82" s="57">
        <f t="shared" si="40"/>
        <v>261.45400000000001</v>
      </c>
      <c r="AW82" s="57">
        <f t="shared" si="41"/>
        <v>23.548999999999999</v>
      </c>
      <c r="AX82" s="57">
        <f t="shared" si="42"/>
        <v>-1.2000000000000064</v>
      </c>
      <c r="AY82" s="57">
        <f t="shared" si="44"/>
        <v>0.69999999999999574</v>
      </c>
      <c r="AZ82" s="57">
        <f t="shared" si="45"/>
        <v>3</v>
      </c>
      <c r="BA82" s="84">
        <f t="shared" si="32"/>
        <v>0.7129604380501533</v>
      </c>
      <c r="BB82" s="84">
        <f t="shared" si="46"/>
        <v>0.99995753715498936</v>
      </c>
      <c r="BC82" s="84">
        <f t="shared" si="33"/>
        <v>3.397171854431186E-3</v>
      </c>
      <c r="BD82" s="84">
        <f t="shared" si="47"/>
        <v>0</v>
      </c>
      <c r="BE82" s="6">
        <f t="shared" si="43"/>
        <v>8.0739428571428569</v>
      </c>
      <c r="BF82" s="6">
        <f t="shared" si="48"/>
        <v>2.0971280148422879</v>
      </c>
    </row>
    <row r="83" spans="1:58" ht="15.75">
      <c r="A83" s="12" t="s">
        <v>162</v>
      </c>
      <c r="B83" s="185">
        <v>45343</v>
      </c>
      <c r="C83" s="184"/>
      <c r="D83" s="3">
        <v>78</v>
      </c>
      <c r="E83" s="205">
        <f t="shared" si="49"/>
        <v>280.08691799999997</v>
      </c>
      <c r="G83" s="15">
        <f>(N83*18-H83*18)/9</f>
        <v>13.600000000000001</v>
      </c>
      <c r="H83" s="15">
        <f>10.8</f>
        <v>10.8</v>
      </c>
      <c r="I83" s="15">
        <f t="shared" si="51"/>
        <v>24.4</v>
      </c>
      <c r="K83" s="10">
        <f t="shared" si="24"/>
        <v>20.594626323529408</v>
      </c>
      <c r="L83" s="9">
        <f t="shared" si="25"/>
        <v>5.739486024590164</v>
      </c>
      <c r="M83" s="8">
        <f t="shared" si="26"/>
        <v>3.5882352941176463</v>
      </c>
      <c r="N83" s="7">
        <f>17.6</f>
        <v>17.600000000000001</v>
      </c>
      <c r="O83" s="6">
        <v>108.815</v>
      </c>
      <c r="P83" s="6">
        <v>15.811</v>
      </c>
      <c r="Q83" s="6">
        <f>O83*1.067</f>
        <v>116.105605</v>
      </c>
      <c r="R83" s="6">
        <f>P83*1.514</f>
        <v>23.937854000000002</v>
      </c>
      <c r="S83" s="23">
        <f>P83*1.514+O83*1.067</f>
        <v>140.04345899999998</v>
      </c>
      <c r="T83" s="6">
        <f>20.4</f>
        <v>20.399999999999999</v>
      </c>
      <c r="U83" s="6">
        <v>1.569</v>
      </c>
      <c r="V83" s="6">
        <v>0.98499999999999999</v>
      </c>
      <c r="W83" s="23">
        <f>U83*1.067+V83*1.514</f>
        <v>3.165413</v>
      </c>
      <c r="X83" s="6">
        <v>0.88</v>
      </c>
      <c r="AB83" s="5">
        <v>80</v>
      </c>
      <c r="AC83" s="7">
        <f>T83</f>
        <v>20.399999999999999</v>
      </c>
      <c r="AD83" s="1">
        <f>5*4.88</f>
        <v>24.4</v>
      </c>
      <c r="AE83" s="1">
        <f>21.7</f>
        <v>21.7</v>
      </c>
      <c r="AF83" s="168">
        <v>1E-3</v>
      </c>
      <c r="AG83">
        <v>0.09</v>
      </c>
      <c r="AH83" s="119">
        <v>0.52083333333333337</v>
      </c>
      <c r="AJ83" s="1">
        <v>175</v>
      </c>
      <c r="AK83" s="3">
        <v>180</v>
      </c>
      <c r="AL83" s="4">
        <f>AE83</f>
        <v>21.7</v>
      </c>
      <c r="AM83" s="1">
        <f>15.3</f>
        <v>15.3</v>
      </c>
      <c r="AN83" s="80">
        <f t="shared" si="35"/>
        <v>100</v>
      </c>
      <c r="AO83" s="165"/>
      <c r="AP83" s="13">
        <f t="shared" si="50"/>
        <v>3850.0000000000227</v>
      </c>
      <c r="AQ83" s="15" t="str">
        <f>IF(ISNUMBER([1]HRT_SRT!R137),[1]HRT_SRT!R137,"")</f>
        <v/>
      </c>
      <c r="AR83" s="156">
        <f t="shared" si="36"/>
        <v>0.98869846181105825</v>
      </c>
      <c r="AS83" s="155">
        <f t="shared" si="37"/>
        <v>0.99995901639344253</v>
      </c>
      <c r="AT83" s="155">
        <f t="shared" si="38"/>
        <v>3.6886757654002217E-3</v>
      </c>
      <c r="AU83" s="155">
        <f t="shared" si="39"/>
        <v>-0.12499999999999993</v>
      </c>
      <c r="AV83" s="57">
        <f t="shared" si="40"/>
        <v>276.92150499999997</v>
      </c>
      <c r="AW83" s="57">
        <f t="shared" si="41"/>
        <v>24.398999999999997</v>
      </c>
      <c r="AX83" s="57">
        <f t="shared" si="42"/>
        <v>-1.6999999999999993</v>
      </c>
      <c r="AY83" s="57">
        <f t="shared" si="44"/>
        <v>-1.3000000000000007</v>
      </c>
      <c r="AZ83" s="57">
        <f t="shared" si="45"/>
        <v>6.3999999999999986</v>
      </c>
      <c r="BA83" s="84">
        <f t="shared" si="32"/>
        <v>0.98869846181105825</v>
      </c>
      <c r="BB83" s="84">
        <f t="shared" si="46"/>
        <v>0.99995901639344253</v>
      </c>
      <c r="BC83" s="84">
        <f t="shared" si="33"/>
        <v>3.6886757654002217E-3</v>
      </c>
      <c r="BD83" s="84">
        <f t="shared" si="47"/>
        <v>0</v>
      </c>
      <c r="BE83" s="6">
        <f t="shared" si="43"/>
        <v>8.3653714285714287</v>
      </c>
      <c r="BF83" s="6">
        <f t="shared" si="48"/>
        <v>2.1728237476808778</v>
      </c>
    </row>
    <row r="84" spans="1:58" ht="15.75">
      <c r="B84" s="185">
        <v>45344</v>
      </c>
      <c r="C84" s="184"/>
      <c r="D84" s="3">
        <v>79</v>
      </c>
      <c r="E84" s="205">
        <f t="shared" si="49"/>
        <v>226.47586999999999</v>
      </c>
      <c r="G84" s="15">
        <f>(N84*18-H84*18)/9</f>
        <v>12.000000000000004</v>
      </c>
      <c r="H84" s="15">
        <f>2*1.7</f>
        <v>3.4</v>
      </c>
      <c r="I84" s="15">
        <f t="shared" si="51"/>
        <v>23.35</v>
      </c>
      <c r="K84" s="10">
        <f t="shared" si="24"/>
        <v>18.87298916666666</v>
      </c>
      <c r="L84" s="9">
        <f t="shared" si="25"/>
        <v>4.849590364025695</v>
      </c>
      <c r="M84" s="8">
        <f t="shared" si="26"/>
        <v>3.8916666666666657</v>
      </c>
      <c r="N84" s="7">
        <f>9.4</f>
        <v>9.4</v>
      </c>
      <c r="O84" s="6">
        <v>68.966999999999999</v>
      </c>
      <c r="P84" s="6">
        <v>26.189</v>
      </c>
      <c r="Q84" s="6">
        <f>O84*1.067</f>
        <v>73.587789000000001</v>
      </c>
      <c r="R84" s="6">
        <f>P84*1.514</f>
        <v>39.650145999999999</v>
      </c>
      <c r="S84" s="23">
        <f>P84*1.514+O84*1.067</f>
        <v>113.23793499999999</v>
      </c>
      <c r="T84" s="6">
        <v>13.4</v>
      </c>
      <c r="U84" s="6">
        <v>1.6319999999999999</v>
      </c>
      <c r="V84" s="6">
        <v>1.083</v>
      </c>
      <c r="W84" s="23">
        <f>U84*1.067+V84*1.514</f>
        <v>3.3810059999999997</v>
      </c>
      <c r="X84" s="6">
        <v>2.8</v>
      </c>
      <c r="AB84" s="5">
        <v>80</v>
      </c>
      <c r="AC84" s="7">
        <f>T84</f>
        <v>13.4</v>
      </c>
      <c r="AD84" s="1">
        <f>5*4.67</f>
        <v>23.35</v>
      </c>
      <c r="AE84" s="1">
        <f>10.2</f>
        <v>10.199999999999999</v>
      </c>
      <c r="AF84" s="1">
        <v>0.24299999999999999</v>
      </c>
      <c r="AG84">
        <v>0.08</v>
      </c>
      <c r="AH84" s="119">
        <v>0.52083333333333337</v>
      </c>
      <c r="AJ84" s="1">
        <v>175</v>
      </c>
      <c r="AK84" s="3">
        <v>180</v>
      </c>
      <c r="AL84" s="4">
        <f>AE84</f>
        <v>10.199999999999999</v>
      </c>
      <c r="AM84" s="1">
        <f>2*2.33</f>
        <v>4.66</v>
      </c>
      <c r="AN84" s="80">
        <f t="shared" si="35"/>
        <v>100</v>
      </c>
      <c r="AO84" s="165">
        <v>2890.0000000000546</v>
      </c>
      <c r="AP84" s="13">
        <f t="shared" si="50"/>
        <v>3850.0000000000227</v>
      </c>
      <c r="AQ84" s="15">
        <f>IF(ISNUMBER([1]HRT_SRT!R138),[1]HRT_SRT!R138,"")</f>
        <v>17.790697674418574</v>
      </c>
      <c r="AR84" s="156">
        <f t="shared" si="36"/>
        <v>0.98507123076732184</v>
      </c>
      <c r="AS84" s="155">
        <f t="shared" si="37"/>
        <v>0.98959314775160601</v>
      </c>
      <c r="AT84" s="155">
        <f t="shared" si="38"/>
        <v>3.4621543255290601E-3</v>
      </c>
      <c r="AU84" s="155">
        <f t="shared" si="39"/>
        <v>0.6116666666666668</v>
      </c>
      <c r="AV84" s="57">
        <f t="shared" si="40"/>
        <v>223.09486399999997</v>
      </c>
      <c r="AW84" s="57">
        <f t="shared" si="41"/>
        <v>23.107000000000003</v>
      </c>
      <c r="AX84" s="57">
        <f t="shared" si="42"/>
        <v>7.3400000000000034</v>
      </c>
      <c r="AY84" s="57">
        <f t="shared" si="44"/>
        <v>3.2000000000000011</v>
      </c>
      <c r="AZ84" s="57">
        <f t="shared" si="45"/>
        <v>5.5399999999999991</v>
      </c>
      <c r="BA84" s="84">
        <f t="shared" si="32"/>
        <v>0.98507123076732184</v>
      </c>
      <c r="BB84" s="84">
        <f t="shared" si="46"/>
        <v>0.98959314775160601</v>
      </c>
      <c r="BC84" s="84">
        <f t="shared" si="33"/>
        <v>3.4621543255290601E-3</v>
      </c>
      <c r="BD84" s="84">
        <f t="shared" si="47"/>
        <v>0.6116666666666668</v>
      </c>
      <c r="BE84" s="6">
        <f t="shared" si="43"/>
        <v>7.9224000000000014</v>
      </c>
      <c r="BF84" s="6">
        <f t="shared" si="48"/>
        <v>2.0577662337662219</v>
      </c>
    </row>
    <row r="85" spans="1:58" ht="15.75">
      <c r="B85" s="185">
        <v>45345</v>
      </c>
      <c r="C85" s="184"/>
      <c r="D85" s="3">
        <v>80</v>
      </c>
      <c r="E85" s="205">
        <f t="shared" si="49"/>
        <v>356.59082999999998</v>
      </c>
      <c r="G85" s="15">
        <f>(N85*18-H85*18)/9</f>
        <v>26.2</v>
      </c>
      <c r="H85" s="15">
        <v>8.6</v>
      </c>
      <c r="I85" s="15">
        <f t="shared" si="51"/>
        <v>25.8</v>
      </c>
      <c r="K85" s="10">
        <f t="shared" si="24"/>
        <v>13.610337022900763</v>
      </c>
      <c r="L85" s="9">
        <f t="shared" si="25"/>
        <v>6.9106749999999995</v>
      </c>
      <c r="M85" s="8">
        <f t="shared" si="26"/>
        <v>1.969465648854962</v>
      </c>
      <c r="N85" s="7">
        <v>21.7</v>
      </c>
      <c r="O85" s="6">
        <v>125.867</v>
      </c>
      <c r="P85" s="6">
        <v>29.059000000000001</v>
      </c>
      <c r="Q85" s="6">
        <f>O85*1.067</f>
        <v>134.30008899999999</v>
      </c>
      <c r="R85" s="6">
        <f>P85*1.514</f>
        <v>43.995325999999999</v>
      </c>
      <c r="S85" s="23">
        <f>P85*1.514+O85*1.067</f>
        <v>178.29541499999999</v>
      </c>
      <c r="T85" s="6">
        <v>26.8</v>
      </c>
      <c r="U85" s="6">
        <v>1.538</v>
      </c>
      <c r="V85" s="6">
        <v>2.0379999999999998</v>
      </c>
      <c r="W85" s="23">
        <f>U85*1.067+V85*1.514</f>
        <v>4.7265779999999999</v>
      </c>
      <c r="X85" s="6">
        <v>0.86</v>
      </c>
      <c r="AB85" s="5">
        <v>80</v>
      </c>
      <c r="AC85" s="7">
        <f>T85</f>
        <v>26.8</v>
      </c>
      <c r="AD85" s="1">
        <f>5*5.16</f>
        <v>25.8</v>
      </c>
      <c r="AE85" s="1">
        <v>26.6</v>
      </c>
      <c r="AF85" s="1">
        <v>6.9999999999999999E-4</v>
      </c>
      <c r="AG85">
        <v>0.09</v>
      </c>
      <c r="AH85" s="119">
        <v>0.52083333333333337</v>
      </c>
      <c r="AJ85" s="1">
        <v>175</v>
      </c>
      <c r="AK85" s="3">
        <v>180</v>
      </c>
      <c r="AL85" s="4">
        <f>AE85</f>
        <v>26.6</v>
      </c>
      <c r="AM85" s="1">
        <f>5*4.68</f>
        <v>23.4</v>
      </c>
      <c r="AN85" s="80">
        <f t="shared" si="35"/>
        <v>100</v>
      </c>
      <c r="AO85" s="165"/>
      <c r="AP85" s="13">
        <f t="shared" si="50"/>
        <v>3475.0000000000455</v>
      </c>
      <c r="AQ85" s="15" t="str">
        <f>IF(ISNUMBER([1]HRT_SRT!R139),[1]HRT_SRT!R139,"")</f>
        <v/>
      </c>
      <c r="AR85" s="156">
        <f t="shared" si="36"/>
        <v>0.98674509380961928</v>
      </c>
      <c r="AS85" s="155">
        <f t="shared" si="37"/>
        <v>0.99997286821705433</v>
      </c>
      <c r="AT85" s="155">
        <f t="shared" si="38"/>
        <v>3.4884667413456949E-3</v>
      </c>
      <c r="AU85" s="155">
        <f t="shared" si="39"/>
        <v>0.10687022900763361</v>
      </c>
      <c r="AV85" s="57">
        <f t="shared" si="40"/>
        <v>351.86425199999996</v>
      </c>
      <c r="AW85" s="57">
        <f t="shared" si="41"/>
        <v>25.799300000000002</v>
      </c>
      <c r="AX85" s="57">
        <f t="shared" si="42"/>
        <v>2.8000000000000007</v>
      </c>
      <c r="AY85" s="57">
        <f t="shared" si="44"/>
        <v>0.19999999999999929</v>
      </c>
      <c r="AZ85" s="57">
        <f t="shared" si="45"/>
        <v>3.2000000000000028</v>
      </c>
      <c r="BA85" s="84">
        <f t="shared" si="32"/>
        <v>0.98674509380961928</v>
      </c>
      <c r="BB85" s="84">
        <f t="shared" si="46"/>
        <v>0.99997286821705433</v>
      </c>
      <c r="BC85" s="84">
        <f t="shared" si="33"/>
        <v>3.4884667413456949E-3</v>
      </c>
      <c r="BD85" s="84">
        <f t="shared" si="47"/>
        <v>0.10687022900763361</v>
      </c>
      <c r="BE85" s="6">
        <f t="shared" si="43"/>
        <v>8.8454742857142872</v>
      </c>
      <c r="BF85" s="6">
        <f t="shared" si="48"/>
        <v>2.5454602261047974</v>
      </c>
    </row>
    <row r="86" spans="1:58" ht="15.75">
      <c r="B86" s="185">
        <v>45346</v>
      </c>
      <c r="C86" s="184"/>
      <c r="D86" s="3">
        <v>81</v>
      </c>
      <c r="E86" s="205">
        <f t="shared" si="49"/>
        <v>389.79335199999997</v>
      </c>
      <c r="G86" s="15">
        <f>(N86*18-H86*18)/9</f>
        <v>26.8</v>
      </c>
      <c r="H86" s="15">
        <v>13.2</v>
      </c>
      <c r="I86" s="15">
        <f t="shared" si="51"/>
        <v>24.4</v>
      </c>
      <c r="K86" s="10">
        <f t="shared" si="24"/>
        <v>14.544528059701491</v>
      </c>
      <c r="L86" s="9">
        <f t="shared" si="25"/>
        <v>7.9875686885245898</v>
      </c>
      <c r="M86" s="8">
        <f t="shared" si="26"/>
        <v>1.8208955223880596</v>
      </c>
      <c r="N86" s="7">
        <f>26.6</f>
        <v>26.6</v>
      </c>
      <c r="O86" s="6">
        <v>137.36199999999999</v>
      </c>
      <c r="P86" s="6">
        <v>31.922999999999998</v>
      </c>
      <c r="Q86" s="6">
        <f>O86*1.067</f>
        <v>146.56525399999998</v>
      </c>
      <c r="R86" s="6">
        <f>P86*1.514</f>
        <v>48.331421999999996</v>
      </c>
      <c r="S86" s="23">
        <f>P86*1.514+O86*1.067</f>
        <v>194.89667599999999</v>
      </c>
      <c r="T86" s="6">
        <v>30.3</v>
      </c>
      <c r="U86" s="6">
        <v>3.1349999999999998</v>
      </c>
      <c r="V86" s="6">
        <v>2.2000000000000002</v>
      </c>
      <c r="W86" s="23">
        <f>U86*1.067+V86*1.514</f>
        <v>6.6758450000000007</v>
      </c>
      <c r="X86" s="6">
        <v>5.48</v>
      </c>
      <c r="AB86" s="5">
        <v>80</v>
      </c>
      <c r="AC86" s="7">
        <f>T86</f>
        <v>30.3</v>
      </c>
      <c r="AD86" s="1">
        <f>5*4.88</f>
        <v>24.4</v>
      </c>
      <c r="AE86" s="1">
        <f>30.7</f>
        <v>30.7</v>
      </c>
      <c r="AF86" s="168">
        <v>1E-3</v>
      </c>
      <c r="AG86">
        <v>0.09</v>
      </c>
      <c r="AH86" s="119">
        <v>0.52083333333333337</v>
      </c>
      <c r="AJ86" s="1">
        <v>175</v>
      </c>
      <c r="AK86" s="3">
        <v>180</v>
      </c>
      <c r="AL86" s="4">
        <f>AE86</f>
        <v>30.7</v>
      </c>
      <c r="AM86" s="1">
        <f>23.7</f>
        <v>23.7</v>
      </c>
      <c r="AN86" s="80">
        <f t="shared" si="35"/>
        <v>100</v>
      </c>
      <c r="AO86" s="165"/>
      <c r="AP86" s="13">
        <f t="shared" si="50"/>
        <v>3475.0000000000455</v>
      </c>
      <c r="AQ86" s="15" t="str">
        <f>IF(ISNUMBER([1]HRT_SRT!R140),[1]HRT_SRT!R140,"")</f>
        <v/>
      </c>
      <c r="AR86" s="156">
        <f t="shared" si="36"/>
        <v>0.98287337388966045</v>
      </c>
      <c r="AS86" s="155">
        <f t="shared" si="37"/>
        <v>0.99995901639344253</v>
      </c>
      <c r="AT86" s="155">
        <f t="shared" si="38"/>
        <v>3.6886757654002217E-3</v>
      </c>
      <c r="AU86" s="155">
        <f t="shared" si="39"/>
        <v>0.11567164179104483</v>
      </c>
      <c r="AV86" s="57">
        <f t="shared" si="40"/>
        <v>383.11750699999999</v>
      </c>
      <c r="AW86" s="57">
        <f t="shared" si="41"/>
        <v>24.398999999999997</v>
      </c>
      <c r="AX86" s="57">
        <f t="shared" si="42"/>
        <v>3.1000000000000014</v>
      </c>
      <c r="AY86" s="57">
        <f t="shared" si="44"/>
        <v>-0.39999999999999858</v>
      </c>
      <c r="AZ86" s="57">
        <f t="shared" si="45"/>
        <v>7</v>
      </c>
      <c r="BA86" s="84">
        <f t="shared" si="32"/>
        <v>0.98287337388966045</v>
      </c>
      <c r="BB86" s="84">
        <f t="shared" si="46"/>
        <v>0.99995901639344253</v>
      </c>
      <c r="BC86" s="84">
        <f t="shared" si="33"/>
        <v>3.6886757654002217E-3</v>
      </c>
      <c r="BD86" s="84">
        <f t="shared" si="47"/>
        <v>0.11567164179104483</v>
      </c>
      <c r="BE86" s="6">
        <f t="shared" si="43"/>
        <v>8.3653714285714287</v>
      </c>
      <c r="BF86" s="6">
        <f t="shared" si="48"/>
        <v>2.4073011305241208</v>
      </c>
    </row>
    <row r="87" spans="1:58" ht="15.75">
      <c r="B87" s="134">
        <v>45347</v>
      </c>
      <c r="C87" s="133"/>
      <c r="D87" s="3">
        <v>82</v>
      </c>
      <c r="E87" s="205" t="str">
        <f t="shared" si="49"/>
        <v/>
      </c>
      <c r="I87" s="15">
        <f t="shared" si="51"/>
        <v>22.2</v>
      </c>
      <c r="K87" s="10" t="str">
        <f t="shared" si="24"/>
        <v/>
      </c>
      <c r="L87" s="9" t="str">
        <f t="shared" si="25"/>
        <v/>
      </c>
      <c r="M87" s="8" t="str">
        <f t="shared" si="26"/>
        <v/>
      </c>
      <c r="X87" s="6">
        <v>0.56000000000000005</v>
      </c>
      <c r="AB87" s="5">
        <v>80</v>
      </c>
      <c r="AD87" s="168">
        <f>(AD86+AD88)/2</f>
        <v>22.2</v>
      </c>
      <c r="AG87">
        <v>0.08</v>
      </c>
      <c r="AH87" s="119">
        <v>0.52083333333333337</v>
      </c>
      <c r="AJ87" s="1">
        <v>175</v>
      </c>
      <c r="AK87" s="3">
        <v>180</v>
      </c>
      <c r="AN87" s="80">
        <f t="shared" si="35"/>
        <v>100</v>
      </c>
      <c r="AO87" s="165"/>
      <c r="AP87" s="13">
        <f t="shared" si="50"/>
        <v>4060.0000000000364</v>
      </c>
      <c r="AQ87" s="15" t="str">
        <f>IF(ISNUMBER([1]HRT_SRT!R141),[1]HRT_SRT!R141,"")</f>
        <v/>
      </c>
      <c r="AR87" s="156" t="e">
        <f t="shared" si="36"/>
        <v>#VALUE!</v>
      </c>
      <c r="AS87" s="155">
        <f t="shared" si="37"/>
        <v>1</v>
      </c>
      <c r="AT87" s="155">
        <f t="shared" si="38"/>
        <v>3.6036036036036037E-3</v>
      </c>
      <c r="AU87" s="155" t="e">
        <f t="shared" si="39"/>
        <v>#DIV/0!</v>
      </c>
      <c r="AV87" s="57" t="str">
        <f t="shared" si="40"/>
        <v/>
      </c>
      <c r="AW87" s="57" t="str">
        <f t="shared" si="41"/>
        <v/>
      </c>
      <c r="AX87" s="57" t="str">
        <f t="shared" si="42"/>
        <v/>
      </c>
      <c r="AY87" s="57" t="str">
        <f t="shared" si="44"/>
        <v/>
      </c>
      <c r="AZ87" s="57" t="str">
        <f t="shared" si="45"/>
        <v/>
      </c>
      <c r="BA87" s="84" t="str">
        <f t="shared" si="32"/>
        <v/>
      </c>
      <c r="BB87" s="84">
        <f t="shared" si="46"/>
        <v>1</v>
      </c>
      <c r="BC87" s="84">
        <f t="shared" si="33"/>
        <v>3.6036036036036037E-3</v>
      </c>
      <c r="BD87" s="84" t="str">
        <f t="shared" si="47"/>
        <v/>
      </c>
      <c r="BE87" s="6">
        <f t="shared" si="43"/>
        <v>7.6114285714285712</v>
      </c>
      <c r="BF87" s="6" t="str">
        <f t="shared" si="48"/>
        <v/>
      </c>
    </row>
    <row r="88" spans="1:58" ht="15.75">
      <c r="B88" s="134">
        <v>45348</v>
      </c>
      <c r="C88" s="133"/>
      <c r="D88" s="3">
        <v>83</v>
      </c>
      <c r="E88" s="205" t="str">
        <f t="shared" si="49"/>
        <v/>
      </c>
      <c r="G88" s="124">
        <v>30.399999999999995</v>
      </c>
      <c r="I88" s="15">
        <f t="shared" si="51"/>
        <v>20</v>
      </c>
      <c r="K88" s="10" t="str">
        <f t="shared" si="24"/>
        <v/>
      </c>
      <c r="L88" s="9" t="str">
        <f t="shared" si="25"/>
        <v/>
      </c>
      <c r="M88" s="8">
        <f t="shared" si="26"/>
        <v>1.3157894736842108</v>
      </c>
      <c r="X88" s="6">
        <v>0.28000000000000003</v>
      </c>
      <c r="AB88" s="5">
        <v>80</v>
      </c>
      <c r="AC88" s="4">
        <v>27.7</v>
      </c>
      <c r="AD88" s="1">
        <f>4*5</f>
        <v>20</v>
      </c>
      <c r="AE88" s="1">
        <v>30.1</v>
      </c>
      <c r="AF88" s="168">
        <v>1E-3</v>
      </c>
      <c r="AG88">
        <v>0.09</v>
      </c>
      <c r="AH88" s="119">
        <v>0.52083333333333337</v>
      </c>
      <c r="AJ88" s="1">
        <v>175</v>
      </c>
      <c r="AK88" s="3">
        <v>180</v>
      </c>
      <c r="AL88" s="4">
        <v>30.1</v>
      </c>
      <c r="AM88" s="1">
        <v>27.2</v>
      </c>
      <c r="AN88" s="80">
        <f t="shared" si="35"/>
        <v>100</v>
      </c>
      <c r="AO88" s="165"/>
      <c r="AP88" s="13">
        <f t="shared" si="50"/>
        <v>4060.0000000000364</v>
      </c>
      <c r="AQ88" s="15" t="str">
        <f>IF(ISNUMBER([1]HRT_SRT!R142),[1]HRT_SRT!R142,"")</f>
        <v/>
      </c>
      <c r="AR88" s="156" t="e">
        <f t="shared" si="36"/>
        <v>#VALUE!</v>
      </c>
      <c r="AS88" s="155">
        <f t="shared" si="37"/>
        <v>0.99994999999999989</v>
      </c>
      <c r="AT88" s="155">
        <f t="shared" si="38"/>
        <v>4.500225011250563E-3</v>
      </c>
      <c r="AU88" s="155">
        <f t="shared" si="39"/>
        <v>0.10526315789473673</v>
      </c>
      <c r="AV88" s="57" t="str">
        <f t="shared" si="40"/>
        <v/>
      </c>
      <c r="AW88" s="57">
        <f t="shared" si="41"/>
        <v>19.998999999999999</v>
      </c>
      <c r="AX88" s="57">
        <f t="shared" si="42"/>
        <v>3.1999999999999957</v>
      </c>
      <c r="AY88" s="57">
        <f t="shared" si="44"/>
        <v>-2.4000000000000021</v>
      </c>
      <c r="AZ88" s="57">
        <f t="shared" si="45"/>
        <v>2.9000000000000021</v>
      </c>
      <c r="BA88" s="84" t="str">
        <f t="shared" ref="BA88:BA119" si="52">IF(AND($E88&gt;0,$W88&gt;0),IF(($E88-$W88)/$E88&gt;0,($E88-$W88)/$E88,0),"")</f>
        <v/>
      </c>
      <c r="BB88" s="84">
        <f t="shared" si="46"/>
        <v>0.99994999999999989</v>
      </c>
      <c r="BC88" s="84">
        <f t="shared" si="33"/>
        <v>4.500225011250563E-3</v>
      </c>
      <c r="BD88" s="84">
        <f t="shared" si="47"/>
        <v>0.10526315789473673</v>
      </c>
      <c r="BE88" s="6">
        <f t="shared" si="43"/>
        <v>6.8567999999999998</v>
      </c>
      <c r="BF88" s="6">
        <f t="shared" si="48"/>
        <v>1.6888669950738766</v>
      </c>
    </row>
    <row r="89" spans="1:58" ht="15.75">
      <c r="B89" s="134">
        <v>45349</v>
      </c>
      <c r="C89" s="133"/>
      <c r="D89" s="3">
        <v>84</v>
      </c>
      <c r="E89" s="205">
        <f t="shared" si="49"/>
        <v>361.61693000000002</v>
      </c>
      <c r="G89" s="15">
        <f>(N89*18-H89*18)/9</f>
        <v>30.399999999999995</v>
      </c>
      <c r="H89" s="9">
        <v>12</v>
      </c>
      <c r="I89" s="15">
        <f t="shared" si="51"/>
        <v>24.5</v>
      </c>
      <c r="K89" s="10">
        <f t="shared" si="24"/>
        <v>11.895293750000002</v>
      </c>
      <c r="L89" s="9">
        <f t="shared" si="25"/>
        <v>7.3799373469387763</v>
      </c>
      <c r="M89" s="8">
        <f t="shared" si="26"/>
        <v>1.6118421052631582</v>
      </c>
      <c r="N89" s="7">
        <v>27.2</v>
      </c>
      <c r="O89" s="6">
        <v>129.16300000000001</v>
      </c>
      <c r="P89" s="6">
        <v>28.396000000000001</v>
      </c>
      <c r="Q89" s="6">
        <f>O89*1.067</f>
        <v>137.81692100000001</v>
      </c>
      <c r="R89" s="6">
        <f>P89*1.514</f>
        <v>42.991544000000005</v>
      </c>
      <c r="S89" s="23">
        <f>P89*1.514+O89*1.067</f>
        <v>180.80846500000001</v>
      </c>
      <c r="T89" s="6">
        <v>29</v>
      </c>
      <c r="W89" s="6">
        <f>2.426+3.542</f>
        <v>5.968</v>
      </c>
      <c r="X89" s="6">
        <v>0.28999999999999998</v>
      </c>
      <c r="AB89" s="5">
        <v>80</v>
      </c>
      <c r="AC89" s="7">
        <f>T89</f>
        <v>29</v>
      </c>
      <c r="AD89" s="1">
        <f>5*4.9</f>
        <v>24.5</v>
      </c>
      <c r="AE89" s="1">
        <v>28.6</v>
      </c>
      <c r="AF89" s="168">
        <v>1E-3</v>
      </c>
      <c r="AG89">
        <v>0.1</v>
      </c>
      <c r="AH89" s="119">
        <v>0.52083333333333337</v>
      </c>
      <c r="AJ89" s="1">
        <v>175</v>
      </c>
      <c r="AK89" s="3">
        <v>180</v>
      </c>
      <c r="AL89" s="4">
        <f>AE89</f>
        <v>28.6</v>
      </c>
      <c r="AM89" s="1">
        <f>26.8</f>
        <v>26.8</v>
      </c>
      <c r="AN89" s="80">
        <f t="shared" si="35"/>
        <v>100</v>
      </c>
      <c r="AO89" s="182">
        <v>4060.0000000000364</v>
      </c>
      <c r="AP89" s="13">
        <f t="shared" si="50"/>
        <v>4060.0000000000364</v>
      </c>
      <c r="AQ89" s="15">
        <f>IF(ISNUMBER([1]HRT_SRT!R143),[1]HRT_SRT!R143,"")</f>
        <v>17.466539196940555</v>
      </c>
      <c r="AR89" s="156">
        <f t="shared" si="36"/>
        <v>0.98349634791711771</v>
      </c>
      <c r="AS89" s="155">
        <f t="shared" si="37"/>
        <v>0.99995918367346937</v>
      </c>
      <c r="AT89" s="155">
        <f t="shared" si="38"/>
        <v>4.0817992571125358E-3</v>
      </c>
      <c r="AU89" s="155">
        <f t="shared" si="39"/>
        <v>0.11842105263157877</v>
      </c>
      <c r="AV89" s="57">
        <f t="shared" si="40"/>
        <v>355.64893000000001</v>
      </c>
      <c r="AW89" s="57">
        <f t="shared" si="41"/>
        <v>24.498999999999999</v>
      </c>
      <c r="AX89" s="57">
        <f t="shared" si="42"/>
        <v>3.5999999999999943</v>
      </c>
      <c r="AY89" s="57">
        <f t="shared" si="44"/>
        <v>0.39999999999999858</v>
      </c>
      <c r="AZ89" s="57">
        <f t="shared" si="45"/>
        <v>1.8000000000000007</v>
      </c>
      <c r="BA89" s="84">
        <f t="shared" si="52"/>
        <v>0.98349634791711771</v>
      </c>
      <c r="BB89" s="84">
        <f t="shared" si="46"/>
        <v>0.99995918367346937</v>
      </c>
      <c r="BC89" s="84">
        <f t="shared" si="33"/>
        <v>4.0817992571125358E-3</v>
      </c>
      <c r="BD89" s="84">
        <f t="shared" si="47"/>
        <v>0.11842105263157877</v>
      </c>
      <c r="BE89" s="6">
        <f t="shared" si="43"/>
        <v>8.3996571428571425</v>
      </c>
      <c r="BF89" s="6">
        <f t="shared" si="48"/>
        <v>2.0688810696692284</v>
      </c>
    </row>
    <row r="90" spans="1:58" ht="15.75">
      <c r="B90" s="134">
        <v>45350</v>
      </c>
      <c r="C90" s="133"/>
      <c r="D90" s="3">
        <v>85</v>
      </c>
      <c r="E90" s="205" t="str">
        <f t="shared" si="49"/>
        <v/>
      </c>
      <c r="G90" s="15">
        <f>(N90*18-H90*18)/9</f>
        <v>26.399999999999995</v>
      </c>
      <c r="H90" s="9">
        <v>13.5</v>
      </c>
      <c r="I90" s="15">
        <f t="shared" si="51"/>
        <v>25.25</v>
      </c>
      <c r="K90" s="10" t="str">
        <f t="shared" si="24"/>
        <v/>
      </c>
      <c r="L90" s="9" t="str">
        <f t="shared" si="25"/>
        <v/>
      </c>
      <c r="M90" s="8">
        <f t="shared" si="26"/>
        <v>1.9128787878787883</v>
      </c>
      <c r="N90" s="7">
        <v>26.7</v>
      </c>
      <c r="X90" s="6">
        <v>1.67</v>
      </c>
      <c r="AB90" s="5">
        <v>80</v>
      </c>
      <c r="AD90" s="168">
        <f>(AD89+AD91)/2</f>
        <v>25.25</v>
      </c>
      <c r="AE90" s="1">
        <v>26.6</v>
      </c>
      <c r="AF90" s="1">
        <v>0.108</v>
      </c>
      <c r="AG90">
        <v>0.1</v>
      </c>
      <c r="AH90" s="119">
        <v>0.52083333333333337</v>
      </c>
      <c r="AJ90" s="1">
        <v>175</v>
      </c>
      <c r="AK90" s="3">
        <v>180</v>
      </c>
      <c r="AL90" s="4">
        <f>AE90</f>
        <v>26.6</v>
      </c>
      <c r="AM90" s="1">
        <v>24.2</v>
      </c>
      <c r="AN90" s="80">
        <f t="shared" si="35"/>
        <v>100</v>
      </c>
      <c r="AO90" s="182"/>
      <c r="AP90" s="13">
        <f t="shared" si="50"/>
        <v>4060.0000000000364</v>
      </c>
      <c r="AQ90" s="15" t="str">
        <f>IF(ISNUMBER([1]HRT_SRT!R144),[1]HRT_SRT!R144,"")</f>
        <v/>
      </c>
      <c r="AR90" s="156" t="e">
        <f t="shared" si="36"/>
        <v>#VALUE!</v>
      </c>
      <c r="AS90" s="155">
        <f t="shared" si="37"/>
        <v>0.99572277227722772</v>
      </c>
      <c r="AT90" s="155">
        <f t="shared" si="38"/>
        <v>3.9774083207382077E-3</v>
      </c>
      <c r="AU90" s="155">
        <f t="shared" si="39"/>
        <v>8.333333333333319E-2</v>
      </c>
      <c r="AV90" s="57" t="str">
        <f t="shared" si="40"/>
        <v/>
      </c>
      <c r="AW90" s="57">
        <f t="shared" si="41"/>
        <v>25.141999999999999</v>
      </c>
      <c r="AX90" s="57">
        <f t="shared" si="42"/>
        <v>2.1999999999999957</v>
      </c>
      <c r="AY90" s="57" t="str">
        <f t="shared" si="44"/>
        <v/>
      </c>
      <c r="AZ90" s="57">
        <f t="shared" si="45"/>
        <v>2.4000000000000021</v>
      </c>
      <c r="BA90" s="84" t="str">
        <f t="shared" si="52"/>
        <v/>
      </c>
      <c r="BB90" s="84">
        <f t="shared" si="46"/>
        <v>0.99572277227722772</v>
      </c>
      <c r="BC90" s="84">
        <f t="shared" si="33"/>
        <v>3.9774083207382077E-3</v>
      </c>
      <c r="BD90" s="84">
        <f t="shared" si="47"/>
        <v>8.333333333333319E-2</v>
      </c>
      <c r="BE90" s="6">
        <f t="shared" si="43"/>
        <v>8.6201142857142852</v>
      </c>
      <c r="BF90" s="6">
        <f t="shared" si="48"/>
        <v>2.1231808585502976</v>
      </c>
    </row>
    <row r="91" spans="1:58" ht="15.75">
      <c r="B91" s="134">
        <v>45351</v>
      </c>
      <c r="C91" s="133"/>
      <c r="D91" s="3">
        <v>86</v>
      </c>
      <c r="E91" s="205" t="str">
        <f t="shared" si="49"/>
        <v/>
      </c>
      <c r="G91" s="15">
        <f>(N91*18-H91*18)/9</f>
        <v>23.6</v>
      </c>
      <c r="H91" s="9">
        <v>12.3</v>
      </c>
      <c r="I91" s="15">
        <f t="shared" si="51"/>
        <v>26</v>
      </c>
      <c r="K91" s="10" t="str">
        <f t="shared" si="24"/>
        <v/>
      </c>
      <c r="L91" s="9" t="str">
        <f t="shared" si="25"/>
        <v/>
      </c>
      <c r="M91" s="8">
        <f t="shared" si="26"/>
        <v>2.2033898305084745</v>
      </c>
      <c r="N91" s="7">
        <v>24.1</v>
      </c>
      <c r="T91" s="6">
        <v>27.1</v>
      </c>
      <c r="X91" s="6">
        <v>2.33</v>
      </c>
      <c r="AB91" s="5">
        <v>80</v>
      </c>
      <c r="AC91" s="7">
        <f>T91</f>
        <v>27.1</v>
      </c>
      <c r="AD91" s="1">
        <f>5*5.2</f>
        <v>26</v>
      </c>
      <c r="AE91" s="1">
        <v>22.9</v>
      </c>
      <c r="AF91" s="168">
        <v>1E-3</v>
      </c>
      <c r="AG91">
        <v>0.09</v>
      </c>
      <c r="AH91" s="119">
        <v>0.52083333333333337</v>
      </c>
      <c r="AJ91" s="1">
        <v>175</v>
      </c>
      <c r="AK91" s="3">
        <v>180</v>
      </c>
      <c r="AL91" s="4">
        <f>AE91</f>
        <v>22.9</v>
      </c>
      <c r="AM91" s="1">
        <v>20.5</v>
      </c>
      <c r="AN91" s="80">
        <f t="shared" si="35"/>
        <v>100</v>
      </c>
      <c r="AO91" s="182"/>
      <c r="AP91" s="13">
        <f t="shared" si="50"/>
        <v>4060.0000000000364</v>
      </c>
      <c r="AQ91" s="15" t="str">
        <f>IF(ISNUMBER([1]HRT_SRT!R145),[1]HRT_SRT!R145,"")</f>
        <v/>
      </c>
      <c r="AR91" s="156" t="e">
        <f t="shared" si="36"/>
        <v>#VALUE!</v>
      </c>
      <c r="AS91" s="155">
        <f t="shared" si="37"/>
        <v>0.99996153846153846</v>
      </c>
      <c r="AT91" s="155">
        <f t="shared" si="38"/>
        <v>3.4616716027539522E-3</v>
      </c>
      <c r="AU91" s="155">
        <f t="shared" si="39"/>
        <v>0.13135593220338987</v>
      </c>
      <c r="AV91" s="57" t="str">
        <f t="shared" si="40"/>
        <v/>
      </c>
      <c r="AW91" s="57">
        <f t="shared" si="41"/>
        <v>25.998999999999999</v>
      </c>
      <c r="AX91" s="57">
        <f t="shared" si="42"/>
        <v>3.1000000000000014</v>
      </c>
      <c r="AY91" s="57">
        <f t="shared" si="44"/>
        <v>4.2000000000000028</v>
      </c>
      <c r="AZ91" s="57">
        <f t="shared" si="45"/>
        <v>2.3999999999999986</v>
      </c>
      <c r="BA91" s="84" t="str">
        <f t="shared" si="52"/>
        <v/>
      </c>
      <c r="BB91" s="84">
        <f t="shared" si="46"/>
        <v>0.99996153846153846</v>
      </c>
      <c r="BC91" s="84">
        <f t="shared" si="33"/>
        <v>3.4616716027539522E-3</v>
      </c>
      <c r="BD91" s="84">
        <f t="shared" si="47"/>
        <v>0.13135593220338987</v>
      </c>
      <c r="BE91" s="6">
        <f t="shared" si="43"/>
        <v>8.9139428571428567</v>
      </c>
      <c r="BF91" s="6">
        <f t="shared" si="48"/>
        <v>2.1955524278676792</v>
      </c>
    </row>
    <row r="92" spans="1:58" ht="15.75">
      <c r="B92" s="134">
        <v>45352</v>
      </c>
      <c r="C92" s="133"/>
      <c r="D92" s="3">
        <v>87</v>
      </c>
      <c r="E92" s="205" t="str">
        <f t="shared" si="49"/>
        <v/>
      </c>
      <c r="I92" s="15">
        <f t="shared" si="51"/>
        <v>25.516666666666666</v>
      </c>
      <c r="K92" s="10" t="str">
        <f t="shared" si="24"/>
        <v/>
      </c>
      <c r="L92" s="9" t="str">
        <f t="shared" si="25"/>
        <v/>
      </c>
      <c r="M92" s="8" t="str">
        <f t="shared" si="26"/>
        <v/>
      </c>
      <c r="X92" s="6">
        <v>1.03</v>
      </c>
      <c r="AB92" s="5">
        <v>80</v>
      </c>
      <c r="AD92" s="168">
        <f>(AD91*2/3+AD95*1/3)</f>
        <v>25.516666666666666</v>
      </c>
      <c r="AG92">
        <v>0.18</v>
      </c>
      <c r="AH92" s="119">
        <v>0.52650462962962963</v>
      </c>
      <c r="AJ92" s="1">
        <v>175</v>
      </c>
      <c r="AK92" s="3">
        <v>180</v>
      </c>
      <c r="AN92" s="80">
        <f t="shared" si="35"/>
        <v>100</v>
      </c>
      <c r="AO92" s="182"/>
      <c r="AP92" s="13">
        <f t="shared" si="50"/>
        <v>3530.0000000000182</v>
      </c>
      <c r="AQ92" s="15" t="str">
        <f>IF(ISNUMBER([1]HRT_SRT!R146),[1]HRT_SRT!R146,"")</f>
        <v/>
      </c>
      <c r="AR92" s="156" t="e">
        <f t="shared" si="36"/>
        <v>#VALUE!</v>
      </c>
      <c r="AS92" s="155">
        <f t="shared" si="37"/>
        <v>1</v>
      </c>
      <c r="AT92" s="155">
        <f t="shared" si="38"/>
        <v>7.0542129327237097E-3</v>
      </c>
      <c r="AU92" s="155" t="e">
        <f t="shared" si="39"/>
        <v>#DIV/0!</v>
      </c>
      <c r="AV92" s="57" t="str">
        <f t="shared" si="40"/>
        <v/>
      </c>
      <c r="AW92" s="57" t="str">
        <f t="shared" si="41"/>
        <v/>
      </c>
      <c r="AX92" s="57" t="str">
        <f t="shared" si="42"/>
        <v/>
      </c>
      <c r="AY92" s="57" t="str">
        <f t="shared" si="44"/>
        <v/>
      </c>
      <c r="AZ92" s="57" t="str">
        <f t="shared" si="45"/>
        <v/>
      </c>
      <c r="BA92" s="84" t="str">
        <f t="shared" si="52"/>
        <v/>
      </c>
      <c r="BB92" s="84">
        <f t="shared" si="46"/>
        <v>1</v>
      </c>
      <c r="BC92" s="84">
        <f t="shared" si="33"/>
        <v>7.0542129327237097E-3</v>
      </c>
      <c r="BD92" s="84" t="str">
        <f t="shared" si="47"/>
        <v/>
      </c>
      <c r="BE92" s="6">
        <f t="shared" si="43"/>
        <v>8.7485714285714291</v>
      </c>
      <c r="BF92" s="6" t="str">
        <f t="shared" si="48"/>
        <v/>
      </c>
    </row>
    <row r="93" spans="1:58" ht="15.75">
      <c r="B93" s="134">
        <v>45353</v>
      </c>
      <c r="C93" s="133"/>
      <c r="D93" s="3">
        <v>88</v>
      </c>
      <c r="E93" s="205" t="str">
        <f t="shared" si="49"/>
        <v/>
      </c>
      <c r="I93" s="15">
        <f t="shared" si="51"/>
        <v>25.033333333333331</v>
      </c>
      <c r="K93" s="10" t="str">
        <f t="shared" si="24"/>
        <v/>
      </c>
      <c r="L93" s="9" t="str">
        <f t="shared" si="25"/>
        <v/>
      </c>
      <c r="M93" s="8" t="str">
        <f t="shared" si="26"/>
        <v/>
      </c>
      <c r="X93" s="6">
        <v>0.28000000000000003</v>
      </c>
      <c r="AB93" s="5">
        <v>80</v>
      </c>
      <c r="AD93" s="168">
        <f>(AD92*1/2+AD95*1/2)</f>
        <v>25.033333333333331</v>
      </c>
      <c r="AG93">
        <v>0.11</v>
      </c>
      <c r="AH93" s="119">
        <v>0.52662037037037035</v>
      </c>
      <c r="AJ93" s="1">
        <v>175</v>
      </c>
      <c r="AK93" s="3">
        <v>180</v>
      </c>
      <c r="AN93" s="80">
        <f t="shared" si="35"/>
        <v>100</v>
      </c>
      <c r="AO93" s="182"/>
      <c r="AP93" s="13">
        <f t="shared" si="50"/>
        <v>3530.0000000000182</v>
      </c>
      <c r="AQ93" s="15" t="str">
        <f>IF(ISNUMBER([1]HRT_SRT!R147),[1]HRT_SRT!R147,"")</f>
        <v/>
      </c>
      <c r="AR93" s="156" t="e">
        <f t="shared" si="36"/>
        <v>#VALUE!</v>
      </c>
      <c r="AS93" s="155">
        <f t="shared" si="37"/>
        <v>1</v>
      </c>
      <c r="AT93" s="155">
        <f t="shared" si="38"/>
        <v>4.3941411451398141E-3</v>
      </c>
      <c r="AU93" s="155" t="e">
        <f t="shared" si="39"/>
        <v>#DIV/0!</v>
      </c>
      <c r="AV93" s="57" t="str">
        <f t="shared" si="40"/>
        <v/>
      </c>
      <c r="AW93" s="57" t="str">
        <f t="shared" si="41"/>
        <v/>
      </c>
      <c r="AX93" s="57" t="str">
        <f t="shared" si="42"/>
        <v/>
      </c>
      <c r="AY93" s="57" t="str">
        <f t="shared" si="44"/>
        <v/>
      </c>
      <c r="AZ93" s="57" t="str">
        <f t="shared" si="45"/>
        <v/>
      </c>
      <c r="BA93" s="84" t="str">
        <f t="shared" si="52"/>
        <v/>
      </c>
      <c r="BB93" s="84">
        <f t="shared" si="46"/>
        <v>1</v>
      </c>
      <c r="BC93" s="84">
        <f t="shared" si="33"/>
        <v>4.3941411451398141E-3</v>
      </c>
      <c r="BD93" s="84" t="str">
        <f t="shared" si="47"/>
        <v/>
      </c>
      <c r="BE93" s="6">
        <f t="shared" si="43"/>
        <v>8.5828571428571419</v>
      </c>
      <c r="BF93" s="6" t="str">
        <f t="shared" si="48"/>
        <v/>
      </c>
    </row>
    <row r="94" spans="1:58" ht="15.75">
      <c r="A94" s="12" t="s">
        <v>161</v>
      </c>
      <c r="B94" s="134">
        <v>45354</v>
      </c>
      <c r="C94" s="133"/>
      <c r="D94" s="3">
        <v>89</v>
      </c>
      <c r="E94" s="205" t="str">
        <f t="shared" si="49"/>
        <v/>
      </c>
      <c r="I94" s="15">
        <f t="shared" si="51"/>
        <v>24.711111111111109</v>
      </c>
      <c r="K94" s="10" t="str">
        <f t="shared" si="24"/>
        <v/>
      </c>
      <c r="L94" s="9" t="str">
        <f t="shared" si="25"/>
        <v/>
      </c>
      <c r="M94" s="8" t="str">
        <f t="shared" si="26"/>
        <v/>
      </c>
      <c r="X94" s="6">
        <v>0.26</v>
      </c>
      <c r="AB94" s="5">
        <v>80</v>
      </c>
      <c r="AD94" s="168">
        <f>(AD93*1/3+AD95*2/3)</f>
        <v>24.711111111111109</v>
      </c>
      <c r="AG94">
        <v>0.23</v>
      </c>
      <c r="AH94" s="119">
        <v>0.52060185185185182</v>
      </c>
      <c r="AJ94" s="1">
        <v>175</v>
      </c>
      <c r="AK94" s="3">
        <v>180</v>
      </c>
      <c r="AM94" s="1">
        <v>27.2</v>
      </c>
      <c r="AN94" s="80">
        <f t="shared" si="35"/>
        <v>100</v>
      </c>
      <c r="AO94" s="182"/>
      <c r="AP94" s="13">
        <f t="shared" si="50"/>
        <v>3530.0000000000182</v>
      </c>
      <c r="AQ94" s="15" t="str">
        <f>IF(ISNUMBER([1]HRT_SRT!R148),[1]HRT_SRT!R148,"")</f>
        <v/>
      </c>
      <c r="AR94" s="156" t="e">
        <f t="shared" si="36"/>
        <v>#VALUE!</v>
      </c>
      <c r="AS94" s="155">
        <f t="shared" si="37"/>
        <v>1</v>
      </c>
      <c r="AT94" s="155">
        <f t="shared" si="38"/>
        <v>9.3075539568345331E-3</v>
      </c>
      <c r="AU94" s="155" t="e">
        <f t="shared" si="39"/>
        <v>#DIV/0!</v>
      </c>
      <c r="AV94" s="57" t="str">
        <f t="shared" si="40"/>
        <v/>
      </c>
      <c r="AW94" s="57" t="str">
        <f t="shared" si="41"/>
        <v/>
      </c>
      <c r="AX94" s="57" t="str">
        <f t="shared" si="42"/>
        <v/>
      </c>
      <c r="AY94" s="57" t="str">
        <f t="shared" si="44"/>
        <v/>
      </c>
      <c r="AZ94" s="57" t="str">
        <f t="shared" si="45"/>
        <v/>
      </c>
      <c r="BA94" s="84" t="str">
        <f t="shared" si="52"/>
        <v/>
      </c>
      <c r="BB94" s="84">
        <f t="shared" si="46"/>
        <v>1</v>
      </c>
      <c r="BC94" s="84">
        <f t="shared" si="33"/>
        <v>9.3075539568345331E-3</v>
      </c>
      <c r="BD94" s="84" t="str">
        <f t="shared" si="47"/>
        <v/>
      </c>
      <c r="BE94" s="6">
        <f t="shared" si="43"/>
        <v>8.4723809523809521</v>
      </c>
      <c r="BF94" s="6" t="str">
        <f t="shared" si="48"/>
        <v/>
      </c>
    </row>
    <row r="95" spans="1:58" ht="15.75">
      <c r="B95" s="134">
        <v>45355</v>
      </c>
      <c r="C95" s="133"/>
      <c r="D95" s="3">
        <v>90</v>
      </c>
      <c r="E95" s="205">
        <f t="shared" si="49"/>
        <v>397.95424199999991</v>
      </c>
      <c r="G95" s="15">
        <f>(N95*18-H95*18)/9</f>
        <v>25.8</v>
      </c>
      <c r="H95" s="9">
        <v>13.7</v>
      </c>
      <c r="I95" s="15">
        <f t="shared" si="51"/>
        <v>24.55</v>
      </c>
      <c r="K95" s="10">
        <f t="shared" si="24"/>
        <v>15.42458302325581</v>
      </c>
      <c r="L95" s="9">
        <f t="shared" si="25"/>
        <v>8.1049743788187349</v>
      </c>
      <c r="M95" s="8">
        <f t="shared" si="26"/>
        <v>1.9031007751937985</v>
      </c>
      <c r="N95" s="7">
        <v>26.6</v>
      </c>
      <c r="O95" s="6">
        <v>142.03899999999999</v>
      </c>
      <c r="P95" s="6">
        <v>31.321999999999999</v>
      </c>
      <c r="Q95" s="6">
        <f>O95*1.067</f>
        <v>151.55561299999997</v>
      </c>
      <c r="R95" s="6">
        <f>P95*1.514</f>
        <v>47.421507999999996</v>
      </c>
      <c r="S95" s="23">
        <f>P95*1.514+O95*1.067</f>
        <v>198.97712099999995</v>
      </c>
      <c r="T95" s="6">
        <v>28.4</v>
      </c>
      <c r="W95" s="6">
        <v>0.33</v>
      </c>
      <c r="X95" s="6">
        <v>2.04</v>
      </c>
      <c r="AB95" s="5">
        <v>80</v>
      </c>
      <c r="AC95" s="7">
        <f>T95</f>
        <v>28.4</v>
      </c>
      <c r="AD95" s="1">
        <f>5*4.91</f>
        <v>24.55</v>
      </c>
      <c r="AF95" s="168">
        <v>1E-3</v>
      </c>
      <c r="AG95">
        <v>0.1</v>
      </c>
      <c r="AH95" s="119">
        <v>0.52083333333333337</v>
      </c>
      <c r="AJ95" s="1">
        <v>175</v>
      </c>
      <c r="AK95" s="3">
        <v>180</v>
      </c>
      <c r="AM95" s="1">
        <v>24.1</v>
      </c>
      <c r="AN95" s="80">
        <f t="shared" si="35"/>
        <v>100</v>
      </c>
      <c r="AO95" s="182"/>
      <c r="AP95" s="13">
        <f t="shared" si="50"/>
        <v>3530.0000000000182</v>
      </c>
      <c r="AQ95" s="15" t="str">
        <f>IF(ISNUMBER([1]HRT_SRT!R149),[1]HRT_SRT!R149,"")</f>
        <v/>
      </c>
      <c r="AR95" s="156">
        <f t="shared" si="36"/>
        <v>0.99917075893363638</v>
      </c>
      <c r="AS95" s="155">
        <f t="shared" si="37"/>
        <v>0.99995926680244396</v>
      </c>
      <c r="AT95" s="155">
        <f t="shared" si="38"/>
        <v>4.0734856816978292E-3</v>
      </c>
      <c r="AU95" s="155">
        <f t="shared" si="39"/>
        <v>6.5891472868217019E-2</v>
      </c>
      <c r="AV95" s="57">
        <f t="shared" si="40"/>
        <v>397.62424199999992</v>
      </c>
      <c r="AW95" s="57">
        <f t="shared" si="41"/>
        <v>24.548999999999999</v>
      </c>
      <c r="AX95" s="57">
        <f t="shared" si="42"/>
        <v>1.6999999999999993</v>
      </c>
      <c r="AY95" s="57" t="str">
        <f t="shared" si="44"/>
        <v/>
      </c>
      <c r="AZ95" s="57" t="str">
        <f t="shared" si="45"/>
        <v/>
      </c>
      <c r="BA95" s="84">
        <f t="shared" si="52"/>
        <v>0.99917075893363638</v>
      </c>
      <c r="BB95" s="84">
        <f t="shared" si="46"/>
        <v>0.99995926680244396</v>
      </c>
      <c r="BC95" s="84">
        <f t="shared" si="33"/>
        <v>4.0734856816978292E-3</v>
      </c>
      <c r="BD95" s="84">
        <f t="shared" si="47"/>
        <v>6.5891472868217019E-2</v>
      </c>
      <c r="BE95" s="6">
        <f t="shared" si="43"/>
        <v>8.4168000000000003</v>
      </c>
      <c r="BF95" s="6">
        <f t="shared" si="48"/>
        <v>2.3843626062322825</v>
      </c>
    </row>
    <row r="96" spans="1:58" ht="15.75">
      <c r="A96" s="112"/>
      <c r="B96" s="134">
        <v>45356</v>
      </c>
      <c r="C96" s="133"/>
      <c r="D96" s="3">
        <v>91</v>
      </c>
      <c r="E96" s="205">
        <f t="shared" si="49"/>
        <v>369.246894</v>
      </c>
      <c r="G96" s="15">
        <f>(N96*18-H96*18)/9</f>
        <v>28.840000000000007</v>
      </c>
      <c r="H96" s="9">
        <v>8.8800000000000008</v>
      </c>
      <c r="I96" s="15">
        <f t="shared" si="51"/>
        <v>24.5</v>
      </c>
      <c r="K96" s="10">
        <f t="shared" si="24"/>
        <v>12.80329036061026</v>
      </c>
      <c r="L96" s="9">
        <f t="shared" si="25"/>
        <v>7.5356508979591839</v>
      </c>
      <c r="M96" s="8">
        <f t="shared" si="26"/>
        <v>1.6990291262135919</v>
      </c>
      <c r="N96" s="7">
        <v>23.3</v>
      </c>
      <c r="O96" s="6">
        <v>131.68700000000001</v>
      </c>
      <c r="P96" s="6">
        <v>29.137</v>
      </c>
      <c r="Q96" s="6">
        <f>O96*1.067</f>
        <v>140.510029</v>
      </c>
      <c r="R96" s="6">
        <f>P96*1.514</f>
        <v>44.113418000000003</v>
      </c>
      <c r="S96" s="23">
        <f>P96*1.514+O96*1.067</f>
        <v>184.623447</v>
      </c>
      <c r="T96" s="6">
        <v>27.1</v>
      </c>
      <c r="W96" s="6">
        <f>0.88+0.495</f>
        <v>1.375</v>
      </c>
      <c r="X96" s="6">
        <v>3.66</v>
      </c>
      <c r="AB96" s="5">
        <v>80</v>
      </c>
      <c r="AC96" s="7">
        <f>T96</f>
        <v>27.1</v>
      </c>
      <c r="AD96" s="1">
        <f>5*4.9</f>
        <v>24.5</v>
      </c>
      <c r="AE96" s="1">
        <v>23.7</v>
      </c>
      <c r="AF96" s="168">
        <v>1E-3</v>
      </c>
      <c r="AG96" s="1">
        <v>0.1</v>
      </c>
      <c r="AH96" s="119">
        <v>0.52141203703703709</v>
      </c>
      <c r="AJ96" s="1">
        <v>175</v>
      </c>
      <c r="AK96" s="3">
        <v>180</v>
      </c>
      <c r="AL96" s="4">
        <f>AE96</f>
        <v>23.7</v>
      </c>
      <c r="AM96" s="1">
        <f>19.6</f>
        <v>19.600000000000001</v>
      </c>
      <c r="AN96" s="80">
        <f t="shared" si="35"/>
        <v>100</v>
      </c>
      <c r="AO96" s="182">
        <v>3530.0000000000182</v>
      </c>
      <c r="AP96" s="13">
        <f t="shared" si="50"/>
        <v>3530.0000000000182</v>
      </c>
      <c r="AQ96" s="15">
        <f>IF(ISNUMBER([1]HRT_SRT!R150),[1]HRT_SRT!R150,"")</f>
        <v>13.530664395229964</v>
      </c>
      <c r="AR96" s="156">
        <f t="shared" si="36"/>
        <v>0.99627620428948005</v>
      </c>
      <c r="AS96" s="155">
        <f t="shared" si="37"/>
        <v>0.99995918367346937</v>
      </c>
      <c r="AT96" s="155">
        <f t="shared" si="38"/>
        <v>4.0817992571125358E-3</v>
      </c>
      <c r="AU96" s="155">
        <f t="shared" si="39"/>
        <v>0.32038834951456324</v>
      </c>
      <c r="AV96" s="57">
        <f t="shared" si="40"/>
        <v>367.871894</v>
      </c>
      <c r="AW96" s="57">
        <f t="shared" si="41"/>
        <v>24.498999999999999</v>
      </c>
      <c r="AX96" s="57">
        <f t="shared" si="42"/>
        <v>9.2400000000000055</v>
      </c>
      <c r="AY96" s="57">
        <f t="shared" si="44"/>
        <v>3.4000000000000021</v>
      </c>
      <c r="AZ96" s="57">
        <f t="shared" si="45"/>
        <v>4.0999999999999979</v>
      </c>
      <c r="BA96" s="84">
        <f t="shared" si="52"/>
        <v>0.99627620428948005</v>
      </c>
      <c r="BB96" s="84">
        <f t="shared" si="46"/>
        <v>0.99995918367346937</v>
      </c>
      <c r="BC96" s="84">
        <f t="shared" ref="BC96:BC125" si="53">IF(AND($AG96&gt;=0,$AD96&gt;=0,$AF96&gt;=0),IF($AG96/($AD96-$AF96)&gt;0,$AG96/($AD96-$AF96),0),"")</f>
        <v>4.0817992571125358E-3</v>
      </c>
      <c r="BD96" s="84">
        <f t="shared" si="47"/>
        <v>0.32038834951456324</v>
      </c>
      <c r="BE96" s="6">
        <f t="shared" si="43"/>
        <v>8.3996571428571425</v>
      </c>
      <c r="BF96" s="6">
        <f t="shared" si="48"/>
        <v>2.379506272764051</v>
      </c>
    </row>
    <row r="97" spans="1:58" ht="15.75">
      <c r="B97" s="134">
        <v>45357</v>
      </c>
      <c r="C97" s="133"/>
      <c r="D97" s="3">
        <v>92</v>
      </c>
      <c r="E97" s="205">
        <f t="shared" si="49"/>
        <v>379.99569799999995</v>
      </c>
      <c r="G97" s="15">
        <f>(N97*18-H97*18)/9</f>
        <v>29.800000000000004</v>
      </c>
      <c r="H97" s="9">
        <v>10.1</v>
      </c>
      <c r="I97" s="15">
        <f t="shared" si="51"/>
        <v>25.950000000000003</v>
      </c>
      <c r="K97" s="10">
        <f t="shared" si="24"/>
        <v>12.751533489932882</v>
      </c>
      <c r="L97" s="9">
        <f t="shared" si="25"/>
        <v>7.3216897495183026</v>
      </c>
      <c r="M97" s="8">
        <f t="shared" si="26"/>
        <v>1.7416107382550334</v>
      </c>
      <c r="N97" s="7">
        <v>25</v>
      </c>
      <c r="O97" s="6">
        <v>135.72499999999999</v>
      </c>
      <c r="P97" s="6">
        <v>29.841000000000001</v>
      </c>
      <c r="Q97" s="6">
        <f>O97*1.067</f>
        <v>144.81857499999998</v>
      </c>
      <c r="R97" s="6">
        <f>P97*1.514</f>
        <v>45.179273999999999</v>
      </c>
      <c r="S97" s="23">
        <f>P97*1.514+O97*1.067</f>
        <v>189.99784899999997</v>
      </c>
      <c r="T97" s="6">
        <v>30.3</v>
      </c>
      <c r="W97" s="6">
        <f>0.105</f>
        <v>0.105</v>
      </c>
      <c r="X97" s="6">
        <v>1.42</v>
      </c>
      <c r="AB97" s="5">
        <v>80</v>
      </c>
      <c r="AC97" s="7">
        <f>T97</f>
        <v>30.3</v>
      </c>
      <c r="AD97" s="1">
        <f>5*5.19</f>
        <v>25.950000000000003</v>
      </c>
      <c r="AE97" s="1">
        <v>25.3</v>
      </c>
      <c r="AF97" s="1">
        <v>2.2999999999999998</v>
      </c>
      <c r="AG97">
        <v>0.11</v>
      </c>
      <c r="AH97" s="119">
        <v>0.52129629629629626</v>
      </c>
      <c r="AJ97" s="1">
        <v>175</v>
      </c>
      <c r="AK97" s="3">
        <v>180</v>
      </c>
      <c r="AL97" s="4">
        <f>AE97</f>
        <v>25.3</v>
      </c>
      <c r="AM97" s="1">
        <v>20.399999999999999</v>
      </c>
      <c r="AN97" s="80">
        <f t="shared" si="35"/>
        <v>100</v>
      </c>
      <c r="AO97" s="182"/>
      <c r="AP97" s="13">
        <f t="shared" si="50"/>
        <v>3530.0000000000182</v>
      </c>
      <c r="AQ97" s="15" t="str">
        <f>IF(ISNUMBER([1]HRT_SRT!R151),[1]HRT_SRT!R151,"")</f>
        <v/>
      </c>
      <c r="AR97" s="156">
        <f t="shared" si="36"/>
        <v>0.99972368108230525</v>
      </c>
      <c r="AS97" s="155">
        <f t="shared" si="37"/>
        <v>0.91136801541425816</v>
      </c>
      <c r="AT97" s="155">
        <f t="shared" si="38"/>
        <v>4.6511627906976744E-3</v>
      </c>
      <c r="AU97" s="155">
        <f t="shared" si="39"/>
        <v>0.31543624161073841</v>
      </c>
      <c r="AV97" s="57">
        <f t="shared" si="40"/>
        <v>379.89069799999993</v>
      </c>
      <c r="AW97" s="57">
        <f t="shared" si="41"/>
        <v>23.650000000000002</v>
      </c>
      <c r="AX97" s="57">
        <f t="shared" si="42"/>
        <v>9.4000000000000057</v>
      </c>
      <c r="AY97" s="57">
        <f t="shared" si="44"/>
        <v>5</v>
      </c>
      <c r="AZ97" s="57">
        <f t="shared" si="45"/>
        <v>4.9000000000000021</v>
      </c>
      <c r="BA97" s="84">
        <f t="shared" si="52"/>
        <v>0.99972368108230525</v>
      </c>
      <c r="BB97" s="84">
        <f t="shared" si="46"/>
        <v>0.91136801541425816</v>
      </c>
      <c r="BC97" s="84">
        <f t="shared" si="53"/>
        <v>4.6511627906976744E-3</v>
      </c>
      <c r="BD97" s="84">
        <f t="shared" si="47"/>
        <v>0.31543624161073841</v>
      </c>
      <c r="BE97" s="6">
        <f t="shared" si="43"/>
        <v>8.1085714285714303</v>
      </c>
      <c r="BF97" s="6">
        <f t="shared" si="48"/>
        <v>2.2970457304734815</v>
      </c>
    </row>
    <row r="98" spans="1:58" ht="15.75">
      <c r="B98" s="134">
        <v>45358</v>
      </c>
      <c r="C98" s="133"/>
      <c r="D98" s="3">
        <v>93</v>
      </c>
      <c r="E98" s="205" t="str">
        <f t="shared" si="49"/>
        <v/>
      </c>
      <c r="I98" s="15">
        <f t="shared" si="51"/>
        <v>24.9</v>
      </c>
      <c r="K98" s="10" t="str">
        <f t="shared" si="24"/>
        <v/>
      </c>
      <c r="L98" s="9" t="str">
        <f t="shared" si="25"/>
        <v/>
      </c>
      <c r="M98" s="8" t="str">
        <f t="shared" si="26"/>
        <v/>
      </c>
      <c r="X98" s="6">
        <v>8.36</v>
      </c>
      <c r="AB98" s="5">
        <v>80</v>
      </c>
      <c r="AD98" s="168">
        <f>(AD97+AD99)/2</f>
        <v>24.9</v>
      </c>
      <c r="AG98">
        <v>2.3199999999999998</v>
      </c>
      <c r="AH98" s="183">
        <v>45358</v>
      </c>
      <c r="AJ98" s="1">
        <v>175</v>
      </c>
      <c r="AK98" s="3">
        <v>180</v>
      </c>
      <c r="AN98" s="80">
        <f t="shared" si="35"/>
        <v>100</v>
      </c>
      <c r="AO98" s="182"/>
      <c r="AP98" s="13">
        <f t="shared" si="50"/>
        <v>3530.0000000000182</v>
      </c>
      <c r="AQ98" s="15" t="str">
        <f>IF(ISNUMBER([1]HRT_SRT!R152),[1]HRT_SRT!R152,"")</f>
        <v/>
      </c>
      <c r="AR98" s="156" t="e">
        <f t="shared" si="36"/>
        <v>#VALUE!</v>
      </c>
      <c r="AS98" s="155">
        <f t="shared" si="37"/>
        <v>1</v>
      </c>
      <c r="AT98" s="155">
        <f t="shared" si="38"/>
        <v>9.3172690763052207E-2</v>
      </c>
      <c r="AU98" s="155" t="e">
        <f t="shared" si="39"/>
        <v>#DIV/0!</v>
      </c>
      <c r="AV98" s="57" t="str">
        <f t="shared" si="40"/>
        <v/>
      </c>
      <c r="AW98" s="57" t="str">
        <f t="shared" si="41"/>
        <v/>
      </c>
      <c r="AX98" s="57" t="str">
        <f t="shared" si="42"/>
        <v/>
      </c>
      <c r="AY98" s="57" t="str">
        <f t="shared" si="44"/>
        <v/>
      </c>
      <c r="AZ98" s="57" t="str">
        <f t="shared" si="45"/>
        <v/>
      </c>
      <c r="BA98" s="84" t="str">
        <f t="shared" si="52"/>
        <v/>
      </c>
      <c r="BB98" s="84">
        <f t="shared" si="46"/>
        <v>1</v>
      </c>
      <c r="BC98" s="84">
        <f t="shared" si="53"/>
        <v>9.3172690763052207E-2</v>
      </c>
      <c r="BD98" s="84" t="str">
        <f t="shared" si="47"/>
        <v/>
      </c>
      <c r="BE98" s="6">
        <f t="shared" si="43"/>
        <v>8.5371428571428574</v>
      </c>
      <c r="BF98" s="6" t="str">
        <f t="shared" si="48"/>
        <v/>
      </c>
    </row>
    <row r="99" spans="1:58" ht="15.75">
      <c r="A99" s="12" t="s">
        <v>160</v>
      </c>
      <c r="B99" s="134">
        <v>45359</v>
      </c>
      <c r="C99" s="133"/>
      <c r="D99" s="3">
        <v>94</v>
      </c>
      <c r="E99" s="205">
        <f t="shared" si="49"/>
        <v>381.79304200000001</v>
      </c>
      <c r="G99" s="15">
        <f>(N99*18-H99*18)/9</f>
        <v>24</v>
      </c>
      <c r="H99" s="9">
        <v>15.4</v>
      </c>
      <c r="I99" s="15">
        <f t="shared" si="51"/>
        <v>23.849999999999998</v>
      </c>
      <c r="K99" s="10">
        <f t="shared" si="24"/>
        <v>15.908043416666667</v>
      </c>
      <c r="L99" s="9">
        <f t="shared" si="25"/>
        <v>8.0040470020964367</v>
      </c>
      <c r="M99" s="8">
        <f t="shared" si="26"/>
        <v>1.9874999999999998</v>
      </c>
      <c r="N99" s="7">
        <v>27.4</v>
      </c>
      <c r="O99" s="6">
        <v>136.72900000000001</v>
      </c>
      <c r="P99" s="6">
        <v>29.727</v>
      </c>
      <c r="Q99" s="6">
        <f>O99*1.067</f>
        <v>145.88984300000001</v>
      </c>
      <c r="R99" s="6">
        <f>P99*1.514</f>
        <v>45.006678000000001</v>
      </c>
      <c r="S99" s="23">
        <f>P99*1.514+O99*1.067</f>
        <v>190.89652100000001</v>
      </c>
      <c r="T99" s="6">
        <v>32.4</v>
      </c>
      <c r="W99" s="6">
        <v>8.5000000000000006E-2</v>
      </c>
      <c r="X99" s="6">
        <v>0.28000000000000003</v>
      </c>
      <c r="AB99" s="5">
        <v>80</v>
      </c>
      <c r="AC99" s="7">
        <f>T99</f>
        <v>32.4</v>
      </c>
      <c r="AD99" s="1">
        <f>5*4.77</f>
        <v>23.849999999999998</v>
      </c>
      <c r="AE99" s="1">
        <v>32.5</v>
      </c>
      <c r="AF99" s="168">
        <v>1E-3</v>
      </c>
      <c r="AG99">
        <v>0.1</v>
      </c>
      <c r="AH99" s="119">
        <v>0.52222222222222225</v>
      </c>
      <c r="AJ99" s="1">
        <v>175</v>
      </c>
      <c r="AK99" s="3">
        <v>180</v>
      </c>
      <c r="AL99" s="4">
        <f>AE99</f>
        <v>32.5</v>
      </c>
      <c r="AM99" s="1">
        <v>29</v>
      </c>
      <c r="AN99" s="80">
        <f t="shared" si="35"/>
        <v>100</v>
      </c>
      <c r="AO99" s="182"/>
      <c r="AP99" s="13">
        <f t="shared" si="50"/>
        <v>4589.9999999999636</v>
      </c>
      <c r="AQ99" s="15" t="str">
        <f>IF(ISNUMBER([1]HRT_SRT!R153),[1]HRT_SRT!R153,"")</f>
        <v/>
      </c>
      <c r="AR99" s="156">
        <f t="shared" si="36"/>
        <v>0.99977736629364766</v>
      </c>
      <c r="AS99" s="155">
        <f t="shared" si="37"/>
        <v>0.99995807127882597</v>
      </c>
      <c r="AT99" s="155">
        <f t="shared" si="38"/>
        <v>4.1930479265378014E-3</v>
      </c>
      <c r="AU99" s="155">
        <f t="shared" si="39"/>
        <v>-0.20833333333333334</v>
      </c>
      <c r="AV99" s="57">
        <f t="shared" si="40"/>
        <v>381.70804200000003</v>
      </c>
      <c r="AW99" s="57">
        <f t="shared" si="41"/>
        <v>23.848999999999997</v>
      </c>
      <c r="AX99" s="57">
        <f t="shared" si="42"/>
        <v>-5</v>
      </c>
      <c r="AY99" s="57">
        <f t="shared" si="44"/>
        <v>-0.10000000000000142</v>
      </c>
      <c r="AZ99" s="57">
        <f t="shared" si="45"/>
        <v>3.5</v>
      </c>
      <c r="BA99" s="123">
        <f t="shared" si="52"/>
        <v>0.99977736629364766</v>
      </c>
      <c r="BB99" s="123">
        <f t="shared" si="46"/>
        <v>0.99995807127882597</v>
      </c>
      <c r="BC99" s="123">
        <f t="shared" si="53"/>
        <v>4.1930479265378014E-3</v>
      </c>
      <c r="BD99" s="123">
        <f t="shared" si="47"/>
        <v>0</v>
      </c>
      <c r="BE99" s="6">
        <f t="shared" si="43"/>
        <v>8.1768000000000001</v>
      </c>
      <c r="BF99" s="6">
        <f t="shared" si="48"/>
        <v>1.7814379084967462</v>
      </c>
    </row>
    <row r="100" spans="1:58" ht="15.75">
      <c r="B100" s="134">
        <v>45360</v>
      </c>
      <c r="C100" s="133"/>
      <c r="D100" s="3">
        <v>95</v>
      </c>
      <c r="E100" s="205" t="str">
        <f t="shared" si="49"/>
        <v/>
      </c>
      <c r="I100" s="15">
        <f t="shared" si="51"/>
        <v>24.5</v>
      </c>
      <c r="K100" s="10" t="str">
        <f t="shared" si="24"/>
        <v/>
      </c>
      <c r="L100" s="9" t="str">
        <f t="shared" si="25"/>
        <v/>
      </c>
      <c r="M100" s="8" t="str">
        <f t="shared" si="26"/>
        <v/>
      </c>
      <c r="X100" s="6">
        <v>0.28000000000000003</v>
      </c>
      <c r="AB100" s="5">
        <v>80</v>
      </c>
      <c r="AD100" s="168">
        <f>(AD99*2/3+AD102*1/3)</f>
        <v>24.5</v>
      </c>
      <c r="AG100" s="1">
        <v>0.11</v>
      </c>
      <c r="AH100" s="119">
        <v>0.40127314814814813</v>
      </c>
      <c r="AJ100" s="1">
        <v>175</v>
      </c>
      <c r="AK100" s="3">
        <v>180</v>
      </c>
      <c r="AN100" s="80">
        <f t="shared" si="35"/>
        <v>100</v>
      </c>
      <c r="AO100" s="182"/>
      <c r="AP100" s="13">
        <f t="shared" si="50"/>
        <v>4589.9999999999636</v>
      </c>
      <c r="AQ100" s="15" t="str">
        <f>IF(ISNUMBER([1]HRT_SRT!R154),[1]HRT_SRT!R154,"")</f>
        <v/>
      </c>
      <c r="AR100" s="156" t="e">
        <f t="shared" si="36"/>
        <v>#VALUE!</v>
      </c>
      <c r="AS100" s="155">
        <f t="shared" si="37"/>
        <v>1</v>
      </c>
      <c r="AT100" s="155">
        <f t="shared" si="38"/>
        <v>4.489795918367347E-3</v>
      </c>
      <c r="AU100" s="155" t="e">
        <f t="shared" si="39"/>
        <v>#DIV/0!</v>
      </c>
      <c r="AV100" s="57" t="str">
        <f t="shared" si="40"/>
        <v/>
      </c>
      <c r="AW100" s="57" t="str">
        <f t="shared" si="41"/>
        <v/>
      </c>
      <c r="AX100" s="57" t="str">
        <f t="shared" si="42"/>
        <v/>
      </c>
      <c r="AY100" s="57" t="str">
        <f t="shared" si="44"/>
        <v/>
      </c>
      <c r="AZ100" s="57" t="str">
        <f t="shared" si="45"/>
        <v/>
      </c>
      <c r="BA100" s="123" t="str">
        <f t="shared" si="52"/>
        <v/>
      </c>
      <c r="BB100" s="123">
        <f t="shared" si="46"/>
        <v>1</v>
      </c>
      <c r="BC100" s="123">
        <f t="shared" si="53"/>
        <v>4.489795918367347E-3</v>
      </c>
      <c r="BD100" s="123" t="str">
        <f t="shared" si="47"/>
        <v/>
      </c>
      <c r="BE100" s="6">
        <f t="shared" si="43"/>
        <v>8.4</v>
      </c>
      <c r="BF100" s="6" t="str">
        <f t="shared" si="48"/>
        <v/>
      </c>
    </row>
    <row r="101" spans="1:58" ht="15.75">
      <c r="A101" s="12" t="s">
        <v>159</v>
      </c>
      <c r="B101" s="134">
        <v>45361</v>
      </c>
      <c r="C101" s="133"/>
      <c r="D101" s="3">
        <v>96</v>
      </c>
      <c r="E101" s="205" t="str">
        <f t="shared" si="49"/>
        <v/>
      </c>
      <c r="I101" s="15">
        <f t="shared" si="51"/>
        <v>25.366666666666667</v>
      </c>
      <c r="K101" s="10" t="str">
        <f t="shared" ref="K101:K164" si="54">IF(OR(E101="",G101="",E101=0,G101=0),"",E101/G101)</f>
        <v/>
      </c>
      <c r="L101" s="9" t="str">
        <f t="shared" ref="L101:L164" si="55">IF(OR(E101="",I101="",E101=0,I101=0),"",E101/(I101*2))</f>
        <v/>
      </c>
      <c r="M101" s="8" t="str">
        <f t="shared" ref="M101:M164" si="56">IF(OR(I101="",G101="",I101=0,G101=0),"",I101*2/G101)</f>
        <v/>
      </c>
      <c r="X101" s="6">
        <v>0.28999999999999998</v>
      </c>
      <c r="AB101" s="5">
        <v>80</v>
      </c>
      <c r="AD101" s="168">
        <f>(AD100*1/3+AD102*2/3)</f>
        <v>25.366666666666667</v>
      </c>
      <c r="AG101" s="1">
        <v>0.12</v>
      </c>
      <c r="AH101" s="119">
        <v>0.39537037037037037</v>
      </c>
      <c r="AJ101" s="1">
        <v>175</v>
      </c>
      <c r="AK101" s="3">
        <v>180</v>
      </c>
      <c r="AN101" s="80">
        <f t="shared" si="35"/>
        <v>100</v>
      </c>
      <c r="AO101" s="182"/>
      <c r="AP101" s="13">
        <f t="shared" si="50"/>
        <v>4589.9999999999636</v>
      </c>
      <c r="AQ101" s="15" t="str">
        <f>IF(ISNUMBER([1]HRT_SRT!R155),[1]HRT_SRT!R155,"")</f>
        <v/>
      </c>
      <c r="AR101" s="156" t="e">
        <f t="shared" ref="AR101:AR132" si="57">(E101-W101)/E101</f>
        <v>#VALUE!</v>
      </c>
      <c r="AS101" s="155">
        <f t="shared" si="37"/>
        <v>1</v>
      </c>
      <c r="AT101" s="155">
        <f t="shared" si="38"/>
        <v>4.7306176084099868E-3</v>
      </c>
      <c r="AU101" s="155" t="e">
        <f t="shared" ref="AU101:AU132" si="58">(G101-AM101)/G101</f>
        <v>#DIV/0!</v>
      </c>
      <c r="AV101" s="57" t="str">
        <f t="shared" si="40"/>
        <v/>
      </c>
      <c r="AW101" s="57" t="str">
        <f t="shared" si="41"/>
        <v/>
      </c>
      <c r="AX101" s="57" t="str">
        <f t="shared" si="42"/>
        <v/>
      </c>
      <c r="AY101" s="57" t="str">
        <f t="shared" si="44"/>
        <v/>
      </c>
      <c r="AZ101" s="57" t="str">
        <f t="shared" si="45"/>
        <v/>
      </c>
      <c r="BA101" s="123" t="str">
        <f t="shared" si="52"/>
        <v/>
      </c>
      <c r="BB101" s="123">
        <f t="shared" si="46"/>
        <v>1</v>
      </c>
      <c r="BC101" s="123">
        <f t="shared" si="53"/>
        <v>4.7306176084099868E-3</v>
      </c>
      <c r="BD101" s="123" t="str">
        <f t="shared" si="47"/>
        <v/>
      </c>
      <c r="BE101" s="6">
        <f t="shared" si="43"/>
        <v>8.6971428571428575</v>
      </c>
      <c r="BF101" s="6" t="str">
        <f t="shared" si="48"/>
        <v/>
      </c>
    </row>
    <row r="102" spans="1:58" ht="15.75">
      <c r="A102" s="25" t="s">
        <v>158</v>
      </c>
      <c r="B102" s="134">
        <v>45362</v>
      </c>
      <c r="C102" s="133"/>
      <c r="D102" s="3">
        <v>97</v>
      </c>
      <c r="E102" s="205" t="str">
        <f t="shared" si="49"/>
        <v/>
      </c>
      <c r="G102" s="9" t="e">
        <f>#REF!</f>
        <v>#REF!</v>
      </c>
      <c r="I102" s="15">
        <f t="shared" si="51"/>
        <v>25.8</v>
      </c>
      <c r="K102" s="10" t="e">
        <f t="shared" si="54"/>
        <v>#REF!</v>
      </c>
      <c r="L102" s="9" t="str">
        <f t="shared" si="55"/>
        <v/>
      </c>
      <c r="M102" s="8" t="e">
        <f t="shared" si="56"/>
        <v>#REF!</v>
      </c>
      <c r="N102" s="7">
        <v>29.2</v>
      </c>
      <c r="T102" s="6">
        <v>33.1</v>
      </c>
      <c r="X102" s="6">
        <v>1.0900000000000001</v>
      </c>
      <c r="AB102" s="5">
        <v>80</v>
      </c>
      <c r="AC102" s="7">
        <f>T102</f>
        <v>33.1</v>
      </c>
      <c r="AD102" s="1">
        <f>5*5.16</f>
        <v>25.8</v>
      </c>
      <c r="AE102" s="1">
        <v>32.799999999999997</v>
      </c>
      <c r="AF102" s="168">
        <v>1E-3</v>
      </c>
      <c r="AG102" s="1">
        <v>0.14000000000000001</v>
      </c>
      <c r="AH102" s="119">
        <v>0.3991898148148148</v>
      </c>
      <c r="AJ102" s="1">
        <v>175</v>
      </c>
      <c r="AK102" s="3">
        <v>180</v>
      </c>
      <c r="AL102" s="4">
        <f>AE102</f>
        <v>32.799999999999997</v>
      </c>
      <c r="AM102" s="1">
        <v>30.5</v>
      </c>
      <c r="AN102" s="80">
        <f t="shared" si="35"/>
        <v>100</v>
      </c>
      <c r="AO102" s="182"/>
      <c r="AP102" s="13">
        <f t="shared" si="50"/>
        <v>4589.9999999999636</v>
      </c>
      <c r="AQ102" s="15" t="str">
        <f>IF(ISNUMBER([1]HRT_SRT!R156),[1]HRT_SRT!R156,"")</f>
        <v/>
      </c>
      <c r="AR102" s="156" t="e">
        <f t="shared" si="57"/>
        <v>#VALUE!</v>
      </c>
      <c r="AS102" s="155">
        <f t="shared" si="37"/>
        <v>0.99996124031007749</v>
      </c>
      <c r="AT102" s="155">
        <f t="shared" si="38"/>
        <v>5.4265669211984967E-3</v>
      </c>
      <c r="AU102" s="155" t="e">
        <f t="shared" si="58"/>
        <v>#REF!</v>
      </c>
      <c r="AV102" s="57" t="str">
        <f t="shared" si="40"/>
        <v/>
      </c>
      <c r="AW102" s="57">
        <f t="shared" si="41"/>
        <v>25.798999999999999</v>
      </c>
      <c r="AX102" s="57" t="str">
        <f t="shared" si="42"/>
        <v/>
      </c>
      <c r="AY102" s="57">
        <f t="shared" si="44"/>
        <v>0.30000000000000426</v>
      </c>
      <c r="AZ102" s="57">
        <f t="shared" si="45"/>
        <v>2.2999999999999972</v>
      </c>
      <c r="BA102" s="123" t="str">
        <f t="shared" si="52"/>
        <v/>
      </c>
      <c r="BB102" s="123">
        <f t="shared" ref="BB102:BB125" si="59">IF(AND($I102&gt;0,$AF102&gt;=0),IF(($I102-$AF102)/$I102&gt;0,($I102-$AF102)/$I102,0),"")</f>
        <v>0.99996124031007749</v>
      </c>
      <c r="BC102" s="123">
        <f t="shared" si="53"/>
        <v>5.4265669211984967E-3</v>
      </c>
      <c r="BD102" s="123" t="e">
        <f t="shared" si="47"/>
        <v>#REF!</v>
      </c>
      <c r="BE102" s="6">
        <f t="shared" si="43"/>
        <v>8.8453714285714291</v>
      </c>
      <c r="BF102" s="6">
        <f t="shared" si="48"/>
        <v>1.9270961718020696</v>
      </c>
    </row>
    <row r="103" spans="1:58" ht="15.75">
      <c r="A103" s="12" t="s">
        <v>157</v>
      </c>
      <c r="B103" s="134">
        <v>45363</v>
      </c>
      <c r="C103" s="133"/>
      <c r="D103" s="3">
        <v>98</v>
      </c>
      <c r="E103" s="205" t="str">
        <f t="shared" si="49"/>
        <v/>
      </c>
      <c r="G103" s="15">
        <f>(N103*18-H103*18)/9</f>
        <v>25.600000000000005</v>
      </c>
      <c r="H103" s="9">
        <v>11</v>
      </c>
      <c r="I103" s="15">
        <f t="shared" si="51"/>
        <v>26.85</v>
      </c>
      <c r="K103" s="10" t="str">
        <f t="shared" si="54"/>
        <v/>
      </c>
      <c r="L103" s="9" t="str">
        <f t="shared" si="55"/>
        <v/>
      </c>
      <c r="M103" s="8">
        <f t="shared" si="56"/>
        <v>2.0976562499999996</v>
      </c>
      <c r="N103" s="7">
        <v>23.8</v>
      </c>
      <c r="T103" s="6">
        <v>26.2</v>
      </c>
      <c r="X103" s="6">
        <v>1.37</v>
      </c>
      <c r="AB103" s="5">
        <v>80</v>
      </c>
      <c r="AC103" s="7">
        <f>T103</f>
        <v>26.2</v>
      </c>
      <c r="AD103" s="1">
        <f>5*5.37</f>
        <v>26.85</v>
      </c>
      <c r="AE103" s="1">
        <v>23.8</v>
      </c>
      <c r="AG103" s="1">
        <v>0.08</v>
      </c>
      <c r="AH103" s="119">
        <v>0.39884259259259258</v>
      </c>
      <c r="AJ103" s="1">
        <v>175</v>
      </c>
      <c r="AK103" s="3">
        <v>180</v>
      </c>
      <c r="AL103" s="4">
        <f>AE103</f>
        <v>23.8</v>
      </c>
      <c r="AM103" s="1">
        <v>19.399999999999999</v>
      </c>
      <c r="AN103" s="80">
        <f t="shared" si="35"/>
        <v>100</v>
      </c>
      <c r="AO103" s="182">
        <v>4589.9999999999636</v>
      </c>
      <c r="AP103" s="13">
        <f t="shared" si="50"/>
        <v>4589.9999999999636</v>
      </c>
      <c r="AQ103" s="15">
        <f>IF(ISNUMBER([1]HRT_SRT!R157),[1]HRT_SRT!R157,"")</f>
        <v>10.674418604651027</v>
      </c>
      <c r="AR103" s="156" t="e">
        <f t="shared" si="57"/>
        <v>#VALUE!</v>
      </c>
      <c r="AS103" s="155">
        <f t="shared" si="37"/>
        <v>1</v>
      </c>
      <c r="AT103" s="155">
        <f t="shared" si="38"/>
        <v>2.9795158286778397E-3</v>
      </c>
      <c r="AU103" s="155">
        <f t="shared" si="58"/>
        <v>0.24218750000000019</v>
      </c>
      <c r="AV103" s="57" t="str">
        <f t="shared" si="40"/>
        <v/>
      </c>
      <c r="AW103" s="57" t="str">
        <f t="shared" si="41"/>
        <v/>
      </c>
      <c r="AX103" s="57">
        <f t="shared" si="42"/>
        <v>6.2000000000000064</v>
      </c>
      <c r="AY103" s="57">
        <f t="shared" si="44"/>
        <v>2.3999999999999986</v>
      </c>
      <c r="AZ103" s="57">
        <f t="shared" si="45"/>
        <v>4.4000000000000021</v>
      </c>
      <c r="BA103" s="123" t="str">
        <f t="shared" si="52"/>
        <v/>
      </c>
      <c r="BB103" s="123">
        <f t="shared" si="59"/>
        <v>1</v>
      </c>
      <c r="BC103" s="123">
        <f t="shared" si="53"/>
        <v>2.9795158286778397E-3</v>
      </c>
      <c r="BD103" s="123">
        <f t="shared" si="47"/>
        <v>0.24218750000000019</v>
      </c>
      <c r="BE103" s="6">
        <f t="shared" si="43"/>
        <v>9.2057142857142864</v>
      </c>
      <c r="BF103" s="6" t="str">
        <f t="shared" si="48"/>
        <v/>
      </c>
    </row>
    <row r="104" spans="1:58" ht="15.75">
      <c r="B104" s="134">
        <v>45364</v>
      </c>
      <c r="C104" s="133"/>
      <c r="D104" s="3">
        <v>99</v>
      </c>
      <c r="E104" s="205" t="str">
        <f t="shared" si="49"/>
        <v/>
      </c>
      <c r="G104" s="124">
        <v>25.600000000000005</v>
      </c>
      <c r="I104" s="15">
        <f t="shared" si="51"/>
        <v>26.400000000000002</v>
      </c>
      <c r="K104" s="10" t="str">
        <f t="shared" si="54"/>
        <v/>
      </c>
      <c r="L104" s="9" t="str">
        <f t="shared" si="55"/>
        <v/>
      </c>
      <c r="M104" s="8">
        <f t="shared" si="56"/>
        <v>2.0624999999999996</v>
      </c>
      <c r="X104" s="6">
        <v>0.36</v>
      </c>
      <c r="AB104" s="5">
        <v>80</v>
      </c>
      <c r="AD104" s="168">
        <f>(AD103*2/3+AD106*1/3)</f>
        <v>26.400000000000002</v>
      </c>
      <c r="AG104" s="1">
        <v>8.76</v>
      </c>
      <c r="AH104" s="119">
        <v>0.57418981481481479</v>
      </c>
      <c r="AJ104" s="1">
        <v>175</v>
      </c>
      <c r="AK104" s="3">
        <v>180</v>
      </c>
      <c r="AM104" s="1">
        <v>19.3</v>
      </c>
      <c r="AN104" s="80">
        <f t="shared" si="35"/>
        <v>100</v>
      </c>
      <c r="AO104" s="165"/>
      <c r="AP104" s="13">
        <f t="shared" si="50"/>
        <v>4589.9999999999636</v>
      </c>
      <c r="AQ104" s="15" t="str">
        <f>IF(ISNUMBER([1]HRT_SRT!R158),[1]HRT_SRT!R158,"")</f>
        <v/>
      </c>
      <c r="AR104" s="156" t="e">
        <f t="shared" si="57"/>
        <v>#VALUE!</v>
      </c>
      <c r="AS104" s="155">
        <f t="shared" si="37"/>
        <v>1</v>
      </c>
      <c r="AT104" s="155">
        <f t="shared" si="38"/>
        <v>0.33181818181818179</v>
      </c>
      <c r="AU104" s="155">
        <f t="shared" si="58"/>
        <v>0.24609375000000011</v>
      </c>
      <c r="AV104" s="57" t="str">
        <f t="shared" si="40"/>
        <v/>
      </c>
      <c r="AW104" s="57" t="str">
        <f t="shared" si="41"/>
        <v/>
      </c>
      <c r="AX104" s="57">
        <f t="shared" si="42"/>
        <v>6.3000000000000043</v>
      </c>
      <c r="AY104" s="57" t="str">
        <f t="shared" si="44"/>
        <v/>
      </c>
      <c r="AZ104" s="57" t="str">
        <f t="shared" si="45"/>
        <v/>
      </c>
      <c r="BA104" s="123" t="str">
        <f t="shared" si="52"/>
        <v/>
      </c>
      <c r="BB104" s="123">
        <f t="shared" si="59"/>
        <v>1</v>
      </c>
      <c r="BC104" s="123">
        <f t="shared" si="53"/>
        <v>0.33181818181818179</v>
      </c>
      <c r="BD104" s="123">
        <f t="shared" si="47"/>
        <v>0.24609375000000011</v>
      </c>
      <c r="BE104" s="6">
        <f t="shared" si="43"/>
        <v>9.0514285714285734</v>
      </c>
      <c r="BF104" s="6" t="str">
        <f t="shared" si="48"/>
        <v/>
      </c>
    </row>
    <row r="105" spans="1:58" ht="15.75">
      <c r="B105" s="134">
        <v>45365</v>
      </c>
      <c r="C105" s="133"/>
      <c r="D105" s="3">
        <v>100</v>
      </c>
      <c r="E105" s="205">
        <f t="shared" si="49"/>
        <v>387.92850800000002</v>
      </c>
      <c r="F105" s="2"/>
      <c r="G105" s="2"/>
      <c r="H105" s="2"/>
      <c r="I105" s="15">
        <f t="shared" si="51"/>
        <v>25.8</v>
      </c>
      <c r="K105" s="10" t="str">
        <f t="shared" si="54"/>
        <v/>
      </c>
      <c r="L105" s="9">
        <f t="shared" si="55"/>
        <v>7.5179943410852719</v>
      </c>
      <c r="M105" s="8" t="str">
        <f t="shared" si="56"/>
        <v/>
      </c>
      <c r="O105" s="6">
        <v>137.34800000000001</v>
      </c>
      <c r="P105" s="6">
        <v>31.317</v>
      </c>
      <c r="Q105" s="6">
        <f>O105*1.067</f>
        <v>146.55031600000001</v>
      </c>
      <c r="R105" s="6">
        <f>P105*1.514</f>
        <v>47.413938000000002</v>
      </c>
      <c r="S105" s="23">
        <f>P105*1.514+O105*1.067</f>
        <v>193.96425400000001</v>
      </c>
      <c r="W105" s="6">
        <f>2.104+1.017</f>
        <v>3.121</v>
      </c>
      <c r="X105" s="6">
        <v>0.43</v>
      </c>
      <c r="AB105" s="5">
        <v>80</v>
      </c>
      <c r="AD105" s="168">
        <f>(AD104*1/3+AD106*2/3)</f>
        <v>25.8</v>
      </c>
      <c r="AG105" s="1">
        <v>3.45</v>
      </c>
      <c r="AH105" s="119">
        <v>0.57002314814814814</v>
      </c>
      <c r="AJ105" s="1">
        <v>175</v>
      </c>
      <c r="AK105" s="3">
        <v>180</v>
      </c>
      <c r="AN105" s="80">
        <f t="shared" si="35"/>
        <v>100</v>
      </c>
      <c r="AO105" s="165"/>
      <c r="AP105" s="13">
        <f t="shared" si="50"/>
        <v>4589.9999999999636</v>
      </c>
      <c r="AQ105" s="15" t="str">
        <f>IF(ISNUMBER([1]HRT_SRT!R159),[1]HRT_SRT!R159,"")</f>
        <v/>
      </c>
      <c r="AR105" s="156">
        <f t="shared" si="57"/>
        <v>0.99195470315886147</v>
      </c>
      <c r="AS105" s="155">
        <f t="shared" si="37"/>
        <v>1</v>
      </c>
      <c r="AT105" s="155">
        <f t="shared" si="38"/>
        <v>0.13372093023255816</v>
      </c>
      <c r="AU105" s="155" t="e">
        <f t="shared" si="58"/>
        <v>#DIV/0!</v>
      </c>
      <c r="AV105" s="57">
        <f t="shared" si="40"/>
        <v>384.80750800000004</v>
      </c>
      <c r="AW105" s="57" t="str">
        <f t="shared" si="41"/>
        <v/>
      </c>
      <c r="AX105" s="57" t="str">
        <f t="shared" si="42"/>
        <v/>
      </c>
      <c r="AY105" s="57" t="str">
        <f t="shared" si="44"/>
        <v/>
      </c>
      <c r="AZ105" s="57" t="str">
        <f t="shared" si="45"/>
        <v/>
      </c>
      <c r="BA105" s="123">
        <f t="shared" si="52"/>
        <v>0.99195470315886147</v>
      </c>
      <c r="BB105" s="123">
        <f t="shared" si="59"/>
        <v>1</v>
      </c>
      <c r="BC105" s="123">
        <f t="shared" si="53"/>
        <v>0.13372093023255816</v>
      </c>
      <c r="BD105" s="123" t="str">
        <f t="shared" si="47"/>
        <v/>
      </c>
      <c r="BE105" s="6">
        <f t="shared" si="43"/>
        <v>8.845714285714287</v>
      </c>
      <c r="BF105" s="6" t="str">
        <f t="shared" si="48"/>
        <v/>
      </c>
    </row>
    <row r="106" spans="1:58" ht="15.75">
      <c r="A106" s="12" t="s">
        <v>156</v>
      </c>
      <c r="B106" s="134">
        <v>45366</v>
      </c>
      <c r="C106" s="133"/>
      <c r="D106" s="3">
        <v>101</v>
      </c>
      <c r="E106" s="205">
        <f t="shared" si="49"/>
        <v>329.15263800000002</v>
      </c>
      <c r="F106" s="1"/>
      <c r="G106" s="15">
        <f>(N106*18-H106*18)/9</f>
        <v>25.64</v>
      </c>
      <c r="H106" s="1">
        <v>8.7799999999999994</v>
      </c>
      <c r="I106" s="15">
        <f t="shared" si="51"/>
        <v>25.5</v>
      </c>
      <c r="K106" s="10">
        <f t="shared" si="54"/>
        <v>12.837466380655227</v>
      </c>
      <c r="L106" s="9">
        <f t="shared" si="55"/>
        <v>6.453973294117648</v>
      </c>
      <c r="M106" s="8">
        <f t="shared" si="56"/>
        <v>1.9890795631825273</v>
      </c>
      <c r="N106" s="7">
        <v>21.6</v>
      </c>
      <c r="O106" s="6">
        <v>115.965</v>
      </c>
      <c r="P106" s="6">
        <v>26.975999999999999</v>
      </c>
      <c r="Q106" s="6">
        <f>O106*1.067</f>
        <v>123.734655</v>
      </c>
      <c r="R106" s="6">
        <f>P106*1.514</f>
        <v>40.841664000000002</v>
      </c>
      <c r="S106" s="23">
        <f>P106*1.514+O106*1.067</f>
        <v>164.57631900000001</v>
      </c>
      <c r="T106" s="6">
        <v>28.2</v>
      </c>
      <c r="W106" s="6">
        <f>1.998+0.841</f>
        <v>2.839</v>
      </c>
      <c r="X106" s="6">
        <v>4.21</v>
      </c>
      <c r="AB106" s="5">
        <v>80</v>
      </c>
      <c r="AC106" s="7">
        <f>T106</f>
        <v>28.2</v>
      </c>
      <c r="AD106" s="1">
        <f>5*5.1</f>
        <v>25.5</v>
      </c>
      <c r="AE106" s="1">
        <v>20.7</v>
      </c>
      <c r="AF106" s="1">
        <v>2.0099999999999998</v>
      </c>
      <c r="AG106" s="1">
        <v>1.94</v>
      </c>
      <c r="AH106" s="119">
        <v>0.42986111111111114</v>
      </c>
      <c r="AJ106" s="1">
        <v>175</v>
      </c>
      <c r="AK106" s="3">
        <v>180</v>
      </c>
      <c r="AL106" s="4">
        <f>AE106</f>
        <v>20.7</v>
      </c>
      <c r="AM106" s="1">
        <v>15.8</v>
      </c>
      <c r="AN106" s="80">
        <f t="shared" si="35"/>
        <v>100</v>
      </c>
      <c r="AO106" s="165"/>
      <c r="AP106" s="13">
        <f t="shared" si="50"/>
        <v>4330.0000000000182</v>
      </c>
      <c r="AQ106" s="15" t="str">
        <f>IF(ISNUMBER([1]HRT_SRT!R160),[1]HRT_SRT!R160,"")</f>
        <v/>
      </c>
      <c r="AR106" s="156">
        <f t="shared" si="57"/>
        <v>0.99137482227926121</v>
      </c>
      <c r="AS106" s="155">
        <f t="shared" si="37"/>
        <v>0.92117647058823537</v>
      </c>
      <c r="AT106" s="155">
        <f t="shared" si="38"/>
        <v>8.2588335461898671E-2</v>
      </c>
      <c r="AU106" s="155">
        <f t="shared" si="58"/>
        <v>0.38377535101404053</v>
      </c>
      <c r="AV106" s="57">
        <f t="shared" si="40"/>
        <v>326.31363800000003</v>
      </c>
      <c r="AW106" s="57">
        <f t="shared" si="41"/>
        <v>23.490000000000002</v>
      </c>
      <c r="AX106" s="57">
        <f t="shared" si="42"/>
        <v>9.84</v>
      </c>
      <c r="AY106" s="57">
        <f t="shared" si="44"/>
        <v>7.5</v>
      </c>
      <c r="AZ106" s="57">
        <f t="shared" si="45"/>
        <v>4.8999999999999986</v>
      </c>
      <c r="BA106" s="123">
        <f t="shared" si="52"/>
        <v>0.99137482227926121</v>
      </c>
      <c r="BB106" s="123">
        <f t="shared" si="59"/>
        <v>0.92117647058823537</v>
      </c>
      <c r="BC106" s="123">
        <f t="shared" si="53"/>
        <v>8.2588335461898671E-2</v>
      </c>
      <c r="BD106" s="123">
        <f t="shared" si="47"/>
        <v>0.38377535101404053</v>
      </c>
      <c r="BE106" s="6">
        <f t="shared" si="43"/>
        <v>8.0537142857142872</v>
      </c>
      <c r="BF106" s="6">
        <f t="shared" si="48"/>
        <v>1.8599802045529454</v>
      </c>
    </row>
    <row r="107" spans="1:58" ht="15.75">
      <c r="B107" s="134">
        <v>45367</v>
      </c>
      <c r="C107" s="133"/>
      <c r="D107" s="3">
        <v>102</v>
      </c>
      <c r="E107" s="205" t="str">
        <f t="shared" si="49"/>
        <v/>
      </c>
      <c r="F107" s="2"/>
      <c r="G107" s="2"/>
      <c r="H107" s="2"/>
      <c r="I107" s="15">
        <f t="shared" si="51"/>
        <v>24.766666666666666</v>
      </c>
      <c r="K107" s="10" t="str">
        <f t="shared" si="54"/>
        <v/>
      </c>
      <c r="L107" s="9" t="str">
        <f t="shared" si="55"/>
        <v/>
      </c>
      <c r="M107" s="8" t="str">
        <f t="shared" si="56"/>
        <v/>
      </c>
      <c r="X107" s="6">
        <v>1.3</v>
      </c>
      <c r="AB107" s="5">
        <v>80</v>
      </c>
      <c r="AD107" s="168">
        <f>(AD106*2/3+AD109*1/3)</f>
        <v>24.766666666666666</v>
      </c>
      <c r="AG107" s="1">
        <v>0.12</v>
      </c>
      <c r="AH107" s="119">
        <v>0.97939814814814818</v>
      </c>
      <c r="AJ107" s="1">
        <v>175</v>
      </c>
      <c r="AK107" s="3">
        <v>180</v>
      </c>
      <c r="AN107" s="80">
        <f t="shared" si="35"/>
        <v>100</v>
      </c>
      <c r="AP107" s="13">
        <f t="shared" si="50"/>
        <v>4550.0000000000227</v>
      </c>
      <c r="AQ107" s="15" t="str">
        <f>IF(ISNUMBER([1]HRT_SRT!R161),[1]HRT_SRT!R161,"")</f>
        <v/>
      </c>
      <c r="AR107" s="156" t="e">
        <f t="shared" si="57"/>
        <v>#VALUE!</v>
      </c>
      <c r="AS107" s="155">
        <f t="shared" si="37"/>
        <v>1</v>
      </c>
      <c r="AT107" s="155">
        <f t="shared" si="38"/>
        <v>4.845222072678331E-3</v>
      </c>
      <c r="AU107" s="155" t="e">
        <f t="shared" si="58"/>
        <v>#DIV/0!</v>
      </c>
      <c r="AV107" s="57" t="str">
        <f t="shared" si="40"/>
        <v/>
      </c>
      <c r="AW107" s="57" t="str">
        <f t="shared" si="41"/>
        <v/>
      </c>
      <c r="AX107" s="57" t="str">
        <f t="shared" si="42"/>
        <v/>
      </c>
      <c r="AY107" s="57" t="str">
        <f t="shared" si="44"/>
        <v/>
      </c>
      <c r="AZ107" s="57" t="str">
        <f t="shared" si="45"/>
        <v/>
      </c>
      <c r="BA107" s="123" t="str">
        <f t="shared" si="52"/>
        <v/>
      </c>
      <c r="BB107" s="123">
        <f t="shared" si="59"/>
        <v>1</v>
      </c>
      <c r="BC107" s="123">
        <f t="shared" si="53"/>
        <v>4.845222072678331E-3</v>
      </c>
      <c r="BD107" s="123" t="str">
        <f t="shared" si="47"/>
        <v/>
      </c>
      <c r="BE107" s="6">
        <f t="shared" si="43"/>
        <v>8.4914285714285711</v>
      </c>
      <c r="BF107" s="6" t="str">
        <f t="shared" si="48"/>
        <v/>
      </c>
    </row>
    <row r="108" spans="1:58" ht="15.75">
      <c r="B108" s="134">
        <v>45368</v>
      </c>
      <c r="C108" s="133"/>
      <c r="D108" s="3">
        <v>103</v>
      </c>
      <c r="E108" s="205" t="str">
        <f t="shared" si="49"/>
        <v/>
      </c>
      <c r="I108" s="15">
        <f t="shared" si="51"/>
        <v>23.788888888888888</v>
      </c>
      <c r="K108" s="10" t="str">
        <f t="shared" si="54"/>
        <v/>
      </c>
      <c r="L108" s="9" t="str">
        <f t="shared" si="55"/>
        <v/>
      </c>
      <c r="M108" s="8" t="str">
        <f t="shared" si="56"/>
        <v/>
      </c>
      <c r="X108" s="6">
        <v>0.41</v>
      </c>
      <c r="AB108" s="5">
        <v>80</v>
      </c>
      <c r="AD108" s="168">
        <f>(AD107*1/3+AD109*2/3)</f>
        <v>23.788888888888888</v>
      </c>
      <c r="AG108">
        <v>0.12</v>
      </c>
      <c r="AH108" s="119">
        <v>0.97939814814814818</v>
      </c>
      <c r="AJ108" s="1">
        <v>175</v>
      </c>
      <c r="AK108" s="3">
        <v>180</v>
      </c>
      <c r="AM108" s="1">
        <v>20.2</v>
      </c>
      <c r="AN108" s="80">
        <f t="shared" si="35"/>
        <v>100</v>
      </c>
      <c r="AP108" s="13">
        <f t="shared" si="50"/>
        <v>4550.0000000000227</v>
      </c>
      <c r="AQ108" s="15" t="str">
        <f>IF(ISNUMBER([1]HRT_SRT!R162),[1]HRT_SRT!R162,"")</f>
        <v/>
      </c>
      <c r="AR108" s="156" t="e">
        <f t="shared" si="57"/>
        <v>#VALUE!</v>
      </c>
      <c r="AS108" s="155">
        <f t="shared" si="37"/>
        <v>1</v>
      </c>
      <c r="AT108" s="155">
        <f t="shared" si="38"/>
        <v>5.0443717888836994E-3</v>
      </c>
      <c r="AU108" s="155" t="e">
        <f t="shared" si="58"/>
        <v>#DIV/0!</v>
      </c>
      <c r="AV108" s="57" t="str">
        <f t="shared" si="40"/>
        <v/>
      </c>
      <c r="AW108" s="57" t="str">
        <f t="shared" si="41"/>
        <v/>
      </c>
      <c r="AX108" s="57" t="str">
        <f t="shared" si="42"/>
        <v/>
      </c>
      <c r="AY108" s="57" t="str">
        <f t="shared" si="44"/>
        <v/>
      </c>
      <c r="AZ108" s="57" t="str">
        <f t="shared" si="45"/>
        <v/>
      </c>
      <c r="BA108" s="123" t="str">
        <f t="shared" si="52"/>
        <v/>
      </c>
      <c r="BB108" s="123">
        <f t="shared" si="59"/>
        <v>1</v>
      </c>
      <c r="BC108" s="123">
        <f t="shared" si="53"/>
        <v>5.0443717888836994E-3</v>
      </c>
      <c r="BD108" s="123" t="str">
        <f t="shared" si="47"/>
        <v/>
      </c>
      <c r="BE108" s="6">
        <f t="shared" si="43"/>
        <v>8.156190476190476</v>
      </c>
      <c r="BF108" s="6" t="str">
        <f t="shared" si="48"/>
        <v/>
      </c>
    </row>
    <row r="109" spans="1:58" ht="15.75">
      <c r="B109" s="134">
        <v>45369</v>
      </c>
      <c r="C109" s="133"/>
      <c r="D109" s="3">
        <v>104</v>
      </c>
      <c r="E109" s="205">
        <f t="shared" si="49"/>
        <v>337.00817199999995</v>
      </c>
      <c r="G109" s="15">
        <f>(N109*18-H109*18)/9</f>
        <v>23.400000000000002</v>
      </c>
      <c r="H109" s="15">
        <v>14.7</v>
      </c>
      <c r="I109" s="15">
        <f t="shared" si="51"/>
        <v>23.3</v>
      </c>
      <c r="K109" s="10">
        <f t="shared" si="54"/>
        <v>14.402058632478628</v>
      </c>
      <c r="L109" s="9">
        <f t="shared" si="55"/>
        <v>7.2319350214592264</v>
      </c>
      <c r="M109" s="8">
        <f t="shared" si="56"/>
        <v>1.9914529914529913</v>
      </c>
      <c r="N109" s="7">
        <v>26.4</v>
      </c>
      <c r="O109" s="6">
        <v>120.086</v>
      </c>
      <c r="P109" s="6">
        <v>26.666</v>
      </c>
      <c r="Q109" s="6">
        <f>O109*1.067</f>
        <v>128.13176199999998</v>
      </c>
      <c r="R109" s="6">
        <f>P109*1.514</f>
        <v>40.372323999999999</v>
      </c>
      <c r="S109" s="23">
        <f>P109*1.514+O109*1.067</f>
        <v>168.50408599999997</v>
      </c>
      <c r="T109" s="6">
        <v>34.1</v>
      </c>
      <c r="W109" s="6">
        <f>0.682+1.027</f>
        <v>1.7090000000000001</v>
      </c>
      <c r="X109" s="6">
        <v>4.13</v>
      </c>
      <c r="AB109" s="5">
        <v>80</v>
      </c>
      <c r="AC109" s="7">
        <f>T109</f>
        <v>34.1</v>
      </c>
      <c r="AD109" s="1">
        <f>5*4.66</f>
        <v>23.3</v>
      </c>
      <c r="AE109" s="1">
        <v>34.1</v>
      </c>
      <c r="AF109" s="1">
        <v>0</v>
      </c>
      <c r="AG109">
        <v>0.1</v>
      </c>
      <c r="AH109" s="119">
        <v>0.97939814814814818</v>
      </c>
      <c r="AJ109" s="1">
        <v>175</v>
      </c>
      <c r="AK109" s="3">
        <v>180</v>
      </c>
      <c r="AL109" s="4">
        <f>AE109</f>
        <v>34.1</v>
      </c>
      <c r="AM109" s="1">
        <v>28.5</v>
      </c>
      <c r="AN109" s="80">
        <f t="shared" si="35"/>
        <v>100</v>
      </c>
      <c r="AP109" s="13">
        <f t="shared" si="50"/>
        <v>4550.0000000000227</v>
      </c>
      <c r="AQ109" s="15" t="str">
        <f>IF(ISNUMBER([1]HRT_SRT!R163),[1]HRT_SRT!R163,"")</f>
        <v/>
      </c>
      <c r="AR109" s="156">
        <f t="shared" si="57"/>
        <v>0.99492890635304831</v>
      </c>
      <c r="AS109" s="155">
        <f t="shared" si="37"/>
        <v>1</v>
      </c>
      <c r="AT109" s="155">
        <f t="shared" si="38"/>
        <v>4.2918454935622317E-3</v>
      </c>
      <c r="AU109" s="155">
        <f t="shared" si="58"/>
        <v>-0.21794871794871784</v>
      </c>
      <c r="AV109" s="57">
        <f t="shared" si="40"/>
        <v>335.29917199999994</v>
      </c>
      <c r="AW109" s="57">
        <f t="shared" si="41"/>
        <v>23.3</v>
      </c>
      <c r="AX109" s="57">
        <f t="shared" si="42"/>
        <v>-5.0999999999999979</v>
      </c>
      <c r="AY109" s="57">
        <f t="shared" si="44"/>
        <v>0</v>
      </c>
      <c r="AZ109" s="57">
        <f t="shared" si="45"/>
        <v>5.6000000000000014</v>
      </c>
      <c r="BA109" s="123">
        <f t="shared" si="52"/>
        <v>0.99492890635304831</v>
      </c>
      <c r="BB109" s="123">
        <f t="shared" si="59"/>
        <v>1</v>
      </c>
      <c r="BC109" s="123">
        <f t="shared" si="53"/>
        <v>4.2918454935622317E-3</v>
      </c>
      <c r="BD109" s="123">
        <f t="shared" si="47"/>
        <v>0</v>
      </c>
      <c r="BE109" s="6">
        <f t="shared" si="43"/>
        <v>7.9885714285714293</v>
      </c>
      <c r="BF109" s="6">
        <f t="shared" si="48"/>
        <v>1.7557299843014043</v>
      </c>
    </row>
    <row r="110" spans="1:58" ht="15.75">
      <c r="B110" s="134">
        <v>45370</v>
      </c>
      <c r="C110" s="133"/>
      <c r="D110" s="3">
        <v>105</v>
      </c>
      <c r="E110" s="205">
        <f t="shared" si="49"/>
        <v>347.26455599999997</v>
      </c>
      <c r="G110" s="15">
        <f>(N110*18-H110*18)/9</f>
        <v>26.999999999999993</v>
      </c>
      <c r="H110" s="15">
        <v>17.399999999999999</v>
      </c>
      <c r="I110" s="15">
        <f t="shared" si="51"/>
        <v>23.2</v>
      </c>
      <c r="K110" s="10">
        <f t="shared" si="54"/>
        <v>12.861650222222224</v>
      </c>
      <c r="L110" s="9">
        <f t="shared" si="55"/>
        <v>7.4841499137931029</v>
      </c>
      <c r="M110" s="8">
        <f t="shared" si="56"/>
        <v>1.718518518518519</v>
      </c>
      <c r="N110" s="7">
        <v>30.9</v>
      </c>
      <c r="O110" s="6">
        <v>123.11</v>
      </c>
      <c r="P110" s="6">
        <v>27.922000000000001</v>
      </c>
      <c r="Q110" s="6">
        <f>O110*1.067</f>
        <v>131.35836999999998</v>
      </c>
      <c r="R110" s="6">
        <f>P110*1.514</f>
        <v>42.273907999999999</v>
      </c>
      <c r="S110" s="23">
        <f>P110*1.514+O110*1.067</f>
        <v>173.63227799999999</v>
      </c>
      <c r="T110" s="6">
        <v>37</v>
      </c>
      <c r="W110" s="6">
        <f>0.654+0.941</f>
        <v>1.595</v>
      </c>
      <c r="X110" s="6">
        <v>0.52</v>
      </c>
      <c r="AB110" s="5">
        <v>80</v>
      </c>
      <c r="AC110" s="7">
        <f>T110</f>
        <v>37</v>
      </c>
      <c r="AD110" s="1">
        <f>5*4.64</f>
        <v>23.2</v>
      </c>
      <c r="AE110" s="1">
        <v>37.9</v>
      </c>
      <c r="AF110" s="1">
        <v>0</v>
      </c>
      <c r="AG110">
        <v>0.09</v>
      </c>
      <c r="AH110" s="119">
        <v>0.97939814814814818</v>
      </c>
      <c r="AJ110" s="1">
        <v>175</v>
      </c>
      <c r="AK110" s="3">
        <v>180</v>
      </c>
      <c r="AL110" s="4">
        <f>AE110</f>
        <v>37.9</v>
      </c>
      <c r="AM110" s="1">
        <v>34.6</v>
      </c>
      <c r="AN110" s="80">
        <f t="shared" si="35"/>
        <v>100</v>
      </c>
      <c r="AO110" s="165">
        <f>[1]HRT_SRT!P164</f>
        <v>4330.0000000000182</v>
      </c>
      <c r="AP110" s="13">
        <f t="shared" si="50"/>
        <v>4550.0000000000227</v>
      </c>
      <c r="AQ110" s="15">
        <f>IF(ISNUMBER([1]HRT_SRT!R164),[1]HRT_SRT!R164,"")</f>
        <v>14.655885671304931</v>
      </c>
      <c r="AR110" s="156">
        <f t="shared" si="57"/>
        <v>0.99540695998931716</v>
      </c>
      <c r="AS110" s="155">
        <f t="shared" si="37"/>
        <v>1</v>
      </c>
      <c r="AT110" s="155">
        <f t="shared" si="38"/>
        <v>3.8793103448275862E-3</v>
      </c>
      <c r="AU110" s="155">
        <f t="shared" si="58"/>
        <v>-0.28148148148148189</v>
      </c>
      <c r="AV110" s="57">
        <f t="shared" si="40"/>
        <v>345.66955599999994</v>
      </c>
      <c r="AW110" s="57">
        <f t="shared" si="41"/>
        <v>23.2</v>
      </c>
      <c r="AX110" s="57">
        <f t="shared" si="42"/>
        <v>-7.6000000000000085</v>
      </c>
      <c r="AY110" s="57">
        <f t="shared" si="44"/>
        <v>-0.89999999999999858</v>
      </c>
      <c r="AZ110" s="57">
        <f t="shared" si="45"/>
        <v>3.2999999999999972</v>
      </c>
      <c r="BA110" s="123">
        <f t="shared" si="52"/>
        <v>0.99540695998931716</v>
      </c>
      <c r="BB110" s="123">
        <f t="shared" si="59"/>
        <v>1</v>
      </c>
      <c r="BC110" s="123">
        <f t="shared" si="53"/>
        <v>3.8793103448275862E-3</v>
      </c>
      <c r="BD110" s="123">
        <f t="shared" si="47"/>
        <v>0</v>
      </c>
      <c r="BE110" s="6">
        <f t="shared" si="43"/>
        <v>7.9542857142857146</v>
      </c>
      <c r="BF110" s="6">
        <f t="shared" si="48"/>
        <v>1.7481946624803681</v>
      </c>
    </row>
    <row r="111" spans="1:58" ht="15.75">
      <c r="A111" s="12" t="s">
        <v>155</v>
      </c>
      <c r="B111" s="134">
        <v>45371</v>
      </c>
      <c r="C111" s="133"/>
      <c r="D111" s="3">
        <v>106</v>
      </c>
      <c r="E111" s="205">
        <f t="shared" si="49"/>
        <v>348.51129399999996</v>
      </c>
      <c r="G111" s="15">
        <f>(N111*18-H111*18)/9</f>
        <v>24.200000000000006</v>
      </c>
      <c r="H111" s="15">
        <v>17.5</v>
      </c>
      <c r="I111" s="15">
        <f t="shared" si="51"/>
        <v>20.7</v>
      </c>
      <c r="K111" s="10">
        <f t="shared" si="54"/>
        <v>14.401293140495863</v>
      </c>
      <c r="L111" s="9">
        <f t="shared" si="55"/>
        <v>8.4181471980676328</v>
      </c>
      <c r="M111" s="8">
        <f t="shared" si="56"/>
        <v>1.710743801652892</v>
      </c>
      <c r="N111" s="7">
        <v>29.6</v>
      </c>
      <c r="O111" s="6">
        <v>125.64100000000001</v>
      </c>
      <c r="P111" s="6">
        <v>26.55</v>
      </c>
      <c r="Q111" s="6">
        <f>O111*1.067</f>
        <v>134.05894699999999</v>
      </c>
      <c r="R111" s="6">
        <f>P111*1.514</f>
        <v>40.1967</v>
      </c>
      <c r="S111" s="23">
        <f>P111*1.514+O111*1.067</f>
        <v>174.25564699999998</v>
      </c>
      <c r="T111" s="6">
        <v>55.5</v>
      </c>
      <c r="W111" s="6">
        <v>3.2189999999999999</v>
      </c>
      <c r="X111" s="6">
        <v>0.56999999999999995</v>
      </c>
      <c r="AB111" s="5">
        <v>80</v>
      </c>
      <c r="AC111" s="7">
        <f>T111</f>
        <v>55.5</v>
      </c>
      <c r="AD111" s="1">
        <f>20.7</f>
        <v>20.7</v>
      </c>
      <c r="AE111" s="1">
        <v>31.7</v>
      </c>
      <c r="AF111" s="1">
        <v>0</v>
      </c>
      <c r="AG111">
        <v>0.09</v>
      </c>
      <c r="AH111" s="119">
        <v>0.97939814814814818</v>
      </c>
      <c r="AJ111" s="1">
        <v>175</v>
      </c>
      <c r="AK111" s="3">
        <v>180</v>
      </c>
      <c r="AL111" s="4">
        <f>AE111</f>
        <v>31.7</v>
      </c>
      <c r="AM111" s="1">
        <v>25.2</v>
      </c>
      <c r="AN111" s="80">
        <f t="shared" si="35"/>
        <v>100</v>
      </c>
      <c r="AO111" s="165">
        <f>[1]HRT_SRT!P165</f>
        <v>4770.0000000000273</v>
      </c>
      <c r="AP111" s="13">
        <f t="shared" si="50"/>
        <v>4550.0000000000227</v>
      </c>
      <c r="AQ111" s="15">
        <f>IF(ISNUMBER([1]HRT_SRT!R165),[1]HRT_SRT!R165,"")</f>
        <v>15.142857142857082</v>
      </c>
      <c r="AR111" s="156">
        <f t="shared" si="57"/>
        <v>0.99076357049134833</v>
      </c>
      <c r="AS111" s="155">
        <f t="shared" si="37"/>
        <v>1</v>
      </c>
      <c r="AT111" s="155">
        <f t="shared" si="38"/>
        <v>4.3478260869565218E-3</v>
      </c>
      <c r="AU111" s="155">
        <f t="shared" si="58"/>
        <v>-4.1322314049586473E-2</v>
      </c>
      <c r="AV111" s="57">
        <f t="shared" si="40"/>
        <v>345.29229399999997</v>
      </c>
      <c r="AW111" s="57">
        <f t="shared" si="41"/>
        <v>20.7</v>
      </c>
      <c r="AX111" s="57">
        <f t="shared" si="42"/>
        <v>-0.99999999999999289</v>
      </c>
      <c r="AY111" s="57">
        <f t="shared" si="44"/>
        <v>23.8</v>
      </c>
      <c r="AZ111" s="57">
        <f t="shared" si="45"/>
        <v>6.5</v>
      </c>
      <c r="BA111" s="123">
        <f t="shared" si="52"/>
        <v>0.99076357049134833</v>
      </c>
      <c r="BB111" s="123">
        <f t="shared" si="59"/>
        <v>1</v>
      </c>
      <c r="BC111" s="123">
        <f t="shared" si="53"/>
        <v>4.3478260869565218E-3</v>
      </c>
      <c r="BD111" s="123">
        <f t="shared" si="47"/>
        <v>0</v>
      </c>
      <c r="BE111" s="6">
        <f t="shared" si="43"/>
        <v>7.097142857142857</v>
      </c>
      <c r="BF111" s="6">
        <f t="shared" si="48"/>
        <v>1.5598116169544662</v>
      </c>
    </row>
    <row r="112" spans="1:58" ht="15.75">
      <c r="B112" s="134">
        <v>45372</v>
      </c>
      <c r="C112" s="133"/>
      <c r="D112" s="3">
        <v>107</v>
      </c>
      <c r="E112" s="205" t="str">
        <f t="shared" si="49"/>
        <v/>
      </c>
      <c r="I112" s="15">
        <f t="shared" si="51"/>
        <v>22.825000000000003</v>
      </c>
      <c r="K112" s="10" t="str">
        <f t="shared" si="54"/>
        <v/>
      </c>
      <c r="L112" s="9" t="str">
        <f t="shared" si="55"/>
        <v/>
      </c>
      <c r="M112" s="8" t="str">
        <f t="shared" si="56"/>
        <v/>
      </c>
      <c r="X112" s="6">
        <v>0.28000000000000003</v>
      </c>
      <c r="AB112" s="5">
        <v>80</v>
      </c>
      <c r="AD112" s="168">
        <f>(AD111+AD113)/2</f>
        <v>22.825000000000003</v>
      </c>
      <c r="AG112">
        <v>0.09</v>
      </c>
      <c r="AH112" s="119">
        <v>0.97939814814814818</v>
      </c>
      <c r="AJ112" s="1">
        <v>175</v>
      </c>
      <c r="AK112" s="3">
        <v>180</v>
      </c>
      <c r="AN112" s="80">
        <f t="shared" si="35"/>
        <v>100</v>
      </c>
      <c r="AO112" s="165"/>
      <c r="AP112" s="13">
        <f t="shared" si="50"/>
        <v>4550.0000000000227</v>
      </c>
      <c r="AQ112" s="15" t="str">
        <f>IF(ISNUMBER([1]HRT_SRT!R166),[1]HRT_SRT!R166,"")</f>
        <v/>
      </c>
      <c r="AR112" s="156" t="e">
        <f t="shared" si="57"/>
        <v>#VALUE!</v>
      </c>
      <c r="AS112" s="155">
        <f t="shared" si="37"/>
        <v>1</v>
      </c>
      <c r="AT112" s="155">
        <f t="shared" si="38"/>
        <v>3.943044906900328E-3</v>
      </c>
      <c r="AU112" s="155" t="e">
        <f t="shared" si="58"/>
        <v>#DIV/0!</v>
      </c>
      <c r="AV112" s="57" t="str">
        <f t="shared" si="40"/>
        <v/>
      </c>
      <c r="AW112" s="57" t="str">
        <f t="shared" si="41"/>
        <v/>
      </c>
      <c r="AX112" s="57" t="str">
        <f t="shared" si="42"/>
        <v/>
      </c>
      <c r="AY112" s="57" t="str">
        <f t="shared" si="44"/>
        <v/>
      </c>
      <c r="AZ112" s="57" t="str">
        <f t="shared" si="45"/>
        <v/>
      </c>
      <c r="BA112" s="123" t="str">
        <f t="shared" si="52"/>
        <v/>
      </c>
      <c r="BB112" s="123">
        <f t="shared" si="59"/>
        <v>1</v>
      </c>
      <c r="BC112" s="123">
        <f t="shared" si="53"/>
        <v>3.943044906900328E-3</v>
      </c>
      <c r="BD112" s="123" t="str">
        <f t="shared" si="47"/>
        <v/>
      </c>
      <c r="BE112" s="6">
        <f t="shared" si="43"/>
        <v>7.8257142857142874</v>
      </c>
      <c r="BF112" s="6" t="str">
        <f t="shared" si="48"/>
        <v/>
      </c>
    </row>
    <row r="113" spans="1:58" ht="15.75">
      <c r="A113" s="12" t="s">
        <v>154</v>
      </c>
      <c r="B113" s="134">
        <v>45373</v>
      </c>
      <c r="C113" s="133"/>
      <c r="D113" s="3">
        <v>108</v>
      </c>
      <c r="E113" s="205" t="str">
        <f t="shared" si="49"/>
        <v/>
      </c>
      <c r="G113" s="15">
        <f>2*10*1.26</f>
        <v>25.2</v>
      </c>
      <c r="I113" s="15">
        <f t="shared" si="51"/>
        <v>24.950000000000003</v>
      </c>
      <c r="K113" s="10" t="str">
        <f t="shared" si="54"/>
        <v/>
      </c>
      <c r="L113" s="9" t="str">
        <f t="shared" si="55"/>
        <v/>
      </c>
      <c r="M113" s="8">
        <f t="shared" si="56"/>
        <v>1.9801587301587305</v>
      </c>
      <c r="S113"/>
      <c r="T113" s="6">
        <v>24.3</v>
      </c>
      <c r="W113">
        <v>45.856999999999999</v>
      </c>
      <c r="X113" s="6">
        <v>0.28999999999999998</v>
      </c>
      <c r="AB113" s="5">
        <v>80</v>
      </c>
      <c r="AC113" s="7">
        <f>T113</f>
        <v>24.3</v>
      </c>
      <c r="AD113" s="1">
        <f>5*4.99</f>
        <v>24.950000000000003</v>
      </c>
      <c r="AE113" s="1">
        <v>23.9</v>
      </c>
      <c r="AF113" s="1">
        <v>0</v>
      </c>
      <c r="AG113">
        <v>0.09</v>
      </c>
      <c r="AH113" s="119">
        <v>0.97939814814814818</v>
      </c>
      <c r="AJ113" s="1">
        <v>175</v>
      </c>
      <c r="AK113" s="3">
        <v>180</v>
      </c>
      <c r="AL113" s="4">
        <f>AE113</f>
        <v>23.9</v>
      </c>
      <c r="AM113" s="1">
        <v>21.3</v>
      </c>
      <c r="AN113" s="80">
        <f t="shared" si="35"/>
        <v>100</v>
      </c>
      <c r="AO113" s="165"/>
      <c r="AP113" s="13">
        <f t="shared" si="50"/>
        <v>4770.0000000000273</v>
      </c>
      <c r="AQ113" s="15" t="str">
        <f>IF(ISNUMBER([1]HRT_SRT!R167),[1]HRT_SRT!R167,"")</f>
        <v/>
      </c>
      <c r="AR113" s="156" t="e">
        <f t="shared" si="57"/>
        <v>#VALUE!</v>
      </c>
      <c r="AS113" s="155">
        <f t="shared" si="37"/>
        <v>1</v>
      </c>
      <c r="AT113" s="155">
        <f t="shared" si="38"/>
        <v>3.607214428857715E-3</v>
      </c>
      <c r="AU113" s="155">
        <f t="shared" si="58"/>
        <v>0.15476190476190471</v>
      </c>
      <c r="AV113" s="57" t="str">
        <f t="shared" si="40"/>
        <v/>
      </c>
      <c r="AW113" s="57">
        <f t="shared" si="41"/>
        <v>24.950000000000003</v>
      </c>
      <c r="AX113" s="57">
        <f t="shared" si="42"/>
        <v>3.8999999999999986</v>
      </c>
      <c r="AY113" s="57">
        <f t="shared" si="44"/>
        <v>0.40000000000000213</v>
      </c>
      <c r="AZ113" s="57">
        <f t="shared" si="45"/>
        <v>2.5999999999999979</v>
      </c>
      <c r="BA113" s="123" t="e">
        <f t="shared" si="52"/>
        <v>#VALUE!</v>
      </c>
      <c r="BB113" s="123">
        <f t="shared" si="59"/>
        <v>1</v>
      </c>
      <c r="BC113" s="123">
        <f t="shared" si="53"/>
        <v>3.607214428857715E-3</v>
      </c>
      <c r="BD113" s="123">
        <f t="shared" si="47"/>
        <v>0.15476190476190471</v>
      </c>
      <c r="BE113" s="6">
        <f t="shared" si="43"/>
        <v>8.5542857142857152</v>
      </c>
      <c r="BF113" s="6">
        <f t="shared" si="48"/>
        <v>1.793351302785255</v>
      </c>
    </row>
    <row r="114" spans="1:58" ht="15.75">
      <c r="B114" s="134">
        <v>45374</v>
      </c>
      <c r="C114" s="133"/>
      <c r="D114" s="3">
        <v>109</v>
      </c>
      <c r="E114" s="205" t="str">
        <f t="shared" si="49"/>
        <v/>
      </c>
      <c r="G114" s="15"/>
      <c r="H114" s="15"/>
      <c r="I114" s="15">
        <f t="shared" ref="I114:I145" si="60">AD114</f>
        <v>25.933333333333337</v>
      </c>
      <c r="K114" s="10" t="str">
        <f t="shared" si="54"/>
        <v/>
      </c>
      <c r="L114" s="9" t="str">
        <f t="shared" si="55"/>
        <v/>
      </c>
      <c r="M114" s="8" t="str">
        <f t="shared" si="56"/>
        <v/>
      </c>
      <c r="X114" s="6">
        <v>0.28999999999999998</v>
      </c>
      <c r="AB114" s="5">
        <v>80</v>
      </c>
      <c r="AD114" s="168">
        <f>(AD113*2/3+AD116*1/3)</f>
        <v>25.933333333333337</v>
      </c>
      <c r="AG114">
        <v>0.08</v>
      </c>
      <c r="AH114" s="119">
        <v>0.97939814814814818</v>
      </c>
      <c r="AJ114" s="1">
        <v>175</v>
      </c>
      <c r="AK114" s="3">
        <v>180</v>
      </c>
      <c r="AN114" s="80">
        <f t="shared" si="35"/>
        <v>100</v>
      </c>
      <c r="AO114" s="165"/>
      <c r="AP114" s="13">
        <f t="shared" si="50"/>
        <v>5330.0000000000182</v>
      </c>
      <c r="AQ114" s="15" t="str">
        <f>IF(ISNUMBER([1]HRT_SRT!R168),[1]HRT_SRT!R168,"")</f>
        <v/>
      </c>
      <c r="AR114" s="156" t="e">
        <f t="shared" si="57"/>
        <v>#VALUE!</v>
      </c>
      <c r="AS114" s="155">
        <f t="shared" si="37"/>
        <v>1</v>
      </c>
      <c r="AT114" s="155">
        <f t="shared" si="38"/>
        <v>3.0848329048843185E-3</v>
      </c>
      <c r="AU114" s="155" t="e">
        <f t="shared" si="58"/>
        <v>#DIV/0!</v>
      </c>
      <c r="AV114" s="57" t="str">
        <f t="shared" si="40"/>
        <v/>
      </c>
      <c r="AW114" s="57" t="str">
        <f t="shared" si="41"/>
        <v/>
      </c>
      <c r="AX114" s="57" t="str">
        <f t="shared" si="42"/>
        <v/>
      </c>
      <c r="AY114" s="57" t="str">
        <f t="shared" si="44"/>
        <v/>
      </c>
      <c r="AZ114" s="57" t="str">
        <f t="shared" si="45"/>
        <v/>
      </c>
      <c r="BA114" s="123" t="str">
        <f t="shared" si="52"/>
        <v/>
      </c>
      <c r="BB114" s="123">
        <f t="shared" si="59"/>
        <v>1</v>
      </c>
      <c r="BC114" s="123">
        <f t="shared" si="53"/>
        <v>3.0848329048843185E-3</v>
      </c>
      <c r="BD114" s="123" t="str">
        <f t="shared" si="47"/>
        <v/>
      </c>
      <c r="BE114" s="6">
        <f t="shared" si="43"/>
        <v>8.8914285714285732</v>
      </c>
      <c r="BF114" s="6" t="str">
        <f t="shared" si="48"/>
        <v/>
      </c>
    </row>
    <row r="115" spans="1:58" ht="15.75">
      <c r="B115" s="134">
        <v>45375</v>
      </c>
      <c r="C115" s="133"/>
      <c r="D115" s="3">
        <v>110</v>
      </c>
      <c r="E115" s="205" t="str">
        <f t="shared" si="49"/>
        <v/>
      </c>
      <c r="G115" s="15"/>
      <c r="H115" s="15"/>
      <c r="I115" s="15">
        <f t="shared" si="60"/>
        <v>27.244444444444444</v>
      </c>
      <c r="K115" s="10" t="str">
        <f t="shared" si="54"/>
        <v/>
      </c>
      <c r="L115" s="9" t="str">
        <f t="shared" si="55"/>
        <v/>
      </c>
      <c r="M115" s="8" t="str">
        <f t="shared" si="56"/>
        <v/>
      </c>
      <c r="X115" s="6">
        <v>0.28999999999999998</v>
      </c>
      <c r="AB115" s="5">
        <v>80</v>
      </c>
      <c r="AD115" s="168">
        <f>(AD114*1/3+AD116*2/3)</f>
        <v>27.244444444444444</v>
      </c>
      <c r="AG115">
        <v>0.09</v>
      </c>
      <c r="AH115" s="119">
        <v>0.97939814814814818</v>
      </c>
      <c r="AJ115" s="1">
        <v>175</v>
      </c>
      <c r="AK115" s="3">
        <v>180</v>
      </c>
      <c r="AN115" s="80">
        <f t="shared" si="35"/>
        <v>100</v>
      </c>
      <c r="AO115" s="165"/>
      <c r="AP115" s="13">
        <f t="shared" si="50"/>
        <v>5330.0000000000182</v>
      </c>
      <c r="AQ115" s="15" t="str">
        <f>IF(ISNUMBER([1]HRT_SRT!R169),[1]HRT_SRT!R169,"")</f>
        <v/>
      </c>
      <c r="AR115" s="156" t="e">
        <f t="shared" si="57"/>
        <v>#VALUE!</v>
      </c>
      <c r="AS115" s="155">
        <f t="shared" si="37"/>
        <v>1</v>
      </c>
      <c r="AT115" s="155">
        <f t="shared" si="38"/>
        <v>3.3034257748776508E-3</v>
      </c>
      <c r="AU115" s="155" t="e">
        <f t="shared" si="58"/>
        <v>#DIV/0!</v>
      </c>
      <c r="AV115" s="57" t="str">
        <f t="shared" si="40"/>
        <v/>
      </c>
      <c r="AW115" s="57" t="str">
        <f t="shared" si="41"/>
        <v/>
      </c>
      <c r="AX115" s="57" t="str">
        <f t="shared" si="42"/>
        <v/>
      </c>
      <c r="AY115" s="57" t="str">
        <f t="shared" si="44"/>
        <v/>
      </c>
      <c r="AZ115" s="57" t="str">
        <f t="shared" si="45"/>
        <v/>
      </c>
      <c r="BA115" s="123" t="str">
        <f t="shared" si="52"/>
        <v/>
      </c>
      <c r="BB115" s="123">
        <f t="shared" si="59"/>
        <v>1</v>
      </c>
      <c r="BC115" s="123">
        <f t="shared" si="53"/>
        <v>3.3034257748776508E-3</v>
      </c>
      <c r="BD115" s="123" t="str">
        <f t="shared" si="47"/>
        <v/>
      </c>
      <c r="BE115" s="6">
        <f t="shared" si="43"/>
        <v>9.3409523809523805</v>
      </c>
      <c r="BF115" s="6" t="str">
        <f t="shared" si="48"/>
        <v/>
      </c>
    </row>
    <row r="116" spans="1:58" ht="15.75">
      <c r="A116" s="12" t="s">
        <v>153</v>
      </c>
      <c r="B116" s="134">
        <v>45376</v>
      </c>
      <c r="C116" s="133"/>
      <c r="D116" s="3">
        <v>111</v>
      </c>
      <c r="E116" s="205" t="str">
        <f t="shared" si="49"/>
        <v/>
      </c>
      <c r="G116" s="15">
        <f>2*10*0.847</f>
        <v>16.939999999999998</v>
      </c>
      <c r="H116" s="15"/>
      <c r="I116" s="15">
        <f t="shared" si="60"/>
        <v>27.9</v>
      </c>
      <c r="K116" s="10" t="str">
        <f t="shared" si="54"/>
        <v/>
      </c>
      <c r="L116" s="9" t="str">
        <f t="shared" si="55"/>
        <v/>
      </c>
      <c r="M116" s="8">
        <f t="shared" si="56"/>
        <v>3.2939787485242031</v>
      </c>
      <c r="T116" s="6">
        <v>20.9</v>
      </c>
      <c r="X116" s="6">
        <v>0.28999999999999998</v>
      </c>
      <c r="AB116" s="5">
        <v>80</v>
      </c>
      <c r="AC116" s="7">
        <f>T116</f>
        <v>20.9</v>
      </c>
      <c r="AD116" s="1">
        <f>5*5.58</f>
        <v>27.9</v>
      </c>
      <c r="AE116" s="1">
        <v>11.4</v>
      </c>
      <c r="AF116" s="1">
        <v>0</v>
      </c>
      <c r="AG116">
        <v>2.02</v>
      </c>
      <c r="AH116" s="119">
        <v>0.40520833333333334</v>
      </c>
      <c r="AJ116" s="1">
        <v>175</v>
      </c>
      <c r="AK116" s="3">
        <v>180</v>
      </c>
      <c r="AL116" s="4">
        <f>AE116</f>
        <v>11.4</v>
      </c>
      <c r="AM116" s="1">
        <v>7.65</v>
      </c>
      <c r="AN116" s="80">
        <f t="shared" si="35"/>
        <v>100</v>
      </c>
      <c r="AO116" s="165"/>
      <c r="AP116" s="13">
        <f t="shared" si="50"/>
        <v>5330.0000000000182</v>
      </c>
      <c r="AQ116" s="15" t="str">
        <f>IF(ISNUMBER([1]HRT_SRT!R170),[1]HRT_SRT!R170,"")</f>
        <v/>
      </c>
      <c r="AR116" s="156" t="e">
        <f t="shared" si="57"/>
        <v>#VALUE!</v>
      </c>
      <c r="AS116" s="155">
        <f t="shared" si="37"/>
        <v>1</v>
      </c>
      <c r="AT116" s="155">
        <f t="shared" si="38"/>
        <v>7.2401433691756278E-2</v>
      </c>
      <c r="AU116" s="155">
        <f t="shared" si="58"/>
        <v>0.54840613931523019</v>
      </c>
      <c r="AV116" s="57" t="str">
        <f t="shared" si="40"/>
        <v/>
      </c>
      <c r="AW116" s="57">
        <f t="shared" si="41"/>
        <v>27.9</v>
      </c>
      <c r="AX116" s="57">
        <f t="shared" si="42"/>
        <v>9.2899999999999974</v>
      </c>
      <c r="AY116" s="57">
        <f t="shared" si="44"/>
        <v>9.4999999999999982</v>
      </c>
      <c r="AZ116" s="57">
        <f t="shared" si="45"/>
        <v>3.75</v>
      </c>
      <c r="BA116" s="123" t="str">
        <f t="shared" si="52"/>
        <v/>
      </c>
      <c r="BB116" s="123">
        <f t="shared" si="59"/>
        <v>1</v>
      </c>
      <c r="BC116" s="123">
        <f t="shared" si="53"/>
        <v>7.2401433691756278E-2</v>
      </c>
      <c r="BD116" s="123">
        <f t="shared" si="47"/>
        <v>0.54840613931523019</v>
      </c>
      <c r="BE116" s="6">
        <f t="shared" si="43"/>
        <v>9.5657142857142858</v>
      </c>
      <c r="BF116" s="6">
        <f t="shared" si="48"/>
        <v>1.7946931117662765</v>
      </c>
    </row>
    <row r="117" spans="1:58" ht="15.75">
      <c r="B117" s="134">
        <v>45377</v>
      </c>
      <c r="C117" s="133"/>
      <c r="D117" s="3">
        <v>112</v>
      </c>
      <c r="E117" s="205" t="str">
        <f t="shared" si="49"/>
        <v/>
      </c>
      <c r="G117" s="15"/>
      <c r="H117" s="15"/>
      <c r="I117" s="15">
        <f t="shared" si="60"/>
        <v>28.45</v>
      </c>
      <c r="K117" s="10" t="str">
        <f t="shared" si="54"/>
        <v/>
      </c>
      <c r="L117" s="9" t="str">
        <f t="shared" si="55"/>
        <v/>
      </c>
      <c r="M117" s="8" t="str">
        <f t="shared" si="56"/>
        <v/>
      </c>
      <c r="X117" s="6">
        <v>0.3</v>
      </c>
      <c r="AB117" s="5">
        <v>80</v>
      </c>
      <c r="AD117" s="168">
        <f>(AD116+AD118)/2</f>
        <v>28.45</v>
      </c>
      <c r="AG117">
        <v>0.09</v>
      </c>
      <c r="AH117" s="119">
        <v>0.97939814814814818</v>
      </c>
      <c r="AJ117" s="1">
        <v>175</v>
      </c>
      <c r="AK117" s="3">
        <v>180</v>
      </c>
      <c r="AN117" s="80">
        <f t="shared" si="35"/>
        <v>100</v>
      </c>
      <c r="AO117" s="165"/>
      <c r="AP117" s="13">
        <f t="shared" si="50"/>
        <v>5330.0000000000182</v>
      </c>
      <c r="AQ117" s="15" t="str">
        <f>IF(ISNUMBER([1]HRT_SRT!R171),[1]HRT_SRT!R171,"")</f>
        <v/>
      </c>
      <c r="AR117" s="156" t="e">
        <f t="shared" si="57"/>
        <v>#VALUE!</v>
      </c>
      <c r="AS117" s="155">
        <f t="shared" si="37"/>
        <v>1</v>
      </c>
      <c r="AT117" s="155">
        <f t="shared" si="38"/>
        <v>3.1634446397188049E-3</v>
      </c>
      <c r="AU117" s="155" t="e">
        <f t="shared" si="58"/>
        <v>#DIV/0!</v>
      </c>
      <c r="AV117" s="57" t="str">
        <f t="shared" si="40"/>
        <v/>
      </c>
      <c r="AW117" s="57" t="str">
        <f t="shared" si="41"/>
        <v/>
      </c>
      <c r="AX117" s="57" t="str">
        <f t="shared" si="42"/>
        <v/>
      </c>
      <c r="AY117" s="57" t="str">
        <f t="shared" si="44"/>
        <v/>
      </c>
      <c r="AZ117" s="57" t="str">
        <f t="shared" si="45"/>
        <v/>
      </c>
      <c r="BA117" s="123" t="str">
        <f t="shared" si="52"/>
        <v/>
      </c>
      <c r="BB117" s="123">
        <f t="shared" si="59"/>
        <v>1</v>
      </c>
      <c r="BC117" s="123">
        <f t="shared" si="53"/>
        <v>3.1634446397188049E-3</v>
      </c>
      <c r="BD117" s="123" t="str">
        <f t="shared" si="47"/>
        <v/>
      </c>
      <c r="BE117" s="6">
        <f t="shared" si="43"/>
        <v>9.7542857142857144</v>
      </c>
      <c r="BF117" s="6" t="str">
        <f t="shared" si="48"/>
        <v/>
      </c>
    </row>
    <row r="118" spans="1:58" ht="15.75">
      <c r="B118" s="134">
        <v>45378</v>
      </c>
      <c r="C118" s="133"/>
      <c r="D118" s="3">
        <v>113</v>
      </c>
      <c r="E118" s="205">
        <f t="shared" si="49"/>
        <v>371.690538</v>
      </c>
      <c r="G118" s="15">
        <f>(N118*18-H118*18)/9</f>
        <v>20.800000000000011</v>
      </c>
      <c r="H118" s="15">
        <v>22.2</v>
      </c>
      <c r="I118" s="15">
        <f t="shared" si="60"/>
        <v>29</v>
      </c>
      <c r="K118" s="10">
        <f t="shared" si="54"/>
        <v>17.869737403846145</v>
      </c>
      <c r="L118" s="9">
        <f t="shared" si="55"/>
        <v>6.4084575517241378</v>
      </c>
      <c r="M118" s="8">
        <f t="shared" si="56"/>
        <v>2.788461538461537</v>
      </c>
      <c r="N118" s="7">
        <v>32.6</v>
      </c>
      <c r="O118" s="6">
        <v>133.709</v>
      </c>
      <c r="P118" s="6">
        <v>28.518999999999998</v>
      </c>
      <c r="Q118" s="6">
        <f>O118*1.067</f>
        <v>142.66750300000001</v>
      </c>
      <c r="R118" s="6">
        <f>P118*1.514</f>
        <v>43.177765999999998</v>
      </c>
      <c r="S118" s="23">
        <f>P118*1.514+O118*1.067</f>
        <v>185.845269</v>
      </c>
      <c r="T118" s="6">
        <v>39.5</v>
      </c>
      <c r="W118" s="6">
        <v>0</v>
      </c>
      <c r="X118" s="6">
        <v>0.49</v>
      </c>
      <c r="AB118" s="5">
        <v>80</v>
      </c>
      <c r="AC118" s="7">
        <f>T118</f>
        <v>39.5</v>
      </c>
      <c r="AD118" s="1">
        <f>5*5.8</f>
        <v>29</v>
      </c>
      <c r="AE118" s="1">
        <v>40.200000000000003</v>
      </c>
      <c r="AF118" s="1">
        <v>0</v>
      </c>
      <c r="AG118">
        <v>0.08</v>
      </c>
      <c r="AH118" s="119">
        <v>0.97939814814814818</v>
      </c>
      <c r="AJ118" s="1">
        <v>175</v>
      </c>
      <c r="AK118" s="3">
        <v>180</v>
      </c>
      <c r="AL118" s="4">
        <f>AE118</f>
        <v>40.200000000000003</v>
      </c>
      <c r="AM118" s="1">
        <v>38.4</v>
      </c>
      <c r="AN118" s="80">
        <f t="shared" si="35"/>
        <v>100</v>
      </c>
      <c r="AO118" s="165">
        <f>[1]HRT_SRT!P172</f>
        <v>5330.0000000000182</v>
      </c>
      <c r="AP118" s="13">
        <f t="shared" si="50"/>
        <v>5330.0000000000182</v>
      </c>
      <c r="AQ118" s="15">
        <f>IF(ISNUMBER([1]HRT_SRT!R172),[1]HRT_SRT!R172,"")</f>
        <v>17.21267357996366</v>
      </c>
      <c r="AR118" s="156">
        <f t="shared" si="57"/>
        <v>1</v>
      </c>
      <c r="AS118" s="155">
        <f t="shared" si="37"/>
        <v>1</v>
      </c>
      <c r="AT118" s="155">
        <f t="shared" si="38"/>
        <v>2.7586206896551726E-3</v>
      </c>
      <c r="AU118" s="155">
        <f t="shared" si="58"/>
        <v>-0.84615384615384504</v>
      </c>
      <c r="AV118" s="57">
        <f t="shared" si="40"/>
        <v>371.690538</v>
      </c>
      <c r="AW118" s="57">
        <f t="shared" si="41"/>
        <v>29</v>
      </c>
      <c r="AX118" s="57">
        <f t="shared" si="42"/>
        <v>-17.599999999999987</v>
      </c>
      <c r="AY118" s="57">
        <f t="shared" si="44"/>
        <v>-0.70000000000000284</v>
      </c>
      <c r="AZ118" s="57">
        <f t="shared" si="45"/>
        <v>1.8000000000000043</v>
      </c>
      <c r="BA118" s="123" t="str">
        <f t="shared" si="52"/>
        <v/>
      </c>
      <c r="BB118" s="123">
        <f t="shared" si="59"/>
        <v>1</v>
      </c>
      <c r="BC118" s="123">
        <f t="shared" si="53"/>
        <v>2.7586206896551726E-3</v>
      </c>
      <c r="BD118" s="123">
        <f t="shared" si="47"/>
        <v>0</v>
      </c>
      <c r="BE118" s="6">
        <f t="shared" si="43"/>
        <v>9.9428571428571431</v>
      </c>
      <c r="BF118" s="6">
        <f t="shared" si="48"/>
        <v>1.8654516215491763</v>
      </c>
    </row>
    <row r="119" spans="1:58" ht="15.75">
      <c r="A119" s="180">
        <v>0.08</v>
      </c>
      <c r="B119" s="134">
        <v>45379</v>
      </c>
      <c r="C119" s="133"/>
      <c r="D119" s="3">
        <v>114</v>
      </c>
      <c r="E119" s="205">
        <f t="shared" si="49"/>
        <v>381.81617</v>
      </c>
      <c r="G119" s="15">
        <f>2*13.6</f>
        <v>27.2</v>
      </c>
      <c r="H119" s="15"/>
      <c r="I119" s="15">
        <f t="shared" si="60"/>
        <v>22.75</v>
      </c>
      <c r="K119" s="10">
        <f t="shared" si="54"/>
        <v>14.037359191176471</v>
      </c>
      <c r="L119" s="9">
        <f t="shared" si="55"/>
        <v>8.3915641758241755</v>
      </c>
      <c r="M119" s="8">
        <f t="shared" si="56"/>
        <v>1.6727941176470589</v>
      </c>
      <c r="O119" s="6">
        <v>133.709</v>
      </c>
      <c r="P119" s="6">
        <v>31.863</v>
      </c>
      <c r="Q119" s="6">
        <f>O119*1.067</f>
        <v>142.66750300000001</v>
      </c>
      <c r="R119" s="6">
        <f>P119*1.514</f>
        <v>48.240581999999996</v>
      </c>
      <c r="S119" s="23">
        <f>P119*1.514+O119*1.067</f>
        <v>190.908085</v>
      </c>
      <c r="W119" s="6">
        <f>0.857+0.665</f>
        <v>1.522</v>
      </c>
      <c r="X119" s="6">
        <v>0.3</v>
      </c>
      <c r="AB119" s="5">
        <v>80</v>
      </c>
      <c r="AC119" s="4">
        <v>31.3</v>
      </c>
      <c r="AD119" s="1">
        <f>5*4.55</f>
        <v>22.75</v>
      </c>
      <c r="AE119" s="1">
        <v>24.7</v>
      </c>
      <c r="AF119" s="1">
        <v>0</v>
      </c>
      <c r="AG119">
        <v>0.08</v>
      </c>
      <c r="AH119" s="119">
        <v>0.97939814814814818</v>
      </c>
      <c r="AJ119" s="1">
        <v>175</v>
      </c>
      <c r="AK119" s="3">
        <v>180</v>
      </c>
      <c r="AL119" s="4">
        <f>AE119</f>
        <v>24.7</v>
      </c>
      <c r="AM119" s="1">
        <v>21.3</v>
      </c>
      <c r="AN119" s="80">
        <f t="shared" si="35"/>
        <v>100</v>
      </c>
      <c r="AO119" s="165"/>
      <c r="AP119" s="13">
        <f t="shared" si="50"/>
        <v>5330.0000000000182</v>
      </c>
      <c r="AQ119" s="15" t="str">
        <f>IF(ISNUMBER([1]HRT_SRT!R173),[1]HRT_SRT!R173,"")</f>
        <v/>
      </c>
      <c r="AR119" s="156">
        <f t="shared" si="57"/>
        <v>0.99601378852027145</v>
      </c>
      <c r="AS119" s="155">
        <f t="shared" si="37"/>
        <v>1</v>
      </c>
      <c r="AT119" s="155">
        <f t="shared" si="38"/>
        <v>3.5164835164835165E-3</v>
      </c>
      <c r="AU119" s="155">
        <f t="shared" si="58"/>
        <v>0.2169117647058823</v>
      </c>
      <c r="AV119" s="57">
        <f t="shared" si="40"/>
        <v>380.29417000000001</v>
      </c>
      <c r="AW119" s="57">
        <f t="shared" si="41"/>
        <v>22.75</v>
      </c>
      <c r="AX119" s="57">
        <f t="shared" si="42"/>
        <v>5.8999999999999986</v>
      </c>
      <c r="AY119" s="57">
        <f t="shared" si="44"/>
        <v>6.6000000000000014</v>
      </c>
      <c r="AZ119" s="57">
        <f t="shared" si="45"/>
        <v>3.3999999999999986</v>
      </c>
      <c r="BA119" s="123">
        <f t="shared" si="52"/>
        <v>0.99601378852027145</v>
      </c>
      <c r="BB119" s="123">
        <f t="shared" si="59"/>
        <v>1</v>
      </c>
      <c r="BC119" s="123">
        <f t="shared" si="53"/>
        <v>3.5164835164835165E-3</v>
      </c>
      <c r="BD119" s="123">
        <f t="shared" si="47"/>
        <v>0.2169117647058823</v>
      </c>
      <c r="BE119" s="6">
        <f t="shared" si="43"/>
        <v>7.8000000000000007</v>
      </c>
      <c r="BF119" s="6">
        <f t="shared" si="48"/>
        <v>1.4634146341463368</v>
      </c>
    </row>
    <row r="120" spans="1:58" ht="15.75">
      <c r="B120" s="134">
        <v>45380</v>
      </c>
      <c r="C120" s="133"/>
      <c r="D120" s="3">
        <v>115</v>
      </c>
      <c r="E120" s="205">
        <f t="shared" si="49"/>
        <v>396.78582799999998</v>
      </c>
      <c r="G120" s="15">
        <f>2*9.67</f>
        <v>19.34</v>
      </c>
      <c r="H120" s="15"/>
      <c r="I120" s="15">
        <f t="shared" si="60"/>
        <v>25</v>
      </c>
      <c r="K120" s="10">
        <f t="shared" si="54"/>
        <v>20.516330299896588</v>
      </c>
      <c r="L120" s="9">
        <f t="shared" si="55"/>
        <v>7.9357165599999995</v>
      </c>
      <c r="M120" s="8">
        <f t="shared" si="56"/>
        <v>2.5853154084798344</v>
      </c>
      <c r="O120" s="6">
        <v>139.52199999999999</v>
      </c>
      <c r="P120" s="6">
        <v>32.71</v>
      </c>
      <c r="Q120" s="6">
        <f>O120*1.067</f>
        <v>148.86997399999998</v>
      </c>
      <c r="R120" s="6">
        <f>P120*1.514</f>
        <v>49.522939999999998</v>
      </c>
      <c r="S120" s="23">
        <f>P120*1.514+O120*1.067</f>
        <v>198.39291399999999</v>
      </c>
      <c r="W120" s="6">
        <f>0.808+0.654</f>
        <v>1.4620000000000002</v>
      </c>
      <c r="X120" s="6">
        <v>0.28999999999999998</v>
      </c>
      <c r="AB120" s="5">
        <v>80</v>
      </c>
      <c r="AC120" s="4">
        <v>35.6</v>
      </c>
      <c r="AD120" s="168">
        <v>25</v>
      </c>
      <c r="AE120" s="1">
        <v>30.6</v>
      </c>
      <c r="AG120">
        <v>0.09</v>
      </c>
      <c r="AH120" s="119">
        <v>0.97939814814814818</v>
      </c>
      <c r="AJ120" s="1">
        <v>175</v>
      </c>
      <c r="AK120" s="3">
        <v>180</v>
      </c>
      <c r="AL120" s="4">
        <f>AE120</f>
        <v>30.6</v>
      </c>
      <c r="AM120" s="1">
        <v>17.3</v>
      </c>
      <c r="AN120" s="80">
        <f t="shared" si="35"/>
        <v>100</v>
      </c>
      <c r="AO120" s="165"/>
      <c r="AP120" s="13">
        <f t="shared" si="50"/>
        <v>5330.0000000000182</v>
      </c>
      <c r="AQ120" s="15" t="str">
        <f>IF(ISNUMBER([1]HRT_SRT!R174),[1]HRT_SRT!R174,"")</f>
        <v/>
      </c>
      <c r="AR120" s="156">
        <f t="shared" si="57"/>
        <v>0.99631539259512059</v>
      </c>
      <c r="AS120" s="155">
        <f t="shared" si="37"/>
        <v>1</v>
      </c>
      <c r="AT120" s="155">
        <f t="shared" si="38"/>
        <v>3.5999999999999999E-3</v>
      </c>
      <c r="AU120" s="155">
        <f t="shared" si="58"/>
        <v>0.10548086866597721</v>
      </c>
      <c r="AV120" s="57">
        <f t="shared" si="40"/>
        <v>395.32382799999999</v>
      </c>
      <c r="AW120" s="57" t="str">
        <f t="shared" si="41"/>
        <v/>
      </c>
      <c r="AX120" s="57">
        <f t="shared" si="42"/>
        <v>2.0399999999999991</v>
      </c>
      <c r="AY120" s="57">
        <f t="shared" si="44"/>
        <v>5</v>
      </c>
      <c r="AZ120" s="57">
        <f t="shared" si="45"/>
        <v>13.3</v>
      </c>
      <c r="BA120" s="123">
        <f t="shared" ref="BA120:BA125" si="61">IF(AND($E120&gt;0,$W120&gt;0),IF(($E120-$W120)/$E120&gt;0,($E120-$W120)/$E120,0),"")</f>
        <v>0.99631539259512059</v>
      </c>
      <c r="BB120" s="123">
        <f t="shared" si="59"/>
        <v>1</v>
      </c>
      <c r="BC120" s="123">
        <f t="shared" si="53"/>
        <v>3.5999999999999999E-3</v>
      </c>
      <c r="BD120" s="123">
        <f t="shared" si="47"/>
        <v>0.10548086866597721</v>
      </c>
      <c r="BE120" s="6">
        <f t="shared" si="43"/>
        <v>8.5714285714285712</v>
      </c>
      <c r="BF120" s="6" t="str">
        <f t="shared" si="48"/>
        <v/>
      </c>
    </row>
    <row r="121" spans="1:58" ht="15.75">
      <c r="B121" s="134">
        <v>45381</v>
      </c>
      <c r="C121" s="133"/>
      <c r="D121" s="3">
        <v>116</v>
      </c>
      <c r="E121" s="205" t="str">
        <f t="shared" si="49"/>
        <v/>
      </c>
      <c r="G121" s="15"/>
      <c r="H121" s="15"/>
      <c r="I121" s="15">
        <f t="shared" si="60"/>
        <v>25</v>
      </c>
      <c r="K121" s="10" t="str">
        <f t="shared" si="54"/>
        <v/>
      </c>
      <c r="L121" s="9" t="str">
        <f t="shared" si="55"/>
        <v/>
      </c>
      <c r="M121" s="8" t="str">
        <f t="shared" si="56"/>
        <v/>
      </c>
      <c r="X121" s="6">
        <v>0.31</v>
      </c>
      <c r="AB121" s="5">
        <v>80</v>
      </c>
      <c r="AD121" s="168">
        <v>25</v>
      </c>
      <c r="AG121">
        <v>0.08</v>
      </c>
      <c r="AH121" s="119">
        <v>0.97939814814814818</v>
      </c>
      <c r="AJ121" s="1">
        <v>175</v>
      </c>
      <c r="AK121" s="3">
        <v>180</v>
      </c>
      <c r="AN121" s="80">
        <f t="shared" si="35"/>
        <v>100</v>
      </c>
      <c r="AO121" s="165"/>
      <c r="AP121" s="13">
        <f t="shared" si="50"/>
        <v>1400</v>
      </c>
      <c r="AQ121" s="15" t="str">
        <f>IF(ISNUMBER([1]HRT_SRT!R175),[1]HRT_SRT!R175,"")</f>
        <v/>
      </c>
      <c r="AR121" s="156" t="e">
        <f t="shared" si="57"/>
        <v>#VALUE!</v>
      </c>
      <c r="AS121" s="155">
        <f t="shared" si="37"/>
        <v>1</v>
      </c>
      <c r="AT121" s="155">
        <f t="shared" si="38"/>
        <v>3.2000000000000002E-3</v>
      </c>
      <c r="AU121" s="155" t="e">
        <f t="shared" si="58"/>
        <v>#DIV/0!</v>
      </c>
      <c r="AV121" s="57" t="str">
        <f t="shared" si="40"/>
        <v/>
      </c>
      <c r="AW121" s="57" t="str">
        <f t="shared" si="41"/>
        <v/>
      </c>
      <c r="AX121" s="57" t="str">
        <f t="shared" si="42"/>
        <v/>
      </c>
      <c r="AY121" s="57" t="str">
        <f t="shared" si="44"/>
        <v/>
      </c>
      <c r="AZ121" s="57" t="str">
        <f t="shared" si="45"/>
        <v/>
      </c>
      <c r="BA121" s="123" t="str">
        <f t="shared" si="61"/>
        <v/>
      </c>
      <c r="BB121" s="123">
        <f t="shared" si="59"/>
        <v>1</v>
      </c>
      <c r="BC121" s="123">
        <f t="shared" si="53"/>
        <v>3.2000000000000002E-3</v>
      </c>
      <c r="BD121" s="123" t="str">
        <f t="shared" si="47"/>
        <v/>
      </c>
      <c r="BE121" s="6">
        <f t="shared" si="43"/>
        <v>8.5714285714285712</v>
      </c>
      <c r="BF121" s="6" t="str">
        <f t="shared" si="48"/>
        <v/>
      </c>
    </row>
    <row r="122" spans="1:58" ht="15.75">
      <c r="B122" s="134">
        <v>45382</v>
      </c>
      <c r="C122" s="133"/>
      <c r="D122" s="3">
        <v>117</v>
      </c>
      <c r="E122" s="205" t="str">
        <f t="shared" si="49"/>
        <v/>
      </c>
      <c r="G122" s="15"/>
      <c r="H122" s="15"/>
      <c r="I122" s="15">
        <f t="shared" si="60"/>
        <v>25</v>
      </c>
      <c r="K122" s="10" t="str">
        <f t="shared" si="54"/>
        <v/>
      </c>
      <c r="L122" s="9" t="str">
        <f t="shared" si="55"/>
        <v/>
      </c>
      <c r="M122" s="8" t="str">
        <f t="shared" si="56"/>
        <v/>
      </c>
      <c r="X122" s="6">
        <v>0.28999999999999998</v>
      </c>
      <c r="AB122" s="5">
        <v>80</v>
      </c>
      <c r="AD122" s="168">
        <v>25</v>
      </c>
      <c r="AG122">
        <v>0.11</v>
      </c>
      <c r="AH122" s="119">
        <v>0.35405092592592591</v>
      </c>
      <c r="AJ122" s="1">
        <v>175</v>
      </c>
      <c r="AK122" s="3">
        <v>180</v>
      </c>
      <c r="AN122" s="80">
        <f t="shared" si="35"/>
        <v>100</v>
      </c>
      <c r="AO122" s="165"/>
      <c r="AP122" s="13">
        <f t="shared" si="50"/>
        <v>1400</v>
      </c>
      <c r="AQ122" s="15" t="str">
        <f>IF(ISNUMBER([1]HRT_SRT!R176),[1]HRT_SRT!R176,"")</f>
        <v/>
      </c>
      <c r="AR122" s="156" t="e">
        <f t="shared" si="57"/>
        <v>#VALUE!</v>
      </c>
      <c r="AS122" s="155">
        <f t="shared" si="37"/>
        <v>1</v>
      </c>
      <c r="AT122" s="155">
        <f t="shared" si="38"/>
        <v>4.4000000000000003E-3</v>
      </c>
      <c r="AU122" s="155" t="e">
        <f t="shared" si="58"/>
        <v>#DIV/0!</v>
      </c>
      <c r="AV122" s="57" t="str">
        <f t="shared" si="40"/>
        <v/>
      </c>
      <c r="AW122" s="57" t="str">
        <f t="shared" si="41"/>
        <v/>
      </c>
      <c r="AX122" s="57" t="str">
        <f t="shared" si="42"/>
        <v/>
      </c>
      <c r="AY122" s="57" t="str">
        <f t="shared" si="44"/>
        <v/>
      </c>
      <c r="AZ122" s="57" t="str">
        <f t="shared" si="45"/>
        <v/>
      </c>
      <c r="BA122" s="123" t="str">
        <f t="shared" si="61"/>
        <v/>
      </c>
      <c r="BB122" s="123">
        <f t="shared" si="59"/>
        <v>1</v>
      </c>
      <c r="BC122" s="123">
        <f t="shared" si="53"/>
        <v>4.4000000000000003E-3</v>
      </c>
      <c r="BD122" s="123" t="str">
        <f t="shared" si="47"/>
        <v/>
      </c>
      <c r="BE122" s="6">
        <f t="shared" si="43"/>
        <v>8.5714285714285712</v>
      </c>
      <c r="BF122" s="6" t="str">
        <f t="shared" si="48"/>
        <v/>
      </c>
    </row>
    <row r="123" spans="1:58" ht="15.75">
      <c r="B123" s="134">
        <v>45383</v>
      </c>
      <c r="C123" s="133"/>
      <c r="D123" s="3">
        <v>118</v>
      </c>
      <c r="E123" s="205" t="str">
        <f t="shared" si="49"/>
        <v/>
      </c>
      <c r="G123" s="15"/>
      <c r="H123" s="15"/>
      <c r="I123" s="15">
        <f t="shared" si="60"/>
        <v>25</v>
      </c>
      <c r="K123" s="10" t="str">
        <f t="shared" si="54"/>
        <v/>
      </c>
      <c r="L123" s="9" t="str">
        <f t="shared" si="55"/>
        <v/>
      </c>
      <c r="M123" s="8" t="str">
        <f t="shared" si="56"/>
        <v/>
      </c>
      <c r="X123" s="6">
        <v>0.42</v>
      </c>
      <c r="AB123" s="5">
        <v>80</v>
      </c>
      <c r="AD123" s="168">
        <v>25</v>
      </c>
      <c r="AG123">
        <v>0.08</v>
      </c>
      <c r="AH123" s="119">
        <v>0.97939814814814818</v>
      </c>
      <c r="AJ123" s="1">
        <v>175</v>
      </c>
      <c r="AK123" s="3">
        <v>180</v>
      </c>
      <c r="AN123" s="80">
        <f t="shared" si="35"/>
        <v>100</v>
      </c>
      <c r="AO123" s="165"/>
      <c r="AP123" s="13">
        <f t="shared" si="50"/>
        <v>1400</v>
      </c>
      <c r="AQ123" s="15" t="str">
        <f>IF(ISNUMBER([1]HRT_SRT!R177),[1]HRT_SRT!R177,"")</f>
        <v/>
      </c>
      <c r="AR123" s="156" t="e">
        <f t="shared" si="57"/>
        <v>#VALUE!</v>
      </c>
      <c r="AS123" s="155">
        <f t="shared" si="37"/>
        <v>1</v>
      </c>
      <c r="AT123" s="155">
        <f t="shared" si="38"/>
        <v>3.2000000000000002E-3</v>
      </c>
      <c r="AU123" s="155" t="e">
        <f t="shared" si="58"/>
        <v>#DIV/0!</v>
      </c>
      <c r="AV123" s="57" t="str">
        <f t="shared" si="40"/>
        <v/>
      </c>
      <c r="AW123" s="57" t="str">
        <f t="shared" si="41"/>
        <v/>
      </c>
      <c r="AX123" s="57" t="str">
        <f t="shared" si="42"/>
        <v/>
      </c>
      <c r="AY123" s="57" t="str">
        <f t="shared" si="44"/>
        <v/>
      </c>
      <c r="AZ123" s="57" t="str">
        <f t="shared" si="45"/>
        <v/>
      </c>
      <c r="BA123" s="123" t="str">
        <f t="shared" si="61"/>
        <v/>
      </c>
      <c r="BB123" s="123">
        <f t="shared" si="59"/>
        <v>1</v>
      </c>
      <c r="BC123" s="123">
        <f t="shared" si="53"/>
        <v>3.2000000000000002E-3</v>
      </c>
      <c r="BD123" s="123" t="str">
        <f t="shared" si="47"/>
        <v/>
      </c>
      <c r="BE123" s="6">
        <f t="shared" si="43"/>
        <v>8.5714285714285712</v>
      </c>
      <c r="BF123" s="6" t="str">
        <f t="shared" si="48"/>
        <v/>
      </c>
    </row>
    <row r="124" spans="1:58" ht="15.75">
      <c r="A124" s="12" t="s">
        <v>152</v>
      </c>
      <c r="B124" s="134">
        <v>45384</v>
      </c>
      <c r="C124" s="133"/>
      <c r="D124" s="3">
        <v>119</v>
      </c>
      <c r="E124" s="205">
        <f t="shared" si="49"/>
        <v>451.23765199999997</v>
      </c>
      <c r="G124" s="15">
        <f>(N124*18-H124*18)/9</f>
        <v>20.600000000000005</v>
      </c>
      <c r="H124" s="15">
        <v>10.5</v>
      </c>
      <c r="I124" s="15">
        <f t="shared" si="60"/>
        <v>25</v>
      </c>
      <c r="K124" s="10">
        <f t="shared" si="54"/>
        <v>21.904740388349509</v>
      </c>
      <c r="L124" s="9">
        <f t="shared" si="55"/>
        <v>9.0247530400000002</v>
      </c>
      <c r="M124" s="8">
        <f t="shared" si="56"/>
        <v>2.4271844660194168</v>
      </c>
      <c r="N124" s="7">
        <v>20.8</v>
      </c>
      <c r="O124" s="6">
        <v>162.64599999999999</v>
      </c>
      <c r="P124" s="6">
        <v>34.396000000000001</v>
      </c>
      <c r="Q124" s="6">
        <f>O124*1.067</f>
        <v>173.54328199999998</v>
      </c>
      <c r="R124" s="6">
        <f>P124*1.514</f>
        <v>52.075544000000001</v>
      </c>
      <c r="S124" s="23">
        <f>P124*1.514+O124*1.067</f>
        <v>225.61882599999998</v>
      </c>
      <c r="X124" s="6">
        <v>0.3</v>
      </c>
      <c r="AB124" s="5">
        <v>80</v>
      </c>
      <c r="AD124" s="168">
        <v>25</v>
      </c>
      <c r="AE124" s="1">
        <v>24.8</v>
      </c>
      <c r="AF124" s="1">
        <v>0</v>
      </c>
      <c r="AG124">
        <v>0.06</v>
      </c>
      <c r="AH124" s="119">
        <v>0.97939814814814818</v>
      </c>
      <c r="AJ124" s="1">
        <v>175</v>
      </c>
      <c r="AK124" s="3">
        <v>180</v>
      </c>
      <c r="AL124" s="4">
        <f>AE124</f>
        <v>24.8</v>
      </c>
      <c r="AM124" s="1">
        <v>19.899999999999999</v>
      </c>
      <c r="AN124" s="80">
        <f t="shared" si="35"/>
        <v>100</v>
      </c>
      <c r="AO124" s="165"/>
      <c r="AP124" s="13">
        <f t="shared" si="50"/>
        <v>1400</v>
      </c>
      <c r="AQ124" s="15" t="str">
        <f>IF(ISNUMBER([1]HRT_SRT!R178),[1]HRT_SRT!R178,"")</f>
        <v/>
      </c>
      <c r="AR124" s="156">
        <f t="shared" si="57"/>
        <v>1</v>
      </c>
      <c r="AS124" s="155">
        <f t="shared" si="37"/>
        <v>1</v>
      </c>
      <c r="AT124" s="155">
        <f t="shared" si="38"/>
        <v>2.3999999999999998E-3</v>
      </c>
      <c r="AU124" s="155">
        <f t="shared" si="58"/>
        <v>3.3980582524272149E-2</v>
      </c>
      <c r="AV124" s="57" t="str">
        <f t="shared" si="40"/>
        <v/>
      </c>
      <c r="AW124" s="57">
        <f t="shared" si="41"/>
        <v>25</v>
      </c>
      <c r="AX124" s="57">
        <f t="shared" si="42"/>
        <v>0.70000000000000639</v>
      </c>
      <c r="AY124" s="57" t="str">
        <f t="shared" si="44"/>
        <v/>
      </c>
      <c r="AZ124" s="57">
        <f t="shared" si="45"/>
        <v>4.9000000000000021</v>
      </c>
      <c r="BA124" s="123" t="str">
        <f t="shared" si="61"/>
        <v/>
      </c>
      <c r="BB124" s="123">
        <f t="shared" si="59"/>
        <v>1</v>
      </c>
      <c r="BC124" s="123">
        <f t="shared" si="53"/>
        <v>2.3999999999999998E-3</v>
      </c>
      <c r="BD124" s="123">
        <f t="shared" si="47"/>
        <v>3.3980582524272149E-2</v>
      </c>
      <c r="BE124" s="6">
        <f t="shared" si="43"/>
        <v>8.5714285714285712</v>
      </c>
      <c r="BF124" s="6">
        <f t="shared" si="48"/>
        <v>6.1224489795918373</v>
      </c>
    </row>
    <row r="125" spans="1:58" s="27" customFormat="1" ht="15.75">
      <c r="A125" s="179" t="s">
        <v>151</v>
      </c>
      <c r="B125" s="178">
        <v>45385</v>
      </c>
      <c r="C125" s="133"/>
      <c r="D125" s="29">
        <v>120</v>
      </c>
      <c r="E125" s="205" t="str">
        <f t="shared" si="49"/>
        <v/>
      </c>
      <c r="F125" s="36"/>
      <c r="G125" s="36"/>
      <c r="H125" s="36"/>
      <c r="I125" s="15">
        <f t="shared" si="60"/>
        <v>25</v>
      </c>
      <c r="J125" s="35"/>
      <c r="K125" s="10" t="str">
        <f t="shared" si="54"/>
        <v/>
      </c>
      <c r="L125" s="9" t="str">
        <f t="shared" si="55"/>
        <v/>
      </c>
      <c r="M125" s="8" t="str">
        <f t="shared" si="56"/>
        <v/>
      </c>
      <c r="N125" s="34"/>
      <c r="O125" s="33"/>
      <c r="P125" s="33"/>
      <c r="Q125" s="33"/>
      <c r="R125" s="33"/>
      <c r="S125" s="33"/>
      <c r="T125" s="33"/>
      <c r="U125" s="33"/>
      <c r="V125" s="33"/>
      <c r="W125" s="33"/>
      <c r="X125" s="33">
        <v>0.33</v>
      </c>
      <c r="Y125" s="33"/>
      <c r="Z125" s="33"/>
      <c r="AA125" s="33"/>
      <c r="AB125" s="74">
        <v>80</v>
      </c>
      <c r="AC125" s="32"/>
      <c r="AD125" s="177">
        <v>25</v>
      </c>
      <c r="AG125" s="116">
        <v>0.06</v>
      </c>
      <c r="AH125" s="125">
        <v>0.97939814814814818</v>
      </c>
      <c r="AJ125" s="27">
        <v>175</v>
      </c>
      <c r="AK125" s="29">
        <v>180</v>
      </c>
      <c r="AL125" s="32"/>
      <c r="AN125" s="87">
        <f t="shared" si="35"/>
        <v>100</v>
      </c>
      <c r="AO125" s="176">
        <f>[1]HRT_SRT!P179</f>
        <v>1400</v>
      </c>
      <c r="AP125" s="13">
        <f t="shared" si="50"/>
        <v>1400</v>
      </c>
      <c r="AQ125" s="77">
        <f>IF(ISNUMBER([1]HRT_SRT!R179),[1]HRT_SRT!R179,"")</f>
        <v>2.5004961301845725</v>
      </c>
      <c r="AR125" s="156" t="e">
        <f t="shared" si="57"/>
        <v>#VALUE!</v>
      </c>
      <c r="AS125" s="155">
        <f t="shared" si="37"/>
        <v>1</v>
      </c>
      <c r="AT125" s="155">
        <f t="shared" si="38"/>
        <v>2.3999999999999998E-3</v>
      </c>
      <c r="AU125" s="155" t="e">
        <f t="shared" si="58"/>
        <v>#DIV/0!</v>
      </c>
      <c r="AV125" s="57" t="str">
        <f t="shared" si="40"/>
        <v/>
      </c>
      <c r="AW125" s="57" t="str">
        <f t="shared" si="41"/>
        <v/>
      </c>
      <c r="AX125" s="57" t="str">
        <f t="shared" si="42"/>
        <v/>
      </c>
      <c r="AY125" s="57" t="str">
        <f t="shared" si="44"/>
        <v/>
      </c>
      <c r="AZ125" s="57" t="str">
        <f t="shared" si="45"/>
        <v/>
      </c>
      <c r="BA125" s="123" t="str">
        <f t="shared" si="61"/>
        <v/>
      </c>
      <c r="BB125" s="123">
        <f t="shared" si="59"/>
        <v>1</v>
      </c>
      <c r="BC125" s="123">
        <f t="shared" si="53"/>
        <v>2.3999999999999998E-3</v>
      </c>
      <c r="BD125" s="123" t="str">
        <f t="shared" si="47"/>
        <v/>
      </c>
      <c r="BE125" s="6">
        <f t="shared" si="43"/>
        <v>8.5714285714285712</v>
      </c>
      <c r="BF125" s="6" t="str">
        <f t="shared" si="48"/>
        <v/>
      </c>
    </row>
    <row r="126" spans="1:58" ht="15.75">
      <c r="A126" s="12" t="s">
        <v>150</v>
      </c>
      <c r="B126" s="11">
        <v>45386</v>
      </c>
      <c r="D126" s="3">
        <v>121</v>
      </c>
      <c r="E126" s="205">
        <f t="shared" si="49"/>
        <v>473.47846399999997</v>
      </c>
      <c r="I126" s="15">
        <f t="shared" si="60"/>
        <v>25</v>
      </c>
      <c r="K126" s="10" t="str">
        <f t="shared" si="54"/>
        <v/>
      </c>
      <c r="L126" s="9">
        <f t="shared" si="55"/>
        <v>9.46956928</v>
      </c>
      <c r="M126" s="8" t="str">
        <f t="shared" si="56"/>
        <v/>
      </c>
      <c r="O126" s="6">
        <v>174.34800000000001</v>
      </c>
      <c r="P126" s="6">
        <v>33.494</v>
      </c>
      <c r="Q126" s="6">
        <f>O126*1.067</f>
        <v>186.02931599999999</v>
      </c>
      <c r="R126" s="6">
        <f>P126*1.514</f>
        <v>50.709916</v>
      </c>
      <c r="S126" s="23">
        <f>P126*1.514+O126*1.067</f>
        <v>236.73923199999999</v>
      </c>
      <c r="W126" s="6">
        <f>0.687+84.128</f>
        <v>84.814999999999998</v>
      </c>
      <c r="AB126" s="5">
        <v>80</v>
      </c>
      <c r="AD126" s="168">
        <v>25</v>
      </c>
      <c r="AG126">
        <v>0.06</v>
      </c>
      <c r="AH126" s="119">
        <v>0.97939814814814818</v>
      </c>
      <c r="AJ126" s="1">
        <v>175</v>
      </c>
      <c r="AK126" s="3">
        <v>180</v>
      </c>
      <c r="AN126" s="80">
        <f t="shared" si="35"/>
        <v>100</v>
      </c>
      <c r="AO126" s="165"/>
      <c r="AP126" s="13">
        <f t="shared" si="50"/>
        <v>1400</v>
      </c>
      <c r="AQ126" s="15" t="str">
        <f>IF(ISNUMBER([1]HRT_SRT!R180),[1]HRT_SRT!R180,"")</f>
        <v/>
      </c>
      <c r="AR126" s="17">
        <f t="shared" si="57"/>
        <v>0.82086830458248672</v>
      </c>
      <c r="AS126" s="16">
        <f t="shared" si="37"/>
        <v>1</v>
      </c>
      <c r="AT126" s="16">
        <f t="shared" si="38"/>
        <v>2.3999999999999998E-3</v>
      </c>
      <c r="AU126" s="16" t="e">
        <f t="shared" si="58"/>
        <v>#DIV/0!</v>
      </c>
      <c r="AV126" s="57">
        <f t="shared" si="40"/>
        <v>388.66346399999998</v>
      </c>
      <c r="AW126" s="57" t="str">
        <f t="shared" si="41"/>
        <v/>
      </c>
      <c r="AX126" s="57" t="str">
        <f t="shared" si="42"/>
        <v/>
      </c>
      <c r="AY126" s="57" t="str">
        <f t="shared" si="44"/>
        <v/>
      </c>
      <c r="AZ126" s="57" t="str">
        <f t="shared" si="45"/>
        <v/>
      </c>
      <c r="BA126" s="84">
        <f>IF(AND($E126&gt;0,$W126&gt;0),IF(($E126-$W126)/$E126&gt;0,($E126-$W126)/$E126,0),#N/A)</f>
        <v>0.82086830458248672</v>
      </c>
      <c r="BB126" s="84">
        <f>IF(AND($I126&gt;0,$AF126&gt;=0),IF(($I126-$AF126)/$I126&gt;0,($I126-$AF126)/$I126,0),#N/A)</f>
        <v>1</v>
      </c>
      <c r="BC126" s="84">
        <f>IF(AND($AG126&gt;=0,$AD126&gt;=0,$AF126&gt;=0),IF($AG126/($AD126-$AF126)&gt;0,$AG126/($AD126-$AF126),0),#N/A)</f>
        <v>2.3999999999999998E-3</v>
      </c>
      <c r="BD126" s="84" t="str">
        <f t="shared" si="47"/>
        <v/>
      </c>
      <c r="BE126" s="6">
        <f t="shared" si="43"/>
        <v>8.5714285714285712</v>
      </c>
      <c r="BF126" s="6" t="str">
        <f t="shared" si="48"/>
        <v/>
      </c>
    </row>
    <row r="127" spans="1:58" ht="15.75">
      <c r="B127" s="11">
        <v>45387</v>
      </c>
      <c r="D127" s="3">
        <v>122</v>
      </c>
      <c r="E127" s="205">
        <f t="shared" si="49"/>
        <v>215.67633599999999</v>
      </c>
      <c r="G127" s="15">
        <f>(N127*18-H127*18)/9</f>
        <v>21.18</v>
      </c>
      <c r="H127" s="15">
        <v>5.51</v>
      </c>
      <c r="I127" s="15">
        <f t="shared" si="60"/>
        <v>23.450000000000003</v>
      </c>
      <c r="K127" s="10">
        <f t="shared" si="54"/>
        <v>10.183018696883853</v>
      </c>
      <c r="L127" s="9">
        <f t="shared" si="55"/>
        <v>4.5986425586353938</v>
      </c>
      <c r="M127" s="8">
        <f t="shared" si="56"/>
        <v>2.2143531633616624</v>
      </c>
      <c r="N127" s="7">
        <v>16.100000000000001</v>
      </c>
      <c r="O127" s="6">
        <v>80.268000000000001</v>
      </c>
      <c r="P127" s="6">
        <v>14.657999999999999</v>
      </c>
      <c r="Q127" s="6">
        <f>O127*1.067</f>
        <v>85.645955999999998</v>
      </c>
      <c r="R127" s="6">
        <f>P127*1.514</f>
        <v>22.192211999999998</v>
      </c>
      <c r="S127" s="23">
        <f>P127*1.514+O127*1.067</f>
        <v>107.838168</v>
      </c>
      <c r="T127" s="6">
        <v>18.899999999999999</v>
      </c>
      <c r="W127" s="6">
        <f>8.725</f>
        <v>8.7249999999999996</v>
      </c>
      <c r="X127" s="6">
        <v>4.08</v>
      </c>
      <c r="AB127" s="5">
        <v>80</v>
      </c>
      <c r="AC127" s="7">
        <f>T127</f>
        <v>18.899999999999999</v>
      </c>
      <c r="AD127" s="1">
        <f>5*4.69</f>
        <v>23.450000000000003</v>
      </c>
      <c r="AE127" s="1">
        <v>15.9</v>
      </c>
      <c r="AF127" s="1">
        <v>0</v>
      </c>
      <c r="AG127">
        <v>0.08</v>
      </c>
      <c r="AH127" s="119">
        <v>0.35775462962962962</v>
      </c>
      <c r="AJ127" s="1">
        <v>175</v>
      </c>
      <c r="AK127" s="3">
        <v>180</v>
      </c>
      <c r="AL127" s="4">
        <f>AE127</f>
        <v>15.9</v>
      </c>
      <c r="AM127" s="1">
        <v>13.4</v>
      </c>
      <c r="AN127" s="80">
        <f t="shared" si="35"/>
        <v>100</v>
      </c>
      <c r="AO127" s="165"/>
      <c r="AP127" s="13">
        <f t="shared" si="50"/>
        <v>1400</v>
      </c>
      <c r="AQ127" s="15" t="str">
        <f>IF(ISNUMBER([1]HRT_SRT!R181),[1]HRT_SRT!R181,"")</f>
        <v/>
      </c>
      <c r="AR127" s="17">
        <f t="shared" si="57"/>
        <v>0.95954586320494617</v>
      </c>
      <c r="AS127" s="16">
        <f t="shared" si="37"/>
        <v>1</v>
      </c>
      <c r="AT127" s="16">
        <f t="shared" si="38"/>
        <v>3.4115138592750532E-3</v>
      </c>
      <c r="AU127" s="16">
        <f t="shared" si="58"/>
        <v>0.3673276676109537</v>
      </c>
      <c r="AV127" s="57">
        <f t="shared" si="40"/>
        <v>206.951336</v>
      </c>
      <c r="AW127" s="57">
        <f t="shared" si="41"/>
        <v>23.450000000000003</v>
      </c>
      <c r="AX127" s="57">
        <f t="shared" si="42"/>
        <v>7.7799999999999994</v>
      </c>
      <c r="AY127" s="57">
        <f t="shared" si="44"/>
        <v>2.9999999999999982</v>
      </c>
      <c r="AZ127" s="57">
        <f t="shared" si="45"/>
        <v>2.5</v>
      </c>
      <c r="BA127" s="84">
        <f t="shared" ref="BA127:BA158" si="62">IF(AND($E127&gt;0,$W127&gt;0),IF(($E127-$W127)/$E127&gt;0,($E127-$W127)/$E127,0),"")</f>
        <v>0.95954586320494617</v>
      </c>
      <c r="BB127" s="84">
        <f t="shared" ref="BB127:BB158" si="63">IF(AND($I127&gt;0,$AF127&gt;=0),IF(($I127-$AF127)/$I127&gt;0,($I127-$AF127)/$I127,0),"")</f>
        <v>1</v>
      </c>
      <c r="BC127" s="84">
        <f t="shared" ref="BC127:BC158" si="64">IF(AND($AG127&gt;=0,$AD127&gt;=0,$AF127&gt;=0),IF($AG127/($AD127-$AF127)&gt;0,$AG127/($AD127-$AF127),0),"")</f>
        <v>3.4115138592750532E-3</v>
      </c>
      <c r="BD127" s="84">
        <f t="shared" si="47"/>
        <v>0.3673276676109537</v>
      </c>
      <c r="BE127" s="6">
        <f t="shared" si="43"/>
        <v>8.0400000000000009</v>
      </c>
      <c r="BF127" s="6">
        <f t="shared" si="48"/>
        <v>5.7428571428571438</v>
      </c>
    </row>
    <row r="128" spans="1:58" ht="15.75">
      <c r="B128" s="11">
        <v>45388</v>
      </c>
      <c r="D128" s="3">
        <v>123</v>
      </c>
      <c r="E128" s="205" t="str">
        <f t="shared" si="49"/>
        <v/>
      </c>
      <c r="H128" s="15"/>
      <c r="I128" s="15">
        <f t="shared" si="60"/>
        <v>24.675000000000001</v>
      </c>
      <c r="K128" s="10" t="str">
        <f t="shared" si="54"/>
        <v/>
      </c>
      <c r="L128" s="9" t="str">
        <f t="shared" si="55"/>
        <v/>
      </c>
      <c r="M128" s="8" t="str">
        <f t="shared" si="56"/>
        <v/>
      </c>
      <c r="AB128" s="5">
        <v>80</v>
      </c>
      <c r="AD128" s="168">
        <f>(AD127+AD129)/2</f>
        <v>24.675000000000001</v>
      </c>
      <c r="AG128">
        <v>0.15</v>
      </c>
      <c r="AH128" s="119">
        <v>0.36412037037037037</v>
      </c>
      <c r="AJ128" s="1">
        <v>175</v>
      </c>
      <c r="AK128" s="3">
        <v>180</v>
      </c>
      <c r="AN128" s="80">
        <f t="shared" si="35"/>
        <v>100</v>
      </c>
      <c r="AO128" s="165"/>
      <c r="AP128" s="13">
        <f t="shared" si="50"/>
        <v>4540.0000000000091</v>
      </c>
      <c r="AQ128" s="15" t="str">
        <f>IF(ISNUMBER([1]HRT_SRT!R182),[1]HRT_SRT!R182,"")</f>
        <v/>
      </c>
      <c r="AR128" s="17" t="e">
        <f t="shared" si="57"/>
        <v>#VALUE!</v>
      </c>
      <c r="AS128" s="16">
        <f t="shared" si="37"/>
        <v>1</v>
      </c>
      <c r="AT128" s="16">
        <f t="shared" si="38"/>
        <v>6.0790273556231003E-3</v>
      </c>
      <c r="AU128" s="16" t="e">
        <f t="shared" si="58"/>
        <v>#DIV/0!</v>
      </c>
      <c r="AV128" s="57" t="str">
        <f t="shared" si="40"/>
        <v/>
      </c>
      <c r="AW128" s="57" t="str">
        <f t="shared" si="41"/>
        <v/>
      </c>
      <c r="AX128" s="57" t="str">
        <f t="shared" si="42"/>
        <v/>
      </c>
      <c r="AY128" s="57" t="str">
        <f t="shared" si="44"/>
        <v/>
      </c>
      <c r="AZ128" s="57" t="str">
        <f t="shared" si="45"/>
        <v/>
      </c>
      <c r="BA128" s="84" t="str">
        <f t="shared" si="62"/>
        <v/>
      </c>
      <c r="BB128" s="84">
        <f t="shared" si="63"/>
        <v>1</v>
      </c>
      <c r="BC128" s="84">
        <f t="shared" si="64"/>
        <v>6.0790273556231003E-3</v>
      </c>
      <c r="BD128" s="84" t="str">
        <f t="shared" si="47"/>
        <v/>
      </c>
      <c r="BE128" s="6">
        <f t="shared" si="43"/>
        <v>8.4600000000000009</v>
      </c>
      <c r="BF128" s="6" t="str">
        <f t="shared" si="48"/>
        <v/>
      </c>
    </row>
    <row r="129" spans="1:58" ht="15.75">
      <c r="A129" s="12" t="s">
        <v>149</v>
      </c>
      <c r="B129" s="11">
        <v>45389</v>
      </c>
      <c r="D129" s="3">
        <v>124</v>
      </c>
      <c r="E129" s="205" t="str">
        <f t="shared" si="49"/>
        <v/>
      </c>
      <c r="G129" s="15">
        <f>(N129*18-H129*18)/9</f>
        <v>27.199999999999989</v>
      </c>
      <c r="H129" s="15">
        <f>4.16*10/2</f>
        <v>20.8</v>
      </c>
      <c r="I129" s="15">
        <f t="shared" si="60"/>
        <v>25.9</v>
      </c>
      <c r="K129" s="10" t="str">
        <f t="shared" si="54"/>
        <v/>
      </c>
      <c r="L129" s="9" t="str">
        <f t="shared" si="55"/>
        <v/>
      </c>
      <c r="M129" s="8">
        <f t="shared" si="56"/>
        <v>1.9044117647058831</v>
      </c>
      <c r="N129" s="7">
        <v>34.4</v>
      </c>
      <c r="T129" s="6">
        <v>41.7</v>
      </c>
      <c r="AB129" s="5">
        <v>80</v>
      </c>
      <c r="AC129" s="7">
        <f>T129</f>
        <v>41.7</v>
      </c>
      <c r="AD129" s="1">
        <f>5*5.18</f>
        <v>25.9</v>
      </c>
      <c r="AE129" s="1">
        <v>42.4</v>
      </c>
      <c r="AF129" s="1">
        <v>0</v>
      </c>
      <c r="AG129">
        <v>1.86</v>
      </c>
      <c r="AH129" s="119">
        <v>0.41226851851851853</v>
      </c>
      <c r="AJ129" s="1">
        <v>175</v>
      </c>
      <c r="AK129" s="3">
        <v>180</v>
      </c>
      <c r="AL129" s="4">
        <f>AE129</f>
        <v>42.4</v>
      </c>
      <c r="AM129" s="1">
        <v>41.6</v>
      </c>
      <c r="AN129" s="80">
        <f t="shared" si="35"/>
        <v>100</v>
      </c>
      <c r="AO129" s="165"/>
      <c r="AP129" s="13">
        <f t="shared" si="50"/>
        <v>4540.0000000000091</v>
      </c>
      <c r="AQ129" s="15" t="str">
        <f>IF(ISNUMBER([1]HRT_SRT!R183),[1]HRT_SRT!R183,"")</f>
        <v/>
      </c>
      <c r="AR129" s="17" t="e">
        <f t="shared" si="57"/>
        <v>#VALUE!</v>
      </c>
      <c r="AS129" s="16">
        <f t="shared" si="37"/>
        <v>1</v>
      </c>
      <c r="AT129" s="16">
        <f t="shared" si="38"/>
        <v>7.1814671814671827E-2</v>
      </c>
      <c r="AU129" s="16">
        <f t="shared" si="58"/>
        <v>-0.52941176470588303</v>
      </c>
      <c r="AV129" s="57" t="str">
        <f t="shared" si="40"/>
        <v/>
      </c>
      <c r="AW129" s="57">
        <f t="shared" si="41"/>
        <v>25.9</v>
      </c>
      <c r="AX129" s="57">
        <f t="shared" si="42"/>
        <v>-14.400000000000013</v>
      </c>
      <c r="AY129" s="57">
        <f t="shared" si="44"/>
        <v>-0.69999999999999574</v>
      </c>
      <c r="AZ129" s="57">
        <f t="shared" si="45"/>
        <v>0.79999999999999716</v>
      </c>
      <c r="BA129" s="84" t="str">
        <f t="shared" si="62"/>
        <v/>
      </c>
      <c r="BB129" s="84">
        <f t="shared" si="63"/>
        <v>1</v>
      </c>
      <c r="BC129" s="84">
        <f t="shared" si="64"/>
        <v>7.1814671814671827E-2</v>
      </c>
      <c r="BD129" s="84">
        <f t="shared" si="47"/>
        <v>0</v>
      </c>
      <c r="BE129" s="6">
        <f t="shared" si="43"/>
        <v>8.8800000000000008</v>
      </c>
      <c r="BF129" s="6">
        <f t="shared" si="48"/>
        <v>1.955947136563873</v>
      </c>
    </row>
    <row r="130" spans="1:58" ht="15.75">
      <c r="B130" s="11">
        <v>45390</v>
      </c>
      <c r="D130" s="3">
        <v>125</v>
      </c>
      <c r="E130" s="205">
        <f t="shared" si="49"/>
        <v>328.15544799999998</v>
      </c>
      <c r="H130" s="15"/>
      <c r="I130" s="15">
        <f t="shared" si="60"/>
        <v>27.424999999999997</v>
      </c>
      <c r="K130" s="10" t="str">
        <f t="shared" si="54"/>
        <v/>
      </c>
      <c r="L130" s="9">
        <f t="shared" si="55"/>
        <v>5.9827793618960801</v>
      </c>
      <c r="M130" s="8" t="str">
        <f t="shared" si="56"/>
        <v/>
      </c>
      <c r="O130" s="6">
        <v>123.404</v>
      </c>
      <c r="P130" s="6">
        <v>21.404</v>
      </c>
      <c r="Q130" s="6">
        <f>O130*1.067</f>
        <v>131.672068</v>
      </c>
      <c r="R130" s="6">
        <f>P130*1.514</f>
        <v>32.405656</v>
      </c>
      <c r="S130" s="23">
        <f>P130*1.514+O130*1.067</f>
        <v>164.07772399999999</v>
      </c>
      <c r="W130" s="6">
        <f>3.488+3.751</f>
        <v>7.2389999999999999</v>
      </c>
      <c r="AB130" s="5">
        <v>80</v>
      </c>
      <c r="AD130" s="168">
        <f>(AD129+AD131)/2</f>
        <v>27.424999999999997</v>
      </c>
      <c r="AG130">
        <v>0.27</v>
      </c>
      <c r="AH130" s="119">
        <v>0.35810185185185184</v>
      </c>
      <c r="AJ130" s="1">
        <v>175</v>
      </c>
      <c r="AK130" s="3">
        <v>180</v>
      </c>
      <c r="AN130" s="80">
        <f t="shared" si="35"/>
        <v>100</v>
      </c>
      <c r="AO130" s="165"/>
      <c r="AP130" s="13">
        <f t="shared" si="50"/>
        <v>4540.0000000000091</v>
      </c>
      <c r="AQ130" s="15" t="str">
        <f>IF(ISNUMBER([1]HRT_SRT!R184),[1]HRT_SRT!R184,"")</f>
        <v/>
      </c>
      <c r="AR130" s="17">
        <f t="shared" si="57"/>
        <v>0.97794033271695069</v>
      </c>
      <c r="AS130" s="16">
        <f t="shared" si="37"/>
        <v>1</v>
      </c>
      <c r="AT130" s="16">
        <f t="shared" si="38"/>
        <v>9.84503190519599E-3</v>
      </c>
      <c r="AU130" s="16" t="e">
        <f t="shared" si="58"/>
        <v>#DIV/0!</v>
      </c>
      <c r="AV130" s="57">
        <f t="shared" si="40"/>
        <v>320.916448</v>
      </c>
      <c r="AW130" s="57" t="str">
        <f t="shared" si="41"/>
        <v/>
      </c>
      <c r="AX130" s="57" t="str">
        <f t="shared" si="42"/>
        <v/>
      </c>
      <c r="AY130" s="57" t="str">
        <f t="shared" si="44"/>
        <v/>
      </c>
      <c r="AZ130" s="57" t="str">
        <f t="shared" si="45"/>
        <v/>
      </c>
      <c r="BA130" s="84">
        <f t="shared" si="62"/>
        <v>0.97794033271695069</v>
      </c>
      <c r="BB130" s="84">
        <f t="shared" si="63"/>
        <v>1</v>
      </c>
      <c r="BC130" s="84">
        <f t="shared" si="64"/>
        <v>9.84503190519599E-3</v>
      </c>
      <c r="BD130" s="84" t="str">
        <f t="shared" si="47"/>
        <v/>
      </c>
      <c r="BE130" s="6">
        <f t="shared" si="43"/>
        <v>9.4028571428571421</v>
      </c>
      <c r="BF130" s="6" t="str">
        <f t="shared" si="48"/>
        <v/>
      </c>
    </row>
    <row r="131" spans="1:58" ht="15.75">
      <c r="B131" s="11">
        <v>45391</v>
      </c>
      <c r="D131" s="3">
        <v>126</v>
      </c>
      <c r="E131" s="205">
        <f t="shared" si="49"/>
        <v>390.824434</v>
      </c>
      <c r="G131" s="15" t="e">
        <f>#REF!</f>
        <v>#REF!</v>
      </c>
      <c r="H131" s="15">
        <v>7.36</v>
      </c>
      <c r="I131" s="15">
        <f t="shared" si="60"/>
        <v>28.95</v>
      </c>
      <c r="K131" s="10" t="e">
        <f t="shared" si="54"/>
        <v>#REF!</v>
      </c>
      <c r="L131" s="9">
        <f t="shared" si="55"/>
        <v>6.7499902245250434</v>
      </c>
      <c r="M131" s="8" t="e">
        <f t="shared" si="56"/>
        <v>#REF!</v>
      </c>
      <c r="N131" s="7">
        <v>23.3</v>
      </c>
      <c r="O131" s="6">
        <v>147.71100000000001</v>
      </c>
      <c r="P131" s="6">
        <v>24.97</v>
      </c>
      <c r="Q131" s="6">
        <f>O131*1.067</f>
        <v>157.60763700000001</v>
      </c>
      <c r="R131" s="6">
        <f>P131*1.514</f>
        <v>37.804580000000001</v>
      </c>
      <c r="S131" s="23">
        <f>P131*1.514+O131*1.067</f>
        <v>195.412217</v>
      </c>
      <c r="T131" s="6">
        <v>32.6</v>
      </c>
      <c r="W131" s="6">
        <f>3.491+3.69</f>
        <v>7.181</v>
      </c>
      <c r="AB131" s="5">
        <v>80</v>
      </c>
      <c r="AC131" s="7">
        <f>T131</f>
        <v>32.6</v>
      </c>
      <c r="AD131" s="1">
        <f>5*5.79</f>
        <v>28.95</v>
      </c>
      <c r="AE131" s="1">
        <v>17.7</v>
      </c>
      <c r="AF131" s="1">
        <v>0</v>
      </c>
      <c r="AG131">
        <v>0.64</v>
      </c>
      <c r="AH131" s="119">
        <v>0.39456018518518521</v>
      </c>
      <c r="AJ131" s="1">
        <v>175</v>
      </c>
      <c r="AK131" s="3">
        <v>180</v>
      </c>
      <c r="AL131" s="4">
        <f>AE131</f>
        <v>17.7</v>
      </c>
      <c r="AM131" s="1">
        <v>12.6</v>
      </c>
      <c r="AN131" s="80">
        <f t="shared" si="35"/>
        <v>100</v>
      </c>
      <c r="AO131" s="165"/>
      <c r="AP131" s="13">
        <f t="shared" si="50"/>
        <v>4540.0000000000091</v>
      </c>
      <c r="AQ131" s="15" t="str">
        <f>IF(ISNUMBER([1]HRT_SRT!R185),[1]HRT_SRT!R185,"")</f>
        <v/>
      </c>
      <c r="AR131" s="17">
        <f t="shared" si="57"/>
        <v>0.98162602085416184</v>
      </c>
      <c r="AS131" s="16">
        <f t="shared" si="37"/>
        <v>1</v>
      </c>
      <c r="AT131" s="16">
        <f t="shared" si="38"/>
        <v>2.210708117443869E-2</v>
      </c>
      <c r="AU131" s="16" t="e">
        <f t="shared" si="58"/>
        <v>#REF!</v>
      </c>
      <c r="AV131" s="57">
        <f t="shared" si="40"/>
        <v>383.64343400000001</v>
      </c>
      <c r="AW131" s="57">
        <f t="shared" si="41"/>
        <v>28.95</v>
      </c>
      <c r="AX131" s="57" t="str">
        <f t="shared" si="42"/>
        <v/>
      </c>
      <c r="AY131" s="57">
        <f t="shared" si="44"/>
        <v>14.900000000000002</v>
      </c>
      <c r="AZ131" s="57">
        <f t="shared" si="45"/>
        <v>5.0999999999999996</v>
      </c>
      <c r="BA131" s="84">
        <f t="shared" si="62"/>
        <v>0.98162602085416184</v>
      </c>
      <c r="BB131" s="84">
        <f t="shared" si="63"/>
        <v>1</v>
      </c>
      <c r="BC131" s="84">
        <f t="shared" si="64"/>
        <v>2.210708117443869E-2</v>
      </c>
      <c r="BD131" s="84" t="e">
        <f t="shared" si="47"/>
        <v>#REF!</v>
      </c>
      <c r="BE131" s="6">
        <f t="shared" si="43"/>
        <v>9.9257142857142853</v>
      </c>
      <c r="BF131" s="6">
        <f t="shared" si="48"/>
        <v>2.1862806796727456</v>
      </c>
    </row>
    <row r="132" spans="1:58" ht="15.75">
      <c r="A132" s="12" t="s">
        <v>148</v>
      </c>
      <c r="B132" s="167">
        <v>45392</v>
      </c>
      <c r="C132" s="166"/>
      <c r="D132" s="136">
        <v>127</v>
      </c>
      <c r="E132" s="205">
        <f t="shared" si="49"/>
        <v>195.39061800000002</v>
      </c>
      <c r="G132" s="15">
        <f>(N132*18-H132*18)/9</f>
        <v>23.000000000000007</v>
      </c>
      <c r="H132" s="15">
        <v>18.100000000000001</v>
      </c>
      <c r="I132" s="15">
        <f t="shared" si="60"/>
        <v>24.2</v>
      </c>
      <c r="K132" s="10">
        <f t="shared" si="54"/>
        <v>8.4952442608695637</v>
      </c>
      <c r="L132" s="9">
        <f t="shared" si="55"/>
        <v>4.0369962396694223</v>
      </c>
      <c r="M132" s="8">
        <f t="shared" si="56"/>
        <v>2.1043478260869559</v>
      </c>
      <c r="N132" s="7">
        <v>29.6</v>
      </c>
      <c r="O132" s="6">
        <v>70.789000000000001</v>
      </c>
      <c r="P132" s="6">
        <v>14.638999999999999</v>
      </c>
      <c r="Q132" s="6">
        <f>O132*1.067</f>
        <v>75.531863000000001</v>
      </c>
      <c r="R132" s="6">
        <f>P132*1.514</f>
        <v>22.163446</v>
      </c>
      <c r="S132" s="23">
        <f>P132*1.514+O132*1.067</f>
        <v>97.695309000000009</v>
      </c>
      <c r="T132" s="6">
        <v>31.6</v>
      </c>
      <c r="W132" s="6">
        <f>29.186</f>
        <v>29.186</v>
      </c>
      <c r="AB132" s="5">
        <v>80</v>
      </c>
      <c r="AC132" s="7">
        <f>T132</f>
        <v>31.6</v>
      </c>
      <c r="AD132" s="1">
        <f>5*4.84</f>
        <v>24.2</v>
      </c>
      <c r="AE132" s="1">
        <v>32.700000000000003</v>
      </c>
      <c r="AF132" s="1">
        <v>0</v>
      </c>
      <c r="AG132">
        <v>0.83</v>
      </c>
      <c r="AH132" s="119">
        <v>0.35833333333333334</v>
      </c>
      <c r="AJ132" s="1">
        <v>175</v>
      </c>
      <c r="AK132" s="3">
        <v>180</v>
      </c>
      <c r="AL132" s="4">
        <f>AE132</f>
        <v>32.700000000000003</v>
      </c>
      <c r="AM132" s="1">
        <v>28.5</v>
      </c>
      <c r="AN132" s="80">
        <f t="shared" si="35"/>
        <v>100</v>
      </c>
      <c r="AO132" s="165">
        <f>[1]HRT_SRT!P186</f>
        <v>4540.0000000000091</v>
      </c>
      <c r="AP132" s="13">
        <f t="shared" si="50"/>
        <v>4540.0000000000091</v>
      </c>
      <c r="AQ132" s="15">
        <f>IF(ISNUMBER([1]HRT_SRT!R186),[1]HRT_SRT!R186,"")</f>
        <v>14.266759776536155</v>
      </c>
      <c r="AR132" s="17">
        <f t="shared" si="57"/>
        <v>0.85062742367701605</v>
      </c>
      <c r="AS132" s="16">
        <f t="shared" si="37"/>
        <v>1</v>
      </c>
      <c r="AT132" s="16">
        <f t="shared" si="38"/>
        <v>3.4297520661157023E-2</v>
      </c>
      <c r="AU132" s="16">
        <f t="shared" si="58"/>
        <v>-0.23913043478260831</v>
      </c>
      <c r="AV132" s="57">
        <f t="shared" si="40"/>
        <v>166.20461800000001</v>
      </c>
      <c r="AW132" s="57">
        <f t="shared" si="41"/>
        <v>24.2</v>
      </c>
      <c r="AX132" s="57">
        <f t="shared" si="42"/>
        <v>-5.4999999999999929</v>
      </c>
      <c r="AY132" s="57">
        <f t="shared" si="44"/>
        <v>-1.1000000000000014</v>
      </c>
      <c r="AZ132" s="57">
        <f t="shared" si="45"/>
        <v>4.2000000000000028</v>
      </c>
      <c r="BA132" s="84">
        <f t="shared" si="62"/>
        <v>0.85062742367701605</v>
      </c>
      <c r="BB132" s="84">
        <f t="shared" si="63"/>
        <v>1</v>
      </c>
      <c r="BC132" s="84">
        <f t="shared" si="64"/>
        <v>3.4297520661157023E-2</v>
      </c>
      <c r="BD132" s="84">
        <f t="shared" si="47"/>
        <v>0</v>
      </c>
      <c r="BE132" s="6">
        <f t="shared" si="43"/>
        <v>8.2971428571428572</v>
      </c>
      <c r="BF132" s="6">
        <f t="shared" si="48"/>
        <v>1.8275645059785992</v>
      </c>
    </row>
    <row r="133" spans="1:58" ht="15.75">
      <c r="B133" s="11">
        <v>45393</v>
      </c>
      <c r="D133" s="3">
        <v>128</v>
      </c>
      <c r="E133" s="205" t="str">
        <f t="shared" si="49"/>
        <v/>
      </c>
      <c r="G133" s="163">
        <f>G132</f>
        <v>23.000000000000007</v>
      </c>
      <c r="H133" s="15"/>
      <c r="I133" s="15">
        <f t="shared" si="60"/>
        <v>25.5</v>
      </c>
      <c r="K133" s="10" t="str">
        <f t="shared" si="54"/>
        <v/>
      </c>
      <c r="L133" s="9" t="str">
        <f t="shared" si="55"/>
        <v/>
      </c>
      <c r="M133" s="8">
        <f t="shared" si="56"/>
        <v>2.2173913043478253</v>
      </c>
      <c r="T133" s="6">
        <v>27.5</v>
      </c>
      <c r="W133" s="6">
        <f>0.146+0.152</f>
        <v>0.29799999999999999</v>
      </c>
      <c r="AB133" s="5">
        <v>80</v>
      </c>
      <c r="AC133" s="7">
        <f>T133</f>
        <v>27.5</v>
      </c>
      <c r="AD133" s="1">
        <f>5*5.1</f>
        <v>25.5</v>
      </c>
      <c r="AE133" s="1">
        <v>15</v>
      </c>
      <c r="AF133" s="1">
        <v>0</v>
      </c>
      <c r="AG133">
        <v>1.69</v>
      </c>
      <c r="AH133" s="119">
        <v>0.39456018518518521</v>
      </c>
      <c r="AJ133" s="1">
        <v>175</v>
      </c>
      <c r="AK133" s="3">
        <v>180</v>
      </c>
      <c r="AL133" s="4">
        <f>AE133</f>
        <v>15</v>
      </c>
      <c r="AM133" s="1">
        <v>10.8</v>
      </c>
      <c r="AN133" s="80">
        <f t="shared" ref="AN133:AN196" si="65">360-AK133-AB133</f>
        <v>100</v>
      </c>
      <c r="AO133" s="165"/>
      <c r="AP133" s="13">
        <f t="shared" si="50"/>
        <v>4540.0000000000091</v>
      </c>
      <c r="AQ133" s="15" t="str">
        <f>IF(ISNUMBER([1]HRT_SRT!R187),[1]HRT_SRT!R187,"")</f>
        <v/>
      </c>
      <c r="AR133" s="17" t="e">
        <f t="shared" ref="AR133:AR169" si="66">(E133-W133)/E133</f>
        <v>#VALUE!</v>
      </c>
      <c r="AS133" s="16">
        <f t="shared" ref="AS133:AS196" si="67">(I133-AF133)/I133</f>
        <v>1</v>
      </c>
      <c r="AT133" s="16">
        <f t="shared" ref="AT133:AT196" si="68">AG133/(AD133-AF133)</f>
        <v>6.6274509803921564E-2</v>
      </c>
      <c r="AU133" s="16">
        <f t="shared" ref="AU133:AU157" si="69">(G133-AM133)/G133</f>
        <v>0.53043478260869581</v>
      </c>
      <c r="AV133" s="57" t="str">
        <f t="shared" ref="AV133:AV196" si="70">IF(AND(ISNUMBER(E133),ISNUMBER(W133)),E133-W133,"")</f>
        <v/>
      </c>
      <c r="AW133" s="57">
        <f t="shared" ref="AW133:AW196" si="71">IF(AND(ISNUMBER(I133),ISNUMBER(AF133)),I133-AF133,"")</f>
        <v>25.5</v>
      </c>
      <c r="AX133" s="57">
        <f t="shared" ref="AX133:AX196" si="72">IF(AND(ISNUMBER(AM133),ISNUMBER(G133)),G133-AM133,"")</f>
        <v>12.200000000000006</v>
      </c>
      <c r="AY133" s="57">
        <f t="shared" si="44"/>
        <v>12.5</v>
      </c>
      <c r="AZ133" s="57">
        <f t="shared" si="45"/>
        <v>4.1999999999999993</v>
      </c>
      <c r="BA133" s="84" t="e">
        <f t="shared" si="62"/>
        <v>#VALUE!</v>
      </c>
      <c r="BB133" s="84">
        <f t="shared" si="63"/>
        <v>1</v>
      </c>
      <c r="BC133" s="84">
        <f t="shared" si="64"/>
        <v>6.6274509803921564E-2</v>
      </c>
      <c r="BD133" s="84">
        <f t="shared" si="47"/>
        <v>0.53043478260869581</v>
      </c>
      <c r="BE133" s="6">
        <f t="shared" ref="BE133:BE196" si="73">IF((AD133-AF133)/(AJ133/60)&lt;=0,"",(AD133-AF133)/(AJ133/60))</f>
        <v>8.7428571428571438</v>
      </c>
      <c r="BF133" s="6">
        <f t="shared" si="48"/>
        <v>1.9257394587791028</v>
      </c>
    </row>
    <row r="134" spans="1:58" ht="15.75">
      <c r="B134" s="11">
        <v>45394</v>
      </c>
      <c r="D134" s="3">
        <v>129</v>
      </c>
      <c r="E134" s="205">
        <f t="shared" si="49"/>
        <v>255.31097799999998</v>
      </c>
      <c r="G134" s="15">
        <f>(N134*18-H134*18)/9</f>
        <v>25.580000000000002</v>
      </c>
      <c r="H134" s="15">
        <v>6.51</v>
      </c>
      <c r="I134" s="15">
        <f t="shared" si="60"/>
        <v>25.5</v>
      </c>
      <c r="K134" s="10">
        <f t="shared" si="54"/>
        <v>9.9808826426896005</v>
      </c>
      <c r="L134" s="9">
        <f t="shared" si="55"/>
        <v>5.0060976078431372</v>
      </c>
      <c r="M134" s="8">
        <f t="shared" si="56"/>
        <v>1.9937451133698201</v>
      </c>
      <c r="N134" s="7">
        <v>19.3</v>
      </c>
      <c r="O134" s="6">
        <v>81.966999999999999</v>
      </c>
      <c r="P134" s="6">
        <v>26.55</v>
      </c>
      <c r="Q134" s="6">
        <f>O134*1.067</f>
        <v>87.458788999999996</v>
      </c>
      <c r="R134" s="6">
        <f>P134*1.514</f>
        <v>40.1967</v>
      </c>
      <c r="S134" s="23">
        <f>P134*1.514+O134*1.067</f>
        <v>127.65548899999999</v>
      </c>
      <c r="T134" s="6">
        <v>32.299999999999997</v>
      </c>
      <c r="W134" s="6">
        <f>0.144+0.023</f>
        <v>0.16699999999999998</v>
      </c>
      <c r="AB134" s="5">
        <v>80</v>
      </c>
      <c r="AC134" s="7">
        <f>T134</f>
        <v>32.299999999999997</v>
      </c>
      <c r="AD134" s="1">
        <f>5*5.1</f>
        <v>25.5</v>
      </c>
      <c r="AE134" s="1">
        <v>15.7</v>
      </c>
      <c r="AF134" s="1">
        <v>0.08</v>
      </c>
      <c r="AG134">
        <v>3.41</v>
      </c>
      <c r="AH134" s="119">
        <v>0.42442129629629627</v>
      </c>
      <c r="AJ134" s="1">
        <v>175</v>
      </c>
      <c r="AK134" s="3">
        <v>180</v>
      </c>
      <c r="AL134" s="4">
        <f>AE134</f>
        <v>15.7</v>
      </c>
      <c r="AM134" s="1">
        <v>10.4</v>
      </c>
      <c r="AN134" s="80">
        <f t="shared" si="65"/>
        <v>100</v>
      </c>
      <c r="AO134" s="165"/>
      <c r="AP134" s="13">
        <f t="shared" si="50"/>
        <v>4540.0000000000091</v>
      </c>
      <c r="AQ134" s="15" t="str">
        <f>IF(ISNUMBER([1]HRT_SRT!R188),[1]HRT_SRT!R188,"")</f>
        <v/>
      </c>
      <c r="AR134" s="17">
        <f t="shared" si="66"/>
        <v>0.99934589573347687</v>
      </c>
      <c r="AS134" s="16">
        <f t="shared" si="67"/>
        <v>0.99686274509803929</v>
      </c>
      <c r="AT134" s="16">
        <f t="shared" si="68"/>
        <v>0.13414634146341464</v>
      </c>
      <c r="AU134" s="16">
        <f t="shared" si="69"/>
        <v>0.5934323690383112</v>
      </c>
      <c r="AV134" s="57">
        <f t="shared" si="70"/>
        <v>255.14397799999998</v>
      </c>
      <c r="AW134" s="57">
        <f t="shared" si="71"/>
        <v>25.42</v>
      </c>
      <c r="AX134" s="57">
        <f t="shared" si="72"/>
        <v>15.180000000000001</v>
      </c>
      <c r="AY134" s="57">
        <f t="shared" ref="AY134:AY197" si="74">IF(AND(ISNUMBER(AC134),ISNUMBER(AE134)),AC134-AE134,"")</f>
        <v>16.599999999999998</v>
      </c>
      <c r="AZ134" s="57">
        <f t="shared" ref="AZ134:AZ197" si="75">IF(AND(ISNUMBER(AL134),ISNUMBER(AM134)),AL134-AM134,"")</f>
        <v>5.2999999999999989</v>
      </c>
      <c r="BA134" s="84">
        <f t="shared" si="62"/>
        <v>0.99934589573347687</v>
      </c>
      <c r="BB134" s="84">
        <f t="shared" si="63"/>
        <v>0.99686274509803929</v>
      </c>
      <c r="BC134" s="84">
        <f t="shared" si="64"/>
        <v>0.13414634146341464</v>
      </c>
      <c r="BD134" s="84">
        <f t="shared" ref="BD134:BD197" si="76">IF(AND($G134&gt;0,$AM134&gt;0),IF(($G134-$AM134)/$G134&gt;0,($G134-$AM134)/$G134,0),"")</f>
        <v>0.5934323690383112</v>
      </c>
      <c r="BE134" s="6">
        <f t="shared" si="73"/>
        <v>8.7154285714285731</v>
      </c>
      <c r="BF134" s="6">
        <f t="shared" ref="BF134:BF197" si="77">IF(OR(AJ134=0,AP134=0,NOT(ISNUMBER(AD134)),NOT(ISNUMBER(AF134)),NOT(ISNUMBER(AJ134)),NOT(ISNUMBER(AP134))),"",
IFERROR(IF((AD134-AF134)/(AJ134/60)/(AP134/1000)&lt;=0,"",(AD134-AF134)/(AJ134/60)/(AP134/1000)),""))</f>
        <v>1.9196979232221489</v>
      </c>
    </row>
    <row r="135" spans="1:58" ht="15.75">
      <c r="B135" s="11">
        <v>45395</v>
      </c>
      <c r="D135" s="3">
        <v>130</v>
      </c>
      <c r="E135" s="205" t="str">
        <f t="shared" ref="E135:E198" si="78">IF(OR(S135="",S135=0),"",S135*2)</f>
        <v/>
      </c>
      <c r="I135" s="15">
        <f t="shared" si="60"/>
        <v>26.383333333333333</v>
      </c>
      <c r="K135" s="10" t="str">
        <f t="shared" si="54"/>
        <v/>
      </c>
      <c r="L135" s="9" t="str">
        <f t="shared" si="55"/>
        <v/>
      </c>
      <c r="M135" s="8" t="str">
        <f t="shared" si="56"/>
        <v/>
      </c>
      <c r="AB135" s="5">
        <v>80</v>
      </c>
      <c r="AD135" s="168">
        <f>(AD134*2/3+AD137*1/3)</f>
        <v>26.383333333333333</v>
      </c>
      <c r="AG135">
        <v>2.8</v>
      </c>
      <c r="AH135" s="119">
        <v>0.43263888888888891</v>
      </c>
      <c r="AJ135" s="1">
        <v>175</v>
      </c>
      <c r="AK135" s="3">
        <v>180</v>
      </c>
      <c r="AN135" s="80">
        <f t="shared" si="65"/>
        <v>100</v>
      </c>
      <c r="AO135" s="165"/>
      <c r="AP135" s="13">
        <f t="shared" ref="AP135:AP198" si="79">AVERAGE(AO133:AO139)</f>
        <v>3690.0000000000091</v>
      </c>
      <c r="AQ135" s="15" t="str">
        <f>IF(ISNUMBER([1]HRT_SRT!R189),[1]HRT_SRT!R189,"")</f>
        <v/>
      </c>
      <c r="AR135" s="17" t="e">
        <f t="shared" si="66"/>
        <v>#VALUE!</v>
      </c>
      <c r="AS135" s="16">
        <f t="shared" si="67"/>
        <v>1</v>
      </c>
      <c r="AT135" s="16">
        <f t="shared" si="68"/>
        <v>0.10612760581174983</v>
      </c>
      <c r="AU135" s="16" t="e">
        <f t="shared" si="69"/>
        <v>#DIV/0!</v>
      </c>
      <c r="AV135" s="57" t="str">
        <f t="shared" si="70"/>
        <v/>
      </c>
      <c r="AW135" s="57" t="str">
        <f t="shared" si="71"/>
        <v/>
      </c>
      <c r="AX135" s="57" t="str">
        <f t="shared" si="72"/>
        <v/>
      </c>
      <c r="AY135" s="57" t="str">
        <f t="shared" si="74"/>
        <v/>
      </c>
      <c r="AZ135" s="57" t="str">
        <f t="shared" si="75"/>
        <v/>
      </c>
      <c r="BA135" s="84" t="str">
        <f t="shared" si="62"/>
        <v/>
      </c>
      <c r="BB135" s="84">
        <f t="shared" si="63"/>
        <v>1</v>
      </c>
      <c r="BC135" s="84">
        <f t="shared" si="64"/>
        <v>0.10612760581174983</v>
      </c>
      <c r="BD135" s="84" t="str">
        <f t="shared" si="76"/>
        <v/>
      </c>
      <c r="BE135" s="6">
        <f t="shared" si="73"/>
        <v>9.0457142857142863</v>
      </c>
      <c r="BF135" s="6" t="str">
        <f t="shared" si="77"/>
        <v/>
      </c>
    </row>
    <row r="136" spans="1:58" ht="15.75">
      <c r="A136" s="12" t="s">
        <v>147</v>
      </c>
      <c r="B136" s="11">
        <v>45396</v>
      </c>
      <c r="D136" s="3">
        <v>131</v>
      </c>
      <c r="E136" s="205" t="str">
        <f t="shared" si="78"/>
        <v/>
      </c>
      <c r="I136" s="15">
        <f t="shared" si="60"/>
        <v>27.56111111111111</v>
      </c>
      <c r="K136" s="10" t="str">
        <f t="shared" si="54"/>
        <v/>
      </c>
      <c r="L136" s="9" t="str">
        <f t="shared" si="55"/>
        <v/>
      </c>
      <c r="M136" s="8" t="str">
        <f t="shared" si="56"/>
        <v/>
      </c>
      <c r="AB136" s="5">
        <v>80</v>
      </c>
      <c r="AD136" s="168">
        <f>(AD135*1/3+AD137*2/3)</f>
        <v>27.56111111111111</v>
      </c>
      <c r="AG136">
        <v>2.72</v>
      </c>
      <c r="AH136" s="119">
        <v>0.43993055555555555</v>
      </c>
      <c r="AJ136" s="1">
        <v>175</v>
      </c>
      <c r="AK136" s="3">
        <v>180</v>
      </c>
      <c r="AN136" s="80">
        <f t="shared" si="65"/>
        <v>100</v>
      </c>
      <c r="AO136" s="165"/>
      <c r="AP136" s="13">
        <f t="shared" si="79"/>
        <v>3690.0000000000091</v>
      </c>
      <c r="AQ136" s="15" t="str">
        <f>IF(ISNUMBER([1]HRT_SRT!R190),[1]HRT_SRT!R190,"")</f>
        <v/>
      </c>
      <c r="AR136" s="17" t="e">
        <f t="shared" si="66"/>
        <v>#VALUE!</v>
      </c>
      <c r="AS136" s="16">
        <f t="shared" si="67"/>
        <v>1</v>
      </c>
      <c r="AT136" s="16">
        <f t="shared" si="68"/>
        <v>9.8689780286232626E-2</v>
      </c>
      <c r="AU136" s="16" t="e">
        <f t="shared" si="69"/>
        <v>#DIV/0!</v>
      </c>
      <c r="AV136" s="57" t="str">
        <f t="shared" si="70"/>
        <v/>
      </c>
      <c r="AW136" s="57" t="str">
        <f t="shared" si="71"/>
        <v/>
      </c>
      <c r="AX136" s="57" t="str">
        <f t="shared" si="72"/>
        <v/>
      </c>
      <c r="AY136" s="57" t="str">
        <f t="shared" si="74"/>
        <v/>
      </c>
      <c r="AZ136" s="57" t="str">
        <f t="shared" si="75"/>
        <v/>
      </c>
      <c r="BA136" s="84" t="str">
        <f t="shared" si="62"/>
        <v/>
      </c>
      <c r="BB136" s="84">
        <f t="shared" si="63"/>
        <v>1</v>
      </c>
      <c r="BC136" s="84">
        <f t="shared" si="64"/>
        <v>9.8689780286232626E-2</v>
      </c>
      <c r="BD136" s="84" t="str">
        <f t="shared" si="76"/>
        <v/>
      </c>
      <c r="BE136" s="6">
        <f t="shared" si="73"/>
        <v>9.449523809523809</v>
      </c>
      <c r="BF136" s="6" t="str">
        <f t="shared" si="77"/>
        <v/>
      </c>
    </row>
    <row r="137" spans="1:58" ht="30">
      <c r="A137" s="12" t="s">
        <v>146</v>
      </c>
      <c r="B137" s="11">
        <v>45397</v>
      </c>
      <c r="D137" s="3">
        <v>132</v>
      </c>
      <c r="E137" s="205">
        <f t="shared" si="78"/>
        <v>185.51476000000002</v>
      </c>
      <c r="G137" s="15">
        <f>(N137*18-H137*18)/9</f>
        <v>21.600000000000005</v>
      </c>
      <c r="H137" s="15">
        <v>24.9</v>
      </c>
      <c r="I137" s="15">
        <f t="shared" si="60"/>
        <v>28.15</v>
      </c>
      <c r="K137" s="10">
        <f t="shared" si="54"/>
        <v>8.5886462962962948</v>
      </c>
      <c r="L137" s="9">
        <f t="shared" si="55"/>
        <v>3.2951111900532863</v>
      </c>
      <c r="M137" s="8">
        <f t="shared" si="56"/>
        <v>2.606481481481481</v>
      </c>
      <c r="N137" s="7">
        <v>35.700000000000003</v>
      </c>
      <c r="O137" s="6">
        <v>68.894000000000005</v>
      </c>
      <c r="P137" s="6">
        <v>12.712999999999999</v>
      </c>
      <c r="Q137" s="6">
        <f>O137*1.067</f>
        <v>73.509898000000007</v>
      </c>
      <c r="R137" s="6">
        <f>P137*1.514</f>
        <v>19.247481999999998</v>
      </c>
      <c r="S137" s="23">
        <f>P137*1.514+O137*1.067</f>
        <v>92.757380000000012</v>
      </c>
      <c r="T137" s="6">
        <v>44.8</v>
      </c>
      <c r="W137" s="6">
        <f>0.174+0.432</f>
        <v>0.60599999999999998</v>
      </c>
      <c r="AB137" s="5">
        <v>80</v>
      </c>
      <c r="AC137" s="7">
        <f>T137</f>
        <v>44.8</v>
      </c>
      <c r="AD137" s="1">
        <f>5*5.63</f>
        <v>28.15</v>
      </c>
      <c r="AE137" s="1">
        <v>48.8</v>
      </c>
      <c r="AF137" s="1">
        <v>0</v>
      </c>
      <c r="AG137">
        <v>0.36</v>
      </c>
      <c r="AH137"/>
      <c r="AJ137" s="1">
        <v>175</v>
      </c>
      <c r="AK137" s="3">
        <v>180</v>
      </c>
      <c r="AL137" s="4">
        <f>AE137</f>
        <v>48.8</v>
      </c>
      <c r="AM137" s="1">
        <v>45</v>
      </c>
      <c r="AN137" s="80">
        <f t="shared" si="65"/>
        <v>100</v>
      </c>
      <c r="AO137" s="165"/>
      <c r="AP137" s="13">
        <f t="shared" si="79"/>
        <v>3690.0000000000091</v>
      </c>
      <c r="AQ137" s="15" t="str">
        <f>IF(ISNUMBER([1]HRT_SRT!R191),[1]HRT_SRT!R191,"")</f>
        <v/>
      </c>
      <c r="AR137" s="17">
        <f t="shared" si="66"/>
        <v>0.9967334135569591</v>
      </c>
      <c r="AS137" s="16">
        <f t="shared" si="67"/>
        <v>1</v>
      </c>
      <c r="AT137" s="16">
        <f t="shared" si="68"/>
        <v>1.2788632326820605E-2</v>
      </c>
      <c r="AU137" s="16">
        <f t="shared" si="69"/>
        <v>-1.0833333333333328</v>
      </c>
      <c r="AV137" s="57">
        <f t="shared" si="70"/>
        <v>184.90876000000003</v>
      </c>
      <c r="AW137" s="57">
        <f t="shared" si="71"/>
        <v>28.15</v>
      </c>
      <c r="AX137" s="57">
        <f t="shared" si="72"/>
        <v>-23.399999999999995</v>
      </c>
      <c r="AY137" s="57">
        <f t="shared" si="74"/>
        <v>-4</v>
      </c>
      <c r="AZ137" s="57">
        <f t="shared" si="75"/>
        <v>3.7999999999999972</v>
      </c>
      <c r="BA137" s="84">
        <f t="shared" si="62"/>
        <v>0.9967334135569591</v>
      </c>
      <c r="BB137" s="84">
        <f t="shared" si="63"/>
        <v>1</v>
      </c>
      <c r="BC137" s="84">
        <f t="shared" si="64"/>
        <v>1.2788632326820605E-2</v>
      </c>
      <c r="BD137" s="84">
        <f t="shared" si="76"/>
        <v>0</v>
      </c>
      <c r="BE137" s="6">
        <f t="shared" si="73"/>
        <v>9.6514285714285712</v>
      </c>
      <c r="BF137" s="6">
        <f t="shared" si="77"/>
        <v>2.6155632984901209</v>
      </c>
    </row>
    <row r="138" spans="1:58" ht="15.75">
      <c r="B138" s="11">
        <v>45398</v>
      </c>
      <c r="D138" s="3">
        <v>133</v>
      </c>
      <c r="E138" s="205">
        <f t="shared" si="78"/>
        <v>256.16678000000002</v>
      </c>
      <c r="G138" s="15">
        <f>(N138*18-H138*18)/9</f>
        <v>27.56</v>
      </c>
      <c r="H138" s="9">
        <v>8.7200000000000006</v>
      </c>
      <c r="I138" s="15">
        <f t="shared" si="60"/>
        <v>25.4</v>
      </c>
      <c r="K138" s="10">
        <f t="shared" si="54"/>
        <v>9.2948759071117575</v>
      </c>
      <c r="L138" s="9">
        <f t="shared" si="55"/>
        <v>5.0426531496062994</v>
      </c>
      <c r="M138" s="8">
        <f t="shared" si="56"/>
        <v>1.8432510885341074</v>
      </c>
      <c r="N138" s="7">
        <v>22.5</v>
      </c>
      <c r="O138" s="6">
        <v>93.938000000000002</v>
      </c>
      <c r="P138" s="6">
        <v>18.396000000000001</v>
      </c>
      <c r="Q138" s="6">
        <f>O138*1.067</f>
        <v>100.231846</v>
      </c>
      <c r="R138" s="6">
        <f>P138*1.514</f>
        <v>27.851544000000001</v>
      </c>
      <c r="S138" s="23">
        <f>P138*1.514+O138*1.067</f>
        <v>128.08339000000001</v>
      </c>
      <c r="T138" s="6">
        <v>33.299999999999997</v>
      </c>
      <c r="W138" s="6">
        <v>0</v>
      </c>
      <c r="AB138" s="5">
        <v>80</v>
      </c>
      <c r="AC138" s="7">
        <f>T138</f>
        <v>33.299999999999997</v>
      </c>
      <c r="AD138" s="1">
        <f>5*5.08</f>
        <v>25.4</v>
      </c>
      <c r="AE138" s="1">
        <v>19.100000000000001</v>
      </c>
      <c r="AF138" s="1">
        <v>0</v>
      </c>
      <c r="AG138">
        <v>1.74</v>
      </c>
      <c r="AH138" s="119">
        <v>0.3994212962962963</v>
      </c>
      <c r="AJ138" s="1">
        <v>175</v>
      </c>
      <c r="AK138" s="3">
        <v>180</v>
      </c>
      <c r="AL138" s="4">
        <f>AE138</f>
        <v>19.100000000000001</v>
      </c>
      <c r="AM138" s="1">
        <v>13</v>
      </c>
      <c r="AN138" s="80">
        <f t="shared" si="65"/>
        <v>100</v>
      </c>
      <c r="AO138" s="165"/>
      <c r="AP138" s="13">
        <f t="shared" si="79"/>
        <v>3690.0000000000091</v>
      </c>
      <c r="AQ138" s="15" t="str">
        <f>IF(ISNUMBER([1]HRT_SRT!R192),[1]HRT_SRT!R192,"")</f>
        <v/>
      </c>
      <c r="AR138" s="17">
        <f t="shared" si="66"/>
        <v>1</v>
      </c>
      <c r="AS138" s="16">
        <f t="shared" si="67"/>
        <v>1</v>
      </c>
      <c r="AT138" s="16">
        <f t="shared" si="68"/>
        <v>6.8503937007874022E-2</v>
      </c>
      <c r="AU138" s="16">
        <f t="shared" si="69"/>
        <v>0.52830188679245282</v>
      </c>
      <c r="AV138" s="57">
        <f t="shared" si="70"/>
        <v>256.16678000000002</v>
      </c>
      <c r="AW138" s="57">
        <f t="shared" si="71"/>
        <v>25.4</v>
      </c>
      <c r="AX138" s="57">
        <f t="shared" si="72"/>
        <v>14.559999999999999</v>
      </c>
      <c r="AY138" s="57">
        <f t="shared" si="74"/>
        <v>14.199999999999996</v>
      </c>
      <c r="AZ138" s="57">
        <f t="shared" si="75"/>
        <v>6.1000000000000014</v>
      </c>
      <c r="BA138" s="84" t="str">
        <f t="shared" si="62"/>
        <v/>
      </c>
      <c r="BB138" s="84">
        <f t="shared" si="63"/>
        <v>1</v>
      </c>
      <c r="BC138" s="84">
        <f t="shared" si="64"/>
        <v>6.8503937007874022E-2</v>
      </c>
      <c r="BD138" s="84">
        <f t="shared" si="76"/>
        <v>0.52830188679245282</v>
      </c>
      <c r="BE138" s="6">
        <f t="shared" si="73"/>
        <v>8.7085714285714282</v>
      </c>
      <c r="BF138" s="6">
        <f t="shared" si="77"/>
        <v>2.3600464576074272</v>
      </c>
    </row>
    <row r="139" spans="1:58" ht="15.75">
      <c r="B139" s="167">
        <v>45399</v>
      </c>
      <c r="C139" s="166"/>
      <c r="D139" s="136">
        <v>134</v>
      </c>
      <c r="E139" s="205">
        <f t="shared" si="78"/>
        <v>306.13541599999996</v>
      </c>
      <c r="G139" s="15">
        <f>(N139*18-H139*18)/9</f>
        <v>25.639999999999997</v>
      </c>
      <c r="H139" s="9">
        <v>8.8800000000000008</v>
      </c>
      <c r="I139" s="15">
        <f t="shared" si="60"/>
        <v>27.450000000000003</v>
      </c>
      <c r="K139" s="10">
        <f t="shared" si="54"/>
        <v>11.939758814352574</v>
      </c>
      <c r="L139" s="9">
        <f t="shared" si="55"/>
        <v>5.5762370856101988</v>
      </c>
      <c r="M139" s="8">
        <f t="shared" si="56"/>
        <v>2.1411856474258975</v>
      </c>
      <c r="N139" s="7">
        <v>21.7</v>
      </c>
      <c r="O139" s="6">
        <v>87.712000000000003</v>
      </c>
      <c r="P139" s="6">
        <v>39.286000000000001</v>
      </c>
      <c r="Q139" s="6">
        <f>O139*1.067</f>
        <v>93.588703999999993</v>
      </c>
      <c r="R139" s="6">
        <f>P139*1.514</f>
        <v>59.479004000000003</v>
      </c>
      <c r="S139" s="23">
        <f>P139*1.514+O139*1.067</f>
        <v>153.06770799999998</v>
      </c>
      <c r="T139" s="6">
        <v>33.200000000000003</v>
      </c>
      <c r="W139" s="6">
        <v>0</v>
      </c>
      <c r="X139" s="6">
        <v>5.7</v>
      </c>
      <c r="AB139" s="5">
        <v>80</v>
      </c>
      <c r="AC139" s="7">
        <f>T139</f>
        <v>33.200000000000003</v>
      </c>
      <c r="AD139" s="1">
        <f>5*5.49</f>
        <v>27.450000000000003</v>
      </c>
      <c r="AE139" s="1">
        <v>20.3</v>
      </c>
      <c r="AF139" s="1">
        <f>2*3.19</f>
        <v>6.38</v>
      </c>
      <c r="AG139">
        <v>3.64</v>
      </c>
      <c r="AH139" s="119">
        <v>0.44849537037037035</v>
      </c>
      <c r="AJ139" s="1">
        <v>175</v>
      </c>
      <c r="AK139" s="3">
        <v>180</v>
      </c>
      <c r="AL139" s="4">
        <f>AE139</f>
        <v>20.3</v>
      </c>
      <c r="AM139" s="1">
        <v>14.9</v>
      </c>
      <c r="AN139" s="80">
        <f t="shared" si="65"/>
        <v>100</v>
      </c>
      <c r="AO139" s="165">
        <f>[1]HRT_SRT!P193</f>
        <v>3690.0000000000091</v>
      </c>
      <c r="AP139" s="13">
        <f t="shared" si="79"/>
        <v>3690.0000000000091</v>
      </c>
      <c r="AQ139" s="15">
        <f>IF(ISNUMBER([1]HRT_SRT!R193),[1]HRT_SRT!R193,"")</f>
        <v>14.19230769230745</v>
      </c>
      <c r="AR139" s="17">
        <f t="shared" si="66"/>
        <v>1</v>
      </c>
      <c r="AS139" s="16">
        <f t="shared" si="67"/>
        <v>0.76757741347905284</v>
      </c>
      <c r="AT139" s="16">
        <f t="shared" si="68"/>
        <v>0.17275747508305644</v>
      </c>
      <c r="AU139" s="16">
        <f t="shared" si="69"/>
        <v>0.41887675507020272</v>
      </c>
      <c r="AV139" s="57">
        <f t="shared" si="70"/>
        <v>306.13541599999996</v>
      </c>
      <c r="AW139" s="57">
        <f t="shared" si="71"/>
        <v>21.070000000000004</v>
      </c>
      <c r="AX139" s="57">
        <f t="shared" si="72"/>
        <v>10.739999999999997</v>
      </c>
      <c r="AY139" s="57">
        <f t="shared" si="74"/>
        <v>12.900000000000002</v>
      </c>
      <c r="AZ139" s="57">
        <f t="shared" si="75"/>
        <v>5.4</v>
      </c>
      <c r="BA139" s="84" t="str">
        <f t="shared" si="62"/>
        <v/>
      </c>
      <c r="BB139" s="84">
        <f t="shared" si="63"/>
        <v>0.76757741347905284</v>
      </c>
      <c r="BC139" s="84">
        <f t="shared" si="64"/>
        <v>0.17275747508305644</v>
      </c>
      <c r="BD139" s="84">
        <f t="shared" si="76"/>
        <v>0.41887675507020272</v>
      </c>
      <c r="BE139" s="6">
        <f t="shared" si="73"/>
        <v>7.224000000000002</v>
      </c>
      <c r="BF139" s="6">
        <f t="shared" si="77"/>
        <v>1.957723577235768</v>
      </c>
    </row>
    <row r="140" spans="1:58" ht="45">
      <c r="A140" s="12" t="s">
        <v>145</v>
      </c>
      <c r="B140" s="11">
        <v>45400</v>
      </c>
      <c r="D140" s="3">
        <v>135</v>
      </c>
      <c r="E140" s="205" t="str">
        <f t="shared" si="78"/>
        <v/>
      </c>
      <c r="I140" s="15">
        <f t="shared" si="60"/>
        <v>26.25</v>
      </c>
      <c r="K140" s="10" t="str">
        <f t="shared" si="54"/>
        <v/>
      </c>
      <c r="L140" s="9" t="str">
        <f t="shared" si="55"/>
        <v/>
      </c>
      <c r="M140" s="8" t="str">
        <f t="shared" si="56"/>
        <v/>
      </c>
      <c r="X140" s="6">
        <v>7.64</v>
      </c>
      <c r="AB140" s="5">
        <v>80</v>
      </c>
      <c r="AC140" s="4">
        <v>33.6</v>
      </c>
      <c r="AD140" s="1">
        <f>5*5.25</f>
        <v>26.25</v>
      </c>
      <c r="AE140" s="1">
        <v>64</v>
      </c>
      <c r="AF140" s="1">
        <f>2*4.87</f>
        <v>9.74</v>
      </c>
      <c r="AG140">
        <v>3.88</v>
      </c>
      <c r="AH140" s="119">
        <v>0.47824074074074074</v>
      </c>
      <c r="AJ140" s="1">
        <v>175</v>
      </c>
      <c r="AK140" s="3">
        <v>180</v>
      </c>
      <c r="AL140" s="4">
        <f>AE140</f>
        <v>64</v>
      </c>
      <c r="AM140" s="1">
        <v>60.5</v>
      </c>
      <c r="AN140" s="80">
        <f t="shared" si="65"/>
        <v>100</v>
      </c>
      <c r="AO140" s="165"/>
      <c r="AP140" s="13">
        <f t="shared" si="79"/>
        <v>3250</v>
      </c>
      <c r="AQ140" s="15" t="str">
        <f>IF(ISNUMBER([1]HRT_SRT!R194),[1]HRT_SRT!R194,"")</f>
        <v/>
      </c>
      <c r="AR140" s="17" t="e">
        <f t="shared" si="66"/>
        <v>#VALUE!</v>
      </c>
      <c r="AS140" s="16">
        <f t="shared" si="67"/>
        <v>0.62895238095238093</v>
      </c>
      <c r="AT140" s="16">
        <f t="shared" si="68"/>
        <v>0.2350090854027862</v>
      </c>
      <c r="AU140" s="16" t="e">
        <f t="shared" si="69"/>
        <v>#DIV/0!</v>
      </c>
      <c r="AV140" s="57" t="str">
        <f t="shared" si="70"/>
        <v/>
      </c>
      <c r="AW140" s="57">
        <f t="shared" si="71"/>
        <v>16.509999999999998</v>
      </c>
      <c r="AX140" s="57" t="str">
        <f t="shared" si="72"/>
        <v/>
      </c>
      <c r="AY140" s="57">
        <f t="shared" si="74"/>
        <v>-30.4</v>
      </c>
      <c r="AZ140" s="57">
        <f t="shared" si="75"/>
        <v>3.5</v>
      </c>
      <c r="BA140" s="84" t="str">
        <f t="shared" si="62"/>
        <v/>
      </c>
      <c r="BB140" s="84">
        <f t="shared" si="63"/>
        <v>0.62895238095238093</v>
      </c>
      <c r="BC140" s="84">
        <f t="shared" si="64"/>
        <v>0.2350090854027862</v>
      </c>
      <c r="BD140" s="84" t="str">
        <f t="shared" si="76"/>
        <v/>
      </c>
      <c r="BE140" s="6">
        <f t="shared" si="73"/>
        <v>5.6605714285714281</v>
      </c>
      <c r="BF140" s="6">
        <f t="shared" si="77"/>
        <v>1.7417142857142855</v>
      </c>
    </row>
    <row r="141" spans="1:58" s="137" customFormat="1" ht="15.75">
      <c r="A141" s="154" t="s">
        <v>144</v>
      </c>
      <c r="B141" s="173">
        <v>45401</v>
      </c>
      <c r="C141" s="172"/>
      <c r="D141" s="145">
        <v>136</v>
      </c>
      <c r="E141" s="205" t="str">
        <f t="shared" si="78"/>
        <v/>
      </c>
      <c r="F141" s="153"/>
      <c r="G141" s="153"/>
      <c r="H141" s="153"/>
      <c r="I141" s="15">
        <f t="shared" si="60"/>
        <v>0</v>
      </c>
      <c r="J141" s="152"/>
      <c r="K141" s="10" t="str">
        <f t="shared" si="54"/>
        <v/>
      </c>
      <c r="L141" s="9" t="str">
        <f t="shared" si="55"/>
        <v/>
      </c>
      <c r="M141" s="8" t="str">
        <f t="shared" si="56"/>
        <v/>
      </c>
      <c r="N141" s="151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>
        <v>4.9000000000000004</v>
      </c>
      <c r="Y141" s="150"/>
      <c r="Z141" s="150"/>
      <c r="AA141" s="150"/>
      <c r="AB141" s="149">
        <v>80</v>
      </c>
      <c r="AC141" s="141"/>
      <c r="AG141" s="147">
        <v>0.82</v>
      </c>
      <c r="AH141" s="146">
        <v>0.42905092592592592</v>
      </c>
      <c r="AJ141" s="170">
        <v>175</v>
      </c>
      <c r="AK141" s="145">
        <v>180</v>
      </c>
      <c r="AL141" s="141"/>
      <c r="AN141" s="144">
        <f t="shared" si="65"/>
        <v>100</v>
      </c>
      <c r="AO141" s="169"/>
      <c r="AP141" s="13">
        <f t="shared" si="79"/>
        <v>3250</v>
      </c>
      <c r="AQ141" s="142" t="str">
        <f>IF(ISNUMBER([1]HRT_SRT!R195),[1]HRT_SRT!R195,"")</f>
        <v/>
      </c>
      <c r="AR141" s="17" t="e">
        <f t="shared" si="66"/>
        <v>#VALUE!</v>
      </c>
      <c r="AS141" s="16" t="e">
        <f t="shared" si="67"/>
        <v>#DIV/0!</v>
      </c>
      <c r="AT141" s="16" t="e">
        <f t="shared" si="68"/>
        <v>#DIV/0!</v>
      </c>
      <c r="AU141" s="16" t="e">
        <f t="shared" si="69"/>
        <v>#DIV/0!</v>
      </c>
      <c r="AV141" s="57" t="str">
        <f t="shared" si="70"/>
        <v/>
      </c>
      <c r="AW141" s="57" t="str">
        <f t="shared" si="71"/>
        <v/>
      </c>
      <c r="AX141" s="57" t="str">
        <f t="shared" si="72"/>
        <v/>
      </c>
      <c r="AY141" s="57" t="str">
        <f t="shared" si="74"/>
        <v/>
      </c>
      <c r="AZ141" s="57" t="str">
        <f t="shared" si="75"/>
        <v/>
      </c>
      <c r="BA141" s="84" t="str">
        <f t="shared" si="62"/>
        <v/>
      </c>
      <c r="BB141" s="84" t="str">
        <f t="shared" si="63"/>
        <v/>
      </c>
      <c r="BC141" s="84" t="e">
        <f t="shared" si="64"/>
        <v>#DIV/0!</v>
      </c>
      <c r="BD141" s="84" t="str">
        <f t="shared" si="76"/>
        <v/>
      </c>
      <c r="BE141" s="6" t="str">
        <f t="shared" si="73"/>
        <v/>
      </c>
      <c r="BF141" s="6" t="str">
        <f t="shared" si="77"/>
        <v/>
      </c>
    </row>
    <row r="142" spans="1:58" s="137" customFormat="1" ht="15.75">
      <c r="A142" s="154" t="s">
        <v>144</v>
      </c>
      <c r="B142" s="173">
        <v>45402</v>
      </c>
      <c r="C142" s="172"/>
      <c r="D142" s="145">
        <v>137</v>
      </c>
      <c r="E142" s="205" t="str">
        <f t="shared" si="78"/>
        <v/>
      </c>
      <c r="F142" s="153"/>
      <c r="G142" s="153"/>
      <c r="H142" s="153"/>
      <c r="I142" s="15">
        <f t="shared" si="60"/>
        <v>0</v>
      </c>
      <c r="J142" s="152"/>
      <c r="K142" s="10" t="str">
        <f t="shared" si="54"/>
        <v/>
      </c>
      <c r="L142" s="9" t="str">
        <f t="shared" si="55"/>
        <v/>
      </c>
      <c r="M142" s="8" t="str">
        <f t="shared" si="56"/>
        <v/>
      </c>
      <c r="N142" s="151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  <c r="AB142" s="149">
        <v>80</v>
      </c>
      <c r="AC142" s="141"/>
      <c r="AJ142" s="170">
        <v>175</v>
      </c>
      <c r="AK142" s="145">
        <v>180</v>
      </c>
      <c r="AL142" s="141"/>
      <c r="AN142" s="144">
        <f t="shared" si="65"/>
        <v>100</v>
      </c>
      <c r="AO142" s="169"/>
      <c r="AP142" s="13">
        <f t="shared" si="79"/>
        <v>2809.9999999999909</v>
      </c>
      <c r="AQ142" s="142" t="str">
        <f>IF(ISNUMBER([1]HRT_SRT!R196),[1]HRT_SRT!R196,"")</f>
        <v/>
      </c>
      <c r="AR142" s="17" t="e">
        <f t="shared" si="66"/>
        <v>#VALUE!</v>
      </c>
      <c r="AS142" s="16" t="e">
        <f t="shared" si="67"/>
        <v>#DIV/0!</v>
      </c>
      <c r="AT142" s="16" t="e">
        <f t="shared" si="68"/>
        <v>#DIV/0!</v>
      </c>
      <c r="AU142" s="16" t="e">
        <f t="shared" si="69"/>
        <v>#DIV/0!</v>
      </c>
      <c r="AV142" s="57" t="str">
        <f t="shared" si="70"/>
        <v/>
      </c>
      <c r="AW142" s="57" t="str">
        <f t="shared" si="71"/>
        <v/>
      </c>
      <c r="AX142" s="57" t="str">
        <f t="shared" si="72"/>
        <v/>
      </c>
      <c r="AY142" s="57" t="str">
        <f t="shared" si="74"/>
        <v/>
      </c>
      <c r="AZ142" s="57" t="str">
        <f t="shared" si="75"/>
        <v/>
      </c>
      <c r="BA142" s="84" t="str">
        <f t="shared" si="62"/>
        <v/>
      </c>
      <c r="BB142" s="84" t="str">
        <f t="shared" si="63"/>
        <v/>
      </c>
      <c r="BC142" s="84" t="e">
        <f t="shared" si="64"/>
        <v>#DIV/0!</v>
      </c>
      <c r="BD142" s="84" t="str">
        <f t="shared" si="76"/>
        <v/>
      </c>
      <c r="BE142" s="6" t="str">
        <f t="shared" si="73"/>
        <v/>
      </c>
      <c r="BF142" s="6" t="str">
        <f t="shared" si="77"/>
        <v/>
      </c>
    </row>
    <row r="143" spans="1:58" s="137" customFormat="1" ht="15.75">
      <c r="A143" s="154" t="s">
        <v>144</v>
      </c>
      <c r="B143" s="173">
        <v>45403</v>
      </c>
      <c r="C143" s="172"/>
      <c r="D143" s="145">
        <v>138</v>
      </c>
      <c r="E143" s="205" t="str">
        <f t="shared" si="78"/>
        <v/>
      </c>
      <c r="F143" s="153"/>
      <c r="G143" s="153"/>
      <c r="H143" s="153"/>
      <c r="I143" s="15">
        <f t="shared" si="60"/>
        <v>0</v>
      </c>
      <c r="J143" s="152"/>
      <c r="K143" s="10" t="str">
        <f t="shared" si="54"/>
        <v/>
      </c>
      <c r="L143" s="9" t="str">
        <f t="shared" si="55"/>
        <v/>
      </c>
      <c r="M143" s="8" t="str">
        <f t="shared" si="56"/>
        <v/>
      </c>
      <c r="N143" s="151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>
        <v>9.77</v>
      </c>
      <c r="Y143" s="150"/>
      <c r="Z143" s="150"/>
      <c r="AA143" s="150"/>
      <c r="AB143" s="149">
        <v>80</v>
      </c>
      <c r="AC143" s="141"/>
      <c r="AJ143" s="170">
        <v>175</v>
      </c>
      <c r="AK143" s="145">
        <v>180</v>
      </c>
      <c r="AL143" s="141"/>
      <c r="AN143" s="144">
        <f t="shared" si="65"/>
        <v>100</v>
      </c>
      <c r="AO143" s="169"/>
      <c r="AP143" s="13">
        <f t="shared" si="79"/>
        <v>2809.9999999999909</v>
      </c>
      <c r="AQ143" s="142" t="str">
        <f>IF(ISNUMBER([1]HRT_SRT!R197),[1]HRT_SRT!R197,"")</f>
        <v/>
      </c>
      <c r="AR143" s="17" t="e">
        <f t="shared" si="66"/>
        <v>#VALUE!</v>
      </c>
      <c r="AS143" s="16" t="e">
        <f t="shared" si="67"/>
        <v>#DIV/0!</v>
      </c>
      <c r="AT143" s="16" t="e">
        <f t="shared" si="68"/>
        <v>#DIV/0!</v>
      </c>
      <c r="AU143" s="16" t="e">
        <f t="shared" si="69"/>
        <v>#DIV/0!</v>
      </c>
      <c r="AV143" s="57" t="str">
        <f t="shared" si="70"/>
        <v/>
      </c>
      <c r="AW143" s="57" t="str">
        <f t="shared" si="71"/>
        <v/>
      </c>
      <c r="AX143" s="57" t="str">
        <f t="shared" si="72"/>
        <v/>
      </c>
      <c r="AY143" s="57" t="str">
        <f t="shared" si="74"/>
        <v/>
      </c>
      <c r="AZ143" s="57" t="str">
        <f t="shared" si="75"/>
        <v/>
      </c>
      <c r="BA143" s="84" t="str">
        <f t="shared" si="62"/>
        <v/>
      </c>
      <c r="BB143" s="84" t="str">
        <f t="shared" si="63"/>
        <v/>
      </c>
      <c r="BC143" s="84" t="e">
        <f t="shared" si="64"/>
        <v>#DIV/0!</v>
      </c>
      <c r="BD143" s="84" t="str">
        <f t="shared" si="76"/>
        <v/>
      </c>
      <c r="BE143" s="6" t="str">
        <f t="shared" si="73"/>
        <v/>
      </c>
      <c r="BF143" s="6" t="str">
        <f t="shared" si="77"/>
        <v/>
      </c>
    </row>
    <row r="144" spans="1:58" s="137" customFormat="1" ht="15.75">
      <c r="A144" s="154" t="s">
        <v>144</v>
      </c>
      <c r="B144" s="175">
        <v>45404</v>
      </c>
      <c r="C144" s="174"/>
      <c r="D144" s="136">
        <v>139</v>
      </c>
      <c r="E144" s="205" t="str">
        <f t="shared" si="78"/>
        <v/>
      </c>
      <c r="F144" s="153"/>
      <c r="G144" s="153"/>
      <c r="H144" s="153">
        <v>9.99</v>
      </c>
      <c r="I144" s="15">
        <f t="shared" si="60"/>
        <v>8.6999999999999993</v>
      </c>
      <c r="J144" s="152"/>
      <c r="K144" s="10" t="str">
        <f t="shared" si="54"/>
        <v/>
      </c>
      <c r="L144" s="9" t="str">
        <f t="shared" si="55"/>
        <v/>
      </c>
      <c r="M144" s="8" t="str">
        <f t="shared" si="56"/>
        <v/>
      </c>
      <c r="N144" s="151">
        <v>20.2</v>
      </c>
      <c r="O144" s="150"/>
      <c r="P144" s="150"/>
      <c r="Q144" s="150"/>
      <c r="R144" s="150"/>
      <c r="S144" s="150"/>
      <c r="T144" s="150">
        <v>14.3</v>
      </c>
      <c r="U144" s="150"/>
      <c r="V144" s="150"/>
      <c r="W144" s="150"/>
      <c r="X144" s="150">
        <v>8.24</v>
      </c>
      <c r="Y144" s="150"/>
      <c r="Z144" s="150"/>
      <c r="AA144" s="150"/>
      <c r="AB144" s="149">
        <v>80</v>
      </c>
      <c r="AC144" s="141">
        <v>33.6</v>
      </c>
      <c r="AD144" s="137">
        <f>5*1.74</f>
        <v>8.6999999999999993</v>
      </c>
      <c r="AE144" s="137">
        <v>30.2</v>
      </c>
      <c r="AF144" s="137">
        <v>22.9</v>
      </c>
      <c r="AJ144" s="170">
        <v>175</v>
      </c>
      <c r="AK144" s="145">
        <v>180</v>
      </c>
      <c r="AL144" s="141"/>
      <c r="AN144" s="144">
        <f t="shared" si="65"/>
        <v>100</v>
      </c>
      <c r="AO144" s="169">
        <f>[1]HRT_SRT!P198</f>
        <v>2809.9999999999909</v>
      </c>
      <c r="AP144" s="13">
        <f t="shared" si="79"/>
        <v>2809.9999999999909</v>
      </c>
      <c r="AQ144" s="142">
        <f>IF(ISNUMBER([1]HRT_SRT!R198),[1]HRT_SRT!R198,"")</f>
        <v>15.898660966869924</v>
      </c>
      <c r="AR144" s="17" t="e">
        <f t="shared" si="66"/>
        <v>#VALUE!</v>
      </c>
      <c r="AS144" s="16">
        <f t="shared" si="67"/>
        <v>-1.632183908045977</v>
      </c>
      <c r="AT144" s="16">
        <f t="shared" si="68"/>
        <v>0</v>
      </c>
      <c r="AU144" s="16" t="e">
        <f t="shared" si="69"/>
        <v>#DIV/0!</v>
      </c>
      <c r="AV144" s="57" t="str">
        <f t="shared" si="70"/>
        <v/>
      </c>
      <c r="AW144" s="57">
        <f t="shared" si="71"/>
        <v>-14.2</v>
      </c>
      <c r="AX144" s="57" t="str">
        <f t="shared" si="72"/>
        <v/>
      </c>
      <c r="AY144" s="57">
        <f t="shared" si="74"/>
        <v>3.4000000000000021</v>
      </c>
      <c r="AZ144" s="57" t="str">
        <f t="shared" si="75"/>
        <v/>
      </c>
      <c r="BA144" s="84" t="str">
        <f t="shared" si="62"/>
        <v/>
      </c>
      <c r="BB144" s="84">
        <f t="shared" si="63"/>
        <v>0</v>
      </c>
      <c r="BC144" s="84">
        <f t="shared" si="64"/>
        <v>0</v>
      </c>
      <c r="BD144" s="84" t="str">
        <f t="shared" si="76"/>
        <v/>
      </c>
      <c r="BE144" s="6" t="str">
        <f t="shared" si="73"/>
        <v/>
      </c>
      <c r="BF144" s="6" t="str">
        <f t="shared" si="77"/>
        <v/>
      </c>
    </row>
    <row r="145" spans="1:58" s="137" customFormat="1" ht="15.75">
      <c r="A145" s="154" t="s">
        <v>143</v>
      </c>
      <c r="B145" s="173">
        <v>45405</v>
      </c>
      <c r="C145" s="172"/>
      <c r="D145" s="145">
        <v>140</v>
      </c>
      <c r="E145" s="205" t="str">
        <f t="shared" si="78"/>
        <v/>
      </c>
      <c r="F145" s="153"/>
      <c r="G145" s="153"/>
      <c r="H145" s="153"/>
      <c r="I145" s="15">
        <f t="shared" si="60"/>
        <v>28.650000000000002</v>
      </c>
      <c r="J145" s="152"/>
      <c r="K145" s="10" t="str">
        <f t="shared" si="54"/>
        <v/>
      </c>
      <c r="L145" s="9" t="str">
        <f t="shared" si="55"/>
        <v/>
      </c>
      <c r="M145" s="8" t="str">
        <f t="shared" si="56"/>
        <v/>
      </c>
      <c r="N145" s="151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>
        <v>8.7100000000000009</v>
      </c>
      <c r="Y145" s="150"/>
      <c r="Z145" s="150"/>
      <c r="AA145" s="150"/>
      <c r="AB145" s="149">
        <v>80</v>
      </c>
      <c r="AC145" s="141"/>
      <c r="AD145" s="171">
        <f t="shared" ref="AD145:AD151" si="80">5*5.73</f>
        <v>28.650000000000002</v>
      </c>
      <c r="AG145" s="147">
        <v>2.27</v>
      </c>
      <c r="AH145" s="146">
        <v>0.47719907407407408</v>
      </c>
      <c r="AJ145" s="170">
        <v>175</v>
      </c>
      <c r="AK145" s="145">
        <v>180</v>
      </c>
      <c r="AL145" s="141"/>
      <c r="AN145" s="144">
        <f t="shared" si="65"/>
        <v>100</v>
      </c>
      <c r="AO145" s="169"/>
      <c r="AP145" s="13">
        <f t="shared" si="79"/>
        <v>2809.9999999999909</v>
      </c>
      <c r="AQ145" s="142" t="str">
        <f>IF(ISNUMBER([1]HRT_SRT!R199),[1]HRT_SRT!R199,"")</f>
        <v/>
      </c>
      <c r="AR145" s="17" t="e">
        <f t="shared" si="66"/>
        <v>#VALUE!</v>
      </c>
      <c r="AS145" s="16">
        <f t="shared" si="67"/>
        <v>1</v>
      </c>
      <c r="AT145" s="16">
        <f t="shared" si="68"/>
        <v>7.9232111692844678E-2</v>
      </c>
      <c r="AU145" s="16" t="e">
        <f t="shared" si="69"/>
        <v>#DIV/0!</v>
      </c>
      <c r="AV145" s="57" t="str">
        <f t="shared" si="70"/>
        <v/>
      </c>
      <c r="AW145" s="57" t="str">
        <f t="shared" si="71"/>
        <v/>
      </c>
      <c r="AX145" s="57" t="str">
        <f t="shared" si="72"/>
        <v/>
      </c>
      <c r="AY145" s="57" t="str">
        <f t="shared" si="74"/>
        <v/>
      </c>
      <c r="AZ145" s="57" t="str">
        <f t="shared" si="75"/>
        <v/>
      </c>
      <c r="BA145" s="84" t="str">
        <f t="shared" si="62"/>
        <v/>
      </c>
      <c r="BB145" s="84">
        <f t="shared" si="63"/>
        <v>1</v>
      </c>
      <c r="BC145" s="84">
        <f t="shared" si="64"/>
        <v>7.9232111692844678E-2</v>
      </c>
      <c r="BD145" s="84" t="str">
        <f t="shared" si="76"/>
        <v/>
      </c>
      <c r="BE145" s="6">
        <f t="shared" si="73"/>
        <v>9.8228571428571438</v>
      </c>
      <c r="BF145" s="6" t="str">
        <f t="shared" si="77"/>
        <v/>
      </c>
    </row>
    <row r="146" spans="1:58" ht="15.75">
      <c r="B146" s="11">
        <v>45406</v>
      </c>
      <c r="D146" s="3">
        <v>141</v>
      </c>
      <c r="E146" s="205" t="str">
        <f t="shared" si="78"/>
        <v/>
      </c>
      <c r="I146" s="15">
        <f t="shared" ref="I146:I177" si="81">AD146</f>
        <v>28.650000000000002</v>
      </c>
      <c r="K146" s="10" t="str">
        <f t="shared" si="54"/>
        <v/>
      </c>
      <c r="L146" s="9" t="str">
        <f t="shared" si="55"/>
        <v/>
      </c>
      <c r="M146" s="8" t="str">
        <f t="shared" si="56"/>
        <v/>
      </c>
      <c r="X146" s="6">
        <v>8.32</v>
      </c>
      <c r="AB146" s="5">
        <v>80</v>
      </c>
      <c r="AD146" s="168">
        <f t="shared" si="80"/>
        <v>28.650000000000002</v>
      </c>
      <c r="AG146">
        <v>2</v>
      </c>
      <c r="AH146" s="119">
        <v>0.47708333333333336</v>
      </c>
      <c r="AJ146" s="1">
        <v>175</v>
      </c>
      <c r="AK146" s="3">
        <v>180</v>
      </c>
      <c r="AN146" s="80">
        <f t="shared" si="65"/>
        <v>100</v>
      </c>
      <c r="AO146" s="165"/>
      <c r="AP146" s="13">
        <f t="shared" si="79"/>
        <v>2809.9999999999909</v>
      </c>
      <c r="AQ146" s="15" t="str">
        <f>IF(ISNUMBER([1]HRT_SRT!R200),[1]HRT_SRT!R200,"")</f>
        <v/>
      </c>
      <c r="AR146" s="17" t="e">
        <f t="shared" si="66"/>
        <v>#VALUE!</v>
      </c>
      <c r="AS146" s="16">
        <f t="shared" si="67"/>
        <v>1</v>
      </c>
      <c r="AT146" s="16">
        <f t="shared" si="68"/>
        <v>6.9808027923211169E-2</v>
      </c>
      <c r="AU146" s="16" t="e">
        <f t="shared" si="69"/>
        <v>#DIV/0!</v>
      </c>
      <c r="AV146" s="57" t="str">
        <f t="shared" si="70"/>
        <v/>
      </c>
      <c r="AW146" s="57" t="str">
        <f t="shared" si="71"/>
        <v/>
      </c>
      <c r="AX146" s="57" t="str">
        <f t="shared" si="72"/>
        <v/>
      </c>
      <c r="AY146" s="57" t="str">
        <f t="shared" si="74"/>
        <v/>
      </c>
      <c r="AZ146" s="57" t="str">
        <f t="shared" si="75"/>
        <v/>
      </c>
      <c r="BA146" s="84" t="str">
        <f t="shared" si="62"/>
        <v/>
      </c>
      <c r="BB146" s="84">
        <f t="shared" si="63"/>
        <v>1</v>
      </c>
      <c r="BC146" s="84">
        <f t="shared" si="64"/>
        <v>6.9808027923211169E-2</v>
      </c>
      <c r="BD146" s="84" t="str">
        <f t="shared" si="76"/>
        <v/>
      </c>
      <c r="BE146" s="6">
        <f t="shared" si="73"/>
        <v>9.8228571428571438</v>
      </c>
      <c r="BF146" s="6" t="str">
        <f t="shared" si="77"/>
        <v/>
      </c>
    </row>
    <row r="147" spans="1:58" ht="15.75">
      <c r="B147" s="11">
        <v>45407</v>
      </c>
      <c r="D147" s="3">
        <v>142</v>
      </c>
      <c r="E147" s="205" t="str">
        <f t="shared" si="78"/>
        <v/>
      </c>
      <c r="I147" s="15">
        <f t="shared" si="81"/>
        <v>28.650000000000002</v>
      </c>
      <c r="K147" s="10" t="str">
        <f t="shared" si="54"/>
        <v/>
      </c>
      <c r="L147" s="9" t="str">
        <f t="shared" si="55"/>
        <v/>
      </c>
      <c r="M147" s="8" t="str">
        <f t="shared" si="56"/>
        <v/>
      </c>
      <c r="X147" s="6">
        <v>7.13</v>
      </c>
      <c r="AB147" s="5">
        <v>80</v>
      </c>
      <c r="AD147" s="168">
        <f t="shared" si="80"/>
        <v>28.650000000000002</v>
      </c>
      <c r="AG147">
        <v>2.4300000000000002</v>
      </c>
      <c r="AH147" s="119">
        <v>0.46956018518518516</v>
      </c>
      <c r="AJ147" s="1">
        <v>175</v>
      </c>
      <c r="AK147" s="3">
        <v>180</v>
      </c>
      <c r="AN147" s="80">
        <f t="shared" si="65"/>
        <v>100</v>
      </c>
      <c r="AO147" s="165"/>
      <c r="AP147" s="13">
        <f t="shared" si="79"/>
        <v>2760.0000000000364</v>
      </c>
      <c r="AQ147" s="15" t="str">
        <f>IF(ISNUMBER([1]HRT_SRT!R201),[1]HRT_SRT!R201,"")</f>
        <v/>
      </c>
      <c r="AR147" s="17" t="e">
        <f t="shared" si="66"/>
        <v>#VALUE!</v>
      </c>
      <c r="AS147" s="16">
        <f t="shared" si="67"/>
        <v>1</v>
      </c>
      <c r="AT147" s="16">
        <f t="shared" si="68"/>
        <v>8.4816753926701571E-2</v>
      </c>
      <c r="AU147" s="16" t="e">
        <f t="shared" si="69"/>
        <v>#DIV/0!</v>
      </c>
      <c r="AV147" s="57" t="str">
        <f t="shared" si="70"/>
        <v/>
      </c>
      <c r="AW147" s="57" t="str">
        <f t="shared" si="71"/>
        <v/>
      </c>
      <c r="AX147" s="57" t="str">
        <f t="shared" si="72"/>
        <v/>
      </c>
      <c r="AY147" s="57" t="str">
        <f t="shared" si="74"/>
        <v/>
      </c>
      <c r="AZ147" s="57" t="str">
        <f t="shared" si="75"/>
        <v/>
      </c>
      <c r="BA147" s="84" t="str">
        <f t="shared" si="62"/>
        <v/>
      </c>
      <c r="BB147" s="84">
        <f t="shared" si="63"/>
        <v>1</v>
      </c>
      <c r="BC147" s="84">
        <f t="shared" si="64"/>
        <v>8.4816753926701571E-2</v>
      </c>
      <c r="BD147" s="84" t="str">
        <f t="shared" si="76"/>
        <v/>
      </c>
      <c r="BE147" s="6">
        <f t="shared" si="73"/>
        <v>9.8228571428571438</v>
      </c>
      <c r="BF147" s="6" t="str">
        <f t="shared" si="77"/>
        <v/>
      </c>
    </row>
    <row r="148" spans="1:58" ht="15.75">
      <c r="B148" s="11">
        <v>45408</v>
      </c>
      <c r="D148" s="3">
        <v>143</v>
      </c>
      <c r="E148" s="205">
        <f t="shared" si="78"/>
        <v>208.94158800000002</v>
      </c>
      <c r="I148" s="15">
        <f t="shared" si="81"/>
        <v>28.650000000000002</v>
      </c>
      <c r="K148" s="10" t="str">
        <f t="shared" si="54"/>
        <v/>
      </c>
      <c r="L148" s="9">
        <f t="shared" si="55"/>
        <v>3.646450052356021</v>
      </c>
      <c r="M148" s="8" t="str">
        <f t="shared" si="56"/>
        <v/>
      </c>
      <c r="O148" s="6">
        <v>70.436000000000007</v>
      </c>
      <c r="P148" s="6">
        <v>19.363</v>
      </c>
      <c r="Q148" s="6">
        <f>O148*1.067</f>
        <v>75.155212000000006</v>
      </c>
      <c r="R148" s="6">
        <f>P148*1.514</f>
        <v>29.315581999999999</v>
      </c>
      <c r="S148" s="23">
        <f>P148*1.514+O148*1.067</f>
        <v>104.47079400000001</v>
      </c>
      <c r="W148">
        <f>6.141+6.181</f>
        <v>12.321999999999999</v>
      </c>
      <c r="X148" s="6">
        <v>5.19</v>
      </c>
      <c r="AB148" s="5">
        <v>80</v>
      </c>
      <c r="AD148" s="168">
        <f t="shared" si="80"/>
        <v>28.650000000000002</v>
      </c>
      <c r="AG148">
        <v>3.81</v>
      </c>
      <c r="AH148" s="119">
        <v>0.4773148148148148</v>
      </c>
      <c r="AJ148" s="1">
        <v>175</v>
      </c>
      <c r="AK148" s="3">
        <v>180</v>
      </c>
      <c r="AN148" s="80">
        <f t="shared" si="65"/>
        <v>100</v>
      </c>
      <c r="AO148" s="165"/>
      <c r="AP148" s="13">
        <f t="shared" si="79"/>
        <v>2760.0000000000364</v>
      </c>
      <c r="AQ148" s="15" t="str">
        <f>IF(ISNUMBER([1]HRT_SRT!R202),[1]HRT_SRT!R202,"")</f>
        <v/>
      </c>
      <c r="AR148" s="17">
        <f t="shared" si="66"/>
        <v>0.94102658011769302</v>
      </c>
      <c r="AS148" s="16">
        <f t="shared" si="67"/>
        <v>1</v>
      </c>
      <c r="AT148" s="16">
        <f t="shared" si="68"/>
        <v>0.13298429319371727</v>
      </c>
      <c r="AU148" s="16" t="e">
        <f t="shared" si="69"/>
        <v>#DIV/0!</v>
      </c>
      <c r="AV148" s="57">
        <f t="shared" si="70"/>
        <v>196.61958800000002</v>
      </c>
      <c r="AW148" s="57" t="str">
        <f t="shared" si="71"/>
        <v/>
      </c>
      <c r="AX148" s="57" t="str">
        <f t="shared" si="72"/>
        <v/>
      </c>
      <c r="AY148" s="57" t="str">
        <f t="shared" si="74"/>
        <v/>
      </c>
      <c r="AZ148" s="57" t="str">
        <f t="shared" si="75"/>
        <v/>
      </c>
      <c r="BA148" s="84">
        <f t="shared" si="62"/>
        <v>0.94102658011769302</v>
      </c>
      <c r="BB148" s="84">
        <f t="shared" si="63"/>
        <v>1</v>
      </c>
      <c r="BC148" s="84">
        <f t="shared" si="64"/>
        <v>0.13298429319371727</v>
      </c>
      <c r="BD148" s="84" t="str">
        <f t="shared" si="76"/>
        <v/>
      </c>
      <c r="BE148" s="6">
        <f t="shared" si="73"/>
        <v>9.8228571428571438</v>
      </c>
      <c r="BF148" s="6" t="str">
        <f t="shared" si="77"/>
        <v/>
      </c>
    </row>
    <row r="149" spans="1:58" ht="15.75">
      <c r="B149" s="11">
        <v>45409</v>
      </c>
      <c r="D149" s="3">
        <v>144</v>
      </c>
      <c r="E149" s="205" t="str">
        <f t="shared" si="78"/>
        <v/>
      </c>
      <c r="I149" s="15">
        <f t="shared" si="81"/>
        <v>28.650000000000002</v>
      </c>
      <c r="K149" s="10" t="str">
        <f t="shared" si="54"/>
        <v/>
      </c>
      <c r="L149" s="9" t="str">
        <f t="shared" si="55"/>
        <v/>
      </c>
      <c r="M149" s="8" t="str">
        <f t="shared" si="56"/>
        <v/>
      </c>
      <c r="AB149" s="5">
        <v>80</v>
      </c>
      <c r="AD149" s="168">
        <f t="shared" si="80"/>
        <v>28.650000000000002</v>
      </c>
      <c r="AG149">
        <v>7.0000000000000007E-2</v>
      </c>
      <c r="AH149" s="119">
        <v>0.47916666666666669</v>
      </c>
      <c r="AJ149" s="1">
        <v>175</v>
      </c>
      <c r="AK149" s="3">
        <v>180</v>
      </c>
      <c r="AN149" s="80">
        <f t="shared" si="65"/>
        <v>100</v>
      </c>
      <c r="AO149" s="165"/>
      <c r="AP149" s="13">
        <f t="shared" si="79"/>
        <v>2760.0000000000364</v>
      </c>
      <c r="AQ149" s="15" t="str">
        <f>IF(ISNUMBER([1]HRT_SRT!R203),[1]HRT_SRT!R203,"")</f>
        <v/>
      </c>
      <c r="AR149" s="17" t="e">
        <f t="shared" si="66"/>
        <v>#VALUE!</v>
      </c>
      <c r="AS149" s="16">
        <f t="shared" si="67"/>
        <v>1</v>
      </c>
      <c r="AT149" s="16">
        <f t="shared" si="68"/>
        <v>2.4432809773123911E-3</v>
      </c>
      <c r="AU149" s="16" t="e">
        <f t="shared" si="69"/>
        <v>#DIV/0!</v>
      </c>
      <c r="AV149" s="57" t="str">
        <f t="shared" si="70"/>
        <v/>
      </c>
      <c r="AW149" s="57" t="str">
        <f t="shared" si="71"/>
        <v/>
      </c>
      <c r="AX149" s="57" t="str">
        <f t="shared" si="72"/>
        <v/>
      </c>
      <c r="AY149" s="57" t="str">
        <f t="shared" si="74"/>
        <v/>
      </c>
      <c r="AZ149" s="57" t="str">
        <f t="shared" si="75"/>
        <v/>
      </c>
      <c r="BA149" s="84" t="str">
        <f t="shared" si="62"/>
        <v/>
      </c>
      <c r="BB149" s="84">
        <f t="shared" si="63"/>
        <v>1</v>
      </c>
      <c r="BC149" s="84">
        <f t="shared" si="64"/>
        <v>2.4432809773123911E-3</v>
      </c>
      <c r="BD149" s="84" t="str">
        <f t="shared" si="76"/>
        <v/>
      </c>
      <c r="BE149" s="6">
        <f t="shared" si="73"/>
        <v>9.8228571428571438</v>
      </c>
      <c r="BF149" s="6" t="str">
        <f t="shared" si="77"/>
        <v/>
      </c>
    </row>
    <row r="150" spans="1:58" ht="15.75">
      <c r="B150" s="11">
        <v>45410</v>
      </c>
      <c r="D150" s="3">
        <v>145</v>
      </c>
      <c r="E150" s="205" t="str">
        <f t="shared" si="78"/>
        <v/>
      </c>
      <c r="I150" s="15">
        <f t="shared" si="81"/>
        <v>28.650000000000002</v>
      </c>
      <c r="K150" s="10" t="str">
        <f t="shared" si="54"/>
        <v/>
      </c>
      <c r="L150" s="9" t="str">
        <f t="shared" si="55"/>
        <v/>
      </c>
      <c r="M150" s="8" t="str">
        <f t="shared" si="56"/>
        <v/>
      </c>
      <c r="AB150" s="5">
        <v>80</v>
      </c>
      <c r="AD150" s="168">
        <f t="shared" si="80"/>
        <v>28.650000000000002</v>
      </c>
      <c r="AG150">
        <v>0.57999999999999996</v>
      </c>
      <c r="AH150" s="119">
        <v>0.40879629629629627</v>
      </c>
      <c r="AJ150" s="1">
        <v>175</v>
      </c>
      <c r="AK150" s="3">
        <v>180</v>
      </c>
      <c r="AN150" s="80">
        <f t="shared" si="65"/>
        <v>100</v>
      </c>
      <c r="AO150" s="165"/>
      <c r="AP150" s="13">
        <f t="shared" si="79"/>
        <v>2760.0000000000364</v>
      </c>
      <c r="AQ150" s="15" t="str">
        <f>IF(ISNUMBER([1]HRT_SRT!R204),[1]HRT_SRT!R204,"")</f>
        <v/>
      </c>
      <c r="AR150" s="17" t="e">
        <f t="shared" si="66"/>
        <v>#VALUE!</v>
      </c>
      <c r="AS150" s="16">
        <f t="shared" si="67"/>
        <v>1</v>
      </c>
      <c r="AT150" s="16">
        <f t="shared" si="68"/>
        <v>2.0244328097731235E-2</v>
      </c>
      <c r="AU150" s="16" t="e">
        <f t="shared" si="69"/>
        <v>#DIV/0!</v>
      </c>
      <c r="AV150" s="57" t="str">
        <f t="shared" si="70"/>
        <v/>
      </c>
      <c r="AW150" s="57" t="str">
        <f t="shared" si="71"/>
        <v/>
      </c>
      <c r="AX150" s="57" t="str">
        <f t="shared" si="72"/>
        <v/>
      </c>
      <c r="AY150" s="57" t="str">
        <f t="shared" si="74"/>
        <v/>
      </c>
      <c r="AZ150" s="57" t="str">
        <f t="shared" si="75"/>
        <v/>
      </c>
      <c r="BA150" s="84" t="str">
        <f t="shared" si="62"/>
        <v/>
      </c>
      <c r="BB150" s="84">
        <f t="shared" si="63"/>
        <v>1</v>
      </c>
      <c r="BC150" s="84">
        <f t="shared" si="64"/>
        <v>2.0244328097731235E-2</v>
      </c>
      <c r="BD150" s="84" t="str">
        <f t="shared" si="76"/>
        <v/>
      </c>
      <c r="BE150" s="6">
        <f t="shared" si="73"/>
        <v>9.8228571428571438</v>
      </c>
      <c r="BF150" s="6" t="str">
        <f t="shared" si="77"/>
        <v/>
      </c>
    </row>
    <row r="151" spans="1:58" ht="15.75">
      <c r="B151" s="167">
        <v>45411</v>
      </c>
      <c r="C151" s="166"/>
      <c r="D151" s="136">
        <v>146</v>
      </c>
      <c r="E151" s="205">
        <f t="shared" si="78"/>
        <v>196.80445800000001</v>
      </c>
      <c r="G151" s="15">
        <f>(N151*18-H151*18)/9</f>
        <v>25.599999999999991</v>
      </c>
      <c r="H151" s="9">
        <v>20.6</v>
      </c>
      <c r="I151" s="15">
        <f t="shared" si="81"/>
        <v>28.650000000000002</v>
      </c>
      <c r="K151" s="10">
        <f t="shared" si="54"/>
        <v>7.6876741406250035</v>
      </c>
      <c r="L151" s="9">
        <f t="shared" si="55"/>
        <v>3.4346327748691099</v>
      </c>
      <c r="M151" s="8">
        <f t="shared" si="56"/>
        <v>2.2382812500000009</v>
      </c>
      <c r="N151" s="7">
        <v>33.4</v>
      </c>
      <c r="O151" s="6">
        <v>72.581000000000003</v>
      </c>
      <c r="P151" s="6">
        <v>13.843</v>
      </c>
      <c r="Q151" s="6">
        <f>O151*1.067</f>
        <v>77.443927000000002</v>
      </c>
      <c r="R151" s="6">
        <f>P151*1.514</f>
        <v>20.958302</v>
      </c>
      <c r="S151" s="23">
        <f>P151*1.514+O151*1.067</f>
        <v>98.402229000000005</v>
      </c>
      <c r="T151" s="6">
        <v>37.200000000000003</v>
      </c>
      <c r="W151" s="6">
        <v>0</v>
      </c>
      <c r="AB151" s="5">
        <v>80</v>
      </c>
      <c r="AC151" s="7">
        <f>T151</f>
        <v>37.200000000000003</v>
      </c>
      <c r="AD151" s="1">
        <f t="shared" si="80"/>
        <v>28.650000000000002</v>
      </c>
      <c r="AE151" s="1">
        <v>39.200000000000003</v>
      </c>
      <c r="AF151" s="1">
        <f>0</f>
        <v>0</v>
      </c>
      <c r="AG151">
        <v>0.08</v>
      </c>
      <c r="AH151" s="119">
        <v>0.47916666666666669</v>
      </c>
      <c r="AJ151" s="1">
        <v>175</v>
      </c>
      <c r="AK151" s="3">
        <v>180</v>
      </c>
      <c r="AL151" s="4">
        <f>AE151</f>
        <v>39.200000000000003</v>
      </c>
      <c r="AM151" s="1">
        <v>34.200000000000003</v>
      </c>
      <c r="AN151" s="80">
        <f t="shared" si="65"/>
        <v>100</v>
      </c>
      <c r="AO151" s="165">
        <f>[1]HRT_SRT!P205</f>
        <v>2760.0000000000364</v>
      </c>
      <c r="AP151" s="13">
        <f t="shared" si="79"/>
        <v>2760.0000000000364</v>
      </c>
      <c r="AQ151" s="15">
        <f>IF(ISNUMBER([1]HRT_SRT!R205),[1]HRT_SRT!R205,"")</f>
        <v>15.159282314171131</v>
      </c>
      <c r="AR151" s="17">
        <f t="shared" si="66"/>
        <v>1</v>
      </c>
      <c r="AS151" s="16">
        <f t="shared" si="67"/>
        <v>1</v>
      </c>
      <c r="AT151" s="16">
        <f t="shared" si="68"/>
        <v>2.7923211169284465E-3</v>
      </c>
      <c r="AU151" s="16">
        <f t="shared" si="69"/>
        <v>-0.33593750000000061</v>
      </c>
      <c r="AV151" s="57">
        <f t="shared" si="70"/>
        <v>196.80445800000001</v>
      </c>
      <c r="AW151" s="57">
        <f t="shared" si="71"/>
        <v>28.650000000000002</v>
      </c>
      <c r="AX151" s="57">
        <f t="shared" si="72"/>
        <v>-8.6000000000000121</v>
      </c>
      <c r="AY151" s="57">
        <f t="shared" si="74"/>
        <v>-2</v>
      </c>
      <c r="AZ151" s="57">
        <f t="shared" si="75"/>
        <v>5</v>
      </c>
      <c r="BA151" s="84" t="str">
        <f t="shared" si="62"/>
        <v/>
      </c>
      <c r="BB151" s="84">
        <f t="shared" si="63"/>
        <v>1</v>
      </c>
      <c r="BC151" s="84">
        <f t="shared" si="64"/>
        <v>2.7923211169284465E-3</v>
      </c>
      <c r="BD151" s="84">
        <f t="shared" si="76"/>
        <v>0</v>
      </c>
      <c r="BE151" s="6">
        <f t="shared" si="73"/>
        <v>9.8228571428571438</v>
      </c>
      <c r="BF151" s="6">
        <f t="shared" si="77"/>
        <v>3.559006211180078</v>
      </c>
    </row>
    <row r="152" spans="1:58" ht="15.75">
      <c r="A152" s="12" t="s">
        <v>142</v>
      </c>
      <c r="B152" s="11">
        <v>45412</v>
      </c>
      <c r="D152" s="3">
        <v>147</v>
      </c>
      <c r="E152" s="205" t="str">
        <f t="shared" si="78"/>
        <v/>
      </c>
      <c r="I152" s="15">
        <f t="shared" si="81"/>
        <v>28.64</v>
      </c>
      <c r="K152" s="10" t="str">
        <f t="shared" si="54"/>
        <v/>
      </c>
      <c r="L152" s="9" t="str">
        <f t="shared" si="55"/>
        <v/>
      </c>
      <c r="M152" s="8" t="str">
        <f t="shared" si="56"/>
        <v/>
      </c>
      <c r="X152" s="6">
        <v>4.1500000000000004</v>
      </c>
      <c r="AB152" s="5">
        <v>80</v>
      </c>
      <c r="AD152" s="168">
        <v>28.64</v>
      </c>
      <c r="AG152">
        <v>0.08</v>
      </c>
      <c r="AH152" s="119">
        <v>0.47916666666666669</v>
      </c>
      <c r="AJ152" s="1">
        <v>175</v>
      </c>
      <c r="AK152" s="3">
        <v>180</v>
      </c>
      <c r="AN152" s="80">
        <f t="shared" si="65"/>
        <v>100</v>
      </c>
      <c r="AO152" s="165"/>
      <c r="AP152" s="13">
        <f t="shared" si="79"/>
        <v>2760.0000000000364</v>
      </c>
      <c r="AQ152" s="15" t="str">
        <f>IF(ISNUMBER([1]HRT_SRT!R206),[1]HRT_SRT!R206,"")</f>
        <v/>
      </c>
      <c r="AR152" s="17" t="e">
        <f t="shared" si="66"/>
        <v>#VALUE!</v>
      </c>
      <c r="AS152" s="16">
        <f t="shared" si="67"/>
        <v>1</v>
      </c>
      <c r="AT152" s="16">
        <f t="shared" si="68"/>
        <v>2.7932960893854749E-3</v>
      </c>
      <c r="AU152" s="16" t="e">
        <f t="shared" si="69"/>
        <v>#DIV/0!</v>
      </c>
      <c r="AV152" s="57" t="str">
        <f t="shared" si="70"/>
        <v/>
      </c>
      <c r="AW152" s="57" t="str">
        <f t="shared" si="71"/>
        <v/>
      </c>
      <c r="AX152" s="57" t="str">
        <f t="shared" si="72"/>
        <v/>
      </c>
      <c r="AY152" s="57" t="str">
        <f t="shared" si="74"/>
        <v/>
      </c>
      <c r="AZ152" s="57" t="str">
        <f t="shared" si="75"/>
        <v/>
      </c>
      <c r="BA152" s="84" t="str">
        <f t="shared" si="62"/>
        <v/>
      </c>
      <c r="BB152" s="84">
        <f t="shared" si="63"/>
        <v>1</v>
      </c>
      <c r="BC152" s="84">
        <f t="shared" si="64"/>
        <v>2.7932960893854749E-3</v>
      </c>
      <c r="BD152" s="84" t="str">
        <f t="shared" si="76"/>
        <v/>
      </c>
      <c r="BE152" s="6">
        <f t="shared" si="73"/>
        <v>9.8194285714285723</v>
      </c>
      <c r="BF152" s="6" t="str">
        <f t="shared" si="77"/>
        <v/>
      </c>
    </row>
    <row r="153" spans="1:58" ht="15.75">
      <c r="B153" s="11">
        <v>45413</v>
      </c>
      <c r="D153" s="3">
        <v>148</v>
      </c>
      <c r="E153" s="205" t="str">
        <f t="shared" si="78"/>
        <v/>
      </c>
      <c r="I153" s="15">
        <f t="shared" si="81"/>
        <v>28.63</v>
      </c>
      <c r="K153" s="10" t="str">
        <f t="shared" si="54"/>
        <v/>
      </c>
      <c r="L153" s="9" t="str">
        <f t="shared" si="55"/>
        <v/>
      </c>
      <c r="M153" s="8" t="str">
        <f t="shared" si="56"/>
        <v/>
      </c>
      <c r="AB153" s="5">
        <v>80</v>
      </c>
      <c r="AD153" s="168">
        <v>28.63</v>
      </c>
      <c r="AG153">
        <v>3.95</v>
      </c>
      <c r="AH153" s="119">
        <v>0.47314814814814815</v>
      </c>
      <c r="AJ153" s="1">
        <v>175</v>
      </c>
      <c r="AK153" s="3">
        <v>180</v>
      </c>
      <c r="AN153" s="80">
        <f t="shared" si="65"/>
        <v>100</v>
      </c>
      <c r="AO153" s="165"/>
      <c r="AP153" s="13">
        <f t="shared" si="79"/>
        <v>2760.0000000000364</v>
      </c>
      <c r="AQ153" s="15" t="str">
        <f>IF(ISNUMBER([1]HRT_SRT!R207),[1]HRT_SRT!R207,"")</f>
        <v/>
      </c>
      <c r="AR153" s="17" t="e">
        <f t="shared" si="66"/>
        <v>#VALUE!</v>
      </c>
      <c r="AS153" s="16">
        <f t="shared" si="67"/>
        <v>1</v>
      </c>
      <c r="AT153" s="16">
        <f t="shared" si="68"/>
        <v>0.13796716730702061</v>
      </c>
      <c r="AU153" s="16" t="e">
        <f t="shared" si="69"/>
        <v>#DIV/0!</v>
      </c>
      <c r="AV153" s="57" t="str">
        <f t="shared" si="70"/>
        <v/>
      </c>
      <c r="AW153" s="57" t="str">
        <f t="shared" si="71"/>
        <v/>
      </c>
      <c r="AX153" s="57" t="str">
        <f t="shared" si="72"/>
        <v/>
      </c>
      <c r="AY153" s="57" t="str">
        <f t="shared" si="74"/>
        <v/>
      </c>
      <c r="AZ153" s="57" t="str">
        <f t="shared" si="75"/>
        <v/>
      </c>
      <c r="BA153" s="84" t="str">
        <f t="shared" si="62"/>
        <v/>
      </c>
      <c r="BB153" s="84">
        <f t="shared" si="63"/>
        <v>1</v>
      </c>
      <c r="BC153" s="84">
        <f t="shared" si="64"/>
        <v>0.13796716730702061</v>
      </c>
      <c r="BD153" s="84" t="str">
        <f t="shared" si="76"/>
        <v/>
      </c>
      <c r="BE153" s="6">
        <f t="shared" si="73"/>
        <v>9.8160000000000007</v>
      </c>
      <c r="BF153" s="6" t="str">
        <f t="shared" si="77"/>
        <v/>
      </c>
    </row>
    <row r="154" spans="1:58" ht="15.75">
      <c r="B154" s="11">
        <v>45414</v>
      </c>
      <c r="D154" s="3">
        <v>149</v>
      </c>
      <c r="E154" s="205">
        <f t="shared" si="78"/>
        <v>189.55564800000002</v>
      </c>
      <c r="G154" s="15">
        <f>(N154*18-H154*18)/9</f>
        <v>23.599999999999994</v>
      </c>
      <c r="H154" s="9">
        <v>10.4</v>
      </c>
      <c r="I154" s="15">
        <f t="shared" si="81"/>
        <v>28.599999999999998</v>
      </c>
      <c r="K154" s="10">
        <f t="shared" si="54"/>
        <v>8.0320189830508504</v>
      </c>
      <c r="L154" s="9">
        <f t="shared" si="55"/>
        <v>3.3139099300699306</v>
      </c>
      <c r="M154" s="8">
        <f t="shared" si="56"/>
        <v>2.4237288135593222</v>
      </c>
      <c r="N154" s="7">
        <v>22.2</v>
      </c>
      <c r="O154" s="6">
        <v>70.010000000000005</v>
      </c>
      <c r="P154" s="6">
        <v>13.260999999999999</v>
      </c>
      <c r="Q154" s="6">
        <f>O154*1.067</f>
        <v>74.700670000000002</v>
      </c>
      <c r="R154" s="6">
        <f>P154*1.514</f>
        <v>20.077154</v>
      </c>
      <c r="S154" s="23">
        <f>P154*1.514+O154*1.067</f>
        <v>94.77782400000001</v>
      </c>
      <c r="T154" s="6">
        <v>32.5</v>
      </c>
      <c r="W154" s="6">
        <v>0</v>
      </c>
      <c r="AB154" s="5">
        <v>80</v>
      </c>
      <c r="AC154" s="7">
        <f>T154</f>
        <v>32.5</v>
      </c>
      <c r="AD154" s="1">
        <f>5*5.72</f>
        <v>28.599999999999998</v>
      </c>
      <c r="AE154" s="1">
        <v>22.4</v>
      </c>
      <c r="AF154" s="1">
        <v>0</v>
      </c>
      <c r="AG154">
        <v>4.55</v>
      </c>
      <c r="AH154" s="119">
        <v>0.47708333333333336</v>
      </c>
      <c r="AJ154" s="1">
        <v>175</v>
      </c>
      <c r="AK154" s="3">
        <v>180</v>
      </c>
      <c r="AL154" s="4">
        <f>AE154</f>
        <v>22.4</v>
      </c>
      <c r="AM154" s="1">
        <f>19.2</f>
        <v>19.2</v>
      </c>
      <c r="AN154" s="80">
        <f t="shared" si="65"/>
        <v>100</v>
      </c>
      <c r="AO154" s="165"/>
      <c r="AP154" s="13" t="e">
        <f t="shared" si="79"/>
        <v>#DIV/0!</v>
      </c>
      <c r="AQ154" s="15" t="str">
        <f>IF(ISNUMBER([1]HRT_SRT!R208),[1]HRT_SRT!R208,"")</f>
        <v/>
      </c>
      <c r="AR154" s="17">
        <f t="shared" si="66"/>
        <v>1</v>
      </c>
      <c r="AS154" s="16">
        <f t="shared" si="67"/>
        <v>1</v>
      </c>
      <c r="AT154" s="16">
        <f t="shared" si="68"/>
        <v>0.15909090909090909</v>
      </c>
      <c r="AU154" s="16">
        <f t="shared" si="69"/>
        <v>0.18644067796610153</v>
      </c>
      <c r="AV154" s="57">
        <f t="shared" si="70"/>
        <v>189.55564800000002</v>
      </c>
      <c r="AW154" s="57">
        <f t="shared" si="71"/>
        <v>28.599999999999998</v>
      </c>
      <c r="AX154" s="57">
        <f t="shared" si="72"/>
        <v>4.399999999999995</v>
      </c>
      <c r="AY154" s="57">
        <f t="shared" si="74"/>
        <v>10.100000000000001</v>
      </c>
      <c r="AZ154" s="57">
        <f t="shared" si="75"/>
        <v>3.1999999999999993</v>
      </c>
      <c r="BA154" s="84" t="str">
        <f t="shared" si="62"/>
        <v/>
      </c>
      <c r="BB154" s="84">
        <f t="shared" si="63"/>
        <v>1</v>
      </c>
      <c r="BC154" s="84">
        <f t="shared" si="64"/>
        <v>0.15909090909090909</v>
      </c>
      <c r="BD154" s="84">
        <f t="shared" si="76"/>
        <v>0.18644067796610153</v>
      </c>
      <c r="BE154" s="6">
        <f t="shared" si="73"/>
        <v>9.805714285714286</v>
      </c>
      <c r="BF154" s="6" t="e">
        <f t="shared" si="77"/>
        <v>#DIV/0!</v>
      </c>
    </row>
    <row r="155" spans="1:58" ht="15.75">
      <c r="B155" s="11">
        <v>45415</v>
      </c>
      <c r="D155" s="3">
        <v>150</v>
      </c>
      <c r="E155" s="205">
        <f t="shared" si="78"/>
        <v>223.46002799999997</v>
      </c>
      <c r="G155" s="15">
        <f>(N155*18-H155*18)/9</f>
        <v>23.799999999999997</v>
      </c>
      <c r="H155" s="9">
        <v>22.1</v>
      </c>
      <c r="I155" s="15">
        <f t="shared" si="81"/>
        <v>25.25</v>
      </c>
      <c r="K155" s="10">
        <f t="shared" si="54"/>
        <v>9.389076806722688</v>
      </c>
      <c r="L155" s="9">
        <f t="shared" si="55"/>
        <v>4.4249510495049496</v>
      </c>
      <c r="M155" s="8">
        <f t="shared" si="56"/>
        <v>2.1218487394957988</v>
      </c>
      <c r="N155" s="7">
        <v>34</v>
      </c>
      <c r="O155" s="6">
        <v>81.691999999999993</v>
      </c>
      <c r="P155" s="6">
        <v>16.225000000000001</v>
      </c>
      <c r="Q155" s="6">
        <f>O155*1.067</f>
        <v>87.165363999999983</v>
      </c>
      <c r="R155" s="6">
        <f>P155*1.514</f>
        <v>24.564650000000004</v>
      </c>
      <c r="S155" s="23">
        <f>P155*1.514+O155*1.067</f>
        <v>111.73001399999998</v>
      </c>
      <c r="T155" s="6">
        <v>42.6</v>
      </c>
      <c r="W155" s="6">
        <v>0</v>
      </c>
      <c r="X155" s="6">
        <v>6.85</v>
      </c>
      <c r="AB155" s="5">
        <v>80</v>
      </c>
      <c r="AC155" s="7">
        <f>T155</f>
        <v>42.6</v>
      </c>
      <c r="AD155" s="1">
        <f>5*5.05</f>
        <v>25.25</v>
      </c>
      <c r="AE155" s="1">
        <v>40.799999999999997</v>
      </c>
      <c r="AF155" s="1">
        <v>0</v>
      </c>
      <c r="AG155">
        <v>0.1</v>
      </c>
      <c r="AH155" s="119">
        <v>0.47916666666666669</v>
      </c>
      <c r="AJ155" s="1">
        <v>175</v>
      </c>
      <c r="AK155" s="3">
        <v>180</v>
      </c>
      <c r="AL155" s="4">
        <f>AE155</f>
        <v>40.799999999999997</v>
      </c>
      <c r="AM155" s="1">
        <v>30.5</v>
      </c>
      <c r="AN155" s="80">
        <f t="shared" si="65"/>
        <v>100</v>
      </c>
      <c r="AO155" s="165"/>
      <c r="AP155" s="13" t="e">
        <f t="shared" si="79"/>
        <v>#DIV/0!</v>
      </c>
      <c r="AQ155" s="15" t="str">
        <f>IF(ISNUMBER([1]HRT_SRT!R209),[1]HRT_SRT!R209,"")</f>
        <v/>
      </c>
      <c r="AR155" s="17">
        <f t="shared" si="66"/>
        <v>1</v>
      </c>
      <c r="AS155" s="16">
        <f t="shared" si="67"/>
        <v>1</v>
      </c>
      <c r="AT155" s="16">
        <f t="shared" si="68"/>
        <v>3.9603960396039604E-3</v>
      </c>
      <c r="AU155" s="16">
        <f t="shared" si="69"/>
        <v>-0.28151260504201697</v>
      </c>
      <c r="AV155" s="57">
        <f t="shared" si="70"/>
        <v>223.46002799999997</v>
      </c>
      <c r="AW155" s="57">
        <f t="shared" si="71"/>
        <v>25.25</v>
      </c>
      <c r="AX155" s="57">
        <f t="shared" si="72"/>
        <v>-6.7000000000000028</v>
      </c>
      <c r="AY155" s="57">
        <f t="shared" si="74"/>
        <v>1.8000000000000043</v>
      </c>
      <c r="AZ155" s="57">
        <f t="shared" si="75"/>
        <v>10.299999999999997</v>
      </c>
      <c r="BA155" s="84" t="str">
        <f t="shared" si="62"/>
        <v/>
      </c>
      <c r="BB155" s="84">
        <f t="shared" si="63"/>
        <v>1</v>
      </c>
      <c r="BC155" s="84">
        <f t="shared" si="64"/>
        <v>3.9603960396039604E-3</v>
      </c>
      <c r="BD155" s="84">
        <f t="shared" si="76"/>
        <v>0</v>
      </c>
      <c r="BE155" s="6">
        <f t="shared" si="73"/>
        <v>8.6571428571428584</v>
      </c>
      <c r="BF155" s="6" t="e">
        <f t="shared" si="77"/>
        <v>#DIV/0!</v>
      </c>
    </row>
    <row r="156" spans="1:58" ht="15.75">
      <c r="B156" s="11">
        <v>45416</v>
      </c>
      <c r="D156" s="3">
        <v>151</v>
      </c>
      <c r="E156" s="205" t="str">
        <f t="shared" si="78"/>
        <v/>
      </c>
      <c r="G156" s="9">
        <f>23.7</f>
        <v>23.7</v>
      </c>
      <c r="I156" s="15">
        <f t="shared" si="81"/>
        <v>26</v>
      </c>
      <c r="K156" s="10" t="str">
        <f t="shared" si="54"/>
        <v/>
      </c>
      <c r="L156" s="9" t="str">
        <f t="shared" si="55"/>
        <v/>
      </c>
      <c r="M156" s="8">
        <f t="shared" si="56"/>
        <v>2.1940928270042193</v>
      </c>
      <c r="X156" s="6">
        <v>8.19</v>
      </c>
      <c r="AB156" s="5">
        <v>80</v>
      </c>
      <c r="AD156" s="168">
        <v>26</v>
      </c>
      <c r="AG156">
        <v>3.13</v>
      </c>
      <c r="AH156" s="119">
        <v>0.78703703703703709</v>
      </c>
      <c r="AJ156" s="1">
        <v>175</v>
      </c>
      <c r="AK156" s="3">
        <v>180</v>
      </c>
      <c r="AM156" s="1">
        <v>12.2</v>
      </c>
      <c r="AN156" s="80">
        <f t="shared" si="65"/>
        <v>100</v>
      </c>
      <c r="AO156" s="165"/>
      <c r="AP156" s="13" t="e">
        <f t="shared" si="79"/>
        <v>#DIV/0!</v>
      </c>
      <c r="AQ156" s="15" t="str">
        <f>IF(ISNUMBER([1]HRT_SRT!R210),[1]HRT_SRT!R210,"")</f>
        <v/>
      </c>
      <c r="AR156" s="17" t="e">
        <f t="shared" si="66"/>
        <v>#VALUE!</v>
      </c>
      <c r="AS156" s="16">
        <f t="shared" si="67"/>
        <v>1</v>
      </c>
      <c r="AT156" s="16">
        <f t="shared" si="68"/>
        <v>0.12038461538461538</v>
      </c>
      <c r="AU156" s="16">
        <f t="shared" si="69"/>
        <v>0.48523206751054854</v>
      </c>
      <c r="AV156" s="57" t="str">
        <f t="shared" si="70"/>
        <v/>
      </c>
      <c r="AW156" s="57" t="str">
        <f t="shared" si="71"/>
        <v/>
      </c>
      <c r="AX156" s="57">
        <f t="shared" si="72"/>
        <v>11.5</v>
      </c>
      <c r="AY156" s="57" t="str">
        <f t="shared" si="74"/>
        <v/>
      </c>
      <c r="AZ156" s="57" t="str">
        <f t="shared" si="75"/>
        <v/>
      </c>
      <c r="BA156" s="84" t="str">
        <f t="shared" si="62"/>
        <v/>
      </c>
      <c r="BB156" s="84">
        <f t="shared" si="63"/>
        <v>1</v>
      </c>
      <c r="BC156" s="84">
        <f t="shared" si="64"/>
        <v>0.12038461538461538</v>
      </c>
      <c r="BD156" s="84">
        <f t="shared" si="76"/>
        <v>0.48523206751054854</v>
      </c>
      <c r="BE156" s="6">
        <f t="shared" si="73"/>
        <v>8.9142857142857146</v>
      </c>
      <c r="BF156" s="6" t="e">
        <f t="shared" si="77"/>
        <v>#DIV/0!</v>
      </c>
    </row>
    <row r="157" spans="1:58" ht="15.75">
      <c r="B157" s="11">
        <v>45417</v>
      </c>
      <c r="D157" s="3">
        <v>152</v>
      </c>
      <c r="E157" s="205" t="str">
        <f t="shared" si="78"/>
        <v/>
      </c>
      <c r="G157" s="9">
        <f>23.7</f>
        <v>23.7</v>
      </c>
      <c r="I157" s="15">
        <f t="shared" si="81"/>
        <v>27</v>
      </c>
      <c r="K157" s="10" t="str">
        <f t="shared" si="54"/>
        <v/>
      </c>
      <c r="L157" s="9" t="str">
        <f t="shared" si="55"/>
        <v/>
      </c>
      <c r="M157" s="8">
        <f t="shared" si="56"/>
        <v>2.278481012658228</v>
      </c>
      <c r="X157" s="6">
        <v>4.9800000000000004</v>
      </c>
      <c r="AB157" s="5">
        <v>80</v>
      </c>
      <c r="AD157" s="168">
        <v>27</v>
      </c>
      <c r="AG157">
        <v>4.33</v>
      </c>
      <c r="AH157" s="119">
        <v>0.47708333333333336</v>
      </c>
      <c r="AJ157" s="1">
        <v>175</v>
      </c>
      <c r="AK157" s="3">
        <v>180</v>
      </c>
      <c r="AM157" s="1">
        <f>5*3.08</f>
        <v>15.4</v>
      </c>
      <c r="AN157" s="80">
        <f t="shared" si="65"/>
        <v>100</v>
      </c>
      <c r="AO157" s="165"/>
      <c r="AP157" s="13">
        <f t="shared" si="79"/>
        <v>2617.7777777777974</v>
      </c>
      <c r="AQ157" s="15" t="str">
        <f>IF(ISNUMBER([1]HRT_SRT!R211),[1]HRT_SRT!R211,"")</f>
        <v/>
      </c>
      <c r="AR157" s="17" t="e">
        <f t="shared" si="66"/>
        <v>#VALUE!</v>
      </c>
      <c r="AS157" s="16">
        <f t="shared" si="67"/>
        <v>1</v>
      </c>
      <c r="AT157" s="16">
        <f t="shared" si="68"/>
        <v>0.16037037037037039</v>
      </c>
      <c r="AU157" s="16">
        <f t="shared" si="69"/>
        <v>0.35021097046413496</v>
      </c>
      <c r="AV157" s="57" t="str">
        <f t="shared" si="70"/>
        <v/>
      </c>
      <c r="AW157" s="57" t="str">
        <f t="shared" si="71"/>
        <v/>
      </c>
      <c r="AX157" s="57">
        <f t="shared" si="72"/>
        <v>8.2999999999999989</v>
      </c>
      <c r="AY157" s="57" t="str">
        <f t="shared" si="74"/>
        <v/>
      </c>
      <c r="AZ157" s="57" t="str">
        <f t="shared" si="75"/>
        <v/>
      </c>
      <c r="BA157" s="84" t="str">
        <f t="shared" si="62"/>
        <v/>
      </c>
      <c r="BB157" s="84">
        <f t="shared" si="63"/>
        <v>1</v>
      </c>
      <c r="BC157" s="84">
        <f t="shared" si="64"/>
        <v>0.16037037037037039</v>
      </c>
      <c r="BD157" s="84">
        <f t="shared" si="76"/>
        <v>0.35021097046413496</v>
      </c>
      <c r="BE157" s="6">
        <f t="shared" si="73"/>
        <v>9.257142857142858</v>
      </c>
      <c r="BF157" s="6" t="str">
        <f t="shared" si="77"/>
        <v/>
      </c>
    </row>
    <row r="158" spans="1:58" ht="15.75">
      <c r="A158" s="12" t="s">
        <v>141</v>
      </c>
      <c r="B158" s="11">
        <v>45418</v>
      </c>
      <c r="D158" s="3">
        <v>153</v>
      </c>
      <c r="E158" s="205" t="str">
        <f t="shared" si="78"/>
        <v/>
      </c>
      <c r="I158" s="15">
        <f t="shared" si="81"/>
        <v>28</v>
      </c>
      <c r="K158" s="10" t="str">
        <f t="shared" si="54"/>
        <v/>
      </c>
      <c r="L158" s="9" t="str">
        <f t="shared" si="55"/>
        <v/>
      </c>
      <c r="M158" s="8" t="str">
        <f t="shared" si="56"/>
        <v/>
      </c>
      <c r="X158" s="6">
        <v>8.35</v>
      </c>
      <c r="AB158" s="5">
        <v>80</v>
      </c>
      <c r="AD158" s="168">
        <v>28</v>
      </c>
      <c r="AG158">
        <v>0.09</v>
      </c>
      <c r="AH158" s="119">
        <v>0.47916666666666669</v>
      </c>
      <c r="AJ158" s="1">
        <v>175</v>
      </c>
      <c r="AK158" s="3">
        <v>180</v>
      </c>
      <c r="AN158" s="80">
        <f t="shared" si="65"/>
        <v>100</v>
      </c>
      <c r="AO158" s="165"/>
      <c r="AP158" s="13">
        <f t="shared" si="79"/>
        <v>2617.7777777777974</v>
      </c>
      <c r="AQ158" s="15" t="str">
        <f>IF(ISNUMBER([1]HRT_SRT!R212),[1]HRT_SRT!R212,"")</f>
        <v/>
      </c>
      <c r="AR158" s="17" t="e">
        <f t="shared" si="66"/>
        <v>#VALUE!</v>
      </c>
      <c r="AS158" s="16">
        <f t="shared" si="67"/>
        <v>1</v>
      </c>
      <c r="AT158" s="16">
        <f t="shared" si="68"/>
        <v>3.2142857142857142E-3</v>
      </c>
      <c r="AU158" s="16"/>
      <c r="AV158" s="57" t="str">
        <f t="shared" si="70"/>
        <v/>
      </c>
      <c r="AW158" s="57" t="str">
        <f t="shared" si="71"/>
        <v/>
      </c>
      <c r="AX158" s="57" t="str">
        <f t="shared" si="72"/>
        <v/>
      </c>
      <c r="AY158" s="57" t="str">
        <f t="shared" si="74"/>
        <v/>
      </c>
      <c r="AZ158" s="57" t="str">
        <f t="shared" si="75"/>
        <v/>
      </c>
      <c r="BA158" s="84" t="str">
        <f t="shared" si="62"/>
        <v/>
      </c>
      <c r="BB158" s="84">
        <f t="shared" si="63"/>
        <v>1</v>
      </c>
      <c r="BC158" s="84">
        <f t="shared" si="64"/>
        <v>3.2142857142857142E-3</v>
      </c>
      <c r="BD158" s="84" t="str">
        <f t="shared" si="76"/>
        <v/>
      </c>
      <c r="BE158" s="6">
        <f t="shared" si="73"/>
        <v>9.6</v>
      </c>
      <c r="BF158" s="6" t="str">
        <f t="shared" si="77"/>
        <v/>
      </c>
    </row>
    <row r="159" spans="1:58" ht="15.75">
      <c r="B159" s="11">
        <v>45419</v>
      </c>
      <c r="D159" s="3">
        <v>154</v>
      </c>
      <c r="E159" s="205">
        <f t="shared" si="78"/>
        <v>277.94694800000002</v>
      </c>
      <c r="G159" s="15">
        <f>(N159*18-H159*18)/9</f>
        <v>28.2</v>
      </c>
      <c r="H159" s="9">
        <v>11.1</v>
      </c>
      <c r="I159" s="15">
        <f t="shared" si="81"/>
        <v>28.450000000000003</v>
      </c>
      <c r="K159" s="10">
        <f t="shared" si="54"/>
        <v>9.85627475177305</v>
      </c>
      <c r="L159" s="9">
        <f t="shared" si="55"/>
        <v>4.8848321265377859</v>
      </c>
      <c r="M159" s="8">
        <f t="shared" si="56"/>
        <v>2.0177304964539009</v>
      </c>
      <c r="N159" s="7">
        <v>25.2</v>
      </c>
      <c r="O159" s="6">
        <v>100.27200000000001</v>
      </c>
      <c r="P159" s="6">
        <v>21.125</v>
      </c>
      <c r="Q159" s="6">
        <f>O159*1.067</f>
        <v>106.990224</v>
      </c>
      <c r="R159" s="6">
        <f>P159*1.514</f>
        <v>31.983250000000002</v>
      </c>
      <c r="S159" s="23">
        <f>P159*1.514+O159*1.067</f>
        <v>138.97347400000001</v>
      </c>
      <c r="T159" s="6">
        <v>38.200000000000003</v>
      </c>
      <c r="W159">
        <f>2.039+1.677</f>
        <v>3.7160000000000002</v>
      </c>
      <c r="X159" s="6">
        <v>8.48</v>
      </c>
      <c r="AB159" s="5">
        <v>80</v>
      </c>
      <c r="AC159" s="7">
        <f>T159</f>
        <v>38.200000000000003</v>
      </c>
      <c r="AD159" s="1">
        <f>5*5.69</f>
        <v>28.450000000000003</v>
      </c>
      <c r="AE159" s="1">
        <v>26.2</v>
      </c>
      <c r="AF159" s="1">
        <f>2*4.61</f>
        <v>9.2200000000000006</v>
      </c>
      <c r="AG159">
        <v>2.59</v>
      </c>
      <c r="AH159" s="119">
        <v>0.47650462962962964</v>
      </c>
      <c r="AJ159" s="1">
        <v>175</v>
      </c>
      <c r="AK159" s="3">
        <v>180</v>
      </c>
      <c r="AL159" s="4">
        <f>AE159</f>
        <v>26.2</v>
      </c>
      <c r="AM159" s="1">
        <f>22.5</f>
        <v>22.5</v>
      </c>
      <c r="AN159" s="80">
        <f t="shared" si="65"/>
        <v>100</v>
      </c>
      <c r="AO159" s="165"/>
      <c r="AP159" s="13">
        <f t="shared" si="79"/>
        <v>2617.7777777777974</v>
      </c>
      <c r="AQ159" s="15" t="str">
        <f>IF(ISNUMBER([1]HRT_SRT!R213),[1]HRT_SRT!R213,"")</f>
        <v/>
      </c>
      <c r="AR159" s="17">
        <f t="shared" si="66"/>
        <v>0.98663054217094692</v>
      </c>
      <c r="AS159" s="16">
        <f t="shared" si="67"/>
        <v>0.67592267135325135</v>
      </c>
      <c r="AT159" s="16">
        <f t="shared" si="68"/>
        <v>0.13468538741549657</v>
      </c>
      <c r="AU159" s="16">
        <f>(G159-AM159)/G159</f>
        <v>0.20212765957446807</v>
      </c>
      <c r="AV159" s="57">
        <f t="shared" si="70"/>
        <v>274.23094800000001</v>
      </c>
      <c r="AW159" s="57">
        <f t="shared" si="71"/>
        <v>19.230000000000004</v>
      </c>
      <c r="AX159" s="57">
        <f t="shared" si="72"/>
        <v>5.6999999999999993</v>
      </c>
      <c r="AY159" s="57">
        <f t="shared" si="74"/>
        <v>12.000000000000004</v>
      </c>
      <c r="AZ159" s="57">
        <f t="shared" si="75"/>
        <v>3.6999999999999993</v>
      </c>
      <c r="BA159" s="84">
        <f t="shared" ref="BA159:BA190" si="82">IF(AND($E159&gt;0,$W159&gt;0),IF(($E159-$W159)/$E159&gt;0,($E159-$W159)/$E159,0),"")</f>
        <v>0.98663054217094692</v>
      </c>
      <c r="BB159" s="84">
        <f t="shared" ref="BB159:BB190" si="83">IF(AND($I159&gt;0,$AF159&gt;=0),IF(($I159-$AF159)/$I159&gt;0,($I159-$AF159)/$I159,0),"")</f>
        <v>0.67592267135325135</v>
      </c>
      <c r="BC159" s="84">
        <f t="shared" ref="BC159:BC190" si="84">IF(AND($AG159&gt;=0,$AD159&gt;=0,$AF159&gt;=0),IF($AG159/($AD159-$AF159)&gt;0,$AG159/($AD159-$AF159),0),"")</f>
        <v>0.13468538741549657</v>
      </c>
      <c r="BD159" s="84">
        <f t="shared" si="76"/>
        <v>0.20212765957446807</v>
      </c>
      <c r="BE159" s="6">
        <f t="shared" si="73"/>
        <v>6.5931428571428592</v>
      </c>
      <c r="BF159" s="6">
        <f t="shared" si="77"/>
        <v>2.5186029590104111</v>
      </c>
    </row>
    <row r="160" spans="1:58" ht="15.75">
      <c r="B160" s="167">
        <v>45420</v>
      </c>
      <c r="C160" s="166"/>
      <c r="D160" s="136">
        <v>155</v>
      </c>
      <c r="E160" s="205">
        <f t="shared" si="78"/>
        <v>240.543138</v>
      </c>
      <c r="G160" s="15">
        <f>(N160*17-H160*17)/9</f>
        <v>27.011111111111113</v>
      </c>
      <c r="H160" s="9">
        <v>15.3</v>
      </c>
      <c r="I160" s="15">
        <f t="shared" si="81"/>
        <v>25.299999999999997</v>
      </c>
      <c r="K160" s="10">
        <f t="shared" si="54"/>
        <v>8.9053403619909499</v>
      </c>
      <c r="L160" s="9">
        <f t="shared" si="55"/>
        <v>4.7538169565217396</v>
      </c>
      <c r="M160" s="8">
        <f t="shared" si="56"/>
        <v>1.873303167420814</v>
      </c>
      <c r="N160" s="7">
        <v>29.6</v>
      </c>
      <c r="O160" s="6">
        <v>86.278999999999996</v>
      </c>
      <c r="P160" s="6">
        <v>18.634</v>
      </c>
      <c r="Q160" s="6">
        <f>O160*1.067</f>
        <v>92.059692999999996</v>
      </c>
      <c r="R160" s="6">
        <f>P160*1.514</f>
        <v>28.211876</v>
      </c>
      <c r="S160" s="23">
        <f>P160*1.514+O160*1.067</f>
        <v>120.271569</v>
      </c>
      <c r="T160" s="6">
        <v>41</v>
      </c>
      <c r="W160">
        <f>3.755+4.036</f>
        <v>7.7909999999999995</v>
      </c>
      <c r="X160" s="6">
        <v>7.06</v>
      </c>
      <c r="AB160" s="5">
        <v>80</v>
      </c>
      <c r="AC160" s="7">
        <f>T160</f>
        <v>41</v>
      </c>
      <c r="AD160" s="1">
        <f>5*5.06</f>
        <v>25.299999999999997</v>
      </c>
      <c r="AE160" s="1">
        <v>30.9</v>
      </c>
      <c r="AF160" s="1">
        <f>2*4.34</f>
        <v>8.68</v>
      </c>
      <c r="AG160">
        <v>2.57</v>
      </c>
      <c r="AH160" s="119">
        <v>0.47824074074074074</v>
      </c>
      <c r="AJ160" s="1">
        <v>175</v>
      </c>
      <c r="AK160" s="3">
        <v>180</v>
      </c>
      <c r="AL160" s="4">
        <f>AE160</f>
        <v>30.9</v>
      </c>
      <c r="AM160" s="1">
        <v>27.1</v>
      </c>
      <c r="AN160" s="80">
        <f t="shared" si="65"/>
        <v>100</v>
      </c>
      <c r="AO160" s="165"/>
      <c r="AP160" s="13">
        <f t="shared" si="79"/>
        <v>2617.7777777777974</v>
      </c>
      <c r="AQ160" s="15" t="str">
        <f>IF(ISNUMBER([1]HRT_SRT!R214),[1]HRT_SRT!R214,"")</f>
        <v/>
      </c>
      <c r="AR160" s="17">
        <f t="shared" si="66"/>
        <v>0.96761079919062165</v>
      </c>
      <c r="AS160" s="16">
        <f t="shared" si="67"/>
        <v>0.65691699604743081</v>
      </c>
      <c r="AT160" s="16">
        <f t="shared" si="68"/>
        <v>0.15463297232250303</v>
      </c>
      <c r="AU160" s="16">
        <f>(G160-AM160)/G160</f>
        <v>-3.290826820238573E-3</v>
      </c>
      <c r="AV160" s="57">
        <f t="shared" si="70"/>
        <v>232.752138</v>
      </c>
      <c r="AW160" s="57">
        <f t="shared" si="71"/>
        <v>16.619999999999997</v>
      </c>
      <c r="AX160" s="57">
        <f t="shared" si="72"/>
        <v>-8.8888888888888573E-2</v>
      </c>
      <c r="AY160" s="57">
        <f t="shared" si="74"/>
        <v>10.100000000000001</v>
      </c>
      <c r="AZ160" s="57">
        <f t="shared" si="75"/>
        <v>3.7999999999999972</v>
      </c>
      <c r="BA160" s="84">
        <f t="shared" si="82"/>
        <v>0.96761079919062165</v>
      </c>
      <c r="BB160" s="84">
        <f t="shared" si="83"/>
        <v>0.65691699604743081</v>
      </c>
      <c r="BC160" s="84">
        <f t="shared" si="84"/>
        <v>0.15463297232250303</v>
      </c>
      <c r="BD160" s="84">
        <f t="shared" si="76"/>
        <v>0</v>
      </c>
      <c r="BE160" s="6">
        <f t="shared" si="73"/>
        <v>5.6982857142857135</v>
      </c>
      <c r="BF160" s="6">
        <f t="shared" si="77"/>
        <v>2.1767644918748319</v>
      </c>
    </row>
    <row r="161" spans="1:58" ht="15.75">
      <c r="A161" s="12" t="s">
        <v>140</v>
      </c>
      <c r="B161" s="11">
        <v>45421</v>
      </c>
      <c r="D161" s="3">
        <v>156</v>
      </c>
      <c r="E161" s="205">
        <f t="shared" si="78"/>
        <v>262.63851399999999</v>
      </c>
      <c r="G161" s="15">
        <f>(N161*19-H161*19)/9</f>
        <v>28.288888888888888</v>
      </c>
      <c r="H161" s="9">
        <v>12.9</v>
      </c>
      <c r="I161" s="15">
        <f t="shared" si="81"/>
        <v>22.549999999999997</v>
      </c>
      <c r="K161" s="10">
        <f t="shared" si="54"/>
        <v>9.2841579968578163</v>
      </c>
      <c r="L161" s="9">
        <f t="shared" si="55"/>
        <v>5.8234703769401337</v>
      </c>
      <c r="M161" s="8">
        <f t="shared" si="56"/>
        <v>1.5942655145325999</v>
      </c>
      <c r="N161" s="7">
        <v>26.3</v>
      </c>
      <c r="O161" s="6">
        <v>93.727000000000004</v>
      </c>
      <c r="P161" s="6">
        <v>20.681999999999999</v>
      </c>
      <c r="Q161" s="6">
        <f>O161*1.067</f>
        <v>100.006709</v>
      </c>
      <c r="R161" s="6">
        <f>P161*1.514</f>
        <v>31.312548</v>
      </c>
      <c r="S161" s="23">
        <f>P161*1.514+O161*1.067</f>
        <v>131.31925699999999</v>
      </c>
      <c r="T161" s="6">
        <v>40.299999999999997</v>
      </c>
      <c r="W161">
        <f>3.756+4.005</f>
        <v>7.7609999999999992</v>
      </c>
      <c r="X161" s="6">
        <v>8.73</v>
      </c>
      <c r="AB161" s="5">
        <v>80</v>
      </c>
      <c r="AC161" s="7">
        <f>T161</f>
        <v>40.299999999999997</v>
      </c>
      <c r="AD161" s="1">
        <f>5*4.51</f>
        <v>22.549999999999997</v>
      </c>
      <c r="AE161" s="1">
        <v>28.5</v>
      </c>
      <c r="AF161" s="1">
        <f>2*4.18</f>
        <v>8.36</v>
      </c>
      <c r="AG161">
        <v>2.65</v>
      </c>
      <c r="AH161" s="119">
        <v>0.4775462962962963</v>
      </c>
      <c r="AJ161" s="1">
        <v>175</v>
      </c>
      <c r="AK161" s="3">
        <v>180</v>
      </c>
      <c r="AL161" s="4">
        <f>AE161</f>
        <v>28.5</v>
      </c>
      <c r="AM161" s="1">
        <v>25.2</v>
      </c>
      <c r="AN161" s="80">
        <f t="shared" si="65"/>
        <v>100</v>
      </c>
      <c r="AO161" s="126">
        <f>[1]HRT_SRT!P215</f>
        <v>2617.7777777777974</v>
      </c>
      <c r="AP161" s="13">
        <f t="shared" si="79"/>
        <v>2668.8888888888896</v>
      </c>
      <c r="AQ161" s="15">
        <f>IF(ISNUMBER([1]HRT_SRT!R215),[1]HRT_SRT!R215,"")</f>
        <v>16.772927905835825</v>
      </c>
      <c r="AR161" s="17">
        <f t="shared" si="66"/>
        <v>0.9704498784972565</v>
      </c>
      <c r="AS161" s="16">
        <f t="shared" si="67"/>
        <v>0.62926829268292683</v>
      </c>
      <c r="AT161" s="16">
        <f t="shared" si="68"/>
        <v>0.18675123326286119</v>
      </c>
      <c r="AU161" s="16">
        <f>(G161-AM161)/G161</f>
        <v>0.10919088766692851</v>
      </c>
      <c r="AV161" s="57">
        <f t="shared" si="70"/>
        <v>254.87751399999999</v>
      </c>
      <c r="AW161" s="57">
        <f t="shared" si="71"/>
        <v>14.189999999999998</v>
      </c>
      <c r="AX161" s="57">
        <f t="shared" si="72"/>
        <v>3.0888888888888886</v>
      </c>
      <c r="AY161" s="57">
        <f t="shared" si="74"/>
        <v>11.799999999999997</v>
      </c>
      <c r="AZ161" s="57">
        <f t="shared" si="75"/>
        <v>3.3000000000000007</v>
      </c>
      <c r="BA161" s="84">
        <f t="shared" si="82"/>
        <v>0.9704498784972565</v>
      </c>
      <c r="BB161" s="84">
        <f t="shared" si="83"/>
        <v>0.62926829268292683</v>
      </c>
      <c r="BC161" s="84">
        <f t="shared" si="84"/>
        <v>0.18675123326286119</v>
      </c>
      <c r="BD161" s="84">
        <f t="shared" si="76"/>
        <v>0.10919088766692851</v>
      </c>
      <c r="BE161" s="6">
        <f t="shared" si="73"/>
        <v>4.8651428571428568</v>
      </c>
      <c r="BF161" s="6">
        <f t="shared" si="77"/>
        <v>1.8229094801950749</v>
      </c>
    </row>
    <row r="162" spans="1:58" ht="15.75">
      <c r="B162" s="11">
        <v>45422</v>
      </c>
      <c r="D162" s="3">
        <v>157</v>
      </c>
      <c r="E162" s="205" t="str">
        <f t="shared" si="78"/>
        <v/>
      </c>
      <c r="G162" s="15">
        <f>(N162*18-H162*18)/9</f>
        <v>27.4</v>
      </c>
      <c r="H162" s="9">
        <v>13.8</v>
      </c>
      <c r="I162" s="15">
        <f t="shared" si="81"/>
        <v>24.4</v>
      </c>
      <c r="K162" s="10" t="str">
        <f t="shared" si="54"/>
        <v/>
      </c>
      <c r="L162" s="9" t="str">
        <f t="shared" si="55"/>
        <v/>
      </c>
      <c r="M162" s="8">
        <f t="shared" si="56"/>
        <v>1.781021897810219</v>
      </c>
      <c r="N162" s="7">
        <v>27.5</v>
      </c>
      <c r="T162" s="6">
        <v>39</v>
      </c>
      <c r="X162" s="6">
        <v>7.95</v>
      </c>
      <c r="AB162" s="5">
        <v>80</v>
      </c>
      <c r="AC162" s="7">
        <f>T162</f>
        <v>39</v>
      </c>
      <c r="AD162" s="165">
        <f>5*4.88</f>
        <v>24.4</v>
      </c>
      <c r="AF162" s="162">
        <v>8.3000000000000007</v>
      </c>
      <c r="AG162">
        <v>2.94</v>
      </c>
      <c r="AH162" s="119">
        <v>0.47696759259259258</v>
      </c>
      <c r="AJ162" s="1">
        <v>175</v>
      </c>
      <c r="AK162" s="3">
        <v>180</v>
      </c>
      <c r="AM162" s="1">
        <v>26.1</v>
      </c>
      <c r="AN162" s="80">
        <f t="shared" si="65"/>
        <v>100</v>
      </c>
      <c r="AO162" s="126"/>
      <c r="AP162" s="13">
        <f t="shared" si="79"/>
        <v>2668.8888888888896</v>
      </c>
      <c r="AQ162" s="15" t="str">
        <f>IF(ISNUMBER([1]HRT_SRT!R216),[1]HRT_SRT!R216,"")</f>
        <v/>
      </c>
      <c r="AR162" s="17" t="e">
        <f t="shared" si="66"/>
        <v>#VALUE!</v>
      </c>
      <c r="AS162" s="16">
        <f t="shared" si="67"/>
        <v>0.65983606557377039</v>
      </c>
      <c r="AT162" s="16">
        <f t="shared" si="68"/>
        <v>0.18260869565217394</v>
      </c>
      <c r="AU162" s="16">
        <f>(G162-AM162)/G162</f>
        <v>4.7445255474452455E-2</v>
      </c>
      <c r="AV162" s="57" t="str">
        <f t="shared" si="70"/>
        <v/>
      </c>
      <c r="AW162" s="57">
        <f t="shared" si="71"/>
        <v>16.099999999999998</v>
      </c>
      <c r="AX162" s="57">
        <f t="shared" si="72"/>
        <v>1.2999999999999972</v>
      </c>
      <c r="AY162" s="57" t="str">
        <f t="shared" si="74"/>
        <v/>
      </c>
      <c r="AZ162" s="57" t="str">
        <f t="shared" si="75"/>
        <v/>
      </c>
      <c r="BA162" s="84" t="str">
        <f t="shared" si="82"/>
        <v/>
      </c>
      <c r="BB162" s="84">
        <f t="shared" si="83"/>
        <v>0.65983606557377039</v>
      </c>
      <c r="BC162" s="84">
        <f t="shared" si="84"/>
        <v>0.18260869565217394</v>
      </c>
      <c r="BD162" s="84">
        <f t="shared" si="76"/>
        <v>4.7445255474452455E-2</v>
      </c>
      <c r="BE162" s="6">
        <f t="shared" si="73"/>
        <v>5.52</v>
      </c>
      <c r="BF162" s="6">
        <f t="shared" si="77"/>
        <v>2.0682764363030799</v>
      </c>
    </row>
    <row r="163" spans="1:58" ht="15.75">
      <c r="B163" s="11">
        <v>45423</v>
      </c>
      <c r="D163" s="3">
        <v>158</v>
      </c>
      <c r="E163" s="205" t="str">
        <f t="shared" si="78"/>
        <v/>
      </c>
      <c r="I163" s="15">
        <f t="shared" si="81"/>
        <v>25</v>
      </c>
      <c r="K163" s="10" t="str">
        <f t="shared" si="54"/>
        <v/>
      </c>
      <c r="L163" s="9" t="str">
        <f t="shared" si="55"/>
        <v/>
      </c>
      <c r="M163" s="8" t="str">
        <f t="shared" si="56"/>
        <v/>
      </c>
      <c r="X163" s="6">
        <v>4.78</v>
      </c>
      <c r="AB163" s="5">
        <v>80</v>
      </c>
      <c r="AD163" s="162">
        <f>25</f>
        <v>25</v>
      </c>
      <c r="AF163" s="162">
        <v>8.3000000000000007</v>
      </c>
      <c r="AG163">
        <v>2.52</v>
      </c>
      <c r="AH163" s="119">
        <v>0.4775462962962963</v>
      </c>
      <c r="AJ163" s="1">
        <v>175</v>
      </c>
      <c r="AK163" s="3">
        <v>180</v>
      </c>
      <c r="AN163" s="80">
        <f t="shared" si="65"/>
        <v>100</v>
      </c>
      <c r="AO163" s="126"/>
      <c r="AP163" s="13">
        <f t="shared" si="79"/>
        <v>2512.5925925926081</v>
      </c>
      <c r="AQ163" s="15" t="str">
        <f>IF(ISNUMBER([1]HRT_SRT!R217),[1]HRT_SRT!R217,"")</f>
        <v/>
      </c>
      <c r="AR163" s="17" t="e">
        <f t="shared" si="66"/>
        <v>#VALUE!</v>
      </c>
      <c r="AS163" s="16">
        <f t="shared" si="67"/>
        <v>0.66799999999999993</v>
      </c>
      <c r="AT163" s="16">
        <f t="shared" si="68"/>
        <v>0.15089820359281439</v>
      </c>
      <c r="AU163" s="16"/>
      <c r="AV163" s="57" t="str">
        <f t="shared" si="70"/>
        <v/>
      </c>
      <c r="AW163" s="57">
        <f t="shared" si="71"/>
        <v>16.7</v>
      </c>
      <c r="AX163" s="57" t="str">
        <f t="shared" si="72"/>
        <v/>
      </c>
      <c r="AY163" s="57" t="str">
        <f t="shared" si="74"/>
        <v/>
      </c>
      <c r="AZ163" s="57" t="str">
        <f t="shared" si="75"/>
        <v/>
      </c>
      <c r="BA163" s="84" t="str">
        <f t="shared" si="82"/>
        <v/>
      </c>
      <c r="BB163" s="84">
        <f t="shared" si="83"/>
        <v>0.66799999999999993</v>
      </c>
      <c r="BC163" s="84">
        <f t="shared" si="84"/>
        <v>0.15089820359281439</v>
      </c>
      <c r="BD163" s="84" t="str">
        <f t="shared" si="76"/>
        <v/>
      </c>
      <c r="BE163" s="6">
        <f t="shared" si="73"/>
        <v>5.725714285714286</v>
      </c>
      <c r="BF163" s="6">
        <f t="shared" si="77"/>
        <v>2.2788072776280184</v>
      </c>
    </row>
    <row r="164" spans="1:58" ht="15.75">
      <c r="B164" s="11">
        <v>45424</v>
      </c>
      <c r="D164" s="3">
        <v>159</v>
      </c>
      <c r="E164" s="205" t="str">
        <f t="shared" si="78"/>
        <v/>
      </c>
      <c r="I164" s="15">
        <f t="shared" si="81"/>
        <v>25</v>
      </c>
      <c r="K164" s="10" t="str">
        <f t="shared" si="54"/>
        <v/>
      </c>
      <c r="L164" s="9" t="str">
        <f t="shared" si="55"/>
        <v/>
      </c>
      <c r="M164" s="8" t="str">
        <f t="shared" si="56"/>
        <v/>
      </c>
      <c r="AB164" s="5">
        <v>80</v>
      </c>
      <c r="AD164" s="162">
        <f>25</f>
        <v>25</v>
      </c>
      <c r="AF164" s="162">
        <v>8.3000000000000007</v>
      </c>
      <c r="AG164">
        <v>2.36</v>
      </c>
      <c r="AH164" s="119">
        <v>0.47835648148148147</v>
      </c>
      <c r="AJ164" s="1">
        <v>175</v>
      </c>
      <c r="AK164" s="3">
        <v>180</v>
      </c>
      <c r="AN164" s="80">
        <f t="shared" si="65"/>
        <v>100</v>
      </c>
      <c r="AO164" s="126"/>
      <c r="AP164" s="13">
        <f t="shared" si="79"/>
        <v>2460.0000000000136</v>
      </c>
      <c r="AQ164" s="15" t="str">
        <f>IF(ISNUMBER([1]HRT_SRT!R218),[1]HRT_SRT!R218,"")</f>
        <v/>
      </c>
      <c r="AR164" s="17" t="e">
        <f t="shared" si="66"/>
        <v>#VALUE!</v>
      </c>
      <c r="AS164" s="16">
        <f t="shared" si="67"/>
        <v>0.66799999999999993</v>
      </c>
      <c r="AT164" s="16">
        <f t="shared" si="68"/>
        <v>0.14131736526946106</v>
      </c>
      <c r="AU164" s="16"/>
      <c r="AV164" s="57" t="str">
        <f t="shared" si="70"/>
        <v/>
      </c>
      <c r="AW164" s="57">
        <f t="shared" si="71"/>
        <v>16.7</v>
      </c>
      <c r="AX164" s="57" t="str">
        <f t="shared" si="72"/>
        <v/>
      </c>
      <c r="AY164" s="57" t="str">
        <f t="shared" si="74"/>
        <v/>
      </c>
      <c r="AZ164" s="57" t="str">
        <f t="shared" si="75"/>
        <v/>
      </c>
      <c r="BA164" s="84" t="str">
        <f t="shared" si="82"/>
        <v/>
      </c>
      <c r="BB164" s="84">
        <f t="shared" si="83"/>
        <v>0.66799999999999993</v>
      </c>
      <c r="BC164" s="84">
        <f t="shared" si="84"/>
        <v>0.14131736526946106</v>
      </c>
      <c r="BD164" s="84" t="str">
        <f t="shared" si="76"/>
        <v/>
      </c>
      <c r="BE164" s="6">
        <f t="shared" si="73"/>
        <v>5.725714285714286</v>
      </c>
      <c r="BF164" s="6">
        <f t="shared" si="77"/>
        <v>2.3275261324041683</v>
      </c>
    </row>
    <row r="165" spans="1:58" ht="15.75">
      <c r="B165" s="11">
        <v>45425</v>
      </c>
      <c r="D165" s="3">
        <v>160</v>
      </c>
      <c r="E165" s="205" t="str">
        <f t="shared" si="78"/>
        <v/>
      </c>
      <c r="G165" s="15">
        <f>(N165*17.8-H165*17.8)/9</f>
        <v>27.688888888888886</v>
      </c>
      <c r="H165" s="9">
        <v>22.4</v>
      </c>
      <c r="I165" s="15">
        <f t="shared" si="81"/>
        <v>25.049999999999997</v>
      </c>
      <c r="K165" s="10" t="str">
        <f t="shared" ref="K165:K228" si="85">IF(OR(E165="",G165="",E165=0,G165=0),"",E165/G165)</f>
        <v/>
      </c>
      <c r="L165" s="9" t="str">
        <f t="shared" ref="L165:L228" si="86">IF(OR(E165="",I165="",E165=0,I165=0),"",E165/(I165*2))</f>
        <v/>
      </c>
      <c r="M165" s="8">
        <f t="shared" ref="M165:M228" si="87">IF(OR(I165="",G165="",I165=0,G165=0),"",I165*2/G165)</f>
        <v>1.809390048154093</v>
      </c>
      <c r="N165" s="7">
        <v>36.4</v>
      </c>
      <c r="T165" s="6">
        <v>46.7</v>
      </c>
      <c r="X165" s="6">
        <v>5.8</v>
      </c>
      <c r="AB165" s="5">
        <v>80</v>
      </c>
      <c r="AC165" s="4">
        <v>46.7</v>
      </c>
      <c r="AD165" s="1">
        <f>5*5.01</f>
        <v>25.049999999999997</v>
      </c>
      <c r="AE165" s="1">
        <v>49.2</v>
      </c>
      <c r="AF165" s="1">
        <v>0</v>
      </c>
      <c r="AG165" s="1">
        <v>0</v>
      </c>
      <c r="AH165" s="119">
        <v>0.47835648148148147</v>
      </c>
      <c r="AJ165" s="1">
        <v>175</v>
      </c>
      <c r="AK165" s="3">
        <v>180</v>
      </c>
      <c r="AL165" s="4">
        <f>AE165</f>
        <v>49.2</v>
      </c>
      <c r="AM165" s="1">
        <v>41.4</v>
      </c>
      <c r="AN165" s="80">
        <f t="shared" si="65"/>
        <v>100</v>
      </c>
      <c r="AO165" s="126">
        <f>[1]HRT_SRT!P219</f>
        <v>2719.9999999999818</v>
      </c>
      <c r="AP165" s="13">
        <f t="shared" si="79"/>
        <v>2460.0000000000136</v>
      </c>
      <c r="AQ165" s="15">
        <f>IF(ISNUMBER([1]HRT_SRT!R219),[1]HRT_SRT!R219,"")</f>
        <v>16.787820600740432</v>
      </c>
      <c r="AR165" s="17" t="e">
        <f t="shared" si="66"/>
        <v>#VALUE!</v>
      </c>
      <c r="AS165" s="16">
        <f t="shared" si="67"/>
        <v>1</v>
      </c>
      <c r="AT165" s="16">
        <f t="shared" si="68"/>
        <v>0</v>
      </c>
      <c r="AU165" s="16">
        <f t="shared" ref="AU165:AU175" si="88">(G165-AM165)/G165</f>
        <v>-0.49518459069020876</v>
      </c>
      <c r="AV165" s="57" t="str">
        <f t="shared" si="70"/>
        <v/>
      </c>
      <c r="AW165" s="57">
        <f t="shared" si="71"/>
        <v>25.049999999999997</v>
      </c>
      <c r="AX165" s="57">
        <f t="shared" si="72"/>
        <v>-13.711111111111112</v>
      </c>
      <c r="AY165" s="57">
        <f t="shared" si="74"/>
        <v>-2.5</v>
      </c>
      <c r="AZ165" s="57">
        <f t="shared" si="75"/>
        <v>7.8000000000000043</v>
      </c>
      <c r="BA165" s="84" t="str">
        <f t="shared" si="82"/>
        <v/>
      </c>
      <c r="BB165" s="84">
        <f t="shared" si="83"/>
        <v>1</v>
      </c>
      <c r="BC165" s="84">
        <f t="shared" si="84"/>
        <v>0</v>
      </c>
      <c r="BD165" s="84">
        <f t="shared" si="76"/>
        <v>0</v>
      </c>
      <c r="BE165" s="6">
        <f t="shared" si="73"/>
        <v>8.5885714285714272</v>
      </c>
      <c r="BF165" s="6">
        <f t="shared" si="77"/>
        <v>3.4912891986062515</v>
      </c>
    </row>
    <row r="166" spans="1:58" ht="15.75">
      <c r="B166" s="94">
        <v>45426</v>
      </c>
      <c r="C166" s="128"/>
      <c r="D166" s="3">
        <v>161</v>
      </c>
      <c r="E166" s="205">
        <f t="shared" si="78"/>
        <v>256.53330599999998</v>
      </c>
      <c r="G166" s="15">
        <f>(N166*18-H166*18)/9</f>
        <v>25.9</v>
      </c>
      <c r="H166" s="6">
        <v>8.9499999999999993</v>
      </c>
      <c r="I166" s="15">
        <f t="shared" si="81"/>
        <v>26.9</v>
      </c>
      <c r="K166" s="10">
        <f t="shared" si="85"/>
        <v>9.9047608494208497</v>
      </c>
      <c r="L166" s="9">
        <f t="shared" si="86"/>
        <v>4.7682770631970257</v>
      </c>
      <c r="M166" s="8">
        <f t="shared" si="87"/>
        <v>2.0772200772200771</v>
      </c>
      <c r="N166" s="7">
        <v>21.9</v>
      </c>
      <c r="O166" s="6">
        <v>92.748999999999995</v>
      </c>
      <c r="P166" s="6">
        <v>19.355</v>
      </c>
      <c r="Q166" s="6">
        <f>O166*1.067</f>
        <v>98.963182999999987</v>
      </c>
      <c r="R166" s="6">
        <f>P166*1.514</f>
        <v>29.303470000000001</v>
      </c>
      <c r="S166" s="23">
        <f>P166*1.514+O166*1.067</f>
        <v>128.26665299999999</v>
      </c>
      <c r="T166" s="6">
        <v>32.799999999999997</v>
      </c>
      <c r="W166" s="6">
        <f>0.592+0.586</f>
        <v>1.1779999999999999</v>
      </c>
      <c r="X166" s="6">
        <v>6.47</v>
      </c>
      <c r="AB166" s="5">
        <v>80</v>
      </c>
      <c r="AC166" s="7">
        <f>T166</f>
        <v>32.799999999999997</v>
      </c>
      <c r="AD166" s="1">
        <f>5*5.38</f>
        <v>26.9</v>
      </c>
      <c r="AE166" s="1">
        <v>20.2</v>
      </c>
      <c r="AF166" s="1">
        <f>2*2.92</f>
        <v>5.84</v>
      </c>
      <c r="AG166">
        <v>0.78</v>
      </c>
      <c r="AH166" s="119">
        <v>0.44872685185185185</v>
      </c>
      <c r="AJ166" s="1">
        <v>175</v>
      </c>
      <c r="AK166" s="3">
        <v>180</v>
      </c>
      <c r="AL166" s="4">
        <f>AE166</f>
        <v>20.2</v>
      </c>
      <c r="AM166" s="1">
        <v>16</v>
      </c>
      <c r="AN166" s="80">
        <f t="shared" si="65"/>
        <v>100</v>
      </c>
      <c r="AO166" s="126"/>
      <c r="AP166" s="13">
        <f t="shared" si="79"/>
        <v>2460.0000000000136</v>
      </c>
      <c r="AQ166" s="15" t="str">
        <f>IF(ISNUMBER([1]HRT_SRT!R220),[1]HRT_SRT!R220,"")</f>
        <v/>
      </c>
      <c r="AR166" s="156">
        <f t="shared" si="66"/>
        <v>0.99540800366873217</v>
      </c>
      <c r="AS166" s="155">
        <f t="shared" si="67"/>
        <v>0.78289962825278814</v>
      </c>
      <c r="AT166" s="155">
        <f t="shared" si="68"/>
        <v>3.7037037037037042E-2</v>
      </c>
      <c r="AU166" s="16">
        <f t="shared" si="88"/>
        <v>0.3822393822393822</v>
      </c>
      <c r="AV166" s="57">
        <f t="shared" si="70"/>
        <v>255.35530599999998</v>
      </c>
      <c r="AW166" s="57">
        <f t="shared" si="71"/>
        <v>21.06</v>
      </c>
      <c r="AX166" s="57">
        <f t="shared" si="72"/>
        <v>9.8999999999999986</v>
      </c>
      <c r="AY166" s="57">
        <f t="shared" si="74"/>
        <v>12.599999999999998</v>
      </c>
      <c r="AZ166" s="57">
        <f t="shared" si="75"/>
        <v>4.1999999999999993</v>
      </c>
      <c r="BA166" s="123">
        <f t="shared" si="82"/>
        <v>0.99540800366873217</v>
      </c>
      <c r="BB166" s="123">
        <f t="shared" si="83"/>
        <v>0.78289962825278814</v>
      </c>
      <c r="BC166" s="123">
        <f t="shared" si="84"/>
        <v>3.7037037037037042E-2</v>
      </c>
      <c r="BD166" s="123">
        <f t="shared" si="76"/>
        <v>0.3822393822393822</v>
      </c>
      <c r="BE166" s="6">
        <f t="shared" si="73"/>
        <v>7.2205714285714286</v>
      </c>
      <c r="BF166" s="6">
        <f t="shared" si="77"/>
        <v>2.9351916376306457</v>
      </c>
    </row>
    <row r="167" spans="1:58" ht="13.35" customHeight="1">
      <c r="A167" s="112"/>
      <c r="B167" s="94">
        <v>45427</v>
      </c>
      <c r="C167" s="128"/>
      <c r="D167" s="136">
        <v>162</v>
      </c>
      <c r="E167" s="205">
        <f t="shared" si="78"/>
        <v>220.592038</v>
      </c>
      <c r="G167" s="15">
        <f>(N167*19-H167*19)/9</f>
        <v>25.586666666666666</v>
      </c>
      <c r="H167" s="6">
        <v>9.58</v>
      </c>
      <c r="I167" s="15">
        <f t="shared" si="81"/>
        <v>24.8</v>
      </c>
      <c r="K167" s="10">
        <f t="shared" si="85"/>
        <v>8.6213667795726945</v>
      </c>
      <c r="L167" s="9">
        <f t="shared" si="86"/>
        <v>4.4474201209677418</v>
      </c>
      <c r="M167" s="8">
        <f t="shared" si="87"/>
        <v>1.938509640437728</v>
      </c>
      <c r="N167" s="7">
        <v>21.7</v>
      </c>
      <c r="O167" s="6">
        <v>80.838999999999999</v>
      </c>
      <c r="P167" s="6">
        <v>15.879</v>
      </c>
      <c r="Q167" s="6">
        <f>O167*1.067</f>
        <v>86.255212999999998</v>
      </c>
      <c r="R167" s="6">
        <f>P167*1.514</f>
        <v>24.040806</v>
      </c>
      <c r="S167" s="23">
        <f>P167*1.514+O167*1.067</f>
        <v>110.296019</v>
      </c>
      <c r="T167" s="6">
        <v>32.299999999999997</v>
      </c>
      <c r="W167" s="6">
        <v>0</v>
      </c>
      <c r="AB167" s="5">
        <v>80</v>
      </c>
      <c r="AC167" s="7">
        <f>T167</f>
        <v>32.299999999999997</v>
      </c>
      <c r="AD167" s="1">
        <f>5*4.96</f>
        <v>24.8</v>
      </c>
      <c r="AE167" s="1">
        <v>21.7</v>
      </c>
      <c r="AF167" s="1">
        <f>2*4.96</f>
        <v>9.92</v>
      </c>
      <c r="AG167" s="67">
        <v>2.74</v>
      </c>
      <c r="AH167" s="119">
        <v>0.4775462962962963</v>
      </c>
      <c r="AJ167" s="1">
        <v>175</v>
      </c>
      <c r="AK167" s="3">
        <v>180</v>
      </c>
      <c r="AL167" s="4">
        <f>AE167</f>
        <v>21.7</v>
      </c>
      <c r="AM167" s="1">
        <v>19</v>
      </c>
      <c r="AN167" s="80">
        <f t="shared" si="65"/>
        <v>100</v>
      </c>
      <c r="AO167" s="126">
        <f>[1]HRT_SRT!P221</f>
        <v>2200.0000000000455</v>
      </c>
      <c r="AP167" s="13">
        <f t="shared" si="79"/>
        <v>2460.0000000000136</v>
      </c>
      <c r="AQ167" s="15">
        <f>IF(ISNUMBER([1]HRT_SRT!R221),[1]HRT_SRT!R221,"")</f>
        <v>16.541353383458706</v>
      </c>
      <c r="AR167" s="156">
        <f t="shared" si="66"/>
        <v>1</v>
      </c>
      <c r="AS167" s="155">
        <f t="shared" si="67"/>
        <v>0.6</v>
      </c>
      <c r="AT167" s="155">
        <f t="shared" si="68"/>
        <v>0.18413978494623656</v>
      </c>
      <c r="AU167" s="16">
        <f t="shared" si="88"/>
        <v>0.25742574257425743</v>
      </c>
      <c r="AV167" s="57">
        <f t="shared" si="70"/>
        <v>220.592038</v>
      </c>
      <c r="AW167" s="57">
        <f t="shared" si="71"/>
        <v>14.88</v>
      </c>
      <c r="AX167" s="57">
        <f t="shared" si="72"/>
        <v>6.586666666666666</v>
      </c>
      <c r="AY167" s="57">
        <f t="shared" si="74"/>
        <v>10.599999999999998</v>
      </c>
      <c r="AZ167" s="57">
        <f t="shared" si="75"/>
        <v>2.6999999999999993</v>
      </c>
      <c r="BA167" s="123" t="str">
        <f t="shared" si="82"/>
        <v/>
      </c>
      <c r="BB167" s="123">
        <f t="shared" si="83"/>
        <v>0.6</v>
      </c>
      <c r="BC167" s="123">
        <f t="shared" si="84"/>
        <v>0.18413978494623656</v>
      </c>
      <c r="BD167" s="123">
        <f t="shared" si="76"/>
        <v>0.25742574257425743</v>
      </c>
      <c r="BE167" s="6">
        <f t="shared" si="73"/>
        <v>5.1017142857142863</v>
      </c>
      <c r="BF167" s="6">
        <f t="shared" si="77"/>
        <v>2.073867595818804</v>
      </c>
    </row>
    <row r="168" spans="1:58" ht="15.75">
      <c r="B168" s="94">
        <v>45428</v>
      </c>
      <c r="C168" s="128"/>
      <c r="D168" s="3">
        <v>163</v>
      </c>
      <c r="E168" s="205">
        <f t="shared" si="78"/>
        <v>156.69629599999999</v>
      </c>
      <c r="G168" s="15">
        <f>(N168*19-H168*19)/9</f>
        <v>41.800000000000004</v>
      </c>
      <c r="H168" s="9">
        <f>26.2/2</f>
        <v>13.1</v>
      </c>
      <c r="I168" s="15">
        <f t="shared" si="81"/>
        <v>24.8</v>
      </c>
      <c r="K168" s="10">
        <f t="shared" si="85"/>
        <v>3.7487152153110039</v>
      </c>
      <c r="L168" s="9">
        <f t="shared" si="86"/>
        <v>3.159199516129032</v>
      </c>
      <c r="M168" s="8">
        <f t="shared" si="87"/>
        <v>1.1866028708133971</v>
      </c>
      <c r="N168" s="7">
        <v>32.9</v>
      </c>
      <c r="O168" s="6">
        <v>51.12</v>
      </c>
      <c r="P168" s="6">
        <v>15.722</v>
      </c>
      <c r="Q168" s="6">
        <f>O168*1.067</f>
        <v>54.545039999999993</v>
      </c>
      <c r="R168" s="6">
        <f>P168*1.514</f>
        <v>23.803107999999998</v>
      </c>
      <c r="S168" s="23">
        <f>P168*1.514+O168*1.067</f>
        <v>78.348147999999995</v>
      </c>
      <c r="W168" s="6">
        <v>0</v>
      </c>
      <c r="X168" s="6">
        <v>7.74</v>
      </c>
      <c r="AB168" s="5">
        <v>80</v>
      </c>
      <c r="AC168" s="7">
        <f>T168</f>
        <v>0</v>
      </c>
      <c r="AD168" s="162">
        <f>5*4.96</f>
        <v>24.8</v>
      </c>
      <c r="AE168" s="1">
        <v>28.9</v>
      </c>
      <c r="AF168" s="1">
        <f>5*3.02</f>
        <v>15.1</v>
      </c>
      <c r="AG168" s="98">
        <v>1.61</v>
      </c>
      <c r="AH168" s="119">
        <v>0.47719907407407408</v>
      </c>
      <c r="AJ168" s="1">
        <v>175</v>
      </c>
      <c r="AK168" s="3">
        <v>180</v>
      </c>
      <c r="AL168" s="4">
        <f>AE168</f>
        <v>28.9</v>
      </c>
      <c r="AM168" s="1">
        <v>26.2</v>
      </c>
      <c r="AN168" s="80">
        <f t="shared" si="65"/>
        <v>100</v>
      </c>
      <c r="AO168" s="126"/>
      <c r="AP168" s="13">
        <f t="shared" si="79"/>
        <v>2200.0000000000455</v>
      </c>
      <c r="AQ168" s="15" t="str">
        <f>IF(ISNUMBER([1]HRT_SRT!R222),[1]HRT_SRT!R222,"")</f>
        <v/>
      </c>
      <c r="AR168" s="156">
        <f t="shared" si="66"/>
        <v>1</v>
      </c>
      <c r="AS168" s="155">
        <f t="shared" si="67"/>
        <v>0.39112903225806456</v>
      </c>
      <c r="AT168" s="155">
        <f t="shared" si="68"/>
        <v>0.16597938144329896</v>
      </c>
      <c r="AU168" s="16">
        <f t="shared" si="88"/>
        <v>0.37320574162679432</v>
      </c>
      <c r="AV168" s="57">
        <f t="shared" si="70"/>
        <v>156.69629599999999</v>
      </c>
      <c r="AW168" s="57">
        <f t="shared" si="71"/>
        <v>9.7000000000000011</v>
      </c>
      <c r="AX168" s="57">
        <f t="shared" si="72"/>
        <v>15.600000000000005</v>
      </c>
      <c r="AY168" s="57">
        <f t="shared" si="74"/>
        <v>-28.9</v>
      </c>
      <c r="AZ168" s="57">
        <f t="shared" si="75"/>
        <v>2.6999999999999993</v>
      </c>
      <c r="BA168" s="123" t="str">
        <f t="shared" si="82"/>
        <v/>
      </c>
      <c r="BB168" s="123">
        <f t="shared" si="83"/>
        <v>0.39112903225806456</v>
      </c>
      <c r="BC168" s="123">
        <f t="shared" si="84"/>
        <v>0.16597938144329896</v>
      </c>
      <c r="BD168" s="123">
        <f t="shared" si="76"/>
        <v>0.37320574162679432</v>
      </c>
      <c r="BE168" s="6">
        <f t="shared" si="73"/>
        <v>3.3257142857142861</v>
      </c>
      <c r="BF168" s="6">
        <f t="shared" si="77"/>
        <v>1.5116883116882807</v>
      </c>
    </row>
    <row r="169" spans="1:58" ht="15.75">
      <c r="B169" s="94">
        <v>45429</v>
      </c>
      <c r="C169" s="128"/>
      <c r="D169" s="3">
        <v>164</v>
      </c>
      <c r="E169" s="205">
        <f t="shared" si="78"/>
        <v>219.26710199999999</v>
      </c>
      <c r="G169" s="15">
        <f>(N169*19-H169*19)/9</f>
        <v>26.177777777777788</v>
      </c>
      <c r="H169" s="9">
        <v>19.399999999999999</v>
      </c>
      <c r="I169" s="15">
        <f t="shared" si="81"/>
        <v>27.3</v>
      </c>
      <c r="K169" s="10">
        <f t="shared" si="85"/>
        <v>8.3760777504244448</v>
      </c>
      <c r="L169" s="9">
        <f t="shared" si="86"/>
        <v>4.0158809890109888</v>
      </c>
      <c r="M169" s="8">
        <f t="shared" si="87"/>
        <v>2.0857385398981316</v>
      </c>
      <c r="N169" s="7">
        <v>31.8</v>
      </c>
      <c r="O169" s="6">
        <v>73.192999999999998</v>
      </c>
      <c r="P169" s="6">
        <v>20.83</v>
      </c>
      <c r="Q169" s="6">
        <f>O169*1.067</f>
        <v>78.096930999999998</v>
      </c>
      <c r="R169" s="6">
        <f>P169*1.514</f>
        <v>31.536619999999999</v>
      </c>
      <c r="S169" s="23">
        <f>P169*1.514+O169*1.067</f>
        <v>109.633551</v>
      </c>
      <c r="T169" s="6">
        <v>38.5</v>
      </c>
      <c r="W169">
        <f>5.719+5.629</f>
        <v>11.347999999999999</v>
      </c>
      <c r="AB169" s="5">
        <v>80</v>
      </c>
      <c r="AC169" s="7">
        <f>T169</f>
        <v>38.5</v>
      </c>
      <c r="AD169" s="1">
        <f>5*5.46</f>
        <v>27.3</v>
      </c>
      <c r="AE169" s="1">
        <v>31.1</v>
      </c>
      <c r="AF169" s="1">
        <f>5*3.3</f>
        <v>16.5</v>
      </c>
      <c r="AG169" s="98">
        <v>1.28</v>
      </c>
      <c r="AH169" s="119">
        <v>0.4775462962962963</v>
      </c>
      <c r="AJ169" s="1">
        <v>175</v>
      </c>
      <c r="AK169" s="3">
        <v>180</v>
      </c>
      <c r="AL169" s="4">
        <f>AE169</f>
        <v>31.1</v>
      </c>
      <c r="AM169" s="1">
        <v>30</v>
      </c>
      <c r="AN169" s="80">
        <f t="shared" si="65"/>
        <v>100</v>
      </c>
      <c r="AO169" s="126"/>
      <c r="AP169" s="13">
        <f t="shared" si="79"/>
        <v>2200.0000000000455</v>
      </c>
      <c r="AQ169" s="15" t="str">
        <f>IF(ISNUMBER([1]HRT_SRT!R223),[1]HRT_SRT!R223,"")</f>
        <v/>
      </c>
      <c r="AR169" s="156">
        <f t="shared" si="66"/>
        <v>0.94824577012925548</v>
      </c>
      <c r="AS169" s="155">
        <f t="shared" si="67"/>
        <v>0.39560439560439564</v>
      </c>
      <c r="AT169" s="155">
        <f t="shared" si="68"/>
        <v>0.11851851851851851</v>
      </c>
      <c r="AU169" s="16">
        <f t="shared" si="88"/>
        <v>-0.14601018675721519</v>
      </c>
      <c r="AV169" s="57">
        <f t="shared" si="70"/>
        <v>207.91910200000001</v>
      </c>
      <c r="AW169" s="57">
        <f t="shared" si="71"/>
        <v>10.8</v>
      </c>
      <c r="AX169" s="57">
        <f t="shared" si="72"/>
        <v>-3.8222222222222122</v>
      </c>
      <c r="AY169" s="57">
        <f t="shared" si="74"/>
        <v>7.3999999999999986</v>
      </c>
      <c r="AZ169" s="57">
        <f t="shared" si="75"/>
        <v>1.1000000000000014</v>
      </c>
      <c r="BA169" s="123">
        <f t="shared" si="82"/>
        <v>0.94824577012925548</v>
      </c>
      <c r="BB169" s="123">
        <f t="shared" si="83"/>
        <v>0.39560439560439564</v>
      </c>
      <c r="BC169" s="123">
        <f t="shared" si="84"/>
        <v>0.11851851851851851</v>
      </c>
      <c r="BD169" s="123">
        <f t="shared" si="76"/>
        <v>0</v>
      </c>
      <c r="BE169" s="6">
        <f t="shared" si="73"/>
        <v>3.7028571428571433</v>
      </c>
      <c r="BF169" s="6">
        <f t="shared" si="77"/>
        <v>1.6831168831168486</v>
      </c>
    </row>
    <row r="170" spans="1:58" ht="15.75">
      <c r="B170" s="94">
        <v>45430</v>
      </c>
      <c r="C170" s="128"/>
      <c r="D170" s="3">
        <v>165</v>
      </c>
      <c r="E170" s="205" t="str">
        <f t="shared" si="78"/>
        <v/>
      </c>
      <c r="G170" s="15">
        <f>(N170*19-H170*19)/9</f>
        <v>34.938888888888897</v>
      </c>
      <c r="H170" s="9">
        <f>AM170/2</f>
        <v>14.35</v>
      </c>
      <c r="I170" s="15">
        <f t="shared" si="81"/>
        <v>26.483333333333334</v>
      </c>
      <c r="K170" s="10" t="str">
        <f t="shared" si="85"/>
        <v/>
      </c>
      <c r="L170" s="9" t="str">
        <f t="shared" si="86"/>
        <v/>
      </c>
      <c r="M170" s="8">
        <f t="shared" si="87"/>
        <v>1.5159802830338684</v>
      </c>
      <c r="N170" s="7">
        <v>30.9</v>
      </c>
      <c r="X170" s="6">
        <v>5.93</v>
      </c>
      <c r="AB170" s="5">
        <v>80</v>
      </c>
      <c r="AD170" s="162">
        <f>(AD169*2/3+AD172*1/3)</f>
        <v>26.483333333333334</v>
      </c>
      <c r="AG170" s="98">
        <v>1.23</v>
      </c>
      <c r="AH170" s="119">
        <v>0.4775462962962963</v>
      </c>
      <c r="AJ170" s="1">
        <v>175</v>
      </c>
      <c r="AK170" s="3">
        <v>180</v>
      </c>
      <c r="AM170" s="1">
        <v>28.7</v>
      </c>
      <c r="AN170" s="80">
        <f t="shared" si="65"/>
        <v>100</v>
      </c>
      <c r="AO170" s="126"/>
      <c r="AP170" s="13">
        <f t="shared" si="79"/>
        <v>1320.0000000000273</v>
      </c>
      <c r="AQ170" s="15" t="str">
        <f>IF(ISNUMBER([1]HRT_SRT!R224),[1]HRT_SRT!R224,"")</f>
        <v/>
      </c>
      <c r="AR170" s="156"/>
      <c r="AS170" s="155">
        <f t="shared" si="67"/>
        <v>1</v>
      </c>
      <c r="AT170" s="155">
        <f t="shared" si="68"/>
        <v>4.6444304594084329E-2</v>
      </c>
      <c r="AU170" s="16">
        <f t="shared" si="88"/>
        <v>0.17856574972173658</v>
      </c>
      <c r="AV170" s="57" t="str">
        <f t="shared" si="70"/>
        <v/>
      </c>
      <c r="AW170" s="57" t="str">
        <f t="shared" si="71"/>
        <v/>
      </c>
      <c r="AX170" s="57">
        <f t="shared" si="72"/>
        <v>6.2388888888888978</v>
      </c>
      <c r="AY170" s="57" t="str">
        <f t="shared" si="74"/>
        <v/>
      </c>
      <c r="AZ170" s="57" t="str">
        <f t="shared" si="75"/>
        <v/>
      </c>
      <c r="BA170" s="123" t="str">
        <f t="shared" si="82"/>
        <v/>
      </c>
      <c r="BB170" s="123">
        <f t="shared" si="83"/>
        <v>1</v>
      </c>
      <c r="BC170" s="123">
        <f t="shared" si="84"/>
        <v>4.6444304594084329E-2</v>
      </c>
      <c r="BD170" s="123">
        <f t="shared" si="76"/>
        <v>0.17856574972173658</v>
      </c>
      <c r="BE170" s="6">
        <f t="shared" si="73"/>
        <v>9.08</v>
      </c>
      <c r="BF170" s="6" t="str">
        <f t="shared" si="77"/>
        <v/>
      </c>
    </row>
    <row r="171" spans="1:58" ht="15.75">
      <c r="B171" s="94">
        <v>45431</v>
      </c>
      <c r="C171" s="128"/>
      <c r="D171" s="3">
        <v>166</v>
      </c>
      <c r="E171" s="205" t="str">
        <f t="shared" si="78"/>
        <v/>
      </c>
      <c r="G171" s="163">
        <v>26.177777777777788</v>
      </c>
      <c r="I171" s="15">
        <f t="shared" si="81"/>
        <v>25.666666666666664</v>
      </c>
      <c r="K171" s="10" t="str">
        <f t="shared" si="85"/>
        <v/>
      </c>
      <c r="L171" s="9" t="str">
        <f t="shared" si="86"/>
        <v/>
      </c>
      <c r="M171" s="8">
        <f t="shared" si="87"/>
        <v>1.9609507640067902</v>
      </c>
      <c r="X171" s="6">
        <v>8.02</v>
      </c>
      <c r="AB171" s="5">
        <v>80</v>
      </c>
      <c r="AD171" s="162">
        <f>(AD169*1/3+AD172*2/3)</f>
        <v>25.666666666666664</v>
      </c>
      <c r="AF171" s="1">
        <f>5*2.73</f>
        <v>13.65</v>
      </c>
      <c r="AG171" s="98">
        <v>1.19</v>
      </c>
      <c r="AH171" s="119">
        <v>0.4775462962962963</v>
      </c>
      <c r="AJ171" s="1">
        <v>175</v>
      </c>
      <c r="AK171" s="3">
        <v>180</v>
      </c>
      <c r="AM171" s="1">
        <v>20.7</v>
      </c>
      <c r="AN171" s="80">
        <f t="shared" si="65"/>
        <v>100</v>
      </c>
      <c r="AO171" s="126"/>
      <c r="AP171" s="13">
        <f t="shared" si="79"/>
        <v>1320.0000000000273</v>
      </c>
      <c r="AQ171" s="15" t="str">
        <f>IF(ISNUMBER([1]HRT_SRT!R225),[1]HRT_SRT!R225,"")</f>
        <v/>
      </c>
      <c r="AR171" s="156"/>
      <c r="AS171" s="155">
        <f t="shared" si="67"/>
        <v>0.46818181818181814</v>
      </c>
      <c r="AT171" s="155">
        <f t="shared" si="68"/>
        <v>9.902912621359225E-2</v>
      </c>
      <c r="AU171" s="16">
        <f t="shared" si="88"/>
        <v>0.20925297113752156</v>
      </c>
      <c r="AV171" s="57" t="str">
        <f t="shared" si="70"/>
        <v/>
      </c>
      <c r="AW171" s="57">
        <f t="shared" si="71"/>
        <v>12.016666666666664</v>
      </c>
      <c r="AX171" s="57">
        <f t="shared" si="72"/>
        <v>5.4777777777777885</v>
      </c>
      <c r="AY171" s="57" t="str">
        <f t="shared" si="74"/>
        <v/>
      </c>
      <c r="AZ171" s="57" t="str">
        <f t="shared" si="75"/>
        <v/>
      </c>
      <c r="BA171" s="123" t="str">
        <f t="shared" si="82"/>
        <v/>
      </c>
      <c r="BB171" s="123">
        <f t="shared" si="83"/>
        <v>0.46818181818181814</v>
      </c>
      <c r="BC171" s="123">
        <f t="shared" si="84"/>
        <v>9.902912621359225E-2</v>
      </c>
      <c r="BD171" s="123">
        <f t="shared" si="76"/>
        <v>0.20925297113752156</v>
      </c>
      <c r="BE171" s="6">
        <f t="shared" si="73"/>
        <v>4.1199999999999992</v>
      </c>
      <c r="BF171" s="6">
        <f t="shared" si="77"/>
        <v>3.1212121212120558</v>
      </c>
    </row>
    <row r="172" spans="1:58" ht="15.75">
      <c r="B172" s="94">
        <v>45432</v>
      </c>
      <c r="C172" s="128"/>
      <c r="D172" s="3">
        <v>167</v>
      </c>
      <c r="E172" s="205">
        <f t="shared" si="78"/>
        <v>199.29919599999999</v>
      </c>
      <c r="G172" s="15">
        <f>(N172*19-H172*19)/9</f>
        <v>29.133333333333326</v>
      </c>
      <c r="H172" s="9">
        <v>23</v>
      </c>
      <c r="I172" s="15">
        <f t="shared" si="81"/>
        <v>24.849999999999998</v>
      </c>
      <c r="K172" s="10">
        <f t="shared" si="85"/>
        <v>6.8409335011441668</v>
      </c>
      <c r="L172" s="9">
        <f t="shared" si="86"/>
        <v>4.0100441851106643</v>
      </c>
      <c r="M172" s="8">
        <f t="shared" si="87"/>
        <v>1.7059496567505723</v>
      </c>
      <c r="N172" s="7">
        <v>36.799999999999997</v>
      </c>
      <c r="O172" s="6">
        <v>70.433999999999997</v>
      </c>
      <c r="P172" s="6">
        <v>16.18</v>
      </c>
      <c r="Q172" s="6">
        <f>O172*1.067</f>
        <v>75.153077999999994</v>
      </c>
      <c r="R172" s="6">
        <f>P172*1.514</f>
        <v>24.49652</v>
      </c>
      <c r="S172" s="23">
        <f>P172*1.514+O172*1.067</f>
        <v>99.649597999999997</v>
      </c>
      <c r="T172" s="6">
        <v>39</v>
      </c>
      <c r="W172" s="6">
        <f>1.063+0.762</f>
        <v>1.825</v>
      </c>
      <c r="AB172" s="5">
        <v>80</v>
      </c>
      <c r="AC172" s="7">
        <f>T172</f>
        <v>39</v>
      </c>
      <c r="AD172" s="1">
        <f>5*4.97</f>
        <v>24.849999999999998</v>
      </c>
      <c r="AE172" s="1">
        <v>31.4</v>
      </c>
      <c r="AF172" s="1">
        <f>5*2.79</f>
        <v>13.95</v>
      </c>
      <c r="AG172" s="98">
        <v>1.41</v>
      </c>
      <c r="AH172" s="119">
        <v>0.47847222222222224</v>
      </c>
      <c r="AJ172" s="1">
        <v>175</v>
      </c>
      <c r="AK172" s="3">
        <v>180</v>
      </c>
      <c r="AL172" s="4">
        <f>AE172</f>
        <v>31.4</v>
      </c>
      <c r="AM172" s="1">
        <v>30.6</v>
      </c>
      <c r="AN172" s="80">
        <f t="shared" si="65"/>
        <v>100</v>
      </c>
      <c r="AO172" s="126"/>
      <c r="AP172" s="13">
        <f t="shared" si="79"/>
        <v>1560.0000000000136</v>
      </c>
      <c r="AQ172" s="15" t="str">
        <f>IF(ISNUMBER([1]HRT_SRT!R226),[1]HRT_SRT!R226,"")</f>
        <v/>
      </c>
      <c r="AR172" s="156">
        <f>(E172-W172)/E172</f>
        <v>0.99084291338536068</v>
      </c>
      <c r="AS172" s="155">
        <f t="shared" si="67"/>
        <v>0.43863179074446679</v>
      </c>
      <c r="AT172" s="155">
        <f t="shared" si="68"/>
        <v>0.12935779816513762</v>
      </c>
      <c r="AU172" s="16">
        <f t="shared" si="88"/>
        <v>-5.0343249427917944E-2</v>
      </c>
      <c r="AV172" s="57">
        <f t="shared" si="70"/>
        <v>197.47419600000001</v>
      </c>
      <c r="AW172" s="57">
        <f t="shared" si="71"/>
        <v>10.899999999999999</v>
      </c>
      <c r="AX172" s="57">
        <f t="shared" si="72"/>
        <v>-1.4666666666666757</v>
      </c>
      <c r="AY172" s="57">
        <f t="shared" si="74"/>
        <v>7.6000000000000014</v>
      </c>
      <c r="AZ172" s="57">
        <f t="shared" si="75"/>
        <v>0.79999999999999716</v>
      </c>
      <c r="BA172" s="157">
        <f t="shared" si="82"/>
        <v>0.99084291338536068</v>
      </c>
      <c r="BB172" s="157">
        <f t="shared" si="83"/>
        <v>0.43863179074446679</v>
      </c>
      <c r="BC172" s="157">
        <f t="shared" si="84"/>
        <v>0.12935779816513762</v>
      </c>
      <c r="BD172" s="157">
        <f t="shared" si="76"/>
        <v>0</v>
      </c>
      <c r="BE172" s="6">
        <f t="shared" si="73"/>
        <v>3.7371428571428567</v>
      </c>
      <c r="BF172" s="6">
        <f t="shared" si="77"/>
        <v>2.3956043956043742</v>
      </c>
    </row>
    <row r="173" spans="1:58" ht="15.75">
      <c r="B173" s="94">
        <v>45433</v>
      </c>
      <c r="C173" s="128"/>
      <c r="D173" s="3">
        <v>168</v>
      </c>
      <c r="E173" s="205">
        <f t="shared" si="78"/>
        <v>217.921976</v>
      </c>
      <c r="G173" s="15">
        <f>(N173*18-H173*18)/9</f>
        <v>27.400000000000009</v>
      </c>
      <c r="H173" s="9">
        <v>23.9</v>
      </c>
      <c r="I173" s="15">
        <f t="shared" si="81"/>
        <v>25.2</v>
      </c>
      <c r="K173" s="10">
        <f t="shared" si="85"/>
        <v>7.9533567883211651</v>
      </c>
      <c r="L173" s="9">
        <f t="shared" si="86"/>
        <v>4.3238487301587307</v>
      </c>
      <c r="M173" s="8">
        <f t="shared" si="87"/>
        <v>1.8394160583941599</v>
      </c>
      <c r="N173" s="7">
        <v>37.6</v>
      </c>
      <c r="S173" s="164">
        <f>(S172+S174)/2</f>
        <v>108.960988</v>
      </c>
      <c r="T173" s="6">
        <v>48.6</v>
      </c>
      <c r="W173" s="6">
        <f>0.737+0.973</f>
        <v>1.71</v>
      </c>
      <c r="X173" s="6">
        <v>8.58</v>
      </c>
      <c r="AB173" s="5">
        <v>80</v>
      </c>
      <c r="AC173" s="7">
        <f>T173</f>
        <v>48.6</v>
      </c>
      <c r="AD173" s="1">
        <f>5*5.04</f>
        <v>25.2</v>
      </c>
      <c r="AE173" s="1">
        <v>40.299999999999997</v>
      </c>
      <c r="AF173" s="1">
        <f>5*2.56</f>
        <v>12.8</v>
      </c>
      <c r="AG173" s="98">
        <v>2.68</v>
      </c>
      <c r="AH173" s="119">
        <v>0.47800925925925924</v>
      </c>
      <c r="AJ173" s="1">
        <v>175</v>
      </c>
      <c r="AK173" s="3">
        <v>180</v>
      </c>
      <c r="AL173" s="4">
        <f>AE173</f>
        <v>40.299999999999997</v>
      </c>
      <c r="AM173" s="1">
        <v>37.200000000000003</v>
      </c>
      <c r="AN173" s="80">
        <f t="shared" si="65"/>
        <v>100</v>
      </c>
      <c r="AO173" s="126"/>
      <c r="AP173" s="13">
        <f t="shared" si="79"/>
        <v>1560.0000000000136</v>
      </c>
      <c r="AQ173" s="15" t="str">
        <f>IF(ISNUMBER([1]HRT_SRT!R227),[1]HRT_SRT!R227,"")</f>
        <v/>
      </c>
      <c r="AR173" s="156">
        <f>(E173-W173)/E173</f>
        <v>0.99215315485208333</v>
      </c>
      <c r="AS173" s="155">
        <f t="shared" si="67"/>
        <v>0.49206349206349204</v>
      </c>
      <c r="AT173" s="155">
        <f t="shared" si="68"/>
        <v>0.21612903225806454</v>
      </c>
      <c r="AU173" s="16">
        <f t="shared" si="88"/>
        <v>-0.35766423357664195</v>
      </c>
      <c r="AV173" s="57">
        <f t="shared" si="70"/>
        <v>216.21197599999999</v>
      </c>
      <c r="AW173" s="57">
        <f t="shared" si="71"/>
        <v>12.399999999999999</v>
      </c>
      <c r="AX173" s="57">
        <f t="shared" si="72"/>
        <v>-9.7999999999999936</v>
      </c>
      <c r="AY173" s="57">
        <f t="shared" si="74"/>
        <v>8.3000000000000043</v>
      </c>
      <c r="AZ173" s="57">
        <f t="shared" si="75"/>
        <v>3.0999999999999943</v>
      </c>
      <c r="BA173" s="157">
        <f t="shared" si="82"/>
        <v>0.99215315485208333</v>
      </c>
      <c r="BB173" s="157">
        <f t="shared" si="83"/>
        <v>0.49206349206349204</v>
      </c>
      <c r="BC173" s="157">
        <f t="shared" si="84"/>
        <v>0.21612903225806454</v>
      </c>
      <c r="BD173" s="157">
        <f t="shared" si="76"/>
        <v>0</v>
      </c>
      <c r="BE173" s="6">
        <f t="shared" si="73"/>
        <v>4.2514285714285709</v>
      </c>
      <c r="BF173" s="6">
        <f t="shared" si="77"/>
        <v>2.7252747252747014</v>
      </c>
    </row>
    <row r="174" spans="1:58" ht="15.75">
      <c r="A174" s="12" t="s">
        <v>73</v>
      </c>
      <c r="B174" s="94">
        <v>45434</v>
      </c>
      <c r="C174" s="128"/>
      <c r="D174" s="136">
        <v>169</v>
      </c>
      <c r="E174" s="205">
        <f t="shared" si="78"/>
        <v>236.54475600000001</v>
      </c>
      <c r="G174" s="15">
        <f>(N174*18-H174*18)/9</f>
        <v>25.799999999999997</v>
      </c>
      <c r="H174" s="15">
        <v>16.8</v>
      </c>
      <c r="I174" s="15">
        <f t="shared" si="81"/>
        <v>24.8</v>
      </c>
      <c r="K174" s="10">
        <f t="shared" si="85"/>
        <v>9.1684013953488392</v>
      </c>
      <c r="L174" s="9">
        <f t="shared" si="86"/>
        <v>4.7690475000000001</v>
      </c>
      <c r="M174" s="8">
        <f t="shared" si="87"/>
        <v>1.9224806201550391</v>
      </c>
      <c r="N174" s="7">
        <v>29.7</v>
      </c>
      <c r="O174" s="6">
        <v>85.233999999999995</v>
      </c>
      <c r="P174" s="6">
        <v>18.05</v>
      </c>
      <c r="Q174" s="6">
        <f>O174*1.067</f>
        <v>90.944677999999996</v>
      </c>
      <c r="R174" s="6">
        <f>P174*1.514</f>
        <v>27.3277</v>
      </c>
      <c r="S174" s="23">
        <f>P174*1.514+O174*1.067</f>
        <v>118.272378</v>
      </c>
      <c r="T174" s="6">
        <v>42.9</v>
      </c>
      <c r="W174" s="6">
        <v>0</v>
      </c>
      <c r="X174" s="6">
        <v>6.03</v>
      </c>
      <c r="AB174" s="5">
        <v>80</v>
      </c>
      <c r="AC174" s="7">
        <f>T174</f>
        <v>42.9</v>
      </c>
      <c r="AD174" s="1">
        <f>5*4.96</f>
        <v>24.8</v>
      </c>
      <c r="AE174" s="1">
        <v>31.2</v>
      </c>
      <c r="AF174" s="1">
        <f>5*2.25</f>
        <v>11.25</v>
      </c>
      <c r="AG174" s="98">
        <v>3.33</v>
      </c>
      <c r="AH174" s="119">
        <v>0.47812500000000002</v>
      </c>
      <c r="AJ174" s="1">
        <v>175</v>
      </c>
      <c r="AK174" s="3">
        <v>180</v>
      </c>
      <c r="AL174" s="4">
        <f>AE174</f>
        <v>31.2</v>
      </c>
      <c r="AM174" s="1">
        <v>28.2</v>
      </c>
      <c r="AN174" s="80">
        <f t="shared" si="65"/>
        <v>100</v>
      </c>
      <c r="AO174" s="126">
        <f>[1]HRT_SRT!P228</f>
        <v>1320.0000000000273</v>
      </c>
      <c r="AP174" s="13">
        <f t="shared" si="79"/>
        <v>1560.0000000000136</v>
      </c>
      <c r="AQ174" s="15">
        <f>IF(ISNUMBER([1]HRT_SRT!R228),[1]HRT_SRT!R228,"")</f>
        <v>14.905149051490479</v>
      </c>
      <c r="AR174" s="156">
        <f>(E174-W174)/E174</f>
        <v>1</v>
      </c>
      <c r="AS174" s="155">
        <f t="shared" si="67"/>
        <v>0.5463709677419355</v>
      </c>
      <c r="AT174" s="155">
        <f t="shared" si="68"/>
        <v>0.24575645756457565</v>
      </c>
      <c r="AU174" s="16">
        <f t="shared" si="88"/>
        <v>-9.3023255813953584E-2</v>
      </c>
      <c r="AV174" s="57">
        <f t="shared" si="70"/>
        <v>236.54475600000001</v>
      </c>
      <c r="AW174" s="57">
        <f t="shared" si="71"/>
        <v>13.55</v>
      </c>
      <c r="AX174" s="57">
        <f t="shared" si="72"/>
        <v>-2.4000000000000021</v>
      </c>
      <c r="AY174" s="57">
        <f t="shared" si="74"/>
        <v>11.7</v>
      </c>
      <c r="AZ174" s="57">
        <f t="shared" si="75"/>
        <v>3</v>
      </c>
      <c r="BA174" s="157" t="str">
        <f t="shared" si="82"/>
        <v/>
      </c>
      <c r="BB174" s="157">
        <f t="shared" si="83"/>
        <v>0.5463709677419355</v>
      </c>
      <c r="BC174" s="157">
        <f t="shared" si="84"/>
        <v>0.24575645756457565</v>
      </c>
      <c r="BD174" s="157">
        <f t="shared" si="76"/>
        <v>0</v>
      </c>
      <c r="BE174" s="6">
        <f t="shared" si="73"/>
        <v>4.6457142857142859</v>
      </c>
      <c r="BF174" s="6">
        <f t="shared" si="77"/>
        <v>2.9780219780219523</v>
      </c>
    </row>
    <row r="175" spans="1:58" ht="15.75">
      <c r="B175" s="94">
        <v>45435</v>
      </c>
      <c r="C175" s="128"/>
      <c r="D175" s="3">
        <v>170</v>
      </c>
      <c r="E175" s="205" t="str">
        <f t="shared" si="78"/>
        <v/>
      </c>
      <c r="G175" s="163">
        <f>25.8*65/63</f>
        <v>26.61904761904762</v>
      </c>
      <c r="H175" s="15">
        <f>AM175/2</f>
        <v>18.2</v>
      </c>
      <c r="I175" s="15">
        <f t="shared" si="81"/>
        <v>25.6</v>
      </c>
      <c r="K175" s="10" t="str">
        <f t="shared" si="85"/>
        <v/>
      </c>
      <c r="L175" s="9" t="str">
        <f t="shared" si="86"/>
        <v/>
      </c>
      <c r="M175" s="8">
        <f t="shared" si="87"/>
        <v>1.9234347048300537</v>
      </c>
      <c r="N175" s="7">
        <v>38.1</v>
      </c>
      <c r="T175" s="6">
        <v>57.1</v>
      </c>
      <c r="X175" s="6">
        <v>7.19</v>
      </c>
      <c r="AB175" s="5">
        <v>80</v>
      </c>
      <c r="AC175" s="7">
        <f>T175</f>
        <v>57.1</v>
      </c>
      <c r="AD175" s="1">
        <f>5*5.12</f>
        <v>25.6</v>
      </c>
      <c r="AE175" s="1">
        <v>39.1</v>
      </c>
      <c r="AF175" s="1">
        <f>5*2.05</f>
        <v>10.25</v>
      </c>
      <c r="AG175" s="98">
        <v>3.96</v>
      </c>
      <c r="AH175" s="119">
        <v>0.47824074074074074</v>
      </c>
      <c r="AJ175" s="1">
        <v>175</v>
      </c>
      <c r="AK175" s="3">
        <v>180</v>
      </c>
      <c r="AL175" s="4">
        <f>AE175</f>
        <v>39.1</v>
      </c>
      <c r="AM175" s="1">
        <v>36.4</v>
      </c>
      <c r="AN175" s="80">
        <f t="shared" si="65"/>
        <v>100</v>
      </c>
      <c r="AO175" s="126"/>
      <c r="AP175" s="13">
        <f t="shared" si="79"/>
        <v>1560.0000000000136</v>
      </c>
      <c r="AQ175" s="15" t="str">
        <f>IF(ISNUMBER([1]HRT_SRT!R229),[1]HRT_SRT!R229,"")</f>
        <v/>
      </c>
      <c r="AR175" s="156"/>
      <c r="AS175" s="155">
        <f t="shared" si="67"/>
        <v>0.599609375</v>
      </c>
      <c r="AT175" s="155">
        <f t="shared" si="68"/>
        <v>0.25798045602605862</v>
      </c>
      <c r="AU175" s="16">
        <f t="shared" si="88"/>
        <v>-0.36744186046511618</v>
      </c>
      <c r="AV175" s="57" t="str">
        <f t="shared" si="70"/>
        <v/>
      </c>
      <c r="AW175" s="57">
        <f t="shared" si="71"/>
        <v>15.350000000000001</v>
      </c>
      <c r="AX175" s="57">
        <f t="shared" si="72"/>
        <v>-9.7809523809523782</v>
      </c>
      <c r="AY175" s="57">
        <f t="shared" si="74"/>
        <v>18</v>
      </c>
      <c r="AZ175" s="57">
        <f t="shared" si="75"/>
        <v>2.7000000000000028</v>
      </c>
      <c r="BA175" s="157" t="str">
        <f t="shared" si="82"/>
        <v/>
      </c>
      <c r="BB175" s="157">
        <f t="shared" si="83"/>
        <v>0.599609375</v>
      </c>
      <c r="BC175" s="157">
        <f t="shared" si="84"/>
        <v>0.25798045602605862</v>
      </c>
      <c r="BD175" s="157">
        <f t="shared" si="76"/>
        <v>0</v>
      </c>
      <c r="BE175" s="6">
        <f t="shared" si="73"/>
        <v>5.2628571428571433</v>
      </c>
      <c r="BF175" s="6">
        <f t="shared" si="77"/>
        <v>3.3736263736263443</v>
      </c>
    </row>
    <row r="176" spans="1:58" ht="15.75">
      <c r="A176" s="12" t="s">
        <v>139</v>
      </c>
      <c r="B176" s="94">
        <v>45436</v>
      </c>
      <c r="C176" s="128"/>
      <c r="D176" s="3">
        <v>171</v>
      </c>
      <c r="E176" s="205" t="str">
        <f t="shared" si="78"/>
        <v/>
      </c>
      <c r="G176" s="15"/>
      <c r="H176" s="15"/>
      <c r="I176" s="15">
        <f t="shared" si="81"/>
        <v>25.77</v>
      </c>
      <c r="K176" s="10" t="str">
        <f t="shared" si="85"/>
        <v/>
      </c>
      <c r="L176" s="9" t="str">
        <f t="shared" si="86"/>
        <v/>
      </c>
      <c r="M176" s="8" t="str">
        <f t="shared" si="87"/>
        <v/>
      </c>
      <c r="X176" s="6">
        <v>8.34</v>
      </c>
      <c r="AB176" s="5">
        <v>80</v>
      </c>
      <c r="AD176" s="162">
        <f>($AD$175*4/5+$AD$180*1/5)</f>
        <v>25.77</v>
      </c>
      <c r="AF176" s="162">
        <f>($AF$175*4/5+$AF$180*1/5)</f>
        <v>10.579999999999998</v>
      </c>
      <c r="AG176" s="98">
        <v>2.66</v>
      </c>
      <c r="AH176" s="119">
        <v>0.47789351851851852</v>
      </c>
      <c r="AJ176" s="1">
        <v>175</v>
      </c>
      <c r="AK176" s="3">
        <v>180</v>
      </c>
      <c r="AN176" s="80">
        <f t="shared" si="65"/>
        <v>100</v>
      </c>
      <c r="AO176" s="126">
        <f>[1]HRT_SRT!P230</f>
        <v>1800</v>
      </c>
      <c r="AP176" s="13">
        <f t="shared" si="79"/>
        <v>1560.0000000000136</v>
      </c>
      <c r="AQ176" s="15">
        <f>IF(ISNUMBER([1]HRT_SRT!R230),[1]HRT_SRT!R230,"")</f>
        <v>16.605166051660376</v>
      </c>
      <c r="AR176" s="156"/>
      <c r="AS176" s="155">
        <f t="shared" si="67"/>
        <v>0.58944509119130784</v>
      </c>
      <c r="AT176" s="155">
        <f t="shared" si="68"/>
        <v>0.17511520737327188</v>
      </c>
      <c r="AU176" s="16"/>
      <c r="AV176" s="57" t="str">
        <f t="shared" si="70"/>
        <v/>
      </c>
      <c r="AW176" s="57">
        <f t="shared" si="71"/>
        <v>15.190000000000001</v>
      </c>
      <c r="AX176" s="57" t="str">
        <f t="shared" si="72"/>
        <v/>
      </c>
      <c r="AY176" s="57" t="str">
        <f t="shared" si="74"/>
        <v/>
      </c>
      <c r="AZ176" s="57" t="str">
        <f t="shared" si="75"/>
        <v/>
      </c>
      <c r="BA176" s="157" t="str">
        <f t="shared" si="82"/>
        <v/>
      </c>
      <c r="BB176" s="157">
        <f t="shared" si="83"/>
        <v>0.58944509119130784</v>
      </c>
      <c r="BC176" s="157">
        <f t="shared" si="84"/>
        <v>0.17511520737327188</v>
      </c>
      <c r="BD176" s="157" t="str">
        <f t="shared" si="76"/>
        <v/>
      </c>
      <c r="BE176" s="6">
        <f t="shared" si="73"/>
        <v>5.2080000000000011</v>
      </c>
      <c r="BF176" s="6">
        <f t="shared" si="77"/>
        <v>3.3384615384615102</v>
      </c>
    </row>
    <row r="177" spans="1:58" ht="15.75">
      <c r="B177" s="94">
        <v>45437</v>
      </c>
      <c r="C177" s="128"/>
      <c r="D177" s="3">
        <v>172</v>
      </c>
      <c r="E177" s="205" t="str">
        <f t="shared" si="78"/>
        <v/>
      </c>
      <c r="G177" s="15"/>
      <c r="H177" s="15"/>
      <c r="I177" s="15">
        <f t="shared" si="81"/>
        <v>25.940000000000005</v>
      </c>
      <c r="K177" s="10" t="str">
        <f t="shared" si="85"/>
        <v/>
      </c>
      <c r="L177" s="9" t="str">
        <f t="shared" si="86"/>
        <v/>
      </c>
      <c r="M177" s="8" t="str">
        <f t="shared" si="87"/>
        <v/>
      </c>
      <c r="X177" s="6">
        <v>7.64</v>
      </c>
      <c r="AB177" s="5">
        <v>80</v>
      </c>
      <c r="AD177" s="162">
        <f>($AD$175*3/5+$AD$180*2/5)</f>
        <v>25.940000000000005</v>
      </c>
      <c r="AF177" s="162">
        <f>($AF$175*3/5+$AF$180*2/5)</f>
        <v>10.91</v>
      </c>
      <c r="AG177" s="98">
        <v>3.21</v>
      </c>
      <c r="AH177" s="119">
        <v>0.47789351851851852</v>
      </c>
      <c r="AJ177" s="1">
        <v>175</v>
      </c>
      <c r="AK177" s="3">
        <v>180</v>
      </c>
      <c r="AN177" s="80">
        <f t="shared" si="65"/>
        <v>100</v>
      </c>
      <c r="AO177" s="126"/>
      <c r="AP177" s="13">
        <f t="shared" si="79"/>
        <v>1624.9999999999773</v>
      </c>
      <c r="AQ177" s="15" t="str">
        <f>IF(ISNUMBER([1]HRT_SRT!R231),[1]HRT_SRT!R231,"")</f>
        <v/>
      </c>
      <c r="AR177" s="156"/>
      <c r="AS177" s="155">
        <f t="shared" si="67"/>
        <v>0.57941403238242106</v>
      </c>
      <c r="AT177" s="155">
        <f t="shared" si="68"/>
        <v>0.21357285429141709</v>
      </c>
      <c r="AU177" s="16"/>
      <c r="AV177" s="57" t="str">
        <f t="shared" si="70"/>
        <v/>
      </c>
      <c r="AW177" s="57">
        <f t="shared" si="71"/>
        <v>15.030000000000005</v>
      </c>
      <c r="AX177" s="57" t="str">
        <f t="shared" si="72"/>
        <v/>
      </c>
      <c r="AY177" s="57" t="str">
        <f t="shared" si="74"/>
        <v/>
      </c>
      <c r="AZ177" s="57" t="str">
        <f t="shared" si="75"/>
        <v/>
      </c>
      <c r="BA177" s="157" t="str">
        <f t="shared" si="82"/>
        <v/>
      </c>
      <c r="BB177" s="157">
        <f t="shared" si="83"/>
        <v>0.57941403238242106</v>
      </c>
      <c r="BC177" s="157">
        <f t="shared" si="84"/>
        <v>0.21357285429141709</v>
      </c>
      <c r="BD177" s="157" t="str">
        <f t="shared" si="76"/>
        <v/>
      </c>
      <c r="BE177" s="6">
        <f t="shared" si="73"/>
        <v>5.1531428571428588</v>
      </c>
      <c r="BF177" s="6">
        <f t="shared" si="77"/>
        <v>3.1711648351648805</v>
      </c>
    </row>
    <row r="178" spans="1:58" ht="15.75">
      <c r="B178" s="94">
        <v>45438</v>
      </c>
      <c r="C178" s="128"/>
      <c r="D178" s="3">
        <v>173</v>
      </c>
      <c r="E178" s="205" t="str">
        <f t="shared" si="78"/>
        <v/>
      </c>
      <c r="G178" s="15"/>
      <c r="H178" s="15"/>
      <c r="I178" s="15">
        <f t="shared" ref="I178:I209" si="89">AD178</f>
        <v>26.11</v>
      </c>
      <c r="K178" s="10" t="str">
        <f t="shared" si="85"/>
        <v/>
      </c>
      <c r="L178" s="9" t="str">
        <f t="shared" si="86"/>
        <v/>
      </c>
      <c r="M178" s="8" t="str">
        <f t="shared" si="87"/>
        <v/>
      </c>
      <c r="X178" s="6">
        <v>6.66</v>
      </c>
      <c r="AB178" s="5">
        <v>80</v>
      </c>
      <c r="AD178" s="162">
        <f>($AD$175*2/5+$AD$180*3/5)</f>
        <v>26.11</v>
      </c>
      <c r="AF178" s="162">
        <f>($AF$175*2/5+$AF$180*3/5)</f>
        <v>11.239999999999998</v>
      </c>
      <c r="AG178" s="98">
        <v>2.75</v>
      </c>
      <c r="AH178" s="119">
        <v>0.47743055555555558</v>
      </c>
      <c r="AJ178" s="1">
        <v>175</v>
      </c>
      <c r="AK178" s="3">
        <v>180</v>
      </c>
      <c r="AN178" s="80">
        <f t="shared" si="65"/>
        <v>100</v>
      </c>
      <c r="AO178" s="126"/>
      <c r="AP178" s="13">
        <f t="shared" si="79"/>
        <v>1624.9999999999773</v>
      </c>
      <c r="AQ178" s="15" t="str">
        <f>IF(ISNUMBER([1]HRT_SRT!R232),[1]HRT_SRT!R232,"")</f>
        <v/>
      </c>
      <c r="AR178" s="156"/>
      <c r="AS178" s="155">
        <f t="shared" si="67"/>
        <v>0.56951359632324783</v>
      </c>
      <c r="AT178" s="155">
        <f t="shared" si="68"/>
        <v>0.18493611297915263</v>
      </c>
      <c r="AU178" s="16"/>
      <c r="AV178" s="57" t="str">
        <f t="shared" si="70"/>
        <v/>
      </c>
      <c r="AW178" s="57">
        <f t="shared" si="71"/>
        <v>14.870000000000001</v>
      </c>
      <c r="AX178" s="57" t="str">
        <f t="shared" si="72"/>
        <v/>
      </c>
      <c r="AY178" s="57" t="str">
        <f t="shared" si="74"/>
        <v/>
      </c>
      <c r="AZ178" s="57" t="str">
        <f t="shared" si="75"/>
        <v/>
      </c>
      <c r="BA178" s="157" t="str">
        <f t="shared" si="82"/>
        <v/>
      </c>
      <c r="BB178" s="157">
        <f t="shared" si="83"/>
        <v>0.56951359632324783</v>
      </c>
      <c r="BC178" s="157">
        <f t="shared" si="84"/>
        <v>0.18493611297915263</v>
      </c>
      <c r="BD178" s="157" t="str">
        <f t="shared" si="76"/>
        <v/>
      </c>
      <c r="BE178" s="6">
        <f t="shared" si="73"/>
        <v>5.0982857142857148</v>
      </c>
      <c r="BF178" s="6">
        <f t="shared" si="77"/>
        <v>3.1374065934066375</v>
      </c>
    </row>
    <row r="179" spans="1:58" ht="15.75">
      <c r="B179" s="94">
        <v>45439</v>
      </c>
      <c r="C179" s="128"/>
      <c r="D179" s="3">
        <v>174</v>
      </c>
      <c r="E179" s="205" t="str">
        <f t="shared" si="78"/>
        <v/>
      </c>
      <c r="G179" s="15"/>
      <c r="H179" s="15"/>
      <c r="I179" s="15">
        <f t="shared" si="89"/>
        <v>26.28</v>
      </c>
      <c r="K179" s="10" t="str">
        <f t="shared" si="85"/>
        <v/>
      </c>
      <c r="L179" s="9" t="str">
        <f t="shared" si="86"/>
        <v/>
      </c>
      <c r="M179" s="8" t="str">
        <f t="shared" si="87"/>
        <v/>
      </c>
      <c r="AB179" s="5">
        <v>80</v>
      </c>
      <c r="AD179" s="162">
        <f>($AD$175*1/5+$AD$180*4/5)</f>
        <v>26.28</v>
      </c>
      <c r="AF179" s="162">
        <f>($AF$175*1/5+$AF$180*4/5)</f>
        <v>11.57</v>
      </c>
      <c r="AG179" s="98">
        <v>3.17</v>
      </c>
      <c r="AH179" s="119">
        <v>0.4777777777777778</v>
      </c>
      <c r="AJ179" s="1">
        <v>175</v>
      </c>
      <c r="AK179" s="3">
        <v>180</v>
      </c>
      <c r="AN179" s="80">
        <f t="shared" si="65"/>
        <v>100</v>
      </c>
      <c r="AO179" s="126"/>
      <c r="AP179" s="13">
        <f t="shared" si="79"/>
        <v>1449.9999999999545</v>
      </c>
      <c r="AQ179" s="15" t="str">
        <f>IF(ISNUMBER([1]HRT_SRT!R233),[1]HRT_SRT!R233,"")</f>
        <v/>
      </c>
      <c r="AR179" s="156"/>
      <c r="AS179" s="155">
        <f t="shared" si="67"/>
        <v>0.55974124809741244</v>
      </c>
      <c r="AT179" s="155">
        <f t="shared" si="68"/>
        <v>0.21549966009517332</v>
      </c>
      <c r="AU179" s="16"/>
      <c r="AV179" s="57" t="str">
        <f t="shared" si="70"/>
        <v/>
      </c>
      <c r="AW179" s="57">
        <f t="shared" si="71"/>
        <v>14.71</v>
      </c>
      <c r="AX179" s="57" t="str">
        <f t="shared" si="72"/>
        <v/>
      </c>
      <c r="AY179" s="57" t="str">
        <f t="shared" si="74"/>
        <v/>
      </c>
      <c r="AZ179" s="57" t="str">
        <f t="shared" si="75"/>
        <v/>
      </c>
      <c r="BA179" s="157" t="str">
        <f t="shared" si="82"/>
        <v/>
      </c>
      <c r="BB179" s="157">
        <f t="shared" si="83"/>
        <v>0.55974124809741244</v>
      </c>
      <c r="BC179" s="157">
        <f t="shared" si="84"/>
        <v>0.21549966009517332</v>
      </c>
      <c r="BD179" s="157" t="str">
        <f t="shared" si="76"/>
        <v/>
      </c>
      <c r="BE179" s="6">
        <f t="shared" si="73"/>
        <v>5.0434285714285716</v>
      </c>
      <c r="BF179" s="6">
        <f t="shared" si="77"/>
        <v>3.4782266009853311</v>
      </c>
    </row>
    <row r="180" spans="1:58" ht="15.75">
      <c r="A180" s="12" t="s">
        <v>138</v>
      </c>
      <c r="B180" s="94">
        <v>45440</v>
      </c>
      <c r="C180" s="128"/>
      <c r="D180" s="3">
        <v>175</v>
      </c>
      <c r="E180" s="205">
        <f t="shared" si="78"/>
        <v>170.38939999999999</v>
      </c>
      <c r="G180" s="15">
        <f>(N180*17-H180*17)/9</f>
        <v>19.927777777777781</v>
      </c>
      <c r="H180" s="15">
        <v>7.75</v>
      </c>
      <c r="I180" s="15">
        <f t="shared" si="89"/>
        <v>26.45</v>
      </c>
      <c r="K180" s="10">
        <f t="shared" si="85"/>
        <v>8.5503462503484791</v>
      </c>
      <c r="L180" s="9">
        <f t="shared" si="86"/>
        <v>3.2209716446124763</v>
      </c>
      <c r="M180" s="8">
        <f t="shared" si="87"/>
        <v>2.6545860050181207</v>
      </c>
      <c r="N180" s="7">
        <v>18.3</v>
      </c>
      <c r="O180" s="6">
        <v>60.322000000000003</v>
      </c>
      <c r="P180" s="6">
        <v>13.759</v>
      </c>
      <c r="Q180" s="6">
        <f>O180*1.067</f>
        <v>64.363574</v>
      </c>
      <c r="R180" s="6">
        <f>P180*1.514</f>
        <v>20.831126000000001</v>
      </c>
      <c r="S180" s="23">
        <f>P180*1.514+O180*1.067</f>
        <v>85.194699999999997</v>
      </c>
      <c r="T180" s="6">
        <v>29.7</v>
      </c>
      <c r="W180">
        <f>0.409+0.651</f>
        <v>1.06</v>
      </c>
      <c r="X180" s="6">
        <v>9.23</v>
      </c>
      <c r="AB180" s="5">
        <v>80</v>
      </c>
      <c r="AC180" s="7">
        <f>T180</f>
        <v>29.7</v>
      </c>
      <c r="AD180" s="1">
        <f>5*5.29</f>
        <v>26.45</v>
      </c>
      <c r="AE180" s="1">
        <v>18.399999999999999</v>
      </c>
      <c r="AF180" s="1">
        <f>5*2.38</f>
        <v>11.899999999999999</v>
      </c>
      <c r="AG180" s="98">
        <v>2.84</v>
      </c>
      <c r="AH180" s="119">
        <v>0.4773148148148148</v>
      </c>
      <c r="AJ180" s="1">
        <v>175</v>
      </c>
      <c r="AK180" s="3">
        <v>180</v>
      </c>
      <c r="AL180" s="4">
        <f>AE180</f>
        <v>18.399999999999999</v>
      </c>
      <c r="AM180" s="1">
        <v>15.9</v>
      </c>
      <c r="AN180" s="80">
        <f t="shared" si="65"/>
        <v>100</v>
      </c>
      <c r="AO180" s="126"/>
      <c r="AP180" s="13">
        <f t="shared" si="79"/>
        <v>1449.9999999999545</v>
      </c>
      <c r="AQ180" s="15" t="str">
        <f>IF(ISNUMBER([1]HRT_SRT!R234),[1]HRT_SRT!R234,"")</f>
        <v/>
      </c>
      <c r="AR180" s="156">
        <f>(E180-W180)/E180</f>
        <v>0.99377895573316177</v>
      </c>
      <c r="AS180" s="155">
        <f t="shared" si="67"/>
        <v>0.55009451795841213</v>
      </c>
      <c r="AT180" s="155">
        <f t="shared" si="68"/>
        <v>0.19518900343642609</v>
      </c>
      <c r="AU180" s="16">
        <f>(G180-AM180)/G180</f>
        <v>0.20211876219682195</v>
      </c>
      <c r="AV180" s="57">
        <f t="shared" si="70"/>
        <v>169.32939999999999</v>
      </c>
      <c r="AW180" s="57">
        <f t="shared" si="71"/>
        <v>14.55</v>
      </c>
      <c r="AX180" s="57">
        <f t="shared" si="72"/>
        <v>4.0277777777777803</v>
      </c>
      <c r="AY180" s="57">
        <f t="shared" si="74"/>
        <v>11.3</v>
      </c>
      <c r="AZ180" s="57">
        <f t="shared" si="75"/>
        <v>2.4999999999999982</v>
      </c>
      <c r="BA180" s="123">
        <f t="shared" si="82"/>
        <v>0.99377895573316177</v>
      </c>
      <c r="BB180" s="123">
        <f t="shared" si="83"/>
        <v>0.55009451795841213</v>
      </c>
      <c r="BC180" s="123">
        <f t="shared" si="84"/>
        <v>0.19518900343642609</v>
      </c>
      <c r="BD180" s="123">
        <f t="shared" si="76"/>
        <v>0.20211876219682195</v>
      </c>
      <c r="BE180" s="6">
        <f t="shared" si="73"/>
        <v>4.9885714285714293</v>
      </c>
      <c r="BF180" s="6">
        <f t="shared" si="77"/>
        <v>3.4403940886700592</v>
      </c>
    </row>
    <row r="181" spans="1:58" ht="15.75">
      <c r="A181" s="12" t="s">
        <v>137</v>
      </c>
      <c r="B181" s="94">
        <v>45441</v>
      </c>
      <c r="C181" s="128"/>
      <c r="D181" s="136">
        <v>176</v>
      </c>
      <c r="E181" s="205">
        <f t="shared" si="78"/>
        <v>282.89629799999994</v>
      </c>
      <c r="G181" s="15">
        <f>(N181*18-H181*18)/9</f>
        <v>23.779999999999998</v>
      </c>
      <c r="H181" s="15">
        <v>8.2100000000000009</v>
      </c>
      <c r="I181" s="15">
        <f t="shared" si="89"/>
        <v>26.400000000000002</v>
      </c>
      <c r="K181" s="10">
        <f t="shared" si="85"/>
        <v>11.896396047098401</v>
      </c>
      <c r="L181" s="9">
        <f t="shared" si="86"/>
        <v>5.3578844318181806</v>
      </c>
      <c r="M181" s="8">
        <f t="shared" si="87"/>
        <v>2.2203532380151394</v>
      </c>
      <c r="N181" s="7">
        <v>20.100000000000001</v>
      </c>
      <c r="O181" s="6">
        <v>104.18899999999999</v>
      </c>
      <c r="P181" s="6">
        <v>19.998999999999999</v>
      </c>
      <c r="Q181" s="6">
        <f>O181*1.067</f>
        <v>111.16966299999999</v>
      </c>
      <c r="R181" s="6">
        <f>P181*1.514</f>
        <v>30.278485999999997</v>
      </c>
      <c r="S181" s="23">
        <f>P181*1.514+O181*1.067</f>
        <v>141.44814899999997</v>
      </c>
      <c r="T181" s="6">
        <v>34.299999999999997</v>
      </c>
      <c r="W181">
        <v>0</v>
      </c>
      <c r="AB181" s="5">
        <v>80</v>
      </c>
      <c r="AC181" s="7">
        <f>T181</f>
        <v>34.299999999999997</v>
      </c>
      <c r="AD181" s="1">
        <f>5*5.28</f>
        <v>26.400000000000002</v>
      </c>
      <c r="AE181" s="1">
        <v>20.6</v>
      </c>
      <c r="AF181" s="1">
        <f>5*2.31</f>
        <v>11.55</v>
      </c>
      <c r="AG181" s="67">
        <v>2.9</v>
      </c>
      <c r="AJ181" s="1">
        <v>175</v>
      </c>
      <c r="AK181" s="3">
        <v>180</v>
      </c>
      <c r="AL181" s="4">
        <f>AE181</f>
        <v>20.6</v>
      </c>
      <c r="AM181" s="1">
        <v>18.7</v>
      </c>
      <c r="AN181" s="80">
        <f t="shared" si="65"/>
        <v>100</v>
      </c>
      <c r="AO181" s="126">
        <f>[1]HRT_SRT!P235</f>
        <v>1449.9999999999545</v>
      </c>
      <c r="AP181" s="13">
        <f t="shared" si="79"/>
        <v>1449.9999999999545</v>
      </c>
      <c r="AQ181" s="15">
        <f>IF(ISNUMBER([1]HRT_SRT!R235),[1]HRT_SRT!R235,"")</f>
        <v>14.974182444062361</v>
      </c>
      <c r="AR181" s="156">
        <f>(E181-W181)/E181</f>
        <v>1</v>
      </c>
      <c r="AS181" s="155">
        <f t="shared" si="67"/>
        <v>0.5625</v>
      </c>
      <c r="AT181" s="155">
        <f t="shared" si="68"/>
        <v>0.19528619528619526</v>
      </c>
      <c r="AU181" s="16">
        <f>(G181-AM181)/G181</f>
        <v>0.21362489486963832</v>
      </c>
      <c r="AV181" s="57">
        <f t="shared" si="70"/>
        <v>282.89629799999994</v>
      </c>
      <c r="AW181" s="57">
        <f t="shared" si="71"/>
        <v>14.850000000000001</v>
      </c>
      <c r="AX181" s="57">
        <f t="shared" si="72"/>
        <v>5.0799999999999983</v>
      </c>
      <c r="AY181" s="57">
        <f t="shared" si="74"/>
        <v>13.699999999999996</v>
      </c>
      <c r="AZ181" s="57">
        <f t="shared" si="75"/>
        <v>1.9000000000000021</v>
      </c>
      <c r="BA181" s="123" t="str">
        <f t="shared" si="82"/>
        <v/>
      </c>
      <c r="BB181" s="123">
        <f t="shared" si="83"/>
        <v>0.5625</v>
      </c>
      <c r="BC181" s="123">
        <f t="shared" si="84"/>
        <v>0.19528619528619526</v>
      </c>
      <c r="BD181" s="123">
        <f t="shared" si="76"/>
        <v>0.21362489486963832</v>
      </c>
      <c r="BE181" s="6">
        <f t="shared" si="73"/>
        <v>5.0914285714285725</v>
      </c>
      <c r="BF181" s="6">
        <f t="shared" si="77"/>
        <v>3.5113300492611947</v>
      </c>
    </row>
    <row r="182" spans="1:58" ht="15.75">
      <c r="B182" s="94">
        <v>45442</v>
      </c>
      <c r="C182" s="128"/>
      <c r="D182" s="3">
        <v>177</v>
      </c>
      <c r="E182" s="205" t="str">
        <f t="shared" si="78"/>
        <v/>
      </c>
      <c r="G182" s="15">
        <f>(N182*18-H182*18)/9</f>
        <v>20.399999999999999</v>
      </c>
      <c r="H182" s="15">
        <v>13.2</v>
      </c>
      <c r="I182" s="15">
        <f t="shared" si="89"/>
        <v>26</v>
      </c>
      <c r="K182" s="10" t="str">
        <f t="shared" si="85"/>
        <v/>
      </c>
      <c r="L182" s="9" t="str">
        <f t="shared" si="86"/>
        <v/>
      </c>
      <c r="M182" s="8">
        <f t="shared" si="87"/>
        <v>2.5490196078431375</v>
      </c>
      <c r="N182" s="7">
        <v>23.4</v>
      </c>
      <c r="AB182" s="5">
        <v>80</v>
      </c>
      <c r="AD182" s="162">
        <f>($AD$181*6/7+$AD$188 *1/7)</f>
        <v>26</v>
      </c>
      <c r="AE182" s="1">
        <v>26.1</v>
      </c>
      <c r="AF182" s="1">
        <f>5*1.81</f>
        <v>9.0500000000000007</v>
      </c>
      <c r="AG182" s="67"/>
      <c r="AJ182" s="1">
        <v>175</v>
      </c>
      <c r="AK182" s="3">
        <v>180</v>
      </c>
      <c r="AL182" s="4">
        <f>AE182</f>
        <v>26.1</v>
      </c>
      <c r="AM182" s="1">
        <v>22.4</v>
      </c>
      <c r="AN182" s="80">
        <f t="shared" si="65"/>
        <v>100</v>
      </c>
      <c r="AO182" s="126"/>
      <c r="AP182" s="13">
        <f t="shared" si="79"/>
        <v>1449.9999999999545</v>
      </c>
      <c r="AQ182" s="15" t="str">
        <f>IF(ISNUMBER([1]HRT_SRT!R236),[1]HRT_SRT!R236,"")</f>
        <v/>
      </c>
      <c r="AR182" s="156"/>
      <c r="AS182" s="155">
        <f t="shared" si="67"/>
        <v>0.65192307692307694</v>
      </c>
      <c r="AT182" s="155">
        <f t="shared" si="68"/>
        <v>0</v>
      </c>
      <c r="AU182" s="16">
        <f>(G182-AM182)/G182</f>
        <v>-9.8039215686274522E-2</v>
      </c>
      <c r="AV182" s="57" t="str">
        <f t="shared" si="70"/>
        <v/>
      </c>
      <c r="AW182" s="57">
        <f t="shared" si="71"/>
        <v>16.95</v>
      </c>
      <c r="AX182" s="57">
        <f t="shared" si="72"/>
        <v>-2</v>
      </c>
      <c r="AY182" s="57" t="str">
        <f t="shared" si="74"/>
        <v/>
      </c>
      <c r="AZ182" s="57">
        <f t="shared" si="75"/>
        <v>3.7000000000000028</v>
      </c>
      <c r="BA182" s="157" t="str">
        <f t="shared" si="82"/>
        <v/>
      </c>
      <c r="BB182" s="157">
        <f t="shared" si="83"/>
        <v>0.65192307692307694</v>
      </c>
      <c r="BC182" s="157">
        <f t="shared" si="84"/>
        <v>0</v>
      </c>
      <c r="BD182" s="157">
        <f t="shared" si="76"/>
        <v>0</v>
      </c>
      <c r="BE182" s="6">
        <f t="shared" si="73"/>
        <v>5.8114285714285714</v>
      </c>
      <c r="BF182" s="6">
        <f t="shared" si="77"/>
        <v>4.0078817733991405</v>
      </c>
    </row>
    <row r="183" spans="1:58" ht="15.75">
      <c r="B183" s="94">
        <v>45443</v>
      </c>
      <c r="C183" s="128"/>
      <c r="D183" s="3">
        <v>178</v>
      </c>
      <c r="E183" s="205" t="str">
        <f t="shared" si="78"/>
        <v/>
      </c>
      <c r="H183" s="15"/>
      <c r="I183" s="15">
        <f t="shared" si="89"/>
        <v>25.6</v>
      </c>
      <c r="K183" s="10" t="str">
        <f t="shared" si="85"/>
        <v/>
      </c>
      <c r="L183" s="9" t="str">
        <f t="shared" si="86"/>
        <v/>
      </c>
      <c r="M183" s="8" t="str">
        <f t="shared" si="87"/>
        <v/>
      </c>
      <c r="X183" s="6">
        <v>6.45</v>
      </c>
      <c r="AB183" s="5">
        <v>80</v>
      </c>
      <c r="AD183" s="162">
        <f>($AD$181*5/7+$AD$188 *2/7)</f>
        <v>25.6</v>
      </c>
      <c r="AF183" s="162">
        <f>($AF$182*6/7+$AF$188*1/7)</f>
        <v>9.3857142857142861</v>
      </c>
      <c r="AG183" s="67"/>
      <c r="AJ183" s="1">
        <v>175</v>
      </c>
      <c r="AK183" s="3">
        <v>180</v>
      </c>
      <c r="AN183" s="80">
        <f t="shared" si="65"/>
        <v>100</v>
      </c>
      <c r="AO183" s="126"/>
      <c r="AP183" s="13">
        <f t="shared" si="79"/>
        <v>1449.9999999999545</v>
      </c>
      <c r="AQ183" s="15" t="str">
        <f>IF(ISNUMBER([1]HRT_SRT!R237),[1]HRT_SRT!R237,"")</f>
        <v/>
      </c>
      <c r="AR183" s="156"/>
      <c r="AS183" s="155">
        <f t="shared" si="67"/>
        <v>0.6333705357142857</v>
      </c>
      <c r="AT183" s="155">
        <f t="shared" si="68"/>
        <v>0</v>
      </c>
      <c r="AU183" s="16"/>
      <c r="AV183" s="57" t="str">
        <f t="shared" si="70"/>
        <v/>
      </c>
      <c r="AW183" s="57">
        <f t="shared" si="71"/>
        <v>16.214285714285715</v>
      </c>
      <c r="AX183" s="57" t="str">
        <f t="shared" si="72"/>
        <v/>
      </c>
      <c r="AY183" s="57" t="str">
        <f t="shared" si="74"/>
        <v/>
      </c>
      <c r="AZ183" s="57" t="str">
        <f t="shared" si="75"/>
        <v/>
      </c>
      <c r="BA183" s="157" t="str">
        <f t="shared" si="82"/>
        <v/>
      </c>
      <c r="BB183" s="157">
        <f t="shared" si="83"/>
        <v>0.6333705357142857</v>
      </c>
      <c r="BC183" s="157">
        <f t="shared" si="84"/>
        <v>0</v>
      </c>
      <c r="BD183" s="157" t="str">
        <f t="shared" si="76"/>
        <v/>
      </c>
      <c r="BE183" s="6">
        <f t="shared" si="73"/>
        <v>5.5591836734693887</v>
      </c>
      <c r="BF183" s="6">
        <f t="shared" si="77"/>
        <v>3.8339197748065956</v>
      </c>
    </row>
    <row r="184" spans="1:58" ht="15.75">
      <c r="B184" s="94">
        <v>45444</v>
      </c>
      <c r="C184" s="128"/>
      <c r="D184" s="3">
        <v>179</v>
      </c>
      <c r="E184" s="205" t="str">
        <f t="shared" si="78"/>
        <v/>
      </c>
      <c r="I184" s="15">
        <f t="shared" si="89"/>
        <v>25.200000000000003</v>
      </c>
      <c r="K184" s="10" t="str">
        <f t="shared" si="85"/>
        <v/>
      </c>
      <c r="L184" s="9" t="str">
        <f t="shared" si="86"/>
        <v/>
      </c>
      <c r="M184" s="8" t="str">
        <f t="shared" si="87"/>
        <v/>
      </c>
      <c r="AB184" s="5">
        <v>80</v>
      </c>
      <c r="AD184" s="162">
        <f>($AD$181*4/7+$AD$188 *3/7)</f>
        <v>25.200000000000003</v>
      </c>
      <c r="AF184" s="162">
        <f>($AF$182*5/7+$AF$188*2/7)</f>
        <v>9.7214285714285715</v>
      </c>
      <c r="AG184" s="67"/>
      <c r="AJ184" s="1">
        <v>175</v>
      </c>
      <c r="AK184" s="3">
        <v>180</v>
      </c>
      <c r="AN184" s="80">
        <f t="shared" si="65"/>
        <v>100</v>
      </c>
      <c r="AO184" s="126"/>
      <c r="AP184" s="13">
        <f t="shared" si="79"/>
        <v>1319.4444444444925</v>
      </c>
      <c r="AQ184" s="15" t="str">
        <f>IF(ISNUMBER([1]HRT_SRT!R238),[1]HRT_SRT!R238,"")</f>
        <v/>
      </c>
      <c r="AR184" s="156"/>
      <c r="AS184" s="155">
        <f t="shared" si="67"/>
        <v>0.61422902494331066</v>
      </c>
      <c r="AT184" s="155">
        <f t="shared" si="68"/>
        <v>0</v>
      </c>
      <c r="AU184" s="16"/>
      <c r="AV184" s="57" t="str">
        <f t="shared" si="70"/>
        <v/>
      </c>
      <c r="AW184" s="57">
        <f t="shared" si="71"/>
        <v>15.478571428571431</v>
      </c>
      <c r="AX184" s="57" t="str">
        <f t="shared" si="72"/>
        <v/>
      </c>
      <c r="AY184" s="57" t="str">
        <f t="shared" si="74"/>
        <v/>
      </c>
      <c r="AZ184" s="57" t="str">
        <f t="shared" si="75"/>
        <v/>
      </c>
      <c r="BA184" s="157" t="str">
        <f t="shared" si="82"/>
        <v/>
      </c>
      <c r="BB184" s="157">
        <f t="shared" si="83"/>
        <v>0.61422902494331066</v>
      </c>
      <c r="BC184" s="157">
        <f t="shared" si="84"/>
        <v>0</v>
      </c>
      <c r="BD184" s="157" t="str">
        <f t="shared" si="76"/>
        <v/>
      </c>
      <c r="BE184" s="6">
        <f t="shared" si="73"/>
        <v>5.3069387755102051</v>
      </c>
      <c r="BF184" s="6">
        <f t="shared" si="77"/>
        <v>4.0221009667023244</v>
      </c>
    </row>
    <row r="185" spans="1:58" ht="15.75">
      <c r="B185" s="94">
        <v>45445</v>
      </c>
      <c r="C185" s="128"/>
      <c r="D185" s="3">
        <v>180</v>
      </c>
      <c r="E185" s="205" t="str">
        <f t="shared" si="78"/>
        <v/>
      </c>
      <c r="I185" s="15">
        <f t="shared" si="89"/>
        <v>24.799999999999997</v>
      </c>
      <c r="K185" s="10" t="str">
        <f t="shared" si="85"/>
        <v/>
      </c>
      <c r="L185" s="9" t="str">
        <f t="shared" si="86"/>
        <v/>
      </c>
      <c r="M185" s="8" t="str">
        <f t="shared" si="87"/>
        <v/>
      </c>
      <c r="N185" s="6"/>
      <c r="AB185" s="5">
        <v>80</v>
      </c>
      <c r="AC185" s="1"/>
      <c r="AD185" s="162">
        <f>($AD$181*3/7+$AD$188 *4/7)</f>
        <v>24.799999999999997</v>
      </c>
      <c r="AF185" s="162">
        <f>($AF$182*4/7+$AF$188*3/7)</f>
        <v>10.057142857142857</v>
      </c>
      <c r="AG185" s="98">
        <v>3.74</v>
      </c>
      <c r="AH185" s="119">
        <v>0.81168981481481484</v>
      </c>
      <c r="AJ185" s="1">
        <v>175</v>
      </c>
      <c r="AK185" s="3">
        <v>180</v>
      </c>
      <c r="AL185" s="1"/>
      <c r="AN185" s="80">
        <f t="shared" si="65"/>
        <v>100</v>
      </c>
      <c r="AO185" s="126"/>
      <c r="AP185" s="13">
        <f t="shared" si="79"/>
        <v>1319.4444444444925</v>
      </c>
      <c r="AQ185" s="15" t="str">
        <f>IF(ISNUMBER([1]HRT_SRT!R239),[1]HRT_SRT!R239,"")</f>
        <v/>
      </c>
      <c r="AR185" s="156"/>
      <c r="AS185" s="155">
        <f t="shared" si="67"/>
        <v>0.59447004608294929</v>
      </c>
      <c r="AT185" s="155">
        <f t="shared" si="68"/>
        <v>0.2536821705426357</v>
      </c>
      <c r="AU185" s="16"/>
      <c r="AV185" s="57" t="str">
        <f t="shared" si="70"/>
        <v/>
      </c>
      <c r="AW185" s="57">
        <f t="shared" si="71"/>
        <v>14.74285714285714</v>
      </c>
      <c r="AX185" s="57" t="str">
        <f t="shared" si="72"/>
        <v/>
      </c>
      <c r="AY185" s="57" t="str">
        <f t="shared" si="74"/>
        <v/>
      </c>
      <c r="AZ185" s="57" t="str">
        <f t="shared" si="75"/>
        <v/>
      </c>
      <c r="BA185" s="157" t="str">
        <f t="shared" si="82"/>
        <v/>
      </c>
      <c r="BB185" s="157">
        <f t="shared" si="83"/>
        <v>0.59447004608294929</v>
      </c>
      <c r="BC185" s="157">
        <f t="shared" si="84"/>
        <v>0.2536821705426357</v>
      </c>
      <c r="BD185" s="157" t="str">
        <f t="shared" si="76"/>
        <v/>
      </c>
      <c r="BE185" s="6">
        <f t="shared" si="73"/>
        <v>5.0546938775510197</v>
      </c>
      <c r="BF185" s="6">
        <f t="shared" si="77"/>
        <v>3.8309258861437909</v>
      </c>
    </row>
    <row r="186" spans="1:58" ht="15.75">
      <c r="B186" s="94">
        <v>45446</v>
      </c>
      <c r="C186" s="128"/>
      <c r="D186" s="3">
        <v>181</v>
      </c>
      <c r="E186" s="205" t="str">
        <f t="shared" si="78"/>
        <v/>
      </c>
      <c r="I186" s="15">
        <f t="shared" si="89"/>
        <v>24.4</v>
      </c>
      <c r="K186" s="10" t="str">
        <f t="shared" si="85"/>
        <v/>
      </c>
      <c r="L186" s="9" t="str">
        <f t="shared" si="86"/>
        <v/>
      </c>
      <c r="M186" s="8" t="str">
        <f t="shared" si="87"/>
        <v/>
      </c>
      <c r="AB186" s="5">
        <v>80</v>
      </c>
      <c r="AD186" s="162">
        <f>($AD$181*2/7+$AD$188 *5/7)</f>
        <v>24.4</v>
      </c>
      <c r="AF186" s="162">
        <f>($AF$182*2/7+$AF$188*5/7)</f>
        <v>10.728571428571428</v>
      </c>
      <c r="AG186" s="98">
        <v>3.79</v>
      </c>
      <c r="AH186" s="119">
        <v>0.47789351851851852</v>
      </c>
      <c r="AJ186" s="1">
        <v>175</v>
      </c>
      <c r="AK186" s="3">
        <v>180</v>
      </c>
      <c r="AN186" s="80">
        <f t="shared" si="65"/>
        <v>100</v>
      </c>
      <c r="AO186" s="126"/>
      <c r="AP186" s="13">
        <f t="shared" si="79"/>
        <v>1319.4444444444925</v>
      </c>
      <c r="AQ186" s="15" t="str">
        <f>IF(ISNUMBER([1]HRT_SRT!R240),[1]HRT_SRT!R240,"")</f>
        <v/>
      </c>
      <c r="AR186" s="156"/>
      <c r="AS186" s="155">
        <f t="shared" si="67"/>
        <v>0.56030444964871196</v>
      </c>
      <c r="AT186" s="155">
        <f t="shared" si="68"/>
        <v>0.27722048066875654</v>
      </c>
      <c r="AU186" s="16"/>
      <c r="AV186" s="57" t="str">
        <f t="shared" si="70"/>
        <v/>
      </c>
      <c r="AW186" s="57">
        <f t="shared" si="71"/>
        <v>13.671428571428571</v>
      </c>
      <c r="AX186" s="57" t="str">
        <f t="shared" si="72"/>
        <v/>
      </c>
      <c r="AY186" s="57" t="str">
        <f t="shared" si="74"/>
        <v/>
      </c>
      <c r="AZ186" s="57" t="str">
        <f t="shared" si="75"/>
        <v/>
      </c>
      <c r="BA186" s="157" t="str">
        <f t="shared" si="82"/>
        <v/>
      </c>
      <c r="BB186" s="157">
        <f t="shared" si="83"/>
        <v>0.56030444964871196</v>
      </c>
      <c r="BC186" s="157">
        <f t="shared" si="84"/>
        <v>0.27722048066875654</v>
      </c>
      <c r="BD186" s="157" t="str">
        <f t="shared" si="76"/>
        <v/>
      </c>
      <c r="BE186" s="6">
        <f t="shared" si="73"/>
        <v>4.6873469387755105</v>
      </c>
      <c r="BF186" s="6">
        <f t="shared" si="77"/>
        <v>3.5525155746507835</v>
      </c>
    </row>
    <row r="187" spans="1:58" ht="15.75">
      <c r="B187" s="94">
        <v>45447</v>
      </c>
      <c r="C187" s="128"/>
      <c r="D187" s="3">
        <v>182</v>
      </c>
      <c r="E187" s="205" t="str">
        <f t="shared" si="78"/>
        <v/>
      </c>
      <c r="I187" s="15">
        <f t="shared" si="89"/>
        <v>24</v>
      </c>
      <c r="K187" s="10" t="str">
        <f t="shared" si="85"/>
        <v/>
      </c>
      <c r="L187" s="9" t="str">
        <f t="shared" si="86"/>
        <v/>
      </c>
      <c r="M187" s="8" t="str">
        <f t="shared" si="87"/>
        <v/>
      </c>
      <c r="AB187" s="5">
        <v>80</v>
      </c>
      <c r="AD187" s="162">
        <f>($AD$181*1/7+$AD$188 *6/7)</f>
        <v>24</v>
      </c>
      <c r="AF187" s="162">
        <f>($AF$182*1/7+$AF$188*6/7)</f>
        <v>11.064285714285713</v>
      </c>
      <c r="AG187" s="98">
        <v>4.7300000000000004</v>
      </c>
      <c r="AH187" s="119">
        <v>0.47800925925925924</v>
      </c>
      <c r="AJ187" s="1">
        <v>175</v>
      </c>
      <c r="AK187" s="3">
        <v>180</v>
      </c>
      <c r="AN187" s="80">
        <f t="shared" si="65"/>
        <v>100</v>
      </c>
      <c r="AO187" s="126"/>
      <c r="AP187" s="13">
        <f t="shared" si="79"/>
        <v>1319.4444444444925</v>
      </c>
      <c r="AQ187" s="15" t="str">
        <f>IF(ISNUMBER([1]HRT_SRT!R241),[1]HRT_SRT!R241,"")</f>
        <v/>
      </c>
      <c r="AR187" s="156"/>
      <c r="AS187" s="155">
        <f t="shared" si="67"/>
        <v>0.53898809523809532</v>
      </c>
      <c r="AT187" s="155">
        <f t="shared" si="68"/>
        <v>0.36565433462175595</v>
      </c>
      <c r="AU187" s="16"/>
      <c r="AV187" s="57" t="str">
        <f t="shared" si="70"/>
        <v/>
      </c>
      <c r="AW187" s="57">
        <f t="shared" si="71"/>
        <v>12.935714285714287</v>
      </c>
      <c r="AX187" s="57" t="str">
        <f t="shared" si="72"/>
        <v/>
      </c>
      <c r="AY187" s="57" t="str">
        <f t="shared" si="74"/>
        <v/>
      </c>
      <c r="AZ187" s="57" t="str">
        <f t="shared" si="75"/>
        <v/>
      </c>
      <c r="BA187" s="157" t="str">
        <f t="shared" si="82"/>
        <v/>
      </c>
      <c r="BB187" s="157">
        <f t="shared" si="83"/>
        <v>0.53898809523809532</v>
      </c>
      <c r="BC187" s="157">
        <f t="shared" si="84"/>
        <v>0.36565433462175595</v>
      </c>
      <c r="BD187" s="157" t="str">
        <f t="shared" si="76"/>
        <v/>
      </c>
      <c r="BE187" s="6">
        <f t="shared" si="73"/>
        <v>4.4351020408163269</v>
      </c>
      <c r="BF187" s="6">
        <f t="shared" si="77"/>
        <v>3.3613404940922513</v>
      </c>
    </row>
    <row r="188" spans="1:58" ht="15.75">
      <c r="A188" s="121">
        <v>8.4000000000000005E-2</v>
      </c>
      <c r="B188" s="94">
        <v>45448</v>
      </c>
      <c r="C188" s="128"/>
      <c r="D188" s="161">
        <v>183</v>
      </c>
      <c r="E188" s="205">
        <f t="shared" si="78"/>
        <v>220.79176600000002</v>
      </c>
      <c r="G188" s="15">
        <f>(N188*18-H188*18)/9</f>
        <v>21.400000000000002</v>
      </c>
      <c r="H188" s="15">
        <v>16.899999999999999</v>
      </c>
      <c r="I188" s="15">
        <f t="shared" si="89"/>
        <v>23.599999999999998</v>
      </c>
      <c r="K188" s="10">
        <f t="shared" si="85"/>
        <v>10.317372242990654</v>
      </c>
      <c r="L188" s="9">
        <f t="shared" si="86"/>
        <v>4.6777916525423739</v>
      </c>
      <c r="M188" s="8">
        <f t="shared" si="87"/>
        <v>2.2056074766355138</v>
      </c>
      <c r="N188" s="7">
        <v>27.6</v>
      </c>
      <c r="O188" s="6">
        <v>78.055000000000007</v>
      </c>
      <c r="P188" s="6">
        <v>17.907</v>
      </c>
      <c r="Q188" s="6">
        <f>O188*1.067</f>
        <v>83.28468500000001</v>
      </c>
      <c r="R188" s="6">
        <f>P188*1.514</f>
        <v>27.111198000000002</v>
      </c>
      <c r="S188" s="23">
        <f>P188*1.514+O188*1.067</f>
        <v>110.39588300000001</v>
      </c>
      <c r="T188" s="6">
        <v>34</v>
      </c>
      <c r="W188" s="6">
        <f>0.737+0.997</f>
        <v>1.734</v>
      </c>
      <c r="X188" s="6">
        <v>9.01</v>
      </c>
      <c r="AB188" s="5">
        <v>80</v>
      </c>
      <c r="AC188" s="7">
        <f>T188</f>
        <v>34</v>
      </c>
      <c r="AD188" s="1">
        <f>5*4.72</f>
        <v>23.599999999999998</v>
      </c>
      <c r="AE188" s="1">
        <v>25.4</v>
      </c>
      <c r="AF188" s="1">
        <f>5*2.28</f>
        <v>11.399999999999999</v>
      </c>
      <c r="AG188" s="98">
        <v>2.27</v>
      </c>
      <c r="AH188" s="119">
        <v>0.47766203703703702</v>
      </c>
      <c r="AJ188" s="1">
        <v>175</v>
      </c>
      <c r="AK188" s="3">
        <v>180</v>
      </c>
      <c r="AL188" s="4">
        <f>AE188</f>
        <v>25.4</v>
      </c>
      <c r="AM188" s="1">
        <v>24.7</v>
      </c>
      <c r="AN188" s="80">
        <f t="shared" si="65"/>
        <v>100</v>
      </c>
      <c r="AO188" s="126">
        <f>[1]HRT_SRT!P242</f>
        <v>1319.4444444444925</v>
      </c>
      <c r="AP188" s="13">
        <f t="shared" si="79"/>
        <v>1319.4444444444925</v>
      </c>
      <c r="AQ188" s="15">
        <f>IF(ISNUMBER([1]HRT_SRT!R242),[1]HRT_SRT!R242,"")</f>
        <v>21.852476614017071</v>
      </c>
      <c r="AR188" s="156">
        <f>(E188-W188)/E188</f>
        <v>0.99214644625832649</v>
      </c>
      <c r="AS188" s="155">
        <f t="shared" si="67"/>
        <v>0.51694915254237295</v>
      </c>
      <c r="AT188" s="155">
        <f t="shared" si="68"/>
        <v>0.18606557377049182</v>
      </c>
      <c r="AU188" s="16">
        <f>(G188-AM188)/G188</f>
        <v>-0.15420560747663536</v>
      </c>
      <c r="AV188" s="57">
        <f t="shared" si="70"/>
        <v>219.05776600000002</v>
      </c>
      <c r="AW188" s="57">
        <f t="shared" si="71"/>
        <v>12.2</v>
      </c>
      <c r="AX188" s="57">
        <f t="shared" si="72"/>
        <v>-3.2999999999999972</v>
      </c>
      <c r="AY188" s="57">
        <f t="shared" si="74"/>
        <v>8.6000000000000014</v>
      </c>
      <c r="AZ188" s="57">
        <f t="shared" si="75"/>
        <v>0.69999999999999929</v>
      </c>
      <c r="BA188" s="157">
        <f t="shared" si="82"/>
        <v>0.99214644625832649</v>
      </c>
      <c r="BB188" s="157">
        <f t="shared" si="83"/>
        <v>0.51694915254237295</v>
      </c>
      <c r="BC188" s="157">
        <f t="shared" si="84"/>
        <v>0.18606557377049182</v>
      </c>
      <c r="BD188" s="157">
        <f t="shared" si="76"/>
        <v>0</v>
      </c>
      <c r="BE188" s="6">
        <f t="shared" si="73"/>
        <v>4.1828571428571424</v>
      </c>
      <c r="BF188" s="6">
        <f t="shared" si="77"/>
        <v>3.1701654135337187</v>
      </c>
    </row>
    <row r="189" spans="1:58" ht="15.75">
      <c r="B189" s="94">
        <v>45449</v>
      </c>
      <c r="C189" s="128"/>
      <c r="D189" s="3">
        <v>184</v>
      </c>
      <c r="E189" s="205" t="str">
        <f t="shared" si="78"/>
        <v/>
      </c>
      <c r="G189" s="15">
        <f>(N189*18-H189*18)/9</f>
        <v>0</v>
      </c>
      <c r="I189" s="15">
        <f t="shared" si="89"/>
        <v>23.599999999999998</v>
      </c>
      <c r="K189" s="10" t="str">
        <f t="shared" si="85"/>
        <v/>
      </c>
      <c r="L189" s="9" t="str">
        <f t="shared" si="86"/>
        <v/>
      </c>
      <c r="M189" s="8" t="str">
        <f t="shared" si="87"/>
        <v/>
      </c>
      <c r="X189" s="6">
        <v>8.7200000000000006</v>
      </c>
      <c r="AB189" s="5">
        <v>80</v>
      </c>
      <c r="AD189" s="135">
        <f>AD188</f>
        <v>23.599999999999998</v>
      </c>
      <c r="AF189" s="135">
        <f>5*2.28</f>
        <v>11.399999999999999</v>
      </c>
      <c r="AG189" s="98">
        <v>3.44</v>
      </c>
      <c r="AH189" s="119">
        <v>0.46886574074074072</v>
      </c>
      <c r="AJ189" s="1">
        <v>175</v>
      </c>
      <c r="AK189" s="3">
        <v>180</v>
      </c>
      <c r="AN189" s="80">
        <f t="shared" si="65"/>
        <v>100</v>
      </c>
      <c r="AO189" s="126"/>
      <c r="AP189" s="13">
        <f t="shared" si="79"/>
        <v>1319.4444444444925</v>
      </c>
      <c r="AQ189" s="15" t="str">
        <f>IF(ISNUMBER([1]HRT_SRT!R243),[1]HRT_SRT!R243,"")</f>
        <v/>
      </c>
      <c r="AR189" s="156"/>
      <c r="AS189" s="155">
        <f t="shared" si="67"/>
        <v>0.51694915254237295</v>
      </c>
      <c r="AT189" s="155">
        <f t="shared" si="68"/>
        <v>0.28196721311475409</v>
      </c>
      <c r="AU189" s="16"/>
      <c r="AV189" s="57" t="str">
        <f t="shared" si="70"/>
        <v/>
      </c>
      <c r="AW189" s="57">
        <f t="shared" si="71"/>
        <v>12.2</v>
      </c>
      <c r="AX189" s="57" t="str">
        <f t="shared" si="72"/>
        <v/>
      </c>
      <c r="AY189" s="57" t="str">
        <f t="shared" si="74"/>
        <v/>
      </c>
      <c r="AZ189" s="57" t="str">
        <f t="shared" si="75"/>
        <v/>
      </c>
      <c r="BA189" s="157" t="str">
        <f t="shared" si="82"/>
        <v/>
      </c>
      <c r="BB189" s="157">
        <f t="shared" si="83"/>
        <v>0.51694915254237295</v>
      </c>
      <c r="BC189" s="157">
        <f t="shared" si="84"/>
        <v>0.28196721311475409</v>
      </c>
      <c r="BD189" s="157" t="str">
        <f t="shared" si="76"/>
        <v/>
      </c>
      <c r="BE189" s="6">
        <f t="shared" si="73"/>
        <v>4.1828571428571424</v>
      </c>
      <c r="BF189" s="6">
        <f t="shared" si="77"/>
        <v>3.1701654135337187</v>
      </c>
    </row>
    <row r="190" spans="1:58" s="27" customFormat="1" ht="15.75">
      <c r="A190" s="160"/>
      <c r="B190" s="159">
        <v>45450</v>
      </c>
      <c r="C190" s="128"/>
      <c r="D190" s="29">
        <v>185</v>
      </c>
      <c r="E190" s="205" t="str">
        <f t="shared" si="78"/>
        <v/>
      </c>
      <c r="F190" s="36"/>
      <c r="G190" s="36"/>
      <c r="H190" s="36"/>
      <c r="I190" s="15">
        <f t="shared" si="89"/>
        <v>23.599999999999998</v>
      </c>
      <c r="J190" s="35"/>
      <c r="K190" s="10" t="str">
        <f t="shared" si="85"/>
        <v/>
      </c>
      <c r="L190" s="9" t="str">
        <f t="shared" si="86"/>
        <v/>
      </c>
      <c r="M190" s="8" t="str">
        <f t="shared" si="87"/>
        <v/>
      </c>
      <c r="N190" s="34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74">
        <v>80</v>
      </c>
      <c r="AC190" s="32"/>
      <c r="AD190" s="158">
        <f>AD189</f>
        <v>23.599999999999998</v>
      </c>
      <c r="AF190" s="158">
        <f>5*2.28</f>
        <v>11.399999999999999</v>
      </c>
      <c r="AG190" s="116">
        <v>0.02</v>
      </c>
      <c r="AH190" s="125">
        <v>0.47939814814814813</v>
      </c>
      <c r="AJ190" s="27">
        <v>175</v>
      </c>
      <c r="AK190" s="29">
        <v>180</v>
      </c>
      <c r="AL190" s="32"/>
      <c r="AN190" s="87">
        <f t="shared" si="65"/>
        <v>100</v>
      </c>
      <c r="AO190" s="127"/>
      <c r="AP190" s="13">
        <f t="shared" si="79"/>
        <v>1664.7222222222645</v>
      </c>
      <c r="AQ190" s="77" t="str">
        <f>IF(ISNUMBER([1]HRT_SRT!R244),[1]HRT_SRT!R244,"")</f>
        <v/>
      </c>
      <c r="AR190" s="156"/>
      <c r="AS190" s="155">
        <f t="shared" si="67"/>
        <v>0.51694915254237295</v>
      </c>
      <c r="AT190" s="155">
        <f t="shared" si="68"/>
        <v>1.6393442622950822E-3</v>
      </c>
      <c r="AU190" s="16"/>
      <c r="AV190" s="57" t="str">
        <f t="shared" si="70"/>
        <v/>
      </c>
      <c r="AW190" s="57">
        <f t="shared" si="71"/>
        <v>12.2</v>
      </c>
      <c r="AX190" s="57" t="str">
        <f t="shared" si="72"/>
        <v/>
      </c>
      <c r="AY190" s="57" t="str">
        <f t="shared" si="74"/>
        <v/>
      </c>
      <c r="AZ190" s="57" t="str">
        <f t="shared" si="75"/>
        <v/>
      </c>
      <c r="BA190" s="157" t="str">
        <f t="shared" si="82"/>
        <v/>
      </c>
      <c r="BB190" s="157">
        <f t="shared" si="83"/>
        <v>0.51694915254237295</v>
      </c>
      <c r="BC190" s="157">
        <f t="shared" si="84"/>
        <v>1.6393442622950822E-3</v>
      </c>
      <c r="BD190" s="157" t="str">
        <f t="shared" si="76"/>
        <v/>
      </c>
      <c r="BE190" s="6">
        <f t="shared" si="73"/>
        <v>4.1828571428571424</v>
      </c>
      <c r="BF190" s="6">
        <f t="shared" si="77"/>
        <v>2.5126457057042102</v>
      </c>
    </row>
    <row r="191" spans="1:58" ht="15.75">
      <c r="A191" s="12" t="s">
        <v>136</v>
      </c>
      <c r="B191" s="134">
        <v>45451</v>
      </c>
      <c r="C191" s="133"/>
      <c r="D191" s="3">
        <v>186</v>
      </c>
      <c r="E191" s="205" t="str">
        <f t="shared" si="78"/>
        <v/>
      </c>
      <c r="I191" s="15">
        <f t="shared" si="89"/>
        <v>15</v>
      </c>
      <c r="K191" s="10" t="str">
        <f t="shared" si="85"/>
        <v/>
      </c>
      <c r="L191" s="9" t="str">
        <f t="shared" si="86"/>
        <v/>
      </c>
      <c r="M191" s="8" t="str">
        <f t="shared" si="87"/>
        <v/>
      </c>
      <c r="AB191" s="5">
        <v>80</v>
      </c>
      <c r="AD191" s="135">
        <f>15</f>
        <v>15</v>
      </c>
      <c r="AF191" s="135">
        <v>0</v>
      </c>
      <c r="AG191">
        <v>1</v>
      </c>
      <c r="AH191" s="119">
        <v>0.40057870370370369</v>
      </c>
      <c r="AK191" s="3">
        <v>180</v>
      </c>
      <c r="AN191" s="80">
        <f t="shared" si="65"/>
        <v>100</v>
      </c>
      <c r="AO191" s="126"/>
      <c r="AP191" s="13">
        <f t="shared" si="79"/>
        <v>2010.0000000000364</v>
      </c>
      <c r="AQ191" s="15" t="str">
        <f>IF(ISNUMBER([1]HRT_SRT!R245),[1]HRT_SRT!R245,"")</f>
        <v/>
      </c>
      <c r="AR191" s="156" t="e">
        <f t="shared" ref="AR191:AR222" si="90">(E191-W191)/E191</f>
        <v>#VALUE!</v>
      </c>
      <c r="AS191" s="155">
        <f t="shared" si="67"/>
        <v>1</v>
      </c>
      <c r="AT191" s="155">
        <f t="shared" si="68"/>
        <v>6.6666666666666666E-2</v>
      </c>
      <c r="AU191" s="16" t="e">
        <f t="shared" ref="AU191:AU222" si="91">(G191-AM191)/G191</f>
        <v>#DIV/0!</v>
      </c>
      <c r="AV191" s="57" t="str">
        <f t="shared" si="70"/>
        <v/>
      </c>
      <c r="AW191" s="57">
        <f t="shared" si="71"/>
        <v>15</v>
      </c>
      <c r="AX191" s="57" t="str">
        <f t="shared" si="72"/>
        <v/>
      </c>
      <c r="AY191" s="57" t="str">
        <f t="shared" si="74"/>
        <v/>
      </c>
      <c r="AZ191" s="57" t="str">
        <f t="shared" si="75"/>
        <v/>
      </c>
      <c r="BA191" s="84" t="str">
        <f t="shared" ref="BA191:BA216" si="92">IF(AND($E191&gt;0,$W191&gt;0),IF(($E191-$W191)/$E191&gt;0,($E191-$W191)/$E191,0),"")</f>
        <v/>
      </c>
      <c r="BB191" s="84">
        <f t="shared" ref="BB191:BB222" si="93">IF(AND($I191&gt;0,$AF191&gt;=0),IF(($I191-$AF191)/$I191&gt;0,($I191-$AF191)/$I191,0),"")</f>
        <v>1</v>
      </c>
      <c r="BC191" s="84">
        <f t="shared" ref="BC191:BC210" si="94">IF(AND($AG191&gt;=0,$AD191&gt;=0,$AF191&gt;=0),IF($AG191/($AD191-$AF191)&gt;0,$AG191/($AD191-$AF191),0),"")</f>
        <v>6.6666666666666666E-2</v>
      </c>
      <c r="BD191" s="84" t="str">
        <f t="shared" si="76"/>
        <v/>
      </c>
      <c r="BE191" s="6" t="e">
        <f t="shared" si="73"/>
        <v>#DIV/0!</v>
      </c>
      <c r="BF191" s="6" t="str">
        <f t="shared" si="77"/>
        <v/>
      </c>
    </row>
    <row r="192" spans="1:58" ht="15.75">
      <c r="B192" s="134">
        <v>45452</v>
      </c>
      <c r="C192" s="133"/>
      <c r="D192" s="3">
        <v>187</v>
      </c>
      <c r="E192" s="205" t="str">
        <f t="shared" si="78"/>
        <v/>
      </c>
      <c r="I192" s="15">
        <f t="shared" si="89"/>
        <v>15</v>
      </c>
      <c r="K192" s="10" t="str">
        <f t="shared" si="85"/>
        <v/>
      </c>
      <c r="L192" s="9" t="str">
        <f t="shared" si="86"/>
        <v/>
      </c>
      <c r="M192" s="8" t="str">
        <f t="shared" si="87"/>
        <v/>
      </c>
      <c r="AB192" s="5">
        <v>80</v>
      </c>
      <c r="AD192" s="135">
        <f>15</f>
        <v>15</v>
      </c>
      <c r="AF192" s="135">
        <v>0</v>
      </c>
      <c r="AG192">
        <v>1.29</v>
      </c>
      <c r="AH192" s="119">
        <v>0.40381944444444445</v>
      </c>
      <c r="AK192" s="3">
        <v>180</v>
      </c>
      <c r="AN192" s="80">
        <f t="shared" si="65"/>
        <v>100</v>
      </c>
      <c r="AO192" s="126"/>
      <c r="AP192" s="13">
        <f t="shared" si="79"/>
        <v>2010.0000000000364</v>
      </c>
      <c r="AQ192" s="15" t="str">
        <f>IF(ISNUMBER([1]HRT_SRT!R246),[1]HRT_SRT!R246,"")</f>
        <v/>
      </c>
      <c r="AR192" s="17" t="e">
        <f t="shared" si="90"/>
        <v>#VALUE!</v>
      </c>
      <c r="AS192" s="16">
        <f t="shared" si="67"/>
        <v>1</v>
      </c>
      <c r="AT192" s="16">
        <f t="shared" si="68"/>
        <v>8.6000000000000007E-2</v>
      </c>
      <c r="AU192" s="16" t="e">
        <f t="shared" si="91"/>
        <v>#DIV/0!</v>
      </c>
      <c r="AV192" s="57" t="str">
        <f t="shared" si="70"/>
        <v/>
      </c>
      <c r="AW192" s="57">
        <f t="shared" si="71"/>
        <v>15</v>
      </c>
      <c r="AX192" s="57" t="str">
        <f t="shared" si="72"/>
        <v/>
      </c>
      <c r="AY192" s="57" t="str">
        <f t="shared" si="74"/>
        <v/>
      </c>
      <c r="AZ192" s="57" t="str">
        <f t="shared" si="75"/>
        <v/>
      </c>
      <c r="BA192" s="84" t="str">
        <f t="shared" si="92"/>
        <v/>
      </c>
      <c r="BB192" s="84">
        <f t="shared" si="93"/>
        <v>1</v>
      </c>
      <c r="BC192" s="84">
        <f t="shared" si="94"/>
        <v>8.6000000000000007E-2</v>
      </c>
      <c r="BD192" s="84" t="str">
        <f t="shared" si="76"/>
        <v/>
      </c>
      <c r="BE192" s="6" t="e">
        <f t="shared" si="73"/>
        <v>#DIV/0!</v>
      </c>
      <c r="BF192" s="6" t="str">
        <f t="shared" si="77"/>
        <v/>
      </c>
    </row>
    <row r="193" spans="1:58" ht="15.75">
      <c r="B193" s="134">
        <v>45453</v>
      </c>
      <c r="C193" s="133"/>
      <c r="D193" s="3">
        <v>188</v>
      </c>
      <c r="E193" s="205">
        <f t="shared" si="78"/>
        <v>203.98202399999997</v>
      </c>
      <c r="G193" s="15">
        <f>(N193*18-H193*18)/9</f>
        <v>24.399999999999995</v>
      </c>
      <c r="H193" s="15">
        <v>25.2</v>
      </c>
      <c r="I193" s="15">
        <f t="shared" si="89"/>
        <v>15.5</v>
      </c>
      <c r="K193" s="10">
        <f t="shared" si="85"/>
        <v>8.3599190163934427</v>
      </c>
      <c r="L193" s="9">
        <f t="shared" si="86"/>
        <v>6.5800652903225796</v>
      </c>
      <c r="M193" s="8">
        <f t="shared" si="87"/>
        <v>1.2704918032786887</v>
      </c>
      <c r="N193" s="7">
        <v>37.4</v>
      </c>
      <c r="O193" s="6">
        <v>74.367999999999995</v>
      </c>
      <c r="P193" s="6">
        <v>14.954000000000001</v>
      </c>
      <c r="Q193" s="6">
        <f>O193*1.067</f>
        <v>79.350655999999987</v>
      </c>
      <c r="R193" s="6">
        <f>P193*1.514</f>
        <v>22.640356000000001</v>
      </c>
      <c r="S193" s="23">
        <f>P193*1.514+O193*1.067</f>
        <v>101.99101199999998</v>
      </c>
      <c r="T193" s="6">
        <v>53.5</v>
      </c>
      <c r="W193">
        <f>2.669+1.57</f>
        <v>4.2389999999999999</v>
      </c>
      <c r="X193" s="6">
        <v>7.88</v>
      </c>
      <c r="AB193" s="5">
        <v>80</v>
      </c>
      <c r="AC193" s="7">
        <f>T193</f>
        <v>53.5</v>
      </c>
      <c r="AD193" s="1">
        <f>5*3.1</f>
        <v>15.5</v>
      </c>
      <c r="AE193" s="1">
        <v>38.4</v>
      </c>
      <c r="AF193" s="1">
        <v>0</v>
      </c>
      <c r="AG193">
        <v>2.94</v>
      </c>
      <c r="AH193" s="119">
        <v>0.42546296296296299</v>
      </c>
      <c r="AK193" s="3">
        <v>180</v>
      </c>
      <c r="AL193" s="4">
        <f>AE193</f>
        <v>38.4</v>
      </c>
      <c r="AM193" s="1">
        <v>34.4</v>
      </c>
      <c r="AN193" s="80">
        <f t="shared" si="65"/>
        <v>100</v>
      </c>
      <c r="AO193" s="126"/>
      <c r="AP193" s="13">
        <f t="shared" si="79"/>
        <v>2010.0000000000364</v>
      </c>
      <c r="AQ193" s="15" t="str">
        <f>IF(ISNUMBER([1]HRT_SRT!R247),[1]HRT_SRT!R247,"")</f>
        <v/>
      </c>
      <c r="AR193" s="17">
        <f t="shared" si="90"/>
        <v>0.97921875704106154</v>
      </c>
      <c r="AS193" s="16">
        <f t="shared" si="67"/>
        <v>1</v>
      </c>
      <c r="AT193" s="16">
        <f t="shared" si="68"/>
        <v>0.1896774193548387</v>
      </c>
      <c r="AU193" s="16">
        <f t="shared" si="91"/>
        <v>-0.40983606557377072</v>
      </c>
      <c r="AV193" s="57">
        <f t="shared" si="70"/>
        <v>199.74302399999996</v>
      </c>
      <c r="AW193" s="57">
        <f t="shared" si="71"/>
        <v>15.5</v>
      </c>
      <c r="AX193" s="57">
        <f t="shared" si="72"/>
        <v>-10.000000000000004</v>
      </c>
      <c r="AY193" s="57">
        <f t="shared" si="74"/>
        <v>15.100000000000001</v>
      </c>
      <c r="AZ193" s="57">
        <f t="shared" si="75"/>
        <v>4</v>
      </c>
      <c r="BA193" s="84">
        <f t="shared" si="92"/>
        <v>0.97921875704106154</v>
      </c>
      <c r="BB193" s="84">
        <f t="shared" si="93"/>
        <v>1</v>
      </c>
      <c r="BC193" s="84">
        <f t="shared" si="94"/>
        <v>0.1896774193548387</v>
      </c>
      <c r="BD193" s="84">
        <f t="shared" si="76"/>
        <v>0</v>
      </c>
      <c r="BE193" s="6" t="e">
        <f t="shared" si="73"/>
        <v>#DIV/0!</v>
      </c>
      <c r="BF193" s="6" t="str">
        <f t="shared" si="77"/>
        <v/>
      </c>
    </row>
    <row r="194" spans="1:58" ht="15.75">
      <c r="B194" s="134">
        <v>45454</v>
      </c>
      <c r="C194" s="133"/>
      <c r="D194" s="136">
        <v>189</v>
      </c>
      <c r="E194" s="205">
        <f t="shared" si="78"/>
        <v>221.05169199999997</v>
      </c>
      <c r="G194" s="15">
        <f>(N194*18-H194*18)/9</f>
        <v>24.000000000000007</v>
      </c>
      <c r="H194" s="15">
        <v>27.7</v>
      </c>
      <c r="I194" s="15">
        <f t="shared" si="89"/>
        <v>13.95</v>
      </c>
      <c r="K194" s="10">
        <f t="shared" si="85"/>
        <v>9.2104871666666632</v>
      </c>
      <c r="L194" s="9">
        <f t="shared" si="86"/>
        <v>7.9229997132616479</v>
      </c>
      <c r="M194" s="8">
        <f t="shared" si="87"/>
        <v>1.1624999999999996</v>
      </c>
      <c r="N194" s="7">
        <v>39.700000000000003</v>
      </c>
      <c r="O194" s="6">
        <v>77.622</v>
      </c>
      <c r="P194" s="6">
        <v>18.297999999999998</v>
      </c>
      <c r="Q194" s="6">
        <f>O194*1.067</f>
        <v>82.822673999999992</v>
      </c>
      <c r="R194" s="6">
        <f>P194*1.514</f>
        <v>27.703171999999999</v>
      </c>
      <c r="S194" s="23">
        <f>P194*1.514+O194*1.067</f>
        <v>110.52584599999999</v>
      </c>
      <c r="T194" s="6">
        <v>52</v>
      </c>
      <c r="W194">
        <f>1.9+1.535</f>
        <v>3.4349999999999996</v>
      </c>
      <c r="X194" s="6">
        <v>6.58</v>
      </c>
      <c r="AB194" s="5">
        <v>80</v>
      </c>
      <c r="AC194" s="7">
        <f>T194</f>
        <v>52</v>
      </c>
      <c r="AD194" s="1">
        <f>5*2.79</f>
        <v>13.95</v>
      </c>
      <c r="AE194" s="1">
        <v>40.200000000000003</v>
      </c>
      <c r="AF194" s="1">
        <v>0</v>
      </c>
      <c r="AG194">
        <v>2.38</v>
      </c>
      <c r="AH194" s="119">
        <v>0.41608796296296297</v>
      </c>
      <c r="AK194" s="3">
        <v>180</v>
      </c>
      <c r="AL194" s="4">
        <f>AE194</f>
        <v>40.200000000000003</v>
      </c>
      <c r="AM194" s="1">
        <v>46</v>
      </c>
      <c r="AN194" s="80">
        <f t="shared" si="65"/>
        <v>100</v>
      </c>
      <c r="AO194" s="126">
        <f>[1]HRT_SRT!P248</f>
        <v>2010.0000000000364</v>
      </c>
      <c r="AP194" s="13">
        <f t="shared" si="79"/>
        <v>2010.0000000000364</v>
      </c>
      <c r="AQ194" s="15">
        <f>IF(ISNUMBER([1]HRT_SRT!R248),[1]HRT_SRT!R248,"")</f>
        <v>23.147792706334364</v>
      </c>
      <c r="AR194" s="17">
        <f t="shared" si="90"/>
        <v>0.9844606482360696</v>
      </c>
      <c r="AS194" s="16">
        <f t="shared" si="67"/>
        <v>1</v>
      </c>
      <c r="AT194" s="16">
        <f t="shared" si="68"/>
        <v>0.17060931899641577</v>
      </c>
      <c r="AU194" s="16">
        <f t="shared" si="91"/>
        <v>-0.91666666666666607</v>
      </c>
      <c r="AV194" s="57">
        <f t="shared" si="70"/>
        <v>217.61669199999997</v>
      </c>
      <c r="AW194" s="57">
        <f t="shared" si="71"/>
        <v>13.95</v>
      </c>
      <c r="AX194" s="57">
        <f t="shared" si="72"/>
        <v>-21.999999999999993</v>
      </c>
      <c r="AY194" s="57">
        <f t="shared" si="74"/>
        <v>11.799999999999997</v>
      </c>
      <c r="AZ194" s="57">
        <f t="shared" si="75"/>
        <v>-5.7999999999999972</v>
      </c>
      <c r="BA194" s="84">
        <f t="shared" si="92"/>
        <v>0.9844606482360696</v>
      </c>
      <c r="BB194" s="84">
        <f t="shared" si="93"/>
        <v>1</v>
      </c>
      <c r="BC194" s="84">
        <f t="shared" si="94"/>
        <v>0.17060931899641577</v>
      </c>
      <c r="BD194" s="84">
        <f t="shared" si="76"/>
        <v>0</v>
      </c>
      <c r="BE194" s="6" t="e">
        <f t="shared" si="73"/>
        <v>#DIV/0!</v>
      </c>
      <c r="BF194" s="6" t="str">
        <f t="shared" si="77"/>
        <v/>
      </c>
    </row>
    <row r="195" spans="1:58" s="137" customFormat="1" ht="15.75">
      <c r="A195" s="154" t="s">
        <v>135</v>
      </c>
      <c r="B195" s="134">
        <v>45455</v>
      </c>
      <c r="C195" s="133"/>
      <c r="D195" s="145">
        <v>190</v>
      </c>
      <c r="E195" s="205" t="str">
        <f t="shared" si="78"/>
        <v/>
      </c>
      <c r="F195" s="153"/>
      <c r="G195" s="153"/>
      <c r="H195" s="153"/>
      <c r="I195" s="15">
        <f t="shared" si="89"/>
        <v>15</v>
      </c>
      <c r="J195" s="152"/>
      <c r="K195" s="10" t="str">
        <f t="shared" si="85"/>
        <v/>
      </c>
      <c r="L195" s="9" t="str">
        <f t="shared" si="86"/>
        <v/>
      </c>
      <c r="M195" s="8" t="str">
        <f t="shared" si="87"/>
        <v/>
      </c>
      <c r="N195" s="151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>
        <v>8.6300000000000008</v>
      </c>
      <c r="Y195" s="150"/>
      <c r="Z195" s="150"/>
      <c r="AA195" s="150"/>
      <c r="AB195" s="149">
        <v>80</v>
      </c>
      <c r="AC195" s="141"/>
      <c r="AD195" s="148">
        <f>(AD194+AD196)/2</f>
        <v>15</v>
      </c>
      <c r="AF195" s="148">
        <v>0</v>
      </c>
      <c r="AG195" s="147">
        <v>2.63</v>
      </c>
      <c r="AH195" s="146">
        <v>0.43379629629629629</v>
      </c>
      <c r="AK195" s="145">
        <v>180</v>
      </c>
      <c r="AL195" s="141"/>
      <c r="AN195" s="144">
        <f t="shared" si="65"/>
        <v>100</v>
      </c>
      <c r="AO195" s="143"/>
      <c r="AP195" s="13">
        <f t="shared" si="79"/>
        <v>2010.0000000000364</v>
      </c>
      <c r="AQ195" s="142" t="str">
        <f>IF(ISNUMBER([1]HRT_SRT!R249),[1]HRT_SRT!R249,"")</f>
        <v/>
      </c>
      <c r="AR195" s="140" t="e">
        <f t="shared" si="90"/>
        <v>#VALUE!</v>
      </c>
      <c r="AS195" s="139">
        <f t="shared" si="67"/>
        <v>1</v>
      </c>
      <c r="AT195" s="139">
        <f t="shared" si="68"/>
        <v>0.17533333333333331</v>
      </c>
      <c r="AU195" s="139" t="e">
        <f t="shared" si="91"/>
        <v>#DIV/0!</v>
      </c>
      <c r="AV195" s="138" t="str">
        <f t="shared" si="70"/>
        <v/>
      </c>
      <c r="AW195" s="138">
        <f t="shared" si="71"/>
        <v>15</v>
      </c>
      <c r="AX195" s="138" t="str">
        <f t="shared" si="72"/>
        <v/>
      </c>
      <c r="AY195" s="57" t="str">
        <f t="shared" si="74"/>
        <v/>
      </c>
      <c r="AZ195" s="57" t="str">
        <f t="shared" si="75"/>
        <v/>
      </c>
      <c r="BA195" s="84" t="str">
        <f t="shared" si="92"/>
        <v/>
      </c>
      <c r="BB195" s="84">
        <f t="shared" si="93"/>
        <v>1</v>
      </c>
      <c r="BC195" s="84">
        <f t="shared" si="94"/>
        <v>0.17533333333333331</v>
      </c>
      <c r="BD195" s="84" t="str">
        <f t="shared" si="76"/>
        <v/>
      </c>
      <c r="BE195" s="6" t="e">
        <f t="shared" si="73"/>
        <v>#DIV/0!</v>
      </c>
      <c r="BF195" s="6" t="str">
        <f t="shared" si="77"/>
        <v/>
      </c>
    </row>
    <row r="196" spans="1:58" s="137" customFormat="1" ht="15.75">
      <c r="A196" s="154"/>
      <c r="B196" s="134">
        <v>45456</v>
      </c>
      <c r="C196" s="133"/>
      <c r="D196" s="145">
        <v>191</v>
      </c>
      <c r="E196" s="205" t="str">
        <f t="shared" si="78"/>
        <v/>
      </c>
      <c r="F196" s="153"/>
      <c r="G196" s="142">
        <f>(N196*18-H196*18)/9</f>
        <v>11</v>
      </c>
      <c r="H196" s="142">
        <v>48.2</v>
      </c>
      <c r="I196" s="15">
        <f t="shared" si="89"/>
        <v>16.05</v>
      </c>
      <c r="J196" s="152"/>
      <c r="K196" s="10" t="str">
        <f t="shared" si="85"/>
        <v/>
      </c>
      <c r="L196" s="9" t="str">
        <f t="shared" si="86"/>
        <v/>
      </c>
      <c r="M196" s="8">
        <f t="shared" si="87"/>
        <v>2.9181818181818184</v>
      </c>
      <c r="N196" s="151">
        <v>53.7</v>
      </c>
      <c r="O196" s="150"/>
      <c r="P196" s="150"/>
      <c r="Q196" s="150"/>
      <c r="R196" s="150"/>
      <c r="S196" s="150"/>
      <c r="T196" s="150">
        <v>58</v>
      </c>
      <c r="U196" s="150"/>
      <c r="V196" s="150"/>
      <c r="W196" s="150"/>
      <c r="X196" s="150">
        <v>0.14000000000000001</v>
      </c>
      <c r="Y196" s="150"/>
      <c r="Z196" s="150"/>
      <c r="AA196" s="150"/>
      <c r="AB196" s="149">
        <v>80</v>
      </c>
      <c r="AC196" s="151">
        <f>T196</f>
        <v>58</v>
      </c>
      <c r="AD196" s="137">
        <f>5*3.21</f>
        <v>16.05</v>
      </c>
      <c r="AE196" s="137">
        <v>48</v>
      </c>
      <c r="AF196" s="137">
        <v>0</v>
      </c>
      <c r="AG196" s="147"/>
      <c r="AH196" s="146">
        <v>0.47916666666666669</v>
      </c>
      <c r="AK196" s="145">
        <v>180</v>
      </c>
      <c r="AL196" s="141">
        <f>AE196</f>
        <v>48</v>
      </c>
      <c r="AM196" s="137">
        <v>31.3</v>
      </c>
      <c r="AN196" s="144">
        <f t="shared" si="65"/>
        <v>100</v>
      </c>
      <c r="AO196" s="143"/>
      <c r="AP196" s="13">
        <f t="shared" si="79"/>
        <v>2010.0000000000364</v>
      </c>
      <c r="AQ196" s="142" t="str">
        <f>IF(ISNUMBER([1]HRT_SRT!R250),[1]HRT_SRT!R250,"")</f>
        <v/>
      </c>
      <c r="AR196" s="140" t="e">
        <f t="shared" si="90"/>
        <v>#VALUE!</v>
      </c>
      <c r="AS196" s="139">
        <f t="shared" si="67"/>
        <v>1</v>
      </c>
      <c r="AT196" s="139">
        <f t="shared" si="68"/>
        <v>0</v>
      </c>
      <c r="AU196" s="139">
        <f t="shared" si="91"/>
        <v>-1.8454545454545455</v>
      </c>
      <c r="AV196" s="138" t="str">
        <f t="shared" si="70"/>
        <v/>
      </c>
      <c r="AW196" s="138">
        <f t="shared" si="71"/>
        <v>16.05</v>
      </c>
      <c r="AX196" s="138">
        <f t="shared" si="72"/>
        <v>-20.3</v>
      </c>
      <c r="AY196" s="57">
        <f t="shared" si="74"/>
        <v>10</v>
      </c>
      <c r="AZ196" s="57">
        <f t="shared" si="75"/>
        <v>16.7</v>
      </c>
      <c r="BA196" s="84" t="str">
        <f t="shared" si="92"/>
        <v/>
      </c>
      <c r="BB196" s="84">
        <f t="shared" si="93"/>
        <v>1</v>
      </c>
      <c r="BC196" s="84">
        <f t="shared" si="94"/>
        <v>0</v>
      </c>
      <c r="BD196" s="84">
        <f t="shared" si="76"/>
        <v>0</v>
      </c>
      <c r="BE196" s="6" t="e">
        <f t="shared" si="73"/>
        <v>#DIV/0!</v>
      </c>
      <c r="BF196" s="6" t="str">
        <f t="shared" si="77"/>
        <v/>
      </c>
    </row>
    <row r="197" spans="1:58" s="137" customFormat="1" ht="15.75">
      <c r="A197" s="154"/>
      <c r="B197" s="134">
        <v>45457</v>
      </c>
      <c r="C197" s="133"/>
      <c r="D197" s="145">
        <v>192</v>
      </c>
      <c r="E197" s="205" t="str">
        <f t="shared" si="78"/>
        <v/>
      </c>
      <c r="F197" s="153"/>
      <c r="G197" s="142">
        <f>(N197*18-H197*18)/9</f>
        <v>8.9100000000000019</v>
      </c>
      <c r="H197" s="142">
        <v>5.2249999999999996</v>
      </c>
      <c r="I197" s="15">
        <f t="shared" si="89"/>
        <v>15.05</v>
      </c>
      <c r="J197" s="152"/>
      <c r="K197" s="10" t="str">
        <f t="shared" si="85"/>
        <v/>
      </c>
      <c r="L197" s="9" t="str">
        <f t="shared" si="86"/>
        <v/>
      </c>
      <c r="M197" s="8">
        <f t="shared" si="87"/>
        <v>3.3782267115600444</v>
      </c>
      <c r="N197" s="151">
        <v>9.68</v>
      </c>
      <c r="O197" s="150"/>
      <c r="P197" s="150"/>
      <c r="Q197" s="150"/>
      <c r="R197" s="150"/>
      <c r="S197" s="150"/>
      <c r="T197" s="150">
        <v>14.6</v>
      </c>
      <c r="U197" s="150"/>
      <c r="V197" s="150"/>
      <c r="W197" s="150"/>
      <c r="X197" s="150">
        <v>6.33</v>
      </c>
      <c r="Y197" s="150"/>
      <c r="Z197" s="150"/>
      <c r="AA197" s="150"/>
      <c r="AB197" s="149">
        <v>80</v>
      </c>
      <c r="AC197" s="151">
        <f>T197</f>
        <v>14.6</v>
      </c>
      <c r="AD197" s="148">
        <f>(AD196*2/3+AD200*1/3)</f>
        <v>15.05</v>
      </c>
      <c r="AE197" s="137">
        <v>8.11</v>
      </c>
      <c r="AF197" s="148">
        <v>0</v>
      </c>
      <c r="AG197" s="147">
        <v>3.37</v>
      </c>
      <c r="AH197" s="146">
        <v>0.43958333333333333</v>
      </c>
      <c r="AK197" s="145">
        <v>180</v>
      </c>
      <c r="AL197" s="141">
        <f>AE197</f>
        <v>8.11</v>
      </c>
      <c r="AM197" s="137">
        <v>6.35</v>
      </c>
      <c r="AN197" s="144">
        <f t="shared" ref="AN197:AN260" si="95">360-AK197-AB197</f>
        <v>100</v>
      </c>
      <c r="AO197" s="143"/>
      <c r="AP197" s="13" t="e">
        <f t="shared" si="79"/>
        <v>#DIV/0!</v>
      </c>
      <c r="AQ197" s="142" t="str">
        <f>IF(ISNUMBER([1]HRT_SRT!R251),[1]HRT_SRT!R251,"")</f>
        <v/>
      </c>
      <c r="AR197" s="140" t="e">
        <f t="shared" si="90"/>
        <v>#VALUE!</v>
      </c>
      <c r="AS197" s="139">
        <f t="shared" ref="AS197:AS216" si="96">(I197-AF197)/I197</f>
        <v>1</v>
      </c>
      <c r="AT197" s="139">
        <f t="shared" ref="AT197:AT260" si="97">AG197/(AD197-AF197)</f>
        <v>0.2239202657807309</v>
      </c>
      <c r="AU197" s="139">
        <f t="shared" si="91"/>
        <v>0.28731762065095418</v>
      </c>
      <c r="AV197" s="138" t="str">
        <f t="shared" ref="AV197:AV243" si="98">IF(AND(ISNUMBER(E197),ISNUMBER(W197)),E197-W197,"")</f>
        <v/>
      </c>
      <c r="AW197" s="138">
        <f t="shared" ref="AW197:AW260" si="99">IF(AND(ISNUMBER(I197),ISNUMBER(AF197)),I197-AF197,"")</f>
        <v>15.05</v>
      </c>
      <c r="AX197" s="138">
        <f t="shared" ref="AX197:AX232" si="100">IF(AND(ISNUMBER(AM197),ISNUMBER(G197)),G197-AM197,"")</f>
        <v>2.5600000000000023</v>
      </c>
      <c r="AY197" s="57">
        <f t="shared" si="74"/>
        <v>6.49</v>
      </c>
      <c r="AZ197" s="57">
        <f t="shared" si="75"/>
        <v>1.7599999999999998</v>
      </c>
      <c r="BA197" s="84" t="str">
        <f t="shared" si="92"/>
        <v/>
      </c>
      <c r="BB197" s="84">
        <f t="shared" si="93"/>
        <v>1</v>
      </c>
      <c r="BC197" s="84">
        <f t="shared" si="94"/>
        <v>0.2239202657807309</v>
      </c>
      <c r="BD197" s="84">
        <f t="shared" si="76"/>
        <v>0.28731762065095418</v>
      </c>
      <c r="BE197" s="6" t="e">
        <f t="shared" ref="BE197:BE260" si="101">IF((AD197-AF197)/(AJ197/60)&lt;=0,"",(AD197-AF197)/(AJ197/60))</f>
        <v>#DIV/0!</v>
      </c>
      <c r="BF197" s="6" t="e">
        <f t="shared" si="77"/>
        <v>#DIV/0!</v>
      </c>
    </row>
    <row r="198" spans="1:58" s="137" customFormat="1" ht="15.75">
      <c r="A198" s="154"/>
      <c r="B198" s="134">
        <v>45458</v>
      </c>
      <c r="C198" s="133"/>
      <c r="D198" s="145">
        <v>193</v>
      </c>
      <c r="E198" s="205" t="str">
        <f t="shared" si="78"/>
        <v/>
      </c>
      <c r="F198" s="153"/>
      <c r="G198" s="153"/>
      <c r="H198" s="153"/>
      <c r="I198" s="15">
        <f t="shared" si="89"/>
        <v>14.55</v>
      </c>
      <c r="J198" s="152"/>
      <c r="K198" s="10" t="str">
        <f t="shared" si="85"/>
        <v/>
      </c>
      <c r="L198" s="9" t="str">
        <f t="shared" si="86"/>
        <v/>
      </c>
      <c r="M198" s="8" t="str">
        <f t="shared" si="87"/>
        <v/>
      </c>
      <c r="N198" s="151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  <c r="AB198" s="149">
        <v>80</v>
      </c>
      <c r="AC198" s="141"/>
      <c r="AD198" s="148">
        <f>(AD196+AD200)/2</f>
        <v>14.55</v>
      </c>
      <c r="AF198" s="148">
        <v>0</v>
      </c>
      <c r="AG198" s="147">
        <v>2.4700000000000002</v>
      </c>
      <c r="AH198" s="146">
        <v>0.46747685185185184</v>
      </c>
      <c r="AK198" s="145">
        <v>180</v>
      </c>
      <c r="AL198" s="141"/>
      <c r="AN198" s="144">
        <f t="shared" si="95"/>
        <v>100</v>
      </c>
      <c r="AO198" s="143"/>
      <c r="AP198" s="13" t="e">
        <f t="shared" si="79"/>
        <v>#DIV/0!</v>
      </c>
      <c r="AQ198" s="142" t="str">
        <f>IF(ISNUMBER([1]HRT_SRT!R252),[1]HRT_SRT!R252,"")</f>
        <v/>
      </c>
      <c r="AR198" s="140" t="e">
        <f t="shared" si="90"/>
        <v>#VALUE!</v>
      </c>
      <c r="AS198" s="139">
        <f t="shared" si="96"/>
        <v>1</v>
      </c>
      <c r="AT198" s="139">
        <f t="shared" si="97"/>
        <v>0.16975945017182131</v>
      </c>
      <c r="AU198" s="139" t="e">
        <f t="shared" si="91"/>
        <v>#DIV/0!</v>
      </c>
      <c r="AV198" s="138" t="str">
        <f t="shared" si="98"/>
        <v/>
      </c>
      <c r="AW198" s="138">
        <f t="shared" si="99"/>
        <v>14.55</v>
      </c>
      <c r="AX198" s="138" t="str">
        <f t="shared" si="100"/>
        <v/>
      </c>
      <c r="AY198" s="57" t="str">
        <f t="shared" ref="AY198:AY261" si="102">IF(AND(ISNUMBER(AC198),ISNUMBER(AE198)),AC198-AE198,"")</f>
        <v/>
      </c>
      <c r="AZ198" s="57" t="str">
        <f t="shared" ref="AZ198:AZ261" si="103">IF(AND(ISNUMBER(AL198),ISNUMBER(AM198)),AL198-AM198,"")</f>
        <v/>
      </c>
      <c r="BA198" s="84" t="str">
        <f t="shared" si="92"/>
        <v/>
      </c>
      <c r="BB198" s="84">
        <f t="shared" si="93"/>
        <v>1</v>
      </c>
      <c r="BC198" s="84">
        <f t="shared" si="94"/>
        <v>0.16975945017182131</v>
      </c>
      <c r="BD198" s="84" t="str">
        <f t="shared" ref="BD198:BD263" si="104">IF(AND($G198&gt;0,$AM198&gt;0),IF(($G198-$AM198)/$G198&gt;0,($G198-$AM198)/$G198,0),"")</f>
        <v/>
      </c>
      <c r="BE198" s="6" t="e">
        <f t="shared" si="101"/>
        <v>#DIV/0!</v>
      </c>
      <c r="BF198" s="6" t="e">
        <f t="shared" ref="BF198:BF213" si="105">IF(OR(AJ198=0,AP198=0,NOT(ISNUMBER(AD198)),NOT(ISNUMBER(AF198)),NOT(ISNUMBER(AJ198)),NOT(ISNUMBER(AP198))),"",
IFERROR(IF((AD198-AF198)/(AJ198/60)/(AP198/1000)&lt;=0,"",(AD198-AF198)/(AJ198/60)/(AP198/1000)),""))</f>
        <v>#DIV/0!</v>
      </c>
    </row>
    <row r="199" spans="1:58" s="137" customFormat="1" ht="15.75">
      <c r="A199" s="154"/>
      <c r="B199" s="134">
        <v>45459</v>
      </c>
      <c r="C199" s="133"/>
      <c r="D199" s="145">
        <v>194</v>
      </c>
      <c r="E199" s="205" t="str">
        <f t="shared" ref="E199:E262" si="106">IF(OR(S199="",S199=0),"",S199*2)</f>
        <v/>
      </c>
      <c r="F199" s="153"/>
      <c r="G199" s="153"/>
      <c r="H199" s="153"/>
      <c r="I199" s="15">
        <f t="shared" si="89"/>
        <v>13.8</v>
      </c>
      <c r="J199" s="152"/>
      <c r="K199" s="10" t="str">
        <f t="shared" si="85"/>
        <v/>
      </c>
      <c r="L199" s="9" t="str">
        <f t="shared" si="86"/>
        <v/>
      </c>
      <c r="M199" s="8" t="str">
        <f t="shared" si="87"/>
        <v/>
      </c>
      <c r="N199" s="151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  <c r="AB199" s="149">
        <v>80</v>
      </c>
      <c r="AC199" s="141"/>
      <c r="AD199" s="148">
        <f>(AD198+AD200)/2</f>
        <v>13.8</v>
      </c>
      <c r="AF199" s="148">
        <v>0</v>
      </c>
      <c r="AG199" s="147">
        <v>1.51</v>
      </c>
      <c r="AH199" s="146">
        <v>0.46620370370370373</v>
      </c>
      <c r="AK199" s="145">
        <v>180</v>
      </c>
      <c r="AL199" s="141"/>
      <c r="AN199" s="144">
        <f t="shared" si="95"/>
        <v>100</v>
      </c>
      <c r="AO199" s="143"/>
      <c r="AP199" s="13" t="e">
        <f t="shared" ref="AP199:AP262" si="107">AVERAGE(AO197:AO203)</f>
        <v>#DIV/0!</v>
      </c>
      <c r="AQ199" s="142" t="str">
        <f>IF(ISNUMBER([1]HRT_SRT!R253),[1]HRT_SRT!R253,"")</f>
        <v/>
      </c>
      <c r="AR199" s="140" t="e">
        <f t="shared" si="90"/>
        <v>#VALUE!</v>
      </c>
      <c r="AS199" s="139">
        <f t="shared" si="96"/>
        <v>1</v>
      </c>
      <c r="AT199" s="139">
        <f t="shared" si="97"/>
        <v>0.10942028985507246</v>
      </c>
      <c r="AU199" s="139" t="e">
        <f t="shared" si="91"/>
        <v>#DIV/0!</v>
      </c>
      <c r="AV199" s="138" t="str">
        <f t="shared" si="98"/>
        <v/>
      </c>
      <c r="AW199" s="138">
        <f t="shared" si="99"/>
        <v>13.8</v>
      </c>
      <c r="AX199" s="138" t="str">
        <f t="shared" si="100"/>
        <v/>
      </c>
      <c r="AY199" s="57" t="str">
        <f t="shared" si="102"/>
        <v/>
      </c>
      <c r="AZ199" s="57" t="str">
        <f t="shared" si="103"/>
        <v/>
      </c>
      <c r="BA199" s="84" t="str">
        <f t="shared" si="92"/>
        <v/>
      </c>
      <c r="BB199" s="84">
        <f t="shared" si="93"/>
        <v>1</v>
      </c>
      <c r="BC199" s="84">
        <f t="shared" si="94"/>
        <v>0.10942028985507246</v>
      </c>
      <c r="BD199" s="84" t="str">
        <f t="shared" si="104"/>
        <v/>
      </c>
      <c r="BE199" s="6" t="e">
        <f t="shared" si="101"/>
        <v>#DIV/0!</v>
      </c>
      <c r="BF199" s="6" t="e">
        <f t="shared" si="105"/>
        <v>#DIV/0!</v>
      </c>
    </row>
    <row r="200" spans="1:58" ht="15.75">
      <c r="B200" s="134">
        <v>45460</v>
      </c>
      <c r="C200" s="133"/>
      <c r="D200" s="136">
        <v>195</v>
      </c>
      <c r="E200" s="205">
        <f t="shared" si="106"/>
        <v>186.10834400000002</v>
      </c>
      <c r="G200" s="15">
        <f>(N200*18-H200*18)/9</f>
        <v>18.000000000000004</v>
      </c>
      <c r="H200" s="15">
        <v>12.1</v>
      </c>
      <c r="I200" s="15">
        <f t="shared" si="89"/>
        <v>13.049999999999999</v>
      </c>
      <c r="K200" s="10">
        <f t="shared" si="85"/>
        <v>10.339352444444444</v>
      </c>
      <c r="L200" s="9">
        <f t="shared" si="86"/>
        <v>7.1305878927203077</v>
      </c>
      <c r="M200" s="8">
        <f t="shared" si="87"/>
        <v>1.4499999999999995</v>
      </c>
      <c r="N200" s="7">
        <v>21.1</v>
      </c>
      <c r="O200" s="6">
        <v>66.882000000000005</v>
      </c>
      <c r="P200" s="6">
        <v>14.327</v>
      </c>
      <c r="Q200" s="6">
        <f>O200*1.067</f>
        <v>71.363094000000004</v>
      </c>
      <c r="R200" s="6">
        <f>P200*1.514</f>
        <v>21.691078000000001</v>
      </c>
      <c r="S200" s="23">
        <f>P200*1.514+O200*1.067</f>
        <v>93.054172000000008</v>
      </c>
      <c r="T200" s="6">
        <v>27</v>
      </c>
      <c r="W200">
        <v>1.8440000000000001</v>
      </c>
      <c r="X200" s="6">
        <v>6.75</v>
      </c>
      <c r="AB200" s="5">
        <v>80</v>
      </c>
      <c r="AC200" s="7">
        <f>T200</f>
        <v>27</v>
      </c>
      <c r="AD200" s="1">
        <f>5*2.61</f>
        <v>13.049999999999999</v>
      </c>
      <c r="AE200" s="1">
        <v>19.8</v>
      </c>
      <c r="AF200" s="1">
        <v>0</v>
      </c>
      <c r="AG200">
        <v>0.01</v>
      </c>
      <c r="AH200" s="119">
        <v>0.47916666666666669</v>
      </c>
      <c r="AK200" s="3">
        <v>180</v>
      </c>
      <c r="AL200" s="4">
        <f>AE200</f>
        <v>19.8</v>
      </c>
      <c r="AM200" s="1">
        <v>12.9</v>
      </c>
      <c r="AN200" s="80">
        <f t="shared" si="95"/>
        <v>100</v>
      </c>
      <c r="AO200" s="126"/>
      <c r="AP200" s="13">
        <f t="shared" si="107"/>
        <v>1380.0000000000182</v>
      </c>
      <c r="AQ200" s="15" t="str">
        <f>IF(ISNUMBER([1]HRT_SRT!R254),[1]HRT_SRT!R254,"")</f>
        <v/>
      </c>
      <c r="AR200" s="17">
        <f t="shared" si="90"/>
        <v>0.99009179298269401</v>
      </c>
      <c r="AS200" s="16">
        <f t="shared" si="96"/>
        <v>1</v>
      </c>
      <c r="AT200" s="16">
        <f t="shared" si="97"/>
        <v>7.6628352490421458E-4</v>
      </c>
      <c r="AU200" s="16">
        <f t="shared" si="91"/>
        <v>0.28333333333333344</v>
      </c>
      <c r="AV200" s="57">
        <f t="shared" si="98"/>
        <v>184.26434400000002</v>
      </c>
      <c r="AW200" s="57">
        <f t="shared" si="99"/>
        <v>13.049999999999999</v>
      </c>
      <c r="AX200" s="57">
        <f t="shared" si="100"/>
        <v>5.1000000000000032</v>
      </c>
      <c r="AY200" s="57">
        <f t="shared" si="102"/>
        <v>7.1999999999999993</v>
      </c>
      <c r="AZ200" s="57">
        <f t="shared" si="103"/>
        <v>6.9</v>
      </c>
      <c r="BA200" s="84">
        <f t="shared" si="92"/>
        <v>0.99009179298269401</v>
      </c>
      <c r="BB200" s="84">
        <f t="shared" si="93"/>
        <v>1</v>
      </c>
      <c r="BC200" s="84">
        <f t="shared" si="94"/>
        <v>7.6628352490421458E-4</v>
      </c>
      <c r="BD200" s="84">
        <f t="shared" si="104"/>
        <v>0.28333333333333344</v>
      </c>
      <c r="BE200" s="6" t="e">
        <f t="shared" si="101"/>
        <v>#DIV/0!</v>
      </c>
      <c r="BF200" s="6" t="str">
        <f t="shared" si="105"/>
        <v/>
      </c>
    </row>
    <row r="201" spans="1:58" ht="15.75">
      <c r="B201" s="134">
        <v>45461</v>
      </c>
      <c r="C201" s="133"/>
      <c r="D201" s="3">
        <v>196</v>
      </c>
      <c r="E201" s="205">
        <f t="shared" si="106"/>
        <v>250.325536</v>
      </c>
      <c r="G201" s="15">
        <f>(N201*18-H201*18)/9</f>
        <v>25.86</v>
      </c>
      <c r="H201" s="15">
        <v>8.57</v>
      </c>
      <c r="I201" s="15">
        <f t="shared" si="89"/>
        <v>14.9</v>
      </c>
      <c r="K201" s="10">
        <f t="shared" si="85"/>
        <v>9.680028460943543</v>
      </c>
      <c r="L201" s="9">
        <f t="shared" si="86"/>
        <v>8.4001857718120796</v>
      </c>
      <c r="M201" s="8">
        <f t="shared" si="87"/>
        <v>1.1523588553750967</v>
      </c>
      <c r="N201" s="7">
        <v>21.5</v>
      </c>
      <c r="O201" s="6">
        <v>84.921999999999997</v>
      </c>
      <c r="P201" s="6">
        <v>22.821000000000002</v>
      </c>
      <c r="Q201" s="6">
        <f>O201*1.067</f>
        <v>90.611773999999997</v>
      </c>
      <c r="R201" s="6">
        <f>P201*1.514</f>
        <v>34.550994000000003</v>
      </c>
      <c r="S201" s="23">
        <f>P201*1.514+O201*1.067</f>
        <v>125.162768</v>
      </c>
      <c r="T201" s="6">
        <v>35.299999999999997</v>
      </c>
      <c r="W201">
        <f>4.691+4.096</f>
        <v>8.786999999999999</v>
      </c>
      <c r="AB201" s="5">
        <v>80</v>
      </c>
      <c r="AC201" s="7">
        <f>T201</f>
        <v>35.299999999999997</v>
      </c>
      <c r="AD201" s="1">
        <f>5*2.98</f>
        <v>14.9</v>
      </c>
      <c r="AE201" s="1">
        <v>22.8</v>
      </c>
      <c r="AF201" s="1">
        <v>0</v>
      </c>
      <c r="AG201">
        <v>0.01</v>
      </c>
      <c r="AH201" s="119">
        <v>0.47916666666666669</v>
      </c>
      <c r="AK201" s="3">
        <v>180</v>
      </c>
      <c r="AL201" s="4">
        <f>AE201</f>
        <v>22.8</v>
      </c>
      <c r="AM201" s="1">
        <v>17.100000000000001</v>
      </c>
      <c r="AN201" s="80">
        <f t="shared" si="95"/>
        <v>100</v>
      </c>
      <c r="AO201" s="126"/>
      <c r="AP201" s="13">
        <f t="shared" si="107"/>
        <v>1380.0000000000182</v>
      </c>
      <c r="AQ201" s="15" t="str">
        <f>IF(ISNUMBER([1]HRT_SRT!R255),[1]HRT_SRT!R255,"")</f>
        <v/>
      </c>
      <c r="AR201" s="17">
        <f t="shared" si="90"/>
        <v>0.96489770823860332</v>
      </c>
      <c r="AS201" s="16">
        <f t="shared" si="96"/>
        <v>1</v>
      </c>
      <c r="AT201" s="16">
        <f t="shared" si="97"/>
        <v>6.711409395973154E-4</v>
      </c>
      <c r="AU201" s="16">
        <f t="shared" si="91"/>
        <v>0.3387470997679814</v>
      </c>
      <c r="AV201" s="57">
        <f t="shared" si="98"/>
        <v>241.53853599999999</v>
      </c>
      <c r="AW201" s="57">
        <f t="shared" si="99"/>
        <v>14.9</v>
      </c>
      <c r="AX201" s="57">
        <f t="shared" si="100"/>
        <v>8.759999999999998</v>
      </c>
      <c r="AY201" s="57">
        <f t="shared" si="102"/>
        <v>12.499999999999996</v>
      </c>
      <c r="AZ201" s="57">
        <f t="shared" si="103"/>
        <v>5.6999999999999993</v>
      </c>
      <c r="BA201" s="84">
        <f t="shared" si="92"/>
        <v>0.96489770823860332</v>
      </c>
      <c r="BB201" s="84">
        <f t="shared" si="93"/>
        <v>1</v>
      </c>
      <c r="BC201" s="84">
        <f t="shared" si="94"/>
        <v>6.711409395973154E-4</v>
      </c>
      <c r="BD201" s="84">
        <f t="shared" si="104"/>
        <v>0.3387470997679814</v>
      </c>
      <c r="BE201" s="6" t="e">
        <f t="shared" si="101"/>
        <v>#DIV/0!</v>
      </c>
      <c r="BF201" s="6" t="str">
        <f t="shared" si="105"/>
        <v/>
      </c>
    </row>
    <row r="202" spans="1:58" ht="15.75">
      <c r="B202" s="134">
        <v>45462</v>
      </c>
      <c r="C202" s="133"/>
      <c r="D202" s="3">
        <v>197</v>
      </c>
      <c r="E202" s="205">
        <f t="shared" si="106"/>
        <v>230.08207200000001</v>
      </c>
      <c r="G202" s="15">
        <f>(N202*18-H202*18)/9</f>
        <v>24.08</v>
      </c>
      <c r="H202" s="15">
        <v>8.86</v>
      </c>
      <c r="I202" s="15">
        <f t="shared" si="89"/>
        <v>15.549999999999999</v>
      </c>
      <c r="K202" s="10">
        <f t="shared" si="85"/>
        <v>9.554903322259138</v>
      </c>
      <c r="L202" s="9">
        <f t="shared" si="86"/>
        <v>7.3981373633440519</v>
      </c>
      <c r="M202" s="8">
        <f t="shared" si="87"/>
        <v>1.2915282392026579</v>
      </c>
      <c r="N202" s="7">
        <v>20.9</v>
      </c>
      <c r="O202" s="6">
        <v>78.146000000000001</v>
      </c>
      <c r="P202" s="6">
        <v>20.911000000000001</v>
      </c>
      <c r="Q202" s="6">
        <f>O202*1.067</f>
        <v>83.381782000000001</v>
      </c>
      <c r="R202" s="6">
        <f>P202*1.514</f>
        <v>31.659254000000001</v>
      </c>
      <c r="S202" s="23">
        <f>P202*1.514+O202*1.067</f>
        <v>115.04103600000001</v>
      </c>
      <c r="T202" s="6">
        <v>33.799999999999997</v>
      </c>
      <c r="W202">
        <f>4.484+4.083</f>
        <v>8.5670000000000002</v>
      </c>
      <c r="AB202" s="5">
        <v>80</v>
      </c>
      <c r="AC202" s="7">
        <f>T202</f>
        <v>33.799999999999997</v>
      </c>
      <c r="AD202" s="1">
        <f>5*3.11</f>
        <v>15.549999999999999</v>
      </c>
      <c r="AF202" s="1">
        <v>0</v>
      </c>
      <c r="AG202">
        <v>1.61</v>
      </c>
      <c r="AH202" s="119">
        <v>0.46909722222222222</v>
      </c>
      <c r="AK202" s="3">
        <v>180</v>
      </c>
      <c r="AL202" s="4">
        <f>AE202</f>
        <v>0</v>
      </c>
      <c r="AM202" s="1">
        <v>19.7</v>
      </c>
      <c r="AN202" s="80">
        <f t="shared" si="95"/>
        <v>100</v>
      </c>
      <c r="AO202" s="126"/>
      <c r="AP202" s="13">
        <f t="shared" si="107"/>
        <v>1380.0000000000182</v>
      </c>
      <c r="AQ202" s="15" t="str">
        <f>IF(ISNUMBER([1]HRT_SRT!R256),[1]HRT_SRT!R256,"")</f>
        <v/>
      </c>
      <c r="AR202" s="17">
        <f t="shared" si="90"/>
        <v>0.96276546049185441</v>
      </c>
      <c r="AS202" s="16">
        <f t="shared" si="96"/>
        <v>1</v>
      </c>
      <c r="AT202" s="16">
        <f t="shared" si="97"/>
        <v>0.10353697749196143</v>
      </c>
      <c r="AU202" s="16">
        <f t="shared" si="91"/>
        <v>0.18189368770764117</v>
      </c>
      <c r="AV202" s="57">
        <f t="shared" si="98"/>
        <v>221.515072</v>
      </c>
      <c r="AW202" s="57">
        <f t="shared" si="99"/>
        <v>15.549999999999999</v>
      </c>
      <c r="AX202" s="57">
        <f t="shared" si="100"/>
        <v>4.379999999999999</v>
      </c>
      <c r="AY202" s="57" t="str">
        <f t="shared" si="102"/>
        <v/>
      </c>
      <c r="AZ202" s="57">
        <f t="shared" si="103"/>
        <v>-19.7</v>
      </c>
      <c r="BA202" s="84">
        <f t="shared" si="92"/>
        <v>0.96276546049185441</v>
      </c>
      <c r="BB202" s="84">
        <f t="shared" si="93"/>
        <v>1</v>
      </c>
      <c r="BC202" s="84">
        <f t="shared" si="94"/>
        <v>0.10353697749196143</v>
      </c>
      <c r="BD202" s="84">
        <f t="shared" si="104"/>
        <v>0.18189368770764117</v>
      </c>
      <c r="BE202" s="6" t="e">
        <f t="shared" si="101"/>
        <v>#DIV/0!</v>
      </c>
      <c r="BF202" s="6" t="str">
        <f t="shared" si="105"/>
        <v/>
      </c>
    </row>
    <row r="203" spans="1:58" ht="15.75">
      <c r="B203" s="134">
        <v>45463</v>
      </c>
      <c r="C203" s="133"/>
      <c r="D203" s="3">
        <v>198</v>
      </c>
      <c r="E203" s="205">
        <f t="shared" si="106"/>
        <v>212.581096</v>
      </c>
      <c r="G203" s="15">
        <f>(N203*18-H203*18)/9</f>
        <v>24.799999999999997</v>
      </c>
      <c r="H203" s="15">
        <v>10.5</v>
      </c>
      <c r="I203" s="15">
        <f t="shared" si="89"/>
        <v>14.9</v>
      </c>
      <c r="K203" s="10">
        <f t="shared" si="85"/>
        <v>8.5718183870967746</v>
      </c>
      <c r="L203" s="9">
        <f t="shared" si="86"/>
        <v>7.1335938255033557</v>
      </c>
      <c r="M203" s="8">
        <f t="shared" si="87"/>
        <v>1.2016129032258067</v>
      </c>
      <c r="N203" s="7">
        <v>22.9</v>
      </c>
      <c r="O203" s="6">
        <v>72.150000000000006</v>
      </c>
      <c r="P203" s="6">
        <v>19.356999999999999</v>
      </c>
      <c r="Q203" s="6">
        <f>O203*1.067</f>
        <v>76.984049999999996</v>
      </c>
      <c r="R203" s="6">
        <f>P203*1.514</f>
        <v>29.306497999999998</v>
      </c>
      <c r="S203" s="23">
        <f>P203*1.514+O203*1.067</f>
        <v>106.290548</v>
      </c>
      <c r="T203" s="6">
        <v>34.799999999999997</v>
      </c>
      <c r="W203">
        <f>4.327+4.083</f>
        <v>8.41</v>
      </c>
      <c r="X203" s="6">
        <v>8.1</v>
      </c>
      <c r="AB203" s="5">
        <v>80</v>
      </c>
      <c r="AC203" s="7">
        <f>T203</f>
        <v>34.799999999999997</v>
      </c>
      <c r="AD203" s="1">
        <f>5*2.98</f>
        <v>14.9</v>
      </c>
      <c r="AE203" s="1">
        <v>20.2</v>
      </c>
      <c r="AF203" s="1">
        <v>0.62</v>
      </c>
      <c r="AG203">
        <v>2.15</v>
      </c>
      <c r="AH203" s="119">
        <v>0.4309027777777778</v>
      </c>
      <c r="AK203" s="3">
        <v>180</v>
      </c>
      <c r="AL203" s="4">
        <f>AE203</f>
        <v>20.2</v>
      </c>
      <c r="AM203" s="1">
        <v>17.3</v>
      </c>
      <c r="AN203" s="80">
        <f t="shared" si="95"/>
        <v>100</v>
      </c>
      <c r="AO203" s="126"/>
      <c r="AP203" s="13">
        <f t="shared" si="107"/>
        <v>1380.0000000000182</v>
      </c>
      <c r="AQ203" s="15" t="str">
        <f>IF(ISNUMBER([1]HRT_SRT!R257),[1]HRT_SRT!R257,"")</f>
        <v/>
      </c>
      <c r="AR203" s="17">
        <f t="shared" si="90"/>
        <v>0.96043862714867179</v>
      </c>
      <c r="AS203" s="16">
        <f t="shared" si="96"/>
        <v>0.95838926174496653</v>
      </c>
      <c r="AT203" s="16">
        <f t="shared" si="97"/>
        <v>0.15056022408963585</v>
      </c>
      <c r="AU203" s="16">
        <f t="shared" si="91"/>
        <v>0.30241935483870958</v>
      </c>
      <c r="AV203" s="57">
        <f t="shared" si="98"/>
        <v>204.17109600000001</v>
      </c>
      <c r="AW203" s="57">
        <f t="shared" si="99"/>
        <v>14.280000000000001</v>
      </c>
      <c r="AX203" s="57">
        <f t="shared" si="100"/>
        <v>7.4999999999999964</v>
      </c>
      <c r="AY203" s="57">
        <f t="shared" si="102"/>
        <v>14.599999999999998</v>
      </c>
      <c r="AZ203" s="57">
        <f t="shared" si="103"/>
        <v>2.8999999999999986</v>
      </c>
      <c r="BA203" s="84">
        <f t="shared" si="92"/>
        <v>0.96043862714867179</v>
      </c>
      <c r="BB203" s="84">
        <f t="shared" si="93"/>
        <v>0.95838926174496653</v>
      </c>
      <c r="BC203" s="84">
        <f t="shared" si="94"/>
        <v>0.15056022408963585</v>
      </c>
      <c r="BD203" s="84">
        <f t="shared" si="104"/>
        <v>0.30241935483870958</v>
      </c>
      <c r="BE203" s="6" t="e">
        <f t="shared" si="101"/>
        <v>#DIV/0!</v>
      </c>
      <c r="BF203" s="6" t="str">
        <f t="shared" si="105"/>
        <v/>
      </c>
    </row>
    <row r="204" spans="1:58" ht="15.75">
      <c r="A204" s="112"/>
      <c r="B204" s="134">
        <v>45464</v>
      </c>
      <c r="C204" s="133"/>
      <c r="D204" s="3">
        <v>199</v>
      </c>
      <c r="E204" s="205">
        <f t="shared" si="106"/>
        <v>252.70779199999998</v>
      </c>
      <c r="G204" s="15">
        <f>(N204*18-H204*18)/9</f>
        <v>23.52</v>
      </c>
      <c r="H204" s="9">
        <v>9.74</v>
      </c>
      <c r="I204" s="15">
        <f t="shared" si="89"/>
        <v>13.55</v>
      </c>
      <c r="K204" s="10">
        <f t="shared" si="85"/>
        <v>10.744378911564626</v>
      </c>
      <c r="L204" s="9">
        <f t="shared" si="86"/>
        <v>9.3250107749077475</v>
      </c>
      <c r="M204" s="8">
        <f t="shared" si="87"/>
        <v>1.1522108843537415</v>
      </c>
      <c r="N204" s="7">
        <v>21.5</v>
      </c>
      <c r="O204" s="6">
        <v>86.507999999999996</v>
      </c>
      <c r="P204" s="6">
        <v>22.49</v>
      </c>
      <c r="Q204" s="6">
        <f>O204*1.067</f>
        <v>92.304035999999996</v>
      </c>
      <c r="R204" s="6">
        <f>P204*1.514</f>
        <v>34.049859999999995</v>
      </c>
      <c r="S204" s="23">
        <f>P204*1.514+O204*1.067</f>
        <v>126.35389599999999</v>
      </c>
      <c r="T204" s="6">
        <v>32</v>
      </c>
      <c r="W204">
        <f>4.546+4.072</f>
        <v>8.6180000000000003</v>
      </c>
      <c r="X204" s="6">
        <v>8.56</v>
      </c>
      <c r="AB204" s="5">
        <v>80</v>
      </c>
      <c r="AC204" s="4">
        <f>T204</f>
        <v>32</v>
      </c>
      <c r="AD204" s="1">
        <f>5*2.71</f>
        <v>13.55</v>
      </c>
      <c r="AE204" s="1">
        <v>21.5</v>
      </c>
      <c r="AF204" s="1">
        <v>2.42</v>
      </c>
      <c r="AG204">
        <v>2.36</v>
      </c>
      <c r="AH204" s="119">
        <v>0.44039351851851855</v>
      </c>
      <c r="AK204" s="3">
        <v>180</v>
      </c>
      <c r="AL204" s="4">
        <f>AE204</f>
        <v>21.5</v>
      </c>
      <c r="AM204" s="1">
        <v>19.600000000000001</v>
      </c>
      <c r="AN204" s="80">
        <f t="shared" si="95"/>
        <v>100</v>
      </c>
      <c r="AO204" s="126">
        <f>[1]HRT_SRT!P258</f>
        <v>1380.0000000000182</v>
      </c>
      <c r="AP204" s="13">
        <f t="shared" si="107"/>
        <v>1380.0000000000182</v>
      </c>
      <c r="AQ204" s="15">
        <f>IF(ISNUMBER([1]HRT_SRT!R258),[1]HRT_SRT!R258,"")</f>
        <v>23.10783657066391</v>
      </c>
      <c r="AR204" s="17">
        <f t="shared" si="90"/>
        <v>0.96589737130068398</v>
      </c>
      <c r="AS204" s="16">
        <f t="shared" si="96"/>
        <v>0.8214022140221402</v>
      </c>
      <c r="AT204" s="16">
        <f t="shared" si="97"/>
        <v>0.21203953279424975</v>
      </c>
      <c r="AU204" s="16">
        <f t="shared" si="91"/>
        <v>0.1666666666666666</v>
      </c>
      <c r="AV204" s="57">
        <f t="shared" si="98"/>
        <v>244.08979199999999</v>
      </c>
      <c r="AW204" s="57">
        <f t="shared" si="99"/>
        <v>11.13</v>
      </c>
      <c r="AX204" s="57">
        <f t="shared" si="100"/>
        <v>3.9199999999999982</v>
      </c>
      <c r="AY204" s="57">
        <f t="shared" si="102"/>
        <v>10.5</v>
      </c>
      <c r="AZ204" s="57">
        <f t="shared" si="103"/>
        <v>1.8999999999999986</v>
      </c>
      <c r="BA204" s="84">
        <f t="shared" si="92"/>
        <v>0.96589737130068398</v>
      </c>
      <c r="BB204" s="84">
        <f t="shared" si="93"/>
        <v>0.8214022140221402</v>
      </c>
      <c r="BC204" s="84">
        <f t="shared" si="94"/>
        <v>0.21203953279424975</v>
      </c>
      <c r="BD204" s="84">
        <f t="shared" si="104"/>
        <v>0.1666666666666666</v>
      </c>
      <c r="BE204" s="6" t="e">
        <f t="shared" si="101"/>
        <v>#DIV/0!</v>
      </c>
      <c r="BF204" s="6" t="str">
        <f t="shared" si="105"/>
        <v/>
      </c>
    </row>
    <row r="205" spans="1:58" ht="15.75">
      <c r="B205" s="134">
        <v>45465</v>
      </c>
      <c r="C205" s="133"/>
      <c r="D205" s="3">
        <v>200</v>
      </c>
      <c r="E205" s="205" t="str">
        <f t="shared" si="106"/>
        <v/>
      </c>
      <c r="I205" s="15">
        <f t="shared" si="89"/>
        <v>13.233333333333334</v>
      </c>
      <c r="K205" s="10" t="str">
        <f t="shared" si="85"/>
        <v/>
      </c>
      <c r="L205" s="9" t="str">
        <f t="shared" si="86"/>
        <v/>
      </c>
      <c r="M205" s="8" t="str">
        <f t="shared" si="87"/>
        <v/>
      </c>
      <c r="X205" s="6">
        <v>4.3899999999999997</v>
      </c>
      <c r="AB205" s="5">
        <v>80</v>
      </c>
      <c r="AD205" s="135">
        <f>(AD204*2/3+AD208*1/3)</f>
        <v>13.233333333333334</v>
      </c>
      <c r="AF205" s="135">
        <f>(AF204*2/3+AF207*1/3)</f>
        <v>3.166666666666667</v>
      </c>
      <c r="AG205">
        <v>2.71</v>
      </c>
      <c r="AH205" s="119">
        <v>0.44976851851851851</v>
      </c>
      <c r="AK205" s="3">
        <v>180</v>
      </c>
      <c r="AN205" s="80">
        <f t="shared" si="95"/>
        <v>100</v>
      </c>
      <c r="AO205" s="126"/>
      <c r="AP205" s="13">
        <f t="shared" si="107"/>
        <v>1160.0000000000136</v>
      </c>
      <c r="AQ205" s="15" t="str">
        <f>IF(ISNUMBER([1]HRT_SRT!R259),[1]HRT_SRT!R259,"")</f>
        <v/>
      </c>
      <c r="AR205" s="17" t="e">
        <f t="shared" si="90"/>
        <v>#VALUE!</v>
      </c>
      <c r="AS205" s="16">
        <f t="shared" si="96"/>
        <v>0.76070528967254403</v>
      </c>
      <c r="AT205" s="16">
        <f t="shared" si="97"/>
        <v>0.26920529801324505</v>
      </c>
      <c r="AU205" s="16" t="e">
        <f t="shared" si="91"/>
        <v>#DIV/0!</v>
      </c>
      <c r="AV205" s="57" t="str">
        <f t="shared" si="98"/>
        <v/>
      </c>
      <c r="AW205" s="57">
        <f t="shared" si="99"/>
        <v>10.066666666666666</v>
      </c>
      <c r="AX205" s="57" t="str">
        <f t="shared" si="100"/>
        <v/>
      </c>
      <c r="AY205" s="57" t="str">
        <f t="shared" si="102"/>
        <v/>
      </c>
      <c r="AZ205" s="57" t="str">
        <f t="shared" si="103"/>
        <v/>
      </c>
      <c r="BA205" s="84" t="str">
        <f t="shared" si="92"/>
        <v/>
      </c>
      <c r="BB205" s="84">
        <f t="shared" si="93"/>
        <v>0.76070528967254403</v>
      </c>
      <c r="BC205" s="84">
        <f t="shared" si="94"/>
        <v>0.26920529801324505</v>
      </c>
      <c r="BD205" s="84" t="str">
        <f t="shared" si="104"/>
        <v/>
      </c>
      <c r="BE205" s="6" t="e">
        <f t="shared" si="101"/>
        <v>#DIV/0!</v>
      </c>
      <c r="BF205" s="6" t="str">
        <f t="shared" si="105"/>
        <v/>
      </c>
    </row>
    <row r="206" spans="1:58" ht="15.75">
      <c r="B206" s="134">
        <v>45466</v>
      </c>
      <c r="C206" s="133"/>
      <c r="D206" s="3">
        <v>201</v>
      </c>
      <c r="E206" s="205" t="str">
        <f t="shared" si="106"/>
        <v/>
      </c>
      <c r="I206" s="15">
        <f t="shared" si="89"/>
        <v>13.074999999999999</v>
      </c>
      <c r="K206" s="10" t="str">
        <f t="shared" si="85"/>
        <v/>
      </c>
      <c r="L206" s="9" t="str">
        <f t="shared" si="86"/>
        <v/>
      </c>
      <c r="M206" s="8" t="str">
        <f t="shared" si="87"/>
        <v/>
      </c>
      <c r="X206" s="6">
        <v>4.1500000000000004</v>
      </c>
      <c r="AB206" s="5">
        <v>80</v>
      </c>
      <c r="AD206" s="135">
        <f>(AD204+AD208)/2</f>
        <v>13.074999999999999</v>
      </c>
      <c r="AF206" s="135">
        <f>(AF204*1/3+AF207*2/3)</f>
        <v>3.9133333333333336</v>
      </c>
      <c r="AG206">
        <v>0.14000000000000001</v>
      </c>
      <c r="AH206" s="119">
        <v>0.47916666666666669</v>
      </c>
      <c r="AK206" s="3">
        <v>180</v>
      </c>
      <c r="AN206" s="80">
        <f t="shared" si="95"/>
        <v>100</v>
      </c>
      <c r="AO206" s="126"/>
      <c r="AP206" s="13">
        <f t="shared" si="107"/>
        <v>1160.0000000000136</v>
      </c>
      <c r="AQ206" s="15" t="str">
        <f>IF(ISNUMBER([1]HRT_SRT!R260),[1]HRT_SRT!R260,"")</f>
        <v/>
      </c>
      <c r="AR206" s="17" t="e">
        <f t="shared" si="90"/>
        <v>#VALUE!</v>
      </c>
      <c r="AS206" s="16">
        <f t="shared" si="96"/>
        <v>0.70070108349267046</v>
      </c>
      <c r="AT206" s="16">
        <f t="shared" si="97"/>
        <v>1.5281062397671462E-2</v>
      </c>
      <c r="AU206" s="16" t="e">
        <f t="shared" si="91"/>
        <v>#DIV/0!</v>
      </c>
      <c r="AV206" s="57" t="str">
        <f t="shared" si="98"/>
        <v/>
      </c>
      <c r="AW206" s="57">
        <f t="shared" si="99"/>
        <v>9.1616666666666653</v>
      </c>
      <c r="AX206" s="57" t="str">
        <f t="shared" si="100"/>
        <v/>
      </c>
      <c r="AY206" s="57" t="str">
        <f t="shared" si="102"/>
        <v/>
      </c>
      <c r="AZ206" s="57" t="str">
        <f t="shared" si="103"/>
        <v/>
      </c>
      <c r="BA206" s="84" t="str">
        <f t="shared" si="92"/>
        <v/>
      </c>
      <c r="BB206" s="84">
        <f t="shared" si="93"/>
        <v>0.70070108349267046</v>
      </c>
      <c r="BC206" s="84">
        <f t="shared" si="94"/>
        <v>1.5281062397671462E-2</v>
      </c>
      <c r="BD206" s="84" t="str">
        <f t="shared" si="104"/>
        <v/>
      </c>
      <c r="BE206" s="6" t="e">
        <f t="shared" si="101"/>
        <v>#DIV/0!</v>
      </c>
      <c r="BF206" s="6" t="str">
        <f t="shared" si="105"/>
        <v/>
      </c>
    </row>
    <row r="207" spans="1:58" ht="15.75">
      <c r="A207" s="12" t="s">
        <v>120</v>
      </c>
      <c r="B207" s="134">
        <v>45467</v>
      </c>
      <c r="C207" s="133"/>
      <c r="D207" s="3">
        <v>202</v>
      </c>
      <c r="E207" s="205">
        <f t="shared" si="106"/>
        <v>226.66494600000001</v>
      </c>
      <c r="G207" s="15">
        <f>(N207*18-H207*18)/9</f>
        <v>20.700000000000003</v>
      </c>
      <c r="H207" s="9">
        <v>5.95</v>
      </c>
      <c r="I207" s="15">
        <f t="shared" si="89"/>
        <v>12.2</v>
      </c>
      <c r="K207" s="10">
        <f t="shared" si="85"/>
        <v>10.949997391304347</v>
      </c>
      <c r="L207" s="9">
        <f t="shared" si="86"/>
        <v>9.2895469672131163</v>
      </c>
      <c r="M207" s="8">
        <f t="shared" si="87"/>
        <v>1.1787439613526567</v>
      </c>
      <c r="N207" s="7">
        <v>16.3</v>
      </c>
      <c r="O207" s="6">
        <v>80.373000000000005</v>
      </c>
      <c r="P207" s="6">
        <v>18.213000000000001</v>
      </c>
      <c r="Q207" s="6">
        <f>O207*1.067</f>
        <v>85.757991000000004</v>
      </c>
      <c r="R207" s="6">
        <f>P207*1.514</f>
        <v>27.574482000000003</v>
      </c>
      <c r="S207" s="23">
        <f>P207*1.514+O207*1.067</f>
        <v>113.33247300000001</v>
      </c>
      <c r="T207" s="6">
        <v>25</v>
      </c>
      <c r="W207">
        <f>1.571+0.508</f>
        <v>2.0789999999999997</v>
      </c>
      <c r="X207" s="6">
        <v>6.62</v>
      </c>
      <c r="AB207" s="5">
        <v>80</v>
      </c>
      <c r="AC207" s="7">
        <f>T207</f>
        <v>25</v>
      </c>
      <c r="AD207" s="1">
        <f>5*2.44</f>
        <v>12.2</v>
      </c>
      <c r="AE207" s="1">
        <v>19.100000000000001</v>
      </c>
      <c r="AF207" s="1">
        <v>4.66</v>
      </c>
      <c r="AG207" s="1">
        <v>0.01</v>
      </c>
      <c r="AH207" s="119">
        <v>0.47916666666666669</v>
      </c>
      <c r="AK207" s="3">
        <v>180</v>
      </c>
      <c r="AL207" s="4">
        <f>AE207</f>
        <v>19.100000000000001</v>
      </c>
      <c r="AM207" s="1">
        <v>17.899999999999999</v>
      </c>
      <c r="AN207" s="80">
        <f t="shared" si="95"/>
        <v>100</v>
      </c>
      <c r="AO207" s="126"/>
      <c r="AP207" s="13">
        <f t="shared" si="107"/>
        <v>940.00000000000909</v>
      </c>
      <c r="AQ207" s="15" t="str">
        <f>IF(ISNUMBER([1]HRT_SRT!R261),[1]HRT_SRT!R261,"")</f>
        <v/>
      </c>
      <c r="AR207" s="17">
        <f t="shared" si="90"/>
        <v>0.99082787154922491</v>
      </c>
      <c r="AS207" s="16">
        <f t="shared" si="96"/>
        <v>0.61803278688524588</v>
      </c>
      <c r="AT207" s="16">
        <f t="shared" si="97"/>
        <v>1.3262599469496023E-3</v>
      </c>
      <c r="AU207" s="16">
        <f t="shared" si="91"/>
        <v>0.13526570048309197</v>
      </c>
      <c r="AV207" s="57">
        <f t="shared" si="98"/>
        <v>224.58594600000001</v>
      </c>
      <c r="AW207" s="57">
        <f t="shared" si="99"/>
        <v>7.5399999999999991</v>
      </c>
      <c r="AX207" s="57">
        <f t="shared" si="100"/>
        <v>2.8000000000000043</v>
      </c>
      <c r="AY207" s="57">
        <f t="shared" si="102"/>
        <v>5.8999999999999986</v>
      </c>
      <c r="AZ207" s="57">
        <f t="shared" si="103"/>
        <v>1.2000000000000028</v>
      </c>
      <c r="BA207" s="84">
        <f t="shared" si="92"/>
        <v>0.99082787154922491</v>
      </c>
      <c r="BB207" s="84">
        <f t="shared" si="93"/>
        <v>0.61803278688524588</v>
      </c>
      <c r="BC207" s="84">
        <f t="shared" si="94"/>
        <v>1.3262599469496023E-3</v>
      </c>
      <c r="BD207" s="84">
        <f t="shared" si="104"/>
        <v>0.13526570048309197</v>
      </c>
      <c r="BE207" s="6" t="e">
        <f t="shared" si="101"/>
        <v>#DIV/0!</v>
      </c>
      <c r="BF207" s="6" t="str">
        <f t="shared" si="105"/>
        <v/>
      </c>
    </row>
    <row r="208" spans="1:58" ht="15.75">
      <c r="B208" s="134">
        <v>45468</v>
      </c>
      <c r="C208" s="133"/>
      <c r="D208" s="3">
        <v>203</v>
      </c>
      <c r="E208" s="205">
        <f t="shared" si="106"/>
        <v>248.18599599999999</v>
      </c>
      <c r="G208" s="15">
        <f>(N208*18-H208*18)/9</f>
        <v>23.599999999999994</v>
      </c>
      <c r="H208" s="9">
        <v>12.9</v>
      </c>
      <c r="I208" s="15">
        <f t="shared" si="89"/>
        <v>12.6</v>
      </c>
      <c r="K208" s="10">
        <f t="shared" si="85"/>
        <v>10.516355762711866</v>
      </c>
      <c r="L208" s="9">
        <f t="shared" si="86"/>
        <v>9.8486506349206344</v>
      </c>
      <c r="M208" s="8">
        <f t="shared" si="87"/>
        <v>1.0677966101694918</v>
      </c>
      <c r="N208" s="7">
        <v>24.7</v>
      </c>
      <c r="O208" s="6">
        <v>79.542000000000002</v>
      </c>
      <c r="P208" s="6">
        <v>25.905999999999999</v>
      </c>
      <c r="Q208" s="6">
        <f>O208*1.067</f>
        <v>84.871313999999998</v>
      </c>
      <c r="R208" s="6">
        <f>P208*1.514</f>
        <v>39.221683999999996</v>
      </c>
      <c r="S208" s="23">
        <f>P208*1.514+O208*1.067</f>
        <v>124.09299799999999</v>
      </c>
      <c r="T208" s="6">
        <v>33.700000000000003</v>
      </c>
      <c r="W208">
        <f>0.577+0.43</f>
        <v>1.0069999999999999</v>
      </c>
      <c r="AB208" s="5">
        <v>80</v>
      </c>
      <c r="AC208" s="7">
        <f>T208</f>
        <v>33.700000000000003</v>
      </c>
      <c r="AD208" s="1">
        <f>5*2.52</f>
        <v>12.6</v>
      </c>
      <c r="AE208" s="1">
        <v>25.3</v>
      </c>
      <c r="AF208" s="1">
        <v>4.41</v>
      </c>
      <c r="AG208">
        <v>1.25</v>
      </c>
      <c r="AH208" s="119">
        <v>0.46875</v>
      </c>
      <c r="AK208" s="3">
        <v>180</v>
      </c>
      <c r="AL208" s="4">
        <f>AE208</f>
        <v>25.3</v>
      </c>
      <c r="AM208" s="1">
        <v>24.2</v>
      </c>
      <c r="AN208" s="80">
        <f t="shared" si="95"/>
        <v>100</v>
      </c>
      <c r="AO208" s="126"/>
      <c r="AP208" s="13">
        <f t="shared" si="107"/>
        <v>940.00000000000909</v>
      </c>
      <c r="AQ208" s="15" t="str">
        <f>IF(ISNUMBER([1]HRT_SRT!R262),[1]HRT_SRT!R262,"")</f>
        <v/>
      </c>
      <c r="AR208" s="17">
        <f t="shared" si="90"/>
        <v>0.99594255914423147</v>
      </c>
      <c r="AS208" s="16">
        <f t="shared" si="96"/>
        <v>0.65</v>
      </c>
      <c r="AT208" s="16">
        <f t="shared" si="97"/>
        <v>0.15262515262515264</v>
      </c>
      <c r="AU208" s="16">
        <f t="shared" si="91"/>
        <v>-2.5423728813559539E-2</v>
      </c>
      <c r="AV208" s="57">
        <f t="shared" si="98"/>
        <v>247.17899599999998</v>
      </c>
      <c r="AW208" s="57">
        <f t="shared" si="99"/>
        <v>8.19</v>
      </c>
      <c r="AX208" s="57">
        <f t="shared" si="100"/>
        <v>-0.60000000000000497</v>
      </c>
      <c r="AY208" s="57">
        <f t="shared" si="102"/>
        <v>8.4000000000000021</v>
      </c>
      <c r="AZ208" s="57">
        <f t="shared" si="103"/>
        <v>1.1000000000000014</v>
      </c>
      <c r="BA208" s="84">
        <f t="shared" si="92"/>
        <v>0.99594255914423147</v>
      </c>
      <c r="BB208" s="84">
        <f t="shared" si="93"/>
        <v>0.65</v>
      </c>
      <c r="BC208" s="84">
        <f t="shared" si="94"/>
        <v>0.15262515262515264</v>
      </c>
      <c r="BD208" s="84">
        <f t="shared" si="104"/>
        <v>0</v>
      </c>
      <c r="BE208" s="6" t="e">
        <f t="shared" si="101"/>
        <v>#DIV/0!</v>
      </c>
      <c r="BF208" s="6" t="str">
        <f t="shared" si="105"/>
        <v/>
      </c>
    </row>
    <row r="209" spans="1:58" ht="15.75">
      <c r="B209" s="134">
        <v>45469</v>
      </c>
      <c r="C209" s="133"/>
      <c r="D209" s="3">
        <v>204</v>
      </c>
      <c r="E209" s="205">
        <f t="shared" si="106"/>
        <v>236.518486</v>
      </c>
      <c r="G209" s="15">
        <f>(N209*18-H209*18)/9</f>
        <v>22.200000000000006</v>
      </c>
      <c r="H209" s="9">
        <v>16.2</v>
      </c>
      <c r="I209" s="15">
        <f t="shared" si="89"/>
        <v>12</v>
      </c>
      <c r="K209" s="10">
        <f t="shared" si="85"/>
        <v>10.653985855855852</v>
      </c>
      <c r="L209" s="9">
        <f t="shared" si="86"/>
        <v>9.8549369166666665</v>
      </c>
      <c r="M209" s="8">
        <f t="shared" si="87"/>
        <v>1.0810810810810807</v>
      </c>
      <c r="N209" s="7">
        <v>27.3</v>
      </c>
      <c r="O209" s="6">
        <v>83.641000000000005</v>
      </c>
      <c r="P209" s="6">
        <v>19.164000000000001</v>
      </c>
      <c r="Q209" s="6">
        <f>O209*1.067</f>
        <v>89.244946999999996</v>
      </c>
      <c r="R209" s="6">
        <f>P209*1.514</f>
        <v>29.014296000000002</v>
      </c>
      <c r="S209" s="23">
        <f>P209*1.514+O209*1.067</f>
        <v>118.259243</v>
      </c>
      <c r="T209" s="6">
        <v>33.6</v>
      </c>
      <c r="W209">
        <f>8.694+0.435</f>
        <v>9.1290000000000013</v>
      </c>
      <c r="AB209" s="5">
        <v>80</v>
      </c>
      <c r="AC209" s="7">
        <f>T209</f>
        <v>33.6</v>
      </c>
      <c r="AD209" s="1">
        <f>5*2.4</f>
        <v>12</v>
      </c>
      <c r="AE209" s="1">
        <v>29.3</v>
      </c>
      <c r="AF209" s="1">
        <v>2.44</v>
      </c>
      <c r="AG209">
        <v>0.64</v>
      </c>
      <c r="AH209" s="119">
        <v>0.45104166666666667</v>
      </c>
      <c r="AK209" s="3">
        <v>180</v>
      </c>
      <c r="AL209" s="4">
        <f>AE209</f>
        <v>29.3</v>
      </c>
      <c r="AM209" s="1">
        <v>28.7</v>
      </c>
      <c r="AN209" s="80">
        <f t="shared" si="95"/>
        <v>100</v>
      </c>
      <c r="AO209" s="126">
        <f>[1]HRT_SRT!P263</f>
        <v>940.00000000000909</v>
      </c>
      <c r="AP209" s="13">
        <f t="shared" si="107"/>
        <v>940.00000000000909</v>
      </c>
      <c r="AQ209" s="15">
        <f>IF(ISNUMBER([1]HRT_SRT!R263),[1]HRT_SRT!R263,"")</f>
        <v>17.172783371223936</v>
      </c>
      <c r="AR209" s="17">
        <f t="shared" si="90"/>
        <v>0.96140259412957685</v>
      </c>
      <c r="AS209" s="16">
        <f t="shared" si="96"/>
        <v>0.79666666666666675</v>
      </c>
      <c r="AT209" s="16">
        <f t="shared" si="97"/>
        <v>6.6945606694560664E-2</v>
      </c>
      <c r="AU209" s="16">
        <f t="shared" si="91"/>
        <v>-0.29279279279279241</v>
      </c>
      <c r="AV209" s="57">
        <f t="shared" si="98"/>
        <v>227.38948600000001</v>
      </c>
      <c r="AW209" s="57">
        <f t="shared" si="99"/>
        <v>9.56</v>
      </c>
      <c r="AX209" s="57">
        <f t="shared" si="100"/>
        <v>-6.4999999999999929</v>
      </c>
      <c r="AY209" s="57">
        <f t="shared" si="102"/>
        <v>4.3000000000000007</v>
      </c>
      <c r="AZ209" s="57">
        <f t="shared" si="103"/>
        <v>0.60000000000000142</v>
      </c>
      <c r="BA209" s="84">
        <f t="shared" si="92"/>
        <v>0.96140259412957685</v>
      </c>
      <c r="BB209" s="84">
        <f t="shared" si="93"/>
        <v>0.79666666666666675</v>
      </c>
      <c r="BC209" s="84">
        <f t="shared" si="94"/>
        <v>6.6945606694560664E-2</v>
      </c>
      <c r="BD209" s="84">
        <f t="shared" si="104"/>
        <v>0</v>
      </c>
      <c r="BE209" s="6" t="e">
        <f t="shared" si="101"/>
        <v>#DIV/0!</v>
      </c>
      <c r="BF209" s="6" t="str">
        <f t="shared" si="105"/>
        <v/>
      </c>
    </row>
    <row r="210" spans="1:58" ht="15.75">
      <c r="B210" s="134">
        <v>45470</v>
      </c>
      <c r="C210" s="133"/>
      <c r="D210" s="3">
        <v>205</v>
      </c>
      <c r="E210" s="205">
        <f t="shared" si="106"/>
        <v>238.04884000000001</v>
      </c>
      <c r="G210" s="15">
        <f>2*13.1</f>
        <v>26.2</v>
      </c>
      <c r="I210" s="15">
        <f t="shared" ref="I210:I241" si="108">AD210</f>
        <v>13.149999999999999</v>
      </c>
      <c r="K210" s="10">
        <f t="shared" si="85"/>
        <v>9.0858335877862597</v>
      </c>
      <c r="L210" s="9">
        <f t="shared" si="86"/>
        <v>9.0512866920152106</v>
      </c>
      <c r="M210" s="8">
        <f t="shared" si="87"/>
        <v>1.0038167938931297</v>
      </c>
      <c r="O210" s="6">
        <v>83.494</v>
      </c>
      <c r="P210" s="6">
        <v>19.773</v>
      </c>
      <c r="Q210" s="6">
        <f>O210*1.067</f>
        <v>89.088098000000002</v>
      </c>
      <c r="R210" s="6">
        <f>P210*1.514</f>
        <v>29.936322000000001</v>
      </c>
      <c r="S210" s="23">
        <f>P210*1.514+O210*1.067</f>
        <v>119.02442000000001</v>
      </c>
      <c r="T210" s="6">
        <v>33.799999999999997</v>
      </c>
      <c r="W210">
        <f>0.424+0.572</f>
        <v>0.996</v>
      </c>
      <c r="X210" s="6">
        <v>6.13</v>
      </c>
      <c r="AB210" s="5">
        <v>80</v>
      </c>
      <c r="AC210" s="7">
        <f>T210</f>
        <v>33.799999999999997</v>
      </c>
      <c r="AD210" s="1">
        <f>5*2.63</f>
        <v>13.149999999999999</v>
      </c>
      <c r="AE210" s="1">
        <v>28.1</v>
      </c>
      <c r="AF210" s="1">
        <v>2.27</v>
      </c>
      <c r="AG210" s="1">
        <v>0</v>
      </c>
      <c r="AH210" s="119">
        <v>0.47974537037037035</v>
      </c>
      <c r="AK210" s="3">
        <v>180</v>
      </c>
      <c r="AL210" s="4">
        <f>AE210</f>
        <v>28.1</v>
      </c>
      <c r="AM210" s="1">
        <v>24.8</v>
      </c>
      <c r="AN210" s="80">
        <f t="shared" si="95"/>
        <v>100</v>
      </c>
      <c r="AO210" s="126"/>
      <c r="AP210" s="13">
        <f t="shared" si="107"/>
        <v>940.00000000000909</v>
      </c>
      <c r="AQ210" s="15" t="str">
        <f>IF(ISNUMBER([1]HRT_SRT!R264),[1]HRT_SRT!R264,"")</f>
        <v/>
      </c>
      <c r="AR210" s="17">
        <f t="shared" si="90"/>
        <v>0.99581598465256116</v>
      </c>
      <c r="AS210" s="16">
        <f t="shared" si="96"/>
        <v>0.8273764258555133</v>
      </c>
      <c r="AT210" s="16">
        <f t="shared" si="97"/>
        <v>0</v>
      </c>
      <c r="AU210" s="16">
        <f t="shared" si="91"/>
        <v>5.3435114503816744E-2</v>
      </c>
      <c r="AV210" s="57">
        <f t="shared" si="98"/>
        <v>237.05284</v>
      </c>
      <c r="AW210" s="57">
        <f t="shared" si="99"/>
        <v>10.879999999999999</v>
      </c>
      <c r="AX210" s="57">
        <f t="shared" si="100"/>
        <v>1.3999999999999986</v>
      </c>
      <c r="AY210" s="57">
        <f t="shared" si="102"/>
        <v>5.6999999999999957</v>
      </c>
      <c r="AZ210" s="57">
        <f t="shared" si="103"/>
        <v>3.3000000000000007</v>
      </c>
      <c r="BA210" s="84">
        <f t="shared" si="92"/>
        <v>0.99581598465256116</v>
      </c>
      <c r="BB210" s="84">
        <f t="shared" si="93"/>
        <v>0.8273764258555133</v>
      </c>
      <c r="BC210" s="84">
        <f t="shared" si="94"/>
        <v>0</v>
      </c>
      <c r="BD210" s="84">
        <f t="shared" si="104"/>
        <v>5.3435114503816744E-2</v>
      </c>
      <c r="BE210" s="6" t="e">
        <f t="shared" si="101"/>
        <v>#DIV/0!</v>
      </c>
      <c r="BF210" s="6" t="str">
        <f t="shared" si="105"/>
        <v/>
      </c>
    </row>
    <row r="211" spans="1:58" ht="15.75">
      <c r="B211" s="134">
        <v>45471</v>
      </c>
      <c r="C211" s="133"/>
      <c r="D211" s="3">
        <v>206</v>
      </c>
      <c r="E211" s="205" t="str">
        <f t="shared" si="106"/>
        <v/>
      </c>
      <c r="G211" s="15">
        <f>(N211*18-H211*18)/9</f>
        <v>0</v>
      </c>
      <c r="I211" s="15">
        <f t="shared" si="108"/>
        <v>0</v>
      </c>
      <c r="K211" s="10" t="str">
        <f t="shared" si="85"/>
        <v/>
      </c>
      <c r="L211" s="9" t="str">
        <f t="shared" si="86"/>
        <v/>
      </c>
      <c r="M211" s="8" t="str">
        <f t="shared" si="87"/>
        <v/>
      </c>
      <c r="AB211" s="5">
        <v>80</v>
      </c>
      <c r="AC211" s="7">
        <f>T211</f>
        <v>0</v>
      </c>
      <c r="AG211" s="1">
        <v>0</v>
      </c>
      <c r="AH211" s="119">
        <v>0.52141203703703698</v>
      </c>
      <c r="AK211" s="3">
        <v>180</v>
      </c>
      <c r="AN211" s="80">
        <f t="shared" si="95"/>
        <v>100</v>
      </c>
      <c r="AO211" s="126"/>
      <c r="AP211" s="13">
        <f t="shared" si="107"/>
        <v>1050.0000000000227</v>
      </c>
      <c r="AQ211" s="15" t="str">
        <f>IF(ISNUMBER([1]HRT_SRT!R265),[1]HRT_SRT!R265,"")</f>
        <v/>
      </c>
      <c r="AR211" s="17" t="e">
        <f t="shared" si="90"/>
        <v>#VALUE!</v>
      </c>
      <c r="AS211" s="16" t="e">
        <f t="shared" si="96"/>
        <v>#DIV/0!</v>
      </c>
      <c r="AT211" s="16" t="e">
        <f t="shared" si="97"/>
        <v>#DIV/0!</v>
      </c>
      <c r="AU211" s="16" t="e">
        <f t="shared" si="91"/>
        <v>#DIV/0!</v>
      </c>
      <c r="AV211" s="57" t="str">
        <f t="shared" si="98"/>
        <v/>
      </c>
      <c r="AW211" s="57" t="str">
        <f t="shared" si="99"/>
        <v/>
      </c>
      <c r="AX211" s="57" t="str">
        <f t="shared" si="100"/>
        <v/>
      </c>
      <c r="AY211" s="57" t="str">
        <f t="shared" si="102"/>
        <v/>
      </c>
      <c r="AZ211" s="57" t="str">
        <f t="shared" si="103"/>
        <v/>
      </c>
      <c r="BA211" s="84" t="str">
        <f t="shared" si="92"/>
        <v/>
      </c>
      <c r="BB211" s="84" t="str">
        <f t="shared" si="93"/>
        <v/>
      </c>
      <c r="BC211" s="84"/>
      <c r="BD211" s="84" t="str">
        <f t="shared" si="104"/>
        <v/>
      </c>
      <c r="BE211" s="6" t="e">
        <f t="shared" si="101"/>
        <v>#DIV/0!</v>
      </c>
      <c r="BF211" s="6" t="str">
        <f t="shared" si="105"/>
        <v/>
      </c>
    </row>
    <row r="212" spans="1:58" ht="15.75">
      <c r="B212" s="134">
        <v>45472</v>
      </c>
      <c r="C212" s="133"/>
      <c r="D212" s="3">
        <v>207</v>
      </c>
      <c r="E212" s="205" t="str">
        <f t="shared" si="106"/>
        <v/>
      </c>
      <c r="I212" s="15">
        <f t="shared" si="108"/>
        <v>0</v>
      </c>
      <c r="K212" s="10" t="str">
        <f t="shared" si="85"/>
        <v/>
      </c>
      <c r="L212" s="9" t="str">
        <f t="shared" si="86"/>
        <v/>
      </c>
      <c r="M212" s="8" t="str">
        <f t="shared" si="87"/>
        <v/>
      </c>
      <c r="AB212" s="5">
        <v>80</v>
      </c>
      <c r="AG212" s="1">
        <v>0</v>
      </c>
      <c r="AH212" s="119">
        <v>0.56307870370370405</v>
      </c>
      <c r="AK212" s="3">
        <v>180</v>
      </c>
      <c r="AN212" s="80">
        <f t="shared" si="95"/>
        <v>100</v>
      </c>
      <c r="AO212" s="126"/>
      <c r="AP212" s="13">
        <f t="shared" si="107"/>
        <v>1155.0000000000182</v>
      </c>
      <c r="AQ212" s="15" t="str">
        <f>IF(ISNUMBER([1]HRT_SRT!R266),[1]HRT_SRT!R266,"")</f>
        <v/>
      </c>
      <c r="AR212" s="17" t="e">
        <f t="shared" si="90"/>
        <v>#VALUE!</v>
      </c>
      <c r="AS212" s="16" t="e">
        <f t="shared" si="96"/>
        <v>#DIV/0!</v>
      </c>
      <c r="AT212" s="16" t="e">
        <f t="shared" si="97"/>
        <v>#DIV/0!</v>
      </c>
      <c r="AU212" s="16" t="e">
        <f t="shared" si="91"/>
        <v>#DIV/0!</v>
      </c>
      <c r="AV212" s="57" t="str">
        <f t="shared" si="98"/>
        <v/>
      </c>
      <c r="AW212" s="57" t="str">
        <f t="shared" si="99"/>
        <v/>
      </c>
      <c r="AX212" s="57" t="str">
        <f t="shared" si="100"/>
        <v/>
      </c>
      <c r="AY212" s="57" t="str">
        <f t="shared" si="102"/>
        <v/>
      </c>
      <c r="AZ212" s="57" t="str">
        <f t="shared" si="103"/>
        <v/>
      </c>
      <c r="BA212" s="84" t="str">
        <f t="shared" si="92"/>
        <v/>
      </c>
      <c r="BB212" s="84" t="str">
        <f t="shared" si="93"/>
        <v/>
      </c>
      <c r="BC212" s="84"/>
      <c r="BD212" s="84" t="str">
        <f t="shared" si="104"/>
        <v/>
      </c>
      <c r="BE212" s="6" t="e">
        <f t="shared" si="101"/>
        <v>#DIV/0!</v>
      </c>
      <c r="BF212" s="6" t="str">
        <f t="shared" si="105"/>
        <v/>
      </c>
    </row>
    <row r="213" spans="1:58" ht="15.75">
      <c r="B213" s="134">
        <v>45473</v>
      </c>
      <c r="C213" s="133"/>
      <c r="D213" s="3">
        <v>208</v>
      </c>
      <c r="E213" s="205" t="str">
        <f t="shared" si="106"/>
        <v/>
      </c>
      <c r="I213" s="15">
        <f t="shared" si="108"/>
        <v>0</v>
      </c>
      <c r="K213" s="10" t="str">
        <f t="shared" si="85"/>
        <v/>
      </c>
      <c r="L213" s="9" t="str">
        <f t="shared" si="86"/>
        <v/>
      </c>
      <c r="M213" s="8" t="str">
        <f t="shared" si="87"/>
        <v/>
      </c>
      <c r="AB213" s="5">
        <v>80</v>
      </c>
      <c r="AG213" s="1">
        <v>0</v>
      </c>
      <c r="AH213" s="119">
        <v>0.60474537037037002</v>
      </c>
      <c r="AJ213" s="93">
        <v>93.6</v>
      </c>
      <c r="AK213" s="3">
        <v>180</v>
      </c>
      <c r="AN213" s="80">
        <f t="shared" si="95"/>
        <v>100</v>
      </c>
      <c r="AO213" s="126"/>
      <c r="AP213" s="13">
        <f t="shared" si="107"/>
        <v>1155.0000000000182</v>
      </c>
      <c r="AQ213" s="15" t="str">
        <f>IF(ISNUMBER([1]HRT_SRT!R267),[1]HRT_SRT!R267,"")</f>
        <v/>
      </c>
      <c r="AR213" s="17" t="e">
        <f t="shared" si="90"/>
        <v>#VALUE!</v>
      </c>
      <c r="AS213" s="16" t="e">
        <f t="shared" si="96"/>
        <v>#DIV/0!</v>
      </c>
      <c r="AT213" s="16" t="e">
        <f t="shared" si="97"/>
        <v>#DIV/0!</v>
      </c>
      <c r="AU213" s="16" t="e">
        <f t="shared" si="91"/>
        <v>#DIV/0!</v>
      </c>
      <c r="AV213" s="57" t="str">
        <f t="shared" si="98"/>
        <v/>
      </c>
      <c r="AW213" s="57" t="str">
        <f t="shared" si="99"/>
        <v/>
      </c>
      <c r="AX213" s="57" t="str">
        <f t="shared" si="100"/>
        <v/>
      </c>
      <c r="AY213" s="57" t="str">
        <f t="shared" si="102"/>
        <v/>
      </c>
      <c r="AZ213" s="57" t="str">
        <f t="shared" si="103"/>
        <v/>
      </c>
      <c r="BA213" s="84" t="str">
        <f t="shared" si="92"/>
        <v/>
      </c>
      <c r="BB213" s="84" t="str">
        <f t="shared" si="93"/>
        <v/>
      </c>
      <c r="BC213" s="84"/>
      <c r="BD213" s="84" t="str">
        <f t="shared" si="104"/>
        <v/>
      </c>
      <c r="BE213" s="6" t="str">
        <f t="shared" si="101"/>
        <v/>
      </c>
      <c r="BF213" s="6" t="str">
        <f t="shared" si="105"/>
        <v/>
      </c>
    </row>
    <row r="214" spans="1:58" ht="15.75">
      <c r="A214" s="12" t="s">
        <v>134</v>
      </c>
      <c r="B214" s="94">
        <v>45474</v>
      </c>
      <c r="C214" s="128"/>
      <c r="D214" s="3">
        <v>209</v>
      </c>
      <c r="E214" s="205" t="str">
        <f t="shared" si="106"/>
        <v/>
      </c>
      <c r="G214" s="15">
        <f>(N214*18-H214*18)/9</f>
        <v>22.200000000000003</v>
      </c>
      <c r="H214" s="9">
        <v>15.5</v>
      </c>
      <c r="I214" s="15">
        <f t="shared" si="108"/>
        <v>6.8000000000000007</v>
      </c>
      <c r="K214" s="10" t="str">
        <f t="shared" si="85"/>
        <v/>
      </c>
      <c r="L214" s="9" t="str">
        <f t="shared" si="86"/>
        <v/>
      </c>
      <c r="M214" s="8">
        <f t="shared" si="87"/>
        <v>0.61261261261261257</v>
      </c>
      <c r="N214" s="7">
        <v>26.6</v>
      </c>
      <c r="T214" s="6">
        <v>30.4</v>
      </c>
      <c r="AB214" s="5">
        <v>80</v>
      </c>
      <c r="AC214" s="7">
        <f>T214</f>
        <v>30.4</v>
      </c>
      <c r="AD214" s="1">
        <f>5*1.36</f>
        <v>6.8000000000000007</v>
      </c>
      <c r="AE214" s="1">
        <v>29.3</v>
      </c>
      <c r="AF214" s="1">
        <v>0</v>
      </c>
      <c r="AG214" s="1">
        <v>0</v>
      </c>
      <c r="AH214" s="119">
        <v>0.64641203703703698</v>
      </c>
      <c r="AJ214" s="93"/>
      <c r="AK214" s="3">
        <v>180</v>
      </c>
      <c r="AL214" s="4">
        <f>AE214</f>
        <v>29.3</v>
      </c>
      <c r="AM214" s="1">
        <v>26.4</v>
      </c>
      <c r="AN214" s="80">
        <f t="shared" si="95"/>
        <v>100</v>
      </c>
      <c r="AO214" s="126"/>
      <c r="AP214" s="13">
        <f t="shared" si="107"/>
        <v>1155.0000000000182</v>
      </c>
      <c r="AQ214" s="15" t="str">
        <f>IF(ISNUMBER([1]HRT_SRT!R268),[1]HRT_SRT!R268,"")</f>
        <v/>
      </c>
      <c r="AR214" s="17" t="e">
        <f t="shared" si="90"/>
        <v>#VALUE!</v>
      </c>
      <c r="AS214" s="16">
        <f t="shared" si="96"/>
        <v>1</v>
      </c>
      <c r="AT214" s="16">
        <f t="shared" si="97"/>
        <v>0</v>
      </c>
      <c r="AU214" s="16">
        <f t="shared" si="91"/>
        <v>-0.18918918918918898</v>
      </c>
      <c r="AV214" s="57" t="str">
        <f t="shared" si="98"/>
        <v/>
      </c>
      <c r="AW214" s="57">
        <f t="shared" si="99"/>
        <v>6.8000000000000007</v>
      </c>
      <c r="AX214" s="57">
        <f t="shared" si="100"/>
        <v>-4.1999999999999957</v>
      </c>
      <c r="AY214" s="57">
        <f t="shared" si="102"/>
        <v>1.0999999999999979</v>
      </c>
      <c r="AZ214" s="57">
        <f t="shared" si="103"/>
        <v>2.9000000000000021</v>
      </c>
      <c r="BA214" s="123" t="str">
        <f t="shared" si="92"/>
        <v/>
      </c>
      <c r="BB214" s="123">
        <f t="shared" si="93"/>
        <v>1</v>
      </c>
      <c r="BC214" s="123">
        <f>IF(AND($AG214&gt;=0,$AD214&gt;=0,$AF214&gt;=0),IF($AG214/($AD214-$AF214)&gt;0,$AG214/($AD214-$AF214),0),"")</f>
        <v>0</v>
      </c>
      <c r="BD214" s="123">
        <f t="shared" si="104"/>
        <v>0</v>
      </c>
      <c r="BE214" s="6" t="e">
        <f t="shared" si="101"/>
        <v>#DIV/0!</v>
      </c>
      <c r="BF214" s="6"/>
    </row>
    <row r="215" spans="1:58" ht="30">
      <c r="A215" s="12" t="s">
        <v>133</v>
      </c>
      <c r="B215" s="94">
        <v>45475</v>
      </c>
      <c r="C215" s="128"/>
      <c r="D215" s="3">
        <v>210</v>
      </c>
      <c r="E215" s="205">
        <f t="shared" si="106"/>
        <v>213.95895999999999</v>
      </c>
      <c r="G215" s="15">
        <f>(N215*18-H215*18)/9</f>
        <v>0</v>
      </c>
      <c r="I215" s="15">
        <f t="shared" si="108"/>
        <v>7.05</v>
      </c>
      <c r="K215" s="10" t="str">
        <f t="shared" si="85"/>
        <v/>
      </c>
      <c r="L215" s="9">
        <f t="shared" si="86"/>
        <v>15.174394326241135</v>
      </c>
      <c r="M215" s="8" t="str">
        <f t="shared" si="87"/>
        <v/>
      </c>
      <c r="O215" s="6">
        <v>76.238</v>
      </c>
      <c r="P215" s="6">
        <v>16.931000000000001</v>
      </c>
      <c r="Q215" s="6">
        <f>O215*1.067</f>
        <v>81.345945999999998</v>
      </c>
      <c r="R215" s="6">
        <f>P215*1.514</f>
        <v>25.633534000000001</v>
      </c>
      <c r="S215" s="23">
        <f>P215*1.514+O215*1.067</f>
        <v>106.97948</v>
      </c>
      <c r="T215" s="6">
        <v>19.600000000000001</v>
      </c>
      <c r="W215">
        <f>0.481+1.489</f>
        <v>1.9700000000000002</v>
      </c>
      <c r="X215" s="6">
        <v>6.82</v>
      </c>
      <c r="AB215" s="5">
        <v>80</v>
      </c>
      <c r="AC215" s="7">
        <f>T215</f>
        <v>19.600000000000001</v>
      </c>
      <c r="AD215" s="1">
        <f>5*1.41</f>
        <v>7.05</v>
      </c>
      <c r="AE215" s="1">
        <v>16.8</v>
      </c>
      <c r="AF215" s="1">
        <v>0</v>
      </c>
      <c r="AG215" s="1">
        <v>0</v>
      </c>
      <c r="AH215" s="119">
        <v>0.68807870370370405</v>
      </c>
      <c r="AJ215" s="93"/>
      <c r="AK215" s="3">
        <v>180</v>
      </c>
      <c r="AL215" s="4">
        <f>AE215</f>
        <v>16.8</v>
      </c>
      <c r="AM215" s="1">
        <v>14.6</v>
      </c>
      <c r="AN215" s="80">
        <f t="shared" si="95"/>
        <v>100</v>
      </c>
      <c r="AO215" s="126">
        <f>[1]HRT_SRT!P269</f>
        <v>1160.0000000000364</v>
      </c>
      <c r="AP215" s="13">
        <f t="shared" si="107"/>
        <v>1211.6666666666788</v>
      </c>
      <c r="AQ215" s="15">
        <f>IF(ISNUMBER([1]HRT_SRT!R269),[1]HRT_SRT!R269,"")</f>
        <v>20.422535211267853</v>
      </c>
      <c r="AR215" s="17">
        <f t="shared" si="90"/>
        <v>0.99079262677291013</v>
      </c>
      <c r="AS215" s="16">
        <f t="shared" si="96"/>
        <v>1</v>
      </c>
      <c r="AT215" s="16">
        <f t="shared" si="97"/>
        <v>0</v>
      </c>
      <c r="AU215" s="16" t="e">
        <f t="shared" si="91"/>
        <v>#DIV/0!</v>
      </c>
      <c r="AV215" s="57">
        <f t="shared" si="98"/>
        <v>211.98895999999999</v>
      </c>
      <c r="AW215" s="57">
        <f t="shared" si="99"/>
        <v>7.05</v>
      </c>
      <c r="AX215" s="57">
        <f t="shared" si="100"/>
        <v>-14.6</v>
      </c>
      <c r="AY215" s="57">
        <f t="shared" si="102"/>
        <v>2.8000000000000007</v>
      </c>
      <c r="AZ215" s="57">
        <f t="shared" si="103"/>
        <v>2.2000000000000011</v>
      </c>
      <c r="BA215" s="123">
        <f t="shared" si="92"/>
        <v>0.99079262677291013</v>
      </c>
      <c r="BB215" s="123">
        <f t="shared" si="93"/>
        <v>1</v>
      </c>
      <c r="BC215" s="123">
        <f>IF(AND($AG215&gt;=0,$AD215&gt;=0,$AF215&gt;=0),IF($AG215/($AD215-$AF215)&gt;0,$AG215/($AD215-$AF215),0),"")</f>
        <v>0</v>
      </c>
      <c r="BD215" s="123" t="str">
        <f t="shared" si="104"/>
        <v/>
      </c>
      <c r="BE215" s="6" t="e">
        <f t="shared" si="101"/>
        <v>#DIV/0!</v>
      </c>
      <c r="BF215" s="6"/>
    </row>
    <row r="216" spans="1:58" ht="15.75">
      <c r="B216" s="94">
        <v>45476</v>
      </c>
      <c r="C216" s="128"/>
      <c r="D216" s="3">
        <v>211</v>
      </c>
      <c r="E216" s="205">
        <f t="shared" si="106"/>
        <v>242.10198400000002</v>
      </c>
      <c r="G216" s="15">
        <f>(N216*18-H216*18)/9</f>
        <v>22.4</v>
      </c>
      <c r="H216" s="9">
        <v>11.3</v>
      </c>
      <c r="I216" s="15">
        <f t="shared" si="108"/>
        <v>26.25</v>
      </c>
      <c r="K216" s="10">
        <f t="shared" si="85"/>
        <v>10.808124285714287</v>
      </c>
      <c r="L216" s="9">
        <f t="shared" si="86"/>
        <v>4.6114663619047622</v>
      </c>
      <c r="M216" s="8">
        <f t="shared" si="87"/>
        <v>2.34375</v>
      </c>
      <c r="N216" s="7">
        <v>22.5</v>
      </c>
      <c r="O216" s="6">
        <v>86.134</v>
      </c>
      <c r="P216" s="6">
        <v>19.251000000000001</v>
      </c>
      <c r="Q216" s="6">
        <f>O216*1.067</f>
        <v>91.904978</v>
      </c>
      <c r="R216" s="6">
        <f>P216*1.514</f>
        <v>29.146014000000001</v>
      </c>
      <c r="S216" s="23">
        <f>P216*1.514+O216*1.067</f>
        <v>121.05099200000001</v>
      </c>
      <c r="T216" s="6">
        <v>25.5</v>
      </c>
      <c r="W216">
        <f>0.5+0.68</f>
        <v>1.1800000000000002</v>
      </c>
      <c r="AB216" s="5">
        <v>80</v>
      </c>
      <c r="AC216" s="7">
        <f>T216</f>
        <v>25.5</v>
      </c>
      <c r="AD216" s="1">
        <f>5*5.25</f>
        <v>26.25</v>
      </c>
      <c r="AE216" s="1">
        <f>23</f>
        <v>23</v>
      </c>
      <c r="AF216" s="1">
        <v>0.17499999999999999</v>
      </c>
      <c r="AG216" s="1">
        <v>0</v>
      </c>
      <c r="AH216" s="119">
        <v>0.72974537037037002</v>
      </c>
      <c r="AJ216" s="93">
        <v>93.6</v>
      </c>
      <c r="AK216" s="3">
        <v>180</v>
      </c>
      <c r="AL216" s="4">
        <f>AE216</f>
        <v>23</v>
      </c>
      <c r="AM216" s="1">
        <v>21.6</v>
      </c>
      <c r="AN216" s="80">
        <f t="shared" si="95"/>
        <v>100</v>
      </c>
      <c r="AO216" s="126">
        <f>[1]HRT_SRT!P270</f>
        <v>1150</v>
      </c>
      <c r="AP216" s="13">
        <f t="shared" si="107"/>
        <v>1240.0000000000091</v>
      </c>
      <c r="AQ216" s="15">
        <f>IF(ISNUMBER([1]HRT_SRT!R270),[1]HRT_SRT!R270,"")</f>
        <v>19.999999999997787</v>
      </c>
      <c r="AR216" s="17">
        <f t="shared" si="90"/>
        <v>0.99512602094165403</v>
      </c>
      <c r="AS216" s="16">
        <f t="shared" si="96"/>
        <v>0.99333333333333329</v>
      </c>
      <c r="AT216" s="16">
        <f t="shared" si="97"/>
        <v>0</v>
      </c>
      <c r="AU216" s="16">
        <f t="shared" si="91"/>
        <v>3.5714285714285587E-2</v>
      </c>
      <c r="AV216" s="57">
        <f t="shared" si="98"/>
        <v>240.92198400000001</v>
      </c>
      <c r="AW216" s="57">
        <f t="shared" si="99"/>
        <v>26.074999999999999</v>
      </c>
      <c r="AX216" s="57">
        <f t="shared" si="100"/>
        <v>0.79999999999999716</v>
      </c>
      <c r="AY216" s="57">
        <f t="shared" si="102"/>
        <v>2.5</v>
      </c>
      <c r="AZ216" s="57">
        <f t="shared" si="103"/>
        <v>1.3999999999999986</v>
      </c>
      <c r="BA216" s="123">
        <f t="shared" si="92"/>
        <v>0.99512602094165403</v>
      </c>
      <c r="BB216" s="123">
        <f t="shared" si="93"/>
        <v>0.99333333333333329</v>
      </c>
      <c r="BC216" s="123">
        <f>IF(AND($AG216&gt;=0,$AD216&gt;=0,$AF216&gt;=0),IF($AG216/($AD216-$AF216)&gt;0,$AG216/($AD216-$AF216),0),"")</f>
        <v>0</v>
      </c>
      <c r="BD216" s="123">
        <f t="shared" si="104"/>
        <v>3.5714285714285587E-2</v>
      </c>
      <c r="BE216" s="6">
        <f t="shared" si="101"/>
        <v>16.714743589743591</v>
      </c>
      <c r="BF216" s="6"/>
    </row>
    <row r="217" spans="1:58" ht="15.75">
      <c r="A217" s="12" t="s">
        <v>132</v>
      </c>
      <c r="B217" s="94">
        <v>45477</v>
      </c>
      <c r="C217" s="128"/>
      <c r="D217" s="3">
        <v>212</v>
      </c>
      <c r="E217" s="205" t="str">
        <f t="shared" si="106"/>
        <v/>
      </c>
      <c r="I217" s="15">
        <f t="shared" si="108"/>
        <v>0</v>
      </c>
      <c r="K217" s="10" t="str">
        <f t="shared" si="85"/>
        <v/>
      </c>
      <c r="L217" s="9" t="str">
        <f t="shared" si="86"/>
        <v/>
      </c>
      <c r="M217" s="8" t="str">
        <f t="shared" si="87"/>
        <v/>
      </c>
      <c r="S217" s="23"/>
      <c r="X217" s="6">
        <v>2.67</v>
      </c>
      <c r="AB217" s="5">
        <v>80</v>
      </c>
      <c r="AG217" s="1">
        <v>0</v>
      </c>
      <c r="AH217" s="119">
        <v>0.77141203703703698</v>
      </c>
      <c r="AJ217" s="93">
        <v>93.6</v>
      </c>
      <c r="AK217" s="3">
        <v>180</v>
      </c>
      <c r="AN217" s="80">
        <f t="shared" si="95"/>
        <v>100</v>
      </c>
      <c r="AO217" s="126"/>
      <c r="AP217" s="13">
        <f t="shared" si="107"/>
        <v>1240.0000000000091</v>
      </c>
      <c r="AQ217" s="15" t="str">
        <f>IF(ISNUMBER([1]HRT_SRT!R271),[1]HRT_SRT!R271,"")</f>
        <v/>
      </c>
      <c r="AR217" s="17" t="e">
        <f t="shared" si="90"/>
        <v>#VALUE!</v>
      </c>
      <c r="AS217" s="16"/>
      <c r="AT217" s="16" t="e">
        <f t="shared" si="97"/>
        <v>#DIV/0!</v>
      </c>
      <c r="AU217" s="16" t="e">
        <f t="shared" si="91"/>
        <v>#DIV/0!</v>
      </c>
      <c r="AV217" s="57" t="str">
        <f t="shared" si="98"/>
        <v/>
      </c>
      <c r="AW217" s="57" t="str">
        <f t="shared" si="99"/>
        <v/>
      </c>
      <c r="AX217" s="57" t="str">
        <f t="shared" si="100"/>
        <v/>
      </c>
      <c r="AY217" s="57" t="str">
        <f t="shared" si="102"/>
        <v/>
      </c>
      <c r="AZ217" s="57" t="str">
        <f t="shared" si="103"/>
        <v/>
      </c>
      <c r="BA217" s="123"/>
      <c r="BB217" s="123" t="str">
        <f t="shared" si="93"/>
        <v/>
      </c>
      <c r="BC217" s="123"/>
      <c r="BD217" s="123" t="str">
        <f t="shared" si="104"/>
        <v/>
      </c>
      <c r="BE217" s="6" t="str">
        <f t="shared" si="101"/>
        <v/>
      </c>
      <c r="BF217" s="6" t="str">
        <f>IF(OR(AJ217=0,AP217=0,NOT(ISNUMBER(AD217)),NOT(ISNUMBER(AF217)),NOT(ISNUMBER(AJ217)),NOT(ISNUMBER(AP217))),"",
IFERROR(IF((AD217-AF217)/(AJ217/60)/(AP217/1000)&lt;=0,"",(AD217-AF217)/(AJ217/60)/(AP217/1000)),""))</f>
        <v/>
      </c>
    </row>
    <row r="218" spans="1:58" ht="15.75">
      <c r="B218" s="94">
        <v>45478</v>
      </c>
      <c r="C218" s="128"/>
      <c r="D218" s="3">
        <v>213</v>
      </c>
      <c r="E218" s="205" t="str">
        <f t="shared" si="106"/>
        <v/>
      </c>
      <c r="G218" s="15">
        <f>(N218*18-H218*18)/9</f>
        <v>22.6</v>
      </c>
      <c r="H218" s="9">
        <v>11.6</v>
      </c>
      <c r="I218" s="15">
        <f t="shared" si="108"/>
        <v>14.8</v>
      </c>
      <c r="K218" s="10" t="str">
        <f t="shared" si="85"/>
        <v/>
      </c>
      <c r="L218" s="9" t="str">
        <f t="shared" si="86"/>
        <v/>
      </c>
      <c r="M218" s="8">
        <f t="shared" si="87"/>
        <v>1.3097345132743363</v>
      </c>
      <c r="N218" s="7">
        <v>22.9</v>
      </c>
      <c r="S218" s="23"/>
      <c r="T218" s="6">
        <v>25.7</v>
      </c>
      <c r="AB218" s="5">
        <v>80</v>
      </c>
      <c r="AC218" s="7">
        <f>T218</f>
        <v>25.7</v>
      </c>
      <c r="AD218" s="1">
        <v>14.8</v>
      </c>
      <c r="AE218" s="1">
        <v>23.7</v>
      </c>
      <c r="AF218" s="1">
        <v>7.66</v>
      </c>
      <c r="AG218" s="1">
        <v>0</v>
      </c>
      <c r="AH218" s="119">
        <v>0.81307870370370405</v>
      </c>
      <c r="AJ218" s="93">
        <v>93.6</v>
      </c>
      <c r="AK218" s="3">
        <v>180</v>
      </c>
      <c r="AL218" s="4">
        <f>AE218</f>
        <v>23.7</v>
      </c>
      <c r="AM218" s="1">
        <v>22.5</v>
      </c>
      <c r="AN218" s="80">
        <f t="shared" si="95"/>
        <v>100</v>
      </c>
      <c r="AO218" s="126"/>
      <c r="AP218" s="13">
        <f t="shared" si="107"/>
        <v>1266.6666666666667</v>
      </c>
      <c r="AQ218" s="15" t="str">
        <f>IF(ISNUMBER([1]HRT_SRT!R272),[1]HRT_SRT!R272,"")</f>
        <v/>
      </c>
      <c r="AR218" s="17" t="e">
        <f t="shared" si="90"/>
        <v>#VALUE!</v>
      </c>
      <c r="AS218" s="16">
        <f>(I218-AF218)/I218</f>
        <v>0.48243243243243245</v>
      </c>
      <c r="AT218" s="16">
        <f t="shared" si="97"/>
        <v>0</v>
      </c>
      <c r="AU218" s="16">
        <f t="shared" si="91"/>
        <v>4.4247787610620093E-3</v>
      </c>
      <c r="AV218" s="57" t="str">
        <f t="shared" si="98"/>
        <v/>
      </c>
      <c r="AW218" s="57">
        <f t="shared" si="99"/>
        <v>7.1400000000000006</v>
      </c>
      <c r="AX218" s="57">
        <f t="shared" si="100"/>
        <v>0.10000000000000142</v>
      </c>
      <c r="AY218" s="57">
        <f t="shared" si="102"/>
        <v>2</v>
      </c>
      <c r="AZ218" s="57">
        <f t="shared" si="103"/>
        <v>1.1999999999999993</v>
      </c>
      <c r="BA218" s="123"/>
      <c r="BB218" s="123">
        <f t="shared" si="93"/>
        <v>0.48243243243243245</v>
      </c>
      <c r="BC218" s="123">
        <f>IF(AND($AG218&gt;=0,$AD218&gt;=0,$AF218&gt;=0),IF($AG218/($AD218-$AF218)&gt;0,$AG218/($AD218-$AF218),0),"")</f>
        <v>0</v>
      </c>
      <c r="BD218" s="123">
        <f t="shared" si="104"/>
        <v>4.4247787610620093E-3</v>
      </c>
      <c r="BE218" s="6">
        <f t="shared" si="101"/>
        <v>4.5769230769230775</v>
      </c>
      <c r="BF218" s="6"/>
    </row>
    <row r="219" spans="1:58" ht="15.75">
      <c r="B219" s="94">
        <v>45479</v>
      </c>
      <c r="C219" s="128"/>
      <c r="D219" s="3">
        <v>214</v>
      </c>
      <c r="E219" s="205" t="str">
        <f t="shared" si="106"/>
        <v/>
      </c>
      <c r="I219" s="15">
        <f t="shared" si="108"/>
        <v>0</v>
      </c>
      <c r="K219" s="10" t="str">
        <f t="shared" si="85"/>
        <v/>
      </c>
      <c r="L219" s="9" t="str">
        <f t="shared" si="86"/>
        <v/>
      </c>
      <c r="M219" s="8" t="str">
        <f t="shared" si="87"/>
        <v/>
      </c>
      <c r="S219" s="23"/>
      <c r="AB219" s="5">
        <v>80</v>
      </c>
      <c r="AG219" s="1">
        <v>0</v>
      </c>
      <c r="AH219" s="119">
        <v>0.85474537037037002</v>
      </c>
      <c r="AJ219" s="93">
        <v>93.6</v>
      </c>
      <c r="AK219" s="3">
        <v>180</v>
      </c>
      <c r="AN219" s="80">
        <f t="shared" si="95"/>
        <v>100</v>
      </c>
      <c r="AO219" s="132">
        <f>(AO216+AO224)/2</f>
        <v>1325</v>
      </c>
      <c r="AP219" s="13">
        <f>(AO216+AO224)/2</f>
        <v>1325</v>
      </c>
      <c r="AQ219" s="15" t="str">
        <f>IF(ISNUMBER([1]HRT_SRT!R273),[1]HRT_SRT!R273,"")</f>
        <v/>
      </c>
      <c r="AR219" s="17" t="e">
        <f t="shared" si="90"/>
        <v>#VALUE!</v>
      </c>
      <c r="AS219" s="16"/>
      <c r="AT219" s="16" t="e">
        <f t="shared" si="97"/>
        <v>#DIV/0!</v>
      </c>
      <c r="AU219" s="16" t="e">
        <f t="shared" si="91"/>
        <v>#DIV/0!</v>
      </c>
      <c r="AV219" s="57" t="str">
        <f t="shared" si="98"/>
        <v/>
      </c>
      <c r="AW219" s="57" t="str">
        <f t="shared" si="99"/>
        <v/>
      </c>
      <c r="AX219" s="57" t="str">
        <f t="shared" si="100"/>
        <v/>
      </c>
      <c r="AY219" s="57" t="str">
        <f t="shared" si="102"/>
        <v/>
      </c>
      <c r="AZ219" s="57" t="str">
        <f t="shared" si="103"/>
        <v/>
      </c>
      <c r="BA219" s="123"/>
      <c r="BB219" s="123" t="str">
        <f t="shared" si="93"/>
        <v/>
      </c>
      <c r="BC219" s="123"/>
      <c r="BD219" s="123" t="str">
        <f t="shared" si="104"/>
        <v/>
      </c>
      <c r="BE219" s="6" t="str">
        <f t="shared" si="101"/>
        <v/>
      </c>
      <c r="BF219" s="6" t="str">
        <f t="shared" ref="BF219:BF227" si="109">IF(OR(AJ219=0,AP219=0,NOT(ISNUMBER(AD219)),NOT(ISNUMBER(AF219)),NOT(ISNUMBER(AJ219)),NOT(ISNUMBER(AP219))),"",
IFERROR(IF((AD219-AF219)/(AJ219/60)/(AP219/1000)&lt;=0,"",(AD219-AF219)/(AJ219/60)/(AP219/1000)),""))</f>
        <v/>
      </c>
    </row>
    <row r="220" spans="1:58" ht="15.75">
      <c r="B220" s="94">
        <v>45480</v>
      </c>
      <c r="C220" s="128"/>
      <c r="D220" s="3">
        <v>215</v>
      </c>
      <c r="E220" s="205">
        <f t="shared" si="106"/>
        <v>246.39510200000001</v>
      </c>
      <c r="G220" s="15">
        <f>(N220*18-H220*18)/9</f>
        <v>16.050000000000004</v>
      </c>
      <c r="H220" s="9">
        <f>5/2*5.01</f>
        <v>12.524999999999999</v>
      </c>
      <c r="I220" s="15">
        <f t="shared" si="108"/>
        <v>14.8</v>
      </c>
      <c r="K220" s="10">
        <f t="shared" si="85"/>
        <v>15.351719750778813</v>
      </c>
      <c r="L220" s="9">
        <f t="shared" si="86"/>
        <v>8.3241588513513509</v>
      </c>
      <c r="M220" s="8">
        <f t="shared" si="87"/>
        <v>1.8442367601246101</v>
      </c>
      <c r="N220" s="7">
        <f>5/2*8.22</f>
        <v>20.55</v>
      </c>
      <c r="O220" s="6">
        <v>86.619</v>
      </c>
      <c r="P220" s="6">
        <v>20.327000000000002</v>
      </c>
      <c r="Q220" s="6">
        <f t="shared" ref="Q220:Q225" si="110">O220*1.067</f>
        <v>92.422472999999997</v>
      </c>
      <c r="R220" s="6">
        <f t="shared" ref="R220:R225" si="111">P220*1.514</f>
        <v>30.775078000000004</v>
      </c>
      <c r="S220" s="23">
        <f t="shared" ref="S220:S225" si="112">P220*1.514+O220*1.067</f>
        <v>123.197551</v>
      </c>
      <c r="T220" s="6">
        <f>5/2*11</f>
        <v>27.5</v>
      </c>
      <c r="W220" s="6">
        <f>4.038+0.997</f>
        <v>5.0350000000000001</v>
      </c>
      <c r="X220" s="6">
        <v>3.89</v>
      </c>
      <c r="AB220" s="5">
        <v>80</v>
      </c>
      <c r="AC220" s="7">
        <f>T220</f>
        <v>27.5</v>
      </c>
      <c r="AD220" s="1">
        <f>14.8</f>
        <v>14.8</v>
      </c>
      <c r="AE220" s="1">
        <f>5/2*10.7</f>
        <v>26.75</v>
      </c>
      <c r="AF220" s="1">
        <v>0.26200000000000001</v>
      </c>
      <c r="AG220" s="1">
        <v>0</v>
      </c>
      <c r="AH220" s="119">
        <v>0.89641203703703698</v>
      </c>
      <c r="AJ220" s="93">
        <v>93.6</v>
      </c>
      <c r="AK220" s="3">
        <v>180</v>
      </c>
      <c r="AL220" s="4">
        <f t="shared" ref="AL220:AL228" si="113">AE220</f>
        <v>26.75</v>
      </c>
      <c r="AM220" s="1">
        <f>5/2*10</f>
        <v>25</v>
      </c>
      <c r="AN220" s="80">
        <f t="shared" si="95"/>
        <v>100</v>
      </c>
      <c r="AO220" s="132">
        <f>(AO216+AO224)/2</f>
        <v>1325</v>
      </c>
      <c r="AP220" s="13">
        <f t="shared" ref="AP220:AP251" si="114">AVERAGE(AO218:AO224)</f>
        <v>1383.3333333333333</v>
      </c>
      <c r="AQ220" s="15" t="str">
        <f>IF(ISNUMBER([1]HRT_SRT!R274),[1]HRT_SRT!R274,"")</f>
        <v/>
      </c>
      <c r="AR220" s="17">
        <f t="shared" si="90"/>
        <v>0.97956534054804389</v>
      </c>
      <c r="AS220" s="16">
        <f>(I220-AF220)/I220</f>
        <v>0.98229729729729731</v>
      </c>
      <c r="AT220" s="16">
        <f t="shared" si="97"/>
        <v>0</v>
      </c>
      <c r="AU220" s="16">
        <f t="shared" si="91"/>
        <v>-0.5576323987538937</v>
      </c>
      <c r="AV220" s="57">
        <f t="shared" si="98"/>
        <v>241.36010200000001</v>
      </c>
      <c r="AW220" s="57">
        <f t="shared" si="99"/>
        <v>14.538</v>
      </c>
      <c r="AX220" s="57">
        <f t="shared" si="100"/>
        <v>-8.9499999999999957</v>
      </c>
      <c r="AY220" s="57">
        <f t="shared" si="102"/>
        <v>0.75</v>
      </c>
      <c r="AZ220" s="57">
        <f t="shared" si="103"/>
        <v>1.75</v>
      </c>
      <c r="BA220" s="123">
        <f>IF(AND($E220&gt;0,$W220&gt;0),IF(($E220-$W220)/$E220&gt;0,($E220-$W220)/$E220,0),"")</f>
        <v>0.97956534054804389</v>
      </c>
      <c r="BB220" s="123">
        <f t="shared" si="93"/>
        <v>0.98229729729729731</v>
      </c>
      <c r="BC220" s="123">
        <f>IF(AND($AG220&gt;=0,$AD220&gt;=0,$AF220&gt;=0),IF($AG220/($AD220-$AF220)&gt;0,$AG220/($AD220-$AF220),0),"")</f>
        <v>0</v>
      </c>
      <c r="BD220" s="123">
        <f t="shared" si="104"/>
        <v>0</v>
      </c>
      <c r="BE220" s="6">
        <f t="shared" si="101"/>
        <v>9.3192307692307708</v>
      </c>
      <c r="BF220" s="6">
        <f t="shared" si="109"/>
        <v>6.736793327154774</v>
      </c>
    </row>
    <row r="221" spans="1:58" ht="15.75">
      <c r="B221" s="94">
        <v>45481</v>
      </c>
      <c r="C221" s="128"/>
      <c r="D221" s="3">
        <v>216</v>
      </c>
      <c r="E221" s="205">
        <f t="shared" si="106"/>
        <v>269.69346999999999</v>
      </c>
      <c r="G221" s="15">
        <f>(N221*18-H221*18)/9</f>
        <v>14.740000000000002</v>
      </c>
      <c r="H221" s="9">
        <f>4.255*2</f>
        <v>8.51</v>
      </c>
      <c r="I221" s="15">
        <f t="shared" si="108"/>
        <v>14.9</v>
      </c>
      <c r="K221" s="10">
        <f t="shared" si="85"/>
        <v>18.296707598371775</v>
      </c>
      <c r="L221" s="9">
        <f t="shared" si="86"/>
        <v>9.0501164429530192</v>
      </c>
      <c r="M221" s="8">
        <f t="shared" si="87"/>
        <v>2.0217096336499321</v>
      </c>
      <c r="N221" s="6">
        <f>2*7.94</f>
        <v>15.88</v>
      </c>
      <c r="O221" s="6">
        <v>95.010999999999996</v>
      </c>
      <c r="P221" s="6">
        <v>22.106999999999999</v>
      </c>
      <c r="Q221" s="6">
        <f t="shared" si="110"/>
        <v>101.37673699999999</v>
      </c>
      <c r="R221" s="6">
        <f t="shared" si="111"/>
        <v>33.469997999999997</v>
      </c>
      <c r="S221" s="23">
        <f t="shared" si="112"/>
        <v>134.846735</v>
      </c>
      <c r="T221" s="6">
        <f>2*9.29</f>
        <v>18.579999999999998</v>
      </c>
      <c r="W221" s="6">
        <f>8.084+1.088</f>
        <v>9.1720000000000006</v>
      </c>
      <c r="AB221" s="5">
        <v>80</v>
      </c>
      <c r="AC221" s="7">
        <f>T221</f>
        <v>18.579999999999998</v>
      </c>
      <c r="AD221" s="1">
        <v>14.9</v>
      </c>
      <c r="AE221" s="1">
        <f>2*8.51</f>
        <v>17.02</v>
      </c>
      <c r="AF221" s="1">
        <v>0</v>
      </c>
      <c r="AG221" s="1">
        <v>0</v>
      </c>
      <c r="AH221" s="119">
        <v>0.93807870370370405</v>
      </c>
      <c r="AJ221" s="93">
        <v>93.6</v>
      </c>
      <c r="AK221" s="3">
        <v>180</v>
      </c>
      <c r="AL221" s="4">
        <f t="shared" si="113"/>
        <v>17.02</v>
      </c>
      <c r="AM221" s="1">
        <f>2*8.51</f>
        <v>17.02</v>
      </c>
      <c r="AN221" s="80">
        <f t="shared" si="95"/>
        <v>100</v>
      </c>
      <c r="AO221" s="126"/>
      <c r="AP221" s="13">
        <f t="shared" si="114"/>
        <v>1383.3333333333333</v>
      </c>
      <c r="AQ221" s="15" t="str">
        <f>IF(ISNUMBER([1]HRT_SRT!R275),[1]HRT_SRT!R275,"")</f>
        <v/>
      </c>
      <c r="AR221" s="17">
        <f t="shared" si="90"/>
        <v>0.96599101935986798</v>
      </c>
      <c r="AS221" s="16">
        <f>(I221-AF221)/I221</f>
        <v>1</v>
      </c>
      <c r="AT221" s="16">
        <f t="shared" si="97"/>
        <v>0</v>
      </c>
      <c r="AU221" s="16">
        <f t="shared" si="91"/>
        <v>-0.15468113975576644</v>
      </c>
      <c r="AV221" s="57">
        <f t="shared" si="98"/>
        <v>260.52146999999997</v>
      </c>
      <c r="AW221" s="57">
        <f t="shared" si="99"/>
        <v>14.9</v>
      </c>
      <c r="AX221" s="57">
        <f t="shared" si="100"/>
        <v>-2.2799999999999976</v>
      </c>
      <c r="AY221" s="57">
        <f t="shared" si="102"/>
        <v>1.5599999999999987</v>
      </c>
      <c r="AZ221" s="57">
        <f t="shared" si="103"/>
        <v>0</v>
      </c>
      <c r="BA221" s="123">
        <f>IF(AND($E221&gt;0,$W221&gt;0),IF(($E221-$W221)/$E221&gt;0,($E221-$W221)/$E221,0),"")</f>
        <v>0.96599101935986798</v>
      </c>
      <c r="BB221" s="123">
        <f t="shared" si="93"/>
        <v>1</v>
      </c>
      <c r="BC221" s="123">
        <f>IF(AND($AG221&gt;=0,$AD221&gt;=0,$AF221&gt;=0),IF($AG221/($AD221-$AF221)&gt;0,$AG221/($AD221-$AF221),0),"")</f>
        <v>0</v>
      </c>
      <c r="BD221" s="123">
        <f t="shared" si="104"/>
        <v>0</v>
      </c>
      <c r="BE221" s="6">
        <f t="shared" si="101"/>
        <v>9.5512820512820529</v>
      </c>
      <c r="BF221" s="6">
        <f t="shared" si="109"/>
        <v>6.9045412418906409</v>
      </c>
    </row>
    <row r="222" spans="1:58" ht="15.75">
      <c r="B222" s="94">
        <v>45482</v>
      </c>
      <c r="C222" s="128"/>
      <c r="D222" s="3">
        <v>217</v>
      </c>
      <c r="E222" s="205">
        <f t="shared" si="106"/>
        <v>265.92080399999998</v>
      </c>
      <c r="G222" s="15">
        <f>(N222*18-H222*18)/9</f>
        <v>15.919999999999996</v>
      </c>
      <c r="H222" s="9">
        <v>7.44</v>
      </c>
      <c r="I222" s="15">
        <f t="shared" si="108"/>
        <v>15.95</v>
      </c>
      <c r="K222" s="10">
        <f t="shared" si="85"/>
        <v>16.703568090452265</v>
      </c>
      <c r="L222" s="9">
        <f t="shared" si="86"/>
        <v>8.3360753605015674</v>
      </c>
      <c r="M222" s="8">
        <f t="shared" si="87"/>
        <v>2.0037688442211059</v>
      </c>
      <c r="N222" s="7">
        <v>15.4</v>
      </c>
      <c r="O222" s="6">
        <v>93.953999999999994</v>
      </c>
      <c r="P222" s="6">
        <v>21.606000000000002</v>
      </c>
      <c r="Q222" s="6">
        <f t="shared" si="110"/>
        <v>100.24891799999999</v>
      </c>
      <c r="R222" s="6">
        <f t="shared" si="111"/>
        <v>32.711484000000006</v>
      </c>
      <c r="S222" s="23">
        <f t="shared" si="112"/>
        <v>132.96040199999999</v>
      </c>
      <c r="T222" s="6">
        <v>17.2</v>
      </c>
      <c r="W222" s="6">
        <f>0.909+1.059</f>
        <v>1.968</v>
      </c>
      <c r="AB222" s="5">
        <v>80</v>
      </c>
      <c r="AC222" s="7">
        <f>T222</f>
        <v>17.2</v>
      </c>
      <c r="AD222" s="1">
        <f>5*3.19</f>
        <v>15.95</v>
      </c>
      <c r="AE222" s="1">
        <v>15.6</v>
      </c>
      <c r="AF222" s="1">
        <v>0</v>
      </c>
      <c r="AG222" s="1">
        <v>0</v>
      </c>
      <c r="AH222" s="119">
        <v>0.97974537037037002</v>
      </c>
      <c r="AJ222" s="93">
        <v>93.6</v>
      </c>
      <c r="AK222" s="3">
        <v>180</v>
      </c>
      <c r="AL222" s="4">
        <f t="shared" si="113"/>
        <v>15.6</v>
      </c>
      <c r="AM222" s="1">
        <v>13</v>
      </c>
      <c r="AN222" s="80">
        <f t="shared" si="95"/>
        <v>100</v>
      </c>
      <c r="AO222" s="126"/>
      <c r="AP222" s="13">
        <f t="shared" si="114"/>
        <v>1412.5</v>
      </c>
      <c r="AQ222" s="15" t="str">
        <f>IF(ISNUMBER([1]HRT_SRT!R276),[1]HRT_SRT!R276,"")</f>
        <v/>
      </c>
      <c r="AR222" s="17">
        <f t="shared" si="90"/>
        <v>0.99259930035410082</v>
      </c>
      <c r="AS222" s="16">
        <f>(I222-AF222)/I222</f>
        <v>1</v>
      </c>
      <c r="AT222" s="16">
        <f t="shared" si="97"/>
        <v>0</v>
      </c>
      <c r="AU222" s="16">
        <f t="shared" si="91"/>
        <v>0.1834170854271355</v>
      </c>
      <c r="AV222" s="57">
        <f t="shared" si="98"/>
        <v>263.95280399999996</v>
      </c>
      <c r="AW222" s="57">
        <f t="shared" si="99"/>
        <v>15.95</v>
      </c>
      <c r="AX222" s="57">
        <f t="shared" si="100"/>
        <v>2.9199999999999964</v>
      </c>
      <c r="AY222" s="57">
        <f t="shared" si="102"/>
        <v>1.5999999999999996</v>
      </c>
      <c r="AZ222" s="57">
        <f t="shared" si="103"/>
        <v>2.5999999999999996</v>
      </c>
      <c r="BA222" s="123">
        <f>IF(AND($E222&gt;0,$W222&gt;0),IF(($E222-$W222)/$E222&gt;0,($E222-$W222)/$E222,0),"")</f>
        <v>0.99259930035410082</v>
      </c>
      <c r="BB222" s="123">
        <f t="shared" si="93"/>
        <v>1</v>
      </c>
      <c r="BC222" s="123">
        <f>IF(AND($AG222&gt;=0,$AD222&gt;=0,$AF222&gt;=0),IF($AG222/($AD222-$AF222)&gt;0,$AG222/($AD222-$AF222),0),"")</f>
        <v>0</v>
      </c>
      <c r="BD222" s="123">
        <f t="shared" si="104"/>
        <v>0.1834170854271355</v>
      </c>
      <c r="BE222" s="6">
        <f t="shared" si="101"/>
        <v>10.224358974358974</v>
      </c>
      <c r="BF222" s="6">
        <f t="shared" si="109"/>
        <v>7.2384842296346719</v>
      </c>
    </row>
    <row r="223" spans="1:58" ht="15.75">
      <c r="B223" s="94">
        <v>45483</v>
      </c>
      <c r="C223" s="128"/>
      <c r="D223" s="3">
        <v>218</v>
      </c>
      <c r="E223" s="205">
        <f t="shared" si="106"/>
        <v>226.04100799999998</v>
      </c>
      <c r="G223" s="15">
        <f>(N223*18-H223*18)/9</f>
        <v>22.999999999999996</v>
      </c>
      <c r="H223" s="9">
        <v>12.9</v>
      </c>
      <c r="I223" s="15">
        <f t="shared" si="108"/>
        <v>14.7</v>
      </c>
      <c r="K223" s="10">
        <f t="shared" si="85"/>
        <v>9.8278699130434788</v>
      </c>
      <c r="L223" s="9">
        <f t="shared" si="86"/>
        <v>7.6884696598639453</v>
      </c>
      <c r="M223" s="8">
        <f t="shared" si="87"/>
        <v>1.2782608695652176</v>
      </c>
      <c r="N223" s="7">
        <v>24.4</v>
      </c>
      <c r="O223" s="6">
        <v>78.7</v>
      </c>
      <c r="P223" s="6">
        <v>19.186</v>
      </c>
      <c r="Q223" s="6">
        <f t="shared" si="110"/>
        <v>83.972899999999996</v>
      </c>
      <c r="R223" s="6">
        <f t="shared" si="111"/>
        <v>29.047604</v>
      </c>
      <c r="S223" s="23">
        <f t="shared" si="112"/>
        <v>113.02050399999999</v>
      </c>
      <c r="T223" s="6">
        <f>2*13.1</f>
        <v>26.2</v>
      </c>
      <c r="W223" s="6">
        <f>2.904+2.862</f>
        <v>5.766</v>
      </c>
      <c r="X223" s="6">
        <v>7.04</v>
      </c>
      <c r="AB223" s="5">
        <v>80</v>
      </c>
      <c r="AC223" s="7">
        <f>T223</f>
        <v>26.2</v>
      </c>
      <c r="AD223" s="1">
        <f>5*2.94</f>
        <v>14.7</v>
      </c>
      <c r="AE223" s="1">
        <f>2*11.7</f>
        <v>23.4</v>
      </c>
      <c r="AF223" s="1">
        <v>0</v>
      </c>
      <c r="AG223" s="1">
        <v>0</v>
      </c>
      <c r="AH223" s="119">
        <v>1.0214120370370401</v>
      </c>
      <c r="AJ223" s="93">
        <v>93.6</v>
      </c>
      <c r="AK223" s="3">
        <v>180</v>
      </c>
      <c r="AL223" s="4">
        <f t="shared" si="113"/>
        <v>23.4</v>
      </c>
      <c r="AM223" s="1">
        <v>22.1</v>
      </c>
      <c r="AN223" s="80">
        <f t="shared" si="95"/>
        <v>100</v>
      </c>
      <c r="AO223" s="126"/>
      <c r="AP223" s="13">
        <f t="shared" si="114"/>
        <v>1500</v>
      </c>
      <c r="AQ223" s="15" t="str">
        <f>IF(ISNUMBER([1]HRT_SRT!R277),[1]HRT_SRT!R277,"")</f>
        <v/>
      </c>
      <c r="AR223" s="17">
        <f t="shared" ref="AR223:AR243" si="115">(E223-W223)/E223</f>
        <v>0.9744913542413508</v>
      </c>
      <c r="AS223" s="16">
        <f>(I223-AF223)/I223</f>
        <v>1</v>
      </c>
      <c r="AT223" s="16">
        <f t="shared" si="97"/>
        <v>0</v>
      </c>
      <c r="AU223" s="16">
        <f t="shared" ref="AU223:AU254" si="116">(G223-AM223)/G223</f>
        <v>3.9130434782608484E-2</v>
      </c>
      <c r="AV223" s="57">
        <f t="shared" si="98"/>
        <v>220.27500799999999</v>
      </c>
      <c r="AW223" s="57">
        <f t="shared" si="99"/>
        <v>14.7</v>
      </c>
      <c r="AX223" s="57">
        <f t="shared" si="100"/>
        <v>0.89999999999999503</v>
      </c>
      <c r="AY223" s="57">
        <f t="shared" si="102"/>
        <v>2.8000000000000007</v>
      </c>
      <c r="AZ223" s="57">
        <f t="shared" si="103"/>
        <v>1.2999999999999972</v>
      </c>
      <c r="BA223" s="123">
        <f>IF(AND($E223&gt;0,$W223&gt;0),IF(($E223-$W223)/$E223&gt;0,($E223-$W223)/$E223,0),"")</f>
        <v>0.9744913542413508</v>
      </c>
      <c r="BB223" s="123">
        <f t="shared" ref="BB223:BB254" si="117">IF(AND($I223&gt;0,$AF223&gt;=0),IF(($I223-$AF223)/$I223&gt;0,($I223-$AF223)/$I223,0),"")</f>
        <v>1</v>
      </c>
      <c r="BC223" s="123">
        <f>IF(AND($AG223&gt;=0,$AD223&gt;=0,$AF223&gt;=0),IF($AG223/($AD223-$AF223)&gt;0,$AG223/($AD223-$AF223),0),"")</f>
        <v>0</v>
      </c>
      <c r="BD223" s="123">
        <f t="shared" si="104"/>
        <v>3.9130434782608484E-2</v>
      </c>
      <c r="BE223" s="6">
        <f t="shared" si="101"/>
        <v>9.4230769230769234</v>
      </c>
      <c r="BF223" s="6">
        <f t="shared" si="109"/>
        <v>6.2820512820512819</v>
      </c>
    </row>
    <row r="224" spans="1:58" ht="15.75">
      <c r="A224" s="131" t="s">
        <v>131</v>
      </c>
      <c r="B224" s="94">
        <v>45484</v>
      </c>
      <c r="C224" s="128"/>
      <c r="D224" s="3">
        <v>219</v>
      </c>
      <c r="E224" s="205">
        <f t="shared" si="106"/>
        <v>228.875854</v>
      </c>
      <c r="I224" s="15">
        <f t="shared" si="108"/>
        <v>14.84</v>
      </c>
      <c r="K224" s="10" t="str">
        <f t="shared" si="85"/>
        <v/>
      </c>
      <c r="L224" s="9">
        <f t="shared" si="86"/>
        <v>7.7114506064690032</v>
      </c>
      <c r="M224" s="8" t="str">
        <f t="shared" si="87"/>
        <v/>
      </c>
      <c r="O224" s="6">
        <v>81.540999999999997</v>
      </c>
      <c r="P224" s="6">
        <v>18.12</v>
      </c>
      <c r="Q224" s="6">
        <f t="shared" si="110"/>
        <v>87.004246999999992</v>
      </c>
      <c r="R224" s="6">
        <f t="shared" si="111"/>
        <v>27.433680000000003</v>
      </c>
      <c r="S224" s="23">
        <f t="shared" si="112"/>
        <v>114.437927</v>
      </c>
      <c r="W224">
        <f>8.625+0.75</f>
        <v>9.375</v>
      </c>
      <c r="X224" s="6">
        <v>4.92</v>
      </c>
      <c r="AB224" s="5">
        <v>80</v>
      </c>
      <c r="AD224" s="1">
        <v>14.84</v>
      </c>
      <c r="AF224" s="1">
        <v>0.35</v>
      </c>
      <c r="AG224">
        <v>0.01</v>
      </c>
      <c r="AH224" s="119">
        <v>0.47974537037037035</v>
      </c>
      <c r="AJ224">
        <v>75</v>
      </c>
      <c r="AK224" s="3">
        <v>180</v>
      </c>
      <c r="AL224" s="4">
        <f t="shared" si="113"/>
        <v>0</v>
      </c>
      <c r="AN224" s="80">
        <f t="shared" si="95"/>
        <v>100</v>
      </c>
      <c r="AO224" s="126">
        <f>[1]HRT_SRT!P278</f>
        <v>1500</v>
      </c>
      <c r="AP224" s="13">
        <f t="shared" si="114"/>
        <v>1500</v>
      </c>
      <c r="AQ224" s="15">
        <f>IF(ISNUMBER([1]HRT_SRT!R278),[1]HRT_SRT!R278,"")</f>
        <v>16.129032258065148</v>
      </c>
      <c r="AR224" s="17">
        <f t="shared" si="115"/>
        <v>0.95903892946260727</v>
      </c>
      <c r="AS224" s="16"/>
      <c r="AT224" s="16">
        <f t="shared" si="97"/>
        <v>6.9013112491373362E-4</v>
      </c>
      <c r="AU224" s="16" t="e">
        <f t="shared" si="116"/>
        <v>#DIV/0!</v>
      </c>
      <c r="AV224" s="57">
        <f t="shared" si="98"/>
        <v>219.500854</v>
      </c>
      <c r="AW224" s="57">
        <f t="shared" si="99"/>
        <v>14.49</v>
      </c>
      <c r="AX224" s="57" t="str">
        <f t="shared" si="100"/>
        <v/>
      </c>
      <c r="AY224" s="57" t="str">
        <f t="shared" si="102"/>
        <v/>
      </c>
      <c r="AZ224" s="57" t="str">
        <f t="shared" si="103"/>
        <v/>
      </c>
      <c r="BA224" s="123">
        <f>IF(AND($E224&gt;0,$W224&gt;0),IF(($E224-$W224)/$E224&gt;0,($E224-$W224)/$E224,0),"")</f>
        <v>0.95903892946260727</v>
      </c>
      <c r="BB224" s="123">
        <f t="shared" si="117"/>
        <v>0.9764150943396227</v>
      </c>
      <c r="BC224" s="123"/>
      <c r="BD224" s="123" t="str">
        <f t="shared" si="104"/>
        <v/>
      </c>
      <c r="BE224" s="6">
        <f t="shared" si="101"/>
        <v>11.592000000000001</v>
      </c>
      <c r="BF224" s="6">
        <f t="shared" si="109"/>
        <v>7.7280000000000006</v>
      </c>
    </row>
    <row r="225" spans="1:58" ht="15.75">
      <c r="A225" s="12" t="s">
        <v>130</v>
      </c>
      <c r="B225" s="94">
        <v>45485</v>
      </c>
      <c r="C225" s="128"/>
      <c r="D225" s="3">
        <v>220</v>
      </c>
      <c r="E225" s="205">
        <f t="shared" si="106"/>
        <v>208.06699199999997</v>
      </c>
      <c r="G225" s="15">
        <f>(N225*18-H225*18)/9</f>
        <v>22.439999999999998</v>
      </c>
      <c r="H225" s="9">
        <f>2*6.09</f>
        <v>12.18</v>
      </c>
      <c r="I225" s="15">
        <f t="shared" si="108"/>
        <v>10.700000000000001</v>
      </c>
      <c r="K225" s="10">
        <f t="shared" si="85"/>
        <v>9.2721475935828881</v>
      </c>
      <c r="L225" s="9">
        <f t="shared" si="86"/>
        <v>9.7227566355140169</v>
      </c>
      <c r="M225" s="8">
        <f t="shared" si="87"/>
        <v>0.95365418894830678</v>
      </c>
      <c r="N225" s="7">
        <f>2*11.7</f>
        <v>23.4</v>
      </c>
      <c r="O225" s="6">
        <v>76.19</v>
      </c>
      <c r="P225" s="6">
        <v>15.019</v>
      </c>
      <c r="Q225" s="6">
        <f t="shared" si="110"/>
        <v>81.294729999999987</v>
      </c>
      <c r="R225" s="6">
        <f t="shared" si="111"/>
        <v>22.738766000000002</v>
      </c>
      <c r="S225" s="23">
        <f t="shared" si="112"/>
        <v>104.03349599999999</v>
      </c>
      <c r="T225" s="6">
        <f>2*11.9</f>
        <v>23.8</v>
      </c>
      <c r="W225">
        <v>48.079000000000001</v>
      </c>
      <c r="X225" s="6">
        <v>3.37</v>
      </c>
      <c r="AB225" s="5">
        <v>80</v>
      </c>
      <c r="AC225" s="7">
        <f t="shared" ref="AC225:AC232" si="118">T225</f>
        <v>23.8</v>
      </c>
      <c r="AD225" s="1">
        <f>5*2.14</f>
        <v>10.700000000000001</v>
      </c>
      <c r="AE225" s="1">
        <f>2*11.8</f>
        <v>23.6</v>
      </c>
      <c r="AF225" s="1">
        <v>0</v>
      </c>
      <c r="AG225">
        <v>0.01</v>
      </c>
      <c r="AH225" s="119">
        <v>0.47974537037037035</v>
      </c>
      <c r="AJ225">
        <v>93</v>
      </c>
      <c r="AK225" s="3">
        <v>180</v>
      </c>
      <c r="AL225" s="4">
        <f t="shared" si="113"/>
        <v>23.6</v>
      </c>
      <c r="AM225" s="1">
        <f>2*10.9</f>
        <v>21.8</v>
      </c>
      <c r="AN225" s="80">
        <f t="shared" si="95"/>
        <v>100</v>
      </c>
      <c r="AO225" s="126"/>
      <c r="AP225" s="13">
        <f t="shared" si="114"/>
        <v>1665.0000000000318</v>
      </c>
      <c r="AQ225" s="15" t="str">
        <f>IF(ISNUMBER([1]HRT_SRT!R279),[1]HRT_SRT!R279,"")</f>
        <v/>
      </c>
      <c r="AR225" s="17">
        <f t="shared" si="115"/>
        <v>0.76892538533935251</v>
      </c>
      <c r="AS225" s="16">
        <f>(I225-AF225)/I225</f>
        <v>1</v>
      </c>
      <c r="AT225" s="16">
        <f t="shared" si="97"/>
        <v>9.3457943925233638E-4</v>
      </c>
      <c r="AU225" s="16">
        <f t="shared" si="116"/>
        <v>2.8520499108734273E-2</v>
      </c>
      <c r="AV225" s="57">
        <f t="shared" si="98"/>
        <v>159.98799199999996</v>
      </c>
      <c r="AW225" s="57">
        <f t="shared" si="99"/>
        <v>10.700000000000001</v>
      </c>
      <c r="AX225" s="57">
        <f t="shared" si="100"/>
        <v>0.63999999999999702</v>
      </c>
      <c r="AY225" s="57">
        <f t="shared" si="102"/>
        <v>0.19999999999999929</v>
      </c>
      <c r="AZ225" s="57">
        <f t="shared" si="103"/>
        <v>1.8000000000000007</v>
      </c>
      <c r="BA225" s="123"/>
      <c r="BB225" s="123">
        <f t="shared" si="117"/>
        <v>1</v>
      </c>
      <c r="BC225" s="123">
        <f>IF(AND($AG225&gt;=0,$AD225&gt;=0,$AF225&gt;=0),IF($AG225/($AD225-$AF225)&gt;0,$AG225/($AD225-$AF225),0),"")</f>
        <v>9.3457943925233638E-4</v>
      </c>
      <c r="BD225" s="123">
        <f t="shared" si="104"/>
        <v>2.8520499108734273E-2</v>
      </c>
      <c r="BE225" s="6">
        <f t="shared" si="101"/>
        <v>6.903225806451613</v>
      </c>
      <c r="BF225" s="6">
        <f t="shared" si="109"/>
        <v>4.146081565436325</v>
      </c>
    </row>
    <row r="226" spans="1:58" ht="15.75">
      <c r="A226" s="12" t="s">
        <v>129</v>
      </c>
      <c r="B226" s="94">
        <v>45486</v>
      </c>
      <c r="C226" s="128"/>
      <c r="D226" s="3">
        <v>221</v>
      </c>
      <c r="E226" s="205" t="str">
        <f t="shared" si="106"/>
        <v/>
      </c>
      <c r="I226" s="15">
        <f t="shared" si="108"/>
        <v>0</v>
      </c>
      <c r="K226" s="10" t="str">
        <f t="shared" si="85"/>
        <v/>
      </c>
      <c r="L226" s="9" t="str">
        <f t="shared" si="86"/>
        <v/>
      </c>
      <c r="M226" s="8" t="str">
        <f t="shared" si="87"/>
        <v/>
      </c>
      <c r="N226" s="6"/>
      <c r="S226" s="23"/>
      <c r="AB226" s="5">
        <v>80</v>
      </c>
      <c r="AC226" s="7">
        <f t="shared" si="118"/>
        <v>0</v>
      </c>
      <c r="AG226">
        <v>0.01</v>
      </c>
      <c r="AH226" s="119">
        <v>0.47974537037037035</v>
      </c>
      <c r="AJ226">
        <v>89</v>
      </c>
      <c r="AK226" s="1">
        <v>180</v>
      </c>
      <c r="AL226" s="4">
        <f t="shared" si="113"/>
        <v>0</v>
      </c>
      <c r="AN226" s="80">
        <f t="shared" si="95"/>
        <v>100</v>
      </c>
      <c r="AO226" s="126"/>
      <c r="AP226" s="13">
        <f t="shared" si="114"/>
        <v>1665.0000000000318</v>
      </c>
      <c r="AQ226" s="15" t="str">
        <f>IF(ISNUMBER([1]HRT_SRT!R280),[1]HRT_SRT!R280,"")</f>
        <v/>
      </c>
      <c r="AR226" s="17" t="e">
        <f t="shared" si="115"/>
        <v>#VALUE!</v>
      </c>
      <c r="AS226" s="16"/>
      <c r="AT226" s="16" t="e">
        <f t="shared" si="97"/>
        <v>#DIV/0!</v>
      </c>
      <c r="AU226" s="16" t="e">
        <f t="shared" si="116"/>
        <v>#DIV/0!</v>
      </c>
      <c r="AV226" s="57" t="str">
        <f t="shared" si="98"/>
        <v/>
      </c>
      <c r="AW226" s="57" t="str">
        <f t="shared" si="99"/>
        <v/>
      </c>
      <c r="AX226" s="57" t="str">
        <f t="shared" si="100"/>
        <v/>
      </c>
      <c r="AY226" s="57" t="str">
        <f t="shared" si="102"/>
        <v/>
      </c>
      <c r="AZ226" s="57" t="str">
        <f t="shared" si="103"/>
        <v/>
      </c>
      <c r="BA226" s="123"/>
      <c r="BB226" s="123" t="str">
        <f t="shared" si="117"/>
        <v/>
      </c>
      <c r="BC226" s="123"/>
      <c r="BD226" s="123" t="str">
        <f t="shared" si="104"/>
        <v/>
      </c>
      <c r="BE226" s="6" t="str">
        <f t="shared" si="101"/>
        <v/>
      </c>
      <c r="BF226" s="6" t="str">
        <f t="shared" si="109"/>
        <v/>
      </c>
    </row>
    <row r="227" spans="1:58" ht="15.75">
      <c r="B227" s="94">
        <v>45487</v>
      </c>
      <c r="C227" s="128"/>
      <c r="D227" s="3">
        <v>222</v>
      </c>
      <c r="E227" s="205" t="str">
        <f t="shared" si="106"/>
        <v/>
      </c>
      <c r="I227" s="15">
        <f t="shared" si="108"/>
        <v>0</v>
      </c>
      <c r="K227" s="10" t="str">
        <f t="shared" si="85"/>
        <v/>
      </c>
      <c r="L227" s="9" t="str">
        <f t="shared" si="86"/>
        <v/>
      </c>
      <c r="M227" s="8" t="str">
        <f t="shared" si="87"/>
        <v/>
      </c>
      <c r="S227" s="23"/>
      <c r="AB227" s="5">
        <v>80</v>
      </c>
      <c r="AC227" s="7">
        <f t="shared" si="118"/>
        <v>0</v>
      </c>
      <c r="AG227" s="1">
        <v>0.02</v>
      </c>
      <c r="AH227" s="119">
        <v>0.47974537037037035</v>
      </c>
      <c r="AJ227" s="93">
        <v>93.6</v>
      </c>
      <c r="AK227" s="3">
        <v>180</v>
      </c>
      <c r="AL227" s="4">
        <f t="shared" si="113"/>
        <v>0</v>
      </c>
      <c r="AN227" s="80">
        <f t="shared" si="95"/>
        <v>100</v>
      </c>
      <c r="AO227" s="126"/>
      <c r="AP227" s="13">
        <f t="shared" si="114"/>
        <v>1830.0000000000637</v>
      </c>
      <c r="AQ227" s="15" t="str">
        <f>IF(ISNUMBER([1]HRT_SRT!R281),[1]HRT_SRT!R281,"")</f>
        <v/>
      </c>
      <c r="AR227" s="17" t="e">
        <f t="shared" si="115"/>
        <v>#VALUE!</v>
      </c>
      <c r="AS227" s="16"/>
      <c r="AT227" s="16" t="e">
        <f t="shared" si="97"/>
        <v>#DIV/0!</v>
      </c>
      <c r="AU227" s="16" t="e">
        <f t="shared" si="116"/>
        <v>#DIV/0!</v>
      </c>
      <c r="AV227" s="57" t="str">
        <f t="shared" si="98"/>
        <v/>
      </c>
      <c r="AW227" s="57" t="str">
        <f t="shared" si="99"/>
        <v/>
      </c>
      <c r="AX227" s="57" t="str">
        <f t="shared" si="100"/>
        <v/>
      </c>
      <c r="AY227" s="57" t="str">
        <f t="shared" si="102"/>
        <v/>
      </c>
      <c r="AZ227" s="57" t="str">
        <f t="shared" si="103"/>
        <v/>
      </c>
      <c r="BA227" s="123"/>
      <c r="BB227" s="123" t="str">
        <f t="shared" si="117"/>
        <v/>
      </c>
      <c r="BC227" s="123"/>
      <c r="BD227" s="123" t="str">
        <f t="shared" si="104"/>
        <v/>
      </c>
      <c r="BE227" s="6" t="str">
        <f t="shared" si="101"/>
        <v/>
      </c>
      <c r="BF227" s="6" t="str">
        <f t="shared" si="109"/>
        <v/>
      </c>
    </row>
    <row r="228" spans="1:58" ht="15.75">
      <c r="B228" s="94">
        <v>45488</v>
      </c>
      <c r="C228" s="128"/>
      <c r="D228" s="3">
        <v>223</v>
      </c>
      <c r="E228" s="205">
        <f t="shared" si="106"/>
        <v>198.92297000000002</v>
      </c>
      <c r="G228" s="15">
        <f>(N228*18-H228*18)/9</f>
        <v>22.879999999999995</v>
      </c>
      <c r="H228" s="9">
        <v>8.9600000000000009</v>
      </c>
      <c r="I228" s="15">
        <f t="shared" si="108"/>
        <v>10.45</v>
      </c>
      <c r="K228" s="10">
        <f t="shared" si="85"/>
        <v>8.6941857517482539</v>
      </c>
      <c r="L228" s="9">
        <f t="shared" si="86"/>
        <v>9.5178454545454567</v>
      </c>
      <c r="M228" s="8">
        <f t="shared" si="87"/>
        <v>0.91346153846153855</v>
      </c>
      <c r="N228" s="7">
        <v>20.399999999999999</v>
      </c>
      <c r="O228" s="6">
        <v>70.655000000000001</v>
      </c>
      <c r="P228" s="6">
        <v>15.9</v>
      </c>
      <c r="Q228" s="6">
        <f>O228*1.067</f>
        <v>75.388885000000002</v>
      </c>
      <c r="R228" s="6">
        <f>P228*1.514</f>
        <v>24.072600000000001</v>
      </c>
      <c r="S228" s="23">
        <f>P228*1.514+O228*1.067</f>
        <v>99.46148500000001</v>
      </c>
      <c r="T228" s="6">
        <v>22.2</v>
      </c>
      <c r="W228" s="6">
        <f>1.262+1.214</f>
        <v>2.476</v>
      </c>
      <c r="AB228" s="5">
        <v>80</v>
      </c>
      <c r="AC228" s="7">
        <f t="shared" si="118"/>
        <v>22.2</v>
      </c>
      <c r="AD228" s="1">
        <f>5*2.09</f>
        <v>10.45</v>
      </c>
      <c r="AE228" s="1">
        <v>21.2</v>
      </c>
      <c r="AF228" s="1">
        <v>0</v>
      </c>
      <c r="AG228" s="1">
        <v>0.02</v>
      </c>
      <c r="AH228" s="119">
        <v>0.47974537037037035</v>
      </c>
      <c r="AJ228" s="93">
        <v>93.6</v>
      </c>
      <c r="AK228" s="3">
        <v>180</v>
      </c>
      <c r="AL228" s="4">
        <f t="shared" si="113"/>
        <v>21.2</v>
      </c>
      <c r="AM228" s="1">
        <v>19.54</v>
      </c>
      <c r="AN228" s="80">
        <f t="shared" si="95"/>
        <v>100</v>
      </c>
      <c r="AO228" s="126"/>
      <c r="AP228" s="13">
        <f t="shared" si="114"/>
        <v>1830.0000000000637</v>
      </c>
      <c r="AQ228" s="15" t="str">
        <f>IF(ISNUMBER([1]HRT_SRT!R282),[1]HRT_SRT!R282,"")</f>
        <v/>
      </c>
      <c r="AR228" s="17">
        <f t="shared" si="115"/>
        <v>0.98755297088114058</v>
      </c>
      <c r="AS228" s="16">
        <f>(I228-AF228)/I228</f>
        <v>1</v>
      </c>
      <c r="AT228" s="16">
        <f t="shared" si="97"/>
        <v>1.9138755980861247E-3</v>
      </c>
      <c r="AU228" s="16">
        <f t="shared" si="116"/>
        <v>0.14597902097902085</v>
      </c>
      <c r="AV228" s="57">
        <f t="shared" si="98"/>
        <v>196.44697000000002</v>
      </c>
      <c r="AW228" s="57">
        <f t="shared" si="99"/>
        <v>10.45</v>
      </c>
      <c r="AX228" s="57">
        <f t="shared" si="100"/>
        <v>3.3399999999999963</v>
      </c>
      <c r="AY228" s="57">
        <f t="shared" si="102"/>
        <v>1</v>
      </c>
      <c r="AZ228" s="57">
        <f t="shared" si="103"/>
        <v>1.6600000000000001</v>
      </c>
      <c r="BA228" s="123">
        <f t="shared" ref="BA228:BA270" si="119">IF(AND($E228&gt;0,$W228&gt;0),IF(($E228-$W228)/$E228&gt;0,($E228-$W228)/$E228,0),"")</f>
        <v>0.98755297088114058</v>
      </c>
      <c r="BB228" s="123">
        <f t="shared" si="117"/>
        <v>1</v>
      </c>
      <c r="BC228" s="123">
        <f>IF(AND($AG228&gt;=0,$AD228&gt;=0,$AF228&gt;=0),IF($AG228/($AD228-$AF228)&gt;0,$AG228/($AD228-$AF228),0),"")</f>
        <v>1.9138755980861247E-3</v>
      </c>
      <c r="BD228" s="123">
        <f t="shared" si="104"/>
        <v>0.14597902097902085</v>
      </c>
      <c r="BE228" s="6">
        <f t="shared" si="101"/>
        <v>6.6987179487179489</v>
      </c>
      <c r="BF228" s="6"/>
    </row>
    <row r="229" spans="1:58" ht="15.75">
      <c r="B229" s="94">
        <v>45489</v>
      </c>
      <c r="C229" s="128"/>
      <c r="D229" s="120">
        <v>224</v>
      </c>
      <c r="E229" s="205">
        <f t="shared" si="106"/>
        <v>256.86887400000001</v>
      </c>
      <c r="G229" s="15">
        <f>(N229*18-H229*18)/9</f>
        <v>21.45</v>
      </c>
      <c r="H229" s="6">
        <f>5*3.83/2</f>
        <v>9.5749999999999993</v>
      </c>
      <c r="I229" s="15">
        <f t="shared" si="108"/>
        <v>13.89</v>
      </c>
      <c r="K229" s="10">
        <f t="shared" ref="K229:K292" si="120">IF(OR(E229="",G229="",E229=0,G229=0),"",E229/G229)</f>
        <v>11.975238881118882</v>
      </c>
      <c r="L229" s="9">
        <f t="shared" ref="L229:L292" si="121">IF(OR(E229="",I229="",E229=0,I229=0),"",E229/(I229*2))</f>
        <v>9.2465397408207348</v>
      </c>
      <c r="M229" s="8">
        <f t="shared" ref="M229:M292" si="122">IF(OR(I229="",G229="",I229=0,G229=0),"",I229*2/G229)</f>
        <v>1.2951048951048951</v>
      </c>
      <c r="N229" s="7">
        <f>5*4.06</f>
        <v>20.299999999999997</v>
      </c>
      <c r="O229" s="6">
        <v>95.361000000000004</v>
      </c>
      <c r="P229" s="6">
        <v>17.625</v>
      </c>
      <c r="Q229" s="6">
        <f>O229*1.067</f>
        <v>101.750187</v>
      </c>
      <c r="R229" s="6">
        <f>P229*1.514</f>
        <v>26.684249999999999</v>
      </c>
      <c r="S229" s="23">
        <f>P229*1.514+O229*1.067</f>
        <v>128.434437</v>
      </c>
      <c r="W229" s="6">
        <f>2.748+2.131</f>
        <v>4.8789999999999996</v>
      </c>
      <c r="X229" s="6">
        <v>7.52</v>
      </c>
      <c r="AB229" s="5">
        <v>80</v>
      </c>
      <c r="AC229" s="7">
        <f t="shared" si="118"/>
        <v>0</v>
      </c>
      <c r="AD229" s="1">
        <v>13.89</v>
      </c>
      <c r="AF229" s="1">
        <v>0</v>
      </c>
      <c r="AG229" s="1">
        <v>0.04</v>
      </c>
      <c r="AH229" s="119">
        <v>0.47974537037037035</v>
      </c>
      <c r="AJ229" s="1">
        <v>180</v>
      </c>
      <c r="AK229" s="3">
        <v>180</v>
      </c>
      <c r="AM229" s="1">
        <f>5*3.58</f>
        <v>17.899999999999999</v>
      </c>
      <c r="AN229" s="80">
        <f t="shared" si="95"/>
        <v>100</v>
      </c>
      <c r="AO229" s="126">
        <f>[1]HRT_SRT!P283</f>
        <v>1830.0000000000637</v>
      </c>
      <c r="AP229" s="13">
        <f t="shared" si="114"/>
        <v>1830.0000000000637</v>
      </c>
      <c r="AQ229" s="15">
        <f>IF(ISNUMBER([1]HRT_SRT!R283),[1]HRT_SRT!R283,"")</f>
        <v>19.276685393260173</v>
      </c>
      <c r="AR229" s="17">
        <f t="shared" si="115"/>
        <v>0.98100587305879661</v>
      </c>
      <c r="AS229" s="16"/>
      <c r="AT229" s="16">
        <f t="shared" si="97"/>
        <v>2.8797696184305254E-3</v>
      </c>
      <c r="AU229" s="16">
        <f t="shared" si="116"/>
        <v>0.16550116550116553</v>
      </c>
      <c r="AV229" s="57">
        <f t="shared" si="98"/>
        <v>251.98987400000001</v>
      </c>
      <c r="AW229" s="57">
        <f t="shared" si="99"/>
        <v>13.89</v>
      </c>
      <c r="AX229" s="57">
        <f t="shared" si="100"/>
        <v>3.5500000000000007</v>
      </c>
      <c r="AY229" s="57" t="str">
        <f t="shared" si="102"/>
        <v/>
      </c>
      <c r="AZ229" s="57" t="str">
        <f t="shared" si="103"/>
        <v/>
      </c>
      <c r="BA229" s="123">
        <f t="shared" si="119"/>
        <v>0.98100587305879661</v>
      </c>
      <c r="BB229" s="123">
        <f t="shared" si="117"/>
        <v>1</v>
      </c>
      <c r="BC229" s="123"/>
      <c r="BD229" s="123">
        <f t="shared" si="104"/>
        <v>0.16550116550116553</v>
      </c>
      <c r="BE229" s="6">
        <f t="shared" si="101"/>
        <v>4.63</v>
      </c>
      <c r="BF229" s="6"/>
    </row>
    <row r="230" spans="1:58" ht="15.75">
      <c r="B230" s="94">
        <v>45490</v>
      </c>
      <c r="C230" s="128"/>
      <c r="D230" s="3">
        <v>225</v>
      </c>
      <c r="E230" s="205">
        <f t="shared" si="106"/>
        <v>228.31905799999998</v>
      </c>
      <c r="G230" s="15">
        <f>(N230*18-H230*18)/9</f>
        <v>27.04</v>
      </c>
      <c r="H230" s="9">
        <v>10.7</v>
      </c>
      <c r="I230" s="15">
        <f t="shared" si="108"/>
        <v>13.65</v>
      </c>
      <c r="K230" s="10">
        <f t="shared" si="120"/>
        <v>8.4437521449704143</v>
      </c>
      <c r="L230" s="9">
        <f t="shared" si="121"/>
        <v>8.3633354578754577</v>
      </c>
      <c r="M230" s="8">
        <f t="shared" si="122"/>
        <v>1.0096153846153846</v>
      </c>
      <c r="N230" s="7">
        <v>24.22</v>
      </c>
      <c r="O230" s="6">
        <v>77.991</v>
      </c>
      <c r="P230" s="6">
        <v>20.437999999999999</v>
      </c>
      <c r="Q230" s="6">
        <f>O230*1.067</f>
        <v>83.216397000000001</v>
      </c>
      <c r="R230" s="6">
        <f>P230*1.514</f>
        <v>30.943131999999999</v>
      </c>
      <c r="S230" s="23">
        <f>P230*1.514+O230*1.067</f>
        <v>114.15952899999999</v>
      </c>
      <c r="T230" s="6">
        <v>28.13</v>
      </c>
      <c r="W230">
        <f>3.749+3.788</f>
        <v>7.5369999999999999</v>
      </c>
      <c r="X230" s="6">
        <v>5.19</v>
      </c>
      <c r="AB230" s="5">
        <v>80</v>
      </c>
      <c r="AC230" s="7">
        <f t="shared" si="118"/>
        <v>28.13</v>
      </c>
      <c r="AD230" s="1">
        <f>5*2.73</f>
        <v>13.65</v>
      </c>
      <c r="AE230" s="1">
        <v>24.52</v>
      </c>
      <c r="AF230" s="1">
        <v>4.2</v>
      </c>
      <c r="AG230" s="1">
        <v>7.0000000000000007E-2</v>
      </c>
      <c r="AH230" s="119">
        <v>0.47974537037037035</v>
      </c>
      <c r="AJ230" s="93">
        <v>93.6</v>
      </c>
      <c r="AK230" s="3">
        <v>180</v>
      </c>
      <c r="AL230" s="4">
        <f>AE230</f>
        <v>24.52</v>
      </c>
      <c r="AM230" s="1">
        <v>21.97</v>
      </c>
      <c r="AN230" s="80">
        <f t="shared" si="95"/>
        <v>100</v>
      </c>
      <c r="AO230" s="126"/>
      <c r="AP230" s="13">
        <f t="shared" si="114"/>
        <v>1830.0000000000637</v>
      </c>
      <c r="AQ230" s="15" t="str">
        <f>IF(ISNUMBER([1]HRT_SRT!R284),[1]HRT_SRT!R284,"")</f>
        <v/>
      </c>
      <c r="AR230" s="17">
        <f t="shared" si="115"/>
        <v>0.96698917704889964</v>
      </c>
      <c r="AS230" s="16">
        <f>(I230-AF230)/I230</f>
        <v>0.69230769230769229</v>
      </c>
      <c r="AT230" s="16">
        <f t="shared" si="97"/>
        <v>7.4074074074074086E-3</v>
      </c>
      <c r="AU230" s="16">
        <f t="shared" si="116"/>
        <v>0.18750000000000003</v>
      </c>
      <c r="AV230" s="57">
        <f t="shared" si="98"/>
        <v>220.78205799999998</v>
      </c>
      <c r="AW230" s="57">
        <f t="shared" si="99"/>
        <v>9.4499999999999993</v>
      </c>
      <c r="AX230" s="57">
        <f t="shared" si="100"/>
        <v>5.07</v>
      </c>
      <c r="AY230" s="57">
        <f t="shared" si="102"/>
        <v>3.6099999999999994</v>
      </c>
      <c r="AZ230" s="57">
        <f t="shared" si="103"/>
        <v>2.5500000000000007</v>
      </c>
      <c r="BA230" s="123">
        <f t="shared" si="119"/>
        <v>0.96698917704889964</v>
      </c>
      <c r="BB230" s="123">
        <f t="shared" si="117"/>
        <v>0.69230769230769229</v>
      </c>
      <c r="BC230" s="123">
        <f>IF(AND($AG230&gt;=0,$AD230&gt;=0,$AF230&gt;=0),IF($AG230/($AD230-$AF230)&gt;0,$AG230/($AD230-$AF230),0),"")</f>
        <v>7.4074074074074086E-3</v>
      </c>
      <c r="BD230" s="123">
        <f t="shared" si="104"/>
        <v>0.18750000000000003</v>
      </c>
      <c r="BE230" s="6">
        <f t="shared" si="101"/>
        <v>6.0576923076923075</v>
      </c>
      <c r="BF230" s="6"/>
    </row>
    <row r="231" spans="1:58" ht="15.75">
      <c r="A231" s="12" t="s">
        <v>128</v>
      </c>
      <c r="B231" s="94">
        <v>45491</v>
      </c>
      <c r="C231" s="128"/>
      <c r="D231" s="3">
        <v>226</v>
      </c>
      <c r="E231" s="205">
        <f t="shared" si="106"/>
        <v>240.95952999999997</v>
      </c>
      <c r="G231" s="9">
        <f>2*14.27</f>
        <v>28.54</v>
      </c>
      <c r="I231" s="15">
        <f t="shared" si="108"/>
        <v>12.7</v>
      </c>
      <c r="J231" s="9"/>
      <c r="K231" s="10">
        <f t="shared" si="120"/>
        <v>8.442870707778555</v>
      </c>
      <c r="L231" s="9">
        <f t="shared" si="121"/>
        <v>9.4865956692913382</v>
      </c>
      <c r="M231" s="8">
        <f t="shared" si="122"/>
        <v>0.88997897687456196</v>
      </c>
      <c r="N231" s="6"/>
      <c r="O231" s="6">
        <v>81.802999999999997</v>
      </c>
      <c r="P231" s="6">
        <v>21.925999999999998</v>
      </c>
      <c r="Q231" s="6">
        <f>O231*1.067</f>
        <v>87.283800999999997</v>
      </c>
      <c r="R231" s="6">
        <f>P231*1.514</f>
        <v>33.195963999999996</v>
      </c>
      <c r="S231" s="23">
        <f>P231*1.514+O231*1.067</f>
        <v>120.47976499999999</v>
      </c>
      <c r="T231" s="6">
        <v>28.25</v>
      </c>
      <c r="W231">
        <f>3.761+3.977</f>
        <v>7.7379999999999995</v>
      </c>
      <c r="X231" s="6">
        <v>8</v>
      </c>
      <c r="AB231" s="6">
        <v>80</v>
      </c>
      <c r="AC231" s="7">
        <f t="shared" si="118"/>
        <v>28.25</v>
      </c>
      <c r="AD231" s="1">
        <f>5*2.54</f>
        <v>12.7</v>
      </c>
      <c r="AE231" s="1">
        <v>24.3</v>
      </c>
      <c r="AF231" s="1">
        <v>3.11</v>
      </c>
      <c r="AG231">
        <v>0.38</v>
      </c>
      <c r="AH231" s="119">
        <v>0.76412037037037039</v>
      </c>
      <c r="AJ231" s="93">
        <v>93.6</v>
      </c>
      <c r="AK231" s="3">
        <v>180</v>
      </c>
      <c r="AL231" s="4">
        <f>AE231</f>
        <v>24.3</v>
      </c>
      <c r="AM231" s="1">
        <v>22.4</v>
      </c>
      <c r="AN231" s="80">
        <f t="shared" si="95"/>
        <v>100</v>
      </c>
      <c r="AO231" s="126"/>
      <c r="AP231" s="13">
        <f t="shared" si="114"/>
        <v>1830.0000000000637</v>
      </c>
      <c r="AQ231" s="15" t="str">
        <f>IF(ISNUMBER([1]HRT_SRT!R285),[1]HRT_SRT!R285,"")</f>
        <v/>
      </c>
      <c r="AR231" s="17">
        <f t="shared" si="115"/>
        <v>0.9678867235506311</v>
      </c>
      <c r="AS231" s="16">
        <f>(I231-AF231)/I231</f>
        <v>0.75511811023622055</v>
      </c>
      <c r="AT231" s="16">
        <f t="shared" si="97"/>
        <v>3.9624608967674661E-2</v>
      </c>
      <c r="AU231" s="16">
        <f t="shared" si="116"/>
        <v>0.2151366503153469</v>
      </c>
      <c r="AV231" s="57">
        <f t="shared" si="98"/>
        <v>233.22152999999997</v>
      </c>
      <c r="AW231" s="57">
        <f t="shared" si="99"/>
        <v>9.59</v>
      </c>
      <c r="AX231" s="57">
        <f t="shared" si="100"/>
        <v>6.1400000000000006</v>
      </c>
      <c r="AY231" s="57">
        <f t="shared" si="102"/>
        <v>3.9499999999999993</v>
      </c>
      <c r="AZ231" s="57">
        <f t="shared" si="103"/>
        <v>1.9000000000000021</v>
      </c>
      <c r="BA231" s="123">
        <f t="shared" si="119"/>
        <v>0.9678867235506311</v>
      </c>
      <c r="BB231" s="123">
        <f t="shared" si="117"/>
        <v>0.75511811023622055</v>
      </c>
      <c r="BC231" s="123">
        <f>IF(AND($AG231&gt;=0,$AD231&gt;=0,$AF231&gt;=0),IF($AG231/($AD231-$AF231)&gt;0,$AG231/($AD231-$AF231),0),"")</f>
        <v>3.9624608967674661E-2</v>
      </c>
      <c r="BD231" s="123">
        <f t="shared" si="104"/>
        <v>0.2151366503153469</v>
      </c>
      <c r="BE231" s="6">
        <f t="shared" si="101"/>
        <v>6.1474358974358978</v>
      </c>
      <c r="BF231" s="6"/>
    </row>
    <row r="232" spans="1:58" ht="15.75">
      <c r="A232" s="25" t="s">
        <v>127</v>
      </c>
      <c r="B232" s="94">
        <v>45492</v>
      </c>
      <c r="C232" s="128"/>
      <c r="D232" s="3">
        <v>227</v>
      </c>
      <c r="E232" s="205">
        <f t="shared" si="106"/>
        <v>212.68141999999997</v>
      </c>
      <c r="G232" s="15">
        <f>(N232*18-H232*18)/9</f>
        <v>30.220000000000002</v>
      </c>
      <c r="H232" s="9">
        <v>8.19</v>
      </c>
      <c r="I232" s="15">
        <f t="shared" si="108"/>
        <v>10.3</v>
      </c>
      <c r="K232" s="10">
        <f t="shared" si="120"/>
        <v>7.0377703507610843</v>
      </c>
      <c r="L232" s="9">
        <f t="shared" si="121"/>
        <v>10.324340776699028</v>
      </c>
      <c r="M232" s="8">
        <f t="shared" si="122"/>
        <v>0.68166776968894771</v>
      </c>
      <c r="N232" s="7">
        <v>23.3</v>
      </c>
      <c r="O232" s="6">
        <v>75.373999999999995</v>
      </c>
      <c r="P232" s="6">
        <v>17.117999999999999</v>
      </c>
      <c r="Q232" s="6">
        <f>O232*1.067</f>
        <v>80.424057999999988</v>
      </c>
      <c r="R232" s="6">
        <f>P232*1.514</f>
        <v>25.916651999999999</v>
      </c>
      <c r="S232" s="23">
        <f>P232*1.514+O232*1.067</f>
        <v>106.34070999999999</v>
      </c>
      <c r="T232" s="6">
        <v>32.04</v>
      </c>
      <c r="W232">
        <f>1.111+1.23</f>
        <v>2.3410000000000002</v>
      </c>
      <c r="X232" s="6">
        <v>7.14</v>
      </c>
      <c r="AB232" s="5">
        <v>80</v>
      </c>
      <c r="AC232" s="7">
        <f t="shared" si="118"/>
        <v>32.04</v>
      </c>
      <c r="AD232" s="1">
        <f>5*2.06</f>
        <v>10.3</v>
      </c>
      <c r="AE232" s="1">
        <v>29.65</v>
      </c>
      <c r="AF232" s="1">
        <v>3.42</v>
      </c>
      <c r="AG232">
        <v>0.19</v>
      </c>
      <c r="AH232" s="119">
        <v>0.47916666666666669</v>
      </c>
      <c r="AJ232" s="93">
        <v>93.6</v>
      </c>
      <c r="AK232" s="3">
        <v>180</v>
      </c>
      <c r="AL232" s="4">
        <f>AE232</f>
        <v>29.65</v>
      </c>
      <c r="AM232" s="1">
        <v>25.89</v>
      </c>
      <c r="AN232" s="80">
        <f t="shared" si="95"/>
        <v>100</v>
      </c>
      <c r="AO232" s="126"/>
      <c r="AP232" s="13">
        <f t="shared" si="114"/>
        <v>1720.0000000000273</v>
      </c>
      <c r="AQ232" s="15" t="str">
        <f>IF(ISNUMBER([1]HRT_SRT!R286),[1]HRT_SRT!R286,"")</f>
        <v/>
      </c>
      <c r="AR232" s="17">
        <f t="shared" si="115"/>
        <v>0.98899292660355564</v>
      </c>
      <c r="AS232" s="16">
        <f>(I232-AF232)/I232</f>
        <v>0.66796116504854375</v>
      </c>
      <c r="AT232" s="16">
        <f t="shared" si="97"/>
        <v>2.7616279069767439E-2</v>
      </c>
      <c r="AU232" s="16">
        <f t="shared" si="116"/>
        <v>0.14328259430840509</v>
      </c>
      <c r="AV232" s="57">
        <f t="shared" si="98"/>
        <v>210.34041999999997</v>
      </c>
      <c r="AW232" s="57">
        <f t="shared" si="99"/>
        <v>6.8800000000000008</v>
      </c>
      <c r="AX232" s="2">
        <f t="shared" si="100"/>
        <v>4.3300000000000018</v>
      </c>
      <c r="AY232" s="57">
        <f t="shared" si="102"/>
        <v>2.3900000000000006</v>
      </c>
      <c r="AZ232" s="57">
        <f t="shared" si="103"/>
        <v>3.759999999999998</v>
      </c>
      <c r="BA232" s="123">
        <f t="shared" si="119"/>
        <v>0.98899292660355564</v>
      </c>
      <c r="BB232" s="123">
        <f t="shared" si="117"/>
        <v>0.66796116504854375</v>
      </c>
      <c r="BC232" s="123">
        <f>IF(AND($AG232&gt;=0,$AD232&gt;=0,$AF232&gt;=0),IF($AG232/($AD232-$AF232)&gt;0,$AG232/($AD232-$AF232),0),"")</f>
        <v>2.7616279069767439E-2</v>
      </c>
      <c r="BD232" s="123">
        <f t="shared" si="104"/>
        <v>0.14328259430840509</v>
      </c>
      <c r="BE232" s="6">
        <f t="shared" si="101"/>
        <v>4.4102564102564115</v>
      </c>
      <c r="BF232" s="6"/>
    </row>
    <row r="233" spans="1:58" ht="15.75">
      <c r="A233" s="12" t="s">
        <v>126</v>
      </c>
      <c r="B233" s="94">
        <v>45493</v>
      </c>
      <c r="C233" s="128"/>
      <c r="D233" s="3">
        <v>228</v>
      </c>
      <c r="E233" s="205" t="str">
        <f t="shared" si="106"/>
        <v/>
      </c>
      <c r="I233" s="15">
        <f t="shared" si="108"/>
        <v>0</v>
      </c>
      <c r="K233" s="10" t="str">
        <f t="shared" si="120"/>
        <v/>
      </c>
      <c r="L233" s="9" t="str">
        <f t="shared" si="121"/>
        <v/>
      </c>
      <c r="M233" s="8" t="str">
        <f t="shared" si="122"/>
        <v/>
      </c>
      <c r="S233" s="23"/>
      <c r="AB233" s="5">
        <v>80</v>
      </c>
      <c r="AJ233" s="93">
        <v>93.6</v>
      </c>
      <c r="AK233" s="3">
        <v>180</v>
      </c>
      <c r="AN233" s="80">
        <f t="shared" si="95"/>
        <v>100</v>
      </c>
      <c r="AO233" s="126"/>
      <c r="AP233" s="13">
        <f t="shared" si="114"/>
        <v>1720.0000000000273</v>
      </c>
      <c r="AQ233" s="15" t="str">
        <f>IF(ISNUMBER([1]HRT_SRT!R287),[1]HRT_SRT!R287,"")</f>
        <v/>
      </c>
      <c r="AR233" s="17" t="e">
        <f t="shared" si="115"/>
        <v>#VALUE!</v>
      </c>
      <c r="AS233" s="16"/>
      <c r="AT233" s="16" t="e">
        <f t="shared" si="97"/>
        <v>#DIV/0!</v>
      </c>
      <c r="AU233" s="16" t="e">
        <f t="shared" si="116"/>
        <v>#DIV/0!</v>
      </c>
      <c r="AV233" s="57" t="str">
        <f t="shared" si="98"/>
        <v/>
      </c>
      <c r="AW233" s="57" t="str">
        <f t="shared" si="99"/>
        <v/>
      </c>
      <c r="AY233" s="57" t="str">
        <f t="shared" si="102"/>
        <v/>
      </c>
      <c r="AZ233" s="57" t="str">
        <f t="shared" si="103"/>
        <v/>
      </c>
      <c r="BA233" s="123" t="str">
        <f t="shared" si="119"/>
        <v/>
      </c>
      <c r="BB233" s="123" t="str">
        <f t="shared" si="117"/>
        <v/>
      </c>
      <c r="BC233" s="123"/>
      <c r="BD233" s="123" t="str">
        <f t="shared" si="104"/>
        <v/>
      </c>
      <c r="BE233" s="6" t="str">
        <f t="shared" si="101"/>
        <v/>
      </c>
      <c r="BF233" s="6" t="str">
        <f>IF(OR(AJ233=0,AP233=0,NOT(ISNUMBER(AD233)),NOT(ISNUMBER(AF233)),NOT(ISNUMBER(AJ233)),NOT(ISNUMBER(AP233))),"",
IFERROR(IF((AD233-AF233)/(AJ233/60)/(AP233/1000)&lt;=0,"",(AD233-AF233)/(AJ233/60)/(AP233/1000)),""))</f>
        <v/>
      </c>
    </row>
    <row r="234" spans="1:58" ht="15.75">
      <c r="A234" s="121">
        <v>8.8999999999999996E-2</v>
      </c>
      <c r="B234" s="94">
        <v>45494</v>
      </c>
      <c r="C234" s="128"/>
      <c r="D234" s="3">
        <v>229</v>
      </c>
      <c r="E234" s="205" t="str">
        <f t="shared" si="106"/>
        <v/>
      </c>
      <c r="I234" s="15">
        <f t="shared" si="108"/>
        <v>0</v>
      </c>
      <c r="J234" s="9"/>
      <c r="K234" s="10" t="str">
        <f t="shared" si="120"/>
        <v/>
      </c>
      <c r="L234" s="9" t="str">
        <f t="shared" si="121"/>
        <v/>
      </c>
      <c r="M234" s="8" t="str">
        <f t="shared" si="122"/>
        <v/>
      </c>
      <c r="N234" s="6"/>
      <c r="S234" s="23"/>
      <c r="AB234" s="5">
        <v>80</v>
      </c>
      <c r="AC234" s="1"/>
      <c r="AJ234" s="93">
        <v>93.6</v>
      </c>
      <c r="AK234" s="3">
        <v>180</v>
      </c>
      <c r="AL234" s="1"/>
      <c r="AN234" s="80">
        <f t="shared" si="95"/>
        <v>100</v>
      </c>
      <c r="AO234" s="126"/>
      <c r="AP234" s="13">
        <f t="shared" si="114"/>
        <v>1720.0000000000273</v>
      </c>
      <c r="AQ234" s="15" t="str">
        <f>IF(ISNUMBER([1]HRT_SRT!R288),[1]HRT_SRT!R288,"")</f>
        <v/>
      </c>
      <c r="AR234" s="17" t="e">
        <f t="shared" si="115"/>
        <v>#VALUE!</v>
      </c>
      <c r="AS234" s="16"/>
      <c r="AT234" s="16" t="e">
        <f t="shared" si="97"/>
        <v>#DIV/0!</v>
      </c>
      <c r="AU234" s="16" t="e">
        <f t="shared" si="116"/>
        <v>#DIV/0!</v>
      </c>
      <c r="AV234" s="57" t="str">
        <f t="shared" si="98"/>
        <v/>
      </c>
      <c r="AW234" s="57" t="str">
        <f t="shared" si="99"/>
        <v/>
      </c>
      <c r="AY234" s="57" t="str">
        <f t="shared" si="102"/>
        <v/>
      </c>
      <c r="AZ234" s="57" t="str">
        <f t="shared" si="103"/>
        <v/>
      </c>
      <c r="BA234" s="123" t="str">
        <f t="shared" si="119"/>
        <v/>
      </c>
      <c r="BB234" s="123" t="str">
        <f t="shared" si="117"/>
        <v/>
      </c>
      <c r="BC234" s="123"/>
      <c r="BD234" s="123" t="str">
        <f t="shared" si="104"/>
        <v/>
      </c>
      <c r="BE234" s="6" t="str">
        <f t="shared" si="101"/>
        <v/>
      </c>
      <c r="BF234" s="6" t="str">
        <f>IF(OR(AJ234=0,AP234=0,NOT(ISNUMBER(AD234)),NOT(ISNUMBER(AF234)),NOT(ISNUMBER(AJ234)),NOT(ISNUMBER(AP234))),"",
IFERROR(IF((AD234-AF234)/(AJ234/60)/(AP234/1000)&lt;=0,"",(AD234-AF234)/(AJ234/60)/(AP234/1000)),""))</f>
        <v/>
      </c>
    </row>
    <row r="235" spans="1:58" s="27" customFormat="1" ht="15.75">
      <c r="A235" s="130" t="s">
        <v>120</v>
      </c>
      <c r="B235" s="129">
        <v>45495</v>
      </c>
      <c r="C235" s="128"/>
      <c r="D235" s="29">
        <v>230</v>
      </c>
      <c r="E235" s="205">
        <f t="shared" si="106"/>
        <v>251.44638199999997</v>
      </c>
      <c r="F235" s="36"/>
      <c r="G235" s="77">
        <f>(N235*18-H235*18)/9</f>
        <v>0</v>
      </c>
      <c r="H235" s="36"/>
      <c r="I235" s="15">
        <f t="shared" si="108"/>
        <v>13.799999999999999</v>
      </c>
      <c r="J235" s="35"/>
      <c r="K235" s="10" t="str">
        <f t="shared" si="120"/>
        <v/>
      </c>
      <c r="L235" s="9">
        <f t="shared" si="121"/>
        <v>9.110376159420289</v>
      </c>
      <c r="M235" s="8" t="str">
        <f t="shared" si="122"/>
        <v/>
      </c>
      <c r="N235" s="34"/>
      <c r="O235" s="33">
        <v>91.200999999999993</v>
      </c>
      <c r="P235" s="33">
        <v>18.765999999999998</v>
      </c>
      <c r="Q235" s="6">
        <f>O235*1.067</f>
        <v>97.311466999999993</v>
      </c>
      <c r="R235" s="6">
        <f>P235*1.514</f>
        <v>28.411723999999996</v>
      </c>
      <c r="S235" s="23">
        <f>P235*1.514+O235*1.067</f>
        <v>125.72319099999999</v>
      </c>
      <c r="T235" s="33"/>
      <c r="U235" s="33"/>
      <c r="V235" s="33"/>
      <c r="W235" s="33">
        <v>0</v>
      </c>
      <c r="X235" s="33"/>
      <c r="Y235" s="33"/>
      <c r="Z235" s="33"/>
      <c r="AA235" s="33"/>
      <c r="AB235" s="74">
        <v>80</v>
      </c>
      <c r="AC235" s="32"/>
      <c r="AD235" s="27">
        <f>5*2.76</f>
        <v>13.799999999999999</v>
      </c>
      <c r="AF235" s="27">
        <v>6.05</v>
      </c>
      <c r="AJ235" s="93">
        <v>93.6</v>
      </c>
      <c r="AK235" s="29">
        <v>180</v>
      </c>
      <c r="AL235" s="32"/>
      <c r="AN235" s="87">
        <f t="shared" si="95"/>
        <v>100</v>
      </c>
      <c r="AO235" s="127"/>
      <c r="AP235" s="13">
        <f t="shared" si="114"/>
        <v>1720.0000000000273</v>
      </c>
      <c r="AQ235" s="77" t="str">
        <f>IF(ISNUMBER([1]HRT_SRT!R289),[1]HRT_SRT!R289,"")</f>
        <v/>
      </c>
      <c r="AR235" s="31">
        <f t="shared" si="115"/>
        <v>1</v>
      </c>
      <c r="AS235" s="30">
        <f t="shared" ref="AS235:AS271" si="123">(I235-AF235)/I235</f>
        <v>0.56159420289855067</v>
      </c>
      <c r="AT235" s="30">
        <f t="shared" si="97"/>
        <v>0</v>
      </c>
      <c r="AU235" s="30" t="e">
        <f t="shared" si="116"/>
        <v>#DIV/0!</v>
      </c>
      <c r="AV235" s="73">
        <f t="shared" si="98"/>
        <v>251.44638199999997</v>
      </c>
      <c r="AW235" s="73">
        <f t="shared" si="99"/>
        <v>7.7499999999999991</v>
      </c>
      <c r="AX235" s="28"/>
      <c r="AY235" s="57" t="str">
        <f t="shared" si="102"/>
        <v/>
      </c>
      <c r="AZ235" s="57" t="str">
        <f t="shared" si="103"/>
        <v/>
      </c>
      <c r="BA235" s="123" t="str">
        <f t="shared" si="119"/>
        <v/>
      </c>
      <c r="BB235" s="123">
        <f t="shared" si="117"/>
        <v>0.56159420289855067</v>
      </c>
      <c r="BC235" s="123">
        <f t="shared" ref="BC235:BC249" si="124">IF(AND($AG235&gt;=0,$AD235&gt;=0,$AF235&gt;=0),IF($AG235/($AD235-$AF235)&gt;0,$AG235/($AD235-$AF235),0),"")</f>
        <v>0</v>
      </c>
      <c r="BD235" s="123" t="str">
        <f t="shared" si="104"/>
        <v/>
      </c>
      <c r="BE235" s="6">
        <f t="shared" si="101"/>
        <v>4.9679487179487181</v>
      </c>
      <c r="BF235" s="6"/>
    </row>
    <row r="236" spans="1:58" ht="45">
      <c r="A236" s="12" t="s">
        <v>125</v>
      </c>
      <c r="B236" s="11">
        <v>45496</v>
      </c>
      <c r="D236" s="3">
        <v>231</v>
      </c>
      <c r="E236" s="205">
        <f t="shared" si="106"/>
        <v>156.63560000000001</v>
      </c>
      <c r="G236" s="15">
        <f>(N236*18-H236*18)/9</f>
        <v>21.9</v>
      </c>
      <c r="H236" s="9">
        <f>5*1.59</f>
        <v>7.95</v>
      </c>
      <c r="I236" s="15">
        <f t="shared" si="108"/>
        <v>17.809999999999999</v>
      </c>
      <c r="K236" s="10">
        <f t="shared" si="120"/>
        <v>7.1523105022831057</v>
      </c>
      <c r="L236" s="9">
        <f t="shared" si="121"/>
        <v>4.3974059517125212</v>
      </c>
      <c r="M236" s="8">
        <f t="shared" si="122"/>
        <v>1.6264840182648401</v>
      </c>
      <c r="N236" s="7">
        <f>5*3.78</f>
        <v>18.899999999999999</v>
      </c>
      <c r="O236">
        <v>73.400000000000006</v>
      </c>
      <c r="Q236" s="6">
        <f>O236*1.067</f>
        <v>78.317800000000005</v>
      </c>
      <c r="R236" s="6">
        <f>P236*1.514</f>
        <v>0</v>
      </c>
      <c r="S236" s="23">
        <f>P236*1.514+O236*1.067</f>
        <v>78.317800000000005</v>
      </c>
      <c r="T236" s="6">
        <f>5*4.5</f>
        <v>22.5</v>
      </c>
      <c r="W236" s="23">
        <f>U236*1.067+V236*1.514</f>
        <v>0</v>
      </c>
      <c r="X236" s="6">
        <v>4.72</v>
      </c>
      <c r="AB236" s="5">
        <v>80</v>
      </c>
      <c r="AC236" s="7">
        <f>T236</f>
        <v>22.5</v>
      </c>
      <c r="AD236" s="6">
        <v>17.809999999999999</v>
      </c>
      <c r="AE236" s="1">
        <f>5*4.55</f>
        <v>22.75</v>
      </c>
      <c r="AF236" s="6">
        <v>1.42</v>
      </c>
      <c r="AG236" s="1">
        <v>0</v>
      </c>
      <c r="AH236" s="119">
        <v>0.52083333333333337</v>
      </c>
      <c r="AJ236" s="1">
        <f>134-84</f>
        <v>50</v>
      </c>
      <c r="AK236" s="3">
        <v>180</v>
      </c>
      <c r="AL236" s="1">
        <f>5*4.55</f>
        <v>22.75</v>
      </c>
      <c r="AM236" s="1">
        <f>5*4.27</f>
        <v>21.349999999999998</v>
      </c>
      <c r="AN236" s="80">
        <f t="shared" si="95"/>
        <v>100</v>
      </c>
      <c r="AO236" s="126">
        <f>[1]HRT_SRT!P290</f>
        <v>1720.0000000000273</v>
      </c>
      <c r="AP236" s="13">
        <f t="shared" si="114"/>
        <v>1720.0000000000273</v>
      </c>
      <c r="AQ236" s="15">
        <f>IF(ISNUMBER([1]HRT_SRT!R290),[1]HRT_SRT!R290,"")</f>
        <v>10.97094259390509</v>
      </c>
      <c r="AR236" s="17">
        <f t="shared" si="115"/>
        <v>1</v>
      </c>
      <c r="AS236" s="16">
        <f t="shared" si="123"/>
        <v>0.92026951151038749</v>
      </c>
      <c r="AT236" s="16">
        <f t="shared" si="97"/>
        <v>0</v>
      </c>
      <c r="AU236" s="16">
        <f t="shared" si="116"/>
        <v>2.5114155251141586E-2</v>
      </c>
      <c r="AV236" s="57">
        <f t="shared" si="98"/>
        <v>156.63560000000001</v>
      </c>
      <c r="AW236" s="57">
        <f t="shared" si="99"/>
        <v>16.39</v>
      </c>
      <c r="AX236" s="57">
        <f t="shared" ref="AX236:AX299" si="125">IF(AND(ISNUMBER(AM236),ISNUMBER(G236)),G236-AM236,"")</f>
        <v>0.55000000000000071</v>
      </c>
      <c r="AY236" s="57">
        <f t="shared" si="102"/>
        <v>-0.25</v>
      </c>
      <c r="AZ236" s="57">
        <f t="shared" si="103"/>
        <v>1.4000000000000021</v>
      </c>
      <c r="BA236" s="84" t="str">
        <f t="shared" si="119"/>
        <v/>
      </c>
      <c r="BB236" s="84">
        <f t="shared" si="117"/>
        <v>0.92026951151038749</v>
      </c>
      <c r="BC236" s="84">
        <f t="shared" si="124"/>
        <v>0</v>
      </c>
      <c r="BD236" s="84">
        <f t="shared" si="104"/>
        <v>2.5114155251141586E-2</v>
      </c>
      <c r="BE236" s="6">
        <f t="shared" si="101"/>
        <v>19.667999999999999</v>
      </c>
      <c r="BF236" s="6">
        <f t="shared" ref="BF236:BF250" si="126">IF(OR(AJ236=0,AP236=0,NOT(ISNUMBER(AD236)),NOT(ISNUMBER(AF236)),NOT(ISNUMBER(AJ236)),NOT(ISNUMBER(AP236))),"",
IFERROR(IF((AD236-AF236)/(AJ236/60)/(AP236/1000)&lt;=0,"",(AD236-AF236)/(AJ236/60)/(AP236/1000)),""))</f>
        <v>11.434883720930051</v>
      </c>
    </row>
    <row r="237" spans="1:58" ht="15.75">
      <c r="B237" s="11">
        <v>45497</v>
      </c>
      <c r="D237" s="3">
        <v>232</v>
      </c>
      <c r="E237" s="205">
        <f t="shared" si="106"/>
        <v>194.430182</v>
      </c>
      <c r="G237" s="15">
        <f>(N237*18-H237*18)/9</f>
        <v>19.950000000000003</v>
      </c>
      <c r="H237" s="6">
        <f>5/2*3.8</f>
        <v>9.5</v>
      </c>
      <c r="I237" s="15">
        <f t="shared" si="108"/>
        <v>14.65</v>
      </c>
      <c r="K237" s="10">
        <f t="shared" si="120"/>
        <v>9.7458737844611516</v>
      </c>
      <c r="L237" s="9">
        <f t="shared" si="121"/>
        <v>6.6358423890784985</v>
      </c>
      <c r="M237" s="8">
        <f t="shared" si="122"/>
        <v>1.4686716791979948</v>
      </c>
      <c r="N237" s="7">
        <f>5/2*7.79</f>
        <v>19.475000000000001</v>
      </c>
      <c r="O237">
        <v>66.881</v>
      </c>
      <c r="P237">
        <v>17.076000000000001</v>
      </c>
      <c r="Q237" s="6">
        <f>O237*1.067</f>
        <v>71.362026999999998</v>
      </c>
      <c r="R237" s="6">
        <f>P237*1.514</f>
        <v>25.853064</v>
      </c>
      <c r="S237" s="23">
        <f>P237*1.514+O237*1.067</f>
        <v>97.215091000000001</v>
      </c>
      <c r="T237" s="6">
        <f>5/2*8.95</f>
        <v>22.375</v>
      </c>
      <c r="U237">
        <f>3.316*1.067</f>
        <v>3.5381719999999999</v>
      </c>
      <c r="V237">
        <v>3.3519999999999999</v>
      </c>
      <c r="W237" s="23">
        <f>U237*1.067+V237*1.514</f>
        <v>8.8501575240000001</v>
      </c>
      <c r="X237" s="6">
        <v>7.27</v>
      </c>
      <c r="AB237" s="5">
        <v>80</v>
      </c>
      <c r="AC237" s="7">
        <f>T237</f>
        <v>22.375</v>
      </c>
      <c r="AD237" s="6">
        <f>5*2.93</f>
        <v>14.65</v>
      </c>
      <c r="AE237" s="6">
        <f>5/2*7.36</f>
        <v>18.400000000000002</v>
      </c>
      <c r="AF237" s="6">
        <v>3.09</v>
      </c>
      <c r="AG237">
        <v>0.04</v>
      </c>
      <c r="AH237" s="119">
        <v>0.52083333333333337</v>
      </c>
      <c r="AJ237" s="1">
        <v>180</v>
      </c>
      <c r="AK237" s="3">
        <v>180</v>
      </c>
      <c r="AL237" s="4">
        <f>AE237</f>
        <v>18.400000000000002</v>
      </c>
      <c r="AM237" s="6">
        <f>5/2*6.76</f>
        <v>16.899999999999999</v>
      </c>
      <c r="AN237" s="80">
        <f t="shared" si="95"/>
        <v>100</v>
      </c>
      <c r="AP237" s="13">
        <f t="shared" si="114"/>
        <v>1720.0000000000273</v>
      </c>
      <c r="AQ237" s="15" t="str">
        <f>IF(ISNUMBER([1]HRT_SRT!R291),[1]HRT_SRT!R291,"")</f>
        <v/>
      </c>
      <c r="AR237" s="17">
        <f t="shared" si="115"/>
        <v>0.95448156539811291</v>
      </c>
      <c r="AS237" s="16">
        <f t="shared" si="123"/>
        <v>0.7890784982935154</v>
      </c>
      <c r="AT237" s="16">
        <f t="shared" si="97"/>
        <v>3.4602076124567475E-3</v>
      </c>
      <c r="AU237" s="16">
        <f t="shared" si="116"/>
        <v>0.15288220551378465</v>
      </c>
      <c r="AV237" s="57">
        <f t="shared" si="98"/>
        <v>185.58002447600001</v>
      </c>
      <c r="AW237" s="57">
        <f t="shared" si="99"/>
        <v>11.56</v>
      </c>
      <c r="AX237" s="57">
        <f t="shared" si="125"/>
        <v>3.0500000000000043</v>
      </c>
      <c r="AY237" s="57">
        <f t="shared" si="102"/>
        <v>3.9749999999999979</v>
      </c>
      <c r="AZ237" s="57">
        <f t="shared" si="103"/>
        <v>1.5000000000000036</v>
      </c>
      <c r="BA237" s="84">
        <f t="shared" si="119"/>
        <v>0.95448156539811291</v>
      </c>
      <c r="BB237" s="84">
        <f t="shared" si="117"/>
        <v>0.7890784982935154</v>
      </c>
      <c r="BC237" s="84">
        <f t="shared" si="124"/>
        <v>3.4602076124567475E-3</v>
      </c>
      <c r="BD237" s="84">
        <f t="shared" si="104"/>
        <v>0.15288220551378465</v>
      </c>
      <c r="BE237" s="6">
        <f t="shared" si="101"/>
        <v>3.8533333333333335</v>
      </c>
      <c r="BF237" s="6">
        <f t="shared" si="126"/>
        <v>2.2403100775193443</v>
      </c>
    </row>
    <row r="238" spans="1:58" ht="15.75">
      <c r="B238" s="11">
        <v>45498</v>
      </c>
      <c r="D238" s="3">
        <v>233</v>
      </c>
      <c r="E238" s="205">
        <f t="shared" si="106"/>
        <v>234.61115999999998</v>
      </c>
      <c r="G238" s="15">
        <f>(N238*18-H238*18)/9</f>
        <v>21.749999999999996</v>
      </c>
      <c r="H238" s="6">
        <f>5/2*3.58</f>
        <v>8.9499999999999993</v>
      </c>
      <c r="I238" s="15">
        <f t="shared" si="108"/>
        <v>15.25</v>
      </c>
      <c r="K238" s="10">
        <f t="shared" si="120"/>
        <v>10.786720000000001</v>
      </c>
      <c r="L238" s="9">
        <f t="shared" si="121"/>
        <v>7.692169180327868</v>
      </c>
      <c r="M238" s="8">
        <f t="shared" si="122"/>
        <v>1.4022988505747129</v>
      </c>
      <c r="N238" s="7">
        <f>5/2*7.93</f>
        <v>19.824999999999999</v>
      </c>
      <c r="O238">
        <v>83.81</v>
      </c>
      <c r="P238">
        <v>18.414999999999999</v>
      </c>
      <c r="Q238" s="6">
        <f>O238*1.067</f>
        <v>89.425269999999998</v>
      </c>
      <c r="R238" s="6">
        <f>P238*1.514</f>
        <v>27.880309999999998</v>
      </c>
      <c r="S238" s="23">
        <f>P238*1.514+O238*1.067</f>
        <v>117.30557999999999</v>
      </c>
      <c r="T238" s="6">
        <f>5/2*9.2</f>
        <v>23</v>
      </c>
      <c r="U238">
        <f>0.257*1.067</f>
        <v>0.27421899999999999</v>
      </c>
      <c r="V238">
        <v>0.29599999999999999</v>
      </c>
      <c r="W238" s="23">
        <f>U238*1.067+V238*1.514</f>
        <v>0.74073567299999998</v>
      </c>
      <c r="AB238" s="5">
        <v>80</v>
      </c>
      <c r="AC238" s="7">
        <f>T238</f>
        <v>23</v>
      </c>
      <c r="AD238" s="6">
        <f>5*3.05</f>
        <v>15.25</v>
      </c>
      <c r="AE238" s="6">
        <f>5/2*7.95</f>
        <v>19.875</v>
      </c>
      <c r="AF238" s="6">
        <v>6.56</v>
      </c>
      <c r="AG238">
        <v>0.02</v>
      </c>
      <c r="AH238" s="119">
        <v>0.52083333333333337</v>
      </c>
      <c r="AJ238" s="1">
        <v>180</v>
      </c>
      <c r="AK238" s="3">
        <v>180</v>
      </c>
      <c r="AL238" s="4">
        <f>AE238</f>
        <v>19.875</v>
      </c>
      <c r="AM238" s="6">
        <f>5/2*7.67</f>
        <v>19.175000000000001</v>
      </c>
      <c r="AN238" s="80">
        <f t="shared" si="95"/>
        <v>100</v>
      </c>
      <c r="AP238" s="13">
        <f t="shared" si="114"/>
        <v>1720.0000000000273</v>
      </c>
      <c r="AQ238" s="15" t="str">
        <f>IF(ISNUMBER([1]HRT_SRT!R292),[1]HRT_SRT!R292,"")</f>
        <v/>
      </c>
      <c r="AR238" s="17">
        <f t="shared" si="115"/>
        <v>0.99684270913199535</v>
      </c>
      <c r="AS238" s="16">
        <f t="shared" si="123"/>
        <v>0.56983606557377053</v>
      </c>
      <c r="AT238" s="16">
        <f t="shared" si="97"/>
        <v>2.3014959723820479E-3</v>
      </c>
      <c r="AU238" s="16">
        <f t="shared" si="116"/>
        <v>0.11839080459770097</v>
      </c>
      <c r="AV238" s="57">
        <f t="shared" si="98"/>
        <v>233.87042432699999</v>
      </c>
      <c r="AW238" s="57">
        <f t="shared" si="99"/>
        <v>8.6900000000000013</v>
      </c>
      <c r="AX238" s="57">
        <f t="shared" si="125"/>
        <v>2.5749999999999957</v>
      </c>
      <c r="AY238" s="57">
        <f t="shared" si="102"/>
        <v>3.125</v>
      </c>
      <c r="AZ238" s="57">
        <f t="shared" si="103"/>
        <v>0.69999999999999929</v>
      </c>
      <c r="BA238" s="84">
        <f t="shared" si="119"/>
        <v>0.99684270913199535</v>
      </c>
      <c r="BB238" s="84">
        <f t="shared" si="117"/>
        <v>0.56983606557377053</v>
      </c>
      <c r="BC238" s="84">
        <f t="shared" si="124"/>
        <v>2.3014959723820479E-3</v>
      </c>
      <c r="BD238" s="84">
        <f t="shared" si="104"/>
        <v>0.11839080459770097</v>
      </c>
      <c r="BE238" s="6">
        <f t="shared" si="101"/>
        <v>2.8966666666666669</v>
      </c>
      <c r="BF238" s="6">
        <f t="shared" si="126"/>
        <v>1.6841085271317564</v>
      </c>
    </row>
    <row r="239" spans="1:58" ht="15.75">
      <c r="B239" s="11">
        <v>45499</v>
      </c>
      <c r="D239" s="3">
        <v>234</v>
      </c>
      <c r="E239" s="205">
        <f t="shared" si="106"/>
        <v>200.10993200000001</v>
      </c>
      <c r="G239" s="9">
        <f>(N239*18-H239*18)/9</f>
        <v>10.600000000000001</v>
      </c>
      <c r="H239" s="6">
        <f>5/2*3.86</f>
        <v>9.65</v>
      </c>
      <c r="I239" s="15">
        <f t="shared" si="108"/>
        <v>15</v>
      </c>
      <c r="K239" s="10">
        <f t="shared" si="120"/>
        <v>18.878295471698113</v>
      </c>
      <c r="L239" s="9">
        <f t="shared" si="121"/>
        <v>6.6703310666666669</v>
      </c>
      <c r="M239" s="8">
        <f t="shared" si="122"/>
        <v>2.8301886792452828</v>
      </c>
      <c r="N239" s="7">
        <f>5/2*5.98</f>
        <v>14.950000000000001</v>
      </c>
      <c r="O239">
        <v>72.903999999999996</v>
      </c>
      <c r="P239">
        <v>14.707000000000001</v>
      </c>
      <c r="Q239" s="6">
        <f>O239*1.067</f>
        <v>77.788567999999998</v>
      </c>
      <c r="R239" s="6">
        <f>P239*1.514</f>
        <v>22.266398000000002</v>
      </c>
      <c r="S239" s="23">
        <f>P239*1.514+O239*1.067</f>
        <v>100.05496600000001</v>
      </c>
      <c r="T239" s="6">
        <f>5/2*9.13</f>
        <v>22.825000000000003</v>
      </c>
      <c r="U239">
        <f>0.16*1.067</f>
        <v>0.17071999999999998</v>
      </c>
      <c r="V239" s="6">
        <v>0</v>
      </c>
      <c r="W239" s="23">
        <f>U239*1.067+V239*1.514</f>
        <v>0.18215823999999997</v>
      </c>
      <c r="AB239" s="5">
        <v>80</v>
      </c>
      <c r="AC239" s="7">
        <f>T239</f>
        <v>22.825000000000003</v>
      </c>
      <c r="AD239" s="6">
        <f>4*3.75</f>
        <v>15</v>
      </c>
      <c r="AE239" s="6">
        <f>5/2*7.67</f>
        <v>19.175000000000001</v>
      </c>
      <c r="AF239" s="6">
        <v>0</v>
      </c>
      <c r="AG239" s="1">
        <v>0</v>
      </c>
      <c r="AH239" s="119">
        <v>0.52083333333333337</v>
      </c>
      <c r="AJ239" s="93">
        <v>97</v>
      </c>
      <c r="AK239" s="3">
        <v>180</v>
      </c>
      <c r="AL239" s="4">
        <f>AE239</f>
        <v>19.175000000000001</v>
      </c>
      <c r="AM239" s="6">
        <f>5/2*7.15</f>
        <v>17.875</v>
      </c>
      <c r="AN239" s="80">
        <f t="shared" si="95"/>
        <v>100</v>
      </c>
      <c r="AP239" s="13">
        <f t="shared" si="114"/>
        <v>2060.0000000000364</v>
      </c>
      <c r="AQ239" s="15" t="str">
        <f>IF(ISNUMBER([1]HRT_SRT!R293),[1]HRT_SRT!R293,"")</f>
        <v/>
      </c>
      <c r="AR239" s="17">
        <f t="shared" si="115"/>
        <v>0.99908970915046835</v>
      </c>
      <c r="AS239" s="16">
        <f t="shared" si="123"/>
        <v>1</v>
      </c>
      <c r="AT239" s="16">
        <f t="shared" si="97"/>
        <v>0</v>
      </c>
      <c r="AU239" s="16">
        <f t="shared" si="116"/>
        <v>-0.68632075471698095</v>
      </c>
      <c r="AV239" s="57">
        <f t="shared" si="98"/>
        <v>199.92777376000001</v>
      </c>
      <c r="AW239" s="57">
        <f t="shared" si="99"/>
        <v>15</v>
      </c>
      <c r="AX239" s="57">
        <f t="shared" si="125"/>
        <v>-7.2749999999999986</v>
      </c>
      <c r="AY239" s="57">
        <f t="shared" si="102"/>
        <v>3.6500000000000021</v>
      </c>
      <c r="AZ239" s="57">
        <f t="shared" si="103"/>
        <v>1.3000000000000007</v>
      </c>
      <c r="BA239" s="84">
        <f t="shared" si="119"/>
        <v>0.99908970915046835</v>
      </c>
      <c r="BB239" s="84">
        <f t="shared" si="117"/>
        <v>1</v>
      </c>
      <c r="BC239" s="84">
        <f t="shared" si="124"/>
        <v>0</v>
      </c>
      <c r="BD239" s="84">
        <f t="shared" si="104"/>
        <v>0</v>
      </c>
      <c r="BE239" s="6">
        <f t="shared" si="101"/>
        <v>9.2783505154639165</v>
      </c>
      <c r="BF239" s="6">
        <f t="shared" si="126"/>
        <v>4.5040536482833753</v>
      </c>
    </row>
    <row r="240" spans="1:58" ht="15.75">
      <c r="B240" s="11">
        <v>45500</v>
      </c>
      <c r="D240" s="3">
        <v>235</v>
      </c>
      <c r="E240" s="205" t="str">
        <f t="shared" si="106"/>
        <v/>
      </c>
      <c r="I240" s="15">
        <f t="shared" si="108"/>
        <v>0</v>
      </c>
      <c r="K240" s="10" t="str">
        <f t="shared" si="120"/>
        <v/>
      </c>
      <c r="L240" s="9" t="str">
        <f t="shared" si="121"/>
        <v/>
      </c>
      <c r="M240" s="8" t="str">
        <f t="shared" si="122"/>
        <v/>
      </c>
      <c r="AB240" s="5">
        <v>80</v>
      </c>
      <c r="AD240" s="6"/>
      <c r="AF240" s="6"/>
      <c r="AG240" s="1">
        <v>0</v>
      </c>
      <c r="AH240" s="119">
        <v>0.52083333333333337</v>
      </c>
      <c r="AJ240" s="93">
        <v>97</v>
      </c>
      <c r="AK240" s="3">
        <v>180</v>
      </c>
      <c r="AN240" s="80">
        <f t="shared" si="95"/>
        <v>100</v>
      </c>
      <c r="AP240" s="13">
        <f t="shared" si="114"/>
        <v>2060.0000000000364</v>
      </c>
      <c r="AQ240" s="15" t="str">
        <f>IF(ISNUMBER([1]HRT_SRT!R294),[1]HRT_SRT!R294,"")</f>
        <v/>
      </c>
      <c r="AR240" s="17" t="e">
        <f t="shared" si="115"/>
        <v>#VALUE!</v>
      </c>
      <c r="AS240" s="16" t="e">
        <f t="shared" si="123"/>
        <v>#DIV/0!</v>
      </c>
      <c r="AT240" s="16" t="e">
        <f t="shared" si="97"/>
        <v>#DIV/0!</v>
      </c>
      <c r="AU240" s="16" t="e">
        <f t="shared" si="116"/>
        <v>#DIV/0!</v>
      </c>
      <c r="AV240" s="57" t="str">
        <f t="shared" si="98"/>
        <v/>
      </c>
      <c r="AW240" s="57" t="str">
        <f t="shared" si="99"/>
        <v/>
      </c>
      <c r="AX240" s="57" t="str">
        <f t="shared" si="125"/>
        <v/>
      </c>
      <c r="AY240" s="57" t="str">
        <f t="shared" si="102"/>
        <v/>
      </c>
      <c r="AZ240" s="57" t="str">
        <f t="shared" si="103"/>
        <v/>
      </c>
      <c r="BA240" s="84" t="str">
        <f t="shared" si="119"/>
        <v/>
      </c>
      <c r="BB240" s="84" t="str">
        <f t="shared" si="117"/>
        <v/>
      </c>
      <c r="BC240" s="84" t="e">
        <f t="shared" si="124"/>
        <v>#DIV/0!</v>
      </c>
      <c r="BD240" s="84" t="str">
        <f t="shared" si="104"/>
        <v/>
      </c>
      <c r="BE240" s="6" t="str">
        <f t="shared" si="101"/>
        <v/>
      </c>
      <c r="BF240" s="6" t="str">
        <f t="shared" si="126"/>
        <v/>
      </c>
    </row>
    <row r="241" spans="1:58" ht="15.75">
      <c r="B241" s="11">
        <v>45501</v>
      </c>
      <c r="D241" s="3">
        <v>236</v>
      </c>
      <c r="E241" s="205" t="str">
        <f t="shared" si="106"/>
        <v/>
      </c>
      <c r="I241" s="15">
        <f t="shared" si="108"/>
        <v>0</v>
      </c>
      <c r="K241" s="10" t="str">
        <f t="shared" si="120"/>
        <v/>
      </c>
      <c r="L241" s="9" t="str">
        <f t="shared" si="121"/>
        <v/>
      </c>
      <c r="M241" s="8" t="str">
        <f t="shared" si="122"/>
        <v/>
      </c>
      <c r="AB241" s="5">
        <v>80</v>
      </c>
      <c r="AG241">
        <v>0.35</v>
      </c>
      <c r="AH241" s="119">
        <v>0.48298611111111112</v>
      </c>
      <c r="AJ241" s="93">
        <v>97</v>
      </c>
      <c r="AK241" s="3">
        <v>180</v>
      </c>
      <c r="AN241" s="80">
        <f t="shared" si="95"/>
        <v>100</v>
      </c>
      <c r="AP241" s="13">
        <f t="shared" si="114"/>
        <v>2060.0000000000364</v>
      </c>
      <c r="AQ241" s="15"/>
      <c r="AR241" s="17" t="e">
        <f t="shared" si="115"/>
        <v>#VALUE!</v>
      </c>
      <c r="AS241" s="16" t="e">
        <f t="shared" si="123"/>
        <v>#DIV/0!</v>
      </c>
      <c r="AT241" s="16" t="e">
        <f t="shared" si="97"/>
        <v>#DIV/0!</v>
      </c>
      <c r="AU241" s="16" t="e">
        <f t="shared" si="116"/>
        <v>#DIV/0!</v>
      </c>
      <c r="AV241" s="57" t="str">
        <f t="shared" si="98"/>
        <v/>
      </c>
      <c r="AW241" s="57" t="str">
        <f t="shared" si="99"/>
        <v/>
      </c>
      <c r="AX241" s="57" t="str">
        <f t="shared" si="125"/>
        <v/>
      </c>
      <c r="AY241" s="57" t="str">
        <f t="shared" si="102"/>
        <v/>
      </c>
      <c r="AZ241" s="57" t="str">
        <f t="shared" si="103"/>
        <v/>
      </c>
      <c r="BA241" s="84" t="str">
        <f t="shared" si="119"/>
        <v/>
      </c>
      <c r="BB241" s="84" t="str">
        <f t="shared" si="117"/>
        <v/>
      </c>
      <c r="BC241" s="84" t="e">
        <f t="shared" si="124"/>
        <v>#DIV/0!</v>
      </c>
      <c r="BD241" s="84" t="str">
        <f t="shared" si="104"/>
        <v/>
      </c>
      <c r="BE241" s="6" t="str">
        <f t="shared" si="101"/>
        <v/>
      </c>
      <c r="BF241" s="6" t="str">
        <f t="shared" si="126"/>
        <v/>
      </c>
    </row>
    <row r="242" spans="1:58" ht="15.75">
      <c r="A242" s="12" t="s">
        <v>120</v>
      </c>
      <c r="B242" s="11">
        <v>45502</v>
      </c>
      <c r="D242" s="3">
        <v>237</v>
      </c>
      <c r="E242" s="205">
        <f t="shared" si="106"/>
        <v>169.29057599999999</v>
      </c>
      <c r="G242" s="15">
        <f>(N242*18-H242*18)/9</f>
        <v>15.800000000000002</v>
      </c>
      <c r="H242" s="9">
        <f>2*6.55</f>
        <v>13.1</v>
      </c>
      <c r="I242" s="15">
        <f t="shared" ref="I242:I271" si="127">AD242</f>
        <v>13.55</v>
      </c>
      <c r="K242" s="10">
        <f t="shared" si="120"/>
        <v>10.714593417721517</v>
      </c>
      <c r="L242" s="9">
        <f t="shared" si="121"/>
        <v>6.2468847232472315</v>
      </c>
      <c r="M242" s="8">
        <f t="shared" si="122"/>
        <v>1.7151898734177213</v>
      </c>
      <c r="N242" s="7">
        <f>2*10.5</f>
        <v>21</v>
      </c>
      <c r="O242">
        <v>60.64</v>
      </c>
      <c r="P242">
        <v>13.172000000000001</v>
      </c>
      <c r="Q242" s="6">
        <f>O242*1.067</f>
        <v>64.702879999999993</v>
      </c>
      <c r="R242" s="6">
        <f>P242*1.514</f>
        <v>19.942408</v>
      </c>
      <c r="S242" s="23">
        <f>P242*1.514+O242*1.067</f>
        <v>84.645287999999994</v>
      </c>
      <c r="T242" s="6">
        <f>2*11.8</f>
        <v>23.6</v>
      </c>
      <c r="U242">
        <f>0.741*1.067</f>
        <v>0.79064699999999999</v>
      </c>
      <c r="V242">
        <v>0.57299999999999995</v>
      </c>
      <c r="W242" s="23">
        <f>U242*1.067+V242*1.514</f>
        <v>1.7111423489999997</v>
      </c>
      <c r="X242" s="6">
        <v>4.0599999999999996</v>
      </c>
      <c r="AB242" s="5">
        <v>80</v>
      </c>
      <c r="AC242" s="7">
        <f>T242</f>
        <v>23.6</v>
      </c>
      <c r="AD242" s="1">
        <f>5*2.71</f>
        <v>13.55</v>
      </c>
      <c r="AE242" s="1">
        <f>2*12.6</f>
        <v>25.2</v>
      </c>
      <c r="AF242" s="1">
        <v>0</v>
      </c>
      <c r="AG242" s="1">
        <v>0</v>
      </c>
      <c r="AH242" s="119">
        <v>0.89583333333333337</v>
      </c>
      <c r="AJ242" s="93">
        <v>97</v>
      </c>
      <c r="AK242" s="3">
        <v>180</v>
      </c>
      <c r="AL242" s="4">
        <f>AE242</f>
        <v>25.2</v>
      </c>
      <c r="AM242" s="1">
        <f>2*11.4</f>
        <v>22.8</v>
      </c>
      <c r="AN242" s="80">
        <f t="shared" si="95"/>
        <v>100</v>
      </c>
      <c r="AP242" s="13">
        <f t="shared" si="114"/>
        <v>2060.0000000000364</v>
      </c>
      <c r="AQ242" s="15"/>
      <c r="AR242" s="17">
        <f t="shared" si="115"/>
        <v>0.98989227640763655</v>
      </c>
      <c r="AS242" s="16">
        <f t="shared" si="123"/>
        <v>1</v>
      </c>
      <c r="AT242" s="16">
        <f t="shared" si="97"/>
        <v>0</v>
      </c>
      <c r="AU242" s="16">
        <f t="shared" si="116"/>
        <v>-0.44303797468354411</v>
      </c>
      <c r="AV242" s="57">
        <f t="shared" si="98"/>
        <v>167.57943365099999</v>
      </c>
      <c r="AW242" s="57">
        <f t="shared" si="99"/>
        <v>13.55</v>
      </c>
      <c r="AX242" s="57">
        <f t="shared" si="125"/>
        <v>-6.9999999999999982</v>
      </c>
      <c r="AY242" s="57">
        <f t="shared" si="102"/>
        <v>-1.5999999999999979</v>
      </c>
      <c r="AZ242" s="57">
        <f t="shared" si="103"/>
        <v>2.3999999999999986</v>
      </c>
      <c r="BA242" s="84">
        <f t="shared" si="119"/>
        <v>0.98989227640763655</v>
      </c>
      <c r="BB242" s="84">
        <f t="shared" si="117"/>
        <v>1</v>
      </c>
      <c r="BC242" s="84">
        <f t="shared" si="124"/>
        <v>0</v>
      </c>
      <c r="BD242" s="84">
        <f t="shared" si="104"/>
        <v>0</v>
      </c>
      <c r="BE242" s="6">
        <f t="shared" si="101"/>
        <v>8.3814432989690726</v>
      </c>
      <c r="BF242" s="6">
        <f t="shared" si="126"/>
        <v>4.0686617956159825</v>
      </c>
    </row>
    <row r="243" spans="1:58" ht="15.75">
      <c r="B243" s="11">
        <v>45503</v>
      </c>
      <c r="D243" s="3">
        <v>238</v>
      </c>
      <c r="E243" s="205">
        <f t="shared" si="106"/>
        <v>149.547686</v>
      </c>
      <c r="G243" s="15">
        <f>(N243*18-H243*18)/9</f>
        <v>16.350000000000005</v>
      </c>
      <c r="H243" s="9">
        <f>5/2*3.65</f>
        <v>9.125</v>
      </c>
      <c r="I243" s="15">
        <f t="shared" si="127"/>
        <v>15.8</v>
      </c>
      <c r="K243" s="10">
        <f t="shared" si="120"/>
        <v>9.1466474617736981</v>
      </c>
      <c r="L243" s="9">
        <f t="shared" si="121"/>
        <v>4.7325217088607596</v>
      </c>
      <c r="M243" s="8">
        <f t="shared" si="122"/>
        <v>1.9327217125382259</v>
      </c>
      <c r="N243" s="7">
        <f>5/2*6.92</f>
        <v>17.3</v>
      </c>
      <c r="O243">
        <v>53.741</v>
      </c>
      <c r="P243">
        <v>11.513999999999999</v>
      </c>
      <c r="Q243" s="6">
        <f>O243*1.067</f>
        <v>57.341646999999995</v>
      </c>
      <c r="R243" s="6">
        <f>P243*1.514</f>
        <v>17.432195999999998</v>
      </c>
      <c r="S243" s="23">
        <f>P243*1.514+O243*1.067</f>
        <v>74.773842999999999</v>
      </c>
      <c r="T243" s="6">
        <f>5/2*7.7</f>
        <v>19.25</v>
      </c>
      <c r="U243">
        <v>0.81599999999999995</v>
      </c>
      <c r="V243">
        <v>0.57399999999999995</v>
      </c>
      <c r="W243" s="23">
        <f>U243*1.067+V243*1.514</f>
        <v>1.7397079999999998</v>
      </c>
      <c r="X243" s="6">
        <v>3.73</v>
      </c>
      <c r="AB243" s="5">
        <v>80</v>
      </c>
      <c r="AC243" s="7">
        <f>T243</f>
        <v>19.25</v>
      </c>
      <c r="AD243" s="1">
        <f>5*3.16</f>
        <v>15.8</v>
      </c>
      <c r="AE243" s="1">
        <f>5/2*7.75</f>
        <v>19.375</v>
      </c>
      <c r="AF243" s="1">
        <v>0</v>
      </c>
      <c r="AG243" s="1">
        <v>0</v>
      </c>
      <c r="AH243" s="119">
        <v>0.52083333333333337</v>
      </c>
      <c r="AJ243" s="93">
        <v>97</v>
      </c>
      <c r="AK243" s="3">
        <v>180</v>
      </c>
      <c r="AL243" s="4">
        <f>AE243</f>
        <v>19.375</v>
      </c>
      <c r="AM243" s="1">
        <f>5/2*6.58</f>
        <v>16.45</v>
      </c>
      <c r="AN243" s="80">
        <f t="shared" si="95"/>
        <v>100</v>
      </c>
      <c r="AO243" s="2">
        <v>2060.0000000000364</v>
      </c>
      <c r="AP243" s="13">
        <f t="shared" si="114"/>
        <v>2060.0000000000364</v>
      </c>
      <c r="AQ243" s="15">
        <v>13.804914370811934</v>
      </c>
      <c r="AR243" s="17">
        <f t="shared" si="115"/>
        <v>0.988366867809643</v>
      </c>
      <c r="AS243" s="16">
        <f t="shared" si="123"/>
        <v>1</v>
      </c>
      <c r="AT243" s="16">
        <f t="shared" si="97"/>
        <v>0</v>
      </c>
      <c r="AU243" s="16">
        <f t="shared" si="116"/>
        <v>-6.1162079510699869E-3</v>
      </c>
      <c r="AV243" s="57">
        <f t="shared" si="98"/>
        <v>147.80797799999999</v>
      </c>
      <c r="AW243" s="57">
        <f t="shared" si="99"/>
        <v>15.8</v>
      </c>
      <c r="AX243" s="57">
        <f t="shared" si="125"/>
        <v>-9.9999999999994316E-2</v>
      </c>
      <c r="AY243" s="57">
        <f t="shared" si="102"/>
        <v>-0.125</v>
      </c>
      <c r="AZ243" s="57">
        <f t="shared" si="103"/>
        <v>2.9250000000000007</v>
      </c>
      <c r="BA243" s="84">
        <f t="shared" si="119"/>
        <v>0.988366867809643</v>
      </c>
      <c r="BB243" s="84">
        <f t="shared" si="117"/>
        <v>1</v>
      </c>
      <c r="BC243" s="84">
        <f t="shared" si="124"/>
        <v>0</v>
      </c>
      <c r="BD243" s="84">
        <f t="shared" si="104"/>
        <v>0</v>
      </c>
      <c r="BE243" s="6">
        <f t="shared" si="101"/>
        <v>9.7731958762886606</v>
      </c>
      <c r="BF243" s="6">
        <f t="shared" si="126"/>
        <v>4.7442698428584889</v>
      </c>
    </row>
    <row r="244" spans="1:58" s="27" customFormat="1" ht="15.75">
      <c r="A244" s="39" t="s">
        <v>124</v>
      </c>
      <c r="B244" s="38">
        <v>45504</v>
      </c>
      <c r="D244" s="29">
        <v>239</v>
      </c>
      <c r="E244" s="205">
        <f t="shared" si="106"/>
        <v>236.97861799999998</v>
      </c>
      <c r="F244" s="36"/>
      <c r="G244" s="77">
        <f>(N244*18-H244*18)/9</f>
        <v>14.08</v>
      </c>
      <c r="H244" s="36">
        <f>2*5.14</f>
        <v>10.28</v>
      </c>
      <c r="I244" s="15">
        <f t="shared" si="127"/>
        <v>15.049999999999999</v>
      </c>
      <c r="J244" s="35"/>
      <c r="K244" s="10">
        <f t="shared" si="120"/>
        <v>16.830867755681815</v>
      </c>
      <c r="L244" s="9">
        <f t="shared" si="121"/>
        <v>7.8730437873754155</v>
      </c>
      <c r="M244" s="8">
        <f t="shared" si="122"/>
        <v>2.1377840909090908</v>
      </c>
      <c r="N244" s="34">
        <f>2*8.66</f>
        <v>17.32</v>
      </c>
      <c r="O244" s="116">
        <v>84.094999999999999</v>
      </c>
      <c r="P244" s="116">
        <v>18.995999999999999</v>
      </c>
      <c r="Q244" s="33">
        <f>O244*1.067</f>
        <v>89.729365000000001</v>
      </c>
      <c r="R244" s="33">
        <f>P244*1.514</f>
        <v>28.759943999999997</v>
      </c>
      <c r="S244" s="75">
        <f>P244*1.514+O244*1.067</f>
        <v>118.48930899999999</v>
      </c>
      <c r="T244" s="33">
        <f>2*9.94</f>
        <v>19.88</v>
      </c>
      <c r="U244" s="116">
        <v>1.895</v>
      </c>
      <c r="V244" s="116">
        <v>1.734</v>
      </c>
      <c r="W244" s="33"/>
      <c r="X244" s="33">
        <v>4.7</v>
      </c>
      <c r="Y244" s="33"/>
      <c r="Z244" s="33"/>
      <c r="AA244" s="33"/>
      <c r="AB244" s="74">
        <v>80</v>
      </c>
      <c r="AC244" s="34">
        <f>T244</f>
        <v>19.88</v>
      </c>
      <c r="AD244" s="27">
        <f>5*3.01</f>
        <v>15.049999999999999</v>
      </c>
      <c r="AE244" s="27">
        <f>2*8.66</f>
        <v>17.32</v>
      </c>
      <c r="AF244" s="27">
        <v>0</v>
      </c>
      <c r="AG244" s="27">
        <v>0</v>
      </c>
      <c r="AH244" s="125">
        <v>0.52083333333333337</v>
      </c>
      <c r="AJ244">
        <v>97</v>
      </c>
      <c r="AK244" s="29">
        <v>180</v>
      </c>
      <c r="AL244" s="32">
        <f>AE244</f>
        <v>17.32</v>
      </c>
      <c r="AM244" s="27">
        <f>2*7.65</f>
        <v>15.3</v>
      </c>
      <c r="AN244" s="87">
        <f t="shared" si="95"/>
        <v>100</v>
      </c>
      <c r="AO244" s="28"/>
      <c r="AP244" s="13">
        <f t="shared" si="114"/>
        <v>2060.0000000000364</v>
      </c>
      <c r="AQ244" s="77"/>
      <c r="AR244" s="31">
        <f>(E244-W246)/E244</f>
        <v>0.98038961894865972</v>
      </c>
      <c r="AS244" s="30">
        <f t="shared" si="123"/>
        <v>1</v>
      </c>
      <c r="AT244" s="30">
        <f t="shared" si="97"/>
        <v>0</v>
      </c>
      <c r="AU244" s="30">
        <f t="shared" si="116"/>
        <v>-8.6647727272727321E-2</v>
      </c>
      <c r="AV244" s="73">
        <f>IF(AND(ISNUMBER(E244),ISNUMBER(W246)),E244-W246,"")</f>
        <v>232.33137699999997</v>
      </c>
      <c r="AW244" s="73">
        <f t="shared" si="99"/>
        <v>15.049999999999999</v>
      </c>
      <c r="AX244" s="73">
        <f t="shared" si="125"/>
        <v>-1.2200000000000006</v>
      </c>
      <c r="AY244" s="73">
        <f t="shared" si="102"/>
        <v>2.5599999999999987</v>
      </c>
      <c r="AZ244" s="73">
        <f t="shared" si="103"/>
        <v>2.0199999999999996</v>
      </c>
      <c r="BA244" s="115" t="str">
        <f t="shared" si="119"/>
        <v/>
      </c>
      <c r="BB244" s="115">
        <f t="shared" si="117"/>
        <v>1</v>
      </c>
      <c r="BC244" s="115">
        <f t="shared" si="124"/>
        <v>0</v>
      </c>
      <c r="BD244" s="115">
        <f t="shared" si="104"/>
        <v>0</v>
      </c>
      <c r="BE244" s="6">
        <f t="shared" si="101"/>
        <v>9.3092783505154628</v>
      </c>
      <c r="BF244" s="6">
        <f t="shared" si="126"/>
        <v>4.5190671604443198</v>
      </c>
    </row>
    <row r="245" spans="1:58" ht="15.75">
      <c r="A245" s="12" t="s">
        <v>123</v>
      </c>
      <c r="B245" s="11">
        <v>45505</v>
      </c>
      <c r="C245" s="1">
        <v>1</v>
      </c>
      <c r="D245" s="3">
        <v>240</v>
      </c>
      <c r="E245" s="205" t="str">
        <f t="shared" si="106"/>
        <v/>
      </c>
      <c r="I245" s="15">
        <f t="shared" si="127"/>
        <v>0</v>
      </c>
      <c r="K245" s="10" t="str">
        <f t="shared" si="120"/>
        <v/>
      </c>
      <c r="L245" s="9" t="str">
        <f t="shared" si="121"/>
        <v/>
      </c>
      <c r="M245" s="8" t="str">
        <f t="shared" si="122"/>
        <v/>
      </c>
      <c r="AB245" s="5">
        <v>80</v>
      </c>
      <c r="AG245" s="1">
        <v>0</v>
      </c>
      <c r="AH245" s="119">
        <v>0.52083333333333337</v>
      </c>
      <c r="AK245" s="3">
        <v>180</v>
      </c>
      <c r="AL245" s="4">
        <f>5/2*8.56</f>
        <v>21.400000000000002</v>
      </c>
      <c r="AM245" s="1">
        <f>5/2*7.72</f>
        <v>19.3</v>
      </c>
      <c r="AN245" s="80">
        <f t="shared" si="95"/>
        <v>100</v>
      </c>
      <c r="AP245" s="13">
        <f t="shared" si="114"/>
        <v>2060.0000000000364</v>
      </c>
      <c r="AQ245" s="15"/>
      <c r="AR245" s="17" t="e">
        <f>(E245-W245)/E245</f>
        <v>#VALUE!</v>
      </c>
      <c r="AS245" s="16" t="e">
        <f t="shared" si="123"/>
        <v>#DIV/0!</v>
      </c>
      <c r="AT245" s="16" t="e">
        <f t="shared" si="97"/>
        <v>#DIV/0!</v>
      </c>
      <c r="AU245" s="16" t="e">
        <f t="shared" si="116"/>
        <v>#DIV/0!</v>
      </c>
      <c r="AV245" s="57" t="str">
        <f>IF(AND(ISNUMBER(E245),ISNUMBER(W245)),E245-W245,"")</f>
        <v/>
      </c>
      <c r="AW245" s="57" t="str">
        <f t="shared" si="99"/>
        <v/>
      </c>
      <c r="AX245" s="57" t="str">
        <f t="shared" si="125"/>
        <v/>
      </c>
      <c r="AY245" s="57" t="str">
        <f t="shared" si="102"/>
        <v/>
      </c>
      <c r="AZ245" s="57">
        <f t="shared" si="103"/>
        <v>2.1000000000000014</v>
      </c>
      <c r="BA245" s="84" t="str">
        <f t="shared" si="119"/>
        <v/>
      </c>
      <c r="BB245" s="84" t="str">
        <f t="shared" si="117"/>
        <v/>
      </c>
      <c r="BC245" s="84" t="e">
        <f t="shared" si="124"/>
        <v>#DIV/0!</v>
      </c>
      <c r="BD245" s="84" t="str">
        <f t="shared" si="104"/>
        <v/>
      </c>
      <c r="BE245" s="6" t="e">
        <f t="shared" si="101"/>
        <v>#DIV/0!</v>
      </c>
      <c r="BF245" s="6" t="str">
        <f t="shared" si="126"/>
        <v/>
      </c>
    </row>
    <row r="246" spans="1:58" ht="15.75">
      <c r="B246" s="11">
        <v>45506</v>
      </c>
      <c r="C246" s="1">
        <v>2</v>
      </c>
      <c r="D246" s="3">
        <v>241</v>
      </c>
      <c r="E246" s="205">
        <f t="shared" si="106"/>
        <v>200.98292199999997</v>
      </c>
      <c r="I246" s="15">
        <f t="shared" si="127"/>
        <v>0</v>
      </c>
      <c r="K246" s="10" t="str">
        <f t="shared" si="120"/>
        <v/>
      </c>
      <c r="L246" s="9" t="str">
        <f t="shared" si="121"/>
        <v/>
      </c>
      <c r="M246" s="8" t="str">
        <f t="shared" si="122"/>
        <v/>
      </c>
      <c r="O246">
        <v>72.736999999999995</v>
      </c>
      <c r="P246">
        <v>15.113</v>
      </c>
      <c r="Q246" s="6">
        <f>O246*1.067</f>
        <v>77.610378999999995</v>
      </c>
      <c r="R246" s="6">
        <f>P246*1.514</f>
        <v>22.881081999999999</v>
      </c>
      <c r="S246" s="23">
        <f>P246*1.514+O246*1.067</f>
        <v>100.49146099999999</v>
      </c>
      <c r="U246" s="6">
        <v>0</v>
      </c>
      <c r="V246" s="6">
        <v>0</v>
      </c>
      <c r="W246" s="23">
        <f>U244*1.067+V244*1.514</f>
        <v>4.6472409999999993</v>
      </c>
      <c r="AB246" s="5">
        <v>80</v>
      </c>
      <c r="AG246" s="1">
        <v>0</v>
      </c>
      <c r="AH246" s="119">
        <v>0.52083333333333337</v>
      </c>
      <c r="AK246" s="3">
        <v>180</v>
      </c>
      <c r="AN246" s="80">
        <f t="shared" si="95"/>
        <v>100</v>
      </c>
      <c r="AP246" s="13">
        <f t="shared" si="114"/>
        <v>2040.0000000000546</v>
      </c>
      <c r="AQ246" s="15"/>
      <c r="AR246" s="17" t="e">
        <f>(E246-#REF!)/E246</f>
        <v>#REF!</v>
      </c>
      <c r="AS246" s="16" t="e">
        <f t="shared" si="123"/>
        <v>#DIV/0!</v>
      </c>
      <c r="AT246" s="16" t="e">
        <f t="shared" si="97"/>
        <v>#DIV/0!</v>
      </c>
      <c r="AU246" s="16" t="e">
        <f t="shared" si="116"/>
        <v>#DIV/0!</v>
      </c>
      <c r="AV246" s="57" t="str">
        <f>IF(AND(ISNUMBER(E246),ISNUMBER(#REF!)),E246-#REF!,"")</f>
        <v/>
      </c>
      <c r="AW246" s="57" t="str">
        <f t="shared" si="99"/>
        <v/>
      </c>
      <c r="AX246" s="57" t="str">
        <f t="shared" si="125"/>
        <v/>
      </c>
      <c r="AY246" s="57" t="str">
        <f t="shared" si="102"/>
        <v/>
      </c>
      <c r="AZ246" s="57" t="str">
        <f t="shared" si="103"/>
        <v/>
      </c>
      <c r="BA246" s="84">
        <f t="shared" si="119"/>
        <v>0.97687743339705246</v>
      </c>
      <c r="BB246" s="84" t="str">
        <f t="shared" si="117"/>
        <v/>
      </c>
      <c r="BC246" s="84" t="e">
        <f t="shared" si="124"/>
        <v>#DIV/0!</v>
      </c>
      <c r="BD246" s="84" t="str">
        <f t="shared" si="104"/>
        <v/>
      </c>
      <c r="BE246" s="6" t="e">
        <f t="shared" si="101"/>
        <v>#DIV/0!</v>
      </c>
      <c r="BF246" s="6" t="str">
        <f t="shared" si="126"/>
        <v/>
      </c>
    </row>
    <row r="247" spans="1:58" ht="15.75">
      <c r="B247" s="11">
        <v>45507</v>
      </c>
      <c r="C247" s="1">
        <v>3</v>
      </c>
      <c r="D247" s="3">
        <v>242</v>
      </c>
      <c r="E247" s="205" t="str">
        <f t="shared" si="106"/>
        <v/>
      </c>
      <c r="I247" s="15">
        <f t="shared" si="127"/>
        <v>0</v>
      </c>
      <c r="K247" s="10" t="str">
        <f t="shared" si="120"/>
        <v/>
      </c>
      <c r="L247" s="9" t="str">
        <f t="shared" si="121"/>
        <v/>
      </c>
      <c r="M247" s="8" t="str">
        <f t="shared" si="122"/>
        <v/>
      </c>
      <c r="AB247" s="5">
        <v>80</v>
      </c>
      <c r="AG247">
        <v>0.03</v>
      </c>
      <c r="AH247" s="119">
        <v>0.46041666666666664</v>
      </c>
      <c r="AK247" s="3">
        <v>180</v>
      </c>
      <c r="AN247" s="80">
        <f t="shared" si="95"/>
        <v>100</v>
      </c>
      <c r="AP247" s="13">
        <f t="shared" si="114"/>
        <v>2040.0000000000546</v>
      </c>
      <c r="AQ247" s="15"/>
      <c r="AR247" s="17" t="e">
        <f t="shared" ref="AR247:AR278" si="128">(E247-W247)/E247</f>
        <v>#VALUE!</v>
      </c>
      <c r="AS247" s="16" t="e">
        <f t="shared" si="123"/>
        <v>#DIV/0!</v>
      </c>
      <c r="AT247" s="16" t="e">
        <f t="shared" si="97"/>
        <v>#DIV/0!</v>
      </c>
      <c r="AU247" s="16" t="e">
        <f t="shared" si="116"/>
        <v>#DIV/0!</v>
      </c>
      <c r="AV247" s="57" t="str">
        <f t="shared" ref="AV247:AV310" si="129">IF(AND(ISNUMBER(E247),ISNUMBER(W247)),E247-W247,"")</f>
        <v/>
      </c>
      <c r="AW247" s="57" t="str">
        <f t="shared" si="99"/>
        <v/>
      </c>
      <c r="AX247" s="57" t="str">
        <f t="shared" si="125"/>
        <v/>
      </c>
      <c r="AY247" s="57" t="str">
        <f t="shared" si="102"/>
        <v/>
      </c>
      <c r="AZ247" s="57" t="str">
        <f t="shared" si="103"/>
        <v/>
      </c>
      <c r="BA247" s="84" t="str">
        <f t="shared" si="119"/>
        <v/>
      </c>
      <c r="BB247" s="84" t="str">
        <f t="shared" si="117"/>
        <v/>
      </c>
      <c r="BC247" s="84" t="e">
        <f t="shared" si="124"/>
        <v>#DIV/0!</v>
      </c>
      <c r="BD247" s="84" t="str">
        <f t="shared" si="104"/>
        <v/>
      </c>
      <c r="BE247" s="6" t="e">
        <f t="shared" si="101"/>
        <v>#DIV/0!</v>
      </c>
      <c r="BF247" s="6" t="str">
        <f t="shared" si="126"/>
        <v/>
      </c>
    </row>
    <row r="248" spans="1:58" ht="15.75">
      <c r="B248" s="11">
        <v>45508</v>
      </c>
      <c r="C248" s="1">
        <v>4</v>
      </c>
      <c r="D248" s="3">
        <v>243</v>
      </c>
      <c r="E248" s="205" t="str">
        <f t="shared" si="106"/>
        <v/>
      </c>
      <c r="I248" s="15">
        <f t="shared" si="127"/>
        <v>0</v>
      </c>
      <c r="K248" s="10" t="str">
        <f t="shared" si="120"/>
        <v/>
      </c>
      <c r="L248" s="9" t="str">
        <f t="shared" si="121"/>
        <v/>
      </c>
      <c r="M248" s="8" t="str">
        <f t="shared" si="122"/>
        <v/>
      </c>
      <c r="AB248" s="5">
        <v>80</v>
      </c>
      <c r="AG248">
        <v>0.47</v>
      </c>
      <c r="AH248" s="119">
        <v>0.49687500000000001</v>
      </c>
      <c r="AK248" s="3">
        <v>180</v>
      </c>
      <c r="AN248" s="80">
        <f t="shared" si="95"/>
        <v>100</v>
      </c>
      <c r="AP248" s="13">
        <f t="shared" si="114"/>
        <v>2040.0000000000546</v>
      </c>
      <c r="AQ248" s="15"/>
      <c r="AR248" s="17" t="e">
        <f t="shared" si="128"/>
        <v>#VALUE!</v>
      </c>
      <c r="AS248" s="16" t="e">
        <f t="shared" si="123"/>
        <v>#DIV/0!</v>
      </c>
      <c r="AT248" s="16" t="e">
        <f t="shared" si="97"/>
        <v>#DIV/0!</v>
      </c>
      <c r="AU248" s="16" t="e">
        <f t="shared" si="116"/>
        <v>#DIV/0!</v>
      </c>
      <c r="AV248" s="57" t="str">
        <f t="shared" si="129"/>
        <v/>
      </c>
      <c r="AW248" s="57" t="str">
        <f t="shared" si="99"/>
        <v/>
      </c>
      <c r="AX248" s="57" t="str">
        <f t="shared" si="125"/>
        <v/>
      </c>
      <c r="AY248" s="57" t="str">
        <f t="shared" si="102"/>
        <v/>
      </c>
      <c r="AZ248" s="57" t="str">
        <f t="shared" si="103"/>
        <v/>
      </c>
      <c r="BA248" s="84" t="str">
        <f t="shared" si="119"/>
        <v/>
      </c>
      <c r="BB248" s="84" t="str">
        <f t="shared" si="117"/>
        <v/>
      </c>
      <c r="BC248" s="84" t="e">
        <f t="shared" si="124"/>
        <v>#DIV/0!</v>
      </c>
      <c r="BD248" s="84" t="str">
        <f t="shared" si="104"/>
        <v/>
      </c>
      <c r="BE248" s="6" t="e">
        <f t="shared" si="101"/>
        <v>#DIV/0!</v>
      </c>
      <c r="BF248" s="6" t="str">
        <f t="shared" si="126"/>
        <v/>
      </c>
    </row>
    <row r="249" spans="1:58" ht="15.75">
      <c r="A249" s="12" t="s">
        <v>120</v>
      </c>
      <c r="B249" s="94">
        <v>45509</v>
      </c>
      <c r="C249" s="1">
        <v>5</v>
      </c>
      <c r="D249" s="3">
        <v>244</v>
      </c>
      <c r="E249" s="205" t="str">
        <f t="shared" si="106"/>
        <v/>
      </c>
      <c r="G249" s="15">
        <f>(N249*18-H249*18)/9</f>
        <v>14.880000000000003</v>
      </c>
      <c r="H249" s="9">
        <f>2*2.98</f>
        <v>5.96</v>
      </c>
      <c r="I249" s="15">
        <f t="shared" si="127"/>
        <v>16.8</v>
      </c>
      <c r="K249" s="10" t="str">
        <f t="shared" si="120"/>
        <v/>
      </c>
      <c r="L249" s="9" t="str">
        <f t="shared" si="121"/>
        <v/>
      </c>
      <c r="M249" s="8">
        <f t="shared" si="122"/>
        <v>2.258064516129032</v>
      </c>
      <c r="N249" s="10">
        <f>2*6.7</f>
        <v>13.4</v>
      </c>
      <c r="O249" s="9"/>
      <c r="P249" s="9"/>
      <c r="Q249" s="6">
        <f>O249*1.067</f>
        <v>0</v>
      </c>
      <c r="R249" s="6">
        <f>P249*1.514</f>
        <v>0</v>
      </c>
      <c r="S249" s="23">
        <f>P249*1.514+O249*1.067</f>
        <v>0</v>
      </c>
      <c r="T249" s="6">
        <f>2*7.77</f>
        <v>15.54</v>
      </c>
      <c r="W249" s="23">
        <f>U249*1.067+V249*1.514</f>
        <v>0</v>
      </c>
      <c r="AB249" s="5">
        <v>80</v>
      </c>
      <c r="AC249" s="7">
        <f>T249</f>
        <v>15.54</v>
      </c>
      <c r="AD249" s="1">
        <f>5*3.36</f>
        <v>16.8</v>
      </c>
      <c r="AE249" s="1">
        <f>2*6.14</f>
        <v>12.28</v>
      </c>
      <c r="AG249">
        <v>0.4</v>
      </c>
      <c r="AH249" s="119">
        <v>0.84444444444444444</v>
      </c>
      <c r="AK249" s="3">
        <v>180</v>
      </c>
      <c r="AL249" s="4">
        <f>AE249</f>
        <v>12.28</v>
      </c>
      <c r="AM249" s="1">
        <f>2*5.02</f>
        <v>10.039999999999999</v>
      </c>
      <c r="AN249" s="80">
        <f t="shared" si="95"/>
        <v>100</v>
      </c>
      <c r="AP249" s="13">
        <f t="shared" si="114"/>
        <v>2040.0000000000546</v>
      </c>
      <c r="AQ249" s="15"/>
      <c r="AR249" s="17" t="e">
        <f t="shared" si="128"/>
        <v>#VALUE!</v>
      </c>
      <c r="AS249" s="16">
        <f t="shared" si="123"/>
        <v>1</v>
      </c>
      <c r="AT249" s="16">
        <f t="shared" si="97"/>
        <v>2.3809523809523808E-2</v>
      </c>
      <c r="AU249" s="16">
        <f t="shared" si="116"/>
        <v>0.32526881720430123</v>
      </c>
      <c r="AV249" s="57" t="str">
        <f t="shared" si="129"/>
        <v/>
      </c>
      <c r="AW249" s="57" t="str">
        <f t="shared" si="99"/>
        <v/>
      </c>
      <c r="AX249" s="57">
        <f t="shared" si="125"/>
        <v>4.8400000000000034</v>
      </c>
      <c r="AY249" s="57">
        <f t="shared" si="102"/>
        <v>3.26</v>
      </c>
      <c r="AZ249" s="57">
        <f t="shared" si="103"/>
        <v>2.2400000000000002</v>
      </c>
      <c r="BA249" s="123" t="str">
        <f t="shared" si="119"/>
        <v/>
      </c>
      <c r="BB249" s="123">
        <f t="shared" si="117"/>
        <v>1</v>
      </c>
      <c r="BC249" s="123">
        <f t="shared" si="124"/>
        <v>2.3809523809523808E-2</v>
      </c>
      <c r="BD249" s="123">
        <f t="shared" si="104"/>
        <v>0.32526881720430123</v>
      </c>
      <c r="BE249" s="6" t="e">
        <f t="shared" si="101"/>
        <v>#DIV/0!</v>
      </c>
      <c r="BF249" s="6" t="str">
        <f t="shared" si="126"/>
        <v/>
      </c>
    </row>
    <row r="250" spans="1:58" ht="15.75">
      <c r="B250" s="94">
        <v>45510</v>
      </c>
      <c r="C250" s="1">
        <v>6</v>
      </c>
      <c r="D250" s="3">
        <v>245</v>
      </c>
      <c r="E250" s="205" t="str">
        <f t="shared" si="106"/>
        <v/>
      </c>
      <c r="I250" s="15">
        <f t="shared" si="127"/>
        <v>0</v>
      </c>
      <c r="K250" s="10" t="str">
        <f t="shared" si="120"/>
        <v/>
      </c>
      <c r="L250" s="9" t="str">
        <f t="shared" si="121"/>
        <v/>
      </c>
      <c r="M250" s="8" t="str">
        <f t="shared" si="122"/>
        <v/>
      </c>
      <c r="X250" s="6">
        <v>6.64</v>
      </c>
      <c r="AB250" s="5">
        <v>80</v>
      </c>
      <c r="AG250">
        <v>0.28999999999999998</v>
      </c>
      <c r="AH250" s="119">
        <v>0.50787037037037042</v>
      </c>
      <c r="AK250" s="3">
        <v>180</v>
      </c>
      <c r="AN250" s="80">
        <f t="shared" si="95"/>
        <v>100</v>
      </c>
      <c r="AO250" s="2">
        <v>2040.0000000000546</v>
      </c>
      <c r="AP250" s="13">
        <f t="shared" si="114"/>
        <v>2040.0000000000546</v>
      </c>
      <c r="AQ250" s="15">
        <v>28.140518668383148</v>
      </c>
      <c r="AR250" s="17" t="e">
        <f t="shared" si="128"/>
        <v>#VALUE!</v>
      </c>
      <c r="AS250" s="16" t="e">
        <f t="shared" si="123"/>
        <v>#DIV/0!</v>
      </c>
      <c r="AT250" s="16" t="e">
        <f t="shared" si="97"/>
        <v>#DIV/0!</v>
      </c>
      <c r="AU250" s="16" t="e">
        <f t="shared" si="116"/>
        <v>#DIV/0!</v>
      </c>
      <c r="AV250" s="57" t="str">
        <f t="shared" si="129"/>
        <v/>
      </c>
      <c r="AW250" s="57" t="str">
        <f t="shared" si="99"/>
        <v/>
      </c>
      <c r="AX250" s="57" t="str">
        <f t="shared" si="125"/>
        <v/>
      </c>
      <c r="AY250" s="57" t="str">
        <f t="shared" si="102"/>
        <v/>
      </c>
      <c r="AZ250" s="57" t="str">
        <f t="shared" si="103"/>
        <v/>
      </c>
      <c r="BA250" s="123" t="str">
        <f t="shared" si="119"/>
        <v/>
      </c>
      <c r="BB250" s="123" t="str">
        <f t="shared" si="117"/>
        <v/>
      </c>
      <c r="BC250" s="123"/>
      <c r="BD250" s="123" t="str">
        <f t="shared" si="104"/>
        <v/>
      </c>
      <c r="BE250" s="6" t="e">
        <f t="shared" si="101"/>
        <v>#DIV/0!</v>
      </c>
      <c r="BF250" s="6" t="str">
        <f t="shared" si="126"/>
        <v/>
      </c>
    </row>
    <row r="251" spans="1:58" ht="15.75">
      <c r="A251" s="12" t="s">
        <v>122</v>
      </c>
      <c r="B251" s="94">
        <v>45511</v>
      </c>
      <c r="C251" s="1">
        <v>7</v>
      </c>
      <c r="D251" s="3">
        <v>246</v>
      </c>
      <c r="E251" s="205">
        <f t="shared" si="106"/>
        <v>202.21132599999999</v>
      </c>
      <c r="G251" s="15">
        <f>(N251*18-H251*18)/9</f>
        <v>13.399999999999999</v>
      </c>
      <c r="H251" s="9">
        <f>5/2*1.83</f>
        <v>4.5750000000000002</v>
      </c>
      <c r="I251" s="15">
        <f t="shared" si="127"/>
        <v>18.95</v>
      </c>
      <c r="K251" s="10">
        <f t="shared" si="120"/>
        <v>15.090397462686568</v>
      </c>
      <c r="L251" s="9">
        <f t="shared" si="121"/>
        <v>5.3353911873350919</v>
      </c>
      <c r="M251" s="8">
        <f t="shared" si="122"/>
        <v>2.8283582089552239</v>
      </c>
      <c r="N251" s="7">
        <f>5/2*4.51</f>
        <v>11.274999999999999</v>
      </c>
      <c r="O251">
        <v>73.385000000000005</v>
      </c>
      <c r="P251">
        <v>15.061999999999999</v>
      </c>
      <c r="Q251" s="6">
        <f>O251*1.067</f>
        <v>78.301794999999998</v>
      </c>
      <c r="R251" s="6">
        <f>P251*1.514</f>
        <v>22.803867999999998</v>
      </c>
      <c r="S251" s="23">
        <f>P251*1.514+O251*1.067</f>
        <v>101.10566299999999</v>
      </c>
      <c r="T251" s="6">
        <f>2.5*5.36</f>
        <v>13.4</v>
      </c>
      <c r="U251">
        <v>0.108</v>
      </c>
      <c r="V251" s="6">
        <v>0</v>
      </c>
      <c r="W251" s="23">
        <f>U251*1.067+V251*1.514</f>
        <v>0.11523599999999999</v>
      </c>
      <c r="X251" s="6">
        <v>7.47</v>
      </c>
      <c r="AB251" s="5">
        <v>80</v>
      </c>
      <c r="AC251" s="7">
        <f>T251</f>
        <v>13.4</v>
      </c>
      <c r="AD251" s="1">
        <f>5*3.79</f>
        <v>18.95</v>
      </c>
      <c r="AE251" s="1">
        <f>2.5*4.7</f>
        <v>11.75</v>
      </c>
      <c r="AF251" s="1">
        <f>2*5.63</f>
        <v>11.26</v>
      </c>
      <c r="AG251">
        <v>0.14000000000000001</v>
      </c>
      <c r="AH251" s="119">
        <v>0.52083333333333337</v>
      </c>
      <c r="AJ251" s="93">
        <v>175</v>
      </c>
      <c r="AK251" s="3">
        <v>180</v>
      </c>
      <c r="AL251" s="4">
        <f>AE251</f>
        <v>11.75</v>
      </c>
      <c r="AM251" s="1">
        <f>2.5*4.27</f>
        <v>10.674999999999999</v>
      </c>
      <c r="AN251" s="80">
        <f t="shared" si="95"/>
        <v>100</v>
      </c>
      <c r="AP251" s="13">
        <f t="shared" si="114"/>
        <v>2040.0000000000546</v>
      </c>
      <c r="AQ251" s="15"/>
      <c r="AR251" s="17">
        <f t="shared" si="128"/>
        <v>0.99943012094189021</v>
      </c>
      <c r="AS251" s="16">
        <f t="shared" si="123"/>
        <v>0.40580474934036936</v>
      </c>
      <c r="AT251" s="16">
        <f t="shared" si="97"/>
        <v>1.820546163849155E-2</v>
      </c>
      <c r="AU251" s="16">
        <f t="shared" si="116"/>
        <v>0.20335820895522388</v>
      </c>
      <c r="AV251" s="57">
        <f t="shared" si="129"/>
        <v>202.09608999999998</v>
      </c>
      <c r="AW251" s="57">
        <f t="shared" si="99"/>
        <v>7.6899999999999995</v>
      </c>
      <c r="AX251" s="57">
        <f t="shared" si="125"/>
        <v>2.7249999999999996</v>
      </c>
      <c r="AY251" s="57">
        <f t="shared" si="102"/>
        <v>1.6500000000000004</v>
      </c>
      <c r="AZ251" s="57">
        <f t="shared" si="103"/>
        <v>1.0750000000000011</v>
      </c>
      <c r="BA251" s="123">
        <f t="shared" si="119"/>
        <v>0.99943012094189021</v>
      </c>
      <c r="BB251" s="123">
        <f t="shared" si="117"/>
        <v>0.40580474934036936</v>
      </c>
      <c r="BC251" s="123">
        <f>IF(AND($AG251&gt;=0,$AD251&gt;=0,$AF251&gt;=0),IF($AG251/($AD251-$AF251)&gt;0,$AG251/($AD251-$AF251),0),"")</f>
        <v>1.820546163849155E-2</v>
      </c>
      <c r="BD251" s="123">
        <f t="shared" si="104"/>
        <v>0.20335820895522388</v>
      </c>
      <c r="BE251" s="6">
        <f t="shared" si="101"/>
        <v>2.6365714285714286</v>
      </c>
      <c r="BF251" s="6"/>
    </row>
    <row r="252" spans="1:58" ht="15.75">
      <c r="A252" s="12" t="s">
        <v>121</v>
      </c>
      <c r="B252" s="94">
        <v>45512</v>
      </c>
      <c r="C252" s="1">
        <v>8</v>
      </c>
      <c r="D252" s="3">
        <v>247</v>
      </c>
      <c r="E252" s="205" t="str">
        <f t="shared" si="106"/>
        <v/>
      </c>
      <c r="G252" s="15">
        <f>(N252*18-H252*18)/9</f>
        <v>13.76</v>
      </c>
      <c r="H252" s="9">
        <f>2*2.98</f>
        <v>5.96</v>
      </c>
      <c r="I252" s="15">
        <f t="shared" si="127"/>
        <v>19.3</v>
      </c>
      <c r="K252" s="10" t="str">
        <f t="shared" si="120"/>
        <v/>
      </c>
      <c r="L252" s="9" t="str">
        <f t="shared" si="121"/>
        <v/>
      </c>
      <c r="M252" s="8">
        <f t="shared" si="122"/>
        <v>2.8052325581395352</v>
      </c>
      <c r="N252" s="7">
        <f>2*6.42</f>
        <v>12.84</v>
      </c>
      <c r="Q252" s="6">
        <f>O252*1.067</f>
        <v>0</v>
      </c>
      <c r="R252" s="6">
        <f>P252*1.514</f>
        <v>0</v>
      </c>
      <c r="S252" s="23">
        <f>P252*1.514+O252*1.067</f>
        <v>0</v>
      </c>
      <c r="T252" s="6">
        <f>2*7.66</f>
        <v>15.32</v>
      </c>
      <c r="W252" s="23">
        <f>U252*1.067+V252*1.514</f>
        <v>0</v>
      </c>
      <c r="AB252" s="5">
        <v>80</v>
      </c>
      <c r="AC252" s="7">
        <f>T252</f>
        <v>15.32</v>
      </c>
      <c r="AD252" s="1">
        <f>5*3.86</f>
        <v>19.3</v>
      </c>
      <c r="AE252" s="1">
        <f>2*6.3</f>
        <v>12.6</v>
      </c>
      <c r="AF252" s="1">
        <f>2*6.33</f>
        <v>12.66</v>
      </c>
      <c r="AG252">
        <v>0.43</v>
      </c>
      <c r="AH252" s="119">
        <v>0.52060185185185182</v>
      </c>
      <c r="AJ252" s="93">
        <v>175</v>
      </c>
      <c r="AK252" s="3">
        <v>180</v>
      </c>
      <c r="AL252" s="4">
        <f>AE252</f>
        <v>12.6</v>
      </c>
      <c r="AM252" s="1">
        <f>2*5.7</f>
        <v>11.4</v>
      </c>
      <c r="AN252" s="80">
        <f t="shared" si="95"/>
        <v>100</v>
      </c>
      <c r="AP252" s="13">
        <f t="shared" ref="AP252:AP283" si="130">AVERAGE(AO250:AO256)</f>
        <v>2040.0000000000546</v>
      </c>
      <c r="AQ252" s="15"/>
      <c r="AR252" s="17" t="e">
        <f t="shared" si="128"/>
        <v>#VALUE!</v>
      </c>
      <c r="AS252" s="16">
        <f t="shared" si="123"/>
        <v>0.34404145077720211</v>
      </c>
      <c r="AT252" s="16">
        <f t="shared" si="97"/>
        <v>6.4759036144578314E-2</v>
      </c>
      <c r="AU252" s="16">
        <f t="shared" si="116"/>
        <v>0.17151162790697672</v>
      </c>
      <c r="AV252" s="57" t="str">
        <f t="shared" si="129"/>
        <v/>
      </c>
      <c r="AW252" s="57">
        <f t="shared" si="99"/>
        <v>6.6400000000000006</v>
      </c>
      <c r="AX252" s="57">
        <f t="shared" si="125"/>
        <v>2.3599999999999994</v>
      </c>
      <c r="AY252" s="57">
        <f t="shared" si="102"/>
        <v>2.7200000000000006</v>
      </c>
      <c r="AZ252" s="57">
        <f t="shared" si="103"/>
        <v>1.1999999999999993</v>
      </c>
      <c r="BA252" s="123" t="str">
        <f t="shared" si="119"/>
        <v/>
      </c>
      <c r="BB252" s="123">
        <f t="shared" si="117"/>
        <v>0.34404145077720211</v>
      </c>
      <c r="BC252" s="123">
        <f>IF(AND($AG252&gt;=0,$AD252&gt;=0,$AF252&gt;=0),IF($AG252/($AD252-$AF252)&gt;0,$AG252/($AD252-$AF252),0),"")</f>
        <v>6.4759036144578314E-2</v>
      </c>
      <c r="BD252" s="123">
        <f t="shared" si="104"/>
        <v>0.17151162790697672</v>
      </c>
      <c r="BE252" s="6">
        <f t="shared" si="101"/>
        <v>2.2765714285714287</v>
      </c>
      <c r="BF252" s="6"/>
    </row>
    <row r="253" spans="1:58" ht="15.75">
      <c r="B253" s="94">
        <v>45513</v>
      </c>
      <c r="C253" s="1">
        <v>9</v>
      </c>
      <c r="D253" s="3">
        <v>248</v>
      </c>
      <c r="E253" s="205" t="str">
        <f t="shared" si="106"/>
        <v/>
      </c>
      <c r="G253" s="15">
        <f>(N253*18-H253*18)/9</f>
        <v>13.559999999999999</v>
      </c>
      <c r="H253" s="9">
        <f>2*3.5</f>
        <v>7</v>
      </c>
      <c r="I253" s="15">
        <f t="shared" si="127"/>
        <v>19.75</v>
      </c>
      <c r="K253" s="10" t="str">
        <f t="shared" si="120"/>
        <v/>
      </c>
      <c r="L253" s="9" t="str">
        <f t="shared" si="121"/>
        <v/>
      </c>
      <c r="M253" s="8">
        <f t="shared" si="122"/>
        <v>2.9129793510324489</v>
      </c>
      <c r="N253" s="7">
        <f>2*6.89</f>
        <v>13.78</v>
      </c>
      <c r="Q253" s="6">
        <f>O253*1.067</f>
        <v>0</v>
      </c>
      <c r="R253" s="6">
        <f>P253*1.514</f>
        <v>0</v>
      </c>
      <c r="S253" s="23">
        <f>P253*1.514+O253*1.067</f>
        <v>0</v>
      </c>
      <c r="T253" s="6">
        <f>2*7.88</f>
        <v>15.76</v>
      </c>
      <c r="W253" s="23">
        <f>U253*1.067+V253*1.514</f>
        <v>0</v>
      </c>
      <c r="AB253" s="5">
        <v>80</v>
      </c>
      <c r="AC253" s="7">
        <f>T253</f>
        <v>15.76</v>
      </c>
      <c r="AD253" s="1">
        <f>5*3.95</f>
        <v>19.75</v>
      </c>
      <c r="AE253" s="1">
        <f>2*6.96</f>
        <v>13.92</v>
      </c>
      <c r="AF253" s="1">
        <f>5*2.24</f>
        <v>11.200000000000001</v>
      </c>
      <c r="AG253">
        <v>0.34</v>
      </c>
      <c r="AH253" s="119">
        <v>0.51747685185185188</v>
      </c>
      <c r="AJ253" s="93">
        <v>175</v>
      </c>
      <c r="AK253" s="3">
        <v>180</v>
      </c>
      <c r="AL253" s="4">
        <f>AE253</f>
        <v>13.92</v>
      </c>
      <c r="AM253" s="1">
        <f>2*4.87</f>
        <v>9.74</v>
      </c>
      <c r="AN253" s="80">
        <f t="shared" si="95"/>
        <v>100</v>
      </c>
      <c r="AP253" s="13">
        <f t="shared" si="130"/>
        <v>2009.9999999999909</v>
      </c>
      <c r="AQ253" s="15"/>
      <c r="AR253" s="17" t="e">
        <f t="shared" si="128"/>
        <v>#VALUE!</v>
      </c>
      <c r="AS253" s="16">
        <f t="shared" si="123"/>
        <v>0.43291139240506321</v>
      </c>
      <c r="AT253" s="16">
        <f t="shared" si="97"/>
        <v>3.976608187134504E-2</v>
      </c>
      <c r="AU253" s="16">
        <f t="shared" si="116"/>
        <v>0.28171091445427721</v>
      </c>
      <c r="AV253" s="57" t="str">
        <f t="shared" si="129"/>
        <v/>
      </c>
      <c r="AW253" s="57">
        <f t="shared" si="99"/>
        <v>8.5499999999999989</v>
      </c>
      <c r="AX253" s="57">
        <f t="shared" si="125"/>
        <v>3.8199999999999985</v>
      </c>
      <c r="AY253" s="57">
        <f t="shared" si="102"/>
        <v>1.8399999999999999</v>
      </c>
      <c r="AZ253" s="57">
        <f t="shared" si="103"/>
        <v>4.18</v>
      </c>
      <c r="BA253" s="123" t="str">
        <f t="shared" si="119"/>
        <v/>
      </c>
      <c r="BB253" s="123">
        <f t="shared" si="117"/>
        <v>0.43291139240506321</v>
      </c>
      <c r="BC253" s="123">
        <f>IF(AND($AG253&gt;=0,$AD253&gt;=0,$AF253&gt;=0),IF($AG253/($AD253-$AF253)&gt;0,$AG253/($AD253-$AF253),0),"")</f>
        <v>3.976608187134504E-2</v>
      </c>
      <c r="BD253" s="123">
        <f t="shared" si="104"/>
        <v>0.28171091445427721</v>
      </c>
      <c r="BE253" s="6">
        <f t="shared" si="101"/>
        <v>2.9314285714285711</v>
      </c>
      <c r="BF253" s="6"/>
    </row>
    <row r="254" spans="1:58" ht="15.75">
      <c r="A254" s="122" t="s">
        <v>119</v>
      </c>
      <c r="B254" s="94">
        <v>45514</v>
      </c>
      <c r="C254" s="1">
        <v>10</v>
      </c>
      <c r="D254" s="3">
        <v>249</v>
      </c>
      <c r="E254" s="205" t="str">
        <f t="shared" si="106"/>
        <v/>
      </c>
      <c r="I254" s="15">
        <f t="shared" si="127"/>
        <v>0</v>
      </c>
      <c r="K254" s="10" t="str">
        <f t="shared" si="120"/>
        <v/>
      </c>
      <c r="L254" s="9" t="str">
        <f t="shared" si="121"/>
        <v/>
      </c>
      <c r="M254" s="8" t="str">
        <f t="shared" si="122"/>
        <v/>
      </c>
      <c r="AB254" s="5">
        <v>80</v>
      </c>
      <c r="AG254">
        <v>0.17</v>
      </c>
      <c r="AH254" s="119">
        <v>0.53796296296296298</v>
      </c>
      <c r="AJ254" s="93">
        <v>175</v>
      </c>
      <c r="AK254" s="3">
        <v>180</v>
      </c>
      <c r="AN254" s="80">
        <f t="shared" si="95"/>
        <v>100</v>
      </c>
      <c r="AP254" s="13">
        <f t="shared" si="130"/>
        <v>2009.9999999999909</v>
      </c>
      <c r="AQ254" s="15"/>
      <c r="AR254" s="17" t="e">
        <f t="shared" si="128"/>
        <v>#VALUE!</v>
      </c>
      <c r="AS254" s="16" t="e">
        <f t="shared" si="123"/>
        <v>#DIV/0!</v>
      </c>
      <c r="AT254" s="16" t="e">
        <f t="shared" si="97"/>
        <v>#DIV/0!</v>
      </c>
      <c r="AU254" s="16" t="e">
        <f t="shared" si="116"/>
        <v>#DIV/0!</v>
      </c>
      <c r="AV254" s="57" t="str">
        <f t="shared" si="129"/>
        <v/>
      </c>
      <c r="AW254" s="57" t="str">
        <f t="shared" si="99"/>
        <v/>
      </c>
      <c r="AX254" s="57" t="str">
        <f t="shared" si="125"/>
        <v/>
      </c>
      <c r="AY254" s="57" t="str">
        <f t="shared" si="102"/>
        <v/>
      </c>
      <c r="AZ254" s="57" t="str">
        <f t="shared" si="103"/>
        <v/>
      </c>
      <c r="BA254" s="123" t="str">
        <f t="shared" si="119"/>
        <v/>
      </c>
      <c r="BB254" s="123" t="str">
        <f t="shared" si="117"/>
        <v/>
      </c>
      <c r="BC254" s="123"/>
      <c r="BD254" s="123" t="str">
        <f t="shared" si="104"/>
        <v/>
      </c>
      <c r="BE254" s="6" t="str">
        <f t="shared" si="101"/>
        <v/>
      </c>
      <c r="BF254" s="6" t="str">
        <f>IF(OR(AJ254=0,AP254=0,NOT(ISNUMBER(AD254)),NOT(ISNUMBER(AF254)),NOT(ISNUMBER(AJ254)),NOT(ISNUMBER(AP254))),"",
IFERROR(IF((AD254-AF254)/(AJ254/60)/(AP254/1000)&lt;=0,"",(AD254-AF254)/(AJ254/60)/(AP254/1000)),""))</f>
        <v/>
      </c>
    </row>
    <row r="255" spans="1:58" ht="15.75">
      <c r="B255" s="94">
        <v>45515</v>
      </c>
      <c r="C255" s="1">
        <v>11</v>
      </c>
      <c r="D255" s="3">
        <v>250</v>
      </c>
      <c r="E255" s="205" t="str">
        <f t="shared" si="106"/>
        <v/>
      </c>
      <c r="I255" s="15">
        <f t="shared" si="127"/>
        <v>0</v>
      </c>
      <c r="K255" s="10" t="str">
        <f t="shared" si="120"/>
        <v/>
      </c>
      <c r="L255" s="9" t="str">
        <f t="shared" si="121"/>
        <v/>
      </c>
      <c r="M255" s="8" t="str">
        <f t="shared" si="122"/>
        <v/>
      </c>
      <c r="AB255" s="5">
        <v>80</v>
      </c>
      <c r="AG255" s="1">
        <v>0</v>
      </c>
      <c r="AH255" s="119">
        <v>0.52083333333333337</v>
      </c>
      <c r="AJ255" s="93">
        <v>175</v>
      </c>
      <c r="AK255" s="3">
        <v>180</v>
      </c>
      <c r="AN255" s="80">
        <f t="shared" si="95"/>
        <v>100</v>
      </c>
      <c r="AP255" s="13">
        <f t="shared" si="130"/>
        <v>2009.9999999999909</v>
      </c>
      <c r="AQ255" s="15"/>
      <c r="AR255" s="17" t="e">
        <f t="shared" si="128"/>
        <v>#VALUE!</v>
      </c>
      <c r="AS255" s="16" t="e">
        <f t="shared" si="123"/>
        <v>#DIV/0!</v>
      </c>
      <c r="AT255" s="16" t="e">
        <f t="shared" si="97"/>
        <v>#DIV/0!</v>
      </c>
      <c r="AU255" s="16" t="e">
        <f t="shared" ref="AU255:AU278" si="131">(G255-AM255)/G255</f>
        <v>#DIV/0!</v>
      </c>
      <c r="AV255" s="57" t="str">
        <f t="shared" si="129"/>
        <v/>
      </c>
      <c r="AW255" s="57" t="str">
        <f t="shared" si="99"/>
        <v/>
      </c>
      <c r="AX255" s="57" t="str">
        <f t="shared" si="125"/>
        <v/>
      </c>
      <c r="AY255" s="57" t="str">
        <f t="shared" si="102"/>
        <v/>
      </c>
      <c r="AZ255" s="57" t="str">
        <f t="shared" si="103"/>
        <v/>
      </c>
      <c r="BA255" s="123" t="str">
        <f t="shared" si="119"/>
        <v/>
      </c>
      <c r="BB255" s="123" t="str">
        <f t="shared" ref="BB255:BB270" si="132">IF(AND($I255&gt;0,$AF255&gt;=0),IF(($I255-$AF255)/$I255&gt;0,($I255-$AF255)/$I255,0),"")</f>
        <v/>
      </c>
      <c r="BC255" s="123"/>
      <c r="BD255" s="123" t="str">
        <f t="shared" si="104"/>
        <v/>
      </c>
      <c r="BE255" s="6" t="str">
        <f t="shared" si="101"/>
        <v/>
      </c>
      <c r="BF255" s="6" t="str">
        <f>IF(OR(AJ255=0,AP255=0,NOT(ISNUMBER(AD255)),NOT(ISNUMBER(AF255)),NOT(ISNUMBER(AJ255)),NOT(ISNUMBER(AP255))),"",
IFERROR(IF((AD255-AF255)/(AJ255/60)/(AP255/1000)&lt;=0,"",(AD255-AF255)/(AJ255/60)/(AP255/1000)),""))</f>
        <v/>
      </c>
    </row>
    <row r="256" spans="1:58" ht="15.75">
      <c r="A256" s="12" t="s">
        <v>120</v>
      </c>
      <c r="B256" s="94">
        <v>45516</v>
      </c>
      <c r="C256" s="1">
        <v>12</v>
      </c>
      <c r="D256" s="3">
        <v>251</v>
      </c>
      <c r="E256" s="205" t="str">
        <f t="shared" si="106"/>
        <v/>
      </c>
      <c r="G256" s="124">
        <v>13.240000000000002</v>
      </c>
      <c r="H256" s="9">
        <f>2*1.29</f>
        <v>2.58</v>
      </c>
      <c r="I256" s="15">
        <f t="shared" si="127"/>
        <v>17.549999999999997</v>
      </c>
      <c r="K256" s="10" t="str">
        <f t="shared" si="120"/>
        <v/>
      </c>
      <c r="L256" s="9" t="str">
        <f t="shared" si="121"/>
        <v/>
      </c>
      <c r="M256" s="8">
        <f t="shared" si="122"/>
        <v>2.6510574018126878</v>
      </c>
      <c r="N256" s="7">
        <f>2*6.35</f>
        <v>12.7</v>
      </c>
      <c r="Q256" s="6">
        <f>O256*1.067</f>
        <v>0</v>
      </c>
      <c r="R256" s="6">
        <f>P256*1.514</f>
        <v>0</v>
      </c>
      <c r="S256" s="23">
        <f>P256*1.514+O256*1.067</f>
        <v>0</v>
      </c>
      <c r="T256" s="6">
        <f>2*8.78</f>
        <v>17.559999999999999</v>
      </c>
      <c r="W256" s="23">
        <f>U256*1.067+V256*1.514</f>
        <v>0</v>
      </c>
      <c r="AB256" s="5">
        <v>80</v>
      </c>
      <c r="AC256" s="7">
        <f>T256</f>
        <v>17.559999999999999</v>
      </c>
      <c r="AD256" s="1">
        <f>5*3.51</f>
        <v>17.549999999999997</v>
      </c>
      <c r="AE256" s="1">
        <f>2*7.06</f>
        <v>14.12</v>
      </c>
      <c r="AF256" s="1">
        <v>0.129</v>
      </c>
      <c r="AG256" s="1">
        <v>0</v>
      </c>
      <c r="AH256" s="119">
        <v>0.52083333333333337</v>
      </c>
      <c r="AJ256" s="93">
        <v>175</v>
      </c>
      <c r="AK256" s="3">
        <v>180</v>
      </c>
      <c r="AL256" s="4">
        <f>AE256</f>
        <v>14.12</v>
      </c>
      <c r="AM256" s="1">
        <f>2*5.25</f>
        <v>10.5</v>
      </c>
      <c r="AN256" s="80">
        <f t="shared" si="95"/>
        <v>100</v>
      </c>
      <c r="AP256" s="13">
        <f t="shared" si="130"/>
        <v>2009.9999999999909</v>
      </c>
      <c r="AQ256" s="15"/>
      <c r="AR256" s="17" t="e">
        <f t="shared" si="128"/>
        <v>#VALUE!</v>
      </c>
      <c r="AS256" s="16">
        <f t="shared" si="123"/>
        <v>0.99264957264957254</v>
      </c>
      <c r="AT256" s="16">
        <f t="shared" si="97"/>
        <v>0</v>
      </c>
      <c r="AU256" s="16">
        <f t="shared" si="131"/>
        <v>0.20694864048338379</v>
      </c>
      <c r="AV256" s="57" t="str">
        <f t="shared" si="129"/>
        <v/>
      </c>
      <c r="AW256" s="57">
        <f t="shared" si="99"/>
        <v>17.420999999999996</v>
      </c>
      <c r="AX256" s="57">
        <f t="shared" si="125"/>
        <v>2.740000000000002</v>
      </c>
      <c r="AY256" s="57">
        <f t="shared" si="102"/>
        <v>3.4399999999999995</v>
      </c>
      <c r="AZ256" s="57">
        <f t="shared" si="103"/>
        <v>3.6199999999999992</v>
      </c>
      <c r="BA256" s="123" t="str">
        <f t="shared" si="119"/>
        <v/>
      </c>
      <c r="BB256" s="123">
        <f t="shared" si="132"/>
        <v>0.99264957264957254</v>
      </c>
      <c r="BC256" s="123">
        <f>IF(AND($AG256&gt;=0,$AD256&gt;=0,$AF256&gt;=0),IF($AG256/($AD256-$AF256)&gt;0,$AG256/($AD256-$AF256),0),"")</f>
        <v>0</v>
      </c>
      <c r="BD256" s="123">
        <f t="shared" si="104"/>
        <v>0.20694864048338379</v>
      </c>
      <c r="BE256" s="6">
        <f t="shared" si="101"/>
        <v>5.9729142857142845</v>
      </c>
      <c r="BF256" s="6">
        <f>IF(OR(AJ256=0,AP256=0,NOT(ISNUMBER(AD256)),NOT(ISNUMBER(AF256)),NOT(ISNUMBER(AJ256)),NOT(ISNUMBER(AP256))),"",
IFERROR(IF((AD256-AF256)/(AJ256/60)/(AP256/1000)&lt;=0,"",(AD256-AF256)/(AJ256/60)/(AP256/1000)),""))</f>
        <v>2.9715991471215482</v>
      </c>
    </row>
    <row r="257" spans="1:58" ht="15.75">
      <c r="A257" s="122" t="s">
        <v>119</v>
      </c>
      <c r="B257" s="94">
        <v>45517</v>
      </c>
      <c r="C257" s="1">
        <v>13</v>
      </c>
      <c r="D257" s="3">
        <v>252</v>
      </c>
      <c r="E257" s="205">
        <f t="shared" si="106"/>
        <v>218.51859199999998</v>
      </c>
      <c r="G257" s="15">
        <f>(N257*18-H257*18)/9</f>
        <v>13.240000000000002</v>
      </c>
      <c r="H257" s="9">
        <f>2*2.92</f>
        <v>5.84</v>
      </c>
      <c r="I257" s="15">
        <f t="shared" si="127"/>
        <v>18.75</v>
      </c>
      <c r="K257" s="10">
        <f t="shared" si="120"/>
        <v>16.5044253776435</v>
      </c>
      <c r="L257" s="9">
        <f t="shared" si="121"/>
        <v>5.827162453333333</v>
      </c>
      <c r="M257" s="8">
        <f t="shared" si="122"/>
        <v>2.8323262839879151</v>
      </c>
      <c r="N257" s="7">
        <f>2*6.23</f>
        <v>12.46</v>
      </c>
      <c r="O257">
        <v>78.64</v>
      </c>
      <c r="P257">
        <v>16.744</v>
      </c>
      <c r="Q257" s="6">
        <f>O257*1.067</f>
        <v>83.908879999999996</v>
      </c>
      <c r="R257" s="6">
        <f>P257*1.514</f>
        <v>25.350415999999999</v>
      </c>
      <c r="S257" s="23">
        <f>P257*1.514+O257*1.067</f>
        <v>109.25929599999999</v>
      </c>
      <c r="T257" s="6">
        <f>2*7.59</f>
        <v>15.18</v>
      </c>
      <c r="U257">
        <v>0.55000000000000004</v>
      </c>
      <c r="V257">
        <v>0.253</v>
      </c>
      <c r="W257" s="23">
        <f>U257*1.067+V257*1.514</f>
        <v>0.96989199999999998</v>
      </c>
      <c r="X257" s="6">
        <v>8.5500000000000007</v>
      </c>
      <c r="AB257" s="5">
        <v>80</v>
      </c>
      <c r="AC257" s="4">
        <f>2*6.67</f>
        <v>13.34</v>
      </c>
      <c r="AD257" s="1">
        <f>5*3.75</f>
        <v>18.75</v>
      </c>
      <c r="AE257" s="1">
        <f>2*6.67</f>
        <v>13.34</v>
      </c>
      <c r="AF257" s="1">
        <f>5*1.49</f>
        <v>7.45</v>
      </c>
      <c r="AG257">
        <v>0.15</v>
      </c>
      <c r="AH257" s="119">
        <v>0.53784722222222225</v>
      </c>
      <c r="AJ257" s="93">
        <v>175</v>
      </c>
      <c r="AK257" s="3">
        <v>180</v>
      </c>
      <c r="AL257" s="4">
        <f>AE257</f>
        <v>13.34</v>
      </c>
      <c r="AM257" s="1">
        <f>5.7*2</f>
        <v>11.4</v>
      </c>
      <c r="AN257" s="80">
        <f t="shared" si="95"/>
        <v>100</v>
      </c>
      <c r="AO257" s="2">
        <v>2009.9999999999909</v>
      </c>
      <c r="AP257" s="13">
        <f t="shared" si="130"/>
        <v>2009.9999999999909</v>
      </c>
      <c r="AQ257" s="15">
        <v>17.238421955402778</v>
      </c>
      <c r="AR257" s="17">
        <f t="shared" si="128"/>
        <v>0.99556151267897608</v>
      </c>
      <c r="AS257" s="16">
        <f t="shared" si="123"/>
        <v>0.60266666666666668</v>
      </c>
      <c r="AT257" s="16">
        <f t="shared" si="97"/>
        <v>1.3274336283185839E-2</v>
      </c>
      <c r="AU257" s="16">
        <f t="shared" si="131"/>
        <v>0.13897280966767381</v>
      </c>
      <c r="AV257" s="57">
        <f t="shared" si="129"/>
        <v>217.5487</v>
      </c>
      <c r="AW257" s="57">
        <f t="shared" si="99"/>
        <v>11.3</v>
      </c>
      <c r="AX257" s="57">
        <f t="shared" si="125"/>
        <v>1.8400000000000016</v>
      </c>
      <c r="AY257" s="57">
        <f t="shared" si="102"/>
        <v>0</v>
      </c>
      <c r="AZ257" s="57">
        <f t="shared" si="103"/>
        <v>1.9399999999999995</v>
      </c>
      <c r="BA257" s="123">
        <f t="shared" si="119"/>
        <v>0.99556151267897608</v>
      </c>
      <c r="BB257" s="123">
        <f t="shared" si="132"/>
        <v>0.60266666666666668</v>
      </c>
      <c r="BC257" s="123">
        <f>IF(AND($AG257&gt;=0,$AD257&gt;=0,$AF257&gt;=0),IF($AG257/($AD257-$AF257)&gt;0,$AG257/($AD257-$AF257),0),"")</f>
        <v>1.3274336283185839E-2</v>
      </c>
      <c r="BD257" s="123">
        <f t="shared" si="104"/>
        <v>0.13897280966767381</v>
      </c>
      <c r="BE257" s="6">
        <f t="shared" si="101"/>
        <v>3.8742857142857146</v>
      </c>
      <c r="BF257" s="6"/>
    </row>
    <row r="258" spans="1:58" ht="15.75">
      <c r="B258" s="94">
        <v>45518</v>
      </c>
      <c r="C258" s="1">
        <v>14</v>
      </c>
      <c r="D258" s="3">
        <v>253</v>
      </c>
      <c r="E258" s="205" t="str">
        <f t="shared" si="106"/>
        <v/>
      </c>
      <c r="I258" s="15">
        <f t="shared" si="127"/>
        <v>18.75</v>
      </c>
      <c r="K258" s="10" t="str">
        <f t="shared" si="120"/>
        <v/>
      </c>
      <c r="L258" s="9" t="str">
        <f t="shared" si="121"/>
        <v/>
      </c>
      <c r="M258" s="8" t="str">
        <f t="shared" si="122"/>
        <v/>
      </c>
      <c r="X258" s="6">
        <v>8.15</v>
      </c>
      <c r="AB258" s="5">
        <v>80</v>
      </c>
      <c r="AD258" s="93">
        <v>18.75</v>
      </c>
      <c r="AG258">
        <v>0.31</v>
      </c>
      <c r="AH258" s="119">
        <v>0.51770833333333333</v>
      </c>
      <c r="AJ258">
        <v>83</v>
      </c>
      <c r="AK258" s="3">
        <v>180</v>
      </c>
      <c r="AN258" s="80">
        <f t="shared" si="95"/>
        <v>100</v>
      </c>
      <c r="AP258" s="13">
        <f t="shared" si="130"/>
        <v>2009.9999999999909</v>
      </c>
      <c r="AQ258" s="15"/>
      <c r="AR258" s="17" t="e">
        <f t="shared" si="128"/>
        <v>#VALUE!</v>
      </c>
      <c r="AS258" s="16">
        <f t="shared" si="123"/>
        <v>1</v>
      </c>
      <c r="AT258" s="16">
        <f t="shared" si="97"/>
        <v>1.6533333333333334E-2</v>
      </c>
      <c r="AU258" s="16" t="e">
        <f t="shared" si="131"/>
        <v>#DIV/0!</v>
      </c>
      <c r="AV258" s="57" t="str">
        <f t="shared" si="129"/>
        <v/>
      </c>
      <c r="AW258" s="57" t="str">
        <f t="shared" si="99"/>
        <v/>
      </c>
      <c r="AX258" s="57" t="str">
        <f t="shared" si="125"/>
        <v/>
      </c>
      <c r="AY258" s="57" t="str">
        <f t="shared" si="102"/>
        <v/>
      </c>
      <c r="AZ258" s="57" t="str">
        <f t="shared" si="103"/>
        <v/>
      </c>
      <c r="BA258" s="123" t="str">
        <f t="shared" si="119"/>
        <v/>
      </c>
      <c r="BB258" s="123">
        <f t="shared" si="132"/>
        <v>1</v>
      </c>
      <c r="BC258" s="123"/>
      <c r="BD258" s="123" t="str">
        <f t="shared" si="104"/>
        <v/>
      </c>
      <c r="BE258" s="6">
        <f t="shared" si="101"/>
        <v>13.554216867469879</v>
      </c>
      <c r="BF258" s="6" t="str">
        <f t="shared" ref="BF258:BF264" si="133">IF(OR(AJ258=0,AP258=0,NOT(ISNUMBER(AD258)),NOT(ISNUMBER(AF258)),NOT(ISNUMBER(AJ258)),NOT(ISNUMBER(AP258))),"",
IFERROR(IF((AD258-AF258)/(AJ258/60)/(AP258/1000)&lt;=0,"",(AD258-AF258)/(AJ258/60)/(AP258/1000)),""))</f>
        <v/>
      </c>
    </row>
    <row r="259" spans="1:58" ht="15.75">
      <c r="B259" s="94">
        <v>45519</v>
      </c>
      <c r="C259" s="1">
        <v>15</v>
      </c>
      <c r="D259" s="3">
        <v>254</v>
      </c>
      <c r="E259" s="205" t="str">
        <f t="shared" si="106"/>
        <v/>
      </c>
      <c r="I259" s="15">
        <f t="shared" si="127"/>
        <v>18.75</v>
      </c>
      <c r="K259" s="10" t="str">
        <f t="shared" si="120"/>
        <v/>
      </c>
      <c r="L259" s="9" t="str">
        <f t="shared" si="121"/>
        <v/>
      </c>
      <c r="M259" s="8" t="str">
        <f t="shared" si="122"/>
        <v/>
      </c>
      <c r="X259" s="6">
        <v>5.38</v>
      </c>
      <c r="AB259" s="5">
        <v>80</v>
      </c>
      <c r="AD259" s="93">
        <v>18.75</v>
      </c>
      <c r="AG259">
        <v>0.17</v>
      </c>
      <c r="AH259" s="119">
        <v>0.53703703703703709</v>
      </c>
      <c r="AJ259" s="93">
        <v>88</v>
      </c>
      <c r="AK259" s="3">
        <v>180</v>
      </c>
      <c r="AN259" s="80">
        <f t="shared" si="95"/>
        <v>100</v>
      </c>
      <c r="AP259" s="13">
        <f t="shared" si="130"/>
        <v>2009.9999999999909</v>
      </c>
      <c r="AQ259" s="15"/>
      <c r="AR259" s="17" t="e">
        <f t="shared" si="128"/>
        <v>#VALUE!</v>
      </c>
      <c r="AS259" s="16">
        <f t="shared" si="123"/>
        <v>1</v>
      </c>
      <c r="AT259" s="16">
        <f t="shared" si="97"/>
        <v>9.0666666666666673E-3</v>
      </c>
      <c r="AU259" s="16" t="e">
        <f t="shared" si="131"/>
        <v>#DIV/0!</v>
      </c>
      <c r="AV259" s="57" t="str">
        <f t="shared" si="129"/>
        <v/>
      </c>
      <c r="AW259" s="57" t="str">
        <f t="shared" si="99"/>
        <v/>
      </c>
      <c r="AX259" s="57" t="str">
        <f t="shared" si="125"/>
        <v/>
      </c>
      <c r="AY259" s="57" t="str">
        <f t="shared" si="102"/>
        <v/>
      </c>
      <c r="AZ259" s="57" t="str">
        <f t="shared" si="103"/>
        <v/>
      </c>
      <c r="BA259" s="123" t="str">
        <f t="shared" si="119"/>
        <v/>
      </c>
      <c r="BB259" s="123">
        <f t="shared" si="132"/>
        <v>1</v>
      </c>
      <c r="BC259" s="123"/>
      <c r="BD259" s="123" t="str">
        <f t="shared" si="104"/>
        <v/>
      </c>
      <c r="BE259" s="6">
        <f t="shared" si="101"/>
        <v>12.78409090909091</v>
      </c>
      <c r="BF259" s="6" t="str">
        <f t="shared" si="133"/>
        <v/>
      </c>
    </row>
    <row r="260" spans="1:58" ht="15.75">
      <c r="B260" s="94">
        <v>45520</v>
      </c>
      <c r="C260" s="1">
        <v>16</v>
      </c>
      <c r="D260" s="3">
        <v>255</v>
      </c>
      <c r="E260" s="205" t="str">
        <f t="shared" si="106"/>
        <v/>
      </c>
      <c r="I260" s="15">
        <f t="shared" si="127"/>
        <v>18.75</v>
      </c>
      <c r="K260" s="10" t="str">
        <f t="shared" si="120"/>
        <v/>
      </c>
      <c r="L260" s="9" t="str">
        <f t="shared" si="121"/>
        <v/>
      </c>
      <c r="M260" s="8" t="str">
        <f t="shared" si="122"/>
        <v/>
      </c>
      <c r="X260" s="6">
        <v>6.41</v>
      </c>
      <c r="AB260" s="5">
        <v>80</v>
      </c>
      <c r="AD260" s="93">
        <v>18.75</v>
      </c>
      <c r="AJ260">
        <v>93</v>
      </c>
      <c r="AK260" s="3">
        <v>180</v>
      </c>
      <c r="AN260" s="80">
        <f t="shared" si="95"/>
        <v>100</v>
      </c>
      <c r="AP260" s="13">
        <f t="shared" si="130"/>
        <v>2210.0000000000364</v>
      </c>
      <c r="AQ260" s="15"/>
      <c r="AR260" s="17" t="e">
        <f t="shared" si="128"/>
        <v>#VALUE!</v>
      </c>
      <c r="AS260" s="16">
        <f t="shared" si="123"/>
        <v>1</v>
      </c>
      <c r="AT260" s="16">
        <f t="shared" si="97"/>
        <v>0</v>
      </c>
      <c r="AU260" s="16" t="e">
        <f t="shared" si="131"/>
        <v>#DIV/0!</v>
      </c>
      <c r="AV260" s="57" t="str">
        <f t="shared" si="129"/>
        <v/>
      </c>
      <c r="AW260" s="57" t="str">
        <f t="shared" si="99"/>
        <v/>
      </c>
      <c r="AX260" s="57" t="str">
        <f t="shared" si="125"/>
        <v/>
      </c>
      <c r="AY260" s="57" t="str">
        <f t="shared" si="102"/>
        <v/>
      </c>
      <c r="AZ260" s="57" t="str">
        <f t="shared" si="103"/>
        <v/>
      </c>
      <c r="BA260" s="123" t="str">
        <f t="shared" si="119"/>
        <v/>
      </c>
      <c r="BB260" s="123">
        <f t="shared" si="132"/>
        <v>1</v>
      </c>
      <c r="BC260" s="123"/>
      <c r="BD260" s="123" t="str">
        <f t="shared" si="104"/>
        <v/>
      </c>
      <c r="BE260" s="6">
        <f t="shared" si="101"/>
        <v>12.096774193548386</v>
      </c>
      <c r="BF260" s="6" t="str">
        <f t="shared" si="133"/>
        <v/>
      </c>
    </row>
    <row r="261" spans="1:58" ht="15.75">
      <c r="A261" s="12" t="s">
        <v>118</v>
      </c>
      <c r="B261" s="94">
        <v>45521</v>
      </c>
      <c r="C261" s="1">
        <v>17</v>
      </c>
      <c r="D261" s="3">
        <v>256</v>
      </c>
      <c r="E261" s="205" t="str">
        <f t="shared" si="106"/>
        <v/>
      </c>
      <c r="I261" s="15">
        <f t="shared" si="127"/>
        <v>18.75</v>
      </c>
      <c r="K261" s="10" t="str">
        <f t="shared" si="120"/>
        <v/>
      </c>
      <c r="L261" s="9" t="str">
        <f t="shared" si="121"/>
        <v/>
      </c>
      <c r="M261" s="8" t="str">
        <f t="shared" si="122"/>
        <v/>
      </c>
      <c r="X261" s="6">
        <v>5.68</v>
      </c>
      <c r="AB261" s="5">
        <v>80</v>
      </c>
      <c r="AD261" s="93">
        <v>18.75</v>
      </c>
      <c r="AK261" s="3">
        <v>180</v>
      </c>
      <c r="AN261" s="80">
        <f t="shared" ref="AN261:AN324" si="134">360-AK261-AB261</f>
        <v>100</v>
      </c>
      <c r="AP261" s="13">
        <f t="shared" si="130"/>
        <v>2210.0000000000364</v>
      </c>
      <c r="AQ261" s="15"/>
      <c r="AR261" s="17" t="e">
        <f t="shared" si="128"/>
        <v>#VALUE!</v>
      </c>
      <c r="AS261" s="16">
        <f t="shared" si="123"/>
        <v>1</v>
      </c>
      <c r="AT261" s="16">
        <f t="shared" ref="AT261:AT324" si="135">AG261/(AD261-AF261)</f>
        <v>0</v>
      </c>
      <c r="AU261" s="16" t="e">
        <f t="shared" si="131"/>
        <v>#DIV/0!</v>
      </c>
      <c r="AV261" s="57" t="str">
        <f t="shared" si="129"/>
        <v/>
      </c>
      <c r="AW261" s="57" t="str">
        <f t="shared" ref="AW261:AW324" si="136">IF(AND(ISNUMBER(I261),ISNUMBER(AF261)),I261-AF261,"")</f>
        <v/>
      </c>
      <c r="AX261" s="57" t="str">
        <f t="shared" si="125"/>
        <v/>
      </c>
      <c r="AY261" s="57" t="str">
        <f t="shared" si="102"/>
        <v/>
      </c>
      <c r="AZ261" s="57" t="str">
        <f t="shared" si="103"/>
        <v/>
      </c>
      <c r="BA261" s="123" t="str">
        <f t="shared" si="119"/>
        <v/>
      </c>
      <c r="BB261" s="123">
        <f t="shared" si="132"/>
        <v>1</v>
      </c>
      <c r="BC261" s="123"/>
      <c r="BD261" s="123" t="str">
        <f t="shared" si="104"/>
        <v/>
      </c>
      <c r="BE261" s="6" t="e">
        <f t="shared" ref="BE261:BE324" si="137">IF((AD261-AF261)/(AJ261/60)&lt;=0,"",(AD261-AF261)/(AJ261/60))</f>
        <v>#DIV/0!</v>
      </c>
      <c r="BF261" s="6" t="str">
        <f t="shared" si="133"/>
        <v/>
      </c>
    </row>
    <row r="262" spans="1:58" ht="15.75">
      <c r="B262" s="94">
        <v>45522</v>
      </c>
      <c r="C262" s="1">
        <v>18</v>
      </c>
      <c r="D262" s="3">
        <v>257</v>
      </c>
      <c r="E262" s="205" t="str">
        <f t="shared" si="106"/>
        <v/>
      </c>
      <c r="I262" s="15">
        <f t="shared" si="127"/>
        <v>18.75</v>
      </c>
      <c r="K262" s="10" t="str">
        <f t="shared" si="120"/>
        <v/>
      </c>
      <c r="L262" s="9" t="str">
        <f t="shared" si="121"/>
        <v/>
      </c>
      <c r="M262" s="8" t="str">
        <f t="shared" si="122"/>
        <v/>
      </c>
      <c r="X262" s="6">
        <v>7.44</v>
      </c>
      <c r="AB262" s="5">
        <v>80</v>
      </c>
      <c r="AD262" s="93">
        <v>18.75</v>
      </c>
      <c r="AF262" s="93">
        <v>0</v>
      </c>
      <c r="AK262" s="3">
        <v>180</v>
      </c>
      <c r="AN262" s="80">
        <f t="shared" si="134"/>
        <v>100</v>
      </c>
      <c r="AP262" s="13">
        <f t="shared" si="130"/>
        <v>2210.0000000000364</v>
      </c>
      <c r="AQ262" s="15"/>
      <c r="AR262" s="17" t="e">
        <f t="shared" si="128"/>
        <v>#VALUE!</v>
      </c>
      <c r="AS262" s="16">
        <f t="shared" si="123"/>
        <v>1</v>
      </c>
      <c r="AT262" s="16">
        <f t="shared" si="135"/>
        <v>0</v>
      </c>
      <c r="AU262" s="16" t="e">
        <f t="shared" si="131"/>
        <v>#DIV/0!</v>
      </c>
      <c r="AV262" s="57" t="str">
        <f t="shared" si="129"/>
        <v/>
      </c>
      <c r="AW262" s="57">
        <f t="shared" si="136"/>
        <v>18.75</v>
      </c>
      <c r="AX262" s="57" t="str">
        <f t="shared" si="125"/>
        <v/>
      </c>
      <c r="AY262" s="57" t="str">
        <f t="shared" ref="AY262:AY325" si="138">IF(AND(ISNUMBER(AC262),ISNUMBER(AE262)),AC262-AE262,"")</f>
        <v/>
      </c>
      <c r="AZ262" s="57" t="str">
        <f t="shared" ref="AZ262:AZ325" si="139">IF(AND(ISNUMBER(AL262),ISNUMBER(AM262)),AL262-AM262,"")</f>
        <v/>
      </c>
      <c r="BA262" s="123" t="str">
        <f t="shared" si="119"/>
        <v/>
      </c>
      <c r="BB262" s="123">
        <f t="shared" si="132"/>
        <v>1</v>
      </c>
      <c r="BC262" s="123"/>
      <c r="BD262" s="123" t="str">
        <f t="shared" si="104"/>
        <v/>
      </c>
      <c r="BE262" s="6" t="e">
        <f t="shared" si="137"/>
        <v>#DIV/0!</v>
      </c>
      <c r="BF262" s="6" t="str">
        <f t="shared" si="133"/>
        <v/>
      </c>
    </row>
    <row r="263" spans="1:58" ht="15.75">
      <c r="A263" s="12" t="s">
        <v>117</v>
      </c>
      <c r="B263" s="94">
        <v>45523</v>
      </c>
      <c r="C263" s="1">
        <v>19</v>
      </c>
      <c r="D263" s="3">
        <v>258</v>
      </c>
      <c r="E263" s="205" t="str">
        <f t="shared" ref="E263:E326" si="140">IF(OR(S263="",S263=0),"",S263*2)</f>
        <v/>
      </c>
      <c r="I263" s="15">
        <f t="shared" si="127"/>
        <v>18.75</v>
      </c>
      <c r="K263" s="10" t="str">
        <f t="shared" si="120"/>
        <v/>
      </c>
      <c r="L263" s="9" t="str">
        <f t="shared" si="121"/>
        <v/>
      </c>
      <c r="M263" s="8" t="str">
        <f t="shared" si="122"/>
        <v/>
      </c>
      <c r="X263" s="6">
        <v>8.27</v>
      </c>
      <c r="AB263" s="5">
        <v>80</v>
      </c>
      <c r="AD263" s="93">
        <v>18.75</v>
      </c>
      <c r="AF263" s="93">
        <v>0</v>
      </c>
      <c r="AK263" s="3">
        <v>180</v>
      </c>
      <c r="AN263" s="80">
        <f t="shared" si="134"/>
        <v>100</v>
      </c>
      <c r="AP263" s="13">
        <f t="shared" si="130"/>
        <v>2210.0000000000364</v>
      </c>
      <c r="AQ263" s="15"/>
      <c r="AR263" s="17" t="e">
        <f t="shared" si="128"/>
        <v>#VALUE!</v>
      </c>
      <c r="AS263" s="16">
        <f t="shared" si="123"/>
        <v>1</v>
      </c>
      <c r="AT263" s="16">
        <f t="shared" si="135"/>
        <v>0</v>
      </c>
      <c r="AU263" s="16" t="e">
        <f t="shared" si="131"/>
        <v>#DIV/0!</v>
      </c>
      <c r="AV263" s="57" t="str">
        <f t="shared" si="129"/>
        <v/>
      </c>
      <c r="AW263" s="57">
        <f t="shared" si="136"/>
        <v>18.75</v>
      </c>
      <c r="AX263" s="57" t="str">
        <f t="shared" si="125"/>
        <v/>
      </c>
      <c r="AY263" s="57" t="str">
        <f t="shared" si="138"/>
        <v/>
      </c>
      <c r="AZ263" s="57" t="str">
        <f t="shared" si="139"/>
        <v/>
      </c>
      <c r="BA263" s="123" t="str">
        <f t="shared" si="119"/>
        <v/>
      </c>
      <c r="BB263" s="123">
        <f t="shared" si="132"/>
        <v>1</v>
      </c>
      <c r="BC263" s="123"/>
      <c r="BD263" s="123" t="str">
        <f t="shared" si="104"/>
        <v/>
      </c>
      <c r="BE263" s="6" t="e">
        <f t="shared" si="137"/>
        <v>#DIV/0!</v>
      </c>
      <c r="BF263" s="6" t="str">
        <f t="shared" si="133"/>
        <v/>
      </c>
    </row>
    <row r="264" spans="1:58" ht="15.75">
      <c r="A264" s="12" t="s">
        <v>116</v>
      </c>
      <c r="B264" s="94">
        <v>45524</v>
      </c>
      <c r="C264" s="1">
        <v>20</v>
      </c>
      <c r="D264" s="3">
        <v>259</v>
      </c>
      <c r="E264" s="205">
        <f t="shared" si="140"/>
        <v>249.41438199999996</v>
      </c>
      <c r="G264" s="15">
        <f>(N264*18-H264*18)/9</f>
        <v>11.400000000000006</v>
      </c>
      <c r="H264" s="9">
        <f>12.6</f>
        <v>12.6</v>
      </c>
      <c r="I264" s="15">
        <f t="shared" si="127"/>
        <v>16.850000000000001</v>
      </c>
      <c r="K264" s="10">
        <f t="shared" si="120"/>
        <v>21.878454561403494</v>
      </c>
      <c r="L264" s="9">
        <f t="shared" si="121"/>
        <v>7.4010202373887219</v>
      </c>
      <c r="M264" s="8">
        <f t="shared" si="122"/>
        <v>2.9561403508771917</v>
      </c>
      <c r="N264" s="7">
        <v>18.3</v>
      </c>
      <c r="O264">
        <v>90.218999999999994</v>
      </c>
      <c r="P264">
        <v>18.786999999999999</v>
      </c>
      <c r="Q264" s="6">
        <f>O264*1.067</f>
        <v>96.263672999999983</v>
      </c>
      <c r="R264" s="6">
        <f>P264*1.514</f>
        <v>28.443517999999997</v>
      </c>
      <c r="S264" s="23">
        <f>P264*1.514+O264*1.067</f>
        <v>124.70719099999998</v>
      </c>
      <c r="T264" s="6">
        <v>21.8</v>
      </c>
      <c r="U264">
        <v>0.78300000000000003</v>
      </c>
      <c r="V264">
        <v>0.96299999999999997</v>
      </c>
      <c r="W264" s="23">
        <f>U264*1.067+V264*1.514</f>
        <v>2.2934429999999999</v>
      </c>
      <c r="AB264" s="5">
        <v>80</v>
      </c>
      <c r="AC264" s="7">
        <f>T264</f>
        <v>21.8</v>
      </c>
      <c r="AD264" s="1">
        <f>5*3.37</f>
        <v>16.850000000000001</v>
      </c>
      <c r="AE264" s="1">
        <f>23.2</f>
        <v>23.2</v>
      </c>
      <c r="AF264" s="1">
        <v>0</v>
      </c>
      <c r="AJ264" s="93">
        <v>109</v>
      </c>
      <c r="AK264" s="3">
        <v>180</v>
      </c>
      <c r="AL264" s="4">
        <f>AE264</f>
        <v>23.2</v>
      </c>
      <c r="AM264" s="1">
        <f>22.3</f>
        <v>22.3</v>
      </c>
      <c r="AN264" s="80">
        <f t="shared" si="134"/>
        <v>100</v>
      </c>
      <c r="AO264" s="2">
        <v>2210.0000000000364</v>
      </c>
      <c r="AP264" s="13">
        <f t="shared" si="130"/>
        <v>2210.0000000000364</v>
      </c>
      <c r="AQ264" s="15">
        <v>27.306425041183832</v>
      </c>
      <c r="AR264" s="17">
        <f t="shared" si="128"/>
        <v>0.99080468823967016</v>
      </c>
      <c r="AS264" s="18">
        <f t="shared" si="123"/>
        <v>1</v>
      </c>
      <c r="AT264" s="16">
        <f t="shared" si="135"/>
        <v>0</v>
      </c>
      <c r="AU264" s="16">
        <f t="shared" si="131"/>
        <v>-0.95614035087719207</v>
      </c>
      <c r="AV264" s="57">
        <f t="shared" si="129"/>
        <v>247.12093899999996</v>
      </c>
      <c r="AW264" s="57">
        <f t="shared" si="136"/>
        <v>16.850000000000001</v>
      </c>
      <c r="AX264" s="57">
        <f t="shared" si="125"/>
        <v>-10.899999999999995</v>
      </c>
      <c r="AY264" s="57">
        <f t="shared" si="138"/>
        <v>-1.3999999999999986</v>
      </c>
      <c r="AZ264" s="57">
        <f t="shared" si="139"/>
        <v>0.89999999999999858</v>
      </c>
      <c r="BA264" s="123">
        <f t="shared" si="119"/>
        <v>0.99080468823967016</v>
      </c>
      <c r="BB264" s="123">
        <f t="shared" si="132"/>
        <v>1</v>
      </c>
      <c r="BC264" s="123">
        <f>IF(AND($AG264&gt;=0,$AD264&gt;=0,$AF264&gt;=0),IF($AG264/($AD264-$AF264)&gt;0,$AG264/($AD264-$AF264),0),"")</f>
        <v>0</v>
      </c>
      <c r="BD264" s="123"/>
      <c r="BE264" s="6">
        <f t="shared" si="137"/>
        <v>9.2752293577981657</v>
      </c>
      <c r="BF264" s="6">
        <f t="shared" si="133"/>
        <v>4.1969363609945765</v>
      </c>
    </row>
    <row r="265" spans="1:58" ht="15.75">
      <c r="B265" s="94">
        <v>45525</v>
      </c>
      <c r="C265" s="1">
        <v>21</v>
      </c>
      <c r="D265" s="3">
        <v>260</v>
      </c>
      <c r="E265" s="205" t="str">
        <f t="shared" si="140"/>
        <v/>
      </c>
      <c r="G265" s="15">
        <f>(N265*18-H265*18)/9</f>
        <v>0</v>
      </c>
      <c r="I265" s="15">
        <f t="shared" si="127"/>
        <v>0.30612244897959184</v>
      </c>
      <c r="K265" s="10" t="str">
        <f t="shared" si="120"/>
        <v/>
      </c>
      <c r="L265" s="9" t="str">
        <f t="shared" si="121"/>
        <v/>
      </c>
      <c r="M265" s="8" t="str">
        <f t="shared" si="122"/>
        <v/>
      </c>
      <c r="AB265" s="5">
        <v>80</v>
      </c>
      <c r="AC265" s="7">
        <f>T265</f>
        <v>0</v>
      </c>
      <c r="AD265" s="1">
        <f>5*3/49</f>
        <v>0.30612244897959184</v>
      </c>
      <c r="AF265" s="1">
        <v>0</v>
      </c>
      <c r="AJ265" s="93">
        <v>109</v>
      </c>
      <c r="AK265" s="3">
        <v>180</v>
      </c>
      <c r="AL265" s="4">
        <f>AE265</f>
        <v>0</v>
      </c>
      <c r="AN265" s="80">
        <f t="shared" si="134"/>
        <v>100</v>
      </c>
      <c r="AP265" s="13">
        <f t="shared" si="130"/>
        <v>2210.0000000000364</v>
      </c>
      <c r="AQ265" s="15"/>
      <c r="AR265" s="17" t="e">
        <f t="shared" si="128"/>
        <v>#VALUE!</v>
      </c>
      <c r="AS265" s="18">
        <f t="shared" si="123"/>
        <v>1</v>
      </c>
      <c r="AT265" s="16">
        <f t="shared" si="135"/>
        <v>0</v>
      </c>
      <c r="AU265" s="16" t="e">
        <f t="shared" si="131"/>
        <v>#DIV/0!</v>
      </c>
      <c r="AV265" s="57" t="str">
        <f t="shared" si="129"/>
        <v/>
      </c>
      <c r="AW265" s="57">
        <f t="shared" si="136"/>
        <v>0.30612244897959184</v>
      </c>
      <c r="AX265" s="57" t="str">
        <f t="shared" si="125"/>
        <v/>
      </c>
      <c r="AY265" s="57" t="str">
        <f t="shared" si="138"/>
        <v/>
      </c>
      <c r="AZ265" s="57" t="str">
        <f t="shared" si="139"/>
        <v/>
      </c>
      <c r="BA265" s="123" t="str">
        <f t="shared" si="119"/>
        <v/>
      </c>
      <c r="BB265" s="123">
        <f t="shared" si="132"/>
        <v>1</v>
      </c>
      <c r="BC265" s="123">
        <f>IF(AND($AG265&gt;=0,$AD265&gt;=0,$AF265&gt;=0),IF($AG265/($AD265-$AF265)&gt;0,$AG265/($AD265-$AF265),0),"")</f>
        <v>0</v>
      </c>
      <c r="BD265" s="123" t="str">
        <f t="shared" ref="BD265:BD270" si="141">IF(AND($G265&gt;0,$AM265&gt;0),IF(($G265-$AM265)/$G265&gt;0,($G265-$AM265)/$G265,0),"")</f>
        <v/>
      </c>
      <c r="BE265" s="6">
        <f t="shared" si="137"/>
        <v>0.16850777008050927</v>
      </c>
      <c r="BF265" s="6"/>
    </row>
    <row r="266" spans="1:58" ht="15.75">
      <c r="B266" s="94">
        <v>45526</v>
      </c>
      <c r="C266" s="1">
        <v>22</v>
      </c>
      <c r="D266" s="3">
        <v>261</v>
      </c>
      <c r="E266" s="205" t="str">
        <f t="shared" si="140"/>
        <v/>
      </c>
      <c r="I266" s="15">
        <f t="shared" si="127"/>
        <v>18.75</v>
      </c>
      <c r="K266" s="10" t="str">
        <f t="shared" si="120"/>
        <v/>
      </c>
      <c r="L266" s="9" t="str">
        <f t="shared" si="121"/>
        <v/>
      </c>
      <c r="M266" s="8" t="str">
        <f t="shared" si="122"/>
        <v/>
      </c>
      <c r="AB266" s="5">
        <v>80</v>
      </c>
      <c r="AC266" s="7"/>
      <c r="AD266" s="93">
        <v>18.75</v>
      </c>
      <c r="AF266" s="93">
        <v>0</v>
      </c>
      <c r="AJ266">
        <v>109</v>
      </c>
      <c r="AK266" s="3">
        <v>180</v>
      </c>
      <c r="AN266" s="80">
        <f t="shared" si="134"/>
        <v>100</v>
      </c>
      <c r="AP266" s="13">
        <f t="shared" si="130"/>
        <v>2210.0000000000364</v>
      </c>
      <c r="AQ266" s="15"/>
      <c r="AR266" s="17" t="e">
        <f t="shared" si="128"/>
        <v>#VALUE!</v>
      </c>
      <c r="AS266" s="18">
        <f t="shared" si="123"/>
        <v>1</v>
      </c>
      <c r="AT266" s="16">
        <f t="shared" si="135"/>
        <v>0</v>
      </c>
      <c r="AU266" s="16" t="e">
        <f t="shared" si="131"/>
        <v>#DIV/0!</v>
      </c>
      <c r="AV266" s="57" t="str">
        <f t="shared" si="129"/>
        <v/>
      </c>
      <c r="AW266" s="57">
        <f t="shared" si="136"/>
        <v>18.75</v>
      </c>
      <c r="AX266" s="57" t="str">
        <f t="shared" si="125"/>
        <v/>
      </c>
      <c r="AY266" s="57" t="str">
        <f t="shared" si="138"/>
        <v/>
      </c>
      <c r="AZ266" s="57" t="str">
        <f t="shared" si="139"/>
        <v/>
      </c>
      <c r="BA266" s="123" t="str">
        <f t="shared" si="119"/>
        <v/>
      </c>
      <c r="BB266" s="123">
        <f t="shared" si="132"/>
        <v>1</v>
      </c>
      <c r="BC266" s="123"/>
      <c r="BD266" s="123" t="str">
        <f t="shared" si="141"/>
        <v/>
      </c>
      <c r="BE266" s="6">
        <f t="shared" si="137"/>
        <v>10.321100917431194</v>
      </c>
      <c r="BF266" s="6">
        <f>IF(OR(AJ266=0,AP266=0,NOT(ISNUMBER(AD266)),NOT(ISNUMBER(AF266)),NOT(ISNUMBER(AJ266)),NOT(ISNUMBER(AP266))),"",
IFERROR(IF((AD266-AF266)/(AJ266/60)/(AP266/1000)&lt;=0,"",(AD266-AF266)/(AJ266/60)/(AP266/1000)),""))</f>
        <v>4.6701814106022734</v>
      </c>
    </row>
    <row r="267" spans="1:58" ht="15.75">
      <c r="A267" s="12" t="s">
        <v>115</v>
      </c>
      <c r="B267" s="94">
        <v>45527</v>
      </c>
      <c r="C267" s="1">
        <v>23</v>
      </c>
      <c r="D267" s="3">
        <v>262</v>
      </c>
      <c r="E267" s="205">
        <f t="shared" si="140"/>
        <v>202.10548599999998</v>
      </c>
      <c r="G267" s="15">
        <f>(N267*18-H267*18)/9</f>
        <v>13.339999999999998</v>
      </c>
      <c r="H267" s="9">
        <v>5.43</v>
      </c>
      <c r="I267" s="15">
        <f t="shared" si="127"/>
        <v>0.15957446808510639</v>
      </c>
      <c r="K267" s="10">
        <f t="shared" si="120"/>
        <v>15.150336281859072</v>
      </c>
      <c r="L267" s="9">
        <f t="shared" si="121"/>
        <v>633.26385613333321</v>
      </c>
      <c r="M267" s="8">
        <f t="shared" si="122"/>
        <v>2.3924208108711608E-2</v>
      </c>
      <c r="N267" s="7">
        <v>12.1</v>
      </c>
      <c r="O267">
        <v>73.605000000000004</v>
      </c>
      <c r="P267">
        <v>14.872</v>
      </c>
      <c r="Q267" s="6">
        <f>O267*1.067</f>
        <v>78.536535000000001</v>
      </c>
      <c r="R267" s="6">
        <f>P267*1.514</f>
        <v>22.516207999999999</v>
      </c>
      <c r="S267" s="23">
        <f>P267*1.514+O267*1.067</f>
        <v>101.05274299999999</v>
      </c>
      <c r="T267" s="6">
        <v>14.3</v>
      </c>
      <c r="U267" s="6">
        <v>0</v>
      </c>
      <c r="V267" s="6">
        <v>0</v>
      </c>
      <c r="W267" s="23">
        <f>U267*1.067+V267*1.514</f>
        <v>0</v>
      </c>
      <c r="AB267" s="5">
        <v>80</v>
      </c>
      <c r="AC267" s="7">
        <f>T267</f>
        <v>14.3</v>
      </c>
      <c r="AD267" s="1">
        <f>5*3/94</f>
        <v>0.15957446808510639</v>
      </c>
      <c r="AE267" s="1">
        <f>13.1</f>
        <v>13.1</v>
      </c>
      <c r="AF267" s="1">
        <v>0</v>
      </c>
      <c r="AJ267" s="1">
        <v>131</v>
      </c>
      <c r="AK267" s="3">
        <v>180</v>
      </c>
      <c r="AL267" s="4">
        <f>AE267</f>
        <v>13.1</v>
      </c>
      <c r="AM267" s="1">
        <v>8.83</v>
      </c>
      <c r="AN267" s="80">
        <f t="shared" si="134"/>
        <v>100</v>
      </c>
      <c r="AP267" s="13">
        <f t="shared" si="130"/>
        <v>2739.9999999999636</v>
      </c>
      <c r="AQ267" s="15"/>
      <c r="AR267" s="17">
        <f t="shared" si="128"/>
        <v>1</v>
      </c>
      <c r="AS267" s="18">
        <f t="shared" si="123"/>
        <v>1</v>
      </c>
      <c r="AT267" s="16">
        <f t="shared" si="135"/>
        <v>0</v>
      </c>
      <c r="AU267" s="16">
        <f t="shared" si="131"/>
        <v>0.33808095952023975</v>
      </c>
      <c r="AV267" s="57">
        <f t="shared" si="129"/>
        <v>202.10548599999998</v>
      </c>
      <c r="AW267" s="57">
        <f t="shared" si="136"/>
        <v>0.15957446808510639</v>
      </c>
      <c r="AX267" s="57">
        <f t="shared" si="125"/>
        <v>4.509999999999998</v>
      </c>
      <c r="AY267" s="57">
        <f t="shared" si="138"/>
        <v>1.2000000000000011</v>
      </c>
      <c r="AZ267" s="57">
        <f t="shared" si="139"/>
        <v>4.2699999999999996</v>
      </c>
      <c r="BA267" s="123" t="str">
        <f t="shared" si="119"/>
        <v/>
      </c>
      <c r="BB267" s="123">
        <f t="shared" si="132"/>
        <v>1</v>
      </c>
      <c r="BC267" s="123">
        <f>IF(AND($AG267&gt;=0,$AD267&gt;=0,$AF267&gt;=0),IF($AG267/($AD267-$AF267)&gt;0,$AG267/($AD267-$AF267),0),"")</f>
        <v>0</v>
      </c>
      <c r="BD267" s="123">
        <f t="shared" si="141"/>
        <v>0.33808095952023975</v>
      </c>
      <c r="BE267" s="6">
        <f t="shared" si="137"/>
        <v>7.3087542634399885E-2</v>
      </c>
      <c r="BF267" s="6"/>
    </row>
    <row r="268" spans="1:58" ht="15.75">
      <c r="B268" s="94">
        <v>45528</v>
      </c>
      <c r="C268" s="1">
        <v>24</v>
      </c>
      <c r="D268" s="3">
        <v>263</v>
      </c>
      <c r="E268" s="205" t="str">
        <f t="shared" si="140"/>
        <v/>
      </c>
      <c r="I268" s="15">
        <f t="shared" si="127"/>
        <v>18.75</v>
      </c>
      <c r="K268" s="10" t="str">
        <f t="shared" si="120"/>
        <v/>
      </c>
      <c r="L268" s="9" t="str">
        <f t="shared" si="121"/>
        <v/>
      </c>
      <c r="M268" s="8" t="str">
        <f t="shared" si="122"/>
        <v/>
      </c>
      <c r="AB268" s="5">
        <v>80</v>
      </c>
      <c r="AD268" s="93">
        <v>18.75</v>
      </c>
      <c r="AF268" s="93">
        <v>0</v>
      </c>
      <c r="AJ268" s="1">
        <v>173</v>
      </c>
      <c r="AK268" s="3">
        <v>180</v>
      </c>
      <c r="AN268" s="80">
        <f t="shared" si="134"/>
        <v>100</v>
      </c>
      <c r="AP268" s="13">
        <f t="shared" si="130"/>
        <v>2739.9999999999636</v>
      </c>
      <c r="AQ268" s="15"/>
      <c r="AR268" s="17" t="e">
        <f t="shared" si="128"/>
        <v>#VALUE!</v>
      </c>
      <c r="AS268" s="18">
        <f t="shared" si="123"/>
        <v>1</v>
      </c>
      <c r="AT268" s="16">
        <f t="shared" si="135"/>
        <v>0</v>
      </c>
      <c r="AU268" s="16" t="e">
        <f t="shared" si="131"/>
        <v>#DIV/0!</v>
      </c>
      <c r="AV268" s="57" t="str">
        <f t="shared" si="129"/>
        <v/>
      </c>
      <c r="AW268" s="57">
        <f t="shared" si="136"/>
        <v>18.75</v>
      </c>
      <c r="AX268" s="57" t="str">
        <f t="shared" si="125"/>
        <v/>
      </c>
      <c r="AY268" s="57" t="str">
        <f t="shared" si="138"/>
        <v/>
      </c>
      <c r="AZ268" s="57" t="str">
        <f t="shared" si="139"/>
        <v/>
      </c>
      <c r="BA268" s="123" t="str">
        <f t="shared" si="119"/>
        <v/>
      </c>
      <c r="BB268" s="123">
        <f t="shared" si="132"/>
        <v>1</v>
      </c>
      <c r="BC268" s="123"/>
      <c r="BD268" s="123" t="str">
        <f t="shared" si="141"/>
        <v/>
      </c>
      <c r="BE268" s="6">
        <f t="shared" si="137"/>
        <v>6.502890173410405</v>
      </c>
      <c r="BF268" s="6">
        <f>IF(OR(AJ268=0,AP268=0,NOT(ISNUMBER(AD268)),NOT(ISNUMBER(AF268)),NOT(ISNUMBER(AJ268)),NOT(ISNUMBER(AP268))),"",
IFERROR(IF((AD268-AF268)/(AJ268/60)/(AP268/1000)&lt;=0,"",(AD268-AF268)/(AJ268/60)/(AP268/1000)),""))</f>
        <v>2.3733175815366754</v>
      </c>
    </row>
    <row r="269" spans="1:58" ht="15.75">
      <c r="B269" s="94">
        <v>45529</v>
      </c>
      <c r="C269" s="1">
        <v>25</v>
      </c>
      <c r="D269" s="3">
        <v>264</v>
      </c>
      <c r="E269" s="205" t="str">
        <f t="shared" si="140"/>
        <v/>
      </c>
      <c r="I269" s="15">
        <f t="shared" si="127"/>
        <v>18.75</v>
      </c>
      <c r="K269" s="10" t="str">
        <f t="shared" si="120"/>
        <v/>
      </c>
      <c r="L269" s="9" t="str">
        <f t="shared" si="121"/>
        <v/>
      </c>
      <c r="M269" s="8" t="str">
        <f t="shared" si="122"/>
        <v/>
      </c>
      <c r="AB269" s="5">
        <v>80</v>
      </c>
      <c r="AD269" s="93">
        <v>18.75</v>
      </c>
      <c r="AF269" s="93">
        <v>0</v>
      </c>
      <c r="AJ269" s="1">
        <v>105</v>
      </c>
      <c r="AK269" s="3">
        <v>180</v>
      </c>
      <c r="AN269" s="80">
        <f t="shared" si="134"/>
        <v>100</v>
      </c>
      <c r="AP269" s="13">
        <f t="shared" si="130"/>
        <v>2739.9999999999636</v>
      </c>
      <c r="AQ269" s="15"/>
      <c r="AR269" s="17" t="e">
        <f t="shared" si="128"/>
        <v>#VALUE!</v>
      </c>
      <c r="AS269" s="18">
        <f t="shared" si="123"/>
        <v>1</v>
      </c>
      <c r="AT269" s="16">
        <f t="shared" si="135"/>
        <v>0</v>
      </c>
      <c r="AU269" s="16" t="e">
        <f t="shared" si="131"/>
        <v>#DIV/0!</v>
      </c>
      <c r="AV269" s="57" t="str">
        <f t="shared" si="129"/>
        <v/>
      </c>
      <c r="AW269" s="57">
        <f t="shared" si="136"/>
        <v>18.75</v>
      </c>
      <c r="AX269" s="57" t="str">
        <f t="shared" si="125"/>
        <v/>
      </c>
      <c r="AY269" s="57" t="str">
        <f t="shared" si="138"/>
        <v/>
      </c>
      <c r="AZ269" s="57" t="str">
        <f t="shared" si="139"/>
        <v/>
      </c>
      <c r="BA269" s="123" t="str">
        <f t="shared" si="119"/>
        <v/>
      </c>
      <c r="BB269" s="123">
        <f t="shared" si="132"/>
        <v>1</v>
      </c>
      <c r="BC269" s="123"/>
      <c r="BD269" s="123" t="str">
        <f t="shared" si="141"/>
        <v/>
      </c>
      <c r="BE269" s="6">
        <f t="shared" si="137"/>
        <v>10.714285714285714</v>
      </c>
      <c r="BF269" s="6">
        <f>IF(OR(AJ269=0,AP269=0,NOT(ISNUMBER(AD269)),NOT(ISNUMBER(AF269)),NOT(ISNUMBER(AJ269)),NOT(ISNUMBER(AP269))),"",
IFERROR(IF((AD269-AF269)/(AJ269/60)/(AP269/1000)&lt;=0,"",(AD269-AF269)/(AJ269/60)/(AP269/1000)),""))</f>
        <v>3.9103232533889982</v>
      </c>
    </row>
    <row r="270" spans="1:58" ht="15.75">
      <c r="B270" s="94">
        <v>45530</v>
      </c>
      <c r="C270" s="1">
        <v>26</v>
      </c>
      <c r="D270" s="3">
        <v>265</v>
      </c>
      <c r="E270" s="205">
        <f t="shared" si="140"/>
        <v>202.77666999999997</v>
      </c>
      <c r="G270" s="15">
        <f>(N270*18-H270*18)/9</f>
        <v>34.999999999999993</v>
      </c>
      <c r="H270" s="9">
        <f>5*3.58</f>
        <v>17.899999999999999</v>
      </c>
      <c r="I270" s="15">
        <f t="shared" si="127"/>
        <v>18.75</v>
      </c>
      <c r="K270" s="10">
        <f t="shared" si="120"/>
        <v>5.7936191428571435</v>
      </c>
      <c r="L270" s="9">
        <f t="shared" si="121"/>
        <v>5.4073778666666659</v>
      </c>
      <c r="M270" s="8">
        <f t="shared" si="122"/>
        <v>1.0714285714285716</v>
      </c>
      <c r="N270" s="7">
        <f>10*3.54</f>
        <v>35.4</v>
      </c>
      <c r="O270">
        <v>71.766999999999996</v>
      </c>
      <c r="P270">
        <v>16.388999999999999</v>
      </c>
      <c r="Q270" s="6">
        <f>O270*1.067</f>
        <v>76.575388999999987</v>
      </c>
      <c r="R270" s="6">
        <f>P270*1.514</f>
        <v>24.812946</v>
      </c>
      <c r="S270" s="23">
        <f>P270*1.514+O270*1.067</f>
        <v>101.38833499999998</v>
      </c>
      <c r="T270" s="6">
        <f>10*4.58</f>
        <v>45.8</v>
      </c>
      <c r="U270">
        <v>1.5669999999999999</v>
      </c>
      <c r="V270">
        <v>1.331</v>
      </c>
      <c r="W270" s="23">
        <f>U270*1.067+V270*1.514</f>
        <v>3.6871229999999997</v>
      </c>
      <c r="AB270" s="5">
        <v>80</v>
      </c>
      <c r="AC270" s="7">
        <f>T270</f>
        <v>45.8</v>
      </c>
      <c r="AD270" s="1">
        <f>5*3.75</f>
        <v>18.75</v>
      </c>
      <c r="AE270" s="1">
        <f>20*4.21</f>
        <v>84.2</v>
      </c>
      <c r="AF270" s="1">
        <v>0</v>
      </c>
      <c r="AJ270" s="1">
        <v>111</v>
      </c>
      <c r="AK270" s="3">
        <v>180</v>
      </c>
      <c r="AL270" s="4">
        <f>AE270</f>
        <v>84.2</v>
      </c>
      <c r="AM270" s="1">
        <f>5*4.37</f>
        <v>21.85</v>
      </c>
      <c r="AN270" s="80">
        <f t="shared" si="134"/>
        <v>100</v>
      </c>
      <c r="AP270" s="13">
        <f t="shared" si="130"/>
        <v>2739.9999999999636</v>
      </c>
      <c r="AQ270" s="15"/>
      <c r="AR270" s="17">
        <f t="shared" si="128"/>
        <v>0.98181682833631712</v>
      </c>
      <c r="AS270" s="18">
        <f t="shared" si="123"/>
        <v>1</v>
      </c>
      <c r="AT270" s="16">
        <f t="shared" si="135"/>
        <v>0</v>
      </c>
      <c r="AU270" s="16">
        <f t="shared" si="131"/>
        <v>0.37571428571428556</v>
      </c>
      <c r="AV270" s="57">
        <f t="shared" si="129"/>
        <v>199.08954699999998</v>
      </c>
      <c r="AW270" s="57">
        <f t="shared" si="136"/>
        <v>18.75</v>
      </c>
      <c r="AX270" s="57">
        <f t="shared" si="125"/>
        <v>13.149999999999991</v>
      </c>
      <c r="AY270" s="57">
        <f t="shared" si="138"/>
        <v>-38.400000000000006</v>
      </c>
      <c r="AZ270" s="57">
        <f t="shared" si="139"/>
        <v>62.35</v>
      </c>
      <c r="BA270" s="123">
        <f t="shared" si="119"/>
        <v>0.98181682833631712</v>
      </c>
      <c r="BB270" s="123">
        <f t="shared" si="132"/>
        <v>1</v>
      </c>
      <c r="BC270" s="123">
        <f>IF(AND($AG270&gt;=0,$AD270&gt;=0,$AF270&gt;=0),IF($AG270/($AD270-$AF270)&gt;0,$AG270/($AD270-$AF270),0),"")</f>
        <v>0</v>
      </c>
      <c r="BD270" s="123">
        <f t="shared" si="141"/>
        <v>0.37571428571428556</v>
      </c>
      <c r="BE270" s="6">
        <f t="shared" si="137"/>
        <v>10.135135135135135</v>
      </c>
      <c r="BF270" s="6">
        <f>IF(OR(AJ270=0,AP270=0,NOT(ISNUMBER(AD270)),NOT(ISNUMBER(AF270)),NOT(ISNUMBER(AJ270)),NOT(ISNUMBER(AP270))),"",
IFERROR(IF((AD270-AF270)/(AJ270/60)/(AP270/1000)&lt;=0,"",(AD270-AF270)/(AJ270/60)/(AP270/1000)),""))</f>
        <v>3.6989544288814851</v>
      </c>
    </row>
    <row r="271" spans="1:58" ht="15.75">
      <c r="A271" s="25" t="s">
        <v>114</v>
      </c>
      <c r="B271" s="94">
        <v>45531</v>
      </c>
      <c r="C271" s="1">
        <v>27</v>
      </c>
      <c r="D271" s="3">
        <v>266</v>
      </c>
      <c r="E271" s="205">
        <f t="shared" si="140"/>
        <v>263.60517199999998</v>
      </c>
      <c r="G271" s="15">
        <f>(N271*18-H271*18)/9</f>
        <v>0.39999999999998992</v>
      </c>
      <c r="H271" s="9">
        <f>20*5.32</f>
        <v>106.4</v>
      </c>
      <c r="I271" s="15">
        <f t="shared" si="127"/>
        <v>19.350000000000001</v>
      </c>
      <c r="K271" s="10">
        <f t="shared" si="120"/>
        <v>659.01293000001658</v>
      </c>
      <c r="L271" s="9">
        <f t="shared" si="121"/>
        <v>6.8115031524547796</v>
      </c>
      <c r="M271" s="8">
        <f t="shared" si="122"/>
        <v>96.750000000002444</v>
      </c>
      <c r="N271" s="7">
        <f>20*5.33</f>
        <v>106.6</v>
      </c>
      <c r="O271">
        <v>94.975999999999999</v>
      </c>
      <c r="P271">
        <v>20.120999999999999</v>
      </c>
      <c r="Q271" s="6">
        <f>O271*1.067</f>
        <v>101.33939199999999</v>
      </c>
      <c r="R271" s="6">
        <f>P271*1.514</f>
        <v>30.463193999999998</v>
      </c>
      <c r="S271" s="23">
        <f>P271*1.514+O271*1.067</f>
        <v>131.80258599999999</v>
      </c>
      <c r="T271" s="6">
        <f>20*5.41</f>
        <v>108.2</v>
      </c>
      <c r="U271">
        <v>83.856999999999999</v>
      </c>
      <c r="V271">
        <v>7.2590000000000003</v>
      </c>
      <c r="W271" s="23">
        <f>U271*1.067+V271*1.514</f>
        <v>100.46554499999999</v>
      </c>
      <c r="AB271" s="5">
        <v>80</v>
      </c>
      <c r="AC271" s="7">
        <f>T271</f>
        <v>108.2</v>
      </c>
      <c r="AD271" s="1">
        <f>5*3.87</f>
        <v>19.350000000000001</v>
      </c>
      <c r="AE271" s="1">
        <f>20*5.44</f>
        <v>108.80000000000001</v>
      </c>
      <c r="AF271" s="1">
        <f>0.061</f>
        <v>6.0999999999999999E-2</v>
      </c>
      <c r="AG271" s="1">
        <v>0</v>
      </c>
      <c r="AH271" s="119">
        <v>0.52083333333333337</v>
      </c>
      <c r="AJ271" s="1">
        <v>77</v>
      </c>
      <c r="AK271" s="3">
        <v>180</v>
      </c>
      <c r="AL271" s="4">
        <f>AE271</f>
        <v>108.80000000000001</v>
      </c>
      <c r="AM271" s="1">
        <f>20*4.86</f>
        <v>97.2</v>
      </c>
      <c r="AN271" s="80">
        <f t="shared" si="134"/>
        <v>100</v>
      </c>
      <c r="AO271" s="2">
        <v>2739.9999999999636</v>
      </c>
      <c r="AP271" s="13">
        <f t="shared" si="130"/>
        <v>2739.9999999999636</v>
      </c>
      <c r="AQ271" s="15">
        <v>19.86786980341564</v>
      </c>
      <c r="AR271" s="17">
        <f t="shared" si="128"/>
        <v>0.61887870318416971</v>
      </c>
      <c r="AS271" s="18">
        <f t="shared" si="123"/>
        <v>0.99684754521963825</v>
      </c>
      <c r="AT271" s="16">
        <f t="shared" si="135"/>
        <v>0</v>
      </c>
      <c r="AU271" s="16">
        <f t="shared" si="131"/>
        <v>-242.00000000000614</v>
      </c>
      <c r="AV271" s="57">
        <f t="shared" si="129"/>
        <v>163.13962699999999</v>
      </c>
      <c r="AW271" s="57">
        <f t="shared" si="136"/>
        <v>19.289000000000001</v>
      </c>
      <c r="AX271" s="57">
        <f t="shared" si="125"/>
        <v>-96.800000000000011</v>
      </c>
      <c r="AY271" s="57">
        <f t="shared" si="138"/>
        <v>-0.60000000000000853</v>
      </c>
      <c r="AZ271" s="57">
        <f t="shared" si="139"/>
        <v>11.600000000000009</v>
      </c>
      <c r="BA271" s="123"/>
      <c r="BB271" s="123"/>
      <c r="BC271" s="123"/>
      <c r="BD271" s="123"/>
      <c r="BE271" s="6">
        <f t="shared" si="137"/>
        <v>15.03038961038961</v>
      </c>
      <c r="BF271" s="6">
        <f>IF(OR(AJ271=0,AP271=0,NOT(ISNUMBER(AD271)),NOT(ISNUMBER(AF271)),NOT(ISNUMBER(AJ271)),NOT(ISNUMBER(AP271))),"",
IFERROR(IF((AD271-AF271)/(AJ271/60)/(AP271/1000)&lt;=0,"",(AD271-AF271)/(AJ271/60)/(AP271/1000)),""))</f>
        <v>5.4855436534269373</v>
      </c>
    </row>
    <row r="272" spans="1:58" ht="15.75">
      <c r="B272" s="94">
        <v>45532</v>
      </c>
      <c r="C272" s="1">
        <v>28</v>
      </c>
      <c r="D272" s="3">
        <v>267</v>
      </c>
      <c r="E272" s="205" t="str">
        <f t="shared" si="140"/>
        <v/>
      </c>
      <c r="I272" s="15"/>
      <c r="K272" s="10" t="str">
        <f t="shared" si="120"/>
        <v/>
      </c>
      <c r="L272" s="9" t="str">
        <f t="shared" si="121"/>
        <v/>
      </c>
      <c r="M272" s="8" t="str">
        <f t="shared" si="122"/>
        <v/>
      </c>
      <c r="AB272" s="5">
        <v>80</v>
      </c>
      <c r="AD272" s="93">
        <v>18.75</v>
      </c>
      <c r="AF272" s="93">
        <v>2</v>
      </c>
      <c r="AG272" s="1">
        <v>0</v>
      </c>
      <c r="AH272" s="119">
        <v>0.52083333333333337</v>
      </c>
      <c r="AJ272" s="1">
        <v>129</v>
      </c>
      <c r="AK272" s="3">
        <v>180</v>
      </c>
      <c r="AN272" s="80">
        <f t="shared" si="134"/>
        <v>100</v>
      </c>
      <c r="AP272" s="13">
        <f t="shared" si="130"/>
        <v>2739.9999999999636</v>
      </c>
      <c r="AQ272" s="15"/>
      <c r="AR272" s="17" t="e">
        <f t="shared" si="128"/>
        <v>#VALUE!</v>
      </c>
      <c r="AS272" s="18"/>
      <c r="AT272" s="16">
        <f t="shared" si="135"/>
        <v>0</v>
      </c>
      <c r="AU272" s="16" t="e">
        <f t="shared" si="131"/>
        <v>#DIV/0!</v>
      </c>
      <c r="AV272" s="57" t="str">
        <f t="shared" si="129"/>
        <v/>
      </c>
      <c r="AW272" s="57" t="str">
        <f t="shared" si="136"/>
        <v/>
      </c>
      <c r="AX272" s="57" t="str">
        <f t="shared" si="125"/>
        <v/>
      </c>
      <c r="AY272" s="57" t="str">
        <f t="shared" si="138"/>
        <v/>
      </c>
      <c r="AZ272" s="57" t="str">
        <f t="shared" si="139"/>
        <v/>
      </c>
      <c r="BA272" s="123" t="str">
        <f t="shared" ref="BA272:BA303" si="142">IF(AND($E272&gt;0,$W272&gt;0),IF(($E272-$W272)/$E272&gt;0,($E272-$W272)/$E272,0),"")</f>
        <v/>
      </c>
      <c r="BB272" s="123" t="str">
        <f>IF(AND($I272&gt;0,$AF272&gt;=0),IF(($I272-$AF272)/$I272&gt;0,($I272-$AF272)/$I272,0),"")</f>
        <v/>
      </c>
      <c r="BC272" s="123"/>
      <c r="BD272" s="123" t="str">
        <f>IF(AND($G272&gt;0,$AM272&gt;0),IF(($G272-$AM272)/$G272&gt;0,($G272-$AM272)/$G272,0),"")</f>
        <v/>
      </c>
      <c r="BE272" s="6">
        <f t="shared" si="137"/>
        <v>7.7906976744186052</v>
      </c>
      <c r="BF272" s="6">
        <f>IF(OR(AJ272=0,AP272=0,NOT(ISNUMBER(AD272)),NOT(ISNUMBER(AF272)),NOT(ISNUMBER(AJ272)),NOT(ISNUMBER(AP272))),"",
IFERROR(IF((AD272-AF272)/(AJ272/60)/(AP272/1000)&lt;=0,"",(AD272-AF272)/(AJ272/60)/(AP272/1000)),""))</f>
        <v>2.8433203191309153</v>
      </c>
    </row>
    <row r="273" spans="1:58" ht="15.75">
      <c r="B273" s="94">
        <v>45533</v>
      </c>
      <c r="C273" s="1">
        <v>29</v>
      </c>
      <c r="D273" s="3">
        <v>268</v>
      </c>
      <c r="E273" s="205" t="str">
        <f t="shared" si="140"/>
        <v/>
      </c>
      <c r="G273" s="15">
        <f>(N273*18-H273*18)/9</f>
        <v>11</v>
      </c>
      <c r="H273" s="9">
        <f>50*5.86</f>
        <v>293</v>
      </c>
      <c r="I273" s="15">
        <f>AD273</f>
        <v>18.100000000000001</v>
      </c>
      <c r="K273" s="10" t="str">
        <f t="shared" si="120"/>
        <v/>
      </c>
      <c r="L273" s="9" t="str">
        <f t="shared" si="121"/>
        <v/>
      </c>
      <c r="M273" s="8">
        <f t="shared" si="122"/>
        <v>3.290909090909091</v>
      </c>
      <c r="N273" s="7">
        <f>50*5.97</f>
        <v>298.5</v>
      </c>
      <c r="T273" s="6">
        <f>50*6.17</f>
        <v>308.5</v>
      </c>
      <c r="AB273" s="5">
        <v>80</v>
      </c>
      <c r="AC273" s="7">
        <f>T273</f>
        <v>308.5</v>
      </c>
      <c r="AD273" s="1">
        <f>5*3.62</f>
        <v>18.100000000000001</v>
      </c>
      <c r="AE273" s="1">
        <f>50*5.9</f>
        <v>295</v>
      </c>
      <c r="AF273" s="1">
        <f>4.31</f>
        <v>4.3099999999999996</v>
      </c>
      <c r="AG273">
        <v>7.0000000000000007E-2</v>
      </c>
      <c r="AH273" s="119">
        <v>0.50335648148148149</v>
      </c>
      <c r="AJ273" s="1">
        <v>165</v>
      </c>
      <c r="AK273" s="3">
        <v>180</v>
      </c>
      <c r="AL273" s="4">
        <f>AE273</f>
        <v>295</v>
      </c>
      <c r="AM273" s="1">
        <f>50*5.96</f>
        <v>298</v>
      </c>
      <c r="AN273" s="80">
        <f t="shared" si="134"/>
        <v>100</v>
      </c>
      <c r="AP273" s="13">
        <f t="shared" si="130"/>
        <v>2739.9999999999636</v>
      </c>
      <c r="AQ273" s="15"/>
      <c r="AR273" s="17" t="e">
        <f t="shared" si="128"/>
        <v>#VALUE!</v>
      </c>
      <c r="AS273" s="18">
        <f>(I273-AF273)/I273</f>
        <v>0.76187845303867407</v>
      </c>
      <c r="AT273" s="16">
        <f t="shared" si="135"/>
        <v>5.076142131979695E-3</v>
      </c>
      <c r="AU273" s="16">
        <f t="shared" si="131"/>
        <v>-26.09090909090909</v>
      </c>
      <c r="AV273" s="57" t="str">
        <f t="shared" si="129"/>
        <v/>
      </c>
      <c r="AW273" s="57">
        <f t="shared" si="136"/>
        <v>13.790000000000003</v>
      </c>
      <c r="AX273" s="57">
        <f t="shared" si="125"/>
        <v>-287</v>
      </c>
      <c r="AY273" s="57">
        <f t="shared" si="138"/>
        <v>13.5</v>
      </c>
      <c r="AZ273" s="57">
        <f t="shared" si="139"/>
        <v>-3</v>
      </c>
      <c r="BA273" s="123" t="str">
        <f t="shared" si="142"/>
        <v/>
      </c>
      <c r="BB273" s="123"/>
      <c r="BC273" s="123"/>
      <c r="BD273" s="123"/>
      <c r="BE273" s="6">
        <f t="shared" si="137"/>
        <v>5.0145454545454555</v>
      </c>
      <c r="BF273" s="6"/>
    </row>
    <row r="274" spans="1:58" ht="15.75">
      <c r="B274" s="94">
        <v>45534</v>
      </c>
      <c r="C274" s="1">
        <v>30</v>
      </c>
      <c r="D274" s="3">
        <v>269</v>
      </c>
      <c r="E274" s="205" t="str">
        <f t="shared" si="140"/>
        <v/>
      </c>
      <c r="I274" s="15"/>
      <c r="K274" s="10" t="str">
        <f t="shared" si="120"/>
        <v/>
      </c>
      <c r="L274" s="9" t="str">
        <f t="shared" si="121"/>
        <v/>
      </c>
      <c r="M274" s="8" t="str">
        <f t="shared" si="122"/>
        <v/>
      </c>
      <c r="AB274" s="5">
        <v>80</v>
      </c>
      <c r="AD274" s="93">
        <v>18.75</v>
      </c>
      <c r="AF274" s="93">
        <v>0</v>
      </c>
      <c r="AG274">
        <v>0.63</v>
      </c>
      <c r="AH274" s="119">
        <v>0.50868055555555558</v>
      </c>
      <c r="AJ274" s="1">
        <v>169</v>
      </c>
      <c r="AK274" s="3">
        <v>180</v>
      </c>
      <c r="AN274" s="80">
        <f t="shared" si="134"/>
        <v>100</v>
      </c>
      <c r="AP274" s="96">
        <f>($AO$271+$AO$280)/2</f>
        <v>2844.9999999999591</v>
      </c>
      <c r="AQ274" s="15"/>
      <c r="AR274" s="17" t="e">
        <f t="shared" si="128"/>
        <v>#VALUE!</v>
      </c>
      <c r="AS274" s="18"/>
      <c r="AT274" s="16">
        <f t="shared" si="135"/>
        <v>3.3599999999999998E-2</v>
      </c>
      <c r="AU274" s="16" t="e">
        <f t="shared" si="131"/>
        <v>#DIV/0!</v>
      </c>
      <c r="AV274" s="57" t="str">
        <f t="shared" si="129"/>
        <v/>
      </c>
      <c r="AW274" s="57" t="str">
        <f t="shared" si="136"/>
        <v/>
      </c>
      <c r="AX274" s="57" t="str">
        <f t="shared" si="125"/>
        <v/>
      </c>
      <c r="AY274" s="57" t="str">
        <f t="shared" si="138"/>
        <v/>
      </c>
      <c r="AZ274" s="57" t="str">
        <f t="shared" si="139"/>
        <v/>
      </c>
      <c r="BA274" s="123" t="str">
        <f t="shared" si="142"/>
        <v/>
      </c>
      <c r="BB274" s="123" t="str">
        <f t="shared" ref="BB274:BB305" si="143">IF(AND($I274&gt;0,$AF274&gt;=0),IF(($I274-$AF274)/$I274&gt;0,($I274-$AF274)/$I274,0),"")</f>
        <v/>
      </c>
      <c r="BC274" s="123"/>
      <c r="BD274" s="123" t="str">
        <f t="shared" ref="BD274:BD305" si="144">IF(AND($G274&gt;0,$AM274&gt;0),IF(($G274-$AM274)/$G274&gt;0,($G274-$AM274)/$G274,0),"")</f>
        <v/>
      </c>
      <c r="BE274" s="6">
        <f t="shared" si="137"/>
        <v>6.6568047337278102</v>
      </c>
      <c r="BF274" s="6">
        <f>IF(OR(AJ274=0,AP274=0,NOT(ISNUMBER(AD274)),NOT(ISNUMBER(AF274)),NOT(ISNUMBER(AJ274)),NOT(ISNUMBER(AP274))),"",
IFERROR(IF((AD274-AF274)/(AJ274/60)/(AP274/1000)&lt;=0,"",(AD274-AF274)/(AJ274/60)/(AP274/1000)),""))</f>
        <v>2.3398259169518125</v>
      </c>
    </row>
    <row r="275" spans="1:58" ht="15.75">
      <c r="B275" s="94">
        <v>45535</v>
      </c>
      <c r="C275" s="1">
        <v>31</v>
      </c>
      <c r="D275" s="3">
        <v>270</v>
      </c>
      <c r="E275" s="205" t="str">
        <f t="shared" si="140"/>
        <v/>
      </c>
      <c r="I275" s="15"/>
      <c r="K275" s="10" t="str">
        <f t="shared" si="120"/>
        <v/>
      </c>
      <c r="L275" s="9" t="str">
        <f t="shared" si="121"/>
        <v/>
      </c>
      <c r="M275" s="8" t="str">
        <f t="shared" si="122"/>
        <v/>
      </c>
      <c r="AB275" s="5">
        <v>80</v>
      </c>
      <c r="AD275" s="93">
        <v>18.75</v>
      </c>
      <c r="AF275" s="93">
        <v>0</v>
      </c>
      <c r="AG275" s="1">
        <v>0</v>
      </c>
      <c r="AH275" s="119">
        <v>0.52083333333333337</v>
      </c>
      <c r="AJ275" s="1">
        <v>101</v>
      </c>
      <c r="AK275" s="3">
        <v>180</v>
      </c>
      <c r="AN275" s="80">
        <f t="shared" si="134"/>
        <v>100</v>
      </c>
      <c r="AP275" s="96">
        <f>($AO$271+$AO$280)/2</f>
        <v>2844.9999999999591</v>
      </c>
      <c r="AQ275" s="15"/>
      <c r="AR275" s="17" t="e">
        <f t="shared" si="128"/>
        <v>#VALUE!</v>
      </c>
      <c r="AS275" s="18"/>
      <c r="AT275" s="16">
        <f t="shared" si="135"/>
        <v>0</v>
      </c>
      <c r="AU275" s="16" t="e">
        <f t="shared" si="131"/>
        <v>#DIV/0!</v>
      </c>
      <c r="AV275" s="57" t="str">
        <f t="shared" si="129"/>
        <v/>
      </c>
      <c r="AW275" s="57" t="str">
        <f t="shared" si="136"/>
        <v/>
      </c>
      <c r="AX275" s="57" t="str">
        <f t="shared" si="125"/>
        <v/>
      </c>
      <c r="AY275" s="57" t="str">
        <f t="shared" si="138"/>
        <v/>
      </c>
      <c r="AZ275" s="57" t="str">
        <f t="shared" si="139"/>
        <v/>
      </c>
      <c r="BA275" s="123" t="str">
        <f t="shared" si="142"/>
        <v/>
      </c>
      <c r="BB275" s="123" t="str">
        <f t="shared" si="143"/>
        <v/>
      </c>
      <c r="BC275" s="123"/>
      <c r="BD275" s="123" t="str">
        <f t="shared" si="144"/>
        <v/>
      </c>
      <c r="BE275" s="6">
        <f t="shared" si="137"/>
        <v>11.138613861386139</v>
      </c>
      <c r="BF275" s="6">
        <f>IF(OR(AJ275=0,AP275=0,NOT(ISNUMBER(AD275)),NOT(ISNUMBER(AF275)),NOT(ISNUMBER(AJ275)),NOT(ISNUMBER(AP275))),"",
IFERROR(IF((AD275-AF275)/(AJ275/60)/(AP275/1000)&lt;=0,"",(AD275-AF275)/(AJ275/60)/(AP275/1000)),""))</f>
        <v>3.9151542570777855</v>
      </c>
    </row>
    <row r="276" spans="1:58" ht="15.75">
      <c r="B276" s="94">
        <v>45536</v>
      </c>
      <c r="C276" s="1">
        <v>32</v>
      </c>
      <c r="D276" s="3">
        <v>271</v>
      </c>
      <c r="E276" s="205" t="str">
        <f t="shared" si="140"/>
        <v/>
      </c>
      <c r="I276" s="15"/>
      <c r="K276" s="10" t="str">
        <f t="shared" si="120"/>
        <v/>
      </c>
      <c r="L276" s="9" t="str">
        <f t="shared" si="121"/>
        <v/>
      </c>
      <c r="M276" s="8" t="str">
        <f t="shared" si="122"/>
        <v/>
      </c>
      <c r="AB276" s="5">
        <v>80</v>
      </c>
      <c r="AD276" s="93">
        <v>18.75</v>
      </c>
      <c r="AF276" s="1">
        <v>6.45</v>
      </c>
      <c r="AG276" s="1">
        <v>0</v>
      </c>
      <c r="AH276" s="119">
        <v>0.52083333333333337</v>
      </c>
      <c r="AJ276" s="1">
        <v>169</v>
      </c>
      <c r="AK276" s="3">
        <v>180</v>
      </c>
      <c r="AN276" s="80">
        <f t="shared" si="134"/>
        <v>100</v>
      </c>
      <c r="AP276" s="96">
        <f>($AO$271+$AO$280)/2</f>
        <v>2844.9999999999591</v>
      </c>
      <c r="AQ276" s="15"/>
      <c r="AR276" s="17" t="e">
        <f t="shared" si="128"/>
        <v>#VALUE!</v>
      </c>
      <c r="AS276" s="18"/>
      <c r="AT276" s="16">
        <f t="shared" si="135"/>
        <v>0</v>
      </c>
      <c r="AU276" s="16" t="e">
        <f t="shared" si="131"/>
        <v>#DIV/0!</v>
      </c>
      <c r="AV276" s="57" t="str">
        <f t="shared" si="129"/>
        <v/>
      </c>
      <c r="AW276" s="57" t="str">
        <f t="shared" si="136"/>
        <v/>
      </c>
      <c r="AX276" s="57" t="str">
        <f t="shared" si="125"/>
        <v/>
      </c>
      <c r="AY276" s="57" t="str">
        <f t="shared" si="138"/>
        <v/>
      </c>
      <c r="AZ276" s="57" t="str">
        <f t="shared" si="139"/>
        <v/>
      </c>
      <c r="BA276" s="123" t="str">
        <f t="shared" si="142"/>
        <v/>
      </c>
      <c r="BB276" s="123" t="str">
        <f t="shared" si="143"/>
        <v/>
      </c>
      <c r="BC276" s="123"/>
      <c r="BD276" s="123" t="str">
        <f t="shared" si="144"/>
        <v/>
      </c>
      <c r="BE276" s="6">
        <f t="shared" si="137"/>
        <v>4.3668639053254434</v>
      </c>
      <c r="BF276" s="6"/>
    </row>
    <row r="277" spans="1:58" ht="15.75">
      <c r="A277" s="12" t="s">
        <v>113</v>
      </c>
      <c r="B277" s="94">
        <v>45537</v>
      </c>
      <c r="C277" s="1">
        <v>33</v>
      </c>
      <c r="D277" s="3">
        <v>272</v>
      </c>
      <c r="E277" s="205" t="str">
        <f t="shared" si="140"/>
        <v/>
      </c>
      <c r="G277" s="15">
        <f>(N277*18-H277*18)/9</f>
        <v>12.190000000000001</v>
      </c>
      <c r="H277" s="9">
        <f>5*0.431</f>
        <v>2.1549999999999998</v>
      </c>
      <c r="I277" s="15">
        <f>AD277</f>
        <v>16.7</v>
      </c>
      <c r="K277" s="10" t="str">
        <f t="shared" si="120"/>
        <v/>
      </c>
      <c r="L277" s="9" t="str">
        <f t="shared" si="121"/>
        <v/>
      </c>
      <c r="M277" s="8">
        <f t="shared" si="122"/>
        <v>2.7399507793273172</v>
      </c>
      <c r="N277" s="7">
        <f>5*1.65</f>
        <v>8.25</v>
      </c>
      <c r="T277" s="6">
        <f>5*3</f>
        <v>15</v>
      </c>
      <c r="AB277" s="5">
        <v>80</v>
      </c>
      <c r="AC277" s="7">
        <f>T277</f>
        <v>15</v>
      </c>
      <c r="AD277" s="1">
        <f>5*3.34</f>
        <v>16.7</v>
      </c>
      <c r="AE277" s="1">
        <f>5*1.45</f>
        <v>7.25</v>
      </c>
      <c r="AF277" s="1">
        <v>0</v>
      </c>
      <c r="AG277">
        <v>0.01</v>
      </c>
      <c r="AH277" s="119">
        <v>0.81574074074074077</v>
      </c>
      <c r="AJ277" s="1">
        <v>173</v>
      </c>
      <c r="AK277" s="3">
        <v>180</v>
      </c>
      <c r="AL277" s="4">
        <f>AE277</f>
        <v>7.25</v>
      </c>
      <c r="AM277" s="1">
        <f>5*0.755</f>
        <v>3.7749999999999999</v>
      </c>
      <c r="AN277" s="80">
        <f t="shared" si="134"/>
        <v>100</v>
      </c>
      <c r="AP277" s="96">
        <f>($AO$271+$AO$280)/2</f>
        <v>2844.9999999999591</v>
      </c>
      <c r="AQ277" s="15"/>
      <c r="AR277" s="17" t="e">
        <f t="shared" si="128"/>
        <v>#VALUE!</v>
      </c>
      <c r="AS277" s="18">
        <f>(I277-AF277)/I277</f>
        <v>1</v>
      </c>
      <c r="AT277" s="16">
        <f t="shared" si="135"/>
        <v>5.9880239520958083E-4</v>
      </c>
      <c r="AU277" s="16">
        <f t="shared" si="131"/>
        <v>0.69031993437243644</v>
      </c>
      <c r="AV277" s="57" t="str">
        <f t="shared" si="129"/>
        <v/>
      </c>
      <c r="AW277" s="57">
        <f t="shared" si="136"/>
        <v>16.7</v>
      </c>
      <c r="AX277" s="57">
        <f t="shared" si="125"/>
        <v>8.4150000000000009</v>
      </c>
      <c r="AY277" s="57">
        <f t="shared" si="138"/>
        <v>7.75</v>
      </c>
      <c r="AZ277" s="57">
        <f t="shared" si="139"/>
        <v>3.4750000000000001</v>
      </c>
      <c r="BA277" s="123" t="str">
        <f t="shared" si="142"/>
        <v/>
      </c>
      <c r="BB277" s="123">
        <f t="shared" si="143"/>
        <v>1</v>
      </c>
      <c r="BC277" s="123">
        <f>IF(AND($AG277&gt;=0,$AD277&gt;=0,$AF277&gt;=0),IF($AG277/($AD277-$AF277)&gt;0,$AG277/($AD277-$AF277),0),"")</f>
        <v>5.9880239520958083E-4</v>
      </c>
      <c r="BD277" s="123">
        <f t="shared" si="144"/>
        <v>0.69031993437243644</v>
      </c>
      <c r="BE277" s="6">
        <f t="shared" si="137"/>
        <v>5.7919075144508669</v>
      </c>
      <c r="BF277" s="6">
        <f t="shared" ref="BF277:BF308" si="145">IF(OR(AJ277=0,AP277=0,NOT(ISNUMBER(AD277)),NOT(ISNUMBER(AF277)),NOT(ISNUMBER(AJ277)),NOT(ISNUMBER(AP277))),"",
IFERROR(IF((AD277-AF277)/(AJ277/60)/(AP277/1000)&lt;=0,"",(AD277-AF277)/(AJ277/60)/(AP277/1000)),""))</f>
        <v>2.0358198644818808</v>
      </c>
    </row>
    <row r="278" spans="1:58" ht="15.75">
      <c r="B278" s="94">
        <v>45538</v>
      </c>
      <c r="C278" s="1">
        <v>34</v>
      </c>
      <c r="D278" s="3">
        <v>273</v>
      </c>
      <c r="E278" s="205">
        <f t="shared" si="140"/>
        <v>217.73629999999997</v>
      </c>
      <c r="G278" s="15">
        <f>(N278*18-H278*18)/9</f>
        <v>14.220000000000002</v>
      </c>
      <c r="H278" s="9">
        <v>7.19</v>
      </c>
      <c r="I278" s="15">
        <f>AD278</f>
        <v>17.3</v>
      </c>
      <c r="K278" s="10">
        <f t="shared" si="120"/>
        <v>15.31197609001406</v>
      </c>
      <c r="L278" s="9">
        <f t="shared" si="121"/>
        <v>6.2929566473988432</v>
      </c>
      <c r="M278" s="8">
        <f t="shared" si="122"/>
        <v>2.4331926863572431</v>
      </c>
      <c r="N278" s="7">
        <v>14.3</v>
      </c>
      <c r="O278">
        <v>77.177999999999997</v>
      </c>
      <c r="P278">
        <v>17.515999999999998</v>
      </c>
      <c r="Q278" s="6">
        <f>O278*1.067</f>
        <v>82.348925999999992</v>
      </c>
      <c r="R278" s="6">
        <f>P278*1.514</f>
        <v>26.519223999999998</v>
      </c>
      <c r="S278" s="23">
        <f>P278*1.514+O278*1.067</f>
        <v>108.86814999999999</v>
      </c>
      <c r="T278" s="6">
        <v>17.5</v>
      </c>
      <c r="U278">
        <v>0.21</v>
      </c>
      <c r="V278">
        <v>0.125</v>
      </c>
      <c r="W278" s="23">
        <f>U278*1.067+V278*1.514</f>
        <v>0.41332000000000002</v>
      </c>
      <c r="AB278" s="5">
        <v>80</v>
      </c>
      <c r="AC278" s="7">
        <f>T278</f>
        <v>17.5</v>
      </c>
      <c r="AD278" s="1">
        <f>5*3.46</f>
        <v>17.3</v>
      </c>
      <c r="AE278" s="1">
        <v>10.7</v>
      </c>
      <c r="AF278" s="1">
        <v>0</v>
      </c>
      <c r="AG278" s="1">
        <v>0</v>
      </c>
      <c r="AH278" s="119">
        <v>0.52083333333333337</v>
      </c>
      <c r="AJ278" s="1">
        <v>139</v>
      </c>
      <c r="AK278" s="3">
        <v>180</v>
      </c>
      <c r="AL278" s="4">
        <f>AE278</f>
        <v>10.7</v>
      </c>
      <c r="AM278" s="1">
        <v>8.2100000000000009</v>
      </c>
      <c r="AN278" s="80">
        <f t="shared" si="134"/>
        <v>100</v>
      </c>
      <c r="AP278" s="13">
        <f t="shared" ref="AP278:AP309" si="146">AVERAGE(AO276:AO282)</f>
        <v>2949.9999999999545</v>
      </c>
      <c r="AQ278" s="15"/>
      <c r="AR278" s="17">
        <f t="shared" si="128"/>
        <v>0.99810174049986156</v>
      </c>
      <c r="AS278" s="18">
        <f>(I278-AF278)/I278</f>
        <v>1</v>
      </c>
      <c r="AT278" s="16">
        <f t="shared" si="135"/>
        <v>0</v>
      </c>
      <c r="AU278" s="16">
        <f t="shared" si="131"/>
        <v>0.4226441631504923</v>
      </c>
      <c r="AV278" s="57">
        <f t="shared" si="129"/>
        <v>217.32297999999997</v>
      </c>
      <c r="AW278" s="57">
        <f t="shared" si="136"/>
        <v>17.3</v>
      </c>
      <c r="AX278" s="57">
        <f t="shared" si="125"/>
        <v>6.0100000000000016</v>
      </c>
      <c r="AY278" s="57">
        <f t="shared" si="138"/>
        <v>6.8000000000000007</v>
      </c>
      <c r="AZ278" s="57">
        <f t="shared" si="139"/>
        <v>2.4899999999999984</v>
      </c>
      <c r="BA278" s="123">
        <f t="shared" si="142"/>
        <v>0.99810174049986156</v>
      </c>
      <c r="BB278" s="123">
        <f t="shared" si="143"/>
        <v>1</v>
      </c>
      <c r="BC278" s="123">
        <f>IF(AND($AG278&gt;=0,$AD278&gt;=0,$AF278&gt;=0),IF($AG278/($AD278-$AF278)&gt;0,$AG278/($AD278-$AF278),0),"")</f>
        <v>0</v>
      </c>
      <c r="BD278" s="123">
        <f t="shared" si="144"/>
        <v>0.4226441631504923</v>
      </c>
      <c r="BE278" s="6">
        <f t="shared" si="137"/>
        <v>7.4676258992805753</v>
      </c>
      <c r="BF278" s="6">
        <f t="shared" si="145"/>
        <v>2.5313986099256578</v>
      </c>
    </row>
    <row r="279" spans="1:58" ht="15.75">
      <c r="A279" s="12" t="s">
        <v>112</v>
      </c>
      <c r="B279" s="94">
        <v>45539</v>
      </c>
      <c r="C279" s="1">
        <v>35</v>
      </c>
      <c r="D279" s="3">
        <v>274</v>
      </c>
      <c r="E279" s="205" t="str">
        <f t="shared" si="140"/>
        <v/>
      </c>
      <c r="I279" s="15">
        <f>AD279</f>
        <v>0</v>
      </c>
      <c r="K279" s="10" t="str">
        <f t="shared" si="120"/>
        <v/>
      </c>
      <c r="L279" s="9" t="str">
        <f t="shared" si="121"/>
        <v/>
      </c>
      <c r="M279" s="8" t="str">
        <f t="shared" si="122"/>
        <v/>
      </c>
      <c r="W279" s="23"/>
      <c r="AB279" s="5">
        <v>80</v>
      </c>
      <c r="AF279" s="1">
        <v>5.75</v>
      </c>
      <c r="AG279" s="1">
        <v>0</v>
      </c>
      <c r="AH279" s="119">
        <v>0.52083333333333337</v>
      </c>
      <c r="AJ279" s="1">
        <v>123</v>
      </c>
      <c r="AK279" s="3">
        <v>180</v>
      </c>
      <c r="AL279" s="4">
        <f>AE279</f>
        <v>0</v>
      </c>
      <c r="AM279" s="1">
        <v>11.8</v>
      </c>
      <c r="AN279" s="80">
        <f t="shared" si="134"/>
        <v>100</v>
      </c>
      <c r="AP279" s="13">
        <f t="shared" si="146"/>
        <v>2949.9999999999545</v>
      </c>
      <c r="AQ279" s="15"/>
      <c r="AR279" s="17" t="e">
        <f t="shared" ref="AR279:AR310" si="147">(E279-W279)/E279</f>
        <v>#VALUE!</v>
      </c>
      <c r="AS279" s="18"/>
      <c r="AT279" s="16">
        <f t="shared" si="135"/>
        <v>0</v>
      </c>
      <c r="AU279" s="16"/>
      <c r="AV279" s="57" t="str">
        <f t="shared" si="129"/>
        <v/>
      </c>
      <c r="AW279" s="57">
        <f t="shared" si="136"/>
        <v>-5.75</v>
      </c>
      <c r="AX279" s="57" t="str">
        <f t="shared" si="125"/>
        <v/>
      </c>
      <c r="AY279" s="57" t="str">
        <f t="shared" si="138"/>
        <v/>
      </c>
      <c r="AZ279" s="57">
        <f t="shared" si="139"/>
        <v>-11.8</v>
      </c>
      <c r="BA279" s="123" t="str">
        <f t="shared" si="142"/>
        <v/>
      </c>
      <c r="BB279" s="123" t="str">
        <f t="shared" si="143"/>
        <v/>
      </c>
      <c r="BC279" s="123"/>
      <c r="BD279" s="123" t="str">
        <f t="shared" si="144"/>
        <v/>
      </c>
      <c r="BE279" s="6" t="str">
        <f t="shared" si="137"/>
        <v/>
      </c>
      <c r="BF279" s="6" t="str">
        <f t="shared" si="145"/>
        <v/>
      </c>
    </row>
    <row r="280" spans="1:58" ht="15.75">
      <c r="A280" s="112"/>
      <c r="B280" s="94">
        <v>45540</v>
      </c>
      <c r="C280" s="1">
        <v>36</v>
      </c>
      <c r="D280" s="3">
        <v>275</v>
      </c>
      <c r="E280" s="205">
        <f t="shared" si="140"/>
        <v>227.23379799999998</v>
      </c>
      <c r="G280" s="15">
        <f>(N280*18-H280*18)/9</f>
        <v>13.72</v>
      </c>
      <c r="H280" s="9">
        <f>5*0.878</f>
        <v>4.3899999999999997</v>
      </c>
      <c r="I280" s="15">
        <f>AD280</f>
        <v>18.850000000000001</v>
      </c>
      <c r="K280" s="10">
        <f t="shared" si="120"/>
        <v>16.562230174927112</v>
      </c>
      <c r="L280" s="9">
        <f t="shared" si="121"/>
        <v>6.0274216976127315</v>
      </c>
      <c r="M280" s="8">
        <f t="shared" si="122"/>
        <v>2.7478134110787171</v>
      </c>
      <c r="N280" s="7">
        <f>5*2.25</f>
        <v>11.25</v>
      </c>
      <c r="O280">
        <v>82.320999999999998</v>
      </c>
      <c r="P280">
        <v>17.027999999999999</v>
      </c>
      <c r="Q280" s="6">
        <f>O280*1.067</f>
        <v>87.836506999999997</v>
      </c>
      <c r="R280" s="6">
        <f>P280*1.514</f>
        <v>25.780391999999999</v>
      </c>
      <c r="S280" s="23">
        <f>P280*1.514+O280*1.067</f>
        <v>113.61689899999999</v>
      </c>
      <c r="T280" s="6">
        <f>5*3.07</f>
        <v>15.35</v>
      </c>
      <c r="U280" s="6">
        <v>0</v>
      </c>
      <c r="V280">
        <v>0</v>
      </c>
      <c r="W280" s="23">
        <f>U280*1.067+V280*1.514</f>
        <v>0</v>
      </c>
      <c r="AB280" s="5">
        <v>80</v>
      </c>
      <c r="AC280" s="7">
        <f>T280</f>
        <v>15.35</v>
      </c>
      <c r="AD280" s="1">
        <f>5*3.77</f>
        <v>18.850000000000001</v>
      </c>
      <c r="AE280" s="1">
        <f>5*1.51</f>
        <v>7.55</v>
      </c>
      <c r="AF280" s="1">
        <v>0</v>
      </c>
      <c r="AG280" s="1">
        <v>0</v>
      </c>
      <c r="AH280" s="119">
        <v>0.52083333333333337</v>
      </c>
      <c r="AJ280" s="1">
        <v>135</v>
      </c>
      <c r="AK280" s="3">
        <v>180</v>
      </c>
      <c r="AL280" s="4">
        <f>AE280</f>
        <v>7.55</v>
      </c>
      <c r="AM280" s="1">
        <f>5*1.11</f>
        <v>5.5500000000000007</v>
      </c>
      <c r="AN280" s="80">
        <f t="shared" si="134"/>
        <v>100</v>
      </c>
      <c r="AO280" s="2">
        <v>2949.9999999999545</v>
      </c>
      <c r="AP280" s="13">
        <f t="shared" si="146"/>
        <v>2949.9999999999545</v>
      </c>
      <c r="AQ280" s="15">
        <v>18.21612349914243</v>
      </c>
      <c r="AR280" s="17">
        <f t="shared" si="147"/>
        <v>1</v>
      </c>
      <c r="AS280" s="18">
        <f>(I280-AF280)/I280</f>
        <v>1</v>
      </c>
      <c r="AT280" s="16">
        <f t="shared" si="135"/>
        <v>0</v>
      </c>
      <c r="AU280" s="16">
        <f t="shared" ref="AU280:AU311" si="148">(G280-AM280)/G280</f>
        <v>0.59548104956268222</v>
      </c>
      <c r="AV280" s="57">
        <f t="shared" si="129"/>
        <v>227.23379799999998</v>
      </c>
      <c r="AW280" s="57">
        <f t="shared" si="136"/>
        <v>18.850000000000001</v>
      </c>
      <c r="AX280" s="57">
        <f t="shared" si="125"/>
        <v>8.17</v>
      </c>
      <c r="AY280" s="57">
        <f t="shared" si="138"/>
        <v>7.8</v>
      </c>
      <c r="AZ280" s="57">
        <f t="shared" si="139"/>
        <v>1.9999999999999991</v>
      </c>
      <c r="BA280" s="123" t="str">
        <f t="shared" si="142"/>
        <v/>
      </c>
      <c r="BB280" s="123">
        <f t="shared" si="143"/>
        <v>1</v>
      </c>
      <c r="BC280" s="123">
        <f>IF(AND($AG280&gt;=0,$AD280&gt;=0,$AF280&gt;=0),IF($AG280/($AD280-$AF280)&gt;0,$AG280/($AD280-$AF280),0),"")</f>
        <v>0</v>
      </c>
      <c r="BD280" s="123">
        <f t="shared" si="144"/>
        <v>0.59548104956268222</v>
      </c>
      <c r="BE280" s="6">
        <f t="shared" si="137"/>
        <v>8.3777777777777782</v>
      </c>
      <c r="BF280" s="6">
        <f t="shared" si="145"/>
        <v>2.8399246704331889</v>
      </c>
    </row>
    <row r="281" spans="1:58" ht="15.75">
      <c r="B281" s="11">
        <v>45541</v>
      </c>
      <c r="C281" s="1">
        <v>37</v>
      </c>
      <c r="D281" s="3">
        <v>276</v>
      </c>
      <c r="E281" s="205" t="str">
        <f t="shared" si="140"/>
        <v/>
      </c>
      <c r="I281" s="41">
        <v>18.8</v>
      </c>
      <c r="K281" s="10" t="str">
        <f t="shared" si="120"/>
        <v/>
      </c>
      <c r="L281" s="9" t="str">
        <f t="shared" si="121"/>
        <v/>
      </c>
      <c r="M281" s="8" t="str">
        <f t="shared" si="122"/>
        <v/>
      </c>
      <c r="AB281" s="5">
        <v>80</v>
      </c>
      <c r="AG281" s="1">
        <v>0</v>
      </c>
      <c r="AH281" s="119">
        <v>0.52083333333333337</v>
      </c>
      <c r="AK281" s="3">
        <v>180</v>
      </c>
      <c r="AN281" s="80">
        <f t="shared" si="134"/>
        <v>100</v>
      </c>
      <c r="AP281" s="13">
        <f t="shared" si="146"/>
        <v>2949.9999999999545</v>
      </c>
      <c r="AQ281" s="15"/>
      <c r="AR281" s="17" t="e">
        <f t="shared" si="147"/>
        <v>#VALUE!</v>
      </c>
      <c r="AS281" s="16"/>
      <c r="AT281" s="16" t="e">
        <f t="shared" si="135"/>
        <v>#DIV/0!</v>
      </c>
      <c r="AU281" s="16" t="e">
        <f t="shared" si="148"/>
        <v>#DIV/0!</v>
      </c>
      <c r="AV281" s="57" t="str">
        <f t="shared" si="129"/>
        <v/>
      </c>
      <c r="AW281" s="57" t="str">
        <f t="shared" si="136"/>
        <v/>
      </c>
      <c r="AX281" s="57" t="str">
        <f t="shared" si="125"/>
        <v/>
      </c>
      <c r="AY281" s="57" t="str">
        <f t="shared" si="138"/>
        <v/>
      </c>
      <c r="AZ281" s="57" t="str">
        <f t="shared" si="139"/>
        <v/>
      </c>
      <c r="BA281" s="84" t="str">
        <f t="shared" si="142"/>
        <v/>
      </c>
      <c r="BB281" s="84">
        <f t="shared" si="143"/>
        <v>1</v>
      </c>
      <c r="BC281" s="84"/>
      <c r="BD281" s="84" t="str">
        <f t="shared" si="144"/>
        <v/>
      </c>
      <c r="BE281" s="6" t="e">
        <f t="shared" si="137"/>
        <v>#DIV/0!</v>
      </c>
      <c r="BF281" s="6" t="str">
        <f t="shared" si="145"/>
        <v/>
      </c>
    </row>
    <row r="282" spans="1:58" ht="15.75">
      <c r="B282" s="11">
        <v>45542</v>
      </c>
      <c r="C282" s="1">
        <v>38</v>
      </c>
      <c r="D282" s="3">
        <v>277</v>
      </c>
      <c r="E282" s="205" t="str">
        <f t="shared" si="140"/>
        <v/>
      </c>
      <c r="I282" s="41">
        <f>AD282</f>
        <v>0</v>
      </c>
      <c r="K282" s="10" t="str">
        <f t="shared" si="120"/>
        <v/>
      </c>
      <c r="L282" s="9" t="str">
        <f t="shared" si="121"/>
        <v/>
      </c>
      <c r="M282" s="8" t="str">
        <f t="shared" si="122"/>
        <v/>
      </c>
      <c r="AB282" s="5">
        <v>80</v>
      </c>
      <c r="AG282" s="1">
        <v>0.01</v>
      </c>
      <c r="AH282" s="119">
        <v>0.52083333333333337</v>
      </c>
      <c r="AJ282" s="1">
        <v>143</v>
      </c>
      <c r="AK282" s="3">
        <v>180</v>
      </c>
      <c r="AN282" s="80">
        <f t="shared" si="134"/>
        <v>100</v>
      </c>
      <c r="AP282" s="13">
        <f t="shared" si="146"/>
        <v>2949.9999999999545</v>
      </c>
      <c r="AQ282" s="15"/>
      <c r="AR282" s="17" t="e">
        <f t="shared" si="147"/>
        <v>#VALUE!</v>
      </c>
      <c r="AS282" s="16"/>
      <c r="AT282" s="16" t="e">
        <f t="shared" si="135"/>
        <v>#DIV/0!</v>
      </c>
      <c r="AU282" s="16" t="e">
        <f t="shared" si="148"/>
        <v>#DIV/0!</v>
      </c>
      <c r="AV282" s="57" t="str">
        <f t="shared" si="129"/>
        <v/>
      </c>
      <c r="AW282" s="57" t="str">
        <f t="shared" si="136"/>
        <v/>
      </c>
      <c r="AX282" s="57" t="str">
        <f t="shared" si="125"/>
        <v/>
      </c>
      <c r="AY282" s="57" t="str">
        <f t="shared" si="138"/>
        <v/>
      </c>
      <c r="AZ282" s="57" t="str">
        <f t="shared" si="139"/>
        <v/>
      </c>
      <c r="BA282" s="84" t="str">
        <f t="shared" si="142"/>
        <v/>
      </c>
      <c r="BB282" s="84" t="str">
        <f t="shared" si="143"/>
        <v/>
      </c>
      <c r="BC282" s="84"/>
      <c r="BD282" s="84" t="str">
        <f t="shared" si="144"/>
        <v/>
      </c>
      <c r="BE282" s="6" t="str">
        <f t="shared" si="137"/>
        <v/>
      </c>
      <c r="BF282" s="6" t="str">
        <f t="shared" si="145"/>
        <v/>
      </c>
    </row>
    <row r="283" spans="1:58" ht="15.75">
      <c r="B283" s="11">
        <v>45543</v>
      </c>
      <c r="C283" s="1">
        <v>39</v>
      </c>
      <c r="D283" s="3">
        <v>278</v>
      </c>
      <c r="E283" s="205" t="str">
        <f t="shared" si="140"/>
        <v/>
      </c>
      <c r="I283" s="41">
        <v>18.899999999999999</v>
      </c>
      <c r="K283" s="10" t="str">
        <f t="shared" si="120"/>
        <v/>
      </c>
      <c r="L283" s="9" t="str">
        <f t="shared" si="121"/>
        <v/>
      </c>
      <c r="M283" s="8" t="str">
        <f t="shared" si="122"/>
        <v/>
      </c>
      <c r="AB283" s="5">
        <v>80</v>
      </c>
      <c r="AG283">
        <v>1.05</v>
      </c>
      <c r="AH283" s="119">
        <v>0.50937500000000002</v>
      </c>
      <c r="AJ283" s="1">
        <v>143</v>
      </c>
      <c r="AK283" s="3">
        <v>180</v>
      </c>
      <c r="AN283" s="80">
        <f t="shared" si="134"/>
        <v>100</v>
      </c>
      <c r="AP283" s="13">
        <f t="shared" si="146"/>
        <v>2019.9999999999818</v>
      </c>
      <c r="AQ283" s="15"/>
      <c r="AR283" s="17" t="e">
        <f t="shared" si="147"/>
        <v>#VALUE!</v>
      </c>
      <c r="AS283" s="16"/>
      <c r="AT283" s="16" t="e">
        <f t="shared" si="135"/>
        <v>#DIV/0!</v>
      </c>
      <c r="AU283" s="16" t="e">
        <f t="shared" si="148"/>
        <v>#DIV/0!</v>
      </c>
      <c r="AV283" s="57" t="str">
        <f t="shared" si="129"/>
        <v/>
      </c>
      <c r="AW283" s="57" t="str">
        <f t="shared" si="136"/>
        <v/>
      </c>
      <c r="AX283" s="57" t="str">
        <f t="shared" si="125"/>
        <v/>
      </c>
      <c r="AY283" s="57" t="str">
        <f t="shared" si="138"/>
        <v/>
      </c>
      <c r="AZ283" s="57" t="str">
        <f t="shared" si="139"/>
        <v/>
      </c>
      <c r="BA283" s="84" t="str">
        <f t="shared" si="142"/>
        <v/>
      </c>
      <c r="BB283" s="84">
        <f t="shared" si="143"/>
        <v>1</v>
      </c>
      <c r="BC283" s="84"/>
      <c r="BD283" s="84" t="str">
        <f t="shared" si="144"/>
        <v/>
      </c>
      <c r="BE283" s="6" t="str">
        <f t="shared" si="137"/>
        <v/>
      </c>
      <c r="BF283" s="6" t="str">
        <f t="shared" si="145"/>
        <v/>
      </c>
    </row>
    <row r="284" spans="1:58" ht="15.75">
      <c r="A284" s="12" t="s">
        <v>111</v>
      </c>
      <c r="B284" s="11">
        <v>45544</v>
      </c>
      <c r="C284" s="1">
        <v>40</v>
      </c>
      <c r="D284" s="3">
        <v>279</v>
      </c>
      <c r="E284" s="205" t="str">
        <f t="shared" si="140"/>
        <v/>
      </c>
      <c r="I284" s="41">
        <v>19</v>
      </c>
      <c r="K284" s="10" t="str">
        <f t="shared" si="120"/>
        <v/>
      </c>
      <c r="L284" s="9" t="str">
        <f t="shared" si="121"/>
        <v/>
      </c>
      <c r="M284" s="8" t="str">
        <f t="shared" si="122"/>
        <v/>
      </c>
      <c r="AB284" s="5">
        <v>80</v>
      </c>
      <c r="AG284">
        <v>0.17</v>
      </c>
      <c r="AH284" s="119">
        <v>0.85046296296296298</v>
      </c>
      <c r="AK284" s="3">
        <v>180</v>
      </c>
      <c r="AN284" s="80">
        <f t="shared" si="134"/>
        <v>100</v>
      </c>
      <c r="AP284" s="13">
        <f t="shared" si="146"/>
        <v>2019.9999999999818</v>
      </c>
      <c r="AQ284" s="15"/>
      <c r="AR284" s="17" t="e">
        <f t="shared" si="147"/>
        <v>#VALUE!</v>
      </c>
      <c r="AS284" s="16"/>
      <c r="AT284" s="16" t="e">
        <f t="shared" si="135"/>
        <v>#DIV/0!</v>
      </c>
      <c r="AU284" s="16" t="e">
        <f t="shared" si="148"/>
        <v>#DIV/0!</v>
      </c>
      <c r="AV284" s="57" t="str">
        <f t="shared" si="129"/>
        <v/>
      </c>
      <c r="AW284" s="57" t="str">
        <f t="shared" si="136"/>
        <v/>
      </c>
      <c r="AX284" s="57" t="str">
        <f t="shared" si="125"/>
        <v/>
      </c>
      <c r="AY284" s="57" t="str">
        <f t="shared" si="138"/>
        <v/>
      </c>
      <c r="AZ284" s="57" t="str">
        <f t="shared" si="139"/>
        <v/>
      </c>
      <c r="BA284" s="84" t="str">
        <f t="shared" si="142"/>
        <v/>
      </c>
      <c r="BB284" s="84">
        <f t="shared" si="143"/>
        <v>1</v>
      </c>
      <c r="BC284" s="84"/>
      <c r="BD284" s="84" t="str">
        <f t="shared" si="144"/>
        <v/>
      </c>
      <c r="BE284" s="6" t="e">
        <f t="shared" si="137"/>
        <v>#DIV/0!</v>
      </c>
      <c r="BF284" s="6" t="str">
        <f t="shared" si="145"/>
        <v/>
      </c>
    </row>
    <row r="285" spans="1:58" ht="15.75">
      <c r="B285" s="11">
        <v>45545</v>
      </c>
      <c r="C285" s="1">
        <v>41</v>
      </c>
      <c r="D285" s="3">
        <v>280</v>
      </c>
      <c r="E285" s="205" t="str">
        <f t="shared" si="140"/>
        <v/>
      </c>
      <c r="I285" s="41">
        <v>19.399999999999999</v>
      </c>
      <c r="K285" s="10" t="str">
        <f t="shared" si="120"/>
        <v/>
      </c>
      <c r="L285" s="9" t="str">
        <f t="shared" si="121"/>
        <v/>
      </c>
      <c r="M285" s="8" t="str">
        <f t="shared" si="122"/>
        <v/>
      </c>
      <c r="X285" s="6">
        <v>8.39</v>
      </c>
      <c r="AB285" s="5">
        <v>80</v>
      </c>
      <c r="AG285">
        <v>0.39</v>
      </c>
      <c r="AH285" s="119">
        <v>0.52048611111111109</v>
      </c>
      <c r="AK285" s="3">
        <v>180</v>
      </c>
      <c r="AN285" s="80">
        <f t="shared" si="134"/>
        <v>100</v>
      </c>
      <c r="AP285" s="13">
        <f t="shared" si="146"/>
        <v>2019.9999999999818</v>
      </c>
      <c r="AQ285" s="15"/>
      <c r="AR285" s="17" t="e">
        <f t="shared" si="147"/>
        <v>#VALUE!</v>
      </c>
      <c r="AS285" s="16"/>
      <c r="AT285" s="16" t="e">
        <f t="shared" si="135"/>
        <v>#DIV/0!</v>
      </c>
      <c r="AU285" s="16" t="e">
        <f t="shared" si="148"/>
        <v>#DIV/0!</v>
      </c>
      <c r="AV285" s="57" t="str">
        <f t="shared" si="129"/>
        <v/>
      </c>
      <c r="AW285" s="57" t="str">
        <f t="shared" si="136"/>
        <v/>
      </c>
      <c r="AX285" s="57" t="str">
        <f t="shared" si="125"/>
        <v/>
      </c>
      <c r="AY285" s="57" t="str">
        <f t="shared" si="138"/>
        <v/>
      </c>
      <c r="AZ285" s="57" t="str">
        <f t="shared" si="139"/>
        <v/>
      </c>
      <c r="BA285" s="84" t="str">
        <f t="shared" si="142"/>
        <v/>
      </c>
      <c r="BB285" s="84">
        <f t="shared" si="143"/>
        <v>1</v>
      </c>
      <c r="BC285" s="84"/>
      <c r="BD285" s="84" t="str">
        <f t="shared" si="144"/>
        <v/>
      </c>
      <c r="BE285" s="6" t="e">
        <f t="shared" si="137"/>
        <v>#DIV/0!</v>
      </c>
      <c r="BF285" s="6" t="str">
        <f t="shared" si="145"/>
        <v/>
      </c>
    </row>
    <row r="286" spans="1:58" ht="30">
      <c r="A286" s="12" t="s">
        <v>110</v>
      </c>
      <c r="B286" s="11">
        <v>45546</v>
      </c>
      <c r="C286" s="1">
        <v>42</v>
      </c>
      <c r="D286" s="3">
        <v>281</v>
      </c>
      <c r="E286" s="205" t="str">
        <f t="shared" si="140"/>
        <v/>
      </c>
      <c r="I286" s="41">
        <v>19.899999999999999</v>
      </c>
      <c r="K286" s="10" t="str">
        <f t="shared" si="120"/>
        <v/>
      </c>
      <c r="L286" s="9" t="str">
        <f t="shared" si="121"/>
        <v/>
      </c>
      <c r="M286" s="8" t="str">
        <f t="shared" si="122"/>
        <v/>
      </c>
      <c r="X286" s="6">
        <v>8.81</v>
      </c>
      <c r="AB286" s="5">
        <v>80</v>
      </c>
      <c r="AG286">
        <v>0.74</v>
      </c>
      <c r="AH286" s="119">
        <v>0.79305555555555551</v>
      </c>
      <c r="AK286" s="3">
        <v>180</v>
      </c>
      <c r="AN286" s="80">
        <f t="shared" si="134"/>
        <v>100</v>
      </c>
      <c r="AP286" s="13">
        <f t="shared" si="146"/>
        <v>2019.9999999999818</v>
      </c>
      <c r="AQ286" s="15"/>
      <c r="AR286" s="17" t="e">
        <f t="shared" si="147"/>
        <v>#VALUE!</v>
      </c>
      <c r="AS286" s="16"/>
      <c r="AT286" s="16" t="e">
        <f t="shared" si="135"/>
        <v>#DIV/0!</v>
      </c>
      <c r="AU286" s="16" t="e">
        <f t="shared" si="148"/>
        <v>#DIV/0!</v>
      </c>
      <c r="AV286" s="57" t="str">
        <f t="shared" si="129"/>
        <v/>
      </c>
      <c r="AW286" s="57" t="str">
        <f t="shared" si="136"/>
        <v/>
      </c>
      <c r="AX286" s="57" t="str">
        <f t="shared" si="125"/>
        <v/>
      </c>
      <c r="AY286" s="57" t="str">
        <f t="shared" si="138"/>
        <v/>
      </c>
      <c r="AZ286" s="57" t="str">
        <f t="shared" si="139"/>
        <v/>
      </c>
      <c r="BA286" s="84" t="str">
        <f t="shared" si="142"/>
        <v/>
      </c>
      <c r="BB286" s="84">
        <f t="shared" si="143"/>
        <v>1</v>
      </c>
      <c r="BC286" s="84"/>
      <c r="BD286" s="84" t="str">
        <f t="shared" si="144"/>
        <v/>
      </c>
      <c r="BE286" s="6" t="e">
        <f t="shared" si="137"/>
        <v>#DIV/0!</v>
      </c>
      <c r="BF286" s="6" t="str">
        <f t="shared" si="145"/>
        <v/>
      </c>
    </row>
    <row r="287" spans="1:58" ht="15.75">
      <c r="A287" s="12" t="s">
        <v>109</v>
      </c>
      <c r="B287" s="11">
        <v>45547</v>
      </c>
      <c r="C287" s="1">
        <v>43</v>
      </c>
      <c r="D287" s="3">
        <v>282</v>
      </c>
      <c r="E287" s="205" t="str">
        <f t="shared" si="140"/>
        <v/>
      </c>
      <c r="I287" s="41">
        <v>20.2</v>
      </c>
      <c r="K287" s="10" t="str">
        <f t="shared" si="120"/>
        <v/>
      </c>
      <c r="L287" s="9" t="str">
        <f t="shared" si="121"/>
        <v/>
      </c>
      <c r="M287" s="8" t="str">
        <f t="shared" si="122"/>
        <v/>
      </c>
      <c r="X287" s="6">
        <v>7.82</v>
      </c>
      <c r="AB287" s="5">
        <v>80</v>
      </c>
      <c r="AG287">
        <v>0.91</v>
      </c>
      <c r="AH287" s="119">
        <v>0.85416666666666663</v>
      </c>
      <c r="AK287" s="3">
        <v>180</v>
      </c>
      <c r="AN287" s="80">
        <f t="shared" si="134"/>
        <v>100</v>
      </c>
      <c r="AO287" s="2">
        <v>2019.9999999999818</v>
      </c>
      <c r="AP287" s="13">
        <f t="shared" si="146"/>
        <v>2019.9999999999818</v>
      </c>
      <c r="AQ287" s="15">
        <v>17.412125275356672</v>
      </c>
      <c r="AR287" s="17" t="e">
        <f t="shared" si="147"/>
        <v>#VALUE!</v>
      </c>
      <c r="AS287" s="16"/>
      <c r="AT287" s="16" t="e">
        <f t="shared" si="135"/>
        <v>#DIV/0!</v>
      </c>
      <c r="AU287" s="16" t="e">
        <f t="shared" si="148"/>
        <v>#DIV/0!</v>
      </c>
      <c r="AV287" s="57" t="str">
        <f t="shared" si="129"/>
        <v/>
      </c>
      <c r="AW287" s="57" t="str">
        <f t="shared" si="136"/>
        <v/>
      </c>
      <c r="AX287" s="57" t="str">
        <f t="shared" si="125"/>
        <v/>
      </c>
      <c r="AY287" s="57" t="str">
        <f t="shared" si="138"/>
        <v/>
      </c>
      <c r="AZ287" s="57" t="str">
        <f t="shared" si="139"/>
        <v/>
      </c>
      <c r="BA287" s="84" t="str">
        <f t="shared" si="142"/>
        <v/>
      </c>
      <c r="BB287" s="84">
        <f t="shared" si="143"/>
        <v>1</v>
      </c>
      <c r="BC287" s="84"/>
      <c r="BD287" s="84" t="str">
        <f t="shared" si="144"/>
        <v/>
      </c>
      <c r="BE287" s="6" t="e">
        <f t="shared" si="137"/>
        <v>#DIV/0!</v>
      </c>
      <c r="BF287" s="6" t="str">
        <f t="shared" si="145"/>
        <v/>
      </c>
    </row>
    <row r="288" spans="1:58" ht="15.75">
      <c r="B288" s="11">
        <v>45548</v>
      </c>
      <c r="C288" s="1">
        <v>44</v>
      </c>
      <c r="D288" s="3">
        <v>283</v>
      </c>
      <c r="E288" s="205" t="str">
        <f t="shared" si="140"/>
        <v/>
      </c>
      <c r="I288" s="41">
        <v>20.399999999999999</v>
      </c>
      <c r="K288" s="10" t="str">
        <f t="shared" si="120"/>
        <v/>
      </c>
      <c r="L288" s="9" t="str">
        <f t="shared" si="121"/>
        <v/>
      </c>
      <c r="M288" s="8" t="str">
        <f t="shared" si="122"/>
        <v/>
      </c>
      <c r="AB288" s="5">
        <v>80</v>
      </c>
      <c r="AG288">
        <v>0.62</v>
      </c>
      <c r="AH288" s="119">
        <v>0.51724537037037033</v>
      </c>
      <c r="AK288" s="3">
        <v>180</v>
      </c>
      <c r="AN288" s="80">
        <f t="shared" si="134"/>
        <v>100</v>
      </c>
      <c r="AP288" s="13">
        <f t="shared" si="146"/>
        <v>1944.9999999999818</v>
      </c>
      <c r="AQ288" s="15"/>
      <c r="AR288" s="17" t="e">
        <f t="shared" si="147"/>
        <v>#VALUE!</v>
      </c>
      <c r="AS288" s="16"/>
      <c r="AT288" s="16" t="e">
        <f t="shared" si="135"/>
        <v>#DIV/0!</v>
      </c>
      <c r="AU288" s="16" t="e">
        <f t="shared" si="148"/>
        <v>#DIV/0!</v>
      </c>
      <c r="AV288" s="57" t="str">
        <f t="shared" si="129"/>
        <v/>
      </c>
      <c r="AW288" s="57" t="str">
        <f t="shared" si="136"/>
        <v/>
      </c>
      <c r="AX288" s="57" t="str">
        <f t="shared" si="125"/>
        <v/>
      </c>
      <c r="AY288" s="57" t="str">
        <f t="shared" si="138"/>
        <v/>
      </c>
      <c r="AZ288" s="57" t="str">
        <f t="shared" si="139"/>
        <v/>
      </c>
      <c r="BA288" s="84" t="str">
        <f t="shared" si="142"/>
        <v/>
      </c>
      <c r="BB288" s="84">
        <f t="shared" si="143"/>
        <v>1</v>
      </c>
      <c r="BC288" s="84"/>
      <c r="BD288" s="84" t="str">
        <f t="shared" si="144"/>
        <v/>
      </c>
      <c r="BE288" s="6" t="e">
        <f t="shared" si="137"/>
        <v>#DIV/0!</v>
      </c>
      <c r="BF288" s="6" t="str">
        <f t="shared" si="145"/>
        <v/>
      </c>
    </row>
    <row r="289" spans="1:58" ht="15.75">
      <c r="B289" s="11">
        <v>45549</v>
      </c>
      <c r="C289" s="1">
        <v>45</v>
      </c>
      <c r="D289" s="3">
        <v>284</v>
      </c>
      <c r="E289" s="205" t="str">
        <f t="shared" si="140"/>
        <v/>
      </c>
      <c r="I289" s="41">
        <v>208</v>
      </c>
      <c r="K289" s="10" t="str">
        <f t="shared" si="120"/>
        <v/>
      </c>
      <c r="L289" s="9" t="str">
        <f t="shared" si="121"/>
        <v/>
      </c>
      <c r="M289" s="8" t="str">
        <f t="shared" si="122"/>
        <v/>
      </c>
      <c r="AB289" s="5">
        <v>80</v>
      </c>
      <c r="AG289">
        <v>0.81</v>
      </c>
      <c r="AH289" s="119">
        <v>0.8525462962962963</v>
      </c>
      <c r="AK289" s="3">
        <v>180</v>
      </c>
      <c r="AN289" s="80">
        <f t="shared" si="134"/>
        <v>100</v>
      </c>
      <c r="AP289" s="13">
        <f t="shared" si="146"/>
        <v>1944.9999999999818</v>
      </c>
      <c r="AQ289" s="15"/>
      <c r="AR289" s="17" t="e">
        <f t="shared" si="147"/>
        <v>#VALUE!</v>
      </c>
      <c r="AS289" s="16"/>
      <c r="AT289" s="16" t="e">
        <f t="shared" si="135"/>
        <v>#DIV/0!</v>
      </c>
      <c r="AU289" s="16" t="e">
        <f t="shared" si="148"/>
        <v>#DIV/0!</v>
      </c>
      <c r="AV289" s="57" t="str">
        <f t="shared" si="129"/>
        <v/>
      </c>
      <c r="AW289" s="57" t="str">
        <f t="shared" si="136"/>
        <v/>
      </c>
      <c r="AX289" s="57" t="str">
        <f t="shared" si="125"/>
        <v/>
      </c>
      <c r="AY289" s="57" t="str">
        <f t="shared" si="138"/>
        <v/>
      </c>
      <c r="AZ289" s="57" t="str">
        <f t="shared" si="139"/>
        <v/>
      </c>
      <c r="BA289" s="84" t="str">
        <f t="shared" si="142"/>
        <v/>
      </c>
      <c r="BB289" s="84">
        <f t="shared" si="143"/>
        <v>1</v>
      </c>
      <c r="BC289" s="84"/>
      <c r="BD289" s="84" t="str">
        <f t="shared" si="144"/>
        <v/>
      </c>
      <c r="BE289" s="6" t="e">
        <f t="shared" si="137"/>
        <v>#DIV/0!</v>
      </c>
      <c r="BF289" s="6" t="str">
        <f t="shared" si="145"/>
        <v/>
      </c>
    </row>
    <row r="290" spans="1:58" ht="15.75">
      <c r="B290" s="11">
        <v>45550</v>
      </c>
      <c r="C290" s="1">
        <v>46</v>
      </c>
      <c r="D290" s="3">
        <v>285</v>
      </c>
      <c r="E290" s="205" t="str">
        <f t="shared" si="140"/>
        <v/>
      </c>
      <c r="I290" s="41">
        <v>21</v>
      </c>
      <c r="K290" s="10" t="str">
        <f t="shared" si="120"/>
        <v/>
      </c>
      <c r="L290" s="9" t="str">
        <f t="shared" si="121"/>
        <v/>
      </c>
      <c r="M290" s="8" t="str">
        <f t="shared" si="122"/>
        <v/>
      </c>
      <c r="AB290" s="5">
        <v>80</v>
      </c>
      <c r="AG290">
        <v>0.67</v>
      </c>
      <c r="AH290" s="119">
        <v>0.51875000000000004</v>
      </c>
      <c r="AK290" s="3">
        <v>180</v>
      </c>
      <c r="AN290" s="80">
        <f t="shared" si="134"/>
        <v>100</v>
      </c>
      <c r="AP290" s="13">
        <f t="shared" si="146"/>
        <v>1869.9999999999818</v>
      </c>
      <c r="AQ290" s="15"/>
      <c r="AR290" s="17" t="e">
        <f t="shared" si="147"/>
        <v>#VALUE!</v>
      </c>
      <c r="AS290" s="16"/>
      <c r="AT290" s="16" t="e">
        <f t="shared" si="135"/>
        <v>#DIV/0!</v>
      </c>
      <c r="AU290" s="16" t="e">
        <f t="shared" si="148"/>
        <v>#DIV/0!</v>
      </c>
      <c r="AV290" s="57" t="str">
        <f t="shared" si="129"/>
        <v/>
      </c>
      <c r="AW290" s="57" t="str">
        <f t="shared" si="136"/>
        <v/>
      </c>
      <c r="AX290" s="57" t="str">
        <f t="shared" si="125"/>
        <v/>
      </c>
      <c r="AY290" s="57" t="str">
        <f t="shared" si="138"/>
        <v/>
      </c>
      <c r="AZ290" s="57" t="str">
        <f t="shared" si="139"/>
        <v/>
      </c>
      <c r="BA290" s="84" t="str">
        <f t="shared" si="142"/>
        <v/>
      </c>
      <c r="BB290" s="84">
        <f t="shared" si="143"/>
        <v>1</v>
      </c>
      <c r="BC290" s="84"/>
      <c r="BD290" s="84" t="str">
        <f t="shared" si="144"/>
        <v/>
      </c>
      <c r="BE290" s="6" t="e">
        <f t="shared" si="137"/>
        <v>#DIV/0!</v>
      </c>
      <c r="BF290" s="6" t="str">
        <f t="shared" si="145"/>
        <v/>
      </c>
    </row>
    <row r="291" spans="1:58" ht="15.75">
      <c r="A291" s="12" t="s">
        <v>104</v>
      </c>
      <c r="B291" s="11">
        <v>45551</v>
      </c>
      <c r="C291" s="1">
        <v>47</v>
      </c>
      <c r="D291" s="3">
        <v>286</v>
      </c>
      <c r="E291" s="205">
        <f t="shared" si="140"/>
        <v>253.35398200000003</v>
      </c>
      <c r="G291" s="15">
        <f>(N291*18-H291*18)/9</f>
        <v>15.000000000000004</v>
      </c>
      <c r="H291" s="9">
        <f>5*2.02</f>
        <v>10.1</v>
      </c>
      <c r="I291" s="15">
        <f>AD291</f>
        <v>21.25</v>
      </c>
      <c r="K291" s="10">
        <f t="shared" si="120"/>
        <v>16.890265466666666</v>
      </c>
      <c r="L291" s="9">
        <f t="shared" si="121"/>
        <v>5.9612701647058834</v>
      </c>
      <c r="M291" s="8">
        <f t="shared" si="122"/>
        <v>2.8333333333333326</v>
      </c>
      <c r="N291" s="7">
        <f>5*3.52</f>
        <v>17.600000000000001</v>
      </c>
      <c r="O291">
        <v>87.245000000000005</v>
      </c>
      <c r="P291">
        <v>22.184000000000001</v>
      </c>
      <c r="Q291" s="6">
        <f>O291*1.067</f>
        <v>93.090415000000007</v>
      </c>
      <c r="R291" s="6">
        <f>P291*1.514</f>
        <v>33.586576000000001</v>
      </c>
      <c r="S291" s="23">
        <f>P291*1.514+O291*1.067</f>
        <v>126.67699100000002</v>
      </c>
      <c r="T291" s="6">
        <f>5*4.93</f>
        <v>24.65</v>
      </c>
      <c r="U291">
        <v>3.5249999999999999</v>
      </c>
      <c r="V291">
        <v>3.2210000000000001</v>
      </c>
      <c r="W291" s="23">
        <f>U291*1.067+V291*1.514</f>
        <v>8.6377689999999987</v>
      </c>
      <c r="X291" s="6">
        <v>6.99</v>
      </c>
      <c r="AB291" s="5">
        <v>80</v>
      </c>
      <c r="AC291" s="7">
        <f>T291</f>
        <v>24.65</v>
      </c>
      <c r="AD291" s="1">
        <f>5*4.25</f>
        <v>21.25</v>
      </c>
      <c r="AE291" s="1">
        <f>5*3.67</f>
        <v>18.350000000000001</v>
      </c>
      <c r="AF291" s="1">
        <f>2*5.31</f>
        <v>10.62</v>
      </c>
      <c r="AG291">
        <v>0.12</v>
      </c>
      <c r="AH291" s="119">
        <v>0.85416666666666663</v>
      </c>
      <c r="AK291" s="3">
        <v>180</v>
      </c>
      <c r="AL291" s="4">
        <f>AE291</f>
        <v>18.350000000000001</v>
      </c>
      <c r="AM291" s="1">
        <f>5*3.29</f>
        <v>16.45</v>
      </c>
      <c r="AN291" s="80">
        <f t="shared" si="134"/>
        <v>100</v>
      </c>
      <c r="AP291" s="13">
        <f t="shared" si="146"/>
        <v>1644.9999999999818</v>
      </c>
      <c r="AQ291" s="15"/>
      <c r="AR291" s="17">
        <f t="shared" si="147"/>
        <v>0.96590632232494378</v>
      </c>
      <c r="AS291" s="16">
        <f>(I291-AF291)/I291</f>
        <v>0.50023529411764711</v>
      </c>
      <c r="AT291" s="16">
        <f t="shared" si="135"/>
        <v>1.1288805268109124E-2</v>
      </c>
      <c r="AU291" s="16">
        <f t="shared" si="148"/>
        <v>-9.6666666666666359E-2</v>
      </c>
      <c r="AV291" s="57">
        <f t="shared" si="129"/>
        <v>244.71621300000004</v>
      </c>
      <c r="AW291" s="57">
        <f t="shared" si="136"/>
        <v>10.63</v>
      </c>
      <c r="AX291" s="57">
        <f t="shared" si="125"/>
        <v>-1.4499999999999957</v>
      </c>
      <c r="AY291" s="57">
        <f t="shared" si="138"/>
        <v>6.2999999999999972</v>
      </c>
      <c r="AZ291" s="57">
        <f t="shared" si="139"/>
        <v>1.9000000000000021</v>
      </c>
      <c r="BA291" s="84">
        <f t="shared" si="142"/>
        <v>0.96590632232494378</v>
      </c>
      <c r="BB291" s="84">
        <f t="shared" si="143"/>
        <v>0.50023529411764711</v>
      </c>
      <c r="BC291" s="84">
        <f t="shared" ref="BC291:BC333" si="149">IF(AND($AG291&gt;=0,$AD291&gt;=0,$AF291&gt;=0),IF($AG291/($AD291-$AF291)&gt;0,$AG291/($AD291-$AF291),0),"")</f>
        <v>1.1288805268109124E-2</v>
      </c>
      <c r="BD291" s="84">
        <f t="shared" si="144"/>
        <v>0</v>
      </c>
      <c r="BE291" s="6" t="e">
        <f t="shared" si="137"/>
        <v>#DIV/0!</v>
      </c>
      <c r="BF291" s="6" t="str">
        <f t="shared" si="145"/>
        <v/>
      </c>
    </row>
    <row r="292" spans="1:58" ht="30">
      <c r="A292" s="12" t="s">
        <v>108</v>
      </c>
      <c r="B292" s="11">
        <v>45552</v>
      </c>
      <c r="C292" s="1">
        <v>48</v>
      </c>
      <c r="D292" s="3">
        <v>287</v>
      </c>
      <c r="E292" s="205" t="str">
        <f t="shared" si="140"/>
        <v/>
      </c>
      <c r="I292" s="41">
        <v>21</v>
      </c>
      <c r="K292" s="10" t="str">
        <f t="shared" si="120"/>
        <v/>
      </c>
      <c r="L292" s="9" t="str">
        <f t="shared" si="121"/>
        <v/>
      </c>
      <c r="M292" s="8" t="str">
        <f t="shared" si="122"/>
        <v/>
      </c>
      <c r="X292" s="6">
        <v>6.83</v>
      </c>
      <c r="AB292" s="5">
        <v>80</v>
      </c>
      <c r="AG292"/>
      <c r="AK292" s="3">
        <v>180</v>
      </c>
      <c r="AN292" s="80">
        <f t="shared" si="134"/>
        <v>100</v>
      </c>
      <c r="AO292" s="2">
        <v>1869.9999999999818</v>
      </c>
      <c r="AP292" s="13">
        <f t="shared" si="146"/>
        <v>1644.9999999999818</v>
      </c>
      <c r="AQ292" s="15">
        <v>17.420556878169634</v>
      </c>
      <c r="AR292" s="17" t="e">
        <f t="shared" si="147"/>
        <v>#VALUE!</v>
      </c>
      <c r="AS292" s="16"/>
      <c r="AT292" s="16" t="e">
        <f t="shared" si="135"/>
        <v>#DIV/0!</v>
      </c>
      <c r="AU292" s="16" t="e">
        <f t="shared" si="148"/>
        <v>#DIV/0!</v>
      </c>
      <c r="AV292" s="57" t="str">
        <f t="shared" si="129"/>
        <v/>
      </c>
      <c r="AW292" s="57" t="str">
        <f t="shared" si="136"/>
        <v/>
      </c>
      <c r="AX292" s="57" t="str">
        <f t="shared" si="125"/>
        <v/>
      </c>
      <c r="AY292" s="57" t="str">
        <f t="shared" si="138"/>
        <v/>
      </c>
      <c r="AZ292" s="57" t="str">
        <f t="shared" si="139"/>
        <v/>
      </c>
      <c r="BA292" s="84" t="str">
        <f t="shared" si="142"/>
        <v/>
      </c>
      <c r="BB292" s="84">
        <f t="shared" si="143"/>
        <v>1</v>
      </c>
      <c r="BC292" s="84" t="e">
        <f t="shared" si="149"/>
        <v>#DIV/0!</v>
      </c>
      <c r="BD292" s="84" t="str">
        <f t="shared" si="144"/>
        <v/>
      </c>
      <c r="BE292" s="6" t="e">
        <f t="shared" si="137"/>
        <v>#DIV/0!</v>
      </c>
      <c r="BF292" s="6" t="str">
        <f t="shared" si="145"/>
        <v/>
      </c>
    </row>
    <row r="293" spans="1:58" ht="15.75">
      <c r="A293" s="12" t="s">
        <v>107</v>
      </c>
      <c r="B293" s="11">
        <v>45553</v>
      </c>
      <c r="C293" s="1">
        <v>49</v>
      </c>
      <c r="D293" s="3">
        <v>288</v>
      </c>
      <c r="E293" s="205" t="str">
        <f t="shared" si="140"/>
        <v/>
      </c>
      <c r="I293" s="41">
        <v>21</v>
      </c>
      <c r="K293" s="10" t="str">
        <f t="shared" ref="K293:K356" si="150">IF(OR(E293="",G293="",E293=0,G293=0),"",E293/G293)</f>
        <v/>
      </c>
      <c r="L293" s="9" t="str">
        <f t="shared" ref="L293:L356" si="151">IF(OR(E293="",I293="",E293=0,I293=0),"",E293/(I293*2))</f>
        <v/>
      </c>
      <c r="M293" s="8" t="str">
        <f t="shared" ref="M293:M356" si="152">IF(OR(I293="",G293="",I293=0,G293=0),"",I293*2/G293)</f>
        <v/>
      </c>
      <c r="AB293" s="5">
        <v>80</v>
      </c>
      <c r="AG293">
        <v>0.16</v>
      </c>
      <c r="AH293" s="119">
        <v>0.55659722222222219</v>
      </c>
      <c r="AK293" s="3">
        <v>180</v>
      </c>
      <c r="AN293" s="80">
        <f t="shared" si="134"/>
        <v>100</v>
      </c>
      <c r="AP293" s="13">
        <f t="shared" si="146"/>
        <v>1644.9999999999818</v>
      </c>
      <c r="AQ293" s="15"/>
      <c r="AR293" s="17" t="e">
        <f t="shared" si="147"/>
        <v>#VALUE!</v>
      </c>
      <c r="AS293" s="16"/>
      <c r="AT293" s="16" t="e">
        <f t="shared" si="135"/>
        <v>#DIV/0!</v>
      </c>
      <c r="AU293" s="16" t="e">
        <f t="shared" si="148"/>
        <v>#DIV/0!</v>
      </c>
      <c r="AV293" s="57" t="str">
        <f t="shared" si="129"/>
        <v/>
      </c>
      <c r="AW293" s="57" t="str">
        <f t="shared" si="136"/>
        <v/>
      </c>
      <c r="AX293" s="57" t="str">
        <f t="shared" si="125"/>
        <v/>
      </c>
      <c r="AY293" s="57" t="str">
        <f t="shared" si="138"/>
        <v/>
      </c>
      <c r="AZ293" s="57" t="str">
        <f t="shared" si="139"/>
        <v/>
      </c>
      <c r="BA293" s="84" t="str">
        <f t="shared" si="142"/>
        <v/>
      </c>
      <c r="BB293" s="84">
        <f t="shared" si="143"/>
        <v>1</v>
      </c>
      <c r="BC293" s="84" t="e">
        <f t="shared" si="149"/>
        <v>#DIV/0!</v>
      </c>
      <c r="BD293" s="84" t="str">
        <f t="shared" si="144"/>
        <v/>
      </c>
      <c r="BE293" s="6" t="e">
        <f t="shared" si="137"/>
        <v>#DIV/0!</v>
      </c>
      <c r="BF293" s="6" t="str">
        <f t="shared" si="145"/>
        <v/>
      </c>
    </row>
    <row r="294" spans="1:58" ht="15.75">
      <c r="B294" s="11">
        <v>45554</v>
      </c>
      <c r="C294" s="1">
        <v>50</v>
      </c>
      <c r="D294" s="3">
        <v>289</v>
      </c>
      <c r="E294" s="205" t="str">
        <f t="shared" si="140"/>
        <v/>
      </c>
      <c r="I294" s="41">
        <v>21</v>
      </c>
      <c r="K294" s="10" t="str">
        <f t="shared" si="150"/>
        <v/>
      </c>
      <c r="L294" s="9" t="str">
        <f t="shared" si="151"/>
        <v/>
      </c>
      <c r="M294" s="8" t="str">
        <f t="shared" si="152"/>
        <v/>
      </c>
      <c r="AB294" s="5">
        <v>80</v>
      </c>
      <c r="AK294" s="3">
        <v>180</v>
      </c>
      <c r="AN294" s="80">
        <f t="shared" si="134"/>
        <v>100</v>
      </c>
      <c r="AP294" s="13">
        <f t="shared" si="146"/>
        <v>1644.9999999999818</v>
      </c>
      <c r="AQ294" s="15"/>
      <c r="AR294" s="17" t="e">
        <f t="shared" si="147"/>
        <v>#VALUE!</v>
      </c>
      <c r="AS294" s="16"/>
      <c r="AT294" s="16" t="e">
        <f t="shared" si="135"/>
        <v>#DIV/0!</v>
      </c>
      <c r="AU294" s="16" t="e">
        <f t="shared" si="148"/>
        <v>#DIV/0!</v>
      </c>
      <c r="AV294" s="57" t="str">
        <f t="shared" si="129"/>
        <v/>
      </c>
      <c r="AW294" s="57" t="str">
        <f t="shared" si="136"/>
        <v/>
      </c>
      <c r="AX294" s="57" t="str">
        <f t="shared" si="125"/>
        <v/>
      </c>
      <c r="AY294" s="57" t="str">
        <f t="shared" si="138"/>
        <v/>
      </c>
      <c r="AZ294" s="57" t="str">
        <f t="shared" si="139"/>
        <v/>
      </c>
      <c r="BA294" s="84" t="str">
        <f t="shared" si="142"/>
        <v/>
      </c>
      <c r="BB294" s="84">
        <f t="shared" si="143"/>
        <v>1</v>
      </c>
      <c r="BC294" s="84" t="e">
        <f t="shared" si="149"/>
        <v>#DIV/0!</v>
      </c>
      <c r="BD294" s="84" t="str">
        <f t="shared" si="144"/>
        <v/>
      </c>
      <c r="BE294" s="6" t="e">
        <f t="shared" si="137"/>
        <v>#DIV/0!</v>
      </c>
      <c r="BF294" s="6" t="str">
        <f t="shared" si="145"/>
        <v/>
      </c>
    </row>
    <row r="295" spans="1:58" ht="15.75">
      <c r="A295" s="12" t="s">
        <v>106</v>
      </c>
      <c r="B295" s="11">
        <v>45555</v>
      </c>
      <c r="C295" s="1">
        <v>51</v>
      </c>
      <c r="D295" s="3">
        <v>290</v>
      </c>
      <c r="E295" s="205" t="str">
        <f t="shared" si="140"/>
        <v/>
      </c>
      <c r="I295" s="41">
        <v>21</v>
      </c>
      <c r="K295" s="10" t="str">
        <f t="shared" si="150"/>
        <v/>
      </c>
      <c r="L295" s="9" t="str">
        <f t="shared" si="151"/>
        <v/>
      </c>
      <c r="M295" s="8" t="str">
        <f t="shared" si="152"/>
        <v/>
      </c>
      <c r="X295" s="6">
        <v>7.55</v>
      </c>
      <c r="AB295" s="5">
        <v>80</v>
      </c>
      <c r="AK295" s="3">
        <v>180</v>
      </c>
      <c r="AN295" s="80">
        <f t="shared" si="134"/>
        <v>100</v>
      </c>
      <c r="AO295" s="2">
        <v>1419.9999999999818</v>
      </c>
      <c r="AP295" s="13">
        <f t="shared" si="146"/>
        <v>1419.9999999999818</v>
      </c>
      <c r="AQ295" s="15"/>
      <c r="AR295" s="17" t="e">
        <f t="shared" si="147"/>
        <v>#VALUE!</v>
      </c>
      <c r="AS295" s="16"/>
      <c r="AT295" s="16" t="e">
        <f t="shared" si="135"/>
        <v>#DIV/0!</v>
      </c>
      <c r="AU295" s="16" t="e">
        <f t="shared" si="148"/>
        <v>#DIV/0!</v>
      </c>
      <c r="AV295" s="57" t="str">
        <f t="shared" si="129"/>
        <v/>
      </c>
      <c r="AW295" s="57" t="str">
        <f t="shared" si="136"/>
        <v/>
      </c>
      <c r="AX295" s="57" t="str">
        <f t="shared" si="125"/>
        <v/>
      </c>
      <c r="AY295" s="57" t="str">
        <f t="shared" si="138"/>
        <v/>
      </c>
      <c r="AZ295" s="57" t="str">
        <f t="shared" si="139"/>
        <v/>
      </c>
      <c r="BA295" s="84" t="str">
        <f t="shared" si="142"/>
        <v/>
      </c>
      <c r="BB295" s="84">
        <f t="shared" si="143"/>
        <v>1</v>
      </c>
      <c r="BC295" s="84" t="e">
        <f t="shared" si="149"/>
        <v>#DIV/0!</v>
      </c>
      <c r="BD295" s="84" t="str">
        <f t="shared" si="144"/>
        <v/>
      </c>
      <c r="BE295" s="6" t="e">
        <f t="shared" si="137"/>
        <v>#DIV/0!</v>
      </c>
      <c r="BF295" s="6" t="str">
        <f t="shared" si="145"/>
        <v/>
      </c>
    </row>
    <row r="296" spans="1:58" ht="15.75">
      <c r="B296" s="11">
        <v>45556</v>
      </c>
      <c r="C296" s="1">
        <v>52</v>
      </c>
      <c r="D296" s="3">
        <v>291</v>
      </c>
      <c r="E296" s="205" t="str">
        <f t="shared" si="140"/>
        <v/>
      </c>
      <c r="I296" s="41">
        <v>21</v>
      </c>
      <c r="K296" s="10" t="str">
        <f t="shared" si="150"/>
        <v/>
      </c>
      <c r="L296" s="9" t="str">
        <f t="shared" si="151"/>
        <v/>
      </c>
      <c r="M296" s="8" t="str">
        <f t="shared" si="152"/>
        <v/>
      </c>
      <c r="AB296" s="5">
        <v>80</v>
      </c>
      <c r="AK296" s="3">
        <v>180</v>
      </c>
      <c r="AN296" s="80">
        <f t="shared" si="134"/>
        <v>100</v>
      </c>
      <c r="AP296" s="13">
        <f t="shared" si="146"/>
        <v>1419.9999999999818</v>
      </c>
      <c r="AQ296" s="15"/>
      <c r="AR296" s="17" t="e">
        <f t="shared" si="147"/>
        <v>#VALUE!</v>
      </c>
      <c r="AS296" s="16"/>
      <c r="AT296" s="16" t="e">
        <f t="shared" si="135"/>
        <v>#DIV/0!</v>
      </c>
      <c r="AU296" s="16" t="e">
        <f t="shared" si="148"/>
        <v>#DIV/0!</v>
      </c>
      <c r="AV296" s="57" t="str">
        <f t="shared" si="129"/>
        <v/>
      </c>
      <c r="AW296" s="57" t="str">
        <f t="shared" si="136"/>
        <v/>
      </c>
      <c r="AX296" s="57" t="str">
        <f t="shared" si="125"/>
        <v/>
      </c>
      <c r="AY296" s="57" t="str">
        <f t="shared" si="138"/>
        <v/>
      </c>
      <c r="AZ296" s="57" t="str">
        <f t="shared" si="139"/>
        <v/>
      </c>
      <c r="BA296" s="84" t="str">
        <f t="shared" si="142"/>
        <v/>
      </c>
      <c r="BB296" s="84">
        <f t="shared" si="143"/>
        <v>1</v>
      </c>
      <c r="BC296" s="84" t="e">
        <f t="shared" si="149"/>
        <v>#DIV/0!</v>
      </c>
      <c r="BD296" s="84" t="str">
        <f t="shared" si="144"/>
        <v/>
      </c>
      <c r="BE296" s="6" t="e">
        <f t="shared" si="137"/>
        <v>#DIV/0!</v>
      </c>
      <c r="BF296" s="6" t="str">
        <f t="shared" si="145"/>
        <v/>
      </c>
    </row>
    <row r="297" spans="1:58" ht="15.75">
      <c r="B297" s="11">
        <v>45557</v>
      </c>
      <c r="C297" s="1">
        <v>53</v>
      </c>
      <c r="D297" s="3">
        <v>292</v>
      </c>
      <c r="E297" s="205" t="str">
        <f t="shared" si="140"/>
        <v/>
      </c>
      <c r="I297" s="41">
        <v>21</v>
      </c>
      <c r="K297" s="10" t="str">
        <f t="shared" si="150"/>
        <v/>
      </c>
      <c r="L297" s="9" t="str">
        <f t="shared" si="151"/>
        <v/>
      </c>
      <c r="M297" s="8" t="str">
        <f t="shared" si="152"/>
        <v/>
      </c>
      <c r="AB297" s="5">
        <v>80</v>
      </c>
      <c r="AF297" s="1">
        <v>10</v>
      </c>
      <c r="AK297" s="3">
        <v>180</v>
      </c>
      <c r="AN297" s="80">
        <f t="shared" si="134"/>
        <v>100</v>
      </c>
      <c r="AP297" s="13">
        <f t="shared" si="146"/>
        <v>1419.9999999999818</v>
      </c>
      <c r="AQ297" s="15"/>
      <c r="AR297" s="17" t="e">
        <f t="shared" si="147"/>
        <v>#VALUE!</v>
      </c>
      <c r="AS297" s="16"/>
      <c r="AT297" s="16">
        <f t="shared" si="135"/>
        <v>0</v>
      </c>
      <c r="AU297" s="16" t="e">
        <f t="shared" si="148"/>
        <v>#DIV/0!</v>
      </c>
      <c r="AV297" s="57" t="str">
        <f t="shared" si="129"/>
        <v/>
      </c>
      <c r="AW297" s="57">
        <f t="shared" si="136"/>
        <v>11</v>
      </c>
      <c r="AX297" s="57" t="str">
        <f t="shared" si="125"/>
        <v/>
      </c>
      <c r="AY297" s="57" t="str">
        <f t="shared" si="138"/>
        <v/>
      </c>
      <c r="AZ297" s="57" t="str">
        <f t="shared" si="139"/>
        <v/>
      </c>
      <c r="BA297" s="84" t="str">
        <f t="shared" si="142"/>
        <v/>
      </c>
      <c r="BB297" s="84">
        <f t="shared" si="143"/>
        <v>0.52380952380952384</v>
      </c>
      <c r="BC297" s="84">
        <f t="shared" si="149"/>
        <v>0</v>
      </c>
      <c r="BD297" s="84" t="str">
        <f t="shared" si="144"/>
        <v/>
      </c>
      <c r="BE297" s="6" t="e">
        <f t="shared" si="137"/>
        <v>#DIV/0!</v>
      </c>
      <c r="BF297" s="6" t="str">
        <f t="shared" si="145"/>
        <v/>
      </c>
    </row>
    <row r="298" spans="1:58" ht="15.75">
      <c r="A298" s="12" t="s">
        <v>104</v>
      </c>
      <c r="B298" s="11">
        <v>45558</v>
      </c>
      <c r="C298" s="1">
        <v>54</v>
      </c>
      <c r="D298" s="3">
        <v>293</v>
      </c>
      <c r="E298" s="205" t="str">
        <f t="shared" si="140"/>
        <v/>
      </c>
      <c r="I298" s="41">
        <v>21</v>
      </c>
      <c r="K298" s="10" t="str">
        <f t="shared" si="150"/>
        <v/>
      </c>
      <c r="L298" s="9" t="str">
        <f t="shared" si="151"/>
        <v/>
      </c>
      <c r="M298" s="8" t="str">
        <f t="shared" si="152"/>
        <v/>
      </c>
      <c r="AB298" s="5">
        <v>80</v>
      </c>
      <c r="AK298" s="3">
        <v>180</v>
      </c>
      <c r="AN298" s="80">
        <f t="shared" si="134"/>
        <v>100</v>
      </c>
      <c r="AP298" s="13" t="e">
        <f t="shared" si="146"/>
        <v>#DIV/0!</v>
      </c>
      <c r="AQ298" s="15"/>
      <c r="AR298" s="17" t="e">
        <f t="shared" si="147"/>
        <v>#VALUE!</v>
      </c>
      <c r="AS298" s="16"/>
      <c r="AT298" s="16" t="e">
        <f t="shared" si="135"/>
        <v>#DIV/0!</v>
      </c>
      <c r="AU298" s="16" t="e">
        <f t="shared" si="148"/>
        <v>#DIV/0!</v>
      </c>
      <c r="AV298" s="57" t="str">
        <f t="shared" si="129"/>
        <v/>
      </c>
      <c r="AW298" s="57" t="str">
        <f t="shared" si="136"/>
        <v/>
      </c>
      <c r="AX298" s="57" t="str">
        <f t="shared" si="125"/>
        <v/>
      </c>
      <c r="AY298" s="57" t="str">
        <f t="shared" si="138"/>
        <v/>
      </c>
      <c r="AZ298" s="57" t="str">
        <f t="shared" si="139"/>
        <v/>
      </c>
      <c r="BA298" s="84" t="str">
        <f t="shared" si="142"/>
        <v/>
      </c>
      <c r="BB298" s="84">
        <f t="shared" si="143"/>
        <v>1</v>
      </c>
      <c r="BC298" s="84" t="e">
        <f t="shared" si="149"/>
        <v>#DIV/0!</v>
      </c>
      <c r="BD298" s="84" t="str">
        <f t="shared" si="144"/>
        <v/>
      </c>
      <c r="BE298" s="6" t="e">
        <f t="shared" si="137"/>
        <v>#DIV/0!</v>
      </c>
      <c r="BF298" s="6" t="e">
        <f t="shared" si="145"/>
        <v>#DIV/0!</v>
      </c>
    </row>
    <row r="299" spans="1:58" ht="15.75">
      <c r="A299" s="122" t="s">
        <v>105</v>
      </c>
      <c r="B299" s="11">
        <v>45559</v>
      </c>
      <c r="C299" s="1">
        <v>55</v>
      </c>
      <c r="D299" s="3">
        <v>294</v>
      </c>
      <c r="E299" s="205">
        <f t="shared" si="140"/>
        <v>225.053574</v>
      </c>
      <c r="G299" s="15">
        <f>(N299*18-H299*18)/9</f>
        <v>12.76</v>
      </c>
      <c r="H299" s="9">
        <v>9.2200000000000006</v>
      </c>
      <c r="I299" s="15">
        <f>AD299</f>
        <v>21.349999999999998</v>
      </c>
      <c r="K299" s="10">
        <f t="shared" si="150"/>
        <v>17.637427429467085</v>
      </c>
      <c r="L299" s="9">
        <f t="shared" si="151"/>
        <v>5.2705755035128812</v>
      </c>
      <c r="M299" s="8">
        <f t="shared" si="152"/>
        <v>3.3463949843260186</v>
      </c>
      <c r="N299" s="7">
        <v>15.6</v>
      </c>
      <c r="O299">
        <v>70.540999999999997</v>
      </c>
      <c r="P299">
        <v>24.61</v>
      </c>
      <c r="Q299" s="6">
        <f>O299*1.067</f>
        <v>75.267246999999998</v>
      </c>
      <c r="R299" s="6">
        <f>P299*1.514</f>
        <v>37.259540000000001</v>
      </c>
      <c r="S299" s="23">
        <f>P299*1.514+O299*1.067</f>
        <v>112.526787</v>
      </c>
      <c r="T299" s="6">
        <f>20.4</f>
        <v>20.399999999999999</v>
      </c>
      <c r="U299">
        <v>0.49399999999999999</v>
      </c>
      <c r="V299">
        <v>0.21</v>
      </c>
      <c r="W299" s="23">
        <f>U299*1.067+V299*1.514</f>
        <v>0.84503799999999996</v>
      </c>
      <c r="X299" s="6">
        <v>8.84</v>
      </c>
      <c r="AB299" s="5">
        <v>80</v>
      </c>
      <c r="AC299" s="7">
        <f>T299</f>
        <v>20.399999999999999</v>
      </c>
      <c r="AD299" s="1">
        <f>5*4.27</f>
        <v>21.349999999999998</v>
      </c>
      <c r="AE299" s="1">
        <f>16.5</f>
        <v>16.5</v>
      </c>
      <c r="AF299" s="1">
        <f>5*2.27</f>
        <v>11.35</v>
      </c>
      <c r="AK299" s="3">
        <v>180</v>
      </c>
      <c r="AL299" s="4">
        <f>AE299</f>
        <v>16.5</v>
      </c>
      <c r="AM299" s="1">
        <f>14.4</f>
        <v>14.4</v>
      </c>
      <c r="AN299" s="80">
        <f t="shared" si="134"/>
        <v>100</v>
      </c>
      <c r="AP299" s="13" t="e">
        <f t="shared" si="146"/>
        <v>#DIV/0!</v>
      </c>
      <c r="AQ299" s="15"/>
      <c r="AR299" s="17">
        <f t="shared" si="147"/>
        <v>0.99624516960570464</v>
      </c>
      <c r="AS299" s="16">
        <f t="shared" ref="AS299:AS330" si="153">(I299-AF299)/I299</f>
        <v>0.46838407494145196</v>
      </c>
      <c r="AT299" s="16">
        <f t="shared" si="135"/>
        <v>0</v>
      </c>
      <c r="AU299" s="16">
        <f t="shared" si="148"/>
        <v>-0.12852664576802514</v>
      </c>
      <c r="AV299" s="57">
        <f t="shared" si="129"/>
        <v>224.20853600000001</v>
      </c>
      <c r="AW299" s="57">
        <f t="shared" si="136"/>
        <v>9.9999999999999982</v>
      </c>
      <c r="AX299" s="57">
        <f t="shared" si="125"/>
        <v>-1.6400000000000006</v>
      </c>
      <c r="AY299" s="57">
        <f t="shared" si="138"/>
        <v>3.8999999999999986</v>
      </c>
      <c r="AZ299" s="57">
        <f t="shared" si="139"/>
        <v>2.0999999999999996</v>
      </c>
      <c r="BA299" s="84">
        <f t="shared" si="142"/>
        <v>0.99624516960570464</v>
      </c>
      <c r="BB299" s="84">
        <f t="shared" si="143"/>
        <v>0.46838407494145196</v>
      </c>
      <c r="BC299" s="84">
        <f t="shared" si="149"/>
        <v>0</v>
      </c>
      <c r="BD299" s="84">
        <f t="shared" si="144"/>
        <v>0</v>
      </c>
      <c r="BE299" s="6" t="e">
        <f t="shared" si="137"/>
        <v>#DIV/0!</v>
      </c>
      <c r="BF299" s="6" t="e">
        <f t="shared" si="145"/>
        <v>#DIV/0!</v>
      </c>
    </row>
    <row r="300" spans="1:58" ht="15.75">
      <c r="B300" s="11">
        <v>45560</v>
      </c>
      <c r="C300" s="1">
        <v>56</v>
      </c>
      <c r="D300" s="3">
        <v>295</v>
      </c>
      <c r="E300" s="205" t="str">
        <f t="shared" si="140"/>
        <v/>
      </c>
      <c r="I300" s="41">
        <v>21</v>
      </c>
      <c r="K300" s="10" t="str">
        <f t="shared" si="150"/>
        <v/>
      </c>
      <c r="L300" s="9" t="str">
        <f t="shared" si="151"/>
        <v/>
      </c>
      <c r="M300" s="8" t="str">
        <f t="shared" si="152"/>
        <v/>
      </c>
      <c r="X300" s="6">
        <v>5.55</v>
      </c>
      <c r="AB300" s="5">
        <v>80</v>
      </c>
      <c r="AG300">
        <v>0.08</v>
      </c>
      <c r="AH300" s="119">
        <v>0.53993055555555558</v>
      </c>
      <c r="AK300" s="3">
        <v>180</v>
      </c>
      <c r="AN300" s="80">
        <f t="shared" si="134"/>
        <v>100</v>
      </c>
      <c r="AP300" s="13" t="e">
        <f t="shared" si="146"/>
        <v>#DIV/0!</v>
      </c>
      <c r="AQ300" s="15"/>
      <c r="AR300" s="17" t="e">
        <f t="shared" si="147"/>
        <v>#VALUE!</v>
      </c>
      <c r="AS300" s="16">
        <f t="shared" si="153"/>
        <v>1</v>
      </c>
      <c r="AT300" s="16" t="e">
        <f t="shared" si="135"/>
        <v>#DIV/0!</v>
      </c>
      <c r="AU300" s="16" t="e">
        <f t="shared" si="148"/>
        <v>#DIV/0!</v>
      </c>
      <c r="AV300" s="57" t="str">
        <f t="shared" si="129"/>
        <v/>
      </c>
      <c r="AW300" s="57" t="str">
        <f t="shared" si="136"/>
        <v/>
      </c>
      <c r="AX300" s="57" t="str">
        <f t="shared" ref="AX300:AX363" si="154">IF(AND(ISNUMBER(AM300),ISNUMBER(G300)),G300-AM300,"")</f>
        <v/>
      </c>
      <c r="AY300" s="57" t="str">
        <f t="shared" si="138"/>
        <v/>
      </c>
      <c r="AZ300" s="57" t="str">
        <f t="shared" si="139"/>
        <v/>
      </c>
      <c r="BA300" s="84" t="str">
        <f t="shared" si="142"/>
        <v/>
      </c>
      <c r="BB300" s="84">
        <f t="shared" si="143"/>
        <v>1</v>
      </c>
      <c r="BC300" s="84" t="e">
        <f t="shared" si="149"/>
        <v>#DIV/0!</v>
      </c>
      <c r="BD300" s="84" t="str">
        <f t="shared" si="144"/>
        <v/>
      </c>
      <c r="BE300" s="6" t="e">
        <f t="shared" si="137"/>
        <v>#DIV/0!</v>
      </c>
      <c r="BF300" s="6" t="e">
        <f t="shared" si="145"/>
        <v>#DIV/0!</v>
      </c>
    </row>
    <row r="301" spans="1:58" ht="15.75">
      <c r="B301" s="11">
        <v>45561</v>
      </c>
      <c r="C301" s="1">
        <v>57</v>
      </c>
      <c r="D301" s="3">
        <v>296</v>
      </c>
      <c r="E301" s="205" t="str">
        <f t="shared" si="140"/>
        <v/>
      </c>
      <c r="I301" s="41">
        <v>21</v>
      </c>
      <c r="K301" s="10" t="str">
        <f t="shared" si="150"/>
        <v/>
      </c>
      <c r="L301" s="9" t="str">
        <f t="shared" si="151"/>
        <v/>
      </c>
      <c r="M301" s="8" t="str">
        <f t="shared" si="152"/>
        <v/>
      </c>
      <c r="AB301" s="5">
        <v>80</v>
      </c>
      <c r="AG301">
        <v>0.19</v>
      </c>
      <c r="AH301" s="119">
        <v>0.65115740740740746</v>
      </c>
      <c r="AK301" s="3">
        <v>180</v>
      </c>
      <c r="AN301" s="80">
        <f t="shared" si="134"/>
        <v>100</v>
      </c>
      <c r="AP301" s="13" t="e">
        <f t="shared" si="146"/>
        <v>#DIV/0!</v>
      </c>
      <c r="AQ301" s="15"/>
      <c r="AR301" s="17" t="e">
        <f t="shared" si="147"/>
        <v>#VALUE!</v>
      </c>
      <c r="AS301" s="16">
        <f t="shared" si="153"/>
        <v>1</v>
      </c>
      <c r="AT301" s="16" t="e">
        <f t="shared" si="135"/>
        <v>#DIV/0!</v>
      </c>
      <c r="AU301" s="16" t="e">
        <f t="shared" si="148"/>
        <v>#DIV/0!</v>
      </c>
      <c r="AV301" s="57" t="str">
        <f t="shared" si="129"/>
        <v/>
      </c>
      <c r="AW301" s="57" t="str">
        <f t="shared" si="136"/>
        <v/>
      </c>
      <c r="AX301" s="57" t="str">
        <f t="shared" si="154"/>
        <v/>
      </c>
      <c r="AY301" s="57" t="str">
        <f t="shared" si="138"/>
        <v/>
      </c>
      <c r="AZ301" s="57" t="str">
        <f t="shared" si="139"/>
        <v/>
      </c>
      <c r="BA301" s="84" t="str">
        <f t="shared" si="142"/>
        <v/>
      </c>
      <c r="BB301" s="84">
        <f t="shared" si="143"/>
        <v>1</v>
      </c>
      <c r="BC301" s="84" t="e">
        <f t="shared" si="149"/>
        <v>#DIV/0!</v>
      </c>
      <c r="BD301" s="84" t="str">
        <f t="shared" si="144"/>
        <v/>
      </c>
      <c r="BE301" s="6" t="e">
        <f t="shared" si="137"/>
        <v>#DIV/0!</v>
      </c>
      <c r="BF301" s="6" t="e">
        <f t="shared" si="145"/>
        <v>#DIV/0!</v>
      </c>
    </row>
    <row r="302" spans="1:58" ht="15.75">
      <c r="B302" s="11">
        <v>45562</v>
      </c>
      <c r="C302" s="1">
        <v>58</v>
      </c>
      <c r="D302" s="3">
        <v>297</v>
      </c>
      <c r="E302" s="205" t="str">
        <f t="shared" si="140"/>
        <v/>
      </c>
      <c r="I302" s="41">
        <v>21</v>
      </c>
      <c r="K302" s="10" t="str">
        <f t="shared" si="150"/>
        <v/>
      </c>
      <c r="L302" s="9" t="str">
        <f t="shared" si="151"/>
        <v/>
      </c>
      <c r="M302" s="8" t="str">
        <f t="shared" si="152"/>
        <v/>
      </c>
      <c r="AB302" s="5">
        <v>80</v>
      </c>
      <c r="AG302">
        <v>0.1</v>
      </c>
      <c r="AH302" s="119">
        <v>0.54027777777777775</v>
      </c>
      <c r="AK302" s="3">
        <v>180</v>
      </c>
      <c r="AN302" s="80">
        <f t="shared" si="134"/>
        <v>100</v>
      </c>
      <c r="AP302" s="13">
        <f t="shared" si="146"/>
        <v>979.99999999997272</v>
      </c>
      <c r="AQ302" s="15"/>
      <c r="AR302" s="17" t="e">
        <f t="shared" si="147"/>
        <v>#VALUE!</v>
      </c>
      <c r="AS302" s="16">
        <f t="shared" si="153"/>
        <v>1</v>
      </c>
      <c r="AT302" s="16" t="e">
        <f t="shared" si="135"/>
        <v>#DIV/0!</v>
      </c>
      <c r="AU302" s="16" t="e">
        <f t="shared" si="148"/>
        <v>#DIV/0!</v>
      </c>
      <c r="AV302" s="57" t="str">
        <f t="shared" si="129"/>
        <v/>
      </c>
      <c r="AW302" s="57" t="str">
        <f t="shared" si="136"/>
        <v/>
      </c>
      <c r="AX302" s="57" t="str">
        <f t="shared" si="154"/>
        <v/>
      </c>
      <c r="AY302" s="57" t="str">
        <f t="shared" si="138"/>
        <v/>
      </c>
      <c r="AZ302" s="57" t="str">
        <f t="shared" si="139"/>
        <v/>
      </c>
      <c r="BA302" s="84" t="str">
        <f t="shared" si="142"/>
        <v/>
      </c>
      <c r="BB302" s="84">
        <f t="shared" si="143"/>
        <v>1</v>
      </c>
      <c r="BC302" s="84" t="e">
        <f t="shared" si="149"/>
        <v>#DIV/0!</v>
      </c>
      <c r="BD302" s="84" t="str">
        <f t="shared" si="144"/>
        <v/>
      </c>
      <c r="BE302" s="6" t="e">
        <f t="shared" si="137"/>
        <v>#DIV/0!</v>
      </c>
      <c r="BF302" s="6" t="str">
        <f t="shared" si="145"/>
        <v/>
      </c>
    </row>
    <row r="303" spans="1:58" ht="15.75">
      <c r="B303" s="11">
        <v>45563</v>
      </c>
      <c r="C303" s="1">
        <v>59</v>
      </c>
      <c r="D303" s="3">
        <v>298</v>
      </c>
      <c r="E303" s="205" t="str">
        <f t="shared" si="140"/>
        <v/>
      </c>
      <c r="I303" s="41">
        <v>21</v>
      </c>
      <c r="K303" s="10" t="str">
        <f t="shared" si="150"/>
        <v/>
      </c>
      <c r="L303" s="9" t="str">
        <f t="shared" si="151"/>
        <v/>
      </c>
      <c r="M303" s="8" t="str">
        <f t="shared" si="152"/>
        <v/>
      </c>
      <c r="AB303" s="5">
        <v>80</v>
      </c>
      <c r="AG303">
        <v>0.19</v>
      </c>
      <c r="AH303" s="119">
        <v>0.63310185185185186</v>
      </c>
      <c r="AK303" s="3">
        <v>180</v>
      </c>
      <c r="AN303" s="80">
        <f t="shared" si="134"/>
        <v>100</v>
      </c>
      <c r="AP303" s="13">
        <f t="shared" si="146"/>
        <v>979.99999999997272</v>
      </c>
      <c r="AQ303" s="15"/>
      <c r="AR303" s="17" t="e">
        <f t="shared" si="147"/>
        <v>#VALUE!</v>
      </c>
      <c r="AS303" s="16">
        <f t="shared" si="153"/>
        <v>1</v>
      </c>
      <c r="AT303" s="16" t="e">
        <f t="shared" si="135"/>
        <v>#DIV/0!</v>
      </c>
      <c r="AU303" s="16" t="e">
        <f t="shared" si="148"/>
        <v>#DIV/0!</v>
      </c>
      <c r="AV303" s="57" t="str">
        <f t="shared" si="129"/>
        <v/>
      </c>
      <c r="AW303" s="57" t="str">
        <f t="shared" si="136"/>
        <v/>
      </c>
      <c r="AX303" s="57" t="str">
        <f t="shared" si="154"/>
        <v/>
      </c>
      <c r="AY303" s="57" t="str">
        <f t="shared" si="138"/>
        <v/>
      </c>
      <c r="AZ303" s="57" t="str">
        <f t="shared" si="139"/>
        <v/>
      </c>
      <c r="BA303" s="84" t="str">
        <f t="shared" si="142"/>
        <v/>
      </c>
      <c r="BB303" s="84">
        <f t="shared" si="143"/>
        <v>1</v>
      </c>
      <c r="BC303" s="84" t="e">
        <f t="shared" si="149"/>
        <v>#DIV/0!</v>
      </c>
      <c r="BD303" s="84" t="str">
        <f t="shared" si="144"/>
        <v/>
      </c>
      <c r="BE303" s="6" t="e">
        <f t="shared" si="137"/>
        <v>#DIV/0!</v>
      </c>
      <c r="BF303" s="6" t="str">
        <f t="shared" si="145"/>
        <v/>
      </c>
    </row>
    <row r="304" spans="1:58" ht="15.75">
      <c r="A304" s="121">
        <v>0.28000000000000003</v>
      </c>
      <c r="B304" s="11">
        <v>45564</v>
      </c>
      <c r="C304" s="1">
        <v>60</v>
      </c>
      <c r="D304" s="3">
        <v>299</v>
      </c>
      <c r="E304" s="205" t="str">
        <f t="shared" si="140"/>
        <v/>
      </c>
      <c r="I304" s="41">
        <v>21</v>
      </c>
      <c r="K304" s="10" t="str">
        <f t="shared" si="150"/>
        <v/>
      </c>
      <c r="L304" s="9" t="str">
        <f t="shared" si="151"/>
        <v/>
      </c>
      <c r="M304" s="8" t="str">
        <f t="shared" si="152"/>
        <v/>
      </c>
      <c r="AB304" s="5">
        <v>80</v>
      </c>
      <c r="AG304">
        <v>0.14000000000000001</v>
      </c>
      <c r="AH304" s="119">
        <v>0.64074074074074072</v>
      </c>
      <c r="AK304" s="3">
        <v>180</v>
      </c>
      <c r="AN304" s="80">
        <f t="shared" si="134"/>
        <v>100</v>
      </c>
      <c r="AP304" s="13">
        <f t="shared" si="146"/>
        <v>979.99999999997272</v>
      </c>
      <c r="AQ304" s="15"/>
      <c r="AR304" s="17" t="e">
        <f t="shared" si="147"/>
        <v>#VALUE!</v>
      </c>
      <c r="AS304" s="16">
        <f t="shared" si="153"/>
        <v>1</v>
      </c>
      <c r="AT304" s="16" t="e">
        <f t="shared" si="135"/>
        <v>#DIV/0!</v>
      </c>
      <c r="AU304" s="16" t="e">
        <f t="shared" si="148"/>
        <v>#DIV/0!</v>
      </c>
      <c r="AV304" s="57" t="str">
        <f t="shared" si="129"/>
        <v/>
      </c>
      <c r="AW304" s="57" t="str">
        <f t="shared" si="136"/>
        <v/>
      </c>
      <c r="AX304" s="57" t="str">
        <f t="shared" si="154"/>
        <v/>
      </c>
      <c r="AY304" s="57" t="str">
        <f t="shared" si="138"/>
        <v/>
      </c>
      <c r="AZ304" s="57" t="str">
        <f t="shared" si="139"/>
        <v/>
      </c>
      <c r="BA304" s="84" t="str">
        <f t="shared" ref="BA304:BA335" si="155">IF(AND($E304&gt;0,$W304&gt;0),IF(($E304-$W304)/$E304&gt;0,($E304-$W304)/$E304,0),"")</f>
        <v/>
      </c>
      <c r="BB304" s="84">
        <f t="shared" si="143"/>
        <v>1</v>
      </c>
      <c r="BC304" s="84" t="e">
        <f t="shared" si="149"/>
        <v>#DIV/0!</v>
      </c>
      <c r="BD304" s="84" t="str">
        <f t="shared" si="144"/>
        <v/>
      </c>
      <c r="BE304" s="6" t="e">
        <f t="shared" si="137"/>
        <v>#DIV/0!</v>
      </c>
      <c r="BF304" s="6" t="str">
        <f t="shared" si="145"/>
        <v/>
      </c>
    </row>
    <row r="305" spans="1:58" ht="15.75">
      <c r="A305" s="12" t="s">
        <v>104</v>
      </c>
      <c r="B305" s="11">
        <v>45565</v>
      </c>
      <c r="C305" s="1">
        <v>61</v>
      </c>
      <c r="D305" s="3">
        <v>300</v>
      </c>
      <c r="E305" s="205" t="str">
        <f t="shared" si="140"/>
        <v/>
      </c>
      <c r="I305" s="41">
        <v>21</v>
      </c>
      <c r="K305" s="10" t="str">
        <f t="shared" si="150"/>
        <v/>
      </c>
      <c r="L305" s="9" t="str">
        <f t="shared" si="151"/>
        <v/>
      </c>
      <c r="M305" s="8" t="str">
        <f t="shared" si="152"/>
        <v/>
      </c>
      <c r="X305" s="6">
        <v>7.1</v>
      </c>
      <c r="AB305" s="5">
        <v>80</v>
      </c>
      <c r="AG305">
        <v>0.24</v>
      </c>
      <c r="AH305" s="119">
        <v>0.88078703703703709</v>
      </c>
      <c r="AK305" s="3">
        <v>180</v>
      </c>
      <c r="AN305" s="80">
        <f t="shared" si="134"/>
        <v>100</v>
      </c>
      <c r="AP305" s="13">
        <f t="shared" si="146"/>
        <v>979.99999999997272</v>
      </c>
      <c r="AQ305" s="15"/>
      <c r="AR305" s="17" t="e">
        <f t="shared" si="147"/>
        <v>#VALUE!</v>
      </c>
      <c r="AS305" s="16">
        <f t="shared" si="153"/>
        <v>1</v>
      </c>
      <c r="AT305" s="16" t="e">
        <f t="shared" si="135"/>
        <v>#DIV/0!</v>
      </c>
      <c r="AU305" s="16" t="e">
        <f t="shared" si="148"/>
        <v>#DIV/0!</v>
      </c>
      <c r="AV305" s="57" t="str">
        <f t="shared" si="129"/>
        <v/>
      </c>
      <c r="AW305" s="57" t="str">
        <f t="shared" si="136"/>
        <v/>
      </c>
      <c r="AX305" s="57" t="str">
        <f t="shared" si="154"/>
        <v/>
      </c>
      <c r="AY305" s="57" t="str">
        <f t="shared" si="138"/>
        <v/>
      </c>
      <c r="AZ305" s="57" t="str">
        <f t="shared" si="139"/>
        <v/>
      </c>
      <c r="BA305" s="84" t="str">
        <f t="shared" si="155"/>
        <v/>
      </c>
      <c r="BB305" s="84">
        <f t="shared" si="143"/>
        <v>1</v>
      </c>
      <c r="BC305" s="84" t="e">
        <f t="shared" si="149"/>
        <v>#DIV/0!</v>
      </c>
      <c r="BD305" s="84" t="str">
        <f t="shared" si="144"/>
        <v/>
      </c>
      <c r="BE305" s="6" t="e">
        <f t="shared" si="137"/>
        <v>#DIV/0!</v>
      </c>
      <c r="BF305" s="6" t="str">
        <f t="shared" si="145"/>
        <v/>
      </c>
    </row>
    <row r="306" spans="1:58" ht="15.75">
      <c r="B306" s="11">
        <v>45566</v>
      </c>
      <c r="C306" s="1">
        <v>62</v>
      </c>
      <c r="D306" s="120">
        <v>301</v>
      </c>
      <c r="E306" s="205" t="str">
        <f t="shared" si="140"/>
        <v/>
      </c>
      <c r="I306" s="41">
        <v>21</v>
      </c>
      <c r="K306" s="10" t="str">
        <f t="shared" si="150"/>
        <v/>
      </c>
      <c r="L306" s="9" t="str">
        <f t="shared" si="151"/>
        <v/>
      </c>
      <c r="M306" s="8" t="str">
        <f t="shared" si="152"/>
        <v/>
      </c>
      <c r="X306" s="6">
        <v>6.64</v>
      </c>
      <c r="AB306" s="5">
        <v>80</v>
      </c>
      <c r="AG306">
        <v>0.23</v>
      </c>
      <c r="AH306" s="119">
        <v>0.21990740740740741</v>
      </c>
      <c r="AK306" s="3">
        <v>180</v>
      </c>
      <c r="AN306" s="80">
        <f t="shared" si="134"/>
        <v>100</v>
      </c>
      <c r="AO306" s="2">
        <v>979.99999999997272</v>
      </c>
      <c r="AP306" s="13">
        <f t="shared" si="146"/>
        <v>979.99999999997272</v>
      </c>
      <c r="AQ306" s="15">
        <v>14.788732394365907</v>
      </c>
      <c r="AR306" s="17" t="e">
        <f t="shared" si="147"/>
        <v>#VALUE!</v>
      </c>
      <c r="AS306" s="16">
        <f t="shared" si="153"/>
        <v>1</v>
      </c>
      <c r="AT306" s="16" t="e">
        <f t="shared" si="135"/>
        <v>#DIV/0!</v>
      </c>
      <c r="AU306" s="16" t="e">
        <f t="shared" si="148"/>
        <v>#DIV/0!</v>
      </c>
      <c r="AV306" s="57" t="str">
        <f t="shared" si="129"/>
        <v/>
      </c>
      <c r="AW306" s="57" t="str">
        <f t="shared" si="136"/>
        <v/>
      </c>
      <c r="AX306" s="57" t="str">
        <f t="shared" si="154"/>
        <v/>
      </c>
      <c r="AY306" s="57" t="str">
        <f t="shared" si="138"/>
        <v/>
      </c>
      <c r="AZ306" s="57" t="str">
        <f t="shared" si="139"/>
        <v/>
      </c>
      <c r="BA306" s="84" t="str">
        <f t="shared" si="155"/>
        <v/>
      </c>
      <c r="BB306" s="84">
        <f t="shared" ref="BB306:BB337" si="156">IF(AND($I306&gt;0,$AF306&gt;=0),IF(($I306-$AF306)/$I306&gt;0,($I306-$AF306)/$I306,0),"")</f>
        <v>1</v>
      </c>
      <c r="BC306" s="84" t="e">
        <f t="shared" si="149"/>
        <v>#DIV/0!</v>
      </c>
      <c r="BD306" s="84" t="str">
        <f t="shared" ref="BD306:BD337" si="157">IF(AND($G306&gt;0,$AM306&gt;0),IF(($G306-$AM306)/$G306&gt;0,($G306-$AM306)/$G306,0),"")</f>
        <v/>
      </c>
      <c r="BE306" s="6" t="e">
        <f t="shared" si="137"/>
        <v>#DIV/0!</v>
      </c>
      <c r="BF306" s="6" t="str">
        <f t="shared" si="145"/>
        <v/>
      </c>
    </row>
    <row r="307" spans="1:58" ht="15.75">
      <c r="B307" s="11">
        <v>45567</v>
      </c>
      <c r="C307" s="1">
        <v>63</v>
      </c>
      <c r="D307" s="3">
        <v>302</v>
      </c>
      <c r="E307" s="205" t="str">
        <f t="shared" si="140"/>
        <v/>
      </c>
      <c r="I307" s="41">
        <v>21</v>
      </c>
      <c r="K307" s="10" t="str">
        <f t="shared" si="150"/>
        <v/>
      </c>
      <c r="L307" s="9" t="str">
        <f t="shared" si="151"/>
        <v/>
      </c>
      <c r="M307" s="8" t="str">
        <f t="shared" si="152"/>
        <v/>
      </c>
      <c r="X307" s="6">
        <v>7.47</v>
      </c>
      <c r="AB307" s="5">
        <v>80</v>
      </c>
      <c r="AG307" s="1">
        <v>0.03</v>
      </c>
      <c r="AH307" s="101">
        <v>0.1275462962962963</v>
      </c>
      <c r="AK307" s="3">
        <v>180</v>
      </c>
      <c r="AN307" s="80">
        <f t="shared" si="134"/>
        <v>100</v>
      </c>
      <c r="AP307" s="13">
        <f t="shared" si="146"/>
        <v>979.99999999997272</v>
      </c>
      <c r="AQ307" s="15"/>
      <c r="AR307" s="17" t="e">
        <f t="shared" si="147"/>
        <v>#VALUE!</v>
      </c>
      <c r="AS307" s="16">
        <f t="shared" si="153"/>
        <v>1</v>
      </c>
      <c r="AT307" s="16" t="e">
        <f t="shared" si="135"/>
        <v>#DIV/0!</v>
      </c>
      <c r="AU307" s="16" t="e">
        <f t="shared" si="148"/>
        <v>#DIV/0!</v>
      </c>
      <c r="AV307" s="57" t="str">
        <f t="shared" si="129"/>
        <v/>
      </c>
      <c r="AW307" s="57" t="str">
        <f t="shared" si="136"/>
        <v/>
      </c>
      <c r="AX307" s="57" t="str">
        <f t="shared" si="154"/>
        <v/>
      </c>
      <c r="AY307" s="57" t="str">
        <f t="shared" si="138"/>
        <v/>
      </c>
      <c r="AZ307" s="57" t="str">
        <f t="shared" si="139"/>
        <v/>
      </c>
      <c r="BA307" s="84" t="str">
        <f t="shared" si="155"/>
        <v/>
      </c>
      <c r="BB307" s="84">
        <f t="shared" si="156"/>
        <v>1</v>
      </c>
      <c r="BC307" s="84" t="e">
        <f t="shared" si="149"/>
        <v>#DIV/0!</v>
      </c>
      <c r="BD307" s="84" t="str">
        <f t="shared" si="157"/>
        <v/>
      </c>
      <c r="BE307" s="6" t="e">
        <f t="shared" si="137"/>
        <v>#DIV/0!</v>
      </c>
      <c r="BF307" s="6" t="str">
        <f t="shared" si="145"/>
        <v/>
      </c>
    </row>
    <row r="308" spans="1:58" ht="15.75">
      <c r="B308" s="11">
        <v>45568</v>
      </c>
      <c r="C308" s="1">
        <v>64</v>
      </c>
      <c r="D308" s="3">
        <v>303</v>
      </c>
      <c r="E308" s="205" t="str">
        <f t="shared" si="140"/>
        <v/>
      </c>
      <c r="I308" s="41">
        <v>21</v>
      </c>
      <c r="K308" s="10" t="str">
        <f t="shared" si="150"/>
        <v/>
      </c>
      <c r="L308" s="9" t="str">
        <f t="shared" si="151"/>
        <v/>
      </c>
      <c r="M308" s="8" t="str">
        <f t="shared" si="152"/>
        <v/>
      </c>
      <c r="AB308" s="5">
        <v>80</v>
      </c>
      <c r="AG308" s="1">
        <v>0.01</v>
      </c>
      <c r="AH308" s="101">
        <v>7.1759259259259259E-2</v>
      </c>
      <c r="AK308" s="3">
        <v>180</v>
      </c>
      <c r="AN308" s="80">
        <f t="shared" si="134"/>
        <v>100</v>
      </c>
      <c r="AP308" s="13">
        <f t="shared" si="146"/>
        <v>979.99999999997272</v>
      </c>
      <c r="AQ308" s="15"/>
      <c r="AR308" s="17" t="e">
        <f t="shared" si="147"/>
        <v>#VALUE!</v>
      </c>
      <c r="AS308" s="16">
        <f t="shared" si="153"/>
        <v>1</v>
      </c>
      <c r="AT308" s="16" t="e">
        <f t="shared" si="135"/>
        <v>#DIV/0!</v>
      </c>
      <c r="AU308" s="16" t="e">
        <f t="shared" si="148"/>
        <v>#DIV/0!</v>
      </c>
      <c r="AV308" s="57" t="str">
        <f t="shared" si="129"/>
        <v/>
      </c>
      <c r="AW308" s="57" t="str">
        <f t="shared" si="136"/>
        <v/>
      </c>
      <c r="AX308" s="57" t="str">
        <f t="shared" si="154"/>
        <v/>
      </c>
      <c r="AY308" s="57" t="str">
        <f t="shared" si="138"/>
        <v/>
      </c>
      <c r="AZ308" s="57" t="str">
        <f t="shared" si="139"/>
        <v/>
      </c>
      <c r="BA308" s="84" t="str">
        <f t="shared" si="155"/>
        <v/>
      </c>
      <c r="BB308" s="84">
        <f t="shared" si="156"/>
        <v>1</v>
      </c>
      <c r="BC308" s="84" t="e">
        <f t="shared" si="149"/>
        <v>#DIV/0!</v>
      </c>
      <c r="BD308" s="84" t="str">
        <f t="shared" si="157"/>
        <v/>
      </c>
      <c r="BE308" s="6" t="e">
        <f t="shared" si="137"/>
        <v>#DIV/0!</v>
      </c>
      <c r="BF308" s="6" t="str">
        <f t="shared" si="145"/>
        <v/>
      </c>
    </row>
    <row r="309" spans="1:58" ht="15.75">
      <c r="B309" s="11">
        <v>45569</v>
      </c>
      <c r="C309" s="1">
        <v>65</v>
      </c>
      <c r="D309" s="3">
        <v>304</v>
      </c>
      <c r="E309" s="205" t="str">
        <f t="shared" si="140"/>
        <v/>
      </c>
      <c r="I309" s="41">
        <v>21</v>
      </c>
      <c r="K309" s="10" t="str">
        <f t="shared" si="150"/>
        <v/>
      </c>
      <c r="L309" s="9" t="str">
        <f t="shared" si="151"/>
        <v/>
      </c>
      <c r="M309" s="8" t="str">
        <f t="shared" si="152"/>
        <v/>
      </c>
      <c r="AB309" s="5">
        <v>80</v>
      </c>
      <c r="AG309" s="1">
        <v>0.19</v>
      </c>
      <c r="AH309" s="101">
        <v>9.5138888888888884E-2</v>
      </c>
      <c r="AK309" s="3">
        <v>180</v>
      </c>
      <c r="AN309" s="80">
        <f t="shared" si="134"/>
        <v>100</v>
      </c>
      <c r="AP309" s="13" t="e">
        <f t="shared" si="146"/>
        <v>#DIV/0!</v>
      </c>
      <c r="AQ309" s="15"/>
      <c r="AR309" s="17" t="e">
        <f t="shared" si="147"/>
        <v>#VALUE!</v>
      </c>
      <c r="AS309" s="16">
        <f t="shared" si="153"/>
        <v>1</v>
      </c>
      <c r="AT309" s="16" t="e">
        <f t="shared" si="135"/>
        <v>#DIV/0!</v>
      </c>
      <c r="AU309" s="16" t="e">
        <f t="shared" si="148"/>
        <v>#DIV/0!</v>
      </c>
      <c r="AV309" s="57" t="str">
        <f t="shared" si="129"/>
        <v/>
      </c>
      <c r="AW309" s="57" t="str">
        <f t="shared" si="136"/>
        <v/>
      </c>
      <c r="AX309" s="57" t="str">
        <f t="shared" si="154"/>
        <v/>
      </c>
      <c r="AY309" s="57" t="str">
        <f t="shared" si="138"/>
        <v/>
      </c>
      <c r="AZ309" s="57" t="str">
        <f t="shared" si="139"/>
        <v/>
      </c>
      <c r="BA309" s="84" t="str">
        <f t="shared" si="155"/>
        <v/>
      </c>
      <c r="BB309" s="84">
        <f t="shared" si="156"/>
        <v>1</v>
      </c>
      <c r="BC309" s="84" t="e">
        <f t="shared" si="149"/>
        <v>#DIV/0!</v>
      </c>
      <c r="BD309" s="84" t="str">
        <f t="shared" si="157"/>
        <v/>
      </c>
      <c r="BE309" s="6" t="e">
        <f t="shared" si="137"/>
        <v>#DIV/0!</v>
      </c>
      <c r="BF309" s="6" t="e">
        <f t="shared" ref="BF309:BF340" si="158">IF(OR(AJ309=0,AP309=0,NOT(ISNUMBER(AD309)),NOT(ISNUMBER(AF309)),NOT(ISNUMBER(AJ309)),NOT(ISNUMBER(AP309))),"",
IFERROR(IF((AD309-AF309)/(AJ309/60)/(AP309/1000)&lt;=0,"",(AD309-AF309)/(AJ309/60)/(AP309/1000)),""))</f>
        <v>#DIV/0!</v>
      </c>
    </row>
    <row r="310" spans="1:58" ht="15.75">
      <c r="A310" s="25"/>
      <c r="B310" s="11">
        <v>45570</v>
      </c>
      <c r="C310" s="1">
        <v>66</v>
      </c>
      <c r="D310" s="3">
        <v>305</v>
      </c>
      <c r="E310" s="205" t="str">
        <f t="shared" si="140"/>
        <v/>
      </c>
      <c r="I310" s="41">
        <v>21</v>
      </c>
      <c r="K310" s="10" t="str">
        <f t="shared" si="150"/>
        <v/>
      </c>
      <c r="L310" s="9" t="str">
        <f t="shared" si="151"/>
        <v/>
      </c>
      <c r="M310" s="8" t="str">
        <f t="shared" si="152"/>
        <v/>
      </c>
      <c r="AB310" s="5">
        <v>80</v>
      </c>
      <c r="AG310" s="1">
        <v>0.05</v>
      </c>
      <c r="AH310" s="101">
        <v>0.12511574074074075</v>
      </c>
      <c r="AK310" s="3">
        <v>180</v>
      </c>
      <c r="AN310" s="80">
        <f t="shared" si="134"/>
        <v>100</v>
      </c>
      <c r="AP310" s="13" t="e">
        <f t="shared" ref="AP310:AP341" si="159">AVERAGE(AO308:AO314)</f>
        <v>#DIV/0!</v>
      </c>
      <c r="AQ310" s="15"/>
      <c r="AR310" s="17" t="e">
        <f t="shared" si="147"/>
        <v>#VALUE!</v>
      </c>
      <c r="AS310" s="16">
        <f t="shared" si="153"/>
        <v>1</v>
      </c>
      <c r="AT310" s="16" t="e">
        <f t="shared" si="135"/>
        <v>#DIV/0!</v>
      </c>
      <c r="AU310" s="16" t="e">
        <f t="shared" si="148"/>
        <v>#DIV/0!</v>
      </c>
      <c r="AV310" s="57" t="str">
        <f t="shared" si="129"/>
        <v/>
      </c>
      <c r="AW310" s="57" t="str">
        <f t="shared" si="136"/>
        <v/>
      </c>
      <c r="AX310" s="57" t="str">
        <f t="shared" si="154"/>
        <v/>
      </c>
      <c r="AY310" s="57" t="str">
        <f t="shared" si="138"/>
        <v/>
      </c>
      <c r="AZ310" s="57" t="str">
        <f t="shared" si="139"/>
        <v/>
      </c>
      <c r="BA310" s="84" t="str">
        <f t="shared" si="155"/>
        <v/>
      </c>
      <c r="BB310" s="84">
        <f t="shared" si="156"/>
        <v>1</v>
      </c>
      <c r="BC310" s="84" t="e">
        <f t="shared" si="149"/>
        <v>#DIV/0!</v>
      </c>
      <c r="BD310" s="84" t="str">
        <f t="shared" si="157"/>
        <v/>
      </c>
      <c r="BE310" s="6" t="e">
        <f t="shared" si="137"/>
        <v>#DIV/0!</v>
      </c>
      <c r="BF310" s="6" t="e">
        <f t="shared" si="158"/>
        <v>#DIV/0!</v>
      </c>
    </row>
    <row r="311" spans="1:58" ht="15.75">
      <c r="B311" s="11">
        <v>45571</v>
      </c>
      <c r="C311" s="1">
        <v>67</v>
      </c>
      <c r="D311" s="3">
        <v>306</v>
      </c>
      <c r="E311" s="205" t="str">
        <f t="shared" si="140"/>
        <v/>
      </c>
      <c r="I311" s="41">
        <v>21</v>
      </c>
      <c r="K311" s="10" t="str">
        <f t="shared" si="150"/>
        <v/>
      </c>
      <c r="L311" s="9" t="str">
        <f t="shared" si="151"/>
        <v/>
      </c>
      <c r="M311" s="8" t="str">
        <f t="shared" si="152"/>
        <v/>
      </c>
      <c r="AB311" s="5">
        <v>80</v>
      </c>
      <c r="AG311" s="1">
        <v>0</v>
      </c>
      <c r="AH311" s="101">
        <v>8.3796296296296299E-2</v>
      </c>
      <c r="AK311" s="3">
        <v>180</v>
      </c>
      <c r="AN311" s="80">
        <f t="shared" si="134"/>
        <v>100</v>
      </c>
      <c r="AP311" s="13" t="e">
        <f t="shared" si="159"/>
        <v>#DIV/0!</v>
      </c>
      <c r="AQ311" s="15"/>
      <c r="AR311" s="17" t="e">
        <f t="shared" ref="AR311:AR342" si="160">(E311-W311)/E311</f>
        <v>#VALUE!</v>
      </c>
      <c r="AS311" s="16">
        <f t="shared" si="153"/>
        <v>1</v>
      </c>
      <c r="AT311" s="16" t="e">
        <f t="shared" si="135"/>
        <v>#DIV/0!</v>
      </c>
      <c r="AU311" s="16" t="e">
        <f t="shared" si="148"/>
        <v>#DIV/0!</v>
      </c>
      <c r="AV311" s="57" t="str">
        <f t="shared" ref="AV311:AV374" si="161">IF(AND(ISNUMBER(E311),ISNUMBER(W311)),E311-W311,"")</f>
        <v/>
      </c>
      <c r="AW311" s="57" t="str">
        <f t="shared" si="136"/>
        <v/>
      </c>
      <c r="AX311" s="57" t="str">
        <f t="shared" si="154"/>
        <v/>
      </c>
      <c r="AY311" s="57" t="str">
        <f t="shared" si="138"/>
        <v/>
      </c>
      <c r="AZ311" s="57" t="str">
        <f t="shared" si="139"/>
        <v/>
      </c>
      <c r="BA311" s="84" t="str">
        <f t="shared" si="155"/>
        <v/>
      </c>
      <c r="BB311" s="84">
        <f t="shared" si="156"/>
        <v>1</v>
      </c>
      <c r="BC311" s="84" t="e">
        <f t="shared" si="149"/>
        <v>#DIV/0!</v>
      </c>
      <c r="BD311" s="84" t="str">
        <f t="shared" si="157"/>
        <v/>
      </c>
      <c r="BE311" s="6" t="e">
        <f t="shared" si="137"/>
        <v>#DIV/0!</v>
      </c>
      <c r="BF311" s="6" t="e">
        <f t="shared" si="158"/>
        <v>#DIV/0!</v>
      </c>
    </row>
    <row r="312" spans="1:58" ht="15.75">
      <c r="A312" s="111" t="s">
        <v>103</v>
      </c>
      <c r="B312" s="114">
        <v>45572</v>
      </c>
      <c r="C312" s="1">
        <v>68</v>
      </c>
      <c r="D312" s="3">
        <v>307</v>
      </c>
      <c r="E312" s="205">
        <f t="shared" si="140"/>
        <v>257.01515599999999</v>
      </c>
      <c r="G312" s="15">
        <f>(N312*18-H312*18)/9</f>
        <v>14.399999999999997</v>
      </c>
      <c r="H312" s="9">
        <v>8</v>
      </c>
      <c r="I312" s="15">
        <f>AD312</f>
        <v>19.350000000000001</v>
      </c>
      <c r="K312" s="10">
        <f t="shared" si="150"/>
        <v>17.848274722222225</v>
      </c>
      <c r="L312" s="9">
        <f t="shared" si="151"/>
        <v>6.6412185012919887</v>
      </c>
      <c r="M312" s="8">
        <f t="shared" si="152"/>
        <v>2.6875000000000009</v>
      </c>
      <c r="N312" s="7">
        <v>15.2</v>
      </c>
      <c r="O312">
        <v>79.424000000000007</v>
      </c>
      <c r="P312">
        <v>28.905000000000001</v>
      </c>
      <c r="Q312" s="6">
        <f>O312*1.067</f>
        <v>84.745407999999998</v>
      </c>
      <c r="R312" s="6">
        <f>P312*1.514</f>
        <v>43.762170000000005</v>
      </c>
      <c r="S312" s="23">
        <f>P312*1.514+O312*1.067</f>
        <v>128.507578</v>
      </c>
      <c r="T312" s="6">
        <v>19.100000000000001</v>
      </c>
      <c r="U312">
        <v>31.800999999999998</v>
      </c>
      <c r="V312">
        <v>3.9790000000000001</v>
      </c>
      <c r="W312" s="23">
        <f>U312*1.067+V312*1.514</f>
        <v>39.955872999999997</v>
      </c>
      <c r="AB312" s="5">
        <v>80</v>
      </c>
      <c r="AC312" s="7">
        <f>T312</f>
        <v>19.100000000000001</v>
      </c>
      <c r="AD312" s="1">
        <f>5*3.87</f>
        <v>19.350000000000001</v>
      </c>
      <c r="AE312" s="1">
        <f>16.5</f>
        <v>16.5</v>
      </c>
      <c r="AF312" s="1">
        <f>5*0.696</f>
        <v>3.4799999999999995</v>
      </c>
      <c r="AG312" s="1">
        <v>0.08</v>
      </c>
      <c r="AH312" s="101">
        <v>0.12476851851851851</v>
      </c>
      <c r="AK312" s="3">
        <v>180</v>
      </c>
      <c r="AL312" s="4">
        <f>AE312</f>
        <v>16.5</v>
      </c>
      <c r="AM312" s="1">
        <v>15</v>
      </c>
      <c r="AN312" s="80">
        <f t="shared" si="134"/>
        <v>100</v>
      </c>
      <c r="AP312" s="13" t="e">
        <f t="shared" si="159"/>
        <v>#DIV/0!</v>
      </c>
      <c r="AQ312" s="15"/>
      <c r="AR312" s="17">
        <f t="shared" si="160"/>
        <v>0.84453884501659504</v>
      </c>
      <c r="AS312" s="16">
        <f t="shared" si="153"/>
        <v>0.82015503875968987</v>
      </c>
      <c r="AT312" s="16">
        <f t="shared" si="135"/>
        <v>5.0409577819785761E-3</v>
      </c>
      <c r="AU312" s="16">
        <f t="shared" ref="AU312:AU343" si="162">(G312-AM312)/G312</f>
        <v>-4.16666666666669E-2</v>
      </c>
      <c r="AV312" s="57">
        <f t="shared" si="161"/>
        <v>217.05928299999999</v>
      </c>
      <c r="AW312" s="57">
        <f t="shared" si="136"/>
        <v>15.870000000000001</v>
      </c>
      <c r="AX312" s="57">
        <f t="shared" si="154"/>
        <v>-0.6000000000000032</v>
      </c>
      <c r="AY312" s="57">
        <f t="shared" si="138"/>
        <v>2.6000000000000014</v>
      </c>
      <c r="AZ312" s="57">
        <f t="shared" si="139"/>
        <v>1.5</v>
      </c>
      <c r="BA312" s="84">
        <f t="shared" si="155"/>
        <v>0.84453884501659504</v>
      </c>
      <c r="BB312" s="84">
        <f t="shared" si="156"/>
        <v>0.82015503875968987</v>
      </c>
      <c r="BC312" s="84">
        <f t="shared" si="149"/>
        <v>5.0409577819785761E-3</v>
      </c>
      <c r="BD312" s="84">
        <f t="shared" si="157"/>
        <v>0</v>
      </c>
      <c r="BE312" s="6" t="e">
        <f t="shared" si="137"/>
        <v>#DIV/0!</v>
      </c>
      <c r="BF312" s="6" t="e">
        <f t="shared" si="158"/>
        <v>#DIV/0!</v>
      </c>
    </row>
    <row r="313" spans="1:58" s="27" customFormat="1" ht="15.75">
      <c r="A313" s="118" t="s">
        <v>102</v>
      </c>
      <c r="B313" s="117">
        <v>45573</v>
      </c>
      <c r="C313" s="1">
        <v>69</v>
      </c>
      <c r="D313" s="29">
        <v>308</v>
      </c>
      <c r="E313" s="205">
        <f t="shared" si="140"/>
        <v>245.56203600000001</v>
      </c>
      <c r="F313" s="36"/>
      <c r="G313" s="77">
        <f>(N313*18-H313*18)/9</f>
        <v>15.260000000000003</v>
      </c>
      <c r="H313" s="36">
        <v>8.17</v>
      </c>
      <c r="I313" s="77">
        <f>AD313</f>
        <v>20.099999999999998</v>
      </c>
      <c r="J313" s="35"/>
      <c r="K313" s="10">
        <f t="shared" si="150"/>
        <v>16.091876539973786</v>
      </c>
      <c r="L313" s="9">
        <f t="shared" si="151"/>
        <v>6.1085083582089563</v>
      </c>
      <c r="M313" s="8">
        <f t="shared" si="152"/>
        <v>2.634338138925294</v>
      </c>
      <c r="N313" s="34">
        <v>15.8</v>
      </c>
      <c r="O313" s="116">
        <v>75.554000000000002</v>
      </c>
      <c r="P313" s="116">
        <v>27.85</v>
      </c>
      <c r="Q313" s="33">
        <f>O313*1.067</f>
        <v>80.616118</v>
      </c>
      <c r="R313" s="33">
        <f>P313*1.514</f>
        <v>42.164900000000003</v>
      </c>
      <c r="S313" s="75">
        <f>P313*1.514+O313*1.067</f>
        <v>122.781018</v>
      </c>
      <c r="T313" s="33">
        <v>19.5</v>
      </c>
      <c r="U313" s="116">
        <v>48.603000000000002</v>
      </c>
      <c r="V313" s="116">
        <v>6.6319999999999997</v>
      </c>
      <c r="W313" s="75">
        <f>U313*1.067+V313*1.514</f>
        <v>61.900249000000002</v>
      </c>
      <c r="X313" s="33">
        <v>6.53</v>
      </c>
      <c r="Y313" s="33"/>
      <c r="Z313" s="33"/>
      <c r="AA313" s="33"/>
      <c r="AB313" s="74">
        <v>80</v>
      </c>
      <c r="AC313" s="34">
        <f>T313</f>
        <v>19.5</v>
      </c>
      <c r="AD313" s="27">
        <f>5*4.02</f>
        <v>20.099999999999998</v>
      </c>
      <c r="AE313" s="27">
        <v>20.6</v>
      </c>
      <c r="AF313" s="27">
        <f>0</f>
        <v>0</v>
      </c>
      <c r="AG313" s="27">
        <v>0.05</v>
      </c>
      <c r="AH313" s="101">
        <v>0.10902777777777778</v>
      </c>
      <c r="AK313" s="29">
        <v>180</v>
      </c>
      <c r="AL313" s="32">
        <f>AE313</f>
        <v>20.6</v>
      </c>
      <c r="AM313" s="27">
        <v>18.8</v>
      </c>
      <c r="AN313" s="87">
        <f t="shared" si="134"/>
        <v>100</v>
      </c>
      <c r="AO313" s="28"/>
      <c r="AP313" s="13" t="e">
        <f t="shared" si="159"/>
        <v>#DIV/0!</v>
      </c>
      <c r="AQ313" s="77"/>
      <c r="AR313" s="31">
        <f t="shared" si="160"/>
        <v>0.74792419052919079</v>
      </c>
      <c r="AS313" s="30">
        <f t="shared" si="153"/>
        <v>1</v>
      </c>
      <c r="AT313" s="30">
        <f t="shared" si="135"/>
        <v>2.4875621890547268E-3</v>
      </c>
      <c r="AU313" s="30">
        <f t="shared" si="162"/>
        <v>-0.23197903014416754</v>
      </c>
      <c r="AV313" s="73">
        <f t="shared" si="161"/>
        <v>183.661787</v>
      </c>
      <c r="AW313" s="73">
        <f t="shared" si="136"/>
        <v>20.099999999999998</v>
      </c>
      <c r="AX313" s="73">
        <f t="shared" si="154"/>
        <v>-3.5399999999999974</v>
      </c>
      <c r="AY313" s="73">
        <f t="shared" si="138"/>
        <v>-1.1000000000000014</v>
      </c>
      <c r="AZ313" s="73">
        <f t="shared" si="139"/>
        <v>1.8000000000000007</v>
      </c>
      <c r="BA313" s="84">
        <f t="shared" si="155"/>
        <v>0.74792419052919079</v>
      </c>
      <c r="BB313" s="84">
        <f t="shared" si="156"/>
        <v>1</v>
      </c>
      <c r="BC313" s="84">
        <f t="shared" si="149"/>
        <v>2.4875621890547268E-3</v>
      </c>
      <c r="BD313" s="84">
        <f t="shared" si="157"/>
        <v>0</v>
      </c>
      <c r="BE313" s="6" t="e">
        <f t="shared" si="137"/>
        <v>#DIV/0!</v>
      </c>
      <c r="BF313" s="6" t="e">
        <f t="shared" si="158"/>
        <v>#DIV/0!</v>
      </c>
    </row>
    <row r="314" spans="1:58" ht="15.75">
      <c r="A314" s="12" t="s">
        <v>101</v>
      </c>
      <c r="B314" s="11">
        <v>45574</v>
      </c>
      <c r="C314" s="1">
        <v>70</v>
      </c>
      <c r="D314" s="3">
        <v>309</v>
      </c>
      <c r="E314" s="205" t="str">
        <f t="shared" si="140"/>
        <v/>
      </c>
      <c r="K314" s="10" t="str">
        <f t="shared" si="150"/>
        <v/>
      </c>
      <c r="L314" s="9" t="str">
        <f t="shared" si="151"/>
        <v/>
      </c>
      <c r="M314" s="8" t="str">
        <f t="shared" si="152"/>
        <v/>
      </c>
      <c r="X314" s="6">
        <v>1.64</v>
      </c>
      <c r="AB314" s="5">
        <v>80</v>
      </c>
      <c r="AG314"/>
      <c r="AK314" s="3">
        <v>180</v>
      </c>
      <c r="AN314" s="80">
        <f t="shared" si="134"/>
        <v>100</v>
      </c>
      <c r="AP314" s="13" t="e">
        <f t="shared" si="159"/>
        <v>#DIV/0!</v>
      </c>
      <c r="AQ314" s="15"/>
      <c r="AR314" s="17" t="e">
        <f t="shared" si="160"/>
        <v>#VALUE!</v>
      </c>
      <c r="AS314" s="16" t="e">
        <f t="shared" si="153"/>
        <v>#DIV/0!</v>
      </c>
      <c r="AT314" s="16" t="e">
        <f t="shared" si="135"/>
        <v>#DIV/0!</v>
      </c>
      <c r="AU314" s="16" t="e">
        <f t="shared" si="162"/>
        <v>#DIV/0!</v>
      </c>
      <c r="AV314" s="57" t="str">
        <f t="shared" si="161"/>
        <v/>
      </c>
      <c r="AW314" s="57" t="str">
        <f t="shared" si="136"/>
        <v/>
      </c>
      <c r="AX314" s="57" t="str">
        <f t="shared" si="154"/>
        <v/>
      </c>
      <c r="AY314" s="57" t="str">
        <f t="shared" si="138"/>
        <v/>
      </c>
      <c r="AZ314" s="57" t="str">
        <f t="shared" si="139"/>
        <v/>
      </c>
      <c r="BA314" s="84" t="str">
        <f t="shared" si="155"/>
        <v/>
      </c>
      <c r="BB314" s="84" t="str">
        <f t="shared" si="156"/>
        <v/>
      </c>
      <c r="BC314" s="84" t="e">
        <f t="shared" si="149"/>
        <v>#DIV/0!</v>
      </c>
      <c r="BD314" s="84" t="str">
        <f t="shared" si="157"/>
        <v/>
      </c>
      <c r="BE314" s="6" t="e">
        <f t="shared" si="137"/>
        <v>#DIV/0!</v>
      </c>
      <c r="BF314" s="6" t="e">
        <f t="shared" si="158"/>
        <v>#DIV/0!</v>
      </c>
    </row>
    <row r="315" spans="1:58" ht="15.75">
      <c r="B315" s="11">
        <v>45575</v>
      </c>
      <c r="C315" s="1">
        <v>71</v>
      </c>
      <c r="D315" s="3">
        <v>310</v>
      </c>
      <c r="E315" s="205" t="str">
        <f t="shared" si="140"/>
        <v/>
      </c>
      <c r="K315" s="10" t="str">
        <f t="shared" si="150"/>
        <v/>
      </c>
      <c r="L315" s="9" t="str">
        <f t="shared" si="151"/>
        <v/>
      </c>
      <c r="M315" s="8" t="str">
        <f t="shared" si="152"/>
        <v/>
      </c>
      <c r="X315" s="6">
        <v>0.47</v>
      </c>
      <c r="AB315" s="5">
        <v>80</v>
      </c>
      <c r="AG315"/>
      <c r="AJ315" s="1">
        <v>175</v>
      </c>
      <c r="AK315" s="3">
        <v>180</v>
      </c>
      <c r="AN315" s="80">
        <f t="shared" si="134"/>
        <v>100</v>
      </c>
      <c r="AP315" s="13">
        <f t="shared" si="159"/>
        <v>809.99999999999091</v>
      </c>
      <c r="AQ315" s="15"/>
      <c r="AR315" s="17" t="e">
        <f t="shared" si="160"/>
        <v>#VALUE!</v>
      </c>
      <c r="AS315" s="16" t="e">
        <f t="shared" si="153"/>
        <v>#DIV/0!</v>
      </c>
      <c r="AT315" s="16" t="e">
        <f t="shared" si="135"/>
        <v>#DIV/0!</v>
      </c>
      <c r="AU315" s="16" t="e">
        <f t="shared" si="162"/>
        <v>#DIV/0!</v>
      </c>
      <c r="AV315" s="57" t="str">
        <f t="shared" si="161"/>
        <v/>
      </c>
      <c r="AW315" s="57" t="str">
        <f t="shared" si="136"/>
        <v/>
      </c>
      <c r="AX315" s="57" t="str">
        <f t="shared" si="154"/>
        <v/>
      </c>
      <c r="AY315" s="57" t="str">
        <f t="shared" si="138"/>
        <v/>
      </c>
      <c r="AZ315" s="57" t="str">
        <f t="shared" si="139"/>
        <v/>
      </c>
      <c r="BA315" s="84" t="str">
        <f t="shared" si="155"/>
        <v/>
      </c>
      <c r="BB315" s="84" t="str">
        <f t="shared" si="156"/>
        <v/>
      </c>
      <c r="BC315" s="84" t="e">
        <f t="shared" si="149"/>
        <v>#DIV/0!</v>
      </c>
      <c r="BD315" s="84" t="str">
        <f t="shared" si="157"/>
        <v/>
      </c>
      <c r="BE315" s="6" t="str">
        <f t="shared" si="137"/>
        <v/>
      </c>
      <c r="BF315" s="6" t="str">
        <f t="shared" si="158"/>
        <v/>
      </c>
    </row>
    <row r="316" spans="1:58" ht="15.75">
      <c r="B316" s="11">
        <v>45576</v>
      </c>
      <c r="C316" s="1">
        <v>72</v>
      </c>
      <c r="D316" s="3">
        <v>311</v>
      </c>
      <c r="E316" s="205">
        <f t="shared" si="140"/>
        <v>231.66356400000001</v>
      </c>
      <c r="K316" s="10" t="str">
        <f t="shared" si="150"/>
        <v/>
      </c>
      <c r="L316" s="9" t="str">
        <f t="shared" si="151"/>
        <v/>
      </c>
      <c r="M316" s="8" t="str">
        <f t="shared" si="152"/>
        <v/>
      </c>
      <c r="O316">
        <v>70.006</v>
      </c>
      <c r="P316">
        <v>27.17</v>
      </c>
      <c r="Q316" s="6">
        <f>O316*1.067</f>
        <v>74.696401999999992</v>
      </c>
      <c r="R316" s="6">
        <f>P316*1.514</f>
        <v>41.135380000000005</v>
      </c>
      <c r="S316" s="23">
        <f>P316*1.514+O316*1.067</f>
        <v>115.831782</v>
      </c>
      <c r="U316">
        <v>54.856999999999999</v>
      </c>
      <c r="V316">
        <v>15.903</v>
      </c>
      <c r="W316" s="23">
        <f>U316*1.067+V316*1.514</f>
        <v>82.609560999999999</v>
      </c>
      <c r="X316" s="6">
        <v>6.6</v>
      </c>
      <c r="AB316" s="5">
        <v>80</v>
      </c>
      <c r="AG316"/>
      <c r="AJ316" s="1">
        <v>175</v>
      </c>
      <c r="AK316" s="3">
        <v>180</v>
      </c>
      <c r="AN316" s="80">
        <f t="shared" si="134"/>
        <v>100</v>
      </c>
      <c r="AP316" s="13">
        <f t="shared" si="159"/>
        <v>809.99999999999091</v>
      </c>
      <c r="AQ316" s="15"/>
      <c r="AR316" s="17">
        <f t="shared" si="160"/>
        <v>0.64340719112825195</v>
      </c>
      <c r="AS316" s="16" t="e">
        <f t="shared" si="153"/>
        <v>#DIV/0!</v>
      </c>
      <c r="AT316" s="16" t="e">
        <f t="shared" si="135"/>
        <v>#DIV/0!</v>
      </c>
      <c r="AU316" s="16" t="e">
        <f t="shared" si="162"/>
        <v>#DIV/0!</v>
      </c>
      <c r="AV316" s="57">
        <f t="shared" si="161"/>
        <v>149.05400300000002</v>
      </c>
      <c r="AW316" s="57" t="str">
        <f t="shared" si="136"/>
        <v/>
      </c>
      <c r="AX316" s="57" t="str">
        <f t="shared" si="154"/>
        <v/>
      </c>
      <c r="AY316" s="57" t="str">
        <f t="shared" si="138"/>
        <v/>
      </c>
      <c r="AZ316" s="57" t="str">
        <f t="shared" si="139"/>
        <v/>
      </c>
      <c r="BA316" s="84">
        <f t="shared" si="155"/>
        <v>0.64340719112825195</v>
      </c>
      <c r="BB316" s="84" t="str">
        <f t="shared" si="156"/>
        <v/>
      </c>
      <c r="BC316" s="84" t="e">
        <f t="shared" si="149"/>
        <v>#DIV/0!</v>
      </c>
      <c r="BD316" s="84" t="str">
        <f t="shared" si="157"/>
        <v/>
      </c>
      <c r="BE316" s="6" t="str">
        <f t="shared" si="137"/>
        <v/>
      </c>
      <c r="BF316" s="6" t="str">
        <f t="shared" si="158"/>
        <v/>
      </c>
    </row>
    <row r="317" spans="1:58" ht="15.75">
      <c r="B317" s="11">
        <v>45577</v>
      </c>
      <c r="C317" s="1">
        <v>73</v>
      </c>
      <c r="D317" s="3">
        <v>312</v>
      </c>
      <c r="E317" s="205" t="str">
        <f t="shared" si="140"/>
        <v/>
      </c>
      <c r="K317" s="10" t="str">
        <f t="shared" si="150"/>
        <v/>
      </c>
      <c r="L317" s="9" t="str">
        <f t="shared" si="151"/>
        <v/>
      </c>
      <c r="M317" s="8" t="str">
        <f t="shared" si="152"/>
        <v/>
      </c>
      <c r="X317" s="6">
        <v>3.09</v>
      </c>
      <c r="AB317" s="5">
        <v>80</v>
      </c>
      <c r="AG317"/>
      <c r="AJ317" s="1">
        <v>175</v>
      </c>
      <c r="AK317" s="3">
        <v>180</v>
      </c>
      <c r="AN317" s="80">
        <f t="shared" si="134"/>
        <v>100</v>
      </c>
      <c r="AP317" s="13">
        <f t="shared" si="159"/>
        <v>809.99999999999091</v>
      </c>
      <c r="AQ317" s="15"/>
      <c r="AR317" s="17" t="e">
        <f t="shared" si="160"/>
        <v>#VALUE!</v>
      </c>
      <c r="AS317" s="16" t="e">
        <f t="shared" si="153"/>
        <v>#DIV/0!</v>
      </c>
      <c r="AT317" s="16" t="e">
        <f t="shared" si="135"/>
        <v>#DIV/0!</v>
      </c>
      <c r="AU317" s="16" t="e">
        <f t="shared" si="162"/>
        <v>#DIV/0!</v>
      </c>
      <c r="AV317" s="57" t="str">
        <f t="shared" si="161"/>
        <v/>
      </c>
      <c r="AW317" s="57" t="str">
        <f t="shared" si="136"/>
        <v/>
      </c>
      <c r="AX317" s="57" t="str">
        <f t="shared" si="154"/>
        <v/>
      </c>
      <c r="AY317" s="57" t="str">
        <f t="shared" si="138"/>
        <v/>
      </c>
      <c r="AZ317" s="57" t="str">
        <f t="shared" si="139"/>
        <v/>
      </c>
      <c r="BA317" s="84" t="str">
        <f t="shared" si="155"/>
        <v/>
      </c>
      <c r="BB317" s="84" t="str">
        <f t="shared" si="156"/>
        <v/>
      </c>
      <c r="BC317" s="84" t="e">
        <f t="shared" si="149"/>
        <v>#DIV/0!</v>
      </c>
      <c r="BD317" s="84" t="str">
        <f t="shared" si="157"/>
        <v/>
      </c>
      <c r="BE317" s="6" t="str">
        <f t="shared" si="137"/>
        <v/>
      </c>
      <c r="BF317" s="6" t="str">
        <f t="shared" si="158"/>
        <v/>
      </c>
    </row>
    <row r="318" spans="1:58" ht="15.75">
      <c r="A318" s="12" t="s">
        <v>100</v>
      </c>
      <c r="B318" s="11">
        <v>45578</v>
      </c>
      <c r="C318" s="1">
        <v>74</v>
      </c>
      <c r="D318" s="3">
        <v>313</v>
      </c>
      <c r="E318" s="205" t="str">
        <f t="shared" si="140"/>
        <v/>
      </c>
      <c r="K318" s="10" t="str">
        <f t="shared" si="150"/>
        <v/>
      </c>
      <c r="L318" s="9" t="str">
        <f t="shared" si="151"/>
        <v/>
      </c>
      <c r="M318" s="8" t="str">
        <f t="shared" si="152"/>
        <v/>
      </c>
      <c r="X318" s="6">
        <v>0.18</v>
      </c>
      <c r="AB318" s="5">
        <v>80</v>
      </c>
      <c r="AG318"/>
      <c r="AJ318" s="1">
        <v>175</v>
      </c>
      <c r="AK318" s="3">
        <v>180</v>
      </c>
      <c r="AL318" s="4">
        <f>AE318</f>
        <v>0</v>
      </c>
      <c r="AN318" s="80">
        <f t="shared" si="134"/>
        <v>100</v>
      </c>
      <c r="AP318" s="13">
        <f t="shared" si="159"/>
        <v>829.99999999999545</v>
      </c>
      <c r="AQ318" s="15"/>
      <c r="AR318" s="17" t="e">
        <f t="shared" si="160"/>
        <v>#VALUE!</v>
      </c>
      <c r="AS318" s="16" t="e">
        <f t="shared" si="153"/>
        <v>#DIV/0!</v>
      </c>
      <c r="AT318" s="16" t="e">
        <f t="shared" si="135"/>
        <v>#DIV/0!</v>
      </c>
      <c r="AU318" s="16" t="e">
        <f t="shared" si="162"/>
        <v>#DIV/0!</v>
      </c>
      <c r="AV318" s="57" t="str">
        <f t="shared" si="161"/>
        <v/>
      </c>
      <c r="AW318" s="57" t="str">
        <f t="shared" si="136"/>
        <v/>
      </c>
      <c r="AX318" s="57" t="str">
        <f t="shared" si="154"/>
        <v/>
      </c>
      <c r="AY318" s="57" t="str">
        <f t="shared" si="138"/>
        <v/>
      </c>
      <c r="AZ318" s="57" t="str">
        <f t="shared" si="139"/>
        <v/>
      </c>
      <c r="BA318" s="84" t="str">
        <f t="shared" si="155"/>
        <v/>
      </c>
      <c r="BB318" s="84" t="str">
        <f t="shared" si="156"/>
        <v/>
      </c>
      <c r="BC318" s="84" t="e">
        <f t="shared" si="149"/>
        <v>#DIV/0!</v>
      </c>
      <c r="BD318" s="84" t="str">
        <f t="shared" si="157"/>
        <v/>
      </c>
      <c r="BE318" s="6" t="str">
        <f t="shared" si="137"/>
        <v/>
      </c>
      <c r="BF318" s="6" t="str">
        <f t="shared" si="158"/>
        <v/>
      </c>
    </row>
    <row r="319" spans="1:58" ht="15.75">
      <c r="B319" s="11">
        <v>45579</v>
      </c>
      <c r="C319" s="1">
        <v>75</v>
      </c>
      <c r="D319" s="3">
        <v>314</v>
      </c>
      <c r="E319" s="205">
        <f t="shared" si="140"/>
        <v>262.59618399999999</v>
      </c>
      <c r="G319" s="15">
        <f>(N319*18-H319*18)/9</f>
        <v>12.459999999999999</v>
      </c>
      <c r="H319" s="9">
        <v>5.87</v>
      </c>
      <c r="I319" s="15">
        <f>AD319</f>
        <v>19.650000000000002</v>
      </c>
      <c r="K319" s="10">
        <f t="shared" si="150"/>
        <v>21.075135152487963</v>
      </c>
      <c r="L319" s="9">
        <f t="shared" si="151"/>
        <v>6.6818367430025436</v>
      </c>
      <c r="M319" s="8">
        <f t="shared" si="152"/>
        <v>3.1540930979133233</v>
      </c>
      <c r="N319" s="7">
        <v>12.1</v>
      </c>
      <c r="O319">
        <v>82.902000000000001</v>
      </c>
      <c r="P319">
        <v>28.297000000000001</v>
      </c>
      <c r="Q319" s="6">
        <f>O319*1.067</f>
        <v>88.456434000000002</v>
      </c>
      <c r="R319" s="6">
        <f>P319*1.514</f>
        <v>42.841658000000002</v>
      </c>
      <c r="S319" s="23">
        <f>P319*1.514+O319*1.067</f>
        <v>131.298092</v>
      </c>
      <c r="T319" s="6">
        <v>12.6</v>
      </c>
      <c r="U319">
        <v>71.808999999999997</v>
      </c>
      <c r="V319">
        <v>20.925000000000001</v>
      </c>
      <c r="W319" s="23">
        <f>U319*1.067+V319*1.514</f>
        <v>108.30065299999998</v>
      </c>
      <c r="X319" s="6">
        <v>0.59</v>
      </c>
      <c r="AB319" s="5">
        <v>80</v>
      </c>
      <c r="AC319" s="7">
        <f>T319</f>
        <v>12.6</v>
      </c>
      <c r="AD319" s="1">
        <f>5*3.93</f>
        <v>19.650000000000002</v>
      </c>
      <c r="AE319" s="1">
        <v>12.2</v>
      </c>
      <c r="AF319" s="1">
        <v>0</v>
      </c>
      <c r="AG319"/>
      <c r="AJ319" s="1">
        <v>175</v>
      </c>
      <c r="AK319" s="3">
        <v>180</v>
      </c>
      <c r="AL319" s="4">
        <f>AE319</f>
        <v>12.2</v>
      </c>
      <c r="AM319" s="1">
        <f>11.3</f>
        <v>11.3</v>
      </c>
      <c r="AN319" s="80">
        <f t="shared" si="134"/>
        <v>100</v>
      </c>
      <c r="AO319" s="2">
        <v>809.99999999999091</v>
      </c>
      <c r="AP319" s="13">
        <f t="shared" si="159"/>
        <v>829.99999999999545</v>
      </c>
      <c r="AQ319" s="2">
        <v>29.779411764706744</v>
      </c>
      <c r="AR319" s="17">
        <f t="shared" si="160"/>
        <v>0.58757720180731954</v>
      </c>
      <c r="AS319" s="16">
        <f t="shared" si="153"/>
        <v>1</v>
      </c>
      <c r="AT319" s="16">
        <f t="shared" si="135"/>
        <v>0</v>
      </c>
      <c r="AU319" s="16">
        <f t="shared" si="162"/>
        <v>9.30979133226323E-2</v>
      </c>
      <c r="AV319" s="57">
        <f t="shared" si="161"/>
        <v>154.29553100000001</v>
      </c>
      <c r="AW319" s="57">
        <f t="shared" si="136"/>
        <v>19.650000000000002</v>
      </c>
      <c r="AX319" s="57">
        <f t="shared" si="154"/>
        <v>1.1599999999999984</v>
      </c>
      <c r="AY319" s="57">
        <f t="shared" si="138"/>
        <v>0.40000000000000036</v>
      </c>
      <c r="AZ319" s="57">
        <f t="shared" si="139"/>
        <v>0.89999999999999858</v>
      </c>
      <c r="BA319" s="84">
        <f t="shared" si="155"/>
        <v>0.58757720180731954</v>
      </c>
      <c r="BB319" s="84">
        <f t="shared" si="156"/>
        <v>1</v>
      </c>
      <c r="BC319" s="84">
        <f t="shared" si="149"/>
        <v>0</v>
      </c>
      <c r="BD319" s="84">
        <f t="shared" si="157"/>
        <v>9.30979133226323E-2</v>
      </c>
      <c r="BE319" s="6">
        <f t="shared" si="137"/>
        <v>6.7371428571428584</v>
      </c>
      <c r="BF319" s="6">
        <f t="shared" si="158"/>
        <v>8.1170395869191516</v>
      </c>
    </row>
    <row r="320" spans="1:58" ht="15.75">
      <c r="B320" s="11">
        <v>45580</v>
      </c>
      <c r="C320" s="1">
        <v>76</v>
      </c>
      <c r="D320" s="3">
        <v>315</v>
      </c>
      <c r="E320" s="205" t="str">
        <f t="shared" si="140"/>
        <v/>
      </c>
      <c r="I320" s="41">
        <v>20</v>
      </c>
      <c r="K320" s="10" t="str">
        <f t="shared" si="150"/>
        <v/>
      </c>
      <c r="L320" s="9" t="str">
        <f t="shared" si="151"/>
        <v/>
      </c>
      <c r="M320" s="8" t="str">
        <f t="shared" si="152"/>
        <v/>
      </c>
      <c r="X320" s="6">
        <v>0.88</v>
      </c>
      <c r="AB320" s="5">
        <v>80</v>
      </c>
      <c r="AG320"/>
      <c r="AJ320" s="1">
        <v>175</v>
      </c>
      <c r="AK320" s="3">
        <v>180</v>
      </c>
      <c r="AN320" s="80">
        <f t="shared" si="134"/>
        <v>100</v>
      </c>
      <c r="AP320" s="13">
        <f t="shared" si="159"/>
        <v>829.99999999999545</v>
      </c>
      <c r="AR320" s="17" t="e">
        <f t="shared" si="160"/>
        <v>#VALUE!</v>
      </c>
      <c r="AS320" s="16">
        <f t="shared" si="153"/>
        <v>1</v>
      </c>
      <c r="AT320" s="16" t="e">
        <f t="shared" si="135"/>
        <v>#DIV/0!</v>
      </c>
      <c r="AU320" s="16" t="e">
        <f t="shared" si="162"/>
        <v>#DIV/0!</v>
      </c>
      <c r="AV320" s="57" t="str">
        <f t="shared" si="161"/>
        <v/>
      </c>
      <c r="AW320" s="57" t="str">
        <f t="shared" si="136"/>
        <v/>
      </c>
      <c r="AX320" s="57" t="str">
        <f t="shared" si="154"/>
        <v/>
      </c>
      <c r="AY320" s="57" t="str">
        <f t="shared" si="138"/>
        <v/>
      </c>
      <c r="AZ320" s="57" t="str">
        <f t="shared" si="139"/>
        <v/>
      </c>
      <c r="BA320" s="84" t="str">
        <f t="shared" si="155"/>
        <v/>
      </c>
      <c r="BB320" s="84">
        <f t="shared" si="156"/>
        <v>1</v>
      </c>
      <c r="BC320" s="84" t="e">
        <f t="shared" si="149"/>
        <v>#DIV/0!</v>
      </c>
      <c r="BD320" s="84" t="str">
        <f t="shared" si="157"/>
        <v/>
      </c>
      <c r="BE320" s="6" t="str">
        <f t="shared" si="137"/>
        <v/>
      </c>
      <c r="BF320" s="6" t="str">
        <f t="shared" si="158"/>
        <v/>
      </c>
    </row>
    <row r="321" spans="1:58" ht="12.75" customHeight="1">
      <c r="B321" s="11">
        <v>45581</v>
      </c>
      <c r="C321" s="1">
        <v>77</v>
      </c>
      <c r="D321" s="3">
        <v>316</v>
      </c>
      <c r="E321" s="205" t="str">
        <f t="shared" si="140"/>
        <v/>
      </c>
      <c r="G321" s="15">
        <f>(N321*18-H321*18)/9</f>
        <v>13.199999999999996</v>
      </c>
      <c r="H321" s="9">
        <f>5*1.29</f>
        <v>6.45</v>
      </c>
      <c r="I321" s="15">
        <f>AD321</f>
        <v>20.6</v>
      </c>
      <c r="K321" s="10" t="str">
        <f t="shared" si="150"/>
        <v/>
      </c>
      <c r="L321" s="9" t="str">
        <f t="shared" si="151"/>
        <v/>
      </c>
      <c r="M321" s="8">
        <f t="shared" si="152"/>
        <v>3.1212121212121224</v>
      </c>
      <c r="N321" s="7">
        <f>5*2.61</f>
        <v>13.049999999999999</v>
      </c>
      <c r="T321" s="6">
        <f>5*2.66</f>
        <v>13.3</v>
      </c>
      <c r="X321" s="6">
        <v>0.49</v>
      </c>
      <c r="AB321" s="5">
        <v>80</v>
      </c>
      <c r="AC321" s="7">
        <f>T321</f>
        <v>13.3</v>
      </c>
      <c r="AD321" s="1">
        <f>5*4.12</f>
        <v>20.6</v>
      </c>
      <c r="AE321" s="1">
        <f>5*2.62</f>
        <v>13.100000000000001</v>
      </c>
      <c r="AF321" s="1">
        <v>0</v>
      </c>
      <c r="AG321"/>
      <c r="AJ321" s="1">
        <v>175</v>
      </c>
      <c r="AK321" s="3">
        <v>180</v>
      </c>
      <c r="AL321" s="4">
        <f>AE321</f>
        <v>13.100000000000001</v>
      </c>
      <c r="AM321" s="1">
        <f>5*2.58</f>
        <v>12.9</v>
      </c>
      <c r="AN321" s="80">
        <f t="shared" si="134"/>
        <v>100</v>
      </c>
      <c r="AP321" s="13">
        <f t="shared" si="159"/>
        <v>829.99999999999545</v>
      </c>
      <c r="AR321" s="17" t="e">
        <f t="shared" si="160"/>
        <v>#VALUE!</v>
      </c>
      <c r="AS321" s="16">
        <f t="shared" si="153"/>
        <v>1</v>
      </c>
      <c r="AT321" s="16">
        <f t="shared" si="135"/>
        <v>0</v>
      </c>
      <c r="AU321" s="16">
        <f t="shared" si="162"/>
        <v>2.2727272727272384E-2</v>
      </c>
      <c r="AV321" s="57" t="str">
        <f t="shared" si="161"/>
        <v/>
      </c>
      <c r="AW321" s="57">
        <f t="shared" si="136"/>
        <v>20.6</v>
      </c>
      <c r="AX321" s="57">
        <f t="shared" si="154"/>
        <v>0.29999999999999538</v>
      </c>
      <c r="AY321" s="57">
        <f t="shared" si="138"/>
        <v>0.19999999999999929</v>
      </c>
      <c r="AZ321" s="57">
        <f t="shared" si="139"/>
        <v>0.20000000000000107</v>
      </c>
      <c r="BA321" s="84" t="str">
        <f t="shared" si="155"/>
        <v/>
      </c>
      <c r="BB321" s="84">
        <f t="shared" si="156"/>
        <v>1</v>
      </c>
      <c r="BC321" s="84">
        <f t="shared" si="149"/>
        <v>0</v>
      </c>
      <c r="BD321" s="84">
        <f t="shared" si="157"/>
        <v>2.2727272727272384E-2</v>
      </c>
      <c r="BE321" s="6">
        <f t="shared" si="137"/>
        <v>7.0628571428571441</v>
      </c>
      <c r="BF321" s="6">
        <f t="shared" si="158"/>
        <v>8.5094664371773288</v>
      </c>
    </row>
    <row r="322" spans="1:58" ht="15.75">
      <c r="A322" s="111" t="s">
        <v>99</v>
      </c>
      <c r="B322" s="114">
        <v>45582</v>
      </c>
      <c r="C322" s="1">
        <v>78</v>
      </c>
      <c r="D322" s="3">
        <v>317</v>
      </c>
      <c r="E322" s="205" t="str">
        <f t="shared" si="140"/>
        <v/>
      </c>
      <c r="K322" s="10" t="str">
        <f t="shared" si="150"/>
        <v/>
      </c>
      <c r="L322" s="9" t="str">
        <f t="shared" si="151"/>
        <v/>
      </c>
      <c r="M322" s="8" t="str">
        <f t="shared" si="152"/>
        <v/>
      </c>
      <c r="X322" s="6">
        <v>1.39</v>
      </c>
      <c r="AB322" s="5">
        <v>80</v>
      </c>
      <c r="AG322"/>
      <c r="AJ322" s="1">
        <v>175</v>
      </c>
      <c r="AK322" s="3">
        <v>180</v>
      </c>
      <c r="AN322" s="80">
        <f t="shared" si="134"/>
        <v>100</v>
      </c>
      <c r="AO322" s="2">
        <v>850</v>
      </c>
      <c r="AP322" s="13">
        <f t="shared" si="159"/>
        <v>850</v>
      </c>
      <c r="AQ322" s="2">
        <v>31.250000000001254</v>
      </c>
      <c r="AR322" s="17" t="e">
        <f t="shared" si="160"/>
        <v>#VALUE!</v>
      </c>
      <c r="AS322" s="16" t="e">
        <f t="shared" si="153"/>
        <v>#DIV/0!</v>
      </c>
      <c r="AT322" s="16" t="e">
        <f t="shared" si="135"/>
        <v>#DIV/0!</v>
      </c>
      <c r="AU322" s="16" t="e">
        <f t="shared" si="162"/>
        <v>#DIV/0!</v>
      </c>
      <c r="AV322" s="57" t="str">
        <f t="shared" si="161"/>
        <v/>
      </c>
      <c r="AW322" s="57" t="str">
        <f t="shared" si="136"/>
        <v/>
      </c>
      <c r="AX322" s="57" t="str">
        <f t="shared" si="154"/>
        <v/>
      </c>
      <c r="AY322" s="57" t="str">
        <f t="shared" si="138"/>
        <v/>
      </c>
      <c r="AZ322" s="57" t="str">
        <f t="shared" si="139"/>
        <v/>
      </c>
      <c r="BA322" s="84" t="str">
        <f t="shared" si="155"/>
        <v/>
      </c>
      <c r="BB322" s="84" t="str">
        <f t="shared" si="156"/>
        <v/>
      </c>
      <c r="BC322" s="84" t="e">
        <f t="shared" si="149"/>
        <v>#DIV/0!</v>
      </c>
      <c r="BD322" s="84" t="str">
        <f t="shared" si="157"/>
        <v/>
      </c>
      <c r="BE322" s="6" t="str">
        <f t="shared" si="137"/>
        <v/>
      </c>
      <c r="BF322" s="6" t="str">
        <f t="shared" si="158"/>
        <v/>
      </c>
    </row>
    <row r="323" spans="1:58" ht="15.75">
      <c r="B323" s="11">
        <v>45583</v>
      </c>
      <c r="C323" s="1">
        <v>79</v>
      </c>
      <c r="D323" s="3">
        <v>318</v>
      </c>
      <c r="E323" s="205">
        <f t="shared" si="140"/>
        <v>152.48227</v>
      </c>
      <c r="K323" s="10" t="str">
        <f t="shared" si="150"/>
        <v/>
      </c>
      <c r="L323" s="9" t="str">
        <f t="shared" si="151"/>
        <v/>
      </c>
      <c r="M323" s="8" t="str">
        <f t="shared" si="152"/>
        <v/>
      </c>
      <c r="O323">
        <v>48.179000000000002</v>
      </c>
      <c r="P323">
        <v>16.402999999999999</v>
      </c>
      <c r="Q323" s="6">
        <f>O323*1.067</f>
        <v>51.406993</v>
      </c>
      <c r="R323" s="6">
        <f>P323*1.514</f>
        <v>24.834142</v>
      </c>
      <c r="S323" s="23">
        <f>P323*1.514+O323*1.067</f>
        <v>76.241135</v>
      </c>
      <c r="U323">
        <v>30.155999999999999</v>
      </c>
      <c r="V323">
        <v>1.8460000000000001</v>
      </c>
      <c r="W323" s="23">
        <f>U323*1.067+V323*1.514</f>
        <v>34.971295999999995</v>
      </c>
      <c r="X323" s="6">
        <v>0.18</v>
      </c>
      <c r="AB323" s="5">
        <v>80</v>
      </c>
      <c r="AJ323" s="1">
        <v>175</v>
      </c>
      <c r="AK323" s="3">
        <v>180</v>
      </c>
      <c r="AN323" s="80">
        <f t="shared" si="134"/>
        <v>100</v>
      </c>
      <c r="AP323" s="13">
        <f t="shared" si="159"/>
        <v>850</v>
      </c>
      <c r="AR323" s="17">
        <f t="shared" si="160"/>
        <v>0.77065336186298905</v>
      </c>
      <c r="AS323" s="16" t="e">
        <f t="shared" si="153"/>
        <v>#DIV/0!</v>
      </c>
      <c r="AT323" s="16" t="e">
        <f t="shared" si="135"/>
        <v>#DIV/0!</v>
      </c>
      <c r="AU323" s="16" t="e">
        <f t="shared" si="162"/>
        <v>#DIV/0!</v>
      </c>
      <c r="AV323" s="57">
        <f t="shared" si="161"/>
        <v>117.510974</v>
      </c>
      <c r="AW323" s="57" t="str">
        <f t="shared" si="136"/>
        <v/>
      </c>
      <c r="AX323" s="57" t="str">
        <f t="shared" si="154"/>
        <v/>
      </c>
      <c r="AY323" s="57" t="str">
        <f t="shared" si="138"/>
        <v/>
      </c>
      <c r="AZ323" s="57" t="str">
        <f t="shared" si="139"/>
        <v/>
      </c>
      <c r="BA323" s="84">
        <f t="shared" si="155"/>
        <v>0.77065336186298905</v>
      </c>
      <c r="BB323" s="84" t="str">
        <f t="shared" si="156"/>
        <v/>
      </c>
      <c r="BC323" s="84" t="e">
        <f t="shared" si="149"/>
        <v>#DIV/0!</v>
      </c>
      <c r="BD323" s="84" t="str">
        <f t="shared" si="157"/>
        <v/>
      </c>
      <c r="BE323" s="6" t="str">
        <f t="shared" si="137"/>
        <v/>
      </c>
      <c r="BF323" s="6" t="str">
        <f t="shared" si="158"/>
        <v/>
      </c>
    </row>
    <row r="324" spans="1:58" ht="15.75">
      <c r="B324" s="11">
        <v>45584</v>
      </c>
      <c r="C324" s="1">
        <v>80</v>
      </c>
      <c r="D324" s="3">
        <v>319</v>
      </c>
      <c r="E324" s="205" t="str">
        <f t="shared" si="140"/>
        <v/>
      </c>
      <c r="K324" s="10" t="str">
        <f t="shared" si="150"/>
        <v/>
      </c>
      <c r="L324" s="9" t="str">
        <f t="shared" si="151"/>
        <v/>
      </c>
      <c r="M324" s="8" t="str">
        <f t="shared" si="152"/>
        <v/>
      </c>
      <c r="X324" s="6">
        <v>0.49</v>
      </c>
      <c r="AB324" s="5">
        <v>80</v>
      </c>
      <c r="AG324" s="1">
        <v>0.18</v>
      </c>
      <c r="AH324" s="101">
        <v>0.47893518518518519</v>
      </c>
      <c r="AJ324" s="1">
        <v>175</v>
      </c>
      <c r="AK324" s="3">
        <v>180</v>
      </c>
      <c r="AN324" s="80">
        <f t="shared" si="134"/>
        <v>100</v>
      </c>
      <c r="AP324" s="13">
        <f t="shared" si="159"/>
        <v>850</v>
      </c>
      <c r="AR324" s="17" t="e">
        <f t="shared" si="160"/>
        <v>#VALUE!</v>
      </c>
      <c r="AS324" s="16" t="e">
        <f t="shared" si="153"/>
        <v>#DIV/0!</v>
      </c>
      <c r="AT324" s="16" t="e">
        <f t="shared" si="135"/>
        <v>#DIV/0!</v>
      </c>
      <c r="AU324" s="16" t="e">
        <f t="shared" si="162"/>
        <v>#DIV/0!</v>
      </c>
      <c r="AV324" s="57" t="str">
        <f t="shared" si="161"/>
        <v/>
      </c>
      <c r="AW324" s="57" t="str">
        <f t="shared" si="136"/>
        <v/>
      </c>
      <c r="AX324" s="57" t="str">
        <f t="shared" si="154"/>
        <v/>
      </c>
      <c r="AY324" s="57" t="str">
        <f t="shared" si="138"/>
        <v/>
      </c>
      <c r="AZ324" s="57" t="str">
        <f t="shared" si="139"/>
        <v/>
      </c>
      <c r="BA324" s="84" t="str">
        <f t="shared" si="155"/>
        <v/>
      </c>
      <c r="BB324" s="84" t="str">
        <f t="shared" si="156"/>
        <v/>
      </c>
      <c r="BC324" s="84" t="e">
        <f t="shared" si="149"/>
        <v>#DIV/0!</v>
      </c>
      <c r="BD324" s="84" t="str">
        <f t="shared" si="157"/>
        <v/>
      </c>
      <c r="BE324" s="6" t="str">
        <f t="shared" si="137"/>
        <v/>
      </c>
      <c r="BF324" s="6" t="str">
        <f t="shared" si="158"/>
        <v/>
      </c>
    </row>
    <row r="325" spans="1:58" ht="15.75">
      <c r="B325" s="11">
        <v>45585</v>
      </c>
      <c r="C325" s="1">
        <v>81</v>
      </c>
      <c r="D325" s="3">
        <v>320</v>
      </c>
      <c r="E325" s="205" t="str">
        <f t="shared" si="140"/>
        <v/>
      </c>
      <c r="K325" s="10" t="str">
        <f t="shared" si="150"/>
        <v/>
      </c>
      <c r="L325" s="9" t="str">
        <f t="shared" si="151"/>
        <v/>
      </c>
      <c r="M325" s="8" t="str">
        <f t="shared" si="152"/>
        <v/>
      </c>
      <c r="X325" s="6">
        <v>0.45</v>
      </c>
      <c r="AB325" s="5">
        <v>80</v>
      </c>
      <c r="AG325" s="1">
        <v>0.24</v>
      </c>
      <c r="AH325" s="101">
        <v>0.44710648148148147</v>
      </c>
      <c r="AJ325" s="1">
        <v>175</v>
      </c>
      <c r="AK325" s="3">
        <v>180</v>
      </c>
      <c r="AN325" s="80">
        <f t="shared" ref="AN325:AN388" si="163">360-AK325-AB325</f>
        <v>100</v>
      </c>
      <c r="AP325" s="13">
        <f t="shared" si="159"/>
        <v>1109.9999999999909</v>
      </c>
      <c r="AR325" s="17" t="e">
        <f t="shared" si="160"/>
        <v>#VALUE!</v>
      </c>
      <c r="AS325" s="16" t="e">
        <f t="shared" si="153"/>
        <v>#DIV/0!</v>
      </c>
      <c r="AT325" s="16" t="e">
        <f t="shared" ref="AT325:AT355" si="164">AG325/(AD325-AF325)</f>
        <v>#DIV/0!</v>
      </c>
      <c r="AU325" s="16" t="e">
        <f t="shared" si="162"/>
        <v>#DIV/0!</v>
      </c>
      <c r="AV325" s="57" t="str">
        <f t="shared" si="161"/>
        <v/>
      </c>
      <c r="AW325" s="57" t="str">
        <f t="shared" ref="AW325:AW388" si="165">IF(AND(ISNUMBER(I325),ISNUMBER(AF325)),I325-AF325,"")</f>
        <v/>
      </c>
      <c r="AX325" s="57" t="str">
        <f t="shared" si="154"/>
        <v/>
      </c>
      <c r="AY325" s="57" t="str">
        <f t="shared" si="138"/>
        <v/>
      </c>
      <c r="AZ325" s="57" t="str">
        <f t="shared" si="139"/>
        <v/>
      </c>
      <c r="BA325" s="84" t="str">
        <f t="shared" si="155"/>
        <v/>
      </c>
      <c r="BB325" s="84" t="str">
        <f t="shared" si="156"/>
        <v/>
      </c>
      <c r="BC325" s="84" t="e">
        <f t="shared" si="149"/>
        <v>#DIV/0!</v>
      </c>
      <c r="BD325" s="84" t="str">
        <f t="shared" si="157"/>
        <v/>
      </c>
      <c r="BE325" s="6" t="str">
        <f t="shared" ref="BE325:BE388" si="166">IF((AD325-AF325)/(AJ325/60)&lt;=0,"",(AD325-AF325)/(AJ325/60))</f>
        <v/>
      </c>
      <c r="BF325" s="6" t="str">
        <f t="shared" si="158"/>
        <v/>
      </c>
    </row>
    <row r="326" spans="1:58" ht="15.75">
      <c r="B326" s="11">
        <v>45586</v>
      </c>
      <c r="C326" s="1">
        <v>82</v>
      </c>
      <c r="D326" s="3">
        <v>321</v>
      </c>
      <c r="E326" s="205" t="str">
        <f t="shared" si="140"/>
        <v/>
      </c>
      <c r="K326" s="10" t="str">
        <f t="shared" si="150"/>
        <v/>
      </c>
      <c r="L326" s="9" t="str">
        <f t="shared" si="151"/>
        <v/>
      </c>
      <c r="M326" s="8" t="str">
        <f t="shared" si="152"/>
        <v/>
      </c>
      <c r="X326" s="6">
        <v>5.82</v>
      </c>
      <c r="AB326" s="5">
        <v>80</v>
      </c>
      <c r="AG326" s="1">
        <v>6.18</v>
      </c>
      <c r="AH326" s="101">
        <v>0.47916666666666669</v>
      </c>
      <c r="AJ326" s="1">
        <v>175</v>
      </c>
      <c r="AK326" s="3">
        <v>180</v>
      </c>
      <c r="AN326" s="80">
        <f t="shared" si="163"/>
        <v>100</v>
      </c>
      <c r="AP326" s="13">
        <f t="shared" si="159"/>
        <v>1109.9999999999909</v>
      </c>
      <c r="AR326" s="17" t="e">
        <f t="shared" si="160"/>
        <v>#VALUE!</v>
      </c>
      <c r="AS326" s="16" t="e">
        <f t="shared" si="153"/>
        <v>#DIV/0!</v>
      </c>
      <c r="AT326" s="16" t="e">
        <f t="shared" si="164"/>
        <v>#DIV/0!</v>
      </c>
      <c r="AU326" s="16" t="e">
        <f t="shared" si="162"/>
        <v>#DIV/0!</v>
      </c>
      <c r="AV326" s="57" t="str">
        <f t="shared" si="161"/>
        <v/>
      </c>
      <c r="AW326" s="57" t="str">
        <f t="shared" si="165"/>
        <v/>
      </c>
      <c r="AX326" s="57" t="str">
        <f t="shared" si="154"/>
        <v/>
      </c>
      <c r="AY326" s="57" t="str">
        <f t="shared" ref="AY326:AY389" si="167">IF(AND(ISNUMBER(AC326),ISNUMBER(AE326)),AC326-AE326,"")</f>
        <v/>
      </c>
      <c r="AZ326" s="57" t="str">
        <f t="shared" ref="AZ326:AZ389" si="168">IF(AND(ISNUMBER(AL326),ISNUMBER(AM326)),AL326-AM326,"")</f>
        <v/>
      </c>
      <c r="BA326" s="84" t="str">
        <f t="shared" si="155"/>
        <v/>
      </c>
      <c r="BB326" s="84" t="str">
        <f t="shared" si="156"/>
        <v/>
      </c>
      <c r="BC326" s="84" t="e">
        <f t="shared" si="149"/>
        <v>#DIV/0!</v>
      </c>
      <c r="BD326" s="84" t="str">
        <f t="shared" si="157"/>
        <v/>
      </c>
      <c r="BE326" s="6" t="str">
        <f t="shared" si="166"/>
        <v/>
      </c>
      <c r="BF326" s="6" t="str">
        <f t="shared" si="158"/>
        <v/>
      </c>
    </row>
    <row r="327" spans="1:58" ht="15.75">
      <c r="B327" s="11">
        <v>45587</v>
      </c>
      <c r="C327" s="1">
        <v>83</v>
      </c>
      <c r="D327" s="3">
        <v>322</v>
      </c>
      <c r="E327" s="205">
        <f t="shared" ref="E327:E390" si="169">IF(OR(S327="",S327=0),"",S327*2)</f>
        <v>205.47292399999998</v>
      </c>
      <c r="K327" s="10" t="str">
        <f t="shared" si="150"/>
        <v/>
      </c>
      <c r="L327" s="9" t="str">
        <f t="shared" si="151"/>
        <v/>
      </c>
      <c r="M327" s="8" t="str">
        <f t="shared" si="152"/>
        <v/>
      </c>
      <c r="O327">
        <v>63.805999999999997</v>
      </c>
      <c r="P327">
        <v>22.89</v>
      </c>
      <c r="Q327" s="6">
        <f>O327*1.067</f>
        <v>68.081001999999998</v>
      </c>
      <c r="R327" s="6">
        <f>P327*1.514</f>
        <v>34.655459999999998</v>
      </c>
      <c r="S327" s="23">
        <f>P327*1.514+O327*1.067</f>
        <v>102.73646199999999</v>
      </c>
      <c r="U327">
        <v>2.4809999999999999</v>
      </c>
      <c r="V327">
        <f>2.478*1.514</f>
        <v>3.7516920000000002</v>
      </c>
      <c r="W327" s="23">
        <f>U327*1.067+V327*1.514</f>
        <v>8.3272886879999994</v>
      </c>
      <c r="X327" s="6">
        <v>5.07</v>
      </c>
      <c r="AB327" s="5">
        <v>80</v>
      </c>
      <c r="AG327" s="1">
        <v>0.78</v>
      </c>
      <c r="AH327" s="101">
        <v>0.47824074074074074</v>
      </c>
      <c r="AJ327" s="1">
        <v>175</v>
      </c>
      <c r="AK327" s="3">
        <v>180</v>
      </c>
      <c r="AN327" s="80">
        <f t="shared" si="163"/>
        <v>100</v>
      </c>
      <c r="AP327" s="13">
        <f t="shared" si="159"/>
        <v>1109.9999999999909</v>
      </c>
      <c r="AR327" s="17">
        <f t="shared" si="160"/>
        <v>0.95947257416748488</v>
      </c>
      <c r="AS327" s="16" t="e">
        <f t="shared" si="153"/>
        <v>#DIV/0!</v>
      </c>
      <c r="AT327" s="16" t="e">
        <f t="shared" si="164"/>
        <v>#DIV/0!</v>
      </c>
      <c r="AU327" s="16" t="e">
        <f t="shared" si="162"/>
        <v>#DIV/0!</v>
      </c>
      <c r="AV327" s="57">
        <f t="shared" si="161"/>
        <v>197.14563531199997</v>
      </c>
      <c r="AW327" s="57" t="str">
        <f t="shared" si="165"/>
        <v/>
      </c>
      <c r="AX327" s="57" t="str">
        <f t="shared" si="154"/>
        <v/>
      </c>
      <c r="AY327" s="57" t="str">
        <f t="shared" si="167"/>
        <v/>
      </c>
      <c r="AZ327" s="57" t="str">
        <f t="shared" si="168"/>
        <v/>
      </c>
      <c r="BA327" s="84">
        <f t="shared" si="155"/>
        <v>0.95947257416748488</v>
      </c>
      <c r="BB327" s="84" t="str">
        <f t="shared" si="156"/>
        <v/>
      </c>
      <c r="BC327" s="84" t="e">
        <f t="shared" si="149"/>
        <v>#DIV/0!</v>
      </c>
      <c r="BD327" s="84" t="str">
        <f t="shared" si="157"/>
        <v/>
      </c>
      <c r="BE327" s="6" t="str">
        <f t="shared" si="166"/>
        <v/>
      </c>
      <c r="BF327" s="6" t="str">
        <f t="shared" si="158"/>
        <v/>
      </c>
    </row>
    <row r="328" spans="1:58" ht="15.75">
      <c r="A328" s="12" t="s">
        <v>98</v>
      </c>
      <c r="B328" s="11">
        <v>45588</v>
      </c>
      <c r="C328" s="1">
        <v>84</v>
      </c>
      <c r="D328" s="3">
        <v>323</v>
      </c>
      <c r="E328" s="205" t="str">
        <f t="shared" si="169"/>
        <v/>
      </c>
      <c r="K328" s="10" t="str">
        <f t="shared" si="150"/>
        <v/>
      </c>
      <c r="L328" s="9" t="str">
        <f t="shared" si="151"/>
        <v/>
      </c>
      <c r="M328" s="8" t="str">
        <f t="shared" si="152"/>
        <v/>
      </c>
      <c r="X328" s="6">
        <v>3.51</v>
      </c>
      <c r="AB328" s="5">
        <v>80</v>
      </c>
      <c r="AG328" s="1">
        <v>1.05</v>
      </c>
      <c r="AH328" s="101">
        <v>0.47835648148148147</v>
      </c>
      <c r="AJ328" s="1">
        <v>175</v>
      </c>
      <c r="AK328" s="3">
        <v>180</v>
      </c>
      <c r="AN328" s="80">
        <f t="shared" si="163"/>
        <v>100</v>
      </c>
      <c r="AP328" s="13">
        <f t="shared" si="159"/>
        <v>1109.9999999999909</v>
      </c>
      <c r="AR328" s="17" t="e">
        <f t="shared" si="160"/>
        <v>#VALUE!</v>
      </c>
      <c r="AS328" s="16" t="e">
        <f t="shared" si="153"/>
        <v>#DIV/0!</v>
      </c>
      <c r="AT328" s="16" t="e">
        <f t="shared" si="164"/>
        <v>#DIV/0!</v>
      </c>
      <c r="AU328" s="16" t="e">
        <f t="shared" si="162"/>
        <v>#DIV/0!</v>
      </c>
      <c r="AV328" s="57" t="str">
        <f t="shared" si="161"/>
        <v/>
      </c>
      <c r="AW328" s="57" t="str">
        <f t="shared" si="165"/>
        <v/>
      </c>
      <c r="AX328" s="57" t="str">
        <f t="shared" si="154"/>
        <v/>
      </c>
      <c r="AY328" s="57" t="str">
        <f t="shared" si="167"/>
        <v/>
      </c>
      <c r="AZ328" s="57" t="str">
        <f t="shared" si="168"/>
        <v/>
      </c>
      <c r="BA328" s="84" t="str">
        <f t="shared" si="155"/>
        <v/>
      </c>
      <c r="BB328" s="84" t="str">
        <f t="shared" si="156"/>
        <v/>
      </c>
      <c r="BC328" s="84" t="e">
        <f t="shared" si="149"/>
        <v>#DIV/0!</v>
      </c>
      <c r="BD328" s="84" t="str">
        <f t="shared" si="157"/>
        <v/>
      </c>
      <c r="BE328" s="6" t="str">
        <f t="shared" si="166"/>
        <v/>
      </c>
      <c r="BF328" s="6" t="str">
        <f t="shared" si="158"/>
        <v/>
      </c>
    </row>
    <row r="329" spans="1:58" ht="15.75">
      <c r="A329" s="113" t="s">
        <v>97</v>
      </c>
      <c r="B329" s="11">
        <v>45589</v>
      </c>
      <c r="C329" s="1">
        <v>85</v>
      </c>
      <c r="D329" s="3">
        <v>324</v>
      </c>
      <c r="E329" s="205" t="str">
        <f t="shared" si="169"/>
        <v/>
      </c>
      <c r="K329" s="10" t="str">
        <f t="shared" si="150"/>
        <v/>
      </c>
      <c r="L329" s="9" t="str">
        <f t="shared" si="151"/>
        <v/>
      </c>
      <c r="M329" s="8" t="str">
        <f t="shared" si="152"/>
        <v/>
      </c>
      <c r="X329" s="6">
        <v>0.23</v>
      </c>
      <c r="AB329" s="5">
        <v>80</v>
      </c>
      <c r="AG329" s="1">
        <v>1.36</v>
      </c>
      <c r="AH329" s="101">
        <v>0.47835648148148147</v>
      </c>
      <c r="AJ329" s="1">
        <v>175</v>
      </c>
      <c r="AK329" s="3">
        <v>180</v>
      </c>
      <c r="AN329" s="80">
        <f t="shared" si="163"/>
        <v>100</v>
      </c>
      <c r="AO329" s="2">
        <v>1109.9999999999909</v>
      </c>
      <c r="AP329" s="13">
        <f t="shared" si="159"/>
        <v>1109.9999999999909</v>
      </c>
      <c r="AQ329" s="2">
        <v>36.393442622951063</v>
      </c>
      <c r="AR329" s="17" t="e">
        <f t="shared" si="160"/>
        <v>#VALUE!</v>
      </c>
      <c r="AS329" s="16" t="e">
        <f t="shared" si="153"/>
        <v>#DIV/0!</v>
      </c>
      <c r="AT329" s="16" t="e">
        <f t="shared" si="164"/>
        <v>#DIV/0!</v>
      </c>
      <c r="AU329" s="16" t="e">
        <f t="shared" si="162"/>
        <v>#DIV/0!</v>
      </c>
      <c r="AV329" s="57" t="str">
        <f t="shared" si="161"/>
        <v/>
      </c>
      <c r="AW329" s="57" t="str">
        <f t="shared" si="165"/>
        <v/>
      </c>
      <c r="AX329" s="57" t="str">
        <f t="shared" si="154"/>
        <v/>
      </c>
      <c r="AY329" s="57" t="str">
        <f t="shared" si="167"/>
        <v/>
      </c>
      <c r="AZ329" s="57" t="str">
        <f t="shared" si="168"/>
        <v/>
      </c>
      <c r="BA329" s="84" t="str">
        <f t="shared" si="155"/>
        <v/>
      </c>
      <c r="BB329" s="84" t="str">
        <f t="shared" si="156"/>
        <v/>
      </c>
      <c r="BC329" s="84" t="e">
        <f t="shared" si="149"/>
        <v>#DIV/0!</v>
      </c>
      <c r="BD329" s="84" t="str">
        <f t="shared" si="157"/>
        <v/>
      </c>
      <c r="BE329" s="6" t="str">
        <f t="shared" si="166"/>
        <v/>
      </c>
      <c r="BF329" s="6" t="str">
        <f t="shared" si="158"/>
        <v/>
      </c>
    </row>
    <row r="330" spans="1:58" ht="15.75">
      <c r="B330" s="11">
        <v>45590</v>
      </c>
      <c r="C330" s="1">
        <v>86</v>
      </c>
      <c r="D330" s="3">
        <v>325</v>
      </c>
      <c r="E330" s="205" t="str">
        <f t="shared" si="169"/>
        <v/>
      </c>
      <c r="K330" s="10" t="str">
        <f t="shared" si="150"/>
        <v/>
      </c>
      <c r="L330" s="9" t="str">
        <f t="shared" si="151"/>
        <v/>
      </c>
      <c r="M330" s="8" t="str">
        <f t="shared" si="152"/>
        <v/>
      </c>
      <c r="X330" s="6">
        <v>0.17</v>
      </c>
      <c r="AB330" s="5">
        <v>80</v>
      </c>
      <c r="AG330" s="1">
        <v>0.65</v>
      </c>
      <c r="AH330" s="101">
        <v>0.47175925925925927</v>
      </c>
      <c r="AJ330" s="1">
        <v>175</v>
      </c>
      <c r="AK330" s="3">
        <v>180</v>
      </c>
      <c r="AN330" s="80">
        <f t="shared" si="163"/>
        <v>100</v>
      </c>
      <c r="AP330" s="13">
        <f t="shared" si="159"/>
        <v>1480.0000000000182</v>
      </c>
      <c r="AR330" s="17" t="e">
        <f t="shared" si="160"/>
        <v>#VALUE!</v>
      </c>
      <c r="AS330" s="16" t="e">
        <f t="shared" si="153"/>
        <v>#DIV/0!</v>
      </c>
      <c r="AT330" s="16" t="e">
        <f t="shared" si="164"/>
        <v>#DIV/0!</v>
      </c>
      <c r="AU330" s="16" t="e">
        <f t="shared" si="162"/>
        <v>#DIV/0!</v>
      </c>
      <c r="AV330" s="57" t="str">
        <f t="shared" si="161"/>
        <v/>
      </c>
      <c r="AW330" s="57" t="str">
        <f t="shared" si="165"/>
        <v/>
      </c>
      <c r="AX330" s="57" t="str">
        <f t="shared" si="154"/>
        <v/>
      </c>
      <c r="AY330" s="57" t="str">
        <f t="shared" si="167"/>
        <v/>
      </c>
      <c r="AZ330" s="57" t="str">
        <f t="shared" si="168"/>
        <v/>
      </c>
      <c r="BA330" s="84" t="str">
        <f t="shared" si="155"/>
        <v/>
      </c>
      <c r="BB330" s="84" t="str">
        <f t="shared" si="156"/>
        <v/>
      </c>
      <c r="BC330" s="84" t="e">
        <f t="shared" si="149"/>
        <v>#DIV/0!</v>
      </c>
      <c r="BD330" s="84" t="str">
        <f t="shared" si="157"/>
        <v/>
      </c>
      <c r="BE330" s="6" t="str">
        <f t="shared" si="166"/>
        <v/>
      </c>
      <c r="BF330" s="6" t="str">
        <f t="shared" si="158"/>
        <v/>
      </c>
    </row>
    <row r="331" spans="1:58" ht="15.75">
      <c r="B331" s="11">
        <v>45591</v>
      </c>
      <c r="C331" s="1">
        <v>87</v>
      </c>
      <c r="D331" s="3">
        <v>326</v>
      </c>
      <c r="E331" s="205" t="str">
        <f t="shared" si="169"/>
        <v/>
      </c>
      <c r="K331" s="10" t="str">
        <f t="shared" si="150"/>
        <v/>
      </c>
      <c r="L331" s="9" t="str">
        <f t="shared" si="151"/>
        <v/>
      </c>
      <c r="M331" s="8" t="str">
        <f t="shared" si="152"/>
        <v/>
      </c>
      <c r="X331" s="6">
        <v>0.73</v>
      </c>
      <c r="AB331" s="5">
        <v>80</v>
      </c>
      <c r="AG331" s="1">
        <v>2.2000000000000002</v>
      </c>
      <c r="AH331" s="101">
        <v>0.47881944444444446</v>
      </c>
      <c r="AJ331" s="1">
        <v>175</v>
      </c>
      <c r="AK331" s="3">
        <v>180</v>
      </c>
      <c r="AN331" s="80">
        <f t="shared" si="163"/>
        <v>100</v>
      </c>
      <c r="AP331" s="13">
        <f t="shared" si="159"/>
        <v>1480.0000000000182</v>
      </c>
      <c r="AR331" s="17" t="e">
        <f t="shared" si="160"/>
        <v>#VALUE!</v>
      </c>
      <c r="AS331" s="16" t="e">
        <f t="shared" ref="AS331:AS355" si="170">(I331-AF331)/I331</f>
        <v>#DIV/0!</v>
      </c>
      <c r="AT331" s="16" t="e">
        <f t="shared" si="164"/>
        <v>#DIV/0!</v>
      </c>
      <c r="AU331" s="16" t="e">
        <f t="shared" si="162"/>
        <v>#DIV/0!</v>
      </c>
      <c r="AV331" s="57" t="str">
        <f t="shared" si="161"/>
        <v/>
      </c>
      <c r="AW331" s="57" t="str">
        <f t="shared" si="165"/>
        <v/>
      </c>
      <c r="AX331" s="57" t="str">
        <f t="shared" si="154"/>
        <v/>
      </c>
      <c r="AY331" s="57" t="str">
        <f t="shared" si="167"/>
        <v/>
      </c>
      <c r="AZ331" s="57" t="str">
        <f t="shared" si="168"/>
        <v/>
      </c>
      <c r="BA331" s="84" t="str">
        <f t="shared" si="155"/>
        <v/>
      </c>
      <c r="BB331" s="84" t="str">
        <f t="shared" si="156"/>
        <v/>
      </c>
      <c r="BC331" s="84" t="e">
        <f t="shared" si="149"/>
        <v>#DIV/0!</v>
      </c>
      <c r="BD331" s="84" t="str">
        <f t="shared" si="157"/>
        <v/>
      </c>
      <c r="BE331" s="6" t="str">
        <f t="shared" si="166"/>
        <v/>
      </c>
      <c r="BF331" s="6" t="str">
        <f t="shared" si="158"/>
        <v/>
      </c>
    </row>
    <row r="332" spans="1:58" ht="15.75">
      <c r="B332" s="11">
        <v>45592</v>
      </c>
      <c r="C332" s="1">
        <v>88</v>
      </c>
      <c r="D332" s="3">
        <v>327</v>
      </c>
      <c r="E332" s="205" t="str">
        <f t="shared" si="169"/>
        <v/>
      </c>
      <c r="K332" s="10" t="str">
        <f t="shared" si="150"/>
        <v/>
      </c>
      <c r="L332" s="9" t="str">
        <f t="shared" si="151"/>
        <v/>
      </c>
      <c r="M332" s="8" t="str">
        <f t="shared" si="152"/>
        <v/>
      </c>
      <c r="X332" s="6">
        <v>0.16</v>
      </c>
      <c r="AB332" s="5">
        <v>80</v>
      </c>
      <c r="AG332" s="1">
        <v>3.19</v>
      </c>
      <c r="AH332" s="101">
        <v>0.47905092592592591</v>
      </c>
      <c r="AJ332" s="1">
        <v>175</v>
      </c>
      <c r="AK332" s="3">
        <v>180</v>
      </c>
      <c r="AN332" s="80">
        <f t="shared" si="163"/>
        <v>100</v>
      </c>
      <c r="AP332" s="13">
        <f t="shared" si="159"/>
        <v>1695.0000000000045</v>
      </c>
      <c r="AR332" s="17" t="e">
        <f t="shared" si="160"/>
        <v>#VALUE!</v>
      </c>
      <c r="AS332" s="16" t="e">
        <f t="shared" si="170"/>
        <v>#DIV/0!</v>
      </c>
      <c r="AT332" s="16" t="e">
        <f t="shared" si="164"/>
        <v>#DIV/0!</v>
      </c>
      <c r="AU332" s="16" t="e">
        <f t="shared" si="162"/>
        <v>#DIV/0!</v>
      </c>
      <c r="AV332" s="57" t="str">
        <f t="shared" si="161"/>
        <v/>
      </c>
      <c r="AW332" s="57" t="str">
        <f t="shared" si="165"/>
        <v/>
      </c>
      <c r="AX332" s="57" t="str">
        <f t="shared" si="154"/>
        <v/>
      </c>
      <c r="AY332" s="57" t="str">
        <f t="shared" si="167"/>
        <v/>
      </c>
      <c r="AZ332" s="57" t="str">
        <f t="shared" si="168"/>
        <v/>
      </c>
      <c r="BA332" s="84" t="str">
        <f t="shared" si="155"/>
        <v/>
      </c>
      <c r="BB332" s="84" t="str">
        <f t="shared" si="156"/>
        <v/>
      </c>
      <c r="BC332" s="84" t="e">
        <f t="shared" si="149"/>
        <v>#DIV/0!</v>
      </c>
      <c r="BD332" s="84" t="str">
        <f t="shared" si="157"/>
        <v/>
      </c>
      <c r="BE332" s="6" t="str">
        <f t="shared" si="166"/>
        <v/>
      </c>
      <c r="BF332" s="6" t="str">
        <f t="shared" si="158"/>
        <v/>
      </c>
    </row>
    <row r="333" spans="1:58" ht="15.75">
      <c r="B333" s="94">
        <v>45593</v>
      </c>
      <c r="C333" s="1">
        <v>89</v>
      </c>
      <c r="D333" s="3">
        <v>328</v>
      </c>
      <c r="E333" s="205">
        <f t="shared" si="169"/>
        <v>233.31882000000002</v>
      </c>
      <c r="G333" s="15">
        <f>(N333*18-H333*18)/9</f>
        <v>11.760000000000003</v>
      </c>
      <c r="H333" s="9">
        <v>5.52</v>
      </c>
      <c r="I333" s="15">
        <f>AD333</f>
        <v>24.5</v>
      </c>
      <c r="K333" s="10">
        <f t="shared" si="150"/>
        <v>19.840035714285712</v>
      </c>
      <c r="L333" s="9">
        <f t="shared" si="151"/>
        <v>4.7616085714285719</v>
      </c>
      <c r="M333" s="8">
        <f t="shared" si="152"/>
        <v>4.1666666666666652</v>
      </c>
      <c r="N333" s="7">
        <v>11.4</v>
      </c>
      <c r="O333">
        <v>74.180000000000007</v>
      </c>
      <c r="P333">
        <v>24.774999999999999</v>
      </c>
      <c r="Q333" s="6">
        <f>O333*1.067</f>
        <v>79.150060000000011</v>
      </c>
      <c r="R333" s="6">
        <f>P333*1.514</f>
        <v>37.509349999999998</v>
      </c>
      <c r="S333" s="23">
        <f>P333*1.514+O333*1.067</f>
        <v>116.65941000000001</v>
      </c>
      <c r="T333" s="6">
        <v>21.1</v>
      </c>
      <c r="U333" s="6">
        <v>0</v>
      </c>
      <c r="V333">
        <v>0</v>
      </c>
      <c r="W333" s="23">
        <f>U333*1.067+V333*1.514</f>
        <v>0</v>
      </c>
      <c r="X333" s="6">
        <v>1.39</v>
      </c>
      <c r="AB333" s="5">
        <v>80</v>
      </c>
      <c r="AC333" s="7">
        <f>T333</f>
        <v>21.1</v>
      </c>
      <c r="AD333" s="1">
        <f>5*4.9</f>
        <v>24.5</v>
      </c>
      <c r="AE333" s="1">
        <v>12.1</v>
      </c>
      <c r="AF333" s="1">
        <f>2*4.63</f>
        <v>9.26</v>
      </c>
      <c r="AG333" s="1">
        <v>3.57</v>
      </c>
      <c r="AH333" s="101">
        <v>0.47916666666666669</v>
      </c>
      <c r="AJ333" s="1">
        <v>175</v>
      </c>
      <c r="AK333" s="3">
        <v>180</v>
      </c>
      <c r="AL333" s="4">
        <f>AE333</f>
        <v>12.1</v>
      </c>
      <c r="AM333" s="1">
        <f>9.18</f>
        <v>9.18</v>
      </c>
      <c r="AN333" s="80">
        <f t="shared" si="163"/>
        <v>100</v>
      </c>
      <c r="AP333" s="13">
        <f t="shared" si="159"/>
        <v>1693.3333333333546</v>
      </c>
      <c r="AR333" s="17">
        <f t="shared" si="160"/>
        <v>1</v>
      </c>
      <c r="AS333" s="16">
        <f t="shared" si="170"/>
        <v>0.62204081632653063</v>
      </c>
      <c r="AT333" s="16">
        <f t="shared" si="164"/>
        <v>0.23425196850393698</v>
      </c>
      <c r="AU333" s="16">
        <f t="shared" si="162"/>
        <v>0.21938775510204106</v>
      </c>
      <c r="AV333" s="57">
        <f t="shared" si="161"/>
        <v>233.31882000000002</v>
      </c>
      <c r="AW333" s="57">
        <f t="shared" si="165"/>
        <v>15.24</v>
      </c>
      <c r="AX333" s="57">
        <f t="shared" si="154"/>
        <v>2.5800000000000036</v>
      </c>
      <c r="AY333" s="57">
        <f t="shared" si="167"/>
        <v>9.0000000000000018</v>
      </c>
      <c r="AZ333" s="57">
        <f t="shared" si="168"/>
        <v>2.92</v>
      </c>
      <c r="BA333" s="60" t="str">
        <f t="shared" si="155"/>
        <v/>
      </c>
      <c r="BB333" s="60">
        <f t="shared" si="156"/>
        <v>0.62204081632653063</v>
      </c>
      <c r="BC333" s="60">
        <f t="shared" si="149"/>
        <v>0.23425196850393698</v>
      </c>
      <c r="BD333" s="60">
        <f t="shared" si="157"/>
        <v>0.21938775510204106</v>
      </c>
      <c r="BE333" s="6">
        <f t="shared" si="166"/>
        <v>5.2251428571428571</v>
      </c>
      <c r="BF333" s="6">
        <f t="shared" si="158"/>
        <v>3.0857142857142468</v>
      </c>
    </row>
    <row r="334" spans="1:58" ht="15.75">
      <c r="B334" s="94">
        <v>45594</v>
      </c>
      <c r="C334" s="1">
        <v>90</v>
      </c>
      <c r="D334" s="3">
        <v>329</v>
      </c>
      <c r="E334" s="205" t="str">
        <f t="shared" si="169"/>
        <v/>
      </c>
      <c r="I334" s="41">
        <v>22</v>
      </c>
      <c r="K334" s="10" t="str">
        <f t="shared" si="150"/>
        <v/>
      </c>
      <c r="L334" s="9" t="str">
        <f t="shared" si="151"/>
        <v/>
      </c>
      <c r="M334" s="8" t="str">
        <f t="shared" si="152"/>
        <v/>
      </c>
      <c r="X334" s="6">
        <v>0.18</v>
      </c>
      <c r="AB334" s="5">
        <v>80</v>
      </c>
      <c r="AG334" s="1">
        <v>0.04</v>
      </c>
      <c r="AH334" s="101">
        <v>0.39432870370370371</v>
      </c>
      <c r="AJ334" s="1">
        <v>175</v>
      </c>
      <c r="AK334" s="3">
        <v>180</v>
      </c>
      <c r="AN334" s="80">
        <f t="shared" si="163"/>
        <v>100</v>
      </c>
      <c r="AO334" s="2">
        <v>1850.0000000000455</v>
      </c>
      <c r="AP334" s="13">
        <f t="shared" si="159"/>
        <v>1693.3333333333546</v>
      </c>
      <c r="AR334" s="17" t="e">
        <f t="shared" si="160"/>
        <v>#VALUE!</v>
      </c>
      <c r="AS334" s="16">
        <f t="shared" si="170"/>
        <v>1</v>
      </c>
      <c r="AT334" s="16" t="e">
        <f t="shared" si="164"/>
        <v>#DIV/0!</v>
      </c>
      <c r="AU334" s="16" t="e">
        <f t="shared" si="162"/>
        <v>#DIV/0!</v>
      </c>
      <c r="AV334" s="57" t="str">
        <f t="shared" si="161"/>
        <v/>
      </c>
      <c r="AW334" s="57" t="str">
        <f t="shared" si="165"/>
        <v/>
      </c>
      <c r="AX334" s="57" t="str">
        <f t="shared" si="154"/>
        <v/>
      </c>
      <c r="AY334" s="57" t="str">
        <f t="shared" si="167"/>
        <v/>
      </c>
      <c r="AZ334" s="57" t="str">
        <f t="shared" si="168"/>
        <v/>
      </c>
      <c r="BA334" s="60" t="str">
        <f t="shared" si="155"/>
        <v/>
      </c>
      <c r="BB334" s="60">
        <f t="shared" si="156"/>
        <v>1</v>
      </c>
      <c r="BC334" s="60"/>
      <c r="BD334" s="60" t="str">
        <f t="shared" si="157"/>
        <v/>
      </c>
      <c r="BE334" s="6" t="str">
        <f t="shared" si="166"/>
        <v/>
      </c>
      <c r="BF334" s="6" t="str">
        <f t="shared" si="158"/>
        <v/>
      </c>
    </row>
    <row r="335" spans="1:58" ht="15.75">
      <c r="B335" s="94">
        <v>45595</v>
      </c>
      <c r="C335" s="1">
        <v>91</v>
      </c>
      <c r="D335" s="3">
        <v>330</v>
      </c>
      <c r="E335" s="205" t="str">
        <f t="shared" si="169"/>
        <v/>
      </c>
      <c r="G335" s="9">
        <f>61/78*14</f>
        <v>10.948717948717949</v>
      </c>
      <c r="I335" s="15">
        <f>AD335</f>
        <v>19.8</v>
      </c>
      <c r="K335" s="10" t="str">
        <f t="shared" si="150"/>
        <v/>
      </c>
      <c r="L335" s="9" t="str">
        <f t="shared" si="151"/>
        <v/>
      </c>
      <c r="M335" s="8">
        <f t="shared" si="152"/>
        <v>3.6168618266978925</v>
      </c>
      <c r="T335" s="6">
        <v>17.7</v>
      </c>
      <c r="X335" s="6">
        <v>0.82</v>
      </c>
      <c r="AB335" s="5">
        <v>80</v>
      </c>
      <c r="AC335" s="7">
        <f>T335</f>
        <v>17.7</v>
      </c>
      <c r="AD335" s="1">
        <f>5*3.96</f>
        <v>19.8</v>
      </c>
      <c r="AE335" s="1">
        <v>6.83</v>
      </c>
      <c r="AF335" s="1">
        <f>2*2.38</f>
        <v>4.76</v>
      </c>
      <c r="AG335" s="1">
        <v>2.42</v>
      </c>
      <c r="AH335" s="101">
        <v>0.4753472222222222</v>
      </c>
      <c r="AJ335" s="1">
        <v>175</v>
      </c>
      <c r="AK335" s="3">
        <v>180</v>
      </c>
      <c r="AL335" s="4">
        <f>AE335</f>
        <v>6.83</v>
      </c>
      <c r="AM335" s="1">
        <f>3.4</f>
        <v>3.4</v>
      </c>
      <c r="AN335" s="80">
        <f t="shared" si="163"/>
        <v>100</v>
      </c>
      <c r="AP335" s="13">
        <f t="shared" si="159"/>
        <v>1693.3333333333546</v>
      </c>
      <c r="AR335" s="17" t="e">
        <f t="shared" si="160"/>
        <v>#VALUE!</v>
      </c>
      <c r="AS335" s="16">
        <f t="shared" si="170"/>
        <v>0.7595959595959596</v>
      </c>
      <c r="AT335" s="16">
        <f t="shared" si="164"/>
        <v>0.16090425531914893</v>
      </c>
      <c r="AU335" s="16">
        <f t="shared" si="162"/>
        <v>0.68946135831381727</v>
      </c>
      <c r="AV335" s="57" t="str">
        <f t="shared" si="161"/>
        <v/>
      </c>
      <c r="AW335" s="57">
        <f t="shared" si="165"/>
        <v>15.040000000000001</v>
      </c>
      <c r="AX335" s="57">
        <f t="shared" si="154"/>
        <v>7.5487179487179485</v>
      </c>
      <c r="AY335" s="57">
        <f t="shared" si="167"/>
        <v>10.87</v>
      </c>
      <c r="AZ335" s="57">
        <f t="shared" si="168"/>
        <v>3.43</v>
      </c>
      <c r="BA335" s="60" t="str">
        <f t="shared" si="155"/>
        <v/>
      </c>
      <c r="BB335" s="60">
        <f t="shared" si="156"/>
        <v>0.7595959595959596</v>
      </c>
      <c r="BC335" s="60">
        <f>IF(AND($AG335&gt;=0,$AD335&gt;=0,$AF335&gt;=0),IF($AG335/($AD335-$AF335)&gt;0,$AG335/($AD335-$AF335),0),"")</f>
        <v>0.16090425531914893</v>
      </c>
      <c r="BD335" s="60">
        <f t="shared" si="157"/>
        <v>0.68946135831381727</v>
      </c>
      <c r="BE335" s="6">
        <f t="shared" si="166"/>
        <v>5.1565714285714295</v>
      </c>
      <c r="BF335" s="6">
        <f t="shared" si="158"/>
        <v>3.0452193475815146</v>
      </c>
    </row>
    <row r="336" spans="1:58" ht="15.75">
      <c r="A336" s="12" t="s">
        <v>96</v>
      </c>
      <c r="B336" s="94">
        <v>45596</v>
      </c>
      <c r="C336" s="1">
        <v>92</v>
      </c>
      <c r="D336" s="3">
        <v>331</v>
      </c>
      <c r="E336" s="205" t="str">
        <f t="shared" si="169"/>
        <v/>
      </c>
      <c r="K336" s="10" t="str">
        <f t="shared" si="150"/>
        <v/>
      </c>
      <c r="L336" s="9" t="str">
        <f t="shared" si="151"/>
        <v/>
      </c>
      <c r="M336" s="8" t="str">
        <f t="shared" si="152"/>
        <v/>
      </c>
      <c r="X336" s="6">
        <v>0.65</v>
      </c>
      <c r="AB336" s="5">
        <v>80</v>
      </c>
      <c r="AG336" s="1">
        <v>3.03</v>
      </c>
      <c r="AH336" s="101">
        <v>0.47870370370370369</v>
      </c>
      <c r="AJ336" s="1">
        <v>175</v>
      </c>
      <c r="AK336" s="3">
        <v>180</v>
      </c>
      <c r="AN336" s="80">
        <f t="shared" si="163"/>
        <v>100</v>
      </c>
      <c r="AO336" s="2">
        <v>1539.9999999999636</v>
      </c>
      <c r="AP336" s="13">
        <f t="shared" si="159"/>
        <v>1820.0000000000159</v>
      </c>
      <c r="AR336" s="17" t="e">
        <f t="shared" si="160"/>
        <v>#VALUE!</v>
      </c>
      <c r="AS336" s="16" t="e">
        <f t="shared" si="170"/>
        <v>#DIV/0!</v>
      </c>
      <c r="AT336" s="16" t="e">
        <f t="shared" si="164"/>
        <v>#DIV/0!</v>
      </c>
      <c r="AU336" s="16" t="e">
        <f t="shared" si="162"/>
        <v>#DIV/0!</v>
      </c>
      <c r="AV336" s="57" t="str">
        <f t="shared" si="161"/>
        <v/>
      </c>
      <c r="AW336" s="57" t="str">
        <f t="shared" si="165"/>
        <v/>
      </c>
      <c r="AX336" s="57" t="str">
        <f t="shared" si="154"/>
        <v/>
      </c>
      <c r="AY336" s="57" t="str">
        <f t="shared" si="167"/>
        <v/>
      </c>
      <c r="AZ336" s="57" t="str">
        <f t="shared" si="168"/>
        <v/>
      </c>
      <c r="BA336" s="60" t="str">
        <f t="shared" ref="BA336:BA367" si="171">IF(AND($E336&gt;0,$W336&gt;0),IF(($E336-$W336)/$E336&gt;0,($E336-$W336)/$E336,0),"")</f>
        <v/>
      </c>
      <c r="BB336" s="60" t="str">
        <f t="shared" si="156"/>
        <v/>
      </c>
      <c r="BC336" s="60"/>
      <c r="BD336" s="60" t="str">
        <f t="shared" si="157"/>
        <v/>
      </c>
      <c r="BE336" s="6" t="str">
        <f t="shared" si="166"/>
        <v/>
      </c>
      <c r="BF336" s="6" t="str">
        <f t="shared" si="158"/>
        <v/>
      </c>
    </row>
    <row r="337" spans="1:58" ht="15.75">
      <c r="A337" s="12" t="s">
        <v>96</v>
      </c>
      <c r="B337" s="94">
        <v>45597</v>
      </c>
      <c r="C337" s="1">
        <v>93</v>
      </c>
      <c r="D337" s="3">
        <v>332</v>
      </c>
      <c r="E337" s="205" t="str">
        <f t="shared" si="169"/>
        <v/>
      </c>
      <c r="K337" s="10" t="str">
        <f t="shared" si="150"/>
        <v/>
      </c>
      <c r="L337" s="9" t="str">
        <f t="shared" si="151"/>
        <v/>
      </c>
      <c r="M337" s="8" t="str">
        <f t="shared" si="152"/>
        <v/>
      </c>
      <c r="X337" s="6">
        <v>1.4</v>
      </c>
      <c r="AB337" s="5">
        <v>80</v>
      </c>
      <c r="AG337" s="1">
        <v>4.46</v>
      </c>
      <c r="AH337" s="101">
        <v>0.47905092592592591</v>
      </c>
      <c r="AJ337" s="1">
        <v>175</v>
      </c>
      <c r="AK337" s="3">
        <v>180</v>
      </c>
      <c r="AN337" s="80">
        <f t="shared" si="163"/>
        <v>100</v>
      </c>
      <c r="AO337" s="2">
        <v>1690.0000000000546</v>
      </c>
      <c r="AP337" s="13">
        <f t="shared" si="159"/>
        <v>1927.4999999999977</v>
      </c>
      <c r="AR337" s="17" t="e">
        <f t="shared" si="160"/>
        <v>#VALUE!</v>
      </c>
      <c r="AS337" s="16" t="e">
        <f t="shared" si="170"/>
        <v>#DIV/0!</v>
      </c>
      <c r="AT337" s="16" t="e">
        <f t="shared" si="164"/>
        <v>#DIV/0!</v>
      </c>
      <c r="AU337" s="16" t="e">
        <f t="shared" si="162"/>
        <v>#DIV/0!</v>
      </c>
      <c r="AV337" s="57" t="str">
        <f t="shared" si="161"/>
        <v/>
      </c>
      <c r="AW337" s="57" t="str">
        <f t="shared" si="165"/>
        <v/>
      </c>
      <c r="AX337" s="57" t="str">
        <f t="shared" si="154"/>
        <v/>
      </c>
      <c r="AY337" s="57" t="str">
        <f t="shared" si="167"/>
        <v/>
      </c>
      <c r="AZ337" s="57" t="str">
        <f t="shared" si="168"/>
        <v/>
      </c>
      <c r="BA337" s="60" t="str">
        <f t="shared" si="171"/>
        <v/>
      </c>
      <c r="BB337" s="60" t="str">
        <f t="shared" si="156"/>
        <v/>
      </c>
      <c r="BC337" s="60"/>
      <c r="BD337" s="60" t="str">
        <f t="shared" si="157"/>
        <v/>
      </c>
      <c r="BE337" s="6" t="str">
        <f t="shared" si="166"/>
        <v/>
      </c>
      <c r="BF337" s="6" t="str">
        <f t="shared" si="158"/>
        <v/>
      </c>
    </row>
    <row r="338" spans="1:58" ht="15.75">
      <c r="B338" s="94">
        <v>45598</v>
      </c>
      <c r="C338" s="1">
        <v>94</v>
      </c>
      <c r="D338" s="3">
        <v>333</v>
      </c>
      <c r="E338" s="205" t="str">
        <f t="shared" si="169"/>
        <v/>
      </c>
      <c r="K338" s="10" t="str">
        <f t="shared" si="150"/>
        <v/>
      </c>
      <c r="L338" s="9" t="str">
        <f t="shared" si="151"/>
        <v/>
      </c>
      <c r="M338" s="8" t="str">
        <f t="shared" si="152"/>
        <v/>
      </c>
      <c r="X338" s="6">
        <v>0.18</v>
      </c>
      <c r="AB338" s="5">
        <v>80</v>
      </c>
      <c r="AG338" s="1">
        <v>4.12</v>
      </c>
      <c r="AH338" s="101">
        <v>0.47766203703703702</v>
      </c>
      <c r="AJ338" s="1">
        <v>175</v>
      </c>
      <c r="AK338" s="3">
        <v>180</v>
      </c>
      <c r="AN338" s="80">
        <f t="shared" si="163"/>
        <v>100</v>
      </c>
      <c r="AP338" s="13">
        <f t="shared" si="159"/>
        <v>1927.4999999999977</v>
      </c>
      <c r="AR338" s="17" t="e">
        <f t="shared" si="160"/>
        <v>#VALUE!</v>
      </c>
      <c r="AS338" s="16" t="e">
        <f t="shared" si="170"/>
        <v>#DIV/0!</v>
      </c>
      <c r="AT338" s="16" t="e">
        <f t="shared" si="164"/>
        <v>#DIV/0!</v>
      </c>
      <c r="AU338" s="16" t="e">
        <f t="shared" si="162"/>
        <v>#DIV/0!</v>
      </c>
      <c r="AV338" s="57" t="str">
        <f t="shared" si="161"/>
        <v/>
      </c>
      <c r="AW338" s="57" t="str">
        <f t="shared" si="165"/>
        <v/>
      </c>
      <c r="AX338" s="57" t="str">
        <f t="shared" si="154"/>
        <v/>
      </c>
      <c r="AY338" s="57" t="str">
        <f t="shared" si="167"/>
        <v/>
      </c>
      <c r="AZ338" s="57" t="str">
        <f t="shared" si="168"/>
        <v/>
      </c>
      <c r="BA338" s="60" t="str">
        <f t="shared" si="171"/>
        <v/>
      </c>
      <c r="BB338" s="60" t="str">
        <f t="shared" ref="BB338:BB369" si="172">IF(AND($I338&gt;0,$AF338&gt;=0),IF(($I338-$AF338)/$I338&gt;0,($I338-$AF338)/$I338,0),"")</f>
        <v/>
      </c>
      <c r="BC338" s="60"/>
      <c r="BD338" s="60" t="str">
        <f t="shared" ref="BD338:BD369" si="173">IF(AND($G338&gt;0,$AM338&gt;0),IF(($G338-$AM338)/$G338&gt;0,($G338-$AM338)/$G338,0),"")</f>
        <v/>
      </c>
      <c r="BE338" s="6" t="str">
        <f t="shared" si="166"/>
        <v/>
      </c>
      <c r="BF338" s="6" t="str">
        <f t="shared" si="158"/>
        <v/>
      </c>
    </row>
    <row r="339" spans="1:58" ht="15.75">
      <c r="B339" s="94">
        <v>45599</v>
      </c>
      <c r="C339" s="1">
        <v>95</v>
      </c>
      <c r="D339" s="3">
        <v>334</v>
      </c>
      <c r="E339" s="205" t="str">
        <f t="shared" si="169"/>
        <v/>
      </c>
      <c r="K339" s="10" t="str">
        <f t="shared" si="150"/>
        <v/>
      </c>
      <c r="L339" s="9" t="str">
        <f t="shared" si="151"/>
        <v/>
      </c>
      <c r="M339" s="8" t="str">
        <f t="shared" si="152"/>
        <v/>
      </c>
      <c r="X339" s="6">
        <v>0.17</v>
      </c>
      <c r="AB339" s="5">
        <v>80</v>
      </c>
      <c r="AG339" s="1">
        <v>4.43</v>
      </c>
      <c r="AH339" s="101">
        <v>0.46238425925925924</v>
      </c>
      <c r="AJ339" s="1">
        <v>175</v>
      </c>
      <c r="AK339" s="3">
        <v>180</v>
      </c>
      <c r="AN339" s="80">
        <f t="shared" si="163"/>
        <v>100</v>
      </c>
      <c r="AP339" s="13">
        <f t="shared" si="159"/>
        <v>2120.0000000000045</v>
      </c>
      <c r="AR339" s="17" t="e">
        <f t="shared" si="160"/>
        <v>#VALUE!</v>
      </c>
      <c r="AS339" s="16" t="e">
        <f t="shared" si="170"/>
        <v>#DIV/0!</v>
      </c>
      <c r="AT339" s="16" t="e">
        <f t="shared" si="164"/>
        <v>#DIV/0!</v>
      </c>
      <c r="AU339" s="16" t="e">
        <f t="shared" si="162"/>
        <v>#DIV/0!</v>
      </c>
      <c r="AV339" s="57" t="str">
        <f t="shared" si="161"/>
        <v/>
      </c>
      <c r="AW339" s="57" t="str">
        <f t="shared" si="165"/>
        <v/>
      </c>
      <c r="AX339" s="57" t="str">
        <f t="shared" si="154"/>
        <v/>
      </c>
      <c r="AY339" s="57" t="str">
        <f t="shared" si="167"/>
        <v/>
      </c>
      <c r="AZ339" s="57" t="str">
        <f t="shared" si="168"/>
        <v/>
      </c>
      <c r="BA339" s="60" t="str">
        <f t="shared" si="171"/>
        <v/>
      </c>
      <c r="BB339" s="60" t="str">
        <f t="shared" si="172"/>
        <v/>
      </c>
      <c r="BC339" s="60"/>
      <c r="BD339" s="60" t="str">
        <f t="shared" si="173"/>
        <v/>
      </c>
      <c r="BE339" s="6" t="str">
        <f t="shared" si="166"/>
        <v/>
      </c>
      <c r="BF339" s="6" t="str">
        <f t="shared" si="158"/>
        <v/>
      </c>
    </row>
    <row r="340" spans="1:58" ht="15.75">
      <c r="A340" s="12" t="s">
        <v>96</v>
      </c>
      <c r="B340" s="94">
        <v>45600</v>
      </c>
      <c r="C340" s="1">
        <v>96</v>
      </c>
      <c r="D340" s="3">
        <v>335</v>
      </c>
      <c r="E340" s="205" t="str">
        <f t="shared" si="169"/>
        <v/>
      </c>
      <c r="K340" s="10" t="str">
        <f t="shared" si="150"/>
        <v/>
      </c>
      <c r="L340" s="9" t="str">
        <f t="shared" si="151"/>
        <v/>
      </c>
      <c r="M340" s="8" t="str">
        <f t="shared" si="152"/>
        <v/>
      </c>
      <c r="X340" s="6">
        <v>0.38</v>
      </c>
      <c r="AB340" s="5">
        <v>80</v>
      </c>
      <c r="AG340" s="1">
        <v>4.34</v>
      </c>
      <c r="AH340" s="101">
        <v>0.52060185185185182</v>
      </c>
      <c r="AJ340" s="1">
        <v>175</v>
      </c>
      <c r="AK340" s="3">
        <v>180</v>
      </c>
      <c r="AN340" s="80">
        <f t="shared" si="163"/>
        <v>100</v>
      </c>
      <c r="AO340" s="2">
        <v>2200</v>
      </c>
      <c r="AP340" s="13">
        <f t="shared" si="159"/>
        <v>2263.3333333333212</v>
      </c>
      <c r="AQ340" s="2">
        <v>38.596491228069866</v>
      </c>
      <c r="AR340" s="17" t="e">
        <f t="shared" si="160"/>
        <v>#VALUE!</v>
      </c>
      <c r="AS340" s="16" t="e">
        <f t="shared" si="170"/>
        <v>#DIV/0!</v>
      </c>
      <c r="AT340" s="16" t="e">
        <f t="shared" si="164"/>
        <v>#DIV/0!</v>
      </c>
      <c r="AU340" s="16" t="e">
        <f t="shared" si="162"/>
        <v>#DIV/0!</v>
      </c>
      <c r="AV340" s="57" t="str">
        <f t="shared" si="161"/>
        <v/>
      </c>
      <c r="AW340" s="57" t="str">
        <f t="shared" si="165"/>
        <v/>
      </c>
      <c r="AX340" s="57" t="str">
        <f t="shared" si="154"/>
        <v/>
      </c>
      <c r="AY340" s="57" t="str">
        <f t="shared" si="167"/>
        <v/>
      </c>
      <c r="AZ340" s="57" t="str">
        <f t="shared" si="168"/>
        <v/>
      </c>
      <c r="BA340" s="60" t="str">
        <f t="shared" si="171"/>
        <v/>
      </c>
      <c r="BB340" s="60" t="str">
        <f t="shared" si="172"/>
        <v/>
      </c>
      <c r="BC340" s="60"/>
      <c r="BD340" s="60" t="str">
        <f t="shared" si="173"/>
        <v/>
      </c>
      <c r="BE340" s="6" t="str">
        <f t="shared" si="166"/>
        <v/>
      </c>
      <c r="BF340" s="6" t="str">
        <f t="shared" si="158"/>
        <v/>
      </c>
    </row>
    <row r="341" spans="1:58" ht="15.75">
      <c r="A341" s="12" t="s">
        <v>3</v>
      </c>
      <c r="B341" s="94">
        <v>45601</v>
      </c>
      <c r="C341" s="1">
        <v>97</v>
      </c>
      <c r="D341" s="3">
        <v>336</v>
      </c>
      <c r="E341" s="205" t="str">
        <f t="shared" si="169"/>
        <v/>
      </c>
      <c r="K341" s="10" t="str">
        <f t="shared" si="150"/>
        <v/>
      </c>
      <c r="L341" s="9" t="str">
        <f t="shared" si="151"/>
        <v/>
      </c>
      <c r="M341" s="8" t="str">
        <f t="shared" si="152"/>
        <v/>
      </c>
      <c r="X341" s="6">
        <v>0.46</v>
      </c>
      <c r="AB341" s="5">
        <v>80</v>
      </c>
      <c r="AJ341" s="1">
        <v>175</v>
      </c>
      <c r="AK341" s="3">
        <v>180</v>
      </c>
      <c r="AN341" s="80">
        <f t="shared" si="163"/>
        <v>100</v>
      </c>
      <c r="AO341" s="2">
        <v>2279.9999999999727</v>
      </c>
      <c r="AP341" s="13">
        <f t="shared" si="159"/>
        <v>2263.3333333333212</v>
      </c>
      <c r="AQ341" s="2">
        <v>39.999999999999517</v>
      </c>
      <c r="AR341" s="17" t="e">
        <f t="shared" si="160"/>
        <v>#VALUE!</v>
      </c>
      <c r="AS341" s="16" t="e">
        <f t="shared" si="170"/>
        <v>#DIV/0!</v>
      </c>
      <c r="AT341" s="16" t="e">
        <f t="shared" si="164"/>
        <v>#DIV/0!</v>
      </c>
      <c r="AU341" s="16" t="e">
        <f t="shared" si="162"/>
        <v>#DIV/0!</v>
      </c>
      <c r="AV341" s="57" t="str">
        <f t="shared" si="161"/>
        <v/>
      </c>
      <c r="AW341" s="57" t="str">
        <f t="shared" si="165"/>
        <v/>
      </c>
      <c r="AX341" s="57" t="str">
        <f t="shared" si="154"/>
        <v/>
      </c>
      <c r="AY341" s="57" t="str">
        <f t="shared" si="167"/>
        <v/>
      </c>
      <c r="AZ341" s="57" t="str">
        <f t="shared" si="168"/>
        <v/>
      </c>
      <c r="BA341" s="60" t="str">
        <f t="shared" si="171"/>
        <v/>
      </c>
      <c r="BB341" s="60" t="str">
        <f t="shared" si="172"/>
        <v/>
      </c>
      <c r="BC341" s="60"/>
      <c r="BD341" s="60" t="str">
        <f t="shared" si="173"/>
        <v/>
      </c>
      <c r="BE341" s="6" t="str">
        <f t="shared" si="166"/>
        <v/>
      </c>
      <c r="BF341" s="6" t="str">
        <f t="shared" ref="BF341:BF372" si="174">IF(OR(AJ341=0,AP341=0,NOT(ISNUMBER(AD341)),NOT(ISNUMBER(AF341)),NOT(ISNUMBER(AJ341)),NOT(ISNUMBER(AP341))),"",
IFERROR(IF((AD341-AF341)/(AJ341/60)/(AP341/1000)&lt;=0,"",(AD341-AF341)/(AJ341/60)/(AP341/1000)),""))</f>
        <v/>
      </c>
    </row>
    <row r="342" spans="1:58" ht="15.75">
      <c r="B342" s="94">
        <v>45602</v>
      </c>
      <c r="C342" s="1">
        <v>98</v>
      </c>
      <c r="D342" s="3">
        <v>337</v>
      </c>
      <c r="E342" s="205" t="str">
        <f t="shared" si="169"/>
        <v/>
      </c>
      <c r="K342" s="10" t="str">
        <f t="shared" si="150"/>
        <v/>
      </c>
      <c r="L342" s="9" t="str">
        <f t="shared" si="151"/>
        <v/>
      </c>
      <c r="M342" s="8" t="str">
        <f t="shared" si="152"/>
        <v/>
      </c>
      <c r="X342" s="6">
        <v>0.18</v>
      </c>
      <c r="AB342" s="5">
        <v>80</v>
      </c>
      <c r="AG342" s="1">
        <v>2.61</v>
      </c>
      <c r="AH342" s="101">
        <v>0.51354166666666667</v>
      </c>
      <c r="AJ342" s="1">
        <v>175</v>
      </c>
      <c r="AK342" s="3">
        <v>180</v>
      </c>
      <c r="AN342" s="80">
        <f t="shared" si="163"/>
        <v>100</v>
      </c>
      <c r="AP342" s="13">
        <f t="shared" ref="AP342:AP373" si="175">AVERAGE(AO340:AO346)</f>
        <v>2263.3333333333212</v>
      </c>
      <c r="AR342" s="17" t="e">
        <f t="shared" si="160"/>
        <v>#VALUE!</v>
      </c>
      <c r="AS342" s="16" t="e">
        <f t="shared" si="170"/>
        <v>#DIV/0!</v>
      </c>
      <c r="AT342" s="16" t="e">
        <f t="shared" si="164"/>
        <v>#DIV/0!</v>
      </c>
      <c r="AU342" s="16" t="e">
        <f t="shared" si="162"/>
        <v>#DIV/0!</v>
      </c>
      <c r="AV342" s="57" t="str">
        <f t="shared" si="161"/>
        <v/>
      </c>
      <c r="AW342" s="57" t="str">
        <f t="shared" si="165"/>
        <v/>
      </c>
      <c r="AX342" s="57" t="str">
        <f t="shared" si="154"/>
        <v/>
      </c>
      <c r="AY342" s="57" t="str">
        <f t="shared" si="167"/>
        <v/>
      </c>
      <c r="AZ342" s="57" t="str">
        <f t="shared" si="168"/>
        <v/>
      </c>
      <c r="BA342" s="60" t="str">
        <f t="shared" si="171"/>
        <v/>
      </c>
      <c r="BB342" s="60" t="str">
        <f t="shared" si="172"/>
        <v/>
      </c>
      <c r="BC342" s="60"/>
      <c r="BD342" s="60" t="str">
        <f t="shared" si="173"/>
        <v/>
      </c>
      <c r="BE342" s="6" t="str">
        <f t="shared" si="166"/>
        <v/>
      </c>
      <c r="BF342" s="6" t="str">
        <f t="shared" si="174"/>
        <v/>
      </c>
    </row>
    <row r="343" spans="1:58" ht="15.75">
      <c r="A343" s="12" t="s">
        <v>96</v>
      </c>
      <c r="B343" s="94">
        <v>45603</v>
      </c>
      <c r="C343" s="1">
        <v>99</v>
      </c>
      <c r="D343" s="3">
        <v>338</v>
      </c>
      <c r="E343" s="205" t="str">
        <f t="shared" si="169"/>
        <v/>
      </c>
      <c r="K343" s="10" t="str">
        <f t="shared" si="150"/>
        <v/>
      </c>
      <c r="L343" s="9" t="str">
        <f t="shared" si="151"/>
        <v/>
      </c>
      <c r="M343" s="8" t="str">
        <f t="shared" si="152"/>
        <v/>
      </c>
      <c r="X343" s="6">
        <v>0.53</v>
      </c>
      <c r="AB343" s="5">
        <v>80</v>
      </c>
      <c r="AG343" s="1">
        <v>2.79</v>
      </c>
      <c r="AH343" s="101">
        <v>0.51979166666666665</v>
      </c>
      <c r="AJ343" s="1">
        <v>175</v>
      </c>
      <c r="AK343" s="3">
        <v>180</v>
      </c>
      <c r="AN343" s="80">
        <f t="shared" si="163"/>
        <v>100</v>
      </c>
      <c r="AO343" s="2">
        <v>2309.9999999999909</v>
      </c>
      <c r="AP343" s="13">
        <f t="shared" si="175"/>
        <v>2276.6666666666574</v>
      </c>
      <c r="AQ343" s="2">
        <v>60.000000000001187</v>
      </c>
      <c r="AR343" s="17" t="e">
        <f t="shared" ref="AR343:AR355" si="176">(E343-W343)/E343</f>
        <v>#VALUE!</v>
      </c>
      <c r="AS343" s="16" t="e">
        <f t="shared" si="170"/>
        <v>#DIV/0!</v>
      </c>
      <c r="AT343" s="16" t="e">
        <f t="shared" si="164"/>
        <v>#DIV/0!</v>
      </c>
      <c r="AU343" s="16" t="e">
        <f t="shared" si="162"/>
        <v>#DIV/0!</v>
      </c>
      <c r="AV343" s="57" t="str">
        <f t="shared" si="161"/>
        <v/>
      </c>
      <c r="AW343" s="57" t="str">
        <f t="shared" si="165"/>
        <v/>
      </c>
      <c r="AX343" s="57" t="str">
        <f t="shared" si="154"/>
        <v/>
      </c>
      <c r="AY343" s="57" t="str">
        <f t="shared" si="167"/>
        <v/>
      </c>
      <c r="AZ343" s="57" t="str">
        <f t="shared" si="168"/>
        <v/>
      </c>
      <c r="BA343" s="60" t="str">
        <f t="shared" si="171"/>
        <v/>
      </c>
      <c r="BB343" s="60" t="str">
        <f t="shared" si="172"/>
        <v/>
      </c>
      <c r="BC343" s="60"/>
      <c r="BD343" s="60" t="str">
        <f t="shared" si="173"/>
        <v/>
      </c>
      <c r="BE343" s="6" t="str">
        <f t="shared" si="166"/>
        <v/>
      </c>
      <c r="BF343" s="6" t="str">
        <f t="shared" si="174"/>
        <v/>
      </c>
    </row>
    <row r="344" spans="1:58" ht="15.75">
      <c r="A344" s="12" t="s">
        <v>95</v>
      </c>
      <c r="B344" s="94">
        <v>45604</v>
      </c>
      <c r="C344" s="1">
        <v>100</v>
      </c>
      <c r="D344" s="3">
        <v>339</v>
      </c>
      <c r="E344" s="205" t="str">
        <f t="shared" si="169"/>
        <v/>
      </c>
      <c r="K344" s="10" t="str">
        <f t="shared" si="150"/>
        <v/>
      </c>
      <c r="L344" s="9" t="str">
        <f t="shared" si="151"/>
        <v/>
      </c>
      <c r="M344" s="8" t="str">
        <f t="shared" si="152"/>
        <v/>
      </c>
      <c r="X344" s="6">
        <v>1.32</v>
      </c>
      <c r="AB344" s="5">
        <v>80</v>
      </c>
      <c r="AG344" s="1">
        <v>3.4</v>
      </c>
      <c r="AH344" s="101">
        <v>0.50266203703703705</v>
      </c>
      <c r="AJ344" s="1">
        <v>175</v>
      </c>
      <c r="AK344" s="3">
        <v>180</v>
      </c>
      <c r="AN344" s="80">
        <f t="shared" si="163"/>
        <v>100</v>
      </c>
      <c r="AP344" s="13">
        <f t="shared" si="175"/>
        <v>2275</v>
      </c>
      <c r="AR344" s="17" t="e">
        <f t="shared" si="176"/>
        <v>#VALUE!</v>
      </c>
      <c r="AS344" s="16" t="e">
        <f t="shared" si="170"/>
        <v>#DIV/0!</v>
      </c>
      <c r="AT344" s="16" t="e">
        <f t="shared" si="164"/>
        <v>#DIV/0!</v>
      </c>
      <c r="AU344" s="16" t="e">
        <f t="shared" ref="AU344:AU355" si="177">(G344-AM344)/G344</f>
        <v>#DIV/0!</v>
      </c>
      <c r="AV344" s="57" t="str">
        <f t="shared" si="161"/>
        <v/>
      </c>
      <c r="AW344" s="57" t="str">
        <f t="shared" si="165"/>
        <v/>
      </c>
      <c r="AX344" s="57" t="str">
        <f t="shared" si="154"/>
        <v/>
      </c>
      <c r="AY344" s="57" t="str">
        <f t="shared" si="167"/>
        <v/>
      </c>
      <c r="AZ344" s="57" t="str">
        <f t="shared" si="168"/>
        <v/>
      </c>
      <c r="BA344" s="60" t="str">
        <f t="shared" si="171"/>
        <v/>
      </c>
      <c r="BB344" s="60" t="str">
        <f t="shared" si="172"/>
        <v/>
      </c>
      <c r="BC344" s="60"/>
      <c r="BD344" s="60" t="str">
        <f t="shared" si="173"/>
        <v/>
      </c>
      <c r="BE344" s="6" t="str">
        <f t="shared" si="166"/>
        <v/>
      </c>
      <c r="BF344" s="6" t="str">
        <f t="shared" si="174"/>
        <v/>
      </c>
    </row>
    <row r="345" spans="1:58" ht="15.75">
      <c r="A345" s="12" t="s">
        <v>6</v>
      </c>
      <c r="B345" s="94">
        <v>45605</v>
      </c>
      <c r="C345" s="1">
        <v>101</v>
      </c>
      <c r="D345" s="3">
        <v>340</v>
      </c>
      <c r="E345" s="205" t="str">
        <f t="shared" si="169"/>
        <v/>
      </c>
      <c r="K345" s="10" t="str">
        <f t="shared" si="150"/>
        <v/>
      </c>
      <c r="L345" s="9" t="str">
        <f t="shared" si="151"/>
        <v/>
      </c>
      <c r="M345" s="8" t="str">
        <f t="shared" si="152"/>
        <v/>
      </c>
      <c r="X345" s="6">
        <v>0.52</v>
      </c>
      <c r="AB345" s="5">
        <v>80</v>
      </c>
      <c r="AG345" s="1">
        <v>2.4700000000000002</v>
      </c>
      <c r="AH345" s="101">
        <v>0.52083333333333337</v>
      </c>
      <c r="AJ345" s="1">
        <v>175</v>
      </c>
      <c r="AK345" s="3">
        <v>180</v>
      </c>
      <c r="AN345" s="80">
        <f t="shared" si="163"/>
        <v>100</v>
      </c>
      <c r="AP345" s="13">
        <f t="shared" si="175"/>
        <v>2275</v>
      </c>
      <c r="AR345" s="17" t="e">
        <f t="shared" si="176"/>
        <v>#VALUE!</v>
      </c>
      <c r="AS345" s="16" t="e">
        <f t="shared" si="170"/>
        <v>#DIV/0!</v>
      </c>
      <c r="AT345" s="16" t="e">
        <f t="shared" si="164"/>
        <v>#DIV/0!</v>
      </c>
      <c r="AU345" s="16" t="e">
        <f t="shared" si="177"/>
        <v>#DIV/0!</v>
      </c>
      <c r="AV345" s="57" t="str">
        <f t="shared" si="161"/>
        <v/>
      </c>
      <c r="AW345" s="57" t="str">
        <f t="shared" si="165"/>
        <v/>
      </c>
      <c r="AX345" s="57" t="str">
        <f t="shared" si="154"/>
        <v/>
      </c>
      <c r="AY345" s="57" t="str">
        <f t="shared" si="167"/>
        <v/>
      </c>
      <c r="AZ345" s="57" t="str">
        <f t="shared" si="168"/>
        <v/>
      </c>
      <c r="BA345" s="60" t="str">
        <f t="shared" si="171"/>
        <v/>
      </c>
      <c r="BB345" s="60" t="str">
        <f t="shared" si="172"/>
        <v/>
      </c>
      <c r="BC345" s="60"/>
      <c r="BD345" s="60" t="str">
        <f t="shared" si="173"/>
        <v/>
      </c>
      <c r="BE345" s="6" t="str">
        <f t="shared" si="166"/>
        <v/>
      </c>
      <c r="BF345" s="6" t="str">
        <f t="shared" si="174"/>
        <v/>
      </c>
    </row>
    <row r="346" spans="1:58" ht="15.75">
      <c r="B346" s="94">
        <v>45606</v>
      </c>
      <c r="C346" s="1">
        <v>102</v>
      </c>
      <c r="D346" s="3">
        <v>341</v>
      </c>
      <c r="E346" s="205" t="str">
        <f t="shared" si="169"/>
        <v/>
      </c>
      <c r="K346" s="10" t="str">
        <f t="shared" si="150"/>
        <v/>
      </c>
      <c r="L346" s="9" t="str">
        <f t="shared" si="151"/>
        <v/>
      </c>
      <c r="M346" s="8" t="str">
        <f t="shared" si="152"/>
        <v/>
      </c>
      <c r="X346" s="6">
        <v>0.18</v>
      </c>
      <c r="AB346" s="5">
        <v>80</v>
      </c>
      <c r="AG346" s="1">
        <v>4.3</v>
      </c>
      <c r="AH346" s="101">
        <v>0.51736111111111116</v>
      </c>
      <c r="AJ346" s="1">
        <v>175</v>
      </c>
      <c r="AK346" s="3">
        <v>180</v>
      </c>
      <c r="AN346" s="80">
        <f t="shared" si="163"/>
        <v>100</v>
      </c>
      <c r="AP346" s="13">
        <f t="shared" si="175"/>
        <v>2240.0000000000091</v>
      </c>
      <c r="AR346" s="17" t="e">
        <f t="shared" si="176"/>
        <v>#VALUE!</v>
      </c>
      <c r="AS346" s="16" t="e">
        <f t="shared" si="170"/>
        <v>#DIV/0!</v>
      </c>
      <c r="AT346" s="16" t="e">
        <f t="shared" si="164"/>
        <v>#DIV/0!</v>
      </c>
      <c r="AU346" s="16" t="e">
        <f t="shared" si="177"/>
        <v>#DIV/0!</v>
      </c>
      <c r="AV346" s="57" t="str">
        <f t="shared" si="161"/>
        <v/>
      </c>
      <c r="AW346" s="57" t="str">
        <f t="shared" si="165"/>
        <v/>
      </c>
      <c r="AX346" s="57" t="str">
        <f t="shared" si="154"/>
        <v/>
      </c>
      <c r="AY346" s="57" t="str">
        <f t="shared" si="167"/>
        <v/>
      </c>
      <c r="AZ346" s="57" t="str">
        <f t="shared" si="168"/>
        <v/>
      </c>
      <c r="BA346" s="60" t="str">
        <f t="shared" si="171"/>
        <v/>
      </c>
      <c r="BB346" s="60" t="str">
        <f t="shared" si="172"/>
        <v/>
      </c>
      <c r="BC346" s="60"/>
      <c r="BD346" s="60" t="str">
        <f t="shared" si="173"/>
        <v/>
      </c>
      <c r="BE346" s="6" t="str">
        <f t="shared" si="166"/>
        <v/>
      </c>
      <c r="BF346" s="6" t="str">
        <f t="shared" si="174"/>
        <v/>
      </c>
    </row>
    <row r="347" spans="1:58" ht="15.75">
      <c r="A347" s="112" t="s">
        <v>73</v>
      </c>
      <c r="B347" s="94">
        <v>45607</v>
      </c>
      <c r="C347" s="1">
        <v>103</v>
      </c>
      <c r="D347" s="3">
        <v>342</v>
      </c>
      <c r="E347" s="205">
        <f t="shared" si="169"/>
        <v>274.43912599999999</v>
      </c>
      <c r="G347" s="15">
        <f>(N347*18-H347*18)/9</f>
        <v>13.879999999999999</v>
      </c>
      <c r="H347" s="9">
        <f>7.68/2</f>
        <v>3.84</v>
      </c>
      <c r="I347" s="15">
        <f>AD347</f>
        <v>22.15</v>
      </c>
      <c r="K347" s="10">
        <f t="shared" si="150"/>
        <v>19.772271325648415</v>
      </c>
      <c r="L347" s="9">
        <f t="shared" si="151"/>
        <v>6.1950141309255082</v>
      </c>
      <c r="M347" s="8">
        <f t="shared" si="152"/>
        <v>3.1916426512968301</v>
      </c>
      <c r="N347" s="7">
        <v>10.78</v>
      </c>
      <c r="O347">
        <v>90.397000000000006</v>
      </c>
      <c r="P347">
        <v>26.925999999999998</v>
      </c>
      <c r="Q347" s="6">
        <f>O347*1.067</f>
        <v>96.453598999999997</v>
      </c>
      <c r="R347" s="6">
        <f>P347*1.514</f>
        <v>40.765963999999997</v>
      </c>
      <c r="S347" s="23">
        <f>P347*1.514+O347*1.067</f>
        <v>137.21956299999999</v>
      </c>
      <c r="T347" s="6">
        <v>31.95</v>
      </c>
      <c r="U347">
        <v>0</v>
      </c>
      <c r="V347">
        <v>0</v>
      </c>
      <c r="W347" s="23">
        <f>U347*1.067+V347*1.514</f>
        <v>0</v>
      </c>
      <c r="X347" s="6">
        <v>0.63</v>
      </c>
      <c r="AB347" s="5">
        <v>80</v>
      </c>
      <c r="AC347" s="7">
        <f>T347</f>
        <v>31.95</v>
      </c>
      <c r="AD347" s="1">
        <v>22.15</v>
      </c>
      <c r="AE347" s="1">
        <v>12.36</v>
      </c>
      <c r="AF347" s="1">
        <v>6.1</v>
      </c>
      <c r="AG347" s="1">
        <v>4.33</v>
      </c>
      <c r="AH347" s="101">
        <v>0.52083333333333337</v>
      </c>
      <c r="AJ347" s="1">
        <v>175</v>
      </c>
      <c r="AK347" s="3">
        <v>180</v>
      </c>
      <c r="AL347" s="4">
        <f>AE347</f>
        <v>12.36</v>
      </c>
      <c r="AM347" s="1">
        <v>7.68</v>
      </c>
      <c r="AN347" s="80">
        <f t="shared" si="163"/>
        <v>100</v>
      </c>
      <c r="AO347" s="2">
        <v>2240.0000000000091</v>
      </c>
      <c r="AP347" s="13">
        <f t="shared" si="175"/>
        <v>2240.0000000000091</v>
      </c>
      <c r="AQ347" s="2">
        <v>20.613496932515623</v>
      </c>
      <c r="AR347" s="17">
        <f t="shared" si="176"/>
        <v>1</v>
      </c>
      <c r="AS347" s="16">
        <f t="shared" si="170"/>
        <v>0.72460496613995473</v>
      </c>
      <c r="AT347" s="16">
        <f t="shared" si="164"/>
        <v>0.26978193146417451</v>
      </c>
      <c r="AU347" s="16">
        <f t="shared" si="177"/>
        <v>0.44668587896253603</v>
      </c>
      <c r="AV347" s="57">
        <f t="shared" si="161"/>
        <v>274.43912599999999</v>
      </c>
      <c r="AW347" s="57">
        <f t="shared" si="165"/>
        <v>16.049999999999997</v>
      </c>
      <c r="AX347" s="57">
        <f t="shared" si="154"/>
        <v>6.1999999999999993</v>
      </c>
      <c r="AY347" s="57">
        <f t="shared" si="167"/>
        <v>19.59</v>
      </c>
      <c r="AZ347" s="57">
        <f t="shared" si="168"/>
        <v>4.68</v>
      </c>
      <c r="BA347" s="60" t="str">
        <f t="shared" si="171"/>
        <v/>
      </c>
      <c r="BB347" s="60">
        <f t="shared" si="172"/>
        <v>0.72460496613995473</v>
      </c>
      <c r="BC347" s="60"/>
      <c r="BD347" s="60">
        <f t="shared" si="173"/>
        <v>0.44668587896253603</v>
      </c>
      <c r="BE347" s="6">
        <f t="shared" si="166"/>
        <v>5.5028571428571418</v>
      </c>
      <c r="BF347" s="6">
        <f t="shared" si="174"/>
        <v>2.4566326530612139</v>
      </c>
    </row>
    <row r="348" spans="1:58" ht="15.75">
      <c r="A348" s="12" t="s">
        <v>7</v>
      </c>
      <c r="B348" s="94">
        <v>45608</v>
      </c>
      <c r="C348" s="1">
        <v>104</v>
      </c>
      <c r="D348" s="3">
        <v>343</v>
      </c>
      <c r="E348" s="205" t="str">
        <f t="shared" si="169"/>
        <v/>
      </c>
      <c r="K348" s="10" t="str">
        <f t="shared" si="150"/>
        <v/>
      </c>
      <c r="L348" s="9" t="str">
        <f t="shared" si="151"/>
        <v/>
      </c>
      <c r="M348" s="8" t="str">
        <f t="shared" si="152"/>
        <v/>
      </c>
      <c r="X348" s="6">
        <v>1.92</v>
      </c>
      <c r="AB348" s="5">
        <v>80</v>
      </c>
      <c r="AG348" s="1">
        <v>1.28</v>
      </c>
      <c r="AH348" s="101">
        <v>0.52071759259259254</v>
      </c>
      <c r="AJ348" s="1">
        <v>175</v>
      </c>
      <c r="AK348" s="3">
        <v>180</v>
      </c>
      <c r="AN348" s="80">
        <f t="shared" si="163"/>
        <v>100</v>
      </c>
      <c r="AP348" s="13">
        <f t="shared" si="175"/>
        <v>2240.0000000000091</v>
      </c>
      <c r="AR348" s="17" t="e">
        <f t="shared" si="176"/>
        <v>#VALUE!</v>
      </c>
      <c r="AS348" s="16" t="e">
        <f t="shared" si="170"/>
        <v>#DIV/0!</v>
      </c>
      <c r="AT348" s="16" t="e">
        <f t="shared" si="164"/>
        <v>#DIV/0!</v>
      </c>
      <c r="AU348" s="16" t="e">
        <f t="shared" si="177"/>
        <v>#DIV/0!</v>
      </c>
      <c r="AV348" s="57" t="str">
        <f t="shared" si="161"/>
        <v/>
      </c>
      <c r="AW348" s="57" t="str">
        <f t="shared" si="165"/>
        <v/>
      </c>
      <c r="AX348" s="57" t="str">
        <f t="shared" si="154"/>
        <v/>
      </c>
      <c r="AY348" s="57" t="str">
        <f t="shared" si="167"/>
        <v/>
      </c>
      <c r="AZ348" s="57" t="str">
        <f t="shared" si="168"/>
        <v/>
      </c>
      <c r="BA348" s="60" t="str">
        <f t="shared" si="171"/>
        <v/>
      </c>
      <c r="BB348" s="60" t="str">
        <f t="shared" si="172"/>
        <v/>
      </c>
      <c r="BC348" s="60"/>
      <c r="BD348" s="60" t="str">
        <f t="shared" si="173"/>
        <v/>
      </c>
      <c r="BE348" s="6" t="str">
        <f t="shared" si="166"/>
        <v/>
      </c>
      <c r="BF348" s="6" t="str">
        <f t="shared" si="174"/>
        <v/>
      </c>
    </row>
    <row r="349" spans="1:58" ht="15.75">
      <c r="B349" s="94">
        <v>45609</v>
      </c>
      <c r="C349" s="1">
        <v>105</v>
      </c>
      <c r="D349" s="3">
        <v>344</v>
      </c>
      <c r="E349" s="205" t="str">
        <f t="shared" si="169"/>
        <v/>
      </c>
      <c r="K349" s="10" t="str">
        <f t="shared" si="150"/>
        <v/>
      </c>
      <c r="L349" s="9" t="str">
        <f t="shared" si="151"/>
        <v/>
      </c>
      <c r="M349" s="8" t="str">
        <f t="shared" si="152"/>
        <v/>
      </c>
      <c r="X349" s="6">
        <v>0.18</v>
      </c>
      <c r="AB349" s="5">
        <v>80</v>
      </c>
      <c r="AG349" s="67">
        <v>5.04</v>
      </c>
      <c r="AH349" s="101">
        <v>0.50844907407407403</v>
      </c>
      <c r="AJ349" s="1">
        <v>175</v>
      </c>
      <c r="AK349" s="3">
        <v>180</v>
      </c>
      <c r="AN349" s="80">
        <f t="shared" si="163"/>
        <v>100</v>
      </c>
      <c r="AP349" s="13">
        <f t="shared" si="175"/>
        <v>2240.0000000000091</v>
      </c>
      <c r="AR349" s="17" t="e">
        <f t="shared" si="176"/>
        <v>#VALUE!</v>
      </c>
      <c r="AS349" s="16" t="e">
        <f t="shared" si="170"/>
        <v>#DIV/0!</v>
      </c>
      <c r="AT349" s="16" t="e">
        <f t="shared" si="164"/>
        <v>#DIV/0!</v>
      </c>
      <c r="AU349" s="16" t="e">
        <f t="shared" si="177"/>
        <v>#DIV/0!</v>
      </c>
      <c r="AV349" s="57" t="str">
        <f t="shared" si="161"/>
        <v/>
      </c>
      <c r="AW349" s="57" t="str">
        <f t="shared" si="165"/>
        <v/>
      </c>
      <c r="AX349" s="57" t="str">
        <f t="shared" si="154"/>
        <v/>
      </c>
      <c r="AY349" s="57" t="str">
        <f t="shared" si="167"/>
        <v/>
      </c>
      <c r="AZ349" s="57" t="str">
        <f t="shared" si="168"/>
        <v/>
      </c>
      <c r="BA349" s="60" t="str">
        <f t="shared" si="171"/>
        <v/>
      </c>
      <c r="BB349" s="60" t="str">
        <f t="shared" si="172"/>
        <v/>
      </c>
      <c r="BC349" s="60"/>
      <c r="BD349" s="60" t="str">
        <f t="shared" si="173"/>
        <v/>
      </c>
      <c r="BE349" s="6" t="str">
        <f t="shared" si="166"/>
        <v/>
      </c>
      <c r="BF349" s="6" t="str">
        <f t="shared" si="174"/>
        <v/>
      </c>
    </row>
    <row r="350" spans="1:58" ht="15.75">
      <c r="A350" s="111" t="s">
        <v>94</v>
      </c>
      <c r="B350" s="110">
        <v>45610</v>
      </c>
      <c r="C350" s="1">
        <v>106</v>
      </c>
      <c r="D350" s="3">
        <v>345</v>
      </c>
      <c r="E350" s="205" t="str">
        <f t="shared" si="169"/>
        <v/>
      </c>
      <c r="K350" s="10" t="str">
        <f t="shared" si="150"/>
        <v/>
      </c>
      <c r="L350" s="9" t="str">
        <f t="shared" si="151"/>
        <v/>
      </c>
      <c r="M350" s="8" t="str">
        <f t="shared" si="152"/>
        <v/>
      </c>
      <c r="X350" s="6">
        <v>0.18</v>
      </c>
      <c r="AB350" s="5">
        <v>80</v>
      </c>
      <c r="AG350" s="67">
        <v>5.16</v>
      </c>
      <c r="AH350" s="101">
        <v>0.52083333333333337</v>
      </c>
      <c r="AJ350" s="1">
        <v>175</v>
      </c>
      <c r="AK350" s="3">
        <v>180</v>
      </c>
      <c r="AN350" s="80">
        <f t="shared" si="163"/>
        <v>100</v>
      </c>
      <c r="AP350" s="103">
        <f>AVERAGE(AO347,AO356)</f>
        <v>2180.0000000000182</v>
      </c>
      <c r="AR350" s="17" t="e">
        <f t="shared" si="176"/>
        <v>#VALUE!</v>
      </c>
      <c r="AS350" s="16" t="e">
        <f t="shared" si="170"/>
        <v>#DIV/0!</v>
      </c>
      <c r="AT350" s="16" t="e">
        <f t="shared" si="164"/>
        <v>#DIV/0!</v>
      </c>
      <c r="AU350" s="16" t="e">
        <f t="shared" si="177"/>
        <v>#DIV/0!</v>
      </c>
      <c r="AV350" s="57" t="str">
        <f t="shared" si="161"/>
        <v/>
      </c>
      <c r="AW350" s="57" t="str">
        <f t="shared" si="165"/>
        <v/>
      </c>
      <c r="AX350" s="57" t="str">
        <f t="shared" si="154"/>
        <v/>
      </c>
      <c r="AY350" s="57" t="str">
        <f t="shared" si="167"/>
        <v/>
      </c>
      <c r="AZ350" s="57" t="str">
        <f t="shared" si="168"/>
        <v/>
      </c>
      <c r="BA350" s="60" t="str">
        <f t="shared" si="171"/>
        <v/>
      </c>
      <c r="BB350" s="60" t="str">
        <f t="shared" si="172"/>
        <v/>
      </c>
      <c r="BC350" s="60"/>
      <c r="BD350" s="60" t="str">
        <f t="shared" si="173"/>
        <v/>
      </c>
      <c r="BE350" s="6" t="str">
        <f t="shared" si="166"/>
        <v/>
      </c>
      <c r="BF350" s="6" t="str">
        <f t="shared" si="174"/>
        <v/>
      </c>
    </row>
    <row r="351" spans="1:58" ht="15.75">
      <c r="B351" s="94">
        <v>45611</v>
      </c>
      <c r="C351" s="1">
        <v>107</v>
      </c>
      <c r="D351" s="3">
        <v>346</v>
      </c>
      <c r="E351" s="205" t="str">
        <f t="shared" si="169"/>
        <v/>
      </c>
      <c r="K351" s="10" t="str">
        <f t="shared" si="150"/>
        <v/>
      </c>
      <c r="L351" s="9" t="str">
        <f t="shared" si="151"/>
        <v/>
      </c>
      <c r="M351" s="8" t="str">
        <f t="shared" si="152"/>
        <v/>
      </c>
      <c r="X351" s="6">
        <v>0.18</v>
      </c>
      <c r="AB351" s="5">
        <v>80</v>
      </c>
      <c r="AG351" s="67">
        <v>5.0599999999999996</v>
      </c>
      <c r="AH351" s="101">
        <v>0.52083333333333337</v>
      </c>
      <c r="AJ351" s="1">
        <v>175</v>
      </c>
      <c r="AK351" s="3">
        <v>180</v>
      </c>
      <c r="AN351" s="80">
        <f t="shared" si="163"/>
        <v>100</v>
      </c>
      <c r="AP351" s="103">
        <f>AVERAGE(AO347,AO356)</f>
        <v>2180.0000000000182</v>
      </c>
      <c r="AR351" s="17" t="e">
        <f t="shared" si="176"/>
        <v>#VALUE!</v>
      </c>
      <c r="AS351" s="16" t="e">
        <f t="shared" si="170"/>
        <v>#DIV/0!</v>
      </c>
      <c r="AT351" s="16" t="e">
        <f t="shared" si="164"/>
        <v>#DIV/0!</v>
      </c>
      <c r="AU351" s="16" t="e">
        <f t="shared" si="177"/>
        <v>#DIV/0!</v>
      </c>
      <c r="AV351" s="57" t="str">
        <f t="shared" si="161"/>
        <v/>
      </c>
      <c r="AW351" s="57" t="str">
        <f t="shared" si="165"/>
        <v/>
      </c>
      <c r="AX351" s="57" t="str">
        <f t="shared" si="154"/>
        <v/>
      </c>
      <c r="AY351" s="57" t="str">
        <f t="shared" si="167"/>
        <v/>
      </c>
      <c r="AZ351" s="57" t="str">
        <f t="shared" si="168"/>
        <v/>
      </c>
      <c r="BA351" s="60" t="str">
        <f t="shared" si="171"/>
        <v/>
      </c>
      <c r="BB351" s="60" t="str">
        <f t="shared" si="172"/>
        <v/>
      </c>
      <c r="BC351" s="60"/>
      <c r="BD351" s="60" t="str">
        <f t="shared" si="173"/>
        <v/>
      </c>
      <c r="BE351" s="6" t="str">
        <f t="shared" si="166"/>
        <v/>
      </c>
      <c r="BF351" s="6" t="str">
        <f t="shared" si="174"/>
        <v/>
      </c>
    </row>
    <row r="352" spans="1:58" ht="15.75">
      <c r="B352" s="94">
        <v>45612</v>
      </c>
      <c r="C352" s="1">
        <v>108</v>
      </c>
      <c r="D352" s="3">
        <v>347</v>
      </c>
      <c r="E352" s="205" t="str">
        <f t="shared" si="169"/>
        <v/>
      </c>
      <c r="K352" s="10" t="str">
        <f t="shared" si="150"/>
        <v/>
      </c>
      <c r="L352" s="9" t="str">
        <f t="shared" si="151"/>
        <v/>
      </c>
      <c r="M352" s="8" t="str">
        <f t="shared" si="152"/>
        <v/>
      </c>
      <c r="X352" s="6">
        <v>0.18</v>
      </c>
      <c r="AB352" s="5">
        <v>80</v>
      </c>
      <c r="AG352" s="67">
        <v>4.93</v>
      </c>
      <c r="AH352" s="101">
        <v>0.51979166666666665</v>
      </c>
      <c r="AJ352" s="1">
        <v>175</v>
      </c>
      <c r="AK352" s="3">
        <v>180</v>
      </c>
      <c r="AN352" s="80">
        <f t="shared" si="163"/>
        <v>100</v>
      </c>
      <c r="AP352" s="103">
        <f>AVERAGE(AO347,AO356)</f>
        <v>2180.0000000000182</v>
      </c>
      <c r="AR352" s="17" t="e">
        <f t="shared" si="176"/>
        <v>#VALUE!</v>
      </c>
      <c r="AS352" s="16" t="e">
        <f t="shared" si="170"/>
        <v>#DIV/0!</v>
      </c>
      <c r="AT352" s="16" t="e">
        <f t="shared" si="164"/>
        <v>#DIV/0!</v>
      </c>
      <c r="AU352" s="16" t="e">
        <f t="shared" si="177"/>
        <v>#DIV/0!</v>
      </c>
      <c r="AV352" s="57" t="str">
        <f t="shared" si="161"/>
        <v/>
      </c>
      <c r="AW352" s="57" t="str">
        <f t="shared" si="165"/>
        <v/>
      </c>
      <c r="AX352" s="57" t="str">
        <f t="shared" si="154"/>
        <v/>
      </c>
      <c r="AY352" s="57" t="str">
        <f t="shared" si="167"/>
        <v/>
      </c>
      <c r="AZ352" s="57" t="str">
        <f t="shared" si="168"/>
        <v/>
      </c>
      <c r="BA352" s="60" t="str">
        <f t="shared" si="171"/>
        <v/>
      </c>
      <c r="BB352" s="60" t="str">
        <f t="shared" si="172"/>
        <v/>
      </c>
      <c r="BC352" s="60"/>
      <c r="BD352" s="60" t="str">
        <f t="shared" si="173"/>
        <v/>
      </c>
      <c r="BE352" s="6" t="str">
        <f t="shared" si="166"/>
        <v/>
      </c>
      <c r="BF352" s="6" t="str">
        <f t="shared" si="174"/>
        <v/>
      </c>
    </row>
    <row r="353" spans="1:58" ht="15.75">
      <c r="B353" s="94">
        <v>45613</v>
      </c>
      <c r="C353" s="1">
        <v>109</v>
      </c>
      <c r="D353" s="3">
        <v>348</v>
      </c>
      <c r="E353" s="205" t="str">
        <f t="shared" si="169"/>
        <v/>
      </c>
      <c r="K353" s="10" t="str">
        <f t="shared" si="150"/>
        <v/>
      </c>
      <c r="L353" s="9" t="str">
        <f t="shared" si="151"/>
        <v/>
      </c>
      <c r="M353" s="8" t="str">
        <f t="shared" si="152"/>
        <v/>
      </c>
      <c r="X353" s="6">
        <v>0.18</v>
      </c>
      <c r="AB353" s="5">
        <v>80</v>
      </c>
      <c r="AG353" s="67">
        <v>5.35</v>
      </c>
      <c r="AH353" s="101">
        <v>0.52083333333333337</v>
      </c>
      <c r="AJ353" s="1">
        <v>175</v>
      </c>
      <c r="AK353" s="3">
        <v>180</v>
      </c>
      <c r="AN353" s="80">
        <f t="shared" si="163"/>
        <v>100</v>
      </c>
      <c r="AP353" s="13">
        <f t="shared" ref="AP353:AP358" si="178">AVERAGE(AO351:AO357)</f>
        <v>2120.0000000000273</v>
      </c>
      <c r="AR353" s="17" t="e">
        <f t="shared" si="176"/>
        <v>#VALUE!</v>
      </c>
      <c r="AS353" s="16" t="e">
        <f t="shared" si="170"/>
        <v>#DIV/0!</v>
      </c>
      <c r="AT353" s="16" t="e">
        <f t="shared" si="164"/>
        <v>#DIV/0!</v>
      </c>
      <c r="AU353" s="16" t="e">
        <f t="shared" si="177"/>
        <v>#DIV/0!</v>
      </c>
      <c r="AV353" s="57" t="str">
        <f t="shared" si="161"/>
        <v/>
      </c>
      <c r="AW353" s="57" t="str">
        <f t="shared" si="165"/>
        <v/>
      </c>
      <c r="AX353" s="57" t="str">
        <f t="shared" si="154"/>
        <v/>
      </c>
      <c r="AY353" s="57" t="str">
        <f t="shared" si="167"/>
        <v/>
      </c>
      <c r="AZ353" s="57" t="str">
        <f t="shared" si="168"/>
        <v/>
      </c>
      <c r="BA353" s="60" t="str">
        <f t="shared" si="171"/>
        <v/>
      </c>
      <c r="BB353" s="60" t="str">
        <f t="shared" si="172"/>
        <v/>
      </c>
      <c r="BC353" s="60"/>
      <c r="BD353" s="60" t="str">
        <f t="shared" si="173"/>
        <v/>
      </c>
      <c r="BE353" s="6" t="str">
        <f t="shared" si="166"/>
        <v/>
      </c>
      <c r="BF353" s="6" t="str">
        <f t="shared" si="174"/>
        <v/>
      </c>
    </row>
    <row r="354" spans="1:58" ht="15.75">
      <c r="B354" s="94">
        <v>45614</v>
      </c>
      <c r="C354" s="1">
        <v>110</v>
      </c>
      <c r="D354" s="3">
        <v>349</v>
      </c>
      <c r="E354" s="205" t="str">
        <f t="shared" si="169"/>
        <v/>
      </c>
      <c r="K354" s="10" t="str">
        <f t="shared" si="150"/>
        <v/>
      </c>
      <c r="L354" s="9" t="str">
        <f t="shared" si="151"/>
        <v/>
      </c>
      <c r="M354" s="8" t="str">
        <f t="shared" si="152"/>
        <v/>
      </c>
      <c r="X354" s="6">
        <v>0.19</v>
      </c>
      <c r="AB354" s="5">
        <v>80</v>
      </c>
      <c r="AG354" s="67">
        <v>5.1100000000000003</v>
      </c>
      <c r="AH354" s="101">
        <v>0.5200231481481481</v>
      </c>
      <c r="AJ354" s="1">
        <v>175</v>
      </c>
      <c r="AK354" s="3">
        <v>180</v>
      </c>
      <c r="AN354" s="80">
        <f t="shared" si="163"/>
        <v>100</v>
      </c>
      <c r="AP354" s="13">
        <f t="shared" si="178"/>
        <v>2120.0000000000273</v>
      </c>
      <c r="AR354" s="17" t="e">
        <f t="shared" si="176"/>
        <v>#VALUE!</v>
      </c>
      <c r="AS354" s="16" t="e">
        <f t="shared" si="170"/>
        <v>#DIV/0!</v>
      </c>
      <c r="AT354" s="16" t="e">
        <f t="shared" si="164"/>
        <v>#DIV/0!</v>
      </c>
      <c r="AU354" s="16" t="e">
        <f t="shared" si="177"/>
        <v>#DIV/0!</v>
      </c>
      <c r="AV354" s="57" t="str">
        <f t="shared" si="161"/>
        <v/>
      </c>
      <c r="AW354" s="57" t="str">
        <f t="shared" si="165"/>
        <v/>
      </c>
      <c r="AX354" s="57" t="str">
        <f t="shared" si="154"/>
        <v/>
      </c>
      <c r="AY354" s="57" t="str">
        <f t="shared" si="167"/>
        <v/>
      </c>
      <c r="AZ354" s="57" t="str">
        <f t="shared" si="168"/>
        <v/>
      </c>
      <c r="BA354" s="60" t="str">
        <f t="shared" si="171"/>
        <v/>
      </c>
      <c r="BB354" s="60" t="str">
        <f t="shared" si="172"/>
        <v/>
      </c>
      <c r="BC354" s="60"/>
      <c r="BD354" s="60" t="str">
        <f t="shared" si="173"/>
        <v/>
      </c>
      <c r="BE354" s="6" t="str">
        <f t="shared" si="166"/>
        <v/>
      </c>
      <c r="BF354" s="6" t="str">
        <f t="shared" si="174"/>
        <v/>
      </c>
    </row>
    <row r="355" spans="1:58" ht="15.75">
      <c r="B355" s="94">
        <v>45615</v>
      </c>
      <c r="C355" s="1">
        <v>111</v>
      </c>
      <c r="D355" s="3">
        <v>350</v>
      </c>
      <c r="E355" s="205">
        <f t="shared" si="169"/>
        <v>253.13155</v>
      </c>
      <c r="G355" s="15">
        <f>(N355*18-H355*18)/9</f>
        <v>13.98</v>
      </c>
      <c r="H355" s="9">
        <v>4.26</v>
      </c>
      <c r="I355" s="15">
        <f>AD355</f>
        <v>25.150000000000002</v>
      </c>
      <c r="K355" s="10">
        <f t="shared" si="150"/>
        <v>18.106691702432045</v>
      </c>
      <c r="L355" s="9">
        <f t="shared" si="151"/>
        <v>5.0324363817097408</v>
      </c>
      <c r="M355" s="8">
        <f t="shared" si="152"/>
        <v>3.5979971387696712</v>
      </c>
      <c r="N355" s="7">
        <f>5*2.25</f>
        <v>11.25</v>
      </c>
      <c r="O355">
        <v>79.873000000000005</v>
      </c>
      <c r="P355">
        <v>27.306000000000001</v>
      </c>
      <c r="Q355" s="6">
        <f>O355*1.067</f>
        <v>85.224491</v>
      </c>
      <c r="R355" s="6">
        <f>P355*1.514</f>
        <v>41.341284000000002</v>
      </c>
      <c r="S355" s="23">
        <f>P355*1.514+O355*1.067</f>
        <v>126.565775</v>
      </c>
      <c r="T355" s="6">
        <f>5*4.9</f>
        <v>24.5</v>
      </c>
      <c r="U355">
        <v>1.6579999999999999</v>
      </c>
      <c r="V355">
        <v>1.883</v>
      </c>
      <c r="W355" s="23">
        <f>U355*1.067+V355*1.514</f>
        <v>4.6199479999999999</v>
      </c>
      <c r="X355" s="6">
        <v>0.46</v>
      </c>
      <c r="AB355" s="5">
        <v>80</v>
      </c>
      <c r="AC355" s="7">
        <f>T355</f>
        <v>24.5</v>
      </c>
      <c r="AD355" s="1">
        <f>5*5.03</f>
        <v>25.150000000000002</v>
      </c>
      <c r="AE355" s="1">
        <f>5*2.66</f>
        <v>13.3</v>
      </c>
      <c r="AF355" s="1">
        <f>2*5.58</f>
        <v>11.16</v>
      </c>
      <c r="AG355" s="67">
        <v>3.88</v>
      </c>
      <c r="AH355" s="101">
        <v>0.52013888888888893</v>
      </c>
      <c r="AJ355" s="1">
        <v>175</v>
      </c>
      <c r="AK355" s="3">
        <v>180</v>
      </c>
      <c r="AL355" s="4">
        <f>AE355</f>
        <v>13.3</v>
      </c>
      <c r="AM355" s="1">
        <f>5*1.95</f>
        <v>9.75</v>
      </c>
      <c r="AN355" s="80">
        <f t="shared" si="163"/>
        <v>100</v>
      </c>
      <c r="AP355" s="13">
        <f t="shared" si="178"/>
        <v>2120.0000000000273</v>
      </c>
      <c r="AR355" s="17">
        <f t="shared" si="176"/>
        <v>0.98174882585754331</v>
      </c>
      <c r="AS355" s="16">
        <f t="shared" si="170"/>
        <v>0.55626242544731619</v>
      </c>
      <c r="AT355" s="16">
        <f t="shared" si="164"/>
        <v>0.27734095782701923</v>
      </c>
      <c r="AU355" s="16">
        <f t="shared" si="177"/>
        <v>0.30257510729613735</v>
      </c>
      <c r="AV355" s="57">
        <f t="shared" si="161"/>
        <v>248.51160200000001</v>
      </c>
      <c r="AW355" s="57">
        <f t="shared" si="165"/>
        <v>13.990000000000002</v>
      </c>
      <c r="AX355" s="57">
        <f t="shared" si="154"/>
        <v>4.2300000000000004</v>
      </c>
      <c r="AY355" s="57">
        <f t="shared" si="167"/>
        <v>11.2</v>
      </c>
      <c r="AZ355" s="57">
        <f t="shared" si="168"/>
        <v>3.5500000000000007</v>
      </c>
      <c r="BA355" s="60">
        <f t="shared" si="171"/>
        <v>0.98174882585754331</v>
      </c>
      <c r="BB355" s="60">
        <f t="shared" si="172"/>
        <v>0.55626242544731619</v>
      </c>
      <c r="BC355" s="60">
        <f t="shared" ref="BC355:BC373" si="179">IF(AND($AG355&gt;=0,$AD355&gt;=0,$AF355&gt;=0),IF($AG355/($AD355-$AF355)&gt;0,$AG355/($AD355-$AF355),0),"")</f>
        <v>0.27734095782701923</v>
      </c>
      <c r="BD355" s="60">
        <f t="shared" si="173"/>
        <v>0.30257510729613735</v>
      </c>
      <c r="BE355" s="6">
        <f t="shared" si="166"/>
        <v>4.7965714285714292</v>
      </c>
      <c r="BF355" s="6">
        <f t="shared" si="174"/>
        <v>2.2625336927223434</v>
      </c>
    </row>
    <row r="356" spans="1:58" ht="15.75">
      <c r="B356" s="94">
        <v>45616</v>
      </c>
      <c r="C356" s="1">
        <v>112</v>
      </c>
      <c r="D356" s="3">
        <v>351</v>
      </c>
      <c r="E356" s="205" t="str">
        <f t="shared" si="169"/>
        <v/>
      </c>
      <c r="K356" s="10" t="str">
        <f t="shared" si="150"/>
        <v/>
      </c>
      <c r="L356" s="9" t="str">
        <f t="shared" si="151"/>
        <v/>
      </c>
      <c r="M356" s="8" t="str">
        <f t="shared" si="152"/>
        <v/>
      </c>
      <c r="X356" s="6">
        <v>0.18</v>
      </c>
      <c r="AB356" s="5">
        <v>80</v>
      </c>
      <c r="AD356" s="95">
        <v>24.5</v>
      </c>
      <c r="AG356" s="67">
        <v>3.93</v>
      </c>
      <c r="AH356" s="101">
        <v>0.52025462962962965</v>
      </c>
      <c r="AJ356" s="1">
        <v>175</v>
      </c>
      <c r="AK356" s="3">
        <v>180</v>
      </c>
      <c r="AN356" s="80">
        <f t="shared" si="163"/>
        <v>100</v>
      </c>
      <c r="AO356" s="2">
        <v>2120.0000000000273</v>
      </c>
      <c r="AP356" s="13">
        <f t="shared" si="178"/>
        <v>2120.0000000000273</v>
      </c>
      <c r="AQ356" s="2">
        <v>21.469562281985027</v>
      </c>
      <c r="AR356" s="17"/>
      <c r="AS356" s="16"/>
      <c r="AT356" s="16"/>
      <c r="AU356" s="16"/>
      <c r="AV356" s="57" t="str">
        <f t="shared" si="161"/>
        <v/>
      </c>
      <c r="AW356" s="57" t="str">
        <f t="shared" si="165"/>
        <v/>
      </c>
      <c r="AX356" s="57" t="str">
        <f t="shared" si="154"/>
        <v/>
      </c>
      <c r="AY356" s="57" t="str">
        <f t="shared" si="167"/>
        <v/>
      </c>
      <c r="AZ356" s="57" t="str">
        <f t="shared" si="168"/>
        <v/>
      </c>
      <c r="BA356" s="60" t="str">
        <f t="shared" si="171"/>
        <v/>
      </c>
      <c r="BB356" s="60" t="str">
        <f t="shared" si="172"/>
        <v/>
      </c>
      <c r="BC356" s="60">
        <f t="shared" si="179"/>
        <v>0.16040816326530613</v>
      </c>
      <c r="BD356" s="60" t="str">
        <f t="shared" si="173"/>
        <v/>
      </c>
      <c r="BE356" s="6">
        <f t="shared" si="166"/>
        <v>8.4</v>
      </c>
      <c r="BF356" s="6" t="str">
        <f t="shared" si="174"/>
        <v/>
      </c>
    </row>
    <row r="357" spans="1:58" ht="15.75">
      <c r="B357" s="94">
        <v>45617</v>
      </c>
      <c r="C357" s="1">
        <v>113</v>
      </c>
      <c r="D357" s="3">
        <v>352</v>
      </c>
      <c r="E357" s="205" t="str">
        <f t="shared" si="169"/>
        <v/>
      </c>
      <c r="K357" s="10" t="str">
        <f t="shared" ref="K357:K420" si="180">IF(OR(E357="",G357="",E357=0,G357=0),"",E357/G357)</f>
        <v/>
      </c>
      <c r="L357" s="9" t="str">
        <f t="shared" ref="L357:L420" si="181">IF(OR(E357="",I357="",E357=0,I357=0),"",E357/(I357*2))</f>
        <v/>
      </c>
      <c r="M357" s="8" t="str">
        <f t="shared" ref="M357:M420" si="182">IF(OR(I357="",G357="",I357=0,G357=0),"",I357*2/G357)</f>
        <v/>
      </c>
      <c r="X357" s="6">
        <v>0.18</v>
      </c>
      <c r="AB357" s="5">
        <v>80</v>
      </c>
      <c r="AD357" s="95">
        <v>24</v>
      </c>
      <c r="AG357" s="67">
        <v>3.95</v>
      </c>
      <c r="AH357" s="101">
        <v>0.51932870370370365</v>
      </c>
      <c r="AJ357" s="1">
        <v>175</v>
      </c>
      <c r="AK357" s="3">
        <v>180</v>
      </c>
      <c r="AN357" s="80">
        <f t="shared" si="163"/>
        <v>100</v>
      </c>
      <c r="AP357" s="13">
        <f t="shared" si="178"/>
        <v>2120.0000000000273</v>
      </c>
      <c r="AR357" s="17"/>
      <c r="AS357" s="16"/>
      <c r="AT357" s="16"/>
      <c r="AU357" s="16"/>
      <c r="AV357" s="57" t="str">
        <f t="shared" si="161"/>
        <v/>
      </c>
      <c r="AW357" s="57" t="str">
        <f t="shared" si="165"/>
        <v/>
      </c>
      <c r="AX357" s="57" t="str">
        <f t="shared" si="154"/>
        <v/>
      </c>
      <c r="AY357" s="57" t="str">
        <f t="shared" si="167"/>
        <v/>
      </c>
      <c r="AZ357" s="57" t="str">
        <f t="shared" si="168"/>
        <v/>
      </c>
      <c r="BA357" s="60" t="str">
        <f t="shared" si="171"/>
        <v/>
      </c>
      <c r="BB357" s="60" t="str">
        <f t="shared" si="172"/>
        <v/>
      </c>
      <c r="BC357" s="60">
        <f t="shared" si="179"/>
        <v>0.16458333333333333</v>
      </c>
      <c r="BD357" s="60" t="str">
        <f t="shared" si="173"/>
        <v/>
      </c>
      <c r="BE357" s="6">
        <f t="shared" si="166"/>
        <v>8.2285714285714295</v>
      </c>
      <c r="BF357" s="6" t="str">
        <f t="shared" si="174"/>
        <v/>
      </c>
    </row>
    <row r="358" spans="1:58" ht="15.75">
      <c r="B358" s="94">
        <v>45618</v>
      </c>
      <c r="C358" s="1">
        <v>114</v>
      </c>
      <c r="D358" s="3">
        <v>353</v>
      </c>
      <c r="E358" s="205" t="str">
        <f t="shared" si="169"/>
        <v/>
      </c>
      <c r="K358" s="10" t="str">
        <f t="shared" si="180"/>
        <v/>
      </c>
      <c r="L358" s="9" t="str">
        <f t="shared" si="181"/>
        <v/>
      </c>
      <c r="M358" s="8" t="str">
        <f t="shared" si="182"/>
        <v/>
      </c>
      <c r="X358" s="6">
        <v>0.17</v>
      </c>
      <c r="AB358" s="5">
        <v>80</v>
      </c>
      <c r="AD358" s="95">
        <v>23.5</v>
      </c>
      <c r="AG358" s="67">
        <v>4.4800000000000004</v>
      </c>
      <c r="AH358" s="101">
        <v>0.51967592592592593</v>
      </c>
      <c r="AJ358" s="1">
        <v>175</v>
      </c>
      <c r="AK358" s="3">
        <v>180</v>
      </c>
      <c r="AN358" s="80">
        <f t="shared" si="163"/>
        <v>100</v>
      </c>
      <c r="AP358" s="13">
        <f t="shared" si="178"/>
        <v>2205.0000000000068</v>
      </c>
      <c r="AR358" s="17"/>
      <c r="AS358" s="16"/>
      <c r="AT358" s="16"/>
      <c r="AU358" s="16"/>
      <c r="AV358" s="57" t="str">
        <f t="shared" si="161"/>
        <v/>
      </c>
      <c r="AW358" s="57" t="str">
        <f t="shared" si="165"/>
        <v/>
      </c>
      <c r="AX358" s="57" t="str">
        <f t="shared" si="154"/>
        <v/>
      </c>
      <c r="AY358" s="57" t="str">
        <f t="shared" si="167"/>
        <v/>
      </c>
      <c r="AZ358" s="57" t="str">
        <f t="shared" si="168"/>
        <v/>
      </c>
      <c r="BA358" s="60" t="str">
        <f t="shared" si="171"/>
        <v/>
      </c>
      <c r="BB358" s="60" t="str">
        <f t="shared" si="172"/>
        <v/>
      </c>
      <c r="BC358" s="60">
        <f t="shared" si="179"/>
        <v>0.19063829787234043</v>
      </c>
      <c r="BD358" s="60" t="str">
        <f t="shared" si="173"/>
        <v/>
      </c>
      <c r="BE358" s="6">
        <f t="shared" si="166"/>
        <v>8.0571428571428569</v>
      </c>
      <c r="BF358" s="6" t="str">
        <f t="shared" si="174"/>
        <v/>
      </c>
    </row>
    <row r="359" spans="1:58" ht="15.75">
      <c r="B359" s="94">
        <v>45619</v>
      </c>
      <c r="C359" s="1">
        <v>115</v>
      </c>
      <c r="D359" s="3">
        <v>354</v>
      </c>
      <c r="E359" s="205" t="str">
        <f t="shared" si="169"/>
        <v/>
      </c>
      <c r="K359" s="10" t="str">
        <f t="shared" si="180"/>
        <v/>
      </c>
      <c r="L359" s="9" t="str">
        <f t="shared" si="181"/>
        <v/>
      </c>
      <c r="M359" s="8" t="str">
        <f t="shared" si="182"/>
        <v/>
      </c>
      <c r="X359" s="6">
        <v>0.44</v>
      </c>
      <c r="AB359" s="5">
        <v>80</v>
      </c>
      <c r="AD359" s="95">
        <v>23</v>
      </c>
      <c r="AG359" s="67">
        <v>4.6500000000000004</v>
      </c>
      <c r="AH359" s="101">
        <v>0.51168981481481479</v>
      </c>
      <c r="AJ359" s="1">
        <v>175</v>
      </c>
      <c r="AK359" s="3">
        <v>180</v>
      </c>
      <c r="AN359" s="80">
        <f t="shared" si="163"/>
        <v>100</v>
      </c>
      <c r="AP359" s="13"/>
      <c r="AR359" s="17"/>
      <c r="AS359" s="16"/>
      <c r="AT359" s="16"/>
      <c r="AU359" s="16"/>
      <c r="AV359" s="57" t="str">
        <f t="shared" si="161"/>
        <v/>
      </c>
      <c r="AW359" s="57" t="str">
        <f t="shared" si="165"/>
        <v/>
      </c>
      <c r="AX359" s="57" t="str">
        <f t="shared" si="154"/>
        <v/>
      </c>
      <c r="AY359" s="57" t="str">
        <f t="shared" si="167"/>
        <v/>
      </c>
      <c r="AZ359" s="57" t="str">
        <f t="shared" si="168"/>
        <v/>
      </c>
      <c r="BA359" s="60" t="str">
        <f t="shared" si="171"/>
        <v/>
      </c>
      <c r="BB359" s="60" t="str">
        <f t="shared" si="172"/>
        <v/>
      </c>
      <c r="BC359" s="60">
        <f t="shared" si="179"/>
        <v>0.20217391304347829</v>
      </c>
      <c r="BD359" s="60" t="str">
        <f t="shared" si="173"/>
        <v/>
      </c>
      <c r="BE359" s="6">
        <f t="shared" si="166"/>
        <v>7.8857142857142861</v>
      </c>
      <c r="BF359" s="6" t="str">
        <f t="shared" si="174"/>
        <v/>
      </c>
    </row>
    <row r="360" spans="1:58" ht="15.75">
      <c r="B360" s="94">
        <v>45620</v>
      </c>
      <c r="C360" s="1">
        <v>116</v>
      </c>
      <c r="D360" s="3">
        <v>355</v>
      </c>
      <c r="E360" s="205" t="str">
        <f t="shared" si="169"/>
        <v/>
      </c>
      <c r="K360" s="10" t="str">
        <f t="shared" si="180"/>
        <v/>
      </c>
      <c r="L360" s="9" t="str">
        <f t="shared" si="181"/>
        <v/>
      </c>
      <c r="M360" s="8" t="str">
        <f t="shared" si="182"/>
        <v/>
      </c>
      <c r="X360" s="6">
        <v>0.18</v>
      </c>
      <c r="AB360" s="5">
        <v>80</v>
      </c>
      <c r="AD360" s="95">
        <v>22.5</v>
      </c>
      <c r="AG360" s="67">
        <v>5.38</v>
      </c>
      <c r="AH360" s="101">
        <v>0.5180555555555556</v>
      </c>
      <c r="AJ360" s="1">
        <v>175</v>
      </c>
      <c r="AK360" s="3">
        <v>180</v>
      </c>
      <c r="AN360" s="80">
        <f t="shared" si="163"/>
        <v>100</v>
      </c>
      <c r="AP360" s="13">
        <f t="shared" ref="AP360:AP391" si="183">AVERAGE(AO358:AO364)</f>
        <v>2289.9999999999864</v>
      </c>
      <c r="AR360" s="17"/>
      <c r="AS360" s="16"/>
      <c r="AT360" s="16"/>
      <c r="AU360" s="16"/>
      <c r="AV360" s="57" t="str">
        <f t="shared" si="161"/>
        <v/>
      </c>
      <c r="AW360" s="57" t="str">
        <f t="shared" si="165"/>
        <v/>
      </c>
      <c r="AX360" s="57" t="str">
        <f t="shared" si="154"/>
        <v/>
      </c>
      <c r="AY360" s="57" t="str">
        <f t="shared" si="167"/>
        <v/>
      </c>
      <c r="AZ360" s="57" t="str">
        <f t="shared" si="168"/>
        <v/>
      </c>
      <c r="BA360" s="60" t="str">
        <f t="shared" si="171"/>
        <v/>
      </c>
      <c r="BB360" s="60" t="str">
        <f t="shared" si="172"/>
        <v/>
      </c>
      <c r="BC360" s="60">
        <f t="shared" si="179"/>
        <v>0.23911111111111111</v>
      </c>
      <c r="BD360" s="60" t="str">
        <f t="shared" si="173"/>
        <v/>
      </c>
      <c r="BE360" s="6">
        <f t="shared" si="166"/>
        <v>7.7142857142857144</v>
      </c>
      <c r="BF360" s="6" t="str">
        <f t="shared" si="174"/>
        <v/>
      </c>
    </row>
    <row r="361" spans="1:58" ht="15.75">
      <c r="B361" s="94">
        <v>45621</v>
      </c>
      <c r="C361" s="1">
        <v>117</v>
      </c>
      <c r="D361" s="3">
        <v>356</v>
      </c>
      <c r="E361" s="205" t="str">
        <f t="shared" si="169"/>
        <v/>
      </c>
      <c r="K361" s="10" t="str">
        <f t="shared" si="180"/>
        <v/>
      </c>
      <c r="L361" s="9" t="str">
        <f t="shared" si="181"/>
        <v/>
      </c>
      <c r="M361" s="8" t="str">
        <f t="shared" si="182"/>
        <v/>
      </c>
      <c r="X361" s="6">
        <v>0.19</v>
      </c>
      <c r="AB361" s="5">
        <v>80</v>
      </c>
      <c r="AD361" s="95">
        <v>22</v>
      </c>
      <c r="AG361" s="67">
        <v>5.54</v>
      </c>
      <c r="AH361" s="101">
        <v>0.50381944444444449</v>
      </c>
      <c r="AJ361" s="1">
        <v>175</v>
      </c>
      <c r="AK361" s="3">
        <v>180</v>
      </c>
      <c r="AN361" s="80">
        <f t="shared" si="163"/>
        <v>100</v>
      </c>
      <c r="AP361" s="13">
        <f t="shared" si="183"/>
        <v>2289.9999999999864</v>
      </c>
      <c r="AR361" s="17"/>
      <c r="AS361" s="16"/>
      <c r="AT361" s="16"/>
      <c r="AU361" s="16"/>
      <c r="AV361" s="57" t="str">
        <f t="shared" si="161"/>
        <v/>
      </c>
      <c r="AW361" s="57" t="str">
        <f t="shared" si="165"/>
        <v/>
      </c>
      <c r="AX361" s="57" t="str">
        <f t="shared" si="154"/>
        <v/>
      </c>
      <c r="AY361" s="57" t="str">
        <f t="shared" si="167"/>
        <v/>
      </c>
      <c r="AZ361" s="57" t="str">
        <f t="shared" si="168"/>
        <v/>
      </c>
      <c r="BA361" s="60" t="str">
        <f t="shared" si="171"/>
        <v/>
      </c>
      <c r="BB361" s="60" t="str">
        <f t="shared" si="172"/>
        <v/>
      </c>
      <c r="BC361" s="60">
        <f t="shared" si="179"/>
        <v>0.25181818181818183</v>
      </c>
      <c r="BD361" s="60" t="str">
        <f t="shared" si="173"/>
        <v/>
      </c>
      <c r="BE361" s="6">
        <f t="shared" si="166"/>
        <v>7.5428571428571436</v>
      </c>
      <c r="BF361" s="6" t="str">
        <f t="shared" si="174"/>
        <v/>
      </c>
    </row>
    <row r="362" spans="1:58" ht="15.75">
      <c r="B362" s="94">
        <v>45622</v>
      </c>
      <c r="C362" s="1">
        <v>118</v>
      </c>
      <c r="D362" s="3">
        <v>357</v>
      </c>
      <c r="E362" s="205" t="str">
        <f t="shared" si="169"/>
        <v/>
      </c>
      <c r="K362" s="10" t="str">
        <f t="shared" si="180"/>
        <v/>
      </c>
      <c r="L362" s="9" t="str">
        <f t="shared" si="181"/>
        <v/>
      </c>
      <c r="M362" s="8" t="str">
        <f t="shared" si="182"/>
        <v/>
      </c>
      <c r="X362" s="6">
        <v>0.18</v>
      </c>
      <c r="AB362" s="5">
        <v>80</v>
      </c>
      <c r="AD362" s="95">
        <v>21</v>
      </c>
      <c r="AG362" s="67">
        <v>4.41</v>
      </c>
      <c r="AH362" s="101">
        <v>0.51921296296296293</v>
      </c>
      <c r="AJ362" s="1">
        <v>175</v>
      </c>
      <c r="AK362" s="3">
        <v>180</v>
      </c>
      <c r="AN362" s="80">
        <f t="shared" si="163"/>
        <v>100</v>
      </c>
      <c r="AO362" s="109">
        <f>AVERAGE(AO356,AO369)</f>
        <v>2289.9999999999864</v>
      </c>
      <c r="AP362" s="13">
        <f t="shared" si="183"/>
        <v>2289.9999999999864</v>
      </c>
      <c r="AR362" s="17"/>
      <c r="AS362" s="16"/>
      <c r="AT362" s="16"/>
      <c r="AU362" s="16"/>
      <c r="AV362" s="57" t="str">
        <f t="shared" si="161"/>
        <v/>
      </c>
      <c r="AW362" s="57" t="str">
        <f t="shared" si="165"/>
        <v/>
      </c>
      <c r="AX362" s="57" t="str">
        <f t="shared" si="154"/>
        <v/>
      </c>
      <c r="AY362" s="57" t="str">
        <f t="shared" si="167"/>
        <v/>
      </c>
      <c r="AZ362" s="57" t="str">
        <f t="shared" si="168"/>
        <v/>
      </c>
      <c r="BA362" s="60" t="str">
        <f t="shared" si="171"/>
        <v/>
      </c>
      <c r="BB362" s="60" t="str">
        <f t="shared" si="172"/>
        <v/>
      </c>
      <c r="BC362" s="60">
        <f t="shared" si="179"/>
        <v>0.21000000000000002</v>
      </c>
      <c r="BD362" s="60" t="str">
        <f t="shared" si="173"/>
        <v/>
      </c>
      <c r="BE362" s="6">
        <f t="shared" si="166"/>
        <v>7.2</v>
      </c>
      <c r="BF362" s="6" t="str">
        <f t="shared" si="174"/>
        <v/>
      </c>
    </row>
    <row r="363" spans="1:58" ht="15.75">
      <c r="B363" s="94">
        <v>45623</v>
      </c>
      <c r="C363" s="1">
        <v>119</v>
      </c>
      <c r="D363" s="3">
        <v>358</v>
      </c>
      <c r="E363" s="205">
        <f t="shared" si="169"/>
        <v>209.04603599999999</v>
      </c>
      <c r="G363" s="15">
        <f>(N363*18-H363*18)/9</f>
        <v>13.600000000000001</v>
      </c>
      <c r="H363" s="9">
        <f>5*1.19</f>
        <v>5.9499999999999993</v>
      </c>
      <c r="I363" s="15">
        <f>AD363</f>
        <v>20</v>
      </c>
      <c r="K363" s="10">
        <f t="shared" si="180"/>
        <v>15.371032058823527</v>
      </c>
      <c r="L363" s="9">
        <f t="shared" si="181"/>
        <v>5.2261508999999995</v>
      </c>
      <c r="M363" s="8">
        <f t="shared" si="182"/>
        <v>2.9411764705882351</v>
      </c>
      <c r="N363" s="7">
        <f>5*2.55</f>
        <v>12.75</v>
      </c>
      <c r="O363">
        <v>64.567999999999998</v>
      </c>
      <c r="P363">
        <v>23.533000000000001</v>
      </c>
      <c r="Q363" s="6">
        <f>O363*1.067</f>
        <v>68.894055999999992</v>
      </c>
      <c r="R363" s="6">
        <f>P363*1.514</f>
        <v>35.628962000000001</v>
      </c>
      <c r="S363" s="23">
        <f>P363*1.514+O363*1.067</f>
        <v>104.52301799999999</v>
      </c>
      <c r="T363" s="6">
        <f>30.2</f>
        <v>30.2</v>
      </c>
      <c r="U363">
        <v>1.847</v>
      </c>
      <c r="V363">
        <v>1.6479999999999999</v>
      </c>
      <c r="W363" s="23">
        <f>U363*1.067+V363*1.514</f>
        <v>4.465821</v>
      </c>
      <c r="X363" s="6">
        <v>0.32</v>
      </c>
      <c r="AB363" s="5">
        <v>80</v>
      </c>
      <c r="AC363" s="7">
        <f>T363</f>
        <v>30.2</v>
      </c>
      <c r="AD363" s="1">
        <v>20</v>
      </c>
      <c r="AE363" s="1">
        <v>14.1</v>
      </c>
      <c r="AF363" s="1">
        <f>2*2.4</f>
        <v>4.8</v>
      </c>
      <c r="AG363" s="67">
        <v>5.29</v>
      </c>
      <c r="AH363" s="101">
        <v>0.51909722222222221</v>
      </c>
      <c r="AJ363" s="1">
        <v>175</v>
      </c>
      <c r="AK363" s="3">
        <v>180</v>
      </c>
      <c r="AL363" s="4">
        <f>AE363</f>
        <v>14.1</v>
      </c>
      <c r="AM363" s="1">
        <f>5*1.97</f>
        <v>9.85</v>
      </c>
      <c r="AN363" s="80">
        <f t="shared" si="163"/>
        <v>100</v>
      </c>
      <c r="AP363" s="13">
        <f t="shared" si="183"/>
        <v>2289.9999999999864</v>
      </c>
      <c r="AR363" s="17">
        <f>(E363-W363)/E363</f>
        <v>0.978637140959707</v>
      </c>
      <c r="AS363" s="16">
        <f>(I363-AF363)/I363</f>
        <v>0.76</v>
      </c>
      <c r="AT363" s="16">
        <f>AG363/(AD363-AF363)</f>
        <v>0.34802631578947368</v>
      </c>
      <c r="AU363" s="16">
        <f>(G363-AM363)/G363</f>
        <v>0.27573529411764713</v>
      </c>
      <c r="AV363" s="57">
        <f t="shared" si="161"/>
        <v>204.58021499999998</v>
      </c>
      <c r="AW363" s="57">
        <f t="shared" si="165"/>
        <v>15.2</v>
      </c>
      <c r="AX363" s="57">
        <f t="shared" si="154"/>
        <v>3.7500000000000018</v>
      </c>
      <c r="AY363" s="57">
        <f t="shared" si="167"/>
        <v>16.100000000000001</v>
      </c>
      <c r="AZ363" s="57">
        <f t="shared" si="168"/>
        <v>4.25</v>
      </c>
      <c r="BA363" s="60">
        <f t="shared" si="171"/>
        <v>0.978637140959707</v>
      </c>
      <c r="BB363" s="60">
        <f t="shared" si="172"/>
        <v>0.76</v>
      </c>
      <c r="BC363" s="60">
        <f t="shared" si="179"/>
        <v>0.34802631578947368</v>
      </c>
      <c r="BD363" s="60">
        <f t="shared" si="173"/>
        <v>0.27573529411764713</v>
      </c>
      <c r="BE363" s="6">
        <f t="shared" si="166"/>
        <v>5.2114285714285717</v>
      </c>
      <c r="BF363" s="6">
        <f t="shared" si="174"/>
        <v>2.2757330006238443</v>
      </c>
    </row>
    <row r="364" spans="1:58" ht="15.75">
      <c r="B364" s="94">
        <v>45624</v>
      </c>
      <c r="C364" s="1">
        <v>120</v>
      </c>
      <c r="D364" s="3">
        <v>359</v>
      </c>
      <c r="E364" s="205" t="str">
        <f t="shared" si="169"/>
        <v/>
      </c>
      <c r="K364" s="10" t="str">
        <f t="shared" si="180"/>
        <v/>
      </c>
      <c r="L364" s="9" t="str">
        <f t="shared" si="181"/>
        <v/>
      </c>
      <c r="M364" s="8" t="str">
        <f t="shared" si="182"/>
        <v/>
      </c>
      <c r="X364" s="6">
        <v>0.19</v>
      </c>
      <c r="AB364" s="5">
        <v>80</v>
      </c>
      <c r="AD364" s="95">
        <v>20</v>
      </c>
      <c r="AG364" s="67">
        <v>4.6500000000000004</v>
      </c>
      <c r="AH364" s="101">
        <v>0.51967592592592593</v>
      </c>
      <c r="AJ364" s="1">
        <v>175</v>
      </c>
      <c r="AK364" s="3">
        <v>180</v>
      </c>
      <c r="AN364" s="80">
        <f t="shared" si="163"/>
        <v>100</v>
      </c>
      <c r="AP364" s="13">
        <f t="shared" si="183"/>
        <v>2289.9999999999864</v>
      </c>
      <c r="AR364" s="17"/>
      <c r="AS364" s="16"/>
      <c r="AT364" s="16"/>
      <c r="AU364" s="16"/>
      <c r="AV364" s="57" t="str">
        <f t="shared" si="161"/>
        <v/>
      </c>
      <c r="AW364" s="57" t="str">
        <f t="shared" si="165"/>
        <v/>
      </c>
      <c r="AX364" s="57" t="str">
        <f t="shared" ref="AX364:AX427" si="184">IF(AND(ISNUMBER(AM364),ISNUMBER(G364)),G364-AM364,"")</f>
        <v/>
      </c>
      <c r="AY364" s="57" t="str">
        <f t="shared" si="167"/>
        <v/>
      </c>
      <c r="AZ364" s="57" t="str">
        <f t="shared" si="168"/>
        <v/>
      </c>
      <c r="BA364" s="60" t="str">
        <f t="shared" si="171"/>
        <v/>
      </c>
      <c r="BB364" s="60" t="str">
        <f t="shared" si="172"/>
        <v/>
      </c>
      <c r="BC364" s="60">
        <f t="shared" si="179"/>
        <v>0.23250000000000001</v>
      </c>
      <c r="BD364" s="60" t="str">
        <f t="shared" si="173"/>
        <v/>
      </c>
      <c r="BE364" s="6">
        <f t="shared" si="166"/>
        <v>6.8571428571428577</v>
      </c>
      <c r="BF364" s="6" t="str">
        <f t="shared" si="174"/>
        <v/>
      </c>
    </row>
    <row r="365" spans="1:58" ht="15.75">
      <c r="B365" s="94">
        <v>45625</v>
      </c>
      <c r="C365" s="1">
        <v>121</v>
      </c>
      <c r="D365" s="3">
        <v>360</v>
      </c>
      <c r="E365" s="205" t="str">
        <f t="shared" si="169"/>
        <v/>
      </c>
      <c r="K365" s="10" t="str">
        <f t="shared" si="180"/>
        <v/>
      </c>
      <c r="L365" s="9" t="str">
        <f t="shared" si="181"/>
        <v/>
      </c>
      <c r="M365" s="8" t="str">
        <f t="shared" si="182"/>
        <v/>
      </c>
      <c r="X365" s="6">
        <v>0.16</v>
      </c>
      <c r="AB365" s="5">
        <v>80</v>
      </c>
      <c r="AD365" s="95">
        <v>20</v>
      </c>
      <c r="AG365" s="67">
        <v>3.99</v>
      </c>
      <c r="AH365" s="101">
        <v>0.51585648148148144</v>
      </c>
      <c r="AJ365" s="1">
        <v>175</v>
      </c>
      <c r="AK365" s="3">
        <v>180</v>
      </c>
      <c r="AN365" s="80">
        <f t="shared" si="163"/>
        <v>100</v>
      </c>
      <c r="AP365" s="13">
        <f t="shared" si="183"/>
        <v>2459.9999999999454</v>
      </c>
      <c r="AR365" s="17"/>
      <c r="AS365" s="16"/>
      <c r="AT365" s="16"/>
      <c r="AU365" s="16"/>
      <c r="AV365" s="57" t="str">
        <f t="shared" si="161"/>
        <v/>
      </c>
      <c r="AW365" s="57" t="str">
        <f t="shared" si="165"/>
        <v/>
      </c>
      <c r="AX365" s="57" t="str">
        <f t="shared" si="184"/>
        <v/>
      </c>
      <c r="AY365" s="57" t="str">
        <f t="shared" si="167"/>
        <v/>
      </c>
      <c r="AZ365" s="57" t="str">
        <f t="shared" si="168"/>
        <v/>
      </c>
      <c r="BA365" s="60" t="str">
        <f t="shared" si="171"/>
        <v/>
      </c>
      <c r="BB365" s="60" t="str">
        <f t="shared" si="172"/>
        <v/>
      </c>
      <c r="BC365" s="60">
        <f t="shared" si="179"/>
        <v>0.19950000000000001</v>
      </c>
      <c r="BD365" s="60" t="str">
        <f t="shared" si="173"/>
        <v/>
      </c>
      <c r="BE365" s="6">
        <f t="shared" si="166"/>
        <v>6.8571428571428577</v>
      </c>
      <c r="BF365" s="6" t="str">
        <f t="shared" si="174"/>
        <v/>
      </c>
    </row>
    <row r="366" spans="1:58" ht="15.75">
      <c r="B366" s="94">
        <v>45626</v>
      </c>
      <c r="C366" s="1">
        <v>122</v>
      </c>
      <c r="D366" s="3">
        <v>361</v>
      </c>
      <c r="E366" s="205" t="str">
        <f t="shared" si="169"/>
        <v/>
      </c>
      <c r="K366" s="10" t="str">
        <f t="shared" si="180"/>
        <v/>
      </c>
      <c r="L366" s="9" t="str">
        <f t="shared" si="181"/>
        <v/>
      </c>
      <c r="M366" s="8" t="str">
        <f t="shared" si="182"/>
        <v/>
      </c>
      <c r="X366" s="6">
        <v>0.19</v>
      </c>
      <c r="AB366" s="5">
        <v>80</v>
      </c>
      <c r="AD366" s="95">
        <v>20</v>
      </c>
      <c r="AG366" s="67">
        <v>4.67</v>
      </c>
      <c r="AH366" s="101">
        <v>0.52060185185185182</v>
      </c>
      <c r="AJ366" s="1">
        <v>175</v>
      </c>
      <c r="AK366" s="3">
        <v>180</v>
      </c>
      <c r="AN366" s="80">
        <f t="shared" si="163"/>
        <v>100</v>
      </c>
      <c r="AP366" s="13">
        <f t="shared" si="183"/>
        <v>2459.9999999999454</v>
      </c>
      <c r="AR366" s="17"/>
      <c r="AS366" s="16"/>
      <c r="AT366" s="16"/>
      <c r="AU366" s="16"/>
      <c r="AV366" s="57" t="str">
        <f t="shared" si="161"/>
        <v/>
      </c>
      <c r="AW366" s="57" t="str">
        <f t="shared" si="165"/>
        <v/>
      </c>
      <c r="AX366" s="57" t="str">
        <f t="shared" si="184"/>
        <v/>
      </c>
      <c r="AY366" s="57" t="str">
        <f t="shared" si="167"/>
        <v/>
      </c>
      <c r="AZ366" s="57" t="str">
        <f t="shared" si="168"/>
        <v/>
      </c>
      <c r="BA366" s="60" t="str">
        <f t="shared" si="171"/>
        <v/>
      </c>
      <c r="BB366" s="60" t="str">
        <f t="shared" si="172"/>
        <v/>
      </c>
      <c r="BC366" s="60">
        <f t="shared" si="179"/>
        <v>0.23349999999999999</v>
      </c>
      <c r="BD366" s="60" t="str">
        <f t="shared" si="173"/>
        <v/>
      </c>
      <c r="BE366" s="6">
        <f t="shared" si="166"/>
        <v>6.8571428571428577</v>
      </c>
      <c r="BF366" s="6" t="str">
        <f t="shared" si="174"/>
        <v/>
      </c>
    </row>
    <row r="367" spans="1:58" ht="15.75">
      <c r="B367" s="94">
        <v>45627</v>
      </c>
      <c r="C367" s="1">
        <v>123</v>
      </c>
      <c r="D367" s="3">
        <v>362</v>
      </c>
      <c r="E367" s="205" t="str">
        <f t="shared" si="169"/>
        <v/>
      </c>
      <c r="K367" s="10" t="str">
        <f t="shared" si="180"/>
        <v/>
      </c>
      <c r="L367" s="9" t="str">
        <f t="shared" si="181"/>
        <v/>
      </c>
      <c r="M367" s="8" t="str">
        <f t="shared" si="182"/>
        <v/>
      </c>
      <c r="X367" s="6">
        <v>0.19</v>
      </c>
      <c r="AB367" s="5">
        <v>80</v>
      </c>
      <c r="AD367" s="95">
        <v>20</v>
      </c>
      <c r="AG367" s="67">
        <v>6.03</v>
      </c>
      <c r="AH367" s="101">
        <v>0.52083333333333337</v>
      </c>
      <c r="AJ367" s="1">
        <v>175</v>
      </c>
      <c r="AK367" s="3">
        <v>180</v>
      </c>
      <c r="AN367" s="80">
        <f t="shared" si="163"/>
        <v>100</v>
      </c>
      <c r="AP367" s="13">
        <f t="shared" si="183"/>
        <v>2459.9999999999454</v>
      </c>
      <c r="AR367" s="17"/>
      <c r="AS367" s="16"/>
      <c r="AT367" s="16"/>
      <c r="AU367" s="16"/>
      <c r="AV367" s="57" t="str">
        <f t="shared" si="161"/>
        <v/>
      </c>
      <c r="AW367" s="57" t="str">
        <f t="shared" si="165"/>
        <v/>
      </c>
      <c r="AX367" s="57" t="str">
        <f t="shared" si="184"/>
        <v/>
      </c>
      <c r="AY367" s="57" t="str">
        <f t="shared" si="167"/>
        <v/>
      </c>
      <c r="AZ367" s="57" t="str">
        <f t="shared" si="168"/>
        <v/>
      </c>
      <c r="BA367" s="60" t="str">
        <f t="shared" si="171"/>
        <v/>
      </c>
      <c r="BB367" s="60" t="str">
        <f t="shared" si="172"/>
        <v/>
      </c>
      <c r="BC367" s="60">
        <f t="shared" si="179"/>
        <v>0.30149999999999999</v>
      </c>
      <c r="BD367" s="60" t="str">
        <f t="shared" si="173"/>
        <v/>
      </c>
      <c r="BE367" s="6">
        <f t="shared" si="166"/>
        <v>6.8571428571428577</v>
      </c>
      <c r="BF367" s="6" t="str">
        <f t="shared" si="174"/>
        <v/>
      </c>
    </row>
    <row r="368" spans="1:58" ht="15.75">
      <c r="A368" s="12" t="s">
        <v>93</v>
      </c>
      <c r="B368" s="94">
        <v>45628</v>
      </c>
      <c r="C368" s="1">
        <v>124</v>
      </c>
      <c r="D368" s="3">
        <v>363</v>
      </c>
      <c r="E368" s="205" t="str">
        <f t="shared" si="169"/>
        <v/>
      </c>
      <c r="K368" s="10" t="str">
        <f t="shared" si="180"/>
        <v/>
      </c>
      <c r="L368" s="9" t="str">
        <f t="shared" si="181"/>
        <v/>
      </c>
      <c r="M368" s="8" t="str">
        <f t="shared" si="182"/>
        <v/>
      </c>
      <c r="X368" s="6">
        <v>0.19</v>
      </c>
      <c r="AB368" s="5">
        <v>80</v>
      </c>
      <c r="AD368" s="95">
        <v>20</v>
      </c>
      <c r="AG368" s="67">
        <v>5.94</v>
      </c>
      <c r="AH368" s="101">
        <v>0.51203703703703707</v>
      </c>
      <c r="AJ368" s="1">
        <v>175</v>
      </c>
      <c r="AK368" s="3">
        <v>180</v>
      </c>
      <c r="AN368" s="80">
        <f t="shared" si="163"/>
        <v>100</v>
      </c>
      <c r="AP368" s="13">
        <f t="shared" si="183"/>
        <v>2459.9999999999454</v>
      </c>
      <c r="AR368" s="17"/>
      <c r="AS368" s="16"/>
      <c r="AT368" s="16"/>
      <c r="AU368" s="16"/>
      <c r="AV368" s="57" t="str">
        <f t="shared" si="161"/>
        <v/>
      </c>
      <c r="AW368" s="57" t="str">
        <f t="shared" si="165"/>
        <v/>
      </c>
      <c r="AX368" s="57" t="str">
        <f t="shared" si="184"/>
        <v/>
      </c>
      <c r="AY368" s="57" t="str">
        <f t="shared" si="167"/>
        <v/>
      </c>
      <c r="AZ368" s="57" t="str">
        <f t="shared" si="168"/>
        <v/>
      </c>
      <c r="BA368" s="60" t="str">
        <f t="shared" ref="BA368:BA400" si="185">IF(AND($E368&gt;0,$W368&gt;0),IF(($E368-$W368)/$E368&gt;0,($E368-$W368)/$E368,0),"")</f>
        <v/>
      </c>
      <c r="BB368" s="60" t="str">
        <f t="shared" si="172"/>
        <v/>
      </c>
      <c r="BC368" s="60">
        <f t="shared" si="179"/>
        <v>0.29700000000000004</v>
      </c>
      <c r="BD368" s="60" t="str">
        <f t="shared" si="173"/>
        <v/>
      </c>
      <c r="BE368" s="6">
        <f t="shared" si="166"/>
        <v>6.8571428571428577</v>
      </c>
      <c r="BF368" s="6" t="str">
        <f t="shared" si="174"/>
        <v/>
      </c>
    </row>
    <row r="369" spans="1:58" ht="15.75">
      <c r="B369" s="94">
        <v>45629</v>
      </c>
      <c r="C369" s="1">
        <v>125</v>
      </c>
      <c r="D369" s="3">
        <v>364</v>
      </c>
      <c r="E369" s="205">
        <f t="shared" si="169"/>
        <v>257.40071</v>
      </c>
      <c r="G369" s="15">
        <f>(N369*18-H369*18)/9</f>
        <v>13.999999999999998</v>
      </c>
      <c r="H369" s="9">
        <f>5*0.96</f>
        <v>4.8</v>
      </c>
      <c r="I369" s="15">
        <f>AD369</f>
        <v>20.150000000000002</v>
      </c>
      <c r="K369" s="10">
        <f t="shared" si="180"/>
        <v>18.385765000000003</v>
      </c>
      <c r="L369" s="9">
        <f t="shared" si="181"/>
        <v>6.3871143920595523</v>
      </c>
      <c r="M369" s="8">
        <f t="shared" si="182"/>
        <v>2.8785714285714294</v>
      </c>
      <c r="N369" s="7">
        <f>5*2.36</f>
        <v>11.799999999999999</v>
      </c>
      <c r="O369">
        <v>80.019000000000005</v>
      </c>
      <c r="P369">
        <v>28.613</v>
      </c>
      <c r="Q369" s="6">
        <f>O369*1.067</f>
        <v>85.380273000000003</v>
      </c>
      <c r="R369" s="6">
        <f>P369*1.514</f>
        <v>43.320081999999999</v>
      </c>
      <c r="S369" s="23">
        <f>P369*1.514+O369*1.067</f>
        <v>128.700355</v>
      </c>
      <c r="T369" s="6">
        <f>30.2</f>
        <v>30.2</v>
      </c>
      <c r="U369">
        <v>1.7909999999999999</v>
      </c>
      <c r="V369">
        <v>1.409</v>
      </c>
      <c r="W369" s="23">
        <f>U369*1.067+V369*1.514</f>
        <v>4.0442229999999997</v>
      </c>
      <c r="X369" s="6">
        <v>0.55000000000000004</v>
      </c>
      <c r="AB369" s="5">
        <v>80</v>
      </c>
      <c r="AC369" s="7">
        <f>T369</f>
        <v>30.2</v>
      </c>
      <c r="AD369" s="1">
        <f>5*4.03</f>
        <v>20.150000000000002</v>
      </c>
      <c r="AE369" s="1">
        <v>13.4</v>
      </c>
      <c r="AF369" s="1">
        <f>2*2.39</f>
        <v>4.78</v>
      </c>
      <c r="AG369" s="67">
        <v>6.31</v>
      </c>
      <c r="AH369" s="101">
        <v>0.52083333333333337</v>
      </c>
      <c r="AJ369" s="1">
        <v>175</v>
      </c>
      <c r="AK369" s="3">
        <v>180</v>
      </c>
      <c r="AL369" s="4">
        <f>AE369</f>
        <v>13.4</v>
      </c>
      <c r="AM369" s="1">
        <f>5*1.59</f>
        <v>7.95</v>
      </c>
      <c r="AN369" s="80">
        <f t="shared" si="163"/>
        <v>100</v>
      </c>
      <c r="AO369" s="2">
        <v>2459.9999999999454</v>
      </c>
      <c r="AP369" s="13">
        <f t="shared" si="183"/>
        <v>2459.9999999999454</v>
      </c>
      <c r="AQ369" s="2">
        <v>16.095965103598445</v>
      </c>
      <c r="AR369" s="17">
        <f t="shared" ref="AR369:AR432" si="186">(E369-W369)/E369</f>
        <v>0.98428822127180615</v>
      </c>
      <c r="AS369" s="16">
        <f>(I369-AF369)/I369</f>
        <v>0.76277915632754334</v>
      </c>
      <c r="AT369" s="16">
        <f t="shared" ref="AT369:AT400" si="187">AG369/(AD369-AF369)</f>
        <v>0.4105400130123617</v>
      </c>
      <c r="AU369" s="16">
        <f t="shared" ref="AU369:AU400" si="188">(G369-AM369)/G369</f>
        <v>0.43214285714285705</v>
      </c>
      <c r="AV369" s="57">
        <f t="shared" si="161"/>
        <v>253.35648700000002</v>
      </c>
      <c r="AW369" s="57">
        <f t="shared" si="165"/>
        <v>15.370000000000001</v>
      </c>
      <c r="AX369" s="57">
        <f t="shared" si="184"/>
        <v>6.049999999999998</v>
      </c>
      <c r="AY369" s="57">
        <f t="shared" si="167"/>
        <v>16.799999999999997</v>
      </c>
      <c r="AZ369" s="57">
        <f t="shared" si="168"/>
        <v>5.45</v>
      </c>
      <c r="BA369" s="60">
        <f t="shared" si="185"/>
        <v>0.98428822127180615</v>
      </c>
      <c r="BB369" s="60">
        <f t="shared" si="172"/>
        <v>0.76277915632754334</v>
      </c>
      <c r="BC369" s="60">
        <f t="shared" si="179"/>
        <v>0.4105400130123617</v>
      </c>
      <c r="BD369" s="60">
        <f t="shared" si="173"/>
        <v>0.43214285714285705</v>
      </c>
      <c r="BE369" s="6">
        <f t="shared" si="166"/>
        <v>5.2697142857142865</v>
      </c>
      <c r="BF369" s="6">
        <f t="shared" si="174"/>
        <v>2.1421602787456924</v>
      </c>
    </row>
    <row r="370" spans="1:58" ht="15.75">
      <c r="B370" s="94">
        <v>45630</v>
      </c>
      <c r="C370" s="1">
        <v>126</v>
      </c>
      <c r="D370" s="3">
        <v>365</v>
      </c>
      <c r="E370" s="205" t="str">
        <f t="shared" si="169"/>
        <v/>
      </c>
      <c r="K370" s="10" t="str">
        <f t="shared" si="180"/>
        <v/>
      </c>
      <c r="L370" s="9" t="str">
        <f t="shared" si="181"/>
        <v/>
      </c>
      <c r="M370" s="8" t="str">
        <f t="shared" si="182"/>
        <v/>
      </c>
      <c r="X370" s="6">
        <v>0.19</v>
      </c>
      <c r="AB370" s="5">
        <v>80</v>
      </c>
      <c r="AD370" s="95">
        <v>21</v>
      </c>
      <c r="AG370" s="67">
        <v>5.5</v>
      </c>
      <c r="AH370" s="101">
        <v>0.52048611111111109</v>
      </c>
      <c r="AJ370" s="1">
        <v>175</v>
      </c>
      <c r="AK370" s="3">
        <v>180</v>
      </c>
      <c r="AN370" s="80">
        <f t="shared" si="163"/>
        <v>100</v>
      </c>
      <c r="AP370" s="13">
        <f t="shared" si="183"/>
        <v>2459.9999999999454</v>
      </c>
      <c r="AR370" s="17" t="e">
        <f t="shared" si="186"/>
        <v>#VALUE!</v>
      </c>
      <c r="AS370" s="16"/>
      <c r="AT370" s="16">
        <f t="shared" si="187"/>
        <v>0.26190476190476192</v>
      </c>
      <c r="AU370" s="16" t="e">
        <f t="shared" si="188"/>
        <v>#DIV/0!</v>
      </c>
      <c r="AV370" s="57" t="str">
        <f t="shared" si="161"/>
        <v/>
      </c>
      <c r="AW370" s="57" t="str">
        <f t="shared" si="165"/>
        <v/>
      </c>
      <c r="AX370" s="57" t="str">
        <f t="shared" si="184"/>
        <v/>
      </c>
      <c r="AY370" s="57" t="str">
        <f t="shared" si="167"/>
        <v/>
      </c>
      <c r="AZ370" s="57" t="str">
        <f t="shared" si="168"/>
        <v/>
      </c>
      <c r="BA370" s="60" t="str">
        <f t="shared" si="185"/>
        <v/>
      </c>
      <c r="BB370" s="60" t="str">
        <f t="shared" ref="BB370:BB401" si="189">IF(AND($I370&gt;0,$AF370&gt;=0),IF(($I370-$AF370)/$I370&gt;0,($I370-$AF370)/$I370,0),"")</f>
        <v/>
      </c>
      <c r="BC370" s="60">
        <f t="shared" si="179"/>
        <v>0.26190476190476192</v>
      </c>
      <c r="BD370" s="60" t="str">
        <f t="shared" ref="BD370:BD401" si="190">IF(AND($G370&gt;0,$AM370&gt;0),IF(($G370-$AM370)/$G370&gt;0,($G370-$AM370)/$G370,0),"")</f>
        <v/>
      </c>
      <c r="BE370" s="6">
        <f t="shared" si="166"/>
        <v>7.2</v>
      </c>
      <c r="BF370" s="6" t="str">
        <f t="shared" si="174"/>
        <v/>
      </c>
    </row>
    <row r="371" spans="1:58" ht="15.75">
      <c r="B371" s="94">
        <v>45631</v>
      </c>
      <c r="C371" s="1">
        <v>127</v>
      </c>
      <c r="D371" s="3">
        <v>366</v>
      </c>
      <c r="E371" s="205" t="str">
        <f t="shared" si="169"/>
        <v/>
      </c>
      <c r="K371" s="10" t="str">
        <f t="shared" si="180"/>
        <v/>
      </c>
      <c r="L371" s="9" t="str">
        <f t="shared" si="181"/>
        <v/>
      </c>
      <c r="M371" s="8" t="str">
        <f t="shared" si="182"/>
        <v/>
      </c>
      <c r="X371" s="6">
        <v>0.2</v>
      </c>
      <c r="AB371" s="5">
        <v>80</v>
      </c>
      <c r="AC371" s="4">
        <v>28.3</v>
      </c>
      <c r="AD371" s="1">
        <f>5*4.61</f>
        <v>23.05</v>
      </c>
      <c r="AE371" s="1">
        <v>15</v>
      </c>
      <c r="AF371" s="1">
        <f>2*4.54</f>
        <v>9.08</v>
      </c>
      <c r="AG371" s="67">
        <v>5.23</v>
      </c>
      <c r="AH371" s="101">
        <v>0.52013888888888893</v>
      </c>
      <c r="AJ371" s="1">
        <v>175</v>
      </c>
      <c r="AK371" s="3">
        <v>180</v>
      </c>
      <c r="AN371" s="80">
        <f t="shared" si="163"/>
        <v>100</v>
      </c>
      <c r="AP371" s="13">
        <f t="shared" si="183"/>
        <v>2459.9999999999454</v>
      </c>
      <c r="AR371" s="17" t="e">
        <f t="shared" si="186"/>
        <v>#VALUE!</v>
      </c>
      <c r="AS371" s="16"/>
      <c r="AT371" s="16">
        <f t="shared" si="187"/>
        <v>0.37437365783822479</v>
      </c>
      <c r="AU371" s="16" t="e">
        <f t="shared" si="188"/>
        <v>#DIV/0!</v>
      </c>
      <c r="AV371" s="57" t="str">
        <f t="shared" si="161"/>
        <v/>
      </c>
      <c r="AW371" s="57" t="str">
        <f t="shared" si="165"/>
        <v/>
      </c>
      <c r="AX371" s="57" t="str">
        <f t="shared" si="184"/>
        <v/>
      </c>
      <c r="AY371" s="57">
        <f t="shared" si="167"/>
        <v>13.3</v>
      </c>
      <c r="AZ371" s="57" t="str">
        <f t="shared" si="168"/>
        <v/>
      </c>
      <c r="BA371" s="60" t="str">
        <f t="shared" si="185"/>
        <v/>
      </c>
      <c r="BB371" s="60" t="str">
        <f t="shared" si="189"/>
        <v/>
      </c>
      <c r="BC371" s="60">
        <f t="shared" si="179"/>
        <v>0.37437365783822479</v>
      </c>
      <c r="BD371" s="60" t="str">
        <f t="shared" si="190"/>
        <v/>
      </c>
      <c r="BE371" s="6">
        <f t="shared" si="166"/>
        <v>4.789714285714286</v>
      </c>
      <c r="BF371" s="6">
        <f t="shared" si="174"/>
        <v>1.9470383275261758</v>
      </c>
    </row>
    <row r="372" spans="1:58" ht="15.75">
      <c r="B372" s="94">
        <v>45632</v>
      </c>
      <c r="C372" s="1">
        <v>128</v>
      </c>
      <c r="D372" s="3">
        <v>367</v>
      </c>
      <c r="E372" s="205">
        <f t="shared" si="169"/>
        <v>271.980254</v>
      </c>
      <c r="G372" s="15">
        <f>(N372*18-H372*18)/9</f>
        <v>14.5</v>
      </c>
      <c r="H372" s="9">
        <f>5*1.21</f>
        <v>6.05</v>
      </c>
      <c r="I372" s="15">
        <f>AD372</f>
        <v>22.349999999999998</v>
      </c>
      <c r="K372" s="10">
        <f t="shared" si="180"/>
        <v>18.757258896551726</v>
      </c>
      <c r="L372" s="9">
        <f t="shared" si="181"/>
        <v>6.0845694407158843</v>
      </c>
      <c r="M372" s="8">
        <f t="shared" si="182"/>
        <v>3.0827586206896549</v>
      </c>
      <c r="N372" s="7">
        <f>5*2.66</f>
        <v>13.3</v>
      </c>
      <c r="O372">
        <v>83.911000000000001</v>
      </c>
      <c r="P372">
        <v>30.684999999999999</v>
      </c>
      <c r="Q372" s="6">
        <f>O372*1.067</f>
        <v>89.533036999999993</v>
      </c>
      <c r="R372" s="6">
        <f>P372*1.514</f>
        <v>46.457090000000001</v>
      </c>
      <c r="S372" s="23">
        <f>P372*1.514+O372*1.067</f>
        <v>135.990127</v>
      </c>
      <c r="T372" s="6">
        <f>31.9</f>
        <v>31.9</v>
      </c>
      <c r="U372">
        <f>1.768*1.067</f>
        <v>1.8864559999999999</v>
      </c>
      <c r="V372">
        <v>1.446</v>
      </c>
      <c r="W372" s="23">
        <f>U372*1.067+V372*1.514</f>
        <v>4.2020925519999999</v>
      </c>
      <c r="X372" s="6">
        <v>0.19</v>
      </c>
      <c r="AB372" s="5">
        <v>80</v>
      </c>
      <c r="AC372" s="7">
        <f>T372</f>
        <v>31.9</v>
      </c>
      <c r="AD372" s="1">
        <f>5*4.47</f>
        <v>22.349999999999998</v>
      </c>
      <c r="AE372" s="1">
        <f>17.6</f>
        <v>17.600000000000001</v>
      </c>
      <c r="AF372" s="1">
        <f>2*3.93</f>
        <v>7.86</v>
      </c>
      <c r="AG372" s="67">
        <v>5.12</v>
      </c>
      <c r="AH372" s="101">
        <v>0.51990740740740737</v>
      </c>
      <c r="AJ372" s="1">
        <v>175</v>
      </c>
      <c r="AK372" s="3">
        <v>180</v>
      </c>
      <c r="AL372" s="4">
        <f>AE372</f>
        <v>17.600000000000001</v>
      </c>
      <c r="AM372" s="1">
        <f>5*2.73</f>
        <v>13.65</v>
      </c>
      <c r="AN372" s="80">
        <f t="shared" si="163"/>
        <v>100</v>
      </c>
      <c r="AP372" s="13">
        <f t="shared" si="183"/>
        <v>2589.9999999999636</v>
      </c>
      <c r="AR372" s="17">
        <f t="shared" si="186"/>
        <v>0.98455000872232434</v>
      </c>
      <c r="AS372" s="16">
        <f>(I372-AF372)/I372</f>
        <v>0.64832214765100671</v>
      </c>
      <c r="AT372" s="16">
        <f t="shared" si="187"/>
        <v>0.35334713595583167</v>
      </c>
      <c r="AU372" s="16">
        <f t="shared" si="188"/>
        <v>5.8620689655172392E-2</v>
      </c>
      <c r="AV372" s="57">
        <f t="shared" si="161"/>
        <v>267.77816144799999</v>
      </c>
      <c r="AW372" s="57">
        <f t="shared" si="165"/>
        <v>14.489999999999998</v>
      </c>
      <c r="AX372" s="57">
        <f t="shared" si="184"/>
        <v>0.84999999999999964</v>
      </c>
      <c r="AY372" s="57">
        <f t="shared" si="167"/>
        <v>14.299999999999997</v>
      </c>
      <c r="AZ372" s="57">
        <f t="shared" si="168"/>
        <v>3.9500000000000011</v>
      </c>
      <c r="BA372" s="60">
        <f t="shared" si="185"/>
        <v>0.98455000872232434</v>
      </c>
      <c r="BB372" s="60">
        <f t="shared" si="189"/>
        <v>0.64832214765100671</v>
      </c>
      <c r="BC372" s="60">
        <f t="shared" si="179"/>
        <v>0.35334713595583167</v>
      </c>
      <c r="BD372" s="60">
        <f t="shared" si="190"/>
        <v>5.8620689655172392E-2</v>
      </c>
      <c r="BE372" s="6">
        <f t="shared" si="166"/>
        <v>4.968</v>
      </c>
      <c r="BF372" s="6">
        <f t="shared" si="174"/>
        <v>1.9181467181467453</v>
      </c>
    </row>
    <row r="373" spans="1:58" ht="15.75">
      <c r="A373" s="25" t="s">
        <v>92</v>
      </c>
      <c r="B373" s="94">
        <v>45633</v>
      </c>
      <c r="C373" s="1">
        <v>129</v>
      </c>
      <c r="D373" s="3">
        <v>368</v>
      </c>
      <c r="E373" s="205" t="str">
        <f t="shared" si="169"/>
        <v/>
      </c>
      <c r="I373" s="41">
        <v>22</v>
      </c>
      <c r="K373" s="10" t="str">
        <f t="shared" si="180"/>
        <v/>
      </c>
      <c r="L373" s="9" t="str">
        <f t="shared" si="181"/>
        <v/>
      </c>
      <c r="M373" s="8" t="str">
        <f t="shared" si="182"/>
        <v/>
      </c>
      <c r="X373" s="6">
        <v>0.2</v>
      </c>
      <c r="AB373" s="5">
        <v>80</v>
      </c>
      <c r="AD373" s="95">
        <v>22</v>
      </c>
      <c r="AG373" s="67">
        <v>7.09</v>
      </c>
      <c r="AH373" s="101">
        <v>0.52083333333333337</v>
      </c>
      <c r="AJ373" s="1">
        <v>175</v>
      </c>
      <c r="AK373" s="3">
        <v>180</v>
      </c>
      <c r="AN373" s="80">
        <f t="shared" si="163"/>
        <v>100</v>
      </c>
      <c r="AP373" s="13">
        <f t="shared" si="183"/>
        <v>2589.9999999999636</v>
      </c>
      <c r="AR373" s="17" t="e">
        <f t="shared" si="186"/>
        <v>#VALUE!</v>
      </c>
      <c r="AS373" s="16"/>
      <c r="AT373" s="16">
        <f t="shared" si="187"/>
        <v>0.32227272727272727</v>
      </c>
      <c r="AU373" s="16" t="e">
        <f t="shared" si="188"/>
        <v>#DIV/0!</v>
      </c>
      <c r="AV373" s="57" t="str">
        <f t="shared" si="161"/>
        <v/>
      </c>
      <c r="AW373" s="57" t="str">
        <f t="shared" si="165"/>
        <v/>
      </c>
      <c r="AX373" s="57" t="str">
        <f t="shared" si="184"/>
        <v/>
      </c>
      <c r="AY373" s="57" t="str">
        <f t="shared" si="167"/>
        <v/>
      </c>
      <c r="AZ373" s="57" t="str">
        <f t="shared" si="168"/>
        <v/>
      </c>
      <c r="BA373" s="60" t="str">
        <f t="shared" si="185"/>
        <v/>
      </c>
      <c r="BB373" s="60">
        <f t="shared" si="189"/>
        <v>1</v>
      </c>
      <c r="BC373" s="60">
        <f t="shared" si="179"/>
        <v>0.32227272727272727</v>
      </c>
      <c r="BD373" s="60" t="str">
        <f t="shared" si="190"/>
        <v/>
      </c>
      <c r="BE373" s="6">
        <f t="shared" si="166"/>
        <v>7.5428571428571436</v>
      </c>
      <c r="BF373" s="6" t="str">
        <f t="shared" ref="BF373:BF404" si="191">IF(OR(AJ373=0,AP373=0,NOT(ISNUMBER(AD373)),NOT(ISNUMBER(AF373)),NOT(ISNUMBER(AJ373)),NOT(ISNUMBER(AP373))),"",
IFERROR(IF((AD373-AF373)/(AJ373/60)/(AP373/1000)&lt;=0,"",(AD373-AF373)/(AJ373/60)/(AP373/1000)),""))</f>
        <v/>
      </c>
    </row>
    <row r="374" spans="1:58" ht="15.75">
      <c r="A374" s="25" t="s">
        <v>92</v>
      </c>
      <c r="B374" s="94">
        <v>45634</v>
      </c>
      <c r="C374" s="1">
        <v>130</v>
      </c>
      <c r="D374" s="3">
        <v>369</v>
      </c>
      <c r="E374" s="205" t="str">
        <f t="shared" si="169"/>
        <v/>
      </c>
      <c r="I374" s="41">
        <v>21.8</v>
      </c>
      <c r="K374" s="10" t="str">
        <f t="shared" si="180"/>
        <v/>
      </c>
      <c r="L374" s="9" t="str">
        <f t="shared" si="181"/>
        <v/>
      </c>
      <c r="M374" s="8" t="str">
        <f t="shared" si="182"/>
        <v/>
      </c>
      <c r="X374" s="6">
        <v>0.19</v>
      </c>
      <c r="AB374" s="5">
        <v>80</v>
      </c>
      <c r="AD374" s="95">
        <v>22</v>
      </c>
      <c r="AG374" s="1">
        <v>1.9</v>
      </c>
      <c r="AH374" s="101">
        <v>0.453125</v>
      </c>
      <c r="AJ374" s="1">
        <v>175</v>
      </c>
      <c r="AK374" s="3">
        <v>180</v>
      </c>
      <c r="AN374" s="80">
        <f t="shared" si="163"/>
        <v>100</v>
      </c>
      <c r="AP374" s="13">
        <f t="shared" si="183"/>
        <v>2589.9999999999636</v>
      </c>
      <c r="AR374" s="17" t="e">
        <f t="shared" si="186"/>
        <v>#VALUE!</v>
      </c>
      <c r="AS374" s="16"/>
      <c r="AT374" s="16">
        <f t="shared" si="187"/>
        <v>8.6363636363636365E-2</v>
      </c>
      <c r="AU374" s="16" t="e">
        <f t="shared" si="188"/>
        <v>#DIV/0!</v>
      </c>
      <c r="AV374" s="57" t="str">
        <f t="shared" si="161"/>
        <v/>
      </c>
      <c r="AW374" s="57" t="str">
        <f t="shared" si="165"/>
        <v/>
      </c>
      <c r="AX374" s="57" t="str">
        <f t="shared" si="184"/>
        <v/>
      </c>
      <c r="AY374" s="57" t="str">
        <f t="shared" si="167"/>
        <v/>
      </c>
      <c r="AZ374" s="57" t="str">
        <f t="shared" si="168"/>
        <v/>
      </c>
      <c r="BA374" s="60" t="str">
        <f t="shared" si="185"/>
        <v/>
      </c>
      <c r="BB374" s="60">
        <f t="shared" si="189"/>
        <v>1</v>
      </c>
      <c r="BC374" s="60"/>
      <c r="BD374" s="60" t="str">
        <f t="shared" si="190"/>
        <v/>
      </c>
      <c r="BE374" s="6">
        <f t="shared" si="166"/>
        <v>7.5428571428571436</v>
      </c>
      <c r="BF374" s="6" t="str">
        <f t="shared" si="191"/>
        <v/>
      </c>
    </row>
    <row r="375" spans="1:58" ht="15.75">
      <c r="A375" s="25" t="s">
        <v>92</v>
      </c>
      <c r="B375" s="94">
        <v>45635</v>
      </c>
      <c r="C375" s="1">
        <v>131</v>
      </c>
      <c r="D375" s="3">
        <v>370</v>
      </c>
      <c r="E375" s="205" t="str">
        <f t="shared" si="169"/>
        <v/>
      </c>
      <c r="I375" s="41">
        <v>21.6</v>
      </c>
      <c r="K375" s="10" t="str">
        <f t="shared" si="180"/>
        <v/>
      </c>
      <c r="L375" s="9" t="str">
        <f t="shared" si="181"/>
        <v/>
      </c>
      <c r="M375" s="8" t="str">
        <f t="shared" si="182"/>
        <v/>
      </c>
      <c r="X375" s="6">
        <v>0.19</v>
      </c>
      <c r="AB375" s="5">
        <v>80</v>
      </c>
      <c r="AD375" s="95">
        <v>22</v>
      </c>
      <c r="AG375" s="1">
        <v>1.57</v>
      </c>
      <c r="AH375" s="101">
        <v>0.4443287037037037</v>
      </c>
      <c r="AJ375" s="1">
        <v>175</v>
      </c>
      <c r="AK375" s="3">
        <v>180</v>
      </c>
      <c r="AN375" s="80">
        <f t="shared" si="163"/>
        <v>100</v>
      </c>
      <c r="AP375" s="13">
        <f t="shared" si="183"/>
        <v>2534.166666666632</v>
      </c>
      <c r="AR375" s="17" t="e">
        <f t="shared" si="186"/>
        <v>#VALUE!</v>
      </c>
      <c r="AS375" s="16"/>
      <c r="AT375" s="16">
        <f t="shared" si="187"/>
        <v>7.1363636363636365E-2</v>
      </c>
      <c r="AU375" s="16" t="e">
        <f t="shared" si="188"/>
        <v>#DIV/0!</v>
      </c>
      <c r="AV375" s="57" t="str">
        <f t="shared" ref="AV375:AV438" si="192">IF(AND(ISNUMBER(E375),ISNUMBER(W375)),E375-W375,"")</f>
        <v/>
      </c>
      <c r="AW375" s="57" t="str">
        <f t="shared" si="165"/>
        <v/>
      </c>
      <c r="AX375" s="57" t="str">
        <f t="shared" si="184"/>
        <v/>
      </c>
      <c r="AY375" s="57" t="str">
        <f t="shared" si="167"/>
        <v/>
      </c>
      <c r="AZ375" s="57" t="str">
        <f t="shared" si="168"/>
        <v/>
      </c>
      <c r="BA375" s="60" t="str">
        <f t="shared" si="185"/>
        <v/>
      </c>
      <c r="BB375" s="60">
        <f t="shared" si="189"/>
        <v>1</v>
      </c>
      <c r="BC375" s="60"/>
      <c r="BD375" s="60" t="str">
        <f t="shared" si="190"/>
        <v/>
      </c>
      <c r="BE375" s="6">
        <f t="shared" si="166"/>
        <v>7.5428571428571436</v>
      </c>
      <c r="BF375" s="6" t="str">
        <f t="shared" si="191"/>
        <v/>
      </c>
    </row>
    <row r="376" spans="1:58" ht="15.75">
      <c r="A376" s="25" t="s">
        <v>91</v>
      </c>
      <c r="B376" s="94">
        <v>45636</v>
      </c>
      <c r="C376" s="1">
        <v>132</v>
      </c>
      <c r="D376" s="3">
        <v>371</v>
      </c>
      <c r="E376" s="205">
        <f t="shared" si="169"/>
        <v>267.616174</v>
      </c>
      <c r="G376" s="15">
        <f>(N376*18-H376*18)/9</f>
        <v>0</v>
      </c>
      <c r="I376" s="15">
        <f>AD376</f>
        <v>21</v>
      </c>
      <c r="K376" s="10" t="str">
        <f t="shared" si="180"/>
        <v/>
      </c>
      <c r="L376" s="9">
        <f t="shared" si="181"/>
        <v>6.3718136666666663</v>
      </c>
      <c r="M376" s="8" t="str">
        <f t="shared" si="182"/>
        <v/>
      </c>
      <c r="O376">
        <v>84.491</v>
      </c>
      <c r="P376">
        <v>28.835000000000001</v>
      </c>
      <c r="Q376" s="6">
        <f>O376*1.067</f>
        <v>90.151896999999991</v>
      </c>
      <c r="R376" s="6">
        <f>P376*1.514</f>
        <v>43.656190000000002</v>
      </c>
      <c r="S376" s="23">
        <f>P376*1.514+O376*1.067</f>
        <v>133.808087</v>
      </c>
      <c r="U376" s="6">
        <f>0*1.067</f>
        <v>0</v>
      </c>
      <c r="V376" s="6">
        <f>0*1.514</f>
        <v>0</v>
      </c>
      <c r="W376" s="23">
        <f>U376*1.067+V376*1.514</f>
        <v>0</v>
      </c>
      <c r="X376" s="6">
        <v>0.56999999999999995</v>
      </c>
      <c r="AB376" s="5">
        <v>80</v>
      </c>
      <c r="AC376" s="7">
        <f>T376</f>
        <v>0</v>
      </c>
      <c r="AD376" s="95">
        <v>21</v>
      </c>
      <c r="AG376" s="67">
        <v>6.56</v>
      </c>
      <c r="AH376" s="101">
        <v>0.52060185185185182</v>
      </c>
      <c r="AJ376" s="1">
        <v>175</v>
      </c>
      <c r="AK376" s="3">
        <v>180</v>
      </c>
      <c r="AL376" s="4">
        <f>AE376</f>
        <v>0</v>
      </c>
      <c r="AN376" s="80">
        <f t="shared" si="163"/>
        <v>100</v>
      </c>
      <c r="AO376" s="2">
        <v>2589.9999999999636</v>
      </c>
      <c r="AP376" s="13">
        <f t="shared" si="183"/>
        <v>2534.166666666632</v>
      </c>
      <c r="AQ376" s="2">
        <v>18.307337071768178</v>
      </c>
      <c r="AR376" s="17">
        <f t="shared" si="186"/>
        <v>1</v>
      </c>
      <c r="AS376" s="16"/>
      <c r="AT376" s="16">
        <f t="shared" si="187"/>
        <v>0.31238095238095237</v>
      </c>
      <c r="AU376" s="16" t="e">
        <f t="shared" si="188"/>
        <v>#DIV/0!</v>
      </c>
      <c r="AV376" s="57">
        <f t="shared" si="192"/>
        <v>267.616174</v>
      </c>
      <c r="AW376" s="57" t="str">
        <f t="shared" si="165"/>
        <v/>
      </c>
      <c r="AX376" s="57" t="str">
        <f t="shared" si="184"/>
        <v/>
      </c>
      <c r="AY376" s="57" t="str">
        <f t="shared" si="167"/>
        <v/>
      </c>
      <c r="AZ376" s="57" t="str">
        <f t="shared" si="168"/>
        <v/>
      </c>
      <c r="BA376" s="60" t="str">
        <f t="shared" si="185"/>
        <v/>
      </c>
      <c r="BB376" s="60">
        <f t="shared" si="189"/>
        <v>1</v>
      </c>
      <c r="BC376" s="60">
        <f t="shared" ref="BC376:BC383" si="193">IF(AND($AG376&gt;=0,$AD376&gt;=0,$AF376&gt;=0),IF($AG376/($AD376-$AF376)&gt;0,$AG376/($AD376-$AF376),0),"")</f>
        <v>0.31238095238095237</v>
      </c>
      <c r="BD376" s="60" t="str">
        <f t="shared" si="190"/>
        <v/>
      </c>
      <c r="BE376" s="6">
        <f t="shared" si="166"/>
        <v>7.2</v>
      </c>
      <c r="BF376" s="6" t="str">
        <f t="shared" si="191"/>
        <v/>
      </c>
    </row>
    <row r="377" spans="1:58" ht="15.75">
      <c r="A377" s="25"/>
      <c r="B377" s="94">
        <v>45637</v>
      </c>
      <c r="C377" s="1">
        <v>133</v>
      </c>
      <c r="D377" s="3">
        <v>372</v>
      </c>
      <c r="E377" s="205" t="str">
        <f t="shared" si="169"/>
        <v/>
      </c>
      <c r="I377" s="15">
        <f>AD377</f>
        <v>21</v>
      </c>
      <c r="K377" s="10" t="str">
        <f t="shared" si="180"/>
        <v/>
      </c>
      <c r="L377" s="9" t="str">
        <f t="shared" si="181"/>
        <v/>
      </c>
      <c r="M377" s="8" t="str">
        <f t="shared" si="182"/>
        <v/>
      </c>
      <c r="X377" s="6">
        <v>0.19</v>
      </c>
      <c r="AB377" s="5">
        <v>80</v>
      </c>
      <c r="AD377" s="95">
        <v>21</v>
      </c>
      <c r="AG377" s="67">
        <v>5.13</v>
      </c>
      <c r="AH377" s="101">
        <v>0.52083333333333337</v>
      </c>
      <c r="AJ377" s="1">
        <v>175</v>
      </c>
      <c r="AK377" s="3">
        <v>180</v>
      </c>
      <c r="AN377" s="80">
        <f t="shared" si="163"/>
        <v>100</v>
      </c>
      <c r="AP377" s="13">
        <f t="shared" si="183"/>
        <v>2534.166666666632</v>
      </c>
      <c r="AR377" s="17" t="e">
        <f t="shared" si="186"/>
        <v>#VALUE!</v>
      </c>
      <c r="AS377" s="16"/>
      <c r="AT377" s="16">
        <f t="shared" si="187"/>
        <v>0.24428571428571427</v>
      </c>
      <c r="AU377" s="16" t="e">
        <f t="shared" si="188"/>
        <v>#DIV/0!</v>
      </c>
      <c r="AV377" s="57" t="str">
        <f t="shared" si="192"/>
        <v/>
      </c>
      <c r="AW377" s="57" t="str">
        <f t="shared" si="165"/>
        <v/>
      </c>
      <c r="AX377" s="57" t="str">
        <f t="shared" si="184"/>
        <v/>
      </c>
      <c r="AY377" s="57" t="str">
        <f t="shared" si="167"/>
        <v/>
      </c>
      <c r="AZ377" s="57" t="str">
        <f t="shared" si="168"/>
        <v/>
      </c>
      <c r="BA377" s="60" t="str">
        <f t="shared" si="185"/>
        <v/>
      </c>
      <c r="BB377" s="60">
        <f t="shared" si="189"/>
        <v>1</v>
      </c>
      <c r="BC377" s="60">
        <f t="shared" si="193"/>
        <v>0.24428571428571427</v>
      </c>
      <c r="BD377" s="60" t="str">
        <f t="shared" si="190"/>
        <v/>
      </c>
      <c r="BE377" s="6">
        <f t="shared" si="166"/>
        <v>7.2</v>
      </c>
      <c r="BF377" s="6" t="str">
        <f t="shared" si="191"/>
        <v/>
      </c>
    </row>
    <row r="378" spans="1:58" ht="15.75">
      <c r="A378" s="108">
        <v>1.25</v>
      </c>
      <c r="B378" s="94">
        <v>45638</v>
      </c>
      <c r="C378" s="1">
        <v>134</v>
      </c>
      <c r="D378" s="3">
        <v>373</v>
      </c>
      <c r="E378" s="205" t="str">
        <f t="shared" si="169"/>
        <v/>
      </c>
      <c r="K378" s="10" t="str">
        <f t="shared" si="180"/>
        <v/>
      </c>
      <c r="L378" s="9" t="str">
        <f t="shared" si="181"/>
        <v/>
      </c>
      <c r="M378" s="8" t="str">
        <f t="shared" si="182"/>
        <v/>
      </c>
      <c r="X378" s="6">
        <v>0.19</v>
      </c>
      <c r="AB378" s="5">
        <v>80</v>
      </c>
      <c r="AD378" s="95">
        <v>21</v>
      </c>
      <c r="AG378" s="67">
        <v>4.09</v>
      </c>
      <c r="AH378" s="101">
        <v>0.51979166666666665</v>
      </c>
      <c r="AJ378" s="1">
        <v>175</v>
      </c>
      <c r="AK378" s="3">
        <v>180</v>
      </c>
      <c r="AN378" s="80">
        <f t="shared" si="163"/>
        <v>100</v>
      </c>
      <c r="AP378" s="13">
        <f t="shared" si="183"/>
        <v>2534.166666666632</v>
      </c>
      <c r="AR378" s="17" t="e">
        <f t="shared" si="186"/>
        <v>#VALUE!</v>
      </c>
      <c r="AS378" s="16"/>
      <c r="AT378" s="16">
        <f t="shared" si="187"/>
        <v>0.19476190476190475</v>
      </c>
      <c r="AU378" s="16" t="e">
        <f t="shared" si="188"/>
        <v>#DIV/0!</v>
      </c>
      <c r="AV378" s="57" t="str">
        <f t="shared" si="192"/>
        <v/>
      </c>
      <c r="AW378" s="57" t="str">
        <f t="shared" si="165"/>
        <v/>
      </c>
      <c r="AX378" s="57" t="str">
        <f t="shared" si="184"/>
        <v/>
      </c>
      <c r="AY378" s="57" t="str">
        <f t="shared" si="167"/>
        <v/>
      </c>
      <c r="AZ378" s="57" t="str">
        <f t="shared" si="168"/>
        <v/>
      </c>
      <c r="BA378" s="60" t="str">
        <f t="shared" si="185"/>
        <v/>
      </c>
      <c r="BB378" s="60" t="str">
        <f t="shared" si="189"/>
        <v/>
      </c>
      <c r="BC378" s="60">
        <f t="shared" si="193"/>
        <v>0.19476190476190475</v>
      </c>
      <c r="BD378" s="60" t="str">
        <f t="shared" si="190"/>
        <v/>
      </c>
      <c r="BE378" s="6">
        <f t="shared" si="166"/>
        <v>7.2</v>
      </c>
      <c r="BF378" s="6" t="str">
        <f t="shared" si="191"/>
        <v/>
      </c>
    </row>
    <row r="379" spans="1:58" ht="15.75">
      <c r="A379" s="25"/>
      <c r="B379" s="94">
        <v>45639</v>
      </c>
      <c r="C379" s="1">
        <v>135</v>
      </c>
      <c r="D379" s="3">
        <v>374</v>
      </c>
      <c r="E379" s="205" t="str">
        <f t="shared" si="169"/>
        <v/>
      </c>
      <c r="K379" s="10" t="str">
        <f t="shared" si="180"/>
        <v/>
      </c>
      <c r="L379" s="9" t="str">
        <f t="shared" si="181"/>
        <v/>
      </c>
      <c r="M379" s="8" t="str">
        <f t="shared" si="182"/>
        <v/>
      </c>
      <c r="X379" s="6">
        <v>0.2</v>
      </c>
      <c r="AB379" s="5">
        <v>80</v>
      </c>
      <c r="AD379" s="95">
        <v>20</v>
      </c>
      <c r="AG379" s="67">
        <v>3.09</v>
      </c>
      <c r="AH379" s="101">
        <v>0.51944444444444449</v>
      </c>
      <c r="AJ379" s="1">
        <v>175</v>
      </c>
      <c r="AK379" s="3">
        <v>180</v>
      </c>
      <c r="AN379" s="80">
        <f t="shared" si="163"/>
        <v>100</v>
      </c>
      <c r="AO379" s="107">
        <f>AVERAGE(AO376,AO384)</f>
        <v>2478.3333333333003</v>
      </c>
      <c r="AP379" s="13">
        <f t="shared" si="183"/>
        <v>2478.3333333333003</v>
      </c>
      <c r="AR379" s="17" t="e">
        <f t="shared" si="186"/>
        <v>#VALUE!</v>
      </c>
      <c r="AS379" s="16"/>
      <c r="AT379" s="16">
        <f t="shared" si="187"/>
        <v>0.1545</v>
      </c>
      <c r="AU379" s="16" t="e">
        <f t="shared" si="188"/>
        <v>#DIV/0!</v>
      </c>
      <c r="AV379" s="57" t="str">
        <f t="shared" si="192"/>
        <v/>
      </c>
      <c r="AW379" s="57" t="str">
        <f t="shared" si="165"/>
        <v/>
      </c>
      <c r="AX379" s="57" t="str">
        <f t="shared" si="184"/>
        <v/>
      </c>
      <c r="AY379" s="57" t="str">
        <f t="shared" si="167"/>
        <v/>
      </c>
      <c r="AZ379" s="57" t="str">
        <f t="shared" si="168"/>
        <v/>
      </c>
      <c r="BA379" s="60" t="str">
        <f t="shared" si="185"/>
        <v/>
      </c>
      <c r="BB379" s="60" t="str">
        <f t="shared" si="189"/>
        <v/>
      </c>
      <c r="BC379" s="60">
        <f t="shared" si="193"/>
        <v>0.1545</v>
      </c>
      <c r="BD379" s="60" t="str">
        <f t="shared" si="190"/>
        <v/>
      </c>
      <c r="BE379" s="6">
        <f t="shared" si="166"/>
        <v>6.8571428571428577</v>
      </c>
      <c r="BF379" s="6" t="str">
        <f t="shared" si="191"/>
        <v/>
      </c>
    </row>
    <row r="380" spans="1:58" ht="15.75">
      <c r="A380" s="25"/>
      <c r="B380" s="94">
        <v>45640</v>
      </c>
      <c r="C380" s="1">
        <v>136</v>
      </c>
      <c r="D380" s="3">
        <v>375</v>
      </c>
      <c r="E380" s="205" t="str">
        <f t="shared" si="169"/>
        <v/>
      </c>
      <c r="K380" s="10" t="str">
        <f t="shared" si="180"/>
        <v/>
      </c>
      <c r="L380" s="9" t="str">
        <f t="shared" si="181"/>
        <v/>
      </c>
      <c r="M380" s="8" t="str">
        <f t="shared" si="182"/>
        <v/>
      </c>
      <c r="X380" s="6">
        <v>0.67</v>
      </c>
      <c r="AB380" s="5">
        <v>80</v>
      </c>
      <c r="AD380" s="95">
        <v>20</v>
      </c>
      <c r="AG380" s="67">
        <v>3.22</v>
      </c>
      <c r="AH380" s="101">
        <v>0.52083333333333337</v>
      </c>
      <c r="AJ380" s="1">
        <v>175</v>
      </c>
      <c r="AK380" s="3">
        <v>180</v>
      </c>
      <c r="AN380" s="80">
        <f t="shared" si="163"/>
        <v>100</v>
      </c>
      <c r="AP380" s="13">
        <f t="shared" si="183"/>
        <v>2422.4999999999682</v>
      </c>
      <c r="AR380" s="17" t="e">
        <f t="shared" si="186"/>
        <v>#VALUE!</v>
      </c>
      <c r="AS380" s="16"/>
      <c r="AT380" s="16">
        <f t="shared" si="187"/>
        <v>0.161</v>
      </c>
      <c r="AU380" s="16" t="e">
        <f t="shared" si="188"/>
        <v>#DIV/0!</v>
      </c>
      <c r="AV380" s="57" t="str">
        <f t="shared" si="192"/>
        <v/>
      </c>
      <c r="AW380" s="57" t="str">
        <f t="shared" si="165"/>
        <v/>
      </c>
      <c r="AX380" s="57" t="str">
        <f t="shared" si="184"/>
        <v/>
      </c>
      <c r="AY380" s="57" t="str">
        <f t="shared" si="167"/>
        <v/>
      </c>
      <c r="AZ380" s="57" t="str">
        <f t="shared" si="168"/>
        <v/>
      </c>
      <c r="BA380" s="60" t="str">
        <f t="shared" si="185"/>
        <v/>
      </c>
      <c r="BB380" s="60" t="str">
        <f t="shared" si="189"/>
        <v/>
      </c>
      <c r="BC380" s="60">
        <f t="shared" si="193"/>
        <v>0.161</v>
      </c>
      <c r="BD380" s="60" t="str">
        <f t="shared" si="190"/>
        <v/>
      </c>
      <c r="BE380" s="6">
        <f t="shared" si="166"/>
        <v>6.8571428571428577</v>
      </c>
      <c r="BF380" s="6" t="str">
        <f t="shared" si="191"/>
        <v/>
      </c>
    </row>
    <row r="381" spans="1:58" ht="15.75">
      <c r="A381" s="25"/>
      <c r="B381" s="94">
        <v>45641</v>
      </c>
      <c r="C381" s="1">
        <v>137</v>
      </c>
      <c r="D381" s="3">
        <v>376</v>
      </c>
      <c r="E381" s="205" t="str">
        <f t="shared" si="169"/>
        <v/>
      </c>
      <c r="K381" s="10" t="str">
        <f t="shared" si="180"/>
        <v/>
      </c>
      <c r="L381" s="9" t="str">
        <f t="shared" si="181"/>
        <v/>
      </c>
      <c r="M381" s="8" t="str">
        <f t="shared" si="182"/>
        <v/>
      </c>
      <c r="X381" s="6">
        <v>0.2</v>
      </c>
      <c r="AB381" s="5">
        <v>80</v>
      </c>
      <c r="AD381" s="95">
        <v>20</v>
      </c>
      <c r="AG381" s="67">
        <v>3.02</v>
      </c>
      <c r="AH381" s="101">
        <v>0.52037037037037037</v>
      </c>
      <c r="AJ381" s="1">
        <v>175</v>
      </c>
      <c r="AK381" s="3">
        <v>180</v>
      </c>
      <c r="AN381" s="80">
        <f t="shared" si="163"/>
        <v>100</v>
      </c>
      <c r="AP381" s="13">
        <f t="shared" si="183"/>
        <v>2422.4999999999682</v>
      </c>
      <c r="AR381" s="17" t="e">
        <f t="shared" si="186"/>
        <v>#VALUE!</v>
      </c>
      <c r="AS381" s="16"/>
      <c r="AT381" s="16">
        <f t="shared" si="187"/>
        <v>0.151</v>
      </c>
      <c r="AU381" s="16" t="e">
        <f t="shared" si="188"/>
        <v>#DIV/0!</v>
      </c>
      <c r="AV381" s="57" t="str">
        <f t="shared" si="192"/>
        <v/>
      </c>
      <c r="AW381" s="57" t="str">
        <f t="shared" si="165"/>
        <v/>
      </c>
      <c r="AX381" s="57" t="str">
        <f t="shared" si="184"/>
        <v/>
      </c>
      <c r="AY381" s="57" t="str">
        <f t="shared" si="167"/>
        <v/>
      </c>
      <c r="AZ381" s="57" t="str">
        <f t="shared" si="168"/>
        <v/>
      </c>
      <c r="BA381" s="60" t="str">
        <f t="shared" si="185"/>
        <v/>
      </c>
      <c r="BB381" s="60" t="str">
        <f t="shared" si="189"/>
        <v/>
      </c>
      <c r="BC381" s="60">
        <f t="shared" si="193"/>
        <v>0.151</v>
      </c>
      <c r="BD381" s="60" t="str">
        <f t="shared" si="190"/>
        <v/>
      </c>
      <c r="BE381" s="6">
        <f t="shared" si="166"/>
        <v>6.8571428571428577</v>
      </c>
      <c r="BF381" s="6" t="str">
        <f t="shared" si="191"/>
        <v/>
      </c>
    </row>
    <row r="382" spans="1:58" ht="15.75">
      <c r="A382" s="25" t="s">
        <v>90</v>
      </c>
      <c r="B382" s="94">
        <v>45642</v>
      </c>
      <c r="C382" s="1">
        <v>138</v>
      </c>
      <c r="D382" s="3">
        <v>377</v>
      </c>
      <c r="E382" s="205">
        <f t="shared" si="169"/>
        <v>238.47357</v>
      </c>
      <c r="G382" s="15">
        <f>(N382*18-H382*18)/9</f>
        <v>14.299999999999999</v>
      </c>
      <c r="H382" s="9">
        <f>5*1.37</f>
        <v>6.8500000000000005</v>
      </c>
      <c r="I382" s="15">
        <f>AD382</f>
        <v>19.850000000000001</v>
      </c>
      <c r="K382" s="10">
        <f t="shared" si="180"/>
        <v>16.676473426573427</v>
      </c>
      <c r="L382" s="9">
        <f t="shared" si="181"/>
        <v>6.0068909319899237</v>
      </c>
      <c r="M382" s="8">
        <f t="shared" si="182"/>
        <v>2.7762237762237767</v>
      </c>
      <c r="N382" s="7">
        <f>5*2.8</f>
        <v>14</v>
      </c>
      <c r="O382" s="6">
        <v>77.305000000000007</v>
      </c>
      <c r="P382" s="6">
        <v>24.274999999999999</v>
      </c>
      <c r="Q382" s="6">
        <f>O382*1.067</f>
        <v>82.484435000000005</v>
      </c>
      <c r="R382" s="6">
        <f>P382*1.514</f>
        <v>36.75235</v>
      </c>
      <c r="S382" s="23">
        <f>P382*1.514+O382*1.067</f>
        <v>119.236785</v>
      </c>
      <c r="T382" s="6">
        <f>25.7</f>
        <v>25.7</v>
      </c>
      <c r="U382" s="6">
        <v>0</v>
      </c>
      <c r="V382" s="6">
        <v>0</v>
      </c>
      <c r="W382" s="23">
        <f>U382*1.067+V382*1.514</f>
        <v>0</v>
      </c>
      <c r="X382" s="6">
        <v>1.92</v>
      </c>
      <c r="AB382" s="5">
        <v>80</v>
      </c>
      <c r="AC382" s="7">
        <f>T382</f>
        <v>25.7</v>
      </c>
      <c r="AD382" s="1">
        <f>5*3.97</f>
        <v>19.850000000000001</v>
      </c>
      <c r="AE382" s="1">
        <f>15.9</f>
        <v>15.9</v>
      </c>
      <c r="AF382" s="1">
        <f>2*3.52</f>
        <v>7.04</v>
      </c>
      <c r="AG382" s="67">
        <v>3.55</v>
      </c>
      <c r="AH382" s="101">
        <v>0.52048611111111109</v>
      </c>
      <c r="AJ382" s="1">
        <v>175</v>
      </c>
      <c r="AK382" s="3">
        <v>180</v>
      </c>
      <c r="AL382" s="4">
        <f>AE382</f>
        <v>15.9</v>
      </c>
      <c r="AM382" s="1">
        <f>5*2.55</f>
        <v>12.75</v>
      </c>
      <c r="AN382" s="80">
        <f t="shared" si="163"/>
        <v>100</v>
      </c>
      <c r="AP382" s="13">
        <f t="shared" si="183"/>
        <v>2513.3333333333139</v>
      </c>
      <c r="AR382" s="17">
        <f t="shared" si="186"/>
        <v>1</v>
      </c>
      <c r="AS382" s="16">
        <f>(I382-AF382)/I382</f>
        <v>0.64534005037783382</v>
      </c>
      <c r="AT382" s="16">
        <f t="shared" si="187"/>
        <v>0.27712724434035901</v>
      </c>
      <c r="AU382" s="16">
        <f t="shared" si="188"/>
        <v>0.10839160839160833</v>
      </c>
      <c r="AV382" s="57">
        <f t="shared" si="192"/>
        <v>238.47357</v>
      </c>
      <c r="AW382" s="57">
        <f t="shared" si="165"/>
        <v>12.810000000000002</v>
      </c>
      <c r="AX382" s="57">
        <f t="shared" si="184"/>
        <v>1.5499999999999989</v>
      </c>
      <c r="AY382" s="57">
        <f t="shared" si="167"/>
        <v>9.7999999999999989</v>
      </c>
      <c r="AZ382" s="57">
        <f t="shared" si="168"/>
        <v>3.1500000000000004</v>
      </c>
      <c r="BA382" s="60" t="str">
        <f t="shared" si="185"/>
        <v/>
      </c>
      <c r="BB382" s="60">
        <f t="shared" si="189"/>
        <v>0.64534005037783382</v>
      </c>
      <c r="BC382" s="60">
        <f t="shared" si="193"/>
        <v>0.27712724434035901</v>
      </c>
      <c r="BD382" s="60">
        <f t="shared" si="190"/>
        <v>0.10839160839160833</v>
      </c>
      <c r="BE382" s="6">
        <f t="shared" si="166"/>
        <v>4.3920000000000012</v>
      </c>
      <c r="BF382" s="6">
        <f t="shared" si="191"/>
        <v>1.7474801061008096</v>
      </c>
    </row>
    <row r="383" spans="1:58" ht="15.75">
      <c r="B383" s="94">
        <v>45643</v>
      </c>
      <c r="C383" s="1">
        <v>139</v>
      </c>
      <c r="D383" s="3">
        <v>378</v>
      </c>
      <c r="E383" s="205" t="str">
        <f t="shared" si="169"/>
        <v/>
      </c>
      <c r="K383" s="10" t="str">
        <f t="shared" si="180"/>
        <v/>
      </c>
      <c r="L383" s="9" t="str">
        <f t="shared" si="181"/>
        <v/>
      </c>
      <c r="M383" s="8" t="str">
        <f t="shared" si="182"/>
        <v/>
      </c>
      <c r="X383" s="6">
        <v>7.16</v>
      </c>
      <c r="AB383" s="5">
        <v>80</v>
      </c>
      <c r="AD383" s="95">
        <v>20</v>
      </c>
      <c r="AG383" s="67">
        <v>5.79</v>
      </c>
      <c r="AH383" s="101">
        <v>0.51990740740740737</v>
      </c>
      <c r="AJ383" s="1">
        <v>175</v>
      </c>
      <c r="AK383" s="3">
        <v>180</v>
      </c>
      <c r="AN383" s="80">
        <f t="shared" si="163"/>
        <v>100</v>
      </c>
      <c r="AP383" s="13">
        <f t="shared" si="183"/>
        <v>2513.3333333333139</v>
      </c>
      <c r="AR383" s="17" t="e">
        <f t="shared" si="186"/>
        <v>#VALUE!</v>
      </c>
      <c r="AS383" s="16"/>
      <c r="AT383" s="16">
        <f t="shared" si="187"/>
        <v>0.28949999999999998</v>
      </c>
      <c r="AU383" s="16" t="e">
        <f t="shared" si="188"/>
        <v>#DIV/0!</v>
      </c>
      <c r="AV383" s="57" t="str">
        <f t="shared" si="192"/>
        <v/>
      </c>
      <c r="AW383" s="57" t="str">
        <f t="shared" si="165"/>
        <v/>
      </c>
      <c r="AX383" s="57" t="str">
        <f t="shared" si="184"/>
        <v/>
      </c>
      <c r="AY383" s="57" t="str">
        <f t="shared" si="167"/>
        <v/>
      </c>
      <c r="AZ383" s="57" t="str">
        <f t="shared" si="168"/>
        <v/>
      </c>
      <c r="BA383" s="60" t="str">
        <f t="shared" si="185"/>
        <v/>
      </c>
      <c r="BB383" s="60" t="str">
        <f t="shared" si="189"/>
        <v/>
      </c>
      <c r="BC383" s="60">
        <f t="shared" si="193"/>
        <v>0.28949999999999998</v>
      </c>
      <c r="BD383" s="60" t="str">
        <f t="shared" si="190"/>
        <v/>
      </c>
      <c r="BE383" s="6">
        <f t="shared" si="166"/>
        <v>6.8571428571428577</v>
      </c>
      <c r="BF383" s="6" t="str">
        <f t="shared" si="191"/>
        <v/>
      </c>
    </row>
    <row r="384" spans="1:58" ht="15.75">
      <c r="B384" s="94">
        <v>45644</v>
      </c>
      <c r="C384" s="1">
        <v>140</v>
      </c>
      <c r="D384" s="3">
        <v>379</v>
      </c>
      <c r="E384" s="205" t="str">
        <f t="shared" si="169"/>
        <v/>
      </c>
      <c r="K384" s="10" t="str">
        <f t="shared" si="180"/>
        <v/>
      </c>
      <c r="L384" s="9" t="str">
        <f t="shared" si="181"/>
        <v/>
      </c>
      <c r="M384" s="8" t="str">
        <f t="shared" si="182"/>
        <v/>
      </c>
      <c r="X384" s="6">
        <v>7.38</v>
      </c>
      <c r="AB384" s="5">
        <v>80</v>
      </c>
      <c r="AD384" s="95">
        <v>20</v>
      </c>
      <c r="AG384" s="67"/>
      <c r="AJ384" s="1">
        <v>175</v>
      </c>
      <c r="AK384" s="3">
        <v>180</v>
      </c>
      <c r="AN384" s="80">
        <f t="shared" si="163"/>
        <v>100</v>
      </c>
      <c r="AO384" s="106">
        <v>2366.6666666666365</v>
      </c>
      <c r="AP384" s="13">
        <f t="shared" si="183"/>
        <v>2513.3333333333139</v>
      </c>
      <c r="AQ384" s="2">
        <v>19.411282238220981</v>
      </c>
      <c r="AR384" s="17" t="e">
        <f t="shared" si="186"/>
        <v>#VALUE!</v>
      </c>
      <c r="AS384" s="16"/>
      <c r="AT384" s="16">
        <f t="shared" si="187"/>
        <v>0</v>
      </c>
      <c r="AU384" s="16" t="e">
        <f t="shared" si="188"/>
        <v>#DIV/0!</v>
      </c>
      <c r="AV384" s="57" t="str">
        <f t="shared" si="192"/>
        <v/>
      </c>
      <c r="AW384" s="57" t="str">
        <f t="shared" si="165"/>
        <v/>
      </c>
      <c r="AX384" s="57" t="str">
        <f t="shared" si="184"/>
        <v/>
      </c>
      <c r="AY384" s="57" t="str">
        <f t="shared" si="167"/>
        <v/>
      </c>
      <c r="AZ384" s="57" t="str">
        <f t="shared" si="168"/>
        <v/>
      </c>
      <c r="BA384" s="60" t="str">
        <f t="shared" si="185"/>
        <v/>
      </c>
      <c r="BB384" s="60" t="str">
        <f t="shared" si="189"/>
        <v/>
      </c>
      <c r="BC384" s="60"/>
      <c r="BD384" s="60" t="str">
        <f t="shared" si="190"/>
        <v/>
      </c>
      <c r="BE384" s="6">
        <f t="shared" si="166"/>
        <v>6.8571428571428577</v>
      </c>
      <c r="BF384" s="6" t="str">
        <f t="shared" si="191"/>
        <v/>
      </c>
    </row>
    <row r="385" spans="1:58" ht="15.75">
      <c r="B385" s="94">
        <v>45645</v>
      </c>
      <c r="C385" s="1">
        <v>141</v>
      </c>
      <c r="D385" s="3">
        <v>380</v>
      </c>
      <c r="E385" s="205" t="str">
        <f t="shared" si="169"/>
        <v/>
      </c>
      <c r="K385" s="10" t="str">
        <f t="shared" si="180"/>
        <v/>
      </c>
      <c r="L385" s="9" t="str">
        <f t="shared" si="181"/>
        <v/>
      </c>
      <c r="M385" s="8" t="str">
        <f t="shared" si="182"/>
        <v/>
      </c>
      <c r="N385" s="6"/>
      <c r="X385" s="6">
        <v>0.28000000000000003</v>
      </c>
      <c r="AB385" s="5">
        <v>80</v>
      </c>
      <c r="AC385" s="1"/>
      <c r="AD385" s="95">
        <v>20</v>
      </c>
      <c r="AG385" s="98">
        <v>4.5599999999999996</v>
      </c>
      <c r="AH385" s="20">
        <v>0.51979166666666665</v>
      </c>
      <c r="AJ385" s="1">
        <v>175</v>
      </c>
      <c r="AK385" s="3">
        <v>180</v>
      </c>
      <c r="AL385" s="1"/>
      <c r="AN385" s="80">
        <f t="shared" si="163"/>
        <v>100</v>
      </c>
      <c r="AP385" s="13">
        <f t="shared" si="183"/>
        <v>2415.5555555555366</v>
      </c>
      <c r="AR385" s="16" t="e">
        <f t="shared" si="186"/>
        <v>#VALUE!</v>
      </c>
      <c r="AS385" s="16"/>
      <c r="AT385" s="16">
        <f t="shared" si="187"/>
        <v>0.22799999999999998</v>
      </c>
      <c r="AU385" s="16" t="e">
        <f t="shared" si="188"/>
        <v>#DIV/0!</v>
      </c>
      <c r="AV385" s="57" t="str">
        <f t="shared" si="192"/>
        <v/>
      </c>
      <c r="AW385" s="57" t="str">
        <f t="shared" si="165"/>
        <v/>
      </c>
      <c r="AX385" s="57" t="str">
        <f t="shared" si="184"/>
        <v/>
      </c>
      <c r="AY385" s="57" t="str">
        <f t="shared" si="167"/>
        <v/>
      </c>
      <c r="AZ385" s="57" t="str">
        <f t="shared" si="168"/>
        <v/>
      </c>
      <c r="BA385" s="60" t="str">
        <f t="shared" si="185"/>
        <v/>
      </c>
      <c r="BB385" s="60" t="str">
        <f t="shared" si="189"/>
        <v/>
      </c>
      <c r="BC385" s="60">
        <f>IF(AND($AG385&gt;=0,$AD385&gt;=0,$AF385&gt;=0),IF($AG385/($AD385-$AF385)&gt;0,$AG385/($AD385-$AF385),0),"")</f>
        <v>0.22799999999999998</v>
      </c>
      <c r="BD385" s="60" t="str">
        <f t="shared" si="190"/>
        <v/>
      </c>
      <c r="BE385" s="6">
        <f t="shared" si="166"/>
        <v>6.8571428571428577</v>
      </c>
      <c r="BF385" s="6" t="str">
        <f t="shared" si="191"/>
        <v/>
      </c>
    </row>
    <row r="386" spans="1:58" ht="15.75">
      <c r="A386" s="12" t="s">
        <v>5</v>
      </c>
      <c r="B386" s="94">
        <v>45646</v>
      </c>
      <c r="C386" s="1">
        <v>142</v>
      </c>
      <c r="D386" s="3">
        <v>381</v>
      </c>
      <c r="E386" s="205" t="str">
        <f t="shared" si="169"/>
        <v/>
      </c>
      <c r="K386" s="10" t="str">
        <f t="shared" si="180"/>
        <v/>
      </c>
      <c r="L386" s="9" t="str">
        <f t="shared" si="181"/>
        <v/>
      </c>
      <c r="M386" s="8" t="str">
        <f t="shared" si="182"/>
        <v/>
      </c>
      <c r="X386" s="6">
        <v>7.4</v>
      </c>
      <c r="AB386" s="5">
        <v>80</v>
      </c>
      <c r="AD386" s="95">
        <v>20</v>
      </c>
      <c r="AJ386" s="1">
        <v>175</v>
      </c>
      <c r="AK386" s="3">
        <v>180</v>
      </c>
      <c r="AN386" s="80">
        <f t="shared" si="163"/>
        <v>100</v>
      </c>
      <c r="AO386" s="2">
        <v>2659.9999999999909</v>
      </c>
      <c r="AP386" s="13">
        <f t="shared" si="183"/>
        <v>2415.5555555555366</v>
      </c>
      <c r="AQ386" s="2">
        <v>23.327876520111953</v>
      </c>
      <c r="AR386" s="16" t="e">
        <f t="shared" si="186"/>
        <v>#VALUE!</v>
      </c>
      <c r="AS386" s="16"/>
      <c r="AT386" s="16">
        <f t="shared" si="187"/>
        <v>0</v>
      </c>
      <c r="AU386" s="16" t="e">
        <f t="shared" si="188"/>
        <v>#DIV/0!</v>
      </c>
      <c r="AV386" s="57" t="str">
        <f t="shared" si="192"/>
        <v/>
      </c>
      <c r="AW386" s="57" t="str">
        <f t="shared" si="165"/>
        <v/>
      </c>
      <c r="AX386" s="57" t="str">
        <f t="shared" si="184"/>
        <v/>
      </c>
      <c r="AY386" s="57" t="str">
        <f t="shared" si="167"/>
        <v/>
      </c>
      <c r="AZ386" s="57" t="str">
        <f t="shared" si="168"/>
        <v/>
      </c>
      <c r="BA386" s="60" t="str">
        <f t="shared" si="185"/>
        <v/>
      </c>
      <c r="BB386" s="60" t="str">
        <f t="shared" si="189"/>
        <v/>
      </c>
      <c r="BC386" s="60"/>
      <c r="BD386" s="60" t="str">
        <f t="shared" si="190"/>
        <v/>
      </c>
      <c r="BE386" s="6">
        <f t="shared" si="166"/>
        <v>6.8571428571428577</v>
      </c>
      <c r="BF386" s="6" t="str">
        <f t="shared" si="191"/>
        <v/>
      </c>
    </row>
    <row r="387" spans="1:58" ht="15.75">
      <c r="B387" s="94">
        <v>45647</v>
      </c>
      <c r="C387" s="1">
        <v>143</v>
      </c>
      <c r="D387" s="3">
        <v>382</v>
      </c>
      <c r="E387" s="205" t="str">
        <f t="shared" si="169"/>
        <v/>
      </c>
      <c r="K387" s="10" t="str">
        <f t="shared" si="180"/>
        <v/>
      </c>
      <c r="L387" s="9" t="str">
        <f t="shared" si="181"/>
        <v/>
      </c>
      <c r="M387" s="8" t="str">
        <f t="shared" si="182"/>
        <v/>
      </c>
      <c r="X387" s="6">
        <v>0.4</v>
      </c>
      <c r="AB387" s="5">
        <v>80</v>
      </c>
      <c r="AD387" s="95">
        <v>20</v>
      </c>
      <c r="AG387" s="1">
        <v>3.23</v>
      </c>
      <c r="AH387" s="101">
        <v>0.52060185185185182</v>
      </c>
      <c r="AJ387" s="1">
        <v>175</v>
      </c>
      <c r="AK387" s="3">
        <v>180</v>
      </c>
      <c r="AN387" s="80">
        <f t="shared" si="163"/>
        <v>100</v>
      </c>
      <c r="AP387" s="13">
        <f t="shared" si="183"/>
        <v>2439.9999999999864</v>
      </c>
      <c r="AR387" s="16" t="e">
        <f t="shared" si="186"/>
        <v>#VALUE!</v>
      </c>
      <c r="AS387" s="16"/>
      <c r="AT387" s="16">
        <f t="shared" si="187"/>
        <v>0.1615</v>
      </c>
      <c r="AU387" s="16" t="e">
        <f t="shared" si="188"/>
        <v>#DIV/0!</v>
      </c>
      <c r="AV387" s="57" t="str">
        <f t="shared" si="192"/>
        <v/>
      </c>
      <c r="AW387" s="57" t="str">
        <f t="shared" si="165"/>
        <v/>
      </c>
      <c r="AX387" s="57" t="str">
        <f t="shared" si="184"/>
        <v/>
      </c>
      <c r="AY387" s="57" t="str">
        <f t="shared" si="167"/>
        <v/>
      </c>
      <c r="AZ387" s="57" t="str">
        <f t="shared" si="168"/>
        <v/>
      </c>
      <c r="BA387" s="60" t="str">
        <f t="shared" si="185"/>
        <v/>
      </c>
      <c r="BB387" s="60" t="str">
        <f t="shared" si="189"/>
        <v/>
      </c>
      <c r="BC387" s="60">
        <f>IF(AND($AG387&gt;=0,$AD387&gt;=0,$AF387&gt;=0),IF($AG387/($AD387-$AF387)&gt;0,$AG387/($AD387-$AF387),0),"")</f>
        <v>0.1615</v>
      </c>
      <c r="BD387" s="60" t="str">
        <f t="shared" si="190"/>
        <v/>
      </c>
      <c r="BE387" s="6">
        <f t="shared" si="166"/>
        <v>6.8571428571428577</v>
      </c>
      <c r="BF387" s="6" t="str">
        <f t="shared" si="191"/>
        <v/>
      </c>
    </row>
    <row r="388" spans="1:58" ht="15.75">
      <c r="B388" s="94">
        <v>45648</v>
      </c>
      <c r="C388" s="1">
        <v>144</v>
      </c>
      <c r="D388" s="3">
        <v>383</v>
      </c>
      <c r="E388" s="205" t="str">
        <f t="shared" si="169"/>
        <v/>
      </c>
      <c r="K388" s="10" t="str">
        <f t="shared" si="180"/>
        <v/>
      </c>
      <c r="L388" s="9" t="str">
        <f t="shared" si="181"/>
        <v/>
      </c>
      <c r="M388" s="8" t="str">
        <f t="shared" si="182"/>
        <v/>
      </c>
      <c r="X388" s="6">
        <v>0.71</v>
      </c>
      <c r="AB388" s="5">
        <v>80</v>
      </c>
      <c r="AD388" s="95">
        <v>20</v>
      </c>
      <c r="AG388" s="1">
        <v>0.99</v>
      </c>
      <c r="AH388" s="101">
        <v>0.51793981481481477</v>
      </c>
      <c r="AJ388" s="1">
        <v>175</v>
      </c>
      <c r="AK388" s="3">
        <v>180</v>
      </c>
      <c r="AN388" s="80">
        <f t="shared" si="163"/>
        <v>100</v>
      </c>
      <c r="AP388" s="13">
        <f t="shared" si="183"/>
        <v>2439.9999999999864</v>
      </c>
      <c r="AR388" s="16" t="e">
        <f t="shared" si="186"/>
        <v>#VALUE!</v>
      </c>
      <c r="AS388" s="16"/>
      <c r="AT388" s="16">
        <f t="shared" si="187"/>
        <v>4.9500000000000002E-2</v>
      </c>
      <c r="AU388" s="16" t="e">
        <f t="shared" si="188"/>
        <v>#DIV/0!</v>
      </c>
      <c r="AV388" s="57" t="str">
        <f t="shared" si="192"/>
        <v/>
      </c>
      <c r="AW388" s="57" t="str">
        <f t="shared" si="165"/>
        <v/>
      </c>
      <c r="AX388" s="57" t="str">
        <f t="shared" si="184"/>
        <v/>
      </c>
      <c r="AY388" s="57" t="str">
        <f t="shared" si="167"/>
        <v/>
      </c>
      <c r="AZ388" s="57" t="str">
        <f t="shared" si="168"/>
        <v/>
      </c>
      <c r="BA388" s="60" t="str">
        <f t="shared" si="185"/>
        <v/>
      </c>
      <c r="BB388" s="60" t="str">
        <f t="shared" si="189"/>
        <v/>
      </c>
      <c r="BC388" s="60"/>
      <c r="BD388" s="60" t="str">
        <f t="shared" si="190"/>
        <v/>
      </c>
      <c r="BE388" s="6">
        <f t="shared" si="166"/>
        <v>6.8571428571428577</v>
      </c>
      <c r="BF388" s="6" t="str">
        <f t="shared" si="191"/>
        <v/>
      </c>
    </row>
    <row r="389" spans="1:58" ht="15.75">
      <c r="A389" s="12" t="s">
        <v>89</v>
      </c>
      <c r="B389" s="94">
        <v>45649</v>
      </c>
      <c r="C389" s="1">
        <v>145</v>
      </c>
      <c r="D389" s="3">
        <v>384</v>
      </c>
      <c r="E389" s="205" t="str">
        <f t="shared" si="169"/>
        <v/>
      </c>
      <c r="K389" s="10" t="str">
        <f t="shared" si="180"/>
        <v/>
      </c>
      <c r="L389" s="9" t="str">
        <f t="shared" si="181"/>
        <v/>
      </c>
      <c r="M389" s="8" t="str">
        <f t="shared" si="182"/>
        <v/>
      </c>
      <c r="X389" s="6">
        <v>6.61</v>
      </c>
      <c r="AB389" s="5">
        <v>80</v>
      </c>
      <c r="AD389" s="95">
        <v>20</v>
      </c>
      <c r="AG389" s="1">
        <v>1.8</v>
      </c>
      <c r="AH389" s="101">
        <v>0.51793981481481477</v>
      </c>
      <c r="AJ389" s="1">
        <v>175</v>
      </c>
      <c r="AK389" s="3">
        <v>180</v>
      </c>
      <c r="AN389" s="80">
        <f t="shared" ref="AN389:AN452" si="194">360-AK389-AB389</f>
        <v>100</v>
      </c>
      <c r="AO389" s="2">
        <v>2219.9999999999818</v>
      </c>
      <c r="AP389" s="13">
        <f t="shared" si="183"/>
        <v>2219.9999999999818</v>
      </c>
      <c r="AQ389" s="2">
        <v>25.050778605281174</v>
      </c>
      <c r="AR389" s="16" t="e">
        <f t="shared" si="186"/>
        <v>#VALUE!</v>
      </c>
      <c r="AS389" s="16"/>
      <c r="AT389" s="16">
        <f t="shared" si="187"/>
        <v>0.09</v>
      </c>
      <c r="AU389" s="16" t="e">
        <f t="shared" si="188"/>
        <v>#DIV/0!</v>
      </c>
      <c r="AV389" s="57" t="str">
        <f t="shared" si="192"/>
        <v/>
      </c>
      <c r="AW389" s="57" t="str">
        <f t="shared" ref="AW389:AW455" si="195">IF(AND(ISNUMBER(I389),ISNUMBER(AF389)),I389-AF389,"")</f>
        <v/>
      </c>
      <c r="AX389" s="57" t="str">
        <f t="shared" si="184"/>
        <v/>
      </c>
      <c r="AY389" s="57" t="str">
        <f t="shared" si="167"/>
        <v/>
      </c>
      <c r="AZ389" s="57" t="str">
        <f t="shared" si="168"/>
        <v/>
      </c>
      <c r="BA389" s="60" t="str">
        <f t="shared" si="185"/>
        <v/>
      </c>
      <c r="BB389" s="60" t="str">
        <f t="shared" si="189"/>
        <v/>
      </c>
      <c r="BC389" s="60"/>
      <c r="BD389" s="60" t="str">
        <f t="shared" si="190"/>
        <v/>
      </c>
      <c r="BE389" s="6">
        <f t="shared" ref="BE389:BE452" si="196">IF((AD389-AF389)/(AJ389/60)&lt;=0,"",(AD389-AF389)/(AJ389/60))</f>
        <v>6.8571428571428577</v>
      </c>
      <c r="BF389" s="6" t="str">
        <f t="shared" si="191"/>
        <v/>
      </c>
    </row>
    <row r="390" spans="1:58" ht="15.75">
      <c r="B390" s="94">
        <v>45650</v>
      </c>
      <c r="C390" s="1">
        <v>146</v>
      </c>
      <c r="D390" s="3">
        <v>385</v>
      </c>
      <c r="E390" s="205" t="str">
        <f t="shared" si="169"/>
        <v/>
      </c>
      <c r="K390" s="10" t="str">
        <f t="shared" si="180"/>
        <v/>
      </c>
      <c r="L390" s="9" t="str">
        <f t="shared" si="181"/>
        <v/>
      </c>
      <c r="M390" s="8" t="str">
        <f t="shared" si="182"/>
        <v/>
      </c>
      <c r="N390" s="6"/>
      <c r="X390" s="6">
        <v>4.01</v>
      </c>
      <c r="AB390" s="5">
        <v>80</v>
      </c>
      <c r="AC390" s="1"/>
      <c r="AD390" s="95">
        <v>20</v>
      </c>
      <c r="AG390" s="1">
        <v>2.08</v>
      </c>
      <c r="AH390" s="101">
        <v>0.52083333333333337</v>
      </c>
      <c r="AJ390" s="1">
        <v>175</v>
      </c>
      <c r="AK390" s="3">
        <v>180</v>
      </c>
      <c r="AL390" s="1"/>
      <c r="AN390" s="80">
        <f t="shared" si="194"/>
        <v>100</v>
      </c>
      <c r="AP390" s="13">
        <f t="shared" si="183"/>
        <v>2219.9999999999818</v>
      </c>
      <c r="AR390" s="16" t="e">
        <f t="shared" si="186"/>
        <v>#VALUE!</v>
      </c>
      <c r="AS390" s="16"/>
      <c r="AT390" s="16">
        <f t="shared" si="187"/>
        <v>0.10400000000000001</v>
      </c>
      <c r="AU390" s="16" t="e">
        <f t="shared" si="188"/>
        <v>#DIV/0!</v>
      </c>
      <c r="AV390" s="57" t="str">
        <f t="shared" si="192"/>
        <v/>
      </c>
      <c r="AW390" s="57" t="str">
        <f t="shared" si="195"/>
        <v/>
      </c>
      <c r="AX390" s="57" t="str">
        <f t="shared" si="184"/>
        <v/>
      </c>
      <c r="AY390" s="57" t="str">
        <f t="shared" ref="AY390:AY453" si="197">IF(AND(ISNUMBER(AC390),ISNUMBER(AE390)),AC390-AE390,"")</f>
        <v/>
      </c>
      <c r="AZ390" s="57" t="str">
        <f t="shared" ref="AZ390:AZ453" si="198">IF(AND(ISNUMBER(AL390),ISNUMBER(AM390)),AL390-AM390,"")</f>
        <v/>
      </c>
      <c r="BA390" s="60" t="str">
        <f t="shared" si="185"/>
        <v/>
      </c>
      <c r="BB390" s="60" t="str">
        <f t="shared" si="189"/>
        <v/>
      </c>
      <c r="BC390" s="60"/>
      <c r="BD390" s="60" t="str">
        <f t="shared" si="190"/>
        <v/>
      </c>
      <c r="BE390" s="6">
        <f t="shared" si="196"/>
        <v>6.8571428571428577</v>
      </c>
      <c r="BF390" s="6" t="str">
        <f t="shared" si="191"/>
        <v/>
      </c>
    </row>
    <row r="391" spans="1:58" ht="15.75">
      <c r="B391" s="94">
        <v>45651</v>
      </c>
      <c r="C391" s="1">
        <v>147</v>
      </c>
      <c r="D391" s="3">
        <v>386</v>
      </c>
      <c r="E391" s="205" t="str">
        <f t="shared" ref="E391:E454" si="199">IF(OR(S391="",S391=0),"",S391*2)</f>
        <v/>
      </c>
      <c r="K391" s="10" t="str">
        <f t="shared" si="180"/>
        <v/>
      </c>
      <c r="L391" s="9" t="str">
        <f t="shared" si="181"/>
        <v/>
      </c>
      <c r="M391" s="8" t="str">
        <f t="shared" si="182"/>
        <v/>
      </c>
      <c r="X391" s="6">
        <v>2.83</v>
      </c>
      <c r="AB391" s="5">
        <v>80</v>
      </c>
      <c r="AD391" s="95">
        <v>20</v>
      </c>
      <c r="AG391" s="1">
        <v>0.86</v>
      </c>
      <c r="AH391" s="101">
        <v>0.51990740740740737</v>
      </c>
      <c r="AJ391" s="1">
        <v>175</v>
      </c>
      <c r="AK391" s="3">
        <v>180</v>
      </c>
      <c r="AN391" s="80">
        <f t="shared" si="194"/>
        <v>100</v>
      </c>
      <c r="AP391" s="13">
        <f t="shared" si="183"/>
        <v>2219.9999999999818</v>
      </c>
      <c r="AR391" s="16" t="e">
        <f t="shared" si="186"/>
        <v>#VALUE!</v>
      </c>
      <c r="AS391" s="16"/>
      <c r="AT391" s="16">
        <f t="shared" si="187"/>
        <v>4.2999999999999997E-2</v>
      </c>
      <c r="AU391" s="16" t="e">
        <f t="shared" si="188"/>
        <v>#DIV/0!</v>
      </c>
      <c r="AV391" s="57" t="str">
        <f t="shared" si="192"/>
        <v/>
      </c>
      <c r="AW391" s="57" t="str">
        <f t="shared" si="195"/>
        <v/>
      </c>
      <c r="AX391" s="57" t="str">
        <f t="shared" si="184"/>
        <v/>
      </c>
      <c r="AY391" s="57" t="str">
        <f t="shared" si="197"/>
        <v/>
      </c>
      <c r="AZ391" s="57" t="str">
        <f t="shared" si="198"/>
        <v/>
      </c>
      <c r="BA391" s="60" t="str">
        <f t="shared" si="185"/>
        <v/>
      </c>
      <c r="BB391" s="60" t="str">
        <f t="shared" si="189"/>
        <v/>
      </c>
      <c r="BC391" s="60"/>
      <c r="BD391" s="60" t="str">
        <f t="shared" si="190"/>
        <v/>
      </c>
      <c r="BE391" s="6">
        <f t="shared" si="196"/>
        <v>6.8571428571428577</v>
      </c>
      <c r="BF391" s="6" t="str">
        <f t="shared" si="191"/>
        <v/>
      </c>
    </row>
    <row r="392" spans="1:58" ht="15.75">
      <c r="A392" s="12" t="s">
        <v>3</v>
      </c>
      <c r="B392" s="94">
        <v>45652</v>
      </c>
      <c r="C392" s="1">
        <v>148</v>
      </c>
      <c r="D392" s="3">
        <v>387</v>
      </c>
      <c r="E392" s="205" t="str">
        <f t="shared" si="199"/>
        <v/>
      </c>
      <c r="K392" s="10" t="str">
        <f t="shared" si="180"/>
        <v/>
      </c>
      <c r="L392" s="9" t="str">
        <f t="shared" si="181"/>
        <v/>
      </c>
      <c r="M392" s="8" t="str">
        <f t="shared" si="182"/>
        <v/>
      </c>
      <c r="X392" s="6">
        <v>0.55000000000000004</v>
      </c>
      <c r="AB392" s="5">
        <v>80</v>
      </c>
      <c r="AD392" s="95">
        <v>20</v>
      </c>
      <c r="AG392" s="1">
        <v>2.08</v>
      </c>
      <c r="AH392" s="101">
        <v>0.52048611111111109</v>
      </c>
      <c r="AJ392" s="1">
        <v>175</v>
      </c>
      <c r="AK392" s="3">
        <v>180</v>
      </c>
      <c r="AN392" s="80">
        <f t="shared" si="194"/>
        <v>100</v>
      </c>
      <c r="AP392" s="103">
        <f t="shared" ref="AP392:AP400" si="200">$AO$389</f>
        <v>2219.9999999999818</v>
      </c>
      <c r="AR392" s="16" t="e">
        <f t="shared" si="186"/>
        <v>#VALUE!</v>
      </c>
      <c r="AS392" s="16"/>
      <c r="AT392" s="16">
        <f t="shared" si="187"/>
        <v>0.10400000000000001</v>
      </c>
      <c r="AU392" s="16" t="e">
        <f t="shared" si="188"/>
        <v>#DIV/0!</v>
      </c>
      <c r="AV392" s="57" t="str">
        <f t="shared" si="192"/>
        <v/>
      </c>
      <c r="AW392" s="57" t="str">
        <f t="shared" si="195"/>
        <v/>
      </c>
      <c r="AX392" s="57" t="str">
        <f t="shared" si="184"/>
        <v/>
      </c>
      <c r="AY392" s="57" t="str">
        <f t="shared" si="197"/>
        <v/>
      </c>
      <c r="AZ392" s="57" t="str">
        <f t="shared" si="198"/>
        <v/>
      </c>
      <c r="BA392" s="60" t="str">
        <f t="shared" si="185"/>
        <v/>
      </c>
      <c r="BB392" s="60" t="str">
        <f t="shared" si="189"/>
        <v/>
      </c>
      <c r="BC392" s="60"/>
      <c r="BD392" s="60" t="str">
        <f t="shared" si="190"/>
        <v/>
      </c>
      <c r="BE392" s="6">
        <f t="shared" si="196"/>
        <v>6.8571428571428577</v>
      </c>
      <c r="BF392" s="6" t="str">
        <f t="shared" si="191"/>
        <v/>
      </c>
    </row>
    <row r="393" spans="1:58" ht="15.75">
      <c r="A393" s="12" t="s">
        <v>7</v>
      </c>
      <c r="B393" s="94">
        <v>45653</v>
      </c>
      <c r="C393" s="1">
        <v>149</v>
      </c>
      <c r="D393" s="3">
        <v>388</v>
      </c>
      <c r="E393" s="205" t="str">
        <f t="shared" si="199"/>
        <v/>
      </c>
      <c r="K393" s="10" t="str">
        <f t="shared" si="180"/>
        <v/>
      </c>
      <c r="L393" s="9" t="str">
        <f t="shared" si="181"/>
        <v/>
      </c>
      <c r="M393" s="8" t="str">
        <f t="shared" si="182"/>
        <v/>
      </c>
      <c r="X393" s="6">
        <v>2.72</v>
      </c>
      <c r="AB393" s="5">
        <v>80</v>
      </c>
      <c r="AD393" s="95">
        <v>20</v>
      </c>
      <c r="AG393" s="1">
        <v>4.26</v>
      </c>
      <c r="AH393" s="101">
        <v>0.51909722222222221</v>
      </c>
      <c r="AJ393" s="1">
        <v>175</v>
      </c>
      <c r="AK393" s="3">
        <v>180</v>
      </c>
      <c r="AN393" s="80">
        <f t="shared" si="194"/>
        <v>100</v>
      </c>
      <c r="AP393" s="103">
        <f t="shared" si="200"/>
        <v>2219.9999999999818</v>
      </c>
      <c r="AR393" s="16" t="e">
        <f t="shared" si="186"/>
        <v>#VALUE!</v>
      </c>
      <c r="AS393" s="16"/>
      <c r="AT393" s="16">
        <f t="shared" si="187"/>
        <v>0.21299999999999999</v>
      </c>
      <c r="AU393" s="16" t="e">
        <f t="shared" si="188"/>
        <v>#DIV/0!</v>
      </c>
      <c r="AV393" s="57" t="str">
        <f t="shared" si="192"/>
        <v/>
      </c>
      <c r="AW393" s="57" t="str">
        <f t="shared" si="195"/>
        <v/>
      </c>
      <c r="AX393" s="57" t="str">
        <f t="shared" si="184"/>
        <v/>
      </c>
      <c r="AY393" s="57" t="str">
        <f t="shared" si="197"/>
        <v/>
      </c>
      <c r="AZ393" s="57" t="str">
        <f t="shared" si="198"/>
        <v/>
      </c>
      <c r="BA393" s="60" t="str">
        <f t="shared" si="185"/>
        <v/>
      </c>
      <c r="BB393" s="60" t="str">
        <f t="shared" si="189"/>
        <v/>
      </c>
      <c r="BC393" s="60">
        <f t="shared" ref="BC393:BC398" si="201">IF(AND($AG393&gt;=0,$AD393&gt;=0,$AF393&gt;=0),IF($AG393/($AD393-$AF393)&gt;0,$AG393/($AD393-$AF393),0),"")</f>
        <v>0.21299999999999999</v>
      </c>
      <c r="BD393" s="60" t="str">
        <f t="shared" si="190"/>
        <v/>
      </c>
      <c r="BE393" s="6">
        <f t="shared" si="196"/>
        <v>6.8571428571428577</v>
      </c>
      <c r="BF393" s="6" t="str">
        <f t="shared" si="191"/>
        <v/>
      </c>
    </row>
    <row r="394" spans="1:58" ht="15.75">
      <c r="B394" s="94">
        <v>45654</v>
      </c>
      <c r="C394" s="1">
        <v>150</v>
      </c>
      <c r="D394" s="3">
        <v>389</v>
      </c>
      <c r="E394" s="205">
        <f t="shared" si="199"/>
        <v>271.90785599999998</v>
      </c>
      <c r="G394" s="15">
        <f>(N394*18-H394*18)/9</f>
        <v>14.799999999999999</v>
      </c>
      <c r="H394" s="9">
        <f>5.9</f>
        <v>5.9</v>
      </c>
      <c r="I394" s="15">
        <f>AD394</f>
        <v>20.150000000000002</v>
      </c>
      <c r="K394" s="10">
        <f t="shared" si="180"/>
        <v>18.372152432432433</v>
      </c>
      <c r="L394" s="9">
        <f t="shared" si="181"/>
        <v>6.7470932009925546</v>
      </c>
      <c r="M394" s="8">
        <f t="shared" si="182"/>
        <v>2.7229729729729732</v>
      </c>
      <c r="N394" s="7">
        <f>13.3</f>
        <v>13.3</v>
      </c>
      <c r="O394" s="59">
        <v>86.18</v>
      </c>
      <c r="P394" s="59">
        <v>29.062000000000001</v>
      </c>
      <c r="Q394" s="6">
        <f>O394*1.067</f>
        <v>91.954059999999998</v>
      </c>
      <c r="R394" s="6">
        <f>P394*1.514</f>
        <v>43.999867999999999</v>
      </c>
      <c r="S394" s="23">
        <f>P394*1.514+O394*1.067</f>
        <v>135.95392799999999</v>
      </c>
      <c r="T394" s="6">
        <f>27</f>
        <v>27</v>
      </c>
      <c r="U394" s="59">
        <f>2.638*1.067</f>
        <v>2.814746</v>
      </c>
      <c r="V394" s="59">
        <f>1.69*1.514</f>
        <v>2.5586600000000002</v>
      </c>
      <c r="W394" s="23">
        <f>U394*1.067+V394*1.514</f>
        <v>6.8771452220000002</v>
      </c>
      <c r="X394" s="6">
        <v>0.44</v>
      </c>
      <c r="AB394" s="5">
        <v>80</v>
      </c>
      <c r="AC394" s="7">
        <f>T394</f>
        <v>27</v>
      </c>
      <c r="AD394" s="1">
        <f>5*4.03</f>
        <v>20.150000000000002</v>
      </c>
      <c r="AE394" s="1">
        <f>14.9</f>
        <v>14.9</v>
      </c>
      <c r="AF394" s="1">
        <f>2*3.76</f>
        <v>7.52</v>
      </c>
      <c r="AG394" s="1">
        <v>4.7</v>
      </c>
      <c r="AH394" s="101">
        <v>0.52037037037037037</v>
      </c>
      <c r="AJ394" s="1">
        <v>175</v>
      </c>
      <c r="AK394" s="3">
        <v>180</v>
      </c>
      <c r="AL394" s="4">
        <f>AE394</f>
        <v>14.9</v>
      </c>
      <c r="AM394" s="1">
        <f>10.6</f>
        <v>10.6</v>
      </c>
      <c r="AN394" s="80">
        <f t="shared" si="194"/>
        <v>100</v>
      </c>
      <c r="AP394" s="103">
        <f t="shared" si="200"/>
        <v>2219.9999999999818</v>
      </c>
      <c r="AR394" s="16">
        <f t="shared" si="186"/>
        <v>0.97470780975890592</v>
      </c>
      <c r="AS394" s="16">
        <f>(I394-AF394)/I394</f>
        <v>0.62679900744416883</v>
      </c>
      <c r="AT394" s="16">
        <f t="shared" si="187"/>
        <v>0.37212984956452883</v>
      </c>
      <c r="AU394" s="16">
        <f t="shared" si="188"/>
        <v>0.28378378378378377</v>
      </c>
      <c r="AV394" s="57">
        <f t="shared" si="192"/>
        <v>265.03071077799996</v>
      </c>
      <c r="AW394" s="57">
        <f t="shared" si="195"/>
        <v>12.630000000000003</v>
      </c>
      <c r="AX394" s="57">
        <f t="shared" si="184"/>
        <v>4.1999999999999993</v>
      </c>
      <c r="AY394" s="57">
        <f t="shared" si="197"/>
        <v>12.1</v>
      </c>
      <c r="AZ394" s="57">
        <f t="shared" si="198"/>
        <v>4.3000000000000007</v>
      </c>
      <c r="BA394" s="60">
        <f t="shared" si="185"/>
        <v>0.97470780975890592</v>
      </c>
      <c r="BB394" s="60">
        <f t="shared" si="189"/>
        <v>0.62679900744416883</v>
      </c>
      <c r="BC394" s="60">
        <f t="shared" si="201"/>
        <v>0.37212984956452883</v>
      </c>
      <c r="BD394" s="60">
        <f t="shared" si="190"/>
        <v>0.28378378378378377</v>
      </c>
      <c r="BE394" s="6">
        <f t="shared" si="196"/>
        <v>4.330285714285715</v>
      </c>
      <c r="BF394" s="6">
        <f t="shared" si="191"/>
        <v>1.9505791505791668</v>
      </c>
    </row>
    <row r="395" spans="1:58" ht="15.75">
      <c r="A395" s="12" t="s">
        <v>88</v>
      </c>
      <c r="B395" s="94">
        <v>45655</v>
      </c>
      <c r="C395" s="1">
        <v>151</v>
      </c>
      <c r="D395" s="3">
        <v>390</v>
      </c>
      <c r="E395" s="205" t="str">
        <f t="shared" si="199"/>
        <v/>
      </c>
      <c r="K395" s="10" t="str">
        <f t="shared" si="180"/>
        <v/>
      </c>
      <c r="L395" s="9" t="str">
        <f t="shared" si="181"/>
        <v/>
      </c>
      <c r="M395" s="8" t="str">
        <f t="shared" si="182"/>
        <v/>
      </c>
      <c r="N395" s="6"/>
      <c r="X395" s="6">
        <v>0.5</v>
      </c>
      <c r="AB395" s="5">
        <v>80</v>
      </c>
      <c r="AC395" s="1"/>
      <c r="AD395" s="95">
        <v>20</v>
      </c>
      <c r="AG395" s="1">
        <v>3.5</v>
      </c>
      <c r="AH395" s="101">
        <v>0.52083333333333337</v>
      </c>
      <c r="AJ395" s="1">
        <v>175</v>
      </c>
      <c r="AK395" s="3">
        <v>180</v>
      </c>
      <c r="AL395" s="1"/>
      <c r="AN395" s="80">
        <f t="shared" si="194"/>
        <v>100</v>
      </c>
      <c r="AP395" s="103">
        <f t="shared" si="200"/>
        <v>2219.9999999999818</v>
      </c>
      <c r="AR395" s="16" t="e">
        <f t="shared" si="186"/>
        <v>#VALUE!</v>
      </c>
      <c r="AS395" s="16"/>
      <c r="AT395" s="16">
        <f t="shared" si="187"/>
        <v>0.17499999999999999</v>
      </c>
      <c r="AU395" s="16" t="e">
        <f t="shared" si="188"/>
        <v>#DIV/0!</v>
      </c>
      <c r="AV395" s="57" t="str">
        <f t="shared" si="192"/>
        <v/>
      </c>
      <c r="AW395" s="57" t="str">
        <f t="shared" si="195"/>
        <v/>
      </c>
      <c r="AX395" s="57" t="str">
        <f t="shared" si="184"/>
        <v/>
      </c>
      <c r="AY395" s="57" t="str">
        <f t="shared" si="197"/>
        <v/>
      </c>
      <c r="AZ395" s="57" t="str">
        <f t="shared" si="198"/>
        <v/>
      </c>
      <c r="BA395" s="60" t="str">
        <f t="shared" si="185"/>
        <v/>
      </c>
      <c r="BB395" s="60" t="str">
        <f t="shared" si="189"/>
        <v/>
      </c>
      <c r="BC395" s="60">
        <f t="shared" si="201"/>
        <v>0.17499999999999999</v>
      </c>
      <c r="BD395" s="60" t="str">
        <f t="shared" si="190"/>
        <v/>
      </c>
      <c r="BE395" s="6">
        <f t="shared" si="196"/>
        <v>6.8571428571428577</v>
      </c>
      <c r="BF395" s="6" t="str">
        <f t="shared" si="191"/>
        <v/>
      </c>
    </row>
    <row r="396" spans="1:58" ht="15.75">
      <c r="A396" s="12" t="s">
        <v>87</v>
      </c>
      <c r="B396" s="94">
        <v>45656</v>
      </c>
      <c r="C396" s="1">
        <v>152</v>
      </c>
      <c r="D396" s="3">
        <v>391</v>
      </c>
      <c r="E396" s="205" t="str">
        <f t="shared" si="199"/>
        <v/>
      </c>
      <c r="K396" s="10" t="str">
        <f t="shared" si="180"/>
        <v/>
      </c>
      <c r="L396" s="9" t="str">
        <f t="shared" si="181"/>
        <v/>
      </c>
      <c r="M396" s="8" t="str">
        <f t="shared" si="182"/>
        <v/>
      </c>
      <c r="X396" s="6">
        <v>0.18</v>
      </c>
      <c r="AB396" s="5">
        <v>80</v>
      </c>
      <c r="AD396" s="95">
        <v>20</v>
      </c>
      <c r="AG396" s="1">
        <v>5.99</v>
      </c>
      <c r="AH396" s="101">
        <v>0.51863425925925921</v>
      </c>
      <c r="AJ396" s="1">
        <v>175</v>
      </c>
      <c r="AK396" s="3">
        <v>180</v>
      </c>
      <c r="AN396" s="80">
        <f t="shared" si="194"/>
        <v>100</v>
      </c>
      <c r="AP396" s="103">
        <f t="shared" si="200"/>
        <v>2219.9999999999818</v>
      </c>
      <c r="AR396" s="16" t="e">
        <f t="shared" si="186"/>
        <v>#VALUE!</v>
      </c>
      <c r="AS396" s="16"/>
      <c r="AT396" s="16">
        <f t="shared" si="187"/>
        <v>0.29949999999999999</v>
      </c>
      <c r="AU396" s="16" t="e">
        <f t="shared" si="188"/>
        <v>#DIV/0!</v>
      </c>
      <c r="AV396" s="57" t="str">
        <f t="shared" si="192"/>
        <v/>
      </c>
      <c r="AW396" s="57" t="str">
        <f t="shared" si="195"/>
        <v/>
      </c>
      <c r="AX396" s="57" t="str">
        <f t="shared" si="184"/>
        <v/>
      </c>
      <c r="AY396" s="57" t="str">
        <f t="shared" si="197"/>
        <v/>
      </c>
      <c r="AZ396" s="57" t="str">
        <f t="shared" si="198"/>
        <v/>
      </c>
      <c r="BA396" s="60" t="str">
        <f t="shared" si="185"/>
        <v/>
      </c>
      <c r="BB396" s="60" t="str">
        <f t="shared" si="189"/>
        <v/>
      </c>
      <c r="BC396" s="60">
        <f t="shared" si="201"/>
        <v>0.29949999999999999</v>
      </c>
      <c r="BD396" s="60" t="str">
        <f t="shared" si="190"/>
        <v/>
      </c>
      <c r="BE396" s="6">
        <f t="shared" si="196"/>
        <v>6.8571428571428577</v>
      </c>
      <c r="BF396" s="6" t="str">
        <f t="shared" si="191"/>
        <v/>
      </c>
    </row>
    <row r="397" spans="1:58" ht="15.75">
      <c r="A397" s="12" t="s">
        <v>86</v>
      </c>
      <c r="B397" s="94">
        <v>45657</v>
      </c>
      <c r="C397" s="1">
        <v>153</v>
      </c>
      <c r="D397" s="3">
        <v>392</v>
      </c>
      <c r="E397" s="205" t="str">
        <f t="shared" si="199"/>
        <v/>
      </c>
      <c r="K397" s="10" t="str">
        <f t="shared" si="180"/>
        <v/>
      </c>
      <c r="L397" s="9" t="str">
        <f t="shared" si="181"/>
        <v/>
      </c>
      <c r="M397" s="8" t="str">
        <f t="shared" si="182"/>
        <v/>
      </c>
      <c r="X397" s="6">
        <v>0.59</v>
      </c>
      <c r="AB397" s="5">
        <v>80</v>
      </c>
      <c r="AD397" s="95">
        <v>20</v>
      </c>
      <c r="AG397" s="1">
        <v>5.89</v>
      </c>
      <c r="AH397" s="101">
        <v>0.51967592592592593</v>
      </c>
      <c r="AJ397" s="1">
        <v>175</v>
      </c>
      <c r="AK397" s="3">
        <v>180</v>
      </c>
      <c r="AN397" s="80">
        <f t="shared" si="194"/>
        <v>100</v>
      </c>
      <c r="AP397" s="103">
        <f t="shared" si="200"/>
        <v>2219.9999999999818</v>
      </c>
      <c r="AR397" s="16" t="e">
        <f t="shared" si="186"/>
        <v>#VALUE!</v>
      </c>
      <c r="AS397" s="16"/>
      <c r="AT397" s="16">
        <f t="shared" si="187"/>
        <v>0.29449999999999998</v>
      </c>
      <c r="AU397" s="16" t="e">
        <f t="shared" si="188"/>
        <v>#DIV/0!</v>
      </c>
      <c r="AV397" s="57" t="str">
        <f t="shared" si="192"/>
        <v/>
      </c>
      <c r="AW397" s="57" t="str">
        <f t="shared" si="195"/>
        <v/>
      </c>
      <c r="AX397" s="57" t="str">
        <f t="shared" si="184"/>
        <v/>
      </c>
      <c r="AY397" s="57" t="str">
        <f t="shared" si="197"/>
        <v/>
      </c>
      <c r="AZ397" s="57" t="str">
        <f t="shared" si="198"/>
        <v/>
      </c>
      <c r="BA397" s="60" t="str">
        <f t="shared" si="185"/>
        <v/>
      </c>
      <c r="BB397" s="60" t="str">
        <f t="shared" si="189"/>
        <v/>
      </c>
      <c r="BC397" s="60">
        <f t="shared" si="201"/>
        <v>0.29449999999999998</v>
      </c>
      <c r="BD397" s="60" t="str">
        <f t="shared" si="190"/>
        <v/>
      </c>
      <c r="BE397" s="6">
        <f t="shared" si="196"/>
        <v>6.8571428571428577</v>
      </c>
      <c r="BF397" s="6" t="str">
        <f t="shared" si="191"/>
        <v/>
      </c>
    </row>
    <row r="398" spans="1:58" ht="15.75">
      <c r="B398" s="94">
        <v>45658</v>
      </c>
      <c r="C398" s="1">
        <v>154</v>
      </c>
      <c r="D398" s="3">
        <v>393</v>
      </c>
      <c r="E398" s="205" t="str">
        <f t="shared" si="199"/>
        <v/>
      </c>
      <c r="K398" s="10" t="str">
        <f t="shared" si="180"/>
        <v/>
      </c>
      <c r="L398" s="9" t="str">
        <f t="shared" si="181"/>
        <v/>
      </c>
      <c r="M398" s="8" t="str">
        <f t="shared" si="182"/>
        <v/>
      </c>
      <c r="X398" s="6">
        <v>0.19</v>
      </c>
      <c r="AB398" s="5">
        <v>80</v>
      </c>
      <c r="AD398" s="95">
        <v>20</v>
      </c>
      <c r="AG398" s="1">
        <v>4.9000000000000004</v>
      </c>
      <c r="AH398" s="101">
        <v>0.51956018518518521</v>
      </c>
      <c r="AJ398" s="1">
        <v>175</v>
      </c>
      <c r="AK398" s="3">
        <v>180</v>
      </c>
      <c r="AN398" s="80">
        <f t="shared" si="194"/>
        <v>100</v>
      </c>
      <c r="AP398" s="103">
        <f t="shared" si="200"/>
        <v>2219.9999999999818</v>
      </c>
      <c r="AR398" s="16" t="e">
        <f t="shared" si="186"/>
        <v>#VALUE!</v>
      </c>
      <c r="AS398" s="16"/>
      <c r="AT398" s="16">
        <f t="shared" si="187"/>
        <v>0.24500000000000002</v>
      </c>
      <c r="AU398" s="16" t="e">
        <f t="shared" si="188"/>
        <v>#DIV/0!</v>
      </c>
      <c r="AV398" s="57" t="str">
        <f t="shared" si="192"/>
        <v/>
      </c>
      <c r="AW398" s="57" t="str">
        <f t="shared" si="195"/>
        <v/>
      </c>
      <c r="AX398" s="57" t="str">
        <f t="shared" si="184"/>
        <v/>
      </c>
      <c r="AY398" s="57" t="str">
        <f t="shared" si="197"/>
        <v/>
      </c>
      <c r="AZ398" s="57" t="str">
        <f t="shared" si="198"/>
        <v/>
      </c>
      <c r="BA398" s="60" t="str">
        <f t="shared" si="185"/>
        <v/>
      </c>
      <c r="BB398" s="60" t="str">
        <f t="shared" si="189"/>
        <v/>
      </c>
      <c r="BC398" s="60">
        <f t="shared" si="201"/>
        <v>0.24500000000000002</v>
      </c>
      <c r="BD398" s="60" t="str">
        <f t="shared" si="190"/>
        <v/>
      </c>
      <c r="BE398" s="6">
        <f t="shared" si="196"/>
        <v>6.8571428571428577</v>
      </c>
      <c r="BF398" s="6" t="str">
        <f t="shared" si="191"/>
        <v/>
      </c>
    </row>
    <row r="399" spans="1:58" ht="15.75">
      <c r="A399" s="12" t="s">
        <v>85</v>
      </c>
      <c r="B399" s="94">
        <v>45659</v>
      </c>
      <c r="C399" s="1">
        <v>155</v>
      </c>
      <c r="D399" s="3">
        <v>394</v>
      </c>
      <c r="E399" s="205" t="str">
        <f t="shared" si="199"/>
        <v/>
      </c>
      <c r="K399" s="10" t="str">
        <f t="shared" si="180"/>
        <v/>
      </c>
      <c r="L399" s="9" t="str">
        <f t="shared" si="181"/>
        <v/>
      </c>
      <c r="M399" s="8" t="str">
        <f t="shared" si="182"/>
        <v/>
      </c>
      <c r="N399" s="6"/>
      <c r="AB399" s="5">
        <v>80</v>
      </c>
      <c r="AC399" s="1"/>
      <c r="AD399" s="95">
        <v>20</v>
      </c>
      <c r="AG399" s="1">
        <v>3.46</v>
      </c>
      <c r="AH399" s="101">
        <v>0.51932870370370365</v>
      </c>
      <c r="AJ399" s="1">
        <v>175</v>
      </c>
      <c r="AK399" s="3">
        <v>180</v>
      </c>
      <c r="AL399" s="1"/>
      <c r="AN399" s="105">
        <f t="shared" si="194"/>
        <v>100</v>
      </c>
      <c r="AP399" s="103">
        <f t="shared" si="200"/>
        <v>2219.9999999999818</v>
      </c>
      <c r="AR399" s="16" t="e">
        <f t="shared" si="186"/>
        <v>#VALUE!</v>
      </c>
      <c r="AS399" s="16"/>
      <c r="AT399" s="16">
        <f t="shared" si="187"/>
        <v>0.17299999999999999</v>
      </c>
      <c r="AU399" s="16" t="e">
        <f t="shared" si="188"/>
        <v>#DIV/0!</v>
      </c>
      <c r="AV399" s="57" t="str">
        <f t="shared" si="192"/>
        <v/>
      </c>
      <c r="AW399" s="57" t="str">
        <f t="shared" si="195"/>
        <v/>
      </c>
      <c r="AX399" s="57" t="str">
        <f t="shared" si="184"/>
        <v/>
      </c>
      <c r="AY399" s="57" t="str">
        <f t="shared" si="197"/>
        <v/>
      </c>
      <c r="AZ399" s="57" t="str">
        <f t="shared" si="198"/>
        <v/>
      </c>
      <c r="BA399" s="60" t="str">
        <f t="shared" si="185"/>
        <v/>
      </c>
      <c r="BB399" s="60" t="str">
        <f t="shared" si="189"/>
        <v/>
      </c>
      <c r="BC399" s="60"/>
      <c r="BD399" s="60" t="str">
        <f t="shared" si="190"/>
        <v/>
      </c>
      <c r="BE399" s="6">
        <f t="shared" si="196"/>
        <v>6.8571428571428577</v>
      </c>
      <c r="BF399" s="6" t="str">
        <f t="shared" si="191"/>
        <v/>
      </c>
    </row>
    <row r="400" spans="1:58" s="27" customFormat="1" ht="15.75">
      <c r="A400" s="39"/>
      <c r="B400" s="90">
        <v>45660</v>
      </c>
      <c r="C400" s="1">
        <v>156</v>
      </c>
      <c r="D400" s="3">
        <v>395</v>
      </c>
      <c r="E400" s="205" t="str">
        <f t="shared" si="199"/>
        <v/>
      </c>
      <c r="F400" s="36"/>
      <c r="G400" s="77">
        <f>(N400*18-H400*18)/9</f>
        <v>13.6</v>
      </c>
      <c r="H400" s="36">
        <f>5*0.68</f>
        <v>3.4000000000000004</v>
      </c>
      <c r="I400" s="15">
        <f>AD400</f>
        <v>19.850000000000001</v>
      </c>
      <c r="J400" s="35"/>
      <c r="K400" s="10" t="str">
        <f t="shared" si="180"/>
        <v/>
      </c>
      <c r="L400" s="9" t="str">
        <f t="shared" si="181"/>
        <v/>
      </c>
      <c r="M400" s="8">
        <f t="shared" si="182"/>
        <v>2.9191176470588238</v>
      </c>
      <c r="N400" s="34">
        <f>5*2.04</f>
        <v>10.199999999999999</v>
      </c>
      <c r="O400" s="33"/>
      <c r="P400" s="33"/>
      <c r="Q400" s="33"/>
      <c r="R400" s="33"/>
      <c r="S400" s="33"/>
      <c r="T400" s="33">
        <f>5*3.83</f>
        <v>19.149999999999999</v>
      </c>
      <c r="U400" s="33"/>
      <c r="V400" s="33"/>
      <c r="W400" s="33"/>
      <c r="X400" s="33"/>
      <c r="Y400" s="33"/>
      <c r="Z400" s="33"/>
      <c r="AA400" s="33"/>
      <c r="AB400" s="74">
        <v>80</v>
      </c>
      <c r="AC400" s="34">
        <f>T400</f>
        <v>19.149999999999999</v>
      </c>
      <c r="AD400" s="27">
        <f>5*3.97</f>
        <v>19.850000000000001</v>
      </c>
      <c r="AE400" s="27">
        <f>5*2.18</f>
        <v>10.9</v>
      </c>
      <c r="AF400" s="27">
        <f>5*1.77</f>
        <v>8.85</v>
      </c>
      <c r="AG400" s="27">
        <v>2.72</v>
      </c>
      <c r="AH400" s="104">
        <v>0.52037037037037037</v>
      </c>
      <c r="AJ400" s="1">
        <v>175</v>
      </c>
      <c r="AK400" s="3">
        <v>180</v>
      </c>
      <c r="AL400" s="32">
        <f>AE400</f>
        <v>10.9</v>
      </c>
      <c r="AM400" s="27">
        <f>5*1.64</f>
        <v>8.1999999999999993</v>
      </c>
      <c r="AN400" s="87">
        <f t="shared" si="194"/>
        <v>100</v>
      </c>
      <c r="AO400" s="28"/>
      <c r="AP400" s="103">
        <f t="shared" si="200"/>
        <v>2219.9999999999818</v>
      </c>
      <c r="AQ400" s="28"/>
      <c r="AR400" s="31" t="e">
        <f t="shared" si="186"/>
        <v>#VALUE!</v>
      </c>
      <c r="AS400" s="30">
        <f t="shared" ref="AS400:AS431" si="202">(I400-AF400)/I400</f>
        <v>0.55415617128463479</v>
      </c>
      <c r="AT400" s="30">
        <f t="shared" si="187"/>
        <v>0.24727272727272726</v>
      </c>
      <c r="AU400" s="30">
        <f t="shared" si="188"/>
        <v>0.3970588235294118</v>
      </c>
      <c r="AV400" s="73" t="str">
        <f t="shared" si="192"/>
        <v/>
      </c>
      <c r="AW400" s="73">
        <f t="shared" si="195"/>
        <v>11.000000000000002</v>
      </c>
      <c r="AX400" s="73">
        <f t="shared" si="184"/>
        <v>5.4</v>
      </c>
      <c r="AY400" s="73">
        <f t="shared" si="197"/>
        <v>8.2499999999999982</v>
      </c>
      <c r="AZ400" s="73">
        <f t="shared" si="198"/>
        <v>2.7000000000000011</v>
      </c>
      <c r="BA400" s="85" t="str">
        <f t="shared" si="185"/>
        <v/>
      </c>
      <c r="BB400" s="85">
        <f t="shared" si="189"/>
        <v>0.55415617128463479</v>
      </c>
      <c r="BC400" s="60">
        <f t="shared" ref="BC400:BC430" si="203">IF(AND($AG400&gt;=0,$AD400&gt;=0,$AF400&gt;=0),IF($AG400/($AD400-$AF400)&gt;0,$AG400/($AD400-$AF400),0),"")</f>
        <v>0.24727272727272726</v>
      </c>
      <c r="BD400" s="85">
        <f t="shared" si="190"/>
        <v>0.3970588235294118</v>
      </c>
      <c r="BE400" s="6">
        <f t="shared" si="196"/>
        <v>3.7714285714285722</v>
      </c>
      <c r="BF400" s="6">
        <f t="shared" si="191"/>
        <v>1.698841698841713</v>
      </c>
    </row>
    <row r="401" spans="1:58" ht="15.75">
      <c r="A401" s="25" t="s">
        <v>84</v>
      </c>
      <c r="B401" s="11">
        <v>45661</v>
      </c>
      <c r="C401" s="1">
        <v>157</v>
      </c>
      <c r="D401" s="3">
        <v>396</v>
      </c>
      <c r="E401" s="205" t="str">
        <f t="shared" si="199"/>
        <v/>
      </c>
      <c r="K401" s="10" t="str">
        <f t="shared" si="180"/>
        <v/>
      </c>
      <c r="L401" s="9" t="str">
        <f t="shared" si="181"/>
        <v/>
      </c>
      <c r="M401" s="8" t="str">
        <f t="shared" si="182"/>
        <v/>
      </c>
      <c r="X401" s="6">
        <v>0.2</v>
      </c>
      <c r="AB401" s="5">
        <v>80</v>
      </c>
      <c r="AG401" s="1">
        <v>3.33</v>
      </c>
      <c r="AH401" s="101">
        <v>0.51967592592592593</v>
      </c>
      <c r="AK401" s="3">
        <f t="shared" ref="AK401:AK464" si="204">180+60</f>
        <v>240</v>
      </c>
      <c r="AN401" s="80">
        <f t="shared" si="194"/>
        <v>40</v>
      </c>
      <c r="AP401" s="13" t="e">
        <f t="shared" ref="AP401:AP432" si="205">AVERAGE(AO399:AO405)</f>
        <v>#DIV/0!</v>
      </c>
      <c r="AR401" s="17" t="e">
        <f t="shared" si="186"/>
        <v>#VALUE!</v>
      </c>
      <c r="AS401" s="16" t="e">
        <f t="shared" si="202"/>
        <v>#DIV/0!</v>
      </c>
      <c r="AT401" s="16" t="e">
        <f t="shared" ref="AT401:AT432" si="206">AG401/(AD401-AF401)</f>
        <v>#DIV/0!</v>
      </c>
      <c r="AU401" s="16" t="e">
        <f t="shared" ref="AU401:AU432" si="207">(G401-AM401)/G401</f>
        <v>#DIV/0!</v>
      </c>
      <c r="AV401" s="57" t="str">
        <f t="shared" si="192"/>
        <v/>
      </c>
      <c r="AW401" s="57" t="str">
        <f t="shared" si="195"/>
        <v/>
      </c>
      <c r="AX401" s="57" t="str">
        <f t="shared" si="184"/>
        <v/>
      </c>
      <c r="AY401" s="57" t="str">
        <f t="shared" si="197"/>
        <v/>
      </c>
      <c r="AZ401" s="57" t="str">
        <f t="shared" si="198"/>
        <v/>
      </c>
      <c r="BB401" s="84" t="str">
        <f t="shared" si="189"/>
        <v/>
      </c>
      <c r="BC401" s="84" t="e">
        <f t="shared" si="203"/>
        <v>#DIV/0!</v>
      </c>
      <c r="BD401" s="84" t="str">
        <f t="shared" si="190"/>
        <v/>
      </c>
      <c r="BE401" s="6" t="e">
        <f t="shared" si="196"/>
        <v>#DIV/0!</v>
      </c>
      <c r="BF401" s="6" t="e">
        <f t="shared" si="191"/>
        <v>#DIV/0!</v>
      </c>
    </row>
    <row r="402" spans="1:58" ht="15.75">
      <c r="A402" s="12" t="s">
        <v>83</v>
      </c>
      <c r="B402" s="11">
        <v>45662</v>
      </c>
      <c r="C402" s="1">
        <v>158</v>
      </c>
      <c r="D402" s="3">
        <v>397</v>
      </c>
      <c r="E402" s="205" t="str">
        <f t="shared" si="199"/>
        <v/>
      </c>
      <c r="K402" s="10" t="str">
        <f t="shared" si="180"/>
        <v/>
      </c>
      <c r="L402" s="9" t="str">
        <f t="shared" si="181"/>
        <v/>
      </c>
      <c r="M402" s="8" t="str">
        <f t="shared" si="182"/>
        <v/>
      </c>
      <c r="X402" s="6">
        <v>0.46</v>
      </c>
      <c r="AB402" s="5">
        <v>80</v>
      </c>
      <c r="AE402" s="1">
        <f>5*2.53</f>
        <v>12.649999999999999</v>
      </c>
      <c r="AF402" s="1">
        <f>2*3.7</f>
        <v>7.4</v>
      </c>
      <c r="AG402" s="1">
        <v>4.0199999999999996</v>
      </c>
      <c r="AH402" s="101">
        <v>0.52060185185185182</v>
      </c>
      <c r="AK402" s="3">
        <f t="shared" si="204"/>
        <v>240</v>
      </c>
      <c r="AL402" s="1">
        <f>AE402</f>
        <v>12.649999999999999</v>
      </c>
      <c r="AM402" s="1">
        <f>5*2.38</f>
        <v>11.899999999999999</v>
      </c>
      <c r="AN402" s="80">
        <f t="shared" si="194"/>
        <v>40</v>
      </c>
      <c r="AP402" s="13" t="e">
        <f t="shared" si="205"/>
        <v>#DIV/0!</v>
      </c>
      <c r="AR402" s="17" t="e">
        <f t="shared" si="186"/>
        <v>#VALUE!</v>
      </c>
      <c r="AS402" s="16" t="e">
        <f t="shared" si="202"/>
        <v>#DIV/0!</v>
      </c>
      <c r="AT402" s="16">
        <f t="shared" si="206"/>
        <v>-0.54324324324324313</v>
      </c>
      <c r="AU402" s="16" t="e">
        <f t="shared" si="207"/>
        <v>#DIV/0!</v>
      </c>
      <c r="AV402" s="57" t="str">
        <f t="shared" si="192"/>
        <v/>
      </c>
      <c r="AW402" s="57" t="str">
        <f t="shared" si="195"/>
        <v/>
      </c>
      <c r="AX402" s="57" t="str">
        <f t="shared" si="184"/>
        <v/>
      </c>
      <c r="AY402" s="57" t="str">
        <f t="shared" si="197"/>
        <v/>
      </c>
      <c r="AZ402" s="57">
        <f t="shared" si="198"/>
        <v>0.75</v>
      </c>
      <c r="BB402" s="84" t="str">
        <f t="shared" ref="BB402:BB433" si="208">IF(AND($I402&gt;0,$AF402&gt;=0),IF(($I402-$AF402)/$I402&gt;0,($I402-$AF402)/$I402,0),"")</f>
        <v/>
      </c>
      <c r="BC402" s="84">
        <f t="shared" si="203"/>
        <v>0</v>
      </c>
      <c r="BD402" s="84" t="str">
        <f t="shared" ref="BD402:BD436" si="209">IF(AND($G402&gt;0,$AM402&gt;0),IF(($G402-$AM402)/$G402&gt;0,($G402-$AM402)/$G402,0),"")</f>
        <v/>
      </c>
      <c r="BE402" s="6" t="e">
        <f t="shared" si="196"/>
        <v>#DIV/0!</v>
      </c>
      <c r="BF402" s="6" t="e">
        <f t="shared" si="191"/>
        <v>#DIV/0!</v>
      </c>
    </row>
    <row r="403" spans="1:58" ht="15.75">
      <c r="B403" s="11">
        <v>45663</v>
      </c>
      <c r="C403" s="1">
        <v>159</v>
      </c>
      <c r="D403" s="3">
        <v>398</v>
      </c>
      <c r="E403" s="205">
        <f t="shared" si="199"/>
        <v>339.74118600000003</v>
      </c>
      <c r="K403" s="10" t="str">
        <f t="shared" si="180"/>
        <v/>
      </c>
      <c r="L403" s="9" t="str">
        <f t="shared" si="181"/>
        <v/>
      </c>
      <c r="M403" s="8" t="str">
        <f t="shared" si="182"/>
        <v/>
      </c>
      <c r="O403" s="59">
        <v>111.06100000000001</v>
      </c>
      <c r="P403" s="59">
        <v>33.929000000000002</v>
      </c>
      <c r="Q403" s="6">
        <f>O403*1.067</f>
        <v>118.502087</v>
      </c>
      <c r="R403" s="6">
        <f>P403*1.514</f>
        <v>51.368506000000004</v>
      </c>
      <c r="S403" s="23">
        <f>P403*1.514+O403*1.067</f>
        <v>169.87059300000001</v>
      </c>
      <c r="U403" s="6">
        <v>0</v>
      </c>
      <c r="V403" s="6">
        <v>0</v>
      </c>
      <c r="W403" s="23">
        <f>U403*1.067+V403*1.514</f>
        <v>0</v>
      </c>
      <c r="X403" s="6">
        <v>0.56000000000000005</v>
      </c>
      <c r="AB403" s="5">
        <v>80</v>
      </c>
      <c r="AG403" s="1">
        <v>4.3</v>
      </c>
      <c r="AH403" s="101">
        <v>0.5175925925925926</v>
      </c>
      <c r="AK403" s="3">
        <f t="shared" si="204"/>
        <v>240</v>
      </c>
      <c r="AN403" s="80">
        <f t="shared" si="194"/>
        <v>40</v>
      </c>
      <c r="AP403" s="13" t="e">
        <f t="shared" si="205"/>
        <v>#DIV/0!</v>
      </c>
      <c r="AR403" s="17">
        <f t="shared" si="186"/>
        <v>1</v>
      </c>
      <c r="AS403" s="16" t="e">
        <f t="shared" si="202"/>
        <v>#DIV/0!</v>
      </c>
      <c r="AT403" s="16" t="e">
        <f t="shared" si="206"/>
        <v>#DIV/0!</v>
      </c>
      <c r="AU403" s="16" t="e">
        <f t="shared" si="207"/>
        <v>#DIV/0!</v>
      </c>
      <c r="AV403" s="57">
        <f t="shared" si="192"/>
        <v>339.74118600000003</v>
      </c>
      <c r="AW403" s="57" t="str">
        <f t="shared" si="195"/>
        <v/>
      </c>
      <c r="AX403" s="57" t="str">
        <f t="shared" si="184"/>
        <v/>
      </c>
      <c r="AY403" s="57" t="str">
        <f t="shared" si="197"/>
        <v/>
      </c>
      <c r="AZ403" s="57" t="str">
        <f t="shared" si="198"/>
        <v/>
      </c>
      <c r="BB403" s="84" t="str">
        <f t="shared" si="208"/>
        <v/>
      </c>
      <c r="BC403" s="84" t="e">
        <f t="shared" si="203"/>
        <v>#DIV/0!</v>
      </c>
      <c r="BD403" s="84" t="str">
        <f t="shared" si="209"/>
        <v/>
      </c>
      <c r="BE403" s="6" t="e">
        <f t="shared" si="196"/>
        <v>#DIV/0!</v>
      </c>
      <c r="BF403" s="6" t="e">
        <f t="shared" si="191"/>
        <v>#DIV/0!</v>
      </c>
    </row>
    <row r="404" spans="1:58" ht="15.75">
      <c r="A404" s="12" t="s">
        <v>82</v>
      </c>
      <c r="B404" s="11">
        <v>45664</v>
      </c>
      <c r="C404" s="1">
        <v>160</v>
      </c>
      <c r="D404" s="3">
        <v>399</v>
      </c>
      <c r="E404" s="205" t="str">
        <f t="shared" si="199"/>
        <v/>
      </c>
      <c r="K404" s="10" t="str">
        <f t="shared" si="180"/>
        <v/>
      </c>
      <c r="L404" s="9" t="str">
        <f t="shared" si="181"/>
        <v/>
      </c>
      <c r="M404" s="8" t="str">
        <f t="shared" si="182"/>
        <v/>
      </c>
      <c r="X404" s="6">
        <v>0.18</v>
      </c>
      <c r="AB404" s="5">
        <v>80</v>
      </c>
      <c r="AG404" s="1">
        <v>4.34</v>
      </c>
      <c r="AH404" s="101">
        <v>0.52037037037037037</v>
      </c>
      <c r="AK404" s="3">
        <f t="shared" si="204"/>
        <v>240</v>
      </c>
      <c r="AN404" s="80">
        <f t="shared" si="194"/>
        <v>40</v>
      </c>
      <c r="AP404" s="13" t="e">
        <f t="shared" si="205"/>
        <v>#DIV/0!</v>
      </c>
      <c r="AR404" s="17" t="e">
        <f t="shared" si="186"/>
        <v>#VALUE!</v>
      </c>
      <c r="AS404" s="16" t="e">
        <f t="shared" si="202"/>
        <v>#DIV/0!</v>
      </c>
      <c r="AT404" s="16" t="e">
        <f t="shared" si="206"/>
        <v>#DIV/0!</v>
      </c>
      <c r="AU404" s="16" t="e">
        <f t="shared" si="207"/>
        <v>#DIV/0!</v>
      </c>
      <c r="AV404" s="57" t="str">
        <f t="shared" si="192"/>
        <v/>
      </c>
      <c r="AW404" s="57" t="str">
        <f t="shared" si="195"/>
        <v/>
      </c>
      <c r="AX404" s="57" t="str">
        <f t="shared" si="184"/>
        <v/>
      </c>
      <c r="AY404" s="57" t="str">
        <f t="shared" si="197"/>
        <v/>
      </c>
      <c r="AZ404" s="57" t="str">
        <f t="shared" si="198"/>
        <v/>
      </c>
      <c r="BA404" s="100" t="str">
        <f t="shared" ref="BA404:BA435" si="210">IF(AND($E404&gt;0,$W404&gt;0),IF(($E404-$W404)/$E404&gt;0,($E404-$W404)/$E404,0),"")</f>
        <v/>
      </c>
      <c r="BB404" s="84" t="str">
        <f t="shared" si="208"/>
        <v/>
      </c>
      <c r="BC404" s="84" t="e">
        <f t="shared" si="203"/>
        <v>#DIV/0!</v>
      </c>
      <c r="BD404" s="84" t="str">
        <f t="shared" si="209"/>
        <v/>
      </c>
      <c r="BE404" s="6" t="e">
        <f t="shared" si="196"/>
        <v>#DIV/0!</v>
      </c>
      <c r="BF404" s="6" t="e">
        <f t="shared" si="191"/>
        <v>#DIV/0!</v>
      </c>
    </row>
    <row r="405" spans="1:58" ht="15.75">
      <c r="A405" s="12" t="s">
        <v>81</v>
      </c>
      <c r="B405" s="11">
        <v>45665</v>
      </c>
      <c r="C405" s="1">
        <v>161</v>
      </c>
      <c r="D405" s="3">
        <v>400</v>
      </c>
      <c r="E405" s="205">
        <f t="shared" si="199"/>
        <v>337.68808000000001</v>
      </c>
      <c r="G405" s="15">
        <f>(N405*18-H405*18)/9</f>
        <v>12.880000000000003</v>
      </c>
      <c r="H405" s="9">
        <f>5*0.952</f>
        <v>4.76</v>
      </c>
      <c r="I405" s="15">
        <f>AD405</f>
        <v>21</v>
      </c>
      <c r="K405" s="10">
        <f t="shared" si="180"/>
        <v>26.218018633540368</v>
      </c>
      <c r="L405" s="9">
        <f t="shared" si="181"/>
        <v>8.0401923809523819</v>
      </c>
      <c r="M405" s="8">
        <f t="shared" si="182"/>
        <v>3.2608695652173907</v>
      </c>
      <c r="N405" s="7">
        <f>5*2.24</f>
        <v>11.200000000000001</v>
      </c>
      <c r="O405" s="59">
        <v>109.896</v>
      </c>
      <c r="P405" s="59">
        <v>34.072000000000003</v>
      </c>
      <c r="Q405" s="6">
        <f>O405*1.067</f>
        <v>117.25903199999999</v>
      </c>
      <c r="R405" s="6">
        <f>P405*1.514</f>
        <v>51.585008000000002</v>
      </c>
      <c r="S405" s="23">
        <f>P405*1.514+O405*1.067</f>
        <v>168.84404000000001</v>
      </c>
      <c r="T405" s="6">
        <f>25.6</f>
        <v>25.6</v>
      </c>
      <c r="U405" s="6">
        <v>0</v>
      </c>
      <c r="V405" s="6">
        <v>0</v>
      </c>
      <c r="W405" s="23">
        <f>U405*1.067+V405*1.514</f>
        <v>0</v>
      </c>
      <c r="X405" s="6">
        <v>0.96</v>
      </c>
      <c r="AB405" s="5">
        <v>80</v>
      </c>
      <c r="AC405" s="6">
        <f>T405</f>
        <v>25.6</v>
      </c>
      <c r="AD405" s="1">
        <f>5*4.2</f>
        <v>21</v>
      </c>
      <c r="AG405" s="1">
        <v>3.97</v>
      </c>
      <c r="AH405" s="101">
        <v>0.52037037037037037</v>
      </c>
      <c r="AK405" s="3">
        <f t="shared" si="204"/>
        <v>240</v>
      </c>
      <c r="AM405" s="1">
        <f>5*2.03</f>
        <v>10.149999999999999</v>
      </c>
      <c r="AN405" s="80">
        <f t="shared" si="194"/>
        <v>40</v>
      </c>
      <c r="AP405" s="13" t="e">
        <f t="shared" si="205"/>
        <v>#DIV/0!</v>
      </c>
      <c r="AR405" s="17">
        <f t="shared" si="186"/>
        <v>1</v>
      </c>
      <c r="AS405" s="16">
        <f t="shared" si="202"/>
        <v>1</v>
      </c>
      <c r="AT405" s="16">
        <f t="shared" si="206"/>
        <v>0.18904761904761905</v>
      </c>
      <c r="AU405" s="16">
        <f t="shared" si="207"/>
        <v>0.21195652173913071</v>
      </c>
      <c r="AV405" s="57">
        <f t="shared" si="192"/>
        <v>337.68808000000001</v>
      </c>
      <c r="AW405" s="57" t="str">
        <f t="shared" si="195"/>
        <v/>
      </c>
      <c r="AX405" s="57">
        <f t="shared" si="184"/>
        <v>2.730000000000004</v>
      </c>
      <c r="AY405" s="57" t="str">
        <f t="shared" si="197"/>
        <v/>
      </c>
      <c r="AZ405" s="57" t="str">
        <f t="shared" si="198"/>
        <v/>
      </c>
      <c r="BA405" s="100" t="str">
        <f t="shared" si="210"/>
        <v/>
      </c>
      <c r="BB405" s="84">
        <f t="shared" si="208"/>
        <v>1</v>
      </c>
      <c r="BC405" s="84">
        <f t="shared" si="203"/>
        <v>0.18904761904761905</v>
      </c>
      <c r="BD405" s="84">
        <f t="shared" si="209"/>
        <v>0.21195652173913071</v>
      </c>
      <c r="BE405" s="6" t="e">
        <f t="shared" si="196"/>
        <v>#DIV/0!</v>
      </c>
      <c r="BF405" s="6" t="e">
        <f t="shared" ref="BF405:BF438" si="211">IF(OR(AJ405=0,AP405=0,NOT(ISNUMBER(AD405)),NOT(ISNUMBER(AF405)),NOT(ISNUMBER(AJ405)),NOT(ISNUMBER(AP405))),"",
IFERROR(IF((AD405-AF405)/(AJ405/60)/(AP405/1000)&lt;=0,"",(AD405-AF405)/(AJ405/60)/(AP405/1000)),""))</f>
        <v>#DIV/0!</v>
      </c>
    </row>
    <row r="406" spans="1:58" ht="15.75">
      <c r="B406" s="11">
        <v>45666</v>
      </c>
      <c r="C406" s="1">
        <v>162</v>
      </c>
      <c r="D406" s="3">
        <v>401</v>
      </c>
      <c r="E406" s="205" t="str">
        <f t="shared" si="199"/>
        <v/>
      </c>
      <c r="K406" s="10" t="str">
        <f t="shared" si="180"/>
        <v/>
      </c>
      <c r="L406" s="9" t="str">
        <f t="shared" si="181"/>
        <v/>
      </c>
      <c r="M406" s="8" t="str">
        <f t="shared" si="182"/>
        <v/>
      </c>
      <c r="X406" s="6">
        <v>0.2</v>
      </c>
      <c r="AB406" s="5">
        <v>80</v>
      </c>
      <c r="AD406" s="95">
        <v>21</v>
      </c>
      <c r="AG406" s="1">
        <v>5.49</v>
      </c>
      <c r="AH406" s="101">
        <v>0.52037037037037037</v>
      </c>
      <c r="AK406" s="3">
        <f t="shared" si="204"/>
        <v>240</v>
      </c>
      <c r="AN406" s="80">
        <f t="shared" si="194"/>
        <v>40</v>
      </c>
      <c r="AP406" s="13" t="e">
        <f t="shared" si="205"/>
        <v>#DIV/0!</v>
      </c>
      <c r="AR406" s="17" t="e">
        <f t="shared" si="186"/>
        <v>#VALUE!</v>
      </c>
      <c r="AS406" s="16" t="e">
        <f t="shared" si="202"/>
        <v>#DIV/0!</v>
      </c>
      <c r="AT406" s="16">
        <f t="shared" si="206"/>
        <v>0.26142857142857145</v>
      </c>
      <c r="AU406" s="16" t="e">
        <f t="shared" si="207"/>
        <v>#DIV/0!</v>
      </c>
      <c r="AV406" s="57" t="str">
        <f t="shared" si="192"/>
        <v/>
      </c>
      <c r="AW406" s="57" t="str">
        <f t="shared" si="195"/>
        <v/>
      </c>
      <c r="AX406" s="57" t="str">
        <f t="shared" si="184"/>
        <v/>
      </c>
      <c r="AY406" s="57" t="str">
        <f t="shared" si="197"/>
        <v/>
      </c>
      <c r="AZ406" s="57" t="str">
        <f t="shared" si="198"/>
        <v/>
      </c>
      <c r="BA406" s="100" t="str">
        <f t="shared" si="210"/>
        <v/>
      </c>
      <c r="BB406" s="84" t="str">
        <f t="shared" si="208"/>
        <v/>
      </c>
      <c r="BC406" s="84">
        <f t="shared" si="203"/>
        <v>0.26142857142857145</v>
      </c>
      <c r="BD406" s="84" t="str">
        <f t="shared" si="209"/>
        <v/>
      </c>
      <c r="BE406" s="6" t="e">
        <f t="shared" si="196"/>
        <v>#DIV/0!</v>
      </c>
      <c r="BF406" s="6" t="e">
        <f t="shared" si="211"/>
        <v>#DIV/0!</v>
      </c>
    </row>
    <row r="407" spans="1:58" ht="15.75">
      <c r="B407" s="11">
        <v>45667</v>
      </c>
      <c r="C407" s="1">
        <v>163</v>
      </c>
      <c r="D407" s="3">
        <v>402</v>
      </c>
      <c r="E407" s="205" t="str">
        <f t="shared" si="199"/>
        <v/>
      </c>
      <c r="K407" s="10" t="str">
        <f t="shared" si="180"/>
        <v/>
      </c>
      <c r="L407" s="9" t="str">
        <f t="shared" si="181"/>
        <v/>
      </c>
      <c r="M407" s="8" t="str">
        <f t="shared" si="182"/>
        <v/>
      </c>
      <c r="X407" s="6">
        <v>0.72</v>
      </c>
      <c r="AB407" s="5">
        <v>80</v>
      </c>
      <c r="AD407" s="95">
        <v>21</v>
      </c>
      <c r="AG407" s="1">
        <v>6.66</v>
      </c>
      <c r="AH407" s="101">
        <v>0.52071759259259254</v>
      </c>
      <c r="AK407" s="3">
        <f t="shared" si="204"/>
        <v>240</v>
      </c>
      <c r="AN407" s="80">
        <f t="shared" si="194"/>
        <v>40</v>
      </c>
      <c r="AP407" s="13" t="e">
        <f t="shared" si="205"/>
        <v>#DIV/0!</v>
      </c>
      <c r="AR407" s="17" t="e">
        <f t="shared" si="186"/>
        <v>#VALUE!</v>
      </c>
      <c r="AS407" s="16" t="e">
        <f t="shared" si="202"/>
        <v>#DIV/0!</v>
      </c>
      <c r="AT407" s="16">
        <f t="shared" si="206"/>
        <v>0.31714285714285717</v>
      </c>
      <c r="AU407" s="16" t="e">
        <f t="shared" si="207"/>
        <v>#DIV/0!</v>
      </c>
      <c r="AV407" s="57" t="str">
        <f t="shared" si="192"/>
        <v/>
      </c>
      <c r="AW407" s="57" t="str">
        <f t="shared" si="195"/>
        <v/>
      </c>
      <c r="AX407" s="57" t="str">
        <f t="shared" si="184"/>
        <v/>
      </c>
      <c r="AY407" s="57" t="str">
        <f t="shared" si="197"/>
        <v/>
      </c>
      <c r="AZ407" s="57" t="str">
        <f t="shared" si="198"/>
        <v/>
      </c>
      <c r="BA407" s="100" t="str">
        <f t="shared" si="210"/>
        <v/>
      </c>
      <c r="BB407" s="84" t="str">
        <f t="shared" si="208"/>
        <v/>
      </c>
      <c r="BC407" s="84">
        <f t="shared" si="203"/>
        <v>0.31714285714285717</v>
      </c>
      <c r="BD407" s="84" t="str">
        <f t="shared" si="209"/>
        <v/>
      </c>
      <c r="BE407" s="6" t="e">
        <f t="shared" si="196"/>
        <v>#DIV/0!</v>
      </c>
      <c r="BF407" s="6" t="e">
        <f t="shared" si="211"/>
        <v>#DIV/0!</v>
      </c>
    </row>
    <row r="408" spans="1:58" ht="15.75">
      <c r="B408" s="11">
        <v>45668</v>
      </c>
      <c r="C408" s="1">
        <v>164</v>
      </c>
      <c r="D408" s="3">
        <v>403</v>
      </c>
      <c r="E408" s="205" t="str">
        <f t="shared" si="199"/>
        <v/>
      </c>
      <c r="K408" s="10" t="str">
        <f t="shared" si="180"/>
        <v/>
      </c>
      <c r="L408" s="9" t="str">
        <f t="shared" si="181"/>
        <v/>
      </c>
      <c r="M408" s="8" t="str">
        <f t="shared" si="182"/>
        <v/>
      </c>
      <c r="X408" s="6">
        <v>0.2</v>
      </c>
      <c r="AB408" s="5">
        <v>80</v>
      </c>
      <c r="AD408" s="95">
        <v>21</v>
      </c>
      <c r="AG408" s="1">
        <v>6.9</v>
      </c>
      <c r="AH408" s="101">
        <v>0.50868055555555558</v>
      </c>
      <c r="AK408" s="3">
        <f t="shared" si="204"/>
        <v>240</v>
      </c>
      <c r="AN408" s="80">
        <f t="shared" si="194"/>
        <v>40</v>
      </c>
      <c r="AP408" s="13" t="e">
        <f t="shared" si="205"/>
        <v>#DIV/0!</v>
      </c>
      <c r="AR408" s="17" t="e">
        <f t="shared" si="186"/>
        <v>#VALUE!</v>
      </c>
      <c r="AS408" s="16" t="e">
        <f t="shared" si="202"/>
        <v>#DIV/0!</v>
      </c>
      <c r="AT408" s="16">
        <f t="shared" si="206"/>
        <v>0.32857142857142857</v>
      </c>
      <c r="AU408" s="16" t="e">
        <f t="shared" si="207"/>
        <v>#DIV/0!</v>
      </c>
      <c r="AV408" s="57" t="str">
        <f t="shared" si="192"/>
        <v/>
      </c>
      <c r="AW408" s="57" t="str">
        <f t="shared" si="195"/>
        <v/>
      </c>
      <c r="AX408" s="57" t="str">
        <f t="shared" si="184"/>
        <v/>
      </c>
      <c r="AY408" s="57" t="str">
        <f t="shared" si="197"/>
        <v/>
      </c>
      <c r="AZ408" s="57" t="str">
        <f t="shared" si="198"/>
        <v/>
      </c>
      <c r="BA408" s="100" t="str">
        <f t="shared" si="210"/>
        <v/>
      </c>
      <c r="BB408" s="84" t="str">
        <f t="shared" si="208"/>
        <v/>
      </c>
      <c r="BC408" s="84">
        <f t="shared" si="203"/>
        <v>0.32857142857142857</v>
      </c>
      <c r="BD408" s="84" t="str">
        <f t="shared" si="209"/>
        <v/>
      </c>
      <c r="BE408" s="6" t="e">
        <f t="shared" si="196"/>
        <v>#DIV/0!</v>
      </c>
      <c r="BF408" s="6" t="e">
        <f t="shared" si="211"/>
        <v>#DIV/0!</v>
      </c>
    </row>
    <row r="409" spans="1:58" ht="15.75">
      <c r="B409" s="11">
        <v>45669</v>
      </c>
      <c r="C409" s="1">
        <v>165</v>
      </c>
      <c r="D409" s="3">
        <v>404</v>
      </c>
      <c r="E409" s="205" t="str">
        <f t="shared" si="199"/>
        <v/>
      </c>
      <c r="K409" s="10" t="str">
        <f t="shared" si="180"/>
        <v/>
      </c>
      <c r="L409" s="9" t="str">
        <f t="shared" si="181"/>
        <v/>
      </c>
      <c r="M409" s="8" t="str">
        <f t="shared" si="182"/>
        <v/>
      </c>
      <c r="X409" s="6">
        <v>0.2</v>
      </c>
      <c r="AB409" s="5">
        <v>80</v>
      </c>
      <c r="AD409" s="95">
        <v>21</v>
      </c>
      <c r="AG409" s="1">
        <v>7.37</v>
      </c>
      <c r="AH409" s="101">
        <v>0.49039351851851853</v>
      </c>
      <c r="AK409" s="3">
        <f t="shared" si="204"/>
        <v>240</v>
      </c>
      <c r="AN409" s="80">
        <f t="shared" si="194"/>
        <v>40</v>
      </c>
      <c r="AP409" s="13" t="e">
        <f t="shared" si="205"/>
        <v>#DIV/0!</v>
      </c>
      <c r="AR409" s="17" t="e">
        <f t="shared" si="186"/>
        <v>#VALUE!</v>
      </c>
      <c r="AS409" s="16" t="e">
        <f t="shared" si="202"/>
        <v>#DIV/0!</v>
      </c>
      <c r="AT409" s="16">
        <f t="shared" si="206"/>
        <v>0.35095238095238096</v>
      </c>
      <c r="AU409" s="16" t="e">
        <f t="shared" si="207"/>
        <v>#DIV/0!</v>
      </c>
      <c r="AV409" s="57" t="str">
        <f t="shared" si="192"/>
        <v/>
      </c>
      <c r="AW409" s="57" t="str">
        <f t="shared" si="195"/>
        <v/>
      </c>
      <c r="AX409" s="57" t="str">
        <f t="shared" si="184"/>
        <v/>
      </c>
      <c r="AY409" s="57" t="str">
        <f t="shared" si="197"/>
        <v/>
      </c>
      <c r="AZ409" s="57" t="str">
        <f t="shared" si="198"/>
        <v/>
      </c>
      <c r="BA409" s="100" t="str">
        <f t="shared" si="210"/>
        <v/>
      </c>
      <c r="BB409" s="84" t="str">
        <f t="shared" si="208"/>
        <v/>
      </c>
      <c r="BC409" s="84">
        <f t="shared" si="203"/>
        <v>0.35095238095238096</v>
      </c>
      <c r="BD409" s="84" t="str">
        <f t="shared" si="209"/>
        <v/>
      </c>
      <c r="BE409" s="6" t="e">
        <f t="shared" si="196"/>
        <v>#DIV/0!</v>
      </c>
      <c r="BF409" s="6" t="e">
        <f t="shared" si="211"/>
        <v>#DIV/0!</v>
      </c>
    </row>
    <row r="410" spans="1:58" ht="15.75">
      <c r="B410" s="11">
        <v>45670</v>
      </c>
      <c r="C410" s="1">
        <v>166</v>
      </c>
      <c r="D410" s="3">
        <v>405</v>
      </c>
      <c r="E410" s="205" t="str">
        <f t="shared" si="199"/>
        <v/>
      </c>
      <c r="K410" s="10" t="str">
        <f t="shared" si="180"/>
        <v/>
      </c>
      <c r="L410" s="9" t="str">
        <f t="shared" si="181"/>
        <v/>
      </c>
      <c r="M410" s="8" t="str">
        <f t="shared" si="182"/>
        <v/>
      </c>
      <c r="X410" s="6">
        <v>0.67</v>
      </c>
      <c r="AB410" s="5">
        <v>80</v>
      </c>
      <c r="AD410" s="95">
        <v>21</v>
      </c>
      <c r="AG410" s="1">
        <v>8.49</v>
      </c>
      <c r="AH410" s="101">
        <v>0.50324074074074077</v>
      </c>
      <c r="AK410" s="3">
        <f t="shared" si="204"/>
        <v>240</v>
      </c>
      <c r="AN410" s="80">
        <f t="shared" si="194"/>
        <v>40</v>
      </c>
      <c r="AP410" s="13" t="e">
        <f t="shared" si="205"/>
        <v>#DIV/0!</v>
      </c>
      <c r="AR410" s="17" t="e">
        <f t="shared" si="186"/>
        <v>#VALUE!</v>
      </c>
      <c r="AS410" s="16" t="e">
        <f t="shared" si="202"/>
        <v>#DIV/0!</v>
      </c>
      <c r="AT410" s="16">
        <f t="shared" si="206"/>
        <v>0.4042857142857143</v>
      </c>
      <c r="AU410" s="16" t="e">
        <f t="shared" si="207"/>
        <v>#DIV/0!</v>
      </c>
      <c r="AV410" s="57" t="str">
        <f t="shared" si="192"/>
        <v/>
      </c>
      <c r="AW410" s="57" t="str">
        <f t="shared" si="195"/>
        <v/>
      </c>
      <c r="AX410" s="57" t="str">
        <f t="shared" si="184"/>
        <v/>
      </c>
      <c r="AY410" s="57" t="str">
        <f t="shared" si="197"/>
        <v/>
      </c>
      <c r="AZ410" s="57" t="str">
        <f t="shared" si="198"/>
        <v/>
      </c>
      <c r="BA410" s="100" t="str">
        <f t="shared" si="210"/>
        <v/>
      </c>
      <c r="BB410" s="84" t="str">
        <f t="shared" si="208"/>
        <v/>
      </c>
      <c r="BC410" s="84">
        <f t="shared" si="203"/>
        <v>0.4042857142857143</v>
      </c>
      <c r="BD410" s="84" t="str">
        <f t="shared" si="209"/>
        <v/>
      </c>
      <c r="BE410" s="6" t="e">
        <f t="shared" si="196"/>
        <v>#DIV/0!</v>
      </c>
      <c r="BF410" s="6" t="e">
        <f t="shared" si="211"/>
        <v>#DIV/0!</v>
      </c>
    </row>
    <row r="411" spans="1:58" ht="15.75">
      <c r="B411" s="11">
        <v>45671</v>
      </c>
      <c r="C411" s="1">
        <v>167</v>
      </c>
      <c r="D411" s="3">
        <v>406</v>
      </c>
      <c r="E411" s="205" t="str">
        <f t="shared" si="199"/>
        <v/>
      </c>
      <c r="K411" s="10" t="str">
        <f t="shared" si="180"/>
        <v/>
      </c>
      <c r="L411" s="9" t="str">
        <f t="shared" si="181"/>
        <v/>
      </c>
      <c r="M411" s="8" t="str">
        <f t="shared" si="182"/>
        <v/>
      </c>
      <c r="X411" s="6">
        <v>0.19</v>
      </c>
      <c r="AB411" s="5">
        <v>80</v>
      </c>
      <c r="AD411" s="95">
        <v>21</v>
      </c>
      <c r="AG411" s="1">
        <v>8.6300000000000008</v>
      </c>
      <c r="AH411" s="101">
        <v>0.5024305555555556</v>
      </c>
      <c r="AK411" s="3">
        <f t="shared" si="204"/>
        <v>240</v>
      </c>
      <c r="AN411" s="80">
        <f t="shared" si="194"/>
        <v>40</v>
      </c>
      <c r="AP411" s="13" t="e">
        <f t="shared" si="205"/>
        <v>#DIV/0!</v>
      </c>
      <c r="AR411" s="17" t="e">
        <f t="shared" si="186"/>
        <v>#VALUE!</v>
      </c>
      <c r="AS411" s="16" t="e">
        <f t="shared" si="202"/>
        <v>#DIV/0!</v>
      </c>
      <c r="AT411" s="16">
        <f t="shared" si="206"/>
        <v>0.41095238095238101</v>
      </c>
      <c r="AU411" s="16" t="e">
        <f t="shared" si="207"/>
        <v>#DIV/0!</v>
      </c>
      <c r="AV411" s="57" t="str">
        <f t="shared" si="192"/>
        <v/>
      </c>
      <c r="AW411" s="57" t="str">
        <f t="shared" si="195"/>
        <v/>
      </c>
      <c r="AX411" s="57" t="str">
        <f t="shared" si="184"/>
        <v/>
      </c>
      <c r="AY411" s="57" t="str">
        <f t="shared" si="197"/>
        <v/>
      </c>
      <c r="AZ411" s="57" t="str">
        <f t="shared" si="198"/>
        <v/>
      </c>
      <c r="BA411" s="100" t="str">
        <f t="shared" si="210"/>
        <v/>
      </c>
      <c r="BB411" s="84" t="str">
        <f t="shared" si="208"/>
        <v/>
      </c>
      <c r="BC411" s="84">
        <f t="shared" si="203"/>
        <v>0.41095238095238101</v>
      </c>
      <c r="BD411" s="84" t="str">
        <f t="shared" si="209"/>
        <v/>
      </c>
      <c r="BE411" s="6" t="e">
        <f t="shared" si="196"/>
        <v>#DIV/0!</v>
      </c>
      <c r="BF411" s="6" t="e">
        <f t="shared" si="211"/>
        <v>#DIV/0!</v>
      </c>
    </row>
    <row r="412" spans="1:58" ht="15.75">
      <c r="B412" s="11">
        <v>45672</v>
      </c>
      <c r="C412" s="1">
        <v>168</v>
      </c>
      <c r="D412" s="3">
        <v>407</v>
      </c>
      <c r="E412" s="205" t="str">
        <f t="shared" si="199"/>
        <v/>
      </c>
      <c r="K412" s="10" t="str">
        <f t="shared" si="180"/>
        <v/>
      </c>
      <c r="L412" s="9" t="str">
        <f t="shared" si="181"/>
        <v/>
      </c>
      <c r="M412" s="8" t="str">
        <f t="shared" si="182"/>
        <v/>
      </c>
      <c r="X412" s="6">
        <v>0.68</v>
      </c>
      <c r="AB412" s="5">
        <v>80</v>
      </c>
      <c r="AD412" s="95">
        <v>21</v>
      </c>
      <c r="AG412" s="1">
        <v>7.93</v>
      </c>
      <c r="AH412" s="101">
        <v>0.48564814814814816</v>
      </c>
      <c r="AK412" s="3">
        <f t="shared" si="204"/>
        <v>240</v>
      </c>
      <c r="AN412" s="80">
        <f t="shared" si="194"/>
        <v>40</v>
      </c>
      <c r="AP412" s="13" t="e">
        <f t="shared" si="205"/>
        <v>#DIV/0!</v>
      </c>
      <c r="AR412" s="17" t="e">
        <f t="shared" si="186"/>
        <v>#VALUE!</v>
      </c>
      <c r="AS412" s="16" t="e">
        <f t="shared" si="202"/>
        <v>#DIV/0!</v>
      </c>
      <c r="AT412" s="16">
        <f t="shared" si="206"/>
        <v>0.37761904761904763</v>
      </c>
      <c r="AU412" s="16" t="e">
        <f t="shared" si="207"/>
        <v>#DIV/0!</v>
      </c>
      <c r="AV412" s="57" t="str">
        <f t="shared" si="192"/>
        <v/>
      </c>
      <c r="AW412" s="57" t="str">
        <f t="shared" si="195"/>
        <v/>
      </c>
      <c r="AX412" s="57" t="str">
        <f t="shared" si="184"/>
        <v/>
      </c>
      <c r="AY412" s="57" t="str">
        <f t="shared" si="197"/>
        <v/>
      </c>
      <c r="AZ412" s="57" t="str">
        <f t="shared" si="198"/>
        <v/>
      </c>
      <c r="BA412" s="100" t="str">
        <f t="shared" si="210"/>
        <v/>
      </c>
      <c r="BB412" s="84" t="str">
        <f t="shared" si="208"/>
        <v/>
      </c>
      <c r="BC412" s="84">
        <f t="shared" si="203"/>
        <v>0.37761904761904763</v>
      </c>
      <c r="BD412" s="84" t="str">
        <f t="shared" si="209"/>
        <v/>
      </c>
      <c r="BE412" s="6" t="e">
        <f t="shared" si="196"/>
        <v>#DIV/0!</v>
      </c>
      <c r="BF412" s="6" t="e">
        <f t="shared" si="211"/>
        <v>#DIV/0!</v>
      </c>
    </row>
    <row r="413" spans="1:58" ht="15.75">
      <c r="B413" s="11">
        <v>45673</v>
      </c>
      <c r="C413" s="1">
        <v>169</v>
      </c>
      <c r="D413" s="3">
        <v>408</v>
      </c>
      <c r="E413" s="205" t="str">
        <f t="shared" si="199"/>
        <v/>
      </c>
      <c r="K413" s="10" t="str">
        <f t="shared" si="180"/>
        <v/>
      </c>
      <c r="L413" s="9" t="str">
        <f t="shared" si="181"/>
        <v/>
      </c>
      <c r="M413" s="8" t="str">
        <f t="shared" si="182"/>
        <v/>
      </c>
      <c r="X413" s="6">
        <v>0.19</v>
      </c>
      <c r="AB413" s="5">
        <v>80</v>
      </c>
      <c r="AD413" s="95">
        <v>21</v>
      </c>
      <c r="AG413" s="1">
        <v>6.36</v>
      </c>
      <c r="AH413" s="101">
        <v>0.51053240740740746</v>
      </c>
      <c r="AK413" s="3">
        <f t="shared" si="204"/>
        <v>240</v>
      </c>
      <c r="AN413" s="80">
        <f t="shared" si="194"/>
        <v>40</v>
      </c>
      <c r="AP413" s="13" t="e">
        <f t="shared" si="205"/>
        <v>#DIV/0!</v>
      </c>
      <c r="AR413" s="17" t="e">
        <f t="shared" si="186"/>
        <v>#VALUE!</v>
      </c>
      <c r="AS413" s="16" t="e">
        <f t="shared" si="202"/>
        <v>#DIV/0!</v>
      </c>
      <c r="AT413" s="16">
        <f t="shared" si="206"/>
        <v>0.30285714285714288</v>
      </c>
      <c r="AU413" s="16" t="e">
        <f t="shared" si="207"/>
        <v>#DIV/0!</v>
      </c>
      <c r="AV413" s="57" t="str">
        <f t="shared" si="192"/>
        <v/>
      </c>
      <c r="AW413" s="57" t="str">
        <f t="shared" si="195"/>
        <v/>
      </c>
      <c r="AX413" s="57" t="str">
        <f t="shared" si="184"/>
        <v/>
      </c>
      <c r="AY413" s="57" t="str">
        <f t="shared" si="197"/>
        <v/>
      </c>
      <c r="AZ413" s="57" t="str">
        <f t="shared" si="198"/>
        <v/>
      </c>
      <c r="BA413" s="100" t="str">
        <f t="shared" si="210"/>
        <v/>
      </c>
      <c r="BB413" s="84" t="str">
        <f t="shared" si="208"/>
        <v/>
      </c>
      <c r="BC413" s="84">
        <f t="shared" si="203"/>
        <v>0.30285714285714288</v>
      </c>
      <c r="BD413" s="84" t="str">
        <f t="shared" si="209"/>
        <v/>
      </c>
      <c r="BE413" s="6" t="e">
        <f t="shared" si="196"/>
        <v>#DIV/0!</v>
      </c>
      <c r="BF413" s="6" t="e">
        <f t="shared" si="211"/>
        <v>#DIV/0!</v>
      </c>
    </row>
    <row r="414" spans="1:58" ht="15.75">
      <c r="B414" s="11">
        <v>45674</v>
      </c>
      <c r="C414" s="1">
        <v>170</v>
      </c>
      <c r="D414" s="3">
        <v>409</v>
      </c>
      <c r="E414" s="205" t="str">
        <f t="shared" si="199"/>
        <v/>
      </c>
      <c r="K414" s="10" t="str">
        <f t="shared" si="180"/>
        <v/>
      </c>
      <c r="L414" s="9" t="str">
        <f t="shared" si="181"/>
        <v/>
      </c>
      <c r="M414" s="8" t="str">
        <f t="shared" si="182"/>
        <v/>
      </c>
      <c r="X414" s="6">
        <v>1.02</v>
      </c>
      <c r="AB414" s="5">
        <v>80</v>
      </c>
      <c r="AD414" s="95">
        <v>21</v>
      </c>
      <c r="AG414" s="1">
        <v>5.25</v>
      </c>
      <c r="AH414" s="101">
        <v>0.51493055555555556</v>
      </c>
      <c r="AK414" s="3">
        <f t="shared" si="204"/>
        <v>240</v>
      </c>
      <c r="AN414" s="80">
        <f t="shared" si="194"/>
        <v>40</v>
      </c>
      <c r="AP414" s="13" t="e">
        <f t="shared" si="205"/>
        <v>#DIV/0!</v>
      </c>
      <c r="AR414" s="17" t="e">
        <f t="shared" si="186"/>
        <v>#VALUE!</v>
      </c>
      <c r="AS414" s="16" t="e">
        <f t="shared" si="202"/>
        <v>#DIV/0!</v>
      </c>
      <c r="AT414" s="16">
        <f t="shared" si="206"/>
        <v>0.25</v>
      </c>
      <c r="AU414" s="16" t="e">
        <f t="shared" si="207"/>
        <v>#DIV/0!</v>
      </c>
      <c r="AV414" s="57" t="str">
        <f t="shared" si="192"/>
        <v/>
      </c>
      <c r="AW414" s="57" t="str">
        <f t="shared" si="195"/>
        <v/>
      </c>
      <c r="AX414" s="57" t="str">
        <f t="shared" si="184"/>
        <v/>
      </c>
      <c r="AY414" s="57" t="str">
        <f t="shared" si="197"/>
        <v/>
      </c>
      <c r="AZ414" s="57" t="str">
        <f t="shared" si="198"/>
        <v/>
      </c>
      <c r="BA414" s="100" t="str">
        <f t="shared" si="210"/>
        <v/>
      </c>
      <c r="BB414" s="84" t="str">
        <f t="shared" si="208"/>
        <v/>
      </c>
      <c r="BC414" s="84">
        <f t="shared" si="203"/>
        <v>0.25</v>
      </c>
      <c r="BD414" s="84" t="str">
        <f t="shared" si="209"/>
        <v/>
      </c>
      <c r="BE414" s="6" t="e">
        <f t="shared" si="196"/>
        <v>#DIV/0!</v>
      </c>
      <c r="BF414" s="6" t="e">
        <f t="shared" si="211"/>
        <v>#DIV/0!</v>
      </c>
    </row>
    <row r="415" spans="1:58" ht="15.75">
      <c r="B415" s="11">
        <v>45675</v>
      </c>
      <c r="C415" s="1">
        <v>171</v>
      </c>
      <c r="D415" s="3">
        <v>410</v>
      </c>
      <c r="E415" s="205" t="str">
        <f t="shared" si="199"/>
        <v/>
      </c>
      <c r="K415" s="10" t="str">
        <f t="shared" si="180"/>
        <v/>
      </c>
      <c r="L415" s="9" t="str">
        <f t="shared" si="181"/>
        <v/>
      </c>
      <c r="M415" s="8" t="str">
        <f t="shared" si="182"/>
        <v/>
      </c>
      <c r="X415" s="6">
        <v>0.2</v>
      </c>
      <c r="AB415" s="5">
        <v>80</v>
      </c>
      <c r="AD415" s="95">
        <v>21</v>
      </c>
      <c r="AG415" s="1">
        <v>5.69</v>
      </c>
      <c r="AH415" s="101">
        <v>0.52025462962962965</v>
      </c>
      <c r="AK415" s="3">
        <f t="shared" si="204"/>
        <v>240</v>
      </c>
      <c r="AN415" s="80">
        <f t="shared" si="194"/>
        <v>40</v>
      </c>
      <c r="AP415" s="13" t="e">
        <f t="shared" si="205"/>
        <v>#DIV/0!</v>
      </c>
      <c r="AR415" s="17" t="e">
        <f t="shared" si="186"/>
        <v>#VALUE!</v>
      </c>
      <c r="AS415" s="16" t="e">
        <f t="shared" si="202"/>
        <v>#DIV/0!</v>
      </c>
      <c r="AT415" s="16">
        <f t="shared" si="206"/>
        <v>0.27095238095238094</v>
      </c>
      <c r="AU415" s="16" t="e">
        <f t="shared" si="207"/>
        <v>#DIV/0!</v>
      </c>
      <c r="AV415" s="57" t="str">
        <f t="shared" si="192"/>
        <v/>
      </c>
      <c r="AW415" s="57" t="str">
        <f t="shared" si="195"/>
        <v/>
      </c>
      <c r="AX415" s="57" t="str">
        <f t="shared" si="184"/>
        <v/>
      </c>
      <c r="AY415" s="57" t="str">
        <f t="shared" si="197"/>
        <v/>
      </c>
      <c r="AZ415" s="57" t="str">
        <f t="shared" si="198"/>
        <v/>
      </c>
      <c r="BA415" s="100" t="str">
        <f t="shared" si="210"/>
        <v/>
      </c>
      <c r="BB415" s="84" t="str">
        <f t="shared" si="208"/>
        <v/>
      </c>
      <c r="BC415" s="84">
        <f t="shared" si="203"/>
        <v>0.27095238095238094</v>
      </c>
      <c r="BD415" s="84" t="str">
        <f t="shared" si="209"/>
        <v/>
      </c>
      <c r="BE415" s="6" t="e">
        <f t="shared" si="196"/>
        <v>#DIV/0!</v>
      </c>
      <c r="BF415" s="6" t="e">
        <f t="shared" si="211"/>
        <v>#DIV/0!</v>
      </c>
    </row>
    <row r="416" spans="1:58" ht="15.75">
      <c r="B416" s="11">
        <v>45676</v>
      </c>
      <c r="C416" s="1">
        <v>172</v>
      </c>
      <c r="D416" s="3">
        <v>411</v>
      </c>
      <c r="E416" s="205" t="str">
        <f t="shared" si="199"/>
        <v/>
      </c>
      <c r="K416" s="10" t="str">
        <f t="shared" si="180"/>
        <v/>
      </c>
      <c r="L416" s="9" t="str">
        <f t="shared" si="181"/>
        <v/>
      </c>
      <c r="M416" s="8" t="str">
        <f t="shared" si="182"/>
        <v/>
      </c>
      <c r="X416" s="6">
        <v>0.2</v>
      </c>
      <c r="AB416" s="5">
        <v>80</v>
      </c>
      <c r="AD416" s="95">
        <v>21</v>
      </c>
      <c r="AG416" s="1">
        <v>4.29</v>
      </c>
      <c r="AH416" s="101">
        <v>0.52013888888888893</v>
      </c>
      <c r="AK416" s="3">
        <f t="shared" si="204"/>
        <v>240</v>
      </c>
      <c r="AN416" s="80">
        <f t="shared" si="194"/>
        <v>40</v>
      </c>
      <c r="AP416" s="13" t="e">
        <f t="shared" si="205"/>
        <v>#DIV/0!</v>
      </c>
      <c r="AR416" s="17" t="e">
        <f t="shared" si="186"/>
        <v>#VALUE!</v>
      </c>
      <c r="AS416" s="16" t="e">
        <f t="shared" si="202"/>
        <v>#DIV/0!</v>
      </c>
      <c r="AT416" s="16">
        <f t="shared" si="206"/>
        <v>0.20428571428571429</v>
      </c>
      <c r="AU416" s="16" t="e">
        <f t="shared" si="207"/>
        <v>#DIV/0!</v>
      </c>
      <c r="AV416" s="57" t="str">
        <f t="shared" si="192"/>
        <v/>
      </c>
      <c r="AW416" s="57" t="str">
        <f t="shared" si="195"/>
        <v/>
      </c>
      <c r="AX416" s="57" t="str">
        <f t="shared" si="184"/>
        <v/>
      </c>
      <c r="AY416" s="57" t="str">
        <f t="shared" si="197"/>
        <v/>
      </c>
      <c r="AZ416" s="57" t="str">
        <f t="shared" si="198"/>
        <v/>
      </c>
      <c r="BA416" s="100" t="str">
        <f t="shared" si="210"/>
        <v/>
      </c>
      <c r="BB416" s="84" t="str">
        <f t="shared" si="208"/>
        <v/>
      </c>
      <c r="BC416" s="84">
        <f t="shared" si="203"/>
        <v>0.20428571428571429</v>
      </c>
      <c r="BD416" s="84" t="str">
        <f t="shared" si="209"/>
        <v/>
      </c>
      <c r="BE416" s="6" t="e">
        <f t="shared" si="196"/>
        <v>#DIV/0!</v>
      </c>
      <c r="BF416" s="6" t="e">
        <f t="shared" si="211"/>
        <v>#DIV/0!</v>
      </c>
    </row>
    <row r="417" spans="1:58" ht="15.75">
      <c r="B417" s="11">
        <v>45677</v>
      </c>
      <c r="C417" s="1">
        <v>173</v>
      </c>
      <c r="D417" s="3">
        <v>412</v>
      </c>
      <c r="E417" s="205" t="str">
        <f t="shared" si="199"/>
        <v/>
      </c>
      <c r="K417" s="10" t="str">
        <f t="shared" si="180"/>
        <v/>
      </c>
      <c r="L417" s="9" t="str">
        <f t="shared" si="181"/>
        <v/>
      </c>
      <c r="M417" s="8" t="str">
        <f t="shared" si="182"/>
        <v/>
      </c>
      <c r="X417" s="6">
        <v>0.2</v>
      </c>
      <c r="AB417" s="5">
        <v>80</v>
      </c>
      <c r="AD417" s="95">
        <v>21</v>
      </c>
      <c r="AG417" s="1">
        <v>6.61</v>
      </c>
      <c r="AH417" s="101">
        <v>0.46377314814814813</v>
      </c>
      <c r="AK417" s="3">
        <f t="shared" si="204"/>
        <v>240</v>
      </c>
      <c r="AN417" s="80">
        <f t="shared" si="194"/>
        <v>40</v>
      </c>
      <c r="AP417" s="13" t="e">
        <f t="shared" si="205"/>
        <v>#DIV/0!</v>
      </c>
      <c r="AR417" s="17" t="e">
        <f t="shared" si="186"/>
        <v>#VALUE!</v>
      </c>
      <c r="AS417" s="16" t="e">
        <f t="shared" si="202"/>
        <v>#DIV/0!</v>
      </c>
      <c r="AT417" s="16">
        <f t="shared" si="206"/>
        <v>0.3147619047619048</v>
      </c>
      <c r="AU417" s="16" t="e">
        <f t="shared" si="207"/>
        <v>#DIV/0!</v>
      </c>
      <c r="AV417" s="57" t="str">
        <f t="shared" si="192"/>
        <v/>
      </c>
      <c r="AW417" s="57" t="str">
        <f t="shared" si="195"/>
        <v/>
      </c>
      <c r="AX417" s="57" t="str">
        <f t="shared" si="184"/>
        <v/>
      </c>
      <c r="AY417" s="57" t="str">
        <f t="shared" si="197"/>
        <v/>
      </c>
      <c r="AZ417" s="57" t="str">
        <f t="shared" si="198"/>
        <v/>
      </c>
      <c r="BA417" s="100" t="str">
        <f t="shared" si="210"/>
        <v/>
      </c>
      <c r="BB417" s="84" t="str">
        <f t="shared" si="208"/>
        <v/>
      </c>
      <c r="BC417" s="84">
        <f t="shared" si="203"/>
        <v>0.3147619047619048</v>
      </c>
      <c r="BD417" s="84" t="str">
        <f t="shared" si="209"/>
        <v/>
      </c>
      <c r="BE417" s="6" t="e">
        <f t="shared" si="196"/>
        <v>#DIV/0!</v>
      </c>
      <c r="BF417" s="6" t="e">
        <f t="shared" si="211"/>
        <v>#DIV/0!</v>
      </c>
    </row>
    <row r="418" spans="1:58" ht="15.75">
      <c r="B418" s="11">
        <v>45678</v>
      </c>
      <c r="C418" s="1">
        <v>174</v>
      </c>
      <c r="D418" s="3">
        <v>413</v>
      </c>
      <c r="E418" s="205" t="str">
        <f t="shared" si="199"/>
        <v/>
      </c>
      <c r="K418" s="10" t="str">
        <f t="shared" si="180"/>
        <v/>
      </c>
      <c r="L418" s="9" t="str">
        <f t="shared" si="181"/>
        <v/>
      </c>
      <c r="M418" s="8" t="str">
        <f t="shared" si="182"/>
        <v/>
      </c>
      <c r="X418" s="6">
        <v>0.21</v>
      </c>
      <c r="AB418" s="5">
        <v>80</v>
      </c>
      <c r="AD418" s="95">
        <v>21</v>
      </c>
      <c r="AG418" s="1">
        <v>2.93</v>
      </c>
      <c r="AH418" s="101">
        <v>0.51851851851851849</v>
      </c>
      <c r="AK418" s="3">
        <f t="shared" si="204"/>
        <v>240</v>
      </c>
      <c r="AN418" s="80">
        <f t="shared" si="194"/>
        <v>40</v>
      </c>
      <c r="AP418" s="13" t="e">
        <f t="shared" si="205"/>
        <v>#DIV/0!</v>
      </c>
      <c r="AR418" s="17" t="e">
        <f t="shared" si="186"/>
        <v>#VALUE!</v>
      </c>
      <c r="AS418" s="16" t="e">
        <f t="shared" si="202"/>
        <v>#DIV/0!</v>
      </c>
      <c r="AT418" s="16">
        <f t="shared" si="206"/>
        <v>0.13952380952380952</v>
      </c>
      <c r="AU418" s="16" t="e">
        <f t="shared" si="207"/>
        <v>#DIV/0!</v>
      </c>
      <c r="AV418" s="57" t="str">
        <f t="shared" si="192"/>
        <v/>
      </c>
      <c r="AW418" s="57" t="str">
        <f t="shared" si="195"/>
        <v/>
      </c>
      <c r="AX418" s="57" t="str">
        <f t="shared" si="184"/>
        <v/>
      </c>
      <c r="AY418" s="57" t="str">
        <f t="shared" si="197"/>
        <v/>
      </c>
      <c r="AZ418" s="57" t="str">
        <f t="shared" si="198"/>
        <v/>
      </c>
      <c r="BA418" s="100" t="str">
        <f t="shared" si="210"/>
        <v/>
      </c>
      <c r="BB418" s="84" t="str">
        <f t="shared" si="208"/>
        <v/>
      </c>
      <c r="BC418" s="84">
        <f t="shared" si="203"/>
        <v>0.13952380952380952</v>
      </c>
      <c r="BD418" s="84" t="str">
        <f t="shared" si="209"/>
        <v/>
      </c>
      <c r="BE418" s="6" t="e">
        <f t="shared" si="196"/>
        <v>#DIV/0!</v>
      </c>
      <c r="BF418" s="6" t="e">
        <f t="shared" si="211"/>
        <v>#DIV/0!</v>
      </c>
    </row>
    <row r="419" spans="1:58" ht="15.75">
      <c r="B419" s="11">
        <v>45679</v>
      </c>
      <c r="C419" s="1">
        <v>175</v>
      </c>
      <c r="D419" s="3">
        <v>414</v>
      </c>
      <c r="E419" s="205" t="str">
        <f t="shared" si="199"/>
        <v/>
      </c>
      <c r="K419" s="10" t="str">
        <f t="shared" si="180"/>
        <v/>
      </c>
      <c r="L419" s="9" t="str">
        <f t="shared" si="181"/>
        <v/>
      </c>
      <c r="M419" s="8" t="str">
        <f t="shared" si="182"/>
        <v/>
      </c>
      <c r="AB419" s="5">
        <v>80</v>
      </c>
      <c r="AD419" s="95">
        <v>21</v>
      </c>
      <c r="AG419" s="1">
        <v>2.44</v>
      </c>
      <c r="AH419" s="101">
        <v>0.51967592592592593</v>
      </c>
      <c r="AK419" s="3">
        <f t="shared" si="204"/>
        <v>240</v>
      </c>
      <c r="AN419" s="80">
        <f t="shared" si="194"/>
        <v>40</v>
      </c>
      <c r="AP419" s="13" t="e">
        <f t="shared" si="205"/>
        <v>#DIV/0!</v>
      </c>
      <c r="AR419" s="17" t="e">
        <f t="shared" si="186"/>
        <v>#VALUE!</v>
      </c>
      <c r="AS419" s="16" t="e">
        <f t="shared" si="202"/>
        <v>#DIV/0!</v>
      </c>
      <c r="AT419" s="16">
        <f t="shared" si="206"/>
        <v>0.11619047619047619</v>
      </c>
      <c r="AU419" s="16" t="e">
        <f t="shared" si="207"/>
        <v>#DIV/0!</v>
      </c>
      <c r="AV419" s="57" t="str">
        <f t="shared" si="192"/>
        <v/>
      </c>
      <c r="AW419" s="57" t="str">
        <f t="shared" si="195"/>
        <v/>
      </c>
      <c r="AX419" s="57" t="str">
        <f t="shared" si="184"/>
        <v/>
      </c>
      <c r="AY419" s="57" t="str">
        <f t="shared" si="197"/>
        <v/>
      </c>
      <c r="AZ419" s="57" t="str">
        <f t="shared" si="198"/>
        <v/>
      </c>
      <c r="BA419" s="100" t="str">
        <f t="shared" si="210"/>
        <v/>
      </c>
      <c r="BB419" s="84" t="str">
        <f t="shared" si="208"/>
        <v/>
      </c>
      <c r="BC419" s="84">
        <f t="shared" si="203"/>
        <v>0.11619047619047619</v>
      </c>
      <c r="BD419" s="84" t="str">
        <f t="shared" si="209"/>
        <v/>
      </c>
      <c r="BE419" s="6" t="e">
        <f t="shared" si="196"/>
        <v>#DIV/0!</v>
      </c>
      <c r="BF419" s="6" t="e">
        <f t="shared" si="211"/>
        <v>#DIV/0!</v>
      </c>
    </row>
    <row r="420" spans="1:58" ht="15.75">
      <c r="B420" s="11">
        <v>45680</v>
      </c>
      <c r="C420" s="1">
        <v>176</v>
      </c>
      <c r="D420" s="3">
        <v>415</v>
      </c>
      <c r="E420" s="205" t="str">
        <f t="shared" si="199"/>
        <v/>
      </c>
      <c r="K420" s="10" t="str">
        <f t="shared" si="180"/>
        <v/>
      </c>
      <c r="L420" s="9" t="str">
        <f t="shared" si="181"/>
        <v/>
      </c>
      <c r="M420" s="8" t="str">
        <f t="shared" si="182"/>
        <v/>
      </c>
      <c r="AB420" s="5">
        <v>80</v>
      </c>
      <c r="AD420" s="95">
        <v>21</v>
      </c>
      <c r="AG420" s="1">
        <v>2.8</v>
      </c>
      <c r="AH420" s="101">
        <v>0.52060185185185182</v>
      </c>
      <c r="AK420" s="3">
        <f t="shared" si="204"/>
        <v>240</v>
      </c>
      <c r="AN420" s="80">
        <f t="shared" si="194"/>
        <v>40</v>
      </c>
      <c r="AP420" s="13" t="e">
        <f t="shared" si="205"/>
        <v>#DIV/0!</v>
      </c>
      <c r="AR420" s="17" t="e">
        <f t="shared" si="186"/>
        <v>#VALUE!</v>
      </c>
      <c r="AS420" s="16" t="e">
        <f t="shared" si="202"/>
        <v>#DIV/0!</v>
      </c>
      <c r="AT420" s="16">
        <f t="shared" si="206"/>
        <v>0.13333333333333333</v>
      </c>
      <c r="AU420" s="16" t="e">
        <f t="shared" si="207"/>
        <v>#DIV/0!</v>
      </c>
      <c r="AV420" s="57" t="str">
        <f t="shared" si="192"/>
        <v/>
      </c>
      <c r="AW420" s="57" t="str">
        <f t="shared" si="195"/>
        <v/>
      </c>
      <c r="AX420" s="57" t="str">
        <f t="shared" si="184"/>
        <v/>
      </c>
      <c r="AY420" s="57" t="str">
        <f t="shared" si="197"/>
        <v/>
      </c>
      <c r="AZ420" s="57" t="str">
        <f t="shared" si="198"/>
        <v/>
      </c>
      <c r="BA420" s="100" t="str">
        <f t="shared" si="210"/>
        <v/>
      </c>
      <c r="BB420" s="84" t="str">
        <f t="shared" si="208"/>
        <v/>
      </c>
      <c r="BC420" s="84">
        <f t="shared" si="203"/>
        <v>0.13333333333333333</v>
      </c>
      <c r="BD420" s="84" t="str">
        <f t="shared" si="209"/>
        <v/>
      </c>
      <c r="BE420" s="6" t="e">
        <f t="shared" si="196"/>
        <v>#DIV/0!</v>
      </c>
      <c r="BF420" s="6" t="e">
        <f t="shared" si="211"/>
        <v>#DIV/0!</v>
      </c>
    </row>
    <row r="421" spans="1:58" ht="15.75">
      <c r="B421" s="11">
        <v>45681</v>
      </c>
      <c r="C421" s="1">
        <v>177</v>
      </c>
      <c r="D421" s="3">
        <v>416</v>
      </c>
      <c r="E421" s="205" t="str">
        <f t="shared" si="199"/>
        <v/>
      </c>
      <c r="K421" s="10" t="str">
        <f t="shared" ref="K421:K484" si="212">IF(OR(E421="",G421="",E421=0,G421=0),"",E421/G421)</f>
        <v/>
      </c>
      <c r="L421" s="9" t="str">
        <f t="shared" ref="L421:L484" si="213">IF(OR(E421="",I421="",E421=0,I421=0),"",E421/(I421*2))</f>
        <v/>
      </c>
      <c r="M421" s="8" t="str">
        <f t="shared" ref="M421:M484" si="214">IF(OR(I421="",G421="",I421=0,G421=0),"",I421*2/G421)</f>
        <v/>
      </c>
      <c r="X421" s="6">
        <v>0.28000000000000003</v>
      </c>
      <c r="AB421" s="5">
        <v>80</v>
      </c>
      <c r="AD421" s="95">
        <v>21</v>
      </c>
      <c r="AG421" s="1">
        <v>2.15</v>
      </c>
      <c r="AH421" s="101">
        <v>0.5200231481481481</v>
      </c>
      <c r="AK421" s="3">
        <f t="shared" si="204"/>
        <v>240</v>
      </c>
      <c r="AN421" s="80">
        <f t="shared" si="194"/>
        <v>40</v>
      </c>
      <c r="AP421" s="13" t="e">
        <f t="shared" si="205"/>
        <v>#DIV/0!</v>
      </c>
      <c r="AR421" s="17" t="e">
        <f t="shared" si="186"/>
        <v>#VALUE!</v>
      </c>
      <c r="AS421" s="16" t="e">
        <f t="shared" si="202"/>
        <v>#DIV/0!</v>
      </c>
      <c r="AT421" s="16">
        <f t="shared" si="206"/>
        <v>0.10238095238095238</v>
      </c>
      <c r="AU421" s="16" t="e">
        <f t="shared" si="207"/>
        <v>#DIV/0!</v>
      </c>
      <c r="AV421" s="57" t="str">
        <f t="shared" si="192"/>
        <v/>
      </c>
      <c r="AW421" s="57" t="str">
        <f t="shared" si="195"/>
        <v/>
      </c>
      <c r="AX421" s="57" t="str">
        <f t="shared" si="184"/>
        <v/>
      </c>
      <c r="AY421" s="57" t="str">
        <f t="shared" si="197"/>
        <v/>
      </c>
      <c r="AZ421" s="57" t="str">
        <f t="shared" si="198"/>
        <v/>
      </c>
      <c r="BA421" s="100" t="str">
        <f t="shared" si="210"/>
        <v/>
      </c>
      <c r="BB421" s="84" t="str">
        <f t="shared" si="208"/>
        <v/>
      </c>
      <c r="BC421" s="84">
        <f t="shared" si="203"/>
        <v>0.10238095238095238</v>
      </c>
      <c r="BD421" s="84" t="str">
        <f t="shared" si="209"/>
        <v/>
      </c>
      <c r="BE421" s="6" t="e">
        <f t="shared" si="196"/>
        <v>#DIV/0!</v>
      </c>
      <c r="BF421" s="6" t="e">
        <f t="shared" si="211"/>
        <v>#DIV/0!</v>
      </c>
    </row>
    <row r="422" spans="1:58" ht="15.75">
      <c r="B422" s="11">
        <v>45682</v>
      </c>
      <c r="C422" s="1">
        <v>178</v>
      </c>
      <c r="D422" s="3">
        <v>417</v>
      </c>
      <c r="E422" s="205" t="str">
        <f t="shared" si="199"/>
        <v/>
      </c>
      <c r="K422" s="10" t="str">
        <f t="shared" si="212"/>
        <v/>
      </c>
      <c r="L422" s="9" t="str">
        <f t="shared" si="213"/>
        <v/>
      </c>
      <c r="M422" s="8" t="str">
        <f t="shared" si="214"/>
        <v/>
      </c>
      <c r="X422" s="6">
        <v>0.2</v>
      </c>
      <c r="AB422" s="5">
        <v>80</v>
      </c>
      <c r="AD422" s="95">
        <v>21</v>
      </c>
      <c r="AG422" s="1">
        <v>5.26</v>
      </c>
      <c r="AH422" s="101">
        <v>0.51875000000000004</v>
      </c>
      <c r="AK422" s="3">
        <f t="shared" si="204"/>
        <v>240</v>
      </c>
      <c r="AN422" s="80">
        <f t="shared" si="194"/>
        <v>40</v>
      </c>
      <c r="AP422" s="13" t="e">
        <f t="shared" si="205"/>
        <v>#DIV/0!</v>
      </c>
      <c r="AR422" s="17" t="e">
        <f t="shared" si="186"/>
        <v>#VALUE!</v>
      </c>
      <c r="AS422" s="16" t="e">
        <f t="shared" si="202"/>
        <v>#DIV/0!</v>
      </c>
      <c r="AT422" s="16">
        <f t="shared" si="206"/>
        <v>0.25047619047619046</v>
      </c>
      <c r="AU422" s="16" t="e">
        <f t="shared" si="207"/>
        <v>#DIV/0!</v>
      </c>
      <c r="AV422" s="57" t="str">
        <f t="shared" si="192"/>
        <v/>
      </c>
      <c r="AW422" s="57" t="str">
        <f t="shared" si="195"/>
        <v/>
      </c>
      <c r="AX422" s="57" t="str">
        <f t="shared" si="184"/>
        <v/>
      </c>
      <c r="AY422" s="57" t="str">
        <f t="shared" si="197"/>
        <v/>
      </c>
      <c r="AZ422" s="57" t="str">
        <f t="shared" si="198"/>
        <v/>
      </c>
      <c r="BA422" s="100" t="str">
        <f t="shared" si="210"/>
        <v/>
      </c>
      <c r="BB422" s="84" t="str">
        <f t="shared" si="208"/>
        <v/>
      </c>
      <c r="BC422" s="84">
        <f t="shared" si="203"/>
        <v>0.25047619047619046</v>
      </c>
      <c r="BD422" s="84" t="str">
        <f t="shared" si="209"/>
        <v/>
      </c>
      <c r="BE422" s="6" t="e">
        <f t="shared" si="196"/>
        <v>#DIV/0!</v>
      </c>
      <c r="BF422" s="6" t="e">
        <f t="shared" si="211"/>
        <v>#DIV/0!</v>
      </c>
    </row>
    <row r="423" spans="1:58" ht="15.75">
      <c r="A423" s="12" t="s">
        <v>80</v>
      </c>
      <c r="B423" s="11">
        <v>45683</v>
      </c>
      <c r="C423" s="1">
        <v>179</v>
      </c>
      <c r="D423" s="3">
        <v>418</v>
      </c>
      <c r="E423" s="205" t="str">
        <f t="shared" si="199"/>
        <v/>
      </c>
      <c r="K423" s="10" t="str">
        <f t="shared" si="212"/>
        <v/>
      </c>
      <c r="L423" s="9" t="str">
        <f t="shared" si="213"/>
        <v/>
      </c>
      <c r="M423" s="8" t="str">
        <f t="shared" si="214"/>
        <v/>
      </c>
      <c r="X423" s="6">
        <v>0.2</v>
      </c>
      <c r="AB423" s="5">
        <v>80</v>
      </c>
      <c r="AD423" s="95">
        <v>21</v>
      </c>
      <c r="AG423" s="102">
        <v>7.42</v>
      </c>
      <c r="AH423" s="101">
        <v>0.85671296296296295</v>
      </c>
      <c r="AK423" s="3">
        <f t="shared" si="204"/>
        <v>240</v>
      </c>
      <c r="AN423" s="80">
        <f t="shared" si="194"/>
        <v>40</v>
      </c>
      <c r="AP423" s="13" t="e">
        <f t="shared" si="205"/>
        <v>#DIV/0!</v>
      </c>
      <c r="AR423" s="17" t="e">
        <f t="shared" si="186"/>
        <v>#VALUE!</v>
      </c>
      <c r="AS423" s="16" t="e">
        <f t="shared" si="202"/>
        <v>#DIV/0!</v>
      </c>
      <c r="AT423" s="16">
        <f t="shared" si="206"/>
        <v>0.35333333333333333</v>
      </c>
      <c r="AU423" s="16" t="e">
        <f t="shared" si="207"/>
        <v>#DIV/0!</v>
      </c>
      <c r="AV423" s="57" t="str">
        <f t="shared" si="192"/>
        <v/>
      </c>
      <c r="AW423" s="57" t="str">
        <f t="shared" si="195"/>
        <v/>
      </c>
      <c r="AX423" s="57" t="str">
        <f t="shared" si="184"/>
        <v/>
      </c>
      <c r="AY423" s="57" t="str">
        <f t="shared" si="197"/>
        <v/>
      </c>
      <c r="AZ423" s="57" t="str">
        <f t="shared" si="198"/>
        <v/>
      </c>
      <c r="BA423" s="100" t="str">
        <f t="shared" si="210"/>
        <v/>
      </c>
      <c r="BB423" s="84" t="str">
        <f t="shared" si="208"/>
        <v/>
      </c>
      <c r="BC423" s="84">
        <f t="shared" si="203"/>
        <v>0.35333333333333333</v>
      </c>
      <c r="BD423" s="84" t="str">
        <f t="shared" si="209"/>
        <v/>
      </c>
      <c r="BE423" s="6" t="e">
        <f t="shared" si="196"/>
        <v>#DIV/0!</v>
      </c>
      <c r="BF423" s="6" t="e">
        <f t="shared" si="211"/>
        <v>#DIV/0!</v>
      </c>
    </row>
    <row r="424" spans="1:58" ht="15.75">
      <c r="B424" s="11">
        <v>45684</v>
      </c>
      <c r="C424" s="1">
        <v>180</v>
      </c>
      <c r="D424" s="3">
        <v>419</v>
      </c>
      <c r="E424" s="205" t="str">
        <f t="shared" si="199"/>
        <v/>
      </c>
      <c r="K424" s="10" t="str">
        <f t="shared" si="212"/>
        <v/>
      </c>
      <c r="L424" s="9" t="str">
        <f t="shared" si="213"/>
        <v/>
      </c>
      <c r="M424" s="8" t="str">
        <f t="shared" si="214"/>
        <v/>
      </c>
      <c r="X424" s="6">
        <v>0.2</v>
      </c>
      <c r="AB424" s="5">
        <v>80</v>
      </c>
      <c r="AD424" s="95">
        <v>21</v>
      </c>
      <c r="AG424" s="102">
        <v>7.75</v>
      </c>
      <c r="AH424" s="101">
        <v>0.84293981481481484</v>
      </c>
      <c r="AK424" s="3">
        <f t="shared" si="204"/>
        <v>240</v>
      </c>
      <c r="AN424" s="80">
        <f t="shared" si="194"/>
        <v>40</v>
      </c>
      <c r="AP424" s="13" t="e">
        <f t="shared" si="205"/>
        <v>#DIV/0!</v>
      </c>
      <c r="AR424" s="17" t="e">
        <f t="shared" si="186"/>
        <v>#VALUE!</v>
      </c>
      <c r="AS424" s="16" t="e">
        <f t="shared" si="202"/>
        <v>#DIV/0!</v>
      </c>
      <c r="AT424" s="16">
        <f t="shared" si="206"/>
        <v>0.36904761904761907</v>
      </c>
      <c r="AU424" s="16" t="e">
        <f t="shared" si="207"/>
        <v>#DIV/0!</v>
      </c>
      <c r="AV424" s="57" t="str">
        <f t="shared" si="192"/>
        <v/>
      </c>
      <c r="AW424" s="57" t="str">
        <f t="shared" si="195"/>
        <v/>
      </c>
      <c r="AX424" s="57" t="str">
        <f t="shared" si="184"/>
        <v/>
      </c>
      <c r="AY424" s="57" t="str">
        <f t="shared" si="197"/>
        <v/>
      </c>
      <c r="AZ424" s="57" t="str">
        <f t="shared" si="198"/>
        <v/>
      </c>
      <c r="BA424" s="100" t="str">
        <f t="shared" si="210"/>
        <v/>
      </c>
      <c r="BB424" s="84" t="str">
        <f t="shared" si="208"/>
        <v/>
      </c>
      <c r="BC424" s="84">
        <f t="shared" si="203"/>
        <v>0.36904761904761907</v>
      </c>
      <c r="BD424" s="84" t="str">
        <f t="shared" si="209"/>
        <v/>
      </c>
      <c r="BE424" s="6" t="e">
        <f t="shared" si="196"/>
        <v>#DIV/0!</v>
      </c>
      <c r="BF424" s="6" t="e">
        <f t="shared" si="211"/>
        <v>#DIV/0!</v>
      </c>
    </row>
    <row r="425" spans="1:58" ht="15.75">
      <c r="B425" s="11">
        <v>45685</v>
      </c>
      <c r="C425" s="1">
        <v>181</v>
      </c>
      <c r="D425" s="3">
        <v>420</v>
      </c>
      <c r="E425" s="205" t="str">
        <f t="shared" si="199"/>
        <v/>
      </c>
      <c r="K425" s="10" t="str">
        <f t="shared" si="212"/>
        <v/>
      </c>
      <c r="L425" s="9" t="str">
        <f t="shared" si="213"/>
        <v/>
      </c>
      <c r="M425" s="8" t="str">
        <f t="shared" si="214"/>
        <v/>
      </c>
      <c r="X425" s="6">
        <v>0.2</v>
      </c>
      <c r="AB425" s="5">
        <v>80</v>
      </c>
      <c r="AD425" s="95">
        <v>21</v>
      </c>
      <c r="AG425" s="1">
        <v>7.57</v>
      </c>
      <c r="AH425" s="101">
        <v>0.51886574074074077</v>
      </c>
      <c r="AK425" s="3">
        <f t="shared" si="204"/>
        <v>240</v>
      </c>
      <c r="AN425" s="80">
        <f t="shared" si="194"/>
        <v>40</v>
      </c>
      <c r="AP425" s="13" t="e">
        <f t="shared" si="205"/>
        <v>#DIV/0!</v>
      </c>
      <c r="AR425" s="17" t="e">
        <f t="shared" si="186"/>
        <v>#VALUE!</v>
      </c>
      <c r="AS425" s="16" t="e">
        <f t="shared" si="202"/>
        <v>#DIV/0!</v>
      </c>
      <c r="AT425" s="16">
        <f t="shared" si="206"/>
        <v>0.36047619047619051</v>
      </c>
      <c r="AU425" s="16" t="e">
        <f t="shared" si="207"/>
        <v>#DIV/0!</v>
      </c>
      <c r="AV425" s="57" t="str">
        <f t="shared" si="192"/>
        <v/>
      </c>
      <c r="AW425" s="57" t="str">
        <f t="shared" si="195"/>
        <v/>
      </c>
      <c r="AX425" s="57" t="str">
        <f t="shared" si="184"/>
        <v/>
      </c>
      <c r="AY425" s="57" t="str">
        <f t="shared" si="197"/>
        <v/>
      </c>
      <c r="AZ425" s="57" t="str">
        <f t="shared" si="198"/>
        <v/>
      </c>
      <c r="BA425" s="100" t="str">
        <f t="shared" si="210"/>
        <v/>
      </c>
      <c r="BB425" s="84" t="str">
        <f t="shared" si="208"/>
        <v/>
      </c>
      <c r="BC425" s="84">
        <f t="shared" si="203"/>
        <v>0.36047619047619051</v>
      </c>
      <c r="BD425" s="84" t="str">
        <f t="shared" si="209"/>
        <v/>
      </c>
      <c r="BE425" s="6" t="e">
        <f t="shared" si="196"/>
        <v>#DIV/0!</v>
      </c>
      <c r="BF425" s="6" t="e">
        <f t="shared" si="211"/>
        <v>#DIV/0!</v>
      </c>
    </row>
    <row r="426" spans="1:58" ht="15.75">
      <c r="B426" s="11">
        <v>45686</v>
      </c>
      <c r="C426" s="1">
        <v>182</v>
      </c>
      <c r="D426" s="3">
        <v>421</v>
      </c>
      <c r="E426" s="205" t="str">
        <f t="shared" si="199"/>
        <v/>
      </c>
      <c r="K426" s="10" t="str">
        <f t="shared" si="212"/>
        <v/>
      </c>
      <c r="L426" s="9" t="str">
        <f t="shared" si="213"/>
        <v/>
      </c>
      <c r="M426" s="8" t="str">
        <f t="shared" si="214"/>
        <v/>
      </c>
      <c r="X426" s="6">
        <v>0.66</v>
      </c>
      <c r="AB426" s="5">
        <v>80</v>
      </c>
      <c r="AD426" s="95">
        <v>21</v>
      </c>
      <c r="AG426" s="1">
        <v>8.5</v>
      </c>
      <c r="AH426" s="101">
        <v>0.49409722222222224</v>
      </c>
      <c r="AK426" s="3">
        <f t="shared" si="204"/>
        <v>240</v>
      </c>
      <c r="AN426" s="80">
        <f t="shared" si="194"/>
        <v>40</v>
      </c>
      <c r="AP426" s="13" t="e">
        <f t="shared" si="205"/>
        <v>#DIV/0!</v>
      </c>
      <c r="AR426" s="17" t="e">
        <f t="shared" si="186"/>
        <v>#VALUE!</v>
      </c>
      <c r="AS426" s="16" t="e">
        <f t="shared" si="202"/>
        <v>#DIV/0!</v>
      </c>
      <c r="AT426" s="16">
        <f t="shared" si="206"/>
        <v>0.40476190476190477</v>
      </c>
      <c r="AU426" s="16" t="e">
        <f t="shared" si="207"/>
        <v>#DIV/0!</v>
      </c>
      <c r="AV426" s="57" t="str">
        <f t="shared" si="192"/>
        <v/>
      </c>
      <c r="AW426" s="57" t="str">
        <f t="shared" si="195"/>
        <v/>
      </c>
      <c r="AX426" s="57" t="str">
        <f t="shared" si="184"/>
        <v/>
      </c>
      <c r="AY426" s="57" t="str">
        <f t="shared" si="197"/>
        <v/>
      </c>
      <c r="AZ426" s="57" t="str">
        <f t="shared" si="198"/>
        <v/>
      </c>
      <c r="BA426" s="100" t="str">
        <f t="shared" si="210"/>
        <v/>
      </c>
      <c r="BB426" s="84" t="str">
        <f t="shared" si="208"/>
        <v/>
      </c>
      <c r="BC426" s="84">
        <f t="shared" si="203"/>
        <v>0.40476190476190477</v>
      </c>
      <c r="BD426" s="84" t="str">
        <f t="shared" si="209"/>
        <v/>
      </c>
      <c r="BE426" s="6" t="e">
        <f t="shared" si="196"/>
        <v>#DIV/0!</v>
      </c>
      <c r="BF426" s="6" t="e">
        <f t="shared" si="211"/>
        <v>#DIV/0!</v>
      </c>
    </row>
    <row r="427" spans="1:58" ht="15.75">
      <c r="B427" s="11">
        <v>45687</v>
      </c>
      <c r="C427" s="1">
        <v>183</v>
      </c>
      <c r="D427" s="3">
        <v>422</v>
      </c>
      <c r="E427" s="205" t="str">
        <f t="shared" si="199"/>
        <v/>
      </c>
      <c r="K427" s="10" t="str">
        <f t="shared" si="212"/>
        <v/>
      </c>
      <c r="L427" s="9" t="str">
        <f t="shared" si="213"/>
        <v/>
      </c>
      <c r="M427" s="8" t="str">
        <f t="shared" si="214"/>
        <v/>
      </c>
      <c r="X427" s="6">
        <v>0.21</v>
      </c>
      <c r="AB427" s="5">
        <v>80</v>
      </c>
      <c r="AD427" s="95">
        <v>21</v>
      </c>
      <c r="AG427" s="1">
        <v>8.5500000000000007</v>
      </c>
      <c r="AH427" s="101">
        <v>0.47499999999999998</v>
      </c>
      <c r="AJ427" s="1">
        <v>87</v>
      </c>
      <c r="AK427" s="3">
        <f t="shared" si="204"/>
        <v>240</v>
      </c>
      <c r="AN427" s="80">
        <f t="shared" si="194"/>
        <v>40</v>
      </c>
      <c r="AP427" s="13">
        <f t="shared" si="205"/>
        <v>2909.9999999999909</v>
      </c>
      <c r="AR427" s="17" t="e">
        <f t="shared" si="186"/>
        <v>#VALUE!</v>
      </c>
      <c r="AS427" s="16" t="e">
        <f t="shared" si="202"/>
        <v>#DIV/0!</v>
      </c>
      <c r="AT427" s="16">
        <f t="shared" si="206"/>
        <v>0.4071428571428572</v>
      </c>
      <c r="AU427" s="16" t="e">
        <f t="shared" si="207"/>
        <v>#DIV/0!</v>
      </c>
      <c r="AV427" s="57" t="str">
        <f t="shared" si="192"/>
        <v/>
      </c>
      <c r="AW427" s="57" t="str">
        <f t="shared" si="195"/>
        <v/>
      </c>
      <c r="AX427" s="57" t="str">
        <f t="shared" si="184"/>
        <v/>
      </c>
      <c r="AY427" s="57" t="str">
        <f t="shared" si="197"/>
        <v/>
      </c>
      <c r="AZ427" s="57" t="str">
        <f t="shared" si="198"/>
        <v/>
      </c>
      <c r="BA427" s="100" t="str">
        <f t="shared" si="210"/>
        <v/>
      </c>
      <c r="BB427" s="84" t="str">
        <f t="shared" si="208"/>
        <v/>
      </c>
      <c r="BC427" s="84">
        <f t="shared" si="203"/>
        <v>0.4071428571428572</v>
      </c>
      <c r="BD427" s="84" t="str">
        <f t="shared" si="209"/>
        <v/>
      </c>
      <c r="BE427" s="6">
        <f t="shared" si="196"/>
        <v>14.482758620689655</v>
      </c>
      <c r="BF427" s="6" t="str">
        <f t="shared" si="211"/>
        <v/>
      </c>
    </row>
    <row r="428" spans="1:58" ht="15.75">
      <c r="B428" s="11">
        <v>45688</v>
      </c>
      <c r="C428" s="1">
        <v>184</v>
      </c>
      <c r="D428" s="3">
        <v>423</v>
      </c>
      <c r="E428" s="205" t="str">
        <f t="shared" si="199"/>
        <v/>
      </c>
      <c r="K428" s="10" t="str">
        <f t="shared" si="212"/>
        <v/>
      </c>
      <c r="L428" s="9" t="str">
        <f t="shared" si="213"/>
        <v/>
      </c>
      <c r="M428" s="8" t="str">
        <f t="shared" si="214"/>
        <v/>
      </c>
      <c r="X428" s="6">
        <v>0.55000000000000004</v>
      </c>
      <c r="AB428" s="5">
        <v>80</v>
      </c>
      <c r="AD428" s="95">
        <v>21</v>
      </c>
      <c r="AG428" s="1">
        <v>8.8699999999999992</v>
      </c>
      <c r="AH428" s="101">
        <v>0.46261574074074074</v>
      </c>
      <c r="AJ428" s="1">
        <v>95</v>
      </c>
      <c r="AK428" s="3">
        <f t="shared" si="204"/>
        <v>240</v>
      </c>
      <c r="AN428" s="80">
        <f t="shared" si="194"/>
        <v>40</v>
      </c>
      <c r="AP428" s="13">
        <f t="shared" si="205"/>
        <v>2909.9999999999909</v>
      </c>
      <c r="AR428" s="17" t="e">
        <f t="shared" si="186"/>
        <v>#VALUE!</v>
      </c>
      <c r="AS428" s="16" t="e">
        <f t="shared" si="202"/>
        <v>#DIV/0!</v>
      </c>
      <c r="AT428" s="16">
        <f t="shared" si="206"/>
        <v>0.42238095238095236</v>
      </c>
      <c r="AU428" s="16" t="e">
        <f t="shared" si="207"/>
        <v>#DIV/0!</v>
      </c>
      <c r="AV428" s="57" t="str">
        <f t="shared" si="192"/>
        <v/>
      </c>
      <c r="AW428" s="57" t="str">
        <f t="shared" si="195"/>
        <v/>
      </c>
      <c r="AX428" s="57" t="str">
        <f t="shared" ref="AX428:AX491" si="215">IF(AND(ISNUMBER(AM428),ISNUMBER(G428)),G428-AM428,"")</f>
        <v/>
      </c>
      <c r="AY428" s="57" t="str">
        <f t="shared" si="197"/>
        <v/>
      </c>
      <c r="AZ428" s="57" t="str">
        <f t="shared" si="198"/>
        <v/>
      </c>
      <c r="BA428" s="100" t="str">
        <f t="shared" si="210"/>
        <v/>
      </c>
      <c r="BB428" s="84" t="str">
        <f t="shared" si="208"/>
        <v/>
      </c>
      <c r="BC428" s="84">
        <f t="shared" si="203"/>
        <v>0.42238095238095236</v>
      </c>
      <c r="BD428" s="84" t="str">
        <f t="shared" si="209"/>
        <v/>
      </c>
      <c r="BE428" s="6">
        <f t="shared" si="196"/>
        <v>13.263157894736842</v>
      </c>
      <c r="BF428" s="6" t="str">
        <f t="shared" si="211"/>
        <v/>
      </c>
    </row>
    <row r="429" spans="1:58" ht="15.75">
      <c r="B429" s="11">
        <v>45689</v>
      </c>
      <c r="C429" s="1">
        <v>185</v>
      </c>
      <c r="D429" s="3">
        <v>424</v>
      </c>
      <c r="E429" s="205" t="str">
        <f t="shared" si="199"/>
        <v/>
      </c>
      <c r="K429" s="10" t="str">
        <f t="shared" si="212"/>
        <v/>
      </c>
      <c r="L429" s="9" t="str">
        <f t="shared" si="213"/>
        <v/>
      </c>
      <c r="M429" s="8" t="str">
        <f t="shared" si="214"/>
        <v/>
      </c>
      <c r="X429" s="6">
        <v>0.19</v>
      </c>
      <c r="AB429" s="5">
        <v>80</v>
      </c>
      <c r="AD429" s="95">
        <v>21</v>
      </c>
      <c r="AG429" s="1">
        <v>9.17</v>
      </c>
      <c r="AH429" s="101">
        <v>0.46296296296296297</v>
      </c>
      <c r="AJ429" s="1">
        <v>79</v>
      </c>
      <c r="AK429" s="3">
        <f t="shared" si="204"/>
        <v>240</v>
      </c>
      <c r="AN429" s="80">
        <f t="shared" si="194"/>
        <v>40</v>
      </c>
      <c r="AP429" s="13">
        <f t="shared" si="205"/>
        <v>2909.9999999999909</v>
      </c>
      <c r="AR429" s="17" t="e">
        <f t="shared" si="186"/>
        <v>#VALUE!</v>
      </c>
      <c r="AS429" s="16" t="e">
        <f t="shared" si="202"/>
        <v>#DIV/0!</v>
      </c>
      <c r="AT429" s="16">
        <f t="shared" si="206"/>
        <v>0.43666666666666665</v>
      </c>
      <c r="AU429" s="16" t="e">
        <f t="shared" si="207"/>
        <v>#DIV/0!</v>
      </c>
      <c r="AV429" s="57" t="str">
        <f t="shared" si="192"/>
        <v/>
      </c>
      <c r="AW429" s="57" t="str">
        <f t="shared" si="195"/>
        <v/>
      </c>
      <c r="AX429" s="57" t="str">
        <f t="shared" si="215"/>
        <v/>
      </c>
      <c r="AY429" s="57" t="str">
        <f t="shared" si="197"/>
        <v/>
      </c>
      <c r="AZ429" s="57" t="str">
        <f t="shared" si="198"/>
        <v/>
      </c>
      <c r="BA429" s="100" t="str">
        <f t="shared" si="210"/>
        <v/>
      </c>
      <c r="BB429" s="84" t="str">
        <f t="shared" si="208"/>
        <v/>
      </c>
      <c r="BC429" s="84">
        <f t="shared" si="203"/>
        <v>0.43666666666666665</v>
      </c>
      <c r="BD429" s="84" t="str">
        <f t="shared" si="209"/>
        <v/>
      </c>
      <c r="BE429" s="6">
        <f t="shared" si="196"/>
        <v>15.949367088607595</v>
      </c>
      <c r="BF429" s="6" t="str">
        <f t="shared" si="211"/>
        <v/>
      </c>
    </row>
    <row r="430" spans="1:58" ht="15.75">
      <c r="A430" s="12" t="s">
        <v>79</v>
      </c>
      <c r="B430" s="11">
        <v>45690</v>
      </c>
      <c r="C430" s="1">
        <v>186</v>
      </c>
      <c r="D430" s="3">
        <v>425</v>
      </c>
      <c r="E430" s="205" t="str">
        <f t="shared" si="199"/>
        <v/>
      </c>
      <c r="G430" s="15">
        <f>(N430*18-H430*18)/9</f>
        <v>14.700000000000005</v>
      </c>
      <c r="H430" s="9">
        <f>5*2.52</f>
        <v>12.6</v>
      </c>
      <c r="I430" s="15">
        <f>AD430</f>
        <v>21.05</v>
      </c>
      <c r="K430" s="10" t="str">
        <f t="shared" si="212"/>
        <v/>
      </c>
      <c r="L430" s="9" t="str">
        <f t="shared" si="213"/>
        <v/>
      </c>
      <c r="M430" s="8">
        <f t="shared" si="214"/>
        <v>2.8639455782312919</v>
      </c>
      <c r="N430" s="7">
        <f>5*3.99</f>
        <v>19.950000000000003</v>
      </c>
      <c r="T430" s="6">
        <f>54.1</f>
        <v>54.1</v>
      </c>
      <c r="X430" s="6">
        <v>0.45</v>
      </c>
      <c r="AB430" s="5">
        <v>80</v>
      </c>
      <c r="AC430" s="7">
        <f>T430</f>
        <v>54.1</v>
      </c>
      <c r="AD430" s="1">
        <f>5*4.21</f>
        <v>21.05</v>
      </c>
      <c r="AE430" s="1">
        <f>27.6</f>
        <v>27.6</v>
      </c>
      <c r="AF430" s="1">
        <v>0</v>
      </c>
      <c r="AG430" s="98">
        <v>11.7</v>
      </c>
      <c r="AH430" s="20">
        <v>0.5072916666666667</v>
      </c>
      <c r="AJ430" s="1">
        <v>83</v>
      </c>
      <c r="AK430" s="3">
        <f t="shared" si="204"/>
        <v>240</v>
      </c>
      <c r="AL430" s="4">
        <f>AE430</f>
        <v>27.6</v>
      </c>
      <c r="AM430" s="1">
        <f>5*4.43</f>
        <v>22.15</v>
      </c>
      <c r="AN430" s="80">
        <f t="shared" si="194"/>
        <v>40</v>
      </c>
      <c r="AP430" s="13">
        <f t="shared" si="205"/>
        <v>3109.9999999999909</v>
      </c>
      <c r="AR430" s="17" t="e">
        <f t="shared" si="186"/>
        <v>#VALUE!</v>
      </c>
      <c r="AS430" s="16">
        <f t="shared" si="202"/>
        <v>1</v>
      </c>
      <c r="AT430" s="16">
        <f t="shared" si="206"/>
        <v>0.5558194774346793</v>
      </c>
      <c r="AU430" s="16">
        <f t="shared" si="207"/>
        <v>-0.50680272108843483</v>
      </c>
      <c r="AV430" s="57" t="str">
        <f t="shared" si="192"/>
        <v/>
      </c>
      <c r="AW430" s="57">
        <f t="shared" si="195"/>
        <v>21.05</v>
      </c>
      <c r="AX430" s="57">
        <f t="shared" si="215"/>
        <v>-7.449999999999994</v>
      </c>
      <c r="AY430" s="57">
        <f t="shared" si="197"/>
        <v>26.5</v>
      </c>
      <c r="AZ430" s="57">
        <f t="shared" si="198"/>
        <v>5.4500000000000028</v>
      </c>
      <c r="BA430" s="100" t="str">
        <f t="shared" si="210"/>
        <v/>
      </c>
      <c r="BB430" s="84">
        <f t="shared" si="208"/>
        <v>1</v>
      </c>
      <c r="BC430" s="84">
        <f t="shared" si="203"/>
        <v>0.5558194774346793</v>
      </c>
      <c r="BD430" s="84">
        <f t="shared" si="209"/>
        <v>0</v>
      </c>
      <c r="BE430" s="6">
        <f t="shared" si="196"/>
        <v>15.216867469879519</v>
      </c>
      <c r="BF430" s="6">
        <f t="shared" si="211"/>
        <v>4.8928834308294418</v>
      </c>
    </row>
    <row r="431" spans="1:58" ht="15.75">
      <c r="A431" s="25" t="s">
        <v>78</v>
      </c>
      <c r="B431" s="11">
        <v>45691</v>
      </c>
      <c r="C431" s="1">
        <v>187</v>
      </c>
      <c r="D431" s="3">
        <v>426</v>
      </c>
      <c r="E431" s="205">
        <f t="shared" si="199"/>
        <v>648.36167399999999</v>
      </c>
      <c r="K431" s="10" t="str">
        <f t="shared" si="212"/>
        <v/>
      </c>
      <c r="L431" s="9" t="str">
        <f t="shared" si="213"/>
        <v/>
      </c>
      <c r="M431" s="8" t="str">
        <f t="shared" si="214"/>
        <v/>
      </c>
      <c r="O431" s="6">
        <v>258.97500000000002</v>
      </c>
      <c r="P431" s="59">
        <v>31.608000000000001</v>
      </c>
      <c r="Q431" s="6">
        <f>O431*1.067</f>
        <v>276.326325</v>
      </c>
      <c r="R431" s="6">
        <f>P431*1.514</f>
        <v>47.854512</v>
      </c>
      <c r="S431" s="23">
        <f>P431*1.514+O431*1.067</f>
        <v>324.180837</v>
      </c>
      <c r="U431" s="59">
        <v>0.85899999999999999</v>
      </c>
      <c r="V431" s="59">
        <v>0.56399999999999995</v>
      </c>
      <c r="X431" s="6">
        <v>0.36</v>
      </c>
      <c r="AB431" s="5">
        <v>80</v>
      </c>
      <c r="AD431" s="95">
        <v>20</v>
      </c>
      <c r="AG431" s="98"/>
      <c r="AH431" s="20">
        <v>0.46041666666666664</v>
      </c>
      <c r="AJ431" s="1">
        <v>61</v>
      </c>
      <c r="AK431" s="3">
        <f t="shared" si="204"/>
        <v>240</v>
      </c>
      <c r="AN431" s="80">
        <f t="shared" si="194"/>
        <v>40</v>
      </c>
      <c r="AO431" s="2">
        <v>2909.9999999999909</v>
      </c>
      <c r="AP431" s="13">
        <f t="shared" si="205"/>
        <v>3109.9999999999909</v>
      </c>
      <c r="AQ431" s="2">
        <v>25.790251107828531</v>
      </c>
      <c r="AR431" s="17">
        <f t="shared" si="186"/>
        <v>1</v>
      </c>
      <c r="AS431" s="16" t="e">
        <f t="shared" si="202"/>
        <v>#DIV/0!</v>
      </c>
      <c r="AT431" s="16">
        <f t="shared" si="206"/>
        <v>0</v>
      </c>
      <c r="AU431" s="16" t="e">
        <f t="shared" si="207"/>
        <v>#DIV/0!</v>
      </c>
      <c r="AV431" s="57" t="str">
        <f t="shared" si="192"/>
        <v/>
      </c>
      <c r="AW431" s="57" t="str">
        <f t="shared" si="195"/>
        <v/>
      </c>
      <c r="AX431" s="57" t="str">
        <f t="shared" si="215"/>
        <v/>
      </c>
      <c r="AY431" s="57" t="str">
        <f t="shared" si="197"/>
        <v/>
      </c>
      <c r="AZ431" s="57" t="str">
        <f t="shared" si="198"/>
        <v/>
      </c>
      <c r="BA431" s="100" t="str">
        <f t="shared" si="210"/>
        <v/>
      </c>
      <c r="BB431" s="84" t="str">
        <f t="shared" si="208"/>
        <v/>
      </c>
      <c r="BC431" s="84"/>
      <c r="BD431" s="84" t="str">
        <f t="shared" si="209"/>
        <v/>
      </c>
      <c r="BE431" s="6">
        <f t="shared" si="196"/>
        <v>19.672131147540984</v>
      </c>
      <c r="BF431" s="6" t="str">
        <f t="shared" si="211"/>
        <v/>
      </c>
    </row>
    <row r="432" spans="1:58" ht="15.75">
      <c r="B432" s="11">
        <v>45692</v>
      </c>
      <c r="C432" s="1">
        <v>188</v>
      </c>
      <c r="D432" s="3">
        <v>427</v>
      </c>
      <c r="E432" s="205" t="str">
        <f t="shared" si="199"/>
        <v/>
      </c>
      <c r="K432" s="10" t="str">
        <f t="shared" si="212"/>
        <v/>
      </c>
      <c r="L432" s="9" t="str">
        <f t="shared" si="213"/>
        <v/>
      </c>
      <c r="M432" s="8" t="str">
        <f t="shared" si="214"/>
        <v/>
      </c>
      <c r="AB432" s="5">
        <v>80</v>
      </c>
      <c r="AD432" s="95">
        <v>20</v>
      </c>
      <c r="AG432" s="98">
        <v>9.39</v>
      </c>
      <c r="AH432" s="20">
        <v>0.44884259259259257</v>
      </c>
      <c r="AJ432" s="1">
        <v>55</v>
      </c>
      <c r="AK432" s="3">
        <f t="shared" si="204"/>
        <v>240</v>
      </c>
      <c r="AN432" s="80">
        <f t="shared" si="194"/>
        <v>40</v>
      </c>
      <c r="AP432" s="13">
        <f t="shared" si="205"/>
        <v>3109.9999999999909</v>
      </c>
      <c r="AR432" s="17" t="e">
        <f t="shared" si="186"/>
        <v>#VALUE!</v>
      </c>
      <c r="AS432" s="16" t="e">
        <f t="shared" ref="AS432:AS455" si="216">(I432-AF432)/I432</f>
        <v>#DIV/0!</v>
      </c>
      <c r="AT432" s="16">
        <f t="shared" si="206"/>
        <v>0.46950000000000003</v>
      </c>
      <c r="AU432" s="16" t="e">
        <f t="shared" si="207"/>
        <v>#DIV/0!</v>
      </c>
      <c r="AV432" s="57" t="str">
        <f t="shared" si="192"/>
        <v/>
      </c>
      <c r="AW432" s="57" t="str">
        <f t="shared" si="195"/>
        <v/>
      </c>
      <c r="AX432" s="57" t="str">
        <f t="shared" si="215"/>
        <v/>
      </c>
      <c r="AY432" s="57" t="str">
        <f t="shared" si="197"/>
        <v/>
      </c>
      <c r="AZ432" s="57" t="str">
        <f t="shared" si="198"/>
        <v/>
      </c>
      <c r="BA432" s="56" t="str">
        <f t="shared" si="210"/>
        <v/>
      </c>
      <c r="BB432" s="84" t="str">
        <f t="shared" si="208"/>
        <v/>
      </c>
      <c r="BC432" s="84">
        <f>IF(AND($AG432&gt;=0,$AD432&gt;=0,$AF432&gt;=0),IF($AG432/($AD432-$AF432)&gt;0,$AG432/($AD432-$AF432),0),"")</f>
        <v>0.46950000000000003</v>
      </c>
      <c r="BD432" s="84" t="str">
        <f t="shared" si="209"/>
        <v/>
      </c>
      <c r="BE432" s="6">
        <f t="shared" si="196"/>
        <v>21.81818181818182</v>
      </c>
      <c r="BF432" s="6" t="str">
        <f t="shared" si="211"/>
        <v/>
      </c>
    </row>
    <row r="433" spans="1:58" ht="15.75">
      <c r="B433" s="94">
        <v>45693</v>
      </c>
      <c r="C433" s="1">
        <v>189</v>
      </c>
      <c r="D433" s="3">
        <v>428</v>
      </c>
      <c r="E433" s="205">
        <f t="shared" si="199"/>
        <v>312.68868799999996</v>
      </c>
      <c r="G433" s="15">
        <f>(N433*18-H433*18)/9</f>
        <v>16.71</v>
      </c>
      <c r="H433" s="15">
        <f>5*0.109</f>
        <v>0.54500000000000004</v>
      </c>
      <c r="I433" s="15">
        <f t="shared" ref="I433:I441" si="217">AD433</f>
        <v>20.85</v>
      </c>
      <c r="K433" s="10">
        <f t="shared" si="212"/>
        <v>18.712668342309989</v>
      </c>
      <c r="L433" s="9">
        <f t="shared" si="213"/>
        <v>7.4985296882493992</v>
      </c>
      <c r="M433" s="8">
        <f t="shared" si="214"/>
        <v>2.495511669658887</v>
      </c>
      <c r="N433" s="7">
        <f>5*1.78</f>
        <v>8.9</v>
      </c>
      <c r="O433" s="59">
        <v>100.46</v>
      </c>
      <c r="P433" s="59">
        <v>32.466000000000001</v>
      </c>
      <c r="Q433" s="6">
        <f>O433*1.067</f>
        <v>107.19081999999999</v>
      </c>
      <c r="R433" s="6">
        <f>P433*1.514</f>
        <v>49.153524000000004</v>
      </c>
      <c r="S433" s="23">
        <f>P433*1.514+O433*1.067</f>
        <v>156.34434399999998</v>
      </c>
      <c r="T433" s="6">
        <f>36.4</f>
        <v>36.4</v>
      </c>
      <c r="U433" s="6">
        <v>0</v>
      </c>
      <c r="V433" s="6">
        <v>0</v>
      </c>
      <c r="W433" s="23">
        <f>U433*1.067+V433*1.514</f>
        <v>0</v>
      </c>
      <c r="AB433" s="5">
        <v>80</v>
      </c>
      <c r="AC433" s="7">
        <f>T433</f>
        <v>36.4</v>
      </c>
      <c r="AD433" s="1">
        <f>5*4.17</f>
        <v>20.85</v>
      </c>
      <c r="AE433" s="1">
        <f>5*1.78</f>
        <v>8.9</v>
      </c>
      <c r="AF433" s="1">
        <v>0</v>
      </c>
      <c r="AG433" s="98"/>
      <c r="AH433" s="20">
        <v>0.47106481481481483</v>
      </c>
      <c r="AJ433" s="1">
        <v>73</v>
      </c>
      <c r="AK433" s="3">
        <f t="shared" si="204"/>
        <v>240</v>
      </c>
      <c r="AL433" s="4">
        <f>AE433</f>
        <v>8.9</v>
      </c>
      <c r="AM433" s="1">
        <f>5*0.852</f>
        <v>4.26</v>
      </c>
      <c r="AN433" s="80">
        <f t="shared" si="194"/>
        <v>40</v>
      </c>
      <c r="AP433" s="13">
        <f t="shared" ref="AP433:AP464" si="218">AVERAGE(AO431:AO437)</f>
        <v>3109.9999999999909</v>
      </c>
      <c r="AR433" s="17">
        <f t="shared" ref="AR433:AR496" si="219">(E433-W433)/E433</f>
        <v>1</v>
      </c>
      <c r="AS433" s="16">
        <f t="shared" si="216"/>
        <v>1</v>
      </c>
      <c r="AT433" s="16">
        <f t="shared" ref="AT433:AT441" si="220">AG433/(AD433-AF433)</f>
        <v>0</v>
      </c>
      <c r="AU433" s="16">
        <f t="shared" ref="AU433:AU468" si="221">(G433-AM433)/G433</f>
        <v>0.74506283662477557</v>
      </c>
      <c r="AV433" s="57">
        <f t="shared" si="192"/>
        <v>312.68868799999996</v>
      </c>
      <c r="AW433" s="57">
        <f t="shared" si="195"/>
        <v>20.85</v>
      </c>
      <c r="AX433" s="57">
        <f t="shared" si="215"/>
        <v>12.450000000000001</v>
      </c>
      <c r="AY433" s="57">
        <f t="shared" si="197"/>
        <v>27.5</v>
      </c>
      <c r="AZ433" s="57">
        <f t="shared" si="198"/>
        <v>4.6400000000000006</v>
      </c>
      <c r="BA433" s="60" t="str">
        <f t="shared" si="210"/>
        <v/>
      </c>
      <c r="BB433" s="60">
        <f t="shared" si="208"/>
        <v>1</v>
      </c>
      <c r="BC433" s="60"/>
      <c r="BD433" s="60">
        <f t="shared" si="209"/>
        <v>0.74506283662477557</v>
      </c>
      <c r="BE433" s="6">
        <f t="shared" si="196"/>
        <v>17.136986301369866</v>
      </c>
      <c r="BF433" s="6">
        <f t="shared" si="211"/>
        <v>5.5102849843633166</v>
      </c>
    </row>
    <row r="434" spans="1:58" ht="15.75">
      <c r="B434" s="94">
        <v>45694</v>
      </c>
      <c r="C434" s="1">
        <v>190</v>
      </c>
      <c r="D434" s="3">
        <v>429</v>
      </c>
      <c r="E434" s="205">
        <f t="shared" si="199"/>
        <v>265.721836</v>
      </c>
      <c r="G434" s="15">
        <f>(N434*18-H434*18)/9</f>
        <v>14.299999999999999</v>
      </c>
      <c r="H434" s="15">
        <f>5*0.87</f>
        <v>4.3499999999999996</v>
      </c>
      <c r="I434" s="15">
        <f t="shared" si="217"/>
        <v>20.299999999999997</v>
      </c>
      <c r="K434" s="10">
        <f t="shared" si="212"/>
        <v>18.581946573426574</v>
      </c>
      <c r="L434" s="9">
        <f t="shared" si="213"/>
        <v>6.5448728078817746</v>
      </c>
      <c r="M434" s="8">
        <f t="shared" si="214"/>
        <v>2.8391608391608392</v>
      </c>
      <c r="N434" s="7">
        <f>5*2.3</f>
        <v>11.5</v>
      </c>
      <c r="O434" s="59">
        <v>87.117999999999995</v>
      </c>
      <c r="P434" s="59">
        <v>26.358000000000001</v>
      </c>
      <c r="Q434" s="6">
        <f>O434*1.067</f>
        <v>92.954905999999994</v>
      </c>
      <c r="R434" s="6">
        <f>P434*1.514</f>
        <v>39.906012000000004</v>
      </c>
      <c r="S434" s="23">
        <f>P434*1.514+O434*1.067</f>
        <v>132.860918</v>
      </c>
      <c r="T434" s="6">
        <f>36.7</f>
        <v>36.700000000000003</v>
      </c>
      <c r="U434" s="6">
        <v>0</v>
      </c>
      <c r="V434" s="6">
        <v>0</v>
      </c>
      <c r="W434" s="23">
        <f>U434*1.067+V434*1.514</f>
        <v>0</v>
      </c>
      <c r="AB434" s="5">
        <v>80</v>
      </c>
      <c r="AC434" s="7">
        <f>T434</f>
        <v>36.700000000000003</v>
      </c>
      <c r="AD434" s="1">
        <f>5*4.06</f>
        <v>20.299999999999997</v>
      </c>
      <c r="AE434" s="1">
        <f>5*2.53</f>
        <v>12.649999999999999</v>
      </c>
      <c r="AF434" s="1">
        <v>0</v>
      </c>
      <c r="AG434" s="98">
        <v>10.47</v>
      </c>
      <c r="AH434" s="20">
        <v>0.45613425925925927</v>
      </c>
      <c r="AJ434" s="1">
        <v>74</v>
      </c>
      <c r="AK434" s="3">
        <f t="shared" si="204"/>
        <v>240</v>
      </c>
      <c r="AL434" s="4">
        <f>AE434</f>
        <v>12.649999999999999</v>
      </c>
      <c r="AM434" s="1">
        <f>5*1.53</f>
        <v>7.65</v>
      </c>
      <c r="AN434" s="80">
        <f t="shared" si="194"/>
        <v>40</v>
      </c>
      <c r="AO434" s="2">
        <v>3309.9999999999909</v>
      </c>
      <c r="AP434" s="13">
        <f t="shared" si="218"/>
        <v>3309.9999999999909</v>
      </c>
      <c r="AQ434" s="2">
        <v>28.390355475078493</v>
      </c>
      <c r="AR434" s="17">
        <f t="shared" si="219"/>
        <v>1</v>
      </c>
      <c r="AS434" s="16">
        <f t="shared" si="216"/>
        <v>1</v>
      </c>
      <c r="AT434" s="16">
        <f t="shared" si="220"/>
        <v>0.51576354679802972</v>
      </c>
      <c r="AU434" s="16">
        <f t="shared" si="221"/>
        <v>0.465034965034965</v>
      </c>
      <c r="AV434" s="57">
        <f t="shared" si="192"/>
        <v>265.721836</v>
      </c>
      <c r="AW434" s="57">
        <f t="shared" si="195"/>
        <v>20.299999999999997</v>
      </c>
      <c r="AX434" s="57">
        <f t="shared" si="215"/>
        <v>6.6499999999999986</v>
      </c>
      <c r="AY434" s="57">
        <f t="shared" si="197"/>
        <v>24.050000000000004</v>
      </c>
      <c r="AZ434" s="57">
        <f t="shared" si="198"/>
        <v>4.9999999999999982</v>
      </c>
      <c r="BA434" s="60" t="str">
        <f t="shared" si="210"/>
        <v/>
      </c>
      <c r="BB434" s="60">
        <f t="shared" ref="BB434:BB455" si="222">IF(AND($I434&gt;0,$AF434&gt;=0),IF(($I434-$AF434)/$I434&gt;0,($I434-$AF434)/$I434,0),"")</f>
        <v>1</v>
      </c>
      <c r="BC434" s="60">
        <f t="shared" ref="BC434:BC441" si="223">IF(AND($AG434&gt;=0,$AD434&gt;=0,$AF434&gt;=0),IF($AG434/($AD434-$AF434)&gt;0,$AG434/($AD434-$AF434),0),"")</f>
        <v>0.51576354679802972</v>
      </c>
      <c r="BD434" s="60">
        <f t="shared" si="209"/>
        <v>0.465034965034965</v>
      </c>
      <c r="BE434" s="6">
        <f t="shared" si="196"/>
        <v>16.459459459459456</v>
      </c>
      <c r="BF434" s="6">
        <f t="shared" si="211"/>
        <v>4.9726463623744719</v>
      </c>
    </row>
    <row r="435" spans="1:58" ht="15.75">
      <c r="A435" s="12" t="s">
        <v>76</v>
      </c>
      <c r="B435" s="94">
        <v>45695</v>
      </c>
      <c r="C435" s="1">
        <v>191</v>
      </c>
      <c r="D435" s="3">
        <v>430</v>
      </c>
      <c r="E435" s="205">
        <f t="shared" si="199"/>
        <v>284.48634400000003</v>
      </c>
      <c r="G435" s="15">
        <f>(N435*18-H435*18)/9</f>
        <v>13.800000000000002</v>
      </c>
      <c r="H435" s="15">
        <f>5*0.7</f>
        <v>3.5</v>
      </c>
      <c r="I435" s="15">
        <f t="shared" si="217"/>
        <v>27.799999999999997</v>
      </c>
      <c r="K435" s="10">
        <f t="shared" si="212"/>
        <v>20.614952463768116</v>
      </c>
      <c r="L435" s="9">
        <f t="shared" si="213"/>
        <v>5.1166608633093533</v>
      </c>
      <c r="M435" s="8">
        <f t="shared" si="214"/>
        <v>4.0289855072463761</v>
      </c>
      <c r="N435" s="7">
        <f>5*2.08</f>
        <v>10.4</v>
      </c>
      <c r="O435" s="59">
        <v>90.566000000000003</v>
      </c>
      <c r="P435" s="59">
        <v>30.125</v>
      </c>
      <c r="Q435" s="6">
        <f>O435*1.067</f>
        <v>96.633921999999998</v>
      </c>
      <c r="R435" s="6">
        <f>P435*1.514</f>
        <v>45.609250000000003</v>
      </c>
      <c r="S435" s="23">
        <f>P435*1.514+O435*1.067</f>
        <v>142.24317200000002</v>
      </c>
      <c r="T435" s="6">
        <f>38.2</f>
        <v>38.200000000000003</v>
      </c>
      <c r="U435" s="59">
        <v>0.34100000000000003</v>
      </c>
      <c r="V435" s="59">
        <v>8.8999999999999996E-2</v>
      </c>
      <c r="W435" s="23">
        <f>U435*1.067+V435*1.514</f>
        <v>0.49859300000000006</v>
      </c>
      <c r="AB435" s="5">
        <v>80</v>
      </c>
      <c r="AC435" s="7">
        <f>T435</f>
        <v>38.200000000000003</v>
      </c>
      <c r="AD435" s="1">
        <f>5*5.56</f>
        <v>27.799999999999997</v>
      </c>
      <c r="AE435" s="1">
        <f>5*1.44</f>
        <v>7.1999999999999993</v>
      </c>
      <c r="AF435" s="1">
        <v>0</v>
      </c>
      <c r="AG435" s="98">
        <v>16.100000000000001</v>
      </c>
      <c r="AH435" s="20">
        <v>0.49467592592592591</v>
      </c>
      <c r="AJ435" s="93">
        <v>74</v>
      </c>
      <c r="AK435" s="3">
        <f t="shared" si="204"/>
        <v>240</v>
      </c>
      <c r="AL435" s="4">
        <f>AE435</f>
        <v>7.1999999999999993</v>
      </c>
      <c r="AM435" s="1">
        <f>5*0.826</f>
        <v>4.13</v>
      </c>
      <c r="AN435" s="80">
        <f t="shared" si="194"/>
        <v>40</v>
      </c>
      <c r="AP435" s="13">
        <f t="shared" si="218"/>
        <v>3309.9999999999909</v>
      </c>
      <c r="AR435" s="17">
        <f t="shared" si="219"/>
        <v>0.99824739214898828</v>
      </c>
      <c r="AS435" s="16">
        <f t="shared" si="216"/>
        <v>1</v>
      </c>
      <c r="AT435" s="16">
        <f t="shared" si="220"/>
        <v>0.57913669064748208</v>
      </c>
      <c r="AU435" s="16">
        <f t="shared" si="221"/>
        <v>0.70072463768115945</v>
      </c>
      <c r="AV435" s="57">
        <f t="shared" si="192"/>
        <v>283.987751</v>
      </c>
      <c r="AW435" s="57">
        <f t="shared" si="195"/>
        <v>27.799999999999997</v>
      </c>
      <c r="AX435" s="57">
        <f t="shared" si="215"/>
        <v>9.6700000000000017</v>
      </c>
      <c r="AY435" s="57">
        <f t="shared" si="197"/>
        <v>31.000000000000004</v>
      </c>
      <c r="AZ435" s="57">
        <f t="shared" si="198"/>
        <v>3.0699999999999994</v>
      </c>
      <c r="BA435" s="60">
        <f t="shared" si="210"/>
        <v>0.99824739214898828</v>
      </c>
      <c r="BB435" s="60">
        <f t="shared" si="222"/>
        <v>1</v>
      </c>
      <c r="BC435" s="60">
        <f t="shared" si="223"/>
        <v>0.57913669064748208</v>
      </c>
      <c r="BD435" s="60">
        <f t="shared" si="209"/>
        <v>0.70072463768115945</v>
      </c>
      <c r="BE435" s="6">
        <f t="shared" si="196"/>
        <v>22.540540540540537</v>
      </c>
      <c r="BF435" s="6">
        <f t="shared" si="211"/>
        <v>6.8098309790152873</v>
      </c>
    </row>
    <row r="436" spans="1:58" ht="15.75">
      <c r="A436" s="12" t="s">
        <v>75</v>
      </c>
      <c r="B436" s="94">
        <v>45696</v>
      </c>
      <c r="C436" s="1">
        <v>192</v>
      </c>
      <c r="D436" s="3">
        <v>431</v>
      </c>
      <c r="E436" s="205" t="str">
        <f t="shared" si="199"/>
        <v/>
      </c>
      <c r="H436" s="15"/>
      <c r="I436" s="15">
        <f t="shared" si="217"/>
        <v>26</v>
      </c>
      <c r="K436" s="10" t="str">
        <f t="shared" si="212"/>
        <v/>
      </c>
      <c r="L436" s="9" t="str">
        <f t="shared" si="213"/>
        <v/>
      </c>
      <c r="M436" s="8" t="str">
        <f t="shared" si="214"/>
        <v/>
      </c>
      <c r="AB436" s="5">
        <v>80</v>
      </c>
      <c r="AD436" s="95">
        <v>26</v>
      </c>
      <c r="AG436" s="98">
        <v>15.03</v>
      </c>
      <c r="AH436" s="20">
        <v>0.49953703703703706</v>
      </c>
      <c r="AJ436" s="93">
        <v>74</v>
      </c>
      <c r="AK436" s="3">
        <f t="shared" si="204"/>
        <v>240</v>
      </c>
      <c r="AN436" s="80">
        <f t="shared" si="194"/>
        <v>40</v>
      </c>
      <c r="AP436" s="13">
        <f t="shared" si="218"/>
        <v>3309.9999999999909</v>
      </c>
      <c r="AR436" s="17" t="e">
        <f t="shared" si="219"/>
        <v>#VALUE!</v>
      </c>
      <c r="AS436" s="16">
        <f t="shared" si="216"/>
        <v>1</v>
      </c>
      <c r="AT436" s="16">
        <f t="shared" si="220"/>
        <v>0.57807692307692304</v>
      </c>
      <c r="AU436" s="16" t="e">
        <f t="shared" si="221"/>
        <v>#DIV/0!</v>
      </c>
      <c r="AV436" s="57" t="str">
        <f t="shared" si="192"/>
        <v/>
      </c>
      <c r="AW436" s="57" t="str">
        <f t="shared" si="195"/>
        <v/>
      </c>
      <c r="AX436" s="57" t="str">
        <f t="shared" si="215"/>
        <v/>
      </c>
      <c r="AY436" s="57" t="str">
        <f t="shared" si="197"/>
        <v/>
      </c>
      <c r="AZ436" s="57" t="str">
        <f t="shared" si="198"/>
        <v/>
      </c>
      <c r="BA436" s="60" t="str">
        <f t="shared" ref="BA436:BA467" si="224">IF(AND($E436&gt;0,$W436&gt;0),IF(($E436-$W436)/$E436&gt;0,($E436-$W436)/$E436,0),"")</f>
        <v/>
      </c>
      <c r="BB436" s="60">
        <f t="shared" si="222"/>
        <v>1</v>
      </c>
      <c r="BC436" s="60">
        <f t="shared" si="223"/>
        <v>0.57807692307692304</v>
      </c>
      <c r="BD436" s="60" t="str">
        <f t="shared" si="209"/>
        <v/>
      </c>
      <c r="BE436" s="6">
        <f t="shared" si="196"/>
        <v>21.081081081081081</v>
      </c>
      <c r="BF436" s="6" t="str">
        <f t="shared" si="211"/>
        <v/>
      </c>
    </row>
    <row r="437" spans="1:58" ht="15.75">
      <c r="A437" s="12" t="s">
        <v>75</v>
      </c>
      <c r="B437" s="94">
        <v>45697</v>
      </c>
      <c r="C437" s="1">
        <v>193</v>
      </c>
      <c r="D437" s="3">
        <v>432</v>
      </c>
      <c r="E437" s="205" t="str">
        <f t="shared" si="199"/>
        <v/>
      </c>
      <c r="G437" s="15">
        <f>(N437*18-H437*18)/9</f>
        <v>14</v>
      </c>
      <c r="H437" s="15">
        <v>36.5</v>
      </c>
      <c r="I437" s="15">
        <f t="shared" si="217"/>
        <v>25.049999999999997</v>
      </c>
      <c r="K437" s="10" t="str">
        <f t="shared" si="212"/>
        <v/>
      </c>
      <c r="L437" s="9" t="str">
        <f t="shared" si="213"/>
        <v/>
      </c>
      <c r="M437" s="8">
        <f t="shared" si="214"/>
        <v>3.5785714285714283</v>
      </c>
      <c r="N437" s="7">
        <v>43.5</v>
      </c>
      <c r="T437" s="6">
        <v>77.900000000000006</v>
      </c>
      <c r="AB437" s="5">
        <v>80</v>
      </c>
      <c r="AC437" s="7">
        <f>T437</f>
        <v>77.900000000000006</v>
      </c>
      <c r="AD437" s="1">
        <f>5*5.01</f>
        <v>25.049999999999997</v>
      </c>
      <c r="AE437" s="1">
        <f>34.1</f>
        <v>34.1</v>
      </c>
      <c r="AF437" s="1">
        <v>0</v>
      </c>
      <c r="AG437" s="98">
        <v>14.4</v>
      </c>
      <c r="AH437" s="20">
        <v>0.49872685185185184</v>
      </c>
      <c r="AJ437" s="93">
        <v>74</v>
      </c>
      <c r="AK437" s="3">
        <f t="shared" si="204"/>
        <v>240</v>
      </c>
      <c r="AL437" s="4">
        <f>AE437</f>
        <v>34.1</v>
      </c>
      <c r="AM437" s="1">
        <f>32.1</f>
        <v>32.1</v>
      </c>
      <c r="AN437" s="80">
        <f t="shared" si="194"/>
        <v>40</v>
      </c>
      <c r="AP437" s="13">
        <f t="shared" si="218"/>
        <v>2880.0000000000182</v>
      </c>
      <c r="AR437" s="17" t="e">
        <f t="shared" si="219"/>
        <v>#VALUE!</v>
      </c>
      <c r="AS437" s="16">
        <f t="shared" si="216"/>
        <v>1</v>
      </c>
      <c r="AT437" s="16">
        <f t="shared" si="220"/>
        <v>0.5748502994011977</v>
      </c>
      <c r="AU437" s="16">
        <f t="shared" si="221"/>
        <v>-1.2928571428571429</v>
      </c>
      <c r="AV437" s="57" t="str">
        <f t="shared" si="192"/>
        <v/>
      </c>
      <c r="AW437" s="57">
        <f t="shared" si="195"/>
        <v>25.049999999999997</v>
      </c>
      <c r="AX437" s="57">
        <f t="shared" si="215"/>
        <v>-18.100000000000001</v>
      </c>
      <c r="AY437" s="57">
        <f t="shared" si="197"/>
        <v>43.800000000000004</v>
      </c>
      <c r="AZ437" s="57">
        <f t="shared" si="198"/>
        <v>2</v>
      </c>
      <c r="BA437" s="60" t="str">
        <f t="shared" si="224"/>
        <v/>
      </c>
      <c r="BB437" s="60">
        <f t="shared" si="222"/>
        <v>1</v>
      </c>
      <c r="BC437" s="60">
        <f t="shared" si="223"/>
        <v>0.5748502994011977</v>
      </c>
      <c r="BD437" s="60"/>
      <c r="BE437" s="6">
        <f t="shared" si="196"/>
        <v>20.310810810810807</v>
      </c>
      <c r="BF437" s="6">
        <f t="shared" si="211"/>
        <v>7.0523648648648196</v>
      </c>
    </row>
    <row r="438" spans="1:58" ht="15.75">
      <c r="A438" s="12" t="s">
        <v>74</v>
      </c>
      <c r="B438" s="94">
        <v>45698</v>
      </c>
      <c r="C438" s="1">
        <v>194</v>
      </c>
      <c r="D438" s="3">
        <v>433</v>
      </c>
      <c r="E438" s="205" t="str">
        <f t="shared" si="199"/>
        <v/>
      </c>
      <c r="G438" s="15">
        <f>(N438*18-H438*18)/9</f>
        <v>15.350000000000001</v>
      </c>
      <c r="H438" s="15">
        <f>5*0.425</f>
        <v>2.125</v>
      </c>
      <c r="I438" s="15">
        <f t="shared" si="217"/>
        <v>34.6</v>
      </c>
      <c r="K438" s="10" t="str">
        <f t="shared" si="212"/>
        <v/>
      </c>
      <c r="L438" s="9" t="str">
        <f t="shared" si="213"/>
        <v/>
      </c>
      <c r="M438" s="8">
        <f t="shared" si="214"/>
        <v>4.5081433224755694</v>
      </c>
      <c r="N438" s="7">
        <f>5*1.96</f>
        <v>9.8000000000000007</v>
      </c>
      <c r="T438" s="6">
        <v>36.1</v>
      </c>
      <c r="AB438" s="5">
        <v>80</v>
      </c>
      <c r="AC438" s="7">
        <f>T438</f>
        <v>36.1</v>
      </c>
      <c r="AD438" s="1">
        <f>5*6.92</f>
        <v>34.6</v>
      </c>
      <c r="AE438" s="1">
        <f>2*4.27</f>
        <v>8.5399999999999991</v>
      </c>
      <c r="AF438" s="1">
        <v>0</v>
      </c>
      <c r="AG438" s="98">
        <v>17.88</v>
      </c>
      <c r="AH438" s="20">
        <v>0.47916666666666669</v>
      </c>
      <c r="AJ438" s="93">
        <v>74</v>
      </c>
      <c r="AK438" s="3">
        <f t="shared" si="204"/>
        <v>240</v>
      </c>
      <c r="AL438" s="4">
        <f>AE438</f>
        <v>8.5399999999999991</v>
      </c>
      <c r="AM438" s="1">
        <f>2*3.06</f>
        <v>6.12</v>
      </c>
      <c r="AN438" s="80">
        <f t="shared" si="194"/>
        <v>40</v>
      </c>
      <c r="AP438" s="13">
        <f t="shared" si="218"/>
        <v>2880.0000000000182</v>
      </c>
      <c r="AR438" s="17" t="e">
        <f t="shared" si="219"/>
        <v>#VALUE!</v>
      </c>
      <c r="AS438" s="16">
        <f t="shared" si="216"/>
        <v>1</v>
      </c>
      <c r="AT438" s="16">
        <f t="shared" si="220"/>
        <v>0.51676300578034673</v>
      </c>
      <c r="AU438" s="16">
        <f t="shared" si="221"/>
        <v>0.60130293159609116</v>
      </c>
      <c r="AV438" s="57" t="str">
        <f t="shared" si="192"/>
        <v/>
      </c>
      <c r="AW438" s="57">
        <f t="shared" si="195"/>
        <v>34.6</v>
      </c>
      <c r="AX438" s="57">
        <f t="shared" si="215"/>
        <v>9.23</v>
      </c>
      <c r="AY438" s="57">
        <f t="shared" si="197"/>
        <v>27.560000000000002</v>
      </c>
      <c r="AZ438" s="57">
        <f t="shared" si="198"/>
        <v>2.419999999999999</v>
      </c>
      <c r="BA438" s="60" t="str">
        <f t="shared" si="224"/>
        <v/>
      </c>
      <c r="BB438" s="60">
        <f t="shared" si="222"/>
        <v>1</v>
      </c>
      <c r="BC438" s="60">
        <f t="shared" si="223"/>
        <v>0.51676300578034673</v>
      </c>
      <c r="BD438" s="60">
        <f>IF(AND($G438&gt;0,$AM438&gt;0),IF(($G438-$AM438)/$G438&gt;0,($G438-$AM438)/$G438,0),"")</f>
        <v>0.60130293159609116</v>
      </c>
      <c r="BE438" s="6">
        <f t="shared" si="196"/>
        <v>28.054054054054053</v>
      </c>
      <c r="BF438" s="6">
        <f t="shared" si="211"/>
        <v>9.7409909909909285</v>
      </c>
    </row>
    <row r="439" spans="1:58" ht="15.75">
      <c r="B439" s="94">
        <v>45699</v>
      </c>
      <c r="C439" s="1">
        <v>195</v>
      </c>
      <c r="D439" s="3">
        <v>434</v>
      </c>
      <c r="E439" s="205">
        <f t="shared" si="199"/>
        <v>258.00954999999999</v>
      </c>
      <c r="G439" s="15">
        <f>(N439*18-H439*18)/9</f>
        <v>10.439999999999998</v>
      </c>
      <c r="H439" s="15">
        <f>2*4.91</f>
        <v>9.82</v>
      </c>
      <c r="I439" s="15">
        <f t="shared" si="217"/>
        <v>22.95</v>
      </c>
      <c r="K439" s="10">
        <f t="shared" si="212"/>
        <v>24.713558429118777</v>
      </c>
      <c r="L439" s="9">
        <f t="shared" si="213"/>
        <v>5.6211230936819172</v>
      </c>
      <c r="M439" s="8">
        <f t="shared" si="214"/>
        <v>4.3965517241379315</v>
      </c>
      <c r="N439" s="7">
        <f>2*7.52</f>
        <v>15.04</v>
      </c>
      <c r="O439" s="59">
        <v>82.515000000000001</v>
      </c>
      <c r="P439" s="59">
        <v>27.055</v>
      </c>
      <c r="Q439" s="6">
        <f>O439*1.067</f>
        <v>88.043504999999996</v>
      </c>
      <c r="R439" s="6">
        <f>P439*1.514</f>
        <v>40.961269999999999</v>
      </c>
      <c r="S439" s="23">
        <f>P439*1.514+O439*1.067</f>
        <v>129.004775</v>
      </c>
      <c r="T439" s="6">
        <f>67</f>
        <v>67</v>
      </c>
      <c r="U439" s="6">
        <f>0*1.067</f>
        <v>0</v>
      </c>
      <c r="V439" s="6">
        <v>0</v>
      </c>
      <c r="W439" s="23">
        <f>U439*1.067+V439*1.514</f>
        <v>0</v>
      </c>
      <c r="AB439" s="5">
        <v>80</v>
      </c>
      <c r="AC439" s="7">
        <f>T439</f>
        <v>67</v>
      </c>
      <c r="AD439" s="1">
        <f>5*4.59</f>
        <v>22.95</v>
      </c>
      <c r="AE439" s="1">
        <f>5*5.23</f>
        <v>26.150000000000002</v>
      </c>
      <c r="AF439" s="1">
        <v>0.20799999999999999</v>
      </c>
      <c r="AG439" s="98">
        <v>11.34</v>
      </c>
      <c r="AH439" s="20">
        <v>0.47453703703703703</v>
      </c>
      <c r="AJ439" s="93">
        <v>74</v>
      </c>
      <c r="AK439" s="3">
        <f t="shared" si="204"/>
        <v>240</v>
      </c>
      <c r="AL439" s="4">
        <f>AE439</f>
        <v>26.150000000000002</v>
      </c>
      <c r="AM439" s="1">
        <f>2*6.78</f>
        <v>13.56</v>
      </c>
      <c r="AN439" s="80">
        <f t="shared" si="194"/>
        <v>40</v>
      </c>
      <c r="AP439" s="13">
        <f t="shared" si="218"/>
        <v>2880.0000000000182</v>
      </c>
      <c r="AR439" s="17">
        <f t="shared" si="219"/>
        <v>1</v>
      </c>
      <c r="AS439" s="16">
        <f t="shared" si="216"/>
        <v>0.9909368191721134</v>
      </c>
      <c r="AT439" s="16">
        <f t="shared" si="220"/>
        <v>0.4986368832996218</v>
      </c>
      <c r="AU439" s="16">
        <f t="shared" si="221"/>
        <v>-0.29885057471264403</v>
      </c>
      <c r="AV439" s="57">
        <f t="shared" ref="AV439:AV502" si="225">IF(AND(ISNUMBER(E439),ISNUMBER(W439)),E439-W439,"")</f>
        <v>258.00954999999999</v>
      </c>
      <c r="AW439" s="57">
        <f t="shared" si="195"/>
        <v>22.742000000000001</v>
      </c>
      <c r="AX439" s="57">
        <f t="shared" si="215"/>
        <v>-3.1200000000000028</v>
      </c>
      <c r="AY439" s="57">
        <f t="shared" si="197"/>
        <v>40.849999999999994</v>
      </c>
      <c r="AZ439" s="57">
        <f t="shared" si="198"/>
        <v>12.590000000000002</v>
      </c>
      <c r="BA439" s="60" t="str">
        <f t="shared" si="224"/>
        <v/>
      </c>
      <c r="BB439" s="60">
        <f t="shared" si="222"/>
        <v>0.9909368191721134</v>
      </c>
      <c r="BC439" s="60">
        <f t="shared" si="223"/>
        <v>0.4986368832996218</v>
      </c>
      <c r="BD439" s="60"/>
      <c r="BE439" s="6">
        <f t="shared" si="196"/>
        <v>18.43945945945946</v>
      </c>
      <c r="BF439" s="6" t="e" cm="1">
        <f t="array" aca="1" ref="BF439" ca="1">IF(OR(AJ439=0,AP439=0,NOT(ISNUMBER(AD439)),NOT(DD784ISNUMBER(AF439)),NOT(DC3ISNUMBER(AJ439)),NOT(ISNUMBER(AP439))),"",
IFERROR(IF((AD439-AF439)/(AJ439/60)/(AP439/1000)&lt;=0,"",(AD439-AF439)/(AJ439/60)/(AP439/1000)),""))</f>
        <v>#NAME?</v>
      </c>
    </row>
    <row r="440" spans="1:58" ht="15.75">
      <c r="B440" s="94">
        <v>45700</v>
      </c>
      <c r="C440" s="1">
        <v>196</v>
      </c>
      <c r="D440" s="3">
        <v>435</v>
      </c>
      <c r="E440" s="205" t="str">
        <f t="shared" si="199"/>
        <v/>
      </c>
      <c r="G440" s="71">
        <f>14</f>
        <v>14</v>
      </c>
      <c r="H440" s="15"/>
      <c r="I440" s="15">
        <f t="shared" si="217"/>
        <v>21.8</v>
      </c>
      <c r="K440" s="10" t="str">
        <f t="shared" si="212"/>
        <v/>
      </c>
      <c r="L440" s="9" t="str">
        <f t="shared" si="213"/>
        <v/>
      </c>
      <c r="M440" s="8">
        <f t="shared" si="214"/>
        <v>3.1142857142857143</v>
      </c>
      <c r="T440" s="6">
        <v>38.9</v>
      </c>
      <c r="AB440" s="5">
        <v>80</v>
      </c>
      <c r="AC440" s="4">
        <v>38.9</v>
      </c>
      <c r="AD440" s="1">
        <f>5*4.36</f>
        <v>21.8</v>
      </c>
      <c r="AE440" s="1">
        <f>5*2.37</f>
        <v>11.850000000000001</v>
      </c>
      <c r="AF440" s="1">
        <v>0</v>
      </c>
      <c r="AG440" s="98">
        <v>11.66</v>
      </c>
      <c r="AH440" s="20">
        <v>0.47488425925925926</v>
      </c>
      <c r="AJ440" s="93">
        <v>74</v>
      </c>
      <c r="AK440" s="3">
        <f t="shared" si="204"/>
        <v>240</v>
      </c>
      <c r="AL440" s="4">
        <f>AE440</f>
        <v>11.850000000000001</v>
      </c>
      <c r="AM440" s="1">
        <f>5*1.65</f>
        <v>8.25</v>
      </c>
      <c r="AN440" s="80">
        <f t="shared" si="194"/>
        <v>40</v>
      </c>
      <c r="AP440" s="13">
        <f t="shared" si="218"/>
        <v>2865.0000000000091</v>
      </c>
      <c r="AR440" s="17" t="e">
        <f t="shared" si="219"/>
        <v>#VALUE!</v>
      </c>
      <c r="AS440" s="16">
        <f t="shared" si="216"/>
        <v>1</v>
      </c>
      <c r="AT440" s="16">
        <f t="shared" si="220"/>
        <v>0.53486238532110086</v>
      </c>
      <c r="AU440" s="16">
        <f t="shared" si="221"/>
        <v>0.4107142857142857</v>
      </c>
      <c r="AV440" s="57" t="str">
        <f t="shared" si="225"/>
        <v/>
      </c>
      <c r="AW440" s="57">
        <f t="shared" si="195"/>
        <v>21.8</v>
      </c>
      <c r="AX440" s="57">
        <f t="shared" si="215"/>
        <v>5.75</v>
      </c>
      <c r="AY440" s="57">
        <f t="shared" si="197"/>
        <v>27.049999999999997</v>
      </c>
      <c r="AZ440" s="57">
        <f t="shared" si="198"/>
        <v>3.6000000000000014</v>
      </c>
      <c r="BA440" s="60" t="str">
        <f t="shared" si="224"/>
        <v/>
      </c>
      <c r="BB440" s="60">
        <f t="shared" si="222"/>
        <v>1</v>
      </c>
      <c r="BC440" s="60">
        <f t="shared" si="223"/>
        <v>0.53486238532110086</v>
      </c>
      <c r="BD440" s="60">
        <f t="shared" ref="BD440:BD451" si="226">IF(AND($G440&gt;0,$AM440&gt;0),IF(($G440-$AM440)/$G440&gt;0,($G440-$AM440)/$G440,0),"")</f>
        <v>0.4107142857142857</v>
      </c>
      <c r="BE440" s="6">
        <f t="shared" si="196"/>
        <v>17.675675675675674</v>
      </c>
      <c r="BF440" s="6">
        <f t="shared" ref="BF440:BF445" si="227">IF(OR(AJ440=0,AP440=0,NOT(ISNUMBER(AD440)),NOT(ISNUMBER(AF440)),NOT(ISNUMBER(AJ440)),NOT(ISNUMBER(AP440))),"",
IFERROR(IF((AD440-AF440)/(AJ440/60)/(AP440/1000)&lt;=0,"",(AD440-AF440)/(AJ440/60)/(AP440/1000)),""))</f>
        <v>6.16952030564594</v>
      </c>
    </row>
    <row r="441" spans="1:58" ht="15.75">
      <c r="A441" s="12" t="s">
        <v>73</v>
      </c>
      <c r="B441" s="94">
        <v>45701</v>
      </c>
      <c r="C441" s="1">
        <v>197</v>
      </c>
      <c r="D441" s="3">
        <v>436</v>
      </c>
      <c r="E441" s="205">
        <f t="shared" si="199"/>
        <v>245.86574400000001</v>
      </c>
      <c r="G441" s="15">
        <f>(N441*18-H441*18)/9</f>
        <v>13.999999999999996</v>
      </c>
      <c r="H441" s="15">
        <f>2.55</f>
        <v>2.5499999999999998</v>
      </c>
      <c r="I441" s="15">
        <f t="shared" si="217"/>
        <v>24</v>
      </c>
      <c r="K441" s="10">
        <f t="shared" si="212"/>
        <v>17.561838857142863</v>
      </c>
      <c r="L441" s="9">
        <f t="shared" si="213"/>
        <v>5.1222029999999998</v>
      </c>
      <c r="M441" s="8">
        <f t="shared" si="214"/>
        <v>3.4285714285714293</v>
      </c>
      <c r="N441" s="7">
        <f>5*1.91</f>
        <v>9.5499999999999989</v>
      </c>
      <c r="O441" s="59">
        <v>77.846000000000004</v>
      </c>
      <c r="P441" s="59">
        <v>26.335000000000001</v>
      </c>
      <c r="Q441" s="6">
        <f>O441*1.067</f>
        <v>83.061682000000005</v>
      </c>
      <c r="R441" s="6">
        <f>P441*1.514</f>
        <v>39.871189999999999</v>
      </c>
      <c r="S441" s="23">
        <f>P441*1.514+O441*1.067</f>
        <v>122.932872</v>
      </c>
      <c r="T441" s="6">
        <f>50*0.751</f>
        <v>37.549999999999997</v>
      </c>
      <c r="U441" s="59">
        <v>0.91300000000000003</v>
      </c>
      <c r="V441" s="59">
        <v>0.84299999999999997</v>
      </c>
      <c r="W441" s="23">
        <f>U441*1.067+V441*1.514</f>
        <v>2.2504729999999999</v>
      </c>
      <c r="AB441" s="5">
        <v>80</v>
      </c>
      <c r="AC441" s="7">
        <f>T441</f>
        <v>37.549999999999997</v>
      </c>
      <c r="AD441" s="1">
        <f>24</f>
        <v>24</v>
      </c>
      <c r="AE441" s="1">
        <f>5*2.06</f>
        <v>10.3</v>
      </c>
      <c r="AF441" s="1">
        <v>0</v>
      </c>
      <c r="AG441" s="98">
        <v>11.38</v>
      </c>
      <c r="AH441" s="20">
        <v>0.484375</v>
      </c>
      <c r="AJ441" s="1">
        <f t="shared" ref="AJ441:AJ456" si="228">(134+104)/2</f>
        <v>119</v>
      </c>
      <c r="AK441" s="3">
        <f t="shared" si="204"/>
        <v>240</v>
      </c>
      <c r="AL441" s="4">
        <f>AE441</f>
        <v>10.3</v>
      </c>
      <c r="AM441" s="1">
        <f>5*1.42</f>
        <v>7.1</v>
      </c>
      <c r="AN441" s="80">
        <f t="shared" si="194"/>
        <v>40</v>
      </c>
      <c r="AO441" s="2">
        <v>2880.0000000000182</v>
      </c>
      <c r="AP441" s="13">
        <f t="shared" si="218"/>
        <v>2786.6666666666788</v>
      </c>
      <c r="AQ441" s="2">
        <v>21.286031042128332</v>
      </c>
      <c r="AR441" s="17">
        <f t="shared" si="219"/>
        <v>0.99084674032507758</v>
      </c>
      <c r="AS441" s="16">
        <f t="shared" si="216"/>
        <v>1</v>
      </c>
      <c r="AT441" s="16">
        <f t="shared" si="220"/>
        <v>0.47416666666666668</v>
      </c>
      <c r="AU441" s="16">
        <f t="shared" si="221"/>
        <v>0.49285714285714277</v>
      </c>
      <c r="AV441" s="57">
        <f t="shared" si="225"/>
        <v>243.61527100000001</v>
      </c>
      <c r="AW441" s="57">
        <f t="shared" si="195"/>
        <v>24</v>
      </c>
      <c r="AX441" s="57">
        <f t="shared" si="215"/>
        <v>6.8999999999999968</v>
      </c>
      <c r="AY441" s="57">
        <f t="shared" si="197"/>
        <v>27.249999999999996</v>
      </c>
      <c r="AZ441" s="57">
        <f t="shared" si="198"/>
        <v>3.2000000000000011</v>
      </c>
      <c r="BA441" s="60">
        <f t="shared" si="224"/>
        <v>0.99084674032507758</v>
      </c>
      <c r="BB441" s="60">
        <f t="shared" si="222"/>
        <v>1</v>
      </c>
      <c r="BC441" s="60">
        <f t="shared" si="223"/>
        <v>0.47416666666666668</v>
      </c>
      <c r="BD441" s="60">
        <f t="shared" si="226"/>
        <v>0.49285714285714277</v>
      </c>
      <c r="BE441" s="6">
        <f t="shared" si="196"/>
        <v>12.100840336134453</v>
      </c>
      <c r="BF441" s="6">
        <f t="shared" si="227"/>
        <v>4.3424068191869862</v>
      </c>
    </row>
    <row r="442" spans="1:58" ht="15.75">
      <c r="B442" s="94">
        <v>45702</v>
      </c>
      <c r="C442" s="1">
        <v>198</v>
      </c>
      <c r="D442" s="3">
        <v>437</v>
      </c>
      <c r="E442" s="205" t="str">
        <f t="shared" si="199"/>
        <v/>
      </c>
      <c r="H442" s="15"/>
      <c r="I442" s="15"/>
      <c r="K442" s="10" t="str">
        <f t="shared" si="212"/>
        <v/>
      </c>
      <c r="L442" s="9" t="str">
        <f t="shared" si="213"/>
        <v/>
      </c>
      <c r="M442" s="8" t="str">
        <f t="shared" si="214"/>
        <v/>
      </c>
      <c r="AB442" s="5">
        <v>80</v>
      </c>
      <c r="AD442" s="95">
        <v>23</v>
      </c>
      <c r="AG442" s="98"/>
      <c r="AH442"/>
      <c r="AJ442" s="93">
        <f t="shared" si="228"/>
        <v>119</v>
      </c>
      <c r="AK442" s="3">
        <f t="shared" si="204"/>
        <v>240</v>
      </c>
      <c r="AN442" s="80">
        <f t="shared" si="194"/>
        <v>40</v>
      </c>
      <c r="AP442" s="13">
        <f t="shared" si="218"/>
        <v>2786.6666666666788</v>
      </c>
      <c r="AR442" s="17" t="e">
        <f t="shared" si="219"/>
        <v>#VALUE!</v>
      </c>
      <c r="AS442" s="16" t="e">
        <f t="shared" si="216"/>
        <v>#DIV/0!</v>
      </c>
      <c r="AT442" s="16"/>
      <c r="AU442" s="16" t="e">
        <f t="shared" si="221"/>
        <v>#DIV/0!</v>
      </c>
      <c r="AV442" s="57" t="str">
        <f t="shared" si="225"/>
        <v/>
      </c>
      <c r="AW442" s="57" t="str">
        <f t="shared" si="195"/>
        <v/>
      </c>
      <c r="AX442" s="57" t="str">
        <f t="shared" si="215"/>
        <v/>
      </c>
      <c r="AY442" s="57" t="str">
        <f t="shared" si="197"/>
        <v/>
      </c>
      <c r="AZ442" s="57" t="str">
        <f t="shared" si="198"/>
        <v/>
      </c>
      <c r="BA442" s="60" t="str">
        <f t="shared" si="224"/>
        <v/>
      </c>
      <c r="BB442" s="60" t="str">
        <f t="shared" si="222"/>
        <v/>
      </c>
      <c r="BC442" s="60"/>
      <c r="BD442" s="60" t="str">
        <f t="shared" si="226"/>
        <v/>
      </c>
      <c r="BE442" s="6">
        <f t="shared" si="196"/>
        <v>11.596638655462185</v>
      </c>
      <c r="BF442" s="6" t="str">
        <f t="shared" si="227"/>
        <v/>
      </c>
    </row>
    <row r="443" spans="1:58" ht="15.75">
      <c r="B443" s="94">
        <v>45703</v>
      </c>
      <c r="C443" s="1">
        <v>199</v>
      </c>
      <c r="D443" s="3">
        <v>438</v>
      </c>
      <c r="E443" s="205" t="str">
        <f t="shared" si="199"/>
        <v/>
      </c>
      <c r="H443" s="15"/>
      <c r="I443" s="15"/>
      <c r="K443" s="10" t="str">
        <f t="shared" si="212"/>
        <v/>
      </c>
      <c r="L443" s="9" t="str">
        <f t="shared" si="213"/>
        <v/>
      </c>
      <c r="M443" s="8" t="str">
        <f t="shared" si="214"/>
        <v/>
      </c>
      <c r="AB443" s="5">
        <v>80</v>
      </c>
      <c r="AD443" s="95">
        <v>22</v>
      </c>
      <c r="AG443" s="98">
        <v>10.55</v>
      </c>
      <c r="AH443" s="20">
        <v>0.47766203703703702</v>
      </c>
      <c r="AJ443" s="93">
        <f t="shared" si="228"/>
        <v>119</v>
      </c>
      <c r="AK443" s="3">
        <f t="shared" si="204"/>
        <v>240</v>
      </c>
      <c r="AN443" s="80">
        <f t="shared" si="194"/>
        <v>40</v>
      </c>
      <c r="AP443" s="13">
        <f t="shared" si="218"/>
        <v>2786.6666666666788</v>
      </c>
      <c r="AR443" s="17" t="e">
        <f t="shared" si="219"/>
        <v>#VALUE!</v>
      </c>
      <c r="AS443" s="16" t="e">
        <f t="shared" si="216"/>
        <v>#DIV/0!</v>
      </c>
      <c r="AT443" s="16">
        <f>AG443/(AD443-AF443)</f>
        <v>0.47954545454545455</v>
      </c>
      <c r="AU443" s="16" t="e">
        <f t="shared" si="221"/>
        <v>#DIV/0!</v>
      </c>
      <c r="AV443" s="57" t="str">
        <f t="shared" si="225"/>
        <v/>
      </c>
      <c r="AW443" s="57" t="str">
        <f t="shared" si="195"/>
        <v/>
      </c>
      <c r="AX443" s="57" t="str">
        <f t="shared" si="215"/>
        <v/>
      </c>
      <c r="AY443" s="57" t="str">
        <f t="shared" si="197"/>
        <v/>
      </c>
      <c r="AZ443" s="57" t="str">
        <f t="shared" si="198"/>
        <v/>
      </c>
      <c r="BA443" s="60" t="str">
        <f t="shared" si="224"/>
        <v/>
      </c>
      <c r="BB443" s="60" t="str">
        <f t="shared" si="222"/>
        <v/>
      </c>
      <c r="BC443" s="60">
        <f>IF(AND($AG443&gt;=0,$AD443&gt;=0,$AF443&gt;=0),IF($AG443/($AD443-$AF443)&gt;0,$AG443/($AD443-$AF443),0),"")</f>
        <v>0.47954545454545455</v>
      </c>
      <c r="BD443" s="60" t="str">
        <f t="shared" si="226"/>
        <v/>
      </c>
      <c r="BE443" s="6">
        <f t="shared" si="196"/>
        <v>11.092436974789916</v>
      </c>
      <c r="BF443" s="6" t="str">
        <f t="shared" si="227"/>
        <v/>
      </c>
    </row>
    <row r="444" spans="1:58" ht="15.75">
      <c r="A444" s="12" t="s">
        <v>72</v>
      </c>
      <c r="B444" s="94">
        <v>45704</v>
      </c>
      <c r="C444" s="1">
        <v>200</v>
      </c>
      <c r="D444" s="3">
        <v>439</v>
      </c>
      <c r="E444" s="205" t="str">
        <f t="shared" si="199"/>
        <v/>
      </c>
      <c r="H444" s="15"/>
      <c r="I444" s="15"/>
      <c r="K444" s="10" t="str">
        <f t="shared" si="212"/>
        <v/>
      </c>
      <c r="L444" s="9" t="str">
        <f t="shared" si="213"/>
        <v/>
      </c>
      <c r="M444" s="8" t="str">
        <f t="shared" si="214"/>
        <v/>
      </c>
      <c r="AB444" s="5">
        <v>80</v>
      </c>
      <c r="AD444" s="95">
        <v>21</v>
      </c>
      <c r="AG444" s="98">
        <v>11.13</v>
      </c>
      <c r="AH444" s="20">
        <v>0.81990740740740742</v>
      </c>
      <c r="AJ444" s="93">
        <f t="shared" si="228"/>
        <v>119</v>
      </c>
      <c r="AK444" s="3">
        <f t="shared" si="204"/>
        <v>240</v>
      </c>
      <c r="AN444" s="80">
        <f t="shared" si="194"/>
        <v>40</v>
      </c>
      <c r="AO444" s="2">
        <v>2850</v>
      </c>
      <c r="AP444" s="13">
        <f t="shared" si="218"/>
        <v>2703.3333333333453</v>
      </c>
      <c r="AQ444" s="2">
        <f>[2]HRT_SRT!R498</f>
        <v>19.860627177700351</v>
      </c>
      <c r="AR444" s="17" t="e">
        <f t="shared" si="219"/>
        <v>#VALUE!</v>
      </c>
      <c r="AS444" s="16" t="e">
        <f t="shared" si="216"/>
        <v>#DIV/0!</v>
      </c>
      <c r="AT444" s="16">
        <f>AG444/(AD444-AF444)</f>
        <v>0.53</v>
      </c>
      <c r="AU444" s="16" t="e">
        <f t="shared" si="221"/>
        <v>#DIV/0!</v>
      </c>
      <c r="AV444" s="57" t="str">
        <f t="shared" si="225"/>
        <v/>
      </c>
      <c r="AW444" s="57" t="str">
        <f t="shared" si="195"/>
        <v/>
      </c>
      <c r="AX444" s="57" t="str">
        <f t="shared" si="215"/>
        <v/>
      </c>
      <c r="AY444" s="57" t="str">
        <f t="shared" si="197"/>
        <v/>
      </c>
      <c r="AZ444" s="57" t="str">
        <f t="shared" si="198"/>
        <v/>
      </c>
      <c r="BA444" s="60" t="str">
        <f t="shared" si="224"/>
        <v/>
      </c>
      <c r="BB444" s="60" t="str">
        <f t="shared" si="222"/>
        <v/>
      </c>
      <c r="BC444" s="60">
        <f>IF(AND($AG444&gt;=0,$AD444&gt;=0,$AF444&gt;=0),IF($AG444/($AD444-$AF444)&gt;0,$AG444/($AD444-$AF444),0),"")</f>
        <v>0.53</v>
      </c>
      <c r="BD444" s="60" t="str">
        <f t="shared" si="226"/>
        <v/>
      </c>
      <c r="BE444" s="6">
        <f t="shared" si="196"/>
        <v>10.588235294117647</v>
      </c>
      <c r="BF444" s="6" t="str">
        <f t="shared" si="227"/>
        <v/>
      </c>
    </row>
    <row r="445" spans="1:58" ht="15.75">
      <c r="A445" s="12" t="s">
        <v>71</v>
      </c>
      <c r="B445" s="94">
        <v>45705</v>
      </c>
      <c r="C445" s="1">
        <v>201</v>
      </c>
      <c r="D445" s="3">
        <v>440</v>
      </c>
      <c r="E445" s="205" t="str">
        <f t="shared" si="199"/>
        <v/>
      </c>
      <c r="H445" s="15"/>
      <c r="I445" s="15"/>
      <c r="K445" s="10" t="str">
        <f t="shared" si="212"/>
        <v/>
      </c>
      <c r="L445" s="9" t="str">
        <f t="shared" si="213"/>
        <v/>
      </c>
      <c r="M445" s="8" t="str">
        <f t="shared" si="214"/>
        <v/>
      </c>
      <c r="N445" s="6"/>
      <c r="AB445" s="5">
        <v>80</v>
      </c>
      <c r="AC445" s="1"/>
      <c r="AD445" s="95">
        <v>20.5</v>
      </c>
      <c r="AG445" s="98">
        <v>10.49</v>
      </c>
      <c r="AH445" s="20">
        <v>0.81597222222222221</v>
      </c>
      <c r="AJ445" s="93">
        <f t="shared" si="228"/>
        <v>119</v>
      </c>
      <c r="AK445" s="3">
        <f t="shared" si="204"/>
        <v>240</v>
      </c>
      <c r="AL445" s="1"/>
      <c r="AN445" s="80">
        <f t="shared" si="194"/>
        <v>40</v>
      </c>
      <c r="AO445" s="2">
        <v>2630.0000000000182</v>
      </c>
      <c r="AP445" s="13">
        <f t="shared" si="218"/>
        <v>2703.3333333333453</v>
      </c>
      <c r="AQ445" s="2">
        <f>[2]HRT_SRT!R499</f>
        <v>16.410149750415989</v>
      </c>
      <c r="AR445" s="17" t="e">
        <f t="shared" si="219"/>
        <v>#VALUE!</v>
      </c>
      <c r="AS445" s="16" t="e">
        <f t="shared" si="216"/>
        <v>#DIV/0!</v>
      </c>
      <c r="AT445" s="16">
        <f>AG445/(AD445-AF445)</f>
        <v>0.51170731707317074</v>
      </c>
      <c r="AU445" s="16" t="e">
        <f t="shared" si="221"/>
        <v>#DIV/0!</v>
      </c>
      <c r="AV445" s="57" t="str">
        <f t="shared" si="225"/>
        <v/>
      </c>
      <c r="AW445" s="57" t="str">
        <f t="shared" si="195"/>
        <v/>
      </c>
      <c r="AX445" s="57" t="str">
        <f t="shared" si="215"/>
        <v/>
      </c>
      <c r="AY445" s="57" t="str">
        <f t="shared" si="197"/>
        <v/>
      </c>
      <c r="AZ445" s="57" t="str">
        <f t="shared" si="198"/>
        <v/>
      </c>
      <c r="BA445" s="60" t="str">
        <f t="shared" si="224"/>
        <v/>
      </c>
      <c r="BB445" s="60" t="str">
        <f t="shared" si="222"/>
        <v/>
      </c>
      <c r="BC445" s="60">
        <f>IF(AND($AG445&gt;=0,$AD445&gt;=0,$AF445&gt;=0),IF($AG445/($AD445-$AF445)&gt;0,$AG445/($AD445-$AF445),0),"")</f>
        <v>0.51170731707317074</v>
      </c>
      <c r="BD445" s="60" t="str">
        <f t="shared" si="226"/>
        <v/>
      </c>
      <c r="BE445" s="6">
        <f t="shared" si="196"/>
        <v>10.336134453781511</v>
      </c>
      <c r="BF445" s="6" t="str">
        <f t="shared" si="227"/>
        <v/>
      </c>
    </row>
    <row r="446" spans="1:58" ht="15.75">
      <c r="B446" s="94">
        <v>45706</v>
      </c>
      <c r="C446" s="1">
        <v>202</v>
      </c>
      <c r="D446" s="3">
        <v>441</v>
      </c>
      <c r="E446" s="205">
        <f t="shared" si="199"/>
        <v>296.12885600000004</v>
      </c>
      <c r="G446" s="15">
        <f>(N446*18-H446*18)/9</f>
        <v>14.139999999999999</v>
      </c>
      <c r="H446" s="15">
        <f>5*0.476</f>
        <v>2.38</v>
      </c>
      <c r="I446" s="15">
        <f t="shared" ref="I446:I464" si="229">AD446</f>
        <v>20.2</v>
      </c>
      <c r="K446" s="10">
        <f t="shared" si="212"/>
        <v>20.942634794908066</v>
      </c>
      <c r="L446" s="9">
        <f t="shared" si="213"/>
        <v>7.3299221782178234</v>
      </c>
      <c r="M446" s="8">
        <f t="shared" si="214"/>
        <v>2.8571428571428572</v>
      </c>
      <c r="N446" s="7">
        <f>5*1.89</f>
        <v>9.4499999999999993</v>
      </c>
      <c r="O446" s="59">
        <v>92.28</v>
      </c>
      <c r="P446" s="59">
        <v>32.762</v>
      </c>
      <c r="Q446" s="6">
        <f>O446*1.067</f>
        <v>98.462760000000003</v>
      </c>
      <c r="R446" s="6">
        <f>P446*1.514</f>
        <v>49.601668000000004</v>
      </c>
      <c r="S446" s="23">
        <f>P446*1.514+O446*1.067</f>
        <v>148.06442800000002</v>
      </c>
      <c r="T446" s="6">
        <v>37.5</v>
      </c>
      <c r="U446" s="59">
        <f>1.112*1.067</f>
        <v>1.186504</v>
      </c>
      <c r="V446" s="59">
        <f>0.845*1.514</f>
        <v>1.2793300000000001</v>
      </c>
      <c r="W446" s="23">
        <f>U446*1.067+V446*1.514</f>
        <v>3.202905388</v>
      </c>
      <c r="AB446" s="5">
        <v>80</v>
      </c>
      <c r="AC446" s="7">
        <f>T446</f>
        <v>37.5</v>
      </c>
      <c r="AD446" s="1">
        <f>5*4.04</f>
        <v>20.2</v>
      </c>
      <c r="AE446" s="1">
        <f>5*1.93</f>
        <v>9.65</v>
      </c>
      <c r="AF446" s="1">
        <v>0</v>
      </c>
      <c r="AG446" s="98">
        <v>9.83</v>
      </c>
      <c r="AH446" s="20">
        <v>0.82291666666666663</v>
      </c>
      <c r="AJ446" s="93">
        <f t="shared" si="228"/>
        <v>119</v>
      </c>
      <c r="AK446" s="3">
        <f t="shared" si="204"/>
        <v>240</v>
      </c>
      <c r="AL446" s="4">
        <f>AE446</f>
        <v>9.65</v>
      </c>
      <c r="AM446" s="1">
        <f>5*1.34</f>
        <v>6.7</v>
      </c>
      <c r="AN446" s="80">
        <f t="shared" si="194"/>
        <v>40</v>
      </c>
      <c r="AP446" s="13">
        <f t="shared" si="218"/>
        <v>2703.3333333333453</v>
      </c>
      <c r="AR446" s="17">
        <f t="shared" si="219"/>
        <v>0.9891840821213318</v>
      </c>
      <c r="AS446" s="16">
        <f t="shared" si="216"/>
        <v>1</v>
      </c>
      <c r="AT446" s="16">
        <f>AG446/(AD446-AF446)</f>
        <v>0.48663366336633668</v>
      </c>
      <c r="AU446" s="16">
        <f t="shared" si="221"/>
        <v>0.52616690240452613</v>
      </c>
      <c r="AV446" s="57">
        <f t="shared" si="225"/>
        <v>292.92595061200007</v>
      </c>
      <c r="AW446" s="57">
        <f t="shared" si="195"/>
        <v>20.2</v>
      </c>
      <c r="AX446" s="57">
        <f t="shared" si="215"/>
        <v>7.4399999999999986</v>
      </c>
      <c r="AY446" s="57">
        <f t="shared" si="197"/>
        <v>27.85</v>
      </c>
      <c r="AZ446" s="57">
        <f t="shared" si="198"/>
        <v>2.95</v>
      </c>
      <c r="BA446" s="60">
        <f t="shared" si="224"/>
        <v>0.9891840821213318</v>
      </c>
      <c r="BB446" s="60">
        <f t="shared" si="222"/>
        <v>1</v>
      </c>
      <c r="BC446" s="60">
        <f>IF(AND($AG446&gt;=0,$AD446&gt;=0,$AF446&gt;=0),IF($AG446/($AD446-$AF446)&gt;0,$AG446/($AD446-$AF446),0),"")</f>
        <v>0.48663366336633668</v>
      </c>
      <c r="BD446" s="60">
        <f t="shared" si="226"/>
        <v>0.52616690240452613</v>
      </c>
      <c r="BE446" s="6">
        <f t="shared" si="196"/>
        <v>10.184873949579831</v>
      </c>
      <c r="BF446" s="6"/>
    </row>
    <row r="447" spans="1:58" ht="15.75">
      <c r="B447" s="94">
        <v>45707</v>
      </c>
      <c r="C447" s="1">
        <v>203</v>
      </c>
      <c r="D447" s="3">
        <v>442</v>
      </c>
      <c r="E447" s="205" t="str">
        <f t="shared" si="199"/>
        <v/>
      </c>
      <c r="H447" s="15"/>
      <c r="I447" s="15">
        <f t="shared" si="229"/>
        <v>20</v>
      </c>
      <c r="K447" s="10" t="str">
        <f t="shared" si="212"/>
        <v/>
      </c>
      <c r="L447" s="9" t="str">
        <f t="shared" si="213"/>
        <v/>
      </c>
      <c r="M447" s="8" t="str">
        <f t="shared" si="214"/>
        <v/>
      </c>
      <c r="AB447" s="5">
        <v>80</v>
      </c>
      <c r="AD447" s="95">
        <v>20</v>
      </c>
      <c r="AG447" s="98">
        <v>9.93</v>
      </c>
      <c r="AH447" s="20">
        <v>0.83414351851851853</v>
      </c>
      <c r="AJ447" s="93">
        <f t="shared" si="228"/>
        <v>119</v>
      </c>
      <c r="AK447" s="3">
        <f t="shared" si="204"/>
        <v>240</v>
      </c>
      <c r="AN447" s="80">
        <f t="shared" si="194"/>
        <v>40</v>
      </c>
      <c r="AP447" s="13">
        <f t="shared" si="218"/>
        <v>2630.0000000000182</v>
      </c>
      <c r="AR447" s="17" t="e">
        <f t="shared" si="219"/>
        <v>#VALUE!</v>
      </c>
      <c r="AS447" s="16">
        <f t="shared" si="216"/>
        <v>1</v>
      </c>
      <c r="AT447" s="16">
        <f>AG447/(AD447-AF447)</f>
        <v>0.4965</v>
      </c>
      <c r="AU447" s="16" t="e">
        <f t="shared" si="221"/>
        <v>#DIV/0!</v>
      </c>
      <c r="AV447" s="57" t="str">
        <f t="shared" si="225"/>
        <v/>
      </c>
      <c r="AW447" s="57" t="str">
        <f t="shared" si="195"/>
        <v/>
      </c>
      <c r="AX447" s="57" t="str">
        <f t="shared" si="215"/>
        <v/>
      </c>
      <c r="AY447" s="57" t="str">
        <f t="shared" si="197"/>
        <v/>
      </c>
      <c r="AZ447" s="57" t="str">
        <f t="shared" si="198"/>
        <v/>
      </c>
      <c r="BA447" s="60" t="str">
        <f t="shared" si="224"/>
        <v/>
      </c>
      <c r="BB447" s="60">
        <f t="shared" si="222"/>
        <v>1</v>
      </c>
      <c r="BC447" s="60">
        <f>IF(AND($AG447&gt;=0,$AD447&gt;=0,$AF447&gt;=0),IF($AG447/($AD447-$AF447)&gt;0,$AG447/($AD447-$AF447),0),"")</f>
        <v>0.4965</v>
      </c>
      <c r="BD447" s="60" t="str">
        <f t="shared" si="226"/>
        <v/>
      </c>
      <c r="BE447" s="6">
        <f t="shared" si="196"/>
        <v>10.084033613445378</v>
      </c>
      <c r="BF447" s="6" t="str">
        <f t="shared" ref="BF447:BF459" si="230">IF(OR(AJ447=0,AP447=0,NOT(ISNUMBER(AD447)),NOT(ISNUMBER(AF447)),NOT(ISNUMBER(AJ447)),NOT(ISNUMBER(AP447))),"",
IFERROR(IF((AD447-AF447)/(AJ447/60)/(AP447/1000)&lt;=0,"",(AD447-AF447)/(AJ447/60)/(AP447/1000)),""))</f>
        <v/>
      </c>
    </row>
    <row r="448" spans="1:58" ht="15.75">
      <c r="A448" s="12" t="s">
        <v>70</v>
      </c>
      <c r="B448" s="94">
        <v>45708</v>
      </c>
      <c r="C448" s="1">
        <v>204</v>
      </c>
      <c r="D448" s="3">
        <v>443</v>
      </c>
      <c r="E448" s="205" t="str">
        <f t="shared" si="199"/>
        <v/>
      </c>
      <c r="H448" s="15"/>
      <c r="I448" s="15">
        <f t="shared" si="229"/>
        <v>20</v>
      </c>
      <c r="K448" s="10" t="str">
        <f t="shared" si="212"/>
        <v/>
      </c>
      <c r="L448" s="9" t="str">
        <f t="shared" si="213"/>
        <v/>
      </c>
      <c r="M448" s="8" t="str">
        <f t="shared" si="214"/>
        <v/>
      </c>
      <c r="AB448" s="5">
        <v>80</v>
      </c>
      <c r="AD448" s="95">
        <v>20</v>
      </c>
      <c r="AG448" s="88">
        <v>8.17</v>
      </c>
      <c r="AH448" s="99">
        <v>0.49560185185185185</v>
      </c>
      <c r="AJ448" s="93">
        <f t="shared" si="228"/>
        <v>119</v>
      </c>
      <c r="AK448" s="3">
        <f t="shared" si="204"/>
        <v>240</v>
      </c>
      <c r="AN448" s="80">
        <f t="shared" si="194"/>
        <v>40</v>
      </c>
      <c r="AO448" s="2">
        <v>2630.0000000000182</v>
      </c>
      <c r="AP448" s="13">
        <f t="shared" si="218"/>
        <v>2630.0000000000182</v>
      </c>
      <c r="AQ448" s="2">
        <f>[2]HRT_SRT!R502</f>
        <v>16.207888249794596</v>
      </c>
      <c r="AR448" s="17" t="e">
        <f t="shared" si="219"/>
        <v>#VALUE!</v>
      </c>
      <c r="AS448" s="16">
        <f t="shared" si="216"/>
        <v>1</v>
      </c>
      <c r="AT448" s="16"/>
      <c r="AU448" s="16" t="e">
        <f t="shared" si="221"/>
        <v>#DIV/0!</v>
      </c>
      <c r="AV448" s="57" t="str">
        <f t="shared" si="225"/>
        <v/>
      </c>
      <c r="AW448" s="57" t="str">
        <f t="shared" si="195"/>
        <v/>
      </c>
      <c r="AX448" s="57" t="str">
        <f t="shared" si="215"/>
        <v/>
      </c>
      <c r="AY448" s="57" t="str">
        <f t="shared" si="197"/>
        <v/>
      </c>
      <c r="AZ448" s="57" t="str">
        <f t="shared" si="198"/>
        <v/>
      </c>
      <c r="BA448" s="60" t="str">
        <f t="shared" si="224"/>
        <v/>
      </c>
      <c r="BB448" s="60">
        <f t="shared" si="222"/>
        <v>1</v>
      </c>
      <c r="BC448" s="60"/>
      <c r="BD448" s="60" t="str">
        <f t="shared" si="226"/>
        <v/>
      </c>
      <c r="BE448" s="6">
        <f t="shared" si="196"/>
        <v>10.084033613445378</v>
      </c>
      <c r="BF448" s="6" t="str">
        <f t="shared" si="230"/>
        <v/>
      </c>
    </row>
    <row r="449" spans="1:58" ht="15.75">
      <c r="B449" s="94">
        <v>45709</v>
      </c>
      <c r="C449" s="1">
        <v>205</v>
      </c>
      <c r="D449" s="3">
        <v>444</v>
      </c>
      <c r="E449" s="205" t="str">
        <f t="shared" si="199"/>
        <v/>
      </c>
      <c r="H449" s="15"/>
      <c r="I449" s="15">
        <f t="shared" si="229"/>
        <v>20</v>
      </c>
      <c r="K449" s="10" t="str">
        <f t="shared" si="212"/>
        <v/>
      </c>
      <c r="L449" s="9" t="str">
        <f t="shared" si="213"/>
        <v/>
      </c>
      <c r="M449" s="8" t="str">
        <f t="shared" si="214"/>
        <v/>
      </c>
      <c r="AB449" s="5">
        <v>80</v>
      </c>
      <c r="AD449" s="95">
        <v>20</v>
      </c>
      <c r="AG449" s="88"/>
      <c r="AH449" s="99"/>
      <c r="AJ449" s="93">
        <f t="shared" si="228"/>
        <v>119</v>
      </c>
      <c r="AK449" s="3">
        <f t="shared" si="204"/>
        <v>240</v>
      </c>
      <c r="AN449" s="80">
        <f t="shared" si="194"/>
        <v>40</v>
      </c>
      <c r="AP449" s="13">
        <f t="shared" si="218"/>
        <v>2264.9999999999864</v>
      </c>
      <c r="AR449" s="17" t="e">
        <f t="shared" si="219"/>
        <v>#VALUE!</v>
      </c>
      <c r="AS449" s="16">
        <f t="shared" si="216"/>
        <v>1</v>
      </c>
      <c r="AT449" s="16"/>
      <c r="AU449" s="16" t="e">
        <f t="shared" si="221"/>
        <v>#DIV/0!</v>
      </c>
      <c r="AV449" s="57" t="str">
        <f t="shared" si="225"/>
        <v/>
      </c>
      <c r="AW449" s="57" t="str">
        <f t="shared" si="195"/>
        <v/>
      </c>
      <c r="AX449" s="57" t="str">
        <f t="shared" si="215"/>
        <v/>
      </c>
      <c r="AY449" s="57" t="str">
        <f t="shared" si="197"/>
        <v/>
      </c>
      <c r="AZ449" s="57" t="str">
        <f t="shared" si="198"/>
        <v/>
      </c>
      <c r="BA449" s="60" t="str">
        <f t="shared" si="224"/>
        <v/>
      </c>
      <c r="BB449" s="60">
        <f t="shared" si="222"/>
        <v>1</v>
      </c>
      <c r="BC449" s="60"/>
      <c r="BD449" s="60" t="str">
        <f t="shared" si="226"/>
        <v/>
      </c>
      <c r="BE449" s="6">
        <f t="shared" si="196"/>
        <v>10.084033613445378</v>
      </c>
      <c r="BF449" s="6" t="str">
        <f t="shared" si="230"/>
        <v/>
      </c>
    </row>
    <row r="450" spans="1:58" ht="15.75">
      <c r="B450" s="94">
        <v>45710</v>
      </c>
      <c r="C450" s="1">
        <v>206</v>
      </c>
      <c r="D450" s="3">
        <v>445</v>
      </c>
      <c r="E450" s="205" t="str">
        <f t="shared" si="199"/>
        <v/>
      </c>
      <c r="H450" s="15"/>
      <c r="I450" s="15">
        <f t="shared" si="229"/>
        <v>20</v>
      </c>
      <c r="K450" s="10" t="str">
        <f t="shared" si="212"/>
        <v/>
      </c>
      <c r="L450" s="9" t="str">
        <f t="shared" si="213"/>
        <v/>
      </c>
      <c r="M450" s="8" t="str">
        <f t="shared" si="214"/>
        <v/>
      </c>
      <c r="AB450" s="5">
        <v>80</v>
      </c>
      <c r="AD450" s="95">
        <v>20</v>
      </c>
      <c r="AG450" s="88">
        <v>8.48</v>
      </c>
      <c r="AH450" s="99">
        <v>0.54699074074074072</v>
      </c>
      <c r="AJ450" s="93">
        <f t="shared" si="228"/>
        <v>119</v>
      </c>
      <c r="AK450" s="3">
        <f t="shared" si="204"/>
        <v>240</v>
      </c>
      <c r="AN450" s="80">
        <f t="shared" si="194"/>
        <v>40</v>
      </c>
      <c r="AP450" s="13">
        <f t="shared" si="218"/>
        <v>2264.9999999999864</v>
      </c>
      <c r="AR450" s="17" t="e">
        <f t="shared" si="219"/>
        <v>#VALUE!</v>
      </c>
      <c r="AS450" s="16">
        <f t="shared" si="216"/>
        <v>1</v>
      </c>
      <c r="AT450" s="16"/>
      <c r="AU450" s="16" t="e">
        <f t="shared" si="221"/>
        <v>#DIV/0!</v>
      </c>
      <c r="AV450" s="57" t="str">
        <f t="shared" si="225"/>
        <v/>
      </c>
      <c r="AW450" s="57" t="str">
        <f t="shared" si="195"/>
        <v/>
      </c>
      <c r="AX450" s="57" t="str">
        <f t="shared" si="215"/>
        <v/>
      </c>
      <c r="AY450" s="57" t="str">
        <f t="shared" si="197"/>
        <v/>
      </c>
      <c r="AZ450" s="57" t="str">
        <f t="shared" si="198"/>
        <v/>
      </c>
      <c r="BA450" s="60" t="str">
        <f t="shared" si="224"/>
        <v/>
      </c>
      <c r="BB450" s="60">
        <f t="shared" si="222"/>
        <v>1</v>
      </c>
      <c r="BC450" s="60"/>
      <c r="BD450" s="60" t="str">
        <f t="shared" si="226"/>
        <v/>
      </c>
      <c r="BE450" s="6">
        <f t="shared" si="196"/>
        <v>10.084033613445378</v>
      </c>
      <c r="BF450" s="6" t="str">
        <f t="shared" si="230"/>
        <v/>
      </c>
    </row>
    <row r="451" spans="1:58" ht="15.75">
      <c r="B451" s="94">
        <v>45711</v>
      </c>
      <c r="C451" s="1">
        <v>207</v>
      </c>
      <c r="D451" s="3">
        <v>446</v>
      </c>
      <c r="E451" s="205" t="str">
        <f t="shared" si="199"/>
        <v/>
      </c>
      <c r="H451" s="15"/>
      <c r="I451" s="15">
        <f t="shared" si="229"/>
        <v>20</v>
      </c>
      <c r="K451" s="10" t="str">
        <f t="shared" si="212"/>
        <v/>
      </c>
      <c r="L451" s="9" t="str">
        <f t="shared" si="213"/>
        <v/>
      </c>
      <c r="M451" s="8" t="str">
        <f t="shared" si="214"/>
        <v/>
      </c>
      <c r="AB451" s="5">
        <v>80</v>
      </c>
      <c r="AD451" s="95">
        <v>20</v>
      </c>
      <c r="AG451" s="98">
        <v>13.31</v>
      </c>
      <c r="AH451" s="20">
        <v>0.54861111111111116</v>
      </c>
      <c r="AJ451" s="93">
        <f t="shared" si="228"/>
        <v>119</v>
      </c>
      <c r="AK451" s="3">
        <f t="shared" si="204"/>
        <v>240</v>
      </c>
      <c r="AN451" s="80">
        <f t="shared" si="194"/>
        <v>40</v>
      </c>
      <c r="AP451" s="13">
        <f t="shared" si="218"/>
        <v>1899.9999999999545</v>
      </c>
      <c r="AR451" s="17" t="e">
        <f t="shared" si="219"/>
        <v>#VALUE!</v>
      </c>
      <c r="AS451" s="16">
        <f t="shared" si="216"/>
        <v>1</v>
      </c>
      <c r="AT451" s="16">
        <f>AG451/(AD451-AF451)</f>
        <v>0.66549999999999998</v>
      </c>
      <c r="AU451" s="16" t="e">
        <f t="shared" si="221"/>
        <v>#DIV/0!</v>
      </c>
      <c r="AV451" s="57" t="str">
        <f t="shared" si="225"/>
        <v/>
      </c>
      <c r="AW451" s="57" t="str">
        <f t="shared" si="195"/>
        <v/>
      </c>
      <c r="AX451" s="57" t="str">
        <f t="shared" si="215"/>
        <v/>
      </c>
      <c r="AY451" s="57" t="str">
        <f t="shared" si="197"/>
        <v/>
      </c>
      <c r="AZ451" s="57" t="str">
        <f t="shared" si="198"/>
        <v/>
      </c>
      <c r="BA451" s="60" t="str">
        <f t="shared" si="224"/>
        <v/>
      </c>
      <c r="BB451" s="60">
        <f t="shared" si="222"/>
        <v>1</v>
      </c>
      <c r="BC451" s="60">
        <f>IF(AND($AG451&gt;=0,$AD451&gt;=0,$AF451&gt;=0),IF($AG451/($AD451-$AF451)&gt;0,$AG451/($AD451-$AF451),0),"")</f>
        <v>0.66549999999999998</v>
      </c>
      <c r="BD451" s="60" t="str">
        <f t="shared" si="226"/>
        <v/>
      </c>
      <c r="BE451" s="6">
        <f t="shared" si="196"/>
        <v>10.084033613445378</v>
      </c>
      <c r="BF451" s="6" t="str">
        <f t="shared" si="230"/>
        <v/>
      </c>
    </row>
    <row r="452" spans="1:58" ht="15.75">
      <c r="A452" s="12" t="s">
        <v>69</v>
      </c>
      <c r="B452" s="94">
        <v>45712</v>
      </c>
      <c r="C452" s="1">
        <v>208</v>
      </c>
      <c r="D452" s="3">
        <v>447</v>
      </c>
      <c r="E452" s="205" t="str">
        <f t="shared" si="199"/>
        <v/>
      </c>
      <c r="G452" s="9">
        <v>14</v>
      </c>
      <c r="H452" s="15"/>
      <c r="I452" s="15">
        <f t="shared" si="229"/>
        <v>20</v>
      </c>
      <c r="K452" s="10" t="str">
        <f t="shared" si="212"/>
        <v/>
      </c>
      <c r="L452" s="9" t="str">
        <f t="shared" si="213"/>
        <v/>
      </c>
      <c r="M452" s="8">
        <f t="shared" si="214"/>
        <v>2.8571428571428572</v>
      </c>
      <c r="AB452" s="5">
        <v>80</v>
      </c>
      <c r="AC452" s="7">
        <f>T452</f>
        <v>0</v>
      </c>
      <c r="AD452" s="1">
        <f>20</f>
        <v>20</v>
      </c>
      <c r="AE452" s="6">
        <f>5*5.33</f>
        <v>26.65</v>
      </c>
      <c r="AF452" s="1">
        <v>0</v>
      </c>
      <c r="AG452" s="98">
        <v>9.58</v>
      </c>
      <c r="AH452" s="20">
        <v>0.50034722222222228</v>
      </c>
      <c r="AJ452" s="93">
        <f t="shared" si="228"/>
        <v>119</v>
      </c>
      <c r="AK452" s="3">
        <f t="shared" si="204"/>
        <v>240</v>
      </c>
      <c r="AL452" s="4">
        <f>AE452</f>
        <v>26.65</v>
      </c>
      <c r="AM452" s="1">
        <f>5*4.67</f>
        <v>23.35</v>
      </c>
      <c r="AN452" s="80">
        <f t="shared" si="194"/>
        <v>40</v>
      </c>
      <c r="AP452" s="13">
        <f t="shared" si="218"/>
        <v>1899.9999999999545</v>
      </c>
      <c r="AR452" s="17" t="e">
        <f t="shared" si="219"/>
        <v>#VALUE!</v>
      </c>
      <c r="AS452" s="16">
        <f t="shared" si="216"/>
        <v>1</v>
      </c>
      <c r="AT452" s="16">
        <f>AG452/(AD452-AF452)</f>
        <v>0.47899999999999998</v>
      </c>
      <c r="AU452" s="16">
        <f t="shared" si="221"/>
        <v>-0.66785714285714293</v>
      </c>
      <c r="AV452" s="57" t="str">
        <f t="shared" si="225"/>
        <v/>
      </c>
      <c r="AW452" s="57">
        <f t="shared" si="195"/>
        <v>20</v>
      </c>
      <c r="AX452" s="57">
        <f t="shared" si="215"/>
        <v>-9.3500000000000014</v>
      </c>
      <c r="AY452" s="57">
        <f t="shared" si="197"/>
        <v>-26.65</v>
      </c>
      <c r="AZ452" s="57">
        <f t="shared" si="198"/>
        <v>3.2999999999999972</v>
      </c>
      <c r="BA452" s="60" t="str">
        <f t="shared" si="224"/>
        <v/>
      </c>
      <c r="BB452" s="60">
        <f t="shared" si="222"/>
        <v>1</v>
      </c>
      <c r="BC452" s="60">
        <f>IF(AND($AG452&gt;=0,$AD452&gt;=0,$AF452&gt;=0),IF($AG452/($AD452-$AF452)&gt;0,$AG452/($AD452-$AF452),0),"")</f>
        <v>0.47899999999999998</v>
      </c>
      <c r="BD452" s="60"/>
      <c r="BE452" s="6">
        <f t="shared" si="196"/>
        <v>10.084033613445378</v>
      </c>
      <c r="BF452" s="6">
        <f t="shared" si="230"/>
        <v>5.307386112339799</v>
      </c>
    </row>
    <row r="453" spans="1:58" ht="15.75">
      <c r="B453" s="97">
        <v>45713</v>
      </c>
      <c r="C453" s="1">
        <v>209</v>
      </c>
      <c r="D453" s="3">
        <v>448</v>
      </c>
      <c r="E453" s="205">
        <f t="shared" si="199"/>
        <v>288.29379</v>
      </c>
      <c r="G453" s="9">
        <v>14</v>
      </c>
      <c r="H453" s="15">
        <f>5*3.74</f>
        <v>18.700000000000003</v>
      </c>
      <c r="I453" s="15">
        <f t="shared" si="229"/>
        <v>20</v>
      </c>
      <c r="K453" s="10">
        <f t="shared" si="212"/>
        <v>20.592413571428573</v>
      </c>
      <c r="L453" s="9">
        <f t="shared" si="213"/>
        <v>7.2073447499999999</v>
      </c>
      <c r="M453" s="8">
        <f t="shared" si="214"/>
        <v>2.8571428571428572</v>
      </c>
      <c r="N453" s="7">
        <v>23.1</v>
      </c>
      <c r="O453">
        <v>91.557000000000002</v>
      </c>
      <c r="P453">
        <v>30.684000000000001</v>
      </c>
      <c r="Q453" s="6">
        <f>O453*1.067</f>
        <v>97.691318999999993</v>
      </c>
      <c r="R453" s="6">
        <f>P453*1.514</f>
        <v>46.455576000000001</v>
      </c>
      <c r="S453" s="23">
        <f>P453*1.514+O453*1.067</f>
        <v>144.146895</v>
      </c>
      <c r="T453" s="6">
        <f>20*2.78</f>
        <v>55.599999999999994</v>
      </c>
      <c r="U453" s="6">
        <v>0</v>
      </c>
      <c r="V453" s="6">
        <v>0</v>
      </c>
      <c r="W453" s="23">
        <f>U453*1.067+V453*1.514</f>
        <v>0</v>
      </c>
      <c r="AB453" s="5">
        <v>80</v>
      </c>
      <c r="AC453" s="7">
        <f>T453</f>
        <v>55.599999999999994</v>
      </c>
      <c r="AD453" s="1">
        <f>20</f>
        <v>20</v>
      </c>
      <c r="AE453" s="1">
        <f>31.1</f>
        <v>31.1</v>
      </c>
      <c r="AF453" s="1">
        <v>0</v>
      </c>
      <c r="AG453" s="88">
        <v>37.51</v>
      </c>
      <c r="AH453" s="20">
        <v>0.4</v>
      </c>
      <c r="AJ453" s="93">
        <f t="shared" si="228"/>
        <v>119</v>
      </c>
      <c r="AK453" s="3">
        <f t="shared" si="204"/>
        <v>240</v>
      </c>
      <c r="AL453" s="4">
        <f>AE453</f>
        <v>31.1</v>
      </c>
      <c r="AM453" s="1">
        <f>5*2.54</f>
        <v>12.7</v>
      </c>
      <c r="AN453" s="80">
        <f t="shared" ref="AN453:AN504" si="231">360-AK453-AB453</f>
        <v>40</v>
      </c>
      <c r="AO453" s="2">
        <f>[2]HRT_SRT!P507</f>
        <v>1899.9999999999545</v>
      </c>
      <c r="AP453" s="13">
        <f t="shared" si="218"/>
        <v>1899.9999999999545</v>
      </c>
      <c r="AQ453" s="2">
        <f>[2]HRT_SRT!R507</f>
        <v>27.243759957514385</v>
      </c>
      <c r="AR453" s="17">
        <f t="shared" si="219"/>
        <v>1</v>
      </c>
      <c r="AS453" s="16">
        <f t="shared" si="216"/>
        <v>1</v>
      </c>
      <c r="AT453" s="16"/>
      <c r="AU453" s="16">
        <f t="shared" si="221"/>
        <v>9.2857142857142902E-2</v>
      </c>
      <c r="AV453" s="57">
        <f t="shared" si="225"/>
        <v>288.29379</v>
      </c>
      <c r="AW453" s="57">
        <f t="shared" si="195"/>
        <v>20</v>
      </c>
      <c r="AX453" s="57">
        <f t="shared" si="215"/>
        <v>1.3000000000000007</v>
      </c>
      <c r="AY453" s="57">
        <f t="shared" si="197"/>
        <v>24.499999999999993</v>
      </c>
      <c r="AZ453" s="57">
        <f t="shared" si="198"/>
        <v>18.400000000000002</v>
      </c>
      <c r="BA453" s="60" t="str">
        <f t="shared" si="224"/>
        <v/>
      </c>
      <c r="BB453" s="60">
        <f t="shared" si="222"/>
        <v>1</v>
      </c>
      <c r="BC453" s="60"/>
      <c r="BD453" s="60"/>
      <c r="BE453" s="6">
        <f t="shared" ref="BE453:BE516" si="232">IF((AD453-AF453)/(AJ453/60)&lt;=0,"",(AD453-AF453)/(AJ453/60))</f>
        <v>10.084033613445378</v>
      </c>
      <c r="BF453" s="6">
        <f t="shared" si="230"/>
        <v>5.307386112339799</v>
      </c>
    </row>
    <row r="454" spans="1:58" ht="15.75">
      <c r="B454" s="94">
        <v>45714</v>
      </c>
      <c r="C454" s="1">
        <v>210</v>
      </c>
      <c r="D454" s="3">
        <v>449</v>
      </c>
      <c r="E454" s="205" t="str">
        <f t="shared" si="199"/>
        <v/>
      </c>
      <c r="I454" s="15">
        <f t="shared" si="229"/>
        <v>20</v>
      </c>
      <c r="K454" s="10" t="str">
        <f t="shared" si="212"/>
        <v/>
      </c>
      <c r="L454" s="9" t="str">
        <f t="shared" si="213"/>
        <v/>
      </c>
      <c r="M454" s="8" t="str">
        <f t="shared" si="214"/>
        <v/>
      </c>
      <c r="AB454" s="5">
        <v>80</v>
      </c>
      <c r="AD454" s="95">
        <v>20</v>
      </c>
      <c r="AG454" s="88">
        <v>35.880000000000003</v>
      </c>
      <c r="AH454" s="20">
        <v>0.39930555555555558</v>
      </c>
      <c r="AJ454" s="93">
        <f t="shared" si="228"/>
        <v>119</v>
      </c>
      <c r="AK454" s="3">
        <f t="shared" si="204"/>
        <v>240</v>
      </c>
      <c r="AN454" s="80">
        <f t="shared" si="231"/>
        <v>40</v>
      </c>
      <c r="AP454" s="13">
        <f t="shared" si="218"/>
        <v>1899.9999999999545</v>
      </c>
      <c r="AR454" s="17" t="e">
        <f t="shared" si="219"/>
        <v>#VALUE!</v>
      </c>
      <c r="AS454" s="16">
        <f t="shared" si="216"/>
        <v>1</v>
      </c>
      <c r="AT454" s="16"/>
      <c r="AU454" s="16" t="e">
        <f t="shared" si="221"/>
        <v>#DIV/0!</v>
      </c>
      <c r="AV454" s="57" t="str">
        <f t="shared" si="225"/>
        <v/>
      </c>
      <c r="AW454" s="57" t="str">
        <f t="shared" si="195"/>
        <v/>
      </c>
      <c r="AX454" s="57" t="str">
        <f t="shared" si="215"/>
        <v/>
      </c>
      <c r="AY454" s="57" t="str">
        <f t="shared" ref="AY454:AY517" si="233">IF(AND(ISNUMBER(AC454),ISNUMBER(AE454)),AC454-AE454,"")</f>
        <v/>
      </c>
      <c r="AZ454" s="57" t="str">
        <f t="shared" ref="AZ454:AZ462" si="234">IF(AND(ISNUMBER(AL454),ISNUMBER(AM454)),AL454-AM454,"")</f>
        <v/>
      </c>
      <c r="BA454" s="60" t="str">
        <f t="shared" si="224"/>
        <v/>
      </c>
      <c r="BB454" s="60">
        <f t="shared" si="222"/>
        <v>1</v>
      </c>
      <c r="BC454" s="60"/>
      <c r="BD454" s="60" t="str">
        <f>IF(AND($G454&gt;0,$AM454&gt;0),IF(($G454-$AM454)/$G454&gt;0,($G454-$AM454)/$G454,0),"")</f>
        <v/>
      </c>
      <c r="BE454" s="6">
        <f t="shared" si="232"/>
        <v>10.084033613445378</v>
      </c>
      <c r="BF454" s="6" t="str">
        <f t="shared" si="230"/>
        <v/>
      </c>
    </row>
    <row r="455" spans="1:58" ht="15.75">
      <c r="B455" s="94">
        <v>45715</v>
      </c>
      <c r="C455" s="1">
        <v>211</v>
      </c>
      <c r="D455" s="3">
        <v>450</v>
      </c>
      <c r="E455" s="205" t="str">
        <f t="shared" ref="E455:E518" si="235">IF(OR(S455="",S455=0),"",S455*2)</f>
        <v/>
      </c>
      <c r="I455" s="15">
        <f t="shared" si="229"/>
        <v>20.5</v>
      </c>
      <c r="K455" s="10" t="str">
        <f t="shared" si="212"/>
        <v/>
      </c>
      <c r="L455" s="9" t="str">
        <f t="shared" si="213"/>
        <v/>
      </c>
      <c r="M455" s="8" t="str">
        <f t="shared" si="214"/>
        <v/>
      </c>
      <c r="N455" s="6"/>
      <c r="AB455" s="5">
        <v>80</v>
      </c>
      <c r="AC455" s="1"/>
      <c r="AD455" s="95">
        <v>20.5</v>
      </c>
      <c r="AG455" s="88">
        <v>35.630000000000003</v>
      </c>
      <c r="AH455" s="20">
        <v>0.44675925925925924</v>
      </c>
      <c r="AJ455" s="93">
        <f t="shared" si="228"/>
        <v>119</v>
      </c>
      <c r="AK455" s="3">
        <f t="shared" si="204"/>
        <v>240</v>
      </c>
      <c r="AL455" s="1"/>
      <c r="AN455" s="80">
        <f t="shared" si="231"/>
        <v>40</v>
      </c>
      <c r="AP455" s="13">
        <f t="shared" si="218"/>
        <v>1899.9999999999545</v>
      </c>
      <c r="AR455" s="17" t="e">
        <f t="shared" si="219"/>
        <v>#VALUE!</v>
      </c>
      <c r="AS455" s="16">
        <f t="shared" si="216"/>
        <v>1</v>
      </c>
      <c r="AT455" s="16"/>
      <c r="AU455" s="16" t="e">
        <f t="shared" si="221"/>
        <v>#DIV/0!</v>
      </c>
      <c r="AV455" s="57" t="str">
        <f t="shared" si="225"/>
        <v/>
      </c>
      <c r="AW455" s="57" t="str">
        <f t="shared" si="195"/>
        <v/>
      </c>
      <c r="AX455" s="57" t="str">
        <f t="shared" si="215"/>
        <v/>
      </c>
      <c r="AY455" s="57" t="str">
        <f t="shared" si="233"/>
        <v/>
      </c>
      <c r="AZ455" s="57" t="str">
        <f t="shared" si="234"/>
        <v/>
      </c>
      <c r="BA455" s="60" t="str">
        <f t="shared" si="224"/>
        <v/>
      </c>
      <c r="BB455" s="60">
        <f t="shared" si="222"/>
        <v>1</v>
      </c>
      <c r="BC455" s="60"/>
      <c r="BD455" s="60" t="str">
        <f>IF(AND($G455&gt;0,$AM455&gt;0),IF(($G455-$AM455)/$G455&gt;0,($G455-$AM455)/$G455,0),"")</f>
        <v/>
      </c>
      <c r="BE455" s="6">
        <f t="shared" si="232"/>
        <v>10.336134453781511</v>
      </c>
      <c r="BF455" s="6" t="str">
        <f t="shared" si="230"/>
        <v/>
      </c>
    </row>
    <row r="456" spans="1:58" ht="15.75">
      <c r="B456" s="94">
        <v>45716</v>
      </c>
      <c r="C456" s="1">
        <v>212</v>
      </c>
      <c r="D456" s="3">
        <v>451</v>
      </c>
      <c r="E456" s="205" t="str">
        <f t="shared" si="235"/>
        <v/>
      </c>
      <c r="G456" s="15">
        <f>(N456*18-H456*18)/9</f>
        <v>13.000000000000004</v>
      </c>
      <c r="H456" s="15">
        <f>5*1.72</f>
        <v>8.6</v>
      </c>
      <c r="I456" s="15">
        <f t="shared" si="229"/>
        <v>20.5</v>
      </c>
      <c r="K456" s="10" t="str">
        <f t="shared" si="212"/>
        <v/>
      </c>
      <c r="L456" s="9" t="str">
        <f t="shared" si="213"/>
        <v/>
      </c>
      <c r="M456" s="8">
        <f t="shared" si="214"/>
        <v>3.1538461538461529</v>
      </c>
      <c r="N456" s="7">
        <v>15.1</v>
      </c>
      <c r="T456" s="6">
        <f>21.2*2</f>
        <v>42.4</v>
      </c>
      <c r="X456" s="6">
        <v>2.25</v>
      </c>
      <c r="Y456" s="6">
        <v>0.15</v>
      </c>
      <c r="Z456" s="6">
        <v>73</v>
      </c>
      <c r="AA456" s="6">
        <v>-201</v>
      </c>
      <c r="AB456" s="5">
        <v>80</v>
      </c>
      <c r="AC456" s="7">
        <f>T456</f>
        <v>42.4</v>
      </c>
      <c r="AD456" s="1">
        <f>5*4.1</f>
        <v>20.5</v>
      </c>
      <c r="AE456" s="1">
        <v>20.9</v>
      </c>
      <c r="AF456" s="1">
        <v>0</v>
      </c>
      <c r="AG456" s="88"/>
      <c r="AH456" s="20"/>
      <c r="AI456" s="1">
        <v>-206</v>
      </c>
      <c r="AJ456" s="93">
        <f t="shared" si="228"/>
        <v>119</v>
      </c>
      <c r="AK456" s="3">
        <f t="shared" si="204"/>
        <v>240</v>
      </c>
      <c r="AL456" s="4">
        <f>AE456</f>
        <v>20.9</v>
      </c>
      <c r="AM456" s="1">
        <f>5*3.12</f>
        <v>15.600000000000001</v>
      </c>
      <c r="AN456" s="80">
        <f t="shared" si="231"/>
        <v>40</v>
      </c>
      <c r="AP456" s="96">
        <f>(AO453+AO462)/2</f>
        <v>1984.9999999999909</v>
      </c>
      <c r="AR456" s="17" t="e">
        <f t="shared" si="219"/>
        <v>#VALUE!</v>
      </c>
      <c r="AS456" s="16" t="e">
        <f>(I456-#REF!)/I456</f>
        <v>#REF!</v>
      </c>
      <c r="AT456" s="16"/>
      <c r="AU456" s="16">
        <f t="shared" si="221"/>
        <v>-0.19999999999999979</v>
      </c>
      <c r="AV456" s="57" t="str">
        <f t="shared" si="225"/>
        <v/>
      </c>
      <c r="AW456" s="57" t="str">
        <f>IF(AND(ISNUMBER(I456),ISNUMBER(#REF!)),I456-#REF!,"")</f>
        <v/>
      </c>
      <c r="AX456" s="57">
        <f t="shared" si="215"/>
        <v>-2.5999999999999979</v>
      </c>
      <c r="AY456" s="57">
        <f t="shared" si="233"/>
        <v>21.5</v>
      </c>
      <c r="AZ456" s="57">
        <f t="shared" si="234"/>
        <v>5.2999999999999972</v>
      </c>
      <c r="BA456" s="60" t="str">
        <f t="shared" si="224"/>
        <v/>
      </c>
      <c r="BB456" s="60"/>
      <c r="BC456" s="60"/>
      <c r="BD456" s="60"/>
      <c r="BE456" s="6">
        <f t="shared" si="232"/>
        <v>10.336134453781511</v>
      </c>
      <c r="BF456" s="6">
        <f t="shared" si="230"/>
        <v>5.2071206316279888</v>
      </c>
    </row>
    <row r="457" spans="1:58" ht="15.75">
      <c r="B457" s="94">
        <v>45717</v>
      </c>
      <c r="C457" s="1">
        <v>213</v>
      </c>
      <c r="D457" s="3">
        <v>452</v>
      </c>
      <c r="E457" s="205" t="str">
        <f t="shared" si="235"/>
        <v/>
      </c>
      <c r="I457" s="15">
        <f t="shared" si="229"/>
        <v>20</v>
      </c>
      <c r="K457" s="10" t="str">
        <f t="shared" si="212"/>
        <v/>
      </c>
      <c r="L457" s="9" t="str">
        <f t="shared" si="213"/>
        <v/>
      </c>
      <c r="M457" s="8" t="str">
        <f t="shared" si="214"/>
        <v/>
      </c>
      <c r="AB457" s="5">
        <v>80</v>
      </c>
      <c r="AD457" s="95">
        <v>20</v>
      </c>
      <c r="AG457" s="88"/>
      <c r="AH457" s="20"/>
      <c r="AJ457" s="1">
        <v>71</v>
      </c>
      <c r="AK457" s="3">
        <f t="shared" si="204"/>
        <v>240</v>
      </c>
      <c r="AN457" s="80">
        <f t="shared" si="231"/>
        <v>40</v>
      </c>
      <c r="AP457" s="13">
        <f>(AO453+AO462)/2</f>
        <v>1984.9999999999909</v>
      </c>
      <c r="AR457" s="17" t="e">
        <f t="shared" si="219"/>
        <v>#VALUE!</v>
      </c>
      <c r="AS457" s="16">
        <f>(I457-AF456)/I457</f>
        <v>1</v>
      </c>
      <c r="AT457" s="16"/>
      <c r="AU457" s="16" t="e">
        <f t="shared" si="221"/>
        <v>#DIV/0!</v>
      </c>
      <c r="AV457" s="57" t="str">
        <f t="shared" si="225"/>
        <v/>
      </c>
      <c r="AW457" s="57">
        <f>IF(AND(ISNUMBER(I457),ISNUMBER(AF456)),I457-AF456,"")</f>
        <v>20</v>
      </c>
      <c r="AX457" s="57" t="str">
        <f t="shared" si="215"/>
        <v/>
      </c>
      <c r="AY457" s="57" t="str">
        <f t="shared" si="233"/>
        <v/>
      </c>
      <c r="AZ457" s="57" t="str">
        <f t="shared" si="234"/>
        <v/>
      </c>
      <c r="BA457" s="60" t="str">
        <f t="shared" si="224"/>
        <v/>
      </c>
      <c r="BB457" s="60">
        <f>IF(AND($I457&gt;0,$AF456&gt;=0),IF(($I457-$AF456)/$I457&gt;0,($I457-$AF456)/$I457,0),"")</f>
        <v>1</v>
      </c>
      <c r="BC457" s="60"/>
      <c r="BD457" s="60" t="str">
        <f t="shared" ref="BD457:BD468" si="236">IF(AND($G457&gt;0,$AM457&gt;0),IF(($G457-$AM457)/$G457&gt;0,($G457-$AM457)/$G457,0),"")</f>
        <v/>
      </c>
      <c r="BE457" s="6">
        <f t="shared" si="232"/>
        <v>16.901408450704224</v>
      </c>
      <c r="BF457" s="6" t="str">
        <f t="shared" si="230"/>
        <v/>
      </c>
    </row>
    <row r="458" spans="1:58" ht="15.75">
      <c r="B458" s="94">
        <v>45718</v>
      </c>
      <c r="C458" s="1">
        <v>214</v>
      </c>
      <c r="D458" s="3">
        <v>453</v>
      </c>
      <c r="E458" s="205" t="str">
        <f t="shared" si="235"/>
        <v/>
      </c>
      <c r="I458" s="15">
        <f t="shared" si="229"/>
        <v>20</v>
      </c>
      <c r="K458" s="10" t="str">
        <f t="shared" si="212"/>
        <v/>
      </c>
      <c r="L458" s="9" t="str">
        <f t="shared" si="213"/>
        <v/>
      </c>
      <c r="M458" s="8" t="str">
        <f t="shared" si="214"/>
        <v/>
      </c>
      <c r="AB458" s="5">
        <v>80</v>
      </c>
      <c r="AD458" s="95">
        <v>20</v>
      </c>
      <c r="AG458" s="88"/>
      <c r="AH458" s="20"/>
      <c r="AJ458" s="1">
        <v>75</v>
      </c>
      <c r="AK458" s="3">
        <f t="shared" si="204"/>
        <v>240</v>
      </c>
      <c r="AN458" s="80">
        <f t="shared" si="231"/>
        <v>40</v>
      </c>
      <c r="AP458" s="13">
        <f>(AO453+AO462)/2</f>
        <v>1984.9999999999909</v>
      </c>
      <c r="AR458" s="17" t="e">
        <f t="shared" si="219"/>
        <v>#VALUE!</v>
      </c>
      <c r="AS458" s="16">
        <f t="shared" ref="AS458:AS489" si="237">(I458-AF458)/I458</f>
        <v>1</v>
      </c>
      <c r="AT458" s="16"/>
      <c r="AU458" s="16" t="e">
        <f t="shared" si="221"/>
        <v>#DIV/0!</v>
      </c>
      <c r="AV458" s="57" t="str">
        <f t="shared" si="225"/>
        <v/>
      </c>
      <c r="AW458" s="57" t="str">
        <f t="shared" ref="AW458:AW521" si="238">IF(AND(ISNUMBER(I458),ISNUMBER(AF458)),I458-AF458,"")</f>
        <v/>
      </c>
      <c r="AX458" s="57" t="str">
        <f t="shared" si="215"/>
        <v/>
      </c>
      <c r="AY458" s="57" t="str">
        <f t="shared" si="233"/>
        <v/>
      </c>
      <c r="AZ458" s="57" t="str">
        <f t="shared" si="234"/>
        <v/>
      </c>
      <c r="BA458" s="60" t="str">
        <f t="shared" si="224"/>
        <v/>
      </c>
      <c r="BB458" s="60">
        <f t="shared" ref="BB458:BB471" si="239">IF(AND($I458&gt;0,$AF458&gt;=0),IF(($I458-$AF458)/$I458&gt;0,($I458-$AF458)/$I458,0),"")</f>
        <v>1</v>
      </c>
      <c r="BC458" s="60"/>
      <c r="BD458" s="60" t="str">
        <f t="shared" si="236"/>
        <v/>
      </c>
      <c r="BE458" s="6">
        <f t="shared" si="232"/>
        <v>16</v>
      </c>
      <c r="BF458" s="6" t="str">
        <f t="shared" si="230"/>
        <v/>
      </c>
    </row>
    <row r="459" spans="1:58" ht="15.75">
      <c r="A459" s="25" t="s">
        <v>68</v>
      </c>
      <c r="B459" s="94">
        <v>45719</v>
      </c>
      <c r="C459" s="1">
        <v>215</v>
      </c>
      <c r="D459" s="3">
        <v>454</v>
      </c>
      <c r="E459" s="205" t="str">
        <f t="shared" si="235"/>
        <v/>
      </c>
      <c r="I459" s="15">
        <f t="shared" si="229"/>
        <v>20</v>
      </c>
      <c r="K459" s="10" t="str">
        <f t="shared" si="212"/>
        <v/>
      </c>
      <c r="L459" s="9" t="str">
        <f t="shared" si="213"/>
        <v/>
      </c>
      <c r="M459" s="8" t="str">
        <f t="shared" si="214"/>
        <v/>
      </c>
      <c r="AB459" s="5">
        <v>80</v>
      </c>
      <c r="AD459" s="95">
        <v>20</v>
      </c>
      <c r="AG459" s="88">
        <v>38.340000000000003</v>
      </c>
      <c r="AH459" s="20">
        <v>0.51192129629629635</v>
      </c>
      <c r="AJ459" s="1">
        <v>109</v>
      </c>
      <c r="AK459" s="3">
        <f t="shared" si="204"/>
        <v>240</v>
      </c>
      <c r="AN459" s="80">
        <f t="shared" si="231"/>
        <v>40</v>
      </c>
      <c r="AP459" s="13">
        <f>(AO453+AO462)/2</f>
        <v>1984.9999999999909</v>
      </c>
      <c r="AR459" s="17" t="e">
        <f t="shared" si="219"/>
        <v>#VALUE!</v>
      </c>
      <c r="AS459" s="16">
        <f t="shared" si="237"/>
        <v>1</v>
      </c>
      <c r="AT459" s="16"/>
      <c r="AU459" s="16" t="e">
        <f t="shared" si="221"/>
        <v>#DIV/0!</v>
      </c>
      <c r="AV459" s="57" t="str">
        <f t="shared" si="225"/>
        <v/>
      </c>
      <c r="AW459" s="57" t="str">
        <f t="shared" si="238"/>
        <v/>
      </c>
      <c r="AX459" s="57" t="str">
        <f t="shared" si="215"/>
        <v/>
      </c>
      <c r="AY459" s="57" t="str">
        <f t="shared" si="233"/>
        <v/>
      </c>
      <c r="AZ459" s="57" t="str">
        <f t="shared" si="234"/>
        <v/>
      </c>
      <c r="BA459" s="60" t="str">
        <f t="shared" si="224"/>
        <v/>
      </c>
      <c r="BB459" s="60">
        <f t="shared" si="239"/>
        <v>1</v>
      </c>
      <c r="BC459" s="60"/>
      <c r="BD459" s="60" t="str">
        <f t="shared" si="236"/>
        <v/>
      </c>
      <c r="BE459" s="6">
        <f t="shared" si="232"/>
        <v>11.009174311926605</v>
      </c>
      <c r="BF459" s="6" t="str">
        <f t="shared" si="230"/>
        <v/>
      </c>
    </row>
    <row r="460" spans="1:58" ht="15.75">
      <c r="B460" s="94">
        <v>45720</v>
      </c>
      <c r="C460" s="1">
        <v>216</v>
      </c>
      <c r="D460" s="3">
        <v>455</v>
      </c>
      <c r="E460" s="205">
        <f t="shared" si="235"/>
        <v>297.42039999999997</v>
      </c>
      <c r="G460" s="15">
        <f>(N460*18-H460*18)/9</f>
        <v>13.229999999999999</v>
      </c>
      <c r="H460" s="15">
        <f>5*0.697</f>
        <v>3.4849999999999999</v>
      </c>
      <c r="I460" s="15">
        <f t="shared" si="229"/>
        <v>19.25</v>
      </c>
      <c r="K460" s="10">
        <f t="shared" si="212"/>
        <v>22.480755857898714</v>
      </c>
      <c r="L460" s="9">
        <f t="shared" si="213"/>
        <v>7.7252051948051941</v>
      </c>
      <c r="M460" s="8">
        <f t="shared" si="214"/>
        <v>2.9100529100529102</v>
      </c>
      <c r="N460" s="7">
        <v>10.1</v>
      </c>
      <c r="O460">
        <v>95.251999999999995</v>
      </c>
      <c r="P460">
        <v>31.094000000000001</v>
      </c>
      <c r="Q460" s="6">
        <f>O460*1.067</f>
        <v>101.63388399999999</v>
      </c>
      <c r="R460" s="6">
        <f>P460*1.514</f>
        <v>47.076316000000006</v>
      </c>
      <c r="S460" s="23">
        <f>P460*1.514+O460*1.067</f>
        <v>148.71019999999999</v>
      </c>
      <c r="T460" s="6">
        <f>20*1.55</f>
        <v>31</v>
      </c>
      <c r="U460">
        <f>0.235*1.067</f>
        <v>0.250745</v>
      </c>
      <c r="V460" s="6">
        <v>0</v>
      </c>
      <c r="W460" s="23">
        <f>U460*1.067+V460*1.514</f>
        <v>0.26754491499999999</v>
      </c>
      <c r="AB460" s="5">
        <v>80</v>
      </c>
      <c r="AC460" s="7">
        <f>T460</f>
        <v>31</v>
      </c>
      <c r="AD460" s="1">
        <f>5*3.85</f>
        <v>19.25</v>
      </c>
      <c r="AE460" s="1">
        <f>10*0.998</f>
        <v>9.98</v>
      </c>
      <c r="AF460" s="1">
        <v>0</v>
      </c>
      <c r="AG460" s="88">
        <v>3.93</v>
      </c>
      <c r="AH460" s="20">
        <v>0.49363425925925924</v>
      </c>
      <c r="AJ460" s="1">
        <v>159</v>
      </c>
      <c r="AK460" s="3">
        <f t="shared" si="204"/>
        <v>240</v>
      </c>
      <c r="AL460" s="4">
        <f>AE460</f>
        <v>9.98</v>
      </c>
      <c r="AM460" s="1">
        <f>5*1.1</f>
        <v>5.5</v>
      </c>
      <c r="AN460" s="80">
        <f t="shared" si="231"/>
        <v>40</v>
      </c>
      <c r="AP460" s="13">
        <f t="shared" ref="AP460:AP523" si="240">AVERAGE(AO458:AO464)</f>
        <v>2070.0000000000273</v>
      </c>
      <c r="AR460" s="17">
        <f t="shared" si="219"/>
        <v>0.99910044867467074</v>
      </c>
      <c r="AS460" s="16">
        <f t="shared" si="237"/>
        <v>1</v>
      </c>
      <c r="AT460" s="16"/>
      <c r="AU460" s="16">
        <f t="shared" si="221"/>
        <v>0.58427815570672714</v>
      </c>
      <c r="AV460" s="57">
        <f t="shared" si="225"/>
        <v>297.152855085</v>
      </c>
      <c r="AW460" s="57">
        <f t="shared" si="238"/>
        <v>19.25</v>
      </c>
      <c r="AX460" s="57">
        <f t="shared" si="215"/>
        <v>7.7299999999999986</v>
      </c>
      <c r="AY460" s="57">
        <f t="shared" si="233"/>
        <v>21.02</v>
      </c>
      <c r="AZ460" s="57">
        <f t="shared" si="234"/>
        <v>4.4800000000000004</v>
      </c>
      <c r="BA460" s="60">
        <f t="shared" si="224"/>
        <v>0.99910044867467074</v>
      </c>
      <c r="BB460" s="60">
        <f t="shared" si="239"/>
        <v>1</v>
      </c>
      <c r="BC460" s="60"/>
      <c r="BD460" s="60">
        <f t="shared" si="236"/>
        <v>0.58427815570672714</v>
      </c>
      <c r="BE460" s="6">
        <f t="shared" si="232"/>
        <v>7.2641509433962268</v>
      </c>
      <c r="BF460" s="6"/>
    </row>
    <row r="461" spans="1:58" ht="15.75">
      <c r="B461" s="94">
        <v>45721</v>
      </c>
      <c r="C461" s="1">
        <v>217</v>
      </c>
      <c r="D461" s="3">
        <v>456</v>
      </c>
      <c r="E461" s="205" t="str">
        <f t="shared" si="235"/>
        <v/>
      </c>
      <c r="I461" s="15">
        <f t="shared" si="229"/>
        <v>20</v>
      </c>
      <c r="K461" s="10" t="str">
        <f t="shared" si="212"/>
        <v/>
      </c>
      <c r="L461" s="9" t="str">
        <f t="shared" si="213"/>
        <v/>
      </c>
      <c r="M461" s="8" t="str">
        <f t="shared" si="214"/>
        <v/>
      </c>
      <c r="AB461" s="5">
        <v>80</v>
      </c>
      <c r="AD461" s="95">
        <v>20</v>
      </c>
      <c r="AG461" s="88">
        <v>3.77</v>
      </c>
      <c r="AH461" s="20">
        <v>0.48275462962962962</v>
      </c>
      <c r="AJ461" s="1">
        <v>121</v>
      </c>
      <c r="AK461" s="3">
        <f t="shared" si="204"/>
        <v>240</v>
      </c>
      <c r="AN461" s="80">
        <f t="shared" si="231"/>
        <v>40</v>
      </c>
      <c r="AP461" s="13">
        <f t="shared" si="240"/>
        <v>2070.0000000000273</v>
      </c>
      <c r="AR461" s="17" t="e">
        <f t="shared" si="219"/>
        <v>#VALUE!</v>
      </c>
      <c r="AS461" s="16">
        <f t="shared" si="237"/>
        <v>1</v>
      </c>
      <c r="AT461" s="16"/>
      <c r="AU461" s="16" t="e">
        <f t="shared" si="221"/>
        <v>#DIV/0!</v>
      </c>
      <c r="AV461" s="57" t="str">
        <f t="shared" si="225"/>
        <v/>
      </c>
      <c r="AW461" s="57" t="str">
        <f t="shared" si="238"/>
        <v/>
      </c>
      <c r="AX461" s="57" t="str">
        <f t="shared" si="215"/>
        <v/>
      </c>
      <c r="AY461" s="57" t="str">
        <f t="shared" si="233"/>
        <v/>
      </c>
      <c r="AZ461" s="57" t="str">
        <f t="shared" si="234"/>
        <v/>
      </c>
      <c r="BA461" s="60" t="str">
        <f t="shared" si="224"/>
        <v/>
      </c>
      <c r="BB461" s="60">
        <f t="shared" si="239"/>
        <v>1</v>
      </c>
      <c r="BC461" s="60"/>
      <c r="BD461" s="60" t="str">
        <f t="shared" si="236"/>
        <v/>
      </c>
      <c r="BE461" s="6">
        <f t="shared" si="232"/>
        <v>9.9173553719008272</v>
      </c>
      <c r="BF461" s="6" t="str">
        <f t="shared" ref="BF461:BF492" si="241">IF(OR(AJ461=0,AP461=0,NOT(ISNUMBER(AD461)),NOT(ISNUMBER(AF461)),NOT(ISNUMBER(AJ461)),NOT(ISNUMBER(AP461))),"",
IFERROR(IF((AD461-AF461)/(AJ461/60)/(AP461/1000)&lt;=0,"",(AD461-AF461)/(AJ461/60)/(AP461/1000)),""))</f>
        <v/>
      </c>
    </row>
    <row r="462" spans="1:58" ht="15.75">
      <c r="B462" s="94">
        <v>45722</v>
      </c>
      <c r="C462" s="1">
        <v>218</v>
      </c>
      <c r="D462" s="3">
        <v>457</v>
      </c>
      <c r="E462" s="205">
        <f t="shared" si="235"/>
        <v>242.79604199999997</v>
      </c>
      <c r="G462" s="15">
        <f>(N462*18-H462*18)/9</f>
        <v>17.999999999999996</v>
      </c>
      <c r="H462" s="15">
        <f>5*1.68</f>
        <v>8.4</v>
      </c>
      <c r="I462" s="15">
        <f t="shared" si="229"/>
        <v>21</v>
      </c>
      <c r="K462" s="10">
        <f t="shared" si="212"/>
        <v>13.488669000000002</v>
      </c>
      <c r="L462" s="9">
        <f t="shared" si="213"/>
        <v>5.7808581428571424</v>
      </c>
      <c r="M462" s="8">
        <f t="shared" si="214"/>
        <v>2.3333333333333339</v>
      </c>
      <c r="N462" s="7">
        <v>17.399999999999999</v>
      </c>
      <c r="O462">
        <v>61.302999999999997</v>
      </c>
      <c r="P462">
        <v>36.979999999999997</v>
      </c>
      <c r="Q462" s="6">
        <f>O462*1.067</f>
        <v>65.41030099999999</v>
      </c>
      <c r="R462" s="6">
        <f>P462*1.514</f>
        <v>55.987719999999996</v>
      </c>
      <c r="S462" s="23">
        <f>P462*1.514+O462*1.067</f>
        <v>121.39802099999999</v>
      </c>
      <c r="T462" s="6">
        <f>20*2.26</f>
        <v>45.199999999999996</v>
      </c>
      <c r="U462" s="6">
        <v>0</v>
      </c>
      <c r="V462" s="6">
        <v>0</v>
      </c>
      <c r="W462" s="23">
        <f>U462*1.067+V462*1.514</f>
        <v>0</v>
      </c>
      <c r="AB462" s="5">
        <v>80</v>
      </c>
      <c r="AC462" s="7">
        <f>T462</f>
        <v>45.199999999999996</v>
      </c>
      <c r="AD462" s="1">
        <f>5*4.2</f>
        <v>21</v>
      </c>
      <c r="AE462" s="1">
        <v>17.100000000000001</v>
      </c>
      <c r="AF462" s="1">
        <v>0</v>
      </c>
      <c r="AG462" s="88"/>
      <c r="AH462"/>
      <c r="AJ462" s="1">
        <v>129</v>
      </c>
      <c r="AK462" s="3">
        <f t="shared" si="204"/>
        <v>240</v>
      </c>
      <c r="AL462" s="4">
        <f>AE462</f>
        <v>17.100000000000001</v>
      </c>
      <c r="AM462" s="1">
        <f>5*1.25</f>
        <v>6.25</v>
      </c>
      <c r="AN462" s="80">
        <f t="shared" si="231"/>
        <v>40</v>
      </c>
      <c r="AO462" s="2">
        <f>[2]HRT_SRT!P516</f>
        <v>2070.0000000000273</v>
      </c>
      <c r="AP462" s="13">
        <f t="shared" si="240"/>
        <v>2070.0000000000273</v>
      </c>
      <c r="AQ462" s="2">
        <f>[2]HRT_SRT!R516</f>
        <v>27.296703296703427</v>
      </c>
      <c r="AR462" s="17">
        <f t="shared" si="219"/>
        <v>1</v>
      </c>
      <c r="AS462" s="16">
        <f t="shared" si="237"/>
        <v>1</v>
      </c>
      <c r="AT462" s="16"/>
      <c r="AU462" s="16">
        <f t="shared" si="221"/>
        <v>0.65277777777777768</v>
      </c>
      <c r="AV462" s="57">
        <f t="shared" si="225"/>
        <v>242.79604199999997</v>
      </c>
      <c r="AW462" s="57">
        <f t="shared" si="238"/>
        <v>21</v>
      </c>
      <c r="AX462" s="57">
        <f t="shared" si="215"/>
        <v>11.749999999999996</v>
      </c>
      <c r="AY462" s="57">
        <f t="shared" si="233"/>
        <v>28.099999999999994</v>
      </c>
      <c r="AZ462" s="57">
        <f t="shared" si="234"/>
        <v>10.850000000000001</v>
      </c>
      <c r="BA462" s="60" t="str">
        <f t="shared" si="224"/>
        <v/>
      </c>
      <c r="BB462" s="60">
        <f t="shared" si="239"/>
        <v>1</v>
      </c>
      <c r="BC462" s="60"/>
      <c r="BD462" s="60">
        <f t="shared" si="236"/>
        <v>0.65277777777777768</v>
      </c>
      <c r="BE462" s="6">
        <f t="shared" si="232"/>
        <v>9.7674418604651159</v>
      </c>
      <c r="BF462" s="6">
        <f t="shared" si="241"/>
        <v>4.718570947084535</v>
      </c>
    </row>
    <row r="463" spans="1:58" ht="15.75">
      <c r="B463" s="94">
        <v>45723</v>
      </c>
      <c r="C463" s="1">
        <v>219</v>
      </c>
      <c r="D463" s="3">
        <v>458</v>
      </c>
      <c r="E463" s="205" t="str">
        <f t="shared" si="235"/>
        <v/>
      </c>
      <c r="I463" s="15">
        <f t="shared" si="229"/>
        <v>20.5</v>
      </c>
      <c r="K463" s="10" t="str">
        <f t="shared" si="212"/>
        <v/>
      </c>
      <c r="L463" s="9" t="str">
        <f t="shared" si="213"/>
        <v/>
      </c>
      <c r="M463" s="8" t="str">
        <f t="shared" si="214"/>
        <v/>
      </c>
      <c r="AB463" s="5">
        <v>80</v>
      </c>
      <c r="AD463" s="93">
        <v>20.5</v>
      </c>
      <c r="AG463" s="88">
        <v>18.02</v>
      </c>
      <c r="AH463" s="20">
        <v>0.38541666666666669</v>
      </c>
      <c r="AJ463" s="1">
        <v>105</v>
      </c>
      <c r="AK463" s="3">
        <f t="shared" si="204"/>
        <v>240</v>
      </c>
      <c r="AN463" s="80">
        <f t="shared" si="231"/>
        <v>40</v>
      </c>
      <c r="AP463" s="13">
        <f t="shared" si="240"/>
        <v>2015.0000000000318</v>
      </c>
      <c r="AR463" s="17" t="e">
        <f t="shared" si="219"/>
        <v>#VALUE!</v>
      </c>
      <c r="AS463" s="16">
        <f t="shared" si="237"/>
        <v>1</v>
      </c>
      <c r="AT463" s="16"/>
      <c r="AU463" s="16" t="e">
        <f t="shared" si="221"/>
        <v>#DIV/0!</v>
      </c>
      <c r="AV463" s="57" t="str">
        <f t="shared" si="225"/>
        <v/>
      </c>
      <c r="AW463" s="57" t="str">
        <f t="shared" si="238"/>
        <v/>
      </c>
      <c r="AX463" s="57" t="str">
        <f t="shared" si="215"/>
        <v/>
      </c>
      <c r="AY463" s="57" t="str">
        <f t="shared" si="233"/>
        <v/>
      </c>
      <c r="AZ463" s="57" t="str">
        <f t="shared" ref="AZ463:AZ486" si="242">IF(AND(ISNUMBER(AL463),ISNUMBER(AM463)),AL463-AM463,"")</f>
        <v/>
      </c>
      <c r="BA463" s="60" t="str">
        <f t="shared" si="224"/>
        <v/>
      </c>
      <c r="BB463" s="60">
        <f t="shared" si="239"/>
        <v>1</v>
      </c>
      <c r="BC463" s="60"/>
      <c r="BD463" s="60" t="str">
        <f t="shared" si="236"/>
        <v/>
      </c>
      <c r="BE463" s="6">
        <f t="shared" si="232"/>
        <v>11.714285714285714</v>
      </c>
      <c r="BF463" s="6" t="str">
        <f t="shared" si="241"/>
        <v/>
      </c>
    </row>
    <row r="464" spans="1:58" ht="15.75">
      <c r="B464" s="94">
        <v>45724</v>
      </c>
      <c r="C464" s="1">
        <v>220</v>
      </c>
      <c r="D464" s="3">
        <v>459</v>
      </c>
      <c r="E464" s="205" t="str">
        <f t="shared" si="235"/>
        <v/>
      </c>
      <c r="I464" s="9">
        <f t="shared" si="229"/>
        <v>20</v>
      </c>
      <c r="K464" s="10" t="str">
        <f t="shared" si="212"/>
        <v/>
      </c>
      <c r="L464" s="9" t="str">
        <f t="shared" si="213"/>
        <v/>
      </c>
      <c r="M464" s="8" t="str">
        <f t="shared" si="214"/>
        <v/>
      </c>
      <c r="AB464" s="5">
        <v>80</v>
      </c>
      <c r="AD464" s="93">
        <v>20</v>
      </c>
      <c r="AG464" s="88">
        <v>5.21</v>
      </c>
      <c r="AH464" s="20">
        <v>0.41898148148148145</v>
      </c>
      <c r="AJ464" s="1">
        <v>107</v>
      </c>
      <c r="AK464" s="3">
        <f t="shared" si="204"/>
        <v>240</v>
      </c>
      <c r="AN464" s="80">
        <f t="shared" si="231"/>
        <v>40</v>
      </c>
      <c r="AP464" s="13">
        <f t="shared" si="240"/>
        <v>2015.0000000000318</v>
      </c>
      <c r="AR464" s="17" t="e">
        <f t="shared" si="219"/>
        <v>#VALUE!</v>
      </c>
      <c r="AS464" s="16">
        <f t="shared" si="237"/>
        <v>1</v>
      </c>
      <c r="AT464" s="16"/>
      <c r="AU464" s="16" t="e">
        <f t="shared" si="221"/>
        <v>#DIV/0!</v>
      </c>
      <c r="AV464" s="57" t="str">
        <f t="shared" si="225"/>
        <v/>
      </c>
      <c r="AW464" s="57" t="str">
        <f t="shared" si="238"/>
        <v/>
      </c>
      <c r="AX464" s="57" t="str">
        <f t="shared" si="215"/>
        <v/>
      </c>
      <c r="AY464" s="57" t="str">
        <f t="shared" si="233"/>
        <v/>
      </c>
      <c r="AZ464" s="57" t="str">
        <f t="shared" si="242"/>
        <v/>
      </c>
      <c r="BA464" s="60" t="str">
        <f t="shared" si="224"/>
        <v/>
      </c>
      <c r="BB464" s="60">
        <f t="shared" si="239"/>
        <v>1</v>
      </c>
      <c r="BC464" s="60"/>
      <c r="BD464" s="60" t="str">
        <f t="shared" si="236"/>
        <v/>
      </c>
      <c r="BE464" s="6">
        <f t="shared" si="232"/>
        <v>11.214953271028037</v>
      </c>
      <c r="BF464" s="6" t="str">
        <f t="shared" si="241"/>
        <v/>
      </c>
    </row>
    <row r="465" spans="1:58" ht="15.75">
      <c r="A465" s="12" t="s">
        <v>67</v>
      </c>
      <c r="B465" s="94">
        <v>45725</v>
      </c>
      <c r="C465" s="1">
        <v>221</v>
      </c>
      <c r="D465" s="3">
        <v>460</v>
      </c>
      <c r="E465" s="205" t="str">
        <f t="shared" si="235"/>
        <v/>
      </c>
      <c r="K465" s="10" t="str">
        <f t="shared" si="212"/>
        <v/>
      </c>
      <c r="L465" s="9" t="str">
        <f t="shared" si="213"/>
        <v/>
      </c>
      <c r="M465" s="8" t="str">
        <f t="shared" si="214"/>
        <v/>
      </c>
      <c r="AB465" s="5">
        <v>80</v>
      </c>
      <c r="AD465" s="93">
        <v>19.5</v>
      </c>
      <c r="AG465" s="88">
        <v>5.18</v>
      </c>
      <c r="AH465" s="20">
        <v>0.41875000000000001</v>
      </c>
      <c r="AJ465" s="1">
        <v>129</v>
      </c>
      <c r="AK465" s="3">
        <f t="shared" ref="AK465:AK528" si="243">180+60</f>
        <v>240</v>
      </c>
      <c r="AN465" s="80">
        <f t="shared" si="231"/>
        <v>40</v>
      </c>
      <c r="AP465" s="13">
        <f t="shared" si="240"/>
        <v>1960.0000000000364</v>
      </c>
      <c r="AR465" s="17" t="e">
        <f t="shared" si="219"/>
        <v>#VALUE!</v>
      </c>
      <c r="AS465" s="16" t="e">
        <f t="shared" si="237"/>
        <v>#DIV/0!</v>
      </c>
      <c r="AT465" s="16"/>
      <c r="AU465" s="16" t="e">
        <f t="shared" si="221"/>
        <v>#DIV/0!</v>
      </c>
      <c r="AV465" s="57" t="str">
        <f t="shared" si="225"/>
        <v/>
      </c>
      <c r="AW465" s="57" t="str">
        <f t="shared" si="238"/>
        <v/>
      </c>
      <c r="AX465" s="57" t="str">
        <f t="shared" si="215"/>
        <v/>
      </c>
      <c r="AY465" s="57" t="str">
        <f t="shared" si="233"/>
        <v/>
      </c>
      <c r="AZ465" s="57" t="str">
        <f t="shared" si="242"/>
        <v/>
      </c>
      <c r="BA465" s="60" t="str">
        <f t="shared" si="224"/>
        <v/>
      </c>
      <c r="BB465" s="60" t="str">
        <f t="shared" si="239"/>
        <v/>
      </c>
      <c r="BC465" s="60"/>
      <c r="BD465" s="60" t="str">
        <f t="shared" si="236"/>
        <v/>
      </c>
      <c r="BE465" s="6">
        <f t="shared" si="232"/>
        <v>9.0697674418604652</v>
      </c>
      <c r="BF465" s="6" t="str">
        <f t="shared" si="241"/>
        <v/>
      </c>
    </row>
    <row r="466" spans="1:58" ht="15.75">
      <c r="A466" s="12" t="s">
        <v>66</v>
      </c>
      <c r="B466" s="94">
        <v>45726</v>
      </c>
      <c r="C466" s="1">
        <v>222</v>
      </c>
      <c r="D466" s="3">
        <v>461</v>
      </c>
      <c r="E466" s="205" t="str">
        <f t="shared" si="235"/>
        <v/>
      </c>
      <c r="K466" s="10" t="str">
        <f t="shared" si="212"/>
        <v/>
      </c>
      <c r="L466" s="9" t="str">
        <f t="shared" si="213"/>
        <v/>
      </c>
      <c r="M466" s="8" t="str">
        <f t="shared" si="214"/>
        <v/>
      </c>
      <c r="AB466" s="5">
        <v>80</v>
      </c>
      <c r="AD466" s="93">
        <v>19</v>
      </c>
      <c r="AG466" s="88">
        <v>3.79</v>
      </c>
      <c r="AH466" s="20">
        <v>0.41099537037037037</v>
      </c>
      <c r="AJ466" s="1">
        <v>131</v>
      </c>
      <c r="AK466" s="3">
        <f t="shared" si="243"/>
        <v>240</v>
      </c>
      <c r="AN466" s="80">
        <f t="shared" si="231"/>
        <v>40</v>
      </c>
      <c r="AO466" s="92"/>
      <c r="AP466" s="13">
        <f t="shared" si="240"/>
        <v>1960.0000000000364</v>
      </c>
      <c r="AR466" s="17" t="e">
        <f t="shared" si="219"/>
        <v>#VALUE!</v>
      </c>
      <c r="AS466" s="16" t="e">
        <f t="shared" si="237"/>
        <v>#DIV/0!</v>
      </c>
      <c r="AT466" s="16"/>
      <c r="AU466" s="16" t="e">
        <f t="shared" si="221"/>
        <v>#DIV/0!</v>
      </c>
      <c r="AV466" s="57" t="str">
        <f t="shared" si="225"/>
        <v/>
      </c>
      <c r="AW466" s="57" t="str">
        <f t="shared" si="238"/>
        <v/>
      </c>
      <c r="AX466" s="57" t="str">
        <f t="shared" si="215"/>
        <v/>
      </c>
      <c r="AY466" s="57" t="str">
        <f t="shared" si="233"/>
        <v/>
      </c>
      <c r="AZ466" s="57" t="str">
        <f t="shared" si="242"/>
        <v/>
      </c>
      <c r="BA466" s="60" t="str">
        <f t="shared" si="224"/>
        <v/>
      </c>
      <c r="BB466" s="60" t="str">
        <f t="shared" si="239"/>
        <v/>
      </c>
      <c r="BC466" s="60"/>
      <c r="BD466" s="60" t="str">
        <f t="shared" si="236"/>
        <v/>
      </c>
      <c r="BE466" s="6">
        <f t="shared" si="232"/>
        <v>8.7022900763358795</v>
      </c>
      <c r="BF466" s="6" t="str">
        <f t="shared" si="241"/>
        <v/>
      </c>
    </row>
    <row r="467" spans="1:58" s="27" customFormat="1" ht="30">
      <c r="A467" s="91" t="s">
        <v>65</v>
      </c>
      <c r="B467" s="90">
        <v>45727</v>
      </c>
      <c r="C467" s="1">
        <v>223</v>
      </c>
      <c r="D467" s="29">
        <v>462</v>
      </c>
      <c r="E467" s="205" t="str">
        <f t="shared" si="235"/>
        <v/>
      </c>
      <c r="F467" s="36"/>
      <c r="G467" s="36"/>
      <c r="H467" s="36"/>
      <c r="I467" s="36"/>
      <c r="J467" s="35"/>
      <c r="K467" s="10" t="str">
        <f t="shared" si="212"/>
        <v/>
      </c>
      <c r="L467" s="9" t="str">
        <f t="shared" si="213"/>
        <v/>
      </c>
      <c r="M467" s="8" t="str">
        <f t="shared" si="214"/>
        <v/>
      </c>
      <c r="N467" s="34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74">
        <v>80</v>
      </c>
      <c r="AC467" s="32"/>
      <c r="AD467" s="89">
        <v>18.5</v>
      </c>
      <c r="AG467" s="88">
        <v>5.7</v>
      </c>
      <c r="AH467" s="20">
        <v>0.39756944444444442</v>
      </c>
      <c r="AJ467" s="27">
        <v>143</v>
      </c>
      <c r="AK467" s="29">
        <f t="shared" si="243"/>
        <v>240</v>
      </c>
      <c r="AL467" s="32"/>
      <c r="AN467" s="87">
        <f t="shared" si="231"/>
        <v>40</v>
      </c>
      <c r="AO467" s="86">
        <f>[2]HRT_SRT!P521</f>
        <v>1960.0000000000364</v>
      </c>
      <c r="AP467" s="13">
        <f t="shared" si="240"/>
        <v>1960.0000000000364</v>
      </c>
      <c r="AQ467" s="28">
        <f>[2]HRT_SRT!R521</f>
        <v>26.068965517241562</v>
      </c>
      <c r="AR467" s="31" t="e">
        <f t="shared" si="219"/>
        <v>#VALUE!</v>
      </c>
      <c r="AS467" s="30" t="e">
        <f t="shared" si="237"/>
        <v>#DIV/0!</v>
      </c>
      <c r="AT467" s="30"/>
      <c r="AU467" s="30" t="e">
        <f t="shared" si="221"/>
        <v>#DIV/0!</v>
      </c>
      <c r="AV467" s="57" t="str">
        <f t="shared" si="225"/>
        <v/>
      </c>
      <c r="AW467" s="57" t="str">
        <f t="shared" si="238"/>
        <v/>
      </c>
      <c r="AX467" s="57" t="str">
        <f t="shared" si="215"/>
        <v/>
      </c>
      <c r="AY467" s="57" t="str">
        <f t="shared" si="233"/>
        <v/>
      </c>
      <c r="AZ467" s="57" t="str">
        <f t="shared" si="242"/>
        <v/>
      </c>
      <c r="BA467" s="60" t="str">
        <f t="shared" si="224"/>
        <v/>
      </c>
      <c r="BB467" s="85" t="str">
        <f t="shared" si="239"/>
        <v/>
      </c>
      <c r="BC467" s="85"/>
      <c r="BD467" s="85" t="str">
        <f t="shared" si="236"/>
        <v/>
      </c>
      <c r="BE467" s="6">
        <f t="shared" si="232"/>
        <v>7.7622377622377625</v>
      </c>
      <c r="BF467" s="6" t="str">
        <f t="shared" si="241"/>
        <v/>
      </c>
    </row>
    <row r="468" spans="1:58" ht="15.75">
      <c r="B468" s="11">
        <v>45728</v>
      </c>
      <c r="C468" s="1">
        <v>224</v>
      </c>
      <c r="D468" s="3">
        <v>463</v>
      </c>
      <c r="E468" s="205" t="str">
        <f t="shared" si="235"/>
        <v/>
      </c>
      <c r="G468" s="9">
        <v>14</v>
      </c>
      <c r="I468" s="15">
        <f t="shared" ref="I468:I531" si="244">AD468</f>
        <v>18.100000000000001</v>
      </c>
      <c r="K468" s="10" t="str">
        <f t="shared" si="212"/>
        <v/>
      </c>
      <c r="L468" s="9" t="str">
        <f t="shared" si="213"/>
        <v/>
      </c>
      <c r="M468" s="8">
        <f t="shared" si="214"/>
        <v>2.5857142857142859</v>
      </c>
      <c r="U468">
        <f>9.604*1.067</f>
        <v>10.247467999999998</v>
      </c>
      <c r="AB468" s="5">
        <v>80</v>
      </c>
      <c r="AC468" s="4">
        <v>38.200000000000003</v>
      </c>
      <c r="AD468" s="1">
        <f>5*3.62</f>
        <v>18.100000000000001</v>
      </c>
      <c r="AE468" s="1">
        <v>19.7</v>
      </c>
      <c r="AF468" s="1">
        <v>0</v>
      </c>
      <c r="AG468">
        <v>4.7699999999999996</v>
      </c>
      <c r="AH468" s="20">
        <v>0.39166666666666666</v>
      </c>
      <c r="AJ468" s="1">
        <v>93</v>
      </c>
      <c r="AK468" s="3">
        <f t="shared" si="243"/>
        <v>240</v>
      </c>
      <c r="AL468" s="4">
        <f>AE468</f>
        <v>19.7</v>
      </c>
      <c r="AM468" s="1">
        <v>14.7</v>
      </c>
      <c r="AN468" s="80">
        <f t="shared" si="231"/>
        <v>40</v>
      </c>
      <c r="AP468" s="13">
        <f t="shared" si="240"/>
        <v>1960.0000000000364</v>
      </c>
      <c r="AR468" s="17" t="e">
        <f t="shared" si="219"/>
        <v>#VALUE!</v>
      </c>
      <c r="AS468" s="16">
        <f t="shared" si="237"/>
        <v>1</v>
      </c>
      <c r="AT468" s="16">
        <f>AG468/(AD468-AF468)</f>
        <v>0.2635359116022099</v>
      </c>
      <c r="AU468" s="16">
        <f t="shared" si="221"/>
        <v>-4.9999999999999947E-2</v>
      </c>
      <c r="AV468" s="57" t="str">
        <f t="shared" si="225"/>
        <v/>
      </c>
      <c r="AW468" s="57">
        <f t="shared" si="238"/>
        <v>18.100000000000001</v>
      </c>
      <c r="AX468" s="57">
        <f t="shared" si="215"/>
        <v>-0.69999999999999929</v>
      </c>
      <c r="AY468" s="57">
        <f t="shared" si="233"/>
        <v>18.500000000000004</v>
      </c>
      <c r="AZ468" s="57">
        <f t="shared" si="242"/>
        <v>5</v>
      </c>
      <c r="BB468" s="84">
        <f t="shared" si="239"/>
        <v>1</v>
      </c>
      <c r="BC468" s="84">
        <f>IF(AND($AG468&gt;=0,$AD468&gt;=0,$AF468&gt;=0),IF($AG468/($AD468-$AF468)&gt;0,$AG468/($AD468-$AF468),0),"")</f>
        <v>0.2635359116022099</v>
      </c>
      <c r="BD468" s="84">
        <f t="shared" si="236"/>
        <v>0</v>
      </c>
      <c r="BE468" s="6">
        <f t="shared" si="232"/>
        <v>11.67741935483871</v>
      </c>
      <c r="BF468" s="6">
        <f t="shared" si="241"/>
        <v>5.957867017774741</v>
      </c>
    </row>
    <row r="469" spans="1:58" ht="15.75">
      <c r="B469" s="11">
        <v>45729</v>
      </c>
      <c r="C469" s="1">
        <v>225</v>
      </c>
      <c r="D469" s="3">
        <v>464</v>
      </c>
      <c r="E469" s="205" t="str">
        <f t="shared" si="235"/>
        <v/>
      </c>
      <c r="I469" s="15">
        <f t="shared" si="244"/>
        <v>0</v>
      </c>
      <c r="K469" s="10" t="str">
        <f t="shared" si="212"/>
        <v/>
      </c>
      <c r="L469" s="9" t="str">
        <f t="shared" si="213"/>
        <v/>
      </c>
      <c r="M469" s="8" t="str">
        <f t="shared" si="214"/>
        <v/>
      </c>
      <c r="AB469" s="5">
        <v>80</v>
      </c>
      <c r="AG469">
        <v>15.43</v>
      </c>
      <c r="AH469" s="20">
        <v>0.48622685185185183</v>
      </c>
      <c r="AJ469" s="1">
        <v>77</v>
      </c>
      <c r="AK469" s="3">
        <f t="shared" si="243"/>
        <v>240</v>
      </c>
      <c r="AN469" s="80">
        <f t="shared" si="231"/>
        <v>40</v>
      </c>
      <c r="AP469" s="13">
        <f t="shared" si="240"/>
        <v>1960.0000000000364</v>
      </c>
      <c r="AR469" s="17" t="e">
        <f t="shared" si="219"/>
        <v>#VALUE!</v>
      </c>
      <c r="AS469" s="16" t="e">
        <f t="shared" si="237"/>
        <v>#DIV/0!</v>
      </c>
      <c r="AT469" s="16" t="e">
        <f>AG469/(AD469-AF469)</f>
        <v>#DIV/0!</v>
      </c>
      <c r="AU469" s="16">
        <f>(G470-AM469)/G470</f>
        <v>1</v>
      </c>
      <c r="AV469" s="57" t="str">
        <f t="shared" si="225"/>
        <v/>
      </c>
      <c r="AW469" s="57" t="str">
        <f t="shared" si="238"/>
        <v/>
      </c>
      <c r="AX469" s="57" t="str">
        <f t="shared" si="215"/>
        <v/>
      </c>
      <c r="AY469" s="57" t="str">
        <f t="shared" si="233"/>
        <v/>
      </c>
      <c r="AZ469" s="57" t="str">
        <f t="shared" si="242"/>
        <v/>
      </c>
      <c r="BB469" s="84" t="str">
        <f t="shared" si="239"/>
        <v/>
      </c>
      <c r="BC469" s="84" t="e">
        <f>IF(AND($AG469&gt;=0,$AD469&gt;=0,$AF469&gt;=0),IF($AG469/($AD469-$AF469)&gt;0,$AG469/($AD469-$AF469),0),"")</f>
        <v>#DIV/0!</v>
      </c>
      <c r="BD469" s="84" t="str">
        <f>IF(AND($G470&gt;0,$AM469&gt;0),IF(($G470-$AM469)/$G470&gt;0,($G470-$AM469)/$G470,0),"")</f>
        <v/>
      </c>
      <c r="BE469" s="6" t="str">
        <f t="shared" si="232"/>
        <v/>
      </c>
      <c r="BF469" s="6" t="str">
        <f t="shared" si="241"/>
        <v/>
      </c>
    </row>
    <row r="470" spans="1:58" ht="15.75">
      <c r="B470" s="11">
        <v>45730</v>
      </c>
      <c r="C470" s="1">
        <v>226</v>
      </c>
      <c r="D470" s="3">
        <v>465</v>
      </c>
      <c r="E470" s="205" t="str">
        <f t="shared" si="235"/>
        <v/>
      </c>
      <c r="G470" s="9">
        <v>14</v>
      </c>
      <c r="I470" s="15">
        <f t="shared" si="244"/>
        <v>0</v>
      </c>
      <c r="K470" s="10" t="str">
        <f t="shared" si="212"/>
        <v/>
      </c>
      <c r="L470" s="9" t="str">
        <f t="shared" si="213"/>
        <v/>
      </c>
      <c r="M470" s="8" t="str">
        <f t="shared" si="214"/>
        <v/>
      </c>
      <c r="U470" s="6">
        <f>28.29*1.067</f>
        <v>30.185429999999997</v>
      </c>
      <c r="V470" s="6">
        <f>0*1.514</f>
        <v>0</v>
      </c>
      <c r="AB470" s="5">
        <v>80</v>
      </c>
      <c r="AG470">
        <v>5.71</v>
      </c>
      <c r="AH470" s="20">
        <v>0.38819444444444445</v>
      </c>
      <c r="AJ470" s="1">
        <v>67</v>
      </c>
      <c r="AK470" s="3">
        <f t="shared" si="243"/>
        <v>240</v>
      </c>
      <c r="AN470" s="80">
        <f t="shared" si="231"/>
        <v>40</v>
      </c>
      <c r="AP470" s="13">
        <f t="shared" si="240"/>
        <v>2409.9999999999909</v>
      </c>
      <c r="AR470" s="17" t="e">
        <f t="shared" si="219"/>
        <v>#VALUE!</v>
      </c>
      <c r="AS470" s="16" t="e">
        <f t="shared" si="237"/>
        <v>#DIV/0!</v>
      </c>
      <c r="AT470" s="16" t="e">
        <f>AG470/(AD470-AF470)</f>
        <v>#DIV/0!</v>
      </c>
      <c r="AU470" s="16" t="e">
        <f>(#REF!-AM470)/#REF!</f>
        <v>#REF!</v>
      </c>
      <c r="AV470" s="57" t="str">
        <f t="shared" si="225"/>
        <v/>
      </c>
      <c r="AW470" s="57" t="str">
        <f t="shared" si="238"/>
        <v/>
      </c>
      <c r="AX470" s="57" t="str">
        <f t="shared" si="215"/>
        <v/>
      </c>
      <c r="AY470" s="57" t="str">
        <f t="shared" si="233"/>
        <v/>
      </c>
      <c r="AZ470" s="57" t="str">
        <f t="shared" si="242"/>
        <v/>
      </c>
      <c r="BB470" s="84" t="str">
        <f t="shared" si="239"/>
        <v/>
      </c>
      <c r="BC470" s="84" t="e">
        <f>IF(AND($AG470&gt;=0,$AD470&gt;=0,$AF470&gt;=0),IF($AG470/($AD470-$AF470)&gt;0,$AG470/($AD470-$AF470),0),"")</f>
        <v>#DIV/0!</v>
      </c>
      <c r="BD470" s="84" t="e">
        <f>IF(AND(#REF!&gt;0,$AM470&gt;0),IF((#REF!-$AM470)/#REF!&gt;0,(#REF!-$AM470)/#REF!,0),"")</f>
        <v>#REF!</v>
      </c>
      <c r="BE470" s="6" t="str">
        <f t="shared" si="232"/>
        <v/>
      </c>
      <c r="BF470" s="6" t="str">
        <f t="shared" si="241"/>
        <v/>
      </c>
    </row>
    <row r="471" spans="1:58" ht="15.75">
      <c r="B471" s="11">
        <v>45731</v>
      </c>
      <c r="C471" s="1">
        <v>227</v>
      </c>
      <c r="D471" s="3">
        <v>466</v>
      </c>
      <c r="E471" s="205" t="str">
        <f t="shared" si="235"/>
        <v/>
      </c>
      <c r="I471" s="15">
        <f t="shared" si="244"/>
        <v>0</v>
      </c>
      <c r="K471" s="10" t="str">
        <f t="shared" si="212"/>
        <v/>
      </c>
      <c r="L471" s="9" t="str">
        <f t="shared" si="213"/>
        <v/>
      </c>
      <c r="M471" s="8" t="str">
        <f t="shared" si="214"/>
        <v/>
      </c>
      <c r="AB471" s="5">
        <v>80</v>
      </c>
      <c r="AG471">
        <v>6.53</v>
      </c>
      <c r="AH471" s="20">
        <v>0.39328703703703705</v>
      </c>
      <c r="AJ471" s="1">
        <v>57</v>
      </c>
      <c r="AK471" s="3">
        <f t="shared" si="243"/>
        <v>240</v>
      </c>
      <c r="AN471" s="80">
        <f t="shared" si="231"/>
        <v>40</v>
      </c>
      <c r="AP471" s="13">
        <f t="shared" si="240"/>
        <v>2409.9999999999909</v>
      </c>
      <c r="AR471" s="17" t="e">
        <f t="shared" si="219"/>
        <v>#VALUE!</v>
      </c>
      <c r="AS471" s="16" t="e">
        <f t="shared" si="237"/>
        <v>#DIV/0!</v>
      </c>
      <c r="AT471" s="16" t="e">
        <f>AG471/(AD471-AF471)</f>
        <v>#DIV/0!</v>
      </c>
      <c r="AU471" s="16" t="e">
        <f t="shared" ref="AU471:AU502" si="245">(G471-AM471)/G471</f>
        <v>#DIV/0!</v>
      </c>
      <c r="AV471" s="57" t="str">
        <f t="shared" si="225"/>
        <v/>
      </c>
      <c r="AW471" s="57" t="str">
        <f t="shared" si="238"/>
        <v/>
      </c>
      <c r="AX471" s="57" t="str">
        <f t="shared" si="215"/>
        <v/>
      </c>
      <c r="AY471" s="57" t="str">
        <f t="shared" si="233"/>
        <v/>
      </c>
      <c r="AZ471" s="57" t="str">
        <f t="shared" si="242"/>
        <v/>
      </c>
      <c r="BB471" s="84" t="str">
        <f t="shared" si="239"/>
        <v/>
      </c>
      <c r="BC471" s="84" t="e">
        <f>IF(AND($AG471&gt;=0,$AD471&gt;=0,$AF471&gt;=0),IF($AG471/($AD471-$AF471)&gt;0,$AG471/($AD471-$AF471),0),"")</f>
        <v>#DIV/0!</v>
      </c>
      <c r="BD471" s="84" t="str">
        <f>IF(AND($G471&gt;0,$AM471&gt;0),IF(($G471-$AM471)/$G471&gt;0,($G471-$AM471)/$G471,0),"")</f>
        <v/>
      </c>
      <c r="BE471" s="6" t="str">
        <f t="shared" si="232"/>
        <v/>
      </c>
      <c r="BF471" s="6" t="str">
        <f t="shared" si="241"/>
        <v/>
      </c>
    </row>
    <row r="472" spans="1:58" ht="15.75">
      <c r="B472" s="11">
        <v>45732</v>
      </c>
      <c r="C472" s="1">
        <v>228</v>
      </c>
      <c r="D472" s="3">
        <v>467</v>
      </c>
      <c r="E472" s="205" t="str">
        <f t="shared" si="235"/>
        <v/>
      </c>
      <c r="I472" s="15">
        <f t="shared" si="244"/>
        <v>0</v>
      </c>
      <c r="K472" s="10" t="str">
        <f t="shared" si="212"/>
        <v/>
      </c>
      <c r="L472" s="9" t="str">
        <f t="shared" si="213"/>
        <v/>
      </c>
      <c r="M472" s="8" t="str">
        <f t="shared" si="214"/>
        <v/>
      </c>
      <c r="AB472" s="5">
        <v>80</v>
      </c>
      <c r="AG472">
        <v>6.28</v>
      </c>
      <c r="AH472" s="20">
        <v>0.38668981481481479</v>
      </c>
      <c r="AJ472" s="1">
        <v>57</v>
      </c>
      <c r="AK472" s="3">
        <f t="shared" si="243"/>
        <v>240</v>
      </c>
      <c r="AN472" s="80">
        <f t="shared" si="231"/>
        <v>40</v>
      </c>
      <c r="AP472" s="13">
        <f t="shared" si="240"/>
        <v>2409.9999999999909</v>
      </c>
      <c r="AR472" s="17" t="e">
        <f t="shared" si="219"/>
        <v>#VALUE!</v>
      </c>
      <c r="AS472" s="16" t="e">
        <f t="shared" si="237"/>
        <v>#DIV/0!</v>
      </c>
      <c r="AT472" s="16" t="e">
        <f>AG472/(AD472-AF472)</f>
        <v>#DIV/0!</v>
      </c>
      <c r="AU472" s="16" t="e">
        <f t="shared" si="245"/>
        <v>#DIV/0!</v>
      </c>
      <c r="AV472" s="57" t="str">
        <f t="shared" si="225"/>
        <v/>
      </c>
      <c r="AW472" s="57" t="str">
        <f t="shared" si="238"/>
        <v/>
      </c>
      <c r="AX472" s="57" t="str">
        <f t="shared" si="215"/>
        <v/>
      </c>
      <c r="AY472" s="57" t="str">
        <f t="shared" si="233"/>
        <v/>
      </c>
      <c r="AZ472" s="57" t="str">
        <f t="shared" si="242"/>
        <v/>
      </c>
      <c r="BE472" s="6" t="str">
        <f t="shared" si="232"/>
        <v/>
      </c>
      <c r="BF472" s="6" t="str">
        <f t="shared" si="241"/>
        <v/>
      </c>
    </row>
    <row r="473" spans="1:58" ht="15.75">
      <c r="B473" s="11">
        <v>45733</v>
      </c>
      <c r="C473" s="1">
        <v>229</v>
      </c>
      <c r="D473" s="3">
        <v>468</v>
      </c>
      <c r="E473" s="205" t="str">
        <f t="shared" si="235"/>
        <v/>
      </c>
      <c r="G473" s="15" t="s">
        <v>64</v>
      </c>
      <c r="H473" s="15"/>
      <c r="I473" s="15">
        <f t="shared" si="244"/>
        <v>20</v>
      </c>
      <c r="K473" s="10" t="str">
        <f t="shared" si="212"/>
        <v/>
      </c>
      <c r="L473" s="9" t="str">
        <f t="shared" si="213"/>
        <v/>
      </c>
      <c r="M473" s="8" t="e">
        <f t="shared" si="214"/>
        <v>#VALUE!</v>
      </c>
      <c r="T473" s="6">
        <f>10*3.69</f>
        <v>36.9</v>
      </c>
      <c r="AB473" s="5">
        <v>80</v>
      </c>
      <c r="AC473" s="7">
        <f>T473</f>
        <v>36.9</v>
      </c>
      <c r="AD473" s="1">
        <f>4*5</f>
        <v>20</v>
      </c>
      <c r="AF473" s="1">
        <v>0</v>
      </c>
      <c r="AG473">
        <v>6.09</v>
      </c>
      <c r="AH473" s="20">
        <v>0.41249999999999998</v>
      </c>
      <c r="AJ473" s="1">
        <v>95</v>
      </c>
      <c r="AK473" s="3">
        <f t="shared" si="243"/>
        <v>240</v>
      </c>
      <c r="AL473" s="4">
        <f>AE473</f>
        <v>0</v>
      </c>
      <c r="AM473" s="1">
        <f>5*2.45</f>
        <v>12.25</v>
      </c>
      <c r="AN473" s="80">
        <f t="shared" si="231"/>
        <v>40</v>
      </c>
      <c r="AP473" s="13">
        <f t="shared" si="240"/>
        <v>2409.9999999999909</v>
      </c>
      <c r="AR473" s="17" t="e">
        <f t="shared" si="219"/>
        <v>#VALUE!</v>
      </c>
      <c r="AS473" s="16">
        <f t="shared" si="237"/>
        <v>1</v>
      </c>
      <c r="AT473" s="16">
        <f>AG473/(AD473-2.24)</f>
        <v>0.34290540540540543</v>
      </c>
      <c r="AU473" s="16" t="e">
        <f t="shared" si="245"/>
        <v>#VALUE!</v>
      </c>
      <c r="AV473" s="57" t="str">
        <f t="shared" si="225"/>
        <v/>
      </c>
      <c r="AW473" s="57">
        <f t="shared" si="238"/>
        <v>20</v>
      </c>
      <c r="AX473" s="57" t="str">
        <f t="shared" si="215"/>
        <v/>
      </c>
      <c r="AY473" s="57" t="str">
        <f t="shared" si="233"/>
        <v/>
      </c>
      <c r="AZ473" s="57">
        <f t="shared" si="242"/>
        <v>-12.25</v>
      </c>
      <c r="BE473" s="6">
        <f t="shared" si="232"/>
        <v>12.631578947368421</v>
      </c>
      <c r="BF473" s="6">
        <f t="shared" si="241"/>
        <v>5.2413190652981196</v>
      </c>
    </row>
    <row r="474" spans="1:58" ht="15.75">
      <c r="B474" s="11">
        <v>45734</v>
      </c>
      <c r="C474" s="1">
        <v>230</v>
      </c>
      <c r="D474" s="3">
        <v>469</v>
      </c>
      <c r="E474" s="205" t="str">
        <f t="shared" si="235"/>
        <v/>
      </c>
      <c r="I474" s="15">
        <f t="shared" si="244"/>
        <v>0</v>
      </c>
      <c r="K474" s="10" t="str">
        <f t="shared" si="212"/>
        <v/>
      </c>
      <c r="L474" s="9" t="str">
        <f t="shared" si="213"/>
        <v/>
      </c>
      <c r="M474" s="8" t="str">
        <f t="shared" si="214"/>
        <v/>
      </c>
      <c r="AB474" s="5">
        <v>80</v>
      </c>
      <c r="AJ474" s="1">
        <v>95</v>
      </c>
      <c r="AK474" s="3">
        <f t="shared" si="243"/>
        <v>240</v>
      </c>
      <c r="AN474" s="80">
        <f t="shared" si="231"/>
        <v>40</v>
      </c>
      <c r="AO474" s="2">
        <v>2409.9999999999909</v>
      </c>
      <c r="AP474" s="13">
        <f t="shared" si="240"/>
        <v>2409.9999999999909</v>
      </c>
      <c r="AQ474" s="2">
        <v>76.507936507939533</v>
      </c>
      <c r="AR474" s="17" t="e">
        <f t="shared" si="219"/>
        <v>#VALUE!</v>
      </c>
      <c r="AS474" s="16" t="e">
        <f t="shared" si="237"/>
        <v>#DIV/0!</v>
      </c>
      <c r="AT474" s="16" t="e">
        <f t="shared" ref="AT474:AT505" si="246">AG474/(AD474-AF474)</f>
        <v>#DIV/0!</v>
      </c>
      <c r="AU474" s="16" t="e">
        <f t="shared" si="245"/>
        <v>#DIV/0!</v>
      </c>
      <c r="AV474" s="57" t="str">
        <f t="shared" si="225"/>
        <v/>
      </c>
      <c r="AW474" s="57" t="str">
        <f t="shared" si="238"/>
        <v/>
      </c>
      <c r="AX474" s="57" t="str">
        <f t="shared" si="215"/>
        <v/>
      </c>
      <c r="AY474" s="57" t="str">
        <f t="shared" si="233"/>
        <v/>
      </c>
      <c r="AZ474" s="57" t="str">
        <f t="shared" si="242"/>
        <v/>
      </c>
      <c r="BE474" s="6" t="str">
        <f t="shared" si="232"/>
        <v/>
      </c>
      <c r="BF474" s="6" t="str">
        <f t="shared" si="241"/>
        <v/>
      </c>
    </row>
    <row r="475" spans="1:58" ht="15.75">
      <c r="B475" s="11">
        <v>45735</v>
      </c>
      <c r="C475" s="1">
        <v>231</v>
      </c>
      <c r="D475" s="3">
        <v>470</v>
      </c>
      <c r="E475" s="205" t="str">
        <f t="shared" si="235"/>
        <v/>
      </c>
      <c r="I475" s="15">
        <f t="shared" si="244"/>
        <v>0</v>
      </c>
      <c r="K475" s="10" t="str">
        <f t="shared" si="212"/>
        <v/>
      </c>
      <c r="L475" s="9" t="str">
        <f t="shared" si="213"/>
        <v/>
      </c>
      <c r="M475" s="8" t="str">
        <f t="shared" si="214"/>
        <v/>
      </c>
      <c r="AB475" s="5">
        <v>80</v>
      </c>
      <c r="AJ475" s="1">
        <v>95</v>
      </c>
      <c r="AK475" s="3">
        <f t="shared" si="243"/>
        <v>240</v>
      </c>
      <c r="AN475" s="80">
        <f t="shared" si="231"/>
        <v>40</v>
      </c>
      <c r="AP475" s="13">
        <f t="shared" si="240"/>
        <v>2409.9999999999909</v>
      </c>
      <c r="AR475" s="17" t="e">
        <f t="shared" si="219"/>
        <v>#VALUE!</v>
      </c>
      <c r="AS475" s="16" t="e">
        <f t="shared" si="237"/>
        <v>#DIV/0!</v>
      </c>
      <c r="AT475" s="16" t="e">
        <f t="shared" si="246"/>
        <v>#DIV/0!</v>
      </c>
      <c r="AU475" s="16" t="e">
        <f t="shared" si="245"/>
        <v>#DIV/0!</v>
      </c>
      <c r="AV475" s="57" t="str">
        <f t="shared" si="225"/>
        <v/>
      </c>
      <c r="AW475" s="57" t="str">
        <f t="shared" si="238"/>
        <v/>
      </c>
      <c r="AX475" s="57" t="str">
        <f t="shared" si="215"/>
        <v/>
      </c>
      <c r="AY475" s="57" t="str">
        <f t="shared" si="233"/>
        <v/>
      </c>
      <c r="AZ475" s="57" t="str">
        <f t="shared" si="242"/>
        <v/>
      </c>
      <c r="BE475" s="6" t="str">
        <f t="shared" si="232"/>
        <v/>
      </c>
      <c r="BF475" s="6" t="str">
        <f t="shared" si="241"/>
        <v/>
      </c>
    </row>
    <row r="476" spans="1:58" ht="15.75">
      <c r="B476" s="11">
        <v>45736</v>
      </c>
      <c r="C476" s="1">
        <v>232</v>
      </c>
      <c r="D476" s="3">
        <v>471</v>
      </c>
      <c r="E476" s="205" t="str">
        <f t="shared" si="235"/>
        <v/>
      </c>
      <c r="I476" s="15">
        <f t="shared" si="244"/>
        <v>0</v>
      </c>
      <c r="K476" s="10" t="str">
        <f t="shared" si="212"/>
        <v/>
      </c>
      <c r="L476" s="9" t="str">
        <f t="shared" si="213"/>
        <v/>
      </c>
      <c r="M476" s="8" t="str">
        <f t="shared" si="214"/>
        <v/>
      </c>
      <c r="AB476" s="5">
        <v>80</v>
      </c>
      <c r="AJ476" s="1">
        <v>105</v>
      </c>
      <c r="AK476" s="3">
        <f t="shared" si="243"/>
        <v>240</v>
      </c>
      <c r="AN476" s="80">
        <f t="shared" si="231"/>
        <v>40</v>
      </c>
      <c r="AP476" s="13">
        <f t="shared" si="240"/>
        <v>2409.9999999999909</v>
      </c>
      <c r="AR476" s="17" t="e">
        <f t="shared" si="219"/>
        <v>#VALUE!</v>
      </c>
      <c r="AS476" s="16" t="e">
        <f t="shared" si="237"/>
        <v>#DIV/0!</v>
      </c>
      <c r="AT476" s="16" t="e">
        <f t="shared" si="246"/>
        <v>#DIV/0!</v>
      </c>
      <c r="AU476" s="16" t="e">
        <f t="shared" si="245"/>
        <v>#DIV/0!</v>
      </c>
      <c r="AV476" s="57" t="str">
        <f t="shared" si="225"/>
        <v/>
      </c>
      <c r="AW476" s="57" t="str">
        <f t="shared" si="238"/>
        <v/>
      </c>
      <c r="AX476" s="57" t="str">
        <f t="shared" si="215"/>
        <v/>
      </c>
      <c r="AY476" s="57" t="str">
        <f t="shared" si="233"/>
        <v/>
      </c>
      <c r="AZ476" s="57" t="str">
        <f t="shared" si="242"/>
        <v/>
      </c>
      <c r="BE476" s="6" t="str">
        <f t="shared" si="232"/>
        <v/>
      </c>
      <c r="BF476" s="6" t="str">
        <f t="shared" si="241"/>
        <v/>
      </c>
    </row>
    <row r="477" spans="1:58" ht="15.75">
      <c r="B477" s="11">
        <v>45737</v>
      </c>
      <c r="C477" s="1">
        <v>233</v>
      </c>
      <c r="D477" s="3">
        <v>472</v>
      </c>
      <c r="E477" s="205" t="str">
        <f t="shared" si="235"/>
        <v/>
      </c>
      <c r="I477" s="15">
        <f t="shared" si="244"/>
        <v>0</v>
      </c>
      <c r="K477" s="10" t="str">
        <f t="shared" si="212"/>
        <v/>
      </c>
      <c r="L477" s="9" t="str">
        <f t="shared" si="213"/>
        <v/>
      </c>
      <c r="M477" s="8" t="str">
        <f t="shared" si="214"/>
        <v/>
      </c>
      <c r="AB477" s="5">
        <v>80</v>
      </c>
      <c r="AJ477" s="1">
        <v>115</v>
      </c>
      <c r="AK477" s="3">
        <f t="shared" si="243"/>
        <v>240</v>
      </c>
      <c r="AN477" s="80">
        <f t="shared" si="231"/>
        <v>40</v>
      </c>
      <c r="AP477" s="13" t="e">
        <f t="shared" si="240"/>
        <v>#DIV/0!</v>
      </c>
      <c r="AR477" s="17" t="e">
        <f t="shared" si="219"/>
        <v>#VALUE!</v>
      </c>
      <c r="AS477" s="16" t="e">
        <f t="shared" si="237"/>
        <v>#DIV/0!</v>
      </c>
      <c r="AT477" s="16" t="e">
        <f t="shared" si="246"/>
        <v>#DIV/0!</v>
      </c>
      <c r="AU477" s="16" t="e">
        <f t="shared" si="245"/>
        <v>#DIV/0!</v>
      </c>
      <c r="AV477" s="57" t="str">
        <f t="shared" si="225"/>
        <v/>
      </c>
      <c r="AW477" s="57" t="str">
        <f t="shared" si="238"/>
        <v/>
      </c>
      <c r="AX477" s="57" t="str">
        <f t="shared" si="215"/>
        <v/>
      </c>
      <c r="AY477" s="57" t="str">
        <f t="shared" si="233"/>
        <v/>
      </c>
      <c r="AZ477" s="57" t="str">
        <f t="shared" si="242"/>
        <v/>
      </c>
      <c r="BE477" s="6" t="str">
        <f t="shared" si="232"/>
        <v/>
      </c>
      <c r="BF477" s="6" t="e">
        <f t="shared" si="241"/>
        <v>#DIV/0!</v>
      </c>
    </row>
    <row r="478" spans="1:58" ht="15.75">
      <c r="B478" s="11">
        <v>45738</v>
      </c>
      <c r="C478" s="1">
        <v>234</v>
      </c>
      <c r="D478" s="3">
        <v>473</v>
      </c>
      <c r="E478" s="205" t="str">
        <f t="shared" si="235"/>
        <v/>
      </c>
      <c r="I478" s="15">
        <f t="shared" si="244"/>
        <v>0</v>
      </c>
      <c r="K478" s="10" t="str">
        <f t="shared" si="212"/>
        <v/>
      </c>
      <c r="L478" s="9" t="str">
        <f t="shared" si="213"/>
        <v/>
      </c>
      <c r="M478" s="8" t="str">
        <f t="shared" si="214"/>
        <v/>
      </c>
      <c r="AB478" s="5">
        <v>80</v>
      </c>
      <c r="AJ478" s="1">
        <v>109</v>
      </c>
      <c r="AK478" s="3">
        <f t="shared" si="243"/>
        <v>240</v>
      </c>
      <c r="AN478" s="80">
        <f t="shared" si="231"/>
        <v>40</v>
      </c>
      <c r="AP478" s="13" t="e">
        <f t="shared" si="240"/>
        <v>#DIV/0!</v>
      </c>
      <c r="AR478" s="17" t="e">
        <f t="shared" si="219"/>
        <v>#VALUE!</v>
      </c>
      <c r="AS478" s="16" t="e">
        <f t="shared" si="237"/>
        <v>#DIV/0!</v>
      </c>
      <c r="AT478" s="16" t="e">
        <f t="shared" si="246"/>
        <v>#DIV/0!</v>
      </c>
      <c r="AU478" s="16" t="e">
        <f t="shared" si="245"/>
        <v>#DIV/0!</v>
      </c>
      <c r="AV478" s="57" t="str">
        <f t="shared" si="225"/>
        <v/>
      </c>
      <c r="AW478" s="57" t="str">
        <f t="shared" si="238"/>
        <v/>
      </c>
      <c r="AX478" s="57" t="str">
        <f t="shared" si="215"/>
        <v/>
      </c>
      <c r="AY478" s="57" t="str">
        <f t="shared" si="233"/>
        <v/>
      </c>
      <c r="AZ478" s="57" t="str">
        <f t="shared" si="242"/>
        <v/>
      </c>
      <c r="BE478" s="6" t="str">
        <f t="shared" si="232"/>
        <v/>
      </c>
      <c r="BF478" s="6" t="e">
        <f t="shared" si="241"/>
        <v>#DIV/0!</v>
      </c>
    </row>
    <row r="479" spans="1:58" ht="15.75">
      <c r="B479" s="11">
        <v>45739</v>
      </c>
      <c r="C479" s="1">
        <v>235</v>
      </c>
      <c r="D479" s="3">
        <v>474</v>
      </c>
      <c r="E479" s="205" t="str">
        <f t="shared" si="235"/>
        <v/>
      </c>
      <c r="I479" s="15">
        <f t="shared" si="244"/>
        <v>0</v>
      </c>
      <c r="K479" s="10" t="str">
        <f t="shared" si="212"/>
        <v/>
      </c>
      <c r="L479" s="9" t="str">
        <f t="shared" si="213"/>
        <v/>
      </c>
      <c r="M479" s="8" t="str">
        <f t="shared" si="214"/>
        <v/>
      </c>
      <c r="AB479" s="5">
        <v>80</v>
      </c>
      <c r="AJ479" s="1">
        <v>103</v>
      </c>
      <c r="AK479" s="3">
        <f t="shared" si="243"/>
        <v>240</v>
      </c>
      <c r="AN479" s="80">
        <f t="shared" si="231"/>
        <v>40</v>
      </c>
      <c r="AP479" s="13" t="e">
        <f t="shared" si="240"/>
        <v>#DIV/0!</v>
      </c>
      <c r="AR479" s="17" t="e">
        <f t="shared" si="219"/>
        <v>#VALUE!</v>
      </c>
      <c r="AS479" s="16" t="e">
        <f t="shared" si="237"/>
        <v>#DIV/0!</v>
      </c>
      <c r="AT479" s="16" t="e">
        <f t="shared" si="246"/>
        <v>#DIV/0!</v>
      </c>
      <c r="AU479" s="16" t="e">
        <f t="shared" si="245"/>
        <v>#DIV/0!</v>
      </c>
      <c r="AV479" s="57" t="str">
        <f t="shared" si="225"/>
        <v/>
      </c>
      <c r="AW479" s="57" t="str">
        <f t="shared" si="238"/>
        <v/>
      </c>
      <c r="AX479" s="57" t="str">
        <f t="shared" si="215"/>
        <v/>
      </c>
      <c r="AY479" s="57" t="str">
        <f t="shared" si="233"/>
        <v/>
      </c>
      <c r="AZ479" s="57" t="str">
        <f t="shared" si="242"/>
        <v/>
      </c>
      <c r="BE479" s="6" t="str">
        <f t="shared" si="232"/>
        <v/>
      </c>
      <c r="BF479" s="6" t="e">
        <f t="shared" si="241"/>
        <v>#DIV/0!</v>
      </c>
    </row>
    <row r="480" spans="1:58" ht="15.75">
      <c r="A480" s="12" t="s">
        <v>63</v>
      </c>
      <c r="B480" s="11">
        <v>45740</v>
      </c>
      <c r="C480" s="1">
        <v>236</v>
      </c>
      <c r="D480" s="3">
        <v>475</v>
      </c>
      <c r="E480" s="205" t="str">
        <f t="shared" si="235"/>
        <v/>
      </c>
      <c r="I480" s="15">
        <f t="shared" si="244"/>
        <v>0</v>
      </c>
      <c r="K480" s="10" t="str">
        <f t="shared" si="212"/>
        <v/>
      </c>
      <c r="L480" s="9" t="str">
        <f t="shared" si="213"/>
        <v/>
      </c>
      <c r="M480" s="8" t="str">
        <f t="shared" si="214"/>
        <v/>
      </c>
      <c r="AB480" s="5">
        <v>80</v>
      </c>
      <c r="AJ480" s="1">
        <v>109</v>
      </c>
      <c r="AK480" s="3">
        <f t="shared" si="243"/>
        <v>240</v>
      </c>
      <c r="AN480" s="80">
        <f t="shared" si="231"/>
        <v>40</v>
      </c>
      <c r="AP480" s="13" t="e">
        <f t="shared" si="240"/>
        <v>#DIV/0!</v>
      </c>
      <c r="AR480" s="17" t="e">
        <f t="shared" si="219"/>
        <v>#VALUE!</v>
      </c>
      <c r="AS480" s="16" t="e">
        <f t="shared" si="237"/>
        <v>#DIV/0!</v>
      </c>
      <c r="AT480" s="16" t="e">
        <f t="shared" si="246"/>
        <v>#DIV/0!</v>
      </c>
      <c r="AU480" s="16" t="e">
        <f t="shared" si="245"/>
        <v>#DIV/0!</v>
      </c>
      <c r="AV480" s="57" t="str">
        <f t="shared" si="225"/>
        <v/>
      </c>
      <c r="AW480" s="57" t="str">
        <f t="shared" si="238"/>
        <v/>
      </c>
      <c r="AX480" s="57" t="str">
        <f t="shared" si="215"/>
        <v/>
      </c>
      <c r="AY480" s="57" t="str">
        <f t="shared" si="233"/>
        <v/>
      </c>
      <c r="AZ480" s="57" t="str">
        <f t="shared" si="242"/>
        <v/>
      </c>
      <c r="BE480" s="6" t="str">
        <f t="shared" si="232"/>
        <v/>
      </c>
      <c r="BF480" s="6" t="e">
        <f t="shared" si="241"/>
        <v>#DIV/0!</v>
      </c>
    </row>
    <row r="481" spans="1:58" ht="15.75">
      <c r="B481" s="11">
        <v>45741</v>
      </c>
      <c r="C481" s="1">
        <v>237</v>
      </c>
      <c r="D481" s="3">
        <v>476</v>
      </c>
      <c r="E481" s="205" t="str">
        <f t="shared" si="235"/>
        <v/>
      </c>
      <c r="I481" s="15">
        <f t="shared" si="244"/>
        <v>0</v>
      </c>
      <c r="K481" s="10" t="str">
        <f t="shared" si="212"/>
        <v/>
      </c>
      <c r="L481" s="9" t="str">
        <f t="shared" si="213"/>
        <v/>
      </c>
      <c r="M481" s="8" t="str">
        <f t="shared" si="214"/>
        <v/>
      </c>
      <c r="AB481" s="5">
        <v>80</v>
      </c>
      <c r="AJ481" s="1">
        <v>99</v>
      </c>
      <c r="AK481" s="3">
        <f t="shared" si="243"/>
        <v>240</v>
      </c>
      <c r="AN481" s="80">
        <f t="shared" si="231"/>
        <v>40</v>
      </c>
      <c r="AP481" s="13" t="e">
        <f t="shared" si="240"/>
        <v>#DIV/0!</v>
      </c>
      <c r="AR481" s="17" t="e">
        <f t="shared" si="219"/>
        <v>#VALUE!</v>
      </c>
      <c r="AS481" s="16" t="e">
        <f t="shared" si="237"/>
        <v>#DIV/0!</v>
      </c>
      <c r="AT481" s="16" t="e">
        <f t="shared" si="246"/>
        <v>#DIV/0!</v>
      </c>
      <c r="AU481" s="16" t="e">
        <f t="shared" si="245"/>
        <v>#DIV/0!</v>
      </c>
      <c r="AV481" s="57" t="str">
        <f t="shared" si="225"/>
        <v/>
      </c>
      <c r="AW481" s="57" t="str">
        <f t="shared" si="238"/>
        <v/>
      </c>
      <c r="AX481" s="57" t="str">
        <f t="shared" si="215"/>
        <v/>
      </c>
      <c r="AY481" s="57" t="str">
        <f t="shared" si="233"/>
        <v/>
      </c>
      <c r="AZ481" s="57" t="str">
        <f t="shared" si="242"/>
        <v/>
      </c>
      <c r="BE481" s="6" t="str">
        <f t="shared" si="232"/>
        <v/>
      </c>
      <c r="BF481" s="6" t="e">
        <f t="shared" si="241"/>
        <v>#DIV/0!</v>
      </c>
    </row>
    <row r="482" spans="1:58" ht="15.75">
      <c r="A482" s="12" t="s">
        <v>62</v>
      </c>
      <c r="B482" s="11">
        <v>45742</v>
      </c>
      <c r="C482" s="1">
        <v>238</v>
      </c>
      <c r="D482" s="3">
        <v>477</v>
      </c>
      <c r="E482" s="205" t="str">
        <f t="shared" si="235"/>
        <v/>
      </c>
      <c r="I482" s="15">
        <f t="shared" si="244"/>
        <v>0</v>
      </c>
      <c r="K482" s="10" t="str">
        <f t="shared" si="212"/>
        <v/>
      </c>
      <c r="L482" s="9" t="str">
        <f t="shared" si="213"/>
        <v/>
      </c>
      <c r="M482" s="8" t="str">
        <f t="shared" si="214"/>
        <v/>
      </c>
      <c r="AB482" s="5">
        <v>80</v>
      </c>
      <c r="AJ482" s="1">
        <v>97</v>
      </c>
      <c r="AK482" s="3">
        <f t="shared" si="243"/>
        <v>240</v>
      </c>
      <c r="AN482" s="80">
        <f t="shared" si="231"/>
        <v>40</v>
      </c>
      <c r="AP482" s="13" t="e">
        <f t="shared" si="240"/>
        <v>#DIV/0!</v>
      </c>
      <c r="AR482" s="17" t="e">
        <f t="shared" si="219"/>
        <v>#VALUE!</v>
      </c>
      <c r="AS482" s="16" t="e">
        <f t="shared" si="237"/>
        <v>#DIV/0!</v>
      </c>
      <c r="AT482" s="16" t="e">
        <f t="shared" si="246"/>
        <v>#DIV/0!</v>
      </c>
      <c r="AU482" s="16" t="e">
        <f t="shared" si="245"/>
        <v>#DIV/0!</v>
      </c>
      <c r="AV482" s="57" t="str">
        <f t="shared" si="225"/>
        <v/>
      </c>
      <c r="AW482" s="57" t="str">
        <f t="shared" si="238"/>
        <v/>
      </c>
      <c r="AX482" s="57" t="str">
        <f t="shared" si="215"/>
        <v/>
      </c>
      <c r="AY482" s="57" t="str">
        <f t="shared" si="233"/>
        <v/>
      </c>
      <c r="AZ482" s="57" t="str">
        <f t="shared" si="242"/>
        <v/>
      </c>
      <c r="BE482" s="6" t="str">
        <f t="shared" si="232"/>
        <v/>
      </c>
      <c r="BF482" s="6" t="e">
        <f t="shared" si="241"/>
        <v>#DIV/0!</v>
      </c>
    </row>
    <row r="483" spans="1:58" ht="15.75">
      <c r="B483" s="11">
        <v>45743</v>
      </c>
      <c r="C483" s="1">
        <v>239</v>
      </c>
      <c r="D483" s="3">
        <v>478</v>
      </c>
      <c r="E483" s="205" t="str">
        <f t="shared" si="235"/>
        <v/>
      </c>
      <c r="I483" s="15">
        <f t="shared" si="244"/>
        <v>0</v>
      </c>
      <c r="K483" s="10" t="str">
        <f t="shared" si="212"/>
        <v/>
      </c>
      <c r="L483" s="9" t="str">
        <f t="shared" si="213"/>
        <v/>
      </c>
      <c r="M483" s="8" t="str">
        <f t="shared" si="214"/>
        <v/>
      </c>
      <c r="AB483" s="5">
        <v>80</v>
      </c>
      <c r="AJ483" s="1">
        <v>97</v>
      </c>
      <c r="AK483" s="3">
        <f t="shared" si="243"/>
        <v>240</v>
      </c>
      <c r="AN483" s="80">
        <f t="shared" si="231"/>
        <v>40</v>
      </c>
      <c r="AP483" s="13" t="e">
        <f t="shared" si="240"/>
        <v>#DIV/0!</v>
      </c>
      <c r="AR483" s="17" t="e">
        <f t="shared" si="219"/>
        <v>#VALUE!</v>
      </c>
      <c r="AS483" s="16" t="e">
        <f t="shared" si="237"/>
        <v>#DIV/0!</v>
      </c>
      <c r="AT483" s="16" t="e">
        <f t="shared" si="246"/>
        <v>#DIV/0!</v>
      </c>
      <c r="AU483" s="16" t="e">
        <f t="shared" si="245"/>
        <v>#DIV/0!</v>
      </c>
      <c r="AV483" s="57" t="str">
        <f t="shared" si="225"/>
        <v/>
      </c>
      <c r="AW483" s="57" t="str">
        <f t="shared" si="238"/>
        <v/>
      </c>
      <c r="AX483" s="57" t="str">
        <f t="shared" si="215"/>
        <v/>
      </c>
      <c r="AY483" s="57" t="str">
        <f t="shared" si="233"/>
        <v/>
      </c>
      <c r="AZ483" s="57" t="str">
        <f t="shared" si="242"/>
        <v/>
      </c>
      <c r="BE483" s="6" t="str">
        <f t="shared" si="232"/>
        <v/>
      </c>
      <c r="BF483" s="6" t="e">
        <f t="shared" si="241"/>
        <v>#DIV/0!</v>
      </c>
    </row>
    <row r="484" spans="1:58" ht="15.75">
      <c r="B484" s="11">
        <v>45744</v>
      </c>
      <c r="C484" s="1">
        <v>240</v>
      </c>
      <c r="D484" s="3">
        <v>479</v>
      </c>
      <c r="E484" s="205" t="str">
        <f t="shared" si="235"/>
        <v/>
      </c>
      <c r="G484" s="15">
        <f>(N484*18-H484*18)/9</f>
        <v>15</v>
      </c>
      <c r="H484" s="15">
        <f>5*1.87</f>
        <v>9.3500000000000014</v>
      </c>
      <c r="I484" s="15">
        <f t="shared" si="244"/>
        <v>18.799999999999997</v>
      </c>
      <c r="K484" s="10" t="str">
        <f t="shared" si="212"/>
        <v/>
      </c>
      <c r="L484" s="9" t="str">
        <f t="shared" si="213"/>
        <v/>
      </c>
      <c r="M484" s="8">
        <f t="shared" si="214"/>
        <v>2.5066666666666664</v>
      </c>
      <c r="N484" s="7">
        <f>5*3.37</f>
        <v>16.850000000000001</v>
      </c>
      <c r="Q484" s="6">
        <f>O484*1.067</f>
        <v>0</v>
      </c>
      <c r="R484" s="6">
        <f>P484*1.514</f>
        <v>0</v>
      </c>
      <c r="S484" s="23">
        <f>P484*1.514+O484*1.067</f>
        <v>0</v>
      </c>
      <c r="T484" s="6">
        <f>36.1</f>
        <v>36.1</v>
      </c>
      <c r="U484" s="59">
        <f>1.112*1.067</f>
        <v>1.186504</v>
      </c>
      <c r="V484" s="59">
        <f>0.845*1.514</f>
        <v>1.2793300000000001</v>
      </c>
      <c r="W484" s="23">
        <f>U484*1.067+V484*1.514</f>
        <v>3.202905388</v>
      </c>
      <c r="AB484" s="5">
        <v>80</v>
      </c>
      <c r="AC484" s="7">
        <f>T484</f>
        <v>36.1</v>
      </c>
      <c r="AD484" s="1">
        <f>5*3.76</f>
        <v>18.799999999999997</v>
      </c>
      <c r="AE484" s="1">
        <f>5*4.7</f>
        <v>23.5</v>
      </c>
      <c r="AF484" s="1">
        <v>0</v>
      </c>
      <c r="AJ484" s="1">
        <v>95</v>
      </c>
      <c r="AK484" s="3">
        <f t="shared" si="243"/>
        <v>240</v>
      </c>
      <c r="AL484" s="4">
        <f>AE484</f>
        <v>23.5</v>
      </c>
      <c r="AM484" s="1">
        <f>5*3.37</f>
        <v>16.850000000000001</v>
      </c>
      <c r="AN484" s="80">
        <f t="shared" si="231"/>
        <v>40</v>
      </c>
      <c r="AP484" s="13" t="e">
        <f t="shared" si="240"/>
        <v>#DIV/0!</v>
      </c>
      <c r="AR484" s="17" t="e">
        <f t="shared" si="219"/>
        <v>#VALUE!</v>
      </c>
      <c r="AS484" s="16">
        <f t="shared" si="237"/>
        <v>1</v>
      </c>
      <c r="AT484" s="16">
        <f t="shared" si="246"/>
        <v>0</v>
      </c>
      <c r="AU484" s="16">
        <f t="shared" si="245"/>
        <v>-0.12333333333333343</v>
      </c>
      <c r="AV484" s="57" t="str">
        <f t="shared" si="225"/>
        <v/>
      </c>
      <c r="AW484" s="57">
        <f t="shared" si="238"/>
        <v>18.799999999999997</v>
      </c>
      <c r="AX484" s="57">
        <f t="shared" si="215"/>
        <v>-1.8500000000000014</v>
      </c>
      <c r="AY484" s="57">
        <f t="shared" si="233"/>
        <v>12.600000000000001</v>
      </c>
      <c r="AZ484" s="57">
        <f t="shared" si="242"/>
        <v>6.6499999999999986</v>
      </c>
      <c r="BE484" s="6">
        <f t="shared" si="232"/>
        <v>11.873684210526315</v>
      </c>
      <c r="BF484" s="6" t="e">
        <f t="shared" si="241"/>
        <v>#DIV/0!</v>
      </c>
    </row>
    <row r="485" spans="1:58" ht="15.75">
      <c r="A485" s="12" t="s">
        <v>61</v>
      </c>
      <c r="B485" s="11">
        <v>45745</v>
      </c>
      <c r="C485" s="1">
        <v>241</v>
      </c>
      <c r="D485" s="3">
        <v>480</v>
      </c>
      <c r="E485" s="205" t="str">
        <f t="shared" si="235"/>
        <v/>
      </c>
      <c r="I485" s="15">
        <f t="shared" si="244"/>
        <v>0</v>
      </c>
      <c r="K485" s="10" t="str">
        <f t="shared" ref="K485:K548" si="247">IF(OR(E485="",G485="",E485=0,G485=0),"",E485/G485)</f>
        <v/>
      </c>
      <c r="L485" s="9" t="str">
        <f t="shared" ref="L485:L548" si="248">IF(OR(E485="",I485="",E485=0,I485=0),"",E485/(I485*2))</f>
        <v/>
      </c>
      <c r="M485" s="8" t="str">
        <f t="shared" ref="M485:M548" si="249">IF(OR(I485="",G485="",I485=0,G485=0),"",I485*2/G485)</f>
        <v/>
      </c>
      <c r="AB485" s="5">
        <v>80</v>
      </c>
      <c r="AJ485" s="1">
        <v>101</v>
      </c>
      <c r="AK485" s="3">
        <f t="shared" si="243"/>
        <v>240</v>
      </c>
      <c r="AN485" s="80">
        <f t="shared" si="231"/>
        <v>40</v>
      </c>
      <c r="AP485" s="13" t="e">
        <f t="shared" si="240"/>
        <v>#DIV/0!</v>
      </c>
      <c r="AR485" s="17" t="e">
        <f t="shared" si="219"/>
        <v>#VALUE!</v>
      </c>
      <c r="AS485" s="16" t="e">
        <f t="shared" si="237"/>
        <v>#DIV/0!</v>
      </c>
      <c r="AT485" s="16" t="e">
        <f t="shared" si="246"/>
        <v>#DIV/0!</v>
      </c>
      <c r="AU485" s="16" t="e">
        <f t="shared" si="245"/>
        <v>#DIV/0!</v>
      </c>
      <c r="AV485" s="57" t="str">
        <f t="shared" si="225"/>
        <v/>
      </c>
      <c r="AW485" s="57" t="str">
        <f t="shared" si="238"/>
        <v/>
      </c>
      <c r="AX485" s="57" t="str">
        <f t="shared" si="215"/>
        <v/>
      </c>
      <c r="AY485" s="57" t="str">
        <f t="shared" si="233"/>
        <v/>
      </c>
      <c r="AZ485" s="57" t="str">
        <f t="shared" si="242"/>
        <v/>
      </c>
      <c r="BE485" s="6" t="str">
        <f t="shared" si="232"/>
        <v/>
      </c>
      <c r="BF485" s="6" t="e">
        <f t="shared" si="241"/>
        <v>#DIV/0!</v>
      </c>
    </row>
    <row r="486" spans="1:58" ht="15.75">
      <c r="B486" s="11">
        <v>45746</v>
      </c>
      <c r="C486" s="1">
        <v>242</v>
      </c>
      <c r="D486" s="3">
        <v>481</v>
      </c>
      <c r="E486" s="205" t="str">
        <f t="shared" si="235"/>
        <v/>
      </c>
      <c r="I486" s="15">
        <f t="shared" si="244"/>
        <v>0</v>
      </c>
      <c r="K486" s="10" t="str">
        <f t="shared" si="247"/>
        <v/>
      </c>
      <c r="L486" s="9" t="str">
        <f t="shared" si="248"/>
        <v/>
      </c>
      <c r="M486" s="8" t="str">
        <f t="shared" si="249"/>
        <v/>
      </c>
      <c r="AB486" s="5">
        <v>80</v>
      </c>
      <c r="AJ486" s="1">
        <v>107</v>
      </c>
      <c r="AK486" s="3">
        <f t="shared" si="243"/>
        <v>240</v>
      </c>
      <c r="AN486" s="80">
        <f t="shared" si="231"/>
        <v>40</v>
      </c>
      <c r="AP486" s="13" t="e">
        <f t="shared" si="240"/>
        <v>#DIV/0!</v>
      </c>
      <c r="AR486" s="17" t="e">
        <f t="shared" si="219"/>
        <v>#VALUE!</v>
      </c>
      <c r="AS486" s="16" t="e">
        <f t="shared" si="237"/>
        <v>#DIV/0!</v>
      </c>
      <c r="AT486" s="16" t="e">
        <f t="shared" si="246"/>
        <v>#DIV/0!</v>
      </c>
      <c r="AU486" s="16" t="e">
        <f t="shared" si="245"/>
        <v>#DIV/0!</v>
      </c>
      <c r="AV486" s="57" t="str">
        <f t="shared" si="225"/>
        <v/>
      </c>
      <c r="AW486" s="57" t="str">
        <f t="shared" si="238"/>
        <v/>
      </c>
      <c r="AX486" s="57" t="str">
        <f t="shared" si="215"/>
        <v/>
      </c>
      <c r="AY486" s="57" t="str">
        <f t="shared" si="233"/>
        <v/>
      </c>
      <c r="AZ486" s="57" t="str">
        <f t="shared" si="242"/>
        <v/>
      </c>
      <c r="BE486" s="6" t="str">
        <f t="shared" si="232"/>
        <v/>
      </c>
      <c r="BF486" s="6" t="e">
        <f t="shared" si="241"/>
        <v>#DIV/0!</v>
      </c>
    </row>
    <row r="487" spans="1:58" ht="15.75">
      <c r="B487" s="11">
        <v>45747</v>
      </c>
      <c r="C487" s="1">
        <v>243</v>
      </c>
      <c r="D487" s="3">
        <v>482</v>
      </c>
      <c r="E487" s="205" t="str">
        <f t="shared" si="235"/>
        <v/>
      </c>
      <c r="I487" s="15">
        <f t="shared" si="244"/>
        <v>0</v>
      </c>
      <c r="K487" s="10" t="str">
        <f t="shared" si="247"/>
        <v/>
      </c>
      <c r="L487" s="9" t="str">
        <f t="shared" si="248"/>
        <v/>
      </c>
      <c r="M487" s="8" t="str">
        <f t="shared" si="249"/>
        <v/>
      </c>
      <c r="AB487" s="5">
        <v>80</v>
      </c>
      <c r="AJ487" s="1">
        <v>99</v>
      </c>
      <c r="AK487" s="3">
        <f t="shared" si="243"/>
        <v>240</v>
      </c>
      <c r="AN487" s="80">
        <f t="shared" si="231"/>
        <v>40</v>
      </c>
      <c r="AP487" s="13" t="e">
        <f t="shared" si="240"/>
        <v>#DIV/0!</v>
      </c>
      <c r="AR487" s="17" t="e">
        <f t="shared" si="219"/>
        <v>#VALUE!</v>
      </c>
      <c r="AS487" s="16" t="e">
        <f t="shared" si="237"/>
        <v>#DIV/0!</v>
      </c>
      <c r="AT487" s="16" t="e">
        <f t="shared" si="246"/>
        <v>#DIV/0!</v>
      </c>
      <c r="AU487" s="16" t="e">
        <f t="shared" si="245"/>
        <v>#DIV/0!</v>
      </c>
      <c r="AV487" s="57" t="str">
        <f t="shared" si="225"/>
        <v/>
      </c>
      <c r="AW487" s="57" t="str">
        <f t="shared" si="238"/>
        <v/>
      </c>
      <c r="AX487" s="57" t="str">
        <f t="shared" si="215"/>
        <v/>
      </c>
      <c r="AY487" s="57" t="str">
        <f t="shared" si="233"/>
        <v/>
      </c>
      <c r="AZ487" s="57" t="str">
        <f t="shared" ref="AZ487:AZ550" si="250">IF(AND(ISNUMBER(AL487),ISNUMBER(AM487)),AL487-AM487,"")</f>
        <v/>
      </c>
      <c r="BE487" s="6" t="str">
        <f t="shared" si="232"/>
        <v/>
      </c>
      <c r="BF487" s="6" t="e">
        <f t="shared" si="241"/>
        <v>#DIV/0!</v>
      </c>
    </row>
    <row r="488" spans="1:58" ht="15.75">
      <c r="A488" s="12" t="s">
        <v>60</v>
      </c>
      <c r="B488" s="11">
        <v>45748</v>
      </c>
      <c r="C488" s="1">
        <v>244</v>
      </c>
      <c r="D488" s="3">
        <v>483</v>
      </c>
      <c r="E488" s="205" t="str">
        <f t="shared" si="235"/>
        <v/>
      </c>
      <c r="G488" s="15">
        <f>(N488*18-H488*18)/9</f>
        <v>12.900000000000002</v>
      </c>
      <c r="H488" s="15">
        <f>5*1.39</f>
        <v>6.9499999999999993</v>
      </c>
      <c r="I488" s="15">
        <f t="shared" si="244"/>
        <v>19.399999999999999</v>
      </c>
      <c r="K488" s="10" t="str">
        <f t="shared" si="247"/>
        <v/>
      </c>
      <c r="L488" s="9" t="str">
        <f t="shared" si="248"/>
        <v/>
      </c>
      <c r="M488" s="8">
        <f t="shared" si="249"/>
        <v>3.0077519379844952</v>
      </c>
      <c r="N488" s="7">
        <f>5*2.68</f>
        <v>13.4</v>
      </c>
      <c r="Q488" s="6">
        <f>O488*1.067</f>
        <v>0</v>
      </c>
      <c r="R488" s="6">
        <f>P488*1.514</f>
        <v>0</v>
      </c>
      <c r="S488" s="23">
        <f>P488*1.514+O488*1.067</f>
        <v>0</v>
      </c>
      <c r="T488" s="6">
        <v>37.4</v>
      </c>
      <c r="U488" s="59">
        <f>1.112*1.067</f>
        <v>1.186504</v>
      </c>
      <c r="V488" s="59">
        <f>0.845*1.514</f>
        <v>1.2793300000000001</v>
      </c>
      <c r="W488" s="23">
        <f>U488*1.067+V488*1.514</f>
        <v>3.202905388</v>
      </c>
      <c r="AB488" s="5">
        <v>80</v>
      </c>
      <c r="AC488" s="7">
        <f>T488</f>
        <v>37.4</v>
      </c>
      <c r="AD488" s="1">
        <f>5*3.88</f>
        <v>19.399999999999999</v>
      </c>
      <c r="AE488" s="1">
        <f>5*4.15</f>
        <v>20.75</v>
      </c>
      <c r="AF488" s="1">
        <v>0</v>
      </c>
      <c r="AJ488" s="1">
        <v>101</v>
      </c>
      <c r="AK488" s="3">
        <f t="shared" si="243"/>
        <v>240</v>
      </c>
      <c r="AL488" s="4">
        <f>AE488</f>
        <v>20.75</v>
      </c>
      <c r="AM488" s="1">
        <f>5*2.84</f>
        <v>14.2</v>
      </c>
      <c r="AN488" s="80">
        <f t="shared" si="231"/>
        <v>40</v>
      </c>
      <c r="AP488" s="13" t="e">
        <f t="shared" si="240"/>
        <v>#DIV/0!</v>
      </c>
      <c r="AR488" s="17" t="e">
        <f t="shared" si="219"/>
        <v>#VALUE!</v>
      </c>
      <c r="AS488" s="16">
        <f t="shared" si="237"/>
        <v>1</v>
      </c>
      <c r="AT488" s="16">
        <f t="shared" si="246"/>
        <v>0</v>
      </c>
      <c r="AU488" s="16">
        <f t="shared" si="245"/>
        <v>-0.10077519379844938</v>
      </c>
      <c r="AV488" s="57" t="str">
        <f t="shared" si="225"/>
        <v/>
      </c>
      <c r="AW488" s="57">
        <f t="shared" si="238"/>
        <v>19.399999999999999</v>
      </c>
      <c r="AX488" s="57">
        <f t="shared" si="215"/>
        <v>-1.2999999999999972</v>
      </c>
      <c r="AY488" s="57">
        <f t="shared" si="233"/>
        <v>16.649999999999999</v>
      </c>
      <c r="AZ488" s="57">
        <f t="shared" si="250"/>
        <v>6.5500000000000007</v>
      </c>
      <c r="BE488" s="6">
        <f t="shared" si="232"/>
        <v>11.524752475247524</v>
      </c>
      <c r="BF488" s="6" t="e">
        <f t="shared" si="241"/>
        <v>#DIV/0!</v>
      </c>
    </row>
    <row r="489" spans="1:58" ht="15.75">
      <c r="B489" s="11">
        <v>45749</v>
      </c>
      <c r="C489" s="1">
        <v>245</v>
      </c>
      <c r="D489" s="3">
        <v>484</v>
      </c>
      <c r="E489" s="205" t="str">
        <f t="shared" si="235"/>
        <v/>
      </c>
      <c r="G489" s="15">
        <f>(N489*18-H489*18)/9</f>
        <v>16.599999999999998</v>
      </c>
      <c r="H489" s="15">
        <f>5*1.24</f>
        <v>6.2</v>
      </c>
      <c r="I489" s="15">
        <f t="shared" si="244"/>
        <v>24.55</v>
      </c>
      <c r="K489" s="10" t="str">
        <f t="shared" si="247"/>
        <v/>
      </c>
      <c r="L489" s="9" t="str">
        <f t="shared" si="248"/>
        <v/>
      </c>
      <c r="M489" s="8">
        <f t="shared" si="249"/>
        <v>2.9578313253012052</v>
      </c>
      <c r="N489" s="7">
        <f>5*2.9</f>
        <v>14.5</v>
      </c>
      <c r="Q489" s="6">
        <f>O489*1.067</f>
        <v>0</v>
      </c>
      <c r="R489" s="6">
        <f>P489*1.514</f>
        <v>0</v>
      </c>
      <c r="S489" s="23">
        <f>P489*1.514+O489*1.067</f>
        <v>0</v>
      </c>
      <c r="T489" s="6">
        <v>38.9</v>
      </c>
      <c r="U489" s="59">
        <f>1.112*1.067</f>
        <v>1.186504</v>
      </c>
      <c r="V489" s="59">
        <f>0.845*1.514</f>
        <v>1.2793300000000001</v>
      </c>
      <c r="W489" s="23">
        <f>U489*1.067+V489*1.514</f>
        <v>3.202905388</v>
      </c>
      <c r="AB489" s="5">
        <v>80</v>
      </c>
      <c r="AC489" s="7">
        <f>T489</f>
        <v>38.9</v>
      </c>
      <c r="AD489" s="1">
        <f>5*4.91</f>
        <v>24.55</v>
      </c>
      <c r="AE489" s="1">
        <f>5*3.975</f>
        <v>19.875</v>
      </c>
      <c r="AF489" s="1">
        <v>0</v>
      </c>
      <c r="AJ489" s="1">
        <v>113</v>
      </c>
      <c r="AK489" s="3">
        <f t="shared" si="243"/>
        <v>240</v>
      </c>
      <c r="AL489" s="4">
        <f>AE489</f>
        <v>19.875</v>
      </c>
      <c r="AM489" s="1">
        <f>5*2.875</f>
        <v>14.375</v>
      </c>
      <c r="AN489" s="80">
        <f t="shared" si="231"/>
        <v>40</v>
      </c>
      <c r="AP489" s="13" t="e">
        <f t="shared" si="240"/>
        <v>#DIV/0!</v>
      </c>
      <c r="AR489" s="17" t="e">
        <f t="shared" si="219"/>
        <v>#VALUE!</v>
      </c>
      <c r="AS489" s="16">
        <f t="shared" si="237"/>
        <v>1</v>
      </c>
      <c r="AT489" s="16">
        <f t="shared" si="246"/>
        <v>0</v>
      </c>
      <c r="AU489" s="16">
        <f t="shared" si="245"/>
        <v>0.13403614457831314</v>
      </c>
      <c r="AV489" s="57" t="str">
        <f t="shared" si="225"/>
        <v/>
      </c>
      <c r="AW489" s="57">
        <f t="shared" si="238"/>
        <v>24.55</v>
      </c>
      <c r="AX489" s="57">
        <f t="shared" si="215"/>
        <v>2.2249999999999979</v>
      </c>
      <c r="AY489" s="57">
        <f t="shared" si="233"/>
        <v>19.024999999999999</v>
      </c>
      <c r="AZ489" s="57">
        <f t="shared" si="250"/>
        <v>5.5</v>
      </c>
      <c r="BE489" s="6">
        <f t="shared" si="232"/>
        <v>13.035398230088497</v>
      </c>
      <c r="BF489" s="6" t="e">
        <f t="shared" si="241"/>
        <v>#DIV/0!</v>
      </c>
    </row>
    <row r="490" spans="1:58" ht="15.75">
      <c r="A490" s="12" t="s">
        <v>59</v>
      </c>
      <c r="B490" s="72">
        <v>45750</v>
      </c>
      <c r="C490" s="1">
        <v>246</v>
      </c>
      <c r="D490" s="81">
        <v>485</v>
      </c>
      <c r="E490" s="205" t="str">
        <f t="shared" si="235"/>
        <v/>
      </c>
      <c r="G490" s="15">
        <f>(N490*18-H490*18)/9</f>
        <v>13.560000000000002</v>
      </c>
      <c r="H490" s="15">
        <f>5*0.424</f>
        <v>2.12</v>
      </c>
      <c r="I490" s="15">
        <f t="shared" si="244"/>
        <v>22.75</v>
      </c>
      <c r="K490" s="10" t="str">
        <f t="shared" si="247"/>
        <v/>
      </c>
      <c r="L490" s="9" t="str">
        <f t="shared" si="248"/>
        <v/>
      </c>
      <c r="M490" s="8">
        <f t="shared" si="249"/>
        <v>3.3554572271386425</v>
      </c>
      <c r="N490" s="7">
        <f>5*1.78</f>
        <v>8.9</v>
      </c>
      <c r="Q490" s="6">
        <f>O490*1.067</f>
        <v>0</v>
      </c>
      <c r="R490" s="6">
        <f>P490*1.514</f>
        <v>0</v>
      </c>
      <c r="S490" s="23">
        <f>P490*1.514+O490*1.067</f>
        <v>0</v>
      </c>
      <c r="T490" s="6">
        <v>35.4</v>
      </c>
      <c r="U490" s="59">
        <f>1.112*1.067</f>
        <v>1.186504</v>
      </c>
      <c r="V490" s="59">
        <f>0.845*1.514</f>
        <v>1.2793300000000001</v>
      </c>
      <c r="W490" s="23">
        <f>U490*1.067+V490*1.514</f>
        <v>3.202905388</v>
      </c>
      <c r="AB490" s="5">
        <v>80</v>
      </c>
      <c r="AC490" s="7">
        <f>T490</f>
        <v>35.4</v>
      </c>
      <c r="AD490" s="1">
        <f>5*4.55</f>
        <v>22.75</v>
      </c>
      <c r="AE490" s="1">
        <f>5*2.26</f>
        <v>11.299999999999999</v>
      </c>
      <c r="AF490" s="1">
        <v>0</v>
      </c>
      <c r="AJ490" s="1">
        <v>127</v>
      </c>
      <c r="AK490" s="3">
        <f t="shared" si="243"/>
        <v>240</v>
      </c>
      <c r="AL490" s="4">
        <f>AE490</f>
        <v>11.299999999999999</v>
      </c>
      <c r="AM490" s="1">
        <f>5*0.672</f>
        <v>3.3600000000000003</v>
      </c>
      <c r="AN490" s="80">
        <f t="shared" si="231"/>
        <v>40</v>
      </c>
      <c r="AP490" s="13" t="e">
        <f t="shared" si="240"/>
        <v>#DIV/0!</v>
      </c>
      <c r="AR490" s="17" t="e">
        <f t="shared" si="219"/>
        <v>#VALUE!</v>
      </c>
      <c r="AS490" s="16">
        <f t="shared" ref="AS490:AS521" si="251">(I490-AF490)/I490</f>
        <v>1</v>
      </c>
      <c r="AT490" s="16">
        <f t="shared" si="246"/>
        <v>0</v>
      </c>
      <c r="AU490" s="16">
        <f t="shared" si="245"/>
        <v>0.75221238938053103</v>
      </c>
      <c r="AV490" s="57" t="str">
        <f t="shared" si="225"/>
        <v/>
      </c>
      <c r="AW490" s="57">
        <f t="shared" si="238"/>
        <v>22.75</v>
      </c>
      <c r="AX490" s="57">
        <f t="shared" si="215"/>
        <v>10.200000000000003</v>
      </c>
      <c r="AY490" s="57">
        <f t="shared" si="233"/>
        <v>24.1</v>
      </c>
      <c r="AZ490" s="57">
        <f t="shared" si="250"/>
        <v>7.9399999999999986</v>
      </c>
      <c r="BE490" s="6">
        <f t="shared" si="232"/>
        <v>10.748031496062993</v>
      </c>
      <c r="BF490" s="6" t="e">
        <f t="shared" si="241"/>
        <v>#DIV/0!</v>
      </c>
    </row>
    <row r="491" spans="1:58" ht="15.75">
      <c r="B491" s="11">
        <v>45751</v>
      </c>
      <c r="C491" s="1">
        <v>247</v>
      </c>
      <c r="D491" s="3">
        <v>486</v>
      </c>
      <c r="E491" s="205" t="str">
        <f t="shared" si="235"/>
        <v/>
      </c>
      <c r="G491" s="83">
        <v>13.560000000000002</v>
      </c>
      <c r="I491" s="15">
        <f t="shared" si="244"/>
        <v>0</v>
      </c>
      <c r="K491" s="10" t="str">
        <f t="shared" si="247"/>
        <v/>
      </c>
      <c r="L491" s="9" t="str">
        <f t="shared" si="248"/>
        <v/>
      </c>
      <c r="M491" s="8" t="str">
        <f t="shared" si="249"/>
        <v/>
      </c>
      <c r="AB491" s="5">
        <v>80</v>
      </c>
      <c r="AJ491" s="1">
        <v>123</v>
      </c>
      <c r="AK491" s="3">
        <f t="shared" si="243"/>
        <v>240</v>
      </c>
      <c r="AM491" s="1">
        <f>2*1.32</f>
        <v>2.64</v>
      </c>
      <c r="AN491" s="80">
        <f t="shared" si="231"/>
        <v>40</v>
      </c>
      <c r="AP491" s="13" t="e">
        <f t="shared" si="240"/>
        <v>#DIV/0!</v>
      </c>
      <c r="AR491" s="17" t="e">
        <f t="shared" si="219"/>
        <v>#VALUE!</v>
      </c>
      <c r="AS491" s="16" t="e">
        <f t="shared" si="251"/>
        <v>#DIV/0!</v>
      </c>
      <c r="AT491" s="16" t="e">
        <f t="shared" si="246"/>
        <v>#DIV/0!</v>
      </c>
      <c r="AU491" s="16">
        <f t="shared" si="245"/>
        <v>0.80530973451327437</v>
      </c>
      <c r="AV491" s="57" t="str">
        <f t="shared" si="225"/>
        <v/>
      </c>
      <c r="AW491" s="57" t="str">
        <f t="shared" si="238"/>
        <v/>
      </c>
      <c r="AX491" s="57">
        <f t="shared" si="215"/>
        <v>10.920000000000002</v>
      </c>
      <c r="AY491" s="57" t="str">
        <f t="shared" si="233"/>
        <v/>
      </c>
      <c r="AZ491" s="57" t="str">
        <f t="shared" si="250"/>
        <v/>
      </c>
      <c r="BE491" s="6" t="str">
        <f t="shared" si="232"/>
        <v/>
      </c>
      <c r="BF491" s="6" t="e">
        <f t="shared" si="241"/>
        <v>#DIV/0!</v>
      </c>
    </row>
    <row r="492" spans="1:58" ht="15.75">
      <c r="B492" s="11">
        <v>45752</v>
      </c>
      <c r="C492" s="1">
        <v>248</v>
      </c>
      <c r="D492" s="3">
        <v>487</v>
      </c>
      <c r="E492" s="205" t="str">
        <f t="shared" si="235"/>
        <v/>
      </c>
      <c r="I492" s="15">
        <f t="shared" si="244"/>
        <v>0</v>
      </c>
      <c r="K492" s="10" t="str">
        <f t="shared" si="247"/>
        <v/>
      </c>
      <c r="L492" s="9" t="str">
        <f t="shared" si="248"/>
        <v/>
      </c>
      <c r="M492" s="8" t="str">
        <f t="shared" si="249"/>
        <v/>
      </c>
      <c r="AB492" s="5">
        <v>80</v>
      </c>
      <c r="AJ492" s="1">
        <v>135</v>
      </c>
      <c r="AK492" s="3">
        <f t="shared" si="243"/>
        <v>240</v>
      </c>
      <c r="AN492" s="80">
        <f t="shared" si="231"/>
        <v>40</v>
      </c>
      <c r="AP492" s="13" t="e">
        <f t="shared" si="240"/>
        <v>#DIV/0!</v>
      </c>
      <c r="AR492" s="17" t="e">
        <f t="shared" si="219"/>
        <v>#VALUE!</v>
      </c>
      <c r="AS492" s="16" t="e">
        <f t="shared" si="251"/>
        <v>#DIV/0!</v>
      </c>
      <c r="AT492" s="16" t="e">
        <f t="shared" si="246"/>
        <v>#DIV/0!</v>
      </c>
      <c r="AU492" s="16" t="e">
        <f t="shared" si="245"/>
        <v>#DIV/0!</v>
      </c>
      <c r="AV492" s="57" t="str">
        <f t="shared" si="225"/>
        <v/>
      </c>
      <c r="AW492" s="57" t="str">
        <f t="shared" si="238"/>
        <v/>
      </c>
      <c r="AX492" s="57" t="str">
        <f t="shared" ref="AX492:AX555" si="252">IF(AND(ISNUMBER(AM492),ISNUMBER(G492)),G492-AM492,"")</f>
        <v/>
      </c>
      <c r="AY492" s="57" t="str">
        <f t="shared" si="233"/>
        <v/>
      </c>
      <c r="AZ492" s="57" t="str">
        <f t="shared" si="250"/>
        <v/>
      </c>
      <c r="BE492" s="6" t="str">
        <f t="shared" si="232"/>
        <v/>
      </c>
      <c r="BF492" s="6" t="e">
        <f t="shared" si="241"/>
        <v>#DIV/0!</v>
      </c>
    </row>
    <row r="493" spans="1:58" ht="15.75">
      <c r="B493" s="11">
        <v>45753</v>
      </c>
      <c r="C493" s="1">
        <v>249</v>
      </c>
      <c r="D493" s="3">
        <v>488</v>
      </c>
      <c r="E493" s="205" t="str">
        <f t="shared" si="235"/>
        <v/>
      </c>
      <c r="I493" s="15">
        <f t="shared" si="244"/>
        <v>0</v>
      </c>
      <c r="K493" s="10" t="str">
        <f t="shared" si="247"/>
        <v/>
      </c>
      <c r="L493" s="9" t="str">
        <f t="shared" si="248"/>
        <v/>
      </c>
      <c r="M493" s="8" t="str">
        <f t="shared" si="249"/>
        <v/>
      </c>
      <c r="AB493" s="5">
        <v>80</v>
      </c>
      <c r="AJ493" s="1">
        <v>133</v>
      </c>
      <c r="AK493" s="3">
        <f t="shared" si="243"/>
        <v>240</v>
      </c>
      <c r="AN493" s="80">
        <f t="shared" si="231"/>
        <v>40</v>
      </c>
      <c r="AP493" s="13">
        <f t="shared" si="240"/>
        <v>2100.0000000000455</v>
      </c>
      <c r="AR493" s="17" t="e">
        <f t="shared" si="219"/>
        <v>#VALUE!</v>
      </c>
      <c r="AS493" s="16" t="e">
        <f t="shared" si="251"/>
        <v>#DIV/0!</v>
      </c>
      <c r="AT493" s="16" t="e">
        <f t="shared" si="246"/>
        <v>#DIV/0!</v>
      </c>
      <c r="AU493" s="16" t="e">
        <f t="shared" si="245"/>
        <v>#DIV/0!</v>
      </c>
      <c r="AV493" s="57" t="str">
        <f t="shared" si="225"/>
        <v/>
      </c>
      <c r="AW493" s="57" t="str">
        <f t="shared" si="238"/>
        <v/>
      </c>
      <c r="AX493" s="57" t="str">
        <f t="shared" si="252"/>
        <v/>
      </c>
      <c r="AY493" s="57" t="str">
        <f t="shared" si="233"/>
        <v/>
      </c>
      <c r="AZ493" s="57" t="str">
        <f t="shared" si="250"/>
        <v/>
      </c>
      <c r="BE493" s="6" t="str">
        <f t="shared" si="232"/>
        <v/>
      </c>
      <c r="BF493" s="6" t="str">
        <f t="shared" ref="BF493:BF524" si="253">IF(OR(AJ493=0,AP493=0,NOT(ISNUMBER(AD493)),NOT(ISNUMBER(AF493)),NOT(ISNUMBER(AJ493)),NOT(ISNUMBER(AP493))),"",
IFERROR(IF((AD493-AF493)/(AJ493/60)/(AP493/1000)&lt;=0,"",(AD493-AF493)/(AJ493/60)/(AP493/1000)),""))</f>
        <v/>
      </c>
    </row>
    <row r="494" spans="1:58" ht="15.75">
      <c r="A494" s="12" t="s">
        <v>58</v>
      </c>
      <c r="B494" s="11">
        <v>45754</v>
      </c>
      <c r="C494" s="1">
        <v>250</v>
      </c>
      <c r="D494" s="3">
        <v>489</v>
      </c>
      <c r="E494" s="205" t="str">
        <f t="shared" si="235"/>
        <v/>
      </c>
      <c r="G494" s="83">
        <f>12.396*73/79</f>
        <v>11.45453164556962</v>
      </c>
      <c r="I494" s="15">
        <f t="shared" si="244"/>
        <v>0</v>
      </c>
      <c r="K494" s="10" t="str">
        <f t="shared" si="247"/>
        <v/>
      </c>
      <c r="L494" s="9" t="str">
        <f t="shared" si="248"/>
        <v/>
      </c>
      <c r="M494" s="8" t="str">
        <f t="shared" si="249"/>
        <v/>
      </c>
      <c r="AB494" s="5">
        <v>80</v>
      </c>
      <c r="AJ494" s="1">
        <v>137</v>
      </c>
      <c r="AK494" s="3">
        <f t="shared" si="243"/>
        <v>240</v>
      </c>
      <c r="AM494" s="1">
        <f>2*0.924</f>
        <v>1.8480000000000001</v>
      </c>
      <c r="AN494" s="80">
        <f t="shared" si="231"/>
        <v>40</v>
      </c>
      <c r="AP494" s="13">
        <f t="shared" si="240"/>
        <v>2100.0000000000455</v>
      </c>
      <c r="AR494" s="17" t="e">
        <f t="shared" si="219"/>
        <v>#VALUE!</v>
      </c>
      <c r="AS494" s="16" t="e">
        <f t="shared" si="251"/>
        <v>#DIV/0!</v>
      </c>
      <c r="AT494" s="16" t="e">
        <f t="shared" si="246"/>
        <v>#DIV/0!</v>
      </c>
      <c r="AU494" s="16">
        <f t="shared" si="245"/>
        <v>0.83866647217175661</v>
      </c>
      <c r="AV494" s="57" t="str">
        <f t="shared" si="225"/>
        <v/>
      </c>
      <c r="AW494" s="57" t="str">
        <f t="shared" si="238"/>
        <v/>
      </c>
      <c r="AX494" s="57">
        <f t="shared" si="252"/>
        <v>9.6065316455696195</v>
      </c>
      <c r="AY494" s="57" t="str">
        <f t="shared" si="233"/>
        <v/>
      </c>
      <c r="AZ494" s="57" t="str">
        <f t="shared" si="250"/>
        <v/>
      </c>
      <c r="BE494" s="6" t="str">
        <f t="shared" si="232"/>
        <v/>
      </c>
      <c r="BF494" s="6" t="str">
        <f t="shared" si="253"/>
        <v/>
      </c>
    </row>
    <row r="495" spans="1:58" ht="15.75">
      <c r="A495" s="12" t="s">
        <v>57</v>
      </c>
      <c r="B495" s="82">
        <v>45755</v>
      </c>
      <c r="C495" s="1">
        <v>251</v>
      </c>
      <c r="D495" s="3">
        <v>490</v>
      </c>
      <c r="E495" s="205" t="str">
        <f t="shared" si="235"/>
        <v/>
      </c>
      <c r="G495" s="15">
        <f>(N495*18-H495*18)/9</f>
        <v>12.396000000000003</v>
      </c>
      <c r="H495" s="15">
        <f>2*0.951</f>
        <v>1.9019999999999999</v>
      </c>
      <c r="I495" s="15">
        <f t="shared" si="244"/>
        <v>27.25</v>
      </c>
      <c r="K495" s="10" t="str">
        <f t="shared" si="247"/>
        <v/>
      </c>
      <c r="L495" s="9" t="str">
        <f t="shared" si="248"/>
        <v/>
      </c>
      <c r="M495" s="8">
        <f t="shared" si="249"/>
        <v>4.3965795417876725</v>
      </c>
      <c r="N495" s="7">
        <f>5*1.62</f>
        <v>8.1000000000000014</v>
      </c>
      <c r="Q495" s="6">
        <f>O495*1.067</f>
        <v>0</v>
      </c>
      <c r="R495" s="6">
        <f>P495*1.514</f>
        <v>0</v>
      </c>
      <c r="S495" s="23">
        <f>P495*1.514+O495*1.067</f>
        <v>0</v>
      </c>
      <c r="T495" s="6">
        <f>35.3</f>
        <v>35.299999999999997</v>
      </c>
      <c r="U495" s="59">
        <f>1.112*1.067</f>
        <v>1.186504</v>
      </c>
      <c r="V495" s="59">
        <f>0.845*1.514</f>
        <v>1.2793300000000001</v>
      </c>
      <c r="W495" s="23">
        <f>U495*1.067+V495*1.514</f>
        <v>3.202905388</v>
      </c>
      <c r="X495" s="6">
        <v>3.58</v>
      </c>
      <c r="Y495" s="6">
        <v>0.2</v>
      </c>
      <c r="Z495" s="6">
        <v>-12</v>
      </c>
      <c r="AA495" s="6">
        <v>-222</v>
      </c>
      <c r="AB495" s="5">
        <v>80</v>
      </c>
      <c r="AC495" s="7">
        <f>T495</f>
        <v>35.299999999999997</v>
      </c>
      <c r="AD495" s="1">
        <f>5*5.45</f>
        <v>27.25</v>
      </c>
      <c r="AE495" s="1">
        <f>5*1.1</f>
        <v>5.5</v>
      </c>
      <c r="AF495" s="1">
        <v>0</v>
      </c>
      <c r="AI495" s="1">
        <v>-224</v>
      </c>
      <c r="AJ495" s="1">
        <v>189</v>
      </c>
      <c r="AK495" s="3">
        <f t="shared" si="243"/>
        <v>240</v>
      </c>
      <c r="AL495" s="4">
        <f>AE495</f>
        <v>5.5</v>
      </c>
      <c r="AM495" s="1">
        <f>2*0.553</f>
        <v>1.1060000000000001</v>
      </c>
      <c r="AN495" s="80">
        <f t="shared" si="231"/>
        <v>40</v>
      </c>
      <c r="AP495" s="13">
        <f t="shared" si="240"/>
        <v>2100.0000000000455</v>
      </c>
      <c r="AR495" s="17" t="e">
        <f t="shared" si="219"/>
        <v>#VALUE!</v>
      </c>
      <c r="AS495" s="16">
        <f t="shared" si="251"/>
        <v>1</v>
      </c>
      <c r="AT495" s="16">
        <f t="shared" si="246"/>
        <v>0</v>
      </c>
      <c r="AU495" s="16">
        <f t="shared" si="245"/>
        <v>0.91077767021619882</v>
      </c>
      <c r="AV495" s="57" t="str">
        <f t="shared" si="225"/>
        <v/>
      </c>
      <c r="AW495" s="57">
        <f t="shared" si="238"/>
        <v>27.25</v>
      </c>
      <c r="AX495" s="57">
        <f t="shared" si="252"/>
        <v>11.290000000000003</v>
      </c>
      <c r="AY495" s="57">
        <f t="shared" si="233"/>
        <v>29.799999999999997</v>
      </c>
      <c r="AZ495" s="57">
        <f t="shared" si="250"/>
        <v>4.3940000000000001</v>
      </c>
      <c r="BE495" s="6">
        <f t="shared" si="232"/>
        <v>8.6507936507936503</v>
      </c>
      <c r="BF495" s="6">
        <f t="shared" si="253"/>
        <v>4.1194255479968875</v>
      </c>
    </row>
    <row r="496" spans="1:58" ht="15.75">
      <c r="B496" s="11">
        <v>45756</v>
      </c>
      <c r="C496" s="1">
        <v>252</v>
      </c>
      <c r="D496" s="3">
        <v>491</v>
      </c>
      <c r="E496" s="205" t="str">
        <f t="shared" si="235"/>
        <v/>
      </c>
      <c r="I496" s="15">
        <f t="shared" si="244"/>
        <v>0</v>
      </c>
      <c r="K496" s="10" t="str">
        <f t="shared" si="247"/>
        <v/>
      </c>
      <c r="L496" s="9" t="str">
        <f t="shared" si="248"/>
        <v/>
      </c>
      <c r="M496" s="8" t="str">
        <f t="shared" si="249"/>
        <v/>
      </c>
      <c r="AB496" s="5">
        <v>80</v>
      </c>
      <c r="AJ496" s="1">
        <v>203</v>
      </c>
      <c r="AK496" s="3">
        <f t="shared" si="243"/>
        <v>240</v>
      </c>
      <c r="AN496" s="80">
        <f t="shared" si="231"/>
        <v>40</v>
      </c>
      <c r="AP496" s="13">
        <f t="shared" si="240"/>
        <v>2100.0000000000455</v>
      </c>
      <c r="AR496" s="17" t="e">
        <f t="shared" si="219"/>
        <v>#VALUE!</v>
      </c>
      <c r="AS496" s="16" t="e">
        <f t="shared" si="251"/>
        <v>#DIV/0!</v>
      </c>
      <c r="AT496" s="16" t="e">
        <f t="shared" si="246"/>
        <v>#DIV/0!</v>
      </c>
      <c r="AU496" s="16" t="e">
        <f t="shared" si="245"/>
        <v>#DIV/0!</v>
      </c>
      <c r="AV496" s="57" t="str">
        <f t="shared" si="225"/>
        <v/>
      </c>
      <c r="AW496" s="57" t="str">
        <f t="shared" si="238"/>
        <v/>
      </c>
      <c r="AX496" s="57" t="str">
        <f t="shared" si="252"/>
        <v/>
      </c>
      <c r="AY496" s="57" t="str">
        <f t="shared" si="233"/>
        <v/>
      </c>
      <c r="AZ496" s="57" t="str">
        <f t="shared" si="250"/>
        <v/>
      </c>
      <c r="BE496" s="6" t="str">
        <f t="shared" si="232"/>
        <v/>
      </c>
      <c r="BF496" s="6" t="str">
        <f t="shared" si="253"/>
        <v/>
      </c>
    </row>
    <row r="497" spans="1:58" ht="15.75">
      <c r="B497" s="72">
        <v>45757</v>
      </c>
      <c r="C497" s="1">
        <v>253</v>
      </c>
      <c r="D497" s="81">
        <v>492</v>
      </c>
      <c r="E497" s="205" t="str">
        <f t="shared" si="235"/>
        <v/>
      </c>
      <c r="I497" s="15">
        <f t="shared" si="244"/>
        <v>0</v>
      </c>
      <c r="K497" s="10" t="str">
        <f t="shared" si="247"/>
        <v/>
      </c>
      <c r="L497" s="9" t="str">
        <f t="shared" si="248"/>
        <v/>
      </c>
      <c r="M497" s="8" t="str">
        <f t="shared" si="249"/>
        <v/>
      </c>
      <c r="AB497" s="5">
        <v>80</v>
      </c>
      <c r="AJ497" s="1">
        <v>137</v>
      </c>
      <c r="AK497" s="3">
        <f t="shared" si="243"/>
        <v>240</v>
      </c>
      <c r="AN497" s="80">
        <f t="shared" si="231"/>
        <v>40</v>
      </c>
      <c r="AO497" s="2">
        <v>2100.0000000000455</v>
      </c>
      <c r="AP497" s="13">
        <f t="shared" si="240"/>
        <v>2100.0000000000455</v>
      </c>
      <c r="AR497" s="17" t="e">
        <f t="shared" ref="AR497:AR560" si="254">(E497-W497)/E497</f>
        <v>#VALUE!</v>
      </c>
      <c r="AS497" s="16" t="e">
        <f t="shared" si="251"/>
        <v>#DIV/0!</v>
      </c>
      <c r="AT497" s="16" t="e">
        <f t="shared" si="246"/>
        <v>#DIV/0!</v>
      </c>
      <c r="AU497" s="16" t="e">
        <f t="shared" si="245"/>
        <v>#DIV/0!</v>
      </c>
      <c r="AV497" s="57" t="str">
        <f t="shared" si="225"/>
        <v/>
      </c>
      <c r="AW497" s="57" t="str">
        <f t="shared" si="238"/>
        <v/>
      </c>
      <c r="AX497" s="57" t="str">
        <f t="shared" si="252"/>
        <v/>
      </c>
      <c r="AY497" s="57" t="str">
        <f t="shared" si="233"/>
        <v/>
      </c>
      <c r="AZ497" s="57" t="str">
        <f t="shared" si="250"/>
        <v/>
      </c>
      <c r="BE497" s="6" t="str">
        <f t="shared" si="232"/>
        <v/>
      </c>
      <c r="BF497" s="6" t="str">
        <f t="shared" si="253"/>
        <v/>
      </c>
    </row>
    <row r="498" spans="1:58" ht="15.75">
      <c r="B498" s="11">
        <v>45758</v>
      </c>
      <c r="C498" s="1">
        <v>254</v>
      </c>
      <c r="D498" s="3">
        <v>493</v>
      </c>
      <c r="E498" s="205" t="str">
        <f t="shared" si="235"/>
        <v/>
      </c>
      <c r="I498" s="15">
        <f t="shared" si="244"/>
        <v>0</v>
      </c>
      <c r="K498" s="10" t="str">
        <f t="shared" si="247"/>
        <v/>
      </c>
      <c r="L498" s="9" t="str">
        <f t="shared" si="248"/>
        <v/>
      </c>
      <c r="M498" s="8" t="str">
        <f t="shared" si="249"/>
        <v/>
      </c>
      <c r="AB498" s="5">
        <v>80</v>
      </c>
      <c r="AJ498" s="1">
        <v>201</v>
      </c>
      <c r="AK498" s="3">
        <f t="shared" si="243"/>
        <v>240</v>
      </c>
      <c r="AN498" s="80">
        <f t="shared" si="231"/>
        <v>40</v>
      </c>
      <c r="AP498" s="13">
        <f t="shared" si="240"/>
        <v>2100.0000000000455</v>
      </c>
      <c r="AR498" s="17" t="e">
        <f t="shared" si="254"/>
        <v>#VALUE!</v>
      </c>
      <c r="AS498" s="16" t="e">
        <f t="shared" si="251"/>
        <v>#DIV/0!</v>
      </c>
      <c r="AT498" s="16" t="e">
        <f t="shared" si="246"/>
        <v>#DIV/0!</v>
      </c>
      <c r="AU498" s="16" t="e">
        <f t="shared" si="245"/>
        <v>#DIV/0!</v>
      </c>
      <c r="AV498" s="57" t="str">
        <f t="shared" si="225"/>
        <v/>
      </c>
      <c r="AW498" s="57" t="str">
        <f t="shared" si="238"/>
        <v/>
      </c>
      <c r="AX498" s="57" t="str">
        <f t="shared" si="252"/>
        <v/>
      </c>
      <c r="AY498" s="57" t="str">
        <f t="shared" si="233"/>
        <v/>
      </c>
      <c r="AZ498" s="57" t="str">
        <f t="shared" si="250"/>
        <v/>
      </c>
      <c r="BE498" s="6" t="str">
        <f t="shared" si="232"/>
        <v/>
      </c>
      <c r="BF498" s="6" t="str">
        <f t="shared" si="253"/>
        <v/>
      </c>
    </row>
    <row r="499" spans="1:58" ht="15.75">
      <c r="B499" s="11">
        <v>45759</v>
      </c>
      <c r="C499" s="1">
        <v>255</v>
      </c>
      <c r="D499" s="3">
        <v>494</v>
      </c>
      <c r="E499" s="205" t="str">
        <f t="shared" si="235"/>
        <v/>
      </c>
      <c r="I499" s="15">
        <f t="shared" si="244"/>
        <v>0</v>
      </c>
      <c r="K499" s="10" t="str">
        <f t="shared" si="247"/>
        <v/>
      </c>
      <c r="L499" s="9" t="str">
        <f t="shared" si="248"/>
        <v/>
      </c>
      <c r="M499" s="8" t="str">
        <f t="shared" si="249"/>
        <v/>
      </c>
      <c r="AB499" s="5">
        <v>80</v>
      </c>
      <c r="AJ499" s="1">
        <v>209</v>
      </c>
      <c r="AK499" s="3">
        <f t="shared" si="243"/>
        <v>240</v>
      </c>
      <c r="AN499" s="80">
        <f t="shared" si="231"/>
        <v>40</v>
      </c>
      <c r="AP499" s="13">
        <f t="shared" si="240"/>
        <v>2100.0000000000455</v>
      </c>
      <c r="AR499" s="17" t="e">
        <f t="shared" si="254"/>
        <v>#VALUE!</v>
      </c>
      <c r="AS499" s="16" t="e">
        <f t="shared" si="251"/>
        <v>#DIV/0!</v>
      </c>
      <c r="AT499" s="16" t="e">
        <f t="shared" si="246"/>
        <v>#DIV/0!</v>
      </c>
      <c r="AU499" s="16" t="e">
        <f t="shared" si="245"/>
        <v>#DIV/0!</v>
      </c>
      <c r="AV499" s="57" t="str">
        <f t="shared" si="225"/>
        <v/>
      </c>
      <c r="AW499" s="57" t="str">
        <f t="shared" si="238"/>
        <v/>
      </c>
      <c r="AX499" s="57" t="str">
        <f t="shared" si="252"/>
        <v/>
      </c>
      <c r="AY499" s="57" t="str">
        <f t="shared" si="233"/>
        <v/>
      </c>
      <c r="AZ499" s="57" t="str">
        <f t="shared" si="250"/>
        <v/>
      </c>
      <c r="BE499" s="6" t="str">
        <f t="shared" si="232"/>
        <v/>
      </c>
      <c r="BF499" s="6" t="str">
        <f t="shared" si="253"/>
        <v/>
      </c>
    </row>
    <row r="500" spans="1:58" ht="15.75">
      <c r="B500" s="11">
        <v>45760</v>
      </c>
      <c r="C500" s="1">
        <v>256</v>
      </c>
      <c r="D500" s="3">
        <v>495</v>
      </c>
      <c r="E500" s="205" t="str">
        <f t="shared" si="235"/>
        <v/>
      </c>
      <c r="I500" s="15">
        <f t="shared" si="244"/>
        <v>0</v>
      </c>
      <c r="K500" s="10" t="str">
        <f t="shared" si="247"/>
        <v/>
      </c>
      <c r="L500" s="9" t="str">
        <f t="shared" si="248"/>
        <v/>
      </c>
      <c r="M500" s="8" t="str">
        <f t="shared" si="249"/>
        <v/>
      </c>
      <c r="AB500" s="5">
        <v>80</v>
      </c>
      <c r="AJ500" s="1">
        <v>235</v>
      </c>
      <c r="AK500" s="3">
        <f t="shared" si="243"/>
        <v>240</v>
      </c>
      <c r="AN500" s="80">
        <f t="shared" si="231"/>
        <v>40</v>
      </c>
      <c r="AP500" s="13" t="e">
        <f t="shared" si="240"/>
        <v>#DIV/0!</v>
      </c>
      <c r="AR500" s="17" t="e">
        <f t="shared" si="254"/>
        <v>#VALUE!</v>
      </c>
      <c r="AS500" s="16" t="e">
        <f t="shared" si="251"/>
        <v>#DIV/0!</v>
      </c>
      <c r="AT500" s="16" t="e">
        <f t="shared" si="246"/>
        <v>#DIV/0!</v>
      </c>
      <c r="AU500" s="16" t="e">
        <f t="shared" si="245"/>
        <v>#DIV/0!</v>
      </c>
      <c r="AV500" s="57" t="str">
        <f t="shared" si="225"/>
        <v/>
      </c>
      <c r="AW500" s="57" t="str">
        <f t="shared" si="238"/>
        <v/>
      </c>
      <c r="AX500" s="57" t="str">
        <f t="shared" si="252"/>
        <v/>
      </c>
      <c r="AY500" s="57" t="str">
        <f t="shared" si="233"/>
        <v/>
      </c>
      <c r="AZ500" s="57" t="str">
        <f t="shared" si="250"/>
        <v/>
      </c>
      <c r="BE500" s="6" t="str">
        <f t="shared" si="232"/>
        <v/>
      </c>
      <c r="BF500" s="6" t="e">
        <f t="shared" si="253"/>
        <v>#DIV/0!</v>
      </c>
    </row>
    <row r="501" spans="1:58" ht="15.75">
      <c r="B501" s="11">
        <v>45761</v>
      </c>
      <c r="C501" s="1">
        <v>257</v>
      </c>
      <c r="D501" s="3">
        <v>496</v>
      </c>
      <c r="E501" s="205" t="str">
        <f t="shared" si="235"/>
        <v/>
      </c>
      <c r="I501" s="15">
        <f t="shared" si="244"/>
        <v>0</v>
      </c>
      <c r="K501" s="10" t="str">
        <f t="shared" si="247"/>
        <v/>
      </c>
      <c r="L501" s="9" t="str">
        <f t="shared" si="248"/>
        <v/>
      </c>
      <c r="M501" s="8" t="str">
        <f t="shared" si="249"/>
        <v/>
      </c>
      <c r="AB501" s="5">
        <v>80</v>
      </c>
      <c r="AJ501" s="1">
        <v>235</v>
      </c>
      <c r="AK501" s="3">
        <f t="shared" si="243"/>
        <v>240</v>
      </c>
      <c r="AN501" s="80">
        <f t="shared" si="231"/>
        <v>40</v>
      </c>
      <c r="AP501" s="13" t="e">
        <f t="shared" si="240"/>
        <v>#DIV/0!</v>
      </c>
      <c r="AR501" s="17" t="e">
        <f t="shared" si="254"/>
        <v>#VALUE!</v>
      </c>
      <c r="AS501" s="16" t="e">
        <f t="shared" si="251"/>
        <v>#DIV/0!</v>
      </c>
      <c r="AT501" s="16" t="e">
        <f t="shared" si="246"/>
        <v>#DIV/0!</v>
      </c>
      <c r="AU501" s="16" t="e">
        <f t="shared" si="245"/>
        <v>#DIV/0!</v>
      </c>
      <c r="AV501" s="57" t="str">
        <f t="shared" si="225"/>
        <v/>
      </c>
      <c r="AW501" s="57" t="str">
        <f t="shared" si="238"/>
        <v/>
      </c>
      <c r="AX501" s="57" t="str">
        <f t="shared" si="252"/>
        <v/>
      </c>
      <c r="AY501" s="57" t="str">
        <f t="shared" si="233"/>
        <v/>
      </c>
      <c r="AZ501" s="57" t="str">
        <f t="shared" si="250"/>
        <v/>
      </c>
      <c r="BE501" s="6" t="str">
        <f t="shared" si="232"/>
        <v/>
      </c>
      <c r="BF501" s="6" t="e">
        <f t="shared" si="253"/>
        <v>#DIV/0!</v>
      </c>
    </row>
    <row r="502" spans="1:58" ht="15.75">
      <c r="B502" s="11">
        <v>45762</v>
      </c>
      <c r="C502" s="1">
        <v>258</v>
      </c>
      <c r="D502" s="3">
        <v>497</v>
      </c>
      <c r="E502" s="205" t="str">
        <f t="shared" si="235"/>
        <v/>
      </c>
      <c r="I502" s="15">
        <f t="shared" si="244"/>
        <v>0</v>
      </c>
      <c r="K502" s="10" t="str">
        <f t="shared" si="247"/>
        <v/>
      </c>
      <c r="L502" s="9" t="str">
        <f t="shared" si="248"/>
        <v/>
      </c>
      <c r="M502" s="8" t="str">
        <f t="shared" si="249"/>
        <v/>
      </c>
      <c r="AB502" s="5">
        <v>80</v>
      </c>
      <c r="AJ502" s="1">
        <v>235</v>
      </c>
      <c r="AK502" s="3">
        <f t="shared" si="243"/>
        <v>240</v>
      </c>
      <c r="AN502" s="80">
        <f t="shared" si="231"/>
        <v>40</v>
      </c>
      <c r="AP502" s="13" t="e">
        <f t="shared" si="240"/>
        <v>#DIV/0!</v>
      </c>
      <c r="AR502" s="17" t="e">
        <f t="shared" si="254"/>
        <v>#VALUE!</v>
      </c>
      <c r="AS502" s="16" t="e">
        <f t="shared" si="251"/>
        <v>#DIV/0!</v>
      </c>
      <c r="AT502" s="16" t="e">
        <f t="shared" si="246"/>
        <v>#DIV/0!</v>
      </c>
      <c r="AU502" s="16" t="e">
        <f t="shared" si="245"/>
        <v>#DIV/0!</v>
      </c>
      <c r="AV502" s="57" t="str">
        <f t="shared" si="225"/>
        <v/>
      </c>
      <c r="AW502" s="57" t="str">
        <f t="shared" si="238"/>
        <v/>
      </c>
      <c r="AX502" s="57" t="str">
        <f t="shared" si="252"/>
        <v/>
      </c>
      <c r="AY502" s="57" t="str">
        <f t="shared" si="233"/>
        <v/>
      </c>
      <c r="AZ502" s="57" t="str">
        <f t="shared" si="250"/>
        <v/>
      </c>
      <c r="BE502" s="6" t="str">
        <f t="shared" si="232"/>
        <v/>
      </c>
      <c r="BF502" s="6" t="e">
        <f t="shared" si="253"/>
        <v>#DIV/0!</v>
      </c>
    </row>
    <row r="503" spans="1:58" ht="15.75">
      <c r="B503" s="11">
        <v>45763</v>
      </c>
      <c r="C503" s="1">
        <v>259</v>
      </c>
      <c r="D503" s="3">
        <v>498</v>
      </c>
      <c r="E503" s="205" t="str">
        <f t="shared" si="235"/>
        <v/>
      </c>
      <c r="I503" s="15">
        <f t="shared" si="244"/>
        <v>0</v>
      </c>
      <c r="K503" s="10" t="str">
        <f t="shared" si="247"/>
        <v/>
      </c>
      <c r="L503" s="9" t="str">
        <f t="shared" si="248"/>
        <v/>
      </c>
      <c r="M503" s="8" t="str">
        <f t="shared" si="249"/>
        <v/>
      </c>
      <c r="AB503" s="5">
        <v>80</v>
      </c>
      <c r="AJ503" s="1">
        <v>235</v>
      </c>
      <c r="AK503" s="3">
        <f t="shared" si="243"/>
        <v>240</v>
      </c>
      <c r="AN503" s="80">
        <f t="shared" si="231"/>
        <v>40</v>
      </c>
      <c r="AP503" s="13" t="e">
        <f t="shared" si="240"/>
        <v>#DIV/0!</v>
      </c>
      <c r="AR503" s="17" t="e">
        <f t="shared" si="254"/>
        <v>#VALUE!</v>
      </c>
      <c r="AS503" s="16" t="e">
        <f t="shared" si="251"/>
        <v>#DIV/0!</v>
      </c>
      <c r="AT503" s="16" t="e">
        <f t="shared" si="246"/>
        <v>#DIV/0!</v>
      </c>
      <c r="AU503" s="16" t="e">
        <f t="shared" ref="AU503:AU534" si="255">(G503-AM503)/G503</f>
        <v>#DIV/0!</v>
      </c>
      <c r="AV503" s="57" t="str">
        <f t="shared" ref="AV503:AV566" si="256">IF(AND(ISNUMBER(E503),ISNUMBER(W503)),E503-W503,"")</f>
        <v/>
      </c>
      <c r="AW503" s="57" t="str">
        <f t="shared" si="238"/>
        <v/>
      </c>
      <c r="AX503" s="57" t="str">
        <f t="shared" si="252"/>
        <v/>
      </c>
      <c r="AY503" s="57" t="str">
        <f t="shared" si="233"/>
        <v/>
      </c>
      <c r="AZ503" s="57" t="str">
        <f t="shared" si="250"/>
        <v/>
      </c>
      <c r="BE503" s="6" t="str">
        <f t="shared" si="232"/>
        <v/>
      </c>
      <c r="BF503" s="6" t="e">
        <f t="shared" si="253"/>
        <v>#DIV/0!</v>
      </c>
    </row>
    <row r="504" spans="1:58" ht="15.75">
      <c r="B504" s="11">
        <v>45764</v>
      </c>
      <c r="C504" s="1">
        <v>260</v>
      </c>
      <c r="D504" s="3">
        <v>499</v>
      </c>
      <c r="E504" s="205" t="str">
        <f t="shared" si="235"/>
        <v/>
      </c>
      <c r="I504" s="15">
        <f t="shared" si="244"/>
        <v>0</v>
      </c>
      <c r="K504" s="10" t="str">
        <f t="shared" si="247"/>
        <v/>
      </c>
      <c r="L504" s="9" t="str">
        <f t="shared" si="248"/>
        <v/>
      </c>
      <c r="M504" s="8" t="str">
        <f t="shared" si="249"/>
        <v/>
      </c>
      <c r="AB504" s="5">
        <v>80</v>
      </c>
      <c r="AJ504" s="1">
        <v>205</v>
      </c>
      <c r="AK504" s="3">
        <f t="shared" si="243"/>
        <v>240</v>
      </c>
      <c r="AN504" s="80">
        <f t="shared" si="231"/>
        <v>40</v>
      </c>
      <c r="AP504" s="13" t="e">
        <f t="shared" si="240"/>
        <v>#DIV/0!</v>
      </c>
      <c r="AR504" s="17" t="e">
        <f t="shared" si="254"/>
        <v>#VALUE!</v>
      </c>
      <c r="AS504" s="16" t="e">
        <f t="shared" si="251"/>
        <v>#DIV/0!</v>
      </c>
      <c r="AT504" s="16" t="e">
        <f t="shared" si="246"/>
        <v>#DIV/0!</v>
      </c>
      <c r="AU504" s="16" t="e">
        <f t="shared" si="255"/>
        <v>#DIV/0!</v>
      </c>
      <c r="AV504" s="57" t="str">
        <f t="shared" si="256"/>
        <v/>
      </c>
      <c r="AW504" s="57" t="str">
        <f t="shared" si="238"/>
        <v/>
      </c>
      <c r="AX504" s="57" t="str">
        <f t="shared" si="252"/>
        <v/>
      </c>
      <c r="AY504" s="57" t="str">
        <f t="shared" si="233"/>
        <v/>
      </c>
      <c r="AZ504" s="57" t="str">
        <f t="shared" si="250"/>
        <v/>
      </c>
      <c r="BE504" s="6" t="str">
        <f t="shared" si="232"/>
        <v/>
      </c>
      <c r="BF504" s="6" t="e">
        <f t="shared" si="253"/>
        <v>#DIV/0!</v>
      </c>
    </row>
    <row r="505" spans="1:58" ht="15.75">
      <c r="B505" s="11">
        <v>45765</v>
      </c>
      <c r="C505" s="1">
        <v>261</v>
      </c>
      <c r="D505" s="3">
        <v>500</v>
      </c>
      <c r="E505" s="205" t="str">
        <f t="shared" si="235"/>
        <v/>
      </c>
      <c r="I505" s="15">
        <f t="shared" si="244"/>
        <v>0</v>
      </c>
      <c r="J505" s="9"/>
      <c r="K505" s="10" t="str">
        <f t="shared" si="247"/>
        <v/>
      </c>
      <c r="L505" s="9" t="str">
        <f t="shared" si="248"/>
        <v/>
      </c>
      <c r="M505" s="8" t="str">
        <f t="shared" si="249"/>
        <v/>
      </c>
      <c r="N505" s="6"/>
      <c r="AB505" s="6">
        <v>80</v>
      </c>
      <c r="AC505" s="1"/>
      <c r="AJ505" s="1">
        <v>199</v>
      </c>
      <c r="AK505" s="1">
        <f t="shared" si="243"/>
        <v>240</v>
      </c>
      <c r="AL505" s="1"/>
      <c r="AN505" s="1">
        <v>40</v>
      </c>
      <c r="AP505" s="13" t="e">
        <f t="shared" si="240"/>
        <v>#DIV/0!</v>
      </c>
      <c r="AR505" s="16" t="e">
        <f t="shared" si="254"/>
        <v>#VALUE!</v>
      </c>
      <c r="AS505" s="16" t="e">
        <f t="shared" si="251"/>
        <v>#DIV/0!</v>
      </c>
      <c r="AT505" s="16" t="e">
        <f t="shared" si="246"/>
        <v>#DIV/0!</v>
      </c>
      <c r="AU505" s="16" t="e">
        <f t="shared" si="255"/>
        <v>#DIV/0!</v>
      </c>
      <c r="AV505" s="57" t="str">
        <f t="shared" si="256"/>
        <v/>
      </c>
      <c r="AW505" s="57" t="str">
        <f t="shared" si="238"/>
        <v/>
      </c>
      <c r="AX505" s="57" t="str">
        <f t="shared" si="252"/>
        <v/>
      </c>
      <c r="AY505" s="57" t="str">
        <f t="shared" si="233"/>
        <v/>
      </c>
      <c r="AZ505" s="57" t="str">
        <f t="shared" si="250"/>
        <v/>
      </c>
      <c r="BE505" s="6" t="str">
        <f t="shared" si="232"/>
        <v/>
      </c>
      <c r="BF505" s="6" t="e">
        <f t="shared" si="253"/>
        <v>#DIV/0!</v>
      </c>
    </row>
    <row r="506" spans="1:58" ht="15.75">
      <c r="A506" s="25" t="s">
        <v>56</v>
      </c>
      <c r="B506" s="11">
        <v>45766</v>
      </c>
      <c r="C506" s="1">
        <v>262</v>
      </c>
      <c r="D506" s="3">
        <v>501</v>
      </c>
      <c r="E506" s="205" t="str">
        <f t="shared" si="235"/>
        <v/>
      </c>
      <c r="I506" s="15">
        <f t="shared" si="244"/>
        <v>0</v>
      </c>
      <c r="K506" s="10" t="str">
        <f t="shared" si="247"/>
        <v/>
      </c>
      <c r="L506" s="9" t="str">
        <f t="shared" si="248"/>
        <v/>
      </c>
      <c r="M506" s="8" t="str">
        <f t="shared" si="249"/>
        <v/>
      </c>
      <c r="AB506" s="5">
        <v>80</v>
      </c>
      <c r="AJ506" s="1">
        <v>235</v>
      </c>
      <c r="AK506" s="3">
        <f t="shared" si="243"/>
        <v>240</v>
      </c>
      <c r="AN506" s="3">
        <v>40</v>
      </c>
      <c r="AP506" s="13" t="e">
        <f t="shared" si="240"/>
        <v>#DIV/0!</v>
      </c>
      <c r="AR506" s="17" t="e">
        <f t="shared" si="254"/>
        <v>#VALUE!</v>
      </c>
      <c r="AS506" s="16" t="e">
        <f t="shared" si="251"/>
        <v>#DIV/0!</v>
      </c>
      <c r="AT506" s="16" t="e">
        <f t="shared" ref="AT506:AT537" si="257">AG506/(AD506-AF506)</f>
        <v>#DIV/0!</v>
      </c>
      <c r="AU506" s="16" t="e">
        <f t="shared" si="255"/>
        <v>#DIV/0!</v>
      </c>
      <c r="AV506" s="57" t="str">
        <f t="shared" si="256"/>
        <v/>
      </c>
      <c r="AW506" s="57" t="str">
        <f t="shared" si="238"/>
        <v/>
      </c>
      <c r="AX506" s="57" t="str">
        <f t="shared" si="252"/>
        <v/>
      </c>
      <c r="AY506" s="57" t="str">
        <f t="shared" si="233"/>
        <v/>
      </c>
      <c r="AZ506" s="57" t="str">
        <f t="shared" si="250"/>
        <v/>
      </c>
      <c r="BE506" s="6" t="str">
        <f t="shared" si="232"/>
        <v/>
      </c>
      <c r="BF506" s="6" t="e">
        <f t="shared" si="253"/>
        <v>#DIV/0!</v>
      </c>
    </row>
    <row r="507" spans="1:58" ht="15.75">
      <c r="B507" s="11">
        <v>45767</v>
      </c>
      <c r="C507" s="1">
        <v>263</v>
      </c>
      <c r="D507" s="3">
        <v>502</v>
      </c>
      <c r="E507" s="205" t="str">
        <f t="shared" si="235"/>
        <v/>
      </c>
      <c r="I507" s="15">
        <f t="shared" si="244"/>
        <v>0</v>
      </c>
      <c r="K507" s="10" t="str">
        <f t="shared" si="247"/>
        <v/>
      </c>
      <c r="L507" s="9" t="str">
        <f t="shared" si="248"/>
        <v/>
      </c>
      <c r="M507" s="8" t="str">
        <f t="shared" si="249"/>
        <v/>
      </c>
      <c r="AB507" s="5">
        <v>80</v>
      </c>
      <c r="AJ507" s="1">
        <v>235</v>
      </c>
      <c r="AK507" s="3">
        <f t="shared" si="243"/>
        <v>240</v>
      </c>
      <c r="AN507" s="3">
        <v>40</v>
      </c>
      <c r="AP507" s="13" t="e">
        <f t="shared" si="240"/>
        <v>#DIV/0!</v>
      </c>
      <c r="AR507" s="17" t="e">
        <f t="shared" si="254"/>
        <v>#VALUE!</v>
      </c>
      <c r="AS507" s="16" t="e">
        <f t="shared" si="251"/>
        <v>#DIV/0!</v>
      </c>
      <c r="AT507" s="16" t="e">
        <f t="shared" si="257"/>
        <v>#DIV/0!</v>
      </c>
      <c r="AU507" s="16" t="e">
        <f t="shared" si="255"/>
        <v>#DIV/0!</v>
      </c>
      <c r="AV507" s="57" t="str">
        <f t="shared" si="256"/>
        <v/>
      </c>
      <c r="AW507" s="57" t="str">
        <f t="shared" si="238"/>
        <v/>
      </c>
      <c r="AX507" s="57" t="str">
        <f t="shared" si="252"/>
        <v/>
      </c>
      <c r="AY507" s="57" t="str">
        <f t="shared" si="233"/>
        <v/>
      </c>
      <c r="AZ507" s="57" t="str">
        <f t="shared" si="250"/>
        <v/>
      </c>
      <c r="BE507" s="6" t="str">
        <f t="shared" si="232"/>
        <v/>
      </c>
      <c r="BF507" s="6" t="e">
        <f t="shared" si="253"/>
        <v>#DIV/0!</v>
      </c>
    </row>
    <row r="508" spans="1:58" ht="15.75">
      <c r="B508" s="11">
        <v>45768</v>
      </c>
      <c r="C508" s="1">
        <v>264</v>
      </c>
      <c r="D508" s="3">
        <v>503</v>
      </c>
      <c r="E508" s="205" t="str">
        <f t="shared" si="235"/>
        <v/>
      </c>
      <c r="I508" s="15">
        <f t="shared" si="244"/>
        <v>0</v>
      </c>
      <c r="K508" s="10" t="str">
        <f t="shared" si="247"/>
        <v/>
      </c>
      <c r="L508" s="9" t="str">
        <f t="shared" si="248"/>
        <v/>
      </c>
      <c r="M508" s="8" t="str">
        <f t="shared" si="249"/>
        <v/>
      </c>
      <c r="AB508" s="5">
        <v>80</v>
      </c>
      <c r="AJ508" s="1">
        <v>235</v>
      </c>
      <c r="AK508" s="3">
        <f t="shared" si="243"/>
        <v>240</v>
      </c>
      <c r="AN508" s="3">
        <v>40</v>
      </c>
      <c r="AP508" s="13" t="e">
        <f t="shared" si="240"/>
        <v>#DIV/0!</v>
      </c>
      <c r="AR508" s="17" t="e">
        <f t="shared" si="254"/>
        <v>#VALUE!</v>
      </c>
      <c r="AS508" s="16" t="e">
        <f t="shared" si="251"/>
        <v>#DIV/0!</v>
      </c>
      <c r="AT508" s="16" t="e">
        <f t="shared" si="257"/>
        <v>#DIV/0!</v>
      </c>
      <c r="AU508" s="16" t="e">
        <f t="shared" si="255"/>
        <v>#DIV/0!</v>
      </c>
      <c r="AV508" s="57" t="str">
        <f t="shared" si="256"/>
        <v/>
      </c>
      <c r="AW508" s="57" t="str">
        <f t="shared" si="238"/>
        <v/>
      </c>
      <c r="AX508" s="57" t="str">
        <f t="shared" si="252"/>
        <v/>
      </c>
      <c r="AY508" s="57" t="str">
        <f t="shared" si="233"/>
        <v/>
      </c>
      <c r="AZ508" s="57" t="str">
        <f t="shared" si="250"/>
        <v/>
      </c>
      <c r="BE508" s="6" t="str">
        <f t="shared" si="232"/>
        <v/>
      </c>
      <c r="BF508" s="6" t="e">
        <f t="shared" si="253"/>
        <v>#DIV/0!</v>
      </c>
    </row>
    <row r="509" spans="1:58" ht="15.75">
      <c r="B509" s="72">
        <v>45769</v>
      </c>
      <c r="C509" s="1">
        <v>265</v>
      </c>
      <c r="D509" s="3">
        <v>504</v>
      </c>
      <c r="E509" s="205" t="str">
        <f t="shared" si="235"/>
        <v/>
      </c>
      <c r="I509" s="15">
        <f t="shared" si="244"/>
        <v>0</v>
      </c>
      <c r="K509" s="10" t="str">
        <f t="shared" si="247"/>
        <v/>
      </c>
      <c r="L509" s="9" t="str">
        <f t="shared" si="248"/>
        <v/>
      </c>
      <c r="M509" s="8" t="str">
        <f t="shared" si="249"/>
        <v/>
      </c>
      <c r="AB509" s="5">
        <v>80</v>
      </c>
      <c r="AJ509" s="1">
        <v>235</v>
      </c>
      <c r="AK509" s="3">
        <f t="shared" si="243"/>
        <v>240</v>
      </c>
      <c r="AN509" s="3">
        <v>40</v>
      </c>
      <c r="AP509" s="13" t="e">
        <f t="shared" si="240"/>
        <v>#DIV/0!</v>
      </c>
      <c r="AR509" s="17" t="e">
        <f t="shared" si="254"/>
        <v>#VALUE!</v>
      </c>
      <c r="AS509" s="16" t="e">
        <f t="shared" si="251"/>
        <v>#DIV/0!</v>
      </c>
      <c r="AT509" s="16" t="e">
        <f t="shared" si="257"/>
        <v>#DIV/0!</v>
      </c>
      <c r="AU509" s="16" t="e">
        <f t="shared" si="255"/>
        <v>#DIV/0!</v>
      </c>
      <c r="AV509" s="57" t="str">
        <f t="shared" si="256"/>
        <v/>
      </c>
      <c r="AW509" s="57" t="str">
        <f t="shared" si="238"/>
        <v/>
      </c>
      <c r="AX509" s="57" t="str">
        <f t="shared" si="252"/>
        <v/>
      </c>
      <c r="AY509" s="57" t="str">
        <f t="shared" si="233"/>
        <v/>
      </c>
      <c r="AZ509" s="57" t="str">
        <f t="shared" si="250"/>
        <v/>
      </c>
      <c r="BE509" s="6" t="str">
        <f t="shared" si="232"/>
        <v/>
      </c>
      <c r="BF509" s="6" t="e">
        <f t="shared" si="253"/>
        <v>#DIV/0!</v>
      </c>
    </row>
    <row r="510" spans="1:58" ht="15.75">
      <c r="B510" s="11">
        <v>45770</v>
      </c>
      <c r="C510" s="1">
        <v>266</v>
      </c>
      <c r="D510" s="3">
        <v>505</v>
      </c>
      <c r="E510" s="205" t="str">
        <f t="shared" si="235"/>
        <v/>
      </c>
      <c r="I510" s="15">
        <f t="shared" si="244"/>
        <v>0</v>
      </c>
      <c r="K510" s="10" t="str">
        <f t="shared" si="247"/>
        <v/>
      </c>
      <c r="L510" s="9" t="str">
        <f t="shared" si="248"/>
        <v/>
      </c>
      <c r="M510" s="8" t="str">
        <f t="shared" si="249"/>
        <v/>
      </c>
      <c r="AB510" s="5">
        <v>80</v>
      </c>
      <c r="AJ510" s="1">
        <v>235</v>
      </c>
      <c r="AK510" s="3">
        <f t="shared" si="243"/>
        <v>240</v>
      </c>
      <c r="AN510" s="3">
        <v>40</v>
      </c>
      <c r="AP510" s="13" t="e">
        <f t="shared" si="240"/>
        <v>#DIV/0!</v>
      </c>
      <c r="AR510" s="17" t="e">
        <f t="shared" si="254"/>
        <v>#VALUE!</v>
      </c>
      <c r="AS510" s="16" t="e">
        <f t="shared" si="251"/>
        <v>#DIV/0!</v>
      </c>
      <c r="AT510" s="16" t="e">
        <f t="shared" si="257"/>
        <v>#DIV/0!</v>
      </c>
      <c r="AU510" s="16" t="e">
        <f t="shared" si="255"/>
        <v>#DIV/0!</v>
      </c>
      <c r="AV510" s="57" t="str">
        <f t="shared" si="256"/>
        <v/>
      </c>
      <c r="AW510" s="57" t="str">
        <f t="shared" si="238"/>
        <v/>
      </c>
      <c r="AX510" s="57" t="str">
        <f t="shared" si="252"/>
        <v/>
      </c>
      <c r="AY510" s="57" t="str">
        <f t="shared" si="233"/>
        <v/>
      </c>
      <c r="AZ510" s="57" t="str">
        <f t="shared" si="250"/>
        <v/>
      </c>
      <c r="BE510" s="6" t="str">
        <f t="shared" si="232"/>
        <v/>
      </c>
      <c r="BF510" s="6" t="e">
        <f t="shared" si="253"/>
        <v>#DIV/0!</v>
      </c>
    </row>
    <row r="511" spans="1:58" ht="15.75">
      <c r="B511" s="11">
        <v>45771</v>
      </c>
      <c r="C511" s="1">
        <v>267</v>
      </c>
      <c r="D511" s="3">
        <v>506</v>
      </c>
      <c r="E511" s="205" t="str">
        <f t="shared" si="235"/>
        <v/>
      </c>
      <c r="I511" s="15">
        <f t="shared" si="244"/>
        <v>0</v>
      </c>
      <c r="K511" s="10" t="str">
        <f t="shared" si="247"/>
        <v/>
      </c>
      <c r="L511" s="9" t="str">
        <f t="shared" si="248"/>
        <v/>
      </c>
      <c r="M511" s="8" t="str">
        <f t="shared" si="249"/>
        <v/>
      </c>
      <c r="AB511" s="5">
        <v>80</v>
      </c>
      <c r="AJ511" s="1">
        <v>235</v>
      </c>
      <c r="AK511" s="3">
        <f t="shared" si="243"/>
        <v>240</v>
      </c>
      <c r="AN511" s="3">
        <v>40</v>
      </c>
      <c r="AP511" s="13" t="e">
        <f t="shared" si="240"/>
        <v>#DIV/0!</v>
      </c>
      <c r="AR511" s="17" t="e">
        <f t="shared" si="254"/>
        <v>#VALUE!</v>
      </c>
      <c r="AS511" s="16" t="e">
        <f t="shared" si="251"/>
        <v>#DIV/0!</v>
      </c>
      <c r="AT511" s="16" t="e">
        <f t="shared" si="257"/>
        <v>#DIV/0!</v>
      </c>
      <c r="AU511" s="16" t="e">
        <f t="shared" si="255"/>
        <v>#DIV/0!</v>
      </c>
      <c r="AV511" s="57" t="str">
        <f t="shared" si="256"/>
        <v/>
      </c>
      <c r="AW511" s="57" t="str">
        <f t="shared" si="238"/>
        <v/>
      </c>
      <c r="AX511" s="57" t="str">
        <f t="shared" si="252"/>
        <v/>
      </c>
      <c r="AY511" s="57" t="str">
        <f t="shared" si="233"/>
        <v/>
      </c>
      <c r="AZ511" s="57" t="str">
        <f t="shared" si="250"/>
        <v/>
      </c>
      <c r="BE511" s="6" t="str">
        <f t="shared" si="232"/>
        <v/>
      </c>
      <c r="BF511" s="6" t="e">
        <f t="shared" si="253"/>
        <v>#DIV/0!</v>
      </c>
    </row>
    <row r="512" spans="1:58" ht="15.75">
      <c r="B512" s="11">
        <v>45772</v>
      </c>
      <c r="C512" s="1">
        <v>268</v>
      </c>
      <c r="D512" s="3">
        <v>507</v>
      </c>
      <c r="E512" s="205" t="str">
        <f t="shared" si="235"/>
        <v/>
      </c>
      <c r="I512" s="15">
        <f t="shared" si="244"/>
        <v>0</v>
      </c>
      <c r="K512" s="10" t="str">
        <f t="shared" si="247"/>
        <v/>
      </c>
      <c r="L512" s="9" t="str">
        <f t="shared" si="248"/>
        <v/>
      </c>
      <c r="M512" s="8" t="str">
        <f t="shared" si="249"/>
        <v/>
      </c>
      <c r="AB512" s="5">
        <v>80</v>
      </c>
      <c r="AJ512" s="1">
        <v>235</v>
      </c>
      <c r="AK512" s="3">
        <f t="shared" si="243"/>
        <v>240</v>
      </c>
      <c r="AN512" s="3">
        <v>40</v>
      </c>
      <c r="AP512" s="13" t="e">
        <f t="shared" si="240"/>
        <v>#DIV/0!</v>
      </c>
      <c r="AR512" s="17" t="e">
        <f t="shared" si="254"/>
        <v>#VALUE!</v>
      </c>
      <c r="AS512" s="16" t="e">
        <f t="shared" si="251"/>
        <v>#DIV/0!</v>
      </c>
      <c r="AT512" s="16" t="e">
        <f t="shared" si="257"/>
        <v>#DIV/0!</v>
      </c>
      <c r="AU512" s="16" t="e">
        <f t="shared" si="255"/>
        <v>#DIV/0!</v>
      </c>
      <c r="AV512" s="57" t="str">
        <f t="shared" si="256"/>
        <v/>
      </c>
      <c r="AW512" s="57" t="str">
        <f t="shared" si="238"/>
        <v/>
      </c>
      <c r="AX512" s="57" t="str">
        <f t="shared" si="252"/>
        <v/>
      </c>
      <c r="AY512" s="57" t="str">
        <f t="shared" si="233"/>
        <v/>
      </c>
      <c r="AZ512" s="57" t="str">
        <f t="shared" si="250"/>
        <v/>
      </c>
      <c r="BE512" s="6" t="str">
        <f t="shared" si="232"/>
        <v/>
      </c>
      <c r="BF512" s="6" t="e">
        <f t="shared" si="253"/>
        <v>#DIV/0!</v>
      </c>
    </row>
    <row r="513" spans="1:58" ht="15.75">
      <c r="A513" s="12" t="s">
        <v>55</v>
      </c>
      <c r="B513" s="11">
        <v>45773</v>
      </c>
      <c r="C513" s="1">
        <v>269</v>
      </c>
      <c r="D513" s="3">
        <v>508</v>
      </c>
      <c r="E513" s="205" t="str">
        <f t="shared" si="235"/>
        <v/>
      </c>
      <c r="I513" s="15">
        <f t="shared" si="244"/>
        <v>0</v>
      </c>
      <c r="K513" s="10" t="str">
        <f t="shared" si="247"/>
        <v/>
      </c>
      <c r="L513" s="9" t="str">
        <f t="shared" si="248"/>
        <v/>
      </c>
      <c r="M513" s="8" t="str">
        <f t="shared" si="249"/>
        <v/>
      </c>
      <c r="AB513" s="5">
        <v>80</v>
      </c>
      <c r="AK513" s="3">
        <f t="shared" si="243"/>
        <v>240</v>
      </c>
      <c r="AN513" s="3">
        <v>40</v>
      </c>
      <c r="AP513" s="13">
        <f t="shared" si="240"/>
        <v>1070.0000000000273</v>
      </c>
      <c r="AR513" s="17" t="e">
        <f t="shared" si="254"/>
        <v>#VALUE!</v>
      </c>
      <c r="AS513" s="16" t="e">
        <f t="shared" si="251"/>
        <v>#DIV/0!</v>
      </c>
      <c r="AT513" s="16" t="e">
        <f t="shared" si="257"/>
        <v>#DIV/0!</v>
      </c>
      <c r="AU513" s="16" t="e">
        <f t="shared" si="255"/>
        <v>#DIV/0!</v>
      </c>
      <c r="AV513" s="57" t="str">
        <f t="shared" si="256"/>
        <v/>
      </c>
      <c r="AW513" s="57" t="str">
        <f t="shared" si="238"/>
        <v/>
      </c>
      <c r="AX513" s="57" t="str">
        <f t="shared" si="252"/>
        <v/>
      </c>
      <c r="AY513" s="57" t="str">
        <f t="shared" si="233"/>
        <v/>
      </c>
      <c r="AZ513" s="57" t="str">
        <f t="shared" si="250"/>
        <v/>
      </c>
      <c r="BE513" s="6" t="e">
        <f t="shared" si="232"/>
        <v>#DIV/0!</v>
      </c>
      <c r="BF513" s="6" t="str">
        <f t="shared" si="253"/>
        <v/>
      </c>
    </row>
    <row r="514" spans="1:58" ht="15.75">
      <c r="B514" s="11">
        <v>45774</v>
      </c>
      <c r="C514" s="1">
        <v>270</v>
      </c>
      <c r="D514" s="3">
        <v>509</v>
      </c>
      <c r="E514" s="205" t="str">
        <f t="shared" si="235"/>
        <v/>
      </c>
      <c r="I514" s="15">
        <f t="shared" si="244"/>
        <v>0</v>
      </c>
      <c r="K514" s="10" t="str">
        <f t="shared" si="247"/>
        <v/>
      </c>
      <c r="L514" s="9" t="str">
        <f t="shared" si="248"/>
        <v/>
      </c>
      <c r="M514" s="8" t="str">
        <f t="shared" si="249"/>
        <v/>
      </c>
      <c r="AB514" s="5">
        <v>80</v>
      </c>
      <c r="AK514" s="3">
        <f t="shared" si="243"/>
        <v>240</v>
      </c>
      <c r="AN514" s="3">
        <v>40</v>
      </c>
      <c r="AP514" s="13">
        <f t="shared" si="240"/>
        <v>1070.0000000000273</v>
      </c>
      <c r="AR514" s="17" t="e">
        <f t="shared" si="254"/>
        <v>#VALUE!</v>
      </c>
      <c r="AS514" s="16" t="e">
        <f t="shared" si="251"/>
        <v>#DIV/0!</v>
      </c>
      <c r="AT514" s="16" t="e">
        <f t="shared" si="257"/>
        <v>#DIV/0!</v>
      </c>
      <c r="AU514" s="16" t="e">
        <f t="shared" si="255"/>
        <v>#DIV/0!</v>
      </c>
      <c r="AV514" s="57" t="str">
        <f t="shared" si="256"/>
        <v/>
      </c>
      <c r="AW514" s="57" t="str">
        <f t="shared" si="238"/>
        <v/>
      </c>
      <c r="AX514" s="57" t="str">
        <f t="shared" si="252"/>
        <v/>
      </c>
      <c r="AY514" s="57" t="str">
        <f t="shared" si="233"/>
        <v/>
      </c>
      <c r="AZ514" s="57" t="str">
        <f t="shared" si="250"/>
        <v/>
      </c>
      <c r="BE514" s="6" t="e">
        <f t="shared" si="232"/>
        <v>#DIV/0!</v>
      </c>
      <c r="BF514" s="6" t="str">
        <f t="shared" si="253"/>
        <v/>
      </c>
    </row>
    <row r="515" spans="1:58" ht="15.75">
      <c r="A515" s="12" t="s">
        <v>54</v>
      </c>
      <c r="B515" s="11">
        <v>45775</v>
      </c>
      <c r="C515" s="1">
        <v>271</v>
      </c>
      <c r="D515" s="3">
        <v>510</v>
      </c>
      <c r="E515" s="205" t="str">
        <f t="shared" si="235"/>
        <v/>
      </c>
      <c r="I515" s="15">
        <f t="shared" si="244"/>
        <v>0</v>
      </c>
      <c r="K515" s="10" t="str">
        <f t="shared" si="247"/>
        <v/>
      </c>
      <c r="L515" s="9" t="str">
        <f t="shared" si="248"/>
        <v/>
      </c>
      <c r="M515" s="8" t="str">
        <f t="shared" si="249"/>
        <v/>
      </c>
      <c r="AB515" s="5">
        <v>80</v>
      </c>
      <c r="AK515" s="3">
        <f t="shared" si="243"/>
        <v>240</v>
      </c>
      <c r="AN515" s="3">
        <v>40</v>
      </c>
      <c r="AP515" s="13">
        <f t="shared" si="240"/>
        <v>1070.0000000000273</v>
      </c>
      <c r="AR515" s="17" t="e">
        <f t="shared" si="254"/>
        <v>#VALUE!</v>
      </c>
      <c r="AS515" s="16" t="e">
        <f t="shared" si="251"/>
        <v>#DIV/0!</v>
      </c>
      <c r="AT515" s="16" t="e">
        <f t="shared" si="257"/>
        <v>#DIV/0!</v>
      </c>
      <c r="AU515" s="16" t="e">
        <f t="shared" si="255"/>
        <v>#DIV/0!</v>
      </c>
      <c r="AV515" s="57" t="str">
        <f t="shared" si="256"/>
        <v/>
      </c>
      <c r="AW515" s="57" t="str">
        <f t="shared" si="238"/>
        <v/>
      </c>
      <c r="AX515" s="57" t="str">
        <f t="shared" si="252"/>
        <v/>
      </c>
      <c r="AY515" s="57" t="str">
        <f t="shared" si="233"/>
        <v/>
      </c>
      <c r="AZ515" s="57" t="str">
        <f t="shared" si="250"/>
        <v/>
      </c>
      <c r="BE515" s="6" t="e">
        <f t="shared" si="232"/>
        <v>#DIV/0!</v>
      </c>
      <c r="BF515" s="6" t="str">
        <f t="shared" si="253"/>
        <v/>
      </c>
    </row>
    <row r="516" spans="1:58" ht="15.75">
      <c r="A516" s="12" t="s">
        <v>53</v>
      </c>
      <c r="B516" s="11">
        <v>45776</v>
      </c>
      <c r="C516" s="1">
        <v>272</v>
      </c>
      <c r="D516" s="3">
        <v>511</v>
      </c>
      <c r="E516" s="205">
        <f t="shared" si="235"/>
        <v>285.511188</v>
      </c>
      <c r="G516" s="15">
        <f>(N516*18-H516*18)/9</f>
        <v>12.48</v>
      </c>
      <c r="H516" s="15">
        <f>5*0.852</f>
        <v>4.26</v>
      </c>
      <c r="I516" s="15">
        <f t="shared" si="244"/>
        <v>24.1</v>
      </c>
      <c r="K516" s="10">
        <f t="shared" si="247"/>
        <v>22.877499038461536</v>
      </c>
      <c r="L516" s="9">
        <f t="shared" si="248"/>
        <v>5.9234686307053943</v>
      </c>
      <c r="M516" s="8">
        <f t="shared" si="249"/>
        <v>3.8621794871794872</v>
      </c>
      <c r="N516" s="7">
        <f>5*2.1</f>
        <v>10.5</v>
      </c>
      <c r="O516" s="6">
        <v>89.274000000000001</v>
      </c>
      <c r="P516" s="6">
        <v>31.373999999999999</v>
      </c>
      <c r="Q516" s="6">
        <f>O516*1.067</f>
        <v>95.255358000000001</v>
      </c>
      <c r="R516" s="6">
        <f>P516*1.514</f>
        <v>47.500236000000001</v>
      </c>
      <c r="S516" s="23">
        <f>P516*1.514+O516*1.067</f>
        <v>142.755594</v>
      </c>
      <c r="T516" s="6">
        <v>37.6</v>
      </c>
      <c r="U516" s="59">
        <f>4.455*1.067</f>
        <v>4.7534849999999995</v>
      </c>
      <c r="V516" s="59">
        <f>0*1.514</f>
        <v>0</v>
      </c>
      <c r="W516" s="23">
        <f>U516*1.067+V516*1.514</f>
        <v>5.0719684949999992</v>
      </c>
      <c r="X516" s="6">
        <v>4.1399999999999997</v>
      </c>
      <c r="Y516" s="6">
        <v>0.16</v>
      </c>
      <c r="Z516" s="6">
        <v>17</v>
      </c>
      <c r="AA516" s="6">
        <v>-214</v>
      </c>
      <c r="AB516" s="5">
        <v>80</v>
      </c>
      <c r="AC516" s="7">
        <f>T516</f>
        <v>37.6</v>
      </c>
      <c r="AD516" s="1">
        <f>5*4.82</f>
        <v>24.1</v>
      </c>
      <c r="AE516" s="1">
        <f>5*2.74</f>
        <v>13.700000000000001</v>
      </c>
      <c r="AF516" s="1">
        <v>0</v>
      </c>
      <c r="AK516" s="3">
        <f t="shared" si="243"/>
        <v>240</v>
      </c>
      <c r="AL516" s="4">
        <f>AE516</f>
        <v>13.700000000000001</v>
      </c>
      <c r="AM516" s="1">
        <f>5*1.86</f>
        <v>9.3000000000000007</v>
      </c>
      <c r="AN516" s="3">
        <v>40</v>
      </c>
      <c r="AP516" s="13">
        <f t="shared" si="240"/>
        <v>1070.0000000000273</v>
      </c>
      <c r="AR516" s="17">
        <f t="shared" si="254"/>
        <v>0.98223548250235282</v>
      </c>
      <c r="AS516" s="16">
        <f t="shared" si="251"/>
        <v>1</v>
      </c>
      <c r="AT516" s="16">
        <f t="shared" si="257"/>
        <v>0</v>
      </c>
      <c r="AU516" s="16">
        <f t="shared" si="255"/>
        <v>0.25480769230769229</v>
      </c>
      <c r="AV516" s="57">
        <f t="shared" si="256"/>
        <v>280.43921950499998</v>
      </c>
      <c r="AW516" s="57">
        <f t="shared" si="238"/>
        <v>24.1</v>
      </c>
      <c r="AX516" s="57">
        <f t="shared" si="252"/>
        <v>3.1799999999999997</v>
      </c>
      <c r="AY516" s="57">
        <f t="shared" si="233"/>
        <v>23.9</v>
      </c>
      <c r="AZ516" s="57">
        <f t="shared" si="250"/>
        <v>4.4000000000000004</v>
      </c>
      <c r="BE516" s="6" t="e">
        <f t="shared" si="232"/>
        <v>#DIV/0!</v>
      </c>
      <c r="BF516" s="6" t="str">
        <f t="shared" si="253"/>
        <v/>
      </c>
    </row>
    <row r="517" spans="1:58" ht="15.75">
      <c r="B517" s="72">
        <v>45777</v>
      </c>
      <c r="C517" s="1">
        <v>273</v>
      </c>
      <c r="D517" s="3">
        <v>512</v>
      </c>
      <c r="E517" s="205" t="str">
        <f t="shared" si="235"/>
        <v/>
      </c>
      <c r="I517" s="15">
        <f t="shared" si="244"/>
        <v>0</v>
      </c>
      <c r="K517" s="10" t="str">
        <f t="shared" si="247"/>
        <v/>
      </c>
      <c r="L517" s="9" t="str">
        <f t="shared" si="248"/>
        <v/>
      </c>
      <c r="M517" s="8" t="str">
        <f t="shared" si="249"/>
        <v/>
      </c>
      <c r="AB517" s="5">
        <v>80</v>
      </c>
      <c r="AK517" s="3">
        <f t="shared" si="243"/>
        <v>240</v>
      </c>
      <c r="AN517" s="3">
        <v>40</v>
      </c>
      <c r="AO517" s="2">
        <v>1070.0000000000273</v>
      </c>
      <c r="AP517" s="13">
        <f t="shared" si="240"/>
        <v>1070.0000000000273</v>
      </c>
      <c r="AR517" s="17" t="e">
        <f t="shared" si="254"/>
        <v>#VALUE!</v>
      </c>
      <c r="AS517" s="16" t="e">
        <f t="shared" si="251"/>
        <v>#DIV/0!</v>
      </c>
      <c r="AT517" s="16" t="e">
        <f t="shared" si="257"/>
        <v>#DIV/0!</v>
      </c>
      <c r="AU517" s="16" t="e">
        <f t="shared" si="255"/>
        <v>#DIV/0!</v>
      </c>
      <c r="AV517" s="57" t="str">
        <f t="shared" si="256"/>
        <v/>
      </c>
      <c r="AW517" s="57" t="str">
        <f t="shared" si="238"/>
        <v/>
      </c>
      <c r="AX517" s="57" t="str">
        <f t="shared" si="252"/>
        <v/>
      </c>
      <c r="AY517" s="57" t="str">
        <f t="shared" si="233"/>
        <v/>
      </c>
      <c r="AZ517" s="57" t="str">
        <f t="shared" si="250"/>
        <v/>
      </c>
      <c r="BE517" s="6" t="e">
        <f t="shared" ref="BE517:BE566" si="258">IF((AD517-AF517)/(AJ517/60)&lt;=0,"",(AD517-AF517)/(AJ517/60))</f>
        <v>#DIV/0!</v>
      </c>
      <c r="BF517" s="6" t="str">
        <f t="shared" si="253"/>
        <v/>
      </c>
    </row>
    <row r="518" spans="1:58" ht="15.75">
      <c r="B518" s="11">
        <v>45778</v>
      </c>
      <c r="C518" s="1">
        <v>274</v>
      </c>
      <c r="D518" s="3">
        <v>513</v>
      </c>
      <c r="E518" s="205" t="str">
        <f t="shared" si="235"/>
        <v/>
      </c>
      <c r="I518" s="15">
        <f t="shared" si="244"/>
        <v>0</v>
      </c>
      <c r="K518" s="10" t="str">
        <f t="shared" si="247"/>
        <v/>
      </c>
      <c r="L518" s="9" t="str">
        <f t="shared" si="248"/>
        <v/>
      </c>
      <c r="M518" s="8" t="str">
        <f t="shared" si="249"/>
        <v/>
      </c>
      <c r="AB518" s="5">
        <v>80</v>
      </c>
      <c r="AK518" s="3">
        <f t="shared" si="243"/>
        <v>240</v>
      </c>
      <c r="AN518" s="3">
        <v>40</v>
      </c>
      <c r="AP518" s="13">
        <f t="shared" si="240"/>
        <v>1070.0000000000273</v>
      </c>
      <c r="AR518" s="17" t="e">
        <f t="shared" si="254"/>
        <v>#VALUE!</v>
      </c>
      <c r="AS518" s="16" t="e">
        <f t="shared" si="251"/>
        <v>#DIV/0!</v>
      </c>
      <c r="AT518" s="16" t="e">
        <f t="shared" si="257"/>
        <v>#DIV/0!</v>
      </c>
      <c r="AU518" s="16" t="e">
        <f t="shared" si="255"/>
        <v>#DIV/0!</v>
      </c>
      <c r="AV518" s="57" t="str">
        <f t="shared" si="256"/>
        <v/>
      </c>
      <c r="AW518" s="57" t="str">
        <f t="shared" si="238"/>
        <v/>
      </c>
      <c r="AX518" s="57" t="str">
        <f t="shared" si="252"/>
        <v/>
      </c>
      <c r="AY518" s="57" t="str">
        <f t="shared" ref="AY518:AY581" si="259">IF(AND(ISNUMBER(AC518),ISNUMBER(AE518)),AC518-AE518,"")</f>
        <v/>
      </c>
      <c r="AZ518" s="57" t="str">
        <f t="shared" si="250"/>
        <v/>
      </c>
      <c r="BE518" s="6" t="e">
        <f t="shared" si="258"/>
        <v>#DIV/0!</v>
      </c>
      <c r="BF518" s="6" t="str">
        <f t="shared" si="253"/>
        <v/>
      </c>
    </row>
    <row r="519" spans="1:58" ht="15.75">
      <c r="B519" s="11">
        <v>45779</v>
      </c>
      <c r="C519" s="1">
        <v>275</v>
      </c>
      <c r="D519" s="3">
        <v>514</v>
      </c>
      <c r="E519" s="205" t="str">
        <f t="shared" ref="E519:E582" si="260">IF(OR(S519="",S519=0),"",S519*2)</f>
        <v/>
      </c>
      <c r="I519" s="15">
        <f t="shared" si="244"/>
        <v>0</v>
      </c>
      <c r="K519" s="10" t="str">
        <f t="shared" si="247"/>
        <v/>
      </c>
      <c r="L519" s="9" t="str">
        <f t="shared" si="248"/>
        <v/>
      </c>
      <c r="M519" s="8" t="str">
        <f t="shared" si="249"/>
        <v/>
      </c>
      <c r="AB519" s="5">
        <v>80</v>
      </c>
      <c r="AK519" s="3">
        <f t="shared" si="243"/>
        <v>240</v>
      </c>
      <c r="AN519" s="3">
        <v>40</v>
      </c>
      <c r="AP519" s="13">
        <f t="shared" si="240"/>
        <v>1070.0000000000273</v>
      </c>
      <c r="AR519" s="17" t="e">
        <f t="shared" si="254"/>
        <v>#VALUE!</v>
      </c>
      <c r="AS519" s="16" t="e">
        <f t="shared" si="251"/>
        <v>#DIV/0!</v>
      </c>
      <c r="AT519" s="16" t="e">
        <f t="shared" si="257"/>
        <v>#DIV/0!</v>
      </c>
      <c r="AU519" s="16" t="e">
        <f t="shared" si="255"/>
        <v>#DIV/0!</v>
      </c>
      <c r="AV519" s="57" t="str">
        <f t="shared" si="256"/>
        <v/>
      </c>
      <c r="AW519" s="57" t="str">
        <f t="shared" si="238"/>
        <v/>
      </c>
      <c r="AX519" s="57" t="str">
        <f t="shared" si="252"/>
        <v/>
      </c>
      <c r="AY519" s="57" t="str">
        <f t="shared" si="259"/>
        <v/>
      </c>
      <c r="AZ519" s="57" t="str">
        <f t="shared" si="250"/>
        <v/>
      </c>
      <c r="BE519" s="6" t="e">
        <f t="shared" si="258"/>
        <v>#DIV/0!</v>
      </c>
      <c r="BF519" s="6" t="str">
        <f t="shared" si="253"/>
        <v/>
      </c>
    </row>
    <row r="520" spans="1:58" ht="15.75">
      <c r="B520" s="11">
        <v>45780</v>
      </c>
      <c r="C520" s="1">
        <v>276</v>
      </c>
      <c r="D520" s="3">
        <v>515</v>
      </c>
      <c r="E520" s="205" t="str">
        <f t="shared" si="260"/>
        <v/>
      </c>
      <c r="I520" s="15">
        <f t="shared" si="244"/>
        <v>0</v>
      </c>
      <c r="K520" s="10" t="str">
        <f t="shared" si="247"/>
        <v/>
      </c>
      <c r="L520" s="9" t="str">
        <f t="shared" si="248"/>
        <v/>
      </c>
      <c r="M520" s="8" t="str">
        <f t="shared" si="249"/>
        <v/>
      </c>
      <c r="AB520" s="5">
        <v>80</v>
      </c>
      <c r="AK520" s="3">
        <f t="shared" si="243"/>
        <v>240</v>
      </c>
      <c r="AN520" s="3">
        <v>40</v>
      </c>
      <c r="AP520" s="13" t="e">
        <f t="shared" si="240"/>
        <v>#DIV/0!</v>
      </c>
      <c r="AR520" s="17" t="e">
        <f t="shared" si="254"/>
        <v>#VALUE!</v>
      </c>
      <c r="AS520" s="16" t="e">
        <f t="shared" si="251"/>
        <v>#DIV/0!</v>
      </c>
      <c r="AT520" s="16" t="e">
        <f t="shared" si="257"/>
        <v>#DIV/0!</v>
      </c>
      <c r="AU520" s="16" t="e">
        <f t="shared" si="255"/>
        <v>#DIV/0!</v>
      </c>
      <c r="AV520" s="57" t="str">
        <f t="shared" si="256"/>
        <v/>
      </c>
      <c r="AW520" s="57" t="str">
        <f t="shared" si="238"/>
        <v/>
      </c>
      <c r="AX520" s="57" t="str">
        <f t="shared" si="252"/>
        <v/>
      </c>
      <c r="AY520" s="57" t="str">
        <f t="shared" si="259"/>
        <v/>
      </c>
      <c r="AZ520" s="57" t="str">
        <f t="shared" si="250"/>
        <v/>
      </c>
      <c r="BE520" s="6" t="e">
        <f t="shared" si="258"/>
        <v>#DIV/0!</v>
      </c>
      <c r="BF520" s="6" t="e">
        <f t="shared" si="253"/>
        <v>#DIV/0!</v>
      </c>
    </row>
    <row r="521" spans="1:58" ht="15.75">
      <c r="B521" s="11">
        <v>45781</v>
      </c>
      <c r="C521" s="1">
        <v>277</v>
      </c>
      <c r="D521" s="3">
        <v>516</v>
      </c>
      <c r="E521" s="205" t="str">
        <f t="shared" si="260"/>
        <v/>
      </c>
      <c r="I521" s="15">
        <f t="shared" si="244"/>
        <v>0</v>
      </c>
      <c r="K521" s="10" t="str">
        <f t="shared" si="247"/>
        <v/>
      </c>
      <c r="L521" s="9" t="str">
        <f t="shared" si="248"/>
        <v/>
      </c>
      <c r="M521" s="8" t="str">
        <f t="shared" si="249"/>
        <v/>
      </c>
      <c r="AB521" s="5">
        <v>80</v>
      </c>
      <c r="AK521" s="3">
        <f t="shared" si="243"/>
        <v>240</v>
      </c>
      <c r="AN521" s="3">
        <v>40</v>
      </c>
      <c r="AP521" s="13" t="e">
        <f t="shared" si="240"/>
        <v>#DIV/0!</v>
      </c>
      <c r="AR521" s="17" t="e">
        <f t="shared" si="254"/>
        <v>#VALUE!</v>
      </c>
      <c r="AS521" s="16" t="e">
        <f t="shared" si="251"/>
        <v>#DIV/0!</v>
      </c>
      <c r="AT521" s="16" t="e">
        <f t="shared" si="257"/>
        <v>#DIV/0!</v>
      </c>
      <c r="AU521" s="16" t="e">
        <f t="shared" si="255"/>
        <v>#DIV/0!</v>
      </c>
      <c r="AV521" s="57" t="str">
        <f t="shared" si="256"/>
        <v/>
      </c>
      <c r="AW521" s="57" t="str">
        <f t="shared" si="238"/>
        <v/>
      </c>
      <c r="AX521" s="57" t="str">
        <f t="shared" si="252"/>
        <v/>
      </c>
      <c r="AY521" s="57" t="str">
        <f t="shared" si="259"/>
        <v/>
      </c>
      <c r="AZ521" s="57" t="str">
        <f t="shared" si="250"/>
        <v/>
      </c>
      <c r="BE521" s="6" t="e">
        <f t="shared" si="258"/>
        <v>#DIV/0!</v>
      </c>
      <c r="BF521" s="6" t="e">
        <f t="shared" si="253"/>
        <v>#DIV/0!</v>
      </c>
    </row>
    <row r="522" spans="1:58" ht="15.75">
      <c r="B522" s="11">
        <v>45782</v>
      </c>
      <c r="C522" s="1">
        <v>278</v>
      </c>
      <c r="D522" s="3">
        <v>517</v>
      </c>
      <c r="E522" s="205" t="str">
        <f t="shared" si="260"/>
        <v/>
      </c>
      <c r="I522" s="15">
        <f t="shared" si="244"/>
        <v>0</v>
      </c>
      <c r="K522" s="10" t="str">
        <f t="shared" si="247"/>
        <v/>
      </c>
      <c r="L522" s="9" t="str">
        <f t="shared" si="248"/>
        <v/>
      </c>
      <c r="M522" s="8" t="str">
        <f t="shared" si="249"/>
        <v/>
      </c>
      <c r="AB522" s="5">
        <v>80</v>
      </c>
      <c r="AK522" s="3">
        <f t="shared" si="243"/>
        <v>240</v>
      </c>
      <c r="AN522" s="3">
        <v>40</v>
      </c>
      <c r="AP522" s="13" t="e">
        <f t="shared" si="240"/>
        <v>#DIV/0!</v>
      </c>
      <c r="AR522" s="17" t="e">
        <f t="shared" si="254"/>
        <v>#VALUE!</v>
      </c>
      <c r="AS522" s="16" t="e">
        <f t="shared" ref="AS522:AS553" si="261">(I522-AF522)/I522</f>
        <v>#DIV/0!</v>
      </c>
      <c r="AT522" s="16" t="e">
        <f t="shared" si="257"/>
        <v>#DIV/0!</v>
      </c>
      <c r="AU522" s="16" t="e">
        <f t="shared" si="255"/>
        <v>#DIV/0!</v>
      </c>
      <c r="AV522" s="57" t="str">
        <f t="shared" si="256"/>
        <v/>
      </c>
      <c r="AW522" s="57" t="str">
        <f t="shared" ref="AW522:AW585" si="262">IF(AND(ISNUMBER(I522),ISNUMBER(AF522)),I522-AF522,"")</f>
        <v/>
      </c>
      <c r="AX522" s="57" t="str">
        <f t="shared" si="252"/>
        <v/>
      </c>
      <c r="AY522" s="57" t="str">
        <f t="shared" si="259"/>
        <v/>
      </c>
      <c r="AZ522" s="57" t="str">
        <f t="shared" si="250"/>
        <v/>
      </c>
      <c r="BE522" s="6" t="e">
        <f t="shared" si="258"/>
        <v>#DIV/0!</v>
      </c>
      <c r="BF522" s="6" t="e">
        <f t="shared" si="253"/>
        <v>#DIV/0!</v>
      </c>
    </row>
    <row r="523" spans="1:58" ht="30">
      <c r="A523" s="12" t="s">
        <v>52</v>
      </c>
      <c r="B523" s="11">
        <v>45783</v>
      </c>
      <c r="C523" s="1">
        <v>279</v>
      </c>
      <c r="D523" s="3">
        <v>518</v>
      </c>
      <c r="E523" s="205" t="str">
        <f t="shared" si="260"/>
        <v/>
      </c>
      <c r="I523" s="15">
        <f t="shared" si="244"/>
        <v>0</v>
      </c>
      <c r="K523" s="10" t="str">
        <f t="shared" si="247"/>
        <v/>
      </c>
      <c r="L523" s="9" t="str">
        <f t="shared" si="248"/>
        <v/>
      </c>
      <c r="M523" s="8" t="str">
        <f t="shared" si="249"/>
        <v/>
      </c>
      <c r="AB523" s="5">
        <v>80</v>
      </c>
      <c r="AK523" s="3">
        <f t="shared" si="243"/>
        <v>240</v>
      </c>
      <c r="AN523" s="3">
        <v>40</v>
      </c>
      <c r="AP523" s="13" t="e">
        <f t="shared" si="240"/>
        <v>#DIV/0!</v>
      </c>
      <c r="AR523" s="17" t="e">
        <f t="shared" si="254"/>
        <v>#VALUE!</v>
      </c>
      <c r="AS523" s="16" t="e">
        <f t="shared" si="261"/>
        <v>#DIV/0!</v>
      </c>
      <c r="AT523" s="16" t="e">
        <f t="shared" si="257"/>
        <v>#DIV/0!</v>
      </c>
      <c r="AU523" s="16" t="e">
        <f t="shared" si="255"/>
        <v>#DIV/0!</v>
      </c>
      <c r="AV523" s="57" t="str">
        <f t="shared" si="256"/>
        <v/>
      </c>
      <c r="AW523" s="57" t="str">
        <f t="shared" si="262"/>
        <v/>
      </c>
      <c r="AX523" s="57" t="str">
        <f t="shared" si="252"/>
        <v/>
      </c>
      <c r="AY523" s="57" t="str">
        <f t="shared" si="259"/>
        <v/>
      </c>
      <c r="AZ523" s="57" t="str">
        <f t="shared" si="250"/>
        <v/>
      </c>
      <c r="BE523" s="6" t="e">
        <f t="shared" si="258"/>
        <v>#DIV/0!</v>
      </c>
      <c r="BF523" s="6" t="e">
        <f t="shared" si="253"/>
        <v>#DIV/0!</v>
      </c>
    </row>
    <row r="524" spans="1:58" ht="15.75">
      <c r="B524" s="11">
        <v>45784</v>
      </c>
      <c r="C524" s="1">
        <v>280</v>
      </c>
      <c r="D524" s="3">
        <v>519</v>
      </c>
      <c r="E524" s="205" t="str">
        <f t="shared" si="260"/>
        <v/>
      </c>
      <c r="I524" s="15">
        <f t="shared" si="244"/>
        <v>0</v>
      </c>
      <c r="K524" s="10" t="str">
        <f t="shared" si="247"/>
        <v/>
      </c>
      <c r="L524" s="9" t="str">
        <f t="shared" si="248"/>
        <v/>
      </c>
      <c r="M524" s="8" t="str">
        <f t="shared" si="249"/>
        <v/>
      </c>
      <c r="AB524" s="5">
        <v>80</v>
      </c>
      <c r="AK524" s="3">
        <f t="shared" si="243"/>
        <v>240</v>
      </c>
      <c r="AN524" s="3">
        <v>40</v>
      </c>
      <c r="AP524" s="13" t="e">
        <f t="shared" ref="AP524:AP587" si="263">AVERAGE(AO522:AO528)</f>
        <v>#DIV/0!</v>
      </c>
      <c r="AR524" s="17" t="e">
        <f t="shared" si="254"/>
        <v>#VALUE!</v>
      </c>
      <c r="AS524" s="16" t="e">
        <f t="shared" si="261"/>
        <v>#DIV/0!</v>
      </c>
      <c r="AT524" s="16" t="e">
        <f t="shared" si="257"/>
        <v>#DIV/0!</v>
      </c>
      <c r="AU524" s="16" t="e">
        <f t="shared" si="255"/>
        <v>#DIV/0!</v>
      </c>
      <c r="AV524" s="57" t="str">
        <f t="shared" si="256"/>
        <v/>
      </c>
      <c r="AW524" s="57" t="str">
        <f t="shared" si="262"/>
        <v/>
      </c>
      <c r="AX524" s="57" t="str">
        <f t="shared" si="252"/>
        <v/>
      </c>
      <c r="AY524" s="57" t="str">
        <f t="shared" si="259"/>
        <v/>
      </c>
      <c r="AZ524" s="57" t="str">
        <f t="shared" si="250"/>
        <v/>
      </c>
      <c r="BE524" s="6" t="e">
        <f t="shared" si="258"/>
        <v>#DIV/0!</v>
      </c>
      <c r="BF524" s="6" t="e">
        <f t="shared" si="253"/>
        <v>#DIV/0!</v>
      </c>
    </row>
    <row r="525" spans="1:58" ht="15.75">
      <c r="B525" s="11">
        <v>45785</v>
      </c>
      <c r="C525" s="1">
        <v>281</v>
      </c>
      <c r="D525" s="3">
        <v>520</v>
      </c>
      <c r="E525" s="205" t="str">
        <f t="shared" si="260"/>
        <v/>
      </c>
      <c r="I525" s="15">
        <f t="shared" si="244"/>
        <v>0</v>
      </c>
      <c r="K525" s="10" t="str">
        <f t="shared" si="247"/>
        <v/>
      </c>
      <c r="L525" s="9" t="str">
        <f t="shared" si="248"/>
        <v/>
      </c>
      <c r="M525" s="8" t="str">
        <f t="shared" si="249"/>
        <v/>
      </c>
      <c r="AB525" s="5">
        <v>80</v>
      </c>
      <c r="AK525" s="3">
        <f t="shared" si="243"/>
        <v>240</v>
      </c>
      <c r="AN525" s="3">
        <v>40</v>
      </c>
      <c r="AP525" s="13" t="e">
        <f t="shared" si="263"/>
        <v>#DIV/0!</v>
      </c>
      <c r="AR525" s="17" t="e">
        <f t="shared" si="254"/>
        <v>#VALUE!</v>
      </c>
      <c r="AS525" s="16" t="e">
        <f t="shared" si="261"/>
        <v>#DIV/0!</v>
      </c>
      <c r="AT525" s="16" t="e">
        <f t="shared" si="257"/>
        <v>#DIV/0!</v>
      </c>
      <c r="AU525" s="16" t="e">
        <f t="shared" si="255"/>
        <v>#DIV/0!</v>
      </c>
      <c r="AV525" s="57" t="str">
        <f t="shared" si="256"/>
        <v/>
      </c>
      <c r="AW525" s="57" t="str">
        <f t="shared" si="262"/>
        <v/>
      </c>
      <c r="AX525" s="57" t="str">
        <f t="shared" si="252"/>
        <v/>
      </c>
      <c r="AY525" s="57" t="str">
        <f t="shared" si="259"/>
        <v/>
      </c>
      <c r="AZ525" s="57" t="str">
        <f t="shared" si="250"/>
        <v/>
      </c>
      <c r="BE525" s="6" t="e">
        <f t="shared" si="258"/>
        <v>#DIV/0!</v>
      </c>
      <c r="BF525" s="6" t="e">
        <f t="shared" ref="BF525:BF556" si="264">IF(OR(AJ525=0,AP525=0,NOT(ISNUMBER(AD525)),NOT(ISNUMBER(AF525)),NOT(ISNUMBER(AJ525)),NOT(ISNUMBER(AP525))),"",
IFERROR(IF((AD525-AF525)/(AJ525/60)/(AP525/1000)&lt;=0,"",(AD525-AF525)/(AJ525/60)/(AP525/1000)),""))</f>
        <v>#DIV/0!</v>
      </c>
    </row>
    <row r="526" spans="1:58" ht="15.75">
      <c r="B526" s="72">
        <v>45786</v>
      </c>
      <c r="C526" s="1">
        <v>282</v>
      </c>
      <c r="D526" s="3">
        <v>521</v>
      </c>
      <c r="E526" s="205" t="str">
        <f t="shared" si="260"/>
        <v/>
      </c>
      <c r="I526" s="15">
        <f t="shared" si="244"/>
        <v>0</v>
      </c>
      <c r="K526" s="10" t="str">
        <f t="shared" si="247"/>
        <v/>
      </c>
      <c r="L526" s="9" t="str">
        <f t="shared" si="248"/>
        <v/>
      </c>
      <c r="M526" s="8" t="str">
        <f t="shared" si="249"/>
        <v/>
      </c>
      <c r="AB526" s="5">
        <v>80</v>
      </c>
      <c r="AK526" s="3">
        <f t="shared" si="243"/>
        <v>240</v>
      </c>
      <c r="AN526" s="3">
        <v>40</v>
      </c>
      <c r="AP526" s="13" t="e">
        <f t="shared" si="263"/>
        <v>#DIV/0!</v>
      </c>
      <c r="AR526" s="17" t="e">
        <f t="shared" si="254"/>
        <v>#VALUE!</v>
      </c>
      <c r="AS526" s="16" t="e">
        <f t="shared" si="261"/>
        <v>#DIV/0!</v>
      </c>
      <c r="AT526" s="16" t="e">
        <f t="shared" si="257"/>
        <v>#DIV/0!</v>
      </c>
      <c r="AU526" s="16" t="e">
        <f t="shared" si="255"/>
        <v>#DIV/0!</v>
      </c>
      <c r="AV526" s="57" t="str">
        <f t="shared" si="256"/>
        <v/>
      </c>
      <c r="AW526" s="57" t="str">
        <f t="shared" si="262"/>
        <v/>
      </c>
      <c r="AX526" s="57" t="str">
        <f t="shared" si="252"/>
        <v/>
      </c>
      <c r="AY526" s="57" t="str">
        <f t="shared" si="259"/>
        <v/>
      </c>
      <c r="AZ526" s="57" t="str">
        <f t="shared" si="250"/>
        <v/>
      </c>
      <c r="BE526" s="6" t="e">
        <f t="shared" si="258"/>
        <v>#DIV/0!</v>
      </c>
      <c r="BF526" s="6" t="e">
        <f t="shared" si="264"/>
        <v>#DIV/0!</v>
      </c>
    </row>
    <row r="527" spans="1:58" ht="15.75">
      <c r="A527" s="25" t="s">
        <v>51</v>
      </c>
      <c r="B527" s="11">
        <v>45787</v>
      </c>
      <c r="C527" s="1">
        <v>283</v>
      </c>
      <c r="D527" s="3">
        <v>522</v>
      </c>
      <c r="E527" s="205" t="str">
        <f t="shared" si="260"/>
        <v/>
      </c>
      <c r="I527" s="15">
        <f t="shared" si="244"/>
        <v>0</v>
      </c>
      <c r="K527" s="10" t="str">
        <f t="shared" si="247"/>
        <v/>
      </c>
      <c r="L527" s="9" t="str">
        <f t="shared" si="248"/>
        <v/>
      </c>
      <c r="M527" s="8" t="str">
        <f t="shared" si="249"/>
        <v/>
      </c>
      <c r="AB527" s="5">
        <v>80</v>
      </c>
      <c r="AK527" s="3">
        <f t="shared" si="243"/>
        <v>240</v>
      </c>
      <c r="AN527" s="3">
        <v>40</v>
      </c>
      <c r="AP527" s="13" t="e">
        <f t="shared" si="263"/>
        <v>#DIV/0!</v>
      </c>
      <c r="AR527" s="17" t="e">
        <f t="shared" si="254"/>
        <v>#VALUE!</v>
      </c>
      <c r="AS527" s="16" t="e">
        <f t="shared" si="261"/>
        <v>#DIV/0!</v>
      </c>
      <c r="AT527" s="16" t="e">
        <f t="shared" si="257"/>
        <v>#DIV/0!</v>
      </c>
      <c r="AU527" s="16" t="e">
        <f t="shared" si="255"/>
        <v>#DIV/0!</v>
      </c>
      <c r="AV527" s="57" t="str">
        <f t="shared" si="256"/>
        <v/>
      </c>
      <c r="AW527" s="57" t="str">
        <f t="shared" si="262"/>
        <v/>
      </c>
      <c r="AX527" s="57" t="str">
        <f t="shared" si="252"/>
        <v/>
      </c>
      <c r="AY527" s="57" t="str">
        <f t="shared" si="259"/>
        <v/>
      </c>
      <c r="AZ527" s="57" t="str">
        <f t="shared" si="250"/>
        <v/>
      </c>
      <c r="BE527" s="6" t="e">
        <f t="shared" si="258"/>
        <v>#DIV/0!</v>
      </c>
      <c r="BF527" s="6" t="e">
        <f t="shared" si="264"/>
        <v>#DIV/0!</v>
      </c>
    </row>
    <row r="528" spans="1:58" ht="15.75">
      <c r="B528" s="11">
        <v>45788</v>
      </c>
      <c r="C528" s="1">
        <v>284</v>
      </c>
      <c r="D528" s="3">
        <v>523</v>
      </c>
      <c r="E528" s="205" t="str">
        <f t="shared" si="260"/>
        <v/>
      </c>
      <c r="I528" s="15">
        <f t="shared" si="244"/>
        <v>0</v>
      </c>
      <c r="K528" s="10" t="str">
        <f t="shared" si="247"/>
        <v/>
      </c>
      <c r="L528" s="9" t="str">
        <f t="shared" si="248"/>
        <v/>
      </c>
      <c r="M528" s="8" t="str">
        <f t="shared" si="249"/>
        <v/>
      </c>
      <c r="AB528" s="5">
        <v>80</v>
      </c>
      <c r="AK528" s="3">
        <f t="shared" si="243"/>
        <v>240</v>
      </c>
      <c r="AN528" s="3">
        <v>40</v>
      </c>
      <c r="AP528" s="13" t="e">
        <f t="shared" si="263"/>
        <v>#DIV/0!</v>
      </c>
      <c r="AR528" s="17" t="e">
        <f t="shared" si="254"/>
        <v>#VALUE!</v>
      </c>
      <c r="AS528" s="16" t="e">
        <f t="shared" si="261"/>
        <v>#DIV/0!</v>
      </c>
      <c r="AT528" s="16" t="e">
        <f t="shared" si="257"/>
        <v>#DIV/0!</v>
      </c>
      <c r="AU528" s="16" t="e">
        <f t="shared" si="255"/>
        <v>#DIV/0!</v>
      </c>
      <c r="AV528" s="57" t="str">
        <f t="shared" si="256"/>
        <v/>
      </c>
      <c r="AW528" s="57" t="str">
        <f t="shared" si="262"/>
        <v/>
      </c>
      <c r="AX528" s="57" t="str">
        <f t="shared" si="252"/>
        <v/>
      </c>
      <c r="AY528" s="57" t="str">
        <f t="shared" si="259"/>
        <v/>
      </c>
      <c r="AZ528" s="57" t="str">
        <f t="shared" si="250"/>
        <v/>
      </c>
      <c r="BE528" s="6" t="e">
        <f t="shared" si="258"/>
        <v>#DIV/0!</v>
      </c>
      <c r="BF528" s="6" t="e">
        <f t="shared" si="264"/>
        <v>#DIV/0!</v>
      </c>
    </row>
    <row r="529" spans="1:58" ht="15.75">
      <c r="A529" s="12" t="s">
        <v>50</v>
      </c>
      <c r="B529" s="11">
        <v>45789</v>
      </c>
      <c r="C529" s="1">
        <v>285</v>
      </c>
      <c r="D529" s="3">
        <v>524</v>
      </c>
      <c r="E529" s="205" t="str">
        <f t="shared" si="260"/>
        <v/>
      </c>
      <c r="I529" s="15">
        <f t="shared" si="244"/>
        <v>0</v>
      </c>
      <c r="K529" s="10" t="str">
        <f t="shared" si="247"/>
        <v/>
      </c>
      <c r="L529" s="9" t="str">
        <f t="shared" si="248"/>
        <v/>
      </c>
      <c r="M529" s="8" t="str">
        <f t="shared" si="249"/>
        <v/>
      </c>
      <c r="AB529" s="5">
        <v>80</v>
      </c>
      <c r="AK529" s="3">
        <f t="shared" ref="AK529:AK592" si="265">180+60</f>
        <v>240</v>
      </c>
      <c r="AN529" s="3">
        <v>40</v>
      </c>
      <c r="AP529" s="13" t="e">
        <f t="shared" si="263"/>
        <v>#DIV/0!</v>
      </c>
      <c r="AR529" s="17" t="e">
        <f t="shared" si="254"/>
        <v>#VALUE!</v>
      </c>
      <c r="AS529" s="16" t="e">
        <f t="shared" si="261"/>
        <v>#DIV/0!</v>
      </c>
      <c r="AT529" s="16" t="e">
        <f t="shared" si="257"/>
        <v>#DIV/0!</v>
      </c>
      <c r="AU529" s="16" t="e">
        <f t="shared" si="255"/>
        <v>#DIV/0!</v>
      </c>
      <c r="AV529" s="57" t="str">
        <f t="shared" si="256"/>
        <v/>
      </c>
      <c r="AW529" s="57" t="str">
        <f t="shared" si="262"/>
        <v/>
      </c>
      <c r="AX529" s="57" t="str">
        <f t="shared" si="252"/>
        <v/>
      </c>
      <c r="AY529" s="57" t="str">
        <f t="shared" si="259"/>
        <v/>
      </c>
      <c r="AZ529" s="57" t="str">
        <f t="shared" si="250"/>
        <v/>
      </c>
      <c r="BE529" s="6" t="e">
        <f t="shared" si="258"/>
        <v>#DIV/0!</v>
      </c>
      <c r="BF529" s="6" t="e">
        <f t="shared" si="264"/>
        <v>#DIV/0!</v>
      </c>
    </row>
    <row r="530" spans="1:58" ht="15.75">
      <c r="B530" s="11">
        <v>45790</v>
      </c>
      <c r="C530" s="1">
        <v>286</v>
      </c>
      <c r="D530" s="3">
        <v>525</v>
      </c>
      <c r="E530" s="205" t="str">
        <f t="shared" si="260"/>
        <v/>
      </c>
      <c r="I530" s="15">
        <f t="shared" si="244"/>
        <v>0</v>
      </c>
      <c r="K530" s="10" t="str">
        <f t="shared" si="247"/>
        <v/>
      </c>
      <c r="L530" s="9" t="str">
        <f t="shared" si="248"/>
        <v/>
      </c>
      <c r="M530" s="8" t="str">
        <f t="shared" si="249"/>
        <v/>
      </c>
      <c r="AB530" s="5">
        <v>80</v>
      </c>
      <c r="AK530" s="3">
        <f t="shared" si="265"/>
        <v>240</v>
      </c>
      <c r="AN530" s="3">
        <v>40</v>
      </c>
      <c r="AP530" s="13" t="e">
        <f t="shared" si="263"/>
        <v>#DIV/0!</v>
      </c>
      <c r="AR530" s="17" t="e">
        <f t="shared" si="254"/>
        <v>#VALUE!</v>
      </c>
      <c r="AS530" s="16" t="e">
        <f t="shared" si="261"/>
        <v>#DIV/0!</v>
      </c>
      <c r="AT530" s="16" t="e">
        <f t="shared" si="257"/>
        <v>#DIV/0!</v>
      </c>
      <c r="AU530" s="16" t="e">
        <f t="shared" si="255"/>
        <v>#DIV/0!</v>
      </c>
      <c r="AV530" s="57" t="str">
        <f t="shared" si="256"/>
        <v/>
      </c>
      <c r="AW530" s="57" t="str">
        <f t="shared" si="262"/>
        <v/>
      </c>
      <c r="AX530" s="57" t="str">
        <f t="shared" si="252"/>
        <v/>
      </c>
      <c r="AY530" s="57" t="str">
        <f t="shared" si="259"/>
        <v/>
      </c>
      <c r="AZ530" s="57" t="str">
        <f t="shared" si="250"/>
        <v/>
      </c>
      <c r="BE530" s="6" t="e">
        <f t="shared" si="258"/>
        <v>#DIV/0!</v>
      </c>
      <c r="BF530" s="6" t="e">
        <f t="shared" si="264"/>
        <v>#DIV/0!</v>
      </c>
    </row>
    <row r="531" spans="1:58" ht="15.75">
      <c r="B531" s="72">
        <v>45791</v>
      </c>
      <c r="C531" s="1">
        <v>287</v>
      </c>
      <c r="D531" s="3">
        <v>526</v>
      </c>
      <c r="E531" s="205" t="str">
        <f t="shared" si="260"/>
        <v/>
      </c>
      <c r="I531" s="15">
        <f t="shared" si="244"/>
        <v>0</v>
      </c>
      <c r="K531" s="10" t="str">
        <f t="shared" si="247"/>
        <v/>
      </c>
      <c r="L531" s="9" t="str">
        <f t="shared" si="248"/>
        <v/>
      </c>
      <c r="M531" s="8" t="str">
        <f t="shared" si="249"/>
        <v/>
      </c>
      <c r="AB531" s="5">
        <v>80</v>
      </c>
      <c r="AK531" s="3">
        <f t="shared" si="265"/>
        <v>240</v>
      </c>
      <c r="AN531" s="3">
        <v>40</v>
      </c>
      <c r="AP531" s="13" t="e">
        <f t="shared" si="263"/>
        <v>#DIV/0!</v>
      </c>
      <c r="AR531" s="17" t="e">
        <f t="shared" si="254"/>
        <v>#VALUE!</v>
      </c>
      <c r="AS531" s="16" t="e">
        <f t="shared" si="261"/>
        <v>#DIV/0!</v>
      </c>
      <c r="AT531" s="16" t="e">
        <f t="shared" si="257"/>
        <v>#DIV/0!</v>
      </c>
      <c r="AU531" s="16" t="e">
        <f t="shared" si="255"/>
        <v>#DIV/0!</v>
      </c>
      <c r="AV531" s="57" t="str">
        <f t="shared" si="256"/>
        <v/>
      </c>
      <c r="AW531" s="57" t="str">
        <f t="shared" si="262"/>
        <v/>
      </c>
      <c r="AX531" s="57" t="str">
        <f t="shared" si="252"/>
        <v/>
      </c>
      <c r="AY531" s="57" t="str">
        <f t="shared" si="259"/>
        <v/>
      </c>
      <c r="AZ531" s="57" t="str">
        <f t="shared" si="250"/>
        <v/>
      </c>
      <c r="BE531" s="6" t="e">
        <f t="shared" si="258"/>
        <v>#DIV/0!</v>
      </c>
      <c r="BF531" s="6" t="e">
        <f t="shared" si="264"/>
        <v>#DIV/0!</v>
      </c>
    </row>
    <row r="532" spans="1:58" ht="15.75">
      <c r="B532" s="11">
        <v>45792</v>
      </c>
      <c r="C532" s="1">
        <v>288</v>
      </c>
      <c r="D532" s="3">
        <v>527</v>
      </c>
      <c r="E532" s="205" t="str">
        <f t="shared" si="260"/>
        <v/>
      </c>
      <c r="I532" s="15">
        <f t="shared" ref="I532:I595" si="266">AD532</f>
        <v>0</v>
      </c>
      <c r="K532" s="10" t="str">
        <f t="shared" si="247"/>
        <v/>
      </c>
      <c r="L532" s="9" t="str">
        <f t="shared" si="248"/>
        <v/>
      </c>
      <c r="M532" s="8" t="str">
        <f t="shared" si="249"/>
        <v/>
      </c>
      <c r="AB532" s="5">
        <v>80</v>
      </c>
      <c r="AK532" s="3">
        <f t="shared" si="265"/>
        <v>240</v>
      </c>
      <c r="AN532" s="3">
        <v>40</v>
      </c>
      <c r="AP532" s="13" t="e">
        <f t="shared" si="263"/>
        <v>#DIV/0!</v>
      </c>
      <c r="AR532" s="17" t="e">
        <f t="shared" si="254"/>
        <v>#VALUE!</v>
      </c>
      <c r="AS532" s="16" t="e">
        <f t="shared" si="261"/>
        <v>#DIV/0!</v>
      </c>
      <c r="AT532" s="16" t="e">
        <f t="shared" si="257"/>
        <v>#DIV/0!</v>
      </c>
      <c r="AU532" s="16" t="e">
        <f t="shared" si="255"/>
        <v>#DIV/0!</v>
      </c>
      <c r="AV532" s="57" t="str">
        <f t="shared" si="256"/>
        <v/>
      </c>
      <c r="AW532" s="57" t="str">
        <f t="shared" si="262"/>
        <v/>
      </c>
      <c r="AX532" s="57" t="str">
        <f t="shared" si="252"/>
        <v/>
      </c>
      <c r="AY532" s="57" t="str">
        <f t="shared" si="259"/>
        <v/>
      </c>
      <c r="AZ532" s="57" t="str">
        <f t="shared" si="250"/>
        <v/>
      </c>
      <c r="BE532" s="6" t="e">
        <f t="shared" si="258"/>
        <v>#DIV/0!</v>
      </c>
      <c r="BF532" s="6" t="e">
        <f t="shared" si="264"/>
        <v>#DIV/0!</v>
      </c>
    </row>
    <row r="533" spans="1:58" ht="15.75">
      <c r="B533" s="11">
        <v>45793</v>
      </c>
      <c r="C533" s="1">
        <v>289</v>
      </c>
      <c r="D533" s="3">
        <v>528</v>
      </c>
      <c r="E533" s="205" t="str">
        <f t="shared" si="260"/>
        <v/>
      </c>
      <c r="I533" s="15">
        <f t="shared" si="266"/>
        <v>0</v>
      </c>
      <c r="K533" s="10" t="str">
        <f t="shared" si="247"/>
        <v/>
      </c>
      <c r="L533" s="9" t="str">
        <f t="shared" si="248"/>
        <v/>
      </c>
      <c r="M533" s="8" t="str">
        <f t="shared" si="249"/>
        <v/>
      </c>
      <c r="AB533" s="5">
        <v>80</v>
      </c>
      <c r="AK533" s="3">
        <f t="shared" si="265"/>
        <v>240</v>
      </c>
      <c r="AN533" s="3">
        <v>40</v>
      </c>
      <c r="AP533" s="13" t="e">
        <f t="shared" si="263"/>
        <v>#DIV/0!</v>
      </c>
      <c r="AR533" s="17" t="e">
        <f t="shared" si="254"/>
        <v>#VALUE!</v>
      </c>
      <c r="AS533" s="16" t="e">
        <f t="shared" si="261"/>
        <v>#DIV/0!</v>
      </c>
      <c r="AT533" s="16" t="e">
        <f t="shared" si="257"/>
        <v>#DIV/0!</v>
      </c>
      <c r="AU533" s="16" t="e">
        <f t="shared" si="255"/>
        <v>#DIV/0!</v>
      </c>
      <c r="AV533" s="57" t="str">
        <f t="shared" si="256"/>
        <v/>
      </c>
      <c r="AW533" s="57" t="str">
        <f t="shared" si="262"/>
        <v/>
      </c>
      <c r="AX533" s="57" t="str">
        <f t="shared" si="252"/>
        <v/>
      </c>
      <c r="AY533" s="57" t="str">
        <f t="shared" si="259"/>
        <v/>
      </c>
      <c r="AZ533" s="57" t="str">
        <f t="shared" si="250"/>
        <v/>
      </c>
      <c r="BE533" s="6" t="e">
        <f t="shared" si="258"/>
        <v>#DIV/0!</v>
      </c>
      <c r="BF533" s="6" t="e">
        <f t="shared" si="264"/>
        <v>#DIV/0!</v>
      </c>
    </row>
    <row r="534" spans="1:58" ht="15.75">
      <c r="A534" s="25" t="s">
        <v>49</v>
      </c>
      <c r="B534" s="11">
        <v>45794</v>
      </c>
      <c r="C534" s="1">
        <v>290</v>
      </c>
      <c r="D534" s="3">
        <v>529</v>
      </c>
      <c r="E534" s="205" t="str">
        <f t="shared" si="260"/>
        <v/>
      </c>
      <c r="I534" s="15">
        <f t="shared" si="266"/>
        <v>0</v>
      </c>
      <c r="K534" s="10" t="str">
        <f t="shared" si="247"/>
        <v/>
      </c>
      <c r="L534" s="9" t="str">
        <f t="shared" si="248"/>
        <v/>
      </c>
      <c r="M534" s="8" t="str">
        <f t="shared" si="249"/>
        <v/>
      </c>
      <c r="AB534" s="5">
        <v>80</v>
      </c>
      <c r="AK534" s="3">
        <f t="shared" si="265"/>
        <v>240</v>
      </c>
      <c r="AN534" s="3">
        <v>40</v>
      </c>
      <c r="AP534" s="13" t="e">
        <f t="shared" si="263"/>
        <v>#DIV/0!</v>
      </c>
      <c r="AR534" s="17" t="e">
        <f t="shared" si="254"/>
        <v>#VALUE!</v>
      </c>
      <c r="AS534" s="16" t="e">
        <f t="shared" si="261"/>
        <v>#DIV/0!</v>
      </c>
      <c r="AT534" s="16" t="e">
        <f t="shared" si="257"/>
        <v>#DIV/0!</v>
      </c>
      <c r="AU534" s="16" t="e">
        <f t="shared" si="255"/>
        <v>#DIV/0!</v>
      </c>
      <c r="AV534" s="57" t="str">
        <f t="shared" si="256"/>
        <v/>
      </c>
      <c r="AW534" s="57" t="str">
        <f t="shared" si="262"/>
        <v/>
      </c>
      <c r="AX534" s="57" t="str">
        <f t="shared" si="252"/>
        <v/>
      </c>
      <c r="AY534" s="57" t="str">
        <f t="shared" si="259"/>
        <v/>
      </c>
      <c r="AZ534" s="57" t="str">
        <f t="shared" si="250"/>
        <v/>
      </c>
      <c r="BE534" s="6" t="e">
        <f t="shared" si="258"/>
        <v>#DIV/0!</v>
      </c>
      <c r="BF534" s="6" t="e">
        <f t="shared" si="264"/>
        <v>#DIV/0!</v>
      </c>
    </row>
    <row r="535" spans="1:58" ht="15.75">
      <c r="A535" s="25" t="s">
        <v>48</v>
      </c>
      <c r="B535" s="11">
        <v>45795</v>
      </c>
      <c r="C535" s="1">
        <v>291</v>
      </c>
      <c r="D535" s="3">
        <v>530</v>
      </c>
      <c r="E535" s="205" t="str">
        <f t="shared" si="260"/>
        <v/>
      </c>
      <c r="I535" s="15">
        <f t="shared" si="266"/>
        <v>0</v>
      </c>
      <c r="K535" s="10" t="str">
        <f t="shared" si="247"/>
        <v/>
      </c>
      <c r="L535" s="9" t="str">
        <f t="shared" si="248"/>
        <v/>
      </c>
      <c r="M535" s="8" t="str">
        <f t="shared" si="249"/>
        <v/>
      </c>
      <c r="AB535" s="5">
        <v>80</v>
      </c>
      <c r="AK535" s="3">
        <f t="shared" si="265"/>
        <v>240</v>
      </c>
      <c r="AN535" s="3">
        <v>40</v>
      </c>
      <c r="AP535" s="13" t="e">
        <f t="shared" si="263"/>
        <v>#DIV/0!</v>
      </c>
      <c r="AR535" s="17" t="e">
        <f t="shared" si="254"/>
        <v>#VALUE!</v>
      </c>
      <c r="AS535" s="16" t="e">
        <f t="shared" si="261"/>
        <v>#DIV/0!</v>
      </c>
      <c r="AT535" s="16" t="e">
        <f t="shared" si="257"/>
        <v>#DIV/0!</v>
      </c>
      <c r="AU535" s="16" t="e">
        <f t="shared" ref="AU535:AU566" si="267">(G535-AM535)/G535</f>
        <v>#DIV/0!</v>
      </c>
      <c r="AV535" s="57" t="str">
        <f t="shared" si="256"/>
        <v/>
      </c>
      <c r="AW535" s="57" t="str">
        <f t="shared" si="262"/>
        <v/>
      </c>
      <c r="AX535" s="57" t="str">
        <f t="shared" si="252"/>
        <v/>
      </c>
      <c r="AY535" s="57" t="str">
        <f t="shared" si="259"/>
        <v/>
      </c>
      <c r="AZ535" s="57" t="str">
        <f t="shared" si="250"/>
        <v/>
      </c>
      <c r="BE535" s="6" t="e">
        <f t="shared" si="258"/>
        <v>#DIV/0!</v>
      </c>
      <c r="BF535" s="6" t="e">
        <f t="shared" si="264"/>
        <v>#DIV/0!</v>
      </c>
    </row>
    <row r="536" spans="1:58" ht="15.75">
      <c r="A536" s="12" t="s">
        <v>47</v>
      </c>
      <c r="B536" s="11">
        <v>45796</v>
      </c>
      <c r="C536" s="1">
        <v>292</v>
      </c>
      <c r="D536" s="1">
        <v>531</v>
      </c>
      <c r="E536" s="205" t="str">
        <f t="shared" si="260"/>
        <v/>
      </c>
      <c r="I536" s="15">
        <f t="shared" si="266"/>
        <v>0</v>
      </c>
      <c r="J536" s="9"/>
      <c r="K536" s="10" t="str">
        <f t="shared" si="247"/>
        <v/>
      </c>
      <c r="L536" s="9" t="str">
        <f t="shared" si="248"/>
        <v/>
      </c>
      <c r="M536" s="8" t="str">
        <f t="shared" si="249"/>
        <v/>
      </c>
      <c r="N536" s="6"/>
      <c r="AB536" s="6">
        <v>80</v>
      </c>
      <c r="AC536" s="1"/>
      <c r="AK536" s="1">
        <f t="shared" si="265"/>
        <v>240</v>
      </c>
      <c r="AL536" s="1"/>
      <c r="AN536" s="3">
        <v>40</v>
      </c>
      <c r="AP536" s="13" t="e">
        <f t="shared" si="263"/>
        <v>#DIV/0!</v>
      </c>
      <c r="AR536" s="16" t="e">
        <f t="shared" si="254"/>
        <v>#VALUE!</v>
      </c>
      <c r="AS536" s="16" t="e">
        <f t="shared" si="261"/>
        <v>#DIV/0!</v>
      </c>
      <c r="AT536" s="16" t="e">
        <f t="shared" si="257"/>
        <v>#DIV/0!</v>
      </c>
      <c r="AU536" s="16" t="e">
        <f t="shared" si="267"/>
        <v>#DIV/0!</v>
      </c>
      <c r="AV536" s="57" t="str">
        <f t="shared" si="256"/>
        <v/>
      </c>
      <c r="AW536" s="57" t="str">
        <f t="shared" si="262"/>
        <v/>
      </c>
      <c r="AX536" s="57" t="str">
        <f t="shared" si="252"/>
        <v/>
      </c>
      <c r="AY536" s="57" t="str">
        <f t="shared" si="259"/>
        <v/>
      </c>
      <c r="AZ536" s="57" t="str">
        <f t="shared" si="250"/>
        <v/>
      </c>
      <c r="BE536" s="6" t="e">
        <f t="shared" si="258"/>
        <v>#DIV/0!</v>
      </c>
      <c r="BF536" s="6" t="e">
        <f t="shared" si="264"/>
        <v>#DIV/0!</v>
      </c>
    </row>
    <row r="537" spans="1:58" ht="15.75">
      <c r="B537" s="72">
        <v>45797</v>
      </c>
      <c r="C537" s="1">
        <v>293</v>
      </c>
      <c r="D537" s="3">
        <v>532</v>
      </c>
      <c r="E537" s="205" t="str">
        <f t="shared" si="260"/>
        <v/>
      </c>
      <c r="I537" s="15">
        <f t="shared" si="266"/>
        <v>0</v>
      </c>
      <c r="K537" s="10" t="str">
        <f t="shared" si="247"/>
        <v/>
      </c>
      <c r="L537" s="9" t="str">
        <f t="shared" si="248"/>
        <v/>
      </c>
      <c r="M537" s="8" t="str">
        <f t="shared" si="249"/>
        <v/>
      </c>
      <c r="AB537" s="5">
        <v>80</v>
      </c>
      <c r="AK537" s="3">
        <f t="shared" si="265"/>
        <v>240</v>
      </c>
      <c r="AN537" s="3">
        <v>40</v>
      </c>
      <c r="AP537" s="13" t="e">
        <f t="shared" si="263"/>
        <v>#DIV/0!</v>
      </c>
      <c r="AR537" s="17" t="e">
        <f t="shared" si="254"/>
        <v>#VALUE!</v>
      </c>
      <c r="AS537" s="16" t="e">
        <f t="shared" si="261"/>
        <v>#DIV/0!</v>
      </c>
      <c r="AT537" s="16" t="e">
        <f t="shared" si="257"/>
        <v>#DIV/0!</v>
      </c>
      <c r="AU537" s="16" t="e">
        <f t="shared" si="267"/>
        <v>#DIV/0!</v>
      </c>
      <c r="AV537" s="57" t="str">
        <f t="shared" si="256"/>
        <v/>
      </c>
      <c r="AW537" s="57" t="str">
        <f t="shared" si="262"/>
        <v/>
      </c>
      <c r="AX537" s="57" t="str">
        <f t="shared" si="252"/>
        <v/>
      </c>
      <c r="AY537" s="57" t="str">
        <f t="shared" si="259"/>
        <v/>
      </c>
      <c r="AZ537" s="57" t="str">
        <f t="shared" si="250"/>
        <v/>
      </c>
      <c r="BE537" s="6" t="e">
        <f t="shared" si="258"/>
        <v>#DIV/0!</v>
      </c>
      <c r="BF537" s="6" t="e">
        <f t="shared" si="264"/>
        <v>#DIV/0!</v>
      </c>
    </row>
    <row r="538" spans="1:58" ht="15.75">
      <c r="B538" s="11">
        <v>45798</v>
      </c>
      <c r="C538" s="1">
        <v>294</v>
      </c>
      <c r="D538" s="3">
        <v>533</v>
      </c>
      <c r="E538" s="205" t="str">
        <f t="shared" si="260"/>
        <v/>
      </c>
      <c r="I538" s="15">
        <f t="shared" si="266"/>
        <v>0</v>
      </c>
      <c r="K538" s="10" t="str">
        <f t="shared" si="247"/>
        <v/>
      </c>
      <c r="L538" s="9" t="str">
        <f t="shared" si="248"/>
        <v/>
      </c>
      <c r="M538" s="8" t="str">
        <f t="shared" si="249"/>
        <v/>
      </c>
      <c r="AB538" s="5">
        <v>80</v>
      </c>
      <c r="AK538" s="3">
        <f t="shared" si="265"/>
        <v>240</v>
      </c>
      <c r="AN538" s="3">
        <v>40</v>
      </c>
      <c r="AP538" s="13" t="e">
        <f t="shared" si="263"/>
        <v>#DIV/0!</v>
      </c>
      <c r="AR538" s="17" t="e">
        <f t="shared" si="254"/>
        <v>#VALUE!</v>
      </c>
      <c r="AS538" s="16" t="e">
        <f t="shared" si="261"/>
        <v>#DIV/0!</v>
      </c>
      <c r="AT538" s="16" t="e">
        <f t="shared" ref="AT538:AT569" si="268">AG538/(AD538-AF538)</f>
        <v>#DIV/0!</v>
      </c>
      <c r="AU538" s="16" t="e">
        <f t="shared" si="267"/>
        <v>#DIV/0!</v>
      </c>
      <c r="AV538" s="57" t="str">
        <f t="shared" si="256"/>
        <v/>
      </c>
      <c r="AW538" s="57" t="str">
        <f t="shared" si="262"/>
        <v/>
      </c>
      <c r="AX538" s="57" t="str">
        <f t="shared" si="252"/>
        <v/>
      </c>
      <c r="AY538" s="57" t="str">
        <f t="shared" si="259"/>
        <v/>
      </c>
      <c r="AZ538" s="57" t="str">
        <f t="shared" si="250"/>
        <v/>
      </c>
      <c r="BE538" s="6" t="e">
        <f t="shared" si="258"/>
        <v>#DIV/0!</v>
      </c>
      <c r="BF538" s="6" t="e">
        <f t="shared" si="264"/>
        <v>#DIV/0!</v>
      </c>
    </row>
    <row r="539" spans="1:58" ht="15.75">
      <c r="B539" s="11">
        <v>45799</v>
      </c>
      <c r="C539" s="1">
        <v>295</v>
      </c>
      <c r="D539" s="3">
        <v>534</v>
      </c>
      <c r="E539" s="205">
        <f t="shared" si="260"/>
        <v>244.36815999999999</v>
      </c>
      <c r="G539" s="15">
        <f>(N539*18-H539*18)/9</f>
        <v>-8.52</v>
      </c>
      <c r="H539" s="15">
        <f>5*0.852</f>
        <v>4.26</v>
      </c>
      <c r="I539" s="15">
        <f t="shared" si="266"/>
        <v>0</v>
      </c>
      <c r="K539" s="10">
        <f t="shared" si="247"/>
        <v>-28.681708920187795</v>
      </c>
      <c r="L539" s="9" t="str">
        <f t="shared" si="248"/>
        <v/>
      </c>
      <c r="M539" s="8" t="str">
        <f t="shared" si="249"/>
        <v/>
      </c>
      <c r="O539" s="6">
        <v>65.36</v>
      </c>
      <c r="P539" s="6">
        <v>34.64</v>
      </c>
      <c r="Q539" s="6">
        <f>O539*1.067</f>
        <v>69.73912</v>
      </c>
      <c r="R539" s="6">
        <f>P539*1.514</f>
        <v>52.444960000000002</v>
      </c>
      <c r="S539" s="23">
        <f>P539*1.514+O539*1.067</f>
        <v>122.18407999999999</v>
      </c>
      <c r="T539" s="6">
        <v>35.6</v>
      </c>
      <c r="U539" s="59">
        <f>0*1.067</f>
        <v>0</v>
      </c>
      <c r="V539" s="59">
        <f>0*1.514</f>
        <v>0</v>
      </c>
      <c r="W539" s="23">
        <f>U539*1.067+V539*1.514</f>
        <v>0</v>
      </c>
      <c r="AB539" s="5">
        <v>80</v>
      </c>
      <c r="AK539" s="3">
        <f t="shared" si="265"/>
        <v>240</v>
      </c>
      <c r="AN539" s="3">
        <v>40</v>
      </c>
      <c r="AP539" s="13" t="e">
        <f t="shared" si="263"/>
        <v>#DIV/0!</v>
      </c>
      <c r="AR539" s="17">
        <f t="shared" si="254"/>
        <v>1</v>
      </c>
      <c r="AS539" s="16" t="e">
        <f t="shared" si="261"/>
        <v>#DIV/0!</v>
      </c>
      <c r="AT539" s="16" t="e">
        <f t="shared" si="268"/>
        <v>#DIV/0!</v>
      </c>
      <c r="AU539" s="16">
        <f t="shared" si="267"/>
        <v>1</v>
      </c>
      <c r="AV539" s="57">
        <f t="shared" si="256"/>
        <v>244.36815999999999</v>
      </c>
      <c r="AW539" s="57" t="str">
        <f t="shared" si="262"/>
        <v/>
      </c>
      <c r="AX539" s="57" t="str">
        <f t="shared" si="252"/>
        <v/>
      </c>
      <c r="AY539" s="57" t="str">
        <f t="shared" si="259"/>
        <v/>
      </c>
      <c r="AZ539" s="57" t="str">
        <f t="shared" si="250"/>
        <v/>
      </c>
      <c r="BE539" s="6" t="e">
        <f t="shared" si="258"/>
        <v>#DIV/0!</v>
      </c>
      <c r="BF539" s="6" t="e">
        <f t="shared" si="264"/>
        <v>#DIV/0!</v>
      </c>
    </row>
    <row r="540" spans="1:58" ht="15.75">
      <c r="B540" s="11">
        <v>45800</v>
      </c>
      <c r="C540" s="1">
        <v>296</v>
      </c>
      <c r="D540" s="3">
        <v>535</v>
      </c>
      <c r="E540" s="205" t="str">
        <f t="shared" si="260"/>
        <v/>
      </c>
      <c r="I540" s="15">
        <f t="shared" si="266"/>
        <v>0</v>
      </c>
      <c r="K540" s="10" t="str">
        <f t="shared" si="247"/>
        <v/>
      </c>
      <c r="L540" s="9" t="str">
        <f t="shared" si="248"/>
        <v/>
      </c>
      <c r="M540" s="8" t="str">
        <f t="shared" si="249"/>
        <v/>
      </c>
      <c r="AB540" s="5">
        <v>80</v>
      </c>
      <c r="AK540" s="3">
        <f t="shared" si="265"/>
        <v>240</v>
      </c>
      <c r="AN540" s="3">
        <v>40</v>
      </c>
      <c r="AP540" s="13" t="e">
        <f t="shared" si="263"/>
        <v>#DIV/0!</v>
      </c>
      <c r="AR540" s="17" t="e">
        <f t="shared" si="254"/>
        <v>#VALUE!</v>
      </c>
      <c r="AS540" s="16" t="e">
        <f t="shared" si="261"/>
        <v>#DIV/0!</v>
      </c>
      <c r="AT540" s="16" t="e">
        <f t="shared" si="268"/>
        <v>#DIV/0!</v>
      </c>
      <c r="AU540" s="16" t="e">
        <f t="shared" si="267"/>
        <v>#DIV/0!</v>
      </c>
      <c r="AV540" s="57" t="str">
        <f t="shared" si="256"/>
        <v/>
      </c>
      <c r="AW540" s="57" t="str">
        <f t="shared" si="262"/>
        <v/>
      </c>
      <c r="AX540" s="57" t="str">
        <f t="shared" si="252"/>
        <v/>
      </c>
      <c r="AY540" s="57" t="str">
        <f t="shared" si="259"/>
        <v/>
      </c>
      <c r="AZ540" s="57" t="str">
        <f t="shared" si="250"/>
        <v/>
      </c>
      <c r="BE540" s="6" t="e">
        <f t="shared" si="258"/>
        <v>#DIV/0!</v>
      </c>
      <c r="BF540" s="6" t="e">
        <f t="shared" si="264"/>
        <v>#DIV/0!</v>
      </c>
    </row>
    <row r="541" spans="1:58" ht="15.75">
      <c r="B541" s="11">
        <v>45801</v>
      </c>
      <c r="C541" s="1">
        <v>297</v>
      </c>
      <c r="D541" s="3">
        <v>536</v>
      </c>
      <c r="E541" s="205" t="str">
        <f t="shared" si="260"/>
        <v/>
      </c>
      <c r="I541" s="15">
        <f t="shared" si="266"/>
        <v>0</v>
      </c>
      <c r="K541" s="10" t="str">
        <f t="shared" si="247"/>
        <v/>
      </c>
      <c r="L541" s="9" t="str">
        <f t="shared" si="248"/>
        <v/>
      </c>
      <c r="M541" s="8" t="str">
        <f t="shared" si="249"/>
        <v/>
      </c>
      <c r="AB541" s="5">
        <v>80</v>
      </c>
      <c r="AK541" s="3">
        <f t="shared" si="265"/>
        <v>240</v>
      </c>
      <c r="AN541" s="3">
        <v>40</v>
      </c>
      <c r="AP541" s="13" t="e">
        <f t="shared" si="263"/>
        <v>#DIV/0!</v>
      </c>
      <c r="AR541" s="17" t="e">
        <f t="shared" si="254"/>
        <v>#VALUE!</v>
      </c>
      <c r="AS541" s="16" t="e">
        <f t="shared" si="261"/>
        <v>#DIV/0!</v>
      </c>
      <c r="AT541" s="16" t="e">
        <f t="shared" si="268"/>
        <v>#DIV/0!</v>
      </c>
      <c r="AU541" s="16" t="e">
        <f t="shared" si="267"/>
        <v>#DIV/0!</v>
      </c>
      <c r="AV541" s="57" t="str">
        <f t="shared" si="256"/>
        <v/>
      </c>
      <c r="AW541" s="57" t="str">
        <f t="shared" si="262"/>
        <v/>
      </c>
      <c r="AX541" s="57" t="str">
        <f t="shared" si="252"/>
        <v/>
      </c>
      <c r="AY541" s="57" t="str">
        <f t="shared" si="259"/>
        <v/>
      </c>
      <c r="AZ541" s="57" t="str">
        <f t="shared" si="250"/>
        <v/>
      </c>
      <c r="BE541" s="6" t="e">
        <f t="shared" si="258"/>
        <v>#DIV/0!</v>
      </c>
      <c r="BF541" s="6" t="e">
        <f t="shared" si="264"/>
        <v>#DIV/0!</v>
      </c>
    </row>
    <row r="542" spans="1:58" ht="15.75">
      <c r="B542" s="11">
        <v>45802</v>
      </c>
      <c r="C542" s="1">
        <v>298</v>
      </c>
      <c r="D542" s="3">
        <v>537</v>
      </c>
      <c r="E542" s="205" t="str">
        <f t="shared" si="260"/>
        <v/>
      </c>
      <c r="I542" s="15">
        <f t="shared" si="266"/>
        <v>0</v>
      </c>
      <c r="K542" s="10" t="str">
        <f t="shared" si="247"/>
        <v/>
      </c>
      <c r="L542" s="9" t="str">
        <f t="shared" si="248"/>
        <v/>
      </c>
      <c r="M542" s="8" t="str">
        <f t="shared" si="249"/>
        <v/>
      </c>
      <c r="AB542" s="5">
        <v>80</v>
      </c>
      <c r="AK542" s="3">
        <f t="shared" si="265"/>
        <v>240</v>
      </c>
      <c r="AN542" s="3">
        <v>40</v>
      </c>
      <c r="AP542" s="13" t="e">
        <f t="shared" si="263"/>
        <v>#DIV/0!</v>
      </c>
      <c r="AR542" s="17" t="e">
        <f t="shared" si="254"/>
        <v>#VALUE!</v>
      </c>
      <c r="AS542" s="16" t="e">
        <f t="shared" si="261"/>
        <v>#DIV/0!</v>
      </c>
      <c r="AT542" s="16" t="e">
        <f t="shared" si="268"/>
        <v>#DIV/0!</v>
      </c>
      <c r="AU542" s="16" t="e">
        <f t="shared" si="267"/>
        <v>#DIV/0!</v>
      </c>
      <c r="AV542" s="57" t="str">
        <f t="shared" si="256"/>
        <v/>
      </c>
      <c r="AW542" s="57" t="str">
        <f t="shared" si="262"/>
        <v/>
      </c>
      <c r="AX542" s="57" t="str">
        <f t="shared" si="252"/>
        <v/>
      </c>
      <c r="AY542" s="57" t="str">
        <f t="shared" si="259"/>
        <v/>
      </c>
      <c r="AZ542" s="57" t="str">
        <f t="shared" si="250"/>
        <v/>
      </c>
      <c r="BE542" s="6" t="e">
        <f t="shared" si="258"/>
        <v>#DIV/0!</v>
      </c>
      <c r="BF542" s="6" t="e">
        <f t="shared" si="264"/>
        <v>#DIV/0!</v>
      </c>
    </row>
    <row r="543" spans="1:58" ht="15.75">
      <c r="B543" s="11">
        <v>45803</v>
      </c>
      <c r="C543" s="1">
        <v>299</v>
      </c>
      <c r="D543" s="3">
        <v>538</v>
      </c>
      <c r="E543" s="205" t="str">
        <f t="shared" si="260"/>
        <v/>
      </c>
      <c r="I543" s="15">
        <f t="shared" si="266"/>
        <v>0</v>
      </c>
      <c r="K543" s="10" t="str">
        <f t="shared" si="247"/>
        <v/>
      </c>
      <c r="L543" s="9" t="str">
        <f t="shared" si="248"/>
        <v/>
      </c>
      <c r="M543" s="8" t="str">
        <f t="shared" si="249"/>
        <v/>
      </c>
      <c r="AB543" s="5">
        <v>80</v>
      </c>
      <c r="AK543" s="3">
        <f t="shared" si="265"/>
        <v>240</v>
      </c>
      <c r="AN543" s="3">
        <v>40</v>
      </c>
      <c r="AP543" s="13" t="e">
        <f t="shared" si="263"/>
        <v>#DIV/0!</v>
      </c>
      <c r="AR543" s="17" t="e">
        <f t="shared" si="254"/>
        <v>#VALUE!</v>
      </c>
      <c r="AS543" s="16" t="e">
        <f t="shared" si="261"/>
        <v>#DIV/0!</v>
      </c>
      <c r="AT543" s="16" t="e">
        <f t="shared" si="268"/>
        <v>#DIV/0!</v>
      </c>
      <c r="AU543" s="16" t="e">
        <f t="shared" si="267"/>
        <v>#DIV/0!</v>
      </c>
      <c r="AV543" s="57" t="str">
        <f t="shared" si="256"/>
        <v/>
      </c>
      <c r="AW543" s="57" t="str">
        <f t="shared" si="262"/>
        <v/>
      </c>
      <c r="AX543" s="57" t="str">
        <f t="shared" si="252"/>
        <v/>
      </c>
      <c r="AY543" s="57" t="str">
        <f t="shared" si="259"/>
        <v/>
      </c>
      <c r="AZ543" s="57" t="str">
        <f t="shared" si="250"/>
        <v/>
      </c>
      <c r="BE543" s="6" t="e">
        <f t="shared" si="258"/>
        <v>#DIV/0!</v>
      </c>
      <c r="BF543" s="6" t="e">
        <f t="shared" si="264"/>
        <v>#DIV/0!</v>
      </c>
    </row>
    <row r="544" spans="1:58" ht="15.75">
      <c r="B544" s="72">
        <v>45804</v>
      </c>
      <c r="C544" s="1">
        <v>300</v>
      </c>
      <c r="D544" s="3">
        <v>539</v>
      </c>
      <c r="E544" s="205">
        <f t="shared" si="260"/>
        <v>254.486064</v>
      </c>
      <c r="G544" s="15">
        <f>(N544*18-H544*18)/9</f>
        <v>-8.52</v>
      </c>
      <c r="H544" s="15">
        <f>5*0.852</f>
        <v>4.26</v>
      </c>
      <c r="I544" s="15">
        <f t="shared" si="266"/>
        <v>0</v>
      </c>
      <c r="K544" s="10">
        <f t="shared" si="247"/>
        <v>-29.869256338028169</v>
      </c>
      <c r="L544" s="9" t="str">
        <f t="shared" si="248"/>
        <v/>
      </c>
      <c r="M544" s="8" t="str">
        <f t="shared" si="249"/>
        <v/>
      </c>
      <c r="O544" s="6">
        <v>80.468000000000004</v>
      </c>
      <c r="P544" s="6">
        <v>27.334</v>
      </c>
      <c r="Q544" s="6">
        <f>O544*1.067</f>
        <v>85.859356000000005</v>
      </c>
      <c r="R544" s="6">
        <f>P544*1.514</f>
        <v>41.383676000000001</v>
      </c>
      <c r="S544" s="23">
        <f>P544*1.514+O544*1.067</f>
        <v>127.243032</v>
      </c>
      <c r="T544" s="6">
        <v>35.6</v>
      </c>
      <c r="U544" s="59">
        <f>0*1.067</f>
        <v>0</v>
      </c>
      <c r="V544" s="59">
        <f>0*1.514</f>
        <v>0</v>
      </c>
      <c r="W544" s="23">
        <f>U544*1.067+V544*1.514</f>
        <v>0</v>
      </c>
      <c r="AB544" s="5">
        <v>80</v>
      </c>
      <c r="AK544" s="3">
        <f t="shared" si="265"/>
        <v>240</v>
      </c>
      <c r="AN544" s="3">
        <v>40</v>
      </c>
      <c r="AP544" s="13" t="e">
        <f t="shared" si="263"/>
        <v>#DIV/0!</v>
      </c>
      <c r="AR544" s="17">
        <f t="shared" si="254"/>
        <v>1</v>
      </c>
      <c r="AS544" s="16" t="e">
        <f t="shared" si="261"/>
        <v>#DIV/0!</v>
      </c>
      <c r="AT544" s="16" t="e">
        <f t="shared" si="268"/>
        <v>#DIV/0!</v>
      </c>
      <c r="AU544" s="16">
        <f t="shared" si="267"/>
        <v>1</v>
      </c>
      <c r="AV544" s="57">
        <f t="shared" si="256"/>
        <v>254.486064</v>
      </c>
      <c r="AW544" s="57" t="str">
        <f t="shared" si="262"/>
        <v/>
      </c>
      <c r="AX544" s="57" t="str">
        <f t="shared" si="252"/>
        <v/>
      </c>
      <c r="AY544" s="57" t="str">
        <f t="shared" si="259"/>
        <v/>
      </c>
      <c r="AZ544" s="57" t="str">
        <f t="shared" si="250"/>
        <v/>
      </c>
      <c r="BE544" s="6" t="e">
        <f t="shared" si="258"/>
        <v>#DIV/0!</v>
      </c>
      <c r="BF544" s="6" t="e">
        <f t="shared" si="264"/>
        <v>#DIV/0!</v>
      </c>
    </row>
    <row r="545" spans="1:58" ht="15.75">
      <c r="B545" s="11">
        <v>45805</v>
      </c>
      <c r="C545" s="1">
        <v>301</v>
      </c>
      <c r="D545" s="3">
        <v>540</v>
      </c>
      <c r="E545" s="205" t="str">
        <f t="shared" si="260"/>
        <v/>
      </c>
      <c r="I545" s="15">
        <f t="shared" si="266"/>
        <v>0</v>
      </c>
      <c r="K545" s="10" t="str">
        <f t="shared" si="247"/>
        <v/>
      </c>
      <c r="L545" s="9" t="str">
        <f t="shared" si="248"/>
        <v/>
      </c>
      <c r="M545" s="8" t="str">
        <f t="shared" si="249"/>
        <v/>
      </c>
      <c r="AB545" s="5">
        <v>80</v>
      </c>
      <c r="AK545" s="3">
        <f t="shared" si="265"/>
        <v>240</v>
      </c>
      <c r="AN545" s="3">
        <v>40</v>
      </c>
      <c r="AP545" s="13" t="e">
        <f t="shared" si="263"/>
        <v>#DIV/0!</v>
      </c>
      <c r="AR545" s="17" t="e">
        <f t="shared" si="254"/>
        <v>#VALUE!</v>
      </c>
      <c r="AS545" s="16" t="e">
        <f t="shared" si="261"/>
        <v>#DIV/0!</v>
      </c>
      <c r="AT545" s="16" t="e">
        <f t="shared" si="268"/>
        <v>#DIV/0!</v>
      </c>
      <c r="AU545" s="16" t="e">
        <f t="shared" si="267"/>
        <v>#DIV/0!</v>
      </c>
      <c r="AV545" s="57" t="str">
        <f t="shared" si="256"/>
        <v/>
      </c>
      <c r="AW545" s="57" t="str">
        <f t="shared" si="262"/>
        <v/>
      </c>
      <c r="AX545" s="57" t="str">
        <f t="shared" si="252"/>
        <v/>
      </c>
      <c r="AY545" s="57" t="str">
        <f t="shared" si="259"/>
        <v/>
      </c>
      <c r="AZ545" s="57" t="str">
        <f t="shared" si="250"/>
        <v/>
      </c>
      <c r="BE545" s="6" t="e">
        <f t="shared" si="258"/>
        <v>#DIV/0!</v>
      </c>
      <c r="BF545" s="6" t="e">
        <f t="shared" si="264"/>
        <v>#DIV/0!</v>
      </c>
    </row>
    <row r="546" spans="1:58" ht="15.75">
      <c r="B546" s="11">
        <v>45806</v>
      </c>
      <c r="C546" s="1">
        <v>302</v>
      </c>
      <c r="D546" s="3">
        <v>541</v>
      </c>
      <c r="E546" s="205">
        <f t="shared" si="260"/>
        <v>259.40481</v>
      </c>
      <c r="G546" s="15">
        <f>(N546*18-H546*18)/9</f>
        <v>-8.52</v>
      </c>
      <c r="H546" s="15">
        <f>5*0.852</f>
        <v>4.26</v>
      </c>
      <c r="I546" s="15">
        <f t="shared" si="266"/>
        <v>0</v>
      </c>
      <c r="K546" s="10">
        <f t="shared" si="247"/>
        <v>-30.446573943661974</v>
      </c>
      <c r="L546" s="9" t="str">
        <f t="shared" si="248"/>
        <v/>
      </c>
      <c r="M546" s="8" t="str">
        <f t="shared" si="249"/>
        <v/>
      </c>
      <c r="O546" s="6">
        <v>83.227000000000004</v>
      </c>
      <c r="P546" s="6">
        <v>27.013999999999999</v>
      </c>
      <c r="Q546" s="6">
        <f>O546*1.067</f>
        <v>88.803208999999995</v>
      </c>
      <c r="R546" s="6">
        <f>P546*1.514</f>
        <v>40.899195999999996</v>
      </c>
      <c r="S546" s="23">
        <f>P546*1.514+O546*1.067</f>
        <v>129.702405</v>
      </c>
      <c r="T546" s="6">
        <v>35.6</v>
      </c>
      <c r="U546" s="59">
        <f>0*1.067</f>
        <v>0</v>
      </c>
      <c r="V546" s="59">
        <f>0*1.514</f>
        <v>0</v>
      </c>
      <c r="W546" s="23">
        <f>U546*1.067+V546*1.514</f>
        <v>0</v>
      </c>
      <c r="AB546" s="5">
        <v>80</v>
      </c>
      <c r="AK546" s="3">
        <f t="shared" si="265"/>
        <v>240</v>
      </c>
      <c r="AN546" s="3">
        <v>40</v>
      </c>
      <c r="AP546" s="13" t="e">
        <f t="shared" si="263"/>
        <v>#DIV/0!</v>
      </c>
      <c r="AR546" s="17">
        <f t="shared" si="254"/>
        <v>1</v>
      </c>
      <c r="AS546" s="16" t="e">
        <f t="shared" si="261"/>
        <v>#DIV/0!</v>
      </c>
      <c r="AT546" s="16" t="e">
        <f t="shared" si="268"/>
        <v>#DIV/0!</v>
      </c>
      <c r="AU546" s="16">
        <f t="shared" si="267"/>
        <v>1</v>
      </c>
      <c r="AV546" s="57">
        <f t="shared" si="256"/>
        <v>259.40481</v>
      </c>
      <c r="AW546" s="57" t="str">
        <f t="shared" si="262"/>
        <v/>
      </c>
      <c r="AX546" s="57" t="str">
        <f t="shared" si="252"/>
        <v/>
      </c>
      <c r="AY546" s="57" t="str">
        <f t="shared" si="259"/>
        <v/>
      </c>
      <c r="AZ546" s="57" t="str">
        <f t="shared" si="250"/>
        <v/>
      </c>
      <c r="BE546" s="6" t="e">
        <f t="shared" si="258"/>
        <v>#DIV/0!</v>
      </c>
      <c r="BF546" s="6" t="e">
        <f t="shared" si="264"/>
        <v>#DIV/0!</v>
      </c>
    </row>
    <row r="547" spans="1:58" s="27" customFormat="1" ht="15.75">
      <c r="A547" s="39" t="s">
        <v>46</v>
      </c>
      <c r="B547" s="38">
        <v>45807</v>
      </c>
      <c r="C547" s="1">
        <v>303</v>
      </c>
      <c r="D547" s="29">
        <v>542</v>
      </c>
      <c r="E547" s="205" t="str">
        <f t="shared" si="260"/>
        <v/>
      </c>
      <c r="F547" s="36"/>
      <c r="G547" s="15"/>
      <c r="H547" s="15"/>
      <c r="I547" s="15">
        <f t="shared" si="266"/>
        <v>0</v>
      </c>
      <c r="J547" s="35"/>
      <c r="K547" s="10" t="str">
        <f t="shared" si="247"/>
        <v/>
      </c>
      <c r="L547" s="9" t="str">
        <f t="shared" si="248"/>
        <v/>
      </c>
      <c r="M547" s="8" t="str">
        <f t="shared" si="249"/>
        <v/>
      </c>
      <c r="N547" s="34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74">
        <v>80</v>
      </c>
      <c r="AC547" s="32"/>
      <c r="AK547" s="29">
        <f t="shared" si="265"/>
        <v>240</v>
      </c>
      <c r="AL547" s="32"/>
      <c r="AN547" s="3">
        <v>40</v>
      </c>
      <c r="AO547" s="28"/>
      <c r="AP547" s="13" t="e">
        <f t="shared" si="263"/>
        <v>#DIV/0!</v>
      </c>
      <c r="AQ547" s="28"/>
      <c r="AR547" s="31" t="e">
        <f t="shared" si="254"/>
        <v>#VALUE!</v>
      </c>
      <c r="AS547" s="30" t="e">
        <f t="shared" si="261"/>
        <v>#DIV/0!</v>
      </c>
      <c r="AT547" s="30" t="e">
        <f t="shared" si="268"/>
        <v>#DIV/0!</v>
      </c>
      <c r="AU547" s="30" t="e">
        <f t="shared" si="267"/>
        <v>#DIV/0!</v>
      </c>
      <c r="AV547" s="57" t="str">
        <f t="shared" si="256"/>
        <v/>
      </c>
      <c r="AW547" s="57" t="str">
        <f t="shared" si="262"/>
        <v/>
      </c>
      <c r="AX547" s="57" t="str">
        <f t="shared" si="252"/>
        <v/>
      </c>
      <c r="AY547" s="57" t="str">
        <f t="shared" si="259"/>
        <v/>
      </c>
      <c r="AZ547" s="57" t="str">
        <f t="shared" si="250"/>
        <v/>
      </c>
      <c r="BE547" s="6" t="e">
        <f t="shared" si="258"/>
        <v>#DIV/0!</v>
      </c>
      <c r="BF547" s="6" t="e">
        <f t="shared" si="264"/>
        <v>#DIV/0!</v>
      </c>
    </row>
    <row r="548" spans="1:58" ht="15.75">
      <c r="B548" s="11">
        <v>45808</v>
      </c>
      <c r="C548" s="1">
        <v>304</v>
      </c>
      <c r="D548" s="3">
        <v>543</v>
      </c>
      <c r="E548" s="205" t="str">
        <f t="shared" si="260"/>
        <v/>
      </c>
      <c r="I548" s="15">
        <f t="shared" si="266"/>
        <v>0</v>
      </c>
      <c r="K548" s="10" t="str">
        <f t="shared" si="247"/>
        <v/>
      </c>
      <c r="L548" s="9" t="str">
        <f t="shared" si="248"/>
        <v/>
      </c>
      <c r="M548" s="8" t="str">
        <f t="shared" si="249"/>
        <v/>
      </c>
      <c r="AB548" s="5">
        <v>80</v>
      </c>
      <c r="AK548" s="3">
        <f t="shared" si="265"/>
        <v>240</v>
      </c>
      <c r="AN548" s="3">
        <v>40</v>
      </c>
      <c r="AP548" s="13" t="e">
        <f t="shared" si="263"/>
        <v>#DIV/0!</v>
      </c>
      <c r="AR548" s="17" t="e">
        <f t="shared" si="254"/>
        <v>#VALUE!</v>
      </c>
      <c r="AS548" s="16" t="e">
        <f t="shared" si="261"/>
        <v>#DIV/0!</v>
      </c>
      <c r="AT548" s="16" t="e">
        <f t="shared" si="268"/>
        <v>#DIV/0!</v>
      </c>
      <c r="AU548" s="16" t="e">
        <f t="shared" si="267"/>
        <v>#DIV/0!</v>
      </c>
      <c r="AV548" s="57" t="str">
        <f t="shared" si="256"/>
        <v/>
      </c>
      <c r="AW548" s="57" t="str">
        <f t="shared" si="262"/>
        <v/>
      </c>
      <c r="AX548" s="57" t="str">
        <f t="shared" si="252"/>
        <v/>
      </c>
      <c r="AY548" s="57" t="str">
        <f t="shared" si="259"/>
        <v/>
      </c>
      <c r="AZ548" s="57" t="str">
        <f t="shared" si="250"/>
        <v/>
      </c>
      <c r="BE548" s="6" t="e">
        <f t="shared" si="258"/>
        <v>#DIV/0!</v>
      </c>
      <c r="BF548" s="6" t="e">
        <f t="shared" si="264"/>
        <v>#DIV/0!</v>
      </c>
    </row>
    <row r="549" spans="1:58" ht="15.75">
      <c r="A549" s="12" t="s">
        <v>45</v>
      </c>
      <c r="B549" s="11">
        <v>45809</v>
      </c>
      <c r="C549" s="1">
        <v>305</v>
      </c>
      <c r="D549" s="3">
        <v>544</v>
      </c>
      <c r="E549" s="205" t="str">
        <f t="shared" si="260"/>
        <v/>
      </c>
      <c r="I549" s="15">
        <f t="shared" si="266"/>
        <v>0</v>
      </c>
      <c r="K549" s="10" t="str">
        <f t="shared" ref="K549:K612" si="269">IF(OR(E549="",G549="",E549=0,G549=0),"",E549/G549)</f>
        <v/>
      </c>
      <c r="L549" s="9" t="str">
        <f t="shared" ref="L549:L612" si="270">IF(OR(E549="",I549="",E549=0,I549=0),"",E549/(I549*2))</f>
        <v/>
      </c>
      <c r="M549" s="8" t="str">
        <f t="shared" ref="M549:M612" si="271">IF(OR(I549="",G549="",I549=0,G549=0),"",I549*2/G549)</f>
        <v/>
      </c>
      <c r="AB549" s="5">
        <v>80</v>
      </c>
      <c r="AK549" s="3">
        <f t="shared" si="265"/>
        <v>240</v>
      </c>
      <c r="AN549" s="3">
        <v>40</v>
      </c>
      <c r="AP549" s="13">
        <f t="shared" si="263"/>
        <v>2730.0000000000637</v>
      </c>
      <c r="AR549" s="17" t="e">
        <f t="shared" si="254"/>
        <v>#VALUE!</v>
      </c>
      <c r="AS549" s="16" t="e">
        <f t="shared" si="261"/>
        <v>#DIV/0!</v>
      </c>
      <c r="AT549" s="16" t="e">
        <f t="shared" si="268"/>
        <v>#DIV/0!</v>
      </c>
      <c r="AU549" s="16" t="e">
        <f t="shared" si="267"/>
        <v>#DIV/0!</v>
      </c>
      <c r="AV549" s="57" t="str">
        <f t="shared" si="256"/>
        <v/>
      </c>
      <c r="AW549" s="57" t="str">
        <f t="shared" si="262"/>
        <v/>
      </c>
      <c r="AX549" s="57" t="str">
        <f t="shared" si="252"/>
        <v/>
      </c>
      <c r="AY549" s="57" t="str">
        <f t="shared" si="259"/>
        <v/>
      </c>
      <c r="AZ549" s="57" t="str">
        <f t="shared" si="250"/>
        <v/>
      </c>
      <c r="BE549" s="6" t="e">
        <f t="shared" si="258"/>
        <v>#DIV/0!</v>
      </c>
      <c r="BF549" s="6" t="str">
        <f t="shared" si="264"/>
        <v/>
      </c>
    </row>
    <row r="550" spans="1:58" ht="15.75">
      <c r="A550" s="12" t="s">
        <v>44</v>
      </c>
      <c r="B550" s="11">
        <v>45810</v>
      </c>
      <c r="C550" s="1">
        <v>306</v>
      </c>
      <c r="D550" s="3">
        <v>545</v>
      </c>
      <c r="E550" s="205" t="str">
        <f t="shared" si="260"/>
        <v/>
      </c>
      <c r="I550" s="15">
        <f t="shared" si="266"/>
        <v>0</v>
      </c>
      <c r="K550" s="10" t="str">
        <f t="shared" si="269"/>
        <v/>
      </c>
      <c r="L550" s="9" t="str">
        <f t="shared" si="270"/>
        <v/>
      </c>
      <c r="M550" s="8" t="str">
        <f t="shared" si="271"/>
        <v/>
      </c>
      <c r="AB550" s="5">
        <v>80</v>
      </c>
      <c r="AK550" s="3">
        <f t="shared" si="265"/>
        <v>240</v>
      </c>
      <c r="AN550" s="3">
        <v>40</v>
      </c>
      <c r="AP550" s="13">
        <f t="shared" si="263"/>
        <v>2730.0000000000637</v>
      </c>
      <c r="AR550" s="17" t="e">
        <f t="shared" si="254"/>
        <v>#VALUE!</v>
      </c>
      <c r="AS550" s="16" t="e">
        <f t="shared" si="261"/>
        <v>#DIV/0!</v>
      </c>
      <c r="AT550" s="16" t="e">
        <f t="shared" si="268"/>
        <v>#DIV/0!</v>
      </c>
      <c r="AU550" s="16" t="e">
        <f t="shared" si="267"/>
        <v>#DIV/0!</v>
      </c>
      <c r="AV550" s="57" t="str">
        <f t="shared" si="256"/>
        <v/>
      </c>
      <c r="AW550" s="57" t="str">
        <f t="shared" si="262"/>
        <v/>
      </c>
      <c r="AX550" s="57" t="str">
        <f t="shared" si="252"/>
        <v/>
      </c>
      <c r="AY550" s="57" t="str">
        <f t="shared" si="259"/>
        <v/>
      </c>
      <c r="AZ550" s="57" t="str">
        <f t="shared" si="250"/>
        <v/>
      </c>
      <c r="BE550" s="6" t="e">
        <f t="shared" si="258"/>
        <v>#DIV/0!</v>
      </c>
      <c r="BF550" s="6" t="str">
        <f t="shared" si="264"/>
        <v/>
      </c>
    </row>
    <row r="551" spans="1:58" ht="15.75">
      <c r="B551" s="11">
        <v>45811</v>
      </c>
      <c r="C551" s="1">
        <v>307</v>
      </c>
      <c r="D551" s="3">
        <v>546</v>
      </c>
      <c r="E551" s="205">
        <f t="shared" si="260"/>
        <v>165.54552199999998</v>
      </c>
      <c r="I551" s="15">
        <f t="shared" si="266"/>
        <v>0</v>
      </c>
      <c r="K551" s="10" t="str">
        <f t="shared" si="269"/>
        <v/>
      </c>
      <c r="L551" s="9" t="str">
        <f t="shared" si="270"/>
        <v/>
      </c>
      <c r="M551" s="8" t="str">
        <f t="shared" si="271"/>
        <v/>
      </c>
      <c r="O551" s="6">
        <v>51.280999999999999</v>
      </c>
      <c r="P551" s="6">
        <v>18.530999999999999</v>
      </c>
      <c r="Q551" s="6">
        <f>O551*1.067</f>
        <v>54.716826999999995</v>
      </c>
      <c r="R551" s="6">
        <f>P551*1.514</f>
        <v>28.055933999999997</v>
      </c>
      <c r="S551" s="23">
        <f>P551*1.514+O551*1.067</f>
        <v>82.772760999999988</v>
      </c>
      <c r="U551" s="59">
        <f>0*1.067</f>
        <v>0</v>
      </c>
      <c r="V551" s="59">
        <f>0.46*1.514</f>
        <v>0.69644000000000006</v>
      </c>
      <c r="W551" s="23">
        <f>U551*1.067+V551*1.514</f>
        <v>1.0544101600000002</v>
      </c>
      <c r="AB551" s="5">
        <v>80</v>
      </c>
      <c r="AK551" s="3">
        <f t="shared" si="265"/>
        <v>240</v>
      </c>
      <c r="AN551" s="3">
        <v>40</v>
      </c>
      <c r="AP551" s="13">
        <f t="shared" si="263"/>
        <v>2730.0000000000637</v>
      </c>
      <c r="AR551" s="17">
        <f t="shared" si="254"/>
        <v>0.99363069355630163</v>
      </c>
      <c r="AS551" s="16" t="e">
        <f t="shared" si="261"/>
        <v>#DIV/0!</v>
      </c>
      <c r="AT551" s="16" t="e">
        <f t="shared" si="268"/>
        <v>#DIV/0!</v>
      </c>
      <c r="AU551" s="16" t="e">
        <f t="shared" si="267"/>
        <v>#DIV/0!</v>
      </c>
      <c r="AV551" s="57">
        <f t="shared" si="256"/>
        <v>164.49111183999997</v>
      </c>
      <c r="AW551" s="57" t="str">
        <f t="shared" si="262"/>
        <v/>
      </c>
      <c r="AX551" s="57" t="str">
        <f t="shared" si="252"/>
        <v/>
      </c>
      <c r="AY551" s="57" t="str">
        <f t="shared" si="259"/>
        <v/>
      </c>
      <c r="AZ551" s="57" t="str">
        <f t="shared" ref="AZ551:AZ614" si="272">IF(AND(ISNUMBER(AL551),ISNUMBER(AM551)),AL551-AM551,"")</f>
        <v/>
      </c>
      <c r="BE551" s="6" t="e">
        <f t="shared" si="258"/>
        <v>#DIV/0!</v>
      </c>
      <c r="BF551" s="6" t="str">
        <f t="shared" si="264"/>
        <v/>
      </c>
    </row>
    <row r="552" spans="1:58" ht="15.75">
      <c r="B552" s="11">
        <v>45812</v>
      </c>
      <c r="C552" s="1">
        <v>308</v>
      </c>
      <c r="D552" s="3">
        <v>547</v>
      </c>
      <c r="E552" s="205">
        <f t="shared" si="260"/>
        <v>221.45282399999999</v>
      </c>
      <c r="I552" s="15">
        <f t="shared" si="266"/>
        <v>0</v>
      </c>
      <c r="K552" s="10" t="str">
        <f t="shared" si="269"/>
        <v/>
      </c>
      <c r="L552" s="9" t="str">
        <f t="shared" si="270"/>
        <v/>
      </c>
      <c r="M552" s="8" t="str">
        <f t="shared" si="271"/>
        <v/>
      </c>
      <c r="O552" s="6">
        <v>70.361999999999995</v>
      </c>
      <c r="P552" s="6">
        <v>23.547000000000001</v>
      </c>
      <c r="Q552" s="6">
        <f>O552*1.067</f>
        <v>75.076253999999992</v>
      </c>
      <c r="R552" s="6">
        <f>P552*1.514</f>
        <v>35.650158000000005</v>
      </c>
      <c r="S552" s="23">
        <f>P552*1.514+O552*1.067</f>
        <v>110.726412</v>
      </c>
      <c r="T552" s="6">
        <v>35.6</v>
      </c>
      <c r="U552" s="59">
        <f>0*1.067</f>
        <v>0</v>
      </c>
      <c r="V552" s="59">
        <f>0*1.514</f>
        <v>0</v>
      </c>
      <c r="W552" s="23">
        <f>U552*1.067+V552*1.514</f>
        <v>0</v>
      </c>
      <c r="AB552" s="5">
        <v>80</v>
      </c>
      <c r="AK552" s="3">
        <f t="shared" si="265"/>
        <v>240</v>
      </c>
      <c r="AN552" s="3">
        <v>40</v>
      </c>
      <c r="AP552" s="13">
        <f t="shared" si="263"/>
        <v>2730.0000000000637</v>
      </c>
      <c r="AR552" s="17">
        <f t="shared" si="254"/>
        <v>1</v>
      </c>
      <c r="AS552" s="16" t="e">
        <f t="shared" si="261"/>
        <v>#DIV/0!</v>
      </c>
      <c r="AT552" s="16" t="e">
        <f t="shared" si="268"/>
        <v>#DIV/0!</v>
      </c>
      <c r="AU552" s="16" t="e">
        <f t="shared" si="267"/>
        <v>#DIV/0!</v>
      </c>
      <c r="AV552" s="57">
        <f t="shared" si="256"/>
        <v>221.45282399999999</v>
      </c>
      <c r="AW552" s="57" t="str">
        <f t="shared" si="262"/>
        <v/>
      </c>
      <c r="AX552" s="57" t="str">
        <f t="shared" si="252"/>
        <v/>
      </c>
      <c r="AY552" s="57" t="str">
        <f t="shared" si="259"/>
        <v/>
      </c>
      <c r="AZ552" s="57" t="str">
        <f t="shared" si="272"/>
        <v/>
      </c>
      <c r="BE552" s="6" t="e">
        <f t="shared" si="258"/>
        <v>#DIV/0!</v>
      </c>
      <c r="BF552" s="6" t="str">
        <f t="shared" si="264"/>
        <v/>
      </c>
    </row>
    <row r="553" spans="1:58" ht="15.75">
      <c r="B553" s="72">
        <v>45813</v>
      </c>
      <c r="C553" s="1">
        <v>309</v>
      </c>
      <c r="D553" s="3">
        <v>548</v>
      </c>
      <c r="E553" s="205">
        <f t="shared" si="260"/>
        <v>209.632294</v>
      </c>
      <c r="I553" s="15">
        <f t="shared" si="266"/>
        <v>0</v>
      </c>
      <c r="K553" s="10" t="str">
        <f t="shared" si="269"/>
        <v/>
      </c>
      <c r="L553" s="9" t="str">
        <f t="shared" si="270"/>
        <v/>
      </c>
      <c r="M553" s="8" t="str">
        <f t="shared" si="271"/>
        <v/>
      </c>
      <c r="O553" s="6">
        <v>67.156999999999996</v>
      </c>
      <c r="P553" s="6">
        <v>21.902000000000001</v>
      </c>
      <c r="Q553" s="6">
        <f>O553*1.067</f>
        <v>71.656518999999989</v>
      </c>
      <c r="R553" s="6">
        <f>P553*1.514</f>
        <v>33.159628000000005</v>
      </c>
      <c r="S553" s="23">
        <f>P553*1.514+O553*1.067</f>
        <v>104.816147</v>
      </c>
      <c r="T553" s="6">
        <v>35.6</v>
      </c>
      <c r="U553" s="59">
        <f>0.819*1.067</f>
        <v>0.8738729999999999</v>
      </c>
      <c r="V553" s="59">
        <f>0.475*1.514</f>
        <v>0.71914999999999996</v>
      </c>
      <c r="W553" s="23">
        <f>U553*1.067+V553*1.514</f>
        <v>2.0212155909999998</v>
      </c>
      <c r="AB553" s="5">
        <v>80</v>
      </c>
      <c r="AK553" s="3">
        <f t="shared" si="265"/>
        <v>240</v>
      </c>
      <c r="AN553" s="3">
        <v>40</v>
      </c>
      <c r="AO553" s="2">
        <v>2730.0000000000637</v>
      </c>
      <c r="AP553" s="13">
        <f t="shared" si="263"/>
        <v>2730.0000000000637</v>
      </c>
      <c r="AR553" s="17">
        <f t="shared" si="254"/>
        <v>0.99035828138674098</v>
      </c>
      <c r="AS553" s="16" t="e">
        <f t="shared" si="261"/>
        <v>#DIV/0!</v>
      </c>
      <c r="AT553" s="16" t="e">
        <f t="shared" si="268"/>
        <v>#DIV/0!</v>
      </c>
      <c r="AU553" s="16" t="e">
        <f t="shared" si="267"/>
        <v>#DIV/0!</v>
      </c>
      <c r="AV553" s="57">
        <f t="shared" si="256"/>
        <v>207.61107840900002</v>
      </c>
      <c r="AW553" s="57" t="str">
        <f t="shared" si="262"/>
        <v/>
      </c>
      <c r="AX553" s="57" t="str">
        <f t="shared" si="252"/>
        <v/>
      </c>
      <c r="AY553" s="57" t="str">
        <f t="shared" si="259"/>
        <v/>
      </c>
      <c r="AZ553" s="57" t="str">
        <f t="shared" si="272"/>
        <v/>
      </c>
      <c r="BE553" s="6" t="e">
        <f t="shared" si="258"/>
        <v>#DIV/0!</v>
      </c>
      <c r="BF553" s="6" t="str">
        <f t="shared" si="264"/>
        <v/>
      </c>
    </row>
    <row r="554" spans="1:58" ht="15.75">
      <c r="B554" s="11">
        <v>45814</v>
      </c>
      <c r="C554" s="1">
        <v>310</v>
      </c>
      <c r="D554" s="3">
        <v>549</v>
      </c>
      <c r="E554" s="205" t="str">
        <f t="shared" si="260"/>
        <v/>
      </c>
      <c r="I554" s="15">
        <f t="shared" si="266"/>
        <v>0</v>
      </c>
      <c r="K554" s="10" t="str">
        <f t="shared" si="269"/>
        <v/>
      </c>
      <c r="L554" s="9" t="str">
        <f t="shared" si="270"/>
        <v/>
      </c>
      <c r="M554" s="8" t="str">
        <f t="shared" si="271"/>
        <v/>
      </c>
      <c r="AB554" s="5">
        <v>80</v>
      </c>
      <c r="AK554" s="3">
        <f t="shared" si="265"/>
        <v>240</v>
      </c>
      <c r="AN554" s="3">
        <v>40</v>
      </c>
      <c r="AP554" s="13">
        <f t="shared" si="263"/>
        <v>2730.0000000000637</v>
      </c>
      <c r="AR554" s="17" t="e">
        <f t="shared" si="254"/>
        <v>#VALUE!</v>
      </c>
      <c r="AS554" s="16" t="e">
        <f t="shared" ref="AS554:AS585" si="273">(I554-AF554)/I554</f>
        <v>#DIV/0!</v>
      </c>
      <c r="AT554" s="16" t="e">
        <f t="shared" si="268"/>
        <v>#DIV/0!</v>
      </c>
      <c r="AU554" s="16" t="e">
        <f t="shared" si="267"/>
        <v>#DIV/0!</v>
      </c>
      <c r="AV554" s="57" t="str">
        <f t="shared" si="256"/>
        <v/>
      </c>
      <c r="AW554" s="57" t="str">
        <f t="shared" si="262"/>
        <v/>
      </c>
      <c r="AX554" s="57" t="str">
        <f t="shared" si="252"/>
        <v/>
      </c>
      <c r="AY554" s="57" t="str">
        <f t="shared" si="259"/>
        <v/>
      </c>
      <c r="AZ554" s="57" t="str">
        <f t="shared" si="272"/>
        <v/>
      </c>
      <c r="BE554" s="6" t="e">
        <f t="shared" si="258"/>
        <v>#DIV/0!</v>
      </c>
      <c r="BF554" s="6" t="str">
        <f t="shared" si="264"/>
        <v/>
      </c>
    </row>
    <row r="555" spans="1:58" ht="15.75">
      <c r="B555" s="11">
        <v>45815</v>
      </c>
      <c r="C555" s="1">
        <v>311</v>
      </c>
      <c r="D555" s="3">
        <v>550</v>
      </c>
      <c r="E555" s="205" t="str">
        <f t="shared" si="260"/>
        <v/>
      </c>
      <c r="G555" s="15">
        <f>(N555*18-H555*18)/9</f>
        <v>13.780000000000001</v>
      </c>
      <c r="H555" s="15">
        <f>5*0.432</f>
        <v>2.16</v>
      </c>
      <c r="I555" s="15">
        <f t="shared" si="266"/>
        <v>21.8</v>
      </c>
      <c r="K555" s="10" t="str">
        <f t="shared" si="269"/>
        <v/>
      </c>
      <c r="L555" s="9" t="str">
        <f t="shared" si="270"/>
        <v/>
      </c>
      <c r="M555" s="8">
        <f t="shared" si="271"/>
        <v>3.1640058055152394</v>
      </c>
      <c r="N555" s="7">
        <f>5*1.81</f>
        <v>9.0500000000000007</v>
      </c>
      <c r="Q555" s="6">
        <f>O555*1.067</f>
        <v>0</v>
      </c>
      <c r="R555" s="6">
        <f>P555*1.514</f>
        <v>0</v>
      </c>
      <c r="S555" s="23">
        <f>P555*1.514+O555*1.067</f>
        <v>0</v>
      </c>
      <c r="T555" s="6">
        <v>35.6</v>
      </c>
      <c r="U555" s="59">
        <f>1.112*1.067</f>
        <v>1.186504</v>
      </c>
      <c r="V555" s="59">
        <f>0.845*1.514</f>
        <v>1.2793300000000001</v>
      </c>
      <c r="W555" s="23">
        <f>U555*1.067+V555*1.514</f>
        <v>3.202905388</v>
      </c>
      <c r="X555" s="6">
        <v>3.74</v>
      </c>
      <c r="Y555" s="6">
        <v>0.15</v>
      </c>
      <c r="Z555" s="6">
        <v>-17</v>
      </c>
      <c r="AA555" s="6">
        <v>-296</v>
      </c>
      <c r="AB555" s="5">
        <v>80</v>
      </c>
      <c r="AC555" s="7">
        <f>T555</f>
        <v>35.6</v>
      </c>
      <c r="AD555" s="1">
        <f>5*4.36</f>
        <v>21.8</v>
      </c>
      <c r="AE555" s="1">
        <f>5*0.774</f>
        <v>3.87</v>
      </c>
      <c r="AF555" s="1">
        <v>0</v>
      </c>
      <c r="AK555" s="3">
        <f t="shared" si="265"/>
        <v>240</v>
      </c>
      <c r="AL555" s="4">
        <f>AE555</f>
        <v>3.87</v>
      </c>
      <c r="AM555" s="1">
        <f>5*0.474</f>
        <v>2.37</v>
      </c>
      <c r="AN555" s="3">
        <v>40</v>
      </c>
      <c r="AP555" s="13">
        <f t="shared" si="263"/>
        <v>2730.0000000000637</v>
      </c>
      <c r="AR555" s="17" t="e">
        <f t="shared" si="254"/>
        <v>#VALUE!</v>
      </c>
      <c r="AS555" s="16">
        <f t="shared" si="273"/>
        <v>1</v>
      </c>
      <c r="AT555" s="16">
        <f t="shared" si="268"/>
        <v>0</v>
      </c>
      <c r="AU555" s="16">
        <f t="shared" si="267"/>
        <v>0.82801161103047893</v>
      </c>
      <c r="AV555" s="57" t="str">
        <f t="shared" si="256"/>
        <v/>
      </c>
      <c r="AW555" s="57">
        <f t="shared" si="262"/>
        <v>21.8</v>
      </c>
      <c r="AX555" s="57">
        <f t="shared" si="252"/>
        <v>11.41</v>
      </c>
      <c r="AY555" s="57">
        <f t="shared" si="259"/>
        <v>31.73</v>
      </c>
      <c r="AZ555" s="57">
        <f t="shared" si="272"/>
        <v>1.5</v>
      </c>
      <c r="BE555" s="6" t="e">
        <f t="shared" si="258"/>
        <v>#DIV/0!</v>
      </c>
      <c r="BF555" s="6" t="str">
        <f t="shared" si="264"/>
        <v/>
      </c>
    </row>
    <row r="556" spans="1:58" ht="15.75">
      <c r="B556" s="11">
        <v>45816</v>
      </c>
      <c r="C556" s="1">
        <v>312</v>
      </c>
      <c r="D556" s="3">
        <v>551</v>
      </c>
      <c r="E556" s="205" t="str">
        <f t="shared" si="260"/>
        <v/>
      </c>
      <c r="I556" s="15">
        <f t="shared" si="266"/>
        <v>0</v>
      </c>
      <c r="K556" s="10" t="str">
        <f t="shared" si="269"/>
        <v/>
      </c>
      <c r="L556" s="9" t="str">
        <f t="shared" si="270"/>
        <v/>
      </c>
      <c r="M556" s="8" t="str">
        <f t="shared" si="271"/>
        <v/>
      </c>
      <c r="AB556" s="5">
        <v>80</v>
      </c>
      <c r="AK556" s="3">
        <f t="shared" si="265"/>
        <v>240</v>
      </c>
      <c r="AN556" s="3">
        <v>40</v>
      </c>
      <c r="AP556" s="13" t="e">
        <f t="shared" si="263"/>
        <v>#DIV/0!</v>
      </c>
      <c r="AR556" s="17" t="e">
        <f t="shared" si="254"/>
        <v>#VALUE!</v>
      </c>
      <c r="AS556" s="16" t="e">
        <f t="shared" si="273"/>
        <v>#DIV/0!</v>
      </c>
      <c r="AT556" s="16" t="e">
        <f t="shared" si="268"/>
        <v>#DIV/0!</v>
      </c>
      <c r="AU556" s="16" t="e">
        <f t="shared" si="267"/>
        <v>#DIV/0!</v>
      </c>
      <c r="AV556" s="57" t="str">
        <f t="shared" si="256"/>
        <v/>
      </c>
      <c r="AW556" s="57" t="str">
        <f t="shared" si="262"/>
        <v/>
      </c>
      <c r="AX556" s="57" t="str">
        <f t="shared" ref="AX556:AX619" si="274">IF(AND(ISNUMBER(AM556),ISNUMBER(G556)),G556-AM556,"")</f>
        <v/>
      </c>
      <c r="AY556" s="57" t="str">
        <f t="shared" si="259"/>
        <v/>
      </c>
      <c r="AZ556" s="57" t="str">
        <f t="shared" si="272"/>
        <v/>
      </c>
      <c r="BE556" s="6" t="e">
        <f t="shared" si="258"/>
        <v>#DIV/0!</v>
      </c>
      <c r="BF556" s="6" t="e">
        <f t="shared" si="264"/>
        <v>#DIV/0!</v>
      </c>
    </row>
    <row r="557" spans="1:58" ht="15.75">
      <c r="B557" s="11">
        <v>45817</v>
      </c>
      <c r="C557" s="1">
        <v>313</v>
      </c>
      <c r="D557" s="3">
        <v>552</v>
      </c>
      <c r="E557" s="205" t="str">
        <f t="shared" si="260"/>
        <v/>
      </c>
      <c r="I557" s="15">
        <f t="shared" si="266"/>
        <v>0</v>
      </c>
      <c r="K557" s="10" t="str">
        <f t="shared" si="269"/>
        <v/>
      </c>
      <c r="L557" s="9" t="str">
        <f t="shared" si="270"/>
        <v/>
      </c>
      <c r="M557" s="8" t="str">
        <f t="shared" si="271"/>
        <v/>
      </c>
      <c r="AB557" s="5">
        <v>80</v>
      </c>
      <c r="AK557" s="3">
        <f t="shared" si="265"/>
        <v>240</v>
      </c>
      <c r="AN557" s="3">
        <v>40</v>
      </c>
      <c r="AP557" s="13" t="e">
        <f t="shared" si="263"/>
        <v>#DIV/0!</v>
      </c>
      <c r="AR557" s="17" t="e">
        <f t="shared" si="254"/>
        <v>#VALUE!</v>
      </c>
      <c r="AS557" s="16" t="e">
        <f t="shared" si="273"/>
        <v>#DIV/0!</v>
      </c>
      <c r="AT557" s="16" t="e">
        <f t="shared" si="268"/>
        <v>#DIV/0!</v>
      </c>
      <c r="AU557" s="16" t="e">
        <f t="shared" si="267"/>
        <v>#DIV/0!</v>
      </c>
      <c r="AV557" s="57" t="str">
        <f t="shared" si="256"/>
        <v/>
      </c>
      <c r="AW557" s="57" t="str">
        <f t="shared" si="262"/>
        <v/>
      </c>
      <c r="AX557" s="57" t="str">
        <f t="shared" si="274"/>
        <v/>
      </c>
      <c r="AY557" s="57" t="str">
        <f t="shared" si="259"/>
        <v/>
      </c>
      <c r="AZ557" s="57" t="str">
        <f t="shared" si="272"/>
        <v/>
      </c>
      <c r="BE557" s="6" t="e">
        <f t="shared" si="258"/>
        <v>#DIV/0!</v>
      </c>
      <c r="BF557" s="6" t="e">
        <f t="shared" ref="BF557:BF588" si="275">IF(OR(AJ557=0,AP557=0,NOT(ISNUMBER(AD557)),NOT(ISNUMBER(AF557)),NOT(ISNUMBER(AJ557)),NOT(ISNUMBER(AP557))),"",
IFERROR(IF((AD557-AF557)/(AJ557/60)/(AP557/1000)&lt;=0,"",(AD557-AF557)/(AJ557/60)/(AP557/1000)),""))</f>
        <v>#DIV/0!</v>
      </c>
    </row>
    <row r="558" spans="1:58" ht="15.75">
      <c r="B558" s="11">
        <v>45818</v>
      </c>
      <c r="C558" s="1">
        <v>314</v>
      </c>
      <c r="D558" s="3">
        <v>553</v>
      </c>
      <c r="E558" s="205" t="str">
        <f t="shared" si="260"/>
        <v/>
      </c>
      <c r="I558" s="15">
        <f t="shared" si="266"/>
        <v>0</v>
      </c>
      <c r="K558" s="10" t="str">
        <f t="shared" si="269"/>
        <v/>
      </c>
      <c r="L558" s="9" t="str">
        <f t="shared" si="270"/>
        <v/>
      </c>
      <c r="M558" s="8" t="str">
        <f t="shared" si="271"/>
        <v/>
      </c>
      <c r="AB558" s="5">
        <v>80</v>
      </c>
      <c r="AK558" s="3">
        <f t="shared" si="265"/>
        <v>240</v>
      </c>
      <c r="AN558" s="3">
        <v>40</v>
      </c>
      <c r="AP558" s="13" t="e">
        <f t="shared" si="263"/>
        <v>#DIV/0!</v>
      </c>
      <c r="AR558" s="17" t="e">
        <f t="shared" si="254"/>
        <v>#VALUE!</v>
      </c>
      <c r="AS558" s="16" t="e">
        <f t="shared" si="273"/>
        <v>#DIV/0!</v>
      </c>
      <c r="AT558" s="16" t="e">
        <f t="shared" si="268"/>
        <v>#DIV/0!</v>
      </c>
      <c r="AU558" s="16" t="e">
        <f t="shared" si="267"/>
        <v>#DIV/0!</v>
      </c>
      <c r="AV558" s="57" t="str">
        <f t="shared" si="256"/>
        <v/>
      </c>
      <c r="AW558" s="57" t="str">
        <f t="shared" si="262"/>
        <v/>
      </c>
      <c r="AX558" s="57" t="str">
        <f t="shared" si="274"/>
        <v/>
      </c>
      <c r="AY558" s="57" t="str">
        <f t="shared" si="259"/>
        <v/>
      </c>
      <c r="AZ558" s="57" t="str">
        <f t="shared" si="272"/>
        <v/>
      </c>
      <c r="BE558" s="6" t="e">
        <f t="shared" si="258"/>
        <v>#DIV/0!</v>
      </c>
      <c r="BF558" s="6" t="e">
        <f t="shared" si="275"/>
        <v>#DIV/0!</v>
      </c>
    </row>
    <row r="559" spans="1:58" ht="15.75">
      <c r="B559" s="11">
        <v>45819</v>
      </c>
      <c r="C559" s="1">
        <v>315</v>
      </c>
      <c r="D559" s="3">
        <v>554</v>
      </c>
      <c r="E559" s="205" t="str">
        <f t="shared" si="260"/>
        <v/>
      </c>
      <c r="I559" s="15">
        <f t="shared" si="266"/>
        <v>0</v>
      </c>
      <c r="K559" s="10" t="str">
        <f t="shared" si="269"/>
        <v/>
      </c>
      <c r="L559" s="9" t="str">
        <f t="shared" si="270"/>
        <v/>
      </c>
      <c r="M559" s="8" t="str">
        <f t="shared" si="271"/>
        <v/>
      </c>
      <c r="AB559" s="5">
        <v>80</v>
      </c>
      <c r="AK559" s="3">
        <f t="shared" si="265"/>
        <v>240</v>
      </c>
      <c r="AN559" s="3">
        <v>40</v>
      </c>
      <c r="AP559" s="13" t="e">
        <f t="shared" si="263"/>
        <v>#DIV/0!</v>
      </c>
      <c r="AR559" s="17" t="e">
        <f t="shared" si="254"/>
        <v>#VALUE!</v>
      </c>
      <c r="AS559" s="16" t="e">
        <f t="shared" si="273"/>
        <v>#DIV/0!</v>
      </c>
      <c r="AT559" s="16" t="e">
        <f t="shared" si="268"/>
        <v>#DIV/0!</v>
      </c>
      <c r="AU559" s="16" t="e">
        <f t="shared" si="267"/>
        <v>#DIV/0!</v>
      </c>
      <c r="AV559" s="57" t="str">
        <f t="shared" si="256"/>
        <v/>
      </c>
      <c r="AW559" s="57" t="str">
        <f t="shared" si="262"/>
        <v/>
      </c>
      <c r="AX559" s="57" t="str">
        <f t="shared" si="274"/>
        <v/>
      </c>
      <c r="AY559" s="57" t="str">
        <f t="shared" si="259"/>
        <v/>
      </c>
      <c r="AZ559" s="57" t="str">
        <f t="shared" si="272"/>
        <v/>
      </c>
      <c r="BE559" s="6" t="e">
        <f t="shared" si="258"/>
        <v>#DIV/0!</v>
      </c>
      <c r="BF559" s="6" t="e">
        <f t="shared" si="275"/>
        <v>#DIV/0!</v>
      </c>
    </row>
    <row r="560" spans="1:58" ht="15.75">
      <c r="B560" s="72">
        <v>45820</v>
      </c>
      <c r="C560" s="1">
        <v>316</v>
      </c>
      <c r="D560" s="3">
        <v>555</v>
      </c>
      <c r="E560" s="205">
        <f t="shared" si="260"/>
        <v>168.035428</v>
      </c>
      <c r="I560" s="15">
        <f t="shared" si="266"/>
        <v>0</v>
      </c>
      <c r="K560" s="10" t="str">
        <f t="shared" si="269"/>
        <v/>
      </c>
      <c r="L560" s="9" t="str">
        <f t="shared" si="270"/>
        <v/>
      </c>
      <c r="M560" s="8" t="str">
        <f t="shared" si="271"/>
        <v/>
      </c>
      <c r="O560" s="6">
        <v>78.742000000000004</v>
      </c>
      <c r="P560" s="79"/>
      <c r="Q560" s="6">
        <f>O560*1.067</f>
        <v>84.017713999999998</v>
      </c>
      <c r="R560" s="6">
        <f>P560*1.514</f>
        <v>0</v>
      </c>
      <c r="S560" s="23">
        <f>P560*1.514+O560*1.067</f>
        <v>84.017713999999998</v>
      </c>
      <c r="T560" s="6">
        <v>35.6</v>
      </c>
      <c r="U560" s="59">
        <f>1.4992*1.067</f>
        <v>1.5996463999999999</v>
      </c>
      <c r="V560" s="59">
        <f>0.845*1.514</f>
        <v>1.2793300000000001</v>
      </c>
      <c r="W560" s="23">
        <f>U560*1.067+V560*1.514</f>
        <v>3.6437283288</v>
      </c>
      <c r="AB560" s="5">
        <v>80</v>
      </c>
      <c r="AK560" s="3">
        <f t="shared" si="265"/>
        <v>240</v>
      </c>
      <c r="AN560" s="3">
        <v>40</v>
      </c>
      <c r="AP560" s="13" t="e">
        <f t="shared" si="263"/>
        <v>#DIV/0!</v>
      </c>
      <c r="AR560" s="17">
        <f t="shared" si="254"/>
        <v>0.97831571370294601</v>
      </c>
      <c r="AS560" s="16" t="e">
        <f t="shared" si="273"/>
        <v>#DIV/0!</v>
      </c>
      <c r="AT560" s="16" t="e">
        <f t="shared" si="268"/>
        <v>#DIV/0!</v>
      </c>
      <c r="AU560" s="16" t="e">
        <f t="shared" si="267"/>
        <v>#DIV/0!</v>
      </c>
      <c r="AV560" s="57">
        <f t="shared" si="256"/>
        <v>164.3916996712</v>
      </c>
      <c r="AW560" s="57" t="str">
        <f t="shared" si="262"/>
        <v/>
      </c>
      <c r="AX560" s="57" t="str">
        <f t="shared" si="274"/>
        <v/>
      </c>
      <c r="AY560" s="57" t="str">
        <f t="shared" si="259"/>
        <v/>
      </c>
      <c r="AZ560" s="57" t="str">
        <f t="shared" si="272"/>
        <v/>
      </c>
      <c r="BE560" s="6" t="e">
        <f t="shared" si="258"/>
        <v>#DIV/0!</v>
      </c>
      <c r="BF560" s="6" t="e">
        <f t="shared" si="275"/>
        <v>#DIV/0!</v>
      </c>
    </row>
    <row r="561" spans="1:58" ht="15.75">
      <c r="B561" s="11">
        <v>45821</v>
      </c>
      <c r="C561" s="1">
        <v>317</v>
      </c>
      <c r="D561" s="3">
        <v>556</v>
      </c>
      <c r="E561" s="205" t="str">
        <f t="shared" si="260"/>
        <v/>
      </c>
      <c r="I561" s="15">
        <f t="shared" si="266"/>
        <v>0</v>
      </c>
      <c r="K561" s="10" t="str">
        <f t="shared" si="269"/>
        <v/>
      </c>
      <c r="L561" s="9" t="str">
        <f t="shared" si="270"/>
        <v/>
      </c>
      <c r="M561" s="8" t="str">
        <f t="shared" si="271"/>
        <v/>
      </c>
      <c r="AB561" s="5">
        <v>80</v>
      </c>
      <c r="AK561" s="3">
        <f t="shared" si="265"/>
        <v>240</v>
      </c>
      <c r="AN561" s="3">
        <v>40</v>
      </c>
      <c r="AP561" s="13">
        <f t="shared" si="263"/>
        <v>2400</v>
      </c>
      <c r="AR561" s="17" t="e">
        <f t="shared" ref="AR561:AR585" si="276">(E561-W561)/E561</f>
        <v>#VALUE!</v>
      </c>
      <c r="AS561" s="16" t="e">
        <f t="shared" si="273"/>
        <v>#DIV/0!</v>
      </c>
      <c r="AT561" s="16" t="e">
        <f t="shared" si="268"/>
        <v>#DIV/0!</v>
      </c>
      <c r="AU561" s="16" t="e">
        <f t="shared" si="267"/>
        <v>#DIV/0!</v>
      </c>
      <c r="AV561" s="57" t="str">
        <f t="shared" si="256"/>
        <v/>
      </c>
      <c r="AW561" s="57" t="str">
        <f t="shared" si="262"/>
        <v/>
      </c>
      <c r="AX561" s="57" t="str">
        <f t="shared" si="274"/>
        <v/>
      </c>
      <c r="AY561" s="57" t="str">
        <f t="shared" si="259"/>
        <v/>
      </c>
      <c r="AZ561" s="57" t="str">
        <f t="shared" si="272"/>
        <v/>
      </c>
      <c r="BE561" s="6" t="e">
        <f t="shared" si="258"/>
        <v>#DIV/0!</v>
      </c>
      <c r="BF561" s="6" t="str">
        <f t="shared" si="275"/>
        <v/>
      </c>
    </row>
    <row r="562" spans="1:58" ht="15.75">
      <c r="B562" s="11">
        <v>45822</v>
      </c>
      <c r="C562" s="1">
        <v>318</v>
      </c>
      <c r="D562" s="3">
        <v>557</v>
      </c>
      <c r="E562" s="205" t="str">
        <f t="shared" si="260"/>
        <v/>
      </c>
      <c r="I562" s="15">
        <f t="shared" si="266"/>
        <v>0</v>
      </c>
      <c r="K562" s="10" t="str">
        <f t="shared" si="269"/>
        <v/>
      </c>
      <c r="L562" s="9" t="str">
        <f t="shared" si="270"/>
        <v/>
      </c>
      <c r="M562" s="8" t="str">
        <f t="shared" si="271"/>
        <v/>
      </c>
      <c r="AB562" s="5">
        <v>80</v>
      </c>
      <c r="AK562" s="3">
        <f t="shared" si="265"/>
        <v>240</v>
      </c>
      <c r="AN562" s="3">
        <v>40</v>
      </c>
      <c r="AP562" s="13">
        <f t="shared" si="263"/>
        <v>2400</v>
      </c>
      <c r="AR562" s="17" t="e">
        <f t="shared" si="276"/>
        <v>#VALUE!</v>
      </c>
      <c r="AS562" s="16" t="e">
        <f t="shared" si="273"/>
        <v>#DIV/0!</v>
      </c>
      <c r="AT562" s="16" t="e">
        <f t="shared" si="268"/>
        <v>#DIV/0!</v>
      </c>
      <c r="AU562" s="16" t="e">
        <f t="shared" si="267"/>
        <v>#DIV/0!</v>
      </c>
      <c r="AV562" s="57" t="str">
        <f t="shared" si="256"/>
        <v/>
      </c>
      <c r="AW562" s="57" t="str">
        <f t="shared" si="262"/>
        <v/>
      </c>
      <c r="AX562" s="57" t="str">
        <f t="shared" si="274"/>
        <v/>
      </c>
      <c r="AY562" s="57" t="str">
        <f t="shared" si="259"/>
        <v/>
      </c>
      <c r="AZ562" s="57" t="str">
        <f t="shared" si="272"/>
        <v/>
      </c>
      <c r="BE562" s="6" t="e">
        <f t="shared" si="258"/>
        <v>#DIV/0!</v>
      </c>
      <c r="BF562" s="6" t="str">
        <f t="shared" si="275"/>
        <v/>
      </c>
    </row>
    <row r="563" spans="1:58" ht="15.75">
      <c r="B563" s="11">
        <v>45823</v>
      </c>
      <c r="C563" s="1">
        <v>319</v>
      </c>
      <c r="D563" s="3">
        <v>558</v>
      </c>
      <c r="E563" s="205" t="str">
        <f t="shared" si="260"/>
        <v/>
      </c>
      <c r="I563" s="15">
        <f t="shared" si="266"/>
        <v>0</v>
      </c>
      <c r="K563" s="10" t="str">
        <f t="shared" si="269"/>
        <v/>
      </c>
      <c r="L563" s="9" t="str">
        <f t="shared" si="270"/>
        <v/>
      </c>
      <c r="M563" s="8" t="str">
        <f t="shared" si="271"/>
        <v/>
      </c>
      <c r="AB563" s="5">
        <v>80</v>
      </c>
      <c r="AK563" s="3">
        <f t="shared" si="265"/>
        <v>240</v>
      </c>
      <c r="AN563" s="3">
        <v>40</v>
      </c>
      <c r="AP563" s="13">
        <f t="shared" si="263"/>
        <v>2400</v>
      </c>
      <c r="AR563" s="17" t="e">
        <f t="shared" si="276"/>
        <v>#VALUE!</v>
      </c>
      <c r="AS563" s="16" t="e">
        <f t="shared" si="273"/>
        <v>#DIV/0!</v>
      </c>
      <c r="AT563" s="16" t="e">
        <f t="shared" si="268"/>
        <v>#DIV/0!</v>
      </c>
      <c r="AU563" s="16" t="e">
        <f t="shared" si="267"/>
        <v>#DIV/0!</v>
      </c>
      <c r="AV563" s="57" t="str">
        <f t="shared" si="256"/>
        <v/>
      </c>
      <c r="AW563" s="57" t="str">
        <f t="shared" si="262"/>
        <v/>
      </c>
      <c r="AX563" s="57" t="str">
        <f t="shared" si="274"/>
        <v/>
      </c>
      <c r="AY563" s="57" t="str">
        <f t="shared" si="259"/>
        <v/>
      </c>
      <c r="AZ563" s="57" t="str">
        <f t="shared" si="272"/>
        <v/>
      </c>
      <c r="BE563" s="6" t="e">
        <f t="shared" si="258"/>
        <v>#DIV/0!</v>
      </c>
      <c r="BF563" s="6" t="str">
        <f t="shared" si="275"/>
        <v/>
      </c>
    </row>
    <row r="564" spans="1:58" ht="15.75">
      <c r="B564" s="11">
        <v>45824</v>
      </c>
      <c r="C564" s="1">
        <v>320</v>
      </c>
      <c r="D564" s="3">
        <v>559</v>
      </c>
      <c r="E564" s="205" t="str">
        <f t="shared" si="260"/>
        <v/>
      </c>
      <c r="I564" s="15">
        <f t="shared" si="266"/>
        <v>0</v>
      </c>
      <c r="K564" s="10" t="str">
        <f t="shared" si="269"/>
        <v/>
      </c>
      <c r="L564" s="9" t="str">
        <f t="shared" si="270"/>
        <v/>
      </c>
      <c r="M564" s="8" t="str">
        <f t="shared" si="271"/>
        <v/>
      </c>
      <c r="AB564" s="5">
        <v>80</v>
      </c>
      <c r="AK564" s="3">
        <f t="shared" si="265"/>
        <v>240</v>
      </c>
      <c r="AN564" s="3">
        <v>40</v>
      </c>
      <c r="AP564" s="13">
        <f t="shared" si="263"/>
        <v>2400</v>
      </c>
      <c r="AR564" s="17" t="e">
        <f t="shared" si="276"/>
        <v>#VALUE!</v>
      </c>
      <c r="AS564" s="16" t="e">
        <f t="shared" si="273"/>
        <v>#DIV/0!</v>
      </c>
      <c r="AT564" s="16" t="e">
        <f t="shared" si="268"/>
        <v>#DIV/0!</v>
      </c>
      <c r="AU564" s="16" t="e">
        <f t="shared" si="267"/>
        <v>#DIV/0!</v>
      </c>
      <c r="AV564" s="57" t="str">
        <f t="shared" si="256"/>
        <v/>
      </c>
      <c r="AW564" s="57" t="str">
        <f t="shared" si="262"/>
        <v/>
      </c>
      <c r="AX564" s="57" t="str">
        <f t="shared" si="274"/>
        <v/>
      </c>
      <c r="AY564" s="57" t="str">
        <f t="shared" si="259"/>
        <v/>
      </c>
      <c r="AZ564" s="57" t="str">
        <f t="shared" si="272"/>
        <v/>
      </c>
      <c r="BE564" s="6" t="e">
        <f t="shared" si="258"/>
        <v>#DIV/0!</v>
      </c>
      <c r="BF564" s="6" t="str">
        <f t="shared" si="275"/>
        <v/>
      </c>
    </row>
    <row r="565" spans="1:58" ht="15.75">
      <c r="B565" s="11">
        <v>45825</v>
      </c>
      <c r="C565" s="1">
        <v>321</v>
      </c>
      <c r="D565" s="3">
        <v>560</v>
      </c>
      <c r="E565" s="205">
        <f t="shared" si="260"/>
        <v>257.24493199999995</v>
      </c>
      <c r="I565" s="15">
        <f t="shared" si="266"/>
        <v>0</v>
      </c>
      <c r="K565" s="10" t="str">
        <f t="shared" si="269"/>
        <v/>
      </c>
      <c r="L565" s="9" t="str">
        <f t="shared" si="270"/>
        <v/>
      </c>
      <c r="M565" s="8" t="str">
        <f t="shared" si="271"/>
        <v/>
      </c>
      <c r="O565" s="6">
        <v>82.763999999999996</v>
      </c>
      <c r="P565" s="6">
        <v>26.626999999999999</v>
      </c>
      <c r="Q565" s="6">
        <f>O565*1.067</f>
        <v>88.309187999999992</v>
      </c>
      <c r="R565" s="6">
        <f>P565*1.514</f>
        <v>40.313277999999997</v>
      </c>
      <c r="S565" s="23">
        <f>P565*1.514+O565*1.067</f>
        <v>128.62246599999997</v>
      </c>
      <c r="T565" s="6">
        <v>35.6</v>
      </c>
      <c r="U565" s="59">
        <f>1.284*1.067</f>
        <v>1.370028</v>
      </c>
      <c r="V565" s="59">
        <f>0*1.514</f>
        <v>0</v>
      </c>
      <c r="W565" s="23">
        <f>U565*1.067+V565*1.514</f>
        <v>1.4618198759999999</v>
      </c>
      <c r="AB565" s="5">
        <v>80</v>
      </c>
      <c r="AK565" s="3">
        <f t="shared" si="265"/>
        <v>240</v>
      </c>
      <c r="AN565" s="3">
        <v>40</v>
      </c>
      <c r="AO565" s="2">
        <v>2400</v>
      </c>
      <c r="AP565" s="13">
        <f t="shared" si="263"/>
        <v>2400</v>
      </c>
      <c r="AR565" s="17">
        <f t="shared" si="276"/>
        <v>0.99431740067866525</v>
      </c>
      <c r="AS565" s="16" t="e">
        <f t="shared" si="273"/>
        <v>#DIV/0!</v>
      </c>
      <c r="AT565" s="16" t="e">
        <f t="shared" si="268"/>
        <v>#DIV/0!</v>
      </c>
      <c r="AU565" s="16" t="e">
        <f t="shared" si="267"/>
        <v>#DIV/0!</v>
      </c>
      <c r="AV565" s="57">
        <f t="shared" si="256"/>
        <v>255.78311212399996</v>
      </c>
      <c r="AW565" s="57" t="str">
        <f t="shared" si="262"/>
        <v/>
      </c>
      <c r="AX565" s="57" t="str">
        <f t="shared" si="274"/>
        <v/>
      </c>
      <c r="AY565" s="57" t="str">
        <f t="shared" si="259"/>
        <v/>
      </c>
      <c r="AZ565" s="57" t="str">
        <f t="shared" si="272"/>
        <v/>
      </c>
      <c r="BE565" s="6" t="e">
        <f t="shared" si="258"/>
        <v>#DIV/0!</v>
      </c>
      <c r="BF565" s="6" t="str">
        <f t="shared" si="275"/>
        <v/>
      </c>
    </row>
    <row r="566" spans="1:58" ht="15.75">
      <c r="B566" s="11">
        <v>45826</v>
      </c>
      <c r="C566" s="1">
        <v>322</v>
      </c>
      <c r="D566" s="3">
        <v>561</v>
      </c>
      <c r="E566" s="205" t="str">
        <f t="shared" si="260"/>
        <v/>
      </c>
      <c r="I566" s="15">
        <f t="shared" si="266"/>
        <v>0</v>
      </c>
      <c r="K566" s="10" t="str">
        <f t="shared" si="269"/>
        <v/>
      </c>
      <c r="L566" s="9" t="str">
        <f t="shared" si="270"/>
        <v/>
      </c>
      <c r="M566" s="8" t="str">
        <f t="shared" si="271"/>
        <v/>
      </c>
      <c r="AB566" s="5">
        <v>80</v>
      </c>
      <c r="AK566" s="3">
        <f t="shared" si="265"/>
        <v>240</v>
      </c>
      <c r="AN566" s="3">
        <v>40</v>
      </c>
      <c r="AP566" s="13">
        <f t="shared" si="263"/>
        <v>2400</v>
      </c>
      <c r="AR566" s="17" t="e">
        <f t="shared" si="276"/>
        <v>#VALUE!</v>
      </c>
      <c r="AS566" s="16" t="e">
        <f t="shared" si="273"/>
        <v>#DIV/0!</v>
      </c>
      <c r="AT566" s="16" t="e">
        <f t="shared" si="268"/>
        <v>#DIV/0!</v>
      </c>
      <c r="AU566" s="16" t="e">
        <f t="shared" si="267"/>
        <v>#DIV/0!</v>
      </c>
      <c r="AV566" s="57" t="str">
        <f t="shared" si="256"/>
        <v/>
      </c>
      <c r="AW566" s="57" t="str">
        <f t="shared" si="262"/>
        <v/>
      </c>
      <c r="AX566" s="57" t="str">
        <f t="shared" si="274"/>
        <v/>
      </c>
      <c r="AY566" s="57" t="str">
        <f t="shared" si="259"/>
        <v/>
      </c>
      <c r="AZ566" s="57" t="str">
        <f t="shared" si="272"/>
        <v/>
      </c>
      <c r="BE566" s="6" t="e">
        <f t="shared" si="258"/>
        <v>#DIV/0!</v>
      </c>
      <c r="BF566" s="6" t="str">
        <f t="shared" si="275"/>
        <v/>
      </c>
    </row>
    <row r="567" spans="1:58" ht="15.75">
      <c r="B567" s="72">
        <v>45827</v>
      </c>
      <c r="C567" s="1">
        <v>323</v>
      </c>
      <c r="D567" s="3">
        <v>562</v>
      </c>
      <c r="E567" s="205" t="str">
        <f t="shared" si="260"/>
        <v/>
      </c>
      <c r="I567" s="15">
        <f t="shared" si="266"/>
        <v>0</v>
      </c>
      <c r="K567" s="10" t="str">
        <f t="shared" si="269"/>
        <v/>
      </c>
      <c r="L567" s="9" t="str">
        <f t="shared" si="270"/>
        <v/>
      </c>
      <c r="M567" s="8" t="str">
        <f t="shared" si="271"/>
        <v/>
      </c>
      <c r="AB567" s="5">
        <v>80</v>
      </c>
      <c r="AG567" s="1">
        <v>10.71</v>
      </c>
      <c r="AK567" s="3">
        <f t="shared" si="265"/>
        <v>240</v>
      </c>
      <c r="AN567" s="3">
        <v>40</v>
      </c>
      <c r="AP567" s="13">
        <f t="shared" si="263"/>
        <v>2400</v>
      </c>
      <c r="AR567" s="17" t="e">
        <f t="shared" si="276"/>
        <v>#VALUE!</v>
      </c>
      <c r="AS567" s="16" t="e">
        <f t="shared" si="273"/>
        <v>#DIV/0!</v>
      </c>
      <c r="AT567" s="16" t="e">
        <f t="shared" si="268"/>
        <v>#DIV/0!</v>
      </c>
      <c r="AU567" s="16" t="e">
        <f t="shared" ref="AU567:AU589" si="277">(G567-AM567)/G567</f>
        <v>#DIV/0!</v>
      </c>
      <c r="AV567" s="57" t="str">
        <f t="shared" ref="AV567:AV630" si="278">IF(AND(ISNUMBER(E567),ISNUMBER(W567)),E567-W567,"")</f>
        <v/>
      </c>
      <c r="AW567" s="57" t="str">
        <f t="shared" si="262"/>
        <v/>
      </c>
      <c r="AX567" s="57" t="str">
        <f t="shared" si="274"/>
        <v/>
      </c>
      <c r="AY567" s="57" t="str">
        <f t="shared" si="259"/>
        <v/>
      </c>
      <c r="AZ567" s="57" t="str">
        <f t="shared" si="272"/>
        <v/>
      </c>
      <c r="BF567" s="6" t="str">
        <f t="shared" si="275"/>
        <v/>
      </c>
    </row>
    <row r="568" spans="1:58" s="27" customFormat="1" ht="15.75">
      <c r="A568" s="78"/>
      <c r="B568" s="38">
        <v>45828</v>
      </c>
      <c r="C568" s="1">
        <v>324</v>
      </c>
      <c r="D568" s="29">
        <v>563</v>
      </c>
      <c r="E568" s="205">
        <f t="shared" si="260"/>
        <v>237.103668</v>
      </c>
      <c r="F568" s="36"/>
      <c r="G568" s="77">
        <f>(N568*18-H568*18)/9</f>
        <v>13.92</v>
      </c>
      <c r="H568" s="77">
        <f>5*0.958</f>
        <v>4.79</v>
      </c>
      <c r="I568" s="15">
        <f t="shared" si="266"/>
        <v>27.6</v>
      </c>
      <c r="J568" s="35"/>
      <c r="K568" s="10">
        <f t="shared" si="269"/>
        <v>17.033309482758622</v>
      </c>
      <c r="L568" s="9">
        <f t="shared" si="270"/>
        <v>4.295356304347826</v>
      </c>
      <c r="M568" s="8">
        <f t="shared" si="271"/>
        <v>3.9655172413793105</v>
      </c>
      <c r="N568" s="34">
        <f>5*2.35</f>
        <v>11.75</v>
      </c>
      <c r="O568" s="33">
        <v>76.103999999999999</v>
      </c>
      <c r="P568" s="33">
        <v>24.669</v>
      </c>
      <c r="Q568" s="33">
        <f>O568*1.067</f>
        <v>81.202967999999998</v>
      </c>
      <c r="R568" s="33">
        <f>P568*1.514</f>
        <v>37.348866000000001</v>
      </c>
      <c r="S568" s="75">
        <f>P568*1.514+O568*1.067</f>
        <v>118.551834</v>
      </c>
      <c r="T568" s="33">
        <v>50.9</v>
      </c>
      <c r="U568" s="76">
        <f>1.753*1.067</f>
        <v>1.8704509999999999</v>
      </c>
      <c r="V568" s="76">
        <f>1.279*1.514</f>
        <v>1.9364059999999998</v>
      </c>
      <c r="W568" s="75">
        <f>U568*1.067+V568*1.514</f>
        <v>4.9274899009999995</v>
      </c>
      <c r="X568" s="33">
        <v>3.47</v>
      </c>
      <c r="Y568" s="33">
        <v>0.15</v>
      </c>
      <c r="Z568" s="33">
        <v>-17</v>
      </c>
      <c r="AA568" s="33">
        <v>-332</v>
      </c>
      <c r="AB568" s="74">
        <v>80</v>
      </c>
      <c r="AC568" s="34">
        <f>T568</f>
        <v>50.9</v>
      </c>
      <c r="AD568" s="27">
        <f>27.6</f>
        <v>27.6</v>
      </c>
      <c r="AE568" s="27">
        <f>5*1.92</f>
        <v>9.6</v>
      </c>
      <c r="AF568" s="27">
        <v>0</v>
      </c>
      <c r="AG568" s="27">
        <v>8.89</v>
      </c>
      <c r="AK568" s="29">
        <f t="shared" si="265"/>
        <v>240</v>
      </c>
      <c r="AL568" s="32">
        <f>AE568</f>
        <v>9.6</v>
      </c>
      <c r="AM568" s="27">
        <f>5*1.48</f>
        <v>7.4</v>
      </c>
      <c r="AN568" s="3">
        <v>40</v>
      </c>
      <c r="AO568" s="28"/>
      <c r="AP568" s="13" t="e">
        <f t="shared" si="263"/>
        <v>#DIV/0!</v>
      </c>
      <c r="AQ568" s="28"/>
      <c r="AR568" s="31">
        <f t="shared" si="276"/>
        <v>0.97921799378911334</v>
      </c>
      <c r="AS568" s="30">
        <f t="shared" si="273"/>
        <v>1</v>
      </c>
      <c r="AT568" s="30">
        <f t="shared" si="268"/>
        <v>0.32210144927536233</v>
      </c>
      <c r="AU568" s="30">
        <f t="shared" si="277"/>
        <v>0.4683908045977011</v>
      </c>
      <c r="AV568" s="57">
        <f t="shared" si="278"/>
        <v>232.176178099</v>
      </c>
      <c r="AW568" s="57">
        <f t="shared" si="262"/>
        <v>27.6</v>
      </c>
      <c r="AX568" s="57">
        <f t="shared" si="274"/>
        <v>6.52</v>
      </c>
      <c r="AY568" s="57">
        <f t="shared" si="259"/>
        <v>41.3</v>
      </c>
      <c r="AZ568" s="57">
        <f t="shared" si="272"/>
        <v>2.1999999999999993</v>
      </c>
      <c r="BF568" s="6" t="e">
        <f t="shared" si="275"/>
        <v>#DIV/0!</v>
      </c>
    </row>
    <row r="569" spans="1:58" ht="15.75">
      <c r="A569" s="12" t="s">
        <v>43</v>
      </c>
      <c r="B569" s="11">
        <v>45829</v>
      </c>
      <c r="C569" s="1">
        <v>325</v>
      </c>
      <c r="D569" s="3">
        <v>564</v>
      </c>
      <c r="E569" s="205" t="str">
        <f t="shared" si="260"/>
        <v/>
      </c>
      <c r="I569" s="15">
        <f t="shared" si="266"/>
        <v>27.6</v>
      </c>
      <c r="K569" s="10" t="str">
        <f t="shared" si="269"/>
        <v/>
      </c>
      <c r="L569" s="9" t="str">
        <f t="shared" si="270"/>
        <v/>
      </c>
      <c r="M569" s="8" t="str">
        <f t="shared" si="271"/>
        <v/>
      </c>
      <c r="AB569" s="5">
        <v>80</v>
      </c>
      <c r="AD569" s="65">
        <f>27.6</f>
        <v>27.6</v>
      </c>
      <c r="AG569" s="1">
        <v>7.32</v>
      </c>
      <c r="AK569" s="3">
        <f t="shared" si="265"/>
        <v>240</v>
      </c>
      <c r="AN569" s="3">
        <v>40</v>
      </c>
      <c r="AP569" s="13" t="e">
        <f t="shared" si="263"/>
        <v>#DIV/0!</v>
      </c>
      <c r="AR569" s="17" t="e">
        <f t="shared" si="276"/>
        <v>#VALUE!</v>
      </c>
      <c r="AS569" s="16">
        <f t="shared" si="273"/>
        <v>1</v>
      </c>
      <c r="AT569" s="16">
        <f t="shared" si="268"/>
        <v>0.26521739130434785</v>
      </c>
      <c r="AU569" s="16" t="e">
        <f t="shared" si="277"/>
        <v>#DIV/0!</v>
      </c>
      <c r="AV569" s="57" t="str">
        <f t="shared" si="278"/>
        <v/>
      </c>
      <c r="AW569" s="57" t="str">
        <f t="shared" si="262"/>
        <v/>
      </c>
      <c r="AX569" s="57" t="str">
        <f t="shared" si="274"/>
        <v/>
      </c>
      <c r="AY569" s="57" t="str">
        <f t="shared" si="259"/>
        <v/>
      </c>
      <c r="AZ569" s="57" t="str">
        <f t="shared" si="272"/>
        <v/>
      </c>
      <c r="BF569" s="6" t="e">
        <f t="shared" si="275"/>
        <v>#DIV/0!</v>
      </c>
    </row>
    <row r="570" spans="1:58" ht="15.75">
      <c r="B570" s="11">
        <v>45830</v>
      </c>
      <c r="C570" s="1">
        <v>326</v>
      </c>
      <c r="D570" s="3">
        <v>565</v>
      </c>
      <c r="E570" s="205" t="str">
        <f t="shared" si="260"/>
        <v/>
      </c>
      <c r="I570" s="15">
        <f t="shared" si="266"/>
        <v>28</v>
      </c>
      <c r="K570" s="10" t="str">
        <f t="shared" si="269"/>
        <v/>
      </c>
      <c r="L570" s="9" t="str">
        <f t="shared" si="270"/>
        <v/>
      </c>
      <c r="M570" s="8" t="str">
        <f t="shared" si="271"/>
        <v/>
      </c>
      <c r="AB570" s="5">
        <v>80</v>
      </c>
      <c r="AD570" s="65">
        <v>28</v>
      </c>
      <c r="AG570" s="1">
        <v>8.08</v>
      </c>
      <c r="AK570" s="3">
        <f t="shared" si="265"/>
        <v>240</v>
      </c>
      <c r="AN570" s="3">
        <v>40</v>
      </c>
      <c r="AP570" s="13" t="e">
        <f t="shared" si="263"/>
        <v>#DIV/0!</v>
      </c>
      <c r="AR570" s="17" t="e">
        <f t="shared" si="276"/>
        <v>#VALUE!</v>
      </c>
      <c r="AS570" s="16">
        <f t="shared" si="273"/>
        <v>1</v>
      </c>
      <c r="AT570" s="16">
        <f t="shared" ref="AT570:AT603" si="279">AG570/(AD570-AF570)</f>
        <v>0.28857142857142859</v>
      </c>
      <c r="AU570" s="16" t="e">
        <f t="shared" si="277"/>
        <v>#DIV/0!</v>
      </c>
      <c r="AV570" s="57" t="str">
        <f t="shared" si="278"/>
        <v/>
      </c>
      <c r="AW570" s="57" t="str">
        <f t="shared" si="262"/>
        <v/>
      </c>
      <c r="AX570" s="57" t="str">
        <f t="shared" si="274"/>
        <v/>
      </c>
      <c r="AY570" s="57" t="str">
        <f t="shared" si="259"/>
        <v/>
      </c>
      <c r="AZ570" s="57" t="str">
        <f t="shared" si="272"/>
        <v/>
      </c>
      <c r="BF570" s="6" t="e">
        <f t="shared" si="275"/>
        <v>#DIV/0!</v>
      </c>
    </row>
    <row r="571" spans="1:58" ht="15.75">
      <c r="B571" s="11">
        <v>45831</v>
      </c>
      <c r="C571" s="1">
        <v>327</v>
      </c>
      <c r="D571" s="3">
        <v>566</v>
      </c>
      <c r="E571" s="205" t="str">
        <f t="shared" si="260"/>
        <v/>
      </c>
      <c r="I571" s="15">
        <f t="shared" si="266"/>
        <v>28.2</v>
      </c>
      <c r="K571" s="10" t="str">
        <f t="shared" si="269"/>
        <v/>
      </c>
      <c r="L571" s="9" t="str">
        <f t="shared" si="270"/>
        <v/>
      </c>
      <c r="M571" s="8" t="str">
        <f t="shared" si="271"/>
        <v/>
      </c>
      <c r="AB571" s="5">
        <v>80</v>
      </c>
      <c r="AD571" s="65">
        <v>28.2</v>
      </c>
      <c r="AG571" s="1">
        <v>0.35</v>
      </c>
      <c r="AK571" s="3">
        <f t="shared" si="265"/>
        <v>240</v>
      </c>
      <c r="AN571" s="3">
        <v>40</v>
      </c>
      <c r="AP571" s="13" t="e">
        <f t="shared" si="263"/>
        <v>#DIV/0!</v>
      </c>
      <c r="AR571" s="17" t="e">
        <f t="shared" si="276"/>
        <v>#VALUE!</v>
      </c>
      <c r="AS571" s="16">
        <f t="shared" si="273"/>
        <v>1</v>
      </c>
      <c r="AT571" s="16">
        <f t="shared" si="279"/>
        <v>1.2411347517730495E-2</v>
      </c>
      <c r="AU571" s="16" t="e">
        <f t="shared" si="277"/>
        <v>#DIV/0!</v>
      </c>
      <c r="AV571" s="57" t="str">
        <f t="shared" si="278"/>
        <v/>
      </c>
      <c r="AW571" s="57" t="str">
        <f t="shared" si="262"/>
        <v/>
      </c>
      <c r="AX571" s="57" t="str">
        <f t="shared" si="274"/>
        <v/>
      </c>
      <c r="AY571" s="57" t="str">
        <f t="shared" si="259"/>
        <v/>
      </c>
      <c r="AZ571" s="57" t="str">
        <f t="shared" si="272"/>
        <v/>
      </c>
      <c r="BF571" s="6" t="e">
        <f t="shared" si="275"/>
        <v>#DIV/0!</v>
      </c>
    </row>
    <row r="572" spans="1:58" ht="15.75">
      <c r="B572" s="72">
        <v>45832</v>
      </c>
      <c r="C572" s="1">
        <v>328</v>
      </c>
      <c r="D572" s="3">
        <v>567</v>
      </c>
      <c r="E572" s="205" t="str">
        <f t="shared" si="260"/>
        <v/>
      </c>
      <c r="I572" s="15">
        <f t="shared" si="266"/>
        <v>28.4</v>
      </c>
      <c r="K572" s="10" t="str">
        <f t="shared" si="269"/>
        <v/>
      </c>
      <c r="L572" s="9" t="str">
        <f t="shared" si="270"/>
        <v/>
      </c>
      <c r="M572" s="8" t="str">
        <f t="shared" si="271"/>
        <v/>
      </c>
      <c r="AB572" s="5">
        <v>80</v>
      </c>
      <c r="AD572" s="65">
        <v>28.4</v>
      </c>
      <c r="AG572" s="1">
        <v>12.51</v>
      </c>
      <c r="AK572" s="3">
        <f t="shared" si="265"/>
        <v>240</v>
      </c>
      <c r="AN572" s="3">
        <v>40</v>
      </c>
      <c r="AP572" s="13" t="e">
        <f t="shared" si="263"/>
        <v>#DIV/0!</v>
      </c>
      <c r="AR572" s="17" t="e">
        <f t="shared" si="276"/>
        <v>#VALUE!</v>
      </c>
      <c r="AS572" s="16">
        <f t="shared" si="273"/>
        <v>1</v>
      </c>
      <c r="AT572" s="16">
        <f t="shared" si="279"/>
        <v>0.4404929577464789</v>
      </c>
      <c r="AU572" s="16" t="e">
        <f t="shared" si="277"/>
        <v>#DIV/0!</v>
      </c>
      <c r="AV572" s="57" t="str">
        <f t="shared" si="278"/>
        <v/>
      </c>
      <c r="AW572" s="57" t="str">
        <f t="shared" si="262"/>
        <v/>
      </c>
      <c r="AX572" s="57" t="str">
        <f t="shared" si="274"/>
        <v/>
      </c>
      <c r="AY572" s="57" t="str">
        <f t="shared" si="259"/>
        <v/>
      </c>
      <c r="AZ572" s="57" t="str">
        <f t="shared" si="272"/>
        <v/>
      </c>
      <c r="BF572" s="6" t="e">
        <f t="shared" si="275"/>
        <v>#DIV/0!</v>
      </c>
    </row>
    <row r="573" spans="1:58" ht="15.75">
      <c r="B573" s="11">
        <v>45833</v>
      </c>
      <c r="C573" s="1">
        <v>329</v>
      </c>
      <c r="D573" s="3">
        <v>568</v>
      </c>
      <c r="E573" s="205" t="str">
        <f t="shared" si="260"/>
        <v/>
      </c>
      <c r="I573" s="15">
        <f t="shared" si="266"/>
        <v>28.6</v>
      </c>
      <c r="K573" s="10" t="str">
        <f t="shared" si="269"/>
        <v/>
      </c>
      <c r="L573" s="9" t="str">
        <f t="shared" si="270"/>
        <v/>
      </c>
      <c r="M573" s="8" t="str">
        <f t="shared" si="271"/>
        <v/>
      </c>
      <c r="AB573" s="5">
        <v>80</v>
      </c>
      <c r="AD573" s="65">
        <v>28.6</v>
      </c>
      <c r="AG573" s="1">
        <v>9.8699999999999992</v>
      </c>
      <c r="AK573" s="3">
        <f t="shared" si="265"/>
        <v>240</v>
      </c>
      <c r="AN573" s="3">
        <v>40</v>
      </c>
      <c r="AP573" s="13" t="e">
        <f t="shared" si="263"/>
        <v>#DIV/0!</v>
      </c>
      <c r="AR573" s="17" t="e">
        <f t="shared" si="276"/>
        <v>#VALUE!</v>
      </c>
      <c r="AS573" s="16">
        <f t="shared" si="273"/>
        <v>1</v>
      </c>
      <c r="AT573" s="16">
        <f t="shared" si="279"/>
        <v>0.34510489510489506</v>
      </c>
      <c r="AU573" s="16" t="e">
        <f t="shared" si="277"/>
        <v>#DIV/0!</v>
      </c>
      <c r="AV573" s="57" t="str">
        <f t="shared" si="278"/>
        <v/>
      </c>
      <c r="AW573" s="57" t="str">
        <f t="shared" si="262"/>
        <v/>
      </c>
      <c r="AX573" s="57" t="str">
        <f t="shared" si="274"/>
        <v/>
      </c>
      <c r="AY573" s="57" t="str">
        <f t="shared" si="259"/>
        <v/>
      </c>
      <c r="AZ573" s="57" t="str">
        <f t="shared" si="272"/>
        <v/>
      </c>
      <c r="BF573" s="6" t="e">
        <f t="shared" si="275"/>
        <v>#DIV/0!</v>
      </c>
    </row>
    <row r="574" spans="1:58" ht="15.75">
      <c r="B574" s="11">
        <v>45834</v>
      </c>
      <c r="C574" s="1">
        <v>330</v>
      </c>
      <c r="D574" s="3">
        <v>569</v>
      </c>
      <c r="E574" s="205" t="str">
        <f t="shared" si="260"/>
        <v/>
      </c>
      <c r="I574" s="15">
        <f t="shared" si="266"/>
        <v>28.8</v>
      </c>
      <c r="K574" s="10" t="str">
        <f t="shared" si="269"/>
        <v/>
      </c>
      <c r="L574" s="9" t="str">
        <f t="shared" si="270"/>
        <v/>
      </c>
      <c r="M574" s="8" t="str">
        <f t="shared" si="271"/>
        <v/>
      </c>
      <c r="AB574" s="5">
        <v>80</v>
      </c>
      <c r="AD574" s="65">
        <v>28.8</v>
      </c>
      <c r="AG574" s="1">
        <v>7.41</v>
      </c>
      <c r="AK574" s="3">
        <f t="shared" si="265"/>
        <v>240</v>
      </c>
      <c r="AN574" s="3">
        <v>40</v>
      </c>
      <c r="AP574" s="13" t="e">
        <f t="shared" si="263"/>
        <v>#DIV/0!</v>
      </c>
      <c r="AR574" s="17" t="e">
        <f t="shared" si="276"/>
        <v>#VALUE!</v>
      </c>
      <c r="AS574" s="16">
        <f t="shared" si="273"/>
        <v>1</v>
      </c>
      <c r="AT574" s="16">
        <f t="shared" si="279"/>
        <v>0.25729166666666664</v>
      </c>
      <c r="AU574" s="16" t="e">
        <f t="shared" si="277"/>
        <v>#DIV/0!</v>
      </c>
      <c r="AV574" s="57" t="str">
        <f t="shared" si="278"/>
        <v/>
      </c>
      <c r="AW574" s="57" t="str">
        <f t="shared" si="262"/>
        <v/>
      </c>
      <c r="AX574" s="57" t="str">
        <f t="shared" si="274"/>
        <v/>
      </c>
      <c r="AY574" s="57" t="str">
        <f t="shared" si="259"/>
        <v/>
      </c>
      <c r="AZ574" s="57" t="str">
        <f t="shared" si="272"/>
        <v/>
      </c>
      <c r="BF574" s="6" t="e">
        <f t="shared" si="275"/>
        <v>#DIV/0!</v>
      </c>
    </row>
    <row r="575" spans="1:58" ht="15.75">
      <c r="B575" s="11">
        <v>45835</v>
      </c>
      <c r="C575" s="1">
        <v>331</v>
      </c>
      <c r="D575" s="3">
        <v>570</v>
      </c>
      <c r="E575" s="205" t="str">
        <f t="shared" si="260"/>
        <v/>
      </c>
      <c r="I575" s="15">
        <f t="shared" si="266"/>
        <v>29</v>
      </c>
      <c r="K575" s="10" t="str">
        <f t="shared" si="269"/>
        <v/>
      </c>
      <c r="L575" s="9" t="str">
        <f t="shared" si="270"/>
        <v/>
      </c>
      <c r="M575" s="8" t="str">
        <f t="shared" si="271"/>
        <v/>
      </c>
      <c r="AB575" s="5">
        <v>80</v>
      </c>
      <c r="AD575" s="65">
        <v>29</v>
      </c>
      <c r="AG575" s="1">
        <v>5.66</v>
      </c>
      <c r="AK575" s="3">
        <f t="shared" si="265"/>
        <v>240</v>
      </c>
      <c r="AN575" s="3">
        <v>40</v>
      </c>
      <c r="AP575" s="13" t="e">
        <f t="shared" si="263"/>
        <v>#DIV/0!</v>
      </c>
      <c r="AR575" s="17" t="e">
        <f t="shared" si="276"/>
        <v>#VALUE!</v>
      </c>
      <c r="AS575" s="16">
        <f t="shared" si="273"/>
        <v>1</v>
      </c>
      <c r="AT575" s="16">
        <f t="shared" si="279"/>
        <v>0.19517241379310346</v>
      </c>
      <c r="AU575" s="16" t="e">
        <f t="shared" si="277"/>
        <v>#DIV/0!</v>
      </c>
      <c r="AV575" s="57" t="str">
        <f t="shared" si="278"/>
        <v/>
      </c>
      <c r="AW575" s="57" t="str">
        <f t="shared" si="262"/>
        <v/>
      </c>
      <c r="AX575" s="57" t="str">
        <f t="shared" si="274"/>
        <v/>
      </c>
      <c r="AY575" s="57" t="str">
        <f t="shared" si="259"/>
        <v/>
      </c>
      <c r="AZ575" s="57" t="str">
        <f t="shared" si="272"/>
        <v/>
      </c>
      <c r="BF575" s="6" t="e">
        <f t="shared" si="275"/>
        <v>#DIV/0!</v>
      </c>
    </row>
    <row r="576" spans="1:58" ht="15.75">
      <c r="B576" s="11">
        <v>45836</v>
      </c>
      <c r="C576" s="1">
        <v>332</v>
      </c>
      <c r="D576" s="3">
        <v>571</v>
      </c>
      <c r="E576" s="205" t="str">
        <f t="shared" si="260"/>
        <v/>
      </c>
      <c r="I576" s="15">
        <f t="shared" si="266"/>
        <v>30</v>
      </c>
      <c r="K576" s="10" t="str">
        <f t="shared" si="269"/>
        <v/>
      </c>
      <c r="L576" s="9" t="str">
        <f t="shared" si="270"/>
        <v/>
      </c>
      <c r="M576" s="8" t="str">
        <f t="shared" si="271"/>
        <v/>
      </c>
      <c r="AB576" s="5">
        <v>80</v>
      </c>
      <c r="AD576" s="65">
        <v>30</v>
      </c>
      <c r="AG576" s="1">
        <v>7.4</v>
      </c>
      <c r="AK576" s="3">
        <f t="shared" si="265"/>
        <v>240</v>
      </c>
      <c r="AN576" s="3">
        <v>40</v>
      </c>
      <c r="AP576" s="13">
        <f t="shared" si="263"/>
        <v>2129.9999999999727</v>
      </c>
      <c r="AR576" s="17" t="e">
        <f t="shared" si="276"/>
        <v>#VALUE!</v>
      </c>
      <c r="AS576" s="16">
        <f t="shared" si="273"/>
        <v>1</v>
      </c>
      <c r="AT576" s="16">
        <f t="shared" si="279"/>
        <v>0.24666666666666667</v>
      </c>
      <c r="AU576" s="16" t="e">
        <f t="shared" si="277"/>
        <v>#DIV/0!</v>
      </c>
      <c r="AV576" s="57" t="str">
        <f t="shared" si="278"/>
        <v/>
      </c>
      <c r="AW576" s="57" t="str">
        <f t="shared" si="262"/>
        <v/>
      </c>
      <c r="AX576" s="57" t="str">
        <f t="shared" si="274"/>
        <v/>
      </c>
      <c r="AY576" s="57" t="str">
        <f t="shared" si="259"/>
        <v/>
      </c>
      <c r="AZ576" s="57" t="str">
        <f t="shared" si="272"/>
        <v/>
      </c>
      <c r="BF576" s="6" t="str">
        <f t="shared" si="275"/>
        <v/>
      </c>
    </row>
    <row r="577" spans="1:58" ht="15.75">
      <c r="B577" s="11">
        <v>45837</v>
      </c>
      <c r="C577" s="1">
        <v>333</v>
      </c>
      <c r="D577" s="3">
        <v>572</v>
      </c>
      <c r="E577" s="205" t="str">
        <f t="shared" si="260"/>
        <v/>
      </c>
      <c r="I577" s="15">
        <f t="shared" si="266"/>
        <v>30.2</v>
      </c>
      <c r="K577" s="10" t="str">
        <f t="shared" si="269"/>
        <v/>
      </c>
      <c r="L577" s="9" t="str">
        <f t="shared" si="270"/>
        <v/>
      </c>
      <c r="M577" s="8" t="str">
        <f t="shared" si="271"/>
        <v/>
      </c>
      <c r="AB577" s="5">
        <v>80</v>
      </c>
      <c r="AD577" s="65">
        <v>30.2</v>
      </c>
      <c r="AG577" s="1">
        <v>6.02</v>
      </c>
      <c r="AK577" s="3">
        <f t="shared" si="265"/>
        <v>240</v>
      </c>
      <c r="AN577" s="3">
        <v>40</v>
      </c>
      <c r="AP577" s="13">
        <f t="shared" si="263"/>
        <v>2129.9999999999727</v>
      </c>
      <c r="AR577" s="17" t="e">
        <f t="shared" si="276"/>
        <v>#VALUE!</v>
      </c>
      <c r="AS577" s="16">
        <f t="shared" si="273"/>
        <v>1</v>
      </c>
      <c r="AT577" s="16">
        <f t="shared" si="279"/>
        <v>0.19933774834437085</v>
      </c>
      <c r="AU577" s="16" t="e">
        <f t="shared" si="277"/>
        <v>#DIV/0!</v>
      </c>
      <c r="AV577" s="57" t="str">
        <f t="shared" si="278"/>
        <v/>
      </c>
      <c r="AW577" s="57" t="str">
        <f t="shared" si="262"/>
        <v/>
      </c>
      <c r="AX577" s="57" t="str">
        <f t="shared" si="274"/>
        <v/>
      </c>
      <c r="AY577" s="57" t="str">
        <f t="shared" si="259"/>
        <v/>
      </c>
      <c r="AZ577" s="57" t="str">
        <f t="shared" si="272"/>
        <v/>
      </c>
      <c r="BF577" s="6" t="str">
        <f t="shared" si="275"/>
        <v/>
      </c>
    </row>
    <row r="578" spans="1:58" ht="15.75">
      <c r="B578" s="11">
        <v>45838</v>
      </c>
      <c r="C578" s="1">
        <v>334</v>
      </c>
      <c r="D578" s="3">
        <v>573</v>
      </c>
      <c r="E578" s="205" t="str">
        <f t="shared" si="260"/>
        <v/>
      </c>
      <c r="I578" s="15">
        <f t="shared" si="266"/>
        <v>30.4</v>
      </c>
      <c r="K578" s="10" t="str">
        <f t="shared" si="269"/>
        <v/>
      </c>
      <c r="L578" s="9" t="str">
        <f t="shared" si="270"/>
        <v/>
      </c>
      <c r="M578" s="8" t="str">
        <f t="shared" si="271"/>
        <v/>
      </c>
      <c r="AB578" s="5">
        <v>80</v>
      </c>
      <c r="AD578" s="65">
        <v>30.4</v>
      </c>
      <c r="AG578" s="1">
        <v>4.97</v>
      </c>
      <c r="AK578" s="3">
        <f t="shared" si="265"/>
        <v>240</v>
      </c>
      <c r="AN578" s="3">
        <v>40</v>
      </c>
      <c r="AP578" s="13">
        <f t="shared" si="263"/>
        <v>2129.9999999999727</v>
      </c>
      <c r="AR578" s="17" t="e">
        <f t="shared" si="276"/>
        <v>#VALUE!</v>
      </c>
      <c r="AS578" s="16">
        <f t="shared" si="273"/>
        <v>1</v>
      </c>
      <c r="AT578" s="16">
        <f t="shared" si="279"/>
        <v>0.16348684210526315</v>
      </c>
      <c r="AU578" s="16" t="e">
        <f t="shared" si="277"/>
        <v>#DIV/0!</v>
      </c>
      <c r="AV578" s="57" t="str">
        <f t="shared" si="278"/>
        <v/>
      </c>
      <c r="AW578" s="57" t="str">
        <f t="shared" si="262"/>
        <v/>
      </c>
      <c r="AX578" s="57" t="str">
        <f t="shared" si="274"/>
        <v/>
      </c>
      <c r="AY578" s="57" t="str">
        <f t="shared" si="259"/>
        <v/>
      </c>
      <c r="AZ578" s="57" t="str">
        <f t="shared" si="272"/>
        <v/>
      </c>
      <c r="BF578" s="6" t="str">
        <f t="shared" si="275"/>
        <v/>
      </c>
    </row>
    <row r="579" spans="1:58" ht="15.75">
      <c r="B579" s="11">
        <v>45839</v>
      </c>
      <c r="C579" s="1">
        <v>335</v>
      </c>
      <c r="D579" s="3">
        <v>574</v>
      </c>
      <c r="E579" s="205" t="str">
        <f t="shared" si="260"/>
        <v/>
      </c>
      <c r="I579" s="15">
        <f t="shared" si="266"/>
        <v>30.8</v>
      </c>
      <c r="K579" s="10" t="str">
        <f t="shared" si="269"/>
        <v/>
      </c>
      <c r="L579" s="9" t="str">
        <f t="shared" si="270"/>
        <v/>
      </c>
      <c r="M579" s="8" t="str">
        <f t="shared" si="271"/>
        <v/>
      </c>
      <c r="AB579" s="5">
        <v>80</v>
      </c>
      <c r="AD579" s="65">
        <v>30.8</v>
      </c>
      <c r="AG579" s="1">
        <v>5.83</v>
      </c>
      <c r="AJ579" s="1">
        <v>171</v>
      </c>
      <c r="AK579" s="3">
        <f t="shared" si="265"/>
        <v>240</v>
      </c>
      <c r="AN579" s="3">
        <v>40</v>
      </c>
      <c r="AP579" s="13">
        <f t="shared" si="263"/>
        <v>2129.9999999999727</v>
      </c>
      <c r="AR579" s="17" t="e">
        <f t="shared" si="276"/>
        <v>#VALUE!</v>
      </c>
      <c r="AS579" s="16">
        <f t="shared" si="273"/>
        <v>1</v>
      </c>
      <c r="AT579" s="16">
        <f t="shared" si="279"/>
        <v>0.18928571428571428</v>
      </c>
      <c r="AU579" s="16" t="e">
        <f t="shared" si="277"/>
        <v>#DIV/0!</v>
      </c>
      <c r="AV579" s="57" t="str">
        <f t="shared" si="278"/>
        <v/>
      </c>
      <c r="AW579" s="57" t="str">
        <f t="shared" si="262"/>
        <v/>
      </c>
      <c r="AX579" s="57" t="str">
        <f t="shared" si="274"/>
        <v/>
      </c>
      <c r="AY579" s="57" t="str">
        <f t="shared" si="259"/>
        <v/>
      </c>
      <c r="AZ579" s="57" t="str">
        <f t="shared" si="272"/>
        <v/>
      </c>
      <c r="BF579" s="6" t="str">
        <f t="shared" si="275"/>
        <v/>
      </c>
    </row>
    <row r="580" spans="1:58" ht="15.75">
      <c r="B580" s="72">
        <v>45840</v>
      </c>
      <c r="C580" s="1">
        <v>336</v>
      </c>
      <c r="D580" s="3">
        <v>575</v>
      </c>
      <c r="E580" s="205">
        <f t="shared" si="260"/>
        <v>255.54503</v>
      </c>
      <c r="G580" s="15">
        <f>(N580*18-H580*18)/9</f>
        <v>14.600000000000003</v>
      </c>
      <c r="H580" s="71">
        <f>5*2.25</f>
        <v>11.25</v>
      </c>
      <c r="I580" s="15">
        <f t="shared" si="266"/>
        <v>31.549999999999997</v>
      </c>
      <c r="K580" s="10">
        <f t="shared" si="269"/>
        <v>17.503084246575337</v>
      </c>
      <c r="L580" s="9">
        <f t="shared" si="270"/>
        <v>4.0498419968304278</v>
      </c>
      <c r="M580" s="8">
        <f t="shared" si="271"/>
        <v>4.3219178082191769</v>
      </c>
      <c r="N580" s="7">
        <f>5*3.71</f>
        <v>18.55</v>
      </c>
      <c r="O580" s="6">
        <v>83.375</v>
      </c>
      <c r="P580" s="6">
        <v>25.635000000000002</v>
      </c>
      <c r="Q580" s="6">
        <f>O580*1.067</f>
        <v>88.961124999999996</v>
      </c>
      <c r="R580" s="6">
        <f>P580*1.514</f>
        <v>38.811390000000003</v>
      </c>
      <c r="S580" s="23">
        <f>P580*1.514+O580*1.067</f>
        <v>127.772515</v>
      </c>
      <c r="T580" s="6">
        <f>32.2</f>
        <v>32.200000000000003</v>
      </c>
      <c r="U580" s="59">
        <f>0.2*1.067</f>
        <v>0.21340000000000001</v>
      </c>
      <c r="V580" s="59">
        <f>0*1.514</f>
        <v>0</v>
      </c>
      <c r="W580" s="23">
        <f>U580*1.067+V580*1.514</f>
        <v>0.22769780000000001</v>
      </c>
      <c r="X580" s="6">
        <v>4.82</v>
      </c>
      <c r="Y580" s="6">
        <v>0.15</v>
      </c>
      <c r="Z580" s="6">
        <v>28</v>
      </c>
      <c r="AA580" s="6">
        <v>-206</v>
      </c>
      <c r="AB580" s="5">
        <v>80</v>
      </c>
      <c r="AC580" s="7">
        <f>T580</f>
        <v>32.200000000000003</v>
      </c>
      <c r="AD580" s="1">
        <f>5*6.31</f>
        <v>31.549999999999997</v>
      </c>
      <c r="AE580" s="1">
        <f>5*3.19</f>
        <v>15.95</v>
      </c>
      <c r="AF580" s="1">
        <v>0</v>
      </c>
      <c r="AG580" s="1">
        <v>6.09</v>
      </c>
      <c r="AJ580" s="1">
        <v>179</v>
      </c>
      <c r="AK580" s="3">
        <f t="shared" si="265"/>
        <v>240</v>
      </c>
      <c r="AL580" s="4">
        <f>AE580</f>
        <v>15.95</v>
      </c>
      <c r="AM580" s="1">
        <f>5*2.64</f>
        <v>13.200000000000001</v>
      </c>
      <c r="AN580" s="3">
        <v>40</v>
      </c>
      <c r="AO580" s="2">
        <v>2129.9999999999727</v>
      </c>
      <c r="AP580" s="13">
        <f t="shared" si="263"/>
        <v>2129.9999999999727</v>
      </c>
      <c r="AR580" s="17">
        <f t="shared" si="276"/>
        <v>0.99910897190996051</v>
      </c>
      <c r="AS580" s="16">
        <f t="shared" si="273"/>
        <v>1</v>
      </c>
      <c r="AT580" s="16">
        <f t="shared" si="279"/>
        <v>0.19302694136291601</v>
      </c>
      <c r="AU580" s="16">
        <f t="shared" si="277"/>
        <v>9.5890410958904229E-2</v>
      </c>
      <c r="AV580" s="57">
        <f t="shared" si="278"/>
        <v>255.31733220000001</v>
      </c>
      <c r="AW580" s="57">
        <f t="shared" si="262"/>
        <v>31.549999999999997</v>
      </c>
      <c r="AX580" s="57">
        <f t="shared" si="274"/>
        <v>1.4000000000000021</v>
      </c>
      <c r="AY580" s="57">
        <f t="shared" si="259"/>
        <v>16.250000000000004</v>
      </c>
      <c r="AZ580" s="57">
        <f t="shared" si="272"/>
        <v>2.7499999999999982</v>
      </c>
      <c r="BE580" s="6">
        <f t="shared" ref="BE580:BE611" si="280">IF((AD580-AF580)/(AJ580/60)&lt;=0,"",(AD580-AF580)/(AJ580/60))</f>
        <v>10.575418994413406</v>
      </c>
      <c r="BF580" s="6">
        <f t="shared" si="275"/>
        <v>4.9649854433866389</v>
      </c>
    </row>
    <row r="581" spans="1:58" ht="15.75">
      <c r="A581" s="12" t="s">
        <v>42</v>
      </c>
      <c r="B581" s="11">
        <v>45841</v>
      </c>
      <c r="C581" s="1">
        <v>337</v>
      </c>
      <c r="D581" s="3">
        <v>576</v>
      </c>
      <c r="E581" s="205">
        <f t="shared" si="260"/>
        <v>249.97146600000002</v>
      </c>
      <c r="G581" s="15">
        <f>(N581*18-H581*18)/9</f>
        <v>13.600000000000001</v>
      </c>
      <c r="H581" s="15">
        <f>5*2.29</f>
        <v>11.45</v>
      </c>
      <c r="I581" s="15">
        <f t="shared" si="266"/>
        <v>30.6</v>
      </c>
      <c r="K581" s="10">
        <f t="shared" si="269"/>
        <v>18.380254852941174</v>
      </c>
      <c r="L581" s="9">
        <f t="shared" si="270"/>
        <v>4.0845010784313729</v>
      </c>
      <c r="M581" s="8">
        <f t="shared" si="271"/>
        <v>4.5</v>
      </c>
      <c r="N581" s="7">
        <f>5*3.65</f>
        <v>18.25</v>
      </c>
      <c r="O581" s="6">
        <v>81.677000000000007</v>
      </c>
      <c r="P581" s="6">
        <v>24.991</v>
      </c>
      <c r="Q581" s="6">
        <f>O581*1.067</f>
        <v>87.149359000000004</v>
      </c>
      <c r="R581" s="6">
        <f>P581*1.514</f>
        <v>37.836373999999999</v>
      </c>
      <c r="S581" s="23">
        <f>P581*1.514+O581*1.067</f>
        <v>124.98573300000001</v>
      </c>
      <c r="T581" s="6">
        <f>32.2</f>
        <v>32.200000000000003</v>
      </c>
      <c r="U581" s="59">
        <f>8.225*1.067</f>
        <v>8.7760749999999987</v>
      </c>
      <c r="V581" s="59">
        <f>2.124*1.514</f>
        <v>3.2157360000000001</v>
      </c>
      <c r="W581" s="23">
        <f>U581*1.067+V581*1.514</f>
        <v>14.232696328999999</v>
      </c>
      <c r="X581" s="6">
        <v>3.38</v>
      </c>
      <c r="Y581" s="6">
        <v>0.15</v>
      </c>
      <c r="Z581" s="6">
        <v>21</v>
      </c>
      <c r="AA581" s="6">
        <v>-229</v>
      </c>
      <c r="AB581" s="5">
        <v>80</v>
      </c>
      <c r="AC581" s="7">
        <f>T581</f>
        <v>32.200000000000003</v>
      </c>
      <c r="AD581" s="1">
        <f>30.6</f>
        <v>30.6</v>
      </c>
      <c r="AE581" s="1">
        <f>5*3</f>
        <v>15</v>
      </c>
      <c r="AF581" s="1">
        <v>0</v>
      </c>
      <c r="AG581" s="1">
        <v>6.22</v>
      </c>
      <c r="AJ581" s="1">
        <v>227</v>
      </c>
      <c r="AK581" s="3">
        <f t="shared" si="265"/>
        <v>240</v>
      </c>
      <c r="AL581" s="4">
        <f>AE581</f>
        <v>15</v>
      </c>
      <c r="AM581" s="1">
        <f>5*2.69</f>
        <v>13.45</v>
      </c>
      <c r="AN581" s="3">
        <v>40</v>
      </c>
      <c r="AP581" s="13">
        <f t="shared" si="263"/>
        <v>2129.9999999999727</v>
      </c>
      <c r="AR581" s="17">
        <f t="shared" si="276"/>
        <v>0.94306271609016368</v>
      </c>
      <c r="AS581" s="16">
        <f t="shared" si="273"/>
        <v>1</v>
      </c>
      <c r="AT581" s="16">
        <f t="shared" si="279"/>
        <v>0.20326797385620912</v>
      </c>
      <c r="AU581" s="16">
        <f t="shared" si="277"/>
        <v>1.1029411764706037E-2</v>
      </c>
      <c r="AV581" s="57">
        <f t="shared" si="278"/>
        <v>235.73876967100003</v>
      </c>
      <c r="AW581" s="57">
        <f t="shared" si="262"/>
        <v>30.6</v>
      </c>
      <c r="AX581" s="57">
        <f t="shared" si="274"/>
        <v>0.15000000000000213</v>
      </c>
      <c r="AY581" s="57">
        <f t="shared" si="259"/>
        <v>17.200000000000003</v>
      </c>
      <c r="AZ581" s="57">
        <f t="shared" si="272"/>
        <v>1.5500000000000007</v>
      </c>
      <c r="BA581" s="56">
        <f t="shared" ref="BA581:BA594" si="281">IF(AND($E581&gt;0,$W581&gt;0),IF(($E581-$W581)/$E581&gt;0,($E581-$W581)/$E581,0),"")</f>
        <v>0.94306271609016368</v>
      </c>
      <c r="BB581" s="56">
        <f t="shared" ref="BB581:BB612" si="282">IF(AND($I581&gt;0,$AF581&gt;=0),IF(($I581-$AF581)/$I581&gt;0,($I581-$AF581)/$I581,0),"")</f>
        <v>1</v>
      </c>
      <c r="BC581" s="56"/>
      <c r="BD581" s="56">
        <f t="shared" ref="BD581:BD591" si="283">IF(AND($G581&gt;0,$AM581&gt;0),IF(($G581-$AM581)/$G581&gt;0,($G581-$AM581)/$G581,0),"")</f>
        <v>1.1029411764706037E-2</v>
      </c>
      <c r="BE581" s="6">
        <f t="shared" si="280"/>
        <v>8.0881057268722465</v>
      </c>
      <c r="BF581" s="6">
        <f t="shared" si="275"/>
        <v>3.7972327356208213</v>
      </c>
    </row>
    <row r="582" spans="1:58" ht="15.75">
      <c r="A582" s="25" t="s">
        <v>41</v>
      </c>
      <c r="B582" s="11">
        <v>45842</v>
      </c>
      <c r="C582" s="1">
        <v>338</v>
      </c>
      <c r="D582" s="3">
        <v>577</v>
      </c>
      <c r="E582" s="205" t="str">
        <f t="shared" si="260"/>
        <v/>
      </c>
      <c r="I582" s="15">
        <f t="shared" si="266"/>
        <v>30.6</v>
      </c>
      <c r="K582" s="10" t="str">
        <f t="shared" si="269"/>
        <v/>
      </c>
      <c r="L582" s="9" t="str">
        <f t="shared" si="270"/>
        <v/>
      </c>
      <c r="M582" s="8" t="str">
        <f t="shared" si="271"/>
        <v/>
      </c>
      <c r="AB582" s="5">
        <v>80</v>
      </c>
      <c r="AD582" s="65">
        <f>30.6</f>
        <v>30.6</v>
      </c>
      <c r="AG582" s="1">
        <v>7.0000000000000007E-2</v>
      </c>
      <c r="AJ582" s="1">
        <v>217</v>
      </c>
      <c r="AK582" s="3">
        <f t="shared" si="265"/>
        <v>240</v>
      </c>
      <c r="AN582" s="3">
        <v>40</v>
      </c>
      <c r="AP582" s="13">
        <f t="shared" si="263"/>
        <v>2129.9999999999727</v>
      </c>
      <c r="AR582" s="17" t="e">
        <f t="shared" si="276"/>
        <v>#VALUE!</v>
      </c>
      <c r="AS582" s="16">
        <f t="shared" si="273"/>
        <v>1</v>
      </c>
      <c r="AT582" s="16">
        <f t="shared" si="279"/>
        <v>2.2875816993464053E-3</v>
      </c>
      <c r="AU582" s="16" t="e">
        <f t="shared" si="277"/>
        <v>#DIV/0!</v>
      </c>
      <c r="AV582" s="57" t="str">
        <f t="shared" si="278"/>
        <v/>
      </c>
      <c r="AW582" s="57" t="str">
        <f t="shared" si="262"/>
        <v/>
      </c>
      <c r="AX582" s="57" t="str">
        <f t="shared" si="274"/>
        <v/>
      </c>
      <c r="AY582" s="57" t="str">
        <f t="shared" ref="AY582:AY645" si="284">IF(AND(ISNUMBER(AC582),ISNUMBER(AE582)),AC582-AE582,"")</f>
        <v/>
      </c>
      <c r="AZ582" s="57" t="str">
        <f t="shared" si="272"/>
        <v/>
      </c>
      <c r="BA582" s="56" t="str">
        <f t="shared" si="281"/>
        <v/>
      </c>
      <c r="BB582" s="56">
        <f t="shared" si="282"/>
        <v>1</v>
      </c>
      <c r="BC582" s="56"/>
      <c r="BD582" s="56" t="str">
        <f t="shared" si="283"/>
        <v/>
      </c>
      <c r="BE582" s="6">
        <f t="shared" si="280"/>
        <v>8.4608294930875587</v>
      </c>
      <c r="BF582" s="6" t="str">
        <f t="shared" si="275"/>
        <v/>
      </c>
    </row>
    <row r="583" spans="1:58" ht="15.75">
      <c r="A583" s="25" t="s">
        <v>41</v>
      </c>
      <c r="B583" s="11">
        <v>45843</v>
      </c>
      <c r="C583" s="1">
        <v>339</v>
      </c>
      <c r="D583" s="3">
        <v>578</v>
      </c>
      <c r="E583" s="205" t="str">
        <f t="shared" ref="E583:E646" si="285">IF(OR(S583="",S583=0),"",S583*2)</f>
        <v/>
      </c>
      <c r="I583" s="15">
        <f t="shared" si="266"/>
        <v>30.6</v>
      </c>
      <c r="K583" s="10" t="str">
        <f t="shared" si="269"/>
        <v/>
      </c>
      <c r="L583" s="9" t="str">
        <f t="shared" si="270"/>
        <v/>
      </c>
      <c r="M583" s="8" t="str">
        <f t="shared" si="271"/>
        <v/>
      </c>
      <c r="AB583" s="5">
        <v>80</v>
      </c>
      <c r="AD583" s="65">
        <f>30.6</f>
        <v>30.6</v>
      </c>
      <c r="AG583" s="1">
        <v>0.04</v>
      </c>
      <c r="AJ583" s="1">
        <v>1</v>
      </c>
      <c r="AK583" s="3">
        <f t="shared" si="265"/>
        <v>240</v>
      </c>
      <c r="AN583" s="3">
        <v>40</v>
      </c>
      <c r="AP583" s="13" t="e">
        <f t="shared" si="263"/>
        <v>#DIV/0!</v>
      </c>
      <c r="AR583" s="17" t="e">
        <f t="shared" si="276"/>
        <v>#VALUE!</v>
      </c>
      <c r="AS583" s="16">
        <f t="shared" si="273"/>
        <v>1</v>
      </c>
      <c r="AT583" s="16">
        <f t="shared" si="279"/>
        <v>1.30718954248366E-3</v>
      </c>
      <c r="AU583" s="16" t="e">
        <f t="shared" si="277"/>
        <v>#DIV/0!</v>
      </c>
      <c r="AV583" s="57" t="str">
        <f t="shared" si="278"/>
        <v/>
      </c>
      <c r="AW583" s="57" t="str">
        <f t="shared" si="262"/>
        <v/>
      </c>
      <c r="AX583" s="57" t="str">
        <f t="shared" si="274"/>
        <v/>
      </c>
      <c r="AY583" s="57" t="str">
        <f t="shared" si="284"/>
        <v/>
      </c>
      <c r="AZ583" s="57" t="str">
        <f t="shared" si="272"/>
        <v/>
      </c>
      <c r="BA583" s="56" t="str">
        <f t="shared" si="281"/>
        <v/>
      </c>
      <c r="BB583" s="56">
        <f t="shared" si="282"/>
        <v>1</v>
      </c>
      <c r="BC583" s="56"/>
      <c r="BD583" s="56" t="str">
        <f t="shared" si="283"/>
        <v/>
      </c>
      <c r="BE583" s="6">
        <f t="shared" si="280"/>
        <v>1836</v>
      </c>
      <c r="BF583" s="6" t="e">
        <f t="shared" si="275"/>
        <v>#DIV/0!</v>
      </c>
    </row>
    <row r="584" spans="1:58" ht="15.75">
      <c r="A584" s="12" t="s">
        <v>40</v>
      </c>
      <c r="B584" s="11">
        <v>45844</v>
      </c>
      <c r="C584" s="1">
        <v>340</v>
      </c>
      <c r="D584" s="3">
        <v>579</v>
      </c>
      <c r="E584" s="205" t="str">
        <f t="shared" si="285"/>
        <v/>
      </c>
      <c r="I584" s="15">
        <f t="shared" si="266"/>
        <v>30.6</v>
      </c>
      <c r="K584" s="10" t="str">
        <f t="shared" si="269"/>
        <v/>
      </c>
      <c r="L584" s="9" t="str">
        <f t="shared" si="270"/>
        <v/>
      </c>
      <c r="M584" s="8" t="str">
        <f t="shared" si="271"/>
        <v/>
      </c>
      <c r="AB584" s="5">
        <v>80</v>
      </c>
      <c r="AD584" s="65">
        <f>30.6</f>
        <v>30.6</v>
      </c>
      <c r="AG584" s="1">
        <v>0.01</v>
      </c>
      <c r="AJ584" s="1">
        <v>141</v>
      </c>
      <c r="AK584" s="3">
        <f t="shared" si="265"/>
        <v>240</v>
      </c>
      <c r="AN584" s="3">
        <v>40</v>
      </c>
      <c r="AP584" s="13" t="e">
        <f t="shared" si="263"/>
        <v>#DIV/0!</v>
      </c>
      <c r="AR584" s="17" t="e">
        <f t="shared" si="276"/>
        <v>#VALUE!</v>
      </c>
      <c r="AS584" s="16">
        <f t="shared" si="273"/>
        <v>1</v>
      </c>
      <c r="AT584" s="16">
        <f t="shared" si="279"/>
        <v>3.2679738562091501E-4</v>
      </c>
      <c r="AU584" s="16" t="e">
        <f t="shared" si="277"/>
        <v>#DIV/0!</v>
      </c>
      <c r="AV584" s="57" t="str">
        <f t="shared" si="278"/>
        <v/>
      </c>
      <c r="AW584" s="57" t="str">
        <f t="shared" si="262"/>
        <v/>
      </c>
      <c r="AX584" s="57" t="str">
        <f t="shared" si="274"/>
        <v/>
      </c>
      <c r="AY584" s="57" t="str">
        <f t="shared" si="284"/>
        <v/>
      </c>
      <c r="AZ584" s="57" t="str">
        <f t="shared" si="272"/>
        <v/>
      </c>
      <c r="BA584" s="56" t="str">
        <f t="shared" si="281"/>
        <v/>
      </c>
      <c r="BB584" s="56">
        <f t="shared" si="282"/>
        <v>1</v>
      </c>
      <c r="BC584" s="56"/>
      <c r="BD584" s="56" t="str">
        <f t="shared" si="283"/>
        <v/>
      </c>
      <c r="BE584" s="6">
        <f t="shared" si="280"/>
        <v>13.021276595744681</v>
      </c>
      <c r="BF584" s="6" t="e">
        <f t="shared" si="275"/>
        <v>#DIV/0!</v>
      </c>
    </row>
    <row r="585" spans="1:58" ht="15.75">
      <c r="B585" s="11">
        <v>45845</v>
      </c>
      <c r="C585" s="1">
        <v>341</v>
      </c>
      <c r="D585" s="3">
        <v>580</v>
      </c>
      <c r="E585" s="205" t="str">
        <f t="shared" si="285"/>
        <v/>
      </c>
      <c r="I585" s="15">
        <f t="shared" si="266"/>
        <v>30.6</v>
      </c>
      <c r="K585" s="10" t="str">
        <f t="shared" si="269"/>
        <v/>
      </c>
      <c r="L585" s="9" t="str">
        <f t="shared" si="270"/>
        <v/>
      </c>
      <c r="M585" s="8" t="str">
        <f t="shared" si="271"/>
        <v/>
      </c>
      <c r="AB585" s="5">
        <v>80</v>
      </c>
      <c r="AD585" s="65">
        <f>30.6</f>
        <v>30.6</v>
      </c>
      <c r="AG585" s="1">
        <v>1.04</v>
      </c>
      <c r="AJ585" s="1">
        <v>195</v>
      </c>
      <c r="AK585" s="3">
        <f t="shared" si="265"/>
        <v>240</v>
      </c>
      <c r="AN585" s="3">
        <v>40</v>
      </c>
      <c r="AP585" s="13">
        <f t="shared" si="263"/>
        <v>2280.0000000000182</v>
      </c>
      <c r="AR585" s="17" t="e">
        <f t="shared" si="276"/>
        <v>#VALUE!</v>
      </c>
      <c r="AS585" s="16">
        <f t="shared" si="273"/>
        <v>1</v>
      </c>
      <c r="AT585" s="16">
        <f t="shared" si="279"/>
        <v>3.3986928104575161E-2</v>
      </c>
      <c r="AU585" s="16" t="e">
        <f t="shared" si="277"/>
        <v>#DIV/0!</v>
      </c>
      <c r="AV585" s="57" t="str">
        <f t="shared" si="278"/>
        <v/>
      </c>
      <c r="AW585" s="57" t="str">
        <f t="shared" si="262"/>
        <v/>
      </c>
      <c r="AX585" s="57" t="str">
        <f t="shared" si="274"/>
        <v/>
      </c>
      <c r="AY585" s="57" t="str">
        <f t="shared" si="284"/>
        <v/>
      </c>
      <c r="AZ585" s="57" t="str">
        <f t="shared" si="272"/>
        <v/>
      </c>
      <c r="BA585" s="56" t="str">
        <f t="shared" si="281"/>
        <v/>
      </c>
      <c r="BB585" s="56">
        <f t="shared" si="282"/>
        <v>1</v>
      </c>
      <c r="BC585" s="56"/>
      <c r="BD585" s="56" t="str">
        <f t="shared" si="283"/>
        <v/>
      </c>
      <c r="BE585" s="6">
        <f t="shared" si="280"/>
        <v>9.4153846153846157</v>
      </c>
      <c r="BF585" s="6" t="str">
        <f t="shared" si="275"/>
        <v/>
      </c>
    </row>
    <row r="586" spans="1:58" ht="15.75">
      <c r="B586" s="63">
        <v>45846</v>
      </c>
      <c r="C586" s="1">
        <v>342</v>
      </c>
      <c r="D586" s="3">
        <v>581</v>
      </c>
      <c r="E586" s="205" t="str">
        <f t="shared" si="285"/>
        <v/>
      </c>
      <c r="G586" s="15">
        <f>(N586*18-H586*18)/9</f>
        <v>14.729999999999999</v>
      </c>
      <c r="H586" s="15">
        <f>5*0.127</f>
        <v>0.63500000000000001</v>
      </c>
      <c r="I586" s="15">
        <f t="shared" si="266"/>
        <v>30.4</v>
      </c>
      <c r="K586" s="10" t="str">
        <f t="shared" si="269"/>
        <v/>
      </c>
      <c r="L586" s="9" t="str">
        <f t="shared" si="270"/>
        <v/>
      </c>
      <c r="M586" s="8">
        <f t="shared" si="271"/>
        <v>4.1276306856754923</v>
      </c>
      <c r="N586" s="7">
        <f>5*1.6</f>
        <v>8</v>
      </c>
      <c r="T586" s="6">
        <f>30.4</f>
        <v>30.4</v>
      </c>
      <c r="U586" s="59">
        <f>1.112*1.067</f>
        <v>1.186504</v>
      </c>
      <c r="V586" s="59">
        <f>0.845*1.514</f>
        <v>1.2793300000000001</v>
      </c>
      <c r="W586" s="23">
        <f>U586*1.067+V586*1.514</f>
        <v>3.202905388</v>
      </c>
      <c r="X586" s="6">
        <v>3.5</v>
      </c>
      <c r="Y586" s="6">
        <v>0.2</v>
      </c>
      <c r="Z586" s="6">
        <v>3</v>
      </c>
      <c r="AA586" s="6">
        <v>-250</v>
      </c>
      <c r="AB586" s="5">
        <v>80</v>
      </c>
      <c r="AC586" s="7">
        <f>T586</f>
        <v>30.4</v>
      </c>
      <c r="AD586" s="1">
        <f>30.4</f>
        <v>30.4</v>
      </c>
      <c r="AE586" s="1">
        <f>5*0</f>
        <v>0</v>
      </c>
      <c r="AF586" s="1">
        <v>0</v>
      </c>
      <c r="AG586" s="62">
        <v>4.83</v>
      </c>
      <c r="AH586" s="2">
        <f>AVERAGE(AG586:AG646)</f>
        <v>7.9261111111111111</v>
      </c>
      <c r="AJ586" s="2">
        <f>("21:00"-"17:50")*1440</f>
        <v>189.99999999999997</v>
      </c>
      <c r="AK586" s="3">
        <f t="shared" si="265"/>
        <v>240</v>
      </c>
      <c r="AL586" s="4">
        <f>AE586</f>
        <v>0</v>
      </c>
      <c r="AM586" s="1">
        <v>0</v>
      </c>
      <c r="AN586" s="3">
        <v>40</v>
      </c>
      <c r="AP586" s="13">
        <f t="shared" si="263"/>
        <v>2280.0000000000182</v>
      </c>
      <c r="AR586" s="17"/>
      <c r="AS586" s="16">
        <f t="shared" ref="AS586:AS617" si="286">(I586-AF586)/I586</f>
        <v>1</v>
      </c>
      <c r="AT586" s="16">
        <f t="shared" si="279"/>
        <v>0.15888157894736843</v>
      </c>
      <c r="AU586" s="61">
        <f t="shared" si="277"/>
        <v>1</v>
      </c>
      <c r="AV586" s="57" t="str">
        <f t="shared" si="278"/>
        <v/>
      </c>
      <c r="AW586" s="57">
        <f t="shared" ref="AW586:AW649" si="287">IF(AND(ISNUMBER(I586),ISNUMBER(AF586)),I586-AF586,"")</f>
        <v>30.4</v>
      </c>
      <c r="AX586" s="57">
        <f t="shared" si="274"/>
        <v>14.729999999999999</v>
      </c>
      <c r="AY586" s="57">
        <f t="shared" si="284"/>
        <v>30.4</v>
      </c>
      <c r="AZ586" s="57">
        <f t="shared" si="272"/>
        <v>0</v>
      </c>
      <c r="BA586" s="60" t="e">
        <f t="shared" si="281"/>
        <v>#VALUE!</v>
      </c>
      <c r="BB586" s="60">
        <f t="shared" si="282"/>
        <v>1</v>
      </c>
      <c r="BC586" s="60">
        <f t="shared" ref="BC586:BC617" si="288">IF(AND($AG586&gt;=0,$AD586&gt;=0,$AF586&gt;=0),IF($AG586/($AD586-$AF586)&gt;0,$AG586/($AD586-$AF586),0),"")</f>
        <v>0.15888157894736843</v>
      </c>
      <c r="BD586" s="60" t="str">
        <f t="shared" si="283"/>
        <v/>
      </c>
      <c r="BE586" s="6">
        <f t="shared" si="280"/>
        <v>9.6000000000000014</v>
      </c>
      <c r="BF586" s="6">
        <f t="shared" si="275"/>
        <v>4.2105263157894415</v>
      </c>
    </row>
    <row r="587" spans="1:58" ht="15.75">
      <c r="B587" s="63">
        <v>45847</v>
      </c>
      <c r="C587" s="1">
        <v>343</v>
      </c>
      <c r="D587" s="3">
        <v>582</v>
      </c>
      <c r="E587" s="205" t="str">
        <f t="shared" si="285"/>
        <v/>
      </c>
      <c r="G587" s="70">
        <f>AVERAGE(G586,G589)</f>
        <v>15.215</v>
      </c>
      <c r="I587" s="15">
        <f t="shared" si="266"/>
        <v>30</v>
      </c>
      <c r="K587" s="10" t="str">
        <f t="shared" si="269"/>
        <v/>
      </c>
      <c r="L587" s="9" t="str">
        <f t="shared" si="270"/>
        <v/>
      </c>
      <c r="M587" s="8">
        <f t="shared" si="271"/>
        <v>3.9434768320736118</v>
      </c>
      <c r="AB587" s="5">
        <v>80</v>
      </c>
      <c r="AD587" s="65">
        <v>30</v>
      </c>
      <c r="AF587" s="1">
        <v>0</v>
      </c>
      <c r="AG587" s="62">
        <v>4.92</v>
      </c>
      <c r="AH587" s="2">
        <f>_xlfn.STDEV.P(AG586:AG646)</f>
        <v>3.5726659910983294</v>
      </c>
      <c r="AJ587" s="2">
        <f>("21:05"-"17:50")*1440</f>
        <v>194.99999999999994</v>
      </c>
      <c r="AK587" s="3">
        <f t="shared" si="265"/>
        <v>240</v>
      </c>
      <c r="AM587" s="68">
        <v>0.15</v>
      </c>
      <c r="AN587" s="3">
        <v>40</v>
      </c>
      <c r="AP587" s="13">
        <f t="shared" si="263"/>
        <v>2280.0000000000182</v>
      </c>
      <c r="AR587" s="17"/>
      <c r="AS587" s="16">
        <f t="shared" si="286"/>
        <v>1</v>
      </c>
      <c r="AT587" s="16">
        <f t="shared" si="279"/>
        <v>0.16400000000000001</v>
      </c>
      <c r="AU587" s="61">
        <f t="shared" si="277"/>
        <v>0.99014130791981592</v>
      </c>
      <c r="AV587" s="57" t="str">
        <f t="shared" si="278"/>
        <v/>
      </c>
      <c r="AW587" s="57">
        <f t="shared" si="287"/>
        <v>30</v>
      </c>
      <c r="AX587" s="57">
        <f t="shared" si="274"/>
        <v>15.065</v>
      </c>
      <c r="AY587" s="57" t="str">
        <f t="shared" si="284"/>
        <v/>
      </c>
      <c r="AZ587" s="57" t="str">
        <f t="shared" si="272"/>
        <v/>
      </c>
      <c r="BA587" s="60" t="str">
        <f t="shared" si="281"/>
        <v/>
      </c>
      <c r="BB587" s="60">
        <f t="shared" si="282"/>
        <v>1</v>
      </c>
      <c r="BC587" s="60">
        <f t="shared" si="288"/>
        <v>0.16400000000000001</v>
      </c>
      <c r="BD587" s="60">
        <f t="shared" si="283"/>
        <v>0.99014130791981592</v>
      </c>
      <c r="BE587" s="6">
        <f t="shared" si="280"/>
        <v>9.2307692307692335</v>
      </c>
      <c r="BF587" s="6">
        <f t="shared" si="275"/>
        <v>4.0485829959513859</v>
      </c>
    </row>
    <row r="588" spans="1:58" ht="15.75">
      <c r="B588" s="66">
        <v>45848</v>
      </c>
      <c r="C588" s="1">
        <v>344</v>
      </c>
      <c r="D588" s="3">
        <v>583</v>
      </c>
      <c r="E588" s="205" t="str">
        <f t="shared" si="285"/>
        <v/>
      </c>
      <c r="G588" s="70">
        <f>AVERAGE(G587,G590)</f>
        <v>15.215</v>
      </c>
      <c r="I588" s="15">
        <f t="shared" si="266"/>
        <v>29.5</v>
      </c>
      <c r="K588" s="10" t="str">
        <f t="shared" si="269"/>
        <v/>
      </c>
      <c r="L588" s="9" t="str">
        <f t="shared" si="270"/>
        <v/>
      </c>
      <c r="M588" s="8">
        <f t="shared" si="271"/>
        <v>3.877752218205718</v>
      </c>
      <c r="AB588" s="5">
        <v>80</v>
      </c>
      <c r="AD588" s="65">
        <v>29.5</v>
      </c>
      <c r="AF588" s="1">
        <v>0</v>
      </c>
      <c r="AG588" s="69">
        <v>5.79</v>
      </c>
      <c r="AJ588" s="2">
        <f>("21:00"-"17:50")*1440</f>
        <v>189.99999999999997</v>
      </c>
      <c r="AK588" s="3">
        <f t="shared" si="265"/>
        <v>240</v>
      </c>
      <c r="AM588" s="68">
        <v>0.15</v>
      </c>
      <c r="AN588" s="3">
        <v>40</v>
      </c>
      <c r="AP588" s="13">
        <f t="shared" ref="AP588:AP651" si="289">AVERAGE(AO586:AO592)</f>
        <v>2280.0000000000182</v>
      </c>
      <c r="AR588" s="17"/>
      <c r="AS588" s="16">
        <f t="shared" si="286"/>
        <v>1</v>
      </c>
      <c r="AT588" s="16">
        <f t="shared" si="279"/>
        <v>0.19627118644067798</v>
      </c>
      <c r="AU588" s="61">
        <f t="shared" si="277"/>
        <v>0.99014130791981592</v>
      </c>
      <c r="AV588" s="57" t="str">
        <f t="shared" si="278"/>
        <v/>
      </c>
      <c r="AW588" s="57">
        <f t="shared" si="287"/>
        <v>29.5</v>
      </c>
      <c r="AX588" s="57">
        <f t="shared" si="274"/>
        <v>15.065</v>
      </c>
      <c r="AY588" s="57" t="str">
        <f t="shared" si="284"/>
        <v/>
      </c>
      <c r="AZ588" s="57" t="str">
        <f t="shared" si="272"/>
        <v/>
      </c>
      <c r="BA588" s="60" t="str">
        <f t="shared" si="281"/>
        <v/>
      </c>
      <c r="BB588" s="60">
        <f t="shared" si="282"/>
        <v>1</v>
      </c>
      <c r="BC588" s="60">
        <f t="shared" si="288"/>
        <v>0.19627118644067798</v>
      </c>
      <c r="BD588" s="60">
        <f t="shared" si="283"/>
        <v>0.99014130791981592</v>
      </c>
      <c r="BE588" s="6">
        <f t="shared" si="280"/>
        <v>9.3157894736842124</v>
      </c>
      <c r="BF588" s="6">
        <f t="shared" si="275"/>
        <v>4.0858725761772536</v>
      </c>
    </row>
    <row r="589" spans="1:58" ht="15.75">
      <c r="B589" s="63">
        <v>45849</v>
      </c>
      <c r="C589" s="1">
        <v>345</v>
      </c>
      <c r="D589" s="3">
        <v>584</v>
      </c>
      <c r="E589" s="205">
        <f t="shared" si="285"/>
        <v>233.46616399999999</v>
      </c>
      <c r="G589" s="15">
        <f>(N589*18-H589*18)/9</f>
        <v>15.700000000000001</v>
      </c>
      <c r="H589" s="9">
        <f>2*0</f>
        <v>0</v>
      </c>
      <c r="I589" s="15">
        <f t="shared" si="266"/>
        <v>29.2</v>
      </c>
      <c r="K589" s="10">
        <f t="shared" si="269"/>
        <v>14.870456305732482</v>
      </c>
      <c r="L589" s="9">
        <f t="shared" si="270"/>
        <v>3.9977082876712329</v>
      </c>
      <c r="M589" s="8">
        <f t="shared" si="271"/>
        <v>3.7197452229299359</v>
      </c>
      <c r="N589" s="7">
        <f>5*1.57</f>
        <v>7.8500000000000005</v>
      </c>
      <c r="O589" s="6">
        <v>75.16</v>
      </c>
      <c r="P589" s="6">
        <v>24.132999999999999</v>
      </c>
      <c r="Q589" s="6">
        <f>O589*1.067</f>
        <v>80.195719999999994</v>
      </c>
      <c r="R589" s="6">
        <f>P589*1.514</f>
        <v>36.537362000000002</v>
      </c>
      <c r="S589" s="23">
        <f>P589*1.514+O589*1.067</f>
        <v>116.733082</v>
      </c>
      <c r="T589" s="6">
        <f>32.2</f>
        <v>32.200000000000003</v>
      </c>
      <c r="U589" s="59">
        <f>0.002*1.067</f>
        <v>2.134E-3</v>
      </c>
      <c r="V589" s="59">
        <f>0.845*1.514</f>
        <v>1.2793300000000001</v>
      </c>
      <c r="W589" s="23">
        <f>U589*1.067+V589*1.514</f>
        <v>1.9391825980000001</v>
      </c>
      <c r="X589" s="6">
        <v>0.3</v>
      </c>
      <c r="Y589" s="6">
        <v>0</v>
      </c>
      <c r="Z589" s="6">
        <v>50</v>
      </c>
      <c r="AA589" s="6">
        <v>-228</v>
      </c>
      <c r="AB589" s="5">
        <v>80</v>
      </c>
      <c r="AC589" s="7">
        <f>T589</f>
        <v>32.200000000000003</v>
      </c>
      <c r="AD589" s="1">
        <f>29.2</f>
        <v>29.2</v>
      </c>
      <c r="AE589" s="1">
        <f>5*0.283</f>
        <v>1.4149999999999998</v>
      </c>
      <c r="AF589" s="1">
        <v>0</v>
      </c>
      <c r="AG589" s="62">
        <v>5.29</v>
      </c>
      <c r="AJ589" s="2">
        <f>("20:40"-"17:50")*1440</f>
        <v>170.00000000000003</v>
      </c>
      <c r="AK589" s="3">
        <f t="shared" si="265"/>
        <v>240</v>
      </c>
      <c r="AL589" s="4">
        <f>AE589</f>
        <v>1.4149999999999998</v>
      </c>
      <c r="AM589" s="1">
        <f>2*0.076</f>
        <v>0.152</v>
      </c>
      <c r="AN589" s="3">
        <v>40</v>
      </c>
      <c r="AO589" s="2">
        <v>2280.0000000000182</v>
      </c>
      <c r="AP589" s="13">
        <f t="shared" si="289"/>
        <v>2280.0000000000182</v>
      </c>
      <c r="AR589" s="17">
        <f>(E589-W589)/E589</f>
        <v>0.99169394586018045</v>
      </c>
      <c r="AS589" s="16">
        <f t="shared" si="286"/>
        <v>1</v>
      </c>
      <c r="AT589" s="16">
        <f t="shared" si="279"/>
        <v>0.18116438356164385</v>
      </c>
      <c r="AU589" s="61">
        <f t="shared" si="277"/>
        <v>0.99031847133757966</v>
      </c>
      <c r="AV589" s="57">
        <f t="shared" si="278"/>
        <v>231.52698140199999</v>
      </c>
      <c r="AW589" s="57">
        <f t="shared" si="287"/>
        <v>29.2</v>
      </c>
      <c r="AX589" s="57">
        <f t="shared" si="274"/>
        <v>15.548000000000002</v>
      </c>
      <c r="AY589" s="57">
        <f t="shared" si="284"/>
        <v>30.785000000000004</v>
      </c>
      <c r="AZ589" s="57">
        <f t="shared" si="272"/>
        <v>1.2629999999999999</v>
      </c>
      <c r="BA589" s="60">
        <f t="shared" si="281"/>
        <v>0.99169394586018045</v>
      </c>
      <c r="BB589" s="60">
        <f t="shared" si="282"/>
        <v>1</v>
      </c>
      <c r="BC589" s="60">
        <f t="shared" si="288"/>
        <v>0.18116438356164385</v>
      </c>
      <c r="BD589" s="60">
        <f t="shared" si="283"/>
        <v>0.99031847133757966</v>
      </c>
      <c r="BE589" s="6">
        <f t="shared" si="280"/>
        <v>10.305882352941174</v>
      </c>
      <c r="BF589" s="6">
        <f t="shared" ref="BF589:BF605" si="290">IF(OR(AJ589=0,AP589=0,NOT(ISNUMBER(AD589)),NOT(ISNUMBER(AF589)),NOT(ISNUMBER(AJ589)),NOT(ISNUMBER(AP589))),"",
IFERROR(IF((AD589-AF589)/(AJ589/60)/(AP589/1000)&lt;=0,"",(AD589-AF589)/(AJ589/60)/(AP589/1000)),""))</f>
        <v>4.5201238390092513</v>
      </c>
    </row>
    <row r="590" spans="1:58" ht="15.75">
      <c r="B590" s="63">
        <v>45850</v>
      </c>
      <c r="C590" s="1">
        <v>346</v>
      </c>
      <c r="D590" s="3">
        <v>585</v>
      </c>
      <c r="E590" s="205" t="str">
        <f t="shared" si="285"/>
        <v/>
      </c>
      <c r="I590" s="15">
        <f t="shared" si="266"/>
        <v>29.2</v>
      </c>
      <c r="K590" s="10" t="str">
        <f t="shared" si="269"/>
        <v/>
      </c>
      <c r="L590" s="9" t="str">
        <f t="shared" si="270"/>
        <v/>
      </c>
      <c r="M590" s="8" t="str">
        <f t="shared" si="271"/>
        <v/>
      </c>
      <c r="AB590" s="5">
        <v>80</v>
      </c>
      <c r="AD590" s="65">
        <f>29.2</f>
        <v>29.2</v>
      </c>
      <c r="AF590" s="1">
        <v>0</v>
      </c>
      <c r="AG590" s="62">
        <v>4.6900000000000004</v>
      </c>
      <c r="AJ590" s="2">
        <f>("19:35"-"17:50")*1440</f>
        <v>104.99999999999994</v>
      </c>
      <c r="AK590" s="3">
        <f t="shared" si="265"/>
        <v>240</v>
      </c>
      <c r="AN590" s="3">
        <v>40</v>
      </c>
      <c r="AP590" s="13">
        <f t="shared" si="289"/>
        <v>2280.0000000000182</v>
      </c>
      <c r="AR590" s="17"/>
      <c r="AS590" s="16">
        <f t="shared" si="286"/>
        <v>1</v>
      </c>
      <c r="AT590" s="16">
        <f t="shared" si="279"/>
        <v>0.1606164383561644</v>
      </c>
      <c r="AU590" s="61"/>
      <c r="AV590" s="57" t="str">
        <f t="shared" si="278"/>
        <v/>
      </c>
      <c r="AW590" s="57">
        <f t="shared" si="287"/>
        <v>29.2</v>
      </c>
      <c r="AX590" s="57" t="str">
        <f t="shared" si="274"/>
        <v/>
      </c>
      <c r="AY590" s="57" t="str">
        <f t="shared" si="284"/>
        <v/>
      </c>
      <c r="AZ590" s="57" t="str">
        <f t="shared" si="272"/>
        <v/>
      </c>
      <c r="BA590" s="60" t="str">
        <f t="shared" si="281"/>
        <v/>
      </c>
      <c r="BB590" s="60">
        <f t="shared" si="282"/>
        <v>1</v>
      </c>
      <c r="BC590" s="60">
        <f t="shared" si="288"/>
        <v>0.1606164383561644</v>
      </c>
      <c r="BD590" s="60" t="str">
        <f t="shared" si="283"/>
        <v/>
      </c>
      <c r="BE590" s="6">
        <f t="shared" si="280"/>
        <v>16.685714285714294</v>
      </c>
      <c r="BF590" s="6">
        <f t="shared" si="290"/>
        <v>7.3182957393483168</v>
      </c>
    </row>
    <row r="591" spans="1:58" ht="15.75">
      <c r="B591" s="63">
        <v>45851</v>
      </c>
      <c r="C591" s="1">
        <v>347</v>
      </c>
      <c r="D591" s="3">
        <v>586</v>
      </c>
      <c r="E591" s="205" t="str">
        <f t="shared" si="285"/>
        <v/>
      </c>
      <c r="I591" s="15">
        <f t="shared" si="266"/>
        <v>29.2</v>
      </c>
      <c r="K591" s="10" t="str">
        <f t="shared" si="269"/>
        <v/>
      </c>
      <c r="L591" s="9" t="str">
        <f t="shared" si="270"/>
        <v/>
      </c>
      <c r="M591" s="8" t="str">
        <f t="shared" si="271"/>
        <v/>
      </c>
      <c r="AB591" s="5">
        <v>80</v>
      </c>
      <c r="AD591" s="65">
        <f>29.2</f>
        <v>29.2</v>
      </c>
      <c r="AF591" s="1">
        <v>0</v>
      </c>
      <c r="AG591" s="62">
        <v>4.38</v>
      </c>
      <c r="AJ591" s="2">
        <f>("19:30"-"17:50")*1440</f>
        <v>99.999999999999972</v>
      </c>
      <c r="AK591" s="3">
        <f t="shared" si="265"/>
        <v>240</v>
      </c>
      <c r="AN591" s="3">
        <v>40</v>
      </c>
      <c r="AP591" s="13">
        <f t="shared" si="289"/>
        <v>2629.9999999999955</v>
      </c>
      <c r="AR591" s="17"/>
      <c r="AS591" s="16">
        <f t="shared" si="286"/>
        <v>1</v>
      </c>
      <c r="AT591" s="16">
        <f t="shared" si="279"/>
        <v>0.15</v>
      </c>
      <c r="AU591" s="61"/>
      <c r="AV591" s="57" t="str">
        <f t="shared" si="278"/>
        <v/>
      </c>
      <c r="AW591" s="57">
        <f t="shared" si="287"/>
        <v>29.2</v>
      </c>
      <c r="AX591" s="57" t="str">
        <f t="shared" si="274"/>
        <v/>
      </c>
      <c r="AY591" s="57" t="str">
        <f t="shared" si="284"/>
        <v/>
      </c>
      <c r="AZ591" s="57" t="str">
        <f t="shared" si="272"/>
        <v/>
      </c>
      <c r="BA591" s="60" t="str">
        <f t="shared" si="281"/>
        <v/>
      </c>
      <c r="BB591" s="60">
        <f t="shared" si="282"/>
        <v>1</v>
      </c>
      <c r="BC591" s="60">
        <f t="shared" si="288"/>
        <v>0.15</v>
      </c>
      <c r="BD591" s="60" t="str">
        <f t="shared" si="283"/>
        <v/>
      </c>
      <c r="BE591" s="6">
        <f t="shared" si="280"/>
        <v>17.520000000000003</v>
      </c>
      <c r="BF591" s="6">
        <f t="shared" si="290"/>
        <v>6.6615969581749175</v>
      </c>
    </row>
    <row r="592" spans="1:58" ht="15.75">
      <c r="B592" s="63">
        <v>45852</v>
      </c>
      <c r="C592" s="1">
        <v>348</v>
      </c>
      <c r="D592" s="3">
        <v>587</v>
      </c>
      <c r="E592" s="205" t="str">
        <f t="shared" si="285"/>
        <v/>
      </c>
      <c r="G592" s="15">
        <f>(N592*18-H592*18)/9</f>
        <v>18.500000000000004</v>
      </c>
      <c r="H592" s="9">
        <f>2*4.4</f>
        <v>8.8000000000000007</v>
      </c>
      <c r="I592" s="15">
        <f t="shared" si="266"/>
        <v>29.5</v>
      </c>
      <c r="K592" s="10" t="str">
        <f t="shared" si="269"/>
        <v/>
      </c>
      <c r="L592" s="9" t="str">
        <f t="shared" si="270"/>
        <v/>
      </c>
      <c r="M592" s="8">
        <f t="shared" si="271"/>
        <v>3.1891891891891886</v>
      </c>
      <c r="N592" s="7">
        <f>5*3.61</f>
        <v>18.05</v>
      </c>
      <c r="O592" s="6">
        <v>54.886000000000003</v>
      </c>
      <c r="P592" s="6">
        <v>22.305</v>
      </c>
      <c r="T592" s="6">
        <f>51</f>
        <v>51</v>
      </c>
      <c r="AB592" s="5">
        <v>80</v>
      </c>
      <c r="AC592" s="4">
        <v>51</v>
      </c>
      <c r="AD592" s="1">
        <v>29.5</v>
      </c>
      <c r="AE592" s="1">
        <f>5*3.5</f>
        <v>17.5</v>
      </c>
      <c r="AF592" s="1">
        <v>0</v>
      </c>
      <c r="AG592" s="62">
        <v>5.88</v>
      </c>
      <c r="AJ592" s="2">
        <f>("19:20"-"17:50")*1440</f>
        <v>90</v>
      </c>
      <c r="AK592" s="3">
        <f t="shared" si="265"/>
        <v>240</v>
      </c>
      <c r="AL592" s="4">
        <f>AE592</f>
        <v>17.5</v>
      </c>
      <c r="AM592" s="1">
        <f>5*3.01</f>
        <v>15.049999999999999</v>
      </c>
      <c r="AN592" s="3">
        <v>40</v>
      </c>
      <c r="AP592" s="13">
        <f t="shared" si="289"/>
        <v>2974.9999999999773</v>
      </c>
      <c r="AR592" s="17"/>
      <c r="AS592" s="16">
        <f t="shared" si="286"/>
        <v>1</v>
      </c>
      <c r="AT592" s="16">
        <f t="shared" si="279"/>
        <v>0.19932203389830508</v>
      </c>
      <c r="AU592" s="61">
        <f>(G592-AM592)/G592</f>
        <v>0.18648648648648669</v>
      </c>
      <c r="AV592" s="57" t="str">
        <f t="shared" si="278"/>
        <v/>
      </c>
      <c r="AW592" s="57">
        <f t="shared" si="287"/>
        <v>29.5</v>
      </c>
      <c r="AX592" s="57">
        <f t="shared" si="274"/>
        <v>3.4500000000000046</v>
      </c>
      <c r="AY592" s="57">
        <f t="shared" si="284"/>
        <v>33.5</v>
      </c>
      <c r="AZ592" s="57">
        <f t="shared" si="272"/>
        <v>2.4500000000000011</v>
      </c>
      <c r="BA592" s="60" t="str">
        <f t="shared" si="281"/>
        <v/>
      </c>
      <c r="BB592" s="60">
        <f t="shared" si="282"/>
        <v>1</v>
      </c>
      <c r="BC592" s="60">
        <f t="shared" si="288"/>
        <v>0.19932203389830508</v>
      </c>
      <c r="BD592" s="60"/>
      <c r="BE592" s="6">
        <f t="shared" si="280"/>
        <v>19.666666666666668</v>
      </c>
      <c r="BF592" s="6">
        <f t="shared" si="290"/>
        <v>6.6106442577031315</v>
      </c>
    </row>
    <row r="593" spans="1:58" ht="15.75">
      <c r="B593" s="63">
        <v>45853</v>
      </c>
      <c r="C593" s="1">
        <v>349</v>
      </c>
      <c r="D593" s="3">
        <v>588</v>
      </c>
      <c r="E593" s="205" t="str">
        <f t="shared" si="285"/>
        <v/>
      </c>
      <c r="I593" s="15">
        <f t="shared" si="266"/>
        <v>29.75</v>
      </c>
      <c r="K593" s="10" t="str">
        <f t="shared" si="269"/>
        <v/>
      </c>
      <c r="L593" s="9" t="str">
        <f t="shared" si="270"/>
        <v/>
      </c>
      <c r="M593" s="8" t="str">
        <f t="shared" si="271"/>
        <v/>
      </c>
      <c r="AB593" s="5">
        <v>80</v>
      </c>
      <c r="AD593" s="65">
        <v>29.75</v>
      </c>
      <c r="AF593" s="1">
        <v>0</v>
      </c>
      <c r="AG593" s="62">
        <v>7.09</v>
      </c>
      <c r="AJ593" s="2">
        <f>("19:45"-"17:50")*1440</f>
        <v>114.99999999999991</v>
      </c>
      <c r="AK593" s="3">
        <f t="shared" ref="AK593:AK656" si="291">180+60</f>
        <v>240</v>
      </c>
      <c r="AN593" s="3">
        <v>40</v>
      </c>
      <c r="AP593" s="13">
        <f t="shared" si="289"/>
        <v>2974.9999999999773</v>
      </c>
      <c r="AR593" s="17"/>
      <c r="AS593" s="16">
        <f t="shared" si="286"/>
        <v>1</v>
      </c>
      <c r="AT593" s="16">
        <f t="shared" si="279"/>
        <v>0.23831932773109243</v>
      </c>
      <c r="AU593" s="61"/>
      <c r="AV593" s="57" t="str">
        <f t="shared" si="278"/>
        <v/>
      </c>
      <c r="AW593" s="57">
        <f t="shared" si="287"/>
        <v>29.75</v>
      </c>
      <c r="AX593" s="57" t="str">
        <f t="shared" si="274"/>
        <v/>
      </c>
      <c r="AY593" s="57" t="str">
        <f t="shared" si="284"/>
        <v/>
      </c>
      <c r="AZ593" s="57" t="str">
        <f t="shared" si="272"/>
        <v/>
      </c>
      <c r="BA593" s="60" t="str">
        <f t="shared" si="281"/>
        <v/>
      </c>
      <c r="BB593" s="60">
        <f t="shared" si="282"/>
        <v>1</v>
      </c>
      <c r="BC593" s="60">
        <f t="shared" si="288"/>
        <v>0.23831932773109243</v>
      </c>
      <c r="BD593" s="60" t="str">
        <f t="shared" ref="BD593:BD598" si="292">IF(AND($G593&gt;0,$AM593&gt;0),IF(($G593-$AM593)/$G593&gt;0,($G593-$AM593)/$G593,0),"")</f>
        <v/>
      </c>
      <c r="BE593" s="6">
        <f t="shared" si="280"/>
        <v>15.521739130434794</v>
      </c>
      <c r="BF593" s="6">
        <f t="shared" si="290"/>
        <v>5.2173913043478697</v>
      </c>
    </row>
    <row r="594" spans="1:58" ht="15.75">
      <c r="B594" s="63">
        <v>45854</v>
      </c>
      <c r="C594" s="1">
        <v>350</v>
      </c>
      <c r="D594" s="3">
        <v>589</v>
      </c>
      <c r="E594" s="205" t="str">
        <f t="shared" si="285"/>
        <v/>
      </c>
      <c r="I594" s="15">
        <f t="shared" si="266"/>
        <v>30</v>
      </c>
      <c r="K594" s="10" t="str">
        <f t="shared" si="269"/>
        <v/>
      </c>
      <c r="L594" s="9" t="str">
        <f t="shared" si="270"/>
        <v/>
      </c>
      <c r="M594" s="8" t="str">
        <f t="shared" si="271"/>
        <v/>
      </c>
      <c r="AB594" s="5">
        <v>80</v>
      </c>
      <c r="AC594" s="4">
        <v>41.4</v>
      </c>
      <c r="AD594" s="65">
        <f>30</f>
        <v>30</v>
      </c>
      <c r="AE594" s="1">
        <f>5*2.01</f>
        <v>10.049999999999999</v>
      </c>
      <c r="AF594" s="1">
        <v>0</v>
      </c>
      <c r="AG594" s="62">
        <v>6.01</v>
      </c>
      <c r="AJ594" s="2">
        <f>("19:35"-"17:50")*1440</f>
        <v>104.99999999999994</v>
      </c>
      <c r="AK594" s="3">
        <f t="shared" si="291"/>
        <v>240</v>
      </c>
      <c r="AL594" s="4">
        <f>AE594</f>
        <v>10.049999999999999</v>
      </c>
      <c r="AM594" s="1">
        <f>5*1.82</f>
        <v>9.1</v>
      </c>
      <c r="AN594" s="3">
        <v>40</v>
      </c>
      <c r="AP594" s="13">
        <f t="shared" si="289"/>
        <v>2974.9999999999773</v>
      </c>
      <c r="AR594" s="17"/>
      <c r="AS594" s="16">
        <f t="shared" si="286"/>
        <v>1</v>
      </c>
      <c r="AT594" s="16">
        <f t="shared" si="279"/>
        <v>0.20033333333333334</v>
      </c>
      <c r="AU594" s="61"/>
      <c r="AV594" s="57" t="str">
        <f t="shared" si="278"/>
        <v/>
      </c>
      <c r="AW594" s="57">
        <f t="shared" si="287"/>
        <v>30</v>
      </c>
      <c r="AX594" s="57" t="str">
        <f t="shared" si="274"/>
        <v/>
      </c>
      <c r="AY594" s="57">
        <f t="shared" si="284"/>
        <v>31.35</v>
      </c>
      <c r="AZ594" s="57">
        <f t="shared" si="272"/>
        <v>0.94999999999999929</v>
      </c>
      <c r="BA594" s="60" t="str">
        <f t="shared" si="281"/>
        <v/>
      </c>
      <c r="BB594" s="60">
        <f t="shared" si="282"/>
        <v>1</v>
      </c>
      <c r="BC594" s="60">
        <f t="shared" si="288"/>
        <v>0.20033333333333334</v>
      </c>
      <c r="BD594" s="60" t="str">
        <f t="shared" si="292"/>
        <v/>
      </c>
      <c r="BE594" s="6">
        <f t="shared" si="280"/>
        <v>17.142857142857153</v>
      </c>
      <c r="BF594" s="6">
        <f t="shared" si="290"/>
        <v>5.7623049219688349</v>
      </c>
    </row>
    <row r="595" spans="1:58" ht="15.75">
      <c r="A595" s="12" t="s">
        <v>37</v>
      </c>
      <c r="B595" s="66">
        <v>45855</v>
      </c>
      <c r="C595" s="1">
        <v>351</v>
      </c>
      <c r="D595" s="3">
        <v>590</v>
      </c>
      <c r="E595" s="205" t="str">
        <f t="shared" si="285"/>
        <v/>
      </c>
      <c r="I595" s="15">
        <f t="shared" si="266"/>
        <v>30</v>
      </c>
      <c r="K595" s="10" t="str">
        <f t="shared" si="269"/>
        <v/>
      </c>
      <c r="L595" s="9" t="str">
        <f t="shared" si="270"/>
        <v/>
      </c>
      <c r="M595" s="8" t="str">
        <f t="shared" si="271"/>
        <v/>
      </c>
      <c r="AB595" s="5">
        <v>80</v>
      </c>
      <c r="AD595" s="65">
        <f>30</f>
        <v>30</v>
      </c>
      <c r="AF595" s="1">
        <v>0</v>
      </c>
      <c r="AG595" s="62">
        <v>8.58</v>
      </c>
      <c r="AJ595" s="2">
        <f>("19:50"-"17:50")*1440</f>
        <v>119.99999999999989</v>
      </c>
      <c r="AK595" s="3">
        <f t="shared" si="291"/>
        <v>240</v>
      </c>
      <c r="AN595" s="3">
        <v>40</v>
      </c>
      <c r="AO595" s="2">
        <v>2979.9999999999727</v>
      </c>
      <c r="AP595" s="13">
        <f t="shared" si="289"/>
        <v>2974.9999999999773</v>
      </c>
      <c r="AR595" s="17"/>
      <c r="AS595" s="16">
        <f t="shared" si="286"/>
        <v>1</v>
      </c>
      <c r="AT595" s="16">
        <f t="shared" si="279"/>
        <v>0.28599999999999998</v>
      </c>
      <c r="AU595" s="61"/>
      <c r="AV595" s="57" t="str">
        <f t="shared" si="278"/>
        <v/>
      </c>
      <c r="AW595" s="57">
        <f t="shared" si="287"/>
        <v>30</v>
      </c>
      <c r="AX595" s="57" t="str">
        <f t="shared" si="274"/>
        <v/>
      </c>
      <c r="AY595" s="57" t="str">
        <f t="shared" si="284"/>
        <v/>
      </c>
      <c r="AZ595" s="57" t="str">
        <f t="shared" si="272"/>
        <v/>
      </c>
      <c r="BA595" s="60">
        <v>1</v>
      </c>
      <c r="BB595" s="60">
        <f t="shared" si="282"/>
        <v>1</v>
      </c>
      <c r="BC595" s="60">
        <f t="shared" si="288"/>
        <v>0.28599999999999998</v>
      </c>
      <c r="BD595" s="60" t="str">
        <f t="shared" si="292"/>
        <v/>
      </c>
      <c r="BE595" s="6">
        <f t="shared" si="280"/>
        <v>15.000000000000014</v>
      </c>
      <c r="BF595" s="6">
        <f t="shared" si="290"/>
        <v>5.0420168067227324</v>
      </c>
    </row>
    <row r="596" spans="1:58" ht="15.75">
      <c r="A596" s="12" t="s">
        <v>39</v>
      </c>
      <c r="B596" s="63">
        <v>45856</v>
      </c>
      <c r="C596" s="1">
        <v>352</v>
      </c>
      <c r="D596" s="3">
        <v>591</v>
      </c>
      <c r="E596" s="205" t="str">
        <f t="shared" si="285"/>
        <v/>
      </c>
      <c r="I596" s="15">
        <f t="shared" ref="I596:I659" si="293">AD596</f>
        <v>30</v>
      </c>
      <c r="K596" s="10" t="str">
        <f t="shared" si="269"/>
        <v/>
      </c>
      <c r="L596" s="9" t="str">
        <f t="shared" si="270"/>
        <v/>
      </c>
      <c r="M596" s="8" t="str">
        <f t="shared" si="271"/>
        <v/>
      </c>
      <c r="AB596" s="5">
        <v>80</v>
      </c>
      <c r="AD596" s="65">
        <f>30</f>
        <v>30</v>
      </c>
      <c r="AF596" s="1">
        <v>0</v>
      </c>
      <c r="AG596" s="62">
        <v>10.039999999999999</v>
      </c>
      <c r="AJ596" s="2">
        <f>("19:55"-"17:50")*1440</f>
        <v>125.00000000000003</v>
      </c>
      <c r="AK596" s="3">
        <f t="shared" si="291"/>
        <v>240</v>
      </c>
      <c r="AN596" s="3">
        <v>40</v>
      </c>
      <c r="AO596" s="2">
        <v>2969.9999999999818</v>
      </c>
      <c r="AP596" s="13">
        <f t="shared" si="289"/>
        <v>2956.6666666666606</v>
      </c>
      <c r="AR596" s="17"/>
      <c r="AS596" s="16">
        <f t="shared" si="286"/>
        <v>1</v>
      </c>
      <c r="AT596" s="16">
        <f t="shared" si="279"/>
        <v>0.33466666666666661</v>
      </c>
      <c r="AU596" s="61"/>
      <c r="AV596" s="57" t="str">
        <f t="shared" si="278"/>
        <v/>
      </c>
      <c r="AW596" s="57">
        <f t="shared" si="287"/>
        <v>30</v>
      </c>
      <c r="AX596" s="57" t="str">
        <f t="shared" si="274"/>
        <v/>
      </c>
      <c r="AY596" s="57" t="str">
        <f t="shared" si="284"/>
        <v/>
      </c>
      <c r="AZ596" s="57" t="str">
        <f t="shared" si="272"/>
        <v/>
      </c>
      <c r="BA596" s="60">
        <v>1</v>
      </c>
      <c r="BB596" s="60">
        <f t="shared" si="282"/>
        <v>1</v>
      </c>
      <c r="BC596" s="60">
        <f t="shared" si="288"/>
        <v>0.33466666666666661</v>
      </c>
      <c r="BD596" s="60" t="str">
        <f t="shared" si="292"/>
        <v/>
      </c>
      <c r="BE596" s="6">
        <f t="shared" si="280"/>
        <v>14.399999999999995</v>
      </c>
      <c r="BF596" s="6">
        <f t="shared" si="290"/>
        <v>4.8703494926719362</v>
      </c>
    </row>
    <row r="597" spans="1:58" ht="15.75">
      <c r="B597" s="63">
        <v>45857</v>
      </c>
      <c r="C597" s="1">
        <v>353</v>
      </c>
      <c r="D597" s="3">
        <v>592</v>
      </c>
      <c r="E597" s="205" t="str">
        <f t="shared" si="285"/>
        <v/>
      </c>
      <c r="I597" s="15">
        <f t="shared" si="293"/>
        <v>30</v>
      </c>
      <c r="K597" s="10" t="str">
        <f t="shared" si="269"/>
        <v/>
      </c>
      <c r="L597" s="9" t="str">
        <f t="shared" si="270"/>
        <v/>
      </c>
      <c r="M597" s="8" t="str">
        <f t="shared" si="271"/>
        <v/>
      </c>
      <c r="AB597" s="5">
        <v>80</v>
      </c>
      <c r="AD597" s="65">
        <f>30</f>
        <v>30</v>
      </c>
      <c r="AF597" s="1">
        <v>0</v>
      </c>
      <c r="AG597" s="62">
        <v>8.39</v>
      </c>
      <c r="AJ597" s="2">
        <f>("19:50"-"17:50")*1440</f>
        <v>119.99999999999989</v>
      </c>
      <c r="AK597" s="3">
        <f t="shared" si="291"/>
        <v>240</v>
      </c>
      <c r="AN597" s="3">
        <v>40</v>
      </c>
      <c r="AP597" s="13">
        <f t="shared" si="289"/>
        <v>2956.6666666666606</v>
      </c>
      <c r="AR597" s="17"/>
      <c r="AS597" s="16">
        <f t="shared" si="286"/>
        <v>1</v>
      </c>
      <c r="AT597" s="16">
        <f t="shared" si="279"/>
        <v>0.27966666666666667</v>
      </c>
      <c r="AU597" s="61"/>
      <c r="AV597" s="57" t="str">
        <f t="shared" si="278"/>
        <v/>
      </c>
      <c r="AW597" s="57">
        <f t="shared" si="287"/>
        <v>30</v>
      </c>
      <c r="AX597" s="57" t="str">
        <f t="shared" si="274"/>
        <v/>
      </c>
      <c r="AY597" s="57" t="str">
        <f t="shared" si="284"/>
        <v/>
      </c>
      <c r="AZ597" s="57" t="str">
        <f t="shared" si="272"/>
        <v/>
      </c>
      <c r="BA597" s="60" t="str">
        <f>IF(AND($E597&gt;0,$W597&gt;0),IF(($E597-$W597)/$E597&gt;0,($E597-$W597)/$E597,0),"")</f>
        <v/>
      </c>
      <c r="BB597" s="60">
        <f t="shared" si="282"/>
        <v>1</v>
      </c>
      <c r="BC597" s="60">
        <f t="shared" si="288"/>
        <v>0.27966666666666667</v>
      </c>
      <c r="BD597" s="60" t="str">
        <f t="shared" si="292"/>
        <v/>
      </c>
      <c r="BE597" s="6">
        <f t="shared" si="280"/>
        <v>15.000000000000014</v>
      </c>
      <c r="BF597" s="6">
        <f t="shared" si="290"/>
        <v>5.0732807215332727</v>
      </c>
    </row>
    <row r="598" spans="1:58" ht="15.75">
      <c r="B598" s="63">
        <v>45858</v>
      </c>
      <c r="C598" s="1">
        <v>354</v>
      </c>
      <c r="D598" s="3">
        <v>593</v>
      </c>
      <c r="E598" s="205" t="str">
        <f t="shared" si="285"/>
        <v/>
      </c>
      <c r="G598" s="58"/>
      <c r="I598" s="15">
        <f t="shared" si="293"/>
        <v>30</v>
      </c>
      <c r="K598" s="10" t="str">
        <f t="shared" si="269"/>
        <v/>
      </c>
      <c r="L598" s="9" t="str">
        <f t="shared" si="270"/>
        <v/>
      </c>
      <c r="M598" s="8" t="str">
        <f t="shared" si="271"/>
        <v/>
      </c>
      <c r="AB598" s="5">
        <v>80</v>
      </c>
      <c r="AD598" s="65">
        <f>30</f>
        <v>30</v>
      </c>
      <c r="AF598" s="1">
        <v>0</v>
      </c>
      <c r="AG598" s="62">
        <v>8.82</v>
      </c>
      <c r="AJ598" s="2">
        <f>("19:50"-"17:50")*1440</f>
        <v>119.99999999999989</v>
      </c>
      <c r="AK598" s="3">
        <f t="shared" si="291"/>
        <v>240</v>
      </c>
      <c r="AN598" s="3">
        <v>40</v>
      </c>
      <c r="AP598" s="13">
        <f t="shared" si="289"/>
        <v>2840.0000000000091</v>
      </c>
      <c r="AR598" s="17"/>
      <c r="AS598" s="16">
        <f t="shared" si="286"/>
        <v>1</v>
      </c>
      <c r="AT598" s="16">
        <f t="shared" si="279"/>
        <v>0.29399999999999998</v>
      </c>
      <c r="AU598" s="61"/>
      <c r="AV598" s="57" t="str">
        <f t="shared" si="278"/>
        <v/>
      </c>
      <c r="AW598" s="57">
        <f t="shared" si="287"/>
        <v>30</v>
      </c>
      <c r="AX598" s="57" t="str">
        <f t="shared" si="274"/>
        <v/>
      </c>
      <c r="AY598" s="57" t="str">
        <f t="shared" si="284"/>
        <v/>
      </c>
      <c r="AZ598" s="57" t="str">
        <f t="shared" si="272"/>
        <v/>
      </c>
      <c r="BA598" s="60" t="str">
        <f>IF(AND($E598&gt;0,$W598&gt;0),IF(($E598-$W598)/$E598&gt;0,($E598-$W598)/$E598,0),"")</f>
        <v/>
      </c>
      <c r="BB598" s="60">
        <f t="shared" si="282"/>
        <v>1</v>
      </c>
      <c r="BC598" s="60">
        <f t="shared" si="288"/>
        <v>0.29399999999999998</v>
      </c>
      <c r="BD598" s="60" t="str">
        <f t="shared" si="292"/>
        <v/>
      </c>
      <c r="BE598" s="6">
        <f t="shared" si="280"/>
        <v>15.000000000000014</v>
      </c>
      <c r="BF598" s="6">
        <f t="shared" si="290"/>
        <v>5.2816901408450585</v>
      </c>
    </row>
    <row r="599" spans="1:58" ht="15.75">
      <c r="B599" s="63">
        <v>45859</v>
      </c>
      <c r="C599" s="1">
        <v>355</v>
      </c>
      <c r="D599" s="3">
        <v>594</v>
      </c>
      <c r="E599" s="205" t="str">
        <f t="shared" si="285"/>
        <v/>
      </c>
      <c r="G599" s="58">
        <v>15.700000000000001</v>
      </c>
      <c r="I599" s="15">
        <f t="shared" si="293"/>
        <v>30</v>
      </c>
      <c r="K599" s="10" t="str">
        <f t="shared" si="269"/>
        <v/>
      </c>
      <c r="L599" s="9" t="str">
        <f t="shared" si="270"/>
        <v/>
      </c>
      <c r="M599" s="8">
        <f t="shared" si="271"/>
        <v>3.8216560509554136</v>
      </c>
      <c r="AB599" s="5">
        <v>80</v>
      </c>
      <c r="AC599" s="4">
        <f>48.7</f>
        <v>48.7</v>
      </c>
      <c r="AD599" s="65">
        <f>30</f>
        <v>30</v>
      </c>
      <c r="AE599" s="1">
        <f>5*(2.64)</f>
        <v>13.200000000000001</v>
      </c>
      <c r="AF599" s="1">
        <v>0</v>
      </c>
      <c r="AG599" s="62">
        <v>5.9</v>
      </c>
      <c r="AJ599" s="2">
        <f>("19:45"-"17:50")*1440</f>
        <v>114.99999999999991</v>
      </c>
      <c r="AK599" s="3">
        <f t="shared" si="291"/>
        <v>240</v>
      </c>
      <c r="AL599" s="4">
        <f>AE599</f>
        <v>13.200000000000001</v>
      </c>
      <c r="AM599" s="1">
        <f>5*2.28</f>
        <v>11.399999999999999</v>
      </c>
      <c r="AN599" s="3">
        <v>40</v>
      </c>
      <c r="AP599" s="13">
        <f t="shared" si="289"/>
        <v>2746.6666666666847</v>
      </c>
      <c r="AR599" s="17"/>
      <c r="AS599" s="16">
        <f t="shared" si="286"/>
        <v>1</v>
      </c>
      <c r="AT599" s="16">
        <f t="shared" si="279"/>
        <v>0.19666666666666668</v>
      </c>
      <c r="AU599" s="61">
        <f>(G599-AM599)/G599</f>
        <v>0.2738853503184715</v>
      </c>
      <c r="AV599" s="57" t="str">
        <f t="shared" si="278"/>
        <v/>
      </c>
      <c r="AW599" s="57">
        <f t="shared" si="287"/>
        <v>30</v>
      </c>
      <c r="AX599" s="57">
        <f t="shared" si="274"/>
        <v>4.3000000000000025</v>
      </c>
      <c r="AY599" s="57">
        <f t="shared" si="284"/>
        <v>35.5</v>
      </c>
      <c r="AZ599" s="57">
        <f t="shared" si="272"/>
        <v>1.8000000000000025</v>
      </c>
      <c r="BA599" s="60" t="str">
        <f>IF(AND($E599&gt;0,$W599&gt;0),IF(($E599-$W599)/$E599&gt;0,($E599-$W599)/$E599,0),"")</f>
        <v/>
      </c>
      <c r="BB599" s="60">
        <f t="shared" si="282"/>
        <v>1</v>
      </c>
      <c r="BC599" s="60">
        <f t="shared" si="288"/>
        <v>0.19666666666666668</v>
      </c>
      <c r="BD599" s="60"/>
      <c r="BE599" s="6">
        <f t="shared" si="280"/>
        <v>15.652173913043491</v>
      </c>
      <c r="BF599" s="6">
        <f t="shared" si="290"/>
        <v>5.6986070071759904</v>
      </c>
    </row>
    <row r="600" spans="1:58" ht="15.75">
      <c r="A600" s="12" t="s">
        <v>38</v>
      </c>
      <c r="B600" s="66">
        <v>45860</v>
      </c>
      <c r="C600" s="1">
        <v>356</v>
      </c>
      <c r="D600" s="3">
        <v>595</v>
      </c>
      <c r="E600" s="205" t="str">
        <f t="shared" si="285"/>
        <v/>
      </c>
      <c r="G600" s="58"/>
      <c r="I600" s="15">
        <f t="shared" si="293"/>
        <v>30</v>
      </c>
      <c r="K600" s="10" t="str">
        <f t="shared" si="269"/>
        <v/>
      </c>
      <c r="L600" s="9" t="str">
        <f t="shared" si="270"/>
        <v/>
      </c>
      <c r="M600" s="8" t="str">
        <f t="shared" si="271"/>
        <v/>
      </c>
      <c r="AB600" s="5">
        <v>80</v>
      </c>
      <c r="AD600" s="65">
        <f>30</f>
        <v>30</v>
      </c>
      <c r="AF600" s="1">
        <v>0</v>
      </c>
      <c r="AG600" s="62">
        <v>9.1999999999999993</v>
      </c>
      <c r="AJ600" s="2">
        <f>("19:35"-"17:50")*1440</f>
        <v>104.99999999999994</v>
      </c>
      <c r="AK600" s="3">
        <f t="shared" si="291"/>
        <v>240</v>
      </c>
      <c r="AN600" s="3">
        <v>40</v>
      </c>
      <c r="AO600" s="2">
        <v>2920.0000000000273</v>
      </c>
      <c r="AP600" s="13">
        <f t="shared" si="289"/>
        <v>2746.6666666666847</v>
      </c>
      <c r="AR600" s="17"/>
      <c r="AS600" s="16">
        <f t="shared" si="286"/>
        <v>1</v>
      </c>
      <c r="AT600" s="16">
        <f t="shared" si="279"/>
        <v>0.30666666666666664</v>
      </c>
      <c r="AU600" s="61"/>
      <c r="AV600" s="57" t="str">
        <f t="shared" si="278"/>
        <v/>
      </c>
      <c r="AW600" s="57">
        <f t="shared" si="287"/>
        <v>30</v>
      </c>
      <c r="AX600" s="57" t="str">
        <f t="shared" si="274"/>
        <v/>
      </c>
      <c r="AY600" s="57" t="str">
        <f t="shared" si="284"/>
        <v/>
      </c>
      <c r="AZ600" s="57" t="str">
        <f t="shared" si="272"/>
        <v/>
      </c>
      <c r="BA600" s="60">
        <v>1</v>
      </c>
      <c r="BB600" s="60">
        <f t="shared" si="282"/>
        <v>1</v>
      </c>
      <c r="BC600" s="60">
        <f t="shared" si="288"/>
        <v>0.30666666666666664</v>
      </c>
      <c r="BD600" s="60" t="str">
        <f t="shared" ref="BD600:BD631" si="294">IF(AND($G600&gt;0,$AM600&gt;0),IF(($G600-$AM600)/$G600&gt;0,($G600-$AM600)/$G600,0),"")</f>
        <v/>
      </c>
      <c r="BE600" s="6">
        <f t="shared" si="280"/>
        <v>17.142857142857153</v>
      </c>
      <c r="BF600" s="6">
        <f t="shared" si="290"/>
        <v>6.2413314840498932</v>
      </c>
    </row>
    <row r="601" spans="1:58" ht="15.75">
      <c r="B601" s="63">
        <v>45861</v>
      </c>
      <c r="C601" s="1">
        <v>357</v>
      </c>
      <c r="D601" s="3">
        <v>596</v>
      </c>
      <c r="E601" s="205" t="str">
        <f t="shared" si="285"/>
        <v/>
      </c>
      <c r="G601" s="58">
        <v>15.700000000000001</v>
      </c>
      <c r="H601" s="9">
        <f>2*0</f>
        <v>0</v>
      </c>
      <c r="I601" s="15">
        <f t="shared" si="293"/>
        <v>30</v>
      </c>
      <c r="K601" s="10" t="str">
        <f t="shared" si="269"/>
        <v/>
      </c>
      <c r="L601" s="9" t="str">
        <f t="shared" si="270"/>
        <v/>
      </c>
      <c r="M601" s="8">
        <f t="shared" si="271"/>
        <v>3.8216560509554136</v>
      </c>
      <c r="AB601" s="5">
        <v>80</v>
      </c>
      <c r="AD601" s="65">
        <f>30</f>
        <v>30</v>
      </c>
      <c r="AE601" s="1">
        <f>5*0.501</f>
        <v>2.5049999999999999</v>
      </c>
      <c r="AF601" s="1">
        <v>0</v>
      </c>
      <c r="AG601" s="62">
        <v>10.11</v>
      </c>
      <c r="AJ601" s="2">
        <f>("20:30"-"17:50")*1440</f>
        <v>159.99999999999991</v>
      </c>
      <c r="AK601" s="3">
        <f t="shared" si="291"/>
        <v>240</v>
      </c>
      <c r="AL601" s="4">
        <f>AE601</f>
        <v>2.5049999999999999</v>
      </c>
      <c r="AM601" s="1">
        <f>2*0.465</f>
        <v>0.93</v>
      </c>
      <c r="AN601" s="3">
        <v>40</v>
      </c>
      <c r="AP601" s="13">
        <f t="shared" si="289"/>
        <v>2746.6666666666847</v>
      </c>
      <c r="AR601" s="17"/>
      <c r="AS601" s="16">
        <f t="shared" si="286"/>
        <v>1</v>
      </c>
      <c r="AT601" s="16">
        <f t="shared" si="279"/>
        <v>0.33699999999999997</v>
      </c>
      <c r="AU601" s="61">
        <f>(G601-AM601)/G601</f>
        <v>0.9407643312101911</v>
      </c>
      <c r="AV601" s="57" t="str">
        <f t="shared" si="278"/>
        <v/>
      </c>
      <c r="AW601" s="57">
        <f t="shared" si="287"/>
        <v>30</v>
      </c>
      <c r="AX601" s="57">
        <f t="shared" si="274"/>
        <v>14.770000000000001</v>
      </c>
      <c r="AY601" s="57" t="str">
        <f t="shared" si="284"/>
        <v/>
      </c>
      <c r="AZ601" s="57">
        <f t="shared" si="272"/>
        <v>1.5749999999999997</v>
      </c>
      <c r="BA601" s="60" t="str">
        <f>IF(AND($E601&gt;0,$W601&gt;0),IF(($E601-$W601)/$E601&gt;0,($E601-$W601)/$E601,0),"")</f>
        <v/>
      </c>
      <c r="BB601" s="60">
        <f t="shared" si="282"/>
        <v>1</v>
      </c>
      <c r="BC601" s="60">
        <f t="shared" si="288"/>
        <v>0.33699999999999997</v>
      </c>
      <c r="BD601" s="60">
        <f t="shared" si="294"/>
        <v>0.9407643312101911</v>
      </c>
      <c r="BE601" s="6">
        <f t="shared" si="280"/>
        <v>11.250000000000007</v>
      </c>
      <c r="BF601" s="6">
        <f t="shared" si="290"/>
        <v>4.0958737864077426</v>
      </c>
    </row>
    <row r="602" spans="1:58" ht="15.75">
      <c r="A602" s="12" t="s">
        <v>37</v>
      </c>
      <c r="B602" s="63">
        <v>45862</v>
      </c>
      <c r="C602" s="1">
        <v>358</v>
      </c>
      <c r="D602" s="3">
        <v>597</v>
      </c>
      <c r="E602" s="205" t="str">
        <f t="shared" si="285"/>
        <v/>
      </c>
      <c r="G602" s="58"/>
      <c r="I602" s="15">
        <f t="shared" si="293"/>
        <v>30</v>
      </c>
      <c r="K602" s="10" t="str">
        <f t="shared" si="269"/>
        <v/>
      </c>
      <c r="L602" s="9" t="str">
        <f t="shared" si="270"/>
        <v/>
      </c>
      <c r="M602" s="8" t="str">
        <f t="shared" si="271"/>
        <v/>
      </c>
      <c r="AB602" s="5">
        <v>80</v>
      </c>
      <c r="AD602" s="65">
        <f>30</f>
        <v>30</v>
      </c>
      <c r="AF602" s="1">
        <v>0</v>
      </c>
      <c r="AG602" s="62">
        <v>9.33</v>
      </c>
      <c r="AJ602" s="2">
        <f>("20:30"-"17:50")*1440</f>
        <v>159.99999999999991</v>
      </c>
      <c r="AK602" s="3">
        <f t="shared" si="291"/>
        <v>240</v>
      </c>
      <c r="AN602" s="3">
        <v>40</v>
      </c>
      <c r="AO602" s="2">
        <v>2630.0000000000182</v>
      </c>
      <c r="AP602" s="13">
        <f t="shared" si="289"/>
        <v>2746.6666666666847</v>
      </c>
      <c r="AR602" s="17"/>
      <c r="AS602" s="16">
        <f t="shared" si="286"/>
        <v>1</v>
      </c>
      <c r="AT602" s="16">
        <f t="shared" si="279"/>
        <v>0.311</v>
      </c>
      <c r="AU602" s="61"/>
      <c r="AV602" s="57" t="str">
        <f t="shared" si="278"/>
        <v/>
      </c>
      <c r="AW602" s="57">
        <f t="shared" si="287"/>
        <v>30</v>
      </c>
      <c r="AX602" s="57" t="str">
        <f t="shared" si="274"/>
        <v/>
      </c>
      <c r="AY602" s="57" t="str">
        <f t="shared" si="284"/>
        <v/>
      </c>
      <c r="AZ602" s="57" t="str">
        <f t="shared" si="272"/>
        <v/>
      </c>
      <c r="BA602" s="60">
        <v>1</v>
      </c>
      <c r="BB602" s="60">
        <f t="shared" si="282"/>
        <v>1</v>
      </c>
      <c r="BC602" s="60">
        <f t="shared" si="288"/>
        <v>0.311</v>
      </c>
      <c r="BD602" s="60" t="str">
        <f t="shared" si="294"/>
        <v/>
      </c>
      <c r="BE602" s="6">
        <f t="shared" si="280"/>
        <v>11.250000000000007</v>
      </c>
      <c r="BF602" s="6">
        <f t="shared" si="290"/>
        <v>4.0958737864077426</v>
      </c>
    </row>
    <row r="603" spans="1:58" ht="15.75">
      <c r="A603" s="12" t="s">
        <v>36</v>
      </c>
      <c r="B603" s="63">
        <v>45863</v>
      </c>
      <c r="C603" s="1">
        <v>359</v>
      </c>
      <c r="D603" s="3">
        <v>598</v>
      </c>
      <c r="E603" s="205" t="str">
        <f t="shared" si="285"/>
        <v/>
      </c>
      <c r="I603" s="15">
        <f t="shared" si="293"/>
        <v>30</v>
      </c>
      <c r="K603" s="10" t="str">
        <f t="shared" si="269"/>
        <v/>
      </c>
      <c r="L603" s="9" t="str">
        <f t="shared" si="270"/>
        <v/>
      </c>
      <c r="M603" s="8" t="str">
        <f t="shared" si="271"/>
        <v/>
      </c>
      <c r="AB603" s="5">
        <v>80</v>
      </c>
      <c r="AD603" s="65">
        <f>30</f>
        <v>30</v>
      </c>
      <c r="AF603" s="1">
        <v>0</v>
      </c>
      <c r="AG603" s="62">
        <v>10.9</v>
      </c>
      <c r="AJ603" s="2">
        <f>("13:20"-"10:30")*1440</f>
        <v>170.00000000000003</v>
      </c>
      <c r="AK603" s="3">
        <f t="shared" si="291"/>
        <v>240</v>
      </c>
      <c r="AN603" s="3">
        <v>40</v>
      </c>
      <c r="AO603" s="2">
        <v>2690.0000000000091</v>
      </c>
      <c r="AP603" s="13">
        <f t="shared" si="289"/>
        <v>2660.0000000000136</v>
      </c>
      <c r="AR603" s="17"/>
      <c r="AS603" s="16">
        <f t="shared" si="286"/>
        <v>1</v>
      </c>
      <c r="AT603" s="16">
        <f t="shared" si="279"/>
        <v>0.36333333333333334</v>
      </c>
      <c r="AU603" s="61"/>
      <c r="AV603" s="57" t="str">
        <f t="shared" si="278"/>
        <v/>
      </c>
      <c r="AW603" s="57">
        <f t="shared" si="287"/>
        <v>30</v>
      </c>
      <c r="AX603" s="57" t="str">
        <f t="shared" si="274"/>
        <v/>
      </c>
      <c r="AY603" s="57" t="str">
        <f t="shared" si="284"/>
        <v/>
      </c>
      <c r="AZ603" s="57" t="str">
        <f t="shared" si="272"/>
        <v/>
      </c>
      <c r="BA603" s="60">
        <v>1</v>
      </c>
      <c r="BB603" s="60">
        <f t="shared" si="282"/>
        <v>1</v>
      </c>
      <c r="BC603" s="60">
        <f t="shared" si="288"/>
        <v>0.36333333333333334</v>
      </c>
      <c r="BD603" s="60" t="str">
        <f t="shared" si="294"/>
        <v/>
      </c>
      <c r="BE603" s="6">
        <f t="shared" si="280"/>
        <v>10.588235294117645</v>
      </c>
      <c r="BF603" s="6">
        <f t="shared" si="290"/>
        <v>3.9805395842547338</v>
      </c>
    </row>
    <row r="604" spans="1:58" ht="15.75">
      <c r="B604" s="63">
        <v>45864</v>
      </c>
      <c r="C604" s="1">
        <v>360</v>
      </c>
      <c r="D604" s="3">
        <v>599</v>
      </c>
      <c r="E604" s="205" t="str">
        <f t="shared" si="285"/>
        <v/>
      </c>
      <c r="I604" s="15">
        <f t="shared" si="293"/>
        <v>30</v>
      </c>
      <c r="K604" s="10" t="str">
        <f t="shared" si="269"/>
        <v/>
      </c>
      <c r="L604" s="9" t="str">
        <f t="shared" si="270"/>
        <v/>
      </c>
      <c r="M604" s="8" t="str">
        <f t="shared" si="271"/>
        <v/>
      </c>
      <c r="AB604" s="5">
        <v>80</v>
      </c>
      <c r="AD604" s="65">
        <f>30</f>
        <v>30</v>
      </c>
      <c r="AF604" s="1">
        <v>0</v>
      </c>
      <c r="AG604" s="62"/>
      <c r="AJ604" s="2">
        <f>("19:45"-"17:50")*1440</f>
        <v>114.99999999999991</v>
      </c>
      <c r="AK604" s="3">
        <f t="shared" si="291"/>
        <v>240</v>
      </c>
      <c r="AN604" s="3">
        <v>40</v>
      </c>
      <c r="AP604" s="13">
        <f t="shared" si="289"/>
        <v>2660.0000000000136</v>
      </c>
      <c r="AR604" s="17"/>
      <c r="AS604" s="16">
        <f t="shared" si="286"/>
        <v>1</v>
      </c>
      <c r="AT604" s="16"/>
      <c r="AU604" s="61"/>
      <c r="AV604" s="57" t="str">
        <f t="shared" si="278"/>
        <v/>
      </c>
      <c r="AW604" s="57">
        <f t="shared" si="287"/>
        <v>30</v>
      </c>
      <c r="AX604" s="57" t="str">
        <f t="shared" si="274"/>
        <v/>
      </c>
      <c r="AY604" s="57" t="str">
        <f t="shared" si="284"/>
        <v/>
      </c>
      <c r="AZ604" s="57" t="str">
        <f t="shared" si="272"/>
        <v/>
      </c>
      <c r="BA604" s="60" t="str">
        <f t="shared" ref="BA604:BA610" si="295">IF(AND($E604&gt;0,$W604&gt;0),IF(($E604-$W604)/$E604&gt;0,($E604-$W604)/$E604,0),"")</f>
        <v/>
      </c>
      <c r="BB604" s="60">
        <f t="shared" si="282"/>
        <v>1</v>
      </c>
      <c r="BC604" s="60">
        <f t="shared" si="288"/>
        <v>0</v>
      </c>
      <c r="BD604" s="60" t="str">
        <f t="shared" si="294"/>
        <v/>
      </c>
      <c r="BE604" s="6">
        <f t="shared" si="280"/>
        <v>15.652173913043491</v>
      </c>
      <c r="BF604" s="6">
        <f t="shared" si="290"/>
        <v>5.8842759071591777</v>
      </c>
    </row>
    <row r="605" spans="1:58" ht="15.75">
      <c r="B605" s="63">
        <v>45865</v>
      </c>
      <c r="C605" s="1">
        <v>361</v>
      </c>
      <c r="D605" s="3">
        <v>600</v>
      </c>
      <c r="E605" s="205" t="str">
        <f t="shared" si="285"/>
        <v/>
      </c>
      <c r="I605" s="15">
        <f t="shared" si="293"/>
        <v>30</v>
      </c>
      <c r="K605" s="10" t="str">
        <f t="shared" si="269"/>
        <v/>
      </c>
      <c r="L605" s="9" t="str">
        <f t="shared" si="270"/>
        <v/>
      </c>
      <c r="M605" s="8" t="str">
        <f t="shared" si="271"/>
        <v/>
      </c>
      <c r="AB605" s="5">
        <v>80</v>
      </c>
      <c r="AD605" s="65">
        <f>30</f>
        <v>30</v>
      </c>
      <c r="AF605" s="1">
        <v>0</v>
      </c>
      <c r="AG605" s="62">
        <v>10.64</v>
      </c>
      <c r="AJ605" s="2">
        <f>("19:30"-"17:50")*1440</f>
        <v>99.999999999999972</v>
      </c>
      <c r="AK605" s="3">
        <f t="shared" si="291"/>
        <v>240</v>
      </c>
      <c r="AN605" s="3">
        <v>40</v>
      </c>
      <c r="AP605" s="13">
        <f t="shared" si="289"/>
        <v>2690.0000000000091</v>
      </c>
      <c r="AR605" s="17"/>
      <c r="AS605" s="16">
        <f t="shared" si="286"/>
        <v>1</v>
      </c>
      <c r="AT605" s="16">
        <f>AG605/(AD605-AF605)</f>
        <v>0.35466666666666669</v>
      </c>
      <c r="AU605" s="61"/>
      <c r="AV605" s="57" t="str">
        <f t="shared" si="278"/>
        <v/>
      </c>
      <c r="AW605" s="57">
        <f t="shared" si="287"/>
        <v>30</v>
      </c>
      <c r="AX605" s="57" t="str">
        <f t="shared" si="274"/>
        <v/>
      </c>
      <c r="AY605" s="57" t="str">
        <f t="shared" si="284"/>
        <v/>
      </c>
      <c r="AZ605" s="57" t="str">
        <f t="shared" si="272"/>
        <v/>
      </c>
      <c r="BA605" s="60" t="str">
        <f t="shared" si="295"/>
        <v/>
      </c>
      <c r="BB605" s="60">
        <f t="shared" si="282"/>
        <v>1</v>
      </c>
      <c r="BC605" s="60">
        <f t="shared" si="288"/>
        <v>0.35466666666666669</v>
      </c>
      <c r="BD605" s="60" t="str">
        <f t="shared" si="294"/>
        <v/>
      </c>
      <c r="BE605" s="6">
        <f t="shared" si="280"/>
        <v>18.000000000000004</v>
      </c>
      <c r="BF605" s="6">
        <f t="shared" si="290"/>
        <v>6.6914498141263721</v>
      </c>
    </row>
    <row r="606" spans="1:58" ht="15.75">
      <c r="B606" s="63">
        <v>45866</v>
      </c>
      <c r="C606" s="1">
        <v>362</v>
      </c>
      <c r="D606" s="3">
        <v>601</v>
      </c>
      <c r="E606" s="205" t="str">
        <f t="shared" si="285"/>
        <v/>
      </c>
      <c r="I606" s="15">
        <f t="shared" si="293"/>
        <v>30</v>
      </c>
      <c r="K606" s="10" t="str">
        <f t="shared" si="269"/>
        <v/>
      </c>
      <c r="L606" s="9" t="str">
        <f t="shared" si="270"/>
        <v/>
      </c>
      <c r="M606" s="8" t="str">
        <f t="shared" si="271"/>
        <v/>
      </c>
      <c r="AB606" s="5">
        <v>80</v>
      </c>
      <c r="AD606" s="65">
        <f>30</f>
        <v>30</v>
      </c>
      <c r="AF606" s="1">
        <v>0</v>
      </c>
      <c r="AG606" s="62">
        <v>7.3</v>
      </c>
      <c r="AJ606" s="2">
        <f>("19:15"-"17:50")*1440</f>
        <v>85.000000000000014</v>
      </c>
      <c r="AK606" s="3">
        <f t="shared" si="291"/>
        <v>240</v>
      </c>
      <c r="AN606" s="3">
        <v>40</v>
      </c>
      <c r="AP606" s="13" t="e">
        <f t="shared" si="289"/>
        <v>#DIV/0!</v>
      </c>
      <c r="AR606" s="17"/>
      <c r="AS606" s="16">
        <f t="shared" si="286"/>
        <v>1</v>
      </c>
      <c r="AT606" s="16">
        <f>AG606/(AD606-AF606)</f>
        <v>0.24333333333333332</v>
      </c>
      <c r="AU606" s="61"/>
      <c r="AV606" s="57" t="str">
        <f t="shared" si="278"/>
        <v/>
      </c>
      <c r="AW606" s="57">
        <f t="shared" si="287"/>
        <v>30</v>
      </c>
      <c r="AX606" s="57" t="str">
        <f t="shared" si="274"/>
        <v/>
      </c>
      <c r="AY606" s="57" t="str">
        <f t="shared" si="284"/>
        <v/>
      </c>
      <c r="AZ606" s="57" t="str">
        <f t="shared" si="272"/>
        <v/>
      </c>
      <c r="BA606" s="60" t="str">
        <f t="shared" si="295"/>
        <v/>
      </c>
      <c r="BB606" s="60">
        <f t="shared" si="282"/>
        <v>1</v>
      </c>
      <c r="BC606" s="60">
        <f t="shared" si="288"/>
        <v>0.24333333333333332</v>
      </c>
      <c r="BD606" s="60" t="str">
        <f t="shared" si="294"/>
        <v/>
      </c>
      <c r="BE606" s="6">
        <f t="shared" si="280"/>
        <v>21.17647058823529</v>
      </c>
      <c r="BF606" s="6"/>
    </row>
    <row r="607" spans="1:58" ht="15.75">
      <c r="B607" s="63">
        <v>45867</v>
      </c>
      <c r="C607" s="1">
        <v>363</v>
      </c>
      <c r="D607" s="3">
        <v>602</v>
      </c>
      <c r="E607" s="205" t="str">
        <f t="shared" si="285"/>
        <v/>
      </c>
      <c r="I607" s="15">
        <f t="shared" si="293"/>
        <v>30</v>
      </c>
      <c r="K607" s="10" t="str">
        <f t="shared" si="269"/>
        <v/>
      </c>
      <c r="L607" s="9" t="str">
        <f t="shared" si="270"/>
        <v/>
      </c>
      <c r="M607" s="8" t="str">
        <f t="shared" si="271"/>
        <v/>
      </c>
      <c r="AB607" s="5">
        <v>80</v>
      </c>
      <c r="AD607" s="65">
        <f>30</f>
        <v>30</v>
      </c>
      <c r="AF607" s="1">
        <v>0</v>
      </c>
      <c r="AG607" s="64"/>
      <c r="AJ607" s="2">
        <f>("19:15"-"17:50")*1440</f>
        <v>85.000000000000014</v>
      </c>
      <c r="AK607" s="3">
        <f t="shared" si="291"/>
        <v>240</v>
      </c>
      <c r="AN607" s="3">
        <v>40</v>
      </c>
      <c r="AP607" s="13" t="e">
        <f t="shared" si="289"/>
        <v>#DIV/0!</v>
      </c>
      <c r="AR607" s="17"/>
      <c r="AS607" s="16">
        <f t="shared" si="286"/>
        <v>1</v>
      </c>
      <c r="AT607" s="16"/>
      <c r="AU607" s="61"/>
      <c r="AV607" s="57" t="str">
        <f t="shared" si="278"/>
        <v/>
      </c>
      <c r="AW607" s="57">
        <f t="shared" si="287"/>
        <v>30</v>
      </c>
      <c r="AX607" s="57" t="str">
        <f t="shared" si="274"/>
        <v/>
      </c>
      <c r="AY607" s="57" t="str">
        <f t="shared" si="284"/>
        <v/>
      </c>
      <c r="AZ607" s="57" t="str">
        <f t="shared" si="272"/>
        <v/>
      </c>
      <c r="BA607" s="60" t="str">
        <f t="shared" si="295"/>
        <v/>
      </c>
      <c r="BB607" s="60">
        <f t="shared" si="282"/>
        <v>1</v>
      </c>
      <c r="BC607" s="60">
        <f t="shared" si="288"/>
        <v>0</v>
      </c>
      <c r="BD607" s="60" t="str">
        <f t="shared" si="294"/>
        <v/>
      </c>
      <c r="BE607" s="6">
        <f t="shared" si="280"/>
        <v>21.17647058823529</v>
      </c>
      <c r="BF607" s="6"/>
    </row>
    <row r="608" spans="1:58" ht="15.75">
      <c r="B608" s="63">
        <v>45868</v>
      </c>
      <c r="C608" s="1">
        <v>364</v>
      </c>
      <c r="D608" s="3">
        <v>603</v>
      </c>
      <c r="E608" s="205" t="str">
        <f t="shared" si="285"/>
        <v/>
      </c>
      <c r="I608" s="15">
        <f t="shared" si="293"/>
        <v>30</v>
      </c>
      <c r="K608" s="10" t="str">
        <f t="shared" si="269"/>
        <v/>
      </c>
      <c r="L608" s="9" t="str">
        <f t="shared" si="270"/>
        <v/>
      </c>
      <c r="M608" s="8" t="str">
        <f t="shared" si="271"/>
        <v/>
      </c>
      <c r="AB608" s="5">
        <v>80</v>
      </c>
      <c r="AD608" s="65">
        <f>30</f>
        <v>30</v>
      </c>
      <c r="AF608" s="1">
        <v>0</v>
      </c>
      <c r="AG608" s="64"/>
      <c r="AJ608" s="2">
        <f>("19:10"-"17:50")*1440</f>
        <v>80.000000000000028</v>
      </c>
      <c r="AK608" s="3">
        <f t="shared" si="291"/>
        <v>240</v>
      </c>
      <c r="AN608" s="3">
        <v>40</v>
      </c>
      <c r="AP608" s="13" t="e">
        <f t="shared" si="289"/>
        <v>#DIV/0!</v>
      </c>
      <c r="AR608" s="17"/>
      <c r="AS608" s="16">
        <f t="shared" si="286"/>
        <v>1</v>
      </c>
      <c r="AT608" s="16"/>
      <c r="AU608" s="61"/>
      <c r="AV608" s="57" t="str">
        <f t="shared" si="278"/>
        <v/>
      </c>
      <c r="AW608" s="57">
        <f t="shared" si="287"/>
        <v>30</v>
      </c>
      <c r="AX608" s="57" t="str">
        <f t="shared" si="274"/>
        <v/>
      </c>
      <c r="AY608" s="57" t="str">
        <f t="shared" si="284"/>
        <v/>
      </c>
      <c r="AZ608" s="57" t="str">
        <f t="shared" si="272"/>
        <v/>
      </c>
      <c r="BA608" s="60" t="str">
        <f t="shared" si="295"/>
        <v/>
      </c>
      <c r="BB608" s="60">
        <f t="shared" si="282"/>
        <v>1</v>
      </c>
      <c r="BC608" s="60">
        <f t="shared" si="288"/>
        <v>0</v>
      </c>
      <c r="BD608" s="60" t="str">
        <f t="shared" si="294"/>
        <v/>
      </c>
      <c r="BE608" s="6">
        <f t="shared" si="280"/>
        <v>22.499999999999993</v>
      </c>
      <c r="BF608" s="6"/>
    </row>
    <row r="609" spans="1:58" ht="15.75">
      <c r="B609" s="63">
        <v>45869</v>
      </c>
      <c r="C609" s="1">
        <v>365</v>
      </c>
      <c r="D609" s="3">
        <v>604</v>
      </c>
      <c r="E609" s="205" t="str">
        <f t="shared" si="285"/>
        <v/>
      </c>
      <c r="I609" s="15">
        <f t="shared" si="293"/>
        <v>30</v>
      </c>
      <c r="K609" s="10" t="str">
        <f t="shared" si="269"/>
        <v/>
      </c>
      <c r="L609" s="9" t="str">
        <f t="shared" si="270"/>
        <v/>
      </c>
      <c r="M609" s="8" t="str">
        <f t="shared" si="271"/>
        <v/>
      </c>
      <c r="AB609" s="5">
        <v>80</v>
      </c>
      <c r="AD609" s="65">
        <f>30</f>
        <v>30</v>
      </c>
      <c r="AF609" s="1">
        <v>0</v>
      </c>
      <c r="AG609" s="64">
        <v>6.12</v>
      </c>
      <c r="AH609" s="20">
        <v>0.44965277777777779</v>
      </c>
      <c r="AJ609" s="2"/>
      <c r="AK609" s="3">
        <f t="shared" si="291"/>
        <v>240</v>
      </c>
      <c r="AN609" s="3">
        <v>40</v>
      </c>
      <c r="AP609" s="13" t="e">
        <f t="shared" si="289"/>
        <v>#DIV/0!</v>
      </c>
      <c r="AR609" s="17"/>
      <c r="AS609" s="16">
        <f t="shared" si="286"/>
        <v>1</v>
      </c>
      <c r="AT609" s="16">
        <f t="shared" ref="AT609:AT620" si="296">AG609/(AD609-AF609)</f>
        <v>0.20400000000000001</v>
      </c>
      <c r="AU609" s="61"/>
      <c r="AV609" s="57" t="str">
        <f t="shared" si="278"/>
        <v/>
      </c>
      <c r="AW609" s="57">
        <f t="shared" si="287"/>
        <v>30</v>
      </c>
      <c r="AX609" s="57" t="str">
        <f t="shared" si="274"/>
        <v/>
      </c>
      <c r="AY609" s="57" t="str">
        <f t="shared" si="284"/>
        <v/>
      </c>
      <c r="AZ609" s="57" t="str">
        <f t="shared" si="272"/>
        <v/>
      </c>
      <c r="BA609" s="60" t="str">
        <f t="shared" si="295"/>
        <v/>
      </c>
      <c r="BB609" s="60">
        <f t="shared" si="282"/>
        <v>1</v>
      </c>
      <c r="BC609" s="60">
        <f t="shared" si="288"/>
        <v>0.20400000000000001</v>
      </c>
      <c r="BD609" s="60" t="str">
        <f t="shared" si="294"/>
        <v/>
      </c>
      <c r="BE609" s="6" t="e">
        <f t="shared" si="280"/>
        <v>#DIV/0!</v>
      </c>
      <c r="BF609" s="6"/>
    </row>
    <row r="610" spans="1:58" ht="15.75">
      <c r="B610" s="63">
        <v>45870</v>
      </c>
      <c r="C610" s="1">
        <v>366</v>
      </c>
      <c r="D610" s="3">
        <v>605</v>
      </c>
      <c r="E610" s="205" t="str">
        <f t="shared" si="285"/>
        <v/>
      </c>
      <c r="I610" s="15">
        <f t="shared" si="293"/>
        <v>30</v>
      </c>
      <c r="K610" s="10" t="str">
        <f t="shared" si="269"/>
        <v/>
      </c>
      <c r="L610" s="9" t="str">
        <f t="shared" si="270"/>
        <v/>
      </c>
      <c r="M610" s="8" t="str">
        <f t="shared" si="271"/>
        <v/>
      </c>
      <c r="AB610" s="5">
        <v>80</v>
      </c>
      <c r="AD610" s="65">
        <f>30</f>
        <v>30</v>
      </c>
      <c r="AF610" s="1">
        <v>0</v>
      </c>
      <c r="AG610" s="64">
        <v>17.75</v>
      </c>
      <c r="AH610" s="20">
        <v>0.36967592592592591</v>
      </c>
      <c r="AJ610" s="2">
        <f>("19:00"-"17:50")*1440</f>
        <v>69.999999999999915</v>
      </c>
      <c r="AK610" s="3">
        <f t="shared" si="291"/>
        <v>240</v>
      </c>
      <c r="AN610" s="3">
        <v>40</v>
      </c>
      <c r="AP610" s="13">
        <f t="shared" si="289"/>
        <v>3440.0000000000546</v>
      </c>
      <c r="AR610" s="17"/>
      <c r="AS610" s="16">
        <f t="shared" si="286"/>
        <v>1</v>
      </c>
      <c r="AT610" s="16">
        <f t="shared" si="296"/>
        <v>0.59166666666666667</v>
      </c>
      <c r="AU610" s="61"/>
      <c r="AV610" s="57" t="str">
        <f t="shared" si="278"/>
        <v/>
      </c>
      <c r="AW610" s="57">
        <f t="shared" si="287"/>
        <v>30</v>
      </c>
      <c r="AX610" s="57" t="str">
        <f t="shared" si="274"/>
        <v/>
      </c>
      <c r="AY610" s="57" t="str">
        <f t="shared" si="284"/>
        <v/>
      </c>
      <c r="AZ610" s="57" t="str">
        <f t="shared" si="272"/>
        <v/>
      </c>
      <c r="BA610" s="60" t="str">
        <f t="shared" si="295"/>
        <v/>
      </c>
      <c r="BB610" s="60">
        <f t="shared" si="282"/>
        <v>1</v>
      </c>
      <c r="BC610" s="60">
        <f t="shared" si="288"/>
        <v>0.59166666666666667</v>
      </c>
      <c r="BD610" s="60" t="str">
        <f t="shared" si="294"/>
        <v/>
      </c>
      <c r="BE610" s="6">
        <f t="shared" si="280"/>
        <v>25.714285714285747</v>
      </c>
      <c r="BF610" s="6">
        <f t="shared" ref="BF610:BF617" si="297">IF(OR(AJ610=0,AP610=0,NOT(ISNUMBER(AD610)),NOT(ISNUMBER(AF610)),NOT(ISNUMBER(AJ610)),NOT(ISNUMBER(AP610))),"",
IFERROR(IF((AD610-AF610)/(AJ610/60)/(AP610/1000)&lt;=0,"",(AD610-AF610)/(AJ610/60)/(AP610/1000)),""))</f>
        <v>7.4750830564782964</v>
      </c>
    </row>
    <row r="611" spans="1:58" ht="15.75">
      <c r="B611" s="63">
        <v>45871</v>
      </c>
      <c r="C611" s="1">
        <v>367</v>
      </c>
      <c r="D611" s="3">
        <v>606</v>
      </c>
      <c r="E611" s="205" t="str">
        <f t="shared" si="285"/>
        <v/>
      </c>
      <c r="G611" s="24">
        <v>14.216000000000001</v>
      </c>
      <c r="I611" s="15">
        <f t="shared" si="293"/>
        <v>32</v>
      </c>
      <c r="K611" s="10" t="str">
        <f t="shared" si="269"/>
        <v/>
      </c>
      <c r="L611" s="9" t="str">
        <f t="shared" si="270"/>
        <v/>
      </c>
      <c r="M611" s="8">
        <f t="shared" si="271"/>
        <v>4.5019696117051202</v>
      </c>
      <c r="AB611" s="5">
        <v>80</v>
      </c>
      <c r="AD611" s="65">
        <v>32</v>
      </c>
      <c r="AF611" s="1">
        <v>0</v>
      </c>
      <c r="AG611" s="64">
        <v>4.53</v>
      </c>
      <c r="AH611" s="20">
        <v>0.42523148148148149</v>
      </c>
      <c r="AJ611" s="2">
        <f>("18:50"-"17:50")*1440</f>
        <v>59.999999999999943</v>
      </c>
      <c r="AK611" s="3">
        <f t="shared" si="291"/>
        <v>240</v>
      </c>
      <c r="AM611" s="67">
        <v>1.7999999999999999E-2</v>
      </c>
      <c r="AN611" s="3">
        <v>40</v>
      </c>
      <c r="AP611" s="13">
        <f t="shared" si="289"/>
        <v>3425.0000000000455</v>
      </c>
      <c r="AR611" s="17"/>
      <c r="AS611" s="16">
        <f t="shared" si="286"/>
        <v>1</v>
      </c>
      <c r="AT611" s="16">
        <f t="shared" si="296"/>
        <v>0.14156250000000001</v>
      </c>
      <c r="AU611" s="61">
        <f>(G611-AM611)/G611</f>
        <v>0.99873382104670794</v>
      </c>
      <c r="AV611" s="57" t="str">
        <f t="shared" si="278"/>
        <v/>
      </c>
      <c r="AW611" s="57">
        <f t="shared" si="287"/>
        <v>32</v>
      </c>
      <c r="AX611" s="57">
        <f t="shared" si="274"/>
        <v>14.198</v>
      </c>
      <c r="AY611" s="57" t="str">
        <f t="shared" si="284"/>
        <v/>
      </c>
      <c r="AZ611" s="57" t="str">
        <f t="shared" si="272"/>
        <v/>
      </c>
      <c r="BA611" s="60">
        <v>1</v>
      </c>
      <c r="BB611" s="60">
        <f t="shared" si="282"/>
        <v>1</v>
      </c>
      <c r="BC611" s="60">
        <f t="shared" si="288"/>
        <v>0.14156250000000001</v>
      </c>
      <c r="BD611" s="60">
        <f t="shared" si="294"/>
        <v>0.99873382104670794</v>
      </c>
      <c r="BE611" s="6">
        <f t="shared" si="280"/>
        <v>32.000000000000028</v>
      </c>
      <c r="BF611" s="6">
        <f t="shared" si="297"/>
        <v>9.3430656934305407</v>
      </c>
    </row>
    <row r="612" spans="1:58" ht="15.75">
      <c r="B612" s="63">
        <v>45872</v>
      </c>
      <c r="C612" s="1">
        <v>368</v>
      </c>
      <c r="D612" s="3">
        <v>607</v>
      </c>
      <c r="E612" s="205" t="str">
        <f t="shared" si="285"/>
        <v/>
      </c>
      <c r="G612" s="24">
        <v>14.216000000000001</v>
      </c>
      <c r="I612" s="15">
        <f t="shared" si="293"/>
        <v>32</v>
      </c>
      <c r="K612" s="10" t="str">
        <f t="shared" si="269"/>
        <v/>
      </c>
      <c r="L612" s="9" t="str">
        <f t="shared" si="270"/>
        <v/>
      </c>
      <c r="M612" s="8">
        <f t="shared" si="271"/>
        <v>4.5019696117051202</v>
      </c>
      <c r="AB612" s="5">
        <v>80</v>
      </c>
      <c r="AD612" s="65">
        <v>32</v>
      </c>
      <c r="AF612" s="1">
        <v>0</v>
      </c>
      <c r="AG612" s="64">
        <v>1.46</v>
      </c>
      <c r="AH612" s="20">
        <v>0.4375</v>
      </c>
      <c r="AJ612" s="2">
        <f>("19:00"-"17:50")*1440</f>
        <v>69.999999999999915</v>
      </c>
      <c r="AK612" s="3">
        <f t="shared" si="291"/>
        <v>240</v>
      </c>
      <c r="AM612" s="67">
        <v>1.2999999999999999E-2</v>
      </c>
      <c r="AN612" s="3">
        <v>40</v>
      </c>
      <c r="AP612" s="13">
        <f t="shared" si="289"/>
        <v>3425.0000000000455</v>
      </c>
      <c r="AR612" s="17"/>
      <c r="AS612" s="16">
        <f t="shared" si="286"/>
        <v>1</v>
      </c>
      <c r="AT612" s="16">
        <f t="shared" si="296"/>
        <v>4.5624999999999999E-2</v>
      </c>
      <c r="AU612" s="61">
        <f>(G612-AM612)/G612</f>
        <v>0.99908553742262241</v>
      </c>
      <c r="AV612" s="57" t="str">
        <f t="shared" si="278"/>
        <v/>
      </c>
      <c r="AW612" s="57">
        <f t="shared" si="287"/>
        <v>32</v>
      </c>
      <c r="AX612" s="57">
        <f t="shared" si="274"/>
        <v>14.203000000000001</v>
      </c>
      <c r="AY612" s="57" t="str">
        <f t="shared" si="284"/>
        <v/>
      </c>
      <c r="AZ612" s="57" t="str">
        <f t="shared" si="272"/>
        <v/>
      </c>
      <c r="BA612" s="60">
        <v>1</v>
      </c>
      <c r="BB612" s="60">
        <f t="shared" si="282"/>
        <v>1</v>
      </c>
      <c r="BC612" s="60">
        <f t="shared" si="288"/>
        <v>4.5624999999999999E-2</v>
      </c>
      <c r="BD612" s="60">
        <f t="shared" si="294"/>
        <v>0.99908553742262241</v>
      </c>
      <c r="BE612" s="6">
        <f t="shared" ref="BE612:BE643" si="298">IF((AD612-AF612)/(AJ612/60)&lt;=0,"",(AD612-AF612)/(AJ612/60))</f>
        <v>27.428571428571463</v>
      </c>
      <c r="BF612" s="6">
        <f t="shared" si="297"/>
        <v>8.0083420229404663</v>
      </c>
    </row>
    <row r="613" spans="1:58" ht="15.75">
      <c r="B613" s="63">
        <v>45873</v>
      </c>
      <c r="C613" s="1">
        <v>369</v>
      </c>
      <c r="D613" s="3">
        <v>608</v>
      </c>
      <c r="E613" s="205" t="str">
        <f t="shared" si="285"/>
        <v/>
      </c>
      <c r="G613" s="6">
        <f>(N613*18-H613*18)/9</f>
        <v>14.216000000000001</v>
      </c>
      <c r="H613" s="9">
        <f>2*0.096</f>
        <v>0.192</v>
      </c>
      <c r="I613" s="15">
        <f t="shared" si="293"/>
        <v>35</v>
      </c>
      <c r="K613" s="10" t="str">
        <f t="shared" ref="K613:K635" si="299">IF(OR(E613="",G613="",E613=0,G613=0),"",E613/G613)</f>
        <v/>
      </c>
      <c r="L613" s="9" t="str">
        <f t="shared" ref="L613:L635" si="300">IF(OR(E613="",I613="",E613=0,I613=0),"",E613/(I613*2))</f>
        <v/>
      </c>
      <c r="M613" s="8">
        <f t="shared" ref="M613:M635" si="301">IF(OR(I613="",G613="",I613=0,G613=0),"",I613*2/G613)</f>
        <v>4.9240292628024758</v>
      </c>
      <c r="N613" s="7">
        <v>7.3</v>
      </c>
      <c r="T613" s="6">
        <v>32.4</v>
      </c>
      <c r="AB613" s="5">
        <v>80</v>
      </c>
      <c r="AC613" s="7">
        <f>T613</f>
        <v>32.4</v>
      </c>
      <c r="AD613" s="65">
        <v>35</v>
      </c>
      <c r="AE613" s="1">
        <v>12.1</v>
      </c>
      <c r="AF613" s="1">
        <v>0</v>
      </c>
      <c r="AG613" s="64">
        <v>4.71</v>
      </c>
      <c r="AH613" s="20">
        <v>0.44201388888888887</v>
      </c>
      <c r="AJ613" s="2">
        <f>("18:50"-"17:50")*1440</f>
        <v>59.999999999999943</v>
      </c>
      <c r="AK613" s="3">
        <f t="shared" si="291"/>
        <v>240</v>
      </c>
      <c r="AL613" s="4">
        <f>AE613</f>
        <v>12.1</v>
      </c>
      <c r="AM613" s="1">
        <f>2*0.0096</f>
        <v>1.9199999999999998E-2</v>
      </c>
      <c r="AN613" s="3">
        <v>40</v>
      </c>
      <c r="AP613" s="13">
        <f t="shared" si="289"/>
        <v>3425.0000000000455</v>
      </c>
      <c r="AR613" s="17"/>
      <c r="AS613" s="16">
        <f t="shared" si="286"/>
        <v>1</v>
      </c>
      <c r="AT613" s="16">
        <f t="shared" si="296"/>
        <v>0.13457142857142856</v>
      </c>
      <c r="AU613" s="61">
        <f>(G613-AM613)/G613</f>
        <v>0.99864940911648847</v>
      </c>
      <c r="AV613" s="57" t="str">
        <f t="shared" si="278"/>
        <v/>
      </c>
      <c r="AW613" s="57">
        <f t="shared" si="287"/>
        <v>35</v>
      </c>
      <c r="AX613" s="57">
        <f t="shared" si="274"/>
        <v>14.196800000000001</v>
      </c>
      <c r="AY613" s="57">
        <f t="shared" si="284"/>
        <v>20.299999999999997</v>
      </c>
      <c r="AZ613" s="57">
        <f t="shared" si="272"/>
        <v>12.0808</v>
      </c>
      <c r="BA613" s="60">
        <v>1</v>
      </c>
      <c r="BB613" s="60">
        <f t="shared" ref="BB613:BB644" si="302">IF(AND($I613&gt;0,$AF613&gt;=0),IF(($I613-$AF613)/$I613&gt;0,($I613-$AF613)/$I613,0),"")</f>
        <v>1</v>
      </c>
      <c r="BC613" s="60">
        <f t="shared" si="288"/>
        <v>0.13457142857142856</v>
      </c>
      <c r="BD613" s="60">
        <f t="shared" si="294"/>
        <v>0.99864940911648847</v>
      </c>
      <c r="BE613" s="6">
        <f t="shared" si="298"/>
        <v>35.000000000000036</v>
      </c>
      <c r="BF613" s="6">
        <f t="shared" si="297"/>
        <v>10.218978102189656</v>
      </c>
    </row>
    <row r="614" spans="1:58" ht="15.75">
      <c r="A614" s="12" t="s">
        <v>35</v>
      </c>
      <c r="B614" s="66">
        <v>45874</v>
      </c>
      <c r="C614" s="1">
        <v>370</v>
      </c>
      <c r="D614" s="3">
        <v>609</v>
      </c>
      <c r="E614" s="205" t="str">
        <f t="shared" si="285"/>
        <v/>
      </c>
      <c r="I614" s="15">
        <f t="shared" si="293"/>
        <v>35</v>
      </c>
      <c r="K614" s="10" t="str">
        <f t="shared" si="299"/>
        <v/>
      </c>
      <c r="L614" s="9" t="str">
        <f t="shared" si="300"/>
        <v/>
      </c>
      <c r="M614" s="8" t="str">
        <f t="shared" si="301"/>
        <v/>
      </c>
      <c r="AB614" s="5">
        <v>80</v>
      </c>
      <c r="AD614" s="65">
        <v>35</v>
      </c>
      <c r="AF614" s="1">
        <v>0</v>
      </c>
      <c r="AG614" s="64">
        <v>3.06</v>
      </c>
      <c r="AH614" s="20">
        <v>0.48622685185185183</v>
      </c>
      <c r="AJ614" s="2">
        <f>("19:00"-"17:50")*1440</f>
        <v>69.999999999999915</v>
      </c>
      <c r="AK614" s="3">
        <f t="shared" si="291"/>
        <v>240</v>
      </c>
      <c r="AN614" s="3">
        <v>40</v>
      </c>
      <c r="AO614" s="2">
        <v>3440.0000000000546</v>
      </c>
      <c r="AP614" s="13">
        <f t="shared" si="289"/>
        <v>3425.0000000000455</v>
      </c>
      <c r="AR614" s="17"/>
      <c r="AS614" s="16">
        <f t="shared" si="286"/>
        <v>1</v>
      </c>
      <c r="AT614" s="16">
        <f t="shared" si="296"/>
        <v>8.7428571428571425E-2</v>
      </c>
      <c r="AU614" s="61"/>
      <c r="AV614" s="57" t="str">
        <f t="shared" si="278"/>
        <v/>
      </c>
      <c r="AW614" s="57">
        <f t="shared" si="287"/>
        <v>35</v>
      </c>
      <c r="AX614" s="57" t="str">
        <f t="shared" si="274"/>
        <v/>
      </c>
      <c r="AY614" s="57" t="str">
        <f t="shared" si="284"/>
        <v/>
      </c>
      <c r="AZ614" s="57" t="str">
        <f t="shared" si="272"/>
        <v/>
      </c>
      <c r="BA614" s="60">
        <v>1</v>
      </c>
      <c r="BB614" s="60">
        <f t="shared" si="302"/>
        <v>1</v>
      </c>
      <c r="BC614" s="60">
        <f t="shared" si="288"/>
        <v>8.7428571428571425E-2</v>
      </c>
      <c r="BD614" s="60" t="str">
        <f t="shared" si="294"/>
        <v/>
      </c>
      <c r="BE614" s="6">
        <f t="shared" si="298"/>
        <v>30.000000000000039</v>
      </c>
      <c r="BF614" s="6">
        <f t="shared" si="297"/>
        <v>8.759124087591136</v>
      </c>
    </row>
    <row r="615" spans="1:58" ht="15.75">
      <c r="A615" s="12" t="s">
        <v>34</v>
      </c>
      <c r="B615" s="63">
        <v>45875</v>
      </c>
      <c r="C615" s="1">
        <v>371</v>
      </c>
      <c r="D615" s="3">
        <v>610</v>
      </c>
      <c r="E615" s="205" t="str">
        <f t="shared" si="285"/>
        <v/>
      </c>
      <c r="I615" s="15">
        <f t="shared" si="293"/>
        <v>35</v>
      </c>
      <c r="K615" s="10" t="str">
        <f t="shared" si="299"/>
        <v/>
      </c>
      <c r="L615" s="9" t="str">
        <f t="shared" si="300"/>
        <v/>
      </c>
      <c r="M615" s="8" t="str">
        <f t="shared" si="301"/>
        <v/>
      </c>
      <c r="AB615" s="5">
        <v>80</v>
      </c>
      <c r="AD615" s="65">
        <v>35</v>
      </c>
      <c r="AF615" s="1">
        <v>0</v>
      </c>
      <c r="AG615" s="64">
        <v>11.74</v>
      </c>
      <c r="AH615" s="20">
        <v>0.52083333333333337</v>
      </c>
      <c r="AJ615" s="2">
        <f>("19:10"-"17:50")*1440</f>
        <v>80.000000000000028</v>
      </c>
      <c r="AK615" s="3">
        <f t="shared" si="291"/>
        <v>240</v>
      </c>
      <c r="AN615" s="3">
        <v>40</v>
      </c>
      <c r="AO615" s="2">
        <v>3410.0000000000364</v>
      </c>
      <c r="AP615" s="13">
        <f t="shared" si="289"/>
        <v>3425.0000000000455</v>
      </c>
      <c r="AR615" s="17"/>
      <c r="AS615" s="16">
        <f t="shared" si="286"/>
        <v>1</v>
      </c>
      <c r="AT615" s="16">
        <f t="shared" si="296"/>
        <v>0.33542857142857141</v>
      </c>
      <c r="AU615" s="61"/>
      <c r="AV615" s="57" t="str">
        <f t="shared" si="278"/>
        <v/>
      </c>
      <c r="AW615" s="57">
        <f t="shared" si="287"/>
        <v>35</v>
      </c>
      <c r="AX615" s="57" t="str">
        <f t="shared" si="274"/>
        <v/>
      </c>
      <c r="AY615" s="57" t="str">
        <f t="shared" si="284"/>
        <v/>
      </c>
      <c r="AZ615" s="57" t="str">
        <f t="shared" ref="AZ615:AZ678" si="303">IF(AND(ISNUMBER(AL615),ISNUMBER(AM615)),AL615-AM615,"")</f>
        <v/>
      </c>
      <c r="BA615" s="60">
        <v>1</v>
      </c>
      <c r="BB615" s="60">
        <f t="shared" si="302"/>
        <v>1</v>
      </c>
      <c r="BC615" s="60">
        <f t="shared" si="288"/>
        <v>0.33542857142857141</v>
      </c>
      <c r="BD615" s="60" t="str">
        <f t="shared" si="294"/>
        <v/>
      </c>
      <c r="BE615" s="6">
        <f t="shared" si="298"/>
        <v>26.249999999999993</v>
      </c>
      <c r="BF615" s="6">
        <f t="shared" si="297"/>
        <v>7.664233576642232</v>
      </c>
    </row>
    <row r="616" spans="1:58" ht="15.75">
      <c r="B616" s="63">
        <v>45876</v>
      </c>
      <c r="C616" s="1">
        <v>372</v>
      </c>
      <c r="D616" s="3">
        <v>611</v>
      </c>
      <c r="E616" s="205" t="str">
        <f t="shared" si="285"/>
        <v/>
      </c>
      <c r="I616" s="15">
        <f t="shared" si="293"/>
        <v>35</v>
      </c>
      <c r="K616" s="10" t="str">
        <f t="shared" si="299"/>
        <v/>
      </c>
      <c r="L616" s="9" t="str">
        <f t="shared" si="300"/>
        <v/>
      </c>
      <c r="M616" s="8" t="str">
        <f t="shared" si="301"/>
        <v/>
      </c>
      <c r="AB616" s="5">
        <v>80</v>
      </c>
      <c r="AD616" s="65">
        <v>35</v>
      </c>
      <c r="AF616" s="1">
        <v>0</v>
      </c>
      <c r="AG616" s="64">
        <v>5.09</v>
      </c>
      <c r="AH616" s="20">
        <v>0.44224537037037037</v>
      </c>
      <c r="AJ616" s="2">
        <f>("19:00"-"17:50")*1440</f>
        <v>69.999999999999915</v>
      </c>
      <c r="AK616" s="3">
        <f t="shared" si="291"/>
        <v>240</v>
      </c>
      <c r="AN616" s="3">
        <v>40</v>
      </c>
      <c r="AP616" s="13">
        <f t="shared" si="289"/>
        <v>3425.0000000000455</v>
      </c>
      <c r="AR616" s="17"/>
      <c r="AS616" s="16">
        <f t="shared" si="286"/>
        <v>1</v>
      </c>
      <c r="AT616" s="16">
        <f t="shared" si="296"/>
        <v>0.14542857142857143</v>
      </c>
      <c r="AU616" s="61"/>
      <c r="AV616" s="57" t="str">
        <f t="shared" si="278"/>
        <v/>
      </c>
      <c r="AW616" s="57">
        <f t="shared" si="287"/>
        <v>35</v>
      </c>
      <c r="AX616" s="57" t="str">
        <f t="shared" si="274"/>
        <v/>
      </c>
      <c r="AY616" s="57" t="str">
        <f t="shared" si="284"/>
        <v/>
      </c>
      <c r="AZ616" s="57" t="str">
        <f t="shared" si="303"/>
        <v/>
      </c>
      <c r="BA616" s="60" t="str">
        <f t="shared" ref="BA616:BA623" si="304">IF(AND($E616&gt;0,$W616&gt;0),IF(($E616-$W616)/$E616&gt;0,($E616-$W616)/$E616,0),"")</f>
        <v/>
      </c>
      <c r="BB616" s="60">
        <f t="shared" si="302"/>
        <v>1</v>
      </c>
      <c r="BC616" s="60">
        <f t="shared" si="288"/>
        <v>0.14542857142857143</v>
      </c>
      <c r="BD616" s="60" t="str">
        <f t="shared" si="294"/>
        <v/>
      </c>
      <c r="BE616" s="6">
        <f t="shared" si="298"/>
        <v>30.000000000000039</v>
      </c>
      <c r="BF616" s="6">
        <f t="shared" si="297"/>
        <v>8.759124087591136</v>
      </c>
    </row>
    <row r="617" spans="1:58" ht="15.75">
      <c r="B617" s="63">
        <v>45877</v>
      </c>
      <c r="C617" s="1">
        <v>373</v>
      </c>
      <c r="D617" s="3">
        <v>612</v>
      </c>
      <c r="E617" s="205" t="str">
        <f t="shared" si="285"/>
        <v/>
      </c>
      <c r="I617" s="15">
        <f t="shared" si="293"/>
        <v>35</v>
      </c>
      <c r="K617" s="10" t="str">
        <f t="shared" si="299"/>
        <v/>
      </c>
      <c r="L617" s="9" t="str">
        <f t="shared" si="300"/>
        <v/>
      </c>
      <c r="M617" s="8" t="str">
        <f t="shared" si="301"/>
        <v/>
      </c>
      <c r="AB617" s="5">
        <v>80</v>
      </c>
      <c r="AD617" s="65">
        <v>35</v>
      </c>
      <c r="AF617" s="1">
        <v>0</v>
      </c>
      <c r="AG617" s="64">
        <v>3.96</v>
      </c>
      <c r="AH617" s="20">
        <v>0.43842592592592594</v>
      </c>
      <c r="AJ617" s="2">
        <f>("19:00"-"17:50")*1440</f>
        <v>69.999999999999915</v>
      </c>
      <c r="AK617" s="3">
        <f t="shared" si="291"/>
        <v>240</v>
      </c>
      <c r="AN617" s="3">
        <v>40</v>
      </c>
      <c r="AP617" s="13">
        <f t="shared" si="289"/>
        <v>3410.0000000000364</v>
      </c>
      <c r="AR617" s="17"/>
      <c r="AS617" s="16">
        <f t="shared" si="286"/>
        <v>1</v>
      </c>
      <c r="AT617" s="16">
        <f t="shared" si="296"/>
        <v>0.11314285714285714</v>
      </c>
      <c r="AU617" s="61"/>
      <c r="AV617" s="57" t="str">
        <f t="shared" si="278"/>
        <v/>
      </c>
      <c r="AW617" s="57">
        <f t="shared" si="287"/>
        <v>35</v>
      </c>
      <c r="AX617" s="57" t="str">
        <f t="shared" si="274"/>
        <v/>
      </c>
      <c r="AY617" s="57" t="str">
        <f t="shared" si="284"/>
        <v/>
      </c>
      <c r="AZ617" s="57" t="str">
        <f t="shared" si="303"/>
        <v/>
      </c>
      <c r="BA617" s="60" t="str">
        <f t="shared" si="304"/>
        <v/>
      </c>
      <c r="BB617" s="60">
        <f t="shared" si="302"/>
        <v>1</v>
      </c>
      <c r="BC617" s="60">
        <f t="shared" si="288"/>
        <v>0.11314285714285714</v>
      </c>
      <c r="BD617" s="60" t="str">
        <f t="shared" si="294"/>
        <v/>
      </c>
      <c r="BE617" s="6">
        <f t="shared" si="298"/>
        <v>30.000000000000039</v>
      </c>
      <c r="BF617" s="6">
        <f t="shared" si="297"/>
        <v>8.7976539589441991</v>
      </c>
    </row>
    <row r="618" spans="1:58" ht="15.75">
      <c r="B618" s="63">
        <v>45878</v>
      </c>
      <c r="C618" s="1">
        <v>374</v>
      </c>
      <c r="D618" s="3">
        <v>613</v>
      </c>
      <c r="E618" s="205" t="str">
        <f t="shared" si="285"/>
        <v/>
      </c>
      <c r="I618" s="15">
        <f t="shared" si="293"/>
        <v>26</v>
      </c>
      <c r="K618" s="10" t="str">
        <f t="shared" si="299"/>
        <v/>
      </c>
      <c r="L618" s="9" t="str">
        <f t="shared" si="300"/>
        <v/>
      </c>
      <c r="M618" s="8" t="str">
        <f t="shared" si="301"/>
        <v/>
      </c>
      <c r="AB618" s="5">
        <v>80</v>
      </c>
      <c r="AD618" s="65">
        <v>26</v>
      </c>
      <c r="AF618" s="1">
        <v>0</v>
      </c>
      <c r="AG618" s="64">
        <v>4.17</v>
      </c>
      <c r="AH618" s="20">
        <v>0.44120370370370371</v>
      </c>
      <c r="AJ618" s="2">
        <f>("19:00"-"17:50")*1440</f>
        <v>69.999999999999915</v>
      </c>
      <c r="AK618" s="3">
        <f t="shared" si="291"/>
        <v>240</v>
      </c>
      <c r="AN618" s="3">
        <v>40</v>
      </c>
      <c r="AP618" s="13" t="e">
        <f t="shared" si="289"/>
        <v>#DIV/0!</v>
      </c>
      <c r="AR618" s="17"/>
      <c r="AS618" s="16">
        <f t="shared" ref="AS618:AS638" si="305">(I618-AF618)/I618</f>
        <v>1</v>
      </c>
      <c r="AT618" s="16">
        <f t="shared" si="296"/>
        <v>0.16038461538461538</v>
      </c>
      <c r="AU618" s="61"/>
      <c r="AV618" s="57" t="str">
        <f t="shared" si="278"/>
        <v/>
      </c>
      <c r="AW618" s="57">
        <f t="shared" si="287"/>
        <v>26</v>
      </c>
      <c r="AX618" s="57" t="str">
        <f t="shared" si="274"/>
        <v/>
      </c>
      <c r="AY618" s="57" t="str">
        <f t="shared" si="284"/>
        <v/>
      </c>
      <c r="AZ618" s="57" t="str">
        <f t="shared" si="303"/>
        <v/>
      </c>
      <c r="BA618" s="60" t="str">
        <f t="shared" si="304"/>
        <v/>
      </c>
      <c r="BB618" s="60">
        <f t="shared" si="302"/>
        <v>1</v>
      </c>
      <c r="BC618" s="60">
        <f t="shared" ref="BC618:BC638" si="306">IF(AND($AG618&gt;=0,$AD618&gt;=0,$AF618&gt;=0),IF($AG618/($AD618-$AF618)&gt;0,$AG618/($AD618-$AF618),0),"")</f>
        <v>0.16038461538461538</v>
      </c>
      <c r="BD618" s="60" t="str">
        <f t="shared" si="294"/>
        <v/>
      </c>
      <c r="BE618" s="6">
        <f t="shared" si="298"/>
        <v>22.285714285714313</v>
      </c>
      <c r="BF618" s="6"/>
    </row>
    <row r="619" spans="1:58" ht="15.75">
      <c r="B619" s="63">
        <v>45879</v>
      </c>
      <c r="C619" s="1">
        <v>375</v>
      </c>
      <c r="D619" s="3">
        <v>614</v>
      </c>
      <c r="E619" s="205" t="str">
        <f t="shared" si="285"/>
        <v/>
      </c>
      <c r="I619" s="15">
        <f t="shared" si="293"/>
        <v>26</v>
      </c>
      <c r="K619" s="10" t="str">
        <f t="shared" si="299"/>
        <v/>
      </c>
      <c r="L619" s="9" t="str">
        <f t="shared" si="300"/>
        <v/>
      </c>
      <c r="M619" s="8" t="str">
        <f t="shared" si="301"/>
        <v/>
      </c>
      <c r="AB619" s="5">
        <v>80</v>
      </c>
      <c r="AD619" s="65">
        <v>26</v>
      </c>
      <c r="AF619" s="1">
        <v>0</v>
      </c>
      <c r="AG619" s="64">
        <v>3.51</v>
      </c>
      <c r="AH619" s="20">
        <v>0.43784722222222222</v>
      </c>
      <c r="AJ619" s="2">
        <f>("19:00"-"17:50")*1440</f>
        <v>69.999999999999915</v>
      </c>
      <c r="AK619" s="3">
        <f t="shared" si="291"/>
        <v>240</v>
      </c>
      <c r="AN619" s="3">
        <v>40</v>
      </c>
      <c r="AP619" s="13" t="e">
        <f t="shared" si="289"/>
        <v>#DIV/0!</v>
      </c>
      <c r="AR619" s="17"/>
      <c r="AS619" s="16">
        <f t="shared" si="305"/>
        <v>1</v>
      </c>
      <c r="AT619" s="16">
        <f t="shared" si="296"/>
        <v>0.13499999999999998</v>
      </c>
      <c r="AU619" s="61"/>
      <c r="AV619" s="57" t="str">
        <f t="shared" si="278"/>
        <v/>
      </c>
      <c r="AW619" s="57">
        <f t="shared" si="287"/>
        <v>26</v>
      </c>
      <c r="AX619" s="57" t="str">
        <f t="shared" si="274"/>
        <v/>
      </c>
      <c r="AY619" s="57" t="str">
        <f t="shared" si="284"/>
        <v/>
      </c>
      <c r="AZ619" s="57" t="str">
        <f t="shared" si="303"/>
        <v/>
      </c>
      <c r="BA619" s="60" t="str">
        <f t="shared" si="304"/>
        <v/>
      </c>
      <c r="BB619" s="60">
        <f t="shared" si="302"/>
        <v>1</v>
      </c>
      <c r="BC619" s="60">
        <f t="shared" si="306"/>
        <v>0.13499999999999998</v>
      </c>
      <c r="BD619" s="60" t="str">
        <f t="shared" si="294"/>
        <v/>
      </c>
      <c r="BE619" s="6">
        <f t="shared" si="298"/>
        <v>22.285714285714313</v>
      </c>
      <c r="BF619" s="6"/>
    </row>
    <row r="620" spans="1:58" ht="15.75">
      <c r="B620" s="63">
        <v>45880</v>
      </c>
      <c r="C620" s="1">
        <v>376</v>
      </c>
      <c r="D620" s="3">
        <v>615</v>
      </c>
      <c r="E620" s="205" t="str">
        <f t="shared" si="285"/>
        <v/>
      </c>
      <c r="I620" s="15">
        <f t="shared" si="293"/>
        <v>26</v>
      </c>
      <c r="K620" s="10" t="str">
        <f t="shared" si="299"/>
        <v/>
      </c>
      <c r="L620" s="9" t="str">
        <f t="shared" si="300"/>
        <v/>
      </c>
      <c r="M620" s="8" t="str">
        <f t="shared" si="301"/>
        <v/>
      </c>
      <c r="AB620" s="5">
        <v>80</v>
      </c>
      <c r="AD620" s="65">
        <v>26</v>
      </c>
      <c r="AF620" s="1">
        <v>0</v>
      </c>
      <c r="AG620" s="64">
        <v>3.24</v>
      </c>
      <c r="AH620" s="20">
        <v>0.43819444444444444</v>
      </c>
      <c r="AJ620" s="2">
        <f>("19:00"-"17:50")*1440</f>
        <v>69.999999999999915</v>
      </c>
      <c r="AK620" s="3">
        <f t="shared" si="291"/>
        <v>240</v>
      </c>
      <c r="AN620" s="3">
        <v>40</v>
      </c>
      <c r="AP620" s="13">
        <f t="shared" si="289"/>
        <v>3869.9999999999818</v>
      </c>
      <c r="AR620" s="17"/>
      <c r="AS620" s="16">
        <f t="shared" si="305"/>
        <v>1</v>
      </c>
      <c r="AT620" s="16">
        <f t="shared" si="296"/>
        <v>0.12461538461538463</v>
      </c>
      <c r="AU620" s="61"/>
      <c r="AV620" s="57" t="str">
        <f t="shared" si="278"/>
        <v/>
      </c>
      <c r="AW620" s="57">
        <f t="shared" si="287"/>
        <v>26</v>
      </c>
      <c r="AX620" s="57" t="str">
        <f t="shared" ref="AX620:AX683" si="307">IF(AND(ISNUMBER(AM620),ISNUMBER(G620)),G620-AM620,"")</f>
        <v/>
      </c>
      <c r="AY620" s="57" t="str">
        <f t="shared" si="284"/>
        <v/>
      </c>
      <c r="AZ620" s="57" t="str">
        <f t="shared" si="303"/>
        <v/>
      </c>
      <c r="BA620" s="60" t="str">
        <f t="shared" si="304"/>
        <v/>
      </c>
      <c r="BB620" s="60">
        <f t="shared" si="302"/>
        <v>1</v>
      </c>
      <c r="BC620" s="60">
        <f t="shared" si="306"/>
        <v>0.12461538461538463</v>
      </c>
      <c r="BD620" s="60" t="str">
        <f t="shared" si="294"/>
        <v/>
      </c>
      <c r="BE620" s="6">
        <f t="shared" si="298"/>
        <v>22.285714285714313</v>
      </c>
      <c r="BF620" s="6">
        <f t="shared" ref="BF620:BF629" si="308">IF(OR(AJ620=0,AP620=0,NOT(ISNUMBER(AD620)),NOT(ISNUMBER(AF620)),NOT(ISNUMBER(AJ620)),NOT(ISNUMBER(AP620))),"",
IFERROR(IF((AD620-AF620)/(AJ620/60)/(AP620/1000)&lt;=0,"",(AD620-AF620)/(AJ620/60)/(AP620/1000)),""))</f>
        <v>5.7585825027685829</v>
      </c>
    </row>
    <row r="621" spans="1:58" ht="15.75">
      <c r="B621" s="63">
        <v>45881</v>
      </c>
      <c r="C621" s="1">
        <v>377</v>
      </c>
      <c r="D621" s="3">
        <v>616</v>
      </c>
      <c r="E621" s="205" t="str">
        <f t="shared" si="285"/>
        <v/>
      </c>
      <c r="I621" s="15">
        <f t="shared" si="293"/>
        <v>26</v>
      </c>
      <c r="K621" s="10" t="str">
        <f t="shared" si="299"/>
        <v/>
      </c>
      <c r="L621" s="9" t="str">
        <f t="shared" si="300"/>
        <v/>
      </c>
      <c r="M621" s="8" t="str">
        <f t="shared" si="301"/>
        <v/>
      </c>
      <c r="AB621" s="5">
        <v>80</v>
      </c>
      <c r="AD621" s="65">
        <v>26</v>
      </c>
      <c r="AF621" s="1">
        <v>0</v>
      </c>
      <c r="AG621" s="64"/>
      <c r="AH621" s="20">
        <v>0.43298611111111113</v>
      </c>
      <c r="AJ621" s="2">
        <f>("18:55"-"17:50")*1440</f>
        <v>64.999999999999929</v>
      </c>
      <c r="AK621" s="3">
        <f t="shared" si="291"/>
        <v>240</v>
      </c>
      <c r="AN621" s="3">
        <v>40</v>
      </c>
      <c r="AP621" s="13">
        <f t="shared" si="289"/>
        <v>3869.9999999999818</v>
      </c>
      <c r="AR621" s="17"/>
      <c r="AS621" s="16">
        <f t="shared" si="305"/>
        <v>1</v>
      </c>
      <c r="AT621" s="16"/>
      <c r="AU621" s="61"/>
      <c r="AV621" s="57" t="str">
        <f t="shared" si="278"/>
        <v/>
      </c>
      <c r="AW621" s="57">
        <f t="shared" si="287"/>
        <v>26</v>
      </c>
      <c r="AX621" s="57" t="str">
        <f t="shared" si="307"/>
        <v/>
      </c>
      <c r="AY621" s="57" t="str">
        <f t="shared" si="284"/>
        <v/>
      </c>
      <c r="AZ621" s="57" t="str">
        <f t="shared" si="303"/>
        <v/>
      </c>
      <c r="BA621" s="60" t="str">
        <f t="shared" si="304"/>
        <v/>
      </c>
      <c r="BB621" s="60">
        <f t="shared" si="302"/>
        <v>1</v>
      </c>
      <c r="BC621" s="60">
        <f t="shared" si="306"/>
        <v>0</v>
      </c>
      <c r="BD621" s="60" t="str">
        <f t="shared" si="294"/>
        <v/>
      </c>
      <c r="BE621" s="6">
        <f t="shared" si="298"/>
        <v>24.000000000000025</v>
      </c>
      <c r="BF621" s="6">
        <f t="shared" si="308"/>
        <v>6.2015503875969342</v>
      </c>
    </row>
    <row r="622" spans="1:58" ht="15.75">
      <c r="B622" s="66">
        <v>45882</v>
      </c>
      <c r="C622" s="1">
        <v>378</v>
      </c>
      <c r="D622" s="3">
        <v>617</v>
      </c>
      <c r="E622" s="205" t="str">
        <f t="shared" si="285"/>
        <v/>
      </c>
      <c r="G622" s="15">
        <f>(N622*18-H622*18)/9</f>
        <v>14.880000000000003</v>
      </c>
      <c r="H622" s="9">
        <f>7.66</f>
        <v>7.66</v>
      </c>
      <c r="I622" s="15">
        <f t="shared" si="293"/>
        <v>26.7</v>
      </c>
      <c r="K622" s="10" t="str">
        <f t="shared" si="299"/>
        <v/>
      </c>
      <c r="L622" s="9" t="str">
        <f t="shared" si="300"/>
        <v/>
      </c>
      <c r="M622" s="8">
        <f t="shared" si="301"/>
        <v>3.5887096774193541</v>
      </c>
      <c r="N622" s="7">
        <v>15.1</v>
      </c>
      <c r="T622" s="6">
        <v>43.9</v>
      </c>
      <c r="AB622" s="5">
        <v>80</v>
      </c>
      <c r="AC622" s="7">
        <f>T622</f>
        <v>43.9</v>
      </c>
      <c r="AD622" s="65">
        <v>26.7</v>
      </c>
      <c r="AE622" s="1">
        <v>20.100000000000001</v>
      </c>
      <c r="AF622" s="1">
        <f>2*2.14</f>
        <v>4.28</v>
      </c>
      <c r="AG622" s="64"/>
      <c r="AH622" s="20">
        <v>0.4289351851851852</v>
      </c>
      <c r="AJ622" s="2">
        <f>("18:50"-"17:50")*1440</f>
        <v>59.999999999999943</v>
      </c>
      <c r="AK622" s="3">
        <f t="shared" si="291"/>
        <v>240</v>
      </c>
      <c r="AL622" s="4">
        <f>AE622</f>
        <v>20.100000000000001</v>
      </c>
      <c r="AM622" s="1">
        <f>10.8</f>
        <v>10.8</v>
      </c>
      <c r="AN622" s="3">
        <v>40</v>
      </c>
      <c r="AP622" s="13">
        <f t="shared" si="289"/>
        <v>3869.9999999999818</v>
      </c>
      <c r="AR622" s="17"/>
      <c r="AS622" s="16">
        <f t="shared" si="305"/>
        <v>0.83970037453183521</v>
      </c>
      <c r="AT622" s="16"/>
      <c r="AU622" s="61">
        <f>(G622-AM622)/G622</f>
        <v>0.27419354838709686</v>
      </c>
      <c r="AV622" s="57" t="str">
        <f t="shared" si="278"/>
        <v/>
      </c>
      <c r="AW622" s="57">
        <f t="shared" si="287"/>
        <v>22.419999999999998</v>
      </c>
      <c r="AX622" s="57">
        <f t="shared" si="307"/>
        <v>4.0800000000000018</v>
      </c>
      <c r="AY622" s="57">
        <f t="shared" si="284"/>
        <v>23.799999999999997</v>
      </c>
      <c r="AZ622" s="57">
        <f t="shared" si="303"/>
        <v>9.3000000000000007</v>
      </c>
      <c r="BA622" s="60" t="str">
        <f t="shared" si="304"/>
        <v/>
      </c>
      <c r="BB622" s="60">
        <f t="shared" si="302"/>
        <v>0.83970037453183521</v>
      </c>
      <c r="BC622" s="60">
        <f t="shared" si="306"/>
        <v>0</v>
      </c>
      <c r="BD622" s="60">
        <f t="shared" si="294"/>
        <v>0.27419354838709686</v>
      </c>
      <c r="BE622" s="6">
        <f t="shared" si="298"/>
        <v>22.420000000000019</v>
      </c>
      <c r="BF622" s="6">
        <f t="shared" si="308"/>
        <v>5.7932816537468019</v>
      </c>
    </row>
    <row r="623" spans="1:58" ht="15.75">
      <c r="A623" s="12" t="s">
        <v>33</v>
      </c>
      <c r="B623" s="63">
        <v>45883</v>
      </c>
      <c r="C623" s="1">
        <v>379</v>
      </c>
      <c r="D623" s="3">
        <v>618</v>
      </c>
      <c r="E623" s="205" t="str">
        <f t="shared" si="285"/>
        <v/>
      </c>
      <c r="G623" s="15">
        <f>(N623*18-H623*18)/9</f>
        <v>12.6</v>
      </c>
      <c r="H623" s="9">
        <f>5*0</f>
        <v>0</v>
      </c>
      <c r="I623" s="15">
        <f t="shared" si="293"/>
        <v>63.45</v>
      </c>
      <c r="K623" s="10" t="str">
        <f t="shared" si="299"/>
        <v/>
      </c>
      <c r="L623" s="9" t="str">
        <f t="shared" si="300"/>
        <v/>
      </c>
      <c r="M623" s="8">
        <f t="shared" si="301"/>
        <v>10.071428571428573</v>
      </c>
      <c r="N623" s="7">
        <f>5*1.26</f>
        <v>6.3</v>
      </c>
      <c r="AB623" s="5">
        <v>80</v>
      </c>
      <c r="AC623" s="7">
        <f>T623</f>
        <v>0</v>
      </c>
      <c r="AD623" s="65">
        <f>AD622+5*7.35</f>
        <v>63.45</v>
      </c>
      <c r="AE623" s="1">
        <f>5*0.583</f>
        <v>2.915</v>
      </c>
      <c r="AF623" s="1">
        <f>5*0.583</f>
        <v>2.915</v>
      </c>
      <c r="AG623" s="64">
        <v>12.94</v>
      </c>
      <c r="AH623" s="20">
        <v>0.49386574074074074</v>
      </c>
      <c r="AJ623" s="2">
        <f>("19:00"-"17:50")*1440</f>
        <v>69.999999999999915</v>
      </c>
      <c r="AK623" s="3">
        <f t="shared" si="291"/>
        <v>240</v>
      </c>
      <c r="AL623" s="4">
        <f>AE623</f>
        <v>2.915</v>
      </c>
      <c r="AM623" s="1">
        <f>5*0.359</f>
        <v>1.7949999999999999</v>
      </c>
      <c r="AN623" s="3">
        <v>40</v>
      </c>
      <c r="AP623" s="13">
        <f t="shared" si="289"/>
        <v>3869.9999999999818</v>
      </c>
      <c r="AR623" s="17"/>
      <c r="AS623" s="16">
        <f t="shared" si="305"/>
        <v>0.95405831363278171</v>
      </c>
      <c r="AT623" s="16">
        <f t="shared" ref="AT623:AT634" si="309">AG623/(AD623-AF623)</f>
        <v>0.21376063434376805</v>
      </c>
      <c r="AU623" s="61">
        <f>(G623-AM623)/G623</f>
        <v>0.85753968253968249</v>
      </c>
      <c r="AV623" s="57" t="str">
        <f t="shared" si="278"/>
        <v/>
      </c>
      <c r="AW623" s="57">
        <f t="shared" si="287"/>
        <v>60.535000000000004</v>
      </c>
      <c r="AX623" s="57">
        <f t="shared" si="307"/>
        <v>10.805</v>
      </c>
      <c r="AY623" s="57">
        <f t="shared" si="284"/>
        <v>-2.915</v>
      </c>
      <c r="AZ623" s="57">
        <f t="shared" si="303"/>
        <v>1.1200000000000001</v>
      </c>
      <c r="BA623" s="60" t="str">
        <f t="shared" si="304"/>
        <v/>
      </c>
      <c r="BB623" s="60">
        <f t="shared" si="302"/>
        <v>0.95405831363278171</v>
      </c>
      <c r="BC623" s="60">
        <f t="shared" si="306"/>
        <v>0.21376063434376805</v>
      </c>
      <c r="BD623" s="60">
        <f t="shared" si="294"/>
        <v>0.85753968253968249</v>
      </c>
      <c r="BE623" s="6">
        <f t="shared" si="298"/>
        <v>51.887142857142926</v>
      </c>
      <c r="BF623" s="6">
        <f t="shared" si="308"/>
        <v>13.407530454042163</v>
      </c>
    </row>
    <row r="624" spans="1:58" ht="15.75">
      <c r="A624" s="12" t="s">
        <v>32</v>
      </c>
      <c r="B624" s="63">
        <v>45884</v>
      </c>
      <c r="C624" s="1">
        <v>380</v>
      </c>
      <c r="D624" s="3">
        <v>619</v>
      </c>
      <c r="E624" s="205" t="str">
        <f t="shared" si="285"/>
        <v/>
      </c>
      <c r="I624" s="15">
        <f t="shared" si="293"/>
        <v>32</v>
      </c>
      <c r="K624" s="10" t="str">
        <f t="shared" si="299"/>
        <v/>
      </c>
      <c r="L624" s="9" t="str">
        <f t="shared" si="300"/>
        <v/>
      </c>
      <c r="M624" s="8" t="str">
        <f t="shared" si="301"/>
        <v/>
      </c>
      <c r="AB624" s="5">
        <v>80</v>
      </c>
      <c r="AD624" s="65">
        <v>32</v>
      </c>
      <c r="AF624" s="1">
        <v>0</v>
      </c>
      <c r="AG624" s="64">
        <v>1.46</v>
      </c>
      <c r="AH624" s="20">
        <v>0.52083333333333337</v>
      </c>
      <c r="AJ624" s="2">
        <f>("19:10"-"17:50")*1440</f>
        <v>80.000000000000028</v>
      </c>
      <c r="AK624" s="3">
        <f t="shared" si="291"/>
        <v>240</v>
      </c>
      <c r="AN624" s="3">
        <v>40</v>
      </c>
      <c r="AO624" s="2">
        <v>3869.9999999999818</v>
      </c>
      <c r="AP624" s="13">
        <f t="shared" si="289"/>
        <v>3999.9999999999773</v>
      </c>
      <c r="AR624" s="17"/>
      <c r="AS624" s="16">
        <f t="shared" si="305"/>
        <v>1</v>
      </c>
      <c r="AT624" s="16">
        <f t="shared" si="309"/>
        <v>4.5624999999999999E-2</v>
      </c>
      <c r="AU624" s="61"/>
      <c r="AV624" s="57" t="str">
        <f t="shared" si="278"/>
        <v/>
      </c>
      <c r="AW624" s="57">
        <f t="shared" si="287"/>
        <v>32</v>
      </c>
      <c r="AX624" s="57" t="str">
        <f t="shared" si="307"/>
        <v/>
      </c>
      <c r="AY624" s="57" t="str">
        <f t="shared" si="284"/>
        <v/>
      </c>
      <c r="AZ624" s="57" t="str">
        <f t="shared" si="303"/>
        <v/>
      </c>
      <c r="BA624" s="60">
        <v>1</v>
      </c>
      <c r="BB624" s="60">
        <f t="shared" si="302"/>
        <v>1</v>
      </c>
      <c r="BC624" s="60">
        <f t="shared" si="306"/>
        <v>4.5624999999999999E-2</v>
      </c>
      <c r="BD624" s="60" t="str">
        <f t="shared" si="294"/>
        <v/>
      </c>
      <c r="BE624" s="6">
        <f t="shared" si="298"/>
        <v>23.999999999999993</v>
      </c>
      <c r="BF624" s="6">
        <f t="shared" si="308"/>
        <v>6.000000000000032</v>
      </c>
    </row>
    <row r="625" spans="1:58" ht="15.75">
      <c r="B625" s="63">
        <v>45885</v>
      </c>
      <c r="C625" s="1">
        <v>381</v>
      </c>
      <c r="D625" s="3">
        <v>620</v>
      </c>
      <c r="E625" s="205" t="str">
        <f t="shared" si="285"/>
        <v/>
      </c>
      <c r="I625" s="15">
        <f t="shared" si="293"/>
        <v>32</v>
      </c>
      <c r="K625" s="10" t="str">
        <f t="shared" si="299"/>
        <v/>
      </c>
      <c r="L625" s="9" t="str">
        <f t="shared" si="300"/>
        <v/>
      </c>
      <c r="M625" s="8" t="str">
        <f t="shared" si="301"/>
        <v/>
      </c>
      <c r="AB625" s="5">
        <v>80</v>
      </c>
      <c r="AD625" s="65">
        <v>32</v>
      </c>
      <c r="AF625" s="1">
        <v>0</v>
      </c>
      <c r="AG625" s="64">
        <v>4.95</v>
      </c>
      <c r="AH625" s="20">
        <v>0.44050925925925927</v>
      </c>
      <c r="AJ625" s="2">
        <f>("19:00"-"17:50")*1440</f>
        <v>69.999999999999915</v>
      </c>
      <c r="AK625" s="3">
        <f t="shared" si="291"/>
        <v>240</v>
      </c>
      <c r="AN625" s="3">
        <v>40</v>
      </c>
      <c r="AP625" s="13">
        <f t="shared" si="289"/>
        <v>3999.9999999999773</v>
      </c>
      <c r="AR625" s="17"/>
      <c r="AS625" s="16">
        <f t="shared" si="305"/>
        <v>1</v>
      </c>
      <c r="AT625" s="16">
        <f t="shared" si="309"/>
        <v>0.15468750000000001</v>
      </c>
      <c r="AU625" s="61"/>
      <c r="AV625" s="57" t="str">
        <f t="shared" si="278"/>
        <v/>
      </c>
      <c r="AW625" s="57">
        <f t="shared" si="287"/>
        <v>32</v>
      </c>
      <c r="AX625" s="57" t="str">
        <f t="shared" si="307"/>
        <v/>
      </c>
      <c r="AY625" s="57" t="str">
        <f t="shared" si="284"/>
        <v/>
      </c>
      <c r="AZ625" s="57" t="str">
        <f t="shared" si="303"/>
        <v/>
      </c>
      <c r="BA625" s="60" t="str">
        <f>IF(AND($E625&gt;0,$W625&gt;0),IF(($E625-$W625)/$E625&gt;0,($E625-$W625)/$E625,0),"")</f>
        <v/>
      </c>
      <c r="BB625" s="60">
        <f t="shared" si="302"/>
        <v>1</v>
      </c>
      <c r="BC625" s="60">
        <f t="shared" si="306"/>
        <v>0.15468750000000001</v>
      </c>
      <c r="BD625" s="60" t="str">
        <f t="shared" si="294"/>
        <v/>
      </c>
      <c r="BE625" s="6">
        <f t="shared" si="298"/>
        <v>27.428571428571463</v>
      </c>
      <c r="BF625" s="6">
        <f t="shared" si="308"/>
        <v>6.8571428571429047</v>
      </c>
    </row>
    <row r="626" spans="1:58" ht="15.75">
      <c r="B626" s="63">
        <v>45886</v>
      </c>
      <c r="C626" s="1">
        <v>382</v>
      </c>
      <c r="D626" s="3">
        <v>621</v>
      </c>
      <c r="E626" s="205" t="str">
        <f t="shared" si="285"/>
        <v/>
      </c>
      <c r="G626" s="58">
        <v>14.400000000000002</v>
      </c>
      <c r="I626" s="15">
        <f t="shared" si="293"/>
        <v>32</v>
      </c>
      <c r="K626" s="10" t="str">
        <f t="shared" si="299"/>
        <v/>
      </c>
      <c r="L626" s="9" t="str">
        <f t="shared" si="300"/>
        <v/>
      </c>
      <c r="M626" s="8">
        <f t="shared" si="301"/>
        <v>4.4444444444444438</v>
      </c>
      <c r="AB626" s="5">
        <v>80</v>
      </c>
      <c r="AD626" s="65">
        <v>32</v>
      </c>
      <c r="AE626" s="1">
        <f>5*3.56</f>
        <v>17.8</v>
      </c>
      <c r="AF626" s="1">
        <v>0</v>
      </c>
      <c r="AG626" s="64">
        <v>6.7</v>
      </c>
      <c r="AH626" s="20">
        <v>0.44143518518518521</v>
      </c>
      <c r="AJ626" s="2">
        <f>("19:00"-"17:50")*1440</f>
        <v>69.999999999999915</v>
      </c>
      <c r="AK626" s="3">
        <f t="shared" si="291"/>
        <v>240</v>
      </c>
      <c r="AL626" s="4">
        <f>AE626</f>
        <v>17.8</v>
      </c>
      <c r="AM626" s="1">
        <f>5*1.68</f>
        <v>8.4</v>
      </c>
      <c r="AN626" s="3">
        <v>40</v>
      </c>
      <c r="AP626" s="13">
        <f t="shared" si="289"/>
        <v>3999.9999999999773</v>
      </c>
      <c r="AR626" s="17"/>
      <c r="AS626" s="16">
        <f t="shared" si="305"/>
        <v>1</v>
      </c>
      <c r="AT626" s="16">
        <f t="shared" si="309"/>
        <v>0.20937500000000001</v>
      </c>
      <c r="AU626" s="61">
        <f>(G626-AM626)/G626</f>
        <v>0.41666666666666674</v>
      </c>
      <c r="AV626" s="57" t="str">
        <f t="shared" si="278"/>
        <v/>
      </c>
      <c r="AW626" s="57">
        <f t="shared" si="287"/>
        <v>32</v>
      </c>
      <c r="AX626" s="57">
        <f t="shared" si="307"/>
        <v>6.0000000000000018</v>
      </c>
      <c r="AY626" s="57" t="str">
        <f t="shared" si="284"/>
        <v/>
      </c>
      <c r="AZ626" s="57">
        <f t="shared" si="303"/>
        <v>9.4</v>
      </c>
      <c r="BA626" s="60" t="str">
        <f>IF(AND($E626&gt;0,$W626&gt;0),IF(($E626-$W626)/$E626&gt;0,($E626-$W626)/$E626,0),"")</f>
        <v/>
      </c>
      <c r="BB626" s="60">
        <f t="shared" si="302"/>
        <v>1</v>
      </c>
      <c r="BC626" s="60">
        <f t="shared" si="306"/>
        <v>0.20937500000000001</v>
      </c>
      <c r="BD626" s="60">
        <f t="shared" si="294"/>
        <v>0.41666666666666674</v>
      </c>
      <c r="BE626" s="6">
        <f t="shared" si="298"/>
        <v>27.428571428571463</v>
      </c>
      <c r="BF626" s="6">
        <f t="shared" si="308"/>
        <v>6.8571428571429047</v>
      </c>
    </row>
    <row r="627" spans="1:58" ht="15.75">
      <c r="B627" s="63">
        <v>45887</v>
      </c>
      <c r="C627" s="1">
        <v>383</v>
      </c>
      <c r="D627" s="3">
        <v>622</v>
      </c>
      <c r="E627" s="205" t="str">
        <f t="shared" si="285"/>
        <v/>
      </c>
      <c r="I627" s="15">
        <f t="shared" si="293"/>
        <v>32</v>
      </c>
      <c r="K627" s="10" t="str">
        <f t="shared" si="299"/>
        <v/>
      </c>
      <c r="L627" s="9" t="str">
        <f t="shared" si="300"/>
        <v/>
      </c>
      <c r="M627" s="8" t="str">
        <f t="shared" si="301"/>
        <v/>
      </c>
      <c r="AB627" s="5">
        <v>80</v>
      </c>
      <c r="AD627" s="65">
        <v>32</v>
      </c>
      <c r="AF627" s="1">
        <v>0</v>
      </c>
      <c r="AG627" s="64">
        <v>10.61</v>
      </c>
      <c r="AH627" s="20">
        <v>0.4528935185185185</v>
      </c>
      <c r="AJ627" s="2">
        <f>("19:35"-"17:50")*1440</f>
        <v>104.99999999999994</v>
      </c>
      <c r="AK627" s="3">
        <f t="shared" si="291"/>
        <v>240</v>
      </c>
      <c r="AN627" s="3">
        <v>40</v>
      </c>
      <c r="AP627" s="13">
        <f t="shared" si="289"/>
        <v>4129.9999999999727</v>
      </c>
      <c r="AR627" s="17"/>
      <c r="AS627" s="16">
        <f t="shared" si="305"/>
        <v>1</v>
      </c>
      <c r="AT627" s="16">
        <f t="shared" si="309"/>
        <v>0.33156249999999998</v>
      </c>
      <c r="AU627" s="61"/>
      <c r="AV627" s="57" t="str">
        <f t="shared" si="278"/>
        <v/>
      </c>
      <c r="AW627" s="57">
        <f t="shared" si="287"/>
        <v>32</v>
      </c>
      <c r="AX627" s="57" t="str">
        <f t="shared" si="307"/>
        <v/>
      </c>
      <c r="AY627" s="57" t="str">
        <f t="shared" si="284"/>
        <v/>
      </c>
      <c r="AZ627" s="57" t="str">
        <f t="shared" si="303"/>
        <v/>
      </c>
      <c r="BA627" s="60" t="str">
        <f>IF(AND($E627&gt;0,$W627&gt;0),IF(($E627-$W627)/$E627&gt;0,($E627-$W627)/$E627,0),"")</f>
        <v/>
      </c>
      <c r="BB627" s="60">
        <f t="shared" si="302"/>
        <v>1</v>
      </c>
      <c r="BC627" s="60">
        <f t="shared" si="306"/>
        <v>0.33156249999999998</v>
      </c>
      <c r="BD627" s="60" t="str">
        <f t="shared" si="294"/>
        <v/>
      </c>
      <c r="BE627" s="6">
        <f t="shared" si="298"/>
        <v>18.285714285714295</v>
      </c>
      <c r="BF627" s="6">
        <f t="shared" si="308"/>
        <v>4.4275337253545803</v>
      </c>
    </row>
    <row r="628" spans="1:58" ht="15.75">
      <c r="A628" s="12" t="s">
        <v>31</v>
      </c>
      <c r="B628" s="66">
        <v>45888</v>
      </c>
      <c r="C628" s="1">
        <v>384</v>
      </c>
      <c r="D628" s="3">
        <v>623</v>
      </c>
      <c r="E628" s="205" t="str">
        <f t="shared" si="285"/>
        <v/>
      </c>
      <c r="I628" s="15">
        <f t="shared" si="293"/>
        <v>32</v>
      </c>
      <c r="K628" s="10" t="str">
        <f t="shared" si="299"/>
        <v/>
      </c>
      <c r="L628" s="9" t="str">
        <f t="shared" si="300"/>
        <v/>
      </c>
      <c r="M628" s="8" t="str">
        <f t="shared" si="301"/>
        <v/>
      </c>
      <c r="AB628" s="5">
        <v>80</v>
      </c>
      <c r="AD628" s="65">
        <v>32</v>
      </c>
      <c r="AF628" s="1">
        <v>0</v>
      </c>
      <c r="AG628" s="64">
        <v>5.37</v>
      </c>
      <c r="AH628" s="20">
        <v>0.52083333333333337</v>
      </c>
      <c r="AJ628" s="2">
        <f>("19:45"-"17:50")*1440</f>
        <v>114.99999999999991</v>
      </c>
      <c r="AK628" s="3">
        <f t="shared" si="291"/>
        <v>240</v>
      </c>
      <c r="AN628" s="3">
        <v>40</v>
      </c>
      <c r="AO628" s="2">
        <v>4129.9999999999727</v>
      </c>
      <c r="AP628" s="13">
        <f t="shared" si="289"/>
        <v>4129.9999999999727</v>
      </c>
      <c r="AR628" s="17"/>
      <c r="AS628" s="16">
        <f t="shared" si="305"/>
        <v>1</v>
      </c>
      <c r="AT628" s="16">
        <f t="shared" si="309"/>
        <v>0.1678125</v>
      </c>
      <c r="AU628" s="61"/>
      <c r="AV628" s="57" t="str">
        <f t="shared" si="278"/>
        <v/>
      </c>
      <c r="AW628" s="57">
        <f t="shared" si="287"/>
        <v>32</v>
      </c>
      <c r="AX628" s="57" t="str">
        <f t="shared" si="307"/>
        <v/>
      </c>
      <c r="AY628" s="57" t="str">
        <f t="shared" si="284"/>
        <v/>
      </c>
      <c r="AZ628" s="57" t="str">
        <f t="shared" si="303"/>
        <v/>
      </c>
      <c r="BA628" s="60">
        <v>1</v>
      </c>
      <c r="BB628" s="60">
        <f t="shared" si="302"/>
        <v>1</v>
      </c>
      <c r="BC628" s="60">
        <f t="shared" si="306"/>
        <v>0.1678125</v>
      </c>
      <c r="BD628" s="60" t="str">
        <f t="shared" si="294"/>
        <v/>
      </c>
      <c r="BE628" s="6">
        <f t="shared" si="298"/>
        <v>16.695652173913057</v>
      </c>
      <c r="BF628" s="6">
        <f t="shared" si="308"/>
        <v>4.0425307927150529</v>
      </c>
    </row>
    <row r="629" spans="1:58" ht="15.75">
      <c r="B629" s="63">
        <v>45889</v>
      </c>
      <c r="C629" s="1">
        <v>385</v>
      </c>
      <c r="D629" s="3">
        <v>624</v>
      </c>
      <c r="E629" s="205" t="str">
        <f t="shared" si="285"/>
        <v/>
      </c>
      <c r="I629" s="15">
        <f t="shared" si="293"/>
        <v>32</v>
      </c>
      <c r="K629" s="10" t="str">
        <f t="shared" si="299"/>
        <v/>
      </c>
      <c r="L629" s="9" t="str">
        <f t="shared" si="300"/>
        <v/>
      </c>
      <c r="M629" s="8" t="str">
        <f t="shared" si="301"/>
        <v/>
      </c>
      <c r="AB629" s="5">
        <v>80</v>
      </c>
      <c r="AD629" s="65">
        <v>32</v>
      </c>
      <c r="AF629" s="1">
        <v>0</v>
      </c>
      <c r="AG629" s="64">
        <v>9.8699999999999992</v>
      </c>
      <c r="AH629" s="20">
        <v>0.49467592592592591</v>
      </c>
      <c r="AJ629" s="2">
        <f>("20:55"-"17:50")*1440</f>
        <v>184.99999999999997</v>
      </c>
      <c r="AK629" s="3">
        <f t="shared" si="291"/>
        <v>240</v>
      </c>
      <c r="AN629" s="3">
        <v>40</v>
      </c>
      <c r="AP629" s="13">
        <f t="shared" si="289"/>
        <v>4129.9999999999727</v>
      </c>
      <c r="AR629" s="17"/>
      <c r="AS629" s="16">
        <f t="shared" si="305"/>
        <v>1</v>
      </c>
      <c r="AT629" s="16">
        <f t="shared" si="309"/>
        <v>0.30843749999999998</v>
      </c>
      <c r="AU629" s="61"/>
      <c r="AV629" s="57" t="str">
        <f t="shared" si="278"/>
        <v/>
      </c>
      <c r="AW629" s="57">
        <f t="shared" si="287"/>
        <v>32</v>
      </c>
      <c r="AX629" s="57" t="str">
        <f t="shared" si="307"/>
        <v/>
      </c>
      <c r="AY629" s="57" t="str">
        <f t="shared" si="284"/>
        <v/>
      </c>
      <c r="AZ629" s="57" t="str">
        <f t="shared" si="303"/>
        <v/>
      </c>
      <c r="BA629" s="60" t="str">
        <f t="shared" ref="BA629:BA660" si="310">IF(AND($E629&gt;0,$W629&gt;0),IF(($E629-$W629)/$E629&gt;0,($E629-$W629)/$E629,0),"")</f>
        <v/>
      </c>
      <c r="BB629" s="60">
        <f t="shared" si="302"/>
        <v>1</v>
      </c>
      <c r="BC629" s="60">
        <f t="shared" si="306"/>
        <v>0.30843749999999998</v>
      </c>
      <c r="BD629" s="60" t="str">
        <f t="shared" si="294"/>
        <v/>
      </c>
      <c r="BE629" s="6">
        <f t="shared" si="298"/>
        <v>10.378378378378379</v>
      </c>
      <c r="BF629" s="6">
        <f t="shared" si="308"/>
        <v>2.5129245468228687</v>
      </c>
    </row>
    <row r="630" spans="1:58" ht="15.75">
      <c r="A630" s="12" t="s">
        <v>30</v>
      </c>
      <c r="B630" s="63">
        <v>45890</v>
      </c>
      <c r="C630" s="1">
        <v>386</v>
      </c>
      <c r="D630" s="3">
        <v>625</v>
      </c>
      <c r="E630" s="205" t="str">
        <f t="shared" si="285"/>
        <v/>
      </c>
      <c r="G630" s="15">
        <f>(N630*18-H630*18)/9</f>
        <v>12.6</v>
      </c>
      <c r="H630" s="9">
        <f>5*0</f>
        <v>0</v>
      </c>
      <c r="I630" s="15">
        <f t="shared" si="293"/>
        <v>35</v>
      </c>
      <c r="K630" s="10" t="str">
        <f t="shared" si="299"/>
        <v/>
      </c>
      <c r="L630" s="9" t="str">
        <f t="shared" si="300"/>
        <v/>
      </c>
      <c r="M630" s="8">
        <f t="shared" si="301"/>
        <v>5.5555555555555554</v>
      </c>
      <c r="N630" s="7">
        <f>5*1.26</f>
        <v>6.3</v>
      </c>
      <c r="T630" s="6">
        <v>21.4</v>
      </c>
      <c r="AB630" s="5">
        <v>80</v>
      </c>
      <c r="AC630" s="7">
        <f>T630</f>
        <v>21.4</v>
      </c>
      <c r="AD630" s="65">
        <v>35</v>
      </c>
      <c r="AE630" s="1">
        <f>5*0.264</f>
        <v>1.32</v>
      </c>
      <c r="AF630" s="1">
        <f>2*2.14</f>
        <v>4.28</v>
      </c>
      <c r="AG630" s="64">
        <v>10.78</v>
      </c>
      <c r="AH630" s="20">
        <v>0.52083333333333337</v>
      </c>
      <c r="AJ630" s="2">
        <f>("21:05"-"17:50")*1440</f>
        <v>194.99999999999994</v>
      </c>
      <c r="AK630" s="3">
        <f t="shared" si="291"/>
        <v>240</v>
      </c>
      <c r="AL630" s="4">
        <f>AE630</f>
        <v>1.32</v>
      </c>
      <c r="AM630" s="1">
        <v>0</v>
      </c>
      <c r="AN630" s="3">
        <v>40</v>
      </c>
      <c r="AP630" s="13">
        <f t="shared" si="289"/>
        <v>4129.9999999999727</v>
      </c>
      <c r="AR630" s="17"/>
      <c r="AS630" s="16">
        <f t="shared" si="305"/>
        <v>0.87771428571428567</v>
      </c>
      <c r="AT630" s="16">
        <f t="shared" si="309"/>
        <v>0.35091145833333331</v>
      </c>
      <c r="AU630" s="61">
        <f>(G630-AM630)/G630</f>
        <v>1</v>
      </c>
      <c r="AV630" s="57" t="str">
        <f t="shared" si="278"/>
        <v/>
      </c>
      <c r="AW630" s="57">
        <f t="shared" si="287"/>
        <v>30.72</v>
      </c>
      <c r="AX630" s="57">
        <f t="shared" si="307"/>
        <v>12.6</v>
      </c>
      <c r="AY630" s="57">
        <f t="shared" si="284"/>
        <v>20.079999999999998</v>
      </c>
      <c r="AZ630" s="57">
        <f t="shared" si="303"/>
        <v>1.32</v>
      </c>
      <c r="BA630" s="60" t="str">
        <f t="shared" si="310"/>
        <v/>
      </c>
      <c r="BB630" s="60">
        <f t="shared" si="302"/>
        <v>0.87771428571428567</v>
      </c>
      <c r="BC630" s="60">
        <f t="shared" si="306"/>
        <v>0.35091145833333331</v>
      </c>
      <c r="BD630" s="60" t="str">
        <f t="shared" si="294"/>
        <v/>
      </c>
      <c r="BE630" s="6">
        <f t="shared" si="298"/>
        <v>9.452307692307695</v>
      </c>
      <c r="BF630" s="6"/>
    </row>
    <row r="631" spans="1:58" ht="15.75">
      <c r="B631" s="63">
        <v>45891</v>
      </c>
      <c r="C631" s="1">
        <v>387</v>
      </c>
      <c r="D631" s="3">
        <v>626</v>
      </c>
      <c r="E631" s="205" t="str">
        <f t="shared" si="285"/>
        <v/>
      </c>
      <c r="I631" s="15">
        <f t="shared" si="293"/>
        <v>35</v>
      </c>
      <c r="K631" s="10" t="str">
        <f t="shared" si="299"/>
        <v/>
      </c>
      <c r="L631" s="9" t="str">
        <f t="shared" si="300"/>
        <v/>
      </c>
      <c r="M631" s="8" t="str">
        <f t="shared" si="301"/>
        <v/>
      </c>
      <c r="AB631" s="5">
        <v>80</v>
      </c>
      <c r="AD631" s="65">
        <v>35</v>
      </c>
      <c r="AF631" s="1">
        <v>0</v>
      </c>
      <c r="AG631" s="64">
        <v>11.31</v>
      </c>
      <c r="AH631" s="20">
        <v>0.50821759259259258</v>
      </c>
      <c r="AJ631" s="2">
        <f>("20:50"-"17:50")*1440</f>
        <v>180</v>
      </c>
      <c r="AK631" s="3">
        <f t="shared" si="291"/>
        <v>240</v>
      </c>
      <c r="AN631" s="3">
        <v>40</v>
      </c>
      <c r="AP631" s="13" t="e">
        <f t="shared" si="289"/>
        <v>#DIV/0!</v>
      </c>
      <c r="AR631" s="17"/>
      <c r="AS631" s="16">
        <f t="shared" si="305"/>
        <v>1</v>
      </c>
      <c r="AT631" s="16">
        <f t="shared" si="309"/>
        <v>0.32314285714285718</v>
      </c>
      <c r="AU631" s="61"/>
      <c r="AV631" s="57" t="str">
        <f t="shared" ref="AV631:AV694" si="311">IF(AND(ISNUMBER(E631),ISNUMBER(W631)),E631-W631,"")</f>
        <v/>
      </c>
      <c r="AW631" s="57">
        <f t="shared" si="287"/>
        <v>35</v>
      </c>
      <c r="AX631" s="57" t="str">
        <f t="shared" si="307"/>
        <v/>
      </c>
      <c r="AY631" s="57" t="str">
        <f t="shared" si="284"/>
        <v/>
      </c>
      <c r="AZ631" s="57" t="str">
        <f t="shared" si="303"/>
        <v/>
      </c>
      <c r="BA631" s="60" t="str">
        <f t="shared" si="310"/>
        <v/>
      </c>
      <c r="BB631" s="60">
        <f t="shared" si="302"/>
        <v>1</v>
      </c>
      <c r="BC631" s="60">
        <f t="shared" si="306"/>
        <v>0.32314285714285718</v>
      </c>
      <c r="BD631" s="60" t="str">
        <f t="shared" si="294"/>
        <v/>
      </c>
      <c r="BE631" s="6">
        <f t="shared" si="298"/>
        <v>11.666666666666666</v>
      </c>
      <c r="BF631" s="6"/>
    </row>
    <row r="632" spans="1:58" ht="15.75">
      <c r="B632" s="63">
        <v>45892</v>
      </c>
      <c r="C632" s="1">
        <v>388</v>
      </c>
      <c r="D632" s="3">
        <v>627</v>
      </c>
      <c r="E632" s="205" t="str">
        <f t="shared" si="285"/>
        <v/>
      </c>
      <c r="I632" s="15">
        <f t="shared" si="293"/>
        <v>35</v>
      </c>
      <c r="K632" s="10" t="str">
        <f t="shared" si="299"/>
        <v/>
      </c>
      <c r="L632" s="9" t="str">
        <f t="shared" si="300"/>
        <v/>
      </c>
      <c r="M632" s="8" t="str">
        <f t="shared" si="301"/>
        <v/>
      </c>
      <c r="AB632" s="5">
        <v>80</v>
      </c>
      <c r="AD632" s="65">
        <v>35</v>
      </c>
      <c r="AF632" s="1">
        <v>0</v>
      </c>
      <c r="AG632" s="64">
        <v>11.29</v>
      </c>
      <c r="AH632" s="20">
        <v>0.50775462962962958</v>
      </c>
      <c r="AJ632" s="2">
        <f>("20:50"-"17:50")*1440</f>
        <v>180</v>
      </c>
      <c r="AK632" s="3">
        <f t="shared" si="291"/>
        <v>240</v>
      </c>
      <c r="AN632" s="3">
        <v>40</v>
      </c>
      <c r="AP632" s="13" t="e">
        <f t="shared" si="289"/>
        <v>#DIV/0!</v>
      </c>
      <c r="AR632" s="17"/>
      <c r="AS632" s="16">
        <f t="shared" si="305"/>
        <v>1</v>
      </c>
      <c r="AT632" s="16">
        <f t="shared" si="309"/>
        <v>0.32257142857142856</v>
      </c>
      <c r="AU632" s="61"/>
      <c r="AV632" s="57" t="str">
        <f t="shared" si="311"/>
        <v/>
      </c>
      <c r="AW632" s="57">
        <f t="shared" si="287"/>
        <v>35</v>
      </c>
      <c r="AX632" s="57" t="str">
        <f t="shared" si="307"/>
        <v/>
      </c>
      <c r="AY632" s="57" t="str">
        <f t="shared" si="284"/>
        <v/>
      </c>
      <c r="AZ632" s="57" t="str">
        <f t="shared" si="303"/>
        <v/>
      </c>
      <c r="BA632" s="60" t="str">
        <f t="shared" si="310"/>
        <v/>
      </c>
      <c r="BB632" s="60">
        <f t="shared" si="302"/>
        <v>1</v>
      </c>
      <c r="BC632" s="60">
        <f t="shared" si="306"/>
        <v>0.32257142857142856</v>
      </c>
      <c r="BD632" s="60" t="str">
        <f t="shared" ref="BD632:BD663" si="312">IF(AND($G632&gt;0,$AM632&gt;0),IF(($G632-$AM632)/$G632&gt;0,($G632-$AM632)/$G632,0),"")</f>
        <v/>
      </c>
      <c r="BE632" s="6">
        <f t="shared" si="298"/>
        <v>11.666666666666666</v>
      </c>
      <c r="BF632" s="6"/>
    </row>
    <row r="633" spans="1:58" ht="15.75">
      <c r="A633" s="12" t="s">
        <v>29</v>
      </c>
      <c r="B633" s="63">
        <v>45893</v>
      </c>
      <c r="C633" s="1">
        <v>389</v>
      </c>
      <c r="D633" s="3">
        <v>628</v>
      </c>
      <c r="E633" s="205" t="str">
        <f t="shared" si="285"/>
        <v/>
      </c>
      <c r="I633" s="15">
        <f t="shared" si="293"/>
        <v>35</v>
      </c>
      <c r="K633" s="10" t="str">
        <f t="shared" si="299"/>
        <v/>
      </c>
      <c r="L633" s="9" t="str">
        <f t="shared" si="300"/>
        <v/>
      </c>
      <c r="M633" s="8" t="str">
        <f t="shared" si="301"/>
        <v/>
      </c>
      <c r="AB633" s="5">
        <v>80</v>
      </c>
      <c r="AD633" s="65">
        <v>35</v>
      </c>
      <c r="AF633" s="1">
        <v>0</v>
      </c>
      <c r="AG633" s="64">
        <v>14.09</v>
      </c>
      <c r="AH633" s="20">
        <v>0.49108796296296298</v>
      </c>
      <c r="AJ633" s="2"/>
      <c r="AK633" s="3">
        <f t="shared" si="291"/>
        <v>240</v>
      </c>
      <c r="AN633" s="3">
        <v>40</v>
      </c>
      <c r="AP633" s="13" t="e">
        <f t="shared" si="289"/>
        <v>#DIV/0!</v>
      </c>
      <c r="AR633" s="17"/>
      <c r="AS633" s="16">
        <f t="shared" si="305"/>
        <v>1</v>
      </c>
      <c r="AT633" s="16">
        <f t="shared" si="309"/>
        <v>0.40257142857142858</v>
      </c>
      <c r="AU633" s="61"/>
      <c r="AV633" s="57" t="str">
        <f t="shared" si="311"/>
        <v/>
      </c>
      <c r="AW633" s="57">
        <f t="shared" si="287"/>
        <v>35</v>
      </c>
      <c r="AX633" s="57" t="str">
        <f t="shared" si="307"/>
        <v/>
      </c>
      <c r="AY633" s="57" t="str">
        <f t="shared" si="284"/>
        <v/>
      </c>
      <c r="AZ633" s="57" t="str">
        <f t="shared" si="303"/>
        <v/>
      </c>
      <c r="BA633" s="60" t="str">
        <f t="shared" si="310"/>
        <v/>
      </c>
      <c r="BB633" s="60">
        <f t="shared" si="302"/>
        <v>1</v>
      </c>
      <c r="BC633" s="60">
        <f t="shared" si="306"/>
        <v>0.40257142857142858</v>
      </c>
      <c r="BD633" s="60" t="str">
        <f t="shared" si="312"/>
        <v/>
      </c>
      <c r="BE633" s="6" t="e">
        <f t="shared" si="298"/>
        <v>#DIV/0!</v>
      </c>
      <c r="BF633" s="6"/>
    </row>
    <row r="634" spans="1:58" ht="15.75">
      <c r="B634" s="63">
        <v>45894</v>
      </c>
      <c r="C634" s="1">
        <v>390</v>
      </c>
      <c r="D634" s="3">
        <v>629</v>
      </c>
      <c r="E634" s="205" t="str">
        <f t="shared" si="285"/>
        <v/>
      </c>
      <c r="I634" s="15">
        <f t="shared" si="293"/>
        <v>35</v>
      </c>
      <c r="K634" s="10" t="str">
        <f t="shared" si="299"/>
        <v/>
      </c>
      <c r="L634" s="9" t="str">
        <f t="shared" si="300"/>
        <v/>
      </c>
      <c r="M634" s="8" t="str">
        <f t="shared" si="301"/>
        <v/>
      </c>
      <c r="AB634" s="5">
        <v>80</v>
      </c>
      <c r="AD634" s="65">
        <v>35</v>
      </c>
      <c r="AF634" s="1">
        <v>0</v>
      </c>
      <c r="AG634" s="64">
        <v>5.49</v>
      </c>
      <c r="AH634" s="20">
        <v>0.44224537037037037</v>
      </c>
      <c r="AJ634" s="2">
        <f>("19:20"-"17:50")*1440</f>
        <v>90</v>
      </c>
      <c r="AK634" s="3">
        <f t="shared" si="291"/>
        <v>240</v>
      </c>
      <c r="AN634" s="3">
        <v>40</v>
      </c>
      <c r="AP634" s="13" t="e">
        <f t="shared" si="289"/>
        <v>#DIV/0!</v>
      </c>
      <c r="AR634" s="17"/>
      <c r="AS634" s="16">
        <f t="shared" si="305"/>
        <v>1</v>
      </c>
      <c r="AT634" s="16">
        <f t="shared" si="309"/>
        <v>0.15685714285714286</v>
      </c>
      <c r="AU634" s="61"/>
      <c r="AV634" s="57" t="str">
        <f t="shared" si="311"/>
        <v/>
      </c>
      <c r="AW634" s="57">
        <f t="shared" si="287"/>
        <v>35</v>
      </c>
      <c r="AX634" s="57" t="str">
        <f t="shared" si="307"/>
        <v/>
      </c>
      <c r="AY634" s="57" t="str">
        <f t="shared" si="284"/>
        <v/>
      </c>
      <c r="AZ634" s="57" t="str">
        <f t="shared" si="303"/>
        <v/>
      </c>
      <c r="BA634" s="60" t="str">
        <f t="shared" si="310"/>
        <v/>
      </c>
      <c r="BB634" s="60">
        <f t="shared" si="302"/>
        <v>1</v>
      </c>
      <c r="BC634" s="60">
        <f t="shared" si="306"/>
        <v>0.15685714285714286</v>
      </c>
      <c r="BD634" s="60" t="str">
        <f t="shared" si="312"/>
        <v/>
      </c>
      <c r="BE634" s="6">
        <f t="shared" si="298"/>
        <v>23.333333333333332</v>
      </c>
      <c r="BF634" s="6"/>
    </row>
    <row r="635" spans="1:58" ht="15.75">
      <c r="B635" s="63">
        <v>45895</v>
      </c>
      <c r="C635" s="1">
        <v>391</v>
      </c>
      <c r="D635" s="3">
        <v>630</v>
      </c>
      <c r="E635" s="205" t="str">
        <f t="shared" si="285"/>
        <v/>
      </c>
      <c r="G635" s="58">
        <v>14</v>
      </c>
      <c r="I635" s="15">
        <f t="shared" si="293"/>
        <v>35</v>
      </c>
      <c r="K635" s="10" t="str">
        <f t="shared" si="299"/>
        <v/>
      </c>
      <c r="L635" s="9" t="str">
        <f t="shared" si="300"/>
        <v/>
      </c>
      <c r="M635" s="8">
        <f t="shared" si="301"/>
        <v>5</v>
      </c>
      <c r="AB635" s="5">
        <v>80</v>
      </c>
      <c r="AD635" s="65">
        <v>35</v>
      </c>
      <c r="AE635" s="1">
        <f>AL635</f>
        <v>16.579999999999998</v>
      </c>
      <c r="AF635" s="1">
        <v>0</v>
      </c>
      <c r="AG635" s="64"/>
      <c r="AH635" s="20">
        <v>0.41111111111111109</v>
      </c>
      <c r="AJ635" s="2">
        <f>("19:00"-"17:50")*1440</f>
        <v>69.999999999999915</v>
      </c>
      <c r="AK635" s="3">
        <f t="shared" si="291"/>
        <v>240</v>
      </c>
      <c r="AL635" s="4">
        <f>2*8.29</f>
        <v>16.579999999999998</v>
      </c>
      <c r="AM635" s="1">
        <f>2*2.48</f>
        <v>4.96</v>
      </c>
      <c r="AN635" s="3">
        <v>40</v>
      </c>
      <c r="AP635" s="13" t="e">
        <f t="shared" si="289"/>
        <v>#DIV/0!</v>
      </c>
      <c r="AR635" s="17"/>
      <c r="AS635" s="16">
        <f t="shared" si="305"/>
        <v>1</v>
      </c>
      <c r="AT635" s="16"/>
      <c r="AU635" s="61">
        <f>(G635-AM635)/G635</f>
        <v>0.64571428571428569</v>
      </c>
      <c r="AV635" s="57" t="str">
        <f t="shared" si="311"/>
        <v/>
      </c>
      <c r="AW635" s="57">
        <f t="shared" si="287"/>
        <v>35</v>
      </c>
      <c r="AX635" s="57">
        <f t="shared" si="307"/>
        <v>9.0399999999999991</v>
      </c>
      <c r="AY635" s="57" t="str">
        <f t="shared" si="284"/>
        <v/>
      </c>
      <c r="AZ635" s="57">
        <f t="shared" si="303"/>
        <v>11.619999999999997</v>
      </c>
      <c r="BA635" s="60" t="str">
        <f t="shared" si="310"/>
        <v/>
      </c>
      <c r="BB635" s="60">
        <f t="shared" si="302"/>
        <v>1</v>
      </c>
      <c r="BC635" s="60">
        <f t="shared" si="306"/>
        <v>0</v>
      </c>
      <c r="BD635" s="60">
        <f t="shared" si="312"/>
        <v>0.64571428571428569</v>
      </c>
      <c r="BE635" s="6">
        <f t="shared" si="298"/>
        <v>30.000000000000039</v>
      </c>
      <c r="BF635" s="6"/>
    </row>
    <row r="636" spans="1:58" ht="15.75">
      <c r="B636" s="63">
        <v>45896</v>
      </c>
      <c r="C636" s="1">
        <v>392</v>
      </c>
      <c r="D636" s="3">
        <v>631</v>
      </c>
      <c r="E636" s="205" t="str">
        <f t="shared" si="285"/>
        <v/>
      </c>
      <c r="I636" s="15">
        <f t="shared" si="293"/>
        <v>35</v>
      </c>
      <c r="K636" s="10" t="str">
        <f>IF(OR(E636="",G636="",E636=0,G636=0),"",E636/G636)</f>
        <v/>
      </c>
      <c r="L636" s="9" t="str">
        <f>IF(OR(E636="",I636="",E636=0,I636=0),"",E636/(I636*2))</f>
        <v/>
      </c>
      <c r="M636" s="8" t="str">
        <f>IF(OR(I636="",G636="",I636=0,G636=0),"",I636*2/G636)</f>
        <v/>
      </c>
      <c r="AB636" s="5">
        <v>80</v>
      </c>
      <c r="AD636" s="65">
        <v>35</v>
      </c>
      <c r="AF636" s="1">
        <v>0</v>
      </c>
      <c r="AG636" s="64"/>
      <c r="AH636" s="20">
        <v>0.4045138888888889</v>
      </c>
      <c r="AJ636" s="2">
        <f>("19:00"-"17:50")*1440</f>
        <v>69.999999999999915</v>
      </c>
      <c r="AK636" s="3">
        <f t="shared" si="291"/>
        <v>240</v>
      </c>
      <c r="AN636" s="3">
        <v>40</v>
      </c>
      <c r="AP636" s="13" t="e">
        <f t="shared" si="289"/>
        <v>#DIV/0!</v>
      </c>
      <c r="AR636" s="17"/>
      <c r="AS636" s="16">
        <f t="shared" si="305"/>
        <v>1</v>
      </c>
      <c r="AT636" s="16"/>
      <c r="AU636" s="61"/>
      <c r="AV636" s="57" t="str">
        <f t="shared" si="311"/>
        <v/>
      </c>
      <c r="AW636" s="57">
        <f t="shared" si="287"/>
        <v>35</v>
      </c>
      <c r="AX636" s="57" t="str">
        <f t="shared" si="307"/>
        <v/>
      </c>
      <c r="AY636" s="57" t="str">
        <f t="shared" si="284"/>
        <v/>
      </c>
      <c r="AZ636" s="57" t="str">
        <f t="shared" si="303"/>
        <v/>
      </c>
      <c r="BA636" s="60" t="str">
        <f t="shared" si="310"/>
        <v/>
      </c>
      <c r="BB636" s="60">
        <f t="shared" si="302"/>
        <v>1</v>
      </c>
      <c r="BC636" s="60">
        <f t="shared" si="306"/>
        <v>0</v>
      </c>
      <c r="BD636" s="60" t="str">
        <f t="shared" si="312"/>
        <v/>
      </c>
      <c r="BE636" s="6">
        <f t="shared" si="298"/>
        <v>30.000000000000039</v>
      </c>
      <c r="BF636" s="6"/>
    </row>
    <row r="637" spans="1:58" ht="15.75">
      <c r="B637" s="63">
        <v>45897</v>
      </c>
      <c r="C637" s="1">
        <v>393</v>
      </c>
      <c r="D637" s="3">
        <v>632</v>
      </c>
      <c r="E637" s="205" t="str">
        <f t="shared" si="285"/>
        <v/>
      </c>
      <c r="I637" s="15">
        <f t="shared" si="293"/>
        <v>35</v>
      </c>
      <c r="K637" s="10" t="str">
        <f t="shared" ref="K637:K666" si="313">IF(OR(E637="",G637="",E637=0,G637=0),"",E637/G637)</f>
        <v/>
      </c>
      <c r="L637" s="9" t="str">
        <f t="shared" ref="L637:L666" si="314">IF(OR(E637="",I637="",E637=0,I637=0),"",E637/(I637*2))</f>
        <v/>
      </c>
      <c r="M637" s="8" t="str">
        <f t="shared" ref="M637:M666" si="315">IF(OR(I637="",G637="",I637=0,G637=0),"",I637*2/G637)</f>
        <v/>
      </c>
      <c r="AB637" s="5">
        <v>80</v>
      </c>
      <c r="AD637" s="65">
        <v>35</v>
      </c>
      <c r="AF637" s="1">
        <v>0</v>
      </c>
      <c r="AG637" s="64">
        <v>3.75</v>
      </c>
      <c r="AH637" s="20">
        <v>0.44398148148148148</v>
      </c>
      <c r="AJ637" s="2">
        <f>("19:10"-"17:50")*1440</f>
        <v>80.000000000000028</v>
      </c>
      <c r="AK637" s="3">
        <f t="shared" si="291"/>
        <v>240</v>
      </c>
      <c r="AN637" s="3">
        <v>40</v>
      </c>
      <c r="AP637" s="13" t="e">
        <f t="shared" si="289"/>
        <v>#DIV/0!</v>
      </c>
      <c r="AR637" s="17"/>
      <c r="AS637" s="16">
        <f t="shared" si="305"/>
        <v>1</v>
      </c>
      <c r="AT637" s="16">
        <f>AG637/(AD637-AF637)</f>
        <v>0.10714285714285714</v>
      </c>
      <c r="AU637" s="61"/>
      <c r="AV637" s="57" t="str">
        <f t="shared" si="311"/>
        <v/>
      </c>
      <c r="AW637" s="57">
        <f t="shared" si="287"/>
        <v>35</v>
      </c>
      <c r="AX637" s="57" t="str">
        <f t="shared" si="307"/>
        <v/>
      </c>
      <c r="AY637" s="57" t="str">
        <f t="shared" si="284"/>
        <v/>
      </c>
      <c r="AZ637" s="57" t="str">
        <f t="shared" si="303"/>
        <v/>
      </c>
      <c r="BA637" s="60" t="str">
        <f t="shared" si="310"/>
        <v/>
      </c>
      <c r="BB637" s="60">
        <f t="shared" si="302"/>
        <v>1</v>
      </c>
      <c r="BC637" s="60">
        <f t="shared" si="306"/>
        <v>0.10714285714285714</v>
      </c>
      <c r="BD637" s="60" t="str">
        <f t="shared" si="312"/>
        <v/>
      </c>
      <c r="BE637" s="6">
        <f t="shared" si="298"/>
        <v>26.249999999999993</v>
      </c>
      <c r="BF637" s="6"/>
    </row>
    <row r="638" spans="1:58" ht="15.75">
      <c r="B638" s="63">
        <v>45898</v>
      </c>
      <c r="C638" s="1">
        <v>394</v>
      </c>
      <c r="D638" s="3">
        <v>633</v>
      </c>
      <c r="E638" s="205">
        <f t="shared" si="285"/>
        <v>263.92004599999996</v>
      </c>
      <c r="G638" s="15">
        <f>(N638*18-H638*18)/9</f>
        <v>14.400000000000002</v>
      </c>
      <c r="H638" s="9">
        <f>5*0.24</f>
        <v>1.2</v>
      </c>
      <c r="I638" s="15">
        <f t="shared" si="293"/>
        <v>36.200000000000003</v>
      </c>
      <c r="K638" s="10">
        <f t="shared" si="313"/>
        <v>18.327780972222218</v>
      </c>
      <c r="L638" s="9">
        <f t="shared" si="314"/>
        <v>3.6453045027624302</v>
      </c>
      <c r="M638" s="8">
        <f t="shared" si="315"/>
        <v>5.0277777777777777</v>
      </c>
      <c r="N638" s="7">
        <f>5*1.68</f>
        <v>8.4</v>
      </c>
      <c r="O638" s="6">
        <v>84.858999999999995</v>
      </c>
      <c r="P638" s="6">
        <v>27.355</v>
      </c>
      <c r="Q638" s="6">
        <f>O638*1.067</f>
        <v>90.544552999999993</v>
      </c>
      <c r="R638" s="6">
        <f>P638*1.514</f>
        <v>41.415469999999999</v>
      </c>
      <c r="S638" s="23">
        <f>P638*1.514+O638*1.067</f>
        <v>131.96002299999998</v>
      </c>
      <c r="T638" s="6">
        <f>34.8</f>
        <v>34.799999999999997</v>
      </c>
      <c r="U638" s="59">
        <f>0.822*1.067</f>
        <v>0.87707399999999991</v>
      </c>
      <c r="V638" s="59">
        <f>0.63*1.514</f>
        <v>0.95382</v>
      </c>
      <c r="W638" s="23">
        <f>U638*1.067+V638*1.514</f>
        <v>2.3799214379999998</v>
      </c>
      <c r="X638" s="6">
        <v>0.24</v>
      </c>
      <c r="Y638" s="6">
        <v>0.19</v>
      </c>
      <c r="Z638" s="6">
        <v>-65</v>
      </c>
      <c r="AA638" s="6">
        <v>-387</v>
      </c>
      <c r="AB638" s="5">
        <v>80</v>
      </c>
      <c r="AC638" s="7">
        <f>T638</f>
        <v>34.799999999999997</v>
      </c>
      <c r="AD638" s="1">
        <f>36.2</f>
        <v>36.200000000000003</v>
      </c>
      <c r="AE638" s="1">
        <f>5*1.59</f>
        <v>7.95</v>
      </c>
      <c r="AF638" s="1">
        <v>0</v>
      </c>
      <c r="AG638" s="62">
        <v>9.14</v>
      </c>
      <c r="AH638" s="20">
        <v>0.45347222222222222</v>
      </c>
      <c r="AJ638" s="2">
        <f>("19:10"-"17:50")*1440</f>
        <v>80.000000000000028</v>
      </c>
      <c r="AK638" s="3">
        <f t="shared" si="291"/>
        <v>240</v>
      </c>
      <c r="AL638" s="4">
        <f>AE638</f>
        <v>7.95</v>
      </c>
      <c r="AM638" s="1">
        <f>5*0.009</f>
        <v>4.4999999999999998E-2</v>
      </c>
      <c r="AN638" s="3">
        <v>40</v>
      </c>
      <c r="AP638" s="13" t="e">
        <f t="shared" si="289"/>
        <v>#DIV/0!</v>
      </c>
      <c r="AR638" s="17">
        <f>(E638-W638)/E638</f>
        <v>0.99098241503792406</v>
      </c>
      <c r="AS638" s="16">
        <f t="shared" si="305"/>
        <v>1</v>
      </c>
      <c r="AT638" s="16">
        <f>AG638/(AD638-AF638)</f>
        <v>0.25248618784530386</v>
      </c>
      <c r="AU638" s="61">
        <f>(G638-AM638)/G638</f>
        <v>0.99687499999999996</v>
      </c>
      <c r="AV638" s="57">
        <f t="shared" si="311"/>
        <v>261.54012456199996</v>
      </c>
      <c r="AW638" s="57">
        <f t="shared" si="287"/>
        <v>36.200000000000003</v>
      </c>
      <c r="AX638" s="57">
        <f t="shared" si="307"/>
        <v>14.355000000000002</v>
      </c>
      <c r="AY638" s="57">
        <f t="shared" si="284"/>
        <v>26.849999999999998</v>
      </c>
      <c r="AZ638" s="57">
        <f t="shared" si="303"/>
        <v>7.9050000000000002</v>
      </c>
      <c r="BA638" s="60">
        <f t="shared" si="310"/>
        <v>0.99098241503792406</v>
      </c>
      <c r="BB638" s="60">
        <f t="shared" si="302"/>
        <v>1</v>
      </c>
      <c r="BC638" s="60">
        <f t="shared" si="306"/>
        <v>0.25248618784530386</v>
      </c>
      <c r="BD638" s="60">
        <f t="shared" si="312"/>
        <v>0.99687499999999996</v>
      </c>
      <c r="BE638" s="6">
        <f t="shared" si="298"/>
        <v>27.149999999999995</v>
      </c>
      <c r="BF638" s="6"/>
    </row>
    <row r="639" spans="1:58" ht="15.75">
      <c r="B639" s="63">
        <v>45899</v>
      </c>
      <c r="C639" s="1">
        <v>395</v>
      </c>
      <c r="D639" s="3">
        <v>634</v>
      </c>
      <c r="E639" s="205" t="str">
        <f t="shared" si="285"/>
        <v/>
      </c>
      <c r="I639" s="15">
        <f t="shared" si="293"/>
        <v>0</v>
      </c>
      <c r="K639" s="10" t="str">
        <f t="shared" si="313"/>
        <v/>
      </c>
      <c r="L639" s="9" t="str">
        <f t="shared" si="314"/>
        <v/>
      </c>
      <c r="M639" s="8" t="str">
        <f t="shared" si="315"/>
        <v/>
      </c>
      <c r="AB639" s="5">
        <v>80</v>
      </c>
      <c r="AF639" s="1">
        <v>0</v>
      </c>
      <c r="AG639" s="62">
        <v>9.8000000000000007</v>
      </c>
      <c r="AH639" s="20">
        <v>0.44675925925925924</v>
      </c>
      <c r="AJ639" s="2">
        <f>("19:10"-"17:50")*1440</f>
        <v>80.000000000000028</v>
      </c>
      <c r="AK639" s="3">
        <f t="shared" si="291"/>
        <v>240</v>
      </c>
      <c r="AN639" s="3">
        <v>40</v>
      </c>
      <c r="AP639" s="13" t="e">
        <f t="shared" si="289"/>
        <v>#DIV/0!</v>
      </c>
      <c r="AR639" s="17"/>
      <c r="AS639" s="16"/>
      <c r="AT639" s="16"/>
      <c r="AU639" s="61"/>
      <c r="AV639" s="57" t="str">
        <f t="shared" si="311"/>
        <v/>
      </c>
      <c r="AW639" s="57">
        <f t="shared" si="287"/>
        <v>0</v>
      </c>
      <c r="AX639" s="57" t="str">
        <f t="shared" si="307"/>
        <v/>
      </c>
      <c r="AY639" s="57" t="str">
        <f t="shared" si="284"/>
        <v/>
      </c>
      <c r="AZ639" s="57" t="str">
        <f t="shared" si="303"/>
        <v/>
      </c>
      <c r="BA639" s="60" t="str">
        <f t="shared" si="310"/>
        <v/>
      </c>
      <c r="BB639" s="60" t="str">
        <f t="shared" si="302"/>
        <v/>
      </c>
      <c r="BC639" s="60"/>
      <c r="BD639" s="60" t="str">
        <f t="shared" si="312"/>
        <v/>
      </c>
      <c r="BE639" s="6" t="str">
        <f t="shared" si="298"/>
        <v/>
      </c>
      <c r="BF639" s="6"/>
    </row>
    <row r="640" spans="1:58" ht="15.75">
      <c r="B640" s="63">
        <v>45900</v>
      </c>
      <c r="C640" s="1">
        <v>396</v>
      </c>
      <c r="D640" s="3">
        <v>635</v>
      </c>
      <c r="E640" s="205" t="str">
        <f t="shared" si="285"/>
        <v/>
      </c>
      <c r="I640" s="15">
        <f t="shared" si="293"/>
        <v>0</v>
      </c>
      <c r="K640" s="10" t="str">
        <f t="shared" si="313"/>
        <v/>
      </c>
      <c r="L640" s="9" t="str">
        <f t="shared" si="314"/>
        <v/>
      </c>
      <c r="M640" s="8" t="str">
        <f t="shared" si="315"/>
        <v/>
      </c>
      <c r="AB640" s="5">
        <v>80</v>
      </c>
      <c r="AF640" s="1">
        <v>0</v>
      </c>
      <c r="AG640" s="62">
        <v>10.64</v>
      </c>
      <c r="AH640" s="20">
        <v>0.45624999999999999</v>
      </c>
      <c r="AJ640" s="2">
        <f>("19:20"-"17:50")*1440</f>
        <v>90</v>
      </c>
      <c r="AK640" s="3">
        <f t="shared" si="291"/>
        <v>240</v>
      </c>
      <c r="AN640" s="3">
        <v>40</v>
      </c>
      <c r="AP640" s="13" t="e">
        <f t="shared" si="289"/>
        <v>#DIV/0!</v>
      </c>
      <c r="AR640" s="17"/>
      <c r="AS640" s="16"/>
      <c r="AT640" s="16"/>
      <c r="AU640" s="61"/>
      <c r="AV640" s="57" t="str">
        <f t="shared" si="311"/>
        <v/>
      </c>
      <c r="AW640" s="57">
        <f t="shared" si="287"/>
        <v>0</v>
      </c>
      <c r="AX640" s="57" t="str">
        <f t="shared" si="307"/>
        <v/>
      </c>
      <c r="AY640" s="57" t="str">
        <f t="shared" si="284"/>
        <v/>
      </c>
      <c r="AZ640" s="57" t="str">
        <f t="shared" si="303"/>
        <v/>
      </c>
      <c r="BA640" s="60" t="str">
        <f t="shared" si="310"/>
        <v/>
      </c>
      <c r="BB640" s="60" t="str">
        <f t="shared" si="302"/>
        <v/>
      </c>
      <c r="BC640" s="60"/>
      <c r="BD640" s="60" t="str">
        <f t="shared" si="312"/>
        <v/>
      </c>
      <c r="BE640" s="6" t="str">
        <f t="shared" si="298"/>
        <v/>
      </c>
      <c r="BF640" s="6"/>
    </row>
    <row r="641" spans="1:58" ht="15.75">
      <c r="A641" s="25" t="s">
        <v>28</v>
      </c>
      <c r="B641" s="63">
        <v>45901</v>
      </c>
      <c r="C641" s="1">
        <v>397</v>
      </c>
      <c r="D641" s="3">
        <v>636</v>
      </c>
      <c r="E641" s="205" t="str">
        <f t="shared" si="285"/>
        <v/>
      </c>
      <c r="G641" s="15"/>
      <c r="I641" s="15">
        <f t="shared" si="293"/>
        <v>0</v>
      </c>
      <c r="K641" s="10" t="str">
        <f t="shared" si="313"/>
        <v/>
      </c>
      <c r="L641" s="9" t="str">
        <f t="shared" si="314"/>
        <v/>
      </c>
      <c r="M641" s="8" t="str">
        <f t="shared" si="315"/>
        <v/>
      </c>
      <c r="AB641" s="5">
        <v>80</v>
      </c>
      <c r="AF641" s="1">
        <v>0</v>
      </c>
      <c r="AG641" s="62">
        <v>13.42</v>
      </c>
      <c r="AH641" s="20">
        <v>0.47210648148148149</v>
      </c>
      <c r="AJ641" s="2">
        <f>("19:55"-"17:50")*1440</f>
        <v>125.00000000000003</v>
      </c>
      <c r="AK641" s="3">
        <f t="shared" si="291"/>
        <v>240</v>
      </c>
      <c r="AN641" s="3">
        <v>40</v>
      </c>
      <c r="AP641" s="13" t="e">
        <f t="shared" si="289"/>
        <v>#DIV/0!</v>
      </c>
      <c r="AR641" s="17"/>
      <c r="AS641" s="16"/>
      <c r="AT641" s="16"/>
      <c r="AU641" s="61"/>
      <c r="AV641" s="57" t="str">
        <f t="shared" si="311"/>
        <v/>
      </c>
      <c r="AW641" s="57">
        <f t="shared" si="287"/>
        <v>0</v>
      </c>
      <c r="AX641" s="57" t="str">
        <f t="shared" si="307"/>
        <v/>
      </c>
      <c r="AY641" s="57" t="str">
        <f t="shared" si="284"/>
        <v/>
      </c>
      <c r="AZ641" s="57" t="str">
        <f t="shared" si="303"/>
        <v/>
      </c>
      <c r="BA641" s="60" t="str">
        <f t="shared" si="310"/>
        <v/>
      </c>
      <c r="BB641" s="60" t="str">
        <f t="shared" si="302"/>
        <v/>
      </c>
      <c r="BC641" s="60"/>
      <c r="BD641" s="60" t="str">
        <f t="shared" si="312"/>
        <v/>
      </c>
      <c r="BE641" s="6" t="str">
        <f t="shared" si="298"/>
        <v/>
      </c>
      <c r="BF641" s="6"/>
    </row>
    <row r="642" spans="1:58" ht="15.75">
      <c r="A642" s="12" t="s">
        <v>27</v>
      </c>
      <c r="B642" s="63">
        <v>45902</v>
      </c>
      <c r="C642" s="1">
        <v>398</v>
      </c>
      <c r="D642" s="3">
        <v>637</v>
      </c>
      <c r="E642" s="205">
        <f t="shared" si="285"/>
        <v>232.85769599999998</v>
      </c>
      <c r="G642" s="15">
        <f>(N642*18-H642*18)/9</f>
        <v>17.16</v>
      </c>
      <c r="H642" s="9">
        <f>1.42</f>
        <v>1.42</v>
      </c>
      <c r="I642" s="15">
        <f t="shared" si="293"/>
        <v>0</v>
      </c>
      <c r="K642" s="10">
        <f t="shared" si="313"/>
        <v>13.569795804195802</v>
      </c>
      <c r="L642" s="9" t="str">
        <f t="shared" si="314"/>
        <v/>
      </c>
      <c r="M642" s="8" t="str">
        <f t="shared" si="315"/>
        <v/>
      </c>
      <c r="N642" s="7">
        <f>5*2</f>
        <v>10</v>
      </c>
      <c r="O642" s="6">
        <v>75.843999999999994</v>
      </c>
      <c r="P642" s="6">
        <v>23.45</v>
      </c>
      <c r="Q642" s="6">
        <f>O642*1.067</f>
        <v>80.925547999999992</v>
      </c>
      <c r="R642" s="6">
        <f>P642*1.514</f>
        <v>35.503299999999996</v>
      </c>
      <c r="S642" s="23">
        <f>P642*1.514+O642*1.067</f>
        <v>116.42884799999999</v>
      </c>
      <c r="U642" s="59">
        <f>0*1.067</f>
        <v>0</v>
      </c>
      <c r="V642" s="59">
        <f>0*1.514</f>
        <v>0</v>
      </c>
      <c r="W642" s="23">
        <f>U642*1.067+V642*1.514</f>
        <v>0</v>
      </c>
      <c r="AB642" s="5">
        <v>80</v>
      </c>
      <c r="AF642" s="1">
        <v>0</v>
      </c>
      <c r="AG642" s="62">
        <v>12.52</v>
      </c>
      <c r="AH642" s="20">
        <v>0.48923611111111109</v>
      </c>
      <c r="AJ642" s="2">
        <f>("19:55"-"17:50")*1440</f>
        <v>125.00000000000003</v>
      </c>
      <c r="AK642" s="3">
        <f t="shared" si="291"/>
        <v>240</v>
      </c>
      <c r="AL642" s="4">
        <f>5*1.51</f>
        <v>7.55</v>
      </c>
      <c r="AM642" s="1">
        <f>2*1.42</f>
        <v>2.84</v>
      </c>
      <c r="AN642" s="3">
        <v>40</v>
      </c>
      <c r="AP642" s="13" t="e">
        <f t="shared" si="289"/>
        <v>#DIV/0!</v>
      </c>
      <c r="AR642" s="17">
        <f>(E642-W642)/E642</f>
        <v>1</v>
      </c>
      <c r="AS642" s="16"/>
      <c r="AT642" s="16"/>
      <c r="AU642" s="61">
        <f>(G642-AM642)/G642</f>
        <v>0.83449883449883455</v>
      </c>
      <c r="AV642" s="57">
        <f t="shared" si="311"/>
        <v>232.85769599999998</v>
      </c>
      <c r="AW642" s="57">
        <f t="shared" si="287"/>
        <v>0</v>
      </c>
      <c r="AX642" s="57">
        <f t="shared" si="307"/>
        <v>14.32</v>
      </c>
      <c r="AY642" s="57" t="str">
        <f t="shared" si="284"/>
        <v/>
      </c>
      <c r="AZ642" s="57">
        <f t="shared" si="303"/>
        <v>4.71</v>
      </c>
      <c r="BA642" s="60" t="str">
        <f t="shared" si="310"/>
        <v/>
      </c>
      <c r="BB642" s="56" t="str">
        <f t="shared" si="302"/>
        <v/>
      </c>
      <c r="BC642" s="56"/>
      <c r="BD642" s="56">
        <f t="shared" si="312"/>
        <v>0.83449883449883455</v>
      </c>
      <c r="BE642" s="6" t="str">
        <f t="shared" si="298"/>
        <v/>
      </c>
      <c r="BF642" s="6"/>
    </row>
    <row r="643" spans="1:58" ht="15.75">
      <c r="B643" s="11">
        <v>45903</v>
      </c>
      <c r="C643" s="1">
        <v>399</v>
      </c>
      <c r="D643" s="3">
        <v>638</v>
      </c>
      <c r="E643" s="205">
        <f t="shared" si="285"/>
        <v>257.56118200000003</v>
      </c>
      <c r="G643" s="15">
        <f>(N643*18-H643*18)/9</f>
        <v>15.059999999999999</v>
      </c>
      <c r="H643" s="9">
        <f>AM643/2</f>
        <v>1.57</v>
      </c>
      <c r="I643" s="15">
        <f t="shared" si="293"/>
        <v>35.6</v>
      </c>
      <c r="K643" s="10">
        <f t="shared" si="313"/>
        <v>17.10233612217796</v>
      </c>
      <c r="L643" s="9">
        <f t="shared" si="314"/>
        <v>3.6174323314606744</v>
      </c>
      <c r="M643" s="8">
        <f t="shared" si="315"/>
        <v>4.7277556440903057</v>
      </c>
      <c r="N643" s="7">
        <f>5*1.82</f>
        <v>9.1</v>
      </c>
      <c r="O643" s="6">
        <v>83.677000000000007</v>
      </c>
      <c r="P643" s="6">
        <v>26.088000000000001</v>
      </c>
      <c r="Q643" s="6">
        <f>O643*1.067</f>
        <v>89.283359000000004</v>
      </c>
      <c r="R643" s="6">
        <f>P643*1.514</f>
        <v>39.497232000000004</v>
      </c>
      <c r="S643" s="23">
        <f>P643*1.514+O643*1.067</f>
        <v>128.78059100000002</v>
      </c>
      <c r="T643" s="6">
        <v>33.5</v>
      </c>
      <c r="U643" s="59">
        <f>0*1.067</f>
        <v>0</v>
      </c>
      <c r="V643" s="59">
        <f>0*1.514</f>
        <v>0</v>
      </c>
      <c r="W643" s="23">
        <f>U643*1.067+V643*1.514</f>
        <v>0</v>
      </c>
      <c r="AB643" s="5">
        <v>80</v>
      </c>
      <c r="AC643" s="7">
        <f>T643</f>
        <v>33.5</v>
      </c>
      <c r="AD643" s="1">
        <v>35.6</v>
      </c>
      <c r="AE643" s="1">
        <f>5*1.29</f>
        <v>6.45</v>
      </c>
      <c r="AF643" s="1">
        <v>0</v>
      </c>
      <c r="AG643" s="1">
        <v>12.54</v>
      </c>
      <c r="AH643" s="20">
        <v>0.51527777777777772</v>
      </c>
      <c r="AJ643" s="2">
        <f>("20:50"-"17:50")*1440</f>
        <v>180</v>
      </c>
      <c r="AK643" s="3">
        <f t="shared" si="291"/>
        <v>240</v>
      </c>
      <c r="AL643" s="4">
        <f>AE643</f>
        <v>6.45</v>
      </c>
      <c r="AM643" s="1">
        <f>2*1.57</f>
        <v>3.14</v>
      </c>
      <c r="AN643" s="3">
        <v>40</v>
      </c>
      <c r="AP643" s="13" t="e">
        <f t="shared" si="289"/>
        <v>#DIV/0!</v>
      </c>
      <c r="AR643" s="17">
        <f>(E643-W643)/E643</f>
        <v>1</v>
      </c>
      <c r="AS643" s="16">
        <f>(I643-AF643)/I643</f>
        <v>1</v>
      </c>
      <c r="AT643" s="16">
        <f>AG643/(AD643-AF643)</f>
        <v>0.35224719101123592</v>
      </c>
      <c r="AU643" s="61">
        <f>(G643-AM643)/G643</f>
        <v>0.79150066401062413</v>
      </c>
      <c r="AV643" s="57">
        <f t="shared" si="311"/>
        <v>257.56118200000003</v>
      </c>
      <c r="AW643" s="57">
        <f t="shared" si="287"/>
        <v>35.6</v>
      </c>
      <c r="AX643" s="57">
        <f t="shared" si="307"/>
        <v>11.919999999999998</v>
      </c>
      <c r="AY643" s="57">
        <f t="shared" si="284"/>
        <v>27.05</v>
      </c>
      <c r="AZ643" s="57">
        <f t="shared" si="303"/>
        <v>3.31</v>
      </c>
      <c r="BA643" s="60" t="str">
        <f t="shared" si="310"/>
        <v/>
      </c>
      <c r="BB643" s="56">
        <f t="shared" si="302"/>
        <v>1</v>
      </c>
      <c r="BC643" s="56"/>
      <c r="BD643" s="56">
        <f t="shared" si="312"/>
        <v>0.79150066401062413</v>
      </c>
      <c r="BE643" s="6">
        <f t="shared" si="298"/>
        <v>11.866666666666667</v>
      </c>
      <c r="BF643" s="6"/>
    </row>
    <row r="644" spans="1:58" ht="15.75">
      <c r="B644" s="11">
        <v>45904</v>
      </c>
      <c r="C644" s="1">
        <v>400</v>
      </c>
      <c r="D644" s="3">
        <v>639</v>
      </c>
      <c r="E644" s="205" t="str">
        <f t="shared" si="285"/>
        <v/>
      </c>
      <c r="G644" s="41">
        <f>16</f>
        <v>16</v>
      </c>
      <c r="I644" s="15">
        <f t="shared" si="293"/>
        <v>0</v>
      </c>
      <c r="K644" s="10" t="str">
        <f t="shared" si="313"/>
        <v/>
      </c>
      <c r="L644" s="9" t="str">
        <f t="shared" si="314"/>
        <v/>
      </c>
      <c r="M644" s="8" t="str">
        <f t="shared" si="315"/>
        <v/>
      </c>
      <c r="AB644" s="5">
        <v>80</v>
      </c>
      <c r="AF644" s="1">
        <v>0</v>
      </c>
      <c r="AG644" s="1">
        <v>11.7</v>
      </c>
      <c r="AH644" s="20">
        <v>0.51678240740740744</v>
      </c>
      <c r="AJ644" s="2">
        <f>("20:50"-"17:50")*1440</f>
        <v>180</v>
      </c>
      <c r="AK644" s="3">
        <f t="shared" si="291"/>
        <v>240</v>
      </c>
      <c r="AN644" s="3">
        <v>40</v>
      </c>
      <c r="AP644" s="13" t="e">
        <f t="shared" si="289"/>
        <v>#DIV/0!</v>
      </c>
      <c r="AR644" s="17"/>
      <c r="AS644" s="16"/>
      <c r="AT644" s="16"/>
      <c r="AU644" s="61">
        <f>(G644-AM644)/G644</f>
        <v>1</v>
      </c>
      <c r="AV644" s="57" t="str">
        <f t="shared" si="311"/>
        <v/>
      </c>
      <c r="AW644" s="57">
        <f t="shared" si="287"/>
        <v>0</v>
      </c>
      <c r="AX644" s="57" t="str">
        <f t="shared" si="307"/>
        <v/>
      </c>
      <c r="AY644" s="57" t="str">
        <f t="shared" si="284"/>
        <v/>
      </c>
      <c r="AZ644" s="57" t="str">
        <f t="shared" si="303"/>
        <v/>
      </c>
      <c r="BA644" s="60" t="str">
        <f t="shared" si="310"/>
        <v/>
      </c>
      <c r="BB644" s="56" t="str">
        <f t="shared" si="302"/>
        <v/>
      </c>
      <c r="BC644" s="56"/>
      <c r="BD644" s="56" t="str">
        <f t="shared" si="312"/>
        <v/>
      </c>
      <c r="BE644" s="6" t="str">
        <f t="shared" ref="BE644:BE678" si="316">IF((AD644-AF644)/(AJ644/60)&lt;=0,"",(AD644-AF644)/(AJ644/60))</f>
        <v/>
      </c>
      <c r="BF644" s="6"/>
    </row>
    <row r="645" spans="1:58" ht="30">
      <c r="A645" s="12" t="s">
        <v>26</v>
      </c>
      <c r="B645" s="11">
        <v>45905</v>
      </c>
      <c r="C645" s="1">
        <v>401</v>
      </c>
      <c r="D645" s="3">
        <v>640</v>
      </c>
      <c r="E645" s="205">
        <f t="shared" si="285"/>
        <v>224.08426199999997</v>
      </c>
      <c r="G645" s="15">
        <f>(N645*18-H645*18)/9</f>
        <v>17.619999999999997</v>
      </c>
      <c r="H645" s="9">
        <f>2*2.97</f>
        <v>5.94</v>
      </c>
      <c r="I645" s="15">
        <f t="shared" si="293"/>
        <v>40.700000000000003</v>
      </c>
      <c r="K645" s="10">
        <f t="shared" si="313"/>
        <v>12.717608513053348</v>
      </c>
      <c r="L645" s="9">
        <f t="shared" si="314"/>
        <v>2.7528779115479112</v>
      </c>
      <c r="M645" s="8">
        <f t="shared" si="315"/>
        <v>4.6197502837684459</v>
      </c>
      <c r="N645" s="7">
        <f>5*2.95</f>
        <v>14.75</v>
      </c>
      <c r="O645" s="6">
        <v>73.881</v>
      </c>
      <c r="P645" s="6">
        <v>21.936</v>
      </c>
      <c r="Q645" s="6">
        <f>O645*1.067</f>
        <v>78.831026999999992</v>
      </c>
      <c r="R645" s="6">
        <f>P645*1.514</f>
        <v>33.211103999999999</v>
      </c>
      <c r="S645" s="23">
        <f>P645*1.514+O645*1.067</f>
        <v>112.04213099999998</v>
      </c>
      <c r="T645" s="6">
        <f>41.4</f>
        <v>41.4</v>
      </c>
      <c r="U645" s="59">
        <f>0*1.067</f>
        <v>0</v>
      </c>
      <c r="V645" s="59">
        <f>0*1.514</f>
        <v>0</v>
      </c>
      <c r="W645" s="23">
        <f>U645*1.067+V645*1.514</f>
        <v>0</v>
      </c>
      <c r="AB645" s="5">
        <v>80</v>
      </c>
      <c r="AC645" s="7">
        <f>T645</f>
        <v>41.4</v>
      </c>
      <c r="AD645" s="1">
        <v>40.700000000000003</v>
      </c>
      <c r="AF645" s="1">
        <v>0</v>
      </c>
      <c r="AG645" s="1">
        <v>12.69</v>
      </c>
      <c r="AH645" s="20">
        <v>0.52083333333333337</v>
      </c>
      <c r="AJ645" s="2">
        <f>("21:15"-"17:50")*1440</f>
        <v>204.99999999999991</v>
      </c>
      <c r="AK645" s="3">
        <f t="shared" si="291"/>
        <v>240</v>
      </c>
      <c r="AM645" s="1">
        <f>2*4.84</f>
        <v>9.68</v>
      </c>
      <c r="AN645" s="3">
        <v>40</v>
      </c>
      <c r="AP645" s="13" t="e">
        <f t="shared" si="289"/>
        <v>#DIV/0!</v>
      </c>
      <c r="AR645" s="17">
        <f>(E645-W645)/E645</f>
        <v>1</v>
      </c>
      <c r="AS645" s="16">
        <f>(I645-AF645)/I645</f>
        <v>1</v>
      </c>
      <c r="AT645" s="16">
        <f>AG645/(AD645-AF645)</f>
        <v>0.31179361179361176</v>
      </c>
      <c r="AU645" s="16">
        <f>(G645-AM645)/G645</f>
        <v>0.45062429057888759</v>
      </c>
      <c r="AV645" s="57">
        <f t="shared" si="311"/>
        <v>224.08426199999997</v>
      </c>
      <c r="AW645" s="57">
        <f t="shared" si="287"/>
        <v>40.700000000000003</v>
      </c>
      <c r="AX645" s="57">
        <f t="shared" si="307"/>
        <v>7.9399999999999977</v>
      </c>
      <c r="AY645" s="57" t="str">
        <f t="shared" si="284"/>
        <v/>
      </c>
      <c r="AZ645" s="57" t="str">
        <f t="shared" si="303"/>
        <v/>
      </c>
      <c r="BA645" s="56" t="str">
        <f t="shared" si="310"/>
        <v/>
      </c>
      <c r="BB645" s="56">
        <f t="shared" ref="BB645:BB676" si="317">IF(AND($I645&gt;0,$AF645&gt;=0),IF(($I645-$AF645)/$I645&gt;0,($I645-$AF645)/$I645,0),"")</f>
        <v>1</v>
      </c>
      <c r="BC645" s="56"/>
      <c r="BD645" s="56">
        <f t="shared" si="312"/>
        <v>0.45062429057888759</v>
      </c>
      <c r="BE645" s="6">
        <f t="shared" si="316"/>
        <v>11.912195121951225</v>
      </c>
      <c r="BF645" s="6"/>
    </row>
    <row r="646" spans="1:58" ht="15.75">
      <c r="B646" s="11">
        <v>45906</v>
      </c>
      <c r="C646" s="1">
        <v>402</v>
      </c>
      <c r="D646" s="3">
        <v>641</v>
      </c>
      <c r="E646" s="205" t="str">
        <f t="shared" si="285"/>
        <v/>
      </c>
      <c r="I646" s="15">
        <f t="shared" si="293"/>
        <v>0</v>
      </c>
      <c r="K646" s="10" t="str">
        <f t="shared" si="313"/>
        <v/>
      </c>
      <c r="L646" s="9" t="str">
        <f t="shared" si="314"/>
        <v/>
      </c>
      <c r="M646" s="8" t="str">
        <f t="shared" si="315"/>
        <v/>
      </c>
      <c r="AB646" s="5">
        <v>80</v>
      </c>
      <c r="AF646" s="1">
        <v>0</v>
      </c>
      <c r="AG646" s="1">
        <v>9.52</v>
      </c>
      <c r="AH646" s="20">
        <v>0.50115740740740744</v>
      </c>
      <c r="AJ646" s="2">
        <f>("20:10"-"17:50")*1440</f>
        <v>139.99999999999997</v>
      </c>
      <c r="AK646" s="3">
        <f t="shared" si="291"/>
        <v>240</v>
      </c>
      <c r="AN646" s="3">
        <v>40</v>
      </c>
      <c r="AP646" s="13" t="e">
        <f t="shared" si="289"/>
        <v>#DIV/0!</v>
      </c>
      <c r="AR646" s="17"/>
      <c r="AS646" s="16"/>
      <c r="AT646" s="16"/>
      <c r="AU646" s="16"/>
      <c r="AV646" s="57" t="str">
        <f t="shared" si="311"/>
        <v/>
      </c>
      <c r="AW646" s="57">
        <f t="shared" si="287"/>
        <v>0</v>
      </c>
      <c r="AX646" s="57" t="str">
        <f t="shared" si="307"/>
        <v/>
      </c>
      <c r="AY646" s="57" t="str">
        <f t="shared" ref="AY646:AY709" si="318">IF(AND(ISNUMBER(AC646),ISNUMBER(AE646)),AC646-AE646,"")</f>
        <v/>
      </c>
      <c r="AZ646" s="57" t="str">
        <f t="shared" si="303"/>
        <v/>
      </c>
      <c r="BA646" s="56" t="str">
        <f t="shared" si="310"/>
        <v/>
      </c>
      <c r="BB646" s="56" t="str">
        <f t="shared" si="317"/>
        <v/>
      </c>
      <c r="BC646" s="56"/>
      <c r="BD646" s="56" t="str">
        <f t="shared" si="312"/>
        <v/>
      </c>
      <c r="BE646" s="6" t="str">
        <f t="shared" si="316"/>
        <v/>
      </c>
      <c r="BF646" s="6"/>
    </row>
    <row r="647" spans="1:58" ht="15.75">
      <c r="A647" s="12" t="s">
        <v>25</v>
      </c>
      <c r="B647" s="11">
        <v>45907</v>
      </c>
      <c r="C647" s="1">
        <v>403</v>
      </c>
      <c r="D647" s="3">
        <v>642</v>
      </c>
      <c r="E647" s="205" t="str">
        <f t="shared" ref="E647:E710" si="319">IF(OR(S647="",S647=0),"",S647*2)</f>
        <v/>
      </c>
      <c r="I647" s="15">
        <f t="shared" si="293"/>
        <v>0</v>
      </c>
      <c r="K647" s="10" t="str">
        <f t="shared" si="313"/>
        <v/>
      </c>
      <c r="L647" s="9" t="str">
        <f t="shared" si="314"/>
        <v/>
      </c>
      <c r="M647" s="8" t="str">
        <f t="shared" si="315"/>
        <v/>
      </c>
      <c r="AB647" s="5">
        <v>80</v>
      </c>
      <c r="AF647" s="1">
        <v>0</v>
      </c>
      <c r="AG647" s="1">
        <v>9.15</v>
      </c>
      <c r="AH647" s="20">
        <v>0.47199074074074077</v>
      </c>
      <c r="AJ647" s="2">
        <f>("19:45"-"17:50")*1440</f>
        <v>114.99999999999991</v>
      </c>
      <c r="AK647" s="3">
        <f t="shared" si="291"/>
        <v>240</v>
      </c>
      <c r="AL647" s="4">
        <f>5*3.62</f>
        <v>18.100000000000001</v>
      </c>
      <c r="AM647" s="1">
        <f>2*7.02</f>
        <v>14.04</v>
      </c>
      <c r="AN647" s="3">
        <v>40</v>
      </c>
      <c r="AP647" s="13" t="e">
        <f t="shared" si="289"/>
        <v>#DIV/0!</v>
      </c>
      <c r="AR647" s="17"/>
      <c r="AS647" s="16"/>
      <c r="AT647" s="16"/>
      <c r="AU647" s="16"/>
      <c r="AV647" s="57" t="str">
        <f t="shared" si="311"/>
        <v/>
      </c>
      <c r="AW647" s="57">
        <f t="shared" si="287"/>
        <v>0</v>
      </c>
      <c r="AX647" s="57" t="str">
        <f t="shared" si="307"/>
        <v/>
      </c>
      <c r="AY647" s="57" t="str">
        <f t="shared" si="318"/>
        <v/>
      </c>
      <c r="AZ647" s="57">
        <f t="shared" si="303"/>
        <v>4.0600000000000023</v>
      </c>
      <c r="BA647" s="56" t="str">
        <f t="shared" si="310"/>
        <v/>
      </c>
      <c r="BB647" s="56" t="str">
        <f t="shared" si="317"/>
        <v/>
      </c>
      <c r="BC647" s="56"/>
      <c r="BD647" s="56" t="str">
        <f t="shared" si="312"/>
        <v/>
      </c>
      <c r="BE647" s="6" t="str">
        <f t="shared" si="316"/>
        <v/>
      </c>
      <c r="BF647" s="6"/>
    </row>
    <row r="648" spans="1:58" ht="15.75">
      <c r="B648" s="11">
        <v>45908</v>
      </c>
      <c r="C648" s="1">
        <v>404</v>
      </c>
      <c r="D648" s="3">
        <v>643</v>
      </c>
      <c r="E648" s="205" t="str">
        <f t="shared" si="319"/>
        <v/>
      </c>
      <c r="I648" s="15">
        <f t="shared" si="293"/>
        <v>0</v>
      </c>
      <c r="K648" s="10" t="str">
        <f t="shared" si="313"/>
        <v/>
      </c>
      <c r="L648" s="9" t="str">
        <f t="shared" si="314"/>
        <v/>
      </c>
      <c r="M648" s="8" t="str">
        <f t="shared" si="315"/>
        <v/>
      </c>
      <c r="AB648" s="5">
        <v>80</v>
      </c>
      <c r="AF648" s="1">
        <v>0</v>
      </c>
      <c r="AG648" s="1">
        <v>11.29</v>
      </c>
      <c r="AH648" s="20">
        <v>0.48252314814814817</v>
      </c>
      <c r="AJ648" s="2">
        <f>("12:10"-"10:00")*1440</f>
        <v>129.99999999999994</v>
      </c>
      <c r="AK648" s="3">
        <f t="shared" si="291"/>
        <v>240</v>
      </c>
      <c r="AL648" s="4">
        <f>5*3.62</f>
        <v>18.100000000000001</v>
      </c>
      <c r="AM648" s="1">
        <f>2*6.18</f>
        <v>12.36</v>
      </c>
      <c r="AN648" s="3">
        <v>40</v>
      </c>
      <c r="AP648" s="13">
        <f t="shared" si="289"/>
        <v>3919.9999999999818</v>
      </c>
      <c r="AR648" s="17"/>
      <c r="AS648" s="16"/>
      <c r="AT648" s="16"/>
      <c r="AU648" s="16"/>
      <c r="AV648" s="57" t="str">
        <f t="shared" si="311"/>
        <v/>
      </c>
      <c r="AW648" s="57">
        <f t="shared" si="287"/>
        <v>0</v>
      </c>
      <c r="AX648" s="57" t="str">
        <f t="shared" si="307"/>
        <v/>
      </c>
      <c r="AY648" s="57" t="str">
        <f t="shared" si="318"/>
        <v/>
      </c>
      <c r="AZ648" s="57">
        <f t="shared" si="303"/>
        <v>5.740000000000002</v>
      </c>
      <c r="BA648" s="56" t="str">
        <f t="shared" si="310"/>
        <v/>
      </c>
      <c r="BB648" s="56" t="str">
        <f t="shared" si="317"/>
        <v/>
      </c>
      <c r="BC648" s="56"/>
      <c r="BD648" s="56" t="str">
        <f t="shared" si="312"/>
        <v/>
      </c>
      <c r="BE648" s="6" t="str">
        <f t="shared" si="316"/>
        <v/>
      </c>
      <c r="BF648" s="6" t="str">
        <f t="shared" ref="BF648:BF659" si="320">IF(OR(AJ648=0,AP648=0,NOT(ISNUMBER(AD648)),NOT(ISNUMBER(AF648)),NOT(ISNUMBER(AJ648)),NOT(ISNUMBER(AP648))),"",
IFERROR(IF((AD648-AF648)/(AJ648/60)/(AP648/1000)&lt;=0,"",(AD648-AF648)/(AJ648/60)/(AP648/1000)),""))</f>
        <v/>
      </c>
    </row>
    <row r="649" spans="1:58" ht="15.75">
      <c r="B649" s="11">
        <v>45909</v>
      </c>
      <c r="C649" s="1">
        <v>405</v>
      </c>
      <c r="D649" s="3">
        <v>644</v>
      </c>
      <c r="E649" s="205" t="str">
        <f t="shared" si="319"/>
        <v/>
      </c>
      <c r="I649" s="15">
        <f t="shared" si="293"/>
        <v>0</v>
      </c>
      <c r="K649" s="10" t="str">
        <f t="shared" si="313"/>
        <v/>
      </c>
      <c r="L649" s="9" t="str">
        <f t="shared" si="314"/>
        <v/>
      </c>
      <c r="M649" s="8" t="str">
        <f t="shared" si="315"/>
        <v/>
      </c>
      <c r="AB649" s="5">
        <v>80</v>
      </c>
      <c r="AF649" s="1">
        <v>0</v>
      </c>
      <c r="AG649" s="1">
        <v>2.04</v>
      </c>
      <c r="AH649" s="20">
        <v>0.51967592592592593</v>
      </c>
      <c r="AJ649" s="2">
        <f>("21:15"-"17:50")*1440</f>
        <v>204.99999999999991</v>
      </c>
      <c r="AK649" s="3">
        <f t="shared" si="291"/>
        <v>240</v>
      </c>
      <c r="AN649" s="3">
        <v>40</v>
      </c>
      <c r="AP649" s="13">
        <f t="shared" si="289"/>
        <v>3919.9999999999818</v>
      </c>
      <c r="AR649" s="17"/>
      <c r="AS649" s="16"/>
      <c r="AT649" s="16"/>
      <c r="AU649" s="16"/>
      <c r="AV649" s="57" t="str">
        <f t="shared" si="311"/>
        <v/>
      </c>
      <c r="AW649" s="57">
        <f t="shared" si="287"/>
        <v>0</v>
      </c>
      <c r="AX649" s="57" t="str">
        <f t="shared" si="307"/>
        <v/>
      </c>
      <c r="AY649" s="57" t="str">
        <f t="shared" si="318"/>
        <v/>
      </c>
      <c r="AZ649" s="57" t="str">
        <f t="shared" si="303"/>
        <v/>
      </c>
      <c r="BA649" s="56" t="str">
        <f t="shared" si="310"/>
        <v/>
      </c>
      <c r="BB649" s="56" t="str">
        <f t="shared" si="317"/>
        <v/>
      </c>
      <c r="BC649" s="56"/>
      <c r="BD649" s="56" t="str">
        <f t="shared" si="312"/>
        <v/>
      </c>
      <c r="BE649" s="6" t="str">
        <f t="shared" si="316"/>
        <v/>
      </c>
      <c r="BF649" s="6" t="str">
        <f t="shared" si="320"/>
        <v/>
      </c>
    </row>
    <row r="650" spans="1:58" ht="15.75">
      <c r="B650" s="11">
        <v>45910</v>
      </c>
      <c r="C650" s="1">
        <v>406</v>
      </c>
      <c r="D650" s="3">
        <v>645</v>
      </c>
      <c r="E650" s="205" t="str">
        <f t="shared" si="319"/>
        <v/>
      </c>
      <c r="I650" s="15">
        <f t="shared" si="293"/>
        <v>0</v>
      </c>
      <c r="K650" s="10" t="str">
        <f t="shared" si="313"/>
        <v/>
      </c>
      <c r="L650" s="9" t="str">
        <f t="shared" si="314"/>
        <v/>
      </c>
      <c r="M650" s="8" t="str">
        <f t="shared" si="315"/>
        <v/>
      </c>
      <c r="AB650" s="5">
        <v>80</v>
      </c>
      <c r="AF650" s="1">
        <v>0</v>
      </c>
      <c r="AG650" s="1">
        <v>8.0500000000000007</v>
      </c>
      <c r="AH650" s="20">
        <v>0.49212962962962964</v>
      </c>
      <c r="AJ650" s="2">
        <f>("21:35"-"17:50")*1440</f>
        <v>225</v>
      </c>
      <c r="AK650" s="3">
        <f t="shared" si="291"/>
        <v>240</v>
      </c>
      <c r="AN650" s="3">
        <v>40</v>
      </c>
      <c r="AP650" s="13">
        <f t="shared" si="289"/>
        <v>3919.9999999999818</v>
      </c>
      <c r="AR650" s="17"/>
      <c r="AS650" s="16"/>
      <c r="AT650" s="16"/>
      <c r="AU650" s="16"/>
      <c r="AV650" s="57" t="str">
        <f t="shared" si="311"/>
        <v/>
      </c>
      <c r="AW650" s="57">
        <f t="shared" ref="AW650:AW713" si="321">IF(AND(ISNUMBER(I650),ISNUMBER(AF650)),I650-AF650,"")</f>
        <v>0</v>
      </c>
      <c r="AX650" s="57" t="str">
        <f t="shared" si="307"/>
        <v/>
      </c>
      <c r="AY650" s="57" t="str">
        <f t="shared" si="318"/>
        <v/>
      </c>
      <c r="AZ650" s="57" t="str">
        <f t="shared" si="303"/>
        <v/>
      </c>
      <c r="BA650" s="56" t="str">
        <f t="shared" si="310"/>
        <v/>
      </c>
      <c r="BB650" s="56" t="str">
        <f t="shared" si="317"/>
        <v/>
      </c>
      <c r="BC650" s="56"/>
      <c r="BD650" s="56" t="str">
        <f t="shared" si="312"/>
        <v/>
      </c>
      <c r="BE650" s="6" t="str">
        <f t="shared" si="316"/>
        <v/>
      </c>
      <c r="BF650" s="6" t="str">
        <f t="shared" si="320"/>
        <v/>
      </c>
    </row>
    <row r="651" spans="1:58" ht="15.75">
      <c r="B651" s="11">
        <v>45911</v>
      </c>
      <c r="C651" s="1">
        <v>407</v>
      </c>
      <c r="D651" s="3">
        <v>646</v>
      </c>
      <c r="E651" s="205" t="str">
        <f t="shared" si="319"/>
        <v/>
      </c>
      <c r="I651" s="15">
        <f t="shared" si="293"/>
        <v>0</v>
      </c>
      <c r="K651" s="10" t="str">
        <f t="shared" si="313"/>
        <v/>
      </c>
      <c r="L651" s="9" t="str">
        <f t="shared" si="314"/>
        <v/>
      </c>
      <c r="M651" s="8" t="str">
        <f t="shared" si="315"/>
        <v/>
      </c>
      <c r="AB651" s="5">
        <v>80</v>
      </c>
      <c r="AF651" s="1">
        <v>0</v>
      </c>
      <c r="AG651" s="1">
        <v>9.4499999999999993</v>
      </c>
      <c r="AH651" s="20">
        <v>0.5200231481481481</v>
      </c>
      <c r="AJ651" s="2">
        <f>("21:05"-"17:50")*1440</f>
        <v>194.99999999999994</v>
      </c>
      <c r="AK651" s="3">
        <f t="shared" si="291"/>
        <v>240</v>
      </c>
      <c r="AN651" s="3">
        <v>40</v>
      </c>
      <c r="AP651" s="13">
        <f t="shared" si="289"/>
        <v>3919.9999999999818</v>
      </c>
      <c r="AR651" s="17"/>
      <c r="AS651" s="16"/>
      <c r="AT651" s="16"/>
      <c r="AU651" s="16"/>
      <c r="AV651" s="57" t="str">
        <f t="shared" si="311"/>
        <v/>
      </c>
      <c r="AW651" s="57">
        <f t="shared" si="321"/>
        <v>0</v>
      </c>
      <c r="AX651" s="57" t="str">
        <f t="shared" si="307"/>
        <v/>
      </c>
      <c r="AY651" s="57" t="str">
        <f t="shared" si="318"/>
        <v/>
      </c>
      <c r="AZ651" s="57" t="str">
        <f t="shared" si="303"/>
        <v/>
      </c>
      <c r="BA651" s="56" t="str">
        <f t="shared" si="310"/>
        <v/>
      </c>
      <c r="BB651" s="56" t="str">
        <f t="shared" si="317"/>
        <v/>
      </c>
      <c r="BC651" s="56"/>
      <c r="BD651" s="56" t="str">
        <f t="shared" si="312"/>
        <v/>
      </c>
      <c r="BE651" s="6" t="str">
        <f t="shared" si="316"/>
        <v/>
      </c>
      <c r="BF651" s="6" t="str">
        <f t="shared" si="320"/>
        <v/>
      </c>
    </row>
    <row r="652" spans="1:58" ht="15.75">
      <c r="A652" s="12" t="s">
        <v>24</v>
      </c>
      <c r="B652" s="11">
        <v>45912</v>
      </c>
      <c r="C652" s="1">
        <v>408</v>
      </c>
      <c r="D652" s="3">
        <v>647</v>
      </c>
      <c r="E652" s="205">
        <f t="shared" si="319"/>
        <v>240.21077599999995</v>
      </c>
      <c r="G652" s="15">
        <f>(N652*18-H652*18)/9</f>
        <v>13.839999999999998</v>
      </c>
      <c r="H652" s="9">
        <f>2*2.59</f>
        <v>5.18</v>
      </c>
      <c r="I652" s="15">
        <f t="shared" si="293"/>
        <v>30.3</v>
      </c>
      <c r="K652" s="10">
        <f t="shared" si="313"/>
        <v>17.35626994219653</v>
      </c>
      <c r="L652" s="9">
        <f t="shared" si="314"/>
        <v>3.9638741914191411</v>
      </c>
      <c r="M652" s="8">
        <f t="shared" si="315"/>
        <v>4.3786127167630067</v>
      </c>
      <c r="N652" s="10">
        <f>5*2.42</f>
        <v>12.1</v>
      </c>
      <c r="O652" s="6">
        <v>77.349999999999994</v>
      </c>
      <c r="P652" s="6">
        <v>24.817</v>
      </c>
      <c r="Q652" s="6">
        <f>O652*1.067</f>
        <v>82.532449999999983</v>
      </c>
      <c r="R652" s="6">
        <f>P652*1.514</f>
        <v>37.572938000000001</v>
      </c>
      <c r="S652" s="23">
        <f>P652*1.514+O652*1.067</f>
        <v>120.10538799999998</v>
      </c>
      <c r="T652" s="6">
        <v>38.9</v>
      </c>
      <c r="U652" s="59">
        <f>0.198*1.067</f>
        <v>0.21126600000000001</v>
      </c>
      <c r="V652" s="59">
        <f>0*1.514</f>
        <v>0</v>
      </c>
      <c r="W652" s="23">
        <f>U652*1.067+V652*1.514</f>
        <v>0.22542082199999999</v>
      </c>
      <c r="AB652" s="5">
        <v>80</v>
      </c>
      <c r="AC652" s="7">
        <f>T652</f>
        <v>38.9</v>
      </c>
      <c r="AD652" s="1">
        <v>30.3</v>
      </c>
      <c r="AE652" s="1">
        <f>5*2.74</f>
        <v>13.700000000000001</v>
      </c>
      <c r="AF652" s="1">
        <v>0</v>
      </c>
      <c r="AG652" s="1">
        <v>9.18</v>
      </c>
      <c r="AH652" s="20">
        <v>0.515625</v>
      </c>
      <c r="AJ652" s="2">
        <f>("13:00"-"10:00")*1440</f>
        <v>179.99999999999991</v>
      </c>
      <c r="AK652" s="3">
        <f t="shared" si="291"/>
        <v>240</v>
      </c>
      <c r="AL652" s="4">
        <f>AE652</f>
        <v>13.700000000000001</v>
      </c>
      <c r="AM652" s="1">
        <f>2*5.53</f>
        <v>11.06</v>
      </c>
      <c r="AN652" s="3">
        <v>40</v>
      </c>
      <c r="AO652" s="2">
        <v>3919.9999999999818</v>
      </c>
      <c r="AP652" s="13">
        <f t="shared" ref="AP652:AP715" si="322">AVERAGE(AO650:AO656)</f>
        <v>3919.9999999999818</v>
      </c>
      <c r="AR652" s="17">
        <f>(E652-W652)/E652</f>
        <v>0.99906157073486168</v>
      </c>
      <c r="AS652" s="16">
        <f>(I652-AF652)/I652</f>
        <v>1</v>
      </c>
      <c r="AT652" s="16">
        <f>AG652/(AD652-AF652)</f>
        <v>0.30297029702970296</v>
      </c>
      <c r="AU652" s="16">
        <f>(G652-AM652)/G652</f>
        <v>0.20086705202312125</v>
      </c>
      <c r="AV652" s="57">
        <f t="shared" si="311"/>
        <v>239.98535517799996</v>
      </c>
      <c r="AW652" s="57">
        <f t="shared" si="321"/>
        <v>30.3</v>
      </c>
      <c r="AX652" s="57">
        <f t="shared" si="307"/>
        <v>2.7799999999999976</v>
      </c>
      <c r="AY652" s="57">
        <f t="shared" si="318"/>
        <v>25.199999999999996</v>
      </c>
      <c r="AZ652" s="57">
        <f t="shared" si="303"/>
        <v>2.6400000000000006</v>
      </c>
      <c r="BA652" s="56">
        <f t="shared" si="310"/>
        <v>0.99906157073486168</v>
      </c>
      <c r="BB652" s="56">
        <f t="shared" si="317"/>
        <v>1</v>
      </c>
      <c r="BC652" s="56"/>
      <c r="BD652" s="56">
        <f t="shared" si="312"/>
        <v>0.20086705202312125</v>
      </c>
      <c r="BE652" s="6">
        <f t="shared" si="316"/>
        <v>10.100000000000005</v>
      </c>
      <c r="BF652" s="6">
        <f t="shared" si="320"/>
        <v>2.5765306122449112</v>
      </c>
    </row>
    <row r="653" spans="1:58" ht="15.75">
      <c r="B653" s="11">
        <v>45913</v>
      </c>
      <c r="C653" s="1">
        <v>409</v>
      </c>
      <c r="D653" s="3">
        <v>648</v>
      </c>
      <c r="E653" s="205" t="str">
        <f t="shared" si="319"/>
        <v/>
      </c>
      <c r="I653" s="15">
        <f t="shared" si="293"/>
        <v>36.200000000000003</v>
      </c>
      <c r="K653" s="10" t="str">
        <f t="shared" si="313"/>
        <v/>
      </c>
      <c r="L653" s="9" t="str">
        <f t="shared" si="314"/>
        <v/>
      </c>
      <c r="M653" s="8" t="str">
        <f t="shared" si="315"/>
        <v/>
      </c>
      <c r="AB653" s="5">
        <v>80</v>
      </c>
      <c r="AC653" s="4">
        <v>26.6</v>
      </c>
      <c r="AD653" s="1">
        <v>36.200000000000003</v>
      </c>
      <c r="AE653" s="1">
        <f>5*1.24</f>
        <v>6.2</v>
      </c>
      <c r="AF653" s="1">
        <v>0</v>
      </c>
      <c r="AG653" s="1">
        <v>8.68</v>
      </c>
      <c r="AH653" s="20">
        <v>0.52083333333333337</v>
      </c>
      <c r="AJ653" s="1">
        <v>101</v>
      </c>
      <c r="AK653" s="3">
        <f t="shared" si="291"/>
        <v>240</v>
      </c>
      <c r="AL653" s="4">
        <f>AE653</f>
        <v>6.2</v>
      </c>
      <c r="AM653" s="1">
        <v>0</v>
      </c>
      <c r="AN653" s="3">
        <v>40</v>
      </c>
      <c r="AP653" s="13">
        <f t="shared" si="322"/>
        <v>3565.0000000000091</v>
      </c>
      <c r="AR653" s="17"/>
      <c r="AS653" s="16">
        <f>(I653-AF653)/I653</f>
        <v>1</v>
      </c>
      <c r="AT653" s="16">
        <f>AG653/(AD653-AF653)</f>
        <v>0.23977900552486184</v>
      </c>
      <c r="AU653" s="16"/>
      <c r="AV653" s="57" t="str">
        <f t="shared" si="311"/>
        <v/>
      </c>
      <c r="AW653" s="57">
        <f t="shared" si="321"/>
        <v>36.200000000000003</v>
      </c>
      <c r="AX653" s="57" t="str">
        <f t="shared" si="307"/>
        <v/>
      </c>
      <c r="AY653" s="57">
        <f t="shared" si="318"/>
        <v>20.400000000000002</v>
      </c>
      <c r="AZ653" s="57">
        <f t="shared" si="303"/>
        <v>6.2</v>
      </c>
      <c r="BA653" s="56" t="str">
        <f t="shared" si="310"/>
        <v/>
      </c>
      <c r="BB653" s="56">
        <f t="shared" si="317"/>
        <v>1</v>
      </c>
      <c r="BC653" s="56"/>
      <c r="BD653" s="56" t="str">
        <f t="shared" si="312"/>
        <v/>
      </c>
      <c r="BE653" s="6">
        <f t="shared" si="316"/>
        <v>21.504950495049506</v>
      </c>
      <c r="BF653" s="6">
        <f t="shared" si="320"/>
        <v>6.032244178134488</v>
      </c>
    </row>
    <row r="654" spans="1:58" ht="15.75">
      <c r="B654" s="11">
        <v>45914</v>
      </c>
      <c r="C654" s="1">
        <v>410</v>
      </c>
      <c r="D654" s="3">
        <v>649</v>
      </c>
      <c r="E654" s="205" t="str">
        <f t="shared" si="319"/>
        <v/>
      </c>
      <c r="F654" s="11"/>
      <c r="G654" s="11"/>
      <c r="H654" s="11"/>
      <c r="I654" s="15">
        <f t="shared" si="293"/>
        <v>0</v>
      </c>
      <c r="K654" s="10" t="str">
        <f t="shared" si="313"/>
        <v/>
      </c>
      <c r="L654" s="9" t="str">
        <f t="shared" si="314"/>
        <v/>
      </c>
      <c r="M654" s="8" t="str">
        <f t="shared" si="315"/>
        <v/>
      </c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5">
        <v>80</v>
      </c>
      <c r="AF654" s="1">
        <v>0</v>
      </c>
      <c r="AG654" s="1">
        <v>8.3800000000000008</v>
      </c>
      <c r="AH654" s="20">
        <v>0.49166666666666664</v>
      </c>
      <c r="AJ654" s="2">
        <f>("12:15"-"10:00")*1440</f>
        <v>134.99999999999991</v>
      </c>
      <c r="AK654" s="3">
        <f t="shared" si="291"/>
        <v>240</v>
      </c>
      <c r="AN654" s="3">
        <v>40</v>
      </c>
      <c r="AP654" s="13">
        <f t="shared" si="322"/>
        <v>3565.0000000000091</v>
      </c>
      <c r="AR654" s="17"/>
      <c r="AS654" s="16"/>
      <c r="AT654" s="16"/>
      <c r="AU654" s="16"/>
      <c r="AV654" s="57" t="str">
        <f t="shared" si="311"/>
        <v/>
      </c>
      <c r="AW654" s="57">
        <f t="shared" si="321"/>
        <v>0</v>
      </c>
      <c r="AX654" s="57" t="str">
        <f t="shared" si="307"/>
        <v/>
      </c>
      <c r="AY654" s="57" t="str">
        <f t="shared" si="318"/>
        <v/>
      </c>
      <c r="AZ654" s="57" t="str">
        <f t="shared" si="303"/>
        <v/>
      </c>
      <c r="BA654" s="56" t="str">
        <f t="shared" si="310"/>
        <v/>
      </c>
      <c r="BB654" s="56" t="str">
        <f t="shared" si="317"/>
        <v/>
      </c>
      <c r="BC654" s="56"/>
      <c r="BD654" s="56" t="str">
        <f t="shared" si="312"/>
        <v/>
      </c>
      <c r="BE654" s="6" t="str">
        <f t="shared" si="316"/>
        <v/>
      </c>
      <c r="BF654" s="6" t="str">
        <f t="shared" si="320"/>
        <v/>
      </c>
    </row>
    <row r="655" spans="1:58" ht="15.75">
      <c r="A655" s="12" t="s">
        <v>23</v>
      </c>
      <c r="B655" s="11">
        <v>45915</v>
      </c>
      <c r="C655" s="1">
        <v>411</v>
      </c>
      <c r="D655" s="3">
        <v>650</v>
      </c>
      <c r="E655" s="205" t="str">
        <f t="shared" si="319"/>
        <v/>
      </c>
      <c r="F655" s="11"/>
      <c r="G655" s="11"/>
      <c r="H655" s="11"/>
      <c r="I655" s="15">
        <f t="shared" si="293"/>
        <v>0</v>
      </c>
      <c r="K655" s="10" t="str">
        <f t="shared" si="313"/>
        <v/>
      </c>
      <c r="L655" s="9" t="str">
        <f t="shared" si="314"/>
        <v/>
      </c>
      <c r="M655" s="8" t="str">
        <f t="shared" si="315"/>
        <v/>
      </c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5">
        <v>80</v>
      </c>
      <c r="AE655" s="1">
        <f>5*1.41</f>
        <v>7.05</v>
      </c>
      <c r="AF655" s="1">
        <v>0</v>
      </c>
      <c r="AG655" s="1">
        <v>9.64</v>
      </c>
      <c r="AH655" s="20">
        <v>0.45775462962962965</v>
      </c>
      <c r="AJ655" s="2">
        <f>("19:55"-"17:50")*1440</f>
        <v>125.00000000000003</v>
      </c>
      <c r="AK655" s="3">
        <f t="shared" si="291"/>
        <v>240</v>
      </c>
      <c r="AL655" s="4">
        <f>AE655</f>
        <v>7.05</v>
      </c>
      <c r="AM655" s="1">
        <f>2*2.38</f>
        <v>4.76</v>
      </c>
      <c r="AN655" s="3">
        <v>40</v>
      </c>
      <c r="AP655" s="13">
        <f t="shared" si="322"/>
        <v>3210.0000000000364</v>
      </c>
      <c r="AR655" s="17"/>
      <c r="AS655" s="16"/>
      <c r="AT655" s="16"/>
      <c r="AU655" s="16"/>
      <c r="AV655" s="57" t="str">
        <f t="shared" si="311"/>
        <v/>
      </c>
      <c r="AW655" s="57">
        <f t="shared" si="321"/>
        <v>0</v>
      </c>
      <c r="AX655" s="57" t="str">
        <f t="shared" si="307"/>
        <v/>
      </c>
      <c r="AY655" s="57" t="str">
        <f t="shared" si="318"/>
        <v/>
      </c>
      <c r="AZ655" s="57">
        <f t="shared" si="303"/>
        <v>2.29</v>
      </c>
      <c r="BA655" s="56" t="str">
        <f t="shared" si="310"/>
        <v/>
      </c>
      <c r="BB655" s="56" t="str">
        <f t="shared" si="317"/>
        <v/>
      </c>
      <c r="BC655" s="56"/>
      <c r="BD655" s="56" t="str">
        <f t="shared" si="312"/>
        <v/>
      </c>
      <c r="BE655" s="6" t="str">
        <f t="shared" si="316"/>
        <v/>
      </c>
      <c r="BF655" s="6" t="str">
        <f t="shared" si="320"/>
        <v/>
      </c>
    </row>
    <row r="656" spans="1:58" ht="15.75">
      <c r="B656" s="11">
        <v>45916</v>
      </c>
      <c r="C656" s="1">
        <v>412</v>
      </c>
      <c r="D656" s="3">
        <v>651</v>
      </c>
      <c r="E656" s="205" t="str">
        <f t="shared" si="319"/>
        <v/>
      </c>
      <c r="I656" s="15">
        <f t="shared" si="293"/>
        <v>0</v>
      </c>
      <c r="K656" s="10" t="str">
        <f t="shared" si="313"/>
        <v/>
      </c>
      <c r="L656" s="9" t="str">
        <f t="shared" si="314"/>
        <v/>
      </c>
      <c r="M656" s="8" t="str">
        <f t="shared" si="315"/>
        <v/>
      </c>
      <c r="AB656" s="5">
        <v>80</v>
      </c>
      <c r="AF656" s="1">
        <v>0</v>
      </c>
      <c r="AG656" s="1">
        <v>2.83</v>
      </c>
      <c r="AH656" s="20">
        <v>0.42245370370370372</v>
      </c>
      <c r="AJ656" s="2">
        <f>("19:45"-"17:50")*1440</f>
        <v>114.99999999999991</v>
      </c>
      <c r="AK656" s="3">
        <f t="shared" si="291"/>
        <v>240</v>
      </c>
      <c r="AN656" s="3">
        <v>40</v>
      </c>
      <c r="AP656" s="13">
        <f t="shared" si="322"/>
        <v>3210.0000000000364</v>
      </c>
      <c r="AR656" s="17"/>
      <c r="AS656" s="16"/>
      <c r="AT656" s="16"/>
      <c r="AU656" s="16"/>
      <c r="AV656" s="57" t="str">
        <f t="shared" si="311"/>
        <v/>
      </c>
      <c r="AW656" s="57">
        <f t="shared" si="321"/>
        <v>0</v>
      </c>
      <c r="AX656" s="57" t="str">
        <f t="shared" si="307"/>
        <v/>
      </c>
      <c r="AY656" s="57" t="str">
        <f t="shared" si="318"/>
        <v/>
      </c>
      <c r="AZ656" s="57" t="str">
        <f t="shared" si="303"/>
        <v/>
      </c>
      <c r="BA656" s="56" t="str">
        <f t="shared" si="310"/>
        <v/>
      </c>
      <c r="BB656" s="56" t="str">
        <f t="shared" si="317"/>
        <v/>
      </c>
      <c r="BC656" s="56"/>
      <c r="BD656" s="56" t="str">
        <f t="shared" si="312"/>
        <v/>
      </c>
      <c r="BE656" s="6" t="str">
        <f t="shared" si="316"/>
        <v/>
      </c>
      <c r="BF656" s="6" t="str">
        <f t="shared" si="320"/>
        <v/>
      </c>
    </row>
    <row r="657" spans="1:58" ht="15.75">
      <c r="A657" s="12" t="s">
        <v>22</v>
      </c>
      <c r="B657" s="11">
        <v>45917</v>
      </c>
      <c r="C657" s="1">
        <v>413</v>
      </c>
      <c r="D657" s="3">
        <v>652</v>
      </c>
      <c r="E657" s="205">
        <f t="shared" si="319"/>
        <v>262.08090800000002</v>
      </c>
      <c r="G657" s="15">
        <f>(N657*18-H657*18)/9</f>
        <v>27.179999999999993</v>
      </c>
      <c r="H657" s="9">
        <f>2*2.43</f>
        <v>4.8600000000000003</v>
      </c>
      <c r="I657" s="15">
        <f t="shared" si="293"/>
        <v>32.799999999999997</v>
      </c>
      <c r="K657" s="10">
        <f t="shared" si="313"/>
        <v>9.6424175128771186</v>
      </c>
      <c r="L657" s="9">
        <f t="shared" si="314"/>
        <v>3.9951357926829276</v>
      </c>
      <c r="M657" s="8">
        <f t="shared" si="315"/>
        <v>2.4135393671817518</v>
      </c>
      <c r="N657" s="10">
        <f>5*3.69</f>
        <v>18.45</v>
      </c>
      <c r="O657" s="6">
        <v>84.254000000000005</v>
      </c>
      <c r="P657" s="6">
        <v>27.173999999999999</v>
      </c>
      <c r="Q657" s="6">
        <f>O657*1.067</f>
        <v>89.899017999999998</v>
      </c>
      <c r="R657" s="6">
        <f>P657*1.514</f>
        <v>41.141435999999999</v>
      </c>
      <c r="S657" s="23">
        <f>P657*1.514+O657*1.067</f>
        <v>131.04045400000001</v>
      </c>
      <c r="T657" s="6">
        <v>56.3</v>
      </c>
      <c r="U657" s="59">
        <f>0*1.067</f>
        <v>0</v>
      </c>
      <c r="V657" s="59">
        <f>0*1.514</f>
        <v>0</v>
      </c>
      <c r="W657" s="23">
        <f>U657*1.067+V657*1.514</f>
        <v>0</v>
      </c>
      <c r="AB657" s="5">
        <v>80</v>
      </c>
      <c r="AC657" s="7">
        <f>T657</f>
        <v>56.3</v>
      </c>
      <c r="AD657" s="1">
        <v>32.799999999999997</v>
      </c>
      <c r="AE657" s="1">
        <f>5*4.3</f>
        <v>21.5</v>
      </c>
      <c r="AF657" s="1">
        <v>0</v>
      </c>
      <c r="AG657" s="1">
        <v>1.24</v>
      </c>
      <c r="AH657" s="20">
        <v>0.41111111111111109</v>
      </c>
      <c r="AJ657" s="2">
        <f>("19:45"-"17:50")*1440</f>
        <v>114.99999999999991</v>
      </c>
      <c r="AK657" s="3">
        <f t="shared" ref="AK657:AK720" si="323">180+60</f>
        <v>240</v>
      </c>
      <c r="AL657" s="4">
        <f>AE657</f>
        <v>21.5</v>
      </c>
      <c r="AM657" s="1">
        <f>2*2.27</f>
        <v>4.54</v>
      </c>
      <c r="AN657" s="3">
        <v>40</v>
      </c>
      <c r="AO657" s="2">
        <v>3210.0000000000364</v>
      </c>
      <c r="AP657" s="13">
        <f t="shared" si="322"/>
        <v>3210.0000000000364</v>
      </c>
      <c r="AR657" s="17">
        <f>(E657-W657)/E657</f>
        <v>1</v>
      </c>
      <c r="AS657" s="16">
        <f>(I657-AF657)/I657</f>
        <v>1</v>
      </c>
      <c r="AT657" s="16"/>
      <c r="AU657" s="16">
        <f>(G657-AM657)/G657</f>
        <v>0.83296541574687266</v>
      </c>
      <c r="AV657" s="57">
        <f t="shared" si="311"/>
        <v>262.08090800000002</v>
      </c>
      <c r="AW657" s="57">
        <f t="shared" si="321"/>
        <v>32.799999999999997</v>
      </c>
      <c r="AX657" s="57">
        <f t="shared" si="307"/>
        <v>22.639999999999993</v>
      </c>
      <c r="AY657" s="57">
        <f t="shared" si="318"/>
        <v>34.799999999999997</v>
      </c>
      <c r="AZ657" s="57">
        <f t="shared" si="303"/>
        <v>16.96</v>
      </c>
      <c r="BA657" s="56" t="str">
        <f t="shared" si="310"/>
        <v/>
      </c>
      <c r="BB657" s="56">
        <f t="shared" si="317"/>
        <v>1</v>
      </c>
      <c r="BC657" s="56"/>
      <c r="BD657" s="56">
        <f t="shared" si="312"/>
        <v>0.83296541574687266</v>
      </c>
      <c r="BE657" s="6">
        <f t="shared" si="316"/>
        <v>17.113043478260881</v>
      </c>
      <c r="BF657" s="6">
        <f t="shared" si="320"/>
        <v>5.3311661926045755</v>
      </c>
    </row>
    <row r="658" spans="1:58" ht="15.75">
      <c r="B658" s="11">
        <v>45918</v>
      </c>
      <c r="C658" s="1">
        <v>414</v>
      </c>
      <c r="D658" s="3">
        <v>653</v>
      </c>
      <c r="E658" s="205" t="str">
        <f t="shared" si="319"/>
        <v/>
      </c>
      <c r="I658" s="15">
        <f t="shared" si="293"/>
        <v>0</v>
      </c>
      <c r="K658" s="10" t="str">
        <f t="shared" si="313"/>
        <v/>
      </c>
      <c r="L658" s="9" t="str">
        <f t="shared" si="314"/>
        <v/>
      </c>
      <c r="M658" s="8" t="str">
        <f t="shared" si="315"/>
        <v/>
      </c>
      <c r="AB658" s="5">
        <v>80</v>
      </c>
      <c r="AF658" s="1">
        <v>0</v>
      </c>
      <c r="AG658" s="1">
        <v>7.95</v>
      </c>
      <c r="AH658" s="20">
        <v>0.47858796296296297</v>
      </c>
      <c r="AJ658" s="2">
        <f>("19:55"-"17:50")*1440</f>
        <v>125.00000000000003</v>
      </c>
      <c r="AK658" s="3">
        <f t="shared" si="323"/>
        <v>240</v>
      </c>
      <c r="AN658" s="3">
        <v>40</v>
      </c>
      <c r="AP658" s="13">
        <f t="shared" si="322"/>
        <v>3210.0000000000364</v>
      </c>
      <c r="AR658" s="17"/>
      <c r="AS658" s="16"/>
      <c r="AT658" s="16"/>
      <c r="AU658" s="16"/>
      <c r="AV658" s="57" t="str">
        <f t="shared" si="311"/>
        <v/>
      </c>
      <c r="AW658" s="57">
        <f t="shared" si="321"/>
        <v>0</v>
      </c>
      <c r="AX658" s="57" t="str">
        <f t="shared" si="307"/>
        <v/>
      </c>
      <c r="AY658" s="57" t="str">
        <f t="shared" si="318"/>
        <v/>
      </c>
      <c r="AZ658" s="57" t="str">
        <f t="shared" si="303"/>
        <v/>
      </c>
      <c r="BA658" s="56" t="str">
        <f t="shared" si="310"/>
        <v/>
      </c>
      <c r="BB658" s="56" t="str">
        <f t="shared" si="317"/>
        <v/>
      </c>
      <c r="BC658" s="56"/>
      <c r="BD658" s="56" t="str">
        <f t="shared" si="312"/>
        <v/>
      </c>
      <c r="BE658" s="6" t="str">
        <f t="shared" si="316"/>
        <v/>
      </c>
      <c r="BF658" s="6" t="str">
        <f t="shared" si="320"/>
        <v/>
      </c>
    </row>
    <row r="659" spans="1:58" ht="15.75">
      <c r="B659" s="11">
        <v>45919</v>
      </c>
      <c r="C659" s="1">
        <v>415</v>
      </c>
      <c r="D659" s="3">
        <v>654</v>
      </c>
      <c r="E659" s="205" t="str">
        <f t="shared" si="319"/>
        <v/>
      </c>
      <c r="I659" s="15">
        <f t="shared" si="293"/>
        <v>0</v>
      </c>
      <c r="K659" s="10" t="str">
        <f t="shared" si="313"/>
        <v/>
      </c>
      <c r="L659" s="9" t="str">
        <f t="shared" si="314"/>
        <v/>
      </c>
      <c r="M659" s="8" t="str">
        <f t="shared" si="315"/>
        <v/>
      </c>
      <c r="AB659" s="5">
        <v>80</v>
      </c>
      <c r="AF659" s="1">
        <v>0</v>
      </c>
      <c r="AG659" s="1">
        <v>8.2899999999999991</v>
      </c>
      <c r="AH659" s="20">
        <v>0.48379629629629628</v>
      </c>
      <c r="AJ659" s="2">
        <f>("20:05"-"17:50")*1440</f>
        <v>135</v>
      </c>
      <c r="AK659" s="3">
        <f t="shared" si="323"/>
        <v>240</v>
      </c>
      <c r="AN659" s="3">
        <v>40</v>
      </c>
      <c r="AP659" s="13">
        <f t="shared" si="322"/>
        <v>3210.0000000000364</v>
      </c>
      <c r="AR659" s="17"/>
      <c r="AS659" s="16"/>
      <c r="AT659" s="16"/>
      <c r="AU659" s="16"/>
      <c r="AV659" s="57" t="str">
        <f t="shared" si="311"/>
        <v/>
      </c>
      <c r="AW659" s="57">
        <f t="shared" si="321"/>
        <v>0</v>
      </c>
      <c r="AX659" s="57" t="str">
        <f t="shared" si="307"/>
        <v/>
      </c>
      <c r="AY659" s="57" t="str">
        <f t="shared" si="318"/>
        <v/>
      </c>
      <c r="AZ659" s="57" t="str">
        <f t="shared" si="303"/>
        <v/>
      </c>
      <c r="BA659" s="56" t="str">
        <f t="shared" si="310"/>
        <v/>
      </c>
      <c r="BB659" s="56" t="str">
        <f t="shared" si="317"/>
        <v/>
      </c>
      <c r="BC659" s="56"/>
      <c r="BD659" s="56" t="str">
        <f t="shared" si="312"/>
        <v/>
      </c>
      <c r="BE659" s="6" t="str">
        <f t="shared" si="316"/>
        <v/>
      </c>
      <c r="BF659" s="6" t="str">
        <f t="shared" si="320"/>
        <v/>
      </c>
    </row>
    <row r="660" spans="1:58" ht="15.75">
      <c r="B660" s="11">
        <v>45920</v>
      </c>
      <c r="C660" s="1">
        <v>416</v>
      </c>
      <c r="D660" s="3">
        <v>655</v>
      </c>
      <c r="E660" s="205" t="str">
        <f t="shared" si="319"/>
        <v/>
      </c>
      <c r="I660" s="15">
        <f t="shared" ref="I660:I723" si="324">AD660</f>
        <v>0</v>
      </c>
      <c r="K660" s="10" t="str">
        <f t="shared" si="313"/>
        <v/>
      </c>
      <c r="L660" s="9" t="str">
        <f t="shared" si="314"/>
        <v/>
      </c>
      <c r="M660" s="8" t="str">
        <f t="shared" si="315"/>
        <v/>
      </c>
      <c r="AB660" s="5">
        <v>80</v>
      </c>
      <c r="AF660" s="1">
        <v>0</v>
      </c>
      <c r="AG660" s="1">
        <v>8.52</v>
      </c>
      <c r="AH660" s="20">
        <v>0.48680555555555555</v>
      </c>
      <c r="AJ660" s="2">
        <f>("20:40"-"17:50")*1440</f>
        <v>170.00000000000003</v>
      </c>
      <c r="AK660" s="3">
        <f t="shared" si="323"/>
        <v>240</v>
      </c>
      <c r="AN660" s="3">
        <v>40</v>
      </c>
      <c r="AP660" s="13" t="e">
        <f t="shared" si="322"/>
        <v>#DIV/0!</v>
      </c>
      <c r="AR660" s="17"/>
      <c r="AS660" s="16"/>
      <c r="AT660" s="16"/>
      <c r="AU660" s="16"/>
      <c r="AV660" s="57" t="str">
        <f t="shared" si="311"/>
        <v/>
      </c>
      <c r="AW660" s="57">
        <f t="shared" si="321"/>
        <v>0</v>
      </c>
      <c r="AX660" s="57" t="str">
        <f t="shared" si="307"/>
        <v/>
      </c>
      <c r="AY660" s="57" t="str">
        <f t="shared" si="318"/>
        <v/>
      </c>
      <c r="AZ660" s="57" t="str">
        <f t="shared" si="303"/>
        <v/>
      </c>
      <c r="BA660" s="56" t="str">
        <f t="shared" si="310"/>
        <v/>
      </c>
      <c r="BB660" s="56" t="str">
        <f t="shared" si="317"/>
        <v/>
      </c>
      <c r="BC660" s="56"/>
      <c r="BD660" s="56" t="str">
        <f t="shared" si="312"/>
        <v/>
      </c>
      <c r="BE660" s="6" t="str">
        <f t="shared" si="316"/>
        <v/>
      </c>
      <c r="BF660" s="6"/>
    </row>
    <row r="661" spans="1:58" ht="15.75">
      <c r="B661" s="11">
        <v>45921</v>
      </c>
      <c r="C661" s="1">
        <v>417</v>
      </c>
      <c r="D661" s="3">
        <v>656</v>
      </c>
      <c r="E661" s="205" t="str">
        <f t="shared" si="319"/>
        <v/>
      </c>
      <c r="I661" s="15">
        <f t="shared" si="324"/>
        <v>0</v>
      </c>
      <c r="K661" s="10" t="str">
        <f t="shared" si="313"/>
        <v/>
      </c>
      <c r="L661" s="9" t="str">
        <f t="shared" si="314"/>
        <v/>
      </c>
      <c r="M661" s="8" t="str">
        <f t="shared" si="315"/>
        <v/>
      </c>
      <c r="AB661" s="5">
        <v>80</v>
      </c>
      <c r="AF661" s="1">
        <v>0</v>
      </c>
      <c r="AG661" s="1">
        <v>8.8800000000000008</v>
      </c>
      <c r="AH661" s="20">
        <v>0.49398148148148147</v>
      </c>
      <c r="AJ661" s="2">
        <f>("20:20"-"17:50")*1440</f>
        <v>149.99999999999994</v>
      </c>
      <c r="AK661" s="3">
        <f t="shared" si="323"/>
        <v>240</v>
      </c>
      <c r="AN661" s="3">
        <v>40</v>
      </c>
      <c r="AP661" s="13">
        <f t="shared" si="322"/>
        <v>3270.0000000000273</v>
      </c>
      <c r="AR661" s="17"/>
      <c r="AS661" s="16"/>
      <c r="AT661" s="16"/>
      <c r="AU661" s="16"/>
      <c r="AV661" s="57" t="str">
        <f t="shared" si="311"/>
        <v/>
      </c>
      <c r="AW661" s="57">
        <f t="shared" si="321"/>
        <v>0</v>
      </c>
      <c r="AX661" s="57" t="str">
        <f t="shared" si="307"/>
        <v/>
      </c>
      <c r="AY661" s="57" t="str">
        <f t="shared" si="318"/>
        <v/>
      </c>
      <c r="AZ661" s="57" t="str">
        <f t="shared" si="303"/>
        <v/>
      </c>
      <c r="BA661" s="56" t="str">
        <f t="shared" ref="BA661:BA691" si="325">IF(AND($E661&gt;0,$W661&gt;0),IF(($E661-$W661)/$E661&gt;0,($E661-$W661)/$E661,0),"")</f>
        <v/>
      </c>
      <c r="BB661" s="56" t="str">
        <f t="shared" si="317"/>
        <v/>
      </c>
      <c r="BC661" s="56"/>
      <c r="BD661" s="56" t="str">
        <f t="shared" si="312"/>
        <v/>
      </c>
      <c r="BE661" s="6" t="str">
        <f t="shared" si="316"/>
        <v/>
      </c>
      <c r="BF661" s="6" t="str">
        <f t="shared" ref="BF661:BF667" si="326">IF(OR(AJ661=0,AP661=0,NOT(ISNUMBER(AD661)),NOT(ISNUMBER(AF661)),NOT(ISNUMBER(AJ661)),NOT(ISNUMBER(AP661))),"",
IFERROR(IF((AD661-AF661)/(AJ661/60)/(AP661/1000)&lt;=0,"",(AD661-AF661)/(AJ661/60)/(AP661/1000)),""))</f>
        <v/>
      </c>
    </row>
    <row r="662" spans="1:58" ht="15.75">
      <c r="B662" s="11">
        <v>45922</v>
      </c>
      <c r="C662" s="1">
        <v>418</v>
      </c>
      <c r="D662" s="3">
        <v>657</v>
      </c>
      <c r="E662" s="205" t="str">
        <f t="shared" si="319"/>
        <v/>
      </c>
      <c r="I662" s="15">
        <f t="shared" si="324"/>
        <v>0</v>
      </c>
      <c r="K662" s="10" t="str">
        <f t="shared" si="313"/>
        <v/>
      </c>
      <c r="L662" s="9" t="str">
        <f t="shared" si="314"/>
        <v/>
      </c>
      <c r="M662" s="8" t="str">
        <f t="shared" si="315"/>
        <v/>
      </c>
      <c r="AB662" s="5">
        <v>80</v>
      </c>
      <c r="AF662" s="1">
        <v>0</v>
      </c>
      <c r="AG662" s="1">
        <v>10.42</v>
      </c>
      <c r="AH662" s="20">
        <v>0.52048611111111109</v>
      </c>
      <c r="AJ662" s="2">
        <f>("21:15"-"17:50")*1440</f>
        <v>204.99999999999991</v>
      </c>
      <c r="AK662" s="3">
        <f t="shared" si="323"/>
        <v>240</v>
      </c>
      <c r="AN662" s="3">
        <v>40</v>
      </c>
      <c r="AP662" s="13">
        <f t="shared" si="322"/>
        <v>3270.0000000000273</v>
      </c>
      <c r="AR662" s="17"/>
      <c r="AS662" s="16"/>
      <c r="AT662" s="16"/>
      <c r="AU662" s="16"/>
      <c r="AV662" s="57" t="str">
        <f t="shared" si="311"/>
        <v/>
      </c>
      <c r="AW662" s="57">
        <f t="shared" si="321"/>
        <v>0</v>
      </c>
      <c r="AX662" s="57" t="str">
        <f t="shared" si="307"/>
        <v/>
      </c>
      <c r="AY662" s="57" t="str">
        <f t="shared" si="318"/>
        <v/>
      </c>
      <c r="AZ662" s="57" t="str">
        <f t="shared" si="303"/>
        <v/>
      </c>
      <c r="BA662" s="56" t="str">
        <f t="shared" si="325"/>
        <v/>
      </c>
      <c r="BB662" s="56" t="str">
        <f t="shared" si="317"/>
        <v/>
      </c>
      <c r="BC662" s="56"/>
      <c r="BD662" s="56" t="str">
        <f t="shared" si="312"/>
        <v/>
      </c>
      <c r="BE662" s="6" t="str">
        <f t="shared" si="316"/>
        <v/>
      </c>
      <c r="BF662" s="6" t="str">
        <f t="shared" si="326"/>
        <v/>
      </c>
    </row>
    <row r="663" spans="1:58" ht="15.75">
      <c r="B663" s="11">
        <v>45923</v>
      </c>
      <c r="C663" s="1">
        <v>419</v>
      </c>
      <c r="D663" s="3">
        <v>658</v>
      </c>
      <c r="E663" s="205" t="str">
        <f t="shared" si="319"/>
        <v/>
      </c>
      <c r="I663" s="15">
        <f t="shared" si="324"/>
        <v>0</v>
      </c>
      <c r="K663" s="10" t="str">
        <f t="shared" si="313"/>
        <v/>
      </c>
      <c r="L663" s="9" t="str">
        <f t="shared" si="314"/>
        <v/>
      </c>
      <c r="M663" s="8" t="str">
        <f t="shared" si="315"/>
        <v/>
      </c>
      <c r="AB663" s="5">
        <v>80</v>
      </c>
      <c r="AF663" s="1">
        <v>0</v>
      </c>
      <c r="AG663" s="1">
        <v>10.18</v>
      </c>
      <c r="AH663" s="20">
        <v>0.52083333333333337</v>
      </c>
      <c r="AJ663" s="2">
        <f>("21:35"-"17:50")*1440</f>
        <v>225</v>
      </c>
      <c r="AK663" s="3">
        <f t="shared" si="323"/>
        <v>240</v>
      </c>
      <c r="AN663" s="3">
        <v>40</v>
      </c>
      <c r="AP663" s="13">
        <f t="shared" si="322"/>
        <v>3270.0000000000273</v>
      </c>
      <c r="AR663" s="17"/>
      <c r="AS663" s="16"/>
      <c r="AT663" s="16"/>
      <c r="AU663" s="16"/>
      <c r="AV663" s="57" t="str">
        <f t="shared" si="311"/>
        <v/>
      </c>
      <c r="AW663" s="57">
        <f t="shared" si="321"/>
        <v>0</v>
      </c>
      <c r="AX663" s="57" t="str">
        <f t="shared" si="307"/>
        <v/>
      </c>
      <c r="AY663" s="57" t="str">
        <f t="shared" si="318"/>
        <v/>
      </c>
      <c r="AZ663" s="57" t="str">
        <f t="shared" si="303"/>
        <v/>
      </c>
      <c r="BA663" s="56" t="str">
        <f t="shared" si="325"/>
        <v/>
      </c>
      <c r="BB663" s="56" t="str">
        <f t="shared" si="317"/>
        <v/>
      </c>
      <c r="BC663" s="56"/>
      <c r="BD663" s="56" t="str">
        <f t="shared" si="312"/>
        <v/>
      </c>
      <c r="BE663" s="6" t="str">
        <f t="shared" si="316"/>
        <v/>
      </c>
      <c r="BF663" s="6" t="str">
        <f t="shared" si="326"/>
        <v/>
      </c>
    </row>
    <row r="664" spans="1:58" ht="15.75">
      <c r="A664" s="12" t="s">
        <v>21</v>
      </c>
      <c r="B664" s="11">
        <v>45924</v>
      </c>
      <c r="C664" s="1">
        <v>420</v>
      </c>
      <c r="D664" s="3">
        <v>659</v>
      </c>
      <c r="E664" s="205" t="str">
        <f t="shared" si="319"/>
        <v/>
      </c>
      <c r="I664" s="15">
        <f t="shared" si="324"/>
        <v>0</v>
      </c>
      <c r="K664" s="10" t="str">
        <f t="shared" si="313"/>
        <v/>
      </c>
      <c r="L664" s="9" t="str">
        <f t="shared" si="314"/>
        <v/>
      </c>
      <c r="M664" s="8" t="str">
        <f t="shared" si="315"/>
        <v/>
      </c>
      <c r="AB664" s="5">
        <v>80</v>
      </c>
      <c r="AF664" s="1">
        <v>0</v>
      </c>
      <c r="AG664" s="1">
        <v>10.28</v>
      </c>
      <c r="AH664" s="20">
        <v>0.52060185185185182</v>
      </c>
      <c r="AJ664" s="2">
        <v>240</v>
      </c>
      <c r="AK664" s="3">
        <f t="shared" si="323"/>
        <v>240</v>
      </c>
      <c r="AN664" s="3">
        <v>40</v>
      </c>
      <c r="AP664" s="13">
        <f t="shared" si="322"/>
        <v>3270.0000000000273</v>
      </c>
      <c r="AR664" s="17"/>
      <c r="AS664" s="16"/>
      <c r="AT664" s="16"/>
      <c r="AU664" s="16"/>
      <c r="AV664" s="57" t="str">
        <f t="shared" si="311"/>
        <v/>
      </c>
      <c r="AW664" s="57">
        <f t="shared" si="321"/>
        <v>0</v>
      </c>
      <c r="AX664" s="57" t="str">
        <f t="shared" si="307"/>
        <v/>
      </c>
      <c r="AY664" s="57" t="str">
        <f t="shared" si="318"/>
        <v/>
      </c>
      <c r="AZ664" s="57" t="str">
        <f t="shared" si="303"/>
        <v/>
      </c>
      <c r="BA664" s="56" t="str">
        <f t="shared" si="325"/>
        <v/>
      </c>
      <c r="BB664" s="56" t="str">
        <f t="shared" si="317"/>
        <v/>
      </c>
      <c r="BC664" s="56"/>
      <c r="BD664" s="56" t="str">
        <f t="shared" ref="BD664:BD691" si="327">IF(AND($G664&gt;0,$AM664&gt;0),IF(($G664-$AM664)/$G664&gt;0,($G664-$AM664)/$G664,0),"")</f>
        <v/>
      </c>
      <c r="BE664" s="6" t="str">
        <f t="shared" si="316"/>
        <v/>
      </c>
      <c r="BF664" s="6" t="str">
        <f t="shared" si="326"/>
        <v/>
      </c>
    </row>
    <row r="665" spans="1:58" ht="15.75">
      <c r="A665" s="12" t="s">
        <v>20</v>
      </c>
      <c r="B665" s="11">
        <v>45925</v>
      </c>
      <c r="C665" s="1">
        <v>421</v>
      </c>
      <c r="D665" s="3">
        <v>660</v>
      </c>
      <c r="E665" s="205">
        <f t="shared" si="319"/>
        <v>249.89371799999998</v>
      </c>
      <c r="G665" s="15">
        <f>(N665*18-H665*18)/9</f>
        <v>14.459999999999999</v>
      </c>
      <c r="H665" s="9">
        <f>2*1.46</f>
        <v>2.92</v>
      </c>
      <c r="I665" s="15">
        <f t="shared" si="324"/>
        <v>33.1</v>
      </c>
      <c r="K665" s="10">
        <f t="shared" si="313"/>
        <v>17.281723236514523</v>
      </c>
      <c r="L665" s="9">
        <f t="shared" si="314"/>
        <v>3.7748295770392746</v>
      </c>
      <c r="M665" s="8">
        <f t="shared" si="315"/>
        <v>4.5781466113416327</v>
      </c>
      <c r="N665" s="10">
        <f>5*2.03</f>
        <v>10.149999999999999</v>
      </c>
      <c r="O665" s="6">
        <v>81.703000000000003</v>
      </c>
      <c r="P665" s="6">
        <v>24.946999999999999</v>
      </c>
      <c r="Q665" s="6">
        <f>O665*1.067</f>
        <v>87.177100999999993</v>
      </c>
      <c r="R665" s="6">
        <f>P665*1.514</f>
        <v>37.769757999999996</v>
      </c>
      <c r="S665" s="6">
        <f>Q665+R665</f>
        <v>124.94685899999999</v>
      </c>
      <c r="T665" s="6">
        <v>38.6</v>
      </c>
      <c r="U665" s="59">
        <f>0*1.067</f>
        <v>0</v>
      </c>
      <c r="V665" s="59">
        <f>0*1.514</f>
        <v>0</v>
      </c>
      <c r="W665" s="23">
        <f>U665*1.067+V665*1.514</f>
        <v>0</v>
      </c>
      <c r="AB665" s="5">
        <v>80</v>
      </c>
      <c r="AC665" s="7">
        <f>T665</f>
        <v>38.6</v>
      </c>
      <c r="AD665" s="1">
        <v>33.1</v>
      </c>
      <c r="AE665" s="1">
        <f>5*2</f>
        <v>10</v>
      </c>
      <c r="AF665" s="1">
        <v>0</v>
      </c>
      <c r="AJ665" s="2">
        <f>("22:00"-"18:15")*1440</f>
        <v>225</v>
      </c>
      <c r="AK665" s="3">
        <f t="shared" si="323"/>
        <v>240</v>
      </c>
      <c r="AL665" s="4">
        <f>AE665</f>
        <v>10</v>
      </c>
      <c r="AM665" s="1">
        <f>2*3.2</f>
        <v>6.4</v>
      </c>
      <c r="AN665" s="3">
        <v>40</v>
      </c>
      <c r="AO665" s="2">
        <v>3270.0000000000273</v>
      </c>
      <c r="AP665" s="13">
        <f t="shared" si="322"/>
        <v>3270.0000000000273</v>
      </c>
      <c r="AR665" s="17">
        <f>(E665-W665)/E665</f>
        <v>1</v>
      </c>
      <c r="AS665" s="16">
        <f>(I665-AF665)/I665</f>
        <v>1</v>
      </c>
      <c r="AT665" s="16"/>
      <c r="AU665" s="16">
        <f>(G665-AM665)/G665</f>
        <v>0.55739972337482702</v>
      </c>
      <c r="AV665" s="57">
        <f t="shared" si="311"/>
        <v>249.89371799999998</v>
      </c>
      <c r="AW665" s="57">
        <f t="shared" si="321"/>
        <v>33.1</v>
      </c>
      <c r="AX665" s="57">
        <f t="shared" si="307"/>
        <v>8.0599999999999987</v>
      </c>
      <c r="AY665" s="57">
        <f t="shared" si="318"/>
        <v>28.6</v>
      </c>
      <c r="AZ665" s="57">
        <f t="shared" si="303"/>
        <v>3.5999999999999996</v>
      </c>
      <c r="BA665" s="56" t="str">
        <f t="shared" si="325"/>
        <v/>
      </c>
      <c r="BB665" s="56">
        <f t="shared" si="317"/>
        <v>1</v>
      </c>
      <c r="BC665" s="56"/>
      <c r="BD665" s="56">
        <f t="shared" si="327"/>
        <v>0.55739972337482702</v>
      </c>
      <c r="BE665" s="6">
        <f t="shared" si="316"/>
        <v>8.8266666666666662</v>
      </c>
      <c r="BF665" s="6">
        <f t="shared" si="326"/>
        <v>2.6992864424056862</v>
      </c>
    </row>
    <row r="666" spans="1:58" ht="15.75">
      <c r="B666" s="11">
        <v>45926</v>
      </c>
      <c r="C666" s="1">
        <v>422</v>
      </c>
      <c r="D666" s="3">
        <v>661</v>
      </c>
      <c r="E666" s="205">
        <f t="shared" si="319"/>
        <v>226.11089200000004</v>
      </c>
      <c r="G666" s="15">
        <f>(N666*18-H666*18)/9</f>
        <v>14.540000000000001</v>
      </c>
      <c r="H666" s="9">
        <f>2*2.34</f>
        <v>4.68</v>
      </c>
      <c r="I666" s="15">
        <f t="shared" si="324"/>
        <v>34.6</v>
      </c>
      <c r="K666" s="10">
        <f t="shared" si="313"/>
        <v>15.550955433287484</v>
      </c>
      <c r="L666" s="9">
        <f t="shared" si="314"/>
        <v>3.2674984393063586</v>
      </c>
      <c r="M666" s="8">
        <f t="shared" si="315"/>
        <v>4.7592847317744154</v>
      </c>
      <c r="N666" s="7">
        <f>5*2.39</f>
        <v>11.950000000000001</v>
      </c>
      <c r="O666" s="6">
        <v>72.156000000000006</v>
      </c>
      <c r="P666" s="6">
        <v>23.821000000000002</v>
      </c>
      <c r="Q666" s="6">
        <f>O666*1.067</f>
        <v>76.990452000000005</v>
      </c>
      <c r="R666" s="6">
        <f>P666*1.514</f>
        <v>36.064994000000006</v>
      </c>
      <c r="S666" s="6">
        <f>Q666+R666</f>
        <v>113.05544600000002</v>
      </c>
      <c r="T666" s="6">
        <v>37.4</v>
      </c>
      <c r="U666" s="59">
        <f>1.802*1.067</f>
        <v>1.9227339999999999</v>
      </c>
      <c r="V666" s="59">
        <f>0*1.514</f>
        <v>0</v>
      </c>
      <c r="W666" s="23">
        <f>U666*1.067+V666*1.514</f>
        <v>2.0515571779999999</v>
      </c>
      <c r="AB666" s="5">
        <v>80</v>
      </c>
      <c r="AC666" s="7">
        <f>T666</f>
        <v>37.4</v>
      </c>
      <c r="AD666" s="1">
        <v>34.6</v>
      </c>
      <c r="AE666" s="1">
        <f>5*3.45</f>
        <v>17.25</v>
      </c>
      <c r="AF666" s="1">
        <v>0</v>
      </c>
      <c r="AJ666" s="2"/>
      <c r="AK666" s="3">
        <f t="shared" si="323"/>
        <v>240</v>
      </c>
      <c r="AL666" s="4">
        <f>AE666</f>
        <v>17.25</v>
      </c>
      <c r="AM666" s="1">
        <f>2*6.35</f>
        <v>12.7</v>
      </c>
      <c r="AN666" s="3">
        <v>40</v>
      </c>
      <c r="AP666" s="13">
        <f t="shared" si="322"/>
        <v>3270.0000000000273</v>
      </c>
      <c r="AR666" s="17">
        <f>(E666-W666)/E666</f>
        <v>0.99092676535900803</v>
      </c>
      <c r="AS666" s="16">
        <f>(I666-AF666)/I666</f>
        <v>1</v>
      </c>
      <c r="AT666" s="16"/>
      <c r="AU666" s="16">
        <f>(G666-AM666)/G666</f>
        <v>0.12654745529573599</v>
      </c>
      <c r="AV666" s="57">
        <f t="shared" si="311"/>
        <v>224.05933482200004</v>
      </c>
      <c r="AW666" s="57">
        <f t="shared" si="321"/>
        <v>34.6</v>
      </c>
      <c r="AX666" s="57">
        <f t="shared" si="307"/>
        <v>1.8400000000000016</v>
      </c>
      <c r="AY666" s="57">
        <f t="shared" si="318"/>
        <v>20.149999999999999</v>
      </c>
      <c r="AZ666" s="57">
        <f t="shared" si="303"/>
        <v>4.5500000000000007</v>
      </c>
      <c r="BA666" s="56">
        <f t="shared" si="325"/>
        <v>0.99092676535900803</v>
      </c>
      <c r="BB666" s="56">
        <f t="shared" si="317"/>
        <v>1</v>
      </c>
      <c r="BC666" s="56"/>
      <c r="BD666" s="56">
        <f t="shared" si="327"/>
        <v>0.12654745529573599</v>
      </c>
      <c r="BE666" s="6" t="e">
        <f t="shared" si="316"/>
        <v>#DIV/0!</v>
      </c>
      <c r="BF666" s="6" t="str">
        <f t="shared" si="326"/>
        <v/>
      </c>
    </row>
    <row r="667" spans="1:58" ht="15.75">
      <c r="B667" s="11">
        <v>45927</v>
      </c>
      <c r="C667" s="1">
        <v>423</v>
      </c>
      <c r="D667" s="3">
        <v>662</v>
      </c>
      <c r="E667" s="205" t="str">
        <f t="shared" si="319"/>
        <v/>
      </c>
      <c r="I667" s="15">
        <f t="shared" si="324"/>
        <v>0</v>
      </c>
      <c r="K667" s="10" t="str">
        <f t="shared" ref="K667:K730" si="328">IF(OR(E667="",G667="",E667=0,G667=0),"",E667/G667)</f>
        <v/>
      </c>
      <c r="L667" s="9" t="str">
        <f t="shared" ref="L667:L730" si="329">IF(OR(E667="",I667="",E667=0,I667=0),"",E667/(I667*2))</f>
        <v/>
      </c>
      <c r="M667" s="8" t="str">
        <f t="shared" ref="M667:M730" si="330">IF(OR(I667="",G667="",I667=0,G667=0),"",I667*2/G667)</f>
        <v/>
      </c>
      <c r="AB667" s="5">
        <v>80</v>
      </c>
      <c r="AF667" s="1">
        <v>0</v>
      </c>
      <c r="AJ667" s="2">
        <f>("19:10"-"15:25")*1440</f>
        <v>225</v>
      </c>
      <c r="AK667" s="3">
        <f t="shared" si="323"/>
        <v>240</v>
      </c>
      <c r="AN667" s="3">
        <v>40</v>
      </c>
      <c r="AP667" s="13">
        <f t="shared" si="322"/>
        <v>3270.0000000000273</v>
      </c>
      <c r="AR667" s="17"/>
      <c r="AS667" s="16"/>
      <c r="AT667" s="16"/>
      <c r="AU667" s="16"/>
      <c r="AV667" s="57" t="str">
        <f t="shared" si="311"/>
        <v/>
      </c>
      <c r="AW667" s="57">
        <f t="shared" si="321"/>
        <v>0</v>
      </c>
      <c r="AX667" s="57" t="str">
        <f t="shared" si="307"/>
        <v/>
      </c>
      <c r="AY667" s="57" t="str">
        <f t="shared" si="318"/>
        <v/>
      </c>
      <c r="AZ667" s="57" t="str">
        <f t="shared" si="303"/>
        <v/>
      </c>
      <c r="BA667" s="56" t="str">
        <f t="shared" si="325"/>
        <v/>
      </c>
      <c r="BB667" s="56" t="str">
        <f t="shared" si="317"/>
        <v/>
      </c>
      <c r="BC667" s="56"/>
      <c r="BD667" s="56" t="str">
        <f t="shared" si="327"/>
        <v/>
      </c>
      <c r="BE667" s="6" t="str">
        <f t="shared" si="316"/>
        <v/>
      </c>
      <c r="BF667" s="6" t="str">
        <f t="shared" si="326"/>
        <v/>
      </c>
    </row>
    <row r="668" spans="1:58" ht="15.75">
      <c r="B668" s="11">
        <v>45928</v>
      </c>
      <c r="C668" s="1">
        <v>424</v>
      </c>
      <c r="D668" s="3">
        <v>663</v>
      </c>
      <c r="E668" s="205" t="str">
        <f t="shared" si="319"/>
        <v/>
      </c>
      <c r="G668" s="41">
        <v>14.540000000000001</v>
      </c>
      <c r="I668" s="15">
        <f t="shared" si="324"/>
        <v>0</v>
      </c>
      <c r="K668" s="10" t="str">
        <f t="shared" si="328"/>
        <v/>
      </c>
      <c r="L668" s="9" t="str">
        <f t="shared" si="329"/>
        <v/>
      </c>
      <c r="M668" s="8" t="str">
        <f t="shared" si="330"/>
        <v/>
      </c>
      <c r="AB668" s="5">
        <v>80</v>
      </c>
      <c r="AE668" s="1">
        <f>5*2.27</f>
        <v>11.35</v>
      </c>
      <c r="AF668" s="1">
        <v>0</v>
      </c>
      <c r="AJ668" s="2">
        <f>("21:05"-"17:25")*1440</f>
        <v>220.00000000000003</v>
      </c>
      <c r="AK668" s="3">
        <f t="shared" si="323"/>
        <v>240</v>
      </c>
      <c r="AL668" s="4">
        <f>AE668</f>
        <v>11.35</v>
      </c>
      <c r="AM668" s="1">
        <f>2*4</f>
        <v>8</v>
      </c>
      <c r="AN668" s="3">
        <v>40</v>
      </c>
      <c r="AP668" s="13" t="e">
        <f t="shared" si="322"/>
        <v>#DIV/0!</v>
      </c>
      <c r="AR668" s="17"/>
      <c r="AS668" s="16"/>
      <c r="AT668" s="16"/>
      <c r="AU668" s="16">
        <f>(G668-AM668)/G668</f>
        <v>0.44979367262723524</v>
      </c>
      <c r="AV668" s="57" t="str">
        <f t="shared" si="311"/>
        <v/>
      </c>
      <c r="AW668" s="57">
        <f t="shared" si="321"/>
        <v>0</v>
      </c>
      <c r="AX668" s="57">
        <f t="shared" si="307"/>
        <v>6.5400000000000009</v>
      </c>
      <c r="AY668" s="57" t="str">
        <f t="shared" si="318"/>
        <v/>
      </c>
      <c r="AZ668" s="57">
        <f t="shared" si="303"/>
        <v>3.3499999999999996</v>
      </c>
      <c r="BA668" s="56" t="str">
        <f t="shared" si="325"/>
        <v/>
      </c>
      <c r="BB668" s="56" t="str">
        <f t="shared" si="317"/>
        <v/>
      </c>
      <c r="BC668" s="56"/>
      <c r="BD668" s="56">
        <f t="shared" si="327"/>
        <v>0.44979367262723524</v>
      </c>
      <c r="BE668" s="6" t="str">
        <f t="shared" si="316"/>
        <v/>
      </c>
      <c r="BF668" s="6"/>
    </row>
    <row r="669" spans="1:58" ht="15.75">
      <c r="B669" s="11">
        <v>45929</v>
      </c>
      <c r="C669" s="1">
        <v>425</v>
      </c>
      <c r="D669" s="3">
        <v>664</v>
      </c>
      <c r="E669" s="205" t="str">
        <f t="shared" si="319"/>
        <v/>
      </c>
      <c r="I669" s="15">
        <f t="shared" si="324"/>
        <v>0</v>
      </c>
      <c r="K669" s="10" t="str">
        <f t="shared" si="328"/>
        <v/>
      </c>
      <c r="L669" s="9" t="str">
        <f t="shared" si="329"/>
        <v/>
      </c>
      <c r="M669" s="8" t="str">
        <f t="shared" si="330"/>
        <v/>
      </c>
      <c r="AB669" s="5">
        <v>80</v>
      </c>
      <c r="AF669" s="1">
        <v>0</v>
      </c>
      <c r="AJ669" s="2">
        <f>("20:55"-"17:30")*1440</f>
        <v>205.00000000000006</v>
      </c>
      <c r="AK669" s="3">
        <f t="shared" si="323"/>
        <v>240</v>
      </c>
      <c r="AN669" s="3">
        <v>40</v>
      </c>
      <c r="AP669" s="13" t="e">
        <f t="shared" si="322"/>
        <v>#DIV/0!</v>
      </c>
      <c r="AR669" s="17"/>
      <c r="AS669" s="16"/>
      <c r="AT669" s="16"/>
      <c r="AU669" s="16"/>
      <c r="AV669" s="57" t="str">
        <f t="shared" si="311"/>
        <v/>
      </c>
      <c r="AW669" s="57">
        <f t="shared" si="321"/>
        <v>0</v>
      </c>
      <c r="AX669" s="57" t="str">
        <f t="shared" si="307"/>
        <v/>
      </c>
      <c r="AY669" s="57" t="str">
        <f t="shared" si="318"/>
        <v/>
      </c>
      <c r="AZ669" s="57" t="str">
        <f t="shared" si="303"/>
        <v/>
      </c>
      <c r="BA669" s="56" t="str">
        <f t="shared" si="325"/>
        <v/>
      </c>
      <c r="BB669" s="56" t="str">
        <f t="shared" si="317"/>
        <v/>
      </c>
      <c r="BC669" s="56"/>
      <c r="BD669" s="56" t="str">
        <f t="shared" si="327"/>
        <v/>
      </c>
      <c r="BE669" s="6" t="str">
        <f t="shared" si="316"/>
        <v/>
      </c>
      <c r="BF669" s="6"/>
    </row>
    <row r="670" spans="1:58" ht="15.75">
      <c r="B670" s="11">
        <v>45930</v>
      </c>
      <c r="C670" s="1">
        <v>426</v>
      </c>
      <c r="D670" s="3">
        <v>665</v>
      </c>
      <c r="E670" s="205" t="str">
        <f t="shared" si="319"/>
        <v/>
      </c>
      <c r="I670" s="15">
        <f t="shared" si="324"/>
        <v>0</v>
      </c>
      <c r="K670" s="10" t="str">
        <f t="shared" si="328"/>
        <v/>
      </c>
      <c r="L670" s="9" t="str">
        <f t="shared" si="329"/>
        <v/>
      </c>
      <c r="M670" s="8" t="str">
        <f t="shared" si="330"/>
        <v/>
      </c>
      <c r="AB670" s="5">
        <v>80</v>
      </c>
      <c r="AF670" s="1">
        <v>0</v>
      </c>
      <c r="AJ670" s="1">
        <v>149</v>
      </c>
      <c r="AK670" s="3">
        <f t="shared" si="323"/>
        <v>240</v>
      </c>
      <c r="AN670" s="3">
        <v>40</v>
      </c>
      <c r="AP670" s="13" t="e">
        <f t="shared" si="322"/>
        <v>#DIV/0!</v>
      </c>
      <c r="AR670" s="17"/>
      <c r="AS670" s="16"/>
      <c r="AT670" s="16"/>
      <c r="AU670" s="16"/>
      <c r="AV670" s="57" t="str">
        <f t="shared" si="311"/>
        <v/>
      </c>
      <c r="AW670" s="57">
        <f t="shared" si="321"/>
        <v>0</v>
      </c>
      <c r="AX670" s="57" t="str">
        <f t="shared" si="307"/>
        <v/>
      </c>
      <c r="AY670" s="57" t="str">
        <f t="shared" si="318"/>
        <v/>
      </c>
      <c r="AZ670" s="57" t="str">
        <f t="shared" si="303"/>
        <v/>
      </c>
      <c r="BA670" s="56" t="str">
        <f t="shared" si="325"/>
        <v/>
      </c>
      <c r="BB670" s="56" t="str">
        <f t="shared" si="317"/>
        <v/>
      </c>
      <c r="BC670" s="56"/>
      <c r="BD670" s="56" t="str">
        <f t="shared" si="327"/>
        <v/>
      </c>
      <c r="BE670" s="6" t="str">
        <f t="shared" si="316"/>
        <v/>
      </c>
      <c r="BF670" s="6"/>
    </row>
    <row r="671" spans="1:58" ht="15.75">
      <c r="B671" s="11">
        <v>45931</v>
      </c>
      <c r="C671" s="1">
        <v>427</v>
      </c>
      <c r="D671" s="3">
        <v>666</v>
      </c>
      <c r="E671" s="205" t="str">
        <f t="shared" si="319"/>
        <v/>
      </c>
      <c r="I671" s="15">
        <f t="shared" si="324"/>
        <v>0</v>
      </c>
      <c r="K671" s="10" t="str">
        <f t="shared" si="328"/>
        <v/>
      </c>
      <c r="L671" s="9" t="str">
        <f t="shared" si="329"/>
        <v/>
      </c>
      <c r="M671" s="8" t="str">
        <f t="shared" si="330"/>
        <v/>
      </c>
      <c r="AB671" s="5">
        <v>80</v>
      </c>
      <c r="AF671" s="1">
        <v>0</v>
      </c>
      <c r="AJ671" s="1">
        <v>141</v>
      </c>
      <c r="AK671" s="3">
        <f t="shared" si="323"/>
        <v>240</v>
      </c>
      <c r="AN671" s="3">
        <v>40</v>
      </c>
      <c r="AP671" s="13" t="e">
        <f t="shared" si="322"/>
        <v>#DIV/0!</v>
      </c>
      <c r="AR671" s="17"/>
      <c r="AS671" s="16"/>
      <c r="AT671" s="16"/>
      <c r="AU671" s="16"/>
      <c r="AV671" s="57" t="str">
        <f t="shared" si="311"/>
        <v/>
      </c>
      <c r="AW671" s="57">
        <f t="shared" si="321"/>
        <v>0</v>
      </c>
      <c r="AX671" s="57" t="str">
        <f t="shared" si="307"/>
        <v/>
      </c>
      <c r="AY671" s="57" t="str">
        <f t="shared" si="318"/>
        <v/>
      </c>
      <c r="AZ671" s="57" t="str">
        <f t="shared" si="303"/>
        <v/>
      </c>
      <c r="BA671" s="56" t="str">
        <f t="shared" si="325"/>
        <v/>
      </c>
      <c r="BB671" s="56" t="str">
        <f t="shared" si="317"/>
        <v/>
      </c>
      <c r="BC671" s="56"/>
      <c r="BD671" s="56" t="str">
        <f t="shared" si="327"/>
        <v/>
      </c>
      <c r="BE671" s="6" t="str">
        <f t="shared" si="316"/>
        <v/>
      </c>
      <c r="BF671" s="6"/>
    </row>
    <row r="672" spans="1:58" ht="15.75">
      <c r="B672" s="11">
        <v>45932</v>
      </c>
      <c r="C672" s="1">
        <v>428</v>
      </c>
      <c r="D672" s="3">
        <v>667</v>
      </c>
      <c r="E672" s="205" t="str">
        <f t="shared" si="319"/>
        <v/>
      </c>
      <c r="I672" s="15">
        <f t="shared" si="324"/>
        <v>0</v>
      </c>
      <c r="K672" s="10" t="str">
        <f t="shared" si="328"/>
        <v/>
      </c>
      <c r="L672" s="9" t="str">
        <f t="shared" si="329"/>
        <v/>
      </c>
      <c r="M672" s="8" t="str">
        <f t="shared" si="330"/>
        <v/>
      </c>
      <c r="AB672" s="5">
        <v>80</v>
      </c>
      <c r="AF672" s="1">
        <v>0</v>
      </c>
      <c r="AJ672" s="1">
        <v>141</v>
      </c>
      <c r="AK672" s="3">
        <f t="shared" si="323"/>
        <v>240</v>
      </c>
      <c r="AN672" s="3">
        <v>40</v>
      </c>
      <c r="AP672" s="13" t="e">
        <f t="shared" si="322"/>
        <v>#DIV/0!</v>
      </c>
      <c r="AR672" s="17"/>
      <c r="AS672" s="16"/>
      <c r="AT672" s="16"/>
      <c r="AU672" s="16"/>
      <c r="AV672" s="57" t="str">
        <f t="shared" si="311"/>
        <v/>
      </c>
      <c r="AW672" s="57">
        <f t="shared" si="321"/>
        <v>0</v>
      </c>
      <c r="AX672" s="57" t="str">
        <f t="shared" si="307"/>
        <v/>
      </c>
      <c r="AY672" s="57" t="str">
        <f t="shared" si="318"/>
        <v/>
      </c>
      <c r="AZ672" s="57" t="str">
        <f t="shared" si="303"/>
        <v/>
      </c>
      <c r="BA672" s="56" t="str">
        <f t="shared" si="325"/>
        <v/>
      </c>
      <c r="BB672" s="56" t="str">
        <f t="shared" si="317"/>
        <v/>
      </c>
      <c r="BC672" s="56"/>
      <c r="BD672" s="56" t="str">
        <f t="shared" si="327"/>
        <v/>
      </c>
      <c r="BE672" s="6" t="str">
        <f t="shared" si="316"/>
        <v/>
      </c>
      <c r="BF672" s="6"/>
    </row>
    <row r="673" spans="1:58" ht="15.75">
      <c r="B673" s="11">
        <v>45933</v>
      </c>
      <c r="C673" s="1">
        <v>429</v>
      </c>
      <c r="D673" s="3">
        <v>668</v>
      </c>
      <c r="E673" s="205" t="str">
        <f t="shared" si="319"/>
        <v/>
      </c>
      <c r="I673" s="15">
        <f t="shared" si="324"/>
        <v>0</v>
      </c>
      <c r="K673" s="10" t="str">
        <f t="shared" si="328"/>
        <v/>
      </c>
      <c r="L673" s="9" t="str">
        <f t="shared" si="329"/>
        <v/>
      </c>
      <c r="M673" s="8" t="str">
        <f t="shared" si="330"/>
        <v/>
      </c>
      <c r="AB673" s="5">
        <v>80</v>
      </c>
      <c r="AF673" s="1">
        <v>0</v>
      </c>
      <c r="AJ673" s="1">
        <v>125</v>
      </c>
      <c r="AK673" s="3">
        <f t="shared" si="323"/>
        <v>240</v>
      </c>
      <c r="AM673" s="1">
        <f>2*5.67</f>
        <v>11.34</v>
      </c>
      <c r="AN673" s="3">
        <v>40</v>
      </c>
      <c r="AP673" s="13" t="e">
        <f t="shared" si="322"/>
        <v>#DIV/0!</v>
      </c>
      <c r="AR673" s="17"/>
      <c r="AS673" s="16"/>
      <c r="AT673" s="16"/>
      <c r="AU673" s="16"/>
      <c r="AV673" s="57" t="str">
        <f t="shared" si="311"/>
        <v/>
      </c>
      <c r="AW673" s="57">
        <f t="shared" si="321"/>
        <v>0</v>
      </c>
      <c r="AX673" s="57" t="str">
        <f t="shared" si="307"/>
        <v/>
      </c>
      <c r="AY673" s="57" t="str">
        <f t="shared" si="318"/>
        <v/>
      </c>
      <c r="AZ673" s="57" t="str">
        <f t="shared" si="303"/>
        <v/>
      </c>
      <c r="BA673" s="56" t="str">
        <f t="shared" si="325"/>
        <v/>
      </c>
      <c r="BB673" s="56" t="str">
        <f t="shared" si="317"/>
        <v/>
      </c>
      <c r="BC673" s="56"/>
      <c r="BD673" s="56" t="str">
        <f t="shared" si="327"/>
        <v/>
      </c>
      <c r="BE673" s="6" t="str">
        <f t="shared" si="316"/>
        <v/>
      </c>
      <c r="BF673" s="6"/>
    </row>
    <row r="674" spans="1:58" ht="15.75">
      <c r="B674" s="11">
        <v>45934</v>
      </c>
      <c r="C674" s="1">
        <v>430</v>
      </c>
      <c r="D674" s="3">
        <v>669</v>
      </c>
      <c r="E674" s="205" t="str">
        <f t="shared" si="319"/>
        <v/>
      </c>
      <c r="I674" s="15">
        <f t="shared" si="324"/>
        <v>0</v>
      </c>
      <c r="K674" s="10" t="str">
        <f t="shared" si="328"/>
        <v/>
      </c>
      <c r="L674" s="9" t="str">
        <f t="shared" si="329"/>
        <v/>
      </c>
      <c r="M674" s="8" t="str">
        <f t="shared" si="330"/>
        <v/>
      </c>
      <c r="AB674" s="5">
        <v>80</v>
      </c>
      <c r="AF674" s="1">
        <v>0</v>
      </c>
      <c r="AJ674" s="1">
        <v>125</v>
      </c>
      <c r="AK674" s="3">
        <f t="shared" si="323"/>
        <v>240</v>
      </c>
      <c r="AN674" s="3">
        <v>40</v>
      </c>
      <c r="AP674" s="13" t="e">
        <f t="shared" si="322"/>
        <v>#DIV/0!</v>
      </c>
      <c r="AR674" s="17"/>
      <c r="AS674" s="16"/>
      <c r="AT674" s="16"/>
      <c r="AU674" s="16"/>
      <c r="AV674" s="57" t="str">
        <f t="shared" si="311"/>
        <v/>
      </c>
      <c r="AW674" s="57">
        <f t="shared" si="321"/>
        <v>0</v>
      </c>
      <c r="AX674" s="57" t="str">
        <f t="shared" si="307"/>
        <v/>
      </c>
      <c r="AY674" s="57" t="str">
        <f t="shared" si="318"/>
        <v/>
      </c>
      <c r="AZ674" s="57" t="str">
        <f t="shared" si="303"/>
        <v/>
      </c>
      <c r="BA674" s="56" t="str">
        <f t="shared" si="325"/>
        <v/>
      </c>
      <c r="BB674" s="56" t="str">
        <f t="shared" si="317"/>
        <v/>
      </c>
      <c r="BC674" s="56"/>
      <c r="BD674" s="56" t="str">
        <f t="shared" si="327"/>
        <v/>
      </c>
      <c r="BE674" s="6" t="str">
        <f t="shared" si="316"/>
        <v/>
      </c>
      <c r="BF674" s="6"/>
    </row>
    <row r="675" spans="1:58" ht="15.75">
      <c r="B675" s="11">
        <v>45935</v>
      </c>
      <c r="C675" s="1">
        <v>431</v>
      </c>
      <c r="D675" s="3">
        <v>670</v>
      </c>
      <c r="E675" s="205" t="str">
        <f t="shared" si="319"/>
        <v/>
      </c>
      <c r="I675" s="15">
        <f t="shared" si="324"/>
        <v>0</v>
      </c>
      <c r="K675" s="10" t="str">
        <f t="shared" si="328"/>
        <v/>
      </c>
      <c r="L675" s="9" t="str">
        <f t="shared" si="329"/>
        <v/>
      </c>
      <c r="M675" s="8" t="str">
        <f t="shared" si="330"/>
        <v/>
      </c>
      <c r="AB675" s="5">
        <v>80</v>
      </c>
      <c r="AF675" s="1">
        <v>0</v>
      </c>
      <c r="AJ675" s="1">
        <v>123</v>
      </c>
      <c r="AK675" s="3">
        <f t="shared" si="323"/>
        <v>240</v>
      </c>
      <c r="AN675" s="3">
        <v>40</v>
      </c>
      <c r="AP675" s="13" t="e">
        <f t="shared" si="322"/>
        <v>#DIV/0!</v>
      </c>
      <c r="AR675" s="17"/>
      <c r="AS675" s="16"/>
      <c r="AT675" s="16"/>
      <c r="AU675" s="16"/>
      <c r="AV675" s="57" t="str">
        <f t="shared" si="311"/>
        <v/>
      </c>
      <c r="AW675" s="57">
        <f t="shared" si="321"/>
        <v>0</v>
      </c>
      <c r="AX675" s="57" t="str">
        <f t="shared" si="307"/>
        <v/>
      </c>
      <c r="AY675" s="57" t="str">
        <f t="shared" si="318"/>
        <v/>
      </c>
      <c r="AZ675" s="57" t="str">
        <f t="shared" si="303"/>
        <v/>
      </c>
      <c r="BA675" s="56" t="str">
        <f t="shared" si="325"/>
        <v/>
      </c>
      <c r="BB675" s="56" t="str">
        <f t="shared" si="317"/>
        <v/>
      </c>
      <c r="BC675" s="56"/>
      <c r="BD675" s="56" t="str">
        <f t="shared" si="327"/>
        <v/>
      </c>
      <c r="BE675" s="6" t="str">
        <f t="shared" si="316"/>
        <v/>
      </c>
      <c r="BF675" s="6"/>
    </row>
    <row r="676" spans="1:58" ht="15.75">
      <c r="B676" s="11">
        <v>45936</v>
      </c>
      <c r="C676" s="1">
        <v>432</v>
      </c>
      <c r="D676" s="3">
        <v>671</v>
      </c>
      <c r="E676" s="205" t="str">
        <f t="shared" si="319"/>
        <v/>
      </c>
      <c r="G676" s="58">
        <v>14.400000000000002</v>
      </c>
      <c r="I676" s="15">
        <f t="shared" si="324"/>
        <v>29</v>
      </c>
      <c r="K676" s="10" t="str">
        <f t="shared" si="328"/>
        <v/>
      </c>
      <c r="L676" s="9" t="str">
        <f t="shared" si="329"/>
        <v/>
      </c>
      <c r="M676" s="8">
        <f t="shared" si="330"/>
        <v>4.0277777777777768</v>
      </c>
      <c r="AB676" s="5">
        <v>80</v>
      </c>
      <c r="AD676" s="1">
        <v>29</v>
      </c>
      <c r="AE676" s="1">
        <f>5*2.83</f>
        <v>14.15</v>
      </c>
      <c r="AF676" s="1">
        <v>0</v>
      </c>
      <c r="AJ676" s="1">
        <v>139</v>
      </c>
      <c r="AK676" s="3">
        <f t="shared" si="323"/>
        <v>240</v>
      </c>
      <c r="AL676" s="4">
        <f>AE676</f>
        <v>14.15</v>
      </c>
      <c r="AM676" s="1">
        <f>2*4.52</f>
        <v>9.0399999999999991</v>
      </c>
      <c r="AN676" s="3">
        <v>40</v>
      </c>
      <c r="AP676" s="13" t="e">
        <f t="shared" si="322"/>
        <v>#DIV/0!</v>
      </c>
      <c r="AR676" s="17"/>
      <c r="AS676" s="16">
        <f>(I676-AF676)/I676</f>
        <v>1</v>
      </c>
      <c r="AT676" s="16"/>
      <c r="AU676" s="16">
        <f>(G676-AM676)/G676</f>
        <v>0.3722222222222224</v>
      </c>
      <c r="AV676" s="57" t="str">
        <f t="shared" si="311"/>
        <v/>
      </c>
      <c r="AW676" s="57">
        <f t="shared" si="321"/>
        <v>29</v>
      </c>
      <c r="AX676" s="57">
        <f t="shared" si="307"/>
        <v>5.360000000000003</v>
      </c>
      <c r="AY676" s="57" t="str">
        <f t="shared" si="318"/>
        <v/>
      </c>
      <c r="AZ676" s="57">
        <f t="shared" si="303"/>
        <v>5.1100000000000012</v>
      </c>
      <c r="BA676" s="56" t="str">
        <f t="shared" si="325"/>
        <v/>
      </c>
      <c r="BB676" s="56">
        <f t="shared" si="317"/>
        <v>1</v>
      </c>
      <c r="BC676" s="56"/>
      <c r="BD676" s="56">
        <f t="shared" si="327"/>
        <v>0.3722222222222224</v>
      </c>
      <c r="BE676" s="6">
        <f t="shared" si="316"/>
        <v>12.51798561151079</v>
      </c>
      <c r="BF676" s="6"/>
    </row>
    <row r="677" spans="1:58" ht="15.75">
      <c r="B677" s="11">
        <v>45937</v>
      </c>
      <c r="C677" s="1">
        <v>433</v>
      </c>
      <c r="D677" s="3">
        <v>672</v>
      </c>
      <c r="E677" s="205" t="str">
        <f t="shared" si="319"/>
        <v/>
      </c>
      <c r="I677" s="15">
        <f t="shared" si="324"/>
        <v>0</v>
      </c>
      <c r="K677" s="10" t="str">
        <f t="shared" si="328"/>
        <v/>
      </c>
      <c r="L677" s="9" t="str">
        <f t="shared" si="329"/>
        <v/>
      </c>
      <c r="M677" s="8" t="str">
        <f t="shared" si="330"/>
        <v/>
      </c>
      <c r="AB677" s="5">
        <v>80</v>
      </c>
      <c r="AE677" s="1">
        <f>5*2.9</f>
        <v>14.5</v>
      </c>
      <c r="AF677" s="1">
        <v>0</v>
      </c>
      <c r="AG677" s="1">
        <v>10.53</v>
      </c>
      <c r="AH677" s="20">
        <v>0.51678240740740744</v>
      </c>
      <c r="AJ677" s="1">
        <v>141</v>
      </c>
      <c r="AK677" s="3">
        <f t="shared" si="323"/>
        <v>240</v>
      </c>
      <c r="AL677" s="4">
        <f>AE677</f>
        <v>14.5</v>
      </c>
      <c r="AM677" s="1">
        <f>5*1.99</f>
        <v>9.9499999999999993</v>
      </c>
      <c r="AN677" s="3">
        <v>40</v>
      </c>
      <c r="AP677" s="13" t="e">
        <f t="shared" si="322"/>
        <v>#DIV/0!</v>
      </c>
      <c r="AR677" s="17"/>
      <c r="AS677" s="16"/>
      <c r="AT677" s="16"/>
      <c r="AU677" s="16"/>
      <c r="AV677" s="57" t="str">
        <f t="shared" si="311"/>
        <v/>
      </c>
      <c r="AW677" s="57">
        <f t="shared" si="321"/>
        <v>0</v>
      </c>
      <c r="AX677" s="57" t="str">
        <f t="shared" si="307"/>
        <v/>
      </c>
      <c r="AY677" s="57" t="str">
        <f t="shared" si="318"/>
        <v/>
      </c>
      <c r="AZ677" s="57">
        <f t="shared" si="303"/>
        <v>4.5500000000000007</v>
      </c>
      <c r="BA677" s="56" t="str">
        <f t="shared" si="325"/>
        <v/>
      </c>
      <c r="BB677" s="56" t="str">
        <f t="shared" ref="BB677:BB691" si="331">IF(AND($I677&gt;0,$AF677&gt;=0),IF(($I677-$AF677)/$I677&gt;0,($I677-$AF677)/$I677,0),"")</f>
        <v/>
      </c>
      <c r="BC677" s="56"/>
      <c r="BD677" s="56" t="str">
        <f t="shared" si="327"/>
        <v/>
      </c>
      <c r="BE677" s="6" t="str">
        <f t="shared" si="316"/>
        <v/>
      </c>
      <c r="BF677" s="6"/>
    </row>
    <row r="678" spans="1:58" ht="15.75">
      <c r="B678" s="11">
        <v>45938</v>
      </c>
      <c r="C678" s="1">
        <v>434</v>
      </c>
      <c r="D678" s="3">
        <v>673</v>
      </c>
      <c r="E678" s="205" t="str">
        <f t="shared" si="319"/>
        <v/>
      </c>
      <c r="I678" s="15">
        <f t="shared" si="324"/>
        <v>0</v>
      </c>
      <c r="K678" s="10" t="str">
        <f t="shared" si="328"/>
        <v/>
      </c>
      <c r="L678" s="9" t="str">
        <f t="shared" si="329"/>
        <v/>
      </c>
      <c r="M678" s="8" t="str">
        <f t="shared" si="330"/>
        <v/>
      </c>
      <c r="N678" s="7">
        <f>5*3.24</f>
        <v>16.200000000000003</v>
      </c>
      <c r="Q678" s="6">
        <f>O678*1.067</f>
        <v>0</v>
      </c>
      <c r="R678" s="6">
        <f>P678*1.514</f>
        <v>0</v>
      </c>
      <c r="S678" s="6">
        <f>Q678+R678</f>
        <v>0</v>
      </c>
      <c r="W678" s="23">
        <f>U678*1.067+V678*1.514</f>
        <v>0</v>
      </c>
      <c r="AB678" s="5">
        <v>80</v>
      </c>
      <c r="AF678" s="1">
        <v>0</v>
      </c>
      <c r="AG678" s="1">
        <v>9.74</v>
      </c>
      <c r="AH678" s="20">
        <v>0.49247685185185186</v>
      </c>
      <c r="AJ678" s="1">
        <v>161</v>
      </c>
      <c r="AK678" s="3">
        <f t="shared" si="323"/>
        <v>240</v>
      </c>
      <c r="AN678" s="3">
        <v>40</v>
      </c>
      <c r="AP678" s="13" t="e">
        <f t="shared" si="322"/>
        <v>#DIV/0!</v>
      </c>
      <c r="AR678" s="17"/>
      <c r="AS678" s="16"/>
      <c r="AT678" s="16"/>
      <c r="AU678" s="16"/>
      <c r="AV678" s="57" t="str">
        <f t="shared" si="311"/>
        <v/>
      </c>
      <c r="AW678" s="57">
        <f t="shared" si="321"/>
        <v>0</v>
      </c>
      <c r="AX678" s="57" t="str">
        <f t="shared" si="307"/>
        <v/>
      </c>
      <c r="AY678" s="57" t="str">
        <f t="shared" si="318"/>
        <v/>
      </c>
      <c r="AZ678" s="57" t="str">
        <f t="shared" si="303"/>
        <v/>
      </c>
      <c r="BA678" s="56" t="str">
        <f t="shared" si="325"/>
        <v/>
      </c>
      <c r="BB678" s="56" t="str">
        <f t="shared" si="331"/>
        <v/>
      </c>
      <c r="BC678" s="56"/>
      <c r="BD678" s="56" t="str">
        <f t="shared" si="327"/>
        <v/>
      </c>
      <c r="BE678" s="6" t="str">
        <f t="shared" si="316"/>
        <v/>
      </c>
      <c r="BF678" s="6"/>
    </row>
    <row r="679" spans="1:58" ht="15.75">
      <c r="B679" s="11">
        <v>45939</v>
      </c>
      <c r="C679" s="1">
        <v>435</v>
      </c>
      <c r="D679" s="3">
        <v>674</v>
      </c>
      <c r="E679" s="205" t="str">
        <f t="shared" si="319"/>
        <v/>
      </c>
      <c r="I679" s="15">
        <f t="shared" si="324"/>
        <v>0</v>
      </c>
      <c r="K679" s="10" t="str">
        <f t="shared" si="328"/>
        <v/>
      </c>
      <c r="L679" s="9" t="str">
        <f t="shared" si="329"/>
        <v/>
      </c>
      <c r="M679" s="8" t="str">
        <f t="shared" si="330"/>
        <v/>
      </c>
      <c r="AB679" s="5">
        <v>80</v>
      </c>
      <c r="AG679" s="1">
        <v>9.11</v>
      </c>
      <c r="AH679" s="20">
        <v>0.48090277777777779</v>
      </c>
      <c r="AJ679" s="1">
        <v>145</v>
      </c>
      <c r="AK679" s="3">
        <f t="shared" si="323"/>
        <v>240</v>
      </c>
      <c r="AN679" s="3">
        <v>40</v>
      </c>
      <c r="AP679" s="13" t="e">
        <f t="shared" si="322"/>
        <v>#DIV/0!</v>
      </c>
      <c r="AR679" s="17"/>
      <c r="AS679" s="16"/>
      <c r="AT679" s="16"/>
      <c r="AU679" s="16"/>
      <c r="AV679" s="57" t="str">
        <f t="shared" si="311"/>
        <v/>
      </c>
      <c r="AW679" s="57" t="str">
        <f t="shared" si="321"/>
        <v/>
      </c>
      <c r="AX679" s="57" t="str">
        <f t="shared" si="307"/>
        <v/>
      </c>
      <c r="AY679" s="57" t="str">
        <f t="shared" si="318"/>
        <v/>
      </c>
      <c r="AZ679" s="57" t="str">
        <f t="shared" ref="AZ679:AZ742" si="332">IF(AND(ISNUMBER(AL679),ISNUMBER(AM679)),AL679-AM679,"")</f>
        <v/>
      </c>
      <c r="BA679" s="56" t="str">
        <f t="shared" si="325"/>
        <v/>
      </c>
      <c r="BB679" s="56" t="str">
        <f t="shared" si="331"/>
        <v/>
      </c>
      <c r="BC679" s="56"/>
      <c r="BD679" s="56" t="str">
        <f t="shared" si="327"/>
        <v/>
      </c>
      <c r="BF679" s="6"/>
    </row>
    <row r="680" spans="1:58" ht="15.75">
      <c r="B680" s="11">
        <v>45940</v>
      </c>
      <c r="C680" s="1">
        <v>436</v>
      </c>
      <c r="D680" s="3">
        <v>675</v>
      </c>
      <c r="E680" s="205" t="str">
        <f t="shared" si="319"/>
        <v/>
      </c>
      <c r="G680" s="15">
        <f>(N680*18-H680*18)/9</f>
        <v>11.070000000000002</v>
      </c>
      <c r="H680" s="15">
        <f>5*0.423</f>
        <v>2.1149999999999998</v>
      </c>
      <c r="I680" s="15">
        <f t="shared" si="324"/>
        <v>33.1</v>
      </c>
      <c r="K680" s="10" t="str">
        <f t="shared" si="328"/>
        <v/>
      </c>
      <c r="L680" s="9" t="str">
        <f t="shared" si="329"/>
        <v/>
      </c>
      <c r="M680" s="8">
        <f t="shared" si="330"/>
        <v>5.9801264679313455</v>
      </c>
      <c r="N680" s="7">
        <f>5*1.53</f>
        <v>7.65</v>
      </c>
      <c r="Q680" s="6">
        <f>O680*1.067</f>
        <v>0</v>
      </c>
      <c r="R680" s="6">
        <f>P680*1.514</f>
        <v>0</v>
      </c>
      <c r="S680" s="6">
        <f>Q680+R680</f>
        <v>0</v>
      </c>
      <c r="T680" s="6">
        <v>14.8</v>
      </c>
      <c r="W680" s="23">
        <f>U680*1.067+V680*1.514</f>
        <v>0</v>
      </c>
      <c r="AB680" s="5">
        <v>80</v>
      </c>
      <c r="AC680" s="4">
        <v>14.8</v>
      </c>
      <c r="AD680" s="1">
        <v>33.1</v>
      </c>
      <c r="AE680" s="1">
        <f>5*1.43</f>
        <v>7.1499999999999995</v>
      </c>
      <c r="AF680" s="1">
        <v>0</v>
      </c>
      <c r="AG680" s="1">
        <v>8.75</v>
      </c>
      <c r="AH680" s="20">
        <v>0.52071759259259254</v>
      </c>
      <c r="AJ680" s="1">
        <v>195</v>
      </c>
      <c r="AK680" s="3">
        <f t="shared" si="323"/>
        <v>240</v>
      </c>
      <c r="AL680" s="4">
        <f>AE680</f>
        <v>7.1499999999999995</v>
      </c>
      <c r="AM680" s="1">
        <f>5*0.804</f>
        <v>4.0200000000000005</v>
      </c>
      <c r="AN680" s="3">
        <v>40</v>
      </c>
      <c r="AP680" s="13" t="e">
        <f t="shared" si="322"/>
        <v>#DIV/0!</v>
      </c>
      <c r="AR680" s="17"/>
      <c r="AS680" s="16">
        <f>(I680-AF680)/I680</f>
        <v>1</v>
      </c>
      <c r="AT680" s="16">
        <f>AG680/(AD680-AF680)</f>
        <v>0.2643504531722054</v>
      </c>
      <c r="AU680" s="16">
        <f>(G680-AM680)/G680</f>
        <v>0.63685636856368566</v>
      </c>
      <c r="AV680" s="57" t="str">
        <f t="shared" si="311"/>
        <v/>
      </c>
      <c r="AW680" s="57">
        <f t="shared" si="321"/>
        <v>33.1</v>
      </c>
      <c r="AX680" s="57">
        <f t="shared" si="307"/>
        <v>7.0500000000000016</v>
      </c>
      <c r="AY680" s="57">
        <f t="shared" si="318"/>
        <v>7.6500000000000012</v>
      </c>
      <c r="AZ680" s="57">
        <f t="shared" si="332"/>
        <v>3.129999999999999</v>
      </c>
      <c r="BA680" s="56" t="str">
        <f t="shared" si="325"/>
        <v/>
      </c>
      <c r="BB680" s="56">
        <f t="shared" si="331"/>
        <v>1</v>
      </c>
      <c r="BC680" s="56"/>
      <c r="BD680" s="56">
        <f t="shared" si="327"/>
        <v>0.63685636856368566</v>
      </c>
      <c r="BF680" s="6"/>
    </row>
    <row r="681" spans="1:58" ht="15.75">
      <c r="A681" s="12" t="s">
        <v>19</v>
      </c>
      <c r="B681" s="11">
        <v>45941</v>
      </c>
      <c r="C681" s="1">
        <v>437</v>
      </c>
      <c r="D681" s="3">
        <v>676</v>
      </c>
      <c r="E681" s="205" t="str">
        <f t="shared" si="319"/>
        <v/>
      </c>
      <c r="I681" s="15">
        <f t="shared" si="324"/>
        <v>0</v>
      </c>
      <c r="K681" s="10" t="str">
        <f t="shared" si="328"/>
        <v/>
      </c>
      <c r="L681" s="9" t="str">
        <f t="shared" si="329"/>
        <v/>
      </c>
      <c r="M681" s="8" t="str">
        <f t="shared" si="330"/>
        <v/>
      </c>
      <c r="AB681" s="5">
        <v>80</v>
      </c>
      <c r="AG681" s="1">
        <v>0.06</v>
      </c>
      <c r="AH681" s="20">
        <v>0.39884259259259258</v>
      </c>
      <c r="AJ681" s="1">
        <v>81</v>
      </c>
      <c r="AK681" s="3">
        <f t="shared" si="323"/>
        <v>240</v>
      </c>
      <c r="AN681" s="3">
        <v>40</v>
      </c>
      <c r="AP681" s="13" t="e">
        <f t="shared" si="322"/>
        <v>#DIV/0!</v>
      </c>
      <c r="AR681" s="17"/>
      <c r="AS681" s="16"/>
      <c r="AT681" s="16"/>
      <c r="AU681" s="16"/>
      <c r="AV681" s="57" t="str">
        <f t="shared" si="311"/>
        <v/>
      </c>
      <c r="AW681" s="57" t="str">
        <f t="shared" si="321"/>
        <v/>
      </c>
      <c r="AX681" s="57" t="str">
        <f t="shared" si="307"/>
        <v/>
      </c>
      <c r="AY681" s="57" t="str">
        <f t="shared" si="318"/>
        <v/>
      </c>
      <c r="AZ681" s="57" t="str">
        <f t="shared" si="332"/>
        <v/>
      </c>
      <c r="BA681" s="56" t="str">
        <f t="shared" si="325"/>
        <v/>
      </c>
      <c r="BB681" s="56" t="str">
        <f t="shared" si="331"/>
        <v/>
      </c>
      <c r="BC681" s="56"/>
      <c r="BD681" s="56" t="str">
        <f t="shared" si="327"/>
        <v/>
      </c>
      <c r="BF681" s="6"/>
    </row>
    <row r="682" spans="1:58" ht="15.75">
      <c r="B682" s="11">
        <v>45942</v>
      </c>
      <c r="C682" s="1">
        <v>438</v>
      </c>
      <c r="D682" s="3">
        <v>677</v>
      </c>
      <c r="E682" s="205" t="str">
        <f t="shared" si="319"/>
        <v/>
      </c>
      <c r="I682" s="15">
        <f t="shared" si="324"/>
        <v>0</v>
      </c>
      <c r="K682" s="10" t="str">
        <f t="shared" si="328"/>
        <v/>
      </c>
      <c r="L682" s="9" t="str">
        <f t="shared" si="329"/>
        <v/>
      </c>
      <c r="M682" s="8" t="str">
        <f t="shared" si="330"/>
        <v/>
      </c>
      <c r="AB682" s="5">
        <v>80</v>
      </c>
      <c r="AG682" s="1">
        <v>0.04</v>
      </c>
      <c r="AH682" s="20">
        <v>0.3576388888888889</v>
      </c>
      <c r="AJ682" s="1">
        <v>1</v>
      </c>
      <c r="AK682" s="3">
        <f t="shared" si="323"/>
        <v>240</v>
      </c>
      <c r="AN682" s="3">
        <v>40</v>
      </c>
      <c r="AP682" s="13" t="e">
        <f t="shared" si="322"/>
        <v>#DIV/0!</v>
      </c>
      <c r="AR682" s="17"/>
      <c r="AS682" s="16"/>
      <c r="AT682" s="16"/>
      <c r="AU682" s="16"/>
      <c r="AV682" s="57" t="str">
        <f t="shared" si="311"/>
        <v/>
      </c>
      <c r="AW682" s="57" t="str">
        <f t="shared" si="321"/>
        <v/>
      </c>
      <c r="AX682" s="57" t="str">
        <f t="shared" si="307"/>
        <v/>
      </c>
      <c r="AY682" s="57" t="str">
        <f t="shared" si="318"/>
        <v/>
      </c>
      <c r="AZ682" s="57" t="str">
        <f t="shared" si="332"/>
        <v/>
      </c>
      <c r="BA682" s="56" t="str">
        <f t="shared" si="325"/>
        <v/>
      </c>
      <c r="BB682" s="56" t="str">
        <f t="shared" si="331"/>
        <v/>
      </c>
      <c r="BC682" s="56"/>
      <c r="BD682" s="56" t="str">
        <f t="shared" si="327"/>
        <v/>
      </c>
      <c r="BF682" s="6"/>
    </row>
    <row r="683" spans="1:58" ht="15.75">
      <c r="B683" s="11">
        <v>45943</v>
      </c>
      <c r="C683" s="1">
        <v>439</v>
      </c>
      <c r="D683" s="3">
        <v>678</v>
      </c>
      <c r="E683" s="205" t="str">
        <f t="shared" si="319"/>
        <v/>
      </c>
      <c r="I683" s="15">
        <f t="shared" si="324"/>
        <v>0</v>
      </c>
      <c r="K683" s="10" t="str">
        <f t="shared" si="328"/>
        <v/>
      </c>
      <c r="L683" s="9" t="str">
        <f t="shared" si="329"/>
        <v/>
      </c>
      <c r="M683" s="8" t="str">
        <f t="shared" si="330"/>
        <v/>
      </c>
      <c r="AB683" s="5">
        <v>80</v>
      </c>
      <c r="AG683" s="1">
        <v>0.04</v>
      </c>
      <c r="AH683" s="20">
        <v>0.3576388888888889</v>
      </c>
      <c r="AJ683" s="1">
        <v>1</v>
      </c>
      <c r="AK683" s="3">
        <f t="shared" si="323"/>
        <v>240</v>
      </c>
      <c r="AN683" s="3">
        <v>40</v>
      </c>
      <c r="AP683" s="13">
        <f t="shared" si="322"/>
        <v>3200</v>
      </c>
      <c r="AR683" s="17"/>
      <c r="AS683" s="16"/>
      <c r="AT683" s="16"/>
      <c r="AU683" s="16"/>
      <c r="AV683" s="57" t="str">
        <f t="shared" si="311"/>
        <v/>
      </c>
      <c r="AW683" s="57" t="str">
        <f t="shared" si="321"/>
        <v/>
      </c>
      <c r="AX683" s="57" t="str">
        <f t="shared" si="307"/>
        <v/>
      </c>
      <c r="AY683" s="57" t="str">
        <f t="shared" si="318"/>
        <v/>
      </c>
      <c r="AZ683" s="57" t="str">
        <f t="shared" si="332"/>
        <v/>
      </c>
      <c r="BA683" s="56" t="str">
        <f t="shared" si="325"/>
        <v/>
      </c>
      <c r="BB683" s="56" t="str">
        <f t="shared" si="331"/>
        <v/>
      </c>
      <c r="BC683" s="56"/>
      <c r="BD683" s="56" t="str">
        <f t="shared" si="327"/>
        <v/>
      </c>
      <c r="BF683" s="6" t="str">
        <f t="shared" ref="BF683:BF696" si="333">IF(OR(AJ683=0,AP683=0,NOT(ISNUMBER(AD683)),NOT(ISNUMBER(AF683)),NOT(ISNUMBER(AJ683)),NOT(ISNUMBER(AP683))),"",
IFERROR(IF((AD683-AF683)/(AJ683/60)/(AP683/1000)&lt;=0,"",(AD683-AF683)/(AJ683/60)/(AP683/1000)),""))</f>
        <v/>
      </c>
    </row>
    <row r="684" spans="1:58" ht="15.75">
      <c r="B684" s="11">
        <v>45944</v>
      </c>
      <c r="C684" s="1">
        <v>440</v>
      </c>
      <c r="D684" s="3">
        <v>679</v>
      </c>
      <c r="E684" s="205" t="str">
        <f t="shared" si="319"/>
        <v/>
      </c>
      <c r="I684" s="15">
        <f t="shared" si="324"/>
        <v>0</v>
      </c>
      <c r="K684" s="10" t="str">
        <f t="shared" si="328"/>
        <v/>
      </c>
      <c r="L684" s="9" t="str">
        <f t="shared" si="329"/>
        <v/>
      </c>
      <c r="M684" s="8" t="str">
        <f t="shared" si="330"/>
        <v/>
      </c>
      <c r="AB684" s="5">
        <v>80</v>
      </c>
      <c r="AG684" s="1">
        <v>4.1100000000000003</v>
      </c>
      <c r="AH684" s="20">
        <v>0.43935185185185183</v>
      </c>
      <c r="AJ684" s="1">
        <v>117</v>
      </c>
      <c r="AK684" s="3">
        <f t="shared" si="323"/>
        <v>240</v>
      </c>
      <c r="AN684" s="3">
        <v>40</v>
      </c>
      <c r="AP684" s="13">
        <f t="shared" si="322"/>
        <v>3200</v>
      </c>
      <c r="AR684" s="17"/>
      <c r="AS684" s="16"/>
      <c r="AT684" s="16"/>
      <c r="AU684" s="16"/>
      <c r="AV684" s="57" t="str">
        <f t="shared" si="311"/>
        <v/>
      </c>
      <c r="AW684" s="57" t="str">
        <f t="shared" si="321"/>
        <v/>
      </c>
      <c r="AX684" s="57" t="str">
        <f t="shared" ref="AX684:AX747" si="334">IF(AND(ISNUMBER(AM684),ISNUMBER(G684)),G684-AM684,"")</f>
        <v/>
      </c>
      <c r="AY684" s="57" t="str">
        <f t="shared" si="318"/>
        <v/>
      </c>
      <c r="AZ684" s="57" t="str">
        <f t="shared" si="332"/>
        <v/>
      </c>
      <c r="BA684" s="56" t="str">
        <f t="shared" si="325"/>
        <v/>
      </c>
      <c r="BB684" s="56" t="str">
        <f t="shared" si="331"/>
        <v/>
      </c>
      <c r="BC684" s="56"/>
      <c r="BD684" s="56" t="str">
        <f t="shared" si="327"/>
        <v/>
      </c>
      <c r="BF684" s="6" t="str">
        <f t="shared" si="333"/>
        <v/>
      </c>
    </row>
    <row r="685" spans="1:58" ht="15.75">
      <c r="B685" s="11">
        <v>45945</v>
      </c>
      <c r="C685" s="1">
        <v>441</v>
      </c>
      <c r="D685" s="3">
        <v>680</v>
      </c>
      <c r="E685" s="205" t="str">
        <f t="shared" si="319"/>
        <v/>
      </c>
      <c r="G685" s="41">
        <v>14.76</v>
      </c>
      <c r="I685" s="15">
        <f t="shared" si="324"/>
        <v>0</v>
      </c>
      <c r="K685" s="10" t="str">
        <f t="shared" si="328"/>
        <v/>
      </c>
      <c r="L685" s="9" t="str">
        <f t="shared" si="329"/>
        <v/>
      </c>
      <c r="M685" s="8" t="str">
        <f t="shared" si="330"/>
        <v/>
      </c>
      <c r="AB685" s="5">
        <v>80</v>
      </c>
      <c r="AE685" s="1">
        <f>2*1.64</f>
        <v>3.28</v>
      </c>
      <c r="AF685" s="1">
        <v>0</v>
      </c>
      <c r="AG685" s="1">
        <v>7.36</v>
      </c>
      <c r="AH685" s="20">
        <v>0.44803240740740741</v>
      </c>
      <c r="AJ685" s="1">
        <v>125</v>
      </c>
      <c r="AK685" s="3">
        <f t="shared" si="323"/>
        <v>240</v>
      </c>
      <c r="AL685" s="4">
        <f>AE685</f>
        <v>3.28</v>
      </c>
      <c r="AM685" s="1">
        <v>0</v>
      </c>
      <c r="AN685" s="3">
        <v>40</v>
      </c>
      <c r="AP685" s="13">
        <f t="shared" si="322"/>
        <v>3200</v>
      </c>
      <c r="AR685" s="17"/>
      <c r="AS685" s="16"/>
      <c r="AT685" s="16"/>
      <c r="AU685" s="16">
        <f>(G685-AM685)/G685</f>
        <v>1</v>
      </c>
      <c r="AV685" s="57" t="str">
        <f t="shared" si="311"/>
        <v/>
      </c>
      <c r="AW685" s="57">
        <f t="shared" si="321"/>
        <v>0</v>
      </c>
      <c r="AX685" s="57">
        <f t="shared" si="334"/>
        <v>14.76</v>
      </c>
      <c r="AY685" s="57" t="str">
        <f t="shared" si="318"/>
        <v/>
      </c>
      <c r="AZ685" s="57">
        <f t="shared" si="332"/>
        <v>3.28</v>
      </c>
      <c r="BA685" s="56" t="str">
        <f t="shared" si="325"/>
        <v/>
      </c>
      <c r="BB685" s="56" t="str">
        <f t="shared" si="331"/>
        <v/>
      </c>
      <c r="BC685" s="56"/>
      <c r="BD685" s="56" t="str">
        <f t="shared" si="327"/>
        <v/>
      </c>
      <c r="BF685" s="6" t="str">
        <f t="shared" si="333"/>
        <v/>
      </c>
    </row>
    <row r="686" spans="1:58" ht="15.75">
      <c r="B686" s="11">
        <v>45946</v>
      </c>
      <c r="C686" s="1">
        <v>442</v>
      </c>
      <c r="D686" s="3">
        <v>681</v>
      </c>
      <c r="E686" s="205" t="str">
        <f t="shared" si="319"/>
        <v/>
      </c>
      <c r="I686" s="15">
        <f t="shared" si="324"/>
        <v>0</v>
      </c>
      <c r="K686" s="10" t="str">
        <f t="shared" si="328"/>
        <v/>
      </c>
      <c r="L686" s="9" t="str">
        <f t="shared" si="329"/>
        <v/>
      </c>
      <c r="M686" s="8" t="str">
        <f t="shared" si="330"/>
        <v/>
      </c>
      <c r="AB686" s="5">
        <v>80</v>
      </c>
      <c r="AG686" s="1">
        <v>9.23</v>
      </c>
      <c r="AH686" s="20">
        <v>0.49039351851851853</v>
      </c>
      <c r="AJ686" s="1">
        <v>163</v>
      </c>
      <c r="AK686" s="3">
        <f t="shared" si="323"/>
        <v>240</v>
      </c>
      <c r="AN686" s="3">
        <v>40</v>
      </c>
      <c r="AP686" s="13">
        <f t="shared" si="322"/>
        <v>3200</v>
      </c>
      <c r="AR686" s="17"/>
      <c r="AS686" s="16"/>
      <c r="AT686" s="16"/>
      <c r="AU686" s="16"/>
      <c r="AV686" s="57" t="str">
        <f t="shared" si="311"/>
        <v/>
      </c>
      <c r="AW686" s="57" t="str">
        <f t="shared" si="321"/>
        <v/>
      </c>
      <c r="AX686" s="57" t="str">
        <f t="shared" si="334"/>
        <v/>
      </c>
      <c r="AY686" s="57" t="str">
        <f t="shared" si="318"/>
        <v/>
      </c>
      <c r="AZ686" s="57" t="str">
        <f t="shared" si="332"/>
        <v/>
      </c>
      <c r="BA686" s="56" t="str">
        <f t="shared" si="325"/>
        <v/>
      </c>
      <c r="BB686" s="56" t="str">
        <f t="shared" si="331"/>
        <v/>
      </c>
      <c r="BC686" s="56"/>
      <c r="BD686" s="56" t="str">
        <f t="shared" si="327"/>
        <v/>
      </c>
      <c r="BF686" s="6" t="str">
        <f t="shared" si="333"/>
        <v/>
      </c>
    </row>
    <row r="687" spans="1:58" ht="15.75">
      <c r="B687" s="11">
        <v>45947</v>
      </c>
      <c r="C687" s="1">
        <v>443</v>
      </c>
      <c r="D687" s="3">
        <v>682</v>
      </c>
      <c r="E687" s="205" t="str">
        <f t="shared" si="319"/>
        <v/>
      </c>
      <c r="I687" s="15">
        <f t="shared" si="324"/>
        <v>33.199999999999996</v>
      </c>
      <c r="K687" s="10" t="str">
        <f t="shared" si="328"/>
        <v/>
      </c>
      <c r="L687" s="9" t="str">
        <f t="shared" si="329"/>
        <v/>
      </c>
      <c r="M687" s="8" t="str">
        <f t="shared" si="330"/>
        <v/>
      </c>
      <c r="AB687" s="5">
        <v>80</v>
      </c>
      <c r="AC687" s="7">
        <f>T688</f>
        <v>34</v>
      </c>
      <c r="AD687" s="1">
        <f>10*3.32</f>
        <v>33.199999999999996</v>
      </c>
      <c r="AE687" s="1">
        <f>5*0.457</f>
        <v>2.2850000000000001</v>
      </c>
      <c r="AF687" s="1">
        <v>0</v>
      </c>
      <c r="AG687" s="1">
        <v>8.14</v>
      </c>
      <c r="AH687" s="20">
        <v>0.51446759259259256</v>
      </c>
      <c r="AJ687" s="1">
        <v>189</v>
      </c>
      <c r="AK687" s="3">
        <f t="shared" si="323"/>
        <v>240</v>
      </c>
      <c r="AL687" s="4">
        <f>AE687</f>
        <v>2.2850000000000001</v>
      </c>
      <c r="AM687" s="1">
        <f>2*0.027</f>
        <v>5.3999999999999999E-2</v>
      </c>
      <c r="AN687" s="3">
        <v>40</v>
      </c>
      <c r="AO687" s="2">
        <v>3200</v>
      </c>
      <c r="AP687" s="13">
        <f t="shared" si="322"/>
        <v>3380.0000000000182</v>
      </c>
      <c r="AR687" s="17"/>
      <c r="AS687" s="16">
        <f>(I687-AF687)/I687</f>
        <v>1</v>
      </c>
      <c r="AT687" s="16">
        <f>AG687/(AD687-AF687)</f>
        <v>0.24518072289156631</v>
      </c>
      <c r="AU687" s="16"/>
      <c r="AV687" s="57" t="str">
        <f t="shared" si="311"/>
        <v/>
      </c>
      <c r="AW687" s="57">
        <f t="shared" si="321"/>
        <v>33.199999999999996</v>
      </c>
      <c r="AX687" s="57" t="str">
        <f t="shared" si="334"/>
        <v/>
      </c>
      <c r="AY687" s="57">
        <f t="shared" si="318"/>
        <v>31.715</v>
      </c>
      <c r="AZ687" s="57">
        <f t="shared" si="332"/>
        <v>2.2310000000000003</v>
      </c>
      <c r="BA687" s="56" t="str">
        <f t="shared" si="325"/>
        <v/>
      </c>
      <c r="BB687" s="56">
        <f t="shared" si="331"/>
        <v>1</v>
      </c>
      <c r="BC687" s="56"/>
      <c r="BD687" s="56" t="str">
        <f t="shared" si="327"/>
        <v/>
      </c>
      <c r="BF687" s="6">
        <f t="shared" si="333"/>
        <v>3.1182492720954085</v>
      </c>
    </row>
    <row r="688" spans="1:58" ht="15.75">
      <c r="B688" s="11">
        <v>45948</v>
      </c>
      <c r="C688" s="1">
        <v>444</v>
      </c>
      <c r="D688" s="3">
        <v>683</v>
      </c>
      <c r="E688" s="205" t="str">
        <f t="shared" si="319"/>
        <v/>
      </c>
      <c r="G688" s="15">
        <f>(N688*18-H688*18)/9</f>
        <v>14.755999999999997</v>
      </c>
      <c r="H688" s="15">
        <f>2*0.611</f>
        <v>1.222</v>
      </c>
      <c r="I688" s="15">
        <f t="shared" si="324"/>
        <v>0</v>
      </c>
      <c r="K688" s="10" t="str">
        <f t="shared" si="328"/>
        <v/>
      </c>
      <c r="L688" s="9" t="str">
        <f t="shared" si="329"/>
        <v/>
      </c>
      <c r="M688" s="8" t="str">
        <f t="shared" si="330"/>
        <v/>
      </c>
      <c r="N688" s="7">
        <f>5*1.72</f>
        <v>8.6</v>
      </c>
      <c r="S688" s="6">
        <f>Q688+R688</f>
        <v>0</v>
      </c>
      <c r="T688" s="6">
        <v>34</v>
      </c>
      <c r="AB688" s="5">
        <v>80</v>
      </c>
      <c r="AG688" s="1">
        <v>8.18</v>
      </c>
      <c r="AH688" s="20">
        <v>0.52060185185185182</v>
      </c>
      <c r="AJ688" s="1">
        <v>183</v>
      </c>
      <c r="AK688" s="3">
        <f t="shared" si="323"/>
        <v>240</v>
      </c>
      <c r="AN688" s="3">
        <v>40</v>
      </c>
      <c r="AP688" s="13">
        <f t="shared" si="322"/>
        <v>3380.0000000000182</v>
      </c>
      <c r="AR688" s="17"/>
      <c r="AS688" s="16"/>
      <c r="AT688" s="16"/>
      <c r="AU688" s="16"/>
      <c r="AV688" s="57" t="str">
        <f t="shared" si="311"/>
        <v/>
      </c>
      <c r="AW688" s="57" t="str">
        <f t="shared" si="321"/>
        <v/>
      </c>
      <c r="AX688" s="57" t="str">
        <f t="shared" si="334"/>
        <v/>
      </c>
      <c r="AY688" s="57" t="str">
        <f t="shared" si="318"/>
        <v/>
      </c>
      <c r="AZ688" s="57" t="str">
        <f t="shared" si="332"/>
        <v/>
      </c>
      <c r="BA688" s="56" t="str">
        <f t="shared" si="325"/>
        <v/>
      </c>
      <c r="BB688" s="56" t="str">
        <f t="shared" si="331"/>
        <v/>
      </c>
      <c r="BC688" s="56"/>
      <c r="BD688" s="56" t="str">
        <f t="shared" si="327"/>
        <v/>
      </c>
      <c r="BF688" s="6" t="str">
        <f t="shared" si="333"/>
        <v/>
      </c>
    </row>
    <row r="689" spans="1:58" ht="15.75">
      <c r="B689" s="11">
        <v>45949</v>
      </c>
      <c r="C689" s="1">
        <v>445</v>
      </c>
      <c r="D689" s="3">
        <v>684</v>
      </c>
      <c r="E689" s="205" t="str">
        <f t="shared" si="319"/>
        <v/>
      </c>
      <c r="I689" s="15">
        <f t="shared" si="324"/>
        <v>0</v>
      </c>
      <c r="K689" s="10" t="str">
        <f t="shared" si="328"/>
        <v/>
      </c>
      <c r="L689" s="9" t="str">
        <f t="shared" si="329"/>
        <v/>
      </c>
      <c r="M689" s="8" t="str">
        <f t="shared" si="330"/>
        <v/>
      </c>
      <c r="AB689" s="5">
        <v>80</v>
      </c>
      <c r="AG689" s="1">
        <v>9.7200000000000006</v>
      </c>
      <c r="AH689" s="20">
        <v>0.52071759259259254</v>
      </c>
      <c r="AJ689" s="1">
        <v>169</v>
      </c>
      <c r="AK689" s="3">
        <f t="shared" si="323"/>
        <v>240</v>
      </c>
      <c r="AN689" s="3">
        <v>40</v>
      </c>
      <c r="AP689" s="13">
        <f t="shared" si="322"/>
        <v>3380.0000000000182</v>
      </c>
      <c r="AR689" s="17"/>
      <c r="AS689" s="16"/>
      <c r="AT689" s="16"/>
      <c r="AU689" s="16"/>
      <c r="AV689" s="57" t="str">
        <f t="shared" si="311"/>
        <v/>
      </c>
      <c r="AW689" s="57" t="str">
        <f t="shared" si="321"/>
        <v/>
      </c>
      <c r="AX689" s="57" t="str">
        <f t="shared" si="334"/>
        <v/>
      </c>
      <c r="AY689" s="57" t="str">
        <f t="shared" si="318"/>
        <v/>
      </c>
      <c r="AZ689" s="57" t="str">
        <f t="shared" si="332"/>
        <v/>
      </c>
      <c r="BA689" s="56" t="str">
        <f t="shared" si="325"/>
        <v/>
      </c>
      <c r="BB689" s="56" t="str">
        <f t="shared" si="331"/>
        <v/>
      </c>
      <c r="BC689" s="56"/>
      <c r="BD689" s="56" t="str">
        <f t="shared" si="327"/>
        <v/>
      </c>
      <c r="BF689" s="6" t="str">
        <f t="shared" si="333"/>
        <v/>
      </c>
    </row>
    <row r="690" spans="1:58" ht="15.75">
      <c r="B690" s="11">
        <v>45950</v>
      </c>
      <c r="C690" s="1">
        <v>446</v>
      </c>
      <c r="D690" s="3">
        <v>685</v>
      </c>
      <c r="E690" s="205" t="str">
        <f t="shared" si="319"/>
        <v/>
      </c>
      <c r="I690" s="15">
        <f t="shared" si="324"/>
        <v>0</v>
      </c>
      <c r="K690" s="10" t="str">
        <f t="shared" si="328"/>
        <v/>
      </c>
      <c r="L690" s="9" t="str">
        <f t="shared" si="329"/>
        <v/>
      </c>
      <c r="M690" s="8" t="str">
        <f t="shared" si="330"/>
        <v/>
      </c>
      <c r="AB690" s="5">
        <v>80</v>
      </c>
      <c r="AG690" s="1">
        <v>10.09</v>
      </c>
      <c r="AH690" s="20">
        <v>0.52083333333333337</v>
      </c>
      <c r="AJ690" s="1">
        <v>147</v>
      </c>
      <c r="AK690" s="3">
        <f t="shared" si="323"/>
        <v>240</v>
      </c>
      <c r="AN690" s="3">
        <v>40</v>
      </c>
      <c r="AP690" s="13">
        <f t="shared" si="322"/>
        <v>3560.0000000000182</v>
      </c>
      <c r="AR690" s="17"/>
      <c r="AS690" s="16"/>
      <c r="AT690" s="16"/>
      <c r="AU690" s="16"/>
      <c r="AV690" s="57" t="str">
        <f t="shared" si="311"/>
        <v/>
      </c>
      <c r="AW690" s="57" t="str">
        <f t="shared" si="321"/>
        <v/>
      </c>
      <c r="AX690" s="57" t="str">
        <f t="shared" si="334"/>
        <v/>
      </c>
      <c r="AY690" s="57" t="str">
        <f t="shared" si="318"/>
        <v/>
      </c>
      <c r="AZ690" s="57" t="str">
        <f t="shared" si="332"/>
        <v/>
      </c>
      <c r="BA690" s="56" t="str">
        <f t="shared" si="325"/>
        <v/>
      </c>
      <c r="BB690" s="56" t="str">
        <f t="shared" si="331"/>
        <v/>
      </c>
      <c r="BC690" s="56"/>
      <c r="BD690" s="56" t="str">
        <f t="shared" si="327"/>
        <v/>
      </c>
      <c r="BF690" s="6" t="str">
        <f t="shared" si="333"/>
        <v/>
      </c>
    </row>
    <row r="691" spans="1:58" ht="15.75">
      <c r="A691" s="12" t="s">
        <v>18</v>
      </c>
      <c r="B691" s="11">
        <v>45951</v>
      </c>
      <c r="C691" s="1">
        <v>447</v>
      </c>
      <c r="D691" s="3">
        <v>686</v>
      </c>
      <c r="E691" s="205" t="str">
        <f t="shared" si="319"/>
        <v/>
      </c>
      <c r="I691" s="15">
        <f t="shared" si="324"/>
        <v>0</v>
      </c>
      <c r="K691" s="10" t="str">
        <f t="shared" si="328"/>
        <v/>
      </c>
      <c r="L691" s="9" t="str">
        <f t="shared" si="329"/>
        <v/>
      </c>
      <c r="M691" s="8" t="str">
        <f t="shared" si="330"/>
        <v/>
      </c>
      <c r="AB691" s="5">
        <v>80</v>
      </c>
      <c r="AG691" s="1">
        <v>4.12</v>
      </c>
      <c r="AH691" s="20">
        <v>0.52083333333333337</v>
      </c>
      <c r="AJ691" s="1">
        <v>161</v>
      </c>
      <c r="AK691" s="3">
        <f t="shared" si="323"/>
        <v>240</v>
      </c>
      <c r="AN691" s="3">
        <v>40</v>
      </c>
      <c r="AO691" s="2">
        <v>3560.0000000000364</v>
      </c>
      <c r="AP691" s="13">
        <f t="shared" si="322"/>
        <v>3560.0000000000182</v>
      </c>
      <c r="AR691" s="17"/>
      <c r="AS691" s="16"/>
      <c r="AT691" s="16"/>
      <c r="AU691" s="16"/>
      <c r="AV691" s="57" t="str">
        <f t="shared" si="311"/>
        <v/>
      </c>
      <c r="AW691" s="57" t="str">
        <f t="shared" si="321"/>
        <v/>
      </c>
      <c r="AX691" s="57" t="str">
        <f t="shared" si="334"/>
        <v/>
      </c>
      <c r="AY691" s="57" t="str">
        <f t="shared" si="318"/>
        <v/>
      </c>
      <c r="AZ691" s="57" t="str">
        <f t="shared" si="332"/>
        <v/>
      </c>
      <c r="BA691" s="56" t="str">
        <f t="shared" si="325"/>
        <v/>
      </c>
      <c r="BB691" s="56" t="str">
        <f t="shared" si="331"/>
        <v/>
      </c>
      <c r="BC691" s="56"/>
      <c r="BD691" s="56" t="str">
        <f t="shared" si="327"/>
        <v/>
      </c>
      <c r="BF691" s="6" t="str">
        <f t="shared" si="333"/>
        <v/>
      </c>
    </row>
    <row r="692" spans="1:58" s="40" customFormat="1" ht="16.5" thickBot="1">
      <c r="A692" s="55"/>
      <c r="B692" s="54">
        <v>45952</v>
      </c>
      <c r="C692" s="1">
        <v>448</v>
      </c>
      <c r="D692" s="44">
        <v>687</v>
      </c>
      <c r="E692" s="205" t="str">
        <f t="shared" si="319"/>
        <v/>
      </c>
      <c r="F692" s="51"/>
      <c r="G692" s="53">
        <v>14.755999999999997</v>
      </c>
      <c r="H692" s="51"/>
      <c r="I692" s="52">
        <f t="shared" si="324"/>
        <v>0</v>
      </c>
      <c r="J692" s="50"/>
      <c r="K692" s="10" t="str">
        <f t="shared" si="328"/>
        <v/>
      </c>
      <c r="L692" s="9" t="str">
        <f t="shared" si="329"/>
        <v/>
      </c>
      <c r="M692" s="8" t="str">
        <f t="shared" si="330"/>
        <v/>
      </c>
      <c r="N692" s="49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5">
        <v>80</v>
      </c>
      <c r="AC692" s="47"/>
      <c r="AE692" s="40">
        <f>5*1.95</f>
        <v>9.75</v>
      </c>
      <c r="AF692" s="40">
        <v>0</v>
      </c>
      <c r="AG692" s="1">
        <v>8.0399999999999991</v>
      </c>
      <c r="AH692" s="20">
        <v>0.52048611111111109</v>
      </c>
      <c r="AJ692" s="40">
        <v>187</v>
      </c>
      <c r="AK692" s="3">
        <f t="shared" si="323"/>
        <v>240</v>
      </c>
      <c r="AL692" s="47">
        <f>AE692</f>
        <v>9.75</v>
      </c>
      <c r="AM692" s="40">
        <f>5*1.43</f>
        <v>7.1499999999999995</v>
      </c>
      <c r="AN692" s="3">
        <v>40</v>
      </c>
      <c r="AO692" s="43"/>
      <c r="AP692" s="48">
        <f t="shared" si="322"/>
        <v>3560.0000000000182</v>
      </c>
      <c r="AQ692" s="43"/>
      <c r="AR692" s="46"/>
      <c r="AS692" s="45"/>
      <c r="AT692" s="45"/>
      <c r="AU692" s="45">
        <f t="shared" ref="AU692:AU723" si="335">(G692-AM692)/G692</f>
        <v>0.51545134182705332</v>
      </c>
      <c r="AV692" s="57" t="str">
        <f t="shared" si="311"/>
        <v/>
      </c>
      <c r="AW692" s="57">
        <f t="shared" si="321"/>
        <v>0</v>
      </c>
      <c r="AX692" s="57">
        <f t="shared" si="334"/>
        <v>7.6059999999999972</v>
      </c>
      <c r="AY692" s="57" t="str">
        <f t="shared" si="318"/>
        <v/>
      </c>
      <c r="AZ692" s="57">
        <f t="shared" si="332"/>
        <v>2.6000000000000005</v>
      </c>
      <c r="BF692" s="42" t="str">
        <f t="shared" si="333"/>
        <v/>
      </c>
    </row>
    <row r="693" spans="1:58" ht="16.5" thickTop="1">
      <c r="A693" s="12" t="s">
        <v>17</v>
      </c>
      <c r="B693" s="11">
        <v>45953</v>
      </c>
      <c r="C693" s="1">
        <v>449</v>
      </c>
      <c r="D693" s="3">
        <v>688</v>
      </c>
      <c r="E693" s="205" t="str">
        <f t="shared" si="319"/>
        <v/>
      </c>
      <c r="G693" s="41">
        <v>14.755999999999997</v>
      </c>
      <c r="I693" s="15">
        <f t="shared" si="324"/>
        <v>0</v>
      </c>
      <c r="K693" s="10" t="str">
        <f t="shared" si="328"/>
        <v/>
      </c>
      <c r="L693" s="9" t="str">
        <f t="shared" si="329"/>
        <v/>
      </c>
      <c r="M693" s="8" t="str">
        <f t="shared" si="330"/>
        <v/>
      </c>
      <c r="Y693" s="6">
        <v>3.14</v>
      </c>
      <c r="AB693" s="5">
        <v>80</v>
      </c>
      <c r="AE693" s="1">
        <f>5*2.65</f>
        <v>13.25</v>
      </c>
      <c r="AF693" s="1">
        <v>0</v>
      </c>
      <c r="AG693" s="1">
        <v>8.3000000000000007</v>
      </c>
      <c r="AH693" s="20">
        <v>0.5200231481481481</v>
      </c>
      <c r="AJ693" s="1">
        <v>205</v>
      </c>
      <c r="AK693" s="3">
        <f t="shared" si="323"/>
        <v>240</v>
      </c>
      <c r="AL693" s="4">
        <f>AE693</f>
        <v>13.25</v>
      </c>
      <c r="AM693" s="1">
        <f>5*2.15</f>
        <v>10.75</v>
      </c>
      <c r="AN693" s="3">
        <v>40</v>
      </c>
      <c r="AP693" s="13">
        <f t="shared" si="322"/>
        <v>3560.0000000000182</v>
      </c>
      <c r="AR693" s="17" t="e">
        <f t="shared" ref="AR693:AR726" si="336">(E693-W693)/E693</f>
        <v>#VALUE!</v>
      </c>
      <c r="AS693" s="16" t="e">
        <f t="shared" ref="AS693:AS724" si="337">(I693-AF693)/I693</f>
        <v>#DIV/0!</v>
      </c>
      <c r="AT693" s="16" t="e">
        <f t="shared" ref="AT693:AT724" si="338">AG693/(AD693-AF693)</f>
        <v>#DIV/0!</v>
      </c>
      <c r="AU693" s="16">
        <f t="shared" si="335"/>
        <v>0.27148278666305214</v>
      </c>
      <c r="AV693" s="57" t="str">
        <f t="shared" si="311"/>
        <v/>
      </c>
      <c r="AW693" s="57">
        <f t="shared" si="321"/>
        <v>0</v>
      </c>
      <c r="AX693" s="57">
        <f t="shared" si="334"/>
        <v>4.0059999999999967</v>
      </c>
      <c r="AY693" s="57" t="str">
        <f t="shared" si="318"/>
        <v/>
      </c>
      <c r="AZ693" s="57">
        <f t="shared" si="332"/>
        <v>2.5</v>
      </c>
      <c r="BF693" s="6" t="str">
        <f t="shared" si="333"/>
        <v/>
      </c>
    </row>
    <row r="694" spans="1:58" ht="15.75">
      <c r="B694" s="11">
        <v>45954</v>
      </c>
      <c r="C694" s="1">
        <v>450</v>
      </c>
      <c r="D694" s="3">
        <v>689</v>
      </c>
      <c r="E694" s="205" t="str">
        <f t="shared" si="319"/>
        <v/>
      </c>
      <c r="I694" s="15">
        <f t="shared" si="324"/>
        <v>0</v>
      </c>
      <c r="K694" s="10" t="str">
        <f t="shared" si="328"/>
        <v/>
      </c>
      <c r="L694" s="9" t="str">
        <f t="shared" si="329"/>
        <v/>
      </c>
      <c r="M694" s="8" t="str">
        <f t="shared" si="330"/>
        <v/>
      </c>
      <c r="AB694" s="5">
        <v>80</v>
      </c>
      <c r="AG694" s="1">
        <v>7.99</v>
      </c>
      <c r="AH694" s="20">
        <v>0.52060185185185182</v>
      </c>
      <c r="AJ694" s="1">
        <v>191</v>
      </c>
      <c r="AK694" s="3">
        <f t="shared" si="323"/>
        <v>240</v>
      </c>
      <c r="AN694" s="3">
        <v>40</v>
      </c>
      <c r="AO694" s="2">
        <v>3560</v>
      </c>
      <c r="AP694" s="13">
        <f t="shared" si="322"/>
        <v>3560</v>
      </c>
      <c r="AR694" s="17" t="e">
        <f t="shared" si="336"/>
        <v>#VALUE!</v>
      </c>
      <c r="AS694" s="16" t="e">
        <f t="shared" si="337"/>
        <v>#DIV/0!</v>
      </c>
      <c r="AT694" s="16" t="e">
        <f t="shared" si="338"/>
        <v>#DIV/0!</v>
      </c>
      <c r="AU694" s="16" t="e">
        <f t="shared" si="335"/>
        <v>#DIV/0!</v>
      </c>
      <c r="AV694" s="57" t="str">
        <f t="shared" si="311"/>
        <v/>
      </c>
      <c r="AW694" s="57" t="str">
        <f t="shared" si="321"/>
        <v/>
      </c>
      <c r="AX694" s="57" t="str">
        <f t="shared" si="334"/>
        <v/>
      </c>
      <c r="AY694" s="57" t="str">
        <f t="shared" si="318"/>
        <v/>
      </c>
      <c r="AZ694" s="57" t="str">
        <f t="shared" si="332"/>
        <v/>
      </c>
      <c r="BF694" s="6" t="str">
        <f t="shared" si="333"/>
        <v/>
      </c>
    </row>
    <row r="695" spans="1:58" ht="15.75">
      <c r="A695" s="12" t="s">
        <v>16</v>
      </c>
      <c r="B695" s="11">
        <v>45955</v>
      </c>
      <c r="C695" s="1">
        <v>451</v>
      </c>
      <c r="D695" s="3">
        <v>690</v>
      </c>
      <c r="E695" s="205" t="str">
        <f t="shared" si="319"/>
        <v/>
      </c>
      <c r="I695" s="15">
        <f t="shared" si="324"/>
        <v>0</v>
      </c>
      <c r="K695" s="10" t="str">
        <f t="shared" si="328"/>
        <v/>
      </c>
      <c r="L695" s="9" t="str">
        <f t="shared" si="329"/>
        <v/>
      </c>
      <c r="M695" s="8" t="str">
        <f t="shared" si="330"/>
        <v/>
      </c>
      <c r="AB695" s="5">
        <v>80</v>
      </c>
      <c r="AG695" s="1">
        <v>8.2200000000000006</v>
      </c>
      <c r="AH695" s="20">
        <v>0.52083333333333337</v>
      </c>
      <c r="AJ695" s="1">
        <v>177</v>
      </c>
      <c r="AK695" s="3">
        <f t="shared" si="323"/>
        <v>240</v>
      </c>
      <c r="AN695" s="3">
        <v>40</v>
      </c>
      <c r="AP695" s="13">
        <f t="shared" si="322"/>
        <v>3560</v>
      </c>
      <c r="AR695" s="17" t="e">
        <f t="shared" si="336"/>
        <v>#VALUE!</v>
      </c>
      <c r="AS695" s="16" t="e">
        <f t="shared" si="337"/>
        <v>#DIV/0!</v>
      </c>
      <c r="AT695" s="16" t="e">
        <f t="shared" si="338"/>
        <v>#DIV/0!</v>
      </c>
      <c r="AU695" s="16" t="e">
        <f t="shared" si="335"/>
        <v>#DIV/0!</v>
      </c>
      <c r="AV695" s="57" t="str">
        <f t="shared" ref="AV695:AV758" si="339">IF(AND(ISNUMBER(E695),ISNUMBER(W695)),E695-W695,"")</f>
        <v/>
      </c>
      <c r="AW695" s="57" t="str">
        <f t="shared" si="321"/>
        <v/>
      </c>
      <c r="AX695" s="57" t="str">
        <f t="shared" si="334"/>
        <v/>
      </c>
      <c r="AY695" s="57" t="str">
        <f t="shared" si="318"/>
        <v/>
      </c>
      <c r="AZ695" s="57" t="str">
        <f t="shared" si="332"/>
        <v/>
      </c>
      <c r="BF695" s="6" t="str">
        <f t="shared" si="333"/>
        <v/>
      </c>
    </row>
    <row r="696" spans="1:58" ht="15.75">
      <c r="B696" s="11">
        <v>45956</v>
      </c>
      <c r="C696" s="1">
        <v>452</v>
      </c>
      <c r="D696" s="3">
        <v>691</v>
      </c>
      <c r="E696" s="205" t="str">
        <f t="shared" si="319"/>
        <v/>
      </c>
      <c r="I696" s="15">
        <f t="shared" si="324"/>
        <v>0</v>
      </c>
      <c r="K696" s="10" t="str">
        <f t="shared" si="328"/>
        <v/>
      </c>
      <c r="L696" s="9" t="str">
        <f t="shared" si="329"/>
        <v/>
      </c>
      <c r="M696" s="8" t="str">
        <f t="shared" si="330"/>
        <v/>
      </c>
      <c r="AB696" s="5">
        <v>80</v>
      </c>
      <c r="AG696" s="1">
        <v>8.33</v>
      </c>
      <c r="AH696" s="20">
        <v>0.49375000000000002</v>
      </c>
      <c r="AJ696" s="1">
        <v>195</v>
      </c>
      <c r="AK696" s="3">
        <f t="shared" si="323"/>
        <v>240</v>
      </c>
      <c r="AN696" s="3">
        <v>40</v>
      </c>
      <c r="AP696" s="13">
        <f t="shared" si="322"/>
        <v>3560</v>
      </c>
      <c r="AR696" s="17" t="e">
        <f t="shared" si="336"/>
        <v>#VALUE!</v>
      </c>
      <c r="AS696" s="16" t="e">
        <f t="shared" si="337"/>
        <v>#DIV/0!</v>
      </c>
      <c r="AT696" s="16" t="e">
        <f t="shared" si="338"/>
        <v>#DIV/0!</v>
      </c>
      <c r="AU696" s="16" t="e">
        <f t="shared" si="335"/>
        <v>#DIV/0!</v>
      </c>
      <c r="AV696" s="57" t="str">
        <f t="shared" si="339"/>
        <v/>
      </c>
      <c r="AW696" s="57" t="str">
        <f t="shared" si="321"/>
        <v/>
      </c>
      <c r="AX696" s="57" t="str">
        <f t="shared" si="334"/>
        <v/>
      </c>
      <c r="AY696" s="57" t="str">
        <f t="shared" si="318"/>
        <v/>
      </c>
      <c r="AZ696" s="57" t="str">
        <f t="shared" si="332"/>
        <v/>
      </c>
      <c r="BF696" s="6" t="str">
        <f t="shared" si="333"/>
        <v/>
      </c>
    </row>
    <row r="697" spans="1:58" ht="15.75">
      <c r="B697" s="11">
        <v>45957</v>
      </c>
      <c r="C697" s="1">
        <v>453</v>
      </c>
      <c r="D697" s="3">
        <v>692</v>
      </c>
      <c r="E697" s="205" t="str">
        <f t="shared" si="319"/>
        <v/>
      </c>
      <c r="I697" s="15">
        <f t="shared" si="324"/>
        <v>0</v>
      </c>
      <c r="K697" s="10" t="str">
        <f t="shared" si="328"/>
        <v/>
      </c>
      <c r="L697" s="9" t="str">
        <f t="shared" si="329"/>
        <v/>
      </c>
      <c r="M697" s="8" t="str">
        <f t="shared" si="330"/>
        <v/>
      </c>
      <c r="AB697" s="5">
        <v>80</v>
      </c>
      <c r="AG697" s="1">
        <v>8.82</v>
      </c>
      <c r="AH697" s="20">
        <v>0.47233796296296299</v>
      </c>
      <c r="AJ697" s="1">
        <v>231</v>
      </c>
      <c r="AK697" s="3">
        <f t="shared" si="323"/>
        <v>240</v>
      </c>
      <c r="AN697" s="3">
        <v>40</v>
      </c>
      <c r="AP697" s="13" t="e">
        <f t="shared" si="322"/>
        <v>#DIV/0!</v>
      </c>
      <c r="AR697" s="17" t="e">
        <f t="shared" si="336"/>
        <v>#VALUE!</v>
      </c>
      <c r="AS697" s="16" t="e">
        <f t="shared" si="337"/>
        <v>#DIV/0!</v>
      </c>
      <c r="AT697" s="16" t="e">
        <f t="shared" si="338"/>
        <v>#DIV/0!</v>
      </c>
      <c r="AU697" s="16" t="e">
        <f t="shared" si="335"/>
        <v>#DIV/0!</v>
      </c>
      <c r="AV697" s="57" t="str">
        <f t="shared" si="339"/>
        <v/>
      </c>
      <c r="AW697" s="57" t="str">
        <f t="shared" si="321"/>
        <v/>
      </c>
      <c r="AX697" s="57" t="str">
        <f t="shared" si="334"/>
        <v/>
      </c>
      <c r="AY697" s="57" t="str">
        <f t="shared" si="318"/>
        <v/>
      </c>
      <c r="AZ697" s="57" t="str">
        <f t="shared" si="332"/>
        <v/>
      </c>
      <c r="BF697" s="6"/>
    </row>
    <row r="698" spans="1:58" ht="15.75">
      <c r="B698" s="11">
        <v>45958</v>
      </c>
      <c r="C698" s="1">
        <v>454</v>
      </c>
      <c r="D698" s="3">
        <v>693</v>
      </c>
      <c r="E698" s="205" t="str">
        <f t="shared" si="319"/>
        <v/>
      </c>
      <c r="I698" s="15">
        <f t="shared" si="324"/>
        <v>0</v>
      </c>
      <c r="K698" s="10" t="str">
        <f t="shared" si="328"/>
        <v/>
      </c>
      <c r="L698" s="9" t="str">
        <f t="shared" si="329"/>
        <v/>
      </c>
      <c r="M698" s="8" t="str">
        <f t="shared" si="330"/>
        <v/>
      </c>
      <c r="AB698" s="5">
        <v>80</v>
      </c>
      <c r="AG698" s="1">
        <v>9.09</v>
      </c>
      <c r="AH698" s="20">
        <v>0.49259259259259258</v>
      </c>
      <c r="AJ698" s="1">
        <v>197</v>
      </c>
      <c r="AK698" s="3">
        <f t="shared" si="323"/>
        <v>240</v>
      </c>
      <c r="AN698" s="3">
        <v>40</v>
      </c>
      <c r="AP698" s="13" t="e">
        <f t="shared" si="322"/>
        <v>#DIV/0!</v>
      </c>
      <c r="AR698" s="17" t="e">
        <f t="shared" si="336"/>
        <v>#VALUE!</v>
      </c>
      <c r="AS698" s="16" t="e">
        <f t="shared" si="337"/>
        <v>#DIV/0!</v>
      </c>
      <c r="AT698" s="16" t="e">
        <f t="shared" si="338"/>
        <v>#DIV/0!</v>
      </c>
      <c r="AU698" s="16" t="e">
        <f t="shared" si="335"/>
        <v>#DIV/0!</v>
      </c>
      <c r="AV698" s="57" t="str">
        <f t="shared" si="339"/>
        <v/>
      </c>
      <c r="AW698" s="57" t="str">
        <f t="shared" si="321"/>
        <v/>
      </c>
      <c r="AX698" s="57" t="str">
        <f t="shared" si="334"/>
        <v/>
      </c>
      <c r="AY698" s="57" t="str">
        <f t="shared" si="318"/>
        <v/>
      </c>
      <c r="AZ698" s="57" t="str">
        <f t="shared" si="332"/>
        <v/>
      </c>
      <c r="BF698" s="6"/>
    </row>
    <row r="699" spans="1:58" ht="15.75">
      <c r="B699" s="11">
        <v>45959</v>
      </c>
      <c r="C699" s="1">
        <v>455</v>
      </c>
      <c r="D699" s="3">
        <v>694</v>
      </c>
      <c r="E699" s="205" t="str">
        <f t="shared" si="319"/>
        <v/>
      </c>
      <c r="I699" s="15">
        <f t="shared" si="324"/>
        <v>0</v>
      </c>
      <c r="K699" s="10" t="str">
        <f t="shared" si="328"/>
        <v/>
      </c>
      <c r="L699" s="9" t="str">
        <f t="shared" si="329"/>
        <v/>
      </c>
      <c r="M699" s="8" t="str">
        <f t="shared" si="330"/>
        <v/>
      </c>
      <c r="AB699" s="5">
        <v>80</v>
      </c>
      <c r="AG699" s="1">
        <v>9.73</v>
      </c>
      <c r="AH699" s="20">
        <v>0.47615740740740742</v>
      </c>
      <c r="AJ699" s="1">
        <v>167</v>
      </c>
      <c r="AK699" s="3">
        <f t="shared" si="323"/>
        <v>240</v>
      </c>
      <c r="AN699" s="3">
        <v>40</v>
      </c>
      <c r="AP699" s="13" t="e">
        <f t="shared" si="322"/>
        <v>#DIV/0!</v>
      </c>
      <c r="AR699" s="17" t="e">
        <f t="shared" si="336"/>
        <v>#VALUE!</v>
      </c>
      <c r="AS699" s="16" t="e">
        <f t="shared" si="337"/>
        <v>#DIV/0!</v>
      </c>
      <c r="AT699" s="16" t="e">
        <f t="shared" si="338"/>
        <v>#DIV/0!</v>
      </c>
      <c r="AU699" s="16" t="e">
        <f t="shared" si="335"/>
        <v>#DIV/0!</v>
      </c>
      <c r="AV699" s="57" t="str">
        <f t="shared" si="339"/>
        <v/>
      </c>
      <c r="AW699" s="57" t="str">
        <f t="shared" si="321"/>
        <v/>
      </c>
      <c r="AX699" s="57" t="str">
        <f t="shared" si="334"/>
        <v/>
      </c>
      <c r="AY699" s="57" t="str">
        <f t="shared" si="318"/>
        <v/>
      </c>
      <c r="AZ699" s="57" t="str">
        <f t="shared" si="332"/>
        <v/>
      </c>
      <c r="BF699" s="6"/>
    </row>
    <row r="700" spans="1:58" ht="15.75">
      <c r="B700" s="11">
        <v>45960</v>
      </c>
      <c r="C700" s="1">
        <v>456</v>
      </c>
      <c r="D700" s="3">
        <v>695</v>
      </c>
      <c r="E700" s="205" t="str">
        <f t="shared" si="319"/>
        <v/>
      </c>
      <c r="I700" s="15">
        <f t="shared" si="324"/>
        <v>0</v>
      </c>
      <c r="K700" s="10" t="str">
        <f t="shared" si="328"/>
        <v/>
      </c>
      <c r="L700" s="9" t="str">
        <f t="shared" si="329"/>
        <v/>
      </c>
      <c r="M700" s="8" t="str">
        <f t="shared" si="330"/>
        <v/>
      </c>
      <c r="AB700" s="5">
        <v>80</v>
      </c>
      <c r="AG700" s="1">
        <v>16.84</v>
      </c>
      <c r="AH700" s="20">
        <v>0.51956018518518521</v>
      </c>
      <c r="AJ700" s="1">
        <v>177</v>
      </c>
      <c r="AK700" s="3">
        <f t="shared" si="323"/>
        <v>240</v>
      </c>
      <c r="AN700" s="3">
        <v>40</v>
      </c>
      <c r="AP700" s="13" t="e">
        <f t="shared" si="322"/>
        <v>#DIV/0!</v>
      </c>
      <c r="AR700" s="17" t="e">
        <f t="shared" si="336"/>
        <v>#VALUE!</v>
      </c>
      <c r="AS700" s="16" t="e">
        <f t="shared" si="337"/>
        <v>#DIV/0!</v>
      </c>
      <c r="AT700" s="16" t="e">
        <f t="shared" si="338"/>
        <v>#DIV/0!</v>
      </c>
      <c r="AU700" s="16" t="e">
        <f t="shared" si="335"/>
        <v>#DIV/0!</v>
      </c>
      <c r="AV700" s="57" t="str">
        <f t="shared" si="339"/>
        <v/>
      </c>
      <c r="AW700" s="57" t="str">
        <f t="shared" si="321"/>
        <v/>
      </c>
      <c r="AX700" s="57" t="str">
        <f t="shared" si="334"/>
        <v/>
      </c>
      <c r="AY700" s="57" t="str">
        <f t="shared" si="318"/>
        <v/>
      </c>
      <c r="AZ700" s="57" t="str">
        <f t="shared" si="332"/>
        <v/>
      </c>
      <c r="BF700" s="6"/>
    </row>
    <row r="701" spans="1:58" ht="15.75">
      <c r="A701" s="12" t="s">
        <v>15</v>
      </c>
      <c r="B701" s="11">
        <v>45961</v>
      </c>
      <c r="C701" s="1">
        <v>457</v>
      </c>
      <c r="D701" s="3">
        <v>696</v>
      </c>
      <c r="E701" s="205" t="str">
        <f t="shared" si="319"/>
        <v/>
      </c>
      <c r="I701" s="15">
        <f t="shared" si="324"/>
        <v>0</v>
      </c>
      <c r="K701" s="10" t="str">
        <f t="shared" si="328"/>
        <v/>
      </c>
      <c r="L701" s="9" t="str">
        <f t="shared" si="329"/>
        <v/>
      </c>
      <c r="M701" s="8" t="str">
        <f t="shared" si="330"/>
        <v/>
      </c>
      <c r="AB701" s="5">
        <v>80</v>
      </c>
      <c r="AG701" s="1">
        <v>13.16</v>
      </c>
      <c r="AH701" s="20">
        <v>0.42939814814814814</v>
      </c>
      <c r="AJ701" s="1">
        <v>229</v>
      </c>
      <c r="AK701" s="3">
        <f t="shared" si="323"/>
        <v>240</v>
      </c>
      <c r="AN701" s="3">
        <v>40</v>
      </c>
      <c r="AP701" s="13">
        <f t="shared" si="322"/>
        <v>3250</v>
      </c>
      <c r="AR701" s="17" t="e">
        <f t="shared" si="336"/>
        <v>#VALUE!</v>
      </c>
      <c r="AS701" s="16" t="e">
        <f t="shared" si="337"/>
        <v>#DIV/0!</v>
      </c>
      <c r="AT701" s="16" t="e">
        <f t="shared" si="338"/>
        <v>#DIV/0!</v>
      </c>
      <c r="AU701" s="16" t="e">
        <f t="shared" si="335"/>
        <v>#DIV/0!</v>
      </c>
      <c r="AV701" s="57" t="str">
        <f t="shared" si="339"/>
        <v/>
      </c>
      <c r="AW701" s="57" t="str">
        <f t="shared" si="321"/>
        <v/>
      </c>
      <c r="AX701" s="57" t="str">
        <f t="shared" si="334"/>
        <v/>
      </c>
      <c r="AY701" s="57" t="str">
        <f t="shared" si="318"/>
        <v/>
      </c>
      <c r="AZ701" s="57" t="str">
        <f t="shared" si="332"/>
        <v/>
      </c>
      <c r="BF701" s="6"/>
    </row>
    <row r="702" spans="1:58" ht="15.75">
      <c r="B702" s="11">
        <v>45962</v>
      </c>
      <c r="C702" s="1">
        <v>458</v>
      </c>
      <c r="D702" s="3">
        <v>697</v>
      </c>
      <c r="E702" s="205" t="str">
        <f t="shared" si="319"/>
        <v/>
      </c>
      <c r="I702" s="15">
        <f t="shared" si="324"/>
        <v>0</v>
      </c>
      <c r="K702" s="10" t="str">
        <f t="shared" si="328"/>
        <v/>
      </c>
      <c r="L702" s="9" t="str">
        <f t="shared" si="329"/>
        <v/>
      </c>
      <c r="M702" s="8" t="str">
        <f t="shared" si="330"/>
        <v/>
      </c>
      <c r="AB702" s="5">
        <v>80</v>
      </c>
      <c r="AG702" s="1">
        <v>0.47</v>
      </c>
      <c r="AH702" s="20">
        <v>0.36550925925925926</v>
      </c>
      <c r="AJ702" s="1">
        <v>3</v>
      </c>
      <c r="AK702" s="3">
        <f t="shared" si="323"/>
        <v>240</v>
      </c>
      <c r="AN702" s="3">
        <v>40</v>
      </c>
      <c r="AP702" s="13">
        <f t="shared" si="322"/>
        <v>3250</v>
      </c>
      <c r="AR702" s="17" t="e">
        <f t="shared" si="336"/>
        <v>#VALUE!</v>
      </c>
      <c r="AS702" s="16" t="e">
        <f t="shared" si="337"/>
        <v>#DIV/0!</v>
      </c>
      <c r="AT702" s="16" t="e">
        <f t="shared" si="338"/>
        <v>#DIV/0!</v>
      </c>
      <c r="AU702" s="16" t="e">
        <f t="shared" si="335"/>
        <v>#DIV/0!</v>
      </c>
      <c r="AV702" s="57" t="str">
        <f t="shared" si="339"/>
        <v/>
      </c>
      <c r="AW702" s="57" t="str">
        <f t="shared" si="321"/>
        <v/>
      </c>
      <c r="AX702" s="57" t="str">
        <f t="shared" si="334"/>
        <v/>
      </c>
      <c r="AY702" s="57" t="str">
        <f t="shared" si="318"/>
        <v/>
      </c>
      <c r="AZ702" s="57" t="str">
        <f t="shared" si="332"/>
        <v/>
      </c>
      <c r="BF702" s="6"/>
    </row>
    <row r="703" spans="1:58" ht="15.75">
      <c r="B703" s="11">
        <v>45963</v>
      </c>
      <c r="C703" s="1">
        <v>459</v>
      </c>
      <c r="D703" s="3">
        <v>698</v>
      </c>
      <c r="E703" s="205" t="str">
        <f t="shared" si="319"/>
        <v/>
      </c>
      <c r="I703" s="15">
        <f t="shared" si="324"/>
        <v>0</v>
      </c>
      <c r="K703" s="10" t="str">
        <f t="shared" si="328"/>
        <v/>
      </c>
      <c r="L703" s="9" t="str">
        <f t="shared" si="329"/>
        <v/>
      </c>
      <c r="M703" s="8" t="str">
        <f t="shared" si="330"/>
        <v/>
      </c>
      <c r="AB703" s="5">
        <v>80</v>
      </c>
      <c r="AG703" s="1">
        <v>0.73</v>
      </c>
      <c r="AH703" s="20">
        <v>0.36261574074074077</v>
      </c>
      <c r="AJ703" s="1">
        <v>119</v>
      </c>
      <c r="AK703" s="3">
        <f t="shared" si="323"/>
        <v>240</v>
      </c>
      <c r="AN703" s="3">
        <v>40</v>
      </c>
      <c r="AP703" s="13">
        <f t="shared" si="322"/>
        <v>3250</v>
      </c>
      <c r="AR703" s="17" t="e">
        <f t="shared" si="336"/>
        <v>#VALUE!</v>
      </c>
      <c r="AS703" s="16" t="e">
        <f t="shared" si="337"/>
        <v>#DIV/0!</v>
      </c>
      <c r="AT703" s="16" t="e">
        <f t="shared" si="338"/>
        <v>#DIV/0!</v>
      </c>
      <c r="AU703" s="16" t="e">
        <f t="shared" si="335"/>
        <v>#DIV/0!</v>
      </c>
      <c r="AV703" s="57" t="str">
        <f t="shared" si="339"/>
        <v/>
      </c>
      <c r="AW703" s="57" t="str">
        <f t="shared" si="321"/>
        <v/>
      </c>
      <c r="AX703" s="57" t="str">
        <f t="shared" si="334"/>
        <v/>
      </c>
      <c r="AY703" s="57" t="str">
        <f t="shared" si="318"/>
        <v/>
      </c>
      <c r="AZ703" s="57" t="str">
        <f t="shared" si="332"/>
        <v/>
      </c>
      <c r="BF703" s="6" t="str">
        <f>IF(OR(AJ703=0,AP703=0,NOT(ISNUMBER(AD703)),NOT(ISNUMBER(AF703)),NOT(ISNUMBER(AJ703)),NOT(ISNUMBER(AP703))),"",
IFERROR(IF((AD703-AF703)/(AJ703/60)/(AP703/1000)&lt;=0,"",(AD703-AF703)/(AJ703/60)/(AP703/1000)),""))</f>
        <v/>
      </c>
    </row>
    <row r="704" spans="1:58" ht="16.5" thickBot="1">
      <c r="B704" s="11">
        <v>45964</v>
      </c>
      <c r="C704" s="1">
        <v>460</v>
      </c>
      <c r="D704" s="3">
        <v>699</v>
      </c>
      <c r="E704" s="205" t="str">
        <f t="shared" si="319"/>
        <v/>
      </c>
      <c r="I704" s="15">
        <f t="shared" si="324"/>
        <v>0</v>
      </c>
      <c r="K704" s="10" t="str">
        <f t="shared" si="328"/>
        <v/>
      </c>
      <c r="L704" s="9" t="str">
        <f t="shared" si="329"/>
        <v/>
      </c>
      <c r="M704" s="8" t="str">
        <f t="shared" si="330"/>
        <v/>
      </c>
      <c r="AB704" s="5">
        <v>80</v>
      </c>
      <c r="AG704" s="40">
        <v>7.0000000000000007E-2</v>
      </c>
      <c r="AH704" s="20">
        <v>0.39930555555555558</v>
      </c>
      <c r="AJ704" s="1">
        <v>53</v>
      </c>
      <c r="AK704" s="3">
        <f t="shared" si="323"/>
        <v>240</v>
      </c>
      <c r="AN704" s="3">
        <v>40</v>
      </c>
      <c r="AP704" s="13">
        <f t="shared" si="322"/>
        <v>3250</v>
      </c>
      <c r="AR704" s="17" t="e">
        <f t="shared" si="336"/>
        <v>#VALUE!</v>
      </c>
      <c r="AS704" s="16" t="e">
        <f t="shared" si="337"/>
        <v>#DIV/0!</v>
      </c>
      <c r="AT704" s="16" t="e">
        <f t="shared" si="338"/>
        <v>#DIV/0!</v>
      </c>
      <c r="AU704" s="16" t="e">
        <f t="shared" si="335"/>
        <v>#DIV/0!</v>
      </c>
      <c r="AV704" s="57" t="str">
        <f t="shared" si="339"/>
        <v/>
      </c>
      <c r="AW704" s="57" t="str">
        <f t="shared" si="321"/>
        <v/>
      </c>
      <c r="AX704" s="57" t="str">
        <f t="shared" si="334"/>
        <v/>
      </c>
      <c r="AY704" s="57" t="str">
        <f t="shared" si="318"/>
        <v/>
      </c>
      <c r="AZ704" s="57" t="str">
        <f t="shared" si="332"/>
        <v/>
      </c>
      <c r="BF704" s="6" t="str">
        <f>IF(OR(AJ704=0,AP704=0,NOT(ISNUMBER(AD704)),NOT(ISNUMBER(AF704)),NOT(ISNUMBER(AJ704)),NOT(ISNUMBER(AP704))),"",
IFERROR(IF((AD704-AF704)/(AJ704/60)/(AP704/1000)&lt;=0,"",(AD704-AF704)/(AJ704/60)/(AP704/1000)),""))</f>
        <v/>
      </c>
    </row>
    <row r="705" spans="1:58" ht="16.5" thickTop="1">
      <c r="B705" s="11">
        <v>45965</v>
      </c>
      <c r="C705" s="1">
        <v>461</v>
      </c>
      <c r="D705" s="3">
        <v>700</v>
      </c>
      <c r="E705" s="205" t="str">
        <f t="shared" si="319"/>
        <v/>
      </c>
      <c r="I705" s="15">
        <f t="shared" si="324"/>
        <v>0</v>
      </c>
      <c r="K705" s="10" t="str">
        <f t="shared" si="328"/>
        <v/>
      </c>
      <c r="L705" s="9" t="str">
        <f t="shared" si="329"/>
        <v/>
      </c>
      <c r="M705" s="8" t="str">
        <f t="shared" si="330"/>
        <v/>
      </c>
      <c r="AB705" s="5">
        <v>80</v>
      </c>
      <c r="AG705" s="1">
        <v>0.3</v>
      </c>
      <c r="AH705" s="20">
        <v>0.40069444444444446</v>
      </c>
      <c r="AJ705" s="1">
        <v>47</v>
      </c>
      <c r="AK705" s="3">
        <f t="shared" si="323"/>
        <v>240</v>
      </c>
      <c r="AN705" s="3">
        <v>40</v>
      </c>
      <c r="AO705" s="2">
        <v>3250</v>
      </c>
      <c r="AP705" s="13">
        <f t="shared" si="322"/>
        <v>3250</v>
      </c>
      <c r="AR705" s="17" t="e">
        <f t="shared" si="336"/>
        <v>#VALUE!</v>
      </c>
      <c r="AS705" s="16" t="e">
        <f t="shared" si="337"/>
        <v>#DIV/0!</v>
      </c>
      <c r="AT705" s="16" t="e">
        <f t="shared" si="338"/>
        <v>#DIV/0!</v>
      </c>
      <c r="AU705" s="16" t="e">
        <f t="shared" si="335"/>
        <v>#DIV/0!</v>
      </c>
      <c r="AV705" s="57" t="str">
        <f t="shared" si="339"/>
        <v/>
      </c>
      <c r="AW705" s="57" t="str">
        <f t="shared" si="321"/>
        <v/>
      </c>
      <c r="AX705" s="57" t="str">
        <f t="shared" si="334"/>
        <v/>
      </c>
      <c r="AY705" s="57" t="str">
        <f t="shared" si="318"/>
        <v/>
      </c>
      <c r="AZ705" s="57" t="str">
        <f t="shared" si="332"/>
        <v/>
      </c>
      <c r="BF705" s="6" t="str">
        <f>IF(OR(AJ705=0,AP705=0,NOT(ISNUMBER(AD705)),NOT(ISNUMBER(AF705)),NOT(ISNUMBER(AJ705)),NOT(ISNUMBER(AP705))),"",
IFERROR(IF((AD705-AF705)/(AJ705/60)/(AP705/1000)&lt;=0,"",(AD705-AF705)/(AJ705/60)/(AP705/1000)),""))</f>
        <v/>
      </c>
    </row>
    <row r="706" spans="1:58" ht="15.75">
      <c r="B706" s="11">
        <v>45966</v>
      </c>
      <c r="C706" s="1">
        <v>462</v>
      </c>
      <c r="D706" s="3">
        <v>701</v>
      </c>
      <c r="E706" s="205" t="str">
        <f t="shared" si="319"/>
        <v/>
      </c>
      <c r="I706" s="15">
        <f t="shared" si="324"/>
        <v>0</v>
      </c>
      <c r="K706" s="10" t="str">
        <f t="shared" si="328"/>
        <v/>
      </c>
      <c r="L706" s="9" t="str">
        <f t="shared" si="329"/>
        <v/>
      </c>
      <c r="M706" s="8" t="str">
        <f t="shared" si="330"/>
        <v/>
      </c>
      <c r="AB706" s="5">
        <v>80</v>
      </c>
      <c r="AG706" s="1">
        <v>0.3</v>
      </c>
      <c r="AH706" s="20">
        <v>0.40486111111111112</v>
      </c>
      <c r="AJ706" s="1">
        <v>45</v>
      </c>
      <c r="AK706" s="3">
        <f t="shared" si="323"/>
        <v>240</v>
      </c>
      <c r="AN706" s="3">
        <v>40</v>
      </c>
      <c r="AP706" s="13">
        <f t="shared" si="322"/>
        <v>3250</v>
      </c>
      <c r="AR706" s="17" t="e">
        <f t="shared" si="336"/>
        <v>#VALUE!</v>
      </c>
      <c r="AS706" s="16" t="e">
        <f t="shared" si="337"/>
        <v>#DIV/0!</v>
      </c>
      <c r="AT706" s="16" t="e">
        <f t="shared" si="338"/>
        <v>#DIV/0!</v>
      </c>
      <c r="AU706" s="16" t="e">
        <f t="shared" si="335"/>
        <v>#DIV/0!</v>
      </c>
      <c r="AV706" s="57" t="str">
        <f t="shared" si="339"/>
        <v/>
      </c>
      <c r="AW706" s="57" t="str">
        <f t="shared" si="321"/>
        <v/>
      </c>
      <c r="AX706" s="57" t="str">
        <f t="shared" si="334"/>
        <v/>
      </c>
      <c r="AY706" s="57" t="str">
        <f t="shared" si="318"/>
        <v/>
      </c>
      <c r="AZ706" s="57" t="str">
        <f t="shared" si="332"/>
        <v/>
      </c>
      <c r="BF706" s="6" t="str">
        <f>IF(OR(AJ706=0,AP706=0,NOT(ISNUMBER(AD706)),NOT(ISNUMBER(AF706)),NOT(ISNUMBER(AJ706)),NOT(ISNUMBER(AP706))),"",
IFERROR(IF((AD706-AF706)/(AJ706/60)/(AP706/1000)&lt;=0,"",(AD706-AF706)/(AJ706/60)/(AP706/1000)),""))</f>
        <v/>
      </c>
    </row>
    <row r="707" spans="1:58" ht="15.75">
      <c r="B707" s="11">
        <v>45967</v>
      </c>
      <c r="C707" s="1">
        <v>463</v>
      </c>
      <c r="D707" s="3">
        <v>702</v>
      </c>
      <c r="E707" s="205" t="str">
        <f t="shared" si="319"/>
        <v/>
      </c>
      <c r="I707" s="15">
        <f t="shared" si="324"/>
        <v>0</v>
      </c>
      <c r="K707" s="10" t="str">
        <f t="shared" si="328"/>
        <v/>
      </c>
      <c r="L707" s="9" t="str">
        <f t="shared" si="329"/>
        <v/>
      </c>
      <c r="M707" s="8" t="str">
        <f t="shared" si="330"/>
        <v/>
      </c>
      <c r="AB707" s="5">
        <v>80</v>
      </c>
      <c r="AG707" s="1">
        <v>0.26</v>
      </c>
      <c r="AH707" s="20">
        <v>0.40046296296296297</v>
      </c>
      <c r="AJ707" s="1">
        <v>39</v>
      </c>
      <c r="AK707" s="3">
        <f t="shared" si="323"/>
        <v>240</v>
      </c>
      <c r="AN707" s="3">
        <v>40</v>
      </c>
      <c r="AP707" s="13">
        <f t="shared" si="322"/>
        <v>3250</v>
      </c>
      <c r="AR707" s="17" t="e">
        <f t="shared" si="336"/>
        <v>#VALUE!</v>
      </c>
      <c r="AS707" s="16" t="e">
        <f t="shared" si="337"/>
        <v>#DIV/0!</v>
      </c>
      <c r="AT707" s="16" t="e">
        <f t="shared" si="338"/>
        <v>#DIV/0!</v>
      </c>
      <c r="AU707" s="16" t="e">
        <f t="shared" si="335"/>
        <v>#DIV/0!</v>
      </c>
      <c r="AV707" s="57" t="str">
        <f t="shared" si="339"/>
        <v/>
      </c>
      <c r="AW707" s="57" t="str">
        <f t="shared" si="321"/>
        <v/>
      </c>
      <c r="AX707" s="57" t="str">
        <f t="shared" si="334"/>
        <v/>
      </c>
      <c r="AY707" s="57" t="str">
        <f t="shared" si="318"/>
        <v/>
      </c>
      <c r="AZ707" s="57" t="str">
        <f t="shared" si="332"/>
        <v/>
      </c>
      <c r="BF707" s="6" t="str">
        <f>IF(OR(AJ707=0,AP707=0,NOT(ISNUMBER(AD707)),NOT(ISNUMBER(AF707)),NOT(ISNUMBER(AJ707)),NOT(ISNUMBER(AP707))),"",
IFERROR(IF((AD707-AF707)/(AJ707/60)/(AP707/1000)&lt;=0,"",(AD707-AF707)/(AJ707/60)/(AP707/1000)),""))</f>
        <v/>
      </c>
    </row>
    <row r="708" spans="1:58" ht="15.75">
      <c r="A708" s="12" t="s">
        <v>14</v>
      </c>
      <c r="B708" s="11">
        <v>45968</v>
      </c>
      <c r="C708" s="1">
        <v>464</v>
      </c>
      <c r="D708" s="3">
        <v>703</v>
      </c>
      <c r="E708" s="205" t="str">
        <f t="shared" si="319"/>
        <v/>
      </c>
      <c r="I708" s="15">
        <f t="shared" si="324"/>
        <v>0</v>
      </c>
      <c r="K708" s="10" t="str">
        <f t="shared" si="328"/>
        <v/>
      </c>
      <c r="L708" s="9" t="str">
        <f t="shared" si="329"/>
        <v/>
      </c>
      <c r="M708" s="8" t="str">
        <f t="shared" si="330"/>
        <v/>
      </c>
      <c r="AB708" s="5">
        <v>80</v>
      </c>
      <c r="AG708" s="1">
        <v>0.2</v>
      </c>
      <c r="AH708" s="20">
        <v>0.40266203703703701</v>
      </c>
      <c r="AJ708" s="1">
        <v>39</v>
      </c>
      <c r="AK708" s="3">
        <f t="shared" si="323"/>
        <v>240</v>
      </c>
      <c r="AN708" s="3">
        <v>40</v>
      </c>
      <c r="AP708" s="13" t="e">
        <f t="shared" si="322"/>
        <v>#DIV/0!</v>
      </c>
      <c r="AR708" s="17" t="e">
        <f t="shared" si="336"/>
        <v>#VALUE!</v>
      </c>
      <c r="AS708" s="16" t="e">
        <f t="shared" si="337"/>
        <v>#DIV/0!</v>
      </c>
      <c r="AT708" s="16" t="e">
        <f t="shared" si="338"/>
        <v>#DIV/0!</v>
      </c>
      <c r="AU708" s="16" t="e">
        <f t="shared" si="335"/>
        <v>#DIV/0!</v>
      </c>
      <c r="AV708" s="57" t="str">
        <f t="shared" si="339"/>
        <v/>
      </c>
      <c r="AW708" s="57" t="str">
        <f t="shared" si="321"/>
        <v/>
      </c>
      <c r="AX708" s="57" t="str">
        <f t="shared" si="334"/>
        <v/>
      </c>
      <c r="AY708" s="57" t="str">
        <f t="shared" si="318"/>
        <v/>
      </c>
      <c r="AZ708" s="57" t="str">
        <f t="shared" si="332"/>
        <v/>
      </c>
      <c r="BF708" s="6"/>
    </row>
    <row r="709" spans="1:58" ht="15.75">
      <c r="B709" s="11">
        <v>45969</v>
      </c>
      <c r="C709" s="1">
        <v>465</v>
      </c>
      <c r="D709" s="3">
        <v>704</v>
      </c>
      <c r="E709" s="205" t="str">
        <f t="shared" si="319"/>
        <v/>
      </c>
      <c r="I709" s="15">
        <f t="shared" si="324"/>
        <v>0</v>
      </c>
      <c r="K709" s="10" t="str">
        <f t="shared" si="328"/>
        <v/>
      </c>
      <c r="L709" s="9" t="str">
        <f t="shared" si="329"/>
        <v/>
      </c>
      <c r="M709" s="8" t="str">
        <f t="shared" si="330"/>
        <v/>
      </c>
      <c r="AB709" s="5">
        <v>80</v>
      </c>
      <c r="AG709" s="1">
        <v>0.1</v>
      </c>
      <c r="AH709" s="20">
        <v>0.39930555555555558</v>
      </c>
      <c r="AJ709" s="1">
        <v>25</v>
      </c>
      <c r="AK709" s="3">
        <f t="shared" si="323"/>
        <v>240</v>
      </c>
      <c r="AN709" s="3">
        <v>40</v>
      </c>
      <c r="AP709" s="13" t="e">
        <f t="shared" si="322"/>
        <v>#DIV/0!</v>
      </c>
      <c r="AR709" s="17" t="e">
        <f t="shared" si="336"/>
        <v>#VALUE!</v>
      </c>
      <c r="AS709" s="16" t="e">
        <f t="shared" si="337"/>
        <v>#DIV/0!</v>
      </c>
      <c r="AT709" s="16" t="e">
        <f t="shared" si="338"/>
        <v>#DIV/0!</v>
      </c>
      <c r="AU709" s="16" t="e">
        <f t="shared" si="335"/>
        <v>#DIV/0!</v>
      </c>
      <c r="AV709" s="57" t="str">
        <f t="shared" si="339"/>
        <v/>
      </c>
      <c r="AW709" s="57" t="str">
        <f t="shared" si="321"/>
        <v/>
      </c>
      <c r="AX709" s="57" t="str">
        <f t="shared" si="334"/>
        <v/>
      </c>
      <c r="AY709" s="57" t="str">
        <f t="shared" si="318"/>
        <v/>
      </c>
      <c r="AZ709" s="57" t="str">
        <f t="shared" si="332"/>
        <v/>
      </c>
      <c r="BF709" s="6"/>
    </row>
    <row r="710" spans="1:58" ht="15.75">
      <c r="B710" s="11">
        <v>45970</v>
      </c>
      <c r="C710" s="1">
        <v>466</v>
      </c>
      <c r="D710" s="3">
        <v>705</v>
      </c>
      <c r="E710" s="205" t="str">
        <f t="shared" si="319"/>
        <v/>
      </c>
      <c r="I710" s="15">
        <f t="shared" si="324"/>
        <v>0</v>
      </c>
      <c r="K710" s="10" t="str">
        <f t="shared" si="328"/>
        <v/>
      </c>
      <c r="L710" s="9" t="str">
        <f t="shared" si="329"/>
        <v/>
      </c>
      <c r="M710" s="8" t="str">
        <f t="shared" si="330"/>
        <v/>
      </c>
      <c r="AB710" s="5">
        <v>80</v>
      </c>
      <c r="AG710" s="1">
        <v>0.11</v>
      </c>
      <c r="AH710" s="20">
        <v>0.39930555555555558</v>
      </c>
      <c r="AJ710" s="1">
        <v>43</v>
      </c>
      <c r="AK710" s="3">
        <f t="shared" si="323"/>
        <v>240</v>
      </c>
      <c r="AN710" s="3">
        <v>40</v>
      </c>
      <c r="AP710" s="13" t="e">
        <f t="shared" si="322"/>
        <v>#DIV/0!</v>
      </c>
      <c r="AR710" s="17" t="e">
        <f t="shared" si="336"/>
        <v>#VALUE!</v>
      </c>
      <c r="AS710" s="16" t="e">
        <f t="shared" si="337"/>
        <v>#DIV/0!</v>
      </c>
      <c r="AT710" s="16" t="e">
        <f t="shared" si="338"/>
        <v>#DIV/0!</v>
      </c>
      <c r="AU710" s="16" t="e">
        <f t="shared" si="335"/>
        <v>#DIV/0!</v>
      </c>
      <c r="AV710" s="57" t="str">
        <f t="shared" si="339"/>
        <v/>
      </c>
      <c r="AW710" s="57" t="str">
        <f t="shared" si="321"/>
        <v/>
      </c>
      <c r="AX710" s="57" t="str">
        <f t="shared" si="334"/>
        <v/>
      </c>
      <c r="AY710" s="57" t="str">
        <f t="shared" ref="AY710:AY773" si="340">IF(AND(ISNUMBER(AC710),ISNUMBER(AE710)),AC710-AE710,"")</f>
        <v/>
      </c>
      <c r="AZ710" s="57" t="str">
        <f t="shared" si="332"/>
        <v/>
      </c>
      <c r="BF710" s="6"/>
    </row>
    <row r="711" spans="1:58" ht="15.75">
      <c r="B711" s="11">
        <v>45971</v>
      </c>
      <c r="C711" s="1">
        <v>467</v>
      </c>
      <c r="D711" s="3">
        <v>706</v>
      </c>
      <c r="E711" s="205" t="str">
        <f t="shared" ref="E711:E774" si="341">IF(OR(S711="",S711=0),"",S711*2)</f>
        <v/>
      </c>
      <c r="I711" s="15">
        <f t="shared" si="324"/>
        <v>0</v>
      </c>
      <c r="K711" s="10" t="str">
        <f t="shared" si="328"/>
        <v/>
      </c>
      <c r="L711" s="9" t="str">
        <f t="shared" si="329"/>
        <v/>
      </c>
      <c r="M711" s="8" t="str">
        <f t="shared" si="330"/>
        <v/>
      </c>
      <c r="AB711" s="5">
        <v>80</v>
      </c>
      <c r="AG711" s="1">
        <v>0.09</v>
      </c>
      <c r="AH711" s="20">
        <v>0.40081018518518519</v>
      </c>
      <c r="AJ711" s="1">
        <v>65</v>
      </c>
      <c r="AK711" s="3">
        <f t="shared" si="323"/>
        <v>240</v>
      </c>
      <c r="AN711" s="3">
        <v>40</v>
      </c>
      <c r="AP711" s="13" t="e">
        <f t="shared" si="322"/>
        <v>#DIV/0!</v>
      </c>
      <c r="AR711" s="17" t="e">
        <f t="shared" si="336"/>
        <v>#VALUE!</v>
      </c>
      <c r="AS711" s="16" t="e">
        <f t="shared" si="337"/>
        <v>#DIV/0!</v>
      </c>
      <c r="AT711" s="16" t="e">
        <f t="shared" si="338"/>
        <v>#DIV/0!</v>
      </c>
      <c r="AU711" s="16" t="e">
        <f t="shared" si="335"/>
        <v>#DIV/0!</v>
      </c>
      <c r="AV711" s="57" t="str">
        <f t="shared" si="339"/>
        <v/>
      </c>
      <c r="AW711" s="57" t="str">
        <f t="shared" si="321"/>
        <v/>
      </c>
      <c r="AX711" s="57" t="str">
        <f t="shared" si="334"/>
        <v/>
      </c>
      <c r="AY711" s="57" t="str">
        <f t="shared" si="340"/>
        <v/>
      </c>
      <c r="AZ711" s="57" t="str">
        <f t="shared" si="332"/>
        <v/>
      </c>
      <c r="BF711" s="6"/>
    </row>
    <row r="712" spans="1:58" ht="15.75">
      <c r="B712" s="11">
        <v>45972</v>
      </c>
      <c r="C712" s="1">
        <v>468</v>
      </c>
      <c r="D712" s="3">
        <v>707</v>
      </c>
      <c r="E712" s="205" t="str">
        <f t="shared" si="341"/>
        <v/>
      </c>
      <c r="I712" s="15">
        <f t="shared" si="324"/>
        <v>0</v>
      </c>
      <c r="K712" s="10" t="str">
        <f t="shared" si="328"/>
        <v/>
      </c>
      <c r="L712" s="9" t="str">
        <f t="shared" si="329"/>
        <v/>
      </c>
      <c r="M712" s="8" t="str">
        <f t="shared" si="330"/>
        <v/>
      </c>
      <c r="AB712" s="5">
        <v>80</v>
      </c>
      <c r="AG712" s="1">
        <v>0.1</v>
      </c>
      <c r="AH712" s="20">
        <v>0.39930555555555558</v>
      </c>
      <c r="AJ712" s="1">
        <v>43</v>
      </c>
      <c r="AK712" s="3">
        <f t="shared" si="323"/>
        <v>240</v>
      </c>
      <c r="AN712" s="3">
        <v>40</v>
      </c>
      <c r="AP712" s="13" t="e">
        <f t="shared" si="322"/>
        <v>#DIV/0!</v>
      </c>
      <c r="AR712" s="17" t="e">
        <f t="shared" si="336"/>
        <v>#VALUE!</v>
      </c>
      <c r="AS712" s="16" t="e">
        <f t="shared" si="337"/>
        <v>#DIV/0!</v>
      </c>
      <c r="AT712" s="16" t="e">
        <f t="shared" si="338"/>
        <v>#DIV/0!</v>
      </c>
      <c r="AU712" s="16" t="e">
        <f t="shared" si="335"/>
        <v>#DIV/0!</v>
      </c>
      <c r="AV712" s="57" t="str">
        <f t="shared" si="339"/>
        <v/>
      </c>
      <c r="AW712" s="57" t="str">
        <f t="shared" si="321"/>
        <v/>
      </c>
      <c r="AX712" s="57" t="str">
        <f t="shared" si="334"/>
        <v/>
      </c>
      <c r="AY712" s="57" t="str">
        <f t="shared" si="340"/>
        <v/>
      </c>
      <c r="AZ712" s="57" t="str">
        <f t="shared" si="332"/>
        <v/>
      </c>
      <c r="BF712" s="6"/>
    </row>
    <row r="713" spans="1:58" ht="15.75">
      <c r="B713" s="11">
        <v>45973</v>
      </c>
      <c r="C713" s="1">
        <v>469</v>
      </c>
      <c r="D713" s="3">
        <v>708</v>
      </c>
      <c r="E713" s="205" t="str">
        <f t="shared" si="341"/>
        <v/>
      </c>
      <c r="I713" s="15">
        <f t="shared" si="324"/>
        <v>0</v>
      </c>
      <c r="K713" s="10" t="str">
        <f t="shared" si="328"/>
        <v/>
      </c>
      <c r="L713" s="9" t="str">
        <f t="shared" si="329"/>
        <v/>
      </c>
      <c r="M713" s="8" t="str">
        <f t="shared" si="330"/>
        <v/>
      </c>
      <c r="AB713" s="5">
        <v>80</v>
      </c>
      <c r="AG713" s="1">
        <v>0.12</v>
      </c>
      <c r="AH713" s="20">
        <v>0.40462962962962962</v>
      </c>
      <c r="AJ713" s="1">
        <v>41</v>
      </c>
      <c r="AK713" s="3">
        <f t="shared" si="323"/>
        <v>240</v>
      </c>
      <c r="AN713" s="3">
        <v>40</v>
      </c>
      <c r="AP713" s="13" t="e">
        <f t="shared" si="322"/>
        <v>#DIV/0!</v>
      </c>
      <c r="AR713" s="17" t="e">
        <f t="shared" si="336"/>
        <v>#VALUE!</v>
      </c>
      <c r="AS713" s="16" t="e">
        <f t="shared" si="337"/>
        <v>#DIV/0!</v>
      </c>
      <c r="AT713" s="16" t="e">
        <f t="shared" si="338"/>
        <v>#DIV/0!</v>
      </c>
      <c r="AU713" s="16" t="e">
        <f t="shared" si="335"/>
        <v>#DIV/0!</v>
      </c>
      <c r="AV713" s="57" t="str">
        <f t="shared" si="339"/>
        <v/>
      </c>
      <c r="AW713" s="57" t="str">
        <f t="shared" si="321"/>
        <v/>
      </c>
      <c r="AX713" s="57" t="str">
        <f t="shared" si="334"/>
        <v/>
      </c>
      <c r="AY713" s="57" t="str">
        <f t="shared" si="340"/>
        <v/>
      </c>
      <c r="AZ713" s="57" t="str">
        <f t="shared" si="332"/>
        <v/>
      </c>
      <c r="BF713" s="6"/>
    </row>
    <row r="714" spans="1:58" ht="15.75">
      <c r="B714" s="11">
        <v>45974</v>
      </c>
      <c r="C714" s="1">
        <v>470</v>
      </c>
      <c r="D714" s="3">
        <v>709</v>
      </c>
      <c r="E714" s="205" t="str">
        <f t="shared" si="341"/>
        <v/>
      </c>
      <c r="I714" s="15">
        <f t="shared" si="324"/>
        <v>0</v>
      </c>
      <c r="K714" s="10" t="str">
        <f t="shared" si="328"/>
        <v/>
      </c>
      <c r="L714" s="9" t="str">
        <f t="shared" si="329"/>
        <v/>
      </c>
      <c r="M714" s="8" t="str">
        <f t="shared" si="330"/>
        <v/>
      </c>
      <c r="AB714" s="5">
        <v>80</v>
      </c>
      <c r="AG714" s="1">
        <v>0.14000000000000001</v>
      </c>
      <c r="AH714" s="20">
        <v>0.39930555555555558</v>
      </c>
      <c r="AJ714" s="1">
        <v>35</v>
      </c>
      <c r="AK714" s="3">
        <f t="shared" si="323"/>
        <v>240</v>
      </c>
      <c r="AN714" s="3">
        <v>40</v>
      </c>
      <c r="AP714" s="13" t="e">
        <f t="shared" si="322"/>
        <v>#DIV/0!</v>
      </c>
      <c r="AR714" s="17" t="e">
        <f t="shared" si="336"/>
        <v>#VALUE!</v>
      </c>
      <c r="AS714" s="16" t="e">
        <f t="shared" si="337"/>
        <v>#DIV/0!</v>
      </c>
      <c r="AT714" s="16" t="e">
        <f t="shared" si="338"/>
        <v>#DIV/0!</v>
      </c>
      <c r="AU714" s="16" t="e">
        <f t="shared" si="335"/>
        <v>#DIV/0!</v>
      </c>
      <c r="AV714" s="57" t="str">
        <f t="shared" si="339"/>
        <v/>
      </c>
      <c r="AW714" s="57" t="str">
        <f t="shared" ref="AW714:AW777" si="342">IF(AND(ISNUMBER(I714),ISNUMBER(AF714)),I714-AF714,"")</f>
        <v/>
      </c>
      <c r="AX714" s="57" t="str">
        <f t="shared" si="334"/>
        <v/>
      </c>
      <c r="AY714" s="57" t="str">
        <f t="shared" si="340"/>
        <v/>
      </c>
      <c r="AZ714" s="57" t="str">
        <f t="shared" si="332"/>
        <v/>
      </c>
      <c r="BF714" s="6"/>
    </row>
    <row r="715" spans="1:58" ht="15.75">
      <c r="B715" s="11">
        <v>45975</v>
      </c>
      <c r="C715" s="1">
        <v>471</v>
      </c>
      <c r="D715" s="3">
        <v>710</v>
      </c>
      <c r="E715" s="205" t="str">
        <f t="shared" si="341"/>
        <v/>
      </c>
      <c r="I715" s="15">
        <f t="shared" si="324"/>
        <v>0</v>
      </c>
      <c r="K715" s="10" t="str">
        <f t="shared" si="328"/>
        <v/>
      </c>
      <c r="L715" s="9" t="str">
        <f t="shared" si="329"/>
        <v/>
      </c>
      <c r="M715" s="8" t="str">
        <f t="shared" si="330"/>
        <v/>
      </c>
      <c r="O715" s="6">
        <v>20.649000000000001</v>
      </c>
      <c r="P715" s="6">
        <v>70.713999999999999</v>
      </c>
      <c r="Q715" s="6">
        <f>O715*1.067</f>
        <v>22.032482999999999</v>
      </c>
      <c r="R715" s="6">
        <f>P715*1.514</f>
        <v>107.060996</v>
      </c>
      <c r="AB715" s="5">
        <v>80</v>
      </c>
      <c r="AG715" s="1">
        <v>0.17</v>
      </c>
      <c r="AH715" s="20">
        <v>0.4</v>
      </c>
      <c r="AJ715" s="1">
        <v>37</v>
      </c>
      <c r="AK715" s="3">
        <f t="shared" si="323"/>
        <v>240</v>
      </c>
      <c r="AN715" s="3">
        <v>40</v>
      </c>
      <c r="AP715" s="13" t="e">
        <f t="shared" si="322"/>
        <v>#DIV/0!</v>
      </c>
      <c r="AR715" s="17" t="e">
        <f t="shared" si="336"/>
        <v>#VALUE!</v>
      </c>
      <c r="AS715" s="16" t="e">
        <f t="shared" si="337"/>
        <v>#DIV/0!</v>
      </c>
      <c r="AT715" s="16" t="e">
        <f t="shared" si="338"/>
        <v>#DIV/0!</v>
      </c>
      <c r="AU715" s="16" t="e">
        <f t="shared" si="335"/>
        <v>#DIV/0!</v>
      </c>
      <c r="AV715" s="57" t="str">
        <f t="shared" si="339"/>
        <v/>
      </c>
      <c r="AW715" s="57" t="str">
        <f t="shared" si="342"/>
        <v/>
      </c>
      <c r="AX715" s="57" t="str">
        <f t="shared" si="334"/>
        <v/>
      </c>
      <c r="AY715" s="57" t="str">
        <f t="shared" si="340"/>
        <v/>
      </c>
      <c r="AZ715" s="57" t="str">
        <f t="shared" si="332"/>
        <v/>
      </c>
      <c r="BF715" s="6"/>
    </row>
    <row r="716" spans="1:58" ht="15.75">
      <c r="B716" s="11">
        <v>45976</v>
      </c>
      <c r="C716" s="1">
        <v>472</v>
      </c>
      <c r="D716" s="3">
        <v>711</v>
      </c>
      <c r="E716" s="205" t="str">
        <f t="shared" si="341"/>
        <v/>
      </c>
      <c r="I716" s="15">
        <f t="shared" si="324"/>
        <v>0</v>
      </c>
      <c r="K716" s="10" t="str">
        <f t="shared" si="328"/>
        <v/>
      </c>
      <c r="L716" s="9" t="str">
        <f t="shared" si="329"/>
        <v/>
      </c>
      <c r="M716" s="8" t="str">
        <f t="shared" si="330"/>
        <v/>
      </c>
      <c r="AB716" s="5">
        <v>80</v>
      </c>
      <c r="AG716" s="1">
        <v>0.16</v>
      </c>
      <c r="AH716" s="20">
        <v>0.4</v>
      </c>
      <c r="AJ716" s="1">
        <v>35</v>
      </c>
      <c r="AK716" s="3">
        <f t="shared" si="323"/>
        <v>240</v>
      </c>
      <c r="AN716" s="3">
        <v>40</v>
      </c>
      <c r="AP716" s="13" t="e">
        <f t="shared" ref="AP716:AP779" si="343">AVERAGE(AO714:AO720)</f>
        <v>#DIV/0!</v>
      </c>
      <c r="AR716" s="17" t="e">
        <f t="shared" si="336"/>
        <v>#VALUE!</v>
      </c>
      <c r="AS716" s="16" t="e">
        <f t="shared" si="337"/>
        <v>#DIV/0!</v>
      </c>
      <c r="AT716" s="16" t="e">
        <f t="shared" si="338"/>
        <v>#DIV/0!</v>
      </c>
      <c r="AU716" s="16" t="e">
        <f t="shared" si="335"/>
        <v>#DIV/0!</v>
      </c>
      <c r="AV716" s="57" t="str">
        <f t="shared" si="339"/>
        <v/>
      </c>
      <c r="AW716" s="57" t="str">
        <f t="shared" si="342"/>
        <v/>
      </c>
      <c r="AX716" s="57" t="str">
        <f t="shared" si="334"/>
        <v/>
      </c>
      <c r="AY716" s="57" t="str">
        <f t="shared" si="340"/>
        <v/>
      </c>
      <c r="AZ716" s="57" t="str">
        <f t="shared" si="332"/>
        <v/>
      </c>
      <c r="BF716" s="6"/>
    </row>
    <row r="717" spans="1:58" ht="15.75">
      <c r="B717" s="11">
        <v>45977</v>
      </c>
      <c r="C717" s="1">
        <v>473</v>
      </c>
      <c r="D717" s="3">
        <v>712</v>
      </c>
      <c r="E717" s="205" t="str">
        <f t="shared" si="341"/>
        <v/>
      </c>
      <c r="I717" s="15">
        <f t="shared" si="324"/>
        <v>0</v>
      </c>
      <c r="K717" s="10" t="str">
        <f t="shared" si="328"/>
        <v/>
      </c>
      <c r="L717" s="9" t="str">
        <f t="shared" si="329"/>
        <v/>
      </c>
      <c r="M717" s="8" t="str">
        <f t="shared" si="330"/>
        <v/>
      </c>
      <c r="AB717" s="5">
        <v>80</v>
      </c>
      <c r="AG717" s="1">
        <v>0.2</v>
      </c>
      <c r="AH717" s="20">
        <v>0.40057870370370369</v>
      </c>
      <c r="AJ717" s="1">
        <v>35</v>
      </c>
      <c r="AK717" s="3">
        <f t="shared" si="323"/>
        <v>240</v>
      </c>
      <c r="AN717" s="3">
        <v>40</v>
      </c>
      <c r="AP717" s="13" t="e">
        <f t="shared" si="343"/>
        <v>#DIV/0!</v>
      </c>
      <c r="AR717" s="17" t="e">
        <f t="shared" si="336"/>
        <v>#VALUE!</v>
      </c>
      <c r="AS717" s="16" t="e">
        <f t="shared" si="337"/>
        <v>#DIV/0!</v>
      </c>
      <c r="AT717" s="16" t="e">
        <f t="shared" si="338"/>
        <v>#DIV/0!</v>
      </c>
      <c r="AU717" s="16" t="e">
        <f t="shared" si="335"/>
        <v>#DIV/0!</v>
      </c>
      <c r="AV717" s="57" t="str">
        <f t="shared" si="339"/>
        <v/>
      </c>
      <c r="AW717" s="57" t="str">
        <f t="shared" si="342"/>
        <v/>
      </c>
      <c r="AX717" s="57" t="str">
        <f t="shared" si="334"/>
        <v/>
      </c>
      <c r="AY717" s="57" t="str">
        <f t="shared" si="340"/>
        <v/>
      </c>
      <c r="AZ717" s="57" t="str">
        <f t="shared" si="332"/>
        <v/>
      </c>
      <c r="BF717" s="6"/>
    </row>
    <row r="718" spans="1:58" ht="15.75">
      <c r="B718" s="11">
        <v>45978</v>
      </c>
      <c r="C718" s="1">
        <v>474</v>
      </c>
      <c r="D718" s="3">
        <v>713</v>
      </c>
      <c r="E718" s="205" t="str">
        <f t="shared" si="341"/>
        <v/>
      </c>
      <c r="I718" s="15">
        <f t="shared" si="324"/>
        <v>0</v>
      </c>
      <c r="K718" s="10" t="str">
        <f t="shared" si="328"/>
        <v/>
      </c>
      <c r="L718" s="9" t="str">
        <f t="shared" si="329"/>
        <v/>
      </c>
      <c r="M718" s="8" t="str">
        <f t="shared" si="330"/>
        <v/>
      </c>
      <c r="AB718" s="5">
        <v>80</v>
      </c>
      <c r="AG718" s="1">
        <v>0.23</v>
      </c>
      <c r="AH718" s="20">
        <v>0.40069444444444446</v>
      </c>
      <c r="AJ718" s="1">
        <v>35</v>
      </c>
      <c r="AK718" s="3">
        <f t="shared" si="323"/>
        <v>240</v>
      </c>
      <c r="AN718" s="3">
        <v>40</v>
      </c>
      <c r="AP718" s="13">
        <f t="shared" si="343"/>
        <v>3140.0000000000091</v>
      </c>
      <c r="AR718" s="17" t="e">
        <f t="shared" si="336"/>
        <v>#VALUE!</v>
      </c>
      <c r="AS718" s="16" t="e">
        <f t="shared" si="337"/>
        <v>#DIV/0!</v>
      </c>
      <c r="AT718" s="16" t="e">
        <f t="shared" si="338"/>
        <v>#DIV/0!</v>
      </c>
      <c r="AU718" s="16" t="e">
        <f t="shared" si="335"/>
        <v>#DIV/0!</v>
      </c>
      <c r="AV718" s="57" t="str">
        <f t="shared" si="339"/>
        <v/>
      </c>
      <c r="AW718" s="57" t="str">
        <f t="shared" si="342"/>
        <v/>
      </c>
      <c r="AX718" s="57" t="str">
        <f t="shared" si="334"/>
        <v/>
      </c>
      <c r="AY718" s="57" t="str">
        <f t="shared" si="340"/>
        <v/>
      </c>
      <c r="AZ718" s="57" t="str">
        <f t="shared" si="332"/>
        <v/>
      </c>
      <c r="BF718" s="6" t="str">
        <f t="shared" ref="BF718:BF728" si="344">IF(OR(AJ718=0,AP718=0,NOT(ISNUMBER(AD718)),NOT(ISNUMBER(AF718)),NOT(ISNUMBER(AJ718)),NOT(ISNUMBER(AP718))),"",
IFERROR(IF((AD718-AF718)/(AJ718/60)/(AP718/1000)&lt;=0,"",(AD718-AF718)/(AJ718/60)/(AP718/1000)),""))</f>
        <v/>
      </c>
    </row>
    <row r="719" spans="1:58" ht="15.75">
      <c r="B719" s="11">
        <v>45979</v>
      </c>
      <c r="C719" s="1">
        <v>475</v>
      </c>
      <c r="D719" s="3">
        <v>714</v>
      </c>
      <c r="E719" s="205" t="str">
        <f t="shared" si="341"/>
        <v/>
      </c>
      <c r="I719" s="15">
        <f t="shared" si="324"/>
        <v>0</v>
      </c>
      <c r="K719" s="10" t="str">
        <f t="shared" si="328"/>
        <v/>
      </c>
      <c r="L719" s="9" t="str">
        <f t="shared" si="329"/>
        <v/>
      </c>
      <c r="M719" s="8" t="str">
        <f t="shared" si="330"/>
        <v/>
      </c>
      <c r="AB719" s="5">
        <v>80</v>
      </c>
      <c r="AG719" s="1">
        <v>0.23</v>
      </c>
      <c r="AH719" s="20">
        <v>0.40185185185185185</v>
      </c>
      <c r="AJ719" s="1">
        <v>39</v>
      </c>
      <c r="AK719" s="3">
        <f t="shared" si="323"/>
        <v>240</v>
      </c>
      <c r="AN719" s="3">
        <v>40</v>
      </c>
      <c r="AP719" s="13">
        <f t="shared" si="343"/>
        <v>3140.0000000000091</v>
      </c>
      <c r="AR719" s="17" t="e">
        <f t="shared" si="336"/>
        <v>#VALUE!</v>
      </c>
      <c r="AS719" s="16" t="e">
        <f t="shared" si="337"/>
        <v>#DIV/0!</v>
      </c>
      <c r="AT719" s="16" t="e">
        <f t="shared" si="338"/>
        <v>#DIV/0!</v>
      </c>
      <c r="AU719" s="16" t="e">
        <f t="shared" si="335"/>
        <v>#DIV/0!</v>
      </c>
      <c r="AV719" s="57" t="str">
        <f t="shared" si="339"/>
        <v/>
      </c>
      <c r="AW719" s="57" t="str">
        <f t="shared" si="342"/>
        <v/>
      </c>
      <c r="AX719" s="57" t="str">
        <f t="shared" si="334"/>
        <v/>
      </c>
      <c r="AY719" s="57" t="str">
        <f t="shared" si="340"/>
        <v/>
      </c>
      <c r="AZ719" s="57" t="str">
        <f t="shared" si="332"/>
        <v/>
      </c>
      <c r="BF719" s="6" t="str">
        <f t="shared" si="344"/>
        <v/>
      </c>
    </row>
    <row r="720" spans="1:58" ht="15.75">
      <c r="B720" s="11">
        <v>45980</v>
      </c>
      <c r="C720" s="1">
        <v>476</v>
      </c>
      <c r="D720" s="3">
        <v>715</v>
      </c>
      <c r="E720" s="205" t="str">
        <f t="shared" si="341"/>
        <v/>
      </c>
      <c r="I720" s="15">
        <f t="shared" si="324"/>
        <v>0</v>
      </c>
      <c r="K720" s="10" t="str">
        <f t="shared" si="328"/>
        <v/>
      </c>
      <c r="L720" s="9" t="str">
        <f t="shared" si="329"/>
        <v/>
      </c>
      <c r="M720" s="8" t="str">
        <f t="shared" si="330"/>
        <v/>
      </c>
      <c r="AB720" s="5">
        <v>80</v>
      </c>
      <c r="AG720" s="1">
        <v>0.22</v>
      </c>
      <c r="AH720" s="20">
        <v>0.39976851851851852</v>
      </c>
      <c r="AJ720" s="1">
        <v>29</v>
      </c>
      <c r="AK720" s="3">
        <f t="shared" si="323"/>
        <v>240</v>
      </c>
      <c r="AN720" s="3">
        <v>40</v>
      </c>
      <c r="AP720" s="13">
        <f t="shared" si="343"/>
        <v>3140.0000000000091</v>
      </c>
      <c r="AR720" s="17" t="e">
        <f t="shared" si="336"/>
        <v>#VALUE!</v>
      </c>
      <c r="AS720" s="16" t="e">
        <f t="shared" si="337"/>
        <v>#DIV/0!</v>
      </c>
      <c r="AT720" s="16" t="e">
        <f t="shared" si="338"/>
        <v>#DIV/0!</v>
      </c>
      <c r="AU720" s="16" t="e">
        <f t="shared" si="335"/>
        <v>#DIV/0!</v>
      </c>
      <c r="AV720" s="57" t="str">
        <f t="shared" si="339"/>
        <v/>
      </c>
      <c r="AW720" s="57" t="str">
        <f t="shared" si="342"/>
        <v/>
      </c>
      <c r="AX720" s="57" t="str">
        <f t="shared" si="334"/>
        <v/>
      </c>
      <c r="AY720" s="57" t="str">
        <f t="shared" si="340"/>
        <v/>
      </c>
      <c r="AZ720" s="57" t="str">
        <f t="shared" si="332"/>
        <v/>
      </c>
      <c r="BF720" s="6" t="str">
        <f t="shared" si="344"/>
        <v/>
      </c>
    </row>
    <row r="721" spans="1:58" ht="15.75">
      <c r="B721" s="11">
        <v>45981</v>
      </c>
      <c r="C721" s="1">
        <v>477</v>
      </c>
      <c r="D721" s="3">
        <v>716</v>
      </c>
      <c r="E721" s="205" t="str">
        <f t="shared" si="341"/>
        <v/>
      </c>
      <c r="I721" s="15">
        <f t="shared" si="324"/>
        <v>0</v>
      </c>
      <c r="K721" s="10" t="str">
        <f t="shared" si="328"/>
        <v/>
      </c>
      <c r="L721" s="9" t="str">
        <f t="shared" si="329"/>
        <v/>
      </c>
      <c r="M721" s="8" t="str">
        <f t="shared" si="330"/>
        <v/>
      </c>
      <c r="AB721" s="5">
        <v>80</v>
      </c>
      <c r="AG721" s="1">
        <v>0.19</v>
      </c>
      <c r="AH721" s="20">
        <v>0.39976851851851852</v>
      </c>
      <c r="AJ721" s="1">
        <v>27</v>
      </c>
      <c r="AK721" s="3">
        <f t="shared" ref="AK721:AK784" si="345">180+60</f>
        <v>240</v>
      </c>
      <c r="AN721" s="3">
        <v>40</v>
      </c>
      <c r="AP721" s="13">
        <f t="shared" si="343"/>
        <v>3140.0000000000091</v>
      </c>
      <c r="AR721" s="17" t="e">
        <f t="shared" si="336"/>
        <v>#VALUE!</v>
      </c>
      <c r="AS721" s="16" t="e">
        <f t="shared" si="337"/>
        <v>#DIV/0!</v>
      </c>
      <c r="AT721" s="16" t="e">
        <f t="shared" si="338"/>
        <v>#DIV/0!</v>
      </c>
      <c r="AU721" s="16" t="e">
        <f t="shared" si="335"/>
        <v>#DIV/0!</v>
      </c>
      <c r="AV721" s="57" t="str">
        <f t="shared" si="339"/>
        <v/>
      </c>
      <c r="AW721" s="57" t="str">
        <f t="shared" si="342"/>
        <v/>
      </c>
      <c r="AX721" s="57" t="str">
        <f t="shared" si="334"/>
        <v/>
      </c>
      <c r="AY721" s="57" t="str">
        <f t="shared" si="340"/>
        <v/>
      </c>
      <c r="AZ721" s="57" t="str">
        <f t="shared" si="332"/>
        <v/>
      </c>
      <c r="BF721" s="6" t="str">
        <f t="shared" si="344"/>
        <v/>
      </c>
    </row>
    <row r="722" spans="1:58" ht="15.75">
      <c r="B722" s="11">
        <v>45982</v>
      </c>
      <c r="C722" s="1">
        <v>478</v>
      </c>
      <c r="D722" s="3">
        <v>717</v>
      </c>
      <c r="E722" s="205" t="str">
        <f t="shared" si="341"/>
        <v/>
      </c>
      <c r="I722" s="15">
        <f t="shared" si="324"/>
        <v>0</v>
      </c>
      <c r="K722" s="10" t="str">
        <f t="shared" si="328"/>
        <v/>
      </c>
      <c r="L722" s="9" t="str">
        <f t="shared" si="329"/>
        <v/>
      </c>
      <c r="M722" s="8" t="str">
        <f t="shared" si="330"/>
        <v/>
      </c>
      <c r="O722" s="6">
        <v>17.440999999999999</v>
      </c>
      <c r="P722" s="6">
        <v>64.239999999999995</v>
      </c>
      <c r="Q722" s="6">
        <f>O722*1.067</f>
        <v>18.609546999999999</v>
      </c>
      <c r="R722" s="6">
        <f>P722*1.514</f>
        <v>97.259359999999987</v>
      </c>
      <c r="U722" s="6">
        <v>0</v>
      </c>
      <c r="V722" s="6">
        <v>0</v>
      </c>
      <c r="W722" s="23">
        <f>U722*1.067+V722*1.514</f>
        <v>0</v>
      </c>
      <c r="AB722" s="5">
        <v>80</v>
      </c>
      <c r="AG722" s="1">
        <v>0.25</v>
      </c>
      <c r="AH722" s="20">
        <v>0.40439814814814817</v>
      </c>
      <c r="AJ722" s="1">
        <v>33</v>
      </c>
      <c r="AK722" s="3">
        <f t="shared" si="345"/>
        <v>240</v>
      </c>
      <c r="AN722" s="3">
        <v>40</v>
      </c>
      <c r="AO722" s="2">
        <v>3140.0000000000091</v>
      </c>
      <c r="AP722" s="13">
        <f t="shared" si="343"/>
        <v>3080.0000000000182</v>
      </c>
      <c r="AR722" s="17" t="e">
        <f t="shared" si="336"/>
        <v>#VALUE!</v>
      </c>
      <c r="AS722" s="16" t="e">
        <f t="shared" si="337"/>
        <v>#DIV/0!</v>
      </c>
      <c r="AT722" s="16" t="e">
        <f t="shared" si="338"/>
        <v>#DIV/0!</v>
      </c>
      <c r="AU722" s="16" t="e">
        <f t="shared" si="335"/>
        <v>#DIV/0!</v>
      </c>
      <c r="AV722" s="57" t="str">
        <f t="shared" si="339"/>
        <v/>
      </c>
      <c r="AW722" s="57" t="str">
        <f t="shared" si="342"/>
        <v/>
      </c>
      <c r="AX722" s="57" t="str">
        <f t="shared" si="334"/>
        <v/>
      </c>
      <c r="AY722" s="57" t="str">
        <f t="shared" si="340"/>
        <v/>
      </c>
      <c r="AZ722" s="57" t="str">
        <f t="shared" si="332"/>
        <v/>
      </c>
      <c r="BF722" s="6" t="str">
        <f t="shared" si="344"/>
        <v/>
      </c>
    </row>
    <row r="723" spans="1:58" ht="15.75">
      <c r="B723" s="11">
        <v>45983</v>
      </c>
      <c r="C723" s="1">
        <v>479</v>
      </c>
      <c r="D723" s="3">
        <v>718</v>
      </c>
      <c r="E723" s="205" t="str">
        <f t="shared" si="341"/>
        <v/>
      </c>
      <c r="I723" s="15">
        <f t="shared" si="324"/>
        <v>0</v>
      </c>
      <c r="K723" s="10" t="str">
        <f t="shared" si="328"/>
        <v/>
      </c>
      <c r="L723" s="9" t="str">
        <f t="shared" si="329"/>
        <v/>
      </c>
      <c r="M723" s="8" t="str">
        <f t="shared" si="330"/>
        <v/>
      </c>
      <c r="AB723" s="5">
        <v>80</v>
      </c>
      <c r="AG723" s="1">
        <v>0.2</v>
      </c>
      <c r="AH723" s="20">
        <v>0.39930555555555558</v>
      </c>
      <c r="AJ723" s="1">
        <v>31</v>
      </c>
      <c r="AK723" s="3">
        <f t="shared" si="345"/>
        <v>240</v>
      </c>
      <c r="AN723" s="3">
        <v>40</v>
      </c>
      <c r="AP723" s="13">
        <f t="shared" si="343"/>
        <v>3080.0000000000182</v>
      </c>
      <c r="AR723" s="17" t="e">
        <f t="shared" si="336"/>
        <v>#VALUE!</v>
      </c>
      <c r="AS723" s="16" t="e">
        <f t="shared" si="337"/>
        <v>#DIV/0!</v>
      </c>
      <c r="AT723" s="16" t="e">
        <f t="shared" si="338"/>
        <v>#DIV/0!</v>
      </c>
      <c r="AU723" s="16" t="e">
        <f t="shared" si="335"/>
        <v>#DIV/0!</v>
      </c>
      <c r="AV723" s="57" t="str">
        <f t="shared" si="339"/>
        <v/>
      </c>
      <c r="AW723" s="57" t="str">
        <f t="shared" si="342"/>
        <v/>
      </c>
      <c r="AX723" s="57" t="str">
        <f t="shared" si="334"/>
        <v/>
      </c>
      <c r="AY723" s="57" t="str">
        <f t="shared" si="340"/>
        <v/>
      </c>
      <c r="AZ723" s="57" t="str">
        <f t="shared" si="332"/>
        <v/>
      </c>
      <c r="BF723" s="6" t="str">
        <f t="shared" si="344"/>
        <v/>
      </c>
    </row>
    <row r="724" spans="1:58" ht="15.75">
      <c r="A724" s="25" t="s">
        <v>13</v>
      </c>
      <c r="B724" s="11">
        <v>45984</v>
      </c>
      <c r="C724" s="1">
        <v>480</v>
      </c>
      <c r="D724" s="3">
        <v>719</v>
      </c>
      <c r="E724" s="205" t="str">
        <f t="shared" si="341"/>
        <v/>
      </c>
      <c r="I724" s="15">
        <f t="shared" ref="I724:I787" si="346">AD724</f>
        <v>0</v>
      </c>
      <c r="K724" s="10" t="str">
        <f t="shared" si="328"/>
        <v/>
      </c>
      <c r="L724" s="9" t="str">
        <f t="shared" si="329"/>
        <v/>
      </c>
      <c r="M724" s="8" t="str">
        <f t="shared" si="330"/>
        <v/>
      </c>
      <c r="AB724" s="5">
        <v>80</v>
      </c>
      <c r="AG724" s="1">
        <v>0.19</v>
      </c>
      <c r="AH724" s="20">
        <v>0.39930555555555558</v>
      </c>
      <c r="AJ724" s="1">
        <v>33</v>
      </c>
      <c r="AK724" s="3">
        <f t="shared" si="345"/>
        <v>240</v>
      </c>
      <c r="AN724" s="3">
        <v>40</v>
      </c>
      <c r="AP724" s="13">
        <f t="shared" si="343"/>
        <v>3080.0000000000182</v>
      </c>
      <c r="AR724" s="17" t="e">
        <f t="shared" si="336"/>
        <v>#VALUE!</v>
      </c>
      <c r="AS724" s="16" t="e">
        <f t="shared" si="337"/>
        <v>#DIV/0!</v>
      </c>
      <c r="AT724" s="16" t="e">
        <f t="shared" si="338"/>
        <v>#DIV/0!</v>
      </c>
      <c r="AU724" s="16" t="e">
        <f t="shared" ref="AU724:AU755" si="347">(G724-AM724)/G724</f>
        <v>#DIV/0!</v>
      </c>
      <c r="AV724" s="57" t="str">
        <f t="shared" si="339"/>
        <v/>
      </c>
      <c r="AW724" s="57" t="str">
        <f t="shared" si="342"/>
        <v/>
      </c>
      <c r="AX724" s="57" t="str">
        <f t="shared" si="334"/>
        <v/>
      </c>
      <c r="AY724" s="57" t="str">
        <f t="shared" si="340"/>
        <v/>
      </c>
      <c r="AZ724" s="57" t="str">
        <f t="shared" si="332"/>
        <v/>
      </c>
      <c r="BF724" s="6" t="str">
        <f t="shared" si="344"/>
        <v/>
      </c>
    </row>
    <row r="725" spans="1:58" ht="15.75">
      <c r="B725" s="11">
        <v>45985</v>
      </c>
      <c r="C725" s="1">
        <v>481</v>
      </c>
      <c r="D725" s="3">
        <v>720</v>
      </c>
      <c r="E725" s="205" t="str">
        <f t="shared" si="341"/>
        <v/>
      </c>
      <c r="I725" s="15">
        <f t="shared" si="346"/>
        <v>0</v>
      </c>
      <c r="K725" s="10" t="str">
        <f t="shared" si="328"/>
        <v/>
      </c>
      <c r="L725" s="9" t="str">
        <f t="shared" si="329"/>
        <v/>
      </c>
      <c r="M725" s="8" t="str">
        <f t="shared" si="330"/>
        <v/>
      </c>
      <c r="AB725" s="5">
        <v>80</v>
      </c>
      <c r="AG725" s="1">
        <v>0.74</v>
      </c>
      <c r="AH725" s="20">
        <v>0.40671296296296294</v>
      </c>
      <c r="AJ725" s="1">
        <v>55</v>
      </c>
      <c r="AK725" s="3">
        <f t="shared" si="345"/>
        <v>240</v>
      </c>
      <c r="AN725" s="3">
        <v>40</v>
      </c>
      <c r="AP725" s="13">
        <f t="shared" si="343"/>
        <v>3020.0000000000273</v>
      </c>
      <c r="AR725" s="17" t="e">
        <f t="shared" si="336"/>
        <v>#VALUE!</v>
      </c>
      <c r="AS725" s="16" t="e">
        <f t="shared" ref="AS725:AS756" si="348">(I725-AF725)/I725</f>
        <v>#DIV/0!</v>
      </c>
      <c r="AT725" s="16" t="e">
        <f t="shared" ref="AT725:AT756" si="349">AG725/(AD725-AF725)</f>
        <v>#DIV/0!</v>
      </c>
      <c r="AU725" s="16" t="e">
        <f t="shared" si="347"/>
        <v>#DIV/0!</v>
      </c>
      <c r="AV725" s="57" t="str">
        <f t="shared" si="339"/>
        <v/>
      </c>
      <c r="AW725" s="57" t="str">
        <f t="shared" si="342"/>
        <v/>
      </c>
      <c r="AX725" s="57" t="str">
        <f t="shared" si="334"/>
        <v/>
      </c>
      <c r="AY725" s="57" t="str">
        <f t="shared" si="340"/>
        <v/>
      </c>
      <c r="AZ725" s="57" t="str">
        <f t="shared" si="332"/>
        <v/>
      </c>
      <c r="BF725" s="6" t="str">
        <f t="shared" si="344"/>
        <v/>
      </c>
    </row>
    <row r="726" spans="1:58" ht="15.75">
      <c r="B726" s="11">
        <v>45986</v>
      </c>
      <c r="C726" s="1">
        <v>482</v>
      </c>
      <c r="D726" s="3">
        <v>721</v>
      </c>
      <c r="E726" s="205">
        <f t="shared" si="341"/>
        <v>289.548856</v>
      </c>
      <c r="G726" s="15">
        <f>(N726*18-H726*18)/9</f>
        <v>13.21</v>
      </c>
      <c r="H726" s="15">
        <f>5*0.379</f>
        <v>1.895</v>
      </c>
      <c r="I726" s="15">
        <f t="shared" si="346"/>
        <v>20.7</v>
      </c>
      <c r="K726" s="10">
        <f t="shared" si="328"/>
        <v>21.918914155942467</v>
      </c>
      <c r="L726" s="9">
        <f t="shared" si="329"/>
        <v>6.9939337198067637</v>
      </c>
      <c r="M726" s="8">
        <f t="shared" si="330"/>
        <v>3.1339894019682055</v>
      </c>
      <c r="N726" s="7">
        <f>5*1.7</f>
        <v>8.5</v>
      </c>
      <c r="O726" s="6">
        <v>23.256</v>
      </c>
      <c r="P726" s="6">
        <v>79.233999999999995</v>
      </c>
      <c r="Q726" s="6">
        <f>O726*1.067</f>
        <v>24.814152</v>
      </c>
      <c r="R726" s="6">
        <f>P726*1.514</f>
        <v>119.96027599999999</v>
      </c>
      <c r="S726" s="6">
        <f>Q726+R726</f>
        <v>144.774428</v>
      </c>
      <c r="T726" s="6">
        <f>77.5</f>
        <v>77.5</v>
      </c>
      <c r="U726" s="6">
        <v>0</v>
      </c>
      <c r="V726" s="6">
        <v>0</v>
      </c>
      <c r="W726" s="23">
        <f>U726*1.067+V726*1.514</f>
        <v>0</v>
      </c>
      <c r="X726" s="6">
        <v>0.21</v>
      </c>
      <c r="Y726" s="6">
        <v>0.23</v>
      </c>
      <c r="Z726" s="6">
        <v>-152</v>
      </c>
      <c r="AA726" s="6">
        <v>-215</v>
      </c>
      <c r="AB726" s="5">
        <v>80</v>
      </c>
      <c r="AC726" s="7">
        <f>T726</f>
        <v>77.5</v>
      </c>
      <c r="AD726" s="1">
        <f>5*4.14</f>
        <v>20.7</v>
      </c>
      <c r="AE726" s="1">
        <f>5*3.15</f>
        <v>15.75</v>
      </c>
      <c r="AF726" s="1">
        <v>0</v>
      </c>
      <c r="AG726" s="1">
        <v>0.59</v>
      </c>
      <c r="AH726" s="20">
        <v>0.40532407407407406</v>
      </c>
      <c r="AJ726" s="1">
        <v>35</v>
      </c>
      <c r="AK726" s="3">
        <f t="shared" si="345"/>
        <v>240</v>
      </c>
      <c r="AL726" s="4">
        <f>AE726</f>
        <v>15.75</v>
      </c>
      <c r="AM726" s="1">
        <f>5*1.07</f>
        <v>5.3500000000000005</v>
      </c>
      <c r="AN726" s="3">
        <v>40</v>
      </c>
      <c r="AO726" s="2">
        <v>3020.0000000000273</v>
      </c>
      <c r="AP726" s="13">
        <f t="shared" si="343"/>
        <v>3020.0000000000273</v>
      </c>
      <c r="AR726" s="17">
        <f t="shared" si="336"/>
        <v>1</v>
      </c>
      <c r="AS726" s="16">
        <f t="shared" si="348"/>
        <v>1</v>
      </c>
      <c r="AT726" s="16">
        <f t="shared" si="349"/>
        <v>2.8502415458937197E-2</v>
      </c>
      <c r="AU726" s="16">
        <f t="shared" si="347"/>
        <v>0.59500378501135498</v>
      </c>
      <c r="AV726" s="57">
        <f t="shared" si="339"/>
        <v>289.548856</v>
      </c>
      <c r="AW726" s="57">
        <f t="shared" si="342"/>
        <v>20.7</v>
      </c>
      <c r="AX726" s="57">
        <f t="shared" si="334"/>
        <v>7.86</v>
      </c>
      <c r="AY726" s="57">
        <f t="shared" si="340"/>
        <v>61.75</v>
      </c>
      <c r="AZ726" s="57">
        <f t="shared" si="332"/>
        <v>10.399999999999999</v>
      </c>
      <c r="BF726" s="6">
        <f t="shared" si="344"/>
        <v>11.750236518448332</v>
      </c>
    </row>
    <row r="727" spans="1:58" ht="15.75">
      <c r="B727" s="11">
        <v>45987</v>
      </c>
      <c r="C727" s="1">
        <v>483</v>
      </c>
      <c r="D727" s="3">
        <v>722</v>
      </c>
      <c r="E727" s="205" t="str">
        <f t="shared" si="341"/>
        <v/>
      </c>
      <c r="I727" s="15">
        <f t="shared" si="346"/>
        <v>0</v>
      </c>
      <c r="K727" s="10" t="str">
        <f t="shared" si="328"/>
        <v/>
      </c>
      <c r="L727" s="9" t="str">
        <f t="shared" si="329"/>
        <v/>
      </c>
      <c r="M727" s="8" t="str">
        <f t="shared" si="330"/>
        <v/>
      </c>
      <c r="AB727" s="5">
        <v>80</v>
      </c>
      <c r="AG727" s="1">
        <v>0.48</v>
      </c>
      <c r="AH727" s="20">
        <v>0.40219907407407407</v>
      </c>
      <c r="AJ727" s="1">
        <v>31</v>
      </c>
      <c r="AK727" s="3">
        <f t="shared" si="345"/>
        <v>240</v>
      </c>
      <c r="AN727" s="3">
        <v>40</v>
      </c>
      <c r="AP727" s="13">
        <f t="shared" si="343"/>
        <v>3020.0000000000273</v>
      </c>
      <c r="AR727" s="17"/>
      <c r="AS727" s="16" t="e">
        <f t="shared" si="348"/>
        <v>#DIV/0!</v>
      </c>
      <c r="AT727" s="16" t="e">
        <f t="shared" si="349"/>
        <v>#DIV/0!</v>
      </c>
      <c r="AU727" s="16" t="e">
        <f t="shared" si="347"/>
        <v>#DIV/0!</v>
      </c>
      <c r="AV727" s="57" t="str">
        <f t="shared" si="339"/>
        <v/>
      </c>
      <c r="AW727" s="57" t="str">
        <f t="shared" si="342"/>
        <v/>
      </c>
      <c r="AX727" s="57" t="str">
        <f t="shared" si="334"/>
        <v/>
      </c>
      <c r="AY727" s="57" t="str">
        <f t="shared" si="340"/>
        <v/>
      </c>
      <c r="AZ727" s="57" t="str">
        <f t="shared" si="332"/>
        <v/>
      </c>
      <c r="BF727" s="6" t="str">
        <f t="shared" si="344"/>
        <v/>
      </c>
    </row>
    <row r="728" spans="1:58" ht="15.75">
      <c r="B728" s="11">
        <v>45988</v>
      </c>
      <c r="C728" s="1">
        <v>484</v>
      </c>
      <c r="D728" s="3">
        <v>723</v>
      </c>
      <c r="E728" s="205" t="str">
        <f t="shared" si="341"/>
        <v/>
      </c>
      <c r="I728" s="15">
        <f t="shared" si="346"/>
        <v>0</v>
      </c>
      <c r="K728" s="10" t="str">
        <f t="shared" si="328"/>
        <v/>
      </c>
      <c r="L728" s="9" t="str">
        <f t="shared" si="329"/>
        <v/>
      </c>
      <c r="M728" s="8" t="str">
        <f t="shared" si="330"/>
        <v/>
      </c>
      <c r="AB728" s="5">
        <v>80</v>
      </c>
      <c r="AG728" s="1">
        <v>0.41</v>
      </c>
      <c r="AH728" s="20">
        <v>0.40104166666666669</v>
      </c>
      <c r="AJ728" s="1">
        <v>31</v>
      </c>
      <c r="AK728" s="3">
        <f t="shared" si="345"/>
        <v>240</v>
      </c>
      <c r="AN728" s="3">
        <v>40</v>
      </c>
      <c r="AP728" s="13">
        <f t="shared" si="343"/>
        <v>3020.0000000000273</v>
      </c>
      <c r="AR728" s="17"/>
      <c r="AS728" s="16" t="e">
        <f t="shared" si="348"/>
        <v>#DIV/0!</v>
      </c>
      <c r="AT728" s="16" t="e">
        <f t="shared" si="349"/>
        <v>#DIV/0!</v>
      </c>
      <c r="AU728" s="16" t="e">
        <f t="shared" si="347"/>
        <v>#DIV/0!</v>
      </c>
      <c r="AV728" s="57" t="str">
        <f t="shared" si="339"/>
        <v/>
      </c>
      <c r="AW728" s="57" t="str">
        <f t="shared" si="342"/>
        <v/>
      </c>
      <c r="AX728" s="57" t="str">
        <f t="shared" si="334"/>
        <v/>
      </c>
      <c r="AY728" s="57" t="str">
        <f t="shared" si="340"/>
        <v/>
      </c>
      <c r="AZ728" s="57" t="str">
        <f t="shared" si="332"/>
        <v/>
      </c>
      <c r="BF728" s="6" t="str">
        <f t="shared" si="344"/>
        <v/>
      </c>
    </row>
    <row r="729" spans="1:58" ht="15.75">
      <c r="B729" s="11">
        <v>45989</v>
      </c>
      <c r="C729" s="1">
        <v>485</v>
      </c>
      <c r="D729" s="3">
        <v>724</v>
      </c>
      <c r="E729" s="205" t="str">
        <f t="shared" si="341"/>
        <v/>
      </c>
      <c r="I729" s="15">
        <f t="shared" si="346"/>
        <v>0</v>
      </c>
      <c r="K729" s="10" t="str">
        <f t="shared" si="328"/>
        <v/>
      </c>
      <c r="L729" s="9" t="str">
        <f t="shared" si="329"/>
        <v/>
      </c>
      <c r="M729" s="8" t="str">
        <f t="shared" si="330"/>
        <v/>
      </c>
      <c r="AB729" s="5">
        <v>80</v>
      </c>
      <c r="AG729" s="1">
        <v>0.14000000000000001</v>
      </c>
      <c r="AH729" s="20">
        <v>0.40104166666666669</v>
      </c>
      <c r="AJ729" s="1">
        <v>29</v>
      </c>
      <c r="AK729" s="3">
        <f t="shared" si="345"/>
        <v>240</v>
      </c>
      <c r="AN729" s="3">
        <v>40</v>
      </c>
      <c r="AP729" s="13" t="e">
        <f t="shared" si="343"/>
        <v>#DIV/0!</v>
      </c>
      <c r="AR729" s="17"/>
      <c r="AS729" s="16" t="e">
        <f t="shared" si="348"/>
        <v>#DIV/0!</v>
      </c>
      <c r="AT729" s="16" t="e">
        <f t="shared" si="349"/>
        <v>#DIV/0!</v>
      </c>
      <c r="AU729" s="16" t="e">
        <f t="shared" si="347"/>
        <v>#DIV/0!</v>
      </c>
      <c r="AV729" s="57" t="str">
        <f t="shared" si="339"/>
        <v/>
      </c>
      <c r="AW729" s="57" t="str">
        <f t="shared" si="342"/>
        <v/>
      </c>
      <c r="AX729" s="57" t="str">
        <f t="shared" si="334"/>
        <v/>
      </c>
      <c r="AY729" s="57" t="str">
        <f t="shared" si="340"/>
        <v/>
      </c>
      <c r="AZ729" s="57" t="str">
        <f t="shared" si="332"/>
        <v/>
      </c>
      <c r="BF729" s="6"/>
    </row>
    <row r="730" spans="1:58" ht="15.75">
      <c r="B730" s="11">
        <v>45990</v>
      </c>
      <c r="C730" s="1">
        <v>486</v>
      </c>
      <c r="D730" s="3">
        <v>725</v>
      </c>
      <c r="E730" s="205" t="str">
        <f t="shared" si="341"/>
        <v/>
      </c>
      <c r="I730" s="15">
        <f t="shared" si="346"/>
        <v>0</v>
      </c>
      <c r="K730" s="10" t="str">
        <f t="shared" si="328"/>
        <v/>
      </c>
      <c r="L730" s="9" t="str">
        <f t="shared" si="329"/>
        <v/>
      </c>
      <c r="M730" s="8" t="str">
        <f t="shared" si="330"/>
        <v/>
      </c>
      <c r="AB730" s="5">
        <v>80</v>
      </c>
      <c r="AG730" s="1">
        <v>0.11</v>
      </c>
      <c r="AH730" s="20">
        <v>0.4</v>
      </c>
      <c r="AJ730" s="1">
        <v>27</v>
      </c>
      <c r="AK730" s="3">
        <f t="shared" si="345"/>
        <v>240</v>
      </c>
      <c r="AN730" s="3">
        <v>40</v>
      </c>
      <c r="AP730" s="13" t="e">
        <f t="shared" si="343"/>
        <v>#DIV/0!</v>
      </c>
      <c r="AR730" s="17"/>
      <c r="AS730" s="16" t="e">
        <f t="shared" si="348"/>
        <v>#DIV/0!</v>
      </c>
      <c r="AT730" s="16" t="e">
        <f t="shared" si="349"/>
        <v>#DIV/0!</v>
      </c>
      <c r="AU730" s="16" t="e">
        <f t="shared" si="347"/>
        <v>#DIV/0!</v>
      </c>
      <c r="AV730" s="57" t="str">
        <f t="shared" si="339"/>
        <v/>
      </c>
      <c r="AW730" s="57" t="str">
        <f t="shared" si="342"/>
        <v/>
      </c>
      <c r="AX730" s="57" t="str">
        <f t="shared" si="334"/>
        <v/>
      </c>
      <c r="AY730" s="57" t="str">
        <f t="shared" si="340"/>
        <v/>
      </c>
      <c r="AZ730" s="57" t="str">
        <f t="shared" si="332"/>
        <v/>
      </c>
      <c r="BF730" s="6"/>
    </row>
    <row r="731" spans="1:58" ht="15.75">
      <c r="B731" s="11">
        <v>45991</v>
      </c>
      <c r="C731" s="1">
        <v>487</v>
      </c>
      <c r="D731" s="3">
        <v>726</v>
      </c>
      <c r="E731" s="205" t="str">
        <f t="shared" si="341"/>
        <v/>
      </c>
      <c r="I731" s="15">
        <f t="shared" si="346"/>
        <v>0</v>
      </c>
      <c r="K731" s="10" t="str">
        <f t="shared" ref="K731:K794" si="350">IF(OR(E731="",G731="",E731=0,G731=0),"",E731/G731)</f>
        <v/>
      </c>
      <c r="L731" s="9" t="str">
        <f t="shared" ref="L731:L794" si="351">IF(OR(E731="",I731="",E731=0,I731=0),"",E731/(I731*2))</f>
        <v/>
      </c>
      <c r="M731" s="8" t="str">
        <f t="shared" ref="M731:M794" si="352">IF(OR(I731="",G731="",I731=0,G731=0),"",I731*2/G731)</f>
        <v/>
      </c>
      <c r="AB731" s="5">
        <v>80</v>
      </c>
      <c r="AG731" s="1">
        <v>0.08</v>
      </c>
      <c r="AH731" s="20">
        <v>0.39930555555555558</v>
      </c>
      <c r="AJ731" s="1">
        <v>29</v>
      </c>
      <c r="AK731" s="3">
        <f t="shared" si="345"/>
        <v>240</v>
      </c>
      <c r="AN731" s="3">
        <v>40</v>
      </c>
      <c r="AP731" s="13" t="e">
        <f t="shared" si="343"/>
        <v>#DIV/0!</v>
      </c>
      <c r="AR731" s="17"/>
      <c r="AS731" s="16" t="e">
        <f t="shared" si="348"/>
        <v>#DIV/0!</v>
      </c>
      <c r="AT731" s="16" t="e">
        <f t="shared" si="349"/>
        <v>#DIV/0!</v>
      </c>
      <c r="AU731" s="16" t="e">
        <f t="shared" si="347"/>
        <v>#DIV/0!</v>
      </c>
      <c r="AV731" s="57" t="str">
        <f t="shared" si="339"/>
        <v/>
      </c>
      <c r="AW731" s="57" t="str">
        <f t="shared" si="342"/>
        <v/>
      </c>
      <c r="AX731" s="57" t="str">
        <f t="shared" si="334"/>
        <v/>
      </c>
      <c r="AY731" s="57" t="str">
        <f t="shared" si="340"/>
        <v/>
      </c>
      <c r="AZ731" s="57" t="str">
        <f t="shared" si="332"/>
        <v/>
      </c>
      <c r="BF731" s="6"/>
    </row>
    <row r="732" spans="1:58" ht="15.75">
      <c r="B732" s="11">
        <v>45992</v>
      </c>
      <c r="C732" s="1">
        <v>488</v>
      </c>
      <c r="D732" s="3">
        <v>727</v>
      </c>
      <c r="E732" s="205" t="str">
        <f t="shared" si="341"/>
        <v/>
      </c>
      <c r="I732" s="15">
        <f t="shared" si="346"/>
        <v>0</v>
      </c>
      <c r="K732" s="10" t="str">
        <f t="shared" si="350"/>
        <v/>
      </c>
      <c r="L732" s="9" t="str">
        <f t="shared" si="351"/>
        <v/>
      </c>
      <c r="M732" s="8" t="str">
        <f t="shared" si="352"/>
        <v/>
      </c>
      <c r="AB732" s="5">
        <v>80</v>
      </c>
      <c r="AG732" s="1">
        <v>0.08</v>
      </c>
      <c r="AH732" s="20">
        <v>0.39930555555555558</v>
      </c>
      <c r="AJ732" s="1">
        <v>29</v>
      </c>
      <c r="AK732" s="3">
        <f t="shared" si="345"/>
        <v>240</v>
      </c>
      <c r="AN732" s="3">
        <v>40</v>
      </c>
      <c r="AP732" s="13">
        <f t="shared" si="343"/>
        <v>2949.9999999999545</v>
      </c>
      <c r="AR732" s="17"/>
      <c r="AS732" s="16" t="e">
        <f t="shared" si="348"/>
        <v>#DIV/0!</v>
      </c>
      <c r="AT732" s="16" t="e">
        <f t="shared" si="349"/>
        <v>#DIV/0!</v>
      </c>
      <c r="AU732" s="16" t="e">
        <f t="shared" si="347"/>
        <v>#DIV/0!</v>
      </c>
      <c r="AV732" s="57" t="str">
        <f t="shared" si="339"/>
        <v/>
      </c>
      <c r="AW732" s="57" t="str">
        <f t="shared" si="342"/>
        <v/>
      </c>
      <c r="AX732" s="57" t="str">
        <f t="shared" si="334"/>
        <v/>
      </c>
      <c r="AY732" s="57" t="str">
        <f t="shared" si="340"/>
        <v/>
      </c>
      <c r="AZ732" s="57" t="str">
        <f t="shared" si="332"/>
        <v/>
      </c>
      <c r="BF732" s="6"/>
    </row>
    <row r="733" spans="1:58" ht="15.75">
      <c r="B733" s="11">
        <v>45993</v>
      </c>
      <c r="C733" s="1">
        <v>489</v>
      </c>
      <c r="D733" s="3">
        <v>728</v>
      </c>
      <c r="E733" s="205" t="str">
        <f t="shared" si="341"/>
        <v/>
      </c>
      <c r="I733" s="15">
        <f t="shared" si="346"/>
        <v>0</v>
      </c>
      <c r="K733" s="10" t="str">
        <f t="shared" si="350"/>
        <v/>
      </c>
      <c r="L733" s="9" t="str">
        <f t="shared" si="351"/>
        <v/>
      </c>
      <c r="M733" s="8" t="str">
        <f t="shared" si="352"/>
        <v/>
      </c>
      <c r="AB733" s="5">
        <v>80</v>
      </c>
      <c r="AG733" s="1">
        <v>0.16</v>
      </c>
      <c r="AH733" s="20">
        <v>0.40474537037037039</v>
      </c>
      <c r="AJ733" s="1">
        <v>31</v>
      </c>
      <c r="AK733" s="3">
        <f t="shared" si="345"/>
        <v>240</v>
      </c>
      <c r="AN733" s="3">
        <v>40</v>
      </c>
      <c r="AP733" s="13">
        <f t="shared" si="343"/>
        <v>2949.9999999999545</v>
      </c>
      <c r="AR733" s="17"/>
      <c r="AS733" s="16" t="e">
        <f t="shared" si="348"/>
        <v>#DIV/0!</v>
      </c>
      <c r="AT733" s="16" t="e">
        <f t="shared" si="349"/>
        <v>#DIV/0!</v>
      </c>
      <c r="AU733" s="16" t="e">
        <f t="shared" si="347"/>
        <v>#DIV/0!</v>
      </c>
      <c r="AV733" s="57" t="str">
        <f t="shared" si="339"/>
        <v/>
      </c>
      <c r="AW733" s="57" t="str">
        <f t="shared" si="342"/>
        <v/>
      </c>
      <c r="AX733" s="57" t="str">
        <f t="shared" si="334"/>
        <v/>
      </c>
      <c r="AY733" s="57" t="str">
        <f t="shared" si="340"/>
        <v/>
      </c>
      <c r="AZ733" s="57" t="str">
        <f t="shared" si="332"/>
        <v/>
      </c>
      <c r="BF733" s="6" t="str">
        <f t="shared" ref="BF733:BF755" si="353">IF(OR(AJ733=0,AP733=0,NOT(ISNUMBER(AD733)),NOT(ISNUMBER(AF733)),NOT(ISNUMBER(AJ733)),NOT(ISNUMBER(AP733))),"",
IFERROR(IF((AD733-AF733)/(AJ733/60)/(AP733/1000)&lt;=0,"",(AD733-AF733)/(AJ733/60)/(AP733/1000)),""))</f>
        <v/>
      </c>
    </row>
    <row r="734" spans="1:58" ht="15.75">
      <c r="A734" s="25" t="s">
        <v>12</v>
      </c>
      <c r="B734" s="11">
        <v>45994</v>
      </c>
      <c r="C734" s="1">
        <v>490</v>
      </c>
      <c r="D734" s="3">
        <v>729</v>
      </c>
      <c r="E734" s="205" t="str">
        <f t="shared" si="341"/>
        <v/>
      </c>
      <c r="I734" s="15">
        <f t="shared" si="346"/>
        <v>0</v>
      </c>
      <c r="K734" s="10" t="str">
        <f t="shared" si="350"/>
        <v/>
      </c>
      <c r="L734" s="9" t="str">
        <f t="shared" si="351"/>
        <v/>
      </c>
      <c r="M734" s="8" t="str">
        <f t="shared" si="352"/>
        <v/>
      </c>
      <c r="AB734" s="5">
        <v>80</v>
      </c>
      <c r="AG734" s="1">
        <v>0.16</v>
      </c>
      <c r="AH734" s="20">
        <v>0.45439814814814816</v>
      </c>
      <c r="AJ734" s="1">
        <v>21</v>
      </c>
      <c r="AK734" s="3">
        <f t="shared" si="345"/>
        <v>240</v>
      </c>
      <c r="AN734" s="3">
        <v>40</v>
      </c>
      <c r="AP734" s="13">
        <f t="shared" si="343"/>
        <v>2949.9999999999545</v>
      </c>
      <c r="AR734" s="17"/>
      <c r="AS734" s="16" t="e">
        <f t="shared" si="348"/>
        <v>#DIV/0!</v>
      </c>
      <c r="AT734" s="16" t="e">
        <f t="shared" si="349"/>
        <v>#DIV/0!</v>
      </c>
      <c r="AU734" s="16" t="e">
        <f t="shared" si="347"/>
        <v>#DIV/0!</v>
      </c>
      <c r="AV734" s="57" t="str">
        <f t="shared" si="339"/>
        <v/>
      </c>
      <c r="AW734" s="57" t="str">
        <f t="shared" si="342"/>
        <v/>
      </c>
      <c r="AX734" s="57" t="str">
        <f t="shared" si="334"/>
        <v/>
      </c>
      <c r="AY734" s="57" t="str">
        <f t="shared" si="340"/>
        <v/>
      </c>
      <c r="AZ734" s="57" t="str">
        <f t="shared" si="332"/>
        <v/>
      </c>
      <c r="BF734" s="6" t="str">
        <f t="shared" si="353"/>
        <v/>
      </c>
    </row>
    <row r="735" spans="1:58" ht="15.75">
      <c r="B735" s="11">
        <v>45995</v>
      </c>
      <c r="C735" s="1">
        <v>491</v>
      </c>
      <c r="D735" s="3">
        <v>730</v>
      </c>
      <c r="E735" s="205" t="str">
        <f t="shared" si="341"/>
        <v/>
      </c>
      <c r="I735" s="15">
        <f t="shared" si="346"/>
        <v>0</v>
      </c>
      <c r="K735" s="10" t="str">
        <f t="shared" si="350"/>
        <v/>
      </c>
      <c r="L735" s="9" t="str">
        <f t="shared" si="351"/>
        <v/>
      </c>
      <c r="M735" s="8" t="str">
        <f t="shared" si="352"/>
        <v/>
      </c>
      <c r="AB735" s="5">
        <v>80</v>
      </c>
      <c r="AG735" s="1">
        <v>0.1</v>
      </c>
      <c r="AH735" s="20">
        <v>0.47118055555555555</v>
      </c>
      <c r="AJ735" s="1">
        <v>113</v>
      </c>
      <c r="AK735" s="3">
        <f t="shared" si="345"/>
        <v>240</v>
      </c>
      <c r="AN735" s="3">
        <v>40</v>
      </c>
      <c r="AP735" s="13">
        <f t="shared" si="343"/>
        <v>2949.9999999999545</v>
      </c>
      <c r="AR735" s="17"/>
      <c r="AS735" s="16" t="e">
        <f t="shared" si="348"/>
        <v>#DIV/0!</v>
      </c>
      <c r="AT735" s="16" t="e">
        <f t="shared" si="349"/>
        <v>#DIV/0!</v>
      </c>
      <c r="AU735" s="16" t="e">
        <f t="shared" si="347"/>
        <v>#DIV/0!</v>
      </c>
      <c r="AV735" s="57" t="str">
        <f t="shared" si="339"/>
        <v/>
      </c>
      <c r="AW735" s="57" t="str">
        <f t="shared" si="342"/>
        <v/>
      </c>
      <c r="AX735" s="57" t="str">
        <f t="shared" si="334"/>
        <v/>
      </c>
      <c r="AY735" s="57" t="str">
        <f t="shared" si="340"/>
        <v/>
      </c>
      <c r="AZ735" s="57" t="str">
        <f t="shared" si="332"/>
        <v/>
      </c>
      <c r="BF735" s="6" t="str">
        <f t="shared" si="353"/>
        <v/>
      </c>
    </row>
    <row r="736" spans="1:58" ht="15.75">
      <c r="B736" s="11">
        <v>45996</v>
      </c>
      <c r="C736" s="1">
        <v>492</v>
      </c>
      <c r="D736" s="3">
        <v>731</v>
      </c>
      <c r="E736" s="205">
        <f t="shared" si="341"/>
        <v>190.07795999999999</v>
      </c>
      <c r="I736" s="15">
        <f t="shared" si="346"/>
        <v>0</v>
      </c>
      <c r="K736" s="10" t="str">
        <f t="shared" si="350"/>
        <v/>
      </c>
      <c r="L736" s="9" t="str">
        <f t="shared" si="351"/>
        <v/>
      </c>
      <c r="M736" s="8" t="str">
        <f t="shared" si="352"/>
        <v/>
      </c>
      <c r="O736" s="6">
        <v>15.694000000000001</v>
      </c>
      <c r="P736" s="6">
        <v>51.713000000000001</v>
      </c>
      <c r="Q736" s="6">
        <f>O736*1.067</f>
        <v>16.745498000000001</v>
      </c>
      <c r="R736" s="6">
        <f>P736*1.514</f>
        <v>78.293481999999997</v>
      </c>
      <c r="S736" s="6">
        <f>Q736+R736</f>
        <v>95.038979999999995</v>
      </c>
      <c r="W736" s="23">
        <f>U736*1.067+V736*1.514</f>
        <v>0</v>
      </c>
      <c r="AB736" s="5">
        <v>80</v>
      </c>
      <c r="AG736" s="1">
        <v>0.08</v>
      </c>
      <c r="AH736" s="20">
        <v>0.4465277777777778</v>
      </c>
      <c r="AJ736" s="1">
        <v>111</v>
      </c>
      <c r="AK736" s="3">
        <f t="shared" si="345"/>
        <v>240</v>
      </c>
      <c r="AN736" s="3">
        <v>40</v>
      </c>
      <c r="AO736" s="2">
        <v>2949.9999999999545</v>
      </c>
      <c r="AP736" s="13">
        <f t="shared" si="343"/>
        <v>2949.9999999999545</v>
      </c>
      <c r="AR736" s="17">
        <f>(E736-W736)/E736</f>
        <v>1</v>
      </c>
      <c r="AS736" s="16" t="e">
        <f t="shared" si="348"/>
        <v>#DIV/0!</v>
      </c>
      <c r="AT736" s="16" t="e">
        <f t="shared" si="349"/>
        <v>#DIV/0!</v>
      </c>
      <c r="AU736" s="16" t="e">
        <f t="shared" si="347"/>
        <v>#DIV/0!</v>
      </c>
      <c r="AV736" s="57">
        <f t="shared" si="339"/>
        <v>190.07795999999999</v>
      </c>
      <c r="AW736" s="57" t="str">
        <f t="shared" si="342"/>
        <v/>
      </c>
      <c r="AX736" s="57" t="str">
        <f t="shared" si="334"/>
        <v/>
      </c>
      <c r="AY736" s="57" t="str">
        <f t="shared" si="340"/>
        <v/>
      </c>
      <c r="AZ736" s="57" t="str">
        <f t="shared" si="332"/>
        <v/>
      </c>
      <c r="BF736" s="6" t="str">
        <f t="shared" si="353"/>
        <v/>
      </c>
    </row>
    <row r="737" spans="2:58" ht="15.75">
      <c r="B737" s="11">
        <v>45997</v>
      </c>
      <c r="C737" s="1">
        <v>493</v>
      </c>
      <c r="D737" s="3">
        <v>732</v>
      </c>
      <c r="E737" s="205" t="str">
        <f t="shared" si="341"/>
        <v/>
      </c>
      <c r="I737" s="15">
        <f t="shared" si="346"/>
        <v>0</v>
      </c>
      <c r="K737" s="10" t="str">
        <f t="shared" si="350"/>
        <v/>
      </c>
      <c r="L737" s="9" t="str">
        <f t="shared" si="351"/>
        <v/>
      </c>
      <c r="M737" s="8" t="str">
        <f t="shared" si="352"/>
        <v/>
      </c>
      <c r="AB737" s="5">
        <v>80</v>
      </c>
      <c r="AG737" s="1">
        <v>0.08</v>
      </c>
      <c r="AH737" s="20">
        <v>0.4284722222222222</v>
      </c>
      <c r="AJ737" s="1">
        <v>115</v>
      </c>
      <c r="AK737" s="3">
        <f t="shared" si="345"/>
        <v>240</v>
      </c>
      <c r="AN737" s="3">
        <v>40</v>
      </c>
      <c r="AP737" s="13">
        <f t="shared" si="343"/>
        <v>2949.9999999999545</v>
      </c>
      <c r="AR737" s="17"/>
      <c r="AS737" s="16" t="e">
        <f t="shared" si="348"/>
        <v>#DIV/0!</v>
      </c>
      <c r="AT737" s="16" t="e">
        <f t="shared" si="349"/>
        <v>#DIV/0!</v>
      </c>
      <c r="AU737" s="16" t="e">
        <f t="shared" si="347"/>
        <v>#DIV/0!</v>
      </c>
      <c r="AV737" s="57" t="str">
        <f t="shared" si="339"/>
        <v/>
      </c>
      <c r="AW737" s="57" t="str">
        <f t="shared" si="342"/>
        <v/>
      </c>
      <c r="AX737" s="57" t="str">
        <f t="shared" si="334"/>
        <v/>
      </c>
      <c r="AY737" s="57" t="str">
        <f t="shared" si="340"/>
        <v/>
      </c>
      <c r="AZ737" s="57" t="str">
        <f t="shared" si="332"/>
        <v/>
      </c>
      <c r="BF737" s="6" t="str">
        <f t="shared" si="353"/>
        <v/>
      </c>
    </row>
    <row r="738" spans="2:58" ht="15.75">
      <c r="B738" s="11">
        <v>45998</v>
      </c>
      <c r="C738" s="1">
        <v>494</v>
      </c>
      <c r="D738" s="3">
        <v>733</v>
      </c>
      <c r="E738" s="205" t="str">
        <f t="shared" si="341"/>
        <v/>
      </c>
      <c r="I738" s="15">
        <f t="shared" si="346"/>
        <v>0</v>
      </c>
      <c r="K738" s="10" t="str">
        <f t="shared" si="350"/>
        <v/>
      </c>
      <c r="L738" s="9" t="str">
        <f t="shared" si="351"/>
        <v/>
      </c>
      <c r="M738" s="8" t="str">
        <f t="shared" si="352"/>
        <v/>
      </c>
      <c r="AB738" s="5">
        <v>80</v>
      </c>
      <c r="AG738" s="1">
        <v>7.0000000000000007E-2</v>
      </c>
      <c r="AH738" s="20">
        <v>0.39930555555555558</v>
      </c>
      <c r="AJ738" s="1">
        <v>113</v>
      </c>
      <c r="AK738" s="3">
        <f t="shared" si="345"/>
        <v>240</v>
      </c>
      <c r="AN738" s="3">
        <v>40</v>
      </c>
      <c r="AP738" s="13">
        <f t="shared" si="343"/>
        <v>2609.9999999999682</v>
      </c>
      <c r="AR738" s="17"/>
      <c r="AS738" s="16" t="e">
        <f t="shared" si="348"/>
        <v>#DIV/0!</v>
      </c>
      <c r="AT738" s="16" t="e">
        <f t="shared" si="349"/>
        <v>#DIV/0!</v>
      </c>
      <c r="AU738" s="16" t="e">
        <f t="shared" si="347"/>
        <v>#DIV/0!</v>
      </c>
      <c r="AV738" s="57" t="str">
        <f t="shared" si="339"/>
        <v/>
      </c>
      <c r="AW738" s="57" t="str">
        <f t="shared" si="342"/>
        <v/>
      </c>
      <c r="AX738" s="57" t="str">
        <f t="shared" si="334"/>
        <v/>
      </c>
      <c r="AY738" s="57" t="str">
        <f t="shared" si="340"/>
        <v/>
      </c>
      <c r="AZ738" s="57" t="str">
        <f t="shared" si="332"/>
        <v/>
      </c>
      <c r="BF738" s="6" t="str">
        <f t="shared" si="353"/>
        <v/>
      </c>
    </row>
    <row r="739" spans="2:58" ht="15.75">
      <c r="B739" s="11">
        <v>45999</v>
      </c>
      <c r="C739" s="1">
        <v>495</v>
      </c>
      <c r="D739" s="3">
        <v>734</v>
      </c>
      <c r="E739" s="205" t="str">
        <f t="shared" si="341"/>
        <v/>
      </c>
      <c r="I739" s="15">
        <f t="shared" si="346"/>
        <v>0</v>
      </c>
      <c r="K739" s="10" t="str">
        <f t="shared" si="350"/>
        <v/>
      </c>
      <c r="L739" s="9" t="str">
        <f t="shared" si="351"/>
        <v/>
      </c>
      <c r="M739" s="8" t="str">
        <f t="shared" si="352"/>
        <v/>
      </c>
      <c r="AB739" s="5">
        <v>80</v>
      </c>
      <c r="AG739" s="1">
        <v>0.09</v>
      </c>
      <c r="AH739" s="20">
        <v>0.46666666666666667</v>
      </c>
      <c r="AJ739" s="1">
        <v>117</v>
      </c>
      <c r="AK739" s="3">
        <f t="shared" si="345"/>
        <v>240</v>
      </c>
      <c r="AN739" s="3">
        <v>40</v>
      </c>
      <c r="AP739" s="13">
        <f t="shared" si="343"/>
        <v>2269.9999999999818</v>
      </c>
      <c r="AR739" s="17"/>
      <c r="AS739" s="16" t="e">
        <f t="shared" si="348"/>
        <v>#DIV/0!</v>
      </c>
      <c r="AT739" s="16" t="e">
        <f t="shared" si="349"/>
        <v>#DIV/0!</v>
      </c>
      <c r="AU739" s="16" t="e">
        <f t="shared" si="347"/>
        <v>#DIV/0!</v>
      </c>
      <c r="AV739" s="57" t="str">
        <f t="shared" si="339"/>
        <v/>
      </c>
      <c r="AW739" s="57" t="str">
        <f t="shared" si="342"/>
        <v/>
      </c>
      <c r="AX739" s="57" t="str">
        <f t="shared" si="334"/>
        <v/>
      </c>
      <c r="AY739" s="57" t="str">
        <f t="shared" si="340"/>
        <v/>
      </c>
      <c r="AZ739" s="57" t="str">
        <f t="shared" si="332"/>
        <v/>
      </c>
      <c r="BF739" s="6" t="str">
        <f t="shared" si="353"/>
        <v/>
      </c>
    </row>
    <row r="740" spans="2:58" ht="15.75">
      <c r="B740" s="11">
        <v>46000</v>
      </c>
      <c r="C740" s="1">
        <v>496</v>
      </c>
      <c r="D740" s="3">
        <v>735</v>
      </c>
      <c r="E740" s="205" t="str">
        <f t="shared" si="341"/>
        <v/>
      </c>
      <c r="I740" s="15">
        <f t="shared" si="346"/>
        <v>0</v>
      </c>
      <c r="K740" s="10" t="str">
        <f t="shared" si="350"/>
        <v/>
      </c>
      <c r="L740" s="9" t="str">
        <f t="shared" si="351"/>
        <v/>
      </c>
      <c r="M740" s="8" t="str">
        <f t="shared" si="352"/>
        <v/>
      </c>
      <c r="AB740" s="5">
        <v>80</v>
      </c>
      <c r="AG740" s="1">
        <v>0.27</v>
      </c>
      <c r="AH740" s="20">
        <v>0.46250000000000002</v>
      </c>
      <c r="AJ740" s="1">
        <v>133</v>
      </c>
      <c r="AK740" s="3">
        <f t="shared" si="345"/>
        <v>240</v>
      </c>
      <c r="AN740" s="3">
        <v>40</v>
      </c>
      <c r="AP740" s="13">
        <f t="shared" si="343"/>
        <v>2269.9999999999818</v>
      </c>
      <c r="AR740" s="17"/>
      <c r="AS740" s="16" t="e">
        <f t="shared" si="348"/>
        <v>#DIV/0!</v>
      </c>
      <c r="AT740" s="16" t="e">
        <f t="shared" si="349"/>
        <v>#DIV/0!</v>
      </c>
      <c r="AU740" s="16" t="e">
        <f t="shared" si="347"/>
        <v>#DIV/0!</v>
      </c>
      <c r="AV740" s="57" t="str">
        <f t="shared" si="339"/>
        <v/>
      </c>
      <c r="AW740" s="57" t="str">
        <f t="shared" si="342"/>
        <v/>
      </c>
      <c r="AX740" s="57" t="str">
        <f t="shared" si="334"/>
        <v/>
      </c>
      <c r="AY740" s="57" t="str">
        <f t="shared" si="340"/>
        <v/>
      </c>
      <c r="AZ740" s="57" t="str">
        <f t="shared" si="332"/>
        <v/>
      </c>
      <c r="BF740" s="6" t="str">
        <f t="shared" si="353"/>
        <v/>
      </c>
    </row>
    <row r="741" spans="2:58" ht="15.75">
      <c r="B741" s="11">
        <v>46001</v>
      </c>
      <c r="C741" s="1">
        <v>497</v>
      </c>
      <c r="D741" s="3">
        <v>736</v>
      </c>
      <c r="E741" s="205" t="str">
        <f t="shared" si="341"/>
        <v/>
      </c>
      <c r="I741" s="15">
        <f t="shared" si="346"/>
        <v>0</v>
      </c>
      <c r="K741" s="10" t="str">
        <f t="shared" si="350"/>
        <v/>
      </c>
      <c r="L741" s="9" t="str">
        <f t="shared" si="351"/>
        <v/>
      </c>
      <c r="M741" s="8" t="str">
        <f t="shared" si="352"/>
        <v/>
      </c>
      <c r="AB741" s="5">
        <v>80</v>
      </c>
      <c r="AG741" s="1">
        <v>0.23</v>
      </c>
      <c r="AH741" s="20">
        <v>0.46261574074074074</v>
      </c>
      <c r="AJ741" s="1">
        <v>131</v>
      </c>
      <c r="AK741" s="3">
        <f t="shared" si="345"/>
        <v>240</v>
      </c>
      <c r="AN741" s="3">
        <v>40</v>
      </c>
      <c r="AP741" s="13">
        <f t="shared" si="343"/>
        <v>2269.9999999999818</v>
      </c>
      <c r="AR741" s="17"/>
      <c r="AS741" s="16" t="e">
        <f t="shared" si="348"/>
        <v>#DIV/0!</v>
      </c>
      <c r="AT741" s="16" t="e">
        <f t="shared" si="349"/>
        <v>#DIV/0!</v>
      </c>
      <c r="AU741" s="16" t="e">
        <f t="shared" si="347"/>
        <v>#DIV/0!</v>
      </c>
      <c r="AV741" s="57" t="str">
        <f t="shared" si="339"/>
        <v/>
      </c>
      <c r="AW741" s="57" t="str">
        <f t="shared" si="342"/>
        <v/>
      </c>
      <c r="AX741" s="57" t="str">
        <f t="shared" si="334"/>
        <v/>
      </c>
      <c r="AY741" s="57" t="str">
        <f t="shared" si="340"/>
        <v/>
      </c>
      <c r="AZ741" s="57" t="str">
        <f t="shared" si="332"/>
        <v/>
      </c>
      <c r="BF741" s="6" t="str">
        <f t="shared" si="353"/>
        <v/>
      </c>
    </row>
    <row r="742" spans="2:58" ht="15.75">
      <c r="B742" s="11">
        <v>46002</v>
      </c>
      <c r="C742" s="1">
        <v>498</v>
      </c>
      <c r="D742" s="3">
        <v>737</v>
      </c>
      <c r="E742" s="205" t="str">
        <f t="shared" si="341"/>
        <v/>
      </c>
      <c r="I742" s="15">
        <f t="shared" si="346"/>
        <v>0</v>
      </c>
      <c r="K742" s="10" t="str">
        <f t="shared" si="350"/>
        <v/>
      </c>
      <c r="L742" s="9" t="str">
        <f t="shared" si="351"/>
        <v/>
      </c>
      <c r="M742" s="8" t="str">
        <f t="shared" si="352"/>
        <v/>
      </c>
      <c r="AB742" s="5">
        <v>80</v>
      </c>
      <c r="AG742" s="1">
        <v>0.33</v>
      </c>
      <c r="AH742" s="20">
        <v>0.40520833333333334</v>
      </c>
      <c r="AJ742" s="1">
        <v>37</v>
      </c>
      <c r="AK742" s="3">
        <f t="shared" si="345"/>
        <v>240</v>
      </c>
      <c r="AN742" s="3">
        <v>40</v>
      </c>
      <c r="AO742" s="2">
        <v>2269.9999999999818</v>
      </c>
      <c r="AP742" s="13">
        <f t="shared" si="343"/>
        <v>2269.9999999999818</v>
      </c>
      <c r="AR742" s="17"/>
      <c r="AS742" s="16" t="e">
        <f t="shared" si="348"/>
        <v>#DIV/0!</v>
      </c>
      <c r="AT742" s="16" t="e">
        <f t="shared" si="349"/>
        <v>#DIV/0!</v>
      </c>
      <c r="AU742" s="16" t="e">
        <f t="shared" si="347"/>
        <v>#DIV/0!</v>
      </c>
      <c r="AV742" s="57" t="str">
        <f t="shared" si="339"/>
        <v/>
      </c>
      <c r="AW742" s="57" t="str">
        <f t="shared" si="342"/>
        <v/>
      </c>
      <c r="AX742" s="57" t="str">
        <f t="shared" si="334"/>
        <v/>
      </c>
      <c r="AY742" s="57" t="str">
        <f t="shared" si="340"/>
        <v/>
      </c>
      <c r="AZ742" s="57" t="str">
        <f t="shared" si="332"/>
        <v/>
      </c>
      <c r="BF742" s="6" t="str">
        <f t="shared" si="353"/>
        <v/>
      </c>
    </row>
    <row r="743" spans="2:58" ht="15.75">
      <c r="B743" s="11">
        <v>46003</v>
      </c>
      <c r="C743" s="1">
        <v>499</v>
      </c>
      <c r="D743" s="3">
        <v>738</v>
      </c>
      <c r="E743" s="205" t="str">
        <f t="shared" si="341"/>
        <v/>
      </c>
      <c r="I743" s="15">
        <f t="shared" si="346"/>
        <v>0</v>
      </c>
      <c r="K743" s="10" t="str">
        <f t="shared" si="350"/>
        <v/>
      </c>
      <c r="L743" s="9" t="str">
        <f t="shared" si="351"/>
        <v/>
      </c>
      <c r="M743" s="8" t="str">
        <f t="shared" si="352"/>
        <v/>
      </c>
      <c r="AB743" s="5">
        <v>80</v>
      </c>
      <c r="AG743" s="1">
        <v>0.13</v>
      </c>
      <c r="AH743" s="20">
        <v>0.39930555555555558</v>
      </c>
      <c r="AJ743" s="1">
        <v>35</v>
      </c>
      <c r="AK743" s="3">
        <f t="shared" si="345"/>
        <v>240</v>
      </c>
      <c r="AN743" s="3">
        <v>40</v>
      </c>
      <c r="AP743" s="13">
        <f t="shared" si="343"/>
        <v>2269.9999999999818</v>
      </c>
      <c r="AR743" s="17"/>
      <c r="AS743" s="16" t="e">
        <f t="shared" si="348"/>
        <v>#DIV/0!</v>
      </c>
      <c r="AT743" s="16" t="e">
        <f t="shared" si="349"/>
        <v>#DIV/0!</v>
      </c>
      <c r="AU743" s="16" t="e">
        <f t="shared" si="347"/>
        <v>#DIV/0!</v>
      </c>
      <c r="AV743" s="57" t="str">
        <f t="shared" si="339"/>
        <v/>
      </c>
      <c r="AW743" s="57" t="str">
        <f t="shared" si="342"/>
        <v/>
      </c>
      <c r="AX743" s="57" t="str">
        <f t="shared" si="334"/>
        <v/>
      </c>
      <c r="AY743" s="57" t="str">
        <f t="shared" si="340"/>
        <v/>
      </c>
      <c r="AZ743" s="57" t="str">
        <f t="shared" ref="AZ743:AZ806" si="354">IF(AND(ISNUMBER(AL743),ISNUMBER(AM743)),AL743-AM743,"")</f>
        <v/>
      </c>
      <c r="BF743" s="6" t="str">
        <f t="shared" si="353"/>
        <v/>
      </c>
    </row>
    <row r="744" spans="2:58" ht="15.75">
      <c r="B744" s="11">
        <v>46004</v>
      </c>
      <c r="C744" s="1">
        <v>500</v>
      </c>
      <c r="D744" s="3">
        <v>739</v>
      </c>
      <c r="E744" s="205" t="str">
        <f t="shared" si="341"/>
        <v/>
      </c>
      <c r="I744" s="15">
        <f t="shared" si="346"/>
        <v>0</v>
      </c>
      <c r="K744" s="10" t="str">
        <f t="shared" si="350"/>
        <v/>
      </c>
      <c r="L744" s="9" t="str">
        <f t="shared" si="351"/>
        <v/>
      </c>
      <c r="M744" s="8" t="str">
        <f t="shared" si="352"/>
        <v/>
      </c>
      <c r="AB744" s="5">
        <v>80</v>
      </c>
      <c r="AG744" s="1">
        <v>0.24</v>
      </c>
      <c r="AH744" s="20">
        <v>0.40057870370370369</v>
      </c>
      <c r="AJ744" s="1">
        <v>39</v>
      </c>
      <c r="AK744" s="3">
        <f t="shared" si="345"/>
        <v>240</v>
      </c>
      <c r="AN744" s="3">
        <v>40</v>
      </c>
      <c r="AP744" s="13">
        <f t="shared" si="343"/>
        <v>2269.9999999999818</v>
      </c>
      <c r="AR744" s="17"/>
      <c r="AS744" s="16" t="e">
        <f t="shared" si="348"/>
        <v>#DIV/0!</v>
      </c>
      <c r="AT744" s="16" t="e">
        <f t="shared" si="349"/>
        <v>#DIV/0!</v>
      </c>
      <c r="AU744" s="16" t="e">
        <f t="shared" si="347"/>
        <v>#DIV/0!</v>
      </c>
      <c r="AV744" s="57" t="str">
        <f t="shared" si="339"/>
        <v/>
      </c>
      <c r="AW744" s="57" t="str">
        <f t="shared" si="342"/>
        <v/>
      </c>
      <c r="AX744" s="57" t="str">
        <f t="shared" si="334"/>
        <v/>
      </c>
      <c r="AY744" s="57" t="str">
        <f t="shared" si="340"/>
        <v/>
      </c>
      <c r="AZ744" s="57" t="str">
        <f t="shared" si="354"/>
        <v/>
      </c>
      <c r="BF744" s="6" t="str">
        <f t="shared" si="353"/>
        <v/>
      </c>
    </row>
    <row r="745" spans="2:58" ht="15.75">
      <c r="B745" s="11">
        <v>46005</v>
      </c>
      <c r="C745" s="1">
        <v>501</v>
      </c>
      <c r="D745" s="3">
        <v>740</v>
      </c>
      <c r="E745" s="205" t="str">
        <f t="shared" si="341"/>
        <v/>
      </c>
      <c r="I745" s="15">
        <f t="shared" si="346"/>
        <v>0</v>
      </c>
      <c r="K745" s="10" t="str">
        <f t="shared" si="350"/>
        <v/>
      </c>
      <c r="L745" s="9" t="str">
        <f t="shared" si="351"/>
        <v/>
      </c>
      <c r="M745" s="8" t="str">
        <f t="shared" si="352"/>
        <v/>
      </c>
      <c r="AB745" s="5">
        <v>80</v>
      </c>
      <c r="AG745" s="1">
        <v>0.15</v>
      </c>
      <c r="AH745" s="20">
        <v>0.39930555555555558</v>
      </c>
      <c r="AJ745" s="1">
        <v>39</v>
      </c>
      <c r="AK745" s="3">
        <f t="shared" si="345"/>
        <v>240</v>
      </c>
      <c r="AN745" s="3">
        <v>40</v>
      </c>
      <c r="AP745" s="13">
        <f t="shared" si="343"/>
        <v>2919.9999999999818</v>
      </c>
      <c r="AR745" s="17"/>
      <c r="AS745" s="16" t="e">
        <f t="shared" si="348"/>
        <v>#DIV/0!</v>
      </c>
      <c r="AT745" s="16" t="e">
        <f t="shared" si="349"/>
        <v>#DIV/0!</v>
      </c>
      <c r="AU745" s="16" t="e">
        <f t="shared" si="347"/>
        <v>#DIV/0!</v>
      </c>
      <c r="AV745" s="57" t="str">
        <f t="shared" si="339"/>
        <v/>
      </c>
      <c r="AW745" s="57" t="str">
        <f t="shared" si="342"/>
        <v/>
      </c>
      <c r="AX745" s="57" t="str">
        <f t="shared" si="334"/>
        <v/>
      </c>
      <c r="AY745" s="57" t="str">
        <f t="shared" si="340"/>
        <v/>
      </c>
      <c r="AZ745" s="57" t="str">
        <f t="shared" si="354"/>
        <v/>
      </c>
      <c r="BF745" s="6" t="str">
        <f t="shared" si="353"/>
        <v/>
      </c>
    </row>
    <row r="746" spans="2:58" ht="15.75">
      <c r="B746" s="11">
        <v>46006</v>
      </c>
      <c r="C746" s="1">
        <v>502</v>
      </c>
      <c r="D746" s="3">
        <v>741</v>
      </c>
      <c r="E746" s="205" t="str">
        <f t="shared" si="341"/>
        <v/>
      </c>
      <c r="I746" s="15">
        <f t="shared" si="346"/>
        <v>0</v>
      </c>
      <c r="K746" s="10" t="str">
        <f t="shared" si="350"/>
        <v/>
      </c>
      <c r="L746" s="9" t="str">
        <f t="shared" si="351"/>
        <v/>
      </c>
      <c r="M746" s="8" t="str">
        <f t="shared" si="352"/>
        <v/>
      </c>
      <c r="U746" s="6">
        <v>1.9159999999999999</v>
      </c>
      <c r="AB746" s="5">
        <v>80</v>
      </c>
      <c r="AG746" s="1">
        <v>0.23</v>
      </c>
      <c r="AH746" s="20">
        <v>0.40231481481481479</v>
      </c>
      <c r="AJ746" s="1">
        <v>39</v>
      </c>
      <c r="AK746" s="3">
        <f t="shared" si="345"/>
        <v>240</v>
      </c>
      <c r="AN746" s="3">
        <v>40</v>
      </c>
      <c r="AP746" s="13">
        <f t="shared" si="343"/>
        <v>2919.9999999999818</v>
      </c>
      <c r="AR746" s="17"/>
      <c r="AS746" s="16" t="e">
        <f t="shared" si="348"/>
        <v>#DIV/0!</v>
      </c>
      <c r="AT746" s="16" t="e">
        <f t="shared" si="349"/>
        <v>#DIV/0!</v>
      </c>
      <c r="AU746" s="16" t="e">
        <f t="shared" si="347"/>
        <v>#DIV/0!</v>
      </c>
      <c r="AV746" s="57" t="str">
        <f t="shared" si="339"/>
        <v/>
      </c>
      <c r="AW746" s="57" t="str">
        <f t="shared" si="342"/>
        <v/>
      </c>
      <c r="AX746" s="57" t="str">
        <f t="shared" si="334"/>
        <v/>
      </c>
      <c r="AY746" s="57" t="str">
        <f t="shared" si="340"/>
        <v/>
      </c>
      <c r="AZ746" s="57" t="str">
        <f t="shared" si="354"/>
        <v/>
      </c>
      <c r="BF746" s="6" t="str">
        <f t="shared" si="353"/>
        <v/>
      </c>
    </row>
    <row r="747" spans="2:58" ht="15.75">
      <c r="B747" s="11">
        <v>46007</v>
      </c>
      <c r="C747" s="1">
        <v>503</v>
      </c>
      <c r="D747" s="3">
        <v>742</v>
      </c>
      <c r="E747" s="205" t="str">
        <f t="shared" si="341"/>
        <v/>
      </c>
      <c r="I747" s="15">
        <f t="shared" si="346"/>
        <v>0</v>
      </c>
      <c r="K747" s="10" t="str">
        <f t="shared" si="350"/>
        <v/>
      </c>
      <c r="L747" s="9" t="str">
        <f t="shared" si="351"/>
        <v/>
      </c>
      <c r="M747" s="8" t="str">
        <f t="shared" si="352"/>
        <v/>
      </c>
      <c r="AB747" s="5">
        <v>80</v>
      </c>
      <c r="AG747" s="1">
        <v>0.14000000000000001</v>
      </c>
      <c r="AH747" s="20">
        <v>0.39930555555555558</v>
      </c>
      <c r="AJ747" s="1">
        <v>39</v>
      </c>
      <c r="AK747" s="3">
        <f t="shared" si="345"/>
        <v>240</v>
      </c>
      <c r="AN747" s="3">
        <v>40</v>
      </c>
      <c r="AP747" s="13">
        <f t="shared" si="343"/>
        <v>2919.9999999999818</v>
      </c>
      <c r="AR747" s="17"/>
      <c r="AS747" s="16" t="e">
        <f t="shared" si="348"/>
        <v>#DIV/0!</v>
      </c>
      <c r="AT747" s="16" t="e">
        <f t="shared" si="349"/>
        <v>#DIV/0!</v>
      </c>
      <c r="AU747" s="16" t="e">
        <f t="shared" si="347"/>
        <v>#DIV/0!</v>
      </c>
      <c r="AV747" s="57" t="str">
        <f t="shared" si="339"/>
        <v/>
      </c>
      <c r="AW747" s="57" t="str">
        <f t="shared" si="342"/>
        <v/>
      </c>
      <c r="AX747" s="57" t="str">
        <f t="shared" si="334"/>
        <v/>
      </c>
      <c r="AY747" s="57" t="str">
        <f t="shared" si="340"/>
        <v/>
      </c>
      <c r="AZ747" s="57" t="str">
        <f t="shared" si="354"/>
        <v/>
      </c>
      <c r="BF747" s="6" t="str">
        <f t="shared" si="353"/>
        <v/>
      </c>
    </row>
    <row r="748" spans="2:58" ht="15.75">
      <c r="B748" s="11">
        <v>46008</v>
      </c>
      <c r="C748" s="1">
        <v>504</v>
      </c>
      <c r="D748" s="3">
        <v>743</v>
      </c>
      <c r="E748" s="205" t="str">
        <f t="shared" si="341"/>
        <v/>
      </c>
      <c r="I748" s="15">
        <f t="shared" si="346"/>
        <v>0</v>
      </c>
      <c r="K748" s="10" t="str">
        <f t="shared" si="350"/>
        <v/>
      </c>
      <c r="L748" s="9" t="str">
        <f t="shared" si="351"/>
        <v/>
      </c>
      <c r="M748" s="8" t="str">
        <f t="shared" si="352"/>
        <v/>
      </c>
      <c r="AB748" s="5">
        <v>80</v>
      </c>
      <c r="AG748" s="1">
        <v>0.16</v>
      </c>
      <c r="AH748" s="20">
        <v>0.39930555555555558</v>
      </c>
      <c r="AJ748" s="1">
        <v>41</v>
      </c>
      <c r="AK748" s="3">
        <f t="shared" si="345"/>
        <v>240</v>
      </c>
      <c r="AN748" s="3">
        <v>40</v>
      </c>
      <c r="AP748" s="13">
        <f t="shared" si="343"/>
        <v>2919.9999999999818</v>
      </c>
      <c r="AR748" s="17"/>
      <c r="AS748" s="16" t="e">
        <f t="shared" si="348"/>
        <v>#DIV/0!</v>
      </c>
      <c r="AT748" s="16" t="e">
        <f t="shared" si="349"/>
        <v>#DIV/0!</v>
      </c>
      <c r="AU748" s="16" t="e">
        <f t="shared" si="347"/>
        <v>#DIV/0!</v>
      </c>
      <c r="AV748" s="57" t="str">
        <f t="shared" si="339"/>
        <v/>
      </c>
      <c r="AW748" s="57" t="str">
        <f t="shared" si="342"/>
        <v/>
      </c>
      <c r="AX748" s="57" t="str">
        <f t="shared" ref="AX748:AX811" si="355">IF(AND(ISNUMBER(AM748),ISNUMBER(G748)),G748-AM748,"")</f>
        <v/>
      </c>
      <c r="AY748" s="57" t="str">
        <f t="shared" si="340"/>
        <v/>
      </c>
      <c r="AZ748" s="57" t="str">
        <f t="shared" si="354"/>
        <v/>
      </c>
      <c r="BF748" s="6" t="str">
        <f t="shared" si="353"/>
        <v/>
      </c>
    </row>
    <row r="749" spans="2:58" ht="15.75">
      <c r="B749" s="11">
        <v>46009</v>
      </c>
      <c r="C749" s="1">
        <v>505</v>
      </c>
      <c r="D749" s="3">
        <v>744</v>
      </c>
      <c r="E749" s="205">
        <f t="shared" si="341"/>
        <v>313.14829400000002</v>
      </c>
      <c r="G749" s="15">
        <f>(N749*18-H749*18)/9</f>
        <v>16.599999999999998</v>
      </c>
      <c r="H749" s="15">
        <f>5*2.35</f>
        <v>11.75</v>
      </c>
      <c r="I749" s="15">
        <f t="shared" si="346"/>
        <v>19.350000000000001</v>
      </c>
      <c r="K749" s="10">
        <f t="shared" si="350"/>
        <v>18.864355060240968</v>
      </c>
      <c r="L749" s="9">
        <f t="shared" si="351"/>
        <v>8.0916871834625326</v>
      </c>
      <c r="M749" s="8">
        <f t="shared" si="352"/>
        <v>2.3313253012048198</v>
      </c>
      <c r="N749" s="7">
        <f>5*4.01</f>
        <v>20.049999999999997</v>
      </c>
      <c r="O749" s="6">
        <v>27.091000000000001</v>
      </c>
      <c r="P749" s="6">
        <v>84.325000000000003</v>
      </c>
      <c r="Q749" s="6">
        <f>O749*1.067</f>
        <v>28.906096999999999</v>
      </c>
      <c r="R749" s="6">
        <f>P749*1.514</f>
        <v>127.66805000000001</v>
      </c>
      <c r="S749" s="6">
        <f>Q749+R749</f>
        <v>156.57414700000001</v>
      </c>
      <c r="T749" s="6">
        <v>31.1</v>
      </c>
      <c r="U749" s="6">
        <v>15.97</v>
      </c>
      <c r="V749" s="6">
        <v>21.332999999999998</v>
      </c>
      <c r="W749" s="23">
        <f>U749*1.067+V749*1.514</f>
        <v>49.338151999999994</v>
      </c>
      <c r="AB749" s="5">
        <v>80</v>
      </c>
      <c r="AC749" s="7">
        <f>T749</f>
        <v>31.1</v>
      </c>
      <c r="AD749" s="1">
        <f>5*3.87</f>
        <v>19.350000000000001</v>
      </c>
      <c r="AE749" s="1">
        <f>5*6.24</f>
        <v>31.200000000000003</v>
      </c>
      <c r="AF749" s="1">
        <v>0</v>
      </c>
      <c r="AG749" s="1">
        <v>0.87</v>
      </c>
      <c r="AH749" s="20">
        <v>0.40150462962962963</v>
      </c>
      <c r="AJ749" s="1">
        <v>31</v>
      </c>
      <c r="AK749" s="3">
        <f t="shared" si="345"/>
        <v>240</v>
      </c>
      <c r="AL749" s="4">
        <f>AE749</f>
        <v>31.200000000000003</v>
      </c>
      <c r="AM749" s="1">
        <f>5*4.29</f>
        <v>21.45</v>
      </c>
      <c r="AN749" s="3">
        <v>40</v>
      </c>
      <c r="AO749" s="2">
        <v>2919.9999999999818</v>
      </c>
      <c r="AP749" s="13">
        <f t="shared" si="343"/>
        <v>3020.0000000000045</v>
      </c>
      <c r="AR749" s="17">
        <f>(E749-W749)/E749</f>
        <v>0.84244476835629833</v>
      </c>
      <c r="AS749" s="16">
        <f t="shared" si="348"/>
        <v>1</v>
      </c>
      <c r="AT749" s="16">
        <f t="shared" si="349"/>
        <v>4.4961240310077519E-2</v>
      </c>
      <c r="AU749" s="16">
        <f t="shared" si="347"/>
        <v>-0.29216867469879532</v>
      </c>
      <c r="AV749" s="57">
        <f t="shared" si="339"/>
        <v>263.81014200000004</v>
      </c>
      <c r="AW749" s="57">
        <f t="shared" si="342"/>
        <v>19.350000000000001</v>
      </c>
      <c r="AX749" s="57">
        <f t="shared" si="355"/>
        <v>-4.8500000000000014</v>
      </c>
      <c r="AY749" s="57">
        <f t="shared" si="340"/>
        <v>-0.10000000000000142</v>
      </c>
      <c r="AZ749" s="57">
        <f t="shared" si="354"/>
        <v>9.7500000000000036</v>
      </c>
      <c r="BF749" s="6">
        <f t="shared" si="353"/>
        <v>12.401196325571441</v>
      </c>
    </row>
    <row r="750" spans="2:58" ht="15.75">
      <c r="B750" s="11">
        <v>46010</v>
      </c>
      <c r="C750" s="1">
        <v>506</v>
      </c>
      <c r="D750" s="3">
        <v>745</v>
      </c>
      <c r="E750" s="205" t="str">
        <f t="shared" si="341"/>
        <v/>
      </c>
      <c r="I750" s="15">
        <f t="shared" si="346"/>
        <v>0</v>
      </c>
      <c r="K750" s="10" t="str">
        <f t="shared" si="350"/>
        <v/>
      </c>
      <c r="L750" s="9" t="str">
        <f t="shared" si="351"/>
        <v/>
      </c>
      <c r="M750" s="8" t="str">
        <f t="shared" si="352"/>
        <v/>
      </c>
      <c r="AB750" s="5">
        <v>80</v>
      </c>
      <c r="AG750" s="1">
        <v>3.8</v>
      </c>
      <c r="AH750" s="20">
        <v>0.46643518518518517</v>
      </c>
      <c r="AJ750" s="1">
        <v>29</v>
      </c>
      <c r="AK750" s="3">
        <f t="shared" si="345"/>
        <v>240</v>
      </c>
      <c r="AN750" s="3">
        <v>40</v>
      </c>
      <c r="AP750" s="13">
        <f t="shared" si="343"/>
        <v>3020.0000000000045</v>
      </c>
      <c r="AR750" s="17"/>
      <c r="AS750" s="16" t="e">
        <f t="shared" si="348"/>
        <v>#DIV/0!</v>
      </c>
      <c r="AT750" s="16" t="e">
        <f t="shared" si="349"/>
        <v>#DIV/0!</v>
      </c>
      <c r="AU750" s="16" t="e">
        <f t="shared" si="347"/>
        <v>#DIV/0!</v>
      </c>
      <c r="AV750" s="57" t="str">
        <f t="shared" si="339"/>
        <v/>
      </c>
      <c r="AW750" s="57" t="str">
        <f t="shared" si="342"/>
        <v/>
      </c>
      <c r="AX750" s="57" t="str">
        <f t="shared" si="355"/>
        <v/>
      </c>
      <c r="AY750" s="57" t="str">
        <f t="shared" si="340"/>
        <v/>
      </c>
      <c r="AZ750" s="57" t="str">
        <f t="shared" si="354"/>
        <v/>
      </c>
      <c r="BF750" s="6" t="str">
        <f t="shared" si="353"/>
        <v/>
      </c>
    </row>
    <row r="751" spans="2:58" ht="15.75">
      <c r="B751" s="11">
        <v>46011</v>
      </c>
      <c r="C751" s="1">
        <v>507</v>
      </c>
      <c r="D751" s="3">
        <v>746</v>
      </c>
      <c r="E751" s="205" t="str">
        <f t="shared" si="341"/>
        <v/>
      </c>
      <c r="I751" s="15">
        <f t="shared" si="346"/>
        <v>0</v>
      </c>
      <c r="K751" s="10" t="str">
        <f t="shared" si="350"/>
        <v/>
      </c>
      <c r="L751" s="9" t="str">
        <f t="shared" si="351"/>
        <v/>
      </c>
      <c r="M751" s="8" t="str">
        <f t="shared" si="352"/>
        <v/>
      </c>
      <c r="AB751" s="5">
        <v>80</v>
      </c>
      <c r="AG751" s="1">
        <v>4.42</v>
      </c>
      <c r="AH751" s="20">
        <v>0.44560185185185186</v>
      </c>
      <c r="AJ751" s="1">
        <v>91</v>
      </c>
      <c r="AK751" s="3">
        <f t="shared" si="345"/>
        <v>240</v>
      </c>
      <c r="AN751" s="3">
        <v>40</v>
      </c>
      <c r="AP751" s="13">
        <f t="shared" si="343"/>
        <v>3020.0000000000045</v>
      </c>
      <c r="AR751" s="17"/>
      <c r="AS751" s="16" t="e">
        <f t="shared" si="348"/>
        <v>#DIV/0!</v>
      </c>
      <c r="AT751" s="16" t="e">
        <f t="shared" si="349"/>
        <v>#DIV/0!</v>
      </c>
      <c r="AU751" s="16" t="e">
        <f t="shared" si="347"/>
        <v>#DIV/0!</v>
      </c>
      <c r="AV751" s="57" t="str">
        <f t="shared" si="339"/>
        <v/>
      </c>
      <c r="AW751" s="57" t="str">
        <f t="shared" si="342"/>
        <v/>
      </c>
      <c r="AX751" s="57" t="str">
        <f t="shared" si="355"/>
        <v/>
      </c>
      <c r="AY751" s="57" t="str">
        <f t="shared" si="340"/>
        <v/>
      </c>
      <c r="AZ751" s="57" t="str">
        <f t="shared" si="354"/>
        <v/>
      </c>
      <c r="BF751" s="6" t="str">
        <f t="shared" si="353"/>
        <v/>
      </c>
    </row>
    <row r="752" spans="2:58" ht="15.75">
      <c r="B752" s="11">
        <v>46012</v>
      </c>
      <c r="C752" s="1">
        <v>508</v>
      </c>
      <c r="D752" s="3">
        <v>747</v>
      </c>
      <c r="E752" s="205" t="str">
        <f t="shared" si="341"/>
        <v/>
      </c>
      <c r="I752" s="15">
        <f t="shared" si="346"/>
        <v>0</v>
      </c>
      <c r="K752" s="10" t="str">
        <f t="shared" si="350"/>
        <v/>
      </c>
      <c r="L752" s="9" t="str">
        <f t="shared" si="351"/>
        <v/>
      </c>
      <c r="M752" s="8" t="str">
        <f t="shared" si="352"/>
        <v/>
      </c>
      <c r="AB752" s="5">
        <v>80</v>
      </c>
      <c r="AG752" s="1">
        <v>7.63</v>
      </c>
      <c r="AH752" s="20">
        <v>0.45057870370370373</v>
      </c>
      <c r="AJ752" s="1">
        <v>95</v>
      </c>
      <c r="AK752" s="3">
        <f t="shared" si="345"/>
        <v>240</v>
      </c>
      <c r="AN752" s="3">
        <v>40</v>
      </c>
      <c r="AP752" s="13">
        <f t="shared" si="343"/>
        <v>3120.0000000000273</v>
      </c>
      <c r="AR752" s="17"/>
      <c r="AS752" s="16" t="e">
        <f t="shared" si="348"/>
        <v>#DIV/0!</v>
      </c>
      <c r="AT752" s="16" t="e">
        <f t="shared" si="349"/>
        <v>#DIV/0!</v>
      </c>
      <c r="AU752" s="16" t="e">
        <f t="shared" si="347"/>
        <v>#DIV/0!</v>
      </c>
      <c r="AV752" s="57" t="str">
        <f t="shared" si="339"/>
        <v/>
      </c>
      <c r="AW752" s="57" t="str">
        <f t="shared" si="342"/>
        <v/>
      </c>
      <c r="AX752" s="57" t="str">
        <f t="shared" si="355"/>
        <v/>
      </c>
      <c r="AY752" s="57" t="str">
        <f t="shared" si="340"/>
        <v/>
      </c>
      <c r="AZ752" s="57" t="str">
        <f t="shared" si="354"/>
        <v/>
      </c>
      <c r="BF752" s="6" t="str">
        <f t="shared" si="353"/>
        <v/>
      </c>
    </row>
    <row r="753" spans="1:58" ht="15.75">
      <c r="B753" s="11">
        <v>46013</v>
      </c>
      <c r="C753" s="1">
        <v>509</v>
      </c>
      <c r="D753" s="3">
        <v>748</v>
      </c>
      <c r="E753" s="205">
        <f t="shared" si="341"/>
        <v>329.920706</v>
      </c>
      <c r="I753" s="15">
        <f t="shared" si="346"/>
        <v>0</v>
      </c>
      <c r="K753" s="10" t="str">
        <f t="shared" si="350"/>
        <v/>
      </c>
      <c r="L753" s="9" t="str">
        <f t="shared" si="351"/>
        <v/>
      </c>
      <c r="M753" s="8" t="str">
        <f t="shared" si="352"/>
        <v/>
      </c>
      <c r="O753" s="6">
        <v>25.431000000000001</v>
      </c>
      <c r="P753" s="6">
        <v>91.034000000000006</v>
      </c>
      <c r="Q753" s="6">
        <f>O753*1.067</f>
        <v>27.134876999999999</v>
      </c>
      <c r="R753" s="6">
        <f>P753*1.514</f>
        <v>137.82547600000001</v>
      </c>
      <c r="S753" s="6">
        <f>Q753+R753</f>
        <v>164.960353</v>
      </c>
      <c r="U753" s="6">
        <v>10.579000000000001</v>
      </c>
      <c r="V753" s="6">
        <v>21.332999999999998</v>
      </c>
      <c r="W753" s="23">
        <f>U753*1.067+V753*1.514</f>
        <v>43.585954999999998</v>
      </c>
      <c r="AB753" s="5">
        <v>80</v>
      </c>
      <c r="AG753" s="1">
        <v>4.6399999999999997</v>
      </c>
      <c r="AH753" s="20">
        <v>0.47268518518518521</v>
      </c>
      <c r="AJ753" s="1">
        <v>101</v>
      </c>
      <c r="AK753" s="3">
        <f t="shared" si="345"/>
        <v>240</v>
      </c>
      <c r="AN753" s="3">
        <v>40</v>
      </c>
      <c r="AO753" s="2">
        <v>3120.0000000000273</v>
      </c>
      <c r="AP753" s="13">
        <f t="shared" si="343"/>
        <v>3120.0000000000273</v>
      </c>
      <c r="AR753" s="17">
        <f>(E753-W753)/E753</f>
        <v>0.86788960435844842</v>
      </c>
      <c r="AS753" s="16" t="e">
        <f t="shared" si="348"/>
        <v>#DIV/0!</v>
      </c>
      <c r="AT753" s="16" t="e">
        <f t="shared" si="349"/>
        <v>#DIV/0!</v>
      </c>
      <c r="AU753" s="16" t="e">
        <f t="shared" si="347"/>
        <v>#DIV/0!</v>
      </c>
      <c r="AV753" s="57">
        <f t="shared" si="339"/>
        <v>286.33475099999998</v>
      </c>
      <c r="AW753" s="57" t="str">
        <f t="shared" si="342"/>
        <v/>
      </c>
      <c r="AX753" s="57" t="str">
        <f t="shared" si="355"/>
        <v/>
      </c>
      <c r="AY753" s="57" t="str">
        <f t="shared" si="340"/>
        <v/>
      </c>
      <c r="AZ753" s="57" t="str">
        <f t="shared" si="354"/>
        <v/>
      </c>
      <c r="BF753" s="6" t="str">
        <f t="shared" si="353"/>
        <v/>
      </c>
    </row>
    <row r="754" spans="1:58" ht="15.75">
      <c r="B754" s="11">
        <v>46014</v>
      </c>
      <c r="C754" s="1">
        <v>510</v>
      </c>
      <c r="D754" s="3">
        <v>749</v>
      </c>
      <c r="E754" s="205" t="str">
        <f t="shared" si="341"/>
        <v/>
      </c>
      <c r="I754" s="15">
        <f t="shared" si="346"/>
        <v>0</v>
      </c>
      <c r="K754" s="10" t="str">
        <f t="shared" si="350"/>
        <v/>
      </c>
      <c r="L754" s="9" t="str">
        <f t="shared" si="351"/>
        <v/>
      </c>
      <c r="M754" s="8" t="str">
        <f t="shared" si="352"/>
        <v/>
      </c>
      <c r="AB754" s="5">
        <v>80</v>
      </c>
      <c r="AG754" s="1">
        <v>1.97</v>
      </c>
      <c r="AH754" s="20">
        <v>0.44143518518518521</v>
      </c>
      <c r="AJ754" s="1">
        <v>95</v>
      </c>
      <c r="AK754" s="3">
        <f t="shared" si="345"/>
        <v>240</v>
      </c>
      <c r="AN754" s="3">
        <v>40</v>
      </c>
      <c r="AP754" s="13">
        <f t="shared" si="343"/>
        <v>3120.0000000000273</v>
      </c>
      <c r="AR754" s="17"/>
      <c r="AS754" s="16" t="e">
        <f t="shared" si="348"/>
        <v>#DIV/0!</v>
      </c>
      <c r="AT754" s="16" t="e">
        <f t="shared" si="349"/>
        <v>#DIV/0!</v>
      </c>
      <c r="AU754" s="16" t="e">
        <f t="shared" si="347"/>
        <v>#DIV/0!</v>
      </c>
      <c r="AV754" s="57" t="str">
        <f t="shared" si="339"/>
        <v/>
      </c>
      <c r="AW754" s="57" t="str">
        <f t="shared" si="342"/>
        <v/>
      </c>
      <c r="AX754" s="57" t="str">
        <f t="shared" si="355"/>
        <v/>
      </c>
      <c r="AY754" s="57" t="str">
        <f t="shared" si="340"/>
        <v/>
      </c>
      <c r="AZ754" s="57" t="str">
        <f t="shared" si="354"/>
        <v/>
      </c>
      <c r="BF754" s="6" t="str">
        <f t="shared" si="353"/>
        <v/>
      </c>
    </row>
    <row r="755" spans="1:58" ht="15.75">
      <c r="B755" s="11">
        <v>46015</v>
      </c>
      <c r="C755" s="1">
        <v>511</v>
      </c>
      <c r="D755" s="3">
        <v>750</v>
      </c>
      <c r="E755" s="205" t="str">
        <f t="shared" si="341"/>
        <v/>
      </c>
      <c r="I755" s="15">
        <f t="shared" si="346"/>
        <v>0</v>
      </c>
      <c r="K755" s="10" t="str">
        <f t="shared" si="350"/>
        <v/>
      </c>
      <c r="L755" s="9" t="str">
        <f t="shared" si="351"/>
        <v/>
      </c>
      <c r="M755" s="8" t="str">
        <f t="shared" si="352"/>
        <v/>
      </c>
      <c r="AB755" s="5">
        <v>80</v>
      </c>
      <c r="AG755" s="1">
        <v>1.97</v>
      </c>
      <c r="AH755" s="20">
        <v>0.44143518518518521</v>
      </c>
      <c r="AJ755" s="1">
        <v>101</v>
      </c>
      <c r="AK755" s="3">
        <f t="shared" si="345"/>
        <v>240</v>
      </c>
      <c r="AN755" s="3">
        <v>40</v>
      </c>
      <c r="AP755" s="13">
        <f t="shared" si="343"/>
        <v>3120.0000000000273</v>
      </c>
      <c r="AR755" s="17"/>
      <c r="AS755" s="16" t="e">
        <f t="shared" si="348"/>
        <v>#DIV/0!</v>
      </c>
      <c r="AT755" s="16" t="e">
        <f t="shared" si="349"/>
        <v>#DIV/0!</v>
      </c>
      <c r="AU755" s="16" t="e">
        <f t="shared" si="347"/>
        <v>#DIV/0!</v>
      </c>
      <c r="AV755" s="57" t="str">
        <f t="shared" si="339"/>
        <v/>
      </c>
      <c r="AW755" s="57" t="str">
        <f t="shared" si="342"/>
        <v/>
      </c>
      <c r="AX755" s="57" t="str">
        <f t="shared" si="355"/>
        <v/>
      </c>
      <c r="AY755" s="57" t="str">
        <f t="shared" si="340"/>
        <v/>
      </c>
      <c r="AZ755" s="57" t="str">
        <f t="shared" si="354"/>
        <v/>
      </c>
      <c r="BF755" s="6" t="str">
        <f t="shared" si="353"/>
        <v/>
      </c>
    </row>
    <row r="756" spans="1:58" ht="15.75">
      <c r="B756" s="11">
        <v>46016</v>
      </c>
      <c r="C756" s="1">
        <v>512</v>
      </c>
      <c r="D756" s="3">
        <v>751</v>
      </c>
      <c r="E756" s="205" t="str">
        <f t="shared" si="341"/>
        <v/>
      </c>
      <c r="I756" s="15">
        <f t="shared" si="346"/>
        <v>0</v>
      </c>
      <c r="K756" s="10" t="str">
        <f t="shared" si="350"/>
        <v/>
      </c>
      <c r="L756" s="9" t="str">
        <f t="shared" si="351"/>
        <v/>
      </c>
      <c r="M756" s="8" t="str">
        <f t="shared" si="352"/>
        <v/>
      </c>
      <c r="AB756" s="5">
        <v>80</v>
      </c>
      <c r="AG756" s="1">
        <v>1.19</v>
      </c>
      <c r="AH756" s="20">
        <v>0.44050925925925927</v>
      </c>
      <c r="AJ756" s="1">
        <v>105</v>
      </c>
      <c r="AK756" s="3">
        <f t="shared" si="345"/>
        <v>240</v>
      </c>
      <c r="AN756" s="3">
        <v>40</v>
      </c>
      <c r="AP756" s="13" t="e">
        <f t="shared" si="343"/>
        <v>#DIV/0!</v>
      </c>
      <c r="AR756" s="17"/>
      <c r="AS756" s="16" t="e">
        <f t="shared" si="348"/>
        <v>#DIV/0!</v>
      </c>
      <c r="AT756" s="16" t="e">
        <f t="shared" si="349"/>
        <v>#DIV/0!</v>
      </c>
      <c r="AU756" s="16" t="e">
        <f t="shared" ref="AU756:AU775" si="356">(G756-AM756)/G756</f>
        <v>#DIV/0!</v>
      </c>
      <c r="AV756" s="57" t="str">
        <f t="shared" si="339"/>
        <v/>
      </c>
      <c r="AW756" s="57" t="str">
        <f t="shared" si="342"/>
        <v/>
      </c>
      <c r="AX756" s="57" t="str">
        <f t="shared" si="355"/>
        <v/>
      </c>
      <c r="AY756" s="57" t="str">
        <f t="shared" si="340"/>
        <v/>
      </c>
      <c r="AZ756" s="57" t="str">
        <f t="shared" si="354"/>
        <v/>
      </c>
      <c r="BF756" s="6"/>
    </row>
    <row r="757" spans="1:58" ht="15.75">
      <c r="B757" s="11">
        <v>46017</v>
      </c>
      <c r="C757" s="1">
        <v>513</v>
      </c>
      <c r="D757" s="3">
        <v>752</v>
      </c>
      <c r="E757" s="205" t="str">
        <f t="shared" si="341"/>
        <v/>
      </c>
      <c r="I757" s="15">
        <f t="shared" si="346"/>
        <v>0</v>
      </c>
      <c r="K757" s="10" t="str">
        <f t="shared" si="350"/>
        <v/>
      </c>
      <c r="L757" s="9" t="str">
        <f t="shared" si="351"/>
        <v/>
      </c>
      <c r="M757" s="8" t="str">
        <f t="shared" si="352"/>
        <v/>
      </c>
      <c r="AB757" s="5">
        <v>80</v>
      </c>
      <c r="AG757" s="1">
        <v>0.35</v>
      </c>
      <c r="AH757" s="20">
        <v>0.43912037037037038</v>
      </c>
      <c r="AJ757" s="1">
        <v>107</v>
      </c>
      <c r="AK757" s="3">
        <f t="shared" si="345"/>
        <v>240</v>
      </c>
      <c r="AN757" s="3">
        <v>40</v>
      </c>
      <c r="AP757" s="13" t="e">
        <f t="shared" si="343"/>
        <v>#DIV/0!</v>
      </c>
      <c r="AR757" s="17"/>
      <c r="AS757" s="16" t="e">
        <f t="shared" ref="AS757:AS773" si="357">(I757-AF757)/I757</f>
        <v>#DIV/0!</v>
      </c>
      <c r="AT757" s="16" t="e">
        <f t="shared" ref="AT757:AT778" si="358">AG757/(AD757-AF757)</f>
        <v>#DIV/0!</v>
      </c>
      <c r="AU757" s="16" t="e">
        <f t="shared" si="356"/>
        <v>#DIV/0!</v>
      </c>
      <c r="AV757" s="57" t="str">
        <f t="shared" si="339"/>
        <v/>
      </c>
      <c r="AW757" s="57" t="str">
        <f t="shared" si="342"/>
        <v/>
      </c>
      <c r="AX757" s="57" t="str">
        <f t="shared" si="355"/>
        <v/>
      </c>
      <c r="AY757" s="57" t="str">
        <f t="shared" si="340"/>
        <v/>
      </c>
      <c r="AZ757" s="57" t="str">
        <f t="shared" si="354"/>
        <v/>
      </c>
      <c r="BF757" s="6"/>
    </row>
    <row r="758" spans="1:58" ht="15.75">
      <c r="B758" s="11">
        <v>46018</v>
      </c>
      <c r="C758" s="1">
        <v>514</v>
      </c>
      <c r="D758" s="3">
        <v>753</v>
      </c>
      <c r="E758" s="205" t="str">
        <f t="shared" si="341"/>
        <v/>
      </c>
      <c r="I758" s="15">
        <f t="shared" si="346"/>
        <v>0</v>
      </c>
      <c r="K758" s="10" t="str">
        <f t="shared" si="350"/>
        <v/>
      </c>
      <c r="L758" s="9" t="str">
        <f t="shared" si="351"/>
        <v/>
      </c>
      <c r="M758" s="8" t="str">
        <f t="shared" si="352"/>
        <v/>
      </c>
      <c r="AB758" s="5">
        <v>80</v>
      </c>
      <c r="AG758" s="1">
        <v>0.17</v>
      </c>
      <c r="AH758" s="20">
        <v>0.44189814814814815</v>
      </c>
      <c r="AJ758" s="1">
        <v>105</v>
      </c>
      <c r="AK758" s="3">
        <f t="shared" si="345"/>
        <v>240</v>
      </c>
      <c r="AN758" s="3">
        <v>40</v>
      </c>
      <c r="AP758" s="13" t="e">
        <f t="shared" si="343"/>
        <v>#DIV/0!</v>
      </c>
      <c r="AR758" s="17"/>
      <c r="AS758" s="16" t="e">
        <f t="shared" si="357"/>
        <v>#DIV/0!</v>
      </c>
      <c r="AT758" s="16" t="e">
        <f t="shared" si="358"/>
        <v>#DIV/0!</v>
      </c>
      <c r="AU758" s="16" t="e">
        <f t="shared" si="356"/>
        <v>#DIV/0!</v>
      </c>
      <c r="AV758" s="57" t="str">
        <f t="shared" si="339"/>
        <v/>
      </c>
      <c r="AW758" s="57" t="str">
        <f t="shared" si="342"/>
        <v/>
      </c>
      <c r="AX758" s="57" t="str">
        <f t="shared" si="355"/>
        <v/>
      </c>
      <c r="AY758" s="57" t="str">
        <f t="shared" si="340"/>
        <v/>
      </c>
      <c r="AZ758" s="57" t="str">
        <f t="shared" si="354"/>
        <v/>
      </c>
      <c r="BF758" s="6"/>
    </row>
    <row r="759" spans="1:58" ht="15.75">
      <c r="B759" s="11">
        <v>46019</v>
      </c>
      <c r="C759" s="1">
        <v>515</v>
      </c>
      <c r="D759" s="3">
        <v>754</v>
      </c>
      <c r="E759" s="205" t="str">
        <f t="shared" si="341"/>
        <v/>
      </c>
      <c r="I759" s="15">
        <f t="shared" si="346"/>
        <v>0</v>
      </c>
      <c r="K759" s="10" t="str">
        <f t="shared" si="350"/>
        <v/>
      </c>
      <c r="L759" s="9" t="str">
        <f t="shared" si="351"/>
        <v/>
      </c>
      <c r="M759" s="8" t="str">
        <f t="shared" si="352"/>
        <v/>
      </c>
      <c r="AB759" s="5">
        <v>80</v>
      </c>
      <c r="AG759" s="1">
        <v>0.23</v>
      </c>
      <c r="AH759" s="20">
        <v>0.44212962962962965</v>
      </c>
      <c r="AJ759" s="1">
        <v>109</v>
      </c>
      <c r="AK759" s="3">
        <f t="shared" si="345"/>
        <v>240</v>
      </c>
      <c r="AN759" s="3">
        <v>40</v>
      </c>
      <c r="AP759" s="13" t="e">
        <f t="shared" si="343"/>
        <v>#DIV/0!</v>
      </c>
      <c r="AR759" s="17"/>
      <c r="AS759" s="16" t="e">
        <f t="shared" si="357"/>
        <v>#DIV/0!</v>
      </c>
      <c r="AT759" s="16" t="e">
        <f t="shared" si="358"/>
        <v>#DIV/0!</v>
      </c>
      <c r="AU759" s="16" t="e">
        <f t="shared" si="356"/>
        <v>#DIV/0!</v>
      </c>
      <c r="AV759" s="57" t="str">
        <f t="shared" ref="AV759:AV822" si="359">IF(AND(ISNUMBER(E759),ISNUMBER(W759)),E759-W759,"")</f>
        <v/>
      </c>
      <c r="AW759" s="57" t="str">
        <f t="shared" si="342"/>
        <v/>
      </c>
      <c r="AX759" s="57" t="str">
        <f t="shared" si="355"/>
        <v/>
      </c>
      <c r="AY759" s="57" t="str">
        <f t="shared" si="340"/>
        <v/>
      </c>
      <c r="AZ759" s="57" t="str">
        <f t="shared" si="354"/>
        <v/>
      </c>
      <c r="BF759" s="6"/>
    </row>
    <row r="760" spans="1:58" ht="15.75">
      <c r="B760" s="11">
        <v>46020</v>
      </c>
      <c r="C760" s="1">
        <v>516</v>
      </c>
      <c r="D760" s="3">
        <v>755</v>
      </c>
      <c r="E760" s="205" t="str">
        <f t="shared" si="341"/>
        <v/>
      </c>
      <c r="I760" s="15">
        <f t="shared" si="346"/>
        <v>0</v>
      </c>
      <c r="K760" s="10" t="str">
        <f t="shared" si="350"/>
        <v/>
      </c>
      <c r="L760" s="9" t="str">
        <f t="shared" si="351"/>
        <v/>
      </c>
      <c r="M760" s="8" t="str">
        <f t="shared" si="352"/>
        <v/>
      </c>
      <c r="AB760" s="5">
        <v>80</v>
      </c>
      <c r="AG760" s="1">
        <v>0.28000000000000003</v>
      </c>
      <c r="AH760" s="20">
        <v>0.44259259259259259</v>
      </c>
      <c r="AJ760" s="1">
        <v>107</v>
      </c>
      <c r="AK760" s="3">
        <f t="shared" si="345"/>
        <v>240</v>
      </c>
      <c r="AN760" s="3">
        <v>40</v>
      </c>
      <c r="AP760" s="13" t="e">
        <f t="shared" si="343"/>
        <v>#DIV/0!</v>
      </c>
      <c r="AR760" s="17"/>
      <c r="AS760" s="16" t="e">
        <f t="shared" si="357"/>
        <v>#DIV/0!</v>
      </c>
      <c r="AT760" s="16" t="e">
        <f t="shared" si="358"/>
        <v>#DIV/0!</v>
      </c>
      <c r="AU760" s="16" t="e">
        <f t="shared" si="356"/>
        <v>#DIV/0!</v>
      </c>
      <c r="AV760" s="57" t="str">
        <f t="shared" si="359"/>
        <v/>
      </c>
      <c r="AW760" s="57" t="str">
        <f t="shared" si="342"/>
        <v/>
      </c>
      <c r="AX760" s="57" t="str">
        <f t="shared" si="355"/>
        <v/>
      </c>
      <c r="AY760" s="57" t="str">
        <f t="shared" si="340"/>
        <v/>
      </c>
      <c r="AZ760" s="57" t="str">
        <f t="shared" si="354"/>
        <v/>
      </c>
      <c r="BF760" s="6"/>
    </row>
    <row r="761" spans="1:58" ht="15.75">
      <c r="B761" s="11">
        <v>46021</v>
      </c>
      <c r="C761" s="1">
        <v>517</v>
      </c>
      <c r="D761" s="3">
        <v>756</v>
      </c>
      <c r="E761" s="205" t="str">
        <f t="shared" si="341"/>
        <v/>
      </c>
      <c r="I761" s="15">
        <f t="shared" si="346"/>
        <v>0</v>
      </c>
      <c r="K761" s="10" t="str">
        <f t="shared" si="350"/>
        <v/>
      </c>
      <c r="L761" s="9" t="str">
        <f t="shared" si="351"/>
        <v/>
      </c>
      <c r="M761" s="8" t="str">
        <f t="shared" si="352"/>
        <v/>
      </c>
      <c r="AB761" s="5">
        <v>80</v>
      </c>
      <c r="AG761" s="1">
        <v>0.32</v>
      </c>
      <c r="AH761" s="20">
        <v>0.44282407407407409</v>
      </c>
      <c r="AJ761" s="1">
        <v>105</v>
      </c>
      <c r="AK761" s="3">
        <f t="shared" si="345"/>
        <v>240</v>
      </c>
      <c r="AN761" s="3">
        <v>40</v>
      </c>
      <c r="AP761" s="13" t="e">
        <f t="shared" si="343"/>
        <v>#DIV/0!</v>
      </c>
      <c r="AR761" s="17"/>
      <c r="AS761" s="16" t="e">
        <f t="shared" si="357"/>
        <v>#DIV/0!</v>
      </c>
      <c r="AT761" s="16" t="e">
        <f t="shared" si="358"/>
        <v>#DIV/0!</v>
      </c>
      <c r="AU761" s="16" t="e">
        <f t="shared" si="356"/>
        <v>#DIV/0!</v>
      </c>
      <c r="AV761" s="57" t="str">
        <f t="shared" si="359"/>
        <v/>
      </c>
      <c r="AW761" s="57" t="str">
        <f t="shared" si="342"/>
        <v/>
      </c>
      <c r="AX761" s="57" t="str">
        <f t="shared" si="355"/>
        <v/>
      </c>
      <c r="AY761" s="57" t="str">
        <f t="shared" si="340"/>
        <v/>
      </c>
      <c r="AZ761" s="57" t="str">
        <f t="shared" si="354"/>
        <v/>
      </c>
      <c r="BF761" s="6"/>
    </row>
    <row r="762" spans="1:58" ht="15.75">
      <c r="B762" s="11">
        <v>46022</v>
      </c>
      <c r="C762" s="1">
        <v>518</v>
      </c>
      <c r="D762" s="3">
        <v>757</v>
      </c>
      <c r="E762" s="205" t="str">
        <f t="shared" si="341"/>
        <v/>
      </c>
      <c r="I762" s="15">
        <f t="shared" si="346"/>
        <v>0</v>
      </c>
      <c r="K762" s="10" t="str">
        <f t="shared" si="350"/>
        <v/>
      </c>
      <c r="L762" s="9" t="str">
        <f t="shared" si="351"/>
        <v/>
      </c>
      <c r="M762" s="8" t="str">
        <f t="shared" si="352"/>
        <v/>
      </c>
      <c r="AB762" s="5">
        <v>80</v>
      </c>
      <c r="AG762" s="1">
        <v>0.39</v>
      </c>
      <c r="AH762" s="20">
        <v>0.44282407407407409</v>
      </c>
      <c r="AJ762" s="1">
        <v>105</v>
      </c>
      <c r="AK762" s="3">
        <f t="shared" si="345"/>
        <v>240</v>
      </c>
      <c r="AN762" s="3">
        <v>40</v>
      </c>
      <c r="AP762" s="13" t="e">
        <f t="shared" si="343"/>
        <v>#DIV/0!</v>
      </c>
      <c r="AR762" s="17"/>
      <c r="AS762" s="16" t="e">
        <f t="shared" si="357"/>
        <v>#DIV/0!</v>
      </c>
      <c r="AT762" s="16" t="e">
        <f t="shared" si="358"/>
        <v>#DIV/0!</v>
      </c>
      <c r="AU762" s="16" t="e">
        <f t="shared" si="356"/>
        <v>#DIV/0!</v>
      </c>
      <c r="AV762" s="57" t="str">
        <f t="shared" si="359"/>
        <v/>
      </c>
      <c r="AW762" s="57" t="str">
        <f t="shared" si="342"/>
        <v/>
      </c>
      <c r="AX762" s="57" t="str">
        <f t="shared" si="355"/>
        <v/>
      </c>
      <c r="AY762" s="57" t="str">
        <f t="shared" si="340"/>
        <v/>
      </c>
      <c r="AZ762" s="57" t="str">
        <f t="shared" si="354"/>
        <v/>
      </c>
      <c r="BF762" s="6"/>
    </row>
    <row r="763" spans="1:58" ht="15.75">
      <c r="B763" s="11">
        <v>46023</v>
      </c>
      <c r="C763" s="1">
        <v>519</v>
      </c>
      <c r="D763" s="3">
        <v>758</v>
      </c>
      <c r="E763" s="205" t="str">
        <f t="shared" si="341"/>
        <v/>
      </c>
      <c r="I763" s="15">
        <f t="shared" si="346"/>
        <v>0</v>
      </c>
      <c r="K763" s="10" t="str">
        <f t="shared" si="350"/>
        <v/>
      </c>
      <c r="L763" s="9" t="str">
        <f t="shared" si="351"/>
        <v/>
      </c>
      <c r="M763" s="8" t="str">
        <f t="shared" si="352"/>
        <v/>
      </c>
      <c r="AB763" s="5">
        <v>80</v>
      </c>
      <c r="AG763" s="1">
        <v>0.37</v>
      </c>
      <c r="AH763" s="20">
        <v>0.44363425925925926</v>
      </c>
      <c r="AJ763" s="1">
        <v>109</v>
      </c>
      <c r="AK763" s="3">
        <f t="shared" si="345"/>
        <v>240</v>
      </c>
      <c r="AN763" s="3">
        <v>40</v>
      </c>
      <c r="AP763" s="13" t="e">
        <f t="shared" si="343"/>
        <v>#DIV/0!</v>
      </c>
      <c r="AR763" s="17"/>
      <c r="AS763" s="16" t="e">
        <f t="shared" si="357"/>
        <v>#DIV/0!</v>
      </c>
      <c r="AT763" s="16" t="e">
        <f t="shared" si="358"/>
        <v>#DIV/0!</v>
      </c>
      <c r="AU763" s="16" t="e">
        <f t="shared" si="356"/>
        <v>#DIV/0!</v>
      </c>
      <c r="AV763" s="57" t="str">
        <f t="shared" si="359"/>
        <v/>
      </c>
      <c r="AW763" s="57" t="str">
        <f t="shared" si="342"/>
        <v/>
      </c>
      <c r="AX763" s="57" t="str">
        <f t="shared" si="355"/>
        <v/>
      </c>
      <c r="AY763" s="57" t="str">
        <f t="shared" si="340"/>
        <v/>
      </c>
      <c r="AZ763" s="57" t="str">
        <f t="shared" si="354"/>
        <v/>
      </c>
      <c r="BF763" s="6"/>
    </row>
    <row r="764" spans="1:58" ht="15.75">
      <c r="B764" s="11">
        <v>46024</v>
      </c>
      <c r="C764" s="1">
        <v>520</v>
      </c>
      <c r="D764" s="3">
        <v>759</v>
      </c>
      <c r="E764" s="205">
        <f t="shared" si="341"/>
        <v>294.77691400000003</v>
      </c>
      <c r="G764" s="15">
        <f>(N764*18-H764*18)/9</f>
        <v>35.5</v>
      </c>
      <c r="H764" s="15">
        <f>5*7.15</f>
        <v>35.75</v>
      </c>
      <c r="I764" s="15">
        <f t="shared" si="346"/>
        <v>19.899999999999999</v>
      </c>
      <c r="K764" s="10">
        <f t="shared" si="350"/>
        <v>8.3035750422535219</v>
      </c>
      <c r="L764" s="9">
        <f t="shared" si="351"/>
        <v>7.4064551256281419</v>
      </c>
      <c r="M764" s="8">
        <f t="shared" si="352"/>
        <v>1.1211267605633801</v>
      </c>
      <c r="N764" s="7">
        <f>5*10.7</f>
        <v>53.5</v>
      </c>
      <c r="O764" s="6">
        <v>23.271000000000001</v>
      </c>
      <c r="P764" s="6">
        <v>80.95</v>
      </c>
      <c r="Q764" s="6">
        <f>O764*1.067</f>
        <v>24.830157</v>
      </c>
      <c r="R764" s="6">
        <f>P764*1.514</f>
        <v>122.5583</v>
      </c>
      <c r="S764" s="6">
        <f>Q764+R764</f>
        <v>147.38845700000002</v>
      </c>
      <c r="T764" s="6">
        <v>65.8</v>
      </c>
      <c r="U764" s="6">
        <v>0</v>
      </c>
      <c r="V764" s="6">
        <v>0</v>
      </c>
      <c r="W764" s="23">
        <f>U764*1.067+V764*1.514</f>
        <v>0</v>
      </c>
      <c r="AB764" s="5">
        <v>80</v>
      </c>
      <c r="AC764" s="7">
        <f>T764</f>
        <v>65.8</v>
      </c>
      <c r="AD764" s="1">
        <f>5*3.98</f>
        <v>19.899999999999999</v>
      </c>
      <c r="AE764" s="1">
        <v>51.3</v>
      </c>
      <c r="AF764" s="1">
        <v>0</v>
      </c>
      <c r="AG764" s="1">
        <v>3.01</v>
      </c>
      <c r="AH764" s="20">
        <v>0.48599537037037038</v>
      </c>
      <c r="AJ764" s="1">
        <v>105</v>
      </c>
      <c r="AK764" s="3">
        <f t="shared" si="345"/>
        <v>240</v>
      </c>
      <c r="AL764" s="4">
        <f>AE764</f>
        <v>51.3</v>
      </c>
      <c r="AM764" s="1">
        <f>5*6.59</f>
        <v>32.950000000000003</v>
      </c>
      <c r="AN764" s="3">
        <v>40</v>
      </c>
      <c r="AP764" s="13" t="e">
        <f t="shared" si="343"/>
        <v>#DIV/0!</v>
      </c>
      <c r="AR764" s="17">
        <f>(E764-W764)/E764</f>
        <v>1</v>
      </c>
      <c r="AS764" s="16">
        <f t="shared" si="357"/>
        <v>1</v>
      </c>
      <c r="AT764" s="16">
        <f t="shared" si="358"/>
        <v>0.15125628140703518</v>
      </c>
      <c r="AU764" s="16">
        <f t="shared" si="356"/>
        <v>7.1830985915492876E-2</v>
      </c>
      <c r="AV764" s="57">
        <f t="shared" si="359"/>
        <v>294.77691400000003</v>
      </c>
      <c r="AW764" s="57">
        <f t="shared" si="342"/>
        <v>19.899999999999999</v>
      </c>
      <c r="AX764" s="57">
        <f t="shared" si="355"/>
        <v>2.5499999999999972</v>
      </c>
      <c r="AY764" s="57">
        <f t="shared" si="340"/>
        <v>14.5</v>
      </c>
      <c r="AZ764" s="57">
        <f t="shared" si="354"/>
        <v>18.349999999999994</v>
      </c>
      <c r="BF764" s="6"/>
    </row>
    <row r="765" spans="1:58" ht="15.75">
      <c r="B765" s="11">
        <v>46025</v>
      </c>
      <c r="C765" s="1">
        <v>521</v>
      </c>
      <c r="D765" s="3">
        <v>760</v>
      </c>
      <c r="E765" s="205" t="str">
        <f t="shared" si="341"/>
        <v/>
      </c>
      <c r="I765" s="15">
        <f t="shared" si="346"/>
        <v>0</v>
      </c>
      <c r="K765" s="10" t="str">
        <f t="shared" si="350"/>
        <v/>
      </c>
      <c r="L765" s="9" t="str">
        <f t="shared" si="351"/>
        <v/>
      </c>
      <c r="M765" s="8" t="str">
        <f t="shared" si="352"/>
        <v/>
      </c>
      <c r="AB765" s="5">
        <v>80</v>
      </c>
      <c r="AG765" s="1">
        <v>0.31</v>
      </c>
      <c r="AH765" s="20">
        <v>0.44270833333333331</v>
      </c>
      <c r="AJ765" s="1">
        <v>107</v>
      </c>
      <c r="AK765" s="3">
        <f t="shared" si="345"/>
        <v>240</v>
      </c>
      <c r="AN765" s="3">
        <v>40</v>
      </c>
      <c r="AP765" s="13" t="e">
        <f t="shared" si="343"/>
        <v>#DIV/0!</v>
      </c>
      <c r="AR765" s="17"/>
      <c r="AS765" s="16" t="e">
        <f t="shared" si="357"/>
        <v>#DIV/0!</v>
      </c>
      <c r="AT765" s="16" t="e">
        <f t="shared" si="358"/>
        <v>#DIV/0!</v>
      </c>
      <c r="AU765" s="16" t="e">
        <f t="shared" si="356"/>
        <v>#DIV/0!</v>
      </c>
      <c r="AV765" s="57" t="str">
        <f t="shared" si="359"/>
        <v/>
      </c>
      <c r="AW765" s="57" t="str">
        <f t="shared" si="342"/>
        <v/>
      </c>
      <c r="AX765" s="57" t="str">
        <f t="shared" si="355"/>
        <v/>
      </c>
      <c r="AY765" s="57" t="str">
        <f t="shared" si="340"/>
        <v/>
      </c>
      <c r="AZ765" s="57" t="str">
        <f t="shared" si="354"/>
        <v/>
      </c>
      <c r="BF765" s="6"/>
    </row>
    <row r="766" spans="1:58" ht="15.75">
      <c r="B766" s="11">
        <v>46026</v>
      </c>
      <c r="C766" s="1">
        <v>522</v>
      </c>
      <c r="D766" s="3">
        <v>761</v>
      </c>
      <c r="E766" s="205" t="str">
        <f t="shared" si="341"/>
        <v/>
      </c>
      <c r="G766" s="15">
        <v>14</v>
      </c>
      <c r="H766" s="15"/>
      <c r="I766" s="15">
        <f t="shared" si="346"/>
        <v>21</v>
      </c>
      <c r="K766" s="10" t="str">
        <f t="shared" si="350"/>
        <v/>
      </c>
      <c r="L766" s="9" t="str">
        <f t="shared" si="351"/>
        <v/>
      </c>
      <c r="M766" s="8">
        <f t="shared" si="352"/>
        <v>3</v>
      </c>
      <c r="T766" s="6">
        <v>72.3</v>
      </c>
      <c r="AB766" s="5">
        <v>80</v>
      </c>
      <c r="AC766" s="7">
        <f>T766</f>
        <v>72.3</v>
      </c>
      <c r="AD766" s="1">
        <f>5*4.2</f>
        <v>21</v>
      </c>
      <c r="AE766" s="1">
        <v>70.5</v>
      </c>
      <c r="AF766" s="1">
        <v>0</v>
      </c>
      <c r="AG766" s="1">
        <v>0.46</v>
      </c>
      <c r="AH766" s="20">
        <v>0.44641203703703702</v>
      </c>
      <c r="AJ766" s="1">
        <v>107</v>
      </c>
      <c r="AK766" s="3">
        <f t="shared" si="345"/>
        <v>240</v>
      </c>
      <c r="AL766" s="4">
        <f>AE766</f>
        <v>70.5</v>
      </c>
      <c r="AM766" s="1">
        <v>99.3</v>
      </c>
      <c r="AN766" s="3">
        <v>40</v>
      </c>
      <c r="AP766" s="13" t="e">
        <f t="shared" si="343"/>
        <v>#DIV/0!</v>
      </c>
      <c r="AR766" s="17"/>
      <c r="AS766" s="16">
        <f t="shared" si="357"/>
        <v>1</v>
      </c>
      <c r="AT766" s="16">
        <f t="shared" si="358"/>
        <v>2.1904761904761906E-2</v>
      </c>
      <c r="AU766" s="16">
        <f t="shared" si="356"/>
        <v>-6.0928571428571425</v>
      </c>
      <c r="AV766" s="57" t="str">
        <f t="shared" si="359"/>
        <v/>
      </c>
      <c r="AW766" s="57">
        <f t="shared" si="342"/>
        <v>21</v>
      </c>
      <c r="AX766" s="57">
        <f t="shared" si="355"/>
        <v>-85.3</v>
      </c>
      <c r="AY766" s="57">
        <f t="shared" si="340"/>
        <v>1.7999999999999972</v>
      </c>
      <c r="AZ766" s="57">
        <f t="shared" si="354"/>
        <v>-28.799999999999997</v>
      </c>
      <c r="BF766" s="6"/>
    </row>
    <row r="767" spans="1:58" ht="15.75">
      <c r="A767" s="25" t="s">
        <v>11</v>
      </c>
      <c r="B767" s="11">
        <v>46027</v>
      </c>
      <c r="C767" s="1">
        <v>523</v>
      </c>
      <c r="D767" s="3">
        <v>762</v>
      </c>
      <c r="E767" s="205" t="str">
        <f t="shared" si="341"/>
        <v/>
      </c>
      <c r="G767" s="15">
        <v>14</v>
      </c>
      <c r="H767" s="15"/>
      <c r="I767" s="15">
        <f t="shared" si="346"/>
        <v>21</v>
      </c>
      <c r="K767" s="10" t="str">
        <f t="shared" si="350"/>
        <v/>
      </c>
      <c r="L767" s="9" t="str">
        <f t="shared" si="351"/>
        <v/>
      </c>
      <c r="M767" s="8">
        <f t="shared" si="352"/>
        <v>3</v>
      </c>
      <c r="T767" s="6">
        <f>30.5</f>
        <v>30.5</v>
      </c>
      <c r="U767" s="6">
        <v>16.959</v>
      </c>
      <c r="V767" s="6">
        <v>17.135999999999999</v>
      </c>
      <c r="W767" s="23">
        <f>U767*1.067+V767*1.514</f>
        <v>44.039157000000003</v>
      </c>
      <c r="AB767" s="5">
        <v>80</v>
      </c>
      <c r="AC767" s="7">
        <f>T767</f>
        <v>30.5</v>
      </c>
      <c r="AD767" s="1">
        <f>5*4.2</f>
        <v>21</v>
      </c>
      <c r="AE767" s="1">
        <f>19.6</f>
        <v>19.600000000000001</v>
      </c>
      <c r="AF767" s="1">
        <v>0</v>
      </c>
      <c r="AG767" s="1">
        <v>0.5</v>
      </c>
      <c r="AH767" s="20">
        <v>0.45</v>
      </c>
      <c r="AJ767" s="1">
        <v>93</v>
      </c>
      <c r="AK767" s="3">
        <f t="shared" si="345"/>
        <v>240</v>
      </c>
      <c r="AL767" s="4">
        <f>AE767</f>
        <v>19.600000000000001</v>
      </c>
      <c r="AM767" s="1">
        <f>10.7</f>
        <v>10.7</v>
      </c>
      <c r="AN767" s="3">
        <v>40</v>
      </c>
      <c r="AP767" s="13" t="e">
        <f t="shared" si="343"/>
        <v>#DIV/0!</v>
      </c>
      <c r="AR767" s="17"/>
      <c r="AS767" s="16">
        <f t="shared" si="357"/>
        <v>1</v>
      </c>
      <c r="AT767" s="16">
        <f t="shared" si="358"/>
        <v>2.3809523809523808E-2</v>
      </c>
      <c r="AU767" s="16">
        <f t="shared" si="356"/>
        <v>0.23571428571428577</v>
      </c>
      <c r="AV767" s="57" t="str">
        <f t="shared" si="359"/>
        <v/>
      </c>
      <c r="AW767" s="57">
        <f t="shared" si="342"/>
        <v>21</v>
      </c>
      <c r="AX767" s="57">
        <f t="shared" si="355"/>
        <v>3.3000000000000007</v>
      </c>
      <c r="AY767" s="57">
        <f t="shared" si="340"/>
        <v>10.899999999999999</v>
      </c>
      <c r="AZ767" s="57">
        <f t="shared" si="354"/>
        <v>8.9000000000000021</v>
      </c>
      <c r="BF767" s="6"/>
    </row>
    <row r="768" spans="1:58" ht="15.75">
      <c r="B768" s="11">
        <v>46028</v>
      </c>
      <c r="C768" s="1">
        <v>524</v>
      </c>
      <c r="D768" s="3">
        <v>763</v>
      </c>
      <c r="E768" s="205" t="str">
        <f t="shared" si="341"/>
        <v/>
      </c>
      <c r="G768" s="15">
        <v>14</v>
      </c>
      <c r="H768" s="15"/>
      <c r="I768" s="15">
        <f t="shared" si="346"/>
        <v>21</v>
      </c>
      <c r="K768" s="10" t="str">
        <f t="shared" si="350"/>
        <v/>
      </c>
      <c r="L768" s="9" t="str">
        <f t="shared" si="351"/>
        <v/>
      </c>
      <c r="M768" s="8">
        <f t="shared" si="352"/>
        <v>3</v>
      </c>
      <c r="T768" s="6">
        <f>30.5</f>
        <v>30.5</v>
      </c>
      <c r="AB768" s="5">
        <v>80</v>
      </c>
      <c r="AC768" s="7">
        <f>T768</f>
        <v>30.5</v>
      </c>
      <c r="AD768" s="1">
        <f>5*4.2</f>
        <v>21</v>
      </c>
      <c r="AE768" s="1">
        <v>22</v>
      </c>
      <c r="AF768" s="1">
        <v>0</v>
      </c>
      <c r="AG768" s="1">
        <v>0.63</v>
      </c>
      <c r="AH768" s="20">
        <v>0.44803240740740741</v>
      </c>
      <c r="AJ768" s="1">
        <v>93</v>
      </c>
      <c r="AK768" s="3">
        <f t="shared" si="345"/>
        <v>240</v>
      </c>
      <c r="AL768" s="4">
        <f>AE768</f>
        <v>22</v>
      </c>
      <c r="AM768" s="1">
        <v>12.2</v>
      </c>
      <c r="AN768" s="3">
        <v>40</v>
      </c>
      <c r="AP768" s="13" t="e">
        <f t="shared" si="343"/>
        <v>#DIV/0!</v>
      </c>
      <c r="AR768" s="17"/>
      <c r="AS768" s="16">
        <f t="shared" si="357"/>
        <v>1</v>
      </c>
      <c r="AT768" s="16">
        <f t="shared" si="358"/>
        <v>0.03</v>
      </c>
      <c r="AU768" s="16">
        <f t="shared" si="356"/>
        <v>0.12857142857142861</v>
      </c>
      <c r="AV768" s="57" t="str">
        <f t="shared" si="359"/>
        <v/>
      </c>
      <c r="AW768" s="57">
        <f t="shared" si="342"/>
        <v>21</v>
      </c>
      <c r="AX768" s="57">
        <f t="shared" si="355"/>
        <v>1.8000000000000007</v>
      </c>
      <c r="AY768" s="57">
        <f t="shared" si="340"/>
        <v>8.5</v>
      </c>
      <c r="AZ768" s="57">
        <f t="shared" si="354"/>
        <v>9.8000000000000007</v>
      </c>
      <c r="BF768" s="6"/>
    </row>
    <row r="769" spans="1:58" ht="15.75">
      <c r="B769" s="11">
        <v>46029</v>
      </c>
      <c r="C769" s="1">
        <v>525</v>
      </c>
      <c r="D769" s="3">
        <v>764</v>
      </c>
      <c r="E769" s="205" t="str">
        <f t="shared" si="341"/>
        <v/>
      </c>
      <c r="G769" s="15">
        <v>14</v>
      </c>
      <c r="H769" s="15"/>
      <c r="I769" s="15">
        <f t="shared" si="346"/>
        <v>21</v>
      </c>
      <c r="K769" s="10" t="str">
        <f t="shared" si="350"/>
        <v/>
      </c>
      <c r="L769" s="9" t="str">
        <f t="shared" si="351"/>
        <v/>
      </c>
      <c r="M769" s="8">
        <f t="shared" si="352"/>
        <v>3</v>
      </c>
      <c r="AB769" s="5">
        <v>80</v>
      </c>
      <c r="AC769" s="7">
        <f>T769</f>
        <v>0</v>
      </c>
      <c r="AD769" s="1">
        <f>5*4.2</f>
        <v>21</v>
      </c>
      <c r="AE769" s="1">
        <v>23.3</v>
      </c>
      <c r="AF769" s="1">
        <v>0</v>
      </c>
      <c r="AG769" s="1">
        <v>0.43</v>
      </c>
      <c r="AH769" s="20">
        <v>0.44305555555555554</v>
      </c>
      <c r="AJ769" s="1">
        <v>97</v>
      </c>
      <c r="AK769" s="3">
        <f t="shared" si="345"/>
        <v>240</v>
      </c>
      <c r="AL769" s="4">
        <f>AE769</f>
        <v>23.3</v>
      </c>
      <c r="AM769" s="1">
        <v>10.5</v>
      </c>
      <c r="AN769" s="3">
        <v>40</v>
      </c>
      <c r="AP769" s="13" t="e">
        <f t="shared" si="343"/>
        <v>#DIV/0!</v>
      </c>
      <c r="AR769" s="17"/>
      <c r="AS769" s="16">
        <f t="shared" si="357"/>
        <v>1</v>
      </c>
      <c r="AT769" s="16">
        <f t="shared" si="358"/>
        <v>2.0476190476190474E-2</v>
      </c>
      <c r="AU769" s="16">
        <f t="shared" si="356"/>
        <v>0.25</v>
      </c>
      <c r="AV769" s="57" t="str">
        <f t="shared" si="359"/>
        <v/>
      </c>
      <c r="AW769" s="57">
        <f t="shared" si="342"/>
        <v>21</v>
      </c>
      <c r="AX769" s="57">
        <f t="shared" si="355"/>
        <v>3.5</v>
      </c>
      <c r="AY769" s="57">
        <f t="shared" si="340"/>
        <v>-23.3</v>
      </c>
      <c r="AZ769" s="57">
        <f t="shared" si="354"/>
        <v>12.8</v>
      </c>
      <c r="BF769" s="6"/>
    </row>
    <row r="770" spans="1:58" ht="15.75">
      <c r="B770" s="11">
        <v>46030</v>
      </c>
      <c r="C770" s="1">
        <v>526</v>
      </c>
      <c r="D770" s="3">
        <v>765</v>
      </c>
      <c r="E770" s="205" t="str">
        <f t="shared" si="341"/>
        <v/>
      </c>
      <c r="I770" s="15">
        <f t="shared" si="346"/>
        <v>0</v>
      </c>
      <c r="K770" s="10" t="str">
        <f t="shared" si="350"/>
        <v/>
      </c>
      <c r="L770" s="9" t="str">
        <f t="shared" si="351"/>
        <v/>
      </c>
      <c r="M770" s="8" t="str">
        <f t="shared" si="352"/>
        <v/>
      </c>
      <c r="AB770" s="5">
        <v>80</v>
      </c>
      <c r="AG770" s="1">
        <v>4.92</v>
      </c>
      <c r="AH770" s="20">
        <v>0.53043981481481484</v>
      </c>
      <c r="AJ770" s="1">
        <v>95</v>
      </c>
      <c r="AK770" s="3">
        <f t="shared" si="345"/>
        <v>240</v>
      </c>
      <c r="AN770" s="3">
        <v>40</v>
      </c>
      <c r="AP770" s="13" t="e">
        <f t="shared" si="343"/>
        <v>#DIV/0!</v>
      </c>
      <c r="AR770" s="17"/>
      <c r="AS770" s="16" t="e">
        <f t="shared" si="357"/>
        <v>#DIV/0!</v>
      </c>
      <c r="AT770" s="16" t="e">
        <f t="shared" si="358"/>
        <v>#DIV/0!</v>
      </c>
      <c r="AU770" s="16" t="e">
        <f t="shared" si="356"/>
        <v>#DIV/0!</v>
      </c>
      <c r="AV770" s="57" t="str">
        <f t="shared" si="359"/>
        <v/>
      </c>
      <c r="AW770" s="57" t="str">
        <f t="shared" si="342"/>
        <v/>
      </c>
      <c r="AX770" s="57" t="str">
        <f t="shared" si="355"/>
        <v/>
      </c>
      <c r="AY770" s="57" t="str">
        <f t="shared" si="340"/>
        <v/>
      </c>
      <c r="AZ770" s="57" t="str">
        <f t="shared" si="354"/>
        <v/>
      </c>
      <c r="BF770" s="6"/>
    </row>
    <row r="771" spans="1:58" ht="15.75">
      <c r="B771" s="11">
        <v>46031</v>
      </c>
      <c r="C771" s="1">
        <v>527</v>
      </c>
      <c r="D771" s="3">
        <v>766</v>
      </c>
      <c r="E771" s="205" t="str">
        <f t="shared" si="341"/>
        <v/>
      </c>
      <c r="I771" s="15">
        <f t="shared" si="346"/>
        <v>0</v>
      </c>
      <c r="K771" s="10" t="str">
        <f t="shared" si="350"/>
        <v/>
      </c>
      <c r="L771" s="9" t="str">
        <f t="shared" si="351"/>
        <v/>
      </c>
      <c r="M771" s="8" t="str">
        <f t="shared" si="352"/>
        <v/>
      </c>
      <c r="AB771" s="5">
        <v>80</v>
      </c>
      <c r="AG771" s="1">
        <v>0.54</v>
      </c>
      <c r="AH771" s="20">
        <v>0.44282407407407409</v>
      </c>
      <c r="AJ771" s="1">
        <v>93</v>
      </c>
      <c r="AK771" s="3">
        <f t="shared" si="345"/>
        <v>240</v>
      </c>
      <c r="AN771" s="3">
        <v>40</v>
      </c>
      <c r="AP771" s="13" t="e">
        <f t="shared" si="343"/>
        <v>#DIV/0!</v>
      </c>
      <c r="AR771" s="17"/>
      <c r="AS771" s="16" t="e">
        <f t="shared" si="357"/>
        <v>#DIV/0!</v>
      </c>
      <c r="AT771" s="16" t="e">
        <f t="shared" si="358"/>
        <v>#DIV/0!</v>
      </c>
      <c r="AU771" s="16" t="e">
        <f t="shared" si="356"/>
        <v>#DIV/0!</v>
      </c>
      <c r="AV771" s="57" t="str">
        <f t="shared" si="359"/>
        <v/>
      </c>
      <c r="AW771" s="57" t="str">
        <f t="shared" si="342"/>
        <v/>
      </c>
      <c r="AX771" s="57" t="str">
        <f t="shared" si="355"/>
        <v/>
      </c>
      <c r="AY771" s="57" t="str">
        <f t="shared" si="340"/>
        <v/>
      </c>
      <c r="AZ771" s="57" t="str">
        <f t="shared" si="354"/>
        <v/>
      </c>
      <c r="BF771" s="6"/>
    </row>
    <row r="772" spans="1:58" ht="15.75">
      <c r="B772" s="11">
        <v>46032</v>
      </c>
      <c r="C772" s="1">
        <v>528</v>
      </c>
      <c r="D772" s="3">
        <v>767</v>
      </c>
      <c r="E772" s="205" t="str">
        <f t="shared" si="341"/>
        <v/>
      </c>
      <c r="I772" s="15">
        <f t="shared" si="346"/>
        <v>0</v>
      </c>
      <c r="K772" s="10" t="str">
        <f t="shared" si="350"/>
        <v/>
      </c>
      <c r="L772" s="9" t="str">
        <f t="shared" si="351"/>
        <v/>
      </c>
      <c r="M772" s="8" t="str">
        <f t="shared" si="352"/>
        <v/>
      </c>
      <c r="AB772" s="5">
        <v>80</v>
      </c>
      <c r="AG772" s="1">
        <v>0.48</v>
      </c>
      <c r="AH772" s="20">
        <v>0.44803240740740741</v>
      </c>
      <c r="AJ772" s="1">
        <v>91</v>
      </c>
      <c r="AK772" s="3">
        <f t="shared" si="345"/>
        <v>240</v>
      </c>
      <c r="AN772" s="3">
        <v>40</v>
      </c>
      <c r="AP772" s="13" t="e">
        <f t="shared" si="343"/>
        <v>#DIV/0!</v>
      </c>
      <c r="AR772" s="17"/>
      <c r="AS772" s="16" t="e">
        <f t="shared" si="357"/>
        <v>#DIV/0!</v>
      </c>
      <c r="AT772" s="16" t="e">
        <f t="shared" si="358"/>
        <v>#DIV/0!</v>
      </c>
      <c r="AU772" s="16" t="e">
        <f t="shared" si="356"/>
        <v>#DIV/0!</v>
      </c>
      <c r="AV772" s="57" t="str">
        <f t="shared" si="359"/>
        <v/>
      </c>
      <c r="AW772" s="57" t="str">
        <f t="shared" si="342"/>
        <v/>
      </c>
      <c r="AX772" s="57" t="str">
        <f t="shared" si="355"/>
        <v/>
      </c>
      <c r="AY772" s="57" t="str">
        <f t="shared" si="340"/>
        <v/>
      </c>
      <c r="AZ772" s="57" t="str">
        <f t="shared" si="354"/>
        <v/>
      </c>
      <c r="BF772" s="6"/>
    </row>
    <row r="773" spans="1:58" s="27" customFormat="1" ht="15.75">
      <c r="A773" s="39"/>
      <c r="B773" s="38">
        <v>46033</v>
      </c>
      <c r="C773" s="1">
        <v>529</v>
      </c>
      <c r="D773" s="29">
        <v>768</v>
      </c>
      <c r="E773" s="205" t="str">
        <f t="shared" si="341"/>
        <v/>
      </c>
      <c r="F773" s="36"/>
      <c r="G773" s="36"/>
      <c r="H773" s="36"/>
      <c r="I773" s="15">
        <f t="shared" si="346"/>
        <v>0</v>
      </c>
      <c r="J773" s="35"/>
      <c r="K773" s="10" t="str">
        <f t="shared" si="350"/>
        <v/>
      </c>
      <c r="L773" s="9" t="str">
        <f t="shared" si="351"/>
        <v/>
      </c>
      <c r="M773" s="8" t="str">
        <f t="shared" si="352"/>
        <v/>
      </c>
      <c r="N773" s="34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5">
        <v>80</v>
      </c>
      <c r="AC773" s="32"/>
      <c r="AG773" s="1">
        <v>0.41</v>
      </c>
      <c r="AH773" s="20">
        <v>0.44374999999999998</v>
      </c>
      <c r="AJ773" s="27">
        <v>87</v>
      </c>
      <c r="AK773" s="3">
        <f t="shared" si="345"/>
        <v>240</v>
      </c>
      <c r="AL773" s="32"/>
      <c r="AN773" s="3">
        <v>40</v>
      </c>
      <c r="AO773" s="28"/>
      <c r="AP773" s="13" t="e">
        <f t="shared" si="343"/>
        <v>#DIV/0!</v>
      </c>
      <c r="AQ773" s="28"/>
      <c r="AR773" s="31"/>
      <c r="AS773" s="30" t="e">
        <f t="shared" si="357"/>
        <v>#DIV/0!</v>
      </c>
      <c r="AT773" s="30" t="e">
        <f t="shared" si="358"/>
        <v>#DIV/0!</v>
      </c>
      <c r="AU773" s="30" t="e">
        <f t="shared" si="356"/>
        <v>#DIV/0!</v>
      </c>
      <c r="AV773" s="57" t="str">
        <f t="shared" si="359"/>
        <v/>
      </c>
      <c r="AW773" s="57" t="str">
        <f t="shared" si="342"/>
        <v/>
      </c>
      <c r="AX773" s="57" t="str">
        <f t="shared" si="355"/>
        <v/>
      </c>
      <c r="AY773" s="57" t="str">
        <f t="shared" si="340"/>
        <v/>
      </c>
      <c r="AZ773" s="57" t="str">
        <f t="shared" si="354"/>
        <v/>
      </c>
      <c r="BF773" s="6"/>
    </row>
    <row r="774" spans="1:58" ht="15.75">
      <c r="A774" s="25" t="s">
        <v>10</v>
      </c>
      <c r="B774" s="11">
        <v>46034</v>
      </c>
      <c r="C774" s="1">
        <v>530</v>
      </c>
      <c r="D774" s="3">
        <v>769</v>
      </c>
      <c r="E774" s="205" t="str">
        <f t="shared" si="341"/>
        <v/>
      </c>
      <c r="I774" s="15">
        <f t="shared" si="346"/>
        <v>0</v>
      </c>
      <c r="K774" s="10" t="str">
        <f t="shared" si="350"/>
        <v/>
      </c>
      <c r="L774" s="9" t="str">
        <f t="shared" si="351"/>
        <v/>
      </c>
      <c r="M774" s="8" t="str">
        <f t="shared" si="352"/>
        <v/>
      </c>
      <c r="AB774" s="5">
        <v>80</v>
      </c>
      <c r="AE774" s="1">
        <f>24.8</f>
        <v>24.8</v>
      </c>
      <c r="AG774" s="1">
        <v>0.17</v>
      </c>
      <c r="AH774" s="20">
        <v>0.44965277777777779</v>
      </c>
      <c r="AJ774" s="1">
        <v>85</v>
      </c>
      <c r="AK774" s="3">
        <f t="shared" si="345"/>
        <v>240</v>
      </c>
      <c r="AL774" s="4">
        <f>AE774</f>
        <v>24.8</v>
      </c>
      <c r="AM774" s="1">
        <v>12.8</v>
      </c>
      <c r="AN774" s="3">
        <v>40</v>
      </c>
      <c r="AP774" s="13" t="e">
        <f t="shared" si="343"/>
        <v>#DIV/0!</v>
      </c>
      <c r="AR774" s="17"/>
      <c r="AS774" s="16"/>
      <c r="AT774" s="16" t="e">
        <f t="shared" si="358"/>
        <v>#DIV/0!</v>
      </c>
      <c r="AU774" s="16" t="e">
        <f t="shared" si="356"/>
        <v>#DIV/0!</v>
      </c>
      <c r="AV774" s="57" t="str">
        <f t="shared" si="359"/>
        <v/>
      </c>
      <c r="AW774" s="57" t="str">
        <f t="shared" si="342"/>
        <v/>
      </c>
      <c r="AX774" s="57" t="str">
        <f t="shared" si="355"/>
        <v/>
      </c>
      <c r="AY774" s="57" t="str">
        <f t="shared" ref="AY774:AY833" si="360">IF(AND(ISNUMBER(AC774),ISNUMBER(AE774)),AC774-AE774,"")</f>
        <v/>
      </c>
      <c r="AZ774" s="57">
        <f t="shared" si="354"/>
        <v>12</v>
      </c>
      <c r="BF774" s="6"/>
    </row>
    <row r="775" spans="1:58" ht="15.75">
      <c r="B775" s="11">
        <v>46035</v>
      </c>
      <c r="C775" s="1">
        <v>531</v>
      </c>
      <c r="D775" s="3">
        <v>770</v>
      </c>
      <c r="E775" s="205" t="str">
        <f t="shared" ref="E775:E833" si="361">IF(OR(S775="",S775=0),"",S775*2)</f>
        <v/>
      </c>
      <c r="G775" s="15">
        <f>(N775*18-H775*18)/9</f>
        <v>14.500000000000004</v>
      </c>
      <c r="H775" s="15">
        <f>5*1.13</f>
        <v>5.6499999999999995</v>
      </c>
      <c r="I775" s="15">
        <f t="shared" si="346"/>
        <v>20.399999999999999</v>
      </c>
      <c r="K775" s="10" t="str">
        <f t="shared" si="350"/>
        <v/>
      </c>
      <c r="L775" s="9" t="str">
        <f t="shared" si="351"/>
        <v/>
      </c>
      <c r="M775" s="8">
        <f t="shared" si="352"/>
        <v>2.8137931034482748</v>
      </c>
      <c r="N775" s="7">
        <f>12.9</f>
        <v>12.9</v>
      </c>
      <c r="S775" s="6">
        <f>Q775+R775</f>
        <v>0</v>
      </c>
      <c r="T775" s="6">
        <v>22.5</v>
      </c>
      <c r="U775" s="6">
        <v>0</v>
      </c>
      <c r="V775" s="6">
        <v>0</v>
      </c>
      <c r="W775" s="23">
        <f>U775*1.067+V775*1.514</f>
        <v>0</v>
      </c>
      <c r="AB775" s="5">
        <v>80</v>
      </c>
      <c r="AC775" s="7">
        <f>T775</f>
        <v>22.5</v>
      </c>
      <c r="AD775" s="1">
        <f>5*4.08</f>
        <v>20.399999999999999</v>
      </c>
      <c r="AE775" s="1">
        <v>24.5</v>
      </c>
      <c r="AF775" s="1">
        <v>0</v>
      </c>
      <c r="AG775" s="1">
        <v>2.02</v>
      </c>
      <c r="AH775" s="20">
        <v>0.46747685185185184</v>
      </c>
      <c r="AJ775" s="1">
        <v>239</v>
      </c>
      <c r="AK775" s="3">
        <f t="shared" si="345"/>
        <v>240</v>
      </c>
      <c r="AL775" s="4">
        <f>AE775</f>
        <v>24.5</v>
      </c>
      <c r="AM775" s="1">
        <f>5*2.72</f>
        <v>13.600000000000001</v>
      </c>
      <c r="AN775" s="3">
        <v>40</v>
      </c>
      <c r="AP775" s="13" t="e">
        <f t="shared" si="343"/>
        <v>#DIV/0!</v>
      </c>
      <c r="AR775" s="19"/>
      <c r="AS775" s="18">
        <f>(I775-AF775)/I775</f>
        <v>1</v>
      </c>
      <c r="AT775" s="18">
        <f t="shared" si="358"/>
        <v>9.9019607843137264E-2</v>
      </c>
      <c r="AU775" s="18">
        <f t="shared" si="356"/>
        <v>6.206896551724151E-2</v>
      </c>
      <c r="AV775" s="57" t="str">
        <f t="shared" si="359"/>
        <v/>
      </c>
      <c r="AW775" s="57">
        <f t="shared" si="342"/>
        <v>20.399999999999999</v>
      </c>
      <c r="AX775" s="57">
        <f t="shared" si="355"/>
        <v>0.90000000000000213</v>
      </c>
      <c r="AY775" s="57">
        <f t="shared" si="360"/>
        <v>-2</v>
      </c>
      <c r="AZ775" s="57">
        <f t="shared" si="354"/>
        <v>10.899999999999999</v>
      </c>
      <c r="BF775" s="6"/>
    </row>
    <row r="776" spans="1:58" ht="15.75">
      <c r="B776" s="11">
        <v>46036</v>
      </c>
      <c r="C776" s="1">
        <v>532</v>
      </c>
      <c r="D776" s="3">
        <v>771</v>
      </c>
      <c r="E776" s="205" t="str">
        <f t="shared" si="361"/>
        <v/>
      </c>
      <c r="I776" s="15">
        <f t="shared" si="346"/>
        <v>21</v>
      </c>
      <c r="K776" s="10" t="str">
        <f t="shared" si="350"/>
        <v/>
      </c>
      <c r="L776" s="9" t="str">
        <f t="shared" si="351"/>
        <v/>
      </c>
      <c r="M776" s="8" t="str">
        <f t="shared" si="352"/>
        <v/>
      </c>
      <c r="AB776" s="5">
        <v>80</v>
      </c>
      <c r="AD776" s="21">
        <v>21</v>
      </c>
      <c r="AG776" s="1">
        <v>0.67</v>
      </c>
      <c r="AH776" s="20">
        <v>0.44525462962962964</v>
      </c>
      <c r="AJ776" s="1">
        <v>79</v>
      </c>
      <c r="AK776" s="3">
        <f t="shared" si="345"/>
        <v>240</v>
      </c>
      <c r="AN776" s="3">
        <v>40</v>
      </c>
      <c r="AP776" s="13" t="e">
        <f t="shared" si="343"/>
        <v>#DIV/0!</v>
      </c>
      <c r="AR776" s="19"/>
      <c r="AS776" s="18">
        <f>(I776-AF776)/I776</f>
        <v>1</v>
      </c>
      <c r="AT776" s="18">
        <f t="shared" si="358"/>
        <v>3.1904761904761908E-2</v>
      </c>
      <c r="AU776" s="18"/>
      <c r="AV776" s="57" t="str">
        <f t="shared" si="359"/>
        <v/>
      </c>
      <c r="AW776" s="57" t="str">
        <f t="shared" si="342"/>
        <v/>
      </c>
      <c r="AX776" s="57" t="str">
        <f t="shared" si="355"/>
        <v/>
      </c>
      <c r="AY776" s="57" t="str">
        <f t="shared" si="360"/>
        <v/>
      </c>
      <c r="AZ776" s="57" t="str">
        <f t="shared" si="354"/>
        <v/>
      </c>
      <c r="BF776" s="6"/>
    </row>
    <row r="777" spans="1:58" ht="15.75">
      <c r="B777" s="11">
        <v>46037</v>
      </c>
      <c r="C777" s="1">
        <v>533</v>
      </c>
      <c r="D777" s="3">
        <v>772</v>
      </c>
      <c r="E777" s="205" t="str">
        <f t="shared" si="361"/>
        <v/>
      </c>
      <c r="I777" s="15">
        <f t="shared" si="346"/>
        <v>21</v>
      </c>
      <c r="K777" s="10" t="str">
        <f t="shared" si="350"/>
        <v/>
      </c>
      <c r="L777" s="9" t="str">
        <f t="shared" si="351"/>
        <v/>
      </c>
      <c r="M777" s="8" t="str">
        <f t="shared" si="352"/>
        <v/>
      </c>
      <c r="AB777" s="5">
        <v>80</v>
      </c>
      <c r="AD777" s="21">
        <v>21</v>
      </c>
      <c r="AG777" s="1">
        <v>0.32</v>
      </c>
      <c r="AH777" s="20">
        <v>0.44317129629629631</v>
      </c>
      <c r="AJ777" s="1">
        <v>93</v>
      </c>
      <c r="AK777" s="3">
        <f t="shared" si="345"/>
        <v>240</v>
      </c>
      <c r="AN777" s="3">
        <v>40</v>
      </c>
      <c r="AP777" s="13" t="e">
        <f t="shared" si="343"/>
        <v>#DIV/0!</v>
      </c>
      <c r="AR777" s="19"/>
      <c r="AS777" s="18">
        <f>(I777-AF777)/I777</f>
        <v>1</v>
      </c>
      <c r="AT777" s="18">
        <f t="shared" si="358"/>
        <v>1.5238095238095238E-2</v>
      </c>
      <c r="AU777" s="18"/>
      <c r="AV777" s="57" t="str">
        <f t="shared" si="359"/>
        <v/>
      </c>
      <c r="AW777" s="57" t="str">
        <f t="shared" si="342"/>
        <v/>
      </c>
      <c r="AX777" s="57" t="str">
        <f t="shared" si="355"/>
        <v/>
      </c>
      <c r="AY777" s="57" t="str">
        <f t="shared" si="360"/>
        <v/>
      </c>
      <c r="AZ777" s="57" t="str">
        <f t="shared" si="354"/>
        <v/>
      </c>
      <c r="BF777" s="6"/>
    </row>
    <row r="778" spans="1:58" ht="15.75">
      <c r="B778" s="11">
        <v>46038</v>
      </c>
      <c r="C778" s="1">
        <v>534</v>
      </c>
      <c r="D778" s="3">
        <v>773</v>
      </c>
      <c r="E778" s="205" t="str">
        <f t="shared" si="361"/>
        <v/>
      </c>
      <c r="G778" s="15">
        <v>14</v>
      </c>
      <c r="H778" s="15"/>
      <c r="I778" s="15">
        <f t="shared" si="346"/>
        <v>21</v>
      </c>
      <c r="K778" s="10" t="str">
        <f t="shared" si="350"/>
        <v/>
      </c>
      <c r="L778" s="9" t="str">
        <f t="shared" si="351"/>
        <v/>
      </c>
      <c r="M778" s="8">
        <f t="shared" si="352"/>
        <v>3</v>
      </c>
      <c r="T778" s="6">
        <v>27.4</v>
      </c>
      <c r="AB778" s="5">
        <v>80</v>
      </c>
      <c r="AC778" s="7">
        <f>T778</f>
        <v>27.4</v>
      </c>
      <c r="AD778" s="1">
        <f>5*4.2</f>
        <v>21</v>
      </c>
      <c r="AE778" s="1">
        <v>17.3</v>
      </c>
      <c r="AF778" s="1">
        <v>0</v>
      </c>
      <c r="AG778" s="1">
        <v>0.42</v>
      </c>
      <c r="AH778" s="20">
        <v>0.44374999999999998</v>
      </c>
      <c r="AJ778" s="1">
        <v>89</v>
      </c>
      <c r="AK778" s="3">
        <f t="shared" si="345"/>
        <v>240</v>
      </c>
      <c r="AL778" s="4">
        <f>AE778</f>
        <v>17.3</v>
      </c>
      <c r="AM778" s="1">
        <f>5*0.989</f>
        <v>4.9450000000000003</v>
      </c>
      <c r="AN778" s="3">
        <v>40</v>
      </c>
      <c r="AP778" s="13" t="e">
        <f t="shared" si="343"/>
        <v>#DIV/0!</v>
      </c>
      <c r="AR778" s="19"/>
      <c r="AS778" s="18">
        <f>(I778-AF778)/I778</f>
        <v>1</v>
      </c>
      <c r="AT778" s="18">
        <f t="shared" si="358"/>
        <v>0.02</v>
      </c>
      <c r="AU778" s="18">
        <f>(G778-AM778)/G778</f>
        <v>0.6467857142857143</v>
      </c>
      <c r="AV778" s="57" t="str">
        <f t="shared" si="359"/>
        <v/>
      </c>
      <c r="AW778" s="57">
        <f t="shared" ref="AW778:AW833" si="362">IF(AND(ISNUMBER(I778),ISNUMBER(AF778)),I778-AF778,"")</f>
        <v>21</v>
      </c>
      <c r="AX778" s="57">
        <f t="shared" si="355"/>
        <v>9.0549999999999997</v>
      </c>
      <c r="AY778" s="57">
        <f t="shared" si="360"/>
        <v>10.099999999999998</v>
      </c>
      <c r="AZ778" s="57">
        <f t="shared" si="354"/>
        <v>12.355</v>
      </c>
      <c r="BF778" s="6"/>
    </row>
    <row r="779" spans="1:58" ht="15.75">
      <c r="B779" s="11">
        <v>46039</v>
      </c>
      <c r="C779" s="1">
        <v>535</v>
      </c>
      <c r="D779" s="3">
        <v>774</v>
      </c>
      <c r="E779" s="205" t="str">
        <f t="shared" si="361"/>
        <v/>
      </c>
      <c r="I779" s="15">
        <f t="shared" si="346"/>
        <v>0</v>
      </c>
      <c r="K779" s="10" t="str">
        <f t="shared" si="350"/>
        <v/>
      </c>
      <c r="L779" s="9" t="str">
        <f t="shared" si="351"/>
        <v/>
      </c>
      <c r="M779" s="8" t="str">
        <f t="shared" si="352"/>
        <v/>
      </c>
      <c r="AB779" s="5">
        <v>80</v>
      </c>
      <c r="AG779" s="1">
        <v>0.56000000000000005</v>
      </c>
      <c r="AH779" s="20">
        <v>0.44351851851851853</v>
      </c>
      <c r="AJ779" s="1">
        <v>91</v>
      </c>
      <c r="AK779" s="3">
        <f t="shared" si="345"/>
        <v>240</v>
      </c>
      <c r="AN779" s="3">
        <v>40</v>
      </c>
      <c r="AP779" s="13" t="e">
        <f t="shared" si="343"/>
        <v>#DIV/0!</v>
      </c>
      <c r="AR779" s="19"/>
      <c r="AS779" s="18"/>
      <c r="AT779" s="18"/>
      <c r="AU779" s="18"/>
      <c r="AV779" s="57" t="str">
        <f t="shared" si="359"/>
        <v/>
      </c>
      <c r="AW779" s="57" t="str">
        <f t="shared" si="362"/>
        <v/>
      </c>
      <c r="AX779" s="57" t="str">
        <f t="shared" si="355"/>
        <v/>
      </c>
      <c r="AY779" s="57" t="str">
        <f t="shared" si="360"/>
        <v/>
      </c>
      <c r="AZ779" s="57" t="str">
        <f t="shared" si="354"/>
        <v/>
      </c>
      <c r="BF779" s="6"/>
    </row>
    <row r="780" spans="1:58" ht="15.75">
      <c r="B780" s="11">
        <v>46040</v>
      </c>
      <c r="C780" s="1">
        <v>536</v>
      </c>
      <c r="D780" s="3">
        <v>775</v>
      </c>
      <c r="E780" s="205" t="str">
        <f t="shared" si="361"/>
        <v/>
      </c>
      <c r="I780" s="15">
        <f t="shared" si="346"/>
        <v>0</v>
      </c>
      <c r="K780" s="10" t="str">
        <f t="shared" si="350"/>
        <v/>
      </c>
      <c r="L780" s="9" t="str">
        <f t="shared" si="351"/>
        <v/>
      </c>
      <c r="M780" s="8" t="str">
        <f t="shared" si="352"/>
        <v/>
      </c>
      <c r="AB780" s="5">
        <v>80</v>
      </c>
      <c r="AG780" s="1">
        <v>0.6</v>
      </c>
      <c r="AH780" s="20">
        <v>0.44363425925925926</v>
      </c>
      <c r="AJ780" s="1">
        <v>89</v>
      </c>
      <c r="AK780" s="3">
        <f t="shared" si="345"/>
        <v>240</v>
      </c>
      <c r="AN780" s="3">
        <v>40</v>
      </c>
      <c r="AP780" s="13">
        <f t="shared" ref="AP780:AP843" si="363">AVERAGE(AO778:AO784)</f>
        <v>2209.9999999999909</v>
      </c>
      <c r="AR780" s="19"/>
      <c r="AS780" s="18"/>
      <c r="AT780" s="18"/>
      <c r="AU780" s="18"/>
      <c r="AV780" s="57" t="str">
        <f t="shared" si="359"/>
        <v/>
      </c>
      <c r="AW780" s="57" t="str">
        <f t="shared" si="362"/>
        <v/>
      </c>
      <c r="AX780" s="57" t="str">
        <f t="shared" si="355"/>
        <v/>
      </c>
      <c r="AY780" s="57" t="str">
        <f t="shared" si="360"/>
        <v/>
      </c>
      <c r="AZ780" s="57" t="str">
        <f t="shared" si="354"/>
        <v/>
      </c>
      <c r="BF780" s="6" t="str">
        <f t="shared" ref="BF780:BF796" si="364">IF(OR(AJ780=0,AP780=0,NOT(ISNUMBER(AD780)),NOT(ISNUMBER(AF780)),NOT(ISNUMBER(AJ780)),NOT(ISNUMBER(AP780))),"",
IFERROR(IF((AD780-AF780)/(AJ780/60)/(AP780/1000)&lt;=0,"",(AD780-AF780)/(AJ780/60)/(AP780/1000)),""))</f>
        <v/>
      </c>
    </row>
    <row r="781" spans="1:58" ht="15.75">
      <c r="B781" s="11">
        <v>46041</v>
      </c>
      <c r="C781" s="1">
        <v>537</v>
      </c>
      <c r="D781" s="3">
        <v>776</v>
      </c>
      <c r="E781" s="205" t="str">
        <f t="shared" si="361"/>
        <v/>
      </c>
      <c r="I781" s="15">
        <f t="shared" si="346"/>
        <v>0</v>
      </c>
      <c r="K781" s="10" t="str">
        <f t="shared" si="350"/>
        <v/>
      </c>
      <c r="L781" s="9" t="str">
        <f t="shared" si="351"/>
        <v/>
      </c>
      <c r="M781" s="8" t="str">
        <f t="shared" si="352"/>
        <v/>
      </c>
      <c r="AB781" s="5">
        <v>80</v>
      </c>
      <c r="AG781" s="1">
        <v>0.71</v>
      </c>
      <c r="AH781" s="20">
        <v>0.44490740740740742</v>
      </c>
      <c r="AJ781" s="1">
        <v>91</v>
      </c>
      <c r="AK781" s="3">
        <f t="shared" si="345"/>
        <v>240</v>
      </c>
      <c r="AN781" s="3">
        <v>40</v>
      </c>
      <c r="AP781" s="13">
        <f t="shared" si="363"/>
        <v>2209.9999999999909</v>
      </c>
      <c r="AR781" s="19"/>
      <c r="AS781" s="18"/>
      <c r="AT781" s="18"/>
      <c r="AU781" s="18"/>
      <c r="AV781" s="57" t="str">
        <f t="shared" si="359"/>
        <v/>
      </c>
      <c r="AW781" s="57" t="str">
        <f t="shared" si="362"/>
        <v/>
      </c>
      <c r="AX781" s="57" t="str">
        <f t="shared" si="355"/>
        <v/>
      </c>
      <c r="AY781" s="57" t="str">
        <f t="shared" si="360"/>
        <v/>
      </c>
      <c r="AZ781" s="57" t="str">
        <f t="shared" si="354"/>
        <v/>
      </c>
      <c r="BF781" s="6" t="str">
        <f t="shared" si="364"/>
        <v/>
      </c>
    </row>
    <row r="782" spans="1:58" ht="15.75">
      <c r="B782" s="11">
        <v>46042</v>
      </c>
      <c r="C782" s="1">
        <v>538</v>
      </c>
      <c r="D782" s="3">
        <v>777</v>
      </c>
      <c r="E782" s="205" t="str">
        <f t="shared" si="361"/>
        <v/>
      </c>
      <c r="G782" s="24">
        <v>14</v>
      </c>
      <c r="I782" s="15">
        <f t="shared" si="346"/>
        <v>0</v>
      </c>
      <c r="K782" s="10" t="str">
        <f t="shared" si="350"/>
        <v/>
      </c>
      <c r="L782" s="9" t="str">
        <f t="shared" si="351"/>
        <v/>
      </c>
      <c r="M782" s="8" t="str">
        <f t="shared" si="352"/>
        <v/>
      </c>
      <c r="AB782" s="5">
        <v>80</v>
      </c>
      <c r="AG782" s="1">
        <v>0.66</v>
      </c>
      <c r="AH782" s="20">
        <v>0.4443287037037037</v>
      </c>
      <c r="AJ782" s="1">
        <v>93</v>
      </c>
      <c r="AK782" s="3">
        <f t="shared" si="345"/>
        <v>240</v>
      </c>
      <c r="AL782" s="4">
        <v>24.2</v>
      </c>
      <c r="AM782" s="1">
        <f>5*1.41</f>
        <v>7.05</v>
      </c>
      <c r="AN782" s="3">
        <v>40</v>
      </c>
      <c r="AP782" s="13">
        <f t="shared" si="363"/>
        <v>2209.9999999999909</v>
      </c>
      <c r="AR782" s="19"/>
      <c r="AS782" s="18"/>
      <c r="AT782" s="18"/>
      <c r="AU782" s="18">
        <f>(G782-AM782)/G782</f>
        <v>0.49642857142857144</v>
      </c>
      <c r="AV782" s="57" t="str">
        <f t="shared" si="359"/>
        <v/>
      </c>
      <c r="AW782" s="57" t="str">
        <f t="shared" si="362"/>
        <v/>
      </c>
      <c r="AX782" s="57">
        <f t="shared" si="355"/>
        <v>6.95</v>
      </c>
      <c r="AY782" s="57" t="str">
        <f t="shared" si="360"/>
        <v/>
      </c>
      <c r="AZ782" s="57">
        <f t="shared" si="354"/>
        <v>17.149999999999999</v>
      </c>
      <c r="BF782" s="6" t="str">
        <f t="shared" si="364"/>
        <v/>
      </c>
    </row>
    <row r="783" spans="1:58" ht="15.75">
      <c r="B783" s="11">
        <v>46043</v>
      </c>
      <c r="C783" s="1">
        <v>539</v>
      </c>
      <c r="D783" s="3">
        <v>778</v>
      </c>
      <c r="E783" s="205">
        <f t="shared" si="361"/>
        <v>228.50984</v>
      </c>
      <c r="G783" s="15">
        <f>(N783*18-H783*18)/9</f>
        <v>12.070000000000002</v>
      </c>
      <c r="H783" s="15">
        <f>5*0.723</f>
        <v>3.6149999999999998</v>
      </c>
      <c r="I783" s="15">
        <f t="shared" si="346"/>
        <v>21.5</v>
      </c>
      <c r="K783" s="10">
        <f t="shared" si="350"/>
        <v>18.932049710024852</v>
      </c>
      <c r="L783" s="9">
        <f t="shared" si="351"/>
        <v>5.3141823255813954</v>
      </c>
      <c r="M783" s="8">
        <f t="shared" si="352"/>
        <v>3.5625517812758902</v>
      </c>
      <c r="N783" s="7">
        <f>5*1.93</f>
        <v>9.65</v>
      </c>
      <c r="O783" s="6">
        <v>21.027999999999999</v>
      </c>
      <c r="P783" s="6">
        <v>60.646000000000001</v>
      </c>
      <c r="Q783" s="6">
        <f>O783*1.067</f>
        <v>22.436875999999998</v>
      </c>
      <c r="R783" s="6">
        <f>P783*1.514</f>
        <v>91.818044</v>
      </c>
      <c r="S783" s="6">
        <f>Q783+R783</f>
        <v>114.25492</v>
      </c>
      <c r="T783" s="6">
        <v>35.4</v>
      </c>
      <c r="U783" s="6">
        <v>0</v>
      </c>
      <c r="V783" s="6">
        <v>0</v>
      </c>
      <c r="W783" s="23">
        <f>U783*1.067+V783*1.514</f>
        <v>0</v>
      </c>
      <c r="AB783" s="5">
        <v>80</v>
      </c>
      <c r="AC783" s="7">
        <f>T783</f>
        <v>35.4</v>
      </c>
      <c r="AD783" s="1">
        <f>5*4.3</f>
        <v>21.5</v>
      </c>
      <c r="AE783" s="1">
        <v>23.9</v>
      </c>
      <c r="AF783" s="1">
        <v>0</v>
      </c>
      <c r="AG783" s="1">
        <v>0.97</v>
      </c>
      <c r="AH783" s="20">
        <v>0.45185185185185184</v>
      </c>
      <c r="AI783" s="2"/>
      <c r="AJ783" s="2">
        <f>("19:00"-"18:25")*1440</f>
        <v>34.999999999999872</v>
      </c>
      <c r="AK783" s="3">
        <f t="shared" si="345"/>
        <v>240</v>
      </c>
      <c r="AL783" s="4">
        <f>AE783</f>
        <v>23.9</v>
      </c>
      <c r="AM783" s="1">
        <f>5*1.21</f>
        <v>6.05</v>
      </c>
      <c r="AN783" s="3">
        <v>40</v>
      </c>
      <c r="AP783" s="13">
        <f t="shared" si="363"/>
        <v>2209.9999999999909</v>
      </c>
      <c r="AR783" s="19">
        <f>(E783-W783)/E783</f>
        <v>1</v>
      </c>
      <c r="AS783" s="18">
        <f>(I783-AF783)/I783</f>
        <v>1</v>
      </c>
      <c r="AT783" s="18">
        <f>AG783/(AD783-AF783)</f>
        <v>4.5116279069767444E-2</v>
      </c>
      <c r="AU783" s="18">
        <f>(G783-AM783)/G783</f>
        <v>0.49875724937862481</v>
      </c>
      <c r="AV783" s="57">
        <f t="shared" si="359"/>
        <v>228.50984</v>
      </c>
      <c r="AW783" s="57">
        <f t="shared" si="362"/>
        <v>21.5</v>
      </c>
      <c r="AX783" s="57">
        <f t="shared" si="355"/>
        <v>6.0200000000000022</v>
      </c>
      <c r="AY783" s="57">
        <f t="shared" si="360"/>
        <v>11.5</v>
      </c>
      <c r="AZ783" s="57">
        <f t="shared" si="354"/>
        <v>17.849999999999998</v>
      </c>
      <c r="BE783" s="6">
        <f t="shared" ref="BE783:BE814" si="365">IF((AD783-AF783)/(AJ783/60)&lt;=0,"",(AD783-AF783)/(AJ783/60))</f>
        <v>36.857142857142996</v>
      </c>
      <c r="BF783" s="6">
        <f t="shared" si="364"/>
        <v>16.677440206852101</v>
      </c>
    </row>
    <row r="784" spans="1:58" ht="15.75">
      <c r="B784" s="11">
        <v>46044</v>
      </c>
      <c r="C784" s="1">
        <v>540</v>
      </c>
      <c r="D784" s="3">
        <v>779</v>
      </c>
      <c r="E784" s="205">
        <f t="shared" si="361"/>
        <v>214.22985999999997</v>
      </c>
      <c r="G784" s="15">
        <f>(N784*18-H784*18)/9</f>
        <v>14.389999999999999</v>
      </c>
      <c r="H784" s="15">
        <f>5*0.981</f>
        <v>4.9050000000000002</v>
      </c>
      <c r="I784" s="15">
        <f t="shared" si="346"/>
        <v>22.25</v>
      </c>
      <c r="K784" s="10">
        <f t="shared" si="350"/>
        <v>14.887412091730369</v>
      </c>
      <c r="L784" s="9">
        <f t="shared" si="351"/>
        <v>4.8141541573033706</v>
      </c>
      <c r="M784" s="8">
        <f t="shared" si="352"/>
        <v>3.0924252953439892</v>
      </c>
      <c r="N784" s="7">
        <f>5*2.42</f>
        <v>12.1</v>
      </c>
      <c r="O784" s="6">
        <v>18.972000000000001</v>
      </c>
      <c r="P784" s="6">
        <v>57.378999999999998</v>
      </c>
      <c r="Q784" s="6">
        <f>O784*1.067</f>
        <v>20.243124000000002</v>
      </c>
      <c r="R784" s="6">
        <f>P784*1.514</f>
        <v>86.871805999999992</v>
      </c>
      <c r="S784" s="6">
        <f>Q784+R784</f>
        <v>107.11492999999999</v>
      </c>
      <c r="T784" s="6">
        <v>40.5</v>
      </c>
      <c r="U784" s="6">
        <v>0</v>
      </c>
      <c r="V784" s="6">
        <v>0</v>
      </c>
      <c r="W784" s="23">
        <f>U784*1.067+V784*1.514</f>
        <v>0</v>
      </c>
      <c r="AB784" s="5">
        <v>80</v>
      </c>
      <c r="AC784" s="7">
        <f>T784</f>
        <v>40.5</v>
      </c>
      <c r="AD784" s="1">
        <f>5*4.45</f>
        <v>22.25</v>
      </c>
      <c r="AE784" s="1">
        <v>27.9</v>
      </c>
      <c r="AF784" s="1">
        <v>0</v>
      </c>
      <c r="AG784" s="1">
        <v>1.58</v>
      </c>
      <c r="AH784" s="20">
        <v>0.44837962962962963</v>
      </c>
      <c r="AI784" s="2"/>
      <c r="AJ784" s="2">
        <f>("19:00"-"18:25")*1440</f>
        <v>34.999999999999872</v>
      </c>
      <c r="AK784" s="3">
        <f t="shared" si="345"/>
        <v>240</v>
      </c>
      <c r="AL784" s="4">
        <f>AE784</f>
        <v>27.9</v>
      </c>
      <c r="AM784" s="1">
        <f>5*1.83</f>
        <v>9.15</v>
      </c>
      <c r="AN784" s="3">
        <v>40</v>
      </c>
      <c r="AO784" s="2">
        <v>2209.9999999999909</v>
      </c>
      <c r="AP784" s="13">
        <f t="shared" si="363"/>
        <v>2070.0000000000045</v>
      </c>
      <c r="AR784" s="19">
        <f>(E784-W784)/E784</f>
        <v>1</v>
      </c>
      <c r="AS784" s="18">
        <f>(I784-AF784)/I784</f>
        <v>1</v>
      </c>
      <c r="AT784" s="18">
        <f>AG784/(AD784-AF784)</f>
        <v>7.1011235955056179E-2</v>
      </c>
      <c r="AU784" s="18">
        <f>(G784-AM784)/G784</f>
        <v>0.3641417651146629</v>
      </c>
      <c r="AV784" s="57">
        <f t="shared" si="359"/>
        <v>214.22985999999997</v>
      </c>
      <c r="AW784" s="57">
        <f t="shared" si="362"/>
        <v>22.25</v>
      </c>
      <c r="AX784" s="57">
        <f t="shared" si="355"/>
        <v>5.2399999999999984</v>
      </c>
      <c r="AY784" s="57">
        <f t="shared" si="360"/>
        <v>12.600000000000001</v>
      </c>
      <c r="AZ784" s="57">
        <f t="shared" si="354"/>
        <v>18.75</v>
      </c>
      <c r="BE784" s="6">
        <f t="shared" si="365"/>
        <v>38.142857142857288</v>
      </c>
      <c r="BF784" s="6">
        <f t="shared" si="364"/>
        <v>18.426501035196715</v>
      </c>
    </row>
    <row r="785" spans="1:58" ht="15.75">
      <c r="B785" s="11">
        <v>46045</v>
      </c>
      <c r="C785" s="1">
        <v>541</v>
      </c>
      <c r="D785" s="3">
        <v>780</v>
      </c>
      <c r="E785" s="205" t="str">
        <f t="shared" si="361"/>
        <v/>
      </c>
      <c r="I785" s="15">
        <f t="shared" si="346"/>
        <v>22</v>
      </c>
      <c r="K785" s="10" t="str">
        <f t="shared" si="350"/>
        <v/>
      </c>
      <c r="L785" s="9" t="str">
        <f t="shared" si="351"/>
        <v/>
      </c>
      <c r="M785" s="8" t="str">
        <f t="shared" si="352"/>
        <v/>
      </c>
      <c r="AB785" s="5">
        <v>80</v>
      </c>
      <c r="AD785" s="26">
        <v>22</v>
      </c>
      <c r="AF785" s="1">
        <v>0</v>
      </c>
      <c r="AG785" s="27">
        <v>0.99</v>
      </c>
      <c r="AH785" s="20">
        <v>0.44467592592592592</v>
      </c>
      <c r="AI785" s="2"/>
      <c r="AJ785" s="2">
        <f>("19:00"-"18:25")*1440</f>
        <v>34.999999999999872</v>
      </c>
      <c r="AK785" s="3">
        <f t="shared" ref="AK785:AK832" si="366">180+60</f>
        <v>240</v>
      </c>
      <c r="AN785" s="3">
        <v>40</v>
      </c>
      <c r="AP785" s="13">
        <f t="shared" si="363"/>
        <v>1989.9999999999939</v>
      </c>
      <c r="AR785" s="19"/>
      <c r="AS785" s="18"/>
      <c r="AT785" s="18"/>
      <c r="AU785" s="18"/>
      <c r="AV785" s="57" t="str">
        <f t="shared" si="359"/>
        <v/>
      </c>
      <c r="AW785" s="57">
        <f t="shared" si="362"/>
        <v>22</v>
      </c>
      <c r="AX785" s="57" t="str">
        <f t="shared" si="355"/>
        <v/>
      </c>
      <c r="AY785" s="57" t="str">
        <f t="shared" si="360"/>
        <v/>
      </c>
      <c r="AZ785" s="57" t="str">
        <f t="shared" si="354"/>
        <v/>
      </c>
      <c r="BE785" s="6">
        <f t="shared" si="365"/>
        <v>37.714285714285857</v>
      </c>
      <c r="BF785" s="6">
        <f t="shared" si="364"/>
        <v>18.951902368987927</v>
      </c>
    </row>
    <row r="786" spans="1:58" ht="15.75">
      <c r="B786" s="11">
        <v>46046</v>
      </c>
      <c r="C786" s="1">
        <v>542</v>
      </c>
      <c r="D786" s="3">
        <v>781</v>
      </c>
      <c r="E786" s="205" t="str">
        <f t="shared" si="361"/>
        <v/>
      </c>
      <c r="I786" s="15">
        <f t="shared" si="346"/>
        <v>21.5</v>
      </c>
      <c r="K786" s="10" t="str">
        <f t="shared" si="350"/>
        <v/>
      </c>
      <c r="L786" s="9" t="str">
        <f t="shared" si="351"/>
        <v/>
      </c>
      <c r="M786" s="8" t="str">
        <f t="shared" si="352"/>
        <v/>
      </c>
      <c r="AB786" s="5">
        <v>80</v>
      </c>
      <c r="AD786" s="26">
        <v>21.5</v>
      </c>
      <c r="AF786" s="1">
        <v>0</v>
      </c>
      <c r="AG786" s="1">
        <v>1.1100000000000001</v>
      </c>
      <c r="AH786" s="20">
        <v>0.44490740740740742</v>
      </c>
      <c r="AI786" s="2"/>
      <c r="AJ786" s="2">
        <f>("19:10"-"18:25")*1440</f>
        <v>45</v>
      </c>
      <c r="AK786" s="3">
        <f t="shared" si="366"/>
        <v>240</v>
      </c>
      <c r="AN786" s="3">
        <v>40</v>
      </c>
      <c r="AP786" s="13">
        <f t="shared" si="363"/>
        <v>1989.9999999999939</v>
      </c>
      <c r="AR786" s="19"/>
      <c r="AS786" s="18"/>
      <c r="AT786" s="18"/>
      <c r="AU786" s="18"/>
      <c r="AV786" s="57" t="str">
        <f t="shared" si="359"/>
        <v/>
      </c>
      <c r="AW786" s="57">
        <f t="shared" si="362"/>
        <v>21.5</v>
      </c>
      <c r="AX786" s="57" t="str">
        <f t="shared" si="355"/>
        <v/>
      </c>
      <c r="AY786" s="57" t="str">
        <f t="shared" si="360"/>
        <v/>
      </c>
      <c r="AZ786" s="57" t="str">
        <f t="shared" si="354"/>
        <v/>
      </c>
      <c r="BE786" s="6">
        <f t="shared" si="365"/>
        <v>28.666666666666668</v>
      </c>
      <c r="BF786" s="6">
        <f t="shared" si="364"/>
        <v>14.405360134003395</v>
      </c>
    </row>
    <row r="787" spans="1:58" ht="15.75">
      <c r="B787" s="11">
        <v>46047</v>
      </c>
      <c r="C787" s="1">
        <v>543</v>
      </c>
      <c r="D787" s="3">
        <v>782</v>
      </c>
      <c r="E787" s="205" t="str">
        <f t="shared" si="361"/>
        <v/>
      </c>
      <c r="G787" s="24">
        <v>14.389999999999999</v>
      </c>
      <c r="I787" s="15">
        <f t="shared" si="346"/>
        <v>21</v>
      </c>
      <c r="K787" s="10" t="str">
        <f t="shared" si="350"/>
        <v/>
      </c>
      <c r="L787" s="9" t="str">
        <f t="shared" si="351"/>
        <v/>
      </c>
      <c r="M787" s="8">
        <f t="shared" si="352"/>
        <v>2.9186935371785965</v>
      </c>
      <c r="T787" s="6">
        <v>37.5</v>
      </c>
      <c r="AB787" s="5">
        <v>80</v>
      </c>
      <c r="AC787" s="7">
        <f>T787</f>
        <v>37.5</v>
      </c>
      <c r="AD787" s="1">
        <f>5*4.2</f>
        <v>21</v>
      </c>
      <c r="AF787" s="1">
        <v>0</v>
      </c>
      <c r="AG787" s="1">
        <v>1.58</v>
      </c>
      <c r="AH787" s="20">
        <v>0.44849537037037035</v>
      </c>
      <c r="AI787" s="2"/>
      <c r="AJ787" s="2">
        <f>("19:00"-"18:25")*1440</f>
        <v>34.999999999999872</v>
      </c>
      <c r="AK787" s="3">
        <f t="shared" si="366"/>
        <v>240</v>
      </c>
      <c r="AM787" s="1">
        <f>5*1.52</f>
        <v>7.6</v>
      </c>
      <c r="AN787" s="3">
        <v>40</v>
      </c>
      <c r="AP787" s="13">
        <f t="shared" si="363"/>
        <v>1904.9999999999879</v>
      </c>
      <c r="AR787" s="19"/>
      <c r="AS787" s="18">
        <f t="shared" ref="AS787:AS833" si="367">(I787-AF787)/I787</f>
        <v>1</v>
      </c>
      <c r="AT787" s="18">
        <f t="shared" ref="AT787:AT793" si="368">AG787/(AD787-AF787)</f>
        <v>7.5238095238095243E-2</v>
      </c>
      <c r="AU787" s="18">
        <f>(G787-AM787)/G787</f>
        <v>0.4718554551772064</v>
      </c>
      <c r="AV787" s="57" t="str">
        <f t="shared" si="359"/>
        <v/>
      </c>
      <c r="AW787" s="57">
        <f t="shared" si="362"/>
        <v>21</v>
      </c>
      <c r="AX787" s="57">
        <f t="shared" si="355"/>
        <v>6.7899999999999991</v>
      </c>
      <c r="AY787" s="57" t="str">
        <f t="shared" si="360"/>
        <v/>
      </c>
      <c r="AZ787" s="57" t="str">
        <f t="shared" si="354"/>
        <v/>
      </c>
      <c r="BE787" s="6">
        <f t="shared" si="365"/>
        <v>36.000000000000135</v>
      </c>
      <c r="BF787" s="6">
        <f t="shared" si="364"/>
        <v>18.897637795275781</v>
      </c>
    </row>
    <row r="788" spans="1:58" ht="15.75">
      <c r="A788" s="12" t="s">
        <v>9</v>
      </c>
      <c r="B788" s="11">
        <v>46048</v>
      </c>
      <c r="C788" s="1">
        <v>544</v>
      </c>
      <c r="D788" s="3">
        <v>783</v>
      </c>
      <c r="E788" s="205">
        <f t="shared" si="361"/>
        <v>183.71784400000001</v>
      </c>
      <c r="I788" s="15">
        <f t="shared" ref="I788:I834" si="369">AD788</f>
        <v>21</v>
      </c>
      <c r="K788" s="10" t="str">
        <f t="shared" si="350"/>
        <v/>
      </c>
      <c r="L788" s="9">
        <f t="shared" si="351"/>
        <v>4.3742343809523812</v>
      </c>
      <c r="M788" s="8" t="str">
        <f t="shared" si="352"/>
        <v/>
      </c>
      <c r="O788" s="6">
        <v>0</v>
      </c>
      <c r="P788" s="6">
        <v>60.673000000000002</v>
      </c>
      <c r="Q788" s="6">
        <f>O788*1.067</f>
        <v>0</v>
      </c>
      <c r="R788" s="6">
        <f>P788*1.514</f>
        <v>91.858922000000007</v>
      </c>
      <c r="S788" s="6">
        <f>Q788+R788</f>
        <v>91.858922000000007</v>
      </c>
      <c r="U788" s="6">
        <v>0</v>
      </c>
      <c r="V788" s="6">
        <v>0</v>
      </c>
      <c r="W788" s="23">
        <f>U788*1.067+V788*1.514</f>
        <v>0</v>
      </c>
      <c r="AB788" s="5">
        <v>80</v>
      </c>
      <c r="AC788" s="7"/>
      <c r="AD788" s="21">
        <v>21</v>
      </c>
      <c r="AF788" s="1">
        <v>0</v>
      </c>
      <c r="AG788" s="1">
        <v>2.61</v>
      </c>
      <c r="AH788" s="20">
        <v>0.43611111111111112</v>
      </c>
      <c r="AI788" s="2"/>
      <c r="AJ788" s="2">
        <f>("19:00"-"18:25")*1440</f>
        <v>34.999999999999872</v>
      </c>
      <c r="AK788" s="3">
        <f t="shared" si="366"/>
        <v>240</v>
      </c>
      <c r="AN788" s="3">
        <v>40</v>
      </c>
      <c r="AO788" s="2">
        <v>1930.0000000000182</v>
      </c>
      <c r="AP788" s="13">
        <f t="shared" si="363"/>
        <v>1926.2499999999932</v>
      </c>
      <c r="AR788" s="19">
        <f>(E788-W788)/E788</f>
        <v>1</v>
      </c>
      <c r="AS788" s="18">
        <f t="shared" si="367"/>
        <v>1</v>
      </c>
      <c r="AT788" s="18">
        <f t="shared" si="368"/>
        <v>0.12428571428571428</v>
      </c>
      <c r="AU788" s="18"/>
      <c r="AV788" s="57">
        <f t="shared" si="359"/>
        <v>183.71784400000001</v>
      </c>
      <c r="AW788" s="57">
        <f t="shared" si="362"/>
        <v>21</v>
      </c>
      <c r="AX788" s="57" t="str">
        <f t="shared" si="355"/>
        <v/>
      </c>
      <c r="AY788" s="57" t="str">
        <f t="shared" si="360"/>
        <v/>
      </c>
      <c r="AZ788" s="57" t="str">
        <f t="shared" si="354"/>
        <v/>
      </c>
      <c r="BE788" s="6">
        <f t="shared" si="365"/>
        <v>36.000000000000135</v>
      </c>
      <c r="BF788" s="6">
        <f t="shared" si="364"/>
        <v>18.68916288124608</v>
      </c>
    </row>
    <row r="789" spans="1:58" ht="15.75">
      <c r="A789" s="12" t="s">
        <v>8</v>
      </c>
      <c r="B789" s="11">
        <v>46049</v>
      </c>
      <c r="C789" s="1">
        <v>545</v>
      </c>
      <c r="D789" s="3">
        <v>784</v>
      </c>
      <c r="E789" s="205">
        <f t="shared" si="361"/>
        <v>175.57271599999999</v>
      </c>
      <c r="I789" s="15">
        <f t="shared" si="369"/>
        <v>21</v>
      </c>
      <c r="K789" s="10" t="str">
        <f t="shared" si="350"/>
        <v/>
      </c>
      <c r="L789" s="9">
        <f t="shared" si="351"/>
        <v>4.1803027619047617</v>
      </c>
      <c r="M789" s="8" t="str">
        <f t="shared" si="352"/>
        <v/>
      </c>
      <c r="O789" s="6">
        <v>82.274000000000001</v>
      </c>
      <c r="P789" s="6">
        <v>0</v>
      </c>
      <c r="Q789" s="6">
        <f>O789*1.067</f>
        <v>87.786357999999993</v>
      </c>
      <c r="R789" s="6">
        <f>P789*1.514</f>
        <v>0</v>
      </c>
      <c r="S789" s="6">
        <f>Q789+R789</f>
        <v>87.786357999999993</v>
      </c>
      <c r="U789" s="6">
        <v>0</v>
      </c>
      <c r="V789" s="6">
        <v>0</v>
      </c>
      <c r="W789" s="23">
        <f>U789*1.067+V789*1.514</f>
        <v>0</v>
      </c>
      <c r="AB789" s="5">
        <v>80</v>
      </c>
      <c r="AD789" s="21">
        <v>21</v>
      </c>
      <c r="AF789" s="1">
        <v>0</v>
      </c>
      <c r="AG789" s="1">
        <v>2.71</v>
      </c>
      <c r="AH789" s="20">
        <v>0.42453703703703705</v>
      </c>
      <c r="AI789" s="2"/>
      <c r="AJ789" s="2">
        <f>("19:00"-"18:25")*1440</f>
        <v>34.999999999999872</v>
      </c>
      <c r="AK789" s="3">
        <f t="shared" si="366"/>
        <v>240</v>
      </c>
      <c r="AN789" s="3">
        <v>40</v>
      </c>
      <c r="AO789" s="2">
        <v>1829.9999999999727</v>
      </c>
      <c r="AP789" s="13">
        <f t="shared" si="363"/>
        <v>1926.2499999999932</v>
      </c>
      <c r="AR789" s="19">
        <f>(E789-W789)/E789</f>
        <v>1</v>
      </c>
      <c r="AS789" s="18">
        <f t="shared" si="367"/>
        <v>1</v>
      </c>
      <c r="AT789" s="18">
        <f t="shared" si="368"/>
        <v>0.12904761904761905</v>
      </c>
      <c r="AU789" s="18"/>
      <c r="AV789" s="57">
        <f t="shared" si="359"/>
        <v>175.57271599999999</v>
      </c>
      <c r="AW789" s="57">
        <f t="shared" si="362"/>
        <v>21</v>
      </c>
      <c r="AX789" s="57" t="str">
        <f t="shared" si="355"/>
        <v/>
      </c>
      <c r="AY789" s="57" t="str">
        <f t="shared" si="360"/>
        <v/>
      </c>
      <c r="AZ789" s="57" t="str">
        <f t="shared" si="354"/>
        <v/>
      </c>
      <c r="BE789" s="6">
        <f t="shared" si="365"/>
        <v>36.000000000000135</v>
      </c>
      <c r="BF789" s="6">
        <f t="shared" si="364"/>
        <v>18.68916288124608</v>
      </c>
    </row>
    <row r="790" spans="1:58" ht="15.75">
      <c r="B790" s="11">
        <v>46050</v>
      </c>
      <c r="C790" s="1">
        <v>546</v>
      </c>
      <c r="D790" s="3">
        <v>785</v>
      </c>
      <c r="E790" s="205" t="str">
        <f t="shared" si="361"/>
        <v/>
      </c>
      <c r="G790" s="24">
        <v>14.389999999999999</v>
      </c>
      <c r="I790" s="15">
        <f t="shared" si="369"/>
        <v>21</v>
      </c>
      <c r="K790" s="10" t="str">
        <f t="shared" si="350"/>
        <v/>
      </c>
      <c r="L790" s="9" t="str">
        <f t="shared" si="351"/>
        <v/>
      </c>
      <c r="M790" s="8">
        <f t="shared" si="352"/>
        <v>2.9186935371785965</v>
      </c>
      <c r="AB790" s="5">
        <v>80</v>
      </c>
      <c r="AD790" s="21">
        <v>21</v>
      </c>
      <c r="AF790" s="1">
        <v>0</v>
      </c>
      <c r="AG790" s="1">
        <v>1.41</v>
      </c>
      <c r="AH790" s="20">
        <v>0.44513888888888886</v>
      </c>
      <c r="AI790" s="2"/>
      <c r="AJ790" s="2">
        <f>("19:00"-"18:25")*1440</f>
        <v>34.999999999999872</v>
      </c>
      <c r="AK790" s="3">
        <f t="shared" si="366"/>
        <v>240</v>
      </c>
      <c r="AM790" s="1">
        <v>7.87</v>
      </c>
      <c r="AN790" s="3">
        <v>40</v>
      </c>
      <c r="AP790" s="13">
        <f t="shared" si="363"/>
        <v>1958.9999999999964</v>
      </c>
      <c r="AR790" s="19"/>
      <c r="AS790" s="18">
        <f t="shared" si="367"/>
        <v>1</v>
      </c>
      <c r="AT790" s="18">
        <f t="shared" si="368"/>
        <v>6.7142857142857143E-2</v>
      </c>
      <c r="AU790" s="18">
        <f>(G790-AM790)/G790</f>
        <v>0.45309242529534394</v>
      </c>
      <c r="AV790" s="57" t="str">
        <f t="shared" si="359"/>
        <v/>
      </c>
      <c r="AW790" s="57">
        <f t="shared" si="362"/>
        <v>21</v>
      </c>
      <c r="AX790" s="57">
        <f t="shared" si="355"/>
        <v>6.5199999999999987</v>
      </c>
      <c r="AY790" s="57" t="str">
        <f t="shared" si="360"/>
        <v/>
      </c>
      <c r="AZ790" s="57" t="str">
        <f t="shared" si="354"/>
        <v/>
      </c>
      <c r="BE790" s="6">
        <f t="shared" si="365"/>
        <v>36.000000000000135</v>
      </c>
      <c r="BF790" s="6">
        <f t="shared" si="364"/>
        <v>18.376722817764268</v>
      </c>
    </row>
    <row r="791" spans="1:58" ht="15.75">
      <c r="A791" s="12" t="s">
        <v>7</v>
      </c>
      <c r="B791" s="11">
        <v>46051</v>
      </c>
      <c r="C791" s="1">
        <v>547</v>
      </c>
      <c r="D791" s="3">
        <v>786</v>
      </c>
      <c r="E791" s="205">
        <f t="shared" si="361"/>
        <v>182.87606000000002</v>
      </c>
      <c r="I791" s="15">
        <f t="shared" si="369"/>
        <v>21</v>
      </c>
      <c r="K791" s="10" t="str">
        <f t="shared" si="350"/>
        <v/>
      </c>
      <c r="L791" s="9">
        <f t="shared" si="351"/>
        <v>4.3541919047619055</v>
      </c>
      <c r="M791" s="8" t="str">
        <f t="shared" si="352"/>
        <v/>
      </c>
      <c r="O791" s="6">
        <v>0</v>
      </c>
      <c r="P791">
        <v>60.395000000000003</v>
      </c>
      <c r="Q791" s="6">
        <f>O791*1.067</f>
        <v>0</v>
      </c>
      <c r="R791" s="6">
        <f>P791*1.514</f>
        <v>91.438030000000012</v>
      </c>
      <c r="S791" s="6">
        <f>Q791+R791</f>
        <v>91.438030000000012</v>
      </c>
      <c r="U791" s="6">
        <v>0</v>
      </c>
      <c r="V791" s="6">
        <v>0</v>
      </c>
      <c r="W791" s="23">
        <f>U791*1.067+V791*1.514</f>
        <v>0</v>
      </c>
      <c r="AB791" s="5">
        <v>80</v>
      </c>
      <c r="AD791" s="21">
        <v>21</v>
      </c>
      <c r="AF791" s="1">
        <v>0</v>
      </c>
      <c r="AG791" s="1">
        <v>1.95</v>
      </c>
      <c r="AH791" s="20">
        <v>0.48912037037037037</v>
      </c>
      <c r="AI791" s="2"/>
      <c r="AJ791" s="2">
        <f>("19:10"-"18:25")*1440</f>
        <v>45</v>
      </c>
      <c r="AK791" s="3">
        <f t="shared" si="366"/>
        <v>240</v>
      </c>
      <c r="AN791" s="3">
        <v>40</v>
      </c>
      <c r="AO791" s="2">
        <v>1954.9999999999727</v>
      </c>
      <c r="AP791" s="13">
        <f t="shared" si="363"/>
        <v>1966.2499999999909</v>
      </c>
      <c r="AR791" s="19">
        <f>(E791-W791)/E791</f>
        <v>1</v>
      </c>
      <c r="AS791" s="18">
        <f t="shared" si="367"/>
        <v>1</v>
      </c>
      <c r="AT791" s="18">
        <f t="shared" si="368"/>
        <v>9.285714285714286E-2</v>
      </c>
      <c r="AU791" s="18"/>
      <c r="AV791" s="57">
        <f t="shared" si="359"/>
        <v>182.87606000000002</v>
      </c>
      <c r="AW791" s="57">
        <f t="shared" si="362"/>
        <v>21</v>
      </c>
      <c r="AX791" s="57" t="str">
        <f t="shared" si="355"/>
        <v/>
      </c>
      <c r="AY791" s="57" t="str">
        <f t="shared" si="360"/>
        <v/>
      </c>
      <c r="AZ791" s="57" t="str">
        <f t="shared" si="354"/>
        <v/>
      </c>
      <c r="BE791" s="6">
        <f t="shared" si="365"/>
        <v>28</v>
      </c>
      <c r="BF791" s="6">
        <f t="shared" si="364"/>
        <v>14.240305149396123</v>
      </c>
    </row>
    <row r="792" spans="1:58" ht="15.75">
      <c r="A792" s="12" t="s">
        <v>6</v>
      </c>
      <c r="B792" s="11">
        <v>46052</v>
      </c>
      <c r="C792" s="1">
        <v>548</v>
      </c>
      <c r="D792" s="3">
        <v>787</v>
      </c>
      <c r="E792" s="205">
        <f t="shared" si="361"/>
        <v>170.76267999999999</v>
      </c>
      <c r="I792" s="15">
        <f t="shared" si="369"/>
        <v>21</v>
      </c>
      <c r="K792" s="10" t="str">
        <f t="shared" si="350"/>
        <v/>
      </c>
      <c r="L792" s="9">
        <f t="shared" si="351"/>
        <v>4.0657780952380946</v>
      </c>
      <c r="M792" s="8" t="str">
        <f t="shared" si="352"/>
        <v/>
      </c>
      <c r="O792" s="6">
        <v>80.02</v>
      </c>
      <c r="P792" s="6">
        <v>0</v>
      </c>
      <c r="Q792" s="6">
        <f>O792*1.067</f>
        <v>85.381339999999994</v>
      </c>
      <c r="R792" s="6">
        <f>P792*1.514</f>
        <v>0</v>
      </c>
      <c r="S792" s="6">
        <f>Q792+R792</f>
        <v>85.381339999999994</v>
      </c>
      <c r="U792" s="6">
        <v>0</v>
      </c>
      <c r="V792" s="6">
        <v>0</v>
      </c>
      <c r="W792" s="23">
        <f>U792*1.067+V792*1.514</f>
        <v>0</v>
      </c>
      <c r="AB792" s="5">
        <v>80</v>
      </c>
      <c r="AD792" s="21">
        <v>21</v>
      </c>
      <c r="AF792" s="1">
        <v>0</v>
      </c>
      <c r="AG792" s="1">
        <v>2.29</v>
      </c>
      <c r="AH792" s="20">
        <v>0.5131944444444444</v>
      </c>
      <c r="AI792" s="2"/>
      <c r="AJ792" s="2">
        <f>("19:05"-"18:25")*1440</f>
        <v>39.999999999999858</v>
      </c>
      <c r="AK792" s="3">
        <f t="shared" si="366"/>
        <v>240</v>
      </c>
      <c r="AN792" s="3">
        <v>40</v>
      </c>
      <c r="AO792" s="2">
        <v>1990.0000000000091</v>
      </c>
      <c r="AP792" s="13">
        <f t="shared" si="363"/>
        <v>2011.6666666666636</v>
      </c>
      <c r="AR792" s="19">
        <f>(E792-W792)/E792</f>
        <v>1</v>
      </c>
      <c r="AS792" s="18">
        <f t="shared" si="367"/>
        <v>1</v>
      </c>
      <c r="AT792" s="18">
        <f t="shared" si="368"/>
        <v>0.10904761904761905</v>
      </c>
      <c r="AU792" s="18"/>
      <c r="AV792" s="57">
        <f t="shared" si="359"/>
        <v>170.76267999999999</v>
      </c>
      <c r="AW792" s="57">
        <f t="shared" si="362"/>
        <v>21</v>
      </c>
      <c r="AX792" s="57" t="str">
        <f t="shared" si="355"/>
        <v/>
      </c>
      <c r="AY792" s="57" t="str">
        <f t="shared" si="360"/>
        <v/>
      </c>
      <c r="AZ792" s="57" t="str">
        <f t="shared" si="354"/>
        <v/>
      </c>
      <c r="BE792" s="6">
        <f t="shared" si="365"/>
        <v>31.500000000000114</v>
      </c>
      <c r="BF792" s="6">
        <f t="shared" si="364"/>
        <v>15.658657829328995</v>
      </c>
    </row>
    <row r="793" spans="1:58" ht="15.75">
      <c r="B793" s="11">
        <v>46053</v>
      </c>
      <c r="C793" s="1">
        <v>549</v>
      </c>
      <c r="D793" s="3">
        <v>788</v>
      </c>
      <c r="E793" s="205" t="str">
        <f t="shared" si="361"/>
        <v/>
      </c>
      <c r="I793" s="15">
        <f t="shared" si="369"/>
        <v>21</v>
      </c>
      <c r="K793" s="10" t="str">
        <f t="shared" si="350"/>
        <v/>
      </c>
      <c r="L793" s="9" t="str">
        <f t="shared" si="351"/>
        <v/>
      </c>
      <c r="M793" s="8" t="str">
        <f t="shared" si="352"/>
        <v/>
      </c>
      <c r="AB793" s="5">
        <v>80</v>
      </c>
      <c r="AD793" s="21">
        <v>21</v>
      </c>
      <c r="AF793" s="1">
        <v>0</v>
      </c>
      <c r="AG793" s="1">
        <v>2.0699999999999998</v>
      </c>
      <c r="AH793" s="20">
        <v>0.45</v>
      </c>
      <c r="AI793" s="2"/>
      <c r="AJ793" s="2">
        <f>("19:10"-"18:25")*1440</f>
        <v>45</v>
      </c>
      <c r="AK793" s="3">
        <f t="shared" si="366"/>
        <v>240</v>
      </c>
      <c r="AN793" s="3">
        <v>40</v>
      </c>
      <c r="AP793" s="13">
        <f t="shared" si="363"/>
        <v>2011.6666666666636</v>
      </c>
      <c r="AR793" s="19"/>
      <c r="AS793" s="18">
        <f t="shared" si="367"/>
        <v>1</v>
      </c>
      <c r="AT793" s="18">
        <f t="shared" si="368"/>
        <v>9.857142857142856E-2</v>
      </c>
      <c r="AU793" s="18"/>
      <c r="AV793" s="57" t="str">
        <f t="shared" si="359"/>
        <v/>
      </c>
      <c r="AW793" s="57">
        <f t="shared" si="362"/>
        <v>21</v>
      </c>
      <c r="AX793" s="57" t="str">
        <f t="shared" si="355"/>
        <v/>
      </c>
      <c r="AY793" s="57" t="str">
        <f t="shared" si="360"/>
        <v/>
      </c>
      <c r="AZ793" s="57" t="str">
        <f t="shared" si="354"/>
        <v/>
      </c>
      <c r="BE793" s="6">
        <f t="shared" si="365"/>
        <v>28</v>
      </c>
      <c r="BF793" s="6">
        <f t="shared" si="364"/>
        <v>13.918806959403501</v>
      </c>
    </row>
    <row r="794" spans="1:58" ht="15.75">
      <c r="A794" s="12" t="s">
        <v>5</v>
      </c>
      <c r="B794" s="11">
        <v>46054</v>
      </c>
      <c r="C794" s="1">
        <v>550</v>
      </c>
      <c r="D794" s="3">
        <v>789</v>
      </c>
      <c r="E794" s="205">
        <f t="shared" si="361"/>
        <v>173.90712400000001</v>
      </c>
      <c r="I794" s="15">
        <f t="shared" si="369"/>
        <v>21</v>
      </c>
      <c r="K794" s="10" t="str">
        <f t="shared" si="350"/>
        <v/>
      </c>
      <c r="L794" s="9">
        <f t="shared" si="351"/>
        <v>4.1406458095238099</v>
      </c>
      <c r="M794" s="8" t="str">
        <f t="shared" si="352"/>
        <v/>
      </c>
      <c r="O794" s="6">
        <v>0</v>
      </c>
      <c r="P794" s="6">
        <v>57.433</v>
      </c>
      <c r="Q794" s="6">
        <f>O794*1.067</f>
        <v>0</v>
      </c>
      <c r="R794" s="6">
        <f>P794*1.514</f>
        <v>86.953562000000005</v>
      </c>
      <c r="S794" s="6">
        <f>Q794+R794</f>
        <v>86.953562000000005</v>
      </c>
      <c r="U794" s="6">
        <v>0</v>
      </c>
      <c r="V794" s="6">
        <v>0</v>
      </c>
      <c r="W794" s="23">
        <f>U794*1.067+V794*1.514</f>
        <v>0</v>
      </c>
      <c r="AB794" s="5">
        <v>80</v>
      </c>
      <c r="AD794" s="21">
        <v>21</v>
      </c>
      <c r="AF794" s="1">
        <v>0</v>
      </c>
      <c r="AG794" s="1">
        <v>0.06</v>
      </c>
      <c r="AH794" s="20">
        <v>0.39930555555555558</v>
      </c>
      <c r="AI794" s="2"/>
      <c r="AJ794" s="2">
        <f>("19:00"-"18:25")*1440</f>
        <v>34.999999999999872</v>
      </c>
      <c r="AK794" s="3">
        <f t="shared" si="366"/>
        <v>240</v>
      </c>
      <c r="AN794" s="3">
        <v>40</v>
      </c>
      <c r="AO794" s="2">
        <v>2090.0000000000091</v>
      </c>
      <c r="AP794" s="13">
        <f t="shared" si="363"/>
        <v>2040.0000000000091</v>
      </c>
      <c r="AR794" s="19">
        <f>(E794-W794)/E794</f>
        <v>1</v>
      </c>
      <c r="AS794" s="18">
        <f t="shared" si="367"/>
        <v>1</v>
      </c>
      <c r="AT794" s="18"/>
      <c r="AU794" s="18"/>
      <c r="AV794" s="57">
        <f t="shared" si="359"/>
        <v>173.90712400000001</v>
      </c>
      <c r="AW794" s="57">
        <f t="shared" si="362"/>
        <v>21</v>
      </c>
      <c r="AX794" s="57" t="str">
        <f t="shared" si="355"/>
        <v/>
      </c>
      <c r="AY794" s="57" t="str">
        <f t="shared" si="360"/>
        <v/>
      </c>
      <c r="AZ794" s="57" t="str">
        <f t="shared" si="354"/>
        <v/>
      </c>
      <c r="BE794" s="6">
        <f t="shared" si="365"/>
        <v>36.000000000000135</v>
      </c>
      <c r="BF794" s="6">
        <f t="shared" si="364"/>
        <v>17.647058823529402</v>
      </c>
    </row>
    <row r="795" spans="1:58" ht="15.75">
      <c r="A795" s="25" t="s">
        <v>4</v>
      </c>
      <c r="B795" s="11">
        <v>46055</v>
      </c>
      <c r="C795" s="1">
        <v>551</v>
      </c>
      <c r="D795" s="3">
        <v>790</v>
      </c>
      <c r="E795" s="205" t="str">
        <f t="shared" si="361"/>
        <v/>
      </c>
      <c r="I795" s="15">
        <f t="shared" si="369"/>
        <v>21</v>
      </c>
      <c r="K795" s="10" t="str">
        <f t="shared" ref="K795:K834" si="370">IF(OR(E795="",G795="",E795=0,G795=0),"",E795/G795)</f>
        <v/>
      </c>
      <c r="L795" s="9" t="str">
        <f t="shared" ref="L795:L834" si="371">IF(OR(E795="",I795="",E795=0,I795=0),"",E795/(I795*2))</f>
        <v/>
      </c>
      <c r="M795" s="8" t="str">
        <f t="shared" ref="M795:M834" si="372">IF(OR(I795="",G795="",I795=0,G795=0),"",I795*2/G795)</f>
        <v/>
      </c>
      <c r="AB795" s="5">
        <v>80</v>
      </c>
      <c r="AD795" s="21">
        <v>21</v>
      </c>
      <c r="AF795" s="1">
        <v>0</v>
      </c>
      <c r="AG795" s="22">
        <v>1.32</v>
      </c>
      <c r="AH795" s="20">
        <v>0.44525462962962964</v>
      </c>
      <c r="AI795" s="2"/>
      <c r="AJ795" s="2">
        <f>("11:20"-"10:00")*1440</f>
        <v>79.999999999999957</v>
      </c>
      <c r="AK795" s="3">
        <f t="shared" si="366"/>
        <v>240</v>
      </c>
      <c r="AN795" s="3">
        <v>40</v>
      </c>
      <c r="AP795" s="13">
        <f t="shared" si="363"/>
        <v>2090.0000000000091</v>
      </c>
      <c r="AR795" s="19"/>
      <c r="AS795" s="18">
        <f t="shared" si="367"/>
        <v>1</v>
      </c>
      <c r="AT795" s="18"/>
      <c r="AU795" s="18"/>
      <c r="AV795" s="57" t="str">
        <f t="shared" si="359"/>
        <v/>
      </c>
      <c r="AW795" s="57">
        <f t="shared" si="362"/>
        <v>21</v>
      </c>
      <c r="AX795" s="57" t="str">
        <f t="shared" si="355"/>
        <v/>
      </c>
      <c r="AY795" s="57" t="str">
        <f t="shared" si="360"/>
        <v/>
      </c>
      <c r="AZ795" s="57" t="str">
        <f t="shared" si="354"/>
        <v/>
      </c>
      <c r="BE795" s="6">
        <f t="shared" si="365"/>
        <v>15.750000000000009</v>
      </c>
      <c r="BF795" s="6">
        <f t="shared" si="364"/>
        <v>7.5358851674640857</v>
      </c>
    </row>
    <row r="796" spans="1:58" ht="15.75">
      <c r="B796" s="11">
        <v>46056</v>
      </c>
      <c r="C796" s="1">
        <v>552</v>
      </c>
      <c r="D796" s="3">
        <v>791</v>
      </c>
      <c r="E796" s="205" t="str">
        <f t="shared" si="361"/>
        <v/>
      </c>
      <c r="I796" s="15">
        <f t="shared" si="369"/>
        <v>21</v>
      </c>
      <c r="K796" s="10" t="str">
        <f t="shared" si="370"/>
        <v/>
      </c>
      <c r="L796" s="9" t="str">
        <f t="shared" si="371"/>
        <v/>
      </c>
      <c r="M796" s="8" t="str">
        <f t="shared" si="372"/>
        <v/>
      </c>
      <c r="AB796" s="5">
        <v>80</v>
      </c>
      <c r="AD796" s="21">
        <v>21</v>
      </c>
      <c r="AF796" s="1">
        <v>0</v>
      </c>
      <c r="AG796" s="22">
        <v>1.37</v>
      </c>
      <c r="AH796" s="20">
        <v>0.44502314814814814</v>
      </c>
      <c r="AI796" s="2"/>
      <c r="AJ796" s="2"/>
      <c r="AK796" s="3">
        <f t="shared" si="366"/>
        <v>240</v>
      </c>
      <c r="AN796" s="3">
        <v>40</v>
      </c>
      <c r="AP796" s="13">
        <f t="shared" si="363"/>
        <v>2090.0000000000091</v>
      </c>
      <c r="AR796" s="19"/>
      <c r="AS796" s="18">
        <f t="shared" si="367"/>
        <v>1</v>
      </c>
      <c r="AT796" s="18"/>
      <c r="AU796" s="18"/>
      <c r="AV796" s="57" t="str">
        <f t="shared" si="359"/>
        <v/>
      </c>
      <c r="AW796" s="57">
        <f t="shared" si="362"/>
        <v>21</v>
      </c>
      <c r="AX796" s="57" t="str">
        <f t="shared" si="355"/>
        <v/>
      </c>
      <c r="AY796" s="57" t="str">
        <f t="shared" si="360"/>
        <v/>
      </c>
      <c r="AZ796" s="57" t="str">
        <f t="shared" si="354"/>
        <v/>
      </c>
      <c r="BE796" s="6" t="e">
        <f t="shared" si="365"/>
        <v>#DIV/0!</v>
      </c>
      <c r="BF796" s="6" t="str">
        <f t="shared" si="364"/>
        <v/>
      </c>
    </row>
    <row r="797" spans="1:58" ht="15.75">
      <c r="B797" s="11">
        <v>46057</v>
      </c>
      <c r="C797" s="1">
        <v>553</v>
      </c>
      <c r="D797" s="3">
        <v>792</v>
      </c>
      <c r="E797" s="205" t="str">
        <f t="shared" si="361"/>
        <v/>
      </c>
      <c r="I797" s="15">
        <f t="shared" si="369"/>
        <v>21</v>
      </c>
      <c r="K797" s="10" t="str">
        <f t="shared" si="370"/>
        <v/>
      </c>
      <c r="L797" s="9" t="str">
        <f t="shared" si="371"/>
        <v/>
      </c>
      <c r="M797" s="8" t="str">
        <f t="shared" si="372"/>
        <v/>
      </c>
      <c r="AB797" s="5">
        <v>80</v>
      </c>
      <c r="AD797" s="21">
        <v>21</v>
      </c>
      <c r="AF797" s="1">
        <v>0</v>
      </c>
      <c r="AG797" s="22">
        <v>0.06</v>
      </c>
      <c r="AH797" s="20">
        <v>0.39930555555555558</v>
      </c>
      <c r="AI797" s="2"/>
      <c r="AJ797" s="2"/>
      <c r="AK797" s="3">
        <f t="shared" si="366"/>
        <v>240</v>
      </c>
      <c r="AN797" s="3">
        <v>40</v>
      </c>
      <c r="AP797" s="13" t="e">
        <f t="shared" si="363"/>
        <v>#DIV/0!</v>
      </c>
      <c r="AR797" s="19"/>
      <c r="AS797" s="18">
        <f t="shared" si="367"/>
        <v>1</v>
      </c>
      <c r="AT797" s="18"/>
      <c r="AU797" s="18"/>
      <c r="AV797" s="57" t="str">
        <f t="shared" si="359"/>
        <v/>
      </c>
      <c r="AW797" s="57">
        <f t="shared" si="362"/>
        <v>21</v>
      </c>
      <c r="AX797" s="57" t="str">
        <f t="shared" si="355"/>
        <v/>
      </c>
      <c r="AY797" s="57" t="str">
        <f t="shared" si="360"/>
        <v/>
      </c>
      <c r="AZ797" s="57" t="str">
        <f t="shared" si="354"/>
        <v/>
      </c>
      <c r="BE797" s="6" t="e">
        <f t="shared" si="365"/>
        <v>#DIV/0!</v>
      </c>
      <c r="BF797" s="6"/>
    </row>
    <row r="798" spans="1:58" ht="15.75">
      <c r="B798" s="11">
        <v>46058</v>
      </c>
      <c r="C798" s="1">
        <v>554</v>
      </c>
      <c r="D798" s="3">
        <v>793</v>
      </c>
      <c r="E798" s="205" t="str">
        <f t="shared" si="361"/>
        <v/>
      </c>
      <c r="G798" s="24">
        <v>16.130000000000003</v>
      </c>
      <c r="I798" s="15">
        <f t="shared" si="369"/>
        <v>21</v>
      </c>
      <c r="K798" s="10" t="str">
        <f t="shared" si="370"/>
        <v/>
      </c>
      <c r="L798" s="9" t="str">
        <f t="shared" si="371"/>
        <v/>
      </c>
      <c r="M798" s="8">
        <f t="shared" si="372"/>
        <v>2.603843769373837</v>
      </c>
      <c r="AB798" s="5">
        <v>80</v>
      </c>
      <c r="AD798" s="21">
        <v>21</v>
      </c>
      <c r="AF798" s="1">
        <v>0</v>
      </c>
      <c r="AG798" s="22">
        <v>0.06</v>
      </c>
      <c r="AH798" s="20">
        <v>0.39930555555555558</v>
      </c>
      <c r="AI798" s="2"/>
      <c r="AJ798" s="2">
        <f>("19:05"-"18:25")*1440</f>
        <v>39.999999999999858</v>
      </c>
      <c r="AK798" s="3">
        <f t="shared" si="366"/>
        <v>240</v>
      </c>
      <c r="AM798" s="1">
        <v>7.23</v>
      </c>
      <c r="AN798" s="3">
        <v>40</v>
      </c>
      <c r="AP798" s="13">
        <f t="shared" si="363"/>
        <v>1939.9999999999636</v>
      </c>
      <c r="AR798" s="19"/>
      <c r="AS798" s="18">
        <f t="shared" si="367"/>
        <v>1</v>
      </c>
      <c r="AT798" s="18"/>
      <c r="AU798" s="18">
        <f>(G798-AM798)/G798</f>
        <v>0.55176689398636092</v>
      </c>
      <c r="AV798" s="57" t="str">
        <f t="shared" si="359"/>
        <v/>
      </c>
      <c r="AW798" s="57">
        <f t="shared" si="362"/>
        <v>21</v>
      </c>
      <c r="AX798" s="57">
        <f t="shared" si="355"/>
        <v>8.9000000000000021</v>
      </c>
      <c r="AY798" s="57" t="str">
        <f t="shared" si="360"/>
        <v/>
      </c>
      <c r="AZ798" s="57" t="str">
        <f t="shared" si="354"/>
        <v/>
      </c>
      <c r="BE798" s="6">
        <f t="shared" si="365"/>
        <v>31.500000000000114</v>
      </c>
      <c r="BF798" s="6">
        <f t="shared" ref="BF798:BF805" si="373">IF(OR(AJ798=0,AP798=0,NOT(ISNUMBER(AD798)),NOT(ISNUMBER(AF798)),NOT(ISNUMBER(AJ798)),NOT(ISNUMBER(AP798))),"",
IFERROR(IF((AD798-AF798)/(AJ798/60)/(AP798/1000)&lt;=0,"",(AD798-AF798)/(AJ798/60)/(AP798/1000)),""))</f>
        <v>16.237113402062221</v>
      </c>
    </row>
    <row r="799" spans="1:58" ht="15.75">
      <c r="B799" s="11">
        <v>46059</v>
      </c>
      <c r="C799" s="1">
        <v>555</v>
      </c>
      <c r="D799" s="3">
        <v>794</v>
      </c>
      <c r="E799" s="205" t="str">
        <f t="shared" si="361"/>
        <v/>
      </c>
      <c r="I799" s="15">
        <f t="shared" si="369"/>
        <v>21</v>
      </c>
      <c r="K799" s="10" t="str">
        <f t="shared" si="370"/>
        <v/>
      </c>
      <c r="L799" s="9" t="str">
        <f t="shared" si="371"/>
        <v/>
      </c>
      <c r="M799" s="8" t="str">
        <f t="shared" si="372"/>
        <v/>
      </c>
      <c r="AB799" s="5">
        <v>80</v>
      </c>
      <c r="AD799" s="21">
        <v>21</v>
      </c>
      <c r="AF799" s="1">
        <v>0</v>
      </c>
      <c r="AG799" s="22">
        <v>2.19</v>
      </c>
      <c r="AH799" s="20">
        <v>0.44803240740740741</v>
      </c>
      <c r="AI799" s="2"/>
      <c r="AJ799" s="2">
        <f>("19:10"-"18:25")*1440</f>
        <v>45</v>
      </c>
      <c r="AK799" s="3">
        <f t="shared" si="366"/>
        <v>240</v>
      </c>
      <c r="AN799" s="3">
        <v>40</v>
      </c>
      <c r="AP799" s="13">
        <f t="shared" si="363"/>
        <v>2027.4999999999636</v>
      </c>
      <c r="AR799" s="19"/>
      <c r="AS799" s="18">
        <f t="shared" si="367"/>
        <v>1</v>
      </c>
      <c r="AT799" s="18"/>
      <c r="AU799" s="18"/>
      <c r="AV799" s="57" t="str">
        <f t="shared" si="359"/>
        <v/>
      </c>
      <c r="AW799" s="57">
        <f t="shared" si="362"/>
        <v>21</v>
      </c>
      <c r="AX799" s="57" t="str">
        <f t="shared" si="355"/>
        <v/>
      </c>
      <c r="AY799" s="57" t="str">
        <f t="shared" si="360"/>
        <v/>
      </c>
      <c r="AZ799" s="57" t="str">
        <f t="shared" si="354"/>
        <v/>
      </c>
      <c r="BE799" s="6">
        <f t="shared" si="365"/>
        <v>28</v>
      </c>
      <c r="BF799" s="6">
        <f t="shared" si="373"/>
        <v>13.810110974106291</v>
      </c>
    </row>
    <row r="800" spans="1:58" ht="15.75">
      <c r="B800" s="11">
        <v>46060</v>
      </c>
      <c r="C800" s="1">
        <v>556</v>
      </c>
      <c r="D800" s="3">
        <v>795</v>
      </c>
      <c r="E800" s="205" t="str">
        <f t="shared" si="361"/>
        <v/>
      </c>
      <c r="I800" s="15">
        <f t="shared" si="369"/>
        <v>21</v>
      </c>
      <c r="K800" s="10" t="str">
        <f t="shared" si="370"/>
        <v/>
      </c>
      <c r="L800" s="9" t="str">
        <f t="shared" si="371"/>
        <v/>
      </c>
      <c r="M800" s="8" t="str">
        <f t="shared" si="372"/>
        <v/>
      </c>
      <c r="AB800" s="5">
        <v>80</v>
      </c>
      <c r="AD800" s="21">
        <v>21</v>
      </c>
      <c r="AF800" s="1">
        <v>0</v>
      </c>
      <c r="AG800" s="1">
        <v>2.39</v>
      </c>
      <c r="AH800" s="20">
        <v>0.44768518518518519</v>
      </c>
      <c r="AI800" s="2"/>
      <c r="AJ800" s="2">
        <f>("19:05"-"18:25")*1440</f>
        <v>39.999999999999858</v>
      </c>
      <c r="AK800" s="3">
        <f t="shared" si="366"/>
        <v>240</v>
      </c>
      <c r="AN800" s="3">
        <v>40</v>
      </c>
      <c r="AP800" s="13">
        <f t="shared" si="363"/>
        <v>2027.4999999999636</v>
      </c>
      <c r="AR800" s="19"/>
      <c r="AS800" s="18">
        <f t="shared" si="367"/>
        <v>1</v>
      </c>
      <c r="AT800" s="18">
        <f t="shared" ref="AT800:AT811" si="374">AG800/(AD800-AF800)</f>
        <v>0.11380952380952382</v>
      </c>
      <c r="AU800" s="18"/>
      <c r="AV800" s="57" t="str">
        <f t="shared" si="359"/>
        <v/>
      </c>
      <c r="AW800" s="57">
        <f t="shared" si="362"/>
        <v>21</v>
      </c>
      <c r="AX800" s="57" t="str">
        <f t="shared" si="355"/>
        <v/>
      </c>
      <c r="AY800" s="57" t="str">
        <f t="shared" si="360"/>
        <v/>
      </c>
      <c r="AZ800" s="57" t="str">
        <f t="shared" si="354"/>
        <v/>
      </c>
      <c r="BE800" s="6">
        <f t="shared" si="365"/>
        <v>31.500000000000114</v>
      </c>
      <c r="BF800" s="6">
        <f t="shared" si="373"/>
        <v>15.536374845869634</v>
      </c>
    </row>
    <row r="801" spans="1:58" ht="15.75">
      <c r="B801" s="11">
        <v>46061</v>
      </c>
      <c r="C801" s="1">
        <v>557</v>
      </c>
      <c r="D801" s="3">
        <v>796</v>
      </c>
      <c r="E801" s="205" t="str">
        <f t="shared" si="361"/>
        <v/>
      </c>
      <c r="G801" s="24">
        <v>16.130000000000003</v>
      </c>
      <c r="H801" s="15"/>
      <c r="I801" s="15">
        <f t="shared" si="369"/>
        <v>21</v>
      </c>
      <c r="K801" s="10" t="str">
        <f t="shared" si="370"/>
        <v/>
      </c>
      <c r="L801" s="9" t="str">
        <f t="shared" si="371"/>
        <v/>
      </c>
      <c r="M801" s="8">
        <f t="shared" si="372"/>
        <v>2.603843769373837</v>
      </c>
      <c r="AB801" s="5">
        <v>80</v>
      </c>
      <c r="AD801" s="21">
        <v>21</v>
      </c>
      <c r="AF801" s="1">
        <v>0</v>
      </c>
      <c r="AG801" s="1">
        <v>2.8</v>
      </c>
      <c r="AH801" s="20">
        <v>0.44780092592592591</v>
      </c>
      <c r="AI801" s="2"/>
      <c r="AJ801" s="2">
        <f>("19:00"-"18:25")*1440</f>
        <v>34.999999999999872</v>
      </c>
      <c r="AK801" s="3">
        <f t="shared" si="366"/>
        <v>240</v>
      </c>
      <c r="AM801" s="1">
        <v>3.5</v>
      </c>
      <c r="AN801" s="3">
        <v>40</v>
      </c>
      <c r="AP801" s="13">
        <f t="shared" si="363"/>
        <v>2027.4999999999636</v>
      </c>
      <c r="AR801" s="19"/>
      <c r="AS801" s="18">
        <f t="shared" si="367"/>
        <v>1</v>
      </c>
      <c r="AT801" s="18">
        <f t="shared" si="374"/>
        <v>0.13333333333333333</v>
      </c>
      <c r="AU801" s="18">
        <f>(G801-AM801)/G801</f>
        <v>0.78301301921884692</v>
      </c>
      <c r="AV801" s="57" t="str">
        <f t="shared" si="359"/>
        <v/>
      </c>
      <c r="AW801" s="57">
        <f t="shared" si="362"/>
        <v>21</v>
      </c>
      <c r="AX801" s="57">
        <f t="shared" si="355"/>
        <v>12.630000000000003</v>
      </c>
      <c r="AY801" s="57" t="str">
        <f t="shared" si="360"/>
        <v/>
      </c>
      <c r="AZ801" s="57" t="str">
        <f t="shared" si="354"/>
        <v/>
      </c>
      <c r="BE801" s="6">
        <f t="shared" si="365"/>
        <v>36.000000000000135</v>
      </c>
      <c r="BF801" s="6">
        <f t="shared" si="373"/>
        <v>17.755856966708155</v>
      </c>
    </row>
    <row r="802" spans="1:58" ht="15.75">
      <c r="B802" s="11">
        <v>46062</v>
      </c>
      <c r="C802" s="1">
        <v>558</v>
      </c>
      <c r="D802" s="3">
        <v>797</v>
      </c>
      <c r="E802" s="205">
        <f t="shared" si="361"/>
        <v>252.79240400000003</v>
      </c>
      <c r="G802" s="15">
        <f>(N802*18-H802*18)/9</f>
        <v>16.130000000000003</v>
      </c>
      <c r="H802" s="15">
        <f>5*0.787</f>
        <v>3.9350000000000001</v>
      </c>
      <c r="I802" s="15">
        <f t="shared" si="369"/>
        <v>21</v>
      </c>
      <c r="K802" s="10">
        <f t="shared" si="370"/>
        <v>15.672188716676999</v>
      </c>
      <c r="L802" s="9">
        <f t="shared" si="371"/>
        <v>6.0188667619047624</v>
      </c>
      <c r="M802" s="8">
        <f t="shared" si="372"/>
        <v>2.603843769373837</v>
      </c>
      <c r="N802" s="7">
        <f>5*2.4</f>
        <v>12</v>
      </c>
      <c r="O802" s="6">
        <v>19.838000000000001</v>
      </c>
      <c r="P802" s="6">
        <v>69.504000000000005</v>
      </c>
      <c r="Q802" s="6">
        <f>O802*1.067</f>
        <v>21.167145999999999</v>
      </c>
      <c r="R802" s="6">
        <f>P802*1.514</f>
        <v>105.22905600000001</v>
      </c>
      <c r="S802" s="6">
        <f>Q802+R802</f>
        <v>126.39620200000002</v>
      </c>
      <c r="T802" s="6">
        <v>43.4</v>
      </c>
      <c r="U802" s="6">
        <v>0</v>
      </c>
      <c r="V802" s="6">
        <v>0</v>
      </c>
      <c r="W802" s="23">
        <f>U802*1.067+V802*1.514</f>
        <v>0</v>
      </c>
      <c r="AB802" s="5">
        <v>80</v>
      </c>
      <c r="AC802" s="7">
        <f>T802</f>
        <v>43.4</v>
      </c>
      <c r="AD802" s="1">
        <f>5*4.2</f>
        <v>21</v>
      </c>
      <c r="AE802" s="1">
        <v>28.8</v>
      </c>
      <c r="AF802" s="1">
        <v>0</v>
      </c>
      <c r="AG802" s="1">
        <v>2.79</v>
      </c>
      <c r="AH802" s="20">
        <v>0.45254629629629628</v>
      </c>
      <c r="AI802" s="2"/>
      <c r="AJ802" s="2">
        <f>("19:00"-"18:25")*1440</f>
        <v>34.999999999999872</v>
      </c>
      <c r="AK802" s="3">
        <f t="shared" si="366"/>
        <v>240</v>
      </c>
      <c r="AL802" s="4">
        <f>AE802</f>
        <v>28.8</v>
      </c>
      <c r="AM802" s="1">
        <f>5*1.29</f>
        <v>6.45</v>
      </c>
      <c r="AN802" s="3">
        <v>40</v>
      </c>
      <c r="AO802" s="2">
        <v>1939.9999999999636</v>
      </c>
      <c r="AP802" s="13">
        <f t="shared" si="363"/>
        <v>2027.4999999999636</v>
      </c>
      <c r="AR802" s="19">
        <f>(E802-W802)/E802</f>
        <v>1</v>
      </c>
      <c r="AS802" s="18">
        <f t="shared" si="367"/>
        <v>1</v>
      </c>
      <c r="AT802" s="18">
        <f t="shared" si="374"/>
        <v>0.13285714285714287</v>
      </c>
      <c r="AU802" s="18">
        <f>(G802-AM802)/G802</f>
        <v>0.60012399256044646</v>
      </c>
      <c r="AV802" s="57">
        <f t="shared" si="359"/>
        <v>252.79240400000003</v>
      </c>
      <c r="AW802" s="57">
        <f t="shared" si="362"/>
        <v>21</v>
      </c>
      <c r="AX802" s="57">
        <f t="shared" si="355"/>
        <v>9.6800000000000033</v>
      </c>
      <c r="AY802" s="57">
        <f t="shared" si="360"/>
        <v>14.599999999999998</v>
      </c>
      <c r="AZ802" s="57">
        <f t="shared" si="354"/>
        <v>22.35</v>
      </c>
      <c r="BE802" s="6">
        <f t="shared" si="365"/>
        <v>36.000000000000135</v>
      </c>
      <c r="BF802" s="6">
        <f t="shared" si="373"/>
        <v>17.755856966708155</v>
      </c>
    </row>
    <row r="803" spans="1:58" ht="15.75">
      <c r="A803" s="12" t="s">
        <v>3</v>
      </c>
      <c r="B803" s="11">
        <v>46063</v>
      </c>
      <c r="C803" s="1">
        <v>559</v>
      </c>
      <c r="D803" s="3">
        <v>798</v>
      </c>
      <c r="E803" s="205">
        <f t="shared" si="361"/>
        <v>186.82103000000001</v>
      </c>
      <c r="I803" s="15">
        <f t="shared" si="369"/>
        <v>21</v>
      </c>
      <c r="K803" s="10" t="str">
        <f t="shared" si="370"/>
        <v/>
      </c>
      <c r="L803" s="9">
        <f t="shared" si="371"/>
        <v>4.4481197619047617</v>
      </c>
      <c r="M803" s="8" t="str">
        <f t="shared" si="372"/>
        <v/>
      </c>
      <c r="O803" s="6">
        <v>87.545000000000002</v>
      </c>
      <c r="P803" s="6">
        <v>0</v>
      </c>
      <c r="Q803" s="6">
        <f>O803*1.067</f>
        <v>93.410515000000004</v>
      </c>
      <c r="R803" s="6">
        <f>P803*1.514</f>
        <v>0</v>
      </c>
      <c r="S803" s="6">
        <f>Q803+R803</f>
        <v>93.410515000000004</v>
      </c>
      <c r="U803" s="6">
        <v>0</v>
      </c>
      <c r="V803" s="6">
        <v>0</v>
      </c>
      <c r="W803" s="23">
        <f>U803*1.067+V803*1.514</f>
        <v>0</v>
      </c>
      <c r="AB803" s="5">
        <v>80</v>
      </c>
      <c r="AD803" s="21">
        <v>21</v>
      </c>
      <c r="AF803" s="1">
        <v>0</v>
      </c>
      <c r="AG803" s="1">
        <v>0.79</v>
      </c>
      <c r="AH803" s="20">
        <v>0.50717592592592597</v>
      </c>
      <c r="AI803" s="2"/>
      <c r="AJ803" s="2">
        <f>("19:10"-"18:25")*1440</f>
        <v>45</v>
      </c>
      <c r="AK803" s="3">
        <f t="shared" si="366"/>
        <v>240</v>
      </c>
      <c r="AN803" s="3">
        <v>40</v>
      </c>
      <c r="AO803" s="2">
        <v>2114.9999999999636</v>
      </c>
      <c r="AP803" s="13">
        <f t="shared" si="363"/>
        <v>2027.4999999999636</v>
      </c>
      <c r="AR803" s="19">
        <f>(E803-W803)/E803</f>
        <v>1</v>
      </c>
      <c r="AS803" s="18">
        <f t="shared" si="367"/>
        <v>1</v>
      </c>
      <c r="AT803" s="18">
        <f t="shared" si="374"/>
        <v>3.7619047619047621E-2</v>
      </c>
      <c r="AU803" s="18"/>
      <c r="AV803" s="57">
        <f t="shared" si="359"/>
        <v>186.82103000000001</v>
      </c>
      <c r="AW803" s="57">
        <f t="shared" si="362"/>
        <v>21</v>
      </c>
      <c r="AX803" s="57" t="str">
        <f t="shared" si="355"/>
        <v/>
      </c>
      <c r="AY803" s="57" t="str">
        <f t="shared" si="360"/>
        <v/>
      </c>
      <c r="AZ803" s="57" t="str">
        <f t="shared" si="354"/>
        <v/>
      </c>
      <c r="BE803" s="6">
        <f t="shared" si="365"/>
        <v>28</v>
      </c>
      <c r="BF803" s="6">
        <f t="shared" si="373"/>
        <v>13.810110974106291</v>
      </c>
    </row>
    <row r="804" spans="1:58" ht="15.75">
      <c r="B804" s="11">
        <v>46064</v>
      </c>
      <c r="C804" s="1">
        <v>560</v>
      </c>
      <c r="D804" s="3">
        <v>799</v>
      </c>
      <c r="E804" s="205" t="str">
        <f t="shared" si="361"/>
        <v/>
      </c>
      <c r="I804" s="15">
        <f t="shared" si="369"/>
        <v>21</v>
      </c>
      <c r="K804" s="10" t="str">
        <f t="shared" si="370"/>
        <v/>
      </c>
      <c r="L804" s="9" t="str">
        <f t="shared" si="371"/>
        <v/>
      </c>
      <c r="M804" s="8" t="str">
        <f t="shared" si="372"/>
        <v/>
      </c>
      <c r="AB804" s="5">
        <v>80</v>
      </c>
      <c r="AD804" s="21">
        <v>21</v>
      </c>
      <c r="AF804" s="1">
        <v>0</v>
      </c>
      <c r="AG804" s="1">
        <v>1.79</v>
      </c>
      <c r="AH804" s="20">
        <v>0.44884259259259257</v>
      </c>
      <c r="AI804" s="2"/>
      <c r="AJ804" s="2">
        <f>("19:10"-"18:25")*1440</f>
        <v>45</v>
      </c>
      <c r="AK804" s="3">
        <f t="shared" si="366"/>
        <v>240</v>
      </c>
      <c r="AN804" s="3">
        <v>40</v>
      </c>
      <c r="AP804" s="13">
        <f t="shared" si="363"/>
        <v>2027.4999999999636</v>
      </c>
      <c r="AR804" s="19"/>
      <c r="AS804" s="18">
        <f t="shared" si="367"/>
        <v>1</v>
      </c>
      <c r="AT804" s="18">
        <f t="shared" si="374"/>
        <v>8.5238095238095238E-2</v>
      </c>
      <c r="AU804" s="18"/>
      <c r="AV804" s="57" t="str">
        <f t="shared" si="359"/>
        <v/>
      </c>
      <c r="AW804" s="57">
        <f t="shared" si="362"/>
        <v>21</v>
      </c>
      <c r="AX804" s="57" t="str">
        <f t="shared" si="355"/>
        <v/>
      </c>
      <c r="AY804" s="57" t="str">
        <f t="shared" si="360"/>
        <v/>
      </c>
      <c r="AZ804" s="57" t="str">
        <f t="shared" si="354"/>
        <v/>
      </c>
      <c r="BE804" s="6">
        <f t="shared" si="365"/>
        <v>28</v>
      </c>
      <c r="BF804" s="6">
        <f t="shared" si="373"/>
        <v>13.810110974106291</v>
      </c>
    </row>
    <row r="805" spans="1:58" ht="15.75">
      <c r="B805" s="11">
        <v>46065</v>
      </c>
      <c r="C805" s="1">
        <v>561</v>
      </c>
      <c r="D805" s="3">
        <v>800</v>
      </c>
      <c r="E805" s="205" t="str">
        <f t="shared" si="361"/>
        <v/>
      </c>
      <c r="I805" s="15">
        <f t="shared" si="369"/>
        <v>21</v>
      </c>
      <c r="K805" s="10" t="str">
        <f t="shared" si="370"/>
        <v/>
      </c>
      <c r="L805" s="9" t="str">
        <f t="shared" si="371"/>
        <v/>
      </c>
      <c r="M805" s="8" t="str">
        <f t="shared" si="372"/>
        <v/>
      </c>
      <c r="AB805" s="5">
        <v>80</v>
      </c>
      <c r="AD805" s="21">
        <v>21</v>
      </c>
      <c r="AF805" s="1">
        <v>0</v>
      </c>
      <c r="AG805" s="1">
        <v>1.71</v>
      </c>
      <c r="AH805" s="20">
        <v>0.44699074074074074</v>
      </c>
      <c r="AI805" s="2"/>
      <c r="AJ805" s="2">
        <f>("19:10"-"18:25")*1440</f>
        <v>45</v>
      </c>
      <c r="AK805" s="3">
        <f t="shared" si="366"/>
        <v>240</v>
      </c>
      <c r="AN805" s="3">
        <v>40</v>
      </c>
      <c r="AP805" s="13">
        <f t="shared" si="363"/>
        <v>2114.9999999999636</v>
      </c>
      <c r="AR805" s="19"/>
      <c r="AS805" s="18">
        <f t="shared" si="367"/>
        <v>1</v>
      </c>
      <c r="AT805" s="18">
        <f t="shared" si="374"/>
        <v>8.1428571428571433E-2</v>
      </c>
      <c r="AU805" s="18"/>
      <c r="AV805" s="57" t="str">
        <f t="shared" si="359"/>
        <v/>
      </c>
      <c r="AW805" s="57">
        <f t="shared" si="362"/>
        <v>21</v>
      </c>
      <c r="AX805" s="57" t="str">
        <f t="shared" si="355"/>
        <v/>
      </c>
      <c r="AY805" s="57" t="str">
        <f t="shared" si="360"/>
        <v/>
      </c>
      <c r="AZ805" s="57" t="str">
        <f t="shared" si="354"/>
        <v/>
      </c>
      <c r="BE805" s="6">
        <f t="shared" si="365"/>
        <v>28</v>
      </c>
      <c r="BF805" s="6">
        <f t="shared" si="373"/>
        <v>13.238770685579423</v>
      </c>
    </row>
    <row r="806" spans="1:58" ht="15.75">
      <c r="B806" s="11">
        <v>46066</v>
      </c>
      <c r="C806" s="1">
        <v>562</v>
      </c>
      <c r="D806" s="3">
        <v>801</v>
      </c>
      <c r="E806" s="205" t="str">
        <f t="shared" si="361"/>
        <v/>
      </c>
      <c r="I806" s="15">
        <f t="shared" si="369"/>
        <v>21</v>
      </c>
      <c r="K806" s="10" t="str">
        <f t="shared" si="370"/>
        <v/>
      </c>
      <c r="L806" s="9" t="str">
        <f t="shared" si="371"/>
        <v/>
      </c>
      <c r="M806" s="8" t="str">
        <f t="shared" si="372"/>
        <v/>
      </c>
      <c r="AB806" s="5">
        <v>80</v>
      </c>
      <c r="AD806" s="21">
        <v>21</v>
      </c>
      <c r="AF806" s="1">
        <v>0</v>
      </c>
      <c r="AG806" s="1">
        <v>1.69</v>
      </c>
      <c r="AH806" s="20">
        <v>0.44768518518518519</v>
      </c>
      <c r="AI806" s="2"/>
      <c r="AJ806" s="2">
        <f>("19:10"-"18:25")*1440</f>
        <v>45</v>
      </c>
      <c r="AK806" s="3">
        <f t="shared" si="366"/>
        <v>240</v>
      </c>
      <c r="AN806" s="3">
        <v>40</v>
      </c>
      <c r="AP806" s="13" t="e">
        <f t="shared" si="363"/>
        <v>#DIV/0!</v>
      </c>
      <c r="AR806" s="19"/>
      <c r="AS806" s="18">
        <f t="shared" si="367"/>
        <v>1</v>
      </c>
      <c r="AT806" s="18">
        <f t="shared" si="374"/>
        <v>8.0476190476190479E-2</v>
      </c>
      <c r="AU806" s="18"/>
      <c r="AV806" s="57" t="str">
        <f t="shared" si="359"/>
        <v/>
      </c>
      <c r="AW806" s="57">
        <f t="shared" si="362"/>
        <v>21</v>
      </c>
      <c r="AX806" s="57" t="str">
        <f t="shared" si="355"/>
        <v/>
      </c>
      <c r="AY806" s="57" t="str">
        <f t="shared" si="360"/>
        <v/>
      </c>
      <c r="AZ806" s="57" t="str">
        <f t="shared" si="354"/>
        <v/>
      </c>
      <c r="BE806" s="6">
        <f t="shared" si="365"/>
        <v>28</v>
      </c>
      <c r="BF806" s="6"/>
    </row>
    <row r="807" spans="1:58" ht="15.75">
      <c r="B807" s="11">
        <v>46067</v>
      </c>
      <c r="C807" s="1">
        <v>563</v>
      </c>
      <c r="D807" s="3">
        <v>802</v>
      </c>
      <c r="E807" s="205" t="str">
        <f t="shared" si="361"/>
        <v/>
      </c>
      <c r="I807" s="15">
        <f t="shared" si="369"/>
        <v>21</v>
      </c>
      <c r="K807" s="10" t="str">
        <f t="shared" si="370"/>
        <v/>
      </c>
      <c r="L807" s="9" t="str">
        <f t="shared" si="371"/>
        <v/>
      </c>
      <c r="M807" s="8" t="str">
        <f t="shared" si="372"/>
        <v/>
      </c>
      <c r="AB807" s="5">
        <v>80</v>
      </c>
      <c r="AD807" s="21">
        <v>21</v>
      </c>
      <c r="AF807" s="1">
        <v>0</v>
      </c>
      <c r="AG807" s="1">
        <v>3.5</v>
      </c>
      <c r="AH807" s="20">
        <v>0.4599537037037037</v>
      </c>
      <c r="AI807" s="2"/>
      <c r="AJ807" s="2">
        <f>("19:10"-"18:30")*1440</f>
        <v>40.000000000000014</v>
      </c>
      <c r="AK807" s="3">
        <f t="shared" si="366"/>
        <v>240</v>
      </c>
      <c r="AN807" s="3">
        <v>40</v>
      </c>
      <c r="AP807" s="13" t="e">
        <f t="shared" si="363"/>
        <v>#DIV/0!</v>
      </c>
      <c r="AR807" s="19"/>
      <c r="AS807" s="18">
        <f t="shared" si="367"/>
        <v>1</v>
      </c>
      <c r="AT807" s="18">
        <f t="shared" si="374"/>
        <v>0.16666666666666666</v>
      </c>
      <c r="AU807" s="18"/>
      <c r="AV807" s="57" t="str">
        <f t="shared" si="359"/>
        <v/>
      </c>
      <c r="AW807" s="57">
        <f t="shared" si="362"/>
        <v>21</v>
      </c>
      <c r="AX807" s="57" t="str">
        <f t="shared" si="355"/>
        <v/>
      </c>
      <c r="AY807" s="57" t="str">
        <f t="shared" si="360"/>
        <v/>
      </c>
      <c r="AZ807" s="57" t="str">
        <f t="shared" ref="AZ807:AZ833" si="375">IF(AND(ISNUMBER(AL807),ISNUMBER(AM807)),AL807-AM807,"")</f>
        <v/>
      </c>
      <c r="BE807" s="6">
        <f t="shared" si="365"/>
        <v>31.499999999999993</v>
      </c>
      <c r="BF807" s="6"/>
    </row>
    <row r="808" spans="1:58" ht="15.75">
      <c r="B808" s="11">
        <v>46068</v>
      </c>
      <c r="C808" s="1">
        <v>564</v>
      </c>
      <c r="D808" s="3">
        <v>803</v>
      </c>
      <c r="E808" s="205" t="str">
        <f t="shared" si="361"/>
        <v/>
      </c>
      <c r="I808" s="15">
        <f t="shared" si="369"/>
        <v>21</v>
      </c>
      <c r="K808" s="10" t="str">
        <f t="shared" si="370"/>
        <v/>
      </c>
      <c r="L808" s="9" t="str">
        <f t="shared" si="371"/>
        <v/>
      </c>
      <c r="M808" s="8" t="str">
        <f t="shared" si="372"/>
        <v/>
      </c>
      <c r="AB808" s="5">
        <v>80</v>
      </c>
      <c r="AD808" s="21">
        <v>21</v>
      </c>
      <c r="AF808" s="1">
        <v>0</v>
      </c>
      <c r="AG808" s="1">
        <v>2.0099999999999998</v>
      </c>
      <c r="AH808" s="20">
        <v>0.46006944444444442</v>
      </c>
      <c r="AI808" s="2"/>
      <c r="AJ808" s="2">
        <f>("19:15"-"18:30")*1440</f>
        <v>45</v>
      </c>
      <c r="AK808" s="3">
        <f t="shared" si="366"/>
        <v>240</v>
      </c>
      <c r="AN808" s="3">
        <v>40</v>
      </c>
      <c r="AP808" s="13">
        <f t="shared" si="363"/>
        <v>2119.9999999999818</v>
      </c>
      <c r="AR808" s="19"/>
      <c r="AS808" s="18">
        <f t="shared" si="367"/>
        <v>1</v>
      </c>
      <c r="AT808" s="18">
        <f t="shared" si="374"/>
        <v>9.571428571428571E-2</v>
      </c>
      <c r="AU808" s="18"/>
      <c r="AV808" s="57" t="str">
        <f t="shared" si="359"/>
        <v/>
      </c>
      <c r="AW808" s="57">
        <f t="shared" si="362"/>
        <v>21</v>
      </c>
      <c r="AX808" s="57" t="str">
        <f t="shared" si="355"/>
        <v/>
      </c>
      <c r="AY808" s="57" t="str">
        <f t="shared" si="360"/>
        <v/>
      </c>
      <c r="AZ808" s="57" t="str">
        <f t="shared" si="375"/>
        <v/>
      </c>
      <c r="BE808" s="6">
        <f t="shared" si="365"/>
        <v>28</v>
      </c>
      <c r="BF808" s="6">
        <f t="shared" ref="BF808:BF821" si="376">IF(OR(AJ808=0,AP808=0,NOT(ISNUMBER(AD808)),NOT(ISNUMBER(AF808)),NOT(ISNUMBER(AJ808)),NOT(ISNUMBER(AP808))),"",
IFERROR(IF((AD808-AF808)/(AJ808/60)/(AP808/1000)&lt;=0,"",(AD808-AF808)/(AJ808/60)/(AP808/1000)),""))</f>
        <v>13.207547169811434</v>
      </c>
    </row>
    <row r="809" spans="1:58" ht="15.75">
      <c r="B809" s="11">
        <v>46069</v>
      </c>
      <c r="C809" s="1">
        <v>565</v>
      </c>
      <c r="D809" s="3">
        <v>804</v>
      </c>
      <c r="E809" s="205" t="str">
        <f t="shared" si="361"/>
        <v/>
      </c>
      <c r="I809" s="15">
        <f t="shared" si="369"/>
        <v>21</v>
      </c>
      <c r="K809" s="10" t="str">
        <f t="shared" si="370"/>
        <v/>
      </c>
      <c r="L809" s="9" t="str">
        <f t="shared" si="371"/>
        <v/>
      </c>
      <c r="M809" s="8" t="str">
        <f t="shared" si="372"/>
        <v/>
      </c>
      <c r="AB809" s="5">
        <v>80</v>
      </c>
      <c r="AD809" s="21">
        <v>21</v>
      </c>
      <c r="AF809" s="1">
        <v>0</v>
      </c>
      <c r="AG809" s="1">
        <v>2.4</v>
      </c>
      <c r="AH809" s="20">
        <v>0.46273148148148147</v>
      </c>
      <c r="AI809" s="2"/>
      <c r="AJ809" s="2">
        <f>("19:10"-"18:30")*1440</f>
        <v>40.000000000000014</v>
      </c>
      <c r="AK809" s="3">
        <f t="shared" si="366"/>
        <v>240</v>
      </c>
      <c r="AN809" s="3">
        <v>40</v>
      </c>
      <c r="AP809" s="13">
        <f t="shared" si="363"/>
        <v>2119.9999999999818</v>
      </c>
      <c r="AR809" s="19"/>
      <c r="AS809" s="18">
        <f t="shared" si="367"/>
        <v>1</v>
      </c>
      <c r="AT809" s="18">
        <f t="shared" si="374"/>
        <v>0.11428571428571428</v>
      </c>
      <c r="AU809" s="18"/>
      <c r="AV809" s="57" t="str">
        <f t="shared" si="359"/>
        <v/>
      </c>
      <c r="AW809" s="57">
        <f t="shared" si="362"/>
        <v>21</v>
      </c>
      <c r="AX809" s="57" t="str">
        <f t="shared" si="355"/>
        <v/>
      </c>
      <c r="AY809" s="57" t="str">
        <f t="shared" si="360"/>
        <v/>
      </c>
      <c r="AZ809" s="57" t="str">
        <f t="shared" si="375"/>
        <v/>
      </c>
      <c r="BE809" s="6">
        <f t="shared" si="365"/>
        <v>31.499999999999993</v>
      </c>
      <c r="BF809" s="6">
        <f t="shared" si="376"/>
        <v>14.85849056603786</v>
      </c>
    </row>
    <row r="810" spans="1:58" ht="15.75">
      <c r="B810" s="11">
        <v>46070</v>
      </c>
      <c r="C810" s="1">
        <v>566</v>
      </c>
      <c r="D810" s="3">
        <v>805</v>
      </c>
      <c r="E810" s="205" t="str">
        <f t="shared" si="361"/>
        <v/>
      </c>
      <c r="I810" s="15">
        <f t="shared" si="369"/>
        <v>21</v>
      </c>
      <c r="K810" s="10" t="str">
        <f t="shared" si="370"/>
        <v/>
      </c>
      <c r="L810" s="9" t="str">
        <f t="shared" si="371"/>
        <v/>
      </c>
      <c r="M810" s="8" t="str">
        <f t="shared" si="372"/>
        <v/>
      </c>
      <c r="AB810" s="5">
        <v>80</v>
      </c>
      <c r="AD810" s="21">
        <v>21</v>
      </c>
      <c r="AF810" s="1">
        <v>0</v>
      </c>
      <c r="AG810" s="1">
        <v>2.8</v>
      </c>
      <c r="AH810" s="20">
        <v>0.46423611111111113</v>
      </c>
      <c r="AI810" s="2"/>
      <c r="AJ810" s="2">
        <f>("19:20"-"18:30")*1440</f>
        <v>49.999999999999986</v>
      </c>
      <c r="AK810" s="3">
        <f t="shared" si="366"/>
        <v>240</v>
      </c>
      <c r="AN810" s="3">
        <v>40</v>
      </c>
      <c r="AP810" s="13">
        <f t="shared" si="363"/>
        <v>2119.9999999999818</v>
      </c>
      <c r="AR810" s="19"/>
      <c r="AS810" s="18">
        <f t="shared" si="367"/>
        <v>1</v>
      </c>
      <c r="AT810" s="18">
        <f t="shared" si="374"/>
        <v>0.13333333333333333</v>
      </c>
      <c r="AU810" s="18"/>
      <c r="AV810" s="57" t="str">
        <f t="shared" si="359"/>
        <v/>
      </c>
      <c r="AW810" s="57">
        <f t="shared" si="362"/>
        <v>21</v>
      </c>
      <c r="AX810" s="57" t="str">
        <f t="shared" si="355"/>
        <v/>
      </c>
      <c r="AY810" s="57" t="str">
        <f t="shared" si="360"/>
        <v/>
      </c>
      <c r="AZ810" s="57" t="str">
        <f t="shared" si="375"/>
        <v/>
      </c>
      <c r="BE810" s="6">
        <f t="shared" si="365"/>
        <v>25.200000000000006</v>
      </c>
      <c r="BF810" s="6">
        <f t="shared" si="376"/>
        <v>11.886792452830294</v>
      </c>
    </row>
    <row r="811" spans="1:58" ht="15.75">
      <c r="B811" s="11">
        <v>46071</v>
      </c>
      <c r="C811" s="1">
        <v>567</v>
      </c>
      <c r="D811" s="3">
        <v>806</v>
      </c>
      <c r="E811" s="205" t="str">
        <f t="shared" si="361"/>
        <v/>
      </c>
      <c r="I811" s="15">
        <f t="shared" si="369"/>
        <v>21</v>
      </c>
      <c r="K811" s="10" t="str">
        <f t="shared" si="370"/>
        <v/>
      </c>
      <c r="L811" s="9" t="str">
        <f t="shared" si="371"/>
        <v/>
      </c>
      <c r="M811" s="8" t="str">
        <f t="shared" si="372"/>
        <v/>
      </c>
      <c r="AB811" s="5">
        <v>80</v>
      </c>
      <c r="AD811" s="21">
        <v>21</v>
      </c>
      <c r="AF811" s="1">
        <v>0</v>
      </c>
      <c r="AG811" s="1">
        <v>2.34</v>
      </c>
      <c r="AH811" s="20">
        <v>0.46388888888888891</v>
      </c>
      <c r="AI811" s="2"/>
      <c r="AJ811" s="2">
        <f>("19:20"-"18:30")*1440</f>
        <v>49.999999999999986</v>
      </c>
      <c r="AK811" s="3">
        <f t="shared" si="366"/>
        <v>240</v>
      </c>
      <c r="AN811" s="3">
        <v>40</v>
      </c>
      <c r="AP811" s="13">
        <f t="shared" si="363"/>
        <v>2119.9999999999818</v>
      </c>
      <c r="AR811" s="19"/>
      <c r="AS811" s="18">
        <f t="shared" si="367"/>
        <v>1</v>
      </c>
      <c r="AT811" s="18">
        <f t="shared" si="374"/>
        <v>0.11142857142857142</v>
      </c>
      <c r="AU811" s="18"/>
      <c r="AV811" s="57" t="str">
        <f t="shared" si="359"/>
        <v/>
      </c>
      <c r="AW811" s="57">
        <f t="shared" si="362"/>
        <v>21</v>
      </c>
      <c r="AX811" s="57" t="str">
        <f t="shared" si="355"/>
        <v/>
      </c>
      <c r="AY811" s="57" t="str">
        <f t="shared" si="360"/>
        <v/>
      </c>
      <c r="AZ811" s="57" t="str">
        <f t="shared" si="375"/>
        <v/>
      </c>
      <c r="BE811" s="6">
        <f t="shared" si="365"/>
        <v>25.200000000000006</v>
      </c>
      <c r="BF811" s="6">
        <f t="shared" si="376"/>
        <v>11.886792452830294</v>
      </c>
    </row>
    <row r="812" spans="1:58" ht="15.75">
      <c r="A812" s="12" t="s">
        <v>2</v>
      </c>
      <c r="B812" s="11">
        <v>46072</v>
      </c>
      <c r="C812" s="1">
        <v>568</v>
      </c>
      <c r="D812" s="3">
        <v>807</v>
      </c>
      <c r="E812" s="205">
        <f t="shared" si="361"/>
        <v>244.33872400000001</v>
      </c>
      <c r="G812" s="15">
        <f>(N812*18-H812*18)/9</f>
        <v>14.100000000000001</v>
      </c>
      <c r="H812" s="15">
        <f>5*0.4</f>
        <v>2</v>
      </c>
      <c r="I812" s="15">
        <f t="shared" si="369"/>
        <v>29.5</v>
      </c>
      <c r="K812" s="10">
        <f t="shared" si="370"/>
        <v>17.328987517730496</v>
      </c>
      <c r="L812" s="9">
        <f t="shared" si="371"/>
        <v>4.1413343050847464</v>
      </c>
      <c r="M812" s="8">
        <f t="shared" si="372"/>
        <v>4.1843971631205665</v>
      </c>
      <c r="N812" s="7">
        <f>5*1.81</f>
        <v>9.0500000000000007</v>
      </c>
      <c r="O812" s="6">
        <v>19.536000000000001</v>
      </c>
      <c r="P812" s="6">
        <v>66.924999999999997</v>
      </c>
      <c r="Q812" s="6">
        <f>O812*1.067</f>
        <v>20.844912000000001</v>
      </c>
      <c r="R812" s="6">
        <f>P812*1.514</f>
        <v>101.32445</v>
      </c>
      <c r="S812" s="6">
        <f>Q812+R812</f>
        <v>122.16936200000001</v>
      </c>
      <c r="T812" s="6">
        <v>39.799999999999997</v>
      </c>
      <c r="U812" s="6">
        <v>0</v>
      </c>
      <c r="V812" s="6">
        <v>0</v>
      </c>
      <c r="W812" s="23">
        <f>U812*1.067+V812*1.514</f>
        <v>0</v>
      </c>
      <c r="AB812" s="5">
        <v>80</v>
      </c>
      <c r="AC812" s="7">
        <f>T812</f>
        <v>39.799999999999997</v>
      </c>
      <c r="AD812" s="1">
        <f>5*3.85+2.05*5</f>
        <v>29.5</v>
      </c>
      <c r="AE812" s="1">
        <f>17.1</f>
        <v>17.100000000000001</v>
      </c>
      <c r="AF812" s="1">
        <v>0</v>
      </c>
      <c r="AH812" s="20">
        <v>0.52453703703703702</v>
      </c>
      <c r="AI812" s="2"/>
      <c r="AJ812" s="2">
        <f>("19:35"-"18:30")*1440</f>
        <v>64.999999999999929</v>
      </c>
      <c r="AK812" s="3">
        <f t="shared" si="366"/>
        <v>240</v>
      </c>
      <c r="AL812" s="4">
        <f>AE812</f>
        <v>17.100000000000001</v>
      </c>
      <c r="AM812" s="1">
        <f>5*1.43</f>
        <v>7.1499999999999995</v>
      </c>
      <c r="AN812" s="3">
        <v>40</v>
      </c>
      <c r="AO812" s="2">
        <v>2119.9999999999818</v>
      </c>
      <c r="AP812" s="13">
        <f t="shared" si="363"/>
        <v>2119.9999999999818</v>
      </c>
      <c r="AR812" s="19"/>
      <c r="AS812" s="18">
        <f t="shared" si="367"/>
        <v>1</v>
      </c>
      <c r="AT812" s="18"/>
      <c r="AU812" s="18">
        <f>(G812-AM812)/G812</f>
        <v>0.49290780141843982</v>
      </c>
      <c r="AV812" s="57">
        <f t="shared" si="359"/>
        <v>244.33872400000001</v>
      </c>
      <c r="AW812" s="57">
        <f t="shared" si="362"/>
        <v>29.5</v>
      </c>
      <c r="AX812" s="57">
        <f t="shared" ref="AX812:AX833" si="377">IF(AND(ISNUMBER(AM812),ISNUMBER(G812)),G812-AM812,"")</f>
        <v>6.950000000000002</v>
      </c>
      <c r="AY812" s="57">
        <f t="shared" si="360"/>
        <v>22.699999999999996</v>
      </c>
      <c r="AZ812" s="57">
        <f t="shared" si="375"/>
        <v>9.9500000000000028</v>
      </c>
      <c r="BE812" s="6">
        <f t="shared" si="365"/>
        <v>27.230769230769262</v>
      </c>
      <c r="BF812" s="6">
        <f t="shared" si="376"/>
        <v>12.844702467344101</v>
      </c>
    </row>
    <row r="813" spans="1:58" ht="15.75">
      <c r="B813" s="11">
        <v>46073</v>
      </c>
      <c r="C813" s="1">
        <v>569</v>
      </c>
      <c r="D813" s="3">
        <v>808</v>
      </c>
      <c r="E813" s="205" t="str">
        <f t="shared" si="361"/>
        <v/>
      </c>
      <c r="I813" s="15">
        <f t="shared" si="369"/>
        <v>21</v>
      </c>
      <c r="K813" s="10" t="str">
        <f t="shared" si="370"/>
        <v/>
      </c>
      <c r="L813" s="9" t="str">
        <f t="shared" si="371"/>
        <v/>
      </c>
      <c r="M813" s="8" t="str">
        <f t="shared" si="372"/>
        <v/>
      </c>
      <c r="AB813" s="5">
        <v>80</v>
      </c>
      <c r="AD813" s="21">
        <v>21</v>
      </c>
      <c r="AF813" s="1">
        <v>0</v>
      </c>
      <c r="AG813" s="1">
        <v>6.14</v>
      </c>
      <c r="AH813" s="20">
        <v>0.48113425925925923</v>
      </c>
      <c r="AI813" s="2"/>
      <c r="AJ813" s="2">
        <f>("19:45"-"18:30")*1440</f>
        <v>74.999999999999886</v>
      </c>
      <c r="AK813" s="3">
        <f t="shared" si="366"/>
        <v>240</v>
      </c>
      <c r="AN813" s="3">
        <v>40</v>
      </c>
      <c r="AP813" s="13">
        <f t="shared" si="363"/>
        <v>2214.9999999999864</v>
      </c>
      <c r="AR813" s="19"/>
      <c r="AS813" s="18">
        <f t="shared" si="367"/>
        <v>1</v>
      </c>
      <c r="AT813" s="18">
        <f>AG813/(AD813-AF813)</f>
        <v>0.29238095238095235</v>
      </c>
      <c r="AU813" s="18"/>
      <c r="AV813" s="57" t="str">
        <f t="shared" si="359"/>
        <v/>
      </c>
      <c r="AW813" s="57">
        <f t="shared" si="362"/>
        <v>21</v>
      </c>
      <c r="AX813" s="57" t="str">
        <f t="shared" si="377"/>
        <v/>
      </c>
      <c r="AY813" s="57" t="str">
        <f t="shared" si="360"/>
        <v/>
      </c>
      <c r="AZ813" s="57" t="str">
        <f t="shared" si="375"/>
        <v/>
      </c>
      <c r="BE813" s="6">
        <f t="shared" si="365"/>
        <v>16.800000000000026</v>
      </c>
      <c r="BF813" s="6">
        <f t="shared" si="376"/>
        <v>7.5846501128668748</v>
      </c>
    </row>
    <row r="814" spans="1:58" ht="15.75">
      <c r="B814" s="11">
        <v>46074</v>
      </c>
      <c r="C814" s="1">
        <v>570</v>
      </c>
      <c r="D814" s="3">
        <v>809</v>
      </c>
      <c r="E814" s="205" t="str">
        <f t="shared" si="361"/>
        <v/>
      </c>
      <c r="I814" s="15">
        <f t="shared" si="369"/>
        <v>21</v>
      </c>
      <c r="K814" s="10" t="str">
        <f t="shared" si="370"/>
        <v/>
      </c>
      <c r="L814" s="9" t="str">
        <f t="shared" si="371"/>
        <v/>
      </c>
      <c r="M814" s="8" t="str">
        <f t="shared" si="372"/>
        <v/>
      </c>
      <c r="AB814" s="5">
        <v>80</v>
      </c>
      <c r="AD814" s="21">
        <v>21</v>
      </c>
      <c r="AF814" s="1">
        <v>0</v>
      </c>
      <c r="AG814" s="1">
        <v>6.21</v>
      </c>
      <c r="AH814" s="20">
        <v>0.4861111111111111</v>
      </c>
      <c r="AI814" s="2"/>
      <c r="AJ814" s="2">
        <f>("19:55"-"18:30")*1440</f>
        <v>85.000000000000014</v>
      </c>
      <c r="AK814" s="3">
        <f t="shared" si="366"/>
        <v>240</v>
      </c>
      <c r="AN814" s="3">
        <v>40</v>
      </c>
      <c r="AP814" s="13">
        <f t="shared" si="363"/>
        <v>2214.9999999999864</v>
      </c>
      <c r="AR814" s="19"/>
      <c r="AS814" s="18">
        <f t="shared" si="367"/>
        <v>1</v>
      </c>
      <c r="AT814" s="18">
        <f>AG814/(AD814-AF814)</f>
        <v>0.29571428571428571</v>
      </c>
      <c r="AU814" s="18"/>
      <c r="AV814" s="57" t="str">
        <f t="shared" si="359"/>
        <v/>
      </c>
      <c r="AW814" s="57">
        <f t="shared" si="362"/>
        <v>21</v>
      </c>
      <c r="AX814" s="57" t="str">
        <f t="shared" si="377"/>
        <v/>
      </c>
      <c r="AY814" s="57" t="str">
        <f t="shared" si="360"/>
        <v/>
      </c>
      <c r="AZ814" s="57" t="str">
        <f t="shared" si="375"/>
        <v/>
      </c>
      <c r="BE814" s="6">
        <f t="shared" si="365"/>
        <v>14.823529411764703</v>
      </c>
      <c r="BF814" s="6">
        <f t="shared" si="376"/>
        <v>6.6923383348825247</v>
      </c>
    </row>
    <row r="815" spans="1:58" ht="15.75">
      <c r="B815" s="11">
        <v>46075</v>
      </c>
      <c r="C815" s="1">
        <v>571</v>
      </c>
      <c r="D815" s="3">
        <v>810</v>
      </c>
      <c r="E815" s="205" t="str">
        <f t="shared" si="361"/>
        <v/>
      </c>
      <c r="I815" s="15">
        <f t="shared" si="369"/>
        <v>21</v>
      </c>
      <c r="K815" s="10" t="str">
        <f t="shared" si="370"/>
        <v/>
      </c>
      <c r="L815" s="9" t="str">
        <f t="shared" si="371"/>
        <v/>
      </c>
      <c r="M815" s="8" t="str">
        <f t="shared" si="372"/>
        <v/>
      </c>
      <c r="AB815" s="5">
        <v>80</v>
      </c>
      <c r="AD815" s="21">
        <v>21</v>
      </c>
      <c r="AF815" s="1">
        <v>0</v>
      </c>
      <c r="AG815" s="1">
        <v>6.63</v>
      </c>
      <c r="AH815" s="20">
        <v>0.48645833333333333</v>
      </c>
      <c r="AI815" s="2"/>
      <c r="AJ815" s="2">
        <f>("19:45"-"18:30")*1440</f>
        <v>74.999999999999886</v>
      </c>
      <c r="AK815" s="3">
        <f t="shared" si="366"/>
        <v>240</v>
      </c>
      <c r="AN815" s="3">
        <v>40</v>
      </c>
      <c r="AP815" s="13">
        <f t="shared" si="363"/>
        <v>2079.9999999999727</v>
      </c>
      <c r="AR815" s="19"/>
      <c r="AS815" s="18">
        <f t="shared" si="367"/>
        <v>1</v>
      </c>
      <c r="AT815" s="18">
        <f>AG815/(AD815-AF815)</f>
        <v>0.31571428571428573</v>
      </c>
      <c r="AU815" s="18"/>
      <c r="AV815" s="57" t="str">
        <f t="shared" si="359"/>
        <v/>
      </c>
      <c r="AW815" s="57">
        <f t="shared" si="362"/>
        <v>21</v>
      </c>
      <c r="AX815" s="57" t="str">
        <f t="shared" si="377"/>
        <v/>
      </c>
      <c r="AY815" s="57" t="str">
        <f t="shared" si="360"/>
        <v/>
      </c>
      <c r="AZ815" s="57" t="str">
        <f t="shared" si="375"/>
        <v/>
      </c>
      <c r="BE815" s="6">
        <f t="shared" ref="BE815:BE846" si="378">IF((AD815-AF815)/(AJ815/60)&lt;=0,"",(AD815-AF815)/(AJ815/60))</f>
        <v>16.800000000000026</v>
      </c>
      <c r="BF815" s="6">
        <f t="shared" si="376"/>
        <v>8.0769230769231957</v>
      </c>
    </row>
    <row r="816" spans="1:58" ht="15.75">
      <c r="B816" s="11">
        <v>46076</v>
      </c>
      <c r="C816" s="1">
        <v>572</v>
      </c>
      <c r="D816" s="3">
        <v>811</v>
      </c>
      <c r="E816" s="205" t="str">
        <f t="shared" si="361"/>
        <v/>
      </c>
      <c r="I816" s="15">
        <f t="shared" si="369"/>
        <v>21</v>
      </c>
      <c r="K816" s="10" t="str">
        <f t="shared" si="370"/>
        <v/>
      </c>
      <c r="L816" s="9" t="str">
        <f t="shared" si="371"/>
        <v/>
      </c>
      <c r="M816" s="8" t="str">
        <f t="shared" si="372"/>
        <v/>
      </c>
      <c r="AB816" s="5">
        <v>80</v>
      </c>
      <c r="AD816" s="21">
        <v>21</v>
      </c>
      <c r="AF816" s="1">
        <v>0</v>
      </c>
      <c r="AG816" s="1">
        <v>6</v>
      </c>
      <c r="AH816" s="20">
        <v>0.4841435185185185</v>
      </c>
      <c r="AI816" s="2"/>
      <c r="AJ816" s="2">
        <f>("19:35"-"18:30")*1440</f>
        <v>64.999999999999929</v>
      </c>
      <c r="AK816" s="3">
        <f t="shared" si="366"/>
        <v>240</v>
      </c>
      <c r="AN816" s="3">
        <v>40</v>
      </c>
      <c r="AP816" s="13">
        <f t="shared" si="363"/>
        <v>2079.9999999999727</v>
      </c>
      <c r="AR816" s="19"/>
      <c r="AS816" s="18">
        <f t="shared" si="367"/>
        <v>1</v>
      </c>
      <c r="AT816" s="18">
        <f>AG816/(AD816-AF816)</f>
        <v>0.2857142857142857</v>
      </c>
      <c r="AU816" s="18"/>
      <c r="AV816" s="57" t="str">
        <f t="shared" si="359"/>
        <v/>
      </c>
      <c r="AW816" s="57">
        <f t="shared" si="362"/>
        <v>21</v>
      </c>
      <c r="AX816" s="57" t="str">
        <f t="shared" si="377"/>
        <v/>
      </c>
      <c r="AY816" s="57" t="str">
        <f t="shared" si="360"/>
        <v/>
      </c>
      <c r="AZ816" s="57" t="str">
        <f t="shared" si="375"/>
        <v/>
      </c>
      <c r="BE816" s="6">
        <f t="shared" si="378"/>
        <v>19.384615384615405</v>
      </c>
      <c r="BF816" s="6">
        <f t="shared" si="376"/>
        <v>9.3195266272190675</v>
      </c>
    </row>
    <row r="817" spans="1:58" ht="15.75">
      <c r="A817" s="12" t="s">
        <v>1</v>
      </c>
      <c r="B817" s="11">
        <v>46077</v>
      </c>
      <c r="C817" s="1">
        <v>573</v>
      </c>
      <c r="D817" s="3">
        <v>812</v>
      </c>
      <c r="E817" s="205">
        <f t="shared" si="361"/>
        <v>5.2077179999999998</v>
      </c>
      <c r="I817" s="15">
        <f t="shared" si="369"/>
        <v>21</v>
      </c>
      <c r="K817" s="10" t="str">
        <f t="shared" si="370"/>
        <v/>
      </c>
      <c r="L817" s="9">
        <f t="shared" si="371"/>
        <v>0.12399328571428571</v>
      </c>
      <c r="M817" s="8" t="str">
        <f t="shared" si="372"/>
        <v/>
      </c>
      <c r="O817" s="6">
        <v>2.0089999999999999</v>
      </c>
      <c r="P817" s="6">
        <v>0.30399999999999999</v>
      </c>
      <c r="Q817" s="6">
        <f>O817*1.067</f>
        <v>2.1436029999999997</v>
      </c>
      <c r="R817" s="6">
        <f>P817*1.514</f>
        <v>0.460256</v>
      </c>
      <c r="S817" s="6">
        <f>Q817+R817</f>
        <v>2.6038589999999999</v>
      </c>
      <c r="U817" s="6">
        <v>2.077</v>
      </c>
      <c r="V817" s="6">
        <v>0</v>
      </c>
      <c r="W817" s="23">
        <f>U817*1.067+V817*1.514</f>
        <v>2.2161589999999998</v>
      </c>
      <c r="AB817" s="5">
        <v>80</v>
      </c>
      <c r="AD817" s="21">
        <v>21</v>
      </c>
      <c r="AF817" s="1">
        <v>0</v>
      </c>
      <c r="AG817" s="22">
        <v>5.19</v>
      </c>
      <c r="AH817" s="20">
        <v>0.5600694444444444</v>
      </c>
      <c r="AI817" s="2"/>
      <c r="AJ817" s="2">
        <f>("19:45"-"18:30")*1440</f>
        <v>74.999999999999886</v>
      </c>
      <c r="AK817" s="3">
        <f t="shared" si="366"/>
        <v>240</v>
      </c>
      <c r="AN817" s="3">
        <v>40</v>
      </c>
      <c r="AO817" s="2">
        <v>2309.9999999999909</v>
      </c>
      <c r="AP817" s="13">
        <f t="shared" si="363"/>
        <v>2079.9999999999727</v>
      </c>
      <c r="AR817" s="19"/>
      <c r="AS817" s="18">
        <f t="shared" si="367"/>
        <v>1</v>
      </c>
      <c r="AT817" s="18"/>
      <c r="AU817" s="18"/>
      <c r="AV817" s="57">
        <f t="shared" si="359"/>
        <v>2.9915590000000001</v>
      </c>
      <c r="AW817" s="57">
        <f t="shared" si="362"/>
        <v>21</v>
      </c>
      <c r="AX817" s="57" t="str">
        <f t="shared" si="377"/>
        <v/>
      </c>
      <c r="AY817" s="57" t="str">
        <f t="shared" si="360"/>
        <v/>
      </c>
      <c r="AZ817" s="57" t="str">
        <f t="shared" si="375"/>
        <v/>
      </c>
      <c r="BE817" s="6">
        <f t="shared" si="378"/>
        <v>16.800000000000026</v>
      </c>
      <c r="BF817" s="6">
        <f t="shared" si="376"/>
        <v>8.0769230769231957</v>
      </c>
    </row>
    <row r="818" spans="1:58" ht="15.75">
      <c r="B818" s="11">
        <v>46078</v>
      </c>
      <c r="C818" s="1">
        <v>574</v>
      </c>
      <c r="D818" s="3">
        <v>813</v>
      </c>
      <c r="E818" s="205" t="str">
        <f t="shared" si="361"/>
        <v/>
      </c>
      <c r="I818" s="15">
        <f t="shared" si="369"/>
        <v>21</v>
      </c>
      <c r="K818" s="10" t="str">
        <f t="shared" si="370"/>
        <v/>
      </c>
      <c r="L818" s="9" t="str">
        <f t="shared" si="371"/>
        <v/>
      </c>
      <c r="M818" s="8" t="str">
        <f t="shared" si="372"/>
        <v/>
      </c>
      <c r="AB818" s="5">
        <v>80</v>
      </c>
      <c r="AD818" s="21">
        <v>21</v>
      </c>
      <c r="AF818" s="1">
        <v>0</v>
      </c>
      <c r="AG818" s="22">
        <v>6.09</v>
      </c>
      <c r="AH818" s="20">
        <v>0.48379629629629628</v>
      </c>
      <c r="AI818" s="2"/>
      <c r="AJ818" s="2">
        <f>("19:45"-"18:30")*1440</f>
        <v>74.999999999999886</v>
      </c>
      <c r="AK818" s="3">
        <f t="shared" si="366"/>
        <v>240</v>
      </c>
      <c r="AN818" s="3">
        <v>40</v>
      </c>
      <c r="AP818" s="13">
        <f t="shared" si="363"/>
        <v>2079.9999999999727</v>
      </c>
      <c r="AR818" s="19"/>
      <c r="AS818" s="18">
        <f t="shared" si="367"/>
        <v>1</v>
      </c>
      <c r="AT818" s="18"/>
      <c r="AU818" s="18"/>
      <c r="AV818" s="57" t="str">
        <f t="shared" si="359"/>
        <v/>
      </c>
      <c r="AW818" s="57">
        <f t="shared" si="362"/>
        <v>21</v>
      </c>
      <c r="AX818" s="57" t="str">
        <f t="shared" si="377"/>
        <v/>
      </c>
      <c r="AY818" s="57" t="str">
        <f t="shared" si="360"/>
        <v/>
      </c>
      <c r="AZ818" s="57" t="str">
        <f t="shared" si="375"/>
        <v/>
      </c>
      <c r="BE818" s="6">
        <f t="shared" si="378"/>
        <v>16.800000000000026</v>
      </c>
      <c r="BF818" s="6">
        <f t="shared" si="376"/>
        <v>8.0769230769231957</v>
      </c>
    </row>
    <row r="819" spans="1:58" ht="15.75">
      <c r="A819" s="12" t="s">
        <v>0</v>
      </c>
      <c r="B819" s="11">
        <v>46079</v>
      </c>
      <c r="C819" s="1">
        <v>575</v>
      </c>
      <c r="D819" s="3">
        <v>814</v>
      </c>
      <c r="E819" s="205">
        <f t="shared" si="361"/>
        <v>246.01106400000003</v>
      </c>
      <c r="G819" s="15">
        <f>(N819*18-H819*18)/9</f>
        <v>13.999999999999996</v>
      </c>
      <c r="H819" s="15">
        <f>5*1.11</f>
        <v>5.5500000000000007</v>
      </c>
      <c r="I819" s="15">
        <f t="shared" si="369"/>
        <v>21.75</v>
      </c>
      <c r="K819" s="10">
        <f t="shared" si="370"/>
        <v>17.572218857142865</v>
      </c>
      <c r="L819" s="9">
        <f t="shared" si="371"/>
        <v>5.6554267586206901</v>
      </c>
      <c r="M819" s="8">
        <f t="shared" si="372"/>
        <v>3.1071428571428581</v>
      </c>
      <c r="N819" s="7">
        <f>5*2.51</f>
        <v>12.549999999999999</v>
      </c>
      <c r="O819" s="6">
        <v>20.059999999999999</v>
      </c>
      <c r="P819" s="6">
        <v>67.108000000000004</v>
      </c>
      <c r="Q819" s="6">
        <f>O819*1.067</f>
        <v>21.404019999999999</v>
      </c>
      <c r="R819" s="6">
        <f>P819*1.514</f>
        <v>101.60151200000001</v>
      </c>
      <c r="S819" s="6">
        <f>Q819+R819</f>
        <v>123.00553200000002</v>
      </c>
      <c r="T819" s="6">
        <v>37.1</v>
      </c>
      <c r="U819" s="6">
        <v>0</v>
      </c>
      <c r="V819" s="6">
        <v>0</v>
      </c>
      <c r="W819" s="23">
        <f>U819*1.067+V819*1.514</f>
        <v>0</v>
      </c>
      <c r="AB819" s="5">
        <v>80</v>
      </c>
      <c r="AC819" s="4">
        <v>37.1</v>
      </c>
      <c r="AD819" s="1">
        <f>5*4.35</f>
        <v>21.75</v>
      </c>
      <c r="AE819" s="1">
        <v>17.2</v>
      </c>
      <c r="AF819" s="1">
        <v>0</v>
      </c>
      <c r="AG819" s="22"/>
      <c r="AH819" s="20">
        <v>0.51215277777777779</v>
      </c>
      <c r="AI819" s="2"/>
      <c r="AJ819" s="2">
        <f>("19:45"-"18:30")*1440</f>
        <v>74.999999999999886</v>
      </c>
      <c r="AK819" s="3">
        <f t="shared" si="366"/>
        <v>240</v>
      </c>
      <c r="AL819" s="4">
        <f>AE819</f>
        <v>17.2</v>
      </c>
      <c r="AM819" s="1">
        <f>5*1.51</f>
        <v>7.55</v>
      </c>
      <c r="AN819" s="3">
        <v>40</v>
      </c>
      <c r="AO819" s="2">
        <v>1849.9999999999545</v>
      </c>
      <c r="AP819" s="13">
        <f t="shared" si="363"/>
        <v>2079.9999999999727</v>
      </c>
      <c r="AR819" s="19">
        <f>(E819-W819)/E819</f>
        <v>1</v>
      </c>
      <c r="AS819" s="18">
        <f t="shared" si="367"/>
        <v>1</v>
      </c>
      <c r="AT819" s="18"/>
      <c r="AU819" s="18">
        <f>(G819-AM819)/G819</f>
        <v>0.46071428571428558</v>
      </c>
      <c r="AV819" s="57">
        <f t="shared" si="359"/>
        <v>246.01106400000003</v>
      </c>
      <c r="AW819" s="57">
        <f t="shared" si="362"/>
        <v>21.75</v>
      </c>
      <c r="AX819" s="57">
        <f t="shared" si="377"/>
        <v>6.4499999999999966</v>
      </c>
      <c r="AY819" s="57">
        <f t="shared" si="360"/>
        <v>19.900000000000002</v>
      </c>
      <c r="AZ819" s="57">
        <f t="shared" si="375"/>
        <v>9.6499999999999986</v>
      </c>
      <c r="BE819" s="6">
        <f t="shared" si="378"/>
        <v>17.400000000000027</v>
      </c>
      <c r="BF819" s="6">
        <f t="shared" si="376"/>
        <v>8.3653846153847393</v>
      </c>
    </row>
    <row r="820" spans="1:58" ht="15.75">
      <c r="B820" s="11">
        <v>46080</v>
      </c>
      <c r="C820" s="1">
        <v>576</v>
      </c>
      <c r="D820" s="3">
        <v>815</v>
      </c>
      <c r="E820" s="205" t="str">
        <f t="shared" si="361"/>
        <v/>
      </c>
      <c r="I820" s="15">
        <f t="shared" si="369"/>
        <v>21</v>
      </c>
      <c r="K820" s="10" t="str">
        <f t="shared" si="370"/>
        <v/>
      </c>
      <c r="L820" s="9" t="str">
        <f t="shared" si="371"/>
        <v/>
      </c>
      <c r="M820" s="8" t="str">
        <f t="shared" si="372"/>
        <v/>
      </c>
      <c r="AB820" s="5">
        <v>80</v>
      </c>
      <c r="AD820" s="21">
        <v>21</v>
      </c>
      <c r="AF820" s="1">
        <v>0</v>
      </c>
      <c r="AG820" s="22">
        <v>6.53</v>
      </c>
      <c r="AH820" s="20">
        <v>0.47638888888888886</v>
      </c>
      <c r="AI820" s="2"/>
      <c r="AJ820" s="2">
        <f>("19:20"-"18:30")*1440</f>
        <v>49.999999999999986</v>
      </c>
      <c r="AK820" s="3">
        <f t="shared" si="366"/>
        <v>240</v>
      </c>
      <c r="AN820" s="3">
        <v>40</v>
      </c>
      <c r="AP820" s="13">
        <f t="shared" si="363"/>
        <v>1849.9999999999545</v>
      </c>
      <c r="AR820" s="19"/>
      <c r="AS820" s="18">
        <f t="shared" si="367"/>
        <v>1</v>
      </c>
      <c r="AT820" s="18"/>
      <c r="AU820" s="18"/>
      <c r="AV820" s="57" t="str">
        <f t="shared" si="359"/>
        <v/>
      </c>
      <c r="AW820" s="57">
        <f t="shared" si="362"/>
        <v>21</v>
      </c>
      <c r="AX820" s="57" t="str">
        <f t="shared" si="377"/>
        <v/>
      </c>
      <c r="AY820" s="57" t="str">
        <f t="shared" si="360"/>
        <v/>
      </c>
      <c r="AZ820" s="57" t="str">
        <f t="shared" si="375"/>
        <v/>
      </c>
      <c r="BE820" s="6">
        <f t="shared" si="378"/>
        <v>25.200000000000006</v>
      </c>
      <c r="BF820" s="6">
        <f t="shared" si="376"/>
        <v>13.62162162162196</v>
      </c>
    </row>
    <row r="821" spans="1:58" ht="15.75">
      <c r="B821" s="11">
        <v>46081</v>
      </c>
      <c r="C821" s="1">
        <v>577</v>
      </c>
      <c r="D821" s="3">
        <v>816</v>
      </c>
      <c r="E821" s="205" t="str">
        <f t="shared" si="361"/>
        <v/>
      </c>
      <c r="I821" s="15">
        <f t="shared" si="369"/>
        <v>21</v>
      </c>
      <c r="K821" s="10" t="str">
        <f t="shared" si="370"/>
        <v/>
      </c>
      <c r="L821" s="9" t="str">
        <f t="shared" si="371"/>
        <v/>
      </c>
      <c r="M821" s="8" t="str">
        <f t="shared" si="372"/>
        <v/>
      </c>
      <c r="AB821" s="5">
        <v>80</v>
      </c>
      <c r="AD821" s="21">
        <v>21</v>
      </c>
      <c r="AF821" s="1">
        <v>0</v>
      </c>
      <c r="AG821" s="22">
        <v>5.32</v>
      </c>
      <c r="AH821" s="20">
        <v>0.46886574074074072</v>
      </c>
      <c r="AI821" s="2"/>
      <c r="AJ821" s="2">
        <f>("19:20"-"18:30")*1440</f>
        <v>49.999999999999986</v>
      </c>
      <c r="AK821" s="3">
        <f t="shared" si="366"/>
        <v>240</v>
      </c>
      <c r="AN821" s="3">
        <v>40</v>
      </c>
      <c r="AP821" s="13">
        <f t="shared" si="363"/>
        <v>1849.9999999999545</v>
      </c>
      <c r="AR821" s="19"/>
      <c r="AS821" s="18">
        <f t="shared" si="367"/>
        <v>1</v>
      </c>
      <c r="AT821" s="18">
        <f t="shared" ref="AT821:AT830" si="379">AG821/(AD821-AF821)</f>
        <v>0.25333333333333335</v>
      </c>
      <c r="AU821" s="18" t="e">
        <f t="shared" ref="AU821:AU833" si="380">(G821-AM821)/G821</f>
        <v>#DIV/0!</v>
      </c>
      <c r="AV821" s="57" t="str">
        <f t="shared" si="359"/>
        <v/>
      </c>
      <c r="AW821" s="57">
        <f t="shared" si="362"/>
        <v>21</v>
      </c>
      <c r="AX821" s="57" t="str">
        <f t="shared" si="377"/>
        <v/>
      </c>
      <c r="AY821" s="57" t="str">
        <f t="shared" si="360"/>
        <v/>
      </c>
      <c r="AZ821" s="57" t="str">
        <f t="shared" si="375"/>
        <v/>
      </c>
      <c r="BE821" s="6">
        <f t="shared" si="378"/>
        <v>25.200000000000006</v>
      </c>
      <c r="BF821" s="6">
        <f t="shared" si="376"/>
        <v>13.62162162162196</v>
      </c>
    </row>
    <row r="822" spans="1:58" ht="15.75">
      <c r="B822" s="11">
        <v>46082</v>
      </c>
      <c r="C822" s="1">
        <v>578</v>
      </c>
      <c r="D822" s="3">
        <v>817</v>
      </c>
      <c r="E822" s="205" t="str">
        <f t="shared" si="361"/>
        <v/>
      </c>
      <c r="I822" s="15">
        <f t="shared" si="369"/>
        <v>21</v>
      </c>
      <c r="K822" s="10" t="str">
        <f t="shared" si="370"/>
        <v/>
      </c>
      <c r="L822" s="9" t="str">
        <f t="shared" si="371"/>
        <v/>
      </c>
      <c r="M822" s="8" t="str">
        <f t="shared" si="372"/>
        <v/>
      </c>
      <c r="AB822" s="5">
        <v>80</v>
      </c>
      <c r="AD822" s="21">
        <v>21</v>
      </c>
      <c r="AF822" s="1">
        <v>0</v>
      </c>
      <c r="AG822" s="1">
        <v>5.7</v>
      </c>
      <c r="AH822" s="20">
        <v>0.46759259259259262</v>
      </c>
      <c r="AI822" s="2"/>
      <c r="AJ822" s="2">
        <f>("19:20"-"18:30")*1440</f>
        <v>49.999999999999986</v>
      </c>
      <c r="AK822" s="3">
        <f t="shared" si="366"/>
        <v>240</v>
      </c>
      <c r="AN822" s="3">
        <v>40</v>
      </c>
      <c r="AP822" s="13" t="e">
        <f t="shared" si="363"/>
        <v>#DIV/0!</v>
      </c>
      <c r="AR822" s="19"/>
      <c r="AS822" s="18">
        <f t="shared" si="367"/>
        <v>1</v>
      </c>
      <c r="AT822" s="18">
        <f t="shared" si="379"/>
        <v>0.27142857142857146</v>
      </c>
      <c r="AU822" s="18" t="e">
        <f t="shared" si="380"/>
        <v>#DIV/0!</v>
      </c>
      <c r="AV822" s="57" t="str">
        <f t="shared" si="359"/>
        <v/>
      </c>
      <c r="AW822" s="57">
        <f t="shared" si="362"/>
        <v>21</v>
      </c>
      <c r="AX822" s="57" t="str">
        <f t="shared" si="377"/>
        <v/>
      </c>
      <c r="AY822" s="57" t="str">
        <f t="shared" si="360"/>
        <v/>
      </c>
      <c r="AZ822" s="57" t="str">
        <f t="shared" si="375"/>
        <v/>
      </c>
      <c r="BE822" s="6">
        <f t="shared" si="378"/>
        <v>25.200000000000006</v>
      </c>
      <c r="BF822" s="6"/>
    </row>
    <row r="823" spans="1:58" ht="15.75">
      <c r="B823" s="11">
        <v>46083</v>
      </c>
      <c r="C823" s="1">
        <v>579</v>
      </c>
      <c r="D823" s="3">
        <v>818</v>
      </c>
      <c r="E823" s="205" t="str">
        <f t="shared" si="361"/>
        <v/>
      </c>
      <c r="I823" s="15">
        <f t="shared" si="369"/>
        <v>21</v>
      </c>
      <c r="K823" s="10" t="str">
        <f t="shared" si="370"/>
        <v/>
      </c>
      <c r="L823" s="9" t="str">
        <f t="shared" si="371"/>
        <v/>
      </c>
      <c r="M823" s="8" t="str">
        <f t="shared" si="372"/>
        <v/>
      </c>
      <c r="AB823" s="5">
        <v>80</v>
      </c>
      <c r="AD823" s="21">
        <v>21</v>
      </c>
      <c r="AF823" s="1">
        <v>0</v>
      </c>
      <c r="AG823" s="1">
        <v>5.75</v>
      </c>
      <c r="AH823" s="20">
        <v>0.4667824074074074</v>
      </c>
      <c r="AI823" s="2"/>
      <c r="AJ823" s="2">
        <f>("19:20"-"18:30")*1440</f>
        <v>49.999999999999986</v>
      </c>
      <c r="AK823" s="3">
        <f t="shared" si="366"/>
        <v>240</v>
      </c>
      <c r="AN823" s="3">
        <v>40</v>
      </c>
      <c r="AP823" s="13" t="e">
        <f t="shared" si="363"/>
        <v>#DIV/0!</v>
      </c>
      <c r="AR823" s="19"/>
      <c r="AS823" s="18">
        <f t="shared" si="367"/>
        <v>1</v>
      </c>
      <c r="AT823" s="18">
        <f t="shared" si="379"/>
        <v>0.27380952380952384</v>
      </c>
      <c r="AU823" s="18" t="e">
        <f t="shared" si="380"/>
        <v>#DIV/0!</v>
      </c>
      <c r="AV823" s="57" t="str">
        <f t="shared" ref="AV823:AV833" si="381">IF(AND(ISNUMBER(E823),ISNUMBER(W823)),E823-W823,"")</f>
        <v/>
      </c>
      <c r="AW823" s="57">
        <f t="shared" si="362"/>
        <v>21</v>
      </c>
      <c r="AX823" s="57" t="str">
        <f t="shared" si="377"/>
        <v/>
      </c>
      <c r="AY823" s="57" t="str">
        <f t="shared" si="360"/>
        <v/>
      </c>
      <c r="AZ823" s="57" t="str">
        <f t="shared" si="375"/>
        <v/>
      </c>
      <c r="BE823" s="6">
        <f t="shared" si="378"/>
        <v>25.200000000000006</v>
      </c>
      <c r="BF823" s="6"/>
    </row>
    <row r="824" spans="1:58" ht="15.75">
      <c r="B824" s="11">
        <v>46084</v>
      </c>
      <c r="C824" s="1">
        <v>580</v>
      </c>
      <c r="D824" s="3">
        <v>819</v>
      </c>
      <c r="E824" s="205" t="str">
        <f t="shared" si="361"/>
        <v/>
      </c>
      <c r="I824" s="15">
        <f t="shared" si="369"/>
        <v>21</v>
      </c>
      <c r="K824" s="10" t="str">
        <f t="shared" si="370"/>
        <v/>
      </c>
      <c r="L824" s="9" t="str">
        <f t="shared" si="371"/>
        <v/>
      </c>
      <c r="M824" s="8" t="str">
        <f t="shared" si="372"/>
        <v/>
      </c>
      <c r="AB824" s="5">
        <v>80</v>
      </c>
      <c r="AD824" s="21">
        <v>21</v>
      </c>
      <c r="AF824" s="1">
        <v>0</v>
      </c>
      <c r="AG824" s="1">
        <v>5.94</v>
      </c>
      <c r="AH824" s="20">
        <v>0.46782407407407406</v>
      </c>
      <c r="AI824" s="2"/>
      <c r="AJ824" s="2">
        <f>("19:20"-"18:30")*1440</f>
        <v>49.999999999999986</v>
      </c>
      <c r="AK824" s="3">
        <f t="shared" si="366"/>
        <v>240</v>
      </c>
      <c r="AN824" s="3">
        <v>40</v>
      </c>
      <c r="AP824" s="13" t="e">
        <f t="shared" si="363"/>
        <v>#DIV/0!</v>
      </c>
      <c r="AR824" s="19"/>
      <c r="AS824" s="18">
        <f t="shared" si="367"/>
        <v>1</v>
      </c>
      <c r="AT824" s="18">
        <f t="shared" si="379"/>
        <v>0.28285714285714286</v>
      </c>
      <c r="AU824" s="18" t="e">
        <f t="shared" si="380"/>
        <v>#DIV/0!</v>
      </c>
      <c r="AV824" s="57" t="str">
        <f t="shared" si="381"/>
        <v/>
      </c>
      <c r="AW824" s="57">
        <f t="shared" si="362"/>
        <v>21</v>
      </c>
      <c r="AX824" s="57" t="str">
        <f t="shared" si="377"/>
        <v/>
      </c>
      <c r="AY824" s="57" t="str">
        <f t="shared" si="360"/>
        <v/>
      </c>
      <c r="AZ824" s="57" t="str">
        <f t="shared" si="375"/>
        <v/>
      </c>
      <c r="BE824" s="6">
        <f t="shared" si="378"/>
        <v>25.200000000000006</v>
      </c>
      <c r="BF824" s="6"/>
    </row>
    <row r="825" spans="1:58" ht="15.75">
      <c r="B825" s="11">
        <v>46085</v>
      </c>
      <c r="C825" s="1">
        <v>581</v>
      </c>
      <c r="D825" s="3">
        <v>820</v>
      </c>
      <c r="E825" s="205" t="str">
        <f t="shared" si="361"/>
        <v/>
      </c>
      <c r="I825" s="15">
        <f t="shared" si="369"/>
        <v>21</v>
      </c>
      <c r="K825" s="10" t="str">
        <f t="shared" si="370"/>
        <v/>
      </c>
      <c r="L825" s="9" t="str">
        <f t="shared" si="371"/>
        <v/>
      </c>
      <c r="M825" s="8" t="str">
        <f t="shared" si="372"/>
        <v/>
      </c>
      <c r="AB825" s="5">
        <v>80</v>
      </c>
      <c r="AD825" s="21">
        <v>21</v>
      </c>
      <c r="AF825" s="1">
        <v>0</v>
      </c>
      <c r="AG825" s="1">
        <v>3.56</v>
      </c>
      <c r="AH825" s="20">
        <v>0.46226851851851852</v>
      </c>
      <c r="AI825" s="2"/>
      <c r="AJ825" s="2">
        <f t="shared" ref="AJ825:AJ833" si="382">("19:10"-"18:30")*1440</f>
        <v>40.000000000000014</v>
      </c>
      <c r="AK825" s="3">
        <f t="shared" si="366"/>
        <v>240</v>
      </c>
      <c r="AN825" s="3">
        <v>40</v>
      </c>
      <c r="AP825" s="13" t="e">
        <f t="shared" si="363"/>
        <v>#DIV/0!</v>
      </c>
      <c r="AR825" s="19"/>
      <c r="AS825" s="18">
        <f t="shared" si="367"/>
        <v>1</v>
      </c>
      <c r="AT825" s="18">
        <f t="shared" si="379"/>
        <v>0.16952380952380952</v>
      </c>
      <c r="AU825" s="18" t="e">
        <f t="shared" si="380"/>
        <v>#DIV/0!</v>
      </c>
      <c r="AV825" s="57" t="str">
        <f t="shared" si="381"/>
        <v/>
      </c>
      <c r="AW825" s="57">
        <f t="shared" si="362"/>
        <v>21</v>
      </c>
      <c r="AX825" s="57" t="str">
        <f t="shared" si="377"/>
        <v/>
      </c>
      <c r="AY825" s="57" t="str">
        <f t="shared" si="360"/>
        <v/>
      </c>
      <c r="AZ825" s="57" t="str">
        <f t="shared" si="375"/>
        <v/>
      </c>
      <c r="BE825" s="6">
        <f t="shared" si="378"/>
        <v>31.499999999999993</v>
      </c>
      <c r="BF825" s="6"/>
    </row>
    <row r="826" spans="1:58" ht="15.75">
      <c r="B826" s="11">
        <v>46086</v>
      </c>
      <c r="C826" s="1">
        <v>582</v>
      </c>
      <c r="D826" s="3">
        <v>821</v>
      </c>
      <c r="E826" s="205" t="str">
        <f t="shared" si="361"/>
        <v/>
      </c>
      <c r="I826" s="15">
        <f t="shared" si="369"/>
        <v>21</v>
      </c>
      <c r="K826" s="10" t="str">
        <f t="shared" si="370"/>
        <v/>
      </c>
      <c r="L826" s="9" t="str">
        <f t="shared" si="371"/>
        <v/>
      </c>
      <c r="M826" s="8" t="str">
        <f t="shared" si="372"/>
        <v/>
      </c>
      <c r="AB826" s="5">
        <v>80</v>
      </c>
      <c r="AD826" s="21">
        <v>21</v>
      </c>
      <c r="AF826" s="1">
        <v>0</v>
      </c>
      <c r="AG826" s="1">
        <v>4.5599999999999996</v>
      </c>
      <c r="AH826" s="20">
        <v>0.46377314814814813</v>
      </c>
      <c r="AI826" s="2"/>
      <c r="AJ826" s="2">
        <f t="shared" si="382"/>
        <v>40.000000000000014</v>
      </c>
      <c r="AK826" s="3">
        <f t="shared" si="366"/>
        <v>240</v>
      </c>
      <c r="AN826" s="3">
        <v>40</v>
      </c>
      <c r="AP826" s="13" t="e">
        <f t="shared" si="363"/>
        <v>#DIV/0!</v>
      </c>
      <c r="AR826" s="19"/>
      <c r="AS826" s="18">
        <f t="shared" si="367"/>
        <v>1</v>
      </c>
      <c r="AT826" s="18">
        <f t="shared" si="379"/>
        <v>0.21714285714285714</v>
      </c>
      <c r="AU826" s="18" t="e">
        <f t="shared" si="380"/>
        <v>#DIV/0!</v>
      </c>
      <c r="AV826" s="57" t="str">
        <f t="shared" si="381"/>
        <v/>
      </c>
      <c r="AW826" s="57">
        <f t="shared" si="362"/>
        <v>21</v>
      </c>
      <c r="AX826" s="57" t="str">
        <f t="shared" si="377"/>
        <v/>
      </c>
      <c r="AY826" s="57" t="str">
        <f t="shared" si="360"/>
        <v/>
      </c>
      <c r="AZ826" s="57" t="str">
        <f t="shared" si="375"/>
        <v/>
      </c>
      <c r="BE826" s="6">
        <f t="shared" si="378"/>
        <v>31.499999999999993</v>
      </c>
      <c r="BF826" s="6"/>
    </row>
    <row r="827" spans="1:58" ht="15.75">
      <c r="B827" s="11">
        <v>46087</v>
      </c>
      <c r="C827" s="1">
        <v>583</v>
      </c>
      <c r="D827" s="3">
        <v>822</v>
      </c>
      <c r="E827" s="205" t="str">
        <f t="shared" si="361"/>
        <v/>
      </c>
      <c r="I827" s="15">
        <f t="shared" si="369"/>
        <v>21</v>
      </c>
      <c r="K827" s="10" t="str">
        <f t="shared" si="370"/>
        <v/>
      </c>
      <c r="L827" s="9" t="str">
        <f t="shared" si="371"/>
        <v/>
      </c>
      <c r="M827" s="8" t="str">
        <f t="shared" si="372"/>
        <v/>
      </c>
      <c r="AB827" s="5">
        <v>80</v>
      </c>
      <c r="AD827" s="21">
        <v>21</v>
      </c>
      <c r="AF827" s="1">
        <v>0</v>
      </c>
      <c r="AG827" s="1">
        <v>3.55</v>
      </c>
      <c r="AH827" s="20">
        <v>0.46111111111111114</v>
      </c>
      <c r="AI827" s="2"/>
      <c r="AJ827" s="2">
        <f t="shared" si="382"/>
        <v>40.000000000000014</v>
      </c>
      <c r="AK827" s="3">
        <f t="shared" si="366"/>
        <v>240</v>
      </c>
      <c r="AN827" s="3">
        <v>40</v>
      </c>
      <c r="AP827" s="13" t="e">
        <f t="shared" si="363"/>
        <v>#DIV/0!</v>
      </c>
      <c r="AR827" s="19"/>
      <c r="AS827" s="18">
        <f t="shared" si="367"/>
        <v>1</v>
      </c>
      <c r="AT827" s="18">
        <f t="shared" si="379"/>
        <v>0.16904761904761903</v>
      </c>
      <c r="AU827" s="18" t="e">
        <f t="shared" si="380"/>
        <v>#DIV/0!</v>
      </c>
      <c r="AV827" s="57" t="str">
        <f t="shared" si="381"/>
        <v/>
      </c>
      <c r="AW827" s="57">
        <f t="shared" si="362"/>
        <v>21</v>
      </c>
      <c r="AX827" s="57" t="str">
        <f t="shared" si="377"/>
        <v/>
      </c>
      <c r="AY827" s="57" t="str">
        <f t="shared" si="360"/>
        <v/>
      </c>
      <c r="AZ827" s="57" t="str">
        <f t="shared" si="375"/>
        <v/>
      </c>
      <c r="BE827" s="6">
        <f t="shared" si="378"/>
        <v>31.499999999999993</v>
      </c>
      <c r="BF827" s="6"/>
    </row>
    <row r="828" spans="1:58" ht="15.75">
      <c r="B828" s="11">
        <v>46088</v>
      </c>
      <c r="C828" s="1">
        <v>584</v>
      </c>
      <c r="D828" s="3">
        <v>823</v>
      </c>
      <c r="E828" s="205" t="str">
        <f t="shared" si="361"/>
        <v/>
      </c>
      <c r="I828" s="15">
        <f t="shared" si="369"/>
        <v>21</v>
      </c>
      <c r="K828" s="10" t="str">
        <f t="shared" si="370"/>
        <v/>
      </c>
      <c r="L828" s="9" t="str">
        <f t="shared" si="371"/>
        <v/>
      </c>
      <c r="M828" s="8" t="str">
        <f t="shared" si="372"/>
        <v/>
      </c>
      <c r="AB828" s="5">
        <v>80</v>
      </c>
      <c r="AD828" s="21">
        <v>21</v>
      </c>
      <c r="AF828" s="1">
        <v>0</v>
      </c>
      <c r="AG828" s="1">
        <v>3.75</v>
      </c>
      <c r="AH828" s="20">
        <v>0.4599537037037037</v>
      </c>
      <c r="AI828" s="2"/>
      <c r="AJ828" s="2">
        <f t="shared" si="382"/>
        <v>40.000000000000014</v>
      </c>
      <c r="AK828" s="3">
        <f t="shared" si="366"/>
        <v>240</v>
      </c>
      <c r="AN828" s="3">
        <v>40</v>
      </c>
      <c r="AP828" s="13" t="e">
        <f t="shared" si="363"/>
        <v>#DIV/0!</v>
      </c>
      <c r="AR828" s="19"/>
      <c r="AS828" s="18">
        <f t="shared" si="367"/>
        <v>1</v>
      </c>
      <c r="AT828" s="18">
        <f t="shared" si="379"/>
        <v>0.17857142857142858</v>
      </c>
      <c r="AU828" s="18" t="e">
        <f t="shared" si="380"/>
        <v>#DIV/0!</v>
      </c>
      <c r="AV828" s="57" t="str">
        <f t="shared" si="381"/>
        <v/>
      </c>
      <c r="AW828" s="57">
        <f t="shared" si="362"/>
        <v>21</v>
      </c>
      <c r="AX828" s="57" t="str">
        <f t="shared" si="377"/>
        <v/>
      </c>
      <c r="AY828" s="57" t="str">
        <f t="shared" si="360"/>
        <v/>
      </c>
      <c r="AZ828" s="57" t="str">
        <f t="shared" si="375"/>
        <v/>
      </c>
      <c r="BE828" s="6">
        <f t="shared" si="378"/>
        <v>31.499999999999993</v>
      </c>
      <c r="BF828" s="6"/>
    </row>
    <row r="829" spans="1:58" ht="15.75">
      <c r="B829" s="11">
        <v>46089</v>
      </c>
      <c r="C829" s="1">
        <v>585</v>
      </c>
      <c r="D829" s="3">
        <v>824</v>
      </c>
      <c r="E829" s="205" t="str">
        <f t="shared" si="361"/>
        <v/>
      </c>
      <c r="I829" s="15">
        <f t="shared" si="369"/>
        <v>21</v>
      </c>
      <c r="K829" s="10" t="str">
        <f t="shared" si="370"/>
        <v/>
      </c>
      <c r="L829" s="9" t="str">
        <f t="shared" si="371"/>
        <v/>
      </c>
      <c r="M829" s="8" t="str">
        <f t="shared" si="372"/>
        <v/>
      </c>
      <c r="AB829" s="5">
        <v>80</v>
      </c>
      <c r="AD829" s="21">
        <v>21</v>
      </c>
      <c r="AF829" s="1">
        <v>0</v>
      </c>
      <c r="AG829" s="1">
        <v>3.68</v>
      </c>
      <c r="AH829" s="20">
        <v>0.45706018518518521</v>
      </c>
      <c r="AI829" s="2"/>
      <c r="AJ829" s="2">
        <f t="shared" si="382"/>
        <v>40.000000000000014</v>
      </c>
      <c r="AK829" s="3">
        <f t="shared" si="366"/>
        <v>240</v>
      </c>
      <c r="AN829" s="3">
        <v>40</v>
      </c>
      <c r="AP829" s="13" t="e">
        <f t="shared" si="363"/>
        <v>#DIV/0!</v>
      </c>
      <c r="AR829" s="19"/>
      <c r="AS829" s="18">
        <f t="shared" si="367"/>
        <v>1</v>
      </c>
      <c r="AT829" s="18">
        <f t="shared" si="379"/>
        <v>0.17523809523809525</v>
      </c>
      <c r="AU829" s="18" t="e">
        <f t="shared" si="380"/>
        <v>#DIV/0!</v>
      </c>
      <c r="AV829" s="57" t="str">
        <f t="shared" si="381"/>
        <v/>
      </c>
      <c r="AW829" s="57">
        <f t="shared" si="362"/>
        <v>21</v>
      </c>
      <c r="AX829" s="57" t="str">
        <f t="shared" si="377"/>
        <v/>
      </c>
      <c r="AY829" s="57" t="str">
        <f t="shared" si="360"/>
        <v/>
      </c>
      <c r="AZ829" s="57" t="str">
        <f t="shared" si="375"/>
        <v/>
      </c>
      <c r="BE829" s="6">
        <f t="shared" si="378"/>
        <v>31.499999999999993</v>
      </c>
      <c r="BF829" s="6"/>
    </row>
    <row r="830" spans="1:58" ht="15.75">
      <c r="B830" s="11">
        <v>46090</v>
      </c>
      <c r="C830" s="1">
        <v>586</v>
      </c>
      <c r="D830" s="3">
        <v>825</v>
      </c>
      <c r="E830" s="205" t="str">
        <f t="shared" si="361"/>
        <v/>
      </c>
      <c r="I830" s="15">
        <f t="shared" si="369"/>
        <v>21</v>
      </c>
      <c r="K830" s="10" t="str">
        <f t="shared" si="370"/>
        <v/>
      </c>
      <c r="L830" s="9" t="str">
        <f t="shared" si="371"/>
        <v/>
      </c>
      <c r="M830" s="8" t="str">
        <f t="shared" si="372"/>
        <v/>
      </c>
      <c r="AB830" s="5">
        <v>80</v>
      </c>
      <c r="AD830" s="21">
        <v>21</v>
      </c>
      <c r="AF830" s="1">
        <v>0</v>
      </c>
      <c r="AG830" s="1">
        <v>2.62</v>
      </c>
      <c r="AH830" s="20">
        <v>0.453125</v>
      </c>
      <c r="AI830" s="2"/>
      <c r="AJ830" s="2">
        <f t="shared" si="382"/>
        <v>40.000000000000014</v>
      </c>
      <c r="AK830" s="3">
        <f t="shared" si="366"/>
        <v>240</v>
      </c>
      <c r="AN830" s="3">
        <v>40</v>
      </c>
      <c r="AP830" s="13" t="e">
        <f t="shared" si="363"/>
        <v>#DIV/0!</v>
      </c>
      <c r="AR830" s="19"/>
      <c r="AS830" s="18">
        <f t="shared" si="367"/>
        <v>1</v>
      </c>
      <c r="AT830" s="18">
        <f t="shared" si="379"/>
        <v>0.12476190476190477</v>
      </c>
      <c r="AU830" s="18" t="e">
        <f t="shared" si="380"/>
        <v>#DIV/0!</v>
      </c>
      <c r="AV830" s="57" t="str">
        <f t="shared" si="381"/>
        <v/>
      </c>
      <c r="AW830" s="57">
        <f t="shared" si="362"/>
        <v>21</v>
      </c>
      <c r="AX830" s="57" t="str">
        <f t="shared" si="377"/>
        <v/>
      </c>
      <c r="AY830" s="57" t="str">
        <f t="shared" si="360"/>
        <v/>
      </c>
      <c r="AZ830" s="57" t="str">
        <f t="shared" si="375"/>
        <v/>
      </c>
      <c r="BE830" s="6">
        <f t="shared" si="378"/>
        <v>31.499999999999993</v>
      </c>
      <c r="BF830" s="6"/>
    </row>
    <row r="831" spans="1:58" ht="15.75">
      <c r="B831" s="11">
        <v>46091</v>
      </c>
      <c r="C831" s="1">
        <v>587</v>
      </c>
      <c r="D831" s="3">
        <v>826</v>
      </c>
      <c r="E831" s="205" t="str">
        <f t="shared" si="361"/>
        <v/>
      </c>
      <c r="I831" s="15">
        <f t="shared" si="369"/>
        <v>21</v>
      </c>
      <c r="K831" s="10" t="str">
        <f t="shared" si="370"/>
        <v/>
      </c>
      <c r="L831" s="9" t="str">
        <f t="shared" si="371"/>
        <v/>
      </c>
      <c r="M831" s="8" t="str">
        <f t="shared" si="372"/>
        <v/>
      </c>
      <c r="AB831" s="5">
        <v>80</v>
      </c>
      <c r="AD831" s="21">
        <v>21</v>
      </c>
      <c r="AF831" s="1">
        <v>0</v>
      </c>
      <c r="AH831" s="20">
        <v>0.47546296296296298</v>
      </c>
      <c r="AI831" s="2"/>
      <c r="AJ831" s="2">
        <f t="shared" si="382"/>
        <v>40.000000000000014</v>
      </c>
      <c r="AK831" s="3">
        <f t="shared" si="366"/>
        <v>240</v>
      </c>
      <c r="AN831" s="3">
        <v>40</v>
      </c>
      <c r="AP831" s="13" t="e">
        <f t="shared" si="363"/>
        <v>#DIV/0!</v>
      </c>
      <c r="AR831" s="19"/>
      <c r="AS831" s="18">
        <f t="shared" si="367"/>
        <v>1</v>
      </c>
      <c r="AT831" s="18"/>
      <c r="AU831" s="18" t="e">
        <f t="shared" si="380"/>
        <v>#DIV/0!</v>
      </c>
      <c r="AV831" s="57" t="str">
        <f t="shared" si="381"/>
        <v/>
      </c>
      <c r="AW831" s="57">
        <f t="shared" si="362"/>
        <v>21</v>
      </c>
      <c r="AX831" s="57" t="str">
        <f t="shared" si="377"/>
        <v/>
      </c>
      <c r="AY831" s="57" t="str">
        <f t="shared" si="360"/>
        <v/>
      </c>
      <c r="AZ831" s="57" t="str">
        <f t="shared" si="375"/>
        <v/>
      </c>
      <c r="BE831" s="6">
        <f t="shared" si="378"/>
        <v>31.499999999999993</v>
      </c>
      <c r="BF831" s="6"/>
    </row>
    <row r="832" spans="1:58" ht="15.75">
      <c r="B832" s="11">
        <v>46092</v>
      </c>
      <c r="C832" s="1">
        <v>588</v>
      </c>
      <c r="D832" s="3">
        <v>827</v>
      </c>
      <c r="E832" s="205" t="str">
        <f t="shared" si="361"/>
        <v/>
      </c>
      <c r="I832" s="15">
        <f t="shared" si="369"/>
        <v>21</v>
      </c>
      <c r="K832" s="10" t="str">
        <f t="shared" si="370"/>
        <v/>
      </c>
      <c r="L832" s="9" t="str">
        <f t="shared" si="371"/>
        <v/>
      </c>
      <c r="M832" s="8" t="str">
        <f t="shared" si="372"/>
        <v/>
      </c>
      <c r="AB832" s="5">
        <v>80</v>
      </c>
      <c r="AD832" s="21">
        <v>21</v>
      </c>
      <c r="AF832" s="1">
        <v>0</v>
      </c>
      <c r="AG832" s="1">
        <v>5.96</v>
      </c>
      <c r="AH832" s="20">
        <v>0.46064814814814814</v>
      </c>
      <c r="AI832" s="2"/>
      <c r="AJ832" s="2">
        <f t="shared" si="382"/>
        <v>40.000000000000014</v>
      </c>
      <c r="AK832" s="3">
        <f t="shared" si="366"/>
        <v>240</v>
      </c>
      <c r="AN832" s="3">
        <v>40</v>
      </c>
      <c r="AP832" s="13"/>
      <c r="AR832" s="19"/>
      <c r="AS832" s="18">
        <f t="shared" si="367"/>
        <v>1</v>
      </c>
      <c r="AT832" s="18">
        <f>AG832/(AD832-AF832)</f>
        <v>0.28380952380952379</v>
      </c>
      <c r="AU832" s="18" t="e">
        <f t="shared" si="380"/>
        <v>#DIV/0!</v>
      </c>
      <c r="AV832" s="57" t="str">
        <f t="shared" si="381"/>
        <v/>
      </c>
      <c r="AW832" s="57">
        <f t="shared" si="362"/>
        <v>21</v>
      </c>
      <c r="AX832" s="57" t="str">
        <f t="shared" si="377"/>
        <v/>
      </c>
      <c r="AY832" s="57" t="str">
        <f t="shared" si="360"/>
        <v/>
      </c>
      <c r="AZ832" s="57" t="str">
        <f t="shared" si="375"/>
        <v/>
      </c>
      <c r="BE832" s="6">
        <f t="shared" si="378"/>
        <v>31.499999999999993</v>
      </c>
      <c r="BF832" s="6"/>
    </row>
    <row r="833" spans="2:58" ht="15.75">
      <c r="B833" s="11">
        <v>46093</v>
      </c>
      <c r="C833" s="1">
        <v>589</v>
      </c>
      <c r="D833" s="3">
        <v>828</v>
      </c>
      <c r="E833" s="205" t="str">
        <f t="shared" si="361"/>
        <v/>
      </c>
      <c r="I833" s="15">
        <f t="shared" si="369"/>
        <v>0</v>
      </c>
      <c r="K833" s="10" t="str">
        <f t="shared" si="370"/>
        <v/>
      </c>
      <c r="L833" s="9" t="str">
        <f t="shared" si="371"/>
        <v/>
      </c>
      <c r="M833" s="8" t="str">
        <f t="shared" si="372"/>
        <v/>
      </c>
      <c r="AJ833" s="2">
        <f t="shared" si="382"/>
        <v>40.000000000000014</v>
      </c>
      <c r="AP833" s="13"/>
      <c r="AR833" s="17"/>
      <c r="AS833" s="16" t="e">
        <f t="shared" si="367"/>
        <v>#DIV/0!</v>
      </c>
      <c r="AT833" s="16" t="e">
        <f>AG833/(AD833-AF833)</f>
        <v>#DIV/0!</v>
      </c>
      <c r="AU833" s="16" t="e">
        <f t="shared" si="380"/>
        <v>#DIV/0!</v>
      </c>
      <c r="AV833" s="57" t="str">
        <f t="shared" si="381"/>
        <v/>
      </c>
      <c r="AW833" s="57" t="str">
        <f t="shared" si="362"/>
        <v/>
      </c>
      <c r="AX833" s="57" t="str">
        <f t="shared" si="377"/>
        <v/>
      </c>
      <c r="AY833" s="57" t="str">
        <f t="shared" si="360"/>
        <v/>
      </c>
      <c r="AZ833" s="57" t="str">
        <f t="shared" si="375"/>
        <v/>
      </c>
      <c r="BE833" s="6" t="str">
        <f t="shared" si="378"/>
        <v/>
      </c>
      <c r="BF833" s="6" t="str">
        <f>IF(OR(AJ833=0,AP833=0,NOT(ISNUMBER(AD833)),NOT(ISNUMBER(AF833)),NOT(ISNUMBER(AJ833)),NOT(ISNUMBER(AP833))),"",
IFERROR(IF((AD833-AF833)/(AJ833/60)/(AP833/1000)&lt;=0,"",(AD833-AF833)/(AJ833/60)/(AP833/1000)),""))</f>
        <v/>
      </c>
    </row>
    <row r="834" spans="2:58">
      <c r="I834" s="15">
        <f t="shared" si="369"/>
        <v>0</v>
      </c>
      <c r="K834" s="10" t="str">
        <f t="shared" si="370"/>
        <v/>
      </c>
      <c r="L834" s="9" t="str">
        <f t="shared" si="371"/>
        <v/>
      </c>
      <c r="M834" s="8" t="str">
        <f t="shared" si="372"/>
        <v/>
      </c>
      <c r="AJ834" s="14"/>
      <c r="AP834" s="13"/>
      <c r="BE834" s="6" t="e">
        <f t="shared" si="378"/>
        <v>#DIV/0!</v>
      </c>
      <c r="BF834" s="6" t="str">
        <f>IF(OR(AJ834=0,AP834=0,NOT(ISNUMBER(AD834)),NOT(ISNUMBER(AF834)),NOT(ISNUMBER(AJ834)),NOT(ISNUMBER(AP834))),"",
IFERROR(IF((AD834-AF834)/(AJ834/60)/(AP834/1000)&lt;=0,"",(AD834-AF834)/(AJ834/60)/(AP834/1000)),""))</f>
        <v/>
      </c>
    </row>
    <row r="835" spans="2:58">
      <c r="AJ835" s="14"/>
      <c r="AP835" s="13"/>
      <c r="BE835" s="6" t="e">
        <f t="shared" si="378"/>
        <v>#DIV/0!</v>
      </c>
    </row>
    <row r="836" spans="2:58">
      <c r="AJ836" s="14"/>
      <c r="AP836" s="13"/>
      <c r="BE836" s="6" t="e">
        <f t="shared" si="378"/>
        <v>#DIV/0!</v>
      </c>
    </row>
    <row r="837" spans="2:58">
      <c r="AJ837" s="14"/>
      <c r="AP837" s="13"/>
      <c r="BE837" s="6" t="e">
        <f t="shared" si="378"/>
        <v>#DIV/0!</v>
      </c>
    </row>
    <row r="838" spans="2:58">
      <c r="AJ838" s="14"/>
      <c r="AP838" s="13"/>
      <c r="BE838" s="6" t="e">
        <f t="shared" si="378"/>
        <v>#DIV/0!</v>
      </c>
    </row>
    <row r="839" spans="2:58">
      <c r="BE839" s="6" t="e">
        <f t="shared" si="378"/>
        <v>#DIV/0!</v>
      </c>
    </row>
    <row r="840" spans="2:58">
      <c r="BE840" s="6" t="e">
        <f t="shared" si="378"/>
        <v>#DIV/0!</v>
      </c>
    </row>
    <row r="841" spans="2:58">
      <c r="BE841" s="6" t="e">
        <f t="shared" si="378"/>
        <v>#DIV/0!</v>
      </c>
    </row>
    <row r="842" spans="2:58">
      <c r="BE842" s="6" t="e">
        <f t="shared" si="378"/>
        <v>#DIV/0!</v>
      </c>
    </row>
    <row r="843" spans="2:58">
      <c r="BE843" s="6" t="e">
        <f t="shared" si="378"/>
        <v>#DIV/0!</v>
      </c>
    </row>
    <row r="844" spans="2:58">
      <c r="BE844" s="6" t="e">
        <f t="shared" si="378"/>
        <v>#DIV/0!</v>
      </c>
    </row>
    <row r="845" spans="2:58">
      <c r="BE845" s="6" t="e">
        <f t="shared" si="378"/>
        <v>#DIV/0!</v>
      </c>
    </row>
    <row r="846" spans="2:58">
      <c r="BE846" s="6" t="e">
        <f t="shared" si="378"/>
        <v>#DIV/0!</v>
      </c>
    </row>
    <row r="847" spans="2:58">
      <c r="BE847" s="6" t="e">
        <f t="shared" ref="BE847:BE881" si="383">IF((AD847-AF847)/(AJ847/60)&lt;=0,"",(AD847-AF847)/(AJ847/60))</f>
        <v>#DIV/0!</v>
      </c>
    </row>
    <row r="848" spans="2:58">
      <c r="BE848" s="6" t="e">
        <f t="shared" si="383"/>
        <v>#DIV/0!</v>
      </c>
    </row>
    <row r="849" spans="57:57">
      <c r="BE849" s="6" t="e">
        <f t="shared" si="383"/>
        <v>#DIV/0!</v>
      </c>
    </row>
    <row r="850" spans="57:57">
      <c r="BE850" s="6" t="e">
        <f t="shared" si="383"/>
        <v>#DIV/0!</v>
      </c>
    </row>
    <row r="851" spans="57:57">
      <c r="BE851" s="6" t="e">
        <f t="shared" si="383"/>
        <v>#DIV/0!</v>
      </c>
    </row>
    <row r="852" spans="57:57">
      <c r="BE852" s="6" t="e">
        <f t="shared" si="383"/>
        <v>#DIV/0!</v>
      </c>
    </row>
    <row r="853" spans="57:57">
      <c r="BE853" s="6" t="e">
        <f t="shared" si="383"/>
        <v>#DIV/0!</v>
      </c>
    </row>
    <row r="854" spans="57:57">
      <c r="BE854" s="6" t="e">
        <f t="shared" si="383"/>
        <v>#DIV/0!</v>
      </c>
    </row>
    <row r="855" spans="57:57">
      <c r="BE855" s="6" t="e">
        <f t="shared" si="383"/>
        <v>#DIV/0!</v>
      </c>
    </row>
    <row r="856" spans="57:57">
      <c r="BE856" s="6" t="e">
        <f t="shared" si="383"/>
        <v>#DIV/0!</v>
      </c>
    </row>
    <row r="857" spans="57:57">
      <c r="BE857" s="6" t="e">
        <f t="shared" si="383"/>
        <v>#DIV/0!</v>
      </c>
    </row>
    <row r="858" spans="57:57">
      <c r="BE858" s="6" t="e">
        <f t="shared" si="383"/>
        <v>#DIV/0!</v>
      </c>
    </row>
    <row r="859" spans="57:57">
      <c r="BE859" s="6" t="e">
        <f t="shared" si="383"/>
        <v>#DIV/0!</v>
      </c>
    </row>
    <row r="860" spans="57:57">
      <c r="BE860" s="6" t="e">
        <f t="shared" si="383"/>
        <v>#DIV/0!</v>
      </c>
    </row>
    <row r="861" spans="57:57">
      <c r="BE861" s="6" t="e">
        <f t="shared" si="383"/>
        <v>#DIV/0!</v>
      </c>
    </row>
    <row r="862" spans="57:57">
      <c r="BE862" s="6" t="e">
        <f t="shared" si="383"/>
        <v>#DIV/0!</v>
      </c>
    </row>
    <row r="863" spans="57:57">
      <c r="BE863" s="6" t="e">
        <f t="shared" si="383"/>
        <v>#DIV/0!</v>
      </c>
    </row>
    <row r="864" spans="57:57">
      <c r="BE864" s="6" t="e">
        <f t="shared" si="383"/>
        <v>#DIV/0!</v>
      </c>
    </row>
    <row r="865" spans="57:57">
      <c r="BE865" s="6" t="e">
        <f t="shared" si="383"/>
        <v>#DIV/0!</v>
      </c>
    </row>
    <row r="866" spans="57:57">
      <c r="BE866" s="6" t="e">
        <f t="shared" si="383"/>
        <v>#DIV/0!</v>
      </c>
    </row>
    <row r="867" spans="57:57">
      <c r="BE867" s="6" t="e">
        <f t="shared" si="383"/>
        <v>#DIV/0!</v>
      </c>
    </row>
    <row r="868" spans="57:57">
      <c r="BE868" s="6" t="e">
        <f t="shared" si="383"/>
        <v>#DIV/0!</v>
      </c>
    </row>
    <row r="869" spans="57:57">
      <c r="BE869" s="6" t="e">
        <f t="shared" si="383"/>
        <v>#DIV/0!</v>
      </c>
    </row>
    <row r="870" spans="57:57">
      <c r="BE870" s="6" t="e">
        <f t="shared" si="383"/>
        <v>#DIV/0!</v>
      </c>
    </row>
    <row r="871" spans="57:57">
      <c r="BE871" s="6" t="e">
        <f t="shared" si="383"/>
        <v>#DIV/0!</v>
      </c>
    </row>
    <row r="872" spans="57:57">
      <c r="BE872" s="6" t="e">
        <f t="shared" si="383"/>
        <v>#DIV/0!</v>
      </c>
    </row>
    <row r="873" spans="57:57">
      <c r="BE873" s="6" t="e">
        <f t="shared" si="383"/>
        <v>#DIV/0!</v>
      </c>
    </row>
    <row r="874" spans="57:57">
      <c r="BE874" s="6" t="e">
        <f t="shared" si="383"/>
        <v>#DIV/0!</v>
      </c>
    </row>
    <row r="875" spans="57:57">
      <c r="BE875" s="6" t="e">
        <f t="shared" si="383"/>
        <v>#DIV/0!</v>
      </c>
    </row>
    <row r="876" spans="57:57">
      <c r="BE876" s="6" t="e">
        <f t="shared" si="383"/>
        <v>#DIV/0!</v>
      </c>
    </row>
    <row r="877" spans="57:57">
      <c r="BE877" s="6" t="e">
        <f t="shared" si="383"/>
        <v>#DIV/0!</v>
      </c>
    </row>
    <row r="878" spans="57:57">
      <c r="BE878" s="6" t="e">
        <f t="shared" si="383"/>
        <v>#DIV/0!</v>
      </c>
    </row>
    <row r="879" spans="57:57">
      <c r="BE879" s="6" t="e">
        <f t="shared" si="383"/>
        <v>#DIV/0!</v>
      </c>
    </row>
    <row r="880" spans="57:57">
      <c r="BE880" s="6" t="e">
        <f t="shared" si="383"/>
        <v>#DIV/0!</v>
      </c>
    </row>
    <row r="881" spans="57:57">
      <c r="BE881" s="6" t="e">
        <f t="shared" si="383"/>
        <v>#DIV/0!</v>
      </c>
    </row>
  </sheetData>
  <mergeCells count="7">
    <mergeCell ref="AO1:AQ1"/>
    <mergeCell ref="AR1:AZ1"/>
    <mergeCell ref="E1:J1"/>
    <mergeCell ref="K1:M1"/>
    <mergeCell ref="N1:AB1"/>
    <mergeCell ref="AC1:AK1"/>
    <mergeCell ref="AL1:A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5C33-A4DE-420E-980E-DC368C2B36B2}">
  <dimension ref="A1:F10"/>
  <sheetViews>
    <sheetView tabSelected="1" workbookViewId="0">
      <selection activeCell="I17" sqref="I17"/>
    </sheetView>
  </sheetViews>
  <sheetFormatPr defaultRowHeight="15"/>
  <cols>
    <col min="2" max="2" width="19.140625" customWidth="1"/>
  </cols>
  <sheetData>
    <row r="1" spans="1:6">
      <c r="A1" t="s">
        <v>267</v>
      </c>
      <c r="B1" s="246" t="s">
        <v>264</v>
      </c>
      <c r="C1" s="246" t="s">
        <v>265</v>
      </c>
    </row>
    <row r="2" spans="1:6">
      <c r="A2" t="s">
        <v>266</v>
      </c>
      <c r="B2">
        <v>1.19</v>
      </c>
      <c r="C2">
        <f>26.1*(3/4)+67.1*(1/4)</f>
        <v>36.35</v>
      </c>
    </row>
    <row r="3" spans="1:6">
      <c r="A3" t="s">
        <v>136</v>
      </c>
      <c r="B3">
        <v>2.94</v>
      </c>
      <c r="C3">
        <f>89.8*(3/4)+80.9*(1/4)</f>
        <v>87.574999999999989</v>
      </c>
    </row>
    <row r="4" spans="1:6">
      <c r="A4" t="s">
        <v>123</v>
      </c>
      <c r="B4">
        <v>4.82</v>
      </c>
    </row>
    <row r="5" spans="1:6">
      <c r="A5" t="s">
        <v>268</v>
      </c>
      <c r="B5">
        <v>4.71</v>
      </c>
      <c r="C5">
        <f>98*(3/4)+56.8*(1/4)</f>
        <v>87.7</v>
      </c>
    </row>
    <row r="6" spans="1:6">
      <c r="A6" t="s">
        <v>83</v>
      </c>
      <c r="B6">
        <v>8.31</v>
      </c>
      <c r="C6">
        <f>97.9*(1/4)+54.2*(3/4)</f>
        <v>65.125</v>
      </c>
    </row>
    <row r="9" spans="1:6">
      <c r="B9" s="247"/>
      <c r="C9" s="247"/>
      <c r="D9" s="247"/>
      <c r="E9" s="247"/>
      <c r="F9" s="247"/>
    </row>
    <row r="10" spans="1:6" ht="15.75" thickBot="1">
      <c r="B10" s="248"/>
      <c r="C10" s="248"/>
      <c r="D10" s="248"/>
      <c r="E10" s="248"/>
      <c r="F10" s="2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monitoring final (3)</vt:lpstr>
      <vt:lpstr>addition phase perfromance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Karen Kin</dc:creator>
  <cp:lastModifiedBy>Emily Karen Kin</cp:lastModifiedBy>
  <dcterms:created xsi:type="dcterms:W3CDTF">2026-05-19T16:30:00Z</dcterms:created>
  <dcterms:modified xsi:type="dcterms:W3CDTF">2026-06-27T09:05:33Z</dcterms:modified>
</cp:coreProperties>
</file>